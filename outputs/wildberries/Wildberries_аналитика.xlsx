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773a620ca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шборд" sheetId="1" r:id="Rd3d75cfd58ef4045"/>
    <x:sheet xmlns:r="http://schemas.openxmlformats.org/officeDocument/2006/relationships" name="Ассортимент" sheetId="2" r:id="Rd8c5be1a84884afd"/>
    <x:sheet xmlns:r="http://schemas.openxmlformats.org/officeDocument/2006/relationships" name="Прогноз TOP10" sheetId="3" r:id="Rbede1553534e4831"/>
    <x:sheet xmlns:r="http://schemas.openxmlformats.org/officeDocument/2006/relationships" name="Запасы TOP20" sheetId="4" r:id="R4bf39e65c513472a"/>
    <x:sheet xmlns:r="http://schemas.openxmlformats.org/officeDocument/2006/relationships" name="История" sheetId="5" r:id="Rf78bc8e7a1c646db"/>
    <x:sheet xmlns:r="http://schemas.openxmlformats.org/officeDocument/2006/relationships" name="Проверка прогноза" sheetId="6" r:id="R8c6affb4cc3c4725"/>
    <x:sheet xmlns:r="http://schemas.openxmlformats.org/officeDocument/2006/relationships" name="Данные" sheetId="7" r:id="R06605c748cdd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"/>
    <x:numFmt numFmtId="202" formatCode="0.00%"/>
    <x:numFmt numFmtId="203" formatCode="#,##0.0"/>
    <x:numFmt numFmtId="204" formatCode="0.0%"/>
    <x:numFmt numFmtId="205" formatCode="0.00"/>
    <x:numFmt numFmtId="206" formatCode="0%"/>
  </x:numFmts>
  <x:fonts count="5">
    <x:font>
      <x:sz val="11"/>
      <x:name val="Carlito"/>
    </x:font>
    <x:font>
      <x:sz val="10"/>
      <x:color rgb="FF252334"/>
      <x:name val="Arial"/>
    </x:font>
    <x:font>
      <x:b/>
      <x:sz val="15"/>
      <x:color rgb="FF40215C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0215C"/>
      </x:patternFill>
    </x:fill>
    <x:fill>
      <x:patternFill patternType="solid">
        <x:fgColor rgb="FFFFF1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204" fontId="0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3" borderId="0" xfId="0" applyNumberFormat="1" applyFont="1" applyFill="1" applyBorder="1"/>
    <x:xf numFmtId="206" fontId="1" fillId="3" borderId="0" xfId="0" applyNumberFormat="1" applyFont="1" applyFill="1" applyBorder="1"/>
    <x:xf numFmtId="204" fontId="1" fillId="3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72B51"/>
      </x:font>
      <x:fill>
        <x:patternFill patternType="solid">
          <x:bgColor rgb="FFFCE6ED"/>
        </x:patternFill>
      </x:fill>
    </x:dxf>
    <x:dxf>
      <x:font>
        <x:color rgb="FF9C5112"/>
      </x:font>
      <x:fill>
        <x:patternFill patternType="solid">
          <x:bgColor rgb="FFFDEB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5db4b3bec4415" /><Relationship Type="http://schemas.openxmlformats.org/officeDocument/2006/relationships/theme" Target="/xl/theme/theme1.xml" Id="R49a577b699734fa3" /><Relationship Type="http://schemas.openxmlformats.org/officeDocument/2006/relationships/sharedStrings" Target="/xl/sharedStrings.xml" Id="Rd6ebe8905d63457f" /><Relationship Type="http://schemas.openxmlformats.org/officeDocument/2006/relationships/worksheet" Target="/xl/worksheets/sheet1.xml" Id="Rd3d75cfd58ef4045" /><Relationship Type="http://schemas.openxmlformats.org/officeDocument/2006/relationships/worksheet" Target="/xl/worksheets/sheet2.xml" Id="Rd8c5be1a84884afd" /><Relationship Type="http://schemas.openxmlformats.org/officeDocument/2006/relationships/worksheet" Target="/xl/worksheets/sheet3.xml" Id="Rbede1553534e4831" /><Relationship Type="http://schemas.openxmlformats.org/officeDocument/2006/relationships/worksheet" Target="/xl/worksheets/sheet4.xml" Id="R4bf39e65c513472a" /><Relationship Type="http://schemas.openxmlformats.org/officeDocument/2006/relationships/worksheet" Target="/xl/worksheets/sheet5.xml" Id="Rf78bc8e7a1c646db" /><Relationship Type="http://schemas.openxmlformats.org/officeDocument/2006/relationships/worksheet" Target="/xl/worksheets/sheet6.xml" Id="R8c6affb4cc3c4725" /><Relationship Type="http://schemas.openxmlformats.org/officeDocument/2006/relationships/worksheet" Target="/xl/worksheets/sheet7.xml" Id="R06605c748cdd48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17b0111d044d68" /><Relationship Type="http://schemas.openxmlformats.org/officeDocument/2006/relationships/chart" Target="/xl/drawings/charts/chart2.xml" Id="R138ab3f54dbd4b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Сумма выкупов, млн ₽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Выкупы, ₽</c:v>
          </c:tx>
          <c:spPr>
            <a:ln xmlns:a="http://schemas.openxmlformats.org/drawingml/2006/main" w="19050">
              <a:solidFill>
                <a:srgbClr val="853CC6"/>
              </a:solidFill>
              <a:prstDash val="solid"/>
            </a:ln>
          </c:spPr>
          <c:marker>
            <c:symbol val="none"/>
          </c:marker>
          <c:cat>
            <c:strRef>
              <c:f>'История'!$A$5:$A$15</c:f>
              <c:strCache>
                <c:ptCount val="0"/>
              </c:strCache>
            </c:strRef>
          </c:cat>
          <c:val>
            <c:numRef>
              <c:f>'История'!$B$5:$B$15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TOP10: заказы и прогноз, шт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Март, шт</c:v>
          </c:tx>
          <c:spPr>
            <a:solidFill xmlns:a="http://schemas.openxmlformats.org/drawingml/2006/main">
              <a:srgbClr val="657080"/>
            </a:solidFill>
          </c:spPr>
          <c:invertIfNegative val="0"/>
          <c:cat>
            <c:strRef>
              <c:f>'Дашборд'!$A$35:$A$44</c:f>
              <c:strCache>
                <c:ptCount val="0"/>
              </c:strCache>
            </c:strRef>
          </c:cat>
          <c:val>
            <c:numRef>
              <c:f>'Дашборд'!$B$35:$B$44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Апрель, шт</c:v>
          </c:tx>
          <c:spPr>
            <a:solidFill xmlns:a="http://schemas.openxmlformats.org/drawingml/2006/main">
              <a:srgbClr val="853CC6"/>
            </a:solidFill>
          </c:spPr>
          <c:invertIfNegative val="0"/>
          <c:cat>
            <c:strRef>
              <c:f>'Дашборд'!$A$35:$A$44</c:f>
              <c:strCache>
                <c:ptCount val="0"/>
              </c:strCache>
            </c:strRef>
          </c:cat>
          <c:val>
            <c:numRef>
              <c:f>'Дашборд'!$C$35:$C$44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Май MA2, шт</c:v>
          </c:tx>
          <c:spPr>
            <a:solidFill xmlns:a="http://schemas.openxmlformats.org/drawingml/2006/main">
              <a:srgbClr val="E34C96"/>
            </a:solidFill>
          </c:spPr>
          <c:invertIfNegative val="0"/>
          <c:cat>
            <c:strRef>
              <c:f>'Дашборд'!$A$35:$A$44</c:f>
              <c:strCache>
                <c:ptCount val="0"/>
              </c:strCache>
            </c:strRef>
          </c:cat>
          <c:val>
            <c:numRef>
              <c:f>'Дашборд'!$D$35:$D$44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17b0111d044d68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8ab3f54dbd4b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Assortment" displayName="Assortment" ref="A4:O2477" headerRowCount="1" totalsRowCount="0" totalsRowShown="0">
  <x:tableColumns count="15">
    <x:tableColumn id="1" name="Артикул WB"/>
    <x:tableColumn id="2" name="Артикул ЦМ"/>
    <x:tableColumn id="3" name="Выкупы, ₽"/>
    <x:tableColumn id="4" name="Доля выкупов"/>
    <x:tableColumn id="5" name="Накопл. доля"/>
    <x:tableColumn id="6" name="ABC"/>
    <x:tableColumn id="7" name="Заказы, шт"/>
    <x:tableColumn id="8" name="Остаток, шт"/>
    <x:tableColumn id="9" name="Заказы / остаток"/>
    <x:tableColumn id="10" name="Заказы / переходы"/>
    <x:tableColumn id="11" name="Спрос X/Z"/>
    <x:tableColumn id="12" name="Скорость оборота"/>
    <x:tableColumn id="13" name="Низкая конверсия"/>
    <x:tableColumn id="14" name="Кандидат маркетинг"/>
    <x:tableColumn id="15" name="Удалё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StockPlan" displayName="StockPlan" ref="A4:O24" headerRowCount="1" totalsRowCount="0" totalsRowShown="0">
  <x:tableColumns count="15">
    <x:tableColumn id="1" name="Артикул WB"/>
    <x:tableColumn id="2" name="Артикул ЦМ"/>
    <x:tableColumn id="3" name="Выкупы, ₽"/>
    <x:tableColumn id="4" name="Март заказы"/>
    <x:tableColumn id="5" name="Апрель заказы"/>
    <x:tableColumn id="6" name="Май MA2, шт"/>
    <x:tableColumn id="7" name="Остаток WB"/>
    <x:tableColumn id="8" name="Остаток МП"/>
    <x:tableColumn id="9" name="Всего остаток"/>
    <x:tableColumn id="10" name="Покрытие, дни"/>
    <x:tableColumn id="11" name="Цель с буфером"/>
    <x:tableColumn id="12" name="Пополнить, шт"/>
    <x:tableColumn id="13" name="Избыток, шт"/>
    <x:tableColumn id="14" name="Решение"/>
    <x:tableColumn id="15" name="Остатк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SourceData" displayName="SourceData" ref="A4:M2477" headerRowCount="1" totalsRowCount="0" totalsRowShown="0">
  <x:tableColumns count="13">
    <x:tableColumn id="1" name="Артикул WB"/>
    <x:tableColumn id="2" name="Артикул ЦМ"/>
    <x:tableColumn id="3" name="Предмет"/>
    <x:tableColumn id="4" name="Рейтинг карточки"/>
    <x:tableColumn id="5" name="Переходы, шт"/>
    <x:tableColumn id="6" name="Заказы апрель, шт"/>
    <x:tableColumn id="7" name="Выкупы апрель, ₽"/>
    <x:tableColumn id="8" name="Остатки WB, шт"/>
    <x:tableColumn id="9" name="Остатки МП, шт"/>
    <x:tableColumn id="10" name="Заказы март, шт"/>
    <x:tableColumn id="11" name="Средняя цена, ₽"/>
    <x:tableColumn id="12" name="Удалён"/>
    <x:tableColumn id="13" name="Выкупы март, 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c7c48177db4f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40b0c5948146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673fe8cd9f04d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84c5b6505f9748e8" /></Relationships>
</file>

<file path=xl/worksheets/sheet1.xml><?xml version="1.0" encoding="utf-8"?>
<x:worksheet xmlns:x="http://schemas.openxmlformats.org/spreadsheetml/2006/main">
  <x:sheetPr>
    <x:tabColor rgb="FF40215C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9" hidden="0" customWidth="1"/>
    <x:col min="4" max="4" width="1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Wildberries: ассортимент и спрос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Апрель 2025. Прогноз на май 2025. Выручка = сумма выкупов до комиссий и расходов.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2" customHeight="1">
      <x:c r="A5" s="20" t="str">
        <x:v>Метрика</x:v>
      </x:c>
      <x:c r="B5" s="20" t="str">
        <x:v>Март 2025</x:v>
      </x:c>
      <x:c r="C5" s="20" t="str">
        <x:v>Апрель 2025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Выкупы, ₽</x:v>
      </x:c>
      <x:c r="B6" s="8" t="n">
        <x:f>'История'!B14</x:f>
        <x:v>757893309</x:v>
      </x:c>
      <x:c r="C6" s="8" t="n">
        <x:f>'История'!B15</x:f>
        <x:v>856000491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Заказы, шт</x:v>
      </x:c>
      <x:c r="B7" s="8" t="n">
        <x:f>'История'!C14</x:f>
        <x:v>1026061</x:v>
      </x:c>
      <x:c r="C7" s="8" t="n">
        <x:f>'История'!C15</x:f>
        <x:v>1382915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Переходы, шт</x:v>
      </x:c>
      <x:c r="B8" s="8" t="n">
        <x:f>'История'!D14</x:f>
        <x:v>52167437</x:v>
      </x:c>
      <x:c r="C8" s="8" t="n">
        <x:f>'История'!D15</x:f>
        <x:v>68145996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Конверсия</x:v>
      </x:c>
      <x:c r="B9" s="10" t="n">
        <x:f>'История'!E14</x:f>
        <x:v>0.019668610516556526</x:v>
      </x:c>
      <x:c r="C9" s="10" t="n">
        <x:f>'История'!E15</x:f>
        <x:v>0.020293415331401127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 t="str">
        <x:v>Остаток, шт</x:v>
      </x:c>
      <x:c r="B10" s="8" t="n">
        <x:f>'История'!F14</x:f>
        <x:v>737635</x:v>
      </x:c>
      <x:c r="C10" s="8" t="n">
        <x:f>'История'!F15</x:f>
        <x:v>737635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WAPE MA2 (9 тестов)</x:v>
      </x:c>
      <x:c r="B11" s="15" t="str">
        <x:f>""</x:f>
      </x:c>
      <x:c r="C11" s="15" t="n">
        <x:f>'Проверка прогноза'!L15</x:f>
        <x:v>0.4502503597261253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 t="str">
        <x:v>WAPE наивного (9 тестов)</x:v>
      </x:c>
      <x:c r="B12" s="15" t="str">
        <x:f>""</x:f>
      </x:c>
      <x:c r="C12" s="15" t="n">
        <x:f>'Проверка прогноза'!M15</x:f>
        <x:v>0.3765982462747825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 t="str">
        <x:v>Рост суммы выкупов к марту</x:v>
      </x:c>
      <x:c r="B14" s="1"/>
      <x:c r="C14" s="15" t="n">
        <x:f>C6/B6-1</x:f>
        <x:v>0.12944722012316912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32" customHeight="1">
      <x:c r="A17" s="20" t="str">
        <x:v>ABC</x:v>
      </x:c>
      <x:c r="B17" s="20" t="str">
        <x:v>Карточек</x:v>
      </x:c>
      <x:c r="C17" s="20" t="str">
        <x:v>Выкупы, ₽</x:v>
      </x:c>
      <x:c r="D17" s="20" t="str">
        <x:v>Доля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 t="str">
        <x:v>A</x:v>
      </x:c>
      <x:c r="B18" s="8" t="n">
        <x:f>COUNTIFS('Ассортимент'!$F$5:$F$2477,A18)</x:f>
        <x:v>444</x:v>
      </x:c>
      <x:c r="C18" s="8" t="n">
        <x:f>SUMIFS('Ассортимент'!$C$5:$C$2477,'Ассортимент'!$F$5:$F$2477,A18)</x:f>
        <x:v>684991731</x:v>
      </x:c>
      <x:c r="D18" s="15" t="n">
        <x:f>C18/$C$6</x:f>
        <x:v>0.8002235258063655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 t="str">
        <x:v>B</x:v>
      </x:c>
      <x:c r="B19" s="8" t="n">
        <x:f>COUNTIFS('Ассортимент'!$F$5:$F$2477,A19)</x:f>
        <x:v>442</x:v>
      </x:c>
      <x:c r="C19" s="8" t="n">
        <x:f>SUMIFS('Ассортимент'!$C$5:$C$2477,'Ассортимент'!$F$5:$F$2477,A19)</x:f>
        <x:v>128234355</x:v>
      </x:c>
      <x:c r="D19" s="15" t="n">
        <x:f>C19/$C$6</x:f>
        <x:v>0.14980640355730823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 t="str">
        <x:v>C</x:v>
      </x:c>
      <x:c r="B20" s="8" t="n">
        <x:f>COUNTIFS('Ассортимент'!$F$5:$F$2477,A20)</x:f>
        <x:v>1587</x:v>
      </x:c>
      <x:c r="C20" s="8" t="n">
        <x:f>SUMIFS('Ассортимент'!$C$5:$C$2477,'Ассортимент'!$F$5:$F$2477,A20)</x:f>
        <x:v>42774405</x:v>
      </x:c>
      <x:c r="D20" s="15" t="n">
        <x:f>C20/$C$6</x:f>
        <x:v>0.0499700706363263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32" customHeight="1">
      <x:c r="A24" s="20" t="str">
        <x:v>XZ: спрос и оборот</x:v>
      </x:c>
      <x:c r="B24" s="20" t="str">
        <x:v>Карточек</x:v>
      </x:c>
      <x:c r="C24" s="20" t="str">
        <x:v>Заказы, шт</x:v>
      </x:c>
      <x:c r="D24" s="20" t="str">
        <x:v>Остаток, шт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 t="str">
        <x:v>X / Быстрый</x:v>
      </x:c>
      <x:c r="B25" s="8" t="n">
        <x:f>COUNTIFS('Ассортимент'!$K$5:$K$2477,"X",'Ассортимент'!$L$5:$L$2477,"Быстрый")</x:f>
        <x:v>716</x:v>
      </x:c>
      <x:c r="C25" s="8" t="n">
        <x:f>SUMIFS('Ассортимент'!$G$5:$G$2477,'Ассортимент'!$K$5:$K$2477,"X",'Ассортимент'!$L$5:$L$2477,"Быстрый")</x:f>
        <x:v>1212392</x:v>
      </x:c>
      <x:c r="D25" s="8" t="n">
        <x:f>SUMIFS('Ассортимент'!$H$5:$H$2477,'Ассортимент'!$K$5:$K$2477,"X",'Ассортимент'!$L$5:$L$2477,"Быстрый")</x:f>
        <x:v>408276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 t="str">
        <x:v>X / Медленный</x:v>
      </x:c>
      <x:c r="B26" s="8" t="n">
        <x:f>COUNTIFS('Ассортимент'!$K$5:$K$2477,"X",'Ассортимент'!$L$5:$L$2477,"Медленный")</x:f>
        <x:v>114</x:v>
      </x:c>
      <x:c r="C26" s="8" t="n">
        <x:f>SUMIFS('Ассортимент'!$G$5:$G$2477,'Ассортимент'!$K$5:$K$2477,"X",'Ассортимент'!$L$5:$L$2477,"Медленный")</x:f>
        <x:v>81316</x:v>
      </x:c>
      <x:c r="D26" s="8" t="n">
        <x:f>SUMIFS('Ассортимент'!$H$5:$H$2477,'Ассортимент'!$K$5:$K$2477,"X",'Ассортимент'!$L$5:$L$2477,"Медленный")</x:f>
        <x:v>164274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 t="str">
        <x:v>X / Нет остатка</x:v>
      </x:c>
      <x:c r="B27" s="8" t="n">
        <x:f>COUNTIFS('Ассортимент'!$K$5:$K$2477,"X",'Ассортимент'!$L$5:$L$2477,"Нет остатка")</x:f>
        <x:v>20</x:v>
      </x:c>
      <x:c r="C27" s="8" t="n">
        <x:f>SUMIFS('Ассортимент'!$G$5:$G$2477,'Ассортимент'!$K$5:$K$2477,"X",'Ассортимент'!$L$5:$L$2477,"Нет остатка")</x:f>
        <x:v>10561</x:v>
      </x:c>
      <x:c r="D27" s="8" t="n">
        <x:f>SUMIFS('Ассортимент'!$H$5:$H$2477,'Ассортимент'!$K$5:$K$2477,"X",'Ассортимент'!$L$5:$L$2477,"Нет остатка")</x:f>
        <x:v>0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 t="str">
        <x:v>Z / Быстрый</x:v>
      </x:c>
      <x:c r="B28" s="8" t="n">
        <x:f>COUNTIFS('Ассортимент'!$K$5:$K$2477,"Z",'Ассортимент'!$L$5:$L$2477,"Быстрый")</x:f>
        <x:v>259</x:v>
      </x:c>
      <x:c r="C28" s="8" t="n">
        <x:f>SUMIFS('Ассортимент'!$G$5:$G$2477,'Ассортимент'!$K$5:$K$2477,"Z",'Ассортимент'!$L$5:$L$2477,"Быстрый")</x:f>
        <x:v>33235</x:v>
      </x:c>
      <x:c r="D28" s="8" t="n">
        <x:f>SUMIFS('Ассортимент'!$H$5:$H$2477,'Ассортимент'!$K$5:$K$2477,"Z",'Ассортимент'!$L$5:$L$2477,"Быстрый")</x:f>
        <x:v>10021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 t="str">
        <x:v>Z / Медленный</x:v>
      </x:c>
      <x:c r="B29" s="8" t="n">
        <x:f>COUNTIFS('Ассортимент'!$K$5:$K$2477,"Z",'Ассортимент'!$L$5:$L$2477,"Медленный")</x:f>
        <x:v>445</x:v>
      </x:c>
      <x:c r="C29" s="8" t="n">
        <x:f>SUMIFS('Ассортимент'!$G$5:$G$2477,'Ассортимент'!$K$5:$K$2477,"Z",'Ассортимент'!$L$5:$L$2477,"Медленный")</x:f>
        <x:v>34757</x:v>
      </x:c>
      <x:c r="D29" s="8" t="n">
        <x:f>SUMIFS('Ассортимент'!$H$5:$H$2477,'Ассортимент'!$K$5:$K$2477,"Z",'Ассортимент'!$L$5:$L$2477,"Медленный")</x:f>
        <x:v>155064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 t="str">
        <x:v>Z / Нет остатка</x:v>
      </x:c>
      <x:c r="B30" s="8" t="n">
        <x:f>COUNTIFS('Ассортимент'!$K$5:$K$2477,"Z",'Ассортимент'!$L$5:$L$2477,"Нет остатка")</x:f>
        <x:v>202</x:v>
      </x:c>
      <x:c r="C30" s="8" t="n">
        <x:f>SUMIFS('Ассортимент'!$G$5:$G$2477,'Ассортимент'!$K$5:$K$2477,"Z",'Ассортимент'!$L$5:$L$2477,"Нет остатка")</x:f>
        <x:v>10654</x:v>
      </x:c>
      <x:c r="D30" s="8" t="n">
        <x:f>SUMIFS('Ассортимент'!$H$5:$H$2477,'Ассортимент'!$K$5:$K$2477,"Z",'Ассортимент'!$L$5:$L$2477,"Нет остатка")</x:f>
        <x:v>0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 t="str">
        <x:v>Z / Нет спроса</x:v>
      </x:c>
      <x:c r="B31" s="8" t="n">
        <x:f>COUNTIFS('Ассортимент'!$K$5:$K$2477,"Z",'Ассортимент'!$L$5:$L$2477,"Нет спроса")</x:f>
        <x:v>717</x:v>
      </x:c>
      <x:c r="C31" s="8" t="n">
        <x:f>SUMIFS('Ассортимент'!$G$5:$G$2477,'Ассортимент'!$K$5:$K$2477,"Z",'Ассортимент'!$L$5:$L$2477,"Нет спроса")</x:f>
        <x:v>0</x:v>
      </x:c>
      <x:c r="D31" s="8" t="n">
        <x:f>SUMIFS('Ассортимент'!$H$5:$H$2477,'Ассортимент'!$K$5:$K$2477,"Z",'Ассортимент'!$L$5:$L$2477,"Нет спроса")</x:f>
        <x:v>0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32" customHeight="1">
      <x:c r="A34" s="20" t="str">
        <x:v>Артикул WB</x:v>
      </x:c>
      <x:c r="B34" s="20" t="str">
        <x:v>Март, шт</x:v>
      </x:c>
      <x:c r="C34" s="20" t="str">
        <x:v>Апрель, шт</x:v>
      </x:c>
      <x:c r="D34" s="20" t="str">
        <x:v>Май MA2, шт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 t="str">
        <x:f>'Прогноз TOP10'!A5</x:f>
        <x:v>165757789</x:v>
      </x:c>
      <x:c r="B35" s="8" t="n">
        <x:f>'Прогноз TOP10'!C5</x:f>
        <x:v>17633</x:v>
      </x:c>
      <x:c r="C35" s="8" t="n">
        <x:f>'Прогноз TOP10'!D5</x:f>
        <x:v>27371</x:v>
      </x:c>
      <x:c r="D35" s="8" t="n">
        <x:f>'Прогноз TOP10'!E5</x:f>
        <x:v>22502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 t="str">
        <x:f>'Прогноз TOP10'!A6</x:f>
        <x:v>165757798</x:v>
      </x:c>
      <x:c r="B36" s="8" t="n">
        <x:f>'Прогноз TOP10'!C6</x:f>
        <x:v>19446</x:v>
      </x:c>
      <x:c r="C36" s="8" t="n">
        <x:f>'Прогноз TOP10'!D6</x:f>
        <x:v>23689</x:v>
      </x:c>
      <x:c r="D36" s="8" t="n">
        <x:f>'Прогноз TOP10'!E6</x:f>
        <x:v>21568</x:v>
      </x:c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 t="str">
        <x:f>'Прогноз TOP10'!A7</x:f>
        <x:v>221519619</x:v>
      </x:c>
      <x:c r="B37" s="8" t="n">
        <x:f>'Прогноз TOP10'!C7</x:f>
        <x:v>15600</x:v>
      </x:c>
      <x:c r="C37" s="8" t="n">
        <x:f>'Прогноз TOP10'!D7</x:f>
        <x:v>22931</x:v>
      </x:c>
      <x:c r="D37" s="8" t="n">
        <x:f>'Прогноз TOP10'!E7</x:f>
        <x:v>19266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 t="str">
        <x:f>'Прогноз TOP10'!A8</x:f>
        <x:v>30926516</x:v>
      </x:c>
      <x:c r="B38" s="8" t="n">
        <x:f>'Прогноз TOP10'!C8</x:f>
        <x:v>16246</x:v>
      </x:c>
      <x:c r="C38" s="8" t="n">
        <x:f>'Прогноз TOP10'!D8</x:f>
        <x:v>25808</x:v>
      </x:c>
      <x:c r="D38" s="8" t="n">
        <x:f>'Прогноз TOP10'!E8</x:f>
        <x:v>21027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 t="str">
        <x:f>'Прогноз TOP10'!A9</x:f>
        <x:v>29360157</x:v>
      </x:c>
      <x:c r="B39" s="8" t="n">
        <x:f>'Прогноз TOP10'!C9</x:f>
        <x:v>16533</x:v>
      </x:c>
      <x:c r="C39" s="8" t="n">
        <x:f>'Прогноз TOP10'!D9</x:f>
        <x:v>20712</x:v>
      </x:c>
      <x:c r="D39" s="8" t="n">
        <x:f>'Прогноз TOP10'!E9</x:f>
        <x:v>18623</x:v>
      </x:c>
      <x:c r="E39" s="1"/>
      <x:c r="F39" s="1" t="str">
        <x:v>Остатки почти не меняются: проверить их дату перед закупкой.</x:v>
      </x:c>
      <x:c r="G39" s="1"/>
      <x:c r="H39" s="1"/>
      <x:c r="I39" s="1"/>
      <x:c r="J39" s="1"/>
      <x:c r="K39" s="1"/>
      <x:c r="L39" s="1"/>
      <x:c r="M39" s="1"/>
      <x:c r="N39" s="1"/>
    </x:row>
    <x:row r="40">
      <x:c r="A40" s="1" t="str">
        <x:f>'Прогноз TOP10'!A10</x:f>
        <x:v>221519598</x:v>
      </x:c>
      <x:c r="B40" s="8" t="n">
        <x:f>'Прогноз TOP10'!C10</x:f>
        <x:v>14634</x:v>
      </x:c>
      <x:c r="C40" s="8" t="n">
        <x:f>'Прогноз TOP10'!D10</x:f>
        <x:v>16719</x:v>
      </x:c>
      <x:c r="D40" s="8" t="n">
        <x:f>'Прогноз TOP10'!E10</x:f>
        <x:v>15677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 t="str">
        <x:f>'Прогноз TOP10'!A11</x:f>
        <x:v>323180742</x:v>
      </x:c>
      <x:c r="B41" s="8" t="n">
        <x:f>'Прогноз TOP10'!C11</x:f>
        <x:v>5109</x:v>
      </x:c>
      <x:c r="C41" s="8" t="n">
        <x:f>'Прогноз TOP10'!D11</x:f>
        <x:v>16706</x:v>
      </x:c>
      <x:c r="D41" s="8" t="n">
        <x:f>'Прогноз TOP10'!E11</x:f>
        <x:v>10908</x:v>
      </x:c>
      <x:c r="E41" s="1"/>
      <x:c r="F41" s="1" t="str">
        <x:v>План TOP20: пополнение, шт</x:v>
      </x:c>
      <x:c r="G41" s="1"/>
      <x:c r="H41" s="1"/>
      <x:c r="I41" s="1"/>
      <x:c r="J41" s="1"/>
      <x:c r="K41" s="1"/>
      <x:c r="L41" s="8" t="n">
        <x:f>'Запасы TOP20'!L26</x:f>
        <x:v>168862</x:v>
      </x:c>
      <x:c r="M41" s="1"/>
      <x:c r="N41" s="1"/>
    </x:row>
    <x:row r="42">
      <x:c r="A42" s="1" t="str">
        <x:f>'Прогноз TOP10'!A12</x:f>
        <x:v>314823259</x:v>
      </x:c>
      <x:c r="B42" s="8" t="n">
        <x:f>'Прогноз TOP10'!C12</x:f>
        <x:v>2096</x:v>
      </x:c>
      <x:c r="C42" s="8" t="n">
        <x:f>'Прогноз TOP10'!D12</x:f>
        <x:v>13695</x:v>
      </x:c>
      <x:c r="D42" s="8" t="n">
        <x:f>'Прогноз TOP10'!E12</x:f>
        <x:v>7896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 t="str">
        <x:f>'Прогноз TOP10'!A13</x:f>
        <x:v>15445452</x:v>
      </x:c>
      <x:c r="B43" s="8" t="n">
        <x:f>'Прогноз TOP10'!C13</x:f>
        <x:v>11265</x:v>
      </x:c>
      <x:c r="C43" s="8" t="n">
        <x:f>'Прогноз TOP10'!D13</x:f>
        <x:v>8706</x:v>
      </x:c>
      <x:c r="D43" s="8" t="n">
        <x:f>'Прогноз TOP10'!E13</x:f>
        <x:v>9986</x:v>
      </x:c>
      <x:c r="E43" s="1"/>
      <x:c r="F43" s="1" t="str">
        <x:v>Конверсия ниже половины общей: карточек</x:v>
      </x:c>
      <x:c r="G43" s="1"/>
      <x:c r="H43" s="1"/>
      <x:c r="I43" s="1"/>
      <x:c r="J43" s="1"/>
      <x:c r="K43" s="1"/>
      <x:c r="L43" s="1" t="n">
        <x:f>COUNTIFS('Ассортимент'!M5:M2477,"Да")</x:f>
        <x:v>592</x:v>
      </x:c>
      <x:c r="M43" s="1"/>
      <x:c r="N43" s="1"/>
    </x:row>
    <x:row r="44">
      <x:c r="A44" s="1" t="str">
        <x:f>'Прогноз TOP10'!A14</x:f>
        <x:v>35236713</x:v>
      </x:c>
      <x:c r="B44" s="8" t="n">
        <x:f>'Прогноз TOP10'!C14</x:f>
        <x:v>16187</x:v>
      </x:c>
      <x:c r="C44" s="8" t="n">
        <x:f>'Прогноз TOP10'!D14</x:f>
        <x:v>18868</x:v>
      </x:c>
      <x:c r="D44" s="8" t="n">
        <x:f>'Прогноз TOP10'!E14</x:f>
        <x:v>17528</x:v>
      </x:c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 t="str">
        <x:v>Высокий рейтинг и малая доля: карточек</x:v>
      </x:c>
      <x:c r="G45" s="1"/>
      <x:c r="H45" s="1"/>
      <x:c r="I45" s="1"/>
      <x:c r="J45" s="1"/>
      <x:c r="K45" s="1"/>
      <x:c r="L45" s="1" t="n">
        <x:f>COUNTIFS('Ассортимент'!N5:N2477,"Да")</x:f>
        <x:v>552</x:v>
      </x:c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32" customHeight="1">
      <x:c r="A48" s="20" t="str">
        <x:v>Правила и допущения</x:v>
      </x:c>
      <x:c r="B48" s="20" t="str">
        <x:v>Единицы</x:v>
      </x:c>
      <x:c r="C48" s="20" t="str">
        <x:v>Значение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 t="str">
        <x:v>Порог A</x:v>
      </x:c>
      <x:c r="B49" s="1" t="str">
        <x:v>доля</x:v>
      </x:c>
      <x:c r="C49" s="18" t="n">
        <x:v>0.8</x:v>
      </x:c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 t="str">
        <x:v>Порог B</x:v>
      </x:c>
      <x:c r="B50" s="1" t="str">
        <x:v>доля</x:v>
      </x:c>
      <x:c r="C50" s="18" t="n">
        <x:v>0.95</x:v>
      </x:c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 t="str">
        <x:v>Граница спроса X</x:v>
      </x:c>
      <x:c r="B51" s="1" t="str">
        <x:v>шт</x:v>
      </x:c>
      <x:c r="C51" s="17" t="n">
        <x:v>271.5</x:v>
      </x:c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 t="str">
        <x:v>Быстрый оборот</x:v>
      </x:c>
      <x:c r="B52" s="1" t="str">
        <x:v>заказы / остаток</x:v>
      </x:c>
      <x:c r="C52" s="17" t="n">
        <x:v>1</x:v>
      </x:c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 t="str">
        <x:v>Мин. трафик для оценки</x:v>
      </x:c>
      <x:c r="B53" s="1" t="str">
        <x:v>переходы</x:v>
      </x:c>
      <x:c r="C53" s="17" t="n">
        <x:v>1000</x:v>
      </x:c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 t="str">
        <x:v>Низкая конверсия</x:v>
      </x:c>
      <x:c r="B54" s="1" t="str">
        <x:v>доля от общей</x:v>
      </x:c>
      <x:c r="C54" s="18" t="n">
        <x:v>0.5</x:v>
      </x:c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 t="str">
        <x:v>Высокий рейтинг</x:v>
      </x:c>
      <x:c r="B55" s="1" t="str">
        <x:v>баллы</x:v>
      </x:c>
      <x:c r="C55" s="17" t="n">
        <x:v>9</x:v>
      </x:c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 t="str">
        <x:v>Малая доля выкупов</x:v>
      </x:c>
      <x:c r="B56" s="1" t="str">
        <x:v>доля</x:v>
      </x:c>
      <x:c r="C56" s="19" t="n">
        <x:v>0.001</x:v>
      </x:c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 t="str">
        <x:v>Буфер запаса</x:v>
      </x:c>
      <x:c r="B57" s="1" t="str">
        <x:v>доля</x:v>
      </x:c>
      <x:c r="C57" s="19" t="n">
        <x:v>0.2</x:v>
      </x:c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 t="str">
        <x:v>Длина апреля</x:v>
      </x:c>
      <x:c r="B58" s="1" t="str">
        <x:v>дни</x:v>
      </x:c>
      <x:c r="C58" s="17" t="n">
        <x:v>30</x:v>
      </x:c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 t="str">
        <x:v>XZ - рабочая матрица, не XYZ по вариативности. Оборот = заказы / конечный остаток, а не стандартная оборачиваемость.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pageMargins left="0.7" right="0.7" top="0.75" bottom="0.75" header="0.3" footer="0.3"/>
  <x:drawing xmlns:r="http://schemas.openxmlformats.org/officeDocument/2006/relationships" r:id="R63c7c48177db4f9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9" hidden="0" customWidth="1"/>
    <x:col min="3" max="3" width="23" hidden="0" customWidth="1"/>
    <x:col min="4" max="4" width="17" hidden="0" customWidth="1"/>
    <x:col min="5" max="5" width="17" hidden="0" customWidth="1"/>
    <x:col min="6" max="6" width="10" hidden="0" customWidth="1"/>
    <x:col min="7" max="7" width="18" hidden="0" customWidth="1"/>
    <x:col min="8" max="8" width="18" hidden="0" customWidth="1"/>
    <x:col min="9" max="9" width="21" hidden="0" customWidth="1"/>
    <x:col min="10" max="10" width="22" hidden="0" customWidth="1"/>
    <x:col min="11" max="11" width="15" hidden="0" customWidth="1"/>
    <x:col min="12" max="12" width="22" hidden="0" customWidth="1"/>
    <x:col min="13" max="13" width="23" hidden="0" customWidth="1"/>
    <x:col min="14" max="14" width="23" hidden="0" customWidth="1"/>
    <x:col min="15" max="15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ABC, XZ и эффективность карточек: апрель 2025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Строки отсортированы по выкупам при сборке. После изменения выручки обновите проект скриптом, чтобы пересчитать TOP и ABC.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40" customHeight="1">
      <x:c r="A4" s="7" t="str">
        <x:v>Артикул WB</x:v>
      </x:c>
      <x:c r="B4" s="7" t="str">
        <x:v>Артикул ЦМ</x:v>
      </x:c>
      <x:c r="C4" s="7" t="str">
        <x:v>Выкупы, ₽</x:v>
      </x:c>
      <x:c r="D4" s="7" t="str">
        <x:v>Доля выкупов</x:v>
      </x:c>
      <x:c r="E4" s="7" t="str">
        <x:v>Накопл. доля</x:v>
      </x:c>
      <x:c r="F4" s="7" t="str">
        <x:v>ABC</x:v>
      </x:c>
      <x:c r="G4" s="7" t="str">
        <x:v>Заказы, шт</x:v>
      </x:c>
      <x:c r="H4" s="7" t="str">
        <x:v>Остаток, шт</x:v>
      </x:c>
      <x:c r="I4" s="7" t="str">
        <x:v>Заказы / остаток</x:v>
      </x:c>
      <x:c r="J4" s="7" t="str">
        <x:v>Заказы / переходы</x:v>
      </x:c>
      <x:c r="K4" s="7" t="str">
        <x:v>Спрос X/Z</x:v>
      </x:c>
      <x:c r="L4" s="7" t="str">
        <x:v>Скорость оборота</x:v>
      </x:c>
      <x:c r="M4" s="7" t="str">
        <x:v>Низкая конверсия</x:v>
      </x:c>
      <x:c r="N4" s="7" t="str">
        <x:v>Кандидат маркетинг</x:v>
      </x:c>
      <x:c r="O4" s="7" t="str">
        <x:v>Удалён</x:v>
      </x:c>
    </x:row>
    <x:row r="5">
      <x:c r="A5" s="1" t="str">
        <x:f>'Данные'!A5</x:f>
        <x:v>165757789</x:v>
      </x:c>
      <x:c r="B5" s="1" t="str">
        <x:f>'Данные'!B5</x:f>
        <x:v>kulirkaman/черный</x:v>
      </x:c>
      <x:c r="C5" s="8" t="n">
        <x:f>'Данные'!G5</x:f>
        <x:v>16596780</x:v>
      </x:c>
      <x:c r="D5" s="15" t="n">
        <x:f>C5/SUM($C$5:$C$2477)</x:f>
        <x:v>0.01938875056089191</x:v>
      </x:c>
      <x:c r="E5" s="15" t="n">
        <x:f>SUM($D$5:D5)</x:f>
        <x:v>0.01938875056089191</x:v>
      </x:c>
      <x:c r="F5" s="1" t="str">
        <x:f>IF(C5&lt;=0,"C",IF(E5-D5&lt;'Дашборд'!$C$49,"A",IF(E5-D5&lt;'Дашборд'!$C$50,"B","C")))</x:f>
        <x:v>A</x:v>
      </x:c>
      <x:c r="G5" s="8" t="n">
        <x:f>'Данные'!F5</x:f>
        <x:v>27371</x:v>
      </x:c>
      <x:c r="H5" s="8" t="n">
        <x:f>SUM('Данные'!H5:I5)</x:f>
        <x:v>17655</x:v>
      </x:c>
      <x:c r="I5" s="16" t="n">
        <x:f>IF(H5&gt;0,G5/H5,"n.a.")</x:f>
        <x:v>1.550325686774285</x:v>
      </x:c>
      <x:c r="J5" s="10" t="n">
        <x:f>IF('Данные'!E5&gt;0,G5/'Данные'!E5,"n.a.")</x:f>
        <x:v>0.09431348699058967</x:v>
      </x:c>
      <x:c r="K5" s="1" t="str">
        <x:f>IF(G5&gt;='Дашборд'!$C$51,"X","Z")</x:f>
        <x:v>X</x:v>
      </x:c>
      <x:c r="L5" s="1" t="str">
        <x:f>IF(H5=0,IF(G5&gt;0,"Нет остатка","Нет спроса"),IF(I5&gt;='Дашборд'!$C$52,"Быстрый","Медленный"))</x:f>
        <x:v>Быстрый</x:v>
      </x:c>
      <x:c r="M5" s="1" t="str">
        <x:f>IF('Данные'!E5&lt;'Дашборд'!$C$53,"Мало трафика",IF(J5&lt;'Дашборд'!$C$9*'Дашборд'!$C$54,"Да","Нет"))</x:f>
        <x:v>Нет</x:v>
      </x:c>
      <x:c r="N5" s="1" t="str">
        <x:f>IF(AND('Данные'!D5&gt;='Дашборд'!$C$55,D5&lt;'Дашборд'!$C$56,'Данные'!E5&gt;='Дашборд'!$C$53,'Данные'!L5&lt;&gt;"Да"),"Да","Нет")</x:f>
        <x:v>Нет</x:v>
      </x:c>
      <x:c r="O5" s="1" t="str">
        <x:f>'Данные'!L5</x:f>
        <x:v>Нет</x:v>
      </x:c>
    </x:row>
    <x:row r="6">
      <x:c r="A6" s="1" t="str">
        <x:f>'Данные'!A6</x:f>
        <x:v>165757798</x:v>
      </x:c>
      <x:c r="B6" s="1" t="str">
        <x:f>'Данные'!B6</x:f>
        <x:v>kulirkaman/белый</x:v>
      </x:c>
      <x:c r="C6" s="8" t="n">
        <x:f>'Данные'!G6</x:f>
        <x:v>13873240</x:v>
      </x:c>
      <x:c r="D6" s="15" t="n">
        <x:f>C6/SUM($C$5:$C$2477)</x:f>
        <x:v>0.016207046778434618</x:v>
      </x:c>
      <x:c r="E6" s="15" t="n">
        <x:f>SUM($D$5:D6)</x:f>
        <x:v>0.035595797339326524</x:v>
      </x:c>
      <x:c r="F6" s="1" t="str">
        <x:f>IF(C6&lt;=0,"C",IF(E6-D6&lt;'Дашборд'!$C$49,"A",IF(E6-D6&lt;'Дашборд'!$C$50,"B","C")))</x:f>
        <x:v>A</x:v>
      </x:c>
      <x:c r="G6" s="8" t="n">
        <x:f>'Данные'!F6</x:f>
        <x:v>23689</x:v>
      </x:c>
      <x:c r="H6" s="8" t="n">
        <x:f>SUM('Данные'!H6:I6)</x:f>
        <x:v>6345</x:v>
      </x:c>
      <x:c r="I6" s="16" t="n">
        <x:f>IF(H6&gt;0,G6/H6,"n.a.")</x:f>
        <x:v>3.733490937746257</x:v>
      </x:c>
      <x:c r="J6" s="10" t="n">
        <x:f>IF('Данные'!E6&gt;0,G6/'Данные'!E6,"n.a.")</x:f>
        <x:v>0.10845419917225213</x:v>
      </x:c>
      <x:c r="K6" s="1" t="str">
        <x:f>IF(G6&gt;='Дашборд'!$C$51,"X","Z")</x:f>
        <x:v>X</x:v>
      </x:c>
      <x:c r="L6" s="1" t="str">
        <x:f>IF(H6=0,IF(G6&gt;0,"Нет остатка","Нет спроса"),IF(I6&gt;='Дашборд'!$C$52,"Быстрый","Медленный"))</x:f>
        <x:v>Быстрый</x:v>
      </x:c>
      <x:c r="M6" s="1" t="str">
        <x:f>IF('Данные'!E6&lt;'Дашборд'!$C$53,"Мало трафика",IF(J6&lt;'Дашборд'!$C$9*'Дашборд'!$C$54,"Да","Нет"))</x:f>
        <x:v>Нет</x:v>
      </x:c>
      <x:c r="N6" s="1" t="str">
        <x:f>IF(AND('Данные'!D6&gt;='Дашборд'!$C$55,D6&lt;'Дашборд'!$C$56,'Данные'!E6&gt;='Дашборд'!$C$53,'Данные'!L6&lt;&gt;"Да"),"Да","Нет")</x:f>
        <x:v>Нет</x:v>
      </x:c>
      <x:c r="O6" s="1" t="str">
        <x:f>'Данные'!L6</x:f>
        <x:v>Нет</x:v>
      </x:c>
    </x:row>
    <x:row r="7">
      <x:c r="A7" s="1" t="str">
        <x:f>'Данные'!A7</x:f>
        <x:v>221519619</x:v>
      </x:c>
      <x:c r="B7" s="1" t="str">
        <x:f>'Данные'!B7</x:f>
        <x:v>futbolkaover/розовый</x:v>
      </x:c>
      <x:c r="C7" s="8" t="n">
        <x:f>'Данные'!G7</x:f>
        <x:v>13477107</x:v>
      </x:c>
      <x:c r="D7" s="15" t="n">
        <x:f>C7/SUM($C$5:$C$2477)</x:f>
        <x:v>0.015744274847618048</x:v>
      </x:c>
      <x:c r="E7" s="15" t="n">
        <x:f>SUM($D$5:D7)</x:f>
        <x:v>0.05134007218694457</x:v>
      </x:c>
      <x:c r="F7" s="1" t="str">
        <x:f>IF(C7&lt;=0,"C",IF(E7-D7&lt;'Дашборд'!$C$49,"A",IF(E7-D7&lt;'Дашборд'!$C$50,"B","C")))</x:f>
        <x:v>A</x:v>
      </x:c>
      <x:c r="G7" s="8" t="n">
        <x:f>'Данные'!F7</x:f>
        <x:v>22931</x:v>
      </x:c>
      <x:c r="H7" s="8" t="n">
        <x:f>SUM('Данные'!H7:I7)</x:f>
        <x:v>6417</x:v>
      </x:c>
      <x:c r="I7" s="16" t="n">
        <x:f>IF(H7&gt;0,G7/H7,"n.a.")</x:f>
        <x:v>3.5734767025089607</x:v>
      </x:c>
      <x:c r="J7" s="10" t="n">
        <x:f>IF('Данные'!E7&gt;0,G7/'Данные'!E7,"n.a.")</x:f>
        <x:v>0.03503231907505267</x:v>
      </x:c>
      <x:c r="K7" s="1" t="str">
        <x:f>IF(G7&gt;='Дашборд'!$C$51,"X","Z")</x:f>
        <x:v>X</x:v>
      </x:c>
      <x:c r="L7" s="1" t="str">
        <x:f>IF(H7=0,IF(G7&gt;0,"Нет остатка","Нет спроса"),IF(I7&gt;='Дашборд'!$C$52,"Быстрый","Медленный"))</x:f>
        <x:v>Быстрый</x:v>
      </x:c>
      <x:c r="M7" s="1" t="str">
        <x:f>IF('Данные'!E7&lt;'Дашборд'!$C$53,"Мало трафика",IF(J7&lt;'Дашборд'!$C$9*'Дашборд'!$C$54,"Да","Нет"))</x:f>
        <x:v>Нет</x:v>
      </x:c>
      <x:c r="N7" s="1" t="str">
        <x:f>IF(AND('Данные'!D7&gt;='Дашборд'!$C$55,D7&lt;'Дашборд'!$C$56,'Данные'!E7&gt;='Дашборд'!$C$53,'Данные'!L7&lt;&gt;"Да"),"Да","Нет")</x:f>
        <x:v>Нет</x:v>
      </x:c>
      <x:c r="O7" s="1" t="str">
        <x:f>'Данные'!L7</x:f>
        <x:v>Нет</x:v>
      </x:c>
    </x:row>
    <x:row r="8">
      <x:c r="A8" s="1" t="str">
        <x:f>'Данные'!A8</x:f>
        <x:v>30926516</x:v>
      </x:c>
      <x:c r="B8" s="1" t="str">
        <x:f>'Данные'!B8</x:f>
        <x:v>futbolkaover/черный</x:v>
      </x:c>
      <x:c r="C8" s="8" t="n">
        <x:f>'Данные'!G8</x:f>
        <x:v>12719821</x:v>
      </x:c>
      <x:c r="D8" s="15" t="n">
        <x:f>C8/SUM($C$5:$C$2477)</x:f>
        <x:v>0.014859595448526443</x:v>
      </x:c>
      <x:c r="E8" s="15" t="n">
        <x:f>SUM($D$5:D8)</x:f>
        <x:v>0.06619966763547101</x:v>
      </x:c>
      <x:c r="F8" s="1" t="str">
        <x:f>IF(C8&lt;=0,"C",IF(E8-D8&lt;'Дашборд'!$C$49,"A",IF(E8-D8&lt;'Дашборд'!$C$50,"B","C")))</x:f>
        <x:v>A</x:v>
      </x:c>
      <x:c r="G8" s="8" t="n">
        <x:f>'Данные'!F8</x:f>
        <x:v>25808</x:v>
      </x:c>
      <x:c r="H8" s="8" t="n">
        <x:f>SUM('Данные'!H8:I8)</x:f>
        <x:v>11587</x:v>
      </x:c>
      <x:c r="I8" s="16" t="n">
        <x:f>IF(H8&gt;0,G8/H8,"n.a.")</x:f>
        <x:v>2.2273237248640716</x:v>
      </x:c>
      <x:c r="J8" s="10" t="n">
        <x:f>IF('Данные'!E8&gt;0,G8/'Данные'!E8,"n.a.")</x:f>
        <x:v>0.06151880509351297</x:v>
      </x:c>
      <x:c r="K8" s="1" t="str">
        <x:f>IF(G8&gt;='Дашборд'!$C$51,"X","Z")</x:f>
        <x:v>X</x:v>
      </x:c>
      <x:c r="L8" s="1" t="str">
        <x:f>IF(H8=0,IF(G8&gt;0,"Нет остатка","Нет спроса"),IF(I8&gt;='Дашборд'!$C$52,"Быстрый","Медленный"))</x:f>
        <x:v>Быстрый</x:v>
      </x:c>
      <x:c r="M8" s="1" t="str">
        <x:f>IF('Данные'!E8&lt;'Дашборд'!$C$53,"Мало трафика",IF(J8&lt;'Дашборд'!$C$9*'Дашборд'!$C$54,"Да","Нет"))</x:f>
        <x:v>Нет</x:v>
      </x:c>
      <x:c r="N8" s="1" t="str">
        <x:f>IF(AND('Данные'!D8&gt;='Дашборд'!$C$55,D8&lt;'Дашборд'!$C$56,'Данные'!E8&gt;='Дашборд'!$C$53,'Данные'!L8&lt;&gt;"Да"),"Да","Нет")</x:f>
        <x:v>Нет</x:v>
      </x:c>
      <x:c r="O8" s="1" t="str">
        <x:f>'Данные'!L8</x:f>
        <x:v>Нет</x:v>
      </x:c>
    </x:row>
    <x:row r="9">
      <x:c r="A9" s="1" t="str">
        <x:f>'Данные'!A9</x:f>
        <x:v>29360157</x:v>
      </x:c>
      <x:c r="B9" s="1" t="str">
        <x:f>'Данные'!B9</x:f>
        <x:v>futbolkaover/белый</x:v>
      </x:c>
      <x:c r="C9" s="8" t="n">
        <x:f>'Данные'!G9</x:f>
        <x:v>11016644</x:v>
      </x:c>
      <x:c r="D9" s="15" t="n">
        <x:f>C9/SUM($C$5:$C$2477)</x:f>
        <x:v>0.012869903832800489</x:v>
      </x:c>
      <x:c r="E9" s="15" t="n">
        <x:f>SUM($D$5:D9)</x:f>
        <x:v>0.0790695714682715</x:v>
      </x:c>
      <x:c r="F9" s="1" t="str">
        <x:f>IF(C9&lt;=0,"C",IF(E9-D9&lt;'Дашборд'!$C$49,"A",IF(E9-D9&lt;'Дашборд'!$C$50,"B","C")))</x:f>
        <x:v>A</x:v>
      </x:c>
      <x:c r="G9" s="8" t="n">
        <x:f>'Данные'!F9</x:f>
        <x:v>20712</x:v>
      </x:c>
      <x:c r="H9" s="8" t="n">
        <x:f>SUM('Данные'!H9:I9)</x:f>
        <x:v>3025</x:v>
      </x:c>
      <x:c r="I9" s="16" t="n">
        <x:f>IF(H9&gt;0,G9/H9,"n.a.")</x:f>
        <x:v>6.846942148760331</x:v>
      </x:c>
      <x:c r="J9" s="10" t="n">
        <x:f>IF('Данные'!E9&gt;0,G9/'Данные'!E9,"n.a.")</x:f>
        <x:v>0.07404203293855212</x:v>
      </x:c>
      <x:c r="K9" s="1" t="str">
        <x:f>IF(G9&gt;='Дашборд'!$C$51,"X","Z")</x:f>
        <x:v>X</x:v>
      </x:c>
      <x:c r="L9" s="1" t="str">
        <x:f>IF(H9=0,IF(G9&gt;0,"Нет остатка","Нет спроса"),IF(I9&gt;='Дашборд'!$C$52,"Быстрый","Медленный"))</x:f>
        <x:v>Быстрый</x:v>
      </x:c>
      <x:c r="M9" s="1" t="str">
        <x:f>IF('Данные'!E9&lt;'Дашборд'!$C$53,"Мало трафика",IF(J9&lt;'Дашборд'!$C$9*'Дашборд'!$C$54,"Да","Нет"))</x:f>
        <x:v>Нет</x:v>
      </x:c>
      <x:c r="N9" s="1" t="str">
        <x:f>IF(AND('Данные'!D9&gt;='Дашборд'!$C$55,D9&lt;'Дашборд'!$C$56,'Данные'!E9&gt;='Дашборд'!$C$53,'Данные'!L9&lt;&gt;"Да"),"Да","Нет")</x:f>
        <x:v>Нет</x:v>
      </x:c>
      <x:c r="O9" s="1" t="str">
        <x:f>'Данные'!L9</x:f>
        <x:v>Нет</x:v>
      </x:c>
    </x:row>
    <x:row r="10">
      <x:c r="A10" s="1" t="str">
        <x:f>'Данные'!A10</x:f>
        <x:v>221519598</x:v>
      </x:c>
      <x:c r="B10" s="1" t="str">
        <x:f>'Данные'!B10</x:f>
        <x:v>longover/розовый</x:v>
      </x:c>
      <x:c r="C10" s="8" t="n">
        <x:f>'Данные'!G10</x:f>
        <x:v>10113899</x:v>
      </x:c>
      <x:c r="D10" s="15" t="n">
        <x:f>C10/SUM($C$5:$C$2477)</x:f>
        <x:v>0.011815295792861875</x:v>
      </x:c>
      <x:c r="E10" s="15" t="n">
        <x:f>SUM($D$5:D10)</x:f>
        <x:v>0.09088486726113337</x:v>
      </x:c>
      <x:c r="F10" s="1" t="str">
        <x:f>IF(C10&lt;=0,"C",IF(E10-D10&lt;'Дашборд'!$C$49,"A",IF(E10-D10&lt;'Дашборд'!$C$50,"B","C")))</x:f>
        <x:v>A</x:v>
      </x:c>
      <x:c r="G10" s="8" t="n">
        <x:f>'Данные'!F10</x:f>
        <x:v>16719</x:v>
      </x:c>
      <x:c r="H10" s="8" t="n">
        <x:f>SUM('Данные'!H10:I10)</x:f>
        <x:v>6528</x:v>
      </x:c>
      <x:c r="I10" s="16" t="n">
        <x:f>IF(H10&gt;0,G10/H10,"n.a.")</x:f>
        <x:v>2.5611213235294117</x:v>
      </x:c>
      <x:c r="J10" s="10" t="n">
        <x:f>IF('Данные'!E10&gt;0,G10/'Данные'!E10,"n.a.")</x:f>
        <x:v>0.028782291634387943</x:v>
      </x:c>
      <x:c r="K10" s="1" t="str">
        <x:f>IF(G10&gt;='Дашборд'!$C$51,"X","Z")</x:f>
        <x:v>X</x:v>
      </x:c>
      <x:c r="L10" s="1" t="str">
        <x:f>IF(H10=0,IF(G10&gt;0,"Нет остатка","Нет спроса"),IF(I10&gt;='Дашборд'!$C$52,"Быстрый","Медленный"))</x:f>
        <x:v>Быстрый</x:v>
      </x:c>
      <x:c r="M10" s="1" t="str">
        <x:f>IF('Данные'!E10&lt;'Дашборд'!$C$53,"Мало трафика",IF(J10&lt;'Дашборд'!$C$9*'Дашборд'!$C$54,"Да","Нет"))</x:f>
        <x:v>Нет</x:v>
      </x:c>
      <x:c r="N10" s="1" t="str">
        <x:f>IF(AND('Данные'!D10&gt;='Дашборд'!$C$55,D10&lt;'Дашборд'!$C$56,'Данные'!E10&gt;='Дашборд'!$C$53,'Данные'!L10&lt;&gt;"Да"),"Да","Нет")</x:f>
        <x:v>Нет</x:v>
      </x:c>
      <x:c r="O10" s="1" t="str">
        <x:f>'Данные'!L10</x:f>
        <x:v>Нет</x:v>
      </x:c>
    </x:row>
    <x:row r="11">
      <x:c r="A11" s="1" t="str">
        <x:f>'Данные'!A11</x:f>
        <x:v>323180742</x:v>
      </x:c>
      <x:c r="B11" s="1" t="str">
        <x:f>'Данные'!B11</x:f>
        <x:v>futskims3K-102/черный</x:v>
      </x:c>
      <x:c r="C11" s="8" t="n">
        <x:f>'Данные'!G11</x:f>
        <x:v>9594388</x:v>
      </x:c>
      <x:c r="D11" s="15" t="n">
        <x:f>C11/SUM($C$5:$C$2477)</x:f>
        <x:v>0.011208390767149688</x:v>
      </x:c>
      <x:c r="E11" s="15" t="n">
        <x:f>SUM($D$5:D11)</x:f>
        <x:v>0.10209325802828306</x:v>
      </x:c>
      <x:c r="F11" s="1" t="str">
        <x:f>IF(C11&lt;=0,"C",IF(E11-D11&lt;'Дашборд'!$C$49,"A",IF(E11-D11&lt;'Дашборд'!$C$50,"B","C")))</x:f>
        <x:v>A</x:v>
      </x:c>
      <x:c r="G11" s="8" t="n">
        <x:f>'Данные'!F11</x:f>
        <x:v>16706</x:v>
      </x:c>
      <x:c r="H11" s="8" t="n">
        <x:f>SUM('Данные'!H11:I11)</x:f>
        <x:v>10840</x:v>
      </x:c>
      <x:c r="I11" s="16" t="n">
        <x:f>IF(H11&gt;0,G11/H11,"n.a.")</x:f>
        <x:v>1.5411439114391143</x:v>
      </x:c>
      <x:c r="J11" s="10" t="n">
        <x:f>IF('Данные'!E11&gt;0,G11/'Данные'!E11,"n.a.")</x:f>
        <x:v>0.034943942436412315</x:v>
      </x:c>
      <x:c r="K11" s="1" t="str">
        <x:f>IF(G11&gt;='Дашборд'!$C$51,"X","Z")</x:f>
        <x:v>X</x:v>
      </x:c>
      <x:c r="L11" s="1" t="str">
        <x:f>IF(H11=0,IF(G11&gt;0,"Нет остатка","Нет спроса"),IF(I11&gt;='Дашборд'!$C$52,"Быстрый","Медленный"))</x:f>
        <x:v>Быстрый</x:v>
      </x:c>
      <x:c r="M11" s="1" t="str">
        <x:f>IF('Данные'!E11&lt;'Дашборд'!$C$53,"Мало трафика",IF(J11&lt;'Дашборд'!$C$9*'Дашборд'!$C$54,"Да","Нет"))</x:f>
        <x:v>Нет</x:v>
      </x:c>
      <x:c r="N11" s="1" t="str">
        <x:f>IF(AND('Данные'!D11&gt;='Дашборд'!$C$55,D11&lt;'Дашборд'!$C$56,'Данные'!E11&gt;='Дашборд'!$C$53,'Данные'!L11&lt;&gt;"Да"),"Да","Нет")</x:f>
        <x:v>Нет</x:v>
      </x:c>
      <x:c r="O11" s="1" t="str">
        <x:f>'Данные'!L11</x:f>
        <x:v>Нет</x:v>
      </x:c>
    </x:row>
    <x:row r="12">
      <x:c r="A12" s="1" t="str">
        <x:f>'Данные'!A12</x:f>
        <x:v>314823259</x:v>
      </x:c>
      <x:c r="B12" s="1" t="str">
        <x:f>'Данные'!B12</x:f>
        <x:v>futbolkaprint/27в-259/бордовый</x:v>
      </x:c>
      <x:c r="C12" s="8" t="n">
        <x:f>'Данные'!G12</x:f>
        <x:v>8995154</x:v>
      </x:c>
      <x:c r="D12" s="15" t="n">
        <x:f>C12/SUM($C$5:$C$2477)</x:f>
        <x:v>0.010508351449064765</x:v>
      </x:c>
      <x:c r="E12" s="15" t="n">
        <x:f>SUM($D$5:D12)</x:f>
        <x:v>0.11260160947734783</x:v>
      </x:c>
      <x:c r="F12" s="1" t="str">
        <x:f>IF(C12&lt;=0,"C",IF(E12-D12&lt;'Дашборд'!$C$49,"A",IF(E12-D12&lt;'Дашборд'!$C$50,"B","C")))</x:f>
        <x:v>A</x:v>
      </x:c>
      <x:c r="G12" s="8" t="n">
        <x:f>'Данные'!F12</x:f>
        <x:v>13695</x:v>
      </x:c>
      <x:c r="H12" s="8" t="n">
        <x:f>SUM('Данные'!H12:I12)</x:f>
        <x:v>3269</x:v>
      </x:c>
      <x:c r="I12" s="16" t="n">
        <x:f>IF(H12&gt;0,G12/H12,"n.a.")</x:f>
        <x:v>4.1893545426736</x:v>
      </x:c>
      <x:c r="J12" s="10" t="n">
        <x:f>IF('Данные'!E12&gt;0,G12/'Данные'!E12,"n.a.")</x:f>
        <x:v>0.02514809741192198</x:v>
      </x:c>
      <x:c r="K12" s="1" t="str">
        <x:f>IF(G12&gt;='Дашборд'!$C$51,"X","Z")</x:f>
        <x:v>X</x:v>
      </x:c>
      <x:c r="L12" s="1" t="str">
        <x:f>IF(H12=0,IF(G12&gt;0,"Нет остатка","Нет спроса"),IF(I12&gt;='Дашборд'!$C$52,"Быстрый","Медленный"))</x:f>
        <x:v>Быстрый</x:v>
      </x:c>
      <x:c r="M12" s="1" t="str">
        <x:f>IF('Данные'!E12&lt;'Дашборд'!$C$53,"Мало трафика",IF(J12&lt;'Дашборд'!$C$9*'Дашборд'!$C$54,"Да","Нет"))</x:f>
        <x:v>Нет</x:v>
      </x:c>
      <x:c r="N12" s="1" t="str">
        <x:f>IF(AND('Данные'!D12&gt;='Дашборд'!$C$55,D12&lt;'Дашборд'!$C$56,'Данные'!E12&gt;='Дашборд'!$C$53,'Данные'!L12&lt;&gt;"Да"),"Да","Нет")</x:f>
        <x:v>Нет</x:v>
      </x:c>
      <x:c r="O12" s="1" t="str">
        <x:f>'Данные'!L12</x:f>
        <x:v>Нет</x:v>
      </x:c>
    </x:row>
    <x:row r="13">
      <x:c r="A13" s="1" t="str">
        <x:f>'Данные'!A13</x:f>
        <x:v>15445452</x:v>
      </x:c>
      <x:c r="B13" s="1" t="str">
        <x:f>'Данные'!B13</x:f>
        <x:v>hudi/черный</x:v>
      </x:c>
      <x:c r="C13" s="8" t="n">
        <x:f>'Данные'!G13</x:f>
        <x:v>8984765</x:v>
      </x:c>
      <x:c r="D13" s="15" t="n">
        <x:f>C13/SUM($C$5:$C$2477)</x:f>
        <x:v>0.010496214773783348</x:v>
      </x:c>
      <x:c r="E13" s="15" t="n">
        <x:f>SUM($D$5:D13)</x:f>
        <x:v>0.12309782425113118</x:v>
      </x:c>
      <x:c r="F13" s="1" t="str">
        <x:f>IF(C13&lt;=0,"C",IF(E13-D13&lt;'Дашборд'!$C$49,"A",IF(E13-D13&lt;'Дашборд'!$C$50,"B","C")))</x:f>
        <x:v>A</x:v>
      </x:c>
      <x:c r="G13" s="8" t="n">
        <x:f>'Данные'!F13</x:f>
        <x:v>8706</x:v>
      </x:c>
      <x:c r="H13" s="8" t="n">
        <x:f>SUM('Данные'!H13:I13)</x:f>
        <x:v>914</x:v>
      </x:c>
      <x:c r="I13" s="16" t="n">
        <x:f>IF(H13&gt;0,G13/H13,"n.a.")</x:f>
        <x:v>9.525164113785557</x:v>
      </x:c>
      <x:c r="J13" s="10" t="n">
        <x:f>IF('Данные'!E13&gt;0,G13/'Данные'!E13,"n.a.")</x:f>
        <x:v>0.027161264156241226</x:v>
      </x:c>
      <x:c r="K13" s="1" t="str">
        <x:f>IF(G13&gt;='Дашборд'!$C$51,"X","Z")</x:f>
        <x:v>X</x:v>
      </x:c>
      <x:c r="L13" s="1" t="str">
        <x:f>IF(H13=0,IF(G13&gt;0,"Нет остатка","Нет спроса"),IF(I13&gt;='Дашборд'!$C$52,"Быстрый","Медленный"))</x:f>
        <x:v>Быстрый</x:v>
      </x:c>
      <x:c r="M13" s="1" t="str">
        <x:f>IF('Данные'!E13&lt;'Дашборд'!$C$53,"Мало трафика",IF(J13&lt;'Дашборд'!$C$9*'Дашборд'!$C$54,"Да","Нет"))</x:f>
        <x:v>Нет</x:v>
      </x:c>
      <x:c r="N13" s="1" t="str">
        <x:f>IF(AND('Данные'!D13&gt;='Дашборд'!$C$55,D13&lt;'Дашборд'!$C$56,'Данные'!E13&gt;='Дашборд'!$C$53,'Данные'!L13&lt;&gt;"Да"),"Да","Нет")</x:f>
        <x:v>Нет</x:v>
      </x:c>
      <x:c r="O13" s="1" t="str">
        <x:f>'Данные'!L13</x:f>
        <x:v>Нет</x:v>
      </x:c>
    </x:row>
    <x:row r="14">
      <x:c r="A14" s="1" t="str">
        <x:f>'Данные'!A14</x:f>
        <x:v>35236713</x:v>
      </x:c>
      <x:c r="B14" s="1" t="str">
        <x:f>'Данные'!B14</x:f>
        <x:v>futbolkaover/молочный</x:v>
      </x:c>
      <x:c r="C14" s="8" t="n">
        <x:f>'Данные'!G14</x:f>
        <x:v>8885363</x:v>
      </x:c>
      <x:c r="D14" s="15" t="n">
        <x:f>C14/SUM($C$5:$C$2477)</x:f>
        <x:v>0.010380091008616022</x:v>
      </x:c>
      <x:c r="E14" s="15" t="n">
        <x:f>SUM($D$5:D14)</x:f>
        <x:v>0.1334779152597472</x:v>
      </x:c>
      <x:c r="F14" s="1" t="str">
        <x:f>IF(C14&lt;=0,"C",IF(E14-D14&lt;'Дашборд'!$C$49,"A",IF(E14-D14&lt;'Дашборд'!$C$50,"B","C")))</x:f>
        <x:v>A</x:v>
      </x:c>
      <x:c r="G14" s="8" t="n">
        <x:f>'Данные'!F14</x:f>
        <x:v>18868</x:v>
      </x:c>
      <x:c r="H14" s="8" t="n">
        <x:f>SUM('Данные'!H14:I14)</x:f>
        <x:v>8859</x:v>
      </x:c>
      <x:c r="I14" s="16" t="n">
        <x:f>IF(H14&gt;0,G14/H14,"n.a.")</x:f>
        <x:v>2.1298114911389545</x:v>
      </x:c>
      <x:c r="J14" s="10" t="n">
        <x:f>IF('Данные'!E14&gt;0,G14/'Данные'!E14,"n.a.")</x:f>
        <x:v>0.053788852810459004</x:v>
      </x:c>
      <x:c r="K14" s="1" t="str">
        <x:f>IF(G14&gt;='Дашборд'!$C$51,"X","Z")</x:f>
        <x:v>X</x:v>
      </x:c>
      <x:c r="L14" s="1" t="str">
        <x:f>IF(H14=0,IF(G14&gt;0,"Нет остатка","Нет спроса"),IF(I14&gt;='Дашборд'!$C$52,"Быстрый","Медленный"))</x:f>
        <x:v>Быстрый</x:v>
      </x:c>
      <x:c r="M14" s="1" t="str">
        <x:f>IF('Данные'!E14&lt;'Дашборд'!$C$53,"Мало трафика",IF(J14&lt;'Дашборд'!$C$9*'Дашборд'!$C$54,"Да","Нет"))</x:f>
        <x:v>Нет</x:v>
      </x:c>
      <x:c r="N14" s="1" t="str">
        <x:f>IF(AND('Данные'!D14&gt;='Дашборд'!$C$55,D14&lt;'Дашборд'!$C$56,'Данные'!E14&gt;='Дашборд'!$C$53,'Данные'!L14&lt;&gt;"Да"),"Да","Нет")</x:f>
        <x:v>Нет</x:v>
      </x:c>
      <x:c r="O14" s="1" t="str">
        <x:f>'Данные'!L14</x:f>
        <x:v>Нет</x:v>
      </x:c>
    </x:row>
    <x:row r="15">
      <x:c r="A15" s="1" t="str">
        <x:f>'Данные'!A15</x:f>
        <x:v>18985539</x:v>
      </x:c>
      <x:c r="B15" s="1" t="str">
        <x:f>'Данные'!B15</x:f>
        <x:v>hudi/молочный</x:v>
      </x:c>
      <x:c r="C15" s="8" t="n">
        <x:f>'Данные'!G15</x:f>
        <x:v>8051651</x:v>
      </x:c>
      <x:c r="D15" s="15" t="n">
        <x:f>C15/SUM($C$5:$C$2477)</x:f>
        <x:v>0.009406128950456408</x:v>
      </x:c>
      <x:c r="E15" s="15" t="n">
        <x:f>SUM($D$5:D15)</x:f>
        <x:v>0.14288404421020362</x:v>
      </x:c>
      <x:c r="F15" s="1" t="str">
        <x:f>IF(C15&lt;=0,"C",IF(E15-D15&lt;'Дашборд'!$C$49,"A",IF(E15-D15&lt;'Дашборд'!$C$50,"B","C")))</x:f>
        <x:v>A</x:v>
      </x:c>
      <x:c r="G15" s="8" t="n">
        <x:f>'Данные'!F15</x:f>
        <x:v>8318</x:v>
      </x:c>
      <x:c r="H15" s="8" t="n">
        <x:f>SUM('Данные'!H15:I15)</x:f>
        <x:v>8216</x:v>
      </x:c>
      <x:c r="I15" s="16" t="n">
        <x:f>IF(H15&gt;0,G15/H15,"n.a.")</x:f>
        <x:v>1.012414800389484</x:v>
      </x:c>
      <x:c r="J15" s="10" t="n">
        <x:f>IF('Данные'!E15&gt;0,G15/'Данные'!E15,"n.a.")</x:f>
        <x:v>0.02698467797138028</x:v>
      </x:c>
      <x:c r="K15" s="1" t="str">
        <x:f>IF(G15&gt;='Дашборд'!$C$51,"X","Z")</x:f>
        <x:v>X</x:v>
      </x:c>
      <x:c r="L15" s="1" t="str">
        <x:f>IF(H15=0,IF(G15&gt;0,"Нет остатка","Нет спроса"),IF(I15&gt;='Дашборд'!$C$52,"Быстрый","Медленный"))</x:f>
        <x:v>Быстрый</x:v>
      </x:c>
      <x:c r="M15" s="1" t="str">
        <x:f>IF('Данные'!E15&lt;'Дашборд'!$C$53,"Мало трафика",IF(J15&lt;'Дашборд'!$C$9*'Дашборд'!$C$54,"Да","Нет"))</x:f>
        <x:v>Нет</x:v>
      </x:c>
      <x:c r="N15" s="1" t="str">
        <x:f>IF(AND('Данные'!D15&gt;='Дашборд'!$C$55,D15&lt;'Дашборд'!$C$56,'Данные'!E15&gt;='Дашборд'!$C$53,'Данные'!L15&lt;&gt;"Да"),"Да","Нет")</x:f>
        <x:v>Нет</x:v>
      </x:c>
      <x:c r="O15" s="1" t="str">
        <x:f>'Данные'!L15</x:f>
        <x:v>Нет</x:v>
      </x:c>
    </x:row>
    <x:row r="16">
      <x:c r="A16" s="1" t="str">
        <x:f>'Данные'!A16</x:f>
        <x:v>31156679</x:v>
      </x:c>
      <x:c r="B16" s="1" t="str">
        <x:f>'Данные'!B16</x:f>
        <x:v>futbolkaover/какао</x:v>
      </x:c>
      <x:c r="C16" s="8" t="n">
        <x:f>'Данные'!G16</x:f>
        <x:v>7104990</x:v>
      </x:c>
      <x:c r="D16" s="15" t="n">
        <x:f>C16/SUM($C$5:$C$2477)</x:f>
        <x:v>0.00830021720162775</x:v>
      </x:c>
      <x:c r="E16" s="15" t="n">
        <x:f>SUM($D$5:D16)</x:f>
        <x:v>0.15118426141183136</x:v>
      </x:c>
      <x:c r="F16" s="1" t="str">
        <x:f>IF(C16&lt;=0,"C",IF(E16-D16&lt;'Дашборд'!$C$49,"A",IF(E16-D16&lt;'Дашборд'!$C$50,"B","C")))</x:f>
        <x:v>A</x:v>
      </x:c>
      <x:c r="G16" s="8" t="n">
        <x:f>'Данные'!F16</x:f>
        <x:v>15277</x:v>
      </x:c>
      <x:c r="H16" s="8" t="n">
        <x:f>SUM('Данные'!H16:I16)</x:f>
        <x:v>10604</x:v>
      </x:c>
      <x:c r="I16" s="16" t="n">
        <x:f>IF(H16&gt;0,G16/H16,"n.a.")</x:f>
        <x:v>1.4406827612221804</x:v>
      </x:c>
      <x:c r="J16" s="10" t="n">
        <x:f>IF('Данные'!E16&gt;0,G16/'Данные'!E16,"n.a.")</x:f>
        <x:v>0.031534209363866424</x:v>
      </x:c>
      <x:c r="K16" s="1" t="str">
        <x:f>IF(G16&gt;='Дашборд'!$C$51,"X","Z")</x:f>
        <x:v>X</x:v>
      </x:c>
      <x:c r="L16" s="1" t="str">
        <x:f>IF(H16=0,IF(G16&gt;0,"Нет остатка","Нет спроса"),IF(I16&gt;='Дашборд'!$C$52,"Быстрый","Медленный"))</x:f>
        <x:v>Быстрый</x:v>
      </x:c>
      <x:c r="M16" s="1" t="str">
        <x:f>IF('Данные'!E16&lt;'Дашборд'!$C$53,"Мало трафика",IF(J16&lt;'Дашборд'!$C$9*'Дашборд'!$C$54,"Да","Нет"))</x:f>
        <x:v>Нет</x:v>
      </x:c>
      <x:c r="N16" s="1" t="str">
        <x:f>IF(AND('Данные'!D16&gt;='Дашборд'!$C$55,D16&lt;'Дашборд'!$C$56,'Данные'!E16&gt;='Дашборд'!$C$53,'Данные'!L16&lt;&gt;"Да"),"Да","Нет")</x:f>
        <x:v>Нет</x:v>
      </x:c>
      <x:c r="O16" s="1" t="str">
        <x:f>'Данные'!L16</x:f>
        <x:v>Нет</x:v>
      </x:c>
    </x:row>
    <x:row r="17">
      <x:c r="A17" s="1" t="str">
        <x:f>'Данные'!A17</x:f>
        <x:v>79576331</x:v>
      </x:c>
      <x:c r="B17" s="1" t="str">
        <x:f>'Данные'!B17</x:f>
        <x:v>futbolkaover/бордовый</x:v>
      </x:c>
      <x:c r="C17" s="8" t="n">
        <x:f>'Данные'!G17</x:f>
        <x:v>7081954</x:v>
      </x:c>
      <x:c r="D17" s="15" t="n">
        <x:f>C17/SUM($C$5:$C$2477)</x:f>
        <x:v>0.008273306002110693</x:v>
      </x:c>
      <x:c r="E17" s="15" t="n">
        <x:f>SUM($D$5:D17)</x:f>
        <x:v>0.15945756741394204</x:v>
      </x:c>
      <x:c r="F17" s="1" t="str">
        <x:f>IF(C17&lt;=0,"C",IF(E17-D17&lt;'Дашборд'!$C$49,"A",IF(E17-D17&lt;'Дашборд'!$C$50,"B","C")))</x:f>
        <x:v>A</x:v>
      </x:c>
      <x:c r="G17" s="8" t="n">
        <x:f>'Данные'!F17</x:f>
        <x:v>15111</x:v>
      </x:c>
      <x:c r="H17" s="8" t="n">
        <x:f>SUM('Данные'!H17:I17)</x:f>
        <x:v>2805</x:v>
      </x:c>
      <x:c r="I17" s="16" t="n">
        <x:f>IF(H17&gt;0,G17/H17,"n.a.")</x:f>
        <x:v>5.387165775401069</x:v>
      </x:c>
      <x:c r="J17" s="10" t="n">
        <x:f>IF('Данные'!E17&gt;0,G17/'Данные'!E17,"n.a.")</x:f>
        <x:v>0.043690078295766016</x:v>
      </x:c>
      <x:c r="K17" s="1" t="str">
        <x:f>IF(G17&gt;='Дашборд'!$C$51,"X","Z")</x:f>
        <x:v>X</x:v>
      </x:c>
      <x:c r="L17" s="1" t="str">
        <x:f>IF(H17=0,IF(G17&gt;0,"Нет остатка","Нет спроса"),IF(I17&gt;='Дашборд'!$C$52,"Быстрый","Медленный"))</x:f>
        <x:v>Быстрый</x:v>
      </x:c>
      <x:c r="M17" s="1" t="str">
        <x:f>IF('Данные'!E17&lt;'Дашборд'!$C$53,"Мало трафика",IF(J17&lt;'Дашборд'!$C$9*'Дашборд'!$C$54,"Да","Нет"))</x:f>
        <x:v>Нет</x:v>
      </x:c>
      <x:c r="N17" s="1" t="str">
        <x:f>IF(AND('Данные'!D17&gt;='Дашборд'!$C$55,D17&lt;'Дашборд'!$C$56,'Данные'!E17&gt;='Дашборд'!$C$53,'Данные'!L17&lt;&gt;"Да"),"Да","Нет")</x:f>
        <x:v>Нет</x:v>
      </x:c>
      <x:c r="O17" s="1" t="str">
        <x:f>'Данные'!L17</x:f>
        <x:v>Нет</x:v>
      </x:c>
    </x:row>
    <x:row r="18">
      <x:c r="A18" s="1" t="str">
        <x:f>'Данные'!A18</x:f>
        <x:v>226527745</x:v>
      </x:c>
      <x:c r="B18" s="1" t="str">
        <x:f>'Данные'!B18</x:f>
        <x:v>futbolkaprint/TheMovementClub-140/молочный</x:v>
      </x:c>
      <x:c r="C18" s="8" t="n">
        <x:f>'Данные'!G18</x:f>
        <x:v>6740304</x:v>
      </x:c>
      <x:c r="D18" s="15" t="n">
        <x:f>C18/SUM($C$5:$C$2477)</x:f>
        <x:v>0.007874182399271545</x:v>
      </x:c>
      <x:c r="E18" s="15" t="n">
        <x:f>SUM($D$5:D18)</x:f>
        <x:v>0.16733174981321358</x:v>
      </x:c>
      <x:c r="F18" s="1" t="str">
        <x:f>IF(C18&lt;=0,"C",IF(E18-D18&lt;'Дашборд'!$C$49,"A",IF(E18-D18&lt;'Дашборд'!$C$50,"B","C")))</x:f>
        <x:v>A</x:v>
      </x:c>
      <x:c r="G18" s="8" t="n">
        <x:f>'Данные'!F18</x:f>
        <x:v>8310</x:v>
      </x:c>
      <x:c r="H18" s="8" t="n">
        <x:f>SUM('Данные'!H18:I18)</x:f>
        <x:v>855</x:v>
      </x:c>
      <x:c r="I18" s="16" t="n">
        <x:f>IF(H18&gt;0,G18/H18,"n.a.")</x:f>
        <x:v>9.719298245614034</x:v>
      </x:c>
      <x:c r="J18" s="10" t="n">
        <x:f>IF('Данные'!E18&gt;0,G18/'Данные'!E18,"n.a.")</x:f>
        <x:v>0.01981364208598787</x:v>
      </x:c>
      <x:c r="K18" s="1" t="str">
        <x:f>IF(G18&gt;='Дашборд'!$C$51,"X","Z")</x:f>
        <x:v>X</x:v>
      </x:c>
      <x:c r="L18" s="1" t="str">
        <x:f>IF(H18=0,IF(G18&gt;0,"Нет остатка","Нет спроса"),IF(I18&gt;='Дашборд'!$C$52,"Быстрый","Медленный"))</x:f>
        <x:v>Быстрый</x:v>
      </x:c>
      <x:c r="M18" s="1" t="str">
        <x:f>IF('Данные'!E18&lt;'Дашборд'!$C$53,"Мало трафика",IF(J18&lt;'Дашборд'!$C$9*'Дашборд'!$C$54,"Да","Нет"))</x:f>
        <x:v>Нет</x:v>
      </x:c>
      <x:c r="N18" s="1" t="str">
        <x:f>IF(AND('Данные'!D18&gt;='Дашборд'!$C$55,D18&lt;'Дашборд'!$C$56,'Данные'!E18&gt;='Дашборд'!$C$53,'Данные'!L18&lt;&gt;"Да"),"Да","Нет")</x:f>
        <x:v>Нет</x:v>
      </x:c>
      <x:c r="O18" s="1" t="str">
        <x:f>'Данные'!L18</x:f>
        <x:v>Нет</x:v>
      </x:c>
    </x:row>
    <x:row r="19">
      <x:c r="A19" s="1" t="str">
        <x:f>'Данные'!A19</x:f>
        <x:v>114526548</x:v>
      </x:c>
      <x:c r="B19" s="1" t="str">
        <x:f>'Данные'!B19</x:f>
        <x:v>futbolkaover/коричневый</x:v>
      </x:c>
      <x:c r="C19" s="8" t="n">
        <x:f>'Данные'!G19</x:f>
        <x:v>6598229</x:v>
      </x:c>
      <x:c r="D19" s="15" t="n">
        <x:f>C19/SUM($C$5:$C$2477)</x:f>
        <x:v>0.007708207027184988</x:v>
      </x:c>
      <x:c r="E19" s="15" t="n">
        <x:f>SUM($D$5:D19)</x:f>
        <x:v>0.17503995684039858</x:v>
      </x:c>
      <x:c r="F19" s="1" t="str">
        <x:f>IF(C19&lt;=0,"C",IF(E19-D19&lt;'Дашборд'!$C$49,"A",IF(E19-D19&lt;'Дашборд'!$C$50,"B","C")))</x:f>
        <x:v>A</x:v>
      </x:c>
      <x:c r="G19" s="8" t="n">
        <x:f>'Данные'!F19</x:f>
        <x:v>13274</x:v>
      </x:c>
      <x:c r="H19" s="8" t="n">
        <x:f>SUM('Данные'!H19:I19)</x:f>
        <x:v>2493</x:v>
      </x:c>
      <x:c r="I19" s="16" t="n">
        <x:f>IF(H19&gt;0,G19/H19,"n.a.")</x:f>
        <x:v>5.324508624147613</x:v>
      </x:c>
      <x:c r="J19" s="10" t="n">
        <x:f>IF('Данные'!E19&gt;0,G19/'Данные'!E19,"n.a.")</x:f>
        <x:v>0.04047679308168237</x:v>
      </x:c>
      <x:c r="K19" s="1" t="str">
        <x:f>IF(G19&gt;='Дашборд'!$C$51,"X","Z")</x:f>
        <x:v>X</x:v>
      </x:c>
      <x:c r="L19" s="1" t="str">
        <x:f>IF(H19=0,IF(G19&gt;0,"Нет остатка","Нет спроса"),IF(I19&gt;='Дашборд'!$C$52,"Быстрый","Медленный"))</x:f>
        <x:v>Быстрый</x:v>
      </x:c>
      <x:c r="M19" s="1" t="str">
        <x:f>IF('Данные'!E19&lt;'Дашборд'!$C$53,"Мало трафика",IF(J19&lt;'Дашборд'!$C$9*'Дашборд'!$C$54,"Да","Нет"))</x:f>
        <x:v>Нет</x:v>
      </x:c>
      <x:c r="N19" s="1" t="str">
        <x:f>IF(AND('Данные'!D19&gt;='Дашборд'!$C$55,D19&lt;'Дашборд'!$C$56,'Данные'!E19&gt;='Дашборд'!$C$53,'Данные'!L19&lt;&gt;"Да"),"Да","Нет")</x:f>
        <x:v>Нет</x:v>
      </x:c>
      <x:c r="O19" s="1" t="str">
        <x:f>'Данные'!L19</x:f>
        <x:v>Нет</x:v>
      </x:c>
    </x:row>
    <x:row r="20">
      <x:c r="A20" s="1" t="str">
        <x:f>'Данные'!A20</x:f>
        <x:v>323186184</x:v>
      </x:c>
      <x:c r="B20" s="1" t="str">
        <x:f>'Данные'!B20</x:f>
        <x:v>futskims3K-102/белый</x:v>
      </x:c>
      <x:c r="C20" s="8" t="n">
        <x:f>'Данные'!G20</x:f>
        <x:v>6566616</x:v>
      </x:c>
      <x:c r="D20" s="15" t="n">
        <x:f>C20/SUM($C$5:$C$2477)</x:f>
        <x:v>0.007671275973602216</x:v>
      </x:c>
      <x:c r="E20" s="15" t="n">
        <x:f>SUM($D$5:D20)</x:f>
        <x:v>0.18271123281400078</x:v>
      </x:c>
      <x:c r="F20" s="1" t="str">
        <x:f>IF(C20&lt;=0,"C",IF(E20-D20&lt;'Дашборд'!$C$49,"A",IF(E20-D20&lt;'Дашборд'!$C$50,"B","C")))</x:f>
        <x:v>A</x:v>
      </x:c>
      <x:c r="G20" s="8" t="n">
        <x:f>'Данные'!F20</x:f>
        <x:v>14927</x:v>
      </x:c>
      <x:c r="H20" s="8" t="n">
        <x:f>SUM('Данные'!H20:I20)</x:f>
        <x:v>14670</x:v>
      </x:c>
      <x:c r="I20" s="16" t="n">
        <x:f>IF(H20&gt;0,G20/H20,"n.a.")</x:f>
        <x:v>1.0175187457396047</x:v>
      </x:c>
      <x:c r="J20" s="10" t="n">
        <x:f>IF('Данные'!E20&gt;0,G20/'Данные'!E20,"n.a.")</x:f>
        <x:v>0.03174188005835045</x:v>
      </x:c>
      <x:c r="K20" s="1" t="str">
        <x:f>IF(G20&gt;='Дашборд'!$C$51,"X","Z")</x:f>
        <x:v>X</x:v>
      </x:c>
      <x:c r="L20" s="1" t="str">
        <x:f>IF(H20=0,IF(G20&gt;0,"Нет остатка","Нет спроса"),IF(I20&gt;='Дашборд'!$C$52,"Быстрый","Медленный"))</x:f>
        <x:v>Быстрый</x:v>
      </x:c>
      <x:c r="M20" s="1" t="str">
        <x:f>IF('Данные'!E20&lt;'Дашборд'!$C$53,"Мало трафика",IF(J20&lt;'Дашборд'!$C$9*'Дашборд'!$C$54,"Да","Нет"))</x:f>
        <x:v>Нет</x:v>
      </x:c>
      <x:c r="N20" s="1" t="str">
        <x:f>IF(AND('Данные'!D20&gt;='Дашборд'!$C$55,D20&lt;'Дашборд'!$C$56,'Данные'!E20&gt;='Дашборд'!$C$53,'Данные'!L20&lt;&gt;"Да"),"Да","Нет")</x:f>
        <x:v>Нет</x:v>
      </x:c>
      <x:c r="O20" s="1" t="str">
        <x:f>'Данные'!L20</x:f>
        <x:v>Нет</x:v>
      </x:c>
    </x:row>
    <x:row r="21">
      <x:c r="A21" s="1" t="str">
        <x:f>'Данные'!A21</x:f>
        <x:v>323186186</x:v>
      </x:c>
      <x:c r="B21" s="1" t="str">
        <x:f>'Данные'!B21</x:f>
        <x:v>futskims3K-102/бордовый</x:v>
      </x:c>
      <x:c r="C21" s="8" t="n">
        <x:f>'Данные'!G21</x:f>
        <x:v>6227841</x:v>
      </x:c>
      <x:c r="D21" s="15" t="n">
        <x:f>C21/SUM($C$5:$C$2477)</x:f>
        <x:v>0.00727551101369637</x:v>
      </x:c>
      <x:c r="E21" s="15" t="n">
        <x:f>SUM($D$5:D21)</x:f>
        <x:v>0.18998674382769715</x:v>
      </x:c>
      <x:c r="F21" s="1" t="str">
        <x:f>IF(C21&lt;=0,"C",IF(E21-D21&lt;'Дашборд'!$C$49,"A",IF(E21-D21&lt;'Дашборд'!$C$50,"B","C")))</x:f>
        <x:v>A</x:v>
      </x:c>
      <x:c r="G21" s="8" t="n">
        <x:f>'Данные'!F21</x:f>
        <x:v>10893</x:v>
      </x:c>
      <x:c r="H21" s="8" t="n">
        <x:f>SUM('Данные'!H21:I21)</x:f>
        <x:v>2403</x:v>
      </x:c>
      <x:c r="I21" s="16" t="n">
        <x:f>IF(H21&gt;0,G21/H21,"n.a.")</x:f>
        <x:v>4.533083645443196</x:v>
      </x:c>
      <x:c r="J21" s="10" t="n">
        <x:f>IF('Данные'!E21&gt;0,G21/'Данные'!E21,"n.a.")</x:f>
        <x:v>0.023198313314592385</x:v>
      </x:c>
      <x:c r="K21" s="1" t="str">
        <x:f>IF(G21&gt;='Дашборд'!$C$51,"X","Z")</x:f>
        <x:v>X</x:v>
      </x:c>
      <x:c r="L21" s="1" t="str">
        <x:f>IF(H21=0,IF(G21&gt;0,"Нет остатка","Нет спроса"),IF(I21&gt;='Дашборд'!$C$52,"Быстрый","Медленный"))</x:f>
        <x:v>Быстрый</x:v>
      </x:c>
      <x:c r="M21" s="1" t="str">
        <x:f>IF('Данные'!E21&lt;'Дашборд'!$C$53,"Мало трафика",IF(J21&lt;'Дашборд'!$C$9*'Дашборд'!$C$54,"Да","Нет"))</x:f>
        <x:v>Нет</x:v>
      </x:c>
      <x:c r="N21" s="1" t="str">
        <x:f>IF(AND('Данные'!D21&gt;='Дашборд'!$C$55,D21&lt;'Дашборд'!$C$56,'Данные'!E21&gt;='Дашборд'!$C$53,'Данные'!L21&lt;&gt;"Да"),"Да","Нет")</x:f>
        <x:v>Нет</x:v>
      </x:c>
      <x:c r="O21" s="1" t="str">
        <x:f>'Данные'!L21</x:f>
        <x:v>Нет</x:v>
      </x:c>
    </x:row>
    <x:row r="22">
      <x:c r="A22" s="1" t="str">
        <x:f>'Данные'!A22</x:f>
        <x:v>22893732</x:v>
      </x:c>
      <x:c r="B22" s="1" t="str">
        <x:f>'Данные'!B22</x:f>
        <x:v>hudiman/черный</x:v>
      </x:c>
      <x:c r="C22" s="8" t="n">
        <x:f>'Данные'!G22</x:f>
        <x:v>5965381</x:v>
      </x:c>
      <x:c r="D22" s="15" t="n">
        <x:f>C22/SUM($C$5:$C$2477)</x:f>
        <x:v>0.006968899040035714</x:v>
      </x:c>
      <x:c r="E22" s="15" t="n">
        <x:f>SUM($D$5:D22)</x:f>
        <x:v>0.19695564286773287</x:v>
      </x:c>
      <x:c r="F22" s="1" t="str">
        <x:f>IF(C22&lt;=0,"C",IF(E22-D22&lt;'Дашборд'!$C$49,"A",IF(E22-D22&lt;'Дашборд'!$C$50,"B","C")))</x:f>
        <x:v>A</x:v>
      </x:c>
      <x:c r="G22" s="8" t="n">
        <x:f>'Данные'!F22</x:f>
        <x:v>4722</x:v>
      </x:c>
      <x:c r="H22" s="8" t="n">
        <x:f>SUM('Данные'!H22:I22)</x:f>
        <x:v>921</x:v>
      </x:c>
      <x:c r="I22" s="16" t="n">
        <x:f>IF(H22&gt;0,G22/H22,"n.a.")</x:f>
        <x:v>5.127035830618892</x:v>
      </x:c>
      <x:c r="J22" s="10" t="n">
        <x:f>IF('Данные'!E22&gt;0,G22/'Данные'!E22,"n.a.")</x:f>
        <x:v>0.04588876687301387</x:v>
      </x:c>
      <x:c r="K22" s="1" t="str">
        <x:f>IF(G22&gt;='Дашборд'!$C$51,"X","Z")</x:f>
        <x:v>X</x:v>
      </x:c>
      <x:c r="L22" s="1" t="str">
        <x:f>IF(H22=0,IF(G22&gt;0,"Нет остатка","Нет спроса"),IF(I22&gt;='Дашборд'!$C$52,"Быстрый","Медленный"))</x:f>
        <x:v>Быстрый</x:v>
      </x:c>
      <x:c r="M22" s="1" t="str">
        <x:f>IF('Данные'!E22&lt;'Дашборд'!$C$53,"Мало трафика",IF(J22&lt;'Дашборд'!$C$9*'Дашборд'!$C$54,"Да","Нет"))</x:f>
        <x:v>Нет</x:v>
      </x:c>
      <x:c r="N22" s="1" t="str">
        <x:f>IF(AND('Данные'!D22&gt;='Дашборд'!$C$55,D22&lt;'Дашборд'!$C$56,'Данные'!E22&gt;='Дашборд'!$C$53,'Данные'!L22&lt;&gt;"Да"),"Да","Нет")</x:f>
        <x:v>Нет</x:v>
      </x:c>
      <x:c r="O22" s="1" t="str">
        <x:f>'Данные'!L22</x:f>
        <x:v>Нет</x:v>
      </x:c>
    </x:row>
    <x:row r="23">
      <x:c r="A23" s="1" t="str">
        <x:f>'Данные'!A23</x:f>
        <x:v>295771244</x:v>
      </x:c>
      <x:c r="B23" s="1" t="str">
        <x:f>'Данные'!B23</x:f>
        <x:v>kostyumfix3P-37-63/серыймеланж2</x:v>
      </x:c>
      <x:c r="C23" s="8" t="n">
        <x:f>'Данные'!G23</x:f>
        <x:v>5799195</x:v>
      </x:c>
      <x:c r="D23" s="15" t="n">
        <x:f>C23/SUM($C$5:$C$2477)</x:f>
        <x:v>0.006774756628030953</x:v>
      </x:c>
      <x:c r="E23" s="15" t="n">
        <x:f>SUM($D$5:D23)</x:f>
        <x:v>0.20373039949576383</x:v>
      </x:c>
      <x:c r="F23" s="1" t="str">
        <x:f>IF(C23&lt;=0,"C",IF(E23-D23&lt;'Дашборд'!$C$49,"A",IF(E23-D23&lt;'Дашборд'!$C$50,"B","C")))</x:f>
        <x:v>A</x:v>
      </x:c>
      <x:c r="G23" s="8" t="n">
        <x:f>'Данные'!F23</x:f>
        <x:v>3554</x:v>
      </x:c>
      <x:c r="H23" s="8" t="n">
        <x:f>SUM('Данные'!H23:I23)</x:f>
        <x:v>912</x:v>
      </x:c>
      <x:c r="I23" s="16" t="n">
        <x:f>IF(H23&gt;0,G23/H23,"n.a.")</x:f>
        <x:v>3.8969298245614037</x:v>
      </x:c>
      <x:c r="J23" s="10" t="n">
        <x:f>IF('Данные'!E23&gt;0,G23/'Данные'!E23,"n.a.")</x:f>
        <x:v>0.016858702819112854</x:v>
      </x:c>
      <x:c r="K23" s="1" t="str">
        <x:f>IF(G23&gt;='Дашборд'!$C$51,"X","Z")</x:f>
        <x:v>X</x:v>
      </x:c>
      <x:c r="L23" s="1" t="str">
        <x:f>IF(H23=0,IF(G23&gt;0,"Нет остатка","Нет спроса"),IF(I23&gt;='Дашборд'!$C$52,"Быстрый","Медленный"))</x:f>
        <x:v>Быстрый</x:v>
      </x:c>
      <x:c r="M23" s="1" t="str">
        <x:f>IF('Данные'!E23&lt;'Дашборд'!$C$53,"Мало трафика",IF(J23&lt;'Дашборд'!$C$9*'Дашборд'!$C$54,"Да","Нет"))</x:f>
        <x:v>Нет</x:v>
      </x:c>
      <x:c r="N23" s="1" t="str">
        <x:f>IF(AND('Данные'!D23&gt;='Дашборд'!$C$55,D23&lt;'Дашборд'!$C$56,'Данные'!E23&gt;='Дашборд'!$C$53,'Данные'!L23&lt;&gt;"Да"),"Да","Нет")</x:f>
        <x:v>Нет</x:v>
      </x:c>
      <x:c r="O23" s="1" t="str">
        <x:f>'Данные'!L23</x:f>
        <x:v>Нет</x:v>
      </x:c>
    </x:row>
    <x:row r="24">
      <x:c r="A24" s="1" t="str">
        <x:f>'Данные'!A24</x:f>
        <x:v>165757816</x:v>
      </x:c>
      <x:c r="B24" s="1" t="str">
        <x:f>'Данные'!B24</x:f>
        <x:v>kulirkaman/молочный</x:v>
      </x:c>
      <x:c r="C24" s="8" t="n">
        <x:f>'Данные'!G24</x:f>
        <x:v>5482332</x:v>
      </x:c>
      <x:c r="D24" s="15" t="n">
        <x:f>C24/SUM($C$5:$C$2477)</x:f>
        <x:v>0.006404589784283196</x:v>
      </x:c>
      <x:c r="E24" s="15" t="n">
        <x:f>SUM($D$5:D24)</x:f>
        <x:v>0.21013498928004704</x:v>
      </x:c>
      <x:c r="F24" s="1" t="str">
        <x:f>IF(C24&lt;=0,"C",IF(E24-D24&lt;'Дашборд'!$C$49,"A",IF(E24-D24&lt;'Дашборд'!$C$50,"B","C")))</x:f>
        <x:v>A</x:v>
      </x:c>
      <x:c r="G24" s="8" t="n">
        <x:f>'Данные'!F24</x:f>
        <x:v>11024</x:v>
      </x:c>
      <x:c r="H24" s="8" t="n">
        <x:f>SUM('Данные'!H24:I24)</x:f>
        <x:v>10104</x:v>
      </x:c>
      <x:c r="I24" s="16" t="n">
        <x:f>IF(H24&gt;0,G24/H24,"n.a.")</x:f>
        <x:v>1.0910530482977039</x:v>
      </x:c>
      <x:c r="J24" s="10" t="n">
        <x:f>IF('Данные'!E24&gt;0,G24/'Данные'!E24,"n.a.")</x:f>
        <x:v>0.0640989859521816</x:v>
      </x:c>
      <x:c r="K24" s="1" t="str">
        <x:f>IF(G24&gt;='Дашборд'!$C$51,"X","Z")</x:f>
        <x:v>X</x:v>
      </x:c>
      <x:c r="L24" s="1" t="str">
        <x:f>IF(H24=0,IF(G24&gt;0,"Нет остатка","Нет спроса"),IF(I24&gt;='Дашборд'!$C$52,"Быстрый","Медленный"))</x:f>
        <x:v>Быстрый</x:v>
      </x:c>
      <x:c r="M24" s="1" t="str">
        <x:f>IF('Данные'!E24&lt;'Дашборд'!$C$53,"Мало трафика",IF(J24&lt;'Дашборд'!$C$9*'Дашборд'!$C$54,"Да","Нет"))</x:f>
        <x:v>Нет</x:v>
      </x:c>
      <x:c r="N24" s="1" t="str">
        <x:f>IF(AND('Данные'!D24&gt;='Дашборд'!$C$55,D24&lt;'Дашборд'!$C$56,'Данные'!E24&gt;='Дашборд'!$C$53,'Данные'!L24&lt;&gt;"Да"),"Да","Нет")</x:f>
        <x:v>Нет</x:v>
      </x:c>
      <x:c r="O24" s="1" t="str">
        <x:f>'Данные'!L24</x:f>
        <x:v>Нет</x:v>
      </x:c>
    </x:row>
    <x:row r="25">
      <x:c r="A25" s="1" t="str">
        <x:f>'Данные'!A25</x:f>
        <x:v>165757809</x:v>
      </x:c>
      <x:c r="B25" s="1" t="str">
        <x:f>'Данные'!B25</x:f>
        <x:v>kulirkaman/дымка</x:v>
      </x:c>
      <x:c r="C25" s="8" t="n">
        <x:f>'Данные'!G25</x:f>
        <x:v>5409806</x:v>
      </x:c>
      <x:c r="D25" s="15" t="n">
        <x:f>C25/SUM($C$5:$C$2477)</x:f>
        <x:v>0.00631986319736819</x:v>
      </x:c>
      <x:c r="E25" s="15" t="n">
        <x:f>SUM($D$5:D25)</x:f>
        <x:v>0.21645485247741522</x:v>
      </x:c>
      <x:c r="F25" s="1" t="str">
        <x:f>IF(C25&lt;=0,"C",IF(E25-D25&lt;'Дашборд'!$C$49,"A",IF(E25-D25&lt;'Дашборд'!$C$50,"B","C")))</x:f>
        <x:v>A</x:v>
      </x:c>
      <x:c r="G25" s="8" t="n">
        <x:f>'Данные'!F25</x:f>
        <x:v>9534</x:v>
      </x:c>
      <x:c r="H25" s="8" t="n">
        <x:f>SUM('Данные'!H25:I25)</x:f>
        <x:v>2066</x:v>
      </x:c>
      <x:c r="I25" s="16" t="n">
        <x:f>IF(H25&gt;0,G25/H25,"n.a.")</x:f>
        <x:v>4.614714424007745</x:v>
      </x:c>
      <x:c r="J25" s="10" t="n">
        <x:f>IF('Данные'!E25&gt;0,G25/'Данные'!E25,"n.a.")</x:f>
        <x:v>0.06619316406656808</x:v>
      </x:c>
      <x:c r="K25" s="1" t="str">
        <x:f>IF(G25&gt;='Дашборд'!$C$51,"X","Z")</x:f>
        <x:v>X</x:v>
      </x:c>
      <x:c r="L25" s="1" t="str">
        <x:f>IF(H25=0,IF(G25&gt;0,"Нет остатка","Нет спроса"),IF(I25&gt;='Дашборд'!$C$52,"Быстрый","Медленный"))</x:f>
        <x:v>Быстрый</x:v>
      </x:c>
      <x:c r="M25" s="1" t="str">
        <x:f>IF('Данные'!E25&lt;'Дашборд'!$C$53,"Мало трафика",IF(J25&lt;'Дашборд'!$C$9*'Дашборд'!$C$54,"Да","Нет"))</x:f>
        <x:v>Нет</x:v>
      </x:c>
      <x:c r="N25" s="1" t="str">
        <x:f>IF(AND('Данные'!D25&gt;='Дашборд'!$C$55,D25&lt;'Дашборд'!$C$56,'Данные'!E25&gt;='Дашборд'!$C$53,'Данные'!L25&lt;&gt;"Да"),"Да","Нет")</x:f>
        <x:v>Нет</x:v>
      </x:c>
      <x:c r="O25" s="1" t="str">
        <x:f>'Данные'!L25</x:f>
        <x:v>Нет</x:v>
      </x:c>
    </x:row>
    <x:row r="26">
      <x:c r="A26" s="1" t="str">
        <x:f>'Данные'!A26</x:f>
        <x:v>323186190</x:v>
      </x:c>
      <x:c r="B26" s="1" t="str">
        <x:f>'Данные'!B26</x:f>
        <x:v>futskims3K-102/розовый</x:v>
      </x:c>
      <x:c r="C26" s="8" t="n">
        <x:f>'Данные'!G26</x:f>
        <x:v>5293289</x:v>
      </x:c>
      <x:c r="D26" s="15" t="n">
        <x:f>C26/SUM($C$5:$C$2477)</x:f>
        <x:v>0.006183745284790964</x:v>
      </x:c>
      <x:c r="E26" s="15" t="n">
        <x:f>SUM($D$5:D26)</x:f>
        <x:v>0.22263859776220618</x:v>
      </x:c>
      <x:c r="F26" s="1" t="str">
        <x:f>IF(C26&lt;=0,"C",IF(E26-D26&lt;'Дашборд'!$C$49,"A",IF(E26-D26&lt;'Дашборд'!$C$50,"B","C")))</x:f>
        <x:v>A</x:v>
      </x:c>
      <x:c r="G26" s="8" t="n">
        <x:f>'Данные'!F26</x:f>
        <x:v>11587</x:v>
      </x:c>
      <x:c r="H26" s="8" t="n">
        <x:f>SUM('Данные'!H26:I26)</x:f>
        <x:v>6457</x:v>
      </x:c>
      <x:c r="I26" s="16" t="n">
        <x:f>IF(H26&gt;0,G26/H26,"n.a.")</x:f>
        <x:v>1.7944866036859222</x:v>
      </x:c>
      <x:c r="J26" s="10" t="n">
        <x:f>IF('Данные'!E26&gt;0,G26/'Данные'!E26,"n.a.")</x:f>
        <x:v>0.02656088464456736</x:v>
      </x:c>
      <x:c r="K26" s="1" t="str">
        <x:f>IF(G26&gt;='Дашборд'!$C$51,"X","Z")</x:f>
        <x:v>X</x:v>
      </x:c>
      <x:c r="L26" s="1" t="str">
        <x:f>IF(H26=0,IF(G26&gt;0,"Нет остатка","Нет спроса"),IF(I26&gt;='Дашборд'!$C$52,"Быстрый","Медленный"))</x:f>
        <x:v>Быстрый</x:v>
      </x:c>
      <x:c r="M26" s="1" t="str">
        <x:f>IF('Данные'!E26&lt;'Дашборд'!$C$53,"Мало трафика",IF(J26&lt;'Дашборд'!$C$9*'Дашборд'!$C$54,"Да","Нет"))</x:f>
        <x:v>Нет</x:v>
      </x:c>
      <x:c r="N26" s="1" t="str">
        <x:f>IF(AND('Данные'!D26&gt;='Дашборд'!$C$55,D26&lt;'Дашборд'!$C$56,'Данные'!E26&gt;='Дашборд'!$C$53,'Данные'!L26&lt;&gt;"Да"),"Да","Нет")</x:f>
        <x:v>Нет</x:v>
      </x:c>
      <x:c r="O26" s="1" t="str">
        <x:f>'Данные'!L26</x:f>
        <x:v>Нет</x:v>
      </x:c>
    </x:row>
    <x:row r="27">
      <x:c r="A27" s="1" t="str">
        <x:f>'Данные'!A27</x:f>
        <x:v>79655933</x:v>
      </x:c>
      <x:c r="B27" s="1" t="str">
        <x:f>'Данные'!B27</x:f>
        <x:v>futbolkaover/дымка</x:v>
      </x:c>
      <x:c r="C27" s="8" t="n">
        <x:f>'Данные'!G27</x:f>
        <x:v>4923398</x:v>
      </x:c>
      <x:c r="D27" s="15" t="n">
        <x:f>C27/SUM($C$5:$C$2477)</x:f>
        <x:v>0.005751629878445946</x:v>
      </x:c>
      <x:c r="E27" s="15" t="n">
        <x:f>SUM($D$5:D27)</x:f>
        <x:v>0.22839022764065212</x:v>
      </x:c>
      <x:c r="F27" s="1" t="str">
        <x:f>IF(C27&lt;=0,"C",IF(E27-D27&lt;'Дашборд'!$C$49,"A",IF(E27-D27&lt;'Дашборд'!$C$50,"B","C")))</x:f>
        <x:v>A</x:v>
      </x:c>
      <x:c r="G27" s="8" t="n">
        <x:f>'Данные'!F27</x:f>
        <x:v>10156</x:v>
      </x:c>
      <x:c r="H27" s="8" t="n">
        <x:f>SUM('Данные'!H27:I27)</x:f>
        <x:v>7236</x:v>
      </x:c>
      <x:c r="I27" s="16" t="n">
        <x:f>IF(H27&gt;0,G27/H27,"n.a.")</x:f>
        <x:v>1.4035378662244333</x:v>
      </x:c>
      <x:c r="J27" s="10" t="n">
        <x:f>IF('Данные'!E27&gt;0,G27/'Данные'!E27,"n.a.")</x:f>
        <x:v>0.0389157540597914</x:v>
      </x:c>
      <x:c r="K27" s="1" t="str">
        <x:f>IF(G27&gt;='Дашборд'!$C$51,"X","Z")</x:f>
        <x:v>X</x:v>
      </x:c>
      <x:c r="L27" s="1" t="str">
        <x:f>IF(H27=0,IF(G27&gt;0,"Нет остатка","Нет спроса"),IF(I27&gt;='Дашборд'!$C$52,"Быстрый","Медленный"))</x:f>
        <x:v>Быстрый</x:v>
      </x:c>
      <x:c r="M27" s="1" t="str">
        <x:f>IF('Данные'!E27&lt;'Дашборд'!$C$53,"Мало трафика",IF(J27&lt;'Дашборд'!$C$9*'Дашборд'!$C$54,"Да","Нет"))</x:f>
        <x:v>Нет</x:v>
      </x:c>
      <x:c r="N27" s="1" t="str">
        <x:f>IF(AND('Данные'!D27&gt;='Дашборд'!$C$55,D27&lt;'Дашборд'!$C$56,'Данные'!E27&gt;='Дашборд'!$C$53,'Данные'!L27&lt;&gt;"Да"),"Да","Нет")</x:f>
        <x:v>Нет</x:v>
      </x:c>
      <x:c r="O27" s="1" t="str">
        <x:f>'Данные'!L27</x:f>
        <x:v>Нет</x:v>
      </x:c>
    </x:row>
    <x:row r="28">
      <x:c r="A28" s="1" t="str">
        <x:f>'Данные'!A28</x:f>
        <x:v>32774763</x:v>
      </x:c>
      <x:c r="B28" s="1" t="str">
        <x:f>'Данные'!B28</x:f>
        <x:v>kroptop/молочный</x:v>
      </x:c>
      <x:c r="C28" s="8" t="n">
        <x:f>'Данные'!G28</x:f>
        <x:v>4840648</x:v>
      </x:c>
      <x:c r="D28" s="15" t="n">
        <x:f>C28/SUM($C$5:$C$2477)</x:f>
        <x:v>0.005654959373148303</x:v>
      </x:c>
      <x:c r="E28" s="15" t="n">
        <x:f>SUM($D$5:D28)</x:f>
        <x:v>0.23404518701380042</x:v>
      </x:c>
      <x:c r="F28" s="1" t="str">
        <x:f>IF(C28&lt;=0,"C",IF(E28-D28&lt;'Дашборд'!$C$49,"A",IF(E28-D28&lt;'Дашборд'!$C$50,"B","C")))</x:f>
        <x:v>A</x:v>
      </x:c>
      <x:c r="G28" s="8" t="n">
        <x:f>'Данные'!F28</x:f>
        <x:v>12713</x:v>
      </x:c>
      <x:c r="H28" s="8" t="n">
        <x:f>SUM('Данные'!H28:I28)</x:f>
        <x:v>5458</x:v>
      </x:c>
      <x:c r="I28" s="16" t="n">
        <x:f>IF(H28&gt;0,G28/H28,"n.a.")</x:f>
        <x:v>2.3292414803957495</x:v>
      </x:c>
      <x:c r="J28" s="10" t="n">
        <x:f>IF('Данные'!E28&gt;0,G28/'Данные'!E28,"n.a.")</x:f>
        <x:v>0.05657791089412948</x:v>
      </x:c>
      <x:c r="K28" s="1" t="str">
        <x:f>IF(G28&gt;='Дашборд'!$C$51,"X","Z")</x:f>
        <x:v>X</x:v>
      </x:c>
      <x:c r="L28" s="1" t="str">
        <x:f>IF(H28=0,IF(G28&gt;0,"Нет остатка","Нет спроса"),IF(I28&gt;='Дашборд'!$C$52,"Быстрый","Медленный"))</x:f>
        <x:v>Быстрый</x:v>
      </x:c>
      <x:c r="M28" s="1" t="str">
        <x:f>IF('Данные'!E28&lt;'Дашборд'!$C$53,"Мало трафика",IF(J28&lt;'Дашборд'!$C$9*'Дашборд'!$C$54,"Да","Нет"))</x:f>
        <x:v>Нет</x:v>
      </x:c>
      <x:c r="N28" s="1" t="str">
        <x:f>IF(AND('Данные'!D28&gt;='Дашборд'!$C$55,D28&lt;'Дашборд'!$C$56,'Данные'!E28&gt;='Дашборд'!$C$53,'Данные'!L28&lt;&gt;"Да"),"Да","Нет")</x:f>
        <x:v>Нет</x:v>
      </x:c>
      <x:c r="O28" s="1" t="str">
        <x:f>'Данные'!L28</x:f>
        <x:v>Нет</x:v>
      </x:c>
    </x:row>
    <x:row r="29">
      <x:c r="A29" s="1" t="str">
        <x:f>'Данные'!A29</x:f>
        <x:v>233284869</x:v>
      </x:c>
      <x:c r="B29" s="1" t="str">
        <x:f>'Данные'!B29</x:f>
        <x:v>longover/молочный</x:v>
      </x:c>
      <x:c r="C29" s="8" t="n">
        <x:f>'Данные'!G29</x:f>
        <x:v>4497947</x:v>
      </x:c>
      <x:c r="D29" s="15" t="n">
        <x:f>C29/SUM($C$5:$C$2477)</x:f>
        <x:v>0.005254607967275103</x:v>
      </x:c>
      <x:c r="E29" s="15" t="n">
        <x:f>SUM($D$5:D29)</x:f>
        <x:v>0.23929979498107554</x:v>
      </x:c>
      <x:c r="F29" s="1" t="str">
        <x:f>IF(C29&lt;=0,"C",IF(E29-D29&lt;'Дашборд'!$C$49,"A",IF(E29-D29&lt;'Дашборд'!$C$50,"B","C")))</x:f>
        <x:v>A</x:v>
      </x:c>
      <x:c r="G29" s="8" t="n">
        <x:f>'Данные'!F29</x:f>
        <x:v>9363</x:v>
      </x:c>
      <x:c r="H29" s="8" t="n">
        <x:f>SUM('Данные'!H29:I29)</x:f>
        <x:v>5845</x:v>
      </x:c>
      <x:c r="I29" s="16" t="n">
        <x:f>IF(H29&gt;0,G29/H29,"n.a.")</x:f>
        <x:v>1.6018819503849444</x:v>
      </x:c>
      <x:c r="J29" s="10" t="n">
        <x:f>IF('Данные'!E29&gt;0,G29/'Данные'!E29,"n.a.")</x:f>
        <x:v>0.03858008158556183</x:v>
      </x:c>
      <x:c r="K29" s="1" t="str">
        <x:f>IF(G29&gt;='Дашборд'!$C$51,"X","Z")</x:f>
        <x:v>X</x:v>
      </x:c>
      <x:c r="L29" s="1" t="str">
        <x:f>IF(H29=0,IF(G29&gt;0,"Нет остатка","Нет спроса"),IF(I29&gt;='Дашборд'!$C$52,"Быстрый","Медленный"))</x:f>
        <x:v>Быстрый</x:v>
      </x:c>
      <x:c r="M29" s="1" t="str">
        <x:f>IF('Данные'!E29&lt;'Дашборд'!$C$53,"Мало трафика",IF(J29&lt;'Дашборд'!$C$9*'Дашборд'!$C$54,"Да","Нет"))</x:f>
        <x:v>Нет</x:v>
      </x:c>
      <x:c r="N29" s="1" t="str">
        <x:f>IF(AND('Данные'!D29&gt;='Дашборд'!$C$55,D29&lt;'Дашборд'!$C$56,'Данные'!E29&gt;='Дашборд'!$C$53,'Данные'!L29&lt;&gt;"Да"),"Да","Нет")</x:f>
        <x:v>Нет</x:v>
      </x:c>
      <x:c r="O29" s="1" t="str">
        <x:f>'Данные'!L29</x:f>
        <x:v>Нет</x:v>
      </x:c>
    </x:row>
    <x:row r="30">
      <x:c r="A30" s="1" t="str">
        <x:f>'Данные'!A30</x:f>
        <x:v>79437225</x:v>
      </x:c>
      <x:c r="B30" s="1" t="str">
        <x:f>'Данные'!B30</x:f>
        <x:v>futbolkaover/голубой</x:v>
      </x:c>
      <x:c r="C30" s="8" t="n">
        <x:f>'Данные'!G30</x:f>
        <x:v>4242512</x:v>
      </x:c>
      <x:c r="D30" s="15" t="n">
        <x:f>C30/SUM($C$5:$C$2477)</x:f>
        <x:v>0.004956202764607994</x:v>
      </x:c>
      <x:c r="E30" s="15" t="n">
        <x:f>SUM($D$5:D30)</x:f>
        <x:v>0.24425599774568352</x:v>
      </x:c>
      <x:c r="F30" s="1" t="str">
        <x:f>IF(C30&lt;=0,"C",IF(E30-D30&lt;'Дашборд'!$C$49,"A",IF(E30-D30&lt;'Дашборд'!$C$50,"B","C")))</x:f>
        <x:v>A</x:v>
      </x:c>
      <x:c r="G30" s="8" t="n">
        <x:f>'Данные'!F30</x:f>
        <x:v>8795</x:v>
      </x:c>
      <x:c r="H30" s="8" t="n">
        <x:f>SUM('Данные'!H30:I30)</x:f>
        <x:v>751</x:v>
      </x:c>
      <x:c r="I30" s="16" t="n">
        <x:f>IF(H30&gt;0,G30/H30,"n.a.")</x:f>
        <x:v>11.711051930758988</x:v>
      </x:c>
      <x:c r="J30" s="10" t="n">
        <x:f>IF('Данные'!E30&gt;0,G30/'Данные'!E30,"n.a.")</x:f>
        <x:v>0.03860707262255935</x:v>
      </x:c>
      <x:c r="K30" s="1" t="str">
        <x:f>IF(G30&gt;='Дашборд'!$C$51,"X","Z")</x:f>
        <x:v>X</x:v>
      </x:c>
      <x:c r="L30" s="1" t="str">
        <x:f>IF(H30=0,IF(G30&gt;0,"Нет остатка","Нет спроса"),IF(I30&gt;='Дашборд'!$C$52,"Быстрый","Медленный"))</x:f>
        <x:v>Быстрый</x:v>
      </x:c>
      <x:c r="M30" s="1" t="str">
        <x:f>IF('Данные'!E30&lt;'Дашборд'!$C$53,"Мало трафика",IF(J30&lt;'Дашборд'!$C$9*'Дашборд'!$C$54,"Да","Нет"))</x:f>
        <x:v>Нет</x:v>
      </x:c>
      <x:c r="N30" s="1" t="str">
        <x:f>IF(AND('Данные'!D30&gt;='Дашборд'!$C$55,D30&lt;'Дашборд'!$C$56,'Данные'!E30&gt;='Дашборд'!$C$53,'Данные'!L30&lt;&gt;"Да"),"Да","Нет")</x:f>
        <x:v>Нет</x:v>
      </x:c>
      <x:c r="O30" s="1" t="str">
        <x:f>'Данные'!L30</x:f>
        <x:v>Нет</x:v>
      </x:c>
    </x:row>
    <x:row r="31">
      <x:c r="A31" s="1" t="str">
        <x:f>'Данные'!A31</x:f>
        <x:v>35497578</x:v>
      </x:c>
      <x:c r="B31" s="1" t="str">
        <x:f>'Данные'!B31</x:f>
        <x:v>kroptop/черный</x:v>
      </x:c>
      <x:c r="C31" s="8" t="n">
        <x:f>'Данные'!G31</x:f>
        <x:v>4170334</x:v>
      </x:c>
      <x:c r="D31" s="15" t="n">
        <x:f>C31/SUM($C$5:$C$2477)</x:f>
        <x:v>0.00487188271951587</x:v>
      </x:c>
      <x:c r="E31" s="15" t="n">
        <x:f>SUM($D$5:D31)</x:f>
        <x:v>0.24912788046519938</x:v>
      </x:c>
      <x:c r="F31" s="1" t="str">
        <x:f>IF(C31&lt;=0,"C",IF(E31-D31&lt;'Дашборд'!$C$49,"A",IF(E31-D31&lt;'Дашборд'!$C$50,"B","C")))</x:f>
        <x:v>A</x:v>
      </x:c>
      <x:c r="G31" s="8" t="n">
        <x:f>'Данные'!F31</x:f>
        <x:v>8838</x:v>
      </x:c>
      <x:c r="H31" s="8" t="n">
        <x:f>SUM('Данные'!H31:I31)</x:f>
        <x:v>4776</x:v>
      </x:c>
      <x:c r="I31" s="16" t="n">
        <x:f>IF(H31&gt;0,G31/H31,"n.a.")</x:f>
        <x:v>1.850502512562814</x:v>
      </x:c>
      <x:c r="J31" s="10" t="n">
        <x:f>IF('Данные'!E31&gt;0,G31/'Данные'!E31,"n.a.")</x:f>
        <x:v>0.050989736281868585</x:v>
      </x:c>
      <x:c r="K31" s="1" t="str">
        <x:f>IF(G31&gt;='Дашборд'!$C$51,"X","Z")</x:f>
        <x:v>X</x:v>
      </x:c>
      <x:c r="L31" s="1" t="str">
        <x:f>IF(H31=0,IF(G31&gt;0,"Нет остатка","Нет спроса"),IF(I31&gt;='Дашборд'!$C$52,"Быстрый","Медленный"))</x:f>
        <x:v>Быстрый</x:v>
      </x:c>
      <x:c r="M31" s="1" t="str">
        <x:f>IF('Данные'!E31&lt;'Дашборд'!$C$53,"Мало трафика",IF(J31&lt;'Дашборд'!$C$9*'Дашборд'!$C$54,"Да","Нет"))</x:f>
        <x:v>Нет</x:v>
      </x:c>
      <x:c r="N31" s="1" t="str">
        <x:f>IF(AND('Данные'!D31&gt;='Дашборд'!$C$55,D31&lt;'Дашборд'!$C$56,'Данные'!E31&gt;='Дашборд'!$C$53,'Данные'!L31&lt;&gt;"Да"),"Да","Нет")</x:f>
        <x:v>Нет</x:v>
      </x:c>
      <x:c r="O31" s="1" t="str">
        <x:f>'Данные'!L31</x:f>
        <x:v>Нет</x:v>
      </x:c>
    </x:row>
    <x:row r="32">
      <x:c r="A32" s="1" t="str">
        <x:f>'Данные'!A32</x:f>
        <x:v>313189787</x:v>
      </x:c>
      <x:c r="B32" s="1" t="str">
        <x:f>'Данные'!B32</x:f>
        <x:v>longoverX2/мол-роз</x:v>
      </x:c>
      <x:c r="C32" s="8" t="n">
        <x:f>'Данные'!G32</x:f>
        <x:v>4133385</x:v>
      </x:c>
      <x:c r="D32" s="15" t="n">
        <x:f>C32/SUM($C$5:$C$2477)</x:f>
        <x:v>0.00482871802464889</x:v>
      </x:c>
      <x:c r="E32" s="15" t="n">
        <x:f>SUM($D$5:D32)</x:f>
        <x:v>0.25395659848984825</x:v>
      </x:c>
      <x:c r="F32" s="1" t="str">
        <x:f>IF(C32&lt;=0,"C",IF(E32-D32&lt;'Дашборд'!$C$49,"A",IF(E32-D32&lt;'Дашборд'!$C$50,"B","C")))</x:f>
        <x:v>A</x:v>
      </x:c>
      <x:c r="G32" s="8" t="n">
        <x:f>'Данные'!F32</x:f>
        <x:v>3424</x:v>
      </x:c>
      <x:c r="H32" s="8" t="n">
        <x:f>SUM('Данные'!H32:I32)</x:f>
        <x:v>909</x:v>
      </x:c>
      <x:c r="I32" s="16" t="n">
        <x:f>IF(H32&gt;0,G32/H32,"n.a.")</x:f>
        <x:v>3.766776677667767</x:v>
      </x:c>
      <x:c r="J32" s="10" t="n">
        <x:f>IF('Данные'!E32&gt;0,G32/'Данные'!E32,"n.a.")</x:f>
        <x:v>0.011336734795233538</x:v>
      </x:c>
      <x:c r="K32" s="1" t="str">
        <x:f>IF(G32&gt;='Дашборд'!$C$51,"X","Z")</x:f>
        <x:v>X</x:v>
      </x:c>
      <x:c r="L32" s="1" t="str">
        <x:f>IF(H32=0,IF(G32&gt;0,"Нет остатка","Нет спроса"),IF(I32&gt;='Дашборд'!$C$52,"Быстрый","Медленный"))</x:f>
        <x:v>Быстрый</x:v>
      </x:c>
      <x:c r="M32" s="1" t="str">
        <x:f>IF('Данные'!E32&lt;'Дашборд'!$C$53,"Мало трафика",IF(J32&lt;'Дашборд'!$C$9*'Дашборд'!$C$54,"Да","Нет"))</x:f>
        <x:v>Нет</x:v>
      </x:c>
      <x:c r="N32" s="1" t="str">
        <x:f>IF(AND('Данные'!D32&gt;='Дашборд'!$C$55,D32&lt;'Дашборд'!$C$56,'Данные'!E32&gt;='Дашборд'!$C$53,'Данные'!L32&lt;&gt;"Да"),"Да","Нет")</x:f>
        <x:v>Нет</x:v>
      </x:c>
      <x:c r="O32" s="1" t="str">
        <x:f>'Данные'!L32</x:f>
        <x:v>Нет</x:v>
      </x:c>
    </x:row>
    <x:row r="33">
      <x:c r="A33" s="1" t="str">
        <x:f>'Данные'!A33</x:f>
        <x:v>35238320</x:v>
      </x:c>
      <x:c r="B33" s="1" t="str">
        <x:f>'Данные'!B33</x:f>
        <x:v>futbolkaover/пыльнаяроза</x:v>
      </x:c>
      <x:c r="C33" s="8" t="n">
        <x:f>'Данные'!G33</x:f>
        <x:v>4059357</x:v>
      </x:c>
      <x:c r="D33" s="15" t="n">
        <x:f>C33/SUM($C$5:$C$2477)</x:f>
        <x:v>0.0047422367658431636</x:v>
      </x:c>
      <x:c r="E33" s="15" t="n">
        <x:f>SUM($D$5:D33)</x:f>
        <x:v>0.25869883525569143</x:v>
      </x:c>
      <x:c r="F33" s="1" t="str">
        <x:f>IF(C33&lt;=0,"C",IF(E33-D33&lt;'Дашборд'!$C$49,"A",IF(E33-D33&lt;'Дашборд'!$C$50,"B","C")))</x:f>
        <x:v>A</x:v>
      </x:c>
      <x:c r="G33" s="8" t="n">
        <x:f>'Данные'!F33</x:f>
        <x:v>8763</x:v>
      </x:c>
      <x:c r="H33" s="8" t="n">
        <x:f>SUM('Данные'!H33:I33)</x:f>
        <x:v>900</x:v>
      </x:c>
      <x:c r="I33" s="16" t="n">
        <x:f>IF(H33&gt;0,G33/H33,"n.a.")</x:f>
        <x:v>9.736666666666666</x:v>
      </x:c>
      <x:c r="J33" s="10" t="n">
        <x:f>IF('Данные'!E33&gt;0,G33/'Данные'!E33,"n.a.")</x:f>
        <x:v>0.030929581640612592</x:v>
      </x:c>
      <x:c r="K33" s="1" t="str">
        <x:f>IF(G33&gt;='Дашборд'!$C$51,"X","Z")</x:f>
        <x:v>X</x:v>
      </x:c>
      <x:c r="L33" s="1" t="str">
        <x:f>IF(H33=0,IF(G33&gt;0,"Нет остатка","Нет спроса"),IF(I33&gt;='Дашборд'!$C$52,"Быстрый","Медленный"))</x:f>
        <x:v>Быстрый</x:v>
      </x:c>
      <x:c r="M33" s="1" t="str">
        <x:f>IF('Данные'!E33&lt;'Дашборд'!$C$53,"Мало трафика",IF(J33&lt;'Дашборд'!$C$9*'Дашборд'!$C$54,"Да","Нет"))</x:f>
        <x:v>Нет</x:v>
      </x:c>
      <x:c r="N33" s="1" t="str">
        <x:f>IF(AND('Данные'!D33&gt;='Дашборд'!$C$55,D33&lt;'Дашборд'!$C$56,'Данные'!E33&gt;='Дашборд'!$C$53,'Данные'!L33&lt;&gt;"Да"),"Да","Нет")</x:f>
        <x:v>Нет</x:v>
      </x:c>
      <x:c r="O33" s="1" t="str">
        <x:f>'Данные'!L33</x:f>
        <x:v>Нет</x:v>
      </x:c>
    </x:row>
    <x:row r="34">
      <x:c r="A34" s="1" t="str">
        <x:f>'Данные'!A34</x:f>
        <x:v>17381009</x:v>
      </x:c>
      <x:c r="B34" s="1" t="str">
        <x:f>'Данные'!B34</x:f>
        <x:v>hudi/голубой</x:v>
      </x:c>
      <x:c r="C34" s="8" t="n">
        <x:f>'Данные'!G34</x:f>
        <x:v>3843147</x:v>
      </x:c>
      <x:c r="D34" s="15" t="n">
        <x:f>C34/SUM($C$5:$C$2477)</x:f>
        <x:v>0.00448965513502258</x:v>
      </x:c>
      <x:c r="E34" s="15" t="n">
        <x:f>SUM($D$5:D34)</x:f>
        <x:v>0.263188490390714</x:v>
      </x:c>
      <x:c r="F34" s="1" t="str">
        <x:f>IF(C34&lt;=0,"C",IF(E34-D34&lt;'Дашборд'!$C$49,"A",IF(E34-D34&lt;'Дашборд'!$C$50,"B","C")))</x:f>
        <x:v>A</x:v>
      </x:c>
      <x:c r="G34" s="8" t="n">
        <x:f>'Данные'!F34</x:f>
        <x:v>3493</x:v>
      </x:c>
      <x:c r="H34" s="8" t="n">
        <x:f>SUM('Данные'!H34:I34)</x:f>
        <x:v>2104</x:v>
      </x:c>
      <x:c r="I34" s="16" t="n">
        <x:f>IF(H34&gt;0,G34/H34,"n.a.")</x:f>
        <x:v>1.660171102661597</x:v>
      </x:c>
      <x:c r="J34" s="10" t="n">
        <x:f>IF('Данные'!E34&gt;0,G34/'Данные'!E34,"n.a.")</x:f>
        <x:v>0.02359322125483786</x:v>
      </x:c>
      <x:c r="K34" s="1" t="str">
        <x:f>IF(G34&gt;='Дашборд'!$C$51,"X","Z")</x:f>
        <x:v>X</x:v>
      </x:c>
      <x:c r="L34" s="1" t="str">
        <x:f>IF(H34=0,IF(G34&gt;0,"Нет остатка","Нет спроса"),IF(I34&gt;='Дашборд'!$C$52,"Быстрый","Медленный"))</x:f>
        <x:v>Быстрый</x:v>
      </x:c>
      <x:c r="M34" s="1" t="str">
        <x:f>IF('Данные'!E34&lt;'Дашборд'!$C$53,"Мало трафика",IF(J34&lt;'Дашборд'!$C$9*'Дашборд'!$C$54,"Да","Нет"))</x:f>
        <x:v>Нет</x:v>
      </x:c>
      <x:c r="N34" s="1" t="str">
        <x:f>IF(AND('Данные'!D34&gt;='Дашборд'!$C$55,D34&lt;'Дашборд'!$C$56,'Данные'!E34&gt;='Дашборд'!$C$53,'Данные'!L34&lt;&gt;"Да"),"Да","Нет")</x:f>
        <x:v>Нет</x:v>
      </x:c>
      <x:c r="O34" s="1" t="str">
        <x:f>'Данные'!L34</x:f>
        <x:v>Нет</x:v>
      </x:c>
    </x:row>
    <x:row r="35">
      <x:c r="A35" s="1" t="str">
        <x:f>'Данные'!A35</x:f>
        <x:v>233284870</x:v>
      </x:c>
      <x:c r="B35" s="1" t="str">
        <x:f>'Данные'!B35</x:f>
        <x:v>longover/бордовый</x:v>
      </x:c>
      <x:c r="C35" s="8" t="n">
        <x:f>'Данные'!G35</x:f>
        <x:v>3814462</x:v>
      </x:c>
      <x:c r="D35" s="15" t="n">
        <x:f>C35/SUM($C$5:$C$2477)</x:f>
        <x:v>0.004456144640225446</x:v>
      </x:c>
      <x:c r="E35" s="15" t="n">
        <x:f>SUM($D$5:D35)</x:f>
        <x:v>0.26764463503093944</x:v>
      </x:c>
      <x:c r="F35" s="1" t="str">
        <x:f>IF(C35&lt;=0,"C",IF(E35-D35&lt;'Дашборд'!$C$49,"A",IF(E35-D35&lt;'Дашборд'!$C$50,"B","C")))</x:f>
        <x:v>A</x:v>
      </x:c>
      <x:c r="G35" s="8" t="n">
        <x:f>'Данные'!F35</x:f>
        <x:v>6691</x:v>
      </x:c>
      <x:c r="H35" s="8" t="n">
        <x:f>SUM('Данные'!H35:I35)</x:f>
        <x:v>2161</x:v>
      </x:c>
      <x:c r="I35" s="16" t="n">
        <x:f>IF(H35&gt;0,G35/H35,"n.a.")</x:f>
        <x:v>3.096251735307728</x:v>
      </x:c>
      <x:c r="J35" s="10" t="n">
        <x:f>IF('Данные'!E35&gt;0,G35/'Данные'!E35,"n.a.")</x:f>
        <x:v>0.02568334747177749</x:v>
      </x:c>
      <x:c r="K35" s="1" t="str">
        <x:f>IF(G35&gt;='Дашборд'!$C$51,"X","Z")</x:f>
        <x:v>X</x:v>
      </x:c>
      <x:c r="L35" s="1" t="str">
        <x:f>IF(H35=0,IF(G35&gt;0,"Нет остатка","Нет спроса"),IF(I35&gt;='Дашборд'!$C$52,"Быстрый","Медленный"))</x:f>
        <x:v>Быстрый</x:v>
      </x:c>
      <x:c r="M35" s="1" t="str">
        <x:f>IF('Данные'!E35&lt;'Дашборд'!$C$53,"Мало трафика",IF(J35&lt;'Дашборд'!$C$9*'Дашборд'!$C$54,"Да","Нет"))</x:f>
        <x:v>Нет</x:v>
      </x:c>
      <x:c r="N35" s="1" t="str">
        <x:f>IF(AND('Данные'!D35&gt;='Дашборд'!$C$55,D35&lt;'Дашборд'!$C$56,'Данные'!E35&gt;='Дашборд'!$C$53,'Данные'!L35&lt;&gt;"Да"),"Да","Нет")</x:f>
        <x:v>Нет</x:v>
      </x:c>
      <x:c r="O35" s="1" t="str">
        <x:f>'Данные'!L35</x:f>
        <x:v>Нет</x:v>
      </x:c>
    </x:row>
    <x:row r="36">
      <x:c r="A36" s="1" t="str">
        <x:f>'Данные'!A36</x:f>
        <x:v>217335659</x:v>
      </x:c>
      <x:c r="B36" s="1" t="str">
        <x:f>'Данные'!B36</x:f>
        <x:v>longover/черный</x:v>
      </x:c>
      <x:c r="C36" s="8" t="n">
        <x:f>'Данные'!G36</x:f>
        <x:v>3783808</x:v>
      </x:c>
      <x:c r="D36" s="15" t="n">
        <x:f>C36/SUM($C$5:$C$2477)</x:f>
        <x:v>0.004420333913102861</x:v>
      </x:c>
      <x:c r="E36" s="15" t="n">
        <x:f>SUM($D$5:D36)</x:f>
        <x:v>0.2720649689440423</x:v>
      </x:c>
      <x:c r="F36" s="1" t="str">
        <x:f>IF(C36&lt;=0,"C",IF(E36-D36&lt;'Дашборд'!$C$49,"A",IF(E36-D36&lt;'Дашборд'!$C$50,"B","C")))</x:f>
        <x:v>A</x:v>
      </x:c>
      <x:c r="G36" s="8" t="n">
        <x:f>'Данные'!F36</x:f>
        <x:v>7743</x:v>
      </x:c>
      <x:c r="H36" s="8" t="n">
        <x:f>SUM('Данные'!H36:I36)</x:f>
        <x:v>6474</x:v>
      </x:c>
      <x:c r="I36" s="16" t="n">
        <x:f>IF(H36&gt;0,G36/H36,"n.a.")</x:f>
        <x:v>1.196014828544949</x:v>
      </x:c>
      <x:c r="J36" s="10" t="n">
        <x:f>IF('Данные'!E36&gt;0,G36/'Данные'!E36,"n.a.")</x:f>
        <x:v>0.03654944536228463</x:v>
      </x:c>
      <x:c r="K36" s="1" t="str">
        <x:f>IF(G36&gt;='Дашборд'!$C$51,"X","Z")</x:f>
        <x:v>X</x:v>
      </x:c>
      <x:c r="L36" s="1" t="str">
        <x:f>IF(H36=0,IF(G36&gt;0,"Нет остатка","Нет спроса"),IF(I36&gt;='Дашборд'!$C$52,"Быстрый","Медленный"))</x:f>
        <x:v>Быстрый</x:v>
      </x:c>
      <x:c r="M36" s="1" t="str">
        <x:f>IF('Данные'!E36&lt;'Дашборд'!$C$53,"Мало трафика",IF(J36&lt;'Дашборд'!$C$9*'Дашборд'!$C$54,"Да","Нет"))</x:f>
        <x:v>Нет</x:v>
      </x:c>
      <x:c r="N36" s="1" t="str">
        <x:f>IF(AND('Данные'!D36&gt;='Дашборд'!$C$55,D36&lt;'Дашборд'!$C$56,'Данные'!E36&gt;='Дашборд'!$C$53,'Данные'!L36&lt;&gt;"Да"),"Да","Нет")</x:f>
        <x:v>Нет</x:v>
      </x:c>
      <x:c r="O36" s="1" t="str">
        <x:f>'Данные'!L36</x:f>
        <x:v>Нет</x:v>
      </x:c>
    </x:row>
    <x:row r="37">
      <x:c r="A37" s="1" t="str">
        <x:f>'Данные'!A37</x:f>
        <x:v>222011064</x:v>
      </x:c>
      <x:c r="B37" s="1" t="str">
        <x:f>'Данные'!B37</x:f>
        <x:v>futbolkamanoverX3/чер-тсер-как</x:v>
      </x:c>
      <x:c r="C37" s="8" t="n">
        <x:f>'Данные'!G37</x:f>
        <x:v>3746570</x:v>
      </x:c>
      <x:c r="D37" s="15" t="n">
        <x:f>C37/SUM($C$5:$C$2477)</x:f>
        <x:v>0.004376831601607107</x:v>
      </x:c>
      <x:c r="E37" s="15" t="n">
        <x:f>SUM($D$5:D37)</x:f>
        <x:v>0.27644180054564943</x:v>
      </x:c>
      <x:c r="F37" s="1" t="str">
        <x:f>IF(C37&lt;=0,"C",IF(E37-D37&lt;'Дашборд'!$C$49,"A",IF(E37-D37&lt;'Дашборд'!$C$50,"B","C")))</x:f>
        <x:v>A</x:v>
      </x:c>
      <x:c r="G37" s="8" t="n">
        <x:f>'Данные'!F37</x:f>
        <x:v>2731</x:v>
      </x:c>
      <x:c r="H37" s="8" t="n">
        <x:f>SUM('Данные'!H37:I37)</x:f>
        <x:v>87</x:v>
      </x:c>
      <x:c r="I37" s="16" t="n">
        <x:f>IF(H37&gt;0,G37/H37,"n.a.")</x:f>
        <x:v>31.39080459770115</x:v>
      </x:c>
      <x:c r="J37" s="10" t="n">
        <x:f>IF('Данные'!E37&gt;0,G37/'Данные'!E37,"n.a.")</x:f>
        <x:v>0.026486790549714864</x:v>
      </x:c>
      <x:c r="K37" s="1" t="str">
        <x:f>IF(G37&gt;='Дашборд'!$C$51,"X","Z")</x:f>
        <x:v>X</x:v>
      </x:c>
      <x:c r="L37" s="1" t="str">
        <x:f>IF(H37=0,IF(G37&gt;0,"Нет остатка","Нет спроса"),IF(I37&gt;='Дашборд'!$C$52,"Быстрый","Медленный"))</x:f>
        <x:v>Быстрый</x:v>
      </x:c>
      <x:c r="M37" s="1" t="str">
        <x:f>IF('Данные'!E37&lt;'Дашборд'!$C$53,"Мало трафика",IF(J37&lt;'Дашборд'!$C$9*'Дашборд'!$C$54,"Да","Нет"))</x:f>
        <x:v>Нет</x:v>
      </x:c>
      <x:c r="N37" s="1" t="str">
        <x:f>IF(AND('Данные'!D37&gt;='Дашборд'!$C$55,D37&lt;'Дашборд'!$C$56,'Данные'!E37&gt;='Дашборд'!$C$53,'Данные'!L37&lt;&gt;"Да"),"Да","Нет")</x:f>
        <x:v>Нет</x:v>
      </x:c>
      <x:c r="O37" s="1" t="str">
        <x:f>'Данные'!L37</x:f>
        <x:v>Нет</x:v>
      </x:c>
    </x:row>
    <x:row r="38">
      <x:c r="A38" s="1" t="str">
        <x:f>'Данные'!A38</x:f>
        <x:v>165757792</x:v>
      </x:c>
      <x:c r="B38" s="1" t="str">
        <x:f>'Данные'!B38</x:f>
        <x:v>kulirkaman/кофейный</x:v>
      </x:c>
      <x:c r="C38" s="8" t="n">
        <x:f>'Данные'!G38</x:f>
        <x:v>3714991</x:v>
      </x:c>
      <x:c r="D38" s="15" t="n">
        <x:f>C38/SUM($C$5:$C$2477)</x:f>
        <x:v>0.00433994026762772</x:v>
      </x:c>
      <x:c r="E38" s="15" t="n">
        <x:f>SUM($D$5:D38)</x:f>
        <x:v>0.28078174081327717</x:v>
      </x:c>
      <x:c r="F38" s="1" t="str">
        <x:f>IF(C38&lt;=0,"C",IF(E38-D38&lt;'Дашборд'!$C$49,"A",IF(E38-D38&lt;'Дашборд'!$C$50,"B","C")))</x:f>
        <x:v>A</x:v>
      </x:c>
      <x:c r="G38" s="8" t="n">
        <x:f>'Данные'!F38</x:f>
        <x:v>6617</x:v>
      </x:c>
      <x:c r="H38" s="8" t="n">
        <x:f>SUM('Данные'!H38:I38)</x:f>
        <x:v>2265</x:v>
      </x:c>
      <x:c r="I38" s="16" t="n">
        <x:f>IF(H38&gt;0,G38/H38,"n.a.")</x:f>
        <x:v>2.921412803532009</x:v>
      </x:c>
      <x:c r="J38" s="10" t="n">
        <x:f>IF('Данные'!E38&gt;0,G38/'Данные'!E38,"n.a.")</x:f>
        <x:v>0.049601954993178515</x:v>
      </x:c>
      <x:c r="K38" s="1" t="str">
        <x:f>IF(G38&gt;='Дашборд'!$C$51,"X","Z")</x:f>
        <x:v>X</x:v>
      </x:c>
      <x:c r="L38" s="1" t="str">
        <x:f>IF(H38=0,IF(G38&gt;0,"Нет остатка","Нет спроса"),IF(I38&gt;='Дашборд'!$C$52,"Быстрый","Медленный"))</x:f>
        <x:v>Быстрый</x:v>
      </x:c>
      <x:c r="M38" s="1" t="str">
        <x:f>IF('Данные'!E38&lt;'Дашборд'!$C$53,"Мало трафика",IF(J38&lt;'Дашборд'!$C$9*'Дашборд'!$C$54,"Да","Нет"))</x:f>
        <x:v>Нет</x:v>
      </x:c>
      <x:c r="N38" s="1" t="str">
        <x:f>IF(AND('Данные'!D38&gt;='Дашборд'!$C$55,D38&lt;'Дашборд'!$C$56,'Данные'!E38&gt;='Дашборд'!$C$53,'Данные'!L38&lt;&gt;"Да"),"Да","Нет")</x:f>
        <x:v>Нет</x:v>
      </x:c>
      <x:c r="O38" s="1" t="str">
        <x:f>'Данные'!L38</x:f>
        <x:v>Нет</x:v>
      </x:c>
    </x:row>
    <x:row r="39">
      <x:c r="A39" s="1" t="str">
        <x:f>'Данные'!A39</x:f>
        <x:v>35237962</x:v>
      </x:c>
      <x:c r="B39" s="1" t="str">
        <x:f>'Данные'!B39</x:f>
        <x:v>futbolkaover/кофейный</x:v>
      </x:c>
      <x:c r="C39" s="8" t="n">
        <x:f>'Данные'!G39</x:f>
        <x:v>3639683</x:v>
      </x:c>
      <x:c r="D39" s="15" t="n">
        <x:f>C39/SUM($C$5:$C$2477)</x:f>
        <x:v>0.0042519636825769066</x:v>
      </x:c>
      <x:c r="E39" s="15" t="n">
        <x:f>SUM($D$5:D39)</x:f>
        <x:v>0.2850337044958541</x:v>
      </x:c>
      <x:c r="F39" s="1" t="str">
        <x:f>IF(C39&lt;=0,"C",IF(E39-D39&lt;'Дашборд'!$C$49,"A",IF(E39-D39&lt;'Дашборд'!$C$50,"B","C")))</x:f>
        <x:v>A</x:v>
      </x:c>
      <x:c r="G39" s="8" t="n">
        <x:f>'Данные'!F39</x:f>
        <x:v>7358</x:v>
      </x:c>
      <x:c r="H39" s="8" t="n">
        <x:f>SUM('Данные'!H39:I39)</x:f>
        <x:v>1354</x:v>
      </x:c>
      <x:c r="I39" s="16" t="n">
        <x:f>IF(H39&gt;0,G39/H39,"n.a.")</x:f>
        <x:v>5.434268833087149</x:v>
      </x:c>
      <x:c r="J39" s="10" t="n">
        <x:f>IF('Данные'!E39&gt;0,G39/'Данные'!E39,"n.a.")</x:f>
        <x:v>0.02903159622486664</x:v>
      </x:c>
      <x:c r="K39" s="1" t="str">
        <x:f>IF(G39&gt;='Дашборд'!$C$51,"X","Z")</x:f>
        <x:v>X</x:v>
      </x:c>
      <x:c r="L39" s="1" t="str">
        <x:f>IF(H39=0,IF(G39&gt;0,"Нет остатка","Нет спроса"),IF(I39&gt;='Дашборд'!$C$52,"Быстрый","Медленный"))</x:f>
        <x:v>Быстрый</x:v>
      </x:c>
      <x:c r="M39" s="1" t="str">
        <x:f>IF('Данные'!E39&lt;'Дашборд'!$C$53,"Мало трафика",IF(J39&lt;'Дашборд'!$C$9*'Дашборд'!$C$54,"Да","Нет"))</x:f>
        <x:v>Нет</x:v>
      </x:c>
      <x:c r="N39" s="1" t="str">
        <x:f>IF(AND('Данные'!D39&gt;='Дашборд'!$C$55,D39&lt;'Дашборд'!$C$56,'Данные'!E39&gt;='Дашборд'!$C$53,'Данные'!L39&lt;&gt;"Да"),"Да","Нет")</x:f>
        <x:v>Нет</x:v>
      </x:c>
      <x:c r="O39" s="1" t="str">
        <x:f>'Данные'!L39</x:f>
        <x:v>Нет</x:v>
      </x:c>
    </x:row>
    <x:row r="40">
      <x:c r="A40" s="1" t="str">
        <x:f>'Данные'!A40</x:f>
        <x:v>217339663</x:v>
      </x:c>
      <x:c r="B40" s="1" t="str">
        <x:f>'Данные'!B40</x:f>
        <x:v>longover/белый</x:v>
      </x:c>
      <x:c r="C40" s="8" t="n">
        <x:f>'Данные'!G40</x:f>
        <x:v>3615557</x:v>
      </x:c>
      <x:c r="D40" s="15" t="n">
        <x:f>C40/SUM($C$5:$C$2477)</x:f>
        <x:v>0.0042237791193042665</x:v>
      </x:c>
      <x:c r="E40" s="15" t="n">
        <x:f>SUM($D$5:D40)</x:f>
        <x:v>0.28925748361515835</x:v>
      </x:c>
      <x:c r="F40" s="1" t="str">
        <x:f>IF(C40&lt;=0,"C",IF(E40-D40&lt;'Дашборд'!$C$49,"A",IF(E40-D40&lt;'Дашборд'!$C$50,"B","C")))</x:f>
        <x:v>A</x:v>
      </x:c>
      <x:c r="G40" s="8" t="n">
        <x:f>'Данные'!F40</x:f>
        <x:v>8005</x:v>
      </x:c>
      <x:c r="H40" s="8" t="n">
        <x:f>SUM('Данные'!H40:I40)</x:f>
        <x:v>4542</x:v>
      </x:c>
      <x:c r="I40" s="16" t="n">
        <x:f>IF(H40&gt;0,G40/H40,"n.a.")</x:f>
        <x:v>1.7624394539850285</x:v>
      </x:c>
      <x:c r="J40" s="10" t="n">
        <x:f>IF('Данные'!E40&gt;0,G40/'Данные'!E40,"n.a.")</x:f>
        <x:v>0.03837101729931311</x:v>
      </x:c>
      <x:c r="K40" s="1" t="str">
        <x:f>IF(G40&gt;='Дашборд'!$C$51,"X","Z")</x:f>
        <x:v>X</x:v>
      </x:c>
      <x:c r="L40" s="1" t="str">
        <x:f>IF(H40=0,IF(G40&gt;0,"Нет остатка","Нет спроса"),IF(I40&gt;='Дашборд'!$C$52,"Быстрый","Медленный"))</x:f>
        <x:v>Быстрый</x:v>
      </x:c>
      <x:c r="M40" s="1" t="str">
        <x:f>IF('Данные'!E40&lt;'Дашборд'!$C$53,"Мало трафика",IF(J40&lt;'Дашборд'!$C$9*'Дашборд'!$C$54,"Да","Нет"))</x:f>
        <x:v>Нет</x:v>
      </x:c>
      <x:c r="N40" s="1" t="str">
        <x:f>IF(AND('Данные'!D40&gt;='Дашборд'!$C$55,D40&lt;'Дашборд'!$C$56,'Данные'!E40&gt;='Дашборд'!$C$53,'Данные'!L40&lt;&gt;"Да"),"Да","Нет")</x:f>
        <x:v>Нет</x:v>
      </x:c>
      <x:c r="O40" s="1" t="str">
        <x:f>'Данные'!L40</x:f>
        <x:v>Нет</x:v>
      </x:c>
    </x:row>
    <x:row r="41">
      <x:c r="A41" s="1" t="str">
        <x:f>'Данные'!A41</x:f>
        <x:v>323186188</x:v>
      </x:c>
      <x:c r="B41" s="1" t="str">
        <x:f>'Данные'!B41</x:f>
        <x:v>futskims3K-102/каштановый</x:v>
      </x:c>
      <x:c r="C41" s="8" t="n">
        <x:f>'Данные'!G41</x:f>
        <x:v>3600920</x:v>
      </x:c>
      <x:c r="D41" s="15" t="n">
        <x:f>C41/SUM($C$5:$C$2477)</x:f>
        <x:v>0.0042066798300469666</x:v>
      </x:c>
      <x:c r="E41" s="15" t="n">
        <x:f>SUM($D$5:D41)</x:f>
        <x:v>0.2934641634452053</x:v>
      </x:c>
      <x:c r="F41" s="1" t="str">
        <x:f>IF(C41&lt;=0,"C",IF(E41-D41&lt;'Дашборд'!$C$49,"A",IF(E41-D41&lt;'Дашборд'!$C$50,"B","C")))</x:f>
        <x:v>A</x:v>
      </x:c>
      <x:c r="G41" s="8" t="n">
        <x:f>'Данные'!F41</x:f>
        <x:v>6476</x:v>
      </x:c>
      <x:c r="H41" s="8" t="n">
        <x:f>SUM('Данные'!H41:I41)</x:f>
        <x:v>2172</x:v>
      </x:c>
      <x:c r="I41" s="16" t="n">
        <x:f>IF(H41&gt;0,G41/H41,"n.a.")</x:f>
        <x:v>2.9815837937384897</x:v>
      </x:c>
      <x:c r="J41" s="10" t="n">
        <x:f>IF('Данные'!E41&gt;0,G41/'Данные'!E41,"n.a.")</x:f>
        <x:v>0.03165881225679032</x:v>
      </x:c>
      <x:c r="K41" s="1" t="str">
        <x:f>IF(G41&gt;='Дашборд'!$C$51,"X","Z")</x:f>
        <x:v>X</x:v>
      </x:c>
      <x:c r="L41" s="1" t="str">
        <x:f>IF(H41=0,IF(G41&gt;0,"Нет остатка","Нет спроса"),IF(I41&gt;='Дашборд'!$C$52,"Быстрый","Медленный"))</x:f>
        <x:v>Быстрый</x:v>
      </x:c>
      <x:c r="M41" s="1" t="str">
        <x:f>IF('Данные'!E41&lt;'Дашборд'!$C$53,"Мало трафика",IF(J41&lt;'Дашборд'!$C$9*'Дашборд'!$C$54,"Да","Нет"))</x:f>
        <x:v>Нет</x:v>
      </x:c>
      <x:c r="N41" s="1" t="str">
        <x:f>IF(AND('Данные'!D41&gt;='Дашборд'!$C$55,D41&lt;'Дашборд'!$C$56,'Данные'!E41&gt;='Дашборд'!$C$53,'Данные'!L41&lt;&gt;"Да"),"Да","Нет")</x:f>
        <x:v>Нет</x:v>
      </x:c>
      <x:c r="O41" s="1" t="str">
        <x:f>'Данные'!L41</x:f>
        <x:v>Нет</x:v>
      </x:c>
    </x:row>
    <x:row r="42">
      <x:c r="A42" s="1" t="str">
        <x:f>'Данные'!A42</x:f>
        <x:v>87044808</x:v>
      </x:c>
      <x:c r="B42" s="1" t="str">
        <x:f>'Данные'!B42</x:f>
        <x:v>kroptop/дымка</x:v>
      </x:c>
      <x:c r="C42" s="8" t="n">
        <x:f>'Данные'!G42</x:f>
        <x:v>3583915</x:v>
      </x:c>
      <x:c r="D42" s="15" t="n">
        <x:f>C42/SUM($C$5:$C$2477)</x:f>
        <x:v>0.004186814187236255</x:v>
      </x:c>
      <x:c r="E42" s="15" t="n">
        <x:f>SUM($D$5:D42)</x:f>
        <x:v>0.2976509776324416</x:v>
      </x:c>
      <x:c r="F42" s="1" t="str">
        <x:f>IF(C42&lt;=0,"C",IF(E42-D42&lt;'Дашборд'!$C$49,"A",IF(E42-D42&lt;'Дашборд'!$C$50,"B","C")))</x:f>
        <x:v>A</x:v>
      </x:c>
      <x:c r="G42" s="8" t="n">
        <x:f>'Данные'!F42</x:f>
        <x:v>8429</x:v>
      </x:c>
      <x:c r="H42" s="8" t="n">
        <x:f>SUM('Данные'!H42:I42)</x:f>
        <x:v>4546</x:v>
      </x:c>
      <x:c r="I42" s="16" t="n">
        <x:f>IF(H42&gt;0,G42/H42,"n.a.")</x:f>
        <x:v>1.854157501099868</x:v>
      </x:c>
      <x:c r="J42" s="10" t="n">
        <x:f>IF('Данные'!E42&gt;0,G42/'Данные'!E42,"n.a.")</x:f>
        <x:v>0.03947547125629317</x:v>
      </x:c>
      <x:c r="K42" s="1" t="str">
        <x:f>IF(G42&gt;='Дашборд'!$C$51,"X","Z")</x:f>
        <x:v>X</x:v>
      </x:c>
      <x:c r="L42" s="1" t="str">
        <x:f>IF(H42=0,IF(G42&gt;0,"Нет остатка","Нет спроса"),IF(I42&gt;='Дашборд'!$C$52,"Быстрый","Медленный"))</x:f>
        <x:v>Быстрый</x:v>
      </x:c>
      <x:c r="M42" s="1" t="str">
        <x:f>IF('Данные'!E42&lt;'Дашборд'!$C$53,"Мало трафика",IF(J42&lt;'Дашборд'!$C$9*'Дашборд'!$C$54,"Да","Нет"))</x:f>
        <x:v>Нет</x:v>
      </x:c>
      <x:c r="N42" s="1" t="str">
        <x:f>IF(AND('Данные'!D42&gt;='Дашборд'!$C$55,D42&lt;'Дашборд'!$C$56,'Данные'!E42&gt;='Дашборд'!$C$53,'Данные'!L42&lt;&gt;"Да"),"Да","Нет")</x:f>
        <x:v>Нет</x:v>
      </x:c>
      <x:c r="O42" s="1" t="str">
        <x:f>'Данные'!L42</x:f>
        <x:v>Нет</x:v>
      </x:c>
    </x:row>
    <x:row r="43">
      <x:c r="A43" s="1" t="str">
        <x:f>'Данные'!A43</x:f>
        <x:v>172152344</x:v>
      </x:c>
      <x:c r="B43" s="1" t="str">
        <x:f>'Данные'!B43</x:f>
        <x:v>baza/белый</x:v>
      </x:c>
      <x:c r="C43" s="8" t="n">
        <x:f>'Данные'!G43</x:f>
        <x:v>3511580</x:v>
      </x:c>
      <x:c r="D43" s="15" t="n">
        <x:f>C43/SUM($C$5:$C$2477)</x:f>
        <x:v>0.004102310731034382</x:v>
      </x:c>
      <x:c r="E43" s="15" t="n">
        <x:f>SUM($D$5:D43)</x:f>
        <x:v>0.301753288363476</x:v>
      </x:c>
      <x:c r="F43" s="1" t="str">
        <x:f>IF(C43&lt;=0,"C",IF(E43-D43&lt;'Дашборд'!$C$49,"A",IF(E43-D43&lt;'Дашборд'!$C$50,"B","C")))</x:f>
        <x:v>A</x:v>
      </x:c>
      <x:c r="G43" s="8" t="n">
        <x:f>'Данные'!F43</x:f>
        <x:v>5655</x:v>
      </x:c>
      <x:c r="H43" s="8" t="n">
        <x:f>SUM('Данные'!H43:I43)</x:f>
        <x:v>2167</x:v>
      </x:c>
      <x:c r="I43" s="16" t="n">
        <x:f>IF(H43&gt;0,G43/H43,"n.a.")</x:f>
        <x:v>2.6095985233041072</x:v>
      </x:c>
      <x:c r="J43" s="10" t="n">
        <x:f>IF('Данные'!E43&gt;0,G43/'Данные'!E43,"n.a.")</x:f>
        <x:v>0.04041393012070579</x:v>
      </x:c>
      <x:c r="K43" s="1" t="str">
        <x:f>IF(G43&gt;='Дашборд'!$C$51,"X","Z")</x:f>
        <x:v>X</x:v>
      </x:c>
      <x:c r="L43" s="1" t="str">
        <x:f>IF(H43=0,IF(G43&gt;0,"Нет остатка","Нет спроса"),IF(I43&gt;='Дашборд'!$C$52,"Быстрый","Медленный"))</x:f>
        <x:v>Быстрый</x:v>
      </x:c>
      <x:c r="M43" s="1" t="str">
        <x:f>IF('Данные'!E43&lt;'Дашборд'!$C$53,"Мало трафика",IF(J43&lt;'Дашборд'!$C$9*'Дашборд'!$C$54,"Да","Нет"))</x:f>
        <x:v>Нет</x:v>
      </x:c>
      <x:c r="N43" s="1" t="str">
        <x:f>IF(AND('Данные'!D43&gt;='Дашборд'!$C$55,D43&lt;'Дашборд'!$C$56,'Данные'!E43&gt;='Дашборд'!$C$53,'Данные'!L43&lt;&gt;"Да"),"Да","Нет")</x:f>
        <x:v>Нет</x:v>
      </x:c>
      <x:c r="O43" s="1" t="str">
        <x:f>'Данные'!L43</x:f>
        <x:v>Нет</x:v>
      </x:c>
    </x:row>
    <x:row r="44">
      <x:c r="A44" s="1" t="str">
        <x:f>'Данные'!A44</x:f>
        <x:v>253951197</x:v>
      </x:c>
      <x:c r="B44" s="1" t="str">
        <x:f>'Данные'!B44</x:f>
        <x:v>hudi/светло-розовый</x:v>
      </x:c>
      <x:c r="C44" s="8" t="n">
        <x:f>'Данные'!G44</x:f>
        <x:v>3501429</x:v>
      </x:c>
      <x:c r="D44" s="15" t="n">
        <x:f>C44/SUM($C$5:$C$2477)</x:f>
        <x:v>0.004090452092976662</x:v>
      </x:c>
      <x:c r="E44" s="15" t="n">
        <x:f>SUM($D$5:D44)</x:f>
        <x:v>0.30584374045645263</x:v>
      </x:c>
      <x:c r="F44" s="1" t="str">
        <x:f>IF(C44&lt;=0,"C",IF(E44-D44&lt;'Дашборд'!$C$49,"A",IF(E44-D44&lt;'Дашборд'!$C$50,"B","C")))</x:f>
        <x:v>A</x:v>
      </x:c>
      <x:c r="G44" s="8" t="n">
        <x:f>'Данные'!F44</x:f>
        <x:v>2778</x:v>
      </x:c>
      <x:c r="H44" s="8" t="n">
        <x:f>SUM('Данные'!H44:I44)</x:f>
        <x:v>358</x:v>
      </x:c>
      <x:c r="I44" s="16" t="n">
        <x:f>IF(H44&gt;0,G44/H44,"n.a.")</x:f>
        <x:v>7.759776536312849</x:v>
      </x:c>
      <x:c r="J44" s="10" t="n">
        <x:f>IF('Данные'!E44&gt;0,G44/'Данные'!E44,"n.a.")</x:f>
        <x:v>0.013482164523173986</x:v>
      </x:c>
      <x:c r="K44" s="1" t="str">
        <x:f>IF(G44&gt;='Дашборд'!$C$51,"X","Z")</x:f>
        <x:v>X</x:v>
      </x:c>
      <x:c r="L44" s="1" t="str">
        <x:f>IF(H44=0,IF(G44&gt;0,"Нет остатка","Нет спроса"),IF(I44&gt;='Дашборд'!$C$52,"Быстрый","Медленный"))</x:f>
        <x:v>Быстрый</x:v>
      </x:c>
      <x:c r="M44" s="1" t="str">
        <x:f>IF('Данные'!E44&lt;'Дашборд'!$C$53,"Мало трафика",IF(J44&lt;'Дашборд'!$C$9*'Дашборд'!$C$54,"Да","Нет"))</x:f>
        <x:v>Нет</x:v>
      </x:c>
      <x:c r="N44" s="1" t="str">
        <x:f>IF(AND('Данные'!D44&gt;='Дашборд'!$C$55,D44&lt;'Дашборд'!$C$56,'Данные'!E44&gt;='Дашборд'!$C$53,'Данные'!L44&lt;&gt;"Да"),"Да","Нет")</x:f>
        <x:v>Нет</x:v>
      </x:c>
      <x:c r="O44" s="1" t="str">
        <x:f>'Данные'!L44</x:f>
        <x:v>Нет</x:v>
      </x:c>
    </x:row>
    <x:row r="45">
      <x:c r="A45" s="1" t="str">
        <x:f>'Данные'!A45</x:f>
        <x:v>233284873</x:v>
      </x:c>
      <x:c r="B45" s="1" t="str">
        <x:f>'Данные'!B45</x:f>
        <x:v>longover/какао</x:v>
      </x:c>
      <x:c r="C45" s="8" t="n">
        <x:f>'Данные'!G45</x:f>
        <x:v>3461687</x:v>
      </x:c>
      <x:c r="D45" s="15" t="n">
        <x:f>C45/SUM($C$5:$C$2477)</x:f>
        <x:v>0.004044024549513955</x:v>
      </x:c>
      <x:c r="E45" s="15" t="n">
        <x:f>SUM($D$5:D45)</x:f>
        <x:v>0.3098877650059666</x:v>
      </x:c>
      <x:c r="F45" s="1" t="str">
        <x:f>IF(C45&lt;=0,"C",IF(E45-D45&lt;'Дашборд'!$C$49,"A",IF(E45-D45&lt;'Дашборд'!$C$50,"B","C")))</x:f>
        <x:v>A</x:v>
      </x:c>
      <x:c r="G45" s="8" t="n">
        <x:f>'Данные'!F45</x:f>
        <x:v>7507</x:v>
      </x:c>
      <x:c r="H45" s="8" t="n">
        <x:f>SUM('Данные'!H45:I45)</x:f>
        <x:v>3612</x:v>
      </x:c>
      <x:c r="I45" s="16" t="n">
        <x:f>IF(H45&gt;0,G45/H45,"n.a.")</x:f>
        <x:v>2.0783499446290143</x:v>
      </x:c>
      <x:c r="J45" s="10" t="n">
        <x:f>IF('Данные'!E45&gt;0,G45/'Данные'!E45,"n.a.")</x:f>
        <x:v>0.026518162132756835</x:v>
      </x:c>
      <x:c r="K45" s="1" t="str">
        <x:f>IF(G45&gt;='Дашборд'!$C$51,"X","Z")</x:f>
        <x:v>X</x:v>
      </x:c>
      <x:c r="L45" s="1" t="str">
        <x:f>IF(H45=0,IF(G45&gt;0,"Нет остатка","Нет спроса"),IF(I45&gt;='Дашборд'!$C$52,"Быстрый","Медленный"))</x:f>
        <x:v>Быстрый</x:v>
      </x:c>
      <x:c r="M45" s="1" t="str">
        <x:f>IF('Данные'!E45&lt;'Дашборд'!$C$53,"Мало трафика",IF(J45&lt;'Дашборд'!$C$9*'Дашборд'!$C$54,"Да","Нет"))</x:f>
        <x:v>Нет</x:v>
      </x:c>
      <x:c r="N45" s="1" t="str">
        <x:f>IF(AND('Данные'!D45&gt;='Дашборд'!$C$55,D45&lt;'Дашборд'!$C$56,'Данные'!E45&gt;='Дашборд'!$C$53,'Данные'!L45&lt;&gt;"Да"),"Да","Нет")</x:f>
        <x:v>Нет</x:v>
      </x:c>
      <x:c r="O45" s="1" t="str">
        <x:f>'Данные'!L45</x:f>
        <x:v>Нет</x:v>
      </x:c>
    </x:row>
    <x:row r="46">
      <x:c r="A46" s="1" t="str">
        <x:f>'Данные'!A46</x:f>
        <x:v>19165094</x:v>
      </x:c>
      <x:c r="B46" s="1" t="str">
        <x:f>'Данные'!B46</x:f>
        <x:v>hudi/песочный</x:v>
      </x:c>
      <x:c r="C46" s="8" t="n">
        <x:f>'Данные'!G46</x:f>
        <x:v>3357743</x:v>
      </x:c>
      <x:c r="D46" s="15" t="n">
        <x:f>C46/SUM($C$5:$C$2477)</x:f>
        <x:v>0.003922594712623827</x:v>
      </x:c>
      <x:c r="E46" s="15" t="n">
        <x:f>SUM($D$5:D46)</x:f>
        <x:v>0.31381035971859045</x:v>
      </x:c>
      <x:c r="F46" s="1" t="str">
        <x:f>IF(C46&lt;=0,"C",IF(E46-D46&lt;'Дашборд'!$C$49,"A",IF(E46-D46&lt;'Дашборд'!$C$50,"B","C")))</x:f>
        <x:v>A</x:v>
      </x:c>
      <x:c r="G46" s="8" t="n">
        <x:f>'Данные'!F46</x:f>
        <x:v>4008</x:v>
      </x:c>
      <x:c r="H46" s="8" t="n">
        <x:f>SUM('Данные'!H46:I46)</x:f>
        <x:v>870</x:v>
      </x:c>
      <x:c r="I46" s="16" t="n">
        <x:f>IF(H46&gt;0,G46/H46,"n.a.")</x:f>
        <x:v>4.606896551724138</x:v>
      </x:c>
      <x:c r="J46" s="10" t="n">
        <x:f>IF('Данные'!E46&gt;0,G46/'Данные'!E46,"n.a.")</x:f>
        <x:v>0.023481577390193745</x:v>
      </x:c>
      <x:c r="K46" s="1" t="str">
        <x:f>IF(G46&gt;='Дашборд'!$C$51,"X","Z")</x:f>
        <x:v>X</x:v>
      </x:c>
      <x:c r="L46" s="1" t="str">
        <x:f>IF(H46=0,IF(G46&gt;0,"Нет остатка","Нет спроса"),IF(I46&gt;='Дашборд'!$C$52,"Быстрый","Медленный"))</x:f>
        <x:v>Быстрый</x:v>
      </x:c>
      <x:c r="M46" s="1" t="str">
        <x:f>IF('Данные'!E46&lt;'Дашборд'!$C$53,"Мало трафика",IF(J46&lt;'Дашборд'!$C$9*'Дашборд'!$C$54,"Да","Нет"))</x:f>
        <x:v>Нет</x:v>
      </x:c>
      <x:c r="N46" s="1" t="str">
        <x:f>IF(AND('Данные'!D46&gt;='Дашборд'!$C$55,D46&lt;'Дашборд'!$C$56,'Данные'!E46&gt;='Дашборд'!$C$53,'Данные'!L46&lt;&gt;"Да"),"Да","Нет")</x:f>
        <x:v>Нет</x:v>
      </x:c>
      <x:c r="O46" s="1" t="str">
        <x:f>'Данные'!L46</x:f>
        <x:v>Нет</x:v>
      </x:c>
    </x:row>
    <x:row r="47">
      <x:c r="A47" s="1" t="str">
        <x:f>'Данные'!A47</x:f>
        <x:v>34247428</x:v>
      </x:c>
      <x:c r="B47" s="1" t="str">
        <x:f>'Данные'!B47</x:f>
        <x:v>futbolkaover/пыльнаямята</x:v>
      </x:c>
      <x:c r="C47" s="8" t="n">
        <x:f>'Данные'!G47</x:f>
        <x:v>3222249</x:v>
      </x:c>
      <x:c r="D47" s="15" t="n">
        <x:f>C47/SUM($C$5:$C$2477)</x:f>
        <x:v>0.003764307420239552</x:v>
      </x:c>
      <x:c r="E47" s="15" t="n">
        <x:f>SUM($D$5:D47)</x:f>
        <x:v>0.31757466713883</x:v>
      </x:c>
      <x:c r="F47" s="1" t="str">
        <x:f>IF(C47&lt;=0,"C",IF(E47-D47&lt;'Дашборд'!$C$49,"A",IF(E47-D47&lt;'Дашборд'!$C$50,"B","C")))</x:f>
        <x:v>A</x:v>
      </x:c>
      <x:c r="G47" s="8" t="n">
        <x:f>'Данные'!F47</x:f>
        <x:v>6618</x:v>
      </x:c>
      <x:c r="H47" s="8" t="n">
        <x:f>SUM('Данные'!H47:I47)</x:f>
        <x:v>2412</x:v>
      </x:c>
      <x:c r="I47" s="16" t="n">
        <x:f>IF(H47&gt;0,G47/H47,"n.a.")</x:f>
        <x:v>2.743781094527363</x:v>
      </x:c>
      <x:c r="J47" s="10" t="n">
        <x:f>IF('Данные'!E47&gt;0,G47/'Данные'!E47,"n.a.")</x:f>
        <x:v>0.028773662837714455</x:v>
      </x:c>
      <x:c r="K47" s="1" t="str">
        <x:f>IF(G47&gt;='Дашборд'!$C$51,"X","Z")</x:f>
        <x:v>X</x:v>
      </x:c>
      <x:c r="L47" s="1" t="str">
        <x:f>IF(H47=0,IF(G47&gt;0,"Нет остатка","Нет спроса"),IF(I47&gt;='Дашборд'!$C$52,"Быстрый","Медленный"))</x:f>
        <x:v>Быстрый</x:v>
      </x:c>
      <x:c r="M47" s="1" t="str">
        <x:f>IF('Данные'!E47&lt;'Дашборд'!$C$53,"Мало трафика",IF(J47&lt;'Дашборд'!$C$9*'Дашборд'!$C$54,"Да","Нет"))</x:f>
        <x:v>Нет</x:v>
      </x:c>
      <x:c r="N47" s="1" t="str">
        <x:f>IF(AND('Данные'!D47&gt;='Дашборд'!$C$55,D47&lt;'Дашборд'!$C$56,'Данные'!E47&gt;='Дашборд'!$C$53,'Данные'!L47&lt;&gt;"Да"),"Да","Нет")</x:f>
        <x:v>Нет</x:v>
      </x:c>
      <x:c r="O47" s="1" t="str">
        <x:f>'Данные'!L47</x:f>
        <x:v>Нет</x:v>
      </x:c>
    </x:row>
    <x:row r="48">
      <x:c r="A48" s="1" t="str">
        <x:f>'Данные'!A48</x:f>
        <x:v>291157007</x:v>
      </x:c>
      <x:c r="B48" s="1" t="str">
        <x:f>'Данные'!B48</x:f>
        <x:v>longover/коричневый</x:v>
      </x:c>
      <x:c r="C48" s="8" t="n">
        <x:f>'Данные'!G48</x:f>
        <x:v>3187730</x:v>
      </x:c>
      <x:c r="D48" s="15" t="n">
        <x:f>C48/SUM($C$5:$C$2477)</x:f>
        <x:v>0.00372398150879098</x:v>
      </x:c>
      <x:c r="E48" s="15" t="n">
        <x:f>SUM($D$5:D48)</x:f>
        <x:v>0.321298648647621</x:v>
      </x:c>
      <x:c r="F48" s="1" t="str">
        <x:f>IF(C48&lt;=0,"C",IF(E48-D48&lt;'Дашборд'!$C$49,"A",IF(E48-D48&lt;'Дашборд'!$C$50,"B","C")))</x:f>
        <x:v>A</x:v>
      </x:c>
      <x:c r="G48" s="8" t="n">
        <x:f>'Данные'!F48</x:f>
        <x:v>5416</x:v>
      </x:c>
      <x:c r="H48" s="8" t="n">
        <x:f>SUM('Данные'!H48:I48)</x:f>
        <x:v>4623</x:v>
      </x:c>
      <x:c r="I48" s="16" t="n">
        <x:f>IF(H48&gt;0,G48/H48,"n.a.")</x:f>
        <x:v>1.171533636166991</x:v>
      </x:c>
      <x:c r="J48" s="10" t="n">
        <x:f>IF('Данные'!E48&gt;0,G48/'Данные'!E48,"n.a.")</x:f>
        <x:v>0.02772417111587741</x:v>
      </x:c>
      <x:c r="K48" s="1" t="str">
        <x:f>IF(G48&gt;='Дашборд'!$C$51,"X","Z")</x:f>
        <x:v>X</x:v>
      </x:c>
      <x:c r="L48" s="1" t="str">
        <x:f>IF(H48=0,IF(G48&gt;0,"Нет остатка","Нет спроса"),IF(I48&gt;='Дашборд'!$C$52,"Быстрый","Медленный"))</x:f>
        <x:v>Быстрый</x:v>
      </x:c>
      <x:c r="M48" s="1" t="str">
        <x:f>IF('Данные'!E48&lt;'Дашборд'!$C$53,"Мало трафика",IF(J48&lt;'Дашборд'!$C$9*'Дашборд'!$C$54,"Да","Нет"))</x:f>
        <x:v>Нет</x:v>
      </x:c>
      <x:c r="N48" s="1" t="str">
        <x:f>IF(AND('Данные'!D48&gt;='Дашборд'!$C$55,D48&lt;'Дашборд'!$C$56,'Данные'!E48&gt;='Дашборд'!$C$53,'Данные'!L48&lt;&gt;"Да"),"Да","Нет")</x:f>
        <x:v>Нет</x:v>
      </x:c>
      <x:c r="O48" s="1" t="str">
        <x:f>'Данные'!L48</x:f>
        <x:v>Нет</x:v>
      </x:c>
    </x:row>
    <x:row r="49">
      <x:c r="A49" s="1" t="str">
        <x:f>'Данные'!A49</x:f>
        <x:v>323186195</x:v>
      </x:c>
      <x:c r="B49" s="1" t="str">
        <x:f>'Данные'!B49</x:f>
        <x:v>futskims3K-102/молочный</x:v>
      </x:c>
      <x:c r="C49" s="8" t="n">
        <x:f>'Данные'!G49</x:f>
        <x:v>3181689</x:v>
      </x:c>
      <x:c r="D49" s="15" t="n">
        <x:f>C49/SUM($C$5:$C$2477)</x:f>
        <x:v>0.0037169242698483454</x:v>
      </x:c>
      <x:c r="E49" s="15" t="n">
        <x:f>SUM($D$5:D49)</x:f>
        <x:v>0.3250155729174693</x:v>
      </x:c>
      <x:c r="F49" s="1" t="str">
        <x:f>IF(C49&lt;=0,"C",IF(E49-D49&lt;'Дашборд'!$C$49,"A",IF(E49-D49&lt;'Дашборд'!$C$50,"B","C")))</x:f>
        <x:v>A</x:v>
      </x:c>
      <x:c r="G49" s="8" t="n">
        <x:f>'Данные'!F49</x:f>
        <x:v>8402</x:v>
      </x:c>
      <x:c r="H49" s="8" t="n">
        <x:f>SUM('Данные'!H49:I49)</x:f>
        <x:v>5565</x:v>
      </x:c>
      <x:c r="I49" s="16" t="n">
        <x:f>IF(H49&gt;0,G49/H49,"n.a.")</x:f>
        <x:v>1.5097933513027852</x:v>
      </x:c>
      <x:c r="J49" s="10" t="n">
        <x:f>IF('Данные'!E49&gt;0,G49/'Данные'!E49,"n.a.")</x:f>
        <x:v>0.03078117959107412</x:v>
      </x:c>
      <x:c r="K49" s="1" t="str">
        <x:f>IF(G49&gt;='Дашборд'!$C$51,"X","Z")</x:f>
        <x:v>X</x:v>
      </x:c>
      <x:c r="L49" s="1" t="str">
        <x:f>IF(H49=0,IF(G49&gt;0,"Нет остатка","Нет спроса"),IF(I49&gt;='Дашборд'!$C$52,"Быстрый","Медленный"))</x:f>
        <x:v>Быстрый</x:v>
      </x:c>
      <x:c r="M49" s="1" t="str">
        <x:f>IF('Данные'!E49&lt;'Дашборд'!$C$53,"Мало трафика",IF(J49&lt;'Дашборд'!$C$9*'Дашборд'!$C$54,"Да","Нет"))</x:f>
        <x:v>Нет</x:v>
      </x:c>
      <x:c r="N49" s="1" t="str">
        <x:f>IF(AND('Данные'!D49&gt;='Дашборд'!$C$55,D49&lt;'Дашборд'!$C$56,'Данные'!E49&gt;='Дашборд'!$C$53,'Данные'!L49&lt;&gt;"Да"),"Да","Нет")</x:f>
        <x:v>Нет</x:v>
      </x:c>
      <x:c r="O49" s="1" t="str">
        <x:f>'Данные'!L49</x:f>
        <x:v>Нет</x:v>
      </x:c>
    </x:row>
    <x:row r="50">
      <x:c r="A50" s="1" t="str">
        <x:f>'Данные'!A50</x:f>
        <x:v>307065932</x:v>
      </x:c>
      <x:c r="B50" s="1" t="str">
        <x:f>'Данные'!B50</x:f>
        <x:v>hudicrop1/светло-розовый</x:v>
      </x:c>
      <x:c r="C50" s="8" t="n">
        <x:f>'Данные'!G50</x:f>
        <x:v>3129241</x:v>
      </x:c>
      <x:c r="D50" s="15" t="n">
        <x:f>C50/SUM($C$5:$C$2477)</x:f>
        <x:v>0.0036556532769558892</x:v>
      </x:c>
      <x:c r="E50" s="15" t="n">
        <x:f>SUM($D$5:D50)</x:f>
        <x:v>0.3286712261944252</x:v>
      </x:c>
      <x:c r="F50" s="1" t="str">
        <x:f>IF(C50&lt;=0,"C",IF(E50-D50&lt;'Дашборд'!$C$49,"A",IF(E50-D50&lt;'Дашборд'!$C$50,"B","C")))</x:f>
        <x:v>A</x:v>
      </x:c>
      <x:c r="G50" s="8" t="n">
        <x:f>'Данные'!F50</x:f>
        <x:v>2188</x:v>
      </x:c>
      <x:c r="H50" s="8" t="n">
        <x:f>SUM('Данные'!H50:I50)</x:f>
        <x:v>6</x:v>
      </x:c>
      <x:c r="I50" s="16" t="n">
        <x:f>IF(H50&gt;0,G50/H50,"n.a.")</x:f>
        <x:v>364.6666666666667</x:v>
      </x:c>
      <x:c r="J50" s="10" t="n">
        <x:f>IF('Данные'!E50&gt;0,G50/'Данные'!E50,"n.a.")</x:f>
        <x:v>0.015317730903592106</x:v>
      </x:c>
      <x:c r="K50" s="1" t="str">
        <x:f>IF(G50&gt;='Дашборд'!$C$51,"X","Z")</x:f>
        <x:v>X</x:v>
      </x:c>
      <x:c r="L50" s="1" t="str">
        <x:f>IF(H50=0,IF(G50&gt;0,"Нет остатка","Нет спроса"),IF(I50&gt;='Дашборд'!$C$52,"Быстрый","Медленный"))</x:f>
        <x:v>Быстрый</x:v>
      </x:c>
      <x:c r="M50" s="1" t="str">
        <x:f>IF('Данные'!E50&lt;'Дашборд'!$C$53,"Мало трафика",IF(J50&lt;'Дашборд'!$C$9*'Дашборд'!$C$54,"Да","Нет"))</x:f>
        <x:v>Нет</x:v>
      </x:c>
      <x:c r="N50" s="1" t="str">
        <x:f>IF(AND('Данные'!D50&gt;='Дашборд'!$C$55,D50&lt;'Дашборд'!$C$56,'Данные'!E50&gt;='Дашборд'!$C$53,'Данные'!L50&lt;&gt;"Да"),"Да","Нет")</x:f>
        <x:v>Нет</x:v>
      </x:c>
      <x:c r="O50" s="1" t="str">
        <x:f>'Данные'!L50</x:f>
        <x:v>Нет</x:v>
      </x:c>
    </x:row>
    <x:row r="51">
      <x:c r="A51" s="1" t="str">
        <x:f>'Данные'!A51</x:f>
        <x:v>200739284</x:v>
      </x:c>
      <x:c r="B51" s="1" t="str">
        <x:f>'Данные'!B51</x:f>
        <x:v>tolstovkazip/молочный</x:v>
      </x:c>
      <x:c r="C51" s="8" t="n">
        <x:f>'Данные'!G51</x:f>
        <x:v>3072068</x:v>
      </x:c>
      <x:c r="D51" s="15" t="n">
        <x:f>C51/SUM($C$5:$C$2477)</x:f>
        <x:v>0.0035888624274165283</x:v>
      </x:c>
      <x:c r="E51" s="15" t="n">
        <x:f>SUM($D$5:D51)</x:f>
        <x:v>0.3322600886218417</x:v>
      </x:c>
      <x:c r="F51" s="1" t="str">
        <x:f>IF(C51&lt;=0,"C",IF(E51-D51&lt;'Дашборд'!$C$49,"A",IF(E51-D51&lt;'Дашборд'!$C$50,"B","C")))</x:f>
        <x:v>A</x:v>
      </x:c>
      <x:c r="G51" s="8" t="n">
        <x:f>'Данные'!F51</x:f>
        <x:v>1896</x:v>
      </x:c>
      <x:c r="H51" s="8" t="n">
        <x:f>SUM('Данные'!H51:I51)</x:f>
        <x:v>21</x:v>
      </x:c>
      <x:c r="I51" s="16" t="n">
        <x:f>IF(H51&gt;0,G51/H51,"n.a.")</x:f>
        <x:v>90.28571428571429</x:v>
      </x:c>
      <x:c r="J51" s="10" t="n">
        <x:f>IF('Данные'!E51&gt;0,G51/'Данные'!E51,"n.a.")</x:f>
        <x:v>0.015331123150319398</x:v>
      </x:c>
      <x:c r="K51" s="1" t="str">
        <x:f>IF(G51&gt;='Дашборд'!$C$51,"X","Z")</x:f>
        <x:v>X</x:v>
      </x:c>
      <x:c r="L51" s="1" t="str">
        <x:f>IF(H51=0,IF(G51&gt;0,"Нет остатка","Нет спроса"),IF(I51&gt;='Дашборд'!$C$52,"Быстрый","Медленный"))</x:f>
        <x:v>Быстрый</x:v>
      </x:c>
      <x:c r="M51" s="1" t="str">
        <x:f>IF('Данные'!E51&lt;'Дашборд'!$C$53,"Мало трафика",IF(J51&lt;'Дашборд'!$C$9*'Дашборд'!$C$54,"Да","Нет"))</x:f>
        <x:v>Нет</x:v>
      </x:c>
      <x:c r="N51" s="1" t="str">
        <x:f>IF(AND('Данные'!D51&gt;='Дашборд'!$C$55,D51&lt;'Дашборд'!$C$56,'Данные'!E51&gt;='Дашборд'!$C$53,'Данные'!L51&lt;&gt;"Да"),"Да","Нет")</x:f>
        <x:v>Нет</x:v>
      </x:c>
      <x:c r="O51" s="1" t="str">
        <x:f>'Данные'!L51</x:f>
        <x:v>Нет</x:v>
      </x:c>
    </x:row>
    <x:row r="52">
      <x:c r="A52" s="1" t="str">
        <x:f>'Данные'!A52</x:f>
        <x:v>165757788</x:v>
      </x:c>
      <x:c r="B52" s="1" t="str">
        <x:f>'Данные'!B52</x:f>
        <x:v>kulirkaman/какао</x:v>
      </x:c>
      <x:c r="C52" s="8" t="n">
        <x:f>'Данные'!G52</x:f>
        <x:v>3064748</x:v>
      </x:c>
      <x:c r="D52" s="15" t="n">
        <x:f>C52/SUM($C$5:$C$2477)</x:f>
        <x:v>0.0035803110304524345</x:v>
      </x:c>
      <x:c r="E52" s="15" t="n">
        <x:f>SUM($D$5:D52)</x:f>
        <x:v>0.3358403996522941</x:v>
      </x:c>
      <x:c r="F52" s="1" t="str">
        <x:f>IF(C52&lt;=0,"C",IF(E52-D52&lt;'Дашборд'!$C$49,"A",IF(E52-D52&lt;'Дашборд'!$C$50,"B","C")))</x:f>
        <x:v>A</x:v>
      </x:c>
      <x:c r="G52" s="8" t="n">
        <x:f>'Данные'!F52</x:f>
        <x:v>6294</x:v>
      </x:c>
      <x:c r="H52" s="8" t="n">
        <x:f>SUM('Данные'!H52:I52)</x:f>
        <x:v>5100</x:v>
      </x:c>
      <x:c r="I52" s="16" t="n">
        <x:f>IF(H52&gt;0,G52/H52,"n.a.")</x:f>
        <x:v>1.2341176470588235</x:v>
      </x:c>
      <x:c r="J52" s="10" t="n">
        <x:f>IF('Данные'!E52&gt;0,G52/'Данные'!E52,"n.a.")</x:f>
        <x:v>0.039558036050984235</x:v>
      </x:c>
      <x:c r="K52" s="1" t="str">
        <x:f>IF(G52&gt;='Дашборд'!$C$51,"X","Z")</x:f>
        <x:v>X</x:v>
      </x:c>
      <x:c r="L52" s="1" t="str">
        <x:f>IF(H52=0,IF(G52&gt;0,"Нет остатка","Нет спроса"),IF(I52&gt;='Дашборд'!$C$52,"Быстрый","Медленный"))</x:f>
        <x:v>Быстрый</x:v>
      </x:c>
      <x:c r="M52" s="1" t="str">
        <x:f>IF('Данные'!E52&lt;'Дашборд'!$C$53,"Мало трафика",IF(J52&lt;'Дашборд'!$C$9*'Дашборд'!$C$54,"Да","Нет"))</x:f>
        <x:v>Нет</x:v>
      </x:c>
      <x:c r="N52" s="1" t="str">
        <x:f>IF(AND('Данные'!D52&gt;='Дашборд'!$C$55,D52&lt;'Дашборд'!$C$56,'Данные'!E52&gt;='Дашборд'!$C$53,'Данные'!L52&lt;&gt;"Да"),"Да","Нет")</x:f>
        <x:v>Нет</x:v>
      </x:c>
      <x:c r="O52" s="1" t="str">
        <x:f>'Данные'!L52</x:f>
        <x:v>Нет</x:v>
      </x:c>
    </x:row>
    <x:row r="53">
      <x:c r="A53" s="1" t="str">
        <x:f>'Данные'!A53</x:f>
        <x:v>165757793</x:v>
      </x:c>
      <x:c r="B53" s="1" t="str">
        <x:f>'Данные'!B53</x:f>
        <x:v>kulirkaman/бежевый</x:v>
      </x:c>
      <x:c r="C53" s="8" t="n">
        <x:f>'Данные'!G53</x:f>
        <x:v>2910813</x:v>
      </x:c>
      <x:c r="D53" s="15" t="n">
        <x:f>C53/SUM($C$5:$C$2477)</x:f>
        <x:v>0.0034004805261262402</x:v>
      </x:c>
      <x:c r="E53" s="15" t="n">
        <x:f>SUM($D$5:D53)</x:f>
        <x:v>0.33924088017842036</x:v>
      </x:c>
      <x:c r="F53" s="1" t="str">
        <x:f>IF(C53&lt;=0,"C",IF(E53-D53&lt;'Дашборд'!$C$49,"A",IF(E53-D53&lt;'Дашборд'!$C$50,"B","C")))</x:f>
        <x:v>A</x:v>
      </x:c>
      <x:c r="G53" s="8" t="n">
        <x:f>'Данные'!F53</x:f>
        <x:v>5128</x:v>
      </x:c>
      <x:c r="H53" s="8" t="n">
        <x:f>SUM('Данные'!H53:I53)</x:f>
        <x:v>2083</x:v>
      </x:c>
      <x:c r="I53" s="16" t="n">
        <x:f>IF(H53&gt;0,G53/H53,"n.a.")</x:f>
        <x:v>2.4618338934229476</x:v>
      </x:c>
      <x:c r="J53" s="10" t="n">
        <x:f>IF('Данные'!E53&gt;0,G53/'Данные'!E53,"n.a.")</x:f>
        <x:v>0.04584547713984301</x:v>
      </x:c>
      <x:c r="K53" s="1" t="str">
        <x:f>IF(G53&gt;='Дашборд'!$C$51,"X","Z")</x:f>
        <x:v>X</x:v>
      </x:c>
      <x:c r="L53" s="1" t="str">
        <x:f>IF(H53=0,IF(G53&gt;0,"Нет остатка","Нет спроса"),IF(I53&gt;='Дашборд'!$C$52,"Быстрый","Медленный"))</x:f>
        <x:v>Быстрый</x:v>
      </x:c>
      <x:c r="M53" s="1" t="str">
        <x:f>IF('Данные'!E53&lt;'Дашборд'!$C$53,"Мало трафика",IF(J53&lt;'Дашборд'!$C$9*'Дашборд'!$C$54,"Да","Нет"))</x:f>
        <x:v>Нет</x:v>
      </x:c>
      <x:c r="N53" s="1" t="str">
        <x:f>IF(AND('Данные'!D53&gt;='Дашборд'!$C$55,D53&lt;'Дашборд'!$C$56,'Данные'!E53&gt;='Дашборд'!$C$53,'Данные'!L53&lt;&gt;"Да"),"Да","Нет")</x:f>
        <x:v>Нет</x:v>
      </x:c>
      <x:c r="O53" s="1" t="str">
        <x:f>'Данные'!L53</x:f>
        <x:v>Нет</x:v>
      </x:c>
    </x:row>
    <x:row r="54">
      <x:c r="A54" s="1" t="str">
        <x:f>'Данные'!A54</x:f>
        <x:v>217339641</x:v>
      </x:c>
      <x:c r="B54" s="1" t="str">
        <x:f>'Данные'!B54</x:f>
        <x:v>longover/дымка</x:v>
      </x:c>
      <x:c r="C54" s="8" t="n">
        <x:f>'Данные'!G54</x:f>
        <x:v>2880868</x:v>
      </x:c>
      <x:c r="D54" s="15" t="n">
        <x:f>C54/SUM($C$5:$C$2477)</x:f>
        <x:v>0.003365498069556598</x:v>
      </x:c>
      <x:c r="E54" s="15" t="n">
        <x:f>SUM($D$5:D54)</x:f>
        <x:v>0.34260637824797696</x:v>
      </x:c>
      <x:c r="F54" s="1" t="str">
        <x:f>IF(C54&lt;=0,"C",IF(E54-D54&lt;'Дашборд'!$C$49,"A",IF(E54-D54&lt;'Дашборд'!$C$50,"B","C")))</x:f>
        <x:v>A</x:v>
      </x:c>
      <x:c r="G54" s="8" t="n">
        <x:f>'Данные'!F54</x:f>
        <x:v>6692</x:v>
      </x:c>
      <x:c r="H54" s="8" t="n">
        <x:f>SUM('Данные'!H54:I54)</x:f>
        <x:v>1454</x:v>
      </x:c>
      <x:c r="I54" s="16" t="n">
        <x:f>IF(H54&gt;0,G54/H54,"n.a.")</x:f>
        <x:v>4.6024759284731775</x:v>
      </x:c>
      <x:c r="J54" s="10" t="n">
        <x:f>IF('Данные'!E54&gt;0,G54/'Данные'!E54,"n.a.")</x:f>
        <x:v>0.021768548156244308</x:v>
      </x:c>
      <x:c r="K54" s="1" t="str">
        <x:f>IF(G54&gt;='Дашборд'!$C$51,"X","Z")</x:f>
        <x:v>X</x:v>
      </x:c>
      <x:c r="L54" s="1" t="str">
        <x:f>IF(H54=0,IF(G54&gt;0,"Нет остатка","Нет спроса"),IF(I54&gt;='Дашборд'!$C$52,"Быстрый","Медленный"))</x:f>
        <x:v>Быстрый</x:v>
      </x:c>
      <x:c r="M54" s="1" t="str">
        <x:f>IF('Данные'!E54&lt;'Дашборд'!$C$53,"Мало трафика",IF(J54&lt;'Дашборд'!$C$9*'Дашборд'!$C$54,"Да","Нет"))</x:f>
        <x:v>Нет</x:v>
      </x:c>
      <x:c r="N54" s="1" t="str">
        <x:f>IF(AND('Данные'!D54&gt;='Дашборд'!$C$55,D54&lt;'Дашборд'!$C$56,'Данные'!E54&gt;='Дашборд'!$C$53,'Данные'!L54&lt;&gt;"Да"),"Да","Нет")</x:f>
        <x:v>Нет</x:v>
      </x:c>
      <x:c r="O54" s="1" t="str">
        <x:f>'Данные'!L54</x:f>
        <x:v>Нет</x:v>
      </x:c>
    </x:row>
    <x:row r="55">
      <x:c r="A55" s="1" t="str">
        <x:f>'Данные'!A55</x:f>
        <x:v>295770623</x:v>
      </x:c>
      <x:c r="B55" s="1" t="str">
        <x:f>'Данные'!B55</x:f>
        <x:v>kostyumfix3P-37-63/светло-розовый</x:v>
      </x:c>
      <x:c r="C55" s="8" t="n">
        <x:f>'Данные'!G55</x:f>
        <x:v>2853724</x:v>
      </x:c>
      <x:c r="D55" s="15" t="n">
        <x:f>C55/SUM($C$5:$C$2477)</x:f>
        <x:v>0.0033337878073717133</x:v>
      </x:c>
      <x:c r="E55" s="15" t="n">
        <x:f>SUM($D$5:D55)</x:f>
        <x:v>0.34594016605534866</x:v>
      </x:c>
      <x:c r="F55" s="1" t="str">
        <x:f>IF(C55&lt;=0,"C",IF(E55-D55&lt;'Дашборд'!$C$49,"A",IF(E55-D55&lt;'Дашборд'!$C$50,"B","C")))</x:f>
        <x:v>A</x:v>
      </x:c>
      <x:c r="G55" s="8" t="n">
        <x:f>'Данные'!F55</x:f>
        <x:v>2039</x:v>
      </x:c>
      <x:c r="H55" s="8" t="n">
        <x:f>SUM('Данные'!H55:I55)</x:f>
        <x:v>71</x:v>
      </x:c>
      <x:c r="I55" s="16" t="n">
        <x:f>IF(H55&gt;0,G55/H55,"n.a.")</x:f>
        <x:v>28.718309859154928</x:v>
      </x:c>
      <x:c r="J55" s="10" t="n">
        <x:f>IF('Данные'!E55&gt;0,G55/'Данные'!E55,"n.a.")</x:f>
        <x:v>0.009467340229927753</x:v>
      </x:c>
      <x:c r="K55" s="1" t="str">
        <x:f>IF(G55&gt;='Дашборд'!$C$51,"X","Z")</x:f>
        <x:v>X</x:v>
      </x:c>
      <x:c r="L55" s="1" t="str">
        <x:f>IF(H55=0,IF(G55&gt;0,"Нет остатка","Нет спроса"),IF(I55&gt;='Дашборд'!$C$52,"Быстрый","Медленный"))</x:f>
        <x:v>Быстрый</x:v>
      </x:c>
      <x:c r="M55" s="1" t="str">
        <x:f>IF('Данные'!E55&lt;'Дашборд'!$C$53,"Мало трафика",IF(J55&lt;'Дашборд'!$C$9*'Дашборд'!$C$54,"Да","Нет"))</x:f>
        <x:v>Да</x:v>
      </x:c>
      <x:c r="N55" s="1" t="str">
        <x:f>IF(AND('Данные'!D55&gt;='Дашборд'!$C$55,D55&lt;'Дашборд'!$C$56,'Данные'!E55&gt;='Дашборд'!$C$53,'Данные'!L55&lt;&gt;"Да"),"Да","Нет")</x:f>
        <x:v>Нет</x:v>
      </x:c>
      <x:c r="O55" s="1" t="str">
        <x:f>'Данные'!L55</x:f>
        <x:v>Нет</x:v>
      </x:c>
    </x:row>
    <x:row r="56">
      <x:c r="A56" s="1" t="str">
        <x:f>'Данные'!A56</x:f>
        <x:v>165757806</x:v>
      </x:c>
      <x:c r="B56" s="1" t="str">
        <x:f>'Данные'!B56</x:f>
        <x:v>kulirkaman/коричневый</x:v>
      </x:c>
      <x:c r="C56" s="8" t="n">
        <x:f>'Данные'!G56</x:f>
        <x:v>2845530</x:v>
      </x:c>
      <x:c r="D56" s="15" t="n">
        <x:f>C56/SUM($C$5:$C$2477)</x:f>
        <x:v>0.003324215382955896</x:v>
      </x:c>
      <x:c r="E56" s="15" t="n">
        <x:f>SUM($D$5:D56)</x:f>
        <x:v>0.34926438143830457</x:v>
      </x:c>
      <x:c r="F56" s="1" t="str">
        <x:f>IF(C56&lt;=0,"C",IF(E56-D56&lt;'Дашборд'!$C$49,"A",IF(E56-D56&lt;'Дашборд'!$C$50,"B","C")))</x:f>
        <x:v>A</x:v>
      </x:c>
      <x:c r="G56" s="8" t="n">
        <x:f>'Данные'!F56</x:f>
        <x:v>5599</x:v>
      </x:c>
      <x:c r="H56" s="8" t="n">
        <x:f>SUM('Данные'!H56:I56)</x:f>
        <x:v>8575</x:v>
      </x:c>
      <x:c r="I56" s="16" t="n">
        <x:f>IF(H56&gt;0,G56/H56,"n.a.")</x:f>
        <x:v>0.6529446064139942</x:v>
      </x:c>
      <x:c r="J56" s="10" t="n">
        <x:f>IF('Данные'!E56&gt;0,G56/'Данные'!E56,"n.a.")</x:f>
        <x:v>0.054564768253225746</x:v>
      </x:c>
      <x:c r="K56" s="1" t="str">
        <x:f>IF(G56&gt;='Дашборд'!$C$51,"X","Z")</x:f>
        <x:v>X</x:v>
      </x:c>
      <x:c r="L56" s="1" t="str">
        <x:f>IF(H56=0,IF(G56&gt;0,"Нет остатка","Нет спроса"),IF(I56&gt;='Дашборд'!$C$52,"Быстрый","Медленный"))</x:f>
        <x:v>Медленный</x:v>
      </x:c>
      <x:c r="M56" s="1" t="str">
        <x:f>IF('Данные'!E56&lt;'Дашборд'!$C$53,"Мало трафика",IF(J56&lt;'Дашборд'!$C$9*'Дашборд'!$C$54,"Да","Нет"))</x:f>
        <x:v>Нет</x:v>
      </x:c>
      <x:c r="N56" s="1" t="str">
        <x:f>IF(AND('Данные'!D56&gt;='Дашборд'!$C$55,D56&lt;'Дашборд'!$C$56,'Данные'!E56&gt;='Дашборд'!$C$53,'Данные'!L56&lt;&gt;"Да"),"Да","Нет")</x:f>
        <x:v>Нет</x:v>
      </x:c>
      <x:c r="O56" s="1" t="str">
        <x:f>'Данные'!L56</x:f>
        <x:v>Нет</x:v>
      </x:c>
    </x:row>
    <x:row r="57">
      <x:c r="A57" s="1" t="str">
        <x:f>'Данные'!A57</x:f>
        <x:v>172152349</x:v>
      </x:c>
      <x:c r="B57" s="1" t="str">
        <x:f>'Данные'!B57</x:f>
        <x:v>baza/черный</x:v>
      </x:c>
      <x:c r="C57" s="8" t="n">
        <x:f>'Данные'!G57</x:f>
        <x:v>2839930</x:v>
      </x:c>
      <x:c r="D57" s="15" t="n">
        <x:f>C57/SUM($C$5:$C$2477)</x:f>
        <x:v>0.0033176733306336387</x:v>
      </x:c>
      <x:c r="E57" s="15" t="n">
        <x:f>SUM($D$5:D57)</x:f>
        <x:v>0.3525820547689382</x:v>
      </x:c>
      <x:c r="F57" s="1" t="str">
        <x:f>IF(C57&lt;=0,"C",IF(E57-D57&lt;'Дашборд'!$C$49,"A",IF(E57-D57&lt;'Дашборд'!$C$50,"B","C")))</x:f>
        <x:v>A</x:v>
      </x:c>
      <x:c r="G57" s="8" t="n">
        <x:f>'Данные'!F57</x:f>
        <x:v>5545</x:v>
      </x:c>
      <x:c r="H57" s="8" t="n">
        <x:f>SUM('Данные'!H57:I57)</x:f>
        <x:v>4753</x:v>
      </x:c>
      <x:c r="I57" s="16" t="n">
        <x:f>IF(H57&gt;0,G57/H57,"n.a.")</x:f>
        <x:v>1.1666316010940458</x:v>
      </x:c>
      <x:c r="J57" s="10" t="n">
        <x:f>IF('Данные'!E57&gt;0,G57/'Данные'!E57,"n.a.")</x:f>
        <x:v>0.034001091468761305</x:v>
      </x:c>
      <x:c r="K57" s="1" t="str">
        <x:f>IF(G57&gt;='Дашборд'!$C$51,"X","Z")</x:f>
        <x:v>X</x:v>
      </x:c>
      <x:c r="L57" s="1" t="str">
        <x:f>IF(H57=0,IF(G57&gt;0,"Нет остатка","Нет спроса"),IF(I57&gt;='Дашборд'!$C$52,"Быстрый","Медленный"))</x:f>
        <x:v>Быстрый</x:v>
      </x:c>
      <x:c r="M57" s="1" t="str">
        <x:f>IF('Данные'!E57&lt;'Дашборд'!$C$53,"Мало трафика",IF(J57&lt;'Дашборд'!$C$9*'Дашборд'!$C$54,"Да","Нет"))</x:f>
        <x:v>Нет</x:v>
      </x:c>
      <x:c r="N57" s="1" t="str">
        <x:f>IF(AND('Данные'!D57&gt;='Дашборд'!$C$55,D57&lt;'Дашборд'!$C$56,'Данные'!E57&gt;='Дашборд'!$C$53,'Данные'!L57&lt;&gt;"Да"),"Да","Нет")</x:f>
        <x:v>Нет</x:v>
      </x:c>
      <x:c r="O57" s="1" t="str">
        <x:f>'Данные'!L57</x:f>
        <x:v>Нет</x:v>
      </x:c>
    </x:row>
    <x:row r="58">
      <x:c r="A58" s="1" t="str">
        <x:f>'Данные'!A58</x:f>
        <x:v>116676542</x:v>
      </x:c>
      <x:c r="B58" s="1" t="str">
        <x:f>'Данные'!B58</x:f>
        <x:v>kroptop/бордовый</x:v>
      </x:c>
      <x:c r="C58" s="8" t="n">
        <x:f>'Данные'!G58</x:f>
        <x:v>2814098</x:v>
      </x:c>
      <x:c r="D58" s="15" t="n">
        <x:f>C58/SUM($C$5:$C$2477)</x:f>
        <x:v>0.0032874957778499686</x:v>
      </x:c>
      <x:c r="E58" s="15" t="n">
        <x:f>SUM($D$5:D58)</x:f>
        <x:v>0.3558695505467882</x:v>
      </x:c>
      <x:c r="F58" s="1" t="str">
        <x:f>IF(C58&lt;=0,"C",IF(E58-D58&lt;'Дашборд'!$C$49,"A",IF(E58-D58&lt;'Дашборд'!$C$50,"B","C")))</x:f>
        <x:v>A</x:v>
      </x:c>
      <x:c r="G58" s="8" t="n">
        <x:f>'Данные'!F58</x:f>
        <x:v>6205</x:v>
      </x:c>
      <x:c r="H58" s="8" t="n">
        <x:f>SUM('Данные'!H58:I58)</x:f>
        <x:v>996</x:v>
      </x:c>
      <x:c r="I58" s="16" t="n">
        <x:f>IF(H58&gt;0,G58/H58,"n.a.")</x:f>
        <x:v>6.229919678714859</x:v>
      </x:c>
      <x:c r="J58" s="10" t="n">
        <x:f>IF('Данные'!E58&gt;0,G58/'Данные'!E58,"n.a.")</x:f>
        <x:v>0.03739190695712435</x:v>
      </x:c>
      <x:c r="K58" s="1" t="str">
        <x:f>IF(G58&gt;='Дашборд'!$C$51,"X","Z")</x:f>
        <x:v>X</x:v>
      </x:c>
      <x:c r="L58" s="1" t="str">
        <x:f>IF(H58=0,IF(G58&gt;0,"Нет остатка","Нет спроса"),IF(I58&gt;='Дашборд'!$C$52,"Быстрый","Медленный"))</x:f>
        <x:v>Быстрый</x:v>
      </x:c>
      <x:c r="M58" s="1" t="str">
        <x:f>IF('Данные'!E58&lt;'Дашборд'!$C$53,"Мало трафика",IF(J58&lt;'Дашборд'!$C$9*'Дашборд'!$C$54,"Да","Нет"))</x:f>
        <x:v>Нет</x:v>
      </x:c>
      <x:c r="N58" s="1" t="str">
        <x:f>IF(AND('Данные'!D58&gt;='Дашборд'!$C$55,D58&lt;'Дашборд'!$C$56,'Данные'!E58&gt;='Дашборд'!$C$53,'Данные'!L58&lt;&gt;"Да"),"Да","Нет")</x:f>
        <x:v>Нет</x:v>
      </x:c>
      <x:c r="O58" s="1" t="str">
        <x:f>'Данные'!L58</x:f>
        <x:v>Нет</x:v>
      </x:c>
    </x:row>
    <x:row r="59">
      <x:c r="A59" s="1" t="str">
        <x:f>'Данные'!A59</x:f>
        <x:v>34249479</x:v>
      </x:c>
      <x:c r="B59" s="1" t="str">
        <x:f>'Данные'!B59</x:f>
        <x:v>futbolkaover/сероваторозовый</x:v>
      </x:c>
      <x:c r="C59" s="8" t="n">
        <x:f>'Данные'!G59</x:f>
        <x:v>2796398</x:v>
      </x:c>
      <x:c r="D59" s="15" t="n">
        <x:f>C59/SUM($C$5:$C$2477)</x:f>
        <x:v>0.0032668182196171195</x:v>
      </x:c>
      <x:c r="E59" s="15" t="n">
        <x:f>SUM($D$5:D59)</x:f>
        <x:v>0.3591363687664053</x:v>
      </x:c>
      <x:c r="F59" s="1" t="str">
        <x:f>IF(C59&lt;=0,"C",IF(E59-D59&lt;'Дашборд'!$C$49,"A",IF(E59-D59&lt;'Дашборд'!$C$50,"B","C")))</x:f>
        <x:v>A</x:v>
      </x:c>
      <x:c r="G59" s="8" t="n">
        <x:f>'Данные'!F59</x:f>
        <x:v>5766</x:v>
      </x:c>
      <x:c r="H59" s="8" t="n">
        <x:f>SUM('Данные'!H59:I59)</x:f>
        <x:v>1457</x:v>
      </x:c>
      <x:c r="I59" s="16" t="n">
        <x:f>IF(H59&gt;0,G59/H59,"n.a.")</x:f>
        <x:v>3.9574468085106385</x:v>
      </x:c>
      <x:c r="J59" s="10" t="n">
        <x:f>IF('Данные'!E59&gt;0,G59/'Данные'!E59,"n.a.")</x:f>
        <x:v>0.03517269144899777</x:v>
      </x:c>
      <x:c r="K59" s="1" t="str">
        <x:f>IF(G59&gt;='Дашборд'!$C$51,"X","Z")</x:f>
        <x:v>X</x:v>
      </x:c>
      <x:c r="L59" s="1" t="str">
        <x:f>IF(H59=0,IF(G59&gt;0,"Нет остатка","Нет спроса"),IF(I59&gt;='Дашборд'!$C$52,"Быстрый","Медленный"))</x:f>
        <x:v>Быстрый</x:v>
      </x:c>
      <x:c r="M59" s="1" t="str">
        <x:f>IF('Данные'!E59&lt;'Дашборд'!$C$53,"Мало трафика",IF(J59&lt;'Дашборд'!$C$9*'Дашборд'!$C$54,"Да","Нет"))</x:f>
        <x:v>Нет</x:v>
      </x:c>
      <x:c r="N59" s="1" t="str">
        <x:f>IF(AND('Данные'!D59&gt;='Дашборд'!$C$55,D59&lt;'Дашборд'!$C$56,'Данные'!E59&gt;='Дашборд'!$C$53,'Данные'!L59&lt;&gt;"Да"),"Да","Нет")</x:f>
        <x:v>Нет</x:v>
      </x:c>
      <x:c r="O59" s="1" t="str">
        <x:f>'Данные'!L59</x:f>
        <x:v>Нет</x:v>
      </x:c>
    </x:row>
    <x:row r="60">
      <x:c r="A60" s="1" t="str">
        <x:f>'Данные'!A60</x:f>
        <x:v>323186193</x:v>
      </x:c>
      <x:c r="B60" s="1" t="str">
        <x:f>'Данные'!B60</x:f>
        <x:v>futskims3K-102/дымка</x:v>
      </x:c>
      <x:c r="C60" s="8" t="n">
        <x:f>'Данные'!G60</x:f>
        <x:v>2766285</x:v>
      </x:c>
      <x:c r="D60" s="15" t="n">
        <x:f>C60/SUM($C$5:$C$2477)</x:f>
        <x:v>0.0032316395014778095</x:v>
      </x:c>
      <x:c r="E60" s="15" t="n">
        <x:f>SUM($D$5:D60)</x:f>
        <x:v>0.3623680082678831</x:v>
      </x:c>
      <x:c r="F60" s="1" t="str">
        <x:f>IF(C60&lt;=0,"C",IF(E60-D60&lt;'Дашборд'!$C$49,"A",IF(E60-D60&lt;'Дашборд'!$C$50,"B","C")))</x:f>
        <x:v>A</x:v>
      </x:c>
      <x:c r="G60" s="8" t="n">
        <x:f>'Данные'!F60</x:f>
        <x:v>5158</x:v>
      </x:c>
      <x:c r="H60" s="8" t="n">
        <x:f>SUM('Данные'!H60:I60)</x:f>
        <x:v>3889</x:v>
      </x:c>
      <x:c r="I60" s="16" t="n">
        <x:f>IF(H60&gt;0,G60/H60,"n.a.")</x:f>
        <x:v>1.326304962715351</x:v>
      </x:c>
      <x:c r="J60" s="10" t="n">
        <x:f>IF('Данные'!E60&gt;0,G60/'Данные'!E60,"n.a.")</x:f>
        <x:v>0.019038619829250376</x:v>
      </x:c>
      <x:c r="K60" s="1" t="str">
        <x:f>IF(G60&gt;='Дашборд'!$C$51,"X","Z")</x:f>
        <x:v>X</x:v>
      </x:c>
      <x:c r="L60" s="1" t="str">
        <x:f>IF(H60=0,IF(G60&gt;0,"Нет остатка","Нет спроса"),IF(I60&gt;='Дашборд'!$C$52,"Быстрый","Медленный"))</x:f>
        <x:v>Быстрый</x:v>
      </x:c>
      <x:c r="M60" s="1" t="str">
        <x:f>IF('Данные'!E60&lt;'Дашборд'!$C$53,"Мало трафика",IF(J60&lt;'Дашборд'!$C$9*'Дашборд'!$C$54,"Да","Нет"))</x:f>
        <x:v>Нет</x:v>
      </x:c>
      <x:c r="N60" s="1" t="str">
        <x:f>IF(AND('Данные'!D60&gt;='Дашборд'!$C$55,D60&lt;'Дашборд'!$C$56,'Данные'!E60&gt;='Дашборд'!$C$53,'Данные'!L60&lt;&gt;"Да"),"Да","Нет")</x:f>
        <x:v>Нет</x:v>
      </x:c>
      <x:c r="O60" s="1" t="str">
        <x:f>'Данные'!L60</x:f>
        <x:v>Нет</x:v>
      </x:c>
    </x:row>
    <x:row r="61">
      <x:c r="A61" s="1" t="str">
        <x:f>'Данные'!A61</x:f>
        <x:v>165757804</x:v>
      </x:c>
      <x:c r="B61" s="1" t="str">
        <x:f>'Данные'!B61</x:f>
        <x:v>kulirkaman/хаки</x:v>
      </x:c>
      <x:c r="C61" s="8" t="n">
        <x:f>'Данные'!G61</x:f>
        <x:v>2743004</x:v>
      </x:c>
      <x:c r="D61" s="15" t="n">
        <x:f>C61/SUM($C$5:$C$2477)</x:f>
        <x:v>0.003204442087171653</x:v>
      </x:c>
      <x:c r="E61" s="15" t="n">
        <x:f>SUM($D$5:D61)</x:f>
        <x:v>0.36557245035505476</x:v>
      </x:c>
      <x:c r="F61" s="1" t="str">
        <x:f>IF(C61&lt;=0,"C",IF(E61-D61&lt;'Дашборд'!$C$49,"A",IF(E61-D61&lt;'Дашборд'!$C$50,"B","C")))</x:f>
        <x:v>A</x:v>
      </x:c>
      <x:c r="G61" s="8" t="n">
        <x:f>'Данные'!F61</x:f>
        <x:v>4914</x:v>
      </x:c>
      <x:c r="H61" s="8" t="n">
        <x:f>SUM('Данные'!H61:I61)</x:f>
        <x:v>646</x:v>
      </x:c>
      <x:c r="I61" s="16" t="n">
        <x:f>IF(H61&gt;0,G61/H61,"n.a.")</x:f>
        <x:v>7.606811145510836</x:v>
      </x:c>
      <x:c r="J61" s="10" t="n">
        <x:f>IF('Данные'!E61&gt;0,G61/'Данные'!E61,"n.a.")</x:f>
        <x:v>0.05154779762716487</x:v>
      </x:c>
      <x:c r="K61" s="1" t="str">
        <x:f>IF(G61&gt;='Дашборд'!$C$51,"X","Z")</x:f>
        <x:v>X</x:v>
      </x:c>
      <x:c r="L61" s="1" t="str">
        <x:f>IF(H61=0,IF(G61&gt;0,"Нет остатка","Нет спроса"),IF(I61&gt;='Дашборд'!$C$52,"Быстрый","Медленный"))</x:f>
        <x:v>Быстрый</x:v>
      </x:c>
      <x:c r="M61" s="1" t="str">
        <x:f>IF('Данные'!E61&lt;'Дашборд'!$C$53,"Мало трафика",IF(J61&lt;'Дашборд'!$C$9*'Дашборд'!$C$54,"Да","Нет"))</x:f>
        <x:v>Нет</x:v>
      </x:c>
      <x:c r="N61" s="1" t="str">
        <x:f>IF(AND('Данные'!D61&gt;='Дашборд'!$C$55,D61&lt;'Дашборд'!$C$56,'Данные'!E61&gt;='Дашборд'!$C$53,'Данные'!L61&lt;&gt;"Да"),"Да","Нет")</x:f>
        <x:v>Нет</x:v>
      </x:c>
      <x:c r="O61" s="1" t="str">
        <x:f>'Данные'!L61</x:f>
        <x:v>Нет</x:v>
      </x:c>
    </x:row>
    <x:row r="62">
      <x:c r="A62" s="1" t="str">
        <x:f>'Данные'!A62</x:f>
        <x:v>221519608</x:v>
      </x:c>
      <x:c r="B62" s="1" t="str">
        <x:f>'Данные'!B62</x:f>
        <x:v>kroptop/розовый</x:v>
      </x:c>
      <x:c r="C62" s="8" t="n">
        <x:f>'Данные'!G62</x:f>
        <x:v>2739024</x:v>
      </x:c>
      <x:c r="D62" s="15" t="n">
        <x:f>C62/SUM($C$5:$C$2477)</x:f>
        <x:v>0.0031997925571283347</x:v>
      </x:c>
      <x:c r="E62" s="15" t="n">
        <x:f>SUM($D$5:D62)</x:f>
        <x:v>0.3687722429121831</x:v>
      </x:c>
      <x:c r="F62" s="1" t="str">
        <x:f>IF(C62&lt;=0,"C",IF(E62-D62&lt;'Дашборд'!$C$49,"A",IF(E62-D62&lt;'Дашборд'!$C$50,"B","C")))</x:f>
        <x:v>A</x:v>
      </x:c>
      <x:c r="G62" s="8" t="n">
        <x:f>'Данные'!F62</x:f>
        <x:v>6450</x:v>
      </x:c>
      <x:c r="H62" s="8" t="n">
        <x:f>SUM('Данные'!H62:I62)</x:f>
        <x:v>1482</x:v>
      </x:c>
      <x:c r="I62" s="16" t="n">
        <x:f>IF(H62&gt;0,G62/H62,"n.a.")</x:f>
        <x:v>4.352226720647773</x:v>
      </x:c>
      <x:c r="J62" s="10" t="n">
        <x:f>IF('Данные'!E62&gt;0,G62/'Данные'!E62,"n.a.")</x:f>
        <x:v>0.042809923937716536</x:v>
      </x:c>
      <x:c r="K62" s="1" t="str">
        <x:f>IF(G62&gt;='Дашборд'!$C$51,"X","Z")</x:f>
        <x:v>X</x:v>
      </x:c>
      <x:c r="L62" s="1" t="str">
        <x:f>IF(H62=0,IF(G62&gt;0,"Нет остатка","Нет спроса"),IF(I62&gt;='Дашборд'!$C$52,"Быстрый","Медленный"))</x:f>
        <x:v>Быстрый</x:v>
      </x:c>
      <x:c r="M62" s="1" t="str">
        <x:f>IF('Данные'!E62&lt;'Дашборд'!$C$53,"Мало трафика",IF(J62&lt;'Дашборд'!$C$9*'Дашборд'!$C$54,"Да","Нет"))</x:f>
        <x:v>Нет</x:v>
      </x:c>
      <x:c r="N62" s="1" t="str">
        <x:f>IF(AND('Данные'!D62&gt;='Дашборд'!$C$55,D62&lt;'Дашборд'!$C$56,'Данные'!E62&gt;='Дашборд'!$C$53,'Данные'!L62&lt;&gt;"Да"),"Да","Нет")</x:f>
        <x:v>Нет</x:v>
      </x:c>
      <x:c r="O62" s="1" t="str">
        <x:f>'Данные'!L62</x:f>
        <x:v>Нет</x:v>
      </x:c>
    </x:row>
    <x:row r="63">
      <x:c r="A63" s="1" t="str">
        <x:f>'Данные'!A63</x:f>
        <x:v>166214904</x:v>
      </x:c>
      <x:c r="B63" s="1" t="str">
        <x:f>'Данные'!B63</x:f>
        <x:v>kulirkaman/пыльнаямята</x:v>
      </x:c>
      <x:c r="C63" s="8" t="n">
        <x:f>'Данные'!G63</x:f>
        <x:v>2642914</x:v>
      </x:c>
      <x:c r="D63" s="15" t="n">
        <x:f>C63/SUM($C$5:$C$2477)</x:f>
        <x:v>0.0030875145841475927</x:v>
      </x:c>
      <x:c r="E63" s="15" t="n">
        <x:f>SUM($D$5:D63)</x:f>
        <x:v>0.37185975749633066</x:v>
      </x:c>
      <x:c r="F63" s="1" t="str">
        <x:f>IF(C63&lt;=0,"C",IF(E63-D63&lt;'Дашборд'!$C$49,"A",IF(E63-D63&lt;'Дашборд'!$C$50,"B","C")))</x:f>
        <x:v>A</x:v>
      </x:c>
      <x:c r="G63" s="8" t="n">
        <x:f>'Данные'!F63</x:f>
        <x:v>4616</x:v>
      </x:c>
      <x:c r="H63" s="8" t="n">
        <x:f>SUM('Данные'!H63:I63)</x:f>
        <x:v>578</x:v>
      </x:c>
      <x:c r="I63" s="16" t="n">
        <x:f>IF(H63&gt;0,G63/H63,"n.a.")</x:f>
        <x:v>7.986159169550173</x:v>
      </x:c>
      <x:c r="J63" s="10" t="n">
        <x:f>IF('Данные'!E63&gt;0,G63/'Данные'!E63,"n.a.")</x:f>
        <x:v>0.050647911431988504</x:v>
      </x:c>
      <x:c r="K63" s="1" t="str">
        <x:f>IF(G63&gt;='Дашборд'!$C$51,"X","Z")</x:f>
        <x:v>X</x:v>
      </x:c>
      <x:c r="L63" s="1" t="str">
        <x:f>IF(H63=0,IF(G63&gt;0,"Нет остатка","Нет спроса"),IF(I63&gt;='Дашборд'!$C$52,"Быстрый","Медленный"))</x:f>
        <x:v>Быстрый</x:v>
      </x:c>
      <x:c r="M63" s="1" t="str">
        <x:f>IF('Данные'!E63&lt;'Дашборд'!$C$53,"Мало трафика",IF(J63&lt;'Дашборд'!$C$9*'Дашборд'!$C$54,"Да","Нет"))</x:f>
        <x:v>Нет</x:v>
      </x:c>
      <x:c r="N63" s="1" t="str">
        <x:f>IF(AND('Данные'!D63&gt;='Дашборд'!$C$55,D63&lt;'Дашборд'!$C$56,'Данные'!E63&gt;='Дашборд'!$C$53,'Данные'!L63&lt;&gt;"Да"),"Да","Нет")</x:f>
        <x:v>Нет</x:v>
      </x:c>
      <x:c r="O63" s="1" t="str">
        <x:f>'Данные'!L63</x:f>
        <x:v>Нет</x:v>
      </x:c>
    </x:row>
    <x:row r="64">
      <x:c r="A64" s="1" t="str">
        <x:f>'Данные'!A64</x:f>
        <x:v>165757829</x:v>
      </x:c>
      <x:c r="B64" s="1" t="str">
        <x:f>'Данные'!B64</x:f>
        <x:v>kulirkaman/бордовый</x:v>
      </x:c>
      <x:c r="C64" s="8" t="n">
        <x:f>'Данные'!G64</x:f>
        <x:v>2630448</x:v>
      </x:c>
      <x:c r="D64" s="15" t="n">
        <x:f>C64/SUM($C$5:$C$2477)</x:f>
        <x:v>0.003072951508388796</x:v>
      </x:c>
      <x:c r="E64" s="15" t="n">
        <x:f>SUM($D$5:D64)</x:f>
        <x:v>0.3749327090047195</x:v>
      </x:c>
      <x:c r="F64" s="1" t="str">
        <x:f>IF(C64&lt;=0,"C",IF(E64-D64&lt;'Дашборд'!$C$49,"A",IF(E64-D64&lt;'Дашборд'!$C$50,"B","C")))</x:f>
        <x:v>A</x:v>
      </x:c>
      <x:c r="G64" s="8" t="n">
        <x:f>'Данные'!F64</x:f>
        <x:v>4844</x:v>
      </x:c>
      <x:c r="H64" s="8" t="n">
        <x:f>SUM('Данные'!H64:I64)</x:f>
        <x:v>2201</x:v>
      </x:c>
      <x:c r="I64" s="16" t="n">
        <x:f>IF(H64&gt;0,G64/H64,"n.a.")</x:f>
        <x:v>2.2008178100863245</x:v>
      </x:c>
      <x:c r="J64" s="10" t="n">
        <x:f>IF('Данные'!E64&gt;0,G64/'Данные'!E64,"n.a.")</x:f>
        <x:v>0.059561282707062756</x:v>
      </x:c>
      <x:c r="K64" s="1" t="str">
        <x:f>IF(G64&gt;='Дашборд'!$C$51,"X","Z")</x:f>
        <x:v>X</x:v>
      </x:c>
      <x:c r="L64" s="1" t="str">
        <x:f>IF(H64=0,IF(G64&gt;0,"Нет остатка","Нет спроса"),IF(I64&gt;='Дашборд'!$C$52,"Быстрый","Медленный"))</x:f>
        <x:v>Быстрый</x:v>
      </x:c>
      <x:c r="M64" s="1" t="str">
        <x:f>IF('Данные'!E64&lt;'Дашборд'!$C$53,"Мало трафика",IF(J64&lt;'Дашборд'!$C$9*'Дашборд'!$C$54,"Да","Нет"))</x:f>
        <x:v>Нет</x:v>
      </x:c>
      <x:c r="N64" s="1" t="str">
        <x:f>IF(AND('Данные'!D64&gt;='Дашборд'!$C$55,D64&lt;'Дашборд'!$C$56,'Данные'!E64&gt;='Дашборд'!$C$53,'Данные'!L64&lt;&gt;"Да"),"Да","Нет")</x:f>
        <x:v>Нет</x:v>
      </x:c>
      <x:c r="O64" s="1" t="str">
        <x:f>'Данные'!L64</x:f>
        <x:v>Нет</x:v>
      </x:c>
    </x:row>
    <x:row r="65">
      <x:c r="A65" s="1" t="str">
        <x:f>'Данные'!A65</x:f>
        <x:v>113290841</x:v>
      </x:c>
      <x:c r="B65" s="1" t="str">
        <x:f>'Данные'!B65</x:f>
        <x:v>kroptop/белый</x:v>
      </x:c>
      <x:c r="C65" s="8" t="n">
        <x:f>'Данные'!G65</x:f>
        <x:v>2512093</x:v>
      </x:c>
      <x:c r="D65" s="15" t="n">
        <x:f>C65/SUM($C$5:$C$2477)</x:f>
        <x:v>0.0029346864007815153</x:v>
      </x:c>
      <x:c r="E65" s="15" t="n">
        <x:f>SUM($D$5:D65)</x:f>
        <x:v>0.377867395405501</x:v>
      </x:c>
      <x:c r="F65" s="1" t="str">
        <x:f>IF(C65&lt;=0,"C",IF(E65-D65&lt;'Дашборд'!$C$49,"A",IF(E65-D65&lt;'Дашборд'!$C$50,"B","C")))</x:f>
        <x:v>A</x:v>
      </x:c>
      <x:c r="G65" s="8" t="n">
        <x:f>'Данные'!F65</x:f>
        <x:v>5469</x:v>
      </x:c>
      <x:c r="H65" s="8" t="n">
        <x:f>SUM('Данные'!H65:I65)</x:f>
        <x:v>5074</x:v>
      </x:c>
      <x:c r="I65" s="16" t="n">
        <x:f>IF(H65&gt;0,G65/H65,"n.a.")</x:f>
        <x:v>1.0778478517934569</x:v>
      </x:c>
      <x:c r="J65" s="10" t="n">
        <x:f>IF('Данные'!E65&gt;0,G65/'Данные'!E65,"n.a.")</x:f>
        <x:v>0.026877466470741452</x:v>
      </x:c>
      <x:c r="K65" s="1" t="str">
        <x:f>IF(G65&gt;='Дашборд'!$C$51,"X","Z")</x:f>
        <x:v>X</x:v>
      </x:c>
      <x:c r="L65" s="1" t="str">
        <x:f>IF(H65=0,IF(G65&gt;0,"Нет остатка","Нет спроса"),IF(I65&gt;='Дашборд'!$C$52,"Быстрый","Медленный"))</x:f>
        <x:v>Быстрый</x:v>
      </x:c>
      <x:c r="M65" s="1" t="str">
        <x:f>IF('Данные'!E65&lt;'Дашборд'!$C$53,"Мало трафика",IF(J65&lt;'Дашборд'!$C$9*'Дашборд'!$C$54,"Да","Нет"))</x:f>
        <x:v>Нет</x:v>
      </x:c>
      <x:c r="N65" s="1" t="str">
        <x:f>IF(AND('Данные'!D65&gt;='Дашборд'!$C$55,D65&lt;'Дашборд'!$C$56,'Данные'!E65&gt;='Дашборд'!$C$53,'Данные'!L65&lt;&gt;"Да"),"Да","Нет")</x:f>
        <x:v>Нет</x:v>
      </x:c>
      <x:c r="O65" s="1" t="str">
        <x:f>'Данные'!L65</x:f>
        <x:v>Нет</x:v>
      </x:c>
    </x:row>
    <x:row r="66">
      <x:c r="A66" s="1" t="str">
        <x:f>'Данные'!A66</x:f>
        <x:v>75373849</x:v>
      </x:c>
      <x:c r="B66" s="1" t="str">
        <x:f>'Данные'!B66</x:f>
        <x:v>futbolkaover/фуксия</x:v>
      </x:c>
      <x:c r="C66" s="8" t="n">
        <x:f>'Данные'!G66</x:f>
        <x:v>2424225</x:v>
      </x:c>
      <x:c r="D66" s="15" t="n">
        <x:f>C66/SUM($C$5:$C$2477)</x:f>
        <x:v>0.0028320369269507813</x:v>
      </x:c>
      <x:c r="E66" s="15" t="n">
        <x:f>SUM($D$5:D66)</x:f>
        <x:v>0.3806994323324518</x:v>
      </x:c>
      <x:c r="F66" s="1" t="str">
        <x:f>IF(C66&lt;=0,"C",IF(E66-D66&lt;'Дашборд'!$C$49,"A",IF(E66-D66&lt;'Дашборд'!$C$50,"B","C")))</x:f>
        <x:v>A</x:v>
      </x:c>
      <x:c r="G66" s="8" t="n">
        <x:f>'Данные'!F66</x:f>
        <x:v>4891</x:v>
      </x:c>
      <x:c r="H66" s="8" t="n">
        <x:f>SUM('Данные'!H66:I66)</x:f>
        <x:v>4035</x:v>
      </x:c>
      <x:c r="I66" s="16" t="n">
        <x:f>IF(H66&gt;0,G66/H66,"n.a.")</x:f>
        <x:v>1.2121437422552663</x:v>
      </x:c>
      <x:c r="J66" s="10" t="n">
        <x:f>IF('Данные'!E66&gt;0,G66/'Данные'!E66,"n.a.")</x:f>
        <x:v>0.03356552173763854</x:v>
      </x:c>
      <x:c r="K66" s="1" t="str">
        <x:f>IF(G66&gt;='Дашборд'!$C$51,"X","Z")</x:f>
        <x:v>X</x:v>
      </x:c>
      <x:c r="L66" s="1" t="str">
        <x:f>IF(H66=0,IF(G66&gt;0,"Нет остатка","Нет спроса"),IF(I66&gt;='Дашборд'!$C$52,"Быстрый","Медленный"))</x:f>
        <x:v>Быстрый</x:v>
      </x:c>
      <x:c r="M66" s="1" t="str">
        <x:f>IF('Данные'!E66&lt;'Дашборд'!$C$53,"Мало трафика",IF(J66&lt;'Дашборд'!$C$9*'Дашборд'!$C$54,"Да","Нет"))</x:f>
        <x:v>Нет</x:v>
      </x:c>
      <x:c r="N66" s="1" t="str">
        <x:f>IF(AND('Данные'!D66&gt;='Дашборд'!$C$55,D66&lt;'Дашборд'!$C$56,'Данные'!E66&gt;='Дашборд'!$C$53,'Данные'!L66&lt;&gt;"Да"),"Да","Нет")</x:f>
        <x:v>Нет</x:v>
      </x:c>
      <x:c r="O66" s="1" t="str">
        <x:f>'Данные'!L66</x:f>
        <x:v>Нет</x:v>
      </x:c>
    </x:row>
    <x:row r="67">
      <x:c r="A67" s="1" t="str">
        <x:f>'Данные'!A67</x:f>
        <x:v>79582215</x:v>
      </x:c>
      <x:c r="B67" s="1" t="str">
        <x:f>'Данные'!B67</x:f>
        <x:v>futbolkaover/красный</x:v>
      </x:c>
      <x:c r="C67" s="8" t="n">
        <x:f>'Данные'!G67</x:f>
        <x:v>2397857</x:v>
      </x:c>
      <x:c r="D67" s="15" t="n">
        <x:f>C67/SUM($C$5:$C$2477)</x:f>
        <x:v>0.002801233206301981</x:v>
      </x:c>
      <x:c r="E67" s="15" t="n">
        <x:f>SUM($D$5:D67)</x:f>
        <x:v>0.3835006655387538</x:v>
      </x:c>
      <x:c r="F67" s="1" t="str">
        <x:f>IF(C67&lt;=0,"C",IF(E67-D67&lt;'Дашборд'!$C$49,"A",IF(E67-D67&lt;'Дашборд'!$C$50,"B","C")))</x:f>
        <x:v>A</x:v>
      </x:c>
      <x:c r="G67" s="8" t="n">
        <x:f>'Данные'!F67</x:f>
        <x:v>5281</x:v>
      </x:c>
      <x:c r="H67" s="8" t="n">
        <x:f>SUM('Данные'!H67:I67)</x:f>
        <x:v>868</x:v>
      </x:c>
      <x:c r="I67" s="16" t="n">
        <x:f>IF(H67&gt;0,G67/H67,"n.a.")</x:f>
        <x:v>6.0841013824884795</x:v>
      </x:c>
      <x:c r="J67" s="10" t="n">
        <x:f>IF('Данные'!E67&gt;0,G67/'Данные'!E67,"n.a.")</x:f>
        <x:v>0.03506011538436004</x:v>
      </x:c>
      <x:c r="K67" s="1" t="str">
        <x:f>IF(G67&gt;='Дашборд'!$C$51,"X","Z")</x:f>
        <x:v>X</x:v>
      </x:c>
      <x:c r="L67" s="1" t="str">
        <x:f>IF(H67=0,IF(G67&gt;0,"Нет остатка","Нет спроса"),IF(I67&gt;='Дашборд'!$C$52,"Быстрый","Медленный"))</x:f>
        <x:v>Быстрый</x:v>
      </x:c>
      <x:c r="M67" s="1" t="str">
        <x:f>IF('Данные'!E67&lt;'Дашборд'!$C$53,"Мало трафика",IF(J67&lt;'Дашборд'!$C$9*'Дашборд'!$C$54,"Да","Нет"))</x:f>
        <x:v>Нет</x:v>
      </x:c>
      <x:c r="N67" s="1" t="str">
        <x:f>IF(AND('Данные'!D67&gt;='Дашборд'!$C$55,D67&lt;'Дашборд'!$C$56,'Данные'!E67&gt;='Дашборд'!$C$53,'Данные'!L67&lt;&gt;"Да"),"Да","Нет")</x:f>
        <x:v>Нет</x:v>
      </x:c>
      <x:c r="O67" s="1" t="str">
        <x:f>'Данные'!L67</x:f>
        <x:v>Нет</x:v>
      </x:c>
    </x:row>
    <x:row r="68">
      <x:c r="A68" s="1" t="str">
        <x:f>'Данные'!A68</x:f>
        <x:v>313189789</x:v>
      </x:c>
      <x:c r="B68" s="1" t="str">
        <x:f>'Данные'!B68</x:f>
        <x:v>longoverX2/сер-роз</x:v>
      </x:c>
      <x:c r="C68" s="8" t="n">
        <x:f>'Данные'!G68</x:f>
        <x:v>2352461</x:v>
      </x:c>
      <x:c r="D68" s="15" t="n">
        <x:f>C68/SUM($C$5:$C$2477)</x:f>
        <x:v>0.002748200526441053</x:v>
      </x:c>
      <x:c r="E68" s="15" t="n">
        <x:f>SUM($D$5:D68)</x:f>
        <x:v>0.3862488660651948</x:v>
      </x:c>
      <x:c r="F68" s="1" t="str">
        <x:f>IF(C68&lt;=0,"C",IF(E68-D68&lt;'Дашборд'!$C$49,"A",IF(E68-D68&lt;'Дашборд'!$C$50,"B","C")))</x:f>
        <x:v>A</x:v>
      </x:c>
      <x:c r="G68" s="8" t="n">
        <x:f>'Данные'!F68</x:f>
        <x:v>1970</x:v>
      </x:c>
      <x:c r="H68" s="8" t="n">
        <x:f>SUM('Данные'!H68:I68)</x:f>
        <x:v>460</x:v>
      </x:c>
      <x:c r="I68" s="16" t="n">
        <x:f>IF(H68&gt;0,G68/H68,"n.a.")</x:f>
        <x:v>4.282608695652174</x:v>
      </x:c>
      <x:c r="J68" s="10" t="n">
        <x:f>IF('Данные'!E68&gt;0,G68/'Данные'!E68,"n.a.")</x:f>
        <x:v>0.008458602226716301</x:v>
      </x:c>
      <x:c r="K68" s="1" t="str">
        <x:f>IF(G68&gt;='Дашборд'!$C$51,"X","Z")</x:f>
        <x:v>X</x:v>
      </x:c>
      <x:c r="L68" s="1" t="str">
        <x:f>IF(H68=0,IF(G68&gt;0,"Нет остатка","Нет спроса"),IF(I68&gt;='Дашборд'!$C$52,"Быстрый","Медленный"))</x:f>
        <x:v>Быстрый</x:v>
      </x:c>
      <x:c r="M68" s="1" t="str">
        <x:f>IF('Данные'!E68&lt;'Дашборд'!$C$53,"Мало трафика",IF(J68&lt;'Дашборд'!$C$9*'Дашборд'!$C$54,"Да","Нет"))</x:f>
        <x:v>Да</x:v>
      </x:c>
      <x:c r="N68" s="1" t="str">
        <x:f>IF(AND('Данные'!D68&gt;='Дашборд'!$C$55,D68&lt;'Дашборд'!$C$56,'Данные'!E68&gt;='Дашборд'!$C$53,'Данные'!L68&lt;&gt;"Да"),"Да","Нет")</x:f>
        <x:v>Нет</x:v>
      </x:c>
      <x:c r="O68" s="1" t="str">
        <x:f>'Данные'!L68</x:f>
        <x:v>Нет</x:v>
      </x:c>
    </x:row>
    <x:row r="69">
      <x:c r="A69" s="1" t="str">
        <x:f>'Данные'!A69</x:f>
        <x:v>200739279</x:v>
      </x:c>
      <x:c r="B69" s="1" t="str">
        <x:f>'Данные'!B69</x:f>
        <x:v>tolstovkazip/серый</x:v>
      </x:c>
      <x:c r="C69" s="8" t="n">
        <x:f>'Данные'!G69</x:f>
        <x:v>2292258</x:v>
      </x:c>
      <x:c r="D69" s="15" t="n">
        <x:f>C69/SUM($C$5:$C$2477)</x:f>
        <x:v>0.0026778699593058993</x:v>
      </x:c>
      <x:c r="E69" s="15" t="n">
        <x:f>SUM($D$5:D69)</x:f>
        <x:v>0.38892673602450073</x:v>
      </x:c>
      <x:c r="F69" s="1" t="str">
        <x:f>IF(C69&lt;=0,"C",IF(E69-D69&lt;'Дашборд'!$C$49,"A",IF(E69-D69&lt;'Дашборд'!$C$50,"B","C")))</x:f>
        <x:v>A</x:v>
      </x:c>
      <x:c r="G69" s="8" t="n">
        <x:f>'Данные'!F69</x:f>
        <x:v>1811</x:v>
      </x:c>
      <x:c r="H69" s="8" t="n">
        <x:f>SUM('Данные'!H69:I69)</x:f>
        <x:v>60</x:v>
      </x:c>
      <x:c r="I69" s="16" t="n">
        <x:f>IF(H69&gt;0,G69/H69,"n.a.")</x:f>
        <x:v>30.183333333333334</x:v>
      </x:c>
      <x:c r="J69" s="10" t="n">
        <x:f>IF('Данные'!E69&gt;0,G69/'Данные'!E69,"n.a.")</x:f>
        <x:v>0.011519403611660614</x:v>
      </x:c>
      <x:c r="K69" s="1" t="str">
        <x:f>IF(G69&gt;='Дашборд'!$C$51,"X","Z")</x:f>
        <x:v>X</x:v>
      </x:c>
      <x:c r="L69" s="1" t="str">
        <x:f>IF(H69=0,IF(G69&gt;0,"Нет остатка","Нет спроса"),IF(I69&gt;='Дашборд'!$C$52,"Быстрый","Медленный"))</x:f>
        <x:v>Быстрый</x:v>
      </x:c>
      <x:c r="M69" s="1" t="str">
        <x:f>IF('Данные'!E69&lt;'Дашборд'!$C$53,"Мало трафика",IF(J69&lt;'Дашборд'!$C$9*'Дашборд'!$C$54,"Да","Нет"))</x:f>
        <x:v>Нет</x:v>
      </x:c>
      <x:c r="N69" s="1" t="str">
        <x:f>IF(AND('Данные'!D69&gt;='Дашборд'!$C$55,D69&lt;'Дашборд'!$C$56,'Данные'!E69&gt;='Дашборд'!$C$53,'Данные'!L69&lt;&gt;"Да"),"Да","Нет")</x:f>
        <x:v>Нет</x:v>
      </x:c>
      <x:c r="O69" s="1" t="str">
        <x:f>'Данные'!L69</x:f>
        <x:v>Нет</x:v>
      </x:c>
    </x:row>
    <x:row r="70">
      <x:c r="A70" s="1" t="str">
        <x:f>'Данные'!A70</x:f>
        <x:v>165757795</x:v>
      </x:c>
      <x:c r="B70" s="1" t="str">
        <x:f>'Данные'!B70</x:f>
        <x:v>kulirkaman/голубой</x:v>
      </x:c>
      <x:c r="C70" s="8" t="n">
        <x:f>'Данные'!G70</x:f>
        <x:v>2264763</x:v>
      </x:c>
      <x:c r="D70" s="15" t="n">
        <x:f>C70/SUM($C$5:$C$2477)</x:f>
        <x:v>0.002645749650627245</x:v>
      </x:c>
      <x:c r="E70" s="15" t="n">
        <x:f>SUM($D$5:D70)</x:f>
        <x:v>0.391572485675128</x:v>
      </x:c>
      <x:c r="F70" s="1" t="str">
        <x:f>IF(C70&lt;=0,"C",IF(E70-D70&lt;'Дашборд'!$C$49,"A",IF(E70-D70&lt;'Дашборд'!$C$50,"B","C")))</x:f>
        <x:v>A</x:v>
      </x:c>
      <x:c r="G70" s="8" t="n">
        <x:f>'Данные'!F70</x:f>
        <x:v>4610</x:v>
      </x:c>
      <x:c r="H70" s="8" t="n">
        <x:f>SUM('Данные'!H70:I70)</x:f>
        <x:v>1653</x:v>
      </x:c>
      <x:c r="I70" s="16" t="n">
        <x:f>IF(H70&gt;0,G70/H70,"n.a.")</x:f>
        <x:v>2.7888687235329703</x:v>
      </x:c>
      <x:c r="J70" s="10" t="n">
        <x:f>IF('Данные'!E70&gt;0,G70/'Данные'!E70,"n.a.")</x:f>
        <x:v>0.04927688048485885</x:v>
      </x:c>
      <x:c r="K70" s="1" t="str">
        <x:f>IF(G70&gt;='Дашборд'!$C$51,"X","Z")</x:f>
        <x:v>X</x:v>
      </x:c>
      <x:c r="L70" s="1" t="str">
        <x:f>IF(H70=0,IF(G70&gt;0,"Нет остатка","Нет спроса"),IF(I70&gt;='Дашборд'!$C$52,"Быстрый","Медленный"))</x:f>
        <x:v>Быстрый</x:v>
      </x:c>
      <x:c r="M70" s="1" t="str">
        <x:f>IF('Данные'!E70&lt;'Дашборд'!$C$53,"Мало трафика",IF(J70&lt;'Дашборд'!$C$9*'Дашборд'!$C$54,"Да","Нет"))</x:f>
        <x:v>Нет</x:v>
      </x:c>
      <x:c r="N70" s="1" t="str">
        <x:f>IF(AND('Данные'!D70&gt;='Дашборд'!$C$55,D70&lt;'Дашборд'!$C$56,'Данные'!E70&gt;='Дашборд'!$C$53,'Данные'!L70&lt;&gt;"Да"),"Да","Нет")</x:f>
        <x:v>Нет</x:v>
      </x:c>
      <x:c r="O70" s="1" t="str">
        <x:f>'Данные'!L70</x:f>
        <x:v>Нет</x:v>
      </x:c>
    </x:row>
    <x:row r="71">
      <x:c r="A71" s="1" t="str">
        <x:f>'Данные'!A71</x:f>
        <x:v>113252267</x:v>
      </x:c>
      <x:c r="B71" s="1" t="str">
        <x:f>'Данные'!B71</x:f>
        <x:v>kroptop/коричневый</x:v>
      </x:c>
      <x:c r="C71" s="8" t="n">
        <x:f>'Данные'!G71</x:f>
        <x:v>2230943</x:v>
      </x:c>
      <x:c r="D71" s="15" t="n">
        <x:f>C71/SUM($C$5:$C$2477)</x:f>
        <x:v>0.002606240327495326</x:v>
      </x:c>
      <x:c r="E71" s="15" t="n">
        <x:f>SUM($D$5:D71)</x:f>
        <x:v>0.3941787260026233</x:v>
      </x:c>
      <x:c r="F71" s="1" t="str">
        <x:f>IF(C71&lt;=0,"C",IF(E71-D71&lt;'Дашборд'!$C$49,"A",IF(E71-D71&lt;'Дашборд'!$C$50,"B","C")))</x:f>
        <x:v>A</x:v>
      </x:c>
      <x:c r="G71" s="8" t="n">
        <x:f>'Данные'!F71</x:f>
        <x:v>5853</x:v>
      </x:c>
      <x:c r="H71" s="8" t="n">
        <x:f>SUM('Данные'!H71:I71)</x:f>
        <x:v>1096</x:v>
      </x:c>
      <x:c r="I71" s="16" t="n">
        <x:f>IF(H71&gt;0,G71/H71,"n.a.")</x:f>
        <x:v>5.3403284671532845</x:v>
      </x:c>
      <x:c r="J71" s="10" t="n">
        <x:f>IF('Данные'!E71&gt;0,G71/'Данные'!E71,"n.a.")</x:f>
        <x:v>0.035320527907018846</x:v>
      </x:c>
      <x:c r="K71" s="1" t="str">
        <x:f>IF(G71&gt;='Дашборд'!$C$51,"X","Z")</x:f>
        <x:v>X</x:v>
      </x:c>
      <x:c r="L71" s="1" t="str">
        <x:f>IF(H71=0,IF(G71&gt;0,"Нет остатка","Нет спроса"),IF(I71&gt;='Дашборд'!$C$52,"Быстрый","Медленный"))</x:f>
        <x:v>Быстрый</x:v>
      </x:c>
      <x:c r="M71" s="1" t="str">
        <x:f>IF('Данные'!E71&lt;'Дашборд'!$C$53,"Мало трафика",IF(J71&lt;'Дашборд'!$C$9*'Дашборд'!$C$54,"Да","Нет"))</x:f>
        <x:v>Нет</x:v>
      </x:c>
      <x:c r="N71" s="1" t="str">
        <x:f>IF(AND('Данные'!D71&gt;='Дашборд'!$C$55,D71&lt;'Дашборд'!$C$56,'Данные'!E71&gt;='Дашборд'!$C$53,'Данные'!L71&lt;&gt;"Да"),"Да","Нет")</x:f>
        <x:v>Нет</x:v>
      </x:c>
      <x:c r="O71" s="1" t="str">
        <x:f>'Данные'!L71</x:f>
        <x:v>Нет</x:v>
      </x:c>
    </x:row>
    <x:row r="72">
      <x:c r="A72" s="1" t="str">
        <x:f>'Данные'!A72</x:f>
        <x:v>113298673</x:v>
      </x:c>
      <x:c r="B72" s="1" t="str">
        <x:f>'Данные'!B72</x:f>
        <x:v>kroptop/серовато-розовый</x:v>
      </x:c>
      <x:c r="C72" s="8" t="n">
        <x:f>'Данные'!G72</x:f>
        <x:v>2207302</x:v>
      </x:c>
      <x:c r="D72" s="15" t="n">
        <x:f>C72/SUM($C$5:$C$2477)</x:f>
        <x:v>0.0025786223526827394</x:v>
      </x:c>
      <x:c r="E72" s="15" t="n">
        <x:f>SUM($D$5:D72)</x:f>
        <x:v>0.39675734835530607</x:v>
      </x:c>
      <x:c r="F72" s="1" t="str">
        <x:f>IF(C72&lt;=0,"C",IF(E72-D72&lt;'Дашборд'!$C$49,"A",IF(E72-D72&lt;'Дашборд'!$C$50,"B","C")))</x:f>
        <x:v>A</x:v>
      </x:c>
      <x:c r="G72" s="8" t="n">
        <x:f>'Данные'!F72</x:f>
        <x:v>4959</x:v>
      </x:c>
      <x:c r="H72" s="8" t="n">
        <x:f>SUM('Данные'!H72:I72)</x:f>
        <x:v>1993</x:v>
      </x:c>
      <x:c r="I72" s="16" t="n">
        <x:f>IF(H72&gt;0,G72/H72,"n.a.")</x:f>
        <x:v>2.4882087305569494</x:v>
      </x:c>
      <x:c r="J72" s="10" t="n">
        <x:f>IF('Данные'!E72&gt;0,G72/'Данные'!E72,"n.a.")</x:f>
        <x:v>0.029547404547404548</x:v>
      </x:c>
      <x:c r="K72" s="1" t="str">
        <x:f>IF(G72&gt;='Дашборд'!$C$51,"X","Z")</x:f>
        <x:v>X</x:v>
      </x:c>
      <x:c r="L72" s="1" t="str">
        <x:f>IF(H72=0,IF(G72&gt;0,"Нет остатка","Нет спроса"),IF(I72&gt;='Дашборд'!$C$52,"Быстрый","Медленный"))</x:f>
        <x:v>Быстрый</x:v>
      </x:c>
      <x:c r="M72" s="1" t="str">
        <x:f>IF('Данные'!E72&lt;'Дашборд'!$C$53,"Мало трафика",IF(J72&lt;'Дашборд'!$C$9*'Дашборд'!$C$54,"Да","Нет"))</x:f>
        <x:v>Нет</x:v>
      </x:c>
      <x:c r="N72" s="1" t="str">
        <x:f>IF(AND('Данные'!D72&gt;='Дашборд'!$C$55,D72&lt;'Дашборд'!$C$56,'Данные'!E72&gt;='Дашборд'!$C$53,'Данные'!L72&lt;&gt;"Да"),"Да","Нет")</x:f>
        <x:v>Нет</x:v>
      </x:c>
      <x:c r="O72" s="1" t="str">
        <x:f>'Данные'!L72</x:f>
        <x:v>Нет</x:v>
      </x:c>
    </x:row>
    <x:row r="73">
      <x:c r="A73" s="1" t="str">
        <x:f>'Данные'!A73</x:f>
        <x:v>221503639</x:v>
      </x:c>
      <x:c r="B73" s="1" t="str">
        <x:f>'Данные'!B73</x:f>
        <x:v>baza/розовый</x:v>
      </x:c>
      <x:c r="C73" s="8" t="n">
        <x:f>'Данные'!G73</x:f>
        <x:v>2187240</x:v>
      </x:c>
      <x:c r="D73" s="15" t="n">
        <x:f>C73/SUM($C$5:$C$2477)</x:f>
        <x:v>0.0025551854502382522</x:v>
      </x:c>
      <x:c r="E73" s="15" t="n">
        <x:f>SUM($D$5:D73)</x:f>
        <x:v>0.3993125338055443</x:v>
      </x:c>
      <x:c r="F73" s="1" t="str">
        <x:f>IF(C73&lt;=0,"C",IF(E73-D73&lt;'Дашборд'!$C$49,"A",IF(E73-D73&lt;'Дашборд'!$C$50,"B","C")))</x:f>
        <x:v>A</x:v>
      </x:c>
      <x:c r="G73" s="8" t="n">
        <x:f>'Данные'!F73</x:f>
        <x:v>4592</x:v>
      </x:c>
      <x:c r="H73" s="8" t="n">
        <x:f>SUM('Данные'!H73:I73)</x:f>
        <x:v>2620</x:v>
      </x:c>
      <x:c r="I73" s="16" t="n">
        <x:f>IF(H73&gt;0,G73/H73,"n.a.")</x:f>
        <x:v>1.7526717557251907</x:v>
      </x:c>
      <x:c r="J73" s="10" t="n">
        <x:f>IF('Данные'!E73&gt;0,G73/'Данные'!E73,"n.a.")</x:f>
        <x:v>0.026229358374602305</x:v>
      </x:c>
      <x:c r="K73" s="1" t="str">
        <x:f>IF(G73&gt;='Дашборд'!$C$51,"X","Z")</x:f>
        <x:v>X</x:v>
      </x:c>
      <x:c r="L73" s="1" t="str">
        <x:f>IF(H73=0,IF(G73&gt;0,"Нет остатка","Нет спроса"),IF(I73&gt;='Дашборд'!$C$52,"Быстрый","Медленный"))</x:f>
        <x:v>Быстрый</x:v>
      </x:c>
      <x:c r="M73" s="1" t="str">
        <x:f>IF('Данные'!E73&lt;'Дашборд'!$C$53,"Мало трафика",IF(J73&lt;'Дашборд'!$C$9*'Дашборд'!$C$54,"Да","Нет"))</x:f>
        <x:v>Нет</x:v>
      </x:c>
      <x:c r="N73" s="1" t="str">
        <x:f>IF(AND('Данные'!D73&gt;='Дашборд'!$C$55,D73&lt;'Дашборд'!$C$56,'Данные'!E73&gt;='Дашборд'!$C$53,'Данные'!L73&lt;&gt;"Да"),"Да","Нет")</x:f>
        <x:v>Нет</x:v>
      </x:c>
      <x:c r="O73" s="1" t="str">
        <x:f>'Данные'!L73</x:f>
        <x:v>Нет</x:v>
      </x:c>
    </x:row>
    <x:row r="74">
      <x:c r="A74" s="1" t="str">
        <x:f>'Данные'!A74</x:f>
        <x:v>200738148</x:v>
      </x:c>
      <x:c r="B74" s="1" t="str">
        <x:f>'Данные'!B74</x:f>
        <x:v>tolstovkazip/черный</x:v>
      </x:c>
      <x:c r="C74" s="8" t="n">
        <x:f>'Данные'!G74</x:f>
        <x:v>2129071</x:v>
      </x:c>
      <x:c r="D74" s="15" t="n">
        <x:f>C74/SUM($C$5:$C$2477)</x:f>
        <x:v>0.0024872310499644327</x:v>
      </x:c>
      <x:c r="E74" s="15" t="n">
        <x:f>SUM($D$5:D74)</x:f>
        <x:v>0.4017997648555088</x:v>
      </x:c>
      <x:c r="F74" s="1" t="str">
        <x:f>IF(C74&lt;=0,"C",IF(E74-D74&lt;'Дашборд'!$C$49,"A",IF(E74-D74&lt;'Дашборд'!$C$50,"B","C")))</x:f>
        <x:v>A</x:v>
      </x:c>
      <x:c r="G74" s="8" t="n">
        <x:f>'Данные'!F74</x:f>
        <x:v>1239</x:v>
      </x:c>
      <x:c r="H74" s="8" t="n">
        <x:f>SUM('Данные'!H74:I74)</x:f>
        <x:v>74</x:v>
      </x:c>
      <x:c r="I74" s="16" t="n">
        <x:f>IF(H74&gt;0,G74/H74,"n.a.")</x:f>
        <x:v>16.743243243243242</x:v>
      </x:c>
      <x:c r="J74" s="10" t="n">
        <x:f>IF('Данные'!E74&gt;0,G74/'Данные'!E74,"n.a.")</x:f>
        <x:v>0.012888260136892255</x:v>
      </x:c>
      <x:c r="K74" s="1" t="str">
        <x:f>IF(G74&gt;='Дашборд'!$C$51,"X","Z")</x:f>
        <x:v>X</x:v>
      </x:c>
      <x:c r="L74" s="1" t="str">
        <x:f>IF(H74=0,IF(G74&gt;0,"Нет остатка","Нет спроса"),IF(I74&gt;='Дашборд'!$C$52,"Быстрый","Медленный"))</x:f>
        <x:v>Быстрый</x:v>
      </x:c>
      <x:c r="M74" s="1" t="str">
        <x:f>IF('Данные'!E74&lt;'Дашборд'!$C$53,"Мало трафика",IF(J74&lt;'Дашборд'!$C$9*'Дашборд'!$C$54,"Да","Нет"))</x:f>
        <x:v>Нет</x:v>
      </x:c>
      <x:c r="N74" s="1" t="str">
        <x:f>IF(AND('Данные'!D74&gt;='Дашборд'!$C$55,D74&lt;'Дашборд'!$C$56,'Данные'!E74&gt;='Дашборд'!$C$53,'Данные'!L74&lt;&gt;"Да"),"Да","Нет")</x:f>
        <x:v>Нет</x:v>
      </x:c>
      <x:c r="O74" s="1" t="str">
        <x:f>'Данные'!L74</x:f>
        <x:v>Нет</x:v>
      </x:c>
    </x:row>
    <x:row r="75">
      <x:c r="A75" s="1" t="str">
        <x:f>'Данные'!A75</x:f>
        <x:v>260797917</x:v>
      </x:c>
      <x:c r="B75" s="1" t="str">
        <x:f>'Данные'!B75</x:f>
        <x:v>hudicrop1/серыймеланж2</x:v>
      </x:c>
      <x:c r="C75" s="8" t="n">
        <x:f>'Данные'!G75</x:f>
        <x:v>2045156</x:v>
      </x:c>
      <x:c r="D75" s="15" t="n">
        <x:f>C75/SUM($C$5:$C$2477)</x:f>
        <x:v>0.0023891995641390352</x:v>
      </x:c>
      <x:c r="E75" s="15" t="n">
        <x:f>SUM($D$5:D75)</x:f>
        <x:v>0.4041889644196478</x:v>
      </x:c>
      <x:c r="F75" s="1" t="str">
        <x:f>IF(C75&lt;=0,"C",IF(E75-D75&lt;'Дашборд'!$C$49,"A",IF(E75-D75&lt;'Дашборд'!$C$50,"B","C")))</x:f>
        <x:v>A</x:v>
      </x:c>
      <x:c r="G75" s="8" t="n">
        <x:f>'Данные'!F75</x:f>
        <x:v>1584</x:v>
      </x:c>
      <x:c r="H75" s="8" t="n">
        <x:f>SUM('Данные'!H75:I75)</x:f>
        <x:v>490</x:v>
      </x:c>
      <x:c r="I75" s="16" t="n">
        <x:f>IF(H75&gt;0,G75/H75,"n.a.")</x:f>
        <x:v>3.23265306122449</x:v>
      </x:c>
      <x:c r="J75" s="10" t="n">
        <x:f>IF('Данные'!E75&gt;0,G75/'Данные'!E75,"n.a.")</x:f>
        <x:v>0.016990056955304565</x:v>
      </x:c>
      <x:c r="K75" s="1" t="str">
        <x:f>IF(G75&gt;='Дашборд'!$C$51,"X","Z")</x:f>
        <x:v>X</x:v>
      </x:c>
      <x:c r="L75" s="1" t="str">
        <x:f>IF(H75=0,IF(G75&gt;0,"Нет остатка","Нет спроса"),IF(I75&gt;='Дашборд'!$C$52,"Быстрый","Медленный"))</x:f>
        <x:v>Быстрый</x:v>
      </x:c>
      <x:c r="M75" s="1" t="str">
        <x:f>IF('Данные'!E75&lt;'Дашборд'!$C$53,"Мало трафика",IF(J75&lt;'Дашборд'!$C$9*'Дашборд'!$C$54,"Да","Нет"))</x:f>
        <x:v>Нет</x:v>
      </x:c>
      <x:c r="N75" s="1" t="str">
        <x:f>IF(AND('Данные'!D75&gt;='Дашборд'!$C$55,D75&lt;'Дашборд'!$C$56,'Данные'!E75&gt;='Дашборд'!$C$53,'Данные'!L75&lt;&gt;"Да"),"Да","Нет")</x:f>
        <x:v>Нет</x:v>
      </x:c>
      <x:c r="O75" s="1" t="str">
        <x:f>'Данные'!L75</x:f>
        <x:v>Нет</x:v>
      </x:c>
    </x:row>
    <x:row r="76">
      <x:c r="A76" s="1" t="str">
        <x:f>'Данные'!A76</x:f>
        <x:v>217339654</x:v>
      </x:c>
      <x:c r="B76" s="1" t="str">
        <x:f>'Данные'!B76</x:f>
        <x:v>longover/голубой</x:v>
      </x:c>
      <x:c r="C76" s="8" t="n">
        <x:f>'Данные'!G76</x:f>
        <x:v>2043951</x:v>
      </x:c>
      <x:c r="D76" s="15" t="n">
        <x:f>C76/SUM($C$5:$C$2477)</x:f>
        <x:v>0.0023877918546661206</x:v>
      </x:c>
      <x:c r="E76" s="15" t="n">
        <x:f>SUM($D$5:D76)</x:f>
        <x:v>0.40657675627431394</x:v>
      </x:c>
      <x:c r="F76" s="1" t="str">
        <x:f>IF(C76&lt;=0,"C",IF(E76-D76&lt;'Дашборд'!$C$49,"A",IF(E76-D76&lt;'Дашборд'!$C$50,"B","C")))</x:f>
        <x:v>A</x:v>
      </x:c>
      <x:c r="G76" s="8" t="n">
        <x:f>'Данные'!F76</x:f>
        <x:v>3479</x:v>
      </x:c>
      <x:c r="H76" s="8" t="n">
        <x:f>SUM('Данные'!H76:I76)</x:f>
        <x:v>1265</x:v>
      </x:c>
      <x:c r="I76" s="16" t="n">
        <x:f>IF(H76&gt;0,G76/H76,"n.a.")</x:f>
        <x:v>2.750197628458498</x:v>
      </x:c>
      <x:c r="J76" s="10" t="n">
        <x:f>IF('Данные'!E76&gt;0,G76/'Данные'!E76,"n.a.")</x:f>
        <x:v>0.02467865959197571</x:v>
      </x:c>
      <x:c r="K76" s="1" t="str">
        <x:f>IF(G76&gt;='Дашборд'!$C$51,"X","Z")</x:f>
        <x:v>X</x:v>
      </x:c>
      <x:c r="L76" s="1" t="str">
        <x:f>IF(H76=0,IF(G76&gt;0,"Нет остатка","Нет спроса"),IF(I76&gt;='Дашборд'!$C$52,"Быстрый","Медленный"))</x:f>
        <x:v>Быстрый</x:v>
      </x:c>
      <x:c r="M76" s="1" t="str">
        <x:f>IF('Данные'!E76&lt;'Дашборд'!$C$53,"Мало трафика",IF(J76&lt;'Дашборд'!$C$9*'Дашборд'!$C$54,"Да","Нет"))</x:f>
        <x:v>Нет</x:v>
      </x:c>
      <x:c r="N76" s="1" t="str">
        <x:f>IF(AND('Данные'!D76&gt;='Дашборд'!$C$55,D76&lt;'Дашборд'!$C$56,'Данные'!E76&gt;='Дашборд'!$C$53,'Данные'!L76&lt;&gt;"Да"),"Да","Нет")</x:f>
        <x:v>Нет</x:v>
      </x:c>
      <x:c r="O76" s="1" t="str">
        <x:f>'Данные'!L76</x:f>
        <x:v>Нет</x:v>
      </x:c>
    </x:row>
    <x:row r="77">
      <x:c r="A77" s="1" t="str">
        <x:f>'Данные'!A77</x:f>
        <x:v>165788830</x:v>
      </x:c>
      <x:c r="B77" s="1" t="str">
        <x:f>'Данные'!B77</x:f>
        <x:v>hudi/серый</x:v>
      </x:c>
      <x:c r="C77" s="8" t="n">
        <x:f>'Данные'!G77</x:f>
        <x:v>2026391</x:v>
      </x:c>
      <x:c r="D77" s="15" t="n">
        <x:f>C77/SUM($C$5:$C$2477)</x:f>
        <x:v>0.002367277847741328</x:v>
      </x:c>
      <x:c r="E77" s="15" t="n">
        <x:f>SUM($D$5:D77)</x:f>
        <x:v>0.40894403412205527</x:v>
      </x:c>
      <x:c r="F77" s="1" t="str">
        <x:f>IF(C77&lt;=0,"C",IF(E77-D77&lt;'Дашборд'!$C$49,"A",IF(E77-D77&lt;'Дашборд'!$C$50,"B","C")))</x:f>
        <x:v>A</x:v>
      </x:c>
      <x:c r="G77" s="8" t="n">
        <x:f>'Данные'!F77</x:f>
        <x:v>2159</x:v>
      </x:c>
      <x:c r="H77" s="8" t="n">
        <x:f>SUM('Данные'!H77:I77)</x:f>
        <x:v>335</x:v>
      </x:c>
      <x:c r="I77" s="16" t="n">
        <x:f>IF(H77&gt;0,G77/H77,"n.a.")</x:f>
        <x:v>6.444776119402985</x:v>
      </x:c>
      <x:c r="J77" s="10" t="n">
        <x:f>IF('Данные'!E77&gt;0,G77/'Данные'!E77,"n.a.")</x:f>
        <x:v>0.01696126954199073</x:v>
      </x:c>
      <x:c r="K77" s="1" t="str">
        <x:f>IF(G77&gt;='Дашборд'!$C$51,"X","Z")</x:f>
        <x:v>X</x:v>
      </x:c>
      <x:c r="L77" s="1" t="str">
        <x:f>IF(H77=0,IF(G77&gt;0,"Нет остатка","Нет спроса"),IF(I77&gt;='Дашборд'!$C$52,"Быстрый","Медленный"))</x:f>
        <x:v>Быстрый</x:v>
      </x:c>
      <x:c r="M77" s="1" t="str">
        <x:f>IF('Данные'!E77&lt;'Дашборд'!$C$53,"Мало трафика",IF(J77&lt;'Дашборд'!$C$9*'Дашборд'!$C$54,"Да","Нет"))</x:f>
        <x:v>Нет</x:v>
      </x:c>
      <x:c r="N77" s="1" t="str">
        <x:f>IF(AND('Данные'!D77&gt;='Дашборд'!$C$55,D77&lt;'Дашборд'!$C$56,'Данные'!E77&gt;='Дашборд'!$C$53,'Данные'!L77&lt;&gt;"Да"),"Да","Нет")</x:f>
        <x:v>Нет</x:v>
      </x:c>
      <x:c r="O77" s="1" t="str">
        <x:f>'Данные'!L77</x:f>
        <x:v>Нет</x:v>
      </x:c>
    </x:row>
    <x:row r="78">
      <x:c r="A78" s="1" t="str">
        <x:f>'Данные'!A78</x:f>
        <x:v>221503705</x:v>
      </x:c>
      <x:c r="B78" s="1" t="str">
        <x:f>'Данные'!B78</x:f>
        <x:v>baza/пыльнаяроза</x:v>
      </x:c>
      <x:c r="C78" s="8" t="n">
        <x:f>'Данные'!G78</x:f>
        <x:v>2016463</x:v>
      </x:c>
      <x:c r="D78" s="15" t="n">
        <x:f>C78/SUM($C$5:$C$2477)</x:f>
        <x:v>0.002355679723552869</x:v>
      </x:c>
      <x:c r="E78" s="15" t="n">
        <x:f>SUM($D$5:D78)</x:f>
        <x:v>0.41129971384560815</x:v>
      </x:c>
      <x:c r="F78" s="1" t="str">
        <x:f>IF(C78&lt;=0,"C",IF(E78-D78&lt;'Дашборд'!$C$49,"A",IF(E78-D78&lt;'Дашборд'!$C$50,"B","C")))</x:f>
        <x:v>A</x:v>
      </x:c>
      <x:c r="G78" s="8" t="n">
        <x:f>'Данные'!F78</x:f>
        <x:v>3982</x:v>
      </x:c>
      <x:c r="H78" s="8" t="n">
        <x:f>SUM('Данные'!H78:I78)</x:f>
        <x:v>1146</x:v>
      </x:c>
      <x:c r="I78" s="16" t="n">
        <x:f>IF(H78&gt;0,G78/H78,"n.a.")</x:f>
        <x:v>3.474694589877836</x:v>
      </x:c>
      <x:c r="J78" s="10" t="n">
        <x:f>IF('Данные'!E78&gt;0,G78/'Данные'!E78,"n.a.")</x:f>
        <x:v>0.0272687429807982</x:v>
      </x:c>
      <x:c r="K78" s="1" t="str">
        <x:f>IF(G78&gt;='Дашборд'!$C$51,"X","Z")</x:f>
        <x:v>X</x:v>
      </x:c>
      <x:c r="L78" s="1" t="str">
        <x:f>IF(H78=0,IF(G78&gt;0,"Нет остатка","Нет спроса"),IF(I78&gt;='Дашборд'!$C$52,"Быстрый","Медленный"))</x:f>
        <x:v>Быстрый</x:v>
      </x:c>
      <x:c r="M78" s="1" t="str">
        <x:f>IF('Данные'!E78&lt;'Дашборд'!$C$53,"Мало трафика",IF(J78&lt;'Дашборд'!$C$9*'Дашборд'!$C$54,"Да","Нет"))</x:f>
        <x:v>Нет</x:v>
      </x:c>
      <x:c r="N78" s="1" t="str">
        <x:f>IF(AND('Данные'!D78&gt;='Дашборд'!$C$55,D78&lt;'Дашборд'!$C$56,'Данные'!E78&gt;='Дашборд'!$C$53,'Данные'!L78&lt;&gt;"Да"),"Да","Нет")</x:f>
        <x:v>Нет</x:v>
      </x:c>
      <x:c r="O78" s="1" t="str">
        <x:f>'Данные'!L78</x:f>
        <x:v>Нет</x:v>
      </x:c>
    </x:row>
    <x:row r="79">
      <x:c r="A79" s="1" t="str">
        <x:f>'Данные'!A79</x:f>
        <x:v>115880541</x:v>
      </x:c>
      <x:c r="B79" s="1" t="str">
        <x:f>'Данные'!B79</x:f>
        <x:v>hudi/фуксия</x:v>
      </x:c>
      <x:c r="C79" s="8" t="n">
        <x:f>'Данные'!G79</x:f>
        <x:v>2007820</x:v>
      </x:c>
      <x:c r="D79" s="15" t="n">
        <x:f>C79/SUM($C$5:$C$2477)</x:f>
        <x:v>0.002345582766727642</x:v>
      </x:c>
      <x:c r="E79" s="15" t="n">
        <x:f>SUM($D$5:D79)</x:f>
        <x:v>0.4136452966123358</x:v>
      </x:c>
      <x:c r="F79" s="1" t="str">
        <x:f>IF(C79&lt;=0,"C",IF(E79-D79&lt;'Дашборд'!$C$49,"A",IF(E79-D79&lt;'Дашборд'!$C$50,"B","C")))</x:f>
        <x:v>A</x:v>
      </x:c>
      <x:c r="G79" s="8" t="n">
        <x:f>'Данные'!F79</x:f>
        <x:v>2131</x:v>
      </x:c>
      <x:c r="H79" s="8" t="n">
        <x:f>SUM('Данные'!H79:I79)</x:f>
        <x:v>367</x:v>
      </x:c>
      <x:c r="I79" s="16" t="n">
        <x:f>IF(H79&gt;0,G79/H79,"n.a.")</x:f>
        <x:v>5.806539509536785</x:v>
      </x:c>
      <x:c r="J79" s="10" t="n">
        <x:f>IF('Данные'!E79&gt;0,G79/'Данные'!E79,"n.a.")</x:f>
        <x:v>0.01999005656501224</x:v>
      </x:c>
      <x:c r="K79" s="1" t="str">
        <x:f>IF(G79&gt;='Дашборд'!$C$51,"X","Z")</x:f>
        <x:v>X</x:v>
      </x:c>
      <x:c r="L79" s="1" t="str">
        <x:f>IF(H79=0,IF(G79&gt;0,"Нет остатка","Нет спроса"),IF(I79&gt;='Дашборд'!$C$52,"Быстрый","Медленный"))</x:f>
        <x:v>Быстрый</x:v>
      </x:c>
      <x:c r="M79" s="1" t="str">
        <x:f>IF('Данные'!E79&lt;'Дашборд'!$C$53,"Мало трафика",IF(J79&lt;'Дашборд'!$C$9*'Дашборд'!$C$54,"Да","Нет"))</x:f>
        <x:v>Нет</x:v>
      </x:c>
      <x:c r="N79" s="1" t="str">
        <x:f>IF(AND('Данные'!D79&gt;='Дашборд'!$C$55,D79&lt;'Дашборд'!$C$56,'Данные'!E79&gt;='Дашборд'!$C$53,'Данные'!L79&lt;&gt;"Да"),"Да","Нет")</x:f>
        <x:v>Нет</x:v>
      </x:c>
      <x:c r="O79" s="1" t="str">
        <x:f>'Данные'!L79</x:f>
        <x:v>Нет</x:v>
      </x:c>
    </x:row>
    <x:row r="80">
      <x:c r="A80" s="1" t="str">
        <x:f>'Данные'!A80</x:f>
        <x:v>196159686</x:v>
      </x:c>
      <x:c r="B80" s="1" t="str">
        <x:f>'Данные'!B80</x:f>
        <x:v>futbolkaprint/MoreSelf-44/молочный</x:v>
      </x:c>
      <x:c r="C80" s="8" t="n">
        <x:f>'Данные'!G80</x:f>
        <x:v>2000824</x:v>
      </x:c>
      <x:c r="D80" s="15" t="n">
        <x:f>C80/SUM($C$5:$C$2477)</x:f>
        <x:v>0.002337409874219336</x:v>
      </x:c>
      <x:c r="E80" s="15" t="n">
        <x:f>SUM($D$5:D80)</x:f>
        <x:v>0.4159827064865551</x:v>
      </x:c>
      <x:c r="F80" s="1" t="str">
        <x:f>IF(C80&lt;=0,"C",IF(E80-D80&lt;'Дашборд'!$C$49,"A",IF(E80-D80&lt;'Дашборд'!$C$50,"B","C")))</x:f>
        <x:v>A</x:v>
      </x:c>
      <x:c r="G80" s="8" t="n">
        <x:f>'Данные'!F80</x:f>
        <x:v>3298</x:v>
      </x:c>
      <x:c r="H80" s="8" t="n">
        <x:f>SUM('Данные'!H80:I80)</x:f>
        <x:v>149</x:v>
      </x:c>
      <x:c r="I80" s="16" t="n">
        <x:f>IF(H80&gt;0,G80/H80,"n.a.")</x:f>
        <x:v>22.13422818791946</x:v>
      </x:c>
      <x:c r="J80" s="10" t="n">
        <x:f>IF('Данные'!E80&gt;0,G80/'Данные'!E80,"n.a.")</x:f>
        <x:v>0.01590739177619679</x:v>
      </x:c>
      <x:c r="K80" s="1" t="str">
        <x:f>IF(G80&gt;='Дашборд'!$C$51,"X","Z")</x:f>
        <x:v>X</x:v>
      </x:c>
      <x:c r="L80" s="1" t="str">
        <x:f>IF(H80=0,IF(G80&gt;0,"Нет остатка","Нет спроса"),IF(I80&gt;='Дашборд'!$C$52,"Быстрый","Медленный"))</x:f>
        <x:v>Быстрый</x:v>
      </x:c>
      <x:c r="M80" s="1" t="str">
        <x:f>IF('Данные'!E80&lt;'Дашборд'!$C$53,"Мало трафика",IF(J80&lt;'Дашборд'!$C$9*'Дашборд'!$C$54,"Да","Нет"))</x:f>
        <x:v>Нет</x:v>
      </x:c>
      <x:c r="N80" s="1" t="str">
        <x:f>IF(AND('Данные'!D80&gt;='Дашборд'!$C$55,D80&lt;'Дашборд'!$C$56,'Данные'!E80&gt;='Дашборд'!$C$53,'Данные'!L80&lt;&gt;"Да"),"Да","Нет")</x:f>
        <x:v>Нет</x:v>
      </x:c>
      <x:c r="O80" s="1" t="str">
        <x:f>'Данные'!L80</x:f>
        <x:v>Нет</x:v>
      </x:c>
    </x:row>
    <x:row r="81">
      <x:c r="A81" s="1" t="str">
        <x:f>'Данные'!A81</x:f>
        <x:v>165757821</x:v>
      </x:c>
      <x:c r="B81" s="1" t="str">
        <x:f>'Данные'!B81</x:f>
        <x:v>kulirkaman/деним</x:v>
      </x:c>
      <x:c r="C81" s="8" t="n">
        <x:f>'Данные'!G81</x:f>
        <x:v>1993651</x:v>
      </x:c>
      <x:c r="D81" s="15" t="n">
        <x:f>C81/SUM($C$5:$C$2477)</x:f>
        <x:v>0.002329030206128702</x:v>
      </x:c>
      <x:c r="E81" s="15" t="n">
        <x:f>SUM($D$5:D81)</x:f>
        <x:v>0.4183117366926838</x:v>
      </x:c>
      <x:c r="F81" s="1" t="str">
        <x:f>IF(C81&lt;=0,"C",IF(E81-D81&lt;'Дашборд'!$C$49,"A",IF(E81-D81&lt;'Дашборд'!$C$50,"B","C")))</x:f>
        <x:v>A</x:v>
      </x:c>
      <x:c r="G81" s="8" t="n">
        <x:f>'Данные'!F81</x:f>
        <x:v>3798</x:v>
      </x:c>
      <x:c r="H81" s="8" t="n">
        <x:f>SUM('Данные'!H81:I81)</x:f>
        <x:v>1767</x:v>
      </x:c>
      <x:c r="I81" s="16" t="n">
        <x:f>IF(H81&gt;0,G81/H81,"n.a.")</x:f>
        <x:v>2.1494057724957556</x:v>
      </x:c>
      <x:c r="J81" s="10" t="n">
        <x:f>IF('Данные'!E81&gt;0,G81/'Данные'!E81,"n.a.")</x:f>
        <x:v>0.04761188416698007</x:v>
      </x:c>
      <x:c r="K81" s="1" t="str">
        <x:f>IF(G81&gt;='Дашборд'!$C$51,"X","Z")</x:f>
        <x:v>X</x:v>
      </x:c>
      <x:c r="L81" s="1" t="str">
        <x:f>IF(H81=0,IF(G81&gt;0,"Нет остатка","Нет спроса"),IF(I81&gt;='Дашборд'!$C$52,"Быстрый","Медленный"))</x:f>
        <x:v>Быстрый</x:v>
      </x:c>
      <x:c r="M81" s="1" t="str">
        <x:f>IF('Данные'!E81&lt;'Дашборд'!$C$53,"Мало трафика",IF(J81&lt;'Дашборд'!$C$9*'Дашборд'!$C$54,"Да","Нет"))</x:f>
        <x:v>Нет</x:v>
      </x:c>
      <x:c r="N81" s="1" t="str">
        <x:f>IF(AND('Данные'!D81&gt;='Дашборд'!$C$55,D81&lt;'Дашборд'!$C$56,'Данные'!E81&gt;='Дашборд'!$C$53,'Данные'!L81&lt;&gt;"Да"),"Да","Нет")</x:f>
        <x:v>Нет</x:v>
      </x:c>
      <x:c r="O81" s="1" t="str">
        <x:f>'Данные'!L81</x:f>
        <x:v>Нет</x:v>
      </x:c>
    </x:row>
    <x:row r="82">
      <x:c r="A82" s="1" t="str">
        <x:f>'Данные'!A82</x:f>
        <x:v>291159718</x:v>
      </x:c>
      <x:c r="B82" s="1" t="str">
        <x:f>'Данные'!B82</x:f>
        <x:v>longover/серовато-розовый</x:v>
      </x:c>
      <x:c r="C82" s="8" t="n">
        <x:f>'Данные'!G82</x:f>
        <x:v>1984848</x:v>
      </x:c>
      <x:c r="D82" s="15" t="n">
        <x:f>C82/SUM($C$5:$C$2477)</x:f>
        <x:v>0.002318746333522839</x:v>
      </x:c>
      <x:c r="E82" s="15" t="n">
        <x:f>SUM($D$5:D82)</x:f>
        <x:v>0.42063048302620665</x:v>
      </x:c>
      <x:c r="F82" s="1" t="str">
        <x:f>IF(C82&lt;=0,"C",IF(E82-D82&lt;'Дашборд'!$C$49,"A",IF(E82-D82&lt;'Дашборд'!$C$50,"B","C")))</x:f>
        <x:v>A</x:v>
      </x:c>
      <x:c r="G82" s="8" t="n">
        <x:f>'Данные'!F82</x:f>
        <x:v>4103</x:v>
      </x:c>
      <x:c r="H82" s="8" t="n">
        <x:f>SUM('Данные'!H82:I82)</x:f>
        <x:v>2263</x:v>
      </x:c>
      <x:c r="I82" s="16" t="n">
        <x:f>IF(H82&gt;0,G82/H82,"n.a.")</x:f>
        <x:v>1.8130799823243482</x:v>
      </x:c>
      <x:c r="J82" s="10" t="n">
        <x:f>IF('Данные'!E82&gt;0,G82/'Данные'!E82,"n.a.")</x:f>
        <x:v>0.021526418786692758</x:v>
      </x:c>
      <x:c r="K82" s="1" t="str">
        <x:f>IF(G82&gt;='Дашборд'!$C$51,"X","Z")</x:f>
        <x:v>X</x:v>
      </x:c>
      <x:c r="L82" s="1" t="str">
        <x:f>IF(H82=0,IF(G82&gt;0,"Нет остатка","Нет спроса"),IF(I82&gt;='Дашборд'!$C$52,"Быстрый","Медленный"))</x:f>
        <x:v>Быстрый</x:v>
      </x:c>
      <x:c r="M82" s="1" t="str">
        <x:f>IF('Данные'!E82&lt;'Дашборд'!$C$53,"Мало трафика",IF(J82&lt;'Дашборд'!$C$9*'Дашборд'!$C$54,"Да","Нет"))</x:f>
        <x:v>Нет</x:v>
      </x:c>
      <x:c r="N82" s="1" t="str">
        <x:f>IF(AND('Данные'!D82&gt;='Дашборд'!$C$55,D82&lt;'Дашборд'!$C$56,'Данные'!E82&gt;='Дашборд'!$C$53,'Данные'!L82&lt;&gt;"Да"),"Да","Нет")</x:f>
        <x:v>Нет</x:v>
      </x:c>
      <x:c r="O82" s="1" t="str">
        <x:f>'Данные'!L82</x:f>
        <x:v>Нет</x:v>
      </x:c>
    </x:row>
    <x:row r="83">
      <x:c r="A83" s="1" t="str">
        <x:f>'Данные'!A83</x:f>
        <x:v>296720184</x:v>
      </x:c>
      <x:c r="B83" s="1" t="str">
        <x:f>'Данные'!B83</x:f>
        <x:v>brukizshp3P-S-1/коричневый</x:v>
      </x:c>
      <x:c r="C83" s="8" t="n">
        <x:f>'Данные'!G83</x:f>
        <x:v>1966414</x:v>
      </x:c>
      <x:c r="D83" s="15" t="n">
        <x:f>C83/SUM($C$5:$C$2477)</x:f>
        <x:v>0.0022972112991463227</x:v>
      </x:c>
      <x:c r="E83" s="15" t="n">
        <x:f>SUM($D$5:D83)</x:f>
        <x:v>0.422927694325353</x:v>
      </x:c>
      <x:c r="F83" s="1" t="str">
        <x:f>IF(C83&lt;=0,"C",IF(E83-D83&lt;'Дашборд'!$C$49,"A",IF(E83-D83&lt;'Дашборд'!$C$50,"B","C")))</x:f>
        <x:v>A</x:v>
      </x:c>
      <x:c r="G83" s="8" t="n">
        <x:f>'Данные'!F83</x:f>
        <x:v>1749</x:v>
      </x:c>
      <x:c r="H83" s="8" t="n">
        <x:f>SUM('Данные'!H83:I83)</x:f>
        <x:v>86</x:v>
      </x:c>
      <x:c r="I83" s="16" t="n">
        <x:f>IF(H83&gt;0,G83/H83,"n.a.")</x:f>
        <x:v>20.337209302325583</x:v>
      </x:c>
      <x:c r="J83" s="10" t="n">
        <x:f>IF('Данные'!E83&gt;0,G83/'Данные'!E83,"n.a.")</x:f>
        <x:v>0.014982139644848765</x:v>
      </x:c>
      <x:c r="K83" s="1" t="str">
        <x:f>IF(G83&gt;='Дашборд'!$C$51,"X","Z")</x:f>
        <x:v>X</x:v>
      </x:c>
      <x:c r="L83" s="1" t="str">
        <x:f>IF(H83=0,IF(G83&gt;0,"Нет остатка","Нет спроса"),IF(I83&gt;='Дашборд'!$C$52,"Быстрый","Медленный"))</x:f>
        <x:v>Быстрый</x:v>
      </x:c>
      <x:c r="M83" s="1" t="str">
        <x:f>IF('Данные'!E83&lt;'Дашборд'!$C$53,"Мало трафика",IF(J83&lt;'Дашборд'!$C$9*'Дашборд'!$C$54,"Да","Нет"))</x:f>
        <x:v>Нет</x:v>
      </x:c>
      <x:c r="N83" s="1" t="str">
        <x:f>IF(AND('Данные'!D83&gt;='Дашборд'!$C$55,D83&lt;'Дашборд'!$C$56,'Данные'!E83&gt;='Дашборд'!$C$53,'Данные'!L83&lt;&gt;"Да"),"Да","Нет")</x:f>
        <x:v>Нет</x:v>
      </x:c>
      <x:c r="O83" s="1" t="str">
        <x:f>'Данные'!L83</x:f>
        <x:v>Нет</x:v>
      </x:c>
    </x:row>
    <x:row r="84">
      <x:c r="A84" s="1" t="str">
        <x:f>'Данные'!A84</x:f>
        <x:v>279877801</x:v>
      </x:c>
      <x:c r="B84" s="1" t="str">
        <x:f>'Данные'!B84</x:f>
        <x:v>brukizshp3P-S-1/серыймеланж2</x:v>
      </x:c>
      <x:c r="C84" s="8" t="n">
        <x:f>'Данные'!G84</x:f>
        <x:v>1943940</x:v>
      </x:c>
      <x:c r="D84" s="15" t="n">
        <x:f>C84/SUM($C$5:$C$2477)</x:f>
        <x:v>0.002270956641308749</x:v>
      </x:c>
      <x:c r="E84" s="15" t="n">
        <x:f>SUM($D$5:D84)</x:f>
        <x:v>0.42519865096666176</x:v>
      </x:c>
      <x:c r="F84" s="1" t="str">
        <x:f>IF(C84&lt;=0,"C",IF(E84-D84&lt;'Дашборд'!$C$49,"A",IF(E84-D84&lt;'Дашборд'!$C$50,"B","C")))</x:f>
        <x:v>A</x:v>
      </x:c>
      <x:c r="G84" s="8" t="n">
        <x:f>'Данные'!F84</x:f>
        <x:v>2262</x:v>
      </x:c>
      <x:c r="H84" s="8" t="n">
        <x:f>SUM('Данные'!H84:I84)</x:f>
        <x:v>717</x:v>
      </x:c>
      <x:c r="I84" s="16" t="n">
        <x:f>IF(H84&gt;0,G84/H84,"n.a.")</x:f>
        <x:v>3.1548117154811717</x:v>
      </x:c>
      <x:c r="J84" s="10" t="n">
        <x:f>IF('Данные'!E84&gt;0,G84/'Данные'!E84,"n.a.")</x:f>
        <x:v>0.020086669271480836</x:v>
      </x:c>
      <x:c r="K84" s="1" t="str">
        <x:f>IF(G84&gt;='Дашборд'!$C$51,"X","Z")</x:f>
        <x:v>X</x:v>
      </x:c>
      <x:c r="L84" s="1" t="str">
        <x:f>IF(H84=0,IF(G84&gt;0,"Нет остатка","Нет спроса"),IF(I84&gt;='Дашборд'!$C$52,"Быстрый","Медленный"))</x:f>
        <x:v>Быстрый</x:v>
      </x:c>
      <x:c r="M84" s="1" t="str">
        <x:f>IF('Данные'!E84&lt;'Дашборд'!$C$53,"Мало трафика",IF(J84&lt;'Дашборд'!$C$9*'Дашборд'!$C$54,"Да","Нет"))</x:f>
        <x:v>Нет</x:v>
      </x:c>
      <x:c r="N84" s="1" t="str">
        <x:f>IF(AND('Данные'!D84&gt;='Дашборд'!$C$55,D84&lt;'Дашборд'!$C$56,'Данные'!E84&gt;='Дашборд'!$C$53,'Данные'!L84&lt;&gt;"Да"),"Да","Нет")</x:f>
        <x:v>Нет</x:v>
      </x:c>
      <x:c r="O84" s="1" t="str">
        <x:f>'Данные'!L84</x:f>
        <x:v>Нет</x:v>
      </x:c>
    </x:row>
    <x:row r="85">
      <x:c r="A85" s="1" t="str">
        <x:f>'Данные'!A85</x:f>
        <x:v>172152341</x:v>
      </x:c>
      <x:c r="B85" s="1" t="str">
        <x:f>'Данные'!B85</x:f>
        <x:v>baza/дымка</x:v>
      </x:c>
      <x:c r="C85" s="8" t="n">
        <x:f>'Данные'!G85</x:f>
        <x:v>1926681</x:v>
      </x:c>
      <x:c r="D85" s="15" t="n">
        <x:f>C85/SUM($C$5:$C$2477)</x:f>
        <x:v>0.0022507942696962774</x:v>
      </x:c>
      <x:c r="E85" s="15" t="n">
        <x:f>SUM($D$5:D85)</x:f>
        <x:v>0.427449445236358</x:v>
      </x:c>
      <x:c r="F85" s="1" t="str">
        <x:f>IF(C85&lt;=0,"C",IF(E85-D85&lt;'Дашборд'!$C$49,"A",IF(E85-D85&lt;'Дашборд'!$C$50,"B","C")))</x:f>
        <x:v>A</x:v>
      </x:c>
      <x:c r="G85" s="8" t="n">
        <x:f>'Данные'!F85</x:f>
        <x:v>4277</x:v>
      </x:c>
      <x:c r="H85" s="8" t="n">
        <x:f>SUM('Данные'!H85:I85)</x:f>
        <x:v>823</x:v>
      </x:c>
      <x:c r="I85" s="16" t="n">
        <x:f>IF(H85&gt;0,G85/H85,"n.a.")</x:f>
        <x:v>5.1968408262454435</x:v>
      </x:c>
      <x:c r="J85" s="10" t="n">
        <x:f>IF('Данные'!E85&gt;0,G85/'Данные'!E85,"n.a.")</x:f>
        <x:v>0.027771825590078243</x:v>
      </x:c>
      <x:c r="K85" s="1" t="str">
        <x:f>IF(G85&gt;='Дашборд'!$C$51,"X","Z")</x:f>
        <x:v>X</x:v>
      </x:c>
      <x:c r="L85" s="1" t="str">
        <x:f>IF(H85=0,IF(G85&gt;0,"Нет остатка","Нет спроса"),IF(I85&gt;='Дашборд'!$C$52,"Быстрый","Медленный"))</x:f>
        <x:v>Быстрый</x:v>
      </x:c>
      <x:c r="M85" s="1" t="str">
        <x:f>IF('Данные'!E85&lt;'Дашборд'!$C$53,"Мало трафика",IF(J85&lt;'Дашборд'!$C$9*'Дашборд'!$C$54,"Да","Нет"))</x:f>
        <x:v>Нет</x:v>
      </x:c>
      <x:c r="N85" s="1" t="str">
        <x:f>IF(AND('Данные'!D85&gt;='Дашборд'!$C$55,D85&lt;'Дашборд'!$C$56,'Данные'!E85&gt;='Дашборд'!$C$53,'Данные'!L85&lt;&gt;"Да"),"Да","Нет")</x:f>
        <x:v>Нет</x:v>
      </x:c>
      <x:c r="O85" s="1" t="str">
        <x:f>'Данные'!L85</x:f>
        <x:v>Нет</x:v>
      </x:c>
    </x:row>
    <x:row r="86">
      <x:c r="A86" s="1" t="str">
        <x:f>'Данные'!A86</x:f>
        <x:v>212947244</x:v>
      </x:c>
      <x:c r="B86" s="1" t="str">
        <x:f>'Данные'!B86</x:f>
        <x:v>futbolkaprint/RozMoreSelf-90/молочный</x:v>
      </x:c>
      <x:c r="C86" s="8" t="n">
        <x:f>'Данные'!G86</x:f>
        <x:v>1922356</x:v>
      </x:c>
      <x:c r="D86" s="15" t="n">
        <x:f>C86/SUM($C$5:$C$2477)</x:f>
        <x:v>0.0022457417025009627</x:v>
      </x:c>
      <x:c r="E86" s="15" t="n">
        <x:f>SUM($D$5:D86)</x:f>
        <x:v>0.429695186938859</x:v>
      </x:c>
      <x:c r="F86" s="1" t="str">
        <x:f>IF(C86&lt;=0,"C",IF(E86-D86&lt;'Дашборд'!$C$49,"A",IF(E86-D86&lt;'Дашборд'!$C$50,"B","C")))</x:f>
        <x:v>A</x:v>
      </x:c>
      <x:c r="G86" s="8" t="n">
        <x:f>'Данные'!F86</x:f>
        <x:v>2960</x:v>
      </x:c>
      <x:c r="H86" s="8" t="n">
        <x:f>SUM('Данные'!H86:I86)</x:f>
        <x:v>21</x:v>
      </x:c>
      <x:c r="I86" s="16" t="n">
        <x:f>IF(H86&gt;0,G86/H86,"n.a.")</x:f>
        <x:v>140.95238095238096</x:v>
      </x:c>
      <x:c r="J86" s="10" t="n">
        <x:f>IF('Данные'!E86&gt;0,G86/'Данные'!E86,"n.a.")</x:f>
        <x:v>0.016763225108592853</x:v>
      </x:c>
      <x:c r="K86" s="1" t="str">
        <x:f>IF(G86&gt;='Дашборд'!$C$51,"X","Z")</x:f>
        <x:v>X</x:v>
      </x:c>
      <x:c r="L86" s="1" t="str">
        <x:f>IF(H86=0,IF(G86&gt;0,"Нет остатка","Нет спроса"),IF(I86&gt;='Дашборд'!$C$52,"Быстрый","Медленный"))</x:f>
        <x:v>Быстрый</x:v>
      </x:c>
      <x:c r="M86" s="1" t="str">
        <x:f>IF('Данные'!E86&lt;'Дашборд'!$C$53,"Мало трафика",IF(J86&lt;'Дашборд'!$C$9*'Дашборд'!$C$54,"Да","Нет"))</x:f>
        <x:v>Нет</x:v>
      </x:c>
      <x:c r="N86" s="1" t="str">
        <x:f>IF(AND('Данные'!D86&gt;='Дашборд'!$C$55,D86&lt;'Дашборд'!$C$56,'Данные'!E86&gt;='Дашборд'!$C$53,'Данные'!L86&lt;&gt;"Да"),"Да","Нет")</x:f>
        <x:v>Нет</x:v>
      </x:c>
      <x:c r="O86" s="1" t="str">
        <x:f>'Данные'!L86</x:f>
        <x:v>Нет</x:v>
      </x:c>
    </x:row>
    <x:row r="87">
      <x:c r="A87" s="1" t="str">
        <x:f>'Данные'!A87</x:f>
        <x:v>226527736</x:v>
      </x:c>
      <x:c r="B87" s="1" t="str">
        <x:f>'Данные'!B87</x:f>
        <x:v>futbolkaprint/TheMoment-141/розовый</x:v>
      </x:c>
      <x:c r="C87" s="8" t="n">
        <x:f>'Данные'!G87</x:f>
        <x:v>1921263</x:v>
      </x:c>
      <x:c r="D87" s="15" t="n">
        <x:f>C87/SUM($C$5:$C$2477)</x:f>
        <x:v>0.0022444648340744933</x:v>
      </x:c>
      <x:c r="E87" s="15" t="n">
        <x:f>SUM($D$5:D87)</x:f>
        <x:v>0.4319396517729335</x:v>
      </x:c>
      <x:c r="F87" s="1" t="str">
        <x:f>IF(C87&lt;=0,"C",IF(E87-D87&lt;'Дашборд'!$C$49,"A",IF(E87-D87&lt;'Дашборд'!$C$50,"B","C")))</x:f>
        <x:v>A</x:v>
      </x:c>
      <x:c r="G87" s="8" t="n">
        <x:f>'Данные'!F87</x:f>
        <x:v>3027</x:v>
      </x:c>
      <x:c r="H87" s="8" t="n">
        <x:f>SUM('Данные'!H87:I87)</x:f>
        <x:v>341</x:v>
      </x:c>
      <x:c r="I87" s="16" t="n">
        <x:f>IF(H87&gt;0,G87/H87,"n.a.")</x:f>
        <x:v>8.87683284457478</x:v>
      </x:c>
      <x:c r="J87" s="10" t="n">
        <x:f>IF('Данные'!E87&gt;0,G87/'Данные'!E87,"n.a.")</x:f>
        <x:v>0.01479833781471523</x:v>
      </x:c>
      <x:c r="K87" s="1" t="str">
        <x:f>IF(G87&gt;='Дашборд'!$C$51,"X","Z")</x:f>
        <x:v>X</x:v>
      </x:c>
      <x:c r="L87" s="1" t="str">
        <x:f>IF(H87=0,IF(G87&gt;0,"Нет остатка","Нет спроса"),IF(I87&gt;='Дашборд'!$C$52,"Быстрый","Медленный"))</x:f>
        <x:v>Быстрый</x:v>
      </x:c>
      <x:c r="M87" s="1" t="str">
        <x:f>IF('Данные'!E87&lt;'Дашборд'!$C$53,"Мало трафика",IF(J87&lt;'Дашборд'!$C$9*'Дашборд'!$C$54,"Да","Нет"))</x:f>
        <x:v>Нет</x:v>
      </x:c>
      <x:c r="N87" s="1" t="str">
        <x:f>IF(AND('Данные'!D87&gt;='Дашборд'!$C$55,D87&lt;'Дашборд'!$C$56,'Данные'!E87&gt;='Дашборд'!$C$53,'Данные'!L87&lt;&gt;"Да"),"Да","Нет")</x:f>
        <x:v>Нет</x:v>
      </x:c>
      <x:c r="O87" s="1" t="str">
        <x:f>'Данные'!L87</x:f>
        <x:v>Нет</x:v>
      </x:c>
    </x:row>
    <x:row r="88">
      <x:c r="A88" s="1" t="str">
        <x:f>'Данные'!A88</x:f>
        <x:v>172152348</x:v>
      </x:c>
      <x:c r="B88" s="1" t="str">
        <x:f>'Данные'!B88</x:f>
        <x:v>baza/голубой</x:v>
      </x:c>
      <x:c r="C88" s="8" t="n">
        <x:f>'Данные'!G88</x:f>
        <x:v>1914981</x:v>
      </x:c>
      <x:c r="D88" s="15" t="n">
        <x:f>C88/SUM($C$5:$C$2477)</x:f>
        <x:v>0.0022371260532372756</x:v>
      </x:c>
      <x:c r="E88" s="15" t="n">
        <x:f>SUM($D$5:D88)</x:f>
        <x:v>0.43417677782617076</x:v>
      </x:c>
      <x:c r="F88" s="1" t="str">
        <x:f>IF(C88&lt;=0,"C",IF(E88-D88&lt;'Дашборд'!$C$49,"A",IF(E88-D88&lt;'Дашборд'!$C$50,"B","C")))</x:f>
        <x:v>A</x:v>
      </x:c>
      <x:c r="G88" s="8" t="n">
        <x:f>'Данные'!F88</x:f>
        <x:v>3337</x:v>
      </x:c>
      <x:c r="H88" s="8" t="n">
        <x:f>SUM('Данные'!H88:I88)</x:f>
        <x:v>1482</x:v>
      </x:c>
      <x:c r="I88" s="16" t="n">
        <x:f>IF(H88&gt;0,G88/H88,"n.a.")</x:f>
        <x:v>2.2516869095816463</x:v>
      </x:c>
      <x:c r="J88" s="10" t="n">
        <x:f>IF('Данные'!E88&gt;0,G88/'Данные'!E88,"n.a.")</x:f>
        <x:v>0.027914641593401537</x:v>
      </x:c>
      <x:c r="K88" s="1" t="str">
        <x:f>IF(G88&gt;='Дашборд'!$C$51,"X","Z")</x:f>
        <x:v>X</x:v>
      </x:c>
      <x:c r="L88" s="1" t="str">
        <x:f>IF(H88=0,IF(G88&gt;0,"Нет остатка","Нет спроса"),IF(I88&gt;='Дашборд'!$C$52,"Быстрый","Медленный"))</x:f>
        <x:v>Быстрый</x:v>
      </x:c>
      <x:c r="M88" s="1" t="str">
        <x:f>IF('Данные'!E88&lt;'Дашборд'!$C$53,"Мало трафика",IF(J88&lt;'Дашборд'!$C$9*'Дашборд'!$C$54,"Да","Нет"))</x:f>
        <x:v>Нет</x:v>
      </x:c>
      <x:c r="N88" s="1" t="str">
        <x:f>IF(AND('Данные'!D88&gt;='Дашборд'!$C$55,D88&lt;'Дашборд'!$C$56,'Данные'!E88&gt;='Дашборд'!$C$53,'Данные'!L88&lt;&gt;"Да"),"Да","Нет")</x:f>
        <x:v>Нет</x:v>
      </x:c>
      <x:c r="O88" s="1" t="str">
        <x:f>'Данные'!L88</x:f>
        <x:v>Нет</x:v>
      </x:c>
    </x:row>
    <x:row r="89">
      <x:c r="A89" s="1" t="str">
        <x:f>'Данные'!A89</x:f>
        <x:v>234109067</x:v>
      </x:c>
      <x:c r="B89" s="1" t="str">
        <x:f>'Данные'!B89</x:f>
        <x:v>futbolkaprint/TheMovementClub-140/розовый</x:v>
      </x:c>
      <x:c r="C89" s="8" t="n">
        <x:f>'Данные'!G89</x:f>
        <x:v>1910675</x:v>
      </x:c>
      <x:c r="D89" s="15" t="n">
        <x:f>C89/SUM($C$5:$C$2477)</x:f>
        <x:v>0.002232095682290911</x:v>
      </x:c>
      <x:c r="E89" s="15" t="n">
        <x:f>SUM($D$5:D89)</x:f>
        <x:v>0.4364088735084617</x:v>
      </x:c>
      <x:c r="F89" s="1" t="str">
        <x:f>IF(C89&lt;=0,"C",IF(E89-D89&lt;'Дашборд'!$C$49,"A",IF(E89-D89&lt;'Дашборд'!$C$50,"B","C")))</x:f>
        <x:v>A</x:v>
      </x:c>
      <x:c r="G89" s="8" t="n">
        <x:f>'Данные'!F89</x:f>
        <x:v>2740</x:v>
      </x:c>
      <x:c r="H89" s="8" t="n">
        <x:f>SUM('Данные'!H89:I89)</x:f>
        <x:v>1547</x:v>
      </x:c>
      <x:c r="I89" s="16" t="n">
        <x:f>IF(H89&gt;0,G89/H89,"n.a.")</x:f>
        <x:v>1.771170006464124</x:v>
      </x:c>
      <x:c r="J89" s="10" t="n">
        <x:f>IF('Данные'!E89&gt;0,G89/'Данные'!E89,"n.a.")</x:f>
        <x:v>0.017991043874509186</x:v>
      </x:c>
      <x:c r="K89" s="1" t="str">
        <x:f>IF(G89&gt;='Дашборд'!$C$51,"X","Z")</x:f>
        <x:v>X</x:v>
      </x:c>
      <x:c r="L89" s="1" t="str">
        <x:f>IF(H89=0,IF(G89&gt;0,"Нет остатка","Нет спроса"),IF(I89&gt;='Дашборд'!$C$52,"Быстрый","Медленный"))</x:f>
        <x:v>Быстрый</x:v>
      </x:c>
      <x:c r="M89" s="1" t="str">
        <x:f>IF('Данные'!E89&lt;'Дашборд'!$C$53,"Мало трафика",IF(J89&lt;'Дашборд'!$C$9*'Дашборд'!$C$54,"Да","Нет"))</x:f>
        <x:v>Нет</x:v>
      </x:c>
      <x:c r="N89" s="1" t="str">
        <x:f>IF(AND('Данные'!D89&gt;='Дашборд'!$C$55,D89&lt;'Дашборд'!$C$56,'Данные'!E89&gt;='Дашборд'!$C$53,'Данные'!L89&lt;&gt;"Да"),"Да","Нет")</x:f>
        <x:v>Нет</x:v>
      </x:c>
      <x:c r="O89" s="1" t="str">
        <x:f>'Данные'!L89</x:f>
        <x:v>Нет</x:v>
      </x:c>
    </x:row>
    <x:row r="90">
      <x:c r="A90" s="1" t="str">
        <x:f>'Данные'!A90</x:f>
        <x:v>77786036</x:v>
      </x:c>
      <x:c r="B90" s="1" t="str">
        <x:f>'Данные'!B90</x:f>
        <x:v>futbolkaover/светлофиолетовый</x:v>
      </x:c>
      <x:c r="C90" s="8" t="n">
        <x:f>'Данные'!G90</x:f>
        <x:v>1902888</x:v>
      </x:c>
      <x:c r="D90" s="15" t="n">
        <x:f>C90/SUM($C$5:$C$2477)</x:f>
        <x:v>0.0022229987248920864</x:v>
      </x:c>
      <x:c r="E90" s="15" t="n">
        <x:f>SUM($D$5:D90)</x:f>
        <x:v>0.43863187223335376</x:v>
      </x:c>
      <x:c r="F90" s="1" t="str">
        <x:f>IF(C90&lt;=0,"C",IF(E90-D90&lt;'Дашборд'!$C$49,"A",IF(E90-D90&lt;'Дашборд'!$C$50,"B","C")))</x:f>
        <x:v>A</x:v>
      </x:c>
      <x:c r="G90" s="8" t="n">
        <x:f>'Данные'!F90</x:f>
        <x:v>3879</x:v>
      </x:c>
      <x:c r="H90" s="8" t="n">
        <x:f>SUM('Данные'!H90:I90)</x:f>
        <x:v>555</x:v>
      </x:c>
      <x:c r="I90" s="16" t="n">
        <x:f>IF(H90&gt;0,G90/H90,"n.a.")</x:f>
        <x:v>6.989189189189189</x:v>
      </x:c>
      <x:c r="J90" s="10" t="n">
        <x:f>IF('Данные'!E90&gt;0,G90/'Данные'!E90,"n.a.")</x:f>
        <x:v>0.028137648885084653</x:v>
      </x:c>
      <x:c r="K90" s="1" t="str">
        <x:f>IF(G90&gt;='Дашборд'!$C$51,"X","Z")</x:f>
        <x:v>X</x:v>
      </x:c>
      <x:c r="L90" s="1" t="str">
        <x:f>IF(H90=0,IF(G90&gt;0,"Нет остатка","Нет спроса"),IF(I90&gt;='Дашборд'!$C$52,"Быстрый","Медленный"))</x:f>
        <x:v>Быстрый</x:v>
      </x:c>
      <x:c r="M90" s="1" t="str">
        <x:f>IF('Данные'!E90&lt;'Дашборд'!$C$53,"Мало трафика",IF(J90&lt;'Дашборд'!$C$9*'Дашборд'!$C$54,"Да","Нет"))</x:f>
        <x:v>Нет</x:v>
      </x:c>
      <x:c r="N90" s="1" t="str">
        <x:f>IF(AND('Данные'!D90&gt;='Дашборд'!$C$55,D90&lt;'Дашборд'!$C$56,'Данные'!E90&gt;='Дашборд'!$C$53,'Данные'!L90&lt;&gt;"Да"),"Да","Нет")</x:f>
        <x:v>Нет</x:v>
      </x:c>
      <x:c r="O90" s="1" t="str">
        <x:f>'Данные'!L90</x:f>
        <x:v>Нет</x:v>
      </x:c>
    </x:row>
    <x:row r="91">
      <x:c r="A91" s="1" t="str">
        <x:f>'Данные'!A91</x:f>
        <x:v>200739259</x:v>
      </x:c>
      <x:c r="B91" s="1" t="str">
        <x:f>'Данные'!B91</x:f>
        <x:v>tolstovkazip/розовый</x:v>
      </x:c>
      <x:c r="C91" s="8" t="n">
        <x:f>'Данные'!G91</x:f>
        <x:v>1886135</x:v>
      </x:c>
      <x:c r="D91" s="15" t="n">
        <x:f>C91/SUM($C$5:$C$2477)</x:f>
        <x:v>0.0022034274744358764</x:v>
      </x:c>
      <x:c r="E91" s="15" t="n">
        <x:f>SUM($D$5:D91)</x:f>
        <x:v>0.4408352997077896</x:v>
      </x:c>
      <x:c r="F91" s="1" t="str">
        <x:f>IF(C91&lt;=0,"C",IF(E91-D91&lt;'Дашборд'!$C$49,"A",IF(E91-D91&lt;'Дашборд'!$C$50,"B","C")))</x:f>
        <x:v>A</x:v>
      </x:c>
      <x:c r="G91" s="8" t="n">
        <x:f>'Данные'!F91</x:f>
        <x:v>1271</x:v>
      </x:c>
      <x:c r="H91" s="8" t="n">
        <x:f>SUM('Данные'!H91:I91)</x:f>
        <x:v>4</x:v>
      </x:c>
      <x:c r="I91" s="16" t="n">
        <x:f>IF(H91&gt;0,G91/H91,"n.a.")</x:f>
        <x:v>317.75</x:v>
      </x:c>
      <x:c r="J91" s="10" t="n">
        <x:f>IF('Данные'!E91&gt;0,G91/'Данные'!E91,"n.a.")</x:f>
        <x:v>0.01204020348038612</x:v>
      </x:c>
      <x:c r="K91" s="1" t="str">
        <x:f>IF(G91&gt;='Дашборд'!$C$51,"X","Z")</x:f>
        <x:v>X</x:v>
      </x:c>
      <x:c r="L91" s="1" t="str">
        <x:f>IF(H91=0,IF(G91&gt;0,"Нет остатка","Нет спроса"),IF(I91&gt;='Дашборд'!$C$52,"Быстрый","Медленный"))</x:f>
        <x:v>Быстрый</x:v>
      </x:c>
      <x:c r="M91" s="1" t="str">
        <x:f>IF('Данные'!E91&lt;'Дашборд'!$C$53,"Мало трафика",IF(J91&lt;'Дашборд'!$C$9*'Дашборд'!$C$54,"Да","Нет"))</x:f>
        <x:v>Нет</x:v>
      </x:c>
      <x:c r="N91" s="1" t="str">
        <x:f>IF(AND('Данные'!D91&gt;='Дашборд'!$C$55,D91&lt;'Дашборд'!$C$56,'Данные'!E91&gt;='Дашборд'!$C$53,'Данные'!L91&lt;&gt;"Да"),"Да","Нет")</x:f>
        <x:v>Нет</x:v>
      </x:c>
      <x:c r="O91" s="1" t="str">
        <x:f>'Данные'!L91</x:f>
        <x:v>Нет</x:v>
      </x:c>
    </x:row>
    <x:row r="92">
      <x:c r="A92" s="1" t="str">
        <x:f>'Данные'!A92</x:f>
        <x:v>295771242</x:v>
      </x:c>
      <x:c r="B92" s="1" t="str">
        <x:f>'Данные'!B92</x:f>
        <x:v>kostyumfix3P-37-63/бордовый</x:v>
      </x:c>
      <x:c r="C92" s="8" t="n">
        <x:f>'Данные'!G92</x:f>
        <x:v>1829332</x:v>
      </x:c>
      <x:c r="D92" s="15" t="n">
        <x:f>C92/SUM($C$5:$C$2477)</x:f>
        <x:v>0.002137068867639236</x:v>
      </x:c>
      <x:c r="E92" s="15" t="n">
        <x:f>SUM($D$5:D92)</x:f>
        <x:v>0.4429723685754289</x:v>
      </x:c>
      <x:c r="F92" s="1" t="str">
        <x:f>IF(C92&lt;=0,"C",IF(E92-D92&lt;'Дашборд'!$C$49,"A",IF(E92-D92&lt;'Дашборд'!$C$50,"B","C")))</x:f>
        <x:v>A</x:v>
      </x:c>
      <x:c r="G92" s="8" t="n">
        <x:f>'Данные'!F92</x:f>
        <x:v>1258</x:v>
      </x:c>
      <x:c r="H92" s="8" t="n">
        <x:f>SUM('Данные'!H92:I92)</x:f>
        <x:v>75</x:v>
      </x:c>
      <x:c r="I92" s="16" t="n">
        <x:f>IF(H92&gt;0,G92/H92,"n.a.")</x:f>
        <x:v>16.773333333333333</x:v>
      </x:c>
      <x:c r="J92" s="10" t="n">
        <x:f>IF('Данные'!E92&gt;0,G92/'Данные'!E92,"n.a.")</x:f>
        <x:v>0.014574523547471472</x:v>
      </x:c>
      <x:c r="K92" s="1" t="str">
        <x:f>IF(G92&gt;='Дашборд'!$C$51,"X","Z")</x:f>
        <x:v>X</x:v>
      </x:c>
      <x:c r="L92" s="1" t="str">
        <x:f>IF(H92=0,IF(G92&gt;0,"Нет остатка","Нет спроса"),IF(I92&gt;='Дашборд'!$C$52,"Быстрый","Медленный"))</x:f>
        <x:v>Быстрый</x:v>
      </x:c>
      <x:c r="M92" s="1" t="str">
        <x:f>IF('Данные'!E92&lt;'Дашборд'!$C$53,"Мало трафика",IF(J92&lt;'Дашборд'!$C$9*'Дашборд'!$C$54,"Да","Нет"))</x:f>
        <x:v>Нет</x:v>
      </x:c>
      <x:c r="N92" s="1" t="str">
        <x:f>IF(AND('Данные'!D92&gt;='Дашборд'!$C$55,D92&lt;'Дашборд'!$C$56,'Данные'!E92&gt;='Дашборд'!$C$53,'Данные'!L92&lt;&gt;"Да"),"Да","Нет")</x:f>
        <x:v>Нет</x:v>
      </x:c>
      <x:c r="O92" s="1" t="str">
        <x:f>'Данные'!L92</x:f>
        <x:v>Нет</x:v>
      </x:c>
    </x:row>
    <x:row r="93">
      <x:c r="A93" s="1" t="str">
        <x:f>'Данные'!A93</x:f>
        <x:v>26436487</x:v>
      </x:c>
      <x:c r="B93" s="1" t="str">
        <x:f>'Данные'!B93</x:f>
        <x:v>hudiman/молочный</x:v>
      </x:c>
      <x:c r="C93" s="8" t="n">
        <x:f>'Данные'!G93</x:f>
        <x:v>1828153</x:v>
      </x:c>
      <x:c r="D93" s="15" t="n">
        <x:f>C93/SUM($C$5:$C$2477)</x:f>
        <x:v>0.002135691531980675</x:v>
      </x:c>
      <x:c r="E93" s="15" t="n">
        <x:f>SUM($D$5:D93)</x:f>
        <x:v>0.44510806010740955</x:v>
      </x:c>
      <x:c r="F93" s="1" t="str">
        <x:f>IF(C93&lt;=0,"C",IF(E93-D93&lt;'Дашборд'!$C$49,"A",IF(E93-D93&lt;'Дашборд'!$C$50,"B","C")))</x:f>
        <x:v>A</x:v>
      </x:c>
      <x:c r="G93" s="8" t="n">
        <x:f>'Данные'!F93</x:f>
        <x:v>1835</x:v>
      </x:c>
      <x:c r="H93" s="8" t="n">
        <x:f>SUM('Данные'!H93:I93)</x:f>
        <x:v>1178</x:v>
      </x:c>
      <x:c r="I93" s="16" t="n">
        <x:f>IF(H93&gt;0,G93/H93,"n.a.")</x:f>
        <x:v>1.5577249575551784</x:v>
      </x:c>
      <x:c r="J93" s="10" t="n">
        <x:f>IF('Данные'!E93&gt;0,G93/'Данные'!E93,"n.a.")</x:f>
        <x:v>0.040150537163862327</x:v>
      </x:c>
      <x:c r="K93" s="1" t="str">
        <x:f>IF(G93&gt;='Дашборд'!$C$51,"X","Z")</x:f>
        <x:v>X</x:v>
      </x:c>
      <x:c r="L93" s="1" t="str">
        <x:f>IF(H93=0,IF(G93&gt;0,"Нет остатка","Нет спроса"),IF(I93&gt;='Дашборд'!$C$52,"Быстрый","Медленный"))</x:f>
        <x:v>Быстрый</x:v>
      </x:c>
      <x:c r="M93" s="1" t="str">
        <x:f>IF('Данные'!E93&lt;'Дашборд'!$C$53,"Мало трафика",IF(J93&lt;'Дашборд'!$C$9*'Дашборд'!$C$54,"Да","Нет"))</x:f>
        <x:v>Нет</x:v>
      </x:c>
      <x:c r="N93" s="1" t="str">
        <x:f>IF(AND('Данные'!D93&gt;='Дашборд'!$C$55,D93&lt;'Дашборд'!$C$56,'Данные'!E93&gt;='Дашборд'!$C$53,'Данные'!L93&lt;&gt;"Да"),"Да","Нет")</x:f>
        <x:v>Нет</x:v>
      </x:c>
      <x:c r="O93" s="1" t="str">
        <x:f>'Данные'!L93</x:f>
        <x:v>Нет</x:v>
      </x:c>
    </x:row>
    <x:row r="94">
      <x:c r="A94" s="1" t="str">
        <x:f>'Данные'!A94</x:f>
        <x:v>297440096</x:v>
      </x:c>
      <x:c r="B94" s="1" t="str">
        <x:f>'Данные'!B94</x:f>
        <x:v>longover/фуксия</x:v>
      </x:c>
      <x:c r="C94" s="8" t="n">
        <x:f>'Данные'!G94</x:f>
        <x:v>1816857</x:v>
      </x:c>
      <x:c r="D94" s="15" t="n">
        <x:f>C94/SUM($C$5:$C$2477)</x:f>
        <x:v>0.0021224952778677786</x:v>
      </x:c>
      <x:c r="E94" s="15" t="n">
        <x:f>SUM($D$5:D94)</x:f>
        <x:v>0.44723055538527734</x:v>
      </x:c>
      <x:c r="F94" s="1" t="str">
        <x:f>IF(C94&lt;=0,"C",IF(E94-D94&lt;'Дашборд'!$C$49,"A",IF(E94-D94&lt;'Дашборд'!$C$50,"B","C")))</x:f>
        <x:v>A</x:v>
      </x:c>
      <x:c r="G94" s="8" t="n">
        <x:f>'Данные'!F94</x:f>
        <x:v>3793</x:v>
      </x:c>
      <x:c r="H94" s="8" t="n">
        <x:f>SUM('Данные'!H94:I94)</x:f>
        <x:v>1792</x:v>
      </x:c>
      <x:c r="I94" s="16" t="n">
        <x:f>IF(H94&gt;0,G94/H94,"n.a.")</x:f>
        <x:v>2.1166294642857144</x:v>
      </x:c>
      <x:c r="J94" s="10" t="n">
        <x:f>IF('Данные'!E94&gt;0,G94/'Данные'!E94,"n.a.")</x:f>
        <x:v>0.019301325598554818</x:v>
      </x:c>
      <x:c r="K94" s="1" t="str">
        <x:f>IF(G94&gt;='Дашборд'!$C$51,"X","Z")</x:f>
        <x:v>X</x:v>
      </x:c>
      <x:c r="L94" s="1" t="str">
        <x:f>IF(H94=0,IF(G94&gt;0,"Нет остатка","Нет спроса"),IF(I94&gt;='Дашборд'!$C$52,"Быстрый","Медленный"))</x:f>
        <x:v>Быстрый</x:v>
      </x:c>
      <x:c r="M94" s="1" t="str">
        <x:f>IF('Данные'!E94&lt;'Дашборд'!$C$53,"Мало трафика",IF(J94&lt;'Дашборд'!$C$9*'Дашборд'!$C$54,"Да","Нет"))</x:f>
        <x:v>Нет</x:v>
      </x:c>
      <x:c r="N94" s="1" t="str">
        <x:f>IF(AND('Данные'!D94&gt;='Дашборд'!$C$55,D94&lt;'Дашборд'!$C$56,'Данные'!E94&gt;='Дашборд'!$C$53,'Данные'!L94&lt;&gt;"Да"),"Да","Нет")</x:f>
        <x:v>Нет</x:v>
      </x:c>
      <x:c r="O94" s="1" t="str">
        <x:f>'Данные'!L94</x:f>
        <x:v>Нет</x:v>
      </x:c>
    </x:row>
    <x:row r="95">
      <x:c r="A95" s="1" t="str">
        <x:f>'Данные'!A95</x:f>
        <x:v>32774177</x:v>
      </x:c>
      <x:c r="B95" s="1" t="str">
        <x:f>'Данные'!B95</x:f>
        <x:v>kroptop/кофейный</x:v>
      </x:c>
      <x:c r="C95" s="8" t="n">
        <x:f>'Данные'!G95</x:f>
        <x:v>1797582</x:v>
      </x:c>
      <x:c r="D95" s="15" t="n">
        <x:f>C95/SUM($C$5:$C$2477)</x:f>
        <x:v>0.0020999777674192946</x:v>
      </x:c>
      <x:c r="E95" s="15" t="n">
        <x:f>SUM($D$5:D95)</x:f>
        <x:v>0.4493305331526966</x:v>
      </x:c>
      <x:c r="F95" s="1" t="str">
        <x:f>IF(C95&lt;=0,"C",IF(E95-D95&lt;'Дашборд'!$C$49,"A",IF(E95-D95&lt;'Дашборд'!$C$50,"B","C")))</x:f>
        <x:v>A</x:v>
      </x:c>
      <x:c r="G95" s="8" t="n">
        <x:f>'Данные'!F95</x:f>
        <x:v>5017</x:v>
      </x:c>
      <x:c r="H95" s="8" t="n">
        <x:f>SUM('Данные'!H95:I95)</x:f>
        <x:v>1228</x:v>
      </x:c>
      <x:c r="I95" s="16" t="n">
        <x:f>IF(H95&gt;0,G95/H95,"n.a.")</x:f>
        <x:v>4.085504885993485</x:v>
      </x:c>
      <x:c r="J95" s="10" t="n">
        <x:f>IF('Данные'!E95&gt;0,G95/'Данные'!E95,"n.a.")</x:f>
        <x:v>0.038668156769046974</x:v>
      </x:c>
      <x:c r="K95" s="1" t="str">
        <x:f>IF(G95&gt;='Дашборд'!$C$51,"X","Z")</x:f>
        <x:v>X</x:v>
      </x:c>
      <x:c r="L95" s="1" t="str">
        <x:f>IF(H95=0,IF(G95&gt;0,"Нет остатка","Нет спроса"),IF(I95&gt;='Дашборд'!$C$52,"Быстрый","Медленный"))</x:f>
        <x:v>Быстрый</x:v>
      </x:c>
      <x:c r="M95" s="1" t="str">
        <x:f>IF('Данные'!E95&lt;'Дашборд'!$C$53,"Мало трафика",IF(J95&lt;'Дашборд'!$C$9*'Дашборд'!$C$54,"Да","Нет"))</x:f>
        <x:v>Нет</x:v>
      </x:c>
      <x:c r="N95" s="1" t="str">
        <x:f>IF(AND('Данные'!D95&gt;='Дашборд'!$C$55,D95&lt;'Дашборд'!$C$56,'Данные'!E95&gt;='Дашборд'!$C$53,'Данные'!L95&lt;&gt;"Да"),"Да","Нет")</x:f>
        <x:v>Нет</x:v>
      </x:c>
      <x:c r="O95" s="1" t="str">
        <x:f>'Данные'!L95</x:f>
        <x:v>Нет</x:v>
      </x:c>
    </x:row>
    <x:row r="96">
      <x:c r="A96" s="1" t="str">
        <x:f>'Данные'!A96</x:f>
        <x:v>165757820</x:v>
      </x:c>
      <x:c r="B96" s="1" t="str">
        <x:f>'Данные'!B96</x:f>
        <x:v>kulirkaman/сероваторозовый</x:v>
      </x:c>
      <x:c r="C96" s="8" t="n">
        <x:f>'Данные'!G96</x:f>
        <x:v>1766898</x:v>
      </x:c>
      <x:c r="D96" s="15" t="n">
        <x:f>C96/SUM($C$5:$C$2477)</x:f>
        <x:v>0.0020641319935878403</x:v>
      </x:c>
      <x:c r="E96" s="15" t="n">
        <x:f>SUM($D$5:D96)</x:f>
        <x:v>0.45139466514628446</x:v>
      </x:c>
      <x:c r="F96" s="1" t="str">
        <x:f>IF(C96&lt;=0,"C",IF(E96-D96&lt;'Дашборд'!$C$49,"A",IF(E96-D96&lt;'Дашборд'!$C$50,"B","C")))</x:f>
        <x:v>A</x:v>
      </x:c>
      <x:c r="G96" s="8" t="n">
        <x:f>'Данные'!F96</x:f>
        <x:v>3396</x:v>
      </x:c>
      <x:c r="H96" s="8" t="n">
        <x:f>SUM('Данные'!H96:I96)</x:f>
        <x:v>237</x:v>
      </x:c>
      <x:c r="I96" s="16" t="n">
        <x:f>IF(H96&gt;0,G96/H96,"n.a.")</x:f>
        <x:v>14.329113924050633</x:v>
      </x:c>
      <x:c r="J96" s="10" t="n">
        <x:f>IF('Данные'!E96&gt;0,G96/'Данные'!E96,"n.a.")</x:f>
        <x:v>0.030163608263904927</x:v>
      </x:c>
      <x:c r="K96" s="1" t="str">
        <x:f>IF(G96&gt;='Дашборд'!$C$51,"X","Z")</x:f>
        <x:v>X</x:v>
      </x:c>
      <x:c r="L96" s="1" t="str">
        <x:f>IF(H96=0,IF(G96&gt;0,"Нет остатка","Нет спроса"),IF(I96&gt;='Дашборд'!$C$52,"Быстрый","Медленный"))</x:f>
        <x:v>Быстрый</x:v>
      </x:c>
      <x:c r="M96" s="1" t="str">
        <x:f>IF('Данные'!E96&lt;'Дашборд'!$C$53,"Мало трафика",IF(J96&lt;'Дашборд'!$C$9*'Дашборд'!$C$54,"Да","Нет"))</x:f>
        <x:v>Нет</x:v>
      </x:c>
      <x:c r="N96" s="1" t="str">
        <x:f>IF(AND('Данные'!D96&gt;='Дашборд'!$C$55,D96&lt;'Дашборд'!$C$56,'Данные'!E96&gt;='Дашборд'!$C$53,'Данные'!L96&lt;&gt;"Да"),"Да","Нет")</x:f>
        <x:v>Нет</x:v>
      </x:c>
      <x:c r="O96" s="1" t="str">
        <x:f>'Данные'!L96</x:f>
        <x:v>Нет</x:v>
      </x:c>
    </x:row>
    <x:row r="97">
      <x:c r="A97" s="1" t="str">
        <x:f>'Данные'!A97</x:f>
        <x:v>237301004</x:v>
      </x:c>
      <x:c r="B97" s="1" t="str">
        <x:f>'Данные'!B97</x:f>
        <x:v>longoverprint/Vintage-110/молочный</x:v>
      </x:c>
      <x:c r="C97" s="8" t="n">
        <x:f>'Данные'!G97</x:f>
        <x:v>1727502</x:v>
      </x:c>
      <x:c r="D97" s="15" t="n">
        <x:f>C97/SUM($C$5:$C$2477)</x:f>
        <x:v>0.0020181086555007594</x:v>
      </x:c>
      <x:c r="E97" s="15" t="n">
        <x:f>SUM($D$5:D97)</x:f>
        <x:v>0.45341277380178524</x:v>
      </x:c>
      <x:c r="F97" s="1" t="str">
        <x:f>IF(C97&lt;=0,"C",IF(E97-D97&lt;'Дашборд'!$C$49,"A",IF(E97-D97&lt;'Дашборд'!$C$50,"B","C")))</x:f>
        <x:v>A</x:v>
      </x:c>
      <x:c r="G97" s="8" t="n">
        <x:f>'Данные'!F97</x:f>
        <x:v>2210</x:v>
      </x:c>
      <x:c r="H97" s="8" t="n">
        <x:f>SUM('Данные'!H97:I97)</x:f>
        <x:v>547</x:v>
      </x:c>
      <x:c r="I97" s="16" t="n">
        <x:f>IF(H97&gt;0,G97/H97,"n.a.")</x:f>
        <x:v>4.040219378427788</x:v>
      </x:c>
      <x:c r="J97" s="10" t="n">
        <x:f>IF('Данные'!E97&gt;0,G97/'Данные'!E97,"n.a.")</x:f>
        <x:v>0.01580038607278187</x:v>
      </x:c>
      <x:c r="K97" s="1" t="str">
        <x:f>IF(G97&gt;='Дашборд'!$C$51,"X","Z")</x:f>
        <x:v>X</x:v>
      </x:c>
      <x:c r="L97" s="1" t="str">
        <x:f>IF(H97=0,IF(G97&gt;0,"Нет остатка","Нет спроса"),IF(I97&gt;='Дашборд'!$C$52,"Быстрый","Медленный"))</x:f>
        <x:v>Быстрый</x:v>
      </x:c>
      <x:c r="M97" s="1" t="str">
        <x:f>IF('Данные'!E97&lt;'Дашборд'!$C$53,"Мало трафика",IF(J97&lt;'Дашборд'!$C$9*'Дашборд'!$C$54,"Да","Нет"))</x:f>
        <x:v>Нет</x:v>
      </x:c>
      <x:c r="N97" s="1" t="str">
        <x:f>IF(AND('Данные'!D97&gt;='Дашборд'!$C$55,D97&lt;'Дашборд'!$C$56,'Данные'!E97&gt;='Дашборд'!$C$53,'Данные'!L97&lt;&gt;"Да"),"Да","Нет")</x:f>
        <x:v>Нет</x:v>
      </x:c>
      <x:c r="O97" s="1" t="str">
        <x:f>'Данные'!L97</x:f>
        <x:v>Нет</x:v>
      </x:c>
    </x:row>
    <x:row r="98">
      <x:c r="A98" s="1" t="str">
        <x:f>'Данные'!A98</x:f>
        <x:v>333242661</x:v>
      </x:c>
      <x:c r="B98" s="1" t="str">
        <x:f>'Данные'!B98</x:f>
        <x:v>futbolkamanoverX3/мол-как-кор</x:v>
      </x:c>
      <x:c r="C98" s="8" t="n">
        <x:f>'Данные'!G98</x:f>
        <x:v>1724159</x:v>
      </x:c>
      <x:c r="D98" s="15" t="n">
        <x:f>C98/SUM($C$5:$C$2477)</x:f>
        <x:v>0.0020142032839090976</x:v>
      </x:c>
      <x:c r="E98" s="15" t="n">
        <x:f>SUM($D$5:D98)</x:f>
        <x:v>0.45542697708569435</x:v>
      </x:c>
      <x:c r="F98" s="1" t="str">
        <x:f>IF(C98&lt;=0,"C",IF(E98-D98&lt;'Дашборд'!$C$49,"A",IF(E98-D98&lt;'Дашборд'!$C$50,"B","C")))</x:f>
        <x:v>A</x:v>
      </x:c>
      <x:c r="G98" s="8" t="n">
        <x:f>'Данные'!F98</x:f>
        <x:v>1425</x:v>
      </x:c>
      <x:c r="H98" s="8" t="n">
        <x:f>SUM('Данные'!H98:I98)</x:f>
        <x:v>5</x:v>
      </x:c>
      <x:c r="I98" s="16" t="n">
        <x:f>IF(H98&gt;0,G98/H98,"n.a.")</x:f>
        <x:v>285</x:v>
      </x:c>
      <x:c r="J98" s="10" t="n">
        <x:f>IF('Данные'!E98&gt;0,G98/'Данные'!E98,"n.a.")</x:f>
        <x:v>0.019266129468390028</x:v>
      </x:c>
      <x:c r="K98" s="1" t="str">
        <x:f>IF(G98&gt;='Дашборд'!$C$51,"X","Z")</x:f>
        <x:v>X</x:v>
      </x:c>
      <x:c r="L98" s="1" t="str">
        <x:f>IF(H98=0,IF(G98&gt;0,"Нет остатка","Нет спроса"),IF(I98&gt;='Дашборд'!$C$52,"Быстрый","Медленный"))</x:f>
        <x:v>Быстрый</x:v>
      </x:c>
      <x:c r="M98" s="1" t="str">
        <x:f>IF('Данные'!E98&lt;'Дашборд'!$C$53,"Мало трафика",IF(J98&lt;'Дашборд'!$C$9*'Дашборд'!$C$54,"Да","Нет"))</x:f>
        <x:v>Нет</x:v>
      </x:c>
      <x:c r="N98" s="1" t="str">
        <x:f>IF(AND('Данные'!D98&gt;='Дашборд'!$C$55,D98&lt;'Дашборд'!$C$56,'Данные'!E98&gt;='Дашборд'!$C$53,'Данные'!L98&lt;&gt;"Да"),"Да","Нет")</x:f>
        <x:v>Нет</x:v>
      </x:c>
      <x:c r="O98" s="1" t="str">
        <x:f>'Данные'!L98</x:f>
        <x:v>Нет</x:v>
      </x:c>
    </x:row>
    <x:row r="99">
      <x:c r="A99" s="1" t="str">
        <x:f>'Данные'!A99</x:f>
        <x:v>211336688</x:v>
      </x:c>
      <x:c r="B99" s="1" t="str">
        <x:f>'Данные'!B99</x:f>
        <x:v>tolstovkazipcrop/серыймеланж2</x:v>
      </x:c>
      <x:c r="C99" s="8" t="n">
        <x:f>'Данные'!G99</x:f>
        <x:v>1718060</x:v>
      </x:c>
      <x:c r="D99" s="15" t="n">
        <x:f>C99/SUM($C$5:$C$2477)</x:f>
        <x:v>0.002007078287995982</x:v>
      </x:c>
      <x:c r="E99" s="15" t="n">
        <x:f>SUM($D$5:D99)</x:f>
        <x:v>0.4574340553736903</x:v>
      </x:c>
      <x:c r="F99" s="1" t="str">
        <x:f>IF(C99&lt;=0,"C",IF(E99-D99&lt;'Дашборд'!$C$49,"A",IF(E99-D99&lt;'Дашборд'!$C$50,"B","C")))</x:f>
        <x:v>A</x:v>
      </x:c>
      <x:c r="G99" s="8" t="n">
        <x:f>'Данные'!F99</x:f>
        <x:v>1212</x:v>
      </x:c>
      <x:c r="H99" s="8" t="n">
        <x:f>SUM('Данные'!H99:I99)</x:f>
        <x:v>5</x:v>
      </x:c>
      <x:c r="I99" s="16" t="n">
        <x:f>IF(H99&gt;0,G99/H99,"n.a.")</x:f>
        <x:v>242.4</x:v>
      </x:c>
      <x:c r="J99" s="10" t="n">
        <x:f>IF('Данные'!E99&gt;0,G99/'Данные'!E99,"n.a.")</x:f>
        <x:v>0.013058515509680756</x:v>
      </x:c>
      <x:c r="K99" s="1" t="str">
        <x:f>IF(G99&gt;='Дашборд'!$C$51,"X","Z")</x:f>
        <x:v>X</x:v>
      </x:c>
      <x:c r="L99" s="1" t="str">
        <x:f>IF(H99=0,IF(G99&gt;0,"Нет остатка","Нет спроса"),IF(I99&gt;='Дашборд'!$C$52,"Быстрый","Медленный"))</x:f>
        <x:v>Быстрый</x:v>
      </x:c>
      <x:c r="M99" s="1" t="str">
        <x:f>IF('Данные'!E99&lt;'Дашборд'!$C$53,"Мало трафика",IF(J99&lt;'Дашборд'!$C$9*'Дашборд'!$C$54,"Да","Нет"))</x:f>
        <x:v>Нет</x:v>
      </x:c>
      <x:c r="N99" s="1" t="str">
        <x:f>IF(AND('Данные'!D99&gt;='Дашборд'!$C$55,D99&lt;'Дашборд'!$C$56,'Данные'!E99&gt;='Дашборд'!$C$53,'Данные'!L99&lt;&gt;"Да"),"Да","Нет")</x:f>
        <x:v>Нет</x:v>
      </x:c>
      <x:c r="O99" s="1" t="str">
        <x:f>'Данные'!L99</x:f>
        <x:v>Нет</x:v>
      </x:c>
    </x:row>
    <x:row r="100">
      <x:c r="A100" s="1" t="str">
        <x:f>'Данные'!A100</x:f>
        <x:v>262651916</x:v>
      </x:c>
      <x:c r="B100" s="1" t="str">
        <x:f>'Данные'!B100</x:f>
        <x:v>palazzoshnurok/серыймеланж2</x:v>
      </x:c>
      <x:c r="C100" s="8" t="n">
        <x:f>'Данные'!G100</x:f>
        <x:v>1712448</x:v>
      </x:c>
      <x:c r="D100" s="15" t="n">
        <x:f>C100/SUM($C$5:$C$2477)</x:f>
        <x:v>0.002000522216990177</x:v>
      </x:c>
      <x:c r="E100" s="15" t="n">
        <x:f>SUM($D$5:D100)</x:f>
        <x:v>0.45943457759068046</x:v>
      </x:c>
      <x:c r="F100" s="1" t="str">
        <x:f>IF(C100&lt;=0,"C",IF(E100-D100&lt;'Дашборд'!$C$49,"A",IF(E100-D100&lt;'Дашборд'!$C$50,"B","C")))</x:f>
        <x:v>A</x:v>
      </x:c>
      <x:c r="G100" s="8" t="n">
        <x:f>'Данные'!F100</x:f>
        <x:v>2619</x:v>
      </x:c>
      <x:c r="H100" s="8" t="n">
        <x:f>SUM('Данные'!H100:I100)</x:f>
        <x:v>628</x:v>
      </x:c>
      <x:c r="I100" s="16" t="n">
        <x:f>IF(H100&gt;0,G100/H100,"n.a.")</x:f>
        <x:v>4.170382165605096</x:v>
      </x:c>
      <x:c r="J100" s="10" t="n">
        <x:f>IF('Данные'!E100&gt;0,G100/'Данные'!E100,"n.a.")</x:f>
        <x:v>0.01832634753584449</x:v>
      </x:c>
      <x:c r="K100" s="1" t="str">
        <x:f>IF(G100&gt;='Дашборд'!$C$51,"X","Z")</x:f>
        <x:v>X</x:v>
      </x:c>
      <x:c r="L100" s="1" t="str">
        <x:f>IF(H100=0,IF(G100&gt;0,"Нет остатка","Нет спроса"),IF(I100&gt;='Дашборд'!$C$52,"Быстрый","Медленный"))</x:f>
        <x:v>Быстрый</x:v>
      </x:c>
      <x:c r="M100" s="1" t="str">
        <x:f>IF('Данные'!E100&lt;'Дашборд'!$C$53,"Мало трафика",IF(J100&lt;'Дашборд'!$C$9*'Дашборд'!$C$54,"Да","Нет"))</x:f>
        <x:v>Нет</x:v>
      </x:c>
      <x:c r="N100" s="1" t="str">
        <x:f>IF(AND('Данные'!D100&gt;='Дашборд'!$C$55,D100&lt;'Дашборд'!$C$56,'Данные'!E100&gt;='Дашборд'!$C$53,'Данные'!L100&lt;&gt;"Да"),"Да","Нет")</x:f>
        <x:v>Нет</x:v>
      </x:c>
      <x:c r="O100" s="1" t="str">
        <x:f>'Данные'!L100</x:f>
        <x:v>Нет</x:v>
      </x:c>
    </x:row>
    <x:row r="101">
      <x:c r="A101" s="1" t="str">
        <x:f>'Данные'!A101</x:f>
        <x:v>297440097</x:v>
      </x:c>
      <x:c r="B101" s="1" t="str">
        <x:f>'Данные'!B101</x:f>
        <x:v>longover/пыльнаяроза</x:v>
      </x:c>
      <x:c r="C101" s="8" t="n">
        <x:f>'Данные'!G101</x:f>
        <x:v>1708807</x:v>
      </x:c>
      <x:c r="D101" s="15" t="n">
        <x:f>C101/SUM($C$5:$C$2477)</x:f>
        <x:v>0.0019962687147570806</x:v>
      </x:c>
      <x:c r="E101" s="15" t="n">
        <x:f>SUM($D$5:D101)</x:f>
        <x:v>0.4614308463054375</x:v>
      </x:c>
      <x:c r="F101" s="1" t="str">
        <x:f>IF(C101&lt;=0,"C",IF(E101-D101&lt;'Дашборд'!$C$49,"A",IF(E101-D101&lt;'Дашборд'!$C$50,"B","C")))</x:f>
        <x:v>A</x:v>
      </x:c>
      <x:c r="G101" s="8" t="n">
        <x:f>'Данные'!F101</x:f>
        <x:v>3513</x:v>
      </x:c>
      <x:c r="H101" s="8" t="n">
        <x:f>SUM('Данные'!H101:I101)</x:f>
        <x:v>468</x:v>
      </x:c>
      <x:c r="I101" s="16" t="n">
        <x:f>IF(H101&gt;0,G101/H101,"n.a.")</x:f>
        <x:v>7.506410256410256</x:v>
      </x:c>
      <x:c r="J101" s="10" t="n">
        <x:f>IF('Данные'!E101&gt;0,G101/'Данные'!E101,"n.a.")</x:f>
        <x:v>0.018659372178254634</x:v>
      </x:c>
      <x:c r="K101" s="1" t="str">
        <x:f>IF(G101&gt;='Дашборд'!$C$51,"X","Z")</x:f>
        <x:v>X</x:v>
      </x:c>
      <x:c r="L101" s="1" t="str">
        <x:f>IF(H101=0,IF(G101&gt;0,"Нет остатка","Нет спроса"),IF(I101&gt;='Дашборд'!$C$52,"Быстрый","Медленный"))</x:f>
        <x:v>Быстрый</x:v>
      </x:c>
      <x:c r="M101" s="1" t="str">
        <x:f>IF('Данные'!E101&lt;'Дашборд'!$C$53,"Мало трафика",IF(J101&lt;'Дашборд'!$C$9*'Дашборд'!$C$54,"Да","Нет"))</x:f>
        <x:v>Нет</x:v>
      </x:c>
      <x:c r="N101" s="1" t="str">
        <x:f>IF(AND('Данные'!D101&gt;='Дашборд'!$C$55,D101&lt;'Дашборд'!$C$56,'Данные'!E101&gt;='Дашборд'!$C$53,'Данные'!L101&lt;&gt;"Да"),"Да","Нет")</x:f>
        <x:v>Нет</x:v>
      </x:c>
      <x:c r="O101" s="1" t="str">
        <x:f>'Данные'!L101</x:f>
        <x:v>Нет</x:v>
      </x:c>
    </x:row>
    <x:row r="102">
      <x:c r="A102" s="1" t="str">
        <x:f>'Данные'!A102</x:f>
        <x:v>213843195</x:v>
      </x:c>
      <x:c r="B102" s="1" t="str">
        <x:f>'Данные'!B102</x:f>
        <x:v>baza/коричневый</x:v>
      </x:c>
      <x:c r="C102" s="8" t="n">
        <x:f>'Данные'!G102</x:f>
        <x:v>1691583</x:v>
      </x:c>
      <x:c r="D102" s="15" t="n">
        <x:f>C102/SUM($C$5:$C$2477)</x:f>
        <x:v>0.0019761472309716235</x:v>
      </x:c>
      <x:c r="E102" s="15" t="n">
        <x:f>SUM($D$5:D102)</x:f>
        <x:v>0.46340699353640913</x:v>
      </x:c>
      <x:c r="F102" s="1" t="str">
        <x:f>IF(C102&lt;=0,"C",IF(E102-D102&lt;'Дашборд'!$C$49,"A",IF(E102-D102&lt;'Дашборд'!$C$50,"B","C")))</x:f>
        <x:v>A</x:v>
      </x:c>
      <x:c r="G102" s="8" t="n">
        <x:f>'Данные'!F102</x:f>
        <x:v>3581</x:v>
      </x:c>
      <x:c r="H102" s="8" t="n">
        <x:f>SUM('Данные'!H102:I102)</x:f>
        <x:v>1828</x:v>
      </x:c>
      <x:c r="I102" s="16" t="n">
        <x:f>IF(H102&gt;0,G102/H102,"n.a.")</x:f>
        <x:v>1.9589715536105032</x:v>
      </x:c>
      <x:c r="J102" s="10" t="n">
        <x:f>IF('Данные'!E102&gt;0,G102/'Данные'!E102,"n.a.")</x:f>
        <x:v>0.028641126129728866</x:v>
      </x:c>
      <x:c r="K102" s="1" t="str">
        <x:f>IF(G102&gt;='Дашборд'!$C$51,"X","Z")</x:f>
        <x:v>X</x:v>
      </x:c>
      <x:c r="L102" s="1" t="str">
        <x:f>IF(H102=0,IF(G102&gt;0,"Нет остатка","Нет спроса"),IF(I102&gt;='Дашборд'!$C$52,"Быстрый","Медленный"))</x:f>
        <x:v>Быстрый</x:v>
      </x:c>
      <x:c r="M102" s="1" t="str">
        <x:f>IF('Данные'!E102&lt;'Дашборд'!$C$53,"Мало трафика",IF(J102&lt;'Дашборд'!$C$9*'Дашборд'!$C$54,"Да","Нет"))</x:f>
        <x:v>Нет</x:v>
      </x:c>
      <x:c r="N102" s="1" t="str">
        <x:f>IF(AND('Данные'!D102&gt;='Дашборд'!$C$55,D102&lt;'Дашборд'!$C$56,'Данные'!E102&gt;='Дашборд'!$C$53,'Данные'!L102&lt;&gt;"Да"),"Да","Нет")</x:f>
        <x:v>Нет</x:v>
      </x:c>
      <x:c r="O102" s="1" t="str">
        <x:f>'Данные'!L102</x:f>
        <x:v>Нет</x:v>
      </x:c>
    </x:row>
    <x:row r="103">
      <x:c r="A103" s="1" t="str">
        <x:f>'Данные'!A103</x:f>
        <x:v>117963634</x:v>
      </x:c>
      <x:c r="B103" s="1" t="str">
        <x:f>'Данные'!B103</x:f>
        <x:v>hudiman/темно-синий</x:v>
      </x:c>
      <x:c r="C103" s="8" t="n">
        <x:f>'Данные'!G103</x:f>
        <x:v>1684758</x:v>
      </x:c>
      <x:c r="D103" s="15" t="n">
        <x:f>C103/SUM($C$5:$C$2477)</x:f>
        <x:v>0.0019681741047038724</x:v>
      </x:c>
      <x:c r="E103" s="15" t="n">
        <x:f>SUM($D$5:D103)</x:f>
        <x:v>0.465375167641113</x:v>
      </x:c>
      <x:c r="F103" s="1" t="str">
        <x:f>IF(C103&lt;=0,"C",IF(E103-D103&lt;'Дашборд'!$C$49,"A",IF(E103-D103&lt;'Дашборд'!$C$50,"B","C")))</x:f>
        <x:v>A</x:v>
      </x:c>
      <x:c r="G103" s="8" t="n">
        <x:f>'Данные'!F103</x:f>
        <x:v>1649</x:v>
      </x:c>
      <x:c r="H103" s="8" t="n">
        <x:f>SUM('Данные'!H103:I103)</x:f>
        <x:v>650</x:v>
      </x:c>
      <x:c r="I103" s="16" t="n">
        <x:f>IF(H103&gt;0,G103/H103,"n.a.")</x:f>
        <x:v>2.536923076923077</x:v>
      </x:c>
      <x:c r="J103" s="10" t="n">
        <x:f>IF('Данные'!E103&gt;0,G103/'Данные'!E103,"n.a.")</x:f>
        <x:v>0.02634311548476764</x:v>
      </x:c>
      <x:c r="K103" s="1" t="str">
        <x:f>IF(G103&gt;='Дашборд'!$C$51,"X","Z")</x:f>
        <x:v>X</x:v>
      </x:c>
      <x:c r="L103" s="1" t="str">
        <x:f>IF(H103=0,IF(G103&gt;0,"Нет остатка","Нет спроса"),IF(I103&gt;='Дашборд'!$C$52,"Быстрый","Медленный"))</x:f>
        <x:v>Быстрый</x:v>
      </x:c>
      <x:c r="M103" s="1" t="str">
        <x:f>IF('Данные'!E103&lt;'Дашборд'!$C$53,"Мало трафика",IF(J103&lt;'Дашборд'!$C$9*'Дашборд'!$C$54,"Да","Нет"))</x:f>
        <x:v>Нет</x:v>
      </x:c>
      <x:c r="N103" s="1" t="str">
        <x:f>IF(AND('Данные'!D103&gt;='Дашборд'!$C$55,D103&lt;'Дашборд'!$C$56,'Данные'!E103&gt;='Дашборд'!$C$53,'Данные'!L103&lt;&gt;"Да"),"Да","Нет")</x:f>
        <x:v>Нет</x:v>
      </x:c>
      <x:c r="O103" s="1" t="str">
        <x:f>'Данные'!L103</x:f>
        <x:v>Нет</x:v>
      </x:c>
    </x:row>
    <x:row r="104">
      <x:c r="A104" s="1" t="str">
        <x:f>'Данные'!A104</x:f>
        <x:v>172152342</x:v>
      </x:c>
      <x:c r="B104" s="1" t="str">
        <x:f>'Данные'!B104</x:f>
        <x:v>baza/молочный</x:v>
      </x:c>
      <x:c r="C104" s="8" t="n">
        <x:f>'Данные'!G104</x:f>
        <x:v>1680556</x:v>
      </x:c>
      <x:c r="D104" s="15" t="n">
        <x:f>C104/SUM($C$5:$C$2477)</x:f>
        <x:v>0.0019632652290149212</x:v>
      </x:c>
      <x:c r="E104" s="15" t="n">
        <x:f>SUM($D$5:D104)</x:f>
        <x:v>0.4673384328701279</x:v>
      </x:c>
      <x:c r="F104" s="1" t="str">
        <x:f>IF(C104&lt;=0,"C",IF(E104-D104&lt;'Дашборд'!$C$49,"A",IF(E104-D104&lt;'Дашборд'!$C$50,"B","C")))</x:f>
        <x:v>A</x:v>
      </x:c>
      <x:c r="G104" s="8" t="n">
        <x:f>'Данные'!F104</x:f>
        <x:v>3440</x:v>
      </x:c>
      <x:c r="H104" s="8" t="n">
        <x:f>SUM('Данные'!H104:I104)</x:f>
        <x:v>2892</x:v>
      </x:c>
      <x:c r="I104" s="16" t="n">
        <x:f>IF(H104&gt;0,G104/H104,"n.a.")</x:f>
        <x:v>1.1894882434301521</x:v>
      </x:c>
      <x:c r="J104" s="10" t="n">
        <x:f>IF('Данные'!E104&gt;0,G104/'Данные'!E104,"n.a.")</x:f>
        <x:v>0.03656851280960986</x:v>
      </x:c>
      <x:c r="K104" s="1" t="str">
        <x:f>IF(G104&gt;='Дашборд'!$C$51,"X","Z")</x:f>
        <x:v>X</x:v>
      </x:c>
      <x:c r="L104" s="1" t="str">
        <x:f>IF(H104=0,IF(G104&gt;0,"Нет остатка","Нет спроса"),IF(I104&gt;='Дашборд'!$C$52,"Быстрый","Медленный"))</x:f>
        <x:v>Быстрый</x:v>
      </x:c>
      <x:c r="M104" s="1" t="str">
        <x:f>IF('Данные'!E104&lt;'Дашборд'!$C$53,"Мало трафика",IF(J104&lt;'Дашборд'!$C$9*'Дашборд'!$C$54,"Да","Нет"))</x:f>
        <x:v>Нет</x:v>
      </x:c>
      <x:c r="N104" s="1" t="str">
        <x:f>IF(AND('Данные'!D104&gt;='Дашборд'!$C$55,D104&lt;'Дашборд'!$C$56,'Данные'!E104&gt;='Дашборд'!$C$53,'Данные'!L104&lt;&gt;"Да"),"Да","Нет")</x:f>
        <x:v>Нет</x:v>
      </x:c>
      <x:c r="O104" s="1" t="str">
        <x:f>'Данные'!L104</x:f>
        <x:v>Нет</x:v>
      </x:c>
    </x:row>
    <x:row r="105">
      <x:c r="A105" s="1" t="str">
        <x:f>'Данные'!A105</x:f>
        <x:v>287827241</x:v>
      </x:c>
      <x:c r="B105" s="1" t="str">
        <x:f>'Данные'!B105</x:f>
        <x:v>hudicropprint/FYoung-238/серыймеланж2</x:v>
      </x:c>
      <x:c r="C105" s="8" t="n">
        <x:f>'Данные'!G105</x:f>
        <x:v>1661907</x:v>
      </x:c>
      <x:c r="D105" s="15" t="n">
        <x:f>C105/SUM($C$5:$C$2477)</x:f>
        <x:v>0.0019414790265581752</x:v>
      </x:c>
      <x:c r="E105" s="15" t="n">
        <x:f>SUM($D$5:D105)</x:f>
        <x:v>0.46927991189668605</x:v>
      </x:c>
      <x:c r="F105" s="1" t="str">
        <x:f>IF(C105&lt;=0,"C",IF(E105-D105&lt;'Дашборд'!$C$49,"A",IF(E105-D105&lt;'Дашборд'!$C$50,"B","C")))</x:f>
        <x:v>A</x:v>
      </x:c>
      <x:c r="G105" s="8" t="n">
        <x:f>'Данные'!F105</x:f>
        <x:v>1119</x:v>
      </x:c>
      <x:c r="H105" s="8" t="n">
        <x:f>SUM('Данные'!H105:I105)</x:f>
        <x:v>2</x:v>
      </x:c>
      <x:c r="I105" s="16" t="n">
        <x:f>IF(H105&gt;0,G105/H105,"n.a.")</x:f>
        <x:v>559.5</x:v>
      </x:c>
      <x:c r="J105" s="10" t="n">
        <x:f>IF('Данные'!E105&gt;0,G105/'Данные'!E105,"n.a.")</x:f>
        <x:v>0.015887439126545794</x:v>
      </x:c>
      <x:c r="K105" s="1" t="str">
        <x:f>IF(G105&gt;='Дашборд'!$C$51,"X","Z")</x:f>
        <x:v>X</x:v>
      </x:c>
      <x:c r="L105" s="1" t="str">
        <x:f>IF(H105=0,IF(G105&gt;0,"Нет остатка","Нет спроса"),IF(I105&gt;='Дашборд'!$C$52,"Быстрый","Медленный"))</x:f>
        <x:v>Быстрый</x:v>
      </x:c>
      <x:c r="M105" s="1" t="str">
        <x:f>IF('Данные'!E105&lt;'Дашборд'!$C$53,"Мало трафика",IF(J105&lt;'Дашборд'!$C$9*'Дашборд'!$C$54,"Да","Нет"))</x:f>
        <x:v>Нет</x:v>
      </x:c>
      <x:c r="N105" s="1" t="str">
        <x:f>IF(AND('Данные'!D105&gt;='Дашборд'!$C$55,D105&lt;'Дашборд'!$C$56,'Данные'!E105&gt;='Дашборд'!$C$53,'Данные'!L105&lt;&gt;"Да"),"Да","Нет")</x:f>
        <x:v>Нет</x:v>
      </x:c>
      <x:c r="O105" s="1" t="str">
        <x:f>'Данные'!L105</x:f>
        <x:v>Нет</x:v>
      </x:c>
    </x:row>
    <x:row r="106">
      <x:c r="A106" s="1" t="str">
        <x:f>'Данные'!A106</x:f>
        <x:v>320870102</x:v>
      </x:c>
      <x:c r="B106" s="1" t="str">
        <x:f>'Данные'!B106</x:f>
        <x:v>kostyumfix3P-37-63/коричневый</x:v>
      </x:c>
      <x:c r="C106" s="8" t="n">
        <x:f>'Данные'!G106</x:f>
        <x:v>1661286</x:v>
      </x:c>
      <x:c r="D106" s="15" t="n">
        <x:f>C106/SUM($C$5:$C$2477)</x:f>
        <x:v>0.001940753559684582</x:v>
      </x:c>
      <x:c r="E106" s="15" t="n">
        <x:f>SUM($D$5:D106)</x:f>
        <x:v>0.47122066545637065</x:v>
      </x:c>
      <x:c r="F106" s="1" t="str">
        <x:f>IF(C106&lt;=0,"C",IF(E106-D106&lt;'Дашборд'!$C$49,"A",IF(E106-D106&lt;'Дашборд'!$C$50,"B","C")))</x:f>
        <x:v>A</x:v>
      </x:c>
      <x:c r="G106" s="8" t="n">
        <x:f>'Данные'!F106</x:f>
        <x:v>1018</x:v>
      </x:c>
      <x:c r="H106" s="8" t="n">
        <x:f>SUM('Данные'!H106:I106)</x:f>
        <x:v>27</x:v>
      </x:c>
      <x:c r="I106" s="16" t="n">
        <x:f>IF(H106&gt;0,G106/H106,"n.a.")</x:f>
        <x:v>37.7037037037037</x:v>
      </x:c>
      <x:c r="J106" s="10" t="n">
        <x:f>IF('Данные'!E106&gt;0,G106/'Данные'!E106,"n.a.")</x:f>
        <x:v>0.011978584456080485</x:v>
      </x:c>
      <x:c r="K106" s="1" t="str">
        <x:f>IF(G106&gt;='Дашборд'!$C$51,"X","Z")</x:f>
        <x:v>X</x:v>
      </x:c>
      <x:c r="L106" s="1" t="str">
        <x:f>IF(H106=0,IF(G106&gt;0,"Нет остатка","Нет спроса"),IF(I106&gt;='Дашборд'!$C$52,"Быстрый","Медленный"))</x:f>
        <x:v>Быстрый</x:v>
      </x:c>
      <x:c r="M106" s="1" t="str">
        <x:f>IF('Данные'!E106&lt;'Дашборд'!$C$53,"Мало трафика",IF(J106&lt;'Дашборд'!$C$9*'Дашборд'!$C$54,"Да","Нет"))</x:f>
        <x:v>Нет</x:v>
      </x:c>
      <x:c r="N106" s="1" t="str">
        <x:f>IF(AND('Данные'!D106&gt;='Дашборд'!$C$55,D106&lt;'Дашборд'!$C$56,'Данные'!E106&gt;='Дашборд'!$C$53,'Данные'!L106&lt;&gt;"Да"),"Да","Нет")</x:f>
        <x:v>Нет</x:v>
      </x:c>
      <x:c r="O106" s="1" t="str">
        <x:f>'Данные'!L106</x:f>
        <x:v>Нет</x:v>
      </x:c>
    </x:row>
    <x:row r="107">
      <x:c r="A107" s="1" t="str">
        <x:f>'Данные'!A107</x:f>
        <x:v>87046129</x:v>
      </x:c>
      <x:c r="B107" s="1" t="str">
        <x:f>'Данные'!B107</x:f>
        <x:v>kroptop/фуксия</x:v>
      </x:c>
      <x:c r="C107" s="8" t="n">
        <x:f>'Данные'!G107</x:f>
        <x:v>1640164</x:v>
      </x:c>
      <x:c r="D107" s="15" t="n">
        <x:f>C107/SUM($C$5:$C$2477)</x:f>
        <x:v>0.001916078340193382</x:v>
      </x:c>
      <x:c r="E107" s="15" t="n">
        <x:f>SUM($D$5:D107)</x:f>
        <x:v>0.473136743796564</x:v>
      </x:c>
      <x:c r="F107" s="1" t="str">
        <x:f>IF(C107&lt;=0,"C",IF(E107-D107&lt;'Дашборд'!$C$49,"A",IF(E107-D107&lt;'Дашборд'!$C$50,"B","C")))</x:f>
        <x:v>A</x:v>
      </x:c>
      <x:c r="G107" s="8" t="n">
        <x:f>'Данные'!F107</x:f>
        <x:v>3892</x:v>
      </x:c>
      <x:c r="H107" s="8" t="n">
        <x:f>SUM('Данные'!H107:I107)</x:f>
        <x:v>835</x:v>
      </x:c>
      <x:c r="I107" s="16" t="n">
        <x:f>IF(H107&gt;0,G107/H107,"n.a.")</x:f>
        <x:v>4.661077844311377</x:v>
      </x:c>
      <x:c r="J107" s="10" t="n">
        <x:f>IF('Данные'!E107&gt;0,G107/'Данные'!E107,"n.a.")</x:f>
        <x:v>0.03527407192575406</x:v>
      </x:c>
      <x:c r="K107" s="1" t="str">
        <x:f>IF(G107&gt;='Дашборд'!$C$51,"X","Z")</x:f>
        <x:v>X</x:v>
      </x:c>
      <x:c r="L107" s="1" t="str">
        <x:f>IF(H107=0,IF(G107&gt;0,"Нет остатка","Нет спроса"),IF(I107&gt;='Дашборд'!$C$52,"Быстрый","Медленный"))</x:f>
        <x:v>Быстрый</x:v>
      </x:c>
      <x:c r="M107" s="1" t="str">
        <x:f>IF('Данные'!E107&lt;'Дашборд'!$C$53,"Мало трафика",IF(J107&lt;'Дашборд'!$C$9*'Дашборд'!$C$54,"Да","Нет"))</x:f>
        <x:v>Нет</x:v>
      </x:c>
      <x:c r="N107" s="1" t="str">
        <x:f>IF(AND('Данные'!D107&gt;='Дашборд'!$C$55,D107&lt;'Дашборд'!$C$56,'Данные'!E107&gt;='Дашборд'!$C$53,'Данные'!L107&lt;&gt;"Да"),"Да","Нет")</x:f>
        <x:v>Нет</x:v>
      </x:c>
      <x:c r="O107" s="1" t="str">
        <x:f>'Данные'!L107</x:f>
        <x:v>Нет</x:v>
      </x:c>
    </x:row>
    <x:row r="108">
      <x:c r="A108" s="1" t="str">
        <x:f>'Данные'!A108</x:f>
        <x:v>333237672</x:v>
      </x:c>
      <x:c r="B108" s="1" t="str">
        <x:f>'Данные'!B108</x:f>
        <x:v>futbolkamanoverX3/чер-бел-бордо</x:v>
      </x:c>
      <x:c r="C108" s="8" t="n">
        <x:f>'Данные'!G108</x:f>
        <x:v>1635388</x:v>
      </x:c>
      <x:c r="D108" s="15" t="n">
        <x:f>C108/SUM($C$5:$C$2477)</x:f>
        <x:v>0.0019104989041413996</x:v>
      </x:c>
      <x:c r="E108" s="15" t="n">
        <x:f>SUM($D$5:D108)</x:f>
        <x:v>0.4750472427007054</x:v>
      </x:c>
      <x:c r="F108" s="1" t="str">
        <x:f>IF(C108&lt;=0,"C",IF(E108-D108&lt;'Дашборд'!$C$49,"A",IF(E108-D108&lt;'Дашборд'!$C$50,"B","C")))</x:f>
        <x:v>A</x:v>
      </x:c>
      <x:c r="G108" s="8" t="n">
        <x:f>'Данные'!F108</x:f>
        <x:v>1314</x:v>
      </x:c>
      <x:c r="H108" s="8" t="n">
        <x:f>SUM('Данные'!H108:I108)</x:f>
        <x:v>66</x:v>
      </x:c>
      <x:c r="I108" s="16" t="n">
        <x:f>IF(H108&gt;0,G108/H108,"n.a.")</x:f>
        <x:v>19.90909090909091</x:v>
      </x:c>
      <x:c r="J108" s="10" t="n">
        <x:f>IF('Данные'!E108&gt;0,G108/'Данные'!E108,"n.a.")</x:f>
        <x:v>0.014113856068743286</x:v>
      </x:c>
      <x:c r="K108" s="1" t="str">
        <x:f>IF(G108&gt;='Дашборд'!$C$51,"X","Z")</x:f>
        <x:v>X</x:v>
      </x:c>
      <x:c r="L108" s="1" t="str">
        <x:f>IF(H108=0,IF(G108&gt;0,"Нет остатка","Нет спроса"),IF(I108&gt;='Дашборд'!$C$52,"Быстрый","Медленный"))</x:f>
        <x:v>Быстрый</x:v>
      </x:c>
      <x:c r="M108" s="1" t="str">
        <x:f>IF('Данные'!E108&lt;'Дашборд'!$C$53,"Мало трафика",IF(J108&lt;'Дашборд'!$C$9*'Дашборд'!$C$54,"Да","Нет"))</x:f>
        <x:v>Нет</x:v>
      </x:c>
      <x:c r="N108" s="1" t="str">
        <x:f>IF(AND('Данные'!D108&gt;='Дашборд'!$C$55,D108&lt;'Дашборд'!$C$56,'Данные'!E108&gt;='Дашборд'!$C$53,'Данные'!L108&lt;&gt;"Да"),"Да","Нет")</x:f>
        <x:v>Нет</x:v>
      </x:c>
      <x:c r="O108" s="1" t="str">
        <x:f>'Данные'!L108</x:f>
        <x:v>Нет</x:v>
      </x:c>
    </x:row>
    <x:row r="109">
      <x:c r="A109" s="1" t="str">
        <x:f>'Данные'!A109</x:f>
        <x:v>291157821</x:v>
      </x:c>
      <x:c r="B109" s="1" t="str">
        <x:f>'Данные'!B109</x:f>
        <x:v>longover/кофейный</x:v>
      </x:c>
      <x:c r="C109" s="8" t="n">
        <x:f>'Данные'!G109</x:f>
        <x:v>1634209</x:v>
      </x:c>
      <x:c r="D109" s="15" t="n">
        <x:f>C109/SUM($C$5:$C$2477)</x:f>
        <x:v>0.0019091215684828387</x:v>
      </x:c>
      <x:c r="E109" s="15" t="n">
        <x:f>SUM($D$5:D109)</x:f>
        <x:v>0.47695636426918825</x:v>
      </x:c>
      <x:c r="F109" s="1" t="str">
        <x:f>IF(C109&lt;=0,"C",IF(E109-D109&lt;'Дашборд'!$C$49,"A",IF(E109-D109&lt;'Дашборд'!$C$50,"B","C")))</x:f>
        <x:v>A</x:v>
      </x:c>
      <x:c r="G109" s="8" t="n">
        <x:f>'Данные'!F109</x:f>
        <x:v>3397</x:v>
      </x:c>
      <x:c r="H109" s="8" t="n">
        <x:f>SUM('Данные'!H109:I109)</x:f>
        <x:v>1591</x:v>
      </x:c>
      <x:c r="I109" s="16" t="n">
        <x:f>IF(H109&gt;0,G109/H109,"n.a.")</x:f>
        <x:v>2.135135135135135</x:v>
      </x:c>
      <x:c r="J109" s="10" t="n">
        <x:f>IF('Данные'!E109&gt;0,G109/'Данные'!E109,"n.a.")</x:f>
        <x:v>0.02200984838667876</x:v>
      </x:c>
      <x:c r="K109" s="1" t="str">
        <x:f>IF(G109&gt;='Дашборд'!$C$51,"X","Z")</x:f>
        <x:v>X</x:v>
      </x:c>
      <x:c r="L109" s="1" t="str">
        <x:f>IF(H109=0,IF(G109&gt;0,"Нет остатка","Нет спроса"),IF(I109&gt;='Дашборд'!$C$52,"Быстрый","Медленный"))</x:f>
        <x:v>Быстрый</x:v>
      </x:c>
      <x:c r="M109" s="1" t="str">
        <x:f>IF('Данные'!E109&lt;'Дашборд'!$C$53,"Мало трафика",IF(J109&lt;'Дашборд'!$C$9*'Дашборд'!$C$54,"Да","Нет"))</x:f>
        <x:v>Нет</x:v>
      </x:c>
      <x:c r="N109" s="1" t="str">
        <x:f>IF(AND('Данные'!D109&gt;='Дашборд'!$C$55,D109&lt;'Дашборд'!$C$56,'Данные'!E109&gt;='Дашборд'!$C$53,'Данные'!L109&lt;&gt;"Да"),"Да","Нет")</x:f>
        <x:v>Нет</x:v>
      </x:c>
      <x:c r="O109" s="1" t="str">
        <x:f>'Данные'!L109</x:f>
        <x:v>Нет</x:v>
      </x:c>
    </x:row>
    <x:row r="110">
      <x:c r="A110" s="1" t="str">
        <x:f>'Данные'!A110</x:f>
        <x:v>18376695</x:v>
      </x:c>
      <x:c r="B110" s="1" t="str">
        <x:f>'Данные'!B110</x:f>
        <x:v>hudi/бежевый</x:v>
      </x:c>
      <x:c r="C110" s="8" t="n">
        <x:f>'Данные'!G110</x:f>
        <x:v>1632220</x:v>
      </x:c>
      <x:c r="D110" s="15" t="n">
        <x:f>C110/SUM($C$5:$C$2477)</x:f>
        <x:v>0.0019067979716848084</x:v>
      </x:c>
      <x:c r="E110" s="15" t="n">
        <x:f>SUM($D$5:D110)</x:f>
        <x:v>0.47886316224087305</x:v>
      </x:c>
      <x:c r="F110" s="1" t="str">
        <x:f>IF(C110&lt;=0,"C",IF(E110-D110&lt;'Дашборд'!$C$49,"A",IF(E110-D110&lt;'Дашборд'!$C$50,"B","C")))</x:f>
        <x:v>A</x:v>
      </x:c>
      <x:c r="G110" s="8" t="n">
        <x:f>'Данные'!F110</x:f>
        <x:v>1942</x:v>
      </x:c>
      <x:c r="H110" s="8" t="n">
        <x:f>SUM('Данные'!H110:I110)</x:f>
        <x:v>462</x:v>
      </x:c>
      <x:c r="I110" s="16" t="n">
        <x:f>IF(H110&gt;0,G110/H110,"n.a.")</x:f>
        <x:v>4.203463203463204</x:v>
      </x:c>
      <x:c r="J110" s="10" t="n">
        <x:f>IF('Данные'!E110&gt;0,G110/'Данные'!E110,"n.a.")</x:f>
        <x:v>0.015124963978909164</x:v>
      </x:c>
      <x:c r="K110" s="1" t="str">
        <x:f>IF(G110&gt;='Дашборд'!$C$51,"X","Z")</x:f>
        <x:v>X</x:v>
      </x:c>
      <x:c r="L110" s="1" t="str">
        <x:f>IF(H110=0,IF(G110&gt;0,"Нет остатка","Нет спроса"),IF(I110&gt;='Дашборд'!$C$52,"Быстрый","Медленный"))</x:f>
        <x:v>Быстрый</x:v>
      </x:c>
      <x:c r="M110" s="1" t="str">
        <x:f>IF('Данные'!E110&lt;'Дашборд'!$C$53,"Мало трафика",IF(J110&lt;'Дашборд'!$C$9*'Дашборд'!$C$54,"Да","Нет"))</x:f>
        <x:v>Нет</x:v>
      </x:c>
      <x:c r="N110" s="1" t="str">
        <x:f>IF(AND('Данные'!D110&gt;='Дашборд'!$C$55,D110&lt;'Дашборд'!$C$56,'Данные'!E110&gt;='Дашборд'!$C$53,'Данные'!L110&lt;&gt;"Да"),"Да","Нет")</x:f>
        <x:v>Нет</x:v>
      </x:c>
      <x:c r="O110" s="1" t="str">
        <x:f>'Данные'!L110</x:f>
        <x:v>Нет</x:v>
      </x:c>
    </x:row>
    <x:row r="111">
      <x:c r="A111" s="1" t="str">
        <x:f>'Данные'!A111</x:f>
        <x:v>260797919</x:v>
      </x:c>
      <x:c r="B111" s="1" t="str">
        <x:f>'Данные'!B111</x:f>
        <x:v>hudicrop1/черный</x:v>
      </x:c>
      <x:c r="C111" s="8" t="n">
        <x:f>'Данные'!G111</x:f>
        <x:v>1630009</x:v>
      </x:c>
      <x:c r="D111" s="15" t="n">
        <x:f>C111/SUM($C$5:$C$2477)</x:f>
        <x:v>0.0019042150292411456</x:v>
      </x:c>
      <x:c r="E111" s="15" t="n">
        <x:f>SUM($D$5:D111)</x:f>
        <x:v>0.4807673772701142</x:v>
      </x:c>
      <x:c r="F111" s="1" t="str">
        <x:f>IF(C111&lt;=0,"C",IF(E111-D111&lt;'Дашборд'!$C$49,"A",IF(E111-D111&lt;'Дашборд'!$C$50,"B","C")))</x:f>
        <x:v>A</x:v>
      </x:c>
      <x:c r="G111" s="8" t="n">
        <x:f>'Данные'!F111</x:f>
        <x:v>1375</x:v>
      </x:c>
      <x:c r="H111" s="8" t="n">
        <x:f>SUM('Данные'!H111:I111)</x:f>
        <x:v>22</x:v>
      </x:c>
      <x:c r="I111" s="16" t="n">
        <x:f>IF(H111&gt;0,G111/H111,"n.a.")</x:f>
        <x:v>62.5</x:v>
      </x:c>
      <x:c r="J111" s="10" t="n">
        <x:f>IF('Данные'!E111&gt;0,G111/'Данные'!E111,"n.a.")</x:f>
        <x:v>0.02514308702250992</x:v>
      </x:c>
      <x:c r="K111" s="1" t="str">
        <x:f>IF(G111&gt;='Дашборд'!$C$51,"X","Z")</x:f>
        <x:v>X</x:v>
      </x:c>
      <x:c r="L111" s="1" t="str">
        <x:f>IF(H111=0,IF(G111&gt;0,"Нет остатка","Нет спроса"),IF(I111&gt;='Дашборд'!$C$52,"Быстрый","Медленный"))</x:f>
        <x:v>Быстрый</x:v>
      </x:c>
      <x:c r="M111" s="1" t="str">
        <x:f>IF('Данные'!E111&lt;'Дашборд'!$C$53,"Мало трафика",IF(J111&lt;'Дашборд'!$C$9*'Дашборд'!$C$54,"Да","Нет"))</x:f>
        <x:v>Нет</x:v>
      </x:c>
      <x:c r="N111" s="1" t="str">
        <x:f>IF(AND('Данные'!D111&gt;='Дашборд'!$C$55,D111&lt;'Дашборд'!$C$56,'Данные'!E111&gt;='Дашборд'!$C$53,'Данные'!L111&lt;&gt;"Да"),"Да","Нет")</x:f>
        <x:v>Нет</x:v>
      </x:c>
      <x:c r="O111" s="1" t="str">
        <x:f>'Данные'!L111</x:f>
        <x:v>Нет</x:v>
      </x:c>
    </x:row>
    <x:row r="112">
      <x:c r="A112" s="1" t="str">
        <x:f>'Данные'!A112</x:f>
        <x:v>211311605</x:v>
      </x:c>
      <x:c r="B112" s="1" t="str">
        <x:f>'Данные'!B112</x:f>
        <x:v>tolstovkazipman/черный</x:v>
      </x:c>
      <x:c r="C112" s="8" t="n">
        <x:f>'Данные'!G112</x:f>
        <x:v>1618873</x:v>
      </x:c>
      <x:c r="D112" s="15" t="n">
        <x:f>C112/SUM($C$5:$C$2477)</x:f>
        <x:v>0.0018912056909088852</x:v>
      </x:c>
      <x:c r="E112" s="15" t="n">
        <x:f>SUM($D$5:D112)</x:f>
        <x:v>0.4826585829610231</x:v>
      </x:c>
      <x:c r="F112" s="1" t="str">
        <x:f>IF(C112&lt;=0,"C",IF(E112-D112&lt;'Дашборд'!$C$49,"A",IF(E112-D112&lt;'Дашборд'!$C$50,"B","C")))</x:f>
        <x:v>A</x:v>
      </x:c>
      <x:c r="G112" s="8" t="n">
        <x:f>'Данные'!F112</x:f>
        <x:v>1007</x:v>
      </x:c>
      <x:c r="H112" s="8" t="n">
        <x:f>SUM('Данные'!H112:I112)</x:f>
        <x:v>6</x:v>
      </x:c>
      <x:c r="I112" s="16" t="n">
        <x:f>IF(H112&gt;0,G112/H112,"n.a.")</x:f>
        <x:v>167.83333333333334</x:v>
      </x:c>
      <x:c r="J112" s="10" t="n">
        <x:f>IF('Данные'!E112&gt;0,G112/'Данные'!E112,"n.a.")</x:f>
        <x:v>0.020133959812056384</x:v>
      </x:c>
      <x:c r="K112" s="1" t="str">
        <x:f>IF(G112&gt;='Дашборд'!$C$51,"X","Z")</x:f>
        <x:v>X</x:v>
      </x:c>
      <x:c r="L112" s="1" t="str">
        <x:f>IF(H112=0,IF(G112&gt;0,"Нет остатка","Нет спроса"),IF(I112&gt;='Дашборд'!$C$52,"Быстрый","Медленный"))</x:f>
        <x:v>Быстрый</x:v>
      </x:c>
      <x:c r="M112" s="1" t="str">
        <x:f>IF('Данные'!E112&lt;'Дашборд'!$C$53,"Мало трафика",IF(J112&lt;'Дашборд'!$C$9*'Дашборд'!$C$54,"Да","Нет"))</x:f>
        <x:v>Нет</x:v>
      </x:c>
      <x:c r="N112" s="1" t="str">
        <x:f>IF(AND('Данные'!D112&gt;='Дашборд'!$C$55,D112&lt;'Дашборд'!$C$56,'Данные'!E112&gt;='Дашборд'!$C$53,'Данные'!L112&lt;&gt;"Да"),"Да","Нет")</x:f>
        <x:v>Нет</x:v>
      </x:c>
      <x:c r="O112" s="1" t="str">
        <x:f>'Данные'!L112</x:f>
        <x:v>Нет</x:v>
      </x:c>
    </x:row>
    <x:row r="113">
      <x:c r="A113" s="1" t="str">
        <x:f>'Данные'!A113</x:f>
        <x:v>221519622</x:v>
      </x:c>
      <x:c r="B113" s="1" t="str">
        <x:f>'Данные'!B113</x:f>
        <x:v>futbolkaprint/BelMoreSelf-114/розовый</x:v>
      </x:c>
      <x:c r="C113" s="8" t="n">
        <x:f>'Данные'!G113</x:f>
        <x:v>1613727</x:v>
      </x:c>
      <x:c r="D113" s="15" t="n">
        <x:f>C113/SUM($C$5:$C$2477)</x:f>
        <x:v>0.0018851940121141822</x:v>
      </x:c>
      <x:c r="E113" s="15" t="n">
        <x:f>SUM($D$5:D113)</x:f>
        <x:v>0.4845437769731373</x:v>
      </x:c>
      <x:c r="F113" s="1" t="str">
        <x:f>IF(C113&lt;=0,"C",IF(E113-D113&lt;'Дашборд'!$C$49,"A",IF(E113-D113&lt;'Дашборд'!$C$50,"B","C")))</x:f>
        <x:v>A</x:v>
      </x:c>
      <x:c r="G113" s="8" t="n">
        <x:f>'Данные'!F113</x:f>
        <x:v>2507</x:v>
      </x:c>
      <x:c r="H113" s="8" t="n">
        <x:f>SUM('Данные'!H113:I113)</x:f>
        <x:v>105</x:v>
      </x:c>
      <x:c r="I113" s="16" t="n">
        <x:f>IF(H113&gt;0,G113/H113,"n.a.")</x:f>
        <x:v>23.876190476190477</x:v>
      </x:c>
      <x:c r="J113" s="10" t="n">
        <x:f>IF('Данные'!E113&gt;0,G113/'Данные'!E113,"n.a.")</x:f>
        <x:v>0.019175756092337345</x:v>
      </x:c>
      <x:c r="K113" s="1" t="str">
        <x:f>IF(G113&gt;='Дашборд'!$C$51,"X","Z")</x:f>
        <x:v>X</x:v>
      </x:c>
      <x:c r="L113" s="1" t="str">
        <x:f>IF(H113=0,IF(G113&gt;0,"Нет остатка","Нет спроса"),IF(I113&gt;='Дашборд'!$C$52,"Быстрый","Медленный"))</x:f>
        <x:v>Быстрый</x:v>
      </x:c>
      <x:c r="M113" s="1" t="str">
        <x:f>IF('Данные'!E113&lt;'Дашборд'!$C$53,"Мало трафика",IF(J113&lt;'Дашборд'!$C$9*'Дашборд'!$C$54,"Да","Нет"))</x:f>
        <x:v>Нет</x:v>
      </x:c>
      <x:c r="N113" s="1" t="str">
        <x:f>IF(AND('Данные'!D113&gt;='Дашборд'!$C$55,D113&lt;'Дашборд'!$C$56,'Данные'!E113&gt;='Дашборд'!$C$53,'Данные'!L113&lt;&gt;"Да"),"Да","Нет")</x:f>
        <x:v>Нет</x:v>
      </x:c>
      <x:c r="O113" s="1" t="str">
        <x:f>'Данные'!L113</x:f>
        <x:v>Нет</x:v>
      </x:c>
    </x:row>
    <x:row r="114">
      <x:c r="A114" s="1" t="str">
        <x:f>'Данные'!A114</x:f>
        <x:v>268453053</x:v>
      </x:c>
      <x:c r="B114" s="1" t="str">
        <x:f>'Данные'!B114</x:f>
        <x:v>hudi/персиковый</x:v>
      </x:c>
      <x:c r="C114" s="8" t="n">
        <x:f>'Данные'!G114</x:f>
        <x:v>1570237</x:v>
      </x:c>
      <x:c r="D114" s="15" t="n">
        <x:f>C114/SUM($C$5:$C$2477)</x:f>
        <x:v>0.00183438796649008</x:v>
      </x:c>
      <x:c r="E114" s="15" t="n">
        <x:f>SUM($D$5:D114)</x:f>
        <x:v>0.4863781649396274</x:v>
      </x:c>
      <x:c r="F114" s="1" t="str">
        <x:f>IF(C114&lt;=0,"C",IF(E114-D114&lt;'Дашборд'!$C$49,"A",IF(E114-D114&lt;'Дашборд'!$C$50,"B","C")))</x:f>
        <x:v>A</x:v>
      </x:c>
      <x:c r="G114" s="8" t="n">
        <x:f>'Данные'!F114</x:f>
        <x:v>1607</x:v>
      </x:c>
      <x:c r="H114" s="8" t="n">
        <x:f>SUM('Данные'!H114:I114)</x:f>
        <x:v>2920</x:v>
      </x:c>
      <x:c r="I114" s="16" t="n">
        <x:f>IF(H114&gt;0,G114/H114,"n.a.")</x:f>
        <x:v>0.5503424657534246</x:v>
      </x:c>
      <x:c r="J114" s="10" t="n">
        <x:f>IF('Данные'!E114&gt;0,G114/'Данные'!E114,"n.a.")</x:f>
        <x:v>0.02331384468075846</x:v>
      </x:c>
      <x:c r="K114" s="1" t="str">
        <x:f>IF(G114&gt;='Дашборд'!$C$51,"X","Z")</x:f>
        <x:v>X</x:v>
      </x:c>
      <x:c r="L114" s="1" t="str">
        <x:f>IF(H114=0,IF(G114&gt;0,"Нет остатка","Нет спроса"),IF(I114&gt;='Дашборд'!$C$52,"Быстрый","Медленный"))</x:f>
        <x:v>Медленный</x:v>
      </x:c>
      <x:c r="M114" s="1" t="str">
        <x:f>IF('Данные'!E114&lt;'Дашборд'!$C$53,"Мало трафика",IF(J114&lt;'Дашборд'!$C$9*'Дашборд'!$C$54,"Да","Нет"))</x:f>
        <x:v>Нет</x:v>
      </x:c>
      <x:c r="N114" s="1" t="str">
        <x:f>IF(AND('Данные'!D114&gt;='Дашборд'!$C$55,D114&lt;'Дашборд'!$C$56,'Данные'!E114&gt;='Дашборд'!$C$53,'Данные'!L114&lt;&gt;"Да"),"Да","Нет")</x:f>
        <x:v>Нет</x:v>
      </x:c>
      <x:c r="O114" s="1" t="str">
        <x:f>'Данные'!L114</x:f>
        <x:v>Нет</x:v>
      </x:c>
    </x:row>
    <x:row r="115">
      <x:c r="A115" s="1" t="str">
        <x:f>'Данные'!A115</x:f>
        <x:v>295771243</x:v>
      </x:c>
      <x:c r="B115" s="1" t="str">
        <x:f>'Данные'!B115</x:f>
        <x:v>kostyumfix3P-37-63/черный</x:v>
      </x:c>
      <x:c r="C115" s="8" t="n">
        <x:f>'Данные'!G115</x:f>
        <x:v>1566862</x:v>
      </x:c>
      <x:c r="D115" s="15" t="n">
        <x:f>C115/SUM($C$5:$C$2477)</x:f>
        <x:v>0.001830445211742291</x:v>
      </x:c>
      <x:c r="E115" s="15" t="n">
        <x:f>SUM($D$5:D115)</x:f>
        <x:v>0.4882086101513697</x:v>
      </x:c>
      <x:c r="F115" s="1" t="str">
        <x:f>IF(C115&lt;=0,"C",IF(E115-D115&lt;'Дашборд'!$C$49,"A",IF(E115-D115&lt;'Дашборд'!$C$50,"B","C")))</x:f>
        <x:v>A</x:v>
      </x:c>
      <x:c r="G115" s="8" t="n">
        <x:f>'Данные'!F115</x:f>
        <x:v>1254</x:v>
      </x:c>
      <x:c r="H115" s="8" t="n">
        <x:f>SUM('Данные'!H115:I115)</x:f>
        <x:v>95</x:v>
      </x:c>
      <x:c r="I115" s="16" t="n">
        <x:f>IF(H115&gt;0,G115/H115,"n.a.")</x:f>
        <x:v>13.2</x:v>
      </x:c>
      <x:c r="J115" s="10" t="n">
        <x:f>IF('Данные'!E115&gt;0,G115/'Данные'!E115,"n.a.")</x:f>
        <x:v>0.012204854690206919</x:v>
      </x:c>
      <x:c r="K115" s="1" t="str">
        <x:f>IF(G115&gt;='Дашборд'!$C$51,"X","Z")</x:f>
        <x:v>X</x:v>
      </x:c>
      <x:c r="L115" s="1" t="str">
        <x:f>IF(H115=0,IF(G115&gt;0,"Нет остатка","Нет спроса"),IF(I115&gt;='Дашборд'!$C$52,"Быстрый","Медленный"))</x:f>
        <x:v>Быстрый</x:v>
      </x:c>
      <x:c r="M115" s="1" t="str">
        <x:f>IF('Данные'!E115&lt;'Дашборд'!$C$53,"Мало трафика",IF(J115&lt;'Дашборд'!$C$9*'Дашборд'!$C$54,"Да","Нет"))</x:f>
        <x:v>Нет</x:v>
      </x:c>
      <x:c r="N115" s="1" t="str">
        <x:f>IF(AND('Данные'!D115&gt;='Дашборд'!$C$55,D115&lt;'Дашборд'!$C$56,'Данные'!E115&gt;='Дашборд'!$C$53,'Данные'!L115&lt;&gt;"Да"),"Да","Нет")</x:f>
        <x:v>Нет</x:v>
      </x:c>
      <x:c r="O115" s="1" t="str">
        <x:f>'Данные'!L115</x:f>
        <x:v>Нет</x:v>
      </x:c>
    </x:row>
    <x:row r="116">
      <x:c r="A116" s="1" t="str">
        <x:f>'Данные'!A116</x:f>
        <x:v>15445455</x:v>
      </x:c>
      <x:c r="B116" s="1" t="str">
        <x:f>'Данные'!B116</x:f>
        <x:v>hudi/светло-фиолетовый</x:v>
      </x:c>
      <x:c r="C116" s="8" t="n">
        <x:f>'Данные'!G116</x:f>
        <x:v>1559798</x:v>
      </x:c>
      <x:c r="D116" s="15" t="n">
        <x:f>C116/SUM($C$5:$C$2477)</x:f>
        <x:v>0.0018221928800272148</x:v>
      </x:c>
      <x:c r="E116" s="15" t="n">
        <x:f>SUM($D$5:D116)</x:f>
        <x:v>0.4900308030313969</x:v>
      </x:c>
      <x:c r="F116" s="1" t="str">
        <x:f>IF(C116&lt;=0,"C",IF(E116-D116&lt;'Дашборд'!$C$49,"A",IF(E116-D116&lt;'Дашборд'!$C$50,"B","C")))</x:f>
        <x:v>A</x:v>
      </x:c>
      <x:c r="G116" s="8" t="n">
        <x:f>'Данные'!F116</x:f>
        <x:v>1542</x:v>
      </x:c>
      <x:c r="H116" s="8" t="n">
        <x:f>SUM('Данные'!H116:I116)</x:f>
        <x:v>180</x:v>
      </x:c>
      <x:c r="I116" s="16" t="n">
        <x:f>IF(H116&gt;0,G116/H116,"n.a.")</x:f>
        <x:v>8.566666666666666</x:v>
      </x:c>
      <x:c r="J116" s="10" t="n">
        <x:f>IF('Данные'!E116&gt;0,G116/'Данные'!E116,"n.a.")</x:f>
        <x:v>0.017823292801331547</x:v>
      </x:c>
      <x:c r="K116" s="1" t="str">
        <x:f>IF(G116&gt;='Дашборд'!$C$51,"X","Z")</x:f>
        <x:v>X</x:v>
      </x:c>
      <x:c r="L116" s="1" t="str">
        <x:f>IF(H116=0,IF(G116&gt;0,"Нет остатка","Нет спроса"),IF(I116&gt;='Дашборд'!$C$52,"Быстрый","Медленный"))</x:f>
        <x:v>Быстрый</x:v>
      </x:c>
      <x:c r="M116" s="1" t="str">
        <x:f>IF('Данные'!E116&lt;'Дашборд'!$C$53,"Мало трафика",IF(J116&lt;'Дашборд'!$C$9*'Дашборд'!$C$54,"Да","Нет"))</x:f>
        <x:v>Нет</x:v>
      </x:c>
      <x:c r="N116" s="1" t="str">
        <x:f>IF(AND('Данные'!D116&gt;='Дашборд'!$C$55,D116&lt;'Дашборд'!$C$56,'Данные'!E116&gt;='Дашборд'!$C$53,'Данные'!L116&lt;&gt;"Да"),"Да","Нет")</x:f>
        <x:v>Нет</x:v>
      </x:c>
      <x:c r="O116" s="1" t="str">
        <x:f>'Данные'!L116</x:f>
        <x:v>Нет</x:v>
      </x:c>
    </x:row>
    <x:row r="117">
      <x:c r="A117" s="1" t="str">
        <x:f>'Данные'!A117</x:f>
        <x:v>255463320</x:v>
      </x:c>
      <x:c r="B117" s="1" t="str">
        <x:f>'Данные'!B117</x:f>
        <x:v>tolstovkazip/светло-розовый</x:v>
      </x:c>
      <x:c r="C117" s="8" t="n">
        <x:f>'Данные'!G117</x:f>
        <x:v>1551617</x:v>
      </x:c>
      <x:c r="D117" s="15" t="n">
        <x:f>C117/SUM($C$5:$C$2477)</x:f>
        <x:v>0.0018126356425185743</x:v>
      </x:c>
      <x:c r="E117" s="15" t="n">
        <x:f>SUM($D$5:D117)</x:f>
        <x:v>0.4918434386739155</x:v>
      </x:c>
      <x:c r="F117" s="1" t="str">
        <x:f>IF(C117&lt;=0,"C",IF(E117-D117&lt;'Дашборд'!$C$49,"A",IF(E117-D117&lt;'Дашборд'!$C$50,"B","C")))</x:f>
        <x:v>A</x:v>
      </x:c>
      <x:c r="G117" s="8" t="n">
        <x:f>'Данные'!F117</x:f>
        <x:v>1116</x:v>
      </x:c>
      <x:c r="H117" s="8" t="n">
        <x:f>SUM('Данные'!H117:I117)</x:f>
        <x:v>3</x:v>
      </x:c>
      <x:c r="I117" s="16" t="n">
        <x:f>IF(H117&gt;0,G117/H117,"n.a.")</x:f>
        <x:v>372</x:v>
      </x:c>
      <x:c r="J117" s="10" t="n">
        <x:f>IF('Данные'!E117&gt;0,G117/'Данные'!E117,"n.a.")</x:f>
        <x:v>0.013650708222227659</x:v>
      </x:c>
      <x:c r="K117" s="1" t="str">
        <x:f>IF(G117&gt;='Дашборд'!$C$51,"X","Z")</x:f>
        <x:v>X</x:v>
      </x:c>
      <x:c r="L117" s="1" t="str">
        <x:f>IF(H117=0,IF(G117&gt;0,"Нет остатка","Нет спроса"),IF(I117&gt;='Дашборд'!$C$52,"Быстрый","Медленный"))</x:f>
        <x:v>Быстрый</x:v>
      </x:c>
      <x:c r="M117" s="1" t="str">
        <x:f>IF('Данные'!E117&lt;'Дашборд'!$C$53,"Мало трафика",IF(J117&lt;'Дашборд'!$C$9*'Дашборд'!$C$54,"Да","Нет"))</x:f>
        <x:v>Нет</x:v>
      </x:c>
      <x:c r="N117" s="1" t="str">
        <x:f>IF(AND('Данные'!D117&gt;='Дашборд'!$C$55,D117&lt;'Дашборд'!$C$56,'Данные'!E117&gt;='Дашборд'!$C$53,'Данные'!L117&lt;&gt;"Да"),"Да","Нет")</x:f>
        <x:v>Нет</x:v>
      </x:c>
      <x:c r="O117" s="1" t="str">
        <x:f>'Данные'!L117</x:f>
        <x:v>Нет</x:v>
      </x:c>
    </x:row>
    <x:row r="118">
      <x:c r="A118" s="1" t="str">
        <x:f>'Данные'!A118</x:f>
        <x:v>279878340</x:v>
      </x:c>
      <x:c r="B118" s="1" t="str">
        <x:f>'Данные'!B118</x:f>
        <x:v>brukizshp3P-S-1/молочный</x:v>
      </x:c>
      <x:c r="C118" s="8" t="n">
        <x:f>'Данные'!G118</x:f>
        <x:v>1549894</x:v>
      </x:c>
      <x:c r="D118" s="15" t="n">
        <x:f>C118/SUM($C$5:$C$2477)</x:f>
        <x:v>0.001810622793205851</x:v>
      </x:c>
      <x:c r="E118" s="15" t="n">
        <x:f>SUM($D$5:D118)</x:f>
        <x:v>0.4936540614671214</x:v>
      </x:c>
      <x:c r="F118" s="1" t="str">
        <x:f>IF(C118&lt;=0,"C",IF(E118-D118&lt;'Дашборд'!$C$49,"A",IF(E118-D118&lt;'Дашборд'!$C$50,"B","C")))</x:f>
        <x:v>A</x:v>
      </x:c>
      <x:c r="G118" s="8" t="n">
        <x:f>'Данные'!F118</x:f>
        <x:v>1878</x:v>
      </x:c>
      <x:c r="H118" s="8" t="n">
        <x:f>SUM('Данные'!H118:I118)</x:f>
        <x:v>179</x:v>
      </x:c>
      <x:c r="I118" s="16" t="n">
        <x:f>IF(H118&gt;0,G118/H118,"n.a.")</x:f>
        <x:v>10.491620111731844</x:v>
      </x:c>
      <x:c r="J118" s="10" t="n">
        <x:f>IF('Данные'!E118&gt;0,G118/'Данные'!E118,"n.a.")</x:f>
        <x:v>0.015149681759879964</x:v>
      </x:c>
      <x:c r="K118" s="1" t="str">
        <x:f>IF(G118&gt;='Дашборд'!$C$51,"X","Z")</x:f>
        <x:v>X</x:v>
      </x:c>
      <x:c r="L118" s="1" t="str">
        <x:f>IF(H118=0,IF(G118&gt;0,"Нет остатка","Нет спроса"),IF(I118&gt;='Дашборд'!$C$52,"Быстрый","Медленный"))</x:f>
        <x:v>Быстрый</x:v>
      </x:c>
      <x:c r="M118" s="1" t="str">
        <x:f>IF('Данные'!E118&lt;'Дашборд'!$C$53,"Мало трафика",IF(J118&lt;'Дашборд'!$C$9*'Дашборд'!$C$54,"Да","Нет"))</x:f>
        <x:v>Нет</x:v>
      </x:c>
      <x:c r="N118" s="1" t="str">
        <x:f>IF(AND('Данные'!D118&gt;='Дашборд'!$C$55,D118&lt;'Дашборд'!$C$56,'Данные'!E118&gt;='Дашборд'!$C$53,'Данные'!L118&lt;&gt;"Да"),"Да","Нет")</x:f>
        <x:v>Нет</x:v>
      </x:c>
      <x:c r="O118" s="1" t="str">
        <x:f>'Данные'!L118</x:f>
        <x:v>Нет</x:v>
      </x:c>
    </x:row>
    <x:row r="119">
      <x:c r="A119" s="1" t="str">
        <x:f>'Данные'!A119</x:f>
        <x:v>206363355</x:v>
      </x:c>
      <x:c r="B119" s="1" t="str">
        <x:f>'Данные'!B119</x:f>
        <x:v>tolstovkazip/песочный</x:v>
      </x:c>
      <x:c r="C119" s="8" t="n">
        <x:f>'Данные'!G119</x:f>
        <x:v>1529548</x:v>
      </x:c>
      <x:c r="D119" s="15" t="n">
        <x:f>C119/SUM($C$5:$C$2477)</x:f>
        <x:v>0.0017868541152507352</x:v>
      </x:c>
      <x:c r="E119" s="15" t="n">
        <x:f>SUM($D$5:D119)</x:f>
        <x:v>0.49544091558237213</x:v>
      </x:c>
      <x:c r="F119" s="1" t="str">
        <x:f>IF(C119&lt;=0,"C",IF(E119-D119&lt;'Дашборд'!$C$49,"A",IF(E119-D119&lt;'Дашборд'!$C$50,"B","C")))</x:f>
        <x:v>A</x:v>
      </x:c>
      <x:c r="G119" s="8" t="n">
        <x:f>'Данные'!F119</x:f>
        <x:v>1281</x:v>
      </x:c>
      <x:c r="H119" s="8" t="n">
        <x:f>SUM('Данные'!H119:I119)</x:f>
        <x:v>29</x:v>
      </x:c>
      <x:c r="I119" s="16" t="n">
        <x:f>IF(H119&gt;0,G119/H119,"n.a.")</x:f>
        <x:v>44.172413793103445</x:v>
      </x:c>
      <x:c r="J119" s="10" t="n">
        <x:f>IF('Данные'!E119&gt;0,G119/'Данные'!E119,"n.a.")</x:f>
        <x:v>0.012163047503299499</x:v>
      </x:c>
      <x:c r="K119" s="1" t="str">
        <x:f>IF(G119&gt;='Дашборд'!$C$51,"X","Z")</x:f>
        <x:v>X</x:v>
      </x:c>
      <x:c r="L119" s="1" t="str">
        <x:f>IF(H119=0,IF(G119&gt;0,"Нет остатка","Нет спроса"),IF(I119&gt;='Дашборд'!$C$52,"Быстрый","Медленный"))</x:f>
        <x:v>Быстрый</x:v>
      </x:c>
      <x:c r="M119" s="1" t="str">
        <x:f>IF('Данные'!E119&lt;'Дашборд'!$C$53,"Мало трафика",IF(J119&lt;'Дашборд'!$C$9*'Дашборд'!$C$54,"Да","Нет"))</x:f>
        <x:v>Нет</x:v>
      </x:c>
      <x:c r="N119" s="1" t="str">
        <x:f>IF(AND('Данные'!D119&gt;='Дашборд'!$C$55,D119&lt;'Дашборд'!$C$56,'Данные'!E119&gt;='Дашборд'!$C$53,'Данные'!L119&lt;&gt;"Да"),"Да","Нет")</x:f>
        <x:v>Нет</x:v>
      </x:c>
      <x:c r="O119" s="1" t="str">
        <x:f>'Данные'!L119</x:f>
        <x:v>Нет</x:v>
      </x:c>
    </x:row>
    <x:row r="120">
      <x:c r="A120" s="1" t="str">
        <x:f>'Данные'!A120</x:f>
        <x:v>17381008</x:v>
      </x:c>
      <x:c r="B120" s="1" t="str">
        <x:f>'Данные'!B120</x:f>
        <x:v>hudi/розовый</x:v>
      </x:c>
      <x:c r="C120" s="8" t="n">
        <x:f>'Данные'!G120</x:f>
        <x:v>1521061</x:v>
      </x:c>
      <x:c r="D120" s="15" t="n">
        <x:f>C120/SUM($C$5:$C$2477)</x:f>
        <x:v>0.0017769394013116284</x:v>
      </x:c>
      <x:c r="E120" s="15" t="n">
        <x:f>SUM($D$5:D120)</x:f>
        <x:v>0.49721785498368376</x:v>
      </x:c>
      <x:c r="F120" s="1" t="str">
        <x:f>IF(C120&lt;=0,"C",IF(E120-D120&lt;'Дашборд'!$C$49,"A",IF(E120-D120&lt;'Дашборд'!$C$50,"B","C")))</x:f>
        <x:v>A</x:v>
      </x:c>
      <x:c r="G120" s="8" t="n">
        <x:f>'Данные'!F120</x:f>
        <x:v>1401</x:v>
      </x:c>
      <x:c r="H120" s="8" t="n">
        <x:f>SUM('Данные'!H120:I120)</x:f>
        <x:v>328</x:v>
      </x:c>
      <x:c r="I120" s="16" t="n">
        <x:f>IF(H120&gt;0,G120/H120,"n.a.")</x:f>
        <x:v>4.271341463414634</x:v>
      </x:c>
      <x:c r="J120" s="10" t="n">
        <x:f>IF('Данные'!E120&gt;0,G120/'Данные'!E120,"n.a.")</x:f>
        <x:v>0.013767688679245283</x:v>
      </x:c>
      <x:c r="K120" s="1" t="str">
        <x:f>IF(G120&gt;='Дашборд'!$C$51,"X","Z")</x:f>
        <x:v>X</x:v>
      </x:c>
      <x:c r="L120" s="1" t="str">
        <x:f>IF(H120=0,IF(G120&gt;0,"Нет остатка","Нет спроса"),IF(I120&gt;='Дашборд'!$C$52,"Быстрый","Медленный"))</x:f>
        <x:v>Быстрый</x:v>
      </x:c>
      <x:c r="M120" s="1" t="str">
        <x:f>IF('Данные'!E120&lt;'Дашборд'!$C$53,"Мало трафика",IF(J120&lt;'Дашборд'!$C$9*'Дашборд'!$C$54,"Да","Нет"))</x:f>
        <x:v>Нет</x:v>
      </x:c>
      <x:c r="N120" s="1" t="str">
        <x:f>IF(AND('Данные'!D120&gt;='Дашборд'!$C$55,D120&lt;'Дашборд'!$C$56,'Данные'!E120&gt;='Дашборд'!$C$53,'Данные'!L120&lt;&gt;"Да"),"Да","Нет")</x:f>
        <x:v>Нет</x:v>
      </x:c>
      <x:c r="O120" s="1" t="str">
        <x:f>'Данные'!L120</x:f>
        <x:v>Нет</x:v>
      </x:c>
    </x:row>
    <x:row r="121">
      <x:c r="A121" s="1" t="str">
        <x:f>'Данные'!A121</x:f>
        <x:v>320870100</x:v>
      </x:c>
      <x:c r="B121" s="1" t="str">
        <x:f>'Данные'!B121</x:f>
        <x:v>kostyumfix3P-37-63/графит</x:v>
      </x:c>
      <x:c r="C121" s="8" t="n">
        <x:f>'Данные'!G121</x:f>
        <x:v>1520267</x:v>
      </x:c>
      <x:c r="D121" s="15" t="n">
        <x:f>C121/SUM($C$5:$C$2477)</x:f>
        <x:v>0.0017760118317502226</x:v>
      </x:c>
      <x:c r="E121" s="15" t="n">
        <x:f>SUM($D$5:D121)</x:f>
        <x:v>0.498993866815434</x:v>
      </x:c>
      <x:c r="F121" s="1" t="str">
        <x:f>IF(C121&lt;=0,"C",IF(E121-D121&lt;'Дашборд'!$C$49,"A",IF(E121-D121&lt;'Дашборд'!$C$50,"B","C")))</x:f>
        <x:v>A</x:v>
      </x:c>
      <x:c r="G121" s="8" t="n">
        <x:f>'Данные'!F121</x:f>
        <x:v>1228</x:v>
      </x:c>
      <x:c r="H121" s="8" t="n">
        <x:f>SUM('Данные'!H121:I121)</x:f>
        <x:v>140</x:v>
      </x:c>
      <x:c r="I121" s="16" t="n">
        <x:f>IF(H121&gt;0,G121/H121,"n.a.")</x:f>
        <x:v>8.771428571428572</x:v>
      </x:c>
      <x:c r="J121" s="10" t="n">
        <x:f>IF('Данные'!E121&gt;0,G121/'Данные'!E121,"n.a.")</x:f>
        <x:v>0.012110095362070156</x:v>
      </x:c>
      <x:c r="K121" s="1" t="str">
        <x:f>IF(G121&gt;='Дашборд'!$C$51,"X","Z")</x:f>
        <x:v>X</x:v>
      </x:c>
      <x:c r="L121" s="1" t="str">
        <x:f>IF(H121=0,IF(G121&gt;0,"Нет остатка","Нет спроса"),IF(I121&gt;='Дашборд'!$C$52,"Быстрый","Медленный"))</x:f>
        <x:v>Быстрый</x:v>
      </x:c>
      <x:c r="M121" s="1" t="str">
        <x:f>IF('Данные'!E121&lt;'Дашборд'!$C$53,"Мало трафика",IF(J121&lt;'Дашборд'!$C$9*'Дашборд'!$C$54,"Да","Нет"))</x:f>
        <x:v>Нет</x:v>
      </x:c>
      <x:c r="N121" s="1" t="str">
        <x:f>IF(AND('Данные'!D121&gt;='Дашборд'!$C$55,D121&lt;'Дашборд'!$C$56,'Данные'!E121&gt;='Дашборд'!$C$53,'Данные'!L121&lt;&gt;"Да"),"Да","Нет")</x:f>
        <x:v>Нет</x:v>
      </x:c>
      <x:c r="O121" s="1" t="str">
        <x:f>'Данные'!L121</x:f>
        <x:v>Нет</x:v>
      </x:c>
    </x:row>
    <x:row r="122">
      <x:c r="A122" s="1" t="str">
        <x:f>'Данные'!A122</x:f>
        <x:v>35236459</x:v>
      </x:c>
      <x:c r="B122" s="1" t="str">
        <x:f>'Данные'!B122</x:f>
        <x:v>futbolkaover/бежевый</x:v>
      </x:c>
      <x:c r="C122" s="8" t="n">
        <x:f>'Данные'!G122</x:f>
        <x:v>1519218</x:v>
      </x:c>
      <x:c r="D122" s="15" t="n">
        <x:f>C122/SUM($C$5:$C$2477)</x:f>
        <x:v>0.0017747863651634283</x:v>
      </x:c>
      <x:c r="E122" s="15" t="n">
        <x:f>SUM($D$5:D122)</x:f>
        <x:v>0.5007686531805975</x:v>
      </x:c>
      <x:c r="F122" s="1" t="str">
        <x:f>IF(C122&lt;=0,"C",IF(E122-D122&lt;'Дашборд'!$C$49,"A",IF(E122-D122&lt;'Дашборд'!$C$50,"B","C")))</x:f>
        <x:v>A</x:v>
      </x:c>
      <x:c r="G122" s="8" t="n">
        <x:f>'Данные'!F122</x:f>
        <x:v>3333</x:v>
      </x:c>
      <x:c r="H122" s="8" t="n">
        <x:f>SUM('Данные'!H122:I122)</x:f>
        <x:v>3302</x:v>
      </x:c>
      <x:c r="I122" s="16" t="n">
        <x:f>IF(H122&gt;0,G122/H122,"n.a.")</x:f>
        <x:v>1.0093882495457298</x:v>
      </x:c>
      <x:c r="J122" s="10" t="n">
        <x:f>IF('Данные'!E122&gt;0,G122/'Данные'!E122,"n.a.")</x:f>
        <x:v>0.022950277840897353</x:v>
      </x:c>
      <x:c r="K122" s="1" t="str">
        <x:f>IF(G122&gt;='Дашборд'!$C$51,"X","Z")</x:f>
        <x:v>X</x:v>
      </x:c>
      <x:c r="L122" s="1" t="str">
        <x:f>IF(H122=0,IF(G122&gt;0,"Нет остатка","Нет спроса"),IF(I122&gt;='Дашборд'!$C$52,"Быстрый","Медленный"))</x:f>
        <x:v>Быстрый</x:v>
      </x:c>
      <x:c r="M122" s="1" t="str">
        <x:f>IF('Данные'!E122&lt;'Дашборд'!$C$53,"Мало трафика",IF(J122&lt;'Дашборд'!$C$9*'Дашборд'!$C$54,"Да","Нет"))</x:f>
        <x:v>Нет</x:v>
      </x:c>
      <x:c r="N122" s="1" t="str">
        <x:f>IF(AND('Данные'!D122&gt;='Дашборд'!$C$55,D122&lt;'Дашборд'!$C$56,'Данные'!E122&gt;='Дашборд'!$C$53,'Данные'!L122&lt;&gt;"Да"),"Да","Нет")</x:f>
        <x:v>Нет</x:v>
      </x:c>
      <x:c r="O122" s="1" t="str">
        <x:f>'Данные'!L122</x:f>
        <x:v>Нет</x:v>
      </x:c>
    </x:row>
    <x:row r="123">
      <x:c r="A123" s="1" t="str">
        <x:f>'Данные'!A123</x:f>
        <x:v>116112902</x:v>
      </x:c>
      <x:c r="B123" s="1" t="str">
        <x:f>'Данные'!B123</x:f>
        <x:v>hudi/кофейный</x:v>
      </x:c>
      <x:c r="C123" s="8" t="n">
        <x:f>'Данные'!G123</x:f>
        <x:v>1509622</x:v>
      </x:c>
      <x:c r="D123" s="15" t="n">
        <x:f>C123/SUM($C$5:$C$2477)</x:f>
        <x:v>0.0017635760912197889</x:v>
      </x:c>
      <x:c r="E123" s="15" t="n">
        <x:f>SUM($D$5:D123)</x:f>
        <x:v>0.5025322292718173</x:v>
      </x:c>
      <x:c r="F123" s="1" t="str">
        <x:f>IF(C123&lt;=0,"C",IF(E123-D123&lt;'Дашборд'!$C$49,"A",IF(E123-D123&lt;'Дашборд'!$C$50,"B","C")))</x:f>
        <x:v>A</x:v>
      </x:c>
      <x:c r="G123" s="8" t="n">
        <x:f>'Данные'!F123</x:f>
        <x:v>1944</x:v>
      </x:c>
      <x:c r="H123" s="8" t="n">
        <x:f>SUM('Данные'!H123:I123)</x:f>
        <x:v>2507</x:v>
      </x:c>
      <x:c r="I123" s="16" t="n">
        <x:f>IF(H123&gt;0,G123/H123,"n.a.")</x:f>
        <x:v>0.775428799361787</x:v>
      </x:c>
      <x:c r="J123" s="10" t="n">
        <x:f>IF('Данные'!E123&gt;0,G123/'Данные'!E123,"n.a.")</x:f>
        <x:v>0.024012450900466907</x:v>
      </x:c>
      <x:c r="K123" s="1" t="str">
        <x:f>IF(G123&gt;='Дашборд'!$C$51,"X","Z")</x:f>
        <x:v>X</x:v>
      </x:c>
      <x:c r="L123" s="1" t="str">
        <x:f>IF(H123=0,IF(G123&gt;0,"Нет остатка","Нет спроса"),IF(I123&gt;='Дашборд'!$C$52,"Быстрый","Медленный"))</x:f>
        <x:v>Медленный</x:v>
      </x:c>
      <x:c r="M123" s="1" t="str">
        <x:f>IF('Данные'!E123&lt;'Дашборд'!$C$53,"Мало трафика",IF(J123&lt;'Дашборд'!$C$9*'Дашборд'!$C$54,"Да","Нет"))</x:f>
        <x:v>Нет</x:v>
      </x:c>
      <x:c r="N123" s="1" t="str">
        <x:f>IF(AND('Данные'!D123&gt;='Дашборд'!$C$55,D123&lt;'Дашборд'!$C$56,'Данные'!E123&gt;='Дашборд'!$C$53,'Данные'!L123&lt;&gt;"Да"),"Да","Нет")</x:f>
        <x:v>Нет</x:v>
      </x:c>
      <x:c r="O123" s="1" t="str">
        <x:f>'Данные'!L123</x:f>
        <x:v>Нет</x:v>
      </x:c>
    </x:row>
    <x:row r="124">
      <x:c r="A124" s="1" t="str">
        <x:f>'Данные'!A124</x:f>
        <x:v>171386723</x:v>
      </x:c>
      <x:c r="B124" s="1" t="str">
        <x:f>'Данные'!B124</x:f>
        <x:v>hudi/белый</x:v>
      </x:c>
      <x:c r="C124" s="8" t="n">
        <x:f>'Данные'!G124</x:f>
        <x:v>1509566</x:v>
      </x:c>
      <x:c r="D124" s="15" t="n">
        <x:f>C124/SUM($C$5:$C$2477)</x:f>
        <x:v>0.0017635106706965662</x:v>
      </x:c>
      <x:c r="E124" s="15" t="n">
        <x:f>SUM($D$5:D124)</x:f>
        <x:v>0.5042957399425139</x:v>
      </x:c>
      <x:c r="F124" s="1" t="str">
        <x:f>IF(C124&lt;=0,"C",IF(E124-D124&lt;'Дашборд'!$C$49,"A",IF(E124-D124&lt;'Дашборд'!$C$50,"B","C")))</x:f>
        <x:v>A</x:v>
      </x:c>
      <x:c r="G124" s="8" t="n">
        <x:f>'Данные'!F124</x:f>
        <x:v>1581</x:v>
      </x:c>
      <x:c r="H124" s="8" t="n">
        <x:f>SUM('Данные'!H124:I124)</x:f>
        <x:v>3945</x:v>
      </x:c>
      <x:c r="I124" s="16" t="n">
        <x:f>IF(H124&gt;0,G124/H124,"n.a.")</x:f>
        <x:v>0.4007604562737643</x:v>
      </x:c>
      <x:c r="J124" s="10" t="n">
        <x:f>IF('Данные'!E124&gt;0,G124/'Данные'!E124,"n.a.")</x:f>
        <x:v>0.017884008461251315</x:v>
      </x:c>
      <x:c r="K124" s="1" t="str">
        <x:f>IF(G124&gt;='Дашборд'!$C$51,"X","Z")</x:f>
        <x:v>X</x:v>
      </x:c>
      <x:c r="L124" s="1" t="str">
        <x:f>IF(H124=0,IF(G124&gt;0,"Нет остатка","Нет спроса"),IF(I124&gt;='Дашборд'!$C$52,"Быстрый","Медленный"))</x:f>
        <x:v>Медленный</x:v>
      </x:c>
      <x:c r="M124" s="1" t="str">
        <x:f>IF('Данные'!E124&lt;'Дашборд'!$C$53,"Мало трафика",IF(J124&lt;'Дашборд'!$C$9*'Дашборд'!$C$54,"Да","Нет"))</x:f>
        <x:v>Нет</x:v>
      </x:c>
      <x:c r="N124" s="1" t="str">
        <x:f>IF(AND('Данные'!D124&gt;='Дашборд'!$C$55,D124&lt;'Дашборд'!$C$56,'Данные'!E124&gt;='Дашборд'!$C$53,'Данные'!L124&lt;&gt;"Да"),"Да","Нет")</x:f>
        <x:v>Нет</x:v>
      </x:c>
      <x:c r="O124" s="1" t="str">
        <x:f>'Данные'!L124</x:f>
        <x:v>Нет</x:v>
      </x:c>
    </x:row>
    <x:row r="125">
      <x:c r="A125" s="1" t="str">
        <x:f>'Данные'!A125</x:f>
        <x:v>262644712</x:v>
      </x:c>
      <x:c r="B125" s="1" t="str">
        <x:f>'Данные'!B125</x:f>
        <x:v>palazzoshnurok/черный</x:v>
      </x:c>
      <x:c r="C125" s="8" t="n">
        <x:f>'Данные'!G125</x:f>
        <x:v>1490224</x:v>
      </x:c>
      <x:c r="D125" s="15" t="n">
        <x:f>C125/SUM($C$5:$C$2477)</x:f>
        <x:v>0.0017409148892649409</x:v>
      </x:c>
      <x:c r="E125" s="15" t="n">
        <x:f>SUM($D$5:D125)</x:f>
        <x:v>0.5060366548317788</x:v>
      </x:c>
      <x:c r="F125" s="1" t="str">
        <x:f>IF(C125&lt;=0,"C",IF(E125-D125&lt;'Дашборд'!$C$49,"A",IF(E125-D125&lt;'Дашборд'!$C$50,"B","C")))</x:f>
        <x:v>A</x:v>
      </x:c>
      <x:c r="G125" s="8" t="n">
        <x:f>'Данные'!F125</x:f>
        <x:v>2286</x:v>
      </x:c>
      <x:c r="H125" s="8" t="n">
        <x:f>SUM('Данные'!H125:I125)</x:f>
        <x:v>856</x:v>
      </x:c>
      <x:c r="I125" s="16" t="n">
        <x:f>IF(H125&gt;0,G125/H125,"n.a.")</x:f>
        <x:v>2.6705607476635516</x:v>
      </x:c>
      <x:c r="J125" s="10" t="n">
        <x:f>IF('Данные'!E125&gt;0,G125/'Данные'!E125,"n.a.")</x:f>
        <x:v>0.02566981831248456</x:v>
      </x:c>
      <x:c r="K125" s="1" t="str">
        <x:f>IF(G125&gt;='Дашборд'!$C$51,"X","Z")</x:f>
        <x:v>X</x:v>
      </x:c>
      <x:c r="L125" s="1" t="str">
        <x:f>IF(H125=0,IF(G125&gt;0,"Нет остатка","Нет спроса"),IF(I125&gt;='Дашборд'!$C$52,"Быстрый","Медленный"))</x:f>
        <x:v>Быстрый</x:v>
      </x:c>
      <x:c r="M125" s="1" t="str">
        <x:f>IF('Данные'!E125&lt;'Дашборд'!$C$53,"Мало трафика",IF(J125&lt;'Дашборд'!$C$9*'Дашборд'!$C$54,"Да","Нет"))</x:f>
        <x:v>Нет</x:v>
      </x:c>
      <x:c r="N125" s="1" t="str">
        <x:f>IF(AND('Данные'!D125&gt;='Дашборд'!$C$55,D125&lt;'Дашборд'!$C$56,'Данные'!E125&gt;='Дашборд'!$C$53,'Данные'!L125&lt;&gt;"Да"),"Да","Нет")</x:f>
        <x:v>Нет</x:v>
      </x:c>
      <x:c r="O125" s="1" t="str">
        <x:f>'Данные'!L125</x:f>
        <x:v>Нет</x:v>
      </x:c>
    </x:row>
    <x:row r="126">
      <x:c r="A126" s="1" t="str">
        <x:f>'Данные'!A126</x:f>
        <x:v>216753463</x:v>
      </x:c>
      <x:c r="B126" s="1" t="str">
        <x:f>'Данные'!B126</x:f>
        <x:v>futbolkamanX3/чер-бел-как</x:v>
      </x:c>
      <x:c r="C126" s="8" t="n">
        <x:f>'Данные'!G126</x:f>
        <x:v>1482657</x:v>
      </x:c>
      <x:c r="D126" s="15" t="n">
        <x:f>C126/SUM($C$5:$C$2477)</x:f>
        <x:v>0.0017320749410644906</x:v>
      </x:c>
      <x:c r="E126" s="15" t="n">
        <x:f>SUM($D$5:D126)</x:f>
        <x:v>0.5077687297728434</x:v>
      </x:c>
      <x:c r="F126" s="1" t="str">
        <x:f>IF(C126&lt;=0,"C",IF(E126-D126&lt;'Дашборд'!$C$49,"A",IF(E126-D126&lt;'Дашборд'!$C$50,"B","C")))</x:f>
        <x:v>A</x:v>
      </x:c>
      <x:c r="G126" s="8" t="n">
        <x:f>'Данные'!F126</x:f>
        <x:v>1493</x:v>
      </x:c>
      <x:c r="H126" s="8" t="n">
        <x:f>SUM('Данные'!H126:I126)</x:f>
        <x:v>134</x:v>
      </x:c>
      <x:c r="I126" s="16" t="n">
        <x:f>IF(H126&gt;0,G126/H126,"n.a.")</x:f>
        <x:v>11.14179104477612</x:v>
      </x:c>
      <x:c r="J126" s="10" t="n">
        <x:f>IF('Данные'!E126&gt;0,G126/'Данные'!E126,"n.a.")</x:f>
        <x:v>0.0296253670926264</x:v>
      </x:c>
      <x:c r="K126" s="1" t="str">
        <x:f>IF(G126&gt;='Дашборд'!$C$51,"X","Z")</x:f>
        <x:v>X</x:v>
      </x:c>
      <x:c r="L126" s="1" t="str">
        <x:f>IF(H126=0,IF(G126&gt;0,"Нет остатка","Нет спроса"),IF(I126&gt;='Дашборд'!$C$52,"Быстрый","Медленный"))</x:f>
        <x:v>Быстрый</x:v>
      </x:c>
      <x:c r="M126" s="1" t="str">
        <x:f>IF('Данные'!E126&lt;'Дашборд'!$C$53,"Мало трафика",IF(J126&lt;'Дашборд'!$C$9*'Дашборд'!$C$54,"Да","Нет"))</x:f>
        <x:v>Нет</x:v>
      </x:c>
      <x:c r="N126" s="1" t="str">
        <x:f>IF(AND('Данные'!D126&gt;='Дашборд'!$C$55,D126&lt;'Дашборд'!$C$56,'Данные'!E126&gt;='Дашборд'!$C$53,'Данные'!L126&lt;&gt;"Да"),"Да","Нет")</x:f>
        <x:v>Нет</x:v>
      </x:c>
      <x:c r="O126" s="1" t="str">
        <x:f>'Данные'!L126</x:f>
        <x:v>Нет</x:v>
      </x:c>
    </x:row>
    <x:row r="127">
      <x:c r="A127" s="1" t="str">
        <x:f>'Данные'!A127</x:f>
        <x:v>87045186</x:v>
      </x:c>
      <x:c r="B127" s="1" t="str">
        <x:f>'Данные'!B127</x:f>
        <x:v>kroptop/какао</x:v>
      </x:c>
      <x:c r="C127" s="8" t="n">
        <x:f>'Данные'!G127</x:f>
        <x:v>1476455</x:v>
      </x:c>
      <x:c r="D127" s="15" t="n">
        <x:f>C127/SUM($C$5:$C$2477)</x:f>
        <x:v>0.0017248296181175905</x:v>
      </x:c>
      <x:c r="E127" s="15" t="n">
        <x:f>SUM($D$5:D127)</x:f>
        <x:v>0.509493559390961</x:v>
      </x:c>
      <x:c r="F127" s="1" t="str">
        <x:f>IF(C127&lt;=0,"C",IF(E127-D127&lt;'Дашборд'!$C$49,"A",IF(E127-D127&lt;'Дашборд'!$C$50,"B","C")))</x:f>
        <x:v>A</x:v>
      </x:c>
      <x:c r="G127" s="8" t="n">
        <x:f>'Данные'!F127</x:f>
        <x:v>4339</x:v>
      </x:c>
      <x:c r="H127" s="8" t="n">
        <x:f>SUM('Данные'!H127:I127)</x:f>
        <x:v>1337</x:v>
      </x:c>
      <x:c r="I127" s="16" t="n">
        <x:f>IF(H127&gt;0,G127/H127,"n.a.")</x:f>
        <x:v>3.2453253552729993</x:v>
      </x:c>
      <x:c r="J127" s="10" t="n">
        <x:f>IF('Данные'!E127&gt;0,G127/'Данные'!E127,"n.a.")</x:f>
        <x:v>0.028088869324287582</x:v>
      </x:c>
      <x:c r="K127" s="1" t="str">
        <x:f>IF(G127&gt;='Дашборд'!$C$51,"X","Z")</x:f>
        <x:v>X</x:v>
      </x:c>
      <x:c r="L127" s="1" t="str">
        <x:f>IF(H127=0,IF(G127&gt;0,"Нет остатка","Нет спроса"),IF(I127&gt;='Дашборд'!$C$52,"Быстрый","Медленный"))</x:f>
        <x:v>Быстрый</x:v>
      </x:c>
      <x:c r="M127" s="1" t="str">
        <x:f>IF('Данные'!E127&lt;'Дашборд'!$C$53,"Мало трафика",IF(J127&lt;'Дашборд'!$C$9*'Дашборд'!$C$54,"Да","Нет"))</x:f>
        <x:v>Нет</x:v>
      </x:c>
      <x:c r="N127" s="1" t="str">
        <x:f>IF(AND('Данные'!D127&gt;='Дашборд'!$C$55,D127&lt;'Дашборд'!$C$56,'Данные'!E127&gt;='Дашборд'!$C$53,'Данные'!L127&lt;&gt;"Да"),"Да","Нет")</x:f>
        <x:v>Нет</x:v>
      </x:c>
      <x:c r="O127" s="1" t="str">
        <x:f>'Данные'!L127</x:f>
        <x:v>Нет</x:v>
      </x:c>
    </x:row>
    <x:row r="128">
      <x:c r="A128" s="1" t="str">
        <x:f>'Данные'!A128</x:f>
        <x:v>222011066</x:v>
      </x:c>
      <x:c r="B128" s="1" t="str">
        <x:f>'Данные'!B128</x:f>
        <x:v>futbolkamanoverX3/чер-бел-тсер</x:v>
      </x:c>
      <x:c r="C128" s="8" t="n">
        <x:f>'Данные'!G128</x:f>
        <x:v>1449961</x:v>
      </x:c>
      <x:c r="D128" s="15" t="n">
        <x:f>C128/SUM($C$5:$C$2477)</x:f>
        <x:v>0.0016938787012915394</x:v>
      </x:c>
      <x:c r="E128" s="15" t="n">
        <x:f>SUM($D$5:D128)</x:f>
        <x:v>0.5111874380922525</x:v>
      </x:c>
      <x:c r="F128" s="1" t="str">
        <x:f>IF(C128&lt;=0,"C",IF(E128-D128&lt;'Дашборд'!$C$49,"A",IF(E128-D128&lt;'Дашборд'!$C$50,"B","C")))</x:f>
        <x:v>A</x:v>
      </x:c>
      <x:c r="G128" s="8" t="n">
        <x:f>'Данные'!F128</x:f>
        <x:v>1407</x:v>
      </x:c>
      <x:c r="H128" s="8" t="n">
        <x:f>SUM('Данные'!H128:I128)</x:f>
        <x:v>382</x:v>
      </x:c>
      <x:c r="I128" s="16" t="n">
        <x:f>IF(H128&gt;0,G128/H128,"n.a.")</x:f>
        <x:v>3.683246073298429</x:v>
      </x:c>
      <x:c r="J128" s="10" t="n">
        <x:f>IF('Данные'!E128&gt;0,G128/'Данные'!E128,"n.a.")</x:f>
        <x:v>0.02734853344218322</x:v>
      </x:c>
      <x:c r="K128" s="1" t="str">
        <x:f>IF(G128&gt;='Дашборд'!$C$51,"X","Z")</x:f>
        <x:v>X</x:v>
      </x:c>
      <x:c r="L128" s="1" t="str">
        <x:f>IF(H128=0,IF(G128&gt;0,"Нет остатка","Нет спроса"),IF(I128&gt;='Дашборд'!$C$52,"Быстрый","Медленный"))</x:f>
        <x:v>Быстрый</x:v>
      </x:c>
      <x:c r="M128" s="1" t="str">
        <x:f>IF('Данные'!E128&lt;'Дашборд'!$C$53,"Мало трафика",IF(J128&lt;'Дашборд'!$C$9*'Дашборд'!$C$54,"Да","Нет"))</x:f>
        <x:v>Нет</x:v>
      </x:c>
      <x:c r="N128" s="1" t="str">
        <x:f>IF(AND('Данные'!D128&gt;='Дашборд'!$C$55,D128&lt;'Дашборд'!$C$56,'Данные'!E128&gt;='Дашборд'!$C$53,'Данные'!L128&lt;&gt;"Да"),"Да","Нет")</x:f>
        <x:v>Нет</x:v>
      </x:c>
      <x:c r="O128" s="1" t="str">
        <x:f>'Данные'!L128</x:f>
        <x:v>Нет</x:v>
      </x:c>
    </x:row>
    <x:row r="129">
      <x:c r="A129" s="1" t="str">
        <x:f>'Данные'!A129</x:f>
        <x:v>79575887</x:v>
      </x:c>
      <x:c r="B129" s="1" t="str">
        <x:f>'Данные'!B129</x:f>
        <x:v>futbolkaover/эвкалипт</x:v>
      </x:c>
      <x:c r="C129" s="8" t="n">
        <x:f>'Данные'!G129</x:f>
        <x:v>1419249</x:v>
      </x:c>
      <x:c r="D129" s="15" t="n">
        <x:f>C129/SUM($C$5:$C$2477)</x:f>
        <x:v>0.0016580002171984736</x:v>
      </x:c>
      <x:c r="E129" s="15" t="n">
        <x:f>SUM($D$5:D129)</x:f>
        <x:v>0.512845438309451</x:v>
      </x:c>
      <x:c r="F129" s="1" t="str">
        <x:f>IF(C129&lt;=0,"C",IF(E129-D129&lt;'Дашборд'!$C$49,"A",IF(E129-D129&lt;'Дашборд'!$C$50,"B","C")))</x:f>
        <x:v>A</x:v>
      </x:c>
      <x:c r="G129" s="8" t="n">
        <x:f>'Данные'!F129</x:f>
        <x:v>3027</x:v>
      </x:c>
      <x:c r="H129" s="8" t="n">
        <x:f>SUM('Данные'!H129:I129)</x:f>
        <x:v>2302</x:v>
      </x:c>
      <x:c r="I129" s="16" t="n">
        <x:f>IF(H129&gt;0,G129/H129,"n.a.")</x:f>
        <x:v>1.3149435273675065</x:v>
      </x:c>
      <x:c r="J129" s="10" t="n">
        <x:f>IF('Данные'!E129&gt;0,G129/'Данные'!E129,"n.a.")</x:f>
        <x:v>0.025516311219758916</x:v>
      </x:c>
      <x:c r="K129" s="1" t="str">
        <x:f>IF(G129&gt;='Дашборд'!$C$51,"X","Z")</x:f>
        <x:v>X</x:v>
      </x:c>
      <x:c r="L129" s="1" t="str">
        <x:f>IF(H129=0,IF(G129&gt;0,"Нет остатка","Нет спроса"),IF(I129&gt;='Дашборд'!$C$52,"Быстрый","Медленный"))</x:f>
        <x:v>Быстрый</x:v>
      </x:c>
      <x:c r="M129" s="1" t="str">
        <x:f>IF('Данные'!E129&lt;'Дашборд'!$C$53,"Мало трафика",IF(J129&lt;'Дашборд'!$C$9*'Дашборд'!$C$54,"Да","Нет"))</x:f>
        <x:v>Нет</x:v>
      </x:c>
      <x:c r="N129" s="1" t="str">
        <x:f>IF(AND('Данные'!D129&gt;='Дашборд'!$C$55,D129&lt;'Дашборд'!$C$56,'Данные'!E129&gt;='Дашборд'!$C$53,'Данные'!L129&lt;&gt;"Да"),"Да","Нет")</x:f>
        <x:v>Нет</x:v>
      </x:c>
      <x:c r="O129" s="1" t="str">
        <x:f>'Данные'!L129</x:f>
        <x:v>Нет</x:v>
      </x:c>
    </x:row>
    <x:row r="130">
      <x:c r="A130" s="1" t="str">
        <x:f>'Данные'!A130</x:f>
        <x:v>213843197</x:v>
      </x:c>
      <x:c r="B130" s="1" t="str">
        <x:f>'Данные'!B130</x:f>
        <x:v>baza/какао</x:v>
      </x:c>
      <x:c r="C130" s="8" t="n">
        <x:f>'Данные'!G130</x:f>
        <x:v>1411184</x:v>
      </x:c>
      <x:c r="D130" s="15" t="n">
        <x:f>C130/SUM($C$5:$C$2477)</x:f>
        <x:v>0.001648578493630794</x:v>
      </x:c>
      <x:c r="E130" s="15" t="n">
        <x:f>SUM($D$5:D130)</x:f>
        <x:v>0.5144940168030817</x:v>
      </x:c>
      <x:c r="F130" s="1" t="str">
        <x:f>IF(C130&lt;=0,"C",IF(E130-D130&lt;'Дашборд'!$C$49,"A",IF(E130-D130&lt;'Дашборд'!$C$50,"B","C")))</x:f>
        <x:v>A</x:v>
      </x:c>
      <x:c r="G130" s="8" t="n">
        <x:f>'Данные'!F130</x:f>
        <x:v>3125</x:v>
      </x:c>
      <x:c r="H130" s="8" t="n">
        <x:f>SUM('Данные'!H130:I130)</x:f>
        <x:v>1075</x:v>
      </x:c>
      <x:c r="I130" s="16" t="n">
        <x:f>IF(H130&gt;0,G130/H130,"n.a.")</x:f>
        <x:v>2.9069767441860463</x:v>
      </x:c>
      <x:c r="J130" s="10" t="n">
        <x:f>IF('Данные'!E130&gt;0,G130/'Данные'!E130,"n.a.")</x:f>
        <x:v>0.025341193833777986</x:v>
      </x:c>
      <x:c r="K130" s="1" t="str">
        <x:f>IF(G130&gt;='Дашборд'!$C$51,"X","Z")</x:f>
        <x:v>X</x:v>
      </x:c>
      <x:c r="L130" s="1" t="str">
        <x:f>IF(H130=0,IF(G130&gt;0,"Нет остатка","Нет спроса"),IF(I130&gt;='Дашборд'!$C$52,"Быстрый","Медленный"))</x:f>
        <x:v>Быстрый</x:v>
      </x:c>
      <x:c r="M130" s="1" t="str">
        <x:f>IF('Данные'!E130&lt;'Дашборд'!$C$53,"Мало трафика",IF(J130&lt;'Дашборд'!$C$9*'Дашборд'!$C$54,"Да","Нет"))</x:f>
        <x:v>Нет</x:v>
      </x:c>
      <x:c r="N130" s="1" t="str">
        <x:f>IF(AND('Данные'!D130&gt;='Дашборд'!$C$55,D130&lt;'Дашборд'!$C$56,'Данные'!E130&gt;='Дашборд'!$C$53,'Данные'!L130&lt;&gt;"Да"),"Да","Нет")</x:f>
        <x:v>Нет</x:v>
      </x:c>
      <x:c r="O130" s="1" t="str">
        <x:f>'Данные'!L130</x:f>
        <x:v>Нет</x:v>
      </x:c>
    </x:row>
    <x:row r="131">
      <x:c r="A131" s="1" t="str">
        <x:f>'Данные'!A131</x:f>
        <x:v>114726373</x:v>
      </x:c>
      <x:c r="B131" s="1" t="str">
        <x:f>'Данные'!B131</x:f>
        <x:v>futbolkaover/пудровый</x:v>
      </x:c>
      <x:c r="C131" s="8" t="n">
        <x:f>'Данные'!G131</x:f>
        <x:v>1392411</x:v>
      </x:c>
      <x:c r="D131" s="15" t="n">
        <x:f>C131/SUM($C$5:$C$2477)</x:f>
        <x:v>0.0016266474314440551</x:v>
      </x:c>
      <x:c r="E131" s="15" t="n">
        <x:f>SUM($D$5:D131)</x:f>
        <x:v>0.5161206642345257</x:v>
      </x:c>
      <x:c r="F131" s="1" t="str">
        <x:f>IF(C131&lt;=0,"C",IF(E131-D131&lt;'Дашборд'!$C$49,"A",IF(E131-D131&lt;'Дашборд'!$C$50,"B","C")))</x:f>
        <x:v>A</x:v>
      </x:c>
      <x:c r="G131" s="8" t="n">
        <x:f>'Данные'!F131</x:f>
        <x:v>3056</x:v>
      </x:c>
      <x:c r="H131" s="8" t="n">
        <x:f>SUM('Данные'!H131:I131)</x:f>
        <x:v>1418</x:v>
      </x:c>
      <x:c r="I131" s="16" t="n">
        <x:f>IF(H131&gt;0,G131/H131,"n.a.")</x:f>
        <x:v>2.155148095909732</x:v>
      </x:c>
      <x:c r="J131" s="10" t="n">
        <x:f>IF('Данные'!E131&gt;0,G131/'Данные'!E131,"n.a.")</x:f>
        <x:v>0.018384608905947324</x:v>
      </x:c>
      <x:c r="K131" s="1" t="str">
        <x:f>IF(G131&gt;='Дашборд'!$C$51,"X","Z")</x:f>
        <x:v>X</x:v>
      </x:c>
      <x:c r="L131" s="1" t="str">
        <x:f>IF(H131=0,IF(G131&gt;0,"Нет остатка","Нет спроса"),IF(I131&gt;='Дашборд'!$C$52,"Быстрый","Медленный"))</x:f>
        <x:v>Быстрый</x:v>
      </x:c>
      <x:c r="M131" s="1" t="str">
        <x:f>IF('Данные'!E131&lt;'Дашборд'!$C$53,"Мало трафика",IF(J131&lt;'Дашборд'!$C$9*'Дашборд'!$C$54,"Да","Нет"))</x:f>
        <x:v>Нет</x:v>
      </x:c>
      <x:c r="N131" s="1" t="str">
        <x:f>IF(AND('Данные'!D131&gt;='Дашборд'!$C$55,D131&lt;'Дашборд'!$C$56,'Данные'!E131&gt;='Дашборд'!$C$53,'Данные'!L131&lt;&gt;"Да"),"Да","Нет")</x:f>
        <x:v>Нет</x:v>
      </x:c>
      <x:c r="O131" s="1" t="str">
        <x:f>'Данные'!L131</x:f>
        <x:v>Нет</x:v>
      </x:c>
    </x:row>
    <x:row r="132">
      <x:c r="A132" s="1" t="str">
        <x:f>'Данные'!A132</x:f>
        <x:v>271383077</x:v>
      </x:c>
      <x:c r="B132" s="1" t="str">
        <x:f>'Данные'!B132</x:f>
        <x:v>shtanyfix/светло-розовый</x:v>
      </x:c>
      <x:c r="C132" s="8" t="n">
        <x:f>'Данные'!G132</x:f>
        <x:v>1375167</x:v>
      </x:c>
      <x:c r="D132" s="15" t="n">
        <x:f>C132/SUM($C$5:$C$2477)</x:f>
        <x:v>0.0016065025831860182</x:v>
      </x:c>
      <x:c r="E132" s="15" t="n">
        <x:f>SUM($D$5:D132)</x:f>
        <x:v>0.5177271668177118</x:v>
      </x:c>
      <x:c r="F132" s="1" t="str">
        <x:f>IF(C132&lt;=0,"C",IF(E132-D132&lt;'Дашборд'!$C$49,"A",IF(E132-D132&lt;'Дашборд'!$C$50,"B","C")))</x:f>
        <x:v>A</x:v>
      </x:c>
      <x:c r="G132" s="8" t="n">
        <x:f>'Данные'!F132</x:f>
        <x:v>1495</x:v>
      </x:c>
      <x:c r="H132" s="8" t="n">
        <x:f>SUM('Данные'!H132:I132)</x:f>
        <x:v>384</x:v>
      </x:c>
      <x:c r="I132" s="16" t="n">
        <x:f>IF(H132&gt;0,G132/H132,"n.a.")</x:f>
        <x:v>3.8932291666666665</x:v>
      </x:c>
      <x:c r="J132" s="10" t="n">
        <x:f>IF('Данные'!E132&gt;0,G132/'Данные'!E132,"n.a.")</x:f>
        <x:v>0.014869999403210727</x:v>
      </x:c>
      <x:c r="K132" s="1" t="str">
        <x:f>IF(G132&gt;='Дашборд'!$C$51,"X","Z")</x:f>
        <x:v>X</x:v>
      </x:c>
      <x:c r="L132" s="1" t="str">
        <x:f>IF(H132=0,IF(G132&gt;0,"Нет остатка","Нет спроса"),IF(I132&gt;='Дашборд'!$C$52,"Быстрый","Медленный"))</x:f>
        <x:v>Быстрый</x:v>
      </x:c>
      <x:c r="M132" s="1" t="str">
        <x:f>IF('Данные'!E132&lt;'Дашборд'!$C$53,"Мало трафика",IF(J132&lt;'Дашборд'!$C$9*'Дашборд'!$C$54,"Да","Нет"))</x:f>
        <x:v>Нет</x:v>
      </x:c>
      <x:c r="N132" s="1" t="str">
        <x:f>IF(AND('Данные'!D132&gt;='Дашборд'!$C$55,D132&lt;'Дашборд'!$C$56,'Данные'!E132&gt;='Дашборд'!$C$53,'Данные'!L132&lt;&gt;"Да"),"Да","Нет")</x:f>
        <x:v>Нет</x:v>
      </x:c>
      <x:c r="O132" s="1" t="str">
        <x:f>'Данные'!L132</x:f>
        <x:v>Нет</x:v>
      </x:c>
    </x:row>
    <x:row r="133">
      <x:c r="A133" s="1" t="str">
        <x:f>'Данные'!A133</x:f>
        <x:v>229154427</x:v>
      </x:c>
      <x:c r="B133" s="1" t="str">
        <x:f>'Данные'!B133</x:f>
        <x:v>futbolkamanoverX3/чер-бел-хак</x:v>
      </x:c>
      <x:c r="C133" s="8" t="n">
        <x:f>'Данные'!G133</x:f>
        <x:v>1371544</x:v>
      </x:c>
      <x:c r="D133" s="15" t="n">
        <x:f>C133/SUM($C$5:$C$2477)</x:f>
        <x:v>0.0016022701089782436</x:v>
      </x:c>
      <x:c r="E133" s="15" t="n">
        <x:f>SUM($D$5:D133)</x:f>
        <x:v>0.5193294369266901</x:v>
      </x:c>
      <x:c r="F133" s="1" t="str">
        <x:f>IF(C133&lt;=0,"C",IF(E133-D133&lt;'Дашборд'!$C$49,"A",IF(E133-D133&lt;'Дашборд'!$C$50,"B","C")))</x:f>
        <x:v>A</x:v>
      </x:c>
      <x:c r="G133" s="8" t="n">
        <x:f>'Данные'!F133</x:f>
        <x:v>1136</x:v>
      </x:c>
      <x:c r="H133" s="8" t="n">
        <x:f>SUM('Данные'!H133:I133)</x:f>
        <x:v>155</x:v>
      </x:c>
      <x:c r="I133" s="16" t="n">
        <x:f>IF(H133&gt;0,G133/H133,"n.a.")</x:f>
        <x:v>7.329032258064516</x:v>
      </x:c>
      <x:c r="J133" s="10" t="n">
        <x:f>IF('Данные'!E133&gt;0,G133/'Данные'!E133,"n.a.")</x:f>
        <x:v>0.02485776805251641</x:v>
      </x:c>
      <x:c r="K133" s="1" t="str">
        <x:f>IF(G133&gt;='Дашборд'!$C$51,"X","Z")</x:f>
        <x:v>X</x:v>
      </x:c>
      <x:c r="L133" s="1" t="str">
        <x:f>IF(H133=0,IF(G133&gt;0,"Нет остатка","Нет спроса"),IF(I133&gt;='Дашборд'!$C$52,"Быстрый","Медленный"))</x:f>
        <x:v>Быстрый</x:v>
      </x:c>
      <x:c r="M133" s="1" t="str">
        <x:f>IF('Данные'!E133&lt;'Дашборд'!$C$53,"Мало трафика",IF(J133&lt;'Дашборд'!$C$9*'Дашборд'!$C$54,"Да","Нет"))</x:f>
        <x:v>Нет</x:v>
      </x:c>
      <x:c r="N133" s="1" t="str">
        <x:f>IF(AND('Данные'!D133&gt;='Дашборд'!$C$55,D133&lt;'Дашборд'!$C$56,'Данные'!E133&gt;='Дашборд'!$C$53,'Данные'!L133&lt;&gt;"Да"),"Да","Нет")</x:f>
        <x:v>Нет</x:v>
      </x:c>
      <x:c r="O133" s="1" t="str">
        <x:f>'Данные'!L133</x:f>
        <x:v>Нет</x:v>
      </x:c>
    </x:row>
    <x:row r="134">
      <x:c r="A134" s="1" t="str">
        <x:f>'Данные'!A134</x:f>
        <x:v>216754251</x:v>
      </x:c>
      <x:c r="B134" s="1" t="str">
        <x:f>'Данные'!B134</x:f>
        <x:v>futbolkamanX3/чер-бел-тсер</x:v>
      </x:c>
      <x:c r="C134" s="8" t="n">
        <x:f>'Данные'!G134</x:f>
        <x:v>1362895</x:v>
      </x:c>
      <x:c r="D134" s="15" t="n">
        <x:f>C134/SUM($C$5:$C$2477)</x:f>
        <x:v>0.0015921661428112428</x:v>
      </x:c>
      <x:c r="E134" s="15" t="n">
        <x:f>SUM($D$5:D134)</x:f>
        <x:v>0.5209216030695013</x:v>
      </x:c>
      <x:c r="F134" s="1" t="str">
        <x:f>IF(C134&lt;=0,"C",IF(E134-D134&lt;'Дашборд'!$C$49,"A",IF(E134-D134&lt;'Дашборд'!$C$50,"B","C")))</x:f>
        <x:v>A</x:v>
      </x:c>
      <x:c r="G134" s="8" t="n">
        <x:f>'Данные'!F134</x:f>
        <x:v>1637</x:v>
      </x:c>
      <x:c r="H134" s="8" t="n">
        <x:f>SUM('Данные'!H134:I134)</x:f>
        <x:v>26</x:v>
      </x:c>
      <x:c r="I134" s="16" t="n">
        <x:f>IF(H134&gt;0,G134/H134,"n.a.")</x:f>
        <x:v>62.96153846153846</x:v>
      </x:c>
      <x:c r="J134" s="10" t="n">
        <x:f>IF('Данные'!E134&gt;0,G134/'Данные'!E134,"n.a.")</x:f>
        <x:v>0.03290915304665983</x:v>
      </x:c>
      <x:c r="K134" s="1" t="str">
        <x:f>IF(G134&gt;='Дашборд'!$C$51,"X","Z")</x:f>
        <x:v>X</x:v>
      </x:c>
      <x:c r="L134" s="1" t="str">
        <x:f>IF(H134=0,IF(G134&gt;0,"Нет остатка","Нет спроса"),IF(I134&gt;='Дашборд'!$C$52,"Быстрый","Медленный"))</x:f>
        <x:v>Быстрый</x:v>
      </x:c>
      <x:c r="M134" s="1" t="str">
        <x:f>IF('Данные'!E134&lt;'Дашборд'!$C$53,"Мало трафика",IF(J134&lt;'Дашборд'!$C$9*'Дашборд'!$C$54,"Да","Нет"))</x:f>
        <x:v>Нет</x:v>
      </x:c>
      <x:c r="N134" s="1" t="str">
        <x:f>IF(AND('Данные'!D134&gt;='Дашборд'!$C$55,D134&lt;'Дашборд'!$C$56,'Данные'!E134&gt;='Дашборд'!$C$53,'Данные'!L134&lt;&gt;"Да"),"Да","Нет")</x:f>
        <x:v>Нет</x:v>
      </x:c>
      <x:c r="O134" s="1" t="str">
        <x:f>'Данные'!L134</x:f>
        <x:v>Нет</x:v>
      </x:c>
    </x:row>
    <x:row r="135">
      <x:c r="A135" s="1" t="str">
        <x:f>'Данные'!A135</x:f>
        <x:v>332646308</x:v>
      </x:c>
      <x:c r="B135" s="1" t="str">
        <x:f>'Данные'!B135</x:f>
        <x:v>futbolkaprint/Vacances-245/бордовый</x:v>
      </x:c>
      <x:c r="C135" s="8" t="n">
        <x:f>'Данные'!G135</x:f>
        <x:v>1328832</x:v>
      </x:c>
      <x:c r="D135" s="15" t="n">
        <x:f>C135/SUM($C$5:$C$2477)</x:f>
        <x:v>0.0015523729413374834</x:v>
      </x:c>
      <x:c r="E135" s="15" t="n">
        <x:f>SUM($D$5:D135)</x:f>
        <x:v>0.5224739760108388</x:v>
      </x:c>
      <x:c r="F135" s="1" t="str">
        <x:f>IF(C135&lt;=0,"C",IF(E135-D135&lt;'Дашборд'!$C$49,"A",IF(E135-D135&lt;'Дашборд'!$C$50,"B","C")))</x:f>
        <x:v>A</x:v>
      </x:c>
      <x:c r="G135" s="8" t="n">
        <x:f>'Данные'!F135</x:f>
        <x:v>2330</x:v>
      </x:c>
      <x:c r="H135" s="8" t="n">
        <x:f>SUM('Данные'!H135:I135)</x:f>
        <x:v>7</x:v>
      </x:c>
      <x:c r="I135" s="16" t="n">
        <x:f>IF(H135&gt;0,G135/H135,"n.a.")</x:f>
        <x:v>332.85714285714283</x:v>
      </x:c>
      <x:c r="J135" s="10" t="n">
        <x:f>IF('Данные'!E135&gt;0,G135/'Данные'!E135,"n.a.")</x:f>
        <x:v>0.01759858607068136</x:v>
      </x:c>
      <x:c r="K135" s="1" t="str">
        <x:f>IF(G135&gt;='Дашборд'!$C$51,"X","Z")</x:f>
        <x:v>X</x:v>
      </x:c>
      <x:c r="L135" s="1" t="str">
        <x:f>IF(H135=0,IF(G135&gt;0,"Нет остатка","Нет спроса"),IF(I135&gt;='Дашборд'!$C$52,"Быстрый","Медленный"))</x:f>
        <x:v>Быстрый</x:v>
      </x:c>
      <x:c r="M135" s="1" t="str">
        <x:f>IF('Данные'!E135&lt;'Дашборд'!$C$53,"Мало трафика",IF(J135&lt;'Дашборд'!$C$9*'Дашборд'!$C$54,"Да","Нет"))</x:f>
        <x:v>Нет</x:v>
      </x:c>
      <x:c r="N135" s="1" t="str">
        <x:f>IF(AND('Данные'!D135&gt;='Дашборд'!$C$55,D135&lt;'Дашборд'!$C$56,'Данные'!E135&gt;='Дашборд'!$C$53,'Данные'!L135&lt;&gt;"Да"),"Да","Нет")</x:f>
        <x:v>Нет</x:v>
      </x:c>
      <x:c r="O135" s="1" t="str">
        <x:f>'Данные'!L135</x:f>
        <x:v>Нет</x:v>
      </x:c>
    </x:row>
    <x:row r="136">
      <x:c r="A136" s="1" t="str">
        <x:f>'Данные'!A136</x:f>
        <x:v>220090347</x:v>
      </x:c>
      <x:c r="B136" s="1" t="str">
        <x:f>'Данные'!B136</x:f>
        <x:v>tolstovkazip/бордовый</x:v>
      </x:c>
      <x:c r="C136" s="8" t="n">
        <x:f>'Данные'!G136</x:f>
        <x:v>1324825</x:v>
      </x:c>
      <x:c r="D136" s="15" t="n">
        <x:f>C136/SUM($C$5:$C$2477)</x:f>
        <x:v>0.0015476918692561826</x:v>
      </x:c>
      <x:c r="E136" s="15" t="n">
        <x:f>SUM($D$5:D136)</x:f>
        <x:v>0.524021667880095</x:v>
      </x:c>
      <x:c r="F136" s="1" t="str">
        <x:f>IF(C136&lt;=0,"C",IF(E136-D136&lt;'Дашборд'!$C$49,"A",IF(E136-D136&lt;'Дашборд'!$C$50,"B","C")))</x:f>
        <x:v>A</x:v>
      </x:c>
      <x:c r="G136" s="8" t="n">
        <x:f>'Данные'!F136</x:f>
        <x:v>798</x:v>
      </x:c>
      <x:c r="H136" s="8" t="n">
        <x:f>SUM('Данные'!H136:I136)</x:f>
        <x:v>2</x:v>
      </x:c>
      <x:c r="I136" s="16" t="n">
        <x:f>IF(H136&gt;0,G136/H136,"n.a.")</x:f>
        <x:v>399</x:v>
      </x:c>
      <x:c r="J136" s="10" t="n">
        <x:f>IF('Данные'!E136&gt;0,G136/'Данные'!E136,"n.a.")</x:f>
        <x:v>0.014319809069212411</x:v>
      </x:c>
      <x:c r="K136" s="1" t="str">
        <x:f>IF(G136&gt;='Дашборд'!$C$51,"X","Z")</x:f>
        <x:v>X</x:v>
      </x:c>
      <x:c r="L136" s="1" t="str">
        <x:f>IF(H136=0,IF(G136&gt;0,"Нет остатка","Нет спроса"),IF(I136&gt;='Дашборд'!$C$52,"Быстрый","Медленный"))</x:f>
        <x:v>Быстрый</x:v>
      </x:c>
      <x:c r="M136" s="1" t="str">
        <x:f>IF('Данные'!E136&lt;'Дашборд'!$C$53,"Мало трафика",IF(J136&lt;'Дашборд'!$C$9*'Дашборд'!$C$54,"Да","Нет"))</x:f>
        <x:v>Нет</x:v>
      </x:c>
      <x:c r="N136" s="1" t="str">
        <x:f>IF(AND('Данные'!D136&gt;='Дашборд'!$C$55,D136&lt;'Дашборд'!$C$56,'Данные'!E136&gt;='Дашборд'!$C$53,'Данные'!L136&lt;&gt;"Да"),"Да","Нет")</x:f>
        <x:v>Нет</x:v>
      </x:c>
      <x:c r="O136" s="1" t="str">
        <x:f>'Данные'!L136</x:f>
        <x:v>Нет</x:v>
      </x:c>
    </x:row>
    <x:row r="137">
      <x:c r="A137" s="1" t="str">
        <x:f>'Данные'!A137</x:f>
        <x:v>113249032</x:v>
      </x:c>
      <x:c r="B137" s="1" t="str">
        <x:f>'Данные'!B137</x:f>
        <x:v>kroptop/красный</x:v>
      </x:c>
      <x:c r="C137" s="8" t="n">
        <x:f>'Данные'!G137</x:f>
        <x:v>1316682</x:v>
      </x:c>
      <x:c r="D137" s="15" t="n">
        <x:f>C137/SUM($C$5:$C$2477)</x:f>
        <x:v>0.0015381790242454429</x:v>
      </x:c>
      <x:c r="E137" s="15" t="n">
        <x:f>SUM($D$5:D137)</x:f>
        <x:v>0.5255598469043404</x:v>
      </x:c>
      <x:c r="F137" s="1" t="str">
        <x:f>IF(C137&lt;=0,"C",IF(E137-D137&lt;'Дашборд'!$C$49,"A",IF(E137-D137&lt;'Дашборд'!$C$50,"B","C")))</x:f>
        <x:v>A</x:v>
      </x:c>
      <x:c r="G137" s="8" t="n">
        <x:f>'Данные'!F137</x:f>
        <x:v>3215</x:v>
      </x:c>
      <x:c r="H137" s="8" t="n">
        <x:f>SUM('Данные'!H137:I137)</x:f>
        <x:v>1143</x:v>
      </x:c>
      <x:c r="I137" s="16" t="n">
        <x:f>IF(H137&gt;0,G137/H137,"n.a.")</x:f>
        <x:v>2.8127734033245844</x:v>
      </x:c>
      <x:c r="J137" s="10" t="n">
        <x:f>IF('Данные'!E137&gt;0,G137/'Данные'!E137,"n.a.")</x:f>
        <x:v>0.044065845200729176</x:v>
      </x:c>
      <x:c r="K137" s="1" t="str">
        <x:f>IF(G137&gt;='Дашборд'!$C$51,"X","Z")</x:f>
        <x:v>X</x:v>
      </x:c>
      <x:c r="L137" s="1" t="str">
        <x:f>IF(H137=0,IF(G137&gt;0,"Нет остатка","Нет спроса"),IF(I137&gt;='Дашборд'!$C$52,"Быстрый","Медленный"))</x:f>
        <x:v>Быстрый</x:v>
      </x:c>
      <x:c r="M137" s="1" t="str">
        <x:f>IF('Данные'!E137&lt;'Дашборд'!$C$53,"Мало трафика",IF(J137&lt;'Дашборд'!$C$9*'Дашборд'!$C$54,"Да","Нет"))</x:f>
        <x:v>Нет</x:v>
      </x:c>
      <x:c r="N137" s="1" t="str">
        <x:f>IF(AND('Данные'!D137&gt;='Дашборд'!$C$55,D137&lt;'Дашборд'!$C$56,'Данные'!E137&gt;='Дашборд'!$C$53,'Данные'!L137&lt;&gt;"Да"),"Да","Нет")</x:f>
        <x:v>Нет</x:v>
      </x:c>
      <x:c r="O137" s="1" t="str">
        <x:f>'Данные'!L137</x:f>
        <x:v>Нет</x:v>
      </x:c>
    </x:row>
    <x:row r="138">
      <x:c r="A138" s="1" t="str">
        <x:f>'Данные'!A138</x:f>
        <x:v>113292722</x:v>
      </x:c>
      <x:c r="B138" s="1" t="str">
        <x:f>'Данные'!B138</x:f>
        <x:v>kroptop/светло-фиолетовый</x:v>
      </x:c>
      <x:c r="C138" s="8" t="n">
        <x:f>'Данные'!G138</x:f>
        <x:v>1290297</x:v>
      </x:c>
      <x:c r="D138" s="15" t="n">
        <x:f>C138/SUM($C$5:$C$2477)</x:f>
        <x:v>0.00150735544379495</x:v>
      </x:c>
      <x:c r="E138" s="15" t="n">
        <x:f>SUM($D$5:D138)</x:f>
        <x:v>0.5270672023481354</x:v>
      </x:c>
      <x:c r="F138" s="1" t="str">
        <x:f>IF(C138&lt;=0,"C",IF(E138-D138&lt;'Дашборд'!$C$49,"A",IF(E138-D138&lt;'Дашборд'!$C$50,"B","C")))</x:f>
        <x:v>A</x:v>
      </x:c>
      <x:c r="G138" s="8" t="n">
        <x:f>'Данные'!F138</x:f>
        <x:v>2946</x:v>
      </x:c>
      <x:c r="H138" s="8" t="n">
        <x:f>SUM('Данные'!H138:I138)</x:f>
        <x:v>1140</x:v>
      </x:c>
      <x:c r="I138" s="16" t="n">
        <x:f>IF(H138&gt;0,G138/H138,"n.a.")</x:f>
        <x:v>2.5842105263157893</x:v>
      </x:c>
      <x:c r="J138" s="10" t="n">
        <x:f>IF('Данные'!E138&gt;0,G138/'Данные'!E138,"n.a.")</x:f>
        <x:v>0.03537676373461423</x:v>
      </x:c>
      <x:c r="K138" s="1" t="str">
        <x:f>IF(G138&gt;='Дашборд'!$C$51,"X","Z")</x:f>
        <x:v>X</x:v>
      </x:c>
      <x:c r="L138" s="1" t="str">
        <x:f>IF(H138=0,IF(G138&gt;0,"Нет остатка","Нет спроса"),IF(I138&gt;='Дашборд'!$C$52,"Быстрый","Медленный"))</x:f>
        <x:v>Быстрый</x:v>
      </x:c>
      <x:c r="M138" s="1" t="str">
        <x:f>IF('Данные'!E138&lt;'Дашборд'!$C$53,"Мало трафика",IF(J138&lt;'Дашборд'!$C$9*'Дашборд'!$C$54,"Да","Нет"))</x:f>
        <x:v>Нет</x:v>
      </x:c>
      <x:c r="N138" s="1" t="str">
        <x:f>IF(AND('Данные'!D138&gt;='Дашборд'!$C$55,D138&lt;'Дашборд'!$C$56,'Данные'!E138&gt;='Дашборд'!$C$53,'Данные'!L138&lt;&gt;"Да"),"Да","Нет")</x:f>
        <x:v>Нет</x:v>
      </x:c>
      <x:c r="O138" s="1" t="str">
        <x:f>'Данные'!L138</x:f>
        <x:v>Нет</x:v>
      </x:c>
    </x:row>
    <x:row r="139">
      <x:c r="A139" s="1" t="str">
        <x:f>'Данные'!A139</x:f>
        <x:v>216753469</x:v>
      </x:c>
      <x:c r="B139" s="1" t="str">
        <x:f>'Данные'!B139</x:f>
        <x:v>futbolkamanX3/чер-как-тсер</x:v>
      </x:c>
      <x:c r="C139" s="8" t="n">
        <x:f>'Данные'!G139</x:f>
        <x:v>1285614</x:v>
      </x:c>
      <x:c r="D139" s="15" t="n">
        <x:f>C139/SUM($C$5:$C$2477)</x:f>
        <x:v>0.0015018846525404622</x:v>
      </x:c>
      <x:c r="E139" s="15" t="n">
        <x:f>SUM($D$5:D139)</x:f>
        <x:v>0.5285690870006758</x:v>
      </x:c>
      <x:c r="F139" s="1" t="str">
        <x:f>IF(C139&lt;=0,"C",IF(E139-D139&lt;'Дашборд'!$C$49,"A",IF(E139-D139&lt;'Дашборд'!$C$50,"B","C")))</x:f>
        <x:v>A</x:v>
      </x:c>
      <x:c r="G139" s="8" t="n">
        <x:f>'Данные'!F139</x:f>
        <x:v>1153</x:v>
      </x:c>
      <x:c r="H139" s="8" t="n">
        <x:f>SUM('Данные'!H139:I139)</x:f>
        <x:v>73</x:v>
      </x:c>
      <x:c r="I139" s="16" t="n">
        <x:f>IF(H139&gt;0,G139/H139,"n.a.")</x:f>
        <x:v>15.794520547945206</x:v>
      </x:c>
      <x:c r="J139" s="10" t="n">
        <x:f>IF('Данные'!E139&gt;0,G139/'Данные'!E139,"n.a.")</x:f>
        <x:v>0.015122303101842744</x:v>
      </x:c>
      <x:c r="K139" s="1" t="str">
        <x:f>IF(G139&gt;='Дашборд'!$C$51,"X","Z")</x:f>
        <x:v>X</x:v>
      </x:c>
      <x:c r="L139" s="1" t="str">
        <x:f>IF(H139=0,IF(G139&gt;0,"Нет остатка","Нет спроса"),IF(I139&gt;='Дашборд'!$C$52,"Быстрый","Медленный"))</x:f>
        <x:v>Быстрый</x:v>
      </x:c>
      <x:c r="M139" s="1" t="str">
        <x:f>IF('Данные'!E139&lt;'Дашборд'!$C$53,"Мало трафика",IF(J139&lt;'Дашборд'!$C$9*'Дашборд'!$C$54,"Да","Нет"))</x:f>
        <x:v>Нет</x:v>
      </x:c>
      <x:c r="N139" s="1" t="str">
        <x:f>IF(AND('Данные'!D139&gt;='Дашборд'!$C$55,D139&lt;'Дашборд'!$C$56,'Данные'!E139&gt;='Дашборд'!$C$53,'Данные'!L139&lt;&gt;"Да"),"Да","Нет")</x:f>
        <x:v>Нет</x:v>
      </x:c>
      <x:c r="O139" s="1" t="str">
        <x:f>'Данные'!L139</x:f>
        <x:v>Нет</x:v>
      </x:c>
    </x:row>
    <x:row r="140">
      <x:c r="A140" s="1" t="str">
        <x:f>'Данные'!A140</x:f>
        <x:v>297440099</x:v>
      </x:c>
      <x:c r="B140" s="1" t="str">
        <x:f>'Данные'!B140</x:f>
        <x:v>longover/пыльнаямята</x:v>
      </x:c>
      <x:c r="C140" s="8" t="n">
        <x:f>'Данные'!G140</x:f>
        <x:v>1279761</x:v>
      </x:c>
      <x:c r="D140" s="15" t="n">
        <x:f>C140/SUM($C$5:$C$2477)</x:f>
        <x:v>0.0014950470396400742</x:v>
      </x:c>
      <x:c r="E140" s="15" t="n">
        <x:f>SUM($D$5:D140)</x:f>
        <x:v>0.5300641340403159</x:v>
      </x:c>
      <x:c r="F140" s="1" t="str">
        <x:f>IF(C140&lt;=0,"C",IF(E140-D140&lt;'Дашборд'!$C$49,"A",IF(E140-D140&lt;'Дашборд'!$C$50,"B","C")))</x:f>
        <x:v>A</x:v>
      </x:c>
      <x:c r="G140" s="8" t="n">
        <x:f>'Данные'!F140</x:f>
        <x:v>3074</x:v>
      </x:c>
      <x:c r="H140" s="8" t="n">
        <x:f>SUM('Данные'!H140:I140)</x:f>
        <x:v>1037</x:v>
      </x:c>
      <x:c r="I140" s="16" t="n">
        <x:f>IF(H140&gt;0,G140/H140,"n.a.")</x:f>
        <x:v>2.9643201542912245</x:v>
      </x:c>
      <x:c r="J140" s="10" t="n">
        <x:f>IF('Данные'!E140&gt;0,G140/'Данные'!E140,"n.a.")</x:f>
        <x:v>0.02945347232868312</x:v>
      </x:c>
      <x:c r="K140" s="1" t="str">
        <x:f>IF(G140&gt;='Дашборд'!$C$51,"X","Z")</x:f>
        <x:v>X</x:v>
      </x:c>
      <x:c r="L140" s="1" t="str">
        <x:f>IF(H140=0,IF(G140&gt;0,"Нет остатка","Нет спроса"),IF(I140&gt;='Дашборд'!$C$52,"Быстрый","Медленный"))</x:f>
        <x:v>Быстрый</x:v>
      </x:c>
      <x:c r="M140" s="1" t="str">
        <x:f>IF('Данные'!E140&lt;'Дашборд'!$C$53,"Мало трафика",IF(J140&lt;'Дашборд'!$C$9*'Дашборд'!$C$54,"Да","Нет"))</x:f>
        <x:v>Нет</x:v>
      </x:c>
      <x:c r="N140" s="1" t="str">
        <x:f>IF(AND('Данные'!D140&gt;='Дашборд'!$C$55,D140&lt;'Дашборд'!$C$56,'Данные'!E140&gt;='Дашборд'!$C$53,'Данные'!L140&lt;&gt;"Да"),"Да","Нет")</x:f>
        <x:v>Нет</x:v>
      </x:c>
      <x:c r="O140" s="1" t="str">
        <x:f>'Данные'!L140</x:f>
        <x:v>Нет</x:v>
      </x:c>
    </x:row>
    <x:row r="141">
      <x:c r="A141" s="1" t="str">
        <x:f>'Данные'!A141</x:f>
        <x:v>233284868</x:v>
      </x:c>
      <x:c r="B141" s="1" t="str">
        <x:f>'Данные'!B141</x:f>
        <x:v>longover/бежевый</x:v>
      </x:c>
      <x:c r="C141" s="8" t="n">
        <x:f>'Данные'!G141</x:f>
        <x:v>1279326</x:v>
      </x:c>
      <x:c r="D141" s="15" t="n">
        <x:f>C141/SUM($C$5:$C$2477)</x:f>
        <x:v>0.0014945388623614703</x:v>
      </x:c>
      <x:c r="E141" s="15" t="n">
        <x:f>SUM($D$5:D141)</x:f>
        <x:v>0.5315586729026774</x:v>
      </x:c>
      <x:c r="F141" s="1" t="str">
        <x:f>IF(C141&lt;=0,"C",IF(E141-D141&lt;'Дашборд'!$C$49,"A",IF(E141-D141&lt;'Дашборд'!$C$50,"B","C")))</x:f>
        <x:v>A</x:v>
      </x:c>
      <x:c r="G141" s="8" t="n">
        <x:f>'Данные'!F141</x:f>
        <x:v>3047</x:v>
      </x:c>
      <x:c r="H141" s="8" t="n">
        <x:f>SUM('Данные'!H141:I141)</x:f>
        <x:v>3091</x:v>
      </x:c>
      <x:c r="I141" s="16" t="n">
        <x:f>IF(H141&gt;0,G141/H141,"n.a.")</x:f>
        <x:v>0.9857651245551602</x:v>
      </x:c>
      <x:c r="J141" s="10" t="n">
        <x:f>IF('Данные'!E141&gt;0,G141/'Данные'!E141,"n.a.")</x:f>
        <x:v>0.017458516685001833</x:v>
      </x:c>
      <x:c r="K141" s="1" t="str">
        <x:f>IF(G141&gt;='Дашборд'!$C$51,"X","Z")</x:f>
        <x:v>X</x:v>
      </x:c>
      <x:c r="L141" s="1" t="str">
        <x:f>IF(H141=0,IF(G141&gt;0,"Нет остатка","Нет спроса"),IF(I141&gt;='Дашборд'!$C$52,"Быстрый","Медленный"))</x:f>
        <x:v>Медленный</x:v>
      </x:c>
      <x:c r="M141" s="1" t="str">
        <x:f>IF('Данные'!E141&lt;'Дашборд'!$C$53,"Мало трафика",IF(J141&lt;'Дашборд'!$C$9*'Дашборд'!$C$54,"Да","Нет"))</x:f>
        <x:v>Нет</x:v>
      </x:c>
      <x:c r="N141" s="1" t="str">
        <x:f>IF(AND('Данные'!D141&gt;='Дашборд'!$C$55,D141&lt;'Дашборд'!$C$56,'Данные'!E141&gt;='Дашборд'!$C$53,'Данные'!L141&lt;&gt;"Да"),"Да","Нет")</x:f>
        <x:v>Нет</x:v>
      </x:c>
      <x:c r="O141" s="1" t="str">
        <x:f>'Данные'!L141</x:f>
        <x:v>Нет</x:v>
      </x:c>
    </x:row>
    <x:row r="142">
      <x:c r="A142" s="1" t="str">
        <x:f>'Данные'!A142</x:f>
        <x:v>175116978</x:v>
      </x:c>
      <x:c r="B142" s="1" t="str">
        <x:f>'Данные'!B142</x:f>
        <x:v>reglanman/белый</x:v>
      </x:c>
      <x:c r="C142" s="8" t="n">
        <x:f>'Данные'!G142</x:f>
        <x:v>1279097</x:v>
      </x:c>
      <x:c r="D142" s="15" t="n">
        <x:f>C142/SUM($C$5:$C$2477)</x:f>
        <x:v>0.001494271339150435</x:v>
      </x:c>
      <x:c r="E142" s="15" t="n">
        <x:f>SUM($D$5:D142)</x:f>
        <x:v>0.5330529442418279</x:v>
      </x:c>
      <x:c r="F142" s="1" t="str">
        <x:f>IF(C142&lt;=0,"C",IF(E142-D142&lt;'Дашборд'!$C$49,"A",IF(E142-D142&lt;'Дашборд'!$C$50,"B","C")))</x:f>
        <x:v>A</x:v>
      </x:c>
      <x:c r="G142" s="8" t="n">
        <x:f>'Данные'!F142</x:f>
        <x:v>2624</x:v>
      </x:c>
      <x:c r="H142" s="8" t="n">
        <x:f>SUM('Данные'!H142:I142)</x:f>
        <x:v>254</x:v>
      </x:c>
      <x:c r="I142" s="16" t="n">
        <x:f>IF(H142&gt;0,G142/H142,"n.a.")</x:f>
        <x:v>10.330708661417322</x:v>
      </x:c>
      <x:c r="J142" s="10" t="n">
        <x:f>IF('Данные'!E142&gt;0,G142/'Данные'!E142,"n.a.")</x:f>
        <x:v>0.04044701348747592</x:v>
      </x:c>
      <x:c r="K142" s="1" t="str">
        <x:f>IF(G142&gt;='Дашборд'!$C$51,"X","Z")</x:f>
        <x:v>X</x:v>
      </x:c>
      <x:c r="L142" s="1" t="str">
        <x:f>IF(H142=0,IF(G142&gt;0,"Нет остатка","Нет спроса"),IF(I142&gt;='Дашборд'!$C$52,"Быстрый","Медленный"))</x:f>
        <x:v>Быстрый</x:v>
      </x:c>
      <x:c r="M142" s="1" t="str">
        <x:f>IF('Данные'!E142&lt;'Дашборд'!$C$53,"Мало трафика",IF(J142&lt;'Дашборд'!$C$9*'Дашборд'!$C$54,"Да","Нет"))</x:f>
        <x:v>Нет</x:v>
      </x:c>
      <x:c r="N142" s="1" t="str">
        <x:f>IF(AND('Данные'!D142&gt;='Дашборд'!$C$55,D142&lt;'Дашборд'!$C$56,'Данные'!E142&gt;='Дашборд'!$C$53,'Данные'!L142&lt;&gt;"Да"),"Да","Нет")</x:f>
        <x:v>Нет</x:v>
      </x:c>
      <x:c r="O142" s="1" t="str">
        <x:f>'Данные'!L142</x:f>
        <x:v>Нет</x:v>
      </x:c>
    </x:row>
    <x:row r="143">
      <x:c r="A143" s="1" t="str">
        <x:f>'Данные'!A143</x:f>
        <x:v>233284872</x:v>
      </x:c>
      <x:c r="B143" s="1" t="str">
        <x:f>'Данные'!B143</x:f>
        <x:v>longover/шалфей</x:v>
      </x:c>
      <x:c r="C143" s="8" t="n">
        <x:f>'Данные'!G143</x:f>
        <x:v>1276555</x:v>
      </x:c>
      <x:c r="D143" s="15" t="n">
        <x:f>C143/SUM($C$5:$C$2477)</x:f>
        <x:v>0.001491301714685582</x:v>
      </x:c>
      <x:c r="E143" s="15" t="n">
        <x:f>SUM($D$5:D143)</x:f>
        <x:v>0.5345442459565135</x:v>
      </x:c>
      <x:c r="F143" s="1" t="str">
        <x:f>IF(C143&lt;=0,"C",IF(E143-D143&lt;'Дашборд'!$C$49,"A",IF(E143-D143&lt;'Дашборд'!$C$50,"B","C")))</x:f>
        <x:v>A</x:v>
      </x:c>
      <x:c r="G143" s="8" t="n">
        <x:f>'Данные'!F143</x:f>
        <x:v>2617</x:v>
      </x:c>
      <x:c r="H143" s="8" t="n">
        <x:f>SUM('Данные'!H143:I143)</x:f>
        <x:v>707</x:v>
      </x:c>
      <x:c r="I143" s="16" t="n">
        <x:f>IF(H143&gt;0,G143/H143,"n.a.")</x:f>
        <x:v>3.7015558698727014</x:v>
      </x:c>
      <x:c r="J143" s="10" t="n">
        <x:f>IF('Данные'!E143&gt;0,G143/'Данные'!E143,"n.a.")</x:f>
        <x:v>0.016877011279286484</x:v>
      </x:c>
      <x:c r="K143" s="1" t="str">
        <x:f>IF(G143&gt;='Дашборд'!$C$51,"X","Z")</x:f>
        <x:v>X</x:v>
      </x:c>
      <x:c r="L143" s="1" t="str">
        <x:f>IF(H143=0,IF(G143&gt;0,"Нет остатка","Нет спроса"),IF(I143&gt;='Дашборд'!$C$52,"Быстрый","Медленный"))</x:f>
        <x:v>Быстрый</x:v>
      </x:c>
      <x:c r="M143" s="1" t="str">
        <x:f>IF('Данные'!E143&lt;'Дашборд'!$C$53,"Мало трафика",IF(J143&lt;'Дашборд'!$C$9*'Дашборд'!$C$54,"Да","Нет"))</x:f>
        <x:v>Нет</x:v>
      </x:c>
      <x:c r="N143" s="1" t="str">
        <x:f>IF(AND('Данные'!D143&gt;='Дашборд'!$C$55,D143&lt;'Дашборд'!$C$56,'Данные'!E143&gt;='Дашборд'!$C$53,'Данные'!L143&lt;&gt;"Да"),"Да","Нет")</x:f>
        <x:v>Нет</x:v>
      </x:c>
      <x:c r="O143" s="1" t="str">
        <x:f>'Данные'!L143</x:f>
        <x:v>Нет</x:v>
      </x:c>
    </x:row>
    <x:row r="144">
      <x:c r="A144" s="1" t="str">
        <x:f>'Данные'!A144</x:f>
        <x:v>262651915</x:v>
      </x:c>
      <x:c r="B144" s="1" t="str">
        <x:f>'Данные'!B144</x:f>
        <x:v>palazzoshnurok/светло-розовый</x:v>
      </x:c>
      <x:c r="C144" s="8" t="n">
        <x:f>'Данные'!G144</x:f>
        <x:v>1273730</x:v>
      </x:c>
      <x:c r="D144" s="15" t="n">
        <x:f>C144/SUM($C$5:$C$2477)</x:f>
        <x:v>0.001488001482933729</x:v>
      </x:c>
      <x:c r="E144" s="15" t="n">
        <x:f>SUM($D$5:D144)</x:f>
        <x:v>0.5360322474394472</x:v>
      </x:c>
      <x:c r="F144" s="1" t="str">
        <x:f>IF(C144&lt;=0,"C",IF(E144-D144&lt;'Дашборд'!$C$49,"A",IF(E144-D144&lt;'Дашборд'!$C$50,"B","C")))</x:f>
        <x:v>A</x:v>
      </x:c>
      <x:c r="G144" s="8" t="n">
        <x:f>'Данные'!F144</x:f>
        <x:v>2004</x:v>
      </x:c>
      <x:c r="H144" s="8" t="n">
        <x:f>SUM('Данные'!H144:I144)</x:f>
        <x:v>272</x:v>
      </x:c>
      <x:c r="I144" s="16" t="n">
        <x:f>IF(H144&gt;0,G144/H144,"n.a.")</x:f>
        <x:v>7.367647058823529</x:v>
      </x:c>
      <x:c r="J144" s="10" t="n">
        <x:f>IF('Данные'!E144&gt;0,G144/'Данные'!E144,"n.a.")</x:f>
        <x:v>0.012798242476881418</x:v>
      </x:c>
      <x:c r="K144" s="1" t="str">
        <x:f>IF(G144&gt;='Дашборд'!$C$51,"X","Z")</x:f>
        <x:v>X</x:v>
      </x:c>
      <x:c r="L144" s="1" t="str">
        <x:f>IF(H144=0,IF(G144&gt;0,"Нет остатка","Нет спроса"),IF(I144&gt;='Дашборд'!$C$52,"Быстрый","Медленный"))</x:f>
        <x:v>Быстрый</x:v>
      </x:c>
      <x:c r="M144" s="1" t="str">
        <x:f>IF('Данные'!E144&lt;'Дашборд'!$C$53,"Мало трафика",IF(J144&lt;'Дашборд'!$C$9*'Дашборд'!$C$54,"Да","Нет"))</x:f>
        <x:v>Нет</x:v>
      </x:c>
      <x:c r="N144" s="1" t="str">
        <x:f>IF(AND('Данные'!D144&gt;='Дашборд'!$C$55,D144&lt;'Дашборд'!$C$56,'Данные'!E144&gt;='Дашборд'!$C$53,'Данные'!L144&lt;&gt;"Да"),"Да","Нет")</x:f>
        <x:v>Нет</x:v>
      </x:c>
      <x:c r="O144" s="1" t="str">
        <x:f>'Данные'!L144</x:f>
        <x:v>Нет</x:v>
      </x:c>
    </x:row>
    <x:row r="145">
      <x:c r="A145" s="1" t="str">
        <x:f>'Данные'!A145</x:f>
        <x:v>217053235</x:v>
      </x:c>
      <x:c r="B145" s="1" t="str">
        <x:f>'Данные'!B145</x:f>
        <x:v>futbolkaprint/BelMoreSelf-114/красный</x:v>
      </x:c>
      <x:c r="C145" s="8" t="n">
        <x:f>'Данные'!G145</x:f>
        <x:v>1272924</x:v>
      </x:c>
      <x:c r="D145" s="15" t="n">
        <x:f>C145/SUM($C$5:$C$2477)</x:f>
        <x:v>0.0014870598946887753</x:v>
      </x:c>
      <x:c r="E145" s="15" t="n">
        <x:f>SUM($D$5:D145)</x:f>
        <x:v>0.537519307334136</x:v>
      </x:c>
      <x:c r="F145" s="1" t="str">
        <x:f>IF(C145&lt;=0,"C",IF(E145-D145&lt;'Дашборд'!$C$49,"A",IF(E145-D145&lt;'Дашборд'!$C$50,"B","C")))</x:f>
        <x:v>A</x:v>
      </x:c>
      <x:c r="G145" s="8" t="n">
        <x:f>'Данные'!F145</x:f>
        <x:v>1920</x:v>
      </x:c>
      <x:c r="H145" s="8" t="n">
        <x:f>SUM('Данные'!H145:I145)</x:f>
        <x:v>0</x:v>
      </x:c>
      <x:c r="I145" s="16" t="str">
        <x:f>IF(H145&gt;0,G145/H145,"n.a.")</x:f>
        <x:v>n.a.</x:v>
      </x:c>
      <x:c r="J145" s="10" t="n">
        <x:f>IF('Данные'!E145&gt;0,G145/'Данные'!E145,"n.a.")</x:f>
        <x:v>0.017926668720764125</x:v>
      </x:c>
      <x:c r="K145" s="1" t="str">
        <x:f>IF(G145&gt;='Дашборд'!$C$51,"X","Z")</x:f>
        <x:v>X</x:v>
      </x:c>
      <x:c r="L145" s="1" t="str">
        <x:f>IF(H145=0,IF(G145&gt;0,"Нет остатка","Нет спроса"),IF(I145&gt;='Дашборд'!$C$52,"Быстрый","Медленный"))</x:f>
        <x:v>Нет остатка</x:v>
      </x:c>
      <x:c r="M145" s="1" t="str">
        <x:f>IF('Данные'!E145&lt;'Дашборд'!$C$53,"Мало трафика",IF(J145&lt;'Дашборд'!$C$9*'Дашборд'!$C$54,"Да","Нет"))</x:f>
        <x:v>Нет</x:v>
      </x:c>
      <x:c r="N145" s="1" t="str">
        <x:f>IF(AND('Данные'!D145&gt;='Дашборд'!$C$55,D145&lt;'Дашборд'!$C$56,'Данные'!E145&gt;='Дашборд'!$C$53,'Данные'!L145&lt;&gt;"Да"),"Да","Нет")</x:f>
        <x:v>Нет</x:v>
      </x:c>
      <x:c r="O145" s="1" t="str">
        <x:f>'Данные'!L145</x:f>
        <x:v>Нет</x:v>
      </x:c>
    </x:row>
    <x:row r="146">
      <x:c r="A146" s="1" t="str">
        <x:f>'Данные'!A146</x:f>
        <x:v>263434429</x:v>
      </x:c>
      <x:c r="B146" s="1" t="str">
        <x:f>'Данные'!B146</x:f>
        <x:v>hudicrop1/бордовый</x:v>
      </x:c>
      <x:c r="C146" s="8" t="n">
        <x:f>'Данные'!G146</x:f>
        <x:v>1264275</x:v>
      </x:c>
      <x:c r="D146" s="15" t="n">
        <x:f>C146/SUM($C$5:$C$2477)</x:f>
        <x:v>0.0014769559285217747</x:v>
      </x:c>
      <x:c r="E146" s="15" t="n">
        <x:f>SUM($D$5:D146)</x:f>
        <x:v>0.5389962632626578</x:v>
      </x:c>
      <x:c r="F146" s="1" t="str">
        <x:f>IF(C146&lt;=0,"C",IF(E146-D146&lt;'Дашборд'!$C$49,"A",IF(E146-D146&lt;'Дашборд'!$C$50,"B","C")))</x:f>
        <x:v>A</x:v>
      </x:c>
      <x:c r="G146" s="8" t="n">
        <x:f>'Данные'!F146</x:f>
        <x:v>1114</x:v>
      </x:c>
      <x:c r="H146" s="8" t="n">
        <x:f>SUM('Данные'!H146:I146)</x:f>
        <x:v>138</x:v>
      </x:c>
      <x:c r="I146" s="16" t="n">
        <x:f>IF(H146&gt;0,G146/H146,"n.a.")</x:f>
        <x:v>8.072463768115941</x:v>
      </x:c>
      <x:c r="J146" s="10" t="n">
        <x:f>IF('Данные'!E146&gt;0,G146/'Данные'!E146,"n.a.")</x:f>
        <x:v>0.01734176032877736</x:v>
      </x:c>
      <x:c r="K146" s="1" t="str">
        <x:f>IF(G146&gt;='Дашборд'!$C$51,"X","Z")</x:f>
        <x:v>X</x:v>
      </x:c>
      <x:c r="L146" s="1" t="str">
        <x:f>IF(H146=0,IF(G146&gt;0,"Нет остатка","Нет спроса"),IF(I146&gt;='Дашборд'!$C$52,"Быстрый","Медленный"))</x:f>
        <x:v>Быстрый</x:v>
      </x:c>
      <x:c r="M146" s="1" t="str">
        <x:f>IF('Данные'!E146&lt;'Дашборд'!$C$53,"Мало трафика",IF(J146&lt;'Дашборд'!$C$9*'Дашборд'!$C$54,"Да","Нет"))</x:f>
        <x:v>Нет</x:v>
      </x:c>
      <x:c r="N146" s="1" t="str">
        <x:f>IF(AND('Данные'!D146&gt;='Дашборд'!$C$55,D146&lt;'Дашборд'!$C$56,'Данные'!E146&gt;='Дашборд'!$C$53,'Данные'!L146&lt;&gt;"Да"),"Да","Нет")</x:f>
        <x:v>Нет</x:v>
      </x:c>
      <x:c r="O146" s="1" t="str">
        <x:f>'Данные'!L146</x:f>
        <x:v>Нет</x:v>
      </x:c>
    </x:row>
    <x:row r="147">
      <x:c r="A147" s="1" t="str">
        <x:f>'Данные'!A147</x:f>
        <x:v>242485151</x:v>
      </x:c>
      <x:c r="B147" s="1" t="str">
        <x:f>'Данные'!B147</x:f>
        <x:v>bomber/молочный</x:v>
      </x:c>
      <x:c r="C147" s="8" t="n">
        <x:f>'Данные'!G147</x:f>
        <x:v>1263910</x:v>
      </x:c>
      <x:c r="D147" s="15" t="n">
        <x:f>C147/SUM($C$5:$C$2477)</x:f>
        <x:v>0.001476529526897199</x:v>
      </x:c>
      <x:c r="E147" s="15" t="n">
        <x:f>SUM($D$5:D147)</x:f>
        <x:v>0.5404727927895551</x:v>
      </x:c>
      <x:c r="F147" s="1" t="str">
        <x:f>IF(C147&lt;=0,"C",IF(E147-D147&lt;'Дашборд'!$C$49,"A",IF(E147-D147&lt;'Дашборд'!$C$50,"B","C")))</x:f>
        <x:v>A</x:v>
      </x:c>
      <x:c r="G147" s="8" t="n">
        <x:f>'Данные'!F147</x:f>
        <x:v>1045</x:v>
      </x:c>
      <x:c r="H147" s="8" t="n">
        <x:f>SUM('Данные'!H147:I147)</x:f>
        <x:v>3</x:v>
      </x:c>
      <x:c r="I147" s="16" t="n">
        <x:f>IF(H147&gt;0,G147/H147,"n.a.")</x:f>
        <x:v>348.3333333333333</x:v>
      </x:c>
      <x:c r="J147" s="10" t="n">
        <x:f>IF('Данные'!E147&gt;0,G147/'Данные'!E147,"n.a.")</x:f>
        <x:v>0.009842056189193517</x:v>
      </x:c>
      <x:c r="K147" s="1" t="str">
        <x:f>IF(G147&gt;='Дашборд'!$C$51,"X","Z")</x:f>
        <x:v>X</x:v>
      </x:c>
      <x:c r="L147" s="1" t="str">
        <x:f>IF(H147=0,IF(G147&gt;0,"Нет остатка","Нет спроса"),IF(I147&gt;='Дашборд'!$C$52,"Быстрый","Медленный"))</x:f>
        <x:v>Быстрый</x:v>
      </x:c>
      <x:c r="M147" s="1" t="str">
        <x:f>IF('Данные'!E147&lt;'Дашборд'!$C$53,"Мало трафика",IF(J147&lt;'Дашборд'!$C$9*'Дашборд'!$C$54,"Да","Нет"))</x:f>
        <x:v>Да</x:v>
      </x:c>
      <x:c r="N147" s="1" t="str">
        <x:f>IF(AND('Данные'!D147&gt;='Дашборд'!$C$55,D147&lt;'Дашборд'!$C$56,'Данные'!E147&gt;='Дашборд'!$C$53,'Данные'!L147&lt;&gt;"Да"),"Да","Нет")</x:f>
        <x:v>Нет</x:v>
      </x:c>
      <x:c r="O147" s="1" t="str">
        <x:f>'Данные'!L147</x:f>
        <x:v>Нет</x:v>
      </x:c>
    </x:row>
    <x:row r="148">
      <x:c r="A148" s="1" t="str">
        <x:f>'Данные'!A148</x:f>
        <x:v>87043639</x:v>
      </x:c>
      <x:c r="B148" s="1" t="str">
        <x:f>'Данные'!B148</x:f>
        <x:v>kroptop/пыльнаяроза</x:v>
      </x:c>
      <x:c r="C148" s="8" t="n">
        <x:f>'Данные'!G148</x:f>
        <x:v>1236806</x:v>
      </x:c>
      <x:c r="D148" s="15" t="n">
        <x:f>C148/SUM($C$5:$C$2477)</x:f>
        <x:v>0.0014448659936574732</x:v>
      </x:c>
      <x:c r="E148" s="15" t="n">
        <x:f>SUM($D$5:D148)</x:f>
        <x:v>0.5419176587832125</x:v>
      </x:c>
      <x:c r="F148" s="1" t="str">
        <x:f>IF(C148&lt;=0,"C",IF(E148-D148&lt;'Дашборд'!$C$49,"A",IF(E148-D148&lt;'Дашборд'!$C$50,"B","C")))</x:f>
        <x:v>A</x:v>
      </x:c>
      <x:c r="G148" s="8" t="n">
        <x:f>'Данные'!F148</x:f>
        <x:v>2977</x:v>
      </x:c>
      <x:c r="H148" s="8" t="n">
        <x:f>SUM('Данные'!H148:I148)</x:f>
        <x:v>394</x:v>
      </x:c>
      <x:c r="I148" s="16" t="n">
        <x:f>IF(H148&gt;0,G148/H148,"n.a.")</x:f>
        <x:v>7.555837563451776</x:v>
      </x:c>
      <x:c r="J148" s="10" t="n">
        <x:f>IF('Данные'!E148&gt;0,G148/'Данные'!E148,"n.a.")</x:f>
        <x:v>0.02550133203128346</x:v>
      </x:c>
      <x:c r="K148" s="1" t="str">
        <x:f>IF(G148&gt;='Дашборд'!$C$51,"X","Z")</x:f>
        <x:v>X</x:v>
      </x:c>
      <x:c r="L148" s="1" t="str">
        <x:f>IF(H148=0,IF(G148&gt;0,"Нет остатка","Нет спроса"),IF(I148&gt;='Дашборд'!$C$52,"Быстрый","Медленный"))</x:f>
        <x:v>Быстрый</x:v>
      </x:c>
      <x:c r="M148" s="1" t="str">
        <x:f>IF('Данные'!E148&lt;'Дашборд'!$C$53,"Мало трафика",IF(J148&lt;'Дашборд'!$C$9*'Дашборд'!$C$54,"Да","Нет"))</x:f>
        <x:v>Нет</x:v>
      </x:c>
      <x:c r="N148" s="1" t="str">
        <x:f>IF(AND('Данные'!D148&gt;='Дашборд'!$C$55,D148&lt;'Дашборд'!$C$56,'Данные'!E148&gt;='Дашборд'!$C$53,'Данные'!L148&lt;&gt;"Да"),"Да","Нет")</x:f>
        <x:v>Нет</x:v>
      </x:c>
      <x:c r="O148" s="1" t="str">
        <x:f>'Данные'!L148</x:f>
        <x:v>Нет</x:v>
      </x:c>
    </x:row>
    <x:row r="149">
      <x:c r="A149" s="1" t="str">
        <x:f>'Данные'!A149</x:f>
        <x:v>333323571</x:v>
      </x:c>
      <x:c r="B149" s="1" t="str">
        <x:f>'Данные'!B149</x:f>
        <x:v>hudicroppetl/бордовый</x:v>
      </x:c>
      <x:c r="C149" s="8" t="n">
        <x:f>'Данные'!G149</x:f>
        <x:v>1235118</x:v>
      </x:c>
      <x:c r="D149" s="15" t="n">
        <x:f>C149/SUM($C$5:$C$2477)</x:f>
        <x:v>0.0014428940321717643</x:v>
      </x:c>
      <x:c r="E149" s="15" t="n">
        <x:f>SUM($D$5:D149)</x:f>
        <x:v>0.5433605528153843</x:v>
      </x:c>
      <x:c r="F149" s="1" t="str">
        <x:f>IF(C149&lt;=0,"C",IF(E149-D149&lt;'Дашборд'!$C$49,"A",IF(E149-D149&lt;'Дашборд'!$C$50,"B","C")))</x:f>
        <x:v>A</x:v>
      </x:c>
      <x:c r="G149" s="8" t="n">
        <x:f>'Данные'!F149</x:f>
        <x:v>1120</x:v>
      </x:c>
      <x:c r="H149" s="8" t="n">
        <x:f>SUM('Данные'!H149:I149)</x:f>
        <x:v>39</x:v>
      </x:c>
      <x:c r="I149" s="16" t="n">
        <x:f>IF(H149&gt;0,G149/H149,"n.a.")</x:f>
        <x:v>28.71794871794872</x:v>
      </x:c>
      <x:c r="J149" s="10" t="n">
        <x:f>IF('Данные'!E149&gt;0,G149/'Данные'!E149,"n.a.")</x:f>
        <x:v>0.015540446787845151</x:v>
      </x:c>
      <x:c r="K149" s="1" t="str">
        <x:f>IF(G149&gt;='Дашборд'!$C$51,"X","Z")</x:f>
        <x:v>X</x:v>
      </x:c>
      <x:c r="L149" s="1" t="str">
        <x:f>IF(H149=0,IF(G149&gt;0,"Нет остатка","Нет спроса"),IF(I149&gt;='Дашборд'!$C$52,"Быстрый","Медленный"))</x:f>
        <x:v>Быстрый</x:v>
      </x:c>
      <x:c r="M149" s="1" t="str">
        <x:f>IF('Данные'!E149&lt;'Дашборд'!$C$53,"Мало трафика",IF(J149&lt;'Дашборд'!$C$9*'Дашборд'!$C$54,"Да","Нет"))</x:f>
        <x:v>Нет</x:v>
      </x:c>
      <x:c r="N149" s="1" t="str">
        <x:f>IF(AND('Данные'!D149&gt;='Дашборд'!$C$55,D149&lt;'Дашборд'!$C$56,'Данные'!E149&gt;='Дашборд'!$C$53,'Данные'!L149&lt;&gt;"Да"),"Да","Нет")</x:f>
        <x:v>Нет</x:v>
      </x:c>
      <x:c r="O149" s="1" t="str">
        <x:f>'Данные'!L149</x:f>
        <x:v>Нет</x:v>
      </x:c>
    </x:row>
    <x:row r="150">
      <x:c r="A150" s="1" t="str">
        <x:f>'Данные'!A150</x:f>
        <x:v>333323585</x:v>
      </x:c>
      <x:c r="B150" s="1" t="str">
        <x:f>'Данные'!B150</x:f>
        <x:v>hudicroppetl/черный</x:v>
      </x:c>
      <x:c r="C150" s="8" t="n">
        <x:f>'Данные'!G150</x:f>
        <x:v>1221910</x:v>
      </x:c>
      <x:c r="D150" s="15" t="n">
        <x:f>C150/SUM($C$5:$C$2477)</x:f>
        <x:v>0.0014274641344802688</x:v>
      </x:c>
      <x:c r="E150" s="15" t="n">
        <x:f>SUM($D$5:D150)</x:f>
        <x:v>0.5447880169498646</x:v>
      </x:c>
      <x:c r="F150" s="1" t="str">
        <x:f>IF(C150&lt;=0,"C",IF(E150-D150&lt;'Дашборд'!$C$49,"A",IF(E150-D150&lt;'Дашборд'!$C$50,"B","C")))</x:f>
        <x:v>A</x:v>
      </x:c>
      <x:c r="G150" s="8" t="n">
        <x:f>'Данные'!F150</x:f>
        <x:v>1164</x:v>
      </x:c>
      <x:c r="H150" s="8" t="n">
        <x:f>SUM('Данные'!H150:I150)</x:f>
        <x:v>6</x:v>
      </x:c>
      <x:c r="I150" s="16" t="n">
        <x:f>IF(H150&gt;0,G150/H150,"n.a.")</x:f>
        <x:v>194</x:v>
      </x:c>
      <x:c r="J150" s="10" t="n">
        <x:f>IF('Данные'!E150&gt;0,G150/'Данные'!E150,"n.a.")</x:f>
        <x:v>0.026209722816419357</x:v>
      </x:c>
      <x:c r="K150" s="1" t="str">
        <x:f>IF(G150&gt;='Дашборд'!$C$51,"X","Z")</x:f>
        <x:v>X</x:v>
      </x:c>
      <x:c r="L150" s="1" t="str">
        <x:f>IF(H150=0,IF(G150&gt;0,"Нет остатка","Нет спроса"),IF(I150&gt;='Дашборд'!$C$52,"Быстрый","Медленный"))</x:f>
        <x:v>Быстрый</x:v>
      </x:c>
      <x:c r="M150" s="1" t="str">
        <x:f>IF('Данные'!E150&lt;'Дашборд'!$C$53,"Мало трафика",IF(J150&lt;'Дашборд'!$C$9*'Дашборд'!$C$54,"Да","Нет"))</x:f>
        <x:v>Нет</x:v>
      </x:c>
      <x:c r="N150" s="1" t="str">
        <x:f>IF(AND('Данные'!D150&gt;='Дашборд'!$C$55,D150&lt;'Дашборд'!$C$56,'Данные'!E150&gt;='Дашборд'!$C$53,'Данные'!L150&lt;&gt;"Да"),"Да","Нет")</x:f>
        <x:v>Нет</x:v>
      </x:c>
      <x:c r="O150" s="1" t="str">
        <x:f>'Данные'!L150</x:f>
        <x:v>Нет</x:v>
      </x:c>
    </x:row>
    <x:row r="151">
      <x:c r="A151" s="1" t="str">
        <x:f>'Данные'!A151</x:f>
        <x:v>198068987</x:v>
      </x:c>
      <x:c r="B151" s="1" t="str">
        <x:f>'Данные'!B151</x:f>
        <x:v>hudi/серыймеланж2</x:v>
      </x:c>
      <x:c r="C151" s="8" t="n">
        <x:f>'Данные'!G151</x:f>
        <x:v>1214600</x:v>
      </x:c>
      <x:c r="D151" s="15" t="n">
        <x:f>C151/SUM($C$5:$C$2477)</x:f>
        <x:v>0.0014189244197524648</x:v>
      </x:c>
      <x:c r="E151" s="15" t="n">
        <x:f>SUM($D$5:D151)</x:f>
        <x:v>0.546206941369617</x:v>
      </x:c>
      <x:c r="F151" s="1" t="str">
        <x:f>IF(C151&lt;=0,"C",IF(E151-D151&lt;'Дашборд'!$C$49,"A",IF(E151-D151&lt;'Дашборд'!$C$50,"B","C")))</x:f>
        <x:v>A</x:v>
      </x:c>
      <x:c r="G151" s="8" t="n">
        <x:f>'Данные'!F151</x:f>
        <x:v>1086</x:v>
      </x:c>
      <x:c r="H151" s="8" t="n">
        <x:f>SUM('Данные'!H151:I151)</x:f>
        <x:v>212</x:v>
      </x:c>
      <x:c r="I151" s="16" t="n">
        <x:f>IF(H151&gt;0,G151/H151,"n.a.")</x:f>
        <x:v>5.122641509433962</x:v>
      </x:c>
      <x:c r="J151" s="10" t="n">
        <x:f>IF('Данные'!E151&gt;0,G151/'Данные'!E151,"n.a.")</x:f>
        <x:v>0.009966960352422907</x:v>
      </x:c>
      <x:c r="K151" s="1" t="str">
        <x:f>IF(G151&gt;='Дашборд'!$C$51,"X","Z")</x:f>
        <x:v>X</x:v>
      </x:c>
      <x:c r="L151" s="1" t="str">
        <x:f>IF(H151=0,IF(G151&gt;0,"Нет остатка","Нет спроса"),IF(I151&gt;='Дашборд'!$C$52,"Быстрый","Медленный"))</x:f>
        <x:v>Быстрый</x:v>
      </x:c>
      <x:c r="M151" s="1" t="str">
        <x:f>IF('Данные'!E151&lt;'Дашборд'!$C$53,"Мало трафика",IF(J151&lt;'Дашборд'!$C$9*'Дашборд'!$C$54,"Да","Нет"))</x:f>
        <x:v>Да</x:v>
      </x:c>
      <x:c r="N151" s="1" t="str">
        <x:f>IF(AND('Данные'!D151&gt;='Дашборд'!$C$55,D151&lt;'Дашборд'!$C$56,'Данные'!E151&gt;='Дашборд'!$C$53,'Данные'!L151&lt;&gt;"Да"),"Да","Нет")</x:f>
        <x:v>Нет</x:v>
      </x:c>
      <x:c r="O151" s="1" t="str">
        <x:f>'Данные'!L151</x:f>
        <x:v>Нет</x:v>
      </x:c>
    </x:row>
    <x:row r="152">
      <x:c r="A152" s="1" t="str">
        <x:f>'Данные'!A152</x:f>
        <x:v>229154436</x:v>
      </x:c>
      <x:c r="B152" s="1" t="str">
        <x:f>'Данные'!B152</x:f>
        <x:v>futbolkamanX3/кор-бел-сер</x:v>
      </x:c>
      <x:c r="C152" s="8" t="n">
        <x:f>'Данные'!G152</x:f>
        <x:v>1210854</x:v>
      </x:c>
      <x:c r="D152" s="15" t="n">
        <x:f>C152/SUM($C$5:$C$2477)</x:f>
        <x:v>0.0014145482540383262</x:v>
      </x:c>
      <x:c r="E152" s="15" t="n">
        <x:f>SUM($D$5:D152)</x:f>
        <x:v>0.5476214896236553</x:v>
      </x:c>
      <x:c r="F152" s="1" t="str">
        <x:f>IF(C152&lt;=0,"C",IF(E152-D152&lt;'Дашборд'!$C$49,"A",IF(E152-D152&lt;'Дашборд'!$C$50,"B","C")))</x:f>
        <x:v>A</x:v>
      </x:c>
      <x:c r="G152" s="8" t="n">
        <x:f>'Данные'!F152</x:f>
        <x:v>1288</x:v>
      </x:c>
      <x:c r="H152" s="8" t="n">
        <x:f>SUM('Данные'!H152:I152)</x:f>
        <x:v>36</x:v>
      </x:c>
      <x:c r="I152" s="16" t="n">
        <x:f>IF(H152&gt;0,G152/H152,"n.a.")</x:f>
        <x:v>35.77777777777778</x:v>
      </x:c>
      <x:c r="J152" s="10" t="n">
        <x:f>IF('Данные'!E152&gt;0,G152/'Данные'!E152,"n.a.")</x:f>
        <x:v>0.032577903682719546</x:v>
      </x:c>
      <x:c r="K152" s="1" t="str">
        <x:f>IF(G152&gt;='Дашборд'!$C$51,"X","Z")</x:f>
        <x:v>X</x:v>
      </x:c>
      <x:c r="L152" s="1" t="str">
        <x:f>IF(H152=0,IF(G152&gt;0,"Нет остатка","Нет спроса"),IF(I152&gt;='Дашборд'!$C$52,"Быстрый","Медленный"))</x:f>
        <x:v>Быстрый</x:v>
      </x:c>
      <x:c r="M152" s="1" t="str">
        <x:f>IF('Данные'!E152&lt;'Дашборд'!$C$53,"Мало трафика",IF(J152&lt;'Дашборд'!$C$9*'Дашборд'!$C$54,"Да","Нет"))</x:f>
        <x:v>Нет</x:v>
      </x:c>
      <x:c r="N152" s="1" t="str">
        <x:f>IF(AND('Данные'!D152&gt;='Дашборд'!$C$55,D152&lt;'Дашборд'!$C$56,'Данные'!E152&gt;='Дашборд'!$C$53,'Данные'!L152&lt;&gt;"Да"),"Да","Нет")</x:f>
        <x:v>Нет</x:v>
      </x:c>
      <x:c r="O152" s="1" t="str">
        <x:f>'Данные'!L152</x:f>
        <x:v>Нет</x:v>
      </x:c>
    </x:row>
    <x:row r="153">
      <x:c r="A153" s="1" t="str">
        <x:f>'Данные'!A153</x:f>
        <x:v>314824307</x:v>
      </x:c>
      <x:c r="B153" s="1" t="str">
        <x:f>'Данные'!B153</x:f>
        <x:v>kulirkamanprint/era-261/белый</x:v>
      </x:c>
      <x:c r="C153" s="8" t="n">
        <x:f>'Данные'!G153</x:f>
        <x:v>1208931</x:v>
      </x:c>
      <x:c r="D153" s="15" t="n">
        <x:f>C153/SUM($C$5:$C$2477)</x:f>
        <x:v>0.0014123017599998082</x:v>
      </x:c>
      <x:c r="E153" s="15" t="n">
        <x:f>SUM($D$5:D153)</x:f>
        <x:v>0.5490337913836552</x:v>
      </x:c>
      <x:c r="F153" s="1" t="str">
        <x:f>IF(C153&lt;=0,"C",IF(E153-D153&lt;'Дашборд'!$C$49,"A",IF(E153-D153&lt;'Дашборд'!$C$50,"B","C")))</x:f>
        <x:v>A</x:v>
      </x:c>
      <x:c r="G153" s="8" t="n">
        <x:f>'Данные'!F153</x:f>
        <x:v>2144</x:v>
      </x:c>
      <x:c r="H153" s="8" t="n">
        <x:f>SUM('Данные'!H153:I153)</x:f>
        <x:v>13</x:v>
      </x:c>
      <x:c r="I153" s="16" t="n">
        <x:f>IF(H153&gt;0,G153/H153,"n.a.")</x:f>
        <x:v>164.92307692307693</x:v>
      </x:c>
      <x:c r="J153" s="10" t="n">
        <x:f>IF('Данные'!E153&gt;0,G153/'Данные'!E153,"n.a.")</x:f>
        <x:v>0.02025067769875228</x:v>
      </x:c>
      <x:c r="K153" s="1" t="str">
        <x:f>IF(G153&gt;='Дашборд'!$C$51,"X","Z")</x:f>
        <x:v>X</x:v>
      </x:c>
      <x:c r="L153" s="1" t="str">
        <x:f>IF(H153=0,IF(G153&gt;0,"Нет остатка","Нет спроса"),IF(I153&gt;='Дашборд'!$C$52,"Быстрый","Медленный"))</x:f>
        <x:v>Быстрый</x:v>
      </x:c>
      <x:c r="M153" s="1" t="str">
        <x:f>IF('Данные'!E153&lt;'Дашборд'!$C$53,"Мало трафика",IF(J153&lt;'Дашборд'!$C$9*'Дашборд'!$C$54,"Да","Нет"))</x:f>
        <x:v>Нет</x:v>
      </x:c>
      <x:c r="N153" s="1" t="str">
        <x:f>IF(AND('Данные'!D153&gt;='Дашборд'!$C$55,D153&lt;'Дашборд'!$C$56,'Данные'!E153&gt;='Дашборд'!$C$53,'Данные'!L153&lt;&gt;"Да"),"Да","Нет")</x:f>
        <x:v>Нет</x:v>
      </x:c>
      <x:c r="O153" s="1" t="str">
        <x:f>'Данные'!L153</x:f>
        <x:v>Нет</x:v>
      </x:c>
    </x:row>
    <x:row r="154">
      <x:c r="A154" s="1" t="str">
        <x:f>'Данные'!A154</x:f>
        <x:v>314824306</x:v>
      </x:c>
      <x:c r="B154" s="1" t="str">
        <x:f>'Данные'!B154</x:f>
        <x:v>kulirkamanprint/start-260/зеленосерый</x:v>
      </x:c>
      <x:c r="C154" s="8" t="n">
        <x:f>'Данные'!G154</x:f>
        <x:v>1204250</x:v>
      </x:c>
      <x:c r="D154" s="15" t="n">
        <x:f>C154/SUM($C$5:$C$2477)</x:f>
        <x:v>0.0014068333051925784</x:v>
      </x:c>
      <x:c r="E154" s="15" t="n">
        <x:f>SUM($D$5:D154)</x:f>
        <x:v>0.5504406246888477</x:v>
      </x:c>
      <x:c r="F154" s="1" t="str">
        <x:f>IF(C154&lt;=0,"C",IF(E154-D154&lt;'Дашборд'!$C$49,"A",IF(E154-D154&lt;'Дашборд'!$C$50,"B","C")))</x:f>
        <x:v>A</x:v>
      </x:c>
      <x:c r="G154" s="8" t="n">
        <x:f>'Данные'!F154</x:f>
        <x:v>2645</x:v>
      </x:c>
      <x:c r="H154" s="8" t="n">
        <x:f>SUM('Данные'!H154:I154)</x:f>
        <x:v>433</x:v>
      </x:c>
      <x:c r="I154" s="16" t="n">
        <x:f>IF(H154&gt;0,G154/H154,"n.a.")</x:f>
        <x:v>6.108545034642033</x:v>
      </x:c>
      <x:c r="J154" s="10" t="n">
        <x:f>IF('Данные'!E154&gt;0,G154/'Данные'!E154,"n.a.")</x:f>
        <x:v>0.02407346730741226</x:v>
      </x:c>
      <x:c r="K154" s="1" t="str">
        <x:f>IF(G154&gt;='Дашборд'!$C$51,"X","Z")</x:f>
        <x:v>X</x:v>
      </x:c>
      <x:c r="L154" s="1" t="str">
        <x:f>IF(H154=0,IF(G154&gt;0,"Нет остатка","Нет спроса"),IF(I154&gt;='Дашборд'!$C$52,"Быстрый","Медленный"))</x:f>
        <x:v>Быстрый</x:v>
      </x:c>
      <x:c r="M154" s="1" t="str">
        <x:f>IF('Данные'!E154&lt;'Дашборд'!$C$53,"Мало трафика",IF(J154&lt;'Дашборд'!$C$9*'Дашборд'!$C$54,"Да","Нет"))</x:f>
        <x:v>Нет</x:v>
      </x:c>
      <x:c r="N154" s="1" t="str">
        <x:f>IF(AND('Данные'!D154&gt;='Дашборд'!$C$55,D154&lt;'Дашборд'!$C$56,'Данные'!E154&gt;='Дашборд'!$C$53,'Данные'!L154&lt;&gt;"Да"),"Да","Нет")</x:f>
        <x:v>Нет</x:v>
      </x:c>
      <x:c r="O154" s="1" t="str">
        <x:f>'Данные'!L154</x:f>
        <x:v>Нет</x:v>
      </x:c>
    </x:row>
    <x:row r="155">
      <x:c r="A155" s="1" t="str">
        <x:f>'Данные'!A155</x:f>
        <x:v>35675795</x:v>
      </x:c>
      <x:c r="B155" s="1" t="str">
        <x:f>'Данные'!B155</x:f>
        <x:v>hudiman/графит</x:v>
      </x:c>
      <x:c r="C155" s="8" t="n">
        <x:f>'Данные'!G155</x:f>
        <x:v>1193354</x:v>
      </x:c>
      <x:c r="D155" s="15" t="n">
        <x:f>C155/SUM($C$5:$C$2477)</x:f>
        <x:v>0.001394104340531272</x:v>
      </x:c>
      <x:c r="E155" s="15" t="n">
        <x:f>SUM($D$5:D155)</x:f>
        <x:v>0.5518347290293789</x:v>
      </x:c>
      <x:c r="F155" s="1" t="str">
        <x:f>IF(C155&lt;=0,"C",IF(E155-D155&lt;'Дашборд'!$C$49,"A",IF(E155-D155&lt;'Дашборд'!$C$50,"B","C")))</x:f>
        <x:v>A</x:v>
      </x:c>
      <x:c r="G155" s="8" t="n">
        <x:f>'Данные'!F155</x:f>
        <x:v>1280</x:v>
      </x:c>
      <x:c r="H155" s="8" t="n">
        <x:f>SUM('Данные'!H155:I155)</x:f>
        <x:v>1024</x:v>
      </x:c>
      <x:c r="I155" s="16" t="n">
        <x:f>IF(H155&gt;0,G155/H155,"n.a.")</x:f>
        <x:v>1.25</x:v>
      </x:c>
      <x:c r="J155" s="10" t="n">
        <x:f>IF('Данные'!E155&gt;0,G155/'Данные'!E155,"n.a.")</x:f>
        <x:v>0.02613578356304237</x:v>
      </x:c>
      <x:c r="K155" s="1" t="str">
        <x:f>IF(G155&gt;='Дашборд'!$C$51,"X","Z")</x:f>
        <x:v>X</x:v>
      </x:c>
      <x:c r="L155" s="1" t="str">
        <x:f>IF(H155=0,IF(G155&gt;0,"Нет остатка","Нет спроса"),IF(I155&gt;='Дашборд'!$C$52,"Быстрый","Медленный"))</x:f>
        <x:v>Быстрый</x:v>
      </x:c>
      <x:c r="M155" s="1" t="str">
        <x:f>IF('Данные'!E155&lt;'Дашборд'!$C$53,"Мало трафика",IF(J155&lt;'Дашборд'!$C$9*'Дашборд'!$C$54,"Да","Нет"))</x:f>
        <x:v>Нет</x:v>
      </x:c>
      <x:c r="N155" s="1" t="str">
        <x:f>IF(AND('Данные'!D155&gt;='Дашборд'!$C$55,D155&lt;'Дашборд'!$C$56,'Данные'!E155&gt;='Дашборд'!$C$53,'Данные'!L155&lt;&gt;"Да"),"Да","Нет")</x:f>
        <x:v>Нет</x:v>
      </x:c>
      <x:c r="O155" s="1" t="str">
        <x:f>'Данные'!L155</x:f>
        <x:v>Нет</x:v>
      </x:c>
    </x:row>
    <x:row r="156">
      <x:c r="A156" s="1" t="str">
        <x:f>'Данные'!A156</x:f>
        <x:v>229200084</x:v>
      </x:c>
      <x:c r="B156" s="1" t="str">
        <x:f>'Данные'!B156</x:f>
        <x:v>kulirkaman100/вареныйсерый</x:v>
      </x:c>
      <x:c r="C156" s="8" t="n">
        <x:f>'Данные'!G156</x:f>
        <x:v>1190025</x:v>
      </x:c>
      <x:c r="D156" s="15" t="n">
        <x:f>C156/SUM($C$5:$C$2477)</x:f>
        <x:v>0.0013902153240704157</x:v>
      </x:c>
      <x:c r="E156" s="15" t="n">
        <x:f>SUM($D$5:D156)</x:f>
        <x:v>0.5532249443534494</x:v>
      </x:c>
      <x:c r="F156" s="1" t="str">
        <x:f>IF(C156&lt;=0,"C",IF(E156-D156&lt;'Дашборд'!$C$49,"A",IF(E156-D156&lt;'Дашборд'!$C$50,"B","C")))</x:f>
        <x:v>A</x:v>
      </x:c>
      <x:c r="G156" s="8" t="n">
        <x:f>'Данные'!F156</x:f>
        <x:v>2198</x:v>
      </x:c>
      <x:c r="H156" s="8" t="n">
        <x:f>SUM('Данные'!H156:I156)</x:f>
        <x:v>400</x:v>
      </x:c>
      <x:c r="I156" s="16" t="n">
        <x:f>IF(H156&gt;0,G156/H156,"n.a.")</x:f>
        <x:v>5.495</x:v>
      </x:c>
      <x:c r="J156" s="10" t="n">
        <x:f>IF('Данные'!E156&gt;0,G156/'Данные'!E156,"n.a.")</x:f>
        <x:v>0.02469302236751935</x:v>
      </x:c>
      <x:c r="K156" s="1" t="str">
        <x:f>IF(G156&gt;='Дашборд'!$C$51,"X","Z")</x:f>
        <x:v>X</x:v>
      </x:c>
      <x:c r="L156" s="1" t="str">
        <x:f>IF(H156=0,IF(G156&gt;0,"Нет остатка","Нет спроса"),IF(I156&gt;='Дашборд'!$C$52,"Быстрый","Медленный"))</x:f>
        <x:v>Быстрый</x:v>
      </x:c>
      <x:c r="M156" s="1" t="str">
        <x:f>IF('Данные'!E156&lt;'Дашборд'!$C$53,"Мало трафика",IF(J156&lt;'Дашборд'!$C$9*'Дашборд'!$C$54,"Да","Нет"))</x:f>
        <x:v>Нет</x:v>
      </x:c>
      <x:c r="N156" s="1" t="str">
        <x:f>IF(AND('Данные'!D156&gt;='Дашборд'!$C$55,D156&lt;'Дашборд'!$C$56,'Данные'!E156&gt;='Дашборд'!$C$53,'Данные'!L156&lt;&gt;"Да"),"Да","Нет")</x:f>
        <x:v>Нет</x:v>
      </x:c>
      <x:c r="O156" s="1" t="str">
        <x:f>'Данные'!L156</x:f>
        <x:v>Нет</x:v>
      </x:c>
    </x:row>
    <x:row r="157">
      <x:c r="A157" s="1" t="str">
        <x:f>'Данные'!A157</x:f>
        <x:v>333323583</x:v>
      </x:c>
      <x:c r="B157" s="1" t="str">
        <x:f>'Данные'!B157</x:f>
        <x:v>hudicroppetl/серыймеланж2</x:v>
      </x:c>
      <x:c r="C157" s="8" t="n">
        <x:f>'Данные'!G157</x:f>
        <x:v>1173668</x:v>
      </x:c>
      <x:c r="D157" s="15" t="n">
        <x:f>C157/SUM($C$5:$C$2477)</x:f>
        <x:v>0.0013711066901712793</x:v>
      </x:c>
      <x:c r="E157" s="15" t="n">
        <x:f>SUM($D$5:D157)</x:f>
        <x:v>0.5545960510436206</x:v>
      </x:c>
      <x:c r="F157" s="1" t="str">
        <x:f>IF(C157&lt;=0,"C",IF(E157-D157&lt;'Дашборд'!$C$49,"A",IF(E157-D157&lt;'Дашборд'!$C$50,"B","C")))</x:f>
        <x:v>A</x:v>
      </x:c>
      <x:c r="G157" s="8" t="n">
        <x:f>'Данные'!F157</x:f>
        <x:v>1121</x:v>
      </x:c>
      <x:c r="H157" s="8" t="n">
        <x:f>SUM('Данные'!H157:I157)</x:f>
        <x:v>77</x:v>
      </x:c>
      <x:c r="I157" s="16" t="n">
        <x:f>IF(H157&gt;0,G157/H157,"n.a.")</x:f>
        <x:v>14.558441558441558</x:v>
      </x:c>
      <x:c r="J157" s="10" t="n">
        <x:f>IF('Данные'!E157&gt;0,G157/'Данные'!E157,"n.a.")</x:f>
        <x:v>0.024657956095200387</x:v>
      </x:c>
      <x:c r="K157" s="1" t="str">
        <x:f>IF(G157&gt;='Дашборд'!$C$51,"X","Z")</x:f>
        <x:v>X</x:v>
      </x:c>
      <x:c r="L157" s="1" t="str">
        <x:f>IF(H157=0,IF(G157&gt;0,"Нет остатка","Нет спроса"),IF(I157&gt;='Дашборд'!$C$52,"Быстрый","Медленный"))</x:f>
        <x:v>Быстрый</x:v>
      </x:c>
      <x:c r="M157" s="1" t="str">
        <x:f>IF('Данные'!E157&lt;'Дашборд'!$C$53,"Мало трафика",IF(J157&lt;'Дашборд'!$C$9*'Дашборд'!$C$54,"Да","Нет"))</x:f>
        <x:v>Нет</x:v>
      </x:c>
      <x:c r="N157" s="1" t="str">
        <x:f>IF(AND('Данные'!D157&gt;='Дашборд'!$C$55,D157&lt;'Дашборд'!$C$56,'Данные'!E157&gt;='Дашборд'!$C$53,'Данные'!L157&lt;&gt;"Да"),"Да","Нет")</x:f>
        <x:v>Нет</x:v>
      </x:c>
      <x:c r="O157" s="1" t="str">
        <x:f>'Данные'!L157</x:f>
        <x:v>Нет</x:v>
      </x:c>
    </x:row>
    <x:row r="158">
      <x:c r="A158" s="1" t="str">
        <x:f>'Данные'!A158</x:f>
        <x:v>196159691</x:v>
      </x:c>
      <x:c r="B158" s="1" t="str">
        <x:f>'Данные'!B158</x:f>
        <x:v>futbolkaprint/LoveNever-45/молочный</x:v>
      </x:c>
      <x:c r="C158" s="8" t="n">
        <x:f>'Данные'!G158</x:f>
        <x:v>1164974</x:v>
      </x:c>
      <x:c r="D158" s="15" t="n">
        <x:f>C158/SUM($C$5:$C$2477)</x:f>
        <x:v>0.0013609501539409749</x:v>
      </x:c>
      <x:c r="E158" s="15" t="n">
        <x:f>SUM($D$5:D158)</x:f>
        <x:v>0.5559570011975616</x:v>
      </x:c>
      <x:c r="F158" s="1" t="str">
        <x:f>IF(C158&lt;=0,"C",IF(E158-D158&lt;'Дашборд'!$C$49,"A",IF(E158-D158&lt;'Дашборд'!$C$50,"B","C")))</x:f>
        <x:v>A</x:v>
      </x:c>
      <x:c r="G158" s="8" t="n">
        <x:f>'Данные'!F158</x:f>
        <x:v>1978</x:v>
      </x:c>
      <x:c r="H158" s="8" t="n">
        <x:f>SUM('Данные'!H158:I158)</x:f>
        <x:v>33</x:v>
      </x:c>
      <x:c r="I158" s="16" t="n">
        <x:f>IF(H158&gt;0,G158/H158,"n.a.")</x:f>
        <x:v>59.93939393939394</x:v>
      </x:c>
      <x:c r="J158" s="10" t="n">
        <x:f>IF('Данные'!E158&gt;0,G158/'Данные'!E158,"n.a.")</x:f>
        <x:v>0.01670960929250264</x:v>
      </x:c>
      <x:c r="K158" s="1" t="str">
        <x:f>IF(G158&gt;='Дашборд'!$C$51,"X","Z")</x:f>
        <x:v>X</x:v>
      </x:c>
      <x:c r="L158" s="1" t="str">
        <x:f>IF(H158=0,IF(G158&gt;0,"Нет остатка","Нет спроса"),IF(I158&gt;='Дашборд'!$C$52,"Быстрый","Медленный"))</x:f>
        <x:v>Быстрый</x:v>
      </x:c>
      <x:c r="M158" s="1" t="str">
        <x:f>IF('Данные'!E158&lt;'Дашборд'!$C$53,"Мало трафика",IF(J158&lt;'Дашборд'!$C$9*'Дашборд'!$C$54,"Да","Нет"))</x:f>
        <x:v>Нет</x:v>
      </x:c>
      <x:c r="N158" s="1" t="str">
        <x:f>IF(AND('Данные'!D158&gt;='Дашборд'!$C$55,D158&lt;'Дашборд'!$C$56,'Данные'!E158&gt;='Дашборд'!$C$53,'Данные'!L158&lt;&gt;"Да"),"Да","Нет")</x:f>
        <x:v>Нет</x:v>
      </x:c>
      <x:c r="O158" s="1" t="str">
        <x:f>'Данные'!L158</x:f>
        <x:v>Нет</x:v>
      </x:c>
    </x:row>
    <x:row r="159">
      <x:c r="A159" s="1" t="str">
        <x:f>'Данные'!A159</x:f>
        <x:v>165788813</x:v>
      </x:c>
      <x:c r="B159" s="1" t="str">
        <x:f>'Данные'!B159</x:f>
        <x:v>hudi/синий</x:v>
      </x:c>
      <x:c r="C159" s="8" t="n">
        <x:f>'Данные'!G159</x:f>
        <x:v>1160644</x:v>
      </x:c>
      <x:c r="D159" s="15" t="n">
        <x:f>C159/SUM($C$5:$C$2477)</x:f>
        <x:v>0.0013558917456275152</x:v>
      </x:c>
      <x:c r="E159" s="15" t="n">
        <x:f>SUM($D$5:D159)</x:f>
        <x:v>0.5573128929431892</x:v>
      </x:c>
      <x:c r="F159" s="1" t="str">
        <x:f>IF(C159&lt;=0,"C",IF(E159-D159&lt;'Дашборд'!$C$49,"A",IF(E159-D159&lt;'Дашборд'!$C$50,"B","C")))</x:f>
        <x:v>A</x:v>
      </x:c>
      <x:c r="G159" s="8" t="n">
        <x:f>'Данные'!F159</x:f>
        <x:v>843</x:v>
      </x:c>
      <x:c r="H159" s="8" t="n">
        <x:f>SUM('Данные'!H159:I159)</x:f>
        <x:v>5</x:v>
      </x:c>
      <x:c r="I159" s="16" t="n">
        <x:f>IF(H159&gt;0,G159/H159,"n.a.")</x:f>
        <x:v>168.6</x:v>
      </x:c>
      <x:c r="J159" s="10" t="n">
        <x:f>IF('Данные'!E159&gt;0,G159/'Данные'!E159,"n.a.")</x:f>
        <x:v>0.0119281762483551</x:v>
      </x:c>
      <x:c r="K159" s="1" t="str">
        <x:f>IF(G159&gt;='Дашборд'!$C$51,"X","Z")</x:f>
        <x:v>X</x:v>
      </x:c>
      <x:c r="L159" s="1" t="str">
        <x:f>IF(H159=0,IF(G159&gt;0,"Нет остатка","Нет спроса"),IF(I159&gt;='Дашборд'!$C$52,"Быстрый","Медленный"))</x:f>
        <x:v>Быстрый</x:v>
      </x:c>
      <x:c r="M159" s="1" t="str">
        <x:f>IF('Данные'!E159&lt;'Дашборд'!$C$53,"Мало трафика",IF(J159&lt;'Дашборд'!$C$9*'Дашборд'!$C$54,"Да","Нет"))</x:f>
        <x:v>Нет</x:v>
      </x:c>
      <x:c r="N159" s="1" t="str">
        <x:f>IF(AND('Данные'!D159&gt;='Дашборд'!$C$55,D159&lt;'Дашборд'!$C$56,'Данные'!E159&gt;='Дашборд'!$C$53,'Данные'!L159&lt;&gt;"Да"),"Да","Нет")</x:f>
        <x:v>Нет</x:v>
      </x:c>
      <x:c r="O159" s="1" t="str">
        <x:f>'Данные'!L159</x:f>
        <x:v>Нет</x:v>
      </x:c>
    </x:row>
    <x:row r="160">
      <x:c r="A160" s="1" t="str">
        <x:f>'Данные'!A160</x:f>
        <x:v>229154428</x:v>
      </x:c>
      <x:c r="B160" s="1" t="str">
        <x:f>'Данные'!B160</x:f>
        <x:v>futbolkamanoverX3/кор-бел-сер</x:v>
      </x:c>
      <x:c r="C160" s="8" t="n">
        <x:f>'Данные'!G160</x:f>
        <x:v>1156465</x:v>
      </x:c>
      <x:c r="D160" s="15" t="n">
        <x:f>C160/SUM($C$5:$C$2477)</x:f>
        <x:v>0.0013510097390820304</x:v>
      </x:c>
      <x:c r="E160" s="15" t="n">
        <x:f>SUM($D$5:D160)</x:f>
        <x:v>0.5586639026822712</x:v>
      </x:c>
      <x:c r="F160" s="1" t="str">
        <x:f>IF(C160&lt;=0,"C",IF(E160-D160&lt;'Дашборд'!$C$49,"A",IF(E160-D160&lt;'Дашборд'!$C$50,"B","C")))</x:f>
        <x:v>A</x:v>
      </x:c>
      <x:c r="G160" s="8" t="n">
        <x:f>'Данные'!F160</x:f>
        <x:v>919</x:v>
      </x:c>
      <x:c r="H160" s="8" t="n">
        <x:f>SUM('Данные'!H160:I160)</x:f>
        <x:v>186</x:v>
      </x:c>
      <x:c r="I160" s="16" t="n">
        <x:f>IF(H160&gt;0,G160/H160,"n.a.")</x:f>
        <x:v>4.940860215053763</x:v>
      </x:c>
      <x:c r="J160" s="10" t="n">
        <x:f>IF('Данные'!E160&gt;0,G160/'Данные'!E160,"n.a.")</x:f>
        <x:v>0.02218788478717497</x:v>
      </x:c>
      <x:c r="K160" s="1" t="str">
        <x:f>IF(G160&gt;='Дашборд'!$C$51,"X","Z")</x:f>
        <x:v>X</x:v>
      </x:c>
      <x:c r="L160" s="1" t="str">
        <x:f>IF(H160=0,IF(G160&gt;0,"Нет остатка","Нет спроса"),IF(I160&gt;='Дашборд'!$C$52,"Быстрый","Медленный"))</x:f>
        <x:v>Быстрый</x:v>
      </x:c>
      <x:c r="M160" s="1" t="str">
        <x:f>IF('Данные'!E160&lt;'Дашборд'!$C$53,"Мало трафика",IF(J160&lt;'Дашборд'!$C$9*'Дашборд'!$C$54,"Да","Нет"))</x:f>
        <x:v>Нет</x:v>
      </x:c>
      <x:c r="N160" s="1" t="str">
        <x:f>IF(AND('Данные'!D160&gt;='Дашборд'!$C$55,D160&lt;'Дашборд'!$C$56,'Данные'!E160&gt;='Дашборд'!$C$53,'Данные'!L160&lt;&gt;"Да"),"Да","Нет")</x:f>
        <x:v>Нет</x:v>
      </x:c>
      <x:c r="O160" s="1" t="str">
        <x:f>'Данные'!L160</x:f>
        <x:v>Нет</x:v>
      </x:c>
    </x:row>
    <x:row r="161">
      <x:c r="A161" s="1" t="str">
        <x:f>'Данные'!A161</x:f>
        <x:v>288644217</x:v>
      </x:c>
      <x:c r="B161" s="1" t="str">
        <x:f>'Данные'!B161</x:f>
        <x:v>hudicrop1/коричневый</x:v>
      </x:c>
      <x:c r="C161" s="8" t="n">
        <x:f>'Данные'!G161</x:f>
        <x:v>1150461</x:v>
      </x:c>
      <x:c r="D161" s="15" t="n">
        <x:f>C161/SUM($C$5:$C$2477)</x:f>
        <x:v>0.0013439957244136675</x:v>
      </x:c>
      <x:c r="E161" s="15" t="n">
        <x:f>SUM($D$5:D161)</x:f>
        <x:v>0.5600078984066849</x:v>
      </x:c>
      <x:c r="F161" s="1" t="str">
        <x:f>IF(C161&lt;=0,"C",IF(E161-D161&lt;'Дашборд'!$C$49,"A",IF(E161-D161&lt;'Дашборд'!$C$50,"B","C")))</x:f>
        <x:v>A</x:v>
      </x:c>
      <x:c r="G161" s="8" t="n">
        <x:f>'Данные'!F161</x:f>
        <x:v>960</x:v>
      </x:c>
      <x:c r="H161" s="8" t="n">
        <x:f>SUM('Данные'!H161:I161)</x:f>
        <x:v>7</x:v>
      </x:c>
      <x:c r="I161" s="16" t="n">
        <x:f>IF(H161&gt;0,G161/H161,"n.a.")</x:f>
        <x:v>137.14285714285714</x:v>
      </x:c>
      <x:c r="J161" s="10" t="n">
        <x:f>IF('Данные'!E161&gt;0,G161/'Данные'!E161,"n.a.")</x:f>
        <x:v>0.01362745933055106</x:v>
      </x:c>
      <x:c r="K161" s="1" t="str">
        <x:f>IF(G161&gt;='Дашборд'!$C$51,"X","Z")</x:f>
        <x:v>X</x:v>
      </x:c>
      <x:c r="L161" s="1" t="str">
        <x:f>IF(H161=0,IF(G161&gt;0,"Нет остатка","Нет спроса"),IF(I161&gt;='Дашборд'!$C$52,"Быстрый","Медленный"))</x:f>
        <x:v>Быстрый</x:v>
      </x:c>
      <x:c r="M161" s="1" t="str">
        <x:f>IF('Данные'!E161&lt;'Дашборд'!$C$53,"Мало трафика",IF(J161&lt;'Дашборд'!$C$9*'Дашборд'!$C$54,"Да","Нет"))</x:f>
        <x:v>Нет</x:v>
      </x:c>
      <x:c r="N161" s="1" t="str">
        <x:f>IF(AND('Данные'!D161&gt;='Дашборд'!$C$55,D161&lt;'Дашборд'!$C$56,'Данные'!E161&gt;='Дашборд'!$C$53,'Данные'!L161&lt;&gt;"Да"),"Да","Нет")</x:f>
        <x:v>Нет</x:v>
      </x:c>
      <x:c r="O161" s="1" t="str">
        <x:f>'Данные'!L161</x:f>
        <x:v>Нет</x:v>
      </x:c>
    </x:row>
    <x:row r="162">
      <x:c r="A162" s="1" t="str">
        <x:f>'Данные'!A162</x:f>
        <x:v>211585146</x:v>
      </x:c>
      <x:c r="B162" s="1" t="str">
        <x:f>'Данные'!B162</x:f>
        <x:v>tolstovkazip/коричневый</x:v>
      </x:c>
      <x:c r="C162" s="8" t="n">
        <x:f>'Данные'!G162</x:f>
        <x:v>1147044</x:v>
      </x:c>
      <x:c r="D162" s="15" t="n">
        <x:f>C162/SUM($C$5:$C$2477)</x:f>
        <x:v>0.0013400039042734614</x:v>
      </x:c>
      <x:c r="E162" s="15" t="n">
        <x:f>SUM($D$5:D162)</x:f>
        <x:v>0.5613479023109583</x:v>
      </x:c>
      <x:c r="F162" s="1" t="str">
        <x:f>IF(C162&lt;=0,"C",IF(E162-D162&lt;'Дашборд'!$C$49,"A",IF(E162-D162&lt;'Дашборд'!$C$50,"B","C")))</x:f>
        <x:v>A</x:v>
      </x:c>
      <x:c r="G162" s="8" t="n">
        <x:f>'Данные'!F162</x:f>
        <x:v>816</x:v>
      </x:c>
      <x:c r="H162" s="8" t="n">
        <x:f>SUM('Данные'!H162:I162)</x:f>
        <x:v>2</x:v>
      </x:c>
      <x:c r="I162" s="16" t="n">
        <x:f>IF(H162&gt;0,G162/H162,"n.a.")</x:f>
        <x:v>408</x:v>
      </x:c>
      <x:c r="J162" s="10" t="n">
        <x:f>IF('Данные'!E162&gt;0,G162/'Данные'!E162,"n.a.")</x:f>
        <x:v>0.017749934742886976</x:v>
      </x:c>
      <x:c r="K162" s="1" t="str">
        <x:f>IF(G162&gt;='Дашборд'!$C$51,"X","Z")</x:f>
        <x:v>X</x:v>
      </x:c>
      <x:c r="L162" s="1" t="str">
        <x:f>IF(H162=0,IF(G162&gt;0,"Нет остатка","Нет спроса"),IF(I162&gt;='Дашборд'!$C$52,"Быстрый","Медленный"))</x:f>
        <x:v>Быстрый</x:v>
      </x:c>
      <x:c r="M162" s="1" t="str">
        <x:f>IF('Данные'!E162&lt;'Дашборд'!$C$53,"Мало трафика",IF(J162&lt;'Дашборд'!$C$9*'Дашборд'!$C$54,"Да","Нет"))</x:f>
        <x:v>Нет</x:v>
      </x:c>
      <x:c r="N162" s="1" t="str">
        <x:f>IF(AND('Данные'!D162&gt;='Дашборд'!$C$55,D162&lt;'Дашборд'!$C$56,'Данные'!E162&gt;='Дашборд'!$C$53,'Данные'!L162&lt;&gt;"Да"),"Да","Нет")</x:f>
        <x:v>Нет</x:v>
      </x:c>
      <x:c r="O162" s="1" t="str">
        <x:f>'Данные'!L162</x:f>
        <x:v>Нет</x:v>
      </x:c>
    </x:row>
    <x:row r="163">
      <x:c r="A163" s="1" t="str">
        <x:f>'Данные'!A163</x:f>
        <x:v>200739285</x:v>
      </x:c>
      <x:c r="B163" s="1" t="str">
        <x:f>'Данные'!B163</x:f>
        <x:v>tolstovkazip/серыймеланж2</x:v>
      </x:c>
      <x:c r="C163" s="8" t="n">
        <x:f>'Данные'!G163</x:f>
        <x:v>1144723</x:v>
      </x:c>
      <x:c r="D163" s="15" t="n">
        <x:f>C163/SUM($C$5:$C$2477)</x:f>
        <x:v>0.0013372924572306116</x:v>
      </x:c>
      <x:c r="E163" s="15" t="n">
        <x:f>SUM($D$5:D163)</x:f>
        <x:v>0.5626851947681889</x:v>
      </x:c>
      <x:c r="F163" s="1" t="str">
        <x:f>IF(C163&lt;=0,"C",IF(E163-D163&lt;'Дашборд'!$C$49,"A",IF(E163-D163&lt;'Дашборд'!$C$50,"B","C")))</x:f>
        <x:v>A</x:v>
      </x:c>
      <x:c r="G163" s="8" t="n">
        <x:f>'Данные'!F163</x:f>
        <x:v>814</x:v>
      </x:c>
      <x:c r="H163" s="8" t="n">
        <x:f>SUM('Данные'!H163:I163)</x:f>
        <x:v>118</x:v>
      </x:c>
      <x:c r="I163" s="16" t="n">
        <x:f>IF(H163&gt;0,G163/H163,"n.a.")</x:f>
        <x:v>6.898305084745763</x:v>
      </x:c>
      <x:c r="J163" s="10" t="n">
        <x:f>IF('Данные'!E163&gt;0,G163/'Данные'!E163,"n.a.")</x:f>
        <x:v>0.011521585279547063</x:v>
      </x:c>
      <x:c r="K163" s="1" t="str">
        <x:f>IF(G163&gt;='Дашборд'!$C$51,"X","Z")</x:f>
        <x:v>X</x:v>
      </x:c>
      <x:c r="L163" s="1" t="str">
        <x:f>IF(H163=0,IF(G163&gt;0,"Нет остатка","Нет спроса"),IF(I163&gt;='Дашборд'!$C$52,"Быстрый","Медленный"))</x:f>
        <x:v>Быстрый</x:v>
      </x:c>
      <x:c r="M163" s="1" t="str">
        <x:f>IF('Данные'!E163&lt;'Дашборд'!$C$53,"Мало трафика",IF(J163&lt;'Дашборд'!$C$9*'Дашборд'!$C$54,"Да","Нет"))</x:f>
        <x:v>Нет</x:v>
      </x:c>
      <x:c r="N163" s="1" t="str">
        <x:f>IF(AND('Данные'!D163&gt;='Дашборд'!$C$55,D163&lt;'Дашборд'!$C$56,'Данные'!E163&gt;='Дашборд'!$C$53,'Данные'!L163&lt;&gt;"Да"),"Да","Нет")</x:f>
        <x:v>Нет</x:v>
      </x:c>
      <x:c r="O163" s="1" t="str">
        <x:f>'Данные'!L163</x:f>
        <x:v>Нет</x:v>
      </x:c>
    </x:row>
    <x:row r="164">
      <x:c r="A164" s="1" t="str">
        <x:f>'Данные'!A164</x:f>
        <x:v>321787189</x:v>
      </x:c>
      <x:c r="B164" s="1" t="str">
        <x:f>'Данные'!B164</x:f>
        <x:v>tshirtsuperover3K-E1/черный</x:v>
      </x:c>
      <x:c r="C164" s="8" t="n">
        <x:f>'Данные'!G164</x:f>
        <x:v>1130536</x:v>
      </x:c>
      <x:c r="D164" s="15" t="n">
        <x:f>C164/SUM($C$5:$C$2477)</x:f>
        <x:v>0.0013207188686063498</x:v>
      </x:c>
      <x:c r="E164" s="15" t="n">
        <x:f>SUM($D$5:D164)</x:f>
        <x:v>0.5640059136367952</x:v>
      </x:c>
      <x:c r="F164" s="1" t="str">
        <x:f>IF(C164&lt;=0,"C",IF(E164-D164&lt;'Дашборд'!$C$49,"A",IF(E164-D164&lt;'Дашборд'!$C$50,"B","C")))</x:f>
        <x:v>A</x:v>
      </x:c>
      <x:c r="G164" s="8" t="n">
        <x:f>'Данные'!F164</x:f>
        <x:v>1549</x:v>
      </x:c>
      <x:c r="H164" s="8" t="n">
        <x:f>SUM('Данные'!H164:I164)</x:f>
        <x:v>553</x:v>
      </x:c>
      <x:c r="I164" s="16" t="n">
        <x:f>IF(H164&gt;0,G164/H164,"n.a.")</x:f>
        <x:v>2.8010849909584086</x:v>
      </x:c>
      <x:c r="J164" s="10" t="n">
        <x:f>IF('Данные'!E164&gt;0,G164/'Данные'!E164,"n.a.")</x:f>
        <x:v>0.014412520004466113</x:v>
      </x:c>
      <x:c r="K164" s="1" t="str">
        <x:f>IF(G164&gt;='Дашборд'!$C$51,"X","Z")</x:f>
        <x:v>X</x:v>
      </x:c>
      <x:c r="L164" s="1" t="str">
        <x:f>IF(H164=0,IF(G164&gt;0,"Нет остатка","Нет спроса"),IF(I164&gt;='Дашборд'!$C$52,"Быстрый","Медленный"))</x:f>
        <x:v>Быстрый</x:v>
      </x:c>
      <x:c r="M164" s="1" t="str">
        <x:f>IF('Данные'!E164&lt;'Дашборд'!$C$53,"Мало трафика",IF(J164&lt;'Дашборд'!$C$9*'Дашборд'!$C$54,"Да","Нет"))</x:f>
        <x:v>Нет</x:v>
      </x:c>
      <x:c r="N164" s="1" t="str">
        <x:f>IF(AND('Данные'!D164&gt;='Дашборд'!$C$55,D164&lt;'Дашборд'!$C$56,'Данные'!E164&gt;='Дашборд'!$C$53,'Данные'!L164&lt;&gt;"Да"),"Да","Нет")</x:f>
        <x:v>Нет</x:v>
      </x:c>
      <x:c r="O164" s="1" t="str">
        <x:f>'Данные'!L164</x:f>
        <x:v>Нет</x:v>
      </x:c>
    </x:row>
    <x:row r="165">
      <x:c r="A165" s="1" t="str">
        <x:f>'Данные'!A165</x:f>
        <x:v>222802037</x:v>
      </x:c>
      <x:c r="B165" s="1" t="str">
        <x:f>'Данные'!B165</x:f>
        <x:v>brukimanpetl/серыймеланж2</x:v>
      </x:c>
      <x:c r="C165" s="8" t="n">
        <x:f>'Данные'!G165</x:f>
        <x:v>1121487</x:v>
      </x:c>
      <x:c r="D165" s="15" t="n">
        <x:f>C165/SUM($C$5:$C$2477)</x:f>
        <x:v>0.0013101476129877593</x:v>
      </x:c>
      <x:c r="E165" s="15" t="n">
        <x:f>SUM($D$5:D165)</x:f>
        <x:v>0.565316061249783</x:v>
      </x:c>
      <x:c r="F165" s="1" t="str">
        <x:f>IF(C165&lt;=0,"C",IF(E165-D165&lt;'Дашборд'!$C$49,"A",IF(E165-D165&lt;'Дашборд'!$C$50,"B","C")))</x:f>
        <x:v>A</x:v>
      </x:c>
      <x:c r="G165" s="8" t="n">
        <x:f>'Данные'!F165</x:f>
        <x:v>1419</x:v>
      </x:c>
      <x:c r="H165" s="8" t="n">
        <x:f>SUM('Данные'!H165:I165)</x:f>
        <x:v>125</x:v>
      </x:c>
      <x:c r="I165" s="16" t="n">
        <x:f>IF(H165&gt;0,G165/H165,"n.a.")</x:f>
        <x:v>11.352</x:v>
      </x:c>
      <x:c r="J165" s="10" t="n">
        <x:f>IF('Данные'!E165&gt;0,G165/'Данные'!E165,"n.a.")</x:f>
        <x:v>0.03838454879896126</x:v>
      </x:c>
      <x:c r="K165" s="1" t="str">
        <x:f>IF(G165&gt;='Дашборд'!$C$51,"X","Z")</x:f>
        <x:v>X</x:v>
      </x:c>
      <x:c r="L165" s="1" t="str">
        <x:f>IF(H165=0,IF(G165&gt;0,"Нет остатка","Нет спроса"),IF(I165&gt;='Дашборд'!$C$52,"Быстрый","Медленный"))</x:f>
        <x:v>Быстрый</x:v>
      </x:c>
      <x:c r="M165" s="1" t="str">
        <x:f>IF('Данные'!E165&lt;'Дашборд'!$C$53,"Мало трафика",IF(J165&lt;'Дашборд'!$C$9*'Дашборд'!$C$54,"Да","Нет"))</x:f>
        <x:v>Нет</x:v>
      </x:c>
      <x:c r="N165" s="1" t="str">
        <x:f>IF(AND('Данные'!D165&gt;='Дашборд'!$C$55,D165&lt;'Дашборд'!$C$56,'Данные'!E165&gt;='Дашборд'!$C$53,'Данные'!L165&lt;&gt;"Да"),"Да","Нет")</x:f>
        <x:v>Нет</x:v>
      </x:c>
      <x:c r="O165" s="1" t="str">
        <x:f>'Данные'!L165</x:f>
        <x:v>Нет</x:v>
      </x:c>
    </x:row>
    <x:row r="166">
      <x:c r="A166" s="1" t="str">
        <x:f>'Данные'!A166</x:f>
        <x:v>297440101</x:v>
      </x:c>
      <x:c r="B166" s="1" t="str">
        <x:f>'Данные'!B166</x:f>
        <x:v>longover/пудровый</x:v>
      </x:c>
      <x:c r="C166" s="8" t="n">
        <x:f>'Данные'!G166</x:f>
        <x:v>1113353</x:v>
      </x:c>
      <x:c r="D166" s="15" t="n">
        <x:f>C166/SUM($C$5:$C$2477)</x:f>
        <x:v>0.0013006452819896805</x:v>
      </x:c>
      <x:c r="E166" s="15" t="n">
        <x:f>SUM($D$5:D166)</x:f>
        <x:v>0.5666167065317727</x:v>
      </x:c>
      <x:c r="F166" s="1" t="str">
        <x:f>IF(C166&lt;=0,"C",IF(E166-D166&lt;'Дашборд'!$C$49,"A",IF(E166-D166&lt;'Дашборд'!$C$50,"B","C")))</x:f>
        <x:v>A</x:v>
      </x:c>
      <x:c r="G166" s="8" t="n">
        <x:f>'Данные'!F166</x:f>
        <x:v>2608</x:v>
      </x:c>
      <x:c r="H166" s="8" t="n">
        <x:f>SUM('Данные'!H166:I166)</x:f>
        <x:v>988</x:v>
      </x:c>
      <x:c r="I166" s="16" t="n">
        <x:f>IF(H166&gt;0,G166/H166,"n.a.")</x:f>
        <x:v>2.639676113360324</x:v>
      </x:c>
      <x:c r="J166" s="10" t="n">
        <x:f>IF('Данные'!E166&gt;0,G166/'Данные'!E166,"n.a.")</x:f>
        <x:v>0.020944426598136844</x:v>
      </x:c>
      <x:c r="K166" s="1" t="str">
        <x:f>IF(G166&gt;='Дашборд'!$C$51,"X","Z")</x:f>
        <x:v>X</x:v>
      </x:c>
      <x:c r="L166" s="1" t="str">
        <x:f>IF(H166=0,IF(G166&gt;0,"Нет остатка","Нет спроса"),IF(I166&gt;='Дашборд'!$C$52,"Быстрый","Медленный"))</x:f>
        <x:v>Быстрый</x:v>
      </x:c>
      <x:c r="M166" s="1" t="str">
        <x:f>IF('Данные'!E166&lt;'Дашборд'!$C$53,"Мало трафика",IF(J166&lt;'Дашборд'!$C$9*'Дашборд'!$C$54,"Да","Нет"))</x:f>
        <x:v>Нет</x:v>
      </x:c>
      <x:c r="N166" s="1" t="str">
        <x:f>IF(AND('Данные'!D166&gt;='Дашборд'!$C$55,D166&lt;'Дашборд'!$C$56,'Данные'!E166&gt;='Дашборд'!$C$53,'Данные'!L166&lt;&gt;"Да"),"Да","Нет")</x:f>
        <x:v>Нет</x:v>
      </x:c>
      <x:c r="O166" s="1" t="str">
        <x:f>'Данные'!L166</x:f>
        <x:v>Нет</x:v>
      </x:c>
    </x:row>
    <x:row r="167">
      <x:c r="A167" s="1" t="str">
        <x:f>'Данные'!A167</x:f>
        <x:v>297352523</x:v>
      </x:c>
      <x:c r="B167" s="1" t="str">
        <x:f>'Данные'!B167</x:f>
        <x:v>tolstovkazipman/изумрудно-зеленый</x:v>
      </x:c>
      <x:c r="C167" s="8" t="n">
        <x:f>'Данные'!G167</x:f>
        <x:v>1105855</x:v>
      </x:c>
      <x:c r="D167" s="15" t="n">
        <x:f>C167/SUM($C$5:$C$2477)</x:f>
        <x:v>0.0012918859412196296</x:v>
      </x:c>
      <x:c r="E167" s="15" t="n">
        <x:f>SUM($D$5:D167)</x:f>
        <x:v>0.5679085924729923</x:v>
      </x:c>
      <x:c r="F167" s="1" t="str">
        <x:f>IF(C167&lt;=0,"C",IF(E167-D167&lt;'Дашборд'!$C$49,"A",IF(E167-D167&lt;'Дашборд'!$C$50,"B","C")))</x:f>
        <x:v>A</x:v>
      </x:c>
      <x:c r="G167" s="8" t="n">
        <x:f>'Данные'!F167</x:f>
        <x:v>833</x:v>
      </x:c>
      <x:c r="H167" s="8" t="n">
        <x:f>SUM('Данные'!H167:I167)</x:f>
        <x:v>74</x:v>
      </x:c>
      <x:c r="I167" s="16" t="n">
        <x:f>IF(H167&gt;0,G167/H167,"n.a.")</x:f>
        <x:v>11.256756756756756</x:v>
      </x:c>
      <x:c r="J167" s="10" t="n">
        <x:f>IF('Данные'!E167&gt;0,G167/'Данные'!E167,"n.a.")</x:f>
        <x:v>0.012018814566860969</x:v>
      </x:c>
      <x:c r="K167" s="1" t="str">
        <x:f>IF(G167&gt;='Дашборд'!$C$51,"X","Z")</x:f>
        <x:v>X</x:v>
      </x:c>
      <x:c r="L167" s="1" t="str">
        <x:f>IF(H167=0,IF(G167&gt;0,"Нет остатка","Нет спроса"),IF(I167&gt;='Дашборд'!$C$52,"Быстрый","Медленный"))</x:f>
        <x:v>Быстрый</x:v>
      </x:c>
      <x:c r="M167" s="1" t="str">
        <x:f>IF('Данные'!E167&lt;'Дашборд'!$C$53,"Мало трафика",IF(J167&lt;'Дашборд'!$C$9*'Дашборд'!$C$54,"Да","Нет"))</x:f>
        <x:v>Нет</x:v>
      </x:c>
      <x:c r="N167" s="1" t="str">
        <x:f>IF(AND('Данные'!D167&gt;='Дашборд'!$C$55,D167&lt;'Дашборд'!$C$56,'Данные'!E167&gt;='Дашборд'!$C$53,'Данные'!L167&lt;&gt;"Да"),"Да","Нет")</x:f>
        <x:v>Нет</x:v>
      </x:c>
      <x:c r="O167" s="1" t="str">
        <x:f>'Данные'!L167</x:f>
        <x:v>Нет</x:v>
      </x:c>
    </x:row>
    <x:row r="168">
      <x:c r="A168" s="1" t="str">
        <x:f>'Данные'!A168</x:f>
        <x:v>207468068</x:v>
      </x:c>
      <x:c r="B168" s="1" t="str">
        <x:f>'Данные'!B168</x:f>
        <x:v>kulirkamanprint/Brukman-42/черный</x:v>
      </x:c>
      <x:c r="C168" s="8" t="n">
        <x:f>'Данные'!G168</x:f>
        <x:v>1105846</x:v>
      </x:c>
      <x:c r="D168" s="15" t="n">
        <x:f>C168/SUM($C$5:$C$2477)</x:f>
        <x:v>0.0012918754272069686</x:v>
      </x:c>
      <x:c r="E168" s="15" t="n">
        <x:f>SUM($D$5:D168)</x:f>
        <x:v>0.5692004679001993</x:v>
      </x:c>
      <x:c r="F168" s="1" t="str">
        <x:f>IF(C168&lt;=0,"C",IF(E168-D168&lt;'Дашборд'!$C$49,"A",IF(E168-D168&lt;'Дашборд'!$C$50,"B","C")))</x:f>
        <x:v>A</x:v>
      </x:c>
      <x:c r="G168" s="8" t="n">
        <x:f>'Данные'!F168</x:f>
        <x:v>1894</x:v>
      </x:c>
      <x:c r="H168" s="8" t="n">
        <x:f>SUM('Данные'!H168:I168)</x:f>
        <x:v>766</x:v>
      </x:c>
      <x:c r="I168" s="16" t="n">
        <x:f>IF(H168&gt;0,G168/H168,"n.a.")</x:f>
        <x:v>2.4725848563968666</x:v>
      </x:c>
      <x:c r="J168" s="10" t="n">
        <x:f>IF('Данные'!E168&gt;0,G168/'Данные'!E168,"n.a.")</x:f>
        <x:v>0.02585242008135186</x:v>
      </x:c>
      <x:c r="K168" s="1" t="str">
        <x:f>IF(G168&gt;='Дашборд'!$C$51,"X","Z")</x:f>
        <x:v>X</x:v>
      </x:c>
      <x:c r="L168" s="1" t="str">
        <x:f>IF(H168=0,IF(G168&gt;0,"Нет остатка","Нет спроса"),IF(I168&gt;='Дашборд'!$C$52,"Быстрый","Медленный"))</x:f>
        <x:v>Быстрый</x:v>
      </x:c>
      <x:c r="M168" s="1" t="str">
        <x:f>IF('Данные'!E168&lt;'Дашборд'!$C$53,"Мало трафика",IF(J168&lt;'Дашборд'!$C$9*'Дашборд'!$C$54,"Да","Нет"))</x:f>
        <x:v>Нет</x:v>
      </x:c>
      <x:c r="N168" s="1" t="str">
        <x:f>IF(AND('Данные'!D168&gt;='Дашборд'!$C$55,D168&lt;'Дашборд'!$C$56,'Данные'!E168&gt;='Дашборд'!$C$53,'Данные'!L168&lt;&gt;"Да"),"Да","Нет")</x:f>
        <x:v>Нет</x:v>
      </x:c>
      <x:c r="O168" s="1" t="str">
        <x:f>'Данные'!L168</x:f>
        <x:v>Нет</x:v>
      </x:c>
    </x:row>
    <x:row r="169">
      <x:c r="A169" s="1" t="str">
        <x:f>'Данные'!A169</x:f>
        <x:v>289102047</x:v>
      </x:c>
      <x:c r="B169" s="1" t="str">
        <x:f>'Данные'!B169</x:f>
        <x:v>tolstovkazip3P-70/черный</x:v>
      </x:c>
      <x:c r="C169" s="8" t="n">
        <x:f>'Данные'!G169</x:f>
        <x:v>1103424</x:v>
      </x:c>
      <x:c r="D169" s="15" t="n">
        <x:f>C169/SUM($C$5:$C$2477)</x:f>
        <x:v>0.0012890459895775923</x:v>
      </x:c>
      <x:c r="E169" s="15" t="n">
        <x:f>SUM($D$5:D169)</x:f>
        <x:v>0.5704895138897769</x:v>
      </x:c>
      <x:c r="F169" s="1" t="str">
        <x:f>IF(C169&lt;=0,"C",IF(E169-D169&lt;'Дашборд'!$C$49,"A",IF(E169-D169&lt;'Дашборд'!$C$50,"B","C")))</x:f>
        <x:v>A</x:v>
      </x:c>
      <x:c r="G169" s="8" t="n">
        <x:f>'Данные'!F169</x:f>
        <x:v>1108</x:v>
      </x:c>
      <x:c r="H169" s="8" t="n">
        <x:f>SUM('Данные'!H169:I169)</x:f>
        <x:v>86</x:v>
      </x:c>
      <x:c r="I169" s="16" t="n">
        <x:f>IF(H169&gt;0,G169/H169,"n.a.")</x:f>
        <x:v>12.883720930232558</x:v>
      </x:c>
      <x:c r="J169" s="10" t="n">
        <x:f>IF('Данные'!E169&gt;0,G169/'Данные'!E169,"n.a.")</x:f>
        <x:v>0.011838492194929108</x:v>
      </x:c>
      <x:c r="K169" s="1" t="str">
        <x:f>IF(G169&gt;='Дашборд'!$C$51,"X","Z")</x:f>
        <x:v>X</x:v>
      </x:c>
      <x:c r="L169" s="1" t="str">
        <x:f>IF(H169=0,IF(G169&gt;0,"Нет остатка","Нет спроса"),IF(I169&gt;='Дашборд'!$C$52,"Быстрый","Медленный"))</x:f>
        <x:v>Быстрый</x:v>
      </x:c>
      <x:c r="M169" s="1" t="str">
        <x:f>IF('Данные'!E169&lt;'Дашборд'!$C$53,"Мало трафика",IF(J169&lt;'Дашборд'!$C$9*'Дашборд'!$C$54,"Да","Нет"))</x:f>
        <x:v>Нет</x:v>
      </x:c>
      <x:c r="N169" s="1" t="str">
        <x:f>IF(AND('Данные'!D169&gt;='Дашборд'!$C$55,D169&lt;'Дашборд'!$C$56,'Данные'!E169&gt;='Дашборд'!$C$53,'Данные'!L169&lt;&gt;"Да"),"Да","Нет")</x:f>
        <x:v>Нет</x:v>
      </x:c>
      <x:c r="O169" s="1" t="str">
        <x:f>'Данные'!L169</x:f>
        <x:v>Нет</x:v>
      </x:c>
    </x:row>
    <x:row r="170">
      <x:c r="A170" s="1" t="str">
        <x:f>'Данные'!A170</x:f>
        <x:v>165911129</x:v>
      </x:c>
      <x:c r="B170" s="1" t="str">
        <x:f>'Данные'!B170</x:f>
        <x:v>longman/черный</x:v>
      </x:c>
      <x:c r="C170" s="8" t="n">
        <x:f>'Данные'!G170</x:f>
        <x:v>1094007</x:v>
      </x:c>
      <x:c r="D170" s="15" t="n">
        <x:f>C170/SUM($C$5:$C$2477)</x:f>
        <x:v>0.0012780448276635394</x:v>
      </x:c>
      <x:c r="E170" s="15" t="n">
        <x:f>SUM($D$5:D170)</x:f>
        <x:v>0.5717675587174404</x:v>
      </x:c>
      <x:c r="F170" s="1" t="str">
        <x:f>IF(C170&lt;=0,"C",IF(E170-D170&lt;'Дашборд'!$C$49,"A",IF(E170-D170&lt;'Дашборд'!$C$50,"B","C")))</x:f>
        <x:v>A</x:v>
      </x:c>
      <x:c r="G170" s="8" t="n">
        <x:f>'Данные'!F170</x:f>
        <x:v>2308</x:v>
      </x:c>
      <x:c r="H170" s="8" t="n">
        <x:f>SUM('Данные'!H170:I170)</x:f>
        <x:v>1130</x:v>
      </x:c>
      <x:c r="I170" s="16" t="n">
        <x:f>IF(H170&gt;0,G170/H170,"n.a.")</x:f>
        <x:v>2.0424778761061946</x:v>
      </x:c>
      <x:c r="J170" s="10" t="n">
        <x:f>IF('Данные'!E170&gt;0,G170/'Данные'!E170,"n.a.")</x:f>
        <x:v>0.04692773779024847</x:v>
      </x:c>
      <x:c r="K170" s="1" t="str">
        <x:f>IF(G170&gt;='Дашборд'!$C$51,"X","Z")</x:f>
        <x:v>X</x:v>
      </x:c>
      <x:c r="L170" s="1" t="str">
        <x:f>IF(H170=0,IF(G170&gt;0,"Нет остатка","Нет спроса"),IF(I170&gt;='Дашборд'!$C$52,"Быстрый","Медленный"))</x:f>
        <x:v>Быстрый</x:v>
      </x:c>
      <x:c r="M170" s="1" t="str">
        <x:f>IF('Данные'!E170&lt;'Дашборд'!$C$53,"Мало трафика",IF(J170&lt;'Дашборд'!$C$9*'Дашборд'!$C$54,"Да","Нет"))</x:f>
        <x:v>Нет</x:v>
      </x:c>
      <x:c r="N170" s="1" t="str">
        <x:f>IF(AND('Данные'!D170&gt;='Дашборд'!$C$55,D170&lt;'Дашборд'!$C$56,'Данные'!E170&gt;='Дашборд'!$C$53,'Данные'!L170&lt;&gt;"Да"),"Да","Нет")</x:f>
        <x:v>Нет</x:v>
      </x:c>
      <x:c r="O170" s="1" t="str">
        <x:f>'Данные'!L170</x:f>
        <x:v>Нет</x:v>
      </x:c>
    </x:row>
    <x:row r="171">
      <x:c r="A171" s="1" t="str">
        <x:f>'Данные'!A171</x:f>
        <x:v>145845813</x:v>
      </x:c>
      <x:c r="B171" s="1" t="str">
        <x:f>'Данные'!B171</x:f>
        <x:v>svitshotman/черный</x:v>
      </x:c>
      <x:c r="C171" s="8" t="n">
        <x:f>'Данные'!G171</x:f>
        <x:v>1089370</x:v>
      </x:c>
      <x:c r="D171" s="15" t="n">
        <x:f>C171/SUM($C$5:$C$2477)</x:f>
        <x:v>0.0012726277746959844</x:v>
      </x:c>
      <x:c r="E171" s="15" t="n">
        <x:f>SUM($D$5:D171)</x:f>
        <x:v>0.5730401864921364</x:v>
      </x:c>
      <x:c r="F171" s="1" t="str">
        <x:f>IF(C171&lt;=0,"C",IF(E171-D171&lt;'Дашборд'!$C$49,"A",IF(E171-D171&lt;'Дашборд'!$C$50,"B","C")))</x:f>
        <x:v>A</x:v>
      </x:c>
      <x:c r="G171" s="8" t="n">
        <x:f>'Данные'!F171</x:f>
        <x:v>930</x:v>
      </x:c>
      <x:c r="H171" s="8" t="n">
        <x:f>SUM('Данные'!H171:I171)</x:f>
        <x:v>418</x:v>
      </x:c>
      <x:c r="I171" s="16" t="n">
        <x:f>IF(H171&gt;0,G171/H171,"n.a.")</x:f>
        <x:v>2.22488038277512</x:v>
      </x:c>
      <x:c r="J171" s="10" t="n">
        <x:f>IF('Данные'!E171&gt;0,G171/'Данные'!E171,"n.a.")</x:f>
        <x:v>0.02711054104477612</x:v>
      </x:c>
      <x:c r="K171" s="1" t="str">
        <x:f>IF(G171&gt;='Дашборд'!$C$51,"X","Z")</x:f>
        <x:v>X</x:v>
      </x:c>
      <x:c r="L171" s="1" t="str">
        <x:f>IF(H171=0,IF(G171&gt;0,"Нет остатка","Нет спроса"),IF(I171&gt;='Дашборд'!$C$52,"Быстрый","Медленный"))</x:f>
        <x:v>Быстрый</x:v>
      </x:c>
      <x:c r="M171" s="1" t="str">
        <x:f>IF('Данные'!E171&lt;'Дашборд'!$C$53,"Мало трафика",IF(J171&lt;'Дашборд'!$C$9*'Дашборд'!$C$54,"Да","Нет"))</x:f>
        <x:v>Нет</x:v>
      </x:c>
      <x:c r="N171" s="1" t="str">
        <x:f>IF(AND('Данные'!D171&gt;='Дашборд'!$C$55,D171&lt;'Дашборд'!$C$56,'Данные'!E171&gt;='Дашборд'!$C$53,'Данные'!L171&lt;&gt;"Да"),"Да","Нет")</x:f>
        <x:v>Нет</x:v>
      </x:c>
      <x:c r="O171" s="1" t="str">
        <x:f>'Данные'!L171</x:f>
        <x:v>Нет</x:v>
      </x:c>
    </x:row>
    <x:row r="172">
      <x:c r="A172" s="1" t="str">
        <x:f>'Данные'!A172</x:f>
        <x:v>260797899</x:v>
      </x:c>
      <x:c r="B172" s="1" t="str">
        <x:f>'Данные'!B172</x:f>
        <x:v>hudicrop1/розовый</x:v>
      </x:c>
      <x:c r="C172" s="8" t="n">
        <x:f>'Данные'!G172</x:f>
        <x:v>1088147</x:v>
      </x:c>
      <x:c r="D172" s="15" t="n">
        <x:f>C172/SUM($C$5:$C$2477)</x:f>
        <x:v>0.0012711990371977486</x:v>
      </x:c>
      <x:c r="E172" s="15" t="n">
        <x:f>SUM($D$5:D172)</x:f>
        <x:v>0.5743113855293341</x:v>
      </x:c>
      <x:c r="F172" s="1" t="str">
        <x:f>IF(C172&lt;=0,"C",IF(E172-D172&lt;'Дашборд'!$C$49,"A",IF(E172-D172&lt;'Дашборд'!$C$50,"B","C")))</x:f>
        <x:v>A</x:v>
      </x:c>
      <x:c r="G172" s="8" t="n">
        <x:f>'Данные'!F172</x:f>
        <x:v>1003</x:v>
      </x:c>
      <x:c r="H172" s="8" t="n">
        <x:f>SUM('Данные'!H172:I172)</x:f>
        <x:v>154</x:v>
      </x:c>
      <x:c r="I172" s="16" t="n">
        <x:f>IF(H172&gt;0,G172/H172,"n.a.")</x:f>
        <x:v>6.512987012987013</x:v>
      </x:c>
      <x:c r="J172" s="10" t="n">
        <x:f>IF('Данные'!E172&gt;0,G172/'Данные'!E172,"n.a.")</x:f>
        <x:v>0.015115437940804147</x:v>
      </x:c>
      <x:c r="K172" s="1" t="str">
        <x:f>IF(G172&gt;='Дашборд'!$C$51,"X","Z")</x:f>
        <x:v>X</x:v>
      </x:c>
      <x:c r="L172" s="1" t="str">
        <x:f>IF(H172=0,IF(G172&gt;0,"Нет остатка","Нет спроса"),IF(I172&gt;='Дашборд'!$C$52,"Быстрый","Медленный"))</x:f>
        <x:v>Быстрый</x:v>
      </x:c>
      <x:c r="M172" s="1" t="str">
        <x:f>IF('Данные'!E172&lt;'Дашборд'!$C$53,"Мало трафика",IF(J172&lt;'Дашборд'!$C$9*'Дашборд'!$C$54,"Да","Нет"))</x:f>
        <x:v>Нет</x:v>
      </x:c>
      <x:c r="N172" s="1" t="str">
        <x:f>IF(AND('Данные'!D172&gt;='Дашборд'!$C$55,D172&lt;'Дашборд'!$C$56,'Данные'!E172&gt;='Дашборд'!$C$53,'Данные'!L172&lt;&gt;"Да"),"Да","Нет")</x:f>
        <x:v>Нет</x:v>
      </x:c>
      <x:c r="O172" s="1" t="str">
        <x:f>'Данные'!L172</x:f>
        <x:v>Нет</x:v>
      </x:c>
    </x:row>
    <x:row r="173">
      <x:c r="A173" s="1" t="str">
        <x:f>'Данные'!A173</x:f>
        <x:v>320870101</x:v>
      </x:c>
      <x:c r="B173" s="1" t="str">
        <x:f>'Данные'!B173</x:f>
        <x:v>kostyumfix3P-37-63/серый</x:v>
      </x:c>
      <x:c r="C173" s="8" t="n">
        <x:f>'Данные'!G173</x:f>
        <x:v>1073802</x:v>
      </x:c>
      <x:c r="D173" s="15" t="n">
        <x:f>C173/SUM($C$5:$C$2477)</x:f>
        <x:v>0.0012544408692401088</x:v>
      </x:c>
      <x:c r="E173" s="15" t="n">
        <x:f>SUM($D$5:D173)</x:f>
        <x:v>0.5755658263985742</x:v>
      </x:c>
      <x:c r="F173" s="1" t="str">
        <x:f>IF(C173&lt;=0,"C",IF(E173-D173&lt;'Дашборд'!$C$49,"A",IF(E173-D173&lt;'Дашборд'!$C$50,"B","C")))</x:f>
        <x:v>A</x:v>
      </x:c>
      <x:c r="G173" s="8" t="n">
        <x:f>'Данные'!F173</x:f>
        <x:v>759</x:v>
      </x:c>
      <x:c r="H173" s="8" t="n">
        <x:f>SUM('Данные'!H173:I173)</x:f>
        <x:v>48</x:v>
      </x:c>
      <x:c r="I173" s="16" t="n">
        <x:f>IF(H173&gt;0,G173/H173,"n.a.")</x:f>
        <x:v>15.8125</x:v>
      </x:c>
      <x:c r="J173" s="10" t="n">
        <x:f>IF('Данные'!E173&gt;0,G173/'Данные'!E173,"n.a.")</x:f>
        <x:v>0.008035232217152416</x:v>
      </x:c>
      <x:c r="K173" s="1" t="str">
        <x:f>IF(G173&gt;='Дашборд'!$C$51,"X","Z")</x:f>
        <x:v>X</x:v>
      </x:c>
      <x:c r="L173" s="1" t="str">
        <x:f>IF(H173=0,IF(G173&gt;0,"Нет остатка","Нет спроса"),IF(I173&gt;='Дашборд'!$C$52,"Быстрый","Медленный"))</x:f>
        <x:v>Быстрый</x:v>
      </x:c>
      <x:c r="M173" s="1" t="str">
        <x:f>IF('Данные'!E173&lt;'Дашборд'!$C$53,"Мало трафика",IF(J173&lt;'Дашборд'!$C$9*'Дашборд'!$C$54,"Да","Нет"))</x:f>
        <x:v>Да</x:v>
      </x:c>
      <x:c r="N173" s="1" t="str">
        <x:f>IF(AND('Данные'!D173&gt;='Дашборд'!$C$55,D173&lt;'Дашборд'!$C$56,'Данные'!E173&gt;='Дашборд'!$C$53,'Данные'!L173&lt;&gt;"Да"),"Да","Нет")</x:f>
        <x:v>Нет</x:v>
      </x:c>
      <x:c r="O173" s="1" t="str">
        <x:f>'Данные'!L173</x:f>
        <x:v>Нет</x:v>
      </x:c>
    </x:row>
    <x:row r="174">
      <x:c r="A174" s="1" t="str">
        <x:f>'Данные'!A174</x:f>
        <x:v>211585139</x:v>
      </x:c>
      <x:c r="B174" s="1" t="str">
        <x:f>'Данные'!B174</x:f>
        <x:v>tolstovkazip/графит</x:v>
      </x:c>
      <x:c r="C174" s="8" t="n">
        <x:f>'Данные'!G174</x:f>
        <x:v>1069921</x:v>
      </x:c>
      <x:c r="D174" s="15" t="n">
        <x:f>C174/SUM($C$5:$C$2477)</x:f>
        <x:v>0.0012499069933360587</x:v>
      </x:c>
      <x:c r="E174" s="15" t="n">
        <x:f>SUM($D$5:D174)</x:f>
        <x:v>0.5768157333919103</x:v>
      </x:c>
      <x:c r="F174" s="1" t="str">
        <x:f>IF(C174&lt;=0,"C",IF(E174-D174&lt;'Дашборд'!$C$49,"A",IF(E174-D174&lt;'Дашборд'!$C$50,"B","C")))</x:f>
        <x:v>A</x:v>
      </x:c>
      <x:c r="G174" s="8" t="n">
        <x:f>'Данные'!F174</x:f>
        <x:v>846</x:v>
      </x:c>
      <x:c r="H174" s="8" t="n">
        <x:f>SUM('Данные'!H174:I174)</x:f>
        <x:v>1</x:v>
      </x:c>
      <x:c r="I174" s="16" t="n">
        <x:f>IF(H174&gt;0,G174/H174,"n.a.")</x:f>
        <x:v>846</x:v>
      </x:c>
      <x:c r="J174" s="10" t="n">
        <x:f>IF('Данные'!E174&gt;0,G174/'Данные'!E174,"n.a.")</x:f>
        <x:v>0.008470842678628644</x:v>
      </x:c>
      <x:c r="K174" s="1" t="str">
        <x:f>IF(G174&gt;='Дашборд'!$C$51,"X","Z")</x:f>
        <x:v>X</x:v>
      </x:c>
      <x:c r="L174" s="1" t="str">
        <x:f>IF(H174=0,IF(G174&gt;0,"Нет остатка","Нет спроса"),IF(I174&gt;='Дашборд'!$C$52,"Быстрый","Медленный"))</x:f>
        <x:v>Быстрый</x:v>
      </x:c>
      <x:c r="M174" s="1" t="str">
        <x:f>IF('Данные'!E174&lt;'Дашборд'!$C$53,"Мало трафика",IF(J174&lt;'Дашборд'!$C$9*'Дашборд'!$C$54,"Да","Нет"))</x:f>
        <x:v>Да</x:v>
      </x:c>
      <x:c r="N174" s="1" t="str">
        <x:f>IF(AND('Данные'!D174&gt;='Дашборд'!$C$55,D174&lt;'Дашборд'!$C$56,'Данные'!E174&gt;='Дашборд'!$C$53,'Данные'!L174&lt;&gt;"Да"),"Да","Нет")</x:f>
        <x:v>Нет</x:v>
      </x:c>
      <x:c r="O174" s="1" t="str">
        <x:f>'Данные'!L174</x:f>
        <x:v>Нет</x:v>
      </x:c>
    </x:row>
    <x:row r="175">
      <x:c r="A175" s="1" t="str">
        <x:f>'Данные'!A175</x:f>
        <x:v>271383074</x:v>
      </x:c>
      <x:c r="B175" s="1" t="str">
        <x:f>'Данные'!B175</x:f>
        <x:v>shtanyfix/серыймеланж2</x:v>
      </x:c>
      <x:c r="C175" s="8" t="n">
        <x:f>'Данные'!G175</x:f>
        <x:v>1065121</x:v>
      </x:c>
      <x:c r="D175" s="15" t="n">
        <x:f>C175/SUM($C$5:$C$2477)</x:f>
        <x:v>0.001244299519916981</x:v>
      </x:c>
      <x:c r="E175" s="15" t="n">
        <x:f>SUM($D$5:D175)</x:f>
        <x:v>0.5780600329118273</x:v>
      </x:c>
      <x:c r="F175" s="1" t="str">
        <x:f>IF(C175&lt;=0,"C",IF(E175-D175&lt;'Дашборд'!$C$49,"A",IF(E175-D175&lt;'Дашборд'!$C$50,"B","C")))</x:f>
        <x:v>A</x:v>
      </x:c>
      <x:c r="G175" s="8" t="n">
        <x:f>'Данные'!F175</x:f>
        <x:v>1141</x:v>
      </x:c>
      <x:c r="H175" s="8" t="n">
        <x:f>SUM('Данные'!H175:I175)</x:f>
        <x:v>6</x:v>
      </x:c>
      <x:c r="I175" s="16" t="n">
        <x:f>IF(H175&gt;0,G175/H175,"n.a.")</x:f>
        <x:v>190.16666666666666</x:v>
      </x:c>
      <x:c r="J175" s="10" t="n">
        <x:f>IF('Данные'!E175&gt;0,G175/'Данные'!E175,"n.a.")</x:f>
        <x:v>0.019863168706369793</x:v>
      </x:c>
      <x:c r="K175" s="1" t="str">
        <x:f>IF(G175&gt;='Дашборд'!$C$51,"X","Z")</x:f>
        <x:v>X</x:v>
      </x:c>
      <x:c r="L175" s="1" t="str">
        <x:f>IF(H175=0,IF(G175&gt;0,"Нет остатка","Нет спроса"),IF(I175&gt;='Дашборд'!$C$52,"Быстрый","Медленный"))</x:f>
        <x:v>Быстрый</x:v>
      </x:c>
      <x:c r="M175" s="1" t="str">
        <x:f>IF('Данные'!E175&lt;'Дашборд'!$C$53,"Мало трафика",IF(J175&lt;'Дашборд'!$C$9*'Дашборд'!$C$54,"Да","Нет"))</x:f>
        <x:v>Нет</x:v>
      </x:c>
      <x:c r="N175" s="1" t="str">
        <x:f>IF(AND('Данные'!D175&gt;='Дашборд'!$C$55,D175&lt;'Дашборд'!$C$56,'Данные'!E175&gt;='Дашборд'!$C$53,'Данные'!L175&lt;&gt;"Да"),"Да","Нет")</x:f>
        <x:v>Нет</x:v>
      </x:c>
      <x:c r="O175" s="1" t="str">
        <x:f>'Данные'!L175</x:f>
        <x:v>Нет</x:v>
      </x:c>
    </x:row>
    <x:row r="176">
      <x:c r="A176" s="1" t="str">
        <x:f>'Данные'!A176</x:f>
        <x:v>246363122</x:v>
      </x:c>
      <x:c r="B176" s="1" t="str">
        <x:f>'Данные'!B176</x:f>
        <x:v>tolstovkazip/милка</x:v>
      </x:c>
      <x:c r="C176" s="8" t="n">
        <x:f>'Данные'!G176</x:f>
        <x:v>1050596</x:v>
      </x:c>
      <x:c r="D176" s="15" t="n">
        <x:f>C176/SUM($C$5:$C$2477)</x:f>
        <x:v>0.001227331071706126</x:v>
      </x:c>
      <x:c r="E176" s="15" t="n">
        <x:f>SUM($D$5:D176)</x:f>
        <x:v>0.5792873639835334</x:v>
      </x:c>
      <x:c r="F176" s="1" t="str">
        <x:f>IF(C176&lt;=0,"C",IF(E176-D176&lt;'Дашборд'!$C$49,"A",IF(E176-D176&lt;'Дашборд'!$C$50,"B","C")))</x:f>
        <x:v>A</x:v>
      </x:c>
      <x:c r="G176" s="8" t="n">
        <x:f>'Данные'!F176</x:f>
        <x:v>875</x:v>
      </x:c>
      <x:c r="H176" s="8" t="n">
        <x:f>SUM('Данные'!H176:I176)</x:f>
        <x:v>41</x:v>
      </x:c>
      <x:c r="I176" s="16" t="n">
        <x:f>IF(H176&gt;0,G176/H176,"n.a.")</x:f>
        <x:v>21.341463414634145</x:v>
      </x:c>
      <x:c r="J176" s="10" t="n">
        <x:f>IF('Данные'!E176&gt;0,G176/'Данные'!E176,"n.a.")</x:f>
        <x:v>0.008286691100567282</x:v>
      </x:c>
      <x:c r="K176" s="1" t="str">
        <x:f>IF(G176&gt;='Дашборд'!$C$51,"X","Z")</x:f>
        <x:v>X</x:v>
      </x:c>
      <x:c r="L176" s="1" t="str">
        <x:f>IF(H176=0,IF(G176&gt;0,"Нет остатка","Нет спроса"),IF(I176&gt;='Дашборд'!$C$52,"Быстрый","Медленный"))</x:f>
        <x:v>Быстрый</x:v>
      </x:c>
      <x:c r="M176" s="1" t="str">
        <x:f>IF('Данные'!E176&lt;'Дашборд'!$C$53,"Мало трафика",IF(J176&lt;'Дашборд'!$C$9*'Дашборд'!$C$54,"Да","Нет"))</x:f>
        <x:v>Да</x:v>
      </x:c>
      <x:c r="N176" s="1" t="str">
        <x:f>IF(AND('Данные'!D176&gt;='Дашборд'!$C$55,D176&lt;'Дашборд'!$C$56,'Данные'!E176&gt;='Дашборд'!$C$53,'Данные'!L176&lt;&gt;"Да"),"Да","Нет")</x:f>
        <x:v>Нет</x:v>
      </x:c>
      <x:c r="O176" s="1" t="str">
        <x:f>'Данные'!L176</x:f>
        <x:v>Нет</x:v>
      </x:c>
    </x:row>
    <x:row r="177">
      <x:c r="A177" s="1" t="str">
        <x:f>'Данные'!A177</x:f>
        <x:v>222798575</x:v>
      </x:c>
      <x:c r="B177" s="1" t="str">
        <x:f>'Данные'!B177</x:f>
        <x:v>brukimanpetl/черный</x:v>
      </x:c>
      <x:c r="C177" s="8" t="n">
        <x:f>'Данные'!G177</x:f>
        <x:v>1044697</x:v>
      </x:c>
      <x:c r="D177" s="15" t="n">
        <x:f>C177/SUM($C$5:$C$2477)</x:f>
        <x:v>0.0012204397205188052</x:v>
      </x:c>
      <x:c r="E177" s="15" t="n">
        <x:f>SUM($D$5:D177)</x:f>
        <x:v>0.5805078037040522</x:v>
      </x:c>
      <x:c r="F177" s="1" t="str">
        <x:f>IF(C177&lt;=0,"C",IF(E177-D177&lt;'Дашборд'!$C$49,"A",IF(E177-D177&lt;'Дашборд'!$C$50,"B","C")))</x:f>
        <x:v>A</x:v>
      </x:c>
      <x:c r="G177" s="8" t="n">
        <x:f>'Данные'!F177</x:f>
        <x:v>1495</x:v>
      </x:c>
      <x:c r="H177" s="8" t="n">
        <x:f>SUM('Данные'!H177:I177)</x:f>
        <x:v>47</x:v>
      </x:c>
      <x:c r="I177" s="16" t="n">
        <x:f>IF(H177&gt;0,G177/H177,"n.a.")</x:f>
        <x:v>31.80851063829787</x:v>
      </x:c>
      <x:c r="J177" s="10" t="n">
        <x:f>IF('Данные'!E177&gt;0,G177/'Данные'!E177,"n.a.")</x:f>
        <x:v>0.04401201130475742</x:v>
      </x:c>
      <x:c r="K177" s="1" t="str">
        <x:f>IF(G177&gt;='Дашборд'!$C$51,"X","Z")</x:f>
        <x:v>X</x:v>
      </x:c>
      <x:c r="L177" s="1" t="str">
        <x:f>IF(H177=0,IF(G177&gt;0,"Нет остатка","Нет спроса"),IF(I177&gt;='Дашборд'!$C$52,"Быстрый","Медленный"))</x:f>
        <x:v>Быстрый</x:v>
      </x:c>
      <x:c r="M177" s="1" t="str">
        <x:f>IF('Данные'!E177&lt;'Дашборд'!$C$53,"Мало трафика",IF(J177&lt;'Дашборд'!$C$9*'Дашборд'!$C$54,"Да","Нет"))</x:f>
        <x:v>Нет</x:v>
      </x:c>
      <x:c r="N177" s="1" t="str">
        <x:f>IF(AND('Данные'!D177&gt;='Дашборд'!$C$55,D177&lt;'Дашборд'!$C$56,'Данные'!E177&gt;='Дашборд'!$C$53,'Данные'!L177&lt;&gt;"Да"),"Да","Нет")</x:f>
        <x:v>Нет</x:v>
      </x:c>
      <x:c r="O177" s="1" t="str">
        <x:f>'Данные'!L177</x:f>
        <x:v>Нет</x:v>
      </x:c>
    </x:row>
    <x:row r="178">
      <x:c r="A178" s="1" t="str">
        <x:f>'Данные'!A178</x:f>
        <x:v>165757790</x:v>
      </x:c>
      <x:c r="B178" s="1" t="str">
        <x:f>'Данные'!B178</x:f>
        <x:v>kulirkaman/эвкалипт</x:v>
      </x:c>
      <x:c r="C178" s="8" t="n">
        <x:f>'Данные'!G178</x:f>
        <x:v>1038595</x:v>
      </x:c>
      <x:c r="D178" s="15" t="n">
        <x:f>C178/SUM($C$5:$C$2477)</x:f>
        <x:v>0.0012133112199348025</x:v>
      </x:c>
      <x:c r="E178" s="15" t="n">
        <x:f>SUM($D$5:D178)</x:f>
        <x:v>0.581721114923987</x:v>
      </x:c>
      <x:c r="F178" s="1" t="str">
        <x:f>IF(C178&lt;=0,"C",IF(E178-D178&lt;'Дашборд'!$C$49,"A",IF(E178-D178&lt;'Дашборд'!$C$50,"B","C")))</x:f>
        <x:v>A</x:v>
      </x:c>
      <x:c r="G178" s="8" t="n">
        <x:f>'Данные'!F178</x:f>
        <x:v>1957</x:v>
      </x:c>
      <x:c r="H178" s="8" t="n">
        <x:f>SUM('Данные'!H178:I178)</x:f>
        <x:v>1023</x:v>
      </x:c>
      <x:c r="I178" s="16" t="n">
        <x:f>IF(H178&gt;0,G178/H178,"n.a.")</x:f>
        <x:v>1.9130009775171066</x:v>
      </x:c>
      <x:c r="J178" s="10" t="n">
        <x:f>IF('Данные'!E178&gt;0,G178/'Данные'!E178,"n.a.")</x:f>
        <x:v>0.04389565529461902</x:v>
      </x:c>
      <x:c r="K178" s="1" t="str">
        <x:f>IF(G178&gt;='Дашборд'!$C$51,"X","Z")</x:f>
        <x:v>X</x:v>
      </x:c>
      <x:c r="L178" s="1" t="str">
        <x:f>IF(H178=0,IF(G178&gt;0,"Нет остатка","Нет спроса"),IF(I178&gt;='Дашборд'!$C$52,"Быстрый","Медленный"))</x:f>
        <x:v>Быстрый</x:v>
      </x:c>
      <x:c r="M178" s="1" t="str">
        <x:f>IF('Данные'!E178&lt;'Дашборд'!$C$53,"Мало трафика",IF(J178&lt;'Дашборд'!$C$9*'Дашборд'!$C$54,"Да","Нет"))</x:f>
        <x:v>Нет</x:v>
      </x:c>
      <x:c r="N178" s="1" t="str">
        <x:f>IF(AND('Данные'!D178&gt;='Дашборд'!$C$55,D178&lt;'Дашборд'!$C$56,'Данные'!E178&gt;='Дашборд'!$C$53,'Данные'!L178&lt;&gt;"Да"),"Да","Нет")</x:f>
        <x:v>Нет</x:v>
      </x:c>
      <x:c r="O178" s="1" t="str">
        <x:f>'Данные'!L178</x:f>
        <x:v>Нет</x:v>
      </x:c>
    </x:row>
    <x:row r="179">
      <x:c r="A179" s="1" t="str">
        <x:f>'Данные'!A179</x:f>
        <x:v>321695208</x:v>
      </x:c>
      <x:c r="B179" s="1" t="str">
        <x:f>'Данные'!B179</x:f>
        <x:v>polowoman3K-89/черный</x:v>
      </x:c>
      <x:c r="C179" s="8" t="n">
        <x:f>'Данные'!G179</x:f>
        <x:v>1038163</x:v>
      </x:c>
      <x:c r="D179" s="15" t="n">
        <x:f>C179/SUM($C$5:$C$2477)</x:f>
        <x:v>0.0012128065473270856</x:v>
      </x:c>
      <x:c r="E179" s="15" t="n">
        <x:f>SUM($D$5:D179)</x:f>
        <x:v>0.5829339214713142</x:v>
      </x:c>
      <x:c r="F179" s="1" t="str">
        <x:f>IF(C179&lt;=0,"C",IF(E179-D179&lt;'Дашборд'!$C$49,"A",IF(E179-D179&lt;'Дашборд'!$C$50,"B","C")))</x:f>
        <x:v>A</x:v>
      </x:c>
      <x:c r="G179" s="8" t="n">
        <x:f>'Данные'!F179</x:f>
        <x:v>1723</x:v>
      </x:c>
      <x:c r="H179" s="8" t="n">
        <x:f>SUM('Данные'!H179:I179)</x:f>
        <x:v>158</x:v>
      </x:c>
      <x:c r="I179" s="16" t="n">
        <x:f>IF(H179&gt;0,G179/H179,"n.a.")</x:f>
        <x:v>10.905063291139241</x:v>
      </x:c>
      <x:c r="J179" s="10" t="n">
        <x:f>IF('Данные'!E179&gt;0,G179/'Данные'!E179,"n.a.")</x:f>
        <x:v>0.0157182214599792</x:v>
      </x:c>
      <x:c r="K179" s="1" t="str">
        <x:f>IF(G179&gt;='Дашборд'!$C$51,"X","Z")</x:f>
        <x:v>X</x:v>
      </x:c>
      <x:c r="L179" s="1" t="str">
        <x:f>IF(H179=0,IF(G179&gt;0,"Нет остатка","Нет спроса"),IF(I179&gt;='Дашборд'!$C$52,"Быстрый","Медленный"))</x:f>
        <x:v>Быстрый</x:v>
      </x:c>
      <x:c r="M179" s="1" t="str">
        <x:f>IF('Данные'!E179&lt;'Дашборд'!$C$53,"Мало трафика",IF(J179&lt;'Дашборд'!$C$9*'Дашборд'!$C$54,"Да","Нет"))</x:f>
        <x:v>Нет</x:v>
      </x:c>
      <x:c r="N179" s="1" t="str">
        <x:f>IF(AND('Данные'!D179&gt;='Дашборд'!$C$55,D179&lt;'Дашборд'!$C$56,'Данные'!E179&gt;='Дашборд'!$C$53,'Данные'!L179&lt;&gt;"Да"),"Да","Нет")</x:f>
        <x:v>Нет</x:v>
      </x:c>
      <x:c r="O179" s="1" t="str">
        <x:f>'Данные'!L179</x:f>
        <x:v>Нет</x:v>
      </x:c>
    </x:row>
    <x:row r="180">
      <x:c r="A180" s="1" t="str">
        <x:f>'Данные'!A180</x:f>
        <x:v>297361800</x:v>
      </x:c>
      <x:c r="B180" s="1" t="str">
        <x:f>'Данные'!B180</x:f>
        <x:v>hudicrop1/бежевый</x:v>
      </x:c>
      <x:c r="C180" s="8" t="n">
        <x:f>'Данные'!G180</x:f>
        <x:v>1034653</x:v>
      </x:c>
      <x:c r="D180" s="15" t="n">
        <x:f>C180/SUM($C$5:$C$2477)</x:f>
        <x:v>0.001208706082389385</x:v>
      </x:c>
      <x:c r="E180" s="15" t="n">
        <x:f>SUM($D$5:D180)</x:f>
        <x:v>0.5841426275537036</x:v>
      </x:c>
      <x:c r="F180" s="1" t="str">
        <x:f>IF(C180&lt;=0,"C",IF(E180-D180&lt;'Дашборд'!$C$49,"A",IF(E180-D180&lt;'Дашборд'!$C$50,"B","C")))</x:f>
        <x:v>A</x:v>
      </x:c>
      <x:c r="G180" s="8" t="n">
        <x:f>'Данные'!F180</x:f>
        <x:v>1285</x:v>
      </x:c>
      <x:c r="H180" s="8" t="n">
        <x:f>SUM('Данные'!H180:I180)</x:f>
        <x:v>353</x:v>
      </x:c>
      <x:c r="I180" s="16" t="n">
        <x:f>IF(H180&gt;0,G180/H180,"n.a.")</x:f>
        <x:v>3.640226628895184</x:v>
      </x:c>
      <x:c r="J180" s="10" t="n">
        <x:f>IF('Данные'!E180&gt;0,G180/'Данные'!E180,"n.a.")</x:f>
        <x:v>0.012538175573487369</x:v>
      </x:c>
      <x:c r="K180" s="1" t="str">
        <x:f>IF(G180&gt;='Дашборд'!$C$51,"X","Z")</x:f>
        <x:v>X</x:v>
      </x:c>
      <x:c r="L180" s="1" t="str">
        <x:f>IF(H180=0,IF(G180&gt;0,"Нет остатка","Нет спроса"),IF(I180&gt;='Дашборд'!$C$52,"Быстрый","Медленный"))</x:f>
        <x:v>Быстрый</x:v>
      </x:c>
      <x:c r="M180" s="1" t="str">
        <x:f>IF('Данные'!E180&lt;'Дашборд'!$C$53,"Мало трафика",IF(J180&lt;'Дашборд'!$C$9*'Дашборд'!$C$54,"Да","Нет"))</x:f>
        <x:v>Нет</x:v>
      </x:c>
      <x:c r="N180" s="1" t="str">
        <x:f>IF(AND('Данные'!D180&gt;='Дашборд'!$C$55,D180&lt;'Дашборд'!$C$56,'Данные'!E180&gt;='Дашборд'!$C$53,'Данные'!L180&lt;&gt;"Да"),"Да","Нет")</x:f>
        <x:v>Нет</x:v>
      </x:c>
      <x:c r="O180" s="1" t="str">
        <x:f>'Данные'!L180</x:f>
        <x:v>Нет</x:v>
      </x:c>
    </x:row>
    <x:row r="181">
      <x:c r="A181" s="1" t="str">
        <x:f>'Данные'!A181</x:f>
        <x:v>333323581</x:v>
      </x:c>
      <x:c r="B181" s="1" t="str">
        <x:f>'Данные'!B181</x:f>
        <x:v>hudicroppetl/светло-розовый</x:v>
      </x:c>
      <x:c r="C181" s="8" t="n">
        <x:f>'Данные'!G181</x:f>
        <x:v>1030383</x:v>
      </x:c>
      <x:c r="D181" s="15" t="n">
        <x:f>C181/SUM($C$5:$C$2477)</x:f>
        <x:v>0.0012037177674936637</x:v>
      </x:c>
      <x:c r="E181" s="15" t="n">
        <x:f>SUM($D$5:D181)</x:f>
        <x:v>0.5853463453211972</x:v>
      </x:c>
      <x:c r="F181" s="1" t="str">
        <x:f>IF(C181&lt;=0,"C",IF(E181-D181&lt;'Дашборд'!$C$49,"A",IF(E181-D181&lt;'Дашборд'!$C$50,"B","C")))</x:f>
        <x:v>A</x:v>
      </x:c>
      <x:c r="G181" s="8" t="n">
        <x:f>'Данные'!F181</x:f>
        <x:v>1054</x:v>
      </x:c>
      <x:c r="H181" s="8" t="n">
        <x:f>SUM('Данные'!H181:I181)</x:f>
        <x:v>1</x:v>
      </x:c>
      <x:c r="I181" s="16" t="n">
        <x:f>IF(H181&gt;0,G181/H181,"n.a.")</x:f>
        <x:v>1054</x:v>
      </x:c>
      <x:c r="J181" s="10" t="n">
        <x:f>IF('Данные'!E181&gt;0,G181/'Данные'!E181,"n.a.")</x:f>
        <x:v>0.018422064529660574</x:v>
      </x:c>
      <x:c r="K181" s="1" t="str">
        <x:f>IF(G181&gt;='Дашборд'!$C$51,"X","Z")</x:f>
        <x:v>X</x:v>
      </x:c>
      <x:c r="L181" s="1" t="str">
        <x:f>IF(H181=0,IF(G181&gt;0,"Нет остатка","Нет спроса"),IF(I181&gt;='Дашборд'!$C$52,"Быстрый","Медленный"))</x:f>
        <x:v>Быстрый</x:v>
      </x:c>
      <x:c r="M181" s="1" t="str">
        <x:f>IF('Данные'!E181&lt;'Дашборд'!$C$53,"Мало трафика",IF(J181&lt;'Дашборд'!$C$9*'Дашборд'!$C$54,"Да","Нет"))</x:f>
        <x:v>Нет</x:v>
      </x:c>
      <x:c r="N181" s="1" t="str">
        <x:f>IF(AND('Данные'!D181&gt;='Дашборд'!$C$55,D181&lt;'Дашборд'!$C$56,'Данные'!E181&gt;='Дашборд'!$C$53,'Данные'!L181&lt;&gt;"Да"),"Да","Нет")</x:f>
        <x:v>Нет</x:v>
      </x:c>
      <x:c r="O181" s="1" t="str">
        <x:f>'Данные'!L181</x:f>
        <x:v>Нет</x:v>
      </x:c>
    </x:row>
    <x:row r="182">
      <x:c r="A182" s="1" t="str">
        <x:f>'Данные'!A182</x:f>
        <x:v>171386779</x:v>
      </x:c>
      <x:c r="B182" s="1" t="str">
        <x:f>'Данные'!B182</x:f>
        <x:v>hudi/темно-серый</x:v>
      </x:c>
      <x:c r="C182" s="8" t="n">
        <x:f>'Данные'!G182</x:f>
        <x:v>1027665</x:v>
      </x:c>
      <x:c r="D182" s="15" t="n">
        <x:f>C182/SUM($C$5:$C$2477)</x:f>
        <x:v>0.0012005425356701109</x:v>
      </x:c>
      <x:c r="E182" s="15" t="n">
        <x:f>SUM($D$5:D182)</x:f>
        <x:v>0.5865468878568674</x:v>
      </x:c>
      <x:c r="F182" s="1" t="str">
        <x:f>IF(C182&lt;=0,"C",IF(E182-D182&lt;'Дашборд'!$C$49,"A",IF(E182-D182&lt;'Дашборд'!$C$50,"B","C")))</x:f>
        <x:v>A</x:v>
      </x:c>
      <x:c r="G182" s="8" t="n">
        <x:f>'Данные'!F182</x:f>
        <x:v>1279</x:v>
      </x:c>
      <x:c r="H182" s="8" t="n">
        <x:f>SUM('Данные'!H182:I182)</x:f>
        <x:v>57</x:v>
      </x:c>
      <x:c r="I182" s="16" t="n">
        <x:f>IF(H182&gt;0,G182/H182,"n.a.")</x:f>
        <x:v>22.43859649122807</x:v>
      </x:c>
      <x:c r="J182" s="10" t="n">
        <x:f>IF('Данные'!E182&gt;0,G182/'Данные'!E182,"n.a.")</x:f>
        <x:v>0.016054930708977705</x:v>
      </x:c>
      <x:c r="K182" s="1" t="str">
        <x:f>IF(G182&gt;='Дашборд'!$C$51,"X","Z")</x:f>
        <x:v>X</x:v>
      </x:c>
      <x:c r="L182" s="1" t="str">
        <x:f>IF(H182=0,IF(G182&gt;0,"Нет остатка","Нет спроса"),IF(I182&gt;='Дашборд'!$C$52,"Быстрый","Медленный"))</x:f>
        <x:v>Быстрый</x:v>
      </x:c>
      <x:c r="M182" s="1" t="str">
        <x:f>IF('Данные'!E182&lt;'Дашборд'!$C$53,"Мало трафика",IF(J182&lt;'Дашборд'!$C$9*'Дашборд'!$C$54,"Да","Нет"))</x:f>
        <x:v>Нет</x:v>
      </x:c>
      <x:c r="N182" s="1" t="str">
        <x:f>IF(AND('Данные'!D182&gt;='Дашборд'!$C$55,D182&lt;'Дашборд'!$C$56,'Данные'!E182&gt;='Дашборд'!$C$53,'Данные'!L182&lt;&gt;"Да"),"Да","Нет")</x:f>
        <x:v>Нет</x:v>
      </x:c>
      <x:c r="O182" s="1" t="str">
        <x:f>'Данные'!L182</x:f>
        <x:v>Нет</x:v>
      </x:c>
    </x:row>
    <x:row r="183">
      <x:c r="A183" s="1" t="str">
        <x:f>'Данные'!A183</x:f>
        <x:v>333167632</x:v>
      </x:c>
      <x:c r="B183" s="1" t="str">
        <x:f>'Данные'!B183</x:f>
        <x:v>futbolkamanX3/чер-бел-бордо</x:v>
      </x:c>
      <x:c r="C183" s="8" t="n">
        <x:f>'Данные'!G183</x:f>
        <x:v>1020566</x:v>
      </x:c>
      <x:c r="D183" s="15" t="n">
        <x:f>C183/SUM($C$5:$C$2477)</x:f>
        <x:v>0.0011922493161280207</x:v>
      </x:c>
      <x:c r="E183" s="15" t="n">
        <x:f>SUM($D$5:D183)</x:f>
        <x:v>0.5877391371729954</x:v>
      </x:c>
      <x:c r="F183" s="1" t="str">
        <x:f>IF(C183&lt;=0,"C",IF(E183-D183&lt;'Дашборд'!$C$49,"A",IF(E183-D183&lt;'Дашборд'!$C$50,"B","C")))</x:f>
        <x:v>A</x:v>
      </x:c>
      <x:c r="G183" s="8" t="n">
        <x:f>'Данные'!F183</x:f>
        <x:v>904</x:v>
      </x:c>
      <x:c r="H183" s="8" t="n">
        <x:f>SUM('Данные'!H183:I183)</x:f>
        <x:v>54</x:v>
      </x:c>
      <x:c r="I183" s="16" t="n">
        <x:f>IF(H183&gt;0,G183/H183,"n.a.")</x:f>
        <x:v>16.74074074074074</x:v>
      </x:c>
      <x:c r="J183" s="10" t="n">
        <x:f>IF('Данные'!E183&gt;0,G183/'Данные'!E183,"n.a.")</x:f>
        <x:v>0.019777286748780327</x:v>
      </x:c>
      <x:c r="K183" s="1" t="str">
        <x:f>IF(G183&gt;='Дашборд'!$C$51,"X","Z")</x:f>
        <x:v>X</x:v>
      </x:c>
      <x:c r="L183" s="1" t="str">
        <x:f>IF(H183=0,IF(G183&gt;0,"Нет остатка","Нет спроса"),IF(I183&gt;='Дашборд'!$C$52,"Быстрый","Медленный"))</x:f>
        <x:v>Быстрый</x:v>
      </x:c>
      <x:c r="M183" s="1" t="str">
        <x:f>IF('Данные'!E183&lt;'Дашборд'!$C$53,"Мало трафика",IF(J183&lt;'Дашборд'!$C$9*'Дашборд'!$C$54,"Да","Нет"))</x:f>
        <x:v>Нет</x:v>
      </x:c>
      <x:c r="N183" s="1" t="str">
        <x:f>IF(AND('Данные'!D183&gt;='Дашборд'!$C$55,D183&lt;'Дашборд'!$C$56,'Данные'!E183&gt;='Дашборд'!$C$53,'Данные'!L183&lt;&gt;"Да"),"Да","Нет")</x:f>
        <x:v>Нет</x:v>
      </x:c>
      <x:c r="O183" s="1" t="str">
        <x:f>'Данные'!L183</x:f>
        <x:v>Нет</x:v>
      </x:c>
    </x:row>
    <x:row r="184">
      <x:c r="A184" s="1" t="str">
        <x:f>'Данные'!A184</x:f>
        <x:v>165757799</x:v>
      </x:c>
      <x:c r="B184" s="1" t="str">
        <x:f>'Данные'!B184</x:f>
        <x:v>kulirkaman/морскаяволна</x:v>
      </x:c>
      <x:c r="C184" s="8" t="n">
        <x:f>'Данные'!G184</x:f>
        <x:v>1014392</x:v>
      </x:c>
      <x:c r="D184" s="15" t="n">
        <x:f>C184/SUM($C$5:$C$2477)</x:f>
        <x:v>0.001185036703442732</x:v>
      </x:c>
      <x:c r="E184" s="15" t="n">
        <x:f>SUM($D$5:D184)</x:f>
        <x:v>0.5889241738764381</x:v>
      </x:c>
      <x:c r="F184" s="1" t="str">
        <x:f>IF(C184&lt;=0,"C",IF(E184-D184&lt;'Дашборд'!$C$49,"A",IF(E184-D184&lt;'Дашборд'!$C$50,"B","C")))</x:f>
        <x:v>A</x:v>
      </x:c>
      <x:c r="G184" s="8" t="n">
        <x:f>'Данные'!F184</x:f>
        <x:v>1479</x:v>
      </x:c>
      <x:c r="H184" s="8" t="n">
        <x:f>SUM('Данные'!H184:I184)</x:f>
        <x:v>1233</x:v>
      </x:c>
      <x:c r="I184" s="16" t="n">
        <x:f>IF(H184&gt;0,G184/H184,"n.a.")</x:f>
        <x:v>1.1995133819951338</x:v>
      </x:c>
      <x:c r="J184" s="10" t="n">
        <x:f>IF('Данные'!E184&gt;0,G184/'Данные'!E184,"n.a.")</x:f>
        <x:v>0.03477463497213797</x:v>
      </x:c>
      <x:c r="K184" s="1" t="str">
        <x:f>IF(G184&gt;='Дашборд'!$C$51,"X","Z")</x:f>
        <x:v>X</x:v>
      </x:c>
      <x:c r="L184" s="1" t="str">
        <x:f>IF(H184=0,IF(G184&gt;0,"Нет остатка","Нет спроса"),IF(I184&gt;='Дашборд'!$C$52,"Быстрый","Медленный"))</x:f>
        <x:v>Быстрый</x:v>
      </x:c>
      <x:c r="M184" s="1" t="str">
        <x:f>IF('Данные'!E184&lt;'Дашборд'!$C$53,"Мало трафика",IF(J184&lt;'Дашборд'!$C$9*'Дашборд'!$C$54,"Да","Нет"))</x:f>
        <x:v>Нет</x:v>
      </x:c>
      <x:c r="N184" s="1" t="str">
        <x:f>IF(AND('Данные'!D184&gt;='Дашборд'!$C$55,D184&lt;'Дашборд'!$C$56,'Данные'!E184&gt;='Дашборд'!$C$53,'Данные'!L184&lt;&gt;"Да"),"Да","Нет")</x:f>
        <x:v>Нет</x:v>
      </x:c>
      <x:c r="O184" s="1" t="str">
        <x:f>'Данные'!L184</x:f>
        <x:v>Нет</x:v>
      </x:c>
    </x:row>
    <x:row r="185">
      <x:c r="A185" s="1" t="str">
        <x:f>'Данные'!A185</x:f>
        <x:v>251152855</x:v>
      </x:c>
      <x:c r="B185" s="1" t="str">
        <x:f>'Данные'!B185</x:f>
        <x:v>hudivish/Essere-26в/песочный</x:v>
      </x:c>
      <x:c r="C185" s="8" t="n">
        <x:f>'Данные'!G185</x:f>
        <x:v>1010732</x:v>
      </x:c>
      <x:c r="D185" s="15" t="n">
        <x:f>C185/SUM($C$5:$C$2477)</x:f>
        <x:v>0.0011807610049606853</x:v>
      </x:c>
      <x:c r="E185" s="15" t="n">
        <x:f>SUM($D$5:D185)</x:f>
        <x:v>0.5901049348813988</x:v>
      </x:c>
      <x:c r="F185" s="1" t="str">
        <x:f>IF(C185&lt;=0,"C",IF(E185-D185&lt;'Дашборд'!$C$49,"A",IF(E185-D185&lt;'Дашборд'!$C$50,"B","C")))</x:f>
        <x:v>A</x:v>
      </x:c>
      <x:c r="G185" s="8" t="n">
        <x:f>'Данные'!F185</x:f>
        <x:v>928</x:v>
      </x:c>
      <x:c r="H185" s="8" t="n">
        <x:f>SUM('Данные'!H185:I185)</x:f>
        <x:v>104</x:v>
      </x:c>
      <x:c r="I185" s="16" t="n">
        <x:f>IF(H185&gt;0,G185/H185,"n.a.")</x:f>
        <x:v>8.923076923076923</x:v>
      </x:c>
      <x:c r="J185" s="10" t="n">
        <x:f>IF('Данные'!E185&gt;0,G185/'Данные'!E185,"n.a.")</x:f>
        <x:v>0.011714509328687924</x:v>
      </x:c>
      <x:c r="K185" s="1" t="str">
        <x:f>IF(G185&gt;='Дашборд'!$C$51,"X","Z")</x:f>
        <x:v>X</x:v>
      </x:c>
      <x:c r="L185" s="1" t="str">
        <x:f>IF(H185=0,IF(G185&gt;0,"Нет остатка","Нет спроса"),IF(I185&gt;='Дашборд'!$C$52,"Быстрый","Медленный"))</x:f>
        <x:v>Быстрый</x:v>
      </x:c>
      <x:c r="M185" s="1" t="str">
        <x:f>IF('Данные'!E185&lt;'Дашборд'!$C$53,"Мало трафика",IF(J185&lt;'Дашборд'!$C$9*'Дашборд'!$C$54,"Да","Нет"))</x:f>
        <x:v>Нет</x:v>
      </x:c>
      <x:c r="N185" s="1" t="str">
        <x:f>IF(AND('Данные'!D185&gt;='Дашборд'!$C$55,D185&lt;'Дашборд'!$C$56,'Данные'!E185&gt;='Дашборд'!$C$53,'Данные'!L185&lt;&gt;"Да"),"Да","Нет")</x:f>
        <x:v>Нет</x:v>
      </x:c>
      <x:c r="O185" s="1" t="str">
        <x:f>'Данные'!L185</x:f>
        <x:v>Нет</x:v>
      </x:c>
    </x:row>
    <x:row r="186">
      <x:c r="A186" s="1" t="str">
        <x:f>'Данные'!A186</x:f>
        <x:v>222802039</x:v>
      </x:c>
      <x:c r="B186" s="1" t="str">
        <x:f>'Данные'!B186</x:f>
        <x:v>hudipetl/голубой</x:v>
      </x:c>
      <x:c r="C186" s="8" t="n">
        <x:f>'Данные'!G186</x:f>
        <x:v>1007844</x:v>
      </x:c>
      <x:c r="D186" s="15" t="n">
        <x:f>C186/SUM($C$5:$C$2477)</x:f>
        <x:v>0.0011773871751202068</x:v>
      </x:c>
      <x:c r="E186" s="15" t="n">
        <x:f>SUM($D$5:D186)</x:f>
        <x:v>0.591282322056519</x:v>
      </x:c>
      <x:c r="F186" s="1" t="str">
        <x:f>IF(C186&lt;=0,"C",IF(E186-D186&lt;'Дашборд'!$C$49,"A",IF(E186-D186&lt;'Дашборд'!$C$50,"B","C")))</x:f>
        <x:v>A</x:v>
      </x:c>
      <x:c r="G186" s="8" t="n">
        <x:f>'Данные'!F186</x:f>
        <x:v>1076</x:v>
      </x:c>
      <x:c r="H186" s="8" t="n">
        <x:f>SUM('Данные'!H186:I186)</x:f>
        <x:v>78</x:v>
      </x:c>
      <x:c r="I186" s="16" t="n">
        <x:f>IF(H186&gt;0,G186/H186,"n.a.")</x:f>
        <x:v>13.794871794871796</x:v>
      </x:c>
      <x:c r="J186" s="10" t="n">
        <x:f>IF('Данные'!E186&gt;0,G186/'Данные'!E186,"n.a.")</x:f>
        <x:v>0.011957681365576102</x:v>
      </x:c>
      <x:c r="K186" s="1" t="str">
        <x:f>IF(G186&gt;='Дашборд'!$C$51,"X","Z")</x:f>
        <x:v>X</x:v>
      </x:c>
      <x:c r="L186" s="1" t="str">
        <x:f>IF(H186=0,IF(G186&gt;0,"Нет остатка","Нет спроса"),IF(I186&gt;='Дашборд'!$C$52,"Быстрый","Медленный"))</x:f>
        <x:v>Быстрый</x:v>
      </x:c>
      <x:c r="M186" s="1" t="str">
        <x:f>IF('Данные'!E186&lt;'Дашборд'!$C$53,"Мало трафика",IF(J186&lt;'Дашборд'!$C$9*'Дашборд'!$C$54,"Да","Нет"))</x:f>
        <x:v>Нет</x:v>
      </x:c>
      <x:c r="N186" s="1" t="str">
        <x:f>IF(AND('Данные'!D186&gt;='Дашборд'!$C$55,D186&lt;'Дашборд'!$C$56,'Данные'!E186&gt;='Дашборд'!$C$53,'Данные'!L186&lt;&gt;"Да"),"Да","Нет")</x:f>
        <x:v>Нет</x:v>
      </x:c>
      <x:c r="O186" s="1" t="str">
        <x:f>'Данные'!L186</x:f>
        <x:v>Нет</x:v>
      </x:c>
    </x:row>
    <x:row r="187">
      <x:c r="A187" s="1" t="str">
        <x:f>'Данные'!A187</x:f>
        <x:v>195315574</x:v>
      </x:c>
      <x:c r="B187" s="1" t="str">
        <x:f>'Данные'!B187</x:f>
        <x:v>hudiprint/MoreSelf-44/молочный</x:v>
      </x:c>
      <x:c r="C187" s="8" t="n">
        <x:f>'Данные'!G187</x:f>
        <x:v>1001082</x:v>
      </x:c>
      <x:c r="D187" s="15" t="n">
        <x:f>C187/SUM($C$5:$C$2477)</x:f>
        <x:v>0.001169487646941081</x:v>
      </x:c>
      <x:c r="E187" s="15" t="n">
        <x:f>SUM($D$5:D187)</x:f>
        <x:v>0.5924518097034601</x:v>
      </x:c>
      <x:c r="F187" s="1" t="str">
        <x:f>IF(C187&lt;=0,"C",IF(E187-D187&lt;'Дашборд'!$C$49,"A",IF(E187-D187&lt;'Дашборд'!$C$50,"B","C")))</x:f>
        <x:v>A</x:v>
      </x:c>
      <x:c r="G187" s="8" t="n">
        <x:f>'Данные'!F187</x:f>
        <x:v>776</x:v>
      </x:c>
      <x:c r="H187" s="8" t="n">
        <x:f>SUM('Данные'!H187:I187)</x:f>
        <x:v>154</x:v>
      </x:c>
      <x:c r="I187" s="16" t="n">
        <x:f>IF(H187&gt;0,G187/H187,"n.a.")</x:f>
        <x:v>5.038961038961039</x:v>
      </x:c>
      <x:c r="J187" s="10" t="n">
        <x:f>IF('Данные'!E187&gt;0,G187/'Данные'!E187,"n.a.")</x:f>
        <x:v>0.013644435848293567</x:v>
      </x:c>
      <x:c r="K187" s="1" t="str">
        <x:f>IF(G187&gt;='Дашборд'!$C$51,"X","Z")</x:f>
        <x:v>X</x:v>
      </x:c>
      <x:c r="L187" s="1" t="str">
        <x:f>IF(H187=0,IF(G187&gt;0,"Нет остатка","Нет спроса"),IF(I187&gt;='Дашборд'!$C$52,"Быстрый","Медленный"))</x:f>
        <x:v>Быстрый</x:v>
      </x:c>
      <x:c r="M187" s="1" t="str">
        <x:f>IF('Данные'!E187&lt;'Дашборд'!$C$53,"Мало трафика",IF(J187&lt;'Дашборд'!$C$9*'Дашборд'!$C$54,"Да","Нет"))</x:f>
        <x:v>Нет</x:v>
      </x:c>
      <x:c r="N187" s="1" t="str">
        <x:f>IF(AND('Данные'!D187&gt;='Дашборд'!$C$55,D187&lt;'Дашборд'!$C$56,'Данные'!E187&gt;='Дашборд'!$C$53,'Данные'!L187&lt;&gt;"Да"),"Да","Нет")</x:f>
        <x:v>Нет</x:v>
      </x:c>
      <x:c r="O187" s="1" t="str">
        <x:f>'Данные'!L187</x:f>
        <x:v>Нет</x:v>
      </x:c>
    </x:row>
    <x:row r="188">
      <x:c r="A188" s="1" t="str">
        <x:f>'Данные'!A188</x:f>
        <x:v>333323582</x:v>
      </x:c>
      <x:c r="B188" s="1" t="str">
        <x:f>'Данные'!B188</x:f>
        <x:v>hudicroppetl/серый</x:v>
      </x:c>
      <x:c r="C188" s="8" t="n">
        <x:f>'Данные'!G188</x:f>
        <x:v>999529</x:v>
      </x:c>
      <x:c r="D188" s="15" t="n">
        <x:f>C188/SUM($C$5:$C$2477)</x:f>
        <x:v>0.0011676733956452836</x:v>
      </x:c>
      <x:c r="E188" s="15" t="n">
        <x:f>SUM($D$5:D188)</x:f>
        <x:v>0.5936194830991054</x:v>
      </x:c>
      <x:c r="F188" s="1" t="str">
        <x:f>IF(C188&lt;=0,"C",IF(E188-D188&lt;'Дашборд'!$C$49,"A",IF(E188-D188&lt;'Дашборд'!$C$50,"B","C")))</x:f>
        <x:v>A</x:v>
      </x:c>
      <x:c r="G188" s="8" t="n">
        <x:f>'Данные'!F188</x:f>
        <x:v>1028</x:v>
      </x:c>
      <x:c r="H188" s="8" t="n">
        <x:f>SUM('Данные'!H188:I188)</x:f>
        <x:v>45</x:v>
      </x:c>
      <x:c r="I188" s="16" t="n">
        <x:f>IF(H188&gt;0,G188/H188,"n.a.")</x:f>
        <x:v>22.844444444444445</x:v>
      </x:c>
      <x:c r="J188" s="10" t="n">
        <x:f>IF('Данные'!E188&gt;0,G188/'Данные'!E188,"n.a.")</x:f>
        <x:v>0.01257476972758743</x:v>
      </x:c>
      <x:c r="K188" s="1" t="str">
        <x:f>IF(G188&gt;='Дашборд'!$C$51,"X","Z")</x:f>
        <x:v>X</x:v>
      </x:c>
      <x:c r="L188" s="1" t="str">
        <x:f>IF(H188=0,IF(G188&gt;0,"Нет остатка","Нет спроса"),IF(I188&gt;='Дашборд'!$C$52,"Быстрый","Медленный"))</x:f>
        <x:v>Быстрый</x:v>
      </x:c>
      <x:c r="M188" s="1" t="str">
        <x:f>IF('Данные'!E188&lt;'Дашборд'!$C$53,"Мало трафика",IF(J188&lt;'Дашборд'!$C$9*'Дашборд'!$C$54,"Да","Нет"))</x:f>
        <x:v>Нет</x:v>
      </x:c>
      <x:c r="N188" s="1" t="str">
        <x:f>IF(AND('Данные'!D188&gt;='Дашборд'!$C$55,D188&lt;'Дашборд'!$C$56,'Данные'!E188&gt;='Дашборд'!$C$53,'Данные'!L188&lt;&gt;"Да"),"Да","Нет")</x:f>
        <x:v>Нет</x:v>
      </x:c>
      <x:c r="O188" s="1" t="str">
        <x:f>'Данные'!L188</x:f>
        <x:v>Нет</x:v>
      </x:c>
    </x:row>
    <x:row r="189">
      <x:c r="A189" s="1" t="str">
        <x:f>'Данные'!A189</x:f>
        <x:v>251152854</x:v>
      </x:c>
      <x:c r="B189" s="1" t="str">
        <x:f>'Данные'!B189</x:f>
        <x:v>hudivish/Ralling-27в/бордовый</x:v>
      </x:c>
      <x:c r="C189" s="8" t="n">
        <x:f>'Данные'!G189</x:f>
        <x:v>999352</x:v>
      </x:c>
      <x:c r="D189" s="15" t="n">
        <x:f>C189/SUM($C$5:$C$2477)</x:f>
        <x:v>0.001167466620062955</x:v>
      </x:c>
      <x:c r="E189" s="15" t="n">
        <x:f>SUM($D$5:D189)</x:f>
        <x:v>0.5947869497191683</x:v>
      </x:c>
      <x:c r="F189" s="1" t="str">
        <x:f>IF(C189&lt;=0,"C",IF(E189-D189&lt;'Дашборд'!$C$49,"A",IF(E189-D189&lt;'Дашборд'!$C$50,"B","C")))</x:f>
        <x:v>A</x:v>
      </x:c>
      <x:c r="G189" s="8" t="n">
        <x:f>'Данные'!F189</x:f>
        <x:v>760</x:v>
      </x:c>
      <x:c r="H189" s="8" t="n">
        <x:f>SUM('Данные'!H189:I189)</x:f>
        <x:v>41</x:v>
      </x:c>
      <x:c r="I189" s="16" t="n">
        <x:f>IF(H189&gt;0,G189/H189,"n.a.")</x:f>
        <x:v>18.536585365853657</x:v>
      </x:c>
      <x:c r="J189" s="10" t="n">
        <x:f>IF('Данные'!E189&gt;0,G189/'Данные'!E189,"n.a.")</x:f>
        <x:v>0.0106430652027784</x:v>
      </x:c>
      <x:c r="K189" s="1" t="str">
        <x:f>IF(G189&gt;='Дашборд'!$C$51,"X","Z")</x:f>
        <x:v>X</x:v>
      </x:c>
      <x:c r="L189" s="1" t="str">
        <x:f>IF(H189=0,IF(G189&gt;0,"Нет остатка","Нет спроса"),IF(I189&gt;='Дашборд'!$C$52,"Быстрый","Медленный"))</x:f>
        <x:v>Быстрый</x:v>
      </x:c>
      <x:c r="M189" s="1" t="str">
        <x:f>IF('Данные'!E189&lt;'Дашборд'!$C$53,"Мало трафика",IF(J189&lt;'Дашборд'!$C$9*'Дашборд'!$C$54,"Да","Нет"))</x:f>
        <x:v>Нет</x:v>
      </x:c>
      <x:c r="N189" s="1" t="str">
        <x:f>IF(AND('Данные'!D189&gt;='Дашборд'!$C$55,D189&lt;'Дашборд'!$C$56,'Данные'!E189&gt;='Дашборд'!$C$53,'Данные'!L189&lt;&gt;"Да"),"Да","Нет")</x:f>
        <x:v>Нет</x:v>
      </x:c>
      <x:c r="O189" s="1" t="str">
        <x:f>'Данные'!L189</x:f>
        <x:v>Нет</x:v>
      </x:c>
    </x:row>
    <x:row r="190">
      <x:c r="A190" s="1" t="str">
        <x:f>'Данные'!A190</x:f>
        <x:v>165757802</x:v>
      </x:c>
      <x:c r="B190" s="1" t="str">
        <x:f>'Данные'!B190</x:f>
        <x:v>kulirkaman/пыльнаяроза</x:v>
      </x:c>
      <x:c r="C190" s="8" t="n">
        <x:f>'Данные'!G190</x:f>
        <x:v>997326</x:v>
      </x:c>
      <x:c r="D190" s="15" t="n">
        <x:f>C190/SUM($C$5:$C$2477)</x:f>
        <x:v>0.0011650997989906527</x:v>
      </x:c>
      <x:c r="E190" s="15" t="n">
        <x:f>SUM($D$5:D190)</x:f>
        <x:v>0.5959520495181589</x:v>
      </x:c>
      <x:c r="F190" s="1" t="str">
        <x:f>IF(C190&lt;=0,"C",IF(E190-D190&lt;'Дашборд'!$C$49,"A",IF(E190-D190&lt;'Дашборд'!$C$50,"B","C")))</x:f>
        <x:v>A</x:v>
      </x:c>
      <x:c r="G190" s="8" t="n">
        <x:f>'Данные'!F190</x:f>
        <x:v>1948</x:v>
      </x:c>
      <x:c r="H190" s="8" t="n">
        <x:f>SUM('Данные'!H190:I190)</x:f>
        <x:v>1650</x:v>
      </x:c>
      <x:c r="I190" s="16" t="n">
        <x:f>IF(H190&gt;0,G190/H190,"n.a.")</x:f>
        <x:v>1.1806060606060607</x:v>
      </x:c>
      <x:c r="J190" s="10" t="n">
        <x:f>IF('Данные'!E190&gt;0,G190/'Данные'!E190,"n.a.")</x:f>
        <x:v>0.04820708258061323</x:v>
      </x:c>
      <x:c r="K190" s="1" t="str">
        <x:f>IF(G190&gt;='Дашборд'!$C$51,"X","Z")</x:f>
        <x:v>X</x:v>
      </x:c>
      <x:c r="L190" s="1" t="str">
        <x:f>IF(H190=0,IF(G190&gt;0,"Нет остатка","Нет спроса"),IF(I190&gt;='Дашборд'!$C$52,"Быстрый","Медленный"))</x:f>
        <x:v>Быстрый</x:v>
      </x:c>
      <x:c r="M190" s="1" t="str">
        <x:f>IF('Данные'!E190&lt;'Дашборд'!$C$53,"Мало трафика",IF(J190&lt;'Дашборд'!$C$9*'Дашборд'!$C$54,"Да","Нет"))</x:f>
        <x:v>Нет</x:v>
      </x:c>
      <x:c r="N190" s="1" t="str">
        <x:f>IF(AND('Данные'!D190&gt;='Дашборд'!$C$55,D190&lt;'Дашборд'!$C$56,'Данные'!E190&gt;='Дашборд'!$C$53,'Данные'!L190&lt;&gt;"Да"),"Да","Нет")</x:f>
        <x:v>Нет</x:v>
      </x:c>
      <x:c r="O190" s="1" t="str">
        <x:f>'Данные'!L190</x:f>
        <x:v>Нет</x:v>
      </x:c>
    </x:row>
    <x:row r="191">
      <x:c r="A191" s="1" t="str">
        <x:f>'Данные'!A191</x:f>
        <x:v>300266824</x:v>
      </x:c>
      <x:c r="B191" s="1" t="str">
        <x:f>'Данные'!B191</x:f>
        <x:v>svitzip3P-S-5/черный</x:v>
      </x:c>
      <x:c r="C191" s="8" t="n">
        <x:f>'Данные'!G191</x:f>
        <x:v>988709</x:v>
      </x:c>
      <x:c r="D191" s="15" t="n">
        <x:f>C191/SUM($C$5:$C$2477)</x:f>
        <x:v>0.0011550332159797792</x:v>
      </x:c>
      <x:c r="E191" s="15" t="n">
        <x:f>SUM($D$5:D191)</x:f>
        <x:v>0.5971070827341387</x:v>
      </x:c>
      <x:c r="F191" s="1" t="str">
        <x:f>IF(C191&lt;=0,"C",IF(E191-D191&lt;'Дашборд'!$C$49,"A",IF(E191-D191&lt;'Дашборд'!$C$50,"B","C")))</x:f>
        <x:v>A</x:v>
      </x:c>
      <x:c r="G191" s="8" t="n">
        <x:f>'Данные'!F191</x:f>
        <x:v>1024</x:v>
      </x:c>
      <x:c r="H191" s="8" t="n">
        <x:f>SUM('Данные'!H191:I191)</x:f>
        <x:v>80</x:v>
      </x:c>
      <x:c r="I191" s="16" t="n">
        <x:f>IF(H191&gt;0,G191/H191,"n.a.")</x:f>
        <x:v>12.8</x:v>
      </x:c>
      <x:c r="J191" s="10" t="n">
        <x:f>IF('Данные'!E191&gt;0,G191/'Данные'!E191,"n.a.")</x:f>
        <x:v>0.01338019887365904</x:v>
      </x:c>
      <x:c r="K191" s="1" t="str">
        <x:f>IF(G191&gt;='Дашборд'!$C$51,"X","Z")</x:f>
        <x:v>X</x:v>
      </x:c>
      <x:c r="L191" s="1" t="str">
        <x:f>IF(H191=0,IF(G191&gt;0,"Нет остатка","Нет спроса"),IF(I191&gt;='Дашборд'!$C$52,"Быстрый","Медленный"))</x:f>
        <x:v>Быстрый</x:v>
      </x:c>
      <x:c r="M191" s="1" t="str">
        <x:f>IF('Данные'!E191&lt;'Дашборд'!$C$53,"Мало трафика",IF(J191&lt;'Дашборд'!$C$9*'Дашборд'!$C$54,"Да","Нет"))</x:f>
        <x:v>Нет</x:v>
      </x:c>
      <x:c r="N191" s="1" t="str">
        <x:f>IF(AND('Данные'!D191&gt;='Дашборд'!$C$55,D191&lt;'Дашборд'!$C$56,'Данные'!E191&gt;='Дашборд'!$C$53,'Данные'!L191&lt;&gt;"Да"),"Да","Нет")</x:f>
        <x:v>Нет</x:v>
      </x:c>
      <x:c r="O191" s="1" t="str">
        <x:f>'Данные'!L191</x:f>
        <x:v>Нет</x:v>
      </x:c>
    </x:row>
    <x:row r="192">
      <x:c r="A192" s="1" t="str">
        <x:f>'Данные'!A192</x:f>
        <x:v>255457980</x:v>
      </x:c>
      <x:c r="B192" s="1" t="str">
        <x:f>'Данные'!B192</x:f>
        <x:v>tolstovkazip/голубой</x:v>
      </x:c>
      <x:c r="C192" s="8" t="n">
        <x:f>'Данные'!G192</x:f>
        <x:v>988661</x:v>
      </x:c>
      <x:c r="D192" s="15" t="n">
        <x:f>C192/SUM($C$5:$C$2477)</x:f>
        <x:v>0.0011549771412455883</x:v>
      </x:c>
      <x:c r="E192" s="15" t="n">
        <x:f>SUM($D$5:D192)</x:f>
        <x:v>0.5982620598753843</x:v>
      </x:c>
      <x:c r="F192" s="1" t="str">
        <x:f>IF(C192&lt;=0,"C",IF(E192-D192&lt;'Дашборд'!$C$49,"A",IF(E192-D192&lt;'Дашборд'!$C$50,"B","C")))</x:f>
        <x:v>A</x:v>
      </x:c>
      <x:c r="G192" s="8" t="n">
        <x:f>'Данные'!F192</x:f>
        <x:v>685</x:v>
      </x:c>
      <x:c r="H192" s="8" t="n">
        <x:f>SUM('Данные'!H192:I192)</x:f>
        <x:v>0</x:v>
      </x:c>
      <x:c r="I192" s="16" t="str">
        <x:f>IF(H192&gt;0,G192/H192,"n.a.")</x:f>
        <x:v>n.a.</x:v>
      </x:c>
      <x:c r="J192" s="10" t="n">
        <x:f>IF('Данные'!E192&gt;0,G192/'Данные'!E192,"n.a.")</x:f>
        <x:v>0.011507189893831475</x:v>
      </x:c>
      <x:c r="K192" s="1" t="str">
        <x:f>IF(G192&gt;='Дашборд'!$C$51,"X","Z")</x:f>
        <x:v>X</x:v>
      </x:c>
      <x:c r="L192" s="1" t="str">
        <x:f>IF(H192=0,IF(G192&gt;0,"Нет остатка","Нет спроса"),IF(I192&gt;='Дашборд'!$C$52,"Быстрый","Медленный"))</x:f>
        <x:v>Нет остатка</x:v>
      </x:c>
      <x:c r="M192" s="1" t="str">
        <x:f>IF('Данные'!E192&lt;'Дашборд'!$C$53,"Мало трафика",IF(J192&lt;'Дашборд'!$C$9*'Дашборд'!$C$54,"Да","Нет"))</x:f>
        <x:v>Нет</x:v>
      </x:c>
      <x:c r="N192" s="1" t="str">
        <x:f>IF(AND('Данные'!D192&gt;='Дашборд'!$C$55,D192&lt;'Дашборд'!$C$56,'Данные'!E192&gt;='Дашборд'!$C$53,'Данные'!L192&lt;&gt;"Да"),"Да","Нет")</x:f>
        <x:v>Нет</x:v>
      </x:c>
      <x:c r="O192" s="1" t="str">
        <x:f>'Данные'!L192</x:f>
        <x:v>Нет</x:v>
      </x:c>
    </x:row>
    <x:row r="193">
      <x:c r="A193" s="1" t="str">
        <x:f>'Данные'!A193</x:f>
        <x:v>323203657</x:v>
      </x:c>
      <x:c r="B193" s="1" t="str">
        <x:f>'Данные'!B193</x:f>
        <x:v>tshirtsuperover3K-E1/какао</x:v>
      </x:c>
      <x:c r="C193" s="8" t="n">
        <x:f>'Данные'!G193</x:f>
        <x:v>975934</x:v>
      </x:c>
      <x:c r="D193" s="15" t="n">
        <x:f>C193/SUM($C$5:$C$2477)</x:f>
        <x:v>0.0011401091591196296</x:v>
      </x:c>
      <x:c r="E193" s="15" t="n">
        <x:f>SUM($D$5:D193)</x:f>
        <x:v>0.5994021690345039</x:v>
      </x:c>
      <x:c r="F193" s="1" t="str">
        <x:f>IF(C193&lt;=0,"C",IF(E193-D193&lt;'Дашборд'!$C$49,"A",IF(E193-D193&lt;'Дашборд'!$C$50,"B","C")))</x:f>
        <x:v>A</x:v>
      </x:c>
      <x:c r="G193" s="8" t="n">
        <x:f>'Данные'!F193</x:f>
        <x:v>1657</x:v>
      </x:c>
      <x:c r="H193" s="8" t="n">
        <x:f>SUM('Данные'!H193:I193)</x:f>
        <x:v>544</x:v>
      </x:c>
      <x:c r="I193" s="16" t="n">
        <x:f>IF(H193&gt;0,G193/H193,"n.a.")</x:f>
        <x:v>3.045955882352941</x:v>
      </x:c>
      <x:c r="J193" s="10" t="n">
        <x:f>IF('Данные'!E193&gt;0,G193/'Данные'!E193,"n.a.")</x:f>
        <x:v>0.012525512132436314</x:v>
      </x:c>
      <x:c r="K193" s="1" t="str">
        <x:f>IF(G193&gt;='Дашборд'!$C$51,"X","Z")</x:f>
        <x:v>X</x:v>
      </x:c>
      <x:c r="L193" s="1" t="str">
        <x:f>IF(H193=0,IF(G193&gt;0,"Нет остатка","Нет спроса"),IF(I193&gt;='Дашборд'!$C$52,"Быстрый","Медленный"))</x:f>
        <x:v>Быстрый</x:v>
      </x:c>
      <x:c r="M193" s="1" t="str">
        <x:f>IF('Данные'!E193&lt;'Дашборд'!$C$53,"Мало трафика",IF(J193&lt;'Дашборд'!$C$9*'Дашборд'!$C$54,"Да","Нет"))</x:f>
        <x:v>Нет</x:v>
      </x:c>
      <x:c r="N193" s="1" t="str">
        <x:f>IF(AND('Данные'!D193&gt;='Дашборд'!$C$55,D193&lt;'Дашборд'!$C$56,'Данные'!E193&gt;='Дашборд'!$C$53,'Данные'!L193&lt;&gt;"Да"),"Да","Нет")</x:f>
        <x:v>Нет</x:v>
      </x:c>
      <x:c r="O193" s="1" t="str">
        <x:f>'Данные'!L193</x:f>
        <x:v>Нет</x:v>
      </x:c>
    </x:row>
    <x:row r="194">
      <x:c r="A194" s="1" t="str">
        <x:f>'Данные'!A194</x:f>
        <x:v>293297746</x:v>
      </x:c>
      <x:c r="B194" s="1" t="str">
        <x:f>'Данные'!B194</x:f>
        <x:v>2Nlongman4D-69/молочный</x:v>
      </x:c>
      <x:c r="C194" s="8" t="n">
        <x:f>'Данные'!G194</x:f>
        <x:v>975534</x:v>
      </x:c>
      <x:c r="D194" s="15" t="n">
        <x:f>C194/SUM($C$5:$C$2477)</x:f>
        <x:v>0.0011396418696680397</x:v>
      </x:c>
      <x:c r="E194" s="15" t="n">
        <x:f>SUM($D$5:D194)</x:f>
        <x:v>0.600541810904172</x:v>
      </x:c>
      <x:c r="F194" s="1" t="str">
        <x:f>IF(C194&lt;=0,"C",IF(E194-D194&lt;'Дашборд'!$C$49,"A",IF(E194-D194&lt;'Дашборд'!$C$50,"B","C")))</x:f>
        <x:v>A</x:v>
      </x:c>
      <x:c r="G194" s="8" t="n">
        <x:f>'Данные'!F194</x:f>
        <x:v>2066</x:v>
      </x:c>
      <x:c r="H194" s="8" t="n">
        <x:f>SUM('Данные'!H194:I194)</x:f>
        <x:v>99</x:v>
      </x:c>
      <x:c r="I194" s="16" t="n">
        <x:f>IF(H194&gt;0,G194/H194,"n.a.")</x:f>
        <x:v>20.86868686868687</x:v>
      </x:c>
      <x:c r="J194" s="10" t="n">
        <x:f>IF('Данные'!E194&gt;0,G194/'Данные'!E194,"n.a.")</x:f>
        <x:v>0.03472560719388184</x:v>
      </x:c>
      <x:c r="K194" s="1" t="str">
        <x:f>IF(G194&gt;='Дашборд'!$C$51,"X","Z")</x:f>
        <x:v>X</x:v>
      </x:c>
      <x:c r="L194" s="1" t="str">
        <x:f>IF(H194=0,IF(G194&gt;0,"Нет остатка","Нет спроса"),IF(I194&gt;='Дашборд'!$C$52,"Быстрый","Медленный"))</x:f>
        <x:v>Быстрый</x:v>
      </x:c>
      <x:c r="M194" s="1" t="str">
        <x:f>IF('Данные'!E194&lt;'Дашборд'!$C$53,"Мало трафика",IF(J194&lt;'Дашборд'!$C$9*'Дашборд'!$C$54,"Да","Нет"))</x:f>
        <x:v>Нет</x:v>
      </x:c>
      <x:c r="N194" s="1" t="str">
        <x:f>IF(AND('Данные'!D194&gt;='Дашборд'!$C$55,D194&lt;'Дашборд'!$C$56,'Данные'!E194&gt;='Дашборд'!$C$53,'Данные'!L194&lt;&gt;"Да"),"Да","Нет")</x:f>
        <x:v>Нет</x:v>
      </x:c>
      <x:c r="O194" s="1" t="str">
        <x:f>'Данные'!L194</x:f>
        <x:v>Нет</x:v>
      </x:c>
    </x:row>
    <x:row r="195">
      <x:c r="A195" s="1" t="str">
        <x:f>'Данные'!A195</x:f>
        <x:v>295989786</x:v>
      </x:c>
      <x:c r="B195" s="1" t="str">
        <x:f>'Данные'!B195</x:f>
        <x:v>hudicropprint/Vacances-245/бордовый</x:v>
      </x:c>
      <x:c r="C195" s="8" t="n">
        <x:f>'Данные'!G195</x:f>
        <x:v>975322</x:v>
      </x:c>
      <x:c r="D195" s="15" t="n">
        <x:f>C195/SUM($C$5:$C$2477)</x:f>
        <x:v>0.0011393942062586971</x:v>
      </x:c>
      <x:c r="E195" s="15" t="n">
        <x:f>SUM($D$5:D195)</x:f>
        <x:v>0.6016812051104308</x:v>
      </x:c>
      <x:c r="F195" s="1" t="str">
        <x:f>IF(C195&lt;=0,"C",IF(E195-D195&lt;'Дашборд'!$C$49,"A",IF(E195-D195&lt;'Дашборд'!$C$50,"B","C")))</x:f>
        <x:v>A</x:v>
      </x:c>
      <x:c r="G195" s="8" t="n">
        <x:f>'Данные'!F195</x:f>
        <x:v>831</x:v>
      </x:c>
      <x:c r="H195" s="8" t="n">
        <x:f>SUM('Данные'!H195:I195)</x:f>
        <x:v>3</x:v>
      </x:c>
      <x:c r="I195" s="16" t="n">
        <x:f>IF(H195&gt;0,G195/H195,"n.a.")</x:f>
        <x:v>277</x:v>
      </x:c>
      <x:c r="J195" s="10" t="n">
        <x:f>IF('Данные'!E195&gt;0,G195/'Данные'!E195,"n.a.")</x:f>
        <x:v>0.0168450498662126</x:v>
      </x:c>
      <x:c r="K195" s="1" t="str">
        <x:f>IF(G195&gt;='Дашборд'!$C$51,"X","Z")</x:f>
        <x:v>X</x:v>
      </x:c>
      <x:c r="L195" s="1" t="str">
        <x:f>IF(H195=0,IF(G195&gt;0,"Нет остатка","Нет спроса"),IF(I195&gt;='Дашборд'!$C$52,"Быстрый","Медленный"))</x:f>
        <x:v>Быстрый</x:v>
      </x:c>
      <x:c r="M195" s="1" t="str">
        <x:f>IF('Данные'!E195&lt;'Дашборд'!$C$53,"Мало трафика",IF(J195&lt;'Дашборд'!$C$9*'Дашборд'!$C$54,"Да","Нет"))</x:f>
        <x:v>Нет</x:v>
      </x:c>
      <x:c r="N195" s="1" t="str">
        <x:f>IF(AND('Данные'!D195&gt;='Дашборд'!$C$55,D195&lt;'Дашборд'!$C$56,'Данные'!E195&gt;='Дашборд'!$C$53,'Данные'!L195&lt;&gt;"Да"),"Да","Нет")</x:f>
        <x:v>Нет</x:v>
      </x:c>
      <x:c r="O195" s="1" t="str">
        <x:f>'Данные'!L195</x:f>
        <x:v>Нет</x:v>
      </x:c>
    </x:row>
    <x:row r="196">
      <x:c r="A196" s="1" t="str">
        <x:f>'Данные'!A196</x:f>
        <x:v>115880175</x:v>
      </x:c>
      <x:c r="B196" s="1" t="str">
        <x:f>'Данные'!B196</x:f>
        <x:v>hudi/мандариновый</x:v>
      </x:c>
      <x:c r="C196" s="8" t="n">
        <x:f>'Данные'!G196</x:f>
        <x:v>963772</x:v>
      </x:c>
      <x:c r="D196" s="15" t="n">
        <x:f>C196/SUM($C$5:$C$2477)</x:f>
        <x:v>0.0011259012233440413</x:v>
      </x:c>
      <x:c r="E196" s="15" t="n">
        <x:f>SUM($D$5:D196)</x:f>
        <x:v>0.6028071063337748</x:v>
      </x:c>
      <x:c r="F196" s="1" t="str">
        <x:f>IF(C196&lt;=0,"C",IF(E196-D196&lt;'Дашборд'!$C$49,"A",IF(E196-D196&lt;'Дашборд'!$C$50,"B","C")))</x:f>
        <x:v>A</x:v>
      </x:c>
      <x:c r="G196" s="8" t="n">
        <x:f>'Данные'!F196</x:f>
        <x:v>958</x:v>
      </x:c>
      <x:c r="H196" s="8" t="n">
        <x:f>SUM('Данные'!H196:I196)</x:f>
        <x:v>98</x:v>
      </x:c>
      <x:c r="I196" s="16" t="n">
        <x:f>IF(H196&gt;0,G196/H196,"n.a.")</x:f>
        <x:v>9.775510204081632</x:v>
      </x:c>
      <x:c r="J196" s="10" t="n">
        <x:f>IF('Данные'!E196&gt;0,G196/'Данные'!E196,"n.a.")</x:f>
        <x:v>0.015661271865293445</x:v>
      </x:c>
      <x:c r="K196" s="1" t="str">
        <x:f>IF(G196&gt;='Дашборд'!$C$51,"X","Z")</x:f>
        <x:v>X</x:v>
      </x:c>
      <x:c r="L196" s="1" t="str">
        <x:f>IF(H196=0,IF(G196&gt;0,"Нет остатка","Нет спроса"),IF(I196&gt;='Дашборд'!$C$52,"Быстрый","Медленный"))</x:f>
        <x:v>Быстрый</x:v>
      </x:c>
      <x:c r="M196" s="1" t="str">
        <x:f>IF('Данные'!E196&lt;'Дашборд'!$C$53,"Мало трафика",IF(J196&lt;'Дашборд'!$C$9*'Дашборд'!$C$54,"Да","Нет"))</x:f>
        <x:v>Нет</x:v>
      </x:c>
      <x:c r="N196" s="1" t="str">
        <x:f>IF(AND('Данные'!D196&gt;='Дашборд'!$C$55,D196&lt;'Дашборд'!$C$56,'Данные'!E196&gt;='Дашборд'!$C$53,'Данные'!L196&lt;&gt;"Да"),"Да","Нет")</x:f>
        <x:v>Нет</x:v>
      </x:c>
      <x:c r="O196" s="1" t="str">
        <x:f>'Данные'!L196</x:f>
        <x:v>Нет</x:v>
      </x:c>
    </x:row>
    <x:row r="197">
      <x:c r="A197" s="1" t="str">
        <x:f>'Данные'!A197</x:f>
        <x:v>293297745</x:v>
      </x:c>
      <x:c r="B197" s="1" t="str">
        <x:f>'Данные'!B197</x:f>
        <x:v>2Nlongman4D-69/белый</x:v>
      </x:c>
      <x:c r="C197" s="8" t="n">
        <x:f>'Данные'!G197</x:f>
        <x:v>956705</x:v>
      </x:c>
      <x:c r="D197" s="15" t="n">
        <x:f>C197/SUM($C$5:$C$2477)</x:f>
        <x:v>0.0011176453869580782</x:v>
      </x:c>
      <x:c r="E197" s="15" t="n">
        <x:f>SUM($D$5:D197)</x:f>
        <x:v>0.6039247517207329</x:v>
      </x:c>
      <x:c r="F197" s="1" t="str">
        <x:f>IF(C197&lt;=0,"C",IF(E197-D197&lt;'Дашборд'!$C$49,"A",IF(E197-D197&lt;'Дашборд'!$C$50,"B","C")))</x:f>
        <x:v>A</x:v>
      </x:c>
      <x:c r="G197" s="8" t="n">
        <x:f>'Данные'!F197</x:f>
        <x:v>1937</x:v>
      </x:c>
      <x:c r="H197" s="8" t="n">
        <x:f>SUM('Данные'!H197:I197)</x:f>
        <x:v>128</x:v>
      </x:c>
      <x:c r="I197" s="16" t="n">
        <x:f>IF(H197&gt;0,G197/H197,"n.a.")</x:f>
        <x:v>15.1328125</x:v>
      </x:c>
      <x:c r="J197" s="10" t="n">
        <x:f>IF('Данные'!E197&gt;0,G197/'Данные'!E197,"n.a.")</x:f>
        <x:v>0.049729146876845265</x:v>
      </x:c>
      <x:c r="K197" s="1" t="str">
        <x:f>IF(G197&gt;='Дашборд'!$C$51,"X","Z")</x:f>
        <x:v>X</x:v>
      </x:c>
      <x:c r="L197" s="1" t="str">
        <x:f>IF(H197=0,IF(G197&gt;0,"Нет остатка","Нет спроса"),IF(I197&gt;='Дашборд'!$C$52,"Быстрый","Медленный"))</x:f>
        <x:v>Быстрый</x:v>
      </x:c>
      <x:c r="M197" s="1" t="str">
        <x:f>IF('Данные'!E197&lt;'Дашборд'!$C$53,"Мало трафика",IF(J197&lt;'Дашборд'!$C$9*'Дашборд'!$C$54,"Да","Нет"))</x:f>
        <x:v>Нет</x:v>
      </x:c>
      <x:c r="N197" s="1" t="str">
        <x:f>IF(AND('Данные'!D197&gt;='Дашборд'!$C$55,D197&lt;'Дашборд'!$C$56,'Данные'!E197&gt;='Дашборд'!$C$53,'Данные'!L197&lt;&gt;"Да"),"Да","Нет")</x:f>
        <x:v>Нет</x:v>
      </x:c>
      <x:c r="O197" s="1" t="str">
        <x:f>'Данные'!L197</x:f>
        <x:v>Нет</x:v>
      </x:c>
    </x:row>
    <x:row r="198">
      <x:c r="A198" s="1" t="str">
        <x:f>'Данные'!A198</x:f>
        <x:v>325074338</x:v>
      </x:c>
      <x:c r="B198" s="1" t="str">
        <x:f>'Данные'!B198</x:f>
        <x:v>futbolkaprint/Awesomeness-278/коричневый</x:v>
      </x:c>
      <x:c r="C198" s="8" t="n">
        <x:f>'Данные'!G198</x:f>
        <x:v>953909</x:v>
      </x:c>
      <x:c r="D198" s="15" t="n">
        <x:f>C198/SUM($C$5:$C$2477)</x:f>
        <x:v>0.0011143790336914654</x:v>
      </x:c>
      <x:c r="E198" s="15" t="n">
        <x:f>SUM($D$5:D198)</x:f>
        <x:v>0.6050391307544244</x:v>
      </x:c>
      <x:c r="F198" s="1" t="str">
        <x:f>IF(C198&lt;=0,"C",IF(E198-D198&lt;'Дашборд'!$C$49,"A",IF(E198-D198&lt;'Дашборд'!$C$50,"B","C")))</x:f>
        <x:v>A</x:v>
      </x:c>
      <x:c r="G198" s="8" t="n">
        <x:f>'Данные'!F198</x:f>
        <x:v>1530</x:v>
      </x:c>
      <x:c r="H198" s="8" t="n">
        <x:f>SUM('Данные'!H198:I198)</x:f>
        <x:v>15</x:v>
      </x:c>
      <x:c r="I198" s="16" t="n">
        <x:f>IF(H198&gt;0,G198/H198,"n.a.")</x:f>
        <x:v>102</x:v>
      </x:c>
      <x:c r="J198" s="10" t="n">
        <x:f>IF('Данные'!E198&gt;0,G198/'Данные'!E198,"n.a.")</x:f>
        <x:v>0.011444643084219108</x:v>
      </x:c>
      <x:c r="K198" s="1" t="str">
        <x:f>IF(G198&gt;='Дашборд'!$C$51,"X","Z")</x:f>
        <x:v>X</x:v>
      </x:c>
      <x:c r="L198" s="1" t="str">
        <x:f>IF(H198=0,IF(G198&gt;0,"Нет остатка","Нет спроса"),IF(I198&gt;='Дашборд'!$C$52,"Быстрый","Медленный"))</x:f>
        <x:v>Быстрый</x:v>
      </x:c>
      <x:c r="M198" s="1" t="str">
        <x:f>IF('Данные'!E198&lt;'Дашборд'!$C$53,"Мало трафика",IF(J198&lt;'Дашборд'!$C$9*'Дашборд'!$C$54,"Да","Нет"))</x:f>
        <x:v>Нет</x:v>
      </x:c>
      <x:c r="N198" s="1" t="str">
        <x:f>IF(AND('Данные'!D198&gt;='Дашборд'!$C$55,D198&lt;'Дашборд'!$C$56,'Данные'!E198&gt;='Дашборд'!$C$53,'Данные'!L198&lt;&gt;"Да"),"Да","Нет")</x:f>
        <x:v>Нет</x:v>
      </x:c>
      <x:c r="O198" s="1" t="str">
        <x:f>'Данные'!L198</x:f>
        <x:v>Нет</x:v>
      </x:c>
    </x:row>
    <x:row r="199">
      <x:c r="A199" s="1" t="str">
        <x:f>'Данные'!A199</x:f>
        <x:v>297802180</x:v>
      </x:c>
      <x:c r="B199" s="1" t="str">
        <x:f>'Данные'!B199</x:f>
        <x:v>longslim3К-81/черный</x:v>
      </x:c>
      <x:c r="C199" s="8" t="n">
        <x:f>'Данные'!G199</x:f>
        <x:v>953087</x:v>
      </x:c>
      <x:c r="D199" s="15" t="n">
        <x:f>C199/SUM($C$5:$C$2477)</x:f>
        <x:v>0.0011134187538684485</x:v>
      </x:c>
      <x:c r="E199" s="15" t="n">
        <x:f>SUM($D$5:D199)</x:f>
        <x:v>0.6061525495082929</x:v>
      </x:c>
      <x:c r="F199" s="1" t="str">
        <x:f>IF(C199&lt;=0,"C",IF(E199-D199&lt;'Дашборд'!$C$49,"A",IF(E199-D199&lt;'Дашборд'!$C$50,"B","C")))</x:f>
        <x:v>A</x:v>
      </x:c>
      <x:c r="G199" s="8" t="n">
        <x:f>'Данные'!F199</x:f>
        <x:v>2049</x:v>
      </x:c>
      <x:c r="H199" s="8" t="n">
        <x:f>SUM('Данные'!H199:I199)</x:f>
        <x:v>1735</x:v>
      </x:c>
      <x:c r="I199" s="16" t="n">
        <x:f>IF(H199&gt;0,G199/H199,"n.a.")</x:f>
        <x:v>1.1809798270893372</x:v>
      </x:c>
      <x:c r="J199" s="10" t="n">
        <x:f>IF('Данные'!E199&gt;0,G199/'Данные'!E199,"n.a.")</x:f>
        <x:v>0.025869905560325236</x:v>
      </x:c>
      <x:c r="K199" s="1" t="str">
        <x:f>IF(G199&gt;='Дашборд'!$C$51,"X","Z")</x:f>
        <x:v>X</x:v>
      </x:c>
      <x:c r="L199" s="1" t="str">
        <x:f>IF(H199=0,IF(G199&gt;0,"Нет остатка","Нет спроса"),IF(I199&gt;='Дашборд'!$C$52,"Быстрый","Медленный"))</x:f>
        <x:v>Быстрый</x:v>
      </x:c>
      <x:c r="M199" s="1" t="str">
        <x:f>IF('Данные'!E199&lt;'Дашборд'!$C$53,"Мало трафика",IF(J199&lt;'Дашборд'!$C$9*'Дашборд'!$C$54,"Да","Нет"))</x:f>
        <x:v>Нет</x:v>
      </x:c>
      <x:c r="N199" s="1" t="str">
        <x:f>IF(AND('Данные'!D199&gt;='Дашборд'!$C$55,D199&lt;'Дашборд'!$C$56,'Данные'!E199&gt;='Дашборд'!$C$53,'Данные'!L199&lt;&gt;"Да"),"Да","Нет")</x:f>
        <x:v>Нет</x:v>
      </x:c>
      <x:c r="O199" s="1" t="str">
        <x:f>'Данные'!L199</x:f>
        <x:v>Нет</x:v>
      </x:c>
    </x:row>
    <x:row r="200">
      <x:c r="A200" s="1" t="str">
        <x:f>'Данные'!A200</x:f>
        <x:v>317320229</x:v>
      </x:c>
      <x:c r="B200" s="1" t="str">
        <x:f>'Данные'!B200</x:f>
        <x:v>futbolkaprint/drama-268/молочный</x:v>
      </x:c>
      <x:c r="C200" s="8" t="n">
        <x:f>'Данные'!G200</x:f>
        <x:v>952083</x:v>
      </x:c>
      <x:c r="D200" s="15" t="n">
        <x:f>C200/SUM($C$5:$C$2477)</x:f>
        <x:v>0.001112245857344958</x:v>
      </x:c>
      <x:c r="E200" s="15" t="n">
        <x:f>SUM($D$5:D200)</x:f>
        <x:v>0.6072647953656378</x:v>
      </x:c>
      <x:c r="F200" s="1" t="str">
        <x:f>IF(C200&lt;=0,"C",IF(E200-D200&lt;'Дашборд'!$C$49,"A",IF(E200-D200&lt;'Дашборд'!$C$50,"B","C")))</x:f>
        <x:v>A</x:v>
      </x:c>
      <x:c r="G200" s="8" t="n">
        <x:f>'Данные'!F200</x:f>
        <x:v>1400</x:v>
      </x:c>
      <x:c r="H200" s="8" t="n">
        <x:f>SUM('Данные'!H200:I200)</x:f>
        <x:v>5</x:v>
      </x:c>
      <x:c r="I200" s="16" t="n">
        <x:f>IF(H200&gt;0,G200/H200,"n.a.")</x:f>
        <x:v>280</x:v>
      </x:c>
      <x:c r="J200" s="10" t="n">
        <x:f>IF('Данные'!E200&gt;0,G200/'Данные'!E200,"n.a.")</x:f>
        <x:v>0.011400280121168692</x:v>
      </x:c>
      <x:c r="K200" s="1" t="str">
        <x:f>IF(G200&gt;='Дашборд'!$C$51,"X","Z")</x:f>
        <x:v>X</x:v>
      </x:c>
      <x:c r="L200" s="1" t="str">
        <x:f>IF(H200=0,IF(G200&gt;0,"Нет остатка","Нет спроса"),IF(I200&gt;='Дашборд'!$C$52,"Быстрый","Медленный"))</x:f>
        <x:v>Быстрый</x:v>
      </x:c>
      <x:c r="M200" s="1" t="str">
        <x:f>IF('Данные'!E200&lt;'Дашборд'!$C$53,"Мало трафика",IF(J200&lt;'Дашборд'!$C$9*'Дашборд'!$C$54,"Да","Нет"))</x:f>
        <x:v>Нет</x:v>
      </x:c>
      <x:c r="N200" s="1" t="str">
        <x:f>IF(AND('Данные'!D200&gt;='Дашборд'!$C$55,D200&lt;'Дашборд'!$C$56,'Данные'!E200&gt;='Дашборд'!$C$53,'Данные'!L200&lt;&gt;"Да"),"Да","Нет")</x:f>
        <x:v>Нет</x:v>
      </x:c>
      <x:c r="O200" s="1" t="str">
        <x:f>'Данные'!L200</x:f>
        <x:v>Нет</x:v>
      </x:c>
    </x:row>
    <x:row r="201">
      <x:c r="A201" s="1" t="str">
        <x:f>'Данные'!A201</x:f>
        <x:v>172152347</x:v>
      </x:c>
      <x:c r="B201" s="1" t="str">
        <x:f>'Данные'!B201</x:f>
        <x:v>baza/фуксия</x:v>
      </x:c>
      <x:c r="C201" s="8" t="n">
        <x:f>'Данные'!G201</x:f>
        <x:v>949408</x:v>
      </x:c>
      <x:c r="D201" s="15" t="n">
        <x:f>C201/SUM($C$5:$C$2477)</x:f>
        <x:v>0.0011091208591374512</x:v>
      </x:c>
      <x:c r="E201" s="15" t="n">
        <x:f>SUM($D$5:D201)</x:f>
        <x:v>0.6083739162247753</x:v>
      </x:c>
      <x:c r="F201" s="1" t="str">
        <x:f>IF(C201&lt;=0,"C",IF(E201-D201&lt;'Дашборд'!$C$49,"A",IF(E201-D201&lt;'Дашборд'!$C$50,"B","C")))</x:f>
        <x:v>A</x:v>
      </x:c>
      <x:c r="G201" s="8" t="n">
        <x:f>'Данные'!F201</x:f>
        <x:v>1960</x:v>
      </x:c>
      <x:c r="H201" s="8" t="n">
        <x:f>SUM('Данные'!H201:I201)</x:f>
        <x:v>1726</x:v>
      </x:c>
      <x:c r="I201" s="16" t="n">
        <x:f>IF(H201&gt;0,G201/H201,"n.a.")</x:f>
        <x:v>1.1355735805330243</x:v>
      </x:c>
      <x:c r="J201" s="10" t="n">
        <x:f>IF('Данные'!E201&gt;0,G201/'Данные'!E201,"n.a.")</x:f>
        <x:v>0.028342539838621048</x:v>
      </x:c>
      <x:c r="K201" s="1" t="str">
        <x:f>IF(G201&gt;='Дашборд'!$C$51,"X","Z")</x:f>
        <x:v>X</x:v>
      </x:c>
      <x:c r="L201" s="1" t="str">
        <x:f>IF(H201=0,IF(G201&gt;0,"Нет остатка","Нет спроса"),IF(I201&gt;='Дашборд'!$C$52,"Быстрый","Медленный"))</x:f>
        <x:v>Быстрый</x:v>
      </x:c>
      <x:c r="M201" s="1" t="str">
        <x:f>IF('Данные'!E201&lt;'Дашборд'!$C$53,"Мало трафика",IF(J201&lt;'Дашборд'!$C$9*'Дашборд'!$C$54,"Да","Нет"))</x:f>
        <x:v>Нет</x:v>
      </x:c>
      <x:c r="N201" s="1" t="str">
        <x:f>IF(AND('Данные'!D201&gt;='Дашборд'!$C$55,D201&lt;'Дашборд'!$C$56,'Данные'!E201&gt;='Дашборд'!$C$53,'Данные'!L201&lt;&gt;"Да"),"Да","Нет")</x:f>
        <x:v>Нет</x:v>
      </x:c>
      <x:c r="O201" s="1" t="str">
        <x:f>'Данные'!L201</x:f>
        <x:v>Нет</x:v>
      </x:c>
    </x:row>
    <x:row r="202">
      <x:c r="A202" s="1" t="str">
        <x:f>'Данные'!A202</x:f>
        <x:v>19345607</x:v>
      </x:c>
      <x:c r="B202" s="1" t="str">
        <x:f>'Данные'!B202</x:f>
        <x:v>hudi/графит</x:v>
      </x:c>
      <x:c r="C202" s="8" t="n">
        <x:f>'Данные'!G202</x:f>
        <x:v>934056</x:v>
      </x:c>
      <x:c r="D202" s="15" t="n">
        <x:f>C202/SUM($C$5:$C$2477)</x:f>
        <x:v>0.0010911862899854342</x:v>
      </x:c>
      <x:c r="E202" s="15" t="n">
        <x:f>SUM($D$5:D202)</x:f>
        <x:v>0.6094651025147607</x:v>
      </x:c>
      <x:c r="F202" s="1" t="str">
        <x:f>IF(C202&lt;=0,"C",IF(E202-D202&lt;'Дашборд'!$C$49,"A",IF(E202-D202&lt;'Дашборд'!$C$50,"B","C")))</x:f>
        <x:v>A</x:v>
      </x:c>
      <x:c r="G202" s="8" t="n">
        <x:f>'Данные'!F202</x:f>
        <x:v>1044</x:v>
      </x:c>
      <x:c r="H202" s="8" t="n">
        <x:f>SUM('Данные'!H202:I202)</x:f>
        <x:v>6</x:v>
      </x:c>
      <x:c r="I202" s="16" t="n">
        <x:f>IF(H202&gt;0,G202/H202,"n.a.")</x:f>
        <x:v>174</x:v>
      </x:c>
      <x:c r="J202" s="10" t="n">
        <x:f>IF('Данные'!E202&gt;0,G202/'Данные'!E202,"n.a.")</x:f>
        <x:v>0.014611412016626779</x:v>
      </x:c>
      <x:c r="K202" s="1" t="str">
        <x:f>IF(G202&gt;='Дашборд'!$C$51,"X","Z")</x:f>
        <x:v>X</x:v>
      </x:c>
      <x:c r="L202" s="1" t="str">
        <x:f>IF(H202=0,IF(G202&gt;0,"Нет остатка","Нет спроса"),IF(I202&gt;='Дашборд'!$C$52,"Быстрый","Медленный"))</x:f>
        <x:v>Быстрый</x:v>
      </x:c>
      <x:c r="M202" s="1" t="str">
        <x:f>IF('Данные'!E202&lt;'Дашборд'!$C$53,"Мало трафика",IF(J202&lt;'Дашборд'!$C$9*'Дашборд'!$C$54,"Да","Нет"))</x:f>
        <x:v>Нет</x:v>
      </x:c>
      <x:c r="N202" s="1" t="str">
        <x:f>IF(AND('Данные'!D202&gt;='Дашборд'!$C$55,D202&lt;'Дашборд'!$C$56,'Данные'!E202&gt;='Дашборд'!$C$53,'Данные'!L202&lt;&gt;"Да"),"Да","Нет")</x:f>
        <x:v>Нет</x:v>
      </x:c>
      <x:c r="O202" s="1" t="str">
        <x:f>'Данные'!L202</x:f>
        <x:v>Нет</x:v>
      </x:c>
    </x:row>
    <x:row r="203">
      <x:c r="A203" s="1" t="str">
        <x:f>'Данные'!A203</x:f>
        <x:v>165757815</x:v>
      </x:c>
      <x:c r="B203" s="1" t="str">
        <x:f>'Данные'!B203</x:f>
        <x:v>kulirkaman/шалфей</x:v>
      </x:c>
      <x:c r="C203" s="8" t="n">
        <x:f>'Данные'!G203</x:f>
        <x:v>931503</x:v>
      </x:c>
      <x:c r="D203" s="15" t="n">
        <x:f>C203/SUM($C$5:$C$2477)</x:f>
        <x:v>0.0010882038150606622</x:v>
      </x:c>
      <x:c r="E203" s="15" t="n">
        <x:f>SUM($D$5:D203)</x:f>
        <x:v>0.6105533063298214</x:v>
      </x:c>
      <x:c r="F203" s="1" t="str">
        <x:f>IF(C203&lt;=0,"C",IF(E203-D203&lt;'Дашборд'!$C$49,"A",IF(E203-D203&lt;'Дашборд'!$C$50,"B","C")))</x:f>
        <x:v>A</x:v>
      </x:c>
      <x:c r="G203" s="8" t="n">
        <x:f>'Данные'!F203</x:f>
        <x:v>1795</x:v>
      </x:c>
      <x:c r="H203" s="8" t="n">
        <x:f>SUM('Данные'!H203:I203)</x:f>
        <x:v>646</x:v>
      </x:c>
      <x:c r="I203" s="16" t="n">
        <x:f>IF(H203&gt;0,G203/H203,"n.a.")</x:f>
        <x:v>2.778637770897833</x:v>
      </x:c>
      <x:c r="J203" s="10" t="n">
        <x:f>IF('Данные'!E203&gt;0,G203/'Данные'!E203,"n.a.")</x:f>
        <x:v>0.03663489601404168</x:v>
      </x:c>
      <x:c r="K203" s="1" t="str">
        <x:f>IF(G203&gt;='Дашборд'!$C$51,"X","Z")</x:f>
        <x:v>X</x:v>
      </x:c>
      <x:c r="L203" s="1" t="str">
        <x:f>IF(H203=0,IF(G203&gt;0,"Нет остатка","Нет спроса"),IF(I203&gt;='Дашборд'!$C$52,"Быстрый","Медленный"))</x:f>
        <x:v>Быстрый</x:v>
      </x:c>
      <x:c r="M203" s="1" t="str">
        <x:f>IF('Данные'!E203&lt;'Дашборд'!$C$53,"Мало трафика",IF(J203&lt;'Дашборд'!$C$9*'Дашборд'!$C$54,"Да","Нет"))</x:f>
        <x:v>Нет</x:v>
      </x:c>
      <x:c r="N203" s="1" t="str">
        <x:f>IF(AND('Данные'!D203&gt;='Дашборд'!$C$55,D203&lt;'Дашборд'!$C$56,'Данные'!E203&gt;='Дашборд'!$C$53,'Данные'!L203&lt;&gt;"Да"),"Да","Нет")</x:f>
        <x:v>Нет</x:v>
      </x:c>
      <x:c r="O203" s="1" t="str">
        <x:f>'Данные'!L203</x:f>
        <x:v>Нет</x:v>
      </x:c>
    </x:row>
    <x:row r="204">
      <x:c r="A204" s="1" t="str">
        <x:f>'Данные'!A204</x:f>
        <x:v>249222955</x:v>
      </x:c>
      <x:c r="B204" s="1" t="str">
        <x:f>'Данные'!B204</x:f>
        <x:v>svitshotpolopetl3P-60/светло-розовый</x:v>
      </x:c>
      <x:c r="C204" s="8" t="n">
        <x:f>'Данные'!G204</x:f>
        <x:v>931316</x:v>
      </x:c>
      <x:c r="D204" s="15" t="n">
        <x:f>C204/SUM($C$5:$C$2477)</x:f>
        <x:v>0.001087985357242044</x:v>
      </x:c>
      <x:c r="E204" s="15" t="n">
        <x:f>SUM($D$5:D204)</x:f>
        <x:v>0.6116412916870635</x:v>
      </x:c>
      <x:c r="F204" s="1" t="str">
        <x:f>IF(C204&lt;=0,"C",IF(E204-D204&lt;'Дашборд'!$C$49,"A",IF(E204-D204&lt;'Дашборд'!$C$50,"B","C")))</x:f>
        <x:v>A</x:v>
      </x:c>
      <x:c r="G204" s="8" t="n">
        <x:f>'Данные'!F204</x:f>
        <x:v>1074</x:v>
      </x:c>
      <x:c r="H204" s="8" t="n">
        <x:f>SUM('Данные'!H204:I204)</x:f>
        <x:v>238</x:v>
      </x:c>
      <x:c r="I204" s="16" t="n">
        <x:f>IF(H204&gt;0,G204/H204,"n.a.")</x:f>
        <x:v>4.512605042016807</x:v>
      </x:c>
      <x:c r="J204" s="10" t="n">
        <x:f>IF('Данные'!E204&gt;0,G204/'Данные'!E204,"n.a.")</x:f>
        <x:v>0.009503499659325199</x:v>
      </x:c>
      <x:c r="K204" s="1" t="str">
        <x:f>IF(G204&gt;='Дашборд'!$C$51,"X","Z")</x:f>
        <x:v>X</x:v>
      </x:c>
      <x:c r="L204" s="1" t="str">
        <x:f>IF(H204=0,IF(G204&gt;0,"Нет остатка","Нет спроса"),IF(I204&gt;='Дашборд'!$C$52,"Быстрый","Медленный"))</x:f>
        <x:v>Быстрый</x:v>
      </x:c>
      <x:c r="M204" s="1" t="str">
        <x:f>IF('Данные'!E204&lt;'Дашборд'!$C$53,"Мало трафика",IF(J204&lt;'Дашборд'!$C$9*'Дашборд'!$C$54,"Да","Нет"))</x:f>
        <x:v>Да</x:v>
      </x:c>
      <x:c r="N204" s="1" t="str">
        <x:f>IF(AND('Данные'!D204&gt;='Дашборд'!$C$55,D204&lt;'Дашборд'!$C$56,'Данные'!E204&gt;='Дашборд'!$C$53,'Данные'!L204&lt;&gt;"Да"),"Да","Нет")</x:f>
        <x:v>Нет</x:v>
      </x:c>
      <x:c r="O204" s="1" t="str">
        <x:f>'Данные'!L204</x:f>
        <x:v>Нет</x:v>
      </x:c>
    </x:row>
    <x:row r="205">
      <x:c r="A205" s="1" t="str">
        <x:f>'Данные'!A205</x:f>
        <x:v>211336673</x:v>
      </x:c>
      <x:c r="B205" s="1" t="str">
        <x:f>'Данные'!B205</x:f>
        <x:v>tolstovkazipman/молочный</x:v>
      </x:c>
      <x:c r="C205" s="8" t="n">
        <x:f>'Данные'!G205</x:f>
        <x:v>930583</x:v>
      </x:c>
      <x:c r="D205" s="15" t="n">
        <x:f>C205/SUM($C$5:$C$2477)</x:f>
        <x:v>0.0010871290493220055</x:v>
      </x:c>
      <x:c r="E205" s="15" t="n">
        <x:f>SUM($D$5:D205)</x:f>
        <x:v>0.6127284207363854</x:v>
      </x:c>
      <x:c r="F205" s="1" t="str">
        <x:f>IF(C205&lt;=0,"C",IF(E205-D205&lt;'Дашборд'!$C$49,"A",IF(E205-D205&lt;'Дашборд'!$C$50,"B","C")))</x:f>
        <x:v>A</x:v>
      </x:c>
      <x:c r="G205" s="8" t="n">
        <x:f>'Данные'!F205</x:f>
        <x:v>640</x:v>
      </x:c>
      <x:c r="H205" s="8" t="n">
        <x:f>SUM('Данные'!H205:I205)</x:f>
        <x:v>1</x:v>
      </x:c>
      <x:c r="I205" s="16" t="n">
        <x:f>IF(H205&gt;0,G205/H205,"n.a.")</x:f>
        <x:v>640</x:v>
      </x:c>
      <x:c r="J205" s="10" t="n">
        <x:f>IF('Данные'!E205&gt;0,G205/'Данные'!E205,"n.a.")</x:f>
        <x:v>0.017113672219696768</x:v>
      </x:c>
      <x:c r="K205" s="1" t="str">
        <x:f>IF(G205&gt;='Дашборд'!$C$51,"X","Z")</x:f>
        <x:v>X</x:v>
      </x:c>
      <x:c r="L205" s="1" t="str">
        <x:f>IF(H205=0,IF(G205&gt;0,"Нет остатка","Нет спроса"),IF(I205&gt;='Дашборд'!$C$52,"Быстрый","Медленный"))</x:f>
        <x:v>Быстрый</x:v>
      </x:c>
      <x:c r="M205" s="1" t="str">
        <x:f>IF('Данные'!E205&lt;'Дашборд'!$C$53,"Мало трафика",IF(J205&lt;'Дашборд'!$C$9*'Дашборд'!$C$54,"Да","Нет"))</x:f>
        <x:v>Нет</x:v>
      </x:c>
      <x:c r="N205" s="1" t="str">
        <x:f>IF(AND('Данные'!D205&gt;='Дашборд'!$C$55,D205&lt;'Дашборд'!$C$56,'Данные'!E205&gt;='Дашборд'!$C$53,'Данные'!L205&lt;&gt;"Да"),"Да","Нет")</x:f>
        <x:v>Нет</x:v>
      </x:c>
      <x:c r="O205" s="1" t="str">
        <x:f>'Данные'!L205</x:f>
        <x:v>Нет</x:v>
      </x:c>
    </x:row>
    <x:row r="206">
      <x:c r="A206" s="1" t="str">
        <x:f>'Данные'!A206</x:f>
        <x:v>241435196</x:v>
      </x:c>
      <x:c r="B206" s="1" t="str">
        <x:f>'Данные'!B206</x:f>
        <x:v>hudiman/дымка</x:v>
      </x:c>
      <x:c r="C206" s="8" t="n">
        <x:f>'Данные'!G206</x:f>
        <x:v>929192</x:v>
      </x:c>
      <x:c r="D206" s="15" t="n">
        <x:f>C206/SUM($C$5:$C$2477)</x:f>
        <x:v>0.001085504050254102</x:v>
      </x:c>
      <x:c r="E206" s="15" t="n">
        <x:f>SUM($D$5:D206)</x:f>
        <x:v>0.6138139247866395</x:v>
      </x:c>
      <x:c r="F206" s="1" t="str">
        <x:f>IF(C206&lt;=0,"C",IF(E206-D206&lt;'Дашборд'!$C$49,"A",IF(E206-D206&lt;'Дашборд'!$C$50,"B","C")))</x:f>
        <x:v>A</x:v>
      </x:c>
      <x:c r="G206" s="8" t="n">
        <x:f>'Данные'!F206</x:f>
        <x:v>881</x:v>
      </x:c>
      <x:c r="H206" s="8" t="n">
        <x:f>SUM('Данные'!H206:I206)</x:f>
        <x:v>313</x:v>
      </x:c>
      <x:c r="I206" s="16" t="n">
        <x:f>IF(H206&gt;0,G206/H206,"n.a.")</x:f>
        <x:v>2.8146964856230032</x:v>
      </x:c>
      <x:c r="J206" s="10" t="n">
        <x:f>IF('Данные'!E206&gt;0,G206/'Данные'!E206,"n.a.")</x:f>
        <x:v>0.022763681463490257</x:v>
      </x:c>
      <x:c r="K206" s="1" t="str">
        <x:f>IF(G206&gt;='Дашборд'!$C$51,"X","Z")</x:f>
        <x:v>X</x:v>
      </x:c>
      <x:c r="L206" s="1" t="str">
        <x:f>IF(H206=0,IF(G206&gt;0,"Нет остатка","Нет спроса"),IF(I206&gt;='Дашборд'!$C$52,"Быстрый","Медленный"))</x:f>
        <x:v>Быстрый</x:v>
      </x:c>
      <x:c r="M206" s="1" t="str">
        <x:f>IF('Данные'!E206&lt;'Дашборд'!$C$53,"Мало трафика",IF(J206&lt;'Дашборд'!$C$9*'Дашборд'!$C$54,"Да","Нет"))</x:f>
        <x:v>Нет</x:v>
      </x:c>
      <x:c r="N206" s="1" t="str">
        <x:f>IF(AND('Данные'!D206&gt;='Дашборд'!$C$55,D206&lt;'Дашборд'!$C$56,'Данные'!E206&gt;='Дашборд'!$C$53,'Данные'!L206&lt;&gt;"Да"),"Да","Нет")</x:f>
        <x:v>Нет</x:v>
      </x:c>
      <x:c r="O206" s="1" t="str">
        <x:f>'Данные'!L206</x:f>
        <x:v>Нет</x:v>
      </x:c>
    </x:row>
    <x:row r="207">
      <x:c r="A207" s="1" t="str">
        <x:f>'Данные'!A207</x:f>
        <x:v>222802032</x:v>
      </x:c>
      <x:c r="B207" s="1" t="str">
        <x:f>'Данные'!B207</x:f>
        <x:v>hudipetl/серый</x:v>
      </x:c>
      <x:c r="C207" s="8" t="n">
        <x:f>'Данные'!G207</x:f>
        <x:v>927527</x:v>
      </x:c>
      <x:c r="D207" s="15" t="n">
        <x:f>C207/SUM($C$5:$C$2477)</x:f>
        <x:v>0.0010835589579118595</x:v>
      </x:c>
      <x:c r="E207" s="15" t="n">
        <x:f>SUM($D$5:D207)</x:f>
        <x:v>0.6148974837445514</x:v>
      </x:c>
      <x:c r="F207" s="1" t="str">
        <x:f>IF(C207&lt;=0,"C",IF(E207-D207&lt;'Дашборд'!$C$49,"A",IF(E207-D207&lt;'Дашборд'!$C$50,"B","C")))</x:f>
        <x:v>A</x:v>
      </x:c>
      <x:c r="G207" s="8" t="n">
        <x:f>'Данные'!F207</x:f>
        <x:v>918</x:v>
      </x:c>
      <x:c r="H207" s="8" t="n">
        <x:f>SUM('Данные'!H207:I207)</x:f>
        <x:v>169</x:v>
      </x:c>
      <x:c r="I207" s="16" t="n">
        <x:f>IF(H207&gt;0,G207/H207,"n.a.")</x:f>
        <x:v>5.431952662721893</x:v>
      </x:c>
      <x:c r="J207" s="10" t="n">
        <x:f>IF('Данные'!E207&gt;0,G207/'Данные'!E207,"n.a.")</x:f>
        <x:v>0.014451686030036838</x:v>
      </x:c>
      <x:c r="K207" s="1" t="str">
        <x:f>IF(G207&gt;='Дашборд'!$C$51,"X","Z")</x:f>
        <x:v>X</x:v>
      </x:c>
      <x:c r="L207" s="1" t="str">
        <x:f>IF(H207=0,IF(G207&gt;0,"Нет остатка","Нет спроса"),IF(I207&gt;='Дашборд'!$C$52,"Быстрый","Медленный"))</x:f>
        <x:v>Быстрый</x:v>
      </x:c>
      <x:c r="M207" s="1" t="str">
        <x:f>IF('Данные'!E207&lt;'Дашборд'!$C$53,"Мало трафика",IF(J207&lt;'Дашборд'!$C$9*'Дашборд'!$C$54,"Да","Нет"))</x:f>
        <x:v>Нет</x:v>
      </x:c>
      <x:c r="N207" s="1" t="str">
        <x:f>IF(AND('Данные'!D207&gt;='Дашборд'!$C$55,D207&lt;'Дашборд'!$C$56,'Данные'!E207&gt;='Дашборд'!$C$53,'Данные'!L207&lt;&gt;"Да"),"Да","Нет")</x:f>
        <x:v>Нет</x:v>
      </x:c>
      <x:c r="O207" s="1" t="str">
        <x:f>'Данные'!L207</x:f>
        <x:v>Нет</x:v>
      </x:c>
    </x:row>
    <x:row r="208">
      <x:c r="A208" s="1" t="str">
        <x:f>'Данные'!A208</x:f>
        <x:v>18573502</x:v>
      </x:c>
      <x:c r="B208" s="1" t="str">
        <x:f>'Данные'!B208</x:f>
        <x:v>hudi/сине-серый</x:v>
      </x:c>
      <x:c r="C208" s="8" t="n">
        <x:f>'Данные'!G208</x:f>
        <x:v>922325</x:v>
      </x:c>
      <x:c r="D208" s="15" t="n">
        <x:f>C208/SUM($C$5:$C$2477)</x:f>
        <x:v>0.001077481858593934</x:v>
      </x:c>
      <x:c r="E208" s="15" t="n">
        <x:f>SUM($D$5:D208)</x:f>
        <x:v>0.6159749656031454</x:v>
      </x:c>
      <x:c r="F208" s="1" t="str">
        <x:f>IF(C208&lt;=0,"C",IF(E208-D208&lt;'Дашборд'!$C$49,"A",IF(E208-D208&lt;'Дашборд'!$C$50,"B","C")))</x:f>
        <x:v>A</x:v>
      </x:c>
      <x:c r="G208" s="8" t="n">
        <x:f>'Данные'!F208</x:f>
        <x:v>951</x:v>
      </x:c>
      <x:c r="H208" s="8" t="n">
        <x:f>SUM('Данные'!H208:I208)</x:f>
        <x:v>368</x:v>
      </x:c>
      <x:c r="I208" s="16" t="n">
        <x:f>IF(H208&gt;0,G208/H208,"n.a.")</x:f>
        <x:v>2.5842391304347827</x:v>
      </x:c>
      <x:c r="J208" s="10" t="n">
        <x:f>IF('Данные'!E208&gt;0,G208/'Данные'!E208,"n.a.")</x:f>
        <x:v>0.01718591875090357</x:v>
      </x:c>
      <x:c r="K208" s="1" t="str">
        <x:f>IF(G208&gt;='Дашборд'!$C$51,"X","Z")</x:f>
        <x:v>X</x:v>
      </x:c>
      <x:c r="L208" s="1" t="str">
        <x:f>IF(H208=0,IF(G208&gt;0,"Нет остатка","Нет спроса"),IF(I208&gt;='Дашборд'!$C$52,"Быстрый","Медленный"))</x:f>
        <x:v>Быстрый</x:v>
      </x:c>
      <x:c r="M208" s="1" t="str">
        <x:f>IF('Данные'!E208&lt;'Дашборд'!$C$53,"Мало трафика",IF(J208&lt;'Дашборд'!$C$9*'Дашборд'!$C$54,"Да","Нет"))</x:f>
        <x:v>Нет</x:v>
      </x:c>
      <x:c r="N208" s="1" t="str">
        <x:f>IF(AND('Данные'!D208&gt;='Дашборд'!$C$55,D208&lt;'Дашборд'!$C$56,'Данные'!E208&gt;='Дашборд'!$C$53,'Данные'!L208&lt;&gt;"Да"),"Да","Нет")</x:f>
        <x:v>Нет</x:v>
      </x:c>
      <x:c r="O208" s="1" t="str">
        <x:f>'Данные'!L208</x:f>
        <x:v>Нет</x:v>
      </x:c>
    </x:row>
    <x:row r="209">
      <x:c r="A209" s="1" t="str">
        <x:f>'Данные'!A209</x:f>
        <x:v>35673223</x:v>
      </x:c>
      <x:c r="B209" s="1" t="str">
        <x:f>'Данные'!B209</x:f>
        <x:v>hudiman/коричневый</x:v>
      </x:c>
      <x:c r="C209" s="8" t="n">
        <x:f>'Данные'!G209</x:f>
        <x:v>918844</x:v>
      </x:c>
      <x:c r="D209" s="15" t="n">
        <x:f>C209/SUM($C$5:$C$2477)</x:f>
        <x:v>0.0010734152721414735</x:v>
      </x:c>
      <x:c r="E209" s="15" t="n">
        <x:f>SUM($D$5:D209)</x:f>
        <x:v>0.6170483808752868</x:v>
      </x:c>
      <x:c r="F209" s="1" t="str">
        <x:f>IF(C209&lt;=0,"C",IF(E209-D209&lt;'Дашборд'!$C$49,"A",IF(E209-D209&lt;'Дашборд'!$C$50,"B","C")))</x:f>
        <x:v>A</x:v>
      </x:c>
      <x:c r="G209" s="8" t="n">
        <x:f>'Данные'!F209</x:f>
        <x:v>905</x:v>
      </x:c>
      <x:c r="H209" s="8" t="n">
        <x:f>SUM('Данные'!H209:I209)</x:f>
        <x:v>270</x:v>
      </x:c>
      <x:c r="I209" s="16" t="n">
        <x:f>IF(H209&gt;0,G209/H209,"n.a.")</x:f>
        <x:v>3.3518518518518516</x:v>
      </x:c>
      <x:c r="J209" s="10" t="n">
        <x:f>IF('Данные'!E209&gt;0,G209/'Данные'!E209,"n.a.")</x:f>
        <x:v>0.025211020419533665</x:v>
      </x:c>
      <x:c r="K209" s="1" t="str">
        <x:f>IF(G209&gt;='Дашборд'!$C$51,"X","Z")</x:f>
        <x:v>X</x:v>
      </x:c>
      <x:c r="L209" s="1" t="str">
        <x:f>IF(H209=0,IF(G209&gt;0,"Нет остатка","Нет спроса"),IF(I209&gt;='Дашборд'!$C$52,"Быстрый","Медленный"))</x:f>
        <x:v>Быстрый</x:v>
      </x:c>
      <x:c r="M209" s="1" t="str">
        <x:f>IF('Данные'!E209&lt;'Дашборд'!$C$53,"Мало трафика",IF(J209&lt;'Дашборд'!$C$9*'Дашборд'!$C$54,"Да","Нет"))</x:f>
        <x:v>Нет</x:v>
      </x:c>
      <x:c r="N209" s="1" t="str">
        <x:f>IF(AND('Данные'!D209&gt;='Дашборд'!$C$55,D209&lt;'Дашборд'!$C$56,'Данные'!E209&gt;='Дашборд'!$C$53,'Данные'!L209&lt;&gt;"Да"),"Да","Нет")</x:f>
        <x:v>Нет</x:v>
      </x:c>
      <x:c r="O209" s="1" t="str">
        <x:f>'Данные'!L209</x:f>
        <x:v>Нет</x:v>
      </x:c>
    </x:row>
    <x:row r="210">
      <x:c r="A210" s="1" t="str">
        <x:f>'Данные'!A210</x:f>
        <x:v>333323576</x:v>
      </x:c>
      <x:c r="B210" s="1" t="str">
        <x:f>'Данные'!B210</x:f>
        <x:v>hudicroppetl/молочный</x:v>
      </x:c>
      <x:c r="C210" s="8" t="n">
        <x:f>'Данные'!G210</x:f>
        <x:v>917844</x:v>
      </x:c>
      <x:c r="D210" s="15" t="n">
        <x:f>C210/SUM($C$5:$C$2477)</x:f>
        <x:v>0.001072247048512499</x:v>
      </x:c>
      <x:c r="E210" s="15" t="n">
        <x:f>SUM($D$5:D210)</x:f>
        <x:v>0.6181206279237993</x:v>
      </x:c>
      <x:c r="F210" s="1" t="str">
        <x:f>IF(C210&lt;=0,"C",IF(E210-D210&lt;'Дашборд'!$C$49,"A",IF(E210-D210&lt;'Дашборд'!$C$50,"B","C")))</x:f>
        <x:v>A</x:v>
      </x:c>
      <x:c r="G210" s="8" t="n">
        <x:f>'Данные'!F210</x:f>
        <x:v>902</x:v>
      </x:c>
      <x:c r="H210" s="8" t="n">
        <x:f>SUM('Данные'!H210:I210)</x:f>
        <x:v>23</x:v>
      </x:c>
      <x:c r="I210" s="16" t="n">
        <x:f>IF(H210&gt;0,G210/H210,"n.a.")</x:f>
        <x:v>39.21739130434783</x:v>
      </x:c>
      <x:c r="J210" s="10" t="n">
        <x:f>IF('Данные'!E210&gt;0,G210/'Данные'!E210,"n.a.")</x:f>
        <x:v>0.02240938113338799</x:v>
      </x:c>
      <x:c r="K210" s="1" t="str">
        <x:f>IF(G210&gt;='Дашборд'!$C$51,"X","Z")</x:f>
        <x:v>X</x:v>
      </x:c>
      <x:c r="L210" s="1" t="str">
        <x:f>IF(H210=0,IF(G210&gt;0,"Нет остатка","Нет спроса"),IF(I210&gt;='Дашборд'!$C$52,"Быстрый","Медленный"))</x:f>
        <x:v>Быстрый</x:v>
      </x:c>
      <x:c r="M210" s="1" t="str">
        <x:f>IF('Данные'!E210&lt;'Дашборд'!$C$53,"Мало трафика",IF(J210&lt;'Дашборд'!$C$9*'Дашборд'!$C$54,"Да","Нет"))</x:f>
        <x:v>Нет</x:v>
      </x:c>
      <x:c r="N210" s="1" t="str">
        <x:f>IF(AND('Данные'!D210&gt;='Дашборд'!$C$55,D210&lt;'Дашборд'!$C$56,'Данные'!E210&gt;='Дашборд'!$C$53,'Данные'!L210&lt;&gt;"Да"),"Да","Нет")</x:f>
        <x:v>Нет</x:v>
      </x:c>
      <x:c r="O210" s="1" t="str">
        <x:f>'Данные'!L210</x:f>
        <x:v>Нет</x:v>
      </x:c>
    </x:row>
    <x:row r="211">
      <x:c r="A211" s="1" t="str">
        <x:f>'Данные'!A211</x:f>
        <x:v>333167633</x:v>
      </x:c>
      <x:c r="B211" s="1" t="str">
        <x:f>'Данные'!B211</x:f>
        <x:v>futbolkamanX3/чер-бел-тсин</x:v>
      </x:c>
      <x:c r="C211" s="8" t="n">
        <x:f>'Данные'!G211</x:f>
        <x:v>911809</x:v>
      </x:c>
      <x:c r="D211" s="15" t="n">
        <x:f>C211/SUM($C$5:$C$2477)</x:f>
        <x:v>0.0010651968189116377</x:v>
      </x:c>
      <x:c r="E211" s="15" t="n">
        <x:f>SUM($D$5:D211)</x:f>
        <x:v>0.6191858247427109</x:v>
      </x:c>
      <x:c r="F211" s="1" t="str">
        <x:f>IF(C211&lt;=0,"C",IF(E211-D211&lt;'Дашборд'!$C$49,"A",IF(E211-D211&lt;'Дашборд'!$C$50,"B","C")))</x:f>
        <x:v>A</x:v>
      </x:c>
      <x:c r="G211" s="8" t="n">
        <x:f>'Данные'!F211</x:f>
        <x:v>885</x:v>
      </x:c>
      <x:c r="H211" s="8" t="n">
        <x:f>SUM('Данные'!H211:I211)</x:f>
        <x:v>121</x:v>
      </x:c>
      <x:c r="I211" s="16" t="n">
        <x:f>IF(H211&gt;0,G211/H211,"n.a.")</x:f>
        <x:v>7.31404958677686</x:v>
      </x:c>
      <x:c r="J211" s="10" t="n">
        <x:f>IF('Данные'!E211&gt;0,G211/'Данные'!E211,"n.a.")</x:f>
        <x:v>0.020449661483004828</x:v>
      </x:c>
      <x:c r="K211" s="1" t="str">
        <x:f>IF(G211&gt;='Дашборд'!$C$51,"X","Z")</x:f>
        <x:v>X</x:v>
      </x:c>
      <x:c r="L211" s="1" t="str">
        <x:f>IF(H211=0,IF(G211&gt;0,"Нет остатка","Нет спроса"),IF(I211&gt;='Дашборд'!$C$52,"Быстрый","Медленный"))</x:f>
        <x:v>Быстрый</x:v>
      </x:c>
      <x:c r="M211" s="1" t="str">
        <x:f>IF('Данные'!E211&lt;'Дашборд'!$C$53,"Мало трафика",IF(J211&lt;'Дашборд'!$C$9*'Дашборд'!$C$54,"Да","Нет"))</x:f>
        <x:v>Нет</x:v>
      </x:c>
      <x:c r="N211" s="1" t="str">
        <x:f>IF(AND('Данные'!D211&gt;='Дашборд'!$C$55,D211&lt;'Дашборд'!$C$56,'Данные'!E211&gt;='Дашборд'!$C$53,'Данные'!L211&lt;&gt;"Да"),"Да","Нет")</x:f>
        <x:v>Нет</x:v>
      </x:c>
      <x:c r="O211" s="1" t="str">
        <x:f>'Данные'!L211</x:f>
        <x:v>Нет</x:v>
      </x:c>
    </x:row>
    <x:row r="212">
      <x:c r="A212" s="1" t="str">
        <x:f>'Данные'!A212</x:f>
        <x:v>166212328</x:v>
      </x:c>
      <x:c r="B212" s="1" t="str">
        <x:f>'Данные'!B212</x:f>
        <x:v>kulirkaman/синеморской</x:v>
      </x:c>
      <x:c r="C212" s="8" t="n">
        <x:f>'Данные'!G212</x:f>
        <x:v>909366</x:v>
      </x:c>
      <x:c r="D212" s="15" t="n">
        <x:f>C212/SUM($C$5:$C$2477)</x:f>
        <x:v>0.001062342848586053</x:v>
      </x:c>
      <x:c r="E212" s="15" t="n">
        <x:f>SUM($D$5:D212)</x:f>
        <x:v>0.620248167591297</x:v>
      </x:c>
      <x:c r="F212" s="1" t="str">
        <x:f>IF(C212&lt;=0,"C",IF(E212-D212&lt;'Дашборд'!$C$49,"A",IF(E212-D212&lt;'Дашборд'!$C$50,"B","C")))</x:f>
        <x:v>A</x:v>
      </x:c>
      <x:c r="G212" s="8" t="n">
        <x:f>'Данные'!F212</x:f>
        <x:v>1818</x:v>
      </x:c>
      <x:c r="H212" s="8" t="n">
        <x:f>SUM('Данные'!H212:I212)</x:f>
        <x:v>699</x:v>
      </x:c>
      <x:c r="I212" s="16" t="n">
        <x:f>IF(H212&gt;0,G212/H212,"n.a.")</x:f>
        <x:v>2.6008583690987126</x:v>
      </x:c>
      <x:c r="J212" s="10" t="n">
        <x:f>IF('Данные'!E212&gt;0,G212/'Данные'!E212,"n.a.")</x:f>
        <x:v>0.030788511041864246</x:v>
      </x:c>
      <x:c r="K212" s="1" t="str">
        <x:f>IF(G212&gt;='Дашборд'!$C$51,"X","Z")</x:f>
        <x:v>X</x:v>
      </x:c>
      <x:c r="L212" s="1" t="str">
        <x:f>IF(H212=0,IF(G212&gt;0,"Нет остатка","Нет спроса"),IF(I212&gt;='Дашборд'!$C$52,"Быстрый","Медленный"))</x:f>
        <x:v>Быстрый</x:v>
      </x:c>
      <x:c r="M212" s="1" t="str">
        <x:f>IF('Данные'!E212&lt;'Дашборд'!$C$53,"Мало трафика",IF(J212&lt;'Дашборд'!$C$9*'Дашборд'!$C$54,"Да","Нет"))</x:f>
        <x:v>Нет</x:v>
      </x:c>
      <x:c r="N212" s="1" t="str">
        <x:f>IF(AND('Данные'!D212&gt;='Дашборд'!$C$55,D212&lt;'Дашборд'!$C$56,'Данные'!E212&gt;='Дашборд'!$C$53,'Данные'!L212&lt;&gt;"Да"),"Да","Нет")</x:f>
        <x:v>Нет</x:v>
      </x:c>
      <x:c r="O212" s="1" t="str">
        <x:f>'Данные'!L212</x:f>
        <x:v>Нет</x:v>
      </x:c>
    </x:row>
    <x:row r="213">
      <x:c r="A213" s="1" t="str">
        <x:f>'Данные'!A213</x:f>
        <x:v>297791877</x:v>
      </x:c>
      <x:c r="B213" s="1" t="str">
        <x:f>'Данные'!B213</x:f>
        <x:v>topbandoX2/чер-бел</x:v>
      </x:c>
      <x:c r="C213" s="8" t="n">
        <x:f>'Данные'!G213</x:f>
        <x:v>908123</x:v>
      </x:c>
      <x:c r="D213" s="15" t="n">
        <x:f>C213/SUM($C$5:$C$2477)</x:f>
        <x:v>0.0010608907466152376</x:v>
      </x:c>
      <x:c r="E213" s="15" t="n">
        <x:f>SUM($D$5:D213)</x:f>
        <x:v>0.6213090583379122</x:v>
      </x:c>
      <x:c r="F213" s="1" t="str">
        <x:f>IF(C213&lt;=0,"C",IF(E213-D213&lt;'Дашборд'!$C$49,"A",IF(E213-D213&lt;'Дашборд'!$C$50,"B","C")))</x:f>
        <x:v>A</x:v>
      </x:c>
      <x:c r="G213" s="8" t="n">
        <x:f>'Данные'!F213</x:f>
        <x:v>1613</x:v>
      </x:c>
      <x:c r="H213" s="8" t="n">
        <x:f>SUM('Данные'!H213:I213)</x:f>
        <x:v>557</x:v>
      </x:c>
      <x:c r="I213" s="16" t="n">
        <x:f>IF(H213&gt;0,G213/H213,"n.a.")</x:f>
        <x:v>2.895870736086176</x:v>
      </x:c>
      <x:c r="J213" s="10" t="n">
        <x:f>IF('Данные'!E213&gt;0,G213/'Данные'!E213,"n.a.")</x:f>
        <x:v>0.0195837987470254</x:v>
      </x:c>
      <x:c r="K213" s="1" t="str">
        <x:f>IF(G213&gt;='Дашборд'!$C$51,"X","Z")</x:f>
        <x:v>X</x:v>
      </x:c>
      <x:c r="L213" s="1" t="str">
        <x:f>IF(H213=0,IF(G213&gt;0,"Нет остатка","Нет спроса"),IF(I213&gt;='Дашборд'!$C$52,"Быстрый","Медленный"))</x:f>
        <x:v>Быстрый</x:v>
      </x:c>
      <x:c r="M213" s="1" t="str">
        <x:f>IF('Данные'!E213&lt;'Дашборд'!$C$53,"Мало трафика",IF(J213&lt;'Дашборд'!$C$9*'Дашборд'!$C$54,"Да","Нет"))</x:f>
        <x:v>Нет</x:v>
      </x:c>
      <x:c r="N213" s="1" t="str">
        <x:f>IF(AND('Данные'!D213&gt;='Дашборд'!$C$55,D213&lt;'Дашборд'!$C$56,'Данные'!E213&gt;='Дашборд'!$C$53,'Данные'!L213&lt;&gt;"Да"),"Да","Нет")</x:f>
        <x:v>Нет</x:v>
      </x:c>
      <x:c r="O213" s="1" t="str">
        <x:f>'Данные'!L213</x:f>
        <x:v>Нет</x:v>
      </x:c>
    </x:row>
    <x:row r="214">
      <x:c r="A214" s="1" t="str">
        <x:f>'Данные'!A214</x:f>
        <x:v>35987094</x:v>
      </x:c>
      <x:c r="B214" s="1" t="str">
        <x:f>'Данные'!B214</x:f>
        <x:v>kroptop/голубой</x:v>
      </x:c>
      <x:c r="C214" s="8" t="n">
        <x:f>'Данные'!G214</x:f>
        <x:v>906601</x:v>
      </x:c>
      <x:c r="D214" s="15" t="n">
        <x:f>C214/SUM($C$5:$C$2477)</x:f>
        <x:v>0.0010591127102519385</x:v>
      </x:c>
      <x:c r="E214" s="15" t="n">
        <x:f>SUM($D$5:D214)</x:f>
        <x:v>0.6223681710481641</x:v>
      </x:c>
      <x:c r="F214" s="1" t="str">
        <x:f>IF(C214&lt;=0,"C",IF(E214-D214&lt;'Дашборд'!$C$49,"A",IF(E214-D214&lt;'Дашборд'!$C$50,"B","C")))</x:f>
        <x:v>A</x:v>
      </x:c>
      <x:c r="G214" s="8" t="n">
        <x:f>'Данные'!F214</x:f>
        <x:v>2197</x:v>
      </x:c>
      <x:c r="H214" s="8" t="n">
        <x:f>SUM('Данные'!H214:I214)</x:f>
        <x:v>937</x:v>
      </x:c>
      <x:c r="I214" s="16" t="n">
        <x:f>IF(H214&gt;0,G214/H214,"n.a.")</x:f>
        <x:v>2.344717182497332</x:v>
      </x:c>
      <x:c r="J214" s="10" t="n">
        <x:f>IF('Данные'!E214&gt;0,G214/'Данные'!E214,"n.a.")</x:f>
        <x:v>0.03733283488249588</x:v>
      </x:c>
      <x:c r="K214" s="1" t="str">
        <x:f>IF(G214&gt;='Дашборд'!$C$51,"X","Z")</x:f>
        <x:v>X</x:v>
      </x:c>
      <x:c r="L214" s="1" t="str">
        <x:f>IF(H214=0,IF(G214&gt;0,"Нет остатка","Нет спроса"),IF(I214&gt;='Дашборд'!$C$52,"Быстрый","Медленный"))</x:f>
        <x:v>Быстрый</x:v>
      </x:c>
      <x:c r="M214" s="1" t="str">
        <x:f>IF('Данные'!E214&lt;'Дашборд'!$C$53,"Мало трафика",IF(J214&lt;'Дашборд'!$C$9*'Дашборд'!$C$54,"Да","Нет"))</x:f>
        <x:v>Нет</x:v>
      </x:c>
      <x:c r="N214" s="1" t="str">
        <x:f>IF(AND('Данные'!D214&gt;='Дашборд'!$C$55,D214&lt;'Дашборд'!$C$56,'Данные'!E214&gt;='Дашборд'!$C$53,'Данные'!L214&lt;&gt;"Да"),"Да","Нет")</x:f>
        <x:v>Нет</x:v>
      </x:c>
      <x:c r="O214" s="1" t="str">
        <x:f>'Данные'!L214</x:f>
        <x:v>Нет</x:v>
      </x:c>
    </x:row>
    <x:row r="215">
      <x:c r="A215" s="1" t="str">
        <x:f>'Данные'!A215</x:f>
        <x:v>278842595</x:v>
      </x:c>
      <x:c r="B215" s="1" t="str">
        <x:f>'Данные'!B215</x:f>
        <x:v>palazzonachos/черный</x:v>
      </x:c>
      <x:c r="C215" s="8" t="n">
        <x:f>'Данные'!G215</x:f>
        <x:v>902613</x:v>
      </x:c>
      <x:c r="D215" s="15" t="n">
        <x:f>C215/SUM($C$5:$C$2477)</x:f>
        <x:v>0.001054453834419588</x:v>
      </x:c>
      <x:c r="E215" s="15" t="n">
        <x:f>SUM($D$5:D215)</x:f>
        <x:v>0.6234226248825837</x:v>
      </x:c>
      <x:c r="F215" s="1" t="str">
        <x:f>IF(C215&lt;=0,"C",IF(E215-D215&lt;'Дашборд'!$C$49,"A",IF(E215-D215&lt;'Дашборд'!$C$50,"B","C")))</x:f>
        <x:v>A</x:v>
      </x:c>
      <x:c r="G215" s="8" t="n">
        <x:f>'Данные'!F215</x:f>
        <x:v>1686</x:v>
      </x:c>
      <x:c r="H215" s="8" t="n">
        <x:f>SUM('Данные'!H215:I215)</x:f>
        <x:v>550</x:v>
      </x:c>
      <x:c r="I215" s="16" t="n">
        <x:f>IF(H215&gt;0,G215/H215,"n.a.")</x:f>
        <x:v>3.0654545454545454</x:v>
      </x:c>
      <x:c r="J215" s="10" t="n">
        <x:f>IF('Данные'!E215&gt;0,G215/'Данные'!E215,"n.a.")</x:f>
        <x:v>0.013693734669677231</x:v>
      </x:c>
      <x:c r="K215" s="1" t="str">
        <x:f>IF(G215&gt;='Дашборд'!$C$51,"X","Z")</x:f>
        <x:v>X</x:v>
      </x:c>
      <x:c r="L215" s="1" t="str">
        <x:f>IF(H215=0,IF(G215&gt;0,"Нет остатка","Нет спроса"),IF(I215&gt;='Дашборд'!$C$52,"Быстрый","Медленный"))</x:f>
        <x:v>Быстрый</x:v>
      </x:c>
      <x:c r="M215" s="1" t="str">
        <x:f>IF('Данные'!E215&lt;'Дашборд'!$C$53,"Мало трафика",IF(J215&lt;'Дашборд'!$C$9*'Дашборд'!$C$54,"Да","Нет"))</x:f>
        <x:v>Нет</x:v>
      </x:c>
      <x:c r="N215" s="1" t="str">
        <x:f>IF(AND('Данные'!D215&gt;='Дашборд'!$C$55,D215&lt;'Дашборд'!$C$56,'Данные'!E215&gt;='Дашборд'!$C$53,'Данные'!L215&lt;&gt;"Да"),"Да","Нет")</x:f>
        <x:v>Нет</x:v>
      </x:c>
      <x:c r="O215" s="1" t="str">
        <x:f>'Данные'!L215</x:f>
        <x:v>Нет</x:v>
      </x:c>
    </x:row>
    <x:row r="216">
      <x:c r="A216" s="1" t="str">
        <x:f>'Данные'!A216</x:f>
        <x:v>46926878</x:v>
      </x:c>
      <x:c r="B216" s="1" t="str">
        <x:f>'Данные'!B216</x:f>
        <x:v>hudi/бордовый</x:v>
      </x:c>
      <x:c r="C216" s="8" t="n">
        <x:f>'Данные'!G216</x:f>
        <x:v>901837</x:v>
      </x:c>
      <x:c r="D216" s="15" t="n">
        <x:f>C216/SUM($C$5:$C$2477)</x:f>
        <x:v>0.0010535472928835036</x:v>
      </x:c>
      <x:c r="E216" s="15" t="n">
        <x:f>SUM($D$5:D216)</x:f>
        <x:v>0.6244761721754672</x:v>
      </x:c>
      <x:c r="F216" s="1" t="str">
        <x:f>IF(C216&lt;=0,"C",IF(E216-D216&lt;'Дашборд'!$C$49,"A",IF(E216-D216&lt;'Дашборд'!$C$50,"B","C")))</x:f>
        <x:v>A</x:v>
      </x:c>
      <x:c r="G216" s="8" t="n">
        <x:f>'Данные'!F216</x:f>
        <x:v>741</x:v>
      </x:c>
      <x:c r="H216" s="8" t="n">
        <x:f>SUM('Данные'!H216:I216)</x:f>
        <x:v>77</x:v>
      </x:c>
      <x:c r="I216" s="16" t="n">
        <x:f>IF(H216&gt;0,G216/H216,"n.a.")</x:f>
        <x:v>9.623376623376624</x:v>
      </x:c>
      <x:c r="J216" s="10" t="n">
        <x:f>IF('Данные'!E216&gt;0,G216/'Данные'!E216,"n.a.")</x:f>
        <x:v>0.013526093861234325</x:v>
      </x:c>
      <x:c r="K216" s="1" t="str">
        <x:f>IF(G216&gt;='Дашборд'!$C$51,"X","Z")</x:f>
        <x:v>X</x:v>
      </x:c>
      <x:c r="L216" s="1" t="str">
        <x:f>IF(H216=0,IF(G216&gt;0,"Нет остатка","Нет спроса"),IF(I216&gt;='Дашборд'!$C$52,"Быстрый","Медленный"))</x:f>
        <x:v>Быстрый</x:v>
      </x:c>
      <x:c r="M216" s="1" t="str">
        <x:f>IF('Данные'!E216&lt;'Дашборд'!$C$53,"Мало трафика",IF(J216&lt;'Дашборд'!$C$9*'Дашборд'!$C$54,"Да","Нет"))</x:f>
        <x:v>Нет</x:v>
      </x:c>
      <x:c r="N216" s="1" t="str">
        <x:f>IF(AND('Данные'!D216&gt;='Дашборд'!$C$55,D216&lt;'Дашборд'!$C$56,'Данные'!E216&gt;='Дашборд'!$C$53,'Данные'!L216&lt;&gt;"Да"),"Да","Нет")</x:f>
        <x:v>Нет</x:v>
      </x:c>
      <x:c r="O216" s="1" t="str">
        <x:f>'Данные'!L216</x:f>
        <x:v>Нет</x:v>
      </x:c>
    </x:row>
    <x:row r="217">
      <x:c r="A217" s="1" t="str">
        <x:f>'Данные'!A217</x:f>
        <x:v>211336678</x:v>
      </x:c>
      <x:c r="B217" s="1" t="str">
        <x:f>'Данные'!B217</x:f>
        <x:v>tolstovkazipcrop/серый</x:v>
      </x:c>
      <x:c r="C217" s="8" t="n">
        <x:f>'Данные'!G217</x:f>
        <x:v>894948</x:v>
      </x:c>
      <x:c r="D217" s="15" t="n">
        <x:f>C217/SUM($C$5:$C$2477)</x:f>
        <x:v>0.0010454994003034981</x:v>
      </x:c>
      <x:c r="E217" s="15" t="n">
        <x:f>SUM($D$5:D217)</x:f>
        <x:v>0.6255216715757708</x:v>
      </x:c>
      <x:c r="F217" s="1" t="str">
        <x:f>IF(C217&lt;=0,"C",IF(E217-D217&lt;'Дашборд'!$C$49,"A",IF(E217-D217&lt;'Дашборд'!$C$50,"B","C")))</x:f>
        <x:v>A</x:v>
      </x:c>
      <x:c r="G217" s="8" t="n">
        <x:f>'Данные'!F217</x:f>
        <x:v>840</x:v>
      </x:c>
      <x:c r="H217" s="8" t="n">
        <x:f>SUM('Данные'!H217:I217)</x:f>
        <x:v>2</x:v>
      </x:c>
      <x:c r="I217" s="16" t="n">
        <x:f>IF(H217&gt;0,G217/H217,"n.a.")</x:f>
        <x:v>420</x:v>
      </x:c>
      <x:c r="J217" s="10" t="n">
        <x:f>IF('Данные'!E217&gt;0,G217/'Данные'!E217,"n.a.")</x:f>
        <x:v>0.014829199399770501</x:v>
      </x:c>
      <x:c r="K217" s="1" t="str">
        <x:f>IF(G217&gt;='Дашборд'!$C$51,"X","Z")</x:f>
        <x:v>X</x:v>
      </x:c>
      <x:c r="L217" s="1" t="str">
        <x:f>IF(H217=0,IF(G217&gt;0,"Нет остатка","Нет спроса"),IF(I217&gt;='Дашборд'!$C$52,"Быстрый","Медленный"))</x:f>
        <x:v>Быстрый</x:v>
      </x:c>
      <x:c r="M217" s="1" t="str">
        <x:f>IF('Данные'!E217&lt;'Дашборд'!$C$53,"Мало трафика",IF(J217&lt;'Дашборд'!$C$9*'Дашборд'!$C$54,"Да","Нет"))</x:f>
        <x:v>Нет</x:v>
      </x:c>
      <x:c r="N217" s="1" t="str">
        <x:f>IF(AND('Данные'!D217&gt;='Дашборд'!$C$55,D217&lt;'Дашборд'!$C$56,'Данные'!E217&gt;='Дашборд'!$C$53,'Данные'!L217&lt;&gt;"Да"),"Да","Нет")</x:f>
        <x:v>Нет</x:v>
      </x:c>
      <x:c r="O217" s="1" t="str">
        <x:f>'Данные'!L217</x:f>
        <x:v>Нет</x:v>
      </x:c>
    </x:row>
    <x:row r="218">
      <x:c r="A218" s="1" t="str">
        <x:f>'Данные'!A218</x:f>
        <x:v>211336677</x:v>
      </x:c>
      <x:c r="B218" s="1" t="str">
        <x:f>'Данные'!B218</x:f>
        <x:v>tolstovkazipman/темно-серый</x:v>
      </x:c>
      <x:c r="C218" s="8" t="n">
        <x:f>'Данные'!G218</x:f>
        <x:v>888785</x:v>
      </x:c>
      <x:c r="D218" s="15" t="n">
        <x:f>C218/SUM($C$5:$C$2477)</x:f>
        <x:v>0.0010382996380781282</x:v>
      </x:c>
      <x:c r="E218" s="15" t="n">
        <x:f>SUM($D$5:D218)</x:f>
        <x:v>0.6265599712138489</x:v>
      </x:c>
      <x:c r="F218" s="1" t="str">
        <x:f>IF(C218&lt;=0,"C",IF(E218-D218&lt;'Дашборд'!$C$49,"A",IF(E218-D218&lt;'Дашборд'!$C$50,"B","C")))</x:f>
        <x:v>A</x:v>
      </x:c>
      <x:c r="G218" s="8" t="n">
        <x:f>'Данные'!F218</x:f>
        <x:v>787</x:v>
      </x:c>
      <x:c r="H218" s="8" t="n">
        <x:f>SUM('Данные'!H218:I218)</x:f>
        <x:v>81</x:v>
      </x:c>
      <x:c r="I218" s="16" t="n">
        <x:f>IF(H218&gt;0,G218/H218,"n.a.")</x:f>
        <x:v>9.716049382716049</x:v>
      </x:c>
      <x:c r="J218" s="10" t="n">
        <x:f>IF('Данные'!E218&gt;0,G218/'Данные'!E218,"n.a.")</x:f>
        <x:v>0.028001138546929483</x:v>
      </x:c>
      <x:c r="K218" s="1" t="str">
        <x:f>IF(G218&gt;='Дашборд'!$C$51,"X","Z")</x:f>
        <x:v>X</x:v>
      </x:c>
      <x:c r="L218" s="1" t="str">
        <x:f>IF(H218=0,IF(G218&gt;0,"Нет остатка","Нет спроса"),IF(I218&gt;='Дашборд'!$C$52,"Быстрый","Медленный"))</x:f>
        <x:v>Быстрый</x:v>
      </x:c>
      <x:c r="M218" s="1" t="str">
        <x:f>IF('Данные'!E218&lt;'Дашборд'!$C$53,"Мало трафика",IF(J218&lt;'Дашборд'!$C$9*'Дашборд'!$C$54,"Да","Нет"))</x:f>
        <x:v>Нет</x:v>
      </x:c>
      <x:c r="N218" s="1" t="str">
        <x:f>IF(AND('Данные'!D218&gt;='Дашборд'!$C$55,D218&lt;'Дашборд'!$C$56,'Данные'!E218&gt;='Дашборд'!$C$53,'Данные'!L218&lt;&gt;"Да"),"Да","Нет")</x:f>
        <x:v>Нет</x:v>
      </x:c>
      <x:c r="O218" s="1" t="str">
        <x:f>'Данные'!L218</x:f>
        <x:v>Нет</x:v>
      </x:c>
    </x:row>
    <x:row r="219">
      <x:c r="A219" s="1" t="str">
        <x:f>'Данные'!A219</x:f>
        <x:v>211855725</x:v>
      </x:c>
      <x:c r="B219" s="1" t="str">
        <x:f>'Данные'!B219</x:f>
        <x:v>tolstovkazipprint/SaintLouis-86/молочный</x:v>
      </x:c>
      <x:c r="C219" s="8" t="n">
        <x:f>'Данные'!G219</x:f>
        <x:v>882177</x:v>
      </x:c>
      <x:c r="D219" s="15" t="n">
        <x:f>C219/SUM($C$5:$C$2477)</x:f>
        <x:v>0.0010305800163378646</x:v>
      </x:c>
      <x:c r="E219" s="15" t="n">
        <x:f>SUM($D$5:D219)</x:f>
        <x:v>0.6275905512301867</x:v>
      </x:c>
      <x:c r="F219" s="1" t="str">
        <x:f>IF(C219&lt;=0,"C",IF(E219-D219&lt;'Дашборд'!$C$49,"A",IF(E219-D219&lt;'Дашборд'!$C$50,"B","C")))</x:f>
        <x:v>A</x:v>
      </x:c>
      <x:c r="G219" s="8" t="n">
        <x:f>'Данные'!F219</x:f>
        <x:v>627</x:v>
      </x:c>
      <x:c r="H219" s="8" t="n">
        <x:f>SUM('Данные'!H219:I219)</x:f>
        <x:v>31</x:v>
      </x:c>
      <x:c r="I219" s="16" t="n">
        <x:f>IF(H219&gt;0,G219/H219,"n.a.")</x:f>
        <x:v>20.225806451612904</x:v>
      </x:c>
      <x:c r="J219" s="10" t="n">
        <x:f>IF('Данные'!E219&gt;0,G219/'Данные'!E219,"n.a.")</x:f>
        <x:v>0.007602488087010294</x:v>
      </x:c>
      <x:c r="K219" s="1" t="str">
        <x:f>IF(G219&gt;='Дашборд'!$C$51,"X","Z")</x:f>
        <x:v>X</x:v>
      </x:c>
      <x:c r="L219" s="1" t="str">
        <x:f>IF(H219=0,IF(G219&gt;0,"Нет остатка","Нет спроса"),IF(I219&gt;='Дашборд'!$C$52,"Быстрый","Медленный"))</x:f>
        <x:v>Быстрый</x:v>
      </x:c>
      <x:c r="M219" s="1" t="str">
        <x:f>IF('Данные'!E219&lt;'Дашборд'!$C$53,"Мало трафика",IF(J219&lt;'Дашборд'!$C$9*'Дашборд'!$C$54,"Да","Нет"))</x:f>
        <x:v>Да</x:v>
      </x:c>
      <x:c r="N219" s="1" t="str">
        <x:f>IF(AND('Данные'!D219&gt;='Дашборд'!$C$55,D219&lt;'Дашборд'!$C$56,'Данные'!E219&gt;='Дашборд'!$C$53,'Данные'!L219&lt;&gt;"Да"),"Да","Нет")</x:f>
        <x:v>Нет</x:v>
      </x:c>
      <x:c r="O219" s="1" t="str">
        <x:f>'Данные'!L219</x:f>
        <x:v>Нет</x:v>
      </x:c>
    </x:row>
    <x:row r="220">
      <x:c r="A220" s="1" t="str">
        <x:f>'Данные'!A220</x:f>
        <x:v>313189788</x:v>
      </x:c>
      <x:c r="B220" s="1" t="str">
        <x:f>'Данные'!B220</x:f>
        <x:v>longoverX2/мол-бор</x:v>
      </x:c>
      <x:c r="C220" s="8" t="n">
        <x:f>'Данные'!G220</x:f>
        <x:v>880018</x:v>
      </x:c>
      <x:c r="D220" s="15" t="n">
        <x:f>C220/SUM($C$5:$C$2477)</x:f>
        <x:v>0.0010280578215229085</x:v>
      </x:c>
      <x:c r="E220" s="15" t="n">
        <x:f>SUM($D$5:D220)</x:f>
        <x:v>0.6286186090517096</x:v>
      </x:c>
      <x:c r="F220" s="1" t="str">
        <x:f>IF(C220&lt;=0,"C",IF(E220-D220&lt;'Дашборд'!$C$49,"A",IF(E220-D220&lt;'Дашборд'!$C$50,"B","C")))</x:f>
        <x:v>A</x:v>
      </x:c>
      <x:c r="G220" s="8" t="n">
        <x:f>'Данные'!F220</x:f>
        <x:v>878</x:v>
      </x:c>
      <x:c r="H220" s="8" t="n">
        <x:f>SUM('Данные'!H220:I220)</x:f>
        <x:v>3</x:v>
      </x:c>
      <x:c r="I220" s="16" t="n">
        <x:f>IF(H220&gt;0,G220/H220,"n.a.")</x:f>
        <x:v>292.6666666666667</x:v>
      </x:c>
      <x:c r="J220" s="10" t="n">
        <x:f>IF('Данные'!E220&gt;0,G220/'Данные'!E220,"n.a.")</x:f>
        <x:v>0.029152970083341636</x:v>
      </x:c>
      <x:c r="K220" s="1" t="str">
        <x:f>IF(G220&gt;='Дашборд'!$C$51,"X","Z")</x:f>
        <x:v>X</x:v>
      </x:c>
      <x:c r="L220" s="1" t="str">
        <x:f>IF(H220=0,IF(G220&gt;0,"Нет остатка","Нет спроса"),IF(I220&gt;='Дашборд'!$C$52,"Быстрый","Медленный"))</x:f>
        <x:v>Быстрый</x:v>
      </x:c>
      <x:c r="M220" s="1" t="str">
        <x:f>IF('Данные'!E220&lt;'Дашборд'!$C$53,"Мало трафика",IF(J220&lt;'Дашборд'!$C$9*'Дашборд'!$C$54,"Да","Нет"))</x:f>
        <x:v>Нет</x:v>
      </x:c>
      <x:c r="N220" s="1" t="str">
        <x:f>IF(AND('Данные'!D220&gt;='Дашборд'!$C$55,D220&lt;'Дашборд'!$C$56,'Данные'!E220&gt;='Дашборд'!$C$53,'Данные'!L220&lt;&gt;"Да"),"Да","Нет")</x:f>
        <x:v>Нет</x:v>
      </x:c>
      <x:c r="O220" s="1" t="str">
        <x:f>'Данные'!L220</x:f>
        <x:v>Нет</x:v>
      </x:c>
    </x:row>
    <x:row r="221">
      <x:c r="A221" s="1" t="str">
        <x:f>'Данные'!A221</x:f>
        <x:v>166214981</x:v>
      </x:c>
      <x:c r="B221" s="1" t="str">
        <x:f>'Данные'!B221</x:f>
        <x:v>hudiman/синий</x:v>
      </x:c>
      <x:c r="C221" s="8" t="n">
        <x:f>'Данные'!G221</x:f>
        <x:v>879980</x:v>
      </x:c>
      <x:c r="D221" s="15" t="n">
        <x:f>C221/SUM($C$5:$C$2477)</x:f>
        <x:v>0.0010280134290250075</x:v>
      </x:c>
      <x:c r="E221" s="15" t="n">
        <x:f>SUM($D$5:D221)</x:f>
        <x:v>0.6296466224807347</x:v>
      </x:c>
      <x:c r="F221" s="1" t="str">
        <x:f>IF(C221&lt;=0,"C",IF(E221-D221&lt;'Дашборд'!$C$49,"A",IF(E221-D221&lt;'Дашборд'!$C$50,"B","C")))</x:f>
        <x:v>A</x:v>
      </x:c>
      <x:c r="G221" s="8" t="n">
        <x:f>'Данные'!F221</x:f>
        <x:v>774</x:v>
      </x:c>
      <x:c r="H221" s="8" t="n">
        <x:f>SUM('Данные'!H221:I221)</x:f>
        <x:v>152</x:v>
      </x:c>
      <x:c r="I221" s="16" t="n">
        <x:f>IF(H221&gt;0,G221/H221,"n.a.")</x:f>
        <x:v>5.092105263157895</x:v>
      </x:c>
      <x:c r="J221" s="10" t="n">
        <x:f>IF('Данные'!E221&gt;0,G221/'Данные'!E221,"n.a.")</x:f>
        <x:v>0.028600990318527825</x:v>
      </x:c>
      <x:c r="K221" s="1" t="str">
        <x:f>IF(G221&gt;='Дашборд'!$C$51,"X","Z")</x:f>
        <x:v>X</x:v>
      </x:c>
      <x:c r="L221" s="1" t="str">
        <x:f>IF(H221=0,IF(G221&gt;0,"Нет остатка","Нет спроса"),IF(I221&gt;='Дашборд'!$C$52,"Быстрый","Медленный"))</x:f>
        <x:v>Быстрый</x:v>
      </x:c>
      <x:c r="M221" s="1" t="str">
        <x:f>IF('Данные'!E221&lt;'Дашборд'!$C$53,"Мало трафика",IF(J221&lt;'Дашборд'!$C$9*'Дашборд'!$C$54,"Да","Нет"))</x:f>
        <x:v>Нет</x:v>
      </x:c>
      <x:c r="N221" s="1" t="str">
        <x:f>IF(AND('Данные'!D221&gt;='Дашборд'!$C$55,D221&lt;'Дашборд'!$C$56,'Данные'!E221&gt;='Дашборд'!$C$53,'Данные'!L221&lt;&gt;"Да"),"Да","Нет")</x:f>
        <x:v>Нет</x:v>
      </x:c>
      <x:c r="O221" s="1" t="str">
        <x:f>'Данные'!L221</x:f>
        <x:v>Нет</x:v>
      </x:c>
    </x:row>
    <x:row r="222">
      <x:c r="A222" s="1" t="str">
        <x:f>'Данные'!A222</x:f>
        <x:v>320870103</x:v>
      </x:c>
      <x:c r="B222" s="1" t="str">
        <x:f>'Данные'!B222</x:f>
        <x:v>kostyumfix3P-37-63/дымка</x:v>
      </x:c>
      <x:c r="C222" s="8" t="n">
        <x:f>'Данные'!G222</x:f>
        <x:v>875993</x:v>
      </x:c>
      <x:c r="D222" s="15" t="n">
        <x:f>C222/SUM($C$5:$C$2477)</x:f>
        <x:v>0.001023355721416286</x:v>
      </x:c>
      <x:c r="E222" s="15" t="n">
        <x:f>SUM($D$5:D222)</x:f>
        <x:v>0.630669978202151</x:v>
      </x:c>
      <x:c r="F222" s="1" t="str">
        <x:f>IF(C222&lt;=0,"C",IF(E222-D222&lt;'Дашборд'!$C$49,"A",IF(E222-D222&lt;'Дашборд'!$C$50,"B","C")))</x:f>
        <x:v>A</x:v>
      </x:c>
      <x:c r="G222" s="8" t="n">
        <x:f>'Данные'!F222</x:f>
        <x:v>598</x:v>
      </x:c>
      <x:c r="H222" s="8" t="n">
        <x:f>SUM('Данные'!H222:I222)</x:f>
        <x:v>2</x:v>
      </x:c>
      <x:c r="I222" s="16" t="n">
        <x:f>IF(H222&gt;0,G222/H222,"n.a.")</x:f>
        <x:v>299</x:v>
      </x:c>
      <x:c r="J222" s="10" t="n">
        <x:f>IF('Данные'!E222&gt;0,G222/'Данные'!E222,"n.a.")</x:f>
        <x:v>0.010305192231470472</x:v>
      </x:c>
      <x:c r="K222" s="1" t="str">
        <x:f>IF(G222&gt;='Дашборд'!$C$51,"X","Z")</x:f>
        <x:v>X</x:v>
      </x:c>
      <x:c r="L222" s="1" t="str">
        <x:f>IF(H222=0,IF(G222&gt;0,"Нет остатка","Нет спроса"),IF(I222&gt;='Дашборд'!$C$52,"Быстрый","Медленный"))</x:f>
        <x:v>Быстрый</x:v>
      </x:c>
      <x:c r="M222" s="1" t="str">
        <x:f>IF('Данные'!E222&lt;'Дашборд'!$C$53,"Мало трафика",IF(J222&lt;'Дашборд'!$C$9*'Дашборд'!$C$54,"Да","Нет"))</x:f>
        <x:v>Нет</x:v>
      </x:c>
      <x:c r="N222" s="1" t="str">
        <x:f>IF(AND('Данные'!D222&gt;='Дашборд'!$C$55,D222&lt;'Дашборд'!$C$56,'Данные'!E222&gt;='Дашборд'!$C$53,'Данные'!L222&lt;&gt;"Да"),"Да","Нет")</x:f>
        <x:v>Нет</x:v>
      </x:c>
      <x:c r="O222" s="1" t="str">
        <x:f>'Данные'!L222</x:f>
        <x:v>Нет</x:v>
      </x:c>
    </x:row>
    <x:row r="223">
      <x:c r="A223" s="1" t="str">
        <x:f>'Данные'!A223</x:f>
        <x:v>211336686</x:v>
      </x:c>
      <x:c r="B223" s="1" t="str">
        <x:f>'Данные'!B223</x:f>
        <x:v>tolstovkazipman/серыймеланж2</x:v>
      </x:c>
      <x:c r="C223" s="8" t="n">
        <x:f>'Данные'!G223</x:f>
        <x:v>875941</x:v>
      </x:c>
      <x:c r="D223" s="15" t="n">
        <x:f>C223/SUM($C$5:$C$2477)</x:f>
        <x:v>0.0010232949737875793</x:v>
      </x:c>
      <x:c r="E223" s="15" t="n">
        <x:f>SUM($D$5:D223)</x:f>
        <x:v>0.6316932731759386</x:v>
      </x:c>
      <x:c r="F223" s="1" t="str">
        <x:f>IF(C223&lt;=0,"C",IF(E223-D223&lt;'Дашборд'!$C$49,"A",IF(E223-D223&lt;'Дашборд'!$C$50,"B","C")))</x:f>
        <x:v>A</x:v>
      </x:c>
      <x:c r="G223" s="8" t="n">
        <x:f>'Данные'!F223</x:f>
        <x:v>770</x:v>
      </x:c>
      <x:c r="H223" s="8" t="n">
        <x:f>SUM('Данные'!H223:I223)</x:f>
        <x:v>44</x:v>
      </x:c>
      <x:c r="I223" s="16" t="n">
        <x:f>IF(H223&gt;0,G223/H223,"n.a.")</x:f>
        <x:v>17.5</x:v>
      </x:c>
      <x:c r="J223" s="10" t="n">
        <x:f>IF('Данные'!E223&gt;0,G223/'Данные'!E223,"n.a.")</x:f>
        <x:v>0.02401447105788423</x:v>
      </x:c>
      <x:c r="K223" s="1" t="str">
        <x:f>IF(G223&gt;='Дашборд'!$C$51,"X","Z")</x:f>
        <x:v>X</x:v>
      </x:c>
      <x:c r="L223" s="1" t="str">
        <x:f>IF(H223=0,IF(G223&gt;0,"Нет остатка","Нет спроса"),IF(I223&gt;='Дашборд'!$C$52,"Быстрый","Медленный"))</x:f>
        <x:v>Быстрый</x:v>
      </x:c>
      <x:c r="M223" s="1" t="str">
        <x:f>IF('Данные'!E223&lt;'Дашборд'!$C$53,"Мало трафика",IF(J223&lt;'Дашборд'!$C$9*'Дашборд'!$C$54,"Да","Нет"))</x:f>
        <x:v>Нет</x:v>
      </x:c>
      <x:c r="N223" s="1" t="str">
        <x:f>IF(AND('Данные'!D223&gt;='Дашборд'!$C$55,D223&lt;'Дашборд'!$C$56,'Данные'!E223&gt;='Дашборд'!$C$53,'Данные'!L223&lt;&gt;"Да"),"Да","Нет")</x:f>
        <x:v>Нет</x:v>
      </x:c>
      <x:c r="O223" s="1" t="str">
        <x:f>'Данные'!L223</x:f>
        <x:v>Нет</x:v>
      </x:c>
    </x:row>
    <x:row r="224">
      <x:c r="A224" s="1" t="str">
        <x:f>'Данные'!A224</x:f>
        <x:v>171386742</x:v>
      </x:c>
      <x:c r="B224" s="1" t="str">
        <x:f>'Данные'!B224</x:f>
        <x:v>hudiman/темно-серый</x:v>
      </x:c>
      <x:c r="C224" s="8" t="n">
        <x:f>'Данные'!G224</x:f>
        <x:v>875424</x:v>
      </x:c>
      <x:c r="D224" s="15" t="n">
        <x:f>C224/SUM($C$5:$C$2477)</x:f>
        <x:v>0.0010226910021713994</x:v>
      </x:c>
      <x:c r="E224" s="15" t="n">
        <x:f>SUM($D$5:D224)</x:f>
        <x:v>0.63271596417811</x:v>
      </x:c>
      <x:c r="F224" s="1" t="str">
        <x:f>IF(C224&lt;=0,"C",IF(E224-D224&lt;'Дашборд'!$C$49,"A",IF(E224-D224&lt;'Дашборд'!$C$50,"B","C")))</x:f>
        <x:v>A</x:v>
      </x:c>
      <x:c r="G224" s="8" t="n">
        <x:f>'Данные'!F224</x:f>
        <x:v>770</x:v>
      </x:c>
      <x:c r="H224" s="8" t="n">
        <x:f>SUM('Данные'!H224:I224)</x:f>
        <x:v>276</x:v>
      </x:c>
      <x:c r="I224" s="16" t="n">
        <x:f>IF(H224&gt;0,G224/H224,"n.a.")</x:f>
        <x:v>2.789855072463768</x:v>
      </x:c>
      <x:c r="J224" s="10" t="n">
        <x:f>IF('Данные'!E224&gt;0,G224/'Данные'!E224,"n.a.")</x:f>
        <x:v>0.03429385828174409</x:v>
      </x:c>
      <x:c r="K224" s="1" t="str">
        <x:f>IF(G224&gt;='Дашборд'!$C$51,"X","Z")</x:f>
        <x:v>X</x:v>
      </x:c>
      <x:c r="L224" s="1" t="str">
        <x:f>IF(H224=0,IF(G224&gt;0,"Нет остатка","Нет спроса"),IF(I224&gt;='Дашборд'!$C$52,"Быстрый","Медленный"))</x:f>
        <x:v>Быстрый</x:v>
      </x:c>
      <x:c r="M224" s="1" t="str">
        <x:f>IF('Данные'!E224&lt;'Дашборд'!$C$53,"Мало трафика",IF(J224&lt;'Дашборд'!$C$9*'Дашборд'!$C$54,"Да","Нет"))</x:f>
        <x:v>Нет</x:v>
      </x:c>
      <x:c r="N224" s="1" t="str">
        <x:f>IF(AND('Данные'!D224&gt;='Дашборд'!$C$55,D224&lt;'Дашборд'!$C$56,'Данные'!E224&gt;='Дашборд'!$C$53,'Данные'!L224&lt;&gt;"Да"),"Да","Нет")</x:f>
        <x:v>Нет</x:v>
      </x:c>
      <x:c r="O224" s="1" t="str">
        <x:f>'Данные'!L224</x:f>
        <x:v>Нет</x:v>
      </x:c>
    </x:row>
    <x:row r="225">
      <x:c r="A225" s="1" t="str">
        <x:f>'Данные'!A225</x:f>
        <x:v>34248591</x:v>
      </x:c>
      <x:c r="B225" s="1" t="str">
        <x:f>'Данные'!B225</x:f>
        <x:v>futbolkaover/шалфей</x:v>
      </x:c>
      <x:c r="C225" s="8" t="n">
        <x:f>'Данные'!G225</x:f>
        <x:v>868555</x:v>
      </x:c>
      <x:c r="D225" s="15" t="n">
        <x:f>C225/SUM($C$5:$C$2477)</x:f>
        <x:v>0.0010146664740639734</x:v>
      </x:c>
      <x:c r="E225" s="15" t="n">
        <x:f>SUM($D$5:D225)</x:f>
        <x:v>0.633730630652174</x:v>
      </x:c>
      <x:c r="F225" s="1" t="str">
        <x:f>IF(C225&lt;=0,"C",IF(E225-D225&lt;'Дашборд'!$C$49,"A",IF(E225-D225&lt;'Дашборд'!$C$50,"B","C")))</x:f>
        <x:v>A</x:v>
      </x:c>
      <x:c r="G225" s="8" t="n">
        <x:f>'Данные'!F225</x:f>
        <x:v>1865</x:v>
      </x:c>
      <x:c r="H225" s="8" t="n">
        <x:f>SUM('Данные'!H225:I225)</x:f>
        <x:v>3110</x:v>
      </x:c>
      <x:c r="I225" s="16" t="n">
        <x:f>IF(H225&gt;0,G225/H225,"n.a.")</x:f>
        <x:v>0.5996784565916399</x:v>
      </x:c>
      <x:c r="J225" s="10" t="n">
        <x:f>IF('Данные'!E225&gt;0,G225/'Данные'!E225,"n.a.")</x:f>
        <x:v>0.02136091353697786</x:v>
      </x:c>
      <x:c r="K225" s="1" t="str">
        <x:f>IF(G225&gt;='Дашборд'!$C$51,"X","Z")</x:f>
        <x:v>X</x:v>
      </x:c>
      <x:c r="L225" s="1" t="str">
        <x:f>IF(H225=0,IF(G225&gt;0,"Нет остатка","Нет спроса"),IF(I225&gt;='Дашборд'!$C$52,"Быстрый","Медленный"))</x:f>
        <x:v>Медленный</x:v>
      </x:c>
      <x:c r="M225" s="1" t="str">
        <x:f>IF('Данные'!E225&lt;'Дашборд'!$C$53,"Мало трафика",IF(J225&lt;'Дашборд'!$C$9*'Дашборд'!$C$54,"Да","Нет"))</x:f>
        <x:v>Нет</x:v>
      </x:c>
      <x:c r="N225" s="1" t="str">
        <x:f>IF(AND('Данные'!D225&gt;='Дашборд'!$C$55,D225&lt;'Дашборд'!$C$56,'Данные'!E225&gt;='Дашборд'!$C$53,'Данные'!L225&lt;&gt;"Да"),"Да","Нет")</x:f>
        <x:v>Нет</x:v>
      </x:c>
      <x:c r="O225" s="1" t="str">
        <x:f>'Данные'!L225</x:f>
        <x:v>Нет</x:v>
      </x:c>
    </x:row>
    <x:row r="226">
      <x:c r="A226" s="1" t="str">
        <x:f>'Данные'!A226</x:f>
        <x:v>322169426</x:v>
      </x:c>
      <x:c r="B226" s="1" t="str">
        <x:f>'Данные'!B226</x:f>
        <x:v>futbolkaprint/LiveLove-269/белый</x:v>
      </x:c>
      <x:c r="C226" s="8" t="n">
        <x:f>'Данные'!G226</x:f>
        <x:v>866137</x:v>
      </x:c>
      <x:c r="D226" s="15" t="n">
        <x:f>C226/SUM($C$5:$C$2477)</x:f>
        <x:v>0.001011841709329113</x:v>
      </x:c>
      <x:c r="E226" s="15" t="n">
        <x:f>SUM($D$5:D226)</x:f>
        <x:v>0.6347424723615032</x:v>
      </x:c>
      <x:c r="F226" s="1" t="str">
        <x:f>IF(C226&lt;=0,"C",IF(E226-D226&lt;'Дашборд'!$C$49,"A",IF(E226-D226&lt;'Дашборд'!$C$50,"B","C")))</x:f>
        <x:v>A</x:v>
      </x:c>
      <x:c r="G226" s="8" t="n">
        <x:f>'Данные'!F226</x:f>
        <x:v>1749</x:v>
      </x:c>
      <x:c r="H226" s="8" t="n">
        <x:f>SUM('Данные'!H226:I226)</x:f>
        <x:v>452</x:v>
      </x:c>
      <x:c r="I226" s="16" t="n">
        <x:f>IF(H226&gt;0,G226/H226,"n.a.")</x:f>
        <x:v>3.8694690265486726</x:v>
      </x:c>
      <x:c r="J226" s="10" t="n">
        <x:f>IF('Данные'!E226&gt;0,G226/'Данные'!E226,"n.a.")</x:f>
        <x:v>0.011702597454735236</x:v>
      </x:c>
      <x:c r="K226" s="1" t="str">
        <x:f>IF(G226&gt;='Дашборд'!$C$51,"X","Z")</x:f>
        <x:v>X</x:v>
      </x:c>
      <x:c r="L226" s="1" t="str">
        <x:f>IF(H226=0,IF(G226&gt;0,"Нет остатка","Нет спроса"),IF(I226&gt;='Дашборд'!$C$52,"Быстрый","Медленный"))</x:f>
        <x:v>Быстрый</x:v>
      </x:c>
      <x:c r="M226" s="1" t="str">
        <x:f>IF('Данные'!E226&lt;'Дашборд'!$C$53,"Мало трафика",IF(J226&lt;'Дашборд'!$C$9*'Дашборд'!$C$54,"Да","Нет"))</x:f>
        <x:v>Нет</x:v>
      </x:c>
      <x:c r="N226" s="1" t="str">
        <x:f>IF(AND('Данные'!D226&gt;='Дашборд'!$C$55,D226&lt;'Дашборд'!$C$56,'Данные'!E226&gt;='Дашборд'!$C$53,'Данные'!L226&lt;&gt;"Да"),"Да","Нет")</x:f>
        <x:v>Нет</x:v>
      </x:c>
      <x:c r="O226" s="1" t="str">
        <x:f>'Данные'!L226</x:f>
        <x:v>Нет</x:v>
      </x:c>
    </x:row>
    <x:row r="227">
      <x:c r="A227" s="1" t="str">
        <x:f>'Данные'!A227</x:f>
        <x:v>221503682</x:v>
      </x:c>
      <x:c r="B227" s="1" t="str">
        <x:f>'Данные'!B227</x:f>
        <x:v>baza/серовато-розовый</x:v>
      </x:c>
      <x:c r="C227" s="8" t="n">
        <x:f>'Данные'!G227</x:f>
        <x:v>864835</x:v>
      </x:c>
      <x:c r="D227" s="15" t="n">
        <x:f>C227/SUM($C$5:$C$2477)</x:f>
        <x:v>0.001010320682164188</x:v>
      </x:c>
      <x:c r="E227" s="15" t="n">
        <x:f>SUM($D$5:D227)</x:f>
        <x:v>0.6357527930436674</x:v>
      </x:c>
      <x:c r="F227" s="1" t="str">
        <x:f>IF(C227&lt;=0,"C",IF(E227-D227&lt;'Дашборд'!$C$49,"A",IF(E227-D227&lt;'Дашборд'!$C$50,"B","C")))</x:f>
        <x:v>A</x:v>
      </x:c>
      <x:c r="G227" s="8" t="n">
        <x:f>'Данные'!F227</x:f>
        <x:v>1760</x:v>
      </x:c>
      <x:c r="H227" s="8" t="n">
        <x:f>SUM('Данные'!H227:I227)</x:f>
        <x:v>1657</x:v>
      </x:c>
      <x:c r="I227" s="16" t="n">
        <x:f>IF(H227&gt;0,G227/H227,"n.a.")</x:f>
        <x:v>1.0621605310802655</x:v>
      </x:c>
      <x:c r="J227" s="10" t="n">
        <x:f>IF('Данные'!E227&gt;0,G227/'Данные'!E227,"n.a.")</x:f>
        <x:v>0.016495309146461475</x:v>
      </x:c>
      <x:c r="K227" s="1" t="str">
        <x:f>IF(G227&gt;='Дашборд'!$C$51,"X","Z")</x:f>
        <x:v>X</x:v>
      </x:c>
      <x:c r="L227" s="1" t="str">
        <x:f>IF(H227=0,IF(G227&gt;0,"Нет остатка","Нет спроса"),IF(I227&gt;='Дашборд'!$C$52,"Быстрый","Медленный"))</x:f>
        <x:v>Быстрый</x:v>
      </x:c>
      <x:c r="M227" s="1" t="str">
        <x:f>IF('Данные'!E227&lt;'Дашборд'!$C$53,"Мало трафика",IF(J227&lt;'Дашборд'!$C$9*'Дашборд'!$C$54,"Да","Нет"))</x:f>
        <x:v>Нет</x:v>
      </x:c>
      <x:c r="N227" s="1" t="str">
        <x:f>IF(AND('Данные'!D227&gt;='Дашборд'!$C$55,D227&lt;'Дашборд'!$C$56,'Данные'!E227&gt;='Дашборд'!$C$53,'Данные'!L227&lt;&gt;"Да"),"Да","Нет")</x:f>
        <x:v>Нет</x:v>
      </x:c>
      <x:c r="O227" s="1" t="str">
        <x:f>'Данные'!L227</x:f>
        <x:v>Нет</x:v>
      </x:c>
    </x:row>
    <x:row r="228">
      <x:c r="A228" s="1" t="str">
        <x:f>'Данные'!A228</x:f>
        <x:v>32777676</x:v>
      </x:c>
      <x:c r="B228" s="1" t="str">
        <x:f>'Данные'!B228</x:f>
        <x:v>kroptop/эвкалипт</x:v>
      </x:c>
      <x:c r="C228" s="8" t="n">
        <x:f>'Данные'!G228</x:f>
        <x:v>864173</x:v>
      </x:c>
      <x:c r="D228" s="15" t="n">
        <x:f>C228/SUM($C$5:$C$2477)</x:f>
        <x:v>0.001009547318121807</x:v>
      </x:c>
      <x:c r="E228" s="15" t="n">
        <x:f>SUM($D$5:D228)</x:f>
        <x:v>0.6367623403617892</x:v>
      </x:c>
      <x:c r="F228" s="1" t="str">
        <x:f>IF(C228&lt;=0,"C",IF(E228-D228&lt;'Дашборд'!$C$49,"A",IF(E228-D228&lt;'Дашборд'!$C$50,"B","C")))</x:f>
        <x:v>A</x:v>
      </x:c>
      <x:c r="G228" s="8" t="n">
        <x:f>'Данные'!F228</x:f>
        <x:v>2364</x:v>
      </x:c>
      <x:c r="H228" s="8" t="n">
        <x:f>SUM('Данные'!H228:I228)</x:f>
        <x:v>164</x:v>
      </x:c>
      <x:c r="I228" s="16" t="n">
        <x:f>IF(H228&gt;0,G228/H228,"n.a.")</x:f>
        <x:v>14.414634146341463</x:v>
      </x:c>
      <x:c r="J228" s="10" t="n">
        <x:f>IF('Данные'!E228&gt;0,G228/'Данные'!E228,"n.a.")</x:f>
        <x:v>0.024001462017990943</x:v>
      </x:c>
      <x:c r="K228" s="1" t="str">
        <x:f>IF(G228&gt;='Дашборд'!$C$51,"X","Z")</x:f>
        <x:v>X</x:v>
      </x:c>
      <x:c r="L228" s="1" t="str">
        <x:f>IF(H228=0,IF(G228&gt;0,"Нет остатка","Нет спроса"),IF(I228&gt;='Дашборд'!$C$52,"Быстрый","Медленный"))</x:f>
        <x:v>Быстрый</x:v>
      </x:c>
      <x:c r="M228" s="1" t="str">
        <x:f>IF('Данные'!E228&lt;'Дашборд'!$C$53,"Мало трафика",IF(J228&lt;'Дашборд'!$C$9*'Дашборд'!$C$54,"Да","Нет"))</x:f>
        <x:v>Нет</x:v>
      </x:c>
      <x:c r="N228" s="1" t="str">
        <x:f>IF(AND('Данные'!D228&gt;='Дашборд'!$C$55,D228&lt;'Дашборд'!$C$56,'Данные'!E228&gt;='Дашборд'!$C$53,'Данные'!L228&lt;&gt;"Да"),"Да","Нет")</x:f>
        <x:v>Нет</x:v>
      </x:c>
      <x:c r="O228" s="1" t="str">
        <x:f>'Данные'!L228</x:f>
        <x:v>Нет</x:v>
      </x:c>
    </x:row>
    <x:row r="229">
      <x:c r="A229" s="1" t="str">
        <x:f>'Данные'!A229</x:f>
        <x:v>165757791</x:v>
      </x:c>
      <x:c r="B229" s="1" t="str">
        <x:f>'Данные'!B229</x:f>
        <x:v>kulirkaman/фуксия</x:v>
      </x:c>
      <x:c r="C229" s="8" t="n">
        <x:f>'Данные'!G229</x:f>
        <x:v>863960</x:v>
      </x:c>
      <x:c r="D229" s="15" t="n">
        <x:f>C229/SUM($C$5:$C$2477)</x:f>
        <x:v>0.0010092984864888354</x:v>
      </x:c>
      <x:c r="E229" s="15" t="n">
        <x:f>SUM($D$5:D229)</x:f>
        <x:v>0.637771638848278</x:v>
      </x:c>
      <x:c r="F229" s="1" t="str">
        <x:f>IF(C229&lt;=0,"C",IF(E229-D229&lt;'Дашборд'!$C$49,"A",IF(E229-D229&lt;'Дашборд'!$C$50,"B","C")))</x:f>
        <x:v>A</x:v>
      </x:c>
      <x:c r="G229" s="8" t="n">
        <x:f>'Данные'!F229</x:f>
        <x:v>1891</x:v>
      </x:c>
      <x:c r="H229" s="8" t="n">
        <x:f>SUM('Данные'!H229:I229)</x:f>
        <x:v>926</x:v>
      </x:c>
      <x:c r="I229" s="16" t="n">
        <x:f>IF(H229&gt;0,G229/H229,"n.a.")</x:f>
        <x:v>2.0421166306695464</x:v>
      </x:c>
      <x:c r="J229" s="10" t="n">
        <x:f>IF('Данные'!E229&gt;0,G229/'Данные'!E229,"n.a.")</x:f>
        <x:v>0.027715081342517954</x:v>
      </x:c>
      <x:c r="K229" s="1" t="str">
        <x:f>IF(G229&gt;='Дашборд'!$C$51,"X","Z")</x:f>
        <x:v>X</x:v>
      </x:c>
      <x:c r="L229" s="1" t="str">
        <x:f>IF(H229=0,IF(G229&gt;0,"Нет остатка","Нет спроса"),IF(I229&gt;='Дашборд'!$C$52,"Быстрый","Медленный"))</x:f>
        <x:v>Быстрый</x:v>
      </x:c>
      <x:c r="M229" s="1" t="str">
        <x:f>IF('Данные'!E229&lt;'Дашборд'!$C$53,"Мало трафика",IF(J229&lt;'Дашборд'!$C$9*'Дашборд'!$C$54,"Да","Нет"))</x:f>
        <x:v>Нет</x:v>
      </x:c>
      <x:c r="N229" s="1" t="str">
        <x:f>IF(AND('Данные'!D229&gt;='Дашборд'!$C$55,D229&lt;'Дашборд'!$C$56,'Данные'!E229&gt;='Дашборд'!$C$53,'Данные'!L229&lt;&gt;"Да"),"Да","Нет")</x:f>
        <x:v>Нет</x:v>
      </x:c>
      <x:c r="O229" s="1" t="str">
        <x:f>'Данные'!L229</x:f>
        <x:v>Нет</x:v>
      </x:c>
    </x:row>
    <x:row r="230">
      <x:c r="A230" s="1" t="str">
        <x:f>'Данные'!A230</x:f>
        <x:v>165757796</x:v>
      </x:c>
      <x:c r="B230" s="1" t="str">
        <x:f>'Данные'!B230</x:f>
        <x:v>kulirkaman/светлофиолетовый</x:v>
      </x:c>
      <x:c r="C230" s="8" t="n">
        <x:f>'Данные'!G230</x:f>
        <x:v>859822</x:v>
      </x:c>
      <x:c r="D230" s="15" t="n">
        <x:f>C230/SUM($C$5:$C$2477)</x:f>
        <x:v>0.0010044643771121389</x:v>
      </x:c>
      <x:c r="E230" s="15" t="n">
        <x:f>SUM($D$5:D230)</x:f>
        <x:v>0.6387761032253901</x:v>
      </x:c>
      <x:c r="F230" s="1" t="str">
        <x:f>IF(C230&lt;=0,"C",IF(E230-D230&lt;'Дашборд'!$C$49,"A",IF(E230-D230&lt;'Дашборд'!$C$50,"B","C")))</x:f>
        <x:v>A</x:v>
      </x:c>
      <x:c r="G230" s="8" t="n">
        <x:f>'Данные'!F230</x:f>
        <x:v>1654</x:v>
      </x:c>
      <x:c r="H230" s="8" t="n">
        <x:f>SUM('Данные'!H230:I230)</x:f>
        <x:v>491</x:v>
      </x:c>
      <x:c r="I230" s="16" t="n">
        <x:f>IF(H230&gt;0,G230/H230,"n.a.")</x:f>
        <x:v>3.3686354378818737</x:v>
      </x:c>
      <x:c r="J230" s="10" t="n">
        <x:f>IF('Данные'!E230&gt;0,G230/'Данные'!E230,"n.a.")</x:f>
        <x:v>0.04673372513562387</x:v>
      </x:c>
      <x:c r="K230" s="1" t="str">
        <x:f>IF(G230&gt;='Дашборд'!$C$51,"X","Z")</x:f>
        <x:v>X</x:v>
      </x:c>
      <x:c r="L230" s="1" t="str">
        <x:f>IF(H230=0,IF(G230&gt;0,"Нет остатка","Нет спроса"),IF(I230&gt;='Дашборд'!$C$52,"Быстрый","Медленный"))</x:f>
        <x:v>Быстрый</x:v>
      </x:c>
      <x:c r="M230" s="1" t="str">
        <x:f>IF('Данные'!E230&lt;'Дашборд'!$C$53,"Мало трафика",IF(J230&lt;'Дашборд'!$C$9*'Дашборд'!$C$54,"Да","Нет"))</x:f>
        <x:v>Нет</x:v>
      </x:c>
      <x:c r="N230" s="1" t="str">
        <x:f>IF(AND('Данные'!D230&gt;='Дашборд'!$C$55,D230&lt;'Дашборд'!$C$56,'Данные'!E230&gt;='Дашборд'!$C$53,'Данные'!L230&lt;&gt;"Да"),"Да","Нет")</x:f>
        <x:v>Нет</x:v>
      </x:c>
      <x:c r="O230" s="1" t="str">
        <x:f>'Данные'!L230</x:f>
        <x:v>Нет</x:v>
      </x:c>
    </x:row>
    <x:row r="231">
      <x:c r="A231" s="1" t="str">
        <x:f>'Данные'!A231</x:f>
        <x:v>45029875</x:v>
      </x:c>
      <x:c r="B231" s="1" t="str">
        <x:f>'Данные'!B231</x:f>
        <x:v>hudi/морскаяволна</x:v>
      </x:c>
      <x:c r="C231" s="8" t="n">
        <x:f>'Данные'!G231</x:f>
        <x:v>850757</x:v>
      </x:c>
      <x:c r="D231" s="15" t="n">
        <x:f>C231/SUM($C$5:$C$2477)</x:f>
        <x:v>0.0009938744299154848</x:v>
      </x:c>
      <x:c r="E231" s="15" t="n">
        <x:f>SUM($D$5:D231)</x:f>
        <x:v>0.6397699776553056</x:v>
      </x:c>
      <x:c r="F231" s="1" t="str">
        <x:f>IF(C231&lt;=0,"C",IF(E231-D231&lt;'Дашборд'!$C$49,"A",IF(E231-D231&lt;'Дашборд'!$C$50,"B","C")))</x:f>
        <x:v>A</x:v>
      </x:c>
      <x:c r="G231" s="8" t="n">
        <x:f>'Данные'!F231</x:f>
        <x:v>911</x:v>
      </x:c>
      <x:c r="H231" s="8" t="n">
        <x:f>SUM('Данные'!H231:I231)</x:f>
        <x:v>119</x:v>
      </x:c>
      <x:c r="I231" s="16" t="n">
        <x:f>IF(H231&gt;0,G231/H231,"n.a.")</x:f>
        <x:v>7.65546218487395</x:v>
      </x:c>
      <x:c r="J231" s="10" t="n">
        <x:f>IF('Данные'!E231&gt;0,G231/'Данные'!E231,"n.a.")</x:f>
        <x:v>0.016852269784305745</x:v>
      </x:c>
      <x:c r="K231" s="1" t="str">
        <x:f>IF(G231&gt;='Дашборд'!$C$51,"X","Z")</x:f>
        <x:v>X</x:v>
      </x:c>
      <x:c r="L231" s="1" t="str">
        <x:f>IF(H231=0,IF(G231&gt;0,"Нет остатка","Нет спроса"),IF(I231&gt;='Дашборд'!$C$52,"Быстрый","Медленный"))</x:f>
        <x:v>Быстрый</x:v>
      </x:c>
      <x:c r="M231" s="1" t="str">
        <x:f>IF('Данные'!E231&lt;'Дашборд'!$C$53,"Мало трафика",IF(J231&lt;'Дашборд'!$C$9*'Дашборд'!$C$54,"Да","Нет"))</x:f>
        <x:v>Нет</x:v>
      </x:c>
      <x:c r="N231" s="1" t="str">
        <x:f>IF(AND('Данные'!D231&gt;='Дашборд'!$C$55,D231&lt;'Дашборд'!$C$56,'Данные'!E231&gt;='Дашборд'!$C$53,'Данные'!L231&lt;&gt;"Да"),"Да","Нет")</x:f>
        <x:v>Да</x:v>
      </x:c>
      <x:c r="O231" s="1" t="str">
        <x:f>'Данные'!L231</x:f>
        <x:v>Нет</x:v>
      </x:c>
    </x:row>
    <x:row r="232">
      <x:c r="A232" s="1" t="str">
        <x:f>'Данные'!A232</x:f>
        <x:v>311049936</x:v>
      </x:c>
      <x:c r="B232" s="1" t="str">
        <x:f>'Данные'!B232</x:f>
        <x:v>hudimanpetl/дымка</x:v>
      </x:c>
      <x:c r="C232" s="8" t="n">
        <x:f>'Данные'!G232</x:f>
        <x:v>845933</x:v>
      </x:c>
      <x:c r="D232" s="15" t="n">
        <x:f>C232/SUM($C$5:$C$2477)</x:f>
        <x:v>0.0009882389191293115</x:v>
      </x:c>
      <x:c r="E232" s="15" t="n">
        <x:f>SUM($D$5:D232)</x:f>
        <x:v>0.640758216574435</x:v>
      </x:c>
      <x:c r="F232" s="1" t="str">
        <x:f>IF(C232&lt;=0,"C",IF(E232-D232&lt;'Дашборд'!$C$49,"A",IF(E232-D232&lt;'Дашборд'!$C$50,"B","C")))</x:f>
        <x:v>A</x:v>
      </x:c>
      <x:c r="G232" s="8" t="n">
        <x:f>'Данные'!F232</x:f>
        <x:v>972</x:v>
      </x:c>
      <x:c r="H232" s="8" t="n">
        <x:f>SUM('Данные'!H232:I232)</x:f>
        <x:v>104</x:v>
      </x:c>
      <x:c r="I232" s="16" t="n">
        <x:f>IF(H232&gt;0,G232/H232,"n.a.")</x:f>
        <x:v>9.346153846153847</x:v>
      </x:c>
      <x:c r="J232" s="10" t="n">
        <x:f>IF('Данные'!E232&gt;0,G232/'Данные'!E232,"n.a.")</x:f>
        <x:v>0.028182081762829807</x:v>
      </x:c>
      <x:c r="K232" s="1" t="str">
        <x:f>IF(G232&gt;='Дашборд'!$C$51,"X","Z")</x:f>
        <x:v>X</x:v>
      </x:c>
      <x:c r="L232" s="1" t="str">
        <x:f>IF(H232=0,IF(G232&gt;0,"Нет остатка","Нет спроса"),IF(I232&gt;='Дашборд'!$C$52,"Быстрый","Медленный"))</x:f>
        <x:v>Быстрый</x:v>
      </x:c>
      <x:c r="M232" s="1" t="str">
        <x:f>IF('Данные'!E232&lt;'Дашборд'!$C$53,"Мало трафика",IF(J232&lt;'Дашборд'!$C$9*'Дашборд'!$C$54,"Да","Нет"))</x:f>
        <x:v>Нет</x:v>
      </x:c>
      <x:c r="N232" s="1" t="str">
        <x:f>IF(AND('Данные'!D232&gt;='Дашборд'!$C$55,D232&lt;'Дашборд'!$C$56,'Данные'!E232&gt;='Дашборд'!$C$53,'Данные'!L232&lt;&gt;"Да"),"Да","Нет")</x:f>
        <x:v>Нет</x:v>
      </x:c>
      <x:c r="O232" s="1" t="str">
        <x:f>'Данные'!L232</x:f>
        <x:v>Нет</x:v>
      </x:c>
    </x:row>
    <x:row r="233">
      <x:c r="A233" s="1" t="str">
        <x:f>'Данные'!A233</x:f>
        <x:v>221503672</x:v>
      </x:c>
      <x:c r="B233" s="1" t="str">
        <x:f>'Данные'!B233</x:f>
        <x:v>baza/морскаяволна</x:v>
      </x:c>
      <x:c r="C233" s="8" t="n">
        <x:f>'Данные'!G233</x:f>
        <x:v>845101</x:v>
      </x:c>
      <x:c r="D233" s="15" t="n">
        <x:f>C233/SUM($C$5:$C$2477)</x:f>
        <x:v>0.0009872669570700047</x:v>
      </x:c>
      <x:c r="E233" s="15" t="n">
        <x:f>SUM($D$5:D233)</x:f>
        <x:v>0.641745483531505</x:v>
      </x:c>
      <x:c r="F233" s="1" t="str">
        <x:f>IF(C233&lt;=0,"C",IF(E233-D233&lt;'Дашборд'!$C$49,"A",IF(E233-D233&lt;'Дашборд'!$C$50,"B","C")))</x:f>
        <x:v>A</x:v>
      </x:c>
      <x:c r="G233" s="8" t="n">
        <x:f>'Данные'!F233</x:f>
        <x:v>1709</x:v>
      </x:c>
      <x:c r="H233" s="8" t="n">
        <x:f>SUM('Данные'!H233:I233)</x:f>
        <x:v>716</x:v>
      </x:c>
      <x:c r="I233" s="16" t="n">
        <x:f>IF(H233&gt;0,G233/H233,"n.a.")</x:f>
        <x:v>2.386871508379888</x:v>
      </x:c>
      <x:c r="J233" s="10" t="n">
        <x:f>IF('Данные'!E233&gt;0,G233/'Данные'!E233,"n.a.")</x:f>
        <x:v>0.02340198280111738</x:v>
      </x:c>
      <x:c r="K233" s="1" t="str">
        <x:f>IF(G233&gt;='Дашборд'!$C$51,"X","Z")</x:f>
        <x:v>X</x:v>
      </x:c>
      <x:c r="L233" s="1" t="str">
        <x:f>IF(H233=0,IF(G233&gt;0,"Нет остатка","Нет спроса"),IF(I233&gt;='Дашборд'!$C$52,"Быстрый","Медленный"))</x:f>
        <x:v>Быстрый</x:v>
      </x:c>
      <x:c r="M233" s="1" t="str">
        <x:f>IF('Данные'!E233&lt;'Дашборд'!$C$53,"Мало трафика",IF(J233&lt;'Дашборд'!$C$9*'Дашборд'!$C$54,"Да","Нет"))</x:f>
        <x:v>Нет</x:v>
      </x:c>
      <x:c r="N233" s="1" t="str">
        <x:f>IF(AND('Данные'!D233&gt;='Дашборд'!$C$55,D233&lt;'Дашборд'!$C$56,'Данные'!E233&gt;='Дашборд'!$C$53,'Данные'!L233&lt;&gt;"Да"),"Да","Нет")</x:f>
        <x:v>Нет</x:v>
      </x:c>
      <x:c r="O233" s="1" t="str">
        <x:f>'Данные'!L233</x:f>
        <x:v>Нет</x:v>
      </x:c>
    </x:row>
    <x:row r="234">
      <x:c r="A234" s="1" t="str">
        <x:f>'Данные'!A234</x:f>
        <x:v>326814894</x:v>
      </x:c>
      <x:c r="B234" s="1" t="str">
        <x:f>'Данные'!B234</x:f>
        <x:v>svitzip3P-S-5/бордовый</x:v>
      </x:c>
      <x:c r="C234" s="8" t="n">
        <x:f>'Данные'!G234</x:f>
        <x:v>842076</x:v>
      </x:c>
      <x:c r="D234" s="15" t="n">
        <x:f>C234/SUM($C$5:$C$2477)</x:f>
        <x:v>0.0009837330805923569</x:v>
      </x:c>
      <x:c r="E234" s="15" t="n">
        <x:f>SUM($D$5:D234)</x:f>
        <x:v>0.6427292166120974</x:v>
      </x:c>
      <x:c r="F234" s="1" t="str">
        <x:f>IF(C234&lt;=0,"C",IF(E234-D234&lt;'Дашборд'!$C$49,"A",IF(E234-D234&lt;'Дашборд'!$C$50,"B","C")))</x:f>
        <x:v>A</x:v>
      </x:c>
      <x:c r="G234" s="8" t="n">
        <x:f>'Данные'!F234</x:f>
        <x:v>1104</x:v>
      </x:c>
      <x:c r="H234" s="8" t="n">
        <x:f>SUM('Данные'!H234:I234)</x:f>
        <x:v>468</x:v>
      </x:c>
      <x:c r="I234" s="16" t="n">
        <x:f>IF(H234&gt;0,G234/H234,"n.a.")</x:f>
        <x:v>2.358974358974359</x:v>
      </x:c>
      <x:c r="J234" s="10" t="n">
        <x:f>IF('Данные'!E234&gt;0,G234/'Данные'!E234,"n.a.")</x:f>
        <x:v>0.01110708680429796</x:v>
      </x:c>
      <x:c r="K234" s="1" t="str">
        <x:f>IF(G234&gt;='Дашборд'!$C$51,"X","Z")</x:f>
        <x:v>X</x:v>
      </x:c>
      <x:c r="L234" s="1" t="str">
        <x:f>IF(H234=0,IF(G234&gt;0,"Нет остатка","Нет спроса"),IF(I234&gt;='Дашборд'!$C$52,"Быстрый","Медленный"))</x:f>
        <x:v>Быстрый</x:v>
      </x:c>
      <x:c r="M234" s="1" t="str">
        <x:f>IF('Данные'!E234&lt;'Дашборд'!$C$53,"Мало трафика",IF(J234&lt;'Дашборд'!$C$9*'Дашборд'!$C$54,"Да","Нет"))</x:f>
        <x:v>Нет</x:v>
      </x:c>
      <x:c r="N234" s="1" t="str">
        <x:f>IF(AND('Данные'!D234&gt;='Дашборд'!$C$55,D234&lt;'Дашборд'!$C$56,'Данные'!E234&gt;='Дашборд'!$C$53,'Данные'!L234&lt;&gt;"Да"),"Да","Нет")</x:f>
        <x:v>Нет</x:v>
      </x:c>
      <x:c r="O234" s="1" t="str">
        <x:f>'Данные'!L234</x:f>
        <x:v>Нет</x:v>
      </x:c>
    </x:row>
    <x:row r="235">
      <x:c r="A235" s="1" t="str">
        <x:f>'Данные'!A235</x:f>
        <x:v>287829613</x:v>
      </x:c>
      <x:c r="B235" s="1" t="str">
        <x:f>'Данные'!B235</x:f>
        <x:v>hudiprint/Rome-237/бордовый</x:v>
      </x:c>
      <x:c r="C235" s="8" t="n">
        <x:f>'Данные'!G235</x:f>
        <x:v>842008</x:v>
      </x:c>
      <x:c r="D235" s="15" t="n">
        <x:f>C235/SUM($C$5:$C$2477)</x:f>
        <x:v>0.0009836536413855865</x:v>
      </x:c>
      <x:c r="E235" s="15" t="n">
        <x:f>SUM($D$5:D235)</x:f>
        <x:v>0.643712870253483</x:v>
      </x:c>
      <x:c r="F235" s="1" t="str">
        <x:f>IF(C235&lt;=0,"C",IF(E235-D235&lt;'Дашборд'!$C$49,"A",IF(E235-D235&lt;'Дашборд'!$C$50,"B","C")))</x:f>
        <x:v>A</x:v>
      </x:c>
      <x:c r="G235" s="8" t="n">
        <x:f>'Данные'!F235</x:f>
        <x:v>698</x:v>
      </x:c>
      <x:c r="H235" s="8" t="n">
        <x:f>SUM('Данные'!H235:I235)</x:f>
        <x:v>39</x:v>
      </x:c>
      <x:c r="I235" s="16" t="n">
        <x:f>IF(H235&gt;0,G235/H235,"n.a.")</x:f>
        <x:v>17.897435897435898</x:v>
      </x:c>
      <x:c r="J235" s="10" t="n">
        <x:f>IF('Данные'!E235&gt;0,G235/'Данные'!E235,"n.a.")</x:f>
        <x:v>0.017418646436414453</x:v>
      </x:c>
      <x:c r="K235" s="1" t="str">
        <x:f>IF(G235&gt;='Дашборд'!$C$51,"X","Z")</x:f>
        <x:v>X</x:v>
      </x:c>
      <x:c r="L235" s="1" t="str">
        <x:f>IF(H235=0,IF(G235&gt;0,"Нет остатка","Нет спроса"),IF(I235&gt;='Дашборд'!$C$52,"Быстрый","Медленный"))</x:f>
        <x:v>Быстрый</x:v>
      </x:c>
      <x:c r="M235" s="1" t="str">
        <x:f>IF('Данные'!E235&lt;'Дашборд'!$C$53,"Мало трафика",IF(J235&lt;'Дашборд'!$C$9*'Дашборд'!$C$54,"Да","Нет"))</x:f>
        <x:v>Нет</x:v>
      </x:c>
      <x:c r="N235" s="1" t="str">
        <x:f>IF(AND('Данные'!D235&gt;='Дашборд'!$C$55,D235&lt;'Дашборд'!$C$56,'Данные'!E235&gt;='Дашборд'!$C$53,'Данные'!L235&lt;&gt;"Да"),"Да","Нет")</x:f>
        <x:v>Да</x:v>
      </x:c>
      <x:c r="O235" s="1" t="str">
        <x:f>'Данные'!L235</x:f>
        <x:v>Нет</x:v>
      </x:c>
    </x:row>
    <x:row r="236">
      <x:c r="A236" s="1" t="str">
        <x:f>'Данные'!A236</x:f>
        <x:v>211855715</x:v>
      </x:c>
      <x:c r="B236" s="1" t="str">
        <x:f>'Данные'!B236</x:f>
        <x:v>futbolkaprint/BROOKLYN-77/молочный</x:v>
      </x:c>
      <x:c r="C236" s="8" t="n">
        <x:f>'Данные'!G236</x:f>
        <x:v>836994</x:v>
      </x:c>
      <x:c r="D236" s="15" t="n">
        <x:f>C236/SUM($C$5:$C$2477)</x:f>
        <x:v>0.0009777961681099083</x:v>
      </x:c>
      <x:c r="E236" s="15" t="n">
        <x:f>SUM($D$5:D236)</x:f>
        <x:v>0.6446906664215929</x:v>
      </x:c>
      <x:c r="F236" s="1" t="str">
        <x:f>IF(C236&lt;=0,"C",IF(E236-D236&lt;'Дашборд'!$C$49,"A",IF(E236-D236&lt;'Дашборд'!$C$50,"B","C")))</x:f>
        <x:v>A</x:v>
      </x:c>
      <x:c r="G236" s="8" t="n">
        <x:f>'Данные'!F236</x:f>
        <x:v>1253</x:v>
      </x:c>
      <x:c r="H236" s="8" t="n">
        <x:f>SUM('Данные'!H236:I236)</x:f>
        <x:v>54</x:v>
      </x:c>
      <x:c r="I236" s="16" t="n">
        <x:f>IF(H236&gt;0,G236/H236,"n.a.")</x:f>
        <x:v>23.203703703703702</x:v>
      </x:c>
      <x:c r="J236" s="10" t="n">
        <x:f>IF('Данные'!E236&gt;0,G236/'Данные'!E236,"n.a.")</x:f>
        <x:v>0.01642998570735481</x:v>
      </x:c>
      <x:c r="K236" s="1" t="str">
        <x:f>IF(G236&gt;='Дашборд'!$C$51,"X","Z")</x:f>
        <x:v>X</x:v>
      </x:c>
      <x:c r="L236" s="1" t="str">
        <x:f>IF(H236=0,IF(G236&gt;0,"Нет остатка","Нет спроса"),IF(I236&gt;='Дашборд'!$C$52,"Быстрый","Медленный"))</x:f>
        <x:v>Быстрый</x:v>
      </x:c>
      <x:c r="M236" s="1" t="str">
        <x:f>IF('Данные'!E236&lt;'Дашборд'!$C$53,"Мало трафика",IF(J236&lt;'Дашборд'!$C$9*'Дашборд'!$C$54,"Да","Нет"))</x:f>
        <x:v>Нет</x:v>
      </x:c>
      <x:c r="N236" s="1" t="str">
        <x:f>IF(AND('Данные'!D236&gt;='Дашборд'!$C$55,D236&lt;'Дашборд'!$C$56,'Данные'!E236&gt;='Дашборд'!$C$53,'Данные'!L236&lt;&gt;"Да"),"Да","Нет")</x:f>
        <x:v>Да</x:v>
      </x:c>
      <x:c r="O236" s="1" t="str">
        <x:f>'Данные'!L236</x:f>
        <x:v>Нет</x:v>
      </x:c>
    </x:row>
    <x:row r="237">
      <x:c r="A237" s="1" t="str">
        <x:f>'Данные'!A237</x:f>
        <x:v>165757797</x:v>
      </x:c>
      <x:c r="B237" s="1" t="str">
        <x:f>'Данные'!B237</x:f>
        <x:v>kulirkaman/зеленосерый</x:v>
      </x:c>
      <x:c r="C237" s="8" t="n">
        <x:f>'Данные'!G237</x:f>
        <x:v>835030</x:v>
      </x:c>
      <x:c r="D237" s="15" t="n">
        <x:f>C237/SUM($C$5:$C$2477)</x:f>
        <x:v>0.0009755017769026023</x:v>
      </x:c>
      <x:c r="E237" s="15" t="n">
        <x:f>SUM($D$5:D237)</x:f>
        <x:v>0.6456661681984955</x:v>
      </x:c>
      <x:c r="F237" s="1" t="str">
        <x:f>IF(C237&lt;=0,"C",IF(E237-D237&lt;'Дашборд'!$C$49,"A",IF(E237-D237&lt;'Дашборд'!$C$50,"B","C")))</x:f>
        <x:v>A</x:v>
      </x:c>
      <x:c r="G237" s="8" t="n">
        <x:f>'Данные'!F237</x:f>
        <x:v>1711</x:v>
      </x:c>
      <x:c r="H237" s="8" t="n">
        <x:f>SUM('Данные'!H237:I237)</x:f>
        <x:v>1588</x:v>
      </x:c>
      <x:c r="I237" s="16" t="n">
        <x:f>IF(H237&gt;0,G237/H237,"n.a.")</x:f>
        <x:v>1.077455919395466</x:v>
      </x:c>
      <x:c r="J237" s="10" t="n">
        <x:f>IF('Данные'!E237&gt;0,G237/'Данные'!E237,"n.a.")</x:f>
        <x:v>0.042953256012451674</x:v>
      </x:c>
      <x:c r="K237" s="1" t="str">
        <x:f>IF(G237&gt;='Дашборд'!$C$51,"X","Z")</x:f>
        <x:v>X</x:v>
      </x:c>
      <x:c r="L237" s="1" t="str">
        <x:f>IF(H237=0,IF(G237&gt;0,"Нет остатка","Нет спроса"),IF(I237&gt;='Дашборд'!$C$52,"Быстрый","Медленный"))</x:f>
        <x:v>Быстрый</x:v>
      </x:c>
      <x:c r="M237" s="1" t="str">
        <x:f>IF('Данные'!E237&lt;'Дашборд'!$C$53,"Мало трафика",IF(J237&lt;'Дашборд'!$C$9*'Дашборд'!$C$54,"Да","Нет"))</x:f>
        <x:v>Нет</x:v>
      </x:c>
      <x:c r="N237" s="1" t="str">
        <x:f>IF(AND('Данные'!D237&gt;='Дашборд'!$C$55,D237&lt;'Дашборд'!$C$56,'Данные'!E237&gt;='Дашборд'!$C$53,'Данные'!L237&lt;&gt;"Да"),"Да","Нет")</x:f>
        <x:v>Нет</x:v>
      </x:c>
      <x:c r="O237" s="1" t="str">
        <x:f>'Данные'!L237</x:f>
        <x:v>Нет</x:v>
      </x:c>
    </x:row>
    <x:row r="238">
      <x:c r="A238" s="1" t="str">
        <x:f>'Данные'!A238</x:f>
        <x:v>234030782</x:v>
      </x:c>
      <x:c r="B238" s="1" t="str">
        <x:f>'Данные'!B238</x:f>
        <x:v>svitshotzipman2/черный</x:v>
      </x:c>
      <x:c r="C238" s="8" t="n">
        <x:f>'Данные'!G238</x:f>
        <x:v>834044</x:v>
      </x:c>
      <x:c r="D238" s="15" t="n">
        <x:f>C238/SUM($C$5:$C$2477)</x:f>
        <x:v>0.0009743499084044334</x:v>
      </x:c>
      <x:c r="E238" s="15" t="n">
        <x:f>SUM($D$5:D238)</x:f>
        <x:v>0.6466405181068999</x:v>
      </x:c>
      <x:c r="F238" s="1" t="str">
        <x:f>IF(C238&lt;=0,"C",IF(E238-D238&lt;'Дашборд'!$C$49,"A",IF(E238-D238&lt;'Дашборд'!$C$50,"B","C")))</x:f>
        <x:v>A</x:v>
      </x:c>
      <x:c r="G238" s="8" t="n">
        <x:f>'Данные'!F238</x:f>
        <x:v>771</x:v>
      </x:c>
      <x:c r="H238" s="8" t="n">
        <x:f>SUM('Данные'!H238:I238)</x:f>
        <x:v>2</x:v>
      </x:c>
      <x:c r="I238" s="16" t="n">
        <x:f>IF(H238&gt;0,G238/H238,"n.a.")</x:f>
        <x:v>385.5</x:v>
      </x:c>
      <x:c r="J238" s="10" t="n">
        <x:f>IF('Данные'!E238&gt;0,G238/'Данные'!E238,"n.a.")</x:f>
        <x:v>0.020841780877463304</x:v>
      </x:c>
      <x:c r="K238" s="1" t="str">
        <x:f>IF(G238&gt;='Дашборд'!$C$51,"X","Z")</x:f>
        <x:v>X</x:v>
      </x:c>
      <x:c r="L238" s="1" t="str">
        <x:f>IF(H238=0,IF(G238&gt;0,"Нет остатка","Нет спроса"),IF(I238&gt;='Дашборд'!$C$52,"Быстрый","Медленный"))</x:f>
        <x:v>Быстрый</x:v>
      </x:c>
      <x:c r="M238" s="1" t="str">
        <x:f>IF('Данные'!E238&lt;'Дашборд'!$C$53,"Мало трафика",IF(J238&lt;'Дашборд'!$C$9*'Дашборд'!$C$54,"Да","Нет"))</x:f>
        <x:v>Нет</x:v>
      </x:c>
      <x:c r="N238" s="1" t="str">
        <x:f>IF(AND('Данные'!D238&gt;='Дашборд'!$C$55,D238&lt;'Дашборд'!$C$56,'Данные'!E238&gt;='Дашборд'!$C$53,'Данные'!L238&lt;&gt;"Да"),"Да","Нет")</x:f>
        <x:v>Да</x:v>
      </x:c>
      <x:c r="O238" s="1" t="str">
        <x:f>'Данные'!L238</x:f>
        <x:v>Нет</x:v>
      </x:c>
    </x:row>
    <x:row r="239">
      <x:c r="A239" s="1" t="str">
        <x:f>'Данные'!A239</x:f>
        <x:v>233056211</x:v>
      </x:c>
      <x:c r="B239" s="1" t="str">
        <x:f>'Данные'!B239</x:f>
        <x:v>hudivish/MoveClub-93/темно-синий</x:v>
      </x:c>
      <x:c r="C239" s="8" t="n">
        <x:f>'Данные'!G239</x:f>
        <x:v>828798</x:v>
      </x:c>
      <x:c r="D239" s="15" t="n">
        <x:f>C239/SUM($C$5:$C$2477)</x:f>
        <x:v>0.000968221407246833</x:v>
      </x:c>
      <x:c r="E239" s="15" t="n">
        <x:f>SUM($D$5:D239)</x:f>
        <x:v>0.6476087395141468</x:v>
      </x:c>
      <x:c r="F239" s="1" t="str">
        <x:f>IF(C239&lt;=0,"C",IF(E239-D239&lt;'Дашборд'!$C$49,"A",IF(E239-D239&lt;'Дашборд'!$C$50,"B","C")))</x:f>
        <x:v>A</x:v>
      </x:c>
      <x:c r="G239" s="8" t="n">
        <x:f>'Данные'!F239</x:f>
        <x:v>786</x:v>
      </x:c>
      <x:c r="H239" s="8" t="n">
        <x:f>SUM('Данные'!H239:I239)</x:f>
        <x:v>148</x:v>
      </x:c>
      <x:c r="I239" s="16" t="n">
        <x:f>IF(H239&gt;0,G239/H239,"n.a.")</x:f>
        <x:v>5.3108108108108105</x:v>
      </x:c>
      <x:c r="J239" s="10" t="n">
        <x:f>IF('Данные'!E239&gt;0,G239/'Данные'!E239,"n.a.")</x:f>
        <x:v>0.013099126724885007</x:v>
      </x:c>
      <x:c r="K239" s="1" t="str">
        <x:f>IF(G239&gt;='Дашборд'!$C$51,"X","Z")</x:f>
        <x:v>X</x:v>
      </x:c>
      <x:c r="L239" s="1" t="str">
        <x:f>IF(H239=0,IF(G239&gt;0,"Нет остатка","Нет спроса"),IF(I239&gt;='Дашборд'!$C$52,"Быстрый","Медленный"))</x:f>
        <x:v>Быстрый</x:v>
      </x:c>
      <x:c r="M239" s="1" t="str">
        <x:f>IF('Данные'!E239&lt;'Дашборд'!$C$53,"Мало трафика",IF(J239&lt;'Дашборд'!$C$9*'Дашборд'!$C$54,"Да","Нет"))</x:f>
        <x:v>Нет</x:v>
      </x:c>
      <x:c r="N239" s="1" t="str">
        <x:f>IF(AND('Данные'!D239&gt;='Дашборд'!$C$55,D239&lt;'Дашборд'!$C$56,'Данные'!E239&gt;='Дашборд'!$C$53,'Данные'!L239&lt;&gt;"Да"),"Да","Нет")</x:f>
        <x:v>Да</x:v>
      </x:c>
      <x:c r="O239" s="1" t="str">
        <x:f>'Данные'!L239</x:f>
        <x:v>Нет</x:v>
      </x:c>
    </x:row>
    <x:row r="240">
      <x:c r="A240" s="1" t="str">
        <x:f>'Данные'!A240</x:f>
        <x:v>246363196</x:v>
      </x:c>
      <x:c r="B240" s="1" t="str">
        <x:f>'Данные'!B240</x:f>
        <x:v>tolstovkazipcrop/темно-синий</x:v>
      </x:c>
      <x:c r="C240" s="8" t="n">
        <x:f>'Данные'!G240</x:f>
        <x:v>827269</x:v>
      </x:c>
      <x:c r="D240" s="15" t="n">
        <x:f>C240/SUM($C$5:$C$2477)</x:f>
        <x:v>0.0009664351933181309</x:v>
      </x:c>
      <x:c r="E240" s="15" t="n">
        <x:f>SUM($D$5:D240)</x:f>
        <x:v>0.648575174707465</x:v>
      </x:c>
      <x:c r="F240" s="1" t="str">
        <x:f>IF(C240&lt;=0,"C",IF(E240-D240&lt;'Дашборд'!$C$49,"A",IF(E240-D240&lt;'Дашборд'!$C$50,"B","C")))</x:f>
        <x:v>A</x:v>
      </x:c>
      <x:c r="G240" s="8" t="n">
        <x:f>'Данные'!F240</x:f>
        <x:v>894</x:v>
      </x:c>
      <x:c r="H240" s="8" t="n">
        <x:f>SUM('Данные'!H240:I240)</x:f>
        <x:v>114</x:v>
      </x:c>
      <x:c r="I240" s="16" t="n">
        <x:f>IF(H240&gt;0,G240/H240,"n.a.")</x:f>
        <x:v>7.842105263157895</x:v>
      </x:c>
      <x:c r="J240" s="10" t="n">
        <x:f>IF('Данные'!E240&gt;0,G240/'Данные'!E240,"n.a.")</x:f>
        <x:v>0.010538227597425561</x:v>
      </x:c>
      <x:c r="K240" s="1" t="str">
        <x:f>IF(G240&gt;='Дашборд'!$C$51,"X","Z")</x:f>
        <x:v>X</x:v>
      </x:c>
      <x:c r="L240" s="1" t="str">
        <x:f>IF(H240=0,IF(G240&gt;0,"Нет остатка","Нет спроса"),IF(I240&gt;='Дашборд'!$C$52,"Быстрый","Медленный"))</x:f>
        <x:v>Быстрый</x:v>
      </x:c>
      <x:c r="M240" s="1" t="str">
        <x:f>IF('Данные'!E240&lt;'Дашборд'!$C$53,"Мало трафика",IF(J240&lt;'Дашборд'!$C$9*'Дашборд'!$C$54,"Да","Нет"))</x:f>
        <x:v>Нет</x:v>
      </x:c>
      <x:c r="N240" s="1" t="str">
        <x:f>IF(AND('Данные'!D240&gt;='Дашборд'!$C$55,D240&lt;'Дашборд'!$C$56,'Данные'!E240&gt;='Дашборд'!$C$53,'Данные'!L240&lt;&gt;"Да"),"Да","Нет")</x:f>
        <x:v>Да</x:v>
      </x:c>
      <x:c r="O240" s="1" t="str">
        <x:f>'Данные'!L240</x:f>
        <x:v>Нет</x:v>
      </x:c>
    </x:row>
    <x:row r="241">
      <x:c r="A241" s="1" t="str">
        <x:f>'Данные'!A241</x:f>
        <x:v>323186185</x:v>
      </x:c>
      <x:c r="B241" s="1" t="str">
        <x:f>'Данные'!B241</x:f>
        <x:v>futskims3K-102/пыльно-синий</x:v>
      </x:c>
      <x:c r="C241" s="8" t="n">
        <x:f>'Данные'!G241</x:f>
        <x:v>825768</x:v>
      </x:c>
      <x:c r="D241" s="15" t="n">
        <x:f>C241/SUM($C$5:$C$2477)</x:f>
        <x:v>0.0009646816896510402</x:v>
      </x:c>
      <x:c r="E241" s="15" t="n">
        <x:f>SUM($D$5:D241)</x:f>
        <x:v>0.649539856397116</x:v>
      </x:c>
      <x:c r="F241" s="1" t="str">
        <x:f>IF(C241&lt;=0,"C",IF(E241-D241&lt;'Дашборд'!$C$49,"A",IF(E241-D241&lt;'Дашборд'!$C$50,"B","C")))</x:f>
        <x:v>A</x:v>
      </x:c>
      <x:c r="G241" s="8" t="n">
        <x:f>'Данные'!F241</x:f>
        <x:v>1871</x:v>
      </x:c>
      <x:c r="H241" s="8" t="n">
        <x:f>SUM('Данные'!H241:I241)</x:f>
        <x:v>2525</x:v>
      </x:c>
      <x:c r="I241" s="16" t="n">
        <x:f>IF(H241&gt;0,G241/H241,"n.a.")</x:f>
        <x:v>0.740990099009901</x:v>
      </x:c>
      <x:c r="J241" s="10" t="n">
        <x:f>IF('Данные'!E241&gt;0,G241/'Данные'!E241,"n.a.")</x:f>
        <x:v>0.016791413135174914</x:v>
      </x:c>
      <x:c r="K241" s="1" t="str">
        <x:f>IF(G241&gt;='Дашборд'!$C$51,"X","Z")</x:f>
        <x:v>X</x:v>
      </x:c>
      <x:c r="L241" s="1" t="str">
        <x:f>IF(H241=0,IF(G241&gt;0,"Нет остатка","Нет спроса"),IF(I241&gt;='Дашборд'!$C$52,"Быстрый","Медленный"))</x:f>
        <x:v>Медленный</x:v>
      </x:c>
      <x:c r="M241" s="1" t="str">
        <x:f>IF('Данные'!E241&lt;'Дашборд'!$C$53,"Мало трафика",IF(J241&lt;'Дашборд'!$C$9*'Дашборд'!$C$54,"Да","Нет"))</x:f>
        <x:v>Нет</x:v>
      </x:c>
      <x:c r="N241" s="1" t="str">
        <x:f>IF(AND('Данные'!D241&gt;='Дашборд'!$C$55,D241&lt;'Дашборд'!$C$56,'Данные'!E241&gt;='Дашборд'!$C$53,'Данные'!L241&lt;&gt;"Да"),"Да","Нет")</x:f>
        <x:v>Нет</x:v>
      </x:c>
      <x:c r="O241" s="1" t="str">
        <x:f>'Данные'!L241</x:f>
        <x:v>Нет</x:v>
      </x:c>
    </x:row>
    <x:row r="242">
      <x:c r="A242" s="1" t="str">
        <x:f>'Данные'!A242</x:f>
        <x:v>229200081</x:v>
      </x:c>
      <x:c r="B242" s="1" t="str">
        <x:f>'Данные'!B242</x:f>
        <x:v>kroptop100/вареныйсерый</x:v>
      </x:c>
      <x:c r="C242" s="8" t="n">
        <x:f>'Данные'!G242</x:f>
        <x:v>825474</x:v>
      </x:c>
      <x:c r="D242" s="15" t="n">
        <x:f>C242/SUM($C$5:$C$2477)</x:f>
        <x:v>0.0009643382319041217</x:v>
      </x:c>
      <x:c r="E242" s="15" t="n">
        <x:f>SUM($D$5:D242)</x:f>
        <x:v>0.6505041946290201</x:v>
      </x:c>
      <x:c r="F242" s="1" t="str">
        <x:f>IF(C242&lt;=0,"C",IF(E242-D242&lt;'Дашборд'!$C$49,"A",IF(E242-D242&lt;'Дашборд'!$C$50,"B","C")))</x:f>
        <x:v>A</x:v>
      </x:c>
      <x:c r="G242" s="8" t="n">
        <x:f>'Данные'!F242</x:f>
        <x:v>1837</x:v>
      </x:c>
      <x:c r="H242" s="8" t="n">
        <x:f>SUM('Данные'!H242:I242)</x:f>
        <x:v>136</x:v>
      </x:c>
      <x:c r="I242" s="16" t="n">
        <x:f>IF(H242&gt;0,G242/H242,"n.a.")</x:f>
        <x:v>13.507352941176471</x:v>
      </x:c>
      <x:c r="J242" s="10" t="n">
        <x:f>IF('Данные'!E242&gt;0,G242/'Данные'!E242,"n.a.")</x:f>
        <x:v>0.016358989429439058</x:v>
      </x:c>
      <x:c r="K242" s="1" t="str">
        <x:f>IF(G242&gt;='Дашборд'!$C$51,"X","Z")</x:f>
        <x:v>X</x:v>
      </x:c>
      <x:c r="L242" s="1" t="str">
        <x:f>IF(H242=0,IF(G242&gt;0,"Нет остатка","Нет спроса"),IF(I242&gt;='Дашборд'!$C$52,"Быстрый","Медленный"))</x:f>
        <x:v>Быстрый</x:v>
      </x:c>
      <x:c r="M242" s="1" t="str">
        <x:f>IF('Данные'!E242&lt;'Дашборд'!$C$53,"Мало трафика",IF(J242&lt;'Дашборд'!$C$9*'Дашборд'!$C$54,"Да","Нет"))</x:f>
        <x:v>Нет</x:v>
      </x:c>
      <x:c r="N242" s="1" t="str">
        <x:f>IF(AND('Данные'!D242&gt;='Дашборд'!$C$55,D242&lt;'Дашборд'!$C$56,'Данные'!E242&gt;='Дашборд'!$C$53,'Данные'!L242&lt;&gt;"Да"),"Да","Нет")</x:f>
        <x:v>Да</x:v>
      </x:c>
      <x:c r="O242" s="1" t="str">
        <x:f>'Данные'!L242</x:f>
        <x:v>Нет</x:v>
      </x:c>
    </x:row>
    <x:row r="243">
      <x:c r="A243" s="1" t="str">
        <x:f>'Данные'!A243</x:f>
        <x:v>246363139</x:v>
      </x:c>
      <x:c r="B243" s="1" t="str">
        <x:f>'Данные'!B243</x:f>
        <x:v>tolstovkazip/кофейный</x:v>
      </x:c>
      <x:c r="C243" s="8" t="n">
        <x:f>'Данные'!G243</x:f>
        <x:v>824444</x:v>
      </x:c>
      <x:c r="D243" s="15" t="n">
        <x:f>C243/SUM($C$5:$C$2477)</x:f>
        <x:v>0.0009631349615662779</x:v>
      </x:c>
      <x:c r="E243" s="15" t="n">
        <x:f>SUM($D$5:D243)</x:f>
        <x:v>0.6514673295905864</x:v>
      </x:c>
      <x:c r="F243" s="1" t="str">
        <x:f>IF(C243&lt;=0,"C",IF(E243-D243&lt;'Дашборд'!$C$49,"A",IF(E243-D243&lt;'Дашборд'!$C$50,"B","C")))</x:f>
        <x:v>A</x:v>
      </x:c>
      <x:c r="G243" s="8" t="n">
        <x:f>'Данные'!F243</x:f>
        <x:v>683</x:v>
      </x:c>
      <x:c r="H243" s="8" t="n">
        <x:f>SUM('Данные'!H243:I243)</x:f>
        <x:v>135</x:v>
      </x:c>
      <x:c r="I243" s="16" t="n">
        <x:f>IF(H243&gt;0,G243/H243,"n.a.")</x:f>
        <x:v>5.059259259259259</x:v>
      </x:c>
      <x:c r="J243" s="10" t="n">
        <x:f>IF('Данные'!E243&gt;0,G243/'Данные'!E243,"n.a.")</x:f>
        <x:v>0.00971398500945798</x:v>
      </x:c>
      <x:c r="K243" s="1" t="str">
        <x:f>IF(G243&gt;='Дашборд'!$C$51,"X","Z")</x:f>
        <x:v>X</x:v>
      </x:c>
      <x:c r="L243" s="1" t="str">
        <x:f>IF(H243=0,IF(G243&gt;0,"Нет остатка","Нет спроса"),IF(I243&gt;='Дашборд'!$C$52,"Быстрый","Медленный"))</x:f>
        <x:v>Быстрый</x:v>
      </x:c>
      <x:c r="M243" s="1" t="str">
        <x:f>IF('Данные'!E243&lt;'Дашборд'!$C$53,"Мало трафика",IF(J243&lt;'Дашборд'!$C$9*'Дашборд'!$C$54,"Да","Нет"))</x:f>
        <x:v>Да</x:v>
      </x:c>
      <x:c r="N243" s="1" t="str">
        <x:f>IF(AND('Данные'!D243&gt;='Дашборд'!$C$55,D243&lt;'Дашборд'!$C$56,'Данные'!E243&gt;='Дашборд'!$C$53,'Данные'!L243&lt;&gt;"Да"),"Да","Нет")</x:f>
        <x:v>Да</x:v>
      </x:c>
      <x:c r="O243" s="1" t="str">
        <x:f>'Данные'!L243</x:f>
        <x:v>Нет</x:v>
      </x:c>
    </x:row>
    <x:row r="244">
      <x:c r="A244" s="1" t="str">
        <x:f>'Данные'!A244</x:f>
        <x:v>326825483</x:v>
      </x:c>
      <x:c r="B244" s="1" t="str">
        <x:f>'Данные'!B244</x:f>
        <x:v>futbolkaprint/BezhMoreSelf-279/коричневый</x:v>
      </x:c>
      <x:c r="C244" s="8" t="n">
        <x:f>'Данные'!G244</x:f>
        <x:v>822735</x:v>
      </x:c>
      <x:c r="D244" s="15" t="n">
        <x:f>C244/SUM($C$5:$C$2477)</x:f>
        <x:v>0.0009611384673843604</x:v>
      </x:c>
      <x:c r="E244" s="15" t="n">
        <x:f>SUM($D$5:D244)</x:f>
        <x:v>0.6524284680579707</x:v>
      </x:c>
      <x:c r="F244" s="1" t="str">
        <x:f>IF(C244&lt;=0,"C",IF(E244-D244&lt;'Дашборд'!$C$49,"A",IF(E244-D244&lt;'Дашборд'!$C$50,"B","C")))</x:f>
        <x:v>A</x:v>
      </x:c>
      <x:c r="G244" s="8" t="n">
        <x:f>'Данные'!F244</x:f>
        <x:v>1299</x:v>
      </x:c>
      <x:c r="H244" s="8" t="n">
        <x:f>SUM('Данные'!H244:I244)</x:f>
        <x:v>67</x:v>
      </x:c>
      <x:c r="I244" s="16" t="n">
        <x:f>IF(H244&gt;0,G244/H244,"n.a.")</x:f>
        <x:v>19.388059701492537</x:v>
      </x:c>
      <x:c r="J244" s="10" t="n">
        <x:f>IF('Данные'!E244&gt;0,G244/'Данные'!E244,"n.a.")</x:f>
        <x:v>0.014478538548133617</x:v>
      </x:c>
      <x:c r="K244" s="1" t="str">
        <x:f>IF(G244&gt;='Дашборд'!$C$51,"X","Z")</x:f>
        <x:v>X</x:v>
      </x:c>
      <x:c r="L244" s="1" t="str">
        <x:f>IF(H244=0,IF(G244&gt;0,"Нет остатка","Нет спроса"),IF(I244&gt;='Дашборд'!$C$52,"Быстрый","Медленный"))</x:f>
        <x:v>Быстрый</x:v>
      </x:c>
      <x:c r="M244" s="1" t="str">
        <x:f>IF('Данные'!E244&lt;'Дашборд'!$C$53,"Мало трафика",IF(J244&lt;'Дашборд'!$C$9*'Дашборд'!$C$54,"Да","Нет"))</x:f>
        <x:v>Нет</x:v>
      </x:c>
      <x:c r="N244" s="1" t="str">
        <x:f>IF(AND('Данные'!D244&gt;='Дашборд'!$C$55,D244&lt;'Дашборд'!$C$56,'Данные'!E244&gt;='Дашборд'!$C$53,'Данные'!L244&lt;&gt;"Да"),"Да","Нет")</x:f>
        <x:v>Нет</x:v>
      </x:c>
      <x:c r="O244" s="1" t="str">
        <x:f>'Данные'!L244</x:f>
        <x:v>Нет</x:v>
      </x:c>
    </x:row>
    <x:row r="245">
      <x:c r="A245" s="1" t="str">
        <x:f>'Данные'!A245</x:f>
        <x:v>237301006</x:v>
      </x:c>
      <x:c r="B245" s="1" t="str">
        <x:f>'Данные'!B245</x:f>
        <x:v>longoverprint/TheMovementClub-140/молочный</x:v>
      </x:c>
      <x:c r="C245" s="8" t="n">
        <x:f>'Данные'!G245</x:f>
        <x:v>820601</x:v>
      </x:c>
      <x:c r="D245" s="15" t="n">
        <x:f>C245/SUM($C$5:$C$2477)</x:f>
        <x:v>0.0009586454781601287</x:v>
      </x:c>
      <x:c r="E245" s="15" t="n">
        <x:f>SUM($D$5:D245)</x:f>
        <x:v>0.6533871135361309</x:v>
      </x:c>
      <x:c r="F245" s="1" t="str">
        <x:f>IF(C245&lt;=0,"C",IF(E245-D245&lt;'Дашборд'!$C$49,"A",IF(E245-D245&lt;'Дашборд'!$C$50,"B","C")))</x:f>
        <x:v>A</x:v>
      </x:c>
      <x:c r="G245" s="8" t="n">
        <x:f>'Данные'!F245</x:f>
        <x:v>1291</x:v>
      </x:c>
      <x:c r="H245" s="8" t="n">
        <x:f>SUM('Данные'!H245:I245)</x:f>
        <x:v>366</x:v>
      </x:c>
      <x:c r="I245" s="16" t="n">
        <x:f>IF(H245&gt;0,G245/H245,"n.a.")</x:f>
        <x:v>3.5273224043715845</x:v>
      </x:c>
      <x:c r="J245" s="10" t="n">
        <x:f>IF('Данные'!E245&gt;0,G245/'Данные'!E245,"n.a.")</x:f>
        <x:v>0.01509870883233533</x:v>
      </x:c>
      <x:c r="K245" s="1" t="str">
        <x:f>IF(G245&gt;='Дашборд'!$C$51,"X","Z")</x:f>
        <x:v>X</x:v>
      </x:c>
      <x:c r="L245" s="1" t="str">
        <x:f>IF(H245=0,IF(G245&gt;0,"Нет остатка","Нет спроса"),IF(I245&gt;='Дашборд'!$C$52,"Быстрый","Медленный"))</x:f>
        <x:v>Быстрый</x:v>
      </x:c>
      <x:c r="M245" s="1" t="str">
        <x:f>IF('Данные'!E245&lt;'Дашборд'!$C$53,"Мало трафика",IF(J245&lt;'Дашборд'!$C$9*'Дашборд'!$C$54,"Да","Нет"))</x:f>
        <x:v>Нет</x:v>
      </x:c>
      <x:c r="N245" s="1" t="str">
        <x:f>IF(AND('Данные'!D245&gt;='Дашборд'!$C$55,D245&lt;'Дашборд'!$C$56,'Данные'!E245&gt;='Дашборд'!$C$53,'Данные'!L245&lt;&gt;"Да"),"Да","Нет")</x:f>
        <x:v>Да</x:v>
      </x:c>
      <x:c r="O245" s="1" t="str">
        <x:f>'Данные'!L245</x:f>
        <x:v>Нет</x:v>
      </x:c>
    </x:row>
    <x:row r="246">
      <x:c r="A246" s="1" t="str">
        <x:f>'Данные'!A246</x:f>
        <x:v>260797904</x:v>
      </x:c>
      <x:c r="B246" s="1" t="str">
        <x:f>'Данные'!B246</x:f>
        <x:v>hudicrop1/темно-синий</x:v>
      </x:c>
      <x:c r="C246" s="8" t="n">
        <x:f>'Данные'!G246</x:f>
        <x:v>820216</x:v>
      </x:c>
      <x:c r="D246" s="15" t="n">
        <x:f>C246/SUM($C$5:$C$2477)</x:f>
        <x:v>0.0009581957120629736</x:v>
      </x:c>
      <x:c r="E246" s="15" t="n">
        <x:f>SUM($D$5:D246)</x:f>
        <x:v>0.6543453092481939</x:v>
      </x:c>
      <x:c r="F246" s="1" t="str">
        <x:f>IF(C246&lt;=0,"C",IF(E246-D246&lt;'Дашборд'!$C$49,"A",IF(E246-D246&lt;'Дашборд'!$C$50,"B","C")))</x:f>
        <x:v>A</x:v>
      </x:c>
      <x:c r="G246" s="8" t="n">
        <x:f>'Данные'!F246</x:f>
        <x:v>766</x:v>
      </x:c>
      <x:c r="H246" s="8" t="n">
        <x:f>SUM('Данные'!H246:I246)</x:f>
        <x:v>133</x:v>
      </x:c>
      <x:c r="I246" s="16" t="n">
        <x:f>IF(H246&gt;0,G246/H246,"n.a.")</x:f>
        <x:v>5.7593984962406015</x:v>
      </x:c>
      <x:c r="J246" s="10" t="n">
        <x:f>IF('Данные'!E246&gt;0,G246/'Данные'!E246,"n.a.")</x:f>
        <x:v>0.011887580117013517</x:v>
      </x:c>
      <x:c r="K246" s="1" t="str">
        <x:f>IF(G246&gt;='Дашборд'!$C$51,"X","Z")</x:f>
        <x:v>X</x:v>
      </x:c>
      <x:c r="L246" s="1" t="str">
        <x:f>IF(H246=0,IF(G246&gt;0,"Нет остатка","Нет спроса"),IF(I246&gt;='Дашборд'!$C$52,"Быстрый","Медленный"))</x:f>
        <x:v>Быстрый</x:v>
      </x:c>
      <x:c r="M246" s="1" t="str">
        <x:f>IF('Данные'!E246&lt;'Дашборд'!$C$53,"Мало трафика",IF(J246&lt;'Дашборд'!$C$9*'Дашборд'!$C$54,"Да","Нет"))</x:f>
        <x:v>Нет</x:v>
      </x:c>
      <x:c r="N246" s="1" t="str">
        <x:f>IF(AND('Данные'!D246&gt;='Дашборд'!$C$55,D246&lt;'Дашборд'!$C$56,'Данные'!E246&gt;='Дашборд'!$C$53,'Данные'!L246&lt;&gt;"Да"),"Да","Нет")</x:f>
        <x:v>Нет</x:v>
      </x:c>
      <x:c r="O246" s="1" t="str">
        <x:f>'Данные'!L246</x:f>
        <x:v>Нет</x:v>
      </x:c>
    </x:row>
    <x:row r="247">
      <x:c r="A247" s="1" t="str">
        <x:f>'Данные'!A247</x:f>
        <x:v>222802036</x:v>
      </x:c>
      <x:c r="B247" s="1" t="str">
        <x:f>'Данные'!B247</x:f>
        <x:v>hudipetl/светло-розовый</x:v>
      </x:c>
      <x:c r="C247" s="8" t="n">
        <x:f>'Данные'!G247</x:f>
        <x:v>818835</x:v>
      </x:c>
      <x:c r="D247" s="15" t="n">
        <x:f>C247/SUM($C$5:$C$2477)</x:f>
        <x:v>0.0009565823952313598</x:v>
      </x:c>
      <x:c r="E247" s="15" t="n">
        <x:f>SUM($D$5:D247)</x:f>
        <x:v>0.6553018916434252</x:v>
      </x:c>
      <x:c r="F247" s="1" t="str">
        <x:f>IF(C247&lt;=0,"C",IF(E247-D247&lt;'Дашборд'!$C$49,"A",IF(E247-D247&lt;'Дашборд'!$C$50,"B","C")))</x:f>
        <x:v>A</x:v>
      </x:c>
      <x:c r="G247" s="8" t="n">
        <x:f>'Данные'!F247</x:f>
        <x:v>617</x:v>
      </x:c>
      <x:c r="H247" s="8" t="n">
        <x:f>SUM('Данные'!H247:I247)</x:f>
        <x:v>2</x:v>
      </x:c>
      <x:c r="I247" s="16" t="n">
        <x:f>IF(H247&gt;0,G247/H247,"n.a.")</x:f>
        <x:v>308.5</x:v>
      </x:c>
      <x:c r="J247" s="10" t="n">
        <x:f>IF('Данные'!E247&gt;0,G247/'Данные'!E247,"n.a.")</x:f>
        <x:v>0.014626398634553384</x:v>
      </x:c>
      <x:c r="K247" s="1" t="str">
        <x:f>IF(G247&gt;='Дашборд'!$C$51,"X","Z")</x:f>
        <x:v>X</x:v>
      </x:c>
      <x:c r="L247" s="1" t="str">
        <x:f>IF(H247=0,IF(G247&gt;0,"Нет остатка","Нет спроса"),IF(I247&gt;='Дашборд'!$C$52,"Быстрый","Медленный"))</x:f>
        <x:v>Быстрый</x:v>
      </x:c>
      <x:c r="M247" s="1" t="str">
        <x:f>IF('Данные'!E247&lt;'Дашборд'!$C$53,"Мало трафика",IF(J247&lt;'Дашборд'!$C$9*'Дашборд'!$C$54,"Да","Нет"))</x:f>
        <x:v>Нет</x:v>
      </x:c>
      <x:c r="N247" s="1" t="str">
        <x:f>IF(AND('Данные'!D247&gt;='Дашборд'!$C$55,D247&lt;'Дашборд'!$C$56,'Данные'!E247&gt;='Дашборд'!$C$53,'Данные'!L247&lt;&gt;"Да"),"Да","Нет")</x:f>
        <x:v>Нет</x:v>
      </x:c>
      <x:c r="O247" s="1" t="str">
        <x:f>'Данные'!L247</x:f>
        <x:v>Нет</x:v>
      </x:c>
    </x:row>
    <x:row r="248">
      <x:c r="A248" s="1" t="str">
        <x:f>'Данные'!A248</x:f>
        <x:v>145845808</x:v>
      </x:c>
      <x:c r="B248" s="1" t="str">
        <x:f>'Данные'!B248</x:f>
        <x:v>svitshotman/молочный</x:v>
      </x:c>
      <x:c r="C248" s="8" t="n">
        <x:f>'Данные'!G248</x:f>
        <x:v>818622</x:v>
      </x:c>
      <x:c r="D248" s="15" t="n">
        <x:f>C248/SUM($C$5:$C$2477)</x:f>
        <x:v>0.0009563335635983882</x:v>
      </x:c>
      <x:c r="E248" s="15" t="n">
        <x:f>SUM($D$5:D248)</x:f>
        <x:v>0.6562582252070236</x:v>
      </x:c>
      <x:c r="F248" s="1" t="str">
        <x:f>IF(C248&lt;=0,"C",IF(E248-D248&lt;'Дашборд'!$C$49,"A",IF(E248-D248&lt;'Дашборд'!$C$50,"B","C")))</x:f>
        <x:v>A</x:v>
      </x:c>
      <x:c r="G248" s="8" t="n">
        <x:f>'Данные'!F248</x:f>
        <x:v>953</x:v>
      </x:c>
      <x:c r="H248" s="8" t="n">
        <x:f>SUM('Данные'!H248:I248)</x:f>
        <x:v>185</x:v>
      </x:c>
      <x:c r="I248" s="16" t="n">
        <x:f>IF(H248&gt;0,G248/H248,"n.a.")</x:f>
        <x:v>5.151351351351352</x:v>
      </x:c>
      <x:c r="J248" s="10" t="n">
        <x:f>IF('Данные'!E248&gt;0,G248/'Данные'!E248,"n.a.")</x:f>
        <x:v>0.02852524768774881</x:v>
      </x:c>
      <x:c r="K248" s="1" t="str">
        <x:f>IF(G248&gt;='Дашборд'!$C$51,"X","Z")</x:f>
        <x:v>X</x:v>
      </x:c>
      <x:c r="L248" s="1" t="str">
        <x:f>IF(H248=0,IF(G248&gt;0,"Нет остатка","Нет спроса"),IF(I248&gt;='Дашборд'!$C$52,"Быстрый","Медленный"))</x:f>
        <x:v>Быстрый</x:v>
      </x:c>
      <x:c r="M248" s="1" t="str">
        <x:f>IF('Данные'!E248&lt;'Дашборд'!$C$53,"Мало трафика",IF(J248&lt;'Дашборд'!$C$9*'Дашборд'!$C$54,"Да","Нет"))</x:f>
        <x:v>Нет</x:v>
      </x:c>
      <x:c r="N248" s="1" t="str">
        <x:f>IF(AND('Данные'!D248&gt;='Дашборд'!$C$55,D248&lt;'Дашборд'!$C$56,'Данные'!E248&gt;='Дашборд'!$C$53,'Данные'!L248&lt;&gt;"Да"),"Да","Нет")</x:f>
        <x:v>Нет</x:v>
      </x:c>
      <x:c r="O248" s="1" t="str">
        <x:f>'Данные'!L248</x:f>
        <x:v>Нет</x:v>
      </x:c>
    </x:row>
    <x:row r="249">
      <x:c r="A249" s="1" t="str">
        <x:f>'Данные'!A249</x:f>
        <x:v>229154432</x:v>
      </x:c>
      <x:c r="B249" s="1" t="str">
        <x:f>'Данные'!B249</x:f>
        <x:v>futbolkamanX3/чер-бел-хак</x:v>
      </x:c>
      <x:c r="C249" s="8" t="n">
        <x:f>'Данные'!G249</x:f>
        <x:v>806625</x:v>
      </x:c>
      <x:c r="D249" s="15" t="n">
        <x:f>C249/SUM($C$5:$C$2477)</x:f>
        <x:v>0.0009423183847215807</x:v>
      </x:c>
      <x:c r="E249" s="15" t="n">
        <x:f>SUM($D$5:D249)</x:f>
        <x:v>0.6572005435917452</x:v>
      </x:c>
      <x:c r="F249" s="1" t="str">
        <x:f>IF(C249&lt;=0,"C",IF(E249-D249&lt;'Дашборд'!$C$49,"A",IF(E249-D249&lt;'Дашборд'!$C$50,"B","C")))</x:f>
        <x:v>A</x:v>
      </x:c>
      <x:c r="G249" s="8" t="n">
        <x:f>'Данные'!F249</x:f>
        <x:v>726</x:v>
      </x:c>
      <x:c r="H249" s="8" t="n">
        <x:f>SUM('Данные'!H249:I249)</x:f>
        <x:v>28</x:v>
      </x:c>
      <x:c r="I249" s="16" t="n">
        <x:f>IF(H249&gt;0,G249/H249,"n.a.")</x:f>
        <x:v>25.928571428571427</x:v>
      </x:c>
      <x:c r="J249" s="10" t="n">
        <x:f>IF('Данные'!E249&gt;0,G249/'Данные'!E249,"n.a.")</x:f>
        <x:v>0.02229250468265422</x:v>
      </x:c>
      <x:c r="K249" s="1" t="str">
        <x:f>IF(G249&gt;='Дашборд'!$C$51,"X","Z")</x:f>
        <x:v>X</x:v>
      </x:c>
      <x:c r="L249" s="1" t="str">
        <x:f>IF(H249=0,IF(G249&gt;0,"Нет остатка","Нет спроса"),IF(I249&gt;='Дашборд'!$C$52,"Быстрый","Медленный"))</x:f>
        <x:v>Быстрый</x:v>
      </x:c>
      <x:c r="M249" s="1" t="str">
        <x:f>IF('Данные'!E249&lt;'Дашборд'!$C$53,"Мало трафика",IF(J249&lt;'Дашборд'!$C$9*'Дашборд'!$C$54,"Да","Нет"))</x:f>
        <x:v>Нет</x:v>
      </x:c>
      <x:c r="N249" s="1" t="str">
        <x:f>IF(AND('Данные'!D249&gt;='Дашборд'!$C$55,D249&lt;'Дашборд'!$C$56,'Данные'!E249&gt;='Дашборд'!$C$53,'Данные'!L249&lt;&gt;"Да"),"Да","Нет")</x:f>
        <x:v>Нет</x:v>
      </x:c>
      <x:c r="O249" s="1" t="str">
        <x:f>'Данные'!L249</x:f>
        <x:v>Нет</x:v>
      </x:c>
    </x:row>
    <x:row r="250">
      <x:c r="A250" s="1" t="str">
        <x:f>'Данные'!A250</x:f>
        <x:v>336303914</x:v>
      </x:c>
      <x:c r="B250" s="1" t="str">
        <x:f>'Данные'!B250</x:f>
        <x:v>futbolka_mary/розовый</x:v>
      </x:c>
      <x:c r="C250" s="8" t="n">
        <x:f>'Данные'!G250</x:f>
        <x:v>806044</x:v>
      </x:c>
      <x:c r="D250" s="15" t="n">
        <x:f>C250/SUM($C$5:$C$2477)</x:f>
        <x:v>0.0009416396467931466</x:v>
      </x:c>
      <x:c r="E250" s="15" t="n">
        <x:f>SUM($D$5:D250)</x:f>
        <x:v>0.6581421832385383</x:v>
      </x:c>
      <x:c r="F250" s="1" t="str">
        <x:f>IF(C250&lt;=0,"C",IF(E250-D250&lt;'Дашборд'!$C$49,"A",IF(E250-D250&lt;'Дашборд'!$C$50,"B","C")))</x:f>
        <x:v>A</x:v>
      </x:c>
      <x:c r="G250" s="8" t="n">
        <x:f>'Данные'!F250</x:f>
        <x:v>2054</x:v>
      </x:c>
      <x:c r="H250" s="8" t="n">
        <x:f>SUM('Данные'!H250:I250)</x:f>
        <x:v>36</x:v>
      </x:c>
      <x:c r="I250" s="16" t="n">
        <x:f>IF(H250&gt;0,G250/H250,"n.a.")</x:f>
        <x:v>57.05555555555556</x:v>
      </x:c>
      <x:c r="J250" s="10" t="n">
        <x:f>IF('Данные'!E250&gt;0,G250/'Данные'!E250,"n.a.")</x:f>
        <x:v>0.027613094037776433</x:v>
      </x:c>
      <x:c r="K250" s="1" t="str">
        <x:f>IF(G250&gt;='Дашборд'!$C$51,"X","Z")</x:f>
        <x:v>X</x:v>
      </x:c>
      <x:c r="L250" s="1" t="str">
        <x:f>IF(H250=0,IF(G250&gt;0,"Нет остатка","Нет спроса"),IF(I250&gt;='Дашборд'!$C$52,"Быстрый","Медленный"))</x:f>
        <x:v>Быстрый</x:v>
      </x:c>
      <x:c r="M250" s="1" t="str">
        <x:f>IF('Данные'!E250&lt;'Дашборд'!$C$53,"Мало трафика",IF(J250&lt;'Дашборд'!$C$9*'Дашборд'!$C$54,"Да","Нет"))</x:f>
        <x:v>Нет</x:v>
      </x:c>
      <x:c r="N250" s="1" t="str">
        <x:f>IF(AND('Данные'!D250&gt;='Дашборд'!$C$55,D250&lt;'Дашборд'!$C$56,'Данные'!E250&gt;='Дашборд'!$C$53,'Данные'!L250&lt;&gt;"Да"),"Да","Нет")</x:f>
        <x:v>Нет</x:v>
      </x:c>
      <x:c r="O250" s="1" t="str">
        <x:f>'Данные'!L250</x:f>
        <x:v>Нет</x:v>
      </x:c>
    </x:row>
    <x:row r="251">
      <x:c r="A251" s="1" t="str">
        <x:f>'Данные'!A251</x:f>
        <x:v>311071837</x:v>
      </x:c>
      <x:c r="B251" s="1" t="str">
        <x:f>'Данные'!B251</x:f>
        <x:v>brukipetl/дымка</x:v>
      </x:c>
      <x:c r="C251" s="8" t="n">
        <x:f>'Данные'!G251</x:f>
        <x:v>801816</x:v>
      </x:c>
      <x:c r="D251" s="15" t="n">
        <x:f>C251/SUM($C$5:$C$2477)</x:f>
        <x:v>0.0009367003972898422</x:v>
      </x:c>
      <x:c r="E251" s="15" t="n">
        <x:f>SUM($D$5:D251)</x:f>
        <x:v>0.6590788836358282</x:v>
      </x:c>
      <x:c r="F251" s="1" t="str">
        <x:f>IF(C251&lt;=0,"C",IF(E251-D251&lt;'Дашборд'!$C$49,"A",IF(E251-D251&lt;'Дашборд'!$C$50,"B","C")))</x:f>
        <x:v>A</x:v>
      </x:c>
      <x:c r="G251" s="8" t="n">
        <x:f>'Данные'!F251</x:f>
        <x:v>1258</x:v>
      </x:c>
      <x:c r="H251" s="8" t="n">
        <x:f>SUM('Данные'!H251:I251)</x:f>
        <x:v>115</x:v>
      </x:c>
      <x:c r="I251" s="16" t="n">
        <x:f>IF(H251&gt;0,G251/H251,"n.a.")</x:f>
        <x:v>10.939130434782609</x:v>
      </x:c>
      <x:c r="J251" s="10" t="n">
        <x:f>IF('Данные'!E251&gt;0,G251/'Данные'!E251,"n.a.")</x:f>
        <x:v>0.016441650438487578</x:v>
      </x:c>
      <x:c r="K251" s="1" t="str">
        <x:f>IF(G251&gt;='Дашборд'!$C$51,"X","Z")</x:f>
        <x:v>X</x:v>
      </x:c>
      <x:c r="L251" s="1" t="str">
        <x:f>IF(H251=0,IF(G251&gt;0,"Нет остатка","Нет спроса"),IF(I251&gt;='Дашборд'!$C$52,"Быстрый","Медленный"))</x:f>
        <x:v>Быстрый</x:v>
      </x:c>
      <x:c r="M251" s="1" t="str">
        <x:f>IF('Данные'!E251&lt;'Дашборд'!$C$53,"Мало трафика",IF(J251&lt;'Дашборд'!$C$9*'Дашборд'!$C$54,"Да","Нет"))</x:f>
        <x:v>Нет</x:v>
      </x:c>
      <x:c r="N251" s="1" t="str">
        <x:f>IF(AND('Данные'!D251&gt;='Дашборд'!$C$55,D251&lt;'Дашборд'!$C$56,'Данные'!E251&gt;='Дашборд'!$C$53,'Данные'!L251&lt;&gt;"Да"),"Да","Нет")</x:f>
        <x:v>Нет</x:v>
      </x:c>
      <x:c r="O251" s="1" t="str">
        <x:f>'Данные'!L251</x:f>
        <x:v>Нет</x:v>
      </x:c>
    </x:row>
    <x:row r="252">
      <x:c r="A252" s="1" t="str">
        <x:f>'Данные'!A252</x:f>
        <x:v>165757800</x:v>
      </x:c>
      <x:c r="B252" s="1" t="str">
        <x:f>'Данные'!B252</x:f>
        <x:v>kulirkaman/пудровый</x:v>
      </x:c>
      <x:c r="C252" s="8" t="n">
        <x:f>'Данные'!G252</x:f>
        <x:v>799404</x:v>
      </x:c>
      <x:c r="D252" s="15" t="n">
        <x:f>C252/SUM($C$5:$C$2477)</x:f>
        <x:v>0.0009338826418967556</x:v>
      </x:c>
      <x:c r="E252" s="15" t="n">
        <x:f>SUM($D$5:D252)</x:f>
        <x:v>0.660012766277725</x:v>
      </x:c>
      <x:c r="F252" s="1" t="str">
        <x:f>IF(C252&lt;=0,"C",IF(E252-D252&lt;'Дашборд'!$C$49,"A",IF(E252-D252&lt;'Дашборд'!$C$50,"B","C")))</x:f>
        <x:v>A</x:v>
      </x:c>
      <x:c r="G252" s="8" t="n">
        <x:f>'Данные'!F252</x:f>
        <x:v>1748</x:v>
      </x:c>
      <x:c r="H252" s="8" t="n">
        <x:f>SUM('Данные'!H252:I252)</x:f>
        <x:v>1340</x:v>
      </x:c>
      <x:c r="I252" s="16" t="n">
        <x:f>IF(H252&gt;0,G252/H252,"n.a.")</x:f>
        <x:v>1.3044776119402985</x:v>
      </x:c>
      <x:c r="J252" s="10" t="n">
        <x:f>IF('Данные'!E252&gt;0,G252/'Данные'!E252,"n.a.")</x:f>
        <x:v>0.045687401986408784</x:v>
      </x:c>
      <x:c r="K252" s="1" t="str">
        <x:f>IF(G252&gt;='Дашборд'!$C$51,"X","Z")</x:f>
        <x:v>X</x:v>
      </x:c>
      <x:c r="L252" s="1" t="str">
        <x:f>IF(H252=0,IF(G252&gt;0,"Нет остатка","Нет спроса"),IF(I252&gt;='Дашборд'!$C$52,"Быстрый","Медленный"))</x:f>
        <x:v>Быстрый</x:v>
      </x:c>
      <x:c r="M252" s="1" t="str">
        <x:f>IF('Данные'!E252&lt;'Дашборд'!$C$53,"Мало трафика",IF(J252&lt;'Дашборд'!$C$9*'Дашборд'!$C$54,"Да","Нет"))</x:f>
        <x:v>Нет</x:v>
      </x:c>
      <x:c r="N252" s="1" t="str">
        <x:f>IF(AND('Данные'!D252&gt;='Дашборд'!$C$55,D252&lt;'Дашборд'!$C$56,'Данные'!E252&gt;='Дашборд'!$C$53,'Данные'!L252&lt;&gt;"Да"),"Да","Нет")</x:f>
        <x:v>Нет</x:v>
      </x:c>
      <x:c r="O252" s="1" t="str">
        <x:f>'Данные'!L252</x:f>
        <x:v>Нет</x:v>
      </x:c>
    </x:row>
    <x:row r="253">
      <x:c r="A253" s="1" t="str">
        <x:f>'Данные'!A253</x:f>
        <x:v>289092413</x:v>
      </x:c>
      <x:c r="B253" s="1" t="str">
        <x:f>'Данные'!B253</x:f>
        <x:v>hudicropman4F-67/серыймеланж2</x:v>
      </x:c>
      <x:c r="C253" s="8" t="n">
        <x:f>'Данные'!G253</x:f>
        <x:v>798197</x:v>
      </x:c>
      <x:c r="D253" s="15" t="n">
        <x:f>C253/SUM($C$5:$C$2477)</x:f>
        <x:v>0.0009324725959765834</x:v>
      </x:c>
      <x:c r="E253" s="15" t="n">
        <x:f>SUM($D$5:D253)</x:f>
        <x:v>0.6609452388737016</x:v>
      </x:c>
      <x:c r="F253" s="1" t="str">
        <x:f>IF(C253&lt;=0,"C",IF(E253-D253&lt;'Дашборд'!$C$49,"A",IF(E253-D253&lt;'Дашборд'!$C$50,"B","C")))</x:f>
        <x:v>A</x:v>
      </x:c>
      <x:c r="G253" s="8" t="n">
        <x:f>'Данные'!F253</x:f>
        <x:v>809</x:v>
      </x:c>
      <x:c r="H253" s="8" t="n">
        <x:f>SUM('Данные'!H253:I253)</x:f>
        <x:v>35</x:v>
      </x:c>
      <x:c r="I253" s="16" t="n">
        <x:f>IF(H253&gt;0,G253/H253,"n.a.")</x:f>
        <x:v>23.114285714285714</x:v>
      </x:c>
      <x:c r="J253" s="10" t="n">
        <x:f>IF('Данные'!E253&gt;0,G253/'Данные'!E253,"n.a.")</x:f>
        <x:v>0.02071172555043523</x:v>
      </x:c>
      <x:c r="K253" s="1" t="str">
        <x:f>IF(G253&gt;='Дашборд'!$C$51,"X","Z")</x:f>
        <x:v>X</x:v>
      </x:c>
      <x:c r="L253" s="1" t="str">
        <x:f>IF(H253=0,IF(G253&gt;0,"Нет остатка","Нет спроса"),IF(I253&gt;='Дашборд'!$C$52,"Быстрый","Медленный"))</x:f>
        <x:v>Быстрый</x:v>
      </x:c>
      <x:c r="M253" s="1" t="str">
        <x:f>IF('Данные'!E253&lt;'Дашборд'!$C$53,"Мало трафика",IF(J253&lt;'Дашборд'!$C$9*'Дашборд'!$C$54,"Да","Нет"))</x:f>
        <x:v>Нет</x:v>
      </x:c>
      <x:c r="N253" s="1" t="str">
        <x:f>IF(AND('Данные'!D253&gt;='Дашборд'!$C$55,D253&lt;'Дашборд'!$C$56,'Данные'!E253&gt;='Дашборд'!$C$53,'Данные'!L253&lt;&gt;"Да"),"Да","Нет")</x:f>
        <x:v>Да</x:v>
      </x:c>
      <x:c r="O253" s="1" t="str">
        <x:f>'Данные'!L253</x:f>
        <x:v>Нет</x:v>
      </x:c>
    </x:row>
    <x:row r="254">
      <x:c r="A254" s="1" t="str">
        <x:f>'Данные'!A254</x:f>
        <x:v>269989154</x:v>
      </x:c>
      <x:c r="B254" s="1" t="str">
        <x:f>'Данные'!B254</x:f>
        <x:v>hudiprint/BelMoreSelf-114/бордовый</x:v>
      </x:c>
      <x:c r="C254" s="8" t="n">
        <x:f>'Данные'!G254</x:f>
        <x:v>795932</x:v>
      </x:c>
      <x:c r="D254" s="15" t="n">
        <x:f>C254/SUM($C$5:$C$2477)</x:f>
        <x:v>0.0009298265694569561</x:v>
      </x:c>
      <x:c r="E254" s="15" t="n">
        <x:f>SUM($D$5:D254)</x:f>
        <x:v>0.6618750654431586</x:v>
      </x:c>
      <x:c r="F254" s="1" t="str">
        <x:f>IF(C254&lt;=0,"C",IF(E254-D254&lt;'Дашборд'!$C$49,"A",IF(E254-D254&lt;'Дашборд'!$C$50,"B","C")))</x:f>
        <x:v>A</x:v>
      </x:c>
      <x:c r="G254" s="8" t="n">
        <x:f>'Данные'!F254</x:f>
        <x:v>581</x:v>
      </x:c>
      <x:c r="H254" s="8" t="n">
        <x:f>SUM('Данные'!H254:I254)</x:f>
        <x:v>174</x:v>
      </x:c>
      <x:c r="I254" s="16" t="n">
        <x:f>IF(H254&gt;0,G254/H254,"n.a.")</x:f>
        <x:v>3.339080459770115</x:v>
      </x:c>
      <x:c r="J254" s="10" t="n">
        <x:f>IF('Данные'!E254&gt;0,G254/'Данные'!E254,"n.a.")</x:f>
        <x:v>0.012057944545907355</x:v>
      </x:c>
      <x:c r="K254" s="1" t="str">
        <x:f>IF(G254&gt;='Дашборд'!$C$51,"X","Z")</x:f>
        <x:v>X</x:v>
      </x:c>
      <x:c r="L254" s="1" t="str">
        <x:f>IF(H254=0,IF(G254&gt;0,"Нет остатка","Нет спроса"),IF(I254&gt;='Дашборд'!$C$52,"Быстрый","Медленный"))</x:f>
        <x:v>Быстрый</x:v>
      </x:c>
      <x:c r="M254" s="1" t="str">
        <x:f>IF('Данные'!E254&lt;'Дашборд'!$C$53,"Мало трафика",IF(J254&lt;'Дашборд'!$C$9*'Дашборд'!$C$54,"Да","Нет"))</x:f>
        <x:v>Нет</x:v>
      </x:c>
      <x:c r="N254" s="1" t="str">
        <x:f>IF(AND('Данные'!D254&gt;='Дашборд'!$C$55,D254&lt;'Дашборд'!$C$56,'Данные'!E254&gt;='Дашборд'!$C$53,'Данные'!L254&lt;&gt;"Да"),"Да","Нет")</x:f>
        <x:v>Нет</x:v>
      </x:c>
      <x:c r="O254" s="1" t="str">
        <x:f>'Данные'!L254</x:f>
        <x:v>Нет</x:v>
      </x:c>
    </x:row>
    <x:row r="255">
      <x:c r="A255" s="1" t="str">
        <x:f>'Данные'!A255</x:f>
        <x:v>368704658</x:v>
      </x:c>
      <x:c r="B255" s="1" t="str">
        <x:f>'Данные'!B255</x:f>
        <x:v>futskimsX2/дым-чер</x:v>
      </x:c>
      <x:c r="C255" s="8" t="n">
        <x:f>'Данные'!G255</x:f>
        <x:v>794598</x:v>
      </x:c>
      <x:c r="D255" s="15" t="n">
        <x:f>C255/SUM($C$5:$C$2477)</x:f>
        <x:v>0.000928268159135904</x:v>
      </x:c>
      <x:c r="E255" s="15" t="n">
        <x:f>SUM($D$5:D255)</x:f>
        <x:v>0.6628033336022945</x:v>
      </x:c>
      <x:c r="F255" s="1" t="str">
        <x:f>IF(C255&lt;=0,"C",IF(E255-D255&lt;'Дашборд'!$C$49,"A",IF(E255-D255&lt;'Дашборд'!$C$50,"B","C")))</x:f>
        <x:v>A</x:v>
      </x:c>
      <x:c r="G255" s="8" t="n">
        <x:f>'Данные'!F255</x:f>
        <x:v>623</x:v>
      </x:c>
      <x:c r="H255" s="8" t="n">
        <x:f>SUM('Данные'!H255:I255)</x:f>
        <x:v>219</x:v>
      </x:c>
      <x:c r="I255" s="16" t="n">
        <x:f>IF(H255&gt;0,G255/H255,"n.a.")</x:f>
        <x:v>2.8447488584474887</x:v>
      </x:c>
      <x:c r="J255" s="10" t="n">
        <x:f>IF('Данные'!E255&gt;0,G255/'Данные'!E255,"n.a.")</x:f>
        <x:v>0.008913752646940994</x:v>
      </x:c>
      <x:c r="K255" s="1" t="str">
        <x:f>IF(G255&gt;='Дашборд'!$C$51,"X","Z")</x:f>
        <x:v>X</x:v>
      </x:c>
      <x:c r="L255" s="1" t="str">
        <x:f>IF(H255=0,IF(G255&gt;0,"Нет остатка","Нет спроса"),IF(I255&gt;='Дашборд'!$C$52,"Быстрый","Медленный"))</x:f>
        <x:v>Быстрый</x:v>
      </x:c>
      <x:c r="M255" s="1" t="str">
        <x:f>IF('Данные'!E255&lt;'Дашборд'!$C$53,"Мало трафика",IF(J255&lt;'Дашборд'!$C$9*'Дашборд'!$C$54,"Да","Нет"))</x:f>
        <x:v>Да</x:v>
      </x:c>
      <x:c r="N255" s="1" t="str">
        <x:f>IF(AND('Данные'!D255&gt;='Дашборд'!$C$55,D255&lt;'Дашборд'!$C$56,'Данные'!E255&gt;='Дашборд'!$C$53,'Данные'!L255&lt;&gt;"Да"),"Да","Нет")</x:f>
        <x:v>Нет</x:v>
      </x:c>
      <x:c r="O255" s="1" t="str">
        <x:f>'Данные'!L255</x:f>
        <x:v>Нет</x:v>
      </x:c>
    </x:row>
    <x:row r="256">
      <x:c r="A256" s="1" t="str">
        <x:f>'Данные'!A256</x:f>
        <x:v>320870099</x:v>
      </x:c>
      <x:c r="B256" s="1" t="str">
        <x:f>'Данные'!B256</x:f>
        <x:v>kostyumfix3P-37-63/молочный</x:v>
      </x:c>
      <x:c r="C256" s="8" t="n">
        <x:f>'Данные'!G256</x:f>
        <x:v>790143</x:v>
      </x:c>
      <x:c r="D256" s="15" t="n">
        <x:f>C256/SUM($C$5:$C$2477)</x:f>
        <x:v>0.0009230637228688225</x:v>
      </x:c>
      <x:c r="E256" s="15" t="n">
        <x:f>SUM($D$5:D256)</x:f>
        <x:v>0.6637263973251634</x:v>
      </x:c>
      <x:c r="F256" s="1" t="str">
        <x:f>IF(C256&lt;=0,"C",IF(E256-D256&lt;'Дашборд'!$C$49,"A",IF(E256-D256&lt;'Дашборд'!$C$50,"B","C")))</x:f>
        <x:v>A</x:v>
      </x:c>
      <x:c r="G256" s="8" t="n">
        <x:f>'Данные'!F256</x:f>
        <x:v>894</x:v>
      </x:c>
      <x:c r="H256" s="8" t="n">
        <x:f>SUM('Данные'!H256:I256)</x:f>
        <x:v>147</x:v>
      </x:c>
      <x:c r="I256" s="16" t="n">
        <x:f>IF(H256&gt;0,G256/H256,"n.a.")</x:f>
        <x:v>6.081632653061225</x:v>
      </x:c>
      <x:c r="J256" s="10" t="n">
        <x:f>IF('Данные'!E256&gt;0,G256/'Данные'!E256,"n.a.")</x:f>
        <x:v>0.010006603910858397</x:v>
      </x:c>
      <x:c r="K256" s="1" t="str">
        <x:f>IF(G256&gt;='Дашборд'!$C$51,"X","Z")</x:f>
        <x:v>X</x:v>
      </x:c>
      <x:c r="L256" s="1" t="str">
        <x:f>IF(H256=0,IF(G256&gt;0,"Нет остатка","Нет спроса"),IF(I256&gt;='Дашборд'!$C$52,"Быстрый","Медленный"))</x:f>
        <x:v>Быстрый</x:v>
      </x:c>
      <x:c r="M256" s="1" t="str">
        <x:f>IF('Данные'!E256&lt;'Дашборд'!$C$53,"Мало трафика",IF(J256&lt;'Дашборд'!$C$9*'Дашборд'!$C$54,"Да","Нет"))</x:f>
        <x:v>Да</x:v>
      </x:c>
      <x:c r="N256" s="1" t="str">
        <x:f>IF(AND('Данные'!D256&gt;='Дашборд'!$C$55,D256&lt;'Дашборд'!$C$56,'Данные'!E256&gt;='Дашборд'!$C$53,'Данные'!L256&lt;&gt;"Да"),"Да","Нет")</x:f>
        <x:v>Нет</x:v>
      </x:c>
      <x:c r="O256" s="1" t="str">
        <x:f>'Данные'!L256</x:f>
        <x:v>Нет</x:v>
      </x:c>
    </x:row>
    <x:row r="257">
      <x:c r="A257" s="1" t="str">
        <x:f>'Данные'!A257</x:f>
        <x:v>340601815</x:v>
      </x:c>
      <x:c r="B257" s="1" t="str">
        <x:f>'Данные'!B257</x:f>
        <x:v>futbolkaover/серый</x:v>
      </x:c>
      <x:c r="C257" s="8" t="n">
        <x:f>'Данные'!G257</x:f>
        <x:v>789614</x:v>
      </x:c>
      <x:c r="D257" s="15" t="n">
        <x:f>C257/SUM($C$5:$C$2477)</x:f>
        <x:v>0.0009224457325690949</x:v>
      </x:c>
      <x:c r="E257" s="15" t="n">
        <x:f>SUM($D$5:D257)</x:f>
        <x:v>0.6646488430577324</x:v>
      </x:c>
      <x:c r="F257" s="1" t="str">
        <x:f>IF(C257&lt;=0,"C",IF(E257-D257&lt;'Дашборд'!$C$49,"A",IF(E257-D257&lt;'Дашборд'!$C$50,"B","C")))</x:f>
        <x:v>A</x:v>
      </x:c>
      <x:c r="G257" s="8" t="n">
        <x:f>'Данные'!F257</x:f>
        <x:v>1640</x:v>
      </x:c>
      <x:c r="H257" s="8" t="n">
        <x:f>SUM('Данные'!H257:I257)</x:f>
        <x:v>328</x:v>
      </x:c>
      <x:c r="I257" s="16" t="n">
        <x:f>IF(H257&gt;0,G257/H257,"n.a.")</x:f>
        <x:v>5</x:v>
      </x:c>
      <x:c r="J257" s="10" t="n">
        <x:f>IF('Данные'!E257&gt;0,G257/'Данные'!E257,"n.a.")</x:f>
        <x:v>0.01423981939741252</x:v>
      </x:c>
      <x:c r="K257" s="1" t="str">
        <x:f>IF(G257&gt;='Дашборд'!$C$51,"X","Z")</x:f>
        <x:v>X</x:v>
      </x:c>
      <x:c r="L257" s="1" t="str">
        <x:f>IF(H257=0,IF(G257&gt;0,"Нет остатка","Нет спроса"),IF(I257&gt;='Дашборд'!$C$52,"Быстрый","Медленный"))</x:f>
        <x:v>Быстрый</x:v>
      </x:c>
      <x:c r="M257" s="1" t="str">
        <x:f>IF('Данные'!E257&lt;'Дашборд'!$C$53,"Мало трафика",IF(J257&lt;'Дашборд'!$C$9*'Дашборд'!$C$54,"Да","Нет"))</x:f>
        <x:v>Нет</x:v>
      </x:c>
      <x:c r="N257" s="1" t="str">
        <x:f>IF(AND('Данные'!D257&gt;='Дашборд'!$C$55,D257&lt;'Дашборд'!$C$56,'Данные'!E257&gt;='Дашборд'!$C$53,'Данные'!L257&lt;&gt;"Да"),"Да","Нет")</x:f>
        <x:v>Да</x:v>
      </x:c>
      <x:c r="O257" s="1" t="str">
        <x:f>'Данные'!L257</x:f>
        <x:v>Нет</x:v>
      </x:c>
    </x:row>
    <x:row r="258">
      <x:c r="A258" s="1" t="str">
        <x:f>'Данные'!A258</x:f>
        <x:v>311049939</x:v>
      </x:c>
      <x:c r="B258" s="1" t="str">
        <x:f>'Данные'!B258</x:f>
        <x:v>hudimanpetl/темно-синий</x:v>
      </x:c>
      <x:c r="C258" s="8" t="n">
        <x:f>'Данные'!G258</x:f>
        <x:v>787532</x:v>
      </x:c>
      <x:c r="D258" s="15" t="n">
        <x:f>C258/SUM($C$5:$C$2477)</x:f>
        <x:v>0.00092001349097357</x:v>
      </x:c>
      <x:c r="E258" s="15" t="n">
        <x:f>SUM($D$5:D258)</x:f>
        <x:v>0.665568856548706</x:v>
      </x:c>
      <x:c r="F258" s="1" t="str">
        <x:f>IF(C258&lt;=0,"C",IF(E258-D258&lt;'Дашборд'!$C$49,"A",IF(E258-D258&lt;'Дашборд'!$C$50,"B","C")))</x:f>
        <x:v>A</x:v>
      </x:c>
      <x:c r="G258" s="8" t="n">
        <x:f>'Данные'!F258</x:f>
        <x:v>836</x:v>
      </x:c>
      <x:c r="H258" s="8" t="n">
        <x:f>SUM('Данные'!H258:I258)</x:f>
        <x:v>65</x:v>
      </x:c>
      <x:c r="I258" s="16" t="n">
        <x:f>IF(H258&gt;0,G258/H258,"n.a.")</x:f>
        <x:v>12.861538461538462</x:v>
      </x:c>
      <x:c r="J258" s="10" t="n">
        <x:f>IF('Данные'!E258&gt;0,G258/'Данные'!E258,"n.a.")</x:f>
        <x:v>0.02624886181669754</x:v>
      </x:c>
      <x:c r="K258" s="1" t="str">
        <x:f>IF(G258&gt;='Дашборд'!$C$51,"X","Z")</x:f>
        <x:v>X</x:v>
      </x:c>
      <x:c r="L258" s="1" t="str">
        <x:f>IF(H258=0,IF(G258&gt;0,"Нет остатка","Нет спроса"),IF(I258&gt;='Дашборд'!$C$52,"Быстрый","Медленный"))</x:f>
        <x:v>Быстрый</x:v>
      </x:c>
      <x:c r="M258" s="1" t="str">
        <x:f>IF('Данные'!E258&lt;'Дашборд'!$C$53,"Мало трафика",IF(J258&lt;'Дашборд'!$C$9*'Дашборд'!$C$54,"Да","Нет"))</x:f>
        <x:v>Нет</x:v>
      </x:c>
      <x:c r="N258" s="1" t="str">
        <x:f>IF(AND('Данные'!D258&gt;='Дашборд'!$C$55,D258&lt;'Дашборд'!$C$56,'Данные'!E258&gt;='Дашборд'!$C$53,'Данные'!L258&lt;&gt;"Да"),"Да","Нет")</x:f>
        <x:v>Нет</x:v>
      </x:c>
      <x:c r="O258" s="1" t="str">
        <x:f>'Данные'!L258</x:f>
        <x:v>Нет</x:v>
      </x:c>
    </x:row>
    <x:row r="259">
      <x:c r="A259" s="1" t="str">
        <x:f>'Данные'!A259</x:f>
        <x:v>156188241</x:v>
      </x:c>
      <x:c r="B259" s="1" t="str">
        <x:f>'Данные'!B259</x:f>
        <x:v>hudiman/серый</x:v>
      </x:c>
      <x:c r="C259" s="8" t="n">
        <x:f>'Данные'!G259</x:f>
        <x:v>783303</x:v>
      </x:c>
      <x:c r="D259" s="15" t="n">
        <x:f>C259/SUM($C$5:$C$2477)</x:f>
        <x:v>0.0009150730732466367</x:v>
      </x:c>
      <x:c r="E259" s="15" t="n">
        <x:f>SUM($D$5:D259)</x:f>
        <x:v>0.6664839296219527</x:v>
      </x:c>
      <x:c r="F259" s="1" t="str">
        <x:f>IF(C259&lt;=0,"C",IF(E259-D259&lt;'Дашборд'!$C$49,"A",IF(E259-D259&lt;'Дашборд'!$C$50,"B","C")))</x:f>
        <x:v>A</x:v>
      </x:c>
      <x:c r="G259" s="8" t="n">
        <x:f>'Данные'!F259</x:f>
        <x:v>891</x:v>
      </x:c>
      <x:c r="H259" s="8" t="n">
        <x:f>SUM('Данные'!H259:I259)</x:f>
        <x:v>1454</x:v>
      </x:c>
      <x:c r="I259" s="16" t="n">
        <x:f>IF(H259&gt;0,G259/H259,"n.a.")</x:f>
        <x:v>0.6127922971114168</x:v>
      </x:c>
      <x:c r="J259" s="10" t="n">
        <x:f>IF('Данные'!E259&gt;0,G259/'Данные'!E259,"n.a.")</x:f>
        <x:v>0.036065573770491806</x:v>
      </x:c>
      <x:c r="K259" s="1" t="str">
        <x:f>IF(G259&gt;='Дашборд'!$C$51,"X","Z")</x:f>
        <x:v>X</x:v>
      </x:c>
      <x:c r="L259" s="1" t="str">
        <x:f>IF(H259=0,IF(G259&gt;0,"Нет остатка","Нет спроса"),IF(I259&gt;='Дашборд'!$C$52,"Быстрый","Медленный"))</x:f>
        <x:v>Медленный</x:v>
      </x:c>
      <x:c r="M259" s="1" t="str">
        <x:f>IF('Данные'!E259&lt;'Дашборд'!$C$53,"Мало трафика",IF(J259&lt;'Дашборд'!$C$9*'Дашборд'!$C$54,"Да","Нет"))</x:f>
        <x:v>Нет</x:v>
      </x:c>
      <x:c r="N259" s="1" t="str">
        <x:f>IF(AND('Данные'!D259&gt;='Дашборд'!$C$55,D259&lt;'Дашборд'!$C$56,'Данные'!E259&gt;='Дашборд'!$C$53,'Данные'!L259&lt;&gt;"Да"),"Да","Нет")</x:f>
        <x:v>Да</x:v>
      </x:c>
      <x:c r="O259" s="1" t="str">
        <x:f>'Данные'!L259</x:f>
        <x:v>Нет</x:v>
      </x:c>
    </x:row>
    <x:row r="260">
      <x:c r="A260" s="1" t="str">
        <x:f>'Данные'!A260</x:f>
        <x:v>297440103</x:v>
      </x:c>
      <x:c r="B260" s="1" t="str">
        <x:f>'Данные'!B260</x:f>
        <x:v>longover/морскаяволна</x:v>
      </x:c>
      <x:c r="C260" s="8" t="n">
        <x:f>'Данные'!G260</x:f>
        <x:v>778181</x:v>
      </x:c>
      <x:c r="D260" s="15" t="n">
        <x:f>C260/SUM($C$5:$C$2477)</x:f>
        <x:v>0.0009090894318190292</x:v>
      </x:c>
      <x:c r="E260" s="15" t="n">
        <x:f>SUM($D$5:D260)</x:f>
        <x:v>0.6673930190537717</x:v>
      </x:c>
      <x:c r="F260" s="1" t="str">
        <x:f>IF(C260&lt;=0,"C",IF(E260-D260&lt;'Дашборд'!$C$49,"A",IF(E260-D260&lt;'Дашборд'!$C$50,"B","C")))</x:f>
        <x:v>A</x:v>
      </x:c>
      <x:c r="G260" s="8" t="n">
        <x:f>'Данные'!F260</x:f>
        <x:v>1455</x:v>
      </x:c>
      <x:c r="H260" s="8" t="n">
        <x:f>SUM('Данные'!H260:I260)</x:f>
        <x:v>1702</x:v>
      </x:c>
      <x:c r="I260" s="16" t="n">
        <x:f>IF(H260&gt;0,G260/H260,"n.a.")</x:f>
        <x:v>0.854876615746181</x:v>
      </x:c>
      <x:c r="J260" s="10" t="n">
        <x:f>IF('Данные'!E260&gt;0,G260/'Данные'!E260,"n.a.")</x:f>
        <x:v>0.017197158627536728</x:v>
      </x:c>
      <x:c r="K260" s="1" t="str">
        <x:f>IF(G260&gt;='Дашборд'!$C$51,"X","Z")</x:f>
        <x:v>X</x:v>
      </x:c>
      <x:c r="L260" s="1" t="str">
        <x:f>IF(H260=0,IF(G260&gt;0,"Нет остатка","Нет спроса"),IF(I260&gt;='Дашборд'!$C$52,"Быстрый","Медленный"))</x:f>
        <x:v>Медленный</x:v>
      </x:c>
      <x:c r="M260" s="1" t="str">
        <x:f>IF('Данные'!E260&lt;'Дашборд'!$C$53,"Мало трафика",IF(J260&lt;'Дашборд'!$C$9*'Дашборд'!$C$54,"Да","Нет"))</x:f>
        <x:v>Нет</x:v>
      </x:c>
      <x:c r="N260" s="1" t="str">
        <x:f>IF(AND('Данные'!D260&gt;='Дашборд'!$C$55,D260&lt;'Дашборд'!$C$56,'Данные'!E260&gt;='Дашборд'!$C$53,'Данные'!L260&lt;&gt;"Да"),"Да","Нет")</x:f>
        <x:v>Да</x:v>
      </x:c>
      <x:c r="O260" s="1" t="str">
        <x:f>'Данные'!L260</x:f>
        <x:v>Нет</x:v>
      </x:c>
    </x:row>
    <x:row r="261">
      <x:c r="A261" s="1" t="str">
        <x:f>'Данные'!A261</x:f>
        <x:v>295771240</x:v>
      </x:c>
      <x:c r="B261" s="1" t="str">
        <x:f>'Данные'!B261</x:f>
        <x:v>kostyumfix3P-37-63/темно-серый</x:v>
      </x:c>
      <x:c r="C261" s="8" t="n">
        <x:f>'Данные'!G261</x:f>
        <x:v>775918</x:v>
      </x:c>
      <x:c r="D261" s="15" t="n">
        <x:f>C261/SUM($C$5:$C$2477)</x:f>
        <x:v>0.0009064457417466598</x:v>
      </x:c>
      <x:c r="E261" s="15" t="n">
        <x:f>SUM($D$5:D261)</x:f>
        <x:v>0.6682994647955184</x:v>
      </x:c>
      <x:c r="F261" s="1" t="str">
        <x:f>IF(C261&lt;=0,"C",IF(E261-D261&lt;'Дашборд'!$C$49,"A",IF(E261-D261&lt;'Дашборд'!$C$50,"B","C")))</x:f>
        <x:v>A</x:v>
      </x:c>
      <x:c r="G261" s="8" t="n">
        <x:f>'Данные'!F261</x:f>
        <x:v>558</x:v>
      </x:c>
      <x:c r="H261" s="8" t="n">
        <x:f>SUM('Данные'!H261:I261)</x:f>
        <x:v>1</x:v>
      </x:c>
      <x:c r="I261" s="16" t="n">
        <x:f>IF(H261&gt;0,G261/H261,"n.a.")</x:f>
        <x:v>558</x:v>
      </x:c>
      <x:c r="J261" s="10" t="n">
        <x:f>IF('Данные'!E261&gt;0,G261/'Данные'!E261,"n.a.")</x:f>
        <x:v>0.010696212237386904</x:v>
      </x:c>
      <x:c r="K261" s="1" t="str">
        <x:f>IF(G261&gt;='Дашборд'!$C$51,"X","Z")</x:f>
        <x:v>X</x:v>
      </x:c>
      <x:c r="L261" s="1" t="str">
        <x:f>IF(H261=0,IF(G261&gt;0,"Нет остатка","Нет спроса"),IF(I261&gt;='Дашборд'!$C$52,"Быстрый","Медленный"))</x:f>
        <x:v>Быстрый</x:v>
      </x:c>
      <x:c r="M261" s="1" t="str">
        <x:f>IF('Данные'!E261&lt;'Дашборд'!$C$53,"Мало трафика",IF(J261&lt;'Дашборд'!$C$9*'Дашборд'!$C$54,"Да","Нет"))</x:f>
        <x:v>Нет</x:v>
      </x:c>
      <x:c r="N261" s="1" t="str">
        <x:f>IF(AND('Данные'!D261&gt;='Дашборд'!$C$55,D261&lt;'Дашборд'!$C$56,'Данные'!E261&gt;='Дашборд'!$C$53,'Данные'!L261&lt;&gt;"Да"),"Да","Нет")</x:f>
        <x:v>Нет</x:v>
      </x:c>
      <x:c r="O261" s="1" t="str">
        <x:f>'Данные'!L261</x:f>
        <x:v>Нет</x:v>
      </x:c>
    </x:row>
    <x:row r="262">
      <x:c r="A262" s="1" t="str">
        <x:f>'Данные'!A262</x:f>
        <x:v>271224252</x:v>
      </x:c>
      <x:c r="B262" s="1" t="str">
        <x:f>'Данные'!B262</x:f>
        <x:v>palazzoshnurok/бордовый</x:v>
      </x:c>
      <x:c r="C262" s="8" t="n">
        <x:f>'Данные'!G262</x:f>
        <x:v>773903</x:v>
      </x:c>
      <x:c r="D262" s="15" t="n">
        <x:f>C262/SUM($C$5:$C$2477)</x:f>
        <x:v>0.0009040917711342761</x:v>
      </x:c>
      <x:c r="E262" s="15" t="n">
        <x:f>SUM($D$5:D262)</x:f>
        <x:v>0.6692035565666526</x:v>
      </x:c>
      <x:c r="F262" s="1" t="str">
        <x:f>IF(C262&lt;=0,"C",IF(E262-D262&lt;'Дашборд'!$C$49,"A",IF(E262-D262&lt;'Дашборд'!$C$50,"B","C")))</x:f>
        <x:v>A</x:v>
      </x:c>
      <x:c r="G262" s="8" t="n">
        <x:f>'Данные'!F262</x:f>
        <x:v>1215</x:v>
      </x:c>
      <x:c r="H262" s="8" t="n">
        <x:f>SUM('Данные'!H262:I262)</x:f>
        <x:v>93</x:v>
      </x:c>
      <x:c r="I262" s="16" t="n">
        <x:f>IF(H262&gt;0,G262/H262,"n.a.")</x:f>
        <x:v>13.064516129032258</x:v>
      </x:c>
      <x:c r="J262" s="10" t="n">
        <x:f>IF('Данные'!E262&gt;0,G262/'Данные'!E262,"n.a.")</x:f>
        <x:v>0.02383708383198289</x:v>
      </x:c>
      <x:c r="K262" s="1" t="str">
        <x:f>IF(G262&gt;='Дашборд'!$C$51,"X","Z")</x:f>
        <x:v>X</x:v>
      </x:c>
      <x:c r="L262" s="1" t="str">
        <x:f>IF(H262=0,IF(G262&gt;0,"Нет остатка","Нет спроса"),IF(I262&gt;='Дашборд'!$C$52,"Быстрый","Медленный"))</x:f>
        <x:v>Быстрый</x:v>
      </x:c>
      <x:c r="M262" s="1" t="str">
        <x:f>IF('Данные'!E262&lt;'Дашборд'!$C$53,"Мало трафика",IF(J262&lt;'Дашборд'!$C$9*'Дашборд'!$C$54,"Да","Нет"))</x:f>
        <x:v>Нет</x:v>
      </x:c>
      <x:c r="N262" s="1" t="str">
        <x:f>IF(AND('Данные'!D262&gt;='Дашборд'!$C$55,D262&lt;'Дашборд'!$C$56,'Данные'!E262&gt;='Дашборд'!$C$53,'Данные'!L262&lt;&gt;"Да"),"Да","Нет")</x:f>
        <x:v>Нет</x:v>
      </x:c>
      <x:c r="O262" s="1" t="str">
        <x:f>'Данные'!L262</x:f>
        <x:v>Нет</x:v>
      </x:c>
    </x:row>
    <x:row r="263">
      <x:c r="A263" s="1" t="str">
        <x:f>'Данные'!A263</x:f>
        <x:v>218974177</x:v>
      </x:c>
      <x:c r="B263" s="1" t="str">
        <x:f>'Данные'!B263</x:f>
        <x:v>topbando/черный</x:v>
      </x:c>
      <x:c r="C263" s="8" t="n">
        <x:f>'Данные'!G263</x:f>
        <x:v>769861</x:v>
      </x:c>
      <x:c r="D263" s="15" t="n">
        <x:f>C263/SUM($C$5:$C$2477)</x:f>
        <x:v>0.0008993698112259611</x:v>
      </x:c>
      <x:c r="E263" s="15" t="n">
        <x:f>SUM($D$5:D263)</x:f>
        <x:v>0.6701029263778786</x:v>
      </x:c>
      <x:c r="F263" s="1" t="str">
        <x:f>IF(C263&lt;=0,"C",IF(E263-D263&lt;'Дашборд'!$C$49,"A",IF(E263-D263&lt;'Дашборд'!$C$50,"B","C")))</x:f>
        <x:v>A</x:v>
      </x:c>
      <x:c r="G263" s="8" t="n">
        <x:f>'Данные'!F263</x:f>
        <x:v>2834</x:v>
      </x:c>
      <x:c r="H263" s="8" t="n">
        <x:f>SUM('Данные'!H263:I263)</x:f>
        <x:v>1760</x:v>
      </x:c>
      <x:c r="I263" s="16" t="n">
        <x:f>IF(H263&gt;0,G263/H263,"n.a.")</x:f>
        <x:v>1.6102272727272726</x:v>
      </x:c>
      <x:c r="J263" s="10" t="n">
        <x:f>IF('Данные'!E263&gt;0,G263/'Данные'!E263,"n.a.")</x:f>
        <x:v>0.039716351813442456</x:v>
      </x:c>
      <x:c r="K263" s="1" t="str">
        <x:f>IF(G263&gt;='Дашборд'!$C$51,"X","Z")</x:f>
        <x:v>X</x:v>
      </x:c>
      <x:c r="L263" s="1" t="str">
        <x:f>IF(H263=0,IF(G263&gt;0,"Нет остатка","Нет спроса"),IF(I263&gt;='Дашборд'!$C$52,"Быстрый","Медленный"))</x:f>
        <x:v>Быстрый</x:v>
      </x:c>
      <x:c r="M263" s="1" t="str">
        <x:f>IF('Данные'!E263&lt;'Дашборд'!$C$53,"Мало трафика",IF(J263&lt;'Дашборд'!$C$9*'Дашборд'!$C$54,"Да","Нет"))</x:f>
        <x:v>Нет</x:v>
      </x:c>
      <x:c r="N263" s="1" t="str">
        <x:f>IF(AND('Данные'!D263&gt;='Дашборд'!$C$55,D263&lt;'Дашборд'!$C$56,'Данные'!E263&gt;='Дашборд'!$C$53,'Данные'!L263&lt;&gt;"Да"),"Да","Нет")</x:f>
        <x:v>Нет</x:v>
      </x:c>
      <x:c r="O263" s="1" t="str">
        <x:f>'Данные'!L263</x:f>
        <x:v>Нет</x:v>
      </x:c>
    </x:row>
    <x:row r="264">
      <x:c r="A264" s="1" t="str">
        <x:f>'Данные'!A264</x:f>
        <x:v>323186194</x:v>
      </x:c>
      <x:c r="B264" s="1" t="str">
        <x:f>'Данные'!B264</x:f>
        <x:v>futskims3K-102/графит</x:v>
      </x:c>
      <x:c r="C264" s="8" t="n">
        <x:f>'Данные'!G264</x:f>
        <x:v>768400</x:v>
      </x:c>
      <x:c r="D264" s="15" t="n">
        <x:f>C264/SUM($C$5:$C$2477)</x:f>
        <x:v>0.0008976630365040293</x:v>
      </x:c>
      <x:c r="E264" s="15" t="n">
        <x:f>SUM($D$5:D264)</x:f>
        <x:v>0.6710005894143827</x:v>
      </x:c>
      <x:c r="F264" s="1" t="str">
        <x:f>IF(C264&lt;=0,"C",IF(E264-D264&lt;'Дашборд'!$C$49,"A",IF(E264-D264&lt;'Дашборд'!$C$50,"B","C")))</x:f>
        <x:v>A</x:v>
      </x:c>
      <x:c r="G264" s="8" t="n">
        <x:f>'Данные'!F264</x:f>
        <x:v>1710</x:v>
      </x:c>
      <x:c r="H264" s="8" t="n">
        <x:f>SUM('Данные'!H264:I264)</x:f>
        <x:v>2261</x:v>
      </x:c>
      <x:c r="I264" s="16" t="n">
        <x:f>IF(H264&gt;0,G264/H264,"n.a.")</x:f>
        <x:v>0.7563025210084033</x:v>
      </x:c>
      <x:c r="J264" s="10" t="n">
        <x:f>IF('Данные'!E264&gt;0,G264/'Данные'!E264,"n.a.")</x:f>
        <x:v>0.011663756411655572</x:v>
      </x:c>
      <x:c r="K264" s="1" t="str">
        <x:f>IF(G264&gt;='Дашборд'!$C$51,"X","Z")</x:f>
        <x:v>X</x:v>
      </x:c>
      <x:c r="L264" s="1" t="str">
        <x:f>IF(H264=0,IF(G264&gt;0,"Нет остатка","Нет спроса"),IF(I264&gt;='Дашборд'!$C$52,"Быстрый","Медленный"))</x:f>
        <x:v>Медленный</x:v>
      </x:c>
      <x:c r="M264" s="1" t="str">
        <x:f>IF('Данные'!E264&lt;'Дашборд'!$C$53,"Мало трафика",IF(J264&lt;'Дашборд'!$C$9*'Дашборд'!$C$54,"Да","Нет"))</x:f>
        <x:v>Нет</x:v>
      </x:c>
      <x:c r="N264" s="1" t="str">
        <x:f>IF(AND('Данные'!D264&gt;='Дашборд'!$C$55,D264&lt;'Дашборд'!$C$56,'Данные'!E264&gt;='Дашборд'!$C$53,'Данные'!L264&lt;&gt;"Да"),"Да","Нет")</x:f>
        <x:v>Нет</x:v>
      </x:c>
      <x:c r="O264" s="1" t="str">
        <x:f>'Данные'!L264</x:f>
        <x:v>Нет</x:v>
      </x:c>
    </x:row>
    <x:row r="265">
      <x:c r="A265" s="1" t="str">
        <x:f>'Данные'!A265</x:f>
        <x:v>333323575</x:v>
      </x:c>
      <x:c r="B265" s="1" t="str">
        <x:f>'Данные'!B265</x:f>
        <x:v>hudicroppetl/коричневый</x:v>
      </x:c>
      <x:c r="C265" s="8" t="n">
        <x:f>'Данные'!G265</x:f>
        <x:v>765041</x:v>
      </x:c>
      <x:c r="D265" s="15" t="n">
        <x:f>C265/SUM($C$5:$C$2477)</x:f>
        <x:v>0.0008937389733343038</x:v>
      </x:c>
      <x:c r="E265" s="15" t="n">
        <x:f>SUM($D$5:D265)</x:f>
        <x:v>0.671894328387717</x:v>
      </x:c>
      <x:c r="F265" s="1" t="str">
        <x:f>IF(C265&lt;=0,"C",IF(E265-D265&lt;'Дашборд'!$C$49,"A",IF(E265-D265&lt;'Дашборд'!$C$50,"B","C")))</x:f>
        <x:v>A</x:v>
      </x:c>
      <x:c r="G265" s="8" t="n">
        <x:f>'Данные'!F265</x:f>
        <x:v>844</x:v>
      </x:c>
      <x:c r="H265" s="8" t="n">
        <x:f>SUM('Данные'!H265:I265)</x:f>
        <x:v>86</x:v>
      </x:c>
      <x:c r="I265" s="16" t="n">
        <x:f>IF(H265&gt;0,G265/H265,"n.a.")</x:f>
        <x:v>9.813953488372093</x:v>
      </x:c>
      <x:c r="J265" s="10" t="n">
        <x:f>IF('Данные'!E265&gt;0,G265/'Данные'!E265,"n.a.")</x:f>
        <x:v>0.016886754701880752</x:v>
      </x:c>
      <x:c r="K265" s="1" t="str">
        <x:f>IF(G265&gt;='Дашборд'!$C$51,"X","Z")</x:f>
        <x:v>X</x:v>
      </x:c>
      <x:c r="L265" s="1" t="str">
        <x:f>IF(H265=0,IF(G265&gt;0,"Нет остатка","Нет спроса"),IF(I265&gt;='Дашборд'!$C$52,"Быстрый","Медленный"))</x:f>
        <x:v>Быстрый</x:v>
      </x:c>
      <x:c r="M265" s="1" t="str">
        <x:f>IF('Данные'!E265&lt;'Дашборд'!$C$53,"Мало трафика",IF(J265&lt;'Дашборд'!$C$9*'Дашборд'!$C$54,"Да","Нет"))</x:f>
        <x:v>Нет</x:v>
      </x:c>
      <x:c r="N265" s="1" t="str">
        <x:f>IF(AND('Данные'!D265&gt;='Дашборд'!$C$55,D265&lt;'Дашборд'!$C$56,'Данные'!E265&gt;='Дашборд'!$C$53,'Данные'!L265&lt;&gt;"Да"),"Да","Нет")</x:f>
        <x:v>Нет</x:v>
      </x:c>
      <x:c r="O265" s="1" t="str">
        <x:f>'Данные'!L265</x:f>
        <x:v>Нет</x:v>
      </x:c>
    </x:row>
    <x:row r="266">
      <x:c r="A266" s="1" t="str">
        <x:f>'Данные'!A266</x:f>
        <x:v>172152340</x:v>
      </x:c>
      <x:c r="B266" s="1" t="str">
        <x:f>'Данные'!B266</x:f>
        <x:v>baza/кофейный</x:v>
      </x:c>
      <x:c r="C266" s="8" t="n">
        <x:f>'Данные'!G266</x:f>
        <x:v>762812</x:v>
      </x:c>
      <x:c r="D266" s="15" t="n">
        <x:f>C266/SUM($C$5:$C$2477)</x:f>
        <x:v>0.0008911350028653196</x:v>
      </x:c>
      <x:c r="E266" s="15" t="n">
        <x:f>SUM($D$5:D266)</x:f>
        <x:v>0.6727854633905823</x:v>
      </x:c>
      <x:c r="F266" s="1" t="str">
        <x:f>IF(C266&lt;=0,"C",IF(E266-D266&lt;'Дашборд'!$C$49,"A",IF(E266-D266&lt;'Дашборд'!$C$50,"B","C")))</x:f>
        <x:v>A</x:v>
      </x:c>
      <x:c r="G266" s="8" t="n">
        <x:f>'Данные'!F266</x:f>
        <x:v>1671</x:v>
      </x:c>
      <x:c r="H266" s="8" t="n">
        <x:f>SUM('Данные'!H266:I266)</x:f>
        <x:v>2328</x:v>
      </x:c>
      <x:c r="I266" s="16" t="n">
        <x:f>IF(H266&gt;0,G266/H266,"n.a.")</x:f>
        <x:v>0.7177835051546392</x:v>
      </x:c>
      <x:c r="J266" s="10" t="n">
        <x:f>IF('Данные'!E266&gt;0,G266/'Данные'!E266,"n.a.")</x:f>
        <x:v>0.023335055649429542</x:v>
      </x:c>
      <x:c r="K266" s="1" t="str">
        <x:f>IF(G266&gt;='Дашборд'!$C$51,"X","Z")</x:f>
        <x:v>X</x:v>
      </x:c>
      <x:c r="L266" s="1" t="str">
        <x:f>IF(H266=0,IF(G266&gt;0,"Нет остатка","Нет спроса"),IF(I266&gt;='Дашборд'!$C$52,"Быстрый","Медленный"))</x:f>
        <x:v>Медленный</x:v>
      </x:c>
      <x:c r="M266" s="1" t="str">
        <x:f>IF('Данные'!E266&lt;'Дашборд'!$C$53,"Мало трафика",IF(J266&lt;'Дашборд'!$C$9*'Дашборд'!$C$54,"Да","Нет"))</x:f>
        <x:v>Нет</x:v>
      </x:c>
      <x:c r="N266" s="1" t="str">
        <x:f>IF(AND('Данные'!D266&gt;='Дашборд'!$C$55,D266&lt;'Дашборд'!$C$56,'Данные'!E266&gt;='Дашборд'!$C$53,'Данные'!L266&lt;&gt;"Да"),"Да","Нет")</x:f>
        <x:v>Нет</x:v>
      </x:c>
      <x:c r="O266" s="1" t="str">
        <x:f>'Данные'!L266</x:f>
        <x:v>Нет</x:v>
      </x:c>
    </x:row>
    <x:row r="267">
      <x:c r="A267" s="1" t="str">
        <x:f>'Данные'!A267</x:f>
        <x:v>236190499</x:v>
      </x:c>
      <x:c r="B267" s="1" t="str">
        <x:f>'Данные'!B267</x:f>
        <x:v>futbolkaprint100/LoveNever-45/вареныйсерый</x:v>
      </x:c>
      <x:c r="C267" s="8" t="n">
        <x:f>'Данные'!G267</x:f>
        <x:v>759321</x:v>
      </x:c>
      <x:c r="D267" s="15" t="n">
        <x:f>C267/SUM($C$5:$C$2477)</x:f>
        <x:v>0.0008870567341765696</x:v>
      </x:c>
      <x:c r="E267" s="15" t="n">
        <x:f>SUM($D$5:D267)</x:f>
        <x:v>0.6736725201247589</x:v>
      </x:c>
      <x:c r="F267" s="1" t="str">
        <x:f>IF(C267&lt;=0,"C",IF(E267-D267&lt;'Дашборд'!$C$49,"A",IF(E267-D267&lt;'Дашборд'!$C$50,"B","C")))</x:f>
        <x:v>A</x:v>
      </x:c>
      <x:c r="G267" s="8" t="n">
        <x:f>'Данные'!F267</x:f>
        <x:v>1124</x:v>
      </x:c>
      <x:c r="H267" s="8" t="n">
        <x:f>SUM('Данные'!H267:I267)</x:f>
        <x:v>1</x:v>
      </x:c>
      <x:c r="I267" s="16" t="n">
        <x:f>IF(H267&gt;0,G267/H267,"n.a.")</x:f>
        <x:v>1124</x:v>
      </x:c>
      <x:c r="J267" s="10" t="n">
        <x:f>IF('Данные'!E267&gt;0,G267/'Данные'!E267,"n.a.")</x:f>
        <x:v>0.01933996352248873</x:v>
      </x:c>
      <x:c r="K267" s="1" t="str">
        <x:f>IF(G267&gt;='Дашборд'!$C$51,"X","Z")</x:f>
        <x:v>X</x:v>
      </x:c>
      <x:c r="L267" s="1" t="str">
        <x:f>IF(H267=0,IF(G267&gt;0,"Нет остатка","Нет спроса"),IF(I267&gt;='Дашборд'!$C$52,"Быстрый","Медленный"))</x:f>
        <x:v>Быстрый</x:v>
      </x:c>
      <x:c r="M267" s="1" t="str">
        <x:f>IF('Данные'!E267&lt;'Дашборд'!$C$53,"Мало трафика",IF(J267&lt;'Дашборд'!$C$9*'Дашборд'!$C$54,"Да","Нет"))</x:f>
        <x:v>Нет</x:v>
      </x:c>
      <x:c r="N267" s="1" t="str">
        <x:f>IF(AND('Данные'!D267&gt;='Дашборд'!$C$55,D267&lt;'Дашборд'!$C$56,'Данные'!E267&gt;='Дашборд'!$C$53,'Данные'!L267&lt;&gt;"Да"),"Да","Нет")</x:f>
        <x:v>Нет</x:v>
      </x:c>
      <x:c r="O267" s="1" t="str">
        <x:f>'Данные'!L267</x:f>
        <x:v>Нет</x:v>
      </x:c>
    </x:row>
    <x:row r="268">
      <x:c r="A268" s="1" t="str">
        <x:f>'Данные'!A268</x:f>
        <x:v>271373854</x:v>
      </x:c>
      <x:c r="B268" s="1" t="str">
        <x:f>'Данные'!B268</x:f>
        <x:v>shtanyfix/черный</x:v>
      </x:c>
      <x:c r="C268" s="8" t="n">
        <x:f>'Данные'!G268</x:f>
        <x:v>757285</x:v>
      </x:c>
      <x:c r="D268" s="15" t="n">
        <x:f>C268/SUM($C$5:$C$2477)</x:f>
        <x:v>0.0008846782308679774</x:v>
      </x:c>
      <x:c r="E268" s="15" t="n">
        <x:f>SUM($D$5:D268)</x:f>
        <x:v>0.6745571983556269</x:v>
      </x:c>
      <x:c r="F268" s="1" t="str">
        <x:f>IF(C268&lt;=0,"C",IF(E268-D268&lt;'Дашборд'!$C$49,"A",IF(E268-D268&lt;'Дашборд'!$C$50,"B","C")))</x:f>
        <x:v>A</x:v>
      </x:c>
      <x:c r="G268" s="8" t="n">
        <x:f>'Данные'!F268</x:f>
        <x:v>1025</x:v>
      </x:c>
      <x:c r="H268" s="8" t="n">
        <x:f>SUM('Данные'!H268:I268)</x:f>
        <x:v>191</x:v>
      </x:c>
      <x:c r="I268" s="16" t="n">
        <x:f>IF(H268&gt;0,G268/H268,"n.a.")</x:f>
        <x:v>5.366492146596858</x:v>
      </x:c>
      <x:c r="J268" s="10" t="n">
        <x:f>IF('Данные'!E268&gt;0,G268/'Данные'!E268,"n.a.")</x:f>
        <x:v>0.021688531527719</x:v>
      </x:c>
      <x:c r="K268" s="1" t="str">
        <x:f>IF(G268&gt;='Дашборд'!$C$51,"X","Z")</x:f>
        <x:v>X</x:v>
      </x:c>
      <x:c r="L268" s="1" t="str">
        <x:f>IF(H268=0,IF(G268&gt;0,"Нет остатка","Нет спроса"),IF(I268&gt;='Дашборд'!$C$52,"Быстрый","Медленный"))</x:f>
        <x:v>Быстрый</x:v>
      </x:c>
      <x:c r="M268" s="1" t="str">
        <x:f>IF('Данные'!E268&lt;'Дашборд'!$C$53,"Мало трафика",IF(J268&lt;'Дашборд'!$C$9*'Дашборд'!$C$54,"Да","Нет"))</x:f>
        <x:v>Нет</x:v>
      </x:c>
      <x:c r="N268" s="1" t="str">
        <x:f>IF(AND('Данные'!D268&gt;='Дашборд'!$C$55,D268&lt;'Дашборд'!$C$56,'Данные'!E268&gt;='Дашборд'!$C$53,'Данные'!L268&lt;&gt;"Да"),"Да","Нет")</x:f>
        <x:v>Нет</x:v>
      </x:c>
      <x:c r="O268" s="1" t="str">
        <x:f>'Данные'!L268</x:f>
        <x:v>Нет</x:v>
      </x:c>
    </x:row>
    <x:row r="269">
      <x:c r="A269" s="1" t="str">
        <x:f>'Данные'!A269</x:f>
        <x:v>211585143</x:v>
      </x:c>
      <x:c r="B269" s="1" t="str">
        <x:f>'Данные'!B269</x:f>
        <x:v>tolstovkazip/темно-синий</x:v>
      </x:c>
      <x:c r="C269" s="8" t="n">
        <x:f>'Данные'!G269</x:f>
        <x:v>750679</x:v>
      </x:c>
      <x:c r="D269" s="15" t="n">
        <x:f>C269/SUM($C$5:$C$2477)</x:f>
        <x:v>0.0008769609455749716</x:v>
      </x:c>
      <x:c r="E269" s="15" t="n">
        <x:f>SUM($D$5:D269)</x:f>
        <x:v>0.6754341593012019</x:v>
      </x:c>
      <x:c r="F269" s="1" t="str">
        <x:f>IF(C269&lt;=0,"C",IF(E269-D269&lt;'Дашборд'!$C$49,"A",IF(E269-D269&lt;'Дашборд'!$C$50,"B","C")))</x:f>
        <x:v>A</x:v>
      </x:c>
      <x:c r="G269" s="8" t="n">
        <x:f>'Данные'!F269</x:f>
        <x:v>545</x:v>
      </x:c>
      <x:c r="H269" s="8" t="n">
        <x:f>SUM('Данные'!H269:I269)</x:f>
        <x:v>1</x:v>
      </x:c>
      <x:c r="I269" s="16" t="n">
        <x:f>IF(H269&gt;0,G269/H269,"n.a.")</x:f>
        <x:v>545</x:v>
      </x:c>
      <x:c r="J269" s="10" t="n">
        <x:f>IF('Данные'!E269&gt;0,G269/'Данные'!E269,"n.a.")</x:f>
        <x:v>0.011310573830030092</x:v>
      </x:c>
      <x:c r="K269" s="1" t="str">
        <x:f>IF(G269&gt;='Дашборд'!$C$51,"X","Z")</x:f>
        <x:v>X</x:v>
      </x:c>
      <x:c r="L269" s="1" t="str">
        <x:f>IF(H269=0,IF(G269&gt;0,"Нет остатка","Нет спроса"),IF(I269&gt;='Дашборд'!$C$52,"Быстрый","Медленный"))</x:f>
        <x:v>Быстрый</x:v>
      </x:c>
      <x:c r="M269" s="1" t="str">
        <x:f>IF('Данные'!E269&lt;'Дашборд'!$C$53,"Мало трафика",IF(J269&lt;'Дашборд'!$C$9*'Дашборд'!$C$54,"Да","Нет"))</x:f>
        <x:v>Нет</x:v>
      </x:c>
      <x:c r="N269" s="1" t="str">
        <x:f>IF(AND('Данные'!D269&gt;='Дашборд'!$C$55,D269&lt;'Дашборд'!$C$56,'Данные'!E269&gt;='Дашборд'!$C$53,'Данные'!L269&lt;&gt;"Да"),"Да","Нет")</x:f>
        <x:v>Да</x:v>
      </x:c>
      <x:c r="O269" s="1" t="str">
        <x:f>'Данные'!L269</x:f>
        <x:v>Нет</x:v>
      </x:c>
    </x:row>
    <x:row r="270">
      <x:c r="A270" s="1" t="str">
        <x:f>'Данные'!A270</x:f>
        <x:v>211321120</x:v>
      </x:c>
      <x:c r="B270" s="1" t="str">
        <x:f>'Данные'!B270</x:f>
        <x:v>tolstovkazipcrop/черный</x:v>
      </x:c>
      <x:c r="C270" s="8" t="n">
        <x:f>'Данные'!G270</x:f>
        <x:v>747688</x:v>
      </x:c>
      <x:c r="D270" s="15" t="n">
        <x:f>C270/SUM($C$5:$C$2477)</x:f>
        <x:v>0.0008734667887007088</x:v>
      </x:c>
      <x:c r="E270" s="15" t="n">
        <x:f>SUM($D$5:D270)</x:f>
        <x:v>0.6763076260899026</x:v>
      </x:c>
      <x:c r="F270" s="1" t="str">
        <x:f>IF(C270&lt;=0,"C",IF(E270-D270&lt;'Дашборд'!$C$49,"A",IF(E270-D270&lt;'Дашборд'!$C$50,"B","C")))</x:f>
        <x:v>A</x:v>
      </x:c>
      <x:c r="G270" s="8" t="n">
        <x:f>'Данные'!F270</x:f>
        <x:v>669</x:v>
      </x:c>
      <x:c r="H270" s="8" t="n">
        <x:f>SUM('Данные'!H270:I270)</x:f>
        <x:v>4</x:v>
      </x:c>
      <x:c r="I270" s="16" t="n">
        <x:f>IF(H270&gt;0,G270/H270,"n.a.")</x:f>
        <x:v>167.25</x:v>
      </x:c>
      <x:c r="J270" s="10" t="n">
        <x:f>IF('Данные'!E270&gt;0,G270/'Данные'!E270,"n.a.")</x:f>
        <x:v>0.013463473535922721</x:v>
      </x:c>
      <x:c r="K270" s="1" t="str">
        <x:f>IF(G270&gt;='Дашборд'!$C$51,"X","Z")</x:f>
        <x:v>X</x:v>
      </x:c>
      <x:c r="L270" s="1" t="str">
        <x:f>IF(H270=0,IF(G270&gt;0,"Нет остатка","Нет спроса"),IF(I270&gt;='Дашборд'!$C$52,"Быстрый","Медленный"))</x:f>
        <x:v>Быстрый</x:v>
      </x:c>
      <x:c r="M270" s="1" t="str">
        <x:f>IF('Данные'!E270&lt;'Дашборд'!$C$53,"Мало трафика",IF(J270&lt;'Дашборд'!$C$9*'Дашборд'!$C$54,"Да","Нет"))</x:f>
        <x:v>Нет</x:v>
      </x:c>
      <x:c r="N270" s="1" t="str">
        <x:f>IF(AND('Данные'!D270&gt;='Дашборд'!$C$55,D270&lt;'Дашборд'!$C$56,'Данные'!E270&gt;='Дашборд'!$C$53,'Данные'!L270&lt;&gt;"Да"),"Да","Нет")</x:f>
        <x:v>Да</x:v>
      </x:c>
      <x:c r="O270" s="1" t="str">
        <x:f>'Данные'!L270</x:f>
        <x:v>Нет</x:v>
      </x:c>
    </x:row>
    <x:row r="271">
      <x:c r="A271" s="1" t="str">
        <x:f>'Данные'!A271</x:f>
        <x:v>333167635</x:v>
      </x:c>
      <x:c r="B271" s="1" t="str">
        <x:f>'Данные'!B271</x:f>
        <x:v>futbolkamanX3/мол-как-кор</x:v>
      </x:c>
      <x:c r="C271" s="8" t="n">
        <x:f>'Данные'!G271</x:f>
        <x:v>743769</x:v>
      </x:c>
      <x:c r="D271" s="15" t="n">
        <x:f>C271/SUM($C$5:$C$2477)</x:f>
        <x:v>0.0008688885202987576</x:v>
      </x:c>
      <x:c r="E271" s="15" t="n">
        <x:f>SUM($D$5:D271)</x:f>
        <x:v>0.6771765146102013</x:v>
      </x:c>
      <x:c r="F271" s="1" t="str">
        <x:f>IF(C271&lt;=0,"C",IF(E271-D271&lt;'Дашборд'!$C$49,"A",IF(E271-D271&lt;'Дашборд'!$C$50,"B","C")))</x:f>
        <x:v>A</x:v>
      </x:c>
      <x:c r="G271" s="8" t="n">
        <x:f>'Данные'!F271</x:f>
        <x:v>718</x:v>
      </x:c>
      <x:c r="H271" s="8" t="n">
        <x:f>SUM('Данные'!H271:I271)</x:f>
        <x:v>0</x:v>
      </x:c>
      <x:c r="I271" s="16" t="str">
        <x:f>IF(H271&gt;0,G271/H271,"n.a.")</x:f>
        <x:v>n.a.</x:v>
      </x:c>
      <x:c r="J271" s="10" t="n">
        <x:f>IF('Данные'!E271&gt;0,G271/'Данные'!E271,"n.a.")</x:f>
        <x:v>0.018740864481102525</x:v>
      </x:c>
      <x:c r="K271" s="1" t="str">
        <x:f>IF(G271&gt;='Дашборд'!$C$51,"X","Z")</x:f>
        <x:v>X</x:v>
      </x:c>
      <x:c r="L271" s="1" t="str">
        <x:f>IF(H271=0,IF(G271&gt;0,"Нет остатка","Нет спроса"),IF(I271&gt;='Дашборд'!$C$52,"Быстрый","Медленный"))</x:f>
        <x:v>Нет остатка</x:v>
      </x:c>
      <x:c r="M271" s="1" t="str">
        <x:f>IF('Данные'!E271&lt;'Дашборд'!$C$53,"Мало трафика",IF(J271&lt;'Дашборд'!$C$9*'Дашборд'!$C$54,"Да","Нет"))</x:f>
        <x:v>Нет</x:v>
      </x:c>
      <x:c r="N271" s="1" t="str">
        <x:f>IF(AND('Данные'!D271&gt;='Дашборд'!$C$55,D271&lt;'Дашборд'!$C$56,'Данные'!E271&gt;='Дашборд'!$C$53,'Данные'!L271&lt;&gt;"Да"),"Да","Нет")</x:f>
        <x:v>Нет</x:v>
      </x:c>
      <x:c r="O271" s="1" t="str">
        <x:f>'Данные'!L271</x:f>
        <x:v>Нет</x:v>
      </x:c>
    </x:row>
    <x:row r="272">
      <x:c r="A272" s="1" t="str">
        <x:f>'Данные'!A272</x:f>
        <x:v>165757812</x:v>
      </x:c>
      <x:c r="B272" s="1" t="str">
        <x:f>'Данные'!B272</x:f>
        <x:v>kulirkaman/красный</x:v>
      </x:c>
      <x:c r="C272" s="8" t="n">
        <x:f>'Данные'!G272</x:f>
        <x:v>738916</x:v>
      </x:c>
      <x:c r="D272" s="15" t="n">
        <x:f>C272/SUM($C$5:$C$2477)</x:f>
        <x:v>0.0008632191310273443</x:v>
      </x:c>
      <x:c r="E272" s="15" t="n">
        <x:f>SUM($D$5:D272)</x:f>
        <x:v>0.6780397337412287</x:v>
      </x:c>
      <x:c r="F272" s="1" t="str">
        <x:f>IF(C272&lt;=0,"C",IF(E272-D272&lt;'Дашборд'!$C$49,"A",IF(E272-D272&lt;'Дашборд'!$C$50,"B","C")))</x:f>
        <x:v>A</x:v>
      </x:c>
      <x:c r="G272" s="8" t="n">
        <x:f>'Данные'!F272</x:f>
        <x:v>1307</x:v>
      </x:c>
      <x:c r="H272" s="8" t="n">
        <x:f>SUM('Данные'!H272:I272)</x:f>
        <x:v>341</x:v>
      </x:c>
      <x:c r="I272" s="16" t="n">
        <x:f>IF(H272&gt;0,G272/H272,"n.a.")</x:f>
        <x:v>3.832844574780059</x:v>
      </x:c>
      <x:c r="J272" s="10" t="n">
        <x:f>IF('Данные'!E272&gt;0,G272/'Данные'!E272,"n.a.")</x:f>
        <x:v>0.048184331797235025</x:v>
      </x:c>
      <x:c r="K272" s="1" t="str">
        <x:f>IF(G272&gt;='Дашборд'!$C$51,"X","Z")</x:f>
        <x:v>X</x:v>
      </x:c>
      <x:c r="L272" s="1" t="str">
        <x:f>IF(H272=0,IF(G272&gt;0,"Нет остатка","Нет спроса"),IF(I272&gt;='Дашборд'!$C$52,"Быстрый","Медленный"))</x:f>
        <x:v>Быстрый</x:v>
      </x:c>
      <x:c r="M272" s="1" t="str">
        <x:f>IF('Данные'!E272&lt;'Дашборд'!$C$53,"Мало трафика",IF(J272&lt;'Дашборд'!$C$9*'Дашборд'!$C$54,"Да","Нет"))</x:f>
        <x:v>Нет</x:v>
      </x:c>
      <x:c r="N272" s="1" t="str">
        <x:f>IF(AND('Данные'!D272&gt;='Дашборд'!$C$55,D272&lt;'Дашборд'!$C$56,'Данные'!E272&gt;='Дашборд'!$C$53,'Данные'!L272&lt;&gt;"Да"),"Да","Нет")</x:f>
        <x:v>Нет</x:v>
      </x:c>
      <x:c r="O272" s="1" t="str">
        <x:f>'Данные'!L272</x:f>
        <x:v>Нет</x:v>
      </x:c>
    </x:row>
    <x:row r="273">
      <x:c r="A273" s="1" t="str">
        <x:f>'Данные'!A273</x:f>
        <x:v>211336668</x:v>
      </x:c>
      <x:c r="B273" s="1" t="str">
        <x:f>'Данные'!B273</x:f>
        <x:v>tolstovkazipcrop/молочный</x:v>
      </x:c>
      <x:c r="C273" s="8" t="n">
        <x:f>'Данные'!G273</x:f>
        <x:v>734778</x:v>
      </x:c>
      <x:c r="D273" s="15" t="n">
        <x:f>C273/SUM($C$5:$C$2477)</x:f>
        <x:v>0.0008583850216506477</x:v>
      </x:c>
      <x:c r="E273" s="15" t="n">
        <x:f>SUM($D$5:D273)</x:f>
        <x:v>0.6788981187628794</x:v>
      </x:c>
      <x:c r="F273" s="1" t="str">
        <x:f>IF(C273&lt;=0,"C",IF(E273-D273&lt;'Дашборд'!$C$49,"A",IF(E273-D273&lt;'Дашборд'!$C$50,"B","C")))</x:f>
        <x:v>A</x:v>
      </x:c>
      <x:c r="G273" s="8" t="n">
        <x:f>'Данные'!F273</x:f>
        <x:v>686</x:v>
      </x:c>
      <x:c r="H273" s="8" t="n">
        <x:f>SUM('Данные'!H273:I273)</x:f>
        <x:v>132</x:v>
      </x:c>
      <x:c r="I273" s="16" t="n">
        <x:f>IF(H273&gt;0,G273/H273,"n.a.")</x:f>
        <x:v>5.196969696969697</x:v>
      </x:c>
      <x:c r="J273" s="10" t="n">
        <x:f>IF('Данные'!E273&gt;0,G273/'Данные'!E273,"n.a.")</x:f>
        <x:v>0.01541157440690151</x:v>
      </x:c>
      <x:c r="K273" s="1" t="str">
        <x:f>IF(G273&gt;='Дашборд'!$C$51,"X","Z")</x:f>
        <x:v>X</x:v>
      </x:c>
      <x:c r="L273" s="1" t="str">
        <x:f>IF(H273=0,IF(G273&gt;0,"Нет остатка","Нет спроса"),IF(I273&gt;='Дашборд'!$C$52,"Быстрый","Медленный"))</x:f>
        <x:v>Быстрый</x:v>
      </x:c>
      <x:c r="M273" s="1" t="str">
        <x:f>IF('Данные'!E273&lt;'Дашборд'!$C$53,"Мало трафика",IF(J273&lt;'Дашборд'!$C$9*'Дашборд'!$C$54,"Да","Нет"))</x:f>
        <x:v>Нет</x:v>
      </x:c>
      <x:c r="N273" s="1" t="str">
        <x:f>IF(AND('Данные'!D273&gt;='Дашборд'!$C$55,D273&lt;'Дашборд'!$C$56,'Данные'!E273&gt;='Дашборд'!$C$53,'Данные'!L273&lt;&gt;"Да"),"Да","Нет")</x:f>
        <x:v>Да</x:v>
      </x:c>
      <x:c r="O273" s="1" t="str">
        <x:f>'Данные'!L273</x:f>
        <x:v>Нет</x:v>
      </x:c>
    </x:row>
    <x:row r="274">
      <x:c r="A274" s="1" t="str">
        <x:f>'Данные'!A274</x:f>
        <x:v>311462398</x:v>
      </x:c>
      <x:c r="B274" s="1" t="str">
        <x:f>'Данные'!B274</x:f>
        <x:v>brukimanpetl/серый</x:v>
      </x:c>
      <x:c r="C274" s="8" t="n">
        <x:f>'Данные'!G274</x:f>
        <x:v>733996</x:v>
      </x:c>
      <x:c r="D274" s="15" t="n">
        <x:f>C274/SUM($C$5:$C$2477)</x:f>
        <x:v>0.0008574714707727895</x:v>
      </x:c>
      <x:c r="E274" s="15" t="n">
        <x:f>SUM($D$5:D274)</x:f>
        <x:v>0.6797555902336522</x:v>
      </x:c>
      <x:c r="F274" s="1" t="str">
        <x:f>IF(C274&lt;=0,"C",IF(E274-D274&lt;'Дашборд'!$C$49,"A",IF(E274-D274&lt;'Дашборд'!$C$50,"B","C")))</x:f>
        <x:v>A</x:v>
      </x:c>
      <x:c r="G274" s="8" t="n">
        <x:f>'Данные'!F274</x:f>
        <x:v>905</x:v>
      </x:c>
      <x:c r="H274" s="8" t="n">
        <x:f>SUM('Данные'!H274:I274)</x:f>
        <x:v>81</x:v>
      </x:c>
      <x:c r="I274" s="16" t="n">
        <x:f>IF(H274&gt;0,G274/H274,"n.a.")</x:f>
        <x:v>11.17283950617284</x:v>
      </x:c>
      <x:c r="J274" s="10" t="n">
        <x:f>IF('Данные'!E274&gt;0,G274/'Данные'!E274,"n.a.")</x:f>
        <x:v>0.027838444738380142</x:v>
      </x:c>
      <x:c r="K274" s="1" t="str">
        <x:f>IF(G274&gt;='Дашборд'!$C$51,"X","Z")</x:f>
        <x:v>X</x:v>
      </x:c>
      <x:c r="L274" s="1" t="str">
        <x:f>IF(H274=0,IF(G274&gt;0,"Нет остатка","Нет спроса"),IF(I274&gt;='Дашборд'!$C$52,"Быстрый","Медленный"))</x:f>
        <x:v>Быстрый</x:v>
      </x:c>
      <x:c r="M274" s="1" t="str">
        <x:f>IF('Данные'!E274&lt;'Дашборд'!$C$53,"Мало трафика",IF(J274&lt;'Дашборд'!$C$9*'Дашборд'!$C$54,"Да","Нет"))</x:f>
        <x:v>Нет</x:v>
      </x:c>
      <x:c r="N274" s="1" t="str">
        <x:f>IF(AND('Данные'!D274&gt;='Дашборд'!$C$55,D274&lt;'Дашборд'!$C$56,'Данные'!E274&gt;='Дашборд'!$C$53,'Данные'!L274&lt;&gt;"Да"),"Да","Нет")</x:f>
        <x:v>Нет</x:v>
      </x:c>
      <x:c r="O274" s="1" t="str">
        <x:f>'Данные'!L274</x:f>
        <x:v>Нет</x:v>
      </x:c>
    </x:row>
    <x:row r="275">
      <x:c r="A275" s="1" t="str">
        <x:f>'Данные'!A275</x:f>
        <x:v>211336682</x:v>
      </x:c>
      <x:c r="B275" s="1" t="str">
        <x:f>'Данные'!B275</x:f>
        <x:v>tolstovkazipman/серый</x:v>
      </x:c>
      <x:c r="C275" s="8" t="n">
        <x:f>'Данные'!G275</x:f>
        <x:v>729033</x:v>
      </x:c>
      <x:c r="D275" s="15" t="n">
        <x:f>C275/SUM($C$5:$C$2477)</x:f>
        <x:v>0.000851673576902189</x:v>
      </x:c>
      <x:c r="E275" s="15" t="n">
        <x:f>SUM($D$5:D275)</x:f>
        <x:v>0.6806072638105544</x:v>
      </x:c>
      <x:c r="F275" s="1" t="str">
        <x:f>IF(C275&lt;=0,"C",IF(E275-D275&lt;'Дашборд'!$C$49,"A",IF(E275-D275&lt;'Дашборд'!$C$50,"B","C")))</x:f>
        <x:v>A</x:v>
      </x:c>
      <x:c r="G275" s="8" t="n">
        <x:f>'Данные'!F275</x:f>
        <x:v>802</x:v>
      </x:c>
      <x:c r="H275" s="8" t="n">
        <x:f>SUM('Данные'!H275:I275)</x:f>
        <x:v>94</x:v>
      </x:c>
      <x:c r="I275" s="16" t="n">
        <x:f>IF(H275&gt;0,G275/H275,"n.a.")</x:f>
        <x:v>8.53191489361702</x:v>
      </x:c>
      <x:c r="J275" s="10" t="n">
        <x:f>IF('Данные'!E275&gt;0,G275/'Данные'!E275,"n.a.")</x:f>
        <x:v>0.016992605462211582</x:v>
      </x:c>
      <x:c r="K275" s="1" t="str">
        <x:f>IF(G275&gt;='Дашборд'!$C$51,"X","Z")</x:f>
        <x:v>X</x:v>
      </x:c>
      <x:c r="L275" s="1" t="str">
        <x:f>IF(H275=0,IF(G275&gt;0,"Нет остатка","Нет спроса"),IF(I275&gt;='Дашборд'!$C$52,"Быстрый","Медленный"))</x:f>
        <x:v>Быстрый</x:v>
      </x:c>
      <x:c r="M275" s="1" t="str">
        <x:f>IF('Данные'!E275&lt;'Дашборд'!$C$53,"Мало трафика",IF(J275&lt;'Дашборд'!$C$9*'Дашборд'!$C$54,"Да","Нет"))</x:f>
        <x:v>Нет</x:v>
      </x:c>
      <x:c r="N275" s="1" t="str">
        <x:f>IF(AND('Данные'!D275&gt;='Дашборд'!$C$55,D275&lt;'Дашборд'!$C$56,'Данные'!E275&gt;='Дашборд'!$C$53,'Данные'!L275&lt;&gt;"Да"),"Да","Нет")</x:f>
        <x:v>Нет</x:v>
      </x:c>
      <x:c r="O275" s="1" t="str">
        <x:f>'Данные'!L275</x:f>
        <x:v>Нет</x:v>
      </x:c>
    </x:row>
    <x:row r="276">
      <x:c r="A276" s="1" t="str">
        <x:f>'Данные'!A276</x:f>
        <x:v>260797918</x:v>
      </x:c>
      <x:c r="B276" s="1" t="str">
        <x:f>'Данные'!B276</x:f>
        <x:v>hudicrop1/серый</x:v>
      </x:c>
      <x:c r="C276" s="8" t="n">
        <x:f>'Данные'!G276</x:f>
        <x:v>727656</x:v>
      </x:c>
      <x:c r="D276" s="15" t="n">
        <x:f>C276/SUM($C$5:$C$2477)</x:f>
        <x:v>0.000850064932965091</x:v>
      </x:c>
      <x:c r="E276" s="15" t="n">
        <x:f>SUM($D$5:D276)</x:f>
        <x:v>0.6814573287435195</x:v>
      </x:c>
      <x:c r="F276" s="1" t="str">
        <x:f>IF(C276&lt;=0,"C",IF(E276-D276&lt;'Дашборд'!$C$49,"A",IF(E276-D276&lt;'Дашборд'!$C$50,"B","C")))</x:f>
        <x:v>A</x:v>
      </x:c>
      <x:c r="G276" s="8" t="n">
        <x:f>'Данные'!F276</x:f>
        <x:v>715</x:v>
      </x:c>
      <x:c r="H276" s="8" t="n">
        <x:f>SUM('Данные'!H276:I276)</x:f>
        <x:v>205</x:v>
      </x:c>
      <x:c r="I276" s="16" t="n">
        <x:f>IF(H276&gt;0,G276/H276,"n.a.")</x:f>
        <x:v>3.4878048780487805</x:v>
      </x:c>
      <x:c r="J276" s="10" t="n">
        <x:f>IF('Данные'!E276&gt;0,G276/'Данные'!E276,"n.a.")</x:f>
        <x:v>0.010148177586011128</x:v>
      </x:c>
      <x:c r="K276" s="1" t="str">
        <x:f>IF(G276&gt;='Дашборд'!$C$51,"X","Z")</x:f>
        <x:v>X</x:v>
      </x:c>
      <x:c r="L276" s="1" t="str">
        <x:f>IF(H276=0,IF(G276&gt;0,"Нет остатка","Нет спроса"),IF(I276&gt;='Дашборд'!$C$52,"Быстрый","Медленный"))</x:f>
        <x:v>Быстрый</x:v>
      </x:c>
      <x:c r="M276" s="1" t="str">
        <x:f>IF('Данные'!E276&lt;'Дашборд'!$C$53,"Мало трафика",IF(J276&lt;'Дашборд'!$C$9*'Дашборд'!$C$54,"Да","Нет"))</x:f>
        <x:v>Нет</x:v>
      </x:c>
      <x:c r="N276" s="1" t="str">
        <x:f>IF(AND('Данные'!D276&gt;='Дашборд'!$C$55,D276&lt;'Дашборд'!$C$56,'Данные'!E276&gt;='Дашборд'!$C$53,'Данные'!L276&lt;&gt;"Да"),"Да","Нет")</x:f>
        <x:v>Нет</x:v>
      </x:c>
      <x:c r="O276" s="1" t="str">
        <x:f>'Данные'!L276</x:f>
        <x:v>Нет</x:v>
      </x:c>
    </x:row>
    <x:row r="277">
      <x:c r="A277" s="1" t="str">
        <x:f>'Данные'!A277</x:f>
        <x:v>333242663</x:v>
      </x:c>
      <x:c r="B277" s="1" t="str">
        <x:f>'Данные'!B277</x:f>
        <x:v>futbolkamanoverX3/чер-бел-как</x:v>
      </x:c>
      <x:c r="C277" s="8" t="n">
        <x:f>'Данные'!G277</x:f>
        <x:v>725943</x:v>
      </x:c>
      <x:c r="D277" s="15" t="n">
        <x:f>C277/SUM($C$5:$C$2477)</x:f>
        <x:v>0.0008480637658886576</x:v>
      </x:c>
      <x:c r="E277" s="15" t="n">
        <x:f>SUM($D$5:D277)</x:f>
        <x:v>0.6823053925094081</x:v>
      </x:c>
      <x:c r="F277" s="1" t="str">
        <x:f>IF(C277&lt;=0,"C",IF(E277-D277&lt;'Дашборд'!$C$49,"A",IF(E277-D277&lt;'Дашборд'!$C$50,"B","C")))</x:f>
        <x:v>A</x:v>
      </x:c>
      <x:c r="G277" s="8" t="n">
        <x:f>'Данные'!F277</x:f>
        <x:v>548</x:v>
      </x:c>
      <x:c r="H277" s="8" t="n">
        <x:f>SUM('Данные'!H277:I277)</x:f>
        <x:v>593</x:v>
      </x:c>
      <x:c r="I277" s="16" t="n">
        <x:f>IF(H277&gt;0,G277/H277,"n.a.")</x:f>
        <x:v>0.924114671163575</x:v>
      </x:c>
      <x:c r="J277" s="10" t="n">
        <x:f>IF('Данные'!E277&gt;0,G277/'Данные'!E277,"n.a.")</x:f>
        <x:v>0.013989941538382988</x:v>
      </x:c>
      <x:c r="K277" s="1" t="str">
        <x:f>IF(G277&gt;='Дашборд'!$C$51,"X","Z")</x:f>
        <x:v>X</x:v>
      </x:c>
      <x:c r="L277" s="1" t="str">
        <x:f>IF(H277=0,IF(G277&gt;0,"Нет остатка","Нет спроса"),IF(I277&gt;='Дашборд'!$C$52,"Быстрый","Медленный"))</x:f>
        <x:v>Медленный</x:v>
      </x:c>
      <x:c r="M277" s="1" t="str">
        <x:f>IF('Данные'!E277&lt;'Дашборд'!$C$53,"Мало трафика",IF(J277&lt;'Дашборд'!$C$9*'Дашборд'!$C$54,"Да","Нет"))</x:f>
        <x:v>Нет</x:v>
      </x:c>
      <x:c r="N277" s="1" t="str">
        <x:f>IF(AND('Данные'!D277&gt;='Дашборд'!$C$55,D277&lt;'Дашборд'!$C$56,'Данные'!E277&gt;='Дашборд'!$C$53,'Данные'!L277&lt;&gt;"Да"),"Да","Нет")</x:f>
        <x:v>Нет</x:v>
      </x:c>
      <x:c r="O277" s="1" t="str">
        <x:f>'Данные'!L277</x:f>
        <x:v>Нет</x:v>
      </x:c>
    </x:row>
    <x:row r="278">
      <x:c r="A278" s="1" t="str">
        <x:f>'Данные'!A278</x:f>
        <x:v>237301023</x:v>
      </x:c>
      <x:c r="B278" s="1" t="str">
        <x:f>'Данные'!B278</x:f>
        <x:v>longoverprint/MoreSelf-44/молочный</x:v>
      </x:c>
      <x:c r="C278" s="8" t="n">
        <x:f>'Данные'!G278</x:f>
        <x:v>722814</x:v>
      </x:c>
      <x:c r="D278" s="15" t="n">
        <x:f>C278/SUM($C$5:$C$2477)</x:f>
        <x:v>0.0008444083941535963</x:v>
      </x:c>
      <x:c r="E278" s="15" t="n">
        <x:f>SUM($D$5:D278)</x:f>
        <x:v>0.6831498009035617</x:v>
      </x:c>
      <x:c r="F278" s="1" t="str">
        <x:f>IF(C278&lt;=0,"C",IF(E278-D278&lt;'Дашборд'!$C$49,"A",IF(E278-D278&lt;'Дашборд'!$C$50,"B","C")))</x:f>
        <x:v>A</x:v>
      </x:c>
      <x:c r="G278" s="8" t="n">
        <x:f>'Данные'!F278</x:f>
        <x:v>1117</x:v>
      </x:c>
      <x:c r="H278" s="8" t="n">
        <x:f>SUM('Данные'!H278:I278)</x:f>
        <x:v>260</x:v>
      </x:c>
      <x:c r="I278" s="16" t="n">
        <x:f>IF(H278&gt;0,G278/H278,"n.a.")</x:f>
        <x:v>4.296153846153846</x:v>
      </x:c>
      <x:c r="J278" s="10" t="n">
        <x:f>IF('Данные'!E278&gt;0,G278/'Данные'!E278,"n.a.")</x:f>
        <x:v>0.019228120911657372</x:v>
      </x:c>
      <x:c r="K278" s="1" t="str">
        <x:f>IF(G278&gt;='Дашборд'!$C$51,"X","Z")</x:f>
        <x:v>X</x:v>
      </x:c>
      <x:c r="L278" s="1" t="str">
        <x:f>IF(H278=0,IF(G278&gt;0,"Нет остатка","Нет спроса"),IF(I278&gt;='Дашборд'!$C$52,"Быстрый","Медленный"))</x:f>
        <x:v>Быстрый</x:v>
      </x:c>
      <x:c r="M278" s="1" t="str">
        <x:f>IF('Данные'!E278&lt;'Дашборд'!$C$53,"Мало трафика",IF(J278&lt;'Дашборд'!$C$9*'Дашборд'!$C$54,"Да","Нет"))</x:f>
        <x:v>Нет</x:v>
      </x:c>
      <x:c r="N278" s="1" t="str">
        <x:f>IF(AND('Данные'!D278&gt;='Дашборд'!$C$55,D278&lt;'Дашборд'!$C$56,'Данные'!E278&gt;='Дашборд'!$C$53,'Данные'!L278&lt;&gt;"Да"),"Да","Нет")</x:f>
        <x:v>Нет</x:v>
      </x:c>
      <x:c r="O278" s="1" t="str">
        <x:f>'Данные'!L278</x:f>
        <x:v>Нет</x:v>
      </x:c>
    </x:row>
    <x:row r="279">
      <x:c r="A279" s="1" t="str">
        <x:f>'Данные'!A279</x:f>
        <x:v>113249033</x:v>
      </x:c>
      <x:c r="B279" s="1" t="str">
        <x:f>'Данные'!B279</x:f>
        <x:v>kroptop/сине-морской</x:v>
      </x:c>
      <x:c r="C279" s="8" t="n">
        <x:f>'Данные'!G279</x:f>
        <x:v>719142</x:v>
      </x:c>
      <x:c r="D279" s="15" t="n">
        <x:f>C279/SUM($C$5:$C$2477)</x:f>
        <x:v>0.0008401186769880018</x:v>
      </x:c>
      <x:c r="E279" s="15" t="n">
        <x:f>SUM($D$5:D279)</x:f>
        <x:v>0.6839899195805497</x:v>
      </x:c>
      <x:c r="F279" s="1" t="str">
        <x:f>IF(C279&lt;=0,"C",IF(E279-D279&lt;'Дашборд'!$C$49,"A",IF(E279-D279&lt;'Дашборд'!$C$50,"B","C")))</x:f>
        <x:v>A</x:v>
      </x:c>
      <x:c r="G279" s="8" t="n">
        <x:f>'Данные'!F279</x:f>
        <x:v>1851</x:v>
      </x:c>
      <x:c r="H279" s="8" t="n">
        <x:f>SUM('Данные'!H279:I279)</x:f>
        <x:v>2557</x:v>
      </x:c>
      <x:c r="I279" s="16" t="n">
        <x:f>IF(H279&gt;0,G279/H279,"n.a.")</x:f>
        <x:v>0.7238951896754009</x:v>
      </x:c>
      <x:c r="J279" s="10" t="n">
        <x:f>IF('Данные'!E279&gt;0,G279/'Данные'!E279,"n.a.")</x:f>
        <x:v>0.030679727512306697</x:v>
      </x:c>
      <x:c r="K279" s="1" t="str">
        <x:f>IF(G279&gt;='Дашборд'!$C$51,"X","Z")</x:f>
        <x:v>X</x:v>
      </x:c>
      <x:c r="L279" s="1" t="str">
        <x:f>IF(H279=0,IF(G279&gt;0,"Нет остатка","Нет спроса"),IF(I279&gt;='Дашборд'!$C$52,"Быстрый","Медленный"))</x:f>
        <x:v>Медленный</x:v>
      </x:c>
      <x:c r="M279" s="1" t="str">
        <x:f>IF('Данные'!E279&lt;'Дашборд'!$C$53,"Мало трафика",IF(J279&lt;'Дашборд'!$C$9*'Дашборд'!$C$54,"Да","Нет"))</x:f>
        <x:v>Нет</x:v>
      </x:c>
      <x:c r="N279" s="1" t="str">
        <x:f>IF(AND('Данные'!D279&gt;='Дашборд'!$C$55,D279&lt;'Дашборд'!$C$56,'Данные'!E279&gt;='Дашборд'!$C$53,'Данные'!L279&lt;&gt;"Да"),"Да","Нет")</x:f>
        <x:v>Нет</x:v>
      </x:c>
      <x:c r="O279" s="1" t="str">
        <x:f>'Данные'!L279</x:f>
        <x:v>Нет</x:v>
      </x:c>
    </x:row>
    <x:row r="280">
      <x:c r="A280" s="1" t="str">
        <x:f>'Данные'!A280</x:f>
        <x:v>321792809</x:v>
      </x:c>
      <x:c r="B280" s="1" t="str">
        <x:f>'Данные'!B280</x:f>
        <x:v>tshirtsuperover3K-E1/белый</x:v>
      </x:c>
      <x:c r="C280" s="8" t="n">
        <x:f>'Данные'!G280</x:f>
        <x:v>718603</x:v>
      </x:c>
      <x:c r="D280" s="15" t="n">
        <x:f>C280/SUM($C$5:$C$2477)</x:f>
        <x:v>0.0008394890044519846</x:v>
      </x:c>
      <x:c r="E280" s="15" t="n">
        <x:f>SUM($D$5:D280)</x:f>
        <x:v>0.6848294085850016</x:v>
      </x:c>
      <x:c r="F280" s="1" t="str">
        <x:f>IF(C280&lt;=0,"C",IF(E280-D280&lt;'Дашборд'!$C$49,"A",IF(E280-D280&lt;'Дашборд'!$C$50,"B","C")))</x:f>
        <x:v>A</x:v>
      </x:c>
      <x:c r="G280" s="8" t="n">
        <x:f>'Данные'!F280</x:f>
        <x:v>1277</x:v>
      </x:c>
      <x:c r="H280" s="8" t="n">
        <x:f>SUM('Данные'!H280:I280)</x:f>
        <x:v>356</x:v>
      </x:c>
      <x:c r="I280" s="16" t="n">
        <x:f>IF(H280&gt;0,G280/H280,"n.a.")</x:f>
        <x:v>3.587078651685393</x:v>
      </x:c>
      <x:c r="J280" s="10" t="n">
        <x:f>IF('Данные'!E280&gt;0,G280/'Данные'!E280,"n.a.")</x:f>
        <x:v>0.012086050407442811</x:v>
      </x:c>
      <x:c r="K280" s="1" t="str">
        <x:f>IF(G280&gt;='Дашборд'!$C$51,"X","Z")</x:f>
        <x:v>X</x:v>
      </x:c>
      <x:c r="L280" s="1" t="str">
        <x:f>IF(H280=0,IF(G280&gt;0,"Нет остатка","Нет спроса"),IF(I280&gt;='Дашборд'!$C$52,"Быстрый","Медленный"))</x:f>
        <x:v>Быстрый</x:v>
      </x:c>
      <x:c r="M280" s="1" t="str">
        <x:f>IF('Данные'!E280&lt;'Дашборд'!$C$53,"Мало трафика",IF(J280&lt;'Дашборд'!$C$9*'Дашборд'!$C$54,"Да","Нет"))</x:f>
        <x:v>Нет</x:v>
      </x:c>
      <x:c r="N280" s="1" t="str">
        <x:f>IF(AND('Данные'!D280&gt;='Дашборд'!$C$55,D280&lt;'Дашборд'!$C$56,'Данные'!E280&gt;='Дашборд'!$C$53,'Данные'!L280&lt;&gt;"Да"),"Да","Нет")</x:f>
        <x:v>Нет</x:v>
      </x:c>
      <x:c r="O280" s="1" t="str">
        <x:f>'Данные'!L280</x:f>
        <x:v>Нет</x:v>
      </x:c>
    </x:row>
    <x:row r="281">
      <x:c r="A281" s="1" t="str">
        <x:f>'Данные'!A281</x:f>
        <x:v>322134919</x:v>
      </x:c>
      <x:c r="B281" s="1" t="str">
        <x:f>'Данные'!B281</x:f>
        <x:v>shtanygulf3P-S3/серыймеланж2</x:v>
      </x:c>
      <x:c r="C281" s="8" t="n">
        <x:f>'Данные'!G281</x:f>
        <x:v>713831</x:v>
      </x:c>
      <x:c r="D281" s="15" t="n">
        <x:f>C281/SUM($C$5:$C$2477)</x:f>
        <x:v>0.0008339142412945182</x:v>
      </x:c>
      <x:c r="E281" s="15" t="n">
        <x:f>SUM($D$5:D281)</x:f>
        <x:v>0.6856633228262962</x:v>
      </x:c>
      <x:c r="F281" s="1" t="str">
        <x:f>IF(C281&lt;=0,"C",IF(E281-D281&lt;'Дашборд'!$C$49,"A",IF(E281-D281&lt;'Дашборд'!$C$50,"B","C")))</x:f>
        <x:v>A</x:v>
      </x:c>
      <x:c r="G281" s="8" t="n">
        <x:f>'Данные'!F281</x:f>
        <x:v>890</x:v>
      </x:c>
      <x:c r="H281" s="8" t="n">
        <x:f>SUM('Данные'!H281:I281)</x:f>
        <x:v>1</x:v>
      </x:c>
      <x:c r="I281" s="16" t="n">
        <x:f>IF(H281&gt;0,G281/H281,"n.a.")</x:f>
        <x:v>890</x:v>
      </x:c>
      <x:c r="J281" s="10" t="n">
        <x:f>IF('Данные'!E281&gt;0,G281/'Данные'!E281,"n.a.")</x:f>
        <x:v>0.019743117637924534</x:v>
      </x:c>
      <x:c r="K281" s="1" t="str">
        <x:f>IF(G281&gt;='Дашборд'!$C$51,"X","Z")</x:f>
        <x:v>X</x:v>
      </x:c>
      <x:c r="L281" s="1" t="str">
        <x:f>IF(H281=0,IF(G281&gt;0,"Нет остатка","Нет спроса"),IF(I281&gt;='Дашборд'!$C$52,"Быстрый","Медленный"))</x:f>
        <x:v>Быстрый</x:v>
      </x:c>
      <x:c r="M281" s="1" t="str">
        <x:f>IF('Данные'!E281&lt;'Дашборд'!$C$53,"Мало трафика",IF(J281&lt;'Дашборд'!$C$9*'Дашборд'!$C$54,"Да","Нет"))</x:f>
        <x:v>Нет</x:v>
      </x:c>
      <x:c r="N281" s="1" t="str">
        <x:f>IF(AND('Данные'!D281&gt;='Дашборд'!$C$55,D281&lt;'Дашборд'!$C$56,'Данные'!E281&gt;='Дашборд'!$C$53,'Данные'!L281&lt;&gt;"Да"),"Да","Нет")</x:f>
        <x:v>Да</x:v>
      </x:c>
      <x:c r="O281" s="1" t="str">
        <x:f>'Данные'!L281</x:f>
        <x:v>Нет</x:v>
      </x:c>
    </x:row>
    <x:row r="282">
      <x:c r="A282" s="1" t="str">
        <x:f>'Данные'!A282</x:f>
        <x:v>291183456</x:v>
      </x:c>
      <x:c r="B282" s="1" t="str">
        <x:f>'Данные'!B282</x:f>
        <x:v>kulirkamanprint/MovesBlack-180/черный</x:v>
      </x:c>
      <x:c r="C282" s="8" t="n">
        <x:f>'Данные'!G282</x:f>
        <x:v>713606</x:v>
      </x:c>
      <x:c r="D282" s="15" t="n">
        <x:f>C282/SUM($C$5:$C$2477)</x:f>
        <x:v>0.0008336513909779988</x:v>
      </x:c>
      <x:c r="E282" s="15" t="n">
        <x:f>SUM($D$5:D282)</x:f>
        <x:v>0.6864969742172742</x:v>
      </x:c>
      <x:c r="F282" s="1" t="str">
        <x:f>IF(C282&lt;=0,"C",IF(E282-D282&lt;'Дашборд'!$C$49,"A",IF(E282-D282&lt;'Дашборд'!$C$50,"B","C")))</x:f>
        <x:v>A</x:v>
      </x:c>
      <x:c r="G282" s="8" t="n">
        <x:f>'Данные'!F282</x:f>
        <x:v>1277</x:v>
      </x:c>
      <x:c r="H282" s="8" t="n">
        <x:f>SUM('Данные'!H282:I282)</x:f>
        <x:v>13</x:v>
      </x:c>
      <x:c r="I282" s="16" t="n">
        <x:f>IF(H282&gt;0,G282/H282,"n.a.")</x:f>
        <x:v>98.23076923076923</x:v>
      </x:c>
      <x:c r="J282" s="10" t="n">
        <x:f>IF('Данные'!E282&gt;0,G282/'Данные'!E282,"n.a.")</x:f>
        <x:v>0.015662177741800967</x:v>
      </x:c>
      <x:c r="K282" s="1" t="str">
        <x:f>IF(G282&gt;='Дашборд'!$C$51,"X","Z")</x:f>
        <x:v>X</x:v>
      </x:c>
      <x:c r="L282" s="1" t="str">
        <x:f>IF(H282=0,IF(G282&gt;0,"Нет остатка","Нет спроса"),IF(I282&gt;='Дашборд'!$C$52,"Быстрый","Медленный"))</x:f>
        <x:v>Быстрый</x:v>
      </x:c>
      <x:c r="M282" s="1" t="str">
        <x:f>IF('Данные'!E282&lt;'Дашборд'!$C$53,"Мало трафика",IF(J282&lt;'Дашборд'!$C$9*'Дашборд'!$C$54,"Да","Нет"))</x:f>
        <x:v>Нет</x:v>
      </x:c>
      <x:c r="N282" s="1" t="str">
        <x:f>IF(AND('Данные'!D282&gt;='Дашборд'!$C$55,D282&lt;'Дашборд'!$C$56,'Данные'!E282&gt;='Дашборд'!$C$53,'Данные'!L282&lt;&gt;"Да"),"Да","Нет")</x:f>
        <x:v>Нет</x:v>
      </x:c>
      <x:c r="O282" s="1" t="str">
        <x:f>'Данные'!L282</x:f>
        <x:v>Нет</x:v>
      </x:c>
    </x:row>
    <x:row r="283">
      <x:c r="A283" s="1" t="str">
        <x:f>'Данные'!A283</x:f>
        <x:v>333323584</x:v>
      </x:c>
      <x:c r="B283" s="1" t="str">
        <x:f>'Данные'!B283</x:f>
        <x:v>hudicroppetl/темно-серый</x:v>
      </x:c>
      <x:c r="C283" s="8" t="n">
        <x:f>'Данные'!G283</x:f>
        <x:v>711266</x:v>
      </x:c>
      <x:c r="D283" s="15" t="n">
        <x:f>C283/SUM($C$5:$C$2477)</x:f>
        <x:v>0.0008309177476861985</x:v>
      </x:c>
      <x:c r="E283" s="15" t="n">
        <x:f>SUM($D$5:D283)</x:f>
        <x:v>0.6873278919649604</x:v>
      </x:c>
      <x:c r="F283" s="1" t="str">
        <x:f>IF(C283&lt;=0,"C",IF(E283-D283&lt;'Дашборд'!$C$49,"A",IF(E283-D283&lt;'Дашборд'!$C$50,"B","C")))</x:f>
        <x:v>A</x:v>
      </x:c>
      <x:c r="G283" s="8" t="n">
        <x:f>'Данные'!F283</x:f>
        <x:v>725</x:v>
      </x:c>
      <x:c r="H283" s="8" t="n">
        <x:f>SUM('Данные'!H283:I283)</x:f>
        <x:v>122</x:v>
      </x:c>
      <x:c r="I283" s="16" t="n">
        <x:f>IF(H283&gt;0,G283/H283,"n.a.")</x:f>
        <x:v>5.942622950819672</x:v>
      </x:c>
      <x:c r="J283" s="10" t="n">
        <x:f>IF('Данные'!E283&gt;0,G283/'Данные'!E283,"n.a.")</x:f>
        <x:v>0.01634834374365797</x:v>
      </x:c>
      <x:c r="K283" s="1" t="str">
        <x:f>IF(G283&gt;='Дашборд'!$C$51,"X","Z")</x:f>
        <x:v>X</x:v>
      </x:c>
      <x:c r="L283" s="1" t="str">
        <x:f>IF(H283=0,IF(G283&gt;0,"Нет остатка","Нет спроса"),IF(I283&gt;='Дашборд'!$C$52,"Быстрый","Медленный"))</x:f>
        <x:v>Быстрый</x:v>
      </x:c>
      <x:c r="M283" s="1" t="str">
        <x:f>IF('Данные'!E283&lt;'Дашборд'!$C$53,"Мало трафика",IF(J283&lt;'Дашборд'!$C$9*'Дашборд'!$C$54,"Да","Нет"))</x:f>
        <x:v>Нет</x:v>
      </x:c>
      <x:c r="N283" s="1" t="str">
        <x:f>IF(AND('Данные'!D283&gt;='Дашборд'!$C$55,D283&lt;'Дашборд'!$C$56,'Данные'!E283&gt;='Дашборд'!$C$53,'Данные'!L283&lt;&gt;"Да"),"Да","Нет")</x:f>
        <x:v>Нет</x:v>
      </x:c>
      <x:c r="O283" s="1" t="str">
        <x:f>'Данные'!L283</x:f>
        <x:v>Нет</x:v>
      </x:c>
    </x:row>
    <x:row r="284">
      <x:c r="A284" s="1" t="str">
        <x:f>'Данные'!A284</x:f>
        <x:v>234109064</x:v>
      </x:c>
      <x:c r="B284" s="1" t="str">
        <x:f>'Данные'!B284</x:f>
        <x:v>futbolkaprint/MovesWithLove-135/розовый</x:v>
      </x:c>
      <x:c r="C284" s="8" t="n">
        <x:f>'Данные'!G284</x:f>
        <x:v>711066</x:v>
      </x:c>
      <x:c r="D284" s="15" t="n">
        <x:f>C284/SUM($C$5:$C$2477)</x:f>
        <x:v>0.0008306841029604036</x:v>
      </x:c>
      <x:c r="E284" s="15" t="n">
        <x:f>SUM($D$5:D284)</x:f>
        <x:v>0.6881585760679207</x:v>
      </x:c>
      <x:c r="F284" s="1" t="str">
        <x:f>IF(C284&lt;=0,"C",IF(E284-D284&lt;'Дашборд'!$C$49,"A",IF(E284-D284&lt;'Дашборд'!$C$50,"B","C")))</x:f>
        <x:v>A</x:v>
      </x:c>
      <x:c r="G284" s="8" t="n">
        <x:f>'Данные'!F284</x:f>
        <x:v>1129</x:v>
      </x:c>
      <x:c r="H284" s="8" t="n">
        <x:f>SUM('Данные'!H284:I284)</x:f>
        <x:v>234</x:v>
      </x:c>
      <x:c r="I284" s="16" t="n">
        <x:f>IF(H284&gt;0,G284/H284,"n.a.")</x:f>
        <x:v>4.8247863247863245</x:v>
      </x:c>
      <x:c r="J284" s="10" t="n">
        <x:f>IF('Данные'!E284&gt;0,G284/'Данные'!E284,"n.a.")</x:f>
        <x:v>0.011116909715726144</x:v>
      </x:c>
      <x:c r="K284" s="1" t="str">
        <x:f>IF(G284&gt;='Дашборд'!$C$51,"X","Z")</x:f>
        <x:v>X</x:v>
      </x:c>
      <x:c r="L284" s="1" t="str">
        <x:f>IF(H284=0,IF(G284&gt;0,"Нет остатка","Нет спроса"),IF(I284&gt;='Дашборд'!$C$52,"Быстрый","Медленный"))</x:f>
        <x:v>Быстрый</x:v>
      </x:c>
      <x:c r="M284" s="1" t="str">
        <x:f>IF('Данные'!E284&lt;'Дашборд'!$C$53,"Мало трафика",IF(J284&lt;'Дашборд'!$C$9*'Дашборд'!$C$54,"Да","Нет"))</x:f>
        <x:v>Нет</x:v>
      </x:c>
      <x:c r="N284" s="1" t="str">
        <x:f>IF(AND('Данные'!D284&gt;='Дашборд'!$C$55,D284&lt;'Дашборд'!$C$56,'Данные'!E284&gt;='Дашборд'!$C$53,'Данные'!L284&lt;&gt;"Да"),"Да","Нет")</x:f>
        <x:v>Да</x:v>
      </x:c>
      <x:c r="O284" s="1" t="str">
        <x:f>'Данные'!L284</x:f>
        <x:v>Нет</x:v>
      </x:c>
    </x:row>
    <x:row r="285">
      <x:c r="A285" s="1" t="str">
        <x:f>'Данные'!A285</x:f>
        <x:v>297440098</x:v>
      </x:c>
      <x:c r="B285" s="1" t="str">
        <x:f>'Данные'!B285</x:f>
        <x:v>longover/светло-фиолетовый</x:v>
      </x:c>
      <x:c r="C285" s="8" t="n">
        <x:f>'Данные'!G285</x:f>
        <x:v>709728</x:v>
      </x:c>
      <x:c r="D285" s="15" t="n">
        <x:f>C285/SUM($C$5:$C$2477)</x:f>
        <x:v>0.0008291210197448356</x:v>
      </x:c>
      <x:c r="E285" s="15" t="n">
        <x:f>SUM($D$5:D285)</x:f>
        <x:v>0.6889876970876656</x:v>
      </x:c>
      <x:c r="F285" s="1" t="str">
        <x:f>IF(C285&lt;=0,"C",IF(E285-D285&lt;'Дашборд'!$C$49,"A",IF(E285-D285&lt;'Дашборд'!$C$50,"B","C")))</x:f>
        <x:v>A</x:v>
      </x:c>
      <x:c r="G285" s="8" t="n">
        <x:f>'Данные'!F285</x:f>
        <x:v>1197</x:v>
      </x:c>
      <x:c r="H285" s="8" t="n">
        <x:f>SUM('Данные'!H285:I285)</x:f>
        <x:v>358</x:v>
      </x:c>
      <x:c r="I285" s="16" t="n">
        <x:f>IF(H285&gt;0,G285/H285,"n.a.")</x:f>
        <x:v>3.3435754189944134</x:v>
      </x:c>
      <x:c r="J285" s="10" t="n">
        <x:f>IF('Данные'!E285&gt;0,G285/'Данные'!E285,"n.a.")</x:f>
        <x:v>0.013302364864864864</x:v>
      </x:c>
      <x:c r="K285" s="1" t="str">
        <x:f>IF(G285&gt;='Дашборд'!$C$51,"X","Z")</x:f>
        <x:v>X</x:v>
      </x:c>
      <x:c r="L285" s="1" t="str">
        <x:f>IF(H285=0,IF(G285&gt;0,"Нет остатка","Нет спроса"),IF(I285&gt;='Дашборд'!$C$52,"Быстрый","Медленный"))</x:f>
        <x:v>Быстрый</x:v>
      </x:c>
      <x:c r="M285" s="1" t="str">
        <x:f>IF('Данные'!E285&lt;'Дашборд'!$C$53,"Мало трафика",IF(J285&lt;'Дашборд'!$C$9*'Дашборд'!$C$54,"Да","Нет"))</x:f>
        <x:v>Нет</x:v>
      </x:c>
      <x:c r="N285" s="1" t="str">
        <x:f>IF(AND('Данные'!D285&gt;='Дашборд'!$C$55,D285&lt;'Дашборд'!$C$56,'Данные'!E285&gt;='Дашборд'!$C$53,'Данные'!L285&lt;&gt;"Да"),"Да","Нет")</x:f>
        <x:v>Нет</x:v>
      </x:c>
      <x:c r="O285" s="1" t="str">
        <x:f>'Данные'!L285</x:f>
        <x:v>Нет</x:v>
      </x:c>
    </x:row>
    <x:row r="286">
      <x:c r="A286" s="1" t="str">
        <x:f>'Данные'!A286</x:f>
        <x:v>224386355</x:v>
      </x:c>
      <x:c r="B286" s="1" t="str">
        <x:f>'Данные'!B286</x:f>
        <x:v>futbolkaprint/MovesWithLove-135/молочный</x:v>
      </x:c>
      <x:c r="C286" s="8" t="n">
        <x:f>'Данные'!G286</x:f>
        <x:v>707918</x:v>
      </x:c>
      <x:c r="D286" s="15" t="n">
        <x:f>C286/SUM($C$5:$C$2477)</x:f>
        <x:v>0.0008270065349763918</x:v>
      </x:c>
      <x:c r="E286" s="15" t="n">
        <x:f>SUM($D$5:D286)</x:f>
        <x:v>0.689814703622642</x:v>
      </x:c>
      <x:c r="F286" s="1" t="str">
        <x:f>IF(C286&lt;=0,"C",IF(E286-D286&lt;'Дашборд'!$C$49,"A",IF(E286-D286&lt;'Дашборд'!$C$50,"B","C")))</x:f>
        <x:v>A</x:v>
      </x:c>
      <x:c r="G286" s="8" t="n">
        <x:f>'Данные'!F286</x:f>
        <x:v>1185</x:v>
      </x:c>
      <x:c r="H286" s="8" t="n">
        <x:f>SUM('Данные'!H286:I286)</x:f>
        <x:v>14</x:v>
      </x:c>
      <x:c r="I286" s="16" t="n">
        <x:f>IF(H286&gt;0,G286/H286,"n.a.")</x:f>
        <x:v>84.64285714285714</x:v>
      </x:c>
      <x:c r="J286" s="10" t="n">
        <x:f>IF('Данные'!E286&gt;0,G286/'Данные'!E286,"n.a.")</x:f>
        <x:v>0.010121716848174247</x:v>
      </x:c>
      <x:c r="K286" s="1" t="str">
        <x:f>IF(G286&gt;='Дашборд'!$C$51,"X","Z")</x:f>
        <x:v>X</x:v>
      </x:c>
      <x:c r="L286" s="1" t="str">
        <x:f>IF(H286=0,IF(G286&gt;0,"Нет остатка","Нет спроса"),IF(I286&gt;='Дашборд'!$C$52,"Быстрый","Медленный"))</x:f>
        <x:v>Быстрый</x:v>
      </x:c>
      <x:c r="M286" s="1" t="str">
        <x:f>IF('Данные'!E286&lt;'Дашборд'!$C$53,"Мало трафика",IF(J286&lt;'Дашборд'!$C$9*'Дашборд'!$C$54,"Да","Нет"))</x:f>
        <x:v>Да</x:v>
      </x:c>
      <x:c r="N286" s="1" t="str">
        <x:f>IF(AND('Данные'!D286&gt;='Дашборд'!$C$55,D286&lt;'Дашборд'!$C$56,'Данные'!E286&gt;='Дашборд'!$C$53,'Данные'!L286&lt;&gt;"Да"),"Да","Нет")</x:f>
        <x:v>Нет</x:v>
      </x:c>
      <x:c r="O286" s="1" t="str">
        <x:f>'Данные'!L286</x:f>
        <x:v>Нет</x:v>
      </x:c>
    </x:row>
    <x:row r="287">
      <x:c r="A287" s="1" t="str">
        <x:f>'Данные'!A287</x:f>
        <x:v>59328864</x:v>
      </x:c>
      <x:c r="B287" s="1" t="str">
        <x:f>'Данные'!B287</x:f>
        <x:v>hudiman/песочный</x:v>
      </x:c>
      <x:c r="C287" s="8" t="n">
        <x:f>'Данные'!G287</x:f>
        <x:v>707456</x:v>
      </x:c>
      <x:c r="D287" s="15" t="n">
        <x:f>C287/SUM($C$5:$C$2477)</x:f>
        <x:v>0.0008264668156598055</x:v>
      </x:c>
      <x:c r="E287" s="15" t="n">
        <x:f>SUM($D$5:D287)</x:f>
        <x:v>0.6906411704383018</x:v>
      </x:c>
      <x:c r="F287" s="1" t="str">
        <x:f>IF(C287&lt;=0,"C",IF(E287-D287&lt;'Дашборд'!$C$49,"A",IF(E287-D287&lt;'Дашборд'!$C$50,"B","C")))</x:f>
        <x:v>A</x:v>
      </x:c>
      <x:c r="G287" s="8" t="n">
        <x:f>'Данные'!F287</x:f>
        <x:v>749</x:v>
      </x:c>
      <x:c r="H287" s="8" t="n">
        <x:f>SUM('Данные'!H287:I287)</x:f>
        <x:v>557</x:v>
      </x:c>
      <x:c r="I287" s="16" t="n">
        <x:f>IF(H287&gt;0,G287/H287,"n.a.")</x:f>
        <x:v>1.3447037701974864</x:v>
      </x:c>
      <x:c r="J287" s="10" t="n">
        <x:f>IF('Данные'!E287&gt;0,G287/'Данные'!E287,"n.a.")</x:f>
        <x:v>0.028115615615615614</x:v>
      </x:c>
      <x:c r="K287" s="1" t="str">
        <x:f>IF(G287&gt;='Дашборд'!$C$51,"X","Z")</x:f>
        <x:v>X</x:v>
      </x:c>
      <x:c r="L287" s="1" t="str">
        <x:f>IF(H287=0,IF(G287&gt;0,"Нет остатка","Нет спроса"),IF(I287&gt;='Дашборд'!$C$52,"Быстрый","Медленный"))</x:f>
        <x:v>Быстрый</x:v>
      </x:c>
      <x:c r="M287" s="1" t="str">
        <x:f>IF('Данные'!E287&lt;'Дашборд'!$C$53,"Мало трафика",IF(J287&lt;'Дашборд'!$C$9*'Дашборд'!$C$54,"Да","Нет"))</x:f>
        <x:v>Нет</x:v>
      </x:c>
      <x:c r="N287" s="1" t="str">
        <x:f>IF(AND('Данные'!D287&gt;='Дашборд'!$C$55,D287&lt;'Дашборд'!$C$56,'Данные'!E287&gt;='Дашборд'!$C$53,'Данные'!L287&lt;&gt;"Да"),"Да","Нет")</x:f>
        <x:v>Да</x:v>
      </x:c>
      <x:c r="O287" s="1" t="str">
        <x:f>'Данные'!L287</x:f>
        <x:v>Нет</x:v>
      </x:c>
    </x:row>
    <x:row r="288">
      <x:c r="A288" s="1" t="str">
        <x:f>'Данные'!A288</x:f>
        <x:v>271757224</x:v>
      </x:c>
      <x:c r="B288" s="1" t="str">
        <x:f>'Данные'!B288</x:f>
        <x:v>hudicrop1/вареныйсерый</x:v>
      </x:c>
      <x:c r="C288" s="8" t="n">
        <x:f>'Данные'!G288</x:f>
        <x:v>706908</x:v>
      </x:c>
      <x:c r="D288" s="15" t="n">
        <x:f>C288/SUM($C$5:$C$2477)</x:f>
        <x:v>0.0008258266291111274</x:v>
      </x:c>
      <x:c r="E288" s="15" t="n">
        <x:f>SUM($D$5:D288)</x:f>
        <x:v>0.6914669970674129</x:v>
      </x:c>
      <x:c r="F288" s="1" t="str">
        <x:f>IF(C288&lt;=0,"C",IF(E288-D288&lt;'Дашборд'!$C$49,"A",IF(E288-D288&lt;'Дашборд'!$C$50,"B","C")))</x:f>
        <x:v>A</x:v>
      </x:c>
      <x:c r="G288" s="8" t="n">
        <x:f>'Данные'!F288</x:f>
        <x:v>683</x:v>
      </x:c>
      <x:c r="H288" s="8" t="n">
        <x:f>SUM('Данные'!H288:I288)</x:f>
        <x:v>7</x:v>
      </x:c>
      <x:c r="I288" s="16" t="n">
        <x:f>IF(H288&gt;0,G288/H288,"n.a.")</x:f>
        <x:v>97.57142857142857</x:v>
      </x:c>
      <x:c r="J288" s="10" t="n">
        <x:f>IF('Данные'!E288&gt;0,G288/'Данные'!E288,"n.a.")</x:f>
        <x:v>0.009815333764460732</x:v>
      </x:c>
      <x:c r="K288" s="1" t="str">
        <x:f>IF(G288&gt;='Дашборд'!$C$51,"X","Z")</x:f>
        <x:v>X</x:v>
      </x:c>
      <x:c r="L288" s="1" t="str">
        <x:f>IF(H288=0,IF(G288&gt;0,"Нет остатка","Нет спроса"),IF(I288&gt;='Дашборд'!$C$52,"Быстрый","Медленный"))</x:f>
        <x:v>Быстрый</x:v>
      </x:c>
      <x:c r="M288" s="1" t="str">
        <x:f>IF('Данные'!E288&lt;'Дашборд'!$C$53,"Мало трафика",IF(J288&lt;'Дашборд'!$C$9*'Дашборд'!$C$54,"Да","Нет"))</x:f>
        <x:v>Да</x:v>
      </x:c>
      <x:c r="N288" s="1" t="str">
        <x:f>IF(AND('Данные'!D288&gt;='Дашборд'!$C$55,D288&lt;'Дашборд'!$C$56,'Данные'!E288&gt;='Дашборд'!$C$53,'Данные'!L288&lt;&gt;"Да"),"Да","Нет")</x:f>
        <x:v>Нет</x:v>
      </x:c>
      <x:c r="O288" s="1" t="str">
        <x:f>'Данные'!L288</x:f>
        <x:v>Нет</x:v>
      </x:c>
    </x:row>
    <x:row r="289">
      <x:c r="A289" s="1" t="str">
        <x:f>'Данные'!A289</x:f>
        <x:v>116672591</x:v>
      </x:c>
      <x:c r="B289" s="1" t="str">
        <x:f>'Данные'!B289</x:f>
        <x:v>kroptop/морскаяволна</x:v>
      </x:c>
      <x:c r="C289" s="8" t="n">
        <x:f>'Данные'!G289</x:f>
        <x:v>704554</x:v>
      </x:c>
      <x:c r="D289" s="15" t="n">
        <x:f>C289/SUM($C$5:$C$2477)</x:f>
        <x:v>0.0008230766306885214</x:v>
      </x:c>
      <x:c r="E289" s="15" t="n">
        <x:f>SUM($D$5:D289)</x:f>
        <x:v>0.6922900736981014</x:v>
      </x:c>
      <x:c r="F289" s="1" t="str">
        <x:f>IF(C289&lt;=0,"C",IF(E289-D289&lt;'Дашборд'!$C$49,"A",IF(E289-D289&lt;'Дашборд'!$C$50,"B","C")))</x:f>
        <x:v>A</x:v>
      </x:c>
      <x:c r="G289" s="8" t="n">
        <x:f>'Данные'!F289</x:f>
        <x:v>1924</x:v>
      </x:c>
      <x:c r="H289" s="8" t="n">
        <x:f>SUM('Данные'!H289:I289)</x:f>
        <x:v>3667</x:v>
      </x:c>
      <x:c r="I289" s="16" t="n">
        <x:f>IF(H289&gt;0,G289/H289,"n.a.")</x:f>
        <x:v>0.5246795745841287</x:v>
      </x:c>
      <x:c r="J289" s="10" t="n">
        <x:f>IF('Данные'!E289&gt;0,G289/'Данные'!E289,"n.a.")</x:f>
        <x:v>0.03371534714190586</x:v>
      </x:c>
      <x:c r="K289" s="1" t="str">
        <x:f>IF(G289&gt;='Дашборд'!$C$51,"X","Z")</x:f>
        <x:v>X</x:v>
      </x:c>
      <x:c r="L289" s="1" t="str">
        <x:f>IF(H289=0,IF(G289&gt;0,"Нет остатка","Нет спроса"),IF(I289&gt;='Дашборд'!$C$52,"Быстрый","Медленный"))</x:f>
        <x:v>Медленный</x:v>
      </x:c>
      <x:c r="M289" s="1" t="str">
        <x:f>IF('Данные'!E289&lt;'Дашборд'!$C$53,"Мало трафика",IF(J289&lt;'Дашборд'!$C$9*'Дашборд'!$C$54,"Да","Нет"))</x:f>
        <x:v>Нет</x:v>
      </x:c>
      <x:c r="N289" s="1" t="str">
        <x:f>IF(AND('Данные'!D289&gt;='Дашборд'!$C$55,D289&lt;'Дашборд'!$C$56,'Данные'!E289&gt;='Дашборд'!$C$53,'Данные'!L289&lt;&gt;"Да"),"Да","Нет")</x:f>
        <x:v>Нет</x:v>
      </x:c>
      <x:c r="O289" s="1" t="str">
        <x:f>'Данные'!L289</x:f>
        <x:v>Нет</x:v>
      </x:c>
    </x:row>
    <x:row r="290">
      <x:c r="A290" s="1" t="str">
        <x:f>'Данные'!A290</x:f>
        <x:v>237301017</x:v>
      </x:c>
      <x:c r="B290" s="1" t="str">
        <x:f>'Данные'!B290</x:f>
        <x:v>futbolkaprint/BelLoveNever-166/розовый</x:v>
      </x:c>
      <x:c r="C290" s="8" t="n">
        <x:f>'Данные'!G290</x:f>
        <x:v>704064</x:v>
      </x:c>
      <x:c r="D290" s="15" t="n">
        <x:f>C290/SUM($C$5:$C$2477)</x:f>
        <x:v>0.0008225042011103239</x:v>
      </x:c>
      <x:c r="E290" s="15" t="n">
        <x:f>SUM($D$5:D290)</x:f>
        <x:v>0.6931125778992117</x:v>
      </x:c>
      <x:c r="F290" s="1" t="str">
        <x:f>IF(C290&lt;=0,"C",IF(E290-D290&lt;'Дашборд'!$C$49,"A",IF(E290-D290&lt;'Дашборд'!$C$50,"B","C")))</x:f>
        <x:v>A</x:v>
      </x:c>
      <x:c r="G290" s="8" t="n">
        <x:f>'Данные'!F290</x:f>
        <x:v>1016</x:v>
      </x:c>
      <x:c r="H290" s="8" t="n">
        <x:f>SUM('Данные'!H290:I290)</x:f>
        <x:v>17</x:v>
      </x:c>
      <x:c r="I290" s="16" t="n">
        <x:f>IF(H290&gt;0,G290/H290,"n.a.")</x:f>
        <x:v>59.76470588235294</x:v>
      </x:c>
      <x:c r="J290" s="10" t="n">
        <x:f>IF('Данные'!E290&gt;0,G290/'Данные'!E290,"n.a.")</x:f>
        <x:v>0.019424900581217496</x:v>
      </x:c>
      <x:c r="K290" s="1" t="str">
        <x:f>IF(G290&gt;='Дашборд'!$C$51,"X","Z")</x:f>
        <x:v>X</x:v>
      </x:c>
      <x:c r="L290" s="1" t="str">
        <x:f>IF(H290=0,IF(G290&gt;0,"Нет остатка","Нет спроса"),IF(I290&gt;='Дашборд'!$C$52,"Быстрый","Медленный"))</x:f>
        <x:v>Быстрый</x:v>
      </x:c>
      <x:c r="M290" s="1" t="str">
        <x:f>IF('Данные'!E290&lt;'Дашборд'!$C$53,"Мало трафика",IF(J290&lt;'Дашборд'!$C$9*'Дашборд'!$C$54,"Да","Нет"))</x:f>
        <x:v>Нет</x:v>
      </x:c>
      <x:c r="N290" s="1" t="str">
        <x:f>IF(AND('Данные'!D290&gt;='Дашборд'!$C$55,D290&lt;'Дашборд'!$C$56,'Данные'!E290&gt;='Дашборд'!$C$53,'Данные'!L290&lt;&gt;"Да"),"Да","Нет")</x:f>
        <x:v>Нет</x:v>
      </x:c>
      <x:c r="O290" s="1" t="str">
        <x:f>'Данные'!L290</x:f>
        <x:v>Нет</x:v>
      </x:c>
    </x:row>
    <x:row r="291">
      <x:c r="A291" s="1" t="str">
        <x:f>'Данные'!A291</x:f>
        <x:v>15748478</x:v>
      </x:c>
      <x:c r="B291" s="1" t="str">
        <x:f>'Данные'!B291</x:f>
        <x:v>bruki/черный</x:v>
      </x:c>
      <x:c r="C291" s="8" t="n">
        <x:f>'Данные'!G291</x:f>
        <x:v>699297</x:v>
      </x:c>
      <x:c r="D291" s="15" t="n">
        <x:f>C291/SUM($C$5:$C$2477)</x:f>
        <x:v>0.0008169352790710023</x:v>
      </x:c>
      <x:c r="E291" s="15" t="n">
        <x:f>SUM($D$5:D291)</x:f>
        <x:v>0.6939295131782827</x:v>
      </x:c>
      <x:c r="F291" s="1" t="str">
        <x:f>IF(C291&lt;=0,"C",IF(E291-D291&lt;'Дашборд'!$C$49,"A",IF(E291-D291&lt;'Дашборд'!$C$50,"B","C")))</x:f>
        <x:v>A</x:v>
      </x:c>
      <x:c r="G291" s="8" t="n">
        <x:f>'Данные'!F291</x:f>
        <x:v>965</x:v>
      </x:c>
      <x:c r="H291" s="8" t="n">
        <x:f>SUM('Данные'!H291:I291)</x:f>
        <x:v>402</x:v>
      </x:c>
      <x:c r="I291" s="16" t="n">
        <x:f>IF(H291&gt;0,G291/H291,"n.a.")</x:f>
        <x:v>2.400497512437811</x:v>
      </x:c>
      <x:c r="J291" s="10" t="n">
        <x:f>IF('Данные'!E291&gt;0,G291/'Данные'!E291,"n.a.")</x:f>
        <x:v>0.028623123924779025</x:v>
      </x:c>
      <x:c r="K291" s="1" t="str">
        <x:f>IF(G291&gt;='Дашборд'!$C$51,"X","Z")</x:f>
        <x:v>X</x:v>
      </x:c>
      <x:c r="L291" s="1" t="str">
        <x:f>IF(H291=0,IF(G291&gt;0,"Нет остатка","Нет спроса"),IF(I291&gt;='Дашборд'!$C$52,"Быстрый","Медленный"))</x:f>
        <x:v>Быстрый</x:v>
      </x:c>
      <x:c r="M291" s="1" t="str">
        <x:f>IF('Данные'!E291&lt;'Дашборд'!$C$53,"Мало трафика",IF(J291&lt;'Дашборд'!$C$9*'Дашборд'!$C$54,"Да","Нет"))</x:f>
        <x:v>Нет</x:v>
      </x:c>
      <x:c r="N291" s="1" t="str">
        <x:f>IF(AND('Данные'!D291&gt;='Дашборд'!$C$55,D291&lt;'Дашборд'!$C$56,'Данные'!E291&gt;='Дашборд'!$C$53,'Данные'!L291&lt;&gt;"Да"),"Да","Нет")</x:f>
        <x:v>Нет</x:v>
      </x:c>
      <x:c r="O291" s="1" t="str">
        <x:f>'Данные'!L291</x:f>
        <x:v>Нет</x:v>
      </x:c>
    </x:row>
    <x:row r="292">
      <x:c r="A292" s="1" t="str">
        <x:f>'Данные'!A292</x:f>
        <x:v>331723389</x:v>
      </x:c>
      <x:c r="B292" s="1" t="str">
        <x:f>'Данные'!B292</x:f>
        <x:v>futkryl3K-101/черный</x:v>
      </x:c>
      <x:c r="C292" s="8" t="n">
        <x:f>'Данные'!G292</x:f>
        <x:v>697990</x:v>
      </x:c>
      <x:c r="D292" s="15" t="n">
        <x:f>C292/SUM($C$5:$C$2477)</x:f>
        <x:v>0.0008154084107879326</x:v>
      </x:c>
      <x:c r="E292" s="15" t="n">
        <x:f>SUM($D$5:D292)</x:f>
        <x:v>0.6947449215890706</x:v>
      </x:c>
      <x:c r="F292" s="1" t="str">
        <x:f>IF(C292&lt;=0,"C",IF(E292-D292&lt;'Дашборд'!$C$49,"A",IF(E292-D292&lt;'Дашборд'!$C$50,"B","C")))</x:f>
        <x:v>A</x:v>
      </x:c>
      <x:c r="G292" s="8" t="n">
        <x:f>'Данные'!F292</x:f>
        <x:v>1722</x:v>
      </x:c>
      <x:c r="H292" s="8" t="n">
        <x:f>SUM('Данные'!H292:I292)</x:f>
        <x:v>582</x:v>
      </x:c>
      <x:c r="I292" s="16" t="n">
        <x:f>IF(H292&gt;0,G292/H292,"n.a.")</x:f>
        <x:v>2.9587628865979383</x:v>
      </x:c>
      <x:c r="J292" s="10" t="n">
        <x:f>IF('Данные'!E292&gt;0,G292/'Данные'!E292,"n.a.")</x:f>
        <x:v>0.020043299113066557</x:v>
      </x:c>
      <x:c r="K292" s="1" t="str">
        <x:f>IF(G292&gt;='Дашборд'!$C$51,"X","Z")</x:f>
        <x:v>X</x:v>
      </x:c>
      <x:c r="L292" s="1" t="str">
        <x:f>IF(H292=0,IF(G292&gt;0,"Нет остатка","Нет спроса"),IF(I292&gt;='Дашборд'!$C$52,"Быстрый","Медленный"))</x:f>
        <x:v>Быстрый</x:v>
      </x:c>
      <x:c r="M292" s="1" t="str">
        <x:f>IF('Данные'!E292&lt;'Дашборд'!$C$53,"Мало трафика",IF(J292&lt;'Дашборд'!$C$9*'Дашборд'!$C$54,"Да","Нет"))</x:f>
        <x:v>Нет</x:v>
      </x:c>
      <x:c r="N292" s="1" t="str">
        <x:f>IF(AND('Данные'!D292&gt;='Дашборд'!$C$55,D292&lt;'Дашборд'!$C$56,'Данные'!E292&gt;='Дашборд'!$C$53,'Данные'!L292&lt;&gt;"Да"),"Да","Нет")</x:f>
        <x:v>Нет</x:v>
      </x:c>
      <x:c r="O292" s="1" t="str">
        <x:f>'Данные'!L292</x:f>
        <x:v>Нет</x:v>
      </x:c>
    </x:row>
    <x:row r="293">
      <x:c r="A293" s="1" t="str">
        <x:f>'Данные'!A293</x:f>
        <x:v>79657730</x:v>
      </x:c>
      <x:c r="B293" s="1" t="str">
        <x:f>'Данные'!B293</x:f>
        <x:v>futbolkaover/хаки</x:v>
      </x:c>
      <x:c r="C293" s="8" t="n">
        <x:f>'Данные'!G293</x:f>
        <x:v>695728</x:v>
      </x:c>
      <x:c r="D293" s="15" t="n">
        <x:f>C293/SUM($C$5:$C$2477)</x:f>
        <x:v>0.0008127658889391922</x:v>
      </x:c>
      <x:c r="E293" s="15" t="n">
        <x:f>SUM($D$5:D293)</x:f>
        <x:v>0.6955576874780098</x:v>
      </x:c>
      <x:c r="F293" s="1" t="str">
        <x:f>IF(C293&lt;=0,"C",IF(E293-D293&lt;'Дашборд'!$C$49,"A",IF(E293-D293&lt;'Дашборд'!$C$50,"B","C")))</x:f>
        <x:v>A</x:v>
      </x:c>
      <x:c r="G293" s="8" t="n">
        <x:f>'Данные'!F293</x:f>
        <x:v>1527</x:v>
      </x:c>
      <x:c r="H293" s="8" t="n">
        <x:f>SUM('Данные'!H293:I293)</x:f>
        <x:v>1611</x:v>
      </x:c>
      <x:c r="I293" s="16" t="n">
        <x:f>IF(H293&gt;0,G293/H293,"n.a.")</x:f>
        <x:v>0.9478584729981379</x:v>
      </x:c>
      <x:c r="J293" s="10" t="n">
        <x:f>IF('Данные'!E293&gt;0,G293/'Данные'!E293,"n.a.")</x:f>
        <x:v>0.020983056902972256</x:v>
      </x:c>
      <x:c r="K293" s="1" t="str">
        <x:f>IF(G293&gt;='Дашборд'!$C$51,"X","Z")</x:f>
        <x:v>X</x:v>
      </x:c>
      <x:c r="L293" s="1" t="str">
        <x:f>IF(H293=0,IF(G293&gt;0,"Нет остатка","Нет спроса"),IF(I293&gt;='Дашборд'!$C$52,"Быстрый","Медленный"))</x:f>
        <x:v>Медленный</x:v>
      </x:c>
      <x:c r="M293" s="1" t="str">
        <x:f>IF('Данные'!E293&lt;'Дашборд'!$C$53,"Мало трафика",IF(J293&lt;'Дашборд'!$C$9*'Дашборд'!$C$54,"Да","Нет"))</x:f>
        <x:v>Нет</x:v>
      </x:c>
      <x:c r="N293" s="1" t="str">
        <x:f>IF(AND('Данные'!D293&gt;='Дашборд'!$C$55,D293&lt;'Дашборд'!$C$56,'Данные'!E293&gt;='Дашборд'!$C$53,'Данные'!L293&lt;&gt;"Да"),"Да","Нет")</x:f>
        <x:v>Да</x:v>
      </x:c>
      <x:c r="O293" s="1" t="str">
        <x:f>'Данные'!L293</x:f>
        <x:v>Нет</x:v>
      </x:c>
    </x:row>
    <x:row r="294">
      <x:c r="A294" s="1" t="str">
        <x:f>'Данные'!A294</x:f>
        <x:v>212947219</x:v>
      </x:c>
      <x:c r="B294" s="1" t="str">
        <x:f>'Данные'!B294</x:f>
        <x:v>futbolkaprint/MoreSelf-44/голубой</x:v>
      </x:c>
      <x:c r="C294" s="8" t="n">
        <x:f>'Данные'!G294</x:f>
        <x:v>694578</x:v>
      </x:c>
      <x:c r="D294" s="15" t="n">
        <x:f>C294/SUM($C$5:$C$2477)</x:f>
        <x:v>0.0008114224317658715</x:v>
      </x:c>
      <x:c r="E294" s="15" t="n">
        <x:f>SUM($D$5:D294)</x:f>
        <x:v>0.6963691099097757</x:v>
      </x:c>
      <x:c r="F294" s="1" t="str">
        <x:f>IF(C294&lt;=0,"C",IF(E294-D294&lt;'Дашборд'!$C$49,"A",IF(E294-D294&lt;'Дашборд'!$C$50,"B","C")))</x:f>
        <x:v>A</x:v>
      </x:c>
      <x:c r="G294" s="8" t="n">
        <x:f>'Данные'!F294</x:f>
        <x:v>861</x:v>
      </x:c>
      <x:c r="H294" s="8" t="n">
        <x:f>SUM('Данные'!H294:I294)</x:f>
        <x:v>1</x:v>
      </x:c>
      <x:c r="I294" s="16" t="n">
        <x:f>IF(H294&gt;0,G294/H294,"n.a.")</x:f>
        <x:v>861</x:v>
      </x:c>
      <x:c r="J294" s="10" t="n">
        <x:f>IF('Данные'!E294&gt;0,G294/'Данные'!E294,"n.a.")</x:f>
        <x:v>0.014597178895971789</x:v>
      </x:c>
      <x:c r="K294" s="1" t="str">
        <x:f>IF(G294&gt;='Дашборд'!$C$51,"X","Z")</x:f>
        <x:v>X</x:v>
      </x:c>
      <x:c r="L294" s="1" t="str">
        <x:f>IF(H294=0,IF(G294&gt;0,"Нет остатка","Нет спроса"),IF(I294&gt;='Дашборд'!$C$52,"Быстрый","Медленный"))</x:f>
        <x:v>Быстрый</x:v>
      </x:c>
      <x:c r="M294" s="1" t="str">
        <x:f>IF('Данные'!E294&lt;'Дашборд'!$C$53,"Мало трафика",IF(J294&lt;'Дашборд'!$C$9*'Дашборд'!$C$54,"Да","Нет"))</x:f>
        <x:v>Нет</x:v>
      </x:c>
      <x:c r="N294" s="1" t="str">
        <x:f>IF(AND('Данные'!D294&gt;='Дашборд'!$C$55,D294&lt;'Дашборд'!$C$56,'Данные'!E294&gt;='Дашборд'!$C$53,'Данные'!L294&lt;&gt;"Да"),"Да","Нет")</x:f>
        <x:v>Нет</x:v>
      </x:c>
      <x:c r="O294" s="1" t="str">
        <x:f>'Данные'!L294</x:f>
        <x:v>Нет</x:v>
      </x:c>
    </x:row>
    <x:row r="295">
      <x:c r="A295" s="1" t="str">
        <x:f>'Данные'!A295</x:f>
        <x:v>348218028</x:v>
      </x:c>
      <x:c r="B295" s="1" t="str">
        <x:f>'Данные'!B295</x:f>
        <x:v>bodyskims/белый</x:v>
      </x:c>
      <x:c r="C295" s="8" t="n">
        <x:f>'Данные'!G295</x:f>
        <x:v>694403</x:v>
      </x:c>
      <x:c r="D295" s="15" t="n">
        <x:f>C295/SUM($C$5:$C$2477)</x:f>
        <x:v>0.0008112179926308009</x:v>
      </x:c>
      <x:c r="E295" s="15" t="n">
        <x:f>SUM($D$5:D295)</x:f>
        <x:v>0.6971803279024066</x:v>
      </x:c>
      <x:c r="F295" s="1" t="str">
        <x:f>IF(C295&lt;=0,"C",IF(E295-D295&lt;'Дашборд'!$C$49,"A",IF(E295-D295&lt;'Дашборд'!$C$50,"B","C")))</x:f>
        <x:v>A</x:v>
      </x:c>
      <x:c r="G295" s="8" t="n">
        <x:f>'Данные'!F295</x:f>
        <x:v>1418</x:v>
      </x:c>
      <x:c r="H295" s="8" t="n">
        <x:f>SUM('Данные'!H295:I295)</x:f>
        <x:v>706</x:v>
      </x:c>
      <x:c r="I295" s="16" t="n">
        <x:f>IF(H295&gt;0,G295/H295,"n.a.")</x:f>
        <x:v>2.008498583569405</x:v>
      </x:c>
      <x:c r="J295" s="10" t="n">
        <x:f>IF('Данные'!E295&gt;0,G295/'Данные'!E295,"n.a.")</x:f>
        <x:v>0.023200261780104713</x:v>
      </x:c>
      <x:c r="K295" s="1" t="str">
        <x:f>IF(G295&gt;='Дашборд'!$C$51,"X","Z")</x:f>
        <x:v>X</x:v>
      </x:c>
      <x:c r="L295" s="1" t="str">
        <x:f>IF(H295=0,IF(G295&gt;0,"Нет остатка","Нет спроса"),IF(I295&gt;='Дашборд'!$C$52,"Быстрый","Медленный"))</x:f>
        <x:v>Быстрый</x:v>
      </x:c>
      <x:c r="M295" s="1" t="str">
        <x:f>IF('Данные'!E295&lt;'Дашборд'!$C$53,"Мало трафика",IF(J295&lt;'Дашборд'!$C$9*'Дашборд'!$C$54,"Да","Нет"))</x:f>
        <x:v>Нет</x:v>
      </x:c>
      <x:c r="N295" s="1" t="str">
        <x:f>IF(AND('Данные'!D295&gt;='Дашборд'!$C$55,D295&lt;'Дашборд'!$C$56,'Данные'!E295&gt;='Дашборд'!$C$53,'Данные'!L295&lt;&gt;"Да"),"Да","Нет")</x:f>
        <x:v>Нет</x:v>
      </x:c>
      <x:c r="O295" s="1" t="str">
        <x:f>'Данные'!L295</x:f>
        <x:v>Нет</x:v>
      </x:c>
    </x:row>
    <x:row r="296">
      <x:c r="A296" s="1" t="str">
        <x:f>'Данные'!A296</x:f>
        <x:v>207468571</x:v>
      </x:c>
      <x:c r="B296" s="1" t="str">
        <x:f>'Данные'!B296</x:f>
        <x:v>kulirkamanprint/Brukman-42/молочный</x:v>
      </x:c>
      <x:c r="C296" s="8" t="n">
        <x:f>'Данные'!G296</x:f>
        <x:v>693181</x:v>
      </x:c>
      <x:c r="D296" s="15" t="n">
        <x:f>C296/SUM($C$5:$C$2477)</x:f>
        <x:v>0.0008097904233561941</x:v>
      </x:c>
      <x:c r="E296" s="15" t="n">
        <x:f>SUM($D$5:D296)</x:f>
        <x:v>0.6979901183257627</x:v>
      </x:c>
      <x:c r="F296" s="1" t="str">
        <x:f>IF(C296&lt;=0,"C",IF(E296-D296&lt;'Дашборд'!$C$49,"A",IF(E296-D296&lt;'Дашборд'!$C$50,"B","C")))</x:f>
        <x:v>A</x:v>
      </x:c>
      <x:c r="G296" s="8" t="n">
        <x:f>'Данные'!F296</x:f>
        <x:v>1296</x:v>
      </x:c>
      <x:c r="H296" s="8" t="n">
        <x:f>SUM('Данные'!H296:I296)</x:f>
        <x:v>294</x:v>
      </x:c>
      <x:c r="I296" s="16" t="n">
        <x:f>IF(H296&gt;0,G296/H296,"n.a.")</x:f>
        <x:v>4.408163265306122</x:v>
      </x:c>
      <x:c r="J296" s="10" t="n">
        <x:f>IF('Данные'!E296&gt;0,G296/'Данные'!E296,"n.a.")</x:f>
        <x:v>0.0367544879612036</x:v>
      </x:c>
      <x:c r="K296" s="1" t="str">
        <x:f>IF(G296&gt;='Дашборд'!$C$51,"X","Z")</x:f>
        <x:v>X</x:v>
      </x:c>
      <x:c r="L296" s="1" t="str">
        <x:f>IF(H296=0,IF(G296&gt;0,"Нет остатка","Нет спроса"),IF(I296&gt;='Дашборд'!$C$52,"Быстрый","Медленный"))</x:f>
        <x:v>Быстрый</x:v>
      </x:c>
      <x:c r="M296" s="1" t="str">
        <x:f>IF('Данные'!E296&lt;'Дашборд'!$C$53,"Мало трафика",IF(J296&lt;'Дашборд'!$C$9*'Дашборд'!$C$54,"Да","Нет"))</x:f>
        <x:v>Нет</x:v>
      </x:c>
      <x:c r="N296" s="1" t="str">
        <x:f>IF(AND('Данные'!D296&gt;='Дашборд'!$C$55,D296&lt;'Дашборд'!$C$56,'Данные'!E296&gt;='Дашборд'!$C$53,'Данные'!L296&lt;&gt;"Да"),"Да","Нет")</x:f>
        <x:v>Нет</x:v>
      </x:c>
      <x:c r="O296" s="1" t="str">
        <x:f>'Данные'!L296</x:f>
        <x:v>Нет</x:v>
      </x:c>
    </x:row>
    <x:row r="297">
      <x:c r="A297" s="1" t="str">
        <x:f>'Данные'!A297</x:f>
        <x:v>87044628</x:v>
      </x:c>
      <x:c r="B297" s="1" t="str">
        <x:f>'Данные'!B297</x:f>
        <x:v>kroptop/бежевый</x:v>
      </x:c>
      <x:c r="C297" s="8" t="n">
        <x:f>'Данные'!G297</x:f>
        <x:v>687454</x:v>
      </x:c>
      <x:c r="D297" s="15" t="n">
        <x:f>C297/SUM($C$5:$C$2477)</x:f>
        <x:v>0.0008031000066330569</x:v>
      </x:c>
      <x:c r="E297" s="15" t="n">
        <x:f>SUM($D$5:D297)</x:f>
        <x:v>0.6987932183323958</x:v>
      </x:c>
      <x:c r="F297" s="1" t="str">
        <x:f>IF(C297&lt;=0,"C",IF(E297-D297&lt;'Дашборд'!$C$49,"A",IF(E297-D297&lt;'Дашборд'!$C$50,"B","C")))</x:f>
        <x:v>A</x:v>
      </x:c>
      <x:c r="G297" s="8" t="n">
        <x:f>'Данные'!F297</x:f>
        <x:v>1636</x:v>
      </x:c>
      <x:c r="H297" s="8" t="n">
        <x:f>SUM('Данные'!H297:I297)</x:f>
        <x:v>658</x:v>
      </x:c>
      <x:c r="I297" s="16" t="n">
        <x:f>IF(H297&gt;0,G297/H297,"n.a.")</x:f>
        <x:v>2.486322188449848</x:v>
      </x:c>
      <x:c r="J297" s="10" t="n">
        <x:f>IF('Данные'!E297&gt;0,G297/'Данные'!E297,"n.a.")</x:f>
        <x:v>0.02097866228970045</x:v>
      </x:c>
      <x:c r="K297" s="1" t="str">
        <x:f>IF(G297&gt;='Дашборд'!$C$51,"X","Z")</x:f>
        <x:v>X</x:v>
      </x:c>
      <x:c r="L297" s="1" t="str">
        <x:f>IF(H297=0,IF(G297&gt;0,"Нет остатка","Нет спроса"),IF(I297&gt;='Дашборд'!$C$52,"Быстрый","Медленный"))</x:f>
        <x:v>Быстрый</x:v>
      </x:c>
      <x:c r="M297" s="1" t="str">
        <x:f>IF('Данные'!E297&lt;'Дашборд'!$C$53,"Мало трафика",IF(J297&lt;'Дашборд'!$C$9*'Дашборд'!$C$54,"Да","Нет"))</x:f>
        <x:v>Нет</x:v>
      </x:c>
      <x:c r="N297" s="1" t="str">
        <x:f>IF(AND('Данные'!D297&gt;='Дашборд'!$C$55,D297&lt;'Дашборд'!$C$56,'Данные'!E297&gt;='Дашборд'!$C$53,'Данные'!L297&lt;&gt;"Да"),"Да","Нет")</x:f>
        <x:v>Нет</x:v>
      </x:c>
      <x:c r="O297" s="1" t="str">
        <x:f>'Данные'!L297</x:f>
        <x:v>Нет</x:v>
      </x:c>
    </x:row>
    <x:row r="298">
      <x:c r="A298" s="1" t="str">
        <x:f>'Данные'!A298</x:f>
        <x:v>297440100</x:v>
      </x:c>
      <x:c r="B298" s="1" t="str">
        <x:f>'Данные'!B298</x:f>
        <x:v>longover/красный</x:v>
      </x:c>
      <x:c r="C298" s="8" t="n">
        <x:f>'Данные'!G298</x:f>
        <x:v>686745</x:v>
      </x:c>
      <x:c r="D298" s="15" t="n">
        <x:f>C298/SUM($C$5:$C$2477)</x:f>
        <x:v>0.000802271736080114</x:v>
      </x:c>
      <x:c r="E298" s="15" t="n">
        <x:f>SUM($D$5:D298)</x:f>
        <x:v>0.699595490068476</x:v>
      </x:c>
      <x:c r="F298" s="1" t="str">
        <x:f>IF(C298&lt;=0,"C",IF(E298-D298&lt;'Дашборд'!$C$49,"A",IF(E298-D298&lt;'Дашборд'!$C$50,"B","C")))</x:f>
        <x:v>A</x:v>
      </x:c>
      <x:c r="G298" s="8" t="n">
        <x:f>'Данные'!F298</x:f>
        <x:v>1555</x:v>
      </x:c>
      <x:c r="H298" s="8" t="n">
        <x:f>SUM('Данные'!H298:I298)</x:f>
        <x:v>828</x:v>
      </x:c>
      <x:c r="I298" s="16" t="n">
        <x:f>IF(H298&gt;0,G298/H298,"n.a.")</x:f>
        <x:v>1.8780193236714975</x:v>
      </x:c>
      <x:c r="J298" s="10" t="n">
        <x:f>IF('Данные'!E298&gt;0,G298/'Данные'!E298,"n.a.")</x:f>
        <x:v>0.019998199519014364</x:v>
      </x:c>
      <x:c r="K298" s="1" t="str">
        <x:f>IF(G298&gt;='Дашборд'!$C$51,"X","Z")</x:f>
        <x:v>X</x:v>
      </x:c>
      <x:c r="L298" s="1" t="str">
        <x:f>IF(H298=0,IF(G298&gt;0,"Нет остатка","Нет спроса"),IF(I298&gt;='Дашборд'!$C$52,"Быстрый","Медленный"))</x:f>
        <x:v>Быстрый</x:v>
      </x:c>
      <x:c r="M298" s="1" t="str">
        <x:f>IF('Данные'!E298&lt;'Дашборд'!$C$53,"Мало трафика",IF(J298&lt;'Дашборд'!$C$9*'Дашборд'!$C$54,"Да","Нет"))</x:f>
        <x:v>Нет</x:v>
      </x:c>
      <x:c r="N298" s="1" t="str">
        <x:f>IF(AND('Данные'!D298&gt;='Дашборд'!$C$55,D298&lt;'Дашборд'!$C$56,'Данные'!E298&gt;='Дашборд'!$C$53,'Данные'!L298&lt;&gt;"Да"),"Да","Нет")</x:f>
        <x:v>Нет</x:v>
      </x:c>
      <x:c r="O298" s="1" t="str">
        <x:f>'Данные'!L298</x:f>
        <x:v>Нет</x:v>
      </x:c>
    </x:row>
    <x:row r="299">
      <x:c r="A299" s="1" t="str">
        <x:f>'Данные'!A299</x:f>
        <x:v>289105828</x:v>
      </x:c>
      <x:c r="B299" s="1" t="str">
        <x:f>'Данные'!B299</x:f>
        <x:v>brukikarman3P-S-2/светло-розовый</x:v>
      </x:c>
      <x:c r="C299" s="8" t="n">
        <x:f>'Данные'!G299</x:f>
        <x:v>684432</x:v>
      </x:c>
      <x:c r="D299" s="15" t="n">
        <x:f>C299/SUM($C$5:$C$2477)</x:f>
        <x:v>0.0007995696348262959</x:v>
      </x:c>
      <x:c r="E299" s="15" t="n">
        <x:f>SUM($D$5:D299)</x:f>
        <x:v>0.7003950597033023</x:v>
      </x:c>
      <x:c r="F299" s="1" t="str">
        <x:f>IF(C299&lt;=0,"C",IF(E299-D299&lt;'Дашборд'!$C$49,"A",IF(E299-D299&lt;'Дашборд'!$C$50,"B","C")))</x:f>
        <x:v>A</x:v>
      </x:c>
      <x:c r="G299" s="8" t="n">
        <x:f>'Данные'!F299</x:f>
        <x:v>1059</x:v>
      </x:c>
      <x:c r="H299" s="8" t="n">
        <x:f>SUM('Данные'!H299:I299)</x:f>
        <x:v>242</x:v>
      </x:c>
      <x:c r="I299" s="16" t="n">
        <x:f>IF(H299&gt;0,G299/H299,"n.a.")</x:f>
        <x:v>4.37603305785124</x:v>
      </x:c>
      <x:c r="J299" s="10" t="n">
        <x:f>IF('Данные'!E299&gt;0,G299/'Данные'!E299,"n.a.")</x:f>
        <x:v>0.01217983369178925</x:v>
      </x:c>
      <x:c r="K299" s="1" t="str">
        <x:f>IF(G299&gt;='Дашборд'!$C$51,"X","Z")</x:f>
        <x:v>X</x:v>
      </x:c>
      <x:c r="L299" s="1" t="str">
        <x:f>IF(H299=0,IF(G299&gt;0,"Нет остатка","Нет спроса"),IF(I299&gt;='Дашборд'!$C$52,"Быстрый","Медленный"))</x:f>
        <x:v>Быстрый</x:v>
      </x:c>
      <x:c r="M299" s="1" t="str">
        <x:f>IF('Данные'!E299&lt;'Дашборд'!$C$53,"Мало трафика",IF(J299&lt;'Дашборд'!$C$9*'Дашборд'!$C$54,"Да","Нет"))</x:f>
        <x:v>Нет</x:v>
      </x:c>
      <x:c r="N299" s="1" t="str">
        <x:f>IF(AND('Данные'!D299&gt;='Дашборд'!$C$55,D299&lt;'Дашборд'!$C$56,'Данные'!E299&gt;='Дашборд'!$C$53,'Данные'!L299&lt;&gt;"Да"),"Да","Нет")</x:f>
        <x:v>Нет</x:v>
      </x:c>
      <x:c r="O299" s="1" t="str">
        <x:f>'Данные'!L299</x:f>
        <x:v>Нет</x:v>
      </x:c>
    </x:row>
    <x:row r="300">
      <x:c r="A300" s="1" t="str">
        <x:f>'Данные'!A300</x:f>
        <x:v>221503722</x:v>
      </x:c>
      <x:c r="B300" s="1" t="str">
        <x:f>'Данные'!B300</x:f>
        <x:v>baza/шалфей</x:v>
      </x:c>
      <x:c r="C300" s="8" t="n">
        <x:f>'Данные'!G300</x:f>
        <x:v>684207</x:v>
      </x:c>
      <x:c r="D300" s="15" t="n">
        <x:f>C300/SUM($C$5:$C$2477)</x:f>
        <x:v>0.0007993067845097766</x:v>
      </x:c>
      <x:c r="E300" s="15" t="n">
        <x:f>SUM($D$5:D300)</x:f>
        <x:v>0.7011943664878121</x:v>
      </x:c>
      <x:c r="F300" s="1" t="str">
        <x:f>IF(C300&lt;=0,"C",IF(E300-D300&lt;'Дашборд'!$C$49,"A",IF(E300-D300&lt;'Дашборд'!$C$50,"B","C")))</x:f>
        <x:v>A</x:v>
      </x:c>
      <x:c r="G300" s="8" t="n">
        <x:f>'Данные'!F300</x:f>
        <x:v>1375</x:v>
      </x:c>
      <x:c r="H300" s="8" t="n">
        <x:f>SUM('Данные'!H300:I300)</x:f>
        <x:v>677</x:v>
      </x:c>
      <x:c r="I300" s="16" t="n">
        <x:f>IF(H300&gt;0,G300/H300,"n.a.")</x:f>
        <x:v>2.031019202363368</x:v>
      </x:c>
      <x:c r="J300" s="10" t="n">
        <x:f>IF('Данные'!E300&gt;0,G300/'Данные'!E300,"n.a.")</x:f>
        <x:v>0.020114690306913603</x:v>
      </x:c>
      <x:c r="K300" s="1" t="str">
        <x:f>IF(G300&gt;='Дашборд'!$C$51,"X","Z")</x:f>
        <x:v>X</x:v>
      </x:c>
      <x:c r="L300" s="1" t="str">
        <x:f>IF(H300=0,IF(G300&gt;0,"Нет остатка","Нет спроса"),IF(I300&gt;='Дашборд'!$C$52,"Быстрый","Медленный"))</x:f>
        <x:v>Быстрый</x:v>
      </x:c>
      <x:c r="M300" s="1" t="str">
        <x:f>IF('Данные'!E300&lt;'Дашборд'!$C$53,"Мало трафика",IF(J300&lt;'Дашборд'!$C$9*'Дашборд'!$C$54,"Да","Нет"))</x:f>
        <x:v>Нет</x:v>
      </x:c>
      <x:c r="N300" s="1" t="str">
        <x:f>IF(AND('Данные'!D300&gt;='Дашборд'!$C$55,D300&lt;'Дашборд'!$C$56,'Данные'!E300&gt;='Дашборд'!$C$53,'Данные'!L300&lt;&gt;"Да"),"Да","Нет")</x:f>
        <x:v>Нет</x:v>
      </x:c>
      <x:c r="O300" s="1" t="str">
        <x:f>'Данные'!L300</x:f>
        <x:v>Нет</x:v>
      </x:c>
    </x:row>
    <x:row r="301">
      <x:c r="A301" s="1" t="str">
        <x:f>'Данные'!A301</x:f>
        <x:v>211585136</x:v>
      </x:c>
      <x:c r="B301" s="1" t="str">
        <x:f>'Данные'!B301</x:f>
        <x:v>tolstovkazip/темно-серый</x:v>
      </x:c>
      <x:c r="C301" s="8" t="n">
        <x:f>'Данные'!G301</x:f>
        <x:v>680842</x:v>
      </x:c>
      <x:c r="D301" s="15" t="n">
        <x:f>C301/SUM($C$5:$C$2477)</x:f>
        <x:v>0.0007953757119982774</x:v>
      </x:c>
      <x:c r="E301" s="15" t="n">
        <x:f>SUM($D$5:D301)</x:f>
        <x:v>0.7019897421998104</x:v>
      </x:c>
      <x:c r="F301" s="1" t="str">
        <x:f>IF(C301&lt;=0,"C",IF(E301-D301&lt;'Дашборд'!$C$49,"A",IF(E301-D301&lt;'Дашборд'!$C$50,"B","C")))</x:f>
        <x:v>A</x:v>
      </x:c>
      <x:c r="G301" s="8" t="n">
        <x:f>'Данные'!F301</x:f>
        <x:v>590</x:v>
      </x:c>
      <x:c r="H301" s="8" t="n">
        <x:f>SUM('Данные'!H301:I301)</x:f>
        <x:v>3</x:v>
      </x:c>
      <x:c r="I301" s="16" t="n">
        <x:f>IF(H301&gt;0,G301/H301,"n.a.")</x:f>
        <x:v>196.66666666666666</x:v>
      </x:c>
      <x:c r="J301" s="10" t="n">
        <x:f>IF('Данные'!E301&gt;0,G301/'Данные'!E301,"n.a.")</x:f>
        <x:v>0.014254995288603252</x:v>
      </x:c>
      <x:c r="K301" s="1" t="str">
        <x:f>IF(G301&gt;='Дашборд'!$C$51,"X","Z")</x:f>
        <x:v>X</x:v>
      </x:c>
      <x:c r="L301" s="1" t="str">
        <x:f>IF(H301=0,IF(G301&gt;0,"Нет остатка","Нет спроса"),IF(I301&gt;='Дашборд'!$C$52,"Быстрый","Медленный"))</x:f>
        <x:v>Быстрый</x:v>
      </x:c>
      <x:c r="M301" s="1" t="str">
        <x:f>IF('Данные'!E301&lt;'Дашборд'!$C$53,"Мало трафика",IF(J301&lt;'Дашборд'!$C$9*'Дашборд'!$C$54,"Да","Нет"))</x:f>
        <x:v>Нет</x:v>
      </x:c>
      <x:c r="N301" s="1" t="str">
        <x:f>IF(AND('Данные'!D301&gt;='Дашборд'!$C$55,D301&lt;'Дашборд'!$C$56,'Данные'!E301&gt;='Дашборд'!$C$53,'Данные'!L301&lt;&gt;"Да"),"Да","Нет")</x:f>
        <x:v>Да</x:v>
      </x:c>
      <x:c r="O301" s="1" t="str">
        <x:f>'Данные'!L301</x:f>
        <x:v>Нет</x:v>
      </x:c>
    </x:row>
    <x:row r="302">
      <x:c r="A302" s="1" t="str">
        <x:f>'Данные'!A302</x:f>
        <x:v>344428867</x:v>
      </x:c>
      <x:c r="B302" s="1" t="str">
        <x:f>'Данные'!B302</x:f>
        <x:v>2Ntshirt/черный</x:v>
      </x:c>
      <x:c r="C302" s="8" t="n">
        <x:f>'Данные'!G302</x:f>
        <x:v>679095</x:v>
      </x:c>
      <x:c r="D302" s="15" t="n">
        <x:f>C302/SUM($C$5:$C$2477)</x:f>
        <x:v>0.0007933348253184588</x:v>
      </x:c>
      <x:c r="E302" s="15" t="n">
        <x:f>SUM($D$5:D302)</x:f>
        <x:v>0.7027830770251288</x:v>
      </x:c>
      <x:c r="F302" s="1" t="str">
        <x:f>IF(C302&lt;=0,"C",IF(E302-D302&lt;'Дашборд'!$C$49,"A",IF(E302-D302&lt;'Дашборд'!$C$50,"B","C")))</x:f>
        <x:v>A</x:v>
      </x:c>
      <x:c r="G302" s="8" t="n">
        <x:f>'Данные'!F302</x:f>
        <x:v>1669</x:v>
      </x:c>
      <x:c r="H302" s="8" t="n">
        <x:f>SUM('Данные'!H302:I302)</x:f>
        <x:v>274</x:v>
      </x:c>
      <x:c r="I302" s="16" t="n">
        <x:f>IF(H302&gt;0,G302/H302,"n.a.")</x:f>
        <x:v>6.091240875912408</x:v>
      </x:c>
      <x:c r="J302" s="10" t="n">
        <x:f>IF('Данные'!E302&gt;0,G302/'Данные'!E302,"n.a.")</x:f>
        <x:v>0.012299823867111788</x:v>
      </x:c>
      <x:c r="K302" s="1" t="str">
        <x:f>IF(G302&gt;='Дашборд'!$C$51,"X","Z")</x:f>
        <x:v>X</x:v>
      </x:c>
      <x:c r="L302" s="1" t="str">
        <x:f>IF(H302=0,IF(G302&gt;0,"Нет остатка","Нет спроса"),IF(I302&gt;='Дашборд'!$C$52,"Быстрый","Медленный"))</x:f>
        <x:v>Быстрый</x:v>
      </x:c>
      <x:c r="M302" s="1" t="str">
        <x:f>IF('Данные'!E302&lt;'Дашборд'!$C$53,"Мало трафика",IF(J302&lt;'Дашборд'!$C$9*'Дашборд'!$C$54,"Да","Нет"))</x:f>
        <x:v>Нет</x:v>
      </x:c>
      <x:c r="N302" s="1" t="str">
        <x:f>IF(AND('Данные'!D302&gt;='Дашборд'!$C$55,D302&lt;'Дашборд'!$C$56,'Данные'!E302&gt;='Дашборд'!$C$53,'Данные'!L302&lt;&gt;"Да"),"Да","Нет")</x:f>
        <x:v>Нет</x:v>
      </x:c>
      <x:c r="O302" s="1" t="str">
        <x:f>'Данные'!L302</x:f>
        <x:v>Нет</x:v>
      </x:c>
    </x:row>
    <x:row r="303">
      <x:c r="A303" s="1" t="str">
        <x:f>'Данные'!A303</x:f>
        <x:v>219490853</x:v>
      </x:c>
      <x:c r="B303" s="1" t="str">
        <x:f>'Данные'!B303</x:f>
        <x:v>futbolkaprint/KrasBROOKLYN-117/молочный</x:v>
      </x:c>
      <x:c r="C303" s="8" t="n">
        <x:f>'Данные'!G303</x:f>
        <x:v>678086</x:v>
      </x:c>
      <x:c r="D303" s="15" t="n">
        <x:f>C303/SUM($C$5:$C$2477)</x:f>
        <x:v>0.0007921560876768235</x:v>
      </x:c>
      <x:c r="E303" s="15" t="n">
        <x:f>SUM($D$5:D303)</x:f>
        <x:v>0.7035752331128056</x:v>
      </x:c>
      <x:c r="F303" s="1" t="str">
        <x:f>IF(C303&lt;=0,"C",IF(E303-D303&lt;'Дашборд'!$C$49,"A",IF(E303-D303&lt;'Дашборд'!$C$50,"B","C")))</x:f>
        <x:v>A</x:v>
      </x:c>
      <x:c r="G303" s="8" t="n">
        <x:f>'Данные'!F303</x:f>
        <x:v>1100</x:v>
      </x:c>
      <x:c r="H303" s="8" t="n">
        <x:f>SUM('Данные'!H303:I303)</x:f>
        <x:v>514</x:v>
      </x:c>
      <x:c r="I303" s="16" t="n">
        <x:f>IF(H303&gt;0,G303/H303,"n.a.")</x:f>
        <x:v>2.140077821011673</x:v>
      </x:c>
      <x:c r="J303" s="10" t="n">
        <x:f>IF('Данные'!E303&gt;0,G303/'Данные'!E303,"n.a.")</x:f>
        <x:v>0.01627315225753003</x:v>
      </x:c>
      <x:c r="K303" s="1" t="str">
        <x:f>IF(G303&gt;='Дашборд'!$C$51,"X","Z")</x:f>
        <x:v>X</x:v>
      </x:c>
      <x:c r="L303" s="1" t="str">
        <x:f>IF(H303=0,IF(G303&gt;0,"Нет остатка","Нет спроса"),IF(I303&gt;='Дашборд'!$C$52,"Быстрый","Медленный"))</x:f>
        <x:v>Быстрый</x:v>
      </x:c>
      <x:c r="M303" s="1" t="str">
        <x:f>IF('Данные'!E303&lt;'Дашборд'!$C$53,"Мало трафика",IF(J303&lt;'Дашборд'!$C$9*'Дашборд'!$C$54,"Да","Нет"))</x:f>
        <x:v>Нет</x:v>
      </x:c>
      <x:c r="N303" s="1" t="str">
        <x:f>IF(AND('Данные'!D303&gt;='Дашборд'!$C$55,D303&lt;'Дашборд'!$C$56,'Данные'!E303&gt;='Дашборд'!$C$53,'Данные'!L303&lt;&gt;"Да"),"Да","Нет")</x:f>
        <x:v>Да</x:v>
      </x:c>
      <x:c r="O303" s="1" t="str">
        <x:f>'Данные'!L303</x:f>
        <x:v>Нет</x:v>
      </x:c>
    </x:row>
    <x:row r="304">
      <x:c r="A304" s="1" t="str">
        <x:f>'Данные'!A304</x:f>
        <x:v>295664243</x:v>
      </x:c>
      <x:c r="B304" s="1" t="str">
        <x:f>'Данные'!B304</x:f>
        <x:v>2nkost3D-72-73/графит</x:v>
      </x:c>
      <x:c r="C304" s="8" t="n">
        <x:f>'Данные'!G304</x:f>
        <x:v>677920</x:v>
      </x:c>
      <x:c r="D304" s="15" t="n">
        <x:f>C304/SUM($C$5:$C$2477)</x:f>
        <x:v>0.0007919621625544137</x:v>
      </x:c>
      <x:c r="E304" s="15" t="n">
        <x:f>SUM($D$5:D304)</x:f>
        <x:v>0.70436719527536</x:v>
      </x:c>
      <x:c r="F304" s="1" t="str">
        <x:f>IF(C304&lt;=0,"C",IF(E304-D304&lt;'Дашборд'!$C$49,"A",IF(E304-D304&lt;'Дашборд'!$C$50,"B","C")))</x:f>
        <x:v>A</x:v>
      </x:c>
      <x:c r="G304" s="8" t="n">
        <x:f>'Данные'!F304</x:f>
        <x:v>1463</x:v>
      </x:c>
      <x:c r="H304" s="8" t="n">
        <x:f>SUM('Данные'!H304:I304)</x:f>
        <x:v>72</x:v>
      </x:c>
      <x:c r="I304" s="16" t="n">
        <x:f>IF(H304&gt;0,G304/H304,"n.a.")</x:f>
        <x:v>20.319444444444443</x:v>
      </x:c>
      <x:c r="J304" s="10" t="n">
        <x:f>IF('Данные'!E304&gt;0,G304/'Данные'!E304,"n.a.")</x:f>
        <x:v>0.009614879074658255</x:v>
      </x:c>
      <x:c r="K304" s="1" t="str">
        <x:f>IF(G304&gt;='Дашборд'!$C$51,"X","Z")</x:f>
        <x:v>X</x:v>
      </x:c>
      <x:c r="L304" s="1" t="str">
        <x:f>IF(H304=0,IF(G304&gt;0,"Нет остатка","Нет спроса"),IF(I304&gt;='Дашборд'!$C$52,"Быстрый","Медленный"))</x:f>
        <x:v>Быстрый</x:v>
      </x:c>
      <x:c r="M304" s="1" t="str">
        <x:f>IF('Данные'!E304&lt;'Дашборд'!$C$53,"Мало трафика",IF(J304&lt;'Дашборд'!$C$9*'Дашборд'!$C$54,"Да","Нет"))</x:f>
        <x:v>Да</x:v>
      </x:c>
      <x:c r="N304" s="1" t="str">
        <x:f>IF(AND('Данные'!D304&gt;='Дашборд'!$C$55,D304&lt;'Дашборд'!$C$56,'Данные'!E304&gt;='Дашборд'!$C$53,'Данные'!L304&lt;&gt;"Да"),"Да","Нет")</x:f>
        <x:v>Нет</x:v>
      </x:c>
      <x:c r="O304" s="1" t="str">
        <x:f>'Данные'!L304</x:f>
        <x:v>Нет</x:v>
      </x:c>
    </x:row>
    <x:row r="305">
      <x:c r="A305" s="1" t="str">
        <x:f>'Данные'!A305</x:f>
        <x:v>287286757</x:v>
      </x:c>
      <x:c r="B305" s="1" t="str">
        <x:f>'Данные'!B305</x:f>
        <x:v>2Nitkalongsliv3D-76/белый</x:v>
      </x:c>
      <x:c r="C305" s="8" t="n">
        <x:f>'Данные'!G305</x:f>
        <x:v>677297</x:v>
      </x:c>
      <x:c r="D305" s="15" t="n">
        <x:f>C305/SUM($C$5:$C$2477)</x:f>
        <x:v>0.0007912343592335626</x:v>
      </x:c>
      <x:c r="E305" s="15" t="n">
        <x:f>SUM($D$5:D305)</x:f>
        <x:v>0.7051584296345935</x:v>
      </x:c>
      <x:c r="F305" s="1" t="str">
        <x:f>IF(C305&lt;=0,"C",IF(E305-D305&lt;'Дашборд'!$C$49,"A",IF(E305-D305&lt;'Дашборд'!$C$50,"B","C")))</x:f>
        <x:v>A</x:v>
      </x:c>
      <x:c r="G305" s="8" t="n">
        <x:f>'Данные'!F305</x:f>
        <x:v>1190</x:v>
      </x:c>
      <x:c r="H305" s="8" t="n">
        <x:f>SUM('Данные'!H305:I305)</x:f>
        <x:v>66</x:v>
      </x:c>
      <x:c r="I305" s="16" t="n">
        <x:f>IF(H305&gt;0,G305/H305,"n.a.")</x:f>
        <x:v>18.03030303030303</x:v>
      </x:c>
      <x:c r="J305" s="10" t="n">
        <x:f>IF('Данные'!E305&gt;0,G305/'Данные'!E305,"n.a.")</x:f>
        <x:v>0.014404861338078464</x:v>
      </x:c>
      <x:c r="K305" s="1" t="str">
        <x:f>IF(G305&gt;='Дашборд'!$C$51,"X","Z")</x:f>
        <x:v>X</x:v>
      </x:c>
      <x:c r="L305" s="1" t="str">
        <x:f>IF(H305=0,IF(G305&gt;0,"Нет остатка","Нет спроса"),IF(I305&gt;='Дашборд'!$C$52,"Быстрый","Медленный"))</x:f>
        <x:v>Быстрый</x:v>
      </x:c>
      <x:c r="M305" s="1" t="str">
        <x:f>IF('Данные'!E305&lt;'Дашборд'!$C$53,"Мало трафика",IF(J305&lt;'Дашборд'!$C$9*'Дашборд'!$C$54,"Да","Нет"))</x:f>
        <x:v>Нет</x:v>
      </x:c>
      <x:c r="N305" s="1" t="str">
        <x:f>IF(AND('Данные'!D305&gt;='Дашборд'!$C$55,D305&lt;'Дашборд'!$C$56,'Данные'!E305&gt;='Дашборд'!$C$53,'Данные'!L305&lt;&gt;"Да"),"Да","Нет")</x:f>
        <x:v>Нет</x:v>
      </x:c>
      <x:c r="O305" s="1" t="str">
        <x:f>'Данные'!L305</x:f>
        <x:v>Нет</x:v>
      </x:c>
    </x:row>
    <x:row r="306">
      <x:c r="A306" s="1" t="str">
        <x:f>'Данные'!A306</x:f>
        <x:v>209640736</x:v>
      </x:c>
      <x:c r="B306" s="1" t="str">
        <x:f>'Данные'!B306</x:f>
        <x:v>futbolkaprint/Goodvibes-50/молочный</x:v>
      </x:c>
      <x:c r="C306" s="8" t="n">
        <x:f>'Данные'!G306</x:f>
        <x:v>673478</x:v>
      </x:c>
      <x:c r="D306" s="15" t="n">
        <x:f>C306/SUM($C$5:$C$2477)</x:f>
        <x:v>0.0007867729131945089</x:v>
      </x:c>
      <x:c r="E306" s="15" t="n">
        <x:f>SUM($D$5:D306)</x:f>
        <x:v>0.705945202547788</x:v>
      </x:c>
      <x:c r="F306" s="1" t="str">
        <x:f>IF(C306&lt;=0,"C",IF(E306-D306&lt;'Дашборд'!$C$49,"A",IF(E306-D306&lt;'Дашборд'!$C$50,"B","C")))</x:f>
        <x:v>A</x:v>
      </x:c>
      <x:c r="G306" s="8" t="n">
        <x:f>'Данные'!F306</x:f>
        <x:v>1261</x:v>
      </x:c>
      <x:c r="H306" s="8" t="n">
        <x:f>SUM('Данные'!H306:I306)</x:f>
        <x:v>6</x:v>
      </x:c>
      <x:c r="I306" s="16" t="n">
        <x:f>IF(H306&gt;0,G306/H306,"n.a.")</x:f>
        <x:v>210.16666666666666</x:v>
      </x:c>
      <x:c r="J306" s="10" t="n">
        <x:f>IF('Данные'!E306&gt;0,G306/'Данные'!E306,"n.a.")</x:f>
        <x:v>0.017241379310344827</x:v>
      </x:c>
      <x:c r="K306" s="1" t="str">
        <x:f>IF(G306&gt;='Дашборд'!$C$51,"X","Z")</x:f>
        <x:v>X</x:v>
      </x:c>
      <x:c r="L306" s="1" t="str">
        <x:f>IF(H306=0,IF(G306&gt;0,"Нет остатка","Нет спроса"),IF(I306&gt;='Дашборд'!$C$52,"Быстрый","Медленный"))</x:f>
        <x:v>Быстрый</x:v>
      </x:c>
      <x:c r="M306" s="1" t="str">
        <x:f>IF('Данные'!E306&lt;'Дашборд'!$C$53,"Мало трафика",IF(J306&lt;'Дашборд'!$C$9*'Дашборд'!$C$54,"Да","Нет"))</x:f>
        <x:v>Нет</x:v>
      </x:c>
      <x:c r="N306" s="1" t="str">
        <x:f>IF(AND('Данные'!D306&gt;='Дашборд'!$C$55,D306&lt;'Дашборд'!$C$56,'Данные'!E306&gt;='Дашборд'!$C$53,'Данные'!L306&lt;&gt;"Да"),"Да","Нет")</x:f>
        <x:v>Нет</x:v>
      </x:c>
      <x:c r="O306" s="1" t="str">
        <x:f>'Данные'!L306</x:f>
        <x:v>Нет</x:v>
      </x:c>
    </x:row>
    <x:row r="307">
      <x:c r="A307" s="1" t="str">
        <x:f>'Данные'!A307</x:f>
        <x:v>288627685</x:v>
      </x:c>
      <x:c r="B307" s="1" t="str">
        <x:f>'Данные'!B307</x:f>
        <x:v>kostyum/светло-розовый</x:v>
      </x:c>
      <x:c r="C307" s="8" t="n">
        <x:f>'Данные'!G307</x:f>
        <x:v>673166</x:v>
      </x:c>
      <x:c r="D307" s="15" t="n">
        <x:f>C307/SUM($C$5:$C$2477)</x:f>
        <x:v>0.0007864084274222689</x:v>
      </x:c>
      <x:c r="E307" s="15" t="n">
        <x:f>SUM($D$5:D307)</x:f>
        <x:v>0.7067316109752103</x:v>
      </x:c>
      <x:c r="F307" s="1" t="str">
        <x:f>IF(C307&lt;=0,"C",IF(E307-D307&lt;'Дашборд'!$C$49,"A",IF(E307-D307&lt;'Дашборд'!$C$50,"B","C")))</x:f>
        <x:v>A</x:v>
      </x:c>
      <x:c r="G307" s="8" t="n">
        <x:f>'Данные'!F307</x:f>
        <x:v>471</x:v>
      </x:c>
      <x:c r="H307" s="8" t="n">
        <x:f>SUM('Данные'!H307:I307)</x:f>
        <x:v>152</x:v>
      </x:c>
      <x:c r="I307" s="16" t="n">
        <x:f>IF(H307&gt;0,G307/H307,"n.a.")</x:f>
        <x:v>3.098684210526316</x:v>
      </x:c>
      <x:c r="J307" s="10" t="n">
        <x:f>IF('Данные'!E307&gt;0,G307/'Данные'!E307,"n.a.")</x:f>
        <x:v>0.0033859314906006252</x:v>
      </x:c>
      <x:c r="K307" s="1" t="str">
        <x:f>IF(G307&gt;='Дашборд'!$C$51,"X","Z")</x:f>
        <x:v>X</x:v>
      </x:c>
      <x:c r="L307" s="1" t="str">
        <x:f>IF(H307=0,IF(G307&gt;0,"Нет остатка","Нет спроса"),IF(I307&gt;='Дашборд'!$C$52,"Быстрый","Медленный"))</x:f>
        <x:v>Быстрый</x:v>
      </x:c>
      <x:c r="M307" s="1" t="str">
        <x:f>IF('Данные'!E307&lt;'Дашборд'!$C$53,"Мало трафика",IF(J307&lt;'Дашборд'!$C$9*'Дашборд'!$C$54,"Да","Нет"))</x:f>
        <x:v>Да</x:v>
      </x:c>
      <x:c r="N307" s="1" t="str">
        <x:f>IF(AND('Данные'!D307&gt;='Дашборд'!$C$55,D307&lt;'Дашборд'!$C$56,'Данные'!E307&gt;='Дашборд'!$C$53,'Данные'!L307&lt;&gt;"Да"),"Да","Нет")</x:f>
        <x:v>Нет</x:v>
      </x:c>
      <x:c r="O307" s="1" t="str">
        <x:f>'Данные'!L307</x:f>
        <x:v>Нет</x:v>
      </x:c>
    </x:row>
    <x:row r="308">
      <x:c r="A308" s="1" t="str">
        <x:f>'Данные'!A308</x:f>
        <x:v>296186657</x:v>
      </x:c>
      <x:c r="B308" s="1" t="str">
        <x:f>'Данные'!B308</x:f>
        <x:v>shtanyman4P-79/темно-серый</x:v>
      </x:c>
      <x:c r="C308" s="8" t="n">
        <x:f>'Данные'!G308</x:f>
        <x:v>671752</x:v>
      </x:c>
      <x:c r="D308" s="15" t="n">
        <x:f>C308/SUM($C$5:$C$2477)</x:f>
        <x:v>0.0007847565592108989</x:v>
      </x:c>
      <x:c r="E308" s="15" t="n">
        <x:f>SUM($D$5:D308)</x:f>
        <x:v>0.7075163675344213</x:v>
      </x:c>
      <x:c r="F308" s="1" t="str">
        <x:f>IF(C308&lt;=0,"C",IF(E308-D308&lt;'Дашборд'!$C$49,"A",IF(E308-D308&lt;'Дашборд'!$C$50,"B","C")))</x:f>
        <x:v>A</x:v>
      </x:c>
      <x:c r="G308" s="8" t="n">
        <x:f>'Данные'!F308</x:f>
        <x:v>1422</x:v>
      </x:c>
      <x:c r="H308" s="8" t="n">
        <x:f>SUM('Данные'!H308:I308)</x:f>
        <x:v>346</x:v>
      </x:c>
      <x:c r="I308" s="16" t="n">
        <x:f>IF(H308&gt;0,G308/H308,"n.a.")</x:f>
        <x:v>4.109826589595376</x:v>
      </x:c>
      <x:c r="J308" s="10" t="n">
        <x:f>IF('Данные'!E308&gt;0,G308/'Данные'!E308,"n.a.")</x:f>
        <x:v>0.021977342627080662</x:v>
      </x:c>
      <x:c r="K308" s="1" t="str">
        <x:f>IF(G308&gt;='Дашборд'!$C$51,"X","Z")</x:f>
        <x:v>X</x:v>
      </x:c>
      <x:c r="L308" s="1" t="str">
        <x:f>IF(H308=0,IF(G308&gt;0,"Нет остатка","Нет спроса"),IF(I308&gt;='Дашборд'!$C$52,"Быстрый","Медленный"))</x:f>
        <x:v>Быстрый</x:v>
      </x:c>
      <x:c r="M308" s="1" t="str">
        <x:f>IF('Данные'!E308&lt;'Дашборд'!$C$53,"Мало трафика",IF(J308&lt;'Дашборд'!$C$9*'Дашборд'!$C$54,"Да","Нет"))</x:f>
        <x:v>Нет</x:v>
      </x:c>
      <x:c r="N308" s="1" t="str">
        <x:f>IF(AND('Данные'!D308&gt;='Дашборд'!$C$55,D308&lt;'Дашборд'!$C$56,'Данные'!E308&gt;='Дашборд'!$C$53,'Данные'!L308&lt;&gt;"Да"),"Да","Нет")</x:f>
        <x:v>Нет</x:v>
      </x:c>
      <x:c r="O308" s="1" t="str">
        <x:f>'Данные'!L308</x:f>
        <x:v>Нет</x:v>
      </x:c>
    </x:row>
    <x:row r="309">
      <x:c r="A309" s="1" t="str">
        <x:f>'Данные'!A309</x:f>
        <x:v>335591097</x:v>
      </x:c>
      <x:c r="B309" s="1" t="str">
        <x:f>'Данные'!B309</x:f>
        <x:v>top/черный</x:v>
      </x:c>
      <x:c r="C309" s="8" t="n">
        <x:f>'Данные'!G309</x:f>
        <x:v>665951</x:v>
      </x:c>
      <x:c r="D309" s="15" t="n">
        <x:f>C309/SUM($C$5:$C$2477)</x:f>
        <x:v>0.0007779796939392177</x:v>
      </x:c>
      <x:c r="E309" s="15" t="n">
        <x:f>SUM($D$5:D309)</x:f>
        <x:v>0.7082943472283605</x:v>
      </x:c>
      <x:c r="F309" s="1" t="str">
        <x:f>IF(C309&lt;=0,"C",IF(E309-D309&lt;'Дашборд'!$C$49,"A",IF(E309-D309&lt;'Дашборд'!$C$50,"B","C")))</x:f>
        <x:v>A</x:v>
      </x:c>
      <x:c r="G309" s="8" t="n">
        <x:f>'Данные'!F309</x:f>
        <x:v>2064</x:v>
      </x:c>
      <x:c r="H309" s="8" t="n">
        <x:f>SUM('Данные'!H309:I309)</x:f>
        <x:v>65</x:v>
      </x:c>
      <x:c r="I309" s="16" t="n">
        <x:f>IF(H309&gt;0,G309/H309,"n.a.")</x:f>
        <x:v>31.753846153846155</x:v>
      </x:c>
      <x:c r="J309" s="10" t="n">
        <x:f>IF('Данные'!E309&gt;0,G309/'Данные'!E309,"n.a.")</x:f>
        <x:v>0.030748603351955308</x:v>
      </x:c>
      <x:c r="K309" s="1" t="str">
        <x:f>IF(G309&gt;='Дашборд'!$C$51,"X","Z")</x:f>
        <x:v>X</x:v>
      </x:c>
      <x:c r="L309" s="1" t="str">
        <x:f>IF(H309=0,IF(G309&gt;0,"Нет остатка","Нет спроса"),IF(I309&gt;='Дашборд'!$C$52,"Быстрый","Медленный"))</x:f>
        <x:v>Быстрый</x:v>
      </x:c>
      <x:c r="M309" s="1" t="str">
        <x:f>IF('Данные'!E309&lt;'Дашборд'!$C$53,"Мало трафика",IF(J309&lt;'Дашборд'!$C$9*'Дашборд'!$C$54,"Да","Нет"))</x:f>
        <x:v>Нет</x:v>
      </x:c>
      <x:c r="N309" s="1" t="str">
        <x:f>IF(AND('Данные'!D309&gt;='Дашборд'!$C$55,D309&lt;'Дашборд'!$C$56,'Данные'!E309&gt;='Дашборд'!$C$53,'Данные'!L309&lt;&gt;"Да"),"Да","Нет")</x:f>
        <x:v>Нет</x:v>
      </x:c>
      <x:c r="O309" s="1" t="str">
        <x:f>'Данные'!L309</x:f>
        <x:v>Нет</x:v>
      </x:c>
    </x:row>
    <x:row r="310">
      <x:c r="A310" s="1" t="str">
        <x:f>'Данные'!A310</x:f>
        <x:v>288644218</x:v>
      </x:c>
      <x:c r="B310" s="1" t="str">
        <x:f>'Данные'!B310</x:f>
        <x:v>hudicrop1/дымка</x:v>
      </x:c>
      <x:c r="C310" s="8" t="n">
        <x:f>'Данные'!G310</x:f>
        <x:v>665878</x:v>
      </x:c>
      <x:c r="D310" s="15" t="n">
        <x:f>C310/SUM($C$5:$C$2477)</x:f>
        <x:v>0.0007778944136143024</x:v>
      </x:c>
      <x:c r="E310" s="15" t="n">
        <x:f>SUM($D$5:D310)</x:f>
        <x:v>0.7090722416419748</x:v>
      </x:c>
      <x:c r="F310" s="1" t="str">
        <x:f>IF(C310&lt;=0,"C",IF(E310-D310&lt;'Дашборд'!$C$49,"A",IF(E310-D310&lt;'Дашборд'!$C$50,"B","C")))</x:f>
        <x:v>A</x:v>
      </x:c>
      <x:c r="G310" s="8" t="n">
        <x:f>'Данные'!F310</x:f>
        <x:v>485</x:v>
      </x:c>
      <x:c r="H310" s="8" t="n">
        <x:f>SUM('Данные'!H310:I310)</x:f>
        <x:v>134</x:v>
      </x:c>
      <x:c r="I310" s="16" t="n">
        <x:f>IF(H310&gt;0,G310/H310,"n.a.")</x:f>
        <x:v>3.6194029850746268</x:v>
      </x:c>
      <x:c r="J310" s="10" t="n">
        <x:f>IF('Данные'!E310&gt;0,G310/'Данные'!E310,"n.a.")</x:f>
        <x:v>0.009444433626078321</x:v>
      </x:c>
      <x:c r="K310" s="1" t="str">
        <x:f>IF(G310&gt;='Дашборд'!$C$51,"X","Z")</x:f>
        <x:v>X</x:v>
      </x:c>
      <x:c r="L310" s="1" t="str">
        <x:f>IF(H310=0,IF(G310&gt;0,"Нет остатка","Нет спроса"),IF(I310&gt;='Дашборд'!$C$52,"Быстрый","Медленный"))</x:f>
        <x:v>Быстрый</x:v>
      </x:c>
      <x:c r="M310" s="1" t="str">
        <x:f>IF('Данные'!E310&lt;'Дашборд'!$C$53,"Мало трафика",IF(J310&lt;'Дашборд'!$C$9*'Дашборд'!$C$54,"Да","Нет"))</x:f>
        <x:v>Да</x:v>
      </x:c>
      <x:c r="N310" s="1" t="str">
        <x:f>IF(AND('Данные'!D310&gt;='Дашборд'!$C$55,D310&lt;'Дашборд'!$C$56,'Данные'!E310&gt;='Дашборд'!$C$53,'Данные'!L310&lt;&gt;"Да"),"Да","Нет")</x:f>
        <x:v>Нет</x:v>
      </x:c>
      <x:c r="O310" s="1" t="str">
        <x:f>'Данные'!L310</x:f>
        <x:v>Нет</x:v>
      </x:c>
    </x:row>
    <x:row r="311">
      <x:c r="A311" s="1" t="str">
        <x:f>'Данные'!A311</x:f>
        <x:v>165911171</x:v>
      </x:c>
      <x:c r="B311" s="1" t="str">
        <x:f>'Данные'!B311</x:f>
        <x:v>longman/дымка</x:v>
      </x:c>
      <x:c r="C311" s="8" t="n">
        <x:f>'Данные'!G311</x:f>
        <x:v>665465</x:v>
      </x:c>
      <x:c r="D311" s="15" t="n">
        <x:f>C311/SUM($C$5:$C$2477)</x:f>
        <x:v>0.000777411937255536</x:v>
      </x:c>
      <x:c r="E311" s="15" t="n">
        <x:f>SUM($D$5:D311)</x:f>
        <x:v>0.7098496535792304</x:v>
      </x:c>
      <x:c r="F311" s="1" t="str">
        <x:f>IF(C311&lt;=0,"C",IF(E311-D311&lt;'Дашборд'!$C$49,"A",IF(E311-D311&lt;'Дашборд'!$C$50,"B","C")))</x:f>
        <x:v>A</x:v>
      </x:c>
      <x:c r="G311" s="8" t="n">
        <x:f>'Данные'!F311</x:f>
        <x:v>1558</x:v>
      </x:c>
      <x:c r="H311" s="8" t="n">
        <x:f>SUM('Данные'!H311:I311)</x:f>
        <x:v>711</x:v>
      </x:c>
      <x:c r="I311" s="16" t="n">
        <x:f>IF(H311&gt;0,G311/H311,"n.a.")</x:f>
        <x:v>2.1912798874824193</x:v>
      </x:c>
      <x:c r="J311" s="10" t="n">
        <x:f>IF('Данные'!E311&gt;0,G311/'Данные'!E311,"n.a.")</x:f>
        <x:v>0.043444314315989066</x:v>
      </x:c>
      <x:c r="K311" s="1" t="str">
        <x:f>IF(G311&gt;='Дашборд'!$C$51,"X","Z")</x:f>
        <x:v>X</x:v>
      </x:c>
      <x:c r="L311" s="1" t="str">
        <x:f>IF(H311=0,IF(G311&gt;0,"Нет остатка","Нет спроса"),IF(I311&gt;='Дашборд'!$C$52,"Быстрый","Медленный"))</x:f>
        <x:v>Быстрый</x:v>
      </x:c>
      <x:c r="M311" s="1" t="str">
        <x:f>IF('Данные'!E311&lt;'Дашборд'!$C$53,"Мало трафика",IF(J311&lt;'Дашборд'!$C$9*'Дашборд'!$C$54,"Да","Нет"))</x:f>
        <x:v>Нет</x:v>
      </x:c>
      <x:c r="N311" s="1" t="str">
        <x:f>IF(AND('Данные'!D311&gt;='Дашборд'!$C$55,D311&lt;'Дашборд'!$C$56,'Данные'!E311&gt;='Дашборд'!$C$53,'Данные'!L311&lt;&gt;"Да"),"Да","Нет")</x:f>
        <x:v>Нет</x:v>
      </x:c>
      <x:c r="O311" s="1" t="str">
        <x:f>'Данные'!L311</x:f>
        <x:v>Нет</x:v>
      </x:c>
    </x:row>
    <x:row r="312">
      <x:c r="A312" s="1" t="str">
        <x:f>'Данные'!A312</x:f>
        <x:v>332646312</x:v>
      </x:c>
      <x:c r="B312" s="1" t="str">
        <x:f>'Данные'!B312</x:f>
        <x:v>futbolkaprint/MOSCOW-220/молочный</x:v>
      </x:c>
      <x:c r="C312" s="8" t="n">
        <x:f>'Данные'!G312</x:f>
        <x:v>662456</x:v>
      </x:c>
      <x:c r="D312" s="15" t="n">
        <x:f>C312/SUM($C$5:$C$2477)</x:f>
        <x:v>0.0007738967523559517</x:v>
      </x:c>
      <x:c r="E312" s="15" t="n">
        <x:f>SUM($D$5:D312)</x:f>
        <x:v>0.7106235503315863</x:v>
      </x:c>
      <x:c r="F312" s="1" t="str">
        <x:f>IF(C312&lt;=0,"C",IF(E312-D312&lt;'Дашборд'!$C$49,"A",IF(E312-D312&lt;'Дашборд'!$C$50,"B","C")))</x:f>
        <x:v>A</x:v>
      </x:c>
      <x:c r="G312" s="8" t="n">
        <x:f>'Данные'!F312</x:f>
        <x:v>1177</x:v>
      </x:c>
      <x:c r="H312" s="8" t="n">
        <x:f>SUM('Данные'!H312:I312)</x:f>
        <x:v>1344</x:v>
      </x:c>
      <x:c r="I312" s="16" t="n">
        <x:f>IF(H312&gt;0,G312/H312,"n.a.")</x:f>
        <x:v>0.8757440476190477</x:v>
      </x:c>
      <x:c r="J312" s="10" t="n">
        <x:f>IF('Данные'!E312&gt;0,G312/'Данные'!E312,"n.a.")</x:f>
        <x:v>0.008161708619374524</x:v>
      </x:c>
      <x:c r="K312" s="1" t="str">
        <x:f>IF(G312&gt;='Дашборд'!$C$51,"X","Z")</x:f>
        <x:v>X</x:v>
      </x:c>
      <x:c r="L312" s="1" t="str">
        <x:f>IF(H312=0,IF(G312&gt;0,"Нет остатка","Нет спроса"),IF(I312&gt;='Дашборд'!$C$52,"Быстрый","Медленный"))</x:f>
        <x:v>Медленный</x:v>
      </x:c>
      <x:c r="M312" s="1" t="str">
        <x:f>IF('Данные'!E312&lt;'Дашборд'!$C$53,"Мало трафика",IF(J312&lt;'Дашборд'!$C$9*'Дашборд'!$C$54,"Да","Нет"))</x:f>
        <x:v>Да</x:v>
      </x:c>
      <x:c r="N312" s="1" t="str">
        <x:f>IF(AND('Данные'!D312&gt;='Дашборд'!$C$55,D312&lt;'Дашборд'!$C$56,'Данные'!E312&gt;='Дашборд'!$C$53,'Данные'!L312&lt;&gt;"Да"),"Да","Нет")</x:f>
        <x:v>Да</x:v>
      </x:c>
      <x:c r="O312" s="1" t="str">
        <x:f>'Данные'!L312</x:f>
        <x:v>Нет</x:v>
      </x:c>
    </x:row>
    <x:row r="313">
      <x:c r="A313" s="1" t="str">
        <x:f>'Данные'!A313</x:f>
        <x:v>165757826</x:v>
      </x:c>
      <x:c r="B313" s="1" t="str">
        <x:f>'Данные'!B313</x:f>
        <x:v>kulirkaman/мандарин</x:v>
      </x:c>
      <x:c r="C313" s="8" t="n">
        <x:f>'Данные'!G313</x:f>
        <x:v>661061</x:v>
      </x:c>
      <x:c r="D313" s="15" t="n">
        <x:f>C313/SUM($C$5:$C$2477)</x:f>
        <x:v>0.0007722670803935322</x:v>
      </x:c>
      <x:c r="E313" s="15" t="n">
        <x:f>SUM($D$5:D313)</x:f>
        <x:v>0.7113958174119799</x:v>
      </x:c>
      <x:c r="F313" s="1" t="str">
        <x:f>IF(C313&lt;=0,"C",IF(E313-D313&lt;'Дашборд'!$C$49,"A",IF(E313-D313&lt;'Дашборд'!$C$50,"B","C")))</x:f>
        <x:v>A</x:v>
      </x:c>
      <x:c r="G313" s="8" t="n">
        <x:f>'Данные'!F313</x:f>
        <x:v>1374</x:v>
      </x:c>
      <x:c r="H313" s="8" t="n">
        <x:f>SUM('Данные'!H313:I313)</x:f>
        <x:v>605</x:v>
      </x:c>
      <x:c r="I313" s="16" t="n">
        <x:f>IF(H313&gt;0,G313/H313,"n.a.")</x:f>
        <x:v>2.271074380165289</x:v>
      </x:c>
      <x:c r="J313" s="10" t="n">
        <x:f>IF('Данные'!E313&gt;0,G313/'Данные'!E313,"n.a.")</x:f>
        <x:v>0.04087582554887844</x:v>
      </x:c>
      <x:c r="K313" s="1" t="str">
        <x:f>IF(G313&gt;='Дашборд'!$C$51,"X","Z")</x:f>
        <x:v>X</x:v>
      </x:c>
      <x:c r="L313" s="1" t="str">
        <x:f>IF(H313=0,IF(G313&gt;0,"Нет остатка","Нет спроса"),IF(I313&gt;='Дашборд'!$C$52,"Быстрый","Медленный"))</x:f>
        <x:v>Быстрый</x:v>
      </x:c>
      <x:c r="M313" s="1" t="str">
        <x:f>IF('Данные'!E313&lt;'Дашборд'!$C$53,"Мало трафика",IF(J313&lt;'Дашборд'!$C$9*'Дашборд'!$C$54,"Да","Нет"))</x:f>
        <x:v>Нет</x:v>
      </x:c>
      <x:c r="N313" s="1" t="str">
        <x:f>IF(AND('Данные'!D313&gt;='Дашборд'!$C$55,D313&lt;'Дашборд'!$C$56,'Данные'!E313&gt;='Дашборд'!$C$53,'Данные'!L313&lt;&gt;"Да"),"Да","Нет")</x:f>
        <x:v>Нет</x:v>
      </x:c>
      <x:c r="O313" s="1" t="str">
        <x:f>'Данные'!L313</x:f>
        <x:v>Нет</x:v>
      </x:c>
    </x:row>
    <x:row r="314">
      <x:c r="A314" s="1" t="str">
        <x:f>'Данные'!A314</x:f>
        <x:v>323203655</x:v>
      </x:c>
      <x:c r="B314" s="1" t="str">
        <x:f>'Данные'!B314</x:f>
        <x:v>tshirtsuperover3K-E1/коричневый</x:v>
      </x:c>
      <x:c r="C314" s="8" t="n">
        <x:f>'Данные'!G314</x:f>
        <x:v>660383</x:v>
      </x:c>
      <x:c r="D314" s="15" t="n">
        <x:f>C314/SUM($C$5:$C$2477)</x:f>
        <x:v>0.0007714750247730874</x:v>
      </x:c>
      <x:c r="E314" s="15" t="n">
        <x:f>SUM($D$5:D314)</x:f>
        <x:v>0.7121672924367529</x:v>
      </x:c>
      <x:c r="F314" s="1" t="str">
        <x:f>IF(C314&lt;=0,"C",IF(E314-D314&lt;'Дашборд'!$C$49,"A",IF(E314-D314&lt;'Дашборд'!$C$50,"B","C")))</x:f>
        <x:v>A</x:v>
      </x:c>
      <x:c r="G314" s="8" t="n">
        <x:f>'Данные'!F314</x:f>
        <x:v>1031</x:v>
      </x:c>
      <x:c r="H314" s="8" t="n">
        <x:f>SUM('Данные'!H314:I314)</x:f>
        <x:v>173</x:v>
      </x:c>
      <x:c r="I314" s="16" t="n">
        <x:f>IF(H314&gt;0,G314/H314,"n.a.")</x:f>
        <x:v>5.959537572254336</x:v>
      </x:c>
      <x:c r="J314" s="10" t="n">
        <x:f>IF('Данные'!E314&gt;0,G314/'Данные'!E314,"n.a.")</x:f>
        <x:v>0.006424476570289133</x:v>
      </x:c>
      <x:c r="K314" s="1" t="str">
        <x:f>IF(G314&gt;='Дашборд'!$C$51,"X","Z")</x:f>
        <x:v>X</x:v>
      </x:c>
      <x:c r="L314" s="1" t="str">
        <x:f>IF(H314=0,IF(G314&gt;0,"Нет остатка","Нет спроса"),IF(I314&gt;='Дашборд'!$C$52,"Быстрый","Медленный"))</x:f>
        <x:v>Быстрый</x:v>
      </x:c>
      <x:c r="M314" s="1" t="str">
        <x:f>IF('Данные'!E314&lt;'Дашборд'!$C$53,"Мало трафика",IF(J314&lt;'Дашборд'!$C$9*'Дашборд'!$C$54,"Да","Нет"))</x:f>
        <x:v>Да</x:v>
      </x:c>
      <x:c r="N314" s="1" t="str">
        <x:f>IF(AND('Данные'!D314&gt;='Дашборд'!$C$55,D314&lt;'Дашборд'!$C$56,'Данные'!E314&gt;='Дашборд'!$C$53,'Данные'!L314&lt;&gt;"Да"),"Да","Нет")</x:f>
        <x:v>Нет</x:v>
      </x:c>
      <x:c r="O314" s="1" t="str">
        <x:f>'Данные'!L314</x:f>
        <x:v>Нет</x:v>
      </x:c>
    </x:row>
    <x:row r="315">
      <x:c r="A315" s="1" t="str">
        <x:f>'Данные'!A315</x:f>
        <x:v>248560758</x:v>
      </x:c>
      <x:c r="B315" s="1" t="str">
        <x:f>'Данные'!B315</x:f>
        <x:v>hudiprint/TheMovementClub-140/светло-розовый</x:v>
      </x:c>
      <x:c r="C315" s="8" t="n">
        <x:f>'Данные'!G315</x:f>
        <x:v>659077</x:v>
      </x:c>
      <x:c r="D315" s="15" t="n">
        <x:f>C315/SUM($C$5:$C$2477)</x:f>
        <x:v>0.0007699493247136467</x:v>
      </x:c>
      <x:c r="E315" s="15" t="n">
        <x:f>SUM($D$5:D315)</x:f>
        <x:v>0.7129372417614666</x:v>
      </x:c>
      <x:c r="F315" s="1" t="str">
        <x:f>IF(C315&lt;=0,"C",IF(E315-D315&lt;'Дашборд'!$C$49,"A",IF(E315-D315&lt;'Дашборд'!$C$50,"B","C")))</x:f>
        <x:v>A</x:v>
      </x:c>
      <x:c r="G315" s="8" t="n">
        <x:f>'Данные'!F315</x:f>
        <x:v>536</x:v>
      </x:c>
      <x:c r="H315" s="8" t="n">
        <x:f>SUM('Данные'!H315:I315)</x:f>
        <x:v>54</x:v>
      </x:c>
      <x:c r="I315" s="16" t="n">
        <x:f>IF(H315&gt;0,G315/H315,"n.a.")</x:f>
        <x:v>9.925925925925926</x:v>
      </x:c>
      <x:c r="J315" s="10" t="n">
        <x:f>IF('Данные'!E315&gt;0,G315/'Данные'!E315,"n.a.")</x:f>
        <x:v>0.014377682403433477</x:v>
      </x:c>
      <x:c r="K315" s="1" t="str">
        <x:f>IF(G315&gt;='Дашборд'!$C$51,"X","Z")</x:f>
        <x:v>X</x:v>
      </x:c>
      <x:c r="L315" s="1" t="str">
        <x:f>IF(H315=0,IF(G315&gt;0,"Нет остатка","Нет спроса"),IF(I315&gt;='Дашборд'!$C$52,"Быстрый","Медленный"))</x:f>
        <x:v>Быстрый</x:v>
      </x:c>
      <x:c r="M315" s="1" t="str">
        <x:f>IF('Данные'!E315&lt;'Дашборд'!$C$53,"Мало трафика",IF(J315&lt;'Дашборд'!$C$9*'Дашборд'!$C$54,"Да","Нет"))</x:f>
        <x:v>Нет</x:v>
      </x:c>
      <x:c r="N315" s="1" t="str">
        <x:f>IF(AND('Данные'!D315&gt;='Дашборд'!$C$55,D315&lt;'Дашборд'!$C$56,'Данные'!E315&gt;='Дашборд'!$C$53,'Данные'!L315&lt;&gt;"Да"),"Да","Нет")</x:f>
        <x:v>Да</x:v>
      </x:c>
      <x:c r="O315" s="1" t="str">
        <x:f>'Данные'!L315</x:f>
        <x:v>Нет</x:v>
      </x:c>
    </x:row>
    <x:row r="316">
      <x:c r="A316" s="1" t="str">
        <x:f>'Данные'!A316</x:f>
        <x:v>289098364</x:v>
      </x:c>
      <x:c r="B316" s="1" t="str">
        <x:f>'Данные'!B316</x:f>
        <x:v>tolstovkazip3F-71/черный</x:v>
      </x:c>
      <x:c r="C316" s="8" t="n">
        <x:f>'Данные'!G316</x:f>
        <x:v>657726</x:v>
      </x:c>
      <x:c r="D316" s="15" t="n">
        <x:f>C316/SUM($C$5:$C$2477)</x:f>
        <x:v>0.0007683710545909021</x:v>
      </x:c>
      <x:c r="E316" s="15" t="n">
        <x:f>SUM($D$5:D316)</x:f>
        <x:v>0.7137056128160575</x:v>
      </x:c>
      <x:c r="F316" s="1" t="str">
        <x:f>IF(C316&lt;=0,"C",IF(E316-D316&lt;'Дашборд'!$C$49,"A",IF(E316-D316&lt;'Дашборд'!$C$50,"B","C")))</x:f>
        <x:v>A</x:v>
      </x:c>
      <x:c r="G316" s="8" t="n">
        <x:f>'Данные'!F316</x:f>
        <x:v>540</x:v>
      </x:c>
      <x:c r="H316" s="8" t="n">
        <x:f>SUM('Данные'!H316:I316)</x:f>
        <x:v>15</x:v>
      </x:c>
      <x:c r="I316" s="16" t="n">
        <x:f>IF(H316&gt;0,G316/H316,"n.a.")</x:f>
        <x:v>36</x:v>
      </x:c>
      <x:c r="J316" s="10" t="n">
        <x:f>IF('Данные'!E316&gt;0,G316/'Данные'!E316,"n.a.")</x:f>
        <x:v>0.009858332116255294</x:v>
      </x:c>
      <x:c r="K316" s="1" t="str">
        <x:f>IF(G316&gt;='Дашборд'!$C$51,"X","Z")</x:f>
        <x:v>X</x:v>
      </x:c>
      <x:c r="L316" s="1" t="str">
        <x:f>IF(H316=0,IF(G316&gt;0,"Нет остатка","Нет спроса"),IF(I316&gt;='Дашборд'!$C$52,"Быстрый","Медленный"))</x:f>
        <x:v>Быстрый</x:v>
      </x:c>
      <x:c r="M316" s="1" t="str">
        <x:f>IF('Данные'!E316&lt;'Дашборд'!$C$53,"Мало трафика",IF(J316&lt;'Дашборд'!$C$9*'Дашборд'!$C$54,"Да","Нет"))</x:f>
        <x:v>Да</x:v>
      </x:c>
      <x:c r="N316" s="1" t="str">
        <x:f>IF(AND('Данные'!D316&gt;='Дашборд'!$C$55,D316&lt;'Дашборд'!$C$56,'Данные'!E316&gt;='Дашборд'!$C$53,'Данные'!L316&lt;&gt;"Да"),"Да","Нет")</x:f>
        <x:v>Да</x:v>
      </x:c>
      <x:c r="O316" s="1" t="str">
        <x:f>'Данные'!L316</x:f>
        <x:v>Нет</x:v>
      </x:c>
    </x:row>
    <x:row r="317">
      <x:c r="A317" s="1" t="str">
        <x:f>'Данные'!A317</x:f>
        <x:v>333104130</x:v>
      </x:c>
      <x:c r="B317" s="1" t="str">
        <x:f>'Данные'!B317</x:f>
        <x:v>topbando/каштановый</x:v>
      </x:c>
      <x:c r="C317" s="8" t="n">
        <x:f>'Данные'!G317</x:f>
        <x:v>652930</x:v>
      </x:c>
      <x:c r="D317" s="15" t="n">
        <x:f>C317/SUM($C$5:$C$2477)</x:f>
        <x:v>0.0007627682540663403</x:v>
      </x:c>
      <x:c r="E317" s="15" t="n">
        <x:f>SUM($D$5:D317)</x:f>
        <x:v>0.7144683810701238</x:v>
      </x:c>
      <x:c r="F317" s="1" t="str">
        <x:f>IF(C317&lt;=0,"C",IF(E317-D317&lt;'Дашборд'!$C$49,"A",IF(E317-D317&lt;'Дашборд'!$C$50,"B","C")))</x:f>
        <x:v>A</x:v>
      </x:c>
      <x:c r="G317" s="8" t="n">
        <x:f>'Данные'!F317</x:f>
        <x:v>2852</x:v>
      </x:c>
      <x:c r="H317" s="8" t="n">
        <x:f>SUM('Данные'!H317:I317)</x:f>
        <x:v>463</x:v>
      </x:c>
      <x:c r="I317" s="16" t="n">
        <x:f>IF(H317&gt;0,G317/H317,"n.a.")</x:f>
        <x:v>6.159827213822894</x:v>
      </x:c>
      <x:c r="J317" s="10" t="n">
        <x:f>IF('Данные'!E317&gt;0,G317/'Данные'!E317,"n.a.")</x:f>
        <x:v>0.04088361358391032</x:v>
      </x:c>
      <x:c r="K317" s="1" t="str">
        <x:f>IF(G317&gt;='Дашборд'!$C$51,"X","Z")</x:f>
        <x:v>X</x:v>
      </x:c>
      <x:c r="L317" s="1" t="str">
        <x:f>IF(H317=0,IF(G317&gt;0,"Нет остатка","Нет спроса"),IF(I317&gt;='Дашборд'!$C$52,"Быстрый","Медленный"))</x:f>
        <x:v>Быстрый</x:v>
      </x:c>
      <x:c r="M317" s="1" t="str">
        <x:f>IF('Данные'!E317&lt;'Дашборд'!$C$53,"Мало трафика",IF(J317&lt;'Дашборд'!$C$9*'Дашборд'!$C$54,"Да","Нет"))</x:f>
        <x:v>Нет</x:v>
      </x:c>
      <x:c r="N317" s="1" t="str">
        <x:f>IF(AND('Данные'!D317&gt;='Дашборд'!$C$55,D317&lt;'Дашборд'!$C$56,'Данные'!E317&gt;='Дашборд'!$C$53,'Данные'!L317&lt;&gt;"Да"),"Да","Нет")</x:f>
        <x:v>Да</x:v>
      </x:c>
      <x:c r="O317" s="1" t="str">
        <x:f>'Данные'!L317</x:f>
        <x:v>Нет</x:v>
      </x:c>
    </x:row>
    <x:row r="318">
      <x:c r="A318" s="1" t="str">
        <x:f>'Данные'!A318</x:f>
        <x:v>35236301</x:v>
      </x:c>
      <x:c r="B318" s="1" t="str">
        <x:f>'Данные'!B318</x:f>
        <x:v>futbolkaover/банановый</x:v>
      </x:c>
      <x:c r="C318" s="8" t="n">
        <x:f>'Данные'!G318</x:f>
        <x:v>650858</x:v>
      </x:c>
      <x:c r="D318" s="15" t="n">
        <x:f>C318/SUM($C$5:$C$2477)</x:f>
        <x:v>0.000760347694707105</x:v>
      </x:c>
      <x:c r="E318" s="15" t="n">
        <x:f>SUM($D$5:D318)</x:f>
        <x:v>0.7152287287648309</x:v>
      </x:c>
      <x:c r="F318" s="1" t="str">
        <x:f>IF(C318&lt;=0,"C",IF(E318-D318&lt;'Дашборд'!$C$49,"A",IF(E318-D318&lt;'Дашборд'!$C$50,"B","C")))</x:f>
        <x:v>A</x:v>
      </x:c>
      <x:c r="G318" s="8" t="n">
        <x:f>'Данные'!F318</x:f>
        <x:v>1635</x:v>
      </x:c>
      <x:c r="H318" s="8" t="n">
        <x:f>SUM('Данные'!H318:I318)</x:f>
        <x:v>176</x:v>
      </x:c>
      <x:c r="I318" s="16" t="n">
        <x:f>IF(H318&gt;0,G318/H318,"n.a.")</x:f>
        <x:v>9.289772727272727</x:v>
      </x:c>
      <x:c r="J318" s="10" t="n">
        <x:f>IF('Данные'!E318&gt;0,G318/'Данные'!E318,"n.a.")</x:f>
        <x:v>0.02503866827975926</x:v>
      </x:c>
      <x:c r="K318" s="1" t="str">
        <x:f>IF(G318&gt;='Дашборд'!$C$51,"X","Z")</x:f>
        <x:v>X</x:v>
      </x:c>
      <x:c r="L318" s="1" t="str">
        <x:f>IF(H318=0,IF(G318&gt;0,"Нет остатка","Нет спроса"),IF(I318&gt;='Дашборд'!$C$52,"Быстрый","Медленный"))</x:f>
        <x:v>Быстрый</x:v>
      </x:c>
      <x:c r="M318" s="1" t="str">
        <x:f>IF('Данные'!E318&lt;'Дашборд'!$C$53,"Мало трафика",IF(J318&lt;'Дашборд'!$C$9*'Дашборд'!$C$54,"Да","Нет"))</x:f>
        <x:v>Нет</x:v>
      </x:c>
      <x:c r="N318" s="1" t="str">
        <x:f>IF(AND('Данные'!D318&gt;='Дашборд'!$C$55,D318&lt;'Дашборд'!$C$56,'Данные'!E318&gt;='Дашборд'!$C$53,'Данные'!L318&lt;&gt;"Да"),"Да","Нет")</x:f>
        <x:v>Да</x:v>
      </x:c>
      <x:c r="O318" s="1" t="str">
        <x:f>'Данные'!L318</x:f>
        <x:v>Нет</x:v>
      </x:c>
    </x:row>
    <x:row r="319">
      <x:c r="A319" s="1" t="str">
        <x:f>'Данные'!A319</x:f>
        <x:v>220421176</x:v>
      </x:c>
      <x:c r="B319" s="1" t="str">
        <x:f>'Данные'!B319</x:f>
        <x:v>tolstovkazip/синий</x:v>
      </x:c>
      <x:c r="C319" s="8" t="n">
        <x:f>'Данные'!G319</x:f>
        <x:v>646115</x:v>
      </x:c>
      <x:c r="D319" s="15" t="n">
        <x:f>C319/SUM($C$5:$C$2477)</x:f>
        <x:v>0.0007548068100348788</x:v>
      </x:c>
      <x:c r="E319" s="15" t="n">
        <x:f>SUM($D$5:D319)</x:f>
        <x:v>0.7159835355748658</x:v>
      </x:c>
      <x:c r="F319" s="1" t="str">
        <x:f>IF(C319&lt;=0,"C",IF(E319-D319&lt;'Дашборд'!$C$49,"A",IF(E319-D319&lt;'Дашборд'!$C$50,"B","C")))</x:f>
        <x:v>A</x:v>
      </x:c>
      <x:c r="G319" s="8" t="n">
        <x:f>'Данные'!F319</x:f>
        <x:v>521</x:v>
      </x:c>
      <x:c r="H319" s="8" t="n">
        <x:f>SUM('Данные'!H319:I319)</x:f>
        <x:v>0</x:v>
      </x:c>
      <x:c r="I319" s="16" t="str">
        <x:f>IF(H319&gt;0,G319/H319,"n.a.")</x:f>
        <x:v>n.a.</x:v>
      </x:c>
      <x:c r="J319" s="10" t="n">
        <x:f>IF('Данные'!E319&gt;0,G319/'Данные'!E319,"n.a.")</x:f>
        <x:v>0.013219994925145901</x:v>
      </x:c>
      <x:c r="K319" s="1" t="str">
        <x:f>IF(G319&gt;='Дашборд'!$C$51,"X","Z")</x:f>
        <x:v>X</x:v>
      </x:c>
      <x:c r="L319" s="1" t="str">
        <x:f>IF(H319=0,IF(G319&gt;0,"Нет остатка","Нет спроса"),IF(I319&gt;='Дашборд'!$C$52,"Быстрый","Медленный"))</x:f>
        <x:v>Нет остатка</x:v>
      </x:c>
      <x:c r="M319" s="1" t="str">
        <x:f>IF('Данные'!E319&lt;'Дашборд'!$C$53,"Мало трафика",IF(J319&lt;'Дашборд'!$C$9*'Дашборд'!$C$54,"Да","Нет"))</x:f>
        <x:v>Нет</x:v>
      </x:c>
      <x:c r="N319" s="1" t="str">
        <x:f>IF(AND('Данные'!D319&gt;='Дашборд'!$C$55,D319&lt;'Дашборд'!$C$56,'Данные'!E319&gt;='Дашборд'!$C$53,'Данные'!L319&lt;&gt;"Да"),"Да","Нет")</x:f>
        <x:v>Нет</x:v>
      </x:c>
      <x:c r="O319" s="1" t="str">
        <x:f>'Данные'!L319</x:f>
        <x:v>Нет</x:v>
      </x:c>
    </x:row>
    <x:row r="320">
      <x:c r="A320" s="1" t="str">
        <x:f>'Данные'!A320</x:f>
        <x:v>287707643</x:v>
      </x:c>
      <x:c r="B320" s="1" t="str">
        <x:f>'Данные'!B320</x:f>
        <x:v>2Nitkalong3D-76print/FYoung-238/серыймеланж</x:v>
      </x:c>
      <x:c r="C320" s="8" t="n">
        <x:f>'Данные'!G320</x:f>
        <x:v>645888</x:v>
      </x:c>
      <x:c r="D320" s="15" t="n">
        <x:f>C320/SUM($C$5:$C$2477)</x:f>
        <x:v>0.0007545416232711016</x:v>
      </x:c>
      <x:c r="E320" s="15" t="n">
        <x:f>SUM($D$5:D320)</x:f>
        <x:v>0.716738077198137</x:v>
      </x:c>
      <x:c r="F320" s="1" t="str">
        <x:f>IF(C320&lt;=0,"C",IF(E320-D320&lt;'Дашборд'!$C$49,"A",IF(E320-D320&lt;'Дашборд'!$C$50,"B","C")))</x:f>
        <x:v>A</x:v>
      </x:c>
      <x:c r="G320" s="8" t="n">
        <x:f>'Данные'!F320</x:f>
        <x:v>774</x:v>
      </x:c>
      <x:c r="H320" s="8" t="n">
        <x:f>SUM('Данные'!H320:I320)</x:f>
        <x:v>12</x:v>
      </x:c>
      <x:c r="I320" s="16" t="n">
        <x:f>IF(H320&gt;0,G320/H320,"n.a.")</x:f>
        <x:v>64.5</x:v>
      </x:c>
      <x:c r="J320" s="10" t="n">
        <x:f>IF('Данные'!E320&gt;0,G320/'Данные'!E320,"n.a.")</x:f>
        <x:v>0.008567917907391212</x:v>
      </x:c>
      <x:c r="K320" s="1" t="str">
        <x:f>IF(G320&gt;='Дашборд'!$C$51,"X","Z")</x:f>
        <x:v>X</x:v>
      </x:c>
      <x:c r="L320" s="1" t="str">
        <x:f>IF(H320=0,IF(G320&gt;0,"Нет остатка","Нет спроса"),IF(I320&gt;='Дашборд'!$C$52,"Быстрый","Медленный"))</x:f>
        <x:v>Быстрый</x:v>
      </x:c>
      <x:c r="M320" s="1" t="str">
        <x:f>IF('Данные'!E320&lt;'Дашборд'!$C$53,"Мало трафика",IF(J320&lt;'Дашборд'!$C$9*'Дашборд'!$C$54,"Да","Нет"))</x:f>
        <x:v>Да</x:v>
      </x:c>
      <x:c r="N320" s="1" t="str">
        <x:f>IF(AND('Данные'!D320&gt;='Дашборд'!$C$55,D320&lt;'Дашборд'!$C$56,'Данные'!E320&gt;='Дашборд'!$C$53,'Данные'!L320&lt;&gt;"Да"),"Да","Нет")</x:f>
        <x:v>Нет</x:v>
      </x:c>
      <x:c r="O320" s="1" t="str">
        <x:f>'Данные'!L320</x:f>
        <x:v>Нет</x:v>
      </x:c>
    </x:row>
    <x:row r="321">
      <x:c r="A321" s="1" t="str">
        <x:f>'Данные'!A321</x:f>
        <x:v>237300994</x:v>
      </x:c>
      <x:c r="B321" s="1" t="str">
        <x:f>'Данные'!B321</x:f>
        <x:v>longoverprint/TheMoment-141/розовый</x:v>
      </x:c>
      <x:c r="C321" s="8" t="n">
        <x:f>'Данные'!G321</x:f>
        <x:v>644938</x:v>
      </x:c>
      <x:c r="D321" s="15" t="n">
        <x:f>C321/SUM($C$5:$C$2477)</x:f>
        <x:v>0.0007534318108235758</x:v>
      </x:c>
      <x:c r="E321" s="15" t="n">
        <x:f>SUM($D$5:D321)</x:f>
        <x:v>0.7174915090089605</x:v>
      </x:c>
      <x:c r="F321" s="1" t="str">
        <x:f>IF(C321&lt;=0,"C",IF(E321-D321&lt;'Дашборд'!$C$49,"A",IF(E321-D321&lt;'Дашборд'!$C$50,"B","C")))</x:f>
        <x:v>A</x:v>
      </x:c>
      <x:c r="G321" s="8" t="n">
        <x:f>'Данные'!F321</x:f>
        <x:v>1123</x:v>
      </x:c>
      <x:c r="H321" s="8" t="n">
        <x:f>SUM('Данные'!H321:I321)</x:f>
        <x:v>160</x:v>
      </x:c>
      <x:c r="I321" s="16" t="n">
        <x:f>IF(H321&gt;0,G321/H321,"n.a.")</x:f>
        <x:v>7.01875</x:v>
      </x:c>
      <x:c r="J321" s="10" t="n">
        <x:f>IF('Данные'!E321&gt;0,G321/'Данные'!E321,"n.a.")</x:f>
        <x:v>0.015988041002277905</x:v>
      </x:c>
      <x:c r="K321" s="1" t="str">
        <x:f>IF(G321&gt;='Дашборд'!$C$51,"X","Z")</x:f>
        <x:v>X</x:v>
      </x:c>
      <x:c r="L321" s="1" t="str">
        <x:f>IF(H321=0,IF(G321&gt;0,"Нет остатка","Нет спроса"),IF(I321&gt;='Дашборд'!$C$52,"Быстрый","Медленный"))</x:f>
        <x:v>Быстрый</x:v>
      </x:c>
      <x:c r="M321" s="1" t="str">
        <x:f>IF('Данные'!E321&lt;'Дашборд'!$C$53,"Мало трафика",IF(J321&lt;'Дашборд'!$C$9*'Дашборд'!$C$54,"Да","Нет"))</x:f>
        <x:v>Нет</x:v>
      </x:c>
      <x:c r="N321" s="1" t="str">
        <x:f>IF(AND('Данные'!D321&gt;='Дашборд'!$C$55,D321&lt;'Дашборд'!$C$56,'Данные'!E321&gt;='Дашборд'!$C$53,'Данные'!L321&lt;&gt;"Да"),"Да","Нет")</x:f>
        <x:v>Да</x:v>
      </x:c>
      <x:c r="O321" s="1" t="str">
        <x:f>'Данные'!L321</x:f>
        <x:v>Нет</x:v>
      </x:c>
    </x:row>
    <x:row r="322">
      <x:c r="A322" s="1" t="str">
        <x:f>'Данные'!A322</x:f>
        <x:v>333104131</x:v>
      </x:c>
      <x:c r="B322" s="1" t="str">
        <x:f>'Данные'!B322</x:f>
        <x:v>topbando/розовый</x:v>
      </x:c>
      <x:c r="C322" s="8" t="n">
        <x:f>'Данные'!G322</x:f>
        <x:v>644097</x:v>
      </x:c>
      <x:c r="D322" s="15" t="n">
        <x:f>C322/SUM($C$5:$C$2477)</x:f>
        <x:v>0.0007524493347516082</x:v>
      </x:c>
      <x:c r="E322" s="15" t="n">
        <x:f>SUM($D$5:D322)</x:f>
        <x:v>0.7182439583437121</x:v>
      </x:c>
      <x:c r="F322" s="1" t="str">
        <x:f>IF(C322&lt;=0,"C",IF(E322-D322&lt;'Дашборд'!$C$49,"A",IF(E322-D322&lt;'Дашборд'!$C$50,"B","C")))</x:f>
        <x:v>A</x:v>
      </x:c>
      <x:c r="G322" s="8" t="n">
        <x:f>'Данные'!F322</x:f>
        <x:v>2656</x:v>
      </x:c>
      <x:c r="H322" s="8" t="n">
        <x:f>SUM('Данные'!H322:I322)</x:f>
        <x:v>677</x:v>
      </x:c>
      <x:c r="I322" s="16" t="n">
        <x:f>IF(H322&gt;0,G322/H322,"n.a.")</x:f>
        <x:v>3.9231905465288035</x:v>
      </x:c>
      <x:c r="J322" s="10" t="n">
        <x:f>IF('Данные'!E322&gt;0,G322/'Данные'!E322,"n.a.")</x:f>
        <x:v>0.03088084829318203</x:v>
      </x:c>
      <x:c r="K322" s="1" t="str">
        <x:f>IF(G322&gt;='Дашборд'!$C$51,"X","Z")</x:f>
        <x:v>X</x:v>
      </x:c>
      <x:c r="L322" s="1" t="str">
        <x:f>IF(H322=0,IF(G322&gt;0,"Нет остатка","Нет спроса"),IF(I322&gt;='Дашборд'!$C$52,"Быстрый","Медленный"))</x:f>
        <x:v>Быстрый</x:v>
      </x:c>
      <x:c r="M322" s="1" t="str">
        <x:f>IF('Данные'!E322&lt;'Дашборд'!$C$53,"Мало трафика",IF(J322&lt;'Дашборд'!$C$9*'Дашборд'!$C$54,"Да","Нет"))</x:f>
        <x:v>Нет</x:v>
      </x:c>
      <x:c r="N322" s="1" t="str">
        <x:f>IF(AND('Данные'!D322&gt;='Дашборд'!$C$55,D322&lt;'Дашборд'!$C$56,'Данные'!E322&gt;='Дашборд'!$C$53,'Данные'!L322&lt;&gt;"Да"),"Да","Нет")</x:f>
        <x:v>Да</x:v>
      </x:c>
      <x:c r="O322" s="1" t="str">
        <x:f>'Данные'!L322</x:f>
        <x:v>Нет</x:v>
      </x:c>
    </x:row>
    <x:row r="323">
      <x:c r="A323" s="1" t="str">
        <x:f>'Данные'!A323</x:f>
        <x:v>150674008</x:v>
      </x:c>
      <x:c r="B323" s="1" t="str">
        <x:f>'Данные'!B323</x:f>
        <x:v>svitshotover/песочный</x:v>
      </x:c>
      <x:c r="C323" s="8" t="n">
        <x:f>'Данные'!G323</x:f>
        <x:v>643582</x:v>
      </x:c>
      <x:c r="D323" s="15" t="n">
        <x:f>C323/SUM($C$5:$C$2477)</x:f>
        <x:v>0.0007518476995826863</x:v>
      </x:c>
      <x:c r="E323" s="15" t="n">
        <x:f>SUM($D$5:D323)</x:f>
        <x:v>0.7189958060432948</x:v>
      </x:c>
      <x:c r="F323" s="1" t="str">
        <x:f>IF(C323&lt;=0,"C",IF(E323-D323&lt;'Дашборд'!$C$49,"A",IF(E323-D323&lt;'Дашборд'!$C$50,"B","C")))</x:f>
        <x:v>A</x:v>
      </x:c>
      <x:c r="G323" s="8" t="n">
        <x:f>'Данные'!F323</x:f>
        <x:v>1105</x:v>
      </x:c>
      <x:c r="H323" s="8" t="n">
        <x:f>SUM('Данные'!H323:I323)</x:f>
        <x:v>1126</x:v>
      </x:c>
      <x:c r="I323" s="16" t="n">
        <x:f>IF(H323&gt;0,G323/H323,"n.a.")</x:f>
        <x:v>0.9813499111900533</x:v>
      </x:c>
      <x:c r="J323" s="10" t="n">
        <x:f>IF('Данные'!E323&gt;0,G323/'Данные'!E323,"n.a.")</x:f>
        <x:v>0.017411994579433362</x:v>
      </x:c>
      <x:c r="K323" s="1" t="str">
        <x:f>IF(G323&gt;='Дашборд'!$C$51,"X","Z")</x:f>
        <x:v>X</x:v>
      </x:c>
      <x:c r="L323" s="1" t="str">
        <x:f>IF(H323=0,IF(G323&gt;0,"Нет остатка","Нет спроса"),IF(I323&gt;='Дашборд'!$C$52,"Быстрый","Медленный"))</x:f>
        <x:v>Медленный</x:v>
      </x:c>
      <x:c r="M323" s="1" t="str">
        <x:f>IF('Данные'!E323&lt;'Дашборд'!$C$53,"Мало трафика",IF(J323&lt;'Дашборд'!$C$9*'Дашборд'!$C$54,"Да","Нет"))</x:f>
        <x:v>Нет</x:v>
      </x:c>
      <x:c r="N323" s="1" t="str">
        <x:f>IF(AND('Данные'!D323&gt;='Дашборд'!$C$55,D323&lt;'Дашборд'!$C$56,'Данные'!E323&gt;='Дашборд'!$C$53,'Данные'!L323&lt;&gt;"Да"),"Да","Нет")</x:f>
        <x:v>Да</x:v>
      </x:c>
      <x:c r="O323" s="1" t="str">
        <x:f>'Данные'!L323</x:f>
        <x:v>Нет</x:v>
      </x:c>
    </x:row>
    <x:row r="324">
      <x:c r="A324" s="1" t="str">
        <x:f>'Данные'!A324</x:f>
        <x:v>253952489</x:v>
      </x:c>
      <x:c r="B324" s="1" t="str">
        <x:f>'Данные'!B324</x:f>
        <x:v>hudi/вареныйсерый</x:v>
      </x:c>
      <x:c r="C324" s="8" t="n">
        <x:f>'Данные'!G324</x:f>
        <x:v>642670</x:v>
      </x:c>
      <x:c r="D324" s="15" t="n">
        <x:f>C324/SUM($C$5:$C$2477)</x:f>
        <x:v>0.0007507822796330616</x:v>
      </x:c>
      <x:c r="E324" s="15" t="n">
        <x:f>SUM($D$5:D324)</x:f>
        <x:v>0.7197465883229279</x:v>
      </x:c>
      <x:c r="F324" s="1" t="str">
        <x:f>IF(C324&lt;=0,"C",IF(E324-D324&lt;'Дашборд'!$C$49,"A",IF(E324-D324&lt;'Дашборд'!$C$50,"B","C")))</x:f>
        <x:v>A</x:v>
      </x:c>
      <x:c r="G324" s="8" t="n">
        <x:f>'Данные'!F324</x:f>
        <x:v>555</x:v>
      </x:c>
      <x:c r="H324" s="8" t="n">
        <x:f>SUM('Данные'!H324:I324)</x:f>
        <x:v>5</x:v>
      </x:c>
      <x:c r="I324" s="16" t="n">
        <x:f>IF(H324&gt;0,G324/H324,"n.a.")</x:f>
        <x:v>111</x:v>
      </x:c>
      <x:c r="J324" s="10" t="n">
        <x:f>IF('Данные'!E324&gt;0,G324/'Данные'!E324,"n.a.")</x:f>
        <x:v>0.006522428929028922</x:v>
      </x:c>
      <x:c r="K324" s="1" t="str">
        <x:f>IF(G324&gt;='Дашборд'!$C$51,"X","Z")</x:f>
        <x:v>X</x:v>
      </x:c>
      <x:c r="L324" s="1" t="str">
        <x:f>IF(H324=0,IF(G324&gt;0,"Нет остатка","Нет спроса"),IF(I324&gt;='Дашборд'!$C$52,"Быстрый","Медленный"))</x:f>
        <x:v>Быстрый</x:v>
      </x:c>
      <x:c r="M324" s="1" t="str">
        <x:f>IF('Данные'!E324&lt;'Дашборд'!$C$53,"Мало трафика",IF(J324&lt;'Дашборд'!$C$9*'Дашборд'!$C$54,"Да","Нет"))</x:f>
        <x:v>Да</x:v>
      </x:c>
      <x:c r="N324" s="1" t="str">
        <x:f>IF(AND('Данные'!D324&gt;='Дашборд'!$C$55,D324&lt;'Дашборд'!$C$56,'Данные'!E324&gt;='Дашборд'!$C$53,'Данные'!L324&lt;&gt;"Да"),"Да","Нет")</x:f>
        <x:v>Да</x:v>
      </x:c>
      <x:c r="O324" s="1" t="str">
        <x:f>'Данные'!L324</x:f>
        <x:v>Нет</x:v>
      </x:c>
    </x:row>
    <x:row r="325">
      <x:c r="A325" s="1" t="str">
        <x:f>'Данные'!A325</x:f>
        <x:v>368695105</x:v>
      </x:c>
      <x:c r="B325" s="1" t="str">
        <x:f>'Данные'!B325</x:f>
        <x:v>futskimsX2/чер-бел</x:v>
      </x:c>
      <x:c r="C325" s="8" t="n">
        <x:f>'Данные'!G325</x:f>
        <x:v>641068</x:v>
      </x:c>
      <x:c r="D325" s="15" t="n">
        <x:f>C325/SUM($C$5:$C$2477)</x:f>
        <x:v>0.0007489107853794444</x:v>
      </x:c>
      <x:c r="E325" s="15" t="n">
        <x:f>SUM($D$5:D325)</x:f>
        <x:v>0.7204954991083073</x:v>
      </x:c>
      <x:c r="F325" s="1" t="str">
        <x:f>IF(C325&lt;=0,"C",IF(E325-D325&lt;'Дашборд'!$C$49,"A",IF(E325-D325&lt;'Дашборд'!$C$50,"B","C")))</x:f>
        <x:v>A</x:v>
      </x:c>
      <x:c r="G325" s="8" t="n">
        <x:f>'Данные'!F325</x:f>
        <x:v>745</x:v>
      </x:c>
      <x:c r="H325" s="8" t="n">
        <x:f>SUM('Данные'!H325:I325)</x:f>
        <x:v>47</x:v>
      </x:c>
      <x:c r="I325" s="16" t="n">
        <x:f>IF(H325&gt;0,G325/H325,"n.a.")</x:f>
        <x:v>15.851063829787234</x:v>
      </x:c>
      <x:c r="J325" s="10" t="n">
        <x:f>IF('Данные'!E325&gt;0,G325/'Данные'!E325,"n.a.")</x:f>
        <x:v>0.015949816951765186</x:v>
      </x:c>
      <x:c r="K325" s="1" t="str">
        <x:f>IF(G325&gt;='Дашборд'!$C$51,"X","Z")</x:f>
        <x:v>X</x:v>
      </x:c>
      <x:c r="L325" s="1" t="str">
        <x:f>IF(H325=0,IF(G325&gt;0,"Нет остатка","Нет спроса"),IF(I325&gt;='Дашборд'!$C$52,"Быстрый","Медленный"))</x:f>
        <x:v>Быстрый</x:v>
      </x:c>
      <x:c r="M325" s="1" t="str">
        <x:f>IF('Данные'!E325&lt;'Дашборд'!$C$53,"Мало трафика",IF(J325&lt;'Дашборд'!$C$9*'Дашборд'!$C$54,"Да","Нет"))</x:f>
        <x:v>Нет</x:v>
      </x:c>
      <x:c r="N325" s="1" t="str">
        <x:f>IF(AND('Данные'!D325&gt;='Дашборд'!$C$55,D325&lt;'Дашборд'!$C$56,'Данные'!E325&gt;='Дашборд'!$C$53,'Данные'!L325&lt;&gt;"Да"),"Да","Нет")</x:f>
        <x:v>Нет</x:v>
      </x:c>
      <x:c r="O325" s="1" t="str">
        <x:f>'Данные'!L325</x:f>
        <x:v>Нет</x:v>
      </x:c>
    </x:row>
    <x:row r="326">
      <x:c r="A326" s="1" t="str">
        <x:f>'Данные'!A326</x:f>
        <x:v>331723388</x:v>
      </x:c>
      <x:c r="B326" s="1" t="str">
        <x:f>'Данные'!B326</x:f>
        <x:v>futkryl3K-101/белый</x:v>
      </x:c>
      <x:c r="C326" s="8" t="n">
        <x:f>'Данные'!G326</x:f>
        <x:v>640739</x:v>
      </x:c>
      <x:c r="D326" s="15" t="n">
        <x:f>C326/SUM($C$5:$C$2477)</x:f>
        <x:v>0.0007485264398055118</x:v>
      </x:c>
      <x:c r="E326" s="15" t="n">
        <x:f>SUM($D$5:D326)</x:f>
        <x:v>0.7212440255481128</x:v>
      </x:c>
      <x:c r="F326" s="1" t="str">
        <x:f>IF(C326&lt;=0,"C",IF(E326-D326&lt;'Дашборд'!$C$49,"A",IF(E326-D326&lt;'Дашборд'!$C$50,"B","C")))</x:f>
        <x:v>A</x:v>
      </x:c>
      <x:c r="G326" s="8" t="n">
        <x:f>'Данные'!F326</x:f>
        <x:v>1827</x:v>
      </x:c>
      <x:c r="H326" s="8" t="n">
        <x:f>SUM('Данные'!H326:I326)</x:f>
        <x:v>353</x:v>
      </x:c>
      <x:c r="I326" s="16" t="n">
        <x:f>IF(H326&gt;0,G326/H326,"n.a.")</x:f>
        <x:v>5.175637393767706</x:v>
      </x:c>
      <x:c r="J326" s="10" t="n">
        <x:f>IF('Данные'!E326&gt;0,G326/'Данные'!E326,"n.a.")</x:f>
        <x:v>0.014628404887344468</x:v>
      </x:c>
      <x:c r="K326" s="1" t="str">
        <x:f>IF(G326&gt;='Дашборд'!$C$51,"X","Z")</x:f>
        <x:v>X</x:v>
      </x:c>
      <x:c r="L326" s="1" t="str">
        <x:f>IF(H326=0,IF(G326&gt;0,"Нет остатка","Нет спроса"),IF(I326&gt;='Дашборд'!$C$52,"Быстрый","Медленный"))</x:f>
        <x:v>Быстрый</x:v>
      </x:c>
      <x:c r="M326" s="1" t="str">
        <x:f>IF('Данные'!E326&lt;'Дашборд'!$C$53,"Мало трафика",IF(J326&lt;'Дашборд'!$C$9*'Дашборд'!$C$54,"Да","Нет"))</x:f>
        <x:v>Нет</x:v>
      </x:c>
      <x:c r="N326" s="1" t="str">
        <x:f>IF(AND('Данные'!D326&gt;='Дашборд'!$C$55,D326&lt;'Дашборд'!$C$56,'Данные'!E326&gt;='Дашборд'!$C$53,'Данные'!L326&lt;&gt;"Да"),"Да","Нет")</x:f>
        <x:v>Нет</x:v>
      </x:c>
      <x:c r="O326" s="1" t="str">
        <x:f>'Данные'!L326</x:f>
        <x:v>Нет</x:v>
      </x:c>
    </x:row>
    <x:row r="327">
      <x:c r="A327" s="1" t="str">
        <x:f>'Данные'!A327</x:f>
        <x:v>311462397</x:v>
      </x:c>
      <x:c r="B327" s="1" t="str">
        <x:f>'Данные'!B327</x:f>
        <x:v>brukimanpetl/графит</x:v>
      </x:c>
      <x:c r="C327" s="8" t="n">
        <x:f>'Данные'!G327</x:f>
        <x:v>640061</x:v>
      </x:c>
      <x:c r="D327" s="15" t="n">
        <x:f>C327/SUM($C$5:$C$2477)</x:f>
        <x:v>0.000747734384185067</x:v>
      </x:c>
      <x:c r="E327" s="15" t="n">
        <x:f>SUM($D$5:D327)</x:f>
        <x:v>0.7219917599322979</x:v>
      </x:c>
      <x:c r="F327" s="1" t="str">
        <x:f>IF(C327&lt;=0,"C",IF(E327-D327&lt;'Дашборд'!$C$49,"A",IF(E327-D327&lt;'Дашборд'!$C$50,"B","C")))</x:f>
        <x:v>A</x:v>
      </x:c>
      <x:c r="G327" s="8" t="n">
        <x:f>'Данные'!F327</x:f>
        <x:v>992</x:v>
      </x:c>
      <x:c r="H327" s="8" t="n">
        <x:f>SUM('Данные'!H327:I327)</x:f>
        <x:v>53</x:v>
      </x:c>
      <x:c r="I327" s="16" t="n">
        <x:f>IF(H327&gt;0,G327/H327,"n.a.")</x:f>
        <x:v>18.71698113207547</x:v>
      </x:c>
      <x:c r="J327" s="10" t="n">
        <x:f>IF('Данные'!E327&gt;0,G327/'Данные'!E327,"n.a.")</x:f>
        <x:v>0.02440284371848171</x:v>
      </x:c>
      <x:c r="K327" s="1" t="str">
        <x:f>IF(G327&gt;='Дашборд'!$C$51,"X","Z")</x:f>
        <x:v>X</x:v>
      </x:c>
      <x:c r="L327" s="1" t="str">
        <x:f>IF(H327=0,IF(G327&gt;0,"Нет остатка","Нет спроса"),IF(I327&gt;='Дашборд'!$C$52,"Быстрый","Медленный"))</x:f>
        <x:v>Быстрый</x:v>
      </x:c>
      <x:c r="M327" s="1" t="str">
        <x:f>IF('Данные'!E327&lt;'Дашборд'!$C$53,"Мало трафика",IF(J327&lt;'Дашборд'!$C$9*'Дашборд'!$C$54,"Да","Нет"))</x:f>
        <x:v>Нет</x:v>
      </x:c>
      <x:c r="N327" s="1" t="str">
        <x:f>IF(AND('Данные'!D327&gt;='Дашборд'!$C$55,D327&lt;'Дашборд'!$C$56,'Данные'!E327&gt;='Дашборд'!$C$53,'Данные'!L327&lt;&gt;"Да"),"Да","Нет")</x:f>
        <x:v>Нет</x:v>
      </x:c>
      <x:c r="O327" s="1" t="str">
        <x:f>'Данные'!L327</x:f>
        <x:v>Нет</x:v>
      </x:c>
    </x:row>
    <x:row r="328">
      <x:c r="A328" s="1" t="str">
        <x:f>'Данные'!A328</x:f>
        <x:v>295771241</x:v>
      </x:c>
      <x:c r="B328" s="1" t="str">
        <x:f>'Данные'!B328</x:f>
        <x:v>kostyumfix3P-37-63/песочный</x:v>
      </x:c>
      <x:c r="C328" s="8" t="n">
        <x:f>'Данные'!G328</x:f>
        <x:v>639067</x:v>
      </x:c>
      <x:c r="D328" s="15" t="n">
        <x:f>C328/SUM($C$5:$C$2477)</x:f>
        <x:v>0.0007465731698978663</x:v>
      </x:c>
      <x:c r="E328" s="15" t="n">
        <x:f>SUM($D$5:D328)</x:f>
        <x:v>0.7227383331021958</x:v>
      </x:c>
      <x:c r="F328" s="1" t="str">
        <x:f>IF(C328&lt;=0,"C",IF(E328-D328&lt;'Дашборд'!$C$49,"A",IF(E328-D328&lt;'Дашборд'!$C$50,"B","C")))</x:f>
        <x:v>A</x:v>
      </x:c>
      <x:c r="G328" s="8" t="n">
        <x:f>'Данные'!F328</x:f>
        <x:v>712</x:v>
      </x:c>
      <x:c r="H328" s="8" t="n">
        <x:f>SUM('Данные'!H328:I328)</x:f>
        <x:v>152</x:v>
      </x:c>
      <x:c r="I328" s="16" t="n">
        <x:f>IF(H328&gt;0,G328/H328,"n.a.")</x:f>
        <x:v>4.684210526315789</x:v>
      </x:c>
      <x:c r="J328" s="10" t="n">
        <x:f>IF('Данные'!E328&gt;0,G328/'Данные'!E328,"n.a.")</x:f>
        <x:v>0.0083815981541649</x:v>
      </x:c>
      <x:c r="K328" s="1" t="str">
        <x:f>IF(G328&gt;='Дашборд'!$C$51,"X","Z")</x:f>
        <x:v>X</x:v>
      </x:c>
      <x:c r="L328" s="1" t="str">
        <x:f>IF(H328=0,IF(G328&gt;0,"Нет остатка","Нет спроса"),IF(I328&gt;='Дашборд'!$C$52,"Быстрый","Медленный"))</x:f>
        <x:v>Быстрый</x:v>
      </x:c>
      <x:c r="M328" s="1" t="str">
        <x:f>IF('Данные'!E328&lt;'Дашборд'!$C$53,"Мало трафика",IF(J328&lt;'Дашборд'!$C$9*'Дашборд'!$C$54,"Да","Нет"))</x:f>
        <x:v>Да</x:v>
      </x:c>
      <x:c r="N328" s="1" t="str">
        <x:f>IF(AND('Данные'!D328&gt;='Дашборд'!$C$55,D328&lt;'Дашборд'!$C$56,'Данные'!E328&gt;='Дашборд'!$C$53,'Данные'!L328&lt;&gt;"Да"),"Да","Нет")</x:f>
        <x:v>Нет</x:v>
      </x:c>
      <x:c r="O328" s="1" t="str">
        <x:f>'Данные'!L328</x:f>
        <x:v>Нет</x:v>
      </x:c>
    </x:row>
    <x:row r="329">
      <x:c r="A329" s="1" t="str">
        <x:f>'Данные'!A329</x:f>
        <x:v>216753465</x:v>
      </x:c>
      <x:c r="B329" s="1" t="str">
        <x:f>'Данные'!B329</x:f>
        <x:v>futbolkamanX3/чер-син-тсер</x:v>
      </x:c>
      <x:c r="C329" s="8" t="n">
        <x:f>'Данные'!G329</x:f>
        <x:v>637236</x:v>
      </x:c>
      <x:c r="D329" s="15" t="n">
        <x:f>C329/SUM($C$5:$C$2477)</x:f>
        <x:v>0.0007444341524332139</x:v>
      </x:c>
      <x:c r="E329" s="15" t="n">
        <x:f>SUM($D$5:D329)</x:f>
        <x:v>0.723482767254629</x:v>
      </x:c>
      <x:c r="F329" s="1" t="str">
        <x:f>IF(C329&lt;=0,"C",IF(E329-D329&lt;'Дашборд'!$C$49,"A",IF(E329-D329&lt;'Дашборд'!$C$50,"B","C")))</x:f>
        <x:v>A</x:v>
      </x:c>
      <x:c r="G329" s="8" t="n">
        <x:f>'Данные'!F329</x:f>
        <x:v>605</x:v>
      </x:c>
      <x:c r="H329" s="8" t="n">
        <x:f>SUM('Данные'!H329:I329)</x:f>
        <x:v>102</x:v>
      </x:c>
      <x:c r="I329" s="16" t="n">
        <x:f>IF(H329&gt;0,G329/H329,"n.a.")</x:f>
        <x:v>5.931372549019608</x:v>
      </x:c>
      <x:c r="J329" s="10" t="n">
        <x:f>IF('Данные'!E329&gt;0,G329/'Данные'!E329,"n.a.")</x:f>
        <x:v>0.01944524796708771</x:v>
      </x:c>
      <x:c r="K329" s="1" t="str">
        <x:f>IF(G329&gt;='Дашборд'!$C$51,"X","Z")</x:f>
        <x:v>X</x:v>
      </x:c>
      <x:c r="L329" s="1" t="str">
        <x:f>IF(H329=0,IF(G329&gt;0,"Нет остатка","Нет спроса"),IF(I329&gt;='Дашборд'!$C$52,"Быстрый","Медленный"))</x:f>
        <x:v>Быстрый</x:v>
      </x:c>
      <x:c r="M329" s="1" t="str">
        <x:f>IF('Данные'!E329&lt;'Дашборд'!$C$53,"Мало трафика",IF(J329&lt;'Дашборд'!$C$9*'Дашборд'!$C$54,"Да","Нет"))</x:f>
        <x:v>Нет</x:v>
      </x:c>
      <x:c r="N329" s="1" t="str">
        <x:f>IF(AND('Данные'!D329&gt;='Дашборд'!$C$55,D329&lt;'Дашборд'!$C$56,'Данные'!E329&gt;='Дашборд'!$C$53,'Данные'!L329&lt;&gt;"Да"),"Да","Нет")</x:f>
        <x:v>Нет</x:v>
      </x:c>
      <x:c r="O329" s="1" t="str">
        <x:f>'Данные'!L329</x:f>
        <x:v>Нет</x:v>
      </x:c>
    </x:row>
    <x:row r="330">
      <x:c r="A330" s="1" t="str">
        <x:f>'Данные'!A330</x:f>
        <x:v>241435198</x:v>
      </x:c>
      <x:c r="B330" s="1" t="str">
        <x:f>'Данные'!B330</x:f>
        <x:v>hudi/дымка</x:v>
      </x:c>
      <x:c r="C330" s="8" t="n">
        <x:f>'Данные'!G330</x:f>
        <x:v>637231</x:v>
      </x:c>
      <x:c r="D330" s="15" t="n">
        <x:f>C330/SUM($C$5:$C$2477)</x:f>
        <x:v>0.0007444283113150691</x:v>
      </x:c>
      <x:c r="E330" s="15" t="n">
        <x:f>SUM($D$5:D330)</x:f>
        <x:v>0.7242271955659441</x:v>
      </x:c>
      <x:c r="F330" s="1" t="str">
        <x:f>IF(C330&lt;=0,"C",IF(E330-D330&lt;'Дашборд'!$C$49,"A",IF(E330-D330&lt;'Дашборд'!$C$50,"B","C")))</x:f>
        <x:v>A</x:v>
      </x:c>
      <x:c r="G330" s="8" t="n">
        <x:f>'Данные'!F330</x:f>
        <x:v>661</x:v>
      </x:c>
      <x:c r="H330" s="8" t="n">
        <x:f>SUM('Данные'!H330:I330)</x:f>
        <x:v>14</x:v>
      </x:c>
      <x:c r="I330" s="16" t="n">
        <x:f>IF(H330&gt;0,G330/H330,"n.a.")</x:f>
        <x:v>47.214285714285715</x:v>
      </x:c>
      <x:c r="J330" s="10" t="n">
        <x:f>IF('Данные'!E330&gt;0,G330/'Данные'!E330,"n.a.")</x:f>
        <x:v>0.008967089019724882</x:v>
      </x:c>
      <x:c r="K330" s="1" t="str">
        <x:f>IF(G330&gt;='Дашборд'!$C$51,"X","Z")</x:f>
        <x:v>X</x:v>
      </x:c>
      <x:c r="L330" s="1" t="str">
        <x:f>IF(H330=0,IF(G330&gt;0,"Нет остатка","Нет спроса"),IF(I330&gt;='Дашборд'!$C$52,"Быстрый","Медленный"))</x:f>
        <x:v>Быстрый</x:v>
      </x:c>
      <x:c r="M330" s="1" t="str">
        <x:f>IF('Данные'!E330&lt;'Дашборд'!$C$53,"Мало трафика",IF(J330&lt;'Дашборд'!$C$9*'Дашборд'!$C$54,"Да","Нет"))</x:f>
        <x:v>Да</x:v>
      </x:c>
      <x:c r="N330" s="1" t="str">
        <x:f>IF(AND('Данные'!D330&gt;='Дашборд'!$C$55,D330&lt;'Дашборд'!$C$56,'Данные'!E330&gt;='Дашборд'!$C$53,'Данные'!L330&lt;&gt;"Да"),"Да","Нет")</x:f>
        <x:v>Да</x:v>
      </x:c>
      <x:c r="O330" s="1" t="str">
        <x:f>'Данные'!L330</x:f>
        <x:v>Нет</x:v>
      </x:c>
    </x:row>
    <x:row r="331">
      <x:c r="A331" s="1" t="str">
        <x:f>'Данные'!A331</x:f>
        <x:v>32727547</x:v>
      </x:c>
      <x:c r="B331" s="1" t="str">
        <x:f>'Данные'!B331</x:f>
        <x:v>kroptop/пудровый</x:v>
      </x:c>
      <x:c r="C331" s="8" t="n">
        <x:f>'Данные'!G331</x:f>
        <x:v>636054</x:v>
      </x:c>
      <x:c r="D331" s="15" t="n">
        <x:f>C331/SUM($C$5:$C$2477)</x:f>
        <x:v>0.000743053312103766</x:v>
      </x:c>
      <x:c r="E331" s="15" t="n">
        <x:f>SUM($D$5:D331)</x:f>
        <x:v>0.7249702488780478</x:v>
      </x:c>
      <x:c r="F331" s="1" t="str">
        <x:f>IF(C331&lt;=0,"C",IF(E331-D331&lt;'Дашборд'!$C$49,"A",IF(E331-D331&lt;'Дашборд'!$C$50,"B","C")))</x:f>
        <x:v>A</x:v>
      </x:c>
      <x:c r="G331" s="8" t="n">
        <x:f>'Данные'!F331</x:f>
        <x:v>1628</x:v>
      </x:c>
      <x:c r="H331" s="8" t="n">
        <x:f>SUM('Данные'!H331:I331)</x:f>
        <x:v>562</x:v>
      </x:c>
      <x:c r="I331" s="16" t="n">
        <x:f>IF(H331&gt;0,G331/H331,"n.a.")</x:f>
        <x:v>2.8967971530249113</x:v>
      </x:c>
      <x:c r="J331" s="10" t="n">
        <x:f>IF('Данные'!E331&gt;0,G331/'Данные'!E331,"n.a.")</x:f>
        <x:v>0.018064401588957193</x:v>
      </x:c>
      <x:c r="K331" s="1" t="str">
        <x:f>IF(G331&gt;='Дашборд'!$C$51,"X","Z")</x:f>
        <x:v>X</x:v>
      </x:c>
      <x:c r="L331" s="1" t="str">
        <x:f>IF(H331=0,IF(G331&gt;0,"Нет остатка","Нет спроса"),IF(I331&gt;='Дашборд'!$C$52,"Быстрый","Медленный"))</x:f>
        <x:v>Быстрый</x:v>
      </x:c>
      <x:c r="M331" s="1" t="str">
        <x:f>IF('Данные'!E331&lt;'Дашборд'!$C$53,"Мало трафика",IF(J331&lt;'Дашборд'!$C$9*'Дашборд'!$C$54,"Да","Нет"))</x:f>
        <x:v>Нет</x:v>
      </x:c>
      <x:c r="N331" s="1" t="str">
        <x:f>IF(AND('Данные'!D331&gt;='Дашборд'!$C$55,D331&lt;'Дашборд'!$C$56,'Данные'!E331&gt;='Дашборд'!$C$53,'Данные'!L331&lt;&gt;"Да"),"Да","Нет")</x:f>
        <x:v>Нет</x:v>
      </x:c>
      <x:c r="O331" s="1" t="str">
        <x:f>'Данные'!L331</x:f>
        <x:v>Нет</x:v>
      </x:c>
    </x:row>
    <x:row r="332">
      <x:c r="A332" s="1" t="str">
        <x:f>'Данные'!A332</x:f>
        <x:v>260797916</x:v>
      </x:c>
      <x:c r="B332" s="1" t="str">
        <x:f>'Данные'!B332</x:f>
        <x:v>hudicrop1/молочный</x:v>
      </x:c>
      <x:c r="C332" s="8" t="n">
        <x:f>'Данные'!G332</x:f>
        <x:v>632633</x:v>
      </x:c>
      <x:c r="D332" s="15" t="n">
        <x:f>C332/SUM($C$5:$C$2477)</x:f>
        <x:v>0.0007390568190690442</x:v>
      </x:c>
      <x:c r="E332" s="15" t="n">
        <x:f>SUM($D$5:D332)</x:f>
        <x:v>0.7257093056971169</x:v>
      </x:c>
      <x:c r="F332" s="1" t="str">
        <x:f>IF(C332&lt;=0,"C",IF(E332-D332&lt;'Дашборд'!$C$49,"A",IF(E332-D332&lt;'Дашборд'!$C$50,"B","C")))</x:f>
        <x:v>A</x:v>
      </x:c>
      <x:c r="G332" s="8" t="n">
        <x:f>'Данные'!F332</x:f>
        <x:v>506</x:v>
      </x:c>
      <x:c r="H332" s="8" t="n">
        <x:f>SUM('Данные'!H332:I332)</x:f>
        <x:v>136</x:v>
      </x:c>
      <x:c r="I332" s="16" t="n">
        <x:f>IF(H332&gt;0,G332/H332,"n.a.")</x:f>
        <x:v>3.7205882352941178</x:v>
      </x:c>
      <x:c r="J332" s="10" t="n">
        <x:f>IF('Данные'!E332&gt;0,G332/'Данные'!E332,"n.a.")</x:f>
        <x:v>0.008908450704225352</x:v>
      </x:c>
      <x:c r="K332" s="1" t="str">
        <x:f>IF(G332&gt;='Дашборд'!$C$51,"X","Z")</x:f>
        <x:v>X</x:v>
      </x:c>
      <x:c r="L332" s="1" t="str">
        <x:f>IF(H332=0,IF(G332&gt;0,"Нет остатка","Нет спроса"),IF(I332&gt;='Дашборд'!$C$52,"Быстрый","Медленный"))</x:f>
        <x:v>Быстрый</x:v>
      </x:c>
      <x:c r="M332" s="1" t="str">
        <x:f>IF('Данные'!E332&lt;'Дашборд'!$C$53,"Мало трафика",IF(J332&lt;'Дашборд'!$C$9*'Дашборд'!$C$54,"Да","Нет"))</x:f>
        <x:v>Да</x:v>
      </x:c>
      <x:c r="N332" s="1" t="str">
        <x:f>IF(AND('Данные'!D332&gt;='Дашборд'!$C$55,D332&lt;'Дашборд'!$C$56,'Данные'!E332&gt;='Дашборд'!$C$53,'Данные'!L332&lt;&gt;"Да"),"Да","Нет")</x:f>
        <x:v>Нет</x:v>
      </x:c>
      <x:c r="O332" s="1" t="str">
        <x:f>'Данные'!L332</x:f>
        <x:v>Нет</x:v>
      </x:c>
    </x:row>
    <x:row r="333">
      <x:c r="A333" s="1" t="str">
        <x:f>'Данные'!A333</x:f>
        <x:v>19077494</x:v>
      </x:c>
      <x:c r="B333" s="1" t="str">
        <x:f>'Данные'!B333</x:f>
        <x:v>bruki/молочный</x:v>
      </x:c>
      <x:c r="C333" s="8" t="n">
        <x:f>'Данные'!G333</x:f>
        <x:v>632246</x:v>
      </x:c>
      <x:c r="D333" s="15" t="n">
        <x:f>C333/SUM($C$5:$C$2477)</x:f>
        <x:v>0.0007386047165246311</x:v>
      </x:c>
      <x:c r="E333" s="15" t="n">
        <x:f>SUM($D$5:D333)</x:f>
        <x:v>0.7264479104136415</x:v>
      </x:c>
      <x:c r="F333" s="1" t="str">
        <x:f>IF(C333&lt;=0,"C",IF(E333-D333&lt;'Дашборд'!$C$49,"A",IF(E333-D333&lt;'Дашборд'!$C$50,"B","C")))</x:f>
        <x:v>A</x:v>
      </x:c>
      <x:c r="G333" s="8" t="n">
        <x:f>'Данные'!F333</x:f>
        <x:v>934</x:v>
      </x:c>
      <x:c r="H333" s="8" t="n">
        <x:f>SUM('Данные'!H333:I333)</x:f>
        <x:v>686</x:v>
      </x:c>
      <x:c r="I333" s="16" t="n">
        <x:f>IF(H333&gt;0,G333/H333,"n.a.")</x:f>
        <x:v>1.3615160349854227</x:v>
      </x:c>
      <x:c r="J333" s="10" t="n">
        <x:f>IF('Данные'!E333&gt;0,G333/'Данные'!E333,"n.a.")</x:f>
        <x:v>0.015015594353879296</x:v>
      </x:c>
      <x:c r="K333" s="1" t="str">
        <x:f>IF(G333&gt;='Дашборд'!$C$51,"X","Z")</x:f>
        <x:v>X</x:v>
      </x:c>
      <x:c r="L333" s="1" t="str">
        <x:f>IF(H333=0,IF(G333&gt;0,"Нет остатка","Нет спроса"),IF(I333&gt;='Дашборд'!$C$52,"Быстрый","Медленный"))</x:f>
        <x:v>Быстрый</x:v>
      </x:c>
      <x:c r="M333" s="1" t="str">
        <x:f>IF('Данные'!E333&lt;'Дашборд'!$C$53,"Мало трафика",IF(J333&lt;'Дашборд'!$C$9*'Дашборд'!$C$54,"Да","Нет"))</x:f>
        <x:v>Нет</x:v>
      </x:c>
      <x:c r="N333" s="1" t="str">
        <x:f>IF(AND('Данные'!D333&gt;='Дашборд'!$C$55,D333&lt;'Дашборд'!$C$56,'Данные'!E333&gt;='Дашборд'!$C$53,'Данные'!L333&lt;&gt;"Да"),"Да","Нет")</x:f>
        <x:v>Нет</x:v>
      </x:c>
      <x:c r="O333" s="1" t="str">
        <x:f>'Данные'!L333</x:f>
        <x:v>Нет</x:v>
      </x:c>
    </x:row>
    <x:row r="334">
      <x:c r="A334" s="1" t="str">
        <x:f>'Данные'!A334</x:f>
        <x:v>288644219</x:v>
      </x:c>
      <x:c r="B334" s="1" t="str">
        <x:f>'Данные'!B334</x:f>
        <x:v>hudicrop1/красный</x:v>
      </x:c>
      <x:c r="C334" s="8" t="n">
        <x:f>'Данные'!G334</x:f>
        <x:v>630450</x:v>
      </x:c>
      <x:c r="D334" s="15" t="n">
        <x:f>C334/SUM($C$5:$C$2477)</x:f>
        <x:v>0.0007365065868869928</x:v>
      </x:c>
      <x:c r="E334" s="15" t="n">
        <x:f>SUM($D$5:D334)</x:f>
        <x:v>0.7271844170005285</x:v>
      </x:c>
      <x:c r="F334" s="1" t="str">
        <x:f>IF(C334&lt;=0,"C",IF(E334-D334&lt;'Дашборд'!$C$49,"A",IF(E334-D334&lt;'Дашборд'!$C$50,"B","C")))</x:f>
        <x:v>A</x:v>
      </x:c>
      <x:c r="G334" s="8" t="n">
        <x:f>'Данные'!F334</x:f>
        <x:v>558</x:v>
      </x:c>
      <x:c r="H334" s="8" t="n">
        <x:f>SUM('Данные'!H334:I334)</x:f>
        <x:v>68</x:v>
      </x:c>
      <x:c r="I334" s="16" t="n">
        <x:f>IF(H334&gt;0,G334/H334,"n.a.")</x:f>
        <x:v>8.205882352941176</x:v>
      </x:c>
      <x:c r="J334" s="10" t="n">
        <x:f>IF('Данные'!E334&gt;0,G334/'Данные'!E334,"n.a.")</x:f>
        <x:v>0.016313881417378086</x:v>
      </x:c>
      <x:c r="K334" s="1" t="str">
        <x:f>IF(G334&gt;='Дашборд'!$C$51,"X","Z")</x:f>
        <x:v>X</x:v>
      </x:c>
      <x:c r="L334" s="1" t="str">
        <x:f>IF(H334=0,IF(G334&gt;0,"Нет остатка","Нет спроса"),IF(I334&gt;='Дашборд'!$C$52,"Быстрый","Медленный"))</x:f>
        <x:v>Быстрый</x:v>
      </x:c>
      <x:c r="M334" s="1" t="str">
        <x:f>IF('Данные'!E334&lt;'Дашборд'!$C$53,"Мало трафика",IF(J334&lt;'Дашборд'!$C$9*'Дашборд'!$C$54,"Да","Нет"))</x:f>
        <x:v>Нет</x:v>
      </x:c>
      <x:c r="N334" s="1" t="str">
        <x:f>IF(AND('Данные'!D334&gt;='Дашборд'!$C$55,D334&lt;'Дашборд'!$C$56,'Данные'!E334&gt;='Дашборд'!$C$53,'Данные'!L334&lt;&gt;"Да"),"Да","Нет")</x:f>
        <x:v>Нет</x:v>
      </x:c>
      <x:c r="O334" s="1" t="str">
        <x:f>'Данные'!L334</x:f>
        <x:v>Нет</x:v>
      </x:c>
    </x:row>
    <x:row r="335">
      <x:c r="A335" s="1" t="str">
        <x:f>'Данные'!A335</x:f>
        <x:v>246363186</x:v>
      </x:c>
      <x:c r="B335" s="1" t="str">
        <x:f>'Данные'!B335</x:f>
        <x:v>tolstovkazipcrop/белый</x:v>
      </x:c>
      <x:c r="C335" s="8" t="n">
        <x:f>'Данные'!G335</x:f>
        <x:v>627904</x:v>
      </x:c>
      <x:c r="D335" s="15" t="n">
        <x:f>C335/SUM($C$5:$C$2477)</x:f>
        <x:v>0.0007335322895276236</x:v>
      </x:c>
      <x:c r="E335" s="15" t="n">
        <x:f>SUM($D$5:D335)</x:f>
        <x:v>0.7279179492900562</x:v>
      </x:c>
      <x:c r="F335" s="1" t="str">
        <x:f>IF(C335&lt;=0,"C",IF(E335-D335&lt;'Дашборд'!$C$49,"A",IF(E335-D335&lt;'Дашборд'!$C$50,"B","C")))</x:f>
        <x:v>A</x:v>
      </x:c>
      <x:c r="G335" s="8" t="n">
        <x:f>'Данные'!F335</x:f>
        <x:v>569</x:v>
      </x:c>
      <x:c r="H335" s="8" t="n">
        <x:f>SUM('Данные'!H335:I335)</x:f>
        <x:v>168</x:v>
      </x:c>
      <x:c r="I335" s="16" t="n">
        <x:f>IF(H335&gt;0,G335/H335,"n.a.")</x:f>
        <x:v>3.386904761904762</x:v>
      </x:c>
      <x:c r="J335" s="10" t="n">
        <x:f>IF('Данные'!E335&gt;0,G335/'Данные'!E335,"n.a.")</x:f>
        <x:v>0.015327012175412132</x:v>
      </x:c>
      <x:c r="K335" s="1" t="str">
        <x:f>IF(G335&gt;='Дашборд'!$C$51,"X","Z")</x:f>
        <x:v>X</x:v>
      </x:c>
      <x:c r="L335" s="1" t="str">
        <x:f>IF(H335=0,IF(G335&gt;0,"Нет остатка","Нет спроса"),IF(I335&gt;='Дашборд'!$C$52,"Быстрый","Медленный"))</x:f>
        <x:v>Быстрый</x:v>
      </x:c>
      <x:c r="M335" s="1" t="str">
        <x:f>IF('Данные'!E335&lt;'Дашборд'!$C$53,"Мало трафика",IF(J335&lt;'Дашборд'!$C$9*'Дашборд'!$C$54,"Да","Нет"))</x:f>
        <x:v>Нет</x:v>
      </x:c>
      <x:c r="N335" s="1" t="str">
        <x:f>IF(AND('Данные'!D335&gt;='Дашборд'!$C$55,D335&lt;'Дашборд'!$C$56,'Данные'!E335&gt;='Дашборд'!$C$53,'Данные'!L335&lt;&gt;"Да"),"Да","Нет")</x:f>
        <x:v>Нет</x:v>
      </x:c>
      <x:c r="O335" s="1" t="str">
        <x:f>'Данные'!L335</x:f>
        <x:v>Нет</x:v>
      </x:c>
    </x:row>
    <x:row r="336">
      <x:c r="A336" s="1" t="str">
        <x:f>'Данные'!A336</x:f>
        <x:v>219490811</x:v>
      </x:c>
      <x:c r="B336" s="1" t="str">
        <x:f>'Данные'!B336</x:f>
        <x:v>futbolkaprint/FukBROOKLYN-116/молочный</x:v>
      </x:c>
      <x:c r="C336" s="8" t="n">
        <x:f>'Данные'!G336</x:f>
        <x:v>626782</x:v>
      </x:c>
      <x:c r="D336" s="15" t="n">
        <x:f>C336/SUM($C$5:$C$2477)</x:f>
        <x:v>0.0007322215426159142</x:v>
      </x:c>
      <x:c r="E336" s="15" t="n">
        <x:f>SUM($D$5:D336)</x:f>
        <x:v>0.728650170832672</x:v>
      </x:c>
      <x:c r="F336" s="1" t="str">
        <x:f>IF(C336&lt;=0,"C",IF(E336-D336&lt;'Дашборд'!$C$49,"A",IF(E336-D336&lt;'Дашборд'!$C$50,"B","C")))</x:f>
        <x:v>A</x:v>
      </x:c>
      <x:c r="G336" s="8" t="n">
        <x:f>'Данные'!F336</x:f>
        <x:v>971</x:v>
      </x:c>
      <x:c r="H336" s="8" t="n">
        <x:f>SUM('Данные'!H336:I336)</x:f>
        <x:v>5</x:v>
      </x:c>
      <x:c r="I336" s="16" t="n">
        <x:f>IF(H336&gt;0,G336/H336,"n.a.")</x:f>
        <x:v>194.2</x:v>
      </x:c>
      <x:c r="J336" s="10" t="n">
        <x:f>IF('Данные'!E336&gt;0,G336/'Данные'!E336,"n.a.")</x:f>
        <x:v>0.016906362085176027</x:v>
      </x:c>
      <x:c r="K336" s="1" t="str">
        <x:f>IF(G336&gt;='Дашборд'!$C$51,"X","Z")</x:f>
        <x:v>X</x:v>
      </x:c>
      <x:c r="L336" s="1" t="str">
        <x:f>IF(H336=0,IF(G336&gt;0,"Нет остатка","Нет спроса"),IF(I336&gt;='Дашборд'!$C$52,"Быстрый","Медленный"))</x:f>
        <x:v>Быстрый</x:v>
      </x:c>
      <x:c r="M336" s="1" t="str">
        <x:f>IF('Данные'!E336&lt;'Дашборд'!$C$53,"Мало трафика",IF(J336&lt;'Дашборд'!$C$9*'Дашборд'!$C$54,"Да","Нет"))</x:f>
        <x:v>Нет</x:v>
      </x:c>
      <x:c r="N336" s="1" t="str">
        <x:f>IF(AND('Данные'!D336&gt;='Дашборд'!$C$55,D336&lt;'Дашборд'!$C$56,'Данные'!E336&gt;='Дашборд'!$C$53,'Данные'!L336&lt;&gt;"Да"),"Да","Нет")</x:f>
        <x:v>Да</x:v>
      </x:c>
      <x:c r="O336" s="1" t="str">
        <x:f>'Данные'!L336</x:f>
        <x:v>Нет</x:v>
      </x:c>
    </x:row>
    <x:row r="337">
      <x:c r="A337" s="1" t="str">
        <x:f>'Данные'!A337</x:f>
        <x:v>326825232</x:v>
      </x:c>
      <x:c r="B337" s="1" t="str">
        <x:f>'Данные'!B337</x:f>
        <x:v>brukizshp3P-S-1/светло-розовый</x:v>
      </x:c>
      <x:c r="C337" s="8" t="n">
        <x:f>'Данные'!G337</x:f>
        <x:v>626097</x:v>
      </x:c>
      <x:c r="D337" s="15" t="n">
        <x:f>C337/SUM($C$5:$C$2477)</x:f>
        <x:v>0.0007314213094300666</x:v>
      </x:c>
      <x:c r="E337" s="15" t="n">
        <x:f>SUM($D$5:D337)</x:f>
        <x:v>0.7293815921421021</x:v>
      </x:c>
      <x:c r="F337" s="1" t="str">
        <x:f>IF(C337&lt;=0,"C",IF(E337-D337&lt;'Дашборд'!$C$49,"A",IF(E337-D337&lt;'Дашборд'!$C$50,"B","C")))</x:f>
        <x:v>A</x:v>
      </x:c>
      <x:c r="G337" s="8" t="n">
        <x:f>'Данные'!F337</x:f>
        <x:v>763</x:v>
      </x:c>
      <x:c r="H337" s="8" t="n">
        <x:f>SUM('Данные'!H337:I337)</x:f>
        <x:v>98</x:v>
      </x:c>
      <x:c r="I337" s="16" t="n">
        <x:f>IF(H337&gt;0,G337/H337,"n.a.")</x:f>
        <x:v>7.785714285714286</x:v>
      </x:c>
      <x:c r="J337" s="10" t="n">
        <x:f>IF('Данные'!E337&gt;0,G337/'Данные'!E337,"n.a.")</x:f>
        <x:v>0.012185773149774811</x:v>
      </x:c>
      <x:c r="K337" s="1" t="str">
        <x:f>IF(G337&gt;='Дашборд'!$C$51,"X","Z")</x:f>
        <x:v>X</x:v>
      </x:c>
      <x:c r="L337" s="1" t="str">
        <x:f>IF(H337=0,IF(G337&gt;0,"Нет остатка","Нет спроса"),IF(I337&gt;='Дашборд'!$C$52,"Быстрый","Медленный"))</x:f>
        <x:v>Быстрый</x:v>
      </x:c>
      <x:c r="M337" s="1" t="str">
        <x:f>IF('Данные'!E337&lt;'Дашборд'!$C$53,"Мало трафика",IF(J337&lt;'Дашборд'!$C$9*'Дашборд'!$C$54,"Да","Нет"))</x:f>
        <x:v>Нет</x:v>
      </x:c>
      <x:c r="N337" s="1" t="str">
        <x:f>IF(AND('Данные'!D337&gt;='Дашборд'!$C$55,D337&lt;'Дашборд'!$C$56,'Данные'!E337&gt;='Дашборд'!$C$53,'Данные'!L337&lt;&gt;"Да"),"Да","Нет")</x:f>
        <x:v>Нет</x:v>
      </x:c>
      <x:c r="O337" s="1" t="str">
        <x:f>'Данные'!L337</x:f>
        <x:v>Нет</x:v>
      </x:c>
    </x:row>
    <x:row r="338">
      <x:c r="A338" s="1" t="str">
        <x:f>'Данные'!A338</x:f>
        <x:v>178309517</x:v>
      </x:c>
      <x:c r="B338" s="1" t="str">
        <x:f>'Данные'!B338</x:f>
        <x:v>svitcrop/кофейный</x:v>
      </x:c>
      <x:c r="C338" s="8" t="n">
        <x:f>'Данные'!G338</x:f>
        <x:v>625946</x:v>
      </x:c>
      <x:c r="D338" s="15" t="n">
        <x:f>C338/SUM($C$5:$C$2477)</x:f>
        <x:v>0.0007312449076620915</x:v>
      </x:c>
      <x:c r="E338" s="15" t="n">
        <x:f>SUM($D$5:D338)</x:f>
        <x:v>0.7301128370497642</x:v>
      </x:c>
      <x:c r="F338" s="1" t="str">
        <x:f>IF(C338&lt;=0,"C",IF(E338-D338&lt;'Дашборд'!$C$49,"A",IF(E338-D338&lt;'Дашборд'!$C$50,"B","C")))</x:f>
        <x:v>A</x:v>
      </x:c>
      <x:c r="G338" s="8" t="n">
        <x:f>'Данные'!F338</x:f>
        <x:v>1459</x:v>
      </x:c>
      <x:c r="H338" s="8" t="n">
        <x:f>SUM('Данные'!H338:I338)</x:f>
        <x:v>337</x:v>
      </x:c>
      <x:c r="I338" s="16" t="n">
        <x:f>IF(H338&gt;0,G338/H338,"n.a.")</x:f>
        <x:v>4.329376854599406</x:v>
      </x:c>
      <x:c r="J338" s="10" t="n">
        <x:f>IF('Данные'!E338&gt;0,G338/'Данные'!E338,"n.a.")</x:f>
        <x:v>0.012371536139470203</x:v>
      </x:c>
      <x:c r="K338" s="1" t="str">
        <x:f>IF(G338&gt;='Дашборд'!$C$51,"X","Z")</x:f>
        <x:v>X</x:v>
      </x:c>
      <x:c r="L338" s="1" t="str">
        <x:f>IF(H338=0,IF(G338&gt;0,"Нет остатка","Нет спроса"),IF(I338&gt;='Дашборд'!$C$52,"Быстрый","Медленный"))</x:f>
        <x:v>Быстрый</x:v>
      </x:c>
      <x:c r="M338" s="1" t="str">
        <x:f>IF('Данные'!E338&lt;'Дашборд'!$C$53,"Мало трафика",IF(J338&lt;'Дашборд'!$C$9*'Дашборд'!$C$54,"Да","Нет"))</x:f>
        <x:v>Нет</x:v>
      </x:c>
      <x:c r="N338" s="1" t="str">
        <x:f>IF(AND('Данные'!D338&gt;='Дашборд'!$C$55,D338&lt;'Дашборд'!$C$56,'Данные'!E338&gt;='Дашборд'!$C$53,'Данные'!L338&lt;&gt;"Да"),"Да","Нет")</x:f>
        <x:v>Да</x:v>
      </x:c>
      <x:c r="O338" s="1" t="str">
        <x:f>'Данные'!L338</x:f>
        <x:v>Нет</x:v>
      </x:c>
    </x:row>
    <x:row r="339">
      <x:c r="A339" s="1" t="str">
        <x:f>'Данные'!A339</x:f>
        <x:v>241638617</x:v>
      </x:c>
      <x:c r="B339" s="1" t="str">
        <x:f>'Данные'!B339</x:f>
        <x:v>hudiprint/HAPPY-105/фуксия</x:v>
      </x:c>
      <x:c r="C339" s="8" t="n">
        <x:f>'Данные'!G339</x:f>
        <x:v>625373</x:v>
      </x:c>
      <x:c r="D339" s="15" t="n">
        <x:f>C339/SUM($C$5:$C$2477)</x:f>
        <x:v>0.0007305755155226891</x:v>
      </x:c>
      <x:c r="E339" s="15" t="n">
        <x:f>SUM($D$5:D339)</x:f>
        <x:v>0.7308434125652868</x:v>
      </x:c>
      <x:c r="F339" s="1" t="str">
        <x:f>IF(C339&lt;=0,"C",IF(E339-D339&lt;'Дашборд'!$C$49,"A",IF(E339-D339&lt;'Дашборд'!$C$50,"B","C")))</x:f>
        <x:v>A</x:v>
      </x:c>
      <x:c r="G339" s="8" t="n">
        <x:f>'Данные'!F339</x:f>
        <x:v>717</x:v>
      </x:c>
      <x:c r="H339" s="8" t="n">
        <x:f>SUM('Данные'!H339:I339)</x:f>
        <x:v>101</x:v>
      </x:c>
      <x:c r="I339" s="16" t="n">
        <x:f>IF(H339&gt;0,G339/H339,"n.a.")</x:f>
        <x:v>7.099009900990099</x:v>
      </x:c>
      <x:c r="J339" s="10" t="n">
        <x:f>IF('Данные'!E339&gt;0,G339/'Данные'!E339,"n.a.")</x:f>
        <x:v>0.012148012605469147</x:v>
      </x:c>
      <x:c r="K339" s="1" t="str">
        <x:f>IF(G339&gt;='Дашборд'!$C$51,"X","Z")</x:f>
        <x:v>X</x:v>
      </x:c>
      <x:c r="L339" s="1" t="str">
        <x:f>IF(H339=0,IF(G339&gt;0,"Нет остатка","Нет спроса"),IF(I339&gt;='Дашборд'!$C$52,"Быстрый","Медленный"))</x:f>
        <x:v>Быстрый</x:v>
      </x:c>
      <x:c r="M339" s="1" t="str">
        <x:f>IF('Данные'!E339&lt;'Дашборд'!$C$53,"Мало трафика",IF(J339&lt;'Дашборд'!$C$9*'Дашборд'!$C$54,"Да","Нет"))</x:f>
        <x:v>Нет</x:v>
      </x:c>
      <x:c r="N339" s="1" t="str">
        <x:f>IF(AND('Данные'!D339&gt;='Дашборд'!$C$55,D339&lt;'Дашборд'!$C$56,'Данные'!E339&gt;='Дашборд'!$C$53,'Данные'!L339&lt;&gt;"Да"),"Да","Нет")</x:f>
        <x:v>Нет</x:v>
      </x:c>
      <x:c r="O339" s="1" t="str">
        <x:f>'Данные'!L339</x:f>
        <x:v>Нет</x:v>
      </x:c>
    </x:row>
    <x:row r="340">
      <x:c r="A340" s="1" t="str">
        <x:f>'Данные'!A340</x:f>
        <x:v>224386260</x:v>
      </x:c>
      <x:c r="B340" s="1" t="str">
        <x:f>'Данные'!B340</x:f>
        <x:v>futbolkaprint/Amore-43/черный</x:v>
      </x:c>
      <x:c r="C340" s="8" t="n">
        <x:f>'Данные'!G340</x:f>
        <x:v>624922</x:v>
      </x:c>
      <x:c r="D340" s="15" t="n">
        <x:f>C340/SUM($C$5:$C$2477)</x:f>
        <x:v>0.0007300486466660216</x:v>
      </x:c>
      <x:c r="E340" s="15" t="n">
        <x:f>SUM($D$5:D340)</x:f>
        <x:v>0.7315734612119529</x:v>
      </x:c>
      <x:c r="F340" s="1" t="str">
        <x:f>IF(C340&lt;=0,"C",IF(E340-D340&lt;'Дашборд'!$C$49,"A",IF(E340-D340&lt;'Дашборд'!$C$50,"B","C")))</x:f>
        <x:v>A</x:v>
      </x:c>
      <x:c r="G340" s="8" t="n">
        <x:f>'Данные'!F340</x:f>
        <x:v>996</x:v>
      </x:c>
      <x:c r="H340" s="8" t="n">
        <x:f>SUM('Данные'!H340:I340)</x:f>
        <x:v>61</x:v>
      </x:c>
      <x:c r="I340" s="16" t="n">
        <x:f>IF(H340&gt;0,G340/H340,"n.a.")</x:f>
        <x:v>16.327868852459016</x:v>
      </x:c>
      <x:c r="J340" s="10" t="n">
        <x:f>IF('Данные'!E340&gt;0,G340/'Данные'!E340,"n.a.")</x:f>
        <x:v>0.01228598213845167</x:v>
      </x:c>
      <x:c r="K340" s="1" t="str">
        <x:f>IF(G340&gt;='Дашборд'!$C$51,"X","Z")</x:f>
        <x:v>X</x:v>
      </x:c>
      <x:c r="L340" s="1" t="str">
        <x:f>IF(H340=0,IF(G340&gt;0,"Нет остатка","Нет спроса"),IF(I340&gt;='Дашборд'!$C$52,"Быстрый","Медленный"))</x:f>
        <x:v>Быстрый</x:v>
      </x:c>
      <x:c r="M340" s="1" t="str">
        <x:f>IF('Данные'!E340&lt;'Дашборд'!$C$53,"Мало трафика",IF(J340&lt;'Дашборд'!$C$9*'Дашборд'!$C$54,"Да","Нет"))</x:f>
        <x:v>Нет</x:v>
      </x:c>
      <x:c r="N340" s="1" t="str">
        <x:f>IF(AND('Данные'!D340&gt;='Дашборд'!$C$55,D340&lt;'Дашборд'!$C$56,'Данные'!E340&gt;='Дашборд'!$C$53,'Данные'!L340&lt;&gt;"Да"),"Да","Нет")</x:f>
        <x:v>Нет</x:v>
      </x:c>
      <x:c r="O340" s="1" t="str">
        <x:f>'Данные'!L340</x:f>
        <x:v>Нет</x:v>
      </x:c>
    </x:row>
    <x:row r="341">
      <x:c r="A341" s="1" t="str">
        <x:f>'Данные'!A341</x:f>
        <x:v>226527746</x:v>
      </x:c>
      <x:c r="B341" s="1" t="str">
        <x:f>'Данные'!B341</x:f>
        <x:v>svitshotovervish/Alps-10/молочный</x:v>
      </x:c>
      <x:c r="C341" s="8" t="n">
        <x:f>'Данные'!G341</x:f>
        <x:v>624820</x:v>
      </x:c>
      <x:c r="D341" s="15" t="n">
        <x:f>C341/SUM($C$5:$C$2477)</x:f>
        <x:v>0.0007299294878558662</x:v>
      </x:c>
      <x:c r="E341" s="15" t="n">
        <x:f>SUM($D$5:D341)</x:f>
        <x:v>0.7323033906998088</x:v>
      </x:c>
      <x:c r="F341" s="1" t="str">
        <x:f>IF(C341&lt;=0,"C",IF(E341-D341&lt;'Дашборд'!$C$49,"A",IF(E341-D341&lt;'Дашборд'!$C$50,"B","C")))</x:f>
        <x:v>A</x:v>
      </x:c>
      <x:c r="G341" s="8" t="n">
        <x:f>'Данные'!F341</x:f>
        <x:v>692</x:v>
      </x:c>
      <x:c r="H341" s="8" t="n">
        <x:f>SUM('Данные'!H341:I341)</x:f>
        <x:v>42</x:v>
      </x:c>
      <x:c r="I341" s="16" t="n">
        <x:f>IF(H341&gt;0,G341/H341,"n.a.")</x:f>
        <x:v>16.476190476190474</x:v>
      </x:c>
      <x:c r="J341" s="10" t="n">
        <x:f>IF('Данные'!E341&gt;0,G341/'Данные'!E341,"n.a.")</x:f>
        <x:v>0.014435011160015854</x:v>
      </x:c>
      <x:c r="K341" s="1" t="str">
        <x:f>IF(G341&gt;='Дашборд'!$C$51,"X","Z")</x:f>
        <x:v>X</x:v>
      </x:c>
      <x:c r="L341" s="1" t="str">
        <x:f>IF(H341=0,IF(G341&gt;0,"Нет остатка","Нет спроса"),IF(I341&gt;='Дашборд'!$C$52,"Быстрый","Медленный"))</x:f>
        <x:v>Быстрый</x:v>
      </x:c>
      <x:c r="M341" s="1" t="str">
        <x:f>IF('Данные'!E341&lt;'Дашборд'!$C$53,"Мало трафика",IF(J341&lt;'Дашборд'!$C$9*'Дашборд'!$C$54,"Да","Нет"))</x:f>
        <x:v>Нет</x:v>
      </x:c>
      <x:c r="N341" s="1" t="str">
        <x:f>IF(AND('Данные'!D341&gt;='Дашборд'!$C$55,D341&lt;'Дашборд'!$C$56,'Данные'!E341&gt;='Дашборд'!$C$53,'Данные'!L341&lt;&gt;"Да"),"Да","Нет")</x:f>
        <x:v>Да</x:v>
      </x:c>
      <x:c r="O341" s="1" t="str">
        <x:f>'Данные'!L341</x:f>
        <x:v>Нет</x:v>
      </x:c>
    </x:row>
    <x:row r="342">
      <x:c r="A342" s="1" t="str">
        <x:f>'Данные'!A342</x:f>
        <x:v>311049925</x:v>
      </x:c>
      <x:c r="B342" s="1" t="str">
        <x:f>'Данные'!B342</x:f>
        <x:v>hudimanpetl/темно-серый</x:v>
      </x:c>
      <x:c r="C342" s="8" t="n">
        <x:f>'Данные'!G342</x:f>
        <x:v>624548</x:v>
      </x:c>
      <x:c r="D342" s="15" t="n">
        <x:f>C342/SUM($C$5:$C$2477)</x:f>
        <x:v>0.0007296117310287852</x:v>
      </x:c>
      <x:c r="E342" s="15" t="n">
        <x:f>SUM($D$5:D342)</x:f>
        <x:v>0.7330330024308376</x:v>
      </x:c>
      <x:c r="F342" s="1" t="str">
        <x:f>IF(C342&lt;=0,"C",IF(E342-D342&lt;'Дашборд'!$C$49,"A",IF(E342-D342&lt;'Дашборд'!$C$50,"B","C")))</x:f>
        <x:v>A</x:v>
      </x:c>
      <x:c r="G342" s="8" t="n">
        <x:f>'Данные'!F342</x:f>
        <x:v>663</x:v>
      </x:c>
      <x:c r="H342" s="8" t="n">
        <x:f>SUM('Данные'!H342:I342)</x:f>
        <x:v>113</x:v>
      </x:c>
      <x:c r="I342" s="16" t="n">
        <x:f>IF(H342&gt;0,G342/H342,"n.a.")</x:f>
        <x:v>5.867256637168142</x:v>
      </x:c>
      <x:c r="J342" s="10" t="n">
        <x:f>IF('Данные'!E342&gt;0,G342/'Данные'!E342,"n.a.")</x:f>
        <x:v>0.03614260793720017</x:v>
      </x:c>
      <x:c r="K342" s="1" t="str">
        <x:f>IF(G342&gt;='Дашборд'!$C$51,"X","Z")</x:f>
        <x:v>X</x:v>
      </x:c>
      <x:c r="L342" s="1" t="str">
        <x:f>IF(H342=0,IF(G342&gt;0,"Нет остатка","Нет спроса"),IF(I342&gt;='Дашборд'!$C$52,"Быстрый","Медленный"))</x:f>
        <x:v>Быстрый</x:v>
      </x:c>
      <x:c r="M342" s="1" t="str">
        <x:f>IF('Данные'!E342&lt;'Дашборд'!$C$53,"Мало трафика",IF(J342&lt;'Дашборд'!$C$9*'Дашборд'!$C$54,"Да","Нет"))</x:f>
        <x:v>Нет</x:v>
      </x:c>
      <x:c r="N342" s="1" t="str">
        <x:f>IF(AND('Данные'!D342&gt;='Дашборд'!$C$55,D342&lt;'Дашборд'!$C$56,'Данные'!E342&gt;='Дашборд'!$C$53,'Данные'!L342&lt;&gt;"Да"),"Да","Нет")</x:f>
        <x:v>Нет</x:v>
      </x:c>
      <x:c r="O342" s="1" t="str">
        <x:f>'Данные'!L342</x:f>
        <x:v>Нет</x:v>
      </x:c>
    </x:row>
    <x:row r="343">
      <x:c r="A343" s="1" t="str">
        <x:f>'Данные'!A343</x:f>
        <x:v>344439337</x:v>
      </x:c>
      <x:c r="B343" s="1" t="str">
        <x:f>'Данные'!B343</x:f>
        <x:v>2Ntshirt/серый</x:v>
      </x:c>
      <x:c r="C343" s="8" t="n">
        <x:f>'Данные'!G343</x:f>
        <x:v>622634</x:v>
      </x:c>
      <x:c r="D343" s="15" t="n">
        <x:f>C343/SUM($C$5:$C$2477)</x:f>
        <x:v>0.0007273757510029279</x:v>
      </x:c>
      <x:c r="E343" s="15" t="n">
        <x:f>SUM($D$5:D343)</x:f>
        <x:v>0.7337603781818405</x:v>
      </x:c>
      <x:c r="F343" s="1" t="str">
        <x:f>IF(C343&lt;=0,"C",IF(E343-D343&lt;'Дашборд'!$C$49,"A",IF(E343-D343&lt;'Дашборд'!$C$50,"B","C")))</x:f>
        <x:v>A</x:v>
      </x:c>
      <x:c r="G343" s="8" t="n">
        <x:f>'Данные'!F343</x:f>
        <x:v>1629</x:v>
      </x:c>
      <x:c r="H343" s="8" t="n">
        <x:f>SUM('Данные'!H343:I343)</x:f>
        <x:v>33</x:v>
      </x:c>
      <x:c r="I343" s="16" t="n">
        <x:f>IF(H343&gt;0,G343/H343,"n.a.")</x:f>
        <x:v>49.36363636363637</x:v>
      </x:c>
      <x:c r="J343" s="10" t="n">
        <x:f>IF('Данные'!E343&gt;0,G343/'Данные'!E343,"n.a.")</x:f>
        <x:v>0.008436655169199217</x:v>
      </x:c>
      <x:c r="K343" s="1" t="str">
        <x:f>IF(G343&gt;='Дашборд'!$C$51,"X","Z")</x:f>
        <x:v>X</x:v>
      </x:c>
      <x:c r="L343" s="1" t="str">
        <x:f>IF(H343=0,IF(G343&gt;0,"Нет остатка","Нет спроса"),IF(I343&gt;='Дашборд'!$C$52,"Быстрый","Медленный"))</x:f>
        <x:v>Быстрый</x:v>
      </x:c>
      <x:c r="M343" s="1" t="str">
        <x:f>IF('Данные'!E343&lt;'Дашборд'!$C$53,"Мало трафика",IF(J343&lt;'Дашборд'!$C$9*'Дашборд'!$C$54,"Да","Нет"))</x:f>
        <x:v>Да</x:v>
      </x:c>
      <x:c r="N343" s="1" t="str">
        <x:f>IF(AND('Данные'!D343&gt;='Дашборд'!$C$55,D343&lt;'Дашборд'!$C$56,'Данные'!E343&gt;='Дашборд'!$C$53,'Данные'!L343&lt;&gt;"Да"),"Да","Нет")</x:f>
        <x:v>Нет</x:v>
      </x:c>
      <x:c r="O343" s="1" t="str">
        <x:f>'Данные'!L343</x:f>
        <x:v>Нет</x:v>
      </x:c>
    </x:row>
    <x:row r="344">
      <x:c r="A344" s="1" t="str">
        <x:f>'Данные'!A344</x:f>
        <x:v>193100157</x:v>
      </x:c>
      <x:c r="B344" s="1" t="str">
        <x:f>'Данные'!B344</x:f>
        <x:v>svitshotzip1/розовый</x:v>
      </x:c>
      <x:c r="C344" s="8" t="n">
        <x:f>'Данные'!G344</x:f>
        <x:v>621732</x:v>
      </x:c>
      <x:c r="D344" s="15" t="n">
        <x:f>C344/SUM($C$5:$C$2477)</x:f>
        <x:v>0.0007263220132895928</x:v>
      </x:c>
      <x:c r="E344" s="15" t="n">
        <x:f>SUM($D$5:D344)</x:f>
        <x:v>0.7344867001951301</x:v>
      </x:c>
      <x:c r="F344" s="1" t="str">
        <x:f>IF(C344&lt;=0,"C",IF(E344-D344&lt;'Дашборд'!$C$49,"A",IF(E344-D344&lt;'Дашборд'!$C$50,"B","C")))</x:f>
        <x:v>A</x:v>
      </x:c>
      <x:c r="G344" s="8" t="n">
        <x:f>'Данные'!F344</x:f>
        <x:v>696</x:v>
      </x:c>
      <x:c r="H344" s="8" t="n">
        <x:f>SUM('Данные'!H344:I344)</x:f>
        <x:v>96</x:v>
      </x:c>
      <x:c r="I344" s="16" t="n">
        <x:f>IF(H344&gt;0,G344/H344,"n.a.")</x:f>
        <x:v>7.25</x:v>
      </x:c>
      <x:c r="J344" s="10" t="n">
        <x:f>IF('Данные'!E344&gt;0,G344/'Данные'!E344,"n.a.")</x:f>
        <x:v>0.012687995624829095</x:v>
      </x:c>
      <x:c r="K344" s="1" t="str">
        <x:f>IF(G344&gt;='Дашборд'!$C$51,"X","Z")</x:f>
        <x:v>X</x:v>
      </x:c>
      <x:c r="L344" s="1" t="str">
        <x:f>IF(H344=0,IF(G344&gt;0,"Нет остатка","Нет спроса"),IF(I344&gt;='Дашборд'!$C$52,"Быстрый","Медленный"))</x:f>
        <x:v>Быстрый</x:v>
      </x:c>
      <x:c r="M344" s="1" t="str">
        <x:f>IF('Данные'!E344&lt;'Дашборд'!$C$53,"Мало трафика",IF(J344&lt;'Дашборд'!$C$9*'Дашборд'!$C$54,"Да","Нет"))</x:f>
        <x:v>Нет</x:v>
      </x:c>
      <x:c r="N344" s="1" t="str">
        <x:f>IF(AND('Данные'!D344&gt;='Дашборд'!$C$55,D344&lt;'Дашборд'!$C$56,'Данные'!E344&gt;='Дашборд'!$C$53,'Данные'!L344&lt;&gt;"Да"),"Да","Нет")</x:f>
        <x:v>Да</x:v>
      </x:c>
      <x:c r="O344" s="1" t="str">
        <x:f>'Данные'!L344</x:f>
        <x:v>Нет</x:v>
      </x:c>
    </x:row>
    <x:row r="345">
      <x:c r="A345" s="1" t="str">
        <x:f>'Данные'!A345</x:f>
        <x:v>203015623</x:v>
      </x:c>
      <x:c r="B345" s="1" t="str">
        <x:f>'Данные'!B345</x:f>
        <x:v>Futbolkaprint/MoreSelf-44/черный</x:v>
      </x:c>
      <x:c r="C345" s="8" t="n">
        <x:f>'Данные'!G345</x:f>
        <x:v>617866</x:v>
      </x:c>
      <x:c r="D345" s="15" t="n">
        <x:f>C345/SUM($C$5:$C$2477)</x:f>
        <x:v>0.0007218056607399773</x:v>
      </x:c>
      <x:c r="E345" s="15" t="n">
        <x:f>SUM($D$5:D345)</x:f>
        <x:v>0.73520850585587</x:v>
      </x:c>
      <x:c r="F345" s="1" t="str">
        <x:f>IF(C345&lt;=0,"C",IF(E345-D345&lt;'Дашборд'!$C$49,"A",IF(E345-D345&lt;'Дашборд'!$C$50,"B","C")))</x:f>
        <x:v>A</x:v>
      </x:c>
      <x:c r="G345" s="8" t="n">
        <x:f>'Данные'!F345</x:f>
        <x:v>1048</x:v>
      </x:c>
      <x:c r="H345" s="8" t="n">
        <x:f>SUM('Данные'!H345:I345)</x:f>
        <x:v>122</x:v>
      </x:c>
      <x:c r="I345" s="16" t="n">
        <x:f>IF(H345&gt;0,G345/H345,"n.a.")</x:f>
        <x:v>8.59016393442623</x:v>
      </x:c>
      <x:c r="J345" s="10" t="n">
        <x:f>IF('Данные'!E345&gt;0,G345/'Данные'!E345,"n.a.")</x:f>
        <x:v>0.011648586163969412</x:v>
      </x:c>
      <x:c r="K345" s="1" t="str">
        <x:f>IF(G345&gt;='Дашборд'!$C$51,"X","Z")</x:f>
        <x:v>X</x:v>
      </x:c>
      <x:c r="L345" s="1" t="str">
        <x:f>IF(H345=0,IF(G345&gt;0,"Нет остатка","Нет спроса"),IF(I345&gt;='Дашборд'!$C$52,"Быстрый","Медленный"))</x:f>
        <x:v>Быстрый</x:v>
      </x:c>
      <x:c r="M345" s="1" t="str">
        <x:f>IF('Данные'!E345&lt;'Дашборд'!$C$53,"Мало трафика",IF(J345&lt;'Дашборд'!$C$9*'Дашборд'!$C$54,"Да","Нет"))</x:f>
        <x:v>Нет</x:v>
      </x:c>
      <x:c r="N345" s="1" t="str">
        <x:f>IF(AND('Данные'!D345&gt;='Дашборд'!$C$55,D345&lt;'Дашборд'!$C$56,'Данные'!E345&gt;='Дашборд'!$C$53,'Данные'!L345&lt;&gt;"Да"),"Да","Нет")</x:f>
        <x:v>Нет</x:v>
      </x:c>
      <x:c r="O345" s="1" t="str">
        <x:f>'Данные'!L345</x:f>
        <x:v>Нет</x:v>
      </x:c>
    </x:row>
    <x:row r="346">
      <x:c r="A346" s="1" t="str">
        <x:f>'Данные'!A346</x:f>
        <x:v>320419093</x:v>
      </x:c>
      <x:c r="B346" s="1" t="str">
        <x:f>'Данные'!B346</x:f>
        <x:v>palazzoshnurok/коричневый</x:v>
      </x:c>
      <x:c r="C346" s="8" t="n">
        <x:f>'Данные'!G346</x:f>
        <x:v>617694</x:v>
      </x:c>
      <x:c r="D346" s="15" t="n">
        <x:f>C346/SUM($C$5:$C$2477)</x:f>
        <x:v>0.0007216047262757937</x:v>
      </x:c>
      <x:c r="E346" s="15" t="n">
        <x:f>SUM($D$5:D346)</x:f>
        <x:v>0.7359301105821459</x:v>
      </x:c>
      <x:c r="F346" s="1" t="str">
        <x:f>IF(C346&lt;=0,"C",IF(E346-D346&lt;'Дашборд'!$C$49,"A",IF(E346-D346&lt;'Дашборд'!$C$50,"B","C")))</x:f>
        <x:v>A</x:v>
      </x:c>
      <x:c r="G346" s="8" t="n">
        <x:f>'Данные'!F346</x:f>
        <x:v>954</x:v>
      </x:c>
      <x:c r="H346" s="8" t="n">
        <x:f>SUM('Данные'!H346:I346)</x:f>
        <x:v>308</x:v>
      </x:c>
      <x:c r="I346" s="16" t="n">
        <x:f>IF(H346&gt;0,G346/H346,"n.a.")</x:f>
        <x:v>3.0974025974025974</x:v>
      </x:c>
      <x:c r="J346" s="10" t="n">
        <x:f>IF('Данные'!E346&gt;0,G346/'Данные'!E346,"n.a.")</x:f>
        <x:v>0.02209253855773239</x:v>
      </x:c>
      <x:c r="K346" s="1" t="str">
        <x:f>IF(G346&gt;='Дашборд'!$C$51,"X","Z")</x:f>
        <x:v>X</x:v>
      </x:c>
      <x:c r="L346" s="1" t="str">
        <x:f>IF(H346=0,IF(G346&gt;0,"Нет остатка","Нет спроса"),IF(I346&gt;='Дашборд'!$C$52,"Быстрый","Медленный"))</x:f>
        <x:v>Быстрый</x:v>
      </x:c>
      <x:c r="M346" s="1" t="str">
        <x:f>IF('Данные'!E346&lt;'Дашборд'!$C$53,"Мало трафика",IF(J346&lt;'Дашборд'!$C$9*'Дашборд'!$C$54,"Да","Нет"))</x:f>
        <x:v>Нет</x:v>
      </x:c>
      <x:c r="N346" s="1" t="str">
        <x:f>IF(AND('Данные'!D346&gt;='Дашборд'!$C$55,D346&lt;'Дашборд'!$C$56,'Данные'!E346&gt;='Дашборд'!$C$53,'Данные'!L346&lt;&gt;"Да"),"Да","Нет")</x:f>
        <x:v>Нет</x:v>
      </x:c>
      <x:c r="O346" s="1" t="str">
        <x:f>'Данные'!L346</x:f>
        <x:v>Нет</x:v>
      </x:c>
    </x:row>
    <x:row r="347">
      <x:c r="A347" s="1" t="str">
        <x:f>'Данные'!A347</x:f>
        <x:v>232234722</x:v>
      </x:c>
      <x:c r="B347" s="1" t="str">
        <x:f>'Данные'!B347</x:f>
        <x:v>futbolkaprint/Portofino-156/молочный</x:v>
      </x:c>
      <x:c r="C347" s="8" t="n">
        <x:f>'Данные'!G347</x:f>
        <x:v>613432</x:v>
      </x:c>
      <x:c r="D347" s="15" t="n">
        <x:f>C347/SUM($C$5:$C$2477)</x:f>
        <x:v>0.0007166257571691042</x:v>
      </x:c>
      <x:c r="E347" s="15" t="n">
        <x:f>SUM($D$5:D347)</x:f>
        <x:v>0.736646736339315</x:v>
      </x:c>
      <x:c r="F347" s="1" t="str">
        <x:f>IF(C347&lt;=0,"C",IF(E347-D347&lt;'Дашборд'!$C$49,"A",IF(E347-D347&lt;'Дашборд'!$C$50,"B","C")))</x:f>
        <x:v>A</x:v>
      </x:c>
      <x:c r="G347" s="8" t="n">
        <x:f>'Данные'!F347</x:f>
        <x:v>860</x:v>
      </x:c>
      <x:c r="H347" s="8" t="n">
        <x:f>SUM('Данные'!H347:I347)</x:f>
        <x:v>2</x:v>
      </x:c>
      <x:c r="I347" s="16" t="n">
        <x:f>IF(H347&gt;0,G347/H347,"n.a.")</x:f>
        <x:v>430</x:v>
      </x:c>
      <x:c r="J347" s="10" t="n">
        <x:f>IF('Данные'!E347&gt;0,G347/'Данные'!E347,"n.a.")</x:f>
        <x:v>0.013766387603848185</x:v>
      </x:c>
      <x:c r="K347" s="1" t="str">
        <x:f>IF(G347&gt;='Дашборд'!$C$51,"X","Z")</x:f>
        <x:v>X</x:v>
      </x:c>
      <x:c r="L347" s="1" t="str">
        <x:f>IF(H347=0,IF(G347&gt;0,"Нет остатка","Нет спроса"),IF(I347&gt;='Дашборд'!$C$52,"Быстрый","Медленный"))</x:f>
        <x:v>Быстрый</x:v>
      </x:c>
      <x:c r="M347" s="1" t="str">
        <x:f>IF('Данные'!E347&lt;'Дашборд'!$C$53,"Мало трафика",IF(J347&lt;'Дашборд'!$C$9*'Дашборд'!$C$54,"Да","Нет"))</x:f>
        <x:v>Нет</x:v>
      </x:c>
      <x:c r="N347" s="1" t="str">
        <x:f>IF(AND('Данные'!D347&gt;='Дашборд'!$C$55,D347&lt;'Дашборд'!$C$56,'Данные'!E347&gt;='Дашборд'!$C$53,'Данные'!L347&lt;&gt;"Да"),"Да","Нет")</x:f>
        <x:v>Да</x:v>
      </x:c>
      <x:c r="O347" s="1" t="str">
        <x:f>'Данные'!L347</x:f>
        <x:v>Нет</x:v>
      </x:c>
    </x:row>
    <x:row r="348">
      <x:c r="A348" s="1" t="str">
        <x:f>'Данные'!A348</x:f>
        <x:v>47115818</x:v>
      </x:c>
      <x:c r="B348" s="1" t="str">
        <x:f>'Данные'!B348</x:f>
        <x:v>hudi/коричневый</x:v>
      </x:c>
      <x:c r="C348" s="8" t="n">
        <x:f>'Данные'!G348</x:f>
        <x:v>613060</x:v>
      </x:c>
      <x:c r="D348" s="15" t="n">
        <x:f>C348/SUM($C$5:$C$2477)</x:f>
        <x:v>0.0007161911779791257</x:v>
      </x:c>
      <x:c r="E348" s="15" t="n">
        <x:f>SUM($D$5:D348)</x:f>
        <x:v>0.7373629275172942</x:v>
      </x:c>
      <x:c r="F348" s="1" t="str">
        <x:f>IF(C348&lt;=0,"C",IF(E348-D348&lt;'Дашборд'!$C$49,"A",IF(E348-D348&lt;'Дашборд'!$C$50,"B","C")))</x:f>
        <x:v>A</x:v>
      </x:c>
      <x:c r="G348" s="8" t="n">
        <x:f>'Данные'!F348</x:f>
        <x:v>565</x:v>
      </x:c>
      <x:c r="H348" s="8" t="n">
        <x:f>SUM('Данные'!H348:I348)</x:f>
        <x:v>0</x:v>
      </x:c>
      <x:c r="I348" s="16" t="str">
        <x:f>IF(H348&gt;0,G348/H348,"n.a.")</x:f>
        <x:v>n.a.</x:v>
      </x:c>
      <x:c r="J348" s="10" t="n">
        <x:f>IF('Данные'!E348&gt;0,G348/'Данные'!E348,"n.a.")</x:f>
        <x:v>0.008148254975483127</x:v>
      </x:c>
      <x:c r="K348" s="1" t="str">
        <x:f>IF(G348&gt;='Дашборд'!$C$51,"X","Z")</x:f>
        <x:v>X</x:v>
      </x:c>
      <x:c r="L348" s="1" t="str">
        <x:f>IF(H348=0,IF(G348&gt;0,"Нет остатка","Нет спроса"),IF(I348&gt;='Дашборд'!$C$52,"Быстрый","Медленный"))</x:f>
        <x:v>Нет остатка</x:v>
      </x:c>
      <x:c r="M348" s="1" t="str">
        <x:f>IF('Данные'!E348&lt;'Дашборд'!$C$53,"Мало трафика",IF(J348&lt;'Дашборд'!$C$9*'Дашборд'!$C$54,"Да","Нет"))</x:f>
        <x:v>Да</x:v>
      </x:c>
      <x:c r="N348" s="1" t="str">
        <x:f>IF(AND('Данные'!D348&gt;='Дашборд'!$C$55,D348&lt;'Дашборд'!$C$56,'Данные'!E348&gt;='Дашборд'!$C$53,'Данные'!L348&lt;&gt;"Да"),"Да","Нет")</x:f>
        <x:v>Да</x:v>
      </x:c>
      <x:c r="O348" s="1" t="str">
        <x:f>'Данные'!L348</x:f>
        <x:v>Нет</x:v>
      </x:c>
    </x:row>
    <x:row r="349">
      <x:c r="A349" s="1" t="str">
        <x:f>'Данные'!A349</x:f>
        <x:v>348218026</x:v>
      </x:c>
      <x:c r="B349" s="1" t="str">
        <x:f>'Данные'!B349</x:f>
        <x:v>bodyskims/черный</x:v>
      </x:c>
      <x:c r="C349" s="8" t="n">
        <x:f>'Данные'!G349</x:f>
        <x:v>612882</x:v>
      </x:c>
      <x:c r="D349" s="15" t="n">
        <x:f>C349/SUM($C$5:$C$2477)</x:f>
        <x:v>0.0007159832341731683</x:v>
      </x:c>
      <x:c r="E349" s="15" t="n">
        <x:f>SUM($D$5:D349)</x:f>
        <x:v>0.7380789107514674</x:v>
      </x:c>
      <x:c r="F349" s="1" t="str">
        <x:f>IF(C349&lt;=0,"C",IF(E349-D349&lt;'Дашборд'!$C$49,"A",IF(E349-D349&lt;'Дашборд'!$C$50,"B","C")))</x:f>
        <x:v>A</x:v>
      </x:c>
      <x:c r="G349" s="8" t="n">
        <x:f>'Данные'!F349</x:f>
        <x:v>1313</x:v>
      </x:c>
      <x:c r="H349" s="8" t="n">
        <x:f>SUM('Данные'!H349:I349)</x:f>
        <x:v>702</x:v>
      </x:c>
      <x:c r="I349" s="16" t="n">
        <x:f>IF(H349&gt;0,G349/H349,"n.a.")</x:f>
        <x:v>1.8703703703703705</x:v>
      </x:c>
      <x:c r="J349" s="10" t="n">
        <x:f>IF('Данные'!E349&gt;0,G349/'Данные'!E349,"n.a.")</x:f>
        <x:v>0.016553410910374565</x:v>
      </x:c>
      <x:c r="K349" s="1" t="str">
        <x:f>IF(G349&gt;='Дашборд'!$C$51,"X","Z")</x:f>
        <x:v>X</x:v>
      </x:c>
      <x:c r="L349" s="1" t="str">
        <x:f>IF(H349=0,IF(G349&gt;0,"Нет остатка","Нет спроса"),IF(I349&gt;='Дашборд'!$C$52,"Быстрый","Медленный"))</x:f>
        <x:v>Быстрый</x:v>
      </x:c>
      <x:c r="M349" s="1" t="str">
        <x:f>IF('Данные'!E349&lt;'Дашборд'!$C$53,"Мало трафика",IF(J349&lt;'Дашборд'!$C$9*'Дашборд'!$C$54,"Да","Нет"))</x:f>
        <x:v>Нет</x:v>
      </x:c>
      <x:c r="N349" s="1" t="str">
        <x:f>IF(AND('Данные'!D349&gt;='Дашборд'!$C$55,D349&lt;'Дашборд'!$C$56,'Данные'!E349&gt;='Дашборд'!$C$53,'Данные'!L349&lt;&gt;"Да"),"Да","Нет")</x:f>
        <x:v>Нет</x:v>
      </x:c>
      <x:c r="O349" s="1" t="str">
        <x:f>'Данные'!L349</x:f>
        <x:v>Нет</x:v>
      </x:c>
    </x:row>
    <x:row r="350">
      <x:c r="A350" s="1" t="str">
        <x:f>'Данные'!A350</x:f>
        <x:v>314825316</x:v>
      </x:c>
      <x:c r="B350" s="1" t="str">
        <x:f>'Данные'!B350</x:f>
        <x:v>kulirkamanprint/woke-262/дымка</x:v>
      </x:c>
      <x:c r="C350" s="8" t="n">
        <x:f>'Данные'!G350</x:f>
        <x:v>610077</x:v>
      </x:c>
      <x:c r="D350" s="15" t="n">
        <x:f>C350/SUM($C$5:$C$2477)</x:f>
        <x:v>0.0007127063668938947</x:v>
      </x:c>
      <x:c r="E350" s="15" t="n">
        <x:f>SUM($D$5:D350)</x:f>
        <x:v>0.7387916171183613</x:v>
      </x:c>
      <x:c r="F350" s="1" t="str">
        <x:f>IF(C350&lt;=0,"C",IF(E350-D350&lt;'Дашборд'!$C$49,"A",IF(E350-D350&lt;'Дашборд'!$C$50,"B","C")))</x:f>
        <x:v>A</x:v>
      </x:c>
      <x:c r="G350" s="8" t="n">
        <x:f>'Данные'!F350</x:f>
        <x:v>1097</x:v>
      </x:c>
      <x:c r="H350" s="8" t="n">
        <x:f>SUM('Данные'!H350:I350)</x:f>
        <x:v>1121</x:v>
      </x:c>
      <x:c r="I350" s="16" t="n">
        <x:f>IF(H350&gt;0,G350/H350,"n.a.")</x:f>
        <x:v>0.9785905441570026</x:v>
      </x:c>
      <x:c r="J350" s="10" t="n">
        <x:f>IF('Данные'!E350&gt;0,G350/'Данные'!E350,"n.a.")</x:f>
        <x:v>0.010631390221446916</x:v>
      </x:c>
      <x:c r="K350" s="1" t="str">
        <x:f>IF(G350&gt;='Дашборд'!$C$51,"X","Z")</x:f>
        <x:v>X</x:v>
      </x:c>
      <x:c r="L350" s="1" t="str">
        <x:f>IF(H350=0,IF(G350&gt;0,"Нет остатка","Нет спроса"),IF(I350&gt;='Дашборд'!$C$52,"Быстрый","Медленный"))</x:f>
        <x:v>Медленный</x:v>
      </x:c>
      <x:c r="M350" s="1" t="str">
        <x:f>IF('Данные'!E350&lt;'Дашборд'!$C$53,"Мало трафика",IF(J350&lt;'Дашборд'!$C$9*'Дашборд'!$C$54,"Да","Нет"))</x:f>
        <x:v>Нет</x:v>
      </x:c>
      <x:c r="N350" s="1" t="str">
        <x:f>IF(AND('Данные'!D350&gt;='Дашборд'!$C$55,D350&lt;'Дашборд'!$C$56,'Данные'!E350&gt;='Дашборд'!$C$53,'Данные'!L350&lt;&gt;"Да"),"Да","Нет")</x:f>
        <x:v>Нет</x:v>
      </x:c>
      <x:c r="O350" s="1" t="str">
        <x:f>'Данные'!L350</x:f>
        <x:v>Нет</x:v>
      </x:c>
    </x:row>
    <x:row r="351">
      <x:c r="A351" s="1" t="str">
        <x:f>'Данные'!A351</x:f>
        <x:v>323186192</x:v>
      </x:c>
      <x:c r="B351" s="1" t="str">
        <x:f>'Данные'!B351</x:f>
        <x:v>futskims3K-102/какао</x:v>
      </x:c>
      <x:c r="C351" s="8" t="n">
        <x:f>'Данные'!G351</x:f>
        <x:v>606518</x:v>
      </x:c>
      <x:c r="D351" s="15" t="n">
        <x:f>C351/SUM($C$5:$C$2477)</x:f>
        <x:v>0.0007085486589983743</x:v>
      </x:c>
      <x:c r="E351" s="15" t="n">
        <x:f>SUM($D$5:D351)</x:f>
        <x:v>0.7395001657773597</x:v>
      </x:c>
      <x:c r="F351" s="1" t="str">
        <x:f>IF(C351&lt;=0,"C",IF(E351-D351&lt;'Дашборд'!$C$49,"A",IF(E351-D351&lt;'Дашборд'!$C$50,"B","C")))</x:f>
        <x:v>A</x:v>
      </x:c>
      <x:c r="G351" s="8" t="n">
        <x:f>'Данные'!F351</x:f>
        <x:v>1366</x:v>
      </x:c>
      <x:c r="H351" s="8" t="n">
        <x:f>SUM('Данные'!H351:I351)</x:f>
        <x:v>2133</x:v>
      </x:c>
      <x:c r="I351" s="16" t="n">
        <x:f>IF(H351&gt;0,G351/H351,"n.a.")</x:f>
        <x:v>0.6404125644631974</x:v>
      </x:c>
      <x:c r="J351" s="10" t="n">
        <x:f>IF('Данные'!E351&gt;0,G351/'Данные'!E351,"n.a.")</x:f>
        <x:v>0.016776792513080004</x:v>
      </x:c>
      <x:c r="K351" s="1" t="str">
        <x:f>IF(G351&gt;='Дашборд'!$C$51,"X","Z")</x:f>
        <x:v>X</x:v>
      </x:c>
      <x:c r="L351" s="1" t="str">
        <x:f>IF(H351=0,IF(G351&gt;0,"Нет остатка","Нет спроса"),IF(I351&gt;='Дашборд'!$C$52,"Быстрый","Медленный"))</x:f>
        <x:v>Медленный</x:v>
      </x:c>
      <x:c r="M351" s="1" t="str">
        <x:f>IF('Данные'!E351&lt;'Дашборд'!$C$53,"Мало трафика",IF(J351&lt;'Дашборд'!$C$9*'Дашборд'!$C$54,"Да","Нет"))</x:f>
        <x:v>Нет</x:v>
      </x:c>
      <x:c r="N351" s="1" t="str">
        <x:f>IF(AND('Данные'!D351&gt;='Дашборд'!$C$55,D351&lt;'Дашборд'!$C$56,'Данные'!E351&gt;='Дашборд'!$C$53,'Данные'!L351&lt;&gt;"Да"),"Да","Нет")</x:f>
        <x:v>Нет</x:v>
      </x:c>
      <x:c r="O351" s="1" t="str">
        <x:f>'Данные'!L351</x:f>
        <x:v>Нет</x:v>
      </x:c>
    </x:row>
    <x:row r="352">
      <x:c r="A352" s="1" t="str">
        <x:f>'Данные'!A352</x:f>
        <x:v>151811677</x:v>
      </x:c>
      <x:c r="B352" s="1" t="str">
        <x:f>'Данные'!B352</x:f>
        <x:v>svitshotover/розовый</x:v>
      </x:c>
      <x:c r="C352" s="8" t="n">
        <x:f>'Данные'!G352</x:f>
        <x:v>606069</x:v>
      </x:c>
      <x:c r="D352" s="15" t="n">
        <x:f>C352/SUM($C$5:$C$2477)</x:f>
        <x:v>0.0007080241265889648</x:v>
      </x:c>
      <x:c r="E352" s="15" t="n">
        <x:f>SUM($D$5:D352)</x:f>
        <x:v>0.7402081899039487</x:v>
      </x:c>
      <x:c r="F352" s="1" t="str">
        <x:f>IF(C352&lt;=0,"C",IF(E352-D352&lt;'Дашборд'!$C$49,"A",IF(E352-D352&lt;'Дашборд'!$C$50,"B","C")))</x:f>
        <x:v>A</x:v>
      </x:c>
      <x:c r="G352" s="8" t="n">
        <x:f>'Данные'!F352</x:f>
        <x:v>821</x:v>
      </x:c>
      <x:c r="H352" s="8" t="n">
        <x:f>SUM('Данные'!H352:I352)</x:f>
        <x:v>435</x:v>
      </x:c>
      <x:c r="I352" s="16" t="n">
        <x:f>IF(H352&gt;0,G352/H352,"n.a.")</x:f>
        <x:v>1.8873563218390805</x:v>
      </x:c>
      <x:c r="J352" s="10" t="n">
        <x:f>IF('Данные'!E352&gt;0,G352/'Данные'!E352,"n.a.")</x:f>
        <x:v>0.015752110514198003</x:v>
      </x:c>
      <x:c r="K352" s="1" t="str">
        <x:f>IF(G352&gt;='Дашборд'!$C$51,"X","Z")</x:f>
        <x:v>X</x:v>
      </x:c>
      <x:c r="L352" s="1" t="str">
        <x:f>IF(H352=0,IF(G352&gt;0,"Нет остатка","Нет спроса"),IF(I352&gt;='Дашборд'!$C$52,"Быстрый","Медленный"))</x:f>
        <x:v>Быстрый</x:v>
      </x:c>
      <x:c r="M352" s="1" t="str">
        <x:f>IF('Данные'!E352&lt;'Дашборд'!$C$53,"Мало трафика",IF(J352&lt;'Дашборд'!$C$9*'Дашборд'!$C$54,"Да","Нет"))</x:f>
        <x:v>Нет</x:v>
      </x:c>
      <x:c r="N352" s="1" t="str">
        <x:f>IF(AND('Данные'!D352&gt;='Дашборд'!$C$55,D352&lt;'Дашборд'!$C$56,'Данные'!E352&gt;='Дашборд'!$C$53,'Данные'!L352&lt;&gt;"Да"),"Да","Нет")</x:f>
        <x:v>Да</x:v>
      </x:c>
      <x:c r="O352" s="1" t="str">
        <x:f>'Данные'!L352</x:f>
        <x:v>Нет</x:v>
      </x:c>
    </x:row>
    <x:row r="353">
      <x:c r="A353" s="1" t="str">
        <x:f>'Данные'!A353</x:f>
        <x:v>296186653</x:v>
      </x:c>
      <x:c r="B353" s="1" t="str">
        <x:f>'Данные'!B353</x:f>
        <x:v>shtanyman4P-79/черный</x:v>
      </x:c>
      <x:c r="C353" s="8" t="n">
        <x:f>'Данные'!G353</x:f>
        <x:v>604072</x:v>
      </x:c>
      <x:c r="D353" s="15" t="n">
        <x:f>C353/SUM($C$5:$C$2477)</x:f>
        <x:v>0.0007056911840019026</x:v>
      </x:c>
      <x:c r="E353" s="15" t="n">
        <x:f>SUM($D$5:D353)</x:f>
        <x:v>0.7409138810879505</x:v>
      </x:c>
      <x:c r="F353" s="1" t="str">
        <x:f>IF(C353&lt;=0,"C",IF(E353-D353&lt;'Дашборд'!$C$49,"A",IF(E353-D353&lt;'Дашборд'!$C$50,"B","C")))</x:f>
        <x:v>A</x:v>
      </x:c>
      <x:c r="G353" s="8" t="n">
        <x:f>'Данные'!F353</x:f>
        <x:v>936</x:v>
      </x:c>
      <x:c r="H353" s="8" t="n">
        <x:f>SUM('Данные'!H353:I353)</x:f>
        <x:v>151</x:v>
      </x:c>
      <x:c r="I353" s="16" t="n">
        <x:f>IF(H353&gt;0,G353/H353,"n.a.")</x:f>
        <x:v>6.198675496688741</x:v>
      </x:c>
      <x:c r="J353" s="10" t="n">
        <x:f>IF('Данные'!E353&gt;0,G353/'Данные'!E353,"n.a.")</x:f>
        <x:v>0.032687270822420116</x:v>
      </x:c>
      <x:c r="K353" s="1" t="str">
        <x:f>IF(G353&gt;='Дашборд'!$C$51,"X","Z")</x:f>
        <x:v>X</x:v>
      </x:c>
      <x:c r="L353" s="1" t="str">
        <x:f>IF(H353=0,IF(G353&gt;0,"Нет остатка","Нет спроса"),IF(I353&gt;='Дашборд'!$C$52,"Быстрый","Медленный"))</x:f>
        <x:v>Быстрый</x:v>
      </x:c>
      <x:c r="M353" s="1" t="str">
        <x:f>IF('Данные'!E353&lt;'Дашборд'!$C$53,"Мало трафика",IF(J353&lt;'Дашборд'!$C$9*'Дашборд'!$C$54,"Да","Нет"))</x:f>
        <x:v>Нет</x:v>
      </x:c>
      <x:c r="N353" s="1" t="str">
        <x:f>IF(AND('Данные'!D353&gt;='Дашборд'!$C$55,D353&lt;'Дашборд'!$C$56,'Данные'!E353&gt;='Дашборд'!$C$53,'Данные'!L353&lt;&gt;"Да"),"Да","Нет")</x:f>
        <x:v>Нет</x:v>
      </x:c>
      <x:c r="O353" s="1" t="str">
        <x:f>'Данные'!L353</x:f>
        <x:v>Нет</x:v>
      </x:c>
    </x:row>
    <x:row r="354">
      <x:c r="A354" s="1" t="str">
        <x:f>'Данные'!A354</x:f>
        <x:v>218974179</x:v>
      </x:c>
      <x:c r="B354" s="1" t="str">
        <x:f>'Данные'!B354</x:f>
        <x:v>topbando/белый</x:v>
      </x:c>
      <x:c r="C354" s="8" t="n">
        <x:f>'Данные'!G354</x:f>
        <x:v>603722</x:v>
      </x:c>
      <x:c r="D354" s="15" t="n">
        <x:f>C354/SUM($C$5:$C$2477)</x:f>
        <x:v>0.0007052823057317615</x:v>
      </x:c>
      <x:c r="E354" s="15" t="n">
        <x:f>SUM($D$5:D354)</x:f>
        <x:v>0.7416191633936823</x:v>
      </x:c>
      <x:c r="F354" s="1" t="str">
        <x:f>IF(C354&lt;=0,"C",IF(E354-D354&lt;'Дашборд'!$C$49,"A",IF(E354-D354&lt;'Дашборд'!$C$50,"B","C")))</x:f>
        <x:v>A</x:v>
      </x:c>
      <x:c r="G354" s="8" t="n">
        <x:f>'Данные'!F354</x:f>
        <x:v>2568</x:v>
      </x:c>
      <x:c r="H354" s="8" t="n">
        <x:f>SUM('Данные'!H354:I354)</x:f>
        <x:v>1602</x:v>
      </x:c>
      <x:c r="I354" s="16" t="n">
        <x:f>IF(H354&gt;0,G354/H354,"n.a.")</x:f>
        <x:v>1.6029962546816479</x:v>
      </x:c>
      <x:c r="J354" s="10" t="n">
        <x:f>IF('Данные'!E354&gt;0,G354/'Данные'!E354,"n.a.")</x:f>
        <x:v>0.04613146029065694</x:v>
      </x:c>
      <x:c r="K354" s="1" t="str">
        <x:f>IF(G354&gt;='Дашборд'!$C$51,"X","Z")</x:f>
        <x:v>X</x:v>
      </x:c>
      <x:c r="L354" s="1" t="str">
        <x:f>IF(H354=0,IF(G354&gt;0,"Нет остатка","Нет спроса"),IF(I354&gt;='Дашборд'!$C$52,"Быстрый","Медленный"))</x:f>
        <x:v>Быстрый</x:v>
      </x:c>
      <x:c r="M354" s="1" t="str">
        <x:f>IF('Данные'!E354&lt;'Дашборд'!$C$53,"Мало трафика",IF(J354&lt;'Дашборд'!$C$9*'Дашборд'!$C$54,"Да","Нет"))</x:f>
        <x:v>Нет</x:v>
      </x:c>
      <x:c r="N354" s="1" t="str">
        <x:f>IF(AND('Данные'!D354&gt;='Дашборд'!$C$55,D354&lt;'Дашборд'!$C$56,'Данные'!E354&gt;='Дашборд'!$C$53,'Данные'!L354&lt;&gt;"Да"),"Да","Нет")</x:f>
        <x:v>Нет</x:v>
      </x:c>
      <x:c r="O354" s="1" t="str">
        <x:f>'Данные'!L354</x:f>
        <x:v>Нет</x:v>
      </x:c>
    </x:row>
    <x:row r="355">
      <x:c r="A355" s="1" t="str">
        <x:f>'Данные'!A355</x:f>
        <x:v>87046289</x:v>
      </x:c>
      <x:c r="B355" s="1" t="str">
        <x:f>'Данные'!B355</x:f>
        <x:v>kroptop/мандариновый</x:v>
      </x:c>
      <x:c r="C355" s="8" t="n">
        <x:f>'Данные'!G355</x:f>
        <x:v>599657</x:v>
      </x:c>
      <x:c r="D355" s="15" t="n">
        <x:f>C355/SUM($C$5:$C$2477)</x:f>
        <x:v>0.00070053347667998</x:v>
      </x:c>
      <x:c r="E355" s="15" t="n">
        <x:f>SUM($D$5:D355)</x:f>
        <x:v>0.7423196968703623</x:v>
      </x:c>
      <x:c r="F355" s="1" t="str">
        <x:f>IF(C355&lt;=0,"C",IF(E355-D355&lt;'Дашборд'!$C$49,"A",IF(E355-D355&lt;'Дашборд'!$C$50,"B","C")))</x:f>
        <x:v>A</x:v>
      </x:c>
      <x:c r="G355" s="8" t="n">
        <x:f>'Данные'!F355</x:f>
        <x:v>1581</x:v>
      </x:c>
      <x:c r="H355" s="8" t="n">
        <x:f>SUM('Данные'!H355:I355)</x:f>
        <x:v>1350</x:v>
      </x:c>
      <x:c r="I355" s="16" t="n">
        <x:f>IF(H355&gt;0,G355/H355,"n.a.")</x:f>
        <x:v>1.1711111111111112</x:v>
      </x:c>
      <x:c r="J355" s="10" t="n">
        <x:f>IF('Данные'!E355&gt;0,G355/'Данные'!E355,"n.a.")</x:f>
        <x:v>0.027800246175487955</x:v>
      </x:c>
      <x:c r="K355" s="1" t="str">
        <x:f>IF(G355&gt;='Дашборд'!$C$51,"X","Z")</x:f>
        <x:v>X</x:v>
      </x:c>
      <x:c r="L355" s="1" t="str">
        <x:f>IF(H355=0,IF(G355&gt;0,"Нет остатка","Нет спроса"),IF(I355&gt;='Дашборд'!$C$52,"Быстрый","Медленный"))</x:f>
        <x:v>Быстрый</x:v>
      </x:c>
      <x:c r="M355" s="1" t="str">
        <x:f>IF('Данные'!E355&lt;'Дашборд'!$C$53,"Мало трафика",IF(J355&lt;'Дашборд'!$C$9*'Дашборд'!$C$54,"Да","Нет"))</x:f>
        <x:v>Нет</x:v>
      </x:c>
      <x:c r="N355" s="1" t="str">
        <x:f>IF(AND('Данные'!D355&gt;='Дашборд'!$C$55,D355&lt;'Дашборд'!$C$56,'Данные'!E355&gt;='Дашборд'!$C$53,'Данные'!L355&lt;&gt;"Да"),"Да","Нет")</x:f>
        <x:v>Нет</x:v>
      </x:c>
      <x:c r="O355" s="1" t="str">
        <x:f>'Данные'!L355</x:f>
        <x:v>Нет</x:v>
      </x:c>
    </x:row>
    <x:row r="356">
      <x:c r="A356" s="1" t="str">
        <x:f>'Данные'!A356</x:f>
        <x:v>246362935</x:v>
      </x:c>
      <x:c r="B356" s="1" t="str">
        <x:f>'Данные'!B356</x:f>
        <x:v>tolstovkazip/хаки</x:v>
      </x:c>
      <x:c r="C356" s="8" t="n">
        <x:f>'Данные'!G356</x:f>
        <x:v>597942</x:v>
      </x:c>
      <x:c r="D356" s="15" t="n">
        <x:f>C356/SUM($C$5:$C$2477)</x:f>
        <x:v>0.0006985299731562888</x:v>
      </x:c>
      <x:c r="E356" s="15" t="n">
        <x:f>SUM($D$5:D356)</x:f>
        <x:v>0.7430182268435186</x:v>
      </x:c>
      <x:c r="F356" s="1" t="str">
        <x:f>IF(C356&lt;=0,"C",IF(E356-D356&lt;'Дашборд'!$C$49,"A",IF(E356-D356&lt;'Дашборд'!$C$50,"B","C")))</x:f>
        <x:v>A</x:v>
      </x:c>
      <x:c r="G356" s="8" t="n">
        <x:f>'Данные'!F356</x:f>
        <x:v>415</x:v>
      </x:c>
      <x:c r="H356" s="8" t="n">
        <x:f>SUM('Данные'!H356:I356)</x:f>
        <x:v>2</x:v>
      </x:c>
      <x:c r="I356" s="16" t="n">
        <x:f>IF(H356&gt;0,G356/H356,"n.a.")</x:f>
        <x:v>207.5</x:v>
      </x:c>
      <x:c r="J356" s="10" t="n">
        <x:f>IF('Данные'!E356&gt;0,G356/'Данные'!E356,"n.a.")</x:f>
        <x:v>0.006311307124933465</x:v>
      </x:c>
      <x:c r="K356" s="1" t="str">
        <x:f>IF(G356&gt;='Дашборд'!$C$51,"X","Z")</x:f>
        <x:v>X</x:v>
      </x:c>
      <x:c r="L356" s="1" t="str">
        <x:f>IF(H356=0,IF(G356&gt;0,"Нет остатка","Нет спроса"),IF(I356&gt;='Дашборд'!$C$52,"Быстрый","Медленный"))</x:f>
        <x:v>Быстрый</x:v>
      </x:c>
      <x:c r="M356" s="1" t="str">
        <x:f>IF('Данные'!E356&lt;'Дашборд'!$C$53,"Мало трафика",IF(J356&lt;'Дашборд'!$C$9*'Дашборд'!$C$54,"Да","Нет"))</x:f>
        <x:v>Да</x:v>
      </x:c>
      <x:c r="N356" s="1" t="str">
        <x:f>IF(AND('Данные'!D356&gt;='Дашборд'!$C$55,D356&lt;'Дашборд'!$C$56,'Данные'!E356&gt;='Дашборд'!$C$53,'Данные'!L356&lt;&gt;"Да"),"Да","Нет")</x:f>
        <x:v>Да</x:v>
      </x:c>
      <x:c r="O356" s="1" t="str">
        <x:f>'Данные'!L356</x:f>
        <x:v>Нет</x:v>
      </x:c>
    </x:row>
    <x:row r="357">
      <x:c r="A357" s="1" t="str">
        <x:f>'Данные'!A357</x:f>
        <x:v>220090289</x:v>
      </x:c>
      <x:c r="B357" s="1" t="str">
        <x:f>'Данные'!B357</x:f>
        <x:v>tolstovkazip/фуксия</x:v>
      </x:c>
      <x:c r="C357" s="8" t="n">
        <x:f>'Данные'!G357</x:f>
        <x:v>597419</x:v>
      </x:c>
      <x:c r="D357" s="15" t="n">
        <x:f>C357/SUM($C$5:$C$2477)</x:f>
        <x:v>0.0006979189921983351</x:v>
      </x:c>
      <x:c r="E357" s="15" t="n">
        <x:f>SUM($D$5:D357)</x:f>
        <x:v>0.7437161458357169</x:v>
      </x:c>
      <x:c r="F357" s="1" t="str">
        <x:f>IF(C357&lt;=0,"C",IF(E357-D357&lt;'Дашборд'!$C$49,"A",IF(E357-D357&lt;'Дашборд'!$C$50,"B","C")))</x:f>
        <x:v>A</x:v>
      </x:c>
      <x:c r="G357" s="8" t="n">
        <x:f>'Данные'!F357</x:f>
        <x:v>581</x:v>
      </x:c>
      <x:c r="H357" s="8" t="n">
        <x:f>SUM('Данные'!H357:I357)</x:f>
        <x:v>3</x:v>
      </x:c>
      <x:c r="I357" s="16" t="n">
        <x:f>IF(H357&gt;0,G357/H357,"n.a.")</x:f>
        <x:v>193.66666666666666</x:v>
      </x:c>
      <x:c r="J357" s="10" t="n">
        <x:f>IF('Данные'!E357&gt;0,G357/'Данные'!E357,"n.a.")</x:f>
        <x:v>0.01274709844445907</x:v>
      </x:c>
      <x:c r="K357" s="1" t="str">
        <x:f>IF(G357&gt;='Дашборд'!$C$51,"X","Z")</x:f>
        <x:v>X</x:v>
      </x:c>
      <x:c r="L357" s="1" t="str">
        <x:f>IF(H357=0,IF(G357&gt;0,"Нет остатка","Нет спроса"),IF(I357&gt;='Дашборд'!$C$52,"Быстрый","Медленный"))</x:f>
        <x:v>Быстрый</x:v>
      </x:c>
      <x:c r="M357" s="1" t="str">
        <x:f>IF('Данные'!E357&lt;'Дашборд'!$C$53,"Мало трафика",IF(J357&lt;'Дашборд'!$C$9*'Дашборд'!$C$54,"Да","Нет"))</x:f>
        <x:v>Нет</x:v>
      </x:c>
      <x:c r="N357" s="1" t="str">
        <x:f>IF(AND('Данные'!D357&gt;='Дашборд'!$C$55,D357&lt;'Дашборд'!$C$56,'Данные'!E357&gt;='Дашборд'!$C$53,'Данные'!L357&lt;&gt;"Да"),"Да","Нет")</x:f>
        <x:v>Нет</x:v>
      </x:c>
      <x:c r="O357" s="1" t="str">
        <x:f>'Данные'!L357</x:f>
        <x:v>Нет</x:v>
      </x:c>
    </x:row>
    <x:row r="358">
      <x:c r="A358" s="1" t="str">
        <x:f>'Данные'!A358</x:f>
        <x:v>210514807</x:v>
      </x:c>
      <x:c r="B358" s="1" t="str">
        <x:f>'Данные'!B358</x:f>
        <x:v>kostkulirkacrop/черный</x:v>
      </x:c>
      <x:c r="C358" s="8" t="n">
        <x:f>'Данные'!G358</x:f>
        <x:v>595523</x:v>
      </x:c>
      <x:c r="D358" s="15" t="n">
        <x:f>C358/SUM($C$5:$C$2477)</x:f>
        <x:v>0.0006957040401977994</x:v>
      </x:c>
      <x:c r="E358" s="15" t="n">
        <x:f>SUM($D$5:D358)</x:f>
        <x:v>0.7444118498759147</x:v>
      </x:c>
      <x:c r="F358" s="1" t="str">
        <x:f>IF(C358&lt;=0,"C",IF(E358-D358&lt;'Дашборд'!$C$49,"A",IF(E358-D358&lt;'Дашборд'!$C$50,"B","C")))</x:f>
        <x:v>A</x:v>
      </x:c>
      <x:c r="G358" s="8" t="n">
        <x:f>'Данные'!F358</x:f>
        <x:v>938</x:v>
      </x:c>
      <x:c r="H358" s="8" t="n">
        <x:f>SUM('Данные'!H358:I358)</x:f>
        <x:v>3</x:v>
      </x:c>
      <x:c r="I358" s="16" t="n">
        <x:f>IF(H358&gt;0,G358/H358,"n.a.")</x:f>
        <x:v>312.6666666666667</x:v>
      </x:c>
      <x:c r="J358" s="10" t="n">
        <x:f>IF('Данные'!E358&gt;0,G358/'Данные'!E358,"n.a.")</x:f>
        <x:v>0.014964901084875559</x:v>
      </x:c>
      <x:c r="K358" s="1" t="str">
        <x:f>IF(G358&gt;='Дашборд'!$C$51,"X","Z")</x:f>
        <x:v>X</x:v>
      </x:c>
      <x:c r="L358" s="1" t="str">
        <x:f>IF(H358=0,IF(G358&gt;0,"Нет остатка","Нет спроса"),IF(I358&gt;='Дашборд'!$C$52,"Быстрый","Медленный"))</x:f>
        <x:v>Быстрый</x:v>
      </x:c>
      <x:c r="M358" s="1" t="str">
        <x:f>IF('Данные'!E358&lt;'Дашборд'!$C$53,"Мало трафика",IF(J358&lt;'Дашборд'!$C$9*'Дашборд'!$C$54,"Да","Нет"))</x:f>
        <x:v>Нет</x:v>
      </x:c>
      <x:c r="N358" s="1" t="str">
        <x:f>IF(AND('Данные'!D358&gt;='Дашборд'!$C$55,D358&lt;'Дашборд'!$C$56,'Данные'!E358&gt;='Дашборд'!$C$53,'Данные'!L358&lt;&gt;"Да"),"Да","Нет")</x:f>
        <x:v>Да</x:v>
      </x:c>
      <x:c r="O358" s="1" t="str">
        <x:f>'Данные'!L358</x:f>
        <x:v>Нет</x:v>
      </x:c>
    </x:row>
    <x:row r="359">
      <x:c r="A359" s="1" t="str">
        <x:f>'Данные'!A359</x:f>
        <x:v>320423128</x:v>
      </x:c>
      <x:c r="B359" s="1" t="str">
        <x:f>'Данные'!B359</x:f>
        <x:v>shtanyfix/коричневый</x:v>
      </x:c>
      <x:c r="C359" s="8" t="n">
        <x:f>'Данные'!G359</x:f>
        <x:v>595470</x:v>
      </x:c>
      <x:c r="D359" s="15" t="n">
        <x:f>C359/SUM($C$5:$C$2477)</x:f>
        <x:v>0.0006956421243454637</x:v>
      </x:c>
      <x:c r="E359" s="15" t="n">
        <x:f>SUM($D$5:D359)</x:f>
        <x:v>0.7451074920002602</x:v>
      </x:c>
      <x:c r="F359" s="1" t="str">
        <x:f>IF(C359&lt;=0,"C",IF(E359-D359&lt;'Дашборд'!$C$49,"A",IF(E359-D359&lt;'Дашборд'!$C$50,"B","C")))</x:f>
        <x:v>A</x:v>
      </x:c>
      <x:c r="G359" s="8" t="n">
        <x:f>'Данные'!F359</x:f>
        <x:v>639</x:v>
      </x:c>
      <x:c r="H359" s="8" t="n">
        <x:f>SUM('Данные'!H359:I359)</x:f>
        <x:v>1</x:v>
      </x:c>
      <x:c r="I359" s="16" t="n">
        <x:f>IF(H359&gt;0,G359/H359,"n.a.")</x:f>
        <x:v>639</x:v>
      </x:c>
      <x:c r="J359" s="10" t="n">
        <x:f>IF('Данные'!E359&gt;0,G359/'Данные'!E359,"n.a.")</x:f>
        <x:v>0.018188546054878744</x:v>
      </x:c>
      <x:c r="K359" s="1" t="str">
        <x:f>IF(G359&gt;='Дашборд'!$C$51,"X","Z")</x:f>
        <x:v>X</x:v>
      </x:c>
      <x:c r="L359" s="1" t="str">
        <x:f>IF(H359=0,IF(G359&gt;0,"Нет остатка","Нет спроса"),IF(I359&gt;='Дашборд'!$C$52,"Быстрый","Медленный"))</x:f>
        <x:v>Быстрый</x:v>
      </x:c>
      <x:c r="M359" s="1" t="str">
        <x:f>IF('Данные'!E359&lt;'Дашборд'!$C$53,"Мало трафика",IF(J359&lt;'Дашборд'!$C$9*'Дашборд'!$C$54,"Да","Нет"))</x:f>
        <x:v>Нет</x:v>
      </x:c>
      <x:c r="N359" s="1" t="str">
        <x:f>IF(AND('Данные'!D359&gt;='Дашборд'!$C$55,D359&lt;'Дашборд'!$C$56,'Данные'!E359&gt;='Дашборд'!$C$53,'Данные'!L359&lt;&gt;"Да"),"Да","Нет")</x:f>
        <x:v>Нет</x:v>
      </x:c>
      <x:c r="O359" s="1" t="str">
        <x:f>'Данные'!L359</x:f>
        <x:v>Нет</x:v>
      </x:c>
    </x:row>
    <x:row r="360">
      <x:c r="A360" s="1" t="str">
        <x:f>'Данные'!A360</x:f>
        <x:v>211336676</x:v>
      </x:c>
      <x:c r="B360" s="1" t="str">
        <x:f>'Данные'!B360</x:f>
        <x:v>tolstovkazipman/темно-синий</x:v>
      </x:c>
      <x:c r="C360" s="8" t="n">
        <x:f>'Данные'!G360</x:f>
        <x:v>593087</x:v>
      </x:c>
      <x:c r="D360" s="15" t="n">
        <x:f>C360/SUM($C$5:$C$2477)</x:f>
        <x:v>0.0006928582474376175</x:v>
      </x:c>
      <x:c r="E360" s="15" t="n">
        <x:f>SUM($D$5:D360)</x:f>
        <x:v>0.7458003502476978</x:v>
      </x:c>
      <x:c r="F360" s="1" t="str">
        <x:f>IF(C360&lt;=0,"C",IF(E360-D360&lt;'Дашборд'!$C$49,"A",IF(E360-D360&lt;'Дашборд'!$C$50,"B","C")))</x:f>
        <x:v>A</x:v>
      </x:c>
      <x:c r="G360" s="8" t="n">
        <x:f>'Данные'!F360</x:f>
        <x:v>578</x:v>
      </x:c>
      <x:c r="H360" s="8" t="n">
        <x:f>SUM('Данные'!H360:I360)</x:f>
        <x:v>77</x:v>
      </x:c>
      <x:c r="I360" s="16" t="n">
        <x:f>IF(H360&gt;0,G360/H360,"n.a.")</x:f>
        <x:v>7.5064935064935066</x:v>
      </x:c>
      <x:c r="J360" s="10" t="n">
        <x:f>IF('Данные'!E360&gt;0,G360/'Данные'!E360,"n.a.")</x:f>
        <x:v>0.015033291718684977</x:v>
      </x:c>
      <x:c r="K360" s="1" t="str">
        <x:f>IF(G360&gt;='Дашборд'!$C$51,"X","Z")</x:f>
        <x:v>X</x:v>
      </x:c>
      <x:c r="L360" s="1" t="str">
        <x:f>IF(H360=0,IF(G360&gt;0,"Нет остатка","Нет спроса"),IF(I360&gt;='Дашборд'!$C$52,"Быстрый","Медленный"))</x:f>
        <x:v>Быстрый</x:v>
      </x:c>
      <x:c r="M360" s="1" t="str">
        <x:f>IF('Данные'!E360&lt;'Дашборд'!$C$53,"Мало трафика",IF(J360&lt;'Дашборд'!$C$9*'Дашборд'!$C$54,"Да","Нет"))</x:f>
        <x:v>Нет</x:v>
      </x:c>
      <x:c r="N360" s="1" t="str">
        <x:f>IF(AND('Данные'!D360&gt;='Дашборд'!$C$55,D360&lt;'Дашборд'!$C$56,'Данные'!E360&gt;='Дашборд'!$C$53,'Данные'!L360&lt;&gt;"Да"),"Да","Нет")</x:f>
        <x:v>Нет</x:v>
      </x:c>
      <x:c r="O360" s="1" t="str">
        <x:f>'Данные'!L360</x:f>
        <x:v>Нет</x:v>
      </x:c>
    </x:row>
    <x:row r="361">
      <x:c r="A361" s="1" t="str">
        <x:f>'Данные'!A361</x:f>
        <x:v>114614257</x:v>
      </x:c>
      <x:c r="B361" s="1" t="str">
        <x:f>'Данные'!B361</x:f>
        <x:v>kroptop/зелено-серый</x:v>
      </x:c>
      <x:c r="C361" s="8" t="n">
        <x:f>'Данные'!G361</x:f>
        <x:v>592820</x:v>
      </x:c>
      <x:c r="D361" s="15" t="n">
        <x:f>C361/SUM($C$5:$C$2477)</x:f>
        <x:v>0.0006925463317286812</x:v>
      </x:c>
      <x:c r="E361" s="15" t="n">
        <x:f>SUM($D$5:D361)</x:f>
        <x:v>0.7464928965794264</x:v>
      </x:c>
      <x:c r="F361" s="1" t="str">
        <x:f>IF(C361&lt;=0,"C",IF(E361-D361&lt;'Дашборд'!$C$49,"A",IF(E361-D361&lt;'Дашборд'!$C$50,"B","C")))</x:f>
        <x:v>A</x:v>
      </x:c>
      <x:c r="G361" s="8" t="n">
        <x:f>'Данные'!F361</x:f>
        <x:v>1384</x:v>
      </x:c>
      <x:c r="H361" s="8" t="n">
        <x:f>SUM('Данные'!H361:I361)</x:f>
        <x:v>111</x:v>
      </x:c>
      <x:c r="I361" s="16" t="n">
        <x:f>IF(H361&gt;0,G361/H361,"n.a.")</x:f>
        <x:v>12.468468468468469</x:v>
      </x:c>
      <x:c r="J361" s="10" t="n">
        <x:f>IF('Данные'!E361&gt;0,G361/'Данные'!E361,"n.a.")</x:f>
        <x:v>0.020757405324334458</x:v>
      </x:c>
      <x:c r="K361" s="1" t="str">
        <x:f>IF(G361&gt;='Дашборд'!$C$51,"X","Z")</x:f>
        <x:v>X</x:v>
      </x:c>
      <x:c r="L361" s="1" t="str">
        <x:f>IF(H361=0,IF(G361&gt;0,"Нет остатка","Нет спроса"),IF(I361&gt;='Дашборд'!$C$52,"Быстрый","Медленный"))</x:f>
        <x:v>Быстрый</x:v>
      </x:c>
      <x:c r="M361" s="1" t="str">
        <x:f>IF('Данные'!E361&lt;'Дашборд'!$C$53,"Мало трафика",IF(J361&lt;'Дашборд'!$C$9*'Дашборд'!$C$54,"Да","Нет"))</x:f>
        <x:v>Нет</x:v>
      </x:c>
      <x:c r="N361" s="1" t="str">
        <x:f>IF(AND('Данные'!D361&gt;='Дашборд'!$C$55,D361&lt;'Дашборд'!$C$56,'Данные'!E361&gt;='Дашборд'!$C$53,'Данные'!L361&lt;&gt;"Да"),"Да","Нет")</x:f>
        <x:v>Нет</x:v>
      </x:c>
      <x:c r="O361" s="1" t="str">
        <x:f>'Данные'!L361</x:f>
        <x:v>Нет</x:v>
      </x:c>
    </x:row>
    <x:row r="362">
      <x:c r="A362" s="1" t="str">
        <x:f>'Данные'!A362</x:f>
        <x:v>109499064</x:v>
      </x:c>
      <x:c r="B362" s="1" t="str">
        <x:f>'Данные'!B362</x:f>
        <x:v>svitshotover/молочный</x:v>
      </x:c>
      <x:c r="C362" s="8" t="n">
        <x:f>'Данные'!G362</x:f>
        <x:v>591708</x:v>
      </x:c>
      <x:c r="D362" s="15" t="n">
        <x:f>C362/SUM($C$5:$C$2477)</x:f>
        <x:v>0.0006912472670532615</x:v>
      </x:c>
      <x:c r="E362" s="15" t="n">
        <x:f>SUM($D$5:D362)</x:f>
        <x:v>0.7471841438464797</x:v>
      </x:c>
      <x:c r="F362" s="1" t="str">
        <x:f>IF(C362&lt;=0,"C",IF(E362-D362&lt;'Дашборд'!$C$49,"A",IF(E362-D362&lt;'Дашборд'!$C$50,"B","C")))</x:f>
        <x:v>A</x:v>
      </x:c>
      <x:c r="G362" s="8" t="n">
        <x:f>'Данные'!F362</x:f>
        <x:v>839</x:v>
      </x:c>
      <x:c r="H362" s="8" t="n">
        <x:f>SUM('Данные'!H362:I362)</x:f>
        <x:v>1426</x:v>
      </x:c>
      <x:c r="I362" s="16" t="n">
        <x:f>IF(H362&gt;0,G362/H362,"n.a.")</x:f>
        <x:v>0.5883590462833099</x:v>
      </x:c>
      <x:c r="J362" s="10" t="n">
        <x:f>IF('Данные'!E362&gt;0,G362/'Данные'!E362,"n.a.")</x:f>
        <x:v>0.018778817315009626</x:v>
      </x:c>
      <x:c r="K362" s="1" t="str">
        <x:f>IF(G362&gt;='Дашборд'!$C$51,"X","Z")</x:f>
        <x:v>X</x:v>
      </x:c>
      <x:c r="L362" s="1" t="str">
        <x:f>IF(H362=0,IF(G362&gt;0,"Нет остатка","Нет спроса"),IF(I362&gt;='Дашборд'!$C$52,"Быстрый","Медленный"))</x:f>
        <x:v>Медленный</x:v>
      </x:c>
      <x:c r="M362" s="1" t="str">
        <x:f>IF('Данные'!E362&lt;'Дашборд'!$C$53,"Мало трафика",IF(J362&lt;'Дашборд'!$C$9*'Дашборд'!$C$54,"Да","Нет"))</x:f>
        <x:v>Нет</x:v>
      </x:c>
      <x:c r="N362" s="1" t="str">
        <x:f>IF(AND('Данные'!D362&gt;='Дашборд'!$C$55,D362&lt;'Дашборд'!$C$56,'Данные'!E362&gt;='Дашборд'!$C$53,'Данные'!L362&lt;&gt;"Да"),"Да","Нет")</x:f>
        <x:v>Да</x:v>
      </x:c>
      <x:c r="O362" s="1" t="str">
        <x:f>'Данные'!L362</x:f>
        <x:v>Нет</x:v>
      </x:c>
    </x:row>
    <x:row r="363">
      <x:c r="A363" s="1" t="str">
        <x:f>'Данные'!A363</x:f>
        <x:v>234287029</x:v>
      </x:c>
      <x:c r="B363" s="1" t="str">
        <x:f>'Данные'!B363</x:f>
        <x:v>svitshotpetl/песочный</x:v>
      </x:c>
      <x:c r="C363" s="8" t="n">
        <x:f>'Данные'!G363</x:f>
        <x:v>589470</x:v>
      </x:c>
      <x:c r="D363" s="15" t="n">
        <x:f>C363/SUM($C$5:$C$2477)</x:f>
        <x:v>0.0006886327825716166</x:v>
      </x:c>
      <x:c r="E363" s="15" t="n">
        <x:f>SUM($D$5:D363)</x:f>
        <x:v>0.7478727766290513</x:v>
      </x:c>
      <x:c r="F363" s="1" t="str">
        <x:f>IF(C363&lt;=0,"C",IF(E363-D363&lt;'Дашборд'!$C$49,"A",IF(E363-D363&lt;'Дашборд'!$C$50,"B","C")))</x:f>
        <x:v>A</x:v>
      </x:c>
      <x:c r="G363" s="8" t="n">
        <x:f>'Данные'!F363</x:f>
        <x:v>954</x:v>
      </x:c>
      <x:c r="H363" s="8" t="n">
        <x:f>SUM('Данные'!H363:I363)</x:f>
        <x:v>125</x:v>
      </x:c>
      <x:c r="I363" s="16" t="n">
        <x:f>IF(H363&gt;0,G363/H363,"n.a.")</x:f>
        <x:v>7.632</x:v>
      </x:c>
      <x:c r="J363" s="10" t="n">
        <x:f>IF('Данные'!E363&gt;0,G363/'Данные'!E363,"n.a.")</x:f>
        <x:v>0.018045283447140938</x:v>
      </x:c>
      <x:c r="K363" s="1" t="str">
        <x:f>IF(G363&gt;='Дашборд'!$C$51,"X","Z")</x:f>
        <x:v>X</x:v>
      </x:c>
      <x:c r="L363" s="1" t="str">
        <x:f>IF(H363=0,IF(G363&gt;0,"Нет остатка","Нет спроса"),IF(I363&gt;='Дашборд'!$C$52,"Быстрый","Медленный"))</x:f>
        <x:v>Быстрый</x:v>
      </x:c>
      <x:c r="M363" s="1" t="str">
        <x:f>IF('Данные'!E363&lt;'Дашборд'!$C$53,"Мало трафика",IF(J363&lt;'Дашборд'!$C$9*'Дашборд'!$C$54,"Да","Нет"))</x:f>
        <x:v>Нет</x:v>
      </x:c>
      <x:c r="N363" s="1" t="str">
        <x:f>IF(AND('Данные'!D363&gt;='Дашборд'!$C$55,D363&lt;'Дашборд'!$C$56,'Данные'!E363&gt;='Дашборд'!$C$53,'Данные'!L363&lt;&gt;"Да"),"Да","Нет")</x:f>
        <x:v>Нет</x:v>
      </x:c>
      <x:c r="O363" s="1" t="str">
        <x:f>'Данные'!L363</x:f>
        <x:v>Нет</x:v>
      </x:c>
    </x:row>
    <x:row r="364">
      <x:c r="A364" s="1" t="str">
        <x:f>'Данные'!A364</x:f>
        <x:v>344155810</x:v>
      </x:c>
      <x:c r="B364" s="1" t="str">
        <x:f>'Данные'!B364</x:f>
        <x:v>futbolkaprint/Cupid-304/бордовый</x:v>
      </x:c>
      <x:c r="C364" s="8" t="n">
        <x:f>'Данные'!G364</x:f>
        <x:v>589006</x:v>
      </x:c>
      <x:c r="D364" s="15" t="n">
        <x:f>C364/SUM($C$5:$C$2477)</x:f>
        <x:v>0.0006880907268077723</x:v>
      </x:c>
      <x:c r="E364" s="15" t="n">
        <x:f>SUM($D$5:D364)</x:f>
        <x:v>0.748560867355859</x:v>
      </x:c>
      <x:c r="F364" s="1" t="str">
        <x:f>IF(C364&lt;=0,"C",IF(E364-D364&lt;'Дашборд'!$C$49,"A",IF(E364-D364&lt;'Дашборд'!$C$50,"B","C")))</x:f>
        <x:v>A</x:v>
      </x:c>
      <x:c r="G364" s="8" t="n">
        <x:f>'Данные'!F364</x:f>
        <x:v>1108</x:v>
      </x:c>
      <x:c r="H364" s="8" t="n">
        <x:f>SUM('Данные'!H364:I364)</x:f>
        <x:v>339</x:v>
      </x:c>
      <x:c r="I364" s="16" t="n">
        <x:f>IF(H364&gt;0,G364/H364,"n.a.")</x:f>
        <x:v>3.2684365781710913</x:v>
      </x:c>
      <x:c r="J364" s="10" t="n">
        <x:f>IF('Данные'!E364&gt;0,G364/'Данные'!E364,"n.a.")</x:f>
        <x:v>0.011001121955578503</x:v>
      </x:c>
      <x:c r="K364" s="1" t="str">
        <x:f>IF(G364&gt;='Дашборд'!$C$51,"X","Z")</x:f>
        <x:v>X</x:v>
      </x:c>
      <x:c r="L364" s="1" t="str">
        <x:f>IF(H364=0,IF(G364&gt;0,"Нет остатка","Нет спроса"),IF(I364&gt;='Дашборд'!$C$52,"Быстрый","Медленный"))</x:f>
        <x:v>Быстрый</x:v>
      </x:c>
      <x:c r="M364" s="1" t="str">
        <x:f>IF('Данные'!E364&lt;'Дашборд'!$C$53,"Мало трафика",IF(J364&lt;'Дашборд'!$C$9*'Дашборд'!$C$54,"Да","Нет"))</x:f>
        <x:v>Нет</x:v>
      </x:c>
      <x:c r="N364" s="1" t="str">
        <x:f>IF(AND('Данные'!D364&gt;='Дашборд'!$C$55,D364&lt;'Дашборд'!$C$56,'Данные'!E364&gt;='Дашборд'!$C$53,'Данные'!L364&lt;&gt;"Да"),"Да","Нет")</x:f>
        <x:v>Нет</x:v>
      </x:c>
      <x:c r="O364" s="1" t="str">
        <x:f>'Данные'!L364</x:f>
        <x:v>Нет</x:v>
      </x:c>
    </x:row>
    <x:row r="365">
      <x:c r="A365" s="1" t="str">
        <x:f>'Данные'!A365</x:f>
        <x:v>237893882</x:v>
      </x:c>
      <x:c r="B365" s="1" t="str">
        <x:f>'Данные'!B365</x:f>
        <x:v>svitzipcroppetl/серыймеланж2</x:v>
      </x:c>
      <x:c r="C365" s="8" t="n">
        <x:f>'Данные'!G365</x:f>
        <x:v>588404</x:v>
      </x:c>
      <x:c r="D365" s="15" t="n">
        <x:f>C365/SUM($C$5:$C$2477)</x:f>
        <x:v>0.0006873874561831297</x:v>
      </x:c>
      <x:c r="E365" s="15" t="n">
        <x:f>SUM($D$5:D365)</x:f>
        <x:v>0.7492482548120422</x:v>
      </x:c>
      <x:c r="F365" s="1" t="str">
        <x:f>IF(C365&lt;=0,"C",IF(E365-D365&lt;'Дашборд'!$C$49,"A",IF(E365-D365&lt;'Дашборд'!$C$50,"B","C")))</x:f>
        <x:v>A</x:v>
      </x:c>
      <x:c r="G365" s="8" t="n">
        <x:f>'Данные'!F365</x:f>
        <x:v>611</x:v>
      </x:c>
      <x:c r="H365" s="8" t="n">
        <x:f>SUM('Данные'!H365:I365)</x:f>
        <x:v>272</x:v>
      </x:c>
      <x:c r="I365" s="16" t="n">
        <x:f>IF(H365&gt;0,G365/H365,"n.a.")</x:f>
        <x:v>2.2463235294117645</x:v>
      </x:c>
      <x:c r="J365" s="10" t="n">
        <x:f>IF('Данные'!E365&gt;0,G365/'Данные'!E365,"n.a.")</x:f>
        <x:v>0.01193849039645167</x:v>
      </x:c>
      <x:c r="K365" s="1" t="str">
        <x:f>IF(G365&gt;='Дашборд'!$C$51,"X","Z")</x:f>
        <x:v>X</x:v>
      </x:c>
      <x:c r="L365" s="1" t="str">
        <x:f>IF(H365=0,IF(G365&gt;0,"Нет остатка","Нет спроса"),IF(I365&gt;='Дашборд'!$C$52,"Быстрый","Медленный"))</x:f>
        <x:v>Быстрый</x:v>
      </x:c>
      <x:c r="M365" s="1" t="str">
        <x:f>IF('Данные'!E365&lt;'Дашборд'!$C$53,"Мало трафика",IF(J365&lt;'Дашборд'!$C$9*'Дашборд'!$C$54,"Да","Нет"))</x:f>
        <x:v>Нет</x:v>
      </x:c>
      <x:c r="N365" s="1" t="str">
        <x:f>IF(AND('Данные'!D365&gt;='Дашборд'!$C$55,D365&lt;'Дашборд'!$C$56,'Данные'!E365&gt;='Дашборд'!$C$53,'Данные'!L365&lt;&gt;"Да"),"Да","Нет")</x:f>
        <x:v>Нет</x:v>
      </x:c>
      <x:c r="O365" s="1" t="str">
        <x:f>'Данные'!L365</x:f>
        <x:v>Нет</x:v>
      </x:c>
    </x:row>
    <x:row r="366">
      <x:c r="A366" s="1" t="str">
        <x:f>'Данные'!A366</x:f>
        <x:v>35672351</x:v>
      </x:c>
      <x:c r="B366" s="1" t="str">
        <x:f>'Данные'!B366</x:f>
        <x:v>hudiman/бордовый</x:v>
      </x:c>
      <x:c r="C366" s="8" t="n">
        <x:f>'Данные'!G366</x:f>
        <x:v>587103</x:v>
      </x:c>
      <x:c r="D366" s="15" t="n">
        <x:f>C366/SUM($C$5:$C$2477)</x:f>
        <x:v>0.0006858675972418338</x:v>
      </x:c>
      <x:c r="E366" s="15" t="n">
        <x:f>SUM($D$5:D366)</x:f>
        <x:v>0.749934122409284</x:v>
      </x:c>
      <x:c r="F366" s="1" t="str">
        <x:f>IF(C366&lt;=0,"C",IF(E366-D366&lt;'Дашборд'!$C$49,"A",IF(E366-D366&lt;'Дашборд'!$C$50,"B","C")))</x:f>
        <x:v>A</x:v>
      </x:c>
      <x:c r="G366" s="8" t="n">
        <x:f>'Данные'!F366</x:f>
        <x:v>455</x:v>
      </x:c>
      <x:c r="H366" s="8" t="n">
        <x:f>SUM('Данные'!H366:I366)</x:f>
        <x:v>102</x:v>
      </x:c>
      <x:c r="I366" s="16" t="n">
        <x:f>IF(H366&gt;0,G366/H366,"n.a.")</x:f>
        <x:v>4.46078431372549</x:v>
      </x:c>
      <x:c r="J366" s="10" t="n">
        <x:f>IF('Данные'!E366&gt;0,G366/'Данные'!E366,"n.a.")</x:f>
        <x:v>0.024279615795090716</x:v>
      </x:c>
      <x:c r="K366" s="1" t="str">
        <x:f>IF(G366&gt;='Дашборд'!$C$51,"X","Z")</x:f>
        <x:v>X</x:v>
      </x:c>
      <x:c r="L366" s="1" t="str">
        <x:f>IF(H366=0,IF(G366&gt;0,"Нет остатка","Нет спроса"),IF(I366&gt;='Дашборд'!$C$52,"Быстрый","Медленный"))</x:f>
        <x:v>Быстрый</x:v>
      </x:c>
      <x:c r="M366" s="1" t="str">
        <x:f>IF('Данные'!E366&lt;'Дашборд'!$C$53,"Мало трафика",IF(J366&lt;'Дашборд'!$C$9*'Дашборд'!$C$54,"Да","Нет"))</x:f>
        <x:v>Нет</x:v>
      </x:c>
      <x:c r="N366" s="1" t="str">
        <x:f>IF(AND('Данные'!D366&gt;='Дашборд'!$C$55,D366&lt;'Дашборд'!$C$56,'Данные'!E366&gt;='Дашборд'!$C$53,'Данные'!L366&lt;&gt;"Да"),"Да","Нет")</x:f>
        <x:v>Да</x:v>
      </x:c>
      <x:c r="O366" s="1" t="str">
        <x:f>'Данные'!L366</x:f>
        <x:v>Нет</x:v>
      </x:c>
    </x:row>
    <x:row r="367">
      <x:c r="A367" s="1" t="str">
        <x:f>'Данные'!A367</x:f>
        <x:v>219037498</x:v>
      </x:c>
      <x:c r="B367" s="1" t="str">
        <x:f>'Данные'!B367</x:f>
        <x:v>hudivish/PARADISO-106/голубой</x:v>
      </x:c>
      <x:c r="C367" s="8" t="n">
        <x:f>'Данные'!G367</x:f>
        <x:v>586155</x:v>
      </x:c>
      <x:c r="D367" s="15" t="n">
        <x:f>C367/SUM($C$5:$C$2477)</x:f>
        <x:v>0.000684760121241566</x:v>
      </x:c>
      <x:c r="E367" s="15" t="n">
        <x:f>SUM($D$5:D367)</x:f>
        <x:v>0.7506188825305256</x:v>
      </x:c>
      <x:c r="F367" s="1" t="str">
        <x:f>IF(C367&lt;=0,"C",IF(E367-D367&lt;'Дашборд'!$C$49,"A",IF(E367-D367&lt;'Дашборд'!$C$50,"B","C")))</x:f>
        <x:v>A</x:v>
      </x:c>
      <x:c r="G367" s="8" t="n">
        <x:f>'Данные'!F367</x:f>
        <x:v>458</x:v>
      </x:c>
      <x:c r="H367" s="8" t="n">
        <x:f>SUM('Данные'!H367:I367)</x:f>
        <x:v>0</x:v>
      </x:c>
      <x:c r="I367" s="16" t="str">
        <x:f>IF(H367&gt;0,G367/H367,"n.a.")</x:f>
        <x:v>n.a.</x:v>
      </x:c>
      <x:c r="J367" s="10" t="n">
        <x:f>IF('Данные'!E367&gt;0,G367/'Данные'!E367,"n.a.")</x:f>
        <x:v>0.014393915585027813</x:v>
      </x:c>
      <x:c r="K367" s="1" t="str">
        <x:f>IF(G367&gt;='Дашборд'!$C$51,"X","Z")</x:f>
        <x:v>X</x:v>
      </x:c>
      <x:c r="L367" s="1" t="str">
        <x:f>IF(H367=0,IF(G367&gt;0,"Нет остатка","Нет спроса"),IF(I367&gt;='Дашборд'!$C$52,"Быстрый","Медленный"))</x:f>
        <x:v>Нет остатка</x:v>
      </x:c>
      <x:c r="M367" s="1" t="str">
        <x:f>IF('Данные'!E367&lt;'Дашборд'!$C$53,"Мало трафика",IF(J367&lt;'Дашборд'!$C$9*'Дашборд'!$C$54,"Да","Нет"))</x:f>
        <x:v>Нет</x:v>
      </x:c>
      <x:c r="N367" s="1" t="str">
        <x:f>IF(AND('Данные'!D367&gt;='Дашборд'!$C$55,D367&lt;'Дашборд'!$C$56,'Данные'!E367&gt;='Дашборд'!$C$53,'Данные'!L367&lt;&gt;"Да"),"Да","Нет")</x:f>
        <x:v>Да</x:v>
      </x:c>
      <x:c r="O367" s="1" t="str">
        <x:f>'Данные'!L367</x:f>
        <x:v>Нет</x:v>
      </x:c>
    </x:row>
    <x:row r="368">
      <x:c r="A368" s="1" t="str">
        <x:f>'Данные'!A368</x:f>
        <x:v>41620875</x:v>
      </x:c>
      <x:c r="B368" s="1" t="str">
        <x:f>'Данные'!B368</x:f>
        <x:v>brukiman/черный</x:v>
      </x:c>
      <x:c r="C368" s="8" t="n">
        <x:f>'Данные'!G368</x:f>
        <x:v>583222</x:v>
      </x:c>
      <x:c r="D368" s="15" t="n">
        <x:f>C368/SUM($C$5:$C$2477)</x:f>
        <x:v>0.0006813337213377837</x:v>
      </x:c>
      <x:c r="E368" s="15" t="n">
        <x:f>SUM($D$5:D368)</x:f>
        <x:v>0.7513002162518634</x:v>
      </x:c>
      <x:c r="F368" s="1" t="str">
        <x:f>IF(C368&lt;=0,"C",IF(E368-D368&lt;'Дашборд'!$C$49,"A",IF(E368-D368&lt;'Дашборд'!$C$50,"B","C")))</x:f>
        <x:v>A</x:v>
      </x:c>
      <x:c r="G368" s="8" t="n">
        <x:f>'Данные'!F368</x:f>
        <x:v>736</x:v>
      </x:c>
      <x:c r="H368" s="8" t="n">
        <x:f>SUM('Данные'!H368:I368)</x:f>
        <x:v>957</x:v>
      </x:c>
      <x:c r="I368" s="16" t="n">
        <x:f>IF(H368&gt;0,G368/H368,"n.a.")</x:f>
        <x:v>0.7690700104493208</x:v>
      </x:c>
      <x:c r="J368" s="10" t="n">
        <x:f>IF('Данные'!E368&gt;0,G368/'Данные'!E368,"n.a.")</x:f>
        <x:v>0.03316062176165803</x:v>
      </x:c>
      <x:c r="K368" s="1" t="str">
        <x:f>IF(G368&gt;='Дашборд'!$C$51,"X","Z")</x:f>
        <x:v>X</x:v>
      </x:c>
      <x:c r="L368" s="1" t="str">
        <x:f>IF(H368=0,IF(G368&gt;0,"Нет остатка","Нет спроса"),IF(I368&gt;='Дашборд'!$C$52,"Быстрый","Медленный"))</x:f>
        <x:v>Медленный</x:v>
      </x:c>
      <x:c r="M368" s="1" t="str">
        <x:f>IF('Данные'!E368&lt;'Дашборд'!$C$53,"Мало трафика",IF(J368&lt;'Дашборд'!$C$9*'Дашборд'!$C$54,"Да","Нет"))</x:f>
        <x:v>Нет</x:v>
      </x:c>
      <x:c r="N368" s="1" t="str">
        <x:f>IF(AND('Данные'!D368&gt;='Дашборд'!$C$55,D368&lt;'Дашборд'!$C$56,'Данные'!E368&gt;='Дашборд'!$C$53,'Данные'!L368&lt;&gt;"Да"),"Да","Нет")</x:f>
        <x:v>Нет</x:v>
      </x:c>
      <x:c r="O368" s="1" t="str">
        <x:f>'Данные'!L368</x:f>
        <x:v>Нет</x:v>
      </x:c>
    </x:row>
    <x:row r="369">
      <x:c r="A369" s="1" t="str">
        <x:f>'Данные'!A369</x:f>
        <x:v>314822400</x:v>
      </x:c>
      <x:c r="B369" s="1" t="str">
        <x:f>'Данные'!B369</x:f>
        <x:v>2Nlongunt3D-76print/Race-253/темно-серый</x:v>
      </x:c>
      <x:c r="C369" s="8" t="n">
        <x:f>'Данные'!G369</x:f>
        <x:v>579403</x:v>
      </x:c>
      <x:c r="D369" s="15" t="n">
        <x:f>C369/SUM($C$5:$C$2477)</x:f>
        <x:v>0.0006768722752987299</x:v>
      </x:c>
      <x:c r="E369" s="15" t="n">
        <x:f>SUM($D$5:D369)</x:f>
        <x:v>0.7519770885271622</x:v>
      </x:c>
      <x:c r="F369" s="1" t="str">
        <x:f>IF(C369&lt;=0,"C",IF(E369-D369&lt;'Дашборд'!$C$49,"A",IF(E369-D369&lt;'Дашборд'!$C$50,"B","C")))</x:f>
        <x:v>A</x:v>
      </x:c>
      <x:c r="G369" s="8" t="n">
        <x:f>'Данные'!F369</x:f>
        <x:v>1066</x:v>
      </x:c>
      <x:c r="H369" s="8" t="n">
        <x:f>SUM('Данные'!H369:I369)</x:f>
        <x:v>273</x:v>
      </x:c>
      <x:c r="I369" s="16" t="n">
        <x:f>IF(H369&gt;0,G369/H369,"n.a.")</x:f>
        <x:v>3.9047619047619047</x:v>
      </x:c>
      <x:c r="J369" s="10" t="n">
        <x:f>IF('Данные'!E369&gt;0,G369/'Данные'!E369,"n.a.")</x:f>
        <x:v>0.01378329454357383</x:v>
      </x:c>
      <x:c r="K369" s="1" t="str">
        <x:f>IF(G369&gt;='Дашборд'!$C$51,"X","Z")</x:f>
        <x:v>X</x:v>
      </x:c>
      <x:c r="L369" s="1" t="str">
        <x:f>IF(H369=0,IF(G369&gt;0,"Нет остатка","Нет спроса"),IF(I369&gt;='Дашборд'!$C$52,"Быстрый","Медленный"))</x:f>
        <x:v>Быстрый</x:v>
      </x:c>
      <x:c r="M369" s="1" t="str">
        <x:f>IF('Данные'!E369&lt;'Дашборд'!$C$53,"Мало трафика",IF(J369&lt;'Дашборд'!$C$9*'Дашборд'!$C$54,"Да","Нет"))</x:f>
        <x:v>Нет</x:v>
      </x:c>
      <x:c r="N369" s="1" t="str">
        <x:f>IF(AND('Данные'!D369&gt;='Дашборд'!$C$55,D369&lt;'Дашборд'!$C$56,'Данные'!E369&gt;='Дашборд'!$C$53,'Данные'!L369&lt;&gt;"Да"),"Да","Нет")</x:f>
        <x:v>Нет</x:v>
      </x:c>
      <x:c r="O369" s="1" t="str">
        <x:f>'Данные'!L369</x:f>
        <x:v>Нет</x:v>
      </x:c>
    </x:row>
    <x:row r="370">
      <x:c r="A370" s="1" t="str">
        <x:f>'Данные'!A370</x:f>
        <x:v>294025147</x:v>
      </x:c>
      <x:c r="B370" s="1" t="str">
        <x:f>'Данные'!B370</x:f>
        <x:v>svitfix3F-77/бордовый</x:v>
      </x:c>
      <x:c r="C370" s="8" t="n">
        <x:f>'Данные'!G370</x:f>
        <x:v>577322</x:v>
      </x:c>
      <x:c r="D370" s="15" t="n">
        <x:f>C370/SUM($C$5:$C$2477)</x:f>
        <x:v>0.000674441201926834</x:v>
      </x:c>
      <x:c r="E370" s="15" t="n">
        <x:f>SUM($D$5:D370)</x:f>
        <x:v>0.752651529729089</x:v>
      </x:c>
      <x:c r="F370" s="1" t="str">
        <x:f>IF(C370&lt;=0,"C",IF(E370-D370&lt;'Дашборд'!$C$49,"A",IF(E370-D370&lt;'Дашборд'!$C$50,"B","C")))</x:f>
        <x:v>A</x:v>
      </x:c>
      <x:c r="G370" s="8" t="n">
        <x:f>'Данные'!F370</x:f>
        <x:v>553</x:v>
      </x:c>
      <x:c r="H370" s="8" t="n">
        <x:f>SUM('Данные'!H370:I370)</x:f>
        <x:v>131</x:v>
      </x:c>
      <x:c r="I370" s="16" t="n">
        <x:f>IF(H370&gt;0,G370/H370,"n.a.")</x:f>
        <x:v>4.221374045801527</x:v>
      </x:c>
      <x:c r="J370" s="10" t="n">
        <x:f>IF('Данные'!E370&gt;0,G370/'Данные'!E370,"n.a.")</x:f>
        <x:v>0.018959133296763575</x:v>
      </x:c>
      <x:c r="K370" s="1" t="str">
        <x:f>IF(G370&gt;='Дашборд'!$C$51,"X","Z")</x:f>
        <x:v>X</x:v>
      </x:c>
      <x:c r="L370" s="1" t="str">
        <x:f>IF(H370=0,IF(G370&gt;0,"Нет остатка","Нет спроса"),IF(I370&gt;='Дашборд'!$C$52,"Быстрый","Медленный"))</x:f>
        <x:v>Быстрый</x:v>
      </x:c>
      <x:c r="M370" s="1" t="str">
        <x:f>IF('Данные'!E370&lt;'Дашборд'!$C$53,"Мало трафика",IF(J370&lt;'Дашборд'!$C$9*'Дашборд'!$C$54,"Да","Нет"))</x:f>
        <x:v>Нет</x:v>
      </x:c>
      <x:c r="N370" s="1" t="str">
        <x:f>IF(AND('Данные'!D370&gt;='Дашборд'!$C$55,D370&lt;'Дашборд'!$C$56,'Данные'!E370&gt;='Дашборд'!$C$53,'Данные'!L370&lt;&gt;"Да"),"Да","Нет")</x:f>
        <x:v>Нет</x:v>
      </x:c>
      <x:c r="O370" s="1" t="str">
        <x:f>'Данные'!L370</x:f>
        <x:v>Нет</x:v>
      </x:c>
    </x:row>
    <x:row r="371">
      <x:c r="A371" s="1" t="str">
        <x:f>'Данные'!A371</x:f>
        <x:v>203815730</x:v>
      </x:c>
      <x:c r="B371" s="1" t="str">
        <x:f>'Данные'!B371</x:f>
        <x:v>futbolkaprint/Los-49/черный</x:v>
      </x:c>
      <x:c r="C371" s="8" t="n">
        <x:f>'Данные'!G371</x:f>
        <x:v>576007</x:v>
      </x:c>
      <x:c r="D371" s="15" t="n">
        <x:f>C371/SUM($C$5:$C$2477)</x:f>
        <x:v>0.0006729049878547325</x:v>
      </x:c>
      <x:c r="E371" s="15" t="n">
        <x:f>SUM($D$5:D371)</x:f>
        <x:v>0.7533244347169438</x:v>
      </x:c>
      <x:c r="F371" s="1" t="str">
        <x:f>IF(C371&lt;=0,"C",IF(E371-D371&lt;'Дашборд'!$C$49,"A",IF(E371-D371&lt;'Дашборд'!$C$50,"B","C")))</x:f>
        <x:v>A</x:v>
      </x:c>
      <x:c r="G371" s="8" t="n">
        <x:f>'Данные'!F371</x:f>
        <x:v>901</x:v>
      </x:c>
      <x:c r="H371" s="8" t="n">
        <x:f>SUM('Данные'!H371:I371)</x:f>
        <x:v>214</x:v>
      </x:c>
      <x:c r="I371" s="16" t="n">
        <x:f>IF(H371&gt;0,G371/H371,"n.a.")</x:f>
        <x:v>4.210280373831775</x:v>
      </x:c>
      <x:c r="J371" s="10" t="n">
        <x:f>IF('Данные'!E371&gt;0,G371/'Данные'!E371,"n.a.")</x:f>
        <x:v>0.00929479244037303</x:v>
      </x:c>
      <x:c r="K371" s="1" t="str">
        <x:f>IF(G371&gt;='Дашборд'!$C$51,"X","Z")</x:f>
        <x:v>X</x:v>
      </x:c>
      <x:c r="L371" s="1" t="str">
        <x:f>IF(H371=0,IF(G371&gt;0,"Нет остатка","Нет спроса"),IF(I371&gt;='Дашборд'!$C$52,"Быстрый","Медленный"))</x:f>
        <x:v>Быстрый</x:v>
      </x:c>
      <x:c r="M371" s="1" t="str">
        <x:f>IF('Данные'!E371&lt;'Дашборд'!$C$53,"Мало трафика",IF(J371&lt;'Дашборд'!$C$9*'Дашборд'!$C$54,"Да","Нет"))</x:f>
        <x:v>Да</x:v>
      </x:c>
      <x:c r="N371" s="1" t="str">
        <x:f>IF(AND('Данные'!D371&gt;='Дашборд'!$C$55,D371&lt;'Дашборд'!$C$56,'Данные'!E371&gt;='Дашборд'!$C$53,'Данные'!L371&lt;&gt;"Да"),"Да","Нет")</x:f>
        <x:v>Да</x:v>
      </x:c>
      <x:c r="O371" s="1" t="str">
        <x:f>'Данные'!L371</x:f>
        <x:v>Нет</x:v>
      </x:c>
    </x:row>
    <x:row r="372">
      <x:c r="A372" s="1" t="str">
        <x:f>'Данные'!A372</x:f>
        <x:v>211336680</x:v>
      </x:c>
      <x:c r="B372" s="1" t="str">
        <x:f>'Данные'!B372</x:f>
        <x:v>tolstovkazipcrop/песочный</x:v>
      </x:c>
      <x:c r="C372" s="8" t="n">
        <x:f>'Данные'!G372</x:f>
        <x:v>575871</x:v>
      </x:c>
      <x:c r="D372" s="15" t="n">
        <x:f>C372/SUM($C$5:$C$2477)</x:f>
        <x:v>0.0006727461094411919</x:v>
      </x:c>
      <x:c r="E372" s="15" t="n">
        <x:f>SUM($D$5:D372)</x:f>
        <x:v>0.753997180826385</x:v>
      </x:c>
      <x:c r="F372" s="1" t="str">
        <x:f>IF(C372&lt;=0,"C",IF(E372-D372&lt;'Дашборд'!$C$49,"A",IF(E372-D372&lt;'Дашборд'!$C$50,"B","C")))</x:f>
        <x:v>A</x:v>
      </x:c>
      <x:c r="G372" s="8" t="n">
        <x:f>'Данные'!F372</x:f>
        <x:v>721</x:v>
      </x:c>
      <x:c r="H372" s="8" t="n">
        <x:f>SUM('Данные'!H372:I372)</x:f>
        <x:v>286</x:v>
      </x:c>
      <x:c r="I372" s="16" t="n">
        <x:f>IF(H372&gt;0,G372/H372,"n.a.")</x:f>
        <x:v>2.520979020979021</x:v>
      </x:c>
      <x:c r="J372" s="10" t="n">
        <x:f>IF('Данные'!E372&gt;0,G372/'Данные'!E372,"n.a.")</x:f>
        <x:v>0.01648376771833562</x:v>
      </x:c>
      <x:c r="K372" s="1" t="str">
        <x:f>IF(G372&gt;='Дашборд'!$C$51,"X","Z")</x:f>
        <x:v>X</x:v>
      </x:c>
      <x:c r="L372" s="1" t="str">
        <x:f>IF(H372=0,IF(G372&gt;0,"Нет остатка","Нет спроса"),IF(I372&gt;='Дашборд'!$C$52,"Быстрый","Медленный"))</x:f>
        <x:v>Быстрый</x:v>
      </x:c>
      <x:c r="M372" s="1" t="str">
        <x:f>IF('Данные'!E372&lt;'Дашборд'!$C$53,"Мало трафика",IF(J372&lt;'Дашборд'!$C$9*'Дашборд'!$C$54,"Да","Нет"))</x:f>
        <x:v>Нет</x:v>
      </x:c>
      <x:c r="N372" s="1" t="str">
        <x:f>IF(AND('Данные'!D372&gt;='Дашборд'!$C$55,D372&lt;'Дашборд'!$C$56,'Данные'!E372&gt;='Дашборд'!$C$53,'Данные'!L372&lt;&gt;"Да"),"Да","Нет")</x:f>
        <x:v>Да</x:v>
      </x:c>
      <x:c r="O372" s="1" t="str">
        <x:f>'Данные'!L372</x:f>
        <x:v>Нет</x:v>
      </x:c>
    </x:row>
    <x:row r="373">
      <x:c r="A373" s="1" t="str">
        <x:f>'Данные'!A373</x:f>
        <x:v>313465264</x:v>
      </x:c>
      <x:c r="B373" s="1" t="str">
        <x:f>'Данные'!B373</x:f>
        <x:v>longcrop3К-84/белый</x:v>
      </x:c>
      <x:c r="C373" s="8" t="n">
        <x:f>'Данные'!G373</x:f>
        <x:v>574932</x:v>
      </x:c>
      <x:c r="D373" s="15" t="n">
        <x:f>C373/SUM($C$5:$C$2477)</x:f>
        <x:v>0.0006716491474535848</x:v>
      </x:c>
      <x:c r="E373" s="15" t="n">
        <x:f>SUM($D$5:D373)</x:f>
        <x:v>0.7546688299738386</x:v>
      </x:c>
      <x:c r="F373" s="1" t="str">
        <x:f>IF(C373&lt;=0,"C",IF(E373-D373&lt;'Дашборд'!$C$49,"A",IF(E373-D373&lt;'Дашборд'!$C$50,"B","C")))</x:f>
        <x:v>A</x:v>
      </x:c>
      <x:c r="G373" s="8" t="n">
        <x:f>'Данные'!F373</x:f>
        <x:v>1704</x:v>
      </x:c>
      <x:c r="H373" s="8" t="n">
        <x:f>SUM('Данные'!H373:I373)</x:f>
        <x:v>4184</x:v>
      </x:c>
      <x:c r="I373" s="16" t="n">
        <x:f>IF(H373&gt;0,G373/H373,"n.a.")</x:f>
        <x:v>0.4072657743785851</x:v>
      </x:c>
      <x:c r="J373" s="10" t="n">
        <x:f>IF('Данные'!E373&gt;0,G373/'Данные'!E373,"n.a.")</x:f>
        <x:v>0.03605662413508538</x:v>
      </x:c>
      <x:c r="K373" s="1" t="str">
        <x:f>IF(G373&gt;='Дашборд'!$C$51,"X","Z")</x:f>
        <x:v>X</x:v>
      </x:c>
      <x:c r="L373" s="1" t="str">
        <x:f>IF(H373=0,IF(G373&gt;0,"Нет остатка","Нет спроса"),IF(I373&gt;='Дашборд'!$C$52,"Быстрый","Медленный"))</x:f>
        <x:v>Медленный</x:v>
      </x:c>
      <x:c r="M373" s="1" t="str">
        <x:f>IF('Данные'!E373&lt;'Дашборд'!$C$53,"Мало трафика",IF(J373&lt;'Дашборд'!$C$9*'Дашборд'!$C$54,"Да","Нет"))</x:f>
        <x:v>Нет</x:v>
      </x:c>
      <x:c r="N373" s="1" t="str">
        <x:f>IF(AND('Данные'!D373&gt;='Дашборд'!$C$55,D373&lt;'Дашборд'!$C$56,'Данные'!E373&gt;='Дашборд'!$C$53,'Данные'!L373&lt;&gt;"Да"),"Да","Нет")</x:f>
        <x:v>Нет</x:v>
      </x:c>
      <x:c r="O373" s="1" t="str">
        <x:f>'Данные'!L373</x:f>
        <x:v>Нет</x:v>
      </x:c>
    </x:row>
    <x:row r="374">
      <x:c r="A374" s="1" t="str">
        <x:f>'Данные'!A374</x:f>
        <x:v>216783588</x:v>
      </x:c>
      <x:c r="B374" s="1" t="str">
        <x:f>'Данные'!B374</x:f>
        <x:v>hudiprint/Roz2MoreSelf-113/розовый</x:v>
      </x:c>
      <x:c r="C374" s="8" t="n">
        <x:f>'Данные'!G374</x:f>
        <x:v>573808</x:v>
      </x:c>
      <x:c r="D374" s="15" t="n">
        <x:f>C374/SUM($C$5:$C$2477)</x:f>
        <x:v>0.0006703360640946174</x:v>
      </x:c>
      <x:c r="E374" s="15" t="n">
        <x:f>SUM($D$5:D374)</x:f>
        <x:v>0.7553391660379332</x:v>
      </x:c>
      <x:c r="F374" s="1" t="str">
        <x:f>IF(C374&lt;=0,"C",IF(E374-D374&lt;'Дашборд'!$C$49,"A",IF(E374-D374&lt;'Дашборд'!$C$50,"B","C")))</x:f>
        <x:v>A</x:v>
      </x:c>
      <x:c r="G374" s="8" t="n">
        <x:f>'Данные'!F374</x:f>
        <x:v>495</x:v>
      </x:c>
      <x:c r="H374" s="8" t="n">
        <x:f>SUM('Данные'!H374:I374)</x:f>
        <x:v>88</x:v>
      </x:c>
      <x:c r="I374" s="16" t="n">
        <x:f>IF(H374&gt;0,G374/H374,"n.a.")</x:f>
        <x:v>5.625</x:v>
      </x:c>
      <x:c r="J374" s="10" t="n">
        <x:f>IF('Данные'!E374&gt;0,G374/'Данные'!E374,"n.a.")</x:f>
        <x:v>0.017931534142365514</x:v>
      </x:c>
      <x:c r="K374" s="1" t="str">
        <x:f>IF(G374&gt;='Дашборд'!$C$51,"X","Z")</x:f>
        <x:v>X</x:v>
      </x:c>
      <x:c r="L374" s="1" t="str">
        <x:f>IF(H374=0,IF(G374&gt;0,"Нет остатка","Нет спроса"),IF(I374&gt;='Дашборд'!$C$52,"Быстрый","Медленный"))</x:f>
        <x:v>Быстрый</x:v>
      </x:c>
      <x:c r="M374" s="1" t="str">
        <x:f>IF('Данные'!E374&lt;'Дашборд'!$C$53,"Мало трафика",IF(J374&lt;'Дашборд'!$C$9*'Дашборд'!$C$54,"Да","Нет"))</x:f>
        <x:v>Нет</x:v>
      </x:c>
      <x:c r="N374" s="1" t="str">
        <x:f>IF(AND('Данные'!D374&gt;='Дашборд'!$C$55,D374&lt;'Дашборд'!$C$56,'Данные'!E374&gt;='Дашборд'!$C$53,'Данные'!L374&lt;&gt;"Да"),"Да","Нет")</x:f>
        <x:v>Нет</x:v>
      </x:c>
      <x:c r="O374" s="1" t="str">
        <x:f>'Данные'!L374</x:f>
        <x:v>Нет</x:v>
      </x:c>
    </x:row>
    <x:row r="375">
      <x:c r="A375" s="1" t="str">
        <x:f>'Данные'!A375</x:f>
        <x:v>237300996</x:v>
      </x:c>
      <x:c r="B375" s="1" t="str">
        <x:f>'Данные'!B375</x:f>
        <x:v>longoverprint/RozMoreSelf-90/молочный</x:v>
      </x:c>
      <x:c r="C375" s="8" t="n">
        <x:f>'Данные'!G375</x:f>
        <x:v>573127</x:v>
      </x:c>
      <x:c r="D375" s="15" t="n">
        <x:f>C375/SUM($C$5:$C$2477)</x:f>
        <x:v>0.0006695405038032858</x:v>
      </x:c>
      <x:c r="E375" s="15" t="n">
        <x:f>SUM($D$5:D375)</x:f>
        <x:v>0.7560087065417365</x:v>
      </x:c>
      <x:c r="F375" s="1" t="str">
        <x:f>IF(C375&lt;=0,"C",IF(E375-D375&lt;'Дашборд'!$C$49,"A",IF(E375-D375&lt;'Дашборд'!$C$50,"B","C")))</x:f>
        <x:v>A</x:v>
      </x:c>
      <x:c r="G375" s="8" t="n">
        <x:f>'Данные'!F375</x:f>
        <x:v>985</x:v>
      </x:c>
      <x:c r="H375" s="8" t="n">
        <x:f>SUM('Данные'!H375:I375)</x:f>
        <x:v>14</x:v>
      </x:c>
      <x:c r="I375" s="16" t="n">
        <x:f>IF(H375&gt;0,G375/H375,"n.a.")</x:f>
        <x:v>70.35714285714286</x:v>
      </x:c>
      <x:c r="J375" s="10" t="n">
        <x:f>IF('Данные'!E375&gt;0,G375/'Данные'!E375,"n.a.")</x:f>
        <x:v>0.013683026101935072</x:v>
      </x:c>
      <x:c r="K375" s="1" t="str">
        <x:f>IF(G375&gt;='Дашборд'!$C$51,"X","Z")</x:f>
        <x:v>X</x:v>
      </x:c>
      <x:c r="L375" s="1" t="str">
        <x:f>IF(H375=0,IF(G375&gt;0,"Нет остатка","Нет спроса"),IF(I375&gt;='Дашборд'!$C$52,"Быстрый","Медленный"))</x:f>
        <x:v>Быстрый</x:v>
      </x:c>
      <x:c r="M375" s="1" t="str">
        <x:f>IF('Данные'!E375&lt;'Дашборд'!$C$53,"Мало трафика",IF(J375&lt;'Дашборд'!$C$9*'Дашборд'!$C$54,"Да","Нет"))</x:f>
        <x:v>Нет</x:v>
      </x:c>
      <x:c r="N375" s="1" t="str">
        <x:f>IF(AND('Данные'!D375&gt;='Дашборд'!$C$55,D375&lt;'Дашборд'!$C$56,'Данные'!E375&gt;='Дашборд'!$C$53,'Данные'!L375&lt;&gt;"Да"),"Да","Нет")</x:f>
        <x:v>Нет</x:v>
      </x:c>
      <x:c r="O375" s="1" t="str">
        <x:f>'Данные'!L375</x:f>
        <x:v>Нет</x:v>
      </x:c>
    </x:row>
    <x:row r="376">
      <x:c r="A376" s="1" t="str">
        <x:f>'Данные'!A376</x:f>
        <x:v>243666007</x:v>
      </x:c>
      <x:c r="B376" s="1" t="str">
        <x:f>'Данные'!B376</x:f>
        <x:v>boxerX3/чер-тсин-ссер</x:v>
      </x:c>
      <x:c r="C376" s="8" t="n">
        <x:f>'Данные'!G376</x:f>
        <x:v>570255</x:v>
      </x:c>
      <x:c r="D376" s="15" t="n">
        <x:f>C376/SUM($C$5:$C$2477)</x:f>
        <x:v>0.0006661853655408709</x:v>
      </x:c>
      <x:c r="E376" s="15" t="n">
        <x:f>SUM($D$5:D376)</x:f>
        <x:v>0.7566748919072773</x:v>
      </x:c>
      <x:c r="F376" s="1" t="str">
        <x:f>IF(C376&lt;=0,"C",IF(E376-D376&lt;'Дашборд'!$C$49,"A",IF(E376-D376&lt;'Дашборд'!$C$50,"B","C")))</x:f>
        <x:v>A</x:v>
      </x:c>
      <x:c r="G376" s="8" t="n">
        <x:f>'Данные'!F376</x:f>
        <x:v>698</x:v>
      </x:c>
      <x:c r="H376" s="8" t="n">
        <x:f>SUM('Данные'!H376:I376)</x:f>
        <x:v>1700</x:v>
      </x:c>
      <x:c r="I376" s="16" t="n">
        <x:f>IF(H376&gt;0,G376/H376,"n.a.")</x:f>
        <x:v>0.41058823529411764</x:v>
      </x:c>
      <x:c r="J376" s="10" t="n">
        <x:f>IF('Данные'!E376&gt;0,G376/'Данные'!E376,"n.a.")</x:f>
        <x:v>0.022442286669667546</x:v>
      </x:c>
      <x:c r="K376" s="1" t="str">
        <x:f>IF(G376&gt;='Дашборд'!$C$51,"X","Z")</x:f>
        <x:v>X</x:v>
      </x:c>
      <x:c r="L376" s="1" t="str">
        <x:f>IF(H376=0,IF(G376&gt;0,"Нет остатка","Нет спроса"),IF(I376&gt;='Дашборд'!$C$52,"Быстрый","Медленный"))</x:f>
        <x:v>Медленный</x:v>
      </x:c>
      <x:c r="M376" s="1" t="str">
        <x:f>IF('Данные'!E376&lt;'Дашборд'!$C$53,"Мало трафика",IF(J376&lt;'Дашборд'!$C$9*'Дашборд'!$C$54,"Да","Нет"))</x:f>
        <x:v>Нет</x:v>
      </x:c>
      <x:c r="N376" s="1" t="str">
        <x:f>IF(AND('Данные'!D376&gt;='Дашборд'!$C$55,D376&lt;'Дашборд'!$C$56,'Данные'!E376&gt;='Дашборд'!$C$53,'Данные'!L376&lt;&gt;"Да"),"Да","Нет")</x:f>
        <x:v>Нет</x:v>
      </x:c>
      <x:c r="O376" s="1" t="str">
        <x:f>'Данные'!L376</x:f>
        <x:v>Нет</x:v>
      </x:c>
    </x:row>
    <x:row r="377">
      <x:c r="A377" s="1" t="str">
        <x:f>'Данные'!A377</x:f>
        <x:v>171386791</x:v>
      </x:c>
      <x:c r="B377" s="1" t="str">
        <x:f>'Данные'!B377</x:f>
        <x:v>bruki/темно-серый</x:v>
      </x:c>
      <x:c r="C377" s="8" t="n">
        <x:f>'Данные'!G377</x:f>
        <x:v>566616</x:v>
      </x:c>
      <x:c r="D377" s="15" t="n">
        <x:f>C377/SUM($C$5:$C$2477)</x:f>
        <x:v>0.0006619341997550326</x:v>
      </x:c>
      <x:c r="E377" s="15" t="n">
        <x:f>SUM($D$5:D377)</x:f>
        <x:v>0.7573368261070323</x:v>
      </x:c>
      <x:c r="F377" s="1" t="str">
        <x:f>IF(C377&lt;=0,"C",IF(E377-D377&lt;'Дашборд'!$C$49,"A",IF(E377-D377&lt;'Дашборд'!$C$50,"B","C")))</x:f>
        <x:v>A</x:v>
      </x:c>
      <x:c r="G377" s="8" t="n">
        <x:f>'Данные'!F377</x:f>
        <x:v>1321</x:v>
      </x:c>
      <x:c r="H377" s="8" t="n">
        <x:f>SUM('Данные'!H377:I377)</x:f>
        <x:v>683</x:v>
      </x:c>
      <x:c r="I377" s="16" t="n">
        <x:f>IF(H377&gt;0,G377/H377,"n.a.")</x:f>
        <x:v>1.9341142020497804</x:v>
      </x:c>
      <x:c r="J377" s="10" t="n">
        <x:f>IF('Данные'!E377&gt;0,G377/'Данные'!E377,"n.a.")</x:f>
        <x:v>0.01899407603381837</x:v>
      </x:c>
      <x:c r="K377" s="1" t="str">
        <x:f>IF(G377&gt;='Дашборд'!$C$51,"X","Z")</x:f>
        <x:v>X</x:v>
      </x:c>
      <x:c r="L377" s="1" t="str">
        <x:f>IF(H377=0,IF(G377&gt;0,"Нет остатка","Нет спроса"),IF(I377&gt;='Дашборд'!$C$52,"Быстрый","Медленный"))</x:f>
        <x:v>Быстрый</x:v>
      </x:c>
      <x:c r="M377" s="1" t="str">
        <x:f>IF('Данные'!E377&lt;'Дашборд'!$C$53,"Мало трафика",IF(J377&lt;'Дашборд'!$C$9*'Дашборд'!$C$54,"Да","Нет"))</x:f>
        <x:v>Нет</x:v>
      </x:c>
      <x:c r="N377" s="1" t="str">
        <x:f>IF(AND('Данные'!D377&gt;='Дашборд'!$C$55,D377&lt;'Дашборд'!$C$56,'Данные'!E377&gt;='Дашборд'!$C$53,'Данные'!L377&lt;&gt;"Да"),"Да","Нет")</x:f>
        <x:v>Нет</x:v>
      </x:c>
      <x:c r="O377" s="1" t="str">
        <x:f>'Данные'!L377</x:f>
        <x:v>Нет</x:v>
      </x:c>
    </x:row>
    <x:row r="378">
      <x:c r="A378" s="1" t="str">
        <x:f>'Данные'!A378</x:f>
        <x:v>245583553</x:v>
      </x:c>
      <x:c r="B378" s="1" t="str">
        <x:f>'Данные'!B378</x:f>
        <x:v>hudiprint/NeedMoney-104/молочный</x:v>
      </x:c>
      <x:c r="C378" s="8" t="n">
        <x:f>'Данные'!G378</x:f>
        <x:v>565893</x:v>
      </x:c>
      <x:c r="D378" s="15" t="n">
        <x:f>C378/SUM($C$5:$C$2477)</x:f>
        <x:v>0.000661089574071284</x:v>
      </x:c>
      <x:c r="E378" s="15" t="n">
        <x:f>SUM($D$5:D378)</x:f>
        <x:v>0.7579979156811036</x:v>
      </x:c>
      <x:c r="F378" s="1" t="str">
        <x:f>IF(C378&lt;=0,"C",IF(E378-D378&lt;'Дашборд'!$C$49,"A",IF(E378-D378&lt;'Дашборд'!$C$50,"B","C")))</x:f>
        <x:v>A</x:v>
      </x:c>
      <x:c r="G378" s="8" t="n">
        <x:f>'Данные'!F378</x:f>
        <x:v>515</x:v>
      </x:c>
      <x:c r="H378" s="8" t="n">
        <x:f>SUM('Данные'!H378:I378)</x:f>
        <x:v>53</x:v>
      </x:c>
      <x:c r="I378" s="16" t="n">
        <x:f>IF(H378&gt;0,G378/H378,"n.a.")</x:f>
        <x:v>9.716981132075471</x:v>
      </x:c>
      <x:c r="J378" s="10" t="n">
        <x:f>IF('Данные'!E378&gt;0,G378/'Данные'!E378,"n.a.")</x:f>
        <x:v>0.009255764633992919</x:v>
      </x:c>
      <x:c r="K378" s="1" t="str">
        <x:f>IF(G378&gt;='Дашборд'!$C$51,"X","Z")</x:f>
        <x:v>X</x:v>
      </x:c>
      <x:c r="L378" s="1" t="str">
        <x:f>IF(H378=0,IF(G378&gt;0,"Нет остатка","Нет спроса"),IF(I378&gt;='Дашборд'!$C$52,"Быстрый","Медленный"))</x:f>
        <x:v>Быстрый</x:v>
      </x:c>
      <x:c r="M378" s="1" t="str">
        <x:f>IF('Данные'!E378&lt;'Дашборд'!$C$53,"Мало трафика",IF(J378&lt;'Дашборд'!$C$9*'Дашборд'!$C$54,"Да","Нет"))</x:f>
        <x:v>Да</x:v>
      </x:c>
      <x:c r="N378" s="1" t="str">
        <x:f>IF(AND('Данные'!D378&gt;='Дашборд'!$C$55,D378&lt;'Дашборд'!$C$56,'Данные'!E378&gt;='Дашборд'!$C$53,'Данные'!L378&lt;&gt;"Да"),"Да","Нет")</x:f>
        <x:v>Нет</x:v>
      </x:c>
      <x:c r="O378" s="1" t="str">
        <x:f>'Данные'!L378</x:f>
        <x:v>Нет</x:v>
      </x:c>
    </x:row>
    <x:row r="379">
      <x:c r="A379" s="1" t="str">
        <x:f>'Данные'!A379</x:f>
        <x:v>294025143</x:v>
      </x:c>
      <x:c r="B379" s="1" t="str">
        <x:f>'Данные'!B379</x:f>
        <x:v>svitfix3F-77/серый</x:v>
      </x:c>
      <x:c r="C379" s="8" t="n">
        <x:f>'Данные'!G379</x:f>
        <x:v>563615</x:v>
      </x:c>
      <x:c r="D379" s="15" t="n">
        <x:f>C379/SUM($C$5:$C$2477)</x:f>
        <x:v>0.0006584283606444801</x:v>
      </x:c>
      <x:c r="E379" s="15" t="n">
        <x:f>SUM($D$5:D379)</x:f>
        <x:v>0.7586563440417481</x:v>
      </x:c>
      <x:c r="F379" s="1" t="str">
        <x:f>IF(C379&lt;=0,"C",IF(E379-D379&lt;'Дашборд'!$C$49,"A",IF(E379-D379&lt;'Дашборд'!$C$50,"B","C")))</x:f>
        <x:v>A</x:v>
      </x:c>
      <x:c r="G379" s="8" t="n">
        <x:f>'Данные'!F379</x:f>
        <x:v>709</x:v>
      </x:c>
      <x:c r="H379" s="8" t="n">
        <x:f>SUM('Данные'!H379:I379)</x:f>
        <x:v>244</x:v>
      </x:c>
      <x:c r="I379" s="16" t="n">
        <x:f>IF(H379&gt;0,G379/H379,"n.a.")</x:f>
        <x:v>2.9057377049180326</x:v>
      </x:c>
      <x:c r="J379" s="10" t="n">
        <x:f>IF('Данные'!E379&gt;0,G379/'Данные'!E379,"n.a.")</x:f>
        <x:v>0.0172969016833374</x:v>
      </x:c>
      <x:c r="K379" s="1" t="str">
        <x:f>IF(G379&gt;='Дашборд'!$C$51,"X","Z")</x:f>
        <x:v>X</x:v>
      </x:c>
      <x:c r="L379" s="1" t="str">
        <x:f>IF(H379=0,IF(G379&gt;0,"Нет остатка","Нет спроса"),IF(I379&gt;='Дашборд'!$C$52,"Быстрый","Медленный"))</x:f>
        <x:v>Быстрый</x:v>
      </x:c>
      <x:c r="M379" s="1" t="str">
        <x:f>IF('Данные'!E379&lt;'Дашборд'!$C$53,"Мало трафика",IF(J379&lt;'Дашборд'!$C$9*'Дашборд'!$C$54,"Да","Нет"))</x:f>
        <x:v>Нет</x:v>
      </x:c>
      <x:c r="N379" s="1" t="str">
        <x:f>IF(AND('Данные'!D379&gt;='Дашборд'!$C$55,D379&lt;'Дашборд'!$C$56,'Данные'!E379&gt;='Дашборд'!$C$53,'Данные'!L379&lt;&gt;"Да"),"Да","Нет")</x:f>
        <x:v>Нет</x:v>
      </x:c>
      <x:c r="O379" s="1" t="str">
        <x:f>'Данные'!L379</x:f>
        <x:v>Нет</x:v>
      </x:c>
    </x:row>
    <x:row r="380">
      <x:c r="A380" s="1" t="str">
        <x:f>'Данные'!A380</x:f>
        <x:v>311462396</x:v>
      </x:c>
      <x:c r="B380" s="1" t="str">
        <x:f>'Данные'!B380</x:f>
        <x:v>brukimanpetl/темно-серый</x:v>
      </x:c>
      <x:c r="C380" s="8" t="n">
        <x:f>'Данные'!G380</x:f>
        <x:v>563214</x:v>
      </x:c>
      <x:c r="D380" s="15" t="n">
        <x:f>C380/SUM($C$5:$C$2477)</x:f>
        <x:v>0.0006579599029692613</x:v>
      </x:c>
      <x:c r="E380" s="15" t="n">
        <x:f>SUM($D$5:D380)</x:f>
        <x:v>0.7593143039447173</x:v>
      </x:c>
      <x:c r="F380" s="1" t="str">
        <x:f>IF(C380&lt;=0,"C",IF(E380-D380&lt;'Дашборд'!$C$49,"A",IF(E380-D380&lt;'Дашборд'!$C$50,"B","C")))</x:f>
        <x:v>A</x:v>
      </x:c>
      <x:c r="G380" s="8" t="n">
        <x:f>'Данные'!F380</x:f>
        <x:v>633</x:v>
      </x:c>
      <x:c r="H380" s="8" t="n">
        <x:f>SUM('Данные'!H380:I380)</x:f>
        <x:v>4</x:v>
      </x:c>
      <x:c r="I380" s="16" t="n">
        <x:f>IF(H380&gt;0,G380/H380,"n.a.")</x:f>
        <x:v>158.25</x:v>
      </x:c>
      <x:c r="J380" s="10" t="n">
        <x:f>IF('Данные'!E380&gt;0,G380/'Данные'!E380,"n.a.")</x:f>
        <x:v>0.030431229267823663</x:v>
      </x:c>
      <x:c r="K380" s="1" t="str">
        <x:f>IF(G380&gt;='Дашборд'!$C$51,"X","Z")</x:f>
        <x:v>X</x:v>
      </x:c>
      <x:c r="L380" s="1" t="str">
        <x:f>IF(H380=0,IF(G380&gt;0,"Нет остатка","Нет спроса"),IF(I380&gt;='Дашборд'!$C$52,"Быстрый","Медленный"))</x:f>
        <x:v>Быстрый</x:v>
      </x:c>
      <x:c r="M380" s="1" t="str">
        <x:f>IF('Данные'!E380&lt;'Дашборд'!$C$53,"Мало трафика",IF(J380&lt;'Дашборд'!$C$9*'Дашборд'!$C$54,"Да","Нет"))</x:f>
        <x:v>Нет</x:v>
      </x:c>
      <x:c r="N380" s="1" t="str">
        <x:f>IF(AND('Данные'!D380&gt;='Дашборд'!$C$55,D380&lt;'Дашборд'!$C$56,'Данные'!E380&gt;='Дашборд'!$C$53,'Данные'!L380&lt;&gt;"Да"),"Да","Нет")</x:f>
        <x:v>Нет</x:v>
      </x:c>
      <x:c r="O380" s="1" t="str">
        <x:f>'Данные'!L380</x:f>
        <x:v>Нет</x:v>
      </x:c>
    </x:row>
    <x:row r="381">
      <x:c r="A381" s="1" t="str">
        <x:f>'Данные'!A381</x:f>
        <x:v>203815621</x:v>
      </x:c>
      <x:c r="B381" s="1" t="str">
        <x:f>'Данные'!B381</x:f>
        <x:v>futbolkaprint/Los-49/молочный</x:v>
      </x:c>
      <x:c r="C381" s="8" t="n">
        <x:f>'Данные'!G381</x:f>
        <x:v>558974</x:v>
      </x:c>
      <x:c r="D381" s="15" t="n">
        <x:f>C381/SUM($C$5:$C$2477)</x:f>
        <x:v>0.0006530066347824093</x:v>
      </x:c>
      <x:c r="E381" s="15" t="n">
        <x:f>SUM($D$5:D381)</x:f>
        <x:v>0.7599673105794997</x:v>
      </x:c>
      <x:c r="F381" s="1" t="str">
        <x:f>IF(C381&lt;=0,"C",IF(E381-D381&lt;'Дашборд'!$C$49,"A",IF(E381-D381&lt;'Дашборд'!$C$50,"B","C")))</x:f>
        <x:v>A</x:v>
      </x:c>
      <x:c r="G381" s="8" t="n">
        <x:f>'Данные'!F381</x:f>
        <x:v>887</x:v>
      </x:c>
      <x:c r="H381" s="8" t="n">
        <x:f>SUM('Данные'!H381:I381)</x:f>
        <x:v>271</x:v>
      </x:c>
      <x:c r="I381" s="16" t="n">
        <x:f>IF(H381&gt;0,G381/H381,"n.a.")</x:f>
        <x:v>3.273062730627306</x:v>
      </x:c>
      <x:c r="J381" s="10" t="n">
        <x:f>IF('Данные'!E381&gt;0,G381/'Данные'!E381,"n.a.")</x:f>
        <x:v>0.009899332604182942</x:v>
      </x:c>
      <x:c r="K381" s="1" t="str">
        <x:f>IF(G381&gt;='Дашборд'!$C$51,"X","Z")</x:f>
        <x:v>X</x:v>
      </x:c>
      <x:c r="L381" s="1" t="str">
        <x:f>IF(H381=0,IF(G381&gt;0,"Нет остатка","Нет спроса"),IF(I381&gt;='Дашборд'!$C$52,"Быстрый","Медленный"))</x:f>
        <x:v>Быстрый</x:v>
      </x:c>
      <x:c r="M381" s="1" t="str">
        <x:f>IF('Данные'!E381&lt;'Дашборд'!$C$53,"Мало трафика",IF(J381&lt;'Дашборд'!$C$9*'Дашборд'!$C$54,"Да","Нет"))</x:f>
        <x:v>Да</x:v>
      </x:c>
      <x:c r="N381" s="1" t="str">
        <x:f>IF(AND('Данные'!D381&gt;='Дашборд'!$C$55,D381&lt;'Дашборд'!$C$56,'Данные'!E381&gt;='Дашборд'!$C$53,'Данные'!L381&lt;&gt;"Да"),"Да","Нет")</x:f>
        <x:v>Да</x:v>
      </x:c>
      <x:c r="O381" s="1" t="str">
        <x:f>'Данные'!L381</x:f>
        <x:v>Нет</x:v>
      </x:c>
    </x:row>
    <x:row r="382">
      <x:c r="A382" s="1" t="str">
        <x:f>'Данные'!A382</x:f>
        <x:v>219112167</x:v>
      </x:c>
      <x:c r="B382" s="1" t="str">
        <x:f>'Данные'!B382</x:f>
        <x:v>futbolkaprint/MEDUSA-17/молочный</x:v>
      </x:c>
      <x:c r="C382" s="8" t="n">
        <x:f>'Данные'!G382</x:f>
        <x:v>555256</x:v>
      </x:c>
      <x:c r="D382" s="15" t="n">
        <x:f>C382/SUM($C$5:$C$2477)</x:f>
        <x:v>0.000648663179329882</x:v>
      </x:c>
      <x:c r="E382" s="15" t="n">
        <x:f>SUM($D$5:D382)</x:f>
        <x:v>0.7606159737588296</x:v>
      </x:c>
      <x:c r="F382" s="1" t="str">
        <x:f>IF(C382&lt;=0,"C",IF(E382-D382&lt;'Дашборд'!$C$49,"A",IF(E382-D382&lt;'Дашборд'!$C$50,"B","C")))</x:f>
        <x:v>A</x:v>
      </x:c>
      <x:c r="G382" s="8" t="n">
        <x:f>'Данные'!F382</x:f>
        <x:v>778</x:v>
      </x:c>
      <x:c r="H382" s="8" t="n">
        <x:f>SUM('Данные'!H382:I382)</x:f>
        <x:v>0</x:v>
      </x:c>
      <x:c r="I382" s="16" t="str">
        <x:f>IF(H382&gt;0,G382/H382,"n.a.")</x:f>
        <x:v>n.a.</x:v>
      </x:c>
      <x:c r="J382" s="10" t="n">
        <x:f>IF('Данные'!E382&gt;0,G382/'Данные'!E382,"n.a.")</x:f>
        <x:v>0.011352029649517028</x:v>
      </x:c>
      <x:c r="K382" s="1" t="str">
        <x:f>IF(G382&gt;='Дашборд'!$C$51,"X","Z")</x:f>
        <x:v>X</x:v>
      </x:c>
      <x:c r="L382" s="1" t="str">
        <x:f>IF(H382=0,IF(G382&gt;0,"Нет остатка","Нет спроса"),IF(I382&gt;='Дашборд'!$C$52,"Быстрый","Медленный"))</x:f>
        <x:v>Нет остатка</x:v>
      </x:c>
      <x:c r="M382" s="1" t="str">
        <x:f>IF('Данные'!E382&lt;'Дашборд'!$C$53,"Мало трафика",IF(J382&lt;'Дашборд'!$C$9*'Дашборд'!$C$54,"Да","Нет"))</x:f>
        <x:v>Нет</x:v>
      </x:c>
      <x:c r="N382" s="1" t="str">
        <x:f>IF(AND('Данные'!D382&gt;='Дашборд'!$C$55,D382&lt;'Дашборд'!$C$56,'Данные'!E382&gt;='Дашборд'!$C$53,'Данные'!L382&lt;&gt;"Да"),"Да","Нет")</x:f>
        <x:v>Нет</x:v>
      </x:c>
      <x:c r="O382" s="1" t="str">
        <x:f>'Данные'!L382</x:f>
        <x:v>Нет</x:v>
      </x:c>
    </x:row>
    <x:row r="383">
      <x:c r="A383" s="1" t="str">
        <x:f>'Данные'!A383</x:f>
        <x:v>245583554</x:v>
      </x:c>
      <x:c r="B383" s="1" t="str">
        <x:f>'Данные'!B383</x:f>
        <x:v>hudiprint/ISTANBUL-107/песочный</x:v>
      </x:c>
      <x:c r="C383" s="8" t="n">
        <x:f>'Данные'!G383</x:f>
        <x:v>550709</x:v>
      </x:c>
      <x:c r="D383" s="15" t="n">
        <x:f>C383/SUM($C$5:$C$2477)</x:f>
        <x:v>0.0006433512664889348</x:v>
      </x:c>
      <x:c r="E383" s="15" t="n">
        <x:f>SUM($D$5:D383)</x:f>
        <x:v>0.7612593250253186</x:v>
      </x:c>
      <x:c r="F383" s="1" t="str">
        <x:f>IF(C383&lt;=0,"C",IF(E383-D383&lt;'Дашборд'!$C$49,"A",IF(E383-D383&lt;'Дашборд'!$C$50,"B","C")))</x:f>
        <x:v>A</x:v>
      </x:c>
      <x:c r="G383" s="8" t="n">
        <x:f>'Данные'!F383</x:f>
        <x:v>622</x:v>
      </x:c>
      <x:c r="H383" s="8" t="n">
        <x:f>SUM('Данные'!H383:I383)</x:f>
        <x:v>894</x:v>
      </x:c>
      <x:c r="I383" s="16" t="n">
        <x:f>IF(H383&gt;0,G383/H383,"n.a.")</x:f>
        <x:v>0.6957494407158836</x:v>
      </x:c>
      <x:c r="J383" s="10" t="n">
        <x:f>IF('Данные'!E383&gt;0,G383/'Данные'!E383,"n.a.")</x:f>
        <x:v>0.01040882239737604</x:v>
      </x:c>
      <x:c r="K383" s="1" t="str">
        <x:f>IF(G383&gt;='Дашборд'!$C$51,"X","Z")</x:f>
        <x:v>X</x:v>
      </x:c>
      <x:c r="L383" s="1" t="str">
        <x:f>IF(H383=0,IF(G383&gt;0,"Нет остатка","Нет спроса"),IF(I383&gt;='Дашборд'!$C$52,"Быстрый","Медленный"))</x:f>
        <x:v>Медленный</x:v>
      </x:c>
      <x:c r="M383" s="1" t="str">
        <x:f>IF('Данные'!E383&lt;'Дашборд'!$C$53,"Мало трафика",IF(J383&lt;'Дашборд'!$C$9*'Дашборд'!$C$54,"Да","Нет"))</x:f>
        <x:v>Нет</x:v>
      </x:c>
      <x:c r="N383" s="1" t="str">
        <x:f>IF(AND('Данные'!D383&gt;='Дашборд'!$C$55,D383&lt;'Дашборд'!$C$56,'Данные'!E383&gt;='Дашборд'!$C$53,'Данные'!L383&lt;&gt;"Да"),"Да","Нет")</x:f>
        <x:v>Да</x:v>
      </x:c>
      <x:c r="O383" s="1" t="str">
        <x:f>'Данные'!L383</x:f>
        <x:v>Нет</x:v>
      </x:c>
    </x:row>
    <x:row r="384">
      <x:c r="A384" s="1" t="str">
        <x:f>'Данные'!A384</x:f>
        <x:v>220090367</x:v>
      </x:c>
      <x:c r="B384" s="1" t="str">
        <x:f>'Данные'!B384</x:f>
        <x:v>tolstovkazipman/графит</x:v>
      </x:c>
      <x:c r="C384" s="8" t="n">
        <x:f>'Данные'!G384</x:f>
        <x:v>550205</x:v>
      </x:c>
      <x:c r="D384" s="15" t="n">
        <x:f>C384/SUM($C$5:$C$2477)</x:f>
        <x:v>0.0006427624817799316</x:v>
      </x:c>
      <x:c r="E384" s="15" t="n">
        <x:f>SUM($D$5:D384)</x:f>
        <x:v>0.7619020875070985</x:v>
      </x:c>
      <x:c r="F384" s="1" t="str">
        <x:f>IF(C384&lt;=0,"C",IF(E384-D384&lt;'Дашборд'!$C$49,"A",IF(E384-D384&lt;'Дашборд'!$C$50,"B","C")))</x:f>
        <x:v>A</x:v>
      </x:c>
      <x:c r="G384" s="8" t="n">
        <x:f>'Данные'!F384</x:f>
        <x:v>442</x:v>
      </x:c>
      <x:c r="H384" s="8" t="n">
        <x:f>SUM('Данные'!H384:I384)</x:f>
        <x:v>127</x:v>
      </x:c>
      <x:c r="I384" s="16" t="n">
        <x:f>IF(H384&gt;0,G384/H384,"n.a.")</x:f>
        <x:v>3.4803149606299213</x:v>
      </x:c>
      <x:c r="J384" s="10" t="n">
        <x:f>IF('Данные'!E384&gt;0,G384/'Данные'!E384,"n.a.")</x:f>
        <x:v>0.012792313035424868</x:v>
      </x:c>
      <x:c r="K384" s="1" t="str">
        <x:f>IF(G384&gt;='Дашборд'!$C$51,"X","Z")</x:f>
        <x:v>X</x:v>
      </x:c>
      <x:c r="L384" s="1" t="str">
        <x:f>IF(H384=0,IF(G384&gt;0,"Нет остатка","Нет спроса"),IF(I384&gt;='Дашборд'!$C$52,"Быстрый","Медленный"))</x:f>
        <x:v>Быстрый</x:v>
      </x:c>
      <x:c r="M384" s="1" t="str">
        <x:f>IF('Данные'!E384&lt;'Дашборд'!$C$53,"Мало трафика",IF(J384&lt;'Дашборд'!$C$9*'Дашборд'!$C$54,"Да","Нет"))</x:f>
        <x:v>Нет</x:v>
      </x:c>
      <x:c r="N384" s="1" t="str">
        <x:f>IF(AND('Данные'!D384&gt;='Дашборд'!$C$55,D384&lt;'Дашборд'!$C$56,'Данные'!E384&gt;='Дашборд'!$C$53,'Данные'!L384&lt;&gt;"Да"),"Да","Нет")</x:f>
        <x:v>Да</x:v>
      </x:c>
      <x:c r="O384" s="1" t="str">
        <x:f>'Данные'!L384</x:f>
        <x:v>Нет</x:v>
      </x:c>
    </x:row>
    <x:row r="385">
      <x:c r="A385" s="1" t="str">
        <x:f>'Данные'!A385</x:f>
        <x:v>43805832</x:v>
      </x:c>
      <x:c r="B385" s="1" t="str">
        <x:f>'Данные'!B385</x:f>
        <x:v>hudiman/морская-волна</x:v>
      </x:c>
      <x:c r="C385" s="8" t="n">
        <x:f>'Данные'!G385</x:f>
        <x:v>550087</x:v>
      </x:c>
      <x:c r="D385" s="15" t="n">
        <x:f>C385/SUM($C$5:$C$2477)</x:f>
        <x:v>0.0006426246313917126</x:v>
      </x:c>
      <x:c r="E385" s="15" t="n">
        <x:f>SUM($D$5:D385)</x:f>
        <x:v>0.7625447121384903</x:v>
      </x:c>
      <x:c r="F385" s="1" t="str">
        <x:f>IF(C385&lt;=0,"C",IF(E385-D385&lt;'Дашборд'!$C$49,"A",IF(E385-D385&lt;'Дашборд'!$C$50,"B","C")))</x:f>
        <x:v>A</x:v>
      </x:c>
      <x:c r="G385" s="8" t="n">
        <x:f>'Данные'!F385</x:f>
        <x:v>445</x:v>
      </x:c>
      <x:c r="H385" s="8" t="n">
        <x:f>SUM('Данные'!H385:I385)</x:f>
        <x:v>143</x:v>
      </x:c>
      <x:c r="I385" s="16" t="n">
        <x:f>IF(H385&gt;0,G385/H385,"n.a.")</x:f>
        <x:v>3.111888111888112</x:v>
      </x:c>
      <x:c r="J385" s="10" t="n">
        <x:f>IF('Данные'!E385&gt;0,G385/'Данные'!E385,"n.a.")</x:f>
        <x:v>0.02946239406779661</x:v>
      </x:c>
      <x:c r="K385" s="1" t="str">
        <x:f>IF(G385&gt;='Дашборд'!$C$51,"X","Z")</x:f>
        <x:v>X</x:v>
      </x:c>
      <x:c r="L385" s="1" t="str">
        <x:f>IF(H385=0,IF(G385&gt;0,"Нет остатка","Нет спроса"),IF(I385&gt;='Дашборд'!$C$52,"Быстрый","Медленный"))</x:f>
        <x:v>Быстрый</x:v>
      </x:c>
      <x:c r="M385" s="1" t="str">
        <x:f>IF('Данные'!E385&lt;'Дашборд'!$C$53,"Мало трафика",IF(J385&lt;'Дашборд'!$C$9*'Дашборд'!$C$54,"Да","Нет"))</x:f>
        <x:v>Нет</x:v>
      </x:c>
      <x:c r="N385" s="1" t="str">
        <x:f>IF(AND('Данные'!D385&gt;='Дашборд'!$C$55,D385&lt;'Дашборд'!$C$56,'Данные'!E385&gt;='Дашборд'!$C$53,'Данные'!L385&lt;&gt;"Да"),"Да","Нет")</x:f>
        <x:v>Да</x:v>
      </x:c>
      <x:c r="O385" s="1" t="str">
        <x:f>'Данные'!L385</x:f>
        <x:v>Нет</x:v>
      </x:c>
    </x:row>
    <x:row r="386">
      <x:c r="A386" s="1" t="str">
        <x:f>'Данные'!A386</x:f>
        <x:v>237893879</x:v>
      </x:c>
      <x:c r="B386" s="1" t="str">
        <x:f>'Данные'!B386</x:f>
        <x:v>svitzipcroppetl/светло-розовый</x:v>
      </x:c>
      <x:c r="C386" s="8" t="n">
        <x:f>'Данные'!G386</x:f>
        <x:v>549439</x:v>
      </x:c>
      <x:c r="D386" s="15" t="n">
        <x:f>C386/SUM($C$5:$C$2477)</x:f>
        <x:v>0.0006418676224801371</x:v>
      </x:c>
      <x:c r="E386" s="15" t="n">
        <x:f>SUM($D$5:D386)</x:f>
        <x:v>0.7631865797609704</x:v>
      </x:c>
      <x:c r="F386" s="1" t="str">
        <x:f>IF(C386&lt;=0,"C",IF(E386-D386&lt;'Дашборд'!$C$49,"A",IF(E386-D386&lt;'Дашборд'!$C$50,"B","C")))</x:f>
        <x:v>A</x:v>
      </x:c>
      <x:c r="G386" s="8" t="n">
        <x:f>'Данные'!F386</x:f>
        <x:v>638</x:v>
      </x:c>
      <x:c r="H386" s="8" t="n">
        <x:f>SUM('Данные'!H386:I386)</x:f>
        <x:v>142</x:v>
      </x:c>
      <x:c r="I386" s="16" t="n">
        <x:f>IF(H386&gt;0,G386/H386,"n.a.")</x:f>
        <x:v>4.492957746478873</x:v>
      </x:c>
      <x:c r="J386" s="10" t="n">
        <x:f>IF('Данные'!E386&gt;0,G386/'Данные'!E386,"n.a.")</x:f>
        <x:v>0.00969693285101985</x:v>
      </x:c>
      <x:c r="K386" s="1" t="str">
        <x:f>IF(G386&gt;='Дашборд'!$C$51,"X","Z")</x:f>
        <x:v>X</x:v>
      </x:c>
      <x:c r="L386" s="1" t="str">
        <x:f>IF(H386=0,IF(G386&gt;0,"Нет остатка","Нет спроса"),IF(I386&gt;='Дашборд'!$C$52,"Быстрый","Медленный"))</x:f>
        <x:v>Быстрый</x:v>
      </x:c>
      <x:c r="M386" s="1" t="str">
        <x:f>IF('Данные'!E386&lt;'Дашборд'!$C$53,"Мало трафика",IF(J386&lt;'Дашборд'!$C$9*'Дашборд'!$C$54,"Да","Нет"))</x:f>
        <x:v>Да</x:v>
      </x:c>
      <x:c r="N386" s="1" t="str">
        <x:f>IF(AND('Данные'!D386&gt;='Дашборд'!$C$55,D386&lt;'Дашборд'!$C$56,'Данные'!E386&gt;='Дашборд'!$C$53,'Данные'!L386&lt;&gt;"Да"),"Да","Нет")</x:f>
        <x:v>Нет</x:v>
      </x:c>
      <x:c r="O386" s="1" t="str">
        <x:f>'Данные'!L386</x:f>
        <x:v>Нет</x:v>
      </x:c>
    </x:row>
    <x:row r="387">
      <x:c r="A387" s="1" t="str">
        <x:f>'Данные'!A387</x:f>
        <x:v>224386275</x:v>
      </x:c>
      <x:c r="B387" s="1" t="str">
        <x:f>'Данные'!B387</x:f>
        <x:v>kulirkamanprint/TakeCare-134/молочный</x:v>
      </x:c>
      <x:c r="C387" s="8" t="n">
        <x:f>'Данные'!G387</x:f>
        <x:v>549306</x:v>
      </x:c>
      <x:c r="D387" s="15" t="n">
        <x:f>C387/SUM($C$5:$C$2477)</x:f>
        <x:v>0.0006417122487374835</x:v>
      </x:c>
      <x:c r="E387" s="15" t="n">
        <x:f>SUM($D$5:D387)</x:f>
        <x:v>0.7638282920097078</x:v>
      </x:c>
      <x:c r="F387" s="1" t="str">
        <x:f>IF(C387&lt;=0,"C",IF(E387-D387&lt;'Дашборд'!$C$49,"A",IF(E387-D387&lt;'Дашборд'!$C$50,"B","C")))</x:f>
        <x:v>A</x:v>
      </x:c>
      <x:c r="G387" s="8" t="n">
        <x:f>'Данные'!F387</x:f>
        <x:v>1011</x:v>
      </x:c>
      <x:c r="H387" s="8" t="n">
        <x:f>SUM('Данные'!H387:I387)</x:f>
        <x:v>246</x:v>
      </x:c>
      <x:c r="I387" s="16" t="n">
        <x:f>IF(H387&gt;0,G387/H387,"n.a.")</x:f>
        <x:v>4.109756097560975</x:v>
      </x:c>
      <x:c r="J387" s="10" t="n">
        <x:f>IF('Данные'!E387&gt;0,G387/'Данные'!E387,"n.a.")</x:f>
        <x:v>0.020047590719809636</x:v>
      </x:c>
      <x:c r="K387" s="1" t="str">
        <x:f>IF(G387&gt;='Дашборд'!$C$51,"X","Z")</x:f>
        <x:v>X</x:v>
      </x:c>
      <x:c r="L387" s="1" t="str">
        <x:f>IF(H387=0,IF(G387&gt;0,"Нет остатка","Нет спроса"),IF(I387&gt;='Дашборд'!$C$52,"Быстрый","Медленный"))</x:f>
        <x:v>Быстрый</x:v>
      </x:c>
      <x:c r="M387" s="1" t="str">
        <x:f>IF('Данные'!E387&lt;'Дашборд'!$C$53,"Мало трафика",IF(J387&lt;'Дашборд'!$C$9*'Дашборд'!$C$54,"Да","Нет"))</x:f>
        <x:v>Нет</x:v>
      </x:c>
      <x:c r="N387" s="1" t="str">
        <x:f>IF(AND('Данные'!D387&gt;='Дашборд'!$C$55,D387&lt;'Дашборд'!$C$56,'Данные'!E387&gt;='Дашборд'!$C$53,'Данные'!L387&lt;&gt;"Да"),"Да","Нет")</x:f>
        <x:v>Нет</x:v>
      </x:c>
      <x:c r="O387" s="1" t="str">
        <x:f>'Данные'!L387</x:f>
        <x:v>Нет</x:v>
      </x:c>
    </x:row>
    <x:row r="388">
      <x:c r="A388" s="1" t="str">
        <x:f>'Данные'!A388</x:f>
        <x:v>234030795</x:v>
      </x:c>
      <x:c r="B388" s="1" t="str">
        <x:f>'Данные'!B388</x:f>
        <x:v>svitshotzipman2/молочный</x:v>
      </x:c>
      <x:c r="C388" s="8" t="n">
        <x:f>'Данные'!G388</x:f>
        <x:v>549291</x:v>
      </x:c>
      <x:c r="D388" s="15" t="n">
        <x:f>C388/SUM($C$5:$C$2477)</x:f>
        <x:v>0.0006416947253830489</x:v>
      </x:c>
      <x:c r="E388" s="15" t="n">
        <x:f>SUM($D$5:D388)</x:f>
        <x:v>0.7644699867350908</x:v>
      </x:c>
      <x:c r="F388" s="1" t="str">
        <x:f>IF(C388&lt;=0,"C",IF(E388-D388&lt;'Дашборд'!$C$49,"A",IF(E388-D388&lt;'Дашборд'!$C$50,"B","C")))</x:f>
        <x:v>A</x:v>
      </x:c>
      <x:c r="G388" s="8" t="n">
        <x:f>'Данные'!F388</x:f>
        <x:v>434</x:v>
      </x:c>
      <x:c r="H388" s="8" t="n">
        <x:f>SUM('Данные'!H388:I388)</x:f>
        <x:v>90</x:v>
      </x:c>
      <x:c r="I388" s="16" t="n">
        <x:f>IF(H388&gt;0,G388/H388,"n.a.")</x:f>
        <x:v>4.822222222222222</x:v>
      </x:c>
      <x:c r="J388" s="10" t="n">
        <x:f>IF('Данные'!E388&gt;0,G388/'Данные'!E388,"n.a.")</x:f>
        <x:v>0.01804498773439774</x:v>
      </x:c>
      <x:c r="K388" s="1" t="str">
        <x:f>IF(G388&gt;='Дашборд'!$C$51,"X","Z")</x:f>
        <x:v>X</x:v>
      </x:c>
      <x:c r="L388" s="1" t="str">
        <x:f>IF(H388=0,IF(G388&gt;0,"Нет остатка","Нет спроса"),IF(I388&gt;='Дашборд'!$C$52,"Быстрый","Медленный"))</x:f>
        <x:v>Быстрый</x:v>
      </x:c>
      <x:c r="M388" s="1" t="str">
        <x:f>IF('Данные'!E388&lt;'Дашборд'!$C$53,"Мало трафика",IF(J388&lt;'Дашборд'!$C$9*'Дашборд'!$C$54,"Да","Нет"))</x:f>
        <x:v>Нет</x:v>
      </x:c>
      <x:c r="N388" s="1" t="str">
        <x:f>IF(AND('Данные'!D388&gt;='Дашборд'!$C$55,D388&lt;'Дашборд'!$C$56,'Данные'!E388&gt;='Дашборд'!$C$53,'Данные'!L388&lt;&gt;"Да"),"Да","Нет")</x:f>
        <x:v>Да</x:v>
      </x:c>
      <x:c r="O388" s="1" t="str">
        <x:f>'Данные'!L388</x:f>
        <x:v>Нет</x:v>
      </x:c>
    </x:row>
    <x:row r="389">
      <x:c r="A389" s="1" t="str">
        <x:f>'Данные'!A389</x:f>
        <x:v>215422736</x:v>
      </x:c>
      <x:c r="B389" s="1" t="str">
        <x:f>'Данные'!B389</x:f>
        <x:v>futbolkaprint/HAPPY-105/фуксия</x:v>
      </x:c>
      <x:c r="C389" s="8" t="n">
        <x:f>'Данные'!G389</x:f>
        <x:v>548975</x:v>
      </x:c>
      <x:c r="D389" s="15" t="n">
        <x:f>C389/SUM($C$5:$C$2477)</x:f>
        <x:v>0.0006413255667162929</x:v>
      </x:c>
      <x:c r="E389" s="15" t="n">
        <x:f>SUM($D$5:D389)</x:f>
        <x:v>0.7651113123018071</x:v>
      </x:c>
      <x:c r="F389" s="1" t="str">
        <x:f>IF(C389&lt;=0,"C",IF(E389-D389&lt;'Дашборд'!$C$49,"A",IF(E389-D389&lt;'Дашборд'!$C$50,"B","C")))</x:f>
        <x:v>A</x:v>
      </x:c>
      <x:c r="G389" s="8" t="n">
        <x:f>'Данные'!F389</x:f>
        <x:v>970</x:v>
      </x:c>
      <x:c r="H389" s="8" t="n">
        <x:f>SUM('Данные'!H389:I389)</x:f>
        <x:v>8</x:v>
      </x:c>
      <x:c r="I389" s="16" t="n">
        <x:f>IF(H389&gt;0,G389/H389,"n.a.")</x:f>
        <x:v>121.25</x:v>
      </x:c>
      <x:c r="J389" s="10" t="n">
        <x:f>IF('Данные'!E389&gt;0,G389/'Данные'!E389,"n.a.")</x:f>
        <x:v>0.012622483636316318</x:v>
      </x:c>
      <x:c r="K389" s="1" t="str">
        <x:f>IF(G389&gt;='Дашборд'!$C$51,"X","Z")</x:f>
        <x:v>X</x:v>
      </x:c>
      <x:c r="L389" s="1" t="str">
        <x:f>IF(H389=0,IF(G389&gt;0,"Нет остатка","Нет спроса"),IF(I389&gt;='Дашборд'!$C$52,"Быстрый","Медленный"))</x:f>
        <x:v>Быстрый</x:v>
      </x:c>
      <x:c r="M389" s="1" t="str">
        <x:f>IF('Данные'!E389&lt;'Дашборд'!$C$53,"Мало трафика",IF(J389&lt;'Дашборд'!$C$9*'Дашборд'!$C$54,"Да","Нет"))</x:f>
        <x:v>Нет</x:v>
      </x:c>
      <x:c r="N389" s="1" t="str">
        <x:f>IF(AND('Данные'!D389&gt;='Дашборд'!$C$55,D389&lt;'Дашборд'!$C$56,'Данные'!E389&gt;='Дашборд'!$C$53,'Данные'!L389&lt;&gt;"Да"),"Да","Нет")</x:f>
        <x:v>Нет</x:v>
      </x:c>
      <x:c r="O389" s="1" t="str">
        <x:f>'Данные'!L389</x:f>
        <x:v>Нет</x:v>
      </x:c>
    </x:row>
    <x:row r="390">
      <x:c r="A390" s="1" t="str">
        <x:f>'Данные'!A390</x:f>
        <x:v>234030781</x:v>
      </x:c>
      <x:c r="B390" s="1" t="str">
        <x:f>'Данные'!B390</x:f>
        <x:v>svitshotzipman2/темно-синий</x:v>
      </x:c>
      <x:c r="C390" s="8" t="n">
        <x:f>'Данные'!G390</x:f>
        <x:v>546759</x:v>
      </x:c>
      <x:c r="D390" s="15" t="n">
        <x:f>C390/SUM($C$5:$C$2477)</x:f>
        <x:v>0.0006387367831544854</x:v>
      </x:c>
      <x:c r="E390" s="15" t="n">
        <x:f>SUM($D$5:D390)</x:f>
        <x:v>0.7657500490849616</x:v>
      </x:c>
      <x:c r="F390" s="1" t="str">
        <x:f>IF(C390&lt;=0,"C",IF(E390-D390&lt;'Дашборд'!$C$49,"A",IF(E390-D390&lt;'Дашборд'!$C$50,"B","C")))</x:f>
        <x:v>A</x:v>
      </x:c>
      <x:c r="G390" s="8" t="n">
        <x:f>'Данные'!F390</x:f>
        <x:v>624</x:v>
      </x:c>
      <x:c r="H390" s="8" t="n">
        <x:f>SUM('Данные'!H390:I390)</x:f>
        <x:v>21</x:v>
      </x:c>
      <x:c r="I390" s="16" t="n">
        <x:f>IF(H390&gt;0,G390/H390,"n.a.")</x:f>
        <x:v>29.714285714285715</x:v>
      </x:c>
      <x:c r="J390" s="10" t="n">
        <x:f>IF('Данные'!E390&gt;0,G390/'Данные'!E390,"n.a.")</x:f>
        <x:v>0.02421984163949697</x:v>
      </x:c>
      <x:c r="K390" s="1" t="str">
        <x:f>IF(G390&gt;='Дашборд'!$C$51,"X","Z")</x:f>
        <x:v>X</x:v>
      </x:c>
      <x:c r="L390" s="1" t="str">
        <x:f>IF(H390=0,IF(G390&gt;0,"Нет остатка","Нет спроса"),IF(I390&gt;='Дашборд'!$C$52,"Быстрый","Медленный"))</x:f>
        <x:v>Быстрый</x:v>
      </x:c>
      <x:c r="M390" s="1" t="str">
        <x:f>IF('Данные'!E390&lt;'Дашборд'!$C$53,"Мало трафика",IF(J390&lt;'Дашборд'!$C$9*'Дашборд'!$C$54,"Да","Нет"))</x:f>
        <x:v>Нет</x:v>
      </x:c>
      <x:c r="N390" s="1" t="str">
        <x:f>IF(AND('Данные'!D390&gt;='Дашборд'!$C$55,D390&lt;'Дашборд'!$C$56,'Данные'!E390&gt;='Дашборд'!$C$53,'Данные'!L390&lt;&gt;"Да"),"Да","Нет")</x:f>
        <x:v>Да</x:v>
      </x:c>
      <x:c r="O390" s="1" t="str">
        <x:f>'Данные'!L390</x:f>
        <x:v>Нет</x:v>
      </x:c>
    </x:row>
    <x:row r="391">
      <x:c r="A391" s="1" t="str">
        <x:f>'Данные'!A391</x:f>
        <x:v>341353809</x:v>
      </x:c>
      <x:c r="B391" s="1" t="str">
        <x:f>'Данные'!B391</x:f>
        <x:v>futbolkaprint/FYoung-238/молочный</x:v>
      </x:c>
      <x:c r="C391" s="8" t="n">
        <x:f>'Данные'!G391</x:f>
        <x:v>546303</x:v>
      </x:c>
      <x:c r="D391" s="15" t="n">
        <x:f>C391/SUM($C$5:$C$2477)</x:f>
        <x:v>0.000638204073179673</x:v>
      </x:c>
      <x:c r="E391" s="15" t="n">
        <x:f>SUM($D$5:D391)</x:f>
        <x:v>0.7663882531581413</x:v>
      </x:c>
      <x:c r="F391" s="1" t="str">
        <x:f>IF(C391&lt;=0,"C",IF(E391-D391&lt;'Дашборд'!$C$49,"A",IF(E391-D391&lt;'Дашборд'!$C$50,"B","C")))</x:f>
        <x:v>A</x:v>
      </x:c>
      <x:c r="G391" s="8" t="n">
        <x:f>'Данные'!F391</x:f>
        <x:v>799</x:v>
      </x:c>
      <x:c r="H391" s="8" t="n">
        <x:f>SUM('Данные'!H391:I391)</x:f>
        <x:v>194</x:v>
      </x:c>
      <x:c r="I391" s="16" t="n">
        <x:f>IF(H391&gt;0,G391/H391,"n.a.")</x:f>
        <x:v>4.118556701030927</x:v>
      </x:c>
      <x:c r="J391" s="10" t="n">
        <x:f>IF('Данные'!E391&gt;0,G391/'Данные'!E391,"n.a.")</x:f>
        <x:v>0.010809713860515458</x:v>
      </x:c>
      <x:c r="K391" s="1" t="str">
        <x:f>IF(G391&gt;='Дашборд'!$C$51,"X","Z")</x:f>
        <x:v>X</x:v>
      </x:c>
      <x:c r="L391" s="1" t="str">
        <x:f>IF(H391=0,IF(G391&gt;0,"Нет остатка","Нет спроса"),IF(I391&gt;='Дашборд'!$C$52,"Быстрый","Медленный"))</x:f>
        <x:v>Быстрый</x:v>
      </x:c>
      <x:c r="M391" s="1" t="str">
        <x:f>IF('Данные'!E391&lt;'Дашборд'!$C$53,"Мало трафика",IF(J391&lt;'Дашборд'!$C$9*'Дашборд'!$C$54,"Да","Нет"))</x:f>
        <x:v>Нет</x:v>
      </x:c>
      <x:c r="N391" s="1" t="str">
        <x:f>IF(AND('Данные'!D391&gt;='Дашборд'!$C$55,D391&lt;'Дашборд'!$C$56,'Данные'!E391&gt;='Дашборд'!$C$53,'Данные'!L391&lt;&gt;"Да"),"Да","Нет")</x:f>
        <x:v>Да</x:v>
      </x:c>
      <x:c r="O391" s="1" t="str">
        <x:f>'Данные'!L391</x:f>
        <x:v>Нет</x:v>
      </x:c>
    </x:row>
    <x:row r="392">
      <x:c r="A392" s="1" t="str">
        <x:f>'Данные'!A392</x:f>
        <x:v>52478009</x:v>
      </x:c>
      <x:c r="B392" s="1" t="str">
        <x:f>'Данные'!B392</x:f>
        <x:v>hudi/изумрудно-зеленый</x:v>
      </x:c>
      <x:c r="C392" s="8" t="n">
        <x:f>'Данные'!G392</x:f>
        <x:v>546043</x:v>
      </x:c>
      <x:c r="D392" s="15" t="n">
        <x:f>C392/SUM($C$5:$C$2477)</x:f>
        <x:v>0.0006379003350361396</x:v>
      </x:c>
      <x:c r="E392" s="15" t="n">
        <x:f>SUM($D$5:D392)</x:f>
        <x:v>0.7670261534931775</x:v>
      </x:c>
      <x:c r="F392" s="1" t="str">
        <x:f>IF(C392&lt;=0,"C",IF(E392-D392&lt;'Дашборд'!$C$49,"A",IF(E392-D392&lt;'Дашборд'!$C$50,"B","C")))</x:f>
        <x:v>A</x:v>
      </x:c>
      <x:c r="G392" s="8" t="n">
        <x:f>'Данные'!F392</x:f>
        <x:v>393</x:v>
      </x:c>
      <x:c r="H392" s="8" t="n">
        <x:f>SUM('Данные'!H392:I392)</x:f>
        <x:v>4</x:v>
      </x:c>
      <x:c r="I392" s="16" t="n">
        <x:f>IF(H392&gt;0,G392/H392,"n.a.")</x:f>
        <x:v>98.25</x:v>
      </x:c>
      <x:c r="J392" s="10" t="n">
        <x:f>IF('Данные'!E392&gt;0,G392/'Данные'!E392,"n.a.")</x:f>
        <x:v>0.009656731454406958</x:v>
      </x:c>
      <x:c r="K392" s="1" t="str">
        <x:f>IF(G392&gt;='Дашборд'!$C$51,"X","Z")</x:f>
        <x:v>X</x:v>
      </x:c>
      <x:c r="L392" s="1" t="str">
        <x:f>IF(H392=0,IF(G392&gt;0,"Нет остатка","Нет спроса"),IF(I392&gt;='Дашборд'!$C$52,"Быстрый","Медленный"))</x:f>
        <x:v>Быстрый</x:v>
      </x:c>
      <x:c r="M392" s="1" t="str">
        <x:f>IF('Данные'!E392&lt;'Дашборд'!$C$53,"Мало трафика",IF(J392&lt;'Дашборд'!$C$9*'Дашборд'!$C$54,"Да","Нет"))</x:f>
        <x:v>Да</x:v>
      </x:c>
      <x:c r="N392" s="1" t="str">
        <x:f>IF(AND('Данные'!D392&gt;='Дашборд'!$C$55,D392&lt;'Дашборд'!$C$56,'Данные'!E392&gt;='Дашборд'!$C$53,'Данные'!L392&lt;&gt;"Да"),"Да","Нет")</x:f>
        <x:v>Да</x:v>
      </x:c>
      <x:c r="O392" s="1" t="str">
        <x:f>'Данные'!L392</x:f>
        <x:v>Нет</x:v>
      </x:c>
    </x:row>
    <x:row r="393">
      <x:c r="A393" s="1" t="str">
        <x:f>'Данные'!A393</x:f>
        <x:v>202779180</x:v>
      </x:c>
      <x:c r="B393" s="1" t="str">
        <x:f>'Данные'!B393</x:f>
        <x:v>hudiprint/Goodthinks-57/светло-зеленый</x:v>
      </x:c>
      <x:c r="C393" s="8" t="n">
        <x:f>'Данные'!G393</x:f>
        <x:v>545097</x:v>
      </x:c>
      <x:c r="D393" s="15" t="n">
        <x:f>C393/SUM($C$5:$C$2477)</x:f>
        <x:v>0.0006367951954831297</x:v>
      </x:c>
      <x:c r="E393" s="15" t="n">
        <x:f>SUM($D$5:D393)</x:f>
        <x:v>0.7676629486886606</x:v>
      </x:c>
      <x:c r="F393" s="1" t="str">
        <x:f>IF(C393&lt;=0,"C",IF(E393-D393&lt;'Дашборд'!$C$49,"A",IF(E393-D393&lt;'Дашборд'!$C$50,"B","C")))</x:f>
        <x:v>A</x:v>
      </x:c>
      <x:c r="G393" s="8" t="n">
        <x:f>'Данные'!F393</x:f>
        <x:v>506</x:v>
      </x:c>
      <x:c r="H393" s="8" t="n">
        <x:f>SUM('Данные'!H393:I393)</x:f>
        <x:v>33</x:v>
      </x:c>
      <x:c r="I393" s="16" t="n">
        <x:f>IF(H393&gt;0,G393/H393,"n.a.")</x:f>
        <x:v>15.333333333333334</x:v>
      </x:c>
      <x:c r="J393" s="10" t="n">
        <x:f>IF('Данные'!E393&gt;0,G393/'Данные'!E393,"n.a.")</x:f>
        <x:v>0.011884350705780117</x:v>
      </x:c>
      <x:c r="K393" s="1" t="str">
        <x:f>IF(G393&gt;='Дашборд'!$C$51,"X","Z")</x:f>
        <x:v>X</x:v>
      </x:c>
      <x:c r="L393" s="1" t="str">
        <x:f>IF(H393=0,IF(G393&gt;0,"Нет остатка","Нет спроса"),IF(I393&gt;='Дашборд'!$C$52,"Быстрый","Медленный"))</x:f>
        <x:v>Быстрый</x:v>
      </x:c>
      <x:c r="M393" s="1" t="str">
        <x:f>IF('Данные'!E393&lt;'Дашборд'!$C$53,"Мало трафика",IF(J393&lt;'Дашборд'!$C$9*'Дашборд'!$C$54,"Да","Нет"))</x:f>
        <x:v>Нет</x:v>
      </x:c>
      <x:c r="N393" s="1" t="str">
        <x:f>IF(AND('Данные'!D393&gt;='Дашборд'!$C$55,D393&lt;'Дашборд'!$C$56,'Данные'!E393&gt;='Дашборд'!$C$53,'Данные'!L393&lt;&gt;"Да"),"Да","Нет")</x:f>
        <x:v>Нет</x:v>
      </x:c>
      <x:c r="O393" s="1" t="str">
        <x:f>'Данные'!L393</x:f>
        <x:v>Нет</x:v>
      </x:c>
    </x:row>
    <x:row r="394">
      <x:c r="A394" s="1" t="str">
        <x:f>'Данные'!A394</x:f>
        <x:v>294015407</x:v>
      </x:c>
      <x:c r="B394" s="1" t="str">
        <x:f>'Данные'!B394</x:f>
        <x:v>svitfix3F-77/молочный</x:v>
      </x:c>
      <x:c r="C394" s="8" t="n">
        <x:f>'Данные'!G394</x:f>
        <x:v>542137</x:v>
      </x:c>
      <x:c r="D394" s="15" t="n">
        <x:f>C394/SUM($C$5:$C$2477)</x:f>
        <x:v>0.0006333372535413651</x:v>
      </x:c>
      <x:c r="E394" s="15" t="n">
        <x:f>SUM($D$5:D394)</x:f>
        <x:v>0.7682962859422019</x:v>
      </x:c>
      <x:c r="F394" s="1" t="str">
        <x:f>IF(C394&lt;=0,"C",IF(E394-D394&lt;'Дашборд'!$C$49,"A",IF(E394-D394&lt;'Дашборд'!$C$50,"B","C")))</x:f>
        <x:v>A</x:v>
      </x:c>
      <x:c r="G394" s="8" t="n">
        <x:f>'Данные'!F394</x:f>
        <x:v>618</x:v>
      </x:c>
      <x:c r="H394" s="8" t="n">
        <x:f>SUM('Данные'!H394:I394)</x:f>
        <x:v>297</x:v>
      </x:c>
      <x:c r="I394" s="16" t="n">
        <x:f>IF(H394&gt;0,G394/H394,"n.a.")</x:f>
        <x:v>2.080808080808081</x:v>
      </x:c>
      <x:c r="J394" s="10" t="n">
        <x:f>IF('Данные'!E394&gt;0,G394/'Данные'!E394,"n.a.")</x:f>
        <x:v>0.025217284857387685</x:v>
      </x:c>
      <x:c r="K394" s="1" t="str">
        <x:f>IF(G394&gt;='Дашборд'!$C$51,"X","Z")</x:f>
        <x:v>X</x:v>
      </x:c>
      <x:c r="L394" s="1" t="str">
        <x:f>IF(H394=0,IF(G394&gt;0,"Нет остатка","Нет спроса"),IF(I394&gt;='Дашборд'!$C$52,"Быстрый","Медленный"))</x:f>
        <x:v>Быстрый</x:v>
      </x:c>
      <x:c r="M394" s="1" t="str">
        <x:f>IF('Данные'!E394&lt;'Дашборд'!$C$53,"Мало трафика",IF(J394&lt;'Дашборд'!$C$9*'Дашборд'!$C$54,"Да","Нет"))</x:f>
        <x:v>Нет</x:v>
      </x:c>
      <x:c r="N394" s="1" t="str">
        <x:f>IF(AND('Данные'!D394&gt;='Дашборд'!$C$55,D394&lt;'Дашборд'!$C$56,'Данные'!E394&gt;='Дашборд'!$C$53,'Данные'!L394&lt;&gt;"Да"),"Да","Нет")</x:f>
        <x:v>Нет</x:v>
      </x:c>
      <x:c r="O394" s="1" t="str">
        <x:f>'Данные'!L394</x:f>
        <x:v>Нет</x:v>
      </x:c>
    </x:row>
    <x:row r="395">
      <x:c r="A395" s="1" t="str">
        <x:f>'Данные'!A395</x:f>
        <x:v>175116952</x:v>
      </x:c>
      <x:c r="B395" s="1" t="str">
        <x:f>'Данные'!B395</x:f>
        <x:v>reglanman/черный</x:v>
      </x:c>
      <x:c r="C395" s="8" t="n">
        <x:f>'Данные'!G395</x:f>
        <x:v>541465</x:v>
      </x:c>
      <x:c r="D395" s="15" t="n">
        <x:f>C395/SUM($C$5:$C$2477)</x:f>
        <x:v>0.0006325522072626942</x:v>
      </x:c>
      <x:c r="E395" s="15" t="n">
        <x:f>SUM($D$5:D395)</x:f>
        <x:v>0.7689288381494646</x:v>
      </x:c>
      <x:c r="F395" s="1" t="str">
        <x:f>IF(C395&lt;=0,"C",IF(E395-D395&lt;'Дашборд'!$C$49,"A",IF(E395-D395&lt;'Дашборд'!$C$50,"B","C")))</x:f>
        <x:v>A</x:v>
      </x:c>
      <x:c r="G395" s="8" t="n">
        <x:f>'Данные'!F395</x:f>
        <x:v>1161</x:v>
      </x:c>
      <x:c r="H395" s="8" t="n">
        <x:f>SUM('Данные'!H395:I395)</x:f>
        <x:v>224</x:v>
      </x:c>
      <x:c r="I395" s="16" t="n">
        <x:f>IF(H395&gt;0,G395/H395,"n.a.")</x:f>
        <x:v>5.183035714285714</x:v>
      </x:c>
      <x:c r="J395" s="10" t="n">
        <x:f>IF('Данные'!E395&gt;0,G395/'Данные'!E395,"n.a.")</x:f>
        <x:v>0.045739274317456564</x:v>
      </x:c>
      <x:c r="K395" s="1" t="str">
        <x:f>IF(G395&gt;='Дашборд'!$C$51,"X","Z")</x:f>
        <x:v>X</x:v>
      </x:c>
      <x:c r="L395" s="1" t="str">
        <x:f>IF(H395=0,IF(G395&gt;0,"Нет остатка","Нет спроса"),IF(I395&gt;='Дашборд'!$C$52,"Быстрый","Медленный"))</x:f>
        <x:v>Быстрый</x:v>
      </x:c>
      <x:c r="M395" s="1" t="str">
        <x:f>IF('Данные'!E395&lt;'Дашборд'!$C$53,"Мало трафика",IF(J395&lt;'Дашборд'!$C$9*'Дашборд'!$C$54,"Да","Нет"))</x:f>
        <x:v>Нет</x:v>
      </x:c>
      <x:c r="N395" s="1" t="str">
        <x:f>IF(AND('Данные'!D395&gt;='Дашборд'!$C$55,D395&lt;'Дашборд'!$C$56,'Данные'!E395&gt;='Дашборд'!$C$53,'Данные'!L395&lt;&gt;"Да"),"Да","Нет")</x:f>
        <x:v>Нет</x:v>
      </x:c>
      <x:c r="O395" s="1" t="str">
        <x:f>'Данные'!L395</x:f>
        <x:v>Нет</x:v>
      </x:c>
    </x:row>
    <x:row r="396">
      <x:c r="A396" s="1" t="str">
        <x:f>'Данные'!A396</x:f>
        <x:v>216143241</x:v>
      </x:c>
      <x:c r="B396" s="1" t="str">
        <x:f>'Данные'!B396</x:f>
        <x:v>hudivish/MoveClub-93/молочный</x:v>
      </x:c>
      <x:c r="C396" s="8" t="n">
        <x:f>'Данные'!G396</x:f>
        <x:v>539558</x:v>
      </x:c>
      <x:c r="D396" s="15" t="n">
        <x:f>C396/SUM($C$5:$C$2477)</x:f>
        <x:v>0.0006303244048022397</x:v>
      </x:c>
      <x:c r="E396" s="15" t="n">
        <x:f>SUM($D$5:D396)</x:f>
        <x:v>0.7695591625542668</x:v>
      </x:c>
      <x:c r="F396" s="1" t="str">
        <x:f>IF(C396&lt;=0,"C",IF(E396-D396&lt;'Дашборд'!$C$49,"A",IF(E396-D396&lt;'Дашборд'!$C$50,"B","C")))</x:f>
        <x:v>A</x:v>
      </x:c>
      <x:c r="G396" s="8" t="n">
        <x:f>'Данные'!F396</x:f>
        <x:v>546</x:v>
      </x:c>
      <x:c r="H396" s="8" t="n">
        <x:f>SUM('Данные'!H396:I396)</x:f>
        <x:v>78</x:v>
      </x:c>
      <x:c r="I396" s="16" t="n">
        <x:f>IF(H396&gt;0,G396/H396,"n.a.")</x:f>
        <x:v>7</x:v>
      </x:c>
      <x:c r="J396" s="10" t="n">
        <x:f>IF('Данные'!E396&gt;0,G396/'Данные'!E396,"n.a.")</x:f>
        <x:v>0.01168689398317601</x:v>
      </x:c>
      <x:c r="K396" s="1" t="str">
        <x:f>IF(G396&gt;='Дашборд'!$C$51,"X","Z")</x:f>
        <x:v>X</x:v>
      </x:c>
      <x:c r="L396" s="1" t="str">
        <x:f>IF(H396=0,IF(G396&gt;0,"Нет остатка","Нет спроса"),IF(I396&gt;='Дашборд'!$C$52,"Быстрый","Медленный"))</x:f>
        <x:v>Быстрый</x:v>
      </x:c>
      <x:c r="M396" s="1" t="str">
        <x:f>IF('Данные'!E396&lt;'Дашборд'!$C$53,"Мало трафика",IF(J396&lt;'Дашборд'!$C$9*'Дашборд'!$C$54,"Да","Нет"))</x:f>
        <x:v>Нет</x:v>
      </x:c>
      <x:c r="N396" s="1" t="str">
        <x:f>IF(AND('Данные'!D396&gt;='Дашборд'!$C$55,D396&lt;'Дашборд'!$C$56,'Данные'!E396&gt;='Дашборд'!$C$53,'Данные'!L396&lt;&gt;"Да"),"Да","Нет")</x:f>
        <x:v>Нет</x:v>
      </x:c>
      <x:c r="O396" s="1" t="str">
        <x:f>'Данные'!L396</x:f>
        <x:v>Нет</x:v>
      </x:c>
    </x:row>
    <x:row r="397">
      <x:c r="A397" s="1" t="str">
        <x:f>'Данные'!A397</x:f>
        <x:v>256323193</x:v>
      </x:c>
      <x:c r="B397" s="1" t="str">
        <x:f>'Данные'!B397</x:f>
        <x:v>futhlopmanover/коричневый</x:v>
      </x:c>
      <x:c r="C397" s="8" t="n">
        <x:f>'Данные'!G397</x:f>
        <x:v>539049</x:v>
      </x:c>
      <x:c r="D397" s="15" t="n">
        <x:f>C397/SUM($C$5:$C$2477)</x:f>
        <x:v>0.0006297297789750918</x:v>
      </x:c>
      <x:c r="E397" s="15" t="n">
        <x:f>SUM($D$5:D397)</x:f>
        <x:v>0.770188892333242</x:v>
      </x:c>
      <x:c r="F397" s="1" t="str">
        <x:f>IF(C397&lt;=0,"C",IF(E397-D397&lt;'Дашборд'!$C$49,"A",IF(E397-D397&lt;'Дашборд'!$C$50,"B","C")))</x:f>
        <x:v>A</x:v>
      </x:c>
      <x:c r="G397" s="8" t="n">
        <x:f>'Данные'!F397</x:f>
        <x:v>1093</x:v>
      </x:c>
      <x:c r="H397" s="8" t="n">
        <x:f>SUM('Данные'!H397:I397)</x:f>
        <x:v>447</x:v>
      </x:c>
      <x:c r="I397" s="16" t="n">
        <x:f>IF(H397&gt;0,G397/H397,"n.a.")</x:f>
        <x:v>2.4451901565995526</x:v>
      </x:c>
      <x:c r="J397" s="10" t="n">
        <x:f>IF('Данные'!E397&gt;0,G397/'Данные'!E397,"n.a.")</x:f>
        <x:v>0.033887269795994296</x:v>
      </x:c>
      <x:c r="K397" s="1" t="str">
        <x:f>IF(G397&gt;='Дашборд'!$C$51,"X","Z")</x:f>
        <x:v>X</x:v>
      </x:c>
      <x:c r="L397" s="1" t="str">
        <x:f>IF(H397=0,IF(G397&gt;0,"Нет остатка","Нет спроса"),IF(I397&gt;='Дашборд'!$C$52,"Быстрый","Медленный"))</x:f>
        <x:v>Быстрый</x:v>
      </x:c>
      <x:c r="M397" s="1" t="str">
        <x:f>IF('Данные'!E397&lt;'Дашборд'!$C$53,"Мало трафика",IF(J397&lt;'Дашборд'!$C$9*'Дашборд'!$C$54,"Да","Нет"))</x:f>
        <x:v>Нет</x:v>
      </x:c>
      <x:c r="N397" s="1" t="str">
        <x:f>IF(AND('Данные'!D397&gt;='Дашборд'!$C$55,D397&lt;'Дашборд'!$C$56,'Данные'!E397&gt;='Дашборд'!$C$53,'Данные'!L397&lt;&gt;"Да"),"Да","Нет")</x:f>
        <x:v>Нет</x:v>
      </x:c>
      <x:c r="O397" s="1" t="str">
        <x:f>'Данные'!L397</x:f>
        <x:v>Нет</x:v>
      </x:c>
    </x:row>
    <x:row r="398">
      <x:c r="A398" s="1" t="str">
        <x:f>'Данные'!A398</x:f>
        <x:v>211336691</x:v>
      </x:c>
      <x:c r="B398" s="1" t="str">
        <x:f>'Данные'!B398</x:f>
        <x:v>tolstovkazipcrop/розовый</x:v>
      </x:c>
      <x:c r="C398" s="8" t="n">
        <x:f>'Данные'!G398</x:f>
        <x:v>538032</x:v>
      </x:c>
      <x:c r="D398" s="15" t="n">
        <x:f>C398/SUM($C$5:$C$2477)</x:f>
        <x:v>0.0006285416955444246</x:v>
      </x:c>
      <x:c r="E398" s="15" t="n">
        <x:f>SUM($D$5:D398)</x:f>
        <x:v>0.7708174340287863</x:v>
      </x:c>
      <x:c r="F398" s="1" t="str">
        <x:f>IF(C398&lt;=0,"C",IF(E398-D398&lt;'Дашборд'!$C$49,"A",IF(E398-D398&lt;'Дашборд'!$C$50,"B","C")))</x:f>
        <x:v>A</x:v>
      </x:c>
      <x:c r="G398" s="8" t="n">
        <x:f>'Данные'!F398</x:f>
        <x:v>593</x:v>
      </x:c>
      <x:c r="H398" s="8" t="n">
        <x:f>SUM('Данные'!H398:I398)</x:f>
        <x:v>18</x:v>
      </x:c>
      <x:c r="I398" s="16" t="n">
        <x:f>IF(H398&gt;0,G398/H398,"n.a.")</x:f>
        <x:v>32.94444444444444</x:v>
      </x:c>
      <x:c r="J398" s="10" t="n">
        <x:f>IF('Данные'!E398&gt;0,G398/'Данные'!E398,"n.a.")</x:f>
        <x:v>0.016806484525563995</x:v>
      </x:c>
      <x:c r="K398" s="1" t="str">
        <x:f>IF(G398&gt;='Дашборд'!$C$51,"X","Z")</x:f>
        <x:v>X</x:v>
      </x:c>
      <x:c r="L398" s="1" t="str">
        <x:f>IF(H398=0,IF(G398&gt;0,"Нет остатка","Нет спроса"),IF(I398&gt;='Дашборд'!$C$52,"Быстрый","Медленный"))</x:f>
        <x:v>Быстрый</x:v>
      </x:c>
      <x:c r="M398" s="1" t="str">
        <x:f>IF('Данные'!E398&lt;'Дашборд'!$C$53,"Мало трафика",IF(J398&lt;'Дашборд'!$C$9*'Дашборд'!$C$54,"Да","Нет"))</x:f>
        <x:v>Нет</x:v>
      </x:c>
      <x:c r="N398" s="1" t="str">
        <x:f>IF(AND('Данные'!D398&gt;='Дашборд'!$C$55,D398&lt;'Дашборд'!$C$56,'Данные'!E398&gt;='Дашборд'!$C$53,'Данные'!L398&lt;&gt;"Да"),"Да","Нет")</x:f>
        <x:v>Да</x:v>
      </x:c>
      <x:c r="O398" s="1" t="str">
        <x:f>'Данные'!L398</x:f>
        <x:v>Нет</x:v>
      </x:c>
    </x:row>
    <x:row r="399">
      <x:c r="A399" s="1" t="str">
        <x:f>'Данные'!A399</x:f>
        <x:v>234030783</x:v>
      </x:c>
      <x:c r="B399" s="1" t="str">
        <x:f>'Данные'!B399</x:f>
        <x:v>svitshotzipman2/графит</x:v>
      </x:c>
      <x:c r="C399" s="8" t="n">
        <x:f>'Данные'!G399</x:f>
        <x:v>537832</x:v>
      </x:c>
      <x:c r="D399" s="15" t="n">
        <x:f>C399/SUM($C$5:$C$2477)</x:f>
        <x:v>0.0006283080508186297</x:v>
      </x:c>
      <x:c r="E399" s="15" t="n">
        <x:f>SUM($D$5:D399)</x:f>
        <x:v>0.7714457420796049</x:v>
      </x:c>
      <x:c r="F399" s="1" t="str">
        <x:f>IF(C399&lt;=0,"C",IF(E399-D399&lt;'Дашборд'!$C$49,"A",IF(E399-D399&lt;'Дашборд'!$C$50,"B","C")))</x:f>
        <x:v>A</x:v>
      </x:c>
      <x:c r="G399" s="8" t="n">
        <x:f>'Данные'!F399</x:f>
        <x:v>665</x:v>
      </x:c>
      <x:c r="H399" s="8" t="n">
        <x:f>SUM('Данные'!H399:I399)</x:f>
        <x:v>26</x:v>
      </x:c>
      <x:c r="I399" s="16" t="n">
        <x:f>IF(H399&gt;0,G399/H399,"n.a.")</x:f>
        <x:v>25.576923076923077</x:v>
      </x:c>
      <x:c r="J399" s="10" t="n">
        <x:f>IF('Данные'!E399&gt;0,G399/'Данные'!E399,"n.a.")</x:f>
        <x:v>0.014000884266374719</x:v>
      </x:c>
      <x:c r="K399" s="1" t="str">
        <x:f>IF(G399&gt;='Дашборд'!$C$51,"X","Z")</x:f>
        <x:v>X</x:v>
      </x:c>
      <x:c r="L399" s="1" t="str">
        <x:f>IF(H399=0,IF(G399&gt;0,"Нет остатка","Нет спроса"),IF(I399&gt;='Дашборд'!$C$52,"Быстрый","Медленный"))</x:f>
        <x:v>Быстрый</x:v>
      </x:c>
      <x:c r="M399" s="1" t="str">
        <x:f>IF('Данные'!E399&lt;'Дашборд'!$C$53,"Мало трафика",IF(J399&lt;'Дашборд'!$C$9*'Дашборд'!$C$54,"Да","Нет"))</x:f>
        <x:v>Нет</x:v>
      </x:c>
      <x:c r="N399" s="1" t="str">
        <x:f>IF(AND('Данные'!D399&gt;='Дашборд'!$C$55,D399&lt;'Дашборд'!$C$56,'Данные'!E399&gt;='Дашборд'!$C$53,'Данные'!L399&lt;&gt;"Да"),"Да","Нет")</x:f>
        <x:v>Да</x:v>
      </x:c>
      <x:c r="O399" s="1" t="str">
        <x:f>'Данные'!L399</x:f>
        <x:v>Нет</x:v>
      </x:c>
    </x:row>
    <x:row r="400">
      <x:c r="A400" s="1" t="str">
        <x:f>'Данные'!A400</x:f>
        <x:v>320424586</x:v>
      </x:c>
      <x:c r="B400" s="1" t="str">
        <x:f>'Данные'!B400</x:f>
        <x:v>brukizshp3P-S-1/бордовый</x:v>
      </x:c>
      <x:c r="C400" s="8" t="n">
        <x:f>'Данные'!G400</x:f>
        <x:v>536536</x:v>
      </x:c>
      <x:c r="D400" s="15" t="n">
        <x:f>C400/SUM($C$5:$C$2477)</x:f>
        <x:v>0.0006267940329954787</x:v>
      </x:c>
      <x:c r="E400" s="15" t="n">
        <x:f>SUM($D$5:D400)</x:f>
        <x:v>0.7720725361126004</x:v>
      </x:c>
      <x:c r="F400" s="1" t="str">
        <x:f>IF(C400&lt;=0,"C",IF(E400-D400&lt;'Дашборд'!$C$49,"A",IF(E400-D400&lt;'Дашборд'!$C$50,"B","C")))</x:f>
        <x:v>A</x:v>
      </x:c>
      <x:c r="G400" s="8" t="n">
        <x:f>'Данные'!F400</x:f>
        <x:v>650</x:v>
      </x:c>
      <x:c r="H400" s="8" t="n">
        <x:f>SUM('Данные'!H400:I400)</x:f>
        <x:v>89</x:v>
      </x:c>
      <x:c r="I400" s="16" t="n">
        <x:f>IF(H400&gt;0,G400/H400,"n.a.")</x:f>
        <x:v>7.303370786516854</x:v>
      </x:c>
      <x:c r="J400" s="10" t="n">
        <x:f>IF('Данные'!E400&gt;0,G400/'Данные'!E400,"n.a.")</x:f>
        <x:v>0.01626789468415257</x:v>
      </x:c>
      <x:c r="K400" s="1" t="str">
        <x:f>IF(G400&gt;='Дашборд'!$C$51,"X","Z")</x:f>
        <x:v>X</x:v>
      </x:c>
      <x:c r="L400" s="1" t="str">
        <x:f>IF(H400=0,IF(G400&gt;0,"Нет остатка","Нет спроса"),IF(I400&gt;='Дашборд'!$C$52,"Быстрый","Медленный"))</x:f>
        <x:v>Быстрый</x:v>
      </x:c>
      <x:c r="M400" s="1" t="str">
        <x:f>IF('Данные'!E400&lt;'Дашборд'!$C$53,"Мало трафика",IF(J400&lt;'Дашборд'!$C$9*'Дашборд'!$C$54,"Да","Нет"))</x:f>
        <x:v>Нет</x:v>
      </x:c>
      <x:c r="N400" s="1" t="str">
        <x:f>IF(AND('Данные'!D400&gt;='Дашборд'!$C$55,D400&lt;'Дашборд'!$C$56,'Данные'!E400&gt;='Дашборд'!$C$53,'Данные'!L400&lt;&gt;"Да"),"Да","Нет")</x:f>
        <x:v>Нет</x:v>
      </x:c>
      <x:c r="O400" s="1" t="str">
        <x:f>'Данные'!L400</x:f>
        <x:v>Нет</x:v>
      </x:c>
    </x:row>
    <x:row r="401">
      <x:c r="A401" s="1" t="str">
        <x:f>'Данные'!A401</x:f>
        <x:v>221503657</x:v>
      </x:c>
      <x:c r="B401" s="1" t="str">
        <x:f>'Данные'!B401</x:f>
        <x:v>baza/красный</x:v>
      </x:c>
      <x:c r="C401" s="8" t="n">
        <x:f>'Данные'!G401</x:f>
        <x:v>535790</x:v>
      </x:c>
      <x:c r="D401" s="15" t="n">
        <x:f>C401/SUM($C$5:$C$2477)</x:f>
        <x:v>0.0006259225381682638</x:v>
      </x:c>
      <x:c r="E401" s="15" t="n">
        <x:f>SUM($D$5:D401)</x:f>
        <x:v>0.7726984586507687</x:v>
      </x:c>
      <x:c r="F401" s="1" t="str">
        <x:f>IF(C401&lt;=0,"C",IF(E401-D401&lt;'Дашборд'!$C$49,"A",IF(E401-D401&lt;'Дашборд'!$C$50,"B","C")))</x:f>
        <x:v>A</x:v>
      </x:c>
      <x:c r="G401" s="8" t="n">
        <x:f>'Данные'!F401</x:f>
        <x:v>1177</x:v>
      </x:c>
      <x:c r="H401" s="8" t="n">
        <x:f>SUM('Данные'!H401:I401)</x:f>
        <x:v>254</x:v>
      </x:c>
      <x:c r="I401" s="16" t="n">
        <x:f>IF(H401&gt;0,G401/H401,"n.a.")</x:f>
        <x:v>4.633858267716535</x:v>
      </x:c>
      <x:c r="J401" s="10" t="n">
        <x:f>IF('Данные'!E401&gt;0,G401/'Данные'!E401,"n.a.")</x:f>
        <x:v>0.025703740909785767</x:v>
      </x:c>
      <x:c r="K401" s="1" t="str">
        <x:f>IF(G401&gt;='Дашборд'!$C$51,"X","Z")</x:f>
        <x:v>X</x:v>
      </x:c>
      <x:c r="L401" s="1" t="str">
        <x:f>IF(H401=0,IF(G401&gt;0,"Нет остатка","Нет спроса"),IF(I401&gt;='Дашборд'!$C$52,"Быстрый","Медленный"))</x:f>
        <x:v>Быстрый</x:v>
      </x:c>
      <x:c r="M401" s="1" t="str">
        <x:f>IF('Данные'!E401&lt;'Дашборд'!$C$53,"Мало трафика",IF(J401&lt;'Дашборд'!$C$9*'Дашборд'!$C$54,"Да","Нет"))</x:f>
        <x:v>Нет</x:v>
      </x:c>
      <x:c r="N401" s="1" t="str">
        <x:f>IF(AND('Данные'!D401&gt;='Дашборд'!$C$55,D401&lt;'Дашборд'!$C$56,'Данные'!E401&gt;='Дашборд'!$C$53,'Данные'!L401&lt;&gt;"Да"),"Да","Нет")</x:f>
        <x:v>Нет</x:v>
      </x:c>
      <x:c r="O401" s="1" t="str">
        <x:f>'Данные'!L401</x:f>
        <x:v>Нет</x:v>
      </x:c>
    </x:row>
    <x:row r="402">
      <x:c r="A402" s="1" t="str">
        <x:f>'Данные'!A402</x:f>
        <x:v>249222972</x:v>
      </x:c>
      <x:c r="B402" s="1" t="str">
        <x:f>'Данные'!B402</x:f>
        <x:v>svitshotpolopetl3P-60/молочный</x:v>
      </x:c>
      <x:c r="C402" s="8" t="n">
        <x:f>'Данные'!G402</x:f>
        <x:v>534172</x:v>
      </x:c>
      <x:c r="D402" s="15" t="n">
        <x:f>C402/SUM($C$5:$C$2477)</x:f>
        <x:v>0.0006240323523365829</x:v>
      </x:c>
      <x:c r="E402" s="15" t="n">
        <x:f>SUM($D$5:D402)</x:f>
        <x:v>0.7733224910031052</x:v>
      </x:c>
      <x:c r="F402" s="1" t="str">
        <x:f>IF(C402&lt;=0,"C",IF(E402-D402&lt;'Дашборд'!$C$49,"A",IF(E402-D402&lt;'Дашборд'!$C$50,"B","C")))</x:f>
        <x:v>A</x:v>
      </x:c>
      <x:c r="G402" s="8" t="n">
        <x:f>'Данные'!F402</x:f>
        <x:v>652</x:v>
      </x:c>
      <x:c r="H402" s="8" t="n">
        <x:f>SUM('Данные'!H402:I402)</x:f>
        <x:v>78</x:v>
      </x:c>
      <x:c r="I402" s="16" t="n">
        <x:f>IF(H402&gt;0,G402/H402,"n.a.")</x:f>
        <x:v>8.35897435897436</x:v>
      </x:c>
      <x:c r="J402" s="10" t="n">
        <x:f>IF('Данные'!E402&gt;0,G402/'Данные'!E402,"n.a.")</x:f>
        <x:v>0.01048855428470312</x:v>
      </x:c>
      <x:c r="K402" s="1" t="str">
        <x:f>IF(G402&gt;='Дашборд'!$C$51,"X","Z")</x:f>
        <x:v>X</x:v>
      </x:c>
      <x:c r="L402" s="1" t="str">
        <x:f>IF(H402=0,IF(G402&gt;0,"Нет остатка","Нет спроса"),IF(I402&gt;='Дашборд'!$C$52,"Быстрый","Медленный"))</x:f>
        <x:v>Быстрый</x:v>
      </x:c>
      <x:c r="M402" s="1" t="str">
        <x:f>IF('Данные'!E402&lt;'Дашборд'!$C$53,"Мало трафика",IF(J402&lt;'Дашборд'!$C$9*'Дашборд'!$C$54,"Да","Нет"))</x:f>
        <x:v>Нет</x:v>
      </x:c>
      <x:c r="N402" s="1" t="str">
        <x:f>IF(AND('Данные'!D402&gt;='Дашборд'!$C$55,D402&lt;'Дашборд'!$C$56,'Данные'!E402&gt;='Дашборд'!$C$53,'Данные'!L402&lt;&gt;"Да"),"Да","Нет")</x:f>
        <x:v>Нет</x:v>
      </x:c>
      <x:c r="O402" s="1" t="str">
        <x:f>'Данные'!L402</x:f>
        <x:v>Нет</x:v>
      </x:c>
    </x:row>
    <x:row r="403">
      <x:c r="A403" s="1" t="str">
        <x:f>'Данные'!A403</x:f>
        <x:v>260797913</x:v>
      </x:c>
      <x:c r="B403" s="1" t="str">
        <x:f>'Данные'!B403</x:f>
        <x:v>hudicrop1/темно-серый</x:v>
      </x:c>
      <x:c r="C403" s="8" t="n">
        <x:f>'Данные'!G403</x:f>
        <x:v>532299</x:v>
      </x:c>
      <x:c r="D403" s="15" t="n">
        <x:f>C403/SUM($C$5:$C$2477)</x:f>
        <x:v>0.0006218442694795137</x:v>
      </x:c>
      <x:c r="E403" s="15" t="n">
        <x:f>SUM($D$5:D403)</x:f>
        <x:v>0.7739443352725848</x:v>
      </x:c>
      <x:c r="F403" s="1" t="str">
        <x:f>IF(C403&lt;=0,"C",IF(E403-D403&lt;'Дашборд'!$C$49,"A",IF(E403-D403&lt;'Дашборд'!$C$50,"B","C")))</x:f>
        <x:v>A</x:v>
      </x:c>
      <x:c r="G403" s="8" t="n">
        <x:f>'Данные'!F403</x:f>
        <x:v>516</x:v>
      </x:c>
      <x:c r="H403" s="8" t="n">
        <x:f>SUM('Данные'!H403:I403)</x:f>
        <x:v>212</x:v>
      </x:c>
      <x:c r="I403" s="16" t="n">
        <x:f>IF(H403&gt;0,G403/H403,"n.a.")</x:f>
        <x:v>2.4339622641509435</x:v>
      </x:c>
      <x:c r="J403" s="10" t="n">
        <x:f>IF('Данные'!E403&gt;0,G403/'Данные'!E403,"n.a.")</x:f>
        <x:v>0.011046885035324342</x:v>
      </x:c>
      <x:c r="K403" s="1" t="str">
        <x:f>IF(G403&gt;='Дашборд'!$C$51,"X","Z")</x:f>
        <x:v>X</x:v>
      </x:c>
      <x:c r="L403" s="1" t="str">
        <x:f>IF(H403=0,IF(G403&gt;0,"Нет остатка","Нет спроса"),IF(I403&gt;='Дашборд'!$C$52,"Быстрый","Медленный"))</x:f>
        <x:v>Быстрый</x:v>
      </x:c>
      <x:c r="M403" s="1" t="str">
        <x:f>IF('Данные'!E403&lt;'Дашборд'!$C$53,"Мало трафика",IF(J403&lt;'Дашборд'!$C$9*'Дашборд'!$C$54,"Да","Нет"))</x:f>
        <x:v>Нет</x:v>
      </x:c>
      <x:c r="N403" s="1" t="str">
        <x:f>IF(AND('Данные'!D403&gt;='Дашборд'!$C$55,D403&lt;'Дашборд'!$C$56,'Данные'!E403&gt;='Дашборд'!$C$53,'Данные'!L403&lt;&gt;"Да"),"Да","Нет")</x:f>
        <x:v>Нет</x:v>
      </x:c>
      <x:c r="O403" s="1" t="str">
        <x:f>'Данные'!L403</x:f>
        <x:v>Нет</x:v>
      </x:c>
    </x:row>
    <x:row r="404">
      <x:c r="A404" s="1" t="str">
        <x:f>'Данные'!A404</x:f>
        <x:v>218974175</x:v>
      </x:c>
      <x:c r="B404" s="1" t="str">
        <x:f>'Данные'!B404</x:f>
        <x:v>topmayka/белый</x:v>
      </x:c>
      <x:c r="C404" s="8" t="n">
        <x:f>'Данные'!G404</x:f>
        <x:v>530285</x:v>
      </x:c>
      <x:c r="D404" s="15" t="n">
        <x:f>C404/SUM($C$5:$C$2477)</x:f>
        <x:v>0.000619491467090759</x:v>
      </x:c>
      <x:c r="E404" s="15" t="n">
        <x:f>SUM($D$5:D404)</x:f>
        <x:v>0.7745638267396755</x:v>
      </x:c>
      <x:c r="F404" s="1" t="str">
        <x:f>IF(C404&lt;=0,"C",IF(E404-D404&lt;'Дашборд'!$C$49,"A",IF(E404-D404&lt;'Дашборд'!$C$50,"B","C")))</x:f>
        <x:v>A</x:v>
      </x:c>
      <x:c r="G404" s="8" t="n">
        <x:f>'Данные'!F404</x:f>
        <x:v>2376</x:v>
      </x:c>
      <x:c r="H404" s="8" t="n">
        <x:f>SUM('Данные'!H404:I404)</x:f>
        <x:v>660</x:v>
      </x:c>
      <x:c r="I404" s="16" t="n">
        <x:f>IF(H404&gt;0,G404/H404,"n.a.")</x:f>
        <x:v>3.6</x:v>
      </x:c>
      <x:c r="J404" s="10" t="n">
        <x:f>IF('Данные'!E404&gt;0,G404/'Данные'!E404,"n.a.")</x:f>
        <x:v>0.03739023699367387</x:v>
      </x:c>
      <x:c r="K404" s="1" t="str">
        <x:f>IF(G404&gt;='Дашборд'!$C$51,"X","Z")</x:f>
        <x:v>X</x:v>
      </x:c>
      <x:c r="L404" s="1" t="str">
        <x:f>IF(H404=0,IF(G404&gt;0,"Нет остатка","Нет спроса"),IF(I404&gt;='Дашборд'!$C$52,"Быстрый","Медленный"))</x:f>
        <x:v>Быстрый</x:v>
      </x:c>
      <x:c r="M404" s="1" t="str">
        <x:f>IF('Данные'!E404&lt;'Дашборд'!$C$53,"Мало трафика",IF(J404&lt;'Дашборд'!$C$9*'Дашборд'!$C$54,"Да","Нет"))</x:f>
        <x:v>Нет</x:v>
      </x:c>
      <x:c r="N404" s="1" t="str">
        <x:f>IF(AND('Данные'!D404&gt;='Дашборд'!$C$55,D404&lt;'Дашборд'!$C$56,'Данные'!E404&gt;='Дашборд'!$C$53,'Данные'!L404&lt;&gt;"Да"),"Да","Нет")</x:f>
        <x:v>Да</x:v>
      </x:c>
      <x:c r="O404" s="1" t="str">
        <x:f>'Данные'!L404</x:f>
        <x:v>Нет</x:v>
      </x:c>
    </x:row>
    <x:row r="405">
      <x:c r="A405" s="1" t="str">
        <x:f>'Данные'!A405</x:f>
        <x:v>228407608</x:v>
      </x:c>
      <x:c r="B405" s="1" t="str">
        <x:f>'Данные'!B405</x:f>
        <x:v>futbolkaprint/Smile-143/серыймеланж</x:v>
      </x:c>
      <x:c r="C405" s="8" t="n">
        <x:f>'Данные'!G405</x:f>
        <x:v>526004</x:v>
      </x:c>
      <x:c r="D405" s="15" t="n">
        <x:f>C405/SUM($C$5:$C$2477)</x:f>
        <x:v>0.000614490301735119</x:v>
      </x:c>
      <x:c r="E405" s="15" t="n">
        <x:f>SUM($D$5:D405)</x:f>
        <x:v>0.7751783170414106</x:v>
      </x:c>
      <x:c r="F405" s="1" t="str">
        <x:f>IF(C405&lt;=0,"C",IF(E405-D405&lt;'Дашборд'!$C$49,"A",IF(E405-D405&lt;'Дашборд'!$C$50,"B","C")))</x:f>
        <x:v>A</x:v>
      </x:c>
      <x:c r="G405" s="8" t="n">
        <x:f>'Данные'!F405</x:f>
        <x:v>952</x:v>
      </x:c>
      <x:c r="H405" s="8" t="n">
        <x:f>SUM('Данные'!H405:I405)</x:f>
        <x:v>1</x:v>
      </x:c>
      <x:c r="I405" s="16" t="n">
        <x:f>IF(H405&gt;0,G405/H405,"n.a.")</x:f>
        <x:v>952</x:v>
      </x:c>
      <x:c r="J405" s="10" t="n">
        <x:f>IF('Данные'!E405&gt;0,G405/'Данные'!E405,"n.a.")</x:f>
        <x:v>0.010889209159746529</x:v>
      </x:c>
      <x:c r="K405" s="1" t="str">
        <x:f>IF(G405&gt;='Дашборд'!$C$51,"X","Z")</x:f>
        <x:v>X</x:v>
      </x:c>
      <x:c r="L405" s="1" t="str">
        <x:f>IF(H405=0,IF(G405&gt;0,"Нет остатка","Нет спроса"),IF(I405&gt;='Дашборд'!$C$52,"Быстрый","Медленный"))</x:f>
        <x:v>Быстрый</x:v>
      </x:c>
      <x:c r="M405" s="1" t="str">
        <x:f>IF('Данные'!E405&lt;'Дашборд'!$C$53,"Мало трафика",IF(J405&lt;'Дашборд'!$C$9*'Дашборд'!$C$54,"Да","Нет"))</x:f>
        <x:v>Нет</x:v>
      </x:c>
      <x:c r="N405" s="1" t="str">
        <x:f>IF(AND('Данные'!D405&gt;='Дашборд'!$C$55,D405&lt;'Дашборд'!$C$56,'Данные'!E405&gt;='Дашборд'!$C$53,'Данные'!L405&lt;&gt;"Да"),"Да","Нет")</x:f>
        <x:v>Нет</x:v>
      </x:c>
      <x:c r="O405" s="1" t="str">
        <x:f>'Данные'!L405</x:f>
        <x:v>Нет</x:v>
      </x:c>
    </x:row>
    <x:row r="406">
      <x:c r="A406" s="1" t="str">
        <x:f>'Данные'!A406</x:f>
        <x:v>222802034</x:v>
      </x:c>
      <x:c r="B406" s="1" t="str">
        <x:f>'Данные'!B406</x:f>
        <x:v>hudipetl/молочный</x:v>
      </x:c>
      <x:c r="C406" s="8" t="n">
        <x:f>'Данные'!G406</x:f>
        <x:v>525170</x:v>
      </x:c>
      <x:c r="D406" s="15" t="n">
        <x:f>C406/SUM($C$5:$C$2477)</x:f>
        <x:v>0.0006135160032285542</x:v>
      </x:c>
      <x:c r="E406" s="15" t="n">
        <x:f>SUM($D$5:D406)</x:f>
        <x:v>0.7757918330446392</x:v>
      </x:c>
      <x:c r="F406" s="1" t="str">
        <x:f>IF(C406&lt;=0,"C",IF(E406-D406&lt;'Дашборд'!$C$49,"A",IF(E406-D406&lt;'Дашборд'!$C$50,"B","C")))</x:f>
        <x:v>A</x:v>
      </x:c>
      <x:c r="G406" s="8" t="n">
        <x:f>'Данные'!F406</x:f>
        <x:v>514</x:v>
      </x:c>
      <x:c r="H406" s="8" t="n">
        <x:f>SUM('Данные'!H406:I406)</x:f>
        <x:v>30</x:v>
      </x:c>
      <x:c r="I406" s="16" t="n">
        <x:f>IF(H406&gt;0,G406/H406,"n.a.")</x:f>
        <x:v>17.133333333333333</x:v>
      </x:c>
      <x:c r="J406" s="10" t="n">
        <x:f>IF('Данные'!E406&gt;0,G406/'Данные'!E406,"n.a.")</x:f>
        <x:v>0.01709003856895864</x:v>
      </x:c>
      <x:c r="K406" s="1" t="str">
        <x:f>IF(G406&gt;='Дашборд'!$C$51,"X","Z")</x:f>
        <x:v>X</x:v>
      </x:c>
      <x:c r="L406" s="1" t="str">
        <x:f>IF(H406=0,IF(G406&gt;0,"Нет остатка","Нет спроса"),IF(I406&gt;='Дашборд'!$C$52,"Быстрый","Медленный"))</x:f>
        <x:v>Быстрый</x:v>
      </x:c>
      <x:c r="M406" s="1" t="str">
        <x:f>IF('Данные'!E406&lt;'Дашборд'!$C$53,"Мало трафика",IF(J406&lt;'Дашборд'!$C$9*'Дашборд'!$C$54,"Да","Нет"))</x:f>
        <x:v>Нет</x:v>
      </x:c>
      <x:c r="N406" s="1" t="str">
        <x:f>IF(AND('Данные'!D406&gt;='Дашборд'!$C$55,D406&lt;'Дашборд'!$C$56,'Данные'!E406&gt;='Дашборд'!$C$53,'Данные'!L406&lt;&gt;"Да"),"Да","Нет")</x:f>
        <x:v>Нет</x:v>
      </x:c>
      <x:c r="O406" s="1" t="str">
        <x:f>'Данные'!L406</x:f>
        <x:v>Нет</x:v>
      </x:c>
    </x:row>
    <x:row r="407">
      <x:c r="A407" s="1" t="str">
        <x:f>'Данные'!A407</x:f>
        <x:v>335591098</x:v>
      </x:c>
      <x:c r="B407" s="1" t="str">
        <x:f>'Данные'!B407</x:f>
        <x:v>top/белый</x:v>
      </x:c>
      <x:c r="C407" s="8" t="n">
        <x:f>'Данные'!G407</x:f>
        <x:v>524107</x:v>
      </x:c>
      <x:c r="D407" s="15" t="n">
        <x:f>C407/SUM($C$5:$C$2477)</x:f>
        <x:v>0.0006122741815109543</x:v>
      </x:c>
      <x:c r="E407" s="15" t="n">
        <x:f>SUM($D$5:D407)</x:f>
        <x:v>0.7764041072261502</x:v>
      </x:c>
      <x:c r="F407" s="1" t="str">
        <x:f>IF(C407&lt;=0,"C",IF(E407-D407&lt;'Дашборд'!$C$49,"A",IF(E407-D407&lt;'Дашборд'!$C$50,"B","C")))</x:f>
        <x:v>A</x:v>
      </x:c>
      <x:c r="G407" s="8" t="n">
        <x:f>'Данные'!F407</x:f>
        <x:v>1983</x:v>
      </x:c>
      <x:c r="H407" s="8" t="n">
        <x:f>SUM('Данные'!H407:I407)</x:f>
        <x:v>78</x:v>
      </x:c>
      <x:c r="I407" s="16" t="n">
        <x:f>IF(H407&gt;0,G407/H407,"n.a.")</x:f>
        <x:v>25.423076923076923</x:v>
      </x:c>
      <x:c r="J407" s="10" t="n">
        <x:f>IF('Данные'!E407&gt;0,G407/'Данные'!E407,"n.a.")</x:f>
        <x:v>0.029714097338767682</x:v>
      </x:c>
      <x:c r="K407" s="1" t="str">
        <x:f>IF(G407&gt;='Дашборд'!$C$51,"X","Z")</x:f>
        <x:v>X</x:v>
      </x:c>
      <x:c r="L407" s="1" t="str">
        <x:f>IF(H407=0,IF(G407&gt;0,"Нет остатка","Нет спроса"),IF(I407&gt;='Дашборд'!$C$52,"Быстрый","Медленный"))</x:f>
        <x:v>Быстрый</x:v>
      </x:c>
      <x:c r="M407" s="1" t="str">
        <x:f>IF('Данные'!E407&lt;'Дашборд'!$C$53,"Мало трафика",IF(J407&lt;'Дашборд'!$C$9*'Дашборд'!$C$54,"Да","Нет"))</x:f>
        <x:v>Нет</x:v>
      </x:c>
      <x:c r="N407" s="1" t="str">
        <x:f>IF(AND('Данные'!D407&gt;='Дашборд'!$C$55,D407&lt;'Дашборд'!$C$56,'Данные'!E407&gt;='Дашборд'!$C$53,'Данные'!L407&lt;&gt;"Да"),"Да","Нет")</x:f>
        <x:v>Нет</x:v>
      </x:c>
      <x:c r="O407" s="1" t="str">
        <x:f>'Данные'!L407</x:f>
        <x:v>Нет</x:v>
      </x:c>
    </x:row>
    <x:row r="408">
      <x:c r="A408" s="1" t="str">
        <x:f>'Данные'!A408</x:f>
        <x:v>256612329</x:v>
      </x:c>
      <x:c r="B408" s="1" t="str">
        <x:f>'Данные'!B408</x:f>
        <x:v>palazzoshnurok/темно-серый</x:v>
      </x:c>
      <x:c r="C408" s="8" t="n">
        <x:f>'Данные'!G408</x:f>
        <x:v>523538</x:v>
      </x:c>
      <x:c r="D408" s="15" t="n">
        <x:f>C408/SUM($C$5:$C$2477)</x:f>
        <x:v>0.0006116094622660678</x:v>
      </x:c>
      <x:c r="E408" s="15" t="n">
        <x:f>SUM($D$5:D408)</x:f>
        <x:v>0.7770157166884162</x:v>
      </x:c>
      <x:c r="F408" s="1" t="str">
        <x:f>IF(C408&lt;=0,"C",IF(E408-D408&lt;'Дашборд'!$C$49,"A",IF(E408-D408&lt;'Дашборд'!$C$50,"B","C")))</x:f>
        <x:v>A</x:v>
      </x:c>
      <x:c r="G408" s="8" t="n">
        <x:f>'Данные'!F408</x:f>
        <x:v>950</x:v>
      </x:c>
      <x:c r="H408" s="8" t="n">
        <x:f>SUM('Данные'!H408:I408)</x:f>
        <x:v>154</x:v>
      </x:c>
      <x:c r="I408" s="16" t="n">
        <x:f>IF(H408&gt;0,G408/H408,"n.a.")</x:f>
        <x:v>6.1688311688311686</x:v>
      </x:c>
      <x:c r="J408" s="10" t="n">
        <x:f>IF('Данные'!E408&gt;0,G408/'Данные'!E408,"n.a.")</x:f>
        <x:v>0.025556183251284535</x:v>
      </x:c>
      <x:c r="K408" s="1" t="str">
        <x:f>IF(G408&gt;='Дашборд'!$C$51,"X","Z")</x:f>
        <x:v>X</x:v>
      </x:c>
      <x:c r="L408" s="1" t="str">
        <x:f>IF(H408=0,IF(G408&gt;0,"Нет остатка","Нет спроса"),IF(I408&gt;='Дашборд'!$C$52,"Быстрый","Медленный"))</x:f>
        <x:v>Быстрый</x:v>
      </x:c>
      <x:c r="M408" s="1" t="str">
        <x:f>IF('Данные'!E408&lt;'Дашборд'!$C$53,"Мало трафика",IF(J408&lt;'Дашборд'!$C$9*'Дашборд'!$C$54,"Да","Нет"))</x:f>
        <x:v>Нет</x:v>
      </x:c>
      <x:c r="N408" s="1" t="str">
        <x:f>IF(AND('Данные'!D408&gt;='Дашборд'!$C$55,D408&lt;'Дашборд'!$C$56,'Данные'!E408&gt;='Дашборд'!$C$53,'Данные'!L408&lt;&gt;"Да"),"Да","Нет")</x:f>
        <x:v>Нет</x:v>
      </x:c>
      <x:c r="O408" s="1" t="str">
        <x:f>'Данные'!L408</x:f>
        <x:v>Нет</x:v>
      </x:c>
    </x:row>
    <x:row r="409">
      <x:c r="A409" s="1" t="str">
        <x:f>'Данные'!A409</x:f>
        <x:v>289102046</x:v>
      </x:c>
      <x:c r="B409" s="1" t="str">
        <x:f>'Данные'!B409</x:f>
        <x:v>tolstovkazip3P-70/светло-розовый</x:v>
      </x:c>
      <x:c r="C409" s="8" t="n">
        <x:f>'Данные'!G409</x:f>
        <x:v>520658</x:v>
      </x:c>
      <x:c r="D409" s="15" t="n">
        <x:f>C409/SUM($C$5:$C$2477)</x:f>
        <x:v>0.0006082449782146211</x:v>
      </x:c>
      <x:c r="E409" s="15" t="n">
        <x:f>SUM($D$5:D409)</x:f>
        <x:v>0.7776239616666308</x:v>
      </x:c>
      <x:c r="F409" s="1" t="str">
        <x:f>IF(C409&lt;=0,"C",IF(E409-D409&lt;'Дашборд'!$C$49,"A",IF(E409-D409&lt;'Дашборд'!$C$50,"B","C")))</x:f>
        <x:v>A</x:v>
      </x:c>
      <x:c r="G409" s="8" t="n">
        <x:f>'Данные'!F409</x:f>
        <x:v>723</x:v>
      </x:c>
      <x:c r="H409" s="8" t="n">
        <x:f>SUM('Данные'!H409:I409)</x:f>
        <x:v>3</x:v>
      </x:c>
      <x:c r="I409" s="16" t="n">
        <x:f>IF(H409&gt;0,G409/H409,"n.a.")</x:f>
        <x:v>241</x:v>
      </x:c>
      <x:c r="J409" s="10" t="n">
        <x:f>IF('Данные'!E409&gt;0,G409/'Данные'!E409,"n.a.")</x:f>
        <x:v>0.013813526939243408</x:v>
      </x:c>
      <x:c r="K409" s="1" t="str">
        <x:f>IF(G409&gt;='Дашборд'!$C$51,"X","Z")</x:f>
        <x:v>X</x:v>
      </x:c>
      <x:c r="L409" s="1" t="str">
        <x:f>IF(H409=0,IF(G409&gt;0,"Нет остатка","Нет спроса"),IF(I409&gt;='Дашборд'!$C$52,"Быстрый","Медленный"))</x:f>
        <x:v>Быстрый</x:v>
      </x:c>
      <x:c r="M409" s="1" t="str">
        <x:f>IF('Данные'!E409&lt;'Дашборд'!$C$53,"Мало трафика",IF(J409&lt;'Дашборд'!$C$9*'Дашборд'!$C$54,"Да","Нет"))</x:f>
        <x:v>Нет</x:v>
      </x:c>
      <x:c r="N409" s="1" t="str">
        <x:f>IF(AND('Данные'!D409&gt;='Дашборд'!$C$55,D409&lt;'Дашборд'!$C$56,'Данные'!E409&gt;='Дашборд'!$C$53,'Данные'!L409&lt;&gt;"Да"),"Да","Нет")</x:f>
        <x:v>Да</x:v>
      </x:c>
      <x:c r="O409" s="1" t="str">
        <x:f>'Данные'!L409</x:f>
        <x:v>Нет</x:v>
      </x:c>
    </x:row>
    <x:row r="410">
      <x:c r="A410" s="1" t="str">
        <x:f>'Данные'!A410</x:f>
        <x:v>344423336</x:v>
      </x:c>
      <x:c r="B410" s="1" t="str">
        <x:f>'Данные'!B410</x:f>
        <x:v>2Ntshirt/молочный</x:v>
      </x:c>
      <x:c r="C410" s="8" t="n">
        <x:f>'Данные'!G410</x:f>
        <x:v>519588</x:v>
      </x:c>
      <x:c r="D410" s="15" t="n">
        <x:f>C410/SUM($C$5:$C$2477)</x:f>
        <x:v>0.0006069949789316184</x:v>
      </x:c>
      <x:c r="E410" s="15" t="n">
        <x:f>SUM($D$5:D410)</x:f>
        <x:v>0.7782309566455624</x:v>
      </x:c>
      <x:c r="F410" s="1" t="str">
        <x:f>IF(C410&lt;=0,"C",IF(E410-D410&lt;'Дашборд'!$C$49,"A",IF(E410-D410&lt;'Дашборд'!$C$50,"B","C")))</x:f>
        <x:v>A</x:v>
      </x:c>
      <x:c r="G410" s="8" t="n">
        <x:f>'Данные'!F410</x:f>
        <x:v>1424</x:v>
      </x:c>
      <x:c r="H410" s="8" t="n">
        <x:f>SUM('Данные'!H410:I410)</x:f>
        <x:v>10</x:v>
      </x:c>
      <x:c r="I410" s="16" t="n">
        <x:f>IF(H410&gt;0,G410/H410,"n.a.")</x:f>
        <x:v>142.4</x:v>
      </x:c>
      <x:c r="J410" s="10" t="n">
        <x:f>IF('Данные'!E410&gt;0,G410/'Данные'!E410,"n.a.")</x:f>
        <x:v>0.010170847380149705</x:v>
      </x:c>
      <x:c r="K410" s="1" t="str">
        <x:f>IF(G410&gt;='Дашборд'!$C$51,"X","Z")</x:f>
        <x:v>X</x:v>
      </x:c>
      <x:c r="L410" s="1" t="str">
        <x:f>IF(H410=0,IF(G410&gt;0,"Нет остатка","Нет спроса"),IF(I410&gt;='Дашборд'!$C$52,"Быстрый","Медленный"))</x:f>
        <x:v>Быстрый</x:v>
      </x:c>
      <x:c r="M410" s="1" t="str">
        <x:f>IF('Данные'!E410&lt;'Дашборд'!$C$53,"Мало трафика",IF(J410&lt;'Дашборд'!$C$9*'Дашборд'!$C$54,"Да","Нет"))</x:f>
        <x:v>Нет</x:v>
      </x:c>
      <x:c r="N410" s="1" t="str">
        <x:f>IF(AND('Данные'!D410&gt;='Дашборд'!$C$55,D410&lt;'Дашборд'!$C$56,'Данные'!E410&gt;='Дашборд'!$C$53,'Данные'!L410&lt;&gt;"Да"),"Да","Нет")</x:f>
        <x:v>Нет</x:v>
      </x:c>
      <x:c r="O410" s="1" t="str">
        <x:f>'Данные'!L410</x:f>
        <x:v>Нет</x:v>
      </x:c>
    </x:row>
    <x:row r="411">
      <x:c r="A411" s="1" t="str">
        <x:f>'Данные'!A411</x:f>
        <x:v>260797892</x:v>
      </x:c>
      <x:c r="B411" s="1" t="str">
        <x:f>'Данные'!B411</x:f>
        <x:v>hudicrop1/графит</x:v>
      </x:c>
      <x:c r="C411" s="8" t="n">
        <x:f>'Данные'!G411</x:f>
        <x:v>515844</x:v>
      </x:c>
      <x:c r="D411" s="15" t="n">
        <x:f>C411/SUM($C$5:$C$2477)</x:f>
        <x:v>0.0006026211496647378</x:v>
      </x:c>
      <x:c r="E411" s="15" t="n">
        <x:f>SUM($D$5:D411)</x:f>
        <x:v>0.7788335777952271</x:v>
      </x:c>
      <x:c r="F411" s="1" t="str">
        <x:f>IF(C411&lt;=0,"C",IF(E411-D411&lt;'Дашборд'!$C$49,"A",IF(E411-D411&lt;'Дашборд'!$C$50,"B","C")))</x:f>
        <x:v>A</x:v>
      </x:c>
      <x:c r="G411" s="8" t="n">
        <x:f>'Данные'!F411</x:f>
        <x:v>527</x:v>
      </x:c>
      <x:c r="H411" s="8" t="n">
        <x:f>SUM('Данные'!H411:I411)</x:f>
        <x:v>209</x:v>
      </x:c>
      <x:c r="I411" s="16" t="n">
        <x:f>IF(H411&gt;0,G411/H411,"n.a.")</x:f>
        <x:v>2.521531100478469</x:v>
      </x:c>
      <x:c r="J411" s="10" t="n">
        <x:f>IF('Данные'!E411&gt;0,G411/'Данные'!E411,"n.a.")</x:f>
        <x:v>0.01583295778879375</x:v>
      </x:c>
      <x:c r="K411" s="1" t="str">
        <x:f>IF(G411&gt;='Дашборд'!$C$51,"X","Z")</x:f>
        <x:v>X</x:v>
      </x:c>
      <x:c r="L411" s="1" t="str">
        <x:f>IF(H411=0,IF(G411&gt;0,"Нет остатка","Нет спроса"),IF(I411&gt;='Дашборд'!$C$52,"Быстрый","Медленный"))</x:f>
        <x:v>Быстрый</x:v>
      </x:c>
      <x:c r="M411" s="1" t="str">
        <x:f>IF('Данные'!E411&lt;'Дашборд'!$C$53,"Мало трафика",IF(J411&lt;'Дашборд'!$C$9*'Дашборд'!$C$54,"Да","Нет"))</x:f>
        <x:v>Нет</x:v>
      </x:c>
      <x:c r="N411" s="1" t="str">
        <x:f>IF(AND('Данные'!D411&gt;='Дашборд'!$C$55,D411&lt;'Дашборд'!$C$56,'Данные'!E411&gt;='Дашборд'!$C$53,'Данные'!L411&lt;&gt;"Да"),"Да","Нет")</x:f>
        <x:v>Нет</x:v>
      </x:c>
      <x:c r="O411" s="1" t="str">
        <x:f>'Данные'!L411</x:f>
        <x:v>Нет</x:v>
      </x:c>
    </x:row>
    <x:row r="412">
      <x:c r="A412" s="1" t="str">
        <x:f>'Данные'!A412</x:f>
        <x:v>176176581</x:v>
      </x:c>
      <x:c r="B412" s="1" t="str">
        <x:f>'Данные'!B412</x:f>
        <x:v>hudiman/хаки</x:v>
      </x:c>
      <x:c r="C412" s="8" t="n">
        <x:f>'Данные'!G412</x:f>
        <x:v>515095</x:v>
      </x:c>
      <x:c r="D412" s="15" t="n">
        <x:f>C412/SUM($C$5:$C$2477)</x:f>
        <x:v>0.0006017461501666359</x:v>
      </x:c>
      <x:c r="E412" s="15" t="n">
        <x:f>SUM($D$5:D412)</x:f>
        <x:v>0.7794353239453937</x:v>
      </x:c>
      <x:c r="F412" s="1" t="str">
        <x:f>IF(C412&lt;=0,"C",IF(E412-D412&lt;'Дашборд'!$C$49,"A",IF(E412-D412&lt;'Дашборд'!$C$50,"B","C")))</x:f>
        <x:v>A</x:v>
      </x:c>
      <x:c r="G412" s="8" t="n">
        <x:f>'Данные'!F412</x:f>
        <x:v>519</x:v>
      </x:c>
      <x:c r="H412" s="8" t="n">
        <x:f>SUM('Данные'!H412:I412)</x:f>
        <x:v>419</x:v>
      </x:c>
      <x:c r="I412" s="16" t="n">
        <x:f>IF(H412&gt;0,G412/H412,"n.a.")</x:f>
        <x:v>1.2386634844868736</x:v>
      </x:c>
      <x:c r="J412" s="10" t="n">
        <x:f>IF('Данные'!E412&gt;0,G412/'Данные'!E412,"n.a.")</x:f>
        <x:v>0.031708211143695014</x:v>
      </x:c>
      <x:c r="K412" s="1" t="str">
        <x:f>IF(G412&gt;='Дашборд'!$C$51,"X","Z")</x:f>
        <x:v>X</x:v>
      </x:c>
      <x:c r="L412" s="1" t="str">
        <x:f>IF(H412=0,IF(G412&gt;0,"Нет остатка","Нет спроса"),IF(I412&gt;='Дашборд'!$C$52,"Быстрый","Медленный"))</x:f>
        <x:v>Быстрый</x:v>
      </x:c>
      <x:c r="M412" s="1" t="str">
        <x:f>IF('Данные'!E412&lt;'Дашборд'!$C$53,"Мало трафика",IF(J412&lt;'Дашборд'!$C$9*'Дашборд'!$C$54,"Да","Нет"))</x:f>
        <x:v>Нет</x:v>
      </x:c>
      <x:c r="N412" s="1" t="str">
        <x:f>IF(AND('Данные'!D412&gt;='Дашборд'!$C$55,D412&lt;'Дашборд'!$C$56,'Данные'!E412&gt;='Дашборд'!$C$53,'Данные'!L412&lt;&gt;"Да"),"Да","Нет")</x:f>
        <x:v>Да</x:v>
      </x:c>
      <x:c r="O412" s="1" t="str">
        <x:f>'Данные'!L412</x:f>
        <x:v>Нет</x:v>
      </x:c>
    </x:row>
    <x:row r="413">
      <x:c r="A413" s="1" t="str">
        <x:f>'Данные'!A413</x:f>
        <x:v>333323574</x:v>
      </x:c>
      <x:c r="B413" s="1" t="str">
        <x:f>'Данные'!B413</x:f>
        <x:v>hudicroppetl/дымка</x:v>
      </x:c>
      <x:c r="C413" s="8" t="n">
        <x:f>'Данные'!G413</x:f>
        <x:v>513397</x:v>
      </x:c>
      <x:c r="D413" s="15" t="n">
        <x:f>C413/SUM($C$5:$C$2477)</x:f>
        <x:v>0.0005997625064446371</x:v>
      </x:c>
      <x:c r="E413" s="15" t="n">
        <x:f>SUM($D$5:D413)</x:f>
        <x:v>0.7800350864518384</x:v>
      </x:c>
      <x:c r="F413" s="1" t="str">
        <x:f>IF(C413&lt;=0,"C",IF(E413-D413&lt;'Дашборд'!$C$49,"A",IF(E413-D413&lt;'Дашборд'!$C$50,"B","C")))</x:f>
        <x:v>A</x:v>
      </x:c>
      <x:c r="G413" s="8" t="n">
        <x:f>'Данные'!F413</x:f>
        <x:v>543</x:v>
      </x:c>
      <x:c r="H413" s="8" t="n">
        <x:f>SUM('Данные'!H413:I413)</x:f>
        <x:v>1</x:v>
      </x:c>
      <x:c r="I413" s="16" t="n">
        <x:f>IF(H413&gt;0,G413/H413,"n.a.")</x:f>
        <x:v>543</x:v>
      </x:c>
      <x:c r="J413" s="10" t="n">
        <x:f>IF('Данные'!E413&gt;0,G413/'Данные'!E413,"n.a.")</x:f>
        <x:v>0.017280336059574197</x:v>
      </x:c>
      <x:c r="K413" s="1" t="str">
        <x:f>IF(G413&gt;='Дашборд'!$C$51,"X","Z")</x:f>
        <x:v>X</x:v>
      </x:c>
      <x:c r="L413" s="1" t="str">
        <x:f>IF(H413=0,IF(G413&gt;0,"Нет остатка","Нет спроса"),IF(I413&gt;='Дашборд'!$C$52,"Быстрый","Медленный"))</x:f>
        <x:v>Быстрый</x:v>
      </x:c>
      <x:c r="M413" s="1" t="str">
        <x:f>IF('Данные'!E413&lt;'Дашборд'!$C$53,"Мало трафика",IF(J413&lt;'Дашборд'!$C$9*'Дашборд'!$C$54,"Да","Нет"))</x:f>
        <x:v>Нет</x:v>
      </x:c>
      <x:c r="N413" s="1" t="str">
        <x:f>IF(AND('Данные'!D413&gt;='Дашборд'!$C$55,D413&lt;'Дашборд'!$C$56,'Данные'!E413&gt;='Дашборд'!$C$53,'Данные'!L413&lt;&gt;"Да"),"Да","Нет")</x:f>
        <x:v>Нет</x:v>
      </x:c>
      <x:c r="O413" s="1" t="str">
        <x:f>'Данные'!L413</x:f>
        <x:v>Нет</x:v>
      </x:c>
    </x:row>
    <x:row r="414">
      <x:c r="A414" s="1" t="str">
        <x:f>'Данные'!A414</x:f>
        <x:v>348218024</x:v>
      </x:c>
      <x:c r="B414" s="1" t="str">
        <x:f>'Данные'!B414</x:f>
        <x:v>bodyskims/каштановый</x:v>
      </x:c>
      <x:c r="C414" s="8" t="n">
        <x:f>'Данные'!G414</x:f>
        <x:v>513128</x:v>
      </x:c>
      <x:c r="D414" s="15" t="n">
        <x:f>C414/SUM($C$5:$C$2477)</x:f>
        <x:v>0.0005994482542884429</x:v>
      </x:c>
      <x:c r="E414" s="15" t="n">
        <x:f>SUM($D$5:D414)</x:f>
        <x:v>0.7806345347061269</x:v>
      </x:c>
      <x:c r="F414" s="1" t="str">
        <x:f>IF(C414&lt;=0,"C",IF(E414-D414&lt;'Дашборд'!$C$49,"A",IF(E414-D414&lt;'Дашборд'!$C$50,"B","C")))</x:f>
        <x:v>A</x:v>
      </x:c>
      <x:c r="G414" s="8" t="n">
        <x:f>'Данные'!F414</x:f>
        <x:v>925</x:v>
      </x:c>
      <x:c r="H414" s="8" t="n">
        <x:f>SUM('Данные'!H414:I414)</x:f>
        <x:v>4</x:v>
      </x:c>
      <x:c r="I414" s="16" t="n">
        <x:f>IF(H414&gt;0,G414/H414,"n.a.")</x:f>
        <x:v>231.25</x:v>
      </x:c>
      <x:c r="J414" s="10" t="n">
        <x:f>IF('Данные'!E414&gt;0,G414/'Данные'!E414,"n.a.")</x:f>
        <x:v>0.017551516071496336</x:v>
      </x:c>
      <x:c r="K414" s="1" t="str">
        <x:f>IF(G414&gt;='Дашборд'!$C$51,"X","Z")</x:f>
        <x:v>X</x:v>
      </x:c>
      <x:c r="L414" s="1" t="str">
        <x:f>IF(H414=0,IF(G414&gt;0,"Нет остатка","Нет спроса"),IF(I414&gt;='Дашборд'!$C$52,"Быстрый","Медленный"))</x:f>
        <x:v>Быстрый</x:v>
      </x:c>
      <x:c r="M414" s="1" t="str">
        <x:f>IF('Данные'!E414&lt;'Дашборд'!$C$53,"Мало трафика",IF(J414&lt;'Дашборд'!$C$9*'Дашборд'!$C$54,"Да","Нет"))</x:f>
        <x:v>Нет</x:v>
      </x:c>
      <x:c r="N414" s="1" t="str">
        <x:f>IF(AND('Данные'!D414&gt;='Дашборд'!$C$55,D414&lt;'Дашборд'!$C$56,'Данные'!E414&gt;='Дашборд'!$C$53,'Данные'!L414&lt;&gt;"Да"),"Да","Нет")</x:f>
        <x:v>Нет</x:v>
      </x:c>
      <x:c r="O414" s="1" t="str">
        <x:f>'Данные'!L414</x:f>
        <x:v>Нет</x:v>
      </x:c>
    </x:row>
    <x:row r="415">
      <x:c r="A415" s="1" t="str">
        <x:f>'Данные'!A415</x:f>
        <x:v>289376680</x:v>
      </x:c>
      <x:c r="B415" s="1" t="str">
        <x:f>'Данные'!B415</x:f>
        <x:v>svitshotpolopetl3P-60/бордовый</x:v>
      </x:c>
      <x:c r="C415" s="8" t="n">
        <x:f>'Данные'!G415</x:f>
        <x:v>513101</x:v>
      </x:c>
      <x:c r="D415" s="15" t="n">
        <x:f>C415/SUM($C$5:$C$2477)</x:f>
        <x:v>0.0005994167122504606</x:v>
      </x:c>
      <x:c r="E415" s="15" t="n">
        <x:f>SUM($D$5:D415)</x:f>
        <x:v>0.7812339514183774</x:v>
      </x:c>
      <x:c r="F415" s="1" t="str">
        <x:f>IF(C415&lt;=0,"C",IF(E415-D415&lt;'Дашборд'!$C$49,"A",IF(E415-D415&lt;'Дашборд'!$C$50,"B","C")))</x:f>
        <x:v>A</x:v>
      </x:c>
      <x:c r="G415" s="8" t="n">
        <x:f>'Данные'!F415</x:f>
        <x:v>641</x:v>
      </x:c>
      <x:c r="H415" s="8" t="n">
        <x:f>SUM('Данные'!H415:I415)</x:f>
        <x:v>627</x:v>
      </x:c>
      <x:c r="I415" s="16" t="n">
        <x:f>IF(H415&gt;0,G415/H415,"n.a.")</x:f>
        <x:v>1.022328548644338</x:v>
      </x:c>
      <x:c r="J415" s="10" t="n">
        <x:f>IF('Данные'!E415&gt;0,G415/'Данные'!E415,"n.a.")</x:f>
        <x:v>0.01261761347978426</x:v>
      </x:c>
      <x:c r="K415" s="1" t="str">
        <x:f>IF(G415&gt;='Дашборд'!$C$51,"X","Z")</x:f>
        <x:v>X</x:v>
      </x:c>
      <x:c r="L415" s="1" t="str">
        <x:f>IF(H415=0,IF(G415&gt;0,"Нет остатка","Нет спроса"),IF(I415&gt;='Дашборд'!$C$52,"Быстрый","Медленный"))</x:f>
        <x:v>Быстрый</x:v>
      </x:c>
      <x:c r="M415" s="1" t="str">
        <x:f>IF('Данные'!E415&lt;'Дашборд'!$C$53,"Мало трафика",IF(J415&lt;'Дашборд'!$C$9*'Дашборд'!$C$54,"Да","Нет"))</x:f>
        <x:v>Нет</x:v>
      </x:c>
      <x:c r="N415" s="1" t="str">
        <x:f>IF(AND('Данные'!D415&gt;='Дашборд'!$C$55,D415&lt;'Дашборд'!$C$56,'Данные'!E415&gt;='Дашборд'!$C$53,'Данные'!L415&lt;&gt;"Да"),"Да","Нет")</x:f>
        <x:v>Нет</x:v>
      </x:c>
      <x:c r="O415" s="1" t="str">
        <x:f>'Данные'!L415</x:f>
        <x:v>Нет</x:v>
      </x:c>
    </x:row>
    <x:row r="416">
      <x:c r="A416" s="1" t="str">
        <x:f>'Данные'!A416</x:f>
        <x:v>320414098</x:v>
      </x:c>
      <x:c r="B416" s="1" t="str">
        <x:f>'Данные'!B416</x:f>
        <x:v>svitfix3F-77/черный</x:v>
      </x:c>
      <x:c r="C416" s="8" t="n">
        <x:f>'Данные'!G416</x:f>
        <x:v>512734</x:v>
      </x:c>
      <x:c r="D416" s="15" t="n">
        <x:f>C416/SUM($C$5:$C$2477)</x:f>
        <x:v>0.0005989879741786269</x:v>
      </x:c>
      <x:c r="E416" s="15" t="n">
        <x:f>SUM($D$5:D416)</x:f>
        <x:v>0.781832939392556</x:v>
      </x:c>
      <x:c r="F416" s="1" t="str">
        <x:f>IF(C416&lt;=0,"C",IF(E416-D416&lt;'Дашборд'!$C$49,"A",IF(E416-D416&lt;'Дашборд'!$C$50,"B","C")))</x:f>
        <x:v>A</x:v>
      </x:c>
      <x:c r="G416" s="8" t="n">
        <x:f>'Данные'!F416</x:f>
        <x:v>523</x:v>
      </x:c>
      <x:c r="H416" s="8" t="n">
        <x:f>SUM('Данные'!H416:I416)</x:f>
        <x:v>59</x:v>
      </x:c>
      <x:c r="I416" s="16" t="n">
        <x:f>IF(H416&gt;0,G416/H416,"n.a.")</x:f>
        <x:v>8.864406779661017</x:v>
      </x:c>
      <x:c r="J416" s="10" t="n">
        <x:f>IF('Данные'!E416&gt;0,G416/'Данные'!E416,"n.a.")</x:f>
        <x:v>0.016450161985342684</x:v>
      </x:c>
      <x:c r="K416" s="1" t="str">
        <x:f>IF(G416&gt;='Дашборд'!$C$51,"X","Z")</x:f>
        <x:v>X</x:v>
      </x:c>
      <x:c r="L416" s="1" t="str">
        <x:f>IF(H416=0,IF(G416&gt;0,"Нет остатка","Нет спроса"),IF(I416&gt;='Дашборд'!$C$52,"Быстрый","Медленный"))</x:f>
        <x:v>Быстрый</x:v>
      </x:c>
      <x:c r="M416" s="1" t="str">
        <x:f>IF('Данные'!E416&lt;'Дашборд'!$C$53,"Мало трафика",IF(J416&lt;'Дашборд'!$C$9*'Дашборд'!$C$54,"Да","Нет"))</x:f>
        <x:v>Нет</x:v>
      </x:c>
      <x:c r="N416" s="1" t="str">
        <x:f>IF(AND('Данные'!D416&gt;='Дашборд'!$C$55,D416&lt;'Дашборд'!$C$56,'Данные'!E416&gt;='Дашборд'!$C$53,'Данные'!L416&lt;&gt;"Да"),"Да","Нет")</x:f>
        <x:v>Нет</x:v>
      </x:c>
      <x:c r="O416" s="1" t="str">
        <x:f>'Данные'!L416</x:f>
        <x:v>Нет</x:v>
      </x:c>
    </x:row>
    <x:row r="417">
      <x:c r="A417" s="1" t="str">
        <x:f>'Данные'!A417</x:f>
        <x:v>77789893</x:v>
      </x:c>
      <x:c r="B417" s="1" t="str">
        <x:f>'Данные'!B417</x:f>
        <x:v>futbolkaover/мандарин</x:v>
      </x:c>
      <x:c r="C417" s="8" t="n">
        <x:f>'Данные'!G417</x:f>
        <x:v>509685</x:v>
      </x:c>
      <x:c r="D417" s="15" t="n">
        <x:f>C417/SUM($C$5:$C$2477)</x:f>
        <x:v>0.0005954260603338836</x:v>
      </x:c>
      <x:c r="E417" s="15" t="n">
        <x:f>SUM($D$5:D417)</x:f>
        <x:v>0.78242836545289</x:v>
      </x:c>
      <x:c r="F417" s="1" t="str">
        <x:f>IF(C417&lt;=0,"C",IF(E417-D417&lt;'Дашборд'!$C$49,"A",IF(E417-D417&lt;'Дашборд'!$C$50,"B","C")))</x:f>
        <x:v>A</x:v>
      </x:c>
      <x:c r="G417" s="8" t="n">
        <x:f>'Данные'!F417</x:f>
        <x:v>1030</x:v>
      </x:c>
      <x:c r="H417" s="8" t="n">
        <x:f>SUM('Данные'!H417:I417)</x:f>
        <x:v>3405</x:v>
      </x:c>
      <x:c r="I417" s="16" t="n">
        <x:f>IF(H417&gt;0,G417/H417,"n.a.")</x:f>
        <x:v>0.302496328928047</x:v>
      </x:c>
      <x:c r="J417" s="10" t="n">
        <x:f>IF('Данные'!E417&gt;0,G417/'Данные'!E417,"n.a.")</x:f>
        <x:v>0.011769007518453346</x:v>
      </x:c>
      <x:c r="K417" s="1" t="str">
        <x:f>IF(G417&gt;='Дашборд'!$C$51,"X","Z")</x:f>
        <x:v>X</x:v>
      </x:c>
      <x:c r="L417" s="1" t="str">
        <x:f>IF(H417=0,IF(G417&gt;0,"Нет остатка","Нет спроса"),IF(I417&gt;='Дашборд'!$C$52,"Быстрый","Медленный"))</x:f>
        <x:v>Медленный</x:v>
      </x:c>
      <x:c r="M417" s="1" t="str">
        <x:f>IF('Данные'!E417&lt;'Дашборд'!$C$53,"Мало трафика",IF(J417&lt;'Дашборд'!$C$9*'Дашборд'!$C$54,"Да","Нет"))</x:f>
        <x:v>Нет</x:v>
      </x:c>
      <x:c r="N417" s="1" t="str">
        <x:f>IF(AND('Данные'!D417&gt;='Дашборд'!$C$55,D417&lt;'Дашборд'!$C$56,'Данные'!E417&gt;='Дашборд'!$C$53,'Данные'!L417&lt;&gt;"Да"),"Да","Нет")</x:f>
        <x:v>Да</x:v>
      </x:c>
      <x:c r="O417" s="1" t="str">
        <x:f>'Данные'!L417</x:f>
        <x:v>Нет</x:v>
      </x:c>
    </x:row>
    <x:row r="418">
      <x:c r="A418" s="1" t="str">
        <x:f>'Данные'!A418</x:f>
        <x:v>260797893</x:v>
      </x:c>
      <x:c r="B418" s="1" t="str">
        <x:f>'Данные'!B418</x:f>
        <x:v>hudicrop1/песочный</x:v>
      </x:c>
      <x:c r="C418" s="8" t="n">
        <x:f>'Данные'!G418</x:f>
        <x:v>509013</x:v>
      </x:c>
      <x:c r="D418" s="15" t="n">
        <x:f>C418/SUM($C$5:$C$2477)</x:f>
        <x:v>0.0005946410140552128</x:v>
      </x:c>
      <x:c r="E418" s="15" t="n">
        <x:f>SUM($D$5:D418)</x:f>
        <x:v>0.7830230064669452</x:v>
      </x:c>
      <x:c r="F418" s="1" t="str">
        <x:f>IF(C418&lt;=0,"C",IF(E418-D418&lt;'Дашборд'!$C$49,"A",IF(E418-D418&lt;'Дашборд'!$C$50,"B","C")))</x:f>
        <x:v>A</x:v>
      </x:c>
      <x:c r="G418" s="8" t="n">
        <x:f>'Данные'!F418</x:f>
        <x:v>583</x:v>
      </x:c>
      <x:c r="H418" s="8" t="n">
        <x:f>SUM('Данные'!H418:I418)</x:f>
        <x:v>427</x:v>
      </x:c>
      <x:c r="I418" s="16" t="n">
        <x:f>IF(H418&gt;0,G418/H418,"n.a.")</x:f>
        <x:v>1.3653395784543325</x:v>
      </x:c>
      <x:c r="J418" s="10" t="n">
        <x:f>IF('Данные'!E418&gt;0,G418/'Данные'!E418,"n.a.")</x:f>
        <x:v>0.01672164061379607</x:v>
      </x:c>
      <x:c r="K418" s="1" t="str">
        <x:f>IF(G418&gt;='Дашборд'!$C$51,"X","Z")</x:f>
        <x:v>X</x:v>
      </x:c>
      <x:c r="L418" s="1" t="str">
        <x:f>IF(H418=0,IF(G418&gt;0,"Нет остатка","Нет спроса"),IF(I418&gt;='Дашборд'!$C$52,"Быстрый","Медленный"))</x:f>
        <x:v>Быстрый</x:v>
      </x:c>
      <x:c r="M418" s="1" t="str">
        <x:f>IF('Данные'!E418&lt;'Дашборд'!$C$53,"Мало трафика",IF(J418&lt;'Дашборд'!$C$9*'Дашборд'!$C$54,"Да","Нет"))</x:f>
        <x:v>Нет</x:v>
      </x:c>
      <x:c r="N418" s="1" t="str">
        <x:f>IF(AND('Данные'!D418&gt;='Дашборд'!$C$55,D418&lt;'Дашборд'!$C$56,'Данные'!E418&gt;='Дашборд'!$C$53,'Данные'!L418&lt;&gt;"Да"),"Да","Нет")</x:f>
        <x:v>Нет</x:v>
      </x:c>
      <x:c r="O418" s="1" t="str">
        <x:f>'Данные'!L418</x:f>
        <x:v>Нет</x:v>
      </x:c>
    </x:row>
    <x:row r="419">
      <x:c r="A419" s="1" t="str">
        <x:f>'Данные'!A419</x:f>
        <x:v>297802181</x:v>
      </x:c>
      <x:c r="B419" s="1" t="str">
        <x:f>'Данные'!B419</x:f>
        <x:v>longslim3К-81/белый</x:v>
      </x:c>
      <x:c r="C419" s="8" t="n">
        <x:f>'Данные'!G419</x:f>
        <x:v>508791</x:v>
      </x:c>
      <x:c r="D419" s="15" t="n">
        <x:f>C419/SUM($C$5:$C$2477)</x:f>
        <x:v>0.0005943816684095803</x:v>
      </x:c>
      <x:c r="E419" s="15" t="n">
        <x:f>SUM($D$5:D419)</x:f>
        <x:v>0.7836173881353548</x:v>
      </x:c>
      <x:c r="F419" s="1" t="str">
        <x:f>IF(C419&lt;=0,"C",IF(E419-D419&lt;'Дашборд'!$C$49,"A",IF(E419-D419&lt;'Дашборд'!$C$50,"B","C")))</x:f>
        <x:v>A</x:v>
      </x:c>
      <x:c r="G419" s="8" t="n">
        <x:f>'Данные'!F419</x:f>
        <x:v>1338</x:v>
      </x:c>
      <x:c r="H419" s="8" t="n">
        <x:f>SUM('Данные'!H419:I419)</x:f>
        <x:v>283</x:v>
      </x:c>
      <x:c r="I419" s="16" t="n">
        <x:f>IF(H419&gt;0,G419/H419,"n.a.")</x:f>
        <x:v>4.72791519434629</x:v>
      </x:c>
      <x:c r="J419" s="10" t="n">
        <x:f>IF('Данные'!E419&gt;0,G419/'Данные'!E419,"n.a.")</x:f>
        <x:v>0.03298003450825733</x:v>
      </x:c>
      <x:c r="K419" s="1" t="str">
        <x:f>IF(G419&gt;='Дашборд'!$C$51,"X","Z")</x:f>
        <x:v>X</x:v>
      </x:c>
      <x:c r="L419" s="1" t="str">
        <x:f>IF(H419=0,IF(G419&gt;0,"Нет остатка","Нет спроса"),IF(I419&gt;='Дашборд'!$C$52,"Быстрый","Медленный"))</x:f>
        <x:v>Быстрый</x:v>
      </x:c>
      <x:c r="M419" s="1" t="str">
        <x:f>IF('Данные'!E419&lt;'Дашборд'!$C$53,"Мало трафика",IF(J419&lt;'Дашборд'!$C$9*'Дашборд'!$C$54,"Да","Нет"))</x:f>
        <x:v>Нет</x:v>
      </x:c>
      <x:c r="N419" s="1" t="str">
        <x:f>IF(AND('Данные'!D419&gt;='Дашборд'!$C$55,D419&lt;'Дашборд'!$C$56,'Данные'!E419&gt;='Дашборд'!$C$53,'Данные'!L419&lt;&gt;"Да"),"Да","Нет")</x:f>
        <x:v>Нет</x:v>
      </x:c>
      <x:c r="O419" s="1" t="str">
        <x:f>'Данные'!L419</x:f>
        <x:v>Нет</x:v>
      </x:c>
    </x:row>
    <x:row r="420">
      <x:c r="A420" s="1" t="str">
        <x:f>'Данные'!A420</x:f>
        <x:v>156186502</x:v>
      </x:c>
      <x:c r="B420" s="1" t="str">
        <x:f>'Данные'!B420</x:f>
        <x:v>svitshotman/серый</x:v>
      </x:c>
      <x:c r="C420" s="8" t="n">
        <x:f>'Данные'!G420</x:f>
        <x:v>507139</x:v>
      </x:c>
      <x:c r="D420" s="15" t="n">
        <x:f>C420/SUM($C$5:$C$2477)</x:f>
        <x:v>0.0005924517629745144</x:v>
      </x:c>
      <x:c r="E420" s="15" t="n">
        <x:f>SUM($D$5:D420)</x:f>
        <x:v>0.7842098398983293</x:v>
      </x:c>
      <x:c r="F420" s="1" t="str">
        <x:f>IF(C420&lt;=0,"C",IF(E420-D420&lt;'Дашборд'!$C$49,"A",IF(E420-D420&lt;'Дашборд'!$C$50,"B","C")))</x:f>
        <x:v>A</x:v>
      </x:c>
      <x:c r="G420" s="8" t="n">
        <x:f>'Данные'!F420</x:f>
        <x:v>646</x:v>
      </x:c>
      <x:c r="H420" s="8" t="n">
        <x:f>SUM('Данные'!H420:I420)</x:f>
        <x:v>407</x:v>
      </x:c>
      <x:c r="I420" s="16" t="n">
        <x:f>IF(H420&gt;0,G420/H420,"n.a.")</x:f>
        <x:v>1.5872235872235871</x:v>
      </x:c>
      <x:c r="J420" s="10" t="n">
        <x:f>IF('Данные'!E420&gt;0,G420/'Данные'!E420,"n.a.")</x:f>
        <x:v>0.022708098987626546</x:v>
      </x:c>
      <x:c r="K420" s="1" t="str">
        <x:f>IF(G420&gt;='Дашборд'!$C$51,"X","Z")</x:f>
        <x:v>X</x:v>
      </x:c>
      <x:c r="L420" s="1" t="str">
        <x:f>IF(H420=0,IF(G420&gt;0,"Нет остатка","Нет спроса"),IF(I420&gt;='Дашборд'!$C$52,"Быстрый","Медленный"))</x:f>
        <x:v>Быстрый</x:v>
      </x:c>
      <x:c r="M420" s="1" t="str">
        <x:f>IF('Данные'!E420&lt;'Дашборд'!$C$53,"Мало трафика",IF(J420&lt;'Дашборд'!$C$9*'Дашборд'!$C$54,"Да","Нет"))</x:f>
        <x:v>Нет</x:v>
      </x:c>
      <x:c r="N420" s="1" t="str">
        <x:f>IF(AND('Данные'!D420&gt;='Дашборд'!$C$55,D420&lt;'Дашборд'!$C$56,'Данные'!E420&gt;='Дашборд'!$C$53,'Данные'!L420&lt;&gt;"Да"),"Да","Нет")</x:f>
        <x:v>Да</x:v>
      </x:c>
      <x:c r="O420" s="1" t="str">
        <x:f>'Данные'!L420</x:f>
        <x:v>Нет</x:v>
      </x:c>
    </x:row>
    <x:row r="421">
      <x:c r="A421" s="1" t="str">
        <x:f>'Данные'!A421</x:f>
        <x:v>283319857</x:v>
      </x:c>
      <x:c r="B421" s="1" t="str">
        <x:f>'Данные'!B421</x:f>
        <x:v>hudicropprint/TheMovementClub-140/темно-синий</x:v>
      </x:c>
      <x:c r="C421" s="8" t="n">
        <x:f>'Данные'!G421</x:f>
        <x:v>506146</x:v>
      </x:c>
      <x:c r="D421" s="15" t="n">
        <x:f>C421/SUM($C$5:$C$2477)</x:f>
        <x:v>0.0005912917169109428</x:v>
      </x:c>
      <x:c r="E421" s="15" t="n">
        <x:f>SUM($D$5:D421)</x:f>
        <x:v>0.7848011316152402</x:v>
      </x:c>
      <x:c r="F421" s="1" t="str">
        <x:f>IF(C421&lt;=0,"C",IF(E421-D421&lt;'Дашборд'!$C$49,"A",IF(E421-D421&lt;'Дашборд'!$C$50,"B","C")))</x:f>
        <x:v>A</x:v>
      </x:c>
      <x:c r="G421" s="8" t="n">
        <x:f>'Данные'!F421</x:f>
        <x:v>437</x:v>
      </x:c>
      <x:c r="H421" s="8" t="n">
        <x:f>SUM('Данные'!H421:I421)</x:f>
        <x:v>3</x:v>
      </x:c>
      <x:c r="I421" s="16" t="n">
        <x:f>IF(H421&gt;0,G421/H421,"n.a.")</x:f>
        <x:v>145.66666666666666</x:v>
      </x:c>
      <x:c r="J421" s="10" t="n">
        <x:f>IF('Данные'!E421&gt;0,G421/'Данные'!E421,"n.a.")</x:f>
        <x:v>0.00892875385652698</x:v>
      </x:c>
      <x:c r="K421" s="1" t="str">
        <x:f>IF(G421&gt;='Дашборд'!$C$51,"X","Z")</x:f>
        <x:v>X</x:v>
      </x:c>
      <x:c r="L421" s="1" t="str">
        <x:f>IF(H421=0,IF(G421&gt;0,"Нет остатка","Нет спроса"),IF(I421&gt;='Дашборд'!$C$52,"Быстрый","Медленный"))</x:f>
        <x:v>Быстрый</x:v>
      </x:c>
      <x:c r="M421" s="1" t="str">
        <x:f>IF('Данные'!E421&lt;'Дашборд'!$C$53,"Мало трафика",IF(J421&lt;'Дашборд'!$C$9*'Дашборд'!$C$54,"Да","Нет"))</x:f>
        <x:v>Да</x:v>
      </x:c>
      <x:c r="N421" s="1" t="str">
        <x:f>IF(AND('Данные'!D421&gt;='Дашборд'!$C$55,D421&lt;'Дашборд'!$C$56,'Данные'!E421&gt;='Дашборд'!$C$53,'Данные'!L421&lt;&gt;"Да"),"Да","Нет")</x:f>
        <x:v>Да</x:v>
      </x:c>
      <x:c r="O421" s="1" t="str">
        <x:f>'Данные'!L421</x:f>
        <x:v>Нет</x:v>
      </x:c>
    </x:row>
    <x:row r="422">
      <x:c r="A422" s="1" t="str">
        <x:f>'Данные'!A422</x:f>
        <x:v>208997096</x:v>
      </x:c>
      <x:c r="B422" s="1" t="str">
        <x:f>'Данные'!B422</x:f>
        <x:v>futbolkaprint/Goodthinks-57/молочный</x:v>
      </x:c>
      <x:c r="C422" s="8" t="n">
        <x:f>'Данные'!G422</x:f>
        <x:v>502969</x:v>
      </x:c>
      <x:c r="D422" s="15" t="n">
        <x:f>C422/SUM($C$5:$C$2477)</x:f>
        <x:v>0.0005875802704416906</x:v>
      </x:c>
      <x:c r="E422" s="15" t="n">
        <x:f>SUM($D$5:D422)</x:f>
        <x:v>0.7853887118856819</x:v>
      </x:c>
      <x:c r="F422" s="1" t="str">
        <x:f>IF(C422&lt;=0,"C",IF(E422-D422&lt;'Дашборд'!$C$49,"A",IF(E422-D422&lt;'Дашборд'!$C$50,"B","C")))</x:f>
        <x:v>A</x:v>
      </x:c>
      <x:c r="G422" s="8" t="n">
        <x:f>'Данные'!F422</x:f>
        <x:v>721</x:v>
      </x:c>
      <x:c r="H422" s="8" t="n">
        <x:f>SUM('Данные'!H422:I422)</x:f>
        <x:v>14</x:v>
      </x:c>
      <x:c r="I422" s="16" t="n">
        <x:f>IF(H422&gt;0,G422/H422,"n.a.")</x:f>
        <x:v>51.5</x:v>
      </x:c>
      <x:c r="J422" s="10" t="n">
        <x:f>IF('Данные'!E422&gt;0,G422/'Данные'!E422,"n.a.")</x:f>
        <x:v>0.009203354565297864</x:v>
      </x:c>
      <x:c r="K422" s="1" t="str">
        <x:f>IF(G422&gt;='Дашборд'!$C$51,"X","Z")</x:f>
        <x:v>X</x:v>
      </x:c>
      <x:c r="L422" s="1" t="str">
        <x:f>IF(H422=0,IF(G422&gt;0,"Нет остатка","Нет спроса"),IF(I422&gt;='Дашборд'!$C$52,"Быстрый","Медленный"))</x:f>
        <x:v>Быстрый</x:v>
      </x:c>
      <x:c r="M422" s="1" t="str">
        <x:f>IF('Данные'!E422&lt;'Дашборд'!$C$53,"Мало трафика",IF(J422&lt;'Дашборд'!$C$9*'Дашборд'!$C$54,"Да","Нет"))</x:f>
        <x:v>Да</x:v>
      </x:c>
      <x:c r="N422" s="1" t="str">
        <x:f>IF(AND('Данные'!D422&gt;='Дашборд'!$C$55,D422&lt;'Дашборд'!$C$56,'Данные'!E422&gt;='Дашборд'!$C$53,'Данные'!L422&lt;&gt;"Да"),"Да","Нет")</x:f>
        <x:v>Нет</x:v>
      </x:c>
      <x:c r="O422" s="1" t="str">
        <x:f>'Данные'!L422</x:f>
        <x:v>Нет</x:v>
      </x:c>
    </x:row>
    <x:row r="423">
      <x:c r="A423" s="1" t="str">
        <x:f>'Данные'!A423</x:f>
        <x:v>291159919</x:v>
      </x:c>
      <x:c r="B423" s="1" t="str">
        <x:f>'Данные'!B423</x:f>
        <x:v>longsvobod/розовый</x:v>
      </x:c>
      <x:c r="C423" s="8" t="n">
        <x:f>'Данные'!G423</x:f>
        <x:v>501321</x:v>
      </x:c>
      <x:c r="D423" s="15" t="n">
        <x:f>C423/SUM($C$5:$C$2477)</x:f>
        <x:v>0.0005856550379011406</x:v>
      </x:c>
      <x:c r="E423" s="15" t="n">
        <x:f>SUM($D$5:D423)</x:f>
        <x:v>0.785974366923583</x:v>
      </x:c>
      <x:c r="F423" s="1" t="str">
        <x:f>IF(C423&lt;=0,"C",IF(E423-D423&lt;'Дашборд'!$C$49,"A",IF(E423-D423&lt;'Дашборд'!$C$50,"B","C")))</x:f>
        <x:v>A</x:v>
      </x:c>
      <x:c r="G423" s="8" t="n">
        <x:f>'Данные'!F423</x:f>
        <x:v>1215</x:v>
      </x:c>
      <x:c r="H423" s="8" t="n">
        <x:f>SUM('Данные'!H423:I423)</x:f>
        <x:v>144</x:v>
      </x:c>
      <x:c r="I423" s="16" t="n">
        <x:f>IF(H423&gt;0,G423/H423,"n.a.")</x:f>
        <x:v>8.4375</x:v>
      </x:c>
      <x:c r="J423" s="10" t="n">
        <x:f>IF('Данные'!E423&gt;0,G423/'Данные'!E423,"n.a.")</x:f>
        <x:v>0.024659536035396074</x:v>
      </x:c>
      <x:c r="K423" s="1" t="str">
        <x:f>IF(G423&gt;='Дашборд'!$C$51,"X","Z")</x:f>
        <x:v>X</x:v>
      </x:c>
      <x:c r="L423" s="1" t="str">
        <x:f>IF(H423=0,IF(G423&gt;0,"Нет остатка","Нет спроса"),IF(I423&gt;='Дашборд'!$C$52,"Быстрый","Медленный"))</x:f>
        <x:v>Быстрый</x:v>
      </x:c>
      <x:c r="M423" s="1" t="str">
        <x:f>IF('Данные'!E423&lt;'Дашборд'!$C$53,"Мало трафика",IF(J423&lt;'Дашборд'!$C$9*'Дашборд'!$C$54,"Да","Нет"))</x:f>
        <x:v>Нет</x:v>
      </x:c>
      <x:c r="N423" s="1" t="str">
        <x:f>IF(AND('Данные'!D423&gt;='Дашборд'!$C$55,D423&lt;'Дашборд'!$C$56,'Данные'!E423&gt;='Дашборд'!$C$53,'Данные'!L423&lt;&gt;"Да"),"Да","Нет")</x:f>
        <x:v>Нет</x:v>
      </x:c>
      <x:c r="O423" s="1" t="str">
        <x:f>'Данные'!L423</x:f>
        <x:v>Нет</x:v>
      </x:c>
    </x:row>
    <x:row r="424">
      <x:c r="A424" s="1" t="str">
        <x:f>'Данные'!A424</x:f>
        <x:v>294025146</x:v>
      </x:c>
      <x:c r="B424" s="1" t="str">
        <x:f>'Данные'!B424</x:f>
        <x:v>svitfix3F-77/светло-розовый</x:v>
      </x:c>
      <x:c r="C424" s="8" t="n">
        <x:f>'Данные'!G424</x:f>
        <x:v>499212</x:v>
      </x:c>
      <x:c r="D424" s="15" t="n">
        <x:f>C424/SUM($C$5:$C$2477)</x:f>
        <x:v>0.0005831912542676334</x:v>
      </x:c>
      <x:c r="E424" s="15" t="n">
        <x:f>SUM($D$5:D424)</x:f>
        <x:v>0.7865575581778507</x:v>
      </x:c>
      <x:c r="F424" s="1" t="str">
        <x:f>IF(C424&lt;=0,"C",IF(E424-D424&lt;'Дашборд'!$C$49,"A",IF(E424-D424&lt;'Дашборд'!$C$50,"B","C")))</x:f>
        <x:v>A</x:v>
      </x:c>
      <x:c r="G424" s="8" t="n">
        <x:f>'Данные'!F424</x:f>
        <x:v>536</x:v>
      </x:c>
      <x:c r="H424" s="8" t="n">
        <x:f>SUM('Данные'!H424:I424)</x:f>
        <x:v>64</x:v>
      </x:c>
      <x:c r="I424" s="16" t="n">
        <x:f>IF(H424&gt;0,G424/H424,"n.a.")</x:f>
        <x:v>8.375</x:v>
      </x:c>
      <x:c r="J424" s="10" t="n">
        <x:f>IF('Данные'!E424&gt;0,G424/'Данные'!E424,"n.a.")</x:f>
        <x:v>0.012859576305750822</x:v>
      </x:c>
      <x:c r="K424" s="1" t="str">
        <x:f>IF(G424&gt;='Дашборд'!$C$51,"X","Z")</x:f>
        <x:v>X</x:v>
      </x:c>
      <x:c r="L424" s="1" t="str">
        <x:f>IF(H424=0,IF(G424&gt;0,"Нет остатка","Нет спроса"),IF(I424&gt;='Дашборд'!$C$52,"Быстрый","Медленный"))</x:f>
        <x:v>Быстрый</x:v>
      </x:c>
      <x:c r="M424" s="1" t="str">
        <x:f>IF('Данные'!E424&lt;'Дашборд'!$C$53,"Мало трафика",IF(J424&lt;'Дашборд'!$C$9*'Дашборд'!$C$54,"Да","Нет"))</x:f>
        <x:v>Нет</x:v>
      </x:c>
      <x:c r="N424" s="1" t="str">
        <x:f>IF(AND('Данные'!D424&gt;='Дашборд'!$C$55,D424&lt;'Дашборд'!$C$56,'Данные'!E424&gt;='Дашборд'!$C$53,'Данные'!L424&lt;&gt;"Да"),"Да","Нет")</x:f>
        <x:v>Нет</x:v>
      </x:c>
      <x:c r="O424" s="1" t="str">
        <x:f>'Данные'!L424</x:f>
        <x:v>Нет</x:v>
      </x:c>
    </x:row>
    <x:row r="425">
      <x:c r="A425" s="1" t="str">
        <x:f>'Данные'!A425</x:f>
        <x:v>202409586</x:v>
      </x:c>
      <x:c r="B425" s="1" t="str">
        <x:f>'Данные'!B425</x:f>
        <x:v>hudiprint/Goodvibes-50/розовый</x:v>
      </x:c>
      <x:c r="C425" s="8" t="n">
        <x:f>'Данные'!G425</x:f>
        <x:v>496209</x:v>
      </x:c>
      <x:c r="D425" s="15" t="n">
        <x:f>C425/SUM($C$5:$C$2477)</x:f>
        <x:v>0.0005796830787098228</x:v>
      </x:c>
      <x:c r="E425" s="15" t="n">
        <x:f>SUM($D$5:D425)</x:f>
        <x:v>0.7871372412565605</x:v>
      </x:c>
      <x:c r="F425" s="1" t="str">
        <x:f>IF(C425&lt;=0,"C",IF(E425-D425&lt;'Дашборд'!$C$49,"A",IF(E425-D425&lt;'Дашборд'!$C$50,"B","C")))</x:f>
        <x:v>A</x:v>
      </x:c>
      <x:c r="G425" s="8" t="n">
        <x:f>'Данные'!F425</x:f>
        <x:v>428</x:v>
      </x:c>
      <x:c r="H425" s="8" t="n">
        <x:f>SUM('Данные'!H425:I425)</x:f>
        <x:v>136</x:v>
      </x:c>
      <x:c r="I425" s="16" t="n">
        <x:f>IF(H425&gt;0,G425/H425,"n.a.")</x:f>
        <x:v>3.1470588235294117</x:v>
      </x:c>
      <x:c r="J425" s="10" t="n">
        <x:f>IF('Данные'!E425&gt;0,G425/'Данные'!E425,"n.a.")</x:f>
        <x:v>0.011898804559355018</x:v>
      </x:c>
      <x:c r="K425" s="1" t="str">
        <x:f>IF(G425&gt;='Дашборд'!$C$51,"X","Z")</x:f>
        <x:v>X</x:v>
      </x:c>
      <x:c r="L425" s="1" t="str">
        <x:f>IF(H425=0,IF(G425&gt;0,"Нет остатка","Нет спроса"),IF(I425&gt;='Дашборд'!$C$52,"Быстрый","Медленный"))</x:f>
        <x:v>Быстрый</x:v>
      </x:c>
      <x:c r="M425" s="1" t="str">
        <x:f>IF('Данные'!E425&lt;'Дашборд'!$C$53,"Мало трафика",IF(J425&lt;'Дашборд'!$C$9*'Дашборд'!$C$54,"Да","Нет"))</x:f>
        <x:v>Нет</x:v>
      </x:c>
      <x:c r="N425" s="1" t="str">
        <x:f>IF(AND('Данные'!D425&gt;='Дашборд'!$C$55,D425&lt;'Дашборд'!$C$56,'Данные'!E425&gt;='Дашборд'!$C$53,'Данные'!L425&lt;&gt;"Да"),"Да","Нет")</x:f>
        <x:v>Да</x:v>
      </x:c>
      <x:c r="O425" s="1" t="str">
        <x:f>'Данные'!L425</x:f>
        <x:v>Нет</x:v>
      </x:c>
    </x:row>
    <x:row r="426">
      <x:c r="A426" s="1" t="str">
        <x:f>'Данные'!A426</x:f>
        <x:v>330720290</x:v>
      </x:c>
      <x:c r="B426" s="1" t="str">
        <x:f>'Данные'!B426</x:f>
        <x:v>polowoman3K-89/молочный</x:v>
      </x:c>
      <x:c r="C426" s="8" t="n">
        <x:f>'Данные'!G426</x:f>
        <x:v>495132</x:v>
      </x:c>
      <x:c r="D426" s="15" t="n">
        <x:f>C426/SUM($C$5:$C$2477)</x:f>
        <x:v>0.0005784249018614173</x:v>
      </x:c>
      <x:c r="E426" s="15" t="n">
        <x:f>SUM($D$5:D426)</x:f>
        <x:v>0.7877156661584219</x:v>
      </x:c>
      <x:c r="F426" s="1" t="str">
        <x:f>IF(C426&lt;=0,"C",IF(E426-D426&lt;'Дашборд'!$C$49,"A",IF(E426-D426&lt;'Дашборд'!$C$50,"B","C")))</x:f>
        <x:v>A</x:v>
      </x:c>
      <x:c r="G426" s="8" t="n">
        <x:f>'Данные'!F426</x:f>
        <x:v>1001</x:v>
      </x:c>
      <x:c r="H426" s="8" t="n">
        <x:f>SUM('Данные'!H426:I426)</x:f>
        <x:v>214</x:v>
      </x:c>
      <x:c r="I426" s="16" t="n">
        <x:f>IF(H426&gt;0,G426/H426,"n.a.")</x:f>
        <x:v>4.677570093457944</x:v>
      </x:c>
      <x:c r="J426" s="10" t="n">
        <x:f>IF('Данные'!E426&gt;0,G426/'Данные'!E426,"n.a.")</x:f>
        <x:v>0.0131199538638985</x:v>
      </x:c>
      <x:c r="K426" s="1" t="str">
        <x:f>IF(G426&gt;='Дашборд'!$C$51,"X","Z")</x:f>
        <x:v>X</x:v>
      </x:c>
      <x:c r="L426" s="1" t="str">
        <x:f>IF(H426=0,IF(G426&gt;0,"Нет остатка","Нет спроса"),IF(I426&gt;='Дашборд'!$C$52,"Быстрый","Медленный"))</x:f>
        <x:v>Быстрый</x:v>
      </x:c>
      <x:c r="M426" s="1" t="str">
        <x:f>IF('Данные'!E426&lt;'Дашборд'!$C$53,"Мало трафика",IF(J426&lt;'Дашборд'!$C$9*'Дашборд'!$C$54,"Да","Нет"))</x:f>
        <x:v>Нет</x:v>
      </x:c>
      <x:c r="N426" s="1" t="str">
        <x:f>IF(AND('Данные'!D426&gt;='Дашборд'!$C$55,D426&lt;'Дашборд'!$C$56,'Данные'!E426&gt;='Дашборд'!$C$53,'Данные'!L426&lt;&gt;"Да"),"Да","Нет")</x:f>
        <x:v>Нет</x:v>
      </x:c>
      <x:c r="O426" s="1" t="str">
        <x:f>'Данные'!L426</x:f>
        <x:v>Нет</x:v>
      </x:c>
    </x:row>
    <x:row r="427">
      <x:c r="A427" s="1" t="str">
        <x:f>'Данные'!A427</x:f>
        <x:v>220090376</x:v>
      </x:c>
      <x:c r="B427" s="1" t="str">
        <x:f>'Данные'!B427</x:f>
        <x:v>tolstovkazip/белый</x:v>
      </x:c>
      <x:c r="C427" s="8" t="n">
        <x:f>'Данные'!G427</x:f>
        <x:v>495120</x:v>
      </x:c>
      <x:c r="D427" s="15" t="n">
        <x:f>C427/SUM($C$5:$C$2477)</x:f>
        <x:v>0.0005784108831778696</x:v>
      </x:c>
      <x:c r="E427" s="15" t="n">
        <x:f>SUM($D$5:D427)</x:f>
        <x:v>0.7882940770415998</x:v>
      </x:c>
      <x:c r="F427" s="1" t="str">
        <x:f>IF(C427&lt;=0,"C",IF(E427-D427&lt;'Дашборд'!$C$49,"A",IF(E427-D427&lt;'Дашборд'!$C$50,"B","C")))</x:f>
        <x:v>A</x:v>
      </x:c>
      <x:c r="G427" s="8" t="n">
        <x:f>'Данные'!F427</x:f>
        <x:v>358</x:v>
      </x:c>
      <x:c r="H427" s="8" t="n">
        <x:f>SUM('Данные'!H427:I427)</x:f>
        <x:v>1</x:v>
      </x:c>
      <x:c r="I427" s="16" t="n">
        <x:f>IF(H427&gt;0,G427/H427,"n.a.")</x:f>
        <x:v>358</x:v>
      </x:c>
      <x:c r="J427" s="10" t="n">
        <x:f>IF('Данные'!E427&gt;0,G427/'Данные'!E427,"n.a.")</x:f>
        <x:v>0.010735598404654092</x:v>
      </x:c>
      <x:c r="K427" s="1" t="str">
        <x:f>IF(G427&gt;='Дашборд'!$C$51,"X","Z")</x:f>
        <x:v>X</x:v>
      </x:c>
      <x:c r="L427" s="1" t="str">
        <x:f>IF(H427=0,IF(G427&gt;0,"Нет остатка","Нет спроса"),IF(I427&gt;='Дашборд'!$C$52,"Быстрый","Медленный"))</x:f>
        <x:v>Быстрый</x:v>
      </x:c>
      <x:c r="M427" s="1" t="str">
        <x:f>IF('Данные'!E427&lt;'Дашборд'!$C$53,"Мало трафика",IF(J427&lt;'Дашборд'!$C$9*'Дашборд'!$C$54,"Да","Нет"))</x:f>
        <x:v>Нет</x:v>
      </x:c>
      <x:c r="N427" s="1" t="str">
        <x:f>IF(AND('Данные'!D427&gt;='Дашборд'!$C$55,D427&lt;'Дашборд'!$C$56,'Данные'!E427&gt;='Дашборд'!$C$53,'Данные'!L427&lt;&gt;"Да"),"Да","Нет")</x:f>
        <x:v>Нет</x:v>
      </x:c>
      <x:c r="O427" s="1" t="str">
        <x:f>'Данные'!L427</x:f>
        <x:v>Нет</x:v>
      </x:c>
    </x:row>
    <x:row r="428">
      <x:c r="A428" s="1" t="str">
        <x:f>'Данные'!A428</x:f>
        <x:v>368704657</x:v>
      </x:c>
      <x:c r="B428" s="1" t="str">
        <x:f>'Данные'!B428</x:f>
        <x:v>futskimsX2/как-каш</x:v>
      </x:c>
      <x:c r="C428" s="8" t="n">
        <x:f>'Данные'!G428</x:f>
        <x:v>495001</x:v>
      </x:c>
      <x:c r="D428" s="15" t="n">
        <x:f>C428/SUM($C$5:$C$2477)</x:f>
        <x:v>0.0005782718645660216</x:v>
      </x:c>
      <x:c r="E428" s="15" t="n">
        <x:f>SUM($D$5:D428)</x:f>
        <x:v>0.7888723489061659</x:v>
      </x:c>
      <x:c r="F428" s="1" t="str">
        <x:f>IF(C428&lt;=0,"C",IF(E428-D428&lt;'Дашборд'!$C$49,"A",IF(E428-D428&lt;'Дашборд'!$C$50,"B","C")))</x:f>
        <x:v>A</x:v>
      </x:c>
      <x:c r="G428" s="8" t="n">
        <x:f>'Данные'!F428</x:f>
        <x:v>484</x:v>
      </x:c>
      <x:c r="H428" s="8" t="n">
        <x:f>SUM('Данные'!H428:I428)</x:f>
        <x:v>5</x:v>
      </x:c>
      <x:c r="I428" s="16" t="n">
        <x:f>IF(H428&gt;0,G428/H428,"n.a.")</x:f>
        <x:v>96.8</x:v>
      </x:c>
      <x:c r="J428" s="10" t="n">
        <x:f>IF('Данные'!E428&gt;0,G428/'Данные'!E428,"n.a.")</x:f>
        <x:v>0.006961624762671883</x:v>
      </x:c>
      <x:c r="K428" s="1" t="str">
        <x:f>IF(G428&gt;='Дашборд'!$C$51,"X","Z")</x:f>
        <x:v>X</x:v>
      </x:c>
      <x:c r="L428" s="1" t="str">
        <x:f>IF(H428=0,IF(G428&gt;0,"Нет остатка","Нет спроса"),IF(I428&gt;='Дашборд'!$C$52,"Быстрый","Медленный"))</x:f>
        <x:v>Быстрый</x:v>
      </x:c>
      <x:c r="M428" s="1" t="str">
        <x:f>IF('Данные'!E428&lt;'Дашборд'!$C$53,"Мало трафика",IF(J428&lt;'Дашборд'!$C$9*'Дашборд'!$C$54,"Да","Нет"))</x:f>
        <x:v>Да</x:v>
      </x:c>
      <x:c r="N428" s="1" t="str">
        <x:f>IF(AND('Данные'!D428&gt;='Дашборд'!$C$55,D428&lt;'Дашборд'!$C$56,'Данные'!E428&gt;='Дашборд'!$C$53,'Данные'!L428&lt;&gt;"Да"),"Да","Нет")</x:f>
        <x:v>Нет</x:v>
      </x:c>
      <x:c r="O428" s="1" t="str">
        <x:f>'Данные'!L428</x:f>
        <x:v>Нет</x:v>
      </x:c>
    </x:row>
    <x:row r="429">
      <x:c r="A429" s="1" t="str">
        <x:f>'Данные'!A429</x:f>
        <x:v>246363183</x:v>
      </x:c>
      <x:c r="B429" s="1" t="str">
        <x:f>'Данные'!B429</x:f>
        <x:v>tolstovkazip/красный</x:v>
      </x:c>
      <x:c r="C429" s="8" t="n">
        <x:f>'Данные'!G429</x:f>
        <x:v>494940</x:v>
      </x:c>
      <x:c r="D429" s="15" t="n">
        <x:f>C429/SUM($C$5:$C$2477)</x:f>
        <x:v>0.0005782006029246542</x:v>
      </x:c>
      <x:c r="E429" s="15" t="n">
        <x:f>SUM($D$5:D429)</x:f>
        <x:v>0.7894505495090905</x:v>
      </x:c>
      <x:c r="F429" s="1" t="str">
        <x:f>IF(C429&lt;=0,"C",IF(E429-D429&lt;'Дашборд'!$C$49,"A",IF(E429-D429&lt;'Дашборд'!$C$50,"B","C")))</x:f>
        <x:v>A</x:v>
      </x:c>
      <x:c r="G429" s="8" t="n">
        <x:f>'Данные'!F429</x:f>
        <x:v>453</x:v>
      </x:c>
      <x:c r="H429" s="8" t="n">
        <x:f>SUM('Данные'!H429:I429)</x:f>
        <x:v>5</x:v>
      </x:c>
      <x:c r="I429" s="16" t="n">
        <x:f>IF(H429&gt;0,G429/H429,"n.a.")</x:f>
        <x:v>90.6</x:v>
      </x:c>
      <x:c r="J429" s="10" t="n">
        <x:f>IF('Данные'!E429&gt;0,G429/'Данные'!E429,"n.a.")</x:f>
        <x:v>0.009201706276660573</x:v>
      </x:c>
      <x:c r="K429" s="1" t="str">
        <x:f>IF(G429&gt;='Дашборд'!$C$51,"X","Z")</x:f>
        <x:v>X</x:v>
      </x:c>
      <x:c r="L429" s="1" t="str">
        <x:f>IF(H429=0,IF(G429&gt;0,"Нет остатка","Нет спроса"),IF(I429&gt;='Дашборд'!$C$52,"Быстрый","Медленный"))</x:f>
        <x:v>Быстрый</x:v>
      </x:c>
      <x:c r="M429" s="1" t="str">
        <x:f>IF('Данные'!E429&lt;'Дашборд'!$C$53,"Мало трафика",IF(J429&lt;'Дашборд'!$C$9*'Дашборд'!$C$54,"Да","Нет"))</x:f>
        <x:v>Да</x:v>
      </x:c>
      <x:c r="N429" s="1" t="str">
        <x:f>IF(AND('Данные'!D429&gt;='Дашборд'!$C$55,D429&lt;'Дашборд'!$C$56,'Данные'!E429&gt;='Дашборд'!$C$53,'Данные'!L429&lt;&gt;"Да"),"Да","Нет")</x:f>
        <x:v>Да</x:v>
      </x:c>
      <x:c r="O429" s="1" t="str">
        <x:f>'Данные'!L429</x:f>
        <x:v>Нет</x:v>
      </x:c>
    </x:row>
    <x:row r="430">
      <x:c r="A430" s="1" t="str">
        <x:f>'Данные'!A430</x:f>
        <x:v>245583536</x:v>
      </x:c>
      <x:c r="B430" s="1" t="str">
        <x:f>'Данные'!B430</x:f>
        <x:v>hudiprint/BrighterDays-129/красный</x:v>
      </x:c>
      <x:c r="C430" s="8" t="n">
        <x:f>'Данные'!G430</x:f>
        <x:v>494711</x:v>
      </x:c>
      <x:c r="D430" s="15" t="n">
        <x:f>C430/SUM($C$5:$C$2477)</x:f>
        <x:v>0.000577933079713619</x:v>
      </x:c>
      <x:c r="E430" s="15" t="n">
        <x:f>SUM($D$5:D430)</x:f>
        <x:v>0.7900284825888042</x:v>
      </x:c>
      <x:c r="F430" s="1" t="str">
        <x:f>IF(C430&lt;=0,"C",IF(E430-D430&lt;'Дашборд'!$C$49,"A",IF(E430-D430&lt;'Дашборд'!$C$50,"B","C")))</x:f>
        <x:v>A</x:v>
      </x:c>
      <x:c r="G430" s="8" t="n">
        <x:f>'Данные'!F430</x:f>
        <x:v>491</x:v>
      </x:c>
      <x:c r="H430" s="8" t="n">
        <x:f>SUM('Данные'!H430:I430)</x:f>
        <x:v>100</x:v>
      </x:c>
      <x:c r="I430" s="16" t="n">
        <x:f>IF(H430&gt;0,G430/H430,"n.a.")</x:f>
        <x:v>4.91</x:v>
      </x:c>
      <x:c r="J430" s="10" t="n">
        <x:f>IF('Данные'!E430&gt;0,G430/'Данные'!E430,"n.a.")</x:f>
        <x:v>0.009512185671664923</x:v>
      </x:c>
      <x:c r="K430" s="1" t="str">
        <x:f>IF(G430&gt;='Дашборд'!$C$51,"X","Z")</x:f>
        <x:v>X</x:v>
      </x:c>
      <x:c r="L430" s="1" t="str">
        <x:f>IF(H430=0,IF(G430&gt;0,"Нет остатка","Нет спроса"),IF(I430&gt;='Дашборд'!$C$52,"Быстрый","Медленный"))</x:f>
        <x:v>Быстрый</x:v>
      </x:c>
      <x:c r="M430" s="1" t="str">
        <x:f>IF('Данные'!E430&lt;'Дашборд'!$C$53,"Мало трафика",IF(J430&lt;'Дашборд'!$C$9*'Дашборд'!$C$54,"Да","Нет"))</x:f>
        <x:v>Да</x:v>
      </x:c>
      <x:c r="N430" s="1" t="str">
        <x:f>IF(AND('Данные'!D430&gt;='Дашборд'!$C$55,D430&lt;'Дашборд'!$C$56,'Данные'!E430&gt;='Дашборд'!$C$53,'Данные'!L430&lt;&gt;"Да"),"Да","Нет")</x:f>
        <x:v>Нет</x:v>
      </x:c>
      <x:c r="O430" s="1" t="str">
        <x:f>'Данные'!L430</x:f>
        <x:v>Нет</x:v>
      </x:c>
    </x:row>
    <x:row r="431">
      <x:c r="A431" s="1" t="str">
        <x:f>'Данные'!A431</x:f>
        <x:v>221503643</x:v>
      </x:c>
      <x:c r="B431" s="1" t="str">
        <x:f>'Данные'!B431</x:f>
        <x:v>baza/бордовый</x:v>
      </x:c>
      <x:c r="C431" s="8" t="n">
        <x:f>'Данные'!G431</x:f>
        <x:v>494085</x:v>
      </x:c>
      <x:c r="D431" s="15" t="n">
        <x:f>C431/SUM($C$5:$C$2477)</x:f>
        <x:v>0.0005772017717218809</x:v>
      </x:c>
      <x:c r="E431" s="15" t="n">
        <x:f>SUM($D$5:D431)</x:f>
        <x:v>0.7906056843605261</x:v>
      </x:c>
      <x:c r="F431" s="1" t="str">
        <x:f>IF(C431&lt;=0,"C",IF(E431-D431&lt;'Дашборд'!$C$49,"A",IF(E431-D431&lt;'Дашборд'!$C$50,"B","C")))</x:f>
        <x:v>A</x:v>
      </x:c>
      <x:c r="G431" s="8" t="n">
        <x:f>'Данные'!F431</x:f>
        <x:v>977</x:v>
      </x:c>
      <x:c r="H431" s="8" t="n">
        <x:f>SUM('Данные'!H431:I431)</x:f>
        <x:v>824</x:v>
      </x:c>
      <x:c r="I431" s="16" t="n">
        <x:f>IF(H431&gt;0,G431/H431,"n.a.")</x:f>
        <x:v>1.1856796116504855</x:v>
      </x:c>
      <x:c r="J431" s="10" t="n">
        <x:f>IF('Данные'!E431&gt;0,G431/'Данные'!E431,"n.a.")</x:f>
        <x:v>0.01656549899962698</x:v>
      </x:c>
      <x:c r="K431" s="1" t="str">
        <x:f>IF(G431&gt;='Дашборд'!$C$51,"X","Z")</x:f>
        <x:v>X</x:v>
      </x:c>
      <x:c r="L431" s="1" t="str">
        <x:f>IF(H431=0,IF(G431&gt;0,"Нет остатка","Нет спроса"),IF(I431&gt;='Дашборд'!$C$52,"Быстрый","Медленный"))</x:f>
        <x:v>Быстрый</x:v>
      </x:c>
      <x:c r="M431" s="1" t="str">
        <x:f>IF('Данные'!E431&lt;'Дашборд'!$C$53,"Мало трафика",IF(J431&lt;'Дашборд'!$C$9*'Дашборд'!$C$54,"Да","Нет"))</x:f>
        <x:v>Нет</x:v>
      </x:c>
      <x:c r="N431" s="1" t="str">
        <x:f>IF(AND('Данные'!D431&gt;='Дашборд'!$C$55,D431&lt;'Дашборд'!$C$56,'Данные'!E431&gt;='Дашборд'!$C$53,'Данные'!L431&lt;&gt;"Да"),"Да","Нет")</x:f>
        <x:v>Нет</x:v>
      </x:c>
      <x:c r="O431" s="1" t="str">
        <x:f>'Данные'!L431</x:f>
        <x:v>Нет</x:v>
      </x:c>
    </x:row>
    <x:row r="432">
      <x:c r="A432" s="1" t="str">
        <x:f>'Данные'!A432</x:f>
        <x:v>326814895</x:v>
      </x:c>
      <x:c r="B432" s="1" t="str">
        <x:f>'Данные'!B432</x:f>
        <x:v>svitzip3P-S-5/коричневый</x:v>
      </x:c>
      <x:c r="C432" s="8" t="n">
        <x:f>'Данные'!G432</x:f>
        <x:v>493584</x:v>
      </x:c>
      <x:c r="D432" s="15" t="n">
        <x:f>C432/SUM($C$5:$C$2477)</x:f>
        <x:v>0.0005766164916837647</x:v>
      </x:c>
      <x:c r="E432" s="15" t="n">
        <x:f>SUM($D$5:D432)</x:f>
        <x:v>0.7911823008522099</x:v>
      </x:c>
      <x:c r="F432" s="1" t="str">
        <x:f>IF(C432&lt;=0,"C",IF(E432-D432&lt;'Дашборд'!$C$49,"A",IF(E432-D432&lt;'Дашборд'!$C$50,"B","C")))</x:f>
        <x:v>A</x:v>
      </x:c>
      <x:c r="G432" s="8" t="n">
        <x:f>'Данные'!F432</x:f>
        <x:v>745</x:v>
      </x:c>
      <x:c r="H432" s="8" t="n">
        <x:f>SUM('Данные'!H432:I432)</x:f>
        <x:v>619</x:v>
      </x:c>
      <x:c r="I432" s="16" t="n">
        <x:f>IF(H432&gt;0,G432/H432,"n.a.")</x:f>
        <x:v>1.2035541195476576</x:v>
      </x:c>
      <x:c r="J432" s="10" t="n">
        <x:f>IF('Данные'!E432&gt;0,G432/'Данные'!E432,"n.a.")</x:f>
        <x:v>0.01189354874758537</x:v>
      </x:c>
      <x:c r="K432" s="1" t="str">
        <x:f>IF(G432&gt;='Дашборд'!$C$51,"X","Z")</x:f>
        <x:v>X</x:v>
      </x:c>
      <x:c r="L432" s="1" t="str">
        <x:f>IF(H432=0,IF(G432&gt;0,"Нет остатка","Нет спроса"),IF(I432&gt;='Дашборд'!$C$52,"Быстрый","Медленный"))</x:f>
        <x:v>Быстрый</x:v>
      </x:c>
      <x:c r="M432" s="1" t="str">
        <x:f>IF('Данные'!E432&lt;'Дашборд'!$C$53,"Мало трафика",IF(J432&lt;'Дашборд'!$C$9*'Дашборд'!$C$54,"Да","Нет"))</x:f>
        <x:v>Нет</x:v>
      </x:c>
      <x:c r="N432" s="1" t="str">
        <x:f>IF(AND('Данные'!D432&gt;='Дашборд'!$C$55,D432&lt;'Дашборд'!$C$56,'Данные'!E432&gt;='Дашборд'!$C$53,'Данные'!L432&lt;&gt;"Да"),"Да","Нет")</x:f>
        <x:v>Нет</x:v>
      </x:c>
      <x:c r="O432" s="1" t="str">
        <x:f>'Данные'!L432</x:f>
        <x:v>Нет</x:v>
      </x:c>
    </x:row>
    <x:row r="433">
      <x:c r="A433" s="1" t="str">
        <x:f>'Данные'!A433</x:f>
        <x:v>264718069</x:v>
      </x:c>
      <x:c r="B433" s="1" t="str">
        <x:f>'Данные'!B433</x:f>
        <x:v>svitshotpetl/бордовый</x:v>
      </x:c>
      <x:c r="C433" s="8" t="n">
        <x:f>'Данные'!G433</x:f>
        <x:v>493312</x:v>
      </x:c>
      <x:c r="D433" s="15" t="n">
        <x:f>C433/SUM($C$5:$C$2477)</x:f>
        <x:v>0.0005762987348566836</x:v>
      </x:c>
      <x:c r="E433" s="15" t="n">
        <x:f>SUM($D$5:D433)</x:f>
        <x:v>0.7917585995870665</x:v>
      </x:c>
      <x:c r="F433" s="1" t="str">
        <x:f>IF(C433&lt;=0,"C",IF(E433-D433&lt;'Дашборд'!$C$49,"A",IF(E433-D433&lt;'Дашборд'!$C$50,"B","C")))</x:f>
        <x:v>A</x:v>
      </x:c>
      <x:c r="G433" s="8" t="n">
        <x:f>'Данные'!F433</x:f>
        <x:v>666</x:v>
      </x:c>
      <x:c r="H433" s="8" t="n">
        <x:f>SUM('Данные'!H433:I433)</x:f>
        <x:v>1</x:v>
      </x:c>
      <x:c r="I433" s="16" t="n">
        <x:f>IF(H433&gt;0,G433/H433,"n.a.")</x:f>
        <x:v>666</x:v>
      </x:c>
      <x:c r="J433" s="10" t="n">
        <x:f>IF('Данные'!E433&gt;0,G433/'Данные'!E433,"n.a.")</x:f>
        <x:v>0.014328435274628343</x:v>
      </x:c>
      <x:c r="K433" s="1" t="str">
        <x:f>IF(G433&gt;='Дашборд'!$C$51,"X","Z")</x:f>
        <x:v>X</x:v>
      </x:c>
      <x:c r="L433" s="1" t="str">
        <x:f>IF(H433=0,IF(G433&gt;0,"Нет остатка","Нет спроса"),IF(I433&gt;='Дашборд'!$C$52,"Быстрый","Медленный"))</x:f>
        <x:v>Быстрый</x:v>
      </x:c>
      <x:c r="M433" s="1" t="str">
        <x:f>IF('Данные'!E433&lt;'Дашборд'!$C$53,"Мало трафика",IF(J433&lt;'Дашборд'!$C$9*'Дашборд'!$C$54,"Да","Нет"))</x:f>
        <x:v>Нет</x:v>
      </x:c>
      <x:c r="N433" s="1" t="str">
        <x:f>IF(AND('Данные'!D433&gt;='Дашборд'!$C$55,D433&lt;'Дашборд'!$C$56,'Данные'!E433&gt;='Дашборд'!$C$53,'Данные'!L433&lt;&gt;"Да"),"Да","Нет")</x:f>
        <x:v>Нет</x:v>
      </x:c>
      <x:c r="O433" s="1" t="str">
        <x:f>'Данные'!L433</x:f>
        <x:v>Нет</x:v>
      </x:c>
    </x:row>
    <x:row r="434">
      <x:c r="A434" s="1" t="str">
        <x:f>'Данные'!A434</x:f>
        <x:v>323203656</x:v>
      </x:c>
      <x:c r="B434" s="1" t="str">
        <x:f>'Данные'!B434</x:f>
        <x:v>tshirtsuperover3K-E1/розовый</x:v>
      </x:c>
      <x:c r="C434" s="8" t="n">
        <x:f>'Данные'!G434</x:f>
        <x:v>492415</x:v>
      </x:c>
      <x:c r="D434" s="15" t="n">
        <x:f>C434/SUM($C$5:$C$2477)</x:f>
        <x:v>0.0005752508382614934</x:v>
      </x:c>
      <x:c r="E434" s="15" t="n">
        <x:f>SUM($D$5:D434)</x:f>
        <x:v>0.792333850425328</x:v>
      </x:c>
      <x:c r="F434" s="1" t="str">
        <x:f>IF(C434&lt;=0,"C",IF(E434-D434&lt;'Дашборд'!$C$49,"A",IF(E434-D434&lt;'Дашборд'!$C$50,"B","C")))</x:f>
        <x:v>A</x:v>
      </x:c>
      <x:c r="G434" s="8" t="n">
        <x:f>'Данные'!F434</x:f>
        <x:v>987</x:v>
      </x:c>
      <x:c r="H434" s="8" t="n">
        <x:f>SUM('Данные'!H434:I434)</x:f>
        <x:v>238</x:v>
      </x:c>
      <x:c r="I434" s="16" t="n">
        <x:f>IF(H434&gt;0,G434/H434,"n.a.")</x:f>
        <x:v>4.147058823529412</x:v>
      </x:c>
      <x:c r="J434" s="10" t="n">
        <x:f>IF('Данные'!E434&gt;0,G434/'Данные'!E434,"n.a.")</x:f>
        <x:v>0.008305983337541026</x:v>
      </x:c>
      <x:c r="K434" s="1" t="str">
        <x:f>IF(G434&gt;='Дашборд'!$C$51,"X","Z")</x:f>
        <x:v>X</x:v>
      </x:c>
      <x:c r="L434" s="1" t="str">
        <x:f>IF(H434=0,IF(G434&gt;0,"Нет остатка","Нет спроса"),IF(I434&gt;='Дашборд'!$C$52,"Быстрый","Медленный"))</x:f>
        <x:v>Быстрый</x:v>
      </x:c>
      <x:c r="M434" s="1" t="str">
        <x:f>IF('Данные'!E434&lt;'Дашборд'!$C$53,"Мало трафика",IF(J434&lt;'Дашборд'!$C$9*'Дашборд'!$C$54,"Да","Нет"))</x:f>
        <x:v>Да</x:v>
      </x:c>
      <x:c r="N434" s="1" t="str">
        <x:f>IF(AND('Данные'!D434&gt;='Дашборд'!$C$55,D434&lt;'Дашборд'!$C$56,'Данные'!E434&gt;='Дашборд'!$C$53,'Данные'!L434&lt;&gt;"Да"),"Да","Нет")</x:f>
        <x:v>Нет</x:v>
      </x:c>
      <x:c r="O434" s="1" t="str">
        <x:f>'Данные'!L434</x:f>
        <x:v>Нет</x:v>
      </x:c>
    </x:row>
    <x:row r="435">
      <x:c r="A435" s="1" t="str">
        <x:f>'Данные'!A435</x:f>
        <x:v>297352522</x:v>
      </x:c>
      <x:c r="B435" s="1" t="str">
        <x:f>'Данные'!B435</x:f>
        <x:v>tolstovkazipman/светло-зеленый</x:v>
      </x:c>
      <x:c r="C435" s="8" t="n">
        <x:f>'Данные'!G435</x:f>
        <x:v>492196</x:v>
      </x:c>
      <x:c r="D435" s="15" t="n">
        <x:f>C435/SUM($C$5:$C$2477)</x:f>
        <x:v>0.0005749949972867481</x:v>
      </x:c>
      <x:c r="E435" s="15" t="n">
        <x:f>SUM($D$5:D435)</x:f>
        <x:v>0.7929088454226147</x:v>
      </x:c>
      <x:c r="F435" s="1" t="str">
        <x:f>IF(C435&lt;=0,"C",IF(E435-D435&lt;'Дашборд'!$C$49,"A",IF(E435-D435&lt;'Дашборд'!$C$50,"B","C")))</x:f>
        <x:v>A</x:v>
      </x:c>
      <x:c r="G435" s="8" t="n">
        <x:f>'Данные'!F435</x:f>
        <x:v>378</x:v>
      </x:c>
      <x:c r="H435" s="8" t="n">
        <x:f>SUM('Данные'!H435:I435)</x:f>
        <x:v>79</x:v>
      </x:c>
      <x:c r="I435" s="16" t="n">
        <x:f>IF(H435&gt;0,G435/H435,"n.a.")</x:f>
        <x:v>4.784810126582278</x:v>
      </x:c>
      <x:c r="J435" s="10" t="n">
        <x:f>IF('Данные'!E435&gt;0,G435/'Данные'!E435,"n.a.")</x:f>
        <x:v>0.016091954022988506</x:v>
      </x:c>
      <x:c r="K435" s="1" t="str">
        <x:f>IF(G435&gt;='Дашборд'!$C$51,"X","Z")</x:f>
        <x:v>X</x:v>
      </x:c>
      <x:c r="L435" s="1" t="str">
        <x:f>IF(H435=0,IF(G435&gt;0,"Нет остатка","Нет спроса"),IF(I435&gt;='Дашборд'!$C$52,"Быстрый","Медленный"))</x:f>
        <x:v>Быстрый</x:v>
      </x:c>
      <x:c r="M435" s="1" t="str">
        <x:f>IF('Данные'!E435&lt;'Дашборд'!$C$53,"Мало трафика",IF(J435&lt;'Дашборд'!$C$9*'Дашборд'!$C$54,"Да","Нет"))</x:f>
        <x:v>Нет</x:v>
      </x:c>
      <x:c r="N435" s="1" t="str">
        <x:f>IF(AND('Данные'!D435&gt;='Дашборд'!$C$55,D435&lt;'Дашборд'!$C$56,'Данные'!E435&gt;='Дашборд'!$C$53,'Данные'!L435&lt;&gt;"Да"),"Да","Нет")</x:f>
        <x:v>Да</x:v>
      </x:c>
      <x:c r="O435" s="1" t="str">
        <x:f>'Данные'!L435</x:f>
        <x:v>Нет</x:v>
      </x:c>
    </x:row>
    <x:row r="436">
      <x:c r="A436" s="1" t="str">
        <x:f>'Данные'!A436</x:f>
        <x:v>344446851</x:v>
      </x:c>
      <x:c r="B436" s="1" t="str">
        <x:f>'Данные'!B436</x:f>
        <x:v>2Ntshirt/коричневый</x:v>
      </x:c>
      <x:c r="C436" s="8" t="n">
        <x:f>'Данные'!G436</x:f>
        <x:v>489975</x:v>
      </x:c>
      <x:c r="D436" s="15" t="n">
        <x:f>C436/SUM($C$5:$C$2477)</x:f>
        <x:v>0.0005724003726067956</x:v>
      </x:c>
      <x:c r="E436" s="15" t="n">
        <x:f>SUM($D$5:D436)</x:f>
        <x:v>0.7934812457952215</x:v>
      </x:c>
      <x:c r="F436" s="1" t="str">
        <x:f>IF(C436&lt;=0,"C",IF(E436-D436&lt;'Дашборд'!$C$49,"A",IF(E436-D436&lt;'Дашборд'!$C$50,"B","C")))</x:f>
        <x:v>A</x:v>
      </x:c>
      <x:c r="G436" s="8" t="n">
        <x:f>'Данные'!F436</x:f>
        <x:v>1654</x:v>
      </x:c>
      <x:c r="H436" s="8" t="n">
        <x:f>SUM('Данные'!H436:I436)</x:f>
        <x:v>373</x:v>
      </x:c>
      <x:c r="I436" s="16" t="n">
        <x:f>IF(H436&gt;0,G436/H436,"n.a.")</x:f>
        <x:v>4.434316353887399</x:v>
      </x:c>
      <x:c r="J436" s="10" t="n">
        <x:f>IF('Данные'!E436&gt;0,G436/'Данные'!E436,"n.a.")</x:f>
        <x:v>0.009051308992207338</x:v>
      </x:c>
      <x:c r="K436" s="1" t="str">
        <x:f>IF(G436&gt;='Дашборд'!$C$51,"X","Z")</x:f>
        <x:v>X</x:v>
      </x:c>
      <x:c r="L436" s="1" t="str">
        <x:f>IF(H436=0,IF(G436&gt;0,"Нет остатка","Нет спроса"),IF(I436&gt;='Дашборд'!$C$52,"Быстрый","Медленный"))</x:f>
        <x:v>Быстрый</x:v>
      </x:c>
      <x:c r="M436" s="1" t="str">
        <x:f>IF('Данные'!E436&lt;'Дашборд'!$C$53,"Мало трафика",IF(J436&lt;'Дашборд'!$C$9*'Дашборд'!$C$54,"Да","Нет"))</x:f>
        <x:v>Да</x:v>
      </x:c>
      <x:c r="N436" s="1" t="str">
        <x:f>IF(AND('Данные'!D436&gt;='Дашборд'!$C$55,D436&lt;'Дашборд'!$C$56,'Данные'!E436&gt;='Дашборд'!$C$53,'Данные'!L436&lt;&gt;"Да"),"Да","Нет")</x:f>
        <x:v>Нет</x:v>
      </x:c>
      <x:c r="O436" s="1" t="str">
        <x:f>'Данные'!L436</x:f>
        <x:v>Нет</x:v>
      </x:c>
    </x:row>
    <x:row r="437">
      <x:c r="A437" s="1" t="str">
        <x:f>'Данные'!A437</x:f>
        <x:v>178309495</x:v>
      </x:c>
      <x:c r="B437" s="1" t="str">
        <x:f>'Данные'!B437</x:f>
        <x:v>svitcrop/молочный</x:v>
      </x:c>
      <x:c r="C437" s="8" t="n">
        <x:f>'Данные'!G437</x:f>
        <x:v>489291</x:v>
      </x:c>
      <x:c r="D437" s="15" t="n">
        <x:f>C437/SUM($C$5:$C$2477)</x:f>
        <x:v>0.0005716013076445771</x:v>
      </x:c>
      <x:c r="E437" s="15" t="n">
        <x:f>SUM($D$5:D437)</x:f>
        <x:v>0.794052847102866</x:v>
      </x:c>
      <x:c r="F437" s="1" t="str">
        <x:f>IF(C437&lt;=0,"C",IF(E437-D437&lt;'Дашборд'!$C$49,"A",IF(E437-D437&lt;'Дашборд'!$C$50,"B","C")))</x:f>
        <x:v>A</x:v>
      </x:c>
      <x:c r="G437" s="8" t="n">
        <x:f>'Данные'!F437</x:f>
        <x:v>1056</x:v>
      </x:c>
      <x:c r="H437" s="8" t="n">
        <x:f>SUM('Данные'!H437:I437)</x:f>
        <x:v>184</x:v>
      </x:c>
      <x:c r="I437" s="16" t="n">
        <x:f>IF(H437&gt;0,G437/H437,"n.a.")</x:f>
        <x:v>5.739130434782608</x:v>
      </x:c>
      <x:c r="J437" s="10" t="n">
        <x:f>IF('Данные'!E437&gt;0,G437/'Данные'!E437,"n.a.")</x:f>
        <x:v>0.010810036135821552</x:v>
      </x:c>
      <x:c r="K437" s="1" t="str">
        <x:f>IF(G437&gt;='Дашборд'!$C$51,"X","Z")</x:f>
        <x:v>X</x:v>
      </x:c>
      <x:c r="L437" s="1" t="str">
        <x:f>IF(H437=0,IF(G437&gt;0,"Нет остатка","Нет спроса"),IF(I437&gt;='Дашборд'!$C$52,"Быстрый","Медленный"))</x:f>
        <x:v>Быстрый</x:v>
      </x:c>
      <x:c r="M437" s="1" t="str">
        <x:f>IF('Данные'!E437&lt;'Дашборд'!$C$53,"Мало трафика",IF(J437&lt;'Дашборд'!$C$9*'Дашборд'!$C$54,"Да","Нет"))</x:f>
        <x:v>Нет</x:v>
      </x:c>
      <x:c r="N437" s="1" t="str">
        <x:f>IF(AND('Данные'!D437&gt;='Дашборд'!$C$55,D437&lt;'Дашборд'!$C$56,'Данные'!E437&gt;='Дашборд'!$C$53,'Данные'!L437&lt;&gt;"Да"),"Да","Нет")</x:f>
        <x:v>Да</x:v>
      </x:c>
      <x:c r="O437" s="1" t="str">
        <x:f>'Данные'!L437</x:f>
        <x:v>Нет</x:v>
      </x:c>
    </x:row>
    <x:row r="438">
      <x:c r="A438" s="1" t="str">
        <x:f>'Данные'!A438</x:f>
        <x:v>348191300</x:v>
      </x:c>
      <x:c r="B438" s="1" t="str">
        <x:f>'Данные'!B438</x:f>
        <x:v>futbolkaprint/gentle-258/молочный</x:v>
      </x:c>
      <x:c r="C438" s="8" t="n">
        <x:f>'Данные'!G438</x:f>
        <x:v>489149</x:v>
      </x:c>
      <x:c r="D438" s="15" t="n">
        <x:f>C438/SUM($C$5:$C$2477)</x:f>
        <x:v>0.0005714354198892627</x:v>
      </x:c>
      <x:c r="E438" s="15" t="n">
        <x:f>SUM($D$5:D438)</x:f>
        <x:v>0.7946242825227553</x:v>
      </x:c>
      <x:c r="F438" s="1" t="str">
        <x:f>IF(C438&lt;=0,"C",IF(E438-D438&lt;'Дашборд'!$C$49,"A",IF(E438-D438&lt;'Дашборд'!$C$50,"B","C")))</x:f>
        <x:v>A</x:v>
      </x:c>
      <x:c r="G438" s="8" t="n">
        <x:f>'Данные'!F438</x:f>
        <x:v>902</x:v>
      </x:c>
      <x:c r="H438" s="8" t="n">
        <x:f>SUM('Данные'!H438:I438)</x:f>
        <x:v>10</x:v>
      </x:c>
      <x:c r="I438" s="16" t="n">
        <x:f>IF(H438&gt;0,G438/H438,"n.a.")</x:f>
        <x:v>90.2</x:v>
      </x:c>
      <x:c r="J438" s="10" t="n">
        <x:f>IF('Данные'!E438&gt;0,G438/'Данные'!E438,"n.a.")</x:f>
        <x:v>0.011505102040816326</x:v>
      </x:c>
      <x:c r="K438" s="1" t="str">
        <x:f>IF(G438&gt;='Дашборд'!$C$51,"X","Z")</x:f>
        <x:v>X</x:v>
      </x:c>
      <x:c r="L438" s="1" t="str">
        <x:f>IF(H438=0,IF(G438&gt;0,"Нет остатка","Нет спроса"),IF(I438&gt;='Дашборд'!$C$52,"Быстрый","Медленный"))</x:f>
        <x:v>Быстрый</x:v>
      </x:c>
      <x:c r="M438" s="1" t="str">
        <x:f>IF('Данные'!E438&lt;'Дашборд'!$C$53,"Мало трафика",IF(J438&lt;'Дашборд'!$C$9*'Дашборд'!$C$54,"Да","Нет"))</x:f>
        <x:v>Нет</x:v>
      </x:c>
      <x:c r="N438" s="1" t="str">
        <x:f>IF(AND('Данные'!D438&gt;='Дашборд'!$C$55,D438&lt;'Дашборд'!$C$56,'Данные'!E438&gt;='Дашборд'!$C$53,'Данные'!L438&lt;&gt;"Да"),"Да","Нет")</x:f>
        <x:v>Да</x:v>
      </x:c>
      <x:c r="O438" s="1" t="str">
        <x:f>'Данные'!L438</x:f>
        <x:v>Нет</x:v>
      </x:c>
    </x:row>
    <x:row r="439">
      <x:c r="A439" s="1" t="str">
        <x:f>'Данные'!A439</x:f>
        <x:v>222785969</x:v>
      </x:c>
      <x:c r="B439" s="1" t="str">
        <x:f>'Данные'!B439</x:f>
        <x:v>hudipetl/черный</x:v>
      </x:c>
      <x:c r="C439" s="8" t="n">
        <x:f>'Данные'!G439</x:f>
        <x:v>486892</x:v>
      </x:c>
      <x:c r="D439" s="15" t="n">
        <x:f>C439/SUM($C$5:$C$2477)</x:f>
        <x:v>0.0005687987391586671</x:v>
      </x:c>
      <x:c r="E439" s="15" t="n">
        <x:f>SUM($D$5:D439)</x:f>
        <x:v>0.795193081261914</x:v>
      </x:c>
      <x:c r="F439" s="1" t="str">
        <x:f>IF(C439&lt;=0,"C",IF(E439-D439&lt;'Дашборд'!$C$49,"A",IF(E439-D439&lt;'Дашборд'!$C$50,"B","C")))</x:f>
        <x:v>A</x:v>
      </x:c>
      <x:c r="G439" s="8" t="n">
        <x:f>'Данные'!F439</x:f>
        <x:v>378</x:v>
      </x:c>
      <x:c r="H439" s="8" t="n">
        <x:f>SUM('Данные'!H439:I439)</x:f>
        <x:v>6</x:v>
      </x:c>
      <x:c r="I439" s="16" t="n">
        <x:f>IF(H439&gt;0,G439/H439,"n.a.")</x:f>
        <x:v>63</x:v>
      </x:c>
      <x:c r="J439" s="10" t="n">
        <x:f>IF('Данные'!E439&gt;0,G439/'Данные'!E439,"n.a.")</x:f>
        <x:v>0.013770993478815257</x:v>
      </x:c>
      <x:c r="K439" s="1" t="str">
        <x:f>IF(G439&gt;='Дашборд'!$C$51,"X","Z")</x:f>
        <x:v>X</x:v>
      </x:c>
      <x:c r="L439" s="1" t="str">
        <x:f>IF(H439=0,IF(G439&gt;0,"Нет остатка","Нет спроса"),IF(I439&gt;='Дашборд'!$C$52,"Быстрый","Медленный"))</x:f>
        <x:v>Быстрый</x:v>
      </x:c>
      <x:c r="M439" s="1" t="str">
        <x:f>IF('Данные'!E439&lt;'Дашборд'!$C$53,"Мало трафика",IF(J439&lt;'Дашборд'!$C$9*'Дашборд'!$C$54,"Да","Нет"))</x:f>
        <x:v>Нет</x:v>
      </x:c>
      <x:c r="N439" s="1" t="str">
        <x:f>IF(AND('Данные'!D439&gt;='Дашборд'!$C$55,D439&lt;'Дашборд'!$C$56,'Данные'!E439&gt;='Дашборд'!$C$53,'Данные'!L439&lt;&gt;"Да"),"Да","Нет")</x:f>
        <x:v>Нет</x:v>
      </x:c>
      <x:c r="O439" s="1" t="str">
        <x:f>'Данные'!L439</x:f>
        <x:v>Нет</x:v>
      </x:c>
    </x:row>
    <x:row r="440">
      <x:c r="A440" s="1" t="str">
        <x:f>'Данные'!A440</x:f>
        <x:v>245583528</x:v>
      </x:c>
      <x:c r="B440" s="1" t="str">
        <x:f>'Данные'!B440</x:f>
        <x:v>hudiprint/Never-155/серый</x:v>
      </x:c>
      <x:c r="C440" s="8" t="n">
        <x:f>'Данные'!G440</x:f>
        <x:v>486770</x:v>
      </x:c>
      <x:c r="D440" s="15" t="n">
        <x:f>C440/SUM($C$5:$C$2477)</x:f>
        <x:v>0.0005686562158759322</x:v>
      </x:c>
      <x:c r="E440" s="15" t="n">
        <x:f>SUM($D$5:D440)</x:f>
        <x:v>0.79576173747779</x:v>
      </x:c>
      <x:c r="F440" s="1" t="str">
        <x:f>IF(C440&lt;=0,"C",IF(E440-D440&lt;'Дашборд'!$C$49,"A",IF(E440-D440&lt;'Дашборд'!$C$50,"B","C")))</x:f>
        <x:v>A</x:v>
      </x:c>
      <x:c r="G440" s="8" t="n">
        <x:f>'Данные'!F440</x:f>
        <x:v>489</x:v>
      </x:c>
      <x:c r="H440" s="8" t="n">
        <x:f>SUM('Данные'!H440:I440)</x:f>
        <x:v>55</x:v>
      </x:c>
      <x:c r="I440" s="16" t="n">
        <x:f>IF(H440&gt;0,G440/H440,"n.a.")</x:f>
        <x:v>8.89090909090909</x:v>
      </x:c>
      <x:c r="J440" s="10" t="n">
        <x:f>IF('Данные'!E440&gt;0,G440/'Данные'!E440,"n.a.")</x:f>
        <x:v>0.012472898864940697</x:v>
      </x:c>
      <x:c r="K440" s="1" t="str">
        <x:f>IF(G440&gt;='Дашборд'!$C$51,"X","Z")</x:f>
        <x:v>X</x:v>
      </x:c>
      <x:c r="L440" s="1" t="str">
        <x:f>IF(H440=0,IF(G440&gt;0,"Нет остатка","Нет спроса"),IF(I440&gt;='Дашборд'!$C$52,"Быстрый","Медленный"))</x:f>
        <x:v>Быстрый</x:v>
      </x:c>
      <x:c r="M440" s="1" t="str">
        <x:f>IF('Данные'!E440&lt;'Дашборд'!$C$53,"Мало трафика",IF(J440&lt;'Дашборд'!$C$9*'Дашборд'!$C$54,"Да","Нет"))</x:f>
        <x:v>Нет</x:v>
      </x:c>
      <x:c r="N440" s="1" t="str">
        <x:f>IF(AND('Данные'!D440&gt;='Дашборд'!$C$55,D440&lt;'Дашборд'!$C$56,'Данные'!E440&gt;='Дашборд'!$C$53,'Данные'!L440&lt;&gt;"Да"),"Да","Нет")</x:f>
        <x:v>Нет</x:v>
      </x:c>
      <x:c r="O440" s="1" t="str">
        <x:f>'Данные'!L440</x:f>
        <x:v>Нет</x:v>
      </x:c>
    </x:row>
    <x:row r="441">
      <x:c r="A441" s="1" t="str">
        <x:f>'Данные'!A441</x:f>
        <x:v>210514813</x:v>
      </x:c>
      <x:c r="B441" s="1" t="str">
        <x:f>'Данные'!B441</x:f>
        <x:v>kostkulirkacrop/дымка</x:v>
      </x:c>
      <x:c r="C441" s="8" t="n">
        <x:f>'Данные'!G441</x:f>
        <x:v>485122</x:v>
      </x:c>
      <x:c r="D441" s="15" t="n">
        <x:f>C441/SUM($C$5:$C$2477)</x:f>
        <x:v>0.0005667309833353822</x:v>
      </x:c>
      <x:c r="E441" s="15" t="n">
        <x:f>SUM($D$5:D441)</x:f>
        <x:v>0.7963284684611254</x:v>
      </x:c>
      <x:c r="F441" s="1" t="str">
        <x:f>IF(C441&lt;=0,"C",IF(E441-D441&lt;'Дашборд'!$C$49,"A",IF(E441-D441&lt;'Дашборд'!$C$50,"B","C")))</x:f>
        <x:v>A</x:v>
      </x:c>
      <x:c r="G441" s="8" t="n">
        <x:f>'Данные'!F441</x:f>
        <x:v>722</x:v>
      </x:c>
      <x:c r="H441" s="8" t="n">
        <x:f>SUM('Данные'!H441:I441)</x:f>
        <x:v>1</x:v>
      </x:c>
      <x:c r="I441" s="16" t="n">
        <x:f>IF(H441&gt;0,G441/H441,"n.a.")</x:f>
        <x:v>722</x:v>
      </x:c>
      <x:c r="J441" s="10" t="n">
        <x:f>IF('Данные'!E441&gt;0,G441/'Данные'!E441,"n.a.")</x:f>
        <x:v>0.012289152525063404</x:v>
      </x:c>
      <x:c r="K441" s="1" t="str">
        <x:f>IF(G441&gt;='Дашборд'!$C$51,"X","Z")</x:f>
        <x:v>X</x:v>
      </x:c>
      <x:c r="L441" s="1" t="str">
        <x:f>IF(H441=0,IF(G441&gt;0,"Нет остатка","Нет спроса"),IF(I441&gt;='Дашборд'!$C$52,"Быстрый","Медленный"))</x:f>
        <x:v>Быстрый</x:v>
      </x:c>
      <x:c r="M441" s="1" t="str">
        <x:f>IF('Данные'!E441&lt;'Дашборд'!$C$53,"Мало трафика",IF(J441&lt;'Дашборд'!$C$9*'Дашборд'!$C$54,"Да","Нет"))</x:f>
        <x:v>Нет</x:v>
      </x:c>
      <x:c r="N441" s="1" t="str">
        <x:f>IF(AND('Данные'!D441&gt;='Дашборд'!$C$55,D441&lt;'Дашборд'!$C$56,'Данные'!E441&gt;='Дашборд'!$C$53,'Данные'!L441&lt;&gt;"Да"),"Да","Нет")</x:f>
        <x:v>Нет</x:v>
      </x:c>
      <x:c r="O441" s="1" t="str">
        <x:f>'Данные'!L441</x:f>
        <x:v>Нет</x:v>
      </x:c>
    </x:row>
    <x:row r="442">
      <x:c r="A442" s="1" t="str">
        <x:f>'Данные'!A442</x:f>
        <x:v>321626945</x:v>
      </x:c>
      <x:c r="B442" s="1" t="str">
        <x:f>'Данные'!B442</x:f>
        <x:v>tanktop3K-S9/белый</x:v>
      </x:c>
      <x:c r="C442" s="8" t="n">
        <x:f>'Данные'!G442</x:f>
        <x:v>484593</x:v>
      </x:c>
      <x:c r="D442" s="15" t="n">
        <x:f>C442/SUM($C$5:$C$2477)</x:f>
        <x:v>0.0005661129930356547</x:v>
      </x:c>
      <x:c r="E442" s="15" t="n">
        <x:f>SUM($D$5:D442)</x:f>
        <x:v>0.796894581454161</x:v>
      </x:c>
      <x:c r="F442" s="1" t="str">
        <x:f>IF(C442&lt;=0,"C",IF(E442-D442&lt;'Дашборд'!$C$49,"A",IF(E442-D442&lt;'Дашборд'!$C$50,"B","C")))</x:f>
        <x:v>A</x:v>
      </x:c>
      <x:c r="G442" s="8" t="n">
        <x:f>'Данные'!F442</x:f>
        <x:v>1252</x:v>
      </x:c>
      <x:c r="H442" s="8" t="n">
        <x:f>SUM('Данные'!H442:I442)</x:f>
        <x:v>362</x:v>
      </x:c>
      <x:c r="I442" s="16" t="n">
        <x:f>IF(H442&gt;0,G442/H442,"n.a.")</x:f>
        <x:v>3.458563535911602</x:v>
      </x:c>
      <x:c r="J442" s="10" t="n">
        <x:f>IF('Данные'!E442&gt;0,G442/'Данные'!E442,"n.a.")</x:f>
        <x:v>0.010871641687362151</x:v>
      </x:c>
      <x:c r="K442" s="1" t="str">
        <x:f>IF(G442&gt;='Дашборд'!$C$51,"X","Z")</x:f>
        <x:v>X</x:v>
      </x:c>
      <x:c r="L442" s="1" t="str">
        <x:f>IF(H442=0,IF(G442&gt;0,"Нет остатка","Нет спроса"),IF(I442&gt;='Дашборд'!$C$52,"Быстрый","Медленный"))</x:f>
        <x:v>Быстрый</x:v>
      </x:c>
      <x:c r="M442" s="1" t="str">
        <x:f>IF('Данные'!E442&lt;'Дашборд'!$C$53,"Мало трафика",IF(J442&lt;'Дашборд'!$C$9*'Дашборд'!$C$54,"Да","Нет"))</x:f>
        <x:v>Нет</x:v>
      </x:c>
      <x:c r="N442" s="1" t="str">
        <x:f>IF(AND('Данные'!D442&gt;='Дашборд'!$C$55,D442&lt;'Дашборд'!$C$56,'Данные'!E442&gt;='Дашборд'!$C$53,'Данные'!L442&lt;&gt;"Да"),"Да","Нет")</x:f>
        <x:v>Нет</x:v>
      </x:c>
      <x:c r="O442" s="1" t="str">
        <x:f>'Данные'!L442</x:f>
        <x:v>Нет</x:v>
      </x:c>
    </x:row>
    <x:row r="443">
      <x:c r="A443" s="1" t="str">
        <x:f>'Данные'!A443</x:f>
        <x:v>202409579</x:v>
      </x:c>
      <x:c r="B443" s="1" t="str">
        <x:f>'Данные'!B443</x:f>
        <x:v>hudimanprint/Brukman-42/черный</x:v>
      </x:c>
      <x:c r="C443" s="8" t="n">
        <x:f>'Данные'!G443</x:f>
        <x:v>479886</x:v>
      </x:c>
      <x:c r="D443" s="15" t="n">
        <x:f>C443/SUM($C$5:$C$2477)</x:f>
        <x:v>0.0005606141644140716</x:v>
      </x:c>
      <x:c r="E443" s="15" t="n">
        <x:f>SUM($D$5:D443)</x:f>
        <x:v>0.7974551956185751</x:v>
      </x:c>
      <x:c r="F443" s="1" t="str">
        <x:f>IF(C443&lt;=0,"C",IF(E443-D443&lt;'Дашборд'!$C$49,"A",IF(E443-D443&lt;'Дашборд'!$C$50,"B","C")))</x:f>
        <x:v>A</x:v>
      </x:c>
      <x:c r="G443" s="8" t="n">
        <x:f>'Данные'!F443</x:f>
        <x:v>490</x:v>
      </x:c>
      <x:c r="H443" s="8" t="n">
        <x:f>SUM('Данные'!H443:I443)</x:f>
        <x:v>69</x:v>
      </x:c>
      <x:c r="I443" s="16" t="n">
        <x:f>IF(H443&gt;0,G443/H443,"n.a.")</x:f>
        <x:v>7.101449275362318</x:v>
      </x:c>
      <x:c r="J443" s="10" t="n">
        <x:f>IF('Данные'!E443&gt;0,G443/'Данные'!E443,"n.a.")</x:f>
        <x:v>0.024918633034987796</x:v>
      </x:c>
      <x:c r="K443" s="1" t="str">
        <x:f>IF(G443&gt;='Дашборд'!$C$51,"X","Z")</x:f>
        <x:v>X</x:v>
      </x:c>
      <x:c r="L443" s="1" t="str">
        <x:f>IF(H443=0,IF(G443&gt;0,"Нет остатка","Нет спроса"),IF(I443&gt;='Дашборд'!$C$52,"Быстрый","Медленный"))</x:f>
        <x:v>Быстрый</x:v>
      </x:c>
      <x:c r="M443" s="1" t="str">
        <x:f>IF('Данные'!E443&lt;'Дашборд'!$C$53,"Мало трафика",IF(J443&lt;'Дашборд'!$C$9*'Дашборд'!$C$54,"Да","Нет"))</x:f>
        <x:v>Нет</x:v>
      </x:c>
      <x:c r="N443" s="1" t="str">
        <x:f>IF(AND('Данные'!D443&gt;='Дашборд'!$C$55,D443&lt;'Дашборд'!$C$56,'Данные'!E443&gt;='Дашборд'!$C$53,'Данные'!L443&lt;&gt;"Да"),"Да","Нет")</x:f>
        <x:v>Да</x:v>
      </x:c>
      <x:c r="O443" s="1" t="str">
        <x:f>'Данные'!L443</x:f>
        <x:v>Нет</x:v>
      </x:c>
    </x:row>
    <x:row r="444">
      <x:c r="A444" s="1" t="str">
        <x:f>'Данные'!A444</x:f>
        <x:v>216680515</x:v>
      </x:c>
      <x:c r="B444" s="1" t="str">
        <x:f>'Данные'!B444</x:f>
        <x:v>2NshortymanX2/чер-мол</x:v>
      </x:c>
      <x:c r="C444" s="8" t="n">
        <x:f>'Данные'!G444</x:f>
        <x:v>479621</x:v>
      </x:c>
      <x:c r="D444" s="15" t="n">
        <x:f>C444/SUM($C$5:$C$2477)</x:f>
        <x:v>0.0005603045851523933</x:v>
      </x:c>
      <x:c r="E444" s="15" t="n">
        <x:f>SUM($D$5:D444)</x:f>
        <x:v>0.7980155002037276</x:v>
      </x:c>
      <x:c r="F444" s="1" t="str">
        <x:f>IF(C444&lt;=0,"C",IF(E444-D444&lt;'Дашборд'!$C$49,"A",IF(E444-D444&lt;'Дашборд'!$C$50,"B","C")))</x:f>
        <x:v>A</x:v>
      </x:c>
      <x:c r="G444" s="8" t="n">
        <x:f>'Данные'!F444</x:f>
        <x:v>553</x:v>
      </x:c>
      <x:c r="H444" s="8" t="n">
        <x:f>SUM('Данные'!H444:I444)</x:f>
        <x:v>2</x:v>
      </x:c>
      <x:c r="I444" s="16" t="n">
        <x:f>IF(H444&gt;0,G444/H444,"n.a.")</x:f>
        <x:v>276.5</x:v>
      </x:c>
      <x:c r="J444" s="10" t="n">
        <x:f>IF('Данные'!E444&gt;0,G444/'Данные'!E444,"n.a.")</x:f>
        <x:v>0.03126059920859243</x:v>
      </x:c>
      <x:c r="K444" s="1" t="str">
        <x:f>IF(G444&gt;='Дашборд'!$C$51,"X","Z")</x:f>
        <x:v>X</x:v>
      </x:c>
      <x:c r="L444" s="1" t="str">
        <x:f>IF(H444=0,IF(G444&gt;0,"Нет остатка","Нет спроса"),IF(I444&gt;='Дашборд'!$C$52,"Быстрый","Медленный"))</x:f>
        <x:v>Быстрый</x:v>
      </x:c>
      <x:c r="M444" s="1" t="str">
        <x:f>IF('Данные'!E444&lt;'Дашборд'!$C$53,"Мало трафика",IF(J444&lt;'Дашборд'!$C$9*'Дашборд'!$C$54,"Да","Нет"))</x:f>
        <x:v>Нет</x:v>
      </x:c>
      <x:c r="N444" s="1" t="str">
        <x:f>IF(AND('Данные'!D444&gt;='Дашборд'!$C$55,D444&lt;'Дашборд'!$C$56,'Данные'!E444&gt;='Дашборд'!$C$53,'Данные'!L444&lt;&gt;"Да"),"Да","Нет")</x:f>
        <x:v>Нет</x:v>
      </x:c>
      <x:c r="O444" s="1" t="str">
        <x:f>'Данные'!L444</x:f>
        <x:v>Нет</x:v>
      </x:c>
    </x:row>
    <x:row r="445">
      <x:c r="A445" s="1" t="str">
        <x:f>'Данные'!A445</x:f>
        <x:v>210248314</x:v>
      </x:c>
      <x:c r="B445" s="1" t="str">
        <x:f>'Данные'!B445</x:f>
        <x:v>kulirkamanprint/CaliforniaWC-75/молочный</x:v>
      </x:c>
      <x:c r="C445" s="8" t="n">
        <x:f>'Данные'!G445</x:f>
        <x:v>474964</x:v>
      </x:c>
      <x:c r="D445" s="15" t="n">
        <x:f>C445/SUM($C$5:$C$2477)</x:f>
        <x:v>0.000554864167712259</x:v>
      </x:c>
      <x:c r="E445" s="15" t="n">
        <x:f>SUM($D$5:D445)</x:f>
        <x:v>0.7985703643714398</x:v>
      </x:c>
      <x:c r="F445" s="1" t="str">
        <x:f>IF(C445&lt;=0,"C",IF(E445-D445&lt;'Дашборд'!$C$49,"A",IF(E445-D445&lt;'Дашборд'!$C$50,"B","C")))</x:f>
        <x:v>A</x:v>
      </x:c>
      <x:c r="G445" s="8" t="n">
        <x:f>'Данные'!F445</x:f>
        <x:v>731</x:v>
      </x:c>
      <x:c r="H445" s="8" t="n">
        <x:f>SUM('Данные'!H445:I445)</x:f>
        <x:v>1</x:v>
      </x:c>
      <x:c r="I445" s="16" t="n">
        <x:f>IF(H445&gt;0,G445/H445,"n.a.")</x:f>
        <x:v>731</x:v>
      </x:c>
      <x:c r="J445" s="10" t="n">
        <x:f>IF('Данные'!E445&gt;0,G445/'Данные'!E445,"n.a.")</x:f>
        <x:v>0.012029555515329044</x:v>
      </x:c>
      <x:c r="K445" s="1" t="str">
        <x:f>IF(G445&gt;='Дашборд'!$C$51,"X","Z")</x:f>
        <x:v>X</x:v>
      </x:c>
      <x:c r="L445" s="1" t="str">
        <x:f>IF(H445=0,IF(G445&gt;0,"Нет остатка","Нет спроса"),IF(I445&gt;='Дашборд'!$C$52,"Быстрый","Медленный"))</x:f>
        <x:v>Быстрый</x:v>
      </x:c>
      <x:c r="M445" s="1" t="str">
        <x:f>IF('Данные'!E445&lt;'Дашборд'!$C$53,"Мало трафика",IF(J445&lt;'Дашборд'!$C$9*'Дашборд'!$C$54,"Да","Нет"))</x:f>
        <x:v>Нет</x:v>
      </x:c>
      <x:c r="N445" s="1" t="str">
        <x:f>IF(AND('Данные'!D445&gt;='Дашборд'!$C$55,D445&lt;'Дашборд'!$C$56,'Данные'!E445&gt;='Дашборд'!$C$53,'Данные'!L445&lt;&gt;"Да"),"Да","Нет")</x:f>
        <x:v>Нет</x:v>
      </x:c>
      <x:c r="O445" s="1" t="str">
        <x:f>'Данные'!L445</x:f>
        <x:v>Нет</x:v>
      </x:c>
    </x:row>
    <x:row r="446">
      <x:c r="A446" s="1" t="str">
        <x:f>'Данные'!A446</x:f>
        <x:v>210514815</x:v>
      </x:c>
      <x:c r="B446" s="1" t="str">
        <x:f>'Данные'!B446</x:f>
        <x:v>kostkulirkacrop/голубой</x:v>
      </x:c>
      <x:c r="C446" s="8" t="n">
        <x:f>'Данные'!G446</x:f>
        <x:v>472419</x:v>
      </x:c>
      <x:c r="D446" s="15" t="n">
        <x:f>C446/SUM($C$5:$C$2477)</x:f>
        <x:v>0.0005518910385765187</x:v>
      </x:c>
      <x:c r="E446" s="15" t="n">
        <x:f>SUM($D$5:D446)</x:f>
        <x:v>0.7991222554100164</x:v>
      </x:c>
      <x:c r="F446" s="1" t="str">
        <x:f>IF(C446&lt;=0,"C",IF(E446-D446&lt;'Дашборд'!$C$49,"A",IF(E446-D446&lt;'Дашборд'!$C$50,"B","C")))</x:f>
        <x:v>A</x:v>
      </x:c>
      <x:c r="G446" s="8" t="n">
        <x:f>'Данные'!F446</x:f>
        <x:v>896</x:v>
      </x:c>
      <x:c r="H446" s="8" t="n">
        <x:f>SUM('Данные'!H446:I446)</x:f>
        <x:v>2</x:v>
      </x:c>
      <x:c r="I446" s="16" t="n">
        <x:f>IF(H446&gt;0,G446/H446,"n.a.")</x:f>
        <x:v>448</x:v>
      </x:c>
      <x:c r="J446" s="10" t="n">
        <x:f>IF('Данные'!E446&gt;0,G446/'Данные'!E446,"n.a.")</x:f>
        <x:v>0.017069918079634216</x:v>
      </x:c>
      <x:c r="K446" s="1" t="str">
        <x:f>IF(G446&gt;='Дашборд'!$C$51,"X","Z")</x:f>
        <x:v>X</x:v>
      </x:c>
      <x:c r="L446" s="1" t="str">
        <x:f>IF(H446=0,IF(G446&gt;0,"Нет остатка","Нет спроса"),IF(I446&gt;='Дашборд'!$C$52,"Быстрый","Медленный"))</x:f>
        <x:v>Быстрый</x:v>
      </x:c>
      <x:c r="M446" s="1" t="str">
        <x:f>IF('Данные'!E446&lt;'Дашборд'!$C$53,"Мало трафика",IF(J446&lt;'Дашборд'!$C$9*'Дашборд'!$C$54,"Да","Нет"))</x:f>
        <x:v>Нет</x:v>
      </x:c>
      <x:c r="N446" s="1" t="str">
        <x:f>IF(AND('Данные'!D446&gt;='Дашборд'!$C$55,D446&lt;'Дашборд'!$C$56,'Данные'!E446&gt;='Дашборд'!$C$53,'Данные'!L446&lt;&gt;"Да"),"Да","Нет")</x:f>
        <x:v>Да</x:v>
      </x:c>
      <x:c r="O446" s="1" t="str">
        <x:f>'Данные'!L446</x:f>
        <x:v>Нет</x:v>
      </x:c>
    </x:row>
    <x:row r="447">
      <x:c r="A447" s="1" t="str">
        <x:f>'Данные'!A447</x:f>
        <x:v>45488953</x:v>
      </x:c>
      <x:c r="B447" s="1" t="str">
        <x:f>'Данные'!B447</x:f>
        <x:v>hudiman/деним</x:v>
      </x:c>
      <x:c r="C447" s="8" t="n">
        <x:f>'Данные'!G447</x:f>
        <x:v>472291</x:v>
      </x:c>
      <x:c r="D447" s="15" t="n">
        <x:f>C447/SUM($C$5:$C$2477)</x:f>
        <x:v>0.00055174150595201</x:v>
      </x:c>
      <x:c r="E447" s="15" t="n">
        <x:f>SUM($D$5:D447)</x:f>
        <x:v>0.7996739969159684</x:v>
      </x:c>
      <x:c r="F447" s="1" t="str">
        <x:f>IF(C447&lt;=0,"C",IF(E447-D447&lt;'Дашборд'!$C$49,"A",IF(E447-D447&lt;'Дашборд'!$C$50,"B","C")))</x:f>
        <x:v>A</x:v>
      </x:c>
      <x:c r="G447" s="8" t="n">
        <x:f>'Данные'!F447</x:f>
        <x:v>480</x:v>
      </x:c>
      <x:c r="H447" s="8" t="n">
        <x:f>SUM('Данные'!H447:I447)</x:f>
        <x:v>655</x:v>
      </x:c>
      <x:c r="I447" s="16" t="n">
        <x:f>IF(H447&gt;0,G447/H447,"n.a.")</x:f>
        <x:v>0.732824427480916</x:v>
      </x:c>
      <x:c r="J447" s="10" t="n">
        <x:f>IF('Данные'!E447&gt;0,G447/'Данные'!E447,"n.a.")</x:f>
        <x:v>0.01936811524028568</x:v>
      </x:c>
      <x:c r="K447" s="1" t="str">
        <x:f>IF(G447&gt;='Дашборд'!$C$51,"X","Z")</x:f>
        <x:v>X</x:v>
      </x:c>
      <x:c r="L447" s="1" t="str">
        <x:f>IF(H447=0,IF(G447&gt;0,"Нет остатка","Нет спроса"),IF(I447&gt;='Дашборд'!$C$52,"Быстрый","Медленный"))</x:f>
        <x:v>Медленный</x:v>
      </x:c>
      <x:c r="M447" s="1" t="str">
        <x:f>IF('Данные'!E447&lt;'Дашборд'!$C$53,"Мало трафика",IF(J447&lt;'Дашборд'!$C$9*'Дашборд'!$C$54,"Да","Нет"))</x:f>
        <x:v>Нет</x:v>
      </x:c>
      <x:c r="N447" s="1" t="str">
        <x:f>IF(AND('Данные'!D447&gt;='Дашборд'!$C$55,D447&lt;'Дашборд'!$C$56,'Данные'!E447&gt;='Дашборд'!$C$53,'Данные'!L447&lt;&gt;"Да"),"Да","Нет")</x:f>
        <x:v>Да</x:v>
      </x:c>
      <x:c r="O447" s="1" t="str">
        <x:f>'Данные'!L447</x:f>
        <x:v>Нет</x:v>
      </x:c>
    </x:row>
    <x:row r="448">
      <x:c r="A448" s="1" t="str">
        <x:f>'Данные'!A448</x:f>
        <x:v>314822395</x:v>
      </x:c>
      <x:c r="B448" s="1" t="str">
        <x:f>'Данные'!B448</x:f>
        <x:v>2Nitkalong3D-76print/TDGrushing-236/белый</x:v>
      </x:c>
      <x:c r="C448" s="8" t="n">
        <x:f>'Данные'!G448</x:f>
        <x:v>470397</x:v>
      </x:c>
      <x:c r="D448" s="15" t="n">
        <x:f>C448/SUM($C$5:$C$2477)</x:f>
        <x:v>0.0005495288903987323</x:v>
      </x:c>
      <x:c r="E448" s="15" t="n">
        <x:f>SUM($D$5:D448)</x:f>
        <x:v>0.8002235258063671</x:v>
      </x:c>
      <x:c r="F448" s="1" t="str">
        <x:f>IF(C448&lt;=0,"C",IF(E448-D448&lt;'Дашборд'!$C$49,"A",IF(E448-D448&lt;'Дашборд'!$C$50,"B","C")))</x:f>
        <x:v>A</x:v>
      </x:c>
      <x:c r="G448" s="8" t="n">
        <x:f>'Данные'!F448</x:f>
        <x:v>910</x:v>
      </x:c>
      <x:c r="H448" s="8" t="n">
        <x:f>SUM('Данные'!H448:I448)</x:f>
        <x:v>26</x:v>
      </x:c>
      <x:c r="I448" s="16" t="n">
        <x:f>IF(H448&gt;0,G448/H448,"n.a.")</x:f>
        <x:v>35</x:v>
      </x:c>
      <x:c r="J448" s="10" t="n">
        <x:f>IF('Данные'!E448&gt;0,G448/'Данные'!E448,"n.a.")</x:f>
        <x:v>0.012832625893700732</x:v>
      </x:c>
      <x:c r="K448" s="1" t="str">
        <x:f>IF(G448&gt;='Дашборд'!$C$51,"X","Z")</x:f>
        <x:v>X</x:v>
      </x:c>
      <x:c r="L448" s="1" t="str">
        <x:f>IF(H448=0,IF(G448&gt;0,"Нет остатка","Нет спроса"),IF(I448&gt;='Дашборд'!$C$52,"Быстрый","Медленный"))</x:f>
        <x:v>Быстрый</x:v>
      </x:c>
      <x:c r="M448" s="1" t="str">
        <x:f>IF('Данные'!E448&lt;'Дашборд'!$C$53,"Мало трафика",IF(J448&lt;'Дашборд'!$C$9*'Дашборд'!$C$54,"Да","Нет"))</x:f>
        <x:v>Нет</x:v>
      </x:c>
      <x:c r="N448" s="1" t="str">
        <x:f>IF(AND('Данные'!D448&gt;='Дашборд'!$C$55,D448&lt;'Дашборд'!$C$56,'Данные'!E448&gt;='Дашборд'!$C$53,'Данные'!L448&lt;&gt;"Да"),"Да","Нет")</x:f>
        <x:v>Нет</x:v>
      </x:c>
      <x:c r="O448" s="1" t="str">
        <x:f>'Данные'!L448</x:f>
        <x:v>Нет</x:v>
      </x:c>
    </x:row>
    <x:row r="449">
      <x:c r="A449" s="1" t="str">
        <x:f>'Данные'!A449</x:f>
        <x:v>236026601</x:v>
      </x:c>
      <x:c r="B449" s="1" t="str">
        <x:f>'Данные'!B449</x:f>
        <x:v>futbolkaprint/Oops-161/молочный</x:v>
      </x:c>
      <x:c r="C449" s="8" t="n">
        <x:f>'Данные'!G449</x:f>
        <x:v>470166</x:v>
      </x:c>
      <x:c r="D449" s="15" t="n">
        <x:f>C449/SUM($C$5:$C$2477)</x:f>
        <x:v>0.0005492590307404391</x:v>
      </x:c>
      <x:c r="E449" s="15" t="n">
        <x:f>SUM($D$5:D449)</x:f>
        <x:v>0.8007727848371076</x:v>
      </x:c>
      <x:c r="F449" s="1" t="str">
        <x:f>IF(C449&lt;=0,"C",IF(E449-D449&lt;'Дашборд'!$C$49,"A",IF(E449-D449&lt;'Дашборд'!$C$50,"B","C")))</x:f>
        <x:v>B</x:v>
      </x:c>
      <x:c r="G449" s="8" t="n">
        <x:f>'Данные'!F449</x:f>
        <x:v>903</x:v>
      </x:c>
      <x:c r="H449" s="8" t="n">
        <x:f>SUM('Данные'!H449:I449)</x:f>
        <x:v>9</x:v>
      </x:c>
      <x:c r="I449" s="16" t="n">
        <x:f>IF(H449&gt;0,G449/H449,"n.a.")</x:f>
        <x:v>100.33333333333333</x:v>
      </x:c>
      <x:c r="J449" s="10" t="n">
        <x:f>IF('Данные'!E449&gt;0,G449/'Данные'!E449,"n.a.")</x:f>
        <x:v>0.011781283024775921</x:v>
      </x:c>
      <x:c r="K449" s="1" t="str">
        <x:f>IF(G449&gt;='Дашборд'!$C$51,"X","Z")</x:f>
        <x:v>X</x:v>
      </x:c>
      <x:c r="L449" s="1" t="str">
        <x:f>IF(H449=0,IF(G449&gt;0,"Нет остатка","Нет спроса"),IF(I449&gt;='Дашборд'!$C$52,"Быстрый","Медленный"))</x:f>
        <x:v>Быстрый</x:v>
      </x:c>
      <x:c r="M449" s="1" t="str">
        <x:f>IF('Данные'!E449&lt;'Дашборд'!$C$53,"Мало трафика",IF(J449&lt;'Дашборд'!$C$9*'Дашборд'!$C$54,"Да","Нет"))</x:f>
        <x:v>Нет</x:v>
      </x:c>
      <x:c r="N449" s="1" t="str">
        <x:f>IF(AND('Данные'!D449&gt;='Дашборд'!$C$55,D449&lt;'Дашборд'!$C$56,'Данные'!E449&gt;='Дашборд'!$C$53,'Данные'!L449&lt;&gt;"Да"),"Да","Нет")</x:f>
        <x:v>Да</x:v>
      </x:c>
      <x:c r="O449" s="1" t="str">
        <x:f>'Данные'!L449</x:f>
        <x:v>Нет</x:v>
      </x:c>
    </x:row>
    <x:row r="450">
      <x:c r="A450" s="1" t="str">
        <x:f>'Данные'!A450</x:f>
        <x:v>320401321</x:v>
      </x:c>
      <x:c r="B450" s="1" t="str">
        <x:f>'Данные'!B450</x:f>
        <x:v>futbolkaprint/vision-246/розовый</x:v>
      </x:c>
      <x:c r="C450" s="8" t="n">
        <x:f>'Данные'!G450</x:f>
        <x:v>469998</x:v>
      </x:c>
      <x:c r="D450" s="15" t="n">
        <x:f>C450/SUM($C$5:$C$2477)</x:f>
        <x:v>0.0005490627691707715</x:v>
      </x:c>
      <x:c r="E450" s="15" t="n">
        <x:f>SUM($D$5:D450)</x:f>
        <x:v>0.8013218476062783</x:v>
      </x:c>
      <x:c r="F450" s="1" t="str">
        <x:f>IF(C450&lt;=0,"C",IF(E450-D450&lt;'Дашборд'!$C$49,"A",IF(E450-D450&lt;'Дашборд'!$C$50,"B","C")))</x:f>
        <x:v>B</x:v>
      </x:c>
      <x:c r="G450" s="8" t="n">
        <x:f>'Данные'!F450</x:f>
        <x:v>846</x:v>
      </x:c>
      <x:c r="H450" s="8" t="n">
        <x:f>SUM('Данные'!H450:I450)</x:f>
        <x:v>376</x:v>
      </x:c>
      <x:c r="I450" s="16" t="n">
        <x:f>IF(H450&gt;0,G450/H450,"n.a.")</x:f>
        <x:v>2.25</x:v>
      </x:c>
      <x:c r="J450" s="10" t="n">
        <x:f>IF('Данные'!E450&gt;0,G450/'Данные'!E450,"n.a.")</x:f>
        <x:v>0.005199945910728115</x:v>
      </x:c>
      <x:c r="K450" s="1" t="str">
        <x:f>IF(G450&gt;='Дашборд'!$C$51,"X","Z")</x:f>
        <x:v>X</x:v>
      </x:c>
      <x:c r="L450" s="1" t="str">
        <x:f>IF(H450=0,IF(G450&gt;0,"Нет остатка","Нет спроса"),IF(I450&gt;='Дашборд'!$C$52,"Быстрый","Медленный"))</x:f>
        <x:v>Быстрый</x:v>
      </x:c>
      <x:c r="M450" s="1" t="str">
        <x:f>IF('Данные'!E450&lt;'Дашборд'!$C$53,"Мало трафика",IF(J450&lt;'Дашборд'!$C$9*'Дашборд'!$C$54,"Да","Нет"))</x:f>
        <x:v>Да</x:v>
      </x:c>
      <x:c r="N450" s="1" t="str">
        <x:f>IF(AND('Данные'!D450&gt;='Дашборд'!$C$55,D450&lt;'Дашборд'!$C$56,'Данные'!E450&gt;='Дашборд'!$C$53,'Данные'!L450&lt;&gt;"Да"),"Да","Нет")</x:f>
        <x:v>Да</x:v>
      </x:c>
      <x:c r="O450" s="1" t="str">
        <x:f>'Данные'!L450</x:f>
        <x:v>Нет</x:v>
      </x:c>
    </x:row>
    <x:row r="451">
      <x:c r="A451" s="1" t="str">
        <x:f>'Данные'!A451</x:f>
        <x:v>219109888</x:v>
      </x:c>
      <x:c r="B451" s="1" t="str">
        <x:f>'Данные'!B451</x:f>
        <x:v>futbolkaprint/MEDUSA-17/зелено-серый</x:v>
      </x:c>
      <x:c r="C451" s="8" t="n">
        <x:f>'Данные'!G451</x:f>
        <x:v>468772</x:v>
      </x:c>
      <x:c r="D451" s="15" t="n">
        <x:f>C451/SUM($C$5:$C$2477)</x:f>
        <x:v>0.0005476305270016486</x:v>
      </x:c>
      <x:c r="E451" s="15" t="n">
        <x:f>SUM($D$5:D451)</x:f>
        <x:v>0.80186947813328</x:v>
      </x:c>
      <x:c r="F451" s="1" t="str">
        <x:f>IF(C451&lt;=0,"C",IF(E451-D451&lt;'Дашборд'!$C$49,"A",IF(E451-D451&lt;'Дашборд'!$C$50,"B","C")))</x:f>
        <x:v>B</x:v>
      </x:c>
      <x:c r="G451" s="8" t="n">
        <x:f>'Данные'!F451</x:f>
        <x:v>778</x:v>
      </x:c>
      <x:c r="H451" s="8" t="n">
        <x:f>SUM('Данные'!H451:I451)</x:f>
        <x:v>4</x:v>
      </x:c>
      <x:c r="I451" s="16" t="n">
        <x:f>IF(H451&gt;0,G451/H451,"n.a.")</x:f>
        <x:v>194.5</x:v>
      </x:c>
      <x:c r="J451" s="10" t="n">
        <x:f>IF('Данные'!E451&gt;0,G451/'Данные'!E451,"n.a.")</x:f>
        <x:v>0.012817555767900096</x:v>
      </x:c>
      <x:c r="K451" s="1" t="str">
        <x:f>IF(G451&gt;='Дашборд'!$C$51,"X","Z")</x:f>
        <x:v>X</x:v>
      </x:c>
      <x:c r="L451" s="1" t="str">
        <x:f>IF(H451=0,IF(G451&gt;0,"Нет остатка","Нет спроса"),IF(I451&gt;='Дашборд'!$C$52,"Быстрый","Медленный"))</x:f>
        <x:v>Быстрый</x:v>
      </x:c>
      <x:c r="M451" s="1" t="str">
        <x:f>IF('Данные'!E451&lt;'Дашборд'!$C$53,"Мало трафика",IF(J451&lt;'Дашборд'!$C$9*'Дашборд'!$C$54,"Да","Нет"))</x:f>
        <x:v>Нет</x:v>
      </x:c>
      <x:c r="N451" s="1" t="str">
        <x:f>IF(AND('Данные'!D451&gt;='Дашборд'!$C$55,D451&lt;'Дашборд'!$C$56,'Данные'!E451&gt;='Дашборд'!$C$53,'Данные'!L451&lt;&gt;"Да"),"Да","Нет")</x:f>
        <x:v>Нет</x:v>
      </x:c>
      <x:c r="O451" s="1" t="str">
        <x:f>'Данные'!L451</x:f>
        <x:v>Нет</x:v>
      </x:c>
    </x:row>
    <x:row r="452">
      <x:c r="A452" s="1" t="str">
        <x:f>'Данные'!A452</x:f>
        <x:v>228407607</x:v>
      </x:c>
      <x:c r="B452" s="1" t="str">
        <x:f>'Данные'!B452</x:f>
        <x:v>futbolkaprint/Miracles-147/белый</x:v>
      </x:c>
      <x:c r="C452" s="8" t="n">
        <x:f>'Данные'!G452</x:f>
        <x:v>468187</x:v>
      </x:c>
      <x:c r="D452" s="15" t="n">
        <x:f>C452/SUM($C$5:$C$2477)</x:f>
        <x:v>0.0005469471161786986</x:v>
      </x:c>
      <x:c r="E452" s="15" t="n">
        <x:f>SUM($D$5:D452)</x:f>
        <x:v>0.8024164252494588</x:v>
      </x:c>
      <x:c r="F452" s="1" t="str">
        <x:f>IF(C452&lt;=0,"C",IF(E452-D452&lt;'Дашборд'!$C$49,"A",IF(E452-D452&lt;'Дашборд'!$C$50,"B","C")))</x:f>
        <x:v>B</x:v>
      </x:c>
      <x:c r="G452" s="8" t="n">
        <x:f>'Данные'!F452</x:f>
        <x:v>720</x:v>
      </x:c>
      <x:c r="H452" s="8" t="n">
        <x:f>SUM('Данные'!H452:I452)</x:f>
        <x:v>3</x:v>
      </x:c>
      <x:c r="I452" s="16" t="n">
        <x:f>IF(H452&gt;0,G452/H452,"n.a.")</x:f>
        <x:v>240</x:v>
      </x:c>
      <x:c r="J452" s="10" t="n">
        <x:f>IF('Данные'!E452&gt;0,G452/'Данные'!E452,"n.a.")</x:f>
        <x:v>0.014291385470424772</x:v>
      </x:c>
      <x:c r="K452" s="1" t="str">
        <x:f>IF(G452&gt;='Дашборд'!$C$51,"X","Z")</x:f>
        <x:v>X</x:v>
      </x:c>
      <x:c r="L452" s="1" t="str">
        <x:f>IF(H452=0,IF(G452&gt;0,"Нет остатка","Нет спроса"),IF(I452&gt;='Дашборд'!$C$52,"Быстрый","Медленный"))</x:f>
        <x:v>Быстрый</x:v>
      </x:c>
      <x:c r="M452" s="1" t="str">
        <x:f>IF('Данные'!E452&lt;'Дашборд'!$C$53,"Мало трафика",IF(J452&lt;'Дашборд'!$C$9*'Дашборд'!$C$54,"Да","Нет"))</x:f>
        <x:v>Нет</x:v>
      </x:c>
      <x:c r="N452" s="1" t="str">
        <x:f>IF(AND('Данные'!D452&gt;='Дашборд'!$C$55,D452&lt;'Дашборд'!$C$56,'Данные'!E452&gt;='Дашборд'!$C$53,'Данные'!L452&lt;&gt;"Да"),"Да","Нет")</x:f>
        <x:v>Нет</x:v>
      </x:c>
      <x:c r="O452" s="1" t="str">
        <x:f>'Данные'!L452</x:f>
        <x:v>Нет</x:v>
      </x:c>
    </x:row>
    <x:row r="453">
      <x:c r="A453" s="1" t="str">
        <x:f>'Данные'!A453</x:f>
        <x:v>320424592</x:v>
      </x:c>
      <x:c r="B453" s="1" t="str">
        <x:f>'Данные'!B453</x:f>
        <x:v>brukizshp3P-S-1/серый</x:v>
      </x:c>
      <x:c r="C453" s="8" t="n">
        <x:f>'Данные'!G453</x:f>
        <x:v>467200</x:v>
      </x:c>
      <x:c r="D453" s="15" t="n">
        <x:f>C453/SUM($C$5:$C$2477)</x:f>
        <x:v>0.0005457940794569006</x:v>
      </x:c>
      <x:c r="E453" s="15" t="n">
        <x:f>SUM($D$5:D453)</x:f>
        <x:v>0.8029622193289156</x:v>
      </x:c>
      <x:c r="F453" s="1" t="str">
        <x:f>IF(C453&lt;=0,"C",IF(E453-D453&lt;'Дашборд'!$C$49,"A",IF(E453-D453&lt;'Дашборд'!$C$50,"B","C")))</x:f>
        <x:v>B</x:v>
      </x:c>
      <x:c r="G453" s="8" t="n">
        <x:f>'Данные'!F453</x:f>
        <x:v>594</x:v>
      </x:c>
      <x:c r="H453" s="8" t="n">
        <x:f>SUM('Данные'!H453:I453)</x:f>
        <x:v>191</x:v>
      </x:c>
      <x:c r="I453" s="16" t="n">
        <x:f>IF(H453&gt;0,G453/H453,"n.a.")</x:f>
        <x:v>3.1099476439790577</x:v>
      </x:c>
      <x:c r="J453" s="10" t="n">
        <x:f>IF('Данные'!E453&gt;0,G453/'Данные'!E453,"n.a.")</x:f>
        <x:v>0.008973351864160976</x:v>
      </x:c>
      <x:c r="K453" s="1" t="str">
        <x:f>IF(G453&gt;='Дашборд'!$C$51,"X","Z")</x:f>
        <x:v>X</x:v>
      </x:c>
      <x:c r="L453" s="1" t="str">
        <x:f>IF(H453=0,IF(G453&gt;0,"Нет остатка","Нет спроса"),IF(I453&gt;='Дашборд'!$C$52,"Быстрый","Медленный"))</x:f>
        <x:v>Быстрый</x:v>
      </x:c>
      <x:c r="M453" s="1" t="str">
        <x:f>IF('Данные'!E453&lt;'Дашборд'!$C$53,"Мало трафика",IF(J453&lt;'Дашборд'!$C$9*'Дашборд'!$C$54,"Да","Нет"))</x:f>
        <x:v>Да</x:v>
      </x:c>
      <x:c r="N453" s="1" t="str">
        <x:f>IF(AND('Данные'!D453&gt;='Дашборд'!$C$55,D453&lt;'Дашборд'!$C$56,'Данные'!E453&gt;='Дашборд'!$C$53,'Данные'!L453&lt;&gt;"Да"),"Да","Нет")</x:f>
        <x:v>Нет</x:v>
      </x:c>
      <x:c r="O453" s="1" t="str">
        <x:f>'Данные'!L453</x:f>
        <x:v>Нет</x:v>
      </x:c>
    </x:row>
    <x:row r="454">
      <x:c r="A454" s="1" t="str">
        <x:f>'Данные'!A454</x:f>
        <x:v>344442568</x:v>
      </x:c>
      <x:c r="B454" s="1" t="str">
        <x:f>'Данные'!B454</x:f>
        <x:v>2Ntshirt/бордовый</x:v>
      </x:c>
      <x:c r="C454" s="8" t="n">
        <x:f>'Данные'!G454</x:f>
        <x:v>466817</x:v>
      </x:c>
      <x:c r="D454" s="15" t="n">
        <x:f>C454/SUM($C$5:$C$2477)</x:f>
        <x:v>0.0005453466498070034</x:v>
      </x:c>
      <x:c r="E454" s="15" t="n">
        <x:f>SUM($D$5:D454)</x:f>
        <x:v>0.8035075659787226</x:v>
      </x:c>
      <x:c r="F454" s="1" t="str">
        <x:f>IF(C454&lt;=0,"C",IF(E454-D454&lt;'Дашборд'!$C$49,"A",IF(E454-D454&lt;'Дашборд'!$C$50,"B","C")))</x:f>
        <x:v>B</x:v>
      </x:c>
      <x:c r="G454" s="8" t="n">
        <x:f>'Данные'!F454</x:f>
        <x:v>1314</x:v>
      </x:c>
      <x:c r="H454" s="8" t="n">
        <x:f>SUM('Данные'!H454:I454)</x:f>
        <x:v>93</x:v>
      </x:c>
      <x:c r="I454" s="16" t="n">
        <x:f>IF(H454&gt;0,G454/H454,"n.a.")</x:f>
        <x:v>14.129032258064516</x:v>
      </x:c>
      <x:c r="J454" s="10" t="n">
        <x:f>IF('Данные'!E454&gt;0,G454/'Данные'!E454,"n.a.")</x:f>
        <x:v>0.00787359111254921</x:v>
      </x:c>
      <x:c r="K454" s="1" t="str">
        <x:f>IF(G454&gt;='Дашборд'!$C$51,"X","Z")</x:f>
        <x:v>X</x:v>
      </x:c>
      <x:c r="L454" s="1" t="str">
        <x:f>IF(H454=0,IF(G454&gt;0,"Нет остатка","Нет спроса"),IF(I454&gt;='Дашборд'!$C$52,"Быстрый","Медленный"))</x:f>
        <x:v>Быстрый</x:v>
      </x:c>
      <x:c r="M454" s="1" t="str">
        <x:f>IF('Данные'!E454&lt;'Дашборд'!$C$53,"Мало трафика",IF(J454&lt;'Дашборд'!$C$9*'Дашборд'!$C$54,"Да","Нет"))</x:f>
        <x:v>Да</x:v>
      </x:c>
      <x:c r="N454" s="1" t="str">
        <x:f>IF(AND('Данные'!D454&gt;='Дашборд'!$C$55,D454&lt;'Дашборд'!$C$56,'Данные'!E454&gt;='Дашборд'!$C$53,'Данные'!L454&lt;&gt;"Да"),"Да","Нет")</x:f>
        <x:v>Нет</x:v>
      </x:c>
      <x:c r="O454" s="1" t="str">
        <x:f>'Данные'!L454</x:f>
        <x:v>Нет</x:v>
      </x:c>
    </x:row>
    <x:row r="455">
      <x:c r="A455" s="1" t="str">
        <x:f>'Данные'!A455</x:f>
        <x:v>311049922</x:v>
      </x:c>
      <x:c r="B455" s="1" t="str">
        <x:f>'Данные'!B455</x:f>
        <x:v>hudimanpetl/молочный</x:v>
      </x:c>
      <x:c r="C455" s="8" t="n">
        <x:f>'Данные'!G455</x:f>
        <x:v>465779</x:v>
      </x:c>
      <x:c r="D455" s="15" t="n">
        <x:f>C455/SUM($C$5:$C$2477)</x:f>
        <x:v>0.0005441340336801279</x:v>
      </x:c>
      <x:c r="E455" s="15" t="n">
        <x:f>SUM($D$5:D455)</x:f>
        <x:v>0.8040517000124028</x:v>
      </x:c>
      <x:c r="F455" s="1" t="str">
        <x:f>IF(C455&lt;=0,"C",IF(E455-D455&lt;'Дашборд'!$C$49,"A",IF(E455-D455&lt;'Дашборд'!$C$50,"B","C")))</x:f>
        <x:v>B</x:v>
      </x:c>
      <x:c r="G455" s="8" t="n">
        <x:f>'Данные'!F455</x:f>
        <x:v>511</x:v>
      </x:c>
      <x:c r="H455" s="8" t="n">
        <x:f>SUM('Данные'!H455:I455)</x:f>
        <x:v>192</x:v>
      </x:c>
      <x:c r="I455" s="16" t="n">
        <x:f>IF(H455&gt;0,G455/H455,"n.a.")</x:f>
        <x:v>2.6614583333333335</x:v>
      </x:c>
      <x:c r="J455" s="10" t="n">
        <x:f>IF('Данные'!E455&gt;0,G455/'Данные'!E455,"n.a.")</x:f>
        <x:v>0.03574176400643492</x:v>
      </x:c>
      <x:c r="K455" s="1" t="str">
        <x:f>IF(G455&gt;='Дашборд'!$C$51,"X","Z")</x:f>
        <x:v>X</x:v>
      </x:c>
      <x:c r="L455" s="1" t="str">
        <x:f>IF(H455=0,IF(G455&gt;0,"Нет остатка","Нет спроса"),IF(I455&gt;='Дашборд'!$C$52,"Быстрый","Медленный"))</x:f>
        <x:v>Быстрый</x:v>
      </x:c>
      <x:c r="M455" s="1" t="str">
        <x:f>IF('Данные'!E455&lt;'Дашборд'!$C$53,"Мало трафика",IF(J455&lt;'Дашборд'!$C$9*'Дашборд'!$C$54,"Да","Нет"))</x:f>
        <x:v>Нет</x:v>
      </x:c>
      <x:c r="N455" s="1" t="str">
        <x:f>IF(AND('Данные'!D455&gt;='Дашборд'!$C$55,D455&lt;'Дашборд'!$C$56,'Данные'!E455&gt;='Дашборд'!$C$53,'Данные'!L455&lt;&gt;"Да"),"Да","Нет")</x:f>
        <x:v>Нет</x:v>
      </x:c>
      <x:c r="O455" s="1" t="str">
        <x:f>'Данные'!L455</x:f>
        <x:v>Нет</x:v>
      </x:c>
    </x:row>
    <x:row r="456">
      <x:c r="A456" s="1" t="str">
        <x:f>'Данные'!A456</x:f>
        <x:v>246362917</x:v>
      </x:c>
      <x:c r="B456" s="1" t="str">
        <x:f>'Данные'!B456</x:f>
        <x:v>tolstovkazipman/белый</x:v>
      </x:c>
      <x:c r="C456" s="8" t="n">
        <x:f>'Данные'!G456</x:f>
        <x:v>464552</x:v>
      </x:c>
      <x:c r="D456" s="15" t="n">
        <x:f>C456/SUM($C$5:$C$2477)</x:f>
        <x:v>0.0005427006232873762</x:v>
      </x:c>
      <x:c r="E456" s="15" t="n">
        <x:f>SUM($D$5:D456)</x:f>
        <x:v>0.8045944006356902</x:v>
      </x:c>
      <x:c r="F456" s="1" t="str">
        <x:f>IF(C456&lt;=0,"C",IF(E456-D456&lt;'Дашборд'!$C$49,"A",IF(E456-D456&lt;'Дашборд'!$C$50,"B","C")))</x:f>
        <x:v>B</x:v>
      </x:c>
      <x:c r="G456" s="8" t="n">
        <x:f>'Данные'!F456</x:f>
        <x:v>457</x:v>
      </x:c>
      <x:c r="H456" s="8" t="n">
        <x:f>SUM('Данные'!H456:I456)</x:f>
        <x:v>114</x:v>
      </x:c>
      <x:c r="I456" s="16" t="n">
        <x:f>IF(H456&gt;0,G456/H456,"n.a.")</x:f>
        <x:v>4.008771929824562</x:v>
      </x:c>
      <x:c r="J456" s="10" t="n">
        <x:f>IF('Данные'!E456&gt;0,G456/'Данные'!E456,"n.a.")</x:f>
        <x:v>0.025129220279335753</x:v>
      </x:c>
      <x:c r="K456" s="1" t="str">
        <x:f>IF(G456&gt;='Дашборд'!$C$51,"X","Z")</x:f>
        <x:v>X</x:v>
      </x:c>
      <x:c r="L456" s="1" t="str">
        <x:f>IF(H456=0,IF(G456&gt;0,"Нет остатка","Нет спроса"),IF(I456&gt;='Дашборд'!$C$52,"Быстрый","Медленный"))</x:f>
        <x:v>Быстрый</x:v>
      </x:c>
      <x:c r="M456" s="1" t="str">
        <x:f>IF('Данные'!E456&lt;'Дашборд'!$C$53,"Мало трафика",IF(J456&lt;'Дашборд'!$C$9*'Дашборд'!$C$54,"Да","Нет"))</x:f>
        <x:v>Нет</x:v>
      </x:c>
      <x:c r="N456" s="1" t="str">
        <x:f>IF(AND('Данные'!D456&gt;='Дашборд'!$C$55,D456&lt;'Дашборд'!$C$56,'Данные'!E456&gt;='Дашборд'!$C$53,'Данные'!L456&lt;&gt;"Да"),"Да","Нет")</x:f>
        <x:v>Да</x:v>
      </x:c>
      <x:c r="O456" s="1" t="str">
        <x:f>'Данные'!L456</x:f>
        <x:v>Нет</x:v>
      </x:c>
    </x:row>
    <x:row r="457">
      <x:c r="A457" s="1" t="str">
        <x:f>'Данные'!A457</x:f>
        <x:v>79932684</x:v>
      </x:c>
      <x:c r="B457" s="1" t="str">
        <x:f>'Данные'!B457</x:f>
        <x:v>futbolka_mary/бордовый</x:v>
      </x:c>
      <x:c r="C457" s="8" t="n">
        <x:f>'Данные'!G457</x:f>
        <x:v>463665</x:v>
      </x:c>
      <x:c r="D457" s="15" t="n">
        <x:f>C457/SUM($C$5:$C$2477)</x:f>
        <x:v>0.0005416644089284757</x:v>
      </x:c>
      <x:c r="E457" s="15" t="n">
        <x:f>SUM($D$5:D457)</x:f>
        <x:v>0.8051360650446187</x:v>
      </x:c>
      <x:c r="F457" s="1" t="str">
        <x:f>IF(C457&lt;=0,"C",IF(E457-D457&lt;'Дашборд'!$C$49,"A",IF(E457-D457&lt;'Дашборд'!$C$50,"B","C")))</x:f>
        <x:v>B</x:v>
      </x:c>
      <x:c r="G457" s="8" t="n">
        <x:f>'Данные'!F457</x:f>
        <x:v>1250</x:v>
      </x:c>
      <x:c r="H457" s="8" t="n">
        <x:f>SUM('Данные'!H457:I457)</x:f>
        <x:v>57</x:v>
      </x:c>
      <x:c r="I457" s="16" t="n">
        <x:f>IF(H457&gt;0,G457/H457,"n.a.")</x:f>
        <x:v>21.92982456140351</x:v>
      </x:c>
      <x:c r="J457" s="10" t="n">
        <x:f>IF('Данные'!E457&gt;0,G457/'Данные'!E457,"n.a.")</x:f>
        <x:v>0.028227536526432267</x:v>
      </x:c>
      <x:c r="K457" s="1" t="str">
        <x:f>IF(G457&gt;='Дашборд'!$C$51,"X","Z")</x:f>
        <x:v>X</x:v>
      </x:c>
      <x:c r="L457" s="1" t="str">
        <x:f>IF(H457=0,IF(G457&gt;0,"Нет остатка","Нет спроса"),IF(I457&gt;='Дашборд'!$C$52,"Быстрый","Медленный"))</x:f>
        <x:v>Быстрый</x:v>
      </x:c>
      <x:c r="M457" s="1" t="str">
        <x:f>IF('Данные'!E457&lt;'Дашборд'!$C$53,"Мало трафика",IF(J457&lt;'Дашборд'!$C$9*'Дашборд'!$C$54,"Да","Нет"))</x:f>
        <x:v>Нет</x:v>
      </x:c>
      <x:c r="N457" s="1" t="str">
        <x:f>IF(AND('Данные'!D457&gt;='Дашборд'!$C$55,D457&lt;'Дашборд'!$C$56,'Данные'!E457&gt;='Дашборд'!$C$53,'Данные'!L457&lt;&gt;"Да"),"Да","Нет")</x:f>
        <x:v>Нет</x:v>
      </x:c>
      <x:c r="O457" s="1" t="str">
        <x:f>'Данные'!L457</x:f>
        <x:v>Нет</x:v>
      </x:c>
    </x:row>
    <x:row r="458">
      <x:c r="A458" s="1" t="str">
        <x:f>'Данные'!A458</x:f>
        <x:v>332680051</x:v>
      </x:c>
      <x:c r="B458" s="1" t="str">
        <x:f>'Данные'!B458</x:f>
        <x:v>vshirt3K-99/белый</x:v>
      </x:c>
      <x:c r="C458" s="8" t="n">
        <x:f>'Данные'!G458</x:f>
        <x:v>461872</x:v>
      </x:c>
      <x:c r="D458" s="15" t="n">
        <x:f>C458/SUM($C$5:$C$2477)</x:f>
        <x:v>0.0005395697839617244</x:v>
      </x:c>
      <x:c r="E458" s="15" t="n">
        <x:f>SUM($D$5:D458)</x:f>
        <x:v>0.8056756348285804</x:v>
      </x:c>
      <x:c r="F458" s="1" t="str">
        <x:f>IF(C458&lt;=0,"C",IF(E458-D458&lt;'Дашборд'!$C$49,"A",IF(E458-D458&lt;'Дашборд'!$C$50,"B","C")))</x:f>
        <x:v>B</x:v>
      </x:c>
      <x:c r="G458" s="8" t="n">
        <x:f>'Данные'!F458</x:f>
        <x:v>1471</x:v>
      </x:c>
      <x:c r="H458" s="8" t="n">
        <x:f>SUM('Данные'!H458:I458)</x:f>
        <x:v>6</x:v>
      </x:c>
      <x:c r="I458" s="16" t="n">
        <x:f>IF(H458&gt;0,G458/H458,"n.a.")</x:f>
        <x:v>245.16666666666666</x:v>
      </x:c>
      <x:c r="J458" s="10" t="n">
        <x:f>IF('Данные'!E458&gt;0,G458/'Данные'!E458,"n.a.")</x:f>
        <x:v>0.01696752984601188</x:v>
      </x:c>
      <x:c r="K458" s="1" t="str">
        <x:f>IF(G458&gt;='Дашборд'!$C$51,"X","Z")</x:f>
        <x:v>X</x:v>
      </x:c>
      <x:c r="L458" s="1" t="str">
        <x:f>IF(H458=0,IF(G458&gt;0,"Нет остатка","Нет спроса"),IF(I458&gt;='Дашборд'!$C$52,"Быстрый","Медленный"))</x:f>
        <x:v>Быстрый</x:v>
      </x:c>
      <x:c r="M458" s="1" t="str">
        <x:f>IF('Данные'!E458&lt;'Дашборд'!$C$53,"Мало трафика",IF(J458&lt;'Дашборд'!$C$9*'Дашборд'!$C$54,"Да","Нет"))</x:f>
        <x:v>Нет</x:v>
      </x:c>
      <x:c r="N458" s="1" t="str">
        <x:f>IF(AND('Данные'!D458&gt;='Дашборд'!$C$55,D458&lt;'Дашборд'!$C$56,'Данные'!E458&gt;='Дашборд'!$C$53,'Данные'!L458&lt;&gt;"Да"),"Да","Нет")</x:f>
        <x:v>Нет</x:v>
      </x:c>
      <x:c r="O458" s="1" t="str">
        <x:f>'Данные'!L458</x:f>
        <x:v>Нет</x:v>
      </x:c>
    </x:row>
    <x:row r="459">
      <x:c r="A459" s="1" t="str">
        <x:f>'Данные'!A459</x:f>
        <x:v>256323231</x:v>
      </x:c>
      <x:c r="B459" s="1" t="str">
        <x:f>'Данные'!B459</x:f>
        <x:v>futhlopmanover/черный</x:v>
      </x:c>
      <x:c r="C459" s="8" t="n">
        <x:f>'Данные'!G459</x:f>
        <x:v>461272</x:v>
      </x:c>
      <x:c r="D459" s="15" t="n">
        <x:f>C459/SUM($C$5:$C$2477)</x:f>
        <x:v>0.0005388688497843396</x:v>
      </x:c>
      <x:c r="E459" s="15" t="n">
        <x:f>SUM($D$5:D459)</x:f>
        <x:v>0.8062145036783648</x:v>
      </x:c>
      <x:c r="F459" s="1" t="str">
        <x:f>IF(C459&lt;=0,"C",IF(E459-D459&lt;'Дашборд'!$C$49,"A",IF(E459-D459&lt;'Дашборд'!$C$50,"B","C")))</x:f>
        <x:v>B</x:v>
      </x:c>
      <x:c r="G459" s="8" t="n">
        <x:f>'Данные'!F459</x:f>
        <x:v>1095</x:v>
      </x:c>
      <x:c r="H459" s="8" t="n">
        <x:f>SUM('Данные'!H459:I459)</x:f>
        <x:v>380</x:v>
      </x:c>
      <x:c r="I459" s="16" t="n">
        <x:f>IF(H459&gt;0,G459/H459,"n.a.")</x:f>
        <x:v>2.8815789473684212</x:v>
      </x:c>
      <x:c r="J459" s="10" t="n">
        <x:f>IF('Данные'!E459&gt;0,G459/'Данные'!E459,"n.a.")</x:f>
        <x:v>0.045420607267297165</x:v>
      </x:c>
      <x:c r="K459" s="1" t="str">
        <x:f>IF(G459&gt;='Дашборд'!$C$51,"X","Z")</x:f>
        <x:v>X</x:v>
      </x:c>
      <x:c r="L459" s="1" t="str">
        <x:f>IF(H459=0,IF(G459&gt;0,"Нет остатка","Нет спроса"),IF(I459&gt;='Дашборд'!$C$52,"Быстрый","Медленный"))</x:f>
        <x:v>Быстрый</x:v>
      </x:c>
      <x:c r="M459" s="1" t="str">
        <x:f>IF('Данные'!E459&lt;'Дашборд'!$C$53,"Мало трафика",IF(J459&lt;'Дашборд'!$C$9*'Дашборд'!$C$54,"Да","Нет"))</x:f>
        <x:v>Нет</x:v>
      </x:c>
      <x:c r="N459" s="1" t="str">
        <x:f>IF(AND('Данные'!D459&gt;='Дашборд'!$C$55,D459&lt;'Дашборд'!$C$56,'Данные'!E459&gt;='Дашборд'!$C$53,'Данные'!L459&lt;&gt;"Да"),"Да","Нет")</x:f>
        <x:v>Нет</x:v>
      </x:c>
      <x:c r="O459" s="1" t="str">
        <x:f>'Данные'!L459</x:f>
        <x:v>Нет</x:v>
      </x:c>
    </x:row>
    <x:row r="460">
      <x:c r="A460" s="1" t="str">
        <x:f>'Данные'!A460</x:f>
        <x:v>348218022</x:v>
      </x:c>
      <x:c r="B460" s="1" t="str">
        <x:f>'Данные'!B460</x:f>
        <x:v>bodyskims/бордовый</x:v>
      </x:c>
      <x:c r="C460" s="8" t="n">
        <x:f>'Данные'!G460</x:f>
        <x:v>460198</x:v>
      </x:c>
      <x:c r="D460" s="15" t="n">
        <x:f>C460/SUM($C$5:$C$2477)</x:f>
        <x:v>0.000537614177606821</x:v>
      </x:c>
      <x:c r="E460" s="15" t="n">
        <x:f>SUM($D$5:D460)</x:f>
        <x:v>0.8067521178559716</x:v>
      </x:c>
      <x:c r="F460" s="1" t="str">
        <x:f>IF(C460&lt;=0,"C",IF(E460-D460&lt;'Дашборд'!$C$49,"A",IF(E460-D460&lt;'Дашборд'!$C$50,"B","C")))</x:f>
        <x:v>B</x:v>
      </x:c>
      <x:c r="G460" s="8" t="n">
        <x:f>'Данные'!F460</x:f>
        <x:v>863</x:v>
      </x:c>
      <x:c r="H460" s="8" t="n">
        <x:f>SUM('Данные'!H460:I460)</x:f>
        <x:v>23</x:v>
      </x:c>
      <x:c r="I460" s="16" t="n">
        <x:f>IF(H460&gt;0,G460/H460,"n.a.")</x:f>
        <x:v>37.52173913043478</x:v>
      </x:c>
      <x:c r="J460" s="10" t="n">
        <x:f>IF('Данные'!E460&gt;0,G460/'Данные'!E460,"n.a.")</x:f>
        <x:v>0.016922895913404973</x:v>
      </x:c>
      <x:c r="K460" s="1" t="str">
        <x:f>IF(G460&gt;='Дашборд'!$C$51,"X","Z")</x:f>
        <x:v>X</x:v>
      </x:c>
      <x:c r="L460" s="1" t="str">
        <x:f>IF(H460=0,IF(G460&gt;0,"Нет остатка","Нет спроса"),IF(I460&gt;='Дашборд'!$C$52,"Быстрый","Медленный"))</x:f>
        <x:v>Быстрый</x:v>
      </x:c>
      <x:c r="M460" s="1" t="str">
        <x:f>IF('Данные'!E460&lt;'Дашборд'!$C$53,"Мало трафика",IF(J460&lt;'Дашборд'!$C$9*'Дашборд'!$C$54,"Да","Нет"))</x:f>
        <x:v>Нет</x:v>
      </x:c>
      <x:c r="N460" s="1" t="str">
        <x:f>IF(AND('Данные'!D460&gt;='Дашборд'!$C$55,D460&lt;'Дашборд'!$C$56,'Данные'!E460&gt;='Дашборд'!$C$53,'Данные'!L460&lt;&gt;"Да"),"Да","Нет")</x:f>
        <x:v>Нет</x:v>
      </x:c>
      <x:c r="O460" s="1" t="str">
        <x:f>'Данные'!L460</x:f>
        <x:v>Нет</x:v>
      </x:c>
    </x:row>
    <x:row r="461">
      <x:c r="A461" s="1" t="str">
        <x:f>'Данные'!A461</x:f>
        <x:v>320420252</x:v>
      </x:c>
      <x:c r="B461" s="1" t="str">
        <x:f>'Данные'!B461</x:f>
        <x:v>palazzoshnurok/молочный</x:v>
      </x:c>
      <x:c r="C461" s="8" t="n">
        <x:f>'Данные'!G461</x:f>
        <x:v>459281</x:v>
      </x:c>
      <x:c r="D461" s="15" t="n">
        <x:f>C461/SUM($C$5:$C$2477)</x:f>
        <x:v>0.0005365429165390513</x:v>
      </x:c>
      <x:c r="E461" s="15" t="n">
        <x:f>SUM($D$5:D461)</x:f>
        <x:v>0.8072886607725106</x:v>
      </x:c>
      <x:c r="F461" s="1" t="str">
        <x:f>IF(C461&lt;=0,"C",IF(E461-D461&lt;'Дашборд'!$C$49,"A",IF(E461-D461&lt;'Дашборд'!$C$50,"B","C")))</x:f>
        <x:v>B</x:v>
      </x:c>
      <x:c r="G461" s="8" t="n">
        <x:f>'Данные'!F461</x:f>
        <x:v>902</x:v>
      </x:c>
      <x:c r="H461" s="8" t="n">
        <x:f>SUM('Данные'!H461:I461)</x:f>
        <x:v>132</x:v>
      </x:c>
      <x:c r="I461" s="16" t="n">
        <x:f>IF(H461&gt;0,G461/H461,"n.a.")</x:f>
        <x:v>6.833333333333333</x:v>
      </x:c>
      <x:c r="J461" s="10" t="n">
        <x:f>IF('Данные'!E461&gt;0,G461/'Данные'!E461,"n.a.")</x:f>
        <x:v>0.023043122828530552</x:v>
      </x:c>
      <x:c r="K461" s="1" t="str">
        <x:f>IF(G461&gt;='Дашборд'!$C$51,"X","Z")</x:f>
        <x:v>X</x:v>
      </x:c>
      <x:c r="L461" s="1" t="str">
        <x:f>IF(H461=0,IF(G461&gt;0,"Нет остатка","Нет спроса"),IF(I461&gt;='Дашборд'!$C$52,"Быстрый","Медленный"))</x:f>
        <x:v>Быстрый</x:v>
      </x:c>
      <x:c r="M461" s="1" t="str">
        <x:f>IF('Данные'!E461&lt;'Дашборд'!$C$53,"Мало трафика",IF(J461&lt;'Дашборд'!$C$9*'Дашборд'!$C$54,"Да","Нет"))</x:f>
        <x:v>Нет</x:v>
      </x:c>
      <x:c r="N461" s="1" t="str">
        <x:f>IF(AND('Данные'!D461&gt;='Дашборд'!$C$55,D461&lt;'Дашборд'!$C$56,'Данные'!E461&gt;='Дашборд'!$C$53,'Данные'!L461&lt;&gt;"Да"),"Да","Нет")</x:f>
        <x:v>Нет</x:v>
      </x:c>
      <x:c r="O461" s="1" t="str">
        <x:f>'Данные'!L461</x:f>
        <x:v>Нет</x:v>
      </x:c>
    </x:row>
    <x:row r="462">
      <x:c r="A462" s="1" t="str">
        <x:f>'Данные'!A462</x:f>
        <x:v>266144493</x:v>
      </x:c>
      <x:c r="B462" s="1" t="str">
        <x:f>'Данные'!B462</x:f>
        <x:v>hudiprint/SPB-219/молочный</x:v>
      </x:c>
      <x:c r="C462" s="8" t="n">
        <x:f>'Данные'!G462</x:f>
        <x:v>457896</x:v>
      </x:c>
      <x:c r="D462" s="15" t="n">
        <x:f>C462/SUM($C$5:$C$2477)</x:f>
        <x:v>0.0005349249268129216</x:v>
      </x:c>
      <x:c r="E462" s="15" t="n">
        <x:f>SUM($D$5:D462)</x:f>
        <x:v>0.8078235856993236</x:v>
      </x:c>
      <x:c r="F462" s="1" t="str">
        <x:f>IF(C462&lt;=0,"C",IF(E462-D462&lt;'Дашборд'!$C$49,"A",IF(E462-D462&lt;'Дашборд'!$C$50,"B","C")))</x:f>
        <x:v>B</x:v>
      </x:c>
      <x:c r="G462" s="8" t="n">
        <x:f>'Данные'!F462</x:f>
        <x:v>376</x:v>
      </x:c>
      <x:c r="H462" s="8" t="n">
        <x:f>SUM('Данные'!H462:I462)</x:f>
        <x:v>5</x:v>
      </x:c>
      <x:c r="I462" s="16" t="n">
        <x:f>IF(H462&gt;0,G462/H462,"n.a.")</x:f>
        <x:v>75.2</x:v>
      </x:c>
      <x:c r="J462" s="10" t="n">
        <x:f>IF('Данные'!E462&gt;0,G462/'Данные'!E462,"n.a.")</x:f>
        <x:v>0.013648408290682057</x:v>
      </x:c>
      <x:c r="K462" s="1" t="str">
        <x:f>IF(G462&gt;='Дашборд'!$C$51,"X","Z")</x:f>
        <x:v>X</x:v>
      </x:c>
      <x:c r="L462" s="1" t="str">
        <x:f>IF(H462=0,IF(G462&gt;0,"Нет остатка","Нет спроса"),IF(I462&gt;='Дашборд'!$C$52,"Быстрый","Медленный"))</x:f>
        <x:v>Быстрый</x:v>
      </x:c>
      <x:c r="M462" s="1" t="str">
        <x:f>IF('Данные'!E462&lt;'Дашборд'!$C$53,"Мало трафика",IF(J462&lt;'Дашборд'!$C$9*'Дашборд'!$C$54,"Да","Нет"))</x:f>
        <x:v>Нет</x:v>
      </x:c>
      <x:c r="N462" s="1" t="str">
        <x:f>IF(AND('Данные'!D462&gt;='Дашборд'!$C$55,D462&lt;'Дашборд'!$C$56,'Данные'!E462&gt;='Дашборд'!$C$53,'Данные'!L462&lt;&gt;"Да"),"Да","Нет")</x:f>
        <x:v>Да</x:v>
      </x:c>
      <x:c r="O462" s="1" t="str">
        <x:f>'Данные'!L462</x:f>
        <x:v>Нет</x:v>
      </x:c>
    </x:row>
    <x:row r="463">
      <x:c r="A463" s="1" t="str">
        <x:f>'Данные'!A463</x:f>
        <x:v>321626942</x:v>
      </x:c>
      <x:c r="B463" s="1" t="str">
        <x:f>'Данные'!B463</x:f>
        <x:v>tanktop3K-S9/черный</x:v>
      </x:c>
      <x:c r="C463" s="8" t="n">
        <x:f>'Данные'!G463</x:f>
        <x:v>457470</x:v>
      </x:c>
      <x:c r="D463" s="15" t="n">
        <x:f>C463/SUM($C$5:$C$2477)</x:f>
        <x:v>0.0005344272635469785</x:v>
      </x:c>
      <x:c r="E463" s="15" t="n">
        <x:f>SUM($D$5:D463)</x:f>
        <x:v>0.8083580129628706</x:v>
      </x:c>
      <x:c r="F463" s="1" t="str">
        <x:f>IF(C463&lt;=0,"C",IF(E463-D463&lt;'Дашборд'!$C$49,"A",IF(E463-D463&lt;'Дашборд'!$C$50,"B","C")))</x:f>
        <x:v>B</x:v>
      </x:c>
      <x:c r="G463" s="8" t="n">
        <x:f>'Данные'!F463</x:f>
        <x:v>1273</x:v>
      </x:c>
      <x:c r="H463" s="8" t="n">
        <x:f>SUM('Данные'!H463:I463)</x:f>
        <x:v>513</x:v>
      </x:c>
      <x:c r="I463" s="16" t="n">
        <x:f>IF(H463&gt;0,G463/H463,"n.a.")</x:f>
        <x:v>2.4814814814814814</x:v>
      </x:c>
      <x:c r="J463" s="10" t="n">
        <x:f>IF('Данные'!E463&gt;0,G463/'Данные'!E463,"n.a.")</x:f>
        <x:v>0.01299881550463587</x:v>
      </x:c>
      <x:c r="K463" s="1" t="str">
        <x:f>IF(G463&gt;='Дашборд'!$C$51,"X","Z")</x:f>
        <x:v>X</x:v>
      </x:c>
      <x:c r="L463" s="1" t="str">
        <x:f>IF(H463=0,IF(G463&gt;0,"Нет остатка","Нет спроса"),IF(I463&gt;='Дашборд'!$C$52,"Быстрый","Медленный"))</x:f>
        <x:v>Быстрый</x:v>
      </x:c>
      <x:c r="M463" s="1" t="str">
        <x:f>IF('Данные'!E463&lt;'Дашборд'!$C$53,"Мало трафика",IF(J463&lt;'Дашборд'!$C$9*'Дашборд'!$C$54,"Да","Нет"))</x:f>
        <x:v>Нет</x:v>
      </x:c>
      <x:c r="N463" s="1" t="str">
        <x:f>IF(AND('Данные'!D463&gt;='Дашборд'!$C$55,D463&lt;'Дашборд'!$C$56,'Данные'!E463&gt;='Дашборд'!$C$53,'Данные'!L463&lt;&gt;"Да"),"Да","Нет")</x:f>
        <x:v>Нет</x:v>
      </x:c>
      <x:c r="O463" s="1" t="str">
        <x:f>'Данные'!L463</x:f>
        <x:v>Нет</x:v>
      </x:c>
    </x:row>
    <x:row r="464">
      <x:c r="A464" s="1" t="str">
        <x:f>'Данные'!A464</x:f>
        <x:v>311462399</x:v>
      </x:c>
      <x:c r="B464" s="1" t="str">
        <x:f>'Данные'!B464</x:f>
        <x:v>brukimanpetl/дымка</x:v>
      </x:c>
      <x:c r="C464" s="8" t="n">
        <x:f>'Данные'!G464</x:f>
        <x:v>456424</x:v>
      </x:c>
      <x:c r="D464" s="15" t="n">
        <x:f>C464/SUM($C$5:$C$2477)</x:f>
        <x:v>0.0005332053016310712</x:v>
      </x:c>
      <x:c r="E464" s="15" t="n">
        <x:f>SUM($D$5:D464)</x:f>
        <x:v>0.8088912182645016</x:v>
      </x:c>
      <x:c r="F464" s="1" t="str">
        <x:f>IF(C464&lt;=0,"C",IF(E464-D464&lt;'Дашборд'!$C$49,"A",IF(E464-D464&lt;'Дашборд'!$C$50,"B","C")))</x:f>
        <x:v>B</x:v>
      </x:c>
      <x:c r="G464" s="8" t="n">
        <x:f>'Данные'!F464</x:f>
        <x:v>546</x:v>
      </x:c>
      <x:c r="H464" s="8" t="n">
        <x:f>SUM('Данные'!H464:I464)</x:f>
        <x:v>5</x:v>
      </x:c>
      <x:c r="I464" s="16" t="n">
        <x:f>IF(H464&gt;0,G464/H464,"n.a.")</x:f>
        <x:v>109.2</x:v>
      </x:c>
      <x:c r="J464" s="10" t="n">
        <x:f>IF('Данные'!E464&gt;0,G464/'Данные'!E464,"n.a.")</x:f>
        <x:v>0.01830556207463037</x:v>
      </x:c>
      <x:c r="K464" s="1" t="str">
        <x:f>IF(G464&gt;='Дашборд'!$C$51,"X","Z")</x:f>
        <x:v>X</x:v>
      </x:c>
      <x:c r="L464" s="1" t="str">
        <x:f>IF(H464=0,IF(G464&gt;0,"Нет остатка","Нет спроса"),IF(I464&gt;='Дашборд'!$C$52,"Быстрый","Медленный"))</x:f>
        <x:v>Быстрый</x:v>
      </x:c>
      <x:c r="M464" s="1" t="str">
        <x:f>IF('Данные'!E464&lt;'Дашборд'!$C$53,"Мало трафика",IF(J464&lt;'Дашборд'!$C$9*'Дашборд'!$C$54,"Да","Нет"))</x:f>
        <x:v>Нет</x:v>
      </x:c>
      <x:c r="N464" s="1" t="str">
        <x:f>IF(AND('Данные'!D464&gt;='Дашборд'!$C$55,D464&lt;'Дашборд'!$C$56,'Данные'!E464&gt;='Дашборд'!$C$53,'Данные'!L464&lt;&gt;"Да"),"Да","Нет")</x:f>
        <x:v>Нет</x:v>
      </x:c>
      <x:c r="O464" s="1" t="str">
        <x:f>'Данные'!L464</x:f>
        <x:v>Нет</x:v>
      </x:c>
    </x:row>
    <x:row r="465">
      <x:c r="A465" s="1" t="str">
        <x:f>'Данные'!A465</x:f>
        <x:v>320258157</x:v>
      </x:c>
      <x:c r="B465" s="1" t="str">
        <x:f>'Данные'!B465</x:f>
        <x:v>svitpal/черный</x:v>
      </x:c>
      <x:c r="C465" s="8" t="n">
        <x:f>'Данные'!G465</x:f>
        <x:v>455451</x:v>
      </x:c>
      <x:c r="D465" s="15" t="n">
        <x:f>C465/SUM($C$5:$C$2477)</x:f>
        <x:v>0.000532068620040079</x:v>
      </x:c>
      <x:c r="E465" s="15" t="n">
        <x:f>SUM($D$5:D465)</x:f>
        <x:v>0.8094232868845417</x:v>
      </x:c>
      <x:c r="F465" s="1" t="str">
        <x:f>IF(C465&lt;=0,"C",IF(E465-D465&lt;'Дашборд'!$C$49,"A",IF(E465-D465&lt;'Дашборд'!$C$50,"B","C")))</x:f>
        <x:v>B</x:v>
      </x:c>
      <x:c r="G465" s="8" t="n">
        <x:f>'Данные'!F465</x:f>
        <x:v>684</x:v>
      </x:c>
      <x:c r="H465" s="8" t="n">
        <x:f>SUM('Данные'!H465:I465)</x:f>
        <x:v>78</x:v>
      </x:c>
      <x:c r="I465" s="16" t="n">
        <x:f>IF(H465&gt;0,G465/H465,"n.a.")</x:f>
        <x:v>8.76923076923077</x:v>
      </x:c>
      <x:c r="J465" s="10" t="n">
        <x:f>IF('Данные'!E465&gt;0,G465/'Данные'!E465,"n.a.")</x:f>
        <x:v>0.008954754922496857</x:v>
      </x:c>
      <x:c r="K465" s="1" t="str">
        <x:f>IF(G465&gt;='Дашборд'!$C$51,"X","Z")</x:f>
        <x:v>X</x:v>
      </x:c>
      <x:c r="L465" s="1" t="str">
        <x:f>IF(H465=0,IF(G465&gt;0,"Нет остатка","Нет спроса"),IF(I465&gt;='Дашборд'!$C$52,"Быстрый","Медленный"))</x:f>
        <x:v>Быстрый</x:v>
      </x:c>
      <x:c r="M465" s="1" t="str">
        <x:f>IF('Данные'!E465&lt;'Дашборд'!$C$53,"Мало трафика",IF(J465&lt;'Дашборд'!$C$9*'Дашборд'!$C$54,"Да","Нет"))</x:f>
        <x:v>Да</x:v>
      </x:c>
      <x:c r="N465" s="1" t="str">
        <x:f>IF(AND('Данные'!D465&gt;='Дашборд'!$C$55,D465&lt;'Дашборд'!$C$56,'Данные'!E465&gt;='Дашборд'!$C$53,'Данные'!L465&lt;&gt;"Да"),"Да","Нет")</x:f>
        <x:v>Нет</x:v>
      </x:c>
      <x:c r="O465" s="1" t="str">
        <x:f>'Данные'!L465</x:f>
        <x:v>Нет</x:v>
      </x:c>
    </x:row>
    <x:row r="466">
      <x:c r="A466" s="1" t="str">
        <x:f>'Данные'!A466</x:f>
        <x:v>295989785</x:v>
      </x:c>
      <x:c r="B466" s="1" t="str">
        <x:f>'Данные'!B466</x:f>
        <x:v>hudicropprint/vision-246/светло-розовый</x:v>
      </x:c>
      <x:c r="C466" s="8" t="n">
        <x:f>'Данные'!G466</x:f>
        <x:v>453703</x:v>
      </x:c>
      <x:c r="D466" s="15" t="n">
        <x:f>C466/SUM($C$5:$C$2477)</x:f>
        <x:v>0.0005300265651366315</x:v>
      </x:c>
      <x:c r="E466" s="15" t="n">
        <x:f>SUM($D$5:D466)</x:f>
        <x:v>0.8099533134496784</x:v>
      </x:c>
      <x:c r="F466" s="1" t="str">
        <x:f>IF(C466&lt;=0,"C",IF(E466-D466&lt;'Дашборд'!$C$49,"A",IF(E466-D466&lt;'Дашборд'!$C$50,"B","C")))</x:f>
        <x:v>B</x:v>
      </x:c>
      <x:c r="G466" s="8" t="n">
        <x:f>'Данные'!F466</x:f>
        <x:v>370</x:v>
      </x:c>
      <x:c r="H466" s="8" t="n">
        <x:f>SUM('Данные'!H466:I466)</x:f>
        <x:v>14</x:v>
      </x:c>
      <x:c r="I466" s="16" t="n">
        <x:f>IF(H466&gt;0,G466/H466,"n.a.")</x:f>
        <x:v>26.428571428571427</x:v>
      </x:c>
      <x:c r="J466" s="10" t="n">
        <x:f>IF('Данные'!E466&gt;0,G466/'Данные'!E466,"n.a.")</x:f>
        <x:v>0.00807560512473536</x:v>
      </x:c>
      <x:c r="K466" s="1" t="str">
        <x:f>IF(G466&gt;='Дашборд'!$C$51,"X","Z")</x:f>
        <x:v>X</x:v>
      </x:c>
      <x:c r="L466" s="1" t="str">
        <x:f>IF(H466=0,IF(G466&gt;0,"Нет остатка","Нет спроса"),IF(I466&gt;='Дашборд'!$C$52,"Быстрый","Медленный"))</x:f>
        <x:v>Быстрый</x:v>
      </x:c>
      <x:c r="M466" s="1" t="str">
        <x:f>IF('Данные'!E466&lt;'Дашборд'!$C$53,"Мало трафика",IF(J466&lt;'Дашборд'!$C$9*'Дашборд'!$C$54,"Да","Нет"))</x:f>
        <x:v>Да</x:v>
      </x:c>
      <x:c r="N466" s="1" t="str">
        <x:f>IF(AND('Данные'!D466&gt;='Дашборд'!$C$55,D466&lt;'Дашборд'!$C$56,'Данные'!E466&gt;='Дашборд'!$C$53,'Данные'!L466&lt;&gt;"Да"),"Да","Нет")</x:f>
        <x:v>Да</x:v>
      </x:c>
      <x:c r="O466" s="1" t="str">
        <x:f>'Данные'!L466</x:f>
        <x:v>Нет</x:v>
      </x:c>
    </x:row>
    <x:row r="467">
      <x:c r="A467" s="1" t="str">
        <x:f>'Данные'!A467</x:f>
        <x:v>117963345</x:v>
      </x:c>
      <x:c r="B467" s="1" t="str">
        <x:f>'Данные'!B467</x:f>
        <x:v>hudiman/кофейный</x:v>
      </x:c>
      <x:c r="C467" s="8" t="n">
        <x:f>'Данные'!G467</x:f>
        <x:v>453077</x:v>
      </x:c>
      <x:c r="D467" s="15" t="n">
        <x:f>C467/SUM($C$5:$C$2477)</x:f>
        <x:v>0.0005292952571448934</x:v>
      </x:c>
      <x:c r="E467" s="15" t="n">
        <x:f>SUM($D$5:D467)</x:f>
        <x:v>0.8104826087068232</x:v>
      </x:c>
      <x:c r="F467" s="1" t="str">
        <x:f>IF(C467&lt;=0,"C",IF(E467-D467&lt;'Дашборд'!$C$49,"A",IF(E467-D467&lt;'Дашборд'!$C$50,"B","C")))</x:f>
        <x:v>B</x:v>
      </x:c>
      <x:c r="G467" s="8" t="n">
        <x:f>'Данные'!F467</x:f>
        <x:v>518</x:v>
      </x:c>
      <x:c r="H467" s="8" t="n">
        <x:f>SUM('Данные'!H467:I467)</x:f>
        <x:v>1235</x:v>
      </x:c>
      <x:c r="I467" s="16" t="n">
        <x:f>IF(H467&gt;0,G467/H467,"n.a.")</x:f>
        <x:v>0.4194331983805668</x:v>
      </x:c>
      <x:c r="J467" s="10" t="n">
        <x:f>IF('Данные'!E467&gt;0,G467/'Данные'!E467,"n.a.")</x:f>
        <x:v>0.027481564008700728</x:v>
      </x:c>
      <x:c r="K467" s="1" t="str">
        <x:f>IF(G467&gt;='Дашборд'!$C$51,"X","Z")</x:f>
        <x:v>X</x:v>
      </x:c>
      <x:c r="L467" s="1" t="str">
        <x:f>IF(H467=0,IF(G467&gt;0,"Нет остатка","Нет спроса"),IF(I467&gt;='Дашборд'!$C$52,"Быстрый","Медленный"))</x:f>
        <x:v>Медленный</x:v>
      </x:c>
      <x:c r="M467" s="1" t="str">
        <x:f>IF('Данные'!E467&lt;'Дашборд'!$C$53,"Мало трафика",IF(J467&lt;'Дашборд'!$C$9*'Дашборд'!$C$54,"Да","Нет"))</x:f>
        <x:v>Нет</x:v>
      </x:c>
      <x:c r="N467" s="1" t="str">
        <x:f>IF(AND('Данные'!D467&gt;='Дашборд'!$C$55,D467&lt;'Дашборд'!$C$56,'Данные'!E467&gt;='Дашборд'!$C$53,'Данные'!L467&lt;&gt;"Да"),"Да","Нет")</x:f>
        <x:v>Да</x:v>
      </x:c>
      <x:c r="O467" s="1" t="str">
        <x:f>'Данные'!L467</x:f>
        <x:v>Нет</x:v>
      </x:c>
    </x:row>
    <x:row r="468">
      <x:c r="A468" s="1" t="str">
        <x:f>'Данные'!A468</x:f>
        <x:v>210514810</x:v>
      </x:c>
      <x:c r="B468" s="1" t="str">
        <x:f>'Данные'!B468</x:f>
        <x:v>kostkulirkacrop/какао</x:v>
      </x:c>
      <x:c r="C468" s="8" t="n">
        <x:f>'Данные'!G468</x:f>
        <x:v>452677</x:v>
      </x:c>
      <x:c r="D468" s="15" t="n">
        <x:f>C468/SUM($C$5:$C$2477)</x:f>
        <x:v>0.0005288279676933036</x:v>
      </x:c>
      <x:c r="E468" s="15" t="n">
        <x:f>SUM($D$5:D468)</x:f>
        <x:v>0.8110114366745165</x:v>
      </x:c>
      <x:c r="F468" s="1" t="str">
        <x:f>IF(C468&lt;=0,"C",IF(E468-D468&lt;'Дашборд'!$C$49,"A",IF(E468-D468&lt;'Дашборд'!$C$50,"B","C")))</x:f>
        <x:v>B</x:v>
      </x:c>
      <x:c r="G468" s="8" t="n">
        <x:f>'Данные'!F468</x:f>
        <x:v>825</x:v>
      </x:c>
      <x:c r="H468" s="8" t="n">
        <x:f>SUM('Данные'!H468:I468)</x:f>
        <x:v>6</x:v>
      </x:c>
      <x:c r="I468" s="16" t="n">
        <x:f>IF(H468&gt;0,G468/H468,"n.a.")</x:f>
        <x:v>137.5</x:v>
      </x:c>
      <x:c r="J468" s="10" t="n">
        <x:f>IF('Данные'!E468&gt;0,G468/'Данные'!E468,"n.a.")</x:f>
        <x:v>0.014092205729122185</x:v>
      </x:c>
      <x:c r="K468" s="1" t="str">
        <x:f>IF(G468&gt;='Дашборд'!$C$51,"X","Z")</x:f>
        <x:v>X</x:v>
      </x:c>
      <x:c r="L468" s="1" t="str">
        <x:f>IF(H468=0,IF(G468&gt;0,"Нет остатка","Нет спроса"),IF(I468&gt;='Дашборд'!$C$52,"Быстрый","Медленный"))</x:f>
        <x:v>Быстрый</x:v>
      </x:c>
      <x:c r="M468" s="1" t="str">
        <x:f>IF('Данные'!E468&lt;'Дашборд'!$C$53,"Мало трафика",IF(J468&lt;'Дашборд'!$C$9*'Дашборд'!$C$54,"Да","Нет"))</x:f>
        <x:v>Нет</x:v>
      </x:c>
      <x:c r="N468" s="1" t="str">
        <x:f>IF(AND('Данные'!D468&gt;='Дашборд'!$C$55,D468&lt;'Дашборд'!$C$56,'Данные'!E468&gt;='Дашборд'!$C$53,'Данные'!L468&lt;&gt;"Да"),"Да","Нет")</x:f>
        <x:v>Да</x:v>
      </x:c>
      <x:c r="O468" s="1" t="str">
        <x:f>'Данные'!L468</x:f>
        <x:v>Нет</x:v>
      </x:c>
    </x:row>
    <x:row r="469">
      <x:c r="A469" s="1" t="str">
        <x:f>'Данные'!A469</x:f>
        <x:v>210514812</x:v>
      </x:c>
      <x:c r="B469" s="1" t="str">
        <x:f>'Данные'!B469</x:f>
        <x:v>kostkulirkacrop/фуксия</x:v>
      </x:c>
      <x:c r="C469" s="8" t="n">
        <x:f>'Данные'!G469</x:f>
        <x:v>451159</x:v>
      </x:c>
      <x:c r="D469" s="15" t="n">
        <x:f>C469/SUM($C$5:$C$2477)</x:f>
        <x:v>0.0005270546042245202</x:v>
      </x:c>
      <x:c r="E469" s="15" t="n">
        <x:f>SUM($D$5:D469)</x:f>
        <x:v>0.811538491278741</x:v>
      </x:c>
      <x:c r="F469" s="1" t="str">
        <x:f>IF(C469&lt;=0,"C",IF(E469-D469&lt;'Дашборд'!$C$49,"A",IF(E469-D469&lt;'Дашборд'!$C$50,"B","C")))</x:f>
        <x:v>B</x:v>
      </x:c>
      <x:c r="G469" s="8" t="n">
        <x:f>'Данные'!F469</x:f>
        <x:v>741</x:v>
      </x:c>
      <x:c r="H469" s="8" t="n">
        <x:f>SUM('Данные'!H469:I469)</x:f>
        <x:v>2</x:v>
      </x:c>
      <x:c r="I469" s="16" t="n">
        <x:f>IF(H469&gt;0,G469/H469,"n.a.")</x:f>
        <x:v>370.5</x:v>
      </x:c>
      <x:c r="J469" s="10" t="n">
        <x:f>IF('Данные'!E469&gt;0,G469/'Данные'!E469,"n.a.")</x:f>
        <x:v>0.01476419135667178</x:v>
      </x:c>
      <x:c r="K469" s="1" t="str">
        <x:f>IF(G469&gt;='Дашборд'!$C$51,"X","Z")</x:f>
        <x:v>X</x:v>
      </x:c>
      <x:c r="L469" s="1" t="str">
        <x:f>IF(H469=0,IF(G469&gt;0,"Нет остатка","Нет спроса"),IF(I469&gt;='Дашборд'!$C$52,"Быстрый","Медленный"))</x:f>
        <x:v>Быстрый</x:v>
      </x:c>
      <x:c r="M469" s="1" t="str">
        <x:f>IF('Данные'!E469&lt;'Дашборд'!$C$53,"Мало трафика",IF(J469&lt;'Дашборд'!$C$9*'Дашборд'!$C$54,"Да","Нет"))</x:f>
        <x:v>Нет</x:v>
      </x:c>
      <x:c r="N469" s="1" t="str">
        <x:f>IF(AND('Данные'!D469&gt;='Дашборд'!$C$55,D469&lt;'Дашборд'!$C$56,'Данные'!E469&gt;='Дашборд'!$C$53,'Данные'!L469&lt;&gt;"Да"),"Да","Нет")</x:f>
        <x:v>Да</x:v>
      </x:c>
      <x:c r="O469" s="1" t="str">
        <x:f>'Данные'!L469</x:f>
        <x:v>Нет</x:v>
      </x:c>
    </x:row>
    <x:row r="470">
      <x:c r="A470" s="1" t="str">
        <x:f>'Данные'!A470</x:f>
        <x:v>240808478</x:v>
      </x:c>
      <x:c r="B470" s="1" t="str">
        <x:f>'Данные'!B470</x:f>
        <x:v>hudigirl/черный</x:v>
      </x:c>
      <x:c r="C470" s="8" t="n">
        <x:f>'Данные'!G470</x:f>
        <x:v>450327</x:v>
      </x:c>
      <x:c r="D470" s="15" t="n">
        <x:f>C470/SUM($C$5:$C$2477)</x:f>
        <x:v>0.0005260826421652135</x:v>
      </x:c>
      <x:c r="E470" s="15" t="n">
        <x:f>SUM($D$5:D470)</x:f>
        <x:v>0.8120645739209063</x:v>
      </x:c>
      <x:c r="F470" s="1" t="str">
        <x:f>IF(C470&lt;=0,"C",IF(E470-D470&lt;'Дашборд'!$C$49,"A",IF(E470-D470&lt;'Дашборд'!$C$50,"B","C")))</x:f>
        <x:v>B</x:v>
      </x:c>
      <x:c r="G470" s="8" t="n">
        <x:f>'Данные'!F470</x:f>
        <x:v>567</x:v>
      </x:c>
      <x:c r="H470" s="8" t="n">
        <x:f>SUM('Данные'!H470:I470)</x:f>
        <x:v>157</x:v>
      </x:c>
      <x:c r="I470" s="16" t="n">
        <x:f>IF(H470&gt;0,G470/H470,"n.a.")</x:f>
        <x:v>3.611464968152866</x:v>
      </x:c>
      <x:c r="J470" s="10" t="n">
        <x:f>IF('Данные'!E470&gt;0,G470/'Данные'!E470,"n.a.")</x:f>
        <x:v>0.02372980664601992</x:v>
      </x:c>
      <x:c r="K470" s="1" t="str">
        <x:f>IF(G470&gt;='Дашборд'!$C$51,"X","Z")</x:f>
        <x:v>X</x:v>
      </x:c>
      <x:c r="L470" s="1" t="str">
        <x:f>IF(H470=0,IF(G470&gt;0,"Нет остатка","Нет спроса"),IF(I470&gt;='Дашборд'!$C$52,"Быстрый","Медленный"))</x:f>
        <x:v>Быстрый</x:v>
      </x:c>
      <x:c r="M470" s="1" t="str">
        <x:f>IF('Данные'!E470&lt;'Дашборд'!$C$53,"Мало трафика",IF(J470&lt;'Дашборд'!$C$9*'Дашборд'!$C$54,"Да","Нет"))</x:f>
        <x:v>Нет</x:v>
      </x:c>
      <x:c r="N470" s="1" t="str">
        <x:f>IF(AND('Данные'!D470&gt;='Дашборд'!$C$55,D470&lt;'Дашборд'!$C$56,'Данные'!E470&gt;='Дашборд'!$C$53,'Данные'!L470&lt;&gt;"Да"),"Да","Нет")</x:f>
        <x:v>Нет</x:v>
      </x:c>
      <x:c r="O470" s="1" t="str">
        <x:f>'Данные'!L470</x:f>
        <x:v>Нет</x:v>
      </x:c>
    </x:row>
    <x:row r="471">
      <x:c r="A471" s="1" t="str">
        <x:f>'Данные'!A471</x:f>
        <x:v>216149972</x:v>
      </x:c>
      <x:c r="B471" s="1" t="str">
        <x:f>'Данные'!B471</x:f>
        <x:v>hudivish/Community-95/молочный</x:v>
      </x:c>
      <x:c r="C471" s="8" t="n">
        <x:f>'Данные'!G471</x:f>
        <x:v>449707</x:v>
      </x:c>
      <x:c r="D471" s="15" t="n">
        <x:f>C471/SUM($C$5:$C$2477)</x:f>
        <x:v>0.0005253583435152492</x:v>
      </x:c>
      <x:c r="E471" s="15" t="n">
        <x:f>SUM($D$5:D471)</x:f>
        <x:v>0.8125899322644216</x:v>
      </x:c>
      <x:c r="F471" s="1" t="str">
        <x:f>IF(C471&lt;=0,"C",IF(E471-D471&lt;'Дашборд'!$C$49,"A",IF(E471-D471&lt;'Дашборд'!$C$50,"B","C")))</x:f>
        <x:v>B</x:v>
      </x:c>
      <x:c r="G471" s="8" t="n">
        <x:f>'Данные'!F471</x:f>
        <x:v>555</x:v>
      </x:c>
      <x:c r="H471" s="8" t="n">
        <x:f>SUM('Данные'!H471:I471)</x:f>
        <x:v>96</x:v>
      </x:c>
      <x:c r="I471" s="16" t="n">
        <x:f>IF(H471&gt;0,G471/H471,"n.a.")</x:f>
        <x:v>5.78125</x:v>
      </x:c>
      <x:c r="J471" s="10" t="n">
        <x:f>IF('Данные'!E471&gt;0,G471/'Данные'!E471,"n.a.")</x:f>
        <x:v>0.014060599918929875</x:v>
      </x:c>
      <x:c r="K471" s="1" t="str">
        <x:f>IF(G471&gt;='Дашборд'!$C$51,"X","Z")</x:f>
        <x:v>X</x:v>
      </x:c>
      <x:c r="L471" s="1" t="str">
        <x:f>IF(H471=0,IF(G471&gt;0,"Нет остатка","Нет спроса"),IF(I471&gt;='Дашборд'!$C$52,"Быстрый","Медленный"))</x:f>
        <x:v>Быстрый</x:v>
      </x:c>
      <x:c r="M471" s="1" t="str">
        <x:f>IF('Данные'!E471&lt;'Дашборд'!$C$53,"Мало трафика",IF(J471&lt;'Дашборд'!$C$9*'Дашборд'!$C$54,"Да","Нет"))</x:f>
        <x:v>Нет</x:v>
      </x:c>
      <x:c r="N471" s="1" t="str">
        <x:f>IF(AND('Данные'!D471&gt;='Дашборд'!$C$55,D471&lt;'Дашборд'!$C$56,'Данные'!E471&gt;='Дашборд'!$C$53,'Данные'!L471&lt;&gt;"Да"),"Да","Нет")</x:f>
        <x:v>Нет</x:v>
      </x:c>
      <x:c r="O471" s="1" t="str">
        <x:f>'Данные'!L471</x:f>
        <x:v>Нет</x:v>
      </x:c>
    </x:row>
    <x:row r="472">
      <x:c r="A472" s="1" t="str">
        <x:f>'Данные'!A472</x:f>
        <x:v>236190476</x:v>
      </x:c>
      <x:c r="B472" s="1" t="str">
        <x:f>'Данные'!B472</x:f>
        <x:v>futbolkaprint100/Duma-61/вареныйсерый</x:v>
      </x:c>
      <x:c r="C472" s="8" t="n">
        <x:f>'Данные'!G472</x:f>
        <x:v>449309</x:v>
      </x:c>
      <x:c r="D472" s="15" t="n">
        <x:f>C472/SUM($C$5:$C$2477)</x:f>
        <x:v>0.0005248933905109173</x:v>
      </x:c>
      <x:c r="E472" s="15" t="n">
        <x:f>SUM($D$5:D472)</x:f>
        <x:v>0.8131148256549324</x:v>
      </x:c>
      <x:c r="F472" s="1" t="str">
        <x:f>IF(C472&lt;=0,"C",IF(E472-D472&lt;'Дашборд'!$C$49,"A",IF(E472-D472&lt;'Дашборд'!$C$50,"B","C")))</x:f>
        <x:v>B</x:v>
      </x:c>
      <x:c r="G472" s="8" t="n">
        <x:f>'Данные'!F472</x:f>
        <x:v>770</x:v>
      </x:c>
      <x:c r="H472" s="8" t="n">
        <x:f>SUM('Данные'!H472:I472)</x:f>
        <x:v>135</x:v>
      </x:c>
      <x:c r="I472" s="16" t="n">
        <x:f>IF(H472&gt;0,G472/H472,"n.a.")</x:f>
        <x:v>5.703703703703703</x:v>
      </x:c>
      <x:c r="J472" s="10" t="n">
        <x:f>IF('Данные'!E472&gt;0,G472/'Данные'!E472,"n.a.")</x:f>
        <x:v>0.010728417767374463</x:v>
      </x:c>
      <x:c r="K472" s="1" t="str">
        <x:f>IF(G472&gt;='Дашборд'!$C$51,"X","Z")</x:f>
        <x:v>X</x:v>
      </x:c>
      <x:c r="L472" s="1" t="str">
        <x:f>IF(H472=0,IF(G472&gt;0,"Нет остатка","Нет спроса"),IF(I472&gt;='Дашборд'!$C$52,"Быстрый","Медленный"))</x:f>
        <x:v>Быстрый</x:v>
      </x:c>
      <x:c r="M472" s="1" t="str">
        <x:f>IF('Данные'!E472&lt;'Дашборд'!$C$53,"Мало трафика",IF(J472&lt;'Дашборд'!$C$9*'Дашборд'!$C$54,"Да","Нет"))</x:f>
        <x:v>Нет</x:v>
      </x:c>
      <x:c r="N472" s="1" t="str">
        <x:f>IF(AND('Данные'!D472&gt;='Дашборд'!$C$55,D472&lt;'Дашборд'!$C$56,'Данные'!E472&gt;='Дашборд'!$C$53,'Данные'!L472&lt;&gt;"Да"),"Да","Нет")</x:f>
        <x:v>Нет</x:v>
      </x:c>
      <x:c r="O472" s="1" t="str">
        <x:f>'Данные'!L472</x:f>
        <x:v>Нет</x:v>
      </x:c>
    </x:row>
    <x:row r="473">
      <x:c r="A473" s="1" t="str">
        <x:f>'Данные'!A473</x:f>
        <x:v>322133008</x:v>
      </x:c>
      <x:c r="B473" s="1" t="str">
        <x:f>'Данные'!B473</x:f>
        <x:v>shorts3n3P-87/серыймеланж2</x:v>
      </x:c>
      <x:c r="C473" s="8" t="n">
        <x:f>'Данные'!G473</x:f>
        <x:v>448491</x:v>
      </x:c>
      <x:c r="D473" s="15" t="n">
        <x:f>C473/SUM($C$5:$C$2477)</x:f>
        <x:v>0.0005239377835824162</x:v>
      </x:c>
      <x:c r="E473" s="15" t="n">
        <x:f>SUM($D$5:D473)</x:f>
        <x:v>0.8136387634385148</x:v>
      </x:c>
      <x:c r="F473" s="1" t="str">
        <x:f>IF(C473&lt;=0,"C",IF(E473-D473&lt;'Дашборд'!$C$49,"A",IF(E473-D473&lt;'Дашборд'!$C$50,"B","C")))</x:f>
        <x:v>B</x:v>
      </x:c>
      <x:c r="G473" s="8" t="n">
        <x:f>'Данные'!F473</x:f>
        <x:v>819</x:v>
      </x:c>
      <x:c r="H473" s="8" t="n">
        <x:f>SUM('Данные'!H473:I473)</x:f>
        <x:v>114</x:v>
      </x:c>
      <x:c r="I473" s="16" t="n">
        <x:f>IF(H473&gt;0,G473/H473,"n.a.")</x:f>
        <x:v>7.184210526315789</x:v>
      </x:c>
      <x:c r="J473" s="10" t="n">
        <x:f>IF('Данные'!E473&gt;0,G473/'Данные'!E473,"n.a.")</x:f>
        <x:v>0.020250723240115717</x:v>
      </x:c>
      <x:c r="K473" s="1" t="str">
        <x:f>IF(G473&gt;='Дашборд'!$C$51,"X","Z")</x:f>
        <x:v>X</x:v>
      </x:c>
      <x:c r="L473" s="1" t="str">
        <x:f>IF(H473=0,IF(G473&gt;0,"Нет остатка","Нет спроса"),IF(I473&gt;='Дашборд'!$C$52,"Быстрый","Медленный"))</x:f>
        <x:v>Быстрый</x:v>
      </x:c>
      <x:c r="M473" s="1" t="str">
        <x:f>IF('Данные'!E473&lt;'Дашборд'!$C$53,"Мало трафика",IF(J473&lt;'Дашборд'!$C$9*'Дашборд'!$C$54,"Да","Нет"))</x:f>
        <x:v>Нет</x:v>
      </x:c>
      <x:c r="N473" s="1" t="str">
        <x:f>IF(AND('Данные'!D473&gt;='Дашборд'!$C$55,D473&lt;'Дашборд'!$C$56,'Данные'!E473&gt;='Дашборд'!$C$53,'Данные'!L473&lt;&gt;"Да"),"Да","Нет")</x:f>
        <x:v>Нет</x:v>
      </x:c>
      <x:c r="O473" s="1" t="str">
        <x:f>'Данные'!L473</x:f>
        <x:v>Нет</x:v>
      </x:c>
    </x:row>
    <x:row r="474">
      <x:c r="A474" s="1" t="str">
        <x:f>'Данные'!A474</x:f>
        <x:v>211596874</x:v>
      </x:c>
      <x:c r="B474" s="1" t="str">
        <x:f>'Данные'!B474</x:f>
        <x:v>tolstovkazipprint/MoreSelf-44/молочный</x:v>
      </x:c>
      <x:c r="C474" s="8" t="n">
        <x:f>'Данные'!G474</x:f>
        <x:v>448246</x:v>
      </x:c>
      <x:c r="D474" s="15" t="n">
        <x:f>C474/SUM($C$5:$C$2477)</x:f>
        <x:v>0.0005236515687933174</x:v>
      </x:c>
      <x:c r="E474" s="15" t="n">
        <x:f>SUM($D$5:D474)</x:f>
        <x:v>0.8141624150073081</x:v>
      </x:c>
      <x:c r="F474" s="1" t="str">
        <x:f>IF(C474&lt;=0,"C",IF(E474-D474&lt;'Дашборд'!$C$49,"A",IF(E474-D474&lt;'Дашборд'!$C$50,"B","C")))</x:f>
        <x:v>B</x:v>
      </x:c>
      <x:c r="G474" s="8" t="n">
        <x:f>'Данные'!F474</x:f>
        <x:v>260</x:v>
      </x:c>
      <x:c r="H474" s="8" t="n">
        <x:f>SUM('Данные'!H474:I474)</x:f>
        <x:v>0</x:v>
      </x:c>
      <x:c r="I474" s="16" t="str">
        <x:f>IF(H474&gt;0,G474/H474,"n.a.")</x:f>
        <x:v>n.a.</x:v>
      </x:c>
      <x:c r="J474" s="10" t="n">
        <x:f>IF('Данные'!E474&gt;0,G474/'Данные'!E474,"n.a.")</x:f>
        <x:v>0.008378718056137411</x:v>
      </x:c>
      <x:c r="K474" s="1" t="str">
        <x:f>IF(G474&gt;='Дашборд'!$C$51,"X","Z")</x:f>
        <x:v>Z</x:v>
      </x:c>
      <x:c r="L474" s="1" t="str">
        <x:f>IF(H474=0,IF(G474&gt;0,"Нет остатка","Нет спроса"),IF(I474&gt;='Дашборд'!$C$52,"Быстрый","Медленный"))</x:f>
        <x:v>Нет остатка</x:v>
      </x:c>
      <x:c r="M474" s="1" t="str">
        <x:f>IF('Данные'!E474&lt;'Дашборд'!$C$53,"Мало трафика",IF(J474&lt;'Дашборд'!$C$9*'Дашборд'!$C$54,"Да","Нет"))</x:f>
        <x:v>Да</x:v>
      </x:c>
      <x:c r="N474" s="1" t="str">
        <x:f>IF(AND('Данные'!D474&gt;='Дашборд'!$C$55,D474&lt;'Дашборд'!$C$56,'Данные'!E474&gt;='Дашборд'!$C$53,'Данные'!L474&lt;&gt;"Да"),"Да","Нет")</x:f>
        <x:v>Нет</x:v>
      </x:c>
      <x:c r="O474" s="1" t="str">
        <x:f>'Данные'!L474</x:f>
        <x:v>Нет</x:v>
      </x:c>
    </x:row>
    <x:row r="475">
      <x:c r="A475" s="1" t="str">
        <x:f>'Данные'!A475</x:f>
        <x:v>280030827</x:v>
      </x:c>
      <x:c r="B475" s="1" t="str">
        <x:f>'Данные'!B475</x:f>
        <x:v>svitshotzipman2/коричневый</x:v>
      </x:c>
      <x:c r="C475" s="8" t="n">
        <x:f>'Данные'!G475</x:f>
        <x:v>448222</x:v>
      </x:c>
      <x:c r="D475" s="15" t="n">
        <x:f>C475/SUM($C$5:$C$2477)</x:f>
        <x:v>0.000523623531426222</x:v>
      </x:c>
      <x:c r="E475" s="15" t="n">
        <x:f>SUM($D$5:D475)</x:f>
        <x:v>0.8146860385387343</x:v>
      </x:c>
      <x:c r="F475" s="1" t="str">
        <x:f>IF(C475&lt;=0,"C",IF(E475-D475&lt;'Дашборд'!$C$49,"A",IF(E475-D475&lt;'Дашборд'!$C$50,"B","C")))</x:f>
        <x:v>B</x:v>
      </x:c>
      <x:c r="G475" s="8" t="n">
        <x:f>'Данные'!F475</x:f>
        <x:v>462</x:v>
      </x:c>
      <x:c r="H475" s="8" t="n">
        <x:f>SUM('Данные'!H475:I475)</x:f>
        <x:v>3</x:v>
      </x:c>
      <x:c r="I475" s="16" t="n">
        <x:f>IF(H475&gt;0,G475/H475,"n.a.")</x:f>
        <x:v>154</x:v>
      </x:c>
      <x:c r="J475" s="10" t="n">
        <x:f>IF('Данные'!E475&gt;0,G475/'Данные'!E475,"n.a.")</x:f>
        <x:v>0.017607378329966842</x:v>
      </x:c>
      <x:c r="K475" s="1" t="str">
        <x:f>IF(G475&gt;='Дашборд'!$C$51,"X","Z")</x:f>
        <x:v>X</x:v>
      </x:c>
      <x:c r="L475" s="1" t="str">
        <x:f>IF(H475=0,IF(G475&gt;0,"Нет остатка","Нет спроса"),IF(I475&gt;='Дашборд'!$C$52,"Быстрый","Медленный"))</x:f>
        <x:v>Быстрый</x:v>
      </x:c>
      <x:c r="M475" s="1" t="str">
        <x:f>IF('Данные'!E475&lt;'Дашборд'!$C$53,"Мало трафика",IF(J475&lt;'Дашборд'!$C$9*'Дашборд'!$C$54,"Да","Нет"))</x:f>
        <x:v>Нет</x:v>
      </x:c>
      <x:c r="N475" s="1" t="str">
        <x:f>IF(AND('Данные'!D475&gt;='Дашборд'!$C$55,D475&lt;'Дашборд'!$C$56,'Данные'!E475&gt;='Дашборд'!$C$53,'Данные'!L475&lt;&gt;"Да"),"Да","Нет")</x:f>
        <x:v>Да</x:v>
      </x:c>
      <x:c r="O475" s="1" t="str">
        <x:f>'Данные'!L475</x:f>
        <x:v>Нет</x:v>
      </x:c>
    </x:row>
    <x:row r="476">
      <x:c r="A476" s="1" t="str">
        <x:f>'Данные'!A476</x:f>
        <x:v>320424589</x:v>
      </x:c>
      <x:c r="B476" s="1" t="str">
        <x:f>'Данные'!B476</x:f>
        <x:v>brukizshp3P-S-1/черный</x:v>
      </x:c>
      <x:c r="C476" s="8" t="n">
        <x:f>'Данные'!G476</x:f>
        <x:v>448056</x:v>
      </x:c>
      <x:c r="D476" s="15" t="n">
        <x:f>C476/SUM($C$5:$C$2477)</x:f>
        <x:v>0.0005234296063038122</x:v>
      </x:c>
      <x:c r="E476" s="15" t="n">
        <x:f>SUM($D$5:D476)</x:f>
        <x:v>0.8152094681450381</x:v>
      </x:c>
      <x:c r="F476" s="1" t="str">
        <x:f>IF(C476&lt;=0,"C",IF(E476-D476&lt;'Дашборд'!$C$49,"A",IF(E476-D476&lt;'Дашборд'!$C$50,"B","C")))</x:f>
        <x:v>B</x:v>
      </x:c>
      <x:c r="G476" s="8" t="n">
        <x:f>'Данные'!F476</x:f>
        <x:v>526</x:v>
      </x:c>
      <x:c r="H476" s="8" t="n">
        <x:f>SUM('Данные'!H476:I476)</x:f>
        <x:v>869</x:v>
      </x:c>
      <x:c r="I476" s="16" t="n">
        <x:f>IF(H476&gt;0,G476/H476,"n.a.")</x:f>
        <x:v>0.6052934407364787</x:v>
      </x:c>
      <x:c r="J476" s="10" t="n">
        <x:f>IF('Данные'!E476&gt;0,G476/'Данные'!E476,"n.a.")</x:f>
        <x:v>0.0194339762063105</x:v>
      </x:c>
      <x:c r="K476" s="1" t="str">
        <x:f>IF(G476&gt;='Дашборд'!$C$51,"X","Z")</x:f>
        <x:v>X</x:v>
      </x:c>
      <x:c r="L476" s="1" t="str">
        <x:f>IF(H476=0,IF(G476&gt;0,"Нет остатка","Нет спроса"),IF(I476&gt;='Дашборд'!$C$52,"Быстрый","Медленный"))</x:f>
        <x:v>Медленный</x:v>
      </x:c>
      <x:c r="M476" s="1" t="str">
        <x:f>IF('Данные'!E476&lt;'Дашборд'!$C$53,"Мало трафика",IF(J476&lt;'Дашборд'!$C$9*'Дашборд'!$C$54,"Да","Нет"))</x:f>
        <x:v>Нет</x:v>
      </x:c>
      <x:c r="N476" s="1" t="str">
        <x:f>IF(AND('Данные'!D476&gt;='Дашборд'!$C$55,D476&lt;'Дашборд'!$C$56,'Данные'!E476&gt;='Дашборд'!$C$53,'Данные'!L476&lt;&gt;"Да"),"Да","Нет")</x:f>
        <x:v>Нет</x:v>
      </x:c>
      <x:c r="O476" s="1" t="str">
        <x:f>'Данные'!L476</x:f>
        <x:v>Нет</x:v>
      </x:c>
    </x:row>
    <x:row r="477">
      <x:c r="A477" s="1" t="str">
        <x:f>'Данные'!A477</x:f>
        <x:v>333323580</x:v>
      </x:c>
      <x:c r="B477" s="1" t="str">
        <x:f>'Данные'!B477</x:f>
        <x:v>hudicroppetl/розовый</x:v>
      </x:c>
      <x:c r="C477" s="8" t="n">
        <x:f>'Данные'!G477</x:f>
        <x:v>442206</x:v>
      </x:c>
      <x:c r="D477" s="15" t="n">
        <x:f>C477/SUM($C$5:$C$2477)</x:f>
        <x:v>0.0005165954980743113</x:v>
      </x:c>
      <x:c r="E477" s="15" t="n">
        <x:f>SUM($D$5:D477)</x:f>
        <x:v>0.8157260636431124</x:v>
      </x:c>
      <x:c r="F477" s="1" t="str">
        <x:f>IF(C477&lt;=0,"C",IF(E477-D477&lt;'Дашборд'!$C$49,"A",IF(E477-D477&lt;'Дашборд'!$C$50,"B","C")))</x:f>
        <x:v>B</x:v>
      </x:c>
      <x:c r="G477" s="8" t="n">
        <x:f>'Данные'!F477</x:f>
        <x:v>501</x:v>
      </x:c>
      <x:c r="H477" s="8" t="n">
        <x:f>SUM('Данные'!H477:I477)</x:f>
        <x:v>3</x:v>
      </x:c>
      <x:c r="I477" s="16" t="n">
        <x:f>IF(H477&gt;0,G477/H477,"n.a.")</x:f>
        <x:v>167</x:v>
      </x:c>
      <x:c r="J477" s="10" t="n">
        <x:f>IF('Данные'!E477&gt;0,G477/'Данные'!E477,"n.a.")</x:f>
        <x:v>0.016072631612716947</x:v>
      </x:c>
      <x:c r="K477" s="1" t="str">
        <x:f>IF(G477&gt;='Дашборд'!$C$51,"X","Z")</x:f>
        <x:v>X</x:v>
      </x:c>
      <x:c r="L477" s="1" t="str">
        <x:f>IF(H477=0,IF(G477&gt;0,"Нет остатка","Нет спроса"),IF(I477&gt;='Дашборд'!$C$52,"Быстрый","Медленный"))</x:f>
        <x:v>Быстрый</x:v>
      </x:c>
      <x:c r="M477" s="1" t="str">
        <x:f>IF('Данные'!E477&lt;'Дашборд'!$C$53,"Мало трафика",IF(J477&lt;'Дашборд'!$C$9*'Дашборд'!$C$54,"Да","Нет"))</x:f>
        <x:v>Нет</x:v>
      </x:c>
      <x:c r="N477" s="1" t="str">
        <x:f>IF(AND('Данные'!D477&gt;='Дашборд'!$C$55,D477&lt;'Дашборд'!$C$56,'Данные'!E477&gt;='Дашборд'!$C$53,'Данные'!L477&lt;&gt;"Да"),"Да","Нет")</x:f>
        <x:v>Нет</x:v>
      </x:c>
      <x:c r="O477" s="1" t="str">
        <x:f>'Данные'!L477</x:f>
        <x:v>Нет</x:v>
      </x:c>
    </x:row>
    <x:row r="478">
      <x:c r="A478" s="1" t="str">
        <x:f>'Данные'!A478</x:f>
        <x:v>165911163</x:v>
      </x:c>
      <x:c r="B478" s="1" t="str">
        <x:f>'Данные'!B478</x:f>
        <x:v>longman/коричневый</x:v>
      </x:c>
      <x:c r="C478" s="8" t="n">
        <x:f>'Данные'!G478</x:f>
        <x:v>439064</x:v>
      </x:c>
      <x:c r="D478" s="15" t="n">
        <x:f>C478/SUM($C$5:$C$2477)</x:f>
        <x:v>0.0005129249394320733</x:v>
      </x:c>
      <x:c r="E478" s="15" t="n">
        <x:f>SUM($D$5:D478)</x:f>
        <x:v>0.8162389885825445</x:v>
      </x:c>
      <x:c r="F478" s="1" t="str">
        <x:f>IF(C478&lt;=0,"C",IF(E478-D478&lt;'Дашборд'!$C$49,"A",IF(E478-D478&lt;'Дашборд'!$C$50,"B","C")))</x:f>
        <x:v>B</x:v>
      </x:c>
      <x:c r="G478" s="8" t="n">
        <x:f>'Данные'!F478</x:f>
        <x:v>920</x:v>
      </x:c>
      <x:c r="H478" s="8" t="n">
        <x:f>SUM('Данные'!H478:I478)</x:f>
        <x:v>978</x:v>
      </x:c>
      <x:c r="I478" s="16" t="n">
        <x:f>IF(H478&gt;0,G478/H478,"n.a.")</x:f>
        <x:v>0.9406952965235174</x:v>
      </x:c>
      <x:c r="J478" s="10" t="n">
        <x:f>IF('Данные'!E478&gt;0,G478/'Данные'!E478,"n.a.")</x:f>
        <x:v>0.03595294853257259</x:v>
      </x:c>
      <x:c r="K478" s="1" t="str">
        <x:f>IF(G478&gt;='Дашборд'!$C$51,"X","Z")</x:f>
        <x:v>X</x:v>
      </x:c>
      <x:c r="L478" s="1" t="str">
        <x:f>IF(H478=0,IF(G478&gt;0,"Нет остатка","Нет спроса"),IF(I478&gt;='Дашборд'!$C$52,"Быстрый","Медленный"))</x:f>
        <x:v>Медленный</x:v>
      </x:c>
      <x:c r="M478" s="1" t="str">
        <x:f>IF('Данные'!E478&lt;'Дашборд'!$C$53,"Мало трафика",IF(J478&lt;'Дашборд'!$C$9*'Дашборд'!$C$54,"Да","Нет"))</x:f>
        <x:v>Нет</x:v>
      </x:c>
      <x:c r="N478" s="1" t="str">
        <x:f>IF(AND('Данные'!D478&gt;='Дашборд'!$C$55,D478&lt;'Дашборд'!$C$56,'Данные'!E478&gt;='Дашборд'!$C$53,'Данные'!L478&lt;&gt;"Да"),"Да","Нет")</x:f>
        <x:v>Нет</x:v>
      </x:c>
      <x:c r="O478" s="1" t="str">
        <x:f>'Данные'!L478</x:f>
        <x:v>Нет</x:v>
      </x:c>
    </x:row>
    <x:row r="479">
      <x:c r="A479" s="1" t="str">
        <x:f>'Данные'!A479</x:f>
        <x:v>311045257</x:v>
      </x:c>
      <x:c r="B479" s="1" t="str">
        <x:f>'Данные'!B479</x:f>
        <x:v>hudipetl/дымка</x:v>
      </x:c>
      <x:c r="C479" s="8" t="n">
        <x:f>'Данные'!G479</x:f>
        <x:v>438980</x:v>
      </x:c>
      <x:c r="D479" s="15" t="n">
        <x:f>C479/SUM($C$5:$C$2477)</x:f>
        <x:v>0.0005128268086472394</x:v>
      </x:c>
      <x:c r="E479" s="15" t="n">
        <x:f>SUM($D$5:D479)</x:f>
        <x:v>0.8167518153911918</x:v>
      </x:c>
      <x:c r="F479" s="1" t="str">
        <x:f>IF(C479&lt;=0,"C",IF(E479-D479&lt;'Дашборд'!$C$49,"A",IF(E479-D479&lt;'Дашборд'!$C$50,"B","C")))</x:f>
        <x:v>B</x:v>
      </x:c>
      <x:c r="G479" s="8" t="n">
        <x:f>'Данные'!F479</x:f>
        <x:v>407</x:v>
      </x:c>
      <x:c r="H479" s="8" t="n">
        <x:f>SUM('Данные'!H479:I479)</x:f>
        <x:v>3</x:v>
      </x:c>
      <x:c r="I479" s="16" t="n">
        <x:f>IF(H479&gt;0,G479/H479,"n.a.")</x:f>
        <x:v>135.66666666666666</x:v>
      </x:c>
      <x:c r="J479" s="10" t="n">
        <x:f>IF('Данные'!E479&gt;0,G479/'Данные'!E479,"n.a.")</x:f>
        <x:v>0.01322587982972086</x:v>
      </x:c>
      <x:c r="K479" s="1" t="str">
        <x:f>IF(G479&gt;='Дашборд'!$C$51,"X","Z")</x:f>
        <x:v>X</x:v>
      </x:c>
      <x:c r="L479" s="1" t="str">
        <x:f>IF(H479=0,IF(G479&gt;0,"Нет остатка","Нет спроса"),IF(I479&gt;='Дашборд'!$C$52,"Быстрый","Медленный"))</x:f>
        <x:v>Быстрый</x:v>
      </x:c>
      <x:c r="M479" s="1" t="str">
        <x:f>IF('Данные'!E479&lt;'Дашборд'!$C$53,"Мало трафика",IF(J479&lt;'Дашборд'!$C$9*'Дашборд'!$C$54,"Да","Нет"))</x:f>
        <x:v>Нет</x:v>
      </x:c>
      <x:c r="N479" s="1" t="str">
        <x:f>IF(AND('Данные'!D479&gt;='Дашборд'!$C$55,D479&lt;'Дашборд'!$C$56,'Данные'!E479&gt;='Дашборд'!$C$53,'Данные'!L479&lt;&gt;"Да"),"Да","Нет")</x:f>
        <x:v>Нет</x:v>
      </x:c>
      <x:c r="O479" s="1" t="str">
        <x:f>'Данные'!L479</x:f>
        <x:v>Нет</x:v>
      </x:c>
    </x:row>
    <x:row r="480">
      <x:c r="A480" s="1" t="str">
        <x:f>'Данные'!A480</x:f>
        <x:v>165757824</x:v>
      </x:c>
      <x:c r="B480" s="1" t="str">
        <x:f>'Данные'!B480</x:f>
        <x:v>kulirkaman/салатовый</x:v>
      </x:c>
      <x:c r="C480" s="8" t="n">
        <x:f>'Данные'!G480</x:f>
        <x:v>438084</x:v>
      </x:c>
      <x:c r="D480" s="15" t="n">
        <x:f>C480/SUM($C$5:$C$2477)</x:f>
        <x:v>0.0005117800802756782</x:v>
      </x:c>
      <x:c r="E480" s="15" t="n">
        <x:f>SUM($D$5:D480)</x:f>
        <x:v>0.8172635954714674</x:v>
      </x:c>
      <x:c r="F480" s="1" t="str">
        <x:f>IF(C480&lt;=0,"C",IF(E480-D480&lt;'Дашборд'!$C$49,"A",IF(E480-D480&lt;'Дашборд'!$C$50,"B","C")))</x:f>
        <x:v>B</x:v>
      </x:c>
      <x:c r="G480" s="8" t="n">
        <x:f>'Данные'!F480</x:f>
        <x:v>797</x:v>
      </x:c>
      <x:c r="H480" s="8" t="n">
        <x:f>SUM('Данные'!H480:I480)</x:f>
        <x:v>1266</x:v>
      </x:c>
      <x:c r="I480" s="16" t="n">
        <x:f>IF(H480&gt;0,G480/H480,"n.a.")</x:f>
        <x:v>0.6295418641390206</x:v>
      </x:c>
      <x:c r="J480" s="10" t="n">
        <x:f>IF('Данные'!E480&gt;0,G480/'Данные'!E480,"n.a.")</x:f>
        <x:v>0.039476942889692404</x:v>
      </x:c>
      <x:c r="K480" s="1" t="str">
        <x:f>IF(G480&gt;='Дашборд'!$C$51,"X","Z")</x:f>
        <x:v>X</x:v>
      </x:c>
      <x:c r="L480" s="1" t="str">
        <x:f>IF(H480=0,IF(G480&gt;0,"Нет остатка","Нет спроса"),IF(I480&gt;='Дашборд'!$C$52,"Быстрый","Медленный"))</x:f>
        <x:v>Медленный</x:v>
      </x:c>
      <x:c r="M480" s="1" t="str">
        <x:f>IF('Данные'!E480&lt;'Дашборд'!$C$53,"Мало трафика",IF(J480&lt;'Дашборд'!$C$9*'Дашборд'!$C$54,"Да","Нет"))</x:f>
        <x:v>Нет</x:v>
      </x:c>
      <x:c r="N480" s="1" t="str">
        <x:f>IF(AND('Данные'!D480&gt;='Дашборд'!$C$55,D480&lt;'Дашборд'!$C$56,'Данные'!E480&gt;='Дашборд'!$C$53,'Данные'!L480&lt;&gt;"Да"),"Да","Нет")</x:f>
        <x:v>Нет</x:v>
      </x:c>
      <x:c r="O480" s="1" t="str">
        <x:f>'Данные'!L480</x:f>
        <x:v>Нет</x:v>
      </x:c>
    </x:row>
    <x:row r="481">
      <x:c r="A481" s="1" t="str">
        <x:f>'Данные'!A481</x:f>
        <x:v>145845812</x:v>
      </x:c>
      <x:c r="B481" s="1" t="str">
        <x:f>'Данные'!B481</x:f>
        <x:v>svitshotman/голубой</x:v>
      </x:c>
      <x:c r="C481" s="8" t="n">
        <x:f>'Данные'!G481</x:f>
        <x:v>437848</x:v>
      </x:c>
      <x:c r="D481" s="15" t="n">
        <x:f>C481/SUM($C$5:$C$2477)</x:f>
        <x:v>0.0005115043794992403</x:v>
      </x:c>
      <x:c r="E481" s="15" t="n">
        <x:f>SUM($D$5:D481)</x:f>
        <x:v>0.8177750998509666</x:v>
      </x:c>
      <x:c r="F481" s="1" t="str">
        <x:f>IF(C481&lt;=0,"C",IF(E481-D481&lt;'Дашборд'!$C$49,"A",IF(E481-D481&lt;'Дашборд'!$C$50,"B","C")))</x:f>
        <x:v>B</x:v>
      </x:c>
      <x:c r="G481" s="8" t="n">
        <x:f>'Данные'!F481</x:f>
        <x:v>431</x:v>
      </x:c>
      <x:c r="H481" s="8" t="n">
        <x:f>SUM('Данные'!H481:I481)</x:f>
        <x:v>127</x:v>
      </x:c>
      <x:c r="I481" s="16" t="n">
        <x:f>IF(H481&gt;0,G481/H481,"n.a.")</x:f>
        <x:v>3.393700787401575</x:v>
      </x:c>
      <x:c r="J481" s="10" t="n">
        <x:f>IF('Данные'!E481&gt;0,G481/'Данные'!E481,"n.a.")</x:f>
        <x:v>0.03212821468505404</x:v>
      </x:c>
      <x:c r="K481" s="1" t="str">
        <x:f>IF(G481&gt;='Дашборд'!$C$51,"X","Z")</x:f>
        <x:v>X</x:v>
      </x:c>
      <x:c r="L481" s="1" t="str">
        <x:f>IF(H481=0,IF(G481&gt;0,"Нет остатка","Нет спроса"),IF(I481&gt;='Дашборд'!$C$52,"Быстрый","Медленный"))</x:f>
        <x:v>Быстрый</x:v>
      </x:c>
      <x:c r="M481" s="1" t="str">
        <x:f>IF('Данные'!E481&lt;'Дашборд'!$C$53,"Мало трафика",IF(J481&lt;'Дашборд'!$C$9*'Дашборд'!$C$54,"Да","Нет"))</x:f>
        <x:v>Нет</x:v>
      </x:c>
      <x:c r="N481" s="1" t="str">
        <x:f>IF(AND('Данные'!D481&gt;='Дашборд'!$C$55,D481&lt;'Дашборд'!$C$56,'Данные'!E481&gt;='Дашборд'!$C$53,'Данные'!L481&lt;&gt;"Да"),"Да","Нет")</x:f>
        <x:v>Да</x:v>
      </x:c>
      <x:c r="O481" s="1" t="str">
        <x:f>'Данные'!L481</x:f>
        <x:v>Нет</x:v>
      </x:c>
    </x:row>
    <x:row r="482">
      <x:c r="A482" s="1" t="str">
        <x:f>'Данные'!A482</x:f>
        <x:v>323191825</x:v>
      </x:c>
      <x:c r="B482" s="1" t="str">
        <x:f>'Данные'!B482</x:f>
        <x:v>polowoman3K-89/розовый</x:v>
      </x:c>
      <x:c r="C482" s="8" t="n">
        <x:f>'Данные'!G482</x:f>
        <x:v>435729</x:v>
      </x:c>
      <x:c r="D482" s="15" t="n">
        <x:f>C482/SUM($C$5:$C$2477)</x:f>
        <x:v>0.0005090289136294433</x:v>
      </x:c>
      <x:c r="E482" s="15" t="n">
        <x:f>SUM($D$5:D482)</x:f>
        <x:v>0.8182841287645961</x:v>
      </x:c>
      <x:c r="F482" s="1" t="str">
        <x:f>IF(C482&lt;=0,"C",IF(E482-D482&lt;'Дашборд'!$C$49,"A",IF(E482-D482&lt;'Дашборд'!$C$50,"B","C")))</x:f>
        <x:v>B</x:v>
      </x:c>
      <x:c r="G482" s="8" t="n">
        <x:f>'Данные'!F482</x:f>
        <x:v>865</x:v>
      </x:c>
      <x:c r="H482" s="8" t="n">
        <x:f>SUM('Данные'!H482:I482)</x:f>
        <x:v>4</x:v>
      </x:c>
      <x:c r="I482" s="16" t="n">
        <x:f>IF(H482&gt;0,G482/H482,"n.a.")</x:f>
        <x:v>216.25</x:v>
      </x:c>
      <x:c r="J482" s="10" t="n">
        <x:f>IF('Данные'!E482&gt;0,G482/'Данные'!E482,"n.a.")</x:f>
        <x:v>0.01107015792572116</x:v>
      </x:c>
      <x:c r="K482" s="1" t="str">
        <x:f>IF(G482&gt;='Дашборд'!$C$51,"X","Z")</x:f>
        <x:v>X</x:v>
      </x:c>
      <x:c r="L482" s="1" t="str">
        <x:f>IF(H482=0,IF(G482&gt;0,"Нет остатка","Нет спроса"),IF(I482&gt;='Дашборд'!$C$52,"Быстрый","Медленный"))</x:f>
        <x:v>Быстрый</x:v>
      </x:c>
      <x:c r="M482" s="1" t="str">
        <x:f>IF('Данные'!E482&lt;'Дашборд'!$C$53,"Мало трафика",IF(J482&lt;'Дашборд'!$C$9*'Дашборд'!$C$54,"Да","Нет"))</x:f>
        <x:v>Нет</x:v>
      </x:c>
      <x:c r="N482" s="1" t="str">
        <x:f>IF(AND('Данные'!D482&gt;='Дашборд'!$C$55,D482&lt;'Дашборд'!$C$56,'Данные'!E482&gt;='Дашборд'!$C$53,'Данные'!L482&lt;&gt;"Да"),"Да","Нет")</x:f>
        <x:v>Нет</x:v>
      </x:c>
      <x:c r="O482" s="1" t="str">
        <x:f>'Данные'!L482</x:f>
        <x:v>Нет</x:v>
      </x:c>
    </x:row>
    <x:row r="483">
      <x:c r="A483" s="1" t="str">
        <x:f>'Данные'!A483</x:f>
        <x:v>323203659</x:v>
      </x:c>
      <x:c r="B483" s="1" t="str">
        <x:f>'Данные'!B483</x:f>
        <x:v>tshirtsuperover3K-E1/голубой</x:v>
      </x:c>
      <x:c r="C483" s="8" t="n">
        <x:f>'Данные'!G483</x:f>
        <x:v>434623</x:v>
      </x:c>
      <x:c r="D483" s="15" t="n">
        <x:f>C483/SUM($C$5:$C$2477)</x:f>
        <x:v>0.0005077368582957975</x:v>
      </x:c>
      <x:c r="E483" s="15" t="n">
        <x:f>SUM($D$5:D483)</x:f>
        <x:v>0.8187918656228919</x:v>
      </x:c>
      <x:c r="F483" s="1" t="str">
        <x:f>IF(C483&lt;=0,"C",IF(E483-D483&lt;'Дашборд'!$C$49,"A",IF(E483-D483&lt;'Дашборд'!$C$50,"B","C")))</x:f>
        <x:v>B</x:v>
      </x:c>
      <x:c r="G483" s="8" t="n">
        <x:f>'Данные'!F483</x:f>
        <x:v>780</x:v>
      </x:c>
      <x:c r="H483" s="8" t="n">
        <x:f>SUM('Данные'!H483:I483)</x:f>
        <x:v>249</x:v>
      </x:c>
      <x:c r="I483" s="16" t="n">
        <x:f>IF(H483&gt;0,G483/H483,"n.a.")</x:f>
        <x:v>3.1325301204819276</x:v>
      </x:c>
      <x:c r="J483" s="10" t="n">
        <x:f>IF('Данные'!E483&gt;0,G483/'Данные'!E483,"n.a.")</x:f>
        <x:v>0.005900419081047551</x:v>
      </x:c>
      <x:c r="K483" s="1" t="str">
        <x:f>IF(G483&gt;='Дашборд'!$C$51,"X","Z")</x:f>
        <x:v>X</x:v>
      </x:c>
      <x:c r="L483" s="1" t="str">
        <x:f>IF(H483=0,IF(G483&gt;0,"Нет остатка","Нет спроса"),IF(I483&gt;='Дашборд'!$C$52,"Быстрый","Медленный"))</x:f>
        <x:v>Быстрый</x:v>
      </x:c>
      <x:c r="M483" s="1" t="str">
        <x:f>IF('Данные'!E483&lt;'Дашборд'!$C$53,"Мало трафика",IF(J483&lt;'Дашборд'!$C$9*'Дашборд'!$C$54,"Да","Нет"))</x:f>
        <x:v>Да</x:v>
      </x:c>
      <x:c r="N483" s="1" t="str">
        <x:f>IF(AND('Данные'!D483&gt;='Дашборд'!$C$55,D483&lt;'Дашборд'!$C$56,'Данные'!E483&gt;='Дашборд'!$C$53,'Данные'!L483&lt;&gt;"Да"),"Да","Нет")</x:f>
        <x:v>Нет</x:v>
      </x:c>
      <x:c r="O483" s="1" t="str">
        <x:f>'Данные'!L483</x:f>
        <x:v>Нет</x:v>
      </x:c>
    </x:row>
    <x:row r="484">
      <x:c r="A484" s="1" t="str">
        <x:f>'Данные'!A484</x:f>
        <x:v>113111229</x:v>
      </x:c>
      <x:c r="B484" s="1" t="str">
        <x:f>'Данные'!B484</x:f>
        <x:v>futbolkaover/салатовый</x:v>
      </x:c>
      <x:c r="C484" s="8" t="n">
        <x:f>'Данные'!G484</x:f>
        <x:v>434370</x:v>
      </x:c>
      <x:c r="D484" s="15" t="n">
        <x:f>C484/SUM($C$5:$C$2477)</x:f>
        <x:v>0.0005074412977176669</x:v>
      </x:c>
      <x:c r="E484" s="15" t="n">
        <x:f>SUM($D$5:D484)</x:f>
        <x:v>0.8192993069206095</x:v>
      </x:c>
      <x:c r="F484" s="1" t="str">
        <x:f>IF(C484&lt;=0,"C",IF(E484-D484&lt;'Дашборд'!$C$49,"A",IF(E484-D484&lt;'Дашборд'!$C$50,"B","C")))</x:f>
        <x:v>B</x:v>
      </x:c>
      <x:c r="G484" s="8" t="n">
        <x:f>'Данные'!F484</x:f>
        <x:v>898</x:v>
      </x:c>
      <x:c r="H484" s="8" t="n">
        <x:f>SUM('Данные'!H484:I484)</x:f>
        <x:v>1953</x:v>
      </x:c>
      <x:c r="I484" s="16" t="n">
        <x:f>IF(H484&gt;0,G484/H484,"n.a.")</x:f>
        <x:v>0.45980542754736303</x:v>
      </x:c>
      <x:c r="J484" s="10" t="n">
        <x:f>IF('Данные'!E484&gt;0,G484/'Данные'!E484,"n.a.")</x:f>
        <x:v>0.016536230549673143</x:v>
      </x:c>
      <x:c r="K484" s="1" t="str">
        <x:f>IF(G484&gt;='Дашборд'!$C$51,"X","Z")</x:f>
        <x:v>X</x:v>
      </x:c>
      <x:c r="L484" s="1" t="str">
        <x:f>IF(H484=0,IF(G484&gt;0,"Нет остатка","Нет спроса"),IF(I484&gt;='Дашборд'!$C$52,"Быстрый","Медленный"))</x:f>
        <x:v>Медленный</x:v>
      </x:c>
      <x:c r="M484" s="1" t="str">
        <x:f>IF('Данные'!E484&lt;'Дашборд'!$C$53,"Мало трафика",IF(J484&lt;'Дашборд'!$C$9*'Дашборд'!$C$54,"Да","Нет"))</x:f>
        <x:v>Нет</x:v>
      </x:c>
      <x:c r="N484" s="1" t="str">
        <x:f>IF(AND('Данные'!D484&gt;='Дашборд'!$C$55,D484&lt;'Дашборд'!$C$56,'Данные'!E484&gt;='Дашборд'!$C$53,'Данные'!L484&lt;&gt;"Да"),"Да","Нет")</x:f>
        <x:v>Да</x:v>
      </x:c>
      <x:c r="O484" s="1" t="str">
        <x:f>'Данные'!L484</x:f>
        <x:v>Нет</x:v>
      </x:c>
    </x:row>
    <x:row r="485">
      <x:c r="A485" s="1" t="str">
        <x:f>'Данные'!A485</x:f>
        <x:v>145845807</x:v>
      </x:c>
      <x:c r="B485" s="1" t="str">
        <x:f>'Данные'!B485</x:f>
        <x:v>svitshotman/кофейный</x:v>
      </x:c>
      <x:c r="C485" s="8" t="n">
        <x:f>'Данные'!G485</x:f>
        <x:v>432888</x:v>
      </x:c>
      <x:c r="D485" s="15" t="n">
        <x:f>C485/SUM($C$5:$C$2477)</x:f>
        <x:v>0.0005057099902995266</x:v>
      </x:c>
      <x:c r="E485" s="15" t="n">
        <x:f>SUM($D$5:D485)</x:f>
        <x:v>0.819805016910909</x:v>
      </x:c>
      <x:c r="F485" s="1" t="str">
        <x:f>IF(C485&lt;=0,"C",IF(E485-D485&lt;'Дашборд'!$C$49,"A",IF(E485-D485&lt;'Дашборд'!$C$50,"B","C")))</x:f>
        <x:v>B</x:v>
      </x:c>
      <x:c r="G485" s="8" t="n">
        <x:f>'Данные'!F485</x:f>
        <x:v>606</x:v>
      </x:c>
      <x:c r="H485" s="8" t="n">
        <x:f>SUM('Данные'!H485:I485)</x:f>
        <x:v>1074</x:v>
      </x:c>
      <x:c r="I485" s="16" t="n">
        <x:f>IF(H485&gt;0,G485/H485,"n.a.")</x:f>
        <x:v>0.5642458100558659</x:v>
      </x:c>
      <x:c r="J485" s="10" t="n">
        <x:f>IF('Данные'!E485&gt;0,G485/'Данные'!E485,"n.a.")</x:f>
        <x:v>0.02840269966254218</x:v>
      </x:c>
      <x:c r="K485" s="1" t="str">
        <x:f>IF(G485&gt;='Дашборд'!$C$51,"X","Z")</x:f>
        <x:v>X</x:v>
      </x:c>
      <x:c r="L485" s="1" t="str">
        <x:f>IF(H485=0,IF(G485&gt;0,"Нет остатка","Нет спроса"),IF(I485&gt;='Дашборд'!$C$52,"Быстрый","Медленный"))</x:f>
        <x:v>Медленный</x:v>
      </x:c>
      <x:c r="M485" s="1" t="str">
        <x:f>IF('Данные'!E485&lt;'Дашборд'!$C$53,"Мало трафика",IF(J485&lt;'Дашборд'!$C$9*'Дашборд'!$C$54,"Да","Нет"))</x:f>
        <x:v>Нет</x:v>
      </x:c>
      <x:c r="N485" s="1" t="str">
        <x:f>IF(AND('Данные'!D485&gt;='Дашборд'!$C$55,D485&lt;'Дашборд'!$C$56,'Данные'!E485&gt;='Дашборд'!$C$53,'Данные'!L485&lt;&gt;"Да"),"Да","Нет")</x:f>
        <x:v>Да</x:v>
      </x:c>
      <x:c r="O485" s="1" t="str">
        <x:f>'Данные'!L485</x:f>
        <x:v>Нет</x:v>
      </x:c>
    </x:row>
    <x:row r="486">
      <x:c r="A486" s="1" t="str">
        <x:f>'Данные'!A486</x:f>
        <x:v>202409603</x:v>
      </x:c>
      <x:c r="B486" s="1" t="str">
        <x:f>'Данные'!B486</x:f>
        <x:v>hudiprint/Chic-55/молочный</x:v>
      </x:c>
      <x:c r="C486" s="8" t="n">
        <x:f>'Данные'!G486</x:f>
        <x:v>432266</x:v>
      </x:c>
      <x:c r="D486" s="15" t="n">
        <x:f>C486/SUM($C$5:$C$2477)</x:f>
        <x:v>0.0005049833552023044</x:v>
      </x:c>
      <x:c r="E486" s="15" t="n">
        <x:f>SUM($D$5:D486)</x:f>
        <x:v>0.8203100002661113</x:v>
      </x:c>
      <x:c r="F486" s="1" t="str">
        <x:f>IF(C486&lt;=0,"C",IF(E486-D486&lt;'Дашборд'!$C$49,"A",IF(E486-D486&lt;'Дашборд'!$C$50,"B","C")))</x:f>
        <x:v>B</x:v>
      </x:c>
      <x:c r="G486" s="8" t="n">
        <x:f>'Данные'!F486</x:f>
        <x:v>453</x:v>
      </x:c>
      <x:c r="H486" s="8" t="n">
        <x:f>SUM('Данные'!H486:I486)</x:f>
        <x:v>176</x:v>
      </x:c>
      <x:c r="I486" s="16" t="n">
        <x:f>IF(H486&gt;0,G486/H486,"n.a.")</x:f>
        <x:v>2.5738636363636362</x:v>
      </x:c>
      <x:c r="J486" s="10" t="n">
        <x:f>IF('Данные'!E486&gt;0,G486/'Данные'!E486,"n.a.")</x:f>
        <x:v>0.010690517770330863</x:v>
      </x:c>
      <x:c r="K486" s="1" t="str">
        <x:f>IF(G486&gt;='Дашборд'!$C$51,"X","Z")</x:f>
        <x:v>X</x:v>
      </x:c>
      <x:c r="L486" s="1" t="str">
        <x:f>IF(H486=0,IF(G486&gt;0,"Нет остатка","Нет спроса"),IF(I486&gt;='Дашборд'!$C$52,"Быстрый","Медленный"))</x:f>
        <x:v>Быстрый</x:v>
      </x:c>
      <x:c r="M486" s="1" t="str">
        <x:f>IF('Данные'!E486&lt;'Дашборд'!$C$53,"Мало трафика",IF(J486&lt;'Дашборд'!$C$9*'Дашборд'!$C$54,"Да","Нет"))</x:f>
        <x:v>Нет</x:v>
      </x:c>
      <x:c r="N486" s="1" t="str">
        <x:f>IF(AND('Данные'!D486&gt;='Дашборд'!$C$55,D486&lt;'Дашборд'!$C$56,'Данные'!E486&gt;='Дашборд'!$C$53,'Данные'!L486&lt;&gt;"Да"),"Да","Нет")</x:f>
        <x:v>Да</x:v>
      </x:c>
      <x:c r="O486" s="1" t="str">
        <x:f>'Данные'!L486</x:f>
        <x:v>Нет</x:v>
      </x:c>
    </x:row>
    <x:row r="487">
      <x:c r="A487" s="1" t="str">
        <x:f>'Данные'!A487</x:f>
        <x:v>87044484</x:v>
      </x:c>
      <x:c r="B487" s="1" t="str">
        <x:f>'Данные'!B487</x:f>
        <x:v>kroptop/банановый</x:v>
      </x:c>
      <x:c r="C487" s="8" t="n">
        <x:f>'Данные'!G487</x:f>
        <x:v>431641</x:v>
      </x:c>
      <x:c r="D487" s="15" t="n">
        <x:f>C487/SUM($C$5:$C$2477)</x:f>
        <x:v>0.0005042532154341953</x:v>
      </x:c>
      <x:c r="E487" s="15" t="n">
        <x:f>SUM($D$5:D487)</x:f>
        <x:v>0.8208142534815456</x:v>
      </x:c>
      <x:c r="F487" s="1" t="str">
        <x:f>IF(C487&lt;=0,"C",IF(E487-D487&lt;'Дашборд'!$C$49,"A",IF(E487-D487&lt;'Дашборд'!$C$50,"B","C")))</x:f>
        <x:v>B</x:v>
      </x:c>
      <x:c r="G487" s="8" t="n">
        <x:f>'Данные'!F487</x:f>
        <x:v>1041</x:v>
      </x:c>
      <x:c r="H487" s="8" t="n">
        <x:f>SUM('Данные'!H487:I487)</x:f>
        <x:v>195</x:v>
      </x:c>
      <x:c r="I487" s="16" t="n">
        <x:f>IF(H487&gt;0,G487/H487,"n.a.")</x:f>
        <x:v>5.338461538461538</x:v>
      </x:c>
      <x:c r="J487" s="10" t="n">
        <x:f>IF('Данные'!E487&gt;0,G487/'Данные'!E487,"n.a.")</x:f>
        <x:v>0.01815644894043778</x:v>
      </x:c>
      <x:c r="K487" s="1" t="str">
        <x:f>IF(G487&gt;='Дашборд'!$C$51,"X","Z")</x:f>
        <x:v>X</x:v>
      </x:c>
      <x:c r="L487" s="1" t="str">
        <x:f>IF(H487=0,IF(G487&gt;0,"Нет остатка","Нет спроса"),IF(I487&gt;='Дашборд'!$C$52,"Быстрый","Медленный"))</x:f>
        <x:v>Быстрый</x:v>
      </x:c>
      <x:c r="M487" s="1" t="str">
        <x:f>IF('Данные'!E487&lt;'Дашборд'!$C$53,"Мало трафика",IF(J487&lt;'Дашборд'!$C$9*'Дашборд'!$C$54,"Да","Нет"))</x:f>
        <x:v>Нет</x:v>
      </x:c>
      <x:c r="N487" s="1" t="str">
        <x:f>IF(AND('Данные'!D487&gt;='Дашборд'!$C$55,D487&lt;'Дашборд'!$C$56,'Данные'!E487&gt;='Дашборд'!$C$53,'Данные'!L487&lt;&gt;"Да"),"Да","Нет")</x:f>
        <x:v>Нет</x:v>
      </x:c>
      <x:c r="O487" s="1" t="str">
        <x:f>'Данные'!L487</x:f>
        <x:v>Нет</x:v>
      </x:c>
    </x:row>
    <x:row r="488">
      <x:c r="A488" s="1" t="str">
        <x:f>'Данные'!A488</x:f>
        <x:v>165911168</x:v>
      </x:c>
      <x:c r="B488" s="1" t="str">
        <x:f>'Данные'!B488</x:f>
        <x:v>longman/молочный</x:v>
      </x:c>
      <x:c r="C488" s="8" t="n">
        <x:f>'Данные'!G488</x:f>
        <x:v>431458</x:v>
      </x:c>
      <x:c r="D488" s="15" t="n">
        <x:f>C488/SUM($C$5:$C$2477)</x:f>
        <x:v>0.000504039430510093</x:v>
      </x:c>
      <x:c r="E488" s="15" t="n">
        <x:f>SUM($D$5:D488)</x:f>
        <x:v>0.8213182929120557</x:v>
      </x:c>
      <x:c r="F488" s="1" t="str">
        <x:f>IF(C488&lt;=0,"C",IF(E488-D488&lt;'Дашборд'!$C$49,"A",IF(E488-D488&lt;'Дашборд'!$C$50,"B","C")))</x:f>
        <x:v>B</x:v>
      </x:c>
      <x:c r="G488" s="8" t="n">
        <x:f>'Данные'!F488</x:f>
        <x:v>847</x:v>
      </x:c>
      <x:c r="H488" s="8" t="n">
        <x:f>SUM('Данные'!H488:I488)</x:f>
        <x:v>2559</x:v>
      </x:c>
      <x:c r="I488" s="16" t="n">
        <x:f>IF(H488&gt;0,G488/H488,"n.a.")</x:f>
        <x:v>0.330988667448222</x:v>
      </x:c>
      <x:c r="J488" s="10" t="n">
        <x:f>IF('Данные'!E488&gt;0,G488/'Данные'!E488,"n.a.")</x:f>
        <x:v>0.043745480838756325</x:v>
      </x:c>
      <x:c r="K488" s="1" t="str">
        <x:f>IF(G488&gt;='Дашборд'!$C$51,"X","Z")</x:f>
        <x:v>X</x:v>
      </x:c>
      <x:c r="L488" s="1" t="str">
        <x:f>IF(H488=0,IF(G488&gt;0,"Нет остатка","Нет спроса"),IF(I488&gt;='Дашборд'!$C$52,"Быстрый","Медленный"))</x:f>
        <x:v>Медленный</x:v>
      </x:c>
      <x:c r="M488" s="1" t="str">
        <x:f>IF('Данные'!E488&lt;'Дашборд'!$C$53,"Мало трафика",IF(J488&lt;'Дашборд'!$C$9*'Дашборд'!$C$54,"Да","Нет"))</x:f>
        <x:v>Нет</x:v>
      </x:c>
      <x:c r="N488" s="1" t="str">
        <x:f>IF(AND('Данные'!D488&gt;='Дашборд'!$C$55,D488&lt;'Дашборд'!$C$56,'Данные'!E488&gt;='Дашборд'!$C$53,'Данные'!L488&lt;&gt;"Да"),"Да","Нет")</x:f>
        <x:v>Нет</x:v>
      </x:c>
      <x:c r="O488" s="1" t="str">
        <x:f>'Данные'!L488</x:f>
        <x:v>Нет</x:v>
      </x:c>
    </x:row>
    <x:row r="489">
      <x:c r="A489" s="1" t="str">
        <x:f>'Данные'!A489</x:f>
        <x:v>220157453</x:v>
      </x:c>
      <x:c r="B489" s="1" t="str">
        <x:f>'Данные'!B489</x:f>
        <x:v>futbolkaprint/Miami-122/молочный</x:v>
      </x:c>
      <x:c r="C489" s="8" t="n">
        <x:f>'Данные'!G489</x:f>
        <x:v>429219</x:v>
      </x:c>
      <x:c r="D489" s="15" t="n">
        <x:f>C489/SUM($C$5:$C$2477)</x:f>
        <x:v>0.000501423777804819</x:v>
      </x:c>
      <x:c r="E489" s="15" t="n">
        <x:f>SUM($D$5:D489)</x:f>
        <x:v>0.8218197166898605</x:v>
      </x:c>
      <x:c r="F489" s="1" t="str">
        <x:f>IF(C489&lt;=0,"C",IF(E489-D489&lt;'Дашборд'!$C$49,"A",IF(E489-D489&lt;'Дашборд'!$C$50,"B","C")))</x:f>
        <x:v>B</x:v>
      </x:c>
      <x:c r="G489" s="8" t="n">
        <x:f>'Данные'!F489</x:f>
        <x:v>722</x:v>
      </x:c>
      <x:c r="H489" s="8" t="n">
        <x:f>SUM('Данные'!H489:I489)</x:f>
        <x:v>40</x:v>
      </x:c>
      <x:c r="I489" s="16" t="n">
        <x:f>IF(H489&gt;0,G489/H489,"n.a.")</x:f>
        <x:v>18.05</x:v>
      </x:c>
      <x:c r="J489" s="10" t="n">
        <x:f>IF('Данные'!E489&gt;0,G489/'Данные'!E489,"n.a.")</x:f>
        <x:v>0.00938405750009748</x:v>
      </x:c>
      <x:c r="K489" s="1" t="str">
        <x:f>IF(G489&gt;='Дашборд'!$C$51,"X","Z")</x:f>
        <x:v>X</x:v>
      </x:c>
      <x:c r="L489" s="1" t="str">
        <x:f>IF(H489=0,IF(G489&gt;0,"Нет остатка","Нет спроса"),IF(I489&gt;='Дашборд'!$C$52,"Быстрый","Медленный"))</x:f>
        <x:v>Быстрый</x:v>
      </x:c>
      <x:c r="M489" s="1" t="str">
        <x:f>IF('Данные'!E489&lt;'Дашборд'!$C$53,"Мало трафика",IF(J489&lt;'Дашборд'!$C$9*'Дашборд'!$C$54,"Да","Нет"))</x:f>
        <x:v>Да</x:v>
      </x:c>
      <x:c r="N489" s="1" t="str">
        <x:f>IF(AND('Данные'!D489&gt;='Дашборд'!$C$55,D489&lt;'Дашборд'!$C$56,'Данные'!E489&gt;='Дашборд'!$C$53,'Данные'!L489&lt;&gt;"Да"),"Да","Нет")</x:f>
        <x:v>Нет</x:v>
      </x:c>
      <x:c r="O489" s="1" t="str">
        <x:f>'Данные'!L489</x:f>
        <x:v>Нет</x:v>
      </x:c>
    </x:row>
    <x:row r="490">
      <x:c r="A490" s="1" t="str">
        <x:f>'Данные'!A490</x:f>
        <x:v>114725915</x:v>
      </x:c>
      <x:c r="B490" s="1" t="str">
        <x:f>'Данные'!B490</x:f>
        <x:v>futbolkaover/деним</x:v>
      </x:c>
      <x:c r="C490" s="8" t="n">
        <x:f>'Данные'!G490</x:f>
        <x:v>427993</x:v>
      </x:c>
      <x:c r="D490" s="15" t="n">
        <x:f>C490/SUM($C$5:$C$2477)</x:f>
        <x:v>0.0004999915356356963</x:v>
      </x:c>
      <x:c r="E490" s="15" t="n">
        <x:f>SUM($D$5:D490)</x:f>
        <x:v>0.8223197082254963</x:v>
      </x:c>
      <x:c r="F490" s="1" t="str">
        <x:f>IF(C490&lt;=0,"C",IF(E490-D490&lt;'Дашборд'!$C$49,"A",IF(E490-D490&lt;'Дашборд'!$C$50,"B","C")))</x:f>
        <x:v>B</x:v>
      </x:c>
      <x:c r="G490" s="8" t="n">
        <x:f>'Данные'!F490</x:f>
        <x:v>1027</x:v>
      </x:c>
      <x:c r="H490" s="8" t="n">
        <x:f>SUM('Данные'!H490:I490)</x:f>
        <x:v>2435</x:v>
      </x:c>
      <x:c r="I490" s="16" t="n">
        <x:f>IF(H490&gt;0,G490/H490,"n.a.")</x:f>
        <x:v>0.42176591375770023</x:v>
      </x:c>
      <x:c r="J490" s="10" t="n">
        <x:f>IF('Данные'!E490&gt;0,G490/'Данные'!E490,"n.a.")</x:f>
        <x:v>0.015301865427021872</x:v>
      </x:c>
      <x:c r="K490" s="1" t="str">
        <x:f>IF(G490&gt;='Дашборд'!$C$51,"X","Z")</x:f>
        <x:v>X</x:v>
      </x:c>
      <x:c r="L490" s="1" t="str">
        <x:f>IF(H490=0,IF(G490&gt;0,"Нет остатка","Нет спроса"),IF(I490&gt;='Дашборд'!$C$52,"Быстрый","Медленный"))</x:f>
        <x:v>Медленный</x:v>
      </x:c>
      <x:c r="M490" s="1" t="str">
        <x:f>IF('Данные'!E490&lt;'Дашборд'!$C$53,"Мало трафика",IF(J490&lt;'Дашборд'!$C$9*'Дашборд'!$C$54,"Да","Нет"))</x:f>
        <x:v>Нет</x:v>
      </x:c>
      <x:c r="N490" s="1" t="str">
        <x:f>IF(AND('Данные'!D490&gt;='Дашборд'!$C$55,D490&lt;'Дашборд'!$C$56,'Данные'!E490&gt;='Дашборд'!$C$53,'Данные'!L490&lt;&gt;"Да"),"Да","Нет")</x:f>
        <x:v>Да</x:v>
      </x:c>
      <x:c r="O490" s="1" t="str">
        <x:f>'Данные'!L490</x:f>
        <x:v>Нет</x:v>
      </x:c>
    </x:row>
    <x:row r="491">
      <x:c r="A491" s="1" t="str">
        <x:f>'Данные'!A491</x:f>
        <x:v>251152857</x:v>
      </x:c>
      <x:c r="B491" s="1" t="str">
        <x:f>'Данные'!B491</x:f>
        <x:v>hudivish/SanRemo-23в/молочный</x:v>
      </x:c>
      <x:c r="C491" s="8" t="n">
        <x:f>'Данные'!G491</x:f>
        <x:v>425999</x:v>
      </x:c>
      <x:c r="D491" s="15" t="n">
        <x:f>C491/SUM($C$5:$C$2477)</x:f>
        <x:v>0.000497662097719521</x:v>
      </x:c>
      <x:c r="E491" s="15" t="n">
        <x:f>SUM($D$5:D491)</x:f>
        <x:v>0.8228173703232158</x:v>
      </x:c>
      <x:c r="F491" s="1" t="str">
        <x:f>IF(C491&lt;=0,"C",IF(E491-D491&lt;'Дашборд'!$C$49,"A",IF(E491-D491&lt;'Дашборд'!$C$50,"B","C")))</x:f>
        <x:v>B</x:v>
      </x:c>
      <x:c r="G491" s="8" t="n">
        <x:f>'Данные'!F491</x:f>
        <x:v>453</x:v>
      </x:c>
      <x:c r="H491" s="8" t="n">
        <x:f>SUM('Данные'!H491:I491)</x:f>
        <x:v>176</x:v>
      </x:c>
      <x:c r="I491" s="16" t="n">
        <x:f>IF(H491&gt;0,G491/H491,"n.a.")</x:f>
        <x:v>2.5738636363636362</x:v>
      </x:c>
      <x:c r="J491" s="10" t="n">
        <x:f>IF('Данные'!E491&gt;0,G491/'Данные'!E491,"n.a.")</x:f>
        <x:v>0.008114643976712943</x:v>
      </x:c>
      <x:c r="K491" s="1" t="str">
        <x:f>IF(G491&gt;='Дашборд'!$C$51,"X","Z")</x:f>
        <x:v>X</x:v>
      </x:c>
      <x:c r="L491" s="1" t="str">
        <x:f>IF(H491=0,IF(G491&gt;0,"Нет остатка","Нет спроса"),IF(I491&gt;='Дашборд'!$C$52,"Быстрый","Медленный"))</x:f>
        <x:v>Быстрый</x:v>
      </x:c>
      <x:c r="M491" s="1" t="str">
        <x:f>IF('Данные'!E491&lt;'Дашборд'!$C$53,"Мало трафика",IF(J491&lt;'Дашборд'!$C$9*'Дашборд'!$C$54,"Да","Нет"))</x:f>
        <x:v>Да</x:v>
      </x:c>
      <x:c r="N491" s="1" t="str">
        <x:f>IF(AND('Данные'!D491&gt;='Дашборд'!$C$55,D491&lt;'Дашборд'!$C$56,'Данные'!E491&gt;='Дашборд'!$C$53,'Данные'!L491&lt;&gt;"Да"),"Да","Нет")</x:f>
        <x:v>Да</x:v>
      </x:c>
      <x:c r="O491" s="1" t="str">
        <x:f>'Данные'!L491</x:f>
        <x:v>Нет</x:v>
      </x:c>
    </x:row>
    <x:row r="492">
      <x:c r="A492" s="1" t="str">
        <x:f>'Данные'!A492</x:f>
        <x:v>79438984</x:v>
      </x:c>
      <x:c r="B492" s="1" t="str">
        <x:f>'Данные'!B492</x:f>
        <x:v>futbolkaover/зеленосерый</x:v>
      </x:c>
      <x:c r="C492" s="8" t="n">
        <x:f>'Данные'!G492</x:f>
        <x:v>424644</x:v>
      </x:c>
      <x:c r="D492" s="15" t="n">
        <x:f>C492/SUM($C$5:$C$2477)</x:f>
        <x:v>0.0004960791547022605</x:v>
      </x:c>
      <x:c r="E492" s="15" t="n">
        <x:f>SUM($D$5:D492)</x:f>
        <x:v>0.8233134494779181</x:v>
      </x:c>
      <x:c r="F492" s="1" t="str">
        <x:f>IF(C492&lt;=0,"C",IF(E492-D492&lt;'Дашборд'!$C$49,"A",IF(E492-D492&lt;'Дашборд'!$C$50,"B","C")))</x:f>
        <x:v>B</x:v>
      </x:c>
      <x:c r="G492" s="8" t="n">
        <x:f>'Данные'!F492</x:f>
        <x:v>822</x:v>
      </x:c>
      <x:c r="H492" s="8" t="n">
        <x:f>SUM('Данные'!H492:I492)</x:f>
        <x:v>1250</x:v>
      </x:c>
      <x:c r="I492" s="16" t="n">
        <x:f>IF(H492&gt;0,G492/H492,"n.a.")</x:f>
        <x:v>0.6576</x:v>
      </x:c>
      <x:c r="J492" s="10" t="n">
        <x:f>IF('Данные'!E492&gt;0,G492/'Данные'!E492,"n.a.")</x:f>
        <x:v>0.014464700499753642</x:v>
      </x:c>
      <x:c r="K492" s="1" t="str">
        <x:f>IF(G492&gt;='Дашборд'!$C$51,"X","Z")</x:f>
        <x:v>X</x:v>
      </x:c>
      <x:c r="L492" s="1" t="str">
        <x:f>IF(H492=0,IF(G492&gt;0,"Нет остатка","Нет спроса"),IF(I492&gt;='Дашборд'!$C$52,"Быстрый","Медленный"))</x:f>
        <x:v>Медленный</x:v>
      </x:c>
      <x:c r="M492" s="1" t="str">
        <x:f>IF('Данные'!E492&lt;'Дашборд'!$C$53,"Мало трафика",IF(J492&lt;'Дашборд'!$C$9*'Дашборд'!$C$54,"Да","Нет"))</x:f>
        <x:v>Нет</x:v>
      </x:c>
      <x:c r="N492" s="1" t="str">
        <x:f>IF(AND('Данные'!D492&gt;='Дашборд'!$C$55,D492&lt;'Дашборд'!$C$56,'Данные'!E492&gt;='Дашборд'!$C$53,'Данные'!L492&lt;&gt;"Да"),"Да","Нет")</x:f>
        <x:v>Да</x:v>
      </x:c>
      <x:c r="O492" s="1" t="str">
        <x:f>'Данные'!L492</x:f>
        <x:v>Нет</x:v>
      </x:c>
    </x:row>
    <x:row r="493">
      <x:c r="A493" s="1" t="str">
        <x:f>'Данные'!A493</x:f>
        <x:v>193100127</x:v>
      </x:c>
      <x:c r="B493" s="1" t="str">
        <x:f>'Данные'!B493</x:f>
        <x:v>svitshotzip1/серый</x:v>
      </x:c>
      <x:c r="C493" s="8" t="n">
        <x:f>'Данные'!G493</x:f>
        <x:v>423223</x:v>
      </x:c>
      <x:c r="D493" s="15" t="n">
        <x:f>C493/SUM($C$5:$C$2477)</x:f>
        <x:v>0.0004944191089254877</x:v>
      </x:c>
      <x:c r="E493" s="15" t="n">
        <x:f>SUM($D$5:D493)</x:f>
        <x:v>0.8238078685868435</x:v>
      </x:c>
      <x:c r="F493" s="1" t="str">
        <x:f>IF(C493&lt;=0,"C",IF(E493-D493&lt;'Дашборд'!$C$49,"A",IF(E493-D493&lt;'Дашборд'!$C$50,"B","C")))</x:f>
        <x:v>B</x:v>
      </x:c>
      <x:c r="G493" s="8" t="n">
        <x:f>'Данные'!F493</x:f>
        <x:v>654</x:v>
      </x:c>
      <x:c r="H493" s="8" t="n">
        <x:f>SUM('Данные'!H493:I493)</x:f>
        <x:v>433</x:v>
      </x:c>
      <x:c r="I493" s="16" t="n">
        <x:f>IF(H493&gt;0,G493/H493,"n.a.")</x:f>
        <x:v>1.510392609699769</x:v>
      </x:c>
      <x:c r="J493" s="10" t="n">
        <x:f>IF('Данные'!E493&gt;0,G493/'Данные'!E493,"n.a.")</x:f>
        <x:v>0.00978675645342312</x:v>
      </x:c>
      <x:c r="K493" s="1" t="str">
        <x:f>IF(G493&gt;='Дашборд'!$C$51,"X","Z")</x:f>
        <x:v>X</x:v>
      </x:c>
      <x:c r="L493" s="1" t="str">
        <x:f>IF(H493=0,IF(G493&gt;0,"Нет остатка","Нет спроса"),IF(I493&gt;='Дашборд'!$C$52,"Быстрый","Медленный"))</x:f>
        <x:v>Быстрый</x:v>
      </x:c>
      <x:c r="M493" s="1" t="str">
        <x:f>IF('Данные'!E493&lt;'Дашборд'!$C$53,"Мало трафика",IF(J493&lt;'Дашборд'!$C$9*'Дашборд'!$C$54,"Да","Нет"))</x:f>
        <x:v>Да</x:v>
      </x:c>
      <x:c r="N493" s="1" t="str">
        <x:f>IF(AND('Данные'!D493&gt;='Дашборд'!$C$55,D493&lt;'Дашборд'!$C$56,'Данные'!E493&gt;='Дашборд'!$C$53,'Данные'!L493&lt;&gt;"Да"),"Да","Нет")</x:f>
        <x:v>Да</x:v>
      </x:c>
      <x:c r="O493" s="1" t="str">
        <x:f>'Данные'!L493</x:f>
        <x:v>Нет</x:v>
      </x:c>
    </x:row>
    <x:row r="494">
      <x:c r="A494" s="1" t="str">
        <x:f>'Данные'!A494</x:f>
        <x:v>320401320</x:v>
      </x:c>
      <x:c r="B494" s="1" t="str">
        <x:f>'Данные'!B494</x:f>
        <x:v>futbolkaprint/Rome-237/бордовый</x:v>
      </x:c>
      <x:c r="C494" s="8" t="n">
        <x:f>'Данные'!G494</x:f>
        <x:v>421524</x:v>
      </x:c>
      <x:c r="D494" s="15" t="n">
        <x:f>C494/SUM($C$5:$C$2477)</x:f>
        <x:v>0.00049243429697986</x:v>
      </x:c>
      <x:c r="E494" s="15" t="n">
        <x:f>SUM($D$5:D494)</x:f>
        <x:v>0.8243003028838234</x:v>
      </x:c>
      <x:c r="F494" s="1" t="str">
        <x:f>IF(C494&lt;=0,"C",IF(E494-D494&lt;'Дашборд'!$C$49,"A",IF(E494-D494&lt;'Дашборд'!$C$50,"B","C")))</x:f>
        <x:v>B</x:v>
      </x:c>
      <x:c r="G494" s="8" t="n">
        <x:f>'Данные'!F494</x:f>
        <x:v>728</x:v>
      </x:c>
      <x:c r="H494" s="8" t="n">
        <x:f>SUM('Данные'!H494:I494)</x:f>
        <x:v>178</x:v>
      </x:c>
      <x:c r="I494" s="16" t="n">
        <x:f>IF(H494&gt;0,G494/H494,"n.a.")</x:f>
        <x:v>4.089887640449438</x:v>
      </x:c>
      <x:c r="J494" s="10" t="n">
        <x:f>IF('Данные'!E494&gt;0,G494/'Данные'!E494,"n.a.")</x:f>
        <x:v>0.0112648160183208</x:v>
      </x:c>
      <x:c r="K494" s="1" t="str">
        <x:f>IF(G494&gt;='Дашборд'!$C$51,"X","Z")</x:f>
        <x:v>X</x:v>
      </x:c>
      <x:c r="L494" s="1" t="str">
        <x:f>IF(H494=0,IF(G494&gt;0,"Нет остатка","Нет спроса"),IF(I494&gt;='Дашборд'!$C$52,"Быстрый","Медленный"))</x:f>
        <x:v>Быстрый</x:v>
      </x:c>
      <x:c r="M494" s="1" t="str">
        <x:f>IF('Данные'!E494&lt;'Дашборд'!$C$53,"Мало трафика",IF(J494&lt;'Дашборд'!$C$9*'Дашборд'!$C$54,"Да","Нет"))</x:f>
        <x:v>Нет</x:v>
      </x:c>
      <x:c r="N494" s="1" t="str">
        <x:f>IF(AND('Данные'!D494&gt;='Дашборд'!$C$55,D494&lt;'Дашборд'!$C$56,'Данные'!E494&gt;='Дашборд'!$C$53,'Данные'!L494&lt;&gt;"Да"),"Да","Нет")</x:f>
        <x:v>Да</x:v>
      </x:c>
      <x:c r="O494" s="1" t="str">
        <x:f>'Данные'!L494</x:f>
        <x:v>Нет</x:v>
      </x:c>
    </x:row>
    <x:row r="495">
      <x:c r="A495" s="1" t="str">
        <x:f>'Данные'!A495</x:f>
        <x:v>145845804</x:v>
      </x:c>
      <x:c r="B495" s="1" t="str">
        <x:f>'Данные'!B495</x:f>
        <x:v>svitshotman/бежевый</x:v>
      </x:c>
      <x:c r="C495" s="8" t="n">
        <x:f>'Данные'!G495</x:f>
        <x:v>419708</x:v>
      </x:c>
      <x:c r="D495" s="15" t="n">
        <x:f>C495/SUM($C$5:$C$2477)</x:f>
        <x:v>0.0004903128028696423</x:v>
      </x:c>
      <x:c r="E495" s="15" t="n">
        <x:f>SUM($D$5:D495)</x:f>
        <x:v>0.824790615686693</x:v>
      </x:c>
      <x:c r="F495" s="1" t="str">
        <x:f>IF(C495&lt;=0,"C",IF(E495-D495&lt;'Дашборд'!$C$49,"A",IF(E495-D495&lt;'Дашборд'!$C$50,"B","C")))</x:f>
        <x:v>B</x:v>
      </x:c>
      <x:c r="G495" s="8" t="n">
        <x:f>'Данные'!F495</x:f>
        <x:v>636</x:v>
      </x:c>
      <x:c r="H495" s="8" t="n">
        <x:f>SUM('Данные'!H495:I495)</x:f>
        <x:v>604</x:v>
      </x:c>
      <x:c r="I495" s="16" t="n">
        <x:f>IF(H495&gt;0,G495/H495,"n.a.")</x:f>
        <x:v>1.0529801324503312</x:v>
      </x:c>
      <x:c r="J495" s="10" t="n">
        <x:f>IF('Данные'!E495&gt;0,G495/'Данные'!E495,"n.a.")</x:f>
        <x:v>0.019389652754489194</x:v>
      </x:c>
      <x:c r="K495" s="1" t="str">
        <x:f>IF(G495&gt;='Дашборд'!$C$51,"X","Z")</x:f>
        <x:v>X</x:v>
      </x:c>
      <x:c r="L495" s="1" t="str">
        <x:f>IF(H495=0,IF(G495&gt;0,"Нет остатка","Нет спроса"),IF(I495&gt;='Дашборд'!$C$52,"Быстрый","Медленный"))</x:f>
        <x:v>Быстрый</x:v>
      </x:c>
      <x:c r="M495" s="1" t="str">
        <x:f>IF('Данные'!E495&lt;'Дашборд'!$C$53,"Мало трафика",IF(J495&lt;'Дашборд'!$C$9*'Дашборд'!$C$54,"Да","Нет"))</x:f>
        <x:v>Нет</x:v>
      </x:c>
      <x:c r="N495" s="1" t="str">
        <x:f>IF(AND('Данные'!D495&gt;='Дашборд'!$C$55,D495&lt;'Дашборд'!$C$56,'Данные'!E495&gt;='Дашборд'!$C$53,'Данные'!L495&lt;&gt;"Да"),"Да","Нет")</x:f>
        <x:v>Да</x:v>
      </x:c>
      <x:c r="O495" s="1" t="str">
        <x:f>'Данные'!L495</x:f>
        <x:v>Нет</x:v>
      </x:c>
    </x:row>
    <x:row r="496">
      <x:c r="A496" s="1" t="str">
        <x:f>'Данные'!A496</x:f>
        <x:v>368704656</x:v>
      </x:c>
      <x:c r="B496" s="1" t="str">
        <x:f>'Данные'!B496</x:f>
        <x:v>futskimsX2/роз-мол</x:v>
      </x:c>
      <x:c r="C496" s="8" t="n">
        <x:f>'Данные'!G496</x:f>
        <x:v>418001</x:v>
      </x:c>
      <x:c r="D496" s="15" t="n">
        <x:f>C496/SUM($C$5:$C$2477)</x:f>
        <x:v>0.0004883186451349827</x:v>
      </x:c>
      <x:c r="E496" s="15" t="n">
        <x:f>SUM($D$5:D496)</x:f>
        <x:v>0.825278934331828</x:v>
      </x:c>
      <x:c r="F496" s="1" t="str">
        <x:f>IF(C496&lt;=0,"C",IF(E496-D496&lt;'Дашборд'!$C$49,"A",IF(E496-D496&lt;'Дашборд'!$C$50,"B","C")))</x:f>
        <x:v>B</x:v>
      </x:c>
      <x:c r="G496" s="8" t="n">
        <x:f>'Данные'!F496</x:f>
        <x:v>452</x:v>
      </x:c>
      <x:c r="H496" s="8" t="n">
        <x:f>SUM('Данные'!H496:I496)</x:f>
        <x:v>101</x:v>
      </x:c>
      <x:c r="I496" s="16" t="n">
        <x:f>IF(H496&gt;0,G496/H496,"n.a.")</x:f>
        <x:v>4.475247524752476</x:v>
      </x:c>
      <x:c r="J496" s="10" t="n">
        <x:f>IF('Данные'!E496&gt;0,G496/'Данные'!E496,"n.a.")</x:f>
        <x:v>0.013287473910103771</x:v>
      </x:c>
      <x:c r="K496" s="1" t="str">
        <x:f>IF(G496&gt;='Дашборд'!$C$51,"X","Z")</x:f>
        <x:v>X</x:v>
      </x:c>
      <x:c r="L496" s="1" t="str">
        <x:f>IF(H496=0,IF(G496&gt;0,"Нет остатка","Нет спроса"),IF(I496&gt;='Дашборд'!$C$52,"Быстрый","Медленный"))</x:f>
        <x:v>Быстрый</x:v>
      </x:c>
      <x:c r="M496" s="1" t="str">
        <x:f>IF('Данные'!E496&lt;'Дашборд'!$C$53,"Мало трафика",IF(J496&lt;'Дашборд'!$C$9*'Дашборд'!$C$54,"Да","Нет"))</x:f>
        <x:v>Нет</x:v>
      </x:c>
      <x:c r="N496" s="1" t="str">
        <x:f>IF(AND('Данные'!D496&gt;='Дашборд'!$C$55,D496&lt;'Дашборд'!$C$56,'Данные'!E496&gt;='Дашборд'!$C$53,'Данные'!L496&lt;&gt;"Да"),"Да","Нет")</x:f>
        <x:v>Нет</x:v>
      </x:c>
      <x:c r="O496" s="1" t="str">
        <x:f>'Данные'!L496</x:f>
        <x:v>Нет</x:v>
      </x:c>
    </x:row>
    <x:row r="497">
      <x:c r="A497" s="1" t="str">
        <x:f>'Данные'!A497</x:f>
        <x:v>289092414</x:v>
      </x:c>
      <x:c r="B497" s="1" t="str">
        <x:f>'Данные'!B497</x:f>
        <x:v>hudicropman4F-67/черный</x:v>
      </x:c>
      <x:c r="C497" s="8" t="n">
        <x:f>'Данные'!G497</x:f>
        <x:v>416743</x:v>
      </x:c>
      <x:c r="D497" s="15" t="n">
        <x:f>C497/SUM($C$5:$C$2477)</x:f>
        <x:v>0.0004868490198097328</x:v>
      </x:c>
      <x:c r="E497" s="15" t="n">
        <x:f>SUM($D$5:D497)</x:f>
        <x:v>0.8257657833516377</x:v>
      </x:c>
      <x:c r="F497" s="1" t="str">
        <x:f>IF(C497&lt;=0,"C",IF(E497-D497&lt;'Дашборд'!$C$49,"A",IF(E497-D497&lt;'Дашборд'!$C$50,"B","C")))</x:f>
        <x:v>B</x:v>
      </x:c>
      <x:c r="G497" s="8" t="n">
        <x:f>'Данные'!F497</x:f>
        <x:v>363</x:v>
      </x:c>
      <x:c r="H497" s="8" t="n">
        <x:f>SUM('Данные'!H497:I497)</x:f>
        <x:v>0</x:v>
      </x:c>
      <x:c r="I497" s="16" t="str">
        <x:f>IF(H497&gt;0,G497/H497,"n.a.")</x:f>
        <x:v>n.a.</x:v>
      </x:c>
      <x:c r="J497" s="10" t="n">
        <x:f>IF('Данные'!E497&gt;0,G497/'Данные'!E497,"n.a.")</x:f>
        <x:v>0.02320823476759798</x:v>
      </x:c>
      <x:c r="K497" s="1" t="str">
        <x:f>IF(G497&gt;='Дашборд'!$C$51,"X","Z")</x:f>
        <x:v>X</x:v>
      </x:c>
      <x:c r="L497" s="1" t="str">
        <x:f>IF(H497=0,IF(G497&gt;0,"Нет остатка","Нет спроса"),IF(I497&gt;='Дашборд'!$C$52,"Быстрый","Медленный"))</x:f>
        <x:v>Нет остатка</x:v>
      </x:c>
      <x:c r="M497" s="1" t="str">
        <x:f>IF('Данные'!E497&lt;'Дашборд'!$C$53,"Мало трафика",IF(J497&lt;'Дашборд'!$C$9*'Дашборд'!$C$54,"Да","Нет"))</x:f>
        <x:v>Нет</x:v>
      </x:c>
      <x:c r="N497" s="1" t="str">
        <x:f>IF(AND('Данные'!D497&gt;='Дашборд'!$C$55,D497&lt;'Дашборд'!$C$56,'Данные'!E497&gt;='Дашборд'!$C$53,'Данные'!L497&lt;&gt;"Да"),"Да","Нет")</x:f>
        <x:v>Да</x:v>
      </x:c>
      <x:c r="O497" s="1" t="str">
        <x:f>'Данные'!L497</x:f>
        <x:v>Нет</x:v>
      </x:c>
    </x:row>
    <x:row r="498">
      <x:c r="A498" s="1" t="str">
        <x:f>'Данные'!A498</x:f>
        <x:v>234287044</x:v>
      </x:c>
      <x:c r="B498" s="1" t="str">
        <x:f>'Данные'!B498</x:f>
        <x:v>hudimanpetl/серыймеланж2</x:v>
      </x:c>
      <x:c r="C498" s="8" t="n">
        <x:f>'Данные'!G498</x:f>
        <x:v>416517</x:v>
      </x:c>
      <x:c r="D498" s="15" t="n">
        <x:f>C498/SUM($C$5:$C$2477)</x:f>
        <x:v>0.0004865850012695845</x:v>
      </x:c>
      <x:c r="E498" s="15" t="n">
        <x:f>SUM($D$5:D498)</x:f>
        <x:v>0.8262523683529074</x:v>
      </x:c>
      <x:c r="F498" s="1" t="str">
        <x:f>IF(C498&lt;=0,"C",IF(E498-D498&lt;'Дашборд'!$C$49,"A",IF(E498-D498&lt;'Дашборд'!$C$50,"B","C")))</x:f>
        <x:v>B</x:v>
      </x:c>
      <x:c r="G498" s="8" t="n">
        <x:f>'Данные'!F498</x:f>
        <x:v>417</x:v>
      </x:c>
      <x:c r="H498" s="8" t="n">
        <x:f>SUM('Данные'!H498:I498)</x:f>
        <x:v>223</x:v>
      </x:c>
      <x:c r="I498" s="16" t="n">
        <x:f>IF(H498&gt;0,G498/H498,"n.a.")</x:f>
        <x:v>1.8699551569506727</x:v>
      </x:c>
      <x:c r="J498" s="10" t="n">
        <x:f>IF('Данные'!E498&gt;0,G498/'Данные'!E498,"n.a.")</x:f>
        <x:v>0.029679715302491104</x:v>
      </x:c>
      <x:c r="K498" s="1" t="str">
        <x:f>IF(G498&gt;='Дашборд'!$C$51,"X","Z")</x:f>
        <x:v>X</x:v>
      </x:c>
      <x:c r="L498" s="1" t="str">
        <x:f>IF(H498=0,IF(G498&gt;0,"Нет остатка","Нет спроса"),IF(I498&gt;='Дашборд'!$C$52,"Быстрый","Медленный"))</x:f>
        <x:v>Быстрый</x:v>
      </x:c>
      <x:c r="M498" s="1" t="str">
        <x:f>IF('Данные'!E498&lt;'Дашборд'!$C$53,"Мало трафика",IF(J498&lt;'Дашборд'!$C$9*'Дашборд'!$C$54,"Да","Нет"))</x:f>
        <x:v>Нет</x:v>
      </x:c>
      <x:c r="N498" s="1" t="str">
        <x:f>IF(AND('Данные'!D498&gt;='Дашборд'!$C$55,D498&lt;'Дашборд'!$C$56,'Данные'!E498&gt;='Дашборд'!$C$53,'Данные'!L498&lt;&gt;"Да"),"Да","Нет")</x:f>
        <x:v>Нет</x:v>
      </x:c>
      <x:c r="O498" s="1" t="str">
        <x:f>'Данные'!L498</x:f>
        <x:v>Нет</x:v>
      </x:c>
    </x:row>
    <x:row r="499">
      <x:c r="A499" s="1" t="str">
        <x:f>'Данные'!A499</x:f>
        <x:v>113255136</x:v>
      </x:c>
      <x:c r="B499" s="1" t="str">
        <x:f>'Данные'!B499</x:f>
        <x:v>kroptop/хаки</x:v>
      </x:c>
      <x:c r="C499" s="8" t="n">
        <x:f>'Данные'!G499</x:f>
        <x:v>416465</x:v>
      </x:c>
      <x:c r="D499" s="15" t="n">
        <x:f>C499/SUM($C$5:$C$2477)</x:f>
        <x:v>0.0004865242536408779</x:v>
      </x:c>
      <x:c r="E499" s="15" t="n">
        <x:f>SUM($D$5:D499)</x:f>
        <x:v>0.8267388926065483</x:v>
      </x:c>
      <x:c r="F499" s="1" t="str">
        <x:f>IF(C499&lt;=0,"C",IF(E499-D499&lt;'Дашборд'!$C$49,"A",IF(E499-D499&lt;'Дашборд'!$C$50,"B","C")))</x:f>
        <x:v>B</x:v>
      </x:c>
      <x:c r="G499" s="8" t="n">
        <x:f>'Данные'!F499</x:f>
        <x:v>1058</x:v>
      </x:c>
      <x:c r="H499" s="8" t="n">
        <x:f>SUM('Данные'!H499:I499)</x:f>
        <x:v>1111</x:v>
      </x:c>
      <x:c r="I499" s="16" t="n">
        <x:f>IF(H499&gt;0,G499/H499,"n.a.")</x:f>
        <x:v>0.9522952295229523</x:v>
      </x:c>
      <x:c r="J499" s="10" t="n">
        <x:f>IF('Данные'!E499&gt;0,G499/'Данные'!E499,"n.a.")</x:f>
        <x:v>0.013768153661964499</x:v>
      </x:c>
      <x:c r="K499" s="1" t="str">
        <x:f>IF(G499&gt;='Дашборд'!$C$51,"X","Z")</x:f>
        <x:v>X</x:v>
      </x:c>
      <x:c r="L499" s="1" t="str">
        <x:f>IF(H499=0,IF(G499&gt;0,"Нет остатка","Нет спроса"),IF(I499&gt;='Дашборд'!$C$52,"Быстрый","Медленный"))</x:f>
        <x:v>Медленный</x:v>
      </x:c>
      <x:c r="M499" s="1" t="str">
        <x:f>IF('Данные'!E499&lt;'Дашборд'!$C$53,"Мало трафика",IF(J499&lt;'Дашборд'!$C$9*'Дашборд'!$C$54,"Да","Нет"))</x:f>
        <x:v>Нет</x:v>
      </x:c>
      <x:c r="N499" s="1" t="str">
        <x:f>IF(AND('Данные'!D499&gt;='Дашборд'!$C$55,D499&lt;'Дашборд'!$C$56,'Данные'!E499&gt;='Дашборд'!$C$53,'Данные'!L499&lt;&gt;"Да"),"Да","Нет")</x:f>
        <x:v>Нет</x:v>
      </x:c>
      <x:c r="O499" s="1" t="str">
        <x:f>'Данные'!L499</x:f>
        <x:v>Нет</x:v>
      </x:c>
    </x:row>
    <x:row r="500">
      <x:c r="A500" s="1" t="str">
        <x:f>'Данные'!A500</x:f>
        <x:v>333242664</x:v>
      </x:c>
      <x:c r="B500" s="1" t="str">
        <x:f>'Данные'!B500</x:f>
        <x:v>futbolkamanoverX3/чер-син-тсер</x:v>
      </x:c>
      <x:c r="C500" s="8" t="n">
        <x:f>'Данные'!G500</x:f>
        <x:v>416006</x:v>
      </x:c>
      <x:c r="D500" s="15" t="n">
        <x:f>C500/SUM($C$5:$C$2477)</x:f>
        <x:v>0.0004859880389951786</x:v>
      </x:c>
      <x:c r="E500" s="15" t="n">
        <x:f>SUM($D$5:D500)</x:f>
        <x:v>0.8272248806455434</x:v>
      </x:c>
      <x:c r="F500" s="1" t="str">
        <x:f>IF(C500&lt;=0,"C",IF(E500-D500&lt;'Дашборд'!$C$49,"A",IF(E500-D500&lt;'Дашборд'!$C$50,"B","C")))</x:f>
        <x:v>B</x:v>
      </x:c>
      <x:c r="G500" s="8" t="n">
        <x:f>'Данные'!F500</x:f>
        <x:v>356</x:v>
      </x:c>
      <x:c r="H500" s="8" t="n">
        <x:f>SUM('Данные'!H500:I500)</x:f>
        <x:v>38</x:v>
      </x:c>
      <x:c r="I500" s="16" t="n">
        <x:f>IF(H500&gt;0,G500/H500,"n.a.")</x:f>
        <x:v>9.368421052631579</x:v>
      </x:c>
      <x:c r="J500" s="10" t="n">
        <x:f>IF('Данные'!E500&gt;0,G500/'Данные'!E500,"n.a.")</x:f>
        <x:v>0.0079583305389757</x:v>
      </x:c>
      <x:c r="K500" s="1" t="str">
        <x:f>IF(G500&gt;='Дашборд'!$C$51,"X","Z")</x:f>
        <x:v>X</x:v>
      </x:c>
      <x:c r="L500" s="1" t="str">
        <x:f>IF(H500=0,IF(G500&gt;0,"Нет остатка","Нет спроса"),IF(I500&gt;='Дашборд'!$C$52,"Быстрый","Медленный"))</x:f>
        <x:v>Быстрый</x:v>
      </x:c>
      <x:c r="M500" s="1" t="str">
        <x:f>IF('Данные'!E500&lt;'Дашборд'!$C$53,"Мало трафика",IF(J500&lt;'Дашборд'!$C$9*'Дашборд'!$C$54,"Да","Нет"))</x:f>
        <x:v>Да</x:v>
      </x:c>
      <x:c r="N500" s="1" t="str">
        <x:f>IF(AND('Данные'!D500&gt;='Дашборд'!$C$55,D500&lt;'Дашборд'!$C$56,'Данные'!E500&gt;='Дашборд'!$C$53,'Данные'!L500&lt;&gt;"Да"),"Да","Нет")</x:f>
        <x:v>Нет</x:v>
      </x:c>
      <x:c r="O500" s="1" t="str">
        <x:f>'Данные'!L500</x:f>
        <x:v>Нет</x:v>
      </x:c>
    </x:row>
    <x:row r="501">
      <x:c r="A501" s="1" t="str">
        <x:f>'Данные'!A501</x:f>
        <x:v>297151795</x:v>
      </x:c>
      <x:c r="B501" s="1" t="str">
        <x:f>'Данные'!B501</x:f>
        <x:v>body3K-S-6/черный</x:v>
      </x:c>
      <x:c r="C501" s="8" t="n">
        <x:f>'Данные'!G501</x:f>
        <x:v>410495</x:v>
      </x:c>
      <x:c r="D501" s="15" t="n">
        <x:f>C501/SUM($C$5:$C$2477)</x:f>
        <x:v>0.00047954995857589993</x:v>
      </x:c>
      <x:c r="E501" s="15" t="n">
        <x:f>SUM($D$5:D501)</x:f>
        <x:v>0.8277044306041194</x:v>
      </x:c>
      <x:c r="F501" s="1" t="str">
        <x:f>IF(C501&lt;=0,"C",IF(E501-D501&lt;'Дашборд'!$C$49,"A",IF(E501-D501&lt;'Дашборд'!$C$50,"B","C")))</x:f>
        <x:v>B</x:v>
      </x:c>
      <x:c r="G501" s="8" t="n">
        <x:f>'Данные'!F501</x:f>
        <x:v>1014</x:v>
      </x:c>
      <x:c r="H501" s="8" t="n">
        <x:f>SUM('Данные'!H501:I501)</x:f>
        <x:v>766</x:v>
      </x:c>
      <x:c r="I501" s="16" t="n">
        <x:f>IF(H501&gt;0,G501/H501,"n.a.")</x:f>
        <x:v>1.3237597911227155</x:v>
      </x:c>
      <x:c r="J501" s="10" t="n">
        <x:f>IF('Данные'!E501&gt;0,G501/'Данные'!E501,"n.a.")</x:f>
        <x:v>0.014783065080475857</x:v>
      </x:c>
      <x:c r="K501" s="1" t="str">
        <x:f>IF(G501&gt;='Дашборд'!$C$51,"X","Z")</x:f>
        <x:v>X</x:v>
      </x:c>
      <x:c r="L501" s="1" t="str">
        <x:f>IF(H501=0,IF(G501&gt;0,"Нет остатка","Нет спроса"),IF(I501&gt;='Дашборд'!$C$52,"Быстрый","Медленный"))</x:f>
        <x:v>Быстрый</x:v>
      </x:c>
      <x:c r="M501" s="1" t="str">
        <x:f>IF('Данные'!E501&lt;'Дашборд'!$C$53,"Мало трафика",IF(J501&lt;'Дашборд'!$C$9*'Дашборд'!$C$54,"Да","Нет"))</x:f>
        <x:v>Нет</x:v>
      </x:c>
      <x:c r="N501" s="1" t="str">
        <x:f>IF(AND('Данные'!D501&gt;='Дашборд'!$C$55,D501&lt;'Дашборд'!$C$56,'Данные'!E501&gt;='Дашборд'!$C$53,'Данные'!L501&lt;&gt;"Да"),"Да","Нет")</x:f>
        <x:v>Нет</x:v>
      </x:c>
      <x:c r="O501" s="1" t="str">
        <x:f>'Данные'!L501</x:f>
        <x:v>Нет</x:v>
      </x:c>
    </x:row>
    <x:row r="502">
      <x:c r="A502" s="1" t="str">
        <x:f>'Данные'!A502</x:f>
        <x:v>145845821</x:v>
      </x:c>
      <x:c r="B502" s="1" t="str">
        <x:f>'Данные'!B502</x:f>
        <x:v>svitshotman/изумрудно-зеленый</x:v>
      </x:c>
      <x:c r="C502" s="8" t="n">
        <x:f>'Данные'!G502</x:f>
        <x:v>409432</x:v>
      </x:c>
      <x:c r="D502" s="15" t="n">
        <x:f>C502/SUM($C$5:$C$2477)</x:f>
        <x:v>0.0004783081368583</x:v>
      </x:c>
      <x:c r="E502" s="15" t="n">
        <x:f>SUM($D$5:D502)</x:f>
        <x:v>0.8281827387409777</x:v>
      </x:c>
      <x:c r="F502" s="1" t="str">
        <x:f>IF(C502&lt;=0,"C",IF(E502-D502&lt;'Дашборд'!$C$49,"A",IF(E502-D502&lt;'Дашборд'!$C$50,"B","C")))</x:f>
        <x:v>B</x:v>
      </x:c>
      <x:c r="G502" s="8" t="n">
        <x:f>'Данные'!F502</x:f>
        <x:v>403</x:v>
      </x:c>
      <x:c r="H502" s="8" t="n">
        <x:f>SUM('Данные'!H502:I502)</x:f>
        <x:v>97</x:v>
      </x:c>
      <x:c r="I502" s="16" t="n">
        <x:f>IF(H502&gt;0,G502/H502,"n.a.")</x:f>
        <x:v>4.154639175257732</x:v>
      </x:c>
      <x:c r="J502" s="10" t="n">
        <x:f>IF('Данные'!E502&gt;0,G502/'Данные'!E502,"n.a.")</x:f>
        <x:v>0.026581360068597057</x:v>
      </x:c>
      <x:c r="K502" s="1" t="str">
        <x:f>IF(G502&gt;='Дашборд'!$C$51,"X","Z")</x:f>
        <x:v>X</x:v>
      </x:c>
      <x:c r="L502" s="1" t="str">
        <x:f>IF(H502=0,IF(G502&gt;0,"Нет остатка","Нет спроса"),IF(I502&gt;='Дашборд'!$C$52,"Быстрый","Медленный"))</x:f>
        <x:v>Быстрый</x:v>
      </x:c>
      <x:c r="M502" s="1" t="str">
        <x:f>IF('Данные'!E502&lt;'Дашборд'!$C$53,"Мало трафика",IF(J502&lt;'Дашборд'!$C$9*'Дашборд'!$C$54,"Да","Нет"))</x:f>
        <x:v>Нет</x:v>
      </x:c>
      <x:c r="N502" s="1" t="str">
        <x:f>IF(AND('Данные'!D502&gt;='Дашборд'!$C$55,D502&lt;'Дашборд'!$C$56,'Данные'!E502&gt;='Дашборд'!$C$53,'Данные'!L502&lt;&gt;"Да"),"Да","Нет")</x:f>
        <x:v>Да</x:v>
      </x:c>
      <x:c r="O502" s="1" t="str">
        <x:f>'Данные'!L502</x:f>
        <x:v>Нет</x:v>
      </x:c>
    </x:row>
    <x:row r="503">
      <x:c r="A503" s="1" t="str">
        <x:f>'Данные'!A503</x:f>
        <x:v>175116962</x:v>
      </x:c>
      <x:c r="B503" s="1" t="str">
        <x:f>'Данные'!B503</x:f>
        <x:v>reglanman/дымка</x:v>
      </x:c>
      <x:c r="C503" s="8" t="n">
        <x:f>'Данные'!G503</x:f>
        <x:v>408670</x:v>
      </x:c>
      <x:c r="D503" s="15" t="n">
        <x:f>C503/SUM($C$5:$C$2477)</x:f>
        <x:v>0.0004774179504530214</x:v>
      </x:c>
      <x:c r="E503" s="15" t="n">
        <x:f>SUM($D$5:D503)</x:f>
        <x:v>0.8286601566914307</x:v>
      </x:c>
      <x:c r="F503" s="1" t="str">
        <x:f>IF(C503&lt;=0,"C",IF(E503-D503&lt;'Дашборд'!$C$49,"A",IF(E503-D503&lt;'Дашборд'!$C$50,"B","C")))</x:f>
        <x:v>B</x:v>
      </x:c>
      <x:c r="G503" s="8" t="n">
        <x:f>'Данные'!F503</x:f>
        <x:v>776</x:v>
      </x:c>
      <x:c r="H503" s="8" t="n">
        <x:f>SUM('Данные'!H503:I503)</x:f>
        <x:v>247</x:v>
      </x:c>
      <x:c r="I503" s="16" t="n">
        <x:f>IF(H503&gt;0,G503/H503,"n.a.")</x:f>
        <x:v>3.1417004048582995</x:v>
      </x:c>
      <x:c r="J503" s="10" t="n">
        <x:f>IF('Данные'!E503&gt;0,G503/'Данные'!E503,"n.a.")</x:f>
        <x:v>0.030295931912235497</x:v>
      </x:c>
      <x:c r="K503" s="1" t="str">
        <x:f>IF(G503&gt;='Дашборд'!$C$51,"X","Z")</x:f>
        <x:v>X</x:v>
      </x:c>
      <x:c r="L503" s="1" t="str">
        <x:f>IF(H503=0,IF(G503&gt;0,"Нет остатка","Нет спроса"),IF(I503&gt;='Дашборд'!$C$52,"Быстрый","Медленный"))</x:f>
        <x:v>Быстрый</x:v>
      </x:c>
      <x:c r="M503" s="1" t="str">
        <x:f>IF('Данные'!E503&lt;'Дашборд'!$C$53,"Мало трафика",IF(J503&lt;'Дашборд'!$C$9*'Дашборд'!$C$54,"Да","Нет"))</x:f>
        <x:v>Нет</x:v>
      </x:c>
      <x:c r="N503" s="1" t="str">
        <x:f>IF(AND('Данные'!D503&gt;='Дашборд'!$C$55,D503&lt;'Дашборд'!$C$56,'Данные'!E503&gt;='Дашборд'!$C$53,'Данные'!L503&lt;&gt;"Да"),"Да","Нет")</x:f>
        <x:v>Нет</x:v>
      </x:c>
      <x:c r="O503" s="1" t="str">
        <x:f>'Данные'!L503</x:f>
        <x:v>Нет</x:v>
      </x:c>
    </x:row>
    <x:row r="504">
      <x:c r="A504" s="1" t="str">
        <x:f>'Данные'!A504</x:f>
        <x:v>333104134</x:v>
      </x:c>
      <x:c r="B504" s="1" t="str">
        <x:f>'Данные'!B504</x:f>
        <x:v>topbando/какао</x:v>
      </x:c>
      <x:c r="C504" s="8" t="n">
        <x:f>'Данные'!G504</x:f>
        <x:v>408396</x:v>
      </x:c>
      <x:c r="D504" s="15" t="n">
        <x:f>C504/SUM($C$5:$C$2477)</x:f>
        <x:v>0.00047709785717868237</x:v>
      </x:c>
      <x:c r="E504" s="15" t="n">
        <x:f>SUM($D$5:D504)</x:f>
        <x:v>0.8291372545486093</x:v>
      </x:c>
      <x:c r="F504" s="1" t="str">
        <x:f>IF(C504&lt;=0,"C",IF(E504-D504&lt;'Дашборд'!$C$49,"A",IF(E504-D504&lt;'Дашборд'!$C$50,"B","C")))</x:f>
        <x:v>B</x:v>
      </x:c>
      <x:c r="G504" s="8" t="n">
        <x:f>'Данные'!F504</x:f>
        <x:v>1527</x:v>
      </x:c>
      <x:c r="H504" s="8" t="n">
        <x:f>SUM('Данные'!H504:I504)</x:f>
        <x:v>69</x:v>
      </x:c>
      <x:c r="I504" s="16" t="n">
        <x:f>IF(H504&gt;0,G504/H504,"n.a.")</x:f>
        <x:v>22.130434782608695</x:v>
      </x:c>
      <x:c r="J504" s="10" t="n">
        <x:f>IF('Данные'!E504&gt;0,G504/'Данные'!E504,"n.a.")</x:f>
        <x:v>0.036162553876758395</x:v>
      </x:c>
      <x:c r="K504" s="1" t="str">
        <x:f>IF(G504&gt;='Дашборд'!$C$51,"X","Z")</x:f>
        <x:v>X</x:v>
      </x:c>
      <x:c r="L504" s="1" t="str">
        <x:f>IF(H504=0,IF(G504&gt;0,"Нет остатка","Нет спроса"),IF(I504&gt;='Дашборд'!$C$52,"Быстрый","Медленный"))</x:f>
        <x:v>Быстрый</x:v>
      </x:c>
      <x:c r="M504" s="1" t="str">
        <x:f>IF('Данные'!E504&lt;'Дашборд'!$C$53,"Мало трафика",IF(J504&lt;'Дашборд'!$C$9*'Дашборд'!$C$54,"Да","Нет"))</x:f>
        <x:v>Нет</x:v>
      </x:c>
      <x:c r="N504" s="1" t="str">
        <x:f>IF(AND('Данные'!D504&gt;='Дашборд'!$C$55,D504&lt;'Дашборд'!$C$56,'Данные'!E504&gt;='Дашборд'!$C$53,'Данные'!L504&lt;&gt;"Да"),"Да","Нет")</x:f>
        <x:v>Нет</x:v>
      </x:c>
      <x:c r="O504" s="1" t="str">
        <x:f>'Данные'!L504</x:f>
        <x:v>Нет</x:v>
      </x:c>
    </x:row>
    <x:row r="505">
      <x:c r="A505" s="1" t="str">
        <x:f>'Данные'!A505</x:f>
        <x:v>320424588</x:v>
      </x:c>
      <x:c r="B505" s="1" t="str">
        <x:f>'Данные'!B505</x:f>
        <x:v>brukizshp3P-S-1/дымка</x:v>
      </x:c>
      <x:c r="C505" s="8" t="n">
        <x:f>'Данные'!G505</x:f>
        <x:v>408393</x:v>
      </x:c>
      <x:c r="D505" s="15" t="n">
        <x:f>C505/SUM($C$5:$C$2477)</x:f>
        <x:v>0.0004770943525077955</x:v>
      </x:c>
      <x:c r="E505" s="15" t="n">
        <x:f>SUM($D$5:D505)</x:f>
        <x:v>0.8296143489011171</x:v>
      </x:c>
      <x:c r="F505" s="1" t="str">
        <x:f>IF(C505&lt;=0,"C",IF(E505-D505&lt;'Дашборд'!$C$49,"A",IF(E505-D505&lt;'Дашборд'!$C$50,"B","C")))</x:f>
        <x:v>B</x:v>
      </x:c>
      <x:c r="G505" s="8" t="n">
        <x:f>'Данные'!F505</x:f>
        <x:v>563</x:v>
      </x:c>
      <x:c r="H505" s="8" t="n">
        <x:f>SUM('Данные'!H505:I505)</x:f>
        <x:v>261</x:v>
      </x:c>
      <x:c r="I505" s="16" t="n">
        <x:f>IF(H505&gt;0,G505/H505,"n.a.")</x:f>
        <x:v>2.157088122605364</x:v>
      </x:c>
      <x:c r="J505" s="10" t="n">
        <x:f>IF('Данные'!E505&gt;0,G505/'Данные'!E505,"n.a.")</x:f>
        <x:v>0.013969530048136568</x:v>
      </x:c>
      <x:c r="K505" s="1" t="str">
        <x:f>IF(G505&gt;='Дашборд'!$C$51,"X","Z")</x:f>
        <x:v>X</x:v>
      </x:c>
      <x:c r="L505" s="1" t="str">
        <x:f>IF(H505=0,IF(G505&gt;0,"Нет остатка","Нет спроса"),IF(I505&gt;='Дашборд'!$C$52,"Быстрый","Медленный"))</x:f>
        <x:v>Быстрый</x:v>
      </x:c>
      <x:c r="M505" s="1" t="str">
        <x:f>IF('Данные'!E505&lt;'Дашборд'!$C$53,"Мало трафика",IF(J505&lt;'Дашборд'!$C$9*'Дашборд'!$C$54,"Да","Нет"))</x:f>
        <x:v>Нет</x:v>
      </x:c>
      <x:c r="N505" s="1" t="str">
        <x:f>IF(AND('Данные'!D505&gt;='Дашборд'!$C$55,D505&lt;'Дашборд'!$C$56,'Данные'!E505&gt;='Дашборд'!$C$53,'Данные'!L505&lt;&gt;"Да"),"Да","Нет")</x:f>
        <x:v>Нет</x:v>
      </x:c>
      <x:c r="O505" s="1" t="str">
        <x:f>'Данные'!L505</x:f>
        <x:v>Нет</x:v>
      </x:c>
    </x:row>
    <x:row r="506">
      <x:c r="A506" s="1" t="str">
        <x:f>'Данные'!A506</x:f>
        <x:v>346811984</x:v>
      </x:c>
      <x:c r="B506" s="1" t="str">
        <x:f>'Данные'!B506</x:f>
        <x:v>longcrop3К-84/розовый</x:v>
      </x:c>
      <x:c r="C506" s="8" t="n">
        <x:f>'Данные'!G506</x:f>
        <x:v>404441</x:v>
      </x:c>
      <x:c r="D506" s="15" t="n">
        <x:f>C506/SUM($C$5:$C$2477)</x:f>
        <x:v>0.00047247753272608813</x:v>
      </x:c>
      <x:c r="E506" s="15" t="n">
        <x:f>SUM($D$5:D506)</x:f>
        <x:v>0.8300868264338431</x:v>
      </x:c>
      <x:c r="F506" s="1" t="str">
        <x:f>IF(C506&lt;=0,"C",IF(E506-D506&lt;'Дашборд'!$C$49,"A",IF(E506-D506&lt;'Дашборд'!$C$50,"B","C")))</x:f>
        <x:v>B</x:v>
      </x:c>
      <x:c r="G506" s="8" t="n">
        <x:f>'Данные'!F506</x:f>
        <x:v>1083</x:v>
      </x:c>
      <x:c r="H506" s="8" t="n">
        <x:f>SUM('Данные'!H506:I506)</x:f>
        <x:v>9</x:v>
      </x:c>
      <x:c r="I506" s="16" t="n">
        <x:f>IF(H506&gt;0,G506/H506,"n.a.")</x:f>
        <x:v>120.33333333333333</x:v>
      </x:c>
      <x:c r="J506" s="10" t="n">
        <x:f>IF('Данные'!E506&gt;0,G506/'Данные'!E506,"n.a.")</x:f>
        <x:v>0.03060100025430194</x:v>
      </x:c>
      <x:c r="K506" s="1" t="str">
        <x:f>IF(G506&gt;='Дашборд'!$C$51,"X","Z")</x:f>
        <x:v>X</x:v>
      </x:c>
      <x:c r="L506" s="1" t="str">
        <x:f>IF(H506=0,IF(G506&gt;0,"Нет остатка","Нет спроса"),IF(I506&gt;='Дашборд'!$C$52,"Быстрый","Медленный"))</x:f>
        <x:v>Быстрый</x:v>
      </x:c>
      <x:c r="M506" s="1" t="str">
        <x:f>IF('Данные'!E506&lt;'Дашборд'!$C$53,"Мало трафика",IF(J506&lt;'Дашборд'!$C$9*'Дашборд'!$C$54,"Да","Нет"))</x:f>
        <x:v>Нет</x:v>
      </x:c>
      <x:c r="N506" s="1" t="str">
        <x:f>IF(AND('Данные'!D506&gt;='Дашборд'!$C$55,D506&lt;'Дашборд'!$C$56,'Данные'!E506&gt;='Дашборд'!$C$53,'Данные'!L506&lt;&gt;"Да"),"Да","Нет")</x:f>
        <x:v>Нет</x:v>
      </x:c>
      <x:c r="O506" s="1" t="str">
        <x:f>'Данные'!L506</x:f>
        <x:v>Нет</x:v>
      </x:c>
    </x:row>
    <x:row r="507">
      <x:c r="A507" s="1" t="str">
        <x:f>'Данные'!A507</x:f>
        <x:v>224386294</x:v>
      </x:c>
      <x:c r="B507" s="1" t="str">
        <x:f>'Данные'!B507</x:f>
        <x:v>futbolkaprint/MovesWithLove-135/бежевый</x:v>
      </x:c>
      <x:c r="C507" s="8" t="n">
        <x:f>'Данные'!G507</x:f>
        <x:v>404286</x:v>
      </x:c>
      <x:c r="D507" s="15" t="n">
        <x:f>C507/SUM($C$5:$C$2477)</x:f>
        <x:v>0.00047229645806359707</x:v>
      </x:c>
      <x:c r="E507" s="15" t="n">
        <x:f>SUM($D$5:D507)</x:f>
        <x:v>0.8305591228919067</x:v>
      </x:c>
      <x:c r="F507" s="1" t="str">
        <x:f>IF(C507&lt;=0,"C",IF(E507-D507&lt;'Дашборд'!$C$49,"A",IF(E507-D507&lt;'Дашборд'!$C$50,"B","C")))</x:f>
        <x:v>B</x:v>
      </x:c>
      <x:c r="G507" s="8" t="n">
        <x:f>'Данные'!F507</x:f>
        <x:v>773</x:v>
      </x:c>
      <x:c r="H507" s="8" t="n">
        <x:f>SUM('Данные'!H507:I507)</x:f>
        <x:v>11</x:v>
      </x:c>
      <x:c r="I507" s="16" t="n">
        <x:f>IF(H507&gt;0,G507/H507,"n.a.")</x:f>
        <x:v>70.27272727272727</x:v>
      </x:c>
      <x:c r="J507" s="10" t="n">
        <x:f>IF('Данные'!E507&gt;0,G507/'Данные'!E507,"n.a.")</x:f>
        <x:v>0.009414659099213213</x:v>
      </x:c>
      <x:c r="K507" s="1" t="str">
        <x:f>IF(G507&gt;='Дашборд'!$C$51,"X","Z")</x:f>
        <x:v>X</x:v>
      </x:c>
      <x:c r="L507" s="1" t="str">
        <x:f>IF(H507=0,IF(G507&gt;0,"Нет остатка","Нет спроса"),IF(I507&gt;='Дашборд'!$C$52,"Быстрый","Медленный"))</x:f>
        <x:v>Быстрый</x:v>
      </x:c>
      <x:c r="M507" s="1" t="str">
        <x:f>IF('Данные'!E507&lt;'Дашборд'!$C$53,"Мало трафика",IF(J507&lt;'Дашборд'!$C$9*'Дашборд'!$C$54,"Да","Нет"))</x:f>
        <x:v>Да</x:v>
      </x:c>
      <x:c r="N507" s="1" t="str">
        <x:f>IF(AND('Данные'!D507&gt;='Дашборд'!$C$55,D507&lt;'Дашборд'!$C$56,'Данные'!E507&gt;='Дашборд'!$C$53,'Данные'!L507&lt;&gt;"Да"),"Да","Нет")</x:f>
        <x:v>Нет</x:v>
      </x:c>
      <x:c r="O507" s="1" t="str">
        <x:f>'Данные'!L507</x:f>
        <x:v>Нет</x:v>
      </x:c>
    </x:row>
    <x:row r="508">
      <x:c r="A508" s="1" t="str">
        <x:f>'Данные'!A508</x:f>
        <x:v>224386342</x:v>
      </x:c>
      <x:c r="B508" s="1" t="str">
        <x:f>'Данные'!B508</x:f>
        <x:v>futbolkaprint/MovesWithLove-135/шалфей</x:v>
      </x:c>
      <x:c r="C508" s="8" t="n">
        <x:f>'Данные'!G508</x:f>
        <x:v>404103</x:v>
      </x:c>
      <x:c r="D508" s="15" t="n">
        <x:f>C508/SUM($C$5:$C$2477)</x:f>
        <x:v>0.00047208267313949474</x:v>
      </x:c>
      <x:c r="E508" s="15" t="n">
        <x:f>SUM($D$5:D508)</x:f>
        <x:v>0.8310312055650462</x:v>
      </x:c>
      <x:c r="F508" s="1" t="str">
        <x:f>IF(C508&lt;=0,"C",IF(E508-D508&lt;'Дашборд'!$C$49,"A",IF(E508-D508&lt;'Дашборд'!$C$50,"B","C")))</x:f>
        <x:v>B</x:v>
      </x:c>
      <x:c r="G508" s="8" t="n">
        <x:f>'Данные'!F508</x:f>
        <x:v>561</x:v>
      </x:c>
      <x:c r="H508" s="8" t="n">
        <x:f>SUM('Данные'!H508:I508)</x:f>
        <x:v>1</x:v>
      </x:c>
      <x:c r="I508" s="16" t="n">
        <x:f>IF(H508&gt;0,G508/H508,"n.a.")</x:f>
        <x:v>561</x:v>
      </x:c>
      <x:c r="J508" s="10" t="n">
        <x:f>IF('Данные'!E508&gt;0,G508/'Данные'!E508,"n.a.")</x:f>
        <x:v>0.01137561846054019</x:v>
      </x:c>
      <x:c r="K508" s="1" t="str">
        <x:f>IF(G508&gt;='Дашборд'!$C$51,"X","Z")</x:f>
        <x:v>X</x:v>
      </x:c>
      <x:c r="L508" s="1" t="str">
        <x:f>IF(H508=0,IF(G508&gt;0,"Нет остатка","Нет спроса"),IF(I508&gt;='Дашборд'!$C$52,"Быстрый","Медленный"))</x:f>
        <x:v>Быстрый</x:v>
      </x:c>
      <x:c r="M508" s="1" t="str">
        <x:f>IF('Данные'!E508&lt;'Дашборд'!$C$53,"Мало трафика",IF(J508&lt;'Дашборд'!$C$9*'Дашборд'!$C$54,"Да","Нет"))</x:f>
        <x:v>Нет</x:v>
      </x:c>
      <x:c r="N508" s="1" t="str">
        <x:f>IF(AND('Данные'!D508&gt;='Дашборд'!$C$55,D508&lt;'Дашборд'!$C$56,'Данные'!E508&gt;='Дашборд'!$C$53,'Данные'!L508&lt;&gt;"Да"),"Да","Нет")</x:f>
        <x:v>Да</x:v>
      </x:c>
      <x:c r="O508" s="1" t="str">
        <x:f>'Данные'!L508</x:f>
        <x:v>Нет</x:v>
      </x:c>
    </x:row>
    <x:row r="509">
      <x:c r="A509" s="1" t="str">
        <x:f>'Данные'!A509</x:f>
        <x:v>289098363</x:v>
      </x:c>
      <x:c r="B509" s="1" t="str">
        <x:f>'Данные'!B509</x:f>
        <x:v>tolstovkazip3F-71/молочный</x:v>
      </x:c>
      <x:c r="C509" s="8" t="n">
        <x:f>'Данные'!G509</x:f>
        <x:v>403721</x:v>
      </x:c>
      <x:c r="D509" s="15" t="n">
        <x:f>C509/SUM($C$5:$C$2477)</x:f>
        <x:v>0.00047163641171322644</x:v>
      </x:c>
      <x:c r="E509" s="15" t="n">
        <x:f>SUM($D$5:D509)</x:f>
        <x:v>0.8315028419767594</x:v>
      </x:c>
      <x:c r="F509" s="1" t="str">
        <x:f>IF(C509&lt;=0,"C",IF(E509-D509&lt;'Дашборд'!$C$49,"A",IF(E509-D509&lt;'Дашборд'!$C$50,"B","C")))</x:f>
        <x:v>B</x:v>
      </x:c>
      <x:c r="G509" s="8" t="n">
        <x:f>'Данные'!F509</x:f>
        <x:v>373</x:v>
      </x:c>
      <x:c r="H509" s="8" t="n">
        <x:f>SUM('Данные'!H509:I509)</x:f>
        <x:v>53</x:v>
      </x:c>
      <x:c r="I509" s="16" t="n">
        <x:f>IF(H509&gt;0,G509/H509,"n.a.")</x:f>
        <x:v>7.037735849056604</x:v>
      </x:c>
      <x:c r="J509" s="10" t="n">
        <x:f>IF('Данные'!E509&gt;0,G509/'Данные'!E509,"n.a.")</x:f>
        <x:v>0.008559561236432063</x:v>
      </x:c>
      <x:c r="K509" s="1" t="str">
        <x:f>IF(G509&gt;='Дашборд'!$C$51,"X","Z")</x:f>
        <x:v>X</x:v>
      </x:c>
      <x:c r="L509" s="1" t="str">
        <x:f>IF(H509=0,IF(G509&gt;0,"Нет остатка","Нет спроса"),IF(I509&gt;='Дашборд'!$C$52,"Быстрый","Медленный"))</x:f>
        <x:v>Быстрый</x:v>
      </x:c>
      <x:c r="M509" s="1" t="str">
        <x:f>IF('Данные'!E509&lt;'Дашборд'!$C$53,"Мало трафика",IF(J509&lt;'Дашборд'!$C$9*'Дашборд'!$C$54,"Да","Нет"))</x:f>
        <x:v>Да</x:v>
      </x:c>
      <x:c r="N509" s="1" t="str">
        <x:f>IF(AND('Данные'!D509&gt;='Дашборд'!$C$55,D509&lt;'Дашборд'!$C$56,'Данные'!E509&gt;='Дашборд'!$C$53,'Данные'!L509&lt;&gt;"Да"),"Да","Нет")</x:f>
        <x:v>Да</x:v>
      </x:c>
      <x:c r="O509" s="1" t="str">
        <x:f>'Данные'!L509</x:f>
        <x:v>Нет</x:v>
      </x:c>
    </x:row>
    <x:row r="510">
      <x:c r="A510" s="1" t="str">
        <x:f>'Данные'!A510</x:f>
        <x:v>322134917</x:v>
      </x:c>
      <x:c r="B510" s="1" t="str">
        <x:f>'Данные'!B510</x:f>
        <x:v>shtanygulf3P-S3/черный</x:v>
      </x:c>
      <x:c r="C510" s="8" t="n">
        <x:f>'Данные'!G510</x:f>
        <x:v>401989</x:v>
      </x:c>
      <x:c r="D510" s="15" t="n">
        <x:f>C510/SUM($C$5:$C$2477)</x:f>
        <x:v>0.0004696130483878426</x:v>
      </x:c>
      <x:c r="E510" s="15" t="n">
        <x:f>SUM($D$5:D510)</x:f>
        <x:v>0.8319724550251473</x:v>
      </x:c>
      <x:c r="F510" s="1" t="str">
        <x:f>IF(C510&lt;=0,"C",IF(E510-D510&lt;'Дашборд'!$C$49,"A",IF(E510-D510&lt;'Дашборд'!$C$50,"B","C")))</x:f>
        <x:v>B</x:v>
      </x:c>
      <x:c r="G510" s="8" t="n">
        <x:f>'Данные'!F510</x:f>
        <x:v>755</x:v>
      </x:c>
      <x:c r="H510" s="8" t="n">
        <x:f>SUM('Данные'!H510:I510)</x:f>
        <x:v>100</x:v>
      </x:c>
      <x:c r="I510" s="16" t="n">
        <x:f>IF(H510&gt;0,G510/H510,"n.a.")</x:f>
        <x:v>7.55</x:v>
      </x:c>
      <x:c r="J510" s="10" t="n">
        <x:f>IF('Данные'!E510&gt;0,G510/'Данные'!E510,"n.a.")</x:f>
        <x:v>0.02119298245614035</x:v>
      </x:c>
      <x:c r="K510" s="1" t="str">
        <x:f>IF(G510&gt;='Дашборд'!$C$51,"X","Z")</x:f>
        <x:v>X</x:v>
      </x:c>
      <x:c r="L510" s="1" t="str">
        <x:f>IF(H510=0,IF(G510&gt;0,"Нет остатка","Нет спроса"),IF(I510&gt;='Дашборд'!$C$52,"Быстрый","Медленный"))</x:f>
        <x:v>Быстрый</x:v>
      </x:c>
      <x:c r="M510" s="1" t="str">
        <x:f>IF('Данные'!E510&lt;'Дашборд'!$C$53,"Мало трафика",IF(J510&lt;'Дашборд'!$C$9*'Дашборд'!$C$54,"Да","Нет"))</x:f>
        <x:v>Нет</x:v>
      </x:c>
      <x:c r="N510" s="1" t="str">
        <x:f>IF(AND('Данные'!D510&gt;='Дашборд'!$C$55,D510&lt;'Дашборд'!$C$56,'Данные'!E510&gt;='Дашборд'!$C$53,'Данные'!L510&lt;&gt;"Да"),"Да","Нет")</x:f>
        <x:v>Нет</x:v>
      </x:c>
      <x:c r="O510" s="1" t="str">
        <x:f>'Данные'!L510</x:f>
        <x:v>Нет</x:v>
      </x:c>
    </x:row>
    <x:row r="511">
      <x:c r="A511" s="1" t="str">
        <x:f>'Данные'!A511</x:f>
        <x:v>203015611</x:v>
      </x:c>
      <x:c r="B511" s="1" t="str">
        <x:f>'Данные'!B511</x:f>
        <x:v>Futbolkaprint/MoreSelf-44/дымка</x:v>
      </x:c>
      <x:c r="C511" s="8" t="n">
        <x:f>'Данные'!G511</x:f>
        <x:v>401789</x:v>
      </x:c>
      <x:c r="D511" s="15" t="n">
        <x:f>C511/SUM($C$5:$C$2477)</x:f>
        <x:v>0.00046937940366204766</x:v>
      </x:c>
      <x:c r="E511" s="15" t="n">
        <x:f>SUM($D$5:D511)</x:f>
        <x:v>0.8324418344288094</x:v>
      </x:c>
      <x:c r="F511" s="1" t="str">
        <x:f>IF(C511&lt;=0,"C",IF(E511-D511&lt;'Дашборд'!$C$49,"A",IF(E511-D511&lt;'Дашборд'!$C$50,"B","C")))</x:f>
        <x:v>B</x:v>
      </x:c>
      <x:c r="G511" s="8" t="n">
        <x:f>'Данные'!F511</x:f>
        <x:v>611</x:v>
      </x:c>
      <x:c r="H511" s="8" t="n">
        <x:f>SUM('Данные'!H511:I511)</x:f>
        <x:v>123</x:v>
      </x:c>
      <x:c r="I511" s="16" t="n">
        <x:f>IF(H511&gt;0,G511/H511,"n.a.")</x:f>
        <x:v>4.967479674796748</x:v>
      </x:c>
      <x:c r="J511" s="10" t="n">
        <x:f>IF('Данные'!E511&gt;0,G511/'Данные'!E511,"n.a.")</x:f>
        <x:v>0.010756474129887506</x:v>
      </x:c>
      <x:c r="K511" s="1" t="str">
        <x:f>IF(G511&gt;='Дашборд'!$C$51,"X","Z")</x:f>
        <x:v>X</x:v>
      </x:c>
      <x:c r="L511" s="1" t="str">
        <x:f>IF(H511=0,IF(G511&gt;0,"Нет остатка","Нет спроса"),IF(I511&gt;='Дашборд'!$C$52,"Быстрый","Медленный"))</x:f>
        <x:v>Быстрый</x:v>
      </x:c>
      <x:c r="M511" s="1" t="str">
        <x:f>IF('Данные'!E511&lt;'Дашборд'!$C$53,"Мало трафика",IF(J511&lt;'Дашборд'!$C$9*'Дашборд'!$C$54,"Да","Нет"))</x:f>
        <x:v>Нет</x:v>
      </x:c>
      <x:c r="N511" s="1" t="str">
        <x:f>IF(AND('Данные'!D511&gt;='Дашборд'!$C$55,D511&lt;'Дашборд'!$C$56,'Данные'!E511&gt;='Дашборд'!$C$53,'Данные'!L511&lt;&gt;"Да"),"Да","Нет")</x:f>
        <x:v>Нет</x:v>
      </x:c>
      <x:c r="O511" s="1" t="str">
        <x:f>'Данные'!L511</x:f>
        <x:v>Нет</x:v>
      </x:c>
    </x:row>
    <x:row r="512">
      <x:c r="A512" s="1" t="str">
        <x:f>'Данные'!A512</x:f>
        <x:v>264722638</x:v>
      </x:c>
      <x:c r="B512" s="1" t="str">
        <x:f>'Данные'!B512</x:f>
        <x:v>svitshotzipman2/бордовый</x:v>
      </x:c>
      <x:c r="C512" s="8" t="n">
        <x:f>'Данные'!G512</x:f>
        <x:v>401069</x:v>
      </x:c>
      <x:c r="D512" s="15" t="n">
        <x:f>C512/SUM($C$5:$C$2477)</x:f>
        <x:v>0.000468538282649186</x:v>
      </x:c>
      <x:c r="E512" s="15" t="n">
        <x:f>SUM($D$5:D512)</x:f>
        <x:v>0.8329103727114585</x:v>
      </x:c>
      <x:c r="F512" s="1" t="str">
        <x:f>IF(C512&lt;=0,"C",IF(E512-D512&lt;'Дашборд'!$C$49,"A",IF(E512-D512&lt;'Дашборд'!$C$50,"B","C")))</x:f>
        <x:v>B</x:v>
      </x:c>
      <x:c r="G512" s="8" t="n">
        <x:f>'Данные'!F512</x:f>
        <x:v>385</x:v>
      </x:c>
      <x:c r="H512" s="8" t="n">
        <x:f>SUM('Данные'!H512:I512)</x:f>
        <x:v>89</x:v>
      </x:c>
      <x:c r="I512" s="16" t="n">
        <x:f>IF(H512&gt;0,G512/H512,"n.a.")</x:f>
        <x:v>4.325842696629214</x:v>
      </x:c>
      <x:c r="J512" s="10" t="n">
        <x:f>IF('Данные'!E512&gt;0,G512/'Данные'!E512,"n.a.")</x:f>
        <x:v>0.019190509420795535</x:v>
      </x:c>
      <x:c r="K512" s="1" t="str">
        <x:f>IF(G512&gt;='Дашборд'!$C$51,"X","Z")</x:f>
        <x:v>X</x:v>
      </x:c>
      <x:c r="L512" s="1" t="str">
        <x:f>IF(H512=0,IF(G512&gt;0,"Нет остатка","Нет спроса"),IF(I512&gt;='Дашборд'!$C$52,"Быстрый","Медленный"))</x:f>
        <x:v>Быстрый</x:v>
      </x:c>
      <x:c r="M512" s="1" t="str">
        <x:f>IF('Данные'!E512&lt;'Дашборд'!$C$53,"Мало трафика",IF(J512&lt;'Дашборд'!$C$9*'Дашборд'!$C$54,"Да","Нет"))</x:f>
        <x:v>Нет</x:v>
      </x:c>
      <x:c r="N512" s="1" t="str">
        <x:f>IF(AND('Данные'!D512&gt;='Дашборд'!$C$55,D512&lt;'Дашборд'!$C$56,'Данные'!E512&gt;='Дашборд'!$C$53,'Данные'!L512&lt;&gt;"Да"),"Да","Нет")</x:f>
        <x:v>Да</x:v>
      </x:c>
      <x:c r="O512" s="1" t="str">
        <x:f>'Данные'!L512</x:f>
        <x:v>Нет</x:v>
      </x:c>
    </x:row>
    <x:row r="513">
      <x:c r="A513" s="1" t="str">
        <x:f>'Данные'!A513</x:f>
        <x:v>260797898</x:v>
      </x:c>
      <x:c r="B513" s="1" t="str">
        <x:f>'Данные'!B513</x:f>
        <x:v>hudicrop1/фиолетовый</x:v>
      </x:c>
      <x:c r="C513" s="8" t="n">
        <x:f>'Данные'!G513</x:f>
        <x:v>401040</x:v>
      </x:c>
      <x:c r="D513" s="15" t="n">
        <x:f>C513/SUM($C$5:$C$2477)</x:f>
        <x:v>0.00046850440416394576</x:v>
      </x:c>
      <x:c r="E513" s="15" t="n">
        <x:f>SUM($D$5:D513)</x:f>
        <x:v>0.8333788771156224</x:v>
      </x:c>
      <x:c r="F513" s="1" t="str">
        <x:f>IF(C513&lt;=0,"C",IF(E513-D513&lt;'Дашборд'!$C$49,"A",IF(E513-D513&lt;'Дашборд'!$C$50,"B","C")))</x:f>
        <x:v>B</x:v>
      </x:c>
      <x:c r="G513" s="8" t="n">
        <x:f>'Данные'!F513</x:f>
        <x:v>460</x:v>
      </x:c>
      <x:c r="H513" s="8" t="n">
        <x:f>SUM('Данные'!H513:I513)</x:f>
        <x:v>127</x:v>
      </x:c>
      <x:c r="I513" s="16" t="n">
        <x:f>IF(H513&gt;0,G513/H513,"n.a.")</x:f>
        <x:v>3.622047244094488</x:v>
      </x:c>
      <x:c r="J513" s="10" t="n">
        <x:f>IF('Данные'!E513&gt;0,G513/'Данные'!E513,"n.a.")</x:f>
        <x:v>0.01260653895694593</x:v>
      </x:c>
      <x:c r="K513" s="1" t="str">
        <x:f>IF(G513&gt;='Дашборд'!$C$51,"X","Z")</x:f>
        <x:v>X</x:v>
      </x:c>
      <x:c r="L513" s="1" t="str">
        <x:f>IF(H513=0,IF(G513&gt;0,"Нет остатка","Нет спроса"),IF(I513&gt;='Дашборд'!$C$52,"Быстрый","Медленный"))</x:f>
        <x:v>Быстрый</x:v>
      </x:c>
      <x:c r="M513" s="1" t="str">
        <x:f>IF('Данные'!E513&lt;'Дашборд'!$C$53,"Мало трафика",IF(J513&lt;'Дашборд'!$C$9*'Дашборд'!$C$54,"Да","Нет"))</x:f>
        <x:v>Нет</x:v>
      </x:c>
      <x:c r="N513" s="1" t="str">
        <x:f>IF(AND('Данные'!D513&gt;='Дашборд'!$C$55,D513&lt;'Дашборд'!$C$56,'Данные'!E513&gt;='Дашборд'!$C$53,'Данные'!L513&lt;&gt;"Да"),"Да","Нет")</x:f>
        <x:v>Нет</x:v>
      </x:c>
      <x:c r="O513" s="1" t="str">
        <x:f>'Данные'!L513</x:f>
        <x:v>Нет</x:v>
      </x:c>
    </x:row>
    <x:row r="514">
      <x:c r="A514" s="1" t="str">
        <x:f>'Данные'!A514</x:f>
        <x:v>332418842</x:v>
      </x:c>
      <x:c r="B514" s="1" t="str">
        <x:f>'Данные'!B514</x:f>
        <x:v>top/молочный</x:v>
      </x:c>
      <x:c r="C514" s="8" t="n">
        <x:f>'Данные'!G514</x:f>
        <x:v>400340</x:v>
      </x:c>
      <x:c r="D514" s="15" t="n">
        <x:f>C514/SUM($C$5:$C$2477)</x:f>
        <x:v>0.00046768664762366355</x:v>
      </x:c>
      <x:c r="E514" s="15" t="n">
        <x:f>SUM($D$5:D514)</x:f>
        <x:v>0.8338465637632461</x:v>
      </x:c>
      <x:c r="F514" s="1" t="str">
        <x:f>IF(C514&lt;=0,"C",IF(E514-D514&lt;'Дашборд'!$C$49,"A",IF(E514-D514&lt;'Дашборд'!$C$50,"B","C")))</x:f>
        <x:v>B</x:v>
      </x:c>
      <x:c r="G514" s="8" t="n">
        <x:f>'Данные'!F514</x:f>
        <x:v>1457</x:v>
      </x:c>
      <x:c r="H514" s="8" t="n">
        <x:f>SUM('Данные'!H514:I514)</x:f>
        <x:v>74</x:v>
      </x:c>
      <x:c r="I514" s="16" t="n">
        <x:f>IF(H514&gt;0,G514/H514,"n.a.")</x:f>
        <x:v>19.68918918918919</x:v>
      </x:c>
      <x:c r="J514" s="10" t="n">
        <x:f>IF('Данные'!E514&gt;0,G514/'Данные'!E514,"n.a.")</x:f>
        <x:v>0.02427685950413223</x:v>
      </x:c>
      <x:c r="K514" s="1" t="str">
        <x:f>IF(G514&gt;='Дашборд'!$C$51,"X","Z")</x:f>
        <x:v>X</x:v>
      </x:c>
      <x:c r="L514" s="1" t="str">
        <x:f>IF(H514=0,IF(G514&gt;0,"Нет остатка","Нет спроса"),IF(I514&gt;='Дашборд'!$C$52,"Быстрый","Медленный"))</x:f>
        <x:v>Быстрый</x:v>
      </x:c>
      <x:c r="M514" s="1" t="str">
        <x:f>IF('Данные'!E514&lt;'Дашборд'!$C$53,"Мало трафика",IF(J514&lt;'Дашборд'!$C$9*'Дашборд'!$C$54,"Да","Нет"))</x:f>
        <x:v>Нет</x:v>
      </x:c>
      <x:c r="N514" s="1" t="str">
        <x:f>IF(AND('Данные'!D514&gt;='Дашборд'!$C$55,D514&lt;'Дашборд'!$C$56,'Данные'!E514&gt;='Дашборд'!$C$53,'Данные'!L514&lt;&gt;"Да"),"Да","Нет")</x:f>
        <x:v>Нет</x:v>
      </x:c>
      <x:c r="O514" s="1" t="str">
        <x:f>'Данные'!L514</x:f>
        <x:v>Нет</x:v>
      </x:c>
    </x:row>
    <x:row r="515">
      <x:c r="A515" s="1" t="str">
        <x:f>'Данные'!A515</x:f>
        <x:v>145845798</x:v>
      </x:c>
      <x:c r="B515" s="1" t="str">
        <x:f>'Данные'!B515</x:f>
        <x:v>svitshotman/песочный</x:v>
      </x:c>
      <x:c r="C515" s="8" t="n">
        <x:f>'Данные'!G515</x:f>
        <x:v>399619</x:v>
      </x:c>
      <x:c r="D515" s="15" t="n">
        <x:f>C515/SUM($C$5:$C$2477)</x:f>
        <x:v>0.0004668443583871729</x:v>
      </x:c>
      <x:c r="E515" s="15" t="n">
        <x:f>SUM($D$5:D515)</x:f>
        <x:v>0.8343134081216332</x:v>
      </x:c>
      <x:c r="F515" s="1" t="str">
        <x:f>IF(C515&lt;=0,"C",IF(E515-D515&lt;'Дашборд'!$C$49,"A",IF(E515-D515&lt;'Дашборд'!$C$50,"B","C")))</x:f>
        <x:v>B</x:v>
      </x:c>
      <x:c r="G515" s="8" t="n">
        <x:f>'Данные'!F515</x:f>
        <x:v>448</x:v>
      </x:c>
      <x:c r="H515" s="8" t="n">
        <x:f>SUM('Данные'!H515:I515)</x:f>
        <x:v>311</x:v>
      </x:c>
      <x:c r="I515" s="16" t="n">
        <x:f>IF(H515&gt;0,G515/H515,"n.a.")</x:f>
        <x:v>1.4405144694533762</x:v>
      </x:c>
      <x:c r="J515" s="10" t="n">
        <x:f>IF('Данные'!E515&gt;0,G515/'Данные'!E515,"n.a.")</x:f>
        <x:v>0.031074426024831795</x:v>
      </x:c>
      <x:c r="K515" s="1" t="str">
        <x:f>IF(G515&gt;='Дашборд'!$C$51,"X","Z")</x:f>
        <x:v>X</x:v>
      </x:c>
      <x:c r="L515" s="1" t="str">
        <x:f>IF(H515=0,IF(G515&gt;0,"Нет остатка","Нет спроса"),IF(I515&gt;='Дашборд'!$C$52,"Быстрый","Медленный"))</x:f>
        <x:v>Быстрый</x:v>
      </x:c>
      <x:c r="M515" s="1" t="str">
        <x:f>IF('Данные'!E515&lt;'Дашборд'!$C$53,"Мало трафика",IF(J515&lt;'Дашборд'!$C$9*'Дашборд'!$C$54,"Да","Нет"))</x:f>
        <x:v>Нет</x:v>
      </x:c>
      <x:c r="N515" s="1" t="str">
        <x:f>IF(AND('Данные'!D515&gt;='Дашборд'!$C$55,D515&lt;'Дашборд'!$C$56,'Данные'!E515&gt;='Дашборд'!$C$53,'Данные'!L515&lt;&gt;"Да"),"Да","Нет")</x:f>
        <x:v>Да</x:v>
      </x:c>
      <x:c r="O515" s="1" t="str">
        <x:f>'Данные'!L515</x:f>
        <x:v>Нет</x:v>
      </x:c>
    </x:row>
    <x:row r="516">
      <x:c r="A516" s="1" t="str">
        <x:f>'Данные'!A516</x:f>
        <x:v>222293206</x:v>
      </x:c>
      <x:c r="B516" s="1" t="str">
        <x:f>'Данные'!B516</x:f>
        <x:v>futbolkaprint/BrighterDays-129/красный</x:v>
      </x:c>
      <x:c r="C516" s="8" t="n">
        <x:f>'Данные'!G516</x:f>
        <x:v>398900</x:v>
      </x:c>
      <x:c r="D516" s="15" t="n">
        <x:f>C516/SUM($C$5:$C$2477)</x:f>
        <x:v>0.0004660044055979402</x:v>
      </x:c>
      <x:c r="E516" s="15" t="n">
        <x:f>SUM($D$5:D516)</x:f>
        <x:v>0.8347794125272312</x:v>
      </x:c>
      <x:c r="F516" s="1" t="str">
        <x:f>IF(C516&lt;=0,"C",IF(E516-D516&lt;'Дашборд'!$C$49,"A",IF(E516-D516&lt;'Дашборд'!$C$50,"B","C")))</x:f>
        <x:v>B</x:v>
      </x:c>
      <x:c r="G516" s="8" t="n">
        <x:f>'Данные'!F516</x:f>
        <x:v>832</x:v>
      </x:c>
      <x:c r="H516" s="8" t="n">
        <x:f>SUM('Данные'!H516:I516)</x:f>
        <x:v>176</x:v>
      </x:c>
      <x:c r="I516" s="16" t="n">
        <x:f>IF(H516&gt;0,G516/H516,"n.a.")</x:f>
        <x:v>4.7272727272727275</x:v>
      </x:c>
      <x:c r="J516" s="10" t="n">
        <x:f>IF('Данные'!E516&gt;0,G516/'Данные'!E516,"n.a.")</x:f>
        <x:v>0.007756346313404868</x:v>
      </x:c>
      <x:c r="K516" s="1" t="str">
        <x:f>IF(G516&gt;='Дашборд'!$C$51,"X","Z")</x:f>
        <x:v>X</x:v>
      </x:c>
      <x:c r="L516" s="1" t="str">
        <x:f>IF(H516=0,IF(G516&gt;0,"Нет остатка","Нет спроса"),IF(I516&gt;='Дашборд'!$C$52,"Быстрый","Медленный"))</x:f>
        <x:v>Быстрый</x:v>
      </x:c>
      <x:c r="M516" s="1" t="str">
        <x:f>IF('Данные'!E516&lt;'Дашборд'!$C$53,"Мало трафика",IF(J516&lt;'Дашборд'!$C$9*'Дашборд'!$C$54,"Да","Нет"))</x:f>
        <x:v>Да</x:v>
      </x:c>
      <x:c r="N516" s="1" t="str">
        <x:f>IF(AND('Данные'!D516&gt;='Дашборд'!$C$55,D516&lt;'Дашборд'!$C$56,'Данные'!E516&gt;='Дашборд'!$C$53,'Данные'!L516&lt;&gt;"Да"),"Да","Нет")</x:f>
        <x:v>Нет</x:v>
      </x:c>
      <x:c r="O516" s="1" t="str">
        <x:f>'Данные'!L516</x:f>
        <x:v>Нет</x:v>
      </x:c>
    </x:row>
    <x:row r="517">
      <x:c r="A517" s="1" t="str">
        <x:f>'Данные'!A517</x:f>
        <x:v>336303917</x:v>
      </x:c>
      <x:c r="B517" s="1" t="str">
        <x:f>'Данные'!B517</x:f>
        <x:v>futbolka_mary/молочный</x:v>
      </x:c>
      <x:c r="C517" s="8" t="n">
        <x:f>'Данные'!G517</x:f>
        <x:v>398714</x:v>
      </x:c>
      <x:c r="D517" s="15" t="n">
        <x:f>C517/SUM($C$5:$C$2477)</x:f>
        <x:v>0.000465787116002951</x:v>
      </x:c>
      <x:c r="E517" s="15" t="n">
        <x:f>SUM($D$5:D517)</x:f>
        <x:v>0.8352451996432342</x:v>
      </x:c>
      <x:c r="F517" s="1" t="str">
        <x:f>IF(C517&lt;=0,"C",IF(E517-D517&lt;'Дашборд'!$C$49,"A",IF(E517-D517&lt;'Дашборд'!$C$50,"B","C")))</x:f>
        <x:v>B</x:v>
      </x:c>
      <x:c r="G517" s="8" t="n">
        <x:f>'Данные'!F517</x:f>
        <x:v>1097</x:v>
      </x:c>
      <x:c r="H517" s="8" t="n">
        <x:f>SUM('Данные'!H517:I517)</x:f>
        <x:v>254</x:v>
      </x:c>
      <x:c r="I517" s="16" t="n">
        <x:f>IF(H517&gt;0,G517/H517,"n.a.")</x:f>
        <x:v>4.318897637795276</x:v>
      </x:c>
      <x:c r="J517" s="10" t="n">
        <x:f>IF('Данные'!E517&gt;0,G517/'Данные'!E517,"n.a.")</x:f>
        <x:v>0.026504626833216555</x:v>
      </x:c>
      <x:c r="K517" s="1" t="str">
        <x:f>IF(G517&gt;='Дашборд'!$C$51,"X","Z")</x:f>
        <x:v>X</x:v>
      </x:c>
      <x:c r="L517" s="1" t="str">
        <x:f>IF(H517=0,IF(G517&gt;0,"Нет остатка","Нет спроса"),IF(I517&gt;='Дашборд'!$C$52,"Быстрый","Медленный"))</x:f>
        <x:v>Быстрый</x:v>
      </x:c>
      <x:c r="M517" s="1" t="str">
        <x:f>IF('Данные'!E517&lt;'Дашборд'!$C$53,"Мало трафика",IF(J517&lt;'Дашборд'!$C$9*'Дашборд'!$C$54,"Да","Нет"))</x:f>
        <x:v>Нет</x:v>
      </x:c>
      <x:c r="N517" s="1" t="str">
        <x:f>IF(AND('Данные'!D517&gt;='Дашборд'!$C$55,D517&lt;'Дашборд'!$C$56,'Данные'!E517&gt;='Дашборд'!$C$53,'Данные'!L517&lt;&gt;"Да"),"Да","Нет")</x:f>
        <x:v>Нет</x:v>
      </x:c>
      <x:c r="O517" s="1" t="str">
        <x:f>'Данные'!L517</x:f>
        <x:v>Нет</x:v>
      </x:c>
    </x:row>
    <x:row r="518">
      <x:c r="A518" s="1" t="str">
        <x:f>'Данные'!A518</x:f>
        <x:v>205604803</x:v>
      </x:c>
      <x:c r="B518" s="1" t="str">
        <x:f>'Данные'!B518</x:f>
        <x:v>hudiman2/графит</x:v>
      </x:c>
      <x:c r="C518" s="8" t="n">
        <x:f>'Данные'!G518</x:f>
        <x:v>396978</x:v>
      </x:c>
      <x:c r="D518" s="15" t="n">
        <x:f>C518/SUM($C$5:$C$2477)</x:f>
        <x:v>0.0004637590797830512</x:v>
      </x:c>
      <x:c r="E518" s="15" t="n">
        <x:f>SUM($D$5:D518)</x:f>
        <x:v>0.8357089587230172</x:v>
      </x:c>
      <x:c r="F518" s="1" t="str">
        <x:f>IF(C518&lt;=0,"C",IF(E518-D518&lt;'Дашборд'!$C$49,"A",IF(E518-D518&lt;'Дашборд'!$C$50,"B","C")))</x:f>
        <x:v>B</x:v>
      </x:c>
      <x:c r="G518" s="8" t="n">
        <x:f>'Данные'!F518</x:f>
        <x:v>350</x:v>
      </x:c>
      <x:c r="H518" s="8" t="n">
        <x:f>SUM('Данные'!H518:I518)</x:f>
        <x:v>163</x:v>
      </x:c>
      <x:c r="I518" s="16" t="n">
        <x:f>IF(H518&gt;0,G518/H518,"n.a.")</x:f>
        <x:v>2.147239263803681</x:v>
      </x:c>
      <x:c r="J518" s="10" t="n">
        <x:f>IF('Данные'!E518&gt;0,G518/'Данные'!E518,"n.a.")</x:f>
        <x:v>0.016943409013893594</x:v>
      </x:c>
      <x:c r="K518" s="1" t="str">
        <x:f>IF(G518&gt;='Дашборд'!$C$51,"X","Z")</x:f>
        <x:v>X</x:v>
      </x:c>
      <x:c r="L518" s="1" t="str">
        <x:f>IF(H518=0,IF(G518&gt;0,"Нет остатка","Нет спроса"),IF(I518&gt;='Дашборд'!$C$52,"Быстрый","Медленный"))</x:f>
        <x:v>Быстрый</x:v>
      </x:c>
      <x:c r="M518" s="1" t="str">
        <x:f>IF('Данные'!E518&lt;'Дашборд'!$C$53,"Мало трафика",IF(J518&lt;'Дашборд'!$C$9*'Дашборд'!$C$54,"Да","Нет"))</x:f>
        <x:v>Нет</x:v>
      </x:c>
      <x:c r="N518" s="1" t="str">
        <x:f>IF(AND('Данные'!D518&gt;='Дашборд'!$C$55,D518&lt;'Дашборд'!$C$56,'Данные'!E518&gt;='Дашборд'!$C$53,'Данные'!L518&lt;&gt;"Да"),"Да","Нет")</x:f>
        <x:v>Нет</x:v>
      </x:c>
      <x:c r="O518" s="1" t="str">
        <x:f>'Данные'!L518</x:f>
        <x:v>Нет</x:v>
      </x:c>
    </x:row>
    <x:row r="519">
      <x:c r="A519" s="1" t="str">
        <x:f>'Данные'!A519</x:f>
        <x:v>253363963</x:v>
      </x:c>
      <x:c r="B519" s="1" t="str">
        <x:f>'Данные'!B519</x:f>
        <x:v>longoverprint/DontWorry-194/молочный</x:v>
      </x:c>
      <x:c r="C519" s="8" t="n">
        <x:f>'Данные'!G519</x:f>
        <x:v>396770</x:v>
      </x:c>
      <x:c r="D519" s="15" t="n">
        <x:f>C519/SUM($C$5:$C$2477)</x:f>
        <x:v>0.0004635160892682245</x:v>
      </x:c>
      <x:c r="E519" s="15" t="n">
        <x:f>SUM($D$5:D519)</x:f>
        <x:v>0.8361724748122854</x:v>
      </x:c>
      <x:c r="F519" s="1" t="str">
        <x:f>IF(C519&lt;=0,"C",IF(E519-D519&lt;'Дашборд'!$C$49,"A",IF(E519-D519&lt;'Дашборд'!$C$50,"B","C")))</x:f>
        <x:v>B</x:v>
      </x:c>
      <x:c r="G519" s="8" t="n">
        <x:f>'Данные'!F519</x:f>
        <x:v>522</x:v>
      </x:c>
      <x:c r="H519" s="8" t="n">
        <x:f>SUM('Данные'!H519:I519)</x:f>
        <x:v>354</x:v>
      </x:c>
      <x:c r="I519" s="16" t="n">
        <x:f>IF(H519&gt;0,G519/H519,"n.a.")</x:f>
        <x:v>1.4745762711864407</x:v>
      </x:c>
      <x:c r="J519" s="10" t="n">
        <x:f>IF('Данные'!E519&gt;0,G519/'Данные'!E519,"n.a.")</x:f>
        <x:v>0.012120086373029325</x:v>
      </x:c>
      <x:c r="K519" s="1" t="str">
        <x:f>IF(G519&gt;='Дашборд'!$C$51,"X","Z")</x:f>
        <x:v>X</x:v>
      </x:c>
      <x:c r="L519" s="1" t="str">
        <x:f>IF(H519=0,IF(G519&gt;0,"Нет остатка","Нет спроса"),IF(I519&gt;='Дашборд'!$C$52,"Быстрый","Медленный"))</x:f>
        <x:v>Быстрый</x:v>
      </x:c>
      <x:c r="M519" s="1" t="str">
        <x:f>IF('Данные'!E519&lt;'Дашборд'!$C$53,"Мало трафика",IF(J519&lt;'Дашборд'!$C$9*'Дашборд'!$C$54,"Да","Нет"))</x:f>
        <x:v>Нет</x:v>
      </x:c>
      <x:c r="N519" s="1" t="str">
        <x:f>IF(AND('Данные'!D519&gt;='Дашборд'!$C$55,D519&lt;'Дашборд'!$C$56,'Данные'!E519&gt;='Дашборд'!$C$53,'Данные'!L519&lt;&gt;"Да"),"Да","Нет")</x:f>
        <x:v>Да</x:v>
      </x:c>
      <x:c r="O519" s="1" t="str">
        <x:f>'Данные'!L519</x:f>
        <x:v>Нет</x:v>
      </x:c>
    </x:row>
    <x:row r="520">
      <x:c r="A520" s="1" t="str">
        <x:f>'Данные'!A520</x:f>
        <x:v>166214977</x:v>
      </x:c>
      <x:c r="B520" s="1" t="str">
        <x:f>'Данные'!B520</x:f>
        <x:v>hudiman/красный</x:v>
      </x:c>
      <x:c r="C520" s="8" t="n">
        <x:f>'Данные'!G520</x:f>
        <x:v>396554</x:v>
      </x:c>
      <x:c r="D520" s="15" t="n">
        <x:f>C520/SUM($C$5:$C$2477)</x:f>
        <x:v>0.000463263752964366</x:v>
      </x:c>
      <x:c r="E520" s="15" t="n">
        <x:f>SUM($D$5:D520)</x:f>
        <x:v>0.8366357385652498</x:v>
      </x:c>
      <x:c r="F520" s="1" t="str">
        <x:f>IF(C520&lt;=0,"C",IF(E520-D520&lt;'Дашборд'!$C$49,"A",IF(E520-D520&lt;'Дашборд'!$C$50,"B","C")))</x:f>
        <x:v>B</x:v>
      </x:c>
      <x:c r="G520" s="8" t="n">
        <x:f>'Данные'!F520</x:f>
        <x:v>401</x:v>
      </x:c>
      <x:c r="H520" s="8" t="n">
        <x:f>SUM('Данные'!H520:I520)</x:f>
        <x:v>257</x:v>
      </x:c>
      <x:c r="I520" s="16" t="n">
        <x:f>IF(H520&gt;0,G520/H520,"n.a.")</x:f>
        <x:v>1.5603112840466926</x:v>
      </x:c>
      <x:c r="J520" s="10" t="n">
        <x:f>IF('Данные'!E520&gt;0,G520/'Данные'!E520,"n.a.")</x:f>
        <x:v>0.030881786676934926</x:v>
      </x:c>
      <x:c r="K520" s="1" t="str">
        <x:f>IF(G520&gt;='Дашборд'!$C$51,"X","Z")</x:f>
        <x:v>X</x:v>
      </x:c>
      <x:c r="L520" s="1" t="str">
        <x:f>IF(H520=0,IF(G520&gt;0,"Нет остатка","Нет спроса"),IF(I520&gt;='Дашборд'!$C$52,"Быстрый","Медленный"))</x:f>
        <x:v>Быстрый</x:v>
      </x:c>
      <x:c r="M520" s="1" t="str">
        <x:f>IF('Данные'!E520&lt;'Дашборд'!$C$53,"Мало трафика",IF(J520&lt;'Дашборд'!$C$9*'Дашборд'!$C$54,"Да","Нет"))</x:f>
        <x:v>Нет</x:v>
      </x:c>
      <x:c r="N520" s="1" t="str">
        <x:f>IF(AND('Данные'!D520&gt;='Дашборд'!$C$55,D520&lt;'Дашборд'!$C$56,'Данные'!E520&gt;='Дашборд'!$C$53,'Данные'!L520&lt;&gt;"Да"),"Да","Нет")</x:f>
        <x:v>Да</x:v>
      </x:c>
      <x:c r="O520" s="1" t="str">
        <x:f>'Данные'!L520</x:f>
        <x:v>Нет</x:v>
      </x:c>
    </x:row>
    <x:row r="521">
      <x:c r="A521" s="1" t="str">
        <x:f>'Данные'!A521</x:f>
        <x:v>222793411</x:v>
      </x:c>
      <x:c r="B521" s="1" t="str">
        <x:f>'Данные'!B521</x:f>
        <x:v>brukipetl/черный</x:v>
      </x:c>
      <x:c r="C521" s="8" t="n">
        <x:f>'Данные'!G521</x:f>
        <x:v>396550</x:v>
      </x:c>
      <x:c r="D521" s="15" t="n">
        <x:f>C521/SUM($C$5:$C$2477)</x:f>
        <x:v>0.0004632590800698501</x:v>
      </x:c>
      <x:c r="E521" s="15" t="n">
        <x:f>SUM($D$5:D521)</x:f>
        <x:v>0.8370989976453196</x:v>
      </x:c>
      <x:c r="F521" s="1" t="str">
        <x:f>IF(C521&lt;=0,"C",IF(E521-D521&lt;'Дашборд'!$C$49,"A",IF(E521-D521&lt;'Дашборд'!$C$50,"B","C")))</x:f>
        <x:v>B</x:v>
      </x:c>
      <x:c r="G521" s="8" t="n">
        <x:f>'Данные'!F521</x:f>
        <x:v>714</x:v>
      </x:c>
      <x:c r="H521" s="8" t="n">
        <x:f>SUM('Данные'!H521:I521)</x:f>
        <x:v>81</x:v>
      </x:c>
      <x:c r="I521" s="16" t="n">
        <x:f>IF(H521&gt;0,G521/H521,"n.a.")</x:f>
        <x:v>8.814814814814815</x:v>
      </x:c>
      <x:c r="J521" s="10" t="n">
        <x:f>IF('Данные'!E521&gt;0,G521/'Данные'!E521,"n.a.")</x:f>
        <x:v>0.026325492220337733</x:v>
      </x:c>
      <x:c r="K521" s="1" t="str">
        <x:f>IF(G521&gt;='Дашборд'!$C$51,"X","Z")</x:f>
        <x:v>X</x:v>
      </x:c>
      <x:c r="L521" s="1" t="str">
        <x:f>IF(H521=0,IF(G521&gt;0,"Нет остатка","Нет спроса"),IF(I521&gt;='Дашборд'!$C$52,"Быстрый","Медленный"))</x:f>
        <x:v>Быстрый</x:v>
      </x:c>
      <x:c r="M521" s="1" t="str">
        <x:f>IF('Данные'!E521&lt;'Дашборд'!$C$53,"Мало трафика",IF(J521&lt;'Дашборд'!$C$9*'Дашборд'!$C$54,"Да","Нет"))</x:f>
        <x:v>Нет</x:v>
      </x:c>
      <x:c r="N521" s="1" t="str">
        <x:f>IF(AND('Данные'!D521&gt;='Дашборд'!$C$55,D521&lt;'Дашборд'!$C$56,'Данные'!E521&gt;='Дашборд'!$C$53,'Данные'!L521&lt;&gt;"Да"),"Да","Нет")</x:f>
        <x:v>Нет</x:v>
      </x:c>
      <x:c r="O521" s="1" t="str">
        <x:f>'Данные'!L521</x:f>
        <x:v>Нет</x:v>
      </x:c>
    </x:row>
    <x:row r="522">
      <x:c r="A522" s="1" t="str">
        <x:f>'Данные'!A522</x:f>
        <x:v>211336670</x:v>
      </x:c>
      <x:c r="B522" s="1" t="str">
        <x:f>'Данные'!B522</x:f>
        <x:v>tolstovkazipcrop/темно-серый</x:v>
      </x:c>
      <x:c r="C522" s="8" t="n">
        <x:f>'Данные'!G522</x:f>
        <x:v>395652</x:v>
      </x:c>
      <x:c r="D522" s="15" t="n">
        <x:f>C522/SUM($C$5:$C$2477)</x:f>
        <x:v>0.00046221001525103097</x:v>
      </x:c>
      <x:c r="E522" s="15" t="n">
        <x:f>SUM($D$5:D522)</x:f>
        <x:v>0.8375612076605706</x:v>
      </x:c>
      <x:c r="F522" s="1" t="str">
        <x:f>IF(C522&lt;=0,"C",IF(E522-D522&lt;'Дашборд'!$C$49,"A",IF(E522-D522&lt;'Дашборд'!$C$50,"B","C")))</x:f>
        <x:v>B</x:v>
      </x:c>
      <x:c r="G522" s="8" t="n">
        <x:f>'Данные'!F522</x:f>
        <x:v>406</x:v>
      </x:c>
      <x:c r="H522" s="8" t="n">
        <x:f>SUM('Данные'!H522:I522)</x:f>
        <x:v>4</x:v>
      </x:c>
      <x:c r="I522" s="16" t="n">
        <x:f>IF(H522&gt;0,G522/H522,"n.a.")</x:f>
        <x:v>101.5</x:v>
      </x:c>
      <x:c r="J522" s="10" t="n">
        <x:f>IF('Данные'!E522&gt;0,G522/'Данные'!E522,"n.a.")</x:f>
        <x:v>0.009841708481807383</x:v>
      </x:c>
      <x:c r="K522" s="1" t="str">
        <x:f>IF(G522&gt;='Дашборд'!$C$51,"X","Z")</x:f>
        <x:v>X</x:v>
      </x:c>
      <x:c r="L522" s="1" t="str">
        <x:f>IF(H522=0,IF(G522&gt;0,"Нет остатка","Нет спроса"),IF(I522&gt;='Дашборд'!$C$52,"Быстрый","Медленный"))</x:f>
        <x:v>Быстрый</x:v>
      </x:c>
      <x:c r="M522" s="1" t="str">
        <x:f>IF('Данные'!E522&lt;'Дашборд'!$C$53,"Мало трафика",IF(J522&lt;'Дашборд'!$C$9*'Дашборд'!$C$54,"Да","Нет"))</x:f>
        <x:v>Да</x:v>
      </x:c>
      <x:c r="N522" s="1" t="str">
        <x:f>IF(AND('Данные'!D522&gt;='Дашборд'!$C$55,D522&lt;'Дашборд'!$C$56,'Данные'!E522&gt;='Дашборд'!$C$53,'Данные'!L522&lt;&gt;"Да"),"Да","Нет")</x:f>
        <x:v>Нет</x:v>
      </x:c>
      <x:c r="O522" s="1" t="str">
        <x:f>'Данные'!L522</x:f>
        <x:v>Нет</x:v>
      </x:c>
    </x:row>
    <x:row r="523">
      <x:c r="A523" s="1" t="str">
        <x:f>'Данные'!A523</x:f>
        <x:v>332569879</x:v>
      </x:c>
      <x:c r="B523" s="1" t="str">
        <x:f>'Данные'!B523</x:f>
        <x:v>shortyman4P-91/черный</x:v>
      </x:c>
      <x:c r="C523" s="8" t="n">
        <x:f>'Данные'!G523</x:f>
        <x:v>392452</x:v>
      </x:c>
      <x:c r="D523" s="15" t="n">
        <x:f>C523/SUM($C$5:$C$2477)</x:f>
        <x:v>0.00045847169963831246</x:v>
      </x:c>
      <x:c r="E523" s="15" t="n">
        <x:f>SUM($D$5:D523)</x:f>
        <x:v>0.8380196793602089</x:v>
      </x:c>
      <x:c r="F523" s="1" t="str">
        <x:f>IF(C523&lt;=0,"C",IF(E523-D523&lt;'Дашборд'!$C$49,"A",IF(E523-D523&lt;'Дашборд'!$C$50,"B","C")))</x:f>
        <x:v>B</x:v>
      </x:c>
      <x:c r="G523" s="8" t="n">
        <x:f>'Данные'!F523</x:f>
        <x:v>615</x:v>
      </x:c>
      <x:c r="H523" s="8" t="n">
        <x:f>SUM('Данные'!H523:I523)</x:f>
        <x:v>2</x:v>
      </x:c>
      <x:c r="I523" s="16" t="n">
        <x:f>IF(H523&gt;0,G523/H523,"n.a.")</x:f>
        <x:v>307.5</x:v>
      </x:c>
      <x:c r="J523" s="10" t="n">
        <x:f>IF('Данные'!E523&gt;0,G523/'Данные'!E523,"n.a.")</x:f>
        <x:v>0.025839250451661695</x:v>
      </x:c>
      <x:c r="K523" s="1" t="str">
        <x:f>IF(G523&gt;='Дашборд'!$C$51,"X","Z")</x:f>
        <x:v>X</x:v>
      </x:c>
      <x:c r="L523" s="1" t="str">
        <x:f>IF(H523=0,IF(G523&gt;0,"Нет остатка","Нет спроса"),IF(I523&gt;='Дашборд'!$C$52,"Быстрый","Медленный"))</x:f>
        <x:v>Быстрый</x:v>
      </x:c>
      <x:c r="M523" s="1" t="str">
        <x:f>IF('Данные'!E523&lt;'Дашборд'!$C$53,"Мало трафика",IF(J523&lt;'Дашборд'!$C$9*'Дашборд'!$C$54,"Да","Нет"))</x:f>
        <x:v>Нет</x:v>
      </x:c>
      <x:c r="N523" s="1" t="str">
        <x:f>IF(AND('Данные'!D523&gt;='Дашборд'!$C$55,D523&lt;'Дашборд'!$C$56,'Данные'!E523&gt;='Дашборд'!$C$53,'Данные'!L523&lt;&gt;"Да"),"Да","Нет")</x:f>
        <x:v>Нет</x:v>
      </x:c>
      <x:c r="O523" s="1" t="str">
        <x:f>'Данные'!L523</x:f>
        <x:v>Нет</x:v>
      </x:c>
    </x:row>
    <x:row r="524">
      <x:c r="A524" s="1" t="str">
        <x:f>'Данные'!A524</x:f>
        <x:v>114570373</x:v>
      </x:c>
      <x:c r="B524" s="1" t="str">
        <x:f>'Данные'!B524</x:f>
        <x:v>svitshotover/черный</x:v>
      </x:c>
      <x:c r="C524" s="8" t="n">
        <x:f>'Данные'!G524</x:f>
        <x:v>391875</x:v>
      </x:c>
      <x:c r="D524" s="15" t="n">
        <x:f>C524/SUM($C$5:$C$2477)</x:f>
        <x:v>0.0004577976346043942</x:v>
      </x:c>
      <x:c r="E524" s="15" t="n">
        <x:f>SUM($D$5:D524)</x:f>
        <x:v>0.8384774769948133</x:v>
      </x:c>
      <x:c r="F524" s="1" t="str">
        <x:f>IF(C524&lt;=0,"C",IF(E524-D524&lt;'Дашборд'!$C$49,"A",IF(E524-D524&lt;'Дашборд'!$C$50,"B","C")))</x:f>
        <x:v>B</x:v>
      </x:c>
      <x:c r="G524" s="8" t="n">
        <x:f>'Данные'!F524</x:f>
        <x:v>455</x:v>
      </x:c>
      <x:c r="H524" s="8" t="n">
        <x:f>SUM('Данные'!H524:I524)</x:f>
        <x:v>1416</x:v>
      </x:c>
      <x:c r="I524" s="16" t="n">
        <x:f>IF(H524&gt;0,G524/H524,"n.a.")</x:f>
        <x:v>0.3213276836158192</x:v>
      </x:c>
      <x:c r="J524" s="10" t="n">
        <x:f>IF('Данные'!E524&gt;0,G524/'Данные'!E524,"n.a.")</x:f>
        <x:v>0.018926788685524127</x:v>
      </x:c>
      <x:c r="K524" s="1" t="str">
        <x:f>IF(G524&gt;='Дашборд'!$C$51,"X","Z")</x:f>
        <x:v>X</x:v>
      </x:c>
      <x:c r="L524" s="1" t="str">
        <x:f>IF(H524=0,IF(G524&gt;0,"Нет остатка","Нет спроса"),IF(I524&gt;='Дашборд'!$C$52,"Быстрый","Медленный"))</x:f>
        <x:v>Медленный</x:v>
      </x:c>
      <x:c r="M524" s="1" t="str">
        <x:f>IF('Данные'!E524&lt;'Дашборд'!$C$53,"Мало трафика",IF(J524&lt;'Дашборд'!$C$9*'Дашборд'!$C$54,"Да","Нет"))</x:f>
        <x:v>Нет</x:v>
      </x:c>
      <x:c r="N524" s="1" t="str">
        <x:f>IF(AND('Данные'!D524&gt;='Дашборд'!$C$55,D524&lt;'Дашборд'!$C$56,'Данные'!E524&gt;='Дашборд'!$C$53,'Данные'!L524&lt;&gt;"Да"),"Да","Нет")</x:f>
        <x:v>Да</x:v>
      </x:c>
      <x:c r="O524" s="1" t="str">
        <x:f>'Данные'!L524</x:f>
        <x:v>Нет</x:v>
      </x:c>
    </x:row>
    <x:row r="525">
      <x:c r="A525" s="1" t="str">
        <x:f>'Данные'!A525</x:f>
        <x:v>158427980</x:v>
      </x:c>
      <x:c r="B525" s="1" t="str">
        <x:f>'Данные'!B525</x:f>
        <x:v>kostumman/сине-серый</x:v>
      </x:c>
      <x:c r="C525" s="8" t="n">
        <x:f>'Данные'!G525</x:f>
        <x:v>388758</x:v>
      </x:c>
      <x:c r="D525" s="15" t="n">
        <x:f>C525/SUM($C$5:$C$2477)</x:f>
        <x:v>0.00045415628155288056</x:v>
      </x:c>
      <x:c r="E525" s="15" t="n">
        <x:f>SUM($D$5:D525)</x:f>
        <x:v>0.8389316332763662</x:v>
      </x:c>
      <x:c r="F525" s="1" t="str">
        <x:f>IF(C525&lt;=0,"C",IF(E525-D525&lt;'Дашборд'!$C$49,"A",IF(E525-D525&lt;'Дашборд'!$C$50,"B","C")))</x:f>
        <x:v>B</x:v>
      </x:c>
      <x:c r="G525" s="8" t="n">
        <x:f>'Данные'!F525</x:f>
        <x:v>244</x:v>
      </x:c>
      <x:c r="H525" s="8" t="n">
        <x:f>SUM('Данные'!H525:I525)</x:f>
        <x:v>582</x:v>
      </x:c>
      <x:c r="I525" s="16" t="n">
        <x:f>IF(H525&gt;0,G525/H525,"n.a.")</x:f>
        <x:v>0.41924398625429554</x:v>
      </x:c>
      <x:c r="J525" s="10" t="n">
        <x:f>IF('Данные'!E525&gt;0,G525/'Данные'!E525,"n.a.")</x:f>
        <x:v>0.02112919986144787</x:v>
      </x:c>
      <x:c r="K525" s="1" t="str">
        <x:f>IF(G525&gt;='Дашборд'!$C$51,"X","Z")</x:f>
        <x:v>Z</x:v>
      </x:c>
      <x:c r="L525" s="1" t="str">
        <x:f>IF(H525=0,IF(G525&gt;0,"Нет остатка","Нет спроса"),IF(I525&gt;='Дашборд'!$C$52,"Быстрый","Медленный"))</x:f>
        <x:v>Медленный</x:v>
      </x:c>
      <x:c r="M525" s="1" t="str">
        <x:f>IF('Данные'!E525&lt;'Дашборд'!$C$53,"Мало трафика",IF(J525&lt;'Дашборд'!$C$9*'Дашборд'!$C$54,"Да","Нет"))</x:f>
        <x:v>Нет</x:v>
      </x:c>
      <x:c r="N525" s="1" t="str">
        <x:f>IF(AND('Данные'!D525&gt;='Дашборд'!$C$55,D525&lt;'Дашборд'!$C$56,'Данные'!E525&gt;='Дашборд'!$C$53,'Данные'!L525&lt;&gt;"Да"),"Да","Нет")</x:f>
        <x:v>Да</x:v>
      </x:c>
      <x:c r="O525" s="1" t="str">
        <x:f>'Данные'!L525</x:f>
        <x:v>Нет</x:v>
      </x:c>
    </x:row>
    <x:row r="526">
      <x:c r="A526" s="1" t="str">
        <x:f>'Данные'!A526</x:f>
        <x:v>198068994</x:v>
      </x:c>
      <x:c r="B526" s="1" t="str">
        <x:f>'Данные'!B526</x:f>
        <x:v>svitshotzip1/серыймеланж2</x:v>
      </x:c>
      <x:c r="C526" s="8" t="n">
        <x:f>'Данные'!G526</x:f>
        <x:v>388204</x:v>
      </x:c>
      <x:c r="D526" s="15" t="n">
        <x:f>C526/SUM($C$5:$C$2477)</x:f>
        <x:v>0.00045350908566242865</x:v>
      </x:c>
      <x:c r="E526" s="15" t="n">
        <x:f>SUM($D$5:D526)</x:f>
        <x:v>0.8393851423620287</x:v>
      </x:c>
      <x:c r="F526" s="1" t="str">
        <x:f>IF(C526&lt;=0,"C",IF(E526-D526&lt;'Дашборд'!$C$49,"A",IF(E526-D526&lt;'Дашборд'!$C$50,"B","C")))</x:f>
        <x:v>B</x:v>
      </x:c>
      <x:c r="G526" s="8" t="n">
        <x:f>'Данные'!F526</x:f>
        <x:v>351</x:v>
      </x:c>
      <x:c r="H526" s="8" t="n">
        <x:f>SUM('Данные'!H526:I526)</x:f>
        <x:v>82</x:v>
      </x:c>
      <x:c r="I526" s="16" t="n">
        <x:f>IF(H526&gt;0,G526/H526,"n.a.")</x:f>
        <x:v>4.280487804878049</x:v>
      </x:c>
      <x:c r="J526" s="10" t="n">
        <x:f>IF('Данные'!E526&gt;0,G526/'Данные'!E526,"n.a.")</x:f>
        <x:v>0.013135735938026272</x:v>
      </x:c>
      <x:c r="K526" s="1" t="str">
        <x:f>IF(G526&gt;='Дашборд'!$C$51,"X","Z")</x:f>
        <x:v>X</x:v>
      </x:c>
      <x:c r="L526" s="1" t="str">
        <x:f>IF(H526=0,IF(G526&gt;0,"Нет остатка","Нет спроса"),IF(I526&gt;='Дашборд'!$C$52,"Быстрый","Медленный"))</x:f>
        <x:v>Быстрый</x:v>
      </x:c>
      <x:c r="M526" s="1" t="str">
        <x:f>IF('Данные'!E526&lt;'Дашборд'!$C$53,"Мало трафика",IF(J526&lt;'Дашборд'!$C$9*'Дашборд'!$C$54,"Да","Нет"))</x:f>
        <x:v>Нет</x:v>
      </x:c>
      <x:c r="N526" s="1" t="str">
        <x:f>IF(AND('Данные'!D526&gt;='Дашборд'!$C$55,D526&lt;'Дашборд'!$C$56,'Данные'!E526&gt;='Дашборд'!$C$53,'Данные'!L526&lt;&gt;"Да"),"Да","Нет")</x:f>
        <x:v>Да</x:v>
      </x:c>
      <x:c r="O526" s="1" t="str">
        <x:f>'Данные'!L526</x:f>
        <x:v>Нет</x:v>
      </x:c>
    </x:row>
    <x:row r="527">
      <x:c r="A527" s="1" t="str">
        <x:f>'Данные'!A527</x:f>
        <x:v>289098362</x:v>
      </x:c>
      <x:c r="B527" s="1" t="str">
        <x:f>'Данные'!B527</x:f>
        <x:v>tolstovkazip3F-71/серыймеланж2</x:v>
      </x:c>
      <x:c r="C527" s="8" t="n">
        <x:f>'Данные'!G527</x:f>
        <x:v>387414</x:v>
      </x:c>
      <x:c r="D527" s="15" t="n">
        <x:f>C527/SUM($C$5:$C$2477)</x:f>
        <x:v>0.0004525861889955388</x:v>
      </x:c>
      <x:c r="E527" s="15" t="n">
        <x:f>SUM($D$5:D527)</x:f>
        <x:v>0.8398377285510242</x:v>
      </x:c>
      <x:c r="F527" s="1" t="str">
        <x:f>IF(C527&lt;=0,"C",IF(E527-D527&lt;'Дашборд'!$C$49,"A",IF(E527-D527&lt;'Дашборд'!$C$50,"B","C")))</x:f>
        <x:v>B</x:v>
      </x:c>
      <x:c r="G527" s="8" t="n">
        <x:f>'Данные'!F527</x:f>
        <x:v>354</x:v>
      </x:c>
      <x:c r="H527" s="8" t="n">
        <x:f>SUM('Данные'!H527:I527)</x:f>
        <x:v>1</x:v>
      </x:c>
      <x:c r="I527" s="16" t="n">
        <x:f>IF(H527&gt;0,G527/H527,"n.a.")</x:f>
        <x:v>354</x:v>
      </x:c>
      <x:c r="J527" s="10" t="n">
        <x:f>IF('Данные'!E527&gt;0,G527/'Данные'!E527,"n.a.")</x:f>
        <x:v>0.0074762407602956705</x:v>
      </x:c>
      <x:c r="K527" s="1" t="str">
        <x:f>IF(G527&gt;='Дашборд'!$C$51,"X","Z")</x:f>
        <x:v>X</x:v>
      </x:c>
      <x:c r="L527" s="1" t="str">
        <x:f>IF(H527=0,IF(G527&gt;0,"Нет остатка","Нет спроса"),IF(I527&gt;='Дашборд'!$C$52,"Быстрый","Медленный"))</x:f>
        <x:v>Быстрый</x:v>
      </x:c>
      <x:c r="M527" s="1" t="str">
        <x:f>IF('Данные'!E527&lt;'Дашборд'!$C$53,"Мало трафика",IF(J527&lt;'Дашборд'!$C$9*'Дашборд'!$C$54,"Да","Нет"))</x:f>
        <x:v>Да</x:v>
      </x:c>
      <x:c r="N527" s="1" t="str">
        <x:f>IF(AND('Данные'!D527&gt;='Дашборд'!$C$55,D527&lt;'Дашборд'!$C$56,'Данные'!E527&gt;='Дашборд'!$C$53,'Данные'!L527&lt;&gt;"Да"),"Да","Нет")</x:f>
        <x:v>Нет</x:v>
      </x:c>
      <x:c r="O527" s="1" t="str">
        <x:f>'Данные'!L527</x:f>
        <x:v>Нет</x:v>
      </x:c>
    </x:row>
    <x:row r="528">
      <x:c r="A528" s="1" t="str">
        <x:f>'Данные'!A528</x:f>
        <x:v>377595931</x:v>
      </x:c>
      <x:c r="B528" s="1" t="str">
        <x:f>'Данные'!B528</x:f>
        <x:v>tolstovkazip3P-70/коричневый</x:v>
      </x:c>
      <x:c r="C528" s="8" t="n">
        <x:f>'Данные'!G528</x:f>
        <x:v>387358</x:v>
      </x:c>
      <x:c r="D528" s="15" t="n">
        <x:f>C528/SUM($C$5:$C$2477)</x:f>
        <x:v>0.0004525207684723162</x:v>
      </x:c>
      <x:c r="E528" s="15" t="n">
        <x:f>SUM($D$5:D528)</x:f>
        <x:v>0.8402902493194966</x:v>
      </x:c>
      <x:c r="F528" s="1" t="str">
        <x:f>IF(C528&lt;=0,"C",IF(E528-D528&lt;'Дашборд'!$C$49,"A",IF(E528-D528&lt;'Дашборд'!$C$50,"B","C")))</x:f>
        <x:v>B</x:v>
      </x:c>
      <x:c r="G528" s="8" t="n">
        <x:f>'Данные'!F528</x:f>
        <x:v>529</x:v>
      </x:c>
      <x:c r="H528" s="8" t="n">
        <x:f>SUM('Данные'!H528:I528)</x:f>
        <x:v>7</x:v>
      </x:c>
      <x:c r="I528" s="16" t="n">
        <x:f>IF(H528&gt;0,G528/H528,"n.a.")</x:f>
        <x:v>75.57142857142857</x:v>
      </x:c>
      <x:c r="J528" s="10" t="n">
        <x:f>IF('Данные'!E528&gt;0,G528/'Данные'!E528,"n.a.")</x:f>
        <x:v>0.013096652802535155</x:v>
      </x:c>
      <x:c r="K528" s="1" t="str">
        <x:f>IF(G528&gt;='Дашборд'!$C$51,"X","Z")</x:f>
        <x:v>X</x:v>
      </x:c>
      <x:c r="L528" s="1" t="str">
        <x:f>IF(H528=0,IF(G528&gt;0,"Нет остатка","Нет спроса"),IF(I528&gt;='Дашборд'!$C$52,"Быстрый","Медленный"))</x:f>
        <x:v>Быстрый</x:v>
      </x:c>
      <x:c r="M528" s="1" t="str">
        <x:f>IF('Данные'!E528&lt;'Дашборд'!$C$53,"Мало трафика",IF(J528&lt;'Дашборд'!$C$9*'Дашборд'!$C$54,"Да","Нет"))</x:f>
        <x:v>Нет</x:v>
      </x:c>
      <x:c r="N528" s="1" t="str">
        <x:f>IF(AND('Данные'!D528&gt;='Дашборд'!$C$55,D528&lt;'Дашборд'!$C$56,'Данные'!E528&gt;='Дашборд'!$C$53,'Данные'!L528&lt;&gt;"Да"),"Да","Нет")</x:f>
        <x:v>Да</x:v>
      </x:c>
      <x:c r="O528" s="1" t="str">
        <x:f>'Данные'!L528</x:f>
        <x:v>Нет</x:v>
      </x:c>
    </x:row>
    <x:row r="529">
      <x:c r="A529" s="1" t="str">
        <x:f>'Данные'!A529</x:f>
        <x:v>264722493</x:v>
      </x:c>
      <x:c r="B529" s="1" t="str">
        <x:f>'Данные'!B529</x:f>
        <x:v>svitshotzip1/бордовый</x:v>
      </x:c>
      <x:c r="C529" s="8" t="n">
        <x:f>'Данные'!G529</x:f>
        <x:v>386740</x:v>
      </x:c>
      <x:c r="D529" s="15" t="n">
        <x:f>C529/SUM($C$5:$C$2477)</x:f>
        <x:v>0.00045179880626960994</x:v>
      </x:c>
      <x:c r="E529" s="15" t="n">
        <x:f>SUM($D$5:D529)</x:f>
        <x:v>0.8407420481257663</x:v>
      </x:c>
      <x:c r="F529" s="1" t="str">
        <x:f>IF(C529&lt;=0,"C",IF(E529-D529&lt;'Дашборд'!$C$49,"A",IF(E529-D529&lt;'Дашборд'!$C$50,"B","C")))</x:f>
        <x:v>B</x:v>
      </x:c>
      <x:c r="G529" s="8" t="n">
        <x:f>'Данные'!F529</x:f>
        <x:v>381</x:v>
      </x:c>
      <x:c r="H529" s="8" t="n">
        <x:f>SUM('Данные'!H529:I529)</x:f>
        <x:v>42</x:v>
      </x:c>
      <x:c r="I529" s="16" t="n">
        <x:f>IF(H529&gt;0,G529/H529,"n.a.")</x:f>
        <x:v>9.071428571428571</x:v>
      </x:c>
      <x:c r="J529" s="10" t="n">
        <x:f>IF('Данные'!E529&gt;0,G529/'Данные'!E529,"n.a.")</x:f>
        <x:v>0.018110086510124537</x:v>
      </x:c>
      <x:c r="K529" s="1" t="str">
        <x:f>IF(G529&gt;='Дашборд'!$C$51,"X","Z")</x:f>
        <x:v>X</x:v>
      </x:c>
      <x:c r="L529" s="1" t="str">
        <x:f>IF(H529=0,IF(G529&gt;0,"Нет остатка","Нет спроса"),IF(I529&gt;='Дашборд'!$C$52,"Быстрый","Медленный"))</x:f>
        <x:v>Быстрый</x:v>
      </x:c>
      <x:c r="M529" s="1" t="str">
        <x:f>IF('Данные'!E529&lt;'Дашборд'!$C$53,"Мало трафика",IF(J529&lt;'Дашборд'!$C$9*'Дашборд'!$C$54,"Да","Нет"))</x:f>
        <x:v>Нет</x:v>
      </x:c>
      <x:c r="N529" s="1" t="str">
        <x:f>IF(AND('Данные'!D529&gt;='Дашборд'!$C$55,D529&lt;'Дашборд'!$C$56,'Данные'!E529&gt;='Дашборд'!$C$53,'Данные'!L529&lt;&gt;"Да"),"Да","Нет")</x:f>
        <x:v>Да</x:v>
      </x:c>
      <x:c r="O529" s="1" t="str">
        <x:f>'Данные'!L529</x:f>
        <x:v>Нет</x:v>
      </x:c>
    </x:row>
    <x:row r="530">
      <x:c r="A530" s="1" t="str">
        <x:f>'Данные'!A530</x:f>
        <x:v>377595930</x:v>
      </x:c>
      <x:c r="B530" s="1" t="str">
        <x:f>'Данные'!B530</x:f>
        <x:v>tolstovkazip3P-70/молочный</x:v>
      </x:c>
      <x:c r="C530" s="8" t="n">
        <x:f>'Данные'!G530</x:f>
        <x:v>386348</x:v>
      </x:c>
      <x:c r="D530" s="15" t="n">
        <x:f>C530/SUM($C$5:$C$2477)</x:f>
        <x:v>0.0004513408626070519</x:v>
      </x:c>
      <x:c r="E530" s="15" t="n">
        <x:f>SUM($D$5:D530)</x:f>
        <x:v>0.8411933889883733</x:v>
      </x:c>
      <x:c r="F530" s="1" t="str">
        <x:f>IF(C530&lt;=0,"C",IF(E530-D530&lt;'Дашборд'!$C$49,"A",IF(E530-D530&lt;'Дашборд'!$C$50,"B","C")))</x:f>
        <x:v>B</x:v>
      </x:c>
      <x:c r="G530" s="8" t="n">
        <x:f>'Данные'!F530</x:f>
        <x:v>605</x:v>
      </x:c>
      <x:c r="H530" s="8" t="n">
        <x:f>SUM('Данные'!H530:I530)</x:f>
        <x:v>2</x:v>
      </x:c>
      <x:c r="I530" s="16" t="n">
        <x:f>IF(H530&gt;0,G530/H530,"n.a.")</x:f>
        <x:v>302.5</x:v>
      </x:c>
      <x:c r="J530" s="10" t="n">
        <x:f>IF('Данные'!E530&gt;0,G530/'Данные'!E530,"n.a.")</x:f>
        <x:v>0.011992071357779981</x:v>
      </x:c>
      <x:c r="K530" s="1" t="str">
        <x:f>IF(G530&gt;='Дашборд'!$C$51,"X","Z")</x:f>
        <x:v>X</x:v>
      </x:c>
      <x:c r="L530" s="1" t="str">
        <x:f>IF(H530=0,IF(G530&gt;0,"Нет остатка","Нет спроса"),IF(I530&gt;='Дашборд'!$C$52,"Быстрый","Медленный"))</x:f>
        <x:v>Быстрый</x:v>
      </x:c>
      <x:c r="M530" s="1" t="str">
        <x:f>IF('Данные'!E530&lt;'Дашборд'!$C$53,"Мало трафика",IF(J530&lt;'Дашборд'!$C$9*'Дашборд'!$C$54,"Да","Нет"))</x:f>
        <x:v>Нет</x:v>
      </x:c>
      <x:c r="N530" s="1" t="str">
        <x:f>IF(AND('Данные'!D530&gt;='Дашборд'!$C$55,D530&lt;'Дашборд'!$C$56,'Данные'!E530&gt;='Дашборд'!$C$53,'Данные'!L530&lt;&gt;"Да"),"Да","Нет")</x:f>
        <x:v>Да</x:v>
      </x:c>
      <x:c r="O530" s="1" t="str">
        <x:f>'Данные'!L530</x:f>
        <x:v>Нет</x:v>
      </x:c>
    </x:row>
    <x:row r="531">
      <x:c r="A531" s="1" t="str">
        <x:f>'Данные'!A531</x:f>
        <x:v>333242660</x:v>
      </x:c>
      <x:c r="B531" s="1" t="str">
        <x:f>'Данные'!B531</x:f>
        <x:v>futbolkamanoverX3/чер-бел-тсин</x:v>
      </x:c>
      <x:c r="C531" s="8" t="n">
        <x:f>'Данные'!G531</x:f>
        <x:v>385736</x:v>
      </x:c>
      <x:c r="D531" s="15" t="n">
        <x:f>C531/SUM($C$5:$C$2477)</x:f>
        <x:v>0.00045062590974611955</x:v>
      </x:c>
      <x:c r="E531" s="15" t="n">
        <x:f>SUM($D$5:D531)</x:f>
        <x:v>0.8416440148981194</x:v>
      </x:c>
      <x:c r="F531" s="1" t="str">
        <x:f>IF(C531&lt;=0,"C",IF(E531-D531&lt;'Дашборд'!$C$49,"A",IF(E531-D531&lt;'Дашборд'!$C$50,"B","C")))</x:f>
        <x:v>B</x:v>
      </x:c>
      <x:c r="G531" s="8" t="n">
        <x:f>'Данные'!F531</x:f>
        <x:v>407</x:v>
      </x:c>
      <x:c r="H531" s="8" t="n">
        <x:f>SUM('Данные'!H531:I531)</x:f>
        <x:v>525</x:v>
      </x:c>
      <x:c r="I531" s="16" t="n">
        <x:f>IF(H531&gt;0,G531/H531,"n.a.")</x:f>
        <x:v>0.7752380952380953</x:v>
      </x:c>
      <x:c r="J531" s="10" t="n">
        <x:f>IF('Данные'!E531&gt;0,G531/'Данные'!E531,"n.a.")</x:f>
        <x:v>0.012644463775319996</x:v>
      </x:c>
      <x:c r="K531" s="1" t="str">
        <x:f>IF(G531&gt;='Дашборд'!$C$51,"X","Z")</x:f>
        <x:v>X</x:v>
      </x:c>
      <x:c r="L531" s="1" t="str">
        <x:f>IF(H531=0,IF(G531&gt;0,"Нет остатка","Нет спроса"),IF(I531&gt;='Дашборд'!$C$52,"Быстрый","Медленный"))</x:f>
        <x:v>Медленный</x:v>
      </x:c>
      <x:c r="M531" s="1" t="str">
        <x:f>IF('Данные'!E531&lt;'Дашборд'!$C$53,"Мало трафика",IF(J531&lt;'Дашборд'!$C$9*'Дашборд'!$C$54,"Да","Нет"))</x:f>
        <x:v>Нет</x:v>
      </x:c>
      <x:c r="N531" s="1" t="str">
        <x:f>IF(AND('Данные'!D531&gt;='Дашборд'!$C$55,D531&lt;'Дашборд'!$C$56,'Данные'!E531&gt;='Дашборд'!$C$53,'Данные'!L531&lt;&gt;"Да"),"Да","Нет")</x:f>
        <x:v>Нет</x:v>
      </x:c>
      <x:c r="O531" s="1" t="str">
        <x:f>'Данные'!L531</x:f>
        <x:v>Нет</x:v>
      </x:c>
    </x:row>
    <x:row r="532">
      <x:c r="A532" s="1" t="str">
        <x:f>'Данные'!A532</x:f>
        <x:v>157019305</x:v>
      </x:c>
      <x:c r="B532" s="1" t="str">
        <x:f>'Данные'!B532</x:f>
        <x:v>kostumman/черный</x:v>
      </x:c>
      <x:c r="C532" s="8" t="n">
        <x:f>'Данные'!G532</x:f>
        <x:v>385183</x:v>
      </x:c>
      <x:c r="D532" s="15" t="n">
        <x:f>C532/SUM($C$5:$C$2477)</x:f>
        <x:v>0.00044997988207929663</x:v>
      </x:c>
      <x:c r="E532" s="15" t="n">
        <x:f>SUM($D$5:D532)</x:f>
        <x:v>0.8420939947801986</x:v>
      </x:c>
      <x:c r="F532" s="1" t="str">
        <x:f>IF(C532&lt;=0,"C",IF(E532-D532&lt;'Дашборд'!$C$49,"A",IF(E532-D532&lt;'Дашборд'!$C$50,"B","C")))</x:f>
        <x:v>B</x:v>
      </x:c>
      <x:c r="G532" s="8" t="n">
        <x:f>'Данные'!F532</x:f>
        <x:v>266</x:v>
      </x:c>
      <x:c r="H532" s="8" t="n">
        <x:f>SUM('Данные'!H532:I532)</x:f>
        <x:v>285</x:v>
      </x:c>
      <x:c r="I532" s="16" t="n">
        <x:f>IF(H532&gt;0,G532/H532,"n.a.")</x:f>
        <x:v>0.9333333333333333</x:v>
      </x:c>
      <x:c r="J532" s="10" t="n">
        <x:f>IF('Данные'!E532&gt;0,G532/'Данные'!E532,"n.a.")</x:f>
        <x:v>0.024600018496254508</x:v>
      </x:c>
      <x:c r="K532" s="1" t="str">
        <x:f>IF(G532&gt;='Дашборд'!$C$51,"X","Z")</x:f>
        <x:v>Z</x:v>
      </x:c>
      <x:c r="L532" s="1" t="str">
        <x:f>IF(H532=0,IF(G532&gt;0,"Нет остатка","Нет спроса"),IF(I532&gt;='Дашборд'!$C$52,"Быстрый","Медленный"))</x:f>
        <x:v>Медленный</x:v>
      </x:c>
      <x:c r="M532" s="1" t="str">
        <x:f>IF('Данные'!E532&lt;'Дашборд'!$C$53,"Мало трафика",IF(J532&lt;'Дашборд'!$C$9*'Дашборд'!$C$54,"Да","Нет"))</x:f>
        <x:v>Нет</x:v>
      </x:c>
      <x:c r="N532" s="1" t="str">
        <x:f>IF(AND('Данные'!D532&gt;='Дашборд'!$C$55,D532&lt;'Дашборд'!$C$56,'Данные'!E532&gt;='Дашборд'!$C$53,'Данные'!L532&lt;&gt;"Да"),"Да","Нет")</x:f>
        <x:v>Да</x:v>
      </x:c>
      <x:c r="O532" s="1" t="str">
        <x:f>'Данные'!L532</x:f>
        <x:v>Нет</x:v>
      </x:c>
    </x:row>
    <x:row r="533">
      <x:c r="A533" s="1" t="str">
        <x:f>'Данные'!A533</x:f>
        <x:v>115879891</x:v>
      </x:c>
      <x:c r="B533" s="1" t="str">
        <x:f>'Данные'!B533</x:f>
        <x:v>hudi/фиолетовый</x:v>
      </x:c>
      <x:c r="C533" s="8" t="n">
        <x:f>'Данные'!G533</x:f>
        <x:v>384447</x:v>
      </x:c>
      <x:c r="D533" s="15" t="n">
        <x:f>C533/SUM($C$5:$C$2477)</x:f>
        <x:v>0.00044912006948837134</x:v>
      </x:c>
      <x:c r="E533" s="15" t="n">
        <x:f>SUM($D$5:D533)</x:f>
        <x:v>0.842543114849687</x:v>
      </x:c>
      <x:c r="F533" s="1" t="str">
        <x:f>IF(C533&lt;=0,"C",IF(E533-D533&lt;'Дашборд'!$C$49,"A",IF(E533-D533&lt;'Дашборд'!$C$50,"B","C")))</x:f>
        <x:v>B</x:v>
      </x:c>
      <x:c r="G533" s="8" t="n">
        <x:f>'Данные'!F533</x:f>
        <x:v>327</x:v>
      </x:c>
      <x:c r="H533" s="8" t="n">
        <x:f>SUM('Данные'!H533:I533)</x:f>
        <x:v>85</x:v>
      </x:c>
      <x:c r="I533" s="16" t="n">
        <x:f>IF(H533&gt;0,G533/H533,"n.a.")</x:f>
        <x:v>3.847058823529412</x:v>
      </x:c>
      <x:c r="J533" s="10" t="n">
        <x:f>IF('Данные'!E533&gt;0,G533/'Данные'!E533,"n.a.")</x:f>
        <x:v>0.007447050785698019</x:v>
      </x:c>
      <x:c r="K533" s="1" t="str">
        <x:f>IF(G533&gt;='Дашборд'!$C$51,"X","Z")</x:f>
        <x:v>X</x:v>
      </x:c>
      <x:c r="L533" s="1" t="str">
        <x:f>IF(H533=0,IF(G533&gt;0,"Нет остатка","Нет спроса"),IF(I533&gt;='Дашборд'!$C$52,"Быстрый","Медленный"))</x:f>
        <x:v>Быстрый</x:v>
      </x:c>
      <x:c r="M533" s="1" t="str">
        <x:f>IF('Данные'!E533&lt;'Дашборд'!$C$53,"Мало трафика",IF(J533&lt;'Дашборд'!$C$9*'Дашборд'!$C$54,"Да","Нет"))</x:f>
        <x:v>Да</x:v>
      </x:c>
      <x:c r="N533" s="1" t="str">
        <x:f>IF(AND('Данные'!D533&gt;='Дашборд'!$C$55,D533&lt;'Дашборд'!$C$56,'Данные'!E533&gt;='Дашборд'!$C$53,'Данные'!L533&lt;&gt;"Да"),"Да","Нет")</x:f>
        <x:v>Да</x:v>
      </x:c>
      <x:c r="O533" s="1" t="str">
        <x:f>'Данные'!L533</x:f>
        <x:v>Нет</x:v>
      </x:c>
    </x:row>
    <x:row r="534">
      <x:c r="A534" s="1" t="str">
        <x:f>'Данные'!A534</x:f>
        <x:v>209915014</x:v>
      </x:c>
      <x:c r="B534" s="1" t="str">
        <x:f>'Данные'!B534</x:f>
        <x:v>longsvobod/белый</x:v>
      </x:c>
      <x:c r="C534" s="8" t="n">
        <x:f>'Данные'!G534</x:f>
        <x:v>383917</x:v>
      </x:c>
      <x:c r="D534" s="15" t="n">
        <x:f>C534/SUM($C$5:$C$2477)</x:f>
        <x:v>0.00044850091096501485</x:v>
      </x:c>
      <x:c r="E534" s="15" t="n">
        <x:f>SUM($D$5:D534)</x:f>
        <x:v>0.8429916157606521</x:v>
      </x:c>
      <x:c r="F534" s="1" t="str">
        <x:f>IF(C534&lt;=0,"C",IF(E534-D534&lt;'Дашборд'!$C$49,"A",IF(E534-D534&lt;'Дашборд'!$C$50,"B","C")))</x:f>
        <x:v>B</x:v>
      </x:c>
      <x:c r="G534" s="8" t="n">
        <x:f>'Данные'!F534</x:f>
        <x:v>1023</x:v>
      </x:c>
      <x:c r="H534" s="8" t="n">
        <x:f>SUM('Данные'!H534:I534)</x:f>
        <x:v>188</x:v>
      </x:c>
      <x:c r="I534" s="16" t="n">
        <x:f>IF(H534&gt;0,G534/H534,"n.a.")</x:f>
        <x:v>5.441489361702128</x:v>
      </x:c>
      <x:c r="J534" s="10" t="n">
        <x:f>IF('Данные'!E534&gt;0,G534/'Данные'!E534,"n.a.")</x:f>
        <x:v>0.021719745222929937</x:v>
      </x:c>
      <x:c r="K534" s="1" t="str">
        <x:f>IF(G534&gt;='Дашборд'!$C$51,"X","Z")</x:f>
        <x:v>X</x:v>
      </x:c>
      <x:c r="L534" s="1" t="str">
        <x:f>IF(H534=0,IF(G534&gt;0,"Нет остатка","Нет спроса"),IF(I534&gt;='Дашборд'!$C$52,"Быстрый","Медленный"))</x:f>
        <x:v>Быстрый</x:v>
      </x:c>
      <x:c r="M534" s="1" t="str">
        <x:f>IF('Данные'!E534&lt;'Дашборд'!$C$53,"Мало трафика",IF(J534&lt;'Дашборд'!$C$9*'Дашборд'!$C$54,"Да","Нет"))</x:f>
        <x:v>Нет</x:v>
      </x:c>
      <x:c r="N534" s="1" t="str">
        <x:f>IF(AND('Данные'!D534&gt;='Дашборд'!$C$55,D534&lt;'Дашборд'!$C$56,'Данные'!E534&gt;='Дашборд'!$C$53,'Данные'!L534&lt;&gt;"Да"),"Да","Нет")</x:f>
        <x:v>Нет</x:v>
      </x:c>
      <x:c r="O534" s="1" t="str">
        <x:f>'Данные'!L534</x:f>
        <x:v>Нет</x:v>
      </x:c>
    </x:row>
    <x:row r="535">
      <x:c r="A535" s="1" t="str">
        <x:f>'Данные'!A535</x:f>
        <x:v>331723394</x:v>
      </x:c>
      <x:c r="B535" s="1" t="str">
        <x:f>'Данные'!B535</x:f>
        <x:v>futkryl3K-101/каштановый</x:v>
      </x:c>
      <x:c r="C535" s="8" t="n">
        <x:f>'Данные'!G535</x:f>
        <x:v>382155</x:v>
      </x:c>
      <x:c r="D535" s="15" t="n">
        <x:f>C535/SUM($C$5:$C$2477)</x:f>
        <x:v>0.00044644250093076173</x:v>
      </x:c>
      <x:c r="E535" s="15" t="n">
        <x:f>SUM($D$5:D535)</x:f>
        <x:v>0.8434380582615828</x:v>
      </x:c>
      <x:c r="F535" s="1" t="str">
        <x:f>IF(C535&lt;=0,"C",IF(E535-D535&lt;'Дашборд'!$C$49,"A",IF(E535-D535&lt;'Дашборд'!$C$50,"B","C")))</x:f>
        <x:v>B</x:v>
      </x:c>
      <x:c r="G535" s="8" t="n">
        <x:f>'Данные'!F535</x:f>
        <x:v>1076</x:v>
      </x:c>
      <x:c r="H535" s="8" t="n">
        <x:f>SUM('Данные'!H535:I535)</x:f>
        <x:v>519</x:v>
      </x:c>
      <x:c r="I535" s="16" t="n">
        <x:f>IF(H535&gt;0,G535/H535,"n.a.")</x:f>
        <x:v>2.073217726396917</x:v>
      </x:c>
      <x:c r="J535" s="10" t="n">
        <x:f>IF('Данные'!E535&gt;0,G535/'Данные'!E535,"n.a.")</x:f>
        <x:v>0.012082556651020728</x:v>
      </x:c>
      <x:c r="K535" s="1" t="str">
        <x:f>IF(G535&gt;='Дашборд'!$C$51,"X","Z")</x:f>
        <x:v>X</x:v>
      </x:c>
      <x:c r="L535" s="1" t="str">
        <x:f>IF(H535=0,IF(G535&gt;0,"Нет остатка","Нет спроса"),IF(I535&gt;='Дашборд'!$C$52,"Быстрый","Медленный"))</x:f>
        <x:v>Быстрый</x:v>
      </x:c>
      <x:c r="M535" s="1" t="str">
        <x:f>IF('Данные'!E535&lt;'Дашборд'!$C$53,"Мало трафика",IF(J535&lt;'Дашборд'!$C$9*'Дашборд'!$C$54,"Да","Нет"))</x:f>
        <x:v>Нет</x:v>
      </x:c>
      <x:c r="N535" s="1" t="str">
        <x:f>IF(AND('Данные'!D535&gt;='Дашборд'!$C$55,D535&lt;'Дашборд'!$C$56,'Данные'!E535&gt;='Дашборд'!$C$53,'Данные'!L535&lt;&gt;"Да"),"Да","Нет")</x:f>
        <x:v>Нет</x:v>
      </x:c>
      <x:c r="O535" s="1" t="str">
        <x:f>'Данные'!L535</x:f>
        <x:v>Нет</x:v>
      </x:c>
    </x:row>
    <x:row r="536">
      <x:c r="A536" s="1" t="str">
        <x:f>'Данные'!A536</x:f>
        <x:v>246363157</x:v>
      </x:c>
      <x:c r="B536" s="1" t="str">
        <x:f>'Данные'!B536</x:f>
        <x:v>tolstovkazipcrop/графит</x:v>
      </x:c>
      <x:c r="C536" s="8" t="n">
        <x:f>'Данные'!G536</x:f>
        <x:v>380530</x:v>
      </x:c>
      <x:c r="D536" s="15" t="n">
        <x:f>C536/SUM($C$5:$C$2477)</x:f>
        <x:v>0.00044454413753367814</x:v>
      </x:c>
      <x:c r="E536" s="15" t="n">
        <x:f>SUM($D$5:D536)</x:f>
        <x:v>0.8438826023991165</x:v>
      </x:c>
      <x:c r="F536" s="1" t="str">
        <x:f>IF(C536&lt;=0,"C",IF(E536-D536&lt;'Дашборд'!$C$49,"A",IF(E536-D536&lt;'Дашборд'!$C$50,"B","C")))</x:f>
        <x:v>B</x:v>
      </x:c>
      <x:c r="G536" s="8" t="n">
        <x:f>'Данные'!F536</x:f>
        <x:v>429</x:v>
      </x:c>
      <x:c r="H536" s="8" t="n">
        <x:f>SUM('Данные'!H536:I536)</x:f>
        <x:v>78</x:v>
      </x:c>
      <x:c r="I536" s="16" t="n">
        <x:f>IF(H536&gt;0,G536/H536,"n.a.")</x:f>
        <x:v>5.5</x:v>
      </x:c>
      <x:c r="J536" s="10" t="n">
        <x:f>IF('Данные'!E536&gt;0,G536/'Данные'!E536,"n.a.")</x:f>
        <x:v>0.009635685728403936</x:v>
      </x:c>
      <x:c r="K536" s="1" t="str">
        <x:f>IF(G536&gt;='Дашборд'!$C$51,"X","Z")</x:f>
        <x:v>X</x:v>
      </x:c>
      <x:c r="L536" s="1" t="str">
        <x:f>IF(H536=0,IF(G536&gt;0,"Нет остатка","Нет спроса"),IF(I536&gt;='Дашборд'!$C$52,"Быстрый","Медленный"))</x:f>
        <x:v>Быстрый</x:v>
      </x:c>
      <x:c r="M536" s="1" t="str">
        <x:f>IF('Данные'!E536&lt;'Дашборд'!$C$53,"Мало трафика",IF(J536&lt;'Дашборд'!$C$9*'Дашборд'!$C$54,"Да","Нет"))</x:f>
        <x:v>Да</x:v>
      </x:c>
      <x:c r="N536" s="1" t="str">
        <x:f>IF(AND('Данные'!D536&gt;='Дашборд'!$C$55,D536&lt;'Дашборд'!$C$56,'Данные'!E536&gt;='Дашборд'!$C$53,'Данные'!L536&lt;&gt;"Да"),"Да","Нет")</x:f>
        <x:v>Да</x:v>
      </x:c>
      <x:c r="O536" s="1" t="str">
        <x:f>'Данные'!L536</x:f>
        <x:v>Нет</x:v>
      </x:c>
    </x:row>
    <x:row r="537">
      <x:c r="A537" s="1" t="str">
        <x:f>'Данные'!A537</x:f>
        <x:v>150674020</x:v>
      </x:c>
      <x:c r="B537" s="1" t="str">
        <x:f>'Данные'!B537</x:f>
        <x:v>svitshotover/голубой</x:v>
      </x:c>
      <x:c r="C537" s="8" t="n">
        <x:f>'Данные'!G537</x:f>
        <x:v>380129</x:v>
      </x:c>
      <x:c r="D537" s="15" t="n">
        <x:f>C537/SUM($C$5:$C$2477)</x:f>
        <x:v>0.00044407567985845934</x:v>
      </x:c>
      <x:c r="E537" s="15" t="n">
        <x:f>SUM($D$5:D537)</x:f>
        <x:v>0.844326678078975</x:v>
      </x:c>
      <x:c r="F537" s="1" t="str">
        <x:f>IF(C537&lt;=0,"C",IF(E537-D537&lt;'Дашборд'!$C$49,"A",IF(E537-D537&lt;'Дашборд'!$C$50,"B","C")))</x:f>
        <x:v>B</x:v>
      </x:c>
      <x:c r="G537" s="8" t="n">
        <x:f>'Данные'!F537</x:f>
        <x:v>526</x:v>
      </x:c>
      <x:c r="H537" s="8" t="n">
        <x:f>SUM('Данные'!H537:I537)</x:f>
        <x:v>586</x:v>
      </x:c>
      <x:c r="I537" s="16" t="n">
        <x:f>IF(H537&gt;0,G537/H537,"n.a.")</x:f>
        <x:v>0.8976109215017065</x:v>
      </x:c>
      <x:c r="J537" s="10" t="n">
        <x:f>IF('Данные'!E537&gt;0,G537/'Данные'!E537,"n.a.")</x:f>
        <x:v>0.019196379694171744</x:v>
      </x:c>
      <x:c r="K537" s="1" t="str">
        <x:f>IF(G537&gt;='Дашборд'!$C$51,"X","Z")</x:f>
        <x:v>X</x:v>
      </x:c>
      <x:c r="L537" s="1" t="str">
        <x:f>IF(H537=0,IF(G537&gt;0,"Нет остатка","Нет спроса"),IF(I537&gt;='Дашборд'!$C$52,"Быстрый","Медленный"))</x:f>
        <x:v>Медленный</x:v>
      </x:c>
      <x:c r="M537" s="1" t="str">
        <x:f>IF('Данные'!E537&lt;'Дашборд'!$C$53,"Мало трафика",IF(J537&lt;'Дашборд'!$C$9*'Дашборд'!$C$54,"Да","Нет"))</x:f>
        <x:v>Нет</x:v>
      </x:c>
      <x:c r="N537" s="1" t="str">
        <x:f>IF(AND('Данные'!D537&gt;='Дашборд'!$C$55,D537&lt;'Дашборд'!$C$56,'Данные'!E537&gt;='Дашборд'!$C$53,'Данные'!L537&lt;&gt;"Да"),"Да","Нет")</x:f>
        <x:v>Да</x:v>
      </x:c>
      <x:c r="O537" s="1" t="str">
        <x:f>'Данные'!L537</x:f>
        <x:v>Нет</x:v>
      </x:c>
    </x:row>
    <x:row r="538">
      <x:c r="A538" s="1" t="str">
        <x:f>'Данные'!A538</x:f>
        <x:v>320414101</x:v>
      </x:c>
      <x:c r="B538" s="1" t="str">
        <x:f>'Данные'!B538</x:f>
        <x:v>svitfix3F-77/графит</x:v>
      </x:c>
      <x:c r="C538" s="8" t="n">
        <x:f>'Данные'!G538</x:f>
        <x:v>380075</x:v>
      </x:c>
      <x:c r="D538" s="15" t="n">
        <x:f>C538/SUM($C$5:$C$2477)</x:f>
        <x:v>0.0004440125957824947</x:v>
      </x:c>
      <x:c r="E538" s="15" t="n">
        <x:f>SUM($D$5:D538)</x:f>
        <x:v>0.8447706906747575</x:v>
      </x:c>
      <x:c r="F538" s="1" t="str">
        <x:f>IF(C538&lt;=0,"C",IF(E538-D538&lt;'Дашборд'!$C$49,"A",IF(E538-D538&lt;'Дашборд'!$C$50,"B","C")))</x:f>
        <x:v>B</x:v>
      </x:c>
      <x:c r="G538" s="8" t="n">
        <x:f>'Данные'!F538</x:f>
        <x:v>512</x:v>
      </x:c>
      <x:c r="H538" s="8" t="n">
        <x:f>SUM('Данные'!H538:I538)</x:f>
        <x:v>224</x:v>
      </x:c>
      <x:c r="I538" s="16" t="n">
        <x:f>IF(H538&gt;0,G538/H538,"n.a.")</x:f>
        <x:v>2.2857142857142856</x:v>
      </x:c>
      <x:c r="J538" s="10" t="n">
        <x:f>IF('Данные'!E538&gt;0,G538/'Данные'!E538,"n.a.")</x:f>
        <x:v>0.009282088469905728</x:v>
      </x:c>
      <x:c r="K538" s="1" t="str">
        <x:f>IF(G538&gt;='Дашборд'!$C$51,"X","Z")</x:f>
        <x:v>X</x:v>
      </x:c>
      <x:c r="L538" s="1" t="str">
        <x:f>IF(H538=0,IF(G538&gt;0,"Нет остатка","Нет спроса"),IF(I538&gt;='Дашборд'!$C$52,"Быстрый","Медленный"))</x:f>
        <x:v>Быстрый</x:v>
      </x:c>
      <x:c r="M538" s="1" t="str">
        <x:f>IF('Данные'!E538&lt;'Дашборд'!$C$53,"Мало трафика",IF(J538&lt;'Дашборд'!$C$9*'Дашборд'!$C$54,"Да","Нет"))</x:f>
        <x:v>Да</x:v>
      </x:c>
      <x:c r="N538" s="1" t="str">
        <x:f>IF(AND('Данные'!D538&gt;='Дашборд'!$C$55,D538&lt;'Дашборд'!$C$56,'Данные'!E538&gt;='Дашборд'!$C$53,'Данные'!L538&lt;&gt;"Да"),"Да","Нет")</x:f>
        <x:v>Нет</x:v>
      </x:c>
      <x:c r="O538" s="1" t="str">
        <x:f>'Данные'!L538</x:f>
        <x:v>Нет</x:v>
      </x:c>
    </x:row>
    <x:row r="539">
      <x:c r="A539" s="1" t="str">
        <x:f>'Данные'!A539</x:f>
        <x:v>295660797</x:v>
      </x:c>
      <x:c r="B539" s="1" t="str">
        <x:f>'Данные'!B539</x:f>
        <x:v>2nkost3D-72-73/темно-синий</x:v>
      </x:c>
      <x:c r="C539" s="8" t="n">
        <x:f>'Данные'!G539</x:f>
        <x:v>380069</x:v>
      </x:c>
      <x:c r="D539" s="15" t="n">
        <x:f>C539/SUM($C$5:$C$2477)</x:f>
        <x:v>0.0004440055864407209</x:v>
      </x:c>
      <x:c r="E539" s="15" t="n">
        <x:f>SUM($D$5:D539)</x:f>
        <x:v>0.8452146962611983</x:v>
      </x:c>
      <x:c r="F539" s="1" t="str">
        <x:f>IF(C539&lt;=0,"C",IF(E539-D539&lt;'Дашборд'!$C$49,"A",IF(E539-D539&lt;'Дашборд'!$C$50,"B","C")))</x:f>
        <x:v>B</x:v>
      </x:c>
      <x:c r="G539" s="8" t="n">
        <x:f>'Данные'!F539</x:f>
        <x:v>882</x:v>
      </x:c>
      <x:c r="H539" s="8" t="n">
        <x:f>SUM('Данные'!H539:I539)</x:f>
        <x:v>26</x:v>
      </x:c>
      <x:c r="I539" s="16" t="n">
        <x:f>IF(H539&gt;0,G539/H539,"n.a.")</x:f>
        <x:v>33.92307692307692</x:v>
      </x:c>
      <x:c r="J539" s="10" t="n">
        <x:f>IF('Данные'!E539&gt;0,G539/'Данные'!E539,"n.a.")</x:f>
        <x:v>0.012470308788598575</x:v>
      </x:c>
      <x:c r="K539" s="1" t="str">
        <x:f>IF(G539&gt;='Дашборд'!$C$51,"X","Z")</x:f>
        <x:v>X</x:v>
      </x:c>
      <x:c r="L539" s="1" t="str">
        <x:f>IF(H539=0,IF(G539&gt;0,"Нет остатка","Нет спроса"),IF(I539&gt;='Дашборд'!$C$52,"Быстрый","Медленный"))</x:f>
        <x:v>Быстрый</x:v>
      </x:c>
      <x:c r="M539" s="1" t="str">
        <x:f>IF('Данные'!E539&lt;'Дашборд'!$C$53,"Мало трафика",IF(J539&lt;'Дашборд'!$C$9*'Дашборд'!$C$54,"Да","Нет"))</x:f>
        <x:v>Нет</x:v>
      </x:c>
      <x:c r="N539" s="1" t="str">
        <x:f>IF(AND('Данные'!D539&gt;='Дашборд'!$C$55,D539&lt;'Дашборд'!$C$56,'Данные'!E539&gt;='Дашборд'!$C$53,'Данные'!L539&lt;&gt;"Да"),"Да","Нет")</x:f>
        <x:v>Нет</x:v>
      </x:c>
      <x:c r="O539" s="1" t="str">
        <x:f>'Данные'!L539</x:f>
        <x:v>Нет</x:v>
      </x:c>
    </x:row>
    <x:row r="540">
      <x:c r="A540" s="1" t="str">
        <x:f>'Данные'!A540</x:f>
        <x:v>333104136</x:v>
      </x:c>
      <x:c r="B540" s="1" t="str">
        <x:f>'Данные'!B540</x:f>
        <x:v>topbando/молочный</x:v>
      </x:c>
      <x:c r="C540" s="8" t="n">
        <x:f>'Данные'!G540</x:f>
        <x:v>380026</x:v>
      </x:c>
      <x:c r="D540" s="15" t="n">
        <x:f>C540/SUM($C$5:$C$2477)</x:f>
        <x:v>0.00044395535282467497</x:v>
      </x:c>
      <x:c r="E540" s="15" t="n">
        <x:f>SUM($D$5:D540)</x:f>
        <x:v>0.845658651614023</x:v>
      </x:c>
      <x:c r="F540" s="1" t="str">
        <x:f>IF(C540&lt;=0,"C",IF(E540-D540&lt;'Дашборд'!$C$49,"A",IF(E540-D540&lt;'Дашборд'!$C$50,"B","C")))</x:f>
        <x:v>B</x:v>
      </x:c>
      <x:c r="G540" s="8" t="n">
        <x:f>'Данные'!F540</x:f>
        <x:v>1820</x:v>
      </x:c>
      <x:c r="H540" s="8" t="n">
        <x:f>SUM('Данные'!H540:I540)</x:f>
        <x:v>645</x:v>
      </x:c>
      <x:c r="I540" s="16" t="n">
        <x:f>IF(H540&gt;0,G540/H540,"n.a.")</x:f>
        <x:v>2.8217054263565893</x:v>
      </x:c>
      <x:c r="J540" s="10" t="n">
        <x:f>IF('Данные'!E540&gt;0,G540/'Данные'!E540,"n.a.")</x:f>
        <x:v>0.037098944106975416</x:v>
      </x:c>
      <x:c r="K540" s="1" t="str">
        <x:f>IF(G540&gt;='Дашборд'!$C$51,"X","Z")</x:f>
        <x:v>X</x:v>
      </x:c>
      <x:c r="L540" s="1" t="str">
        <x:f>IF(H540=0,IF(G540&gt;0,"Нет остатка","Нет спроса"),IF(I540&gt;='Дашборд'!$C$52,"Быстрый","Медленный"))</x:f>
        <x:v>Быстрый</x:v>
      </x:c>
      <x:c r="M540" s="1" t="str">
        <x:f>IF('Данные'!E540&lt;'Дашборд'!$C$53,"Мало трафика",IF(J540&lt;'Дашборд'!$C$9*'Дашборд'!$C$54,"Да","Нет"))</x:f>
        <x:v>Нет</x:v>
      </x:c>
      <x:c r="N540" s="1" t="str">
        <x:f>IF(AND('Данные'!D540&gt;='Дашборд'!$C$55,D540&lt;'Дашборд'!$C$56,'Данные'!E540&gt;='Дашборд'!$C$53,'Данные'!L540&lt;&gt;"Да"),"Да","Нет")</x:f>
        <x:v>Нет</x:v>
      </x:c>
      <x:c r="O540" s="1" t="str">
        <x:f>'Данные'!L540</x:f>
        <x:v>Нет</x:v>
      </x:c>
    </x:row>
    <x:row r="541">
      <x:c r="A541" s="1" t="str">
        <x:f>'Данные'!A541</x:f>
        <x:v>332680053</x:v>
      </x:c>
      <x:c r="B541" s="1" t="str">
        <x:f>'Данные'!B541</x:f>
        <x:v>vshirt3K-99/розовый</x:v>
      </x:c>
      <x:c r="C541" s="8" t="n">
        <x:f>'Данные'!G541</x:f>
        <x:v>379085</x:v>
      </x:c>
      <x:c r="D541" s="15" t="n">
        <x:f>C541/SUM($C$5:$C$2477)</x:f>
        <x:v>0.0004428560543898099</x:v>
      </x:c>
      <x:c r="E541" s="15" t="n">
        <x:f>SUM($D$5:D541)</x:f>
        <x:v>0.8461015076684127</x:v>
      </x:c>
      <x:c r="F541" s="1" t="str">
        <x:f>IF(C541&lt;=0,"C",IF(E541-D541&lt;'Дашборд'!$C$49,"A",IF(E541-D541&lt;'Дашборд'!$C$50,"B","C")))</x:f>
        <x:v>B</x:v>
      </x:c>
      <x:c r="G541" s="8" t="n">
        <x:f>'Данные'!F541</x:f>
        <x:v>1211</x:v>
      </x:c>
      <x:c r="H541" s="8" t="n">
        <x:f>SUM('Данные'!H541:I541)</x:f>
        <x:v>185</x:v>
      </x:c>
      <x:c r="I541" s="16" t="n">
        <x:f>IF(H541&gt;0,G541/H541,"n.a.")</x:f>
        <x:v>6.545945945945946</x:v>
      </x:c>
      <x:c r="J541" s="10" t="n">
        <x:f>IF('Данные'!E541&gt;0,G541/'Данные'!E541,"n.a.")</x:f>
        <x:v>0.018626757313809333</x:v>
      </x:c>
      <x:c r="K541" s="1" t="str">
        <x:f>IF(G541&gt;='Дашборд'!$C$51,"X","Z")</x:f>
        <x:v>X</x:v>
      </x:c>
      <x:c r="L541" s="1" t="str">
        <x:f>IF(H541=0,IF(G541&gt;0,"Нет остатка","Нет спроса"),IF(I541&gt;='Дашборд'!$C$52,"Быстрый","Медленный"))</x:f>
        <x:v>Быстрый</x:v>
      </x:c>
      <x:c r="M541" s="1" t="str">
        <x:f>IF('Данные'!E541&lt;'Дашборд'!$C$53,"Мало трафика",IF(J541&lt;'Дашборд'!$C$9*'Дашборд'!$C$54,"Да","Нет"))</x:f>
        <x:v>Нет</x:v>
      </x:c>
      <x:c r="N541" s="1" t="str">
        <x:f>IF(AND('Данные'!D541&gt;='Дашборд'!$C$55,D541&lt;'Дашборд'!$C$56,'Данные'!E541&gt;='Дашборд'!$C$53,'Данные'!L541&lt;&gt;"Да"),"Да","Нет")</x:f>
        <x:v>Нет</x:v>
      </x:c>
      <x:c r="O541" s="1" t="str">
        <x:f>'Данные'!L541</x:f>
        <x:v>Нет</x:v>
      </x:c>
    </x:row>
    <x:row r="542">
      <x:c r="A542" s="1" t="str">
        <x:f>'Данные'!A542</x:f>
        <x:v>294025142</x:v>
      </x:c>
      <x:c r="B542" s="1" t="str">
        <x:f>'Данные'!B542</x:f>
        <x:v>svitfix3F-77/серыймеланж2</x:v>
      </x:c>
      <x:c r="C542" s="8" t="n">
        <x:f>'Данные'!G542</x:f>
        <x:v>378382</x:v>
      </x:c>
      <x:c r="D542" s="15" t="n">
        <x:f>C542/SUM($C$5:$C$2477)</x:f>
        <x:v>0.0004420347931786408</x:v>
      </x:c>
      <x:c r="E542" s="15" t="n">
        <x:f>SUM($D$5:D542)</x:f>
        <x:v>0.8465435424615914</x:v>
      </x:c>
      <x:c r="F542" s="1" t="str">
        <x:f>IF(C542&lt;=0,"C",IF(E542-D542&lt;'Дашборд'!$C$49,"A",IF(E542-D542&lt;'Дашборд'!$C$50,"B","C")))</x:f>
        <x:v>B</x:v>
      </x:c>
      <x:c r="G542" s="8" t="n">
        <x:f>'Данные'!F542</x:f>
        <x:v>470</x:v>
      </x:c>
      <x:c r="H542" s="8" t="n">
        <x:f>SUM('Данные'!H542:I542)</x:f>
        <x:v>150</x:v>
      </x:c>
      <x:c r="I542" s="16" t="n">
        <x:f>IF(H542&gt;0,G542/H542,"n.a.")</x:f>
        <x:v>3.1333333333333333</x:v>
      </x:c>
      <x:c r="J542" s="10" t="n">
        <x:f>IF('Данные'!E542&gt;0,G542/'Данные'!E542,"n.a.")</x:f>
        <x:v>0.02114355121687885</x:v>
      </x:c>
      <x:c r="K542" s="1" t="str">
        <x:f>IF(G542&gt;='Дашборд'!$C$51,"X","Z")</x:f>
        <x:v>X</x:v>
      </x:c>
      <x:c r="L542" s="1" t="str">
        <x:f>IF(H542=0,IF(G542&gt;0,"Нет остатка","Нет спроса"),IF(I542&gt;='Дашборд'!$C$52,"Быстрый","Медленный"))</x:f>
        <x:v>Быстрый</x:v>
      </x:c>
      <x:c r="M542" s="1" t="str">
        <x:f>IF('Данные'!E542&lt;'Дашборд'!$C$53,"Мало трафика",IF(J542&lt;'Дашборд'!$C$9*'Дашборд'!$C$54,"Да","Нет"))</x:f>
        <x:v>Нет</x:v>
      </x:c>
      <x:c r="N542" s="1" t="str">
        <x:f>IF(AND('Данные'!D542&gt;='Дашборд'!$C$55,D542&lt;'Дашборд'!$C$56,'Данные'!E542&gt;='Дашборд'!$C$53,'Данные'!L542&lt;&gt;"Да"),"Да","Нет")</x:f>
        <x:v>Нет</x:v>
      </x:c>
      <x:c r="O542" s="1" t="str">
        <x:f>'Данные'!L542</x:f>
        <x:v>Нет</x:v>
      </x:c>
    </x:row>
    <x:row r="543">
      <x:c r="A543" s="1" t="str">
        <x:f>'Данные'!A543</x:f>
        <x:v>120952734</x:v>
      </x:c>
      <x:c r="B543" s="1" t="str">
        <x:f>'Данные'!B543</x:f>
        <x:v>brukiman/сине-серый</x:v>
      </x:c>
      <x:c r="C543" s="8" t="n">
        <x:f>'Данные'!G543</x:f>
        <x:v>376302</x:v>
      </x:c>
      <x:c r="D543" s="15" t="n">
        <x:f>C543/SUM($C$5:$C$2477)</x:f>
        <x:v>0.0004396048880303738</x:v>
      </x:c>
      <x:c r="E543" s="15" t="n">
        <x:f>SUM($D$5:D543)</x:f>
        <x:v>0.8469831473496218</x:v>
      </x:c>
      <x:c r="F543" s="1" t="str">
        <x:f>IF(C543&lt;=0,"C",IF(E543-D543&lt;'Дашборд'!$C$49,"A",IF(E543-D543&lt;'Дашборд'!$C$50,"B","C")))</x:f>
        <x:v>B</x:v>
      </x:c>
      <x:c r="G543" s="8" t="n">
        <x:f>'Данные'!F543</x:f>
        <x:v>470</x:v>
      </x:c>
      <x:c r="H543" s="8" t="n">
        <x:f>SUM('Данные'!H543:I543)</x:f>
        <x:v>741</x:v>
      </x:c>
      <x:c r="I543" s="16" t="n">
        <x:f>IF(H543&gt;0,G543/H543,"n.a.")</x:f>
        <x:v>0.6342780026990553</x:v>
      </x:c>
      <x:c r="J543" s="10" t="n">
        <x:f>IF('Данные'!E543&gt;0,G543/'Данные'!E543,"n.a.")</x:f>
        <x:v>0.01575700683921148</x:v>
      </x:c>
      <x:c r="K543" s="1" t="str">
        <x:f>IF(G543&gt;='Дашборд'!$C$51,"X","Z")</x:f>
        <x:v>X</x:v>
      </x:c>
      <x:c r="L543" s="1" t="str">
        <x:f>IF(H543=0,IF(G543&gt;0,"Нет остатка","Нет спроса"),IF(I543&gt;='Дашборд'!$C$52,"Быстрый","Медленный"))</x:f>
        <x:v>Медленный</x:v>
      </x:c>
      <x:c r="M543" s="1" t="str">
        <x:f>IF('Данные'!E543&lt;'Дашборд'!$C$53,"Мало трафика",IF(J543&lt;'Дашборд'!$C$9*'Дашборд'!$C$54,"Да","Нет"))</x:f>
        <x:v>Нет</x:v>
      </x:c>
      <x:c r="N543" s="1" t="str">
        <x:f>IF(AND('Данные'!D543&gt;='Дашборд'!$C$55,D543&lt;'Дашборд'!$C$56,'Данные'!E543&gt;='Дашборд'!$C$53,'Данные'!L543&lt;&gt;"Да"),"Да","Нет")</x:f>
        <x:v>Нет</x:v>
      </x:c>
      <x:c r="O543" s="1" t="str">
        <x:f>'Данные'!L543</x:f>
        <x:v>Нет</x:v>
      </x:c>
    </x:row>
    <x:row r="544">
      <x:c r="A544" s="1" t="str">
        <x:f>'Данные'!A544</x:f>
        <x:v>245583531</x:v>
      </x:c>
      <x:c r="B544" s="1" t="str">
        <x:f>'Данные'!B544</x:f>
        <x:v>hudiprint/FLORIDA-85/молочный</x:v>
      </x:c>
      <x:c r="C544" s="8" t="n">
        <x:f>'Данные'!G544</x:f>
        <x:v>374592</x:v>
      </x:c>
      <x:c r="D544" s="15" t="n">
        <x:f>C544/SUM($C$5:$C$2477)</x:f>
        <x:v>0.0004376072256248274</x:v>
      </x:c>
      <x:c r="E544" s="15" t="n">
        <x:f>SUM($D$5:D544)</x:f>
        <x:v>0.8474207545752466</x:v>
      </x:c>
      <x:c r="F544" s="1" t="str">
        <x:f>IF(C544&lt;=0,"C",IF(E544-D544&lt;'Дашборд'!$C$49,"A",IF(E544-D544&lt;'Дашборд'!$C$50,"B","C")))</x:f>
        <x:v>B</x:v>
      </x:c>
      <x:c r="G544" s="8" t="n">
        <x:f>'Данные'!F544</x:f>
        <x:v>355</x:v>
      </x:c>
      <x:c r="H544" s="8" t="n">
        <x:f>SUM('Данные'!H544:I544)</x:f>
        <x:v>44</x:v>
      </x:c>
      <x:c r="I544" s="16" t="n">
        <x:f>IF(H544&gt;0,G544/H544,"n.a.")</x:f>
        <x:v>8.068181818181818</x:v>
      </x:c>
      <x:c r="J544" s="10" t="n">
        <x:f>IF('Данные'!E544&gt;0,G544/'Данные'!E544,"n.a.")</x:f>
        <x:v>0.014313361825659222</x:v>
      </x:c>
      <x:c r="K544" s="1" t="str">
        <x:f>IF(G544&gt;='Дашборд'!$C$51,"X","Z")</x:f>
        <x:v>X</x:v>
      </x:c>
      <x:c r="L544" s="1" t="str">
        <x:f>IF(H544=0,IF(G544&gt;0,"Нет остатка","Нет спроса"),IF(I544&gt;='Дашборд'!$C$52,"Быстрый","Медленный"))</x:f>
        <x:v>Быстрый</x:v>
      </x:c>
      <x:c r="M544" s="1" t="str">
        <x:f>IF('Данные'!E544&lt;'Дашборд'!$C$53,"Мало трафика",IF(J544&lt;'Дашборд'!$C$9*'Дашборд'!$C$54,"Да","Нет"))</x:f>
        <x:v>Нет</x:v>
      </x:c>
      <x:c r="N544" s="1" t="str">
        <x:f>IF(AND('Данные'!D544&gt;='Дашборд'!$C$55,D544&lt;'Дашборд'!$C$56,'Данные'!E544&gt;='Дашборд'!$C$53,'Данные'!L544&lt;&gt;"Да"),"Да","Нет")</x:f>
        <x:v>Да</x:v>
      </x:c>
      <x:c r="O544" s="1" t="str">
        <x:f>'Данные'!L544</x:f>
        <x:v>Нет</x:v>
      </x:c>
    </x:row>
    <x:row r="545">
      <x:c r="A545" s="1" t="str">
        <x:f>'Данные'!A545</x:f>
        <x:v>211596885</x:v>
      </x:c>
      <x:c r="B545" s="1" t="str">
        <x:f>'Данные'!B545</x:f>
        <x:v>futbolkaprint/FLORIDA-85/молочный</x:v>
      </x:c>
      <x:c r="C545" s="8" t="n">
        <x:f>'Данные'!G545</x:f>
        <x:v>374540</x:v>
      </x:c>
      <x:c r="D545" s="15" t="n">
        <x:f>C545/SUM($C$5:$C$2477)</x:f>
        <x:v>0.0004375464779961207</x:v>
      </x:c>
      <x:c r="E545" s="15" t="n">
        <x:f>SUM($D$5:D545)</x:f>
        <x:v>0.8478583010532427</x:v>
      </x:c>
      <x:c r="F545" s="1" t="str">
        <x:f>IF(C545&lt;=0,"C",IF(E545-D545&lt;'Дашборд'!$C$49,"A",IF(E545-D545&lt;'Дашборд'!$C$50,"B","C")))</x:f>
        <x:v>B</x:v>
      </x:c>
      <x:c r="G545" s="8" t="n">
        <x:f>'Данные'!F545</x:f>
        <x:v>531</x:v>
      </x:c>
      <x:c r="H545" s="8" t="n">
        <x:f>SUM('Данные'!H545:I545)</x:f>
        <x:v>178</x:v>
      </x:c>
      <x:c r="I545" s="16" t="n">
        <x:f>IF(H545&gt;0,G545/H545,"n.a.")</x:f>
        <x:v>2.9831460674157304</x:v>
      </x:c>
      <x:c r="J545" s="10" t="n">
        <x:f>IF('Данные'!E545&gt;0,G545/'Данные'!E545,"n.a.")</x:f>
        <x:v>0.012869919290336655</x:v>
      </x:c>
      <x:c r="K545" s="1" t="str">
        <x:f>IF(G545&gt;='Дашборд'!$C$51,"X","Z")</x:f>
        <x:v>X</x:v>
      </x:c>
      <x:c r="L545" s="1" t="str">
        <x:f>IF(H545=0,IF(G545&gt;0,"Нет остатка","Нет спроса"),IF(I545&gt;='Дашборд'!$C$52,"Быстрый","Медленный"))</x:f>
        <x:v>Быстрый</x:v>
      </x:c>
      <x:c r="M545" s="1" t="str">
        <x:f>IF('Данные'!E545&lt;'Дашборд'!$C$53,"Мало трафика",IF(J545&lt;'Дашборд'!$C$9*'Дашборд'!$C$54,"Да","Нет"))</x:f>
        <x:v>Нет</x:v>
      </x:c>
      <x:c r="N545" s="1" t="str">
        <x:f>IF(AND('Данные'!D545&gt;='Дашборд'!$C$55,D545&lt;'Дашборд'!$C$56,'Данные'!E545&gt;='Дашборд'!$C$53,'Данные'!L545&lt;&gt;"Да"),"Да","Нет")</x:f>
        <x:v>Да</x:v>
      </x:c>
      <x:c r="O545" s="1" t="str">
        <x:f>'Данные'!L545</x:f>
        <x:v>Нет</x:v>
      </x:c>
    </x:row>
    <x:row r="546">
      <x:c r="A546" s="1" t="str">
        <x:f>'Данные'!A546</x:f>
        <x:v>222293200</x:v>
      </x:c>
      <x:c r="B546" s="1" t="str">
        <x:f>'Данные'!B546</x:f>
        <x:v>hudiprint/SaintGod-130/темно-серый</x:v>
      </x:c>
      <x:c r="C546" s="8" t="n">
        <x:f>'Данные'!G546</x:f>
        <x:v>373748</x:v>
      </x:c>
      <x:c r="D546" s="15" t="n">
        <x:f>C546/SUM($C$5:$C$2477)</x:f>
        <x:v>0.0004366212448819729</x:v>
      </x:c>
      <x:c r="E546" s="15" t="n">
        <x:f>SUM($D$5:D546)</x:f>
        <x:v>0.8482949222981246</x:v>
      </x:c>
      <x:c r="F546" s="1" t="str">
        <x:f>IF(C546&lt;=0,"C",IF(E546-D546&lt;'Дашборд'!$C$49,"A",IF(E546-D546&lt;'Дашборд'!$C$50,"B","C")))</x:f>
        <x:v>B</x:v>
      </x:c>
      <x:c r="G546" s="8" t="n">
        <x:f>'Данные'!F546</x:f>
        <x:v>361</x:v>
      </x:c>
      <x:c r="H546" s="8" t="n">
        <x:f>SUM('Данные'!H546:I546)</x:f>
        <x:v>1395</x:v>
      </x:c>
      <x:c r="I546" s="16" t="n">
        <x:f>IF(H546&gt;0,G546/H546,"n.a.")</x:f>
        <x:v>0.25878136200716845</x:v>
      </x:c>
      <x:c r="J546" s="10" t="n">
        <x:f>IF('Данные'!E546&gt;0,G546/'Данные'!E546,"n.a.")</x:f>
        <x:v>0.008709498419744747</x:v>
      </x:c>
      <x:c r="K546" s="1" t="str">
        <x:f>IF(G546&gt;='Дашборд'!$C$51,"X","Z")</x:f>
        <x:v>X</x:v>
      </x:c>
      <x:c r="L546" s="1" t="str">
        <x:f>IF(H546=0,IF(G546&gt;0,"Нет остатка","Нет спроса"),IF(I546&gt;='Дашборд'!$C$52,"Быстрый","Медленный"))</x:f>
        <x:v>Медленный</x:v>
      </x:c>
      <x:c r="M546" s="1" t="str">
        <x:f>IF('Данные'!E546&lt;'Дашборд'!$C$53,"Мало трафика",IF(J546&lt;'Дашборд'!$C$9*'Дашборд'!$C$54,"Да","Нет"))</x:f>
        <x:v>Да</x:v>
      </x:c>
      <x:c r="N546" s="1" t="str">
        <x:f>IF(AND('Данные'!D546&gt;='Дашборд'!$C$55,D546&lt;'Дашборд'!$C$56,'Данные'!E546&gt;='Дашборд'!$C$53,'Данные'!L546&lt;&gt;"Да"),"Да","Нет")</x:f>
        <x:v>Да</x:v>
      </x:c>
      <x:c r="O546" s="1" t="str">
        <x:f>'Данные'!L546</x:f>
        <x:v>Нет</x:v>
      </x:c>
    </x:row>
    <x:row r="547">
      <x:c r="A547" s="1" t="str">
        <x:f>'Данные'!A547</x:f>
        <x:v>209914956</x:v>
      </x:c>
      <x:c r="B547" s="1" t="str">
        <x:f>'Данные'!B547</x:f>
        <x:v>longsvobod/пыльнаяроза</x:v>
      </x:c>
      <x:c r="C547" s="8" t="n">
        <x:f>'Данные'!G547</x:f>
        <x:v>373564</x:v>
      </x:c>
      <x:c r="D547" s="15" t="n">
        <x:f>C547/SUM($C$5:$C$2477)</x:f>
        <x:v>0.00043640629173424155</x:v>
      </x:c>
      <x:c r="E547" s="15" t="n">
        <x:f>SUM($D$5:D547)</x:f>
        <x:v>0.8487313285898589</x:v>
      </x:c>
      <x:c r="F547" s="1" t="str">
        <x:f>IF(C547&lt;=0,"C",IF(E547-D547&lt;'Дашборд'!$C$49,"A",IF(E547-D547&lt;'Дашборд'!$C$50,"B","C")))</x:f>
        <x:v>B</x:v>
      </x:c>
      <x:c r="G547" s="8" t="n">
        <x:f>'Данные'!F547</x:f>
        <x:v>1257</x:v>
      </x:c>
      <x:c r="H547" s="8" t="n">
        <x:f>SUM('Данные'!H547:I547)</x:f>
        <x:v>162</x:v>
      </x:c>
      <x:c r="I547" s="16" t="n">
        <x:f>IF(H547&gt;0,G547/H547,"n.a.")</x:f>
        <x:v>7.7592592592592595</x:v>
      </x:c>
      <x:c r="J547" s="10" t="n">
        <x:f>IF('Данные'!E547&gt;0,G547/'Данные'!E547,"n.a.")</x:f>
        <x:v>0.016907205401697444</x:v>
      </x:c>
      <x:c r="K547" s="1" t="str">
        <x:f>IF(G547&gt;='Дашборд'!$C$51,"X","Z")</x:f>
        <x:v>X</x:v>
      </x:c>
      <x:c r="L547" s="1" t="str">
        <x:f>IF(H547=0,IF(G547&gt;0,"Нет остатка","Нет спроса"),IF(I547&gt;='Дашборд'!$C$52,"Быстрый","Медленный"))</x:f>
        <x:v>Быстрый</x:v>
      </x:c>
      <x:c r="M547" s="1" t="str">
        <x:f>IF('Данные'!E547&lt;'Дашборд'!$C$53,"Мало трафика",IF(J547&lt;'Дашборд'!$C$9*'Дашборд'!$C$54,"Да","Нет"))</x:f>
        <x:v>Нет</x:v>
      </x:c>
      <x:c r="N547" s="1" t="str">
        <x:f>IF(AND('Данные'!D547&gt;='Дашборд'!$C$55,D547&lt;'Дашборд'!$C$56,'Данные'!E547&gt;='Дашборд'!$C$53,'Данные'!L547&lt;&gt;"Да"),"Да","Нет")</x:f>
        <x:v>Нет</x:v>
      </x:c>
      <x:c r="O547" s="1" t="str">
        <x:f>'Данные'!L547</x:f>
        <x:v>Нет</x:v>
      </x:c>
    </x:row>
    <x:row r="548">
      <x:c r="A548" s="1" t="str">
        <x:f>'Данные'!A548</x:f>
        <x:v>300270088</x:v>
      </x:c>
      <x:c r="B548" s="1" t="str">
        <x:f>'Данные'!B548</x:f>
        <x:v>svitzip3P-S-5/темно-серый</x:v>
      </x:c>
      <x:c r="C548" s="8" t="n">
        <x:f>'Данные'!G548</x:f>
        <x:v>372992</x:v>
      </x:c>
      <x:c r="D548" s="15" t="n">
        <x:f>C548/SUM($C$5:$C$2477)</x:f>
        <x:v>0.0004357380678184681</x:v>
      </x:c>
      <x:c r="E548" s="15" t="n">
        <x:f>SUM($D$5:D548)</x:f>
        <x:v>0.8491670666576774</x:v>
      </x:c>
      <x:c r="F548" s="1" t="str">
        <x:f>IF(C548&lt;=0,"C",IF(E548-D548&lt;'Дашборд'!$C$49,"A",IF(E548-D548&lt;'Дашборд'!$C$50,"B","C")))</x:f>
        <x:v>B</x:v>
      </x:c>
      <x:c r="G548" s="8" t="n">
        <x:f>'Данные'!F548</x:f>
        <x:v>424</x:v>
      </x:c>
      <x:c r="H548" s="8" t="n">
        <x:f>SUM('Данные'!H548:I548)</x:f>
        <x:v>271</x:v>
      </x:c>
      <x:c r="I548" s="16" t="n">
        <x:f>IF(H548&gt;0,G548/H548,"n.a.")</x:f>
        <x:v>1.5645756457564575</x:v>
      </x:c>
      <x:c r="J548" s="10" t="n">
        <x:f>IF('Данные'!E548&gt;0,G548/'Данные'!E548,"n.a.")</x:f>
        <x:v>0.012577870068229012</x:v>
      </x:c>
      <x:c r="K548" s="1" t="str">
        <x:f>IF(G548&gt;='Дашборд'!$C$51,"X","Z")</x:f>
        <x:v>X</x:v>
      </x:c>
      <x:c r="L548" s="1" t="str">
        <x:f>IF(H548=0,IF(G548&gt;0,"Нет остатка","Нет спроса"),IF(I548&gt;='Дашборд'!$C$52,"Быстрый","Медленный"))</x:f>
        <x:v>Быстрый</x:v>
      </x:c>
      <x:c r="M548" s="1" t="str">
        <x:f>IF('Данные'!E548&lt;'Дашборд'!$C$53,"Мало трафика",IF(J548&lt;'Дашборд'!$C$9*'Дашборд'!$C$54,"Да","Нет"))</x:f>
        <x:v>Нет</x:v>
      </x:c>
      <x:c r="N548" s="1" t="str">
        <x:f>IF(AND('Данные'!D548&gt;='Дашборд'!$C$55,D548&lt;'Дашборд'!$C$56,'Данные'!E548&gt;='Дашборд'!$C$53,'Данные'!L548&lt;&gt;"Да"),"Да","Нет")</x:f>
        <x:v>Нет</x:v>
      </x:c>
      <x:c r="O548" s="1" t="str">
        <x:f>'Данные'!L548</x:f>
        <x:v>Нет</x:v>
      </x:c>
    </x:row>
    <x:row r="549">
      <x:c r="A549" s="1" t="str">
        <x:f>'Данные'!A549</x:f>
        <x:v>220090361</x:v>
      </x:c>
      <x:c r="B549" s="1" t="str">
        <x:f>'Данные'!B549</x:f>
        <x:v>tolstovkazip/светло-фиолетовый</x:v>
      </x:c>
      <x:c r="C549" s="8" t="n">
        <x:f>'Данные'!G549</x:f>
        <x:v>372730</x:v>
      </x:c>
      <x:c r="D549" s="15" t="n">
        <x:f>C549/SUM($C$5:$C$2477)</x:f>
        <x:v>0.00043543199322767677</x:v>
      </x:c>
      <x:c r="E549" s="15" t="n">
        <x:f>SUM($D$5:D549)</x:f>
        <x:v>0.8496024986509051</x:v>
      </x:c>
      <x:c r="F549" s="1" t="str">
        <x:f>IF(C549&lt;=0,"C",IF(E549-D549&lt;'Дашборд'!$C$49,"A",IF(E549-D549&lt;'Дашборд'!$C$50,"B","C")))</x:f>
        <x:v>B</x:v>
      </x:c>
      <x:c r="G549" s="8" t="n">
        <x:f>'Данные'!F549</x:f>
        <x:v>394</x:v>
      </x:c>
      <x:c r="H549" s="8" t="n">
        <x:f>SUM('Данные'!H549:I549)</x:f>
        <x:v>0</x:v>
      </x:c>
      <x:c r="I549" s="16" t="str">
        <x:f>IF(H549&gt;0,G549/H549,"n.a.")</x:f>
        <x:v>n.a.</x:v>
      </x:c>
      <x:c r="J549" s="10" t="n">
        <x:f>IF('Данные'!E549&gt;0,G549/'Данные'!E549,"n.a.")</x:f>
        <x:v>0.01174716756112105</x:v>
      </x:c>
      <x:c r="K549" s="1" t="str">
        <x:f>IF(G549&gt;='Дашборд'!$C$51,"X","Z")</x:f>
        <x:v>X</x:v>
      </x:c>
      <x:c r="L549" s="1" t="str">
        <x:f>IF(H549=0,IF(G549&gt;0,"Нет остатка","Нет спроса"),IF(I549&gt;='Дашборд'!$C$52,"Быстрый","Медленный"))</x:f>
        <x:v>Нет остатка</x:v>
      </x:c>
      <x:c r="M549" s="1" t="str">
        <x:f>IF('Данные'!E549&lt;'Дашборд'!$C$53,"Мало трафика",IF(J549&lt;'Дашборд'!$C$9*'Дашборд'!$C$54,"Да","Нет"))</x:f>
        <x:v>Нет</x:v>
      </x:c>
      <x:c r="N549" s="1" t="str">
        <x:f>IF(AND('Данные'!D549&gt;='Дашборд'!$C$55,D549&lt;'Дашборд'!$C$56,'Данные'!E549&gt;='Дашборд'!$C$53,'Данные'!L549&lt;&gt;"Да"),"Да","Нет")</x:f>
        <x:v>Да</x:v>
      </x:c>
      <x:c r="O549" s="1" t="str">
        <x:f>'Данные'!L549</x:f>
        <x:v>Нет</x:v>
      </x:c>
    </x:row>
    <x:row r="550">
      <x:c r="A550" s="1" t="str">
        <x:f>'Данные'!A550</x:f>
        <x:v>280030828</x:v>
      </x:c>
      <x:c r="B550" s="1" t="str">
        <x:f>'Данные'!B550</x:f>
        <x:v>svitshotzipman2/кофейный</x:v>
      </x:c>
      <x:c r="C550" s="8" t="n">
        <x:f>'Данные'!G550</x:f>
        <x:v>371782</x:v>
      </x:c>
      <x:c r="D550" s="15" t="n">
        <x:f>C550/SUM($C$5:$C$2477)</x:f>
        <x:v>0.00043432451722740894</x:v>
      </x:c>
      <x:c r="E550" s="15" t="n">
        <x:f>SUM($D$5:D550)</x:f>
        <x:v>0.8500368231681324</x:v>
      </x:c>
      <x:c r="F550" s="1" t="str">
        <x:f>IF(C550&lt;=0,"C",IF(E550-D550&lt;'Дашборд'!$C$49,"A",IF(E550-D550&lt;'Дашборд'!$C$50,"B","C")))</x:f>
        <x:v>B</x:v>
      </x:c>
      <x:c r="G550" s="8" t="n">
        <x:f>'Данные'!F550</x:f>
        <x:v>428</x:v>
      </x:c>
      <x:c r="H550" s="8" t="n">
        <x:f>SUM('Данные'!H550:I550)</x:f>
        <x:v>59</x:v>
      </x:c>
      <x:c r="I550" s="16" t="n">
        <x:f>IF(H550&gt;0,G550/H550,"n.a.")</x:f>
        <x:v>7.254237288135593</x:v>
      </x:c>
      <x:c r="J550" s="10" t="n">
        <x:f>IF('Данные'!E550&gt;0,G550/'Данные'!E550,"n.a.")</x:f>
        <x:v>0.020332541567695962</x:v>
      </x:c>
      <x:c r="K550" s="1" t="str">
        <x:f>IF(G550&gt;='Дашборд'!$C$51,"X","Z")</x:f>
        <x:v>X</x:v>
      </x:c>
      <x:c r="L550" s="1" t="str">
        <x:f>IF(H550=0,IF(G550&gt;0,"Нет остатка","Нет спроса"),IF(I550&gt;='Дашборд'!$C$52,"Быстрый","Медленный"))</x:f>
        <x:v>Быстрый</x:v>
      </x:c>
      <x:c r="M550" s="1" t="str">
        <x:f>IF('Данные'!E550&lt;'Дашборд'!$C$53,"Мало трафика",IF(J550&lt;'Дашборд'!$C$9*'Дашборд'!$C$54,"Да","Нет"))</x:f>
        <x:v>Нет</x:v>
      </x:c>
      <x:c r="N550" s="1" t="str">
        <x:f>IF(AND('Данные'!D550&gt;='Дашборд'!$C$55,D550&lt;'Дашборд'!$C$56,'Данные'!E550&gt;='Дашборд'!$C$53,'Данные'!L550&lt;&gt;"Да"),"Да","Нет")</x:f>
        <x:v>Да</x:v>
      </x:c>
      <x:c r="O550" s="1" t="str">
        <x:f>'Данные'!L550</x:f>
        <x:v>Нет</x:v>
      </x:c>
    </x:row>
    <x:row r="551">
      <x:c r="A551" s="1" t="str">
        <x:f>'Данные'!A551</x:f>
        <x:v>79577394</x:v>
      </x:c>
      <x:c r="B551" s="1" t="str">
        <x:f>'Данные'!B551</x:f>
        <x:v>futbolkaover/морскаяволна</x:v>
      </x:c>
      <x:c r="C551" s="8" t="n">
        <x:f>'Данные'!G551</x:f>
        <x:v>370926</x:v>
      </x:c>
      <x:c r="D551" s="15" t="n">
        <x:f>C551/SUM($C$5:$C$2477)</x:f>
        <x:v>0.00043332451780100673</x:v>
      </x:c>
      <x:c r="E551" s="15" t="n">
        <x:f>SUM($D$5:D551)</x:f>
        <x:v>0.8504701476859334</x:v>
      </x:c>
      <x:c r="F551" s="1" t="str">
        <x:f>IF(C551&lt;=0,"C",IF(E551-D551&lt;'Дашборд'!$C$49,"A",IF(E551-D551&lt;'Дашборд'!$C$50,"B","C")))</x:f>
        <x:v>B</x:v>
      </x:c>
      <x:c r="G551" s="8" t="n">
        <x:f>'Данные'!F551</x:f>
        <x:v>792</x:v>
      </x:c>
      <x:c r="H551" s="8" t="n">
        <x:f>SUM('Данные'!H551:I551)</x:f>
        <x:v>4803</x:v>
      </x:c>
      <x:c r="I551" s="16" t="n">
        <x:f>IF(H551&gt;0,G551/H551,"n.a.")</x:f>
        <x:v>0.16489693941286696</x:v>
      </x:c>
      <x:c r="J551" s="10" t="n">
        <x:f>IF('Данные'!E551&gt;0,G551/'Данные'!E551,"n.a.")</x:f>
        <x:v>0.012355308726716795</x:v>
      </x:c>
      <x:c r="K551" s="1" t="str">
        <x:f>IF(G551&gt;='Дашборд'!$C$51,"X","Z")</x:f>
        <x:v>X</x:v>
      </x:c>
      <x:c r="L551" s="1" t="str">
        <x:f>IF(H551=0,IF(G551&gt;0,"Нет остатка","Нет спроса"),IF(I551&gt;='Дашборд'!$C$52,"Быстрый","Медленный"))</x:f>
        <x:v>Медленный</x:v>
      </x:c>
      <x:c r="M551" s="1" t="str">
        <x:f>IF('Данные'!E551&lt;'Дашборд'!$C$53,"Мало трафика",IF(J551&lt;'Дашборд'!$C$9*'Дашборд'!$C$54,"Да","Нет"))</x:f>
        <x:v>Нет</x:v>
      </x:c>
      <x:c r="N551" s="1" t="str">
        <x:f>IF(AND('Данные'!D551&gt;='Дашборд'!$C$55,D551&lt;'Дашборд'!$C$56,'Данные'!E551&gt;='Дашборд'!$C$53,'Данные'!L551&lt;&gt;"Да"),"Да","Нет")</x:f>
        <x:v>Да</x:v>
      </x:c>
      <x:c r="O551" s="1" t="str">
        <x:f>'Данные'!L551</x:f>
        <x:v>Нет</x:v>
      </x:c>
    </x:row>
    <x:row r="552">
      <x:c r="A552" s="1" t="str">
        <x:f>'Данные'!A552</x:f>
        <x:v>25872098</x:v>
      </x:c>
      <x:c r="B552" s="1" t="str">
        <x:f>'Данные'!B552</x:f>
        <x:v>hudiman/светло-зеленый</x:v>
      </x:c>
      <x:c r="C552" s="8" t="n">
        <x:f>'Данные'!G552</x:f>
        <x:v>370830</x:v>
      </x:c>
      <x:c r="D552" s="15" t="n">
        <x:f>C552/SUM($C$5:$C$2477)</x:f>
        <x:v>0.0004332123683326252</x:v>
      </x:c>
      <x:c r="E552" s="15" t="n">
        <x:f>SUM($D$5:D552)</x:f>
        <x:v>0.850903360054266</x:v>
      </x:c>
      <x:c r="F552" s="1" t="str">
        <x:f>IF(C552&lt;=0,"C",IF(E552-D552&lt;'Дашборд'!$C$49,"A",IF(E552-D552&lt;'Дашборд'!$C$50,"B","C")))</x:f>
        <x:v>B</x:v>
      </x:c>
      <x:c r="G552" s="8" t="n">
        <x:f>'Данные'!F552</x:f>
        <x:v>321</x:v>
      </x:c>
      <x:c r="H552" s="8" t="n">
        <x:f>SUM('Данные'!H552:I552)</x:f>
        <x:v>75</x:v>
      </x:c>
      <x:c r="I552" s="16" t="n">
        <x:f>IF(H552&gt;0,G552/H552,"n.a.")</x:f>
        <x:v>4.28</x:v>
      </x:c>
      <x:c r="J552" s="10" t="n">
        <x:f>IF('Данные'!E552&gt;0,G552/'Данные'!E552,"n.a.")</x:f>
        <x:v>0.024451553930530164</x:v>
      </x:c>
      <x:c r="K552" s="1" t="str">
        <x:f>IF(G552&gt;='Дашборд'!$C$51,"X","Z")</x:f>
        <x:v>X</x:v>
      </x:c>
      <x:c r="L552" s="1" t="str">
        <x:f>IF(H552=0,IF(G552&gt;0,"Нет остатка","Нет спроса"),IF(I552&gt;='Дашборд'!$C$52,"Быстрый","Медленный"))</x:f>
        <x:v>Быстрый</x:v>
      </x:c>
      <x:c r="M552" s="1" t="str">
        <x:f>IF('Данные'!E552&lt;'Дашборд'!$C$53,"Мало трафика",IF(J552&lt;'Дашборд'!$C$9*'Дашборд'!$C$54,"Да","Нет"))</x:f>
        <x:v>Нет</x:v>
      </x:c>
      <x:c r="N552" s="1" t="str">
        <x:f>IF(AND('Данные'!D552&gt;='Дашборд'!$C$55,D552&lt;'Дашборд'!$C$56,'Данные'!E552&gt;='Дашборд'!$C$53,'Данные'!L552&lt;&gt;"Да"),"Да","Нет")</x:f>
        <x:v>Да</x:v>
      </x:c>
      <x:c r="O552" s="1" t="str">
        <x:f>'Данные'!L552</x:f>
        <x:v>Нет</x:v>
      </x:c>
    </x:row>
    <x:row r="553">
      <x:c r="A553" s="1" t="str">
        <x:f>'Данные'!A553</x:f>
        <x:v>264476989</x:v>
      </x:c>
      <x:c r="B553" s="1" t="str">
        <x:f>'Данные'!B553</x:f>
        <x:v>hudipetl/бордовый</x:v>
      </x:c>
      <x:c r="C553" s="8" t="n">
        <x:f>'Данные'!G553</x:f>
        <x:v>370636</x:v>
      </x:c>
      <x:c r="D553" s="15" t="n">
        <x:f>C553/SUM($C$5:$C$2477)</x:f>
        <x:v>0.0004329857329486041</x:v>
      </x:c>
      <x:c r="E553" s="15" t="n">
        <x:f>SUM($D$5:D553)</x:f>
        <x:v>0.8513363457872146</x:v>
      </x:c>
      <x:c r="F553" s="1" t="str">
        <x:f>IF(C553&lt;=0,"C",IF(E553-D553&lt;'Дашборд'!$C$49,"A",IF(E553-D553&lt;'Дашборд'!$C$50,"B","C")))</x:f>
        <x:v>B</x:v>
      </x:c>
      <x:c r="G553" s="8" t="n">
        <x:f>'Данные'!F553</x:f>
        <x:v>304</x:v>
      </x:c>
      <x:c r="H553" s="8" t="n">
        <x:f>SUM('Данные'!H553:I553)</x:f>
        <x:v>0</x:v>
      </x:c>
      <x:c r="I553" s="16" t="str">
        <x:f>IF(H553&gt;0,G553/H553,"n.a.")</x:f>
        <x:v>n.a.</x:v>
      </x:c>
      <x:c r="J553" s="10" t="n">
        <x:f>IF('Данные'!E553&gt;0,G553/'Данные'!E553,"n.a.")</x:f>
        <x:v>0.010023409937683405</x:v>
      </x:c>
      <x:c r="K553" s="1" t="str">
        <x:f>IF(G553&gt;='Дашборд'!$C$51,"X","Z")</x:f>
        <x:v>X</x:v>
      </x:c>
      <x:c r="L553" s="1" t="str">
        <x:f>IF(H553=0,IF(G553&gt;0,"Нет остатка","Нет спроса"),IF(I553&gt;='Дашборд'!$C$52,"Быстрый","Медленный"))</x:f>
        <x:v>Нет остатка</x:v>
      </x:c>
      <x:c r="M553" s="1" t="str">
        <x:f>IF('Данные'!E553&lt;'Дашборд'!$C$53,"Мало трафика",IF(J553&lt;'Дашборд'!$C$9*'Дашборд'!$C$54,"Да","Нет"))</x:f>
        <x:v>Да</x:v>
      </x:c>
      <x:c r="N553" s="1" t="str">
        <x:f>IF(AND('Данные'!D553&gt;='Дашборд'!$C$55,D553&lt;'Дашборд'!$C$56,'Данные'!E553&gt;='Дашборд'!$C$53,'Данные'!L553&lt;&gt;"Да"),"Да","Нет")</x:f>
        <x:v>Нет</x:v>
      </x:c>
      <x:c r="O553" s="1" t="str">
        <x:f>'Данные'!L553</x:f>
        <x:v>Нет</x:v>
      </x:c>
    </x:row>
    <x:row r="554">
      <x:c r="A554" s="1" t="str">
        <x:f>'Данные'!A554</x:f>
        <x:v>111850779</x:v>
      </x:c>
      <x:c r="B554" s="1" t="str">
        <x:f>'Данные'!B554</x:f>
        <x:v>futbolkaover/синеморской</x:v>
      </x:c>
      <x:c r="C554" s="8" t="n">
        <x:f>'Данные'!G554</x:f>
        <x:v>369046</x:v>
      </x:c>
      <x:c r="D554" s="15" t="n">
        <x:f>C554/SUM($C$5:$C$2477)</x:f>
        <x:v>0.00043112825737853463</x:v>
      </x:c>
      <x:c r="E554" s="15" t="n">
        <x:f>SUM($D$5:D554)</x:f>
        <x:v>0.8517674740445932</x:v>
      </x:c>
      <x:c r="F554" s="1" t="str">
        <x:f>IF(C554&lt;=0,"C",IF(E554-D554&lt;'Дашборд'!$C$49,"A",IF(E554-D554&lt;'Дашборд'!$C$50,"B","C")))</x:f>
        <x:v>B</x:v>
      </x:c>
      <x:c r="G554" s="8" t="n">
        <x:f>'Данные'!F554</x:f>
        <x:v>728</x:v>
      </x:c>
      <x:c r="H554" s="8" t="n">
        <x:f>SUM('Данные'!H554:I554)</x:f>
        <x:v>4642</x:v>
      </x:c>
      <x:c r="I554" s="16" t="n">
        <x:f>IF(H554&gt;0,G554/H554,"n.a.")</x:f>
        <x:v>0.15682895303748384</x:v>
      </x:c>
      <x:c r="J554" s="10" t="n">
        <x:f>IF('Данные'!E554&gt;0,G554/'Данные'!E554,"n.a.")</x:f>
        <x:v>0.0160674479683948</x:v>
      </x:c>
      <x:c r="K554" s="1" t="str">
        <x:f>IF(G554&gt;='Дашборд'!$C$51,"X","Z")</x:f>
        <x:v>X</x:v>
      </x:c>
      <x:c r="L554" s="1" t="str">
        <x:f>IF(H554=0,IF(G554&gt;0,"Нет остатка","Нет спроса"),IF(I554&gt;='Дашборд'!$C$52,"Быстрый","Медленный"))</x:f>
        <x:v>Медленный</x:v>
      </x:c>
      <x:c r="M554" s="1" t="str">
        <x:f>IF('Данные'!E554&lt;'Дашборд'!$C$53,"Мало трафика",IF(J554&lt;'Дашборд'!$C$9*'Дашборд'!$C$54,"Да","Нет"))</x:f>
        <x:v>Нет</x:v>
      </x:c>
      <x:c r="N554" s="1" t="str">
        <x:f>IF(AND('Данные'!D554&gt;='Дашборд'!$C$55,D554&lt;'Дашборд'!$C$56,'Данные'!E554&gt;='Дашборд'!$C$53,'Данные'!L554&lt;&gt;"Да"),"Да","Нет")</x:f>
        <x:v>Да</x:v>
      </x:c>
      <x:c r="O554" s="1" t="str">
        <x:f>'Данные'!L554</x:f>
        <x:v>Нет</x:v>
      </x:c>
    </x:row>
    <x:row r="555">
      <x:c r="A555" s="1" t="str">
        <x:f>'Данные'!A555</x:f>
        <x:v>246363121</x:v>
      </x:c>
      <x:c r="B555" s="1" t="str">
        <x:f>'Данные'!B555</x:f>
        <x:v>tolstovkazip/дымка</x:v>
      </x:c>
      <x:c r="C555" s="8" t="n">
        <x:f>'Данные'!G555</x:f>
        <x:v>368687</x:v>
      </x:c>
      <x:c r="D555" s="15" t="n">
        <x:f>C555/SUM($C$5:$C$2477)</x:f>
        <x:v>0.00043070886509573276</x:v>
      </x:c>
      <x:c r="E555" s="15" t="n">
        <x:f>SUM($D$5:D555)</x:f>
        <x:v>0.852198182909689</x:v>
      </x:c>
      <x:c r="F555" s="1" t="str">
        <x:f>IF(C555&lt;=0,"C",IF(E555-D555&lt;'Дашборд'!$C$49,"A",IF(E555-D555&lt;'Дашборд'!$C$50,"B","C")))</x:f>
        <x:v>B</x:v>
      </x:c>
      <x:c r="G555" s="8" t="n">
        <x:f>'Данные'!F555</x:f>
        <x:v>271</x:v>
      </x:c>
      <x:c r="H555" s="8" t="n">
        <x:f>SUM('Данные'!H555:I555)</x:f>
        <x:v>0</x:v>
      </x:c>
      <x:c r="I555" s="16" t="str">
        <x:f>IF(H555&gt;0,G555/H555,"n.a.")</x:f>
        <x:v>n.a.</x:v>
      </x:c>
      <x:c r="J555" s="10" t="n">
        <x:f>IF('Данные'!E555&gt;0,G555/'Данные'!E555,"n.a.")</x:f>
        <x:v>0.008488113508942274</x:v>
      </x:c>
      <x:c r="K555" s="1" t="str">
        <x:f>IF(G555&gt;='Дашборд'!$C$51,"X","Z")</x:f>
        <x:v>Z</x:v>
      </x:c>
      <x:c r="L555" s="1" t="str">
        <x:f>IF(H555=0,IF(G555&gt;0,"Нет остатка","Нет спроса"),IF(I555&gt;='Дашборд'!$C$52,"Быстрый","Медленный"))</x:f>
        <x:v>Нет остатка</x:v>
      </x:c>
      <x:c r="M555" s="1" t="str">
        <x:f>IF('Данные'!E555&lt;'Дашборд'!$C$53,"Мало трафика",IF(J555&lt;'Дашборд'!$C$9*'Дашборд'!$C$54,"Да","Нет"))</x:f>
        <x:v>Да</x:v>
      </x:c>
      <x:c r="N555" s="1" t="str">
        <x:f>IF(AND('Данные'!D555&gt;='Дашборд'!$C$55,D555&lt;'Дашборд'!$C$56,'Данные'!E555&gt;='Дашборд'!$C$53,'Данные'!L555&lt;&gt;"Да"),"Да","Нет")</x:f>
        <x:v>Да</x:v>
      </x:c>
      <x:c r="O555" s="1" t="str">
        <x:f>'Данные'!L555</x:f>
        <x:v>Нет</x:v>
      </x:c>
    </x:row>
    <x:row r="556">
      <x:c r="A556" s="1" t="str">
        <x:f>'Данные'!A556</x:f>
        <x:v>165757807</x:v>
      </x:c>
      <x:c r="B556" s="1" t="str">
        <x:f>'Данные'!B556</x:f>
        <x:v>kulirkaman/банановый</x:v>
      </x:c>
      <x:c r="C556" s="8" t="n">
        <x:f>'Данные'!G556</x:f>
        <x:v>365042</x:v>
      </x:c>
      <x:c r="D556" s="15" t="n">
        <x:f>C556/SUM($C$5:$C$2477)</x:f>
        <x:v>0.0004264506899681206</x:v>
      </x:c>
      <x:c r="E556" s="15" t="n">
        <x:f>SUM($D$5:D556)</x:f>
        <x:v>0.8526246335996571</x:v>
      </x:c>
      <x:c r="F556" s="1" t="str">
        <x:f>IF(C556&lt;=0,"C",IF(E556-D556&lt;'Дашборд'!$C$49,"A",IF(E556-D556&lt;'Дашборд'!$C$50,"B","C")))</x:f>
        <x:v>B</x:v>
      </x:c>
      <x:c r="G556" s="8" t="n">
        <x:f>'Данные'!F556</x:f>
        <x:v>743</x:v>
      </x:c>
      <x:c r="H556" s="8" t="n">
        <x:f>SUM('Данные'!H556:I556)</x:f>
        <x:v>179</x:v>
      </x:c>
      <x:c r="I556" s="16" t="n">
        <x:f>IF(H556&gt;0,G556/H556,"n.a.")</x:f>
        <x:v>4.150837988826815</x:v>
      </x:c>
      <x:c r="J556" s="10" t="n">
        <x:f>IF('Данные'!E556&gt;0,G556/'Данные'!E556,"n.a.")</x:f>
        <x:v>0.027641369047619047</x:v>
      </x:c>
      <x:c r="K556" s="1" t="str">
        <x:f>IF(G556&gt;='Дашборд'!$C$51,"X","Z")</x:f>
        <x:v>X</x:v>
      </x:c>
      <x:c r="L556" s="1" t="str">
        <x:f>IF(H556=0,IF(G556&gt;0,"Нет остатка","Нет спроса"),IF(I556&gt;='Дашборд'!$C$52,"Быстрый","Медленный"))</x:f>
        <x:v>Быстрый</x:v>
      </x:c>
      <x:c r="M556" s="1" t="str">
        <x:f>IF('Данные'!E556&lt;'Дашборд'!$C$53,"Мало трафика",IF(J556&lt;'Дашборд'!$C$9*'Дашборд'!$C$54,"Да","Нет"))</x:f>
        <x:v>Нет</x:v>
      </x:c>
      <x:c r="N556" s="1" t="str">
        <x:f>IF(AND('Данные'!D556&gt;='Дашборд'!$C$55,D556&lt;'Дашборд'!$C$56,'Данные'!E556&gt;='Дашборд'!$C$53,'Данные'!L556&lt;&gt;"Да"),"Да","Нет")</x:f>
        <x:v>Нет</x:v>
      </x:c>
      <x:c r="O556" s="1" t="str">
        <x:f>'Данные'!L556</x:f>
        <x:v>Нет</x:v>
      </x:c>
    </x:row>
    <x:row r="557">
      <x:c r="A557" s="1" t="str">
        <x:f>'Данные'!A557</x:f>
        <x:v>220090370</x:v>
      </x:c>
      <x:c r="B557" s="1" t="str">
        <x:f>'Данные'!B557</x:f>
        <x:v>tolstovkazipman/песочный</x:v>
      </x:c>
      <x:c r="C557" s="8" t="n">
        <x:f>'Данные'!G557</x:f>
        <x:v>363993</x:v>
      </x:c>
      <x:c r="D557" s="15" t="n">
        <x:f>C557/SUM($C$5:$C$2477)</x:f>
        <x:v>0.0004252252233813263</x:v>
      </x:c>
      <x:c r="E557" s="15" t="n">
        <x:f>SUM($D$5:D557)</x:f>
        <x:v>0.8530498588230384</x:v>
      </x:c>
      <x:c r="F557" s="1" t="str">
        <x:f>IF(C557&lt;=0,"C",IF(E557-D557&lt;'Дашборд'!$C$49,"A",IF(E557-D557&lt;'Дашборд'!$C$50,"B","C")))</x:f>
        <x:v>B</x:v>
      </x:c>
      <x:c r="G557" s="8" t="n">
        <x:f>'Данные'!F557</x:f>
        <x:v>394</x:v>
      </x:c>
      <x:c r="H557" s="8" t="n">
        <x:f>SUM('Данные'!H557:I557)</x:f>
        <x:v>28</x:v>
      </x:c>
      <x:c r="I557" s="16" t="n">
        <x:f>IF(H557&gt;0,G557/H557,"n.a.")</x:f>
        <x:v>14.071428571428571</x:v>
      </x:c>
      <x:c r="J557" s="10" t="n">
        <x:f>IF('Данные'!E557&gt;0,G557/'Данные'!E557,"n.a.")</x:f>
        <x:v>0.017317920091424552</x:v>
      </x:c>
      <x:c r="K557" s="1" t="str">
        <x:f>IF(G557&gt;='Дашборд'!$C$51,"X","Z")</x:f>
        <x:v>X</x:v>
      </x:c>
      <x:c r="L557" s="1" t="str">
        <x:f>IF(H557=0,IF(G557&gt;0,"Нет остатка","Нет спроса"),IF(I557&gt;='Дашборд'!$C$52,"Быстрый","Медленный"))</x:f>
        <x:v>Быстрый</x:v>
      </x:c>
      <x:c r="M557" s="1" t="str">
        <x:f>IF('Данные'!E557&lt;'Дашборд'!$C$53,"Мало трафика",IF(J557&lt;'Дашборд'!$C$9*'Дашборд'!$C$54,"Да","Нет"))</x:f>
        <x:v>Нет</x:v>
      </x:c>
      <x:c r="N557" s="1" t="str">
        <x:f>IF(AND('Данные'!D557&gt;='Дашборд'!$C$55,D557&lt;'Дашборд'!$C$56,'Данные'!E557&gt;='Дашборд'!$C$53,'Данные'!L557&lt;&gt;"Да"),"Да","Нет")</x:f>
        <x:v>Да</x:v>
      </x:c>
      <x:c r="O557" s="1" t="str">
        <x:f>'Данные'!L557</x:f>
        <x:v>Нет</x:v>
      </x:c>
    </x:row>
    <x:row r="558">
      <x:c r="A558" s="1" t="str">
        <x:f>'Данные'!A558</x:f>
        <x:v>183793821</x:v>
      </x:c>
      <x:c r="B558" s="1" t="str">
        <x:f>'Данные'!B558</x:f>
        <x:v>hudiprint/68-11/серый</x:v>
      </x:c>
      <x:c r="C558" s="8" t="n">
        <x:f>'Данные'!G558</x:f>
        <x:v>363960</x:v>
      </x:c>
      <x:c r="D558" s="15" t="n">
        <x:f>C558/SUM($C$5:$C$2477)</x:f>
        <x:v>0.00042518667200157014</x:v>
      </x:c>
      <x:c r="E558" s="15" t="n">
        <x:f>SUM($D$5:D558)</x:f>
        <x:v>0.8534750454950399</x:v>
      </x:c>
      <x:c r="F558" s="1" t="str">
        <x:f>IF(C558&lt;=0,"C",IF(E558-D558&lt;'Дашборд'!$C$49,"A",IF(E558-D558&lt;'Дашборд'!$C$50,"B","C")))</x:f>
        <x:v>B</x:v>
      </x:c>
      <x:c r="G558" s="8" t="n">
        <x:f>'Данные'!F558</x:f>
        <x:v>378</x:v>
      </x:c>
      <x:c r="H558" s="8" t="n">
        <x:f>SUM('Данные'!H558:I558)</x:f>
        <x:v>135</x:v>
      </x:c>
      <x:c r="I558" s="16" t="n">
        <x:f>IF(H558&gt;0,G558/H558,"n.a.")</x:f>
        <x:v>2.8</x:v>
      </x:c>
      <x:c r="J558" s="10" t="n">
        <x:f>IF('Данные'!E558&gt;0,G558/'Данные'!E558,"n.a.")</x:f>
        <x:v>0.011152745404655828</x:v>
      </x:c>
      <x:c r="K558" s="1" t="str">
        <x:f>IF(G558&gt;='Дашборд'!$C$51,"X","Z")</x:f>
        <x:v>X</x:v>
      </x:c>
      <x:c r="L558" s="1" t="str">
        <x:f>IF(H558=0,IF(G558&gt;0,"Нет остатка","Нет спроса"),IF(I558&gt;='Дашборд'!$C$52,"Быстрый","Медленный"))</x:f>
        <x:v>Быстрый</x:v>
      </x:c>
      <x:c r="M558" s="1" t="str">
        <x:f>IF('Данные'!E558&lt;'Дашборд'!$C$53,"Мало трафика",IF(J558&lt;'Дашборд'!$C$9*'Дашборд'!$C$54,"Да","Нет"))</x:f>
        <x:v>Нет</x:v>
      </x:c>
      <x:c r="N558" s="1" t="str">
        <x:f>IF(AND('Данные'!D558&gt;='Дашборд'!$C$55,D558&lt;'Дашборд'!$C$56,'Данные'!E558&gt;='Дашборд'!$C$53,'Данные'!L558&lt;&gt;"Да"),"Да","Нет")</x:f>
        <x:v>Да</x:v>
      </x:c>
      <x:c r="O558" s="1" t="str">
        <x:f>'Данные'!L558</x:f>
        <x:v>Нет</x:v>
      </x:c>
    </x:row>
    <x:row r="559">
      <x:c r="A559" s="1" t="str">
        <x:f>'Данные'!A559</x:f>
        <x:v>24718407</x:v>
      </x:c>
      <x:c r="B559" s="1" t="str">
        <x:f>'Данные'!B559</x:f>
        <x:v>futbolka_mary/черный</x:v>
      </x:c>
      <x:c r="C559" s="8" t="n">
        <x:f>'Данные'!G559</x:f>
        <x:v>363189</x:v>
      </x:c>
      <x:c r="D559" s="15" t="n">
        <x:f>C559/SUM($C$5:$C$2477)</x:f>
        <x:v>0.00042428597158363076</x:v>
      </x:c>
      <x:c r="E559" s="15" t="n">
        <x:f>SUM($D$5:D559)</x:f>
        <x:v>0.8538993314666236</x:v>
      </x:c>
      <x:c r="F559" s="1" t="str">
        <x:f>IF(C559&lt;=0,"C",IF(E559-D559&lt;'Дашборд'!$C$49,"A",IF(E559-D559&lt;'Дашборд'!$C$50,"B","C")))</x:f>
        <x:v>B</x:v>
      </x:c>
      <x:c r="G559" s="8" t="n">
        <x:f>'Данные'!F559</x:f>
        <x:v>1078</x:v>
      </x:c>
      <x:c r="H559" s="8" t="n">
        <x:f>SUM('Данные'!H559:I559)</x:f>
        <x:v>91</x:v>
      </x:c>
      <x:c r="I559" s="16" t="n">
        <x:f>IF(H559&gt;0,G559/H559,"n.a.")</x:f>
        <x:v>11.846153846153847</x:v>
      </x:c>
      <x:c r="J559" s="10" t="n">
        <x:f>IF('Данные'!E559&gt;0,G559/'Данные'!E559,"n.a.")</x:f>
        <x:v>0.03479551983473742</x:v>
      </x:c>
      <x:c r="K559" s="1" t="str">
        <x:f>IF(G559&gt;='Дашборд'!$C$51,"X","Z")</x:f>
        <x:v>X</x:v>
      </x:c>
      <x:c r="L559" s="1" t="str">
        <x:f>IF(H559=0,IF(G559&gt;0,"Нет остатка","Нет спроса"),IF(I559&gt;='Дашборд'!$C$52,"Быстрый","Медленный"))</x:f>
        <x:v>Быстрый</x:v>
      </x:c>
      <x:c r="M559" s="1" t="str">
        <x:f>IF('Данные'!E559&lt;'Дашборд'!$C$53,"Мало трафика",IF(J559&lt;'Дашборд'!$C$9*'Дашборд'!$C$54,"Да","Нет"))</x:f>
        <x:v>Нет</x:v>
      </x:c>
      <x:c r="N559" s="1" t="str">
        <x:f>IF(AND('Данные'!D559&gt;='Дашборд'!$C$55,D559&lt;'Дашборд'!$C$56,'Данные'!E559&gt;='Дашборд'!$C$53,'Данные'!L559&lt;&gt;"Да"),"Да","Нет")</x:f>
        <x:v>Нет</x:v>
      </x:c>
      <x:c r="O559" s="1" t="str">
        <x:f>'Данные'!L559</x:f>
        <x:v>Нет</x:v>
      </x:c>
    </x:row>
    <x:row r="560">
      <x:c r="A560" s="1" t="str">
        <x:f>'Данные'!A560</x:f>
        <x:v>295664242</x:v>
      </x:c>
      <x:c r="B560" s="1" t="str">
        <x:f>'Данные'!B560</x:f>
        <x:v>2nkost3D-72-73/молочный</x:v>
      </x:c>
      <x:c r="C560" s="8" t="n">
        <x:f>'Данные'!G560</x:f>
        <x:v>362687</x:v>
      </x:c>
      <x:c r="D560" s="15" t="n">
        <x:f>C560/SUM($C$5:$C$2477)</x:f>
        <x:v>0.0004236995233218856</x:v>
      </x:c>
      <x:c r="E560" s="15" t="n">
        <x:f>SUM($D$5:D560)</x:f>
        <x:v>0.8543230309899454</x:v>
      </x:c>
      <x:c r="F560" s="1" t="str">
        <x:f>IF(C560&lt;=0,"C",IF(E560-D560&lt;'Дашборд'!$C$49,"A",IF(E560-D560&lt;'Дашборд'!$C$50,"B","C")))</x:f>
        <x:v>B</x:v>
      </x:c>
      <x:c r="G560" s="8" t="n">
        <x:f>'Данные'!F560</x:f>
        <x:v>1034</x:v>
      </x:c>
      <x:c r="H560" s="8" t="n">
        <x:f>SUM('Данные'!H560:I560)</x:f>
        <x:v>158</x:v>
      </x:c>
      <x:c r="I560" s="16" t="n">
        <x:f>IF(H560&gt;0,G560/H560,"n.a.")</x:f>
        <x:v>6.544303797468355</x:v>
      </x:c>
      <x:c r="J560" s="10" t="n">
        <x:f>IF('Данные'!E560&gt;0,G560/'Данные'!E560,"n.a.")</x:f>
        <x:v>0.00806413875933927</x:v>
      </x:c>
      <x:c r="K560" s="1" t="str">
        <x:f>IF(G560&gt;='Дашборд'!$C$51,"X","Z")</x:f>
        <x:v>X</x:v>
      </x:c>
      <x:c r="L560" s="1" t="str">
        <x:f>IF(H560=0,IF(G560&gt;0,"Нет остатка","Нет спроса"),IF(I560&gt;='Дашборд'!$C$52,"Быстрый","Медленный"))</x:f>
        <x:v>Быстрый</x:v>
      </x:c>
      <x:c r="M560" s="1" t="str">
        <x:f>IF('Данные'!E560&lt;'Дашборд'!$C$53,"Мало трафика",IF(J560&lt;'Дашборд'!$C$9*'Дашборд'!$C$54,"Да","Нет"))</x:f>
        <x:v>Да</x:v>
      </x:c>
      <x:c r="N560" s="1" t="str">
        <x:f>IF(AND('Данные'!D560&gt;='Дашборд'!$C$55,D560&lt;'Дашборд'!$C$56,'Данные'!E560&gt;='Дашборд'!$C$53,'Данные'!L560&lt;&gt;"Да"),"Да","Нет")</x:f>
        <x:v>Нет</x:v>
      </x:c>
      <x:c r="O560" s="1" t="str">
        <x:f>'Данные'!L560</x:f>
        <x:v>Нет</x:v>
      </x:c>
    </x:row>
    <x:row r="561">
      <x:c r="A561" s="1" t="str">
        <x:f>'Данные'!A561</x:f>
        <x:v>246363212</x:v>
      </x:c>
      <x:c r="B561" s="1" t="str">
        <x:f>'Данные'!B561</x:f>
        <x:v>tolstovkazipman/бежевый</x:v>
      </x:c>
      <x:c r="C561" s="8" t="n">
        <x:f>'Данные'!G561</x:f>
        <x:v>362498</x:v>
      </x:c>
      <x:c r="D561" s="15" t="n">
        <x:f>C561/SUM($C$5:$C$2477)</x:f>
        <x:v>0.0004234787290560094</x:v>
      </x:c>
      <x:c r="E561" s="15" t="n">
        <x:f>SUM($D$5:D561)</x:f>
        <x:v>0.8547465097190015</x:v>
      </x:c>
      <x:c r="F561" s="1" t="str">
        <x:f>IF(C561&lt;=0,"C",IF(E561-D561&lt;'Дашборд'!$C$49,"A",IF(E561-D561&lt;'Дашборд'!$C$50,"B","C")))</x:f>
        <x:v>B</x:v>
      </x:c>
      <x:c r="G561" s="8" t="n">
        <x:f>'Данные'!F561</x:f>
        <x:v>325</x:v>
      </x:c>
      <x:c r="H561" s="8" t="n">
        <x:f>SUM('Данные'!H561:I561)</x:f>
        <x:v>135</x:v>
      </x:c>
      <x:c r="I561" s="16" t="n">
        <x:f>IF(H561&gt;0,G561/H561,"n.a.")</x:f>
        <x:v>2.4074074074074074</x:v>
      </x:c>
      <x:c r="J561" s="10" t="n">
        <x:f>IF('Данные'!E561&gt;0,G561/'Данные'!E561,"n.a.")</x:f>
        <x:v>0.020868113522537562</x:v>
      </x:c>
      <x:c r="K561" s="1" t="str">
        <x:f>IF(G561&gt;='Дашборд'!$C$51,"X","Z")</x:f>
        <x:v>X</x:v>
      </x:c>
      <x:c r="L561" s="1" t="str">
        <x:f>IF(H561=0,IF(G561&gt;0,"Нет остатка","Нет спроса"),IF(I561&gt;='Дашборд'!$C$52,"Быстрый","Медленный"))</x:f>
        <x:v>Быстрый</x:v>
      </x:c>
      <x:c r="M561" s="1" t="str">
        <x:f>IF('Данные'!E561&lt;'Дашборд'!$C$53,"Мало трафика",IF(J561&lt;'Дашборд'!$C$9*'Дашборд'!$C$54,"Да","Нет"))</x:f>
        <x:v>Нет</x:v>
      </x:c>
      <x:c r="N561" s="1" t="str">
        <x:f>IF(AND('Данные'!D561&gt;='Дашборд'!$C$55,D561&lt;'Дашборд'!$C$56,'Данные'!E561&gt;='Дашборд'!$C$53,'Данные'!L561&lt;&gt;"Да"),"Да","Нет")</x:f>
        <x:v>Да</x:v>
      </x:c>
      <x:c r="O561" s="1" t="str">
        <x:f>'Данные'!L561</x:f>
        <x:v>Нет</x:v>
      </x:c>
    </x:row>
    <x:row r="562">
      <x:c r="A562" s="1" t="str">
        <x:f>'Данные'!A562</x:f>
        <x:v>295586343</x:v>
      </x:c>
      <x:c r="B562" s="1" t="str">
        <x:f>'Данные'!B562</x:f>
        <x:v>hudiman2/молочный</x:v>
      </x:c>
      <x:c r="C562" s="8" t="n">
        <x:f>'Данные'!G562</x:f>
        <x:v>361953</x:v>
      </x:c>
      <x:c r="D562" s="15" t="n">
        <x:f>C562/SUM($C$5:$C$2477)</x:f>
        <x:v>0.00042284204717821824</x:v>
      </x:c>
      <x:c r="E562" s="15" t="n">
        <x:f>SUM($D$5:D562)</x:f>
        <x:v>0.8551693517661797</x:v>
      </x:c>
      <x:c r="F562" s="1" t="str">
        <x:f>IF(C562&lt;=0,"C",IF(E562-D562&lt;'Дашборд'!$C$49,"A",IF(E562-D562&lt;'Дашборд'!$C$50,"B","C")))</x:f>
        <x:v>B</x:v>
      </x:c>
      <x:c r="G562" s="8" t="n">
        <x:f>'Данные'!F562</x:f>
        <x:v>311</x:v>
      </x:c>
      <x:c r="H562" s="8" t="n">
        <x:f>SUM('Данные'!H562:I562)</x:f>
        <x:v>24</x:v>
      </x:c>
      <x:c r="I562" s="16" t="n">
        <x:f>IF(H562&gt;0,G562/H562,"n.a.")</x:f>
        <x:v>12.958333333333334</x:v>
      </x:c>
      <x:c r="J562" s="10" t="n">
        <x:f>IF('Данные'!E562&gt;0,G562/'Данные'!E562,"n.a.")</x:f>
        <x:v>0.0157548125633232</x:v>
      </x:c>
      <x:c r="K562" s="1" t="str">
        <x:f>IF(G562&gt;='Дашборд'!$C$51,"X","Z")</x:f>
        <x:v>X</x:v>
      </x:c>
      <x:c r="L562" s="1" t="str">
        <x:f>IF(H562=0,IF(G562&gt;0,"Нет остатка","Нет спроса"),IF(I562&gt;='Дашборд'!$C$52,"Быстрый","Медленный"))</x:f>
        <x:v>Быстрый</x:v>
      </x:c>
      <x:c r="M562" s="1" t="str">
        <x:f>IF('Данные'!E562&lt;'Дашборд'!$C$53,"Мало трафика",IF(J562&lt;'Дашборд'!$C$9*'Дашборд'!$C$54,"Да","Нет"))</x:f>
        <x:v>Нет</x:v>
      </x:c>
      <x:c r="N562" s="1" t="str">
        <x:f>IF(AND('Данные'!D562&gt;='Дашборд'!$C$55,D562&lt;'Дашборд'!$C$56,'Данные'!E562&gt;='Дашборд'!$C$53,'Данные'!L562&lt;&gt;"Да"),"Да","Нет")</x:f>
        <x:v>Нет</x:v>
      </x:c>
      <x:c r="O562" s="1" t="str">
        <x:f>'Данные'!L562</x:f>
        <x:v>Нет</x:v>
      </x:c>
    </x:row>
    <x:row r="563">
      <x:c r="A563" s="1" t="str">
        <x:f>'Данные'!A563</x:f>
        <x:v>198068984</x:v>
      </x:c>
      <x:c r="B563" s="1" t="str">
        <x:f>'Данные'!B563</x:f>
        <x:v>svitshotover/серыймеланж2</x:v>
      </x:c>
      <x:c r="C563" s="8" t="n">
        <x:f>'Данные'!G563</x:f>
        <x:v>361438</x:v>
      </x:c>
      <x:c r="D563" s="15" t="n">
        <x:f>C563/SUM($C$5:$C$2477)</x:f>
        <x:v>0.00042224041200929636</x:v>
      </x:c>
      <x:c r="E563" s="15" t="n">
        <x:f>SUM($D$5:D563)</x:f>
        <x:v>0.855591592178189</x:v>
      </x:c>
      <x:c r="F563" s="1" t="str">
        <x:f>IF(C563&lt;=0,"C",IF(E563-D563&lt;'Дашборд'!$C$49,"A",IF(E563-D563&lt;'Дашборд'!$C$50,"B","C")))</x:f>
        <x:v>B</x:v>
      </x:c>
      <x:c r="G563" s="8" t="n">
        <x:f>'Данные'!F563</x:f>
        <x:v>517</x:v>
      </x:c>
      <x:c r="H563" s="8" t="n">
        <x:f>SUM('Данные'!H563:I563)</x:f>
        <x:v>320</x:v>
      </x:c>
      <x:c r="I563" s="16" t="n">
        <x:f>IF(H563&gt;0,G563/H563,"n.a.")</x:f>
        <x:v>1.615625</x:v>
      </x:c>
      <x:c r="J563" s="10" t="n">
        <x:f>IF('Данные'!E563&gt;0,G563/'Данные'!E563,"n.a.")</x:f>
        <x:v>0.02160648612504179</x:v>
      </x:c>
      <x:c r="K563" s="1" t="str">
        <x:f>IF(G563&gt;='Дашборд'!$C$51,"X","Z")</x:f>
        <x:v>X</x:v>
      </x:c>
      <x:c r="L563" s="1" t="str">
        <x:f>IF(H563=0,IF(G563&gt;0,"Нет остатка","Нет спроса"),IF(I563&gt;='Дашборд'!$C$52,"Быстрый","Медленный"))</x:f>
        <x:v>Быстрый</x:v>
      </x:c>
      <x:c r="M563" s="1" t="str">
        <x:f>IF('Данные'!E563&lt;'Дашборд'!$C$53,"Мало трафика",IF(J563&lt;'Дашборд'!$C$9*'Дашборд'!$C$54,"Да","Нет"))</x:f>
        <x:v>Нет</x:v>
      </x:c>
      <x:c r="N563" s="1" t="str">
        <x:f>IF(AND('Данные'!D563&gt;='Дашборд'!$C$55,D563&lt;'Дашборд'!$C$56,'Данные'!E563&gt;='Дашборд'!$C$53,'Данные'!L563&lt;&gt;"Да"),"Да","Нет")</x:f>
        <x:v>Да</x:v>
      </x:c>
      <x:c r="O563" s="1" t="str">
        <x:f>'Данные'!L563</x:f>
        <x:v>Нет</x:v>
      </x:c>
    </x:row>
    <x:row r="564">
      <x:c r="A564" s="1" t="str">
        <x:f>'Данные'!A564</x:f>
        <x:v>320424590</x:v>
      </x:c>
      <x:c r="B564" s="1" t="str">
        <x:f>'Данные'!B564</x:f>
        <x:v>brukizshp3P-S-1/темно-серый</x:v>
      </x:c>
      <x:c r="C564" s="8" t="n">
        <x:f>'Данные'!G564</x:f>
        <x:v>361308</x:v>
      </x:c>
      <x:c r="D564" s="15" t="n">
        <x:f>C564/SUM($C$5:$C$2477)</x:f>
        <x:v>0.00042208854293752967</x:v>
      </x:c>
      <x:c r="E564" s="15" t="n">
        <x:f>SUM($D$5:D564)</x:f>
        <x:v>0.8560136807211266</x:v>
      </x:c>
      <x:c r="F564" s="1" t="str">
        <x:f>IF(C564&lt;=0,"C",IF(E564-D564&lt;'Дашборд'!$C$49,"A",IF(E564-D564&lt;'Дашборд'!$C$50,"B","C")))</x:f>
        <x:v>B</x:v>
      </x:c>
      <x:c r="G564" s="8" t="n">
        <x:f>'Данные'!F564</x:f>
        <x:v>492</x:v>
      </x:c>
      <x:c r="H564" s="8" t="n">
        <x:f>SUM('Данные'!H564:I564)</x:f>
        <x:v>111</x:v>
      </x:c>
      <x:c r="I564" s="16" t="n">
        <x:f>IF(H564&gt;0,G564/H564,"n.a.")</x:f>
        <x:v>4.4324324324324325</x:v>
      </x:c>
      <x:c r="J564" s="10" t="n">
        <x:f>IF('Данные'!E564&gt;0,G564/'Данные'!E564,"n.a.")</x:f>
        <x:v>0.011067620461600756</x:v>
      </x:c>
      <x:c r="K564" s="1" t="str">
        <x:f>IF(G564&gt;='Дашборд'!$C$51,"X","Z")</x:f>
        <x:v>X</x:v>
      </x:c>
      <x:c r="L564" s="1" t="str">
        <x:f>IF(H564=0,IF(G564&gt;0,"Нет остатка","Нет спроса"),IF(I564&gt;='Дашборд'!$C$52,"Быстрый","Медленный"))</x:f>
        <x:v>Быстрый</x:v>
      </x:c>
      <x:c r="M564" s="1" t="str">
        <x:f>IF('Данные'!E564&lt;'Дашборд'!$C$53,"Мало трафика",IF(J564&lt;'Дашборд'!$C$9*'Дашборд'!$C$54,"Да","Нет"))</x:f>
        <x:v>Нет</x:v>
      </x:c>
      <x:c r="N564" s="1" t="str">
        <x:f>IF(AND('Данные'!D564&gt;='Дашборд'!$C$55,D564&lt;'Дашборд'!$C$56,'Данные'!E564&gt;='Дашборд'!$C$53,'Данные'!L564&lt;&gt;"Да"),"Да","Нет")</x:f>
        <x:v>Нет</x:v>
      </x:c>
      <x:c r="O564" s="1" t="str">
        <x:f>'Данные'!L564</x:f>
        <x:v>Нет</x:v>
      </x:c>
    </x:row>
    <x:row r="565">
      <x:c r="A565" s="1" t="str">
        <x:f>'Данные'!A565</x:f>
        <x:v>295586339</x:v>
      </x:c>
      <x:c r="B565" s="1" t="str">
        <x:f>'Данные'!B565</x:f>
        <x:v>hudiman2/песочный</x:v>
      </x:c>
      <x:c r="C565" s="8" t="n">
        <x:f>'Данные'!G565</x:f>
        <x:v>360081</x:v>
      </x:c>
      <x:c r="D565" s="15" t="n">
        <x:f>C565/SUM($C$5:$C$2477)</x:f>
        <x:v>0.0004206551325447779</x:v>
      </x:c>
      <x:c r="E565" s="15" t="n">
        <x:f>SUM($D$5:D565)</x:f>
        <x:v>0.8564343358536713</x:v>
      </x:c>
      <x:c r="F565" s="1" t="str">
        <x:f>IF(C565&lt;=0,"C",IF(E565-D565&lt;'Дашборд'!$C$49,"A",IF(E565-D565&lt;'Дашборд'!$C$50,"B","C")))</x:f>
        <x:v>B</x:v>
      </x:c>
      <x:c r="G565" s="8" t="n">
        <x:f>'Данные'!F565</x:f>
        <x:v>353</x:v>
      </x:c>
      <x:c r="H565" s="8" t="n">
        <x:f>SUM('Данные'!H565:I565)</x:f>
        <x:v>632</x:v>
      </x:c>
      <x:c r="I565" s="16" t="n">
        <x:f>IF(H565&gt;0,G565/H565,"n.a.")</x:f>
        <x:v>0.5585443037974683</x:v>
      </x:c>
      <x:c r="J565" s="10" t="n">
        <x:f>IF('Данные'!E565&gt;0,G565/'Данные'!E565,"n.a.")</x:f>
        <x:v>0.024423995018335292</x:v>
      </x:c>
      <x:c r="K565" s="1" t="str">
        <x:f>IF(G565&gt;='Дашборд'!$C$51,"X","Z")</x:f>
        <x:v>X</x:v>
      </x:c>
      <x:c r="L565" s="1" t="str">
        <x:f>IF(H565=0,IF(G565&gt;0,"Нет остатка","Нет спроса"),IF(I565&gt;='Дашборд'!$C$52,"Быстрый","Медленный"))</x:f>
        <x:v>Медленный</x:v>
      </x:c>
      <x:c r="M565" s="1" t="str">
        <x:f>IF('Данные'!E565&lt;'Дашборд'!$C$53,"Мало трафика",IF(J565&lt;'Дашборд'!$C$9*'Дашборд'!$C$54,"Да","Нет"))</x:f>
        <x:v>Нет</x:v>
      </x:c>
      <x:c r="N565" s="1" t="str">
        <x:f>IF(AND('Данные'!D565&gt;='Дашборд'!$C$55,D565&lt;'Дашборд'!$C$56,'Данные'!E565&gt;='Дашборд'!$C$53,'Данные'!L565&lt;&gt;"Да"),"Да","Нет")</x:f>
        <x:v>Нет</x:v>
      </x:c>
      <x:c r="O565" s="1" t="str">
        <x:f>'Данные'!L565</x:f>
        <x:v>Нет</x:v>
      </x:c>
    </x:row>
    <x:row r="566">
      <x:c r="A566" s="1" t="str">
        <x:f>'Данные'!A566</x:f>
        <x:v>232234770</x:v>
      </x:c>
      <x:c r="B566" s="1" t="str">
        <x:f>'Данные'!B566</x:f>
        <x:v>futbolkaprint/Never-155/розовый</x:v>
      </x:c>
      <x:c r="C566" s="8" t="n">
        <x:f>'Данные'!G566</x:f>
        <x:v>359358</x:v>
      </x:c>
      <x:c r="D566" s="15" t="n">
        <x:f>C566/SUM($C$5:$C$2477)</x:f>
        <x:v>0.00041981050686102934</x:v>
      </x:c>
      <x:c r="E566" s="15" t="n">
        <x:f>SUM($D$5:D566)</x:f>
        <x:v>0.8568541463605324</x:v>
      </x:c>
      <x:c r="F566" s="1" t="str">
        <x:f>IF(C566&lt;=0,"C",IF(E566-D566&lt;'Дашборд'!$C$49,"A",IF(E566-D566&lt;'Дашборд'!$C$50,"B","C")))</x:f>
        <x:v>B</x:v>
      </x:c>
      <x:c r="G566" s="8" t="n">
        <x:f>'Данные'!F566</x:f>
        <x:v>842</x:v>
      </x:c>
      <x:c r="H566" s="8" t="n">
        <x:f>SUM('Данные'!H566:I566)</x:f>
        <x:v>164</x:v>
      </x:c>
      <x:c r="I566" s="16" t="n">
        <x:f>IF(H566&gt;0,G566/H566,"n.a.")</x:f>
        <x:v>5.134146341463414</x:v>
      </x:c>
      <x:c r="J566" s="10" t="n">
        <x:f>IF('Данные'!E566&gt;0,G566/'Данные'!E566,"n.a.")</x:f>
        <x:v>0.011013158238941063</x:v>
      </x:c>
      <x:c r="K566" s="1" t="str">
        <x:f>IF(G566&gt;='Дашборд'!$C$51,"X","Z")</x:f>
        <x:v>X</x:v>
      </x:c>
      <x:c r="L566" s="1" t="str">
        <x:f>IF(H566=0,IF(G566&gt;0,"Нет остатка","Нет спроса"),IF(I566&gt;='Дашборд'!$C$52,"Быстрый","Медленный"))</x:f>
        <x:v>Быстрый</x:v>
      </x:c>
      <x:c r="M566" s="1" t="str">
        <x:f>IF('Данные'!E566&lt;'Дашборд'!$C$53,"Мало трафика",IF(J566&lt;'Дашборд'!$C$9*'Дашборд'!$C$54,"Да","Нет"))</x:f>
        <x:v>Нет</x:v>
      </x:c>
      <x:c r="N566" s="1" t="str">
        <x:f>IF(AND('Данные'!D566&gt;='Дашборд'!$C$55,D566&lt;'Дашборд'!$C$56,'Данные'!E566&gt;='Дашборд'!$C$53,'Данные'!L566&lt;&gt;"Да"),"Да","Нет")</x:f>
        <x:v>Нет</x:v>
      </x:c>
      <x:c r="O566" s="1" t="str">
        <x:f>'Данные'!L566</x:f>
        <x:v>Нет</x:v>
      </x:c>
    </x:row>
    <x:row r="567">
      <x:c r="A567" s="1" t="str">
        <x:f>'Данные'!A567</x:f>
        <x:v>145465023</x:v>
      </x:c>
      <x:c r="B567" s="1" t="str">
        <x:f>'Данные'!B567</x:f>
        <x:v>bruki/коричневый</x:v>
      </x:c>
      <x:c r="C567" s="8" t="n">
        <x:f>'Данные'!G567</x:f>
        <x:v>359232</x:v>
      </x:c>
      <x:c r="D567" s="15" t="n">
        <x:f>C567/SUM($C$5:$C$2477)</x:f>
        <x:v>0.0004196633106837786</x:v>
      </x:c>
      <x:c r="E567" s="15" t="n">
        <x:f>SUM($D$5:D567)</x:f>
        <x:v>0.8572738096712161</x:v>
      </x:c>
      <x:c r="F567" s="1" t="str">
        <x:f>IF(C567&lt;=0,"C",IF(E567-D567&lt;'Дашборд'!$C$49,"A",IF(E567-D567&lt;'Дашборд'!$C$50,"B","C")))</x:f>
        <x:v>B</x:v>
      </x:c>
      <x:c r="G567" s="8" t="n">
        <x:f>'Данные'!F567</x:f>
        <x:v>636</x:v>
      </x:c>
      <x:c r="H567" s="8" t="n">
        <x:f>SUM('Данные'!H567:I567)</x:f>
        <x:v>501</x:v>
      </x:c>
      <x:c r="I567" s="16" t="n">
        <x:f>IF(H567&gt;0,G567/H567,"n.a.")</x:f>
        <x:v>1.2694610778443114</x:v>
      </x:c>
      <x:c r="J567" s="10" t="n">
        <x:f>IF('Данные'!E567&gt;0,G567/'Данные'!E567,"n.a.")</x:f>
        <x:v>0.022122508608995096</x:v>
      </x:c>
      <x:c r="K567" s="1" t="str">
        <x:f>IF(G567&gt;='Дашборд'!$C$51,"X","Z")</x:f>
        <x:v>X</x:v>
      </x:c>
      <x:c r="L567" s="1" t="str">
        <x:f>IF(H567=0,IF(G567&gt;0,"Нет остатка","Нет спроса"),IF(I567&gt;='Дашборд'!$C$52,"Быстрый","Медленный"))</x:f>
        <x:v>Быстрый</x:v>
      </x:c>
      <x:c r="M567" s="1" t="str">
        <x:f>IF('Данные'!E567&lt;'Дашборд'!$C$53,"Мало трафика",IF(J567&lt;'Дашборд'!$C$9*'Дашборд'!$C$54,"Да","Нет"))</x:f>
        <x:v>Нет</x:v>
      </x:c>
      <x:c r="N567" s="1" t="str">
        <x:f>IF(AND('Данные'!D567&gt;='Дашборд'!$C$55,D567&lt;'Дашборд'!$C$56,'Данные'!E567&gt;='Дашборд'!$C$53,'Данные'!L567&lt;&gt;"Да"),"Да","Нет")</x:f>
        <x:v>Нет</x:v>
      </x:c>
      <x:c r="O567" s="1" t="str">
        <x:f>'Данные'!L567</x:f>
        <x:v>Нет</x:v>
      </x:c>
    </x:row>
    <x:row r="568">
      <x:c r="A568" s="1" t="str">
        <x:f>'Данные'!A568</x:f>
        <x:v>311045255</x:v>
      </x:c>
      <x:c r="B568" s="1" t="str">
        <x:f>'Данные'!B568</x:f>
        <x:v>hudipetl/графит</x:v>
      </x:c>
      <x:c r="C568" s="8" t="n">
        <x:f>'Данные'!G568</x:f>
        <x:v>358988</x:v>
      </x:c>
      <x:c r="D568" s="15" t="n">
        <x:f>C568/SUM($C$5:$C$2477)</x:f>
        <x:v>0.0004193782641183088</x:v>
      </x:c>
      <x:c r="E568" s="15" t="n">
        <x:f>SUM($D$5:D568)</x:f>
        <x:v>0.8576931879353344</x:v>
      </x:c>
      <x:c r="F568" s="1" t="str">
        <x:f>IF(C568&lt;=0,"C",IF(E568-D568&lt;'Дашборд'!$C$49,"A",IF(E568-D568&lt;'Дашборд'!$C$50,"B","C")))</x:f>
        <x:v>B</x:v>
      </x:c>
      <x:c r="G568" s="8" t="n">
        <x:f>'Данные'!F568</x:f>
        <x:v>465</x:v>
      </x:c>
      <x:c r="H568" s="8" t="n">
        <x:f>SUM('Данные'!H568:I568)</x:f>
        <x:v>67</x:v>
      </x:c>
      <x:c r="I568" s="16" t="n">
        <x:f>IF(H568&gt;0,G568/H568,"n.a.")</x:f>
        <x:v>6.940298507462686</x:v>
      </x:c>
      <x:c r="J568" s="10" t="n">
        <x:f>IF('Данные'!E568&gt;0,G568/'Данные'!E568,"n.a.")</x:f>
        <x:v>0.015098873266876645</x:v>
      </x:c>
      <x:c r="K568" s="1" t="str">
        <x:f>IF(G568&gt;='Дашборд'!$C$51,"X","Z")</x:f>
        <x:v>X</x:v>
      </x:c>
      <x:c r="L568" s="1" t="str">
        <x:f>IF(H568=0,IF(G568&gt;0,"Нет остатка","Нет спроса"),IF(I568&gt;='Дашборд'!$C$52,"Быстрый","Медленный"))</x:f>
        <x:v>Быстрый</x:v>
      </x:c>
      <x:c r="M568" s="1" t="str">
        <x:f>IF('Данные'!E568&lt;'Дашборд'!$C$53,"Мало трафика",IF(J568&lt;'Дашборд'!$C$9*'Дашборд'!$C$54,"Да","Нет"))</x:f>
        <x:v>Нет</x:v>
      </x:c>
      <x:c r="N568" s="1" t="str">
        <x:f>IF(AND('Данные'!D568&gt;='Дашборд'!$C$55,D568&lt;'Дашборд'!$C$56,'Данные'!E568&gt;='Дашборд'!$C$53,'Данные'!L568&lt;&gt;"Да"),"Да","Нет")</x:f>
        <x:v>Нет</x:v>
      </x:c>
      <x:c r="O568" s="1" t="str">
        <x:f>'Данные'!L568</x:f>
        <x:v>Нет</x:v>
      </x:c>
    </x:row>
    <x:row r="569">
      <x:c r="A569" s="1" t="str">
        <x:f>'Данные'!A569</x:f>
        <x:v>87045634</x:v>
      </x:c>
      <x:c r="B569" s="1" t="str">
        <x:f>'Данные'!B569</x:f>
        <x:v>kroptop/шалфей</x:v>
      </x:c>
      <x:c r="C569" s="8" t="n">
        <x:f>'Данные'!G569</x:f>
        <x:v>358655</x:v>
      </x:c>
      <x:c r="D569" s="15" t="n">
        <x:f>C569/SUM($C$5:$C$2477)</x:f>
        <x:v>0.00041898924564986024</x:v>
      </x:c>
      <x:c r="E569" s="15" t="n">
        <x:f>SUM($D$5:D569)</x:f>
        <x:v>0.8581121771809843</x:v>
      </x:c>
      <x:c r="F569" s="1" t="str">
        <x:f>IF(C569&lt;=0,"C",IF(E569-D569&lt;'Дашборд'!$C$49,"A",IF(E569-D569&lt;'Дашборд'!$C$50,"B","C")))</x:f>
        <x:v>B</x:v>
      </x:c>
      <x:c r="G569" s="8" t="n">
        <x:f>'Данные'!F569</x:f>
        <x:v>846</x:v>
      </x:c>
      <x:c r="H569" s="8" t="n">
        <x:f>SUM('Данные'!H569:I569)</x:f>
        <x:v>367</x:v>
      </x:c>
      <x:c r="I569" s="16" t="n">
        <x:f>IF(H569&gt;0,G569/H569,"n.a.")</x:f>
        <x:v>2.3051771117166213</x:v>
      </x:c>
      <x:c r="J569" s="10" t="n">
        <x:f>IF('Данные'!E569&gt;0,G569/'Данные'!E569,"n.a.")</x:f>
        <x:v>0.013367885472300351</x:v>
      </x:c>
      <x:c r="K569" s="1" t="str">
        <x:f>IF(G569&gt;='Дашборд'!$C$51,"X","Z")</x:f>
        <x:v>X</x:v>
      </x:c>
      <x:c r="L569" s="1" t="str">
        <x:f>IF(H569=0,IF(G569&gt;0,"Нет остатка","Нет спроса"),IF(I569&gt;='Дашборд'!$C$52,"Быстрый","Медленный"))</x:f>
        <x:v>Быстрый</x:v>
      </x:c>
      <x:c r="M569" s="1" t="str">
        <x:f>IF('Данные'!E569&lt;'Дашборд'!$C$53,"Мало трафика",IF(J569&lt;'Дашборд'!$C$9*'Дашборд'!$C$54,"Да","Нет"))</x:f>
        <x:v>Нет</x:v>
      </x:c>
      <x:c r="N569" s="1" t="str">
        <x:f>IF(AND('Данные'!D569&gt;='Дашборд'!$C$55,D569&lt;'Дашборд'!$C$56,'Данные'!E569&gt;='Дашборд'!$C$53,'Данные'!L569&lt;&gt;"Да"),"Да","Нет")</x:f>
        <x:v>Нет</x:v>
      </x:c>
      <x:c r="O569" s="1" t="str">
        <x:f>'Данные'!L569</x:f>
        <x:v>Нет</x:v>
      </x:c>
    </x:row>
    <x:row r="570">
      <x:c r="A570" s="1" t="str">
        <x:f>'Данные'!A570</x:f>
        <x:v>244022003</x:v>
      </x:c>
      <x:c r="B570" s="1" t="str">
        <x:f>'Данные'!B570</x:f>
        <x:v>hudivish/MoreSelf-9в/молочный</x:v>
      </x:c>
      <x:c r="C570" s="8" t="n">
        <x:f>'Данные'!G570</x:f>
        <x:v>357855</x:v>
      </x:c>
      <x:c r="D570" s="15" t="n">
        <x:f>C570/SUM($C$5:$C$2477)</x:f>
        <x:v>0.00041805466674668066</x:v>
      </x:c>
      <x:c r="E570" s="15" t="n">
        <x:f>SUM($D$5:D570)</x:f>
        <x:v>0.858530231847731</x:v>
      </x:c>
      <x:c r="F570" s="1" t="str">
        <x:f>IF(C570&lt;=0,"C",IF(E570-D570&lt;'Дашборд'!$C$49,"A",IF(E570-D570&lt;'Дашборд'!$C$50,"B","C")))</x:f>
        <x:v>B</x:v>
      </x:c>
      <x:c r="G570" s="8" t="n">
        <x:f>'Данные'!F570</x:f>
        <x:v>409</x:v>
      </x:c>
      <x:c r="H570" s="8" t="n">
        <x:f>SUM('Данные'!H570:I570)</x:f>
        <x:v>55</x:v>
      </x:c>
      <x:c r="I570" s="16" t="n">
        <x:f>IF(H570&gt;0,G570/H570,"n.a.")</x:f>
        <x:v>7.4363636363636365</x:v>
      </x:c>
      <x:c r="J570" s="10" t="n">
        <x:f>IF('Данные'!E570&gt;0,G570/'Данные'!E570,"n.a.")</x:f>
        <x:v>0.013963333447133932</x:v>
      </x:c>
      <x:c r="K570" s="1" t="str">
        <x:f>IF(G570&gt;='Дашборд'!$C$51,"X","Z")</x:f>
        <x:v>X</x:v>
      </x:c>
      <x:c r="L570" s="1" t="str">
        <x:f>IF(H570=0,IF(G570&gt;0,"Нет остатка","Нет спроса"),IF(I570&gt;='Дашборд'!$C$52,"Быстрый","Медленный"))</x:f>
        <x:v>Быстрый</x:v>
      </x:c>
      <x:c r="M570" s="1" t="str">
        <x:f>IF('Данные'!E570&lt;'Дашборд'!$C$53,"Мало трафика",IF(J570&lt;'Дашборд'!$C$9*'Дашборд'!$C$54,"Да","Нет"))</x:f>
        <x:v>Нет</x:v>
      </x:c>
      <x:c r="N570" s="1" t="str">
        <x:f>IF(AND('Данные'!D570&gt;='Дашборд'!$C$55,D570&lt;'Дашборд'!$C$56,'Данные'!E570&gt;='Дашборд'!$C$53,'Данные'!L570&lt;&gt;"Да"),"Да","Нет")</x:f>
        <x:v>Да</x:v>
      </x:c>
      <x:c r="O570" s="1" t="str">
        <x:f>'Данные'!L570</x:f>
        <x:v>Нет</x:v>
      </x:c>
    </x:row>
    <x:row r="571">
      <x:c r="A571" s="1" t="str">
        <x:f>'Данные'!A571</x:f>
        <x:v>264481949</x:v>
      </x:c>
      <x:c r="B571" s="1" t="str">
        <x:f>'Данные'!B571</x:f>
        <x:v>kostyum/бордовый</x:v>
      </x:c>
      <x:c r="C571" s="8" t="n">
        <x:f>'Данные'!G571</x:f>
        <x:v>355596</x:v>
      </x:c>
      <x:c r="D571" s="15" t="n">
        <x:f>C571/SUM($C$5:$C$2477)</x:f>
        <x:v>0.0004154156495688272</x:v>
      </x:c>
      <x:c r="E571" s="15" t="n">
        <x:f>SUM($D$5:D571)</x:f>
        <x:v>0.8589456474972998</x:v>
      </x:c>
      <x:c r="F571" s="1" t="str">
        <x:f>IF(C571&lt;=0,"C",IF(E571-D571&lt;'Дашборд'!$C$49,"A",IF(E571-D571&lt;'Дашборд'!$C$50,"B","C")))</x:f>
        <x:v>B</x:v>
      </x:c>
      <x:c r="G571" s="8" t="n">
        <x:f>'Данные'!F571</x:f>
        <x:v>245</x:v>
      </x:c>
      <x:c r="H571" s="8" t="n">
        <x:f>SUM('Данные'!H571:I571)</x:f>
        <x:v>212</x:v>
      </x:c>
      <x:c r="I571" s="16" t="n">
        <x:f>IF(H571&gt;0,G571/H571,"n.a.")</x:f>
        <x:v>1.1556603773584906</x:v>
      </x:c>
      <x:c r="J571" s="10" t="n">
        <x:f>IF('Данные'!E571&gt;0,G571/'Данные'!E571,"n.a.")</x:f>
        <x:v>0.005067742269107457</x:v>
      </x:c>
      <x:c r="K571" s="1" t="str">
        <x:f>IF(G571&gt;='Дашборд'!$C$51,"X","Z")</x:f>
        <x:v>Z</x:v>
      </x:c>
      <x:c r="L571" s="1" t="str">
        <x:f>IF(H571=0,IF(G571&gt;0,"Нет остатка","Нет спроса"),IF(I571&gt;='Дашборд'!$C$52,"Быстрый","Медленный"))</x:f>
        <x:v>Быстрый</x:v>
      </x:c>
      <x:c r="M571" s="1" t="str">
        <x:f>IF('Данные'!E571&lt;'Дашборд'!$C$53,"Мало трафика",IF(J571&lt;'Дашборд'!$C$9*'Дашборд'!$C$54,"Да","Нет"))</x:f>
        <x:v>Да</x:v>
      </x:c>
      <x:c r="N571" s="1" t="str">
        <x:f>IF(AND('Данные'!D571&gt;='Дашборд'!$C$55,D571&lt;'Дашборд'!$C$56,'Данные'!E571&gt;='Дашборд'!$C$53,'Данные'!L571&lt;&gt;"Да"),"Да","Нет")</x:f>
        <x:v>Нет</x:v>
      </x:c>
      <x:c r="O571" s="1" t="str">
        <x:f>'Данные'!L571</x:f>
        <x:v>Нет</x:v>
      </x:c>
    </x:row>
    <x:row r="572">
      <x:c r="A572" s="1" t="str">
        <x:f>'Данные'!A572</x:f>
        <x:v>340608541</x:v>
      </x:c>
      <x:c r="B572" s="1" t="str">
        <x:f>'Данные'!B572</x:f>
        <x:v>kulirkaman/серый</x:v>
      </x:c>
      <x:c r="C572" s="8" t="n">
        <x:f>'Данные'!G572</x:f>
        <x:v>355393</x:v>
      </x:c>
      <x:c r="D572" s="15" t="n">
        <x:f>C572/SUM($C$5:$C$2477)</x:f>
        <x:v>0.00041517850017214533</x:v>
      </x:c>
      <x:c r="E572" s="15" t="n">
        <x:f>SUM($D$5:D572)</x:f>
        <x:v>0.859360825997472</x:v>
      </x:c>
      <x:c r="F572" s="1" t="str">
        <x:f>IF(C572&lt;=0,"C",IF(E572-D572&lt;'Дашборд'!$C$49,"A",IF(E572-D572&lt;'Дашборд'!$C$50,"B","C")))</x:f>
        <x:v>B</x:v>
      </x:c>
      <x:c r="G572" s="8" t="n">
        <x:f>'Данные'!F572</x:f>
        <x:v>607</x:v>
      </x:c>
      <x:c r="H572" s="8" t="n">
        <x:f>SUM('Данные'!H572:I572)</x:f>
        <x:v>746</x:v>
      </x:c>
      <x:c r="I572" s="16" t="n">
        <x:f>IF(H572&gt;0,G572/H572,"n.a.")</x:f>
        <x:v>0.8136729222520107</x:v>
      </x:c>
      <x:c r="J572" s="10" t="n">
        <x:f>IF('Данные'!E572&gt;0,G572/'Данные'!E572,"n.a.")</x:f>
        <x:v>0.016612841425365375</x:v>
      </x:c>
      <x:c r="K572" s="1" t="str">
        <x:f>IF(G572&gt;='Дашборд'!$C$51,"X","Z")</x:f>
        <x:v>X</x:v>
      </x:c>
      <x:c r="L572" s="1" t="str">
        <x:f>IF(H572=0,IF(G572&gt;0,"Нет остатка","Нет спроса"),IF(I572&gt;='Дашборд'!$C$52,"Быстрый","Медленный"))</x:f>
        <x:v>Медленный</x:v>
      </x:c>
      <x:c r="M572" s="1" t="str">
        <x:f>IF('Данные'!E572&lt;'Дашборд'!$C$53,"Мало трафика",IF(J572&lt;'Дашборд'!$C$9*'Дашборд'!$C$54,"Да","Нет"))</x:f>
        <x:v>Нет</x:v>
      </x:c>
      <x:c r="N572" s="1" t="str">
        <x:f>IF(AND('Данные'!D572&gt;='Дашборд'!$C$55,D572&lt;'Дашборд'!$C$56,'Данные'!E572&gt;='Дашборд'!$C$53,'Данные'!L572&lt;&gt;"Да"),"Да","Нет")</x:f>
        <x:v>Нет</x:v>
      </x:c>
      <x:c r="O572" s="1" t="str">
        <x:f>'Данные'!L572</x:f>
        <x:v>Нет</x:v>
      </x:c>
    </x:row>
    <x:row r="573">
      <x:c r="A573" s="1" t="str">
        <x:f>'Данные'!A573</x:f>
        <x:v>311462393</x:v>
      </x:c>
      <x:c r="B573" s="1" t="str">
        <x:f>'Данные'!B573</x:f>
        <x:v>brukimanpetl/молочный</x:v>
      </x:c>
      <x:c r="C573" s="8" t="n">
        <x:f>'Данные'!G573</x:f>
        <x:v>355357</x:v>
      </x:c>
      <x:c r="D573" s="15" t="n">
        <x:f>C573/SUM($C$5:$C$2477)</x:f>
        <x:v>0.00041513644412150225</x:v>
      </x:c>
      <x:c r="E573" s="15" t="n">
        <x:f>SUM($D$5:D573)</x:f>
        <x:v>0.8597759624415935</x:v>
      </x:c>
      <x:c r="F573" s="1" t="str">
        <x:f>IF(C573&lt;=0,"C",IF(E573-D573&lt;'Дашборд'!$C$49,"A",IF(E573-D573&lt;'Дашборд'!$C$50,"B","C")))</x:f>
        <x:v>B</x:v>
      </x:c>
      <x:c r="G573" s="8" t="n">
        <x:f>'Данные'!F573</x:f>
        <x:v>431</x:v>
      </x:c>
      <x:c r="H573" s="8" t="n">
        <x:f>SUM('Данные'!H573:I573)</x:f>
        <x:v>88</x:v>
      </x:c>
      <x:c r="I573" s="16" t="n">
        <x:f>IF(H573&gt;0,G573/H573,"n.a.")</x:f>
        <x:v>4.8977272727272725</x:v>
      </x:c>
      <x:c r="J573" s="10" t="n">
        <x:f>IF('Данные'!E573&gt;0,G573/'Данные'!E573,"n.a.")</x:f>
        <x:v>0.022432727840524646</x:v>
      </x:c>
      <x:c r="K573" s="1" t="str">
        <x:f>IF(G573&gt;='Дашборд'!$C$51,"X","Z")</x:f>
        <x:v>X</x:v>
      </x:c>
      <x:c r="L573" s="1" t="str">
        <x:f>IF(H573=0,IF(G573&gt;0,"Нет остатка","Нет спроса"),IF(I573&gt;='Дашборд'!$C$52,"Быстрый","Медленный"))</x:f>
        <x:v>Быстрый</x:v>
      </x:c>
      <x:c r="M573" s="1" t="str">
        <x:f>IF('Данные'!E573&lt;'Дашборд'!$C$53,"Мало трафика",IF(J573&lt;'Дашборд'!$C$9*'Дашборд'!$C$54,"Да","Нет"))</x:f>
        <x:v>Нет</x:v>
      </x:c>
      <x:c r="N573" s="1" t="str">
        <x:f>IF(AND('Данные'!D573&gt;='Дашборд'!$C$55,D573&lt;'Дашборд'!$C$56,'Данные'!E573&gt;='Дашборд'!$C$53,'Данные'!L573&lt;&gt;"Да"),"Да","Нет")</x:f>
        <x:v>Нет</x:v>
      </x:c>
      <x:c r="O573" s="1" t="str">
        <x:f>'Данные'!L573</x:f>
        <x:v>Нет</x:v>
      </x:c>
    </x:row>
    <x:row r="574">
      <x:c r="A574" s="1" t="str">
        <x:f>'Данные'!A574</x:f>
        <x:v>288633825</x:v>
      </x:c>
      <x:c r="B574" s="1" t="str">
        <x:f>'Данные'!B574</x:f>
        <x:v>kostumman/серый</x:v>
      </x:c>
      <x:c r="C574" s="8" t="n">
        <x:f>'Данные'!G574</x:f>
        <x:v>354478</x:v>
      </x:c>
      <x:c r="D574" s="15" t="n">
        <x:f>C574/SUM($C$5:$C$2477)</x:f>
        <x:v>0.00041410957555163366</x:v>
      </x:c>
      <x:c r="E574" s="15" t="n">
        <x:f>SUM($D$5:D574)</x:f>
        <x:v>0.8601900720171451</x:v>
      </x:c>
      <x:c r="F574" s="1" t="str">
        <x:f>IF(C574&lt;=0,"C",IF(E574-D574&lt;'Дашборд'!$C$49,"A",IF(E574-D574&lt;'Дашборд'!$C$50,"B","C")))</x:f>
        <x:v>B</x:v>
      </x:c>
      <x:c r="G574" s="8" t="n">
        <x:f>'Данные'!F574</x:f>
        <x:v>226</x:v>
      </x:c>
      <x:c r="H574" s="8" t="n">
        <x:f>SUM('Данные'!H574:I574)</x:f>
        <x:v>351</x:v>
      </x:c>
      <x:c r="I574" s="16" t="n">
        <x:f>IF(H574&gt;0,G574/H574,"n.a.")</x:f>
        <x:v>0.6438746438746439</x:v>
      </x:c>
      <x:c r="J574" s="10" t="n">
        <x:f>IF('Данные'!E574&gt;0,G574/'Данные'!E574,"n.a.")</x:f>
        <x:v>0.019612948017009458</x:v>
      </x:c>
      <x:c r="K574" s="1" t="str">
        <x:f>IF(G574&gt;='Дашборд'!$C$51,"X","Z")</x:f>
        <x:v>Z</x:v>
      </x:c>
      <x:c r="L574" s="1" t="str">
        <x:f>IF(H574=0,IF(G574&gt;0,"Нет остатка","Нет спроса"),IF(I574&gt;='Дашборд'!$C$52,"Быстрый","Медленный"))</x:f>
        <x:v>Медленный</x:v>
      </x:c>
      <x:c r="M574" s="1" t="str">
        <x:f>IF('Данные'!E574&lt;'Дашборд'!$C$53,"Мало трафика",IF(J574&lt;'Дашборд'!$C$9*'Дашборд'!$C$54,"Да","Нет"))</x:f>
        <x:v>Нет</x:v>
      </x:c>
      <x:c r="N574" s="1" t="str">
        <x:f>IF(AND('Данные'!D574&gt;='Дашборд'!$C$55,D574&lt;'Дашборд'!$C$56,'Данные'!E574&gt;='Дашборд'!$C$53,'Данные'!L574&lt;&gt;"Да"),"Да","Нет")</x:f>
        <x:v>Да</x:v>
      </x:c>
      <x:c r="O574" s="1" t="str">
        <x:f>'Данные'!L574</x:f>
        <x:v>Нет</x:v>
      </x:c>
    </x:row>
    <x:row r="575">
      <x:c r="A575" s="1" t="str">
        <x:f>'Данные'!A575</x:f>
        <x:v>306916572</x:v>
      </x:c>
      <x:c r="B575" s="1" t="str">
        <x:f>'Данные'!B575</x:f>
        <x:v>hudicropman4F-67/дымка</x:v>
      </x:c>
      <x:c r="C575" s="8" t="n">
        <x:f>'Данные'!G575</x:f>
        <x:v>354328</x:v>
      </x:c>
      <x:c r="D575" s="15" t="n">
        <x:f>C575/SUM($C$5:$C$2477)</x:f>
        <x:v>0.0004139343420072875</x:v>
      </x:c>
      <x:c r="E575" s="15" t="n">
        <x:f>SUM($D$5:D575)</x:f>
        <x:v>0.8606040063591525</x:v>
      </x:c>
      <x:c r="F575" s="1" t="str">
        <x:f>IF(C575&lt;=0,"C",IF(E575-D575&lt;'Дашборд'!$C$49,"A",IF(E575-D575&lt;'Дашборд'!$C$50,"B","C")))</x:f>
        <x:v>B</x:v>
      </x:c>
      <x:c r="G575" s="8" t="n">
        <x:f>'Данные'!F575</x:f>
        <x:v>306</x:v>
      </x:c>
      <x:c r="H575" s="8" t="n">
        <x:f>SUM('Данные'!H575:I575)</x:f>
        <x:v>77</x:v>
      </x:c>
      <x:c r="I575" s="16" t="n">
        <x:f>IF(H575&gt;0,G575/H575,"n.a.")</x:f>
        <x:v>3.9740259740259742</x:v>
      </x:c>
      <x:c r="J575" s="10" t="n">
        <x:f>IF('Данные'!E575&gt;0,G575/'Данные'!E575,"n.a.")</x:f>
        <x:v>0.032237673830594185</x:v>
      </x:c>
      <x:c r="K575" s="1" t="str">
        <x:f>IF(G575&gt;='Дашборд'!$C$51,"X","Z")</x:f>
        <x:v>X</x:v>
      </x:c>
      <x:c r="L575" s="1" t="str">
        <x:f>IF(H575=0,IF(G575&gt;0,"Нет остатка","Нет спроса"),IF(I575&gt;='Дашборд'!$C$52,"Быстрый","Медленный"))</x:f>
        <x:v>Быстрый</x:v>
      </x:c>
      <x:c r="M575" s="1" t="str">
        <x:f>IF('Данные'!E575&lt;'Дашборд'!$C$53,"Мало трафика",IF(J575&lt;'Дашборд'!$C$9*'Дашборд'!$C$54,"Да","Нет"))</x:f>
        <x:v>Нет</x:v>
      </x:c>
      <x:c r="N575" s="1" t="str">
        <x:f>IF(AND('Данные'!D575&gt;='Дашборд'!$C$55,D575&lt;'Дашборд'!$C$56,'Данные'!E575&gt;='Дашборд'!$C$53,'Данные'!L575&lt;&gt;"Да"),"Да","Нет")</x:f>
        <x:v>Да</x:v>
      </x:c>
      <x:c r="O575" s="1" t="str">
        <x:f>'Данные'!L575</x:f>
        <x:v>Нет</x:v>
      </x:c>
    </x:row>
    <x:row r="576">
      <x:c r="A576" s="1" t="str">
        <x:f>'Данные'!A576</x:f>
        <x:v>175116965</x:v>
      </x:c>
      <x:c r="B576" s="1" t="str">
        <x:f>'Данные'!B576</x:f>
        <x:v>reglanman/кофейный</x:v>
      </x:c>
      <x:c r="C576" s="8" t="n">
        <x:f>'Данные'!G576</x:f>
        <x:v>352872</x:v>
      </x:c>
      <x:c r="D576" s="15" t="n">
        <x:f>C576/SUM($C$5:$C$2477)</x:f>
        <x:v>0.00041223340840350055</x:v>
      </x:c>
      <x:c r="E576" s="15" t="n">
        <x:f>SUM($D$5:D576)</x:f>
        <x:v>0.8610162397675559</x:v>
      </x:c>
      <x:c r="F576" s="1" t="str">
        <x:f>IF(C576&lt;=0,"C",IF(E576-D576&lt;'Дашборд'!$C$49,"A",IF(E576-D576&lt;'Дашборд'!$C$50,"B","C")))</x:f>
        <x:v>B</x:v>
      </x:c>
      <x:c r="G576" s="8" t="n">
        <x:f>'Данные'!F576</x:f>
        <x:v>780</x:v>
      </x:c>
      <x:c r="H576" s="8" t="n">
        <x:f>SUM('Данные'!H576:I576)</x:f>
        <x:v>431</x:v>
      </x:c>
      <x:c r="I576" s="16" t="n">
        <x:f>IF(H576&gt;0,G576/H576,"n.a.")</x:f>
        <x:v>1.8097447795823667</x:v>
      </x:c>
      <x:c r="J576" s="10" t="n">
        <x:f>IF('Данные'!E576&gt;0,G576/'Данные'!E576,"n.a.")</x:f>
        <x:v>0.02376020470330206</x:v>
      </x:c>
      <x:c r="K576" s="1" t="str">
        <x:f>IF(G576&gt;='Дашборд'!$C$51,"X","Z")</x:f>
        <x:v>X</x:v>
      </x:c>
      <x:c r="L576" s="1" t="str">
        <x:f>IF(H576=0,IF(G576&gt;0,"Нет остатка","Нет спроса"),IF(I576&gt;='Дашборд'!$C$52,"Быстрый","Медленный"))</x:f>
        <x:v>Быстрый</x:v>
      </x:c>
      <x:c r="M576" s="1" t="str">
        <x:f>IF('Данные'!E576&lt;'Дашборд'!$C$53,"Мало трафика",IF(J576&lt;'Дашборд'!$C$9*'Дашборд'!$C$54,"Да","Нет"))</x:f>
        <x:v>Нет</x:v>
      </x:c>
      <x:c r="N576" s="1" t="str">
        <x:f>IF(AND('Данные'!D576&gt;='Дашборд'!$C$55,D576&lt;'Дашборд'!$C$56,'Данные'!E576&gt;='Дашборд'!$C$53,'Данные'!L576&lt;&gt;"Да"),"Да","Нет")</x:f>
        <x:v>Нет</x:v>
      </x:c>
      <x:c r="O576" s="1" t="str">
        <x:f>'Данные'!L576</x:f>
        <x:v>Нет</x:v>
      </x:c>
    </x:row>
    <x:row r="577">
      <x:c r="A577" s="1" t="str">
        <x:f>'Данные'!A577</x:f>
        <x:v>255462186</x:v>
      </x:c>
      <x:c r="B577" s="1" t="str">
        <x:f>'Данные'!B577</x:f>
        <x:v>tolstovkazipcrop/светло-розовый</x:v>
      </x:c>
      <x:c r="C577" s="8" t="n">
        <x:f>'Данные'!G577</x:f>
        <x:v>350280</x:v>
      </x:c>
      <x:c r="D577" s="15" t="n">
        <x:f>C577/SUM($C$5:$C$2477)</x:f>
        <x:v>0.0004092053727571986</x:v>
      </x:c>
      <x:c r="E577" s="15" t="n">
        <x:f>SUM($D$5:D577)</x:f>
        <x:v>0.8614254451403132</x:v>
      </x:c>
      <x:c r="F577" s="1" t="str">
        <x:f>IF(C577&lt;=0,"C",IF(E577-D577&lt;'Дашборд'!$C$49,"A",IF(E577-D577&lt;'Дашборд'!$C$50,"B","C")))</x:f>
        <x:v>B</x:v>
      </x:c>
      <x:c r="G577" s="8" t="n">
        <x:f>'Данные'!F577</x:f>
        <x:v>294</x:v>
      </x:c>
      <x:c r="H577" s="8" t="n">
        <x:f>SUM('Данные'!H577:I577)</x:f>
        <x:v>1</x:v>
      </x:c>
      <x:c r="I577" s="16" t="n">
        <x:f>IF(H577&gt;0,G577/H577,"n.a.")</x:f>
        <x:v>294</x:v>
      </x:c>
      <x:c r="J577" s="10" t="n">
        <x:f>IF('Данные'!E577&gt;0,G577/'Данные'!E577,"n.a.")</x:f>
        <x:v>0.01142590649411216</x:v>
      </x:c>
      <x:c r="K577" s="1" t="str">
        <x:f>IF(G577&gt;='Дашборд'!$C$51,"X","Z")</x:f>
        <x:v>X</x:v>
      </x:c>
      <x:c r="L577" s="1" t="str">
        <x:f>IF(H577=0,IF(G577&gt;0,"Нет остатка","Нет спроса"),IF(I577&gt;='Дашборд'!$C$52,"Быстрый","Медленный"))</x:f>
        <x:v>Быстрый</x:v>
      </x:c>
      <x:c r="M577" s="1" t="str">
        <x:f>IF('Данные'!E577&lt;'Дашборд'!$C$53,"Мало трафика",IF(J577&lt;'Дашборд'!$C$9*'Дашборд'!$C$54,"Да","Нет"))</x:f>
        <x:v>Нет</x:v>
      </x:c>
      <x:c r="N577" s="1" t="str">
        <x:f>IF(AND('Данные'!D577&gt;='Дашборд'!$C$55,D577&lt;'Дашборд'!$C$56,'Данные'!E577&gt;='Дашборд'!$C$53,'Данные'!L577&lt;&gt;"Да"),"Да","Нет")</x:f>
        <x:v>Да</x:v>
      </x:c>
      <x:c r="O577" s="1" t="str">
        <x:f>'Данные'!L577</x:f>
        <x:v>Нет</x:v>
      </x:c>
    </x:row>
    <x:row r="578">
      <x:c r="A578" s="1" t="str">
        <x:f>'Данные'!A578</x:f>
        <x:v>246363162</x:v>
      </x:c>
      <x:c r="B578" s="1" t="str">
        <x:f>'Данные'!B578</x:f>
        <x:v>tolstovkazipcrop/бордовый</x:v>
      </x:c>
      <x:c r="C578" s="8" t="n">
        <x:f>'Данные'!G578</x:f>
        <x:v>346862</x:v>
      </x:c>
      <x:c r="D578" s="15" t="n">
        <x:f>C578/SUM($C$5:$C$2477)</x:f>
        <x:v>0.0004052123843933636</x:v>
      </x:c>
      <x:c r="E578" s="15" t="n">
        <x:f>SUM($D$5:D578)</x:f>
        <x:v>0.8618306575247066</x:v>
      </x:c>
      <x:c r="F578" s="1" t="str">
        <x:f>IF(C578&lt;=0,"C",IF(E578-D578&lt;'Дашборд'!$C$49,"A",IF(E578-D578&lt;'Дашборд'!$C$50,"B","C")))</x:f>
        <x:v>B</x:v>
      </x:c>
      <x:c r="G578" s="8" t="n">
        <x:f>'Данные'!F578</x:f>
        <x:v>264</x:v>
      </x:c>
      <x:c r="H578" s="8" t="n">
        <x:f>SUM('Данные'!H578:I578)</x:f>
        <x:v>0</x:v>
      </x:c>
      <x:c r="I578" s="16" t="str">
        <x:f>IF(H578&gt;0,G578/H578,"n.a.")</x:f>
        <x:v>n.a.</x:v>
      </x:c>
      <x:c r="J578" s="10" t="n">
        <x:f>IF('Данные'!E578&gt;0,G578/'Данные'!E578,"n.a.")</x:f>
        <x:v>0.011461815655798202</x:v>
      </x:c>
      <x:c r="K578" s="1" t="str">
        <x:f>IF(G578&gt;='Дашборд'!$C$51,"X","Z")</x:f>
        <x:v>Z</x:v>
      </x:c>
      <x:c r="L578" s="1" t="str">
        <x:f>IF(H578=0,IF(G578&gt;0,"Нет остатка","Нет спроса"),IF(I578&gt;='Дашборд'!$C$52,"Быстрый","Медленный"))</x:f>
        <x:v>Нет остатка</x:v>
      </x:c>
      <x:c r="M578" s="1" t="str">
        <x:f>IF('Данные'!E578&lt;'Дашборд'!$C$53,"Мало трафика",IF(J578&lt;'Дашборд'!$C$9*'Дашборд'!$C$54,"Да","Нет"))</x:f>
        <x:v>Нет</x:v>
      </x:c>
      <x:c r="N578" s="1" t="str">
        <x:f>IF(AND('Данные'!D578&gt;='Дашборд'!$C$55,D578&lt;'Дашборд'!$C$56,'Данные'!E578&gt;='Дашборд'!$C$53,'Данные'!L578&lt;&gt;"Да"),"Да","Нет")</x:f>
        <x:v>Да</x:v>
      </x:c>
      <x:c r="O578" s="1" t="str">
        <x:f>'Данные'!L578</x:f>
        <x:v>Нет</x:v>
      </x:c>
    </x:row>
    <x:row r="579">
      <x:c r="A579" s="1" t="str">
        <x:f>'Данные'!A579</x:f>
        <x:v>313770768</x:v>
      </x:c>
      <x:c r="B579" s="1" t="str">
        <x:f>'Данные'!B579</x:f>
        <x:v>futbolkagirl/бордовый</x:v>
      </x:c>
      <x:c r="C579" s="8" t="n">
        <x:f>'Данные'!G579</x:f>
        <x:v>346269</x:v>
      </x:c>
      <x:c r="D579" s="15" t="n">
        <x:f>C579/SUM($C$5:$C$2477)</x:f>
        <x:v>0.0004045196277813817</x:v>
      </x:c>
      <x:c r="E579" s="15" t="n">
        <x:f>SUM($D$5:D579)</x:f>
        <x:v>0.862235177152488</x:v>
      </x:c>
      <x:c r="F579" s="1" t="str">
        <x:f>IF(C579&lt;=0,"C",IF(E579-D579&lt;'Дашборд'!$C$49,"A",IF(E579-D579&lt;'Дашборд'!$C$50,"B","C")))</x:f>
        <x:v>B</x:v>
      </x:c>
      <x:c r="G579" s="8" t="n">
        <x:f>'Данные'!F579</x:f>
        <x:v>1024</x:v>
      </x:c>
      <x:c r="H579" s="8" t="n">
        <x:f>SUM('Данные'!H579:I579)</x:f>
        <x:v>569</x:v>
      </x:c>
      <x:c r="I579" s="16" t="n">
        <x:f>IF(H579&gt;0,G579/H579,"n.a.")</x:f>
        <x:v>1.7996485061511422</x:v>
      </x:c>
      <x:c r="J579" s="10" t="n">
        <x:f>IF('Данные'!E579&gt;0,G579/'Данные'!E579,"n.a.")</x:f>
        <x:v>0.016072830010987287</x:v>
      </x:c>
      <x:c r="K579" s="1" t="str">
        <x:f>IF(G579&gt;='Дашборд'!$C$51,"X","Z")</x:f>
        <x:v>X</x:v>
      </x:c>
      <x:c r="L579" s="1" t="str">
        <x:f>IF(H579=0,IF(G579&gt;0,"Нет остатка","Нет спроса"),IF(I579&gt;='Дашборд'!$C$52,"Быстрый","Медленный"))</x:f>
        <x:v>Быстрый</x:v>
      </x:c>
      <x:c r="M579" s="1" t="str">
        <x:f>IF('Данные'!E579&lt;'Дашборд'!$C$53,"Мало трафика",IF(J579&lt;'Дашборд'!$C$9*'Дашборд'!$C$54,"Да","Нет"))</x:f>
        <x:v>Нет</x:v>
      </x:c>
      <x:c r="N579" s="1" t="str">
        <x:f>IF(AND('Данные'!D579&gt;='Дашборд'!$C$55,D579&lt;'Дашборд'!$C$56,'Данные'!E579&gt;='Дашборд'!$C$53,'Данные'!L579&lt;&gt;"Да"),"Да","Нет")</x:f>
        <x:v>Да</x:v>
      </x:c>
      <x:c r="O579" s="1" t="str">
        <x:f>'Данные'!L579</x:f>
        <x:v>Нет</x:v>
      </x:c>
    </x:row>
    <x:row r="580">
      <x:c r="A580" s="1" t="str">
        <x:f>'Данные'!A580</x:f>
        <x:v>288627688</x:v>
      </x:c>
      <x:c r="B580" s="1" t="str">
        <x:f>'Данные'!B580</x:f>
        <x:v>kostyum/коричневый</x:v>
      </x:c>
      <x:c r="C580" s="8" t="n">
        <x:f>'Данные'!G580</x:f>
        <x:v>345708</x:v>
      </x:c>
      <x:c r="D580" s="15" t="n">
        <x:f>C580/SUM($C$5:$C$2477)</x:f>
        <x:v>0.00040386425432552704</x:v>
      </x:c>
      <x:c r="E580" s="15" t="n">
        <x:f>SUM($D$5:D580)</x:f>
        <x:v>0.8626390414068135</x:v>
      </x:c>
      <x:c r="F580" s="1" t="str">
        <x:f>IF(C580&lt;=0,"C",IF(E580-D580&lt;'Дашборд'!$C$49,"A",IF(E580-D580&lt;'Дашборд'!$C$50,"B","C")))</x:f>
        <x:v>B</x:v>
      </x:c>
      <x:c r="G580" s="8" t="n">
        <x:f>'Данные'!F580</x:f>
        <x:v>251</x:v>
      </x:c>
      <x:c r="H580" s="8" t="n">
        <x:f>SUM('Данные'!H580:I580)</x:f>
        <x:v>109</x:v>
      </x:c>
      <x:c r="I580" s="16" t="n">
        <x:f>IF(H580&gt;0,G580/H580,"n.a.")</x:f>
        <x:v>2.302752293577982</x:v>
      </x:c>
      <x:c r="J580" s="10" t="n">
        <x:f>IF('Данные'!E580&gt;0,G580/'Данные'!E580,"n.a.")</x:f>
        <x:v>0.005437490522302376</x:v>
      </x:c>
      <x:c r="K580" s="1" t="str">
        <x:f>IF(G580&gt;='Дашборд'!$C$51,"X","Z")</x:f>
        <x:v>Z</x:v>
      </x:c>
      <x:c r="L580" s="1" t="str">
        <x:f>IF(H580=0,IF(G580&gt;0,"Нет остатка","Нет спроса"),IF(I580&gt;='Дашборд'!$C$52,"Быстрый","Медленный"))</x:f>
        <x:v>Быстрый</x:v>
      </x:c>
      <x:c r="M580" s="1" t="str">
        <x:f>IF('Данные'!E580&lt;'Дашборд'!$C$53,"Мало трафика",IF(J580&lt;'Дашборд'!$C$9*'Дашборд'!$C$54,"Да","Нет"))</x:f>
        <x:v>Да</x:v>
      </x:c>
      <x:c r="N580" s="1" t="str">
        <x:f>IF(AND('Данные'!D580&gt;='Дашборд'!$C$55,D580&lt;'Дашборд'!$C$56,'Данные'!E580&gt;='Дашборд'!$C$53,'Данные'!L580&lt;&gt;"Да"),"Да","Нет")</x:f>
        <x:v>Нет</x:v>
      </x:c>
      <x:c r="O580" s="1" t="str">
        <x:f>'Данные'!L580</x:f>
        <x:v>Нет</x:v>
      </x:c>
    </x:row>
    <x:row r="581">
      <x:c r="A581" s="1" t="str">
        <x:f>'Данные'!A581</x:f>
        <x:v>198068985</x:v>
      </x:c>
      <x:c r="B581" s="1" t="str">
        <x:f>'Данные'!B581</x:f>
        <x:v>hudiman/серыймеланж2</x:v>
      </x:c>
      <x:c r="C581" s="8" t="n">
        <x:f>'Данные'!G581</x:f>
        <x:v>345289</x:v>
      </x:c>
      <x:c r="D581" s="15" t="n">
        <x:f>C581/SUM($C$5:$C$2477)</x:f>
        <x:v>0.0004033747686249867</x:v>
      </x:c>
      <x:c r="E581" s="15" t="n">
        <x:f>SUM($D$5:D581)</x:f>
        <x:v>0.8630424161754384</x:v>
      </x:c>
      <x:c r="F581" s="1" t="str">
        <x:f>IF(C581&lt;=0,"C",IF(E581-D581&lt;'Дашборд'!$C$49,"A",IF(E581-D581&lt;'Дашборд'!$C$50,"B","C")))</x:f>
        <x:v>B</x:v>
      </x:c>
      <x:c r="G581" s="8" t="n">
        <x:f>'Данные'!F581</x:f>
        <x:v>467</x:v>
      </x:c>
      <x:c r="H581" s="8" t="n">
        <x:f>SUM('Данные'!H581:I581)</x:f>
        <x:v>104</x:v>
      </x:c>
      <x:c r="I581" s="16" t="n">
        <x:f>IF(H581&gt;0,G581/H581,"n.a.")</x:f>
        <x:v>4.490384615384615</x:v>
      </x:c>
      <x:c r="J581" s="10" t="n">
        <x:f>IF('Данные'!E581&gt;0,G581/'Данные'!E581,"n.a.")</x:f>
        <x:v>0.02793730557549653</x:v>
      </x:c>
      <x:c r="K581" s="1" t="str">
        <x:f>IF(G581&gt;='Дашборд'!$C$51,"X","Z")</x:f>
        <x:v>X</x:v>
      </x:c>
      <x:c r="L581" s="1" t="str">
        <x:f>IF(H581=0,IF(G581&gt;0,"Нет остатка","Нет спроса"),IF(I581&gt;='Дашборд'!$C$52,"Быстрый","Медленный"))</x:f>
        <x:v>Быстрый</x:v>
      </x:c>
      <x:c r="M581" s="1" t="str">
        <x:f>IF('Данные'!E581&lt;'Дашборд'!$C$53,"Мало трафика",IF(J581&lt;'Дашборд'!$C$9*'Дашборд'!$C$54,"Да","Нет"))</x:f>
        <x:v>Нет</x:v>
      </x:c>
      <x:c r="N581" s="1" t="str">
        <x:f>IF(AND('Данные'!D581&gt;='Дашборд'!$C$55,D581&lt;'Дашборд'!$C$56,'Данные'!E581&gt;='Дашборд'!$C$53,'Данные'!L581&lt;&gt;"Да"),"Да","Нет")</x:f>
        <x:v>Да</x:v>
      </x:c>
      <x:c r="O581" s="1" t="str">
        <x:f>'Данные'!L581</x:f>
        <x:v>Нет</x:v>
      </x:c>
    </x:row>
    <x:row r="582">
      <x:c r="A582" s="1" t="str">
        <x:f>'Данные'!A582</x:f>
        <x:v>211596880</x:v>
      </x:c>
      <x:c r="B582" s="1" t="str">
        <x:f>'Данные'!B582</x:f>
        <x:v>futbolkaprint/PASADENA-80/молочный</x:v>
      </x:c>
      <x:c r="C582" s="8" t="n">
        <x:f>'Данные'!G582</x:f>
        <x:v>345139</x:v>
      </x:c>
      <x:c r="D582" s="15" t="n">
        <x:f>C582/SUM($C$5:$C$2477)</x:f>
        <x:v>0.0004031995350806405</x:v>
      </x:c>
      <x:c r="E582" s="15" t="n">
        <x:f>SUM($D$5:D582)</x:f>
        <x:v>0.863445615710519</x:v>
      </x:c>
      <x:c r="F582" s="1" t="str">
        <x:f>IF(C582&lt;=0,"C",IF(E582-D582&lt;'Дашборд'!$C$49,"A",IF(E582-D582&lt;'Дашборд'!$C$50,"B","C")))</x:f>
        <x:v>B</x:v>
      </x:c>
      <x:c r="G582" s="8" t="n">
        <x:f>'Данные'!F582</x:f>
        <x:v>519</x:v>
      </x:c>
      <x:c r="H582" s="8" t="n">
        <x:f>SUM('Данные'!H582:I582)</x:f>
        <x:v>14</x:v>
      </x:c>
      <x:c r="I582" s="16" t="n">
        <x:f>IF(H582&gt;0,G582/H582,"n.a.")</x:f>
        <x:v>37.07142857142857</x:v>
      </x:c>
      <x:c r="J582" s="10" t="n">
        <x:f>IF('Данные'!E582&gt;0,G582/'Данные'!E582,"n.a.")</x:f>
        <x:v>0.008662416129786027</x:v>
      </x:c>
      <x:c r="K582" s="1" t="str">
        <x:f>IF(G582&gt;='Дашборд'!$C$51,"X","Z")</x:f>
        <x:v>X</x:v>
      </x:c>
      <x:c r="L582" s="1" t="str">
        <x:f>IF(H582=0,IF(G582&gt;0,"Нет остатка","Нет спроса"),IF(I582&gt;='Дашборд'!$C$52,"Быстрый","Медленный"))</x:f>
        <x:v>Быстрый</x:v>
      </x:c>
      <x:c r="M582" s="1" t="str">
        <x:f>IF('Данные'!E582&lt;'Дашборд'!$C$53,"Мало трафика",IF(J582&lt;'Дашборд'!$C$9*'Дашборд'!$C$54,"Да","Нет"))</x:f>
        <x:v>Да</x:v>
      </x:c>
      <x:c r="N582" s="1" t="str">
        <x:f>IF(AND('Данные'!D582&gt;='Дашборд'!$C$55,D582&lt;'Дашборд'!$C$56,'Данные'!E582&gt;='Дашборд'!$C$53,'Данные'!L582&lt;&gt;"Да"),"Да","Нет")</x:f>
        <x:v>Нет</x:v>
      </x:c>
      <x:c r="O582" s="1" t="str">
        <x:f>'Данные'!L582</x:f>
        <x:v>Нет</x:v>
      </x:c>
    </x:row>
    <x:row r="583">
      <x:c r="A583" s="1" t="str">
        <x:f>'Данные'!A583</x:f>
        <x:v>145845795</x:v>
      </x:c>
      <x:c r="B583" s="1" t="str">
        <x:f>'Данные'!B583</x:f>
        <x:v>svitshotman/светло-зеленый</x:v>
      </x:c>
      <x:c r="C583" s="8" t="n">
        <x:f>'Данные'!G583</x:f>
        <x:v>345066</x:v>
      </x:c>
      <x:c r="D583" s="15" t="n">
        <x:f>C583/SUM($C$5:$C$2477)</x:f>
        <x:v>0.00040311425475572535</x:v>
      </x:c>
      <x:c r="E583" s="15" t="n">
        <x:f>SUM($D$5:D583)</x:f>
        <x:v>0.8638487299652747</x:v>
      </x:c>
      <x:c r="F583" s="1" t="str">
        <x:f>IF(C583&lt;=0,"C",IF(E583-D583&lt;'Дашборд'!$C$49,"A",IF(E583-D583&lt;'Дашборд'!$C$50,"B","C")))</x:f>
        <x:v>B</x:v>
      </x:c>
      <x:c r="G583" s="8" t="n">
        <x:f>'Данные'!F583</x:f>
        <x:v>371</x:v>
      </x:c>
      <x:c r="H583" s="8" t="n">
        <x:f>SUM('Данные'!H583:I583)</x:f>
        <x:v>67</x:v>
      </x:c>
      <x:c r="I583" s="16" t="n">
        <x:f>IF(H583&gt;0,G583/H583,"n.a.")</x:f>
        <x:v>5.537313432835821</x:v>
      </x:c>
      <x:c r="J583" s="10" t="n">
        <x:f>IF('Данные'!E583&gt;0,G583/'Данные'!E583,"n.a.")</x:f>
        <x:v>0.024865951742627346</x:v>
      </x:c>
      <x:c r="K583" s="1" t="str">
        <x:f>IF(G583&gt;='Дашборд'!$C$51,"X","Z")</x:f>
        <x:v>X</x:v>
      </x:c>
      <x:c r="L583" s="1" t="str">
        <x:f>IF(H583=0,IF(G583&gt;0,"Нет остатка","Нет спроса"),IF(I583&gt;='Дашборд'!$C$52,"Быстрый","Медленный"))</x:f>
        <x:v>Быстрый</x:v>
      </x:c>
      <x:c r="M583" s="1" t="str">
        <x:f>IF('Данные'!E583&lt;'Дашборд'!$C$53,"Мало трафика",IF(J583&lt;'Дашборд'!$C$9*'Дашборд'!$C$54,"Да","Нет"))</x:f>
        <x:v>Нет</x:v>
      </x:c>
      <x:c r="N583" s="1" t="str">
        <x:f>IF(AND('Данные'!D583&gt;='Дашборд'!$C$55,D583&lt;'Дашборд'!$C$56,'Данные'!E583&gt;='Дашборд'!$C$53,'Данные'!L583&lt;&gt;"Да"),"Да","Нет")</x:f>
        <x:v>Да</x:v>
      </x:c>
      <x:c r="O583" s="1" t="str">
        <x:f>'Данные'!L583</x:f>
        <x:v>Нет</x:v>
      </x:c>
    </x:row>
    <x:row r="584">
      <x:c r="A584" s="1" t="str">
        <x:f>'Данные'!A584</x:f>
        <x:v>226527744</x:v>
      </x:c>
      <x:c r="B584" s="1" t="str">
        <x:f>'Данные'!B584</x:f>
        <x:v>hudivish/Move-8в/молочный</x:v>
      </x:c>
      <x:c r="C584" s="8" t="n">
        <x:f>'Данные'!G584</x:f>
        <x:v>344948</x:v>
      </x:c>
      <x:c r="D584" s="15" t="n">
        <x:f>C584/SUM($C$5:$C$2477)</x:f>
        <x:v>0.00040297640436750637</x:v>
      </x:c>
      <x:c r="E584" s="15" t="n">
        <x:f>SUM($D$5:D584)</x:f>
        <x:v>0.8642517063696422</x:v>
      </x:c>
      <x:c r="F584" s="1" t="str">
        <x:f>IF(C584&lt;=0,"C",IF(E584-D584&lt;'Дашборд'!$C$49,"A",IF(E584-D584&lt;'Дашборд'!$C$50,"B","C")))</x:f>
        <x:v>B</x:v>
      </x:c>
      <x:c r="G584" s="8" t="n">
        <x:f>'Данные'!F584</x:f>
        <x:v>353</x:v>
      </x:c>
      <x:c r="H584" s="8" t="n">
        <x:f>SUM('Данные'!H584:I584)</x:f>
        <x:v>45</x:v>
      </x:c>
      <x:c r="I584" s="16" t="n">
        <x:f>IF(H584&gt;0,G584/H584,"n.a.")</x:f>
        <x:v>7.844444444444444</x:v>
      </x:c>
      <x:c r="J584" s="10" t="n">
        <x:f>IF('Данные'!E584&gt;0,G584/'Данные'!E584,"n.a.")</x:f>
        <x:v>0.012316388123233662</x:v>
      </x:c>
      <x:c r="K584" s="1" t="str">
        <x:f>IF(G584&gt;='Дашборд'!$C$51,"X","Z")</x:f>
        <x:v>X</x:v>
      </x:c>
      <x:c r="L584" s="1" t="str">
        <x:f>IF(H584=0,IF(G584&gt;0,"Нет остатка","Нет спроса"),IF(I584&gt;='Дашборд'!$C$52,"Быстрый","Медленный"))</x:f>
        <x:v>Быстрый</x:v>
      </x:c>
      <x:c r="M584" s="1" t="str">
        <x:f>IF('Данные'!E584&lt;'Дашборд'!$C$53,"Мало трафика",IF(J584&lt;'Дашборд'!$C$9*'Дашборд'!$C$54,"Да","Нет"))</x:f>
        <x:v>Нет</x:v>
      </x:c>
      <x:c r="N584" s="1" t="str">
        <x:f>IF(AND('Данные'!D584&gt;='Дашборд'!$C$55,D584&lt;'Дашборд'!$C$56,'Данные'!E584&gt;='Дашборд'!$C$53,'Данные'!L584&lt;&gt;"Да"),"Да","Нет")</x:f>
        <x:v>Да</x:v>
      </x:c>
      <x:c r="O584" s="1" t="str">
        <x:f>'Данные'!L584</x:f>
        <x:v>Нет</x:v>
      </x:c>
    </x:row>
    <x:row r="585">
      <x:c r="A585" s="1" t="str">
        <x:f>'Данные'!A585</x:f>
        <x:v>289098365</x:v>
      </x:c>
      <x:c r="B585" s="1" t="str">
        <x:f>'Данные'!B585</x:f>
        <x:v>tolstovkazip3F-71/серый</x:v>
      </x:c>
      <x:c r="C585" s="8" t="n">
        <x:f>'Данные'!G585</x:f>
        <x:v>344143</x:v>
      </x:c>
      <x:c r="D585" s="15" t="n">
        <x:f>C585/SUM($C$5:$C$2477)</x:f>
        <x:v>0.0004020359843461819</x:v>
      </x:c>
      <x:c r="E585" s="15" t="n">
        <x:f>SUM($D$5:D585)</x:f>
        <x:v>0.8646537423539884</x:v>
      </x:c>
      <x:c r="F585" s="1" t="str">
        <x:f>IF(C585&lt;=0,"C",IF(E585-D585&lt;'Дашборд'!$C$49,"A",IF(E585-D585&lt;'Дашборд'!$C$50,"B","C")))</x:f>
        <x:v>B</x:v>
      </x:c>
      <x:c r="G585" s="8" t="n">
        <x:f>'Данные'!F585</x:f>
        <x:v>305</x:v>
      </x:c>
      <x:c r="H585" s="8" t="n">
        <x:f>SUM('Данные'!H585:I585)</x:f>
        <x:v>111</x:v>
      </x:c>
      <x:c r="I585" s="16" t="n">
        <x:f>IF(H585&gt;0,G585/H585,"n.a.")</x:f>
        <x:v>2.7477477477477477</x:v>
      </x:c>
      <x:c r="J585" s="10" t="n">
        <x:f>IF('Данные'!E585&gt;0,G585/'Данные'!E585,"n.a.")</x:f>
        <x:v>0.004529389052243904</x:v>
      </x:c>
      <x:c r="K585" s="1" t="str">
        <x:f>IF(G585&gt;='Дашборд'!$C$51,"X","Z")</x:f>
        <x:v>X</x:v>
      </x:c>
      <x:c r="L585" s="1" t="str">
        <x:f>IF(H585=0,IF(G585&gt;0,"Нет остатка","Нет спроса"),IF(I585&gt;='Дашборд'!$C$52,"Быстрый","Медленный"))</x:f>
        <x:v>Быстрый</x:v>
      </x:c>
      <x:c r="M585" s="1" t="str">
        <x:f>IF('Данные'!E585&lt;'Дашборд'!$C$53,"Мало трафика",IF(J585&lt;'Дашборд'!$C$9*'Дашборд'!$C$54,"Да","Нет"))</x:f>
        <x:v>Да</x:v>
      </x:c>
      <x:c r="N585" s="1" t="str">
        <x:f>IF(AND('Данные'!D585&gt;='Дашборд'!$C$55,D585&lt;'Дашборд'!$C$56,'Данные'!E585&gt;='Дашборд'!$C$53,'Данные'!L585&lt;&gt;"Да"),"Да","Нет")</x:f>
        <x:v>Да</x:v>
      </x:c>
      <x:c r="O585" s="1" t="str">
        <x:f>'Данные'!L585</x:f>
        <x:v>Нет</x:v>
      </x:c>
    </x:row>
    <x:row r="586">
      <x:c r="A586" s="1" t="str">
        <x:f>'Данные'!A586</x:f>
        <x:v>297350962</x:v>
      </x:c>
      <x:c r="B586" s="1" t="str">
        <x:f>'Данные'!B586</x:f>
        <x:v>svitshotzipman2/светло-зеленый</x:v>
      </x:c>
      <x:c r="C586" s="8" t="n">
        <x:f>'Данные'!G586</x:f>
        <x:v>343330</x:v>
      </x:c>
      <x:c r="D586" s="15" t="n">
        <x:f>C586/SUM($C$5:$C$2477)</x:f>
        <x:v>0.0004010862185358256</x:v>
      </x:c>
      <x:c r="E586" s="15" t="n">
        <x:f>SUM($D$5:D586)</x:f>
        <x:v>0.8650548285725242</x:v>
      </x:c>
      <x:c r="F586" s="1" t="str">
        <x:f>IF(C586&lt;=0,"C",IF(E586-D586&lt;'Дашборд'!$C$49,"A",IF(E586-D586&lt;'Дашборд'!$C$50,"B","C")))</x:f>
        <x:v>B</x:v>
      </x:c>
      <x:c r="G586" s="8" t="n">
        <x:f>'Данные'!F586</x:f>
        <x:v>396</x:v>
      </x:c>
      <x:c r="H586" s="8" t="n">
        <x:f>SUM('Данные'!H586:I586)</x:f>
        <x:v>51</x:v>
      </x:c>
      <x:c r="I586" s="16" t="n">
        <x:f>IF(H586&gt;0,G586/H586,"n.a.")</x:f>
        <x:v>7.764705882352941</x:v>
      </x:c>
      <x:c r="J586" s="10" t="n">
        <x:f>IF('Данные'!E586&gt;0,G586/'Данные'!E586,"n.a.")</x:f>
        <x:v>0.009560367929311218</x:v>
      </x:c>
      <x:c r="K586" s="1" t="str">
        <x:f>IF(G586&gt;='Дашборд'!$C$51,"X","Z")</x:f>
        <x:v>X</x:v>
      </x:c>
      <x:c r="L586" s="1" t="str">
        <x:f>IF(H586=0,IF(G586&gt;0,"Нет остатка","Нет спроса"),IF(I586&gt;='Дашборд'!$C$52,"Быстрый","Медленный"))</x:f>
        <x:v>Быстрый</x:v>
      </x:c>
      <x:c r="M586" s="1" t="str">
        <x:f>IF('Данные'!E586&lt;'Дашборд'!$C$53,"Мало трафика",IF(J586&lt;'Дашборд'!$C$9*'Дашборд'!$C$54,"Да","Нет"))</x:f>
        <x:v>Да</x:v>
      </x:c>
      <x:c r="N586" s="1" t="str">
        <x:f>IF(AND('Данные'!D586&gt;='Дашборд'!$C$55,D586&lt;'Дашборд'!$C$56,'Данные'!E586&gt;='Дашборд'!$C$53,'Данные'!L586&lt;&gt;"Да"),"Да","Нет")</x:f>
        <x:v>Да</x:v>
      </x:c>
      <x:c r="O586" s="1" t="str">
        <x:f>'Данные'!L586</x:f>
        <x:v>Нет</x:v>
      </x:c>
    </x:row>
    <x:row r="587">
      <x:c r="A587" s="1" t="str">
        <x:f>'Данные'!A587</x:f>
        <x:v>222802047</x:v>
      </x:c>
      <x:c r="B587" s="1" t="str">
        <x:f>'Данные'!B587</x:f>
        <x:v>brukipetl/серыймеланж2</x:v>
      </x:c>
      <x:c r="C587" s="8" t="n">
        <x:f>'Данные'!G587</x:f>
        <x:v>341903</x:v>
      </x:c>
      <x:c r="D587" s="15" t="n">
        <x:f>C587/SUM($C$5:$C$2477)</x:f>
        <x:v>0.00039941916341727893</x:v>
      </x:c>
      <x:c r="E587" s="15" t="n">
        <x:f>SUM($D$5:D587)</x:f>
        <x:v>0.8654542477359415</x:v>
      </x:c>
      <x:c r="F587" s="1" t="str">
        <x:f>IF(C587&lt;=0,"C",IF(E587-D587&lt;'Дашборд'!$C$49,"A",IF(E587-D587&lt;'Дашборд'!$C$50,"B","C")))</x:f>
        <x:v>B</x:v>
      </x:c>
      <x:c r="G587" s="8" t="n">
        <x:f>'Данные'!F587</x:f>
        <x:v>465</x:v>
      </x:c>
      <x:c r="H587" s="8" t="n">
        <x:f>SUM('Данные'!H587:I587)</x:f>
        <x:v>21</x:v>
      </x:c>
      <x:c r="I587" s="16" t="n">
        <x:f>IF(H587&gt;0,G587/H587,"n.a.")</x:f>
        <x:v>22.142857142857142</x:v>
      </x:c>
      <x:c r="J587" s="10" t="n">
        <x:f>IF('Данные'!E587&gt;0,G587/'Данные'!E587,"n.a.")</x:f>
        <x:v>0.018389622716127502</x:v>
      </x:c>
      <x:c r="K587" s="1" t="str">
        <x:f>IF(G587&gt;='Дашборд'!$C$51,"X","Z")</x:f>
        <x:v>X</x:v>
      </x:c>
      <x:c r="L587" s="1" t="str">
        <x:f>IF(H587=0,IF(G587&gt;0,"Нет остатка","Нет спроса"),IF(I587&gt;='Дашборд'!$C$52,"Быстрый","Медленный"))</x:f>
        <x:v>Быстрый</x:v>
      </x:c>
      <x:c r="M587" s="1" t="str">
        <x:f>IF('Данные'!E587&lt;'Дашборд'!$C$53,"Мало трафика",IF(J587&lt;'Дашборд'!$C$9*'Дашборд'!$C$54,"Да","Нет"))</x:f>
        <x:v>Нет</x:v>
      </x:c>
      <x:c r="N587" s="1" t="str">
        <x:f>IF(AND('Данные'!D587&gt;='Дашборд'!$C$55,D587&lt;'Дашборд'!$C$56,'Данные'!E587&gt;='Дашборд'!$C$53,'Данные'!L587&lt;&gt;"Да"),"Да","Нет")</x:f>
        <x:v>Нет</x:v>
      </x:c>
      <x:c r="O587" s="1" t="str">
        <x:f>'Данные'!L587</x:f>
        <x:v>Нет</x:v>
      </x:c>
    </x:row>
    <x:row r="588">
      <x:c r="A588" s="1" t="str">
        <x:f>'Данные'!A588</x:f>
        <x:v>234287049</x:v>
      </x:c>
      <x:c r="B588" s="1" t="str">
        <x:f>'Данные'!B588</x:f>
        <x:v>svitshotmanpetl/графит</x:v>
      </x:c>
      <x:c r="C588" s="8" t="n">
        <x:f>'Данные'!G588</x:f>
        <x:v>340883</x:v>
      </x:c>
      <x:c r="D588" s="15" t="n">
        <x:f>C588/SUM($C$5:$C$2477)</x:f>
        <x:v>0.00039822757531572493</x:v>
      </x:c>
      <x:c r="E588" s="15" t="n">
        <x:f>SUM($D$5:D588)</x:f>
        <x:v>0.8658524753112572</x:v>
      </x:c>
      <x:c r="F588" s="1" t="str">
        <x:f>IF(C588&lt;=0,"C",IF(E588-D588&lt;'Дашборд'!$C$49,"A",IF(E588-D588&lt;'Дашборд'!$C$50,"B","C")))</x:f>
        <x:v>B</x:v>
      </x:c>
      <x:c r="G588" s="8" t="n">
        <x:f>'Данные'!F588</x:f>
        <x:v>455</x:v>
      </x:c>
      <x:c r="H588" s="8" t="n">
        <x:f>SUM('Данные'!H588:I588)</x:f>
        <x:v>212</x:v>
      </x:c>
      <x:c r="I588" s="16" t="n">
        <x:f>IF(H588&gt;0,G588/H588,"n.a.")</x:f>
        <x:v>2.1462264150943398</x:v>
      </x:c>
      <x:c r="J588" s="10" t="n">
        <x:f>IF('Данные'!E588&gt;0,G588/'Данные'!E588,"n.a.")</x:f>
        <x:v>0.01839424320827943</x:v>
      </x:c>
      <x:c r="K588" s="1" t="str">
        <x:f>IF(G588&gt;='Дашборд'!$C$51,"X","Z")</x:f>
        <x:v>X</x:v>
      </x:c>
      <x:c r="L588" s="1" t="str">
        <x:f>IF(H588=0,IF(G588&gt;0,"Нет остатка","Нет спроса"),IF(I588&gt;='Дашборд'!$C$52,"Быстрый","Медленный"))</x:f>
        <x:v>Быстрый</x:v>
      </x:c>
      <x:c r="M588" s="1" t="str">
        <x:f>IF('Данные'!E588&lt;'Дашборд'!$C$53,"Мало трафика",IF(J588&lt;'Дашборд'!$C$9*'Дашборд'!$C$54,"Да","Нет"))</x:f>
        <x:v>Нет</x:v>
      </x:c>
      <x:c r="N588" s="1" t="str">
        <x:f>IF(AND('Данные'!D588&gt;='Дашборд'!$C$55,D588&lt;'Дашборд'!$C$56,'Данные'!E588&gt;='Дашборд'!$C$53,'Данные'!L588&lt;&gt;"Да"),"Да","Нет")</x:f>
        <x:v>Нет</x:v>
      </x:c>
      <x:c r="O588" s="1" t="str">
        <x:f>'Данные'!L588</x:f>
        <x:v>Нет</x:v>
      </x:c>
    </x:row>
    <x:row r="589">
      <x:c r="A589" s="1" t="str">
        <x:f>'Данные'!A589</x:f>
        <x:v>254905136</x:v>
      </x:c>
      <x:c r="B589" s="1" t="str">
        <x:f>'Данные'!B589</x:f>
        <x:v>hudiprint/WHO-KNOWS-205/молочный</x:v>
      </x:c>
      <x:c r="C589" s="8" t="n">
        <x:f>'Данные'!G589</x:f>
        <x:v>339854</x:v>
      </x:c>
      <x:c r="D589" s="15" t="n">
        <x:f>C589/SUM($C$5:$C$2477)</x:f>
        <x:v>0.0003970254732015101</x:v>
      </x:c>
      <x:c r="E589" s="15" t="n">
        <x:f>SUM($D$5:D589)</x:f>
        <x:v>0.8662495007844587</x:v>
      </x:c>
      <x:c r="F589" s="1" t="str">
        <x:f>IF(C589&lt;=0,"C",IF(E589-D589&lt;'Дашборд'!$C$49,"A",IF(E589-D589&lt;'Дашборд'!$C$50,"B","C")))</x:f>
        <x:v>B</x:v>
      </x:c>
      <x:c r="G589" s="8" t="n">
        <x:f>'Данные'!F589</x:f>
        <x:v>359</x:v>
      </x:c>
      <x:c r="H589" s="8" t="n">
        <x:f>SUM('Данные'!H589:I589)</x:f>
        <x:v>164</x:v>
      </x:c>
      <x:c r="I589" s="16" t="n">
        <x:f>IF(H589&gt;0,G589/H589,"n.a.")</x:f>
        <x:v>2.1890243902439024</x:v>
      </x:c>
      <x:c r="J589" s="10" t="n">
        <x:f>IF('Данные'!E589&gt;0,G589/'Данные'!E589,"n.a.")</x:f>
        <x:v>0.007652789324465477</x:v>
      </x:c>
      <x:c r="K589" s="1" t="str">
        <x:f>IF(G589&gt;='Дашборд'!$C$51,"X","Z")</x:f>
        <x:v>X</x:v>
      </x:c>
      <x:c r="L589" s="1" t="str">
        <x:f>IF(H589=0,IF(G589&gt;0,"Нет остатка","Нет спроса"),IF(I589&gt;='Дашборд'!$C$52,"Быстрый","Медленный"))</x:f>
        <x:v>Быстрый</x:v>
      </x:c>
      <x:c r="M589" s="1" t="str">
        <x:f>IF('Данные'!E589&lt;'Дашборд'!$C$53,"Мало трафика",IF(J589&lt;'Дашборд'!$C$9*'Дашборд'!$C$54,"Да","Нет"))</x:f>
        <x:v>Да</x:v>
      </x:c>
      <x:c r="N589" s="1" t="str">
        <x:f>IF(AND('Данные'!D589&gt;='Дашборд'!$C$55,D589&lt;'Дашборд'!$C$56,'Данные'!E589&gt;='Дашборд'!$C$53,'Данные'!L589&lt;&gt;"Да"),"Да","Нет")</x:f>
        <x:v>Нет</x:v>
      </x:c>
      <x:c r="O589" s="1" t="str">
        <x:f>'Данные'!L589</x:f>
        <x:v>Нет</x:v>
      </x:c>
    </x:row>
    <x:row r="590">
      <x:c r="A590" s="1" t="str">
        <x:f>'Данные'!A590</x:f>
        <x:v>332418837</x:v>
      </x:c>
      <x:c r="B590" s="1" t="str">
        <x:f>'Данные'!B590</x:f>
        <x:v>top/каштановый</x:v>
      </x:c>
      <x:c r="C590" s="8" t="n">
        <x:f>'Данные'!G590</x:f>
        <x:v>338584</x:v>
      </x:c>
      <x:c r="D590" s="15" t="n">
        <x:f>C590/SUM($C$5:$C$2477)</x:f>
        <x:v>0.00039554182919271244</x:v>
      </x:c>
      <x:c r="E590" s="15" t="n">
        <x:f>SUM($D$5:D590)</x:f>
        <x:v>0.8666450426136514</x:v>
      </x:c>
      <x:c r="F590" s="1" t="str">
        <x:f>IF(C590&lt;=0,"C",IF(E590-D590&lt;'Дашборд'!$C$49,"A",IF(E590-D590&lt;'Дашборд'!$C$50,"B","C")))</x:f>
        <x:v>B</x:v>
      </x:c>
      <x:c r="G590" s="8" t="n">
        <x:f>'Данные'!F590</x:f>
        <x:v>1036</x:v>
      </x:c>
      <x:c r="H590" s="8" t="n">
        <x:f>SUM('Данные'!H590:I590)</x:f>
        <x:v>146</x:v>
      </x:c>
      <x:c r="I590" s="16" t="n">
        <x:f>IF(H590&gt;0,G590/H590,"n.a.")</x:f>
        <x:v>7.095890410958904</x:v>
      </x:c>
      <x:c r="J590" s="10" t="n">
        <x:f>IF('Данные'!E590&gt;0,G590/'Данные'!E590,"n.a.")</x:f>
        <x:v>0.017710612691466083</x:v>
      </x:c>
      <x:c r="K590" s="1" t="str">
        <x:f>IF(G590&gt;='Дашборд'!$C$51,"X","Z")</x:f>
        <x:v>X</x:v>
      </x:c>
      <x:c r="L590" s="1" t="str">
        <x:f>IF(H590=0,IF(G590&gt;0,"Нет остатка","Нет спроса"),IF(I590&gt;='Дашборд'!$C$52,"Быстрый","Медленный"))</x:f>
        <x:v>Быстрый</x:v>
      </x:c>
      <x:c r="M590" s="1" t="str">
        <x:f>IF('Данные'!E590&lt;'Дашборд'!$C$53,"Мало трафика",IF(J590&lt;'Дашборд'!$C$9*'Дашборд'!$C$54,"Да","Нет"))</x:f>
        <x:v>Нет</x:v>
      </x:c>
      <x:c r="N590" s="1" t="str">
        <x:f>IF(AND('Данные'!D590&gt;='Дашборд'!$C$55,D590&lt;'Дашборд'!$C$56,'Данные'!E590&gt;='Дашборд'!$C$53,'Данные'!L590&lt;&gt;"Да"),"Да","Нет")</x:f>
        <x:v>Нет</x:v>
      </x:c>
      <x:c r="O590" s="1" t="str">
        <x:f>'Данные'!L590</x:f>
        <x:v>Нет</x:v>
      </x:c>
    </x:row>
    <x:row r="591">
      <x:c r="A591" s="1" t="str">
        <x:f>'Данные'!A591</x:f>
        <x:v>25012401</x:v>
      </x:c>
      <x:c r="B591" s="1" t="str">
        <x:f>'Данные'!B591</x:f>
        <x:v>futbolka_mary/белый</x:v>
      </x:c>
      <x:c r="C591" s="8" t="n">
        <x:f>'Данные'!G591</x:f>
        <x:v>336903</x:v>
      </x:c>
      <x:c r="D591" s="15" t="n">
        <x:f>C591/SUM($C$5:$C$2477)</x:f>
        <x:v>0.00039357804527240627</x:v>
      </x:c>
      <x:c r="E591" s="15" t="n">
        <x:f>SUM($D$5:D591)</x:f>
        <x:v>0.8670386206589238</x:v>
      </x:c>
      <x:c r="F591" s="1" t="str">
        <x:f>IF(C591&lt;=0,"C",IF(E591-D591&lt;'Дашборд'!$C$49,"A",IF(E591-D591&lt;'Дашборд'!$C$50,"B","C")))</x:f>
        <x:v>B</x:v>
      </x:c>
      <x:c r="G591" s="8" t="n">
        <x:f>'Данные'!F591</x:f>
        <x:v>881</x:v>
      </x:c>
      <x:c r="H591" s="8" t="n">
        <x:f>SUM('Данные'!H591:I591)</x:f>
        <x:v>113</x:v>
      </x:c>
      <x:c r="I591" s="16" t="n">
        <x:f>IF(H591&gt;0,G591/H591,"n.a.")</x:f>
        <x:v>7.79646017699115</x:v>
      </x:c>
      <x:c r="J591" s="10" t="n">
        <x:f>IF('Данные'!E591&gt;0,G591/'Данные'!E591,"n.a.")</x:f>
        <x:v>0.04113938827924352</x:v>
      </x:c>
      <x:c r="K591" s="1" t="str">
        <x:f>IF(G591&gt;='Дашборд'!$C$51,"X","Z")</x:f>
        <x:v>X</x:v>
      </x:c>
      <x:c r="L591" s="1" t="str">
        <x:f>IF(H591=0,IF(G591&gt;0,"Нет остатка","Нет спроса"),IF(I591&gt;='Дашборд'!$C$52,"Быстрый","Медленный"))</x:f>
        <x:v>Быстрый</x:v>
      </x:c>
      <x:c r="M591" s="1" t="str">
        <x:f>IF('Данные'!E591&lt;'Дашборд'!$C$53,"Мало трафика",IF(J591&lt;'Дашборд'!$C$9*'Дашборд'!$C$54,"Да","Нет"))</x:f>
        <x:v>Нет</x:v>
      </x:c>
      <x:c r="N591" s="1" t="str">
        <x:f>IF(AND('Данные'!D591&gt;='Дашборд'!$C$55,D591&lt;'Дашборд'!$C$56,'Данные'!E591&gt;='Дашборд'!$C$53,'Данные'!L591&lt;&gt;"Да"),"Да","Нет")</x:f>
        <x:v>Нет</x:v>
      </x:c>
      <x:c r="O591" s="1" t="str">
        <x:f>'Данные'!L591</x:f>
        <x:v>Нет</x:v>
      </x:c>
    </x:row>
    <x:row r="592">
      <x:c r="A592" s="1" t="str">
        <x:f>'Данные'!A592</x:f>
        <x:v>332418838</x:v>
      </x:c>
      <x:c r="B592" s="1" t="str">
        <x:f>'Данные'!B592</x:f>
        <x:v>top/розовый</x:v>
      </x:c>
      <x:c r="C592" s="8" t="n">
        <x:f>'Данные'!G592</x:f>
        <x:v>336446</x:v>
      </x:c>
      <x:c r="D592" s="15" t="n">
        <x:f>C592/SUM($C$5:$C$2477)</x:f>
        <x:v>0.0003930441670739649</x:v>
      </x:c>
      <x:c r="E592" s="15" t="n">
        <x:f>SUM($D$5:D592)</x:f>
        <x:v>0.8674316648259978</x:v>
      </x:c>
      <x:c r="F592" s="1" t="str">
        <x:f>IF(C592&lt;=0,"C",IF(E592-D592&lt;'Дашборд'!$C$49,"A",IF(E592-D592&lt;'Дашборд'!$C$50,"B","C")))</x:f>
        <x:v>B</x:v>
      </x:c>
      <x:c r="G592" s="8" t="n">
        <x:f>'Данные'!F592</x:f>
        <x:v>1086</x:v>
      </x:c>
      <x:c r="H592" s="8" t="n">
        <x:f>SUM('Данные'!H592:I592)</x:f>
        <x:v>207</x:v>
      </x:c>
      <x:c r="I592" s="16" t="n">
        <x:f>IF(H592&gt;0,G592/H592,"n.a.")</x:f>
        <x:v>5.246376811594203</x:v>
      </x:c>
      <x:c r="J592" s="10" t="n">
        <x:f>IF('Данные'!E592&gt;0,G592/'Данные'!E592,"n.a.")</x:f>
        <x:v>0.014317543605226035</x:v>
      </x:c>
      <x:c r="K592" s="1" t="str">
        <x:f>IF(G592&gt;='Дашборд'!$C$51,"X","Z")</x:f>
        <x:v>X</x:v>
      </x:c>
      <x:c r="L592" s="1" t="str">
        <x:f>IF(H592=0,IF(G592&gt;0,"Нет остатка","Нет спроса"),IF(I592&gt;='Дашборд'!$C$52,"Быстрый","Медленный"))</x:f>
        <x:v>Быстрый</x:v>
      </x:c>
      <x:c r="M592" s="1" t="str">
        <x:f>IF('Данные'!E592&lt;'Дашборд'!$C$53,"Мало трафика",IF(J592&lt;'Дашборд'!$C$9*'Дашборд'!$C$54,"Да","Нет"))</x:f>
        <x:v>Нет</x:v>
      </x:c>
      <x:c r="N592" s="1" t="str">
        <x:f>IF(AND('Данные'!D592&gt;='Дашборд'!$C$55,D592&lt;'Дашборд'!$C$56,'Данные'!E592&gt;='Дашборд'!$C$53,'Данные'!L592&lt;&gt;"Да"),"Да","Нет")</x:f>
        <x:v>Нет</x:v>
      </x:c>
      <x:c r="O592" s="1" t="str">
        <x:f>'Данные'!L592</x:f>
        <x:v>Нет</x:v>
      </x:c>
    </x:row>
    <x:row r="593">
      <x:c r="A593" s="1" t="str">
        <x:f>'Данные'!A593</x:f>
        <x:v>295664241</x:v>
      </x:c>
      <x:c r="B593" s="1" t="str">
        <x:f>'Данные'!B593</x:f>
        <x:v>2nkost3D-72-73/серый</x:v>
      </x:c>
      <x:c r="C593" s="8" t="n">
        <x:f>'Данные'!G593</x:f>
        <x:v>335793</x:v>
      </x:c>
      <x:c r="D593" s="15" t="n">
        <x:f>C593/SUM($C$5:$C$2477)</x:f>
        <x:v>0.00039228131704424456</x:v>
      </x:c>
      <x:c r="E593" s="15" t="n">
        <x:f>SUM($D$5:D593)</x:f>
        <x:v>0.867823946143042</x:v>
      </x:c>
      <x:c r="F593" s="1" t="str">
        <x:f>IF(C593&lt;=0,"C",IF(E593-D593&lt;'Дашборд'!$C$49,"A",IF(E593-D593&lt;'Дашборд'!$C$50,"B","C")))</x:f>
        <x:v>B</x:v>
      </x:c>
      <x:c r="G593" s="8" t="n">
        <x:f>'Данные'!F593</x:f>
        <x:v>885</x:v>
      </x:c>
      <x:c r="H593" s="8" t="n">
        <x:f>SUM('Данные'!H593:I593)</x:f>
        <x:v>174</x:v>
      </x:c>
      <x:c r="I593" s="16" t="n">
        <x:f>IF(H593&gt;0,G593/H593,"n.a.")</x:f>
        <x:v>5.086206896551724</x:v>
      </x:c>
      <x:c r="J593" s="10" t="n">
        <x:f>IF('Данные'!E593&gt;0,G593/'Данные'!E593,"n.a.")</x:f>
        <x:v>0.00858989789183523</x:v>
      </x:c>
      <x:c r="K593" s="1" t="str">
        <x:f>IF(G593&gt;='Дашборд'!$C$51,"X","Z")</x:f>
        <x:v>X</x:v>
      </x:c>
      <x:c r="L593" s="1" t="str">
        <x:f>IF(H593=0,IF(G593&gt;0,"Нет остатка","Нет спроса"),IF(I593&gt;='Дашборд'!$C$52,"Быстрый","Медленный"))</x:f>
        <x:v>Быстрый</x:v>
      </x:c>
      <x:c r="M593" s="1" t="str">
        <x:f>IF('Данные'!E593&lt;'Дашборд'!$C$53,"Мало трафика",IF(J593&lt;'Дашборд'!$C$9*'Дашборд'!$C$54,"Да","Нет"))</x:f>
        <x:v>Да</x:v>
      </x:c>
      <x:c r="N593" s="1" t="str">
        <x:f>IF(AND('Данные'!D593&gt;='Дашборд'!$C$55,D593&lt;'Дашборд'!$C$56,'Данные'!E593&gt;='Дашборд'!$C$53,'Данные'!L593&lt;&gt;"Да"),"Да","Нет")</x:f>
        <x:v>Нет</x:v>
      </x:c>
      <x:c r="O593" s="1" t="str">
        <x:f>'Данные'!L593</x:f>
        <x:v>Нет</x:v>
      </x:c>
    </x:row>
    <x:row r="594">
      <x:c r="A594" s="1" t="str">
        <x:f>'Данные'!A594</x:f>
        <x:v>209915087</x:v>
      </x:c>
      <x:c r="B594" s="1" t="str">
        <x:f>'Данные'!B594</x:f>
        <x:v>longsvobod/дымка</x:v>
      </x:c>
      <x:c r="C594" s="8" t="n">
        <x:f>'Данные'!G594</x:f>
        <x:v>335076</x:v>
      </x:c>
      <x:c r="D594" s="15" t="n">
        <x:f>C594/SUM($C$5:$C$2477)</x:f>
        <x:v>0.0003914437007022698</x:v>
      </x:c>
      <x:c r="E594" s="15" t="n">
        <x:f>SUM($D$5:D594)</x:f>
        <x:v>0.8682153898437444</x:v>
      </x:c>
      <x:c r="F594" s="1" t="str">
        <x:f>IF(C594&lt;=0,"C",IF(E594-D594&lt;'Дашборд'!$C$49,"A",IF(E594-D594&lt;'Дашборд'!$C$50,"B","C")))</x:f>
        <x:v>B</x:v>
      </x:c>
      <x:c r="G594" s="8" t="n">
        <x:f>'Данные'!F594</x:f>
        <x:v>881</x:v>
      </x:c>
      <x:c r="H594" s="8" t="n">
        <x:f>SUM('Данные'!H594:I594)</x:f>
        <x:v>199</x:v>
      </x:c>
      <x:c r="I594" s="16" t="n">
        <x:f>IF(H594&gt;0,G594/H594,"n.a.")</x:f>
        <x:v>4.42713567839196</x:v>
      </x:c>
      <x:c r="J594" s="10" t="n">
        <x:f>IF('Данные'!E594&gt;0,G594/'Данные'!E594,"n.a.")</x:f>
        <x:v>0.015234307452879129</x:v>
      </x:c>
      <x:c r="K594" s="1" t="str">
        <x:f>IF(G594&gt;='Дашборд'!$C$51,"X","Z")</x:f>
        <x:v>X</x:v>
      </x:c>
      <x:c r="L594" s="1" t="str">
        <x:f>IF(H594=0,IF(G594&gt;0,"Нет остатка","Нет спроса"),IF(I594&gt;='Дашборд'!$C$52,"Быстрый","Медленный"))</x:f>
        <x:v>Быстрый</x:v>
      </x:c>
      <x:c r="M594" s="1" t="str">
        <x:f>IF('Данные'!E594&lt;'Дашборд'!$C$53,"Мало трафика",IF(J594&lt;'Дашборд'!$C$9*'Дашборд'!$C$54,"Да","Нет"))</x:f>
        <x:v>Нет</x:v>
      </x:c>
      <x:c r="N594" s="1" t="str">
        <x:f>IF(AND('Данные'!D594&gt;='Дашборд'!$C$55,D594&lt;'Дашборд'!$C$56,'Данные'!E594&gt;='Дашборд'!$C$53,'Данные'!L594&lt;&gt;"Да"),"Да","Нет")</x:f>
        <x:v>Нет</x:v>
      </x:c>
      <x:c r="O594" s="1" t="str">
        <x:f>'Данные'!L594</x:f>
        <x:v>Нет</x:v>
      </x:c>
    </x:row>
    <x:row r="595">
      <x:c r="A595" s="1" t="str">
        <x:f>'Данные'!A595</x:f>
        <x:v>198090019</x:v>
      </x:c>
      <x:c r="B595" s="1" t="str">
        <x:f>'Данные'!B595</x:f>
        <x:v>bruki/серыймеланж2</x:v>
      </x:c>
      <x:c r="C595" s="8" t="n">
        <x:f>'Данные'!G595</x:f>
        <x:v>334380</x:v>
      </x:c>
      <x:c r="D595" s="15" t="n">
        <x:f>C595/SUM($C$5:$C$2477)</x:f>
        <x:v>0.00039063061705650354</x:v>
      </x:c>
      <x:c r="E595" s="15" t="n">
        <x:f>SUM($D$5:D595)</x:f>
        <x:v>0.8686060204608008</x:v>
      </x:c>
      <x:c r="F595" s="1" t="str">
        <x:f>IF(C595&lt;=0,"C",IF(E595-D595&lt;'Дашборд'!$C$49,"A",IF(E595-D595&lt;'Дашборд'!$C$50,"B","C")))</x:f>
        <x:v>B</x:v>
      </x:c>
      <x:c r="G595" s="8" t="n">
        <x:f>'Данные'!F595</x:f>
        <x:v>614</x:v>
      </x:c>
      <x:c r="H595" s="8" t="n">
        <x:f>SUM('Данные'!H595:I595)</x:f>
        <x:v>299</x:v>
      </x:c>
      <x:c r="I595" s="16" t="n">
        <x:f>IF(H595&gt;0,G595/H595,"n.a.")</x:f>
        <x:v>2.0535117056856187</x:v>
      </x:c>
      <x:c r="J595" s="10" t="n">
        <x:f>IF('Данные'!E595&gt;0,G595/'Данные'!E595,"n.a.")</x:f>
        <x:v>0.02094848174684408</x:v>
      </x:c>
      <x:c r="K595" s="1" t="str">
        <x:f>IF(G595&gt;='Дашборд'!$C$51,"X","Z")</x:f>
        <x:v>X</x:v>
      </x:c>
      <x:c r="L595" s="1" t="str">
        <x:f>IF(H595=0,IF(G595&gt;0,"Нет остатка","Нет спроса"),IF(I595&gt;='Дашборд'!$C$52,"Быстрый","Медленный"))</x:f>
        <x:v>Быстрый</x:v>
      </x:c>
      <x:c r="M595" s="1" t="str">
        <x:f>IF('Данные'!E595&lt;'Дашборд'!$C$53,"Мало трафика",IF(J595&lt;'Дашборд'!$C$9*'Дашборд'!$C$54,"Да","Нет"))</x:f>
        <x:v>Нет</x:v>
      </x:c>
      <x:c r="N595" s="1" t="str">
        <x:f>IF(AND('Данные'!D595&gt;='Дашборд'!$C$55,D595&lt;'Дашборд'!$C$56,'Данные'!E595&gt;='Дашборд'!$C$53,'Данные'!L595&lt;&gt;"Да"),"Да","Нет")</x:f>
        <x:v>Да</x:v>
      </x:c>
      <x:c r="O595" s="1" t="str">
        <x:f>'Данные'!L595</x:f>
        <x:v>Нет</x:v>
      </x:c>
    </x:row>
    <x:row r="596">
      <x:c r="A596" s="1" t="str">
        <x:f>'Данные'!A596</x:f>
        <x:v>314822401</x:v>
      </x:c>
      <x:c r="B596" s="1" t="str">
        <x:f>'Данные'!B596</x:f>
        <x:v>2Nlongunt3D-76print/dreams-257/темно-серый</x:v>
      </x:c>
      <x:c r="C596" s="8" t="n">
        <x:f>'Данные'!G596</x:f>
        <x:v>332788</x:v>
      </x:c>
      <x:c r="D596" s="15" t="n">
        <x:f>C596/SUM($C$5:$C$2477)</x:f>
        <x:v>0.0003887708050391761</x:v>
      </x:c>
      <x:c r="E596" s="15" t="n">
        <x:f>SUM($D$5:D596)</x:f>
        <x:v>0.86899479126584</x:v>
      </x:c>
      <x:c r="F596" s="1" t="str">
        <x:f>IF(C596&lt;=0,"C",IF(E596-D596&lt;'Дашборд'!$C$49,"A",IF(E596-D596&lt;'Дашборд'!$C$50,"B","C")))</x:f>
        <x:v>B</x:v>
      </x:c>
      <x:c r="G596" s="8" t="n">
        <x:f>'Данные'!F596</x:f>
        <x:v>558</x:v>
      </x:c>
      <x:c r="H596" s="8" t="n">
        <x:f>SUM('Данные'!H596:I596)</x:f>
        <x:v>51</x:v>
      </x:c>
      <x:c r="I596" s="16" t="n">
        <x:f>IF(H596&gt;0,G596/H596,"n.a.")</x:f>
        <x:v>10.941176470588236</x:v>
      </x:c>
      <x:c r="J596" s="10" t="n">
        <x:f>IF('Данные'!E596&gt;0,G596/'Данные'!E596,"n.a.")</x:f>
        <x:v>0.009867722996392445</x:v>
      </x:c>
      <x:c r="K596" s="1" t="str">
        <x:f>IF(G596&gt;='Дашборд'!$C$51,"X","Z")</x:f>
        <x:v>X</x:v>
      </x:c>
      <x:c r="L596" s="1" t="str">
        <x:f>IF(H596=0,IF(G596&gt;0,"Нет остатка","Нет спроса"),IF(I596&gt;='Дашборд'!$C$52,"Быстрый","Медленный"))</x:f>
        <x:v>Быстрый</x:v>
      </x:c>
      <x:c r="M596" s="1" t="str">
        <x:f>IF('Данные'!E596&lt;'Дашборд'!$C$53,"Мало трафика",IF(J596&lt;'Дашборд'!$C$9*'Дашборд'!$C$54,"Да","Нет"))</x:f>
        <x:v>Да</x:v>
      </x:c>
      <x:c r="N596" s="1" t="str">
        <x:f>IF(AND('Данные'!D596&gt;='Дашборд'!$C$55,D596&lt;'Дашборд'!$C$56,'Данные'!E596&gt;='Дашборд'!$C$53,'Данные'!L596&lt;&gt;"Да"),"Да","Нет")</x:f>
        <x:v>Нет</x:v>
      </x:c>
      <x:c r="O596" s="1" t="str">
        <x:f>'Данные'!L596</x:f>
        <x:v>Нет</x:v>
      </x:c>
    </x:row>
    <x:row r="597">
      <x:c r="A597" s="1" t="str">
        <x:f>'Данные'!A597</x:f>
        <x:v>323203653</x:v>
      </x:c>
      <x:c r="B597" s="1" t="str">
        <x:f>'Данные'!B597</x:f>
        <x:v>tshirtsuperover3K-E1/бордовый</x:v>
      </x:c>
      <x:c r="C597" s="8" t="n">
        <x:f>'Данные'!G597</x:f>
        <x:v>332752</x:v>
      </x:c>
      <x:c r="D597" s="15" t="n">
        <x:f>C597/SUM($C$5:$C$2477)</x:f>
        <x:v>0.000388728748988533</x:v>
      </x:c>
      <x:c r="E597" s="15" t="n">
        <x:f>SUM($D$5:D597)</x:f>
        <x:v>0.8693835200148285</x:v>
      </x:c>
      <x:c r="F597" s="1" t="str">
        <x:f>IF(C597&lt;=0,"C",IF(E597-D597&lt;'Дашборд'!$C$49,"A",IF(E597-D597&lt;'Дашборд'!$C$50,"B","C")))</x:f>
        <x:v>B</x:v>
      </x:c>
      <x:c r="G597" s="8" t="n">
        <x:f>'Данные'!F597</x:f>
        <x:v>527</x:v>
      </x:c>
      <x:c r="H597" s="8" t="n">
        <x:f>SUM('Данные'!H597:I597)</x:f>
        <x:v>201</x:v>
      </x:c>
      <x:c r="I597" s="16" t="n">
        <x:f>IF(H597&gt;0,G597/H597,"n.a.")</x:f>
        <x:v>2.6218905472636815</x:v>
      </x:c>
      <x:c r="J597" s="10" t="n">
        <x:f>IF('Данные'!E597&gt;0,G597/'Данные'!E597,"n.a.")</x:f>
        <x:v>0.005207046804137972</x:v>
      </x:c>
      <x:c r="K597" s="1" t="str">
        <x:f>IF(G597&gt;='Дашборд'!$C$51,"X","Z")</x:f>
        <x:v>X</x:v>
      </x:c>
      <x:c r="L597" s="1" t="str">
        <x:f>IF(H597=0,IF(G597&gt;0,"Нет остатка","Нет спроса"),IF(I597&gt;='Дашборд'!$C$52,"Быстрый","Медленный"))</x:f>
        <x:v>Быстрый</x:v>
      </x:c>
      <x:c r="M597" s="1" t="str">
        <x:f>IF('Данные'!E597&lt;'Дашборд'!$C$53,"Мало трафика",IF(J597&lt;'Дашборд'!$C$9*'Дашборд'!$C$54,"Да","Нет"))</x:f>
        <x:v>Да</x:v>
      </x:c>
      <x:c r="N597" s="1" t="str">
        <x:f>IF(AND('Данные'!D597&gt;='Дашборд'!$C$55,D597&lt;'Дашборд'!$C$56,'Данные'!E597&gt;='Дашборд'!$C$53,'Данные'!L597&lt;&gt;"Да"),"Да","Нет")</x:f>
        <x:v>Нет</x:v>
      </x:c>
      <x:c r="O597" s="1" t="str">
        <x:f>'Данные'!L597</x:f>
        <x:v>Нет</x:v>
      </x:c>
    </x:row>
    <x:row r="598">
      <x:c r="A598" s="1" t="str">
        <x:f>'Данные'!A598</x:f>
        <x:v>237884236</x:v>
      </x:c>
      <x:c r="B598" s="1" t="str">
        <x:f>'Данные'!B598</x:f>
        <x:v>2Nlongsliv/черный</x:v>
      </x:c>
      <x:c r="C598" s="8" t="n">
        <x:f>'Данные'!G598</x:f>
        <x:v>332726</x:v>
      </x:c>
      <x:c r="D598" s="15" t="n">
        <x:f>C598/SUM($C$5:$C$2477)</x:f>
        <x:v>0.0003886983751741797</x:v>
      </x:c>
      <x:c r="E598" s="15" t="n">
        <x:f>SUM($D$5:D598)</x:f>
        <x:v>0.8697722183900027</x:v>
      </x:c>
      <x:c r="F598" s="1" t="str">
        <x:f>IF(C598&lt;=0,"C",IF(E598-D598&lt;'Дашборд'!$C$49,"A",IF(E598-D598&lt;'Дашборд'!$C$50,"B","C")))</x:f>
        <x:v>B</x:v>
      </x:c>
      <x:c r="G598" s="8" t="n">
        <x:f>'Данные'!F598</x:f>
        <x:v>593</x:v>
      </x:c>
      <x:c r="H598" s="8" t="n">
        <x:f>SUM('Данные'!H598:I598)</x:f>
        <x:v>166</x:v>
      </x:c>
      <x:c r="I598" s="16" t="n">
        <x:f>IF(H598&gt;0,G598/H598,"n.a.")</x:f>
        <x:v>3.572289156626506</x:v>
      </x:c>
      <x:c r="J598" s="10" t="n">
        <x:f>IF('Данные'!E598&gt;0,G598/'Данные'!E598,"n.a.")</x:f>
        <x:v>0.00829823260239851</x:v>
      </x:c>
      <x:c r="K598" s="1" t="str">
        <x:f>IF(G598&gt;='Дашборд'!$C$51,"X","Z")</x:f>
        <x:v>X</x:v>
      </x:c>
      <x:c r="L598" s="1" t="str">
        <x:f>IF(H598=0,IF(G598&gt;0,"Нет остатка","Нет спроса"),IF(I598&gt;='Дашборд'!$C$52,"Быстрый","Медленный"))</x:f>
        <x:v>Быстрый</x:v>
      </x:c>
      <x:c r="M598" s="1" t="str">
        <x:f>IF('Данные'!E598&lt;'Дашборд'!$C$53,"Мало трафика",IF(J598&lt;'Дашборд'!$C$9*'Дашборд'!$C$54,"Да","Нет"))</x:f>
        <x:v>Да</x:v>
      </x:c>
      <x:c r="N598" s="1" t="str">
        <x:f>IF(AND('Данные'!D598&gt;='Дашборд'!$C$55,D598&lt;'Дашборд'!$C$56,'Данные'!E598&gt;='Дашборд'!$C$53,'Данные'!L598&lt;&gt;"Да"),"Да","Нет")</x:f>
        <x:v>Нет</x:v>
      </x:c>
      <x:c r="O598" s="1" t="str">
        <x:f>'Данные'!L598</x:f>
        <x:v>Нет</x:v>
      </x:c>
    </x:row>
    <x:row r="599">
      <x:c r="A599" s="1" t="str">
        <x:f>'Данные'!A599</x:f>
        <x:v>260797907</x:v>
      </x:c>
      <x:c r="B599" s="1" t="str">
        <x:f>'Данные'!B599</x:f>
        <x:v>hudicrop1/голубой</x:v>
      </x:c>
      <x:c r="C599" s="8" t="n">
        <x:f>'Данные'!G599</x:f>
        <x:v>330181</x:v>
      </x:c>
      <x:c r="D599" s="15" t="n">
        <x:f>C599/SUM($C$5:$C$2477)</x:f>
        <x:v>0.00038572524603843947</x:v>
      </x:c>
      <x:c r="E599" s="15" t="n">
        <x:f>SUM($D$5:D599)</x:f>
        <x:v>0.8701579436360412</x:v>
      </x:c>
      <x:c r="F599" s="1" t="str">
        <x:f>IF(C599&lt;=0,"C",IF(E599-D599&lt;'Дашборд'!$C$49,"A",IF(E599-D599&lt;'Дашборд'!$C$50,"B","C")))</x:f>
        <x:v>B</x:v>
      </x:c>
      <x:c r="G599" s="8" t="n">
        <x:f>'Данные'!F599</x:f>
        <x:v>256</x:v>
      </x:c>
      <x:c r="H599" s="8" t="n">
        <x:f>SUM('Данные'!H599:I599)</x:f>
        <x:v>254</x:v>
      </x:c>
      <x:c r="I599" s="16" t="n">
        <x:f>IF(H599&gt;0,G599/H599,"n.a.")</x:f>
        <x:v>1.0078740157480315</x:v>
      </x:c>
      <x:c r="J599" s="10" t="n">
        <x:f>IF('Данные'!E599&gt;0,G599/'Данные'!E599,"n.a.")</x:f>
        <x:v>0.006347474647293645</x:v>
      </x:c>
      <x:c r="K599" s="1" t="str">
        <x:f>IF(G599&gt;='Дашборд'!$C$51,"X","Z")</x:f>
        <x:v>Z</x:v>
      </x:c>
      <x:c r="L599" s="1" t="str">
        <x:f>IF(H599=0,IF(G599&gt;0,"Нет остатка","Нет спроса"),IF(I599&gt;='Дашборд'!$C$52,"Быстрый","Медленный"))</x:f>
        <x:v>Быстрый</x:v>
      </x:c>
      <x:c r="M599" s="1" t="str">
        <x:f>IF('Данные'!E599&lt;'Дашборд'!$C$53,"Мало трафика",IF(J599&lt;'Дашборд'!$C$9*'Дашборд'!$C$54,"Да","Нет"))</x:f>
        <x:v>Да</x:v>
      </x:c>
      <x:c r="N599" s="1" t="str">
        <x:f>IF(AND('Данные'!D599&gt;='Дашборд'!$C$55,D599&lt;'Дашборд'!$C$56,'Данные'!E599&gt;='Дашборд'!$C$53,'Данные'!L599&lt;&gt;"Да"),"Да","Нет")</x:f>
        <x:v>Нет</x:v>
      </x:c>
      <x:c r="O599" s="1" t="str">
        <x:f>'Данные'!L599</x:f>
        <x:v>Нет</x:v>
      </x:c>
    </x:row>
    <x:row r="600">
      <x:c r="A600" s="1" t="str">
        <x:f>'Данные'!A600</x:f>
        <x:v>221503717</x:v>
      </x:c>
      <x:c r="B600" s="1" t="str">
        <x:f>'Данные'!B600</x:f>
        <x:v>baza/светло-фиолетовый</x:v>
      </x:c>
      <x:c r="C600" s="8" t="n">
        <x:f>'Данные'!G600</x:f>
        <x:v>329036</x:v>
      </x:c>
      <x:c r="D600" s="15" t="n">
        <x:f>C600/SUM($C$5:$C$2477)</x:f>
        <x:v>0.00038438762998326367</x:v>
      </x:c>
      <x:c r="E600" s="15" t="n">
        <x:f>SUM($D$5:D600)</x:f>
        <x:v>0.8705423312660244</x:v>
      </x:c>
      <x:c r="F600" s="1" t="str">
        <x:f>IF(C600&lt;=0,"C",IF(E600-D600&lt;'Дашборд'!$C$49,"A",IF(E600-D600&lt;'Дашборд'!$C$50,"B","C")))</x:f>
        <x:v>B</x:v>
      </x:c>
      <x:c r="G600" s="8" t="n">
        <x:f>'Данные'!F600</x:f>
        <x:v>620</x:v>
      </x:c>
      <x:c r="H600" s="8" t="n">
        <x:f>SUM('Данные'!H600:I600)</x:f>
        <x:v>704</x:v>
      </x:c>
      <x:c r="I600" s="16" t="n">
        <x:f>IF(H600&gt;0,G600/H600,"n.a.")</x:f>
        <x:v>0.8806818181818182</x:v>
      </x:c>
      <x:c r="J600" s="10" t="n">
        <x:f>IF('Данные'!E600&gt;0,G600/'Данные'!E600,"n.a.")</x:f>
        <x:v>0.010061505006410152</x:v>
      </x:c>
      <x:c r="K600" s="1" t="str">
        <x:f>IF(G600&gt;='Дашборд'!$C$51,"X","Z")</x:f>
        <x:v>X</x:v>
      </x:c>
      <x:c r="L600" s="1" t="str">
        <x:f>IF(H600=0,IF(G600&gt;0,"Нет остатка","Нет спроса"),IF(I600&gt;='Дашборд'!$C$52,"Быстрый","Медленный"))</x:f>
        <x:v>Медленный</x:v>
      </x:c>
      <x:c r="M600" s="1" t="str">
        <x:f>IF('Данные'!E600&lt;'Дашборд'!$C$53,"Мало трафика",IF(J600&lt;'Дашборд'!$C$9*'Дашборд'!$C$54,"Да","Нет"))</x:f>
        <x:v>Да</x:v>
      </x:c>
      <x:c r="N600" s="1" t="str">
        <x:f>IF(AND('Данные'!D600&gt;='Дашборд'!$C$55,D600&lt;'Дашборд'!$C$56,'Данные'!E600&gt;='Дашборд'!$C$53,'Данные'!L600&lt;&gt;"Да"),"Да","Нет")</x:f>
        <x:v>Нет</x:v>
      </x:c>
      <x:c r="O600" s="1" t="str">
        <x:f>'Данные'!L600</x:f>
        <x:v>Нет</x:v>
      </x:c>
    </x:row>
    <x:row r="601">
      <x:c r="A601" s="1" t="str">
        <x:f>'Данные'!A601</x:f>
        <x:v>256339627</x:v>
      </x:c>
      <x:c r="B601" s="1" t="str">
        <x:f>'Данные'!B601</x:f>
        <x:v>futbolkaoverhlop/розовый</x:v>
      </x:c>
      <x:c r="C601" s="8" t="n">
        <x:f>'Данные'!G601</x:f>
        <x:v>328282</x:v>
      </x:c>
      <x:c r="D601" s="15" t="n">
        <x:f>C601/SUM($C$5:$C$2477)</x:f>
        <x:v>0.00038350678936701683</x:v>
      </x:c>
      <x:c r="E601" s="15" t="n">
        <x:f>SUM($D$5:D601)</x:f>
        <x:v>0.8709258380553915</x:v>
      </x:c>
      <x:c r="F601" s="1" t="str">
        <x:f>IF(C601&lt;=0,"C",IF(E601-D601&lt;'Дашборд'!$C$49,"A",IF(E601-D601&lt;'Дашборд'!$C$50,"B","C")))</x:f>
        <x:v>B</x:v>
      </x:c>
      <x:c r="G601" s="8" t="n">
        <x:f>'Данные'!F601</x:f>
        <x:v>769</x:v>
      </x:c>
      <x:c r="H601" s="8" t="n">
        <x:f>SUM('Данные'!H601:I601)</x:f>
        <x:v>95</x:v>
      </x:c>
      <x:c r="I601" s="16" t="n">
        <x:f>IF(H601&gt;0,G601/H601,"n.a.")</x:f>
        <x:v>8.094736842105263</x:v>
      </x:c>
      <x:c r="J601" s="10" t="n">
        <x:f>IF('Данные'!E601&gt;0,G601/'Данные'!E601,"n.a.")</x:f>
        <x:v>0.016110785217464174</x:v>
      </x:c>
      <x:c r="K601" s="1" t="str">
        <x:f>IF(G601&gt;='Дашборд'!$C$51,"X","Z")</x:f>
        <x:v>X</x:v>
      </x:c>
      <x:c r="L601" s="1" t="str">
        <x:f>IF(H601=0,IF(G601&gt;0,"Нет остатка","Нет спроса"),IF(I601&gt;='Дашборд'!$C$52,"Быстрый","Медленный"))</x:f>
        <x:v>Быстрый</x:v>
      </x:c>
      <x:c r="M601" s="1" t="str">
        <x:f>IF('Данные'!E601&lt;'Дашборд'!$C$53,"Мало трафика",IF(J601&lt;'Дашборд'!$C$9*'Дашборд'!$C$54,"Да","Нет"))</x:f>
        <x:v>Нет</x:v>
      </x:c>
      <x:c r="N601" s="1" t="str">
        <x:f>IF(AND('Данные'!D601&gt;='Дашборд'!$C$55,D601&lt;'Дашборд'!$C$56,'Данные'!E601&gt;='Дашборд'!$C$53,'Данные'!L601&lt;&gt;"Да"),"Да","Нет")</x:f>
        <x:v>Нет</x:v>
      </x:c>
      <x:c r="O601" s="1" t="str">
        <x:f>'Данные'!L601</x:f>
        <x:v>Нет</x:v>
      </x:c>
    </x:row>
    <x:row r="602">
      <x:c r="A602" s="1" t="str">
        <x:f>'Данные'!A602</x:f>
        <x:v>150674003</x:v>
      </x:c>
      <x:c r="B602" s="1" t="str">
        <x:f>'Данные'!B602</x:f>
        <x:v>svitshotover/кофейный</x:v>
      </x:c>
      <x:c r="C602" s="8" t="n">
        <x:f>'Данные'!G602</x:f>
        <x:v>327556</x:v>
      </x:c>
      <x:c r="D602" s="15" t="n">
        <x:f>C602/SUM($C$5:$C$2477)</x:f>
        <x:v>0.00038265865901238136</x:v>
      </x:c>
      <x:c r="E602" s="15" t="n">
        <x:f>SUM($D$5:D602)</x:f>
        <x:v>0.8713084967144039</x:v>
      </x:c>
      <x:c r="F602" s="1" t="str">
        <x:f>IF(C602&lt;=0,"C",IF(E602-D602&lt;'Дашборд'!$C$49,"A",IF(E602-D602&lt;'Дашборд'!$C$50,"B","C")))</x:f>
        <x:v>B</x:v>
      </x:c>
      <x:c r="G602" s="8" t="n">
        <x:f>'Данные'!F602</x:f>
        <x:v>547</x:v>
      </x:c>
      <x:c r="H602" s="8" t="n">
        <x:f>SUM('Данные'!H602:I602)</x:f>
        <x:v>1339</x:v>
      </x:c>
      <x:c r="I602" s="16" t="n">
        <x:f>IF(H602&gt;0,G602/H602,"n.a.")</x:f>
        <x:v>0.4085138162808066</x:v>
      </x:c>
      <x:c r="J602" s="10" t="n">
        <x:f>IF('Данные'!E602&gt;0,G602/'Данные'!E602,"n.a.")</x:f>
        <x:v>0.012113561874391</x:v>
      </x:c>
      <x:c r="K602" s="1" t="str">
        <x:f>IF(G602&gt;='Дашборд'!$C$51,"X","Z")</x:f>
        <x:v>X</x:v>
      </x:c>
      <x:c r="L602" s="1" t="str">
        <x:f>IF(H602=0,IF(G602&gt;0,"Нет остатка","Нет спроса"),IF(I602&gt;='Дашборд'!$C$52,"Быстрый","Медленный"))</x:f>
        <x:v>Медленный</x:v>
      </x:c>
      <x:c r="M602" s="1" t="str">
        <x:f>IF('Данные'!E602&lt;'Дашборд'!$C$53,"Мало трафика",IF(J602&lt;'Дашборд'!$C$9*'Дашборд'!$C$54,"Да","Нет"))</x:f>
        <x:v>Нет</x:v>
      </x:c>
      <x:c r="N602" s="1" t="str">
        <x:f>IF(AND('Данные'!D602&gt;='Дашборд'!$C$55,D602&lt;'Дашборд'!$C$56,'Данные'!E602&gt;='Дашборд'!$C$53,'Данные'!L602&lt;&gt;"Да"),"Да","Нет")</x:f>
        <x:v>Да</x:v>
      </x:c>
      <x:c r="O602" s="1" t="str">
        <x:f>'Данные'!L602</x:f>
        <x:v>Нет</x:v>
      </x:c>
    </x:row>
    <x:row r="603">
      <x:c r="A603" s="1" t="str">
        <x:f>'Данные'!A603</x:f>
        <x:v>175097411</x:v>
      </x:c>
      <x:c r="B603" s="1" t="str">
        <x:f>'Данные'!B603</x:f>
        <x:v>reglanman/хаки</x:v>
      </x:c>
      <x:c r="C603" s="8" t="n">
        <x:f>'Данные'!G603</x:f>
        <x:v>326494</x:v>
      </x:c>
      <x:c r="D603" s="15" t="n">
        <x:f>C603/SUM($C$5:$C$2477)</x:f>
        <x:v>0.0003814180055184104</x:v>
      </x:c>
      <x:c r="E603" s="15" t="n">
        <x:f>SUM($D$5:D603)</x:f>
        <x:v>0.8716899147199223</x:v>
      </x:c>
      <x:c r="F603" s="1" t="str">
        <x:f>IF(C603&lt;=0,"C",IF(E603-D603&lt;'Дашборд'!$C$49,"A",IF(E603-D603&lt;'Дашборд'!$C$50,"B","C")))</x:f>
        <x:v>B</x:v>
      </x:c>
      <x:c r="G603" s="8" t="n">
        <x:f>'Данные'!F603</x:f>
        <x:v>811</x:v>
      </x:c>
      <x:c r="H603" s="8" t="n">
        <x:f>SUM('Данные'!H603:I603)</x:f>
        <x:v>110</x:v>
      </x:c>
      <x:c r="I603" s="16" t="n">
        <x:f>IF(H603&gt;0,G603/H603,"n.a.")</x:f>
        <x:v>7.372727272727273</x:v>
      </x:c>
      <x:c r="J603" s="10" t="n">
        <x:f>IF('Данные'!E603&gt;0,G603/'Данные'!E603,"n.a.")</x:f>
        <x:v>0.02319595000429025</x:v>
      </x:c>
      <x:c r="K603" s="1" t="str">
        <x:f>IF(G603&gt;='Дашборд'!$C$51,"X","Z")</x:f>
        <x:v>X</x:v>
      </x:c>
      <x:c r="L603" s="1" t="str">
        <x:f>IF(H603=0,IF(G603&gt;0,"Нет остатка","Нет спроса"),IF(I603&gt;='Дашборд'!$C$52,"Быстрый","Медленный"))</x:f>
        <x:v>Быстрый</x:v>
      </x:c>
      <x:c r="M603" s="1" t="str">
        <x:f>IF('Данные'!E603&lt;'Дашборд'!$C$53,"Мало трафика",IF(J603&lt;'Дашборд'!$C$9*'Дашборд'!$C$54,"Да","Нет"))</x:f>
        <x:v>Нет</x:v>
      </x:c>
      <x:c r="N603" s="1" t="str">
        <x:f>IF(AND('Данные'!D603&gt;='Дашборд'!$C$55,D603&lt;'Дашборд'!$C$56,'Данные'!E603&gt;='Дашборд'!$C$53,'Данные'!L603&lt;&gt;"Да"),"Да","Нет")</x:f>
        <x:v>Нет</x:v>
      </x:c>
      <x:c r="O603" s="1" t="str">
        <x:f>'Данные'!L603</x:f>
        <x:v>Нет</x:v>
      </x:c>
    </x:row>
    <x:row r="604">
      <x:c r="A604" s="1" t="str">
        <x:f>'Данные'!A604</x:f>
        <x:v>210514816</x:v>
      </x:c>
      <x:c r="B604" s="1" t="str">
        <x:f>'Данные'!B604</x:f>
        <x:v>kostkulirkacrop/молочный</x:v>
      </x:c>
      <x:c r="C604" s="8" t="n">
        <x:f>'Данные'!G604</x:f>
        <x:v>326044</x:v>
      </x:c>
      <x:c r="D604" s="15" t="n">
        <x:f>C604/SUM($C$5:$C$2477)</x:f>
        <x:v>0.00038089230488537186</x:v>
      </x:c>
      <x:c r="E604" s="15" t="n">
        <x:f>SUM($D$5:D604)</x:f>
        <x:v>0.8720708070248077</x:v>
      </x:c>
      <x:c r="F604" s="1" t="str">
        <x:f>IF(C604&lt;=0,"C",IF(E604-D604&lt;'Дашборд'!$C$49,"A",IF(E604-D604&lt;'Дашборд'!$C$50,"B","C")))</x:f>
        <x:v>B</x:v>
      </x:c>
      <x:c r="G604" s="8" t="n">
        <x:f>'Данные'!F604</x:f>
        <x:v>641</x:v>
      </x:c>
      <x:c r="H604" s="8" t="n">
        <x:f>SUM('Данные'!H604:I604)</x:f>
        <x:v>3</x:v>
      </x:c>
      <x:c r="I604" s="16" t="n">
        <x:f>IF(H604&gt;0,G604/H604,"n.a.")</x:f>
        <x:v>213.66666666666666</x:v>
      </x:c>
      <x:c r="J604" s="10" t="n">
        <x:f>IF('Данные'!E604&gt;0,G604/'Данные'!E604,"n.a.")</x:f>
        <x:v>0.01130730829614211</x:v>
      </x:c>
      <x:c r="K604" s="1" t="str">
        <x:f>IF(G604&gt;='Дашборд'!$C$51,"X","Z")</x:f>
        <x:v>X</x:v>
      </x:c>
      <x:c r="L604" s="1" t="str">
        <x:f>IF(H604=0,IF(G604&gt;0,"Нет остатка","Нет спроса"),IF(I604&gt;='Дашборд'!$C$52,"Быстрый","Медленный"))</x:f>
        <x:v>Быстрый</x:v>
      </x:c>
      <x:c r="M604" s="1" t="str">
        <x:f>IF('Данные'!E604&lt;'Дашборд'!$C$53,"Мало трафика",IF(J604&lt;'Дашборд'!$C$9*'Дашборд'!$C$54,"Да","Нет"))</x:f>
        <x:v>Нет</x:v>
      </x:c>
      <x:c r="N604" s="1" t="str">
        <x:f>IF(AND('Данные'!D604&gt;='Дашборд'!$C$55,D604&lt;'Дашборд'!$C$56,'Данные'!E604&gt;='Дашборд'!$C$53,'Данные'!L604&lt;&gt;"Да"),"Да","Нет")</x:f>
        <x:v>Да</x:v>
      </x:c>
      <x:c r="O604" s="1" t="str">
        <x:f>'Данные'!L604</x:f>
        <x:v>Нет</x:v>
      </x:c>
    </x:row>
    <x:row r="605">
      <x:c r="A605" s="1" t="str">
        <x:f>'Данные'!A605</x:f>
        <x:v>289105827</x:v>
      </x:c>
      <x:c r="B605" s="1" t="str">
        <x:f>'Данные'!B605</x:f>
        <x:v>brukikarman3P-S-2/черный</x:v>
      </x:c>
      <x:c r="C605" s="8" t="n">
        <x:f>'Данные'!G605</x:f>
        <x:v>325651</x:v>
      </x:c>
      <x:c r="D605" s="15" t="n">
        <x:f>C605/SUM($C$5:$C$2477)</x:f>
        <x:v>0.00038043319299918484</x:v>
      </x:c>
      <x:c r="E605" s="15" t="n">
        <x:f>SUM($D$5:D605)</x:f>
        <x:v>0.8724512402178068</x:v>
      </x:c>
      <x:c r="F605" s="1" t="str">
        <x:f>IF(C605&lt;=0,"C",IF(E605-D605&lt;'Дашборд'!$C$49,"A",IF(E605-D605&lt;'Дашборд'!$C$50,"B","C")))</x:f>
        <x:v>B</x:v>
      </x:c>
      <x:c r="G605" s="8" t="n">
        <x:f>'Данные'!F605</x:f>
        <x:v>637</x:v>
      </x:c>
      <x:c r="H605" s="8" t="n">
        <x:f>SUM('Данные'!H605:I605)</x:f>
        <x:v>243</x:v>
      </x:c>
      <x:c r="I605" s="16" t="n">
        <x:f>IF(H605&gt;0,G605/H605,"n.a.")</x:f>
        <x:v>2.6213991769547325</x:v>
      </x:c>
      <x:c r="J605" s="10" t="n">
        <x:f>IF('Данные'!E605&gt;0,G605/'Данные'!E605,"n.a.")</x:f>
        <x:v>0.020156314273961334</x:v>
      </x:c>
      <x:c r="K605" s="1" t="str">
        <x:f>IF(G605&gt;='Дашборд'!$C$51,"X","Z")</x:f>
        <x:v>X</x:v>
      </x:c>
      <x:c r="L605" s="1" t="str">
        <x:f>IF(H605=0,IF(G605&gt;0,"Нет остатка","Нет спроса"),IF(I605&gt;='Дашборд'!$C$52,"Быстрый","Медленный"))</x:f>
        <x:v>Быстрый</x:v>
      </x:c>
      <x:c r="M605" s="1" t="str">
        <x:f>IF('Данные'!E605&lt;'Дашборд'!$C$53,"Мало трафика",IF(J605&lt;'Дашборд'!$C$9*'Дашборд'!$C$54,"Да","Нет"))</x:f>
        <x:v>Нет</x:v>
      </x:c>
      <x:c r="N605" s="1" t="str">
        <x:f>IF(AND('Данные'!D605&gt;='Дашборд'!$C$55,D605&lt;'Дашборд'!$C$56,'Данные'!E605&gt;='Дашборд'!$C$53,'Данные'!L605&lt;&gt;"Да"),"Да","Нет")</x:f>
        <x:v>Нет</x:v>
      </x:c>
      <x:c r="O605" s="1" t="str">
        <x:f>'Данные'!L605</x:f>
        <x:v>Нет</x:v>
      </x:c>
    </x:row>
    <x:row r="606">
      <x:c r="A606" s="1" t="str">
        <x:f>'Данные'!A606</x:f>
        <x:v>203015624</x:v>
      </x:c>
      <x:c r="B606" s="1" t="str">
        <x:f>'Данные'!B606</x:f>
        <x:v>Futbolkaprint/LoveNever-45/черный</x:v>
      </x:c>
      <x:c r="C606" s="8" t="n">
        <x:f>'Данные'!G606</x:f>
        <x:v>325384</x:v>
      </x:c>
      <x:c r="D606" s="15" t="n">
        <x:f>C606/SUM($C$5:$C$2477)</x:f>
        <x:v>0.0003801212772902487</x:v>
      </x:c>
      <x:c r="E606" s="15" t="n">
        <x:f>SUM($D$5:D606)</x:f>
        <x:v>0.8728313614950971</x:v>
      </x:c>
      <x:c r="F606" s="1" t="str">
        <x:f>IF(C606&lt;=0,"C",IF(E606-D606&lt;'Дашборд'!$C$49,"A",IF(E606-D606&lt;'Дашборд'!$C$50,"B","C")))</x:f>
        <x:v>B</x:v>
      </x:c>
      <x:c r="G606" s="8" t="n">
        <x:f>'Данные'!F606</x:f>
        <x:v>528</x:v>
      </x:c>
      <x:c r="H606" s="8" t="n">
        <x:f>SUM('Данные'!H606:I606)</x:f>
        <x:v>123</x:v>
      </x:c>
      <x:c r="I606" s="16" t="n">
        <x:f>IF(H606&gt;0,G606/H606,"n.a.")</x:f>
        <x:v>4.2926829268292686</x:v>
      </x:c>
      <x:c r="J606" s="10" t="n">
        <x:f>IF('Данные'!E606&gt;0,G606/'Данные'!E606,"n.a.")</x:f>
        <x:v>0.010998396067240195</x:v>
      </x:c>
      <x:c r="K606" s="1" t="str">
        <x:f>IF(G606&gt;='Дашборд'!$C$51,"X","Z")</x:f>
        <x:v>X</x:v>
      </x:c>
      <x:c r="L606" s="1" t="str">
        <x:f>IF(H606=0,IF(G606&gt;0,"Нет остатка","Нет спроса"),IF(I606&gt;='Дашборд'!$C$52,"Быстрый","Медленный"))</x:f>
        <x:v>Быстрый</x:v>
      </x:c>
      <x:c r="M606" s="1" t="str">
        <x:f>IF('Данные'!E606&lt;'Дашборд'!$C$53,"Мало трафика",IF(J606&lt;'Дашборд'!$C$9*'Дашборд'!$C$54,"Да","Нет"))</x:f>
        <x:v>Нет</x:v>
      </x:c>
      <x:c r="N606" s="1" t="str">
        <x:f>IF(AND('Данные'!D606&gt;='Дашборд'!$C$55,D606&lt;'Дашборд'!$C$56,'Данные'!E606&gt;='Дашборд'!$C$53,'Данные'!L606&lt;&gt;"Да"),"Да","Нет")</x:f>
        <x:v>Нет</x:v>
      </x:c>
      <x:c r="O606" s="1" t="str">
        <x:f>'Данные'!L606</x:f>
        <x:v>Нет</x:v>
      </x:c>
    </x:row>
    <x:row r="607">
      <x:c r="A607" s="1" t="str">
        <x:f>'Данные'!A607</x:f>
        <x:v>218974176</x:v>
      </x:c>
      <x:c r="B607" s="1" t="str">
        <x:f>'Данные'!B607</x:f>
        <x:v>topmayka/черный</x:v>
      </x:c>
      <x:c r="C607" s="8" t="n">
        <x:f>'Данные'!G607</x:f>
        <x:v>324407</x:v>
      </x:c>
      <x:c r="D607" s="15" t="n">
        <x:f>C607/SUM($C$5:$C$2477)</x:f>
        <x:v>0.00037897992280474054</x:v>
      </x:c>
      <x:c r="E607" s="15" t="n">
        <x:f>SUM($D$5:D607)</x:f>
        <x:v>0.8732103414179019</x:v>
      </x:c>
      <x:c r="F607" s="1" t="str">
        <x:f>IF(C607&lt;=0,"C",IF(E607-D607&lt;'Дашборд'!$C$49,"A",IF(E607-D607&lt;'Дашборд'!$C$50,"B","C")))</x:f>
        <x:v>B</x:v>
      </x:c>
      <x:c r="G607" s="8" t="n">
        <x:f>'Данные'!F607</x:f>
        <x:v>1248</x:v>
      </x:c>
      <x:c r="H607" s="8" t="n">
        <x:f>SUM('Данные'!H607:I607)</x:f>
        <x:v>955</x:v>
      </x:c>
      <x:c r="I607" s="16" t="n">
        <x:f>IF(H607&gt;0,G607/H607,"n.a.")</x:f>
        <x:v>1.306806282722513</x:v>
      </x:c>
      <x:c r="J607" s="10" t="n">
        <x:f>IF('Данные'!E607&gt;0,G607/'Данные'!E607,"n.a.")</x:f>
        <x:v>0.039293473127420424</x:v>
      </x:c>
      <x:c r="K607" s="1" t="str">
        <x:f>IF(G607&gt;='Дашборд'!$C$51,"X","Z")</x:f>
        <x:v>X</x:v>
      </x:c>
      <x:c r="L607" s="1" t="str">
        <x:f>IF(H607=0,IF(G607&gt;0,"Нет остатка","Нет спроса"),IF(I607&gt;='Дашборд'!$C$52,"Быстрый","Медленный"))</x:f>
        <x:v>Быстрый</x:v>
      </x:c>
      <x:c r="M607" s="1" t="str">
        <x:f>IF('Данные'!E607&lt;'Дашборд'!$C$53,"Мало трафика",IF(J607&lt;'Дашборд'!$C$9*'Дашборд'!$C$54,"Да","Нет"))</x:f>
        <x:v>Нет</x:v>
      </x:c>
      <x:c r="N607" s="1" t="str">
        <x:f>IF(AND('Данные'!D607&gt;='Дашборд'!$C$55,D607&lt;'Дашборд'!$C$56,'Данные'!E607&gt;='Дашборд'!$C$53,'Данные'!L607&lt;&gt;"Да"),"Да","Нет")</x:f>
        <x:v>Да</x:v>
      </x:c>
      <x:c r="O607" s="1" t="str">
        <x:f>'Данные'!L607</x:f>
        <x:v>Нет</x:v>
      </x:c>
    </x:row>
    <x:row r="608">
      <x:c r="A608" s="1" t="str">
        <x:f>'Данные'!A608</x:f>
        <x:v>271716376</x:v>
      </x:c>
      <x:c r="B608" s="1" t="str">
        <x:f>'Данные'!B608</x:f>
        <x:v>hudiman/вареныйсерый</x:v>
      </x:c>
      <x:c r="C608" s="8" t="n">
        <x:f>'Данные'!G608</x:f>
        <x:v>322085</x:v>
      </x:c>
      <x:c r="D608" s="15" t="n">
        <x:f>C608/SUM($C$5:$C$2477)</x:f>
        <x:v>0.0003762673075382617</x:v>
      </x:c>
      <x:c r="E608" s="15" t="n">
        <x:f>SUM($D$5:D608)</x:f>
        <x:v>0.8735866087254401</x:v>
      </x:c>
      <x:c r="F608" s="1" t="str">
        <x:f>IF(C608&lt;=0,"C",IF(E608-D608&lt;'Дашборд'!$C$49,"A",IF(E608-D608&lt;'Дашборд'!$C$50,"B","C")))</x:f>
        <x:v>B</x:v>
      </x:c>
      <x:c r="G608" s="8" t="n">
        <x:f>'Данные'!F608</x:f>
        <x:v>278</x:v>
      </x:c>
      <x:c r="H608" s="8" t="n">
        <x:f>SUM('Данные'!H608:I608)</x:f>
        <x:v>504</x:v>
      </x:c>
      <x:c r="I608" s="16" t="n">
        <x:f>IF(H608&gt;0,G608/H608,"n.a.")</x:f>
        <x:v>0.5515873015873016</x:v>
      </x:c>
      <x:c r="J608" s="10" t="n">
        <x:f>IF('Данные'!E608&gt;0,G608/'Данные'!E608,"n.a.")</x:f>
        <x:v>0.016943987322484304</x:v>
      </x:c>
      <x:c r="K608" s="1" t="str">
        <x:f>IF(G608&gt;='Дашборд'!$C$51,"X","Z")</x:f>
        <x:v>X</x:v>
      </x:c>
      <x:c r="L608" s="1" t="str">
        <x:f>IF(H608=0,IF(G608&gt;0,"Нет остатка","Нет спроса"),IF(I608&gt;='Дашборд'!$C$52,"Быстрый","Медленный"))</x:f>
        <x:v>Медленный</x:v>
      </x:c>
      <x:c r="M608" s="1" t="str">
        <x:f>IF('Данные'!E608&lt;'Дашборд'!$C$53,"Мало трафика",IF(J608&lt;'Дашборд'!$C$9*'Дашборд'!$C$54,"Да","Нет"))</x:f>
        <x:v>Нет</x:v>
      </x:c>
      <x:c r="N608" s="1" t="str">
        <x:f>IF(AND('Данные'!D608&gt;='Дашборд'!$C$55,D608&lt;'Дашборд'!$C$56,'Данные'!E608&gt;='Дашборд'!$C$53,'Данные'!L608&lt;&gt;"Да"),"Да","Нет")</x:f>
        <x:v>Да</x:v>
      </x:c>
      <x:c r="O608" s="1" t="str">
        <x:f>'Данные'!L608</x:f>
        <x:v>Нет</x:v>
      </x:c>
    </x:row>
    <x:row r="609">
      <x:c r="A609" s="1" t="str">
        <x:f>'Данные'!A609</x:f>
        <x:v>293298455</x:v>
      </x:c>
      <x:c r="B609" s="1" t="str">
        <x:f>'Данные'!B609</x:f>
        <x:v>2Nlongman4D-69/темно-синий</x:v>
      </x:c>
      <x:c r="C609" s="8" t="n">
        <x:f>'Данные'!G609</x:f>
        <x:v>321988</x:v>
      </x:c>
      <x:c r="D609" s="15" t="n">
        <x:f>C609/SUM($C$5:$C$2477)</x:f>
        <x:v>0.00037615398984625114</x:v>
      </x:c>
      <x:c r="E609" s="15" t="n">
        <x:f>SUM($D$5:D609)</x:f>
        <x:v>0.8739627627152864</x:v>
      </x:c>
      <x:c r="F609" s="1" t="str">
        <x:f>IF(C609&lt;=0,"C",IF(E609-D609&lt;'Дашборд'!$C$49,"A",IF(E609-D609&lt;'Дашборд'!$C$50,"B","C")))</x:f>
        <x:v>B</x:v>
      </x:c>
      <x:c r="G609" s="8" t="n">
        <x:f>'Данные'!F609</x:f>
        <x:v>545</x:v>
      </x:c>
      <x:c r="H609" s="8" t="n">
        <x:f>SUM('Данные'!H609:I609)</x:f>
        <x:v>0</x:v>
      </x:c>
      <x:c r="I609" s="16" t="str">
        <x:f>IF(H609&gt;0,G609/H609,"n.a.")</x:f>
        <x:v>n.a.</x:v>
      </x:c>
      <x:c r="J609" s="10" t="n">
        <x:f>IF('Данные'!E609&gt;0,G609/'Данные'!E609,"n.a.")</x:f>
        <x:v>0.030039133550129528</x:v>
      </x:c>
      <x:c r="K609" s="1" t="str">
        <x:f>IF(G609&gt;='Дашборд'!$C$51,"X","Z")</x:f>
        <x:v>X</x:v>
      </x:c>
      <x:c r="L609" s="1" t="str">
        <x:f>IF(H609=0,IF(G609&gt;0,"Нет остатка","Нет спроса"),IF(I609&gt;='Дашборд'!$C$52,"Быстрый","Медленный"))</x:f>
        <x:v>Нет остатка</x:v>
      </x:c>
      <x:c r="M609" s="1" t="str">
        <x:f>IF('Данные'!E609&lt;'Дашборд'!$C$53,"Мало трафика",IF(J609&lt;'Дашборд'!$C$9*'Дашборд'!$C$54,"Да","Нет"))</x:f>
        <x:v>Нет</x:v>
      </x:c>
      <x:c r="N609" s="1" t="str">
        <x:f>IF(AND('Данные'!D609&gt;='Дашборд'!$C$55,D609&lt;'Дашборд'!$C$56,'Данные'!E609&gt;='Дашборд'!$C$53,'Данные'!L609&lt;&gt;"Да"),"Да","Нет")</x:f>
        <x:v>Да</x:v>
      </x:c>
      <x:c r="O609" s="1" t="str">
        <x:f>'Данные'!L609</x:f>
        <x:v>Нет</x:v>
      </x:c>
    </x:row>
    <x:row r="610">
      <x:c r="A610" s="1" t="str">
        <x:f>'Данные'!A610</x:f>
        <x:v>348218033</x:v>
      </x:c>
      <x:c r="B610" s="1" t="str">
        <x:f>'Данные'!B610</x:f>
        <x:v>bodyskims/дымка</x:v>
      </x:c>
      <x:c r="C610" s="8" t="n">
        <x:f>'Данные'!G610</x:f>
        <x:v>320689</x:v>
      </x:c>
      <x:c r="D610" s="15" t="n">
        <x:f>C610/SUM($C$5:$C$2477)</x:f>
        <x:v>0.0003746364673522132</x:v>
      </x:c>
      <x:c r="E610" s="15" t="n">
        <x:f>SUM($D$5:D610)</x:f>
        <x:v>0.8743373991826386</x:v>
      </x:c>
      <x:c r="F610" s="1" t="str">
        <x:f>IF(C610&lt;=0,"C",IF(E610-D610&lt;'Дашборд'!$C$49,"A",IF(E610-D610&lt;'Дашборд'!$C$50,"B","C")))</x:f>
        <x:v>B</x:v>
      </x:c>
      <x:c r="G610" s="8" t="n">
        <x:f>'Данные'!F610</x:f>
        <x:v>607</x:v>
      </x:c>
      <x:c r="H610" s="8" t="n">
        <x:f>SUM('Данные'!H610:I610)</x:f>
        <x:v>235</x:v>
      </x:c>
      <x:c r="I610" s="16" t="n">
        <x:f>IF(H610&gt;0,G610/H610,"n.a.")</x:f>
        <x:v>2.5829787234042554</x:v>
      </x:c>
      <x:c r="J610" s="10" t="n">
        <x:f>IF('Данные'!E610&gt;0,G610/'Данные'!E610,"n.a.")</x:f>
        <x:v>0.016975222327870687</x:v>
      </x:c>
      <x:c r="K610" s="1" t="str">
        <x:f>IF(G610&gt;='Дашборд'!$C$51,"X","Z")</x:f>
        <x:v>X</x:v>
      </x:c>
      <x:c r="L610" s="1" t="str">
        <x:f>IF(H610=0,IF(G610&gt;0,"Нет остатка","Нет спроса"),IF(I610&gt;='Дашборд'!$C$52,"Быстрый","Медленный"))</x:f>
        <x:v>Быстрый</x:v>
      </x:c>
      <x:c r="M610" s="1" t="str">
        <x:f>IF('Данные'!E610&lt;'Дашборд'!$C$53,"Мало трафика",IF(J610&lt;'Дашборд'!$C$9*'Дашборд'!$C$54,"Да","Нет"))</x:f>
        <x:v>Нет</x:v>
      </x:c>
      <x:c r="N610" s="1" t="str">
        <x:f>IF(AND('Данные'!D610&gt;='Дашборд'!$C$55,D610&lt;'Дашборд'!$C$56,'Данные'!E610&gt;='Дашборд'!$C$53,'Данные'!L610&lt;&gt;"Да"),"Да","Нет")</x:f>
        <x:v>Нет</x:v>
      </x:c>
      <x:c r="O610" s="1" t="str">
        <x:f>'Данные'!L610</x:f>
        <x:v>Нет</x:v>
      </x:c>
    </x:row>
    <x:row r="611">
      <x:c r="A611" s="1" t="str">
        <x:f>'Данные'!A611</x:f>
        <x:v>320423130</x:v>
      </x:c>
      <x:c r="B611" s="1" t="str">
        <x:f>'Данные'!B611</x:f>
        <x:v>shtanyfix/молочный</x:v>
      </x:c>
      <x:c r="C611" s="8" t="n">
        <x:f>'Данные'!G611</x:f>
        <x:v>319604</x:v>
      </x:c>
      <x:c r="D611" s="15" t="n">
        <x:f>C611/SUM($C$5:$C$2477)</x:f>
        <x:v>0.00037336894471477587</x:v>
      </x:c>
      <x:c r="E611" s="15" t="n">
        <x:f>SUM($D$5:D611)</x:f>
        <x:v>0.8747107681273534</x:v>
      </x:c>
      <x:c r="F611" s="1" t="str">
        <x:f>IF(C611&lt;=0,"C",IF(E611-D611&lt;'Дашборд'!$C$49,"A",IF(E611-D611&lt;'Дашборд'!$C$50,"B","C")))</x:f>
        <x:v>B</x:v>
      </x:c>
      <x:c r="G611" s="8" t="n">
        <x:f>'Данные'!F611</x:f>
        <x:v>523</x:v>
      </x:c>
      <x:c r="H611" s="8" t="n">
        <x:f>SUM('Данные'!H611:I611)</x:f>
        <x:v>7</x:v>
      </x:c>
      <x:c r="I611" s="16" t="n">
        <x:f>IF(H611&gt;0,G611/H611,"n.a.")</x:f>
        <x:v>74.71428571428571</x:v>
      </x:c>
      <x:c r="J611" s="10" t="n">
        <x:f>IF('Данные'!E611&gt;0,G611/'Данные'!E611,"n.a.")</x:f>
        <x:v>0.015139234643663521</x:v>
      </x:c>
      <x:c r="K611" s="1" t="str">
        <x:f>IF(G611&gt;='Дашборд'!$C$51,"X","Z")</x:f>
        <x:v>X</x:v>
      </x:c>
      <x:c r="L611" s="1" t="str">
        <x:f>IF(H611=0,IF(G611&gt;0,"Нет остатка","Нет спроса"),IF(I611&gt;='Дашборд'!$C$52,"Быстрый","Медленный"))</x:f>
        <x:v>Быстрый</x:v>
      </x:c>
      <x:c r="M611" s="1" t="str">
        <x:f>IF('Данные'!E611&lt;'Дашборд'!$C$53,"Мало трафика",IF(J611&lt;'Дашборд'!$C$9*'Дашборд'!$C$54,"Да","Нет"))</x:f>
        <x:v>Нет</x:v>
      </x:c>
      <x:c r="N611" s="1" t="str">
        <x:f>IF(AND('Данные'!D611&gt;='Дашборд'!$C$55,D611&lt;'Дашборд'!$C$56,'Данные'!E611&gt;='Дашборд'!$C$53,'Данные'!L611&lt;&gt;"Да"),"Да","Нет")</x:f>
        <x:v>Нет</x:v>
      </x:c>
      <x:c r="O611" s="1" t="str">
        <x:f>'Данные'!L611</x:f>
        <x:v>Нет</x:v>
      </x:c>
    </x:row>
    <x:row r="612">
      <x:c r="A612" s="1" t="str">
        <x:f>'Данные'!A612</x:f>
        <x:v>203015617</x:v>
      </x:c>
      <x:c r="B612" s="1" t="str">
        <x:f>'Данные'!B612</x:f>
        <x:v>Futbolkaprint/LoveNever-45/дымка</x:v>
      </x:c>
      <x:c r="C612" s="8" t="n">
        <x:f>'Данные'!G612</x:f>
        <x:v>318965</x:v>
      </x:c>
      <x:c r="D612" s="15" t="n">
        <x:f>C612/SUM($C$5:$C$2477)</x:f>
        <x:v>0.0003726224498158611</x:v>
      </x:c>
      <x:c r="E612" s="15" t="n">
        <x:f>SUM($D$5:D612)</x:f>
        <x:v>0.8750833905771692</x:v>
      </x:c>
      <x:c r="F612" s="1" t="str">
        <x:f>IF(C612&lt;=0,"C",IF(E612-D612&lt;'Дашборд'!$C$49,"A",IF(E612-D612&lt;'Дашборд'!$C$50,"B","C")))</x:f>
        <x:v>B</x:v>
      </x:c>
      <x:c r="G612" s="8" t="n">
        <x:f>'Данные'!F612</x:f>
        <x:v>585</x:v>
      </x:c>
      <x:c r="H612" s="8" t="n">
        <x:f>SUM('Данные'!H612:I612)</x:f>
        <x:v>333</x:v>
      </x:c>
      <x:c r="I612" s="16" t="n">
        <x:f>IF(H612&gt;0,G612/H612,"n.a.")</x:f>
        <x:v>1.7567567567567568</x:v>
      </x:c>
      <x:c r="J612" s="10" t="n">
        <x:f>IF('Данные'!E612&gt;0,G612/'Данные'!E612,"n.a.")</x:f>
        <x:v>0.00855188141391106</x:v>
      </x:c>
      <x:c r="K612" s="1" t="str">
        <x:f>IF(G612&gt;='Дашборд'!$C$51,"X","Z")</x:f>
        <x:v>X</x:v>
      </x:c>
      <x:c r="L612" s="1" t="str">
        <x:f>IF(H612=0,IF(G612&gt;0,"Нет остатка","Нет спроса"),IF(I612&gt;='Дашборд'!$C$52,"Быстрый","Медленный"))</x:f>
        <x:v>Быстрый</x:v>
      </x:c>
      <x:c r="M612" s="1" t="str">
        <x:f>IF('Данные'!E612&lt;'Дашборд'!$C$53,"Мало трафика",IF(J612&lt;'Дашборд'!$C$9*'Дашборд'!$C$54,"Да","Нет"))</x:f>
        <x:v>Да</x:v>
      </x:c>
      <x:c r="N612" s="1" t="str">
        <x:f>IF(AND('Данные'!D612&gt;='Дашборд'!$C$55,D612&lt;'Дашборд'!$C$56,'Данные'!E612&gt;='Дашборд'!$C$53,'Данные'!L612&lt;&gt;"Да"),"Да","Нет")</x:f>
        <x:v>Нет</x:v>
      </x:c>
      <x:c r="O612" s="1" t="str">
        <x:f>'Данные'!L612</x:f>
        <x:v>Нет</x:v>
      </x:c>
    </x:row>
    <x:row r="613">
      <x:c r="A613" s="1" t="str">
        <x:f>'Данные'!A613</x:f>
        <x:v>19178218</x:v>
      </x:c>
      <x:c r="B613" s="1" t="str">
        <x:f>'Данные'!B613</x:f>
        <x:v>bruki/песочный</x:v>
      </x:c>
      <x:c r="C613" s="8" t="n">
        <x:f>'Данные'!G613</x:f>
        <x:v>317723</x:v>
      </x:c>
      <x:c r="D613" s="15" t="n">
        <x:f>C613/SUM($C$5:$C$2477)</x:f>
        <x:v>0.0003711715160686748</x:v>
      </x:c>
      <x:c r="E613" s="15" t="n">
        <x:f>SUM($D$5:D613)</x:f>
        <x:v>0.8754545620932379</x:v>
      </x:c>
      <x:c r="F613" s="1" t="str">
        <x:f>IF(C613&lt;=0,"C",IF(E613-D613&lt;'Дашборд'!$C$49,"A",IF(E613-D613&lt;'Дашборд'!$C$50,"B","C")))</x:f>
        <x:v>B</x:v>
      </x:c>
      <x:c r="G613" s="8" t="n">
        <x:f>'Данные'!F613</x:f>
        <x:v>513</x:v>
      </x:c>
      <x:c r="H613" s="8" t="n">
        <x:f>SUM('Данные'!H613:I613)</x:f>
        <x:v>321</x:v>
      </x:c>
      <x:c r="I613" s="16" t="n">
        <x:f>IF(H613&gt;0,G613/H613,"n.a.")</x:f>
        <x:v>1.5981308411214954</x:v>
      </x:c>
      <x:c r="J613" s="10" t="n">
        <x:f>IF('Данные'!E613&gt;0,G613/'Данные'!E613,"n.a.")</x:f>
        <x:v>0.028441536840938073</x:v>
      </x:c>
      <x:c r="K613" s="1" t="str">
        <x:f>IF(G613&gt;='Дашборд'!$C$51,"X","Z")</x:f>
        <x:v>X</x:v>
      </x:c>
      <x:c r="L613" s="1" t="str">
        <x:f>IF(H613=0,IF(G613&gt;0,"Нет остатка","Нет спроса"),IF(I613&gt;='Дашборд'!$C$52,"Быстрый","Медленный"))</x:f>
        <x:v>Быстрый</x:v>
      </x:c>
      <x:c r="M613" s="1" t="str">
        <x:f>IF('Данные'!E613&lt;'Дашборд'!$C$53,"Мало трафика",IF(J613&lt;'Дашборд'!$C$9*'Дашборд'!$C$54,"Да","Нет"))</x:f>
        <x:v>Нет</x:v>
      </x:c>
      <x:c r="N613" s="1" t="str">
        <x:f>IF(AND('Данные'!D613&gt;='Дашборд'!$C$55,D613&lt;'Дашборд'!$C$56,'Данные'!E613&gt;='Дашборд'!$C$53,'Данные'!L613&lt;&gt;"Да"),"Да","Нет")</x:f>
        <x:v>Нет</x:v>
      </x:c>
      <x:c r="O613" s="1" t="str">
        <x:f>'Данные'!L613</x:f>
        <x:v>Нет</x:v>
      </x:c>
    </x:row>
    <x:row r="614">
      <x:c r="A614" s="1" t="str">
        <x:f>'Данные'!A614</x:f>
        <x:v>336303915</x:v>
      </x:c>
      <x:c r="B614" s="1" t="str">
        <x:f>'Данные'!B614</x:f>
        <x:v>futbolka_mary/какао</x:v>
      </x:c>
      <x:c r="C614" s="8" t="n">
        <x:f>'Данные'!G614</x:f>
        <x:v>317226</x:v>
      </x:c>
      <x:c r="D614" s="15" t="n">
        <x:f>C614/SUM($C$5:$C$2477)</x:f>
        <x:v>0.00037059090892507443</x:v>
      </x:c>
      <x:c r="E614" s="15" t="n">
        <x:f>SUM($D$5:D614)</x:f>
        <x:v>0.875825153002163</x:v>
      </x:c>
      <x:c r="F614" s="1" t="str">
        <x:f>IF(C614&lt;=0,"C",IF(E614-D614&lt;'Дашборд'!$C$49,"A",IF(E614-D614&lt;'Дашборд'!$C$50,"B","C")))</x:f>
        <x:v>B</x:v>
      </x:c>
      <x:c r="G614" s="8" t="n">
        <x:f>'Данные'!F614</x:f>
        <x:v>906</x:v>
      </x:c>
      <x:c r="H614" s="8" t="n">
        <x:f>SUM('Данные'!H614:I614)</x:f>
        <x:v>129</x:v>
      </x:c>
      <x:c r="I614" s="16" t="n">
        <x:f>IF(H614&gt;0,G614/H614,"n.a.")</x:f>
        <x:v>7.023255813953488</x:v>
      </x:c>
      <x:c r="J614" s="10" t="n">
        <x:f>IF('Данные'!E614&gt;0,G614/'Данные'!E614,"n.a.")</x:f>
        <x:v>0.014669214079854926</x:v>
      </x:c>
      <x:c r="K614" s="1" t="str">
        <x:f>IF(G614&gt;='Дашборд'!$C$51,"X","Z")</x:f>
        <x:v>X</x:v>
      </x:c>
      <x:c r="L614" s="1" t="str">
        <x:f>IF(H614=0,IF(G614&gt;0,"Нет остатка","Нет спроса"),IF(I614&gt;='Дашборд'!$C$52,"Быстрый","Медленный"))</x:f>
        <x:v>Быстрый</x:v>
      </x:c>
      <x:c r="M614" s="1" t="str">
        <x:f>IF('Данные'!E614&lt;'Дашборд'!$C$53,"Мало трафика",IF(J614&lt;'Дашборд'!$C$9*'Дашборд'!$C$54,"Да","Нет"))</x:f>
        <x:v>Нет</x:v>
      </x:c>
      <x:c r="N614" s="1" t="str">
        <x:f>IF(AND('Данные'!D614&gt;='Дашборд'!$C$55,D614&lt;'Дашборд'!$C$56,'Данные'!E614&gt;='Дашборд'!$C$53,'Данные'!L614&lt;&gt;"Да"),"Да","Нет")</x:f>
        <x:v>Нет</x:v>
      </x:c>
      <x:c r="O614" s="1" t="str">
        <x:f>'Данные'!L614</x:f>
        <x:v>Нет</x:v>
      </x:c>
    </x:row>
    <x:row r="615">
      <x:c r="A615" s="1" t="str">
        <x:f>'Данные'!A615</x:f>
        <x:v>134296059</x:v>
      </x:c>
      <x:c r="B615" s="1" t="str">
        <x:f>'Данные'!B615</x:f>
        <x:v>hudiman/голубой</x:v>
      </x:c>
      <x:c r="C615" s="8" t="n">
        <x:f>'Данные'!G615</x:f>
        <x:v>316955</x:v>
      </x:c>
      <x:c r="D615" s="15" t="n">
        <x:f>C615/SUM($C$5:$C$2477)</x:f>
        <x:v>0.00037027432032162233</x:v>
      </x:c>
      <x:c r="E615" s="15" t="n">
        <x:f>SUM($D$5:D615)</x:f>
        <x:v>0.8761954273224847</x:v>
      </x:c>
      <x:c r="F615" s="1" t="str">
        <x:f>IF(C615&lt;=0,"C",IF(E615-D615&lt;'Дашборд'!$C$49,"A",IF(E615-D615&lt;'Дашборд'!$C$50,"B","C")))</x:f>
        <x:v>B</x:v>
      </x:c>
      <x:c r="G615" s="8" t="n">
        <x:f>'Данные'!F615</x:f>
        <x:v>268</x:v>
      </x:c>
      <x:c r="H615" s="8" t="n">
        <x:f>SUM('Данные'!H615:I615)</x:f>
        <x:v>0</x:v>
      </x:c>
      <x:c r="I615" s="16" t="str">
        <x:f>IF(H615&gt;0,G615/H615,"n.a.")</x:f>
        <x:v>n.a.</x:v>
      </x:c>
      <x:c r="J615" s="10" t="n">
        <x:f>IF('Данные'!E615&gt;0,G615/'Данные'!E615,"n.a.")</x:f>
        <x:v>0.0318895763921942</x:v>
      </x:c>
      <x:c r="K615" s="1" t="str">
        <x:f>IF(G615&gt;='Дашборд'!$C$51,"X","Z")</x:f>
        <x:v>Z</x:v>
      </x:c>
      <x:c r="L615" s="1" t="str">
        <x:f>IF(H615=0,IF(G615&gt;0,"Нет остатка","Нет спроса"),IF(I615&gt;='Дашборд'!$C$52,"Быстрый","Медленный"))</x:f>
        <x:v>Нет остатка</x:v>
      </x:c>
      <x:c r="M615" s="1" t="str">
        <x:f>IF('Данные'!E615&lt;'Дашборд'!$C$53,"Мало трафика",IF(J615&lt;'Дашборд'!$C$9*'Дашборд'!$C$54,"Да","Нет"))</x:f>
        <x:v>Нет</x:v>
      </x:c>
      <x:c r="N615" s="1" t="str">
        <x:f>IF(AND('Данные'!D615&gt;='Дашборд'!$C$55,D615&lt;'Дашборд'!$C$56,'Данные'!E615&gt;='Дашборд'!$C$53,'Данные'!L615&lt;&gt;"Да"),"Да","Нет")</x:f>
        <x:v>Да</x:v>
      </x:c>
      <x:c r="O615" s="1" t="str">
        <x:f>'Данные'!L615</x:f>
        <x:v>Нет</x:v>
      </x:c>
    </x:row>
    <x:row r="616">
      <x:c r="A616" s="1" t="str">
        <x:f>'Данные'!A616</x:f>
        <x:v>340611091</x:v>
      </x:c>
      <x:c r="B616" s="1" t="str">
        <x:f>'Данные'!B616</x:f>
        <x:v>baza/графит</x:v>
      </x:c>
      <x:c r="C616" s="8" t="n">
        <x:f>'Данные'!G616</x:f>
        <x:v>314752</x:v>
      </x:c>
      <x:c r="D616" s="15" t="n">
        <x:f>C616/SUM($C$5:$C$2477)</x:f>
        <x:v>0.00036770072366699145</x:v>
      </x:c>
      <x:c r="E616" s="15" t="n">
        <x:f>SUM($D$5:D616)</x:f>
        <x:v>0.8765631280461517</x:v>
      </x:c>
      <x:c r="F616" s="1" t="str">
        <x:f>IF(C616&lt;=0,"C",IF(E616-D616&lt;'Дашборд'!$C$49,"A",IF(E616-D616&lt;'Дашборд'!$C$50,"B","C")))</x:f>
        <x:v>B</x:v>
      </x:c>
      <x:c r="G616" s="8" t="n">
        <x:f>'Данные'!F616</x:f>
        <x:v>791</x:v>
      </x:c>
      <x:c r="H616" s="8" t="n">
        <x:f>SUM('Данные'!H616:I616)</x:f>
        <x:v>21</x:v>
      </x:c>
      <x:c r="I616" s="16" t="n">
        <x:f>IF(H616&gt;0,G616/H616,"n.a.")</x:f>
        <x:v>37.666666666666664</x:v>
      </x:c>
      <x:c r="J616" s="10" t="n">
        <x:f>IF('Данные'!E616&gt;0,G616/'Данные'!E616,"n.a.")</x:f>
        <x:v>0.01831824181931868</x:v>
      </x:c>
      <x:c r="K616" s="1" t="str">
        <x:f>IF(G616&gt;='Дашборд'!$C$51,"X","Z")</x:f>
        <x:v>X</x:v>
      </x:c>
      <x:c r="L616" s="1" t="str">
        <x:f>IF(H616=0,IF(G616&gt;0,"Нет остатка","Нет спроса"),IF(I616&gt;='Дашборд'!$C$52,"Быстрый","Медленный"))</x:f>
        <x:v>Быстрый</x:v>
      </x:c>
      <x:c r="M616" s="1" t="str">
        <x:f>IF('Данные'!E616&lt;'Дашборд'!$C$53,"Мало трафика",IF(J616&lt;'Дашборд'!$C$9*'Дашборд'!$C$54,"Да","Нет"))</x:f>
        <x:v>Нет</x:v>
      </x:c>
      <x:c r="N616" s="1" t="str">
        <x:f>IF(AND('Данные'!D616&gt;='Дашборд'!$C$55,D616&lt;'Дашборд'!$C$56,'Данные'!E616&gt;='Дашборд'!$C$53,'Данные'!L616&lt;&gt;"Да"),"Да","Нет")</x:f>
        <x:v>Нет</x:v>
      </x:c>
      <x:c r="O616" s="1" t="str">
        <x:f>'Данные'!L616</x:f>
        <x:v>Нет</x:v>
      </x:c>
    </x:row>
    <x:row r="617">
      <x:c r="A617" s="1" t="str">
        <x:f>'Данные'!A617</x:f>
        <x:v>271383075</x:v>
      </x:c>
      <x:c r="B617" s="1" t="str">
        <x:f>'Данные'!B617</x:f>
        <x:v>shtanyfix/темно-серый</x:v>
      </x:c>
      <x:c r="C617" s="8" t="n">
        <x:f>'Данные'!G617</x:f>
        <x:v>314733</x:v>
      </x:c>
      <x:c r="D617" s="15" t="n">
        <x:f>C617/SUM($C$5:$C$2477)</x:f>
        <x:v>0.0003676785274180409</x:v>
      </x:c>
      <x:c r="E617" s="15" t="n">
        <x:f>SUM($D$5:D617)</x:f>
        <x:v>0.8769308065735697</x:v>
      </x:c>
      <x:c r="F617" s="1" t="str">
        <x:f>IF(C617&lt;=0,"C",IF(E617-D617&lt;'Дашборд'!$C$49,"A",IF(E617-D617&lt;'Дашборд'!$C$50,"B","C")))</x:f>
        <x:v>B</x:v>
      </x:c>
      <x:c r="G617" s="8" t="n">
        <x:f>'Данные'!F617</x:f>
        <x:v>428</x:v>
      </x:c>
      <x:c r="H617" s="8" t="n">
        <x:f>SUM('Данные'!H617:I617)</x:f>
        <x:v>210</x:v>
      </x:c>
      <x:c r="I617" s="16" t="n">
        <x:f>IF(H617&gt;0,G617/H617,"n.a.")</x:f>
        <x:v>2.038095238095238</x:v>
      </x:c>
      <x:c r="J617" s="10" t="n">
        <x:f>IF('Данные'!E617&gt;0,G617/'Данные'!E617,"n.a.")</x:f>
        <x:v>0.01870220668560192</x:v>
      </x:c>
      <x:c r="K617" s="1" t="str">
        <x:f>IF(G617&gt;='Дашборд'!$C$51,"X","Z")</x:f>
        <x:v>X</x:v>
      </x:c>
      <x:c r="L617" s="1" t="str">
        <x:f>IF(H617=0,IF(G617&gt;0,"Нет остатка","Нет спроса"),IF(I617&gt;='Дашборд'!$C$52,"Быстрый","Медленный"))</x:f>
        <x:v>Быстрый</x:v>
      </x:c>
      <x:c r="M617" s="1" t="str">
        <x:f>IF('Данные'!E617&lt;'Дашборд'!$C$53,"Мало трафика",IF(J617&lt;'Дашборд'!$C$9*'Дашборд'!$C$54,"Да","Нет"))</x:f>
        <x:v>Нет</x:v>
      </x:c>
      <x:c r="N617" s="1" t="str">
        <x:f>IF(AND('Данные'!D617&gt;='Дашборд'!$C$55,D617&lt;'Дашборд'!$C$56,'Данные'!E617&gt;='Дашборд'!$C$53,'Данные'!L617&lt;&gt;"Да"),"Да","Нет")</x:f>
        <x:v>Нет</x:v>
      </x:c>
      <x:c r="O617" s="1" t="str">
        <x:f>'Данные'!L617</x:f>
        <x:v>Нет</x:v>
      </x:c>
    </x:row>
    <x:row r="618">
      <x:c r="A618" s="1" t="str">
        <x:f>'Данные'!A618</x:f>
        <x:v>332680050</x:v>
      </x:c>
      <x:c r="B618" s="1" t="str">
        <x:f>'Данные'!B618</x:f>
        <x:v>vshirt3K-99/черный</x:v>
      </x:c>
      <x:c r="C618" s="8" t="n">
        <x:f>'Данные'!G618</x:f>
        <x:v>311112</x:v>
      </x:c>
      <x:c r="D618" s="15" t="n">
        <x:f>C618/SUM($C$5:$C$2477)</x:f>
        <x:v>0.0003634483896575242</x:v>
      </x:c>
      <x:c r="E618" s="15" t="n">
        <x:f>SUM($D$5:D618)</x:f>
        <x:v>0.8772942549632272</x:v>
      </x:c>
      <x:c r="F618" s="1" t="str">
        <x:f>IF(C618&lt;=0,"C",IF(E618-D618&lt;'Дашборд'!$C$49,"A",IF(E618-D618&lt;'Дашборд'!$C$50,"B","C")))</x:f>
        <x:v>B</x:v>
      </x:c>
      <x:c r="G618" s="8" t="n">
        <x:f>'Данные'!F618</x:f>
        <x:v>862</x:v>
      </x:c>
      <x:c r="H618" s="8" t="n">
        <x:f>SUM('Данные'!H618:I618)</x:f>
        <x:v>4</x:v>
      </x:c>
      <x:c r="I618" s="16" t="n">
        <x:f>IF(H618&gt;0,G618/H618,"n.a.")</x:f>
        <x:v>215.5</x:v>
      </x:c>
      <x:c r="J618" s="10" t="n">
        <x:f>IF('Данные'!E618&gt;0,G618/'Данные'!E618,"n.a.")</x:f>
        <x:v>0.015539931494501532</x:v>
      </x:c>
      <x:c r="K618" s="1" t="str">
        <x:f>IF(G618&gt;='Дашборд'!$C$51,"X","Z")</x:f>
        <x:v>X</x:v>
      </x:c>
      <x:c r="L618" s="1" t="str">
        <x:f>IF(H618=0,IF(G618&gt;0,"Нет остатка","Нет спроса"),IF(I618&gt;='Дашборд'!$C$52,"Быстрый","Медленный"))</x:f>
        <x:v>Быстрый</x:v>
      </x:c>
      <x:c r="M618" s="1" t="str">
        <x:f>IF('Данные'!E618&lt;'Дашборд'!$C$53,"Мало трафика",IF(J618&lt;'Дашборд'!$C$9*'Дашборд'!$C$54,"Да","Нет"))</x:f>
        <x:v>Нет</x:v>
      </x:c>
      <x:c r="N618" s="1" t="str">
        <x:f>IF(AND('Данные'!D618&gt;='Дашборд'!$C$55,D618&lt;'Дашборд'!$C$56,'Данные'!E618&gt;='Дашборд'!$C$53,'Данные'!L618&lt;&gt;"Да"),"Да","Нет")</x:f>
        <x:v>Нет</x:v>
      </x:c>
      <x:c r="O618" s="1" t="str">
        <x:f>'Данные'!L618</x:f>
        <x:v>Нет</x:v>
      </x:c>
    </x:row>
    <x:row r="619">
      <x:c r="A619" s="1" t="str">
        <x:f>'Данные'!A619</x:f>
        <x:v>377595932</x:v>
      </x:c>
      <x:c r="B619" s="1" t="str">
        <x:f>'Данные'!B619</x:f>
        <x:v>tolstovkazip3P-70/бордовый</x:v>
      </x:c>
      <x:c r="C619" s="8" t="n">
        <x:f>'Данные'!G619</x:f>
        <x:v>310493</x:v>
      </x:c>
      <x:c r="D619" s="15" t="n">
        <x:f>C619/SUM($C$5:$C$2477)</x:f>
        <x:v>0.0003627252592311889</x:v>
      </x:c>
      <x:c r="E619" s="15" t="n">
        <x:f>SUM($D$5:D619)</x:f>
        <x:v>0.8776569802224584</x:v>
      </x:c>
      <x:c r="F619" s="1" t="str">
        <x:f>IF(C619&lt;=0,"C",IF(E619-D619&lt;'Дашборд'!$C$49,"A",IF(E619-D619&lt;'Дашборд'!$C$50,"B","C")))</x:f>
        <x:v>B</x:v>
      </x:c>
      <x:c r="G619" s="8" t="n">
        <x:f>'Данные'!F619</x:f>
        <x:v>384</x:v>
      </x:c>
      <x:c r="H619" s="8" t="n">
        <x:f>SUM('Данные'!H619:I619)</x:f>
        <x:v>25</x:v>
      </x:c>
      <x:c r="I619" s="16" t="n">
        <x:f>IF(H619&gt;0,G619/H619,"n.a.")</x:f>
        <x:v>15.36</x:v>
      </x:c>
      <x:c r="J619" s="10" t="n">
        <x:f>IF('Данные'!E619&gt;0,G619/'Данные'!E619,"n.a.")</x:f>
        <x:v>0.012952843553936451</x:v>
      </x:c>
      <x:c r="K619" s="1" t="str">
        <x:f>IF(G619&gt;='Дашборд'!$C$51,"X","Z")</x:f>
        <x:v>X</x:v>
      </x:c>
      <x:c r="L619" s="1" t="str">
        <x:f>IF(H619=0,IF(G619&gt;0,"Нет остатка","Нет спроса"),IF(I619&gt;='Дашборд'!$C$52,"Быстрый","Медленный"))</x:f>
        <x:v>Быстрый</x:v>
      </x:c>
      <x:c r="M619" s="1" t="str">
        <x:f>IF('Данные'!E619&lt;'Дашборд'!$C$53,"Мало трафика",IF(J619&lt;'Дашборд'!$C$9*'Дашборд'!$C$54,"Да","Нет"))</x:f>
        <x:v>Нет</x:v>
      </x:c>
      <x:c r="N619" s="1" t="str">
        <x:f>IF(AND('Данные'!D619&gt;='Дашборд'!$C$55,D619&lt;'Дашборд'!$C$56,'Данные'!E619&gt;='Дашборд'!$C$53,'Данные'!L619&lt;&gt;"Да"),"Да","Нет")</x:f>
        <x:v>Да</x:v>
      </x:c>
      <x:c r="O619" s="1" t="str">
        <x:f>'Данные'!L619</x:f>
        <x:v>Нет</x:v>
      </x:c>
    </x:row>
    <x:row r="620">
      <x:c r="A620" s="1" t="str">
        <x:f>'Данные'!A620</x:f>
        <x:v>317320228</x:v>
      </x:c>
      <x:c r="B620" s="1" t="str">
        <x:f>'Данные'!B620</x:f>
        <x:v>futbolkaprint/text-267/серыймеланж2</x:v>
      </x:c>
      <x:c r="C620" s="8" t="n">
        <x:f>'Данные'!G620</x:f>
        <x:v>307925</x:v>
      </x:c>
      <x:c r="D620" s="15" t="n">
        <x:f>C620/SUM($C$5:$C$2477)</x:f>
        <x:v>0.00035972526095198233</x:v>
      </x:c>
      <x:c r="E620" s="15" t="n">
        <x:f>SUM($D$5:D620)</x:f>
        <x:v>0.8780167054834104</x:v>
      </x:c>
      <x:c r="F620" s="1" t="str">
        <x:f>IF(C620&lt;=0,"C",IF(E620-D620&lt;'Дашборд'!$C$49,"A",IF(E620-D620&lt;'Дашборд'!$C$50,"B","C")))</x:f>
        <x:v>B</x:v>
      </x:c>
      <x:c r="G620" s="8" t="n">
        <x:f>'Данные'!F620</x:f>
        <x:v>484</x:v>
      </x:c>
      <x:c r="H620" s="8" t="n">
        <x:f>SUM('Данные'!H620:I620)</x:f>
        <x:v>0</x:v>
      </x:c>
      <x:c r="I620" s="16" t="str">
        <x:f>IF(H620&gt;0,G620/H620,"n.a.")</x:f>
        <x:v>n.a.</x:v>
      </x:c>
      <x:c r="J620" s="10" t="n">
        <x:f>IF('Данные'!E620&gt;0,G620/'Данные'!E620,"n.a.")</x:f>
        <x:v>0.01094849232022078</x:v>
      </x:c>
      <x:c r="K620" s="1" t="str">
        <x:f>IF(G620&gt;='Дашборд'!$C$51,"X","Z")</x:f>
        <x:v>X</x:v>
      </x:c>
      <x:c r="L620" s="1" t="str">
        <x:f>IF(H620=0,IF(G620&gt;0,"Нет остатка","Нет спроса"),IF(I620&gt;='Дашборд'!$C$52,"Быстрый","Медленный"))</x:f>
        <x:v>Нет остатка</x:v>
      </x:c>
      <x:c r="M620" s="1" t="str">
        <x:f>IF('Данные'!E620&lt;'Дашборд'!$C$53,"Мало трафика",IF(J620&lt;'Дашборд'!$C$9*'Дашборд'!$C$54,"Да","Нет"))</x:f>
        <x:v>Нет</x:v>
      </x:c>
      <x:c r="N620" s="1" t="str">
        <x:f>IF(AND('Данные'!D620&gt;='Дашборд'!$C$55,D620&lt;'Дашборд'!$C$56,'Данные'!E620&gt;='Дашборд'!$C$53,'Данные'!L620&lt;&gt;"Да"),"Да","Нет")</x:f>
        <x:v>Нет</x:v>
      </x:c>
      <x:c r="O620" s="1" t="str">
        <x:f>'Данные'!L620</x:f>
        <x:v>Нет</x:v>
      </x:c>
    </x:row>
    <x:row r="621">
      <x:c r="A621" s="1" t="str">
        <x:f>'Данные'!A621</x:f>
        <x:v>26237092</x:v>
      </x:c>
      <x:c r="B621" s="1" t="str">
        <x:f>'Данные'!B621</x:f>
        <x:v>futbolka_mary/дымка</x:v>
      </x:c>
      <x:c r="C621" s="8" t="n">
        <x:f>'Данные'!G621</x:f>
        <x:v>306288</x:v>
      </x:c>
      <x:c r="D621" s="15" t="n">
        <x:f>C621/SUM($C$5:$C$2477)</x:f>
        <x:v>0.000357812878871351</x:v>
      </x:c>
      <x:c r="E621" s="15" t="n">
        <x:f>SUM($D$5:D621)</x:f>
        <x:v>0.8783745183622818</x:v>
      </x:c>
      <x:c r="F621" s="1" t="str">
        <x:f>IF(C621&lt;=0,"C",IF(E621-D621&lt;'Дашборд'!$C$49,"A",IF(E621-D621&lt;'Дашборд'!$C$50,"B","C")))</x:f>
        <x:v>B</x:v>
      </x:c>
      <x:c r="G621" s="8" t="n">
        <x:f>'Данные'!F621</x:f>
        <x:v>849</x:v>
      </x:c>
      <x:c r="H621" s="8" t="n">
        <x:f>SUM('Данные'!H621:I621)</x:f>
        <x:v>17</x:v>
      </x:c>
      <x:c r="I621" s="16" t="n">
        <x:f>IF(H621&gt;0,G621/H621,"n.a.")</x:f>
        <x:v>49.94117647058823</x:v>
      </x:c>
      <x:c r="J621" s="10" t="n">
        <x:f>IF('Данные'!E621&gt;0,G621/'Данные'!E621,"n.a.")</x:f>
        <x:v>0.018487870737337223</x:v>
      </x:c>
      <x:c r="K621" s="1" t="str">
        <x:f>IF(G621&gt;='Дашборд'!$C$51,"X","Z")</x:f>
        <x:v>X</x:v>
      </x:c>
      <x:c r="L621" s="1" t="str">
        <x:f>IF(H621=0,IF(G621&gt;0,"Нет остатка","Нет спроса"),IF(I621&gt;='Дашборд'!$C$52,"Быстрый","Медленный"))</x:f>
        <x:v>Быстрый</x:v>
      </x:c>
      <x:c r="M621" s="1" t="str">
        <x:f>IF('Данные'!E621&lt;'Дашборд'!$C$53,"Мало трафика",IF(J621&lt;'Дашборд'!$C$9*'Дашборд'!$C$54,"Да","Нет"))</x:f>
        <x:v>Нет</x:v>
      </x:c>
      <x:c r="N621" s="1" t="str">
        <x:f>IF(AND('Данные'!D621&gt;='Дашборд'!$C$55,D621&lt;'Дашборд'!$C$56,'Данные'!E621&gt;='Дашборд'!$C$53,'Данные'!L621&lt;&gt;"Да"),"Да","Нет")</x:f>
        <x:v>Нет</x:v>
      </x:c>
      <x:c r="O621" s="1" t="str">
        <x:f>'Данные'!L621</x:f>
        <x:v>Нет</x:v>
      </x:c>
    </x:row>
    <x:row r="622">
      <x:c r="A622" s="1" t="str">
        <x:f>'Данные'!A622</x:f>
        <x:v>331723392</x:v>
      </x:c>
      <x:c r="B622" s="1" t="str">
        <x:f>'Данные'!B622</x:f>
        <x:v>futkryl3K-101/молочный</x:v>
      </x:c>
      <x:c r="C622" s="8" t="n">
        <x:f>'Данные'!G622</x:f>
        <x:v>303131</x:v>
      </x:c>
      <x:c r="D622" s="15" t="n">
        <x:f>C622/SUM($C$5:$C$2477)</x:f>
        <x:v>0.0003541247968746784</x:v>
      </x:c>
      <x:c r="E622" s="15" t="n">
        <x:f>SUM($D$5:D622)</x:f>
        <x:v>0.8787286431591564</x:v>
      </x:c>
      <x:c r="F622" s="1" t="str">
        <x:f>IF(C622&lt;=0,"C",IF(E622-D622&lt;'Дашборд'!$C$49,"A",IF(E622-D622&lt;'Дашборд'!$C$50,"B","C")))</x:f>
        <x:v>B</x:v>
      </x:c>
      <x:c r="G622" s="8" t="n">
        <x:f>'Данные'!F622</x:f>
        <x:v>878</x:v>
      </x:c>
      <x:c r="H622" s="8" t="n">
        <x:f>SUM('Данные'!H622:I622)</x:f>
        <x:v>239</x:v>
      </x:c>
      <x:c r="I622" s="16" t="n">
        <x:f>IF(H622&gt;0,G622/H622,"n.a.")</x:f>
        <x:v>3.6736401673640167</x:v>
      </x:c>
      <x:c r="J622" s="10" t="n">
        <x:f>IF('Данные'!E622&gt;0,G622/'Данные'!E622,"n.a.")</x:f>
        <x:v>0.012996240267621896</x:v>
      </x:c>
      <x:c r="K622" s="1" t="str">
        <x:f>IF(G622&gt;='Дашборд'!$C$51,"X","Z")</x:f>
        <x:v>X</x:v>
      </x:c>
      <x:c r="L622" s="1" t="str">
        <x:f>IF(H622=0,IF(G622&gt;0,"Нет остатка","Нет спроса"),IF(I622&gt;='Дашборд'!$C$52,"Быстрый","Медленный"))</x:f>
        <x:v>Быстрый</x:v>
      </x:c>
      <x:c r="M622" s="1" t="str">
        <x:f>IF('Данные'!E622&lt;'Дашборд'!$C$53,"Мало трафика",IF(J622&lt;'Дашборд'!$C$9*'Дашборд'!$C$54,"Да","Нет"))</x:f>
        <x:v>Нет</x:v>
      </x:c>
      <x:c r="N622" s="1" t="str">
        <x:f>IF(AND('Данные'!D622&gt;='Дашборд'!$C$55,D622&lt;'Дашборд'!$C$56,'Данные'!E622&gt;='Дашборд'!$C$53,'Данные'!L622&lt;&gt;"Да"),"Да","Нет")</x:f>
        <x:v>Нет</x:v>
      </x:c>
      <x:c r="O622" s="1" t="str">
        <x:f>'Данные'!L622</x:f>
        <x:v>Нет</x:v>
      </x:c>
    </x:row>
    <x:row r="623">
      <x:c r="A623" s="1" t="str">
        <x:f>'Данные'!A623</x:f>
        <x:v>234287031</x:v>
      </x:c>
      <x:c r="B623" s="1" t="str">
        <x:f>'Данные'!B623</x:f>
        <x:v>svitshotmanpetl/серыймеланж2</x:v>
      </x:c>
      <x:c r="C623" s="8" t="n">
        <x:f>'Данные'!G623</x:f>
        <x:v>303094</x:v>
      </x:c>
      <x:c r="D623" s="15" t="n">
        <x:f>C623/SUM($C$5:$C$2477)</x:f>
        <x:v>0.0003540815726004064</x:v>
      </x:c>
      <x:c r="E623" s="15" t="n">
        <x:f>SUM($D$5:D623)</x:f>
        <x:v>0.8790827247317569</x:v>
      </x:c>
      <x:c r="F623" s="1" t="str">
        <x:f>IF(C623&lt;=0,"C",IF(E623-D623&lt;'Дашборд'!$C$49,"A",IF(E623-D623&lt;'Дашборд'!$C$50,"B","C")))</x:f>
        <x:v>B</x:v>
      </x:c>
      <x:c r="G623" s="8" t="n">
        <x:f>'Данные'!F623</x:f>
        <x:v>344</x:v>
      </x:c>
      <x:c r="H623" s="8" t="n">
        <x:f>SUM('Данные'!H623:I623)</x:f>
        <x:v>44</x:v>
      </x:c>
      <x:c r="I623" s="16" t="n">
        <x:f>IF(H623&gt;0,G623/H623,"n.a.")</x:f>
        <x:v>7.818181818181818</x:v>
      </x:c>
      <x:c r="J623" s="10" t="n">
        <x:f>IF('Данные'!E623&gt;0,G623/'Данные'!E623,"n.a.")</x:f>
        <x:v>0.028873594090985395</x:v>
      </x:c>
      <x:c r="K623" s="1" t="str">
        <x:f>IF(G623&gt;='Дашборд'!$C$51,"X","Z")</x:f>
        <x:v>X</x:v>
      </x:c>
      <x:c r="L623" s="1" t="str">
        <x:f>IF(H623=0,IF(G623&gt;0,"Нет остатка","Нет спроса"),IF(I623&gt;='Дашборд'!$C$52,"Быстрый","Медленный"))</x:f>
        <x:v>Быстрый</x:v>
      </x:c>
      <x:c r="M623" s="1" t="str">
        <x:f>IF('Данные'!E623&lt;'Дашборд'!$C$53,"Мало трафика",IF(J623&lt;'Дашборд'!$C$9*'Дашборд'!$C$54,"Да","Нет"))</x:f>
        <x:v>Нет</x:v>
      </x:c>
      <x:c r="N623" s="1" t="str">
        <x:f>IF(AND('Данные'!D623&gt;='Дашборд'!$C$55,D623&lt;'Дашборд'!$C$56,'Данные'!E623&gt;='Дашборд'!$C$53,'Данные'!L623&lt;&gt;"Да"),"Да","Нет")</x:f>
        <x:v>Нет</x:v>
      </x:c>
      <x:c r="O623" s="1" t="str">
        <x:f>'Данные'!L623</x:f>
        <x:v>Нет</x:v>
      </x:c>
    </x:row>
    <x:row r="624">
      <x:c r="A624" s="1" t="str">
        <x:f>'Данные'!A624</x:f>
        <x:v>171386727</x:v>
      </x:c>
      <x:c r="B624" s="1" t="str">
        <x:f>'Данные'!B624</x:f>
        <x:v>brukiman/темно-серый</x:v>
      </x:c>
      <x:c r="C624" s="8" t="n">
        <x:f>'Данные'!G624</x:f>
        <x:v>301757</x:v>
      </x:c>
      <x:c r="D624" s="15" t="n">
        <x:f>C624/SUM($C$5:$C$2477)</x:f>
        <x:v>0.00035251965760846744</x:v>
      </x:c>
      <x:c r="E624" s="15" t="n">
        <x:f>SUM($D$5:D624)</x:f>
        <x:v>0.8794352443893654</x:v>
      </x:c>
      <x:c r="F624" s="1" t="str">
        <x:f>IF(C624&lt;=0,"C",IF(E624-D624&lt;'Дашборд'!$C$49,"A",IF(E624-D624&lt;'Дашборд'!$C$50,"B","C")))</x:f>
        <x:v>B</x:v>
      </x:c>
      <x:c r="G624" s="8" t="n">
        <x:f>'Данные'!F624</x:f>
        <x:v>403</x:v>
      </x:c>
      <x:c r="H624" s="8" t="n">
        <x:f>SUM('Данные'!H624:I624)</x:f>
        <x:v>636</x:v>
      </x:c>
      <x:c r="I624" s="16" t="n">
        <x:f>IF(H624&gt;0,G624/H624,"n.a.")</x:f>
        <x:v>0.6336477987421384</x:v>
      </x:c>
      <x:c r="J624" s="10" t="n">
        <x:f>IF('Данные'!E624&gt;0,G624/'Данные'!E624,"n.a.")</x:f>
        <x:v>0.03562588401697313</x:v>
      </x:c>
      <x:c r="K624" s="1" t="str">
        <x:f>IF(G624&gt;='Дашборд'!$C$51,"X","Z")</x:f>
        <x:v>X</x:v>
      </x:c>
      <x:c r="L624" s="1" t="str">
        <x:f>IF(H624=0,IF(G624&gt;0,"Нет остатка","Нет спроса"),IF(I624&gt;='Дашборд'!$C$52,"Быстрый","Медленный"))</x:f>
        <x:v>Медленный</x:v>
      </x:c>
      <x:c r="M624" s="1" t="str">
        <x:f>IF('Данные'!E624&lt;'Дашборд'!$C$53,"Мало трафика",IF(J624&lt;'Дашборд'!$C$9*'Дашборд'!$C$54,"Да","Нет"))</x:f>
        <x:v>Нет</x:v>
      </x:c>
      <x:c r="N624" s="1" t="str">
        <x:f>IF(AND('Данные'!D624&gt;='Дашборд'!$C$55,D624&lt;'Дашборд'!$C$56,'Данные'!E624&gt;='Дашборд'!$C$53,'Данные'!L624&lt;&gt;"Да"),"Да","Нет")</x:f>
        <x:v>Нет</x:v>
      </x:c>
      <x:c r="O624" s="1" t="str">
        <x:f>'Данные'!L624</x:f>
        <x:v>Нет</x:v>
      </x:c>
    </x:row>
    <x:row r="625">
      <x:c r="A625" s="1" t="str">
        <x:f>'Данные'!A625</x:f>
        <x:v>251777557</x:v>
      </x:c>
      <x:c r="B625" s="1" t="str">
        <x:f>'Данные'!B625</x:f>
        <x:v>hudimanprint/Control-189/молочный</x:v>
      </x:c>
      <x:c r="C625" s="8" t="n">
        <x:f>'Данные'!G625</x:f>
        <x:v>301178</x:v>
      </x:c>
      <x:c r="D625" s="15" t="n">
        <x:f>C625/SUM($C$5:$C$2477)</x:f>
        <x:v>0.00035184325612729116</x:v>
      </x:c>
      <x:c r="E625" s="15" t="n">
        <x:f>SUM($D$5:D625)</x:f>
        <x:v>0.8797870876454926</x:v>
      </x:c>
      <x:c r="F625" s="1" t="str">
        <x:f>IF(C625&lt;=0,"C",IF(E625-D625&lt;'Дашборд'!$C$49,"A",IF(E625-D625&lt;'Дашборд'!$C$50,"B","C")))</x:f>
        <x:v>B</x:v>
      </x:c>
      <x:c r="G625" s="8" t="n">
        <x:f>'Данные'!F625</x:f>
        <x:v>301</x:v>
      </x:c>
      <x:c r="H625" s="8" t="n">
        <x:f>SUM('Данные'!H625:I625)</x:f>
        <x:v>67</x:v>
      </x:c>
      <x:c r="I625" s="16" t="n">
        <x:f>IF(H625&gt;0,G625/H625,"n.a.")</x:f>
        <x:v>4.492537313432836</x:v>
      </x:c>
      <x:c r="J625" s="10" t="n">
        <x:f>IF('Данные'!E625&gt;0,G625/'Данные'!E625,"n.a.")</x:f>
        <x:v>0.017196069469835467</x:v>
      </x:c>
      <x:c r="K625" s="1" t="str">
        <x:f>IF(G625&gt;='Дашборд'!$C$51,"X","Z")</x:f>
        <x:v>X</x:v>
      </x:c>
      <x:c r="L625" s="1" t="str">
        <x:f>IF(H625=0,IF(G625&gt;0,"Нет остатка","Нет спроса"),IF(I625&gt;='Дашборд'!$C$52,"Быстрый","Медленный"))</x:f>
        <x:v>Быстрый</x:v>
      </x:c>
      <x:c r="M625" s="1" t="str">
        <x:f>IF('Данные'!E625&lt;'Дашборд'!$C$53,"Мало трафика",IF(J625&lt;'Дашборд'!$C$9*'Дашборд'!$C$54,"Да","Нет"))</x:f>
        <x:v>Нет</x:v>
      </x:c>
      <x:c r="N625" s="1" t="str">
        <x:f>IF(AND('Данные'!D625&gt;='Дашборд'!$C$55,D625&lt;'Дашборд'!$C$56,'Данные'!E625&gt;='Дашборд'!$C$53,'Данные'!L625&lt;&gt;"Да"),"Да","Нет")</x:f>
        <x:v>Нет</x:v>
      </x:c>
      <x:c r="O625" s="1" t="str">
        <x:f>'Данные'!L625</x:f>
        <x:v>Нет</x:v>
      </x:c>
    </x:row>
    <x:row r="626">
      <x:c r="A626" s="1" t="str">
        <x:f>'Данные'!A626</x:f>
        <x:v>237304565</x:v>
      </x:c>
      <x:c r="B626" s="1" t="str">
        <x:f>'Данные'!B626</x:f>
        <x:v>hudiprint/Movements-115/милка</x:v>
      </x:c>
      <x:c r="C626" s="8" t="n">
        <x:f>'Данные'!G626</x:f>
        <x:v>301109</x:v>
      </x:c>
      <x:c r="D626" s="15" t="n">
        <x:f>C626/SUM($C$5:$C$2477)</x:f>
        <x:v>0.0003517626486968919</x:v>
      </x:c>
      <x:c r="E626" s="15" t="n">
        <x:f>SUM($D$5:D626)</x:f>
        <x:v>0.8801388502941895</x:v>
      </x:c>
      <x:c r="F626" s="1" t="str">
        <x:f>IF(C626&lt;=0,"C",IF(E626-D626&lt;'Дашборд'!$C$49,"A",IF(E626-D626&lt;'Дашборд'!$C$50,"B","C")))</x:f>
        <x:v>B</x:v>
      </x:c>
      <x:c r="G626" s="8" t="n">
        <x:f>'Данные'!F626</x:f>
        <x:v>283</x:v>
      </x:c>
      <x:c r="H626" s="8" t="n">
        <x:f>SUM('Данные'!H626:I626)</x:f>
        <x:v>66</x:v>
      </x:c>
      <x:c r="I626" s="16" t="n">
        <x:f>IF(H626&gt;0,G626/H626,"n.a.")</x:f>
        <x:v>4.287878787878788</x:v>
      </x:c>
      <x:c r="J626" s="10" t="n">
        <x:f>IF('Данные'!E626&gt;0,G626/'Данные'!E626,"n.a.")</x:f>
        <x:v>0.010870817808166558</x:v>
      </x:c>
      <x:c r="K626" s="1" t="str">
        <x:f>IF(G626&gt;='Дашборд'!$C$51,"X","Z")</x:f>
        <x:v>X</x:v>
      </x:c>
      <x:c r="L626" s="1" t="str">
        <x:f>IF(H626=0,IF(G626&gt;0,"Нет остатка","Нет спроса"),IF(I626&gt;='Дашборд'!$C$52,"Быстрый","Медленный"))</x:f>
        <x:v>Быстрый</x:v>
      </x:c>
      <x:c r="M626" s="1" t="str">
        <x:f>IF('Данные'!E626&lt;'Дашборд'!$C$53,"Мало трафика",IF(J626&lt;'Дашборд'!$C$9*'Дашборд'!$C$54,"Да","Нет"))</x:f>
        <x:v>Нет</x:v>
      </x:c>
      <x:c r="N626" s="1" t="str">
        <x:f>IF(AND('Данные'!D626&gt;='Дашборд'!$C$55,D626&lt;'Дашборд'!$C$56,'Данные'!E626&gt;='Дашборд'!$C$53,'Данные'!L626&lt;&gt;"Да"),"Да","Нет")</x:f>
        <x:v>Да</x:v>
      </x:c>
      <x:c r="O626" s="1" t="str">
        <x:f>'Данные'!L626</x:f>
        <x:v>Нет</x:v>
      </x:c>
    </x:row>
    <x:row r="627">
      <x:c r="A627" s="1" t="str">
        <x:f>'Данные'!A627</x:f>
        <x:v>332719589</x:v>
      </x:c>
      <x:c r="B627" s="1" t="str">
        <x:f>'Данные'!B627</x:f>
        <x:v>vshirt3K-99/какао</x:v>
      </x:c>
      <x:c r="C627" s="8" t="n">
        <x:f>'Данные'!G627</x:f>
        <x:v>299811</x:v>
      </x:c>
      <x:c r="D627" s="15" t="n">
        <x:f>C627/SUM($C$5:$C$2477)</x:f>
        <x:v>0.000350246294426483</x:v>
      </x:c>
      <x:c r="E627" s="15" t="n">
        <x:f>SUM($D$5:D627)</x:f>
        <x:v>0.880489096588616</x:v>
      </x:c>
      <x:c r="F627" s="1" t="str">
        <x:f>IF(C627&lt;=0,"C",IF(E627-D627&lt;'Дашборд'!$C$49,"A",IF(E627-D627&lt;'Дашборд'!$C$50,"B","C")))</x:f>
        <x:v>B</x:v>
      </x:c>
      <x:c r="G627" s="8" t="n">
        <x:f>'Данные'!F627</x:f>
        <x:v>907</x:v>
      </x:c>
      <x:c r="H627" s="8" t="n">
        <x:f>SUM('Данные'!H627:I627)</x:f>
        <x:v>185</x:v>
      </x:c>
      <x:c r="I627" s="16" t="n">
        <x:f>IF(H627&gt;0,G627/H627,"n.a.")</x:f>
        <x:v>4.902702702702703</x:v>
      </x:c>
      <x:c r="J627" s="10" t="n">
        <x:f>IF('Данные'!E627&gt;0,G627/'Данные'!E627,"n.a.")</x:f>
        <x:v>0.013573170914206187</x:v>
      </x:c>
      <x:c r="K627" s="1" t="str">
        <x:f>IF(G627&gt;='Дашборд'!$C$51,"X","Z")</x:f>
        <x:v>X</x:v>
      </x:c>
      <x:c r="L627" s="1" t="str">
        <x:f>IF(H627=0,IF(G627&gt;0,"Нет остатка","Нет спроса"),IF(I627&gt;='Дашборд'!$C$52,"Быстрый","Медленный"))</x:f>
        <x:v>Быстрый</x:v>
      </x:c>
      <x:c r="M627" s="1" t="str">
        <x:f>IF('Данные'!E627&lt;'Дашборд'!$C$53,"Мало трафика",IF(J627&lt;'Дашборд'!$C$9*'Дашборд'!$C$54,"Да","Нет"))</x:f>
        <x:v>Нет</x:v>
      </x:c>
      <x:c r="N627" s="1" t="str">
        <x:f>IF(AND('Данные'!D627&gt;='Дашборд'!$C$55,D627&lt;'Дашборд'!$C$56,'Данные'!E627&gt;='Дашборд'!$C$53,'Данные'!L627&lt;&gt;"Да"),"Да","Нет")</x:f>
        <x:v>Нет</x:v>
      </x:c>
      <x:c r="O627" s="1" t="str">
        <x:f>'Данные'!L627</x:f>
        <x:v>Нет</x:v>
      </x:c>
    </x:row>
    <x:row r="628">
      <x:c r="A628" s="1" t="str">
        <x:f>'Данные'!A628</x:f>
        <x:v>300270091</x:v>
      </x:c>
      <x:c r="B628" s="1" t="str">
        <x:f>'Данные'!B628</x:f>
        <x:v>svitzip3P-S-5/дымка</x:v>
      </x:c>
      <x:c r="C628" s="8" t="n">
        <x:f>'Данные'!G628</x:f>
        <x:v>298146</x:v>
      </x:c>
      <x:c r="D628" s="15" t="n">
        <x:f>C628/SUM($C$5:$C$2477)</x:f>
        <x:v>0.00034830120208424037</x:v>
      </x:c>
      <x:c r="E628" s="15" t="n">
        <x:f>SUM($D$5:D628)</x:f>
        <x:v>0.8808373977907002</x:v>
      </x:c>
      <x:c r="F628" s="1" t="str">
        <x:f>IF(C628&lt;=0,"C",IF(E628-D628&lt;'Дашборд'!$C$49,"A",IF(E628-D628&lt;'Дашборд'!$C$50,"B","C")))</x:f>
        <x:v>B</x:v>
      </x:c>
      <x:c r="G628" s="8" t="n">
        <x:f>'Данные'!F628</x:f>
        <x:v>370</x:v>
      </x:c>
      <x:c r="H628" s="8" t="n">
        <x:f>SUM('Данные'!H628:I628)</x:f>
        <x:v>63</x:v>
      </x:c>
      <x:c r="I628" s="16" t="n">
        <x:f>IF(H628&gt;0,G628/H628,"n.a.")</x:f>
        <x:v>5.873015873015873</x:v>
      </x:c>
      <x:c r="J628" s="10" t="n">
        <x:f>IF('Данные'!E628&gt;0,G628/'Данные'!E628,"n.a.")</x:f>
        <x:v>0.009623637735063854</x:v>
      </x:c>
      <x:c r="K628" s="1" t="str">
        <x:f>IF(G628&gt;='Дашборд'!$C$51,"X","Z")</x:f>
        <x:v>X</x:v>
      </x:c>
      <x:c r="L628" s="1" t="str">
        <x:f>IF(H628=0,IF(G628&gt;0,"Нет остатка","Нет спроса"),IF(I628&gt;='Дашборд'!$C$52,"Быстрый","Медленный"))</x:f>
        <x:v>Быстрый</x:v>
      </x:c>
      <x:c r="M628" s="1" t="str">
        <x:f>IF('Данные'!E628&lt;'Дашборд'!$C$53,"Мало трафика",IF(J628&lt;'Дашборд'!$C$9*'Дашборд'!$C$54,"Да","Нет"))</x:f>
        <x:v>Да</x:v>
      </x:c>
      <x:c r="N628" s="1" t="str">
        <x:f>IF(AND('Данные'!D628&gt;='Дашборд'!$C$55,D628&lt;'Дашборд'!$C$56,'Данные'!E628&gt;='Дашборд'!$C$53,'Данные'!L628&lt;&gt;"Да"),"Да","Нет")</x:f>
        <x:v>Нет</x:v>
      </x:c>
      <x:c r="O628" s="1" t="str">
        <x:f>'Данные'!L628</x:f>
        <x:v>Нет</x:v>
      </x:c>
    </x:row>
    <x:row r="629">
      <x:c r="A629" s="1" t="str">
        <x:f>'Данные'!A629</x:f>
        <x:v>333104129</x:v>
      </x:c>
      <x:c r="B629" s="1" t="str">
        <x:f>'Данные'!B629</x:f>
        <x:v>topbando/бордовый</x:v>
      </x:c>
      <x:c r="C629" s="8" t="n">
        <x:f>'Данные'!G629</x:f>
        <x:v>296768</x:v>
      </x:c>
      <x:c r="D629" s="15" t="n">
        <x:f>C629/SUM($C$5:$C$2477)</x:f>
        <x:v>0.0003466913899235135</x:v>
      </x:c>
      <x:c r="E629" s="15" t="n">
        <x:f>SUM($D$5:D629)</x:f>
        <x:v>0.8811840891806237</x:v>
      </x:c>
      <x:c r="F629" s="1" t="str">
        <x:f>IF(C629&lt;=0,"C",IF(E629-D629&lt;'Дашборд'!$C$49,"A",IF(E629-D629&lt;'Дашборд'!$C$50,"B","C")))</x:f>
        <x:v>B</x:v>
      </x:c>
      <x:c r="G629" s="8" t="n">
        <x:f>'Данные'!F629</x:f>
        <x:v>1080</x:v>
      </x:c>
      <x:c r="H629" s="8" t="n">
        <x:f>SUM('Данные'!H629:I629)</x:f>
        <x:v>460</x:v>
      </x:c>
      <x:c r="I629" s="16" t="n">
        <x:f>IF(H629&gt;0,G629/H629,"n.a.")</x:f>
        <x:v>2.347826086956522</x:v>
      </x:c>
      <x:c r="J629" s="10" t="n">
        <x:f>IF('Данные'!E629&gt;0,G629/'Данные'!E629,"n.a.")</x:f>
        <x:v>0.03150525087514586</x:v>
      </x:c>
      <x:c r="K629" s="1" t="str">
        <x:f>IF(G629&gt;='Дашборд'!$C$51,"X","Z")</x:f>
        <x:v>X</x:v>
      </x:c>
      <x:c r="L629" s="1" t="str">
        <x:f>IF(H629=0,IF(G629&gt;0,"Нет остатка","Нет спроса"),IF(I629&gt;='Дашборд'!$C$52,"Быстрый","Медленный"))</x:f>
        <x:v>Быстрый</x:v>
      </x:c>
      <x:c r="M629" s="1" t="str">
        <x:f>IF('Данные'!E629&lt;'Дашборд'!$C$53,"Мало трафика",IF(J629&lt;'Дашборд'!$C$9*'Дашборд'!$C$54,"Да","Нет"))</x:f>
        <x:v>Нет</x:v>
      </x:c>
      <x:c r="N629" s="1" t="str">
        <x:f>IF(AND('Данные'!D629&gt;='Дашборд'!$C$55,D629&lt;'Дашборд'!$C$56,'Данные'!E629&gt;='Дашборд'!$C$53,'Данные'!L629&lt;&gt;"Да"),"Да","Нет")</x:f>
        <x:v>Нет</x:v>
      </x:c>
      <x:c r="O629" s="1" t="str">
        <x:f>'Данные'!L629</x:f>
        <x:v>Нет</x:v>
      </x:c>
    </x:row>
    <x:row r="630">
      <x:c r="A630" s="1" t="str">
        <x:f>'Данные'!A630</x:f>
        <x:v>264475406</x:v>
      </x:c>
      <x:c r="B630" s="1" t="str">
        <x:f>'Данные'!B630</x:f>
        <x:v>brukipetl/бордовый</x:v>
      </x:c>
      <x:c r="C630" s="8" t="n">
        <x:f>'Данные'!G630</x:f>
        <x:v>296758</x:v>
      </x:c>
      <x:c r="D630" s="15" t="n">
        <x:f>C630/SUM($C$5:$C$2477)</x:f>
        <x:v>0.00034667970768722373</x:v>
      </x:c>
      <x:c r="E630" s="15" t="n">
        <x:f>SUM($D$5:D630)</x:f>
        <x:v>0.881530768888311</x:v>
      </x:c>
      <x:c r="F630" s="1" t="str">
        <x:f>IF(C630&lt;=0,"C",IF(E630-D630&lt;'Дашборд'!$C$49,"A",IF(E630-D630&lt;'Дашборд'!$C$50,"B","C")))</x:f>
        <x:v>B</x:v>
      </x:c>
      <x:c r="G630" s="8" t="n">
        <x:f>'Данные'!F630</x:f>
        <x:v>433</x:v>
      </x:c>
      <x:c r="H630" s="8" t="n">
        <x:f>SUM('Данные'!H630:I630)</x:f>
        <x:v>173</x:v>
      </x:c>
      <x:c r="I630" s="16" t="n">
        <x:f>IF(H630&gt;0,G630/H630,"n.a.")</x:f>
        <x:v>2.5028901734104045</x:v>
      </x:c>
      <x:c r="J630" s="10" t="n">
        <x:f>IF('Данные'!E630&gt;0,G630/'Данные'!E630,"n.a.")</x:f>
        <x:v>0.020244050680256205</x:v>
      </x:c>
      <x:c r="K630" s="1" t="str">
        <x:f>IF(G630&gt;='Дашборд'!$C$51,"X","Z")</x:f>
        <x:v>X</x:v>
      </x:c>
      <x:c r="L630" s="1" t="str">
        <x:f>IF(H630=0,IF(G630&gt;0,"Нет остатка","Нет спроса"),IF(I630&gt;='Дашборд'!$C$52,"Быстрый","Медленный"))</x:f>
        <x:v>Быстрый</x:v>
      </x:c>
      <x:c r="M630" s="1" t="str">
        <x:f>IF('Данные'!E630&lt;'Дашборд'!$C$53,"Мало трафика",IF(J630&lt;'Дашборд'!$C$9*'Дашборд'!$C$54,"Да","Нет"))</x:f>
        <x:v>Нет</x:v>
      </x:c>
      <x:c r="N630" s="1" t="str">
        <x:f>IF(AND('Данные'!D630&gt;='Дашборд'!$C$55,D630&lt;'Дашборд'!$C$56,'Данные'!E630&gt;='Дашборд'!$C$53,'Данные'!L630&lt;&gt;"Да"),"Да","Нет")</x:f>
        <x:v>Нет</x:v>
      </x:c>
      <x:c r="O630" s="1" t="str">
        <x:f>'Данные'!L630</x:f>
        <x:v>Нет</x:v>
      </x:c>
    </x:row>
    <x:row r="631">
      <x:c r="A631" s="1" t="str">
        <x:f>'Данные'!A631</x:f>
        <x:v>239852084</x:v>
      </x:c>
      <x:c r="B631" s="1" t="str">
        <x:f>'Данные'!B631</x:f>
        <x:v>svitshotrukpetl/молочный</x:v>
      </x:c>
      <x:c r="C631" s="8" t="n">
        <x:f>'Данные'!G631</x:f>
        <x:v>295959</x:v>
      </x:c>
      <x:c r="D631" s="15" t="n">
        <x:f>C631/SUM($C$5:$C$2477)</x:f>
        <x:v>0.0003457462970076731</x:v>
      </x:c>
      <x:c r="E631" s="15" t="n">
        <x:f>SUM($D$5:D631)</x:f>
        <x:v>0.8818765151853186</x:v>
      </x:c>
      <x:c r="F631" s="1" t="str">
        <x:f>IF(C631&lt;=0,"C",IF(E631-D631&lt;'Дашборд'!$C$49,"A",IF(E631-D631&lt;'Дашборд'!$C$50,"B","C")))</x:f>
        <x:v>B</x:v>
      </x:c>
      <x:c r="G631" s="8" t="n">
        <x:f>'Данные'!F631</x:f>
        <x:v>343</x:v>
      </x:c>
      <x:c r="H631" s="8" t="n">
        <x:f>SUM('Данные'!H631:I631)</x:f>
        <x:v>29</x:v>
      </x:c>
      <x:c r="I631" s="16" t="n">
        <x:f>IF(H631&gt;0,G631/H631,"n.a.")</x:f>
        <x:v>11.827586206896552</x:v>
      </x:c>
      <x:c r="J631" s="10" t="n">
        <x:f>IF('Данные'!E631&gt;0,G631/'Данные'!E631,"n.a.")</x:f>
        <x:v>0.018559601753151887</x:v>
      </x:c>
      <x:c r="K631" s="1" t="str">
        <x:f>IF(G631&gt;='Дашборд'!$C$51,"X","Z")</x:f>
        <x:v>X</x:v>
      </x:c>
      <x:c r="L631" s="1" t="str">
        <x:f>IF(H631=0,IF(G631&gt;0,"Нет остатка","Нет спроса"),IF(I631&gt;='Дашборд'!$C$52,"Быстрый","Медленный"))</x:f>
        <x:v>Быстрый</x:v>
      </x:c>
      <x:c r="M631" s="1" t="str">
        <x:f>IF('Данные'!E631&lt;'Дашборд'!$C$53,"Мало трафика",IF(J631&lt;'Дашборд'!$C$9*'Дашборд'!$C$54,"Да","Нет"))</x:f>
        <x:v>Нет</x:v>
      </x:c>
      <x:c r="N631" s="1" t="str">
        <x:f>IF(AND('Данные'!D631&gt;='Дашборд'!$C$55,D631&lt;'Дашборд'!$C$56,'Данные'!E631&gt;='Дашборд'!$C$53,'Данные'!L631&lt;&gt;"Да"),"Да","Нет")</x:f>
        <x:v>Да</x:v>
      </x:c>
      <x:c r="O631" s="1" t="str">
        <x:f>'Данные'!L631</x:f>
        <x:v>Нет</x:v>
      </x:c>
    </x:row>
    <x:row r="632">
      <x:c r="A632" s="1" t="str">
        <x:f>'Данные'!A632</x:f>
        <x:v>234287036</x:v>
      </x:c>
      <x:c r="B632" s="1" t="str">
        <x:f>'Данные'!B632</x:f>
        <x:v>svitshotpetl/графит</x:v>
      </x:c>
      <x:c r="C632" s="8" t="n">
        <x:f>'Данные'!G632</x:f>
        <x:v>294453</x:v>
      </x:c>
      <x:c r="D632" s="15" t="n">
        <x:f>C632/SUM($C$5:$C$2477)</x:f>
        <x:v>0.00034398695222243747</x:v>
      </x:c>
      <x:c r="E632" s="15" t="n">
        <x:f>SUM($D$5:D632)</x:f>
        <x:v>0.8822205021375411</x:v>
      </x:c>
      <x:c r="F632" s="1" t="str">
        <x:f>IF(C632&lt;=0,"C",IF(E632-D632&lt;'Дашборд'!$C$49,"A",IF(E632-D632&lt;'Дашборд'!$C$50,"B","C")))</x:f>
        <x:v>B</x:v>
      </x:c>
      <x:c r="G632" s="8" t="n">
        <x:f>'Данные'!F632</x:f>
        <x:v>414</x:v>
      </x:c>
      <x:c r="H632" s="8" t="n">
        <x:f>SUM('Данные'!H632:I632)</x:f>
        <x:v>71</x:v>
      </x:c>
      <x:c r="I632" s="16" t="n">
        <x:f>IF(H632&gt;0,G632/H632,"n.a.")</x:f>
        <x:v>5.830985915492958</x:v>
      </x:c>
      <x:c r="J632" s="10" t="n">
        <x:f>IF('Данные'!E632&gt;0,G632/'Данные'!E632,"n.a.")</x:f>
        <x:v>0.011303445639709496</x:v>
      </x:c>
      <x:c r="K632" s="1" t="str">
        <x:f>IF(G632&gt;='Дашборд'!$C$51,"X","Z")</x:f>
        <x:v>X</x:v>
      </x:c>
      <x:c r="L632" s="1" t="str">
        <x:f>IF(H632=0,IF(G632&gt;0,"Нет остатка","Нет спроса"),IF(I632&gt;='Дашборд'!$C$52,"Быстрый","Медленный"))</x:f>
        <x:v>Быстрый</x:v>
      </x:c>
      <x:c r="M632" s="1" t="str">
        <x:f>IF('Данные'!E632&lt;'Дашборд'!$C$53,"Мало трафика",IF(J632&lt;'Дашборд'!$C$9*'Дашборд'!$C$54,"Да","Нет"))</x:f>
        <x:v>Нет</x:v>
      </x:c>
      <x:c r="N632" s="1" t="str">
        <x:f>IF(AND('Данные'!D632&gt;='Дашборд'!$C$55,D632&lt;'Дашборд'!$C$56,'Данные'!E632&gt;='Дашборд'!$C$53,'Данные'!L632&lt;&gt;"Да"),"Да","Нет")</x:f>
        <x:v>Нет</x:v>
      </x:c>
      <x:c r="O632" s="1" t="str">
        <x:f>'Данные'!L632</x:f>
        <x:v>Нет</x:v>
      </x:c>
    </x:row>
    <x:row r="633">
      <x:c r="A633" s="1" t="str">
        <x:f>'Данные'!A633</x:f>
        <x:v>235988741</x:v>
      </x:c>
      <x:c r="B633" s="1" t="str">
        <x:f>'Данные'!B633</x:f>
        <x:v>brukipetl/серый</x:v>
      </x:c>
      <x:c r="C633" s="8" t="n">
        <x:f>'Данные'!G633</x:f>
        <x:v>294242</x:v>
      </x:c>
      <x:c r="D633" s="15" t="n">
        <x:f>C633/SUM($C$5:$C$2477)</x:f>
        <x:v>0.00034374045703672383</x:v>
      </x:c>
      <x:c r="E633" s="15" t="n">
        <x:f>SUM($D$5:D633)</x:f>
        <x:v>0.8825642425945779</x:v>
      </x:c>
      <x:c r="F633" s="1" t="str">
        <x:f>IF(C633&lt;=0,"C",IF(E633-D633&lt;'Дашборд'!$C$49,"A",IF(E633-D633&lt;'Дашборд'!$C$50,"B","C")))</x:f>
        <x:v>B</x:v>
      </x:c>
      <x:c r="G633" s="8" t="n">
        <x:f>'Данные'!F633</x:f>
        <x:v>458</x:v>
      </x:c>
      <x:c r="H633" s="8" t="n">
        <x:f>SUM('Данные'!H633:I633)</x:f>
        <x:v>79</x:v>
      </x:c>
      <x:c r="I633" s="16" t="n">
        <x:f>IF(H633&gt;0,G633/H633,"n.a.")</x:f>
        <x:v>5.7974683544303796</x:v>
      </x:c>
      <x:c r="J633" s="10" t="n">
        <x:f>IF('Данные'!E633&gt;0,G633/'Данные'!E633,"n.a.")</x:f>
        <x:v>0.015849944629014397</x:v>
      </x:c>
      <x:c r="K633" s="1" t="str">
        <x:f>IF(G633&gt;='Дашборд'!$C$51,"X","Z")</x:f>
        <x:v>X</x:v>
      </x:c>
      <x:c r="L633" s="1" t="str">
        <x:f>IF(H633=0,IF(G633&gt;0,"Нет остатка","Нет спроса"),IF(I633&gt;='Дашборд'!$C$52,"Быстрый","Медленный"))</x:f>
        <x:v>Быстрый</x:v>
      </x:c>
      <x:c r="M633" s="1" t="str">
        <x:f>IF('Данные'!E633&lt;'Дашборд'!$C$53,"Мало трафика",IF(J633&lt;'Дашборд'!$C$9*'Дашборд'!$C$54,"Да","Нет"))</x:f>
        <x:v>Нет</x:v>
      </x:c>
      <x:c r="N633" s="1" t="str">
        <x:f>IF(AND('Данные'!D633&gt;='Дашборд'!$C$55,D633&lt;'Дашборд'!$C$56,'Данные'!E633&gt;='Дашборд'!$C$53,'Данные'!L633&lt;&gt;"Да"),"Да","Нет")</x:f>
        <x:v>Нет</x:v>
      </x:c>
      <x:c r="O633" s="1" t="str">
        <x:f>'Данные'!L633</x:f>
        <x:v>Нет</x:v>
      </x:c>
    </x:row>
    <x:row r="634">
      <x:c r="A634" s="1" t="str">
        <x:f>'Данные'!A634</x:f>
        <x:v>273880960</x:v>
      </x:c>
      <x:c r="B634" s="1" t="str">
        <x:f>'Данные'!B634</x:f>
        <x:v>svitshotover/светло-розовый</x:v>
      </x:c>
      <x:c r="C634" s="8" t="n">
        <x:f>'Данные'!G634</x:f>
        <x:v>293952</x:v>
      </x:c>
      <x:c r="D634" s="15" t="n">
        <x:f>C634/SUM($C$5:$C$2477)</x:f>
        <x:v>0.0003434016721843212</x:v>
      </x:c>
      <x:c r="E634" s="15" t="n">
        <x:f>SUM($D$5:D634)</x:f>
        <x:v>0.8829076442667622</x:v>
      </x:c>
      <x:c r="F634" s="1" t="str">
        <x:f>IF(C634&lt;=0,"C",IF(E634-D634&lt;'Дашборд'!$C$49,"A",IF(E634-D634&lt;'Дашборд'!$C$50,"B","C")))</x:f>
        <x:v>B</x:v>
      </x:c>
      <x:c r="G634" s="8" t="n">
        <x:f>'Данные'!F634</x:f>
        <x:v>397</x:v>
      </x:c>
      <x:c r="H634" s="8" t="n">
        <x:f>SUM('Данные'!H634:I634)</x:f>
        <x:v>241</x:v>
      </x:c>
      <x:c r="I634" s="16" t="n">
        <x:f>IF(H634&gt;0,G634/H634,"n.a.")</x:f>
        <x:v>1.6473029045643153</x:v>
      </x:c>
      <x:c r="J634" s="10" t="n">
        <x:f>IF('Данные'!E634&gt;0,G634/'Данные'!E634,"n.a.")</x:f>
        <x:v>0.015033892528496231</x:v>
      </x:c>
      <x:c r="K634" s="1" t="str">
        <x:f>IF(G634&gt;='Дашборд'!$C$51,"X","Z")</x:f>
        <x:v>X</x:v>
      </x:c>
      <x:c r="L634" s="1" t="str">
        <x:f>IF(H634=0,IF(G634&gt;0,"Нет остатка","Нет спроса"),IF(I634&gt;='Дашборд'!$C$52,"Быстрый","Медленный"))</x:f>
        <x:v>Быстрый</x:v>
      </x:c>
      <x:c r="M634" s="1" t="str">
        <x:f>IF('Данные'!E634&lt;'Дашборд'!$C$53,"Мало трафика",IF(J634&lt;'Дашборд'!$C$9*'Дашборд'!$C$54,"Да","Нет"))</x:f>
        <x:v>Нет</x:v>
      </x:c>
      <x:c r="N634" s="1" t="str">
        <x:f>IF(AND('Данные'!D634&gt;='Дашборд'!$C$55,D634&lt;'Дашборд'!$C$56,'Данные'!E634&gt;='Дашборд'!$C$53,'Данные'!L634&lt;&gt;"Да"),"Да","Нет")</x:f>
        <x:v>Нет</x:v>
      </x:c>
      <x:c r="O634" s="1" t="str">
        <x:f>'Данные'!L634</x:f>
        <x:v>Нет</x:v>
      </x:c>
    </x:row>
    <x:row r="635">
      <x:c r="A635" s="1" t="str">
        <x:f>'Данные'!A635</x:f>
        <x:v>193100143</x:v>
      </x:c>
      <x:c r="B635" s="1" t="str">
        <x:f>'Данные'!B635</x:f>
        <x:v>svitshotzip1/черный</x:v>
      </x:c>
      <x:c r="C635" s="8" t="n">
        <x:f>'Данные'!G635</x:f>
        <x:v>293716</x:v>
      </x:c>
      <x:c r="D635" s="15" t="n">
        <x:f>C635/SUM($C$5:$C$2477)</x:f>
        <x:v>0.00034312597140788323</x:v>
      </x:c>
      <x:c r="E635" s="15" t="n">
        <x:f>SUM($D$5:D635)</x:f>
        <x:v>0.88325077023817</x:v>
      </x:c>
      <x:c r="F635" s="1" t="str">
        <x:f>IF(C635&lt;=0,"C",IF(E635-D635&lt;'Дашборд'!$C$49,"A",IF(E635-D635&lt;'Дашборд'!$C$50,"B","C")))</x:f>
        <x:v>B</x:v>
      </x:c>
      <x:c r="G635" s="8" t="n">
        <x:f>'Данные'!F635</x:f>
        <x:v>336</x:v>
      </x:c>
      <x:c r="H635" s="8" t="n">
        <x:f>SUM('Данные'!H635:I635)</x:f>
        <x:v>148</x:v>
      </x:c>
      <x:c r="I635" s="16" t="n">
        <x:f>IF(H635&gt;0,G635/H635,"n.a.")</x:f>
        <x:v>2.27027027027027</x:v>
      </x:c>
      <x:c r="J635" s="10" t="n">
        <x:f>IF('Данные'!E635&gt;0,G635/'Данные'!E635,"n.a.")</x:f>
        <x:v>0.01866148292141072</x:v>
      </x:c>
      <x:c r="K635" s="1" t="str">
        <x:f>IF(G635&gt;='Дашборд'!$C$51,"X","Z")</x:f>
        <x:v>X</x:v>
      </x:c>
      <x:c r="L635" s="1" t="str">
        <x:f>IF(H635=0,IF(G635&gt;0,"Нет остатка","Нет спроса"),IF(I635&gt;='Дашборд'!$C$52,"Быстрый","Медленный"))</x:f>
        <x:v>Быстрый</x:v>
      </x:c>
      <x:c r="M635" s="1" t="str">
        <x:f>IF('Данные'!E635&lt;'Дашборд'!$C$53,"Мало трафика",IF(J635&lt;'Дашборд'!$C$9*'Дашборд'!$C$54,"Да","Нет"))</x:f>
        <x:v>Нет</x:v>
      </x:c>
      <x:c r="N635" s="1" t="str">
        <x:f>IF(AND('Данные'!D635&gt;='Дашборд'!$C$55,D635&lt;'Дашборд'!$C$56,'Данные'!E635&gt;='Дашборд'!$C$53,'Данные'!L635&lt;&gt;"Да"),"Да","Нет")</x:f>
        <x:v>Да</x:v>
      </x:c>
      <x:c r="O635" s="1" t="str">
        <x:f>'Данные'!L635</x:f>
        <x:v>Нет</x:v>
      </x:c>
    </x:row>
    <x:row r="636">
      <x:c r="A636" s="1" t="str">
        <x:f>'Данные'!A636</x:f>
        <x:v>165788817</x:v>
      </x:c>
      <x:c r="B636" s="1" t="str">
        <x:f>'Данные'!B636</x:f>
        <x:v>hudi/красный</x:v>
      </x:c>
      <x:c r="C636" s="8" t="n">
        <x:f>'Данные'!G636</x:f>
        <x:v>293525</x:v>
      </x:c>
      <x:c r="D636" s="15" t="n">
        <x:f>C636/SUM($C$5:$C$2477)</x:f>
        <x:v>0.0003429028406947491</x:v>
      </x:c>
      <x:c r="E636" s="15" t="n">
        <x:f>SUM($D$5:D636)</x:f>
        <x:v>0.8835936730788647</x:v>
      </x:c>
      <x:c r="F636" s="1" t="str">
        <x:f>IF(C636&lt;=0,"C",IF(E636-D636&lt;'Дашборд'!$C$49,"A",IF(E636-D636&lt;'Дашборд'!$C$50,"B","C")))</x:f>
        <x:v>B</x:v>
      </x:c>
      <x:c r="G636" s="8" t="n">
        <x:f>'Данные'!F636</x:f>
        <x:v>338</x:v>
      </x:c>
      <x:c r="H636" s="8" t="n">
        <x:f>SUM('Данные'!H636:I636)</x:f>
        <x:v>3</x:v>
      </x:c>
      <x:c r="I636" s="16" t="n">
        <x:f>IF(H636&gt;0,G636/H636,"n.a.")</x:f>
        <x:v>112.66666666666667</x:v>
      </x:c>
      <x:c r="J636" s="10" t="n">
        <x:f>IF('Данные'!E636&gt;0,G636/'Данные'!E636,"n.a.")</x:f>
        <x:v>0.03394937725994375</x:v>
      </x:c>
      <x:c r="K636" s="1" t="str">
        <x:f>IF(G636&gt;='Дашборд'!$C$51,"X","Z")</x:f>
        <x:v>X</x:v>
      </x:c>
      <x:c r="L636" s="1" t="str">
        <x:f>IF(H636=0,IF(G636&gt;0,"Нет остатка","Нет спроса"),IF(I636&gt;='Дашборд'!$C$52,"Быстрый","Медленный"))</x:f>
        <x:v>Быстрый</x:v>
      </x:c>
      <x:c r="M636" s="1" t="str">
        <x:f>IF('Данные'!E636&lt;'Дашборд'!$C$53,"Мало трафика",IF(J636&lt;'Дашборд'!$C$9*'Дашборд'!$C$54,"Да","Нет"))</x:f>
        <x:v>Нет</x:v>
      </x:c>
      <x:c r="N636" s="1" t="str">
        <x:f>IF(AND('Данные'!D636&gt;='Дашборд'!$C$55,D636&lt;'Дашборд'!$C$56,'Данные'!E636&gt;='Дашборд'!$C$53,'Данные'!L636&lt;&gt;"Да"),"Да","Нет")</x:f>
        <x:v>Да</x:v>
      </x:c>
      <x:c r="O636" s="1" t="str">
        <x:f>'Данные'!L636</x:f>
        <x:v>Нет</x:v>
      </x:c>
    </x:row>
    <x:row r="637">
      <x:c r="A637" s="1" t="str">
        <x:f>'Данные'!A637</x:f>
        <x:v>320414104</x:v>
      </x:c>
      <x:c r="B637" s="1" t="str">
        <x:f>'Данные'!B637</x:f>
        <x:v>svitfix3F-77/темно-серый</x:v>
      </x:c>
      <x:c r="C637" s="8" t="n">
        <x:f>'Данные'!G637</x:f>
        <x:v>293257</x:v>
      </x:c>
      <x:c r="D637" s="15" t="n">
        <x:f>C637/SUM($C$5:$C$2477)</x:f>
        <x:v>0.0003425897567621839</x:v>
      </x:c>
      <x:c r="E637" s="15" t="n">
        <x:f>SUM($D$5:D637)</x:f>
        <x:v>0.8839362628356269</x:v>
      </x:c>
      <x:c r="F637" s="1" t="str">
        <x:f>IF(C637&lt;=0,"C",IF(E637-D637&lt;'Дашборд'!$C$49,"A",IF(E637-D637&lt;'Дашборд'!$C$50,"B","C")))</x:f>
        <x:v>B</x:v>
      </x:c>
      <x:c r="G637" s="8" t="n">
        <x:f>'Данные'!F637</x:f>
        <x:v>336</x:v>
      </x:c>
      <x:c r="H637" s="8" t="n">
        <x:f>SUM('Данные'!H637:I637)</x:f>
        <x:v>13</x:v>
      </x:c>
      <x:c r="I637" s="16" t="n">
        <x:f>IF(H637&gt;0,G637/H637,"n.a.")</x:f>
        <x:v>25.846153846153847</x:v>
      </x:c>
      <x:c r="J637" s="10" t="n">
        <x:f>IF('Данные'!E637&gt;0,G637/'Данные'!E637,"n.a.")</x:f>
        <x:v>0.011461709022684632</x:v>
      </x:c>
      <x:c r="K637" s="1" t="str">
        <x:f>IF(G637&gt;='Дашборд'!$C$51,"X","Z")</x:f>
        <x:v>X</x:v>
      </x:c>
      <x:c r="L637" s="1" t="str">
        <x:f>IF(H637=0,IF(G637&gt;0,"Нет остатка","Нет спроса"),IF(I637&gt;='Дашборд'!$C$52,"Быстрый","Медленный"))</x:f>
        <x:v>Быстрый</x:v>
      </x:c>
      <x:c r="M637" s="1" t="str">
        <x:f>IF('Данные'!E637&lt;'Дашборд'!$C$53,"Мало трафика",IF(J637&lt;'Дашборд'!$C$9*'Дашборд'!$C$54,"Да","Нет"))</x:f>
        <x:v>Нет</x:v>
      </x:c>
      <x:c r="N637" s="1" t="str">
        <x:f>IF(AND('Данные'!D637&gt;='Дашборд'!$C$55,D637&lt;'Дашборд'!$C$56,'Данные'!E637&gt;='Дашборд'!$C$53,'Данные'!L637&lt;&gt;"Да"),"Да","Нет")</x:f>
        <x:v>Нет</x:v>
      </x:c>
      <x:c r="O637" s="1" t="str">
        <x:f>'Данные'!L637</x:f>
        <x:v>Нет</x:v>
      </x:c>
    </x:row>
    <x:row r="638">
      <x:c r="A638" s="1" t="str">
        <x:f>'Данные'!A638</x:f>
        <x:v>226527734</x:v>
      </x:c>
      <x:c r="B638" s="1" t="str">
        <x:f>'Данные'!B638</x:f>
        <x:v>futbolkaprint/TheMoment-141/молочный</x:v>
      </x:c>
      <x:c r="C638" s="8" t="n">
        <x:f>'Данные'!G638</x:f>
        <x:v>292458</x:v>
      </x:c>
      <x:c r="D638" s="15" t="n">
        <x:f>C638/SUM($C$5:$C$2477)</x:f>
        <x:v>0.0003416563460826333</x:v>
      </x:c>
      <x:c r="E638" s="15" t="n">
        <x:f>SUM($D$5:D638)</x:f>
        <x:v>0.8842779191817095</x:v>
      </x:c>
      <x:c r="F638" s="1" t="str">
        <x:f>IF(C638&lt;=0,"C",IF(E638-D638&lt;'Дашборд'!$C$49,"A",IF(E638-D638&lt;'Дашборд'!$C$50,"B","C")))</x:f>
        <x:v>B</x:v>
      </x:c>
      <x:c r="G638" s="8" t="n">
        <x:f>'Данные'!F638</x:f>
        <x:v>390</x:v>
      </x:c>
      <x:c r="H638" s="8" t="n">
        <x:f>SUM('Данные'!H638:I638)</x:f>
        <x:v>483</x:v>
      </x:c>
      <x:c r="I638" s="16" t="n">
        <x:f>IF(H638&gt;0,G638/H638,"n.a.")</x:f>
        <x:v>0.8074534161490683</x:v>
      </x:c>
      <x:c r="J638" s="10" t="n">
        <x:f>IF('Данные'!E638&gt;0,G638/'Данные'!E638,"n.a.")</x:f>
        <x:v>0.010642942910162646</x:v>
      </x:c>
      <x:c r="K638" s="1" t="str">
        <x:f>IF(G638&gt;='Дашборд'!$C$51,"X","Z")</x:f>
        <x:v>X</x:v>
      </x:c>
      <x:c r="L638" s="1" t="str">
        <x:f>IF(H638=0,IF(G638&gt;0,"Нет остатка","Нет спроса"),IF(I638&gt;='Дашборд'!$C$52,"Быстрый","Медленный"))</x:f>
        <x:v>Медленный</x:v>
      </x:c>
      <x:c r="M638" s="1" t="str">
        <x:f>IF('Данные'!E638&lt;'Дашборд'!$C$53,"Мало трафика",IF(J638&lt;'Дашборд'!$C$9*'Дашборд'!$C$54,"Да","Нет"))</x:f>
        <x:v>Нет</x:v>
      </x:c>
      <x:c r="N638" s="1" t="str">
        <x:f>IF(AND('Данные'!D638&gt;='Дашборд'!$C$55,D638&lt;'Дашборд'!$C$56,'Данные'!E638&gt;='Дашборд'!$C$53,'Данные'!L638&lt;&gt;"Да"),"Да","Нет")</x:f>
        <x:v>Да</x:v>
      </x:c>
      <x:c r="O638" s="1" t="str">
        <x:f>'Данные'!L638</x:f>
        <x:v>Нет</x:v>
      </x:c>
    </x:row>
    <x:row r="639">
      <x:c r="A639" s="1" t="str">
        <x:f>'Данные'!A639</x:f>
        <x:v>330860185</x:v>
      </x:c>
      <x:c r="B639" s="1" t="str">
        <x:f>'Данные'!B639</x:f>
        <x:v>kulirkamanprint/Create-280/коричневый</x:v>
      </x:c>
      <x:c r="C639" s="8" t="n">
        <x:f>'Данные'!G639</x:f>
        <x:v>290665</x:v>
      </x:c>
      <x:c r="D639" s="15" t="n">
        <x:f>C639/SUM($C$5:$C$2477)</x:f>
        <x:v>0.00033956172111588196</x:v>
      </x:c>
      <x:c r="E639" s="15" t="n">
        <x:f>SUM($D$5:D639)</x:f>
        <x:v>0.8846174809028254</x:v>
      </x:c>
      <x:c r="F639" s="1" t="str">
        <x:f>IF(C639&lt;=0,"C",IF(E639-D639&lt;'Дашборд'!$C$49,"A",IF(E639-D639&lt;'Дашборд'!$C$50,"B","C")))</x:f>
        <x:v>B</x:v>
      </x:c>
      <x:c r="G639" s="8" t="n">
        <x:f>'Данные'!F639</x:f>
        <x:v>634</x:v>
      </x:c>
      <x:c r="H639" s="8" t="n">
        <x:f>SUM('Данные'!H639:I639)</x:f>
        <x:v>42</x:v>
      </x:c>
      <x:c r="I639" s="16" t="n">
        <x:f>IF(H639&gt;0,G639/H639,"n.a.")</x:f>
        <x:v>15.095238095238095</x:v>
      </x:c>
      <x:c r="J639" s="10" t="n">
        <x:f>IF('Данные'!E639&gt;0,G639/'Данные'!E639,"n.a.")</x:f>
        <x:v>0.01758522175685796</x:v>
      </x:c>
      <x:c r="K639" s="1" t="str">
        <x:f>IF(G639&gt;='Дашборд'!$C$51,"X","Z")</x:f>
        <x:v>X</x:v>
      </x:c>
      <x:c r="L639" s="1" t="str">
        <x:f>IF(H639=0,IF(G639&gt;0,"Нет остатка","Нет спроса"),IF(I639&gt;='Дашборд'!$C$52,"Быстрый","Медленный"))</x:f>
        <x:v>Быстрый</x:v>
      </x:c>
      <x:c r="M639" s="1" t="str">
        <x:f>IF('Данные'!E639&lt;'Дашборд'!$C$53,"Мало трафика",IF(J639&lt;'Дашборд'!$C$9*'Дашборд'!$C$54,"Да","Нет"))</x:f>
        <x:v>Нет</x:v>
      </x:c>
      <x:c r="N639" s="1" t="str">
        <x:f>IF(AND('Данные'!D639&gt;='Дашборд'!$C$55,D639&lt;'Дашборд'!$C$56,'Данные'!E639&gt;='Дашборд'!$C$53,'Данные'!L639&lt;&gt;"Да"),"Да","Нет")</x:f>
        <x:v>Да</x:v>
      </x:c>
      <x:c r="O639" s="1" t="str">
        <x:f>'Данные'!L639</x:f>
        <x:v>Нет</x:v>
      </x:c>
    </x:row>
    <x:row r="640">
      <x:c r="A640" s="1" t="str">
        <x:f>'Данные'!A640</x:f>
        <x:v>245583555</x:v>
      </x:c>
      <x:c r="B640" s="1" t="str">
        <x:f>'Данные'!B640</x:f>
        <x:v>hudiprint/Never-155/светло-розовый</x:v>
      </x:c>
      <x:c r="C640" s="8" t="n">
        <x:f>'Данные'!G640</x:f>
        <x:v>290627</x:v>
      </x:c>
      <x:c r="D640" s="15" t="n">
        <x:f>C640/SUM($C$5:$C$2477)</x:f>
        <x:v>0.00033951732861798087</x:v>
      </x:c>
      <x:c r="E640" s="15" t="n">
        <x:f>SUM($D$5:D640)</x:f>
        <x:v>0.8849569982314435</x:v>
      </x:c>
      <x:c r="F640" s="1" t="str">
        <x:f>IF(C640&lt;=0,"C",IF(E640-D640&lt;'Дашборд'!$C$49,"A",IF(E640-D640&lt;'Дашборд'!$C$50,"B","C")))</x:f>
        <x:v>B</x:v>
      </x:c>
      <x:c r="G640" s="8" t="n">
        <x:f>'Данные'!F640</x:f>
        <x:v>268</x:v>
      </x:c>
      <x:c r="H640" s="8" t="n">
        <x:f>SUM('Данные'!H640:I640)</x:f>
        <x:v>3</x:v>
      </x:c>
      <x:c r="I640" s="16" t="n">
        <x:f>IF(H640&gt;0,G640/H640,"n.a.")</x:f>
        <x:v>89.33333333333333</x:v>
      </x:c>
      <x:c r="J640" s="10" t="n">
        <x:f>IF('Данные'!E640&gt;0,G640/'Данные'!E640,"n.a.")</x:f>
        <x:v>0.007607368929007352</x:v>
      </x:c>
      <x:c r="K640" s="1" t="str">
        <x:f>IF(G640&gt;='Дашборд'!$C$51,"X","Z")</x:f>
        <x:v>Z</x:v>
      </x:c>
      <x:c r="L640" s="1" t="str">
        <x:f>IF(H640=0,IF(G640&gt;0,"Нет остатка","Нет спроса"),IF(I640&gt;='Дашборд'!$C$52,"Быстрый","Медленный"))</x:f>
        <x:v>Быстрый</x:v>
      </x:c>
      <x:c r="M640" s="1" t="str">
        <x:f>IF('Данные'!E640&lt;'Дашборд'!$C$53,"Мало трафика",IF(J640&lt;'Дашборд'!$C$9*'Дашборд'!$C$54,"Да","Нет"))</x:f>
        <x:v>Да</x:v>
      </x:c>
      <x:c r="N640" s="1" t="str">
        <x:f>IF(AND('Данные'!D640&gt;='Дашборд'!$C$55,D640&lt;'Дашборд'!$C$56,'Данные'!E640&gt;='Дашборд'!$C$53,'Данные'!L640&lt;&gt;"Да"),"Да","Нет")</x:f>
        <x:v>Нет</x:v>
      </x:c>
      <x:c r="O640" s="1" t="str">
        <x:f>'Данные'!L640</x:f>
        <x:v>Нет</x:v>
      </x:c>
    </x:row>
    <x:row r="641">
      <x:c r="A641" s="1" t="str">
        <x:f>'Данные'!A641</x:f>
        <x:v>87045385</x:v>
      </x:c>
      <x:c r="B641" s="1" t="str">
        <x:f>'Данные'!B641</x:f>
        <x:v>kroptop/мятапыльная</x:v>
      </x:c>
      <x:c r="C641" s="8" t="n">
        <x:f>'Данные'!G641</x:f>
        <x:v>290564</x:v>
      </x:c>
      <x:c r="D641" s="15" t="n">
        <x:f>C641/SUM($C$5:$C$2477)</x:f>
        <x:v>0.0003394437305293555</x:v>
      </x:c>
      <x:c r="E641" s="15" t="n">
        <x:f>SUM($D$5:D641)</x:f>
        <x:v>0.8852964419619729</x:v>
      </x:c>
      <x:c r="F641" s="1" t="str">
        <x:f>IF(C641&lt;=0,"C",IF(E641-D641&lt;'Дашборд'!$C$49,"A",IF(E641-D641&lt;'Дашборд'!$C$50,"B","C")))</x:f>
        <x:v>B</x:v>
      </x:c>
      <x:c r="G641" s="8" t="n">
        <x:f>'Данные'!F641</x:f>
        <x:v>813</x:v>
      </x:c>
      <x:c r="H641" s="8" t="n">
        <x:f>SUM('Данные'!H641:I641)</x:f>
        <x:v>908</x:v>
      </x:c>
      <x:c r="I641" s="16" t="n">
        <x:f>IF(H641&gt;0,G641/H641,"n.a.")</x:f>
        <x:v>0.8953744493392071</x:v>
      </x:c>
      <x:c r="J641" s="10" t="n">
        <x:f>IF('Данные'!E641&gt;0,G641/'Данные'!E641,"n.a.")</x:f>
        <x:v>0.01566836262719704</x:v>
      </x:c>
      <x:c r="K641" s="1" t="str">
        <x:f>IF(G641&gt;='Дашборд'!$C$51,"X","Z")</x:f>
        <x:v>X</x:v>
      </x:c>
      <x:c r="L641" s="1" t="str">
        <x:f>IF(H641=0,IF(G641&gt;0,"Нет остатка","Нет спроса"),IF(I641&gt;='Дашборд'!$C$52,"Быстрый","Медленный"))</x:f>
        <x:v>Медленный</x:v>
      </x:c>
      <x:c r="M641" s="1" t="str">
        <x:f>IF('Данные'!E641&lt;'Дашборд'!$C$53,"Мало трафика",IF(J641&lt;'Дашборд'!$C$9*'Дашборд'!$C$54,"Да","Нет"))</x:f>
        <x:v>Нет</x:v>
      </x:c>
      <x:c r="N641" s="1" t="str">
        <x:f>IF(AND('Данные'!D641&gt;='Дашборд'!$C$55,D641&lt;'Дашборд'!$C$56,'Данные'!E641&gt;='Дашборд'!$C$53,'Данные'!L641&lt;&gt;"Да"),"Да","Нет")</x:f>
        <x:v>Нет</x:v>
      </x:c>
      <x:c r="O641" s="1" t="str">
        <x:f>'Данные'!L641</x:f>
        <x:v>Нет</x:v>
      </x:c>
    </x:row>
    <x:row r="642">
      <x:c r="A642" s="1" t="str">
        <x:f>'Данные'!A642</x:f>
        <x:v>311462395</x:v>
      </x:c>
      <x:c r="B642" s="1" t="str">
        <x:f>'Данные'!B642</x:f>
        <x:v>brukimanpetl/песочный</x:v>
      </x:c>
      <x:c r="C642" s="8" t="n">
        <x:f>'Данные'!G642</x:f>
        <x:v>289690</x:v>
      </x:c>
      <x:c r="D642" s="15" t="n">
        <x:f>C642/SUM($C$5:$C$2477)</x:f>
        <x:v>0.00033842270307763177</x:v>
      </x:c>
      <x:c r="E642" s="15" t="n">
        <x:f>SUM($D$5:D642)</x:f>
        <x:v>0.8856348646650505</x:v>
      </x:c>
      <x:c r="F642" s="1" t="str">
        <x:f>IF(C642&lt;=0,"C",IF(E642-D642&lt;'Дашборд'!$C$49,"A",IF(E642-D642&lt;'Дашборд'!$C$50,"B","C")))</x:f>
        <x:v>B</x:v>
      </x:c>
      <x:c r="G642" s="8" t="n">
        <x:f>'Данные'!F642</x:f>
        <x:v>353</x:v>
      </x:c>
      <x:c r="H642" s="8" t="n">
        <x:f>SUM('Данные'!H642:I642)</x:f>
        <x:v>268</x:v>
      </x:c>
      <x:c r="I642" s="16" t="n">
        <x:f>IF(H642&gt;0,G642/H642,"n.a.")</x:f>
        <x:v>1.3171641791044777</x:v>
      </x:c>
      <x:c r="J642" s="10" t="n">
        <x:f>IF('Данные'!E642&gt;0,G642/'Данные'!E642,"n.a.")</x:f>
        <x:v>0.024013605442176872</x:v>
      </x:c>
      <x:c r="K642" s="1" t="str">
        <x:f>IF(G642&gt;='Дашборд'!$C$51,"X","Z")</x:f>
        <x:v>X</x:v>
      </x:c>
      <x:c r="L642" s="1" t="str">
        <x:f>IF(H642=0,IF(G642&gt;0,"Нет остатка","Нет спроса"),IF(I642&gt;='Дашборд'!$C$52,"Быстрый","Медленный"))</x:f>
        <x:v>Быстрый</x:v>
      </x:c>
      <x:c r="M642" s="1" t="str">
        <x:f>IF('Данные'!E642&lt;'Дашборд'!$C$53,"Мало трафика",IF(J642&lt;'Дашборд'!$C$9*'Дашборд'!$C$54,"Да","Нет"))</x:f>
        <x:v>Нет</x:v>
      </x:c>
      <x:c r="N642" s="1" t="str">
        <x:f>IF(AND('Данные'!D642&gt;='Дашборд'!$C$55,D642&lt;'Дашборд'!$C$56,'Данные'!E642&gt;='Дашборд'!$C$53,'Данные'!L642&lt;&gt;"Да"),"Да","Нет")</x:f>
        <x:v>Нет</x:v>
      </x:c>
      <x:c r="O642" s="1" t="str">
        <x:f>'Данные'!L642</x:f>
        <x:v>Нет</x:v>
      </x:c>
    </x:row>
    <x:row r="643">
      <x:c r="A643" s="1" t="str">
        <x:f>'Данные'!A643</x:f>
        <x:v>237301001</x:v>
      </x:c>
      <x:c r="B643" s="1" t="str">
        <x:f>'Данные'!B643</x:f>
        <x:v>longoverprint/Goodvibes-50/молочный</x:v>
      </x:c>
      <x:c r="C643" s="8" t="n">
        <x:f>'Данные'!G643</x:f>
        <x:v>288885</x:v>
      </x:c>
      <x:c r="D643" s="15" t="n">
        <x:f>C643/SUM($C$5:$C$2477)</x:f>
        <x:v>0.00033748228305630724</x:v>
      </x:c>
      <x:c r="E643" s="15" t="n">
        <x:f>SUM($D$5:D643)</x:f>
        <x:v>0.8859723469481068</x:v>
      </x:c>
      <x:c r="F643" s="1" t="str">
        <x:f>IF(C643&lt;=0,"C",IF(E643-D643&lt;'Дашборд'!$C$49,"A",IF(E643-D643&lt;'Дашборд'!$C$50,"B","C")))</x:f>
        <x:v>B</x:v>
      </x:c>
      <x:c r="G643" s="8" t="n">
        <x:f>'Данные'!F643</x:f>
        <x:v>542</x:v>
      </x:c>
      <x:c r="H643" s="8" t="n">
        <x:f>SUM('Данные'!H643:I643)</x:f>
        <x:v>232</x:v>
      </x:c>
      <x:c r="I643" s="16" t="n">
        <x:f>IF(H643&gt;0,G643/H643,"n.a.")</x:f>
        <x:v>2.336206896551724</x:v>
      </x:c>
      <x:c r="J643" s="10" t="n">
        <x:f>IF('Данные'!E643&gt;0,G643/'Данные'!E643,"n.a.")</x:f>
        <x:v>0.011960719408584354</x:v>
      </x:c>
      <x:c r="K643" s="1" t="str">
        <x:f>IF(G643&gt;='Дашборд'!$C$51,"X","Z")</x:f>
        <x:v>X</x:v>
      </x:c>
      <x:c r="L643" s="1" t="str">
        <x:f>IF(H643=0,IF(G643&gt;0,"Нет остатка","Нет спроса"),IF(I643&gt;='Дашборд'!$C$52,"Быстрый","Медленный"))</x:f>
        <x:v>Быстрый</x:v>
      </x:c>
      <x:c r="M643" s="1" t="str">
        <x:f>IF('Данные'!E643&lt;'Дашборд'!$C$53,"Мало трафика",IF(J643&lt;'Дашборд'!$C$9*'Дашборд'!$C$54,"Да","Нет"))</x:f>
        <x:v>Нет</x:v>
      </x:c>
      <x:c r="N643" s="1" t="str">
        <x:f>IF(AND('Данные'!D643&gt;='Дашборд'!$C$55,D643&lt;'Дашборд'!$C$56,'Данные'!E643&gt;='Дашборд'!$C$53,'Данные'!L643&lt;&gt;"Да"),"Да","Нет")</x:f>
        <x:v>Да</x:v>
      </x:c>
      <x:c r="O643" s="1" t="str">
        <x:f>'Данные'!L643</x:f>
        <x:v>Нет</x:v>
      </x:c>
    </x:row>
    <x:row r="644">
      <x:c r="A644" s="1" t="str">
        <x:f>'Данные'!A644</x:f>
        <x:v>19347031</x:v>
      </x:c>
      <x:c r="B644" s="1" t="str">
        <x:f>'Данные'!B644</x:f>
        <x:v>bruki/графит</x:v>
      </x:c>
      <x:c r="C644" s="8" t="n">
        <x:f>'Данные'!G644</x:f>
        <x:v>288259</x:v>
      </x:c>
      <x:c r="D644" s="15" t="n">
        <x:f>C644/SUM($C$5:$C$2477)</x:f>
        <x:v>0.0003367509750645692</x:v>
      </x:c>
      <x:c r="E644" s="15" t="n">
        <x:f>SUM($D$5:D644)</x:f>
        <x:v>0.8863090979231714</x:v>
      </x:c>
      <x:c r="F644" s="1" t="str">
        <x:f>IF(C644&lt;=0,"C",IF(E644-D644&lt;'Дашборд'!$C$49,"A",IF(E644-D644&lt;'Дашборд'!$C$50,"B","C")))</x:f>
        <x:v>B</x:v>
      </x:c>
      <x:c r="G644" s="8" t="n">
        <x:f>'Данные'!F644</x:f>
        <x:v>428</x:v>
      </x:c>
      <x:c r="H644" s="8" t="n">
        <x:f>SUM('Данные'!H644:I644)</x:f>
        <x:v>908</x:v>
      </x:c>
      <x:c r="I644" s="16" t="n">
        <x:f>IF(H644&gt;0,G644/H644,"n.a.")</x:f>
        <x:v>0.4713656387665198</x:v>
      </x:c>
      <x:c r="J644" s="10" t="n">
        <x:f>IF('Данные'!E644&gt;0,G644/'Данные'!E644,"n.a.")</x:f>
        <x:v>0.02008258258258258</x:v>
      </x:c>
      <x:c r="K644" s="1" t="str">
        <x:f>IF(G644&gt;='Дашборд'!$C$51,"X","Z")</x:f>
        <x:v>X</x:v>
      </x:c>
      <x:c r="L644" s="1" t="str">
        <x:f>IF(H644=0,IF(G644&gt;0,"Нет остатка","Нет спроса"),IF(I644&gt;='Дашборд'!$C$52,"Быстрый","Медленный"))</x:f>
        <x:v>Медленный</x:v>
      </x:c>
      <x:c r="M644" s="1" t="str">
        <x:f>IF('Данные'!E644&lt;'Дашборд'!$C$53,"Мало трафика",IF(J644&lt;'Дашборд'!$C$9*'Дашборд'!$C$54,"Да","Нет"))</x:f>
        <x:v>Нет</x:v>
      </x:c>
      <x:c r="N644" s="1" t="str">
        <x:f>IF(AND('Данные'!D644&gt;='Дашборд'!$C$55,D644&lt;'Дашборд'!$C$56,'Данные'!E644&gt;='Дашборд'!$C$53,'Данные'!L644&lt;&gt;"Да"),"Да","Нет")</x:f>
        <x:v>Нет</x:v>
      </x:c>
      <x:c r="O644" s="1" t="str">
        <x:f>'Данные'!L644</x:f>
        <x:v>Нет</x:v>
      </x:c>
    </x:row>
    <x:row r="645">
      <x:c r="A645" s="1" t="str">
        <x:f>'Данные'!A645</x:f>
        <x:v>171386732</x:v>
      </x:c>
      <x:c r="B645" s="1" t="str">
        <x:f>'Данные'!B645</x:f>
        <x:v>svitshotman/белый</x:v>
      </x:c>
      <x:c r="C645" s="8" t="n">
        <x:f>'Данные'!G645</x:f>
        <x:v>288082</x:v>
      </x:c>
      <x:c r="D645" s="15" t="n">
        <x:f>C645/SUM($C$5:$C$2477)</x:f>
        <x:v>0.0003365441994822407</x:v>
      </x:c>
      <x:c r="E645" s="15" t="n">
        <x:f>SUM($D$5:D645)</x:f>
        <x:v>0.8866456421226536</x:v>
      </x:c>
      <x:c r="F645" s="1" t="str">
        <x:f>IF(C645&lt;=0,"C",IF(E645-D645&lt;'Дашборд'!$C$49,"A",IF(E645-D645&lt;'Дашборд'!$C$50,"B","C")))</x:f>
        <x:v>B</x:v>
      </x:c>
      <x:c r="G645" s="8" t="n">
        <x:f>'Данные'!F645</x:f>
        <x:v>356</x:v>
      </x:c>
      <x:c r="H645" s="8" t="n">
        <x:f>SUM('Данные'!H645:I645)</x:f>
        <x:v>149</x:v>
      </x:c>
      <x:c r="I645" s="16" t="n">
        <x:f>IF(H645&gt;0,G645/H645,"n.a.")</x:f>
        <x:v>2.389261744966443</x:v>
      </x:c>
      <x:c r="J645" s="10" t="n">
        <x:f>IF('Данные'!E645&gt;0,G645/'Данные'!E645,"n.a.")</x:f>
        <x:v>0.032606704524638215</x:v>
      </x:c>
      <x:c r="K645" s="1" t="str">
        <x:f>IF(G645&gt;='Дашборд'!$C$51,"X","Z")</x:f>
        <x:v>X</x:v>
      </x:c>
      <x:c r="L645" s="1" t="str">
        <x:f>IF(H645=0,IF(G645&gt;0,"Нет остатка","Нет спроса"),IF(I645&gt;='Дашборд'!$C$52,"Быстрый","Медленный"))</x:f>
        <x:v>Быстрый</x:v>
      </x:c>
      <x:c r="M645" s="1" t="str">
        <x:f>IF('Данные'!E645&lt;'Дашборд'!$C$53,"Мало трафика",IF(J645&lt;'Дашборд'!$C$9*'Дашборд'!$C$54,"Да","Нет"))</x:f>
        <x:v>Нет</x:v>
      </x:c>
      <x:c r="N645" s="1" t="str">
        <x:f>IF(AND('Данные'!D645&gt;='Дашборд'!$C$55,D645&lt;'Дашборд'!$C$56,'Данные'!E645&gt;='Дашборд'!$C$53,'Данные'!L645&lt;&gt;"Да"),"Да","Нет")</x:f>
        <x:v>Нет</x:v>
      </x:c>
      <x:c r="O645" s="1" t="str">
        <x:f>'Данные'!L645</x:f>
        <x:v>Нет</x:v>
      </x:c>
    </x:row>
    <x:row r="646">
      <x:c r="A646" s="1" t="str">
        <x:f>'Данные'!A646</x:f>
        <x:v>210618391</x:v>
      </x:c>
      <x:c r="B646" s="1" t="str">
        <x:f>'Данные'!B646</x:f>
        <x:v>kostkulirkaover/дымка</x:v>
      </x:c>
      <x:c r="C646" s="8" t="n">
        <x:f>'Данные'!G646</x:f>
        <x:v>287714</x:v>
      </x:c>
      <x:c r="D646" s="15" t="n">
        <x:f>C646/SUM($C$5:$C$2477)</x:f>
        <x:v>0.00033611429318677807</x:v>
      </x:c>
      <x:c r="E646" s="15" t="n">
        <x:f>SUM($D$5:D646)</x:f>
        <x:v>0.8869817564158404</x:v>
      </x:c>
      <x:c r="F646" s="1" t="str">
        <x:f>IF(C646&lt;=0,"C",IF(E646-D646&lt;'Дашборд'!$C$49,"A",IF(E646-D646&lt;'Дашборд'!$C$50,"B","C")))</x:f>
        <x:v>B</x:v>
      </x:c>
      <x:c r="G646" s="8" t="n">
        <x:f>'Данные'!F646</x:f>
        <x:v>378</x:v>
      </x:c>
      <x:c r="H646" s="8" t="n">
        <x:f>SUM('Данные'!H646:I646)</x:f>
        <x:v>208</x:v>
      </x:c>
      <x:c r="I646" s="16" t="n">
        <x:f>IF(H646&gt;0,G646/H646,"n.a.")</x:f>
        <x:v>1.8173076923076923</x:v>
      </x:c>
      <x:c r="J646" s="10" t="n">
        <x:f>IF('Данные'!E646&gt;0,G646/'Данные'!E646,"n.a.")</x:f>
        <x:v>0.009255631733594515</x:v>
      </x:c>
      <x:c r="K646" s="1" t="str">
        <x:f>IF(G646&gt;='Дашборд'!$C$51,"X","Z")</x:f>
        <x:v>X</x:v>
      </x:c>
      <x:c r="L646" s="1" t="str">
        <x:f>IF(H646=0,IF(G646&gt;0,"Нет остатка","Нет спроса"),IF(I646&gt;='Дашборд'!$C$52,"Быстрый","Медленный"))</x:f>
        <x:v>Быстрый</x:v>
      </x:c>
      <x:c r="M646" s="1" t="str">
        <x:f>IF('Данные'!E646&lt;'Дашборд'!$C$53,"Мало трафика",IF(J646&lt;'Дашборд'!$C$9*'Дашборд'!$C$54,"Да","Нет"))</x:f>
        <x:v>Да</x:v>
      </x:c>
      <x:c r="N646" s="1" t="str">
        <x:f>IF(AND('Данные'!D646&gt;='Дашборд'!$C$55,D646&lt;'Дашборд'!$C$56,'Данные'!E646&gt;='Дашборд'!$C$53,'Данные'!L646&lt;&gt;"Да"),"Да","Нет")</x:f>
        <x:v>Нет</x:v>
      </x:c>
      <x:c r="O646" s="1" t="str">
        <x:f>'Данные'!L646</x:f>
        <x:v>Нет</x:v>
      </x:c>
    </x:row>
    <x:row r="647">
      <x:c r="A647" s="1" t="str">
        <x:f>'Данные'!A647</x:f>
        <x:v>197226291</x:v>
      </x:c>
      <x:c r="B647" s="1" t="str">
        <x:f>'Данные'!B647</x:f>
        <x:v>hudiprint/B_YN-48/черный</x:v>
      </x:c>
      <x:c r="C647" s="8" t="n">
        <x:f>'Данные'!G647</x:f>
        <x:v>287315</x:v>
      </x:c>
      <x:c r="D647" s="15" t="n">
        <x:f>C647/SUM($C$5:$C$2477)</x:f>
        <x:v>0.00033564817195881727</x:v>
      </x:c>
      <x:c r="E647" s="15" t="n">
        <x:f>SUM($D$5:D647)</x:f>
        <x:v>0.8873174045877993</x:v>
      </x:c>
      <x:c r="F647" s="1" t="str">
        <x:f>IF(C647&lt;=0,"C",IF(E647-D647&lt;'Дашборд'!$C$49,"A",IF(E647-D647&lt;'Дашборд'!$C$50,"B","C")))</x:f>
        <x:v>B</x:v>
      </x:c>
      <x:c r="G647" s="8" t="n">
        <x:f>'Данные'!F647</x:f>
        <x:v>296</x:v>
      </x:c>
      <x:c r="H647" s="8" t="n">
        <x:f>SUM('Данные'!H647:I647)</x:f>
        <x:v>338</x:v>
      </x:c>
      <x:c r="I647" s="16" t="n">
        <x:f>IF(H647&gt;0,G647/H647,"n.a.")</x:f>
        <x:v>0.8757396449704142</x:v>
      </x:c>
      <x:c r="J647" s="10" t="n">
        <x:f>IF('Данные'!E647&gt;0,G647/'Данные'!E647,"n.a.")</x:f>
        <x:v>0.011787193373685887</x:v>
      </x:c>
      <x:c r="K647" s="1" t="str">
        <x:f>IF(G647&gt;='Дашборд'!$C$51,"X","Z")</x:f>
        <x:v>X</x:v>
      </x:c>
      <x:c r="L647" s="1" t="str">
        <x:f>IF(H647=0,IF(G647&gt;0,"Нет остатка","Нет спроса"),IF(I647&gt;='Дашборд'!$C$52,"Быстрый","Медленный"))</x:f>
        <x:v>Медленный</x:v>
      </x:c>
      <x:c r="M647" s="1" t="str">
        <x:f>IF('Данные'!E647&lt;'Дашборд'!$C$53,"Мало трафика",IF(J647&lt;'Дашборд'!$C$9*'Дашборд'!$C$54,"Да","Нет"))</x:f>
        <x:v>Нет</x:v>
      </x:c>
      <x:c r="N647" s="1" t="str">
        <x:f>IF(AND('Данные'!D647&gt;='Дашборд'!$C$55,D647&lt;'Дашборд'!$C$56,'Данные'!E647&gt;='Дашборд'!$C$53,'Данные'!L647&lt;&gt;"Да"),"Да","Нет")</x:f>
        <x:v>Да</x:v>
      </x:c>
      <x:c r="O647" s="1" t="str">
        <x:f>'Данные'!L647</x:f>
        <x:v>Нет</x:v>
      </x:c>
    </x:row>
    <x:row r="648">
      <x:c r="A648" s="1" t="str">
        <x:f>'Данные'!A648</x:f>
        <x:v>343238682</x:v>
      </x:c>
      <x:c r="B648" s="1" t="str">
        <x:f>'Данные'!B648</x:f>
        <x:v>sweatervyaz/светло-розовый</x:v>
      </x:c>
      <x:c r="C648" s="8" t="n">
        <x:f>'Данные'!G648</x:f>
        <x:v>285897</x:v>
      </x:c>
      <x:c r="D648" s="15" t="n">
        <x:f>C648/SUM($C$5:$C$2477)</x:f>
        <x:v>0.00033399163085293137</x:v>
      </x:c>
      <x:c r="E648" s="15" t="n">
        <x:f>SUM($D$5:D648)</x:f>
        <x:v>0.8876513962186522</x:v>
      </x:c>
      <x:c r="F648" s="1" t="str">
        <x:f>IF(C648&lt;=0,"C",IF(E648-D648&lt;'Дашборд'!$C$49,"A",IF(E648-D648&lt;'Дашборд'!$C$50,"B","C")))</x:f>
        <x:v>B</x:v>
      </x:c>
      <x:c r="G648" s="8" t="n">
        <x:f>'Данные'!F648</x:f>
        <x:v>425</x:v>
      </x:c>
      <x:c r="H648" s="8" t="n">
        <x:f>SUM('Данные'!H648:I648)</x:f>
        <x:v>3</x:v>
      </x:c>
      <x:c r="I648" s="16" t="n">
        <x:f>IF(H648&gt;0,G648/H648,"n.a.")</x:f>
        <x:v>141.66666666666666</x:v>
      </x:c>
      <x:c r="J648" s="10" t="n">
        <x:f>IF('Данные'!E648&gt;0,G648/'Данные'!E648,"n.a.")</x:f>
        <x:v>0.007748122219791439</x:v>
      </x:c>
      <x:c r="K648" s="1" t="str">
        <x:f>IF(G648&gt;='Дашборд'!$C$51,"X","Z")</x:f>
        <x:v>X</x:v>
      </x:c>
      <x:c r="L648" s="1" t="str">
        <x:f>IF(H648=0,IF(G648&gt;0,"Нет остатка","Нет спроса"),IF(I648&gt;='Дашборд'!$C$52,"Быстрый","Медленный"))</x:f>
        <x:v>Быстрый</x:v>
      </x:c>
      <x:c r="M648" s="1" t="str">
        <x:f>IF('Данные'!E648&lt;'Дашборд'!$C$53,"Мало трафика",IF(J648&lt;'Дашборд'!$C$9*'Дашборд'!$C$54,"Да","Нет"))</x:f>
        <x:v>Да</x:v>
      </x:c>
      <x:c r="N648" s="1" t="str">
        <x:f>IF(AND('Данные'!D648&gt;='Дашборд'!$C$55,D648&lt;'Дашборд'!$C$56,'Данные'!E648&gt;='Дашборд'!$C$53,'Данные'!L648&lt;&gt;"Да"),"Да","Нет")</x:f>
        <x:v>Нет</x:v>
      </x:c>
      <x:c r="O648" s="1" t="str">
        <x:f>'Данные'!L648</x:f>
        <x:v>Нет</x:v>
      </x:c>
    </x:row>
    <x:row r="649">
      <x:c r="A649" s="1" t="str">
        <x:f>'Данные'!A649</x:f>
        <x:v>333323573</x:v>
      </x:c>
      <x:c r="B649" s="1" t="str">
        <x:f>'Данные'!B649</x:f>
        <x:v>hudicroppetl/графит</x:v>
      </x:c>
      <x:c r="C649" s="8" t="n">
        <x:f>'Данные'!G649</x:f>
        <x:v>285196</x:v>
      </x:c>
      <x:c r="D649" s="15" t="n">
        <x:f>C649/SUM($C$5:$C$2477)</x:f>
        <x:v>0.0003331727060890202</x:v>
      </x:c>
      <x:c r="E649" s="15" t="n">
        <x:f>SUM($D$5:D649)</x:f>
        <x:v>0.8879845689247412</x:v>
      </x:c>
      <x:c r="F649" s="1" t="str">
        <x:f>IF(C649&lt;=0,"C",IF(E649-D649&lt;'Дашборд'!$C$49,"A",IF(E649-D649&lt;'Дашборд'!$C$50,"B","C")))</x:f>
        <x:v>B</x:v>
      </x:c>
      <x:c r="G649" s="8" t="n">
        <x:f>'Данные'!F649</x:f>
        <x:v>295</x:v>
      </x:c>
      <x:c r="H649" s="8" t="n">
        <x:f>SUM('Данные'!H649:I649)</x:f>
        <x:v>63</x:v>
      </x:c>
      <x:c r="I649" s="16" t="n">
        <x:f>IF(H649&gt;0,G649/H649,"n.a.")</x:f>
        <x:v>4.682539682539683</x:v>
      </x:c>
      <x:c r="J649" s="10" t="n">
        <x:f>IF('Данные'!E649&gt;0,G649/'Данные'!E649,"n.a.")</x:f>
        <x:v>0.012679446402475716</x:v>
      </x:c>
      <x:c r="K649" s="1" t="str">
        <x:f>IF(G649&gt;='Дашборд'!$C$51,"X","Z")</x:f>
        <x:v>X</x:v>
      </x:c>
      <x:c r="L649" s="1" t="str">
        <x:f>IF(H649=0,IF(G649&gt;0,"Нет остатка","Нет спроса"),IF(I649&gt;='Дашборд'!$C$52,"Быстрый","Медленный"))</x:f>
        <x:v>Быстрый</x:v>
      </x:c>
      <x:c r="M649" s="1" t="str">
        <x:f>IF('Данные'!E649&lt;'Дашборд'!$C$53,"Мало трафика",IF(J649&lt;'Дашборд'!$C$9*'Дашборд'!$C$54,"Да","Нет"))</x:f>
        <x:v>Нет</x:v>
      </x:c>
      <x:c r="N649" s="1" t="str">
        <x:f>IF(AND('Данные'!D649&gt;='Дашборд'!$C$55,D649&lt;'Дашборд'!$C$56,'Данные'!E649&gt;='Дашборд'!$C$53,'Данные'!L649&lt;&gt;"Да"),"Да","Нет")</x:f>
        <x:v>Нет</x:v>
      </x:c>
      <x:c r="O649" s="1" t="str">
        <x:f>'Данные'!L649</x:f>
        <x:v>Нет</x:v>
      </x:c>
    </x:row>
    <x:row r="650">
      <x:c r="A650" s="1" t="str">
        <x:f>'Данные'!A650</x:f>
        <x:v>193100113</x:v>
      </x:c>
      <x:c r="B650" s="1" t="str">
        <x:f>'Данные'!B650</x:f>
        <x:v>svitshotzip1/песочный</x:v>
      </x:c>
      <x:c r="C650" s="8" t="n">
        <x:f>'Данные'!G650</x:f>
        <x:v>284881</x:v>
      </x:c>
      <x:c r="D650" s="15" t="n">
        <x:f>C650/SUM($C$5:$C$2477)</x:f>
        <x:v>0.00033280471564589326</x:v>
      </x:c>
      <x:c r="E650" s="15" t="n">
        <x:f>SUM($D$5:D650)</x:f>
        <x:v>0.8883173736403871</x:v>
      </x:c>
      <x:c r="F650" s="1" t="str">
        <x:f>IF(C650&lt;=0,"C",IF(E650-D650&lt;'Дашборд'!$C$49,"A",IF(E650-D650&lt;'Дашборд'!$C$50,"B","C")))</x:f>
        <x:v>B</x:v>
      </x:c>
      <x:c r="G650" s="8" t="n">
        <x:f>'Данные'!F650</x:f>
        <x:v>413</x:v>
      </x:c>
      <x:c r="H650" s="8" t="n">
        <x:f>SUM('Данные'!H650:I650)</x:f>
        <x:v>242</x:v>
      </x:c>
      <x:c r="I650" s="16" t="n">
        <x:f>IF(H650&gt;0,G650/H650,"n.a.")</x:f>
        <x:v>1.7066115702479339</x:v>
      </x:c>
      <x:c r="J650" s="10" t="n">
        <x:f>IF('Данные'!E650&gt;0,G650/'Данные'!E650,"n.a.")</x:f>
        <x:v>0.011736955780379674</x:v>
      </x:c>
      <x:c r="K650" s="1" t="str">
        <x:f>IF(G650&gt;='Дашборд'!$C$51,"X","Z")</x:f>
        <x:v>X</x:v>
      </x:c>
      <x:c r="L650" s="1" t="str">
        <x:f>IF(H650=0,IF(G650&gt;0,"Нет остатка","Нет спроса"),IF(I650&gt;='Дашборд'!$C$52,"Быстрый","Медленный"))</x:f>
        <x:v>Быстрый</x:v>
      </x:c>
      <x:c r="M650" s="1" t="str">
        <x:f>IF('Данные'!E650&lt;'Дашборд'!$C$53,"Мало трафика",IF(J650&lt;'Дашборд'!$C$9*'Дашборд'!$C$54,"Да","Нет"))</x:f>
        <x:v>Нет</x:v>
      </x:c>
      <x:c r="N650" s="1" t="str">
        <x:f>IF(AND('Данные'!D650&gt;='Дашборд'!$C$55,D650&lt;'Дашборд'!$C$56,'Данные'!E650&gt;='Дашборд'!$C$53,'Данные'!L650&lt;&gt;"Да"),"Да","Нет")</x:f>
        <x:v>Да</x:v>
      </x:c>
      <x:c r="O650" s="1" t="str">
        <x:f>'Данные'!L650</x:f>
        <x:v>Нет</x:v>
      </x:c>
    </x:row>
    <x:row r="651">
      <x:c r="A651" s="1" t="str">
        <x:f>'Данные'!A651</x:f>
        <x:v>165911184</x:v>
      </x:c>
      <x:c r="B651" s="1" t="str">
        <x:f>'Данные'!B651</x:f>
        <x:v>longman/бордовый</x:v>
      </x:c>
      <x:c r="C651" s="8" t="n">
        <x:f>'Данные'!G651</x:f>
        <x:v>284852</x:v>
      </x:c>
      <x:c r="D651" s="15" t="n">
        <x:f>C651/SUM($C$5:$C$2477)</x:f>
        <x:v>0.000332770837160653</x:v>
      </x:c>
      <x:c r="E651" s="15" t="n">
        <x:f>SUM($D$5:D651)</x:f>
        <x:v>0.8886501444775478</x:v>
      </x:c>
      <x:c r="F651" s="1" t="str">
        <x:f>IF(C651&lt;=0,"C",IF(E651-D651&lt;'Дашборд'!$C$49,"A",IF(E651-D651&lt;'Дашборд'!$C$50,"B","C")))</x:f>
        <x:v>B</x:v>
      </x:c>
      <x:c r="G651" s="8" t="n">
        <x:f>'Данные'!F651</x:f>
        <x:v>555</x:v>
      </x:c>
      <x:c r="H651" s="8" t="n">
        <x:f>SUM('Данные'!H651:I651)</x:f>
        <x:v>1620</x:v>
      </x:c>
      <x:c r="I651" s="16" t="n">
        <x:f>IF(H651&gt;0,G651/H651,"n.a.")</x:f>
        <x:v>0.3425925925925926</x:v>
      </x:c>
      <x:c r="J651" s="10" t="n">
        <x:f>IF('Данные'!E651&gt;0,G651/'Данные'!E651,"n.a.")</x:f>
        <x:v>0.02273658336747235</x:v>
      </x:c>
      <x:c r="K651" s="1" t="str">
        <x:f>IF(G651&gt;='Дашборд'!$C$51,"X","Z")</x:f>
        <x:v>X</x:v>
      </x:c>
      <x:c r="L651" s="1" t="str">
        <x:f>IF(H651=0,IF(G651&gt;0,"Нет остатка","Нет спроса"),IF(I651&gt;='Дашборд'!$C$52,"Быстрый","Медленный"))</x:f>
        <x:v>Медленный</x:v>
      </x:c>
      <x:c r="M651" s="1" t="str">
        <x:f>IF('Данные'!E651&lt;'Дашборд'!$C$53,"Мало трафика",IF(J651&lt;'Дашборд'!$C$9*'Дашборд'!$C$54,"Да","Нет"))</x:f>
        <x:v>Нет</x:v>
      </x:c>
      <x:c r="N651" s="1" t="str">
        <x:f>IF(AND('Данные'!D651&gt;='Дашборд'!$C$55,D651&lt;'Дашборд'!$C$56,'Данные'!E651&gt;='Дашборд'!$C$53,'Данные'!L651&lt;&gt;"Да"),"Да","Нет")</x:f>
        <x:v>Нет</x:v>
      </x:c>
      <x:c r="O651" s="1" t="str">
        <x:f>'Данные'!L651</x:f>
        <x:v>Нет</x:v>
      </x:c>
    </x:row>
    <x:row r="652">
      <x:c r="A652" s="1" t="str">
        <x:f>'Данные'!A652</x:f>
        <x:v>321695811</x:v>
      </x:c>
      <x:c r="B652" s="1" t="str">
        <x:f>'Данные'!B652</x:f>
        <x:v>polowoman3K-89/какао</x:v>
      </x:c>
      <x:c r="C652" s="8" t="n">
        <x:f>'Данные'!G652</x:f>
        <x:v>284595</x:v>
      </x:c>
      <x:c r="D652" s="15" t="n">
        <x:f>C652/SUM($C$5:$C$2477)</x:f>
        <x:v>0.0003324706036880065</x:v>
      </x:c>
      <x:c r="E652" s="15" t="n">
        <x:f>SUM($D$5:D652)</x:f>
        <x:v>0.8889826150812358</x:v>
      </x:c>
      <x:c r="F652" s="1" t="str">
        <x:f>IF(C652&lt;=0,"C",IF(E652-D652&lt;'Дашборд'!$C$49,"A",IF(E652-D652&lt;'Дашборд'!$C$50,"B","C")))</x:f>
        <x:v>B</x:v>
      </x:c>
      <x:c r="G652" s="8" t="n">
        <x:f>'Данные'!F652</x:f>
        <x:v>632</x:v>
      </x:c>
      <x:c r="H652" s="8" t="n">
        <x:f>SUM('Данные'!H652:I652)</x:f>
        <x:v>3</x:v>
      </x:c>
      <x:c r="I652" s="16" t="n">
        <x:f>IF(H652&gt;0,G652/H652,"n.a.")</x:f>
        <x:v>210.66666666666666</x:v>
      </x:c>
      <x:c r="J652" s="10" t="n">
        <x:f>IF('Данные'!E652&gt;0,G652/'Данные'!E652,"n.a.")</x:f>
        <x:v>0.008320716213547494</x:v>
      </x:c>
      <x:c r="K652" s="1" t="str">
        <x:f>IF(G652&gt;='Дашборд'!$C$51,"X","Z")</x:f>
        <x:v>X</x:v>
      </x:c>
      <x:c r="L652" s="1" t="str">
        <x:f>IF(H652=0,IF(G652&gt;0,"Нет остатка","Нет спроса"),IF(I652&gt;='Дашборд'!$C$52,"Быстрый","Медленный"))</x:f>
        <x:v>Быстрый</x:v>
      </x:c>
      <x:c r="M652" s="1" t="str">
        <x:f>IF('Данные'!E652&lt;'Дашборд'!$C$53,"Мало трафика",IF(J652&lt;'Дашборд'!$C$9*'Дашборд'!$C$54,"Да","Нет"))</x:f>
        <x:v>Да</x:v>
      </x:c>
      <x:c r="N652" s="1" t="str">
        <x:f>IF(AND('Данные'!D652&gt;='Дашборд'!$C$55,D652&lt;'Дашборд'!$C$56,'Данные'!E652&gt;='Дашборд'!$C$53,'Данные'!L652&lt;&gt;"Да"),"Да","Нет")</x:f>
        <x:v>Нет</x:v>
      </x:c>
      <x:c r="O652" s="1" t="str">
        <x:f>'Данные'!L652</x:f>
        <x:v>Нет</x:v>
      </x:c>
    </x:row>
    <x:row r="653">
      <x:c r="A653" s="1" t="str">
        <x:f>'Данные'!A653</x:f>
        <x:v>233262516</x:v>
      </x:c>
      <x:c r="B653" s="1" t="str">
        <x:f>'Данные'!B653</x:f>
        <x:v>2Nshortyman/кофейный</x:v>
      </x:c>
      <x:c r="C653" s="8" t="n">
        <x:f>'Данные'!G653</x:f>
        <x:v>283228</x:v>
      </x:c>
      <x:c r="D653" s="15" t="n">
        <x:f>C653/SUM($C$5:$C$2477)</x:f>
        <x:v>0.00033087364198719835</x:v>
      </x:c>
      <x:c r="E653" s="15" t="n">
        <x:f>SUM($D$5:D653)</x:f>
        <x:v>0.889313488723223</x:v>
      </x:c>
      <x:c r="F653" s="1" t="str">
        <x:f>IF(C653&lt;=0,"C",IF(E653-D653&lt;'Дашборд'!$C$49,"A",IF(E653-D653&lt;'Дашборд'!$C$50,"B","C")))</x:f>
        <x:v>B</x:v>
      </x:c>
      <x:c r="G653" s="8" t="n">
        <x:f>'Данные'!F653</x:f>
        <x:v>607</x:v>
      </x:c>
      <x:c r="H653" s="8" t="n">
        <x:f>SUM('Данные'!H653:I653)</x:f>
        <x:v>0</x:v>
      </x:c>
      <x:c r="I653" s="16" t="str">
        <x:f>IF(H653&gt;0,G653/H653,"n.a.")</x:f>
        <x:v>n.a.</x:v>
      </x:c>
      <x:c r="J653" s="10" t="n">
        <x:f>IF('Данные'!E653&gt;0,G653/'Данные'!E653,"n.a.")</x:f>
        <x:v>0.0295708091781556</x:v>
      </x:c>
      <x:c r="K653" s="1" t="str">
        <x:f>IF(G653&gt;='Дашборд'!$C$51,"X","Z")</x:f>
        <x:v>X</x:v>
      </x:c>
      <x:c r="L653" s="1" t="str">
        <x:f>IF(H653=0,IF(G653&gt;0,"Нет остатка","Нет спроса"),IF(I653&gt;='Дашборд'!$C$52,"Быстрый","Медленный"))</x:f>
        <x:v>Нет остатка</x:v>
      </x:c>
      <x:c r="M653" s="1" t="str">
        <x:f>IF('Данные'!E653&lt;'Дашборд'!$C$53,"Мало трафика",IF(J653&lt;'Дашборд'!$C$9*'Дашборд'!$C$54,"Да","Нет"))</x:f>
        <x:v>Нет</x:v>
      </x:c>
      <x:c r="N653" s="1" t="str">
        <x:f>IF(AND('Данные'!D653&gt;='Дашборд'!$C$55,D653&lt;'Дашборд'!$C$56,'Данные'!E653&gt;='Дашборд'!$C$53,'Данные'!L653&lt;&gt;"Да"),"Да","Нет")</x:f>
        <x:v>Нет</x:v>
      </x:c>
      <x:c r="O653" s="1" t="str">
        <x:f>'Данные'!L653</x:f>
        <x:v>Нет</x:v>
      </x:c>
    </x:row>
    <x:row r="654">
      <x:c r="A654" s="1" t="str">
        <x:f>'Данные'!A654</x:f>
        <x:v>19077497</x:v>
      </x:c>
      <x:c r="B654" s="1" t="str">
        <x:f>'Данные'!B654</x:f>
        <x:v>bruki/бежевый</x:v>
      </x:c>
      <x:c r="C654" s="8" t="n">
        <x:f>'Данные'!G654</x:f>
        <x:v>282564</x:v>
      </x:c>
      <x:c r="D654" s="15" t="n">
        <x:f>C654/SUM($C$5:$C$2477)</x:f>
        <x:v>0.0003300979414975593</x:v>
      </x:c>
      <x:c r="E654" s="15" t="n">
        <x:f>SUM($D$5:D654)</x:f>
        <x:v>0.8896435866647205</x:v>
      </x:c>
      <x:c r="F654" s="1" t="str">
        <x:f>IF(C654&lt;=0,"C",IF(E654-D654&lt;'Дашборд'!$C$49,"A",IF(E654-D654&lt;'Дашборд'!$C$50,"B","C")))</x:f>
        <x:v>B</x:v>
      </x:c>
      <x:c r="G654" s="8" t="n">
        <x:f>'Данные'!F654</x:f>
        <x:v>525</x:v>
      </x:c>
      <x:c r="H654" s="8" t="n">
        <x:f>SUM('Данные'!H654:I654)</x:f>
        <x:v>316</x:v>
      </x:c>
      <x:c r="I654" s="16" t="n">
        <x:f>IF(H654&gt;0,G654/H654,"n.a.")</x:f>
        <x:v>1.6613924050632911</x:v>
      </x:c>
      <x:c r="J654" s="10" t="n">
        <x:f>IF('Данные'!E654&gt;0,G654/'Данные'!E654,"n.a.")</x:f>
        <x:v>0.021570319240724764</x:v>
      </x:c>
      <x:c r="K654" s="1" t="str">
        <x:f>IF(G654&gt;='Дашборд'!$C$51,"X","Z")</x:f>
        <x:v>X</x:v>
      </x:c>
      <x:c r="L654" s="1" t="str">
        <x:f>IF(H654=0,IF(G654&gt;0,"Нет остатка","Нет спроса"),IF(I654&gt;='Дашборд'!$C$52,"Быстрый","Медленный"))</x:f>
        <x:v>Быстрый</x:v>
      </x:c>
      <x:c r="M654" s="1" t="str">
        <x:f>IF('Данные'!E654&lt;'Дашборд'!$C$53,"Мало трафика",IF(J654&lt;'Дашборд'!$C$9*'Дашборд'!$C$54,"Да","Нет"))</x:f>
        <x:v>Нет</x:v>
      </x:c>
      <x:c r="N654" s="1" t="str">
        <x:f>IF(AND('Данные'!D654&gt;='Дашборд'!$C$55,D654&lt;'Дашборд'!$C$56,'Данные'!E654&gt;='Дашборд'!$C$53,'Данные'!L654&lt;&gt;"Да"),"Да","Нет")</x:f>
        <x:v>Да</x:v>
      </x:c>
      <x:c r="O654" s="1" t="str">
        <x:f>'Данные'!L654</x:f>
        <x:v>Нет</x:v>
      </x:c>
    </x:row>
    <x:row r="655">
      <x:c r="A655" s="1" t="str">
        <x:f>'Данные'!A655</x:f>
        <x:v>333139839</x:v>
      </x:c>
      <x:c r="B655" s="1" t="str">
        <x:f>'Данные'!B655</x:f>
        <x:v>topfutbolka/бордовый</x:v>
      </x:c>
      <x:c r="C655" s="8" t="n">
        <x:f>'Данные'!G655</x:f>
        <x:v>281019</x:v>
      </x:c>
      <x:c r="D655" s="15" t="n">
        <x:f>C655/SUM($C$5:$C$2477)</x:f>
        <x:v>0.00032829303599079363</x:v>
      </x:c>
      <x:c r="E655" s="15" t="n">
        <x:f>SUM($D$5:D655)</x:f>
        <x:v>0.8899718797007113</x:v>
      </x:c>
      <x:c r="F655" s="1" t="str">
        <x:f>IF(C655&lt;=0,"C",IF(E655-D655&lt;'Дашборд'!$C$49,"A",IF(E655-D655&lt;'Дашборд'!$C$50,"B","C")))</x:f>
        <x:v>B</x:v>
      </x:c>
      <x:c r="G655" s="8" t="n">
        <x:f>'Данные'!F655</x:f>
        <x:v>800</x:v>
      </x:c>
      <x:c r="H655" s="8" t="n">
        <x:f>SUM('Данные'!H655:I655)</x:f>
        <x:v>171</x:v>
      </x:c>
      <x:c r="I655" s="16" t="n">
        <x:f>IF(H655&gt;0,G655/H655,"n.a.")</x:f>
        <x:v>4.678362573099415</x:v>
      </x:c>
      <x:c r="J655" s="10" t="n">
        <x:f>IF('Данные'!E655&gt;0,G655/'Данные'!E655,"n.a.")</x:f>
        <x:v>0.02886002886002886</x:v>
      </x:c>
      <x:c r="K655" s="1" t="str">
        <x:f>IF(G655&gt;='Дашборд'!$C$51,"X","Z")</x:f>
        <x:v>X</x:v>
      </x:c>
      <x:c r="L655" s="1" t="str">
        <x:f>IF(H655=0,IF(G655&gt;0,"Нет остатка","Нет спроса"),IF(I655&gt;='Дашборд'!$C$52,"Быстрый","Медленный"))</x:f>
        <x:v>Быстрый</x:v>
      </x:c>
      <x:c r="M655" s="1" t="str">
        <x:f>IF('Данные'!E655&lt;'Дашборд'!$C$53,"Мало трафика",IF(J655&lt;'Дашборд'!$C$9*'Дашборд'!$C$54,"Да","Нет"))</x:f>
        <x:v>Нет</x:v>
      </x:c>
      <x:c r="N655" s="1" t="str">
        <x:f>IF(AND('Данные'!D655&gt;='Дашборд'!$C$55,D655&lt;'Дашборд'!$C$56,'Данные'!E655&gt;='Дашборд'!$C$53,'Данные'!L655&lt;&gt;"Да"),"Да","Нет")</x:f>
        <x:v>Да</x:v>
      </x:c>
      <x:c r="O655" s="1" t="str">
        <x:f>'Данные'!L655</x:f>
        <x:v>Нет</x:v>
      </x:c>
    </x:row>
    <x:row r="656">
      <x:c r="A656" s="1" t="str">
        <x:f>'Данные'!A656</x:f>
        <x:v>183793820</x:v>
      </x:c>
      <x:c r="B656" s="1" t="str">
        <x:f>'Данные'!B656</x:f>
        <x:v>hudiprint/68-11/песочный</x:v>
      </x:c>
      <x:c r="C656" s="8" t="n">
        <x:f>'Данные'!G656</x:f>
        <x:v>281017</x:v>
      </x:c>
      <x:c r="D656" s="15" t="n">
        <x:f>C656/SUM($C$5:$C$2477)</x:f>
        <x:v>0.00032829069954353564</x:v>
      </x:c>
      <x:c r="E656" s="15" t="n">
        <x:f>SUM($D$5:D656)</x:f>
        <x:v>0.8903001704002549</x:v>
      </x:c>
      <x:c r="F656" s="1" t="str">
        <x:f>IF(C656&lt;=0,"C",IF(E656-D656&lt;'Дашборд'!$C$49,"A",IF(E656-D656&lt;'Дашборд'!$C$50,"B","C")))</x:f>
        <x:v>B</x:v>
      </x:c>
      <x:c r="G656" s="8" t="n">
        <x:f>'Данные'!F656</x:f>
        <x:v>300</x:v>
      </x:c>
      <x:c r="H656" s="8" t="n">
        <x:f>SUM('Данные'!H656:I656)</x:f>
        <x:v>307</x:v>
      </x:c>
      <x:c r="I656" s="16" t="n">
        <x:f>IF(H656&gt;0,G656/H656,"n.a.")</x:f>
        <x:v>0.9771986970684039</x:v>
      </x:c>
      <x:c r="J656" s="10" t="n">
        <x:f>IF('Данные'!E656&gt;0,G656/'Данные'!E656,"n.a.")</x:f>
        <x:v>0.011070927743744926</x:v>
      </x:c>
      <x:c r="K656" s="1" t="str">
        <x:f>IF(G656&gt;='Дашборд'!$C$51,"X","Z")</x:f>
        <x:v>X</x:v>
      </x:c>
      <x:c r="L656" s="1" t="str">
        <x:f>IF(H656=0,IF(G656&gt;0,"Нет остатка","Нет спроса"),IF(I656&gt;='Дашборд'!$C$52,"Быстрый","Медленный"))</x:f>
        <x:v>Медленный</x:v>
      </x:c>
      <x:c r="M656" s="1" t="str">
        <x:f>IF('Данные'!E656&lt;'Дашборд'!$C$53,"Мало трафика",IF(J656&lt;'Дашборд'!$C$9*'Дашборд'!$C$54,"Да","Нет"))</x:f>
        <x:v>Нет</x:v>
      </x:c>
      <x:c r="N656" s="1" t="str">
        <x:f>IF(AND('Данные'!D656&gt;='Дашборд'!$C$55,D656&lt;'Дашборд'!$C$56,'Данные'!E656&gt;='Дашборд'!$C$53,'Данные'!L656&lt;&gt;"Да"),"Да","Нет")</x:f>
        <x:v>Да</x:v>
      </x:c>
      <x:c r="O656" s="1" t="str">
        <x:f>'Данные'!L656</x:f>
        <x:v>Нет</x:v>
      </x:c>
    </x:row>
    <x:row r="657">
      <x:c r="A657" s="1" t="str">
        <x:f>'Данные'!A657</x:f>
        <x:v>245583524</x:v>
      </x:c>
      <x:c r="B657" s="1" t="str">
        <x:f>'Данные'!B657</x:f>
        <x:v>hudiprint/TheMoment-141/молочный</x:v>
      </x:c>
      <x:c r="C657" s="8" t="n">
        <x:f>'Данные'!G657</x:f>
        <x:v>280698</x:v>
      </x:c>
      <x:c r="D657" s="15" t="n">
        <x:f>C657/SUM($C$5:$C$2477)</x:f>
        <x:v>0.0003279180362058928</x:v>
      </x:c>
      <x:c r="E657" s="15" t="n">
        <x:f>SUM($D$5:D657)</x:f>
        <x:v>0.8906280884364608</x:v>
      </x:c>
      <x:c r="F657" s="1" t="str">
        <x:f>IF(C657&lt;=0,"C",IF(E657-D657&lt;'Дашборд'!$C$49,"A",IF(E657-D657&lt;'Дашборд'!$C$50,"B","C")))</x:f>
        <x:v>B</x:v>
      </x:c>
      <x:c r="G657" s="8" t="n">
        <x:f>'Данные'!F657</x:f>
        <x:v>248</x:v>
      </x:c>
      <x:c r="H657" s="8" t="n">
        <x:f>SUM('Данные'!H657:I657)</x:f>
        <x:v>182</x:v>
      </x:c>
      <x:c r="I657" s="16" t="n">
        <x:f>IF(H657&gt;0,G657/H657,"n.a.")</x:f>
        <x:v>1.3626373626373627</x:v>
      </x:c>
      <x:c r="J657" s="10" t="n">
        <x:f>IF('Данные'!E657&gt;0,G657/'Данные'!E657,"n.a.")</x:f>
        <x:v>0.007437843025522598</x:v>
      </x:c>
      <x:c r="K657" s="1" t="str">
        <x:f>IF(G657&gt;='Дашборд'!$C$51,"X","Z")</x:f>
        <x:v>Z</x:v>
      </x:c>
      <x:c r="L657" s="1" t="str">
        <x:f>IF(H657=0,IF(G657&gt;0,"Нет остатка","Нет спроса"),IF(I657&gt;='Дашборд'!$C$52,"Быстрый","Медленный"))</x:f>
        <x:v>Быстрый</x:v>
      </x:c>
      <x:c r="M657" s="1" t="str">
        <x:f>IF('Данные'!E657&lt;'Дашборд'!$C$53,"Мало трафика",IF(J657&lt;'Дашборд'!$C$9*'Дашборд'!$C$54,"Да","Нет"))</x:f>
        <x:v>Да</x:v>
      </x:c>
      <x:c r="N657" s="1" t="str">
        <x:f>IF(AND('Данные'!D657&gt;='Дашборд'!$C$55,D657&lt;'Дашборд'!$C$56,'Данные'!E657&gt;='Дашборд'!$C$53,'Данные'!L657&lt;&gt;"Да"),"Да","Нет")</x:f>
        <x:v>Нет</x:v>
      </x:c>
      <x:c r="O657" s="1" t="str">
        <x:f>'Данные'!L657</x:f>
        <x:v>Нет</x:v>
      </x:c>
    </x:row>
    <x:row r="658">
      <x:c r="A658" s="1" t="str">
        <x:f>'Данные'!A658</x:f>
        <x:v>28232890</x:v>
      </x:c>
      <x:c r="B658" s="1" t="str">
        <x:f>'Данные'!B658</x:f>
        <x:v>longsliv/черный</x:v>
      </x:c>
      <x:c r="C658" s="8" t="n">
        <x:f>'Данные'!G658</x:f>
        <x:v>280589</x:v>
      </x:c>
      <x:c r="D658" s="15" t="n">
        <x:f>C658/SUM($C$5:$C$2477)</x:f>
        <x:v>0.0003277906998303346</x:v>
      </x:c>
      <x:c r="E658" s="15" t="n">
        <x:f>SUM($D$5:D658)</x:f>
        <x:v>0.8909558791362912</x:v>
      </x:c>
      <x:c r="F658" s="1" t="str">
        <x:f>IF(C658&lt;=0,"C",IF(E658-D658&lt;'Дашборд'!$C$49,"A",IF(E658-D658&lt;'Дашборд'!$C$50,"B","C")))</x:f>
        <x:v>B</x:v>
      </x:c>
      <x:c r="G658" s="8" t="n">
        <x:f>'Данные'!F658</x:f>
        <x:v>1324</x:v>
      </x:c>
      <x:c r="H658" s="8" t="n">
        <x:f>SUM('Данные'!H658:I658)</x:f>
        <x:v>333</x:v>
      </x:c>
      <x:c r="I658" s="16" t="n">
        <x:f>IF(H658&gt;0,G658/H658,"n.a.")</x:f>
        <x:v>3.975975975975976</x:v>
      </x:c>
      <x:c r="J658" s="10" t="n">
        <x:f>IF('Данные'!E658&gt;0,G658/'Данные'!E658,"n.a.")</x:f>
        <x:v>0.04062097318524882</x:v>
      </x:c>
      <x:c r="K658" s="1" t="str">
        <x:f>IF(G658&gt;='Дашборд'!$C$51,"X","Z")</x:f>
        <x:v>X</x:v>
      </x:c>
      <x:c r="L658" s="1" t="str">
        <x:f>IF(H658=0,IF(G658&gt;0,"Нет остатка","Нет спроса"),IF(I658&gt;='Дашборд'!$C$52,"Быстрый","Медленный"))</x:f>
        <x:v>Быстрый</x:v>
      </x:c>
      <x:c r="M658" s="1" t="str">
        <x:f>IF('Данные'!E658&lt;'Дашборд'!$C$53,"Мало трафика",IF(J658&lt;'Дашборд'!$C$9*'Дашборд'!$C$54,"Да","Нет"))</x:f>
        <x:v>Нет</x:v>
      </x:c>
      <x:c r="N658" s="1" t="str">
        <x:f>IF(AND('Данные'!D658&gt;='Дашборд'!$C$55,D658&lt;'Дашборд'!$C$56,'Данные'!E658&gt;='Дашборд'!$C$53,'Данные'!L658&lt;&gt;"Да"),"Да","Нет")</x:f>
        <x:v>Да</x:v>
      </x:c>
      <x:c r="O658" s="1" t="str">
        <x:f>'Данные'!L658</x:f>
        <x:v>Нет</x:v>
      </x:c>
    </x:row>
    <x:row r="659">
      <x:c r="A659" s="1" t="str">
        <x:f>'Данные'!A659</x:f>
        <x:v>238775097</x:v>
      </x:c>
      <x:c r="B659" s="1" t="str">
        <x:f>'Данные'!B659</x:f>
        <x:v>futbolkaprint/MovesClub-177/белый</x:v>
      </x:c>
      <x:c r="C659" s="8" t="n">
        <x:f>'Данные'!G659</x:f>
        <x:v>280470</x:v>
      </x:c>
      <x:c r="D659" s="15" t="n">
        <x:f>C659/SUM($C$5:$C$2477)</x:f>
        <x:v>0.0003276516812184866</x:v>
      </x:c>
      <x:c r="E659" s="15" t="n">
        <x:f>SUM($D$5:D659)</x:f>
        <x:v>0.8912835308175097</x:v>
      </x:c>
      <x:c r="F659" s="1" t="str">
        <x:f>IF(C659&lt;=0,"C",IF(E659-D659&lt;'Дашборд'!$C$49,"A",IF(E659-D659&lt;'Дашборд'!$C$50,"B","C")))</x:f>
        <x:v>B</x:v>
      </x:c>
      <x:c r="G659" s="8" t="n">
        <x:f>'Данные'!F659</x:f>
        <x:v>456</x:v>
      </x:c>
      <x:c r="H659" s="8" t="n">
        <x:f>SUM('Данные'!H659:I659)</x:f>
        <x:v>45</x:v>
      </x:c>
      <x:c r="I659" s="16" t="n">
        <x:f>IF(H659&gt;0,G659/H659,"n.a.")</x:f>
        <x:v>10.133333333333333</x:v>
      </x:c>
      <x:c r="J659" s="10" t="n">
        <x:f>IF('Данные'!E659&gt;0,G659/'Данные'!E659,"n.a.")</x:f>
        <x:v>0.011070379451822</x:v>
      </x:c>
      <x:c r="K659" s="1" t="str">
        <x:f>IF(G659&gt;='Дашборд'!$C$51,"X","Z")</x:f>
        <x:v>X</x:v>
      </x:c>
      <x:c r="L659" s="1" t="str">
        <x:f>IF(H659=0,IF(G659&gt;0,"Нет остатка","Нет спроса"),IF(I659&gt;='Дашборд'!$C$52,"Быстрый","Медленный"))</x:f>
        <x:v>Быстрый</x:v>
      </x:c>
      <x:c r="M659" s="1" t="str">
        <x:f>IF('Данные'!E659&lt;'Дашборд'!$C$53,"Мало трафика",IF(J659&lt;'Дашборд'!$C$9*'Дашборд'!$C$54,"Да","Нет"))</x:f>
        <x:v>Нет</x:v>
      </x:c>
      <x:c r="N659" s="1" t="str">
        <x:f>IF(AND('Данные'!D659&gt;='Дашборд'!$C$55,D659&lt;'Дашборд'!$C$56,'Данные'!E659&gt;='Дашборд'!$C$53,'Данные'!L659&lt;&gt;"Да"),"Да","Нет")</x:f>
        <x:v>Нет</x:v>
      </x:c>
      <x:c r="O659" s="1" t="str">
        <x:f>'Данные'!L659</x:f>
        <x:v>Нет</x:v>
      </x:c>
    </x:row>
    <x:row r="660">
      <x:c r="A660" s="1" t="str">
        <x:f>'Данные'!A660</x:f>
        <x:v>241445959</x:v>
      </x:c>
      <x:c r="B660" s="1" t="str">
        <x:f>'Данные'!B660</x:f>
        <x:v>termo/черный</x:v>
      </x:c>
      <x:c r="C660" s="8" t="n">
        <x:f>'Данные'!G660</x:f>
        <x:v>280449</x:v>
      </x:c>
      <x:c r="D660" s="15" t="n">
        <x:f>C660/SUM($C$5:$C$2477)</x:f>
        <x:v>0.0003276271485222781</x:v>
      </x:c>
      <x:c r="E660" s="15" t="n">
        <x:f>SUM($D$5:D660)</x:f>
        <x:v>0.891611157966032</x:v>
      </x:c>
      <x:c r="F660" s="1" t="str">
        <x:f>IF(C660&lt;=0,"C",IF(E660-D660&lt;'Дашборд'!$C$49,"A",IF(E660-D660&lt;'Дашборд'!$C$50,"B","C")))</x:f>
        <x:v>B</x:v>
      </x:c>
      <x:c r="G660" s="8" t="n">
        <x:f>'Данные'!F660</x:f>
        <x:v>283</x:v>
      </x:c>
      <x:c r="H660" s="8" t="n">
        <x:f>SUM('Данные'!H660:I660)</x:f>
        <x:v>2958</x:v>
      </x:c>
      <x:c r="I660" s="16" t="n">
        <x:f>IF(H660&gt;0,G660/H660,"n.a.")</x:f>
        <x:v>0.09567275185936444</x:v>
      </x:c>
      <x:c r="J660" s="10" t="n">
        <x:f>IF('Данные'!E660&gt;0,G660/'Данные'!E660,"n.a.")</x:f>
        <x:v>0.028777709985763678</x:v>
      </x:c>
      <x:c r="K660" s="1" t="str">
        <x:f>IF(G660&gt;='Дашборд'!$C$51,"X","Z")</x:f>
        <x:v>X</x:v>
      </x:c>
      <x:c r="L660" s="1" t="str">
        <x:f>IF(H660=0,IF(G660&gt;0,"Нет остатка","Нет спроса"),IF(I660&gt;='Дашборд'!$C$52,"Быстрый","Медленный"))</x:f>
        <x:v>Медленный</x:v>
      </x:c>
      <x:c r="M660" s="1" t="str">
        <x:f>IF('Данные'!E660&lt;'Дашборд'!$C$53,"Мало трафика",IF(J660&lt;'Дашборд'!$C$9*'Дашборд'!$C$54,"Да","Нет"))</x:f>
        <x:v>Нет</x:v>
      </x:c>
      <x:c r="N660" s="1" t="str">
        <x:f>IF(AND('Данные'!D660&gt;='Дашборд'!$C$55,D660&lt;'Дашборд'!$C$56,'Данные'!E660&gt;='Дашборд'!$C$53,'Данные'!L660&lt;&gt;"Да"),"Да","Нет")</x:f>
        <x:v>Да</x:v>
      </x:c>
      <x:c r="O660" s="1" t="str">
        <x:f>'Данные'!L660</x:f>
        <x:v>Нет</x:v>
      </x:c>
    </x:row>
    <x:row r="661">
      <x:c r="A661" s="1" t="str">
        <x:f>'Данные'!A661</x:f>
        <x:v>251776740</x:v>
      </x:c>
      <x:c r="B661" s="1" t="str">
        <x:f>'Данные'!B661</x:f>
        <x:v>hudiprint/Forever-192/светло-розовый</x:v>
      </x:c>
      <x:c r="C661" s="8" t="n">
        <x:f>'Данные'!G661</x:f>
        <x:v>280291</x:v>
      </x:c>
      <x:c r="D661" s="15" t="n">
        <x:f>C661/SUM($C$5:$C$2477)</x:f>
        <x:v>0.00032744256918890017</x:v>
      </x:c>
      <x:c r="E661" s="15" t="n">
        <x:f>SUM($D$5:D661)</x:f>
        <x:v>0.8919386005352209</x:v>
      </x:c>
      <x:c r="F661" s="1" t="str">
        <x:f>IF(C661&lt;=0,"C",IF(E661-D661&lt;'Дашборд'!$C$49,"A",IF(E661-D661&lt;'Дашборд'!$C$50,"B","C")))</x:f>
        <x:v>B</x:v>
      </x:c>
      <x:c r="G661" s="8" t="n">
        <x:f>'Данные'!F661</x:f>
        <x:v>258</x:v>
      </x:c>
      <x:c r="H661" s="8" t="n">
        <x:f>SUM('Данные'!H661:I661)</x:f>
        <x:v>46</x:v>
      </x:c>
      <x:c r="I661" s="16" t="n">
        <x:f>IF(H661&gt;0,G661/H661,"n.a.")</x:f>
        <x:v>5.608695652173913</x:v>
      </x:c>
      <x:c r="J661" s="10" t="n">
        <x:f>IF('Данные'!E661&gt;0,G661/'Данные'!E661,"n.a.")</x:f>
        <x:v>0.009256601607347877</x:v>
      </x:c>
      <x:c r="K661" s="1" t="str">
        <x:f>IF(G661&gt;='Дашборд'!$C$51,"X","Z")</x:f>
        <x:v>Z</x:v>
      </x:c>
      <x:c r="L661" s="1" t="str">
        <x:f>IF(H661=0,IF(G661&gt;0,"Нет остатка","Нет спроса"),IF(I661&gt;='Дашборд'!$C$52,"Быстрый","Медленный"))</x:f>
        <x:v>Быстрый</x:v>
      </x:c>
      <x:c r="M661" s="1" t="str">
        <x:f>IF('Данные'!E661&lt;'Дашборд'!$C$53,"Мало трафика",IF(J661&lt;'Дашборд'!$C$9*'Дашборд'!$C$54,"Да","Нет"))</x:f>
        <x:v>Да</x:v>
      </x:c>
      <x:c r="N661" s="1" t="str">
        <x:f>IF(AND('Данные'!D661&gt;='Дашборд'!$C$55,D661&lt;'Дашборд'!$C$56,'Данные'!E661&gt;='Дашборд'!$C$53,'Данные'!L661&lt;&gt;"Да"),"Да","Нет")</x:f>
        <x:v>Нет</x:v>
      </x:c>
      <x:c r="O661" s="1" t="str">
        <x:f>'Данные'!L661</x:f>
        <x:v>Нет</x:v>
      </x:c>
    </x:row>
    <x:row r="662">
      <x:c r="A662" s="1" t="str">
        <x:f>'Данные'!A662</x:f>
        <x:v>332646309</x:v>
      </x:c>
      <x:c r="B662" s="1" t="str">
        <x:f>'Данные'!B662</x:f>
        <x:v>futbolkaprint/Something-240/белый</x:v>
      </x:c>
      <x:c r="C662" s="8" t="n">
        <x:f>'Данные'!G662</x:f>
        <x:v>280109</x:v>
      </x:c>
      <x:c r="D662" s="15" t="n">
        <x:f>C662/SUM($C$5:$C$2477)</x:f>
        <x:v>0.0003272299524884268</x:v>
      </x:c>
      <x:c r="E662" s="15" t="n">
        <x:f>SUM($D$5:D662)</x:f>
        <x:v>0.8922658304877094</x:v>
      </x:c>
      <x:c r="F662" s="1" t="str">
        <x:f>IF(C662&lt;=0,"C",IF(E662-D662&lt;'Дашборд'!$C$49,"A",IF(E662-D662&lt;'Дашборд'!$C$50,"B","C")))</x:f>
        <x:v>B</x:v>
      </x:c>
      <x:c r="G662" s="8" t="n">
        <x:f>'Данные'!F662</x:f>
        <x:v>464</x:v>
      </x:c>
      <x:c r="H662" s="8" t="n">
        <x:f>SUM('Данные'!H662:I662)</x:f>
        <x:v>19</x:v>
      </x:c>
      <x:c r="I662" s="16" t="n">
        <x:f>IF(H662&gt;0,G662/H662,"n.a.")</x:f>
        <x:v>24.42105263157895</x:v>
      </x:c>
      <x:c r="J662" s="10" t="n">
        <x:f>IF('Данные'!E662&gt;0,G662/'Данные'!E662,"n.a.")</x:f>
        <x:v>0.006212843447056933</x:v>
      </x:c>
      <x:c r="K662" s="1" t="str">
        <x:f>IF(G662&gt;='Дашборд'!$C$51,"X","Z")</x:f>
        <x:v>X</x:v>
      </x:c>
      <x:c r="L662" s="1" t="str">
        <x:f>IF(H662=0,IF(G662&gt;0,"Нет остатка","Нет спроса"),IF(I662&gt;='Дашборд'!$C$52,"Быстрый","Медленный"))</x:f>
        <x:v>Быстрый</x:v>
      </x:c>
      <x:c r="M662" s="1" t="str">
        <x:f>IF('Данные'!E662&lt;'Дашборд'!$C$53,"Мало трафика",IF(J662&lt;'Дашборд'!$C$9*'Дашборд'!$C$54,"Да","Нет"))</x:f>
        <x:v>Да</x:v>
      </x:c>
      <x:c r="N662" s="1" t="str">
        <x:f>IF(AND('Данные'!D662&gt;='Дашборд'!$C$55,D662&lt;'Дашборд'!$C$56,'Данные'!E662&gt;='Дашборд'!$C$53,'Данные'!L662&lt;&gt;"Да"),"Да","Нет")</x:f>
        <x:v>Да</x:v>
      </x:c>
      <x:c r="O662" s="1" t="str">
        <x:f>'Данные'!L662</x:f>
        <x:v>Нет</x:v>
      </x:c>
    </x:row>
    <x:row r="663">
      <x:c r="A663" s="1" t="str">
        <x:f>'Данные'!A663</x:f>
        <x:v>246363054</x:v>
      </x:c>
      <x:c r="B663" s="1" t="str">
        <x:f>'Данные'!B663</x:f>
        <x:v>tolstovkazip/бежевый</x:v>
      </x:c>
      <x:c r="C663" s="8" t="n">
        <x:f>'Данные'!G663</x:f>
        <x:v>279662</x:v>
      </x:c>
      <x:c r="D663" s="15" t="n">
        <x:f>C663/SUM($C$5:$C$2477)</x:f>
        <x:v>0.0003267077565262752</x:v>
      </x:c>
      <x:c r="E663" s="15" t="n">
        <x:f>SUM($D$5:D663)</x:f>
        <x:v>0.8925925382442357</x:v>
      </x:c>
      <x:c r="F663" s="1" t="str">
        <x:f>IF(C663&lt;=0,"C",IF(E663-D663&lt;'Дашборд'!$C$49,"A",IF(E663-D663&lt;'Дашборд'!$C$50,"B","C")))</x:f>
        <x:v>B</x:v>
      </x:c>
      <x:c r="G663" s="8" t="n">
        <x:f>'Данные'!F663</x:f>
        <x:v>252</x:v>
      </x:c>
      <x:c r="H663" s="8" t="n">
        <x:f>SUM('Данные'!H663:I663)</x:f>
        <x:v>0</x:v>
      </x:c>
      <x:c r="I663" s="16" t="str">
        <x:f>IF(H663&gt;0,G663/H663,"n.a.")</x:f>
        <x:v>n.a.</x:v>
      </x:c>
      <x:c r="J663" s="10" t="n">
        <x:f>IF('Данные'!E663&gt;0,G663/'Данные'!E663,"n.a.")</x:f>
        <x:v>0.011034241176985725</x:v>
      </x:c>
      <x:c r="K663" s="1" t="str">
        <x:f>IF(G663&gt;='Дашборд'!$C$51,"X","Z")</x:f>
        <x:v>Z</x:v>
      </x:c>
      <x:c r="L663" s="1" t="str">
        <x:f>IF(H663=0,IF(G663&gt;0,"Нет остатка","Нет спроса"),IF(I663&gt;='Дашборд'!$C$52,"Быстрый","Медленный"))</x:f>
        <x:v>Нет остатка</x:v>
      </x:c>
      <x:c r="M663" s="1" t="str">
        <x:f>IF('Данные'!E663&lt;'Дашборд'!$C$53,"Мало трафика",IF(J663&lt;'Дашборд'!$C$9*'Дашборд'!$C$54,"Да","Нет"))</x:f>
        <x:v>Нет</x:v>
      </x:c>
      <x:c r="N663" s="1" t="str">
        <x:f>IF(AND('Данные'!D663&gt;='Дашборд'!$C$55,D663&lt;'Дашборд'!$C$56,'Данные'!E663&gt;='Дашборд'!$C$53,'Данные'!L663&lt;&gt;"Да"),"Да","Нет")</x:f>
        <x:v>Да</x:v>
      </x:c>
      <x:c r="O663" s="1" t="str">
        <x:f>'Данные'!L663</x:f>
        <x:v>Нет</x:v>
      </x:c>
    </x:row>
    <x:row r="664">
      <x:c r="A664" s="1" t="str">
        <x:f>'Данные'!A664</x:f>
        <x:v>237891025</x:v>
      </x:c>
      <x:c r="B664" s="1" t="str">
        <x:f>'Данные'!B664</x:f>
        <x:v>svitzipcroppetl/темно-серый</x:v>
      </x:c>
      <x:c r="C664" s="8" t="n">
        <x:f>'Данные'!G664</x:f>
        <x:v>278886</x:v>
      </x:c>
      <x:c r="D664" s="15" t="n">
        <x:f>C664/SUM($C$5:$C$2477)</x:f>
        <x:v>0.0003258012149901909</x:v>
      </x:c>
      <x:c r="E664" s="15" t="n">
        <x:f>SUM($D$5:D664)</x:f>
        <x:v>0.8929183394592258</x:v>
      </x:c>
      <x:c r="F664" s="1" t="str">
        <x:f>IF(C664&lt;=0,"C",IF(E664-D664&lt;'Дашборд'!$C$49,"A",IF(E664-D664&lt;'Дашборд'!$C$50,"B","C")))</x:f>
        <x:v>B</x:v>
      </x:c>
      <x:c r="G664" s="8" t="n">
        <x:f>'Данные'!F664</x:f>
        <x:v>349</x:v>
      </x:c>
      <x:c r="H664" s="8" t="n">
        <x:f>SUM('Данные'!H664:I664)</x:f>
        <x:v>144</x:v>
      </x:c>
      <x:c r="I664" s="16" t="n">
        <x:f>IF(H664&gt;0,G664/H664,"n.a.")</x:f>
        <x:v>2.423611111111111</x:v>
      </x:c>
      <x:c r="J664" s="10" t="n">
        <x:f>IF('Данные'!E664&gt;0,G664/'Данные'!E664,"n.a.")</x:f>
        <x:v>0.012535019035988793</x:v>
      </x:c>
      <x:c r="K664" s="1" t="str">
        <x:f>IF(G664&gt;='Дашборд'!$C$51,"X","Z")</x:f>
        <x:v>X</x:v>
      </x:c>
      <x:c r="L664" s="1" t="str">
        <x:f>IF(H664=0,IF(G664&gt;0,"Нет остатка","Нет спроса"),IF(I664&gt;='Дашборд'!$C$52,"Быстрый","Медленный"))</x:f>
        <x:v>Быстрый</x:v>
      </x:c>
      <x:c r="M664" s="1" t="str">
        <x:f>IF('Данные'!E664&lt;'Дашборд'!$C$53,"Мало трафика",IF(J664&lt;'Дашборд'!$C$9*'Дашборд'!$C$54,"Да","Нет"))</x:f>
        <x:v>Нет</x:v>
      </x:c>
      <x:c r="N664" s="1" t="str">
        <x:f>IF(AND('Данные'!D664&gt;='Дашборд'!$C$55,D664&lt;'Дашборд'!$C$56,'Данные'!E664&gt;='Дашборд'!$C$53,'Данные'!L664&lt;&gt;"Да"),"Да","Нет")</x:f>
        <x:v>Нет</x:v>
      </x:c>
      <x:c r="O664" s="1" t="str">
        <x:f>'Данные'!L664</x:f>
        <x:v>Нет</x:v>
      </x:c>
    </x:row>
    <x:row r="665">
      <x:c r="A665" s="1" t="str">
        <x:f>'Данные'!A665</x:f>
        <x:v>171386724</x:v>
      </x:c>
      <x:c r="B665" s="1" t="str">
        <x:f>'Данные'!B665</x:f>
        <x:v>svitshotman/темно-серый</x:v>
      </x:c>
      <x:c r="C665" s="8" t="n">
        <x:f>'Данные'!G665</x:f>
        <x:v>278746</x:v>
      </x:c>
      <x:c r="D665" s="15" t="n">
        <x:f>C665/SUM($C$5:$C$2477)</x:f>
        <x:v>0.0003256376636821345</x:v>
      </x:c>
      <x:c r="E665" s="15" t="n">
        <x:f>SUM($D$5:D665)</x:f>
        <x:v>0.8932439771229079</x:v>
      </x:c>
      <x:c r="F665" s="1" t="str">
        <x:f>IF(C665&lt;=0,"C",IF(E665-D665&lt;'Дашборд'!$C$49,"A",IF(E665-D665&lt;'Дашборд'!$C$50,"B","C")))</x:f>
        <x:v>B</x:v>
      </x:c>
      <x:c r="G665" s="8" t="n">
        <x:f>'Данные'!F665</x:f>
        <x:v>343</x:v>
      </x:c>
      <x:c r="H665" s="8" t="n">
        <x:f>SUM('Данные'!H665:I665)</x:f>
        <x:v>272</x:v>
      </x:c>
      <x:c r="I665" s="16" t="n">
        <x:f>IF(H665&gt;0,G665/H665,"n.a.")</x:f>
        <x:v>1.2610294117647058</x:v>
      </x:c>
      <x:c r="J665" s="10" t="n">
        <x:f>IF('Данные'!E665&gt;0,G665/'Данные'!E665,"n.a.")</x:f>
        <x:v>0.025237289382679714</x:v>
      </x:c>
      <x:c r="K665" s="1" t="str">
        <x:f>IF(G665&gt;='Дашборд'!$C$51,"X","Z")</x:f>
        <x:v>X</x:v>
      </x:c>
      <x:c r="L665" s="1" t="str">
        <x:f>IF(H665=0,IF(G665&gt;0,"Нет остатка","Нет спроса"),IF(I665&gt;='Дашборд'!$C$52,"Быстрый","Медленный"))</x:f>
        <x:v>Быстрый</x:v>
      </x:c>
      <x:c r="M665" s="1" t="str">
        <x:f>IF('Данные'!E665&lt;'Дашборд'!$C$53,"Мало трафика",IF(J665&lt;'Дашборд'!$C$9*'Дашборд'!$C$54,"Да","Нет"))</x:f>
        <x:v>Нет</x:v>
      </x:c>
      <x:c r="N665" s="1" t="str">
        <x:f>IF(AND('Данные'!D665&gt;='Дашборд'!$C$55,D665&lt;'Дашборд'!$C$56,'Данные'!E665&gt;='Дашборд'!$C$53,'Данные'!L665&lt;&gt;"Да"),"Да","Нет")</x:f>
        <x:v>Да</x:v>
      </x:c>
      <x:c r="O665" s="1" t="str">
        <x:f>'Данные'!L665</x:f>
        <x:v>Нет</x:v>
      </x:c>
    </x:row>
    <x:row r="666">
      <x:c r="A666" s="1" t="str">
        <x:f>'Данные'!A666</x:f>
        <x:v>262644711</x:v>
      </x:c>
      <x:c r="B666" s="1" t="str">
        <x:f>'Данные'!B666</x:f>
        <x:v>palazzoshnurok/песочный</x:v>
      </x:c>
      <x:c r="C666" s="8" t="n">
        <x:f>'Данные'!G666</x:f>
        <x:v>278142</x:v>
      </x:c>
      <x:c r="D666" s="15" t="n">
        <x:f>C666/SUM($C$5:$C$2477)</x:f>
        <x:v>0.00032493205661023386</x:v>
      </x:c>
      <x:c r="E666" s="15" t="n">
        <x:f>SUM($D$5:D666)</x:f>
        <x:v>0.8935689091795181</x:v>
      </x:c>
      <x:c r="F666" s="1" t="str">
        <x:f>IF(C666&lt;=0,"C",IF(E666-D666&lt;'Дашборд'!$C$49,"A",IF(E666-D666&lt;'Дашборд'!$C$50,"B","C")))</x:f>
        <x:v>B</x:v>
      </x:c>
      <x:c r="G666" s="8" t="n">
        <x:f>'Данные'!F666</x:f>
        <x:v>695</x:v>
      </x:c>
      <x:c r="H666" s="8" t="n">
        <x:f>SUM('Данные'!H666:I666)</x:f>
        <x:v>275</x:v>
      </x:c>
      <x:c r="I666" s="16" t="n">
        <x:f>IF(H666&gt;0,G666/H666,"n.a.")</x:f>
        <x:v>2.5272727272727273</x:v>
      </x:c>
      <x:c r="J666" s="10" t="n">
        <x:f>IF('Данные'!E666&gt;0,G666/'Данные'!E666,"n.a.")</x:f>
        <x:v>0.01719786202118183</x:v>
      </x:c>
      <x:c r="K666" s="1" t="str">
        <x:f>IF(G666&gt;='Дашборд'!$C$51,"X","Z")</x:f>
        <x:v>X</x:v>
      </x:c>
      <x:c r="L666" s="1" t="str">
        <x:f>IF(H666=0,IF(G666&gt;0,"Нет остатка","Нет спроса"),IF(I666&gt;='Дашборд'!$C$52,"Быстрый","Медленный"))</x:f>
        <x:v>Быстрый</x:v>
      </x:c>
      <x:c r="M666" s="1" t="str">
        <x:f>IF('Данные'!E666&lt;'Дашборд'!$C$53,"Мало трафика",IF(J666&lt;'Дашборд'!$C$9*'Дашборд'!$C$54,"Да","Нет"))</x:f>
        <x:v>Нет</x:v>
      </x:c>
      <x:c r="N666" s="1" t="str">
        <x:f>IF(AND('Данные'!D666&gt;='Дашборд'!$C$55,D666&lt;'Дашборд'!$C$56,'Данные'!E666&gt;='Дашборд'!$C$53,'Данные'!L666&lt;&gt;"Да"),"Да","Нет")</x:f>
        <x:v>Нет</x:v>
      </x:c>
      <x:c r="O666" s="1" t="str">
        <x:f>'Данные'!L666</x:f>
        <x:v>Нет</x:v>
      </x:c>
    </x:row>
    <x:row r="667">
      <x:c r="A667" s="1" t="str">
        <x:f>'Данные'!A667</x:f>
        <x:v>321695210</x:v>
      </x:c>
      <x:c r="B667" s="1" t="str">
        <x:f>'Данные'!B667</x:f>
        <x:v>polowoman3K-89/бордовый</x:v>
      </x:c>
      <x:c r="C667" s="8" t="n">
        <x:f>'Данные'!G667</x:f>
        <x:v>277390</x:v>
      </x:c>
      <x:c r="D667" s="15" t="n">
        <x:f>C667/SUM($C$5:$C$2477)</x:f>
        <x:v>0.000324053552441245</x:v>
      </x:c>
      <x:c r="E667" s="15" t="n">
        <x:f>SUM($D$5:D667)</x:f>
        <x:v>0.8938929627319594</x:v>
      </x:c>
      <x:c r="F667" s="1" t="str">
        <x:f>IF(C667&lt;=0,"C",IF(E667-D667&lt;'Дашборд'!$C$49,"A",IF(E667-D667&lt;'Дашборд'!$C$50,"B","C")))</x:f>
        <x:v>B</x:v>
      </x:c>
      <x:c r="G667" s="8" t="n">
        <x:f>'Данные'!F667</x:f>
        <x:v>638</x:v>
      </x:c>
      <x:c r="H667" s="8" t="n">
        <x:f>SUM('Данные'!H667:I667)</x:f>
        <x:v>58</x:v>
      </x:c>
      <x:c r="I667" s="16" t="n">
        <x:f>IF(H667&gt;0,G667/H667,"n.a.")</x:f>
        <x:v>11</x:v>
      </x:c>
      <x:c r="J667" s="10" t="n">
        <x:f>IF('Данные'!E667&gt;0,G667/'Данные'!E667,"n.a.")</x:f>
        <x:v>0.006752608962553714</x:v>
      </x:c>
      <x:c r="K667" s="1" t="str">
        <x:f>IF(G667&gt;='Дашборд'!$C$51,"X","Z")</x:f>
        <x:v>X</x:v>
      </x:c>
      <x:c r="L667" s="1" t="str">
        <x:f>IF(H667=0,IF(G667&gt;0,"Нет остатка","Нет спроса"),IF(I667&gt;='Дашборд'!$C$52,"Быстрый","Медленный"))</x:f>
        <x:v>Быстрый</x:v>
      </x:c>
      <x:c r="M667" s="1" t="str">
        <x:f>IF('Данные'!E667&lt;'Дашборд'!$C$53,"Мало трафика",IF(J667&lt;'Дашборд'!$C$9*'Дашборд'!$C$54,"Да","Нет"))</x:f>
        <x:v>Да</x:v>
      </x:c>
      <x:c r="N667" s="1" t="str">
        <x:f>IF(AND('Данные'!D667&gt;='Дашборд'!$C$55,D667&lt;'Дашборд'!$C$56,'Данные'!E667&gt;='Дашборд'!$C$53,'Данные'!L667&lt;&gt;"Да"),"Да","Нет")</x:f>
        <x:v>Нет</x:v>
      </x:c>
      <x:c r="O667" s="1" t="str">
        <x:f>'Данные'!L667</x:f>
        <x:v>Нет</x:v>
      </x:c>
    </x:row>
    <x:row r="668">
      <x:c r="A668" s="1" t="str">
        <x:f>'Данные'!A668</x:f>
        <x:v>289092416</x:v>
      </x:c>
      <x:c r="B668" s="1" t="str">
        <x:f>'Данные'!B668</x:f>
        <x:v>hudicropman4F-67/темно-серый</x:v>
      </x:c>
      <x:c r="C668" s="8" t="n">
        <x:f>'Данные'!G668</x:f>
        <x:v>276992</x:v>
      </x:c>
      <x:c r="D668" s="15" t="n">
        <x:f>C668/SUM($C$5:$C$2477)</x:f>
        <x:v>0.00032358859943691317</x:v>
      </x:c>
      <x:c r="E668" s="15" t="n">
        <x:f>SUM($D$5:D668)</x:f>
        <x:v>0.8942165513313963</x:v>
      </x:c>
      <x:c r="F668" s="1" t="str">
        <x:f>IF(C668&lt;=0,"C",IF(E668-D668&lt;'Дашборд'!$C$49,"A",IF(E668-D668&lt;'Дашборд'!$C$50,"B","C")))</x:f>
        <x:v>B</x:v>
      </x:c>
      <x:c r="G668" s="8" t="n">
        <x:f>'Данные'!F668</x:f>
        <x:v>370</x:v>
      </x:c>
      <x:c r="H668" s="8" t="n">
        <x:f>SUM('Данные'!H668:I668)</x:f>
        <x:v>278</x:v>
      </x:c>
      <x:c r="I668" s="16" t="n">
        <x:f>IF(H668&gt;0,G668/H668,"n.a.")</x:f>
        <x:v>1.330935251798561</x:v>
      </x:c>
      <x:c r="J668" s="10" t="n">
        <x:f>IF('Данные'!E668&gt;0,G668/'Данные'!E668,"n.a.")</x:f>
        <x:v>0.018964633521271142</x:v>
      </x:c>
      <x:c r="K668" s="1" t="str">
        <x:f>IF(G668&gt;='Дашборд'!$C$51,"X","Z")</x:f>
        <x:v>X</x:v>
      </x:c>
      <x:c r="L668" s="1" t="str">
        <x:f>IF(H668=0,IF(G668&gt;0,"Нет остатка","Нет спроса"),IF(I668&gt;='Дашборд'!$C$52,"Быстрый","Медленный"))</x:f>
        <x:v>Быстрый</x:v>
      </x:c>
      <x:c r="M668" s="1" t="str">
        <x:f>IF('Данные'!E668&lt;'Дашборд'!$C$53,"Мало трафика",IF(J668&lt;'Дашборд'!$C$9*'Дашборд'!$C$54,"Да","Нет"))</x:f>
        <x:v>Нет</x:v>
      </x:c>
      <x:c r="N668" s="1" t="str">
        <x:f>IF(AND('Данные'!D668&gt;='Дашборд'!$C$55,D668&lt;'Дашборд'!$C$56,'Данные'!E668&gt;='Дашборд'!$C$53,'Данные'!L668&lt;&gt;"Да"),"Да","Нет")</x:f>
        <x:v>Да</x:v>
      </x:c>
      <x:c r="O668" s="1" t="str">
        <x:f>'Данные'!L668</x:f>
        <x:v>Нет</x:v>
      </x:c>
    </x:row>
    <x:row r="669">
      <x:c r="A669" s="1" t="str">
        <x:f>'Данные'!A669</x:f>
        <x:v>171386764</x:v>
      </x:c>
      <x:c r="B669" s="1" t="str">
        <x:f>'Данные'!B669</x:f>
        <x:v>hudiman/белый</x:v>
      </x:c>
      <x:c r="C669" s="8" t="n">
        <x:f>'Данные'!G669</x:f>
        <x:v>274629</x:v>
      </x:c>
      <x:c r="D669" s="15" t="n">
        <x:f>C669/SUM($C$5:$C$2477)</x:f>
        <x:v>0.00032082808700164634</x:v>
      </x:c>
      <x:c r="E669" s="15" t="n">
        <x:f>SUM($D$5:D669)</x:f>
        <x:v>0.894537379418398</x:v>
      </x:c>
      <x:c r="F669" s="1" t="str">
        <x:f>IF(C669&lt;=0,"C",IF(E669-D669&lt;'Дашборд'!$C$49,"A",IF(E669-D669&lt;'Дашборд'!$C$50,"B","C")))</x:f>
        <x:v>B</x:v>
      </x:c>
      <x:c r="G669" s="8" t="n">
        <x:f>'Данные'!F669</x:f>
        <x:v>268</x:v>
      </x:c>
      <x:c r="H669" s="8" t="n">
        <x:f>SUM('Данные'!H669:I669)</x:f>
        <x:v>735</x:v>
      </x:c>
      <x:c r="I669" s="16" t="n">
        <x:f>IF(H669&gt;0,G669/H669,"n.a.")</x:f>
        <x:v>0.36462585034013606</x:v>
      </x:c>
      <x:c r="J669" s="10" t="n">
        <x:f>IF('Данные'!E669&gt;0,G669/'Данные'!E669,"n.a.")</x:f>
        <x:v>0.025252049373409968</x:v>
      </x:c>
      <x:c r="K669" s="1" t="str">
        <x:f>IF(G669&gt;='Дашборд'!$C$51,"X","Z")</x:f>
        <x:v>Z</x:v>
      </x:c>
      <x:c r="L669" s="1" t="str">
        <x:f>IF(H669=0,IF(G669&gt;0,"Нет остатка","Нет спроса"),IF(I669&gt;='Дашборд'!$C$52,"Быстрый","Медленный"))</x:f>
        <x:v>Медленный</x:v>
      </x:c>
      <x:c r="M669" s="1" t="str">
        <x:f>IF('Данные'!E669&lt;'Дашборд'!$C$53,"Мало трафика",IF(J669&lt;'Дашборд'!$C$9*'Дашборд'!$C$54,"Да","Нет"))</x:f>
        <x:v>Нет</x:v>
      </x:c>
      <x:c r="N669" s="1" t="str">
        <x:f>IF(AND('Данные'!D669&gt;='Дашборд'!$C$55,D669&lt;'Дашборд'!$C$56,'Данные'!E669&gt;='Дашборд'!$C$53,'Данные'!L669&lt;&gt;"Да"),"Да","Нет")</x:f>
        <x:v>Да</x:v>
      </x:c>
      <x:c r="O669" s="1" t="str">
        <x:f>'Данные'!L669</x:f>
        <x:v>Нет</x:v>
      </x:c>
    </x:row>
    <x:row r="670">
      <x:c r="A670" s="1" t="str">
        <x:f>'Данные'!A670</x:f>
        <x:v>25605113</x:v>
      </x:c>
      <x:c r="B670" s="1" t="str">
        <x:f>'Данные'!B670</x:f>
        <x:v>futbolka_mary/красный</x:v>
      </x:c>
      <x:c r="C670" s="8" t="n">
        <x:f>'Данные'!G670</x:f>
        <x:v>274452</x:v>
      </x:c>
      <x:c r="D670" s="15" t="n">
        <x:f>C670/SUM($C$5:$C$2477)</x:f>
        <x:v>0.00032062131141931784</x:v>
      </x:c>
      <x:c r="E670" s="15" t="n">
        <x:f>SUM($D$5:D670)</x:f>
        <x:v>0.8948580007298172</x:v>
      </x:c>
      <x:c r="F670" s="1" t="str">
        <x:f>IF(C670&lt;=0,"C",IF(E670-D670&lt;'Дашборд'!$C$49,"A",IF(E670-D670&lt;'Дашборд'!$C$50,"B","C")))</x:f>
        <x:v>B</x:v>
      </x:c>
      <x:c r="G670" s="8" t="n">
        <x:f>'Данные'!F670</x:f>
        <x:v>854</x:v>
      </x:c>
      <x:c r="H670" s="8" t="n">
        <x:f>SUM('Данные'!H670:I670)</x:f>
        <x:v>12</x:v>
      </x:c>
      <x:c r="I670" s="16" t="n">
        <x:f>IF(H670&gt;0,G670/H670,"n.a.")</x:f>
        <x:v>71.16666666666667</x:v>
      </x:c>
      <x:c r="J670" s="10" t="n">
        <x:f>IF('Данные'!E670&gt;0,G670/'Данные'!E670,"n.a.")</x:f>
        <x:v>0.019803816988613963</x:v>
      </x:c>
      <x:c r="K670" s="1" t="str">
        <x:f>IF(G670&gt;='Дашборд'!$C$51,"X","Z")</x:f>
        <x:v>X</x:v>
      </x:c>
      <x:c r="L670" s="1" t="str">
        <x:f>IF(H670=0,IF(G670&gt;0,"Нет остатка","Нет спроса"),IF(I670&gt;='Дашборд'!$C$52,"Быстрый","Медленный"))</x:f>
        <x:v>Быстрый</x:v>
      </x:c>
      <x:c r="M670" s="1" t="str">
        <x:f>IF('Данные'!E670&lt;'Дашборд'!$C$53,"Мало трафика",IF(J670&lt;'Дашборд'!$C$9*'Дашборд'!$C$54,"Да","Нет"))</x:f>
        <x:v>Нет</x:v>
      </x:c>
      <x:c r="N670" s="1" t="str">
        <x:f>IF(AND('Данные'!D670&gt;='Дашборд'!$C$55,D670&lt;'Дашборд'!$C$56,'Данные'!E670&gt;='Дашборд'!$C$53,'Данные'!L670&lt;&gt;"Да"),"Да","Нет")</x:f>
        <x:v>Нет</x:v>
      </x:c>
      <x:c r="O670" s="1" t="str">
        <x:f>'Данные'!L670</x:f>
        <x:v>Нет</x:v>
      </x:c>
    </x:row>
    <x:row r="671">
      <x:c r="A671" s="1" t="str">
        <x:f>'Данные'!A671</x:f>
        <x:v>218970528</x:v>
      </x:c>
      <x:c r="B671" s="1" t="str">
        <x:f>'Данные'!B671</x:f>
        <x:v>topfutbolka/белый</x:v>
      </x:c>
      <x:c r="C671" s="8" t="n">
        <x:f>'Данные'!G671</x:f>
        <x:v>274364</x:v>
      </x:c>
      <x:c r="D671" s="15" t="n">
        <x:f>C671/SUM($C$5:$C$2477)</x:f>
        <x:v>0.0003205185077399681</x:v>
      </x:c>
      <x:c r="E671" s="15" t="n">
        <x:f>SUM($D$5:D671)</x:f>
        <x:v>0.8951785192375572</x:v>
      </x:c>
      <x:c r="F671" s="1" t="str">
        <x:f>IF(C671&lt;=0,"C",IF(E671-D671&lt;'Дашборд'!$C$49,"A",IF(E671-D671&lt;'Дашборд'!$C$50,"B","C")))</x:f>
        <x:v>B</x:v>
      </x:c>
      <x:c r="G671" s="8" t="n">
        <x:f>'Данные'!F671</x:f>
        <x:v>954</x:v>
      </x:c>
      <x:c r="H671" s="8" t="n">
        <x:f>SUM('Данные'!H671:I671)</x:f>
        <x:v>2035</x:v>
      </x:c>
      <x:c r="I671" s="16" t="n">
        <x:f>IF(H671&gt;0,G671/H671,"n.a.")</x:f>
        <x:v>0.4687960687960688</x:v>
      </x:c>
      <x:c r="J671" s="10" t="n">
        <x:f>IF('Данные'!E671&gt;0,G671/'Данные'!E671,"n.a.")</x:f>
        <x:v>0.04081981943434171</x:v>
      </x:c>
      <x:c r="K671" s="1" t="str">
        <x:f>IF(G671&gt;='Дашборд'!$C$51,"X","Z")</x:f>
        <x:v>X</x:v>
      </x:c>
      <x:c r="L671" s="1" t="str">
        <x:f>IF(H671=0,IF(G671&gt;0,"Нет остатка","Нет спроса"),IF(I671&gt;='Дашборд'!$C$52,"Быстрый","Медленный"))</x:f>
        <x:v>Медленный</x:v>
      </x:c>
      <x:c r="M671" s="1" t="str">
        <x:f>IF('Данные'!E671&lt;'Дашборд'!$C$53,"Мало трафика",IF(J671&lt;'Дашборд'!$C$9*'Дашборд'!$C$54,"Да","Нет"))</x:f>
        <x:v>Нет</x:v>
      </x:c>
      <x:c r="N671" s="1" t="str">
        <x:f>IF(AND('Данные'!D671&gt;='Дашборд'!$C$55,D671&lt;'Дашборд'!$C$56,'Данные'!E671&gt;='Дашборд'!$C$53,'Данные'!L671&lt;&gt;"Да"),"Да","Нет")</x:f>
        <x:v>Да</x:v>
      </x:c>
      <x:c r="O671" s="1" t="str">
        <x:f>'Данные'!L671</x:f>
        <x:v>Нет</x:v>
      </x:c>
    </x:row>
    <x:row r="672">
      <x:c r="A672" s="1" t="str">
        <x:f>'Данные'!A672</x:f>
        <x:v>251153202</x:v>
      </x:c>
      <x:c r="B672" s="1" t="str">
        <x:f>'Данные'!B672</x:f>
        <x:v>hudiprint/Pure-193/голубой</x:v>
      </x:c>
      <x:c r="C672" s="8" t="n">
        <x:f>'Данные'!G672</x:f>
        <x:v>274277</x:v>
      </x:c>
      <x:c r="D672" s="15" t="n">
        <x:f>C672/SUM($C$5:$C$2477)</x:f>
        <x:v>0.00032041687228424735</x:v>
      </x:c>
      <x:c r="E672" s="15" t="n">
        <x:f>SUM($D$5:D672)</x:f>
        <x:v>0.8954989361098414</x:v>
      </x:c>
      <x:c r="F672" s="1" t="str">
        <x:f>IF(C672&lt;=0,"C",IF(E672-D672&lt;'Дашборд'!$C$49,"A",IF(E672-D672&lt;'Дашборд'!$C$50,"B","C")))</x:f>
        <x:v>B</x:v>
      </x:c>
      <x:c r="G672" s="8" t="n">
        <x:f>'Данные'!F672</x:f>
        <x:v>215</x:v>
      </x:c>
      <x:c r="H672" s="8" t="n">
        <x:f>SUM('Данные'!H672:I672)</x:f>
        <x:v>37</x:v>
      </x:c>
      <x:c r="I672" s="16" t="n">
        <x:f>IF(H672&gt;0,G672/H672,"n.a.")</x:f>
        <x:v>5.8108108108108105</x:v>
      </x:c>
      <x:c r="J672" s="10" t="n">
        <x:f>IF('Данные'!E672&gt;0,G672/'Данные'!E672,"n.a.")</x:f>
        <x:v>0.010074504474954313</x:v>
      </x:c>
      <x:c r="K672" s="1" t="str">
        <x:f>IF(G672&gt;='Дашборд'!$C$51,"X","Z")</x:f>
        <x:v>Z</x:v>
      </x:c>
      <x:c r="L672" s="1" t="str">
        <x:f>IF(H672=0,IF(G672&gt;0,"Нет остатка","Нет спроса"),IF(I672&gt;='Дашборд'!$C$52,"Быстрый","Медленный"))</x:f>
        <x:v>Быстрый</x:v>
      </x:c>
      <x:c r="M672" s="1" t="str">
        <x:f>IF('Данные'!E672&lt;'Дашборд'!$C$53,"Мало трафика",IF(J672&lt;'Дашборд'!$C$9*'Дашборд'!$C$54,"Да","Нет"))</x:f>
        <x:v>Да</x:v>
      </x:c>
      <x:c r="N672" s="1" t="str">
        <x:f>IF(AND('Данные'!D672&gt;='Дашборд'!$C$55,D672&lt;'Дашборд'!$C$56,'Данные'!E672&gt;='Дашборд'!$C$53,'Данные'!L672&lt;&gt;"Да"),"Да","Нет")</x:f>
        <x:v>Да</x:v>
      </x:c>
      <x:c r="O672" s="1" t="str">
        <x:f>'Данные'!L672</x:f>
        <x:v>Нет</x:v>
      </x:c>
    </x:row>
    <x:row r="673">
      <x:c r="A673" s="1" t="str">
        <x:f>'Данные'!A673</x:f>
        <x:v>297350961</x:v>
      </x:c>
      <x:c r="B673" s="1" t="str">
        <x:f>'Данные'!B673</x:f>
        <x:v>svitshotzipman2/вареныйсерый</x:v>
      </x:c>
      <x:c r="C673" s="8" t="n">
        <x:f>'Данные'!G673</x:f>
        <x:v>272278</x:v>
      </x:c>
      <x:c r="D673" s="15" t="n">
        <x:f>C673/SUM($C$5:$C$2477)</x:f>
        <x:v>0.0003180815932499272</x:v>
      </x:c>
      <x:c r="E673" s="15" t="n">
        <x:f>SUM($D$5:D673)</x:f>
        <x:v>0.8958170177030914</x:v>
      </x:c>
      <x:c r="F673" s="1" t="str">
        <x:f>IF(C673&lt;=0,"C",IF(E673-D673&lt;'Дашборд'!$C$49,"A",IF(E673-D673&lt;'Дашборд'!$C$50,"B","C")))</x:f>
        <x:v>B</x:v>
      </x:c>
      <x:c r="G673" s="8" t="n">
        <x:f>'Данные'!F673</x:f>
        <x:v>354</x:v>
      </x:c>
      <x:c r="H673" s="8" t="n">
        <x:f>SUM('Данные'!H673:I673)</x:f>
        <x:v>1</x:v>
      </x:c>
      <x:c r="I673" s="16" t="n">
        <x:f>IF(H673&gt;0,G673/H673,"n.a.")</x:f>
        <x:v>354</x:v>
      </x:c>
      <x:c r="J673" s="10" t="n">
        <x:f>IF('Данные'!E673&gt;0,G673/'Данные'!E673,"n.a.")</x:f>
        <x:v>0.013911813251591605</x:v>
      </x:c>
      <x:c r="K673" s="1" t="str">
        <x:f>IF(G673&gt;='Дашборд'!$C$51,"X","Z")</x:f>
        <x:v>X</x:v>
      </x:c>
      <x:c r="L673" s="1" t="str">
        <x:f>IF(H673=0,IF(G673&gt;0,"Нет остатка","Нет спроса"),IF(I673&gt;='Дашборд'!$C$52,"Быстрый","Медленный"))</x:f>
        <x:v>Быстрый</x:v>
      </x:c>
      <x:c r="M673" s="1" t="str">
        <x:f>IF('Данные'!E673&lt;'Дашборд'!$C$53,"Мало трафика",IF(J673&lt;'Дашборд'!$C$9*'Дашборд'!$C$54,"Да","Нет"))</x:f>
        <x:v>Нет</x:v>
      </x:c>
      <x:c r="N673" s="1" t="str">
        <x:f>IF(AND('Данные'!D673&gt;='Дашборд'!$C$55,D673&lt;'Дашборд'!$C$56,'Данные'!E673&gt;='Дашборд'!$C$53,'Данные'!L673&lt;&gt;"Да"),"Да","Нет")</x:f>
        <x:v>Да</x:v>
      </x:c>
      <x:c r="O673" s="1" t="str">
        <x:f>'Данные'!L673</x:f>
        <x:v>Нет</x:v>
      </x:c>
    </x:row>
    <x:row r="674">
      <x:c r="A674" s="1" t="str">
        <x:f>'Данные'!A674</x:f>
        <x:v>210514480</x:v>
      </x:c>
      <x:c r="B674" s="1" t="str">
        <x:f>'Данные'!B674</x:f>
        <x:v>kostkulirkacrop/белый</x:v>
      </x:c>
      <x:c r="C674" s="8" t="n">
        <x:f>'Данные'!G674</x:f>
        <x:v>271474</x:v>
      </x:c>
      <x:c r="D674" s="15" t="n">
        <x:f>C674/SUM($C$5:$C$2477)</x:f>
        <x:v>0.0003171423414522317</x:v>
      </x:c>
      <x:c r="E674" s="15" t="n">
        <x:f>SUM($D$5:D674)</x:f>
        <x:v>0.8961341600445436</x:v>
      </x:c>
      <x:c r="F674" s="1" t="str">
        <x:f>IF(C674&lt;=0,"C",IF(E674-D674&lt;'Дашборд'!$C$49,"A",IF(E674-D674&lt;'Дашборд'!$C$50,"B","C")))</x:f>
        <x:v>B</x:v>
      </x:c>
      <x:c r="G674" s="8" t="n">
        <x:f>'Данные'!F674</x:f>
        <x:v>574</x:v>
      </x:c>
      <x:c r="H674" s="8" t="n">
        <x:f>SUM('Данные'!H674:I674)</x:f>
        <x:v>4</x:v>
      </x:c>
      <x:c r="I674" s="16" t="n">
        <x:f>IF(H674&gt;0,G674/H674,"n.a.")</x:f>
        <x:v>143.5</x:v>
      </x:c>
      <x:c r="J674" s="10" t="n">
        <x:f>IF('Данные'!E674&gt;0,G674/'Данные'!E674,"n.a.")</x:f>
        <x:v>0.01477173297647846</x:v>
      </x:c>
      <x:c r="K674" s="1" t="str">
        <x:f>IF(G674&gt;='Дашборд'!$C$51,"X","Z")</x:f>
        <x:v>X</x:v>
      </x:c>
      <x:c r="L674" s="1" t="str">
        <x:f>IF(H674=0,IF(G674&gt;0,"Нет остатка","Нет спроса"),IF(I674&gt;='Дашборд'!$C$52,"Быстрый","Медленный"))</x:f>
        <x:v>Быстрый</x:v>
      </x:c>
      <x:c r="M674" s="1" t="str">
        <x:f>IF('Данные'!E674&lt;'Дашборд'!$C$53,"Мало трафика",IF(J674&lt;'Дашборд'!$C$9*'Дашборд'!$C$54,"Да","Нет"))</x:f>
        <x:v>Нет</x:v>
      </x:c>
      <x:c r="N674" s="1" t="str">
        <x:f>IF(AND('Данные'!D674&gt;='Дашборд'!$C$55,D674&lt;'Дашборд'!$C$56,'Данные'!E674&gt;='Дашборд'!$C$53,'Данные'!L674&lt;&gt;"Да"),"Да","Нет")</x:f>
        <x:v>Нет</x:v>
      </x:c>
      <x:c r="O674" s="1" t="str">
        <x:f>'Данные'!L674</x:f>
        <x:v>Нет</x:v>
      </x:c>
    </x:row>
    <x:row r="675">
      <x:c r="A675" s="1" t="str">
        <x:f>'Данные'!A675</x:f>
        <x:v>170169474</x:v>
      </x:c>
      <x:c r="B675" s="1" t="str">
        <x:f>'Данные'!B675</x:f>
        <x:v>brukiman/серый</x:v>
      </x:c>
      <x:c r="C675" s="8" t="n">
        <x:f>'Данные'!G675</x:f>
        <x:v>271264</x:v>
      </x:c>
      <x:c r="D675" s="15" t="n">
        <x:f>C675/SUM($C$5:$C$2477)</x:f>
        <x:v>0.00031689701449014705</x:v>
      </x:c>
      <x:c r="E675" s="15" t="n">
        <x:f>SUM($D$5:D675)</x:f>
        <x:v>0.8964510570590337</x:v>
      </x:c>
      <x:c r="F675" s="1" t="str">
        <x:f>IF(C675&lt;=0,"C",IF(E675-D675&lt;'Дашборд'!$C$49,"A",IF(E675-D675&lt;'Дашборд'!$C$50,"B","C")))</x:f>
        <x:v>B</x:v>
      </x:c>
      <x:c r="G675" s="8" t="n">
        <x:f>'Данные'!F675</x:f>
        <x:v>313</x:v>
      </x:c>
      <x:c r="H675" s="8" t="n">
        <x:f>SUM('Данные'!H675:I675)</x:f>
        <x:v>885</x:v>
      </x:c>
      <x:c r="I675" s="16" t="n">
        <x:f>IF(H675&gt;0,G675/H675,"n.a.")</x:f>
        <x:v>0.3536723163841808</x:v>
      </x:c>
      <x:c r="J675" s="10" t="n">
        <x:f>IF('Данные'!E675&gt;0,G675/'Данные'!E675,"n.a.")</x:f>
        <x:v>0.030527650443772553</x:v>
      </x:c>
      <x:c r="K675" s="1" t="str">
        <x:f>IF(G675&gt;='Дашборд'!$C$51,"X","Z")</x:f>
        <x:v>X</x:v>
      </x:c>
      <x:c r="L675" s="1" t="str">
        <x:f>IF(H675=0,IF(G675&gt;0,"Нет остатка","Нет спроса"),IF(I675&gt;='Дашборд'!$C$52,"Быстрый","Медленный"))</x:f>
        <x:v>Медленный</x:v>
      </x:c>
      <x:c r="M675" s="1" t="str">
        <x:f>IF('Данные'!E675&lt;'Дашборд'!$C$53,"Мало трафика",IF(J675&lt;'Дашборд'!$C$9*'Дашборд'!$C$54,"Да","Нет"))</x:f>
        <x:v>Нет</x:v>
      </x:c>
      <x:c r="N675" s="1" t="str">
        <x:f>IF(AND('Данные'!D675&gt;='Дашборд'!$C$55,D675&lt;'Дашборд'!$C$56,'Данные'!E675&gt;='Дашборд'!$C$53,'Данные'!L675&lt;&gt;"Да"),"Да","Нет")</x:f>
        <x:v>Да</x:v>
      </x:c>
      <x:c r="O675" s="1" t="str">
        <x:f>'Данные'!L675</x:f>
        <x:v>Нет</x:v>
      </x:c>
    </x:row>
    <x:row r="676">
      <x:c r="A676" s="1" t="str">
        <x:f>'Данные'!A676</x:f>
        <x:v>289089194</x:v>
      </x:c>
      <x:c r="B676" s="1" t="str">
        <x:f>'Данные'!B676</x:f>
        <x:v>palazzonachos/серыймеланж2</x:v>
      </x:c>
      <x:c r="C676" s="8" t="n">
        <x:f>'Данные'!G676</x:f>
        <x:v>270681</x:v>
      </x:c>
      <x:c r="D676" s="15" t="n">
        <x:f>C676/SUM($C$5:$C$2477)</x:f>
        <x:v>0.00031621594011445493</x:v>
      </x:c>
      <x:c r="E676" s="15" t="n">
        <x:f>SUM($D$5:D676)</x:f>
        <x:v>0.8967672729991482</x:v>
      </x:c>
      <x:c r="F676" s="1" t="str">
        <x:f>IF(C676&lt;=0,"C",IF(E676-D676&lt;'Дашборд'!$C$49,"A",IF(E676-D676&lt;'Дашборд'!$C$50,"B","C")))</x:f>
        <x:v>B</x:v>
      </x:c>
      <x:c r="G676" s="8" t="n">
        <x:f>'Данные'!F676</x:f>
        <x:v>491</x:v>
      </x:c>
      <x:c r="H676" s="8" t="n">
        <x:f>SUM('Данные'!H676:I676)</x:f>
        <x:v>104</x:v>
      </x:c>
      <x:c r="I676" s="16" t="n">
        <x:f>IF(H676&gt;0,G676/H676,"n.a.")</x:f>
        <x:v>4.721153846153846</x:v>
      </x:c>
      <x:c r="J676" s="10" t="n">
        <x:f>IF('Данные'!E676&gt;0,G676/'Данные'!E676,"n.a.")</x:f>
        <x:v>0.017069948546794604</x:v>
      </x:c>
      <x:c r="K676" s="1" t="str">
        <x:f>IF(G676&gt;='Дашборд'!$C$51,"X","Z")</x:f>
        <x:v>X</x:v>
      </x:c>
      <x:c r="L676" s="1" t="str">
        <x:f>IF(H676=0,IF(G676&gt;0,"Нет остатка","Нет спроса"),IF(I676&gt;='Дашборд'!$C$52,"Быстрый","Медленный"))</x:f>
        <x:v>Быстрый</x:v>
      </x:c>
      <x:c r="M676" s="1" t="str">
        <x:f>IF('Данные'!E676&lt;'Дашборд'!$C$53,"Мало трафика",IF(J676&lt;'Дашборд'!$C$9*'Дашборд'!$C$54,"Да","Нет"))</x:f>
        <x:v>Нет</x:v>
      </x:c>
      <x:c r="N676" s="1" t="str">
        <x:f>IF(AND('Данные'!D676&gt;='Дашборд'!$C$55,D676&lt;'Дашборд'!$C$56,'Данные'!E676&gt;='Дашборд'!$C$53,'Данные'!L676&lt;&gt;"Да"),"Да","Нет")</x:f>
        <x:v>Нет</x:v>
      </x:c>
      <x:c r="O676" s="1" t="str">
        <x:f>'Данные'!L676</x:f>
        <x:v>Нет</x:v>
      </x:c>
    </x:row>
    <x:row r="677">
      <x:c r="A677" s="1" t="str">
        <x:f>'Данные'!A677</x:f>
        <x:v>240808505</x:v>
      </x:c>
      <x:c r="B677" s="1" t="str">
        <x:f>'Данные'!B677</x:f>
        <x:v>hudigirl/темно-синий</x:v>
      </x:c>
      <x:c r="C677" s="8" t="n">
        <x:f>'Данные'!G677</x:f>
        <x:v>270612</x:v>
      </x:c>
      <x:c r="D677" s="15" t="n">
        <x:f>C677/SUM($C$5:$C$2477)</x:f>
        <x:v>0.00031613533268405565</x:v>
      </x:c>
      <x:c r="E677" s="15" t="n">
        <x:f>SUM($D$5:D677)</x:f>
        <x:v>0.8970834083318322</x:v>
      </x:c>
      <x:c r="F677" s="1" t="str">
        <x:f>IF(C677&lt;=0,"C",IF(E677-D677&lt;'Дашборд'!$C$49,"A",IF(E677-D677&lt;'Дашборд'!$C$50,"B","C")))</x:f>
        <x:v>B</x:v>
      </x:c>
      <x:c r="G677" s="8" t="n">
        <x:f>'Данные'!F677</x:f>
        <x:v>408</x:v>
      </x:c>
      <x:c r="H677" s="8" t="n">
        <x:f>SUM('Данные'!H677:I677)</x:f>
        <x:v>808</x:v>
      </x:c>
      <x:c r="I677" s="16" t="n">
        <x:f>IF(H677&gt;0,G677/H677,"n.a.")</x:f>
        <x:v>0.504950495049505</x:v>
      </x:c>
      <x:c r="J677" s="10" t="n">
        <x:f>IF('Данные'!E677&gt;0,G677/'Данные'!E677,"n.a.")</x:f>
        <x:v>0.02568622513220851</x:v>
      </x:c>
      <x:c r="K677" s="1" t="str">
        <x:f>IF(G677&gt;='Дашборд'!$C$51,"X","Z")</x:f>
        <x:v>X</x:v>
      </x:c>
      <x:c r="L677" s="1" t="str">
        <x:f>IF(H677=0,IF(G677&gt;0,"Нет остатка","Нет спроса"),IF(I677&gt;='Дашборд'!$C$52,"Быстрый","Медленный"))</x:f>
        <x:v>Медленный</x:v>
      </x:c>
      <x:c r="M677" s="1" t="str">
        <x:f>IF('Данные'!E677&lt;'Дашборд'!$C$53,"Мало трафика",IF(J677&lt;'Дашборд'!$C$9*'Дашборд'!$C$54,"Да","Нет"))</x:f>
        <x:v>Нет</x:v>
      </x:c>
      <x:c r="N677" s="1" t="str">
        <x:f>IF(AND('Данные'!D677&gt;='Дашборд'!$C$55,D677&lt;'Дашборд'!$C$56,'Данные'!E677&gt;='Дашборд'!$C$53,'Данные'!L677&lt;&gt;"Да"),"Да","Нет")</x:f>
        <x:v>Нет</x:v>
      </x:c>
      <x:c r="O677" s="1" t="str">
        <x:f>'Данные'!L677</x:f>
        <x:v>Нет</x:v>
      </x:c>
    </x:row>
    <x:row r="678">
      <x:c r="A678" s="1" t="str">
        <x:f>'Данные'!A678</x:f>
        <x:v>246362991</x:v>
      </x:c>
      <x:c r="B678" s="1" t="str">
        <x:f>'Данные'!B678</x:f>
        <x:v>tolstovkazipman/бордовый</x:v>
      </x:c>
      <x:c r="C678" s="8" t="n">
        <x:f>'Данные'!G678</x:f>
        <x:v>270544</x:v>
      </x:c>
      <x:c r="D678" s="15" t="n">
        <x:f>C678/SUM($C$5:$C$2477)</x:f>
        <x:v>0.0003160558934772854</x:v>
      </x:c>
      <x:c r="E678" s="15" t="n">
        <x:f>SUM($D$5:D678)</x:f>
        <x:v>0.8973994642253095</x:v>
      </x:c>
      <x:c r="F678" s="1" t="str">
        <x:f>IF(C678&lt;=0,"C",IF(E678-D678&lt;'Дашборд'!$C$49,"A",IF(E678-D678&lt;'Дашборд'!$C$50,"B","C")))</x:f>
        <x:v>B</x:v>
      </x:c>
      <x:c r="G678" s="8" t="n">
        <x:f>'Данные'!F678</x:f>
        <x:v>238</x:v>
      </x:c>
      <x:c r="H678" s="8" t="n">
        <x:f>SUM('Данные'!H678:I678)</x:f>
        <x:v>1</x:v>
      </x:c>
      <x:c r="I678" s="16" t="n">
        <x:f>IF(H678&gt;0,G678/H678,"n.a.")</x:f>
        <x:v>238</x:v>
      </x:c>
      <x:c r="J678" s="10" t="n">
        <x:f>IF('Данные'!E678&gt;0,G678/'Данные'!E678,"n.a.")</x:f>
        <x:v>0.012126770610414755</x:v>
      </x:c>
      <x:c r="K678" s="1" t="str">
        <x:f>IF(G678&gt;='Дашборд'!$C$51,"X","Z")</x:f>
        <x:v>Z</x:v>
      </x:c>
      <x:c r="L678" s="1" t="str">
        <x:f>IF(H678=0,IF(G678&gt;0,"Нет остатка","Нет спроса"),IF(I678&gt;='Дашборд'!$C$52,"Быстрый","Медленный"))</x:f>
        <x:v>Быстрый</x:v>
      </x:c>
      <x:c r="M678" s="1" t="str">
        <x:f>IF('Данные'!E678&lt;'Дашборд'!$C$53,"Мало трафика",IF(J678&lt;'Дашборд'!$C$9*'Дашборд'!$C$54,"Да","Нет"))</x:f>
        <x:v>Нет</x:v>
      </x:c>
      <x:c r="N678" s="1" t="str">
        <x:f>IF(AND('Данные'!D678&gt;='Дашборд'!$C$55,D678&lt;'Дашборд'!$C$56,'Данные'!E678&gt;='Дашборд'!$C$53,'Данные'!L678&lt;&gt;"Да"),"Да","Нет")</x:f>
        <x:v>Да</x:v>
      </x:c>
      <x:c r="O678" s="1" t="str">
        <x:f>'Данные'!L678</x:f>
        <x:v>Нет</x:v>
      </x:c>
    </x:row>
    <x:row r="679">
      <x:c r="A679" s="1" t="str">
        <x:f>'Данные'!A679</x:f>
        <x:v>249222939</x:v>
      </x:c>
      <x:c r="B679" s="1" t="str">
        <x:f>'Данные'!B679</x:f>
        <x:v>svitshotpolopetl3P-60/темно-серый</x:v>
      </x:c>
      <x:c r="C679" s="8" t="n">
        <x:f>'Данные'!G679</x:f>
        <x:v>269693</x:v>
      </x:c>
      <x:c r="D679" s="15" t="n">
        <x:f>C679/SUM($C$5:$C$2477)</x:f>
        <x:v>0.0003150617351690281</x:v>
      </x:c>
      <x:c r="E679" s="15" t="n">
        <x:f>SUM($D$5:D679)</x:f>
        <x:v>0.8977145259604785</x:v>
      </x:c>
      <x:c r="F679" s="1" t="str">
        <x:f>IF(C679&lt;=0,"C",IF(E679-D679&lt;'Дашборд'!$C$49,"A",IF(E679-D679&lt;'Дашборд'!$C$50,"B","C")))</x:f>
        <x:v>B</x:v>
      </x:c>
      <x:c r="G679" s="8" t="n">
        <x:f>'Данные'!F679</x:f>
        <x:v>362</x:v>
      </x:c>
      <x:c r="H679" s="8" t="n">
        <x:f>SUM('Данные'!H679:I679)</x:f>
        <x:v>376</x:v>
      </x:c>
      <x:c r="I679" s="16" t="n">
        <x:f>IF(H679&gt;0,G679/H679,"n.a.")</x:f>
        <x:v>0.9627659574468085</x:v>
      </x:c>
      <x:c r="J679" s="10" t="n">
        <x:f>IF('Данные'!E679&gt;0,G679/'Данные'!E679,"n.a.")</x:f>
        <x:v>0.0081856005788712</x:v>
      </x:c>
      <x:c r="K679" s="1" t="str">
        <x:f>IF(G679&gt;='Дашборд'!$C$51,"X","Z")</x:f>
        <x:v>X</x:v>
      </x:c>
      <x:c r="L679" s="1" t="str">
        <x:f>IF(H679=0,IF(G679&gt;0,"Нет остатка","Нет спроса"),IF(I679&gt;='Дашборд'!$C$52,"Быстрый","Медленный"))</x:f>
        <x:v>Медленный</x:v>
      </x:c>
      <x:c r="M679" s="1" t="str">
        <x:f>IF('Данные'!E679&lt;'Дашборд'!$C$53,"Мало трафика",IF(J679&lt;'Дашборд'!$C$9*'Дашборд'!$C$54,"Да","Нет"))</x:f>
        <x:v>Да</x:v>
      </x:c>
      <x:c r="N679" s="1" t="str">
        <x:f>IF(AND('Данные'!D679&gt;='Дашборд'!$C$55,D679&lt;'Дашборд'!$C$56,'Данные'!E679&gt;='Дашборд'!$C$53,'Данные'!L679&lt;&gt;"Да"),"Да","Нет")</x:f>
        <x:v>Нет</x:v>
      </x:c>
      <x:c r="O679" s="1" t="str">
        <x:f>'Данные'!L679</x:f>
        <x:v>Нет</x:v>
      </x:c>
    </x:row>
    <x:row r="680">
      <x:c r="A680" s="1" t="str">
        <x:f>'Данные'!A680</x:f>
        <x:v>116111995</x:v>
      </x:c>
      <x:c r="B680" s="1" t="str">
        <x:f>'Данные'!B680</x:f>
        <x:v>hudi/зеленый</x:v>
      </x:c>
      <x:c r="C680" s="8" t="n">
        <x:f>'Данные'!G680</x:f>
        <x:v>268924</x:v>
      </x:c>
      <x:c r="D680" s="15" t="n">
        <x:f>C680/SUM($C$5:$C$2477)</x:f>
        <x:v>0.00031416337119834664</x:v>
      </x:c>
      <x:c r="E680" s="15" t="n">
        <x:f>SUM($D$5:D680)</x:f>
        <x:v>0.8980286893316769</x:v>
      </x:c>
      <x:c r="F680" s="1" t="str">
        <x:f>IF(C680&lt;=0,"C",IF(E680-D680&lt;'Дашборд'!$C$49,"A",IF(E680-D680&lt;'Дашборд'!$C$50,"B","C")))</x:f>
        <x:v>B</x:v>
      </x:c>
      <x:c r="G680" s="8" t="n">
        <x:f>'Данные'!F680</x:f>
        <x:v>325</x:v>
      </x:c>
      <x:c r="H680" s="8" t="n">
        <x:f>SUM('Данные'!H680:I680)</x:f>
        <x:v>72</x:v>
      </x:c>
      <x:c r="I680" s="16" t="n">
        <x:f>IF(H680&gt;0,G680/H680,"n.a.")</x:f>
        <x:v>4.513888888888889</x:v>
      </x:c>
      <x:c r="J680" s="10" t="n">
        <x:f>IF('Данные'!E680&gt;0,G680/'Данные'!E680,"n.a.")</x:f>
        <x:v>0.009024017770373455</x:v>
      </x:c>
      <x:c r="K680" s="1" t="str">
        <x:f>IF(G680&gt;='Дашборд'!$C$51,"X","Z")</x:f>
        <x:v>X</x:v>
      </x:c>
      <x:c r="L680" s="1" t="str">
        <x:f>IF(H680=0,IF(G680&gt;0,"Нет остатка","Нет спроса"),IF(I680&gt;='Дашборд'!$C$52,"Быстрый","Медленный"))</x:f>
        <x:v>Быстрый</x:v>
      </x:c>
      <x:c r="M680" s="1" t="str">
        <x:f>IF('Данные'!E680&lt;'Дашборд'!$C$53,"Мало трафика",IF(J680&lt;'Дашборд'!$C$9*'Дашборд'!$C$54,"Да","Нет"))</x:f>
        <x:v>Да</x:v>
      </x:c>
      <x:c r="N680" s="1" t="str">
        <x:f>IF(AND('Данные'!D680&gt;='Дашборд'!$C$55,D680&lt;'Дашборд'!$C$56,'Данные'!E680&gt;='Дашборд'!$C$53,'Данные'!L680&lt;&gt;"Да"),"Да","Нет")</x:f>
        <x:v>Да</x:v>
      </x:c>
      <x:c r="O680" s="1" t="str">
        <x:f>'Данные'!L680</x:f>
        <x:v>Нет</x:v>
      </x:c>
    </x:row>
    <x:row r="681">
      <x:c r="A681" s="1" t="str">
        <x:f>'Данные'!A681</x:f>
        <x:v>289092415</x:v>
      </x:c>
      <x:c r="B681" s="1" t="str">
        <x:f>'Данные'!B681</x:f>
        <x:v>hudicropman4F-67/молочный</x:v>
      </x:c>
      <x:c r="C681" s="8" t="n">
        <x:f>'Данные'!G681</x:f>
        <x:v>268589</x:v>
      </x:c>
      <x:c r="D681" s="15" t="n">
        <x:f>C681/SUM($C$5:$C$2477)</x:f>
        <x:v>0.0003137720162826402</x:v>
      </x:c>
      <x:c r="E681" s="15" t="n">
        <x:f>SUM($D$5:D681)</x:f>
        <x:v>0.8983424613479596</x:v>
      </x:c>
      <x:c r="F681" s="1" t="str">
        <x:f>IF(C681&lt;=0,"C",IF(E681-D681&lt;'Дашборд'!$C$49,"A",IF(E681-D681&lt;'Дашборд'!$C$50,"B","C")))</x:f>
        <x:v>B</x:v>
      </x:c>
      <x:c r="G681" s="8" t="n">
        <x:f>'Данные'!F681</x:f>
        <x:v>318</x:v>
      </x:c>
      <x:c r="H681" s="8" t="n">
        <x:f>SUM('Данные'!H681:I681)</x:f>
        <x:v>591</x:v>
      </x:c>
      <x:c r="I681" s="16" t="n">
        <x:f>IF(H681&gt;0,G681/H681,"n.a.")</x:f>
        <x:v>0.5380710659898477</x:v>
      </x:c>
      <x:c r="J681" s="10" t="n">
        <x:f>IF('Данные'!E681&gt;0,G681/'Данные'!E681,"n.a.")</x:f>
        <x:v>0.027214377406931965</x:v>
      </x:c>
      <x:c r="K681" s="1" t="str">
        <x:f>IF(G681&gt;='Дашборд'!$C$51,"X","Z")</x:f>
        <x:v>X</x:v>
      </x:c>
      <x:c r="L681" s="1" t="str">
        <x:f>IF(H681=0,IF(G681&gt;0,"Нет остатка","Нет спроса"),IF(I681&gt;='Дашборд'!$C$52,"Быстрый","Медленный"))</x:f>
        <x:v>Медленный</x:v>
      </x:c>
      <x:c r="M681" s="1" t="str">
        <x:f>IF('Данные'!E681&lt;'Дашборд'!$C$53,"Мало трафика",IF(J681&lt;'Дашборд'!$C$9*'Дашборд'!$C$54,"Да","Нет"))</x:f>
        <x:v>Нет</x:v>
      </x:c>
      <x:c r="N681" s="1" t="str">
        <x:f>IF(AND('Данные'!D681&gt;='Дашборд'!$C$55,D681&lt;'Дашборд'!$C$56,'Данные'!E681&gt;='Дашборд'!$C$53,'Данные'!L681&lt;&gt;"Да"),"Да","Нет")</x:f>
        <x:v>Да</x:v>
      </x:c>
      <x:c r="O681" s="1" t="str">
        <x:f>'Данные'!L681</x:f>
        <x:v>Нет</x:v>
      </x:c>
    </x:row>
    <x:row r="682">
      <x:c r="A682" s="1" t="str">
        <x:f>'Данные'!A682</x:f>
        <x:v>216158873</x:v>
      </x:c>
      <x:c r="B682" s="1" t="str">
        <x:f>'Данные'!B682</x:f>
        <x:v>futbolkagirl/белый</x:v>
      </x:c>
      <x:c r="C682" s="8" t="n">
        <x:f>'Данные'!G682</x:f>
        <x:v>268157</x:v>
      </x:c>
      <x:c r="D682" s="15" t="n">
        <x:f>C682/SUM($C$5:$C$2477)</x:f>
        <x:v>0.0003132673436749232</x:v>
      </x:c>
      <x:c r="E682" s="15" t="n">
        <x:f>SUM($D$5:D682)</x:f>
        <x:v>0.8986557286916345</x:v>
      </x:c>
      <x:c r="F682" s="1" t="str">
        <x:f>IF(C682&lt;=0,"C",IF(E682-D682&lt;'Дашборд'!$C$49,"A",IF(E682-D682&lt;'Дашборд'!$C$50,"B","C")))</x:f>
        <x:v>B</x:v>
      </x:c>
      <x:c r="G682" s="8" t="n">
        <x:f>'Данные'!F682</x:f>
        <x:v>825</x:v>
      </x:c>
      <x:c r="H682" s="8" t="n">
        <x:f>SUM('Данные'!H682:I682)</x:f>
        <x:v>277</x:v>
      </x:c>
      <x:c r="I682" s="16" t="n">
        <x:f>IF(H682&gt;0,G682/H682,"n.a.")</x:f>
        <x:v>2.9783393501805056</x:v>
      </x:c>
      <x:c r="J682" s="10" t="n">
        <x:f>IF('Данные'!E682&gt;0,G682/'Данные'!E682,"n.a.")</x:f>
        <x:v>0.02127933969564096</x:v>
      </x:c>
      <x:c r="K682" s="1" t="str">
        <x:f>IF(G682&gt;='Дашборд'!$C$51,"X","Z")</x:f>
        <x:v>X</x:v>
      </x:c>
      <x:c r="L682" s="1" t="str">
        <x:f>IF(H682=0,IF(G682&gt;0,"Нет остатка","Нет спроса"),IF(I682&gt;='Дашборд'!$C$52,"Быстрый","Медленный"))</x:f>
        <x:v>Быстрый</x:v>
      </x:c>
      <x:c r="M682" s="1" t="str">
        <x:f>IF('Данные'!E682&lt;'Дашборд'!$C$53,"Мало трафика",IF(J682&lt;'Дашборд'!$C$9*'Дашборд'!$C$54,"Да","Нет"))</x:f>
        <x:v>Нет</x:v>
      </x:c>
      <x:c r="N682" s="1" t="str">
        <x:f>IF(AND('Данные'!D682&gt;='Дашборд'!$C$55,D682&lt;'Дашборд'!$C$56,'Данные'!E682&gt;='Дашборд'!$C$53,'Данные'!L682&lt;&gt;"Да"),"Да","Нет")</x:f>
        <x:v>Да</x:v>
      </x:c>
      <x:c r="O682" s="1" t="str">
        <x:f>'Данные'!L682</x:f>
        <x:v>Нет</x:v>
      </x:c>
    </x:row>
    <x:row r="683">
      <x:c r="A683" s="1" t="str">
        <x:f>'Данные'!A683</x:f>
        <x:v>193100148</x:v>
      </x:c>
      <x:c r="B683" s="1" t="str">
        <x:f>'Данные'!B683</x:f>
        <x:v>svitshotzip1/синий</x:v>
      </x:c>
      <x:c r="C683" s="8" t="n">
        <x:f>'Данные'!G683</x:f>
        <x:v>266879</x:v>
      </x:c>
      <x:c r="D683" s="15" t="n">
        <x:f>C683/SUM($C$5:$C$2477)</x:f>
        <x:v>0.00031177435387709377</x:v>
      </x:c>
      <x:c r="E683" s="15" t="n">
        <x:f>SUM($D$5:D683)</x:f>
        <x:v>0.8989675030455115</x:v>
      </x:c>
      <x:c r="F683" s="1" t="str">
        <x:f>IF(C683&lt;=0,"C",IF(E683-D683&lt;'Дашборд'!$C$49,"A",IF(E683-D683&lt;'Дашборд'!$C$50,"B","C")))</x:f>
        <x:v>B</x:v>
      </x:c>
      <x:c r="G683" s="8" t="n">
        <x:f>'Данные'!F683</x:f>
        <x:v>303</x:v>
      </x:c>
      <x:c r="H683" s="8" t="n">
        <x:f>SUM('Данные'!H683:I683)</x:f>
        <x:v>322</x:v>
      </x:c>
      <x:c r="I683" s="16" t="n">
        <x:f>IF(H683&gt;0,G683/H683,"n.a.")</x:f>
        <x:v>0.9409937888198758</x:v>
      </x:c>
      <x:c r="J683" s="10" t="n">
        <x:f>IF('Данные'!E683&gt;0,G683/'Данные'!E683,"n.a.")</x:f>
        <x:v>0.017425810904071772</x:v>
      </x:c>
      <x:c r="K683" s="1" t="str">
        <x:f>IF(G683&gt;='Дашборд'!$C$51,"X","Z")</x:f>
        <x:v>X</x:v>
      </x:c>
      <x:c r="L683" s="1" t="str">
        <x:f>IF(H683=0,IF(G683&gt;0,"Нет остатка","Нет спроса"),IF(I683&gt;='Дашборд'!$C$52,"Быстрый","Медленный"))</x:f>
        <x:v>Медленный</x:v>
      </x:c>
      <x:c r="M683" s="1" t="str">
        <x:f>IF('Данные'!E683&lt;'Дашборд'!$C$53,"Мало трафика",IF(J683&lt;'Дашборд'!$C$9*'Дашборд'!$C$54,"Да","Нет"))</x:f>
        <x:v>Нет</x:v>
      </x:c>
      <x:c r="N683" s="1" t="str">
        <x:f>IF(AND('Данные'!D683&gt;='Дашборд'!$C$55,D683&lt;'Дашборд'!$C$56,'Данные'!E683&gt;='Дашборд'!$C$53,'Данные'!L683&lt;&gt;"Да"),"Да","Нет")</x:f>
        <x:v>Да</x:v>
      </x:c>
      <x:c r="O683" s="1" t="str">
        <x:f>'Данные'!L683</x:f>
        <x:v>Нет</x:v>
      </x:c>
    </x:row>
    <x:row r="684">
      <x:c r="A684" s="1" t="str">
        <x:f>'Данные'!A684</x:f>
        <x:v>283319856</x:v>
      </x:c>
      <x:c r="B684" s="1" t="str">
        <x:f>'Данные'!B684</x:f>
        <x:v>hudicropprint/TheMovementClub-140/бордовый</x:v>
      </x:c>
      <x:c r="C684" s="8" t="n">
        <x:f>'Данные'!G684</x:f>
        <x:v>265341</x:v>
      </x:c>
      <x:c r="D684" s="15" t="n">
        <x:f>C684/SUM($C$5:$C$2477)</x:f>
        <x:v>0.00030997762593573094</x:v>
      </x:c>
      <x:c r="E684" s="15" t="n">
        <x:f>SUM($D$5:D684)</x:f>
        <x:v>0.8992774806714473</x:v>
      </x:c>
      <x:c r="F684" s="1" t="str">
        <x:f>IF(C684&lt;=0,"C",IF(E684-D684&lt;'Дашборд'!$C$49,"A",IF(E684-D684&lt;'Дашборд'!$C$50,"B","C")))</x:f>
        <x:v>B</x:v>
      </x:c>
      <x:c r="G684" s="8" t="n">
        <x:f>'Данные'!F684</x:f>
        <x:v>222</x:v>
      </x:c>
      <x:c r="H684" s="8" t="n">
        <x:f>SUM('Данные'!H684:I684)</x:f>
        <x:v>1</x:v>
      </x:c>
      <x:c r="I684" s="16" t="n">
        <x:f>IF(H684&gt;0,G684/H684,"n.a.")</x:f>
        <x:v>222</x:v>
      </x:c>
      <x:c r="J684" s="10" t="n">
        <x:f>IF('Данные'!E684&gt;0,G684/'Данные'!E684,"n.a.")</x:f>
        <x:v>0.014072900158478605</x:v>
      </x:c>
      <x:c r="K684" s="1" t="str">
        <x:f>IF(G684&gt;='Дашборд'!$C$51,"X","Z")</x:f>
        <x:v>Z</x:v>
      </x:c>
      <x:c r="L684" s="1" t="str">
        <x:f>IF(H684=0,IF(G684&gt;0,"Нет остатка","Нет спроса"),IF(I684&gt;='Дашборд'!$C$52,"Быстрый","Медленный"))</x:f>
        <x:v>Быстрый</x:v>
      </x:c>
      <x:c r="M684" s="1" t="str">
        <x:f>IF('Данные'!E684&lt;'Дашборд'!$C$53,"Мало трафика",IF(J684&lt;'Дашборд'!$C$9*'Дашборд'!$C$54,"Да","Нет"))</x:f>
        <x:v>Нет</x:v>
      </x:c>
      <x:c r="N684" s="1" t="str">
        <x:f>IF(AND('Данные'!D684&gt;='Дашборд'!$C$55,D684&lt;'Дашборд'!$C$56,'Данные'!E684&gt;='Дашборд'!$C$53,'Данные'!L684&lt;&gt;"Да"),"Да","Нет")</x:f>
        <x:v>Да</x:v>
      </x:c>
      <x:c r="O684" s="1" t="str">
        <x:f>'Данные'!L684</x:f>
        <x:v>Нет</x:v>
      </x:c>
    </x:row>
    <x:row r="685">
      <x:c r="A685" s="1" t="str">
        <x:f>'Данные'!A685</x:f>
        <x:v>246362977</x:v>
      </x:c>
      <x:c r="B685" s="1" t="str">
        <x:f>'Данные'!B685</x:f>
        <x:v>tolstovkazipcrop/фуксия</x:v>
      </x:c>
      <x:c r="C685" s="8" t="n">
        <x:f>'Данные'!G685</x:f>
        <x:v>265038</x:v>
      </x:c>
      <x:c r="D685" s="15" t="n">
        <x:f>C685/SUM($C$5:$C$2477)</x:f>
        <x:v>0.00030962365417615164</x:v>
      </x:c>
      <x:c r="E685" s="15" t="n">
        <x:f>SUM($D$5:D685)</x:f>
        <x:v>0.8995871043256235</x:v>
      </x:c>
      <x:c r="F685" s="1" t="str">
        <x:f>IF(C685&lt;=0,"C",IF(E685-D685&lt;'Дашборд'!$C$49,"A",IF(E685-D685&lt;'Дашборд'!$C$50,"B","C")))</x:f>
        <x:v>B</x:v>
      </x:c>
      <x:c r="G685" s="8" t="n">
        <x:f>'Данные'!F685</x:f>
        <x:v>306</x:v>
      </x:c>
      <x:c r="H685" s="8" t="n">
        <x:f>SUM('Данные'!H685:I685)</x:f>
        <x:v>251</x:v>
      </x:c>
      <x:c r="I685" s="16" t="n">
        <x:f>IF(H685&gt;0,G685/H685,"n.a.")</x:f>
        <x:v>1.2191235059760956</x:v>
      </x:c>
      <x:c r="J685" s="10" t="n">
        <x:f>IF('Данные'!E685&gt;0,G685/'Данные'!E685,"n.a.")</x:f>
        <x:v>0.01285984450514814</x:v>
      </x:c>
      <x:c r="K685" s="1" t="str">
        <x:f>IF(G685&gt;='Дашборд'!$C$51,"X","Z")</x:f>
        <x:v>X</x:v>
      </x:c>
      <x:c r="L685" s="1" t="str">
        <x:f>IF(H685=0,IF(G685&gt;0,"Нет остатка","Нет спроса"),IF(I685&gt;='Дашборд'!$C$52,"Быстрый","Медленный"))</x:f>
        <x:v>Быстрый</x:v>
      </x:c>
      <x:c r="M685" s="1" t="str">
        <x:f>IF('Данные'!E685&lt;'Дашборд'!$C$53,"Мало трафика",IF(J685&lt;'Дашборд'!$C$9*'Дашборд'!$C$54,"Да","Нет"))</x:f>
        <x:v>Нет</x:v>
      </x:c>
      <x:c r="N685" s="1" t="str">
        <x:f>IF(AND('Данные'!D685&gt;='Дашборд'!$C$55,D685&lt;'Дашборд'!$C$56,'Данные'!E685&gt;='Дашборд'!$C$53,'Данные'!L685&lt;&gt;"Да"),"Да","Нет")</x:f>
        <x:v>Да</x:v>
      </x:c>
      <x:c r="O685" s="1" t="str">
        <x:f>'Данные'!L685</x:f>
        <x:v>Нет</x:v>
      </x:c>
    </x:row>
    <x:row r="686">
      <x:c r="A686" s="1" t="str">
        <x:f>'Данные'!A686</x:f>
        <x:v>114623596</x:v>
      </x:c>
      <x:c r="B686" s="1" t="str">
        <x:f>'Данные'!B686</x:f>
        <x:v>kroptop/деним</x:v>
      </x:c>
      <x:c r="C686" s="8" t="n">
        <x:f>'Данные'!G686</x:f>
        <x:v>264048</x:v>
      </x:c>
      <x:c r="D686" s="15" t="n">
        <x:f>C686/SUM($C$5:$C$2477)</x:f>
        <x:v>0.00030846711278346685</x:v>
      </x:c>
      <x:c r="E686" s="15" t="n">
        <x:f>SUM($D$5:D686)</x:f>
        <x:v>0.8998955714384069</x:v>
      </x:c>
      <x:c r="F686" s="1" t="str">
        <x:f>IF(C686&lt;=0,"C",IF(E686-D686&lt;'Дашборд'!$C$49,"A",IF(E686-D686&lt;'Дашборд'!$C$50,"B","C")))</x:f>
        <x:v>B</x:v>
      </x:c>
      <x:c r="G686" s="8" t="n">
        <x:f>'Данные'!F686</x:f>
        <x:v>767</x:v>
      </x:c>
      <x:c r="H686" s="8" t="n">
        <x:f>SUM('Данные'!H686:I686)</x:f>
        <x:v>1852</x:v>
      </x:c>
      <x:c r="I686" s="16" t="n">
        <x:f>IF(H686&gt;0,G686/H686,"n.a.")</x:f>
        <x:v>0.41414686825054</x:v>
      </x:c>
      <x:c r="J686" s="10" t="n">
        <x:f>IF('Данные'!E686&gt;0,G686/'Данные'!E686,"n.a.")</x:f>
        <x:v>0.01835982382229031</x:v>
      </x:c>
      <x:c r="K686" s="1" t="str">
        <x:f>IF(G686&gt;='Дашборд'!$C$51,"X","Z")</x:f>
        <x:v>X</x:v>
      </x:c>
      <x:c r="L686" s="1" t="str">
        <x:f>IF(H686=0,IF(G686&gt;0,"Нет остатка","Нет спроса"),IF(I686&gt;='Дашборд'!$C$52,"Быстрый","Медленный"))</x:f>
        <x:v>Медленный</x:v>
      </x:c>
      <x:c r="M686" s="1" t="str">
        <x:f>IF('Данные'!E686&lt;'Дашборд'!$C$53,"Мало трафика",IF(J686&lt;'Дашборд'!$C$9*'Дашборд'!$C$54,"Да","Нет"))</x:f>
        <x:v>Нет</x:v>
      </x:c>
      <x:c r="N686" s="1" t="str">
        <x:f>IF(AND('Данные'!D686&gt;='Дашборд'!$C$55,D686&lt;'Дашборд'!$C$56,'Данные'!E686&gt;='Дашборд'!$C$53,'Данные'!L686&lt;&gt;"Да"),"Да","Нет")</x:f>
        <x:v>Нет</x:v>
      </x:c>
      <x:c r="O686" s="1" t="str">
        <x:f>'Данные'!L686</x:f>
        <x:v>Нет</x:v>
      </x:c>
    </x:row>
    <x:row r="687">
      <x:c r="A687" s="1" t="str">
        <x:f>'Данные'!A687</x:f>
        <x:v>368704659</x:v>
      </x:c>
      <x:c r="B687" s="1" t="str">
        <x:f>'Данные'!B687</x:f>
        <x:v>futskimsX2/сер-роз</x:v>
      </x:c>
      <x:c r="C687" s="8" t="n">
        <x:f>'Данные'!G687</x:f>
        <x:v>264000</x:v>
      </x:c>
      <x:c r="D687" s="15" t="n">
        <x:f>C687/SUM($C$5:$C$2477)</x:f>
        <x:v>0.00030841103804927605</x:v>
      </x:c>
      <x:c r="E687" s="15" t="n">
        <x:f>SUM($D$5:D687)</x:f>
        <x:v>0.9002039824764562</x:v>
      </x:c>
      <x:c r="F687" s="1" t="str">
        <x:f>IF(C687&lt;=0,"C",IF(E687-D687&lt;'Дашборд'!$C$49,"A",IF(E687-D687&lt;'Дашборд'!$C$50,"B","C")))</x:f>
        <x:v>B</x:v>
      </x:c>
      <x:c r="G687" s="8" t="n">
        <x:f>'Данные'!F687</x:f>
        <x:v>245</x:v>
      </x:c>
      <x:c r="H687" s="8" t="n">
        <x:f>SUM('Данные'!H687:I687)</x:f>
        <x:v>192</x:v>
      </x:c>
      <x:c r="I687" s="16" t="n">
        <x:f>IF(H687&gt;0,G687/H687,"n.a.")</x:f>
        <x:v>1.2760416666666667</x:v>
      </x:c>
      <x:c r="J687" s="10" t="n">
        <x:f>IF('Данные'!E687&gt;0,G687/'Данные'!E687,"n.a.")</x:f>
        <x:v>0.004162985115204241</x:v>
      </x:c>
      <x:c r="K687" s="1" t="str">
        <x:f>IF(G687&gt;='Дашборд'!$C$51,"X","Z")</x:f>
        <x:v>Z</x:v>
      </x:c>
      <x:c r="L687" s="1" t="str">
        <x:f>IF(H687=0,IF(G687&gt;0,"Нет остатка","Нет спроса"),IF(I687&gt;='Дашборд'!$C$52,"Быстрый","Медленный"))</x:f>
        <x:v>Быстрый</x:v>
      </x:c>
      <x:c r="M687" s="1" t="str">
        <x:f>IF('Данные'!E687&lt;'Дашборд'!$C$53,"Мало трафика",IF(J687&lt;'Дашборд'!$C$9*'Дашборд'!$C$54,"Да","Нет"))</x:f>
        <x:v>Да</x:v>
      </x:c>
      <x:c r="N687" s="1" t="str">
        <x:f>IF(AND('Данные'!D687&gt;='Дашборд'!$C$55,D687&lt;'Дашборд'!$C$56,'Данные'!E687&gt;='Дашборд'!$C$53,'Данные'!L687&lt;&gt;"Да"),"Да","Нет")</x:f>
        <x:v>Нет</x:v>
      </x:c>
      <x:c r="O687" s="1" t="str">
        <x:f>'Данные'!L687</x:f>
        <x:v>Нет</x:v>
      </x:c>
    </x:row>
    <x:row r="688">
      <x:c r="A688" s="1" t="str">
        <x:f>'Данные'!A688</x:f>
        <x:v>332646307</x:v>
      </x:c>
      <x:c r="B688" s="1" t="str">
        <x:f>'Данные'!B688</x:f>
        <x:v>futbolkaprint/Cherished-249/молочный</x:v>
      </x:c>
      <x:c r="C688" s="8" t="n">
        <x:f>'Данные'!G688</x:f>
        <x:v>263313</x:v>
      </x:c>
      <x:c r="D688" s="15" t="n">
        <x:f>C688/SUM($C$5:$C$2477)</x:f>
        <x:v>0.00030760846841617056</x:v>
      </x:c>
      <x:c r="E688" s="15" t="n">
        <x:f>SUM($D$5:D688)</x:f>
        <x:v>0.9005115909448723</x:v>
      </x:c>
      <x:c r="F688" s="1" t="str">
        <x:f>IF(C688&lt;=0,"C",IF(E688-D688&lt;'Дашборд'!$C$49,"A",IF(E688-D688&lt;'Дашборд'!$C$50,"B","C")))</x:f>
        <x:v>B</x:v>
      </x:c>
      <x:c r="G688" s="8" t="n">
        <x:f>'Данные'!F688</x:f>
        <x:v>507</x:v>
      </x:c>
      <x:c r="H688" s="8" t="n">
        <x:f>SUM('Данные'!H688:I688)</x:f>
        <x:v>343</x:v>
      </x:c>
      <x:c r="I688" s="16" t="n">
        <x:f>IF(H688&gt;0,G688/H688,"n.a.")</x:f>
        <x:v>1.478134110787172</x:v>
      </x:c>
      <x:c r="J688" s="10" t="n">
        <x:f>IF('Данные'!E688&gt;0,G688/'Данные'!E688,"n.a.")</x:f>
        <x:v>0.011743178764997452</x:v>
      </x:c>
      <x:c r="K688" s="1" t="str">
        <x:f>IF(G688&gt;='Дашборд'!$C$51,"X","Z")</x:f>
        <x:v>X</x:v>
      </x:c>
      <x:c r="L688" s="1" t="str">
        <x:f>IF(H688=0,IF(G688&gt;0,"Нет остатка","Нет спроса"),IF(I688&gt;='Дашборд'!$C$52,"Быстрый","Медленный"))</x:f>
        <x:v>Быстрый</x:v>
      </x:c>
      <x:c r="M688" s="1" t="str">
        <x:f>IF('Данные'!E688&lt;'Дашборд'!$C$53,"Мало трафика",IF(J688&lt;'Дашборд'!$C$9*'Дашборд'!$C$54,"Да","Нет"))</x:f>
        <x:v>Нет</x:v>
      </x:c>
      <x:c r="N688" s="1" t="str">
        <x:f>IF(AND('Данные'!D688&gt;='Дашборд'!$C$55,D688&lt;'Дашборд'!$C$56,'Данные'!E688&gt;='Дашборд'!$C$53,'Данные'!L688&lt;&gt;"Да"),"Да","Нет")</x:f>
        <x:v>Да</x:v>
      </x:c>
      <x:c r="O688" s="1" t="str">
        <x:f>'Данные'!L688</x:f>
        <x:v>Нет</x:v>
      </x:c>
    </x:row>
    <x:row r="689">
      <x:c r="A689" s="1" t="str">
        <x:f>'Данные'!A689</x:f>
        <x:v>158080266</x:v>
      </x:c>
      <x:c r="B689" s="1" t="str">
        <x:f>'Данные'!B689</x:f>
        <x:v>bruki/кофейный</x:v>
      </x:c>
      <x:c r="C689" s="8" t="n">
        <x:f>'Данные'!G689</x:f>
        <x:v>261891</x:v>
      </x:c>
      <x:c r="D689" s="15" t="n">
        <x:f>C689/SUM($C$5:$C$2477)</x:f>
        <x:v>0.00030594725441576877</x:v>
      </x:c>
      <x:c r="E689" s="15" t="n">
        <x:f>SUM($D$5:D689)</x:f>
        <x:v>0.9008175381992881</x:v>
      </x:c>
      <x:c r="F689" s="1" t="str">
        <x:f>IF(C689&lt;=0,"C",IF(E689-D689&lt;'Дашборд'!$C$49,"A",IF(E689-D689&lt;'Дашборд'!$C$50,"B","C")))</x:f>
        <x:v>B</x:v>
      </x:c>
      <x:c r="G689" s="8" t="n">
        <x:f>'Данные'!F689</x:f>
        <x:v>480</x:v>
      </x:c>
      <x:c r="H689" s="8" t="n">
        <x:f>SUM('Данные'!H689:I689)</x:f>
        <x:v>1351</x:v>
      </x:c>
      <x:c r="I689" s="16" t="n">
        <x:f>IF(H689&gt;0,G689/H689,"n.a.")</x:f>
        <x:v>0.35529237601776464</x:v>
      </x:c>
      <x:c r="J689" s="10" t="n">
        <x:f>IF('Данные'!E689&gt;0,G689/'Данные'!E689,"n.a.")</x:f>
        <x:v>0.02739256976545112</x:v>
      </x:c>
      <x:c r="K689" s="1" t="str">
        <x:f>IF(G689&gt;='Дашборд'!$C$51,"X","Z")</x:f>
        <x:v>X</x:v>
      </x:c>
      <x:c r="L689" s="1" t="str">
        <x:f>IF(H689=0,IF(G689&gt;0,"Нет остатка","Нет спроса"),IF(I689&gt;='Дашборд'!$C$52,"Быстрый","Медленный"))</x:f>
        <x:v>Медленный</x:v>
      </x:c>
      <x:c r="M689" s="1" t="str">
        <x:f>IF('Данные'!E689&lt;'Дашборд'!$C$53,"Мало трафика",IF(J689&lt;'Дашборд'!$C$9*'Дашборд'!$C$54,"Да","Нет"))</x:f>
        <x:v>Нет</x:v>
      </x:c>
      <x:c r="N689" s="1" t="str">
        <x:f>IF(AND('Данные'!D689&gt;='Дашборд'!$C$55,D689&lt;'Дашборд'!$C$56,'Данные'!E689&gt;='Дашборд'!$C$53,'Данные'!L689&lt;&gt;"Да"),"Да","Нет")</x:f>
        <x:v>Нет</x:v>
      </x:c>
      <x:c r="O689" s="1" t="str">
        <x:f>'Данные'!L689</x:f>
        <x:v>Нет</x:v>
      </x:c>
    </x:row>
    <x:row r="690">
      <x:c r="A690" s="1" t="str">
        <x:f>'Данные'!A690</x:f>
        <x:v>348218029</x:v>
      </x:c>
      <x:c r="B690" s="1" t="str">
        <x:f>'Данные'!B690</x:f>
        <x:v>bodyskims/пыльно-синий</x:v>
      </x:c>
      <x:c r="C690" s="8" t="n">
        <x:f>'Данные'!G690</x:f>
        <x:v>261634</x:v>
      </x:c>
      <x:c r="D690" s="15" t="n">
        <x:f>C690/SUM($C$5:$C$2477)</x:f>
        <x:v>0.00030564702094312233</x:v>
      </x:c>
      <x:c r="E690" s="15" t="n">
        <x:f>SUM($D$5:D690)</x:f>
        <x:v>0.9011231852202313</x:v>
      </x:c>
      <x:c r="F690" s="1" t="str">
        <x:f>IF(C690&lt;=0,"C",IF(E690-D690&lt;'Дашборд'!$C$49,"A",IF(E690-D690&lt;'Дашборд'!$C$50,"B","C")))</x:f>
        <x:v>B</x:v>
      </x:c>
      <x:c r="G690" s="8" t="n">
        <x:f>'Данные'!F690</x:f>
        <x:v>520</x:v>
      </x:c>
      <x:c r="H690" s="8" t="n">
        <x:f>SUM('Данные'!H690:I690)</x:f>
        <x:v>174</x:v>
      </x:c>
      <x:c r="I690" s="16" t="n">
        <x:f>IF(H690&gt;0,G690/H690,"n.a.")</x:f>
        <x:v>2.9885057471264367</x:v>
      </x:c>
      <x:c r="J690" s="10" t="n">
        <x:f>IF('Данные'!E690&gt;0,G690/'Данные'!E690,"n.a.")</x:f>
        <x:v>0.014208814930185535</x:v>
      </x:c>
      <x:c r="K690" s="1" t="str">
        <x:f>IF(G690&gt;='Дашборд'!$C$51,"X","Z")</x:f>
        <x:v>X</x:v>
      </x:c>
      <x:c r="L690" s="1" t="str">
        <x:f>IF(H690=0,IF(G690&gt;0,"Нет остатка","Нет спроса"),IF(I690&gt;='Дашборд'!$C$52,"Быстрый","Медленный"))</x:f>
        <x:v>Быстрый</x:v>
      </x:c>
      <x:c r="M690" s="1" t="str">
        <x:f>IF('Данные'!E690&lt;'Дашборд'!$C$53,"Мало трафика",IF(J690&lt;'Дашборд'!$C$9*'Дашборд'!$C$54,"Да","Нет"))</x:f>
        <x:v>Нет</x:v>
      </x:c>
      <x:c r="N690" s="1" t="str">
        <x:f>IF(AND('Данные'!D690&gt;='Дашборд'!$C$55,D690&lt;'Дашборд'!$C$56,'Данные'!E690&gt;='Дашборд'!$C$53,'Данные'!L690&lt;&gt;"Да"),"Да","Нет")</x:f>
        <x:v>Нет</x:v>
      </x:c>
      <x:c r="O690" s="1" t="str">
        <x:f>'Данные'!L690</x:f>
        <x:v>Нет</x:v>
      </x:c>
    </x:row>
    <x:row r="691">
      <x:c r="A691" s="1" t="str">
        <x:f>'Данные'!A691</x:f>
        <x:v>333121377</x:v>
      </x:c>
      <x:c r="B691" s="1" t="str">
        <x:f>'Данные'!B691</x:f>
        <x:v>topmayka/бордовый</x:v>
      </x:c>
      <x:c r="C691" s="8" t="n">
        <x:f>'Данные'!G691</x:f>
        <x:v>261157</x:v>
      </x:c>
      <x:c r="D691" s="15" t="n">
        <x:f>C691/SUM($C$5:$C$2477)</x:f>
        <x:v>0.0003050897782721015</x:v>
      </x:c>
      <x:c r="E691" s="15" t="n">
        <x:f>SUM($D$5:D691)</x:f>
        <x:v>0.9014282749985034</x:v>
      </x:c>
      <x:c r="F691" s="1" t="str">
        <x:f>IF(C691&lt;=0,"C",IF(E691-D691&lt;'Дашборд'!$C$49,"A",IF(E691-D691&lt;'Дашборд'!$C$50,"B","C")))</x:f>
        <x:v>B</x:v>
      </x:c>
      <x:c r="G691" s="8" t="n">
        <x:f>'Данные'!F691</x:f>
        <x:v>881</x:v>
      </x:c>
      <x:c r="H691" s="8" t="n">
        <x:f>SUM('Данные'!H691:I691)</x:f>
        <x:v>220</x:v>
      </x:c>
      <x:c r="I691" s="16" t="n">
        <x:f>IF(H691&gt;0,G691/H691,"n.a.")</x:f>
        <x:v>4.004545454545455</x:v>
      </x:c>
      <x:c r="J691" s="10" t="n">
        <x:f>IF('Данные'!E691&gt;0,G691/'Данные'!E691,"n.a.")</x:f>
        <x:v>0.0196520187374526</x:v>
      </x:c>
      <x:c r="K691" s="1" t="str">
        <x:f>IF(G691&gt;='Дашборд'!$C$51,"X","Z")</x:f>
        <x:v>X</x:v>
      </x:c>
      <x:c r="L691" s="1" t="str">
        <x:f>IF(H691=0,IF(G691&gt;0,"Нет остатка","Нет спроса"),IF(I691&gt;='Дашборд'!$C$52,"Быстрый","Медленный"))</x:f>
        <x:v>Быстрый</x:v>
      </x:c>
      <x:c r="M691" s="1" t="str">
        <x:f>IF('Данные'!E691&lt;'Дашборд'!$C$53,"Мало трафика",IF(J691&lt;'Дашборд'!$C$9*'Дашборд'!$C$54,"Да","Нет"))</x:f>
        <x:v>Нет</x:v>
      </x:c>
      <x:c r="N691" s="1" t="str">
        <x:f>IF(AND('Данные'!D691&gt;='Дашборд'!$C$55,D691&lt;'Дашборд'!$C$56,'Данные'!E691&gt;='Дашборд'!$C$53,'Данные'!L691&lt;&gt;"Да"),"Да","Нет")</x:f>
        <x:v>Да</x:v>
      </x:c>
      <x:c r="O691" s="1" t="str">
        <x:f>'Данные'!L691</x:f>
        <x:v>Нет</x:v>
      </x:c>
    </x:row>
    <x:row r="692">
      <x:c r="A692" s="1" t="str">
        <x:f>'Данные'!A692</x:f>
        <x:v>333323578</x:v>
      </x:c>
      <x:c r="B692" s="1" t="str">
        <x:f>'Данные'!B692</x:f>
        <x:v>hudicroppetl/песочный</x:v>
      </x:c>
      <x:c r="C692" s="8" t="n">
        <x:f>'Данные'!G692</x:f>
        <x:v>260995</x:v>
      </x:c>
      <x:c r="D692" s="15" t="n">
        <x:f>C692/SUM($C$5:$C$2477)</x:f>
        <x:v>0.0003049005260442076</x:v>
      </x:c>
      <x:c r="E692" s="15" t="n">
        <x:f>SUM($D$5:D692)</x:f>
        <x:v>0.9017331755245477</x:v>
      </x:c>
      <x:c r="F692" s="1" t="str">
        <x:f>IF(C692&lt;=0,"C",IF(E692-D692&lt;'Дашборд'!$C$49,"A",IF(E692-D692&lt;'Дашборд'!$C$50,"B","C")))</x:f>
        <x:v>B</x:v>
      </x:c>
      <x:c r="G692" s="8" t="n">
        <x:f>'Данные'!F692</x:f>
        <x:v>298</x:v>
      </x:c>
      <x:c r="H692" s="8" t="n">
        <x:f>SUM('Данные'!H692:I692)</x:f>
        <x:v>218</x:v>
      </x:c>
      <x:c r="I692" s="16" t="n">
        <x:f>IF(H692&gt;0,G692/H692,"n.a.")</x:f>
        <x:v>1.3669724770642202</x:v>
      </x:c>
      <x:c r="J692" s="10" t="n">
        <x:f>IF('Данные'!E692&gt;0,G692/'Данные'!E692,"n.a.")</x:f>
        <x:v>0.014194531770982186</x:v>
      </x:c>
      <x:c r="K692" s="1" t="str">
        <x:f>IF(G692&gt;='Дашборд'!$C$51,"X","Z")</x:f>
        <x:v>X</x:v>
      </x:c>
      <x:c r="L692" s="1" t="str">
        <x:f>IF(H692=0,IF(G692&gt;0,"Нет остатка","Нет спроса"),IF(I692&gt;='Дашборд'!$C$52,"Быстрый","Медленный"))</x:f>
        <x:v>Быстрый</x:v>
      </x:c>
      <x:c r="M692" s="1" t="str">
        <x:f>IF('Данные'!E692&lt;'Дашборд'!$C$53,"Мало трафика",IF(J692&lt;'Дашборд'!$C$9*'Дашборд'!$C$54,"Да","Нет"))</x:f>
        <x:v>Нет</x:v>
      </x:c>
      <x:c r="N692" s="1" t="str">
        <x:f>IF(AND('Данные'!D692&gt;='Дашборд'!$C$55,D692&lt;'Дашборд'!$C$56,'Данные'!E692&gt;='Дашборд'!$C$53,'Данные'!L692&lt;&gt;"Да"),"Да","Нет")</x:f>
        <x:v>Нет</x:v>
      </x:c>
      <x:c r="O692" s="1" t="str">
        <x:f>'Данные'!L692</x:f>
        <x:v>Нет</x:v>
      </x:c>
    </x:row>
    <x:row r="693">
      <x:c r="A693" s="1" t="str">
        <x:f>'Данные'!A693</x:f>
        <x:v>220118020</x:v>
      </x:c>
      <x:c r="B693" s="1" t="str">
        <x:f>'Данные'!B693</x:f>
        <x:v>futbolkaprint/SEOUL-119/пыльнаяроза</x:v>
      </x:c>
      <x:c r="C693" s="8" t="n">
        <x:f>'Данные'!G693</x:f>
        <x:v>260670</x:v>
      </x:c>
      <x:c r="D693" s="15" t="n">
        <x:f>C693/SUM($C$5:$C$2477)</x:f>
        <x:v>0.0003045208533647909</x:v>
      </x:c>
      <x:c r="E693" s="15" t="n">
        <x:f>SUM($D$5:D693)</x:f>
        <x:v>0.9020376963779124</x:v>
      </x:c>
      <x:c r="F693" s="1" t="str">
        <x:f>IF(C693&lt;=0,"C",IF(E693-D693&lt;'Дашборд'!$C$49,"A",IF(E693-D693&lt;'Дашборд'!$C$50,"B","C")))</x:f>
        <x:v>B</x:v>
      </x:c>
      <x:c r="G693" s="8" t="n">
        <x:f>'Данные'!F693</x:f>
        <x:v>461</x:v>
      </x:c>
      <x:c r="H693" s="8" t="n">
        <x:f>SUM('Данные'!H693:I693)</x:f>
        <x:v>73</x:v>
      </x:c>
      <x:c r="I693" s="16" t="n">
        <x:f>IF(H693&gt;0,G693/H693,"n.a.")</x:f>
        <x:v>6.315068493150685</x:v>
      </x:c>
      <x:c r="J693" s="10" t="n">
        <x:f>IF('Данные'!E693&gt;0,G693/'Данные'!E693,"n.a.")</x:f>
        <x:v>0.014572467204046152</x:v>
      </x:c>
      <x:c r="K693" s="1" t="str">
        <x:f>IF(G693&gt;='Дашборд'!$C$51,"X","Z")</x:f>
        <x:v>X</x:v>
      </x:c>
      <x:c r="L693" s="1" t="str">
        <x:f>IF(H693=0,IF(G693&gt;0,"Нет остатка","Нет спроса"),IF(I693&gt;='Дашборд'!$C$52,"Быстрый","Медленный"))</x:f>
        <x:v>Быстрый</x:v>
      </x:c>
      <x:c r="M693" s="1" t="str">
        <x:f>IF('Данные'!E693&lt;'Дашборд'!$C$53,"Мало трафика",IF(J693&lt;'Дашборд'!$C$9*'Дашборд'!$C$54,"Да","Нет"))</x:f>
        <x:v>Нет</x:v>
      </x:c>
      <x:c r="N693" s="1" t="str">
        <x:f>IF(AND('Данные'!D693&gt;='Дашборд'!$C$55,D693&lt;'Дашборд'!$C$56,'Данные'!E693&gt;='Дашборд'!$C$53,'Данные'!L693&lt;&gt;"Да"),"Да","Нет")</x:f>
        <x:v>Нет</x:v>
      </x:c>
      <x:c r="O693" s="1" t="str">
        <x:f>'Данные'!L693</x:f>
        <x:v>Нет</x:v>
      </x:c>
    </x:row>
    <x:row r="694">
      <x:c r="A694" s="1" t="str">
        <x:f>'Данные'!A694</x:f>
        <x:v>165757827</x:v>
      </x:c>
      <x:c r="B694" s="1" t="str">
        <x:f>'Данные'!B694</x:f>
        <x:v>kulirkaman/зеленый</x:v>
      </x:c>
      <x:c r="C694" s="8" t="n">
        <x:f>'Данные'!G694</x:f>
        <x:v>260174</x:v>
      </x:c>
      <x:c r="D694" s="15" t="n">
        <x:f>C694/SUM($C$5:$C$2477)</x:f>
        <x:v>0.0003039414144448195</x:v>
      </x:c>
      <x:c r="E694" s="15" t="n">
        <x:f>SUM($D$5:D694)</x:f>
        <x:v>0.9023416377923572</x:v>
      </x:c>
      <x:c r="F694" s="1" t="str">
        <x:f>IF(C694&lt;=0,"C",IF(E694-D694&lt;'Дашборд'!$C$49,"A",IF(E694-D694&lt;'Дашборд'!$C$50,"B","C")))</x:f>
        <x:v>B</x:v>
      </x:c>
      <x:c r="G694" s="8" t="n">
        <x:f>'Данные'!F694</x:f>
        <x:v>539</x:v>
      </x:c>
      <x:c r="H694" s="8" t="n">
        <x:f>SUM('Данные'!H694:I694)</x:f>
        <x:v>264</x:v>
      </x:c>
      <x:c r="I694" s="16" t="n">
        <x:f>IF(H694&gt;0,G694/H694,"n.a.")</x:f>
        <x:v>2.0416666666666665</x:v>
      </x:c>
      <x:c r="J694" s="10" t="n">
        <x:f>IF('Данные'!E694&gt;0,G694/'Данные'!E694,"n.a.")</x:f>
        <x:v>0.028777362520021357</x:v>
      </x:c>
      <x:c r="K694" s="1" t="str">
        <x:f>IF(G694&gt;='Дашборд'!$C$51,"X","Z")</x:f>
        <x:v>X</x:v>
      </x:c>
      <x:c r="L694" s="1" t="str">
        <x:f>IF(H694=0,IF(G694&gt;0,"Нет остатка","Нет спроса"),IF(I694&gt;='Дашборд'!$C$52,"Быстрый","Медленный"))</x:f>
        <x:v>Быстрый</x:v>
      </x:c>
      <x:c r="M694" s="1" t="str">
        <x:f>IF('Данные'!E694&lt;'Дашборд'!$C$53,"Мало трафика",IF(J694&lt;'Дашборд'!$C$9*'Дашборд'!$C$54,"Да","Нет"))</x:f>
        <x:v>Нет</x:v>
      </x:c>
      <x:c r="N694" s="1" t="str">
        <x:f>IF(AND('Данные'!D694&gt;='Дашборд'!$C$55,D694&lt;'Дашборд'!$C$56,'Данные'!E694&gt;='Дашборд'!$C$53,'Данные'!L694&lt;&gt;"Да"),"Да","Нет")</x:f>
        <x:v>Нет</x:v>
      </x:c>
      <x:c r="O694" s="1" t="str">
        <x:f>'Данные'!L694</x:f>
        <x:v>Нет</x:v>
      </x:c>
    </x:row>
    <x:row r="695">
      <x:c r="A695" s="1" t="str">
        <x:f>'Данные'!A695</x:f>
        <x:v>158427990</x:v>
      </x:c>
      <x:c r="B695" s="1" t="str">
        <x:f>'Данные'!B695</x:f>
        <x:v>kostumman/графит</x:v>
      </x:c>
      <x:c r="C695" s="8" t="n">
        <x:f>'Данные'!G695</x:f>
        <x:v>259831</x:v>
      </x:c>
      <x:c r="D695" s="15" t="n">
        <x:f>C695/SUM($C$5:$C$2477)</x:f>
        <x:v>0.00030354071374008124</x:v>
      </x:c>
      <x:c r="E695" s="15" t="n">
        <x:f>SUM($D$5:D695)</x:f>
        <x:v>0.9026451785060973</x:v>
      </x:c>
      <x:c r="F695" s="1" t="str">
        <x:f>IF(C695&lt;=0,"C",IF(E695-D695&lt;'Дашборд'!$C$49,"A",IF(E695-D695&lt;'Дашборд'!$C$50,"B","C")))</x:f>
        <x:v>B</x:v>
      </x:c>
      <x:c r="G695" s="8" t="n">
        <x:f>'Данные'!F695</x:f>
        <x:v>156</x:v>
      </x:c>
      <x:c r="H695" s="8" t="n">
        <x:f>SUM('Данные'!H695:I695)</x:f>
        <x:v>502</x:v>
      </x:c>
      <x:c r="I695" s="16" t="n">
        <x:f>IF(H695&gt;0,G695/H695,"n.a.")</x:f>
        <x:v>0.3107569721115538</x:v>
      </x:c>
      <x:c r="J695" s="10" t="n">
        <x:f>IF('Данные'!E695&gt;0,G695/'Данные'!E695,"n.a.")</x:f>
        <x:v>0.017873510540788267</x:v>
      </x:c>
      <x:c r="K695" s="1" t="str">
        <x:f>IF(G695&gt;='Дашборд'!$C$51,"X","Z")</x:f>
        <x:v>Z</x:v>
      </x:c>
      <x:c r="L695" s="1" t="str">
        <x:f>IF(H695=0,IF(G695&gt;0,"Нет остатка","Нет спроса"),IF(I695&gt;='Дашборд'!$C$52,"Быстрый","Медленный"))</x:f>
        <x:v>Медленный</x:v>
      </x:c>
      <x:c r="M695" s="1" t="str">
        <x:f>IF('Данные'!E695&lt;'Дашборд'!$C$53,"Мало трафика",IF(J695&lt;'Дашборд'!$C$9*'Дашборд'!$C$54,"Да","Нет"))</x:f>
        <x:v>Нет</x:v>
      </x:c>
      <x:c r="N695" s="1" t="str">
        <x:f>IF(AND('Данные'!D695&gt;='Дашборд'!$C$55,D695&lt;'Дашборд'!$C$56,'Данные'!E695&gt;='Дашборд'!$C$53,'Данные'!L695&lt;&gt;"Да"),"Да","Нет")</x:f>
        <x:v>Да</x:v>
      </x:c>
      <x:c r="O695" s="1" t="str">
        <x:f>'Данные'!L695</x:f>
        <x:v>Нет</x:v>
      </x:c>
    </x:row>
    <x:row r="696">
      <x:c r="A696" s="1" t="str">
        <x:f>'Данные'!A696</x:f>
        <x:v>237893883</x:v>
      </x:c>
      <x:c r="B696" s="1" t="str">
        <x:f>'Данные'!B696</x:f>
        <x:v>svitzipcroppetl/черный</x:v>
      </x:c>
      <x:c r="C696" s="8" t="n">
        <x:f>'Данные'!G696</x:f>
        <x:v>258571</x:v>
      </x:c>
      <x:c r="D696" s="15" t="n">
        <x:f>C696/SUM($C$5:$C$2477)</x:f>
        <x:v>0.00030206875196757334</x:v>
      </x:c>
      <x:c r="E696" s="15" t="n">
        <x:f>SUM($D$5:D696)</x:f>
        <x:v>0.9029472472580649</x:v>
      </x:c>
      <x:c r="F696" s="1" t="str">
        <x:f>IF(C696&lt;=0,"C",IF(E696-D696&lt;'Дашборд'!$C$49,"A",IF(E696-D696&lt;'Дашборд'!$C$50,"B","C")))</x:f>
        <x:v>B</x:v>
      </x:c>
      <x:c r="G696" s="8" t="n">
        <x:f>'Данные'!F696</x:f>
        <x:v>273</x:v>
      </x:c>
      <x:c r="H696" s="8" t="n">
        <x:f>SUM('Данные'!H696:I696)</x:f>
        <x:v>237</x:v>
      </x:c>
      <x:c r="I696" s="16" t="n">
        <x:f>IF(H696&gt;0,G696/H696,"n.a.")</x:f>
        <x:v>1.1518987341772151</x:v>
      </x:c>
      <x:c r="J696" s="10" t="n">
        <x:f>IF('Данные'!E696&gt;0,G696/'Данные'!E696,"n.a.")</x:f>
        <x:v>0.013101694101838077</x:v>
      </x:c>
      <x:c r="K696" s="1" t="str">
        <x:f>IF(G696&gt;='Дашборд'!$C$51,"X","Z")</x:f>
        <x:v>X</x:v>
      </x:c>
      <x:c r="L696" s="1" t="str">
        <x:f>IF(H696=0,IF(G696&gt;0,"Нет остатка","Нет спроса"),IF(I696&gt;='Дашборд'!$C$52,"Быстрый","Медленный"))</x:f>
        <x:v>Быстрый</x:v>
      </x:c>
      <x:c r="M696" s="1" t="str">
        <x:f>IF('Данные'!E696&lt;'Дашборд'!$C$53,"Мало трафика",IF(J696&lt;'Дашборд'!$C$9*'Дашборд'!$C$54,"Да","Нет"))</x:f>
        <x:v>Нет</x:v>
      </x:c>
      <x:c r="N696" s="1" t="str">
        <x:f>IF(AND('Данные'!D696&gt;='Дашборд'!$C$55,D696&lt;'Дашборд'!$C$56,'Данные'!E696&gt;='Дашборд'!$C$53,'Данные'!L696&lt;&gt;"Да"),"Да","Нет")</x:f>
        <x:v>Нет</x:v>
      </x:c>
      <x:c r="O696" s="1" t="str">
        <x:f>'Данные'!L696</x:f>
        <x:v>Нет</x:v>
      </x:c>
    </x:row>
    <x:row r="697">
      <x:c r="A697" s="1" t="str">
        <x:f>'Данные'!A697</x:f>
        <x:v>19077496</x:v>
      </x:c>
      <x:c r="B697" s="1" t="str">
        <x:f>'Данные'!B697</x:f>
        <x:v>bruki/голубой</x:v>
      </x:c>
      <x:c r="C697" s="8" t="n">
        <x:f>'Данные'!G697</x:f>
        <x:v>258556</x:v>
      </x:c>
      <x:c r="D697" s="15" t="n">
        <x:f>C697/SUM($C$5:$C$2477)</x:f>
        <x:v>0.00030205122861313874</x:v>
      </x:c>
      <x:c r="E697" s="15" t="n">
        <x:f>SUM($D$5:D697)</x:f>
        <x:v>0.903249298486678</x:v>
      </x:c>
      <x:c r="F697" s="1" t="str">
        <x:f>IF(C697&lt;=0,"C",IF(E697-D697&lt;'Дашборд'!$C$49,"A",IF(E697-D697&lt;'Дашборд'!$C$50,"B","C")))</x:f>
        <x:v>B</x:v>
      </x:c>
      <x:c r="G697" s="8" t="n">
        <x:f>'Данные'!F697</x:f>
        <x:v>383</x:v>
      </x:c>
      <x:c r="H697" s="8" t="n">
        <x:f>SUM('Данные'!H697:I697)</x:f>
        <x:v>95</x:v>
      </x:c>
      <x:c r="I697" s="16" t="n">
        <x:f>IF(H697&gt;0,G697/H697,"n.a.")</x:f>
        <x:v>4.031578947368421</x:v>
      </x:c>
      <x:c r="J697" s="10" t="n">
        <x:f>IF('Данные'!E697&gt;0,G697/'Данные'!E697,"n.a.")</x:f>
        <x:v>0.02620415982484948</x:v>
      </x:c>
      <x:c r="K697" s="1" t="str">
        <x:f>IF(G697&gt;='Дашборд'!$C$51,"X","Z")</x:f>
        <x:v>X</x:v>
      </x:c>
      <x:c r="L697" s="1" t="str">
        <x:f>IF(H697=0,IF(G697&gt;0,"Нет остатка","Нет спроса"),IF(I697&gt;='Дашборд'!$C$52,"Быстрый","Медленный"))</x:f>
        <x:v>Быстрый</x:v>
      </x:c>
      <x:c r="M697" s="1" t="str">
        <x:f>IF('Данные'!E697&lt;'Дашборд'!$C$53,"Мало трафика",IF(J697&lt;'Дашборд'!$C$9*'Дашборд'!$C$54,"Да","Нет"))</x:f>
        <x:v>Нет</x:v>
      </x:c>
      <x:c r="N697" s="1" t="str">
        <x:f>IF(AND('Данные'!D697&gt;='Дашборд'!$C$55,D697&lt;'Дашборд'!$C$56,'Данные'!E697&gt;='Дашборд'!$C$53,'Данные'!L697&lt;&gt;"Да"),"Да","Нет")</x:f>
        <x:v>Нет</x:v>
      </x:c>
      <x:c r="O697" s="1" t="str">
        <x:f>'Данные'!L697</x:f>
        <x:v>Нет</x:v>
      </x:c>
    </x:row>
    <x:row r="698">
      <x:c r="A698" s="1" t="str">
        <x:f>'Данные'!A698</x:f>
        <x:v>323203661</x:v>
      </x:c>
      <x:c r="B698" s="1" t="str">
        <x:f>'Данные'!B698</x:f>
        <x:v>tshirtsuperover3K-E1/молочный</x:v>
      </x:c>
      <x:c r="C698" s="8" t="n">
        <x:f>'Данные'!G698</x:f>
        <x:v>258322</x:v>
      </x:c>
      <x:c r="D698" s="15" t="n">
        <x:f>C698/SUM($C$5:$C$2477)</x:f>
        <x:v>0.00030177786428395867</x:v>
      </x:c>
      <x:c r="E698" s="15" t="n">
        <x:f>SUM($D$5:D698)</x:f>
        <x:v>0.903551076350962</x:v>
      </x:c>
      <x:c r="F698" s="1" t="str">
        <x:f>IF(C698&lt;=0,"C",IF(E698-D698&lt;'Дашборд'!$C$49,"A",IF(E698-D698&lt;'Дашборд'!$C$50,"B","C")))</x:f>
        <x:v>B</x:v>
      </x:c>
      <x:c r="G698" s="8" t="n">
        <x:f>'Данные'!F698</x:f>
        <x:v>442</x:v>
      </x:c>
      <x:c r="H698" s="8" t="n">
        <x:f>SUM('Данные'!H698:I698)</x:f>
        <x:v>180</x:v>
      </x:c>
      <x:c r="I698" s="16" t="n">
        <x:f>IF(H698&gt;0,G698/H698,"n.a.")</x:f>
        <x:v>2.4555555555555557</x:v>
      </x:c>
      <x:c r="J698" s="10" t="n">
        <x:f>IF('Данные'!E698&gt;0,G698/'Данные'!E698,"n.a.")</x:f>
        <x:v>0.008212407796213374</x:v>
      </x:c>
      <x:c r="K698" s="1" t="str">
        <x:f>IF(G698&gt;='Дашборд'!$C$51,"X","Z")</x:f>
        <x:v>X</x:v>
      </x:c>
      <x:c r="L698" s="1" t="str">
        <x:f>IF(H698=0,IF(G698&gt;0,"Нет остатка","Нет спроса"),IF(I698&gt;='Дашборд'!$C$52,"Быстрый","Медленный"))</x:f>
        <x:v>Быстрый</x:v>
      </x:c>
      <x:c r="M698" s="1" t="str">
        <x:f>IF('Данные'!E698&lt;'Дашборд'!$C$53,"Мало трафика",IF(J698&lt;'Дашборд'!$C$9*'Дашборд'!$C$54,"Да","Нет"))</x:f>
        <x:v>Да</x:v>
      </x:c>
      <x:c r="N698" s="1" t="str">
        <x:f>IF(AND('Данные'!D698&gt;='Дашборд'!$C$55,D698&lt;'Дашборд'!$C$56,'Данные'!E698&gt;='Дашборд'!$C$53,'Данные'!L698&lt;&gt;"Да"),"Да","Нет")</x:f>
        <x:v>Нет</x:v>
      </x:c>
      <x:c r="O698" s="1" t="str">
        <x:f>'Данные'!L698</x:f>
        <x:v>Нет</x:v>
      </x:c>
    </x:row>
    <x:row r="699">
      <x:c r="A699" s="1" t="str">
        <x:f>'Данные'!A699</x:f>
        <x:v>19166922</x:v>
      </x:c>
      <x:c r="B699" s="1" t="str">
        <x:f>'Данные'!B699</x:f>
        <x:v>kostyum/песочный</x:v>
      </x:c>
      <x:c r="C699" s="8" t="n">
        <x:f>'Данные'!G699</x:f>
        <x:v>258316</x:v>
      </x:c>
      <x:c r="D699" s="15" t="n">
        <x:f>C699/SUM($C$5:$C$2477)</x:f>
        <x:v>0.00030177085494218484</x:v>
      </x:c>
      <x:c r="E699" s="15" t="n">
        <x:f>SUM($D$5:D699)</x:f>
        <x:v>0.9038528472059042</x:v>
      </x:c>
      <x:c r="F699" s="1" t="str">
        <x:f>IF(C699&lt;=0,"C",IF(E699-D699&lt;'Дашборд'!$C$49,"A",IF(E699-D699&lt;'Дашборд'!$C$50,"B","C")))</x:f>
        <x:v>B</x:v>
      </x:c>
      <x:c r="G699" s="8" t="n">
        <x:f>'Данные'!F699</x:f>
        <x:v>219</x:v>
      </x:c>
      <x:c r="H699" s="8" t="n">
        <x:f>SUM('Данные'!H699:I699)</x:f>
        <x:v>278</x:v>
      </x:c>
      <x:c r="I699" s="16" t="n">
        <x:f>IF(H699&gt;0,G699/H699,"n.a.")</x:f>
        <x:v>0.7877697841726619</x:v>
      </x:c>
      <x:c r="J699" s="10" t="n">
        <x:f>IF('Данные'!E699&gt;0,G699/'Данные'!E699,"n.a.")</x:f>
        <x:v>0.006600560595557431</x:v>
      </x:c>
      <x:c r="K699" s="1" t="str">
        <x:f>IF(G699&gt;='Дашборд'!$C$51,"X","Z")</x:f>
        <x:v>Z</x:v>
      </x:c>
      <x:c r="L699" s="1" t="str">
        <x:f>IF(H699=0,IF(G699&gt;0,"Нет остатка","Нет спроса"),IF(I699&gt;='Дашборд'!$C$52,"Быстрый","Медленный"))</x:f>
        <x:v>Медленный</x:v>
      </x:c>
      <x:c r="M699" s="1" t="str">
        <x:f>IF('Данные'!E699&lt;'Дашборд'!$C$53,"Мало трафика",IF(J699&lt;'Дашборд'!$C$9*'Дашборд'!$C$54,"Да","Нет"))</x:f>
        <x:v>Да</x:v>
      </x:c>
      <x:c r="N699" s="1" t="str">
        <x:f>IF(AND('Данные'!D699&gt;='Дашборд'!$C$55,D699&lt;'Дашборд'!$C$56,'Данные'!E699&gt;='Дашборд'!$C$53,'Данные'!L699&lt;&gt;"Да"),"Да","Нет")</x:f>
        <x:v>Нет</x:v>
      </x:c>
      <x:c r="O699" s="1" t="str">
        <x:f>'Данные'!L699</x:f>
        <x:v>Нет</x:v>
      </x:c>
    </x:row>
    <x:row r="700">
      <x:c r="A700" s="1" t="str">
        <x:f>'Данные'!A700</x:f>
        <x:v>325074336</x:v>
      </x:c>
      <x:c r="B700" s="1" t="str">
        <x:f>'Данные'!B700</x:f>
        <x:v>futbolkaprint/Space-277/коричневый</x:v>
      </x:c>
      <x:c r="C700" s="8" t="n">
        <x:f>'Данные'!G700</x:f>
        <x:v>256517</x:v>
      </x:c>
      <x:c r="D700" s="15" t="n">
        <x:f>C700/SUM($C$5:$C$2477)</x:f>
        <x:v>0.00029966922063365964</x:v>
      </x:c>
      <x:c r="E700" s="15" t="n">
        <x:f>SUM($D$5:D700)</x:f>
        <x:v>0.9041525164265378</x:v>
      </x:c>
      <x:c r="F700" s="1" t="str">
        <x:f>IF(C700&lt;=0,"C",IF(E700-D700&lt;'Дашборд'!$C$49,"A",IF(E700-D700&lt;'Дашборд'!$C$50,"B","C")))</x:f>
        <x:v>B</x:v>
      </x:c>
      <x:c r="G700" s="8" t="n">
        <x:f>'Данные'!F700</x:f>
        <x:v>595</x:v>
      </x:c>
      <x:c r="H700" s="8" t="n">
        <x:f>SUM('Данные'!H700:I700)</x:f>
        <x:v>111</x:v>
      </x:c>
      <x:c r="I700" s="16" t="n">
        <x:f>IF(H700&gt;0,G700/H700,"n.a.")</x:f>
        <x:v>5.36036036036036</x:v>
      </x:c>
      <x:c r="J700" s="10" t="n">
        <x:f>IF('Данные'!E700&gt;0,G700/'Данные'!E700,"n.a.")</x:f>
        <x:v>0.006840967623252391</x:v>
      </x:c>
      <x:c r="K700" s="1" t="str">
        <x:f>IF(G700&gt;='Дашборд'!$C$51,"X","Z")</x:f>
        <x:v>X</x:v>
      </x:c>
      <x:c r="L700" s="1" t="str">
        <x:f>IF(H700=0,IF(G700&gt;0,"Нет остатка","Нет спроса"),IF(I700&gt;='Дашборд'!$C$52,"Быстрый","Медленный"))</x:f>
        <x:v>Быстрый</x:v>
      </x:c>
      <x:c r="M700" s="1" t="str">
        <x:f>IF('Данные'!E700&lt;'Дашборд'!$C$53,"Мало трафика",IF(J700&lt;'Дашборд'!$C$9*'Дашборд'!$C$54,"Да","Нет"))</x:f>
        <x:v>Да</x:v>
      </x:c>
      <x:c r="N700" s="1" t="str">
        <x:f>IF(AND('Данные'!D700&gt;='Дашборд'!$C$55,D700&lt;'Дашборд'!$C$56,'Данные'!E700&gt;='Дашборд'!$C$53,'Данные'!L700&lt;&gt;"Да"),"Да","Нет")</x:f>
        <x:v>Да</x:v>
      </x:c>
      <x:c r="O700" s="1" t="str">
        <x:f>'Данные'!L700</x:f>
        <x:v>Нет</x:v>
      </x:c>
    </x:row>
    <x:row r="701">
      <x:c r="A701" s="1" t="str">
        <x:f>'Данные'!A701</x:f>
        <x:v>296192288</x:v>
      </x:c>
      <x:c r="B701" s="1" t="str">
        <x:f>'Данные'!B701</x:f>
        <x:v>fixman4F-78/черный</x:v>
      </x:c>
      <x:c r="C701" s="8" t="n">
        <x:f>'Данные'!G701</x:f>
        <x:v>256367</x:v>
      </x:c>
      <x:c r="D701" s="15" t="n">
        <x:f>C701/SUM($C$5:$C$2477)</x:f>
        <x:v>0.00029949398708931346</x:v>
      </x:c>
      <x:c r="E701" s="15" t="n">
        <x:f>SUM($D$5:D701)</x:f>
        <x:v>0.9044520104136271</x:v>
      </x:c>
      <x:c r="F701" s="1" t="str">
        <x:f>IF(C701&lt;=0,"C",IF(E701-D701&lt;'Дашборд'!$C$49,"A",IF(E701-D701&lt;'Дашборд'!$C$50,"B","C")))</x:f>
        <x:v>B</x:v>
      </x:c>
      <x:c r="G701" s="8" t="n">
        <x:f>'Данные'!F701</x:f>
        <x:v>480</x:v>
      </x:c>
      <x:c r="H701" s="8" t="n">
        <x:f>SUM('Данные'!H701:I701)</x:f>
        <x:v>352</x:v>
      </x:c>
      <x:c r="I701" s="16" t="n">
        <x:f>IF(H701&gt;0,G701/H701,"n.a.")</x:f>
        <x:v>1.3636363636363635</x:v>
      </x:c>
      <x:c r="J701" s="10" t="n">
        <x:f>IF('Данные'!E701&gt;0,G701/'Данные'!E701,"n.a.")</x:f>
        <x:v>0.01452960406828914</x:v>
      </x:c>
      <x:c r="K701" s="1" t="str">
        <x:f>IF(G701&gt;='Дашборд'!$C$51,"X","Z")</x:f>
        <x:v>X</x:v>
      </x:c>
      <x:c r="L701" s="1" t="str">
        <x:f>IF(H701=0,IF(G701&gt;0,"Нет остатка","Нет спроса"),IF(I701&gt;='Дашборд'!$C$52,"Быстрый","Медленный"))</x:f>
        <x:v>Быстрый</x:v>
      </x:c>
      <x:c r="M701" s="1" t="str">
        <x:f>IF('Данные'!E701&lt;'Дашборд'!$C$53,"Мало трафика",IF(J701&lt;'Дашборд'!$C$9*'Дашборд'!$C$54,"Да","Нет"))</x:f>
        <x:v>Нет</x:v>
      </x:c>
      <x:c r="N701" s="1" t="str">
        <x:f>IF(AND('Данные'!D701&gt;='Дашборд'!$C$55,D701&lt;'Дашборд'!$C$56,'Данные'!E701&gt;='Дашборд'!$C$53,'Данные'!L701&lt;&gt;"Да"),"Да","Нет")</x:f>
        <x:v>Нет</x:v>
      </x:c>
      <x:c r="O701" s="1" t="str">
        <x:f>'Данные'!L701</x:f>
        <x:v>Нет</x:v>
      </x:c>
    </x:row>
    <x:row r="702">
      <x:c r="A702" s="1" t="str">
        <x:f>'Данные'!A702</x:f>
        <x:v>234287027</x:v>
      </x:c>
      <x:c r="B702" s="1" t="str">
        <x:f>'Данные'!B702</x:f>
        <x:v>svitshotmanpetl/песочный</x:v>
      </x:c>
      <x:c r="C702" s="8" t="n">
        <x:f>'Данные'!G702</x:f>
        <x:v>256323</x:v>
      </x:c>
      <x:c r="D702" s="15" t="n">
        <x:f>C702/SUM($C$5:$C$2477)</x:f>
        <x:v>0.0002994425852496386</x:v>
      </x:c>
      <x:c r="E702" s="15" t="n">
        <x:f>SUM($D$5:D702)</x:f>
        <x:v>0.9047514529988767</x:v>
      </x:c>
      <x:c r="F702" s="1" t="str">
        <x:f>IF(C702&lt;=0,"C",IF(E702-D702&lt;'Дашборд'!$C$49,"A",IF(E702-D702&lt;'Дашборд'!$C$50,"B","C")))</x:f>
        <x:v>B</x:v>
      </x:c>
      <x:c r="G702" s="8" t="n">
        <x:f>'Данные'!F702</x:f>
        <x:v>275</x:v>
      </x:c>
      <x:c r="H702" s="8" t="n">
        <x:f>SUM('Данные'!H702:I702)</x:f>
        <x:v>23</x:v>
      </x:c>
      <x:c r="I702" s="16" t="n">
        <x:f>IF(H702&gt;0,G702/H702,"n.a.")</x:f>
        <x:v>11.956521739130435</x:v>
      </x:c>
      <x:c r="J702" s="10" t="n">
        <x:f>IF('Данные'!E702&gt;0,G702/'Данные'!E702,"n.a.")</x:f>
        <x:v>0.024429244025939417</x:v>
      </x:c>
      <x:c r="K702" s="1" t="str">
        <x:f>IF(G702&gt;='Дашборд'!$C$51,"X","Z")</x:f>
        <x:v>X</x:v>
      </x:c>
      <x:c r="L702" s="1" t="str">
        <x:f>IF(H702=0,IF(G702&gt;0,"Нет остатка","Нет спроса"),IF(I702&gt;='Дашборд'!$C$52,"Быстрый","Медленный"))</x:f>
        <x:v>Быстрый</x:v>
      </x:c>
      <x:c r="M702" s="1" t="str">
        <x:f>IF('Данные'!E702&lt;'Дашборд'!$C$53,"Мало трафика",IF(J702&lt;'Дашборд'!$C$9*'Дашборд'!$C$54,"Да","Нет"))</x:f>
        <x:v>Нет</x:v>
      </x:c>
      <x:c r="N702" s="1" t="str">
        <x:f>IF(AND('Данные'!D702&gt;='Дашборд'!$C$55,D702&lt;'Дашборд'!$C$56,'Данные'!E702&gt;='Дашборд'!$C$53,'Данные'!L702&lt;&gt;"Да"),"Да","Нет")</x:f>
        <x:v>Нет</x:v>
      </x:c>
      <x:c r="O702" s="1" t="str">
        <x:f>'Данные'!L702</x:f>
        <x:v>Нет</x:v>
      </x:c>
    </x:row>
    <x:row r="703">
      <x:c r="A703" s="1" t="str">
        <x:f>'Данные'!A703</x:f>
        <x:v>246362962</x:v>
      </x:c>
      <x:c r="B703" s="1" t="str">
        <x:f>'Данные'!B703</x:f>
        <x:v>tolstovkazipman/дымка</x:v>
      </x:c>
      <x:c r="C703" s="8" t="n">
        <x:f>'Данные'!G703</x:f>
        <x:v>255682</x:v>
      </x:c>
      <x:c r="D703" s="15" t="n">
        <x:f>C703/SUM($C$5:$C$2477)</x:f>
        <x:v>0.0002986937539034659</x:v>
      </x:c>
      <x:c r="E703" s="15" t="n">
        <x:f>SUM($D$5:D703)</x:f>
        <x:v>0.9050501467527802</x:v>
      </x:c>
      <x:c r="F703" s="1" t="str">
        <x:f>IF(C703&lt;=0,"C",IF(E703-D703&lt;'Дашборд'!$C$49,"A",IF(E703-D703&lt;'Дашборд'!$C$50,"B","C")))</x:f>
        <x:v>B</x:v>
      </x:c>
      <x:c r="G703" s="8" t="n">
        <x:f>'Данные'!F703</x:f>
        <x:v>278</x:v>
      </x:c>
      <x:c r="H703" s="8" t="n">
        <x:f>SUM('Данные'!H703:I703)</x:f>
        <x:v>103</x:v>
      </x:c>
      <x:c r="I703" s="16" t="n">
        <x:f>IF(H703&gt;0,G703/H703,"n.a.")</x:f>
        <x:v>2.6990291262135924</x:v>
      </x:c>
      <x:c r="J703" s="10" t="n">
        <x:f>IF('Данные'!E703&gt;0,G703/'Данные'!E703,"n.a.")</x:f>
        <x:v>0.012767520896482042</x:v>
      </x:c>
      <x:c r="K703" s="1" t="str">
        <x:f>IF(G703&gt;='Дашборд'!$C$51,"X","Z")</x:f>
        <x:v>X</x:v>
      </x:c>
      <x:c r="L703" s="1" t="str">
        <x:f>IF(H703=0,IF(G703&gt;0,"Нет остатка","Нет спроса"),IF(I703&gt;='Дашборд'!$C$52,"Быстрый","Медленный"))</x:f>
        <x:v>Быстрый</x:v>
      </x:c>
      <x:c r="M703" s="1" t="str">
        <x:f>IF('Данные'!E703&lt;'Дашборд'!$C$53,"Мало трафика",IF(J703&lt;'Дашборд'!$C$9*'Дашборд'!$C$54,"Да","Нет"))</x:f>
        <x:v>Нет</x:v>
      </x:c>
      <x:c r="N703" s="1" t="str">
        <x:f>IF(AND('Данные'!D703&gt;='Дашборд'!$C$55,D703&lt;'Дашборд'!$C$56,'Данные'!E703&gt;='Дашборд'!$C$53,'Данные'!L703&lt;&gt;"Да"),"Да","Нет")</x:f>
        <x:v>Да</x:v>
      </x:c>
      <x:c r="O703" s="1" t="str">
        <x:f>'Данные'!L703</x:f>
        <x:v>Нет</x:v>
      </x:c>
    </x:row>
    <x:row r="704">
      <x:c r="A704" s="1" t="str">
        <x:f>'Данные'!A704</x:f>
        <x:v>321850397</x:v>
      </x:c>
      <x:c r="B704" s="1" t="str">
        <x:f>'Данные'!B704</x:f>
        <x:v>tankman4K-S12/какао</x:v>
      </x:c>
      <x:c r="C704" s="8" t="n">
        <x:f>'Данные'!G704</x:f>
        <x:v>255426</x:v>
      </x:c>
      <x:c r="D704" s="15" t="n">
        <x:f>C704/SUM($C$5:$C$2477)</x:f>
        <x:v>0.00029839468865444846</x:v>
      </x:c>
      <x:c r="E704" s="15" t="n">
        <x:f>SUM($D$5:D704)</x:f>
        <x:v>0.9053485414414346</x:v>
      </x:c>
      <x:c r="F704" s="1" t="str">
        <x:f>IF(C704&lt;=0,"C",IF(E704-D704&lt;'Дашборд'!$C$49,"A",IF(E704-D704&lt;'Дашборд'!$C$50,"B","C")))</x:f>
        <x:v>B</x:v>
      </x:c>
      <x:c r="G704" s="8" t="n">
        <x:f>'Данные'!F704</x:f>
        <x:v>542</x:v>
      </x:c>
      <x:c r="H704" s="8" t="n">
        <x:f>SUM('Данные'!H704:I704)</x:f>
        <x:v>1</x:v>
      </x:c>
      <x:c r="I704" s="16" t="n">
        <x:f>IF(H704&gt;0,G704/H704,"n.a.")</x:f>
        <x:v>542</x:v>
      </x:c>
      <x:c r="J704" s="10" t="n">
        <x:f>IF('Данные'!E704&gt;0,G704/'Данные'!E704,"n.a.")</x:f>
        <x:v>0.013311393275536017</x:v>
      </x:c>
      <x:c r="K704" s="1" t="str">
        <x:f>IF(G704&gt;='Дашборд'!$C$51,"X","Z")</x:f>
        <x:v>X</x:v>
      </x:c>
      <x:c r="L704" s="1" t="str">
        <x:f>IF(H704=0,IF(G704&gt;0,"Нет остатка","Нет спроса"),IF(I704&gt;='Дашборд'!$C$52,"Быстрый","Медленный"))</x:f>
        <x:v>Быстрый</x:v>
      </x:c>
      <x:c r="M704" s="1" t="str">
        <x:f>IF('Данные'!E704&lt;'Дашборд'!$C$53,"Мало трафика",IF(J704&lt;'Дашборд'!$C$9*'Дашборд'!$C$54,"Да","Нет"))</x:f>
        <x:v>Нет</x:v>
      </x:c>
      <x:c r="N704" s="1" t="str">
        <x:f>IF(AND('Данные'!D704&gt;='Дашборд'!$C$55,D704&lt;'Дашборд'!$C$56,'Данные'!E704&gt;='Дашборд'!$C$53,'Данные'!L704&lt;&gt;"Да"),"Да","Нет")</x:f>
        <x:v>Нет</x:v>
      </x:c>
      <x:c r="O704" s="1" t="str">
        <x:f>'Данные'!L704</x:f>
        <x:v>Нет</x:v>
      </x:c>
    </x:row>
    <x:row r="705">
      <x:c r="A705" s="1" t="str">
        <x:f>'Данные'!A705</x:f>
        <x:v>322137311</x:v>
      </x:c>
      <x:c r="B705" s="1" t="str">
        <x:f>'Данные'!B705</x:f>
        <x:v>longpolo3K-90/белый</x:v>
      </x:c>
      <x:c r="C705" s="8" t="n">
        <x:f>'Данные'!G705</x:f>
        <x:v>254742</x:v>
      </x:c>
      <x:c r="D705" s="15" t="n">
        <x:f>C705/SUM($C$5:$C$2477)</x:f>
        <x:v>0.00029759562369222986</x:v>
      </x:c>
      <x:c r="E705" s="15" t="n">
        <x:f>SUM($D$5:D705)</x:f>
        <x:v>0.9056461370651269</x:v>
      </x:c>
      <x:c r="F705" s="1" t="str">
        <x:f>IF(C705&lt;=0,"C",IF(E705-D705&lt;'Дашборд'!$C$49,"A",IF(E705-D705&lt;'Дашборд'!$C$50,"B","C")))</x:f>
        <x:v>B</x:v>
      </x:c>
      <x:c r="G705" s="8" t="n">
        <x:f>'Данные'!F705</x:f>
        <x:v>592</x:v>
      </x:c>
      <x:c r="H705" s="8" t="n">
        <x:f>SUM('Данные'!H705:I705)</x:f>
        <x:v>275</x:v>
      </x:c>
      <x:c r="I705" s="16" t="n">
        <x:f>IF(H705&gt;0,G705/H705,"n.a.")</x:f>
        <x:v>2.152727272727273</x:v>
      </x:c>
      <x:c r="J705" s="10" t="n">
        <x:f>IF('Данные'!E705&gt;0,G705/'Данные'!E705,"n.a.")</x:f>
        <x:v>0.012067594838657072</x:v>
      </x:c>
      <x:c r="K705" s="1" t="str">
        <x:f>IF(G705&gt;='Дашборд'!$C$51,"X","Z")</x:f>
        <x:v>X</x:v>
      </x:c>
      <x:c r="L705" s="1" t="str">
        <x:f>IF(H705=0,IF(G705&gt;0,"Нет остатка","Нет спроса"),IF(I705&gt;='Дашборд'!$C$52,"Быстрый","Медленный"))</x:f>
        <x:v>Быстрый</x:v>
      </x:c>
      <x:c r="M705" s="1" t="str">
        <x:f>IF('Данные'!E705&lt;'Дашборд'!$C$53,"Мало трафика",IF(J705&lt;'Дашборд'!$C$9*'Дашборд'!$C$54,"Да","Нет"))</x:f>
        <x:v>Нет</x:v>
      </x:c>
      <x:c r="N705" s="1" t="str">
        <x:f>IF(AND('Данные'!D705&gt;='Дашборд'!$C$55,D705&lt;'Дашборд'!$C$56,'Данные'!E705&gt;='Дашборд'!$C$53,'Данные'!L705&lt;&gt;"Да"),"Да","Нет")</x:f>
        <x:v>Нет</x:v>
      </x:c>
      <x:c r="O705" s="1" t="str">
        <x:f>'Данные'!L705</x:f>
        <x:v>Нет</x:v>
      </x:c>
    </x:row>
    <x:row r="706">
      <x:c r="A706" s="1" t="str">
        <x:f>'Данные'!A706</x:f>
        <x:v>145845810</x:v>
      </x:c>
      <x:c r="B706" s="1" t="str">
        <x:f>'Данные'!B706</x:f>
        <x:v>svitshotman/морская-волна</x:v>
      </x:c>
      <x:c r="C706" s="8" t="n">
        <x:f>'Данные'!G706</x:f>
        <x:v>254354</x:v>
      </x:c>
      <x:c r="D706" s="15" t="n">
        <x:f>C706/SUM($C$5:$C$2477)</x:f>
        <x:v>0.0002971423529241877</x:v>
      </x:c>
      <x:c r="E706" s="15" t="n">
        <x:f>SUM($D$5:D706)</x:f>
        <x:v>0.9059432794180511</x:v>
      </x:c>
      <x:c r="F706" s="1" t="str">
        <x:f>IF(C706&lt;=0,"C",IF(E706-D706&lt;'Дашборд'!$C$49,"A",IF(E706-D706&lt;'Дашборд'!$C$50,"B","C")))</x:f>
        <x:v>B</x:v>
      </x:c>
      <x:c r="G706" s="8" t="n">
        <x:f>'Данные'!F706</x:f>
        <x:v>333</x:v>
      </x:c>
      <x:c r="H706" s="8" t="n">
        <x:f>SUM('Данные'!H706:I706)</x:f>
        <x:v>246</x:v>
      </x:c>
      <x:c r="I706" s="16" t="n">
        <x:f>IF(H706&gt;0,G706/H706,"n.a.")</x:f>
        <x:v>1.353658536585366</x:v>
      </x:c>
      <x:c r="J706" s="10" t="n">
        <x:f>IF('Данные'!E706&gt;0,G706/'Данные'!E706,"n.a.")</x:f>
        <x:v>0.021637426900584796</x:v>
      </x:c>
      <x:c r="K706" s="1" t="str">
        <x:f>IF(G706&gt;='Дашборд'!$C$51,"X","Z")</x:f>
        <x:v>X</x:v>
      </x:c>
      <x:c r="L706" s="1" t="str">
        <x:f>IF(H706=0,IF(G706&gt;0,"Нет остатка","Нет спроса"),IF(I706&gt;='Дашборд'!$C$52,"Быстрый","Медленный"))</x:f>
        <x:v>Быстрый</x:v>
      </x:c>
      <x:c r="M706" s="1" t="str">
        <x:f>IF('Данные'!E706&lt;'Дашборд'!$C$53,"Мало трафика",IF(J706&lt;'Дашборд'!$C$9*'Дашборд'!$C$54,"Да","Нет"))</x:f>
        <x:v>Нет</x:v>
      </x:c>
      <x:c r="N706" s="1" t="str">
        <x:f>IF(AND('Данные'!D706&gt;='Дашборд'!$C$55,D706&lt;'Дашборд'!$C$56,'Данные'!E706&gt;='Дашборд'!$C$53,'Данные'!L706&lt;&gt;"Да"),"Да","Нет")</x:f>
        <x:v>Да</x:v>
      </x:c>
      <x:c r="O706" s="1" t="str">
        <x:f>'Данные'!L706</x:f>
        <x:v>Нет</x:v>
      </x:c>
    </x:row>
    <x:row r="707">
      <x:c r="A707" s="1" t="str">
        <x:f>'Данные'!A707</x:f>
        <x:v>321850393</x:v>
      </x:c>
      <x:c r="B707" s="1" t="str">
        <x:f>'Данные'!B707</x:f>
        <x:v>tankman4K-S12/хаки</x:v>
      </x:c>
      <x:c r="C707" s="8" t="n">
        <x:f>'Данные'!G707</x:f>
        <x:v>254024</x:v>
      </x:c>
      <x:c r="D707" s="15" t="n">
        <x:f>C707/SUM($C$5:$C$2477)</x:f>
        <x:v>0.00029675683912662616</x:v>
      </x:c>
      <x:c r="E707" s="15" t="n">
        <x:f>SUM($D$5:D707)</x:f>
        <x:v>0.9062400362571778</x:v>
      </x:c>
      <x:c r="F707" s="1" t="str">
        <x:f>IF(C707&lt;=0,"C",IF(E707-D707&lt;'Дашборд'!$C$49,"A",IF(E707-D707&lt;'Дашборд'!$C$50,"B","C")))</x:f>
        <x:v>B</x:v>
      </x:c>
      <x:c r="G707" s="8" t="n">
        <x:f>'Данные'!F707</x:f>
        <x:v>426</x:v>
      </x:c>
      <x:c r="H707" s="8" t="n">
        <x:f>SUM('Данные'!H707:I707)</x:f>
        <x:v>2</x:v>
      </x:c>
      <x:c r="I707" s="16" t="n">
        <x:f>IF(H707&gt;0,G707/H707,"n.a.")</x:f>
        <x:v>213</x:v>
      </x:c>
      <x:c r="J707" s="10" t="n">
        <x:f>IF('Данные'!E707&gt;0,G707/'Данные'!E707,"n.a.")</x:f>
        <x:v>0.00971560197961092</x:v>
      </x:c>
      <x:c r="K707" s="1" t="str">
        <x:f>IF(G707&gt;='Дашборд'!$C$51,"X","Z")</x:f>
        <x:v>X</x:v>
      </x:c>
      <x:c r="L707" s="1" t="str">
        <x:f>IF(H707=0,IF(G707&gt;0,"Нет остатка","Нет спроса"),IF(I707&gt;='Дашборд'!$C$52,"Быстрый","Медленный"))</x:f>
        <x:v>Быстрый</x:v>
      </x:c>
      <x:c r="M707" s="1" t="str">
        <x:f>IF('Данные'!E707&lt;'Дашборд'!$C$53,"Мало трафика",IF(J707&lt;'Дашборд'!$C$9*'Дашборд'!$C$54,"Да","Нет"))</x:f>
        <x:v>Да</x:v>
      </x:c>
      <x:c r="N707" s="1" t="str">
        <x:f>IF(AND('Данные'!D707&gt;='Дашборд'!$C$55,D707&lt;'Дашборд'!$C$56,'Данные'!E707&gt;='Дашборд'!$C$53,'Данные'!L707&lt;&gt;"Да"),"Да","Нет")</x:f>
        <x:v>Нет</x:v>
      </x:c>
      <x:c r="O707" s="1" t="str">
        <x:f>'Данные'!L707</x:f>
        <x:v>Нет</x:v>
      </x:c>
    </x:row>
    <x:row r="708">
      <x:c r="A708" s="1" t="str">
        <x:f>'Данные'!A708</x:f>
        <x:v>53905607</x:v>
      </x:c>
      <x:c r="B708" s="1" t="str">
        <x:f>'Данные'!B708</x:f>
        <x:v>bruki/бордовый</x:v>
      </x:c>
      <x:c r="C708" s="8" t="n">
        <x:f>'Данные'!G708</x:f>
        <x:v>253655</x:v>
      </x:c>
      <x:c r="D708" s="15" t="n">
        <x:f>C708/SUM($C$5:$C$2477)</x:f>
        <x:v>0.0002963257646075346</x:v>
      </x:c>
      <x:c r="E708" s="15" t="n">
        <x:f>SUM($D$5:D708)</x:f>
        <x:v>0.9065363620217853</x:v>
      </x:c>
      <x:c r="F708" s="1" t="str">
        <x:f>IF(C708&lt;=0,"C",IF(E708-D708&lt;'Дашборд'!$C$49,"A",IF(E708-D708&lt;'Дашборд'!$C$50,"B","C")))</x:f>
        <x:v>B</x:v>
      </x:c>
      <x:c r="G708" s="8" t="n">
        <x:f>'Данные'!F708</x:f>
        <x:v>381</x:v>
      </x:c>
      <x:c r="H708" s="8" t="n">
        <x:f>SUM('Данные'!H708:I708)</x:f>
        <x:v>590</x:v>
      </x:c>
      <x:c r="I708" s="16" t="n">
        <x:f>IF(H708&gt;0,G708/H708,"n.a.")</x:f>
        <x:v>0.6457627118644068</x:v>
      </x:c>
      <x:c r="J708" s="10" t="n">
        <x:f>IF('Данные'!E708&gt;0,G708/'Данные'!E708,"n.a.")</x:f>
        <x:v>0.018418253891520835</x:v>
      </x:c>
      <x:c r="K708" s="1" t="str">
        <x:f>IF(G708&gt;='Дашборд'!$C$51,"X","Z")</x:f>
        <x:v>X</x:v>
      </x:c>
      <x:c r="L708" s="1" t="str">
        <x:f>IF(H708=0,IF(G708&gt;0,"Нет остатка","Нет спроса"),IF(I708&gt;='Дашборд'!$C$52,"Быстрый","Медленный"))</x:f>
        <x:v>Медленный</x:v>
      </x:c>
      <x:c r="M708" s="1" t="str">
        <x:f>IF('Данные'!E708&lt;'Дашборд'!$C$53,"Мало трафика",IF(J708&lt;'Дашборд'!$C$9*'Дашборд'!$C$54,"Да","Нет"))</x:f>
        <x:v>Нет</x:v>
      </x:c>
      <x:c r="N708" s="1" t="str">
        <x:f>IF(AND('Данные'!D708&gt;='Дашборд'!$C$55,D708&lt;'Дашборд'!$C$56,'Данные'!E708&gt;='Дашборд'!$C$53,'Данные'!L708&lt;&gt;"Да"),"Да","Нет")</x:f>
        <x:v>Да</x:v>
      </x:c>
      <x:c r="O708" s="1" t="str">
        <x:f>'Данные'!L708</x:f>
        <x:v>Нет</x:v>
      </x:c>
    </x:row>
    <x:row r="709">
      <x:c r="A709" s="1" t="str">
        <x:f>'Данные'!A709</x:f>
        <x:v>333121379</x:v>
      </x:c>
      <x:c r="B709" s="1" t="str">
        <x:f>'Данные'!B709</x:f>
        <x:v>topmayka/розовый</x:v>
      </x:c>
      <x:c r="C709" s="8" t="n">
        <x:f>'Данные'!G709</x:f>
        <x:v>252245</x:v>
      </x:c>
      <x:c r="D709" s="15" t="n">
        <x:f>C709/SUM($C$5:$C$2477)</x:f>
        <x:v>0.00029467856929068045</x:v>
      </x:c>
      <x:c r="E709" s="15" t="n">
        <x:f>SUM($D$5:D709)</x:f>
        <x:v>0.906831040591076</x:v>
      </x:c>
      <x:c r="F709" s="1" t="str">
        <x:f>IF(C709&lt;=0,"C",IF(E709-D709&lt;'Дашборд'!$C$49,"A",IF(E709-D709&lt;'Дашборд'!$C$50,"B","C")))</x:f>
        <x:v>B</x:v>
      </x:c>
      <x:c r="G709" s="8" t="n">
        <x:f>'Данные'!F709</x:f>
        <x:v>849</x:v>
      </x:c>
      <x:c r="H709" s="8" t="n">
        <x:f>SUM('Данные'!H709:I709)</x:f>
        <x:v>340</x:v>
      </x:c>
      <x:c r="I709" s="16" t="n">
        <x:f>IF(H709&gt;0,G709/H709,"n.a.")</x:f>
        <x:v>2.4970588235294118</x:v>
      </x:c>
      <x:c r="J709" s="10" t="n">
        <x:f>IF('Данные'!E709&gt;0,G709/'Данные'!E709,"n.a.")</x:f>
        <x:v>0.01950379048931771</x:v>
      </x:c>
      <x:c r="K709" s="1" t="str">
        <x:f>IF(G709&gt;='Дашборд'!$C$51,"X","Z")</x:f>
        <x:v>X</x:v>
      </x:c>
      <x:c r="L709" s="1" t="str">
        <x:f>IF(H709=0,IF(G709&gt;0,"Нет остатка","Нет спроса"),IF(I709&gt;='Дашборд'!$C$52,"Быстрый","Медленный"))</x:f>
        <x:v>Быстрый</x:v>
      </x:c>
      <x:c r="M709" s="1" t="str">
        <x:f>IF('Данные'!E709&lt;'Дашборд'!$C$53,"Мало трафика",IF(J709&lt;'Дашборд'!$C$9*'Дашборд'!$C$54,"Да","Нет"))</x:f>
        <x:v>Нет</x:v>
      </x:c>
      <x:c r="N709" s="1" t="str">
        <x:f>IF(AND('Данные'!D709&gt;='Дашборд'!$C$55,D709&lt;'Дашборд'!$C$56,'Данные'!E709&gt;='Дашборд'!$C$53,'Данные'!L709&lt;&gt;"Да"),"Да","Нет")</x:f>
        <x:v>Да</x:v>
      </x:c>
      <x:c r="O709" s="1" t="str">
        <x:f>'Данные'!L709</x:f>
        <x:v>Нет</x:v>
      </x:c>
    </x:row>
    <x:row r="710">
      <x:c r="A710" s="1" t="str">
        <x:f>'Данные'!A710</x:f>
        <x:v>234287048</x:v>
      </x:c>
      <x:c r="B710" s="1" t="str">
        <x:f>'Данные'!B710</x:f>
        <x:v>svitshotmanpetl/темно-серый</x:v>
      </x:c>
      <x:c r="C710" s="8" t="n">
        <x:f>'Данные'!G710</x:f>
        <x:v>251557</x:v>
      </x:c>
      <x:c r="D710" s="15" t="n">
        <x:f>C710/SUM($C$5:$C$2477)</x:f>
        <x:v>0.000293874831433946</x:v>
      </x:c>
      <x:c r="E710" s="15" t="n">
        <x:f>SUM($D$5:D710)</x:f>
        <x:v>0.90712491542251</x:v>
      </x:c>
      <x:c r="F710" s="1" t="str">
        <x:f>IF(C710&lt;=0,"C",IF(E710-D710&lt;'Дашборд'!$C$49,"A",IF(E710-D710&lt;'Дашборд'!$C$50,"B","C")))</x:f>
        <x:v>B</x:v>
      </x:c>
      <x:c r="G710" s="8" t="n">
        <x:f>'Данные'!F710</x:f>
        <x:v>264</x:v>
      </x:c>
      <x:c r="H710" s="8" t="n">
        <x:f>SUM('Данные'!H710:I710)</x:f>
        <x:v>32</x:v>
      </x:c>
      <x:c r="I710" s="16" t="n">
        <x:f>IF(H710&gt;0,G710/H710,"n.a.")</x:f>
        <x:v>8.25</x:v>
      </x:c>
      <x:c r="J710" s="10" t="n">
        <x:f>IF('Данные'!E710&gt;0,G710/'Данные'!E710,"n.a.")</x:f>
        <x:v>0.016215220195319697</x:v>
      </x:c>
      <x:c r="K710" s="1" t="str">
        <x:f>IF(G710&gt;='Дашборд'!$C$51,"X","Z")</x:f>
        <x:v>Z</x:v>
      </x:c>
      <x:c r="L710" s="1" t="str">
        <x:f>IF(H710=0,IF(G710&gt;0,"Нет остатка","Нет спроса"),IF(I710&gt;='Дашборд'!$C$52,"Быстрый","Медленный"))</x:f>
        <x:v>Быстрый</x:v>
      </x:c>
      <x:c r="M710" s="1" t="str">
        <x:f>IF('Данные'!E710&lt;'Дашборд'!$C$53,"Мало трафика",IF(J710&lt;'Дашборд'!$C$9*'Дашборд'!$C$54,"Да","Нет"))</x:f>
        <x:v>Нет</x:v>
      </x:c>
      <x:c r="N710" s="1" t="str">
        <x:f>IF(AND('Данные'!D710&gt;='Дашборд'!$C$55,D710&lt;'Дашборд'!$C$56,'Данные'!E710&gt;='Дашборд'!$C$53,'Данные'!L710&lt;&gt;"Да"),"Да","Нет")</x:f>
        <x:v>Нет</x:v>
      </x:c>
      <x:c r="O710" s="1" t="str">
        <x:f>'Данные'!L710</x:f>
        <x:v>Нет</x:v>
      </x:c>
    </x:row>
    <x:row r="711">
      <x:c r="A711" s="1" t="str">
        <x:f>'Данные'!A711</x:f>
        <x:v>289102048</x:v>
      </x:c>
      <x:c r="B711" s="1" t="str">
        <x:f>'Данные'!B711</x:f>
        <x:v>tolstovkazip3P-70/серыймеланж2</x:v>
      </x:c>
      <x:c r="C711" s="8" t="n">
        <x:f>'Данные'!G711</x:f>
        <x:v>251440</x:v>
      </x:c>
      <x:c r="D711" s="15" t="n">
        <x:f>C711/SUM($C$5:$C$2477)</x:f>
        <x:v>0.000293738149269356</x:v>
      </x:c>
      <x:c r="E711" s="15" t="n">
        <x:f>SUM($D$5:D711)</x:f>
        <x:v>0.9074186535717793</x:v>
      </x:c>
      <x:c r="F711" s="1" t="str">
        <x:f>IF(C711&lt;=0,"C",IF(E711-D711&lt;'Дашборд'!$C$49,"A",IF(E711-D711&lt;'Дашборд'!$C$50,"B","C")))</x:f>
        <x:v>B</x:v>
      </x:c>
      <x:c r="G711" s="8" t="n">
        <x:f>'Данные'!F711</x:f>
        <x:v>290</x:v>
      </x:c>
      <x:c r="H711" s="8" t="n">
        <x:f>SUM('Данные'!H711:I711)</x:f>
        <x:v>8</x:v>
      </x:c>
      <x:c r="I711" s="16" t="n">
        <x:f>IF(H711&gt;0,G711/H711,"n.a.")</x:f>
        <x:v>36.25</x:v>
      </x:c>
      <x:c r="J711" s="10" t="n">
        <x:f>IF('Данные'!E711&gt;0,G711/'Данные'!E711,"n.a.")</x:f>
        <x:v>0.007623754567680539</x:v>
      </x:c>
      <x:c r="K711" s="1" t="str">
        <x:f>IF(G711&gt;='Дашборд'!$C$51,"X","Z")</x:f>
        <x:v>X</x:v>
      </x:c>
      <x:c r="L711" s="1" t="str">
        <x:f>IF(H711=0,IF(G711&gt;0,"Нет остатка","Нет спроса"),IF(I711&gt;='Дашборд'!$C$52,"Быстрый","Медленный"))</x:f>
        <x:v>Быстрый</x:v>
      </x:c>
      <x:c r="M711" s="1" t="str">
        <x:f>IF('Данные'!E711&lt;'Дашборд'!$C$53,"Мало трафика",IF(J711&lt;'Дашборд'!$C$9*'Дашборд'!$C$54,"Да","Нет"))</x:f>
        <x:v>Да</x:v>
      </x:c>
      <x:c r="N711" s="1" t="str">
        <x:f>IF(AND('Данные'!D711&gt;='Дашборд'!$C$55,D711&lt;'Дашборд'!$C$56,'Данные'!E711&gt;='Дашборд'!$C$53,'Данные'!L711&lt;&gt;"Да"),"Да","Нет")</x:f>
        <x:v>Да</x:v>
      </x:c>
      <x:c r="O711" s="1" t="str">
        <x:f>'Данные'!L711</x:f>
        <x:v>Нет</x:v>
      </x:c>
    </x:row>
    <x:row r="712">
      <x:c r="A712" s="1" t="str">
        <x:f>'Данные'!A712</x:f>
        <x:v>202779212</x:v>
      </x:c>
      <x:c r="B712" s="1" t="str">
        <x:f>'Данные'!B712</x:f>
        <x:v>hudiprint/LoveNever-45/темно-серый</x:v>
      </x:c>
      <x:c r="C712" s="8" t="n">
        <x:f>'Данные'!G712</x:f>
        <x:v>250669</x:v>
      </x:c>
      <x:c r="D712" s="15" t="n">
        <x:f>C712/SUM($C$5:$C$2477)</x:f>
        <x:v>0.0002928374488514166</x:v>
      </x:c>
      <x:c r="E712" s="15" t="n">
        <x:f>SUM($D$5:D712)</x:f>
        <x:v>0.9077114910206308</x:v>
      </x:c>
      <x:c r="F712" s="1" t="str">
        <x:f>IF(C712&lt;=0,"C",IF(E712-D712&lt;'Дашборд'!$C$49,"A",IF(E712-D712&lt;'Дашборд'!$C$50,"B","C")))</x:f>
        <x:v>B</x:v>
      </x:c>
      <x:c r="G712" s="8" t="n">
        <x:f>'Данные'!F712</x:f>
        <x:v>241</x:v>
      </x:c>
      <x:c r="H712" s="8" t="n">
        <x:f>SUM('Данные'!H712:I712)</x:f>
        <x:v>281</x:v>
      </x:c>
      <x:c r="I712" s="16" t="n">
        <x:f>IF(H712&gt;0,G712/H712,"n.a.")</x:f>
        <x:v>0.8576512455516014</x:v>
      </x:c>
      <x:c r="J712" s="10" t="n">
        <x:f>IF('Данные'!E712&gt;0,G712/'Данные'!E712,"n.a.")</x:f>
        <x:v>0.00916140804379229</x:v>
      </x:c>
      <x:c r="K712" s="1" t="str">
        <x:f>IF(G712&gt;='Дашборд'!$C$51,"X","Z")</x:f>
        <x:v>Z</x:v>
      </x:c>
      <x:c r="L712" s="1" t="str">
        <x:f>IF(H712=0,IF(G712&gt;0,"Нет остатка","Нет спроса"),IF(I712&gt;='Дашборд'!$C$52,"Быстрый","Медленный"))</x:f>
        <x:v>Медленный</x:v>
      </x:c>
      <x:c r="M712" s="1" t="str">
        <x:f>IF('Данные'!E712&lt;'Дашборд'!$C$53,"Мало трафика",IF(J712&lt;'Дашборд'!$C$9*'Дашборд'!$C$54,"Да","Нет"))</x:f>
        <x:v>Да</x:v>
      </x:c>
      <x:c r="N712" s="1" t="str">
        <x:f>IF(AND('Данные'!D712&gt;='Дашборд'!$C$55,D712&lt;'Дашборд'!$C$56,'Данные'!E712&gt;='Дашборд'!$C$53,'Данные'!L712&lt;&gt;"Да"),"Да","Нет")</x:f>
        <x:v>Нет</x:v>
      </x:c>
      <x:c r="O712" s="1" t="str">
        <x:f>'Данные'!L712</x:f>
        <x:v>Нет</x:v>
      </x:c>
    </x:row>
    <x:row r="713">
      <x:c r="A713" s="1" t="str">
        <x:f>'Данные'!A713</x:f>
        <x:v>235994338</x:v>
      </x:c>
      <x:c r="B713" s="1" t="str">
        <x:f>'Данные'!B713</x:f>
        <x:v>bazaboy/белый</x:v>
      </x:c>
      <x:c r="C713" s="8" t="n">
        <x:f>'Данные'!G713</x:f>
        <x:v>250508</x:v>
      </x:c>
      <x:c r="D713" s="15" t="n">
        <x:f>C713/SUM($C$5:$C$2477)</x:f>
        <x:v>0.0002926493648471517</x:v>
      </x:c>
      <x:c r="E713" s="15" t="n">
        <x:f>SUM($D$5:D713)</x:f>
        <x:v>0.9080041403854779</x:v>
      </x:c>
      <x:c r="F713" s="1" t="str">
        <x:f>IF(C713&lt;=0,"C",IF(E713-D713&lt;'Дашборд'!$C$49,"A",IF(E713-D713&lt;'Дашборд'!$C$50,"B","C")))</x:f>
        <x:v>B</x:v>
      </x:c>
      <x:c r="G713" s="8" t="n">
        <x:f>'Данные'!F713</x:f>
        <x:v>942</x:v>
      </x:c>
      <x:c r="H713" s="8" t="n">
        <x:f>SUM('Данные'!H713:I713)</x:f>
        <x:v>953</x:v>
      </x:c>
      <x:c r="I713" s="16" t="n">
        <x:f>IF(H713&gt;0,G713/H713,"n.a.")</x:f>
        <x:v>0.9884575026232949</x:v>
      </x:c>
      <x:c r="J713" s="10" t="n">
        <x:f>IF('Данные'!E713&gt;0,G713/'Данные'!E713,"n.a.")</x:f>
        <x:v>0.06449404354374914</x:v>
      </x:c>
      <x:c r="K713" s="1" t="str">
        <x:f>IF(G713&gt;='Дашборд'!$C$51,"X","Z")</x:f>
        <x:v>X</x:v>
      </x:c>
      <x:c r="L713" s="1" t="str">
        <x:f>IF(H713=0,IF(G713&gt;0,"Нет остатка","Нет спроса"),IF(I713&gt;='Дашборд'!$C$52,"Быстрый","Медленный"))</x:f>
        <x:v>Медленный</x:v>
      </x:c>
      <x:c r="M713" s="1" t="str">
        <x:f>IF('Данные'!E713&lt;'Дашборд'!$C$53,"Мало трафика",IF(J713&lt;'Дашборд'!$C$9*'Дашборд'!$C$54,"Да","Нет"))</x:f>
        <x:v>Нет</x:v>
      </x:c>
      <x:c r="N713" s="1" t="str">
        <x:f>IF(AND('Данные'!D713&gt;='Дашборд'!$C$55,D713&lt;'Дашборд'!$C$56,'Данные'!E713&gt;='Дашборд'!$C$53,'Данные'!L713&lt;&gt;"Да"),"Да","Нет")</x:f>
        <x:v>Да</x:v>
      </x:c>
      <x:c r="O713" s="1" t="str">
        <x:f>'Данные'!L713</x:f>
        <x:v>Нет</x:v>
      </x:c>
    </x:row>
    <x:row r="714">
      <x:c r="A714" s="1" t="str">
        <x:f>'Данные'!A714</x:f>
        <x:v>331723393</x:v>
      </x:c>
      <x:c r="B714" s="1" t="str">
        <x:f>'Данные'!B714</x:f>
        <x:v>futkryl3K-101/бордовый</x:v>
      </x:c>
      <x:c r="C714" s="8" t="n">
        <x:f>'Данные'!G714</x:f>
        <x:v>250161</x:v>
      </x:c>
      <x:c r="D714" s="15" t="n">
        <x:f>C714/SUM($C$5:$C$2477)</x:f>
        <x:v>0.00029224399124789754</x:v>
      </x:c>
      <x:c r="E714" s="15" t="n">
        <x:f>SUM($D$5:D714)</x:f>
        <x:v>0.9082963843767259</x:v>
      </x:c>
      <x:c r="F714" s="1" t="str">
        <x:f>IF(C714&lt;=0,"C",IF(E714-D714&lt;'Дашборд'!$C$49,"A",IF(E714-D714&lt;'Дашборд'!$C$50,"B","C")))</x:f>
        <x:v>B</x:v>
      </x:c>
      <x:c r="G714" s="8" t="n">
        <x:f>'Данные'!F714</x:f>
        <x:v>720</x:v>
      </x:c>
      <x:c r="H714" s="8" t="n">
        <x:f>SUM('Данные'!H714:I714)</x:f>
        <x:v>37</x:v>
      </x:c>
      <x:c r="I714" s="16" t="n">
        <x:f>IF(H714&gt;0,G714/H714,"n.a.")</x:f>
        <x:v>19.45945945945946</x:v>
      </x:c>
      <x:c r="J714" s="10" t="n">
        <x:f>IF('Данные'!E714&gt;0,G714/'Данные'!E714,"n.a.")</x:f>
        <x:v>0.012228260869565218</x:v>
      </x:c>
      <x:c r="K714" s="1" t="str">
        <x:f>IF(G714&gt;='Дашборд'!$C$51,"X","Z")</x:f>
        <x:v>X</x:v>
      </x:c>
      <x:c r="L714" s="1" t="str">
        <x:f>IF(H714=0,IF(G714&gt;0,"Нет остатка","Нет спроса"),IF(I714&gt;='Дашборд'!$C$52,"Быстрый","Медленный"))</x:f>
        <x:v>Быстрый</x:v>
      </x:c>
      <x:c r="M714" s="1" t="str">
        <x:f>IF('Данные'!E714&lt;'Дашборд'!$C$53,"Мало трафика",IF(J714&lt;'Дашборд'!$C$9*'Дашборд'!$C$54,"Да","Нет"))</x:f>
        <x:v>Нет</x:v>
      </x:c>
      <x:c r="N714" s="1" t="str">
        <x:f>IF(AND('Данные'!D714&gt;='Дашборд'!$C$55,D714&lt;'Дашборд'!$C$56,'Данные'!E714&gt;='Дашборд'!$C$53,'Данные'!L714&lt;&gt;"Да"),"Да","Нет")</x:f>
        <x:v>Нет</x:v>
      </x:c>
      <x:c r="O714" s="1" t="str">
        <x:f>'Данные'!L714</x:f>
        <x:v>Нет</x:v>
      </x:c>
    </x:row>
    <x:row r="715">
      <x:c r="A715" s="1" t="str">
        <x:f>'Данные'!A715</x:f>
        <x:v>175116982</x:v>
      </x:c>
      <x:c r="B715" s="1" t="str">
        <x:f>'Данные'!B715</x:f>
        <x:v>reglanman/серовато-розовый</x:v>
      </x:c>
      <x:c r="C715" s="8" t="n">
        <x:f>'Данные'!G715</x:f>
        <x:v>248299</x:v>
      </x:c>
      <x:c r="D715" s="15" t="n">
        <x:f>C715/SUM($C$5:$C$2477)</x:f>
        <x:v>0.000290068758850747</x:v>
      </x:c>
      <x:c r="E715" s="15" t="n">
        <x:f>SUM($D$5:D715)</x:f>
        <x:v>0.9085864531355766</x:v>
      </x:c>
      <x:c r="F715" s="1" t="str">
        <x:f>IF(C715&lt;=0,"C",IF(E715-D715&lt;'Дашборд'!$C$49,"A",IF(E715-D715&lt;'Дашборд'!$C$50,"B","C")))</x:f>
        <x:v>B</x:v>
      </x:c>
      <x:c r="G715" s="8" t="n">
        <x:f>'Данные'!F715</x:f>
        <x:v>610</x:v>
      </x:c>
      <x:c r="H715" s="8" t="n">
        <x:f>SUM('Данные'!H715:I715)</x:f>
        <x:v>306</x:v>
      </x:c>
      <x:c r="I715" s="16" t="n">
        <x:f>IF(H715&gt;0,G715/H715,"n.a.")</x:f>
        <x:v>1.9934640522875817</x:v>
      </x:c>
      <x:c r="J715" s="10" t="n">
        <x:f>IF('Данные'!E715&gt;0,G715/'Данные'!E715,"n.a.")</x:f>
        <x:v>0.02408972435036727</x:v>
      </x:c>
      <x:c r="K715" s="1" t="str">
        <x:f>IF(G715&gt;='Дашборд'!$C$51,"X","Z")</x:f>
        <x:v>X</x:v>
      </x:c>
      <x:c r="L715" s="1" t="str">
        <x:f>IF(H715=0,IF(G715&gt;0,"Нет остатка","Нет спроса"),IF(I715&gt;='Дашборд'!$C$52,"Быстрый","Медленный"))</x:f>
        <x:v>Быстрый</x:v>
      </x:c>
      <x:c r="M715" s="1" t="str">
        <x:f>IF('Данные'!E715&lt;'Дашборд'!$C$53,"Мало трафика",IF(J715&lt;'Дашборд'!$C$9*'Дашборд'!$C$54,"Да","Нет"))</x:f>
        <x:v>Нет</x:v>
      </x:c>
      <x:c r="N715" s="1" t="str">
        <x:f>IF(AND('Данные'!D715&gt;='Дашборд'!$C$55,D715&lt;'Дашборд'!$C$56,'Данные'!E715&gt;='Дашборд'!$C$53,'Данные'!L715&lt;&gt;"Да"),"Да","Нет")</x:f>
        <x:v>Нет</x:v>
      </x:c>
      <x:c r="O715" s="1" t="str">
        <x:f>'Данные'!L715</x:f>
        <x:v>Нет</x:v>
      </x:c>
    </x:row>
    <x:row r="716">
      <x:c r="A716" s="1" t="str">
        <x:f>'Данные'!A716</x:f>
        <x:v>293297748</x:v>
      </x:c>
      <x:c r="B716" s="1" t="str">
        <x:f>'Данные'!B716</x:f>
        <x:v>2Nlongman4D-69/серый</x:v>
      </x:c>
      <x:c r="C716" s="8" t="n">
        <x:f>'Данные'!G716</x:f>
        <x:v>247935</x:v>
      </x:c>
      <x:c r="D716" s="15" t="n">
        <x:f>C716/SUM($C$5:$C$2477)</x:f>
        <x:v>0.0002896435254498002</x:v>
      </x:c>
      <x:c r="E716" s="15" t="n">
        <x:f>SUM($D$5:D716)</x:f>
        <x:v>0.9088760966610264</x:v>
      </x:c>
      <x:c r="F716" s="1" t="str">
        <x:f>IF(C716&lt;=0,"C",IF(E716-D716&lt;'Дашборд'!$C$49,"A",IF(E716-D716&lt;'Дашборд'!$C$50,"B","C")))</x:f>
        <x:v>B</x:v>
      </x:c>
      <x:c r="G716" s="8" t="n">
        <x:f>'Данные'!F716</x:f>
        <x:v>405</x:v>
      </x:c>
      <x:c r="H716" s="8" t="n">
        <x:f>SUM('Данные'!H716:I716)</x:f>
        <x:v>1</x:v>
      </x:c>
      <x:c r="I716" s="16" t="n">
        <x:f>IF(H716&gt;0,G716/H716,"n.a.")</x:f>
        <x:v>405</x:v>
      </x:c>
      <x:c r="J716" s="10" t="n">
        <x:f>IF('Данные'!E716&gt;0,G716/'Данные'!E716,"n.a.")</x:f>
        <x:v>0.019851968040782316</x:v>
      </x:c>
      <x:c r="K716" s="1" t="str">
        <x:f>IF(G716&gt;='Дашборд'!$C$51,"X","Z")</x:f>
        <x:v>X</x:v>
      </x:c>
      <x:c r="L716" s="1" t="str">
        <x:f>IF(H716=0,IF(G716&gt;0,"Нет остатка","Нет спроса"),IF(I716&gt;='Дашборд'!$C$52,"Быстрый","Медленный"))</x:f>
        <x:v>Быстрый</x:v>
      </x:c>
      <x:c r="M716" s="1" t="str">
        <x:f>IF('Данные'!E716&lt;'Дашборд'!$C$53,"Мало трафика",IF(J716&lt;'Дашборд'!$C$9*'Дашборд'!$C$54,"Да","Нет"))</x:f>
        <x:v>Нет</x:v>
      </x:c>
      <x:c r="N716" s="1" t="str">
        <x:f>IF(AND('Данные'!D716&gt;='Дашборд'!$C$55,D716&lt;'Дашборд'!$C$56,'Данные'!E716&gt;='Дашборд'!$C$53,'Данные'!L716&lt;&gt;"Да"),"Да","Нет")</x:f>
        <x:v>Да</x:v>
      </x:c>
      <x:c r="O716" s="1" t="str">
        <x:f>'Данные'!L716</x:f>
        <x:v>Нет</x:v>
      </x:c>
    </x:row>
    <x:row r="717">
      <x:c r="A717" s="1" t="str">
        <x:f>'Данные'!A717</x:f>
        <x:v>346811979</x:v>
      </x:c>
      <x:c r="B717" s="1" t="str">
        <x:f>'Данные'!B717</x:f>
        <x:v>longcrop3К-84/бордовый</x:v>
      </x:c>
      <x:c r="C717" s="8" t="n">
        <x:f>'Данные'!G717</x:f>
        <x:v>247093</x:v>
      </x:c>
      <x:c r="D717" s="15" t="n">
        <x:f>C717/SUM($C$5:$C$2477)</x:f>
        <x:v>0.00028865988115420367</x:v>
      </x:c>
      <x:c r="E717" s="15" t="n">
        <x:f>SUM($D$5:D717)</x:f>
        <x:v>0.9091647565421807</x:v>
      </x:c>
      <x:c r="F717" s="1" t="str">
        <x:f>IF(C717&lt;=0,"C",IF(E717-D717&lt;'Дашборд'!$C$49,"A",IF(E717-D717&lt;'Дашборд'!$C$50,"B","C")))</x:f>
        <x:v>B</x:v>
      </x:c>
      <x:c r="G717" s="8" t="n">
        <x:f>'Данные'!F717</x:f>
        <x:v>625</x:v>
      </x:c>
      <x:c r="H717" s="8" t="n">
        <x:f>SUM('Данные'!H717:I717)</x:f>
        <x:v>60</x:v>
      </x:c>
      <x:c r="I717" s="16" t="n">
        <x:f>IF(H717&gt;0,G717/H717,"n.a.")</x:f>
        <x:v>10.416666666666666</x:v>
      </x:c>
      <x:c r="J717" s="10" t="n">
        <x:f>IF('Данные'!E717&gt;0,G717/'Данные'!E717,"n.a.")</x:f>
        <x:v>0.030836787053483323</x:v>
      </x:c>
      <x:c r="K717" s="1" t="str">
        <x:f>IF(G717&gt;='Дашборд'!$C$51,"X","Z")</x:f>
        <x:v>X</x:v>
      </x:c>
      <x:c r="L717" s="1" t="str">
        <x:f>IF(H717=0,IF(G717&gt;0,"Нет остатка","Нет спроса"),IF(I717&gt;='Дашборд'!$C$52,"Быстрый","Медленный"))</x:f>
        <x:v>Быстрый</x:v>
      </x:c>
      <x:c r="M717" s="1" t="str">
        <x:f>IF('Данные'!E717&lt;'Дашборд'!$C$53,"Мало трафика",IF(J717&lt;'Дашборд'!$C$9*'Дашборд'!$C$54,"Да","Нет"))</x:f>
        <x:v>Нет</x:v>
      </x:c>
      <x:c r="N717" s="1" t="str">
        <x:f>IF(AND('Данные'!D717&gt;='Дашборд'!$C$55,D717&lt;'Дашборд'!$C$56,'Данные'!E717&gt;='Дашборд'!$C$53,'Данные'!L717&lt;&gt;"Да"),"Да","Нет")</x:f>
        <x:v>Нет</x:v>
      </x:c>
      <x:c r="O717" s="1" t="str">
        <x:f>'Данные'!L717</x:f>
        <x:v>Нет</x:v>
      </x:c>
    </x:row>
    <x:row r="718">
      <x:c r="A718" s="1" t="str">
        <x:f>'Данные'!A718</x:f>
        <x:v>348218031</x:v>
      </x:c>
      <x:c r="B718" s="1" t="str">
        <x:f>'Данные'!B718</x:f>
        <x:v>bodyskims/розовый</x:v>
      </x:c>
      <x:c r="C718" s="8" t="n">
        <x:f>'Данные'!G718</x:f>
        <x:v>247046</x:v>
      </x:c>
      <x:c r="D718" s="15" t="n">
        <x:f>C718/SUM($C$5:$C$2477)</x:f>
        <x:v>0.00028860497464364187</x:v>
      </x:c>
      <x:c r="E718" s="15" t="n">
        <x:f>SUM($D$5:D718)</x:f>
        <x:v>0.9094533615168243</x:v>
      </x:c>
      <x:c r="F718" s="1" t="str">
        <x:f>IF(C718&lt;=0,"C",IF(E718-D718&lt;'Дашборд'!$C$49,"A",IF(E718-D718&lt;'Дашборд'!$C$50,"B","C")))</x:f>
        <x:v>B</x:v>
      </x:c>
      <x:c r="G718" s="8" t="n">
        <x:f>'Данные'!F718</x:f>
        <x:v>645</x:v>
      </x:c>
      <x:c r="H718" s="8" t="n">
        <x:f>SUM('Данные'!H718:I718)</x:f>
        <x:v>7</x:v>
      </x:c>
      <x:c r="I718" s="16" t="n">
        <x:f>IF(H718&gt;0,G718/H718,"n.a.")</x:f>
        <x:v>92.14285714285714</x:v>
      </x:c>
      <x:c r="J718" s="10" t="n">
        <x:f>IF('Данные'!E718&gt;0,G718/'Данные'!E718,"n.a.")</x:f>
        <x:v>0.01598552628317926</x:v>
      </x:c>
      <x:c r="K718" s="1" t="str">
        <x:f>IF(G718&gt;='Дашборд'!$C$51,"X","Z")</x:f>
        <x:v>X</x:v>
      </x:c>
      <x:c r="L718" s="1" t="str">
        <x:f>IF(H718=0,IF(G718&gt;0,"Нет остатка","Нет спроса"),IF(I718&gt;='Дашборд'!$C$52,"Быстрый","Медленный"))</x:f>
        <x:v>Быстрый</x:v>
      </x:c>
      <x:c r="M718" s="1" t="str">
        <x:f>IF('Данные'!E718&lt;'Дашборд'!$C$53,"Мало трафика",IF(J718&lt;'Дашборд'!$C$9*'Дашборд'!$C$54,"Да","Нет"))</x:f>
        <x:v>Нет</x:v>
      </x:c>
      <x:c r="N718" s="1" t="str">
        <x:f>IF(AND('Данные'!D718&gt;='Дашборд'!$C$55,D718&lt;'Дашборд'!$C$56,'Данные'!E718&gt;='Дашборд'!$C$53,'Данные'!L718&lt;&gt;"Да"),"Да","Нет")</x:f>
        <x:v>Нет</x:v>
      </x:c>
      <x:c r="O718" s="1" t="str">
        <x:f>'Данные'!L718</x:f>
        <x:v>Нет</x:v>
      </x:c>
    </x:row>
    <x:row r="719">
      <x:c r="A719" s="1" t="str">
        <x:f>'Данные'!A719</x:f>
        <x:v>246363141</x:v>
      </x:c>
      <x:c r="B719" s="1" t="str">
        <x:f>'Данные'!B719</x:f>
        <x:v>tolstovkazipman/хаки</x:v>
      </x:c>
      <x:c r="C719" s="8" t="n">
        <x:f>'Данные'!G719</x:f>
        <x:v>246932</x:v>
      </x:c>
      <x:c r="D719" s="15" t="n">
        <x:f>C719/SUM($C$5:$C$2477)</x:f>
        <x:v>0.0002884717971499388</x:v>
      </x:c>
      <x:c r="E719" s="15" t="n">
        <x:f>SUM($D$5:D719)</x:f>
        <x:v>0.9097418333139743</x:v>
      </x:c>
      <x:c r="F719" s="1" t="str">
        <x:f>IF(C719&lt;=0,"C",IF(E719-D719&lt;'Дашборд'!$C$49,"A",IF(E719-D719&lt;'Дашборд'!$C$50,"B","C")))</x:f>
        <x:v>B</x:v>
      </x:c>
      <x:c r="G719" s="8" t="n">
        <x:f>'Данные'!F719</x:f>
        <x:v>188</x:v>
      </x:c>
      <x:c r="H719" s="8" t="n">
        <x:f>SUM('Данные'!H719:I719)</x:f>
        <x:v>0</x:v>
      </x:c>
      <x:c r="I719" s="16" t="str">
        <x:f>IF(H719&gt;0,G719/H719,"n.a.")</x:f>
        <x:v>n.a.</x:v>
      </x:c>
      <x:c r="J719" s="10" t="n">
        <x:f>IF('Данные'!E719&gt;0,G719/'Данные'!E719,"n.a.")</x:f>
        <x:v>0.009523809523809525</x:v>
      </x:c>
      <x:c r="K719" s="1" t="str">
        <x:f>IF(G719&gt;='Дашборд'!$C$51,"X","Z")</x:f>
        <x:v>Z</x:v>
      </x:c>
      <x:c r="L719" s="1" t="str">
        <x:f>IF(H719=0,IF(G719&gt;0,"Нет остатка","Нет спроса"),IF(I719&gt;='Дашборд'!$C$52,"Быстрый","Медленный"))</x:f>
        <x:v>Нет остатка</x:v>
      </x:c>
      <x:c r="M719" s="1" t="str">
        <x:f>IF('Данные'!E719&lt;'Дашборд'!$C$53,"Мало трафика",IF(J719&lt;'Дашборд'!$C$9*'Дашборд'!$C$54,"Да","Нет"))</x:f>
        <x:v>Да</x:v>
      </x:c>
      <x:c r="N719" s="1" t="str">
        <x:f>IF(AND('Данные'!D719&gt;='Дашборд'!$C$55,D719&lt;'Дашборд'!$C$56,'Данные'!E719&gt;='Дашборд'!$C$53,'Данные'!L719&lt;&gt;"Да"),"Да","Нет")</x:f>
        <x:v>Да</x:v>
      </x:c>
      <x:c r="O719" s="1" t="str">
        <x:f>'Данные'!L719</x:f>
        <x:v>Нет</x:v>
      </x:c>
    </x:row>
    <x:row r="720">
      <x:c r="A720" s="1" t="str">
        <x:f>'Данные'!A720</x:f>
        <x:v>229200083</x:v>
      </x:c>
      <x:c r="B720" s="1" t="str">
        <x:f>'Данные'!B720</x:f>
        <x:v>futbolkaover100/вареныйсерый</x:v>
      </x:c>
      <x:c r="C720" s="8" t="n">
        <x:f>'Данные'!G720</x:f>
        <x:v>246663</x:v>
      </x:c>
      <x:c r="D720" s="15" t="n">
        <x:f>C720/SUM($C$5:$C$2477)</x:f>
        <x:v>0.0002881575449937446</x:v>
      </x:c>
      <x:c r="E720" s="15" t="n">
        <x:f>SUM($D$5:D720)</x:f>
        <x:v>0.9100299908589681</x:v>
      </x:c>
      <x:c r="F720" s="1" t="str">
        <x:f>IF(C720&lt;=0,"C",IF(E720-D720&lt;'Дашборд'!$C$49,"A",IF(E720-D720&lt;'Дашборд'!$C$50,"B","C")))</x:f>
        <x:v>B</x:v>
      </x:c>
      <x:c r="G720" s="8" t="n">
        <x:f>'Данные'!F720</x:f>
        <x:v>379</x:v>
      </x:c>
      <x:c r="H720" s="8" t="n">
        <x:f>SUM('Данные'!H720:I720)</x:f>
        <x:v>43</x:v>
      </x:c>
      <x:c r="I720" s="16" t="n">
        <x:f>IF(H720&gt;0,G720/H720,"n.a.")</x:f>
        <x:v>8.813953488372093</x:v>
      </x:c>
      <x:c r="J720" s="10" t="n">
        <x:f>IF('Данные'!E720&gt;0,G720/'Данные'!E720,"n.a.")</x:f>
        <x:v>0.014274415276260782</x:v>
      </x:c>
      <x:c r="K720" s="1" t="str">
        <x:f>IF(G720&gt;='Дашборд'!$C$51,"X","Z")</x:f>
        <x:v>X</x:v>
      </x:c>
      <x:c r="L720" s="1" t="str">
        <x:f>IF(H720=0,IF(G720&gt;0,"Нет остатка","Нет спроса"),IF(I720&gt;='Дашборд'!$C$52,"Быстрый","Медленный"))</x:f>
        <x:v>Быстрый</x:v>
      </x:c>
      <x:c r="M720" s="1" t="str">
        <x:f>IF('Данные'!E720&lt;'Дашборд'!$C$53,"Мало трафика",IF(J720&lt;'Дашборд'!$C$9*'Дашборд'!$C$54,"Да","Нет"))</x:f>
        <x:v>Нет</x:v>
      </x:c>
      <x:c r="N720" s="1" t="str">
        <x:f>IF(AND('Данные'!D720&gt;='Дашборд'!$C$55,D720&lt;'Дашборд'!$C$56,'Данные'!E720&gt;='Дашборд'!$C$53,'Данные'!L720&lt;&gt;"Да"),"Да","Нет")</x:f>
        <x:v>Да</x:v>
      </x:c>
      <x:c r="O720" s="1" t="str">
        <x:f>'Данные'!L720</x:f>
        <x:v>Нет</x:v>
      </x:c>
    </x:row>
    <x:row r="721">
      <x:c r="A721" s="1" t="str">
        <x:f>'Данные'!A721</x:f>
        <x:v>332646313</x:v>
      </x:c>
      <x:c r="B721" s="1" t="str">
        <x:f>'Данные'!B721</x:f>
        <x:v>futbolkaprint/Cringe-255/розовый</x:v>
      </x:c>
      <x:c r="C721" s="8" t="n">
        <x:f>'Данные'!G721</x:f>
        <x:v>246289</x:v>
      </x:c>
      <x:c r="D721" s="15" t="n">
        <x:f>C721/SUM($C$5:$C$2477)</x:f>
        <x:v>0.00028772062935650814</x:v>
      </x:c>
      <x:c r="E721" s="15" t="n">
        <x:f>SUM($D$5:D721)</x:f>
        <x:v>0.9103177114883246</x:v>
      </x:c>
      <x:c r="F721" s="1" t="str">
        <x:f>IF(C721&lt;=0,"C",IF(E721-D721&lt;'Дашборд'!$C$49,"A",IF(E721-D721&lt;'Дашборд'!$C$50,"B","C")))</x:f>
        <x:v>B</x:v>
      </x:c>
      <x:c r="G721" s="8" t="n">
        <x:f>'Данные'!F721</x:f>
        <x:v>417</x:v>
      </x:c>
      <x:c r="H721" s="8" t="n">
        <x:f>SUM('Данные'!H721:I721)</x:f>
        <x:v>346</x:v>
      </x:c>
      <x:c r="I721" s="16" t="n">
        <x:f>IF(H721&gt;0,G721/H721,"n.a.")</x:f>
        <x:v>1.2052023121387283</x:v>
      </x:c>
      <x:c r="J721" s="10" t="n">
        <x:f>IF('Данные'!E721&gt;0,G721/'Данные'!E721,"n.a.")</x:f>
        <x:v>0.00716691874054723</x:v>
      </x:c>
      <x:c r="K721" s="1" t="str">
        <x:f>IF(G721&gt;='Дашборд'!$C$51,"X","Z")</x:f>
        <x:v>X</x:v>
      </x:c>
      <x:c r="L721" s="1" t="str">
        <x:f>IF(H721=0,IF(G721&gt;0,"Нет остатка","Нет спроса"),IF(I721&gt;='Дашборд'!$C$52,"Быстрый","Медленный"))</x:f>
        <x:v>Быстрый</x:v>
      </x:c>
      <x:c r="M721" s="1" t="str">
        <x:f>IF('Данные'!E721&lt;'Дашборд'!$C$53,"Мало трафика",IF(J721&lt;'Дашборд'!$C$9*'Дашборд'!$C$54,"Да","Нет"))</x:f>
        <x:v>Да</x:v>
      </x:c>
      <x:c r="N721" s="1" t="str">
        <x:f>IF(AND('Данные'!D721&gt;='Дашборд'!$C$55,D721&lt;'Дашборд'!$C$56,'Данные'!E721&gt;='Дашборд'!$C$53,'Данные'!L721&lt;&gt;"Да"),"Да","Нет")</x:f>
        <x:v>Да</x:v>
      </x:c>
      <x:c r="O721" s="1" t="str">
        <x:f>'Данные'!L721</x:f>
        <x:v>Нет</x:v>
      </x:c>
    </x:row>
    <x:row r="722">
      <x:c r="A722" s="1" t="str">
        <x:f>'Данные'!A722</x:f>
        <x:v>293278204</x:v>
      </x:c>
      <x:c r="B722" s="1" t="str">
        <x:f>'Данные'!B722</x:f>
        <x:v>tolstovkazip3P-70/темно-серый</x:v>
      </x:c>
      <x:c r="C722" s="8" t="n">
        <x:f>'Данные'!G722</x:f>
        <x:v>246126</x:v>
      </x:c>
      <x:c r="D722" s="15" t="n">
        <x:f>C722/SUM($C$5:$C$2477)</x:f>
        <x:v>0.0002875302089049853</x:v>
      </x:c>
      <x:c r="E722" s="15" t="n">
        <x:f>SUM($D$5:D722)</x:f>
        <x:v>0.9106052416972297</x:v>
      </x:c>
      <x:c r="F722" s="1" t="str">
        <x:f>IF(C722&lt;=0,"C",IF(E722-D722&lt;'Дашборд'!$C$49,"A",IF(E722-D722&lt;'Дашборд'!$C$50,"B","C")))</x:f>
        <x:v>B</x:v>
      </x:c>
      <x:c r="G722" s="8" t="n">
        <x:f>'Данные'!F722</x:f>
        <x:v>318</x:v>
      </x:c>
      <x:c r="H722" s="8" t="n">
        <x:f>SUM('Данные'!H722:I722)</x:f>
        <x:v>153</x:v>
      </x:c>
      <x:c r="I722" s="16" t="n">
        <x:f>IF(H722&gt;0,G722/H722,"n.a.")</x:f>
        <x:v>2.0784313725490198</x:v>
      </x:c>
      <x:c r="J722" s="10" t="n">
        <x:f>IF('Данные'!E722&gt;0,G722/'Данные'!E722,"n.a.")</x:f>
        <x:v>0.007144782960366676</x:v>
      </x:c>
      <x:c r="K722" s="1" t="str">
        <x:f>IF(G722&gt;='Дашборд'!$C$51,"X","Z")</x:f>
        <x:v>X</x:v>
      </x:c>
      <x:c r="L722" s="1" t="str">
        <x:f>IF(H722=0,IF(G722&gt;0,"Нет остатка","Нет спроса"),IF(I722&gt;='Дашборд'!$C$52,"Быстрый","Медленный"))</x:f>
        <x:v>Быстрый</x:v>
      </x:c>
      <x:c r="M722" s="1" t="str">
        <x:f>IF('Данные'!E722&lt;'Дашборд'!$C$53,"Мало трафика",IF(J722&lt;'Дашборд'!$C$9*'Дашборд'!$C$54,"Да","Нет"))</x:f>
        <x:v>Да</x:v>
      </x:c>
      <x:c r="N722" s="1" t="str">
        <x:f>IF(AND('Данные'!D722&gt;='Дашборд'!$C$55,D722&lt;'Дашборд'!$C$56,'Данные'!E722&gt;='Дашборд'!$C$53,'Данные'!L722&lt;&gt;"Да"),"Да","Нет")</x:f>
        <x:v>Да</x:v>
      </x:c>
      <x:c r="O722" s="1" t="str">
        <x:f>'Данные'!L722</x:f>
        <x:v>Нет</x:v>
      </x:c>
    </x:row>
    <x:row r="723">
      <x:c r="A723" s="1" t="str">
        <x:f>'Данные'!A723</x:f>
        <x:v>175116988</x:v>
      </x:c>
      <x:c r="B723" s="1" t="str">
        <x:f>'Данные'!B723</x:f>
        <x:v>reglanman/морскаяволна</x:v>
      </x:c>
      <x:c r="C723" s="8" t="n">
        <x:f>'Данные'!G723</x:f>
        <x:v>244831</x:v>
      </x:c>
      <x:c r="D723" s="15" t="n">
        <x:f>C723/SUM($C$5:$C$2477)</x:f>
        <x:v>0.0002860173593054633</x:v>
      </x:c>
      <x:c r="E723" s="15" t="n">
        <x:f>SUM($D$5:D723)</x:f>
        <x:v>0.9108912590565351</x:v>
      </x:c>
      <x:c r="F723" s="1" t="str">
        <x:f>IF(C723&lt;=0,"C",IF(E723-D723&lt;'Дашборд'!$C$49,"A",IF(E723-D723&lt;'Дашборд'!$C$50,"B","C")))</x:f>
        <x:v>B</x:v>
      </x:c>
      <x:c r="G723" s="8" t="n">
        <x:f>'Данные'!F723</x:f>
        <x:v>505</x:v>
      </x:c>
      <x:c r="H723" s="8" t="n">
        <x:f>SUM('Данные'!H723:I723)</x:f>
        <x:v>133</x:v>
      </x:c>
      <x:c r="I723" s="16" t="n">
        <x:f>IF(H723&gt;0,G723/H723,"n.a.")</x:f>
        <x:v>3.7969924812030076</x:v>
      </x:c>
      <x:c r="J723" s="10" t="n">
        <x:f>IF('Данные'!E723&gt;0,G723/'Данные'!E723,"n.a.")</x:f>
        <x:v>0.02657754855007631</x:v>
      </x:c>
      <x:c r="K723" s="1" t="str">
        <x:f>IF(G723&gt;='Дашборд'!$C$51,"X","Z")</x:f>
        <x:v>X</x:v>
      </x:c>
      <x:c r="L723" s="1" t="str">
        <x:f>IF(H723=0,IF(G723&gt;0,"Нет остатка","Нет спроса"),IF(I723&gt;='Дашборд'!$C$52,"Быстрый","Медленный"))</x:f>
        <x:v>Быстрый</x:v>
      </x:c>
      <x:c r="M723" s="1" t="str">
        <x:f>IF('Данные'!E723&lt;'Дашборд'!$C$53,"Мало трафика",IF(J723&lt;'Дашборд'!$C$9*'Дашборд'!$C$54,"Да","Нет"))</x:f>
        <x:v>Нет</x:v>
      </x:c>
      <x:c r="N723" s="1" t="str">
        <x:f>IF(AND('Данные'!D723&gt;='Дашборд'!$C$55,D723&lt;'Дашборд'!$C$56,'Данные'!E723&gt;='Дашборд'!$C$53,'Данные'!L723&lt;&gt;"Да"),"Да","Нет")</x:f>
        <x:v>Нет</x:v>
      </x:c>
      <x:c r="O723" s="1" t="str">
        <x:f>'Данные'!L723</x:f>
        <x:v>Нет</x:v>
      </x:c>
    </x:row>
    <x:row r="724">
      <x:c r="A724" s="1" t="str">
        <x:f>'Данные'!A724</x:f>
        <x:v>210248296</x:v>
      </x:c>
      <x:c r="B724" s="1" t="str">
        <x:f>'Данные'!B724</x:f>
        <x:v>kulirkamanprint/MovesMatter-73/молочный</x:v>
      </x:c>
      <x:c r="C724" s="8" t="n">
        <x:f>'Данные'!G724</x:f>
        <x:v>244735</x:v>
      </x:c>
      <x:c r="D724" s="15" t="n">
        <x:f>C724/SUM($C$5:$C$2477)</x:f>
        <x:v>0.0002859052098370817</x:v>
      </x:c>
      <x:c r="E724" s="15" t="n">
        <x:f>SUM($D$5:D724)</x:f>
        <x:v>0.9111771642663722</x:v>
      </x:c>
      <x:c r="F724" s="1" t="str">
        <x:f>IF(C724&lt;=0,"C",IF(E724-D724&lt;'Дашборд'!$C$49,"A",IF(E724-D724&lt;'Дашборд'!$C$50,"B","C")))</x:f>
        <x:v>B</x:v>
      </x:c>
      <x:c r="G724" s="8" t="n">
        <x:f>'Данные'!F724</x:f>
        <x:v>392</x:v>
      </x:c>
      <x:c r="H724" s="8" t="n">
        <x:f>SUM('Данные'!H724:I724)</x:f>
        <x:v>8</x:v>
      </x:c>
      <x:c r="I724" s="16" t="n">
        <x:f>IF(H724&gt;0,G724/H724,"n.a.")</x:f>
        <x:v>49</x:v>
      </x:c>
      <x:c r="J724" s="10" t="n">
        <x:f>IF('Данные'!E724&gt;0,G724/'Данные'!E724,"n.a.")</x:f>
        <x:v>0.02628931661189726</x:v>
      </x:c>
      <x:c r="K724" s="1" t="str">
        <x:f>IF(G724&gt;='Дашборд'!$C$51,"X","Z")</x:f>
        <x:v>X</x:v>
      </x:c>
      <x:c r="L724" s="1" t="str">
        <x:f>IF(H724=0,IF(G724&gt;0,"Нет остатка","Нет спроса"),IF(I724&gt;='Дашборд'!$C$52,"Быстрый","Медленный"))</x:f>
        <x:v>Быстрый</x:v>
      </x:c>
      <x:c r="M724" s="1" t="str">
        <x:f>IF('Данные'!E724&lt;'Дашборд'!$C$53,"Мало трафика",IF(J724&lt;'Дашборд'!$C$9*'Дашборд'!$C$54,"Да","Нет"))</x:f>
        <x:v>Нет</x:v>
      </x:c>
      <x:c r="N724" s="1" t="str">
        <x:f>IF(AND('Данные'!D724&gt;='Дашборд'!$C$55,D724&lt;'Дашборд'!$C$56,'Данные'!E724&gt;='Дашборд'!$C$53,'Данные'!L724&lt;&gt;"Да"),"Да","Нет")</x:f>
        <x:v>Нет</x:v>
      </x:c>
      <x:c r="O724" s="1" t="str">
        <x:f>'Данные'!L724</x:f>
        <x:v>Нет</x:v>
      </x:c>
    </x:row>
    <x:row r="725">
      <x:c r="A725" s="1" t="str">
        <x:f>'Данные'!A725</x:f>
        <x:v>297720324</x:v>
      </x:c>
      <x:c r="B725" s="1" t="str">
        <x:f>'Данные'!B725</x:f>
        <x:v>hudicropprint/Cupid-251/дымка</x:v>
      </x:c>
      <x:c r="C725" s="8" t="n">
        <x:f>'Данные'!G725</x:f>
        <x:v>243390</x:v>
      </x:c>
      <x:c r="D725" s="15" t="n">
        <x:f>C725/SUM($C$5:$C$2477)</x:f>
        <x:v>0.000284333949056111</x:v>
      </x:c>
      <x:c r="E725" s="15" t="n">
        <x:f>SUM($D$5:D725)</x:f>
        <x:v>0.9114614982154283</x:v>
      </x:c>
      <x:c r="F725" s="1" t="str">
        <x:f>IF(C725&lt;=0,"C",IF(E725-D725&lt;'Дашборд'!$C$49,"A",IF(E725-D725&lt;'Дашборд'!$C$50,"B","C")))</x:f>
        <x:v>B</x:v>
      </x:c>
      <x:c r="G725" s="8" t="n">
        <x:f>'Данные'!F725</x:f>
        <x:v>202</x:v>
      </x:c>
      <x:c r="H725" s="8" t="n">
        <x:f>SUM('Данные'!H725:I725)</x:f>
        <x:v>0</x:v>
      </x:c>
      <x:c r="I725" s="16" t="str">
        <x:f>IF(H725&gt;0,G725/H725,"n.a.")</x:f>
        <x:v>n.a.</x:v>
      </x:c>
      <x:c r="J725" s="10" t="n">
        <x:f>IF('Данные'!E725&gt;0,G725/'Данные'!E725,"n.a.")</x:f>
        <x:v>0.0058260267651130595</x:v>
      </x:c>
      <x:c r="K725" s="1" t="str">
        <x:f>IF(G725&gt;='Дашборд'!$C$51,"X","Z")</x:f>
        <x:v>Z</x:v>
      </x:c>
      <x:c r="L725" s="1" t="str">
        <x:f>IF(H725=0,IF(G725&gt;0,"Нет остатка","Нет спроса"),IF(I725&gt;='Дашборд'!$C$52,"Быстрый","Медленный"))</x:f>
        <x:v>Нет остатка</x:v>
      </x:c>
      <x:c r="M725" s="1" t="str">
        <x:f>IF('Данные'!E725&lt;'Дашборд'!$C$53,"Мало трафика",IF(J725&lt;'Дашборд'!$C$9*'Дашборд'!$C$54,"Да","Нет"))</x:f>
        <x:v>Да</x:v>
      </x:c>
      <x:c r="N725" s="1" t="str">
        <x:f>IF(AND('Данные'!D725&gt;='Дашборд'!$C$55,D725&lt;'Дашборд'!$C$56,'Данные'!E725&gt;='Дашборд'!$C$53,'Данные'!L725&lt;&gt;"Да"),"Да","Нет")</x:f>
        <x:v>Да</x:v>
      </x:c>
      <x:c r="O725" s="1" t="str">
        <x:f>'Данные'!L725</x:f>
        <x:v>Нет</x:v>
      </x:c>
    </x:row>
    <x:row r="726">
      <x:c r="A726" s="1" t="str">
        <x:f>'Данные'!A726</x:f>
        <x:v>255376125</x:v>
      </x:c>
      <x:c r="B726" s="1" t="str">
        <x:f>'Данные'!B726</x:f>
        <x:v>hudiprint/WITH-LOVE-212/графит</x:v>
      </x:c>
      <x:c r="C726" s="8" t="n">
        <x:f>'Данные'!G726</x:f>
        <x:v>243089</x:v>
      </x:c>
      <x:c r="D726" s="15" t="n">
        <x:f>C726/SUM($C$5:$C$2477)</x:f>
        <x:v>0.0002839823137437897</x:v>
      </x:c>
      <x:c r="E726" s="15" t="n">
        <x:f>SUM($D$5:D726)</x:f>
        <x:v>0.9117454805291721</x:v>
      </x:c>
      <x:c r="F726" s="1" t="str">
        <x:f>IF(C726&lt;=0,"C",IF(E726-D726&lt;'Дашборд'!$C$49,"A",IF(E726-D726&lt;'Дашборд'!$C$50,"B","C")))</x:f>
        <x:v>B</x:v>
      </x:c>
      <x:c r="G726" s="8" t="n">
        <x:f>'Данные'!F726</x:f>
        <x:v>251</x:v>
      </x:c>
      <x:c r="H726" s="8" t="n">
        <x:f>SUM('Данные'!H726:I726)</x:f>
        <x:v>23</x:v>
      </x:c>
      <x:c r="I726" s="16" t="n">
        <x:f>IF(H726&gt;0,G726/H726,"n.a.")</x:f>
        <x:v>10.91304347826087</x:v>
      </x:c>
      <x:c r="J726" s="10" t="n">
        <x:f>IF('Данные'!E726&gt;0,G726/'Данные'!E726,"n.a.")</x:f>
        <x:v>0.011262676119536928</x:v>
      </x:c>
      <x:c r="K726" s="1" t="str">
        <x:f>IF(G726&gt;='Дашборд'!$C$51,"X","Z")</x:f>
        <x:v>Z</x:v>
      </x:c>
      <x:c r="L726" s="1" t="str">
        <x:f>IF(H726=0,IF(G726&gt;0,"Нет остатка","Нет спроса"),IF(I726&gt;='Дашборд'!$C$52,"Быстрый","Медленный"))</x:f>
        <x:v>Быстрый</x:v>
      </x:c>
      <x:c r="M726" s="1" t="str">
        <x:f>IF('Данные'!E726&lt;'Дашборд'!$C$53,"Мало трафика",IF(J726&lt;'Дашборд'!$C$9*'Дашборд'!$C$54,"Да","Нет"))</x:f>
        <x:v>Нет</x:v>
      </x:c>
      <x:c r="N726" s="1" t="str">
        <x:f>IF(AND('Данные'!D726&gt;='Дашборд'!$C$55,D726&lt;'Дашборд'!$C$56,'Данные'!E726&gt;='Дашборд'!$C$53,'Данные'!L726&lt;&gt;"Да"),"Да","Нет")</x:f>
        <x:v>Нет</x:v>
      </x:c>
      <x:c r="O726" s="1" t="str">
        <x:f>'Данные'!L726</x:f>
        <x:v>Нет</x:v>
      </x:c>
    </x:row>
    <x:row r="727">
      <x:c r="A727" s="1" t="str">
        <x:f>'Данные'!A727</x:f>
        <x:v>244519339</x:v>
      </x:c>
      <x:c r="B727" s="1" t="str">
        <x:f>'Данные'!B727</x:f>
        <x:v>hudiprint/Amore-43/черный</x:v>
      </x:c>
      <x:c r="C727" s="8" t="n">
        <x:f>'Данные'!G727</x:f>
        <x:v>242633</x:v>
      </x:c>
      <x:c r="D727" s="15" t="n">
        <x:f>C727/SUM($C$5:$C$2477)</x:f>
        <x:v>0.00028344960376897727</x:v>
      </x:c>
      <x:c r="E727" s="15" t="n">
        <x:f>SUM($D$5:D727)</x:f>
        <x:v>0.9120289301329412</x:v>
      </x:c>
      <x:c r="F727" s="1" t="str">
        <x:f>IF(C727&lt;=0,"C",IF(E727-D727&lt;'Дашборд'!$C$49,"A",IF(E727-D727&lt;'Дашборд'!$C$50,"B","C")))</x:f>
        <x:v>B</x:v>
      </x:c>
      <x:c r="G727" s="8" t="n">
        <x:f>'Данные'!F727</x:f>
        <x:v>206</x:v>
      </x:c>
      <x:c r="H727" s="8" t="n">
        <x:f>SUM('Данные'!H727:I727)</x:f>
        <x:v>1</x:v>
      </x:c>
      <x:c r="I727" s="16" t="n">
        <x:f>IF(H727&gt;0,G727/H727,"n.a.")</x:f>
        <x:v>206</x:v>
      </x:c>
      <x:c r="J727" s="10" t="n">
        <x:f>IF('Данные'!E727&gt;0,G727/'Данные'!E727,"n.a.")</x:f>
        <x:v>0.011227381730978854</x:v>
      </x:c>
      <x:c r="K727" s="1" t="str">
        <x:f>IF(G727&gt;='Дашборд'!$C$51,"X","Z")</x:f>
        <x:v>Z</x:v>
      </x:c>
      <x:c r="L727" s="1" t="str">
        <x:f>IF(H727=0,IF(G727&gt;0,"Нет остатка","Нет спроса"),IF(I727&gt;='Дашборд'!$C$52,"Быстрый","Медленный"))</x:f>
        <x:v>Быстрый</x:v>
      </x:c>
      <x:c r="M727" s="1" t="str">
        <x:f>IF('Данные'!E727&lt;'Дашборд'!$C$53,"Мало трафика",IF(J727&lt;'Дашборд'!$C$9*'Дашборд'!$C$54,"Да","Нет"))</x:f>
        <x:v>Нет</x:v>
      </x:c>
      <x:c r="N727" s="1" t="str">
        <x:f>IF(AND('Данные'!D727&gt;='Дашборд'!$C$55,D727&lt;'Дашборд'!$C$56,'Данные'!E727&gt;='Дашборд'!$C$53,'Данные'!L727&lt;&gt;"Да"),"Да","Нет")</x:f>
        <x:v>Нет</x:v>
      </x:c>
      <x:c r="O727" s="1" t="str">
        <x:f>'Данные'!L727</x:f>
        <x:v>Нет</x:v>
      </x:c>
    </x:row>
    <x:row r="728">
      <x:c r="A728" s="1" t="str">
        <x:f>'Данные'!A728</x:f>
        <x:v>271724667</x:v>
      </x:c>
      <x:c r="B728" s="1" t="str">
        <x:f>'Данные'!B728</x:f>
        <x:v>svitshotover/вареныйсерый</x:v>
      </x:c>
      <x:c r="C728" s="8" t="n">
        <x:f>'Данные'!G728</x:f>
        <x:v>242295</x:v>
      </x:c>
      <x:c r="D728" s="15" t="n">
        <x:f>C728/SUM($C$5:$C$2477)</x:f>
        <x:v>0.0002830547441823839</x:v>
      </x:c>
      <x:c r="E728" s="15" t="n">
        <x:f>SUM($D$5:D728)</x:f>
        <x:v>0.9123119848771235</x:v>
      </x:c>
      <x:c r="F728" s="1" t="str">
        <x:f>IF(C728&lt;=0,"C",IF(E728-D728&lt;'Дашборд'!$C$49,"A",IF(E728-D728&lt;'Дашборд'!$C$50,"B","C")))</x:f>
        <x:v>B</x:v>
      </x:c>
      <x:c r="G728" s="8" t="n">
        <x:f>'Данные'!F728</x:f>
        <x:v>351</x:v>
      </x:c>
      <x:c r="H728" s="8" t="n">
        <x:f>SUM('Данные'!H728:I728)</x:f>
        <x:v>891</x:v>
      </x:c>
      <x:c r="I728" s="16" t="n">
        <x:f>IF(H728&gt;0,G728/H728,"n.a.")</x:f>
        <x:v>0.3939393939393939</x:v>
      </x:c>
      <x:c r="J728" s="10" t="n">
        <x:f>IF('Данные'!E728&gt;0,G728/'Данные'!E728,"n.a.")</x:f>
        <x:v>0.01068330543296302</x:v>
      </x:c>
      <x:c r="K728" s="1" t="str">
        <x:f>IF(G728&gt;='Дашборд'!$C$51,"X","Z")</x:f>
        <x:v>X</x:v>
      </x:c>
      <x:c r="L728" s="1" t="str">
        <x:f>IF(H728=0,IF(G728&gt;0,"Нет остатка","Нет спроса"),IF(I728&gt;='Дашборд'!$C$52,"Быстрый","Медленный"))</x:f>
        <x:v>Медленный</x:v>
      </x:c>
      <x:c r="M728" s="1" t="str">
        <x:f>IF('Данные'!E728&lt;'Дашборд'!$C$53,"Мало трафика",IF(J728&lt;'Дашборд'!$C$9*'Дашборд'!$C$54,"Да","Нет"))</x:f>
        <x:v>Нет</x:v>
      </x:c>
      <x:c r="N728" s="1" t="str">
        <x:f>IF(AND('Данные'!D728&gt;='Дашборд'!$C$55,D728&lt;'Дашборд'!$C$56,'Данные'!E728&gt;='Дашборд'!$C$53,'Данные'!L728&lt;&gt;"Да"),"Да","Нет")</x:f>
        <x:v>Да</x:v>
      </x:c>
      <x:c r="O728" s="1" t="str">
        <x:f>'Данные'!L728</x:f>
        <x:v>Нет</x:v>
      </x:c>
    </x:row>
    <x:row r="729">
      <x:c r="A729" s="1" t="str">
        <x:f>'Данные'!A729</x:f>
        <x:v>246369361</x:v>
      </x:c>
      <x:c r="B729" s="1" t="str">
        <x:f>'Данные'!B729</x:f>
        <x:v>tolstovkazipman/вареныйсерый</x:v>
      </x:c>
      <x:c r="C729" s="8" t="n">
        <x:f>'Данные'!G729</x:f>
        <x:v>241947</x:v>
      </x:c>
      <x:c r="D729" s="15" t="n">
        <x:f>C729/SUM($C$5:$C$2477)</x:f>
        <x:v>0.0002826482023595008</x:v>
      </x:c>
      <x:c r="E729" s="15" t="n">
        <x:f>SUM($D$5:D729)</x:f>
        <x:v>0.912594633079483</x:v>
      </x:c>
      <x:c r="F729" s="1" t="str">
        <x:f>IF(C729&lt;=0,"C",IF(E729-D729&lt;'Дашборд'!$C$49,"A",IF(E729-D729&lt;'Дашборд'!$C$50,"B","C")))</x:f>
        <x:v>B</x:v>
      </x:c>
      <x:c r="G729" s="8" t="n">
        <x:f>'Данные'!F729</x:f>
        <x:v>208</x:v>
      </x:c>
      <x:c r="H729" s="8" t="n">
        <x:f>SUM('Данные'!H729:I729)</x:f>
        <x:v>3</x:v>
      </x:c>
      <x:c r="I729" s="16" t="n">
        <x:f>IF(H729&gt;0,G729/H729,"n.a.")</x:f>
        <x:v>69.33333333333333</x:v>
      </x:c>
      <x:c r="J729" s="10" t="n">
        <x:f>IF('Данные'!E729&gt;0,G729/'Данные'!E729,"n.a.")</x:f>
        <x:v>0.01184375355882018</x:v>
      </x:c>
      <x:c r="K729" s="1" t="str">
        <x:f>IF(G729&gt;='Дашборд'!$C$51,"X","Z")</x:f>
        <x:v>Z</x:v>
      </x:c>
      <x:c r="L729" s="1" t="str">
        <x:f>IF(H729=0,IF(G729&gt;0,"Нет остатка","Нет спроса"),IF(I729&gt;='Дашборд'!$C$52,"Быстрый","Медленный"))</x:f>
        <x:v>Быстрый</x:v>
      </x:c>
      <x:c r="M729" s="1" t="str">
        <x:f>IF('Данные'!E729&lt;'Дашборд'!$C$53,"Мало трафика",IF(J729&lt;'Дашборд'!$C$9*'Дашборд'!$C$54,"Да","Нет"))</x:f>
        <x:v>Нет</x:v>
      </x:c>
      <x:c r="N729" s="1" t="str">
        <x:f>IF(AND('Данные'!D729&gt;='Дашборд'!$C$55,D729&lt;'Дашборд'!$C$56,'Данные'!E729&gt;='Дашборд'!$C$53,'Данные'!L729&lt;&gt;"Да"),"Да","Нет")</x:f>
        <x:v>Да</x:v>
      </x:c>
      <x:c r="O729" s="1" t="str">
        <x:f>'Данные'!L729</x:f>
        <x:v>Нет</x:v>
      </x:c>
    </x:row>
    <x:row r="730">
      <x:c r="A730" s="1" t="str">
        <x:f>'Данные'!A730</x:f>
        <x:v>239852081</x:v>
      </x:c>
      <x:c r="B730" s="1" t="str">
        <x:f>'Данные'!B730</x:f>
        <x:v>svitshotrukpetl/черный</x:v>
      </x:c>
      <x:c r="C730" s="8" t="n">
        <x:f>'Данные'!G730</x:f>
        <x:v>241902</x:v>
      </x:c>
      <x:c r="D730" s="15" t="n">
        <x:f>C730/SUM($C$5:$C$2477)</x:f>
        <x:v>0.0002825956322961969</x:v>
      </x:c>
      <x:c r="E730" s="15" t="n">
        <x:f>SUM($D$5:D730)</x:f>
        <x:v>0.9128772287117791</x:v>
      </x:c>
      <x:c r="F730" s="1" t="str">
        <x:f>IF(C730&lt;=0,"C",IF(E730-D730&lt;'Дашборд'!$C$49,"A",IF(E730-D730&lt;'Дашборд'!$C$50,"B","C")))</x:f>
        <x:v>B</x:v>
      </x:c>
      <x:c r="G730" s="8" t="n">
        <x:f>'Данные'!F730</x:f>
        <x:v>314</x:v>
      </x:c>
      <x:c r="H730" s="8" t="n">
        <x:f>SUM('Данные'!H730:I730)</x:f>
        <x:v>42</x:v>
      </x:c>
      <x:c r="I730" s="16" t="n">
        <x:f>IF(H730&gt;0,G730/H730,"n.a.")</x:f>
        <x:v>7.476190476190476</x:v>
      </x:c>
      <x:c r="J730" s="10" t="n">
        <x:f>IF('Данные'!E730&gt;0,G730/'Данные'!E730,"n.a.")</x:f>
        <x:v>0.016060559562170732</x:v>
      </x:c>
      <x:c r="K730" s="1" t="str">
        <x:f>IF(G730&gt;='Дашборд'!$C$51,"X","Z")</x:f>
        <x:v>X</x:v>
      </x:c>
      <x:c r="L730" s="1" t="str">
        <x:f>IF(H730=0,IF(G730&gt;0,"Нет остатка","Нет спроса"),IF(I730&gt;='Дашборд'!$C$52,"Быстрый","Медленный"))</x:f>
        <x:v>Быстрый</x:v>
      </x:c>
      <x:c r="M730" s="1" t="str">
        <x:f>IF('Данные'!E730&lt;'Дашборд'!$C$53,"Мало трафика",IF(J730&lt;'Дашборд'!$C$9*'Дашборд'!$C$54,"Да","Нет"))</x:f>
        <x:v>Нет</x:v>
      </x:c>
      <x:c r="N730" s="1" t="str">
        <x:f>IF(AND('Данные'!D730&gt;='Дашборд'!$C$55,D730&lt;'Дашборд'!$C$56,'Данные'!E730&gt;='Дашборд'!$C$53,'Данные'!L730&lt;&gt;"Да"),"Да","Нет")</x:f>
        <x:v>Нет</x:v>
      </x:c>
      <x:c r="O730" s="1" t="str">
        <x:f>'Данные'!L730</x:f>
        <x:v>Нет</x:v>
      </x:c>
    </x:row>
    <x:row r="731">
      <x:c r="A731" s="1" t="str">
        <x:f>'Данные'!A731</x:f>
        <x:v>145845814</x:v>
      </x:c>
      <x:c r="B731" s="1" t="str">
        <x:f>'Данные'!B731</x:f>
        <x:v>svitshotman/графит</x:v>
      </x:c>
      <x:c r="C731" s="8" t="n">
        <x:f>'Данные'!G731</x:f>
        <x:v>241059</x:v>
      </x:c>
      <x:c r="D731" s="15" t="n">
        <x:f>C731/SUM($C$5:$C$2477)</x:f>
        <x:v>0.00028161081977697136</x:v>
      </x:c>
      <x:c r="E731" s="15" t="n">
        <x:f>SUM($D$5:D731)</x:f>
        <x:v>0.9131588395315561</x:v>
      </x:c>
      <x:c r="F731" s="1" t="str">
        <x:f>IF(C731&lt;=0,"C",IF(E731-D731&lt;'Дашборд'!$C$49,"A",IF(E731-D731&lt;'Дашборд'!$C$50,"B","C")))</x:f>
        <x:v>B</x:v>
      </x:c>
      <x:c r="G731" s="8" t="n">
        <x:f>'Данные'!F731</x:f>
        <x:v>250</x:v>
      </x:c>
      <x:c r="H731" s="8" t="n">
        <x:f>SUM('Данные'!H731:I731)</x:f>
        <x:v>433</x:v>
      </x:c>
      <x:c r="I731" s="16" t="n">
        <x:f>IF(H731&gt;0,G731/H731,"n.a.")</x:f>
        <x:v>0.5773672055427251</x:v>
      </x:c>
      <x:c r="J731" s="10" t="n">
        <x:f>IF('Данные'!E731&gt;0,G731/'Данные'!E731,"n.a.")</x:f>
        <x:v>0.016984849514233305</x:v>
      </x:c>
      <x:c r="K731" s="1" t="str">
        <x:f>IF(G731&gt;='Дашборд'!$C$51,"X","Z")</x:f>
        <x:v>Z</x:v>
      </x:c>
      <x:c r="L731" s="1" t="str">
        <x:f>IF(H731=0,IF(G731&gt;0,"Нет остатка","Нет спроса"),IF(I731&gt;='Дашборд'!$C$52,"Быстрый","Медленный"))</x:f>
        <x:v>Медленный</x:v>
      </x:c>
      <x:c r="M731" s="1" t="str">
        <x:f>IF('Данные'!E731&lt;'Дашборд'!$C$53,"Мало трафика",IF(J731&lt;'Дашборд'!$C$9*'Дашборд'!$C$54,"Да","Нет"))</x:f>
        <x:v>Нет</x:v>
      </x:c>
      <x:c r="N731" s="1" t="str">
        <x:f>IF(AND('Данные'!D731&gt;='Дашборд'!$C$55,D731&lt;'Дашборд'!$C$56,'Данные'!E731&gt;='Дашборд'!$C$53,'Данные'!L731&lt;&gt;"Да"),"Да","Нет")</x:f>
        <x:v>Да</x:v>
      </x:c>
      <x:c r="O731" s="1" t="str">
        <x:f>'Данные'!L731</x:f>
        <x:v>Нет</x:v>
      </x:c>
    </x:row>
    <x:row r="732">
      <x:c r="A732" s="1" t="str">
        <x:f>'Данные'!A732</x:f>
        <x:v>344184287</x:v>
      </x:c>
      <x:c r="B732" s="1" t="str">
        <x:f>'Данные'!B732</x:f>
        <x:v>longslim3К-81/бордовый</x:v>
      </x:c>
      <x:c r="C732" s="8" t="n">
        <x:f>'Данные'!G732</x:f>
        <x:v>240935</x:v>
      </x:c>
      <x:c r="D732" s="15" t="n">
        <x:f>C732/SUM($C$5:$C$2477)</x:f>
        <x:v>0.00028146596004697855</x:v>
      </x:c>
      <x:c r="E732" s="15" t="n">
        <x:f>SUM($D$5:D732)</x:f>
        <x:v>0.913440305491603</x:v>
      </x:c>
      <x:c r="F732" s="1" t="str">
        <x:f>IF(C732&lt;=0,"C",IF(E732-D732&lt;'Дашборд'!$C$49,"A",IF(E732-D732&lt;'Дашборд'!$C$50,"B","C")))</x:f>
        <x:v>B</x:v>
      </x:c>
      <x:c r="G732" s="8" t="n">
        <x:f>'Данные'!F732</x:f>
        <x:v>509</x:v>
      </x:c>
      <x:c r="H732" s="8" t="n">
        <x:f>SUM('Данные'!H732:I732)</x:f>
        <x:v>2</x:v>
      </x:c>
      <x:c r="I732" s="16" t="n">
        <x:f>IF(H732&gt;0,G732/H732,"n.a.")</x:f>
        <x:v>254.5</x:v>
      </x:c>
      <x:c r="J732" s="10" t="n">
        <x:f>IF('Данные'!E732&gt;0,G732/'Данные'!E732,"n.a.")</x:f>
        <x:v>0.018798936327374796</x:v>
      </x:c>
      <x:c r="K732" s="1" t="str">
        <x:f>IF(G732&gt;='Дашборд'!$C$51,"X","Z")</x:f>
        <x:v>X</x:v>
      </x:c>
      <x:c r="L732" s="1" t="str">
        <x:f>IF(H732=0,IF(G732&gt;0,"Нет остатка","Нет спроса"),IF(I732&gt;='Дашборд'!$C$52,"Быстрый","Медленный"))</x:f>
        <x:v>Быстрый</x:v>
      </x:c>
      <x:c r="M732" s="1" t="str">
        <x:f>IF('Данные'!E732&lt;'Дашборд'!$C$53,"Мало трафика",IF(J732&lt;'Дашборд'!$C$9*'Дашборд'!$C$54,"Да","Нет"))</x:f>
        <x:v>Нет</x:v>
      </x:c>
      <x:c r="N732" s="1" t="str">
        <x:f>IF(AND('Данные'!D732&gt;='Дашборд'!$C$55,D732&lt;'Дашборд'!$C$56,'Данные'!E732&gt;='Дашборд'!$C$53,'Данные'!L732&lt;&gt;"Да"),"Да","Нет")</x:f>
        <x:v>Нет</x:v>
      </x:c>
      <x:c r="O732" s="1" t="str">
        <x:f>'Данные'!L732</x:f>
        <x:v>Нет</x:v>
      </x:c>
    </x:row>
    <x:row r="733">
      <x:c r="A733" s="1" t="str">
        <x:f>'Данные'!A733</x:f>
        <x:v>344396796</x:v>
      </x:c>
      <x:c r="B733" s="1" t="str">
        <x:f>'Данные'!B733</x:f>
        <x:v>malyshkabasic/черный</x:v>
      </x:c>
      <x:c r="C733" s="8" t="n">
        <x:f>'Данные'!G733</x:f>
        <x:v>240307</x:v>
      </x:c>
      <x:c r="D733" s="15" t="n">
        <x:f>C733/SUM($C$5:$C$2477)</x:f>
        <x:v>0.0002807323156079825</x:v>
      </x:c>
      <x:c r="E733" s="15" t="n">
        <x:f>SUM($D$5:D733)</x:f>
        <x:v>0.913721037807211</x:v>
      </x:c>
      <x:c r="F733" s="1" t="str">
        <x:f>IF(C733&lt;=0,"C",IF(E733-D733&lt;'Дашборд'!$C$49,"A",IF(E733-D733&lt;'Дашборд'!$C$50,"B","C")))</x:f>
        <x:v>B</x:v>
      </x:c>
      <x:c r="G733" s="8" t="n">
        <x:f>'Данные'!F733</x:f>
        <x:v>928</x:v>
      </x:c>
      <x:c r="H733" s="8" t="n">
        <x:f>SUM('Данные'!H733:I733)</x:f>
        <x:v>407</x:v>
      </x:c>
      <x:c r="I733" s="16" t="n">
        <x:f>IF(H733&gt;0,G733/H733,"n.a.")</x:f>
        <x:v>2.2800982800982803</x:v>
      </x:c>
      <x:c r="J733" s="10" t="n">
        <x:f>IF('Данные'!E733&gt;0,G733/'Данные'!E733,"n.a.")</x:f>
        <x:v>0.01449524374814514</x:v>
      </x:c>
      <x:c r="K733" s="1" t="str">
        <x:f>IF(G733&gt;='Дашборд'!$C$51,"X","Z")</x:f>
        <x:v>X</x:v>
      </x:c>
      <x:c r="L733" s="1" t="str">
        <x:f>IF(H733=0,IF(G733&gt;0,"Нет остатка","Нет спроса"),IF(I733&gt;='Дашборд'!$C$52,"Быстрый","Медленный"))</x:f>
        <x:v>Быстрый</x:v>
      </x:c>
      <x:c r="M733" s="1" t="str">
        <x:f>IF('Данные'!E733&lt;'Дашборд'!$C$53,"Мало трафика",IF(J733&lt;'Дашборд'!$C$9*'Дашборд'!$C$54,"Да","Нет"))</x:f>
        <x:v>Нет</x:v>
      </x:c>
      <x:c r="N733" s="1" t="str">
        <x:f>IF(AND('Данные'!D733&gt;='Дашборд'!$C$55,D733&lt;'Дашборд'!$C$56,'Данные'!E733&gt;='Дашборд'!$C$53,'Данные'!L733&lt;&gt;"Да"),"Да","Нет")</x:f>
        <x:v>Нет</x:v>
      </x:c>
      <x:c r="O733" s="1" t="str">
        <x:f>'Данные'!L733</x:f>
        <x:v>Нет</x:v>
      </x:c>
    </x:row>
    <x:row r="734">
      <x:c r="A734" s="1" t="str">
        <x:f>'Данные'!A734</x:f>
        <x:v>246369375</x:v>
      </x:c>
      <x:c r="B734" s="1" t="str">
        <x:f>'Данные'!B734</x:f>
        <x:v>tolstovkazip/вареныйсерый</x:v>
      </x:c>
      <x:c r="C734" s="8" t="n">
        <x:f>'Данные'!G734</x:f>
        <x:v>239434</x:v>
      </x:c>
      <x:c r="D734" s="15" t="n">
        <x:f>C734/SUM($C$5:$C$2477)</x:f>
        <x:v>0.00027971245637988776</x:v>
      </x:c>
      <x:c r="E734" s="15" t="n">
        <x:f>SUM($D$5:D734)</x:f>
        <x:v>0.914000750263591</x:v>
      </x:c>
      <x:c r="F734" s="1" t="str">
        <x:f>IF(C734&lt;=0,"C",IF(E734-D734&lt;'Дашборд'!$C$49,"A",IF(E734-D734&lt;'Дашборд'!$C$50,"B","C")))</x:f>
        <x:v>B</x:v>
      </x:c>
      <x:c r="G734" s="8" t="n">
        <x:f>'Данные'!F734</x:f>
        <x:v>162</x:v>
      </x:c>
      <x:c r="H734" s="8" t="n">
        <x:f>SUM('Данные'!H734:I734)</x:f>
        <x:v>2</x:v>
      </x:c>
      <x:c r="I734" s="16" t="n">
        <x:f>IF(H734&gt;0,G734/H734,"n.a.")</x:f>
        <x:v>81</x:v>
      </x:c>
      <x:c r="J734" s="10" t="n">
        <x:f>IF('Данные'!E734&gt;0,G734/'Данные'!E734,"n.a.")</x:f>
        <x:v>0.00520431765612953</x:v>
      </x:c>
      <x:c r="K734" s="1" t="str">
        <x:f>IF(G734&gt;='Дашборд'!$C$51,"X","Z")</x:f>
        <x:v>Z</x:v>
      </x:c>
      <x:c r="L734" s="1" t="str">
        <x:f>IF(H734=0,IF(G734&gt;0,"Нет остатка","Нет спроса"),IF(I734&gt;='Дашборд'!$C$52,"Быстрый","Медленный"))</x:f>
        <x:v>Быстрый</x:v>
      </x:c>
      <x:c r="M734" s="1" t="str">
        <x:f>IF('Данные'!E734&lt;'Дашборд'!$C$53,"Мало трафика",IF(J734&lt;'Дашборд'!$C$9*'Дашборд'!$C$54,"Да","Нет"))</x:f>
        <x:v>Да</x:v>
      </x:c>
      <x:c r="N734" s="1" t="str">
        <x:f>IF(AND('Данные'!D734&gt;='Дашборд'!$C$55,D734&lt;'Дашборд'!$C$56,'Данные'!E734&gt;='Дашборд'!$C$53,'Данные'!L734&lt;&gt;"Да"),"Да","Нет")</x:f>
        <x:v>Да</x:v>
      </x:c>
      <x:c r="O734" s="1" t="str">
        <x:f>'Данные'!L734</x:f>
        <x:v>Нет</x:v>
      </x:c>
    </x:row>
    <x:row r="735">
      <x:c r="A735" s="1" t="str">
        <x:f>'Данные'!A735</x:f>
        <x:v>296186655</x:v>
      </x:c>
      <x:c r="B735" s="1" t="str">
        <x:f>'Данные'!B735</x:f>
        <x:v>shtanyman4P-79/темно-синий</x:v>
      </x:c>
      <x:c r="C735" s="8" t="n">
        <x:f>'Данные'!G735</x:f>
        <x:v>239281</x:v>
      </x:c>
      <x:c r="D735" s="15" t="n">
        <x:f>C735/SUM($C$5:$C$2477)</x:f>
        <x:v>0.00027953371816465464</x:v>
      </x:c>
      <x:c r="E735" s="15" t="n">
        <x:f>SUM($D$5:D735)</x:f>
        <x:v>0.9142802839817556</x:v>
      </x:c>
      <x:c r="F735" s="1" t="str">
        <x:f>IF(C735&lt;=0,"C",IF(E735-D735&lt;'Дашборд'!$C$49,"A",IF(E735-D735&lt;'Дашборд'!$C$50,"B","C")))</x:f>
        <x:v>B</x:v>
      </x:c>
      <x:c r="G735" s="8" t="n">
        <x:f>'Данные'!F735</x:f>
        <x:v>453</x:v>
      </x:c>
      <x:c r="H735" s="8" t="n">
        <x:f>SUM('Данные'!H735:I735)</x:f>
        <x:v>232</x:v>
      </x:c>
      <x:c r="I735" s="16" t="n">
        <x:f>IF(H735&gt;0,G735/H735,"n.a.")</x:f>
        <x:v>1.9525862068965518</x:v>
      </x:c>
      <x:c r="J735" s="10" t="n">
        <x:f>IF('Данные'!E735&gt;0,G735/'Данные'!E735,"n.a.")</x:f>
        <x:v>0.022385847005337023</x:v>
      </x:c>
      <x:c r="K735" s="1" t="str">
        <x:f>IF(G735&gt;='Дашборд'!$C$51,"X","Z")</x:f>
        <x:v>X</x:v>
      </x:c>
      <x:c r="L735" s="1" t="str">
        <x:f>IF(H735=0,IF(G735&gt;0,"Нет остатка","Нет спроса"),IF(I735&gt;='Дашборд'!$C$52,"Быстрый","Медленный"))</x:f>
        <x:v>Быстрый</x:v>
      </x:c>
      <x:c r="M735" s="1" t="str">
        <x:f>IF('Данные'!E735&lt;'Дашборд'!$C$53,"Мало трафика",IF(J735&lt;'Дашборд'!$C$9*'Дашборд'!$C$54,"Да","Нет"))</x:f>
        <x:v>Нет</x:v>
      </x:c>
      <x:c r="N735" s="1" t="str">
        <x:f>IF(AND('Данные'!D735&gt;='Дашборд'!$C$55,D735&lt;'Дашборд'!$C$56,'Данные'!E735&gt;='Дашборд'!$C$53,'Данные'!L735&lt;&gt;"Да"),"Да","Нет")</x:f>
        <x:v>Нет</x:v>
      </x:c>
      <x:c r="O735" s="1" t="str">
        <x:f>'Данные'!L735</x:f>
        <x:v>Нет</x:v>
      </x:c>
    </x:row>
    <x:row r="736">
      <x:c r="A736" s="1" t="str">
        <x:f>'Данные'!A736</x:f>
        <x:v>193100151</x:v>
      </x:c>
      <x:c r="B736" s="1" t="str">
        <x:f>'Данные'!B736</x:f>
        <x:v>svitshotzip1/молочный</x:v>
      </x:c>
      <x:c r="C736" s="8" t="n">
        <x:f>'Данные'!G736</x:f>
        <x:v>238932</x:v>
      </x:c>
      <x:c r="D736" s="15" t="n">
        <x:f>C736/SUM($C$5:$C$2477)</x:f>
        <x:v>0.00027912600811814253</x:v>
      </x:c>
      <x:c r="E736" s="15" t="n">
        <x:f>SUM($D$5:D736)</x:f>
        <x:v>0.9145594099898738</x:v>
      </x:c>
      <x:c r="F736" s="1" t="str">
        <x:f>IF(C736&lt;=0,"C",IF(E736-D736&lt;'Дашборд'!$C$49,"A",IF(E736-D736&lt;'Дашборд'!$C$50,"B","C")))</x:f>
        <x:v>B</x:v>
      </x:c>
      <x:c r="G736" s="8" t="n">
        <x:f>'Данные'!F736</x:f>
        <x:v>394</x:v>
      </x:c>
      <x:c r="H736" s="8" t="n">
        <x:f>SUM('Данные'!H736:I736)</x:f>
        <x:v>67</x:v>
      </x:c>
      <x:c r="I736" s="16" t="n">
        <x:f>IF(H736&gt;0,G736/H736,"n.a.")</x:f>
        <x:v>5.880597014925373</x:v>
      </x:c>
      <x:c r="J736" s="10" t="n">
        <x:f>IF('Данные'!E736&gt;0,G736/'Данные'!E736,"n.a.")</x:f>
        <x:v>0.020264362495499667</x:v>
      </x:c>
      <x:c r="K736" s="1" t="str">
        <x:f>IF(G736&gt;='Дашборд'!$C$51,"X","Z")</x:f>
        <x:v>X</x:v>
      </x:c>
      <x:c r="L736" s="1" t="str">
        <x:f>IF(H736=0,IF(G736&gt;0,"Нет остатка","Нет спроса"),IF(I736&gt;='Дашборд'!$C$52,"Быстрый","Медленный"))</x:f>
        <x:v>Быстрый</x:v>
      </x:c>
      <x:c r="M736" s="1" t="str">
        <x:f>IF('Данные'!E736&lt;'Дашборд'!$C$53,"Мало трафика",IF(J736&lt;'Дашборд'!$C$9*'Дашборд'!$C$54,"Да","Нет"))</x:f>
        <x:v>Нет</x:v>
      </x:c>
      <x:c r="N736" s="1" t="str">
        <x:f>IF(AND('Данные'!D736&gt;='Дашборд'!$C$55,D736&lt;'Дашборд'!$C$56,'Данные'!E736&gt;='Дашборд'!$C$53,'Данные'!L736&lt;&gt;"Да"),"Да","Нет")</x:f>
        <x:v>Да</x:v>
      </x:c>
      <x:c r="O736" s="1" t="str">
        <x:f>'Данные'!L736</x:f>
        <x:v>Нет</x:v>
      </x:c>
    </x:row>
    <x:row r="737">
      <x:c r="A737" s="1" t="str">
        <x:f>'Данные'!A737</x:f>
        <x:v>306156816</x:v>
      </x:c>
      <x:c r="B737" s="1" t="str">
        <x:f>'Данные'!B737</x:f>
        <x:v>svitman4F-S-7/молочный</x:v>
      </x:c>
      <x:c r="C737" s="8" t="n">
        <x:f>'Данные'!G737</x:f>
        <x:v>238536</x:v>
      </x:c>
      <x:c r="D737" s="15" t="n">
        <x:f>C737/SUM($C$5:$C$2477)</x:f>
        <x:v>0.00027866339156106863</x:v>
      </x:c>
      <x:c r="E737" s="15" t="n">
        <x:f>SUM($D$5:D737)</x:f>
        <x:v>0.9148380733814349</x:v>
      </x:c>
      <x:c r="F737" s="1" t="str">
        <x:f>IF(C737&lt;=0,"C",IF(E737-D737&lt;'Дашборд'!$C$49,"A",IF(E737-D737&lt;'Дашборд'!$C$50,"B","C")))</x:f>
        <x:v>B</x:v>
      </x:c>
      <x:c r="G737" s="8" t="n">
        <x:f>'Данные'!F737</x:f>
        <x:v>355</x:v>
      </x:c>
      <x:c r="H737" s="8" t="n">
        <x:f>SUM('Данные'!H737:I737)</x:f>
        <x:v>144</x:v>
      </x:c>
      <x:c r="I737" s="16" t="n">
        <x:f>IF(H737&gt;0,G737/H737,"n.a.")</x:f>
        <x:v>2.4652777777777777</x:v>
      </x:c>
      <x:c r="J737" s="10" t="n">
        <x:f>IF('Данные'!E737&gt;0,G737/'Данные'!E737,"n.a.")</x:f>
        <x:v>0.016876634181126695</x:v>
      </x:c>
      <x:c r="K737" s="1" t="str">
        <x:f>IF(G737&gt;='Дашборд'!$C$51,"X","Z")</x:f>
        <x:v>X</x:v>
      </x:c>
      <x:c r="L737" s="1" t="str">
        <x:f>IF(H737=0,IF(G737&gt;0,"Нет остатка","Нет спроса"),IF(I737&gt;='Дашборд'!$C$52,"Быстрый","Медленный"))</x:f>
        <x:v>Быстрый</x:v>
      </x:c>
      <x:c r="M737" s="1" t="str">
        <x:f>IF('Данные'!E737&lt;'Дашборд'!$C$53,"Мало трафика",IF(J737&lt;'Дашборд'!$C$9*'Дашборд'!$C$54,"Да","Нет"))</x:f>
        <x:v>Нет</x:v>
      </x:c>
      <x:c r="N737" s="1" t="str">
        <x:f>IF(AND('Данные'!D737&gt;='Дашборд'!$C$55,D737&lt;'Дашборд'!$C$56,'Данные'!E737&gt;='Дашборд'!$C$53,'Данные'!L737&lt;&gt;"Да"),"Да","Нет")</x:f>
        <x:v>Нет</x:v>
      </x:c>
      <x:c r="O737" s="1" t="str">
        <x:f>'Данные'!L737</x:f>
        <x:v>Нет</x:v>
      </x:c>
    </x:row>
    <x:row r="738">
      <x:c r="A738" s="1" t="str">
        <x:f>'Данные'!A738</x:f>
        <x:v>322137307</x:v>
      </x:c>
      <x:c r="B738" s="1" t="str">
        <x:f>'Данные'!B738</x:f>
        <x:v>longpolo3K-90/черный</x:v>
      </x:c>
      <x:c r="C738" s="8" t="n">
        <x:f>'Данные'!G738</x:f>
        <x:v>238140</x:v>
      </x:c>
      <x:c r="D738" s="15" t="n">
        <x:f>C738/SUM($C$5:$C$2477)</x:f>
        <x:v>0.0002782007750039947</x:v>
      </x:c>
      <x:c r="E738" s="15" t="n">
        <x:f>SUM($D$5:D738)</x:f>
        <x:v>0.9151162741564388</x:v>
      </x:c>
      <x:c r="F738" s="1" t="str">
        <x:f>IF(C738&lt;=0,"C",IF(E738-D738&lt;'Дашборд'!$C$49,"A",IF(E738-D738&lt;'Дашборд'!$C$50,"B","C")))</x:f>
        <x:v>B</x:v>
      </x:c>
      <x:c r="G738" s="8" t="n">
        <x:f>'Данные'!F738</x:f>
        <x:v>451</x:v>
      </x:c>
      <x:c r="H738" s="8" t="n">
        <x:f>SUM('Данные'!H738:I738)</x:f>
        <x:v>632</x:v>
      </x:c>
      <x:c r="I738" s="16" t="n">
        <x:f>IF(H738&gt;0,G738/H738,"n.a.")</x:f>
        <x:v>0.7136075949367089</x:v>
      </x:c>
      <x:c r="J738" s="10" t="n">
        <x:f>IF('Данные'!E738&gt;0,G738/'Данные'!E738,"n.a.")</x:f>
        <x:v>0.009602691308606226</x:v>
      </x:c>
      <x:c r="K738" s="1" t="str">
        <x:f>IF(G738&gt;='Дашборд'!$C$51,"X","Z")</x:f>
        <x:v>X</x:v>
      </x:c>
      <x:c r="L738" s="1" t="str">
        <x:f>IF(H738=0,IF(G738&gt;0,"Нет остатка","Нет спроса"),IF(I738&gt;='Дашборд'!$C$52,"Быстрый","Медленный"))</x:f>
        <x:v>Медленный</x:v>
      </x:c>
      <x:c r="M738" s="1" t="str">
        <x:f>IF('Данные'!E738&lt;'Дашборд'!$C$53,"Мало трафика",IF(J738&lt;'Дашборд'!$C$9*'Дашборд'!$C$54,"Да","Нет"))</x:f>
        <x:v>Да</x:v>
      </x:c>
      <x:c r="N738" s="1" t="str">
        <x:f>IF(AND('Данные'!D738&gt;='Дашборд'!$C$55,D738&lt;'Дашборд'!$C$56,'Данные'!E738&gt;='Дашборд'!$C$53,'Данные'!L738&lt;&gt;"Да"),"Да","Нет")</x:f>
        <x:v>Нет</x:v>
      </x:c>
      <x:c r="O738" s="1" t="str">
        <x:f>'Данные'!L738</x:f>
        <x:v>Нет</x:v>
      </x:c>
    </x:row>
    <x:row r="739">
      <x:c r="A739" s="1" t="str">
        <x:f>'Данные'!A739</x:f>
        <x:v>175116970</x:v>
      </x:c>
      <x:c r="B739" s="1" t="str">
        <x:f>'Данные'!B739</x:f>
        <x:v>reglanman/молочный</x:v>
      </x:c>
      <x:c r="C739" s="8" t="n">
        <x:f>'Данные'!G739</x:f>
        <x:v>238046</x:v>
      </x:c>
      <x:c r="D739" s="15" t="n">
        <x:f>C739/SUM($C$5:$C$2477)</x:f>
        <x:v>0.0002780909619828711</x:v>
      </x:c>
      <x:c r="E739" s="15" t="n">
        <x:f>SUM($D$5:D739)</x:f>
        <x:v>0.9153943651184216</x:v>
      </x:c>
      <x:c r="F739" s="1" t="str">
        <x:f>IF(C739&lt;=0,"C",IF(E739-D739&lt;'Дашборд'!$C$49,"A",IF(E739-D739&lt;'Дашборд'!$C$50,"B","C")))</x:f>
        <x:v>B</x:v>
      </x:c>
      <x:c r="G739" s="8" t="n">
        <x:f>'Данные'!F739</x:f>
        <x:v>536</x:v>
      </x:c>
      <x:c r="H739" s="8" t="n">
        <x:f>SUM('Данные'!H739:I739)</x:f>
        <x:v>2083</x:v>
      </x:c>
      <x:c r="I739" s="16" t="n">
        <x:f>IF(H739&gt;0,G739/H739,"n.a.")</x:f>
        <x:v>0.257321171387422</x:v>
      </x:c>
      <x:c r="J739" s="10" t="n">
        <x:f>IF('Данные'!E739&gt;0,G739/'Данные'!E739,"n.a.")</x:f>
        <x:v>0.028244717289350265</x:v>
      </x:c>
      <x:c r="K739" s="1" t="str">
        <x:f>IF(G739&gt;='Дашборд'!$C$51,"X","Z")</x:f>
        <x:v>X</x:v>
      </x:c>
      <x:c r="L739" s="1" t="str">
        <x:f>IF(H739=0,IF(G739&gt;0,"Нет остатка","Нет спроса"),IF(I739&gt;='Дашборд'!$C$52,"Быстрый","Медленный"))</x:f>
        <x:v>Медленный</x:v>
      </x:c>
      <x:c r="M739" s="1" t="str">
        <x:f>IF('Данные'!E739&lt;'Дашборд'!$C$53,"Мало трафика",IF(J739&lt;'Дашборд'!$C$9*'Дашборд'!$C$54,"Да","Нет"))</x:f>
        <x:v>Нет</x:v>
      </x:c>
      <x:c r="N739" s="1" t="str">
        <x:f>IF(AND('Данные'!D739&gt;='Дашборд'!$C$55,D739&lt;'Дашборд'!$C$56,'Данные'!E739&gt;='Дашборд'!$C$53,'Данные'!L739&lt;&gt;"Да"),"Да","Нет")</x:f>
        <x:v>Нет</x:v>
      </x:c>
      <x:c r="O739" s="1" t="str">
        <x:f>'Данные'!L739</x:f>
        <x:v>Нет</x:v>
      </x:c>
    </x:row>
    <x:row r="740">
      <x:c r="A740" s="1" t="str">
        <x:f>'Данные'!A740</x:f>
        <x:v>181096362</x:v>
      </x:c>
      <x:c r="B740" s="1" t="str">
        <x:f>'Данные'!B740</x:f>
        <x:v>kostyum/темно-серый</x:v>
      </x:c>
      <x:c r="C740" s="8" t="n">
        <x:f>'Данные'!G740</x:f>
        <x:v>237948</x:v>
      </x:c>
      <x:c r="D740" s="15" t="n">
        <x:f>C740/SUM($C$5:$C$2477)</x:f>
        <x:v>0.0002779764760672316</x:v>
      </x:c>
      <x:c r="E740" s="15" t="n">
        <x:f>SUM($D$5:D740)</x:f>
        <x:v>0.9156723415944888</x:v>
      </x:c>
      <x:c r="F740" s="1" t="str">
        <x:f>IF(C740&lt;=0,"C",IF(E740-D740&lt;'Дашборд'!$C$49,"A",IF(E740-D740&lt;'Дашборд'!$C$50,"B","C")))</x:f>
        <x:v>B</x:v>
      </x:c>
      <x:c r="G740" s="8" t="n">
        <x:f>'Данные'!F740</x:f>
        <x:v>157</x:v>
      </x:c>
      <x:c r="H740" s="8" t="n">
        <x:f>SUM('Данные'!H740:I740)</x:f>
        <x:v>255</x:v>
      </x:c>
      <x:c r="I740" s="16" t="n">
        <x:f>IF(H740&gt;0,G740/H740,"n.a.")</x:f>
        <x:v>0.615686274509804</x:v>
      </x:c>
      <x:c r="J740" s="10" t="n">
        <x:f>IF('Данные'!E740&gt;0,G740/'Данные'!E740,"n.a.")</x:f>
        <x:v>0.003932373199749531</x:v>
      </x:c>
      <x:c r="K740" s="1" t="str">
        <x:f>IF(G740&gt;='Дашборд'!$C$51,"X","Z")</x:f>
        <x:v>Z</x:v>
      </x:c>
      <x:c r="L740" s="1" t="str">
        <x:f>IF(H740=0,IF(G740&gt;0,"Нет остатка","Нет спроса"),IF(I740&gt;='Дашборд'!$C$52,"Быстрый","Медленный"))</x:f>
        <x:v>Медленный</x:v>
      </x:c>
      <x:c r="M740" s="1" t="str">
        <x:f>IF('Данные'!E740&lt;'Дашборд'!$C$53,"Мало трафика",IF(J740&lt;'Дашборд'!$C$9*'Дашборд'!$C$54,"Да","Нет"))</x:f>
        <x:v>Да</x:v>
      </x:c>
      <x:c r="N740" s="1" t="str">
        <x:f>IF(AND('Данные'!D740&gt;='Дашборд'!$C$55,D740&lt;'Дашборд'!$C$56,'Данные'!E740&gt;='Дашборд'!$C$53,'Данные'!L740&lt;&gt;"Да"),"Да","Нет")</x:f>
        <x:v>Нет</x:v>
      </x:c>
      <x:c r="O740" s="1" t="str">
        <x:f>'Данные'!L740</x:f>
        <x:v>Нет</x:v>
      </x:c>
    </x:row>
    <x:row r="741">
      <x:c r="A741" s="1" t="str">
        <x:f>'Данные'!A741</x:f>
        <x:v>145845806</x:v>
      </x:c>
      <x:c r="B741" s="1" t="str">
        <x:f>'Данные'!B741</x:f>
        <x:v>svitshotman/бордовый</x:v>
      </x:c>
      <x:c r="C741" s="8" t="n">
        <x:f>'Данные'!G741</x:f>
        <x:v>237675</x:v>
      </x:c>
      <x:c r="D741" s="15" t="n">
        <x:f>C741/SUM($C$5:$C$2477)</x:f>
        <x:v>0.00027765755101652153</x:v>
      </x:c>
      <x:c r="E741" s="15" t="n">
        <x:f>SUM($D$5:D741)</x:f>
        <x:v>0.9159499991455053</x:v>
      </x:c>
      <x:c r="F741" s="1" t="str">
        <x:f>IF(C741&lt;=0,"C",IF(E741-D741&lt;'Дашборд'!$C$49,"A",IF(E741-D741&lt;'Дашборд'!$C$50,"B","C")))</x:f>
        <x:v>B</x:v>
      </x:c>
      <x:c r="G741" s="8" t="n">
        <x:f>'Данные'!F741</x:f>
        <x:v>263</x:v>
      </x:c>
      <x:c r="H741" s="8" t="n">
        <x:f>SUM('Данные'!H741:I741)</x:f>
        <x:v>202</x:v>
      </x:c>
      <x:c r="I741" s="16" t="n">
        <x:f>IF(H741&gt;0,G741/H741,"n.a.")</x:f>
        <x:v>1.301980198019802</x:v>
      </x:c>
      <x:c r="J741" s="10" t="n">
        <x:f>IF('Данные'!E741&gt;0,G741/'Данные'!E741,"n.a.")</x:f>
        <x:v>0.02349892780557541</x:v>
      </x:c>
      <x:c r="K741" s="1" t="str">
        <x:f>IF(G741&gt;='Дашборд'!$C$51,"X","Z")</x:f>
        <x:v>Z</x:v>
      </x:c>
      <x:c r="L741" s="1" t="str">
        <x:f>IF(H741=0,IF(G741&gt;0,"Нет остатка","Нет спроса"),IF(I741&gt;='Дашборд'!$C$52,"Быстрый","Медленный"))</x:f>
        <x:v>Быстрый</x:v>
      </x:c>
      <x:c r="M741" s="1" t="str">
        <x:f>IF('Данные'!E741&lt;'Дашборд'!$C$53,"Мало трафика",IF(J741&lt;'Дашборд'!$C$9*'Дашборд'!$C$54,"Да","Нет"))</x:f>
        <x:v>Нет</x:v>
      </x:c>
      <x:c r="N741" s="1" t="str">
        <x:f>IF(AND('Данные'!D741&gt;='Дашборд'!$C$55,D741&lt;'Дашборд'!$C$56,'Данные'!E741&gt;='Дашборд'!$C$53,'Данные'!L741&lt;&gt;"Да"),"Да","Нет")</x:f>
        <x:v>Да</x:v>
      </x:c>
      <x:c r="O741" s="1" t="str">
        <x:f>'Данные'!L741</x:f>
        <x:v>Нет</x:v>
      </x:c>
    </x:row>
    <x:row r="742">
      <x:c r="A742" s="1" t="str">
        <x:f>'Данные'!A742</x:f>
        <x:v>245583523</x:v>
      </x:c>
      <x:c r="B742" s="1" t="str">
        <x:f>'Данные'!B742</x:f>
        <x:v>hudiprint/SaintLouis-76/молочный</x:v>
      </x:c>
      <x:c r="C742" s="8" t="n">
        <x:f>'Данные'!G742</x:f>
        <x:v>237272</x:v>
      </x:c>
      <x:c r="D742" s="15" t="n">
        <x:f>C742/SUM($C$5:$C$2477)</x:f>
        <x:v>0.0002771867568940448</x:v>
      </x:c>
      <x:c r="E742" s="15" t="n">
        <x:f>SUM($D$5:D742)</x:f>
        <x:v>0.9162271859023994</x:v>
      </x:c>
      <x:c r="F742" s="1" t="str">
        <x:f>IF(C742&lt;=0,"C",IF(E742-D742&lt;'Дашборд'!$C$49,"A",IF(E742-D742&lt;'Дашборд'!$C$50,"B","C")))</x:f>
        <x:v>B</x:v>
      </x:c>
      <x:c r="G742" s="8" t="n">
        <x:f>'Данные'!F742</x:f>
        <x:v>218</x:v>
      </x:c>
      <x:c r="H742" s="8" t="n">
        <x:f>SUM('Данные'!H742:I742)</x:f>
        <x:v>530</x:v>
      </x:c>
      <x:c r="I742" s="16" t="n">
        <x:f>IF(H742&gt;0,G742/H742,"n.a.")</x:f>
        <x:v>0.41132075471698115</x:v>
      </x:c>
      <x:c r="J742" s="10" t="n">
        <x:f>IF('Данные'!E742&gt;0,G742/'Данные'!E742,"n.a.")</x:f>
        <x:v>0.010018842777701181</x:v>
      </x:c>
      <x:c r="K742" s="1" t="str">
        <x:f>IF(G742&gt;='Дашборд'!$C$51,"X","Z")</x:f>
        <x:v>Z</x:v>
      </x:c>
      <x:c r="L742" s="1" t="str">
        <x:f>IF(H742=0,IF(G742&gt;0,"Нет остатка","Нет спроса"),IF(I742&gt;='Дашборд'!$C$52,"Быстрый","Медленный"))</x:f>
        <x:v>Медленный</x:v>
      </x:c>
      <x:c r="M742" s="1" t="str">
        <x:f>IF('Данные'!E742&lt;'Дашборд'!$C$53,"Мало трафика",IF(J742&lt;'Дашборд'!$C$9*'Дашборд'!$C$54,"Да","Нет"))</x:f>
        <x:v>Да</x:v>
      </x:c>
      <x:c r="N742" s="1" t="str">
        <x:f>IF(AND('Данные'!D742&gt;='Дашборд'!$C$55,D742&lt;'Дашборд'!$C$56,'Данные'!E742&gt;='Дашборд'!$C$53,'Данные'!L742&lt;&gt;"Да"),"Да","Нет")</x:f>
        <x:v>Да</x:v>
      </x:c>
      <x:c r="O742" s="1" t="str">
        <x:f>'Данные'!L742</x:f>
        <x:v>Нет</x:v>
      </x:c>
    </x:row>
    <x:row r="743">
      <x:c r="A743" s="1" t="str">
        <x:f>'Данные'!A743</x:f>
        <x:v>240808495</x:v>
      </x:c>
      <x:c r="B743" s="1" t="str">
        <x:f>'Данные'!B743</x:f>
        <x:v>hudiboy/морскаяволна</x:v>
      </x:c>
      <x:c r="C743" s="8" t="n">
        <x:f>'Данные'!G743</x:f>
        <x:v>235393</x:v>
      </x:c>
      <x:c r="D743" s="15" t="n">
        <x:f>C743/SUM($C$5:$C$2477)</x:f>
        <x:v>0.0002749916646952017</x:v>
      </x:c>
      <x:c r="E743" s="15" t="n">
        <x:f>SUM($D$5:D743)</x:f>
        <x:v>0.9165021775670946</x:v>
      </x:c>
      <x:c r="F743" s="1" t="str">
        <x:f>IF(C743&lt;=0,"C",IF(E743-D743&lt;'Дашборд'!$C$49,"A",IF(E743-D743&lt;'Дашборд'!$C$50,"B","C")))</x:f>
        <x:v>B</x:v>
      </x:c>
      <x:c r="G743" s="8" t="n">
        <x:f>'Данные'!F743</x:f>
        <x:v>298</x:v>
      </x:c>
      <x:c r="H743" s="8" t="n">
        <x:f>SUM('Данные'!H743:I743)</x:f>
        <x:v>176</x:v>
      </x:c>
      <x:c r="I743" s="16" t="n">
        <x:f>IF(H743&gt;0,G743/H743,"n.a.")</x:f>
        <x:v>1.6931818181818181</x:v>
      </x:c>
      <x:c r="J743" s="10" t="n">
        <x:f>IF('Данные'!E743&gt;0,G743/'Данные'!E743,"n.a.")</x:f>
        <x:v>0.01640607795639727</x:v>
      </x:c>
      <x:c r="K743" s="1" t="str">
        <x:f>IF(G743&gt;='Дашборд'!$C$51,"X","Z")</x:f>
        <x:v>X</x:v>
      </x:c>
      <x:c r="L743" s="1" t="str">
        <x:f>IF(H743=0,IF(G743&gt;0,"Нет остатка","Нет спроса"),IF(I743&gt;='Дашборд'!$C$52,"Быстрый","Медленный"))</x:f>
        <x:v>Быстрый</x:v>
      </x:c>
      <x:c r="M743" s="1" t="str">
        <x:f>IF('Данные'!E743&lt;'Дашборд'!$C$53,"Мало трафика",IF(J743&lt;'Дашборд'!$C$9*'Дашборд'!$C$54,"Да","Нет"))</x:f>
        <x:v>Нет</x:v>
      </x:c>
      <x:c r="N743" s="1" t="str">
        <x:f>IF(AND('Данные'!D743&gt;='Дашборд'!$C$55,D743&lt;'Дашборд'!$C$56,'Данные'!E743&gt;='Дашборд'!$C$53,'Данные'!L743&lt;&gt;"Да"),"Да","Нет")</x:f>
        <x:v>Нет</x:v>
      </x:c>
      <x:c r="O743" s="1" t="str">
        <x:f>'Данные'!L743</x:f>
        <x:v>Нет</x:v>
      </x:c>
    </x:row>
    <x:row r="744">
      <x:c r="A744" s="1" t="str">
        <x:f>'Данные'!A744</x:f>
        <x:v>224897063</x:v>
      </x:c>
      <x:c r="B744" s="1" t="str">
        <x:f>'Данные'!B744</x:f>
        <x:v>kroptop/персиковый</x:v>
      </x:c>
      <x:c r="C744" s="8" t="n">
        <x:f>'Данные'!G744</x:f>
        <x:v>234394</x:v>
      </x:c>
      <x:c r="D744" s="15" t="n">
        <x:f>C744/SUM($C$5:$C$2477)</x:f>
        <x:v>0.00027382460928985613</x:v>
      </x:c>
      <x:c r="E744" s="15" t="n">
        <x:f>SUM($D$5:D744)</x:f>
        <x:v>0.9167760021763844</x:v>
      </x:c>
      <x:c r="F744" s="1" t="str">
        <x:f>IF(C744&lt;=0,"C",IF(E744-D744&lt;'Дашборд'!$C$49,"A",IF(E744-D744&lt;'Дашборд'!$C$50,"B","C")))</x:f>
        <x:v>B</x:v>
      </x:c>
      <x:c r="G744" s="8" t="n">
        <x:f>'Данные'!F744</x:f>
        <x:v>616</x:v>
      </x:c>
      <x:c r="H744" s="8" t="n">
        <x:f>SUM('Данные'!H744:I744)</x:f>
        <x:v>311</x:v>
      </x:c>
      <x:c r="I744" s="16" t="n">
        <x:f>IF(H744&gt;0,G744/H744,"n.a.")</x:f>
        <x:v>1.9807073954983923</x:v>
      </x:c>
      <x:c r="J744" s="10" t="n">
        <x:f>IF('Данные'!E744&gt;0,G744/'Данные'!E744,"n.a.")</x:f>
        <x:v>0.01575447570332481</x:v>
      </x:c>
      <x:c r="K744" s="1" t="str">
        <x:f>IF(G744&gt;='Дашборд'!$C$51,"X","Z")</x:f>
        <x:v>X</x:v>
      </x:c>
      <x:c r="L744" s="1" t="str">
        <x:f>IF(H744=0,IF(G744&gt;0,"Нет остатка","Нет спроса"),IF(I744&gt;='Дашборд'!$C$52,"Быстрый","Медленный"))</x:f>
        <x:v>Быстрый</x:v>
      </x:c>
      <x:c r="M744" s="1" t="str">
        <x:f>IF('Данные'!E744&lt;'Дашборд'!$C$53,"Мало трафика",IF(J744&lt;'Дашборд'!$C$9*'Дашборд'!$C$54,"Да","Нет"))</x:f>
        <x:v>Нет</x:v>
      </x:c>
      <x:c r="N744" s="1" t="str">
        <x:f>IF(AND('Данные'!D744&gt;='Дашборд'!$C$55,D744&lt;'Дашборд'!$C$56,'Данные'!E744&gt;='Дашборд'!$C$53,'Данные'!L744&lt;&gt;"Да"),"Да","Нет")</x:f>
        <x:v>Нет</x:v>
      </x:c>
      <x:c r="O744" s="1" t="str">
        <x:f>'Данные'!L744</x:f>
        <x:v>Нет</x:v>
      </x:c>
    </x:row>
    <x:row r="745">
      <x:c r="A745" s="1" t="str">
        <x:f>'Данные'!A745</x:f>
        <x:v>87046192</x:v>
      </x:c>
      <x:c r="B745" s="1" t="str">
        <x:f>'Данные'!B745</x:f>
        <x:v>kroptop/зеленый</x:v>
      </x:c>
      <x:c r="C745" s="8" t="n">
        <x:f>'Данные'!G745</x:f>
        <x:v>234156</x:v>
      </x:c>
      <x:c r="D745" s="15" t="n">
        <x:f>C745/SUM($C$5:$C$2477)</x:f>
        <x:v>0.0002735465720661602</x:v>
      </x:c>
      <x:c r="E745" s="15" t="n">
        <x:f>SUM($D$5:D745)</x:f>
        <x:v>0.9170495487484506</x:v>
      </x:c>
      <x:c r="F745" s="1" t="str">
        <x:f>IF(C745&lt;=0,"C",IF(E745-D745&lt;'Дашборд'!$C$49,"A",IF(E745-D745&lt;'Дашборд'!$C$50,"B","C")))</x:f>
        <x:v>B</x:v>
      </x:c>
      <x:c r="G745" s="8" t="n">
        <x:f>'Данные'!F745</x:f>
        <x:v>595</x:v>
      </x:c>
      <x:c r="H745" s="8" t="n">
        <x:f>SUM('Данные'!H745:I745)</x:f>
        <x:v>568</x:v>
      </x:c>
      <x:c r="I745" s="16" t="n">
        <x:f>IF(H745&gt;0,G745/H745,"n.a.")</x:f>
        <x:v>1.0475352112676057</x:v>
      </x:c>
      <x:c r="J745" s="10" t="n">
        <x:f>IF('Данные'!E745&gt;0,G745/'Данные'!E745,"n.a.")</x:f>
        <x:v>0.0206791088868036</x:v>
      </x:c>
      <x:c r="K745" s="1" t="str">
        <x:f>IF(G745&gt;='Дашборд'!$C$51,"X","Z")</x:f>
        <x:v>X</x:v>
      </x:c>
      <x:c r="L745" s="1" t="str">
        <x:f>IF(H745=0,IF(G745&gt;0,"Нет остатка","Нет спроса"),IF(I745&gt;='Дашборд'!$C$52,"Быстрый","Медленный"))</x:f>
        <x:v>Быстрый</x:v>
      </x:c>
      <x:c r="M745" s="1" t="str">
        <x:f>IF('Данные'!E745&lt;'Дашборд'!$C$53,"Мало трафика",IF(J745&lt;'Дашборд'!$C$9*'Дашборд'!$C$54,"Да","Нет"))</x:f>
        <x:v>Нет</x:v>
      </x:c>
      <x:c r="N745" s="1" t="str">
        <x:f>IF(AND('Данные'!D745&gt;='Дашборд'!$C$55,D745&lt;'Дашборд'!$C$56,'Данные'!E745&gt;='Дашборд'!$C$53,'Данные'!L745&lt;&gt;"Да"),"Да","Нет")</x:f>
        <x:v>Нет</x:v>
      </x:c>
      <x:c r="O745" s="1" t="str">
        <x:f>'Данные'!L745</x:f>
        <x:v>Нет</x:v>
      </x:c>
    </x:row>
    <x:row r="746">
      <x:c r="A746" s="1" t="str">
        <x:f>'Данные'!A746</x:f>
        <x:v>202779209</x:v>
      </x:c>
      <x:c r="B746" s="1" t="str">
        <x:f>'Данные'!B746</x:f>
        <x:v>hudiprint/Notmood-59/красный</x:v>
      </x:c>
      <x:c r="C746" s="8" t="n">
        <x:f>'Данные'!G746</x:f>
        <x:v>233001</x:v>
      </x:c>
      <x:c r="D746" s="15" t="n">
        <x:f>C746/SUM($C$5:$C$2477)</x:f>
        <x:v>0.0002721972737746946</x:v>
      </x:c>
      <x:c r="E746" s="15" t="n">
        <x:f>SUM($D$5:D746)</x:f>
        <x:v>0.9173217460222253</x:v>
      </x:c>
      <x:c r="F746" s="1" t="str">
        <x:f>IF(C746&lt;=0,"C",IF(E746-D746&lt;'Дашборд'!$C$49,"A",IF(E746-D746&lt;'Дашборд'!$C$50,"B","C")))</x:f>
        <x:v>B</x:v>
      </x:c>
      <x:c r="G746" s="8" t="n">
        <x:f>'Данные'!F746</x:f>
        <x:v>191</x:v>
      </x:c>
      <x:c r="H746" s="8" t="n">
        <x:f>SUM('Данные'!H746:I746)</x:f>
        <x:v>45</x:v>
      </x:c>
      <x:c r="I746" s="16" t="n">
        <x:f>IF(H746&gt;0,G746/H746,"n.a.")</x:f>
        <x:v>4.2444444444444445</x:v>
      </x:c>
      <x:c r="J746" s="10" t="n">
        <x:f>IF('Данные'!E746&gt;0,G746/'Данные'!E746,"n.a.")</x:f>
        <x:v>0.010267161210557436</x:v>
      </x:c>
      <x:c r="K746" s="1" t="str">
        <x:f>IF(G746&gt;='Дашборд'!$C$51,"X","Z")</x:f>
        <x:v>Z</x:v>
      </x:c>
      <x:c r="L746" s="1" t="str">
        <x:f>IF(H746=0,IF(G746&gt;0,"Нет остатка","Нет спроса"),IF(I746&gt;='Дашборд'!$C$52,"Быстрый","Медленный"))</x:f>
        <x:v>Быстрый</x:v>
      </x:c>
      <x:c r="M746" s="1" t="str">
        <x:f>IF('Данные'!E746&lt;'Дашборд'!$C$53,"Мало трафика",IF(J746&lt;'Дашборд'!$C$9*'Дашборд'!$C$54,"Да","Нет"))</x:f>
        <x:v>Нет</x:v>
      </x:c>
      <x:c r="N746" s="1" t="str">
        <x:f>IF(AND('Данные'!D746&gt;='Дашборд'!$C$55,D746&lt;'Дашборд'!$C$56,'Данные'!E746&gt;='Дашборд'!$C$53,'Данные'!L746&lt;&gt;"Да"),"Да","Нет")</x:f>
        <x:v>Да</x:v>
      </x:c>
      <x:c r="O746" s="1" t="str">
        <x:f>'Данные'!L746</x:f>
        <x:v>Нет</x:v>
      </x:c>
    </x:row>
    <x:row r="747">
      <x:c r="A747" s="1" t="str">
        <x:f>'Данные'!A747</x:f>
        <x:v>145845811</x:v>
      </x:c>
      <x:c r="B747" s="1" t="str">
        <x:f>'Данные'!B747</x:f>
        <x:v>svitshotman/темно-синий</x:v>
      </x:c>
      <x:c r="C747" s="8" t="n">
        <x:f>'Данные'!G747</x:f>
        <x:v>232769</x:v>
      </x:c>
      <x:c r="D747" s="15" t="n">
        <x:f>C747/SUM($C$5:$C$2477)</x:f>
        <x:v>0.00027192624589277253</x:v>
      </x:c>
      <x:c r="E747" s="15" t="n">
        <x:f>SUM($D$5:D747)</x:f>
        <x:v>0.917593672268118</x:v>
      </x:c>
      <x:c r="F747" s="1" t="str">
        <x:f>IF(C747&lt;=0,"C",IF(E747-D747&lt;'Дашборд'!$C$49,"A",IF(E747-D747&lt;'Дашборд'!$C$50,"B","C")))</x:f>
        <x:v>B</x:v>
      </x:c>
      <x:c r="G747" s="8" t="n">
        <x:f>'Данные'!F747</x:f>
        <x:v>312</x:v>
      </x:c>
      <x:c r="H747" s="8" t="n">
        <x:f>SUM('Данные'!H747:I747)</x:f>
        <x:v>284</x:v>
      </x:c>
      <x:c r="I747" s="16" t="n">
        <x:f>IF(H747&gt;0,G747/H747,"n.a.")</x:f>
        <x:v>1.0985915492957747</x:v>
      </x:c>
      <x:c r="J747" s="10" t="n">
        <x:f>IF('Данные'!E747&gt;0,G747/'Данные'!E747,"n.a.")</x:f>
        <x:v>0.022370402237040225</x:v>
      </x:c>
      <x:c r="K747" s="1" t="str">
        <x:f>IF(G747&gt;='Дашборд'!$C$51,"X","Z")</x:f>
        <x:v>X</x:v>
      </x:c>
      <x:c r="L747" s="1" t="str">
        <x:f>IF(H747=0,IF(G747&gt;0,"Нет остатка","Нет спроса"),IF(I747&gt;='Дашборд'!$C$52,"Быстрый","Медленный"))</x:f>
        <x:v>Быстрый</x:v>
      </x:c>
      <x:c r="M747" s="1" t="str">
        <x:f>IF('Данные'!E747&lt;'Дашборд'!$C$53,"Мало трафика",IF(J747&lt;'Дашборд'!$C$9*'Дашборд'!$C$54,"Да","Нет"))</x:f>
        <x:v>Нет</x:v>
      </x:c>
      <x:c r="N747" s="1" t="str">
        <x:f>IF(AND('Данные'!D747&gt;='Дашборд'!$C$55,D747&lt;'Дашборд'!$C$56,'Данные'!E747&gt;='Дашборд'!$C$53,'Данные'!L747&lt;&gt;"Да"),"Да","Нет")</x:f>
        <x:v>Да</x:v>
      </x:c>
      <x:c r="O747" s="1" t="str">
        <x:f>'Данные'!L747</x:f>
        <x:v>Нет</x:v>
      </x:c>
    </x:row>
    <x:row r="748">
      <x:c r="A748" s="1" t="str">
        <x:f>'Данные'!A748</x:f>
        <x:v>183793816</x:v>
      </x:c>
      <x:c r="B748" s="1" t="str">
        <x:f>'Данные'!B748</x:f>
        <x:v>hudiprint/TDG-3/молочный</x:v>
      </x:c>
      <x:c r="C748" s="8" t="n">
        <x:f>'Данные'!G748</x:f>
        <x:v>232462</x:v>
      </x:c>
      <x:c r="D748" s="15" t="n">
        <x:f>C748/SUM($C$5:$C$2477)</x:f>
        <x:v>0.00027156760123867734</x:v>
      </x:c>
      <x:c r="E748" s="15" t="n">
        <x:f>SUM($D$5:D748)</x:f>
        <x:v>0.9178652398693568</x:v>
      </x:c>
      <x:c r="F748" s="1" t="str">
        <x:f>IF(C748&lt;=0,"C",IF(E748-D748&lt;'Дашборд'!$C$49,"A",IF(E748-D748&lt;'Дашборд'!$C$50,"B","C")))</x:f>
        <x:v>B</x:v>
      </x:c>
      <x:c r="G748" s="8" t="n">
        <x:f>'Данные'!F748</x:f>
        <x:v>256</x:v>
      </x:c>
      <x:c r="H748" s="8" t="n">
        <x:f>SUM('Данные'!H748:I748)</x:f>
        <x:v>51</x:v>
      </x:c>
      <x:c r="I748" s="16" t="n">
        <x:f>IF(H748&gt;0,G748/H748,"n.a.")</x:f>
        <x:v>5.019607843137255</x:v>
      </x:c>
      <x:c r="J748" s="10" t="n">
        <x:f>IF('Данные'!E748&gt;0,G748/'Данные'!E748,"n.a.")</x:f>
        <x:v>0.008294721835207207</x:v>
      </x:c>
      <x:c r="K748" s="1" t="str">
        <x:f>IF(G748&gt;='Дашборд'!$C$51,"X","Z")</x:f>
        <x:v>Z</x:v>
      </x:c>
      <x:c r="L748" s="1" t="str">
        <x:f>IF(H748=0,IF(G748&gt;0,"Нет остатка","Нет спроса"),IF(I748&gt;='Дашборд'!$C$52,"Быстрый","Медленный"))</x:f>
        <x:v>Быстрый</x:v>
      </x:c>
      <x:c r="M748" s="1" t="str">
        <x:f>IF('Данные'!E748&lt;'Дашборд'!$C$53,"Мало трафика",IF(J748&lt;'Дашборд'!$C$9*'Дашборд'!$C$54,"Да","Нет"))</x:f>
        <x:v>Да</x:v>
      </x:c>
      <x:c r="N748" s="1" t="str">
        <x:f>IF(AND('Данные'!D748&gt;='Дашборд'!$C$55,D748&lt;'Дашборд'!$C$56,'Данные'!E748&gt;='Дашборд'!$C$53,'Данные'!L748&lt;&gt;"Да"),"Да","Нет")</x:f>
        <x:v>Нет</x:v>
      </x:c>
      <x:c r="O748" s="1" t="str">
        <x:f>'Данные'!L748</x:f>
        <x:v>Нет</x:v>
      </x:c>
    </x:row>
    <x:row r="749">
      <x:c r="A749" s="1" t="str">
        <x:f>'Данные'!A749</x:f>
        <x:v>239852088</x:v>
      </x:c>
      <x:c r="B749" s="1" t="str">
        <x:f>'Данные'!B749</x:f>
        <x:v>svitshotrukpetl/серыймеланж2</x:v>
      </x:c>
      <x:c r="C749" s="8" t="n">
        <x:f>'Данные'!G749</x:f>
        <x:v>232136</x:v>
      </x:c>
      <x:c r="D749" s="15" t="n">
        <x:f>C749/SUM($C$5:$C$2477)</x:f>
        <x:v>0.0002711867603356316</x:v>
      </x:c>
      <x:c r="E749" s="15" t="n">
        <x:f>SUM($D$5:D749)</x:f>
        <x:v>0.9181364266296924</x:v>
      </x:c>
      <x:c r="F749" s="1" t="str">
        <x:f>IF(C749&lt;=0,"C",IF(E749-D749&lt;'Дашборд'!$C$49,"A",IF(E749-D749&lt;'Дашборд'!$C$50,"B","C")))</x:f>
        <x:v>B</x:v>
      </x:c>
      <x:c r="G749" s="8" t="n">
        <x:f>'Данные'!F749</x:f>
        <x:v>253</x:v>
      </x:c>
      <x:c r="H749" s="8" t="n">
        <x:f>SUM('Данные'!H749:I749)</x:f>
        <x:v>1</x:v>
      </x:c>
      <x:c r="I749" s="16" t="n">
        <x:f>IF(H749&gt;0,G749/H749,"n.a.")</x:f>
        <x:v>253</x:v>
      </x:c>
      <x:c r="J749" s="10" t="n">
        <x:f>IF('Данные'!E749&gt;0,G749/'Данные'!E749,"n.a.")</x:f>
        <x:v>0.019796557120500782</x:v>
      </x:c>
      <x:c r="K749" s="1" t="str">
        <x:f>IF(G749&gt;='Дашборд'!$C$51,"X","Z")</x:f>
        <x:v>Z</x:v>
      </x:c>
      <x:c r="L749" s="1" t="str">
        <x:f>IF(H749=0,IF(G749&gt;0,"Нет остатка","Нет спроса"),IF(I749&gt;='Дашборд'!$C$52,"Быстрый","Медленный"))</x:f>
        <x:v>Быстрый</x:v>
      </x:c>
      <x:c r="M749" s="1" t="str">
        <x:f>IF('Данные'!E749&lt;'Дашборд'!$C$53,"Мало трафика",IF(J749&lt;'Дашборд'!$C$9*'Дашборд'!$C$54,"Да","Нет"))</x:f>
        <x:v>Нет</x:v>
      </x:c>
      <x:c r="N749" s="1" t="str">
        <x:f>IF(AND('Данные'!D749&gt;='Дашборд'!$C$55,D749&lt;'Дашборд'!$C$56,'Данные'!E749&gt;='Дашборд'!$C$53,'Данные'!L749&lt;&gt;"Да"),"Да","Нет")</x:f>
        <x:v>Да</x:v>
      </x:c>
      <x:c r="O749" s="1" t="str">
        <x:f>'Данные'!L749</x:f>
        <x:v>Нет</x:v>
      </x:c>
    </x:row>
    <x:row r="750">
      <x:c r="A750" s="1" t="str">
        <x:f>'Данные'!A750</x:f>
        <x:v>251775277</x:v>
      </x:c>
      <x:c r="B750" s="1" t="str">
        <x:f>'Данные'!B750</x:f>
        <x:v>hudiprint/FinalPoint-185/молочный</x:v>
      </x:c>
      <x:c r="C750" s="8" t="n">
        <x:f>'Данные'!G750</x:f>
        <x:v>231149</x:v>
      </x:c>
      <x:c r="D750" s="15" t="n">
        <x:f>C750/SUM($C$5:$C$2477)</x:f>
        <x:v>0.00027003372361383376</x:v>
      </x:c>
      <x:c r="E750" s="15" t="n">
        <x:f>SUM($D$5:D750)</x:f>
        <x:v>0.9184064603533062</x:v>
      </x:c>
      <x:c r="F750" s="1" t="str">
        <x:f>IF(C750&lt;=0,"C",IF(E750-D750&lt;'Дашборд'!$C$49,"A",IF(E750-D750&lt;'Дашборд'!$C$50,"B","C")))</x:f>
        <x:v>B</x:v>
      </x:c>
      <x:c r="G750" s="8" t="n">
        <x:f>'Данные'!F750</x:f>
        <x:v>265</x:v>
      </x:c>
      <x:c r="H750" s="8" t="n">
        <x:f>SUM('Данные'!H750:I750)</x:f>
        <x:v>75</x:v>
      </x:c>
      <x:c r="I750" s="16" t="n">
        <x:f>IF(H750&gt;0,G750/H750,"n.a.")</x:f>
        <x:v>3.533333333333333</x:v>
      </x:c>
      <x:c r="J750" s="10" t="n">
        <x:f>IF('Данные'!E750&gt;0,G750/'Данные'!E750,"n.a.")</x:f>
        <x:v>0.00866069677756716</x:v>
      </x:c>
      <x:c r="K750" s="1" t="str">
        <x:f>IF(G750&gt;='Дашборд'!$C$51,"X","Z")</x:f>
        <x:v>Z</x:v>
      </x:c>
      <x:c r="L750" s="1" t="str">
        <x:f>IF(H750=0,IF(G750&gt;0,"Нет остатка","Нет спроса"),IF(I750&gt;='Дашборд'!$C$52,"Быстрый","Медленный"))</x:f>
        <x:v>Быстрый</x:v>
      </x:c>
      <x:c r="M750" s="1" t="str">
        <x:f>IF('Данные'!E750&lt;'Дашборд'!$C$53,"Мало трафика",IF(J750&lt;'Дашборд'!$C$9*'Дашборд'!$C$54,"Да","Нет"))</x:f>
        <x:v>Да</x:v>
      </x:c>
      <x:c r="N750" s="1" t="str">
        <x:f>IF(AND('Данные'!D750&gt;='Дашборд'!$C$55,D750&lt;'Дашборд'!$C$56,'Данные'!E750&gt;='Дашборд'!$C$53,'Данные'!L750&lt;&gt;"Да"),"Да","Нет")</x:f>
        <x:v>Да</x:v>
      </x:c>
      <x:c r="O750" s="1" t="str">
        <x:f>'Данные'!L750</x:f>
        <x:v>Нет</x:v>
      </x:c>
    </x:row>
    <x:row r="751">
      <x:c r="A751" s="1" t="str">
        <x:f>'Данные'!A751</x:f>
        <x:v>234030770</x:v>
      </x:c>
      <x:c r="B751" s="1" t="str">
        <x:f>'Данные'!B751</x:f>
        <x:v>svitshotzipman2/темно-серый</x:v>
      </x:c>
      <x:c r="C751" s="8" t="n">
        <x:f>'Данные'!G751</x:f>
        <x:v>230248</x:v>
      </x:c>
      <x:c r="D751" s="15" t="n">
        <x:f>C751/SUM($C$5:$C$2477)</x:f>
        <x:v>0.0002689811541241277</x:v>
      </x:c>
      <x:c r="E751" s="15" t="n">
        <x:f>SUM($D$5:D751)</x:f>
        <x:v>0.9186754415074303</x:v>
      </x:c>
      <x:c r="F751" s="1" t="str">
        <x:f>IF(C751&lt;=0,"C",IF(E751-D751&lt;'Дашборд'!$C$49,"A",IF(E751-D751&lt;'Дашборд'!$C$50,"B","C")))</x:f>
        <x:v>B</x:v>
      </x:c>
      <x:c r="G751" s="8" t="n">
        <x:f>'Данные'!F751</x:f>
        <x:v>279</x:v>
      </x:c>
      <x:c r="H751" s="8" t="n">
        <x:f>SUM('Данные'!H751:I751)</x:f>
        <x:v>0</x:v>
      </x:c>
      <x:c r="I751" s="16" t="str">
        <x:f>IF(H751&gt;0,G751/H751,"n.a.")</x:f>
        <x:v>n.a.</x:v>
      </x:c>
      <x:c r="J751" s="10" t="n">
        <x:f>IF('Данные'!E751&gt;0,G751/'Данные'!E751,"n.a.")</x:f>
        <x:v>0.011792552517012554</x:v>
      </x:c>
      <x:c r="K751" s="1" t="str">
        <x:f>IF(G751&gt;='Дашборд'!$C$51,"X","Z")</x:f>
        <x:v>X</x:v>
      </x:c>
      <x:c r="L751" s="1" t="str">
        <x:f>IF(H751=0,IF(G751&gt;0,"Нет остатка","Нет спроса"),IF(I751&gt;='Дашборд'!$C$52,"Быстрый","Медленный"))</x:f>
        <x:v>Нет остатка</x:v>
      </x:c>
      <x:c r="M751" s="1" t="str">
        <x:f>IF('Данные'!E751&lt;'Дашборд'!$C$53,"Мало трафика",IF(J751&lt;'Дашборд'!$C$9*'Дашборд'!$C$54,"Да","Нет"))</x:f>
        <x:v>Нет</x:v>
      </x:c>
      <x:c r="N751" s="1" t="str">
        <x:f>IF(AND('Данные'!D751&gt;='Дашборд'!$C$55,D751&lt;'Дашборд'!$C$56,'Данные'!E751&gt;='Дашборд'!$C$53,'Данные'!L751&lt;&gt;"Да"),"Да","Нет")</x:f>
        <x:v>Да</x:v>
      </x:c>
      <x:c r="O751" s="1" t="str">
        <x:f>'Данные'!L751</x:f>
        <x:v>Нет</x:v>
      </x:c>
    </x:row>
    <x:row r="752">
      <x:c r="A752" s="1" t="str">
        <x:f>'Данные'!A752</x:f>
        <x:v>241638618</x:v>
      </x:c>
      <x:c r="B752" s="1" t="str">
        <x:f>'Данные'!B752</x:f>
        <x:v>hudiprint/MovesWithLove-135/светло-розовый</x:v>
      </x:c>
      <x:c r="C752" s="8" t="n">
        <x:f>'Данные'!G752</x:f>
        <x:v>229611</x:v>
      </x:c>
      <x:c r="D752" s="15" t="n">
        <x:f>C752/SUM($C$5:$C$2477)</x:f>
        <x:v>0.00026823699567247094</x:v>
      </x:c>
      <x:c r="E752" s="15" t="n">
        <x:f>SUM($D$5:D752)</x:f>
        <x:v>0.9189436785031028</x:v>
      </x:c>
      <x:c r="F752" s="1" t="str">
        <x:f>IF(C752&lt;=0,"C",IF(E752-D752&lt;'Дашборд'!$C$49,"A",IF(E752-D752&lt;'Дашборд'!$C$50,"B","C")))</x:f>
        <x:v>B</x:v>
      </x:c>
      <x:c r="G752" s="8" t="n">
        <x:f>'Данные'!F752</x:f>
        <x:v>214</x:v>
      </x:c>
      <x:c r="H752" s="8" t="n">
        <x:f>SUM('Данные'!H752:I752)</x:f>
        <x:v>1</x:v>
      </x:c>
      <x:c r="I752" s="16" t="n">
        <x:f>IF(H752&gt;0,G752/H752,"n.a.")</x:f>
        <x:v>214</x:v>
      </x:c>
      <x:c r="J752" s="10" t="n">
        <x:f>IF('Данные'!E752&gt;0,G752/'Данные'!E752,"n.a.")</x:f>
        <x:v>0.01609627679578789</x:v>
      </x:c>
      <x:c r="K752" s="1" t="str">
        <x:f>IF(G752&gt;='Дашборд'!$C$51,"X","Z")</x:f>
        <x:v>Z</x:v>
      </x:c>
      <x:c r="L752" s="1" t="str">
        <x:f>IF(H752=0,IF(G752&gt;0,"Нет остатка","Нет спроса"),IF(I752&gt;='Дашборд'!$C$52,"Быстрый","Медленный"))</x:f>
        <x:v>Быстрый</x:v>
      </x:c>
      <x:c r="M752" s="1" t="str">
        <x:f>IF('Данные'!E752&lt;'Дашборд'!$C$53,"Мало трафика",IF(J752&lt;'Дашборд'!$C$9*'Дашборд'!$C$54,"Да","Нет"))</x:f>
        <x:v>Нет</x:v>
      </x:c>
      <x:c r="N752" s="1" t="str">
        <x:f>IF(AND('Данные'!D752&gt;='Дашборд'!$C$55,D752&lt;'Дашборд'!$C$56,'Данные'!E752&gt;='Дашборд'!$C$53,'Данные'!L752&lt;&gt;"Да"),"Да","Нет")</x:f>
        <x:v>Нет</x:v>
      </x:c>
      <x:c r="O752" s="1" t="str">
        <x:f>'Данные'!L752</x:f>
        <x:v>Нет</x:v>
      </x:c>
    </x:row>
    <x:row r="753">
      <x:c r="A753" s="1" t="str">
        <x:f>'Данные'!A753</x:f>
        <x:v>288627684</x:v>
      </x:c>
      <x:c r="B753" s="1" t="str">
        <x:f>'Данные'!B753</x:f>
        <x:v>kostyum/серый</x:v>
      </x:c>
      <x:c r="C753" s="8" t="n">
        <x:f>'Данные'!G753</x:f>
        <x:v>229203</x:v>
      </x:c>
      <x:c r="D753" s="15" t="n">
        <x:f>C753/SUM($C$5:$C$2477)</x:f>
        <x:v>0.0002677603604318493</x:v>
      </x:c>
      <x:c r="E753" s="15" t="n">
        <x:f>SUM($D$5:D753)</x:f>
        <x:v>0.9192114388635346</x:v>
      </x:c>
      <x:c r="F753" s="1" t="str">
        <x:f>IF(C753&lt;=0,"C",IF(E753-D753&lt;'Дашборд'!$C$49,"A",IF(E753-D753&lt;'Дашборд'!$C$50,"B","C")))</x:f>
        <x:v>B</x:v>
      </x:c>
      <x:c r="G753" s="8" t="n">
        <x:f>'Данные'!F753</x:f>
        <x:v>183</x:v>
      </x:c>
      <x:c r="H753" s="8" t="n">
        <x:f>SUM('Данные'!H753:I753)</x:f>
        <x:v>232</x:v>
      </x:c>
      <x:c r="I753" s="16" t="n">
        <x:f>IF(H753&gt;0,G753/H753,"n.a.")</x:f>
        <x:v>0.7887931034482759</x:v>
      </x:c>
      <x:c r="J753" s="10" t="n">
        <x:f>IF('Данные'!E753&gt;0,G753/'Данные'!E753,"n.a.")</x:f>
        <x:v>0.007889291257113296</x:v>
      </x:c>
      <x:c r="K753" s="1" t="str">
        <x:f>IF(G753&gt;='Дашборд'!$C$51,"X","Z")</x:f>
        <x:v>Z</x:v>
      </x:c>
      <x:c r="L753" s="1" t="str">
        <x:f>IF(H753=0,IF(G753&gt;0,"Нет остатка","Нет спроса"),IF(I753&gt;='Дашборд'!$C$52,"Быстрый","Медленный"))</x:f>
        <x:v>Медленный</x:v>
      </x:c>
      <x:c r="M753" s="1" t="str">
        <x:f>IF('Данные'!E753&lt;'Дашборд'!$C$53,"Мало трафика",IF(J753&lt;'Дашборд'!$C$9*'Дашборд'!$C$54,"Да","Нет"))</x:f>
        <x:v>Да</x:v>
      </x:c>
      <x:c r="N753" s="1" t="str">
        <x:f>IF(AND('Данные'!D753&gt;='Дашборд'!$C$55,D753&lt;'Дашборд'!$C$56,'Данные'!E753&gt;='Дашборд'!$C$53,'Данные'!L753&lt;&gt;"Да"),"Да","Нет")</x:f>
        <x:v>Нет</x:v>
      </x:c>
      <x:c r="O753" s="1" t="str">
        <x:f>'Данные'!L753</x:f>
        <x:v>Нет</x:v>
      </x:c>
    </x:row>
    <x:row r="754">
      <x:c r="A754" s="1" t="str">
        <x:f>'Данные'!A754</x:f>
        <x:v>316105856</x:v>
      </x:c>
      <x:c r="B754" s="1" t="str">
        <x:f>'Данные'!B754</x:f>
        <x:v>futbolkaprint/AStories-264/белый</x:v>
      </x:c>
      <x:c r="C754" s="8" t="n">
        <x:f>'Данные'!G754</x:f>
        <x:v>228755</x:v>
      </x:c>
      <x:c r="D754" s="15" t="n">
        <x:f>C754/SUM($C$5:$C$2477)</x:f>
        <x:v>0.00026723699624606873</x:v>
      </x:c>
      <x:c r="E754" s="15" t="n">
        <x:f>SUM($D$5:D754)</x:f>
        <x:v>0.9194786758597807</x:v>
      </x:c>
      <x:c r="F754" s="1" t="str">
        <x:f>IF(C754&lt;=0,"C",IF(E754-D754&lt;'Дашборд'!$C$49,"A",IF(E754-D754&lt;'Дашборд'!$C$50,"B","C")))</x:f>
        <x:v>B</x:v>
      </x:c>
      <x:c r="G754" s="8" t="n">
        <x:f>'Данные'!F754</x:f>
        <x:v>376</x:v>
      </x:c>
      <x:c r="H754" s="8" t="n">
        <x:f>SUM('Данные'!H754:I754)</x:f>
        <x:v>452</x:v>
      </x:c>
      <x:c r="I754" s="16" t="n">
        <x:f>IF(H754&gt;0,G754/H754,"n.a.")</x:f>
        <x:v>0.831858407079646</x:v>
      </x:c>
      <x:c r="J754" s="10" t="n">
        <x:f>IF('Данные'!E754&gt;0,G754/'Данные'!E754,"n.a.")</x:f>
        <x:v>0.007675975828842071</x:v>
      </x:c>
      <x:c r="K754" s="1" t="str">
        <x:f>IF(G754&gt;='Дашборд'!$C$51,"X","Z")</x:f>
        <x:v>X</x:v>
      </x:c>
      <x:c r="L754" s="1" t="str">
        <x:f>IF(H754=0,IF(G754&gt;0,"Нет остатка","Нет спроса"),IF(I754&gt;='Дашборд'!$C$52,"Быстрый","Медленный"))</x:f>
        <x:v>Медленный</x:v>
      </x:c>
      <x:c r="M754" s="1" t="str">
        <x:f>IF('Данные'!E754&lt;'Дашборд'!$C$53,"Мало трафика",IF(J754&lt;'Дашборд'!$C$9*'Дашборд'!$C$54,"Да","Нет"))</x:f>
        <x:v>Да</x:v>
      </x:c>
      <x:c r="N754" s="1" t="str">
        <x:f>IF(AND('Данные'!D754&gt;='Дашборд'!$C$55,D754&lt;'Дашборд'!$C$56,'Данные'!E754&gt;='Дашборд'!$C$53,'Данные'!L754&lt;&gt;"Да"),"Да","Нет")</x:f>
        <x:v>Да</x:v>
      </x:c>
      <x:c r="O754" s="1" t="str">
        <x:f>'Данные'!L754</x:f>
        <x:v>Нет</x:v>
      </x:c>
    </x:row>
    <x:row r="755">
      <x:c r="A755" s="1" t="str">
        <x:f>'Данные'!A755</x:f>
        <x:v>306916575</x:v>
      </x:c>
      <x:c r="B755" s="1" t="str">
        <x:f>'Данные'!B755</x:f>
        <x:v>hudicropman4F-67/бордовый</x:v>
      </x:c>
      <x:c r="C755" s="8" t="n">
        <x:f>'Данные'!G755</x:f>
        <x:v>228620</x:v>
      </x:c>
      <x:c r="D755" s="15" t="n">
        <x:f>C755/SUM($C$5:$C$2477)</x:f>
        <x:v>0.0002670792860561572</x:v>
      </x:c>
      <x:c r="E755" s="15" t="n">
        <x:f>SUM($D$5:D755)</x:f>
        <x:v>0.9197457551458369</x:v>
      </x:c>
      <x:c r="F755" s="1" t="str">
        <x:f>IF(C755&lt;=0,"C",IF(E755-D755&lt;'Дашборд'!$C$49,"A",IF(E755-D755&lt;'Дашборд'!$C$50,"B","C")))</x:f>
        <x:v>B</x:v>
      </x:c>
      <x:c r="G755" s="8" t="n">
        <x:f>'Данные'!F755</x:f>
        <x:v>214</x:v>
      </x:c>
      <x:c r="H755" s="8" t="n">
        <x:f>SUM('Данные'!H755:I755)</x:f>
        <x:v>4</x:v>
      </x:c>
      <x:c r="I755" s="16" t="n">
        <x:f>IF(H755&gt;0,G755/H755,"n.a.")</x:f>
        <x:v>53.5</x:v>
      </x:c>
      <x:c r="J755" s="10" t="n">
        <x:f>IF('Данные'!E755&gt;0,G755/'Данные'!E755,"n.a.")</x:f>
        <x:v>0.019846053973847724</x:v>
      </x:c>
      <x:c r="K755" s="1" t="str">
        <x:f>IF(G755&gt;='Дашборд'!$C$51,"X","Z")</x:f>
        <x:v>Z</x:v>
      </x:c>
      <x:c r="L755" s="1" t="str">
        <x:f>IF(H755=0,IF(G755&gt;0,"Нет остатка","Нет спроса"),IF(I755&gt;='Дашборд'!$C$52,"Быстрый","Медленный"))</x:f>
        <x:v>Быстрый</x:v>
      </x:c>
      <x:c r="M755" s="1" t="str">
        <x:f>IF('Данные'!E755&lt;'Дашборд'!$C$53,"Мало трафика",IF(J755&lt;'Дашборд'!$C$9*'Дашборд'!$C$54,"Да","Нет"))</x:f>
        <x:v>Нет</x:v>
      </x:c>
      <x:c r="N755" s="1" t="str">
        <x:f>IF(AND('Данные'!D755&gt;='Дашборд'!$C$55,D755&lt;'Дашборд'!$C$56,'Данные'!E755&gt;='Дашборд'!$C$53,'Данные'!L755&lt;&gt;"Да"),"Да","Нет")</x:f>
        <x:v>Да</x:v>
      </x:c>
      <x:c r="O755" s="1" t="str">
        <x:f>'Данные'!L755</x:f>
        <x:v>Нет</x:v>
      </x:c>
    </x:row>
    <x:row r="756">
      <x:c r="A756" s="1" t="str">
        <x:f>'Данные'!A756</x:f>
        <x:v>249222957</x:v>
      </x:c>
      <x:c r="B756" s="1" t="str">
        <x:f>'Данные'!B756</x:f>
        <x:v>svitshotpolopetl3P-60/песочный</x:v>
      </x:c>
      <x:c r="C756" s="8" t="n">
        <x:f>'Данные'!G756</x:f>
        <x:v>228494</x:v>
      </x:c>
      <x:c r="D756" s="15" t="n">
        <x:f>C756/SUM($C$5:$C$2477)</x:f>
        <x:v>0.0002669320898789064</x:v>
      </x:c>
      <x:c r="E756" s="15" t="n">
        <x:f>SUM($D$5:D756)</x:f>
        <x:v>0.9200126872357158</x:v>
      </x:c>
      <x:c r="F756" s="1" t="str">
        <x:f>IF(C756&lt;=0,"C",IF(E756-D756&lt;'Дашборд'!$C$49,"A",IF(E756-D756&lt;'Дашборд'!$C$50,"B","C")))</x:f>
        <x:v>B</x:v>
      </x:c>
      <x:c r="G756" s="8" t="n">
        <x:f>'Данные'!F756</x:f>
        <x:v>372</x:v>
      </x:c>
      <x:c r="H756" s="8" t="n">
        <x:f>SUM('Данные'!H756:I756)</x:f>
        <x:v>161</x:v>
      </x:c>
      <x:c r="I756" s="16" t="n">
        <x:f>IF(H756&gt;0,G756/H756,"n.a.")</x:f>
        <x:v>2.31055900621118</x:v>
      </x:c>
      <x:c r="J756" s="10" t="n">
        <x:f>IF('Данные'!E756&gt;0,G756/'Данные'!E756,"n.a.")</x:f>
        <x:v>0.011338352281386205</x:v>
      </x:c>
      <x:c r="K756" s="1" t="str">
        <x:f>IF(G756&gt;='Дашборд'!$C$51,"X","Z")</x:f>
        <x:v>X</x:v>
      </x:c>
      <x:c r="L756" s="1" t="str">
        <x:f>IF(H756=0,IF(G756&gt;0,"Нет остатка","Нет спроса"),IF(I756&gt;='Дашборд'!$C$52,"Быстрый","Медленный"))</x:f>
        <x:v>Быстрый</x:v>
      </x:c>
      <x:c r="M756" s="1" t="str">
        <x:f>IF('Данные'!E756&lt;'Дашборд'!$C$53,"Мало трафика",IF(J756&lt;'Дашборд'!$C$9*'Дашборд'!$C$54,"Да","Нет"))</x:f>
        <x:v>Нет</x:v>
      </x:c>
      <x:c r="N756" s="1" t="str">
        <x:f>IF(AND('Данные'!D756&gt;='Дашборд'!$C$55,D756&lt;'Дашборд'!$C$56,'Данные'!E756&gt;='Дашборд'!$C$53,'Данные'!L756&lt;&gt;"Да"),"Да","Нет")</x:f>
        <x:v>Нет</x:v>
      </x:c>
      <x:c r="O756" s="1" t="str">
        <x:f>'Данные'!L756</x:f>
        <x:v>Нет</x:v>
      </x:c>
    </x:row>
    <x:row r="757">
      <x:c r="A757" s="1" t="str">
        <x:f>'Данные'!A757</x:f>
        <x:v>246369370</x:v>
      </x:c>
      <x:c r="B757" s="1" t="str">
        <x:f>'Данные'!B757</x:f>
        <x:v>tolstovkazip/персиковый</x:v>
      </x:c>
      <x:c r="C757" s="8" t="n">
        <x:f>'Данные'!G757</x:f>
        <x:v>227240</x:v>
      </x:c>
      <x:c r="D757" s="15" t="n">
        <x:f>C757/SUM($C$5:$C$2477)</x:f>
        <x:v>0.00026546713744817233</x:v>
      </x:c>
      <x:c r="E757" s="15" t="n">
        <x:f>SUM($D$5:D757)</x:f>
        <x:v>0.920278154373164</x:v>
      </x:c>
      <x:c r="F757" s="1" t="str">
        <x:f>IF(C757&lt;=0,"C",IF(E757-D757&lt;'Дашборд'!$C$49,"A",IF(E757-D757&lt;'Дашборд'!$C$50,"B","C")))</x:f>
        <x:v>B</x:v>
      </x:c>
      <x:c r="G757" s="8" t="n">
        <x:f>'Данные'!F757</x:f>
        <x:v>233</x:v>
      </x:c>
      <x:c r="H757" s="8" t="n">
        <x:f>SUM('Данные'!H757:I757)</x:f>
        <x:v>1</x:v>
      </x:c>
      <x:c r="I757" s="16" t="n">
        <x:f>IF(H757&gt;0,G757/H757,"n.a.")</x:f>
        <x:v>233</x:v>
      </x:c>
      <x:c r="J757" s="10" t="n">
        <x:f>IF('Данные'!E757&gt;0,G757/'Данные'!E757,"n.a.")</x:f>
        <x:v>0.009395161290322581</x:v>
      </x:c>
      <x:c r="K757" s="1" t="str">
        <x:f>IF(G757&gt;='Дашборд'!$C$51,"X","Z")</x:f>
        <x:v>Z</x:v>
      </x:c>
      <x:c r="L757" s="1" t="str">
        <x:f>IF(H757=0,IF(G757&gt;0,"Нет остатка","Нет спроса"),IF(I757&gt;='Дашборд'!$C$52,"Быстрый","Медленный"))</x:f>
        <x:v>Быстрый</x:v>
      </x:c>
      <x:c r="M757" s="1" t="str">
        <x:f>IF('Данные'!E757&lt;'Дашборд'!$C$53,"Мало трафика",IF(J757&lt;'Дашборд'!$C$9*'Дашборд'!$C$54,"Да","Нет"))</x:f>
        <x:v>Да</x:v>
      </x:c>
      <x:c r="N757" s="1" t="str">
        <x:f>IF(AND('Данные'!D757&gt;='Дашборд'!$C$55,D757&lt;'Дашборд'!$C$56,'Данные'!E757&gt;='Дашборд'!$C$53,'Данные'!L757&lt;&gt;"Да"),"Да","Нет")</x:f>
        <x:v>Да</x:v>
      </x:c>
      <x:c r="O757" s="1" t="str">
        <x:f>'Данные'!L757</x:f>
        <x:v>Нет</x:v>
      </x:c>
    </x:row>
    <x:row r="758">
      <x:c r="A758" s="1" t="str">
        <x:f>'Данные'!A758</x:f>
        <x:v>249222954</x:v>
      </x:c>
      <x:c r="B758" s="1" t="str">
        <x:f>'Данные'!B758</x:f>
        <x:v>svitshotpolopetl3P-60/черный</x:v>
      </x:c>
      <x:c r="C758" s="8" t="n">
        <x:f>'Данные'!G758</x:f>
        <x:v>226386</x:v>
      </x:c>
      <x:c r="D758" s="15" t="n">
        <x:f>C758/SUM($C$5:$C$2477)</x:f>
        <x:v>0.00026446947446902806</x:v>
      </x:c>
      <x:c r="E758" s="15" t="n">
        <x:f>SUM($D$5:D758)</x:f>
        <x:v>0.920542623847633</x:v>
      </x:c>
      <x:c r="F758" s="1" t="str">
        <x:f>IF(C758&lt;=0,"C",IF(E758-D758&lt;'Дашборд'!$C$49,"A",IF(E758-D758&lt;'Дашборд'!$C$50,"B","C")))</x:f>
        <x:v>B</x:v>
      </x:c>
      <x:c r="G758" s="8" t="n">
        <x:f>'Данные'!F758</x:f>
        <x:v>274</x:v>
      </x:c>
      <x:c r="H758" s="8" t="n">
        <x:f>SUM('Данные'!H758:I758)</x:f>
        <x:v>969</x:v>
      </x:c>
      <x:c r="I758" s="16" t="n">
        <x:f>IF(H758&gt;0,G758/H758,"n.a.")</x:f>
        <x:v>0.28276573787409703</x:v>
      </x:c>
      <x:c r="J758" s="10" t="n">
        <x:f>IF('Данные'!E758&gt;0,G758/'Данные'!E758,"n.a.")</x:f>
        <x:v>0.010618097267971324</x:v>
      </x:c>
      <x:c r="K758" s="1" t="str">
        <x:f>IF(G758&gt;='Дашборд'!$C$51,"X","Z")</x:f>
        <x:v>X</x:v>
      </x:c>
      <x:c r="L758" s="1" t="str">
        <x:f>IF(H758=0,IF(G758&gt;0,"Нет остатка","Нет спроса"),IF(I758&gt;='Дашборд'!$C$52,"Быстрый","Медленный"))</x:f>
        <x:v>Медленный</x:v>
      </x:c>
      <x:c r="M758" s="1" t="str">
        <x:f>IF('Данные'!E758&lt;'Дашборд'!$C$53,"Мало трафика",IF(J758&lt;'Дашборд'!$C$9*'Дашборд'!$C$54,"Да","Нет"))</x:f>
        <x:v>Нет</x:v>
      </x:c>
      <x:c r="N758" s="1" t="str">
        <x:f>IF(AND('Данные'!D758&gt;='Дашборд'!$C$55,D758&lt;'Дашборд'!$C$56,'Данные'!E758&gt;='Дашборд'!$C$53,'Данные'!L758&lt;&gt;"Да"),"Да","Нет")</x:f>
        <x:v>Нет</x:v>
      </x:c>
      <x:c r="O758" s="1" t="str">
        <x:f>'Данные'!L758</x:f>
        <x:v>Нет</x:v>
      </x:c>
    </x:row>
    <x:row r="759">
      <x:c r="A759" s="1" t="str">
        <x:f>'Данные'!A759</x:f>
        <x:v>201761296</x:v>
      </x:c>
      <x:c r="B759" s="1" t="str">
        <x:f>'Данные'!B759</x:f>
        <x:v>hudiprint/Los-49/черный</x:v>
      </x:c>
      <x:c r="C759" s="8" t="n">
        <x:f>'Данные'!G759</x:f>
        <x:v>226141</x:v>
      </x:c>
      <x:c r="D759" s="15" t="n">
        <x:f>C759/SUM($C$5:$C$2477)</x:f>
        <x:v>0.00026418325967992934</x:v>
      </x:c>
      <x:c r="E759" s="15" t="n">
        <x:f>SUM($D$5:D759)</x:f>
        <x:v>0.9208068071073129</x:v>
      </x:c>
      <x:c r="F759" s="1" t="str">
        <x:f>IF(C759&lt;=0,"C",IF(E759-D759&lt;'Дашборд'!$C$49,"A",IF(E759-D759&lt;'Дашборд'!$C$50,"B","C")))</x:f>
        <x:v>B</x:v>
      </x:c>
      <x:c r="G759" s="8" t="n">
        <x:f>'Данные'!F759</x:f>
        <x:v>240</x:v>
      </x:c>
      <x:c r="H759" s="8" t="n">
        <x:f>SUM('Данные'!H759:I759)</x:f>
        <x:v>157</x:v>
      </x:c>
      <x:c r="I759" s="16" t="n">
        <x:f>IF(H759&gt;0,G759/H759,"n.a.")</x:f>
        <x:v>1.5286624203821657</x:v>
      </x:c>
      <x:c r="J759" s="10" t="n">
        <x:f>IF('Данные'!E759&gt;0,G759/'Данные'!E759,"n.a.")</x:f>
        <x:v>0.00930845906217275</x:v>
      </x:c>
      <x:c r="K759" s="1" t="str">
        <x:f>IF(G759&gt;='Дашборд'!$C$51,"X","Z")</x:f>
        <x:v>Z</x:v>
      </x:c>
      <x:c r="L759" s="1" t="str">
        <x:f>IF(H759=0,IF(G759&gt;0,"Нет остатка","Нет спроса"),IF(I759&gt;='Дашборд'!$C$52,"Быстрый","Медленный"))</x:f>
        <x:v>Быстрый</x:v>
      </x:c>
      <x:c r="M759" s="1" t="str">
        <x:f>IF('Данные'!E759&lt;'Дашборд'!$C$53,"Мало трафика",IF(J759&lt;'Дашборд'!$C$9*'Дашборд'!$C$54,"Да","Нет"))</x:f>
        <x:v>Да</x:v>
      </x:c>
      <x:c r="N759" s="1" t="str">
        <x:f>IF(AND('Данные'!D759&gt;='Дашборд'!$C$55,D759&lt;'Дашборд'!$C$56,'Данные'!E759&gt;='Дашборд'!$C$53,'Данные'!L759&lt;&gt;"Да"),"Да","Нет")</x:f>
        <x:v>Да</x:v>
      </x:c>
      <x:c r="O759" s="1" t="str">
        <x:f>'Данные'!L759</x:f>
        <x:v>Нет</x:v>
      </x:c>
    </x:row>
    <x:row r="760">
      <x:c r="A760" s="1" t="str">
        <x:f>'Данные'!A760</x:f>
        <x:v>320421029</x:v>
      </x:c>
      <x:c r="B760" s="1" t="str">
        <x:f>'Данные'!B760</x:f>
        <x:v>shtanyfix/голубой</x:v>
      </x:c>
      <x:c r="C760" s="8" t="n">
        <x:f>'Данные'!G760</x:f>
        <x:v>226063</x:v>
      </x:c>
      <x:c r="D760" s="15" t="n">
        <x:f>C760/SUM($C$5:$C$2477)</x:f>
        <x:v>0.00026409213823686933</x:v>
      </x:c>
      <x:c r="E760" s="15" t="n">
        <x:f>SUM($D$5:D760)</x:f>
        <x:v>0.9210708992455497</x:v>
      </x:c>
      <x:c r="F760" s="1" t="str">
        <x:f>IF(C760&lt;=0,"C",IF(E760-D760&lt;'Дашборд'!$C$49,"A",IF(E760-D760&lt;'Дашборд'!$C$50,"B","C")))</x:f>
        <x:v>B</x:v>
      </x:c>
      <x:c r="G760" s="8" t="n">
        <x:f>'Данные'!F760</x:f>
        <x:v>387</x:v>
      </x:c>
      <x:c r="H760" s="8" t="n">
        <x:f>SUM('Данные'!H760:I760)</x:f>
        <x:v>70</x:v>
      </x:c>
      <x:c r="I760" s="16" t="n">
        <x:f>IF(H760&gt;0,G760/H760,"n.a.")</x:f>
        <x:v>5.5285714285714285</x:v>
      </x:c>
      <x:c r="J760" s="10" t="n">
        <x:f>IF('Данные'!E760&gt;0,G760/'Данные'!E760,"n.a.")</x:f>
        <x:v>0.012853299677837191</x:v>
      </x:c>
      <x:c r="K760" s="1" t="str">
        <x:f>IF(G760&gt;='Дашборд'!$C$51,"X","Z")</x:f>
        <x:v>X</x:v>
      </x:c>
      <x:c r="L760" s="1" t="str">
        <x:f>IF(H760=0,IF(G760&gt;0,"Нет остатка","Нет спроса"),IF(I760&gt;='Дашборд'!$C$52,"Быстрый","Медленный"))</x:f>
        <x:v>Быстрый</x:v>
      </x:c>
      <x:c r="M760" s="1" t="str">
        <x:f>IF('Данные'!E760&lt;'Дашборд'!$C$53,"Мало трафика",IF(J760&lt;'Дашборд'!$C$9*'Дашборд'!$C$54,"Да","Нет"))</x:f>
        <x:v>Нет</x:v>
      </x:c>
      <x:c r="N760" s="1" t="str">
        <x:f>IF(AND('Данные'!D760&gt;='Дашборд'!$C$55,D760&lt;'Дашборд'!$C$56,'Данные'!E760&gt;='Дашборд'!$C$53,'Данные'!L760&lt;&gt;"Да"),"Да","Нет")</x:f>
        <x:v>Нет</x:v>
      </x:c>
      <x:c r="O760" s="1" t="str">
        <x:f>'Данные'!L760</x:f>
        <x:v>Нет</x:v>
      </x:c>
    </x:row>
    <x:row r="761">
      <x:c r="A761" s="1" t="str">
        <x:f>'Данные'!A761</x:f>
        <x:v>209915061</x:v>
      </x:c>
      <x:c r="B761" s="1" t="str">
        <x:f>'Данные'!B761</x:f>
        <x:v>longsvobod/коричневый</x:v>
      </x:c>
      <x:c r="C761" s="8" t="n">
        <x:f>'Данные'!G761</x:f>
        <x:v>224948</x:v>
      </x:c>
      <x:c r="D761" s="15" t="n">
        <x:f>C761/SUM($C$5:$C$2477)</x:f>
        <x:v>0.00026278956889056273</x:v>
      </x:c>
      <x:c r="E761" s="15" t="n">
        <x:f>SUM($D$5:D761)</x:f>
        <x:v>0.9213336888144403</x:v>
      </x:c>
      <x:c r="F761" s="1" t="str">
        <x:f>IF(C761&lt;=0,"C",IF(E761-D761&lt;'Дашборд'!$C$49,"A",IF(E761-D761&lt;'Дашборд'!$C$50,"B","C")))</x:f>
        <x:v>B</x:v>
      </x:c>
      <x:c r="G761" s="8" t="n">
        <x:f>'Данные'!F761</x:f>
        <x:v>645</x:v>
      </x:c>
      <x:c r="H761" s="8" t="n">
        <x:f>SUM('Данные'!H761:I761)</x:f>
        <x:v>202</x:v>
      </x:c>
      <x:c r="I761" s="16" t="n">
        <x:f>IF(H761&gt;0,G761/H761,"n.a.")</x:f>
        <x:v>3.1930693069306932</x:v>
      </x:c>
      <x:c r="J761" s="10" t="n">
        <x:f>IF('Данные'!E761&gt;0,G761/'Данные'!E761,"n.a.")</x:f>
        <x:v>0.015190767781441357</x:v>
      </x:c>
      <x:c r="K761" s="1" t="str">
        <x:f>IF(G761&gt;='Дашборд'!$C$51,"X","Z")</x:f>
        <x:v>X</x:v>
      </x:c>
      <x:c r="L761" s="1" t="str">
        <x:f>IF(H761=0,IF(G761&gt;0,"Нет остатка","Нет спроса"),IF(I761&gt;='Дашборд'!$C$52,"Быстрый","Медленный"))</x:f>
        <x:v>Быстрый</x:v>
      </x:c>
      <x:c r="M761" s="1" t="str">
        <x:f>IF('Данные'!E761&lt;'Дашборд'!$C$53,"Мало трафика",IF(J761&lt;'Дашборд'!$C$9*'Дашборд'!$C$54,"Да","Нет"))</x:f>
        <x:v>Нет</x:v>
      </x:c>
      <x:c r="N761" s="1" t="str">
        <x:f>IF(AND('Данные'!D761&gt;='Дашборд'!$C$55,D761&lt;'Дашборд'!$C$56,'Данные'!E761&gt;='Дашборд'!$C$53,'Данные'!L761&lt;&gt;"Да"),"Да","Нет")</x:f>
        <x:v>Нет</x:v>
      </x:c>
      <x:c r="O761" s="1" t="str">
        <x:f>'Данные'!L761</x:f>
        <x:v>Нет</x:v>
      </x:c>
    </x:row>
    <x:row r="762">
      <x:c r="A762" s="1" t="str">
        <x:f>'Данные'!A762</x:f>
        <x:v>234030780</x:v>
      </x:c>
      <x:c r="B762" s="1" t="str">
        <x:f>'Данные'!B762</x:f>
        <x:v>svitshotzipman2/песочный</x:v>
      </x:c>
      <x:c r="C762" s="8" t="n">
        <x:f>'Данные'!G762</x:f>
        <x:v>224630</x:v>
      </x:c>
      <x:c r="D762" s="15" t="n">
        <x:f>C762/SUM($C$5:$C$2477)</x:f>
        <x:v>0.00026241807377654883</x:v>
      </x:c>
      <x:c r="E762" s="15" t="n">
        <x:f>SUM($D$5:D762)</x:f>
        <x:v>0.9215961068882169</x:v>
      </x:c>
      <x:c r="F762" s="1" t="str">
        <x:f>IF(C762&lt;=0,"C",IF(E762-D762&lt;'Дашборд'!$C$49,"A",IF(E762-D762&lt;'Дашборд'!$C$50,"B","C")))</x:f>
        <x:v>B</x:v>
      </x:c>
      <x:c r="G762" s="8" t="n">
        <x:f>'Данные'!F762</x:f>
        <x:v>286</x:v>
      </x:c>
      <x:c r="H762" s="8" t="n">
        <x:f>SUM('Данные'!H762:I762)</x:f>
        <x:v>32</x:v>
      </x:c>
      <x:c r="I762" s="16" t="n">
        <x:f>IF(H762&gt;0,G762/H762,"n.a.")</x:f>
        <x:v>8.9375</x:v>
      </x:c>
      <x:c r="J762" s="10" t="n">
        <x:f>IF('Данные'!E762&gt;0,G762/'Данные'!E762,"n.a.")</x:f>
        <x:v>0.01576973974415527</x:v>
      </x:c>
      <x:c r="K762" s="1" t="str">
        <x:f>IF(G762&gt;='Дашборд'!$C$51,"X","Z")</x:f>
        <x:v>X</x:v>
      </x:c>
      <x:c r="L762" s="1" t="str">
        <x:f>IF(H762=0,IF(G762&gt;0,"Нет остатка","Нет спроса"),IF(I762&gt;='Дашборд'!$C$52,"Быстрый","Медленный"))</x:f>
        <x:v>Быстрый</x:v>
      </x:c>
      <x:c r="M762" s="1" t="str">
        <x:f>IF('Данные'!E762&lt;'Дашборд'!$C$53,"Мало трафика",IF(J762&lt;'Дашборд'!$C$9*'Дашборд'!$C$54,"Да","Нет"))</x:f>
        <x:v>Нет</x:v>
      </x:c>
      <x:c r="N762" s="1" t="str">
        <x:f>IF(AND('Данные'!D762&gt;='Дашборд'!$C$55,D762&lt;'Дашборд'!$C$56,'Данные'!E762&gt;='Дашборд'!$C$53,'Данные'!L762&lt;&gt;"Да"),"Да","Нет")</x:f>
        <x:v>Да</x:v>
      </x:c>
      <x:c r="O762" s="1" t="str">
        <x:f>'Данные'!L762</x:f>
        <x:v>Нет</x:v>
      </x:c>
    </x:row>
    <x:row r="763">
      <x:c r="A763" s="1" t="str">
        <x:f>'Данные'!A763</x:f>
        <x:v>300270086</x:v>
      </x:c>
      <x:c r="B763" s="1" t="str">
        <x:f>'Данные'!B763</x:f>
        <x:v>svitzip3P-S-5/молочный</x:v>
      </x:c>
      <x:c r="C763" s="8" t="n">
        <x:f>'Данные'!G763</x:f>
        <x:v>224458</x:v>
      </x:c>
      <x:c r="D763" s="15" t="n">
        <x:f>C763/SUM($C$5:$C$2477)</x:f>
        <x:v>0.00026221713931236517</x:v>
      </x:c>
      <x:c r="E763" s="15" t="n">
        <x:f>SUM($D$5:D763)</x:f>
        <x:v>0.9218583240275293</x:v>
      </x:c>
      <x:c r="F763" s="1" t="str">
        <x:f>IF(C763&lt;=0,"C",IF(E763-D763&lt;'Дашборд'!$C$49,"A",IF(E763-D763&lt;'Дашборд'!$C$50,"B","C")))</x:f>
        <x:v>B</x:v>
      </x:c>
      <x:c r="G763" s="8" t="n">
        <x:f>'Данные'!F763</x:f>
        <x:v>353</x:v>
      </x:c>
      <x:c r="H763" s="8" t="n">
        <x:f>SUM('Данные'!H763:I763)</x:f>
        <x:v>381</x:v>
      </x:c>
      <x:c r="I763" s="16" t="n">
        <x:f>IF(H763&gt;0,G763/H763,"n.a.")</x:f>
        <x:v>0.926509186351706</x:v>
      </x:c>
      <x:c r="J763" s="10" t="n">
        <x:f>IF('Данные'!E763&gt;0,G763/'Данные'!E763,"n.a.")</x:f>
        <x:v>0.01072166200947637</x:v>
      </x:c>
      <x:c r="K763" s="1" t="str">
        <x:f>IF(G763&gt;='Дашборд'!$C$51,"X","Z")</x:f>
        <x:v>X</x:v>
      </x:c>
      <x:c r="L763" s="1" t="str">
        <x:f>IF(H763=0,IF(G763&gt;0,"Нет остатка","Нет спроса"),IF(I763&gt;='Дашборд'!$C$52,"Быстрый","Медленный"))</x:f>
        <x:v>Медленный</x:v>
      </x:c>
      <x:c r="M763" s="1" t="str">
        <x:f>IF('Данные'!E763&lt;'Дашборд'!$C$53,"Мало трафика",IF(J763&lt;'Дашборд'!$C$9*'Дашборд'!$C$54,"Да","Нет"))</x:f>
        <x:v>Нет</x:v>
      </x:c>
      <x:c r="N763" s="1" t="str">
        <x:f>IF(AND('Данные'!D763&gt;='Дашборд'!$C$55,D763&lt;'Дашборд'!$C$56,'Данные'!E763&gt;='Дашборд'!$C$53,'Данные'!L763&lt;&gt;"Да"),"Да","Нет")</x:f>
        <x:v>Нет</x:v>
      </x:c>
      <x:c r="O763" s="1" t="str">
        <x:f>'Данные'!L763</x:f>
        <x:v>Нет</x:v>
      </x:c>
    </x:row>
    <x:row r="764">
      <x:c r="A764" s="1" t="str">
        <x:f>'Данные'!A764</x:f>
        <x:v>220090354</x:v>
      </x:c>
      <x:c r="B764" s="1" t="str">
        <x:f>'Данные'!B764</x:f>
        <x:v>tolstovkazipcrop/светло-фиолетовый</x:v>
      </x:c>
      <x:c r="C764" s="8" t="n">
        <x:f>'Данные'!G764</x:f>
        <x:v>223762</x:v>
      </x:c>
      <x:c r="D764" s="15" t="n">
        <x:f>C764/SUM($C$5:$C$2477)</x:f>
        <x:v>0.0002614040556665989</x:v>
      </x:c>
      <x:c r="E764" s="15" t="n">
        <x:f>SUM($D$5:D764)</x:f>
        <x:v>0.9221197280831959</x:v>
      </x:c>
      <x:c r="F764" s="1" t="str">
        <x:f>IF(C764&lt;=0,"C",IF(E764-D764&lt;'Дашборд'!$C$49,"A",IF(E764-D764&lt;'Дашборд'!$C$50,"B","C")))</x:f>
        <x:v>B</x:v>
      </x:c>
      <x:c r="G764" s="8" t="n">
        <x:f>'Данные'!F764</x:f>
        <x:v>218</x:v>
      </x:c>
      <x:c r="H764" s="8" t="n">
        <x:f>SUM('Данные'!H764:I764)</x:f>
        <x:v>1</x:v>
      </x:c>
      <x:c r="I764" s="16" t="n">
        <x:f>IF(H764&gt;0,G764/H764,"n.a.")</x:f>
        <x:v>218</x:v>
      </x:c>
      <x:c r="J764" s="10" t="n">
        <x:f>IF('Данные'!E764&gt;0,G764/'Данные'!E764,"n.a.")</x:f>
        <x:v>0.007982716320626899</x:v>
      </x:c>
      <x:c r="K764" s="1" t="str">
        <x:f>IF(G764&gt;='Дашборд'!$C$51,"X","Z")</x:f>
        <x:v>Z</x:v>
      </x:c>
      <x:c r="L764" s="1" t="str">
        <x:f>IF(H764=0,IF(G764&gt;0,"Нет остатка","Нет спроса"),IF(I764&gt;='Дашборд'!$C$52,"Быстрый","Медленный"))</x:f>
        <x:v>Быстрый</x:v>
      </x:c>
      <x:c r="M764" s="1" t="str">
        <x:f>IF('Данные'!E764&lt;'Дашборд'!$C$53,"Мало трафика",IF(J764&lt;'Дашборд'!$C$9*'Дашборд'!$C$54,"Да","Нет"))</x:f>
        <x:v>Да</x:v>
      </x:c>
      <x:c r="N764" s="1" t="str">
        <x:f>IF(AND('Данные'!D764&gt;='Дашборд'!$C$55,D764&lt;'Дашборд'!$C$56,'Данные'!E764&gt;='Дашборд'!$C$53,'Данные'!L764&lt;&gt;"Да"),"Да","Нет")</x:f>
        <x:v>Нет</x:v>
      </x:c>
      <x:c r="O764" s="1" t="str">
        <x:f>'Данные'!L764</x:f>
        <x:v>Нет</x:v>
      </x:c>
    </x:row>
    <x:row r="765">
      <x:c r="A765" s="1" t="str">
        <x:f>'Данные'!A765</x:f>
        <x:v>209914921</x:v>
      </x:c>
      <x:c r="B765" s="1" t="str">
        <x:f>'Данные'!B765</x:f>
        <x:v>longsvobod/бордовый</x:v>
      </x:c>
      <x:c r="C765" s="8" t="n">
        <x:f>'Данные'!G765</x:f>
        <x:v>222845</x:v>
      </x:c>
      <x:c r="D765" s="15" t="n">
        <x:f>C765/SUM($C$5:$C$2477)</x:f>
        <x:v>0.0002603327945988293</x:v>
      </x:c>
      <x:c r="E765" s="15" t="n">
        <x:f>SUM($D$5:D765)</x:f>
        <x:v>0.9223800608777947</x:v>
      </x:c>
      <x:c r="F765" s="1" t="str">
        <x:f>IF(C765&lt;=0,"C",IF(E765-D765&lt;'Дашборд'!$C$49,"A",IF(E765-D765&lt;'Дашборд'!$C$50,"B","C")))</x:f>
        <x:v>B</x:v>
      </x:c>
      <x:c r="G765" s="8" t="n">
        <x:f>'Данные'!F765</x:f>
        <x:v>676</x:v>
      </x:c>
      <x:c r="H765" s="8" t="n">
        <x:f>SUM('Данные'!H765:I765)</x:f>
        <x:v>132</x:v>
      </x:c>
      <x:c r="I765" s="16" t="n">
        <x:f>IF(H765&gt;0,G765/H765,"n.a.")</x:f>
        <x:v>5.121212121212121</x:v>
      </x:c>
      <x:c r="J765" s="10" t="n">
        <x:f>IF('Данные'!E765&gt;0,G765/'Данные'!E765,"n.a.")</x:f>
        <x:v>0.013234401613187416</x:v>
      </x:c>
      <x:c r="K765" s="1" t="str">
        <x:f>IF(G765&gt;='Дашборд'!$C$51,"X","Z")</x:f>
        <x:v>X</x:v>
      </x:c>
      <x:c r="L765" s="1" t="str">
        <x:f>IF(H765=0,IF(G765&gt;0,"Нет остатка","Нет спроса"),IF(I765&gt;='Дашборд'!$C$52,"Быстрый","Медленный"))</x:f>
        <x:v>Быстрый</x:v>
      </x:c>
      <x:c r="M765" s="1" t="str">
        <x:f>IF('Данные'!E765&lt;'Дашборд'!$C$53,"Мало трафика",IF(J765&lt;'Дашборд'!$C$9*'Дашборд'!$C$54,"Да","Нет"))</x:f>
        <x:v>Нет</x:v>
      </x:c>
      <x:c r="N765" s="1" t="str">
        <x:f>IF(AND('Данные'!D765&gt;='Дашборд'!$C$55,D765&lt;'Дашборд'!$C$56,'Данные'!E765&gt;='Дашборд'!$C$53,'Данные'!L765&lt;&gt;"Да"),"Да","Нет")</x:f>
        <x:v>Нет</x:v>
      </x:c>
      <x:c r="O765" s="1" t="str">
        <x:f>'Данные'!L765</x:f>
        <x:v>Нет</x:v>
      </x:c>
    </x:row>
    <x:row r="766">
      <x:c r="A766" s="1" t="str">
        <x:f>'Данные'!A766</x:f>
        <x:v>295992958</x:v>
      </x:c>
      <x:c r="B766" s="1" t="str">
        <x:f>'Данные'!B766</x:f>
        <x:v>svitshotprint/Grace-244/бордовый</x:v>
      </x:c>
      <x:c r="C766" s="8" t="n">
        <x:f>'Данные'!G766</x:f>
        <x:v>221198</x:v>
      </x:c>
      <x:c r="D766" s="15" t="n">
        <x:f>C766/SUM($C$5:$C$2477)</x:f>
        <x:v>0.0002584087302819082</x:v>
      </x:c>
      <x:c r="E766" s="15" t="n">
        <x:f>SUM($D$5:D766)</x:f>
        <x:v>0.9226384696080766</x:v>
      </x:c>
      <x:c r="F766" s="1" t="str">
        <x:f>IF(C766&lt;=0,"C",IF(E766-D766&lt;'Дашборд'!$C$49,"A",IF(E766-D766&lt;'Дашборд'!$C$50,"B","C")))</x:f>
        <x:v>B</x:v>
      </x:c>
      <x:c r="G766" s="8" t="n">
        <x:f>'Данные'!F766</x:f>
        <x:v>281</x:v>
      </x:c>
      <x:c r="H766" s="8" t="n">
        <x:f>SUM('Данные'!H766:I766)</x:f>
        <x:v>35</x:v>
      </x:c>
      <x:c r="I766" s="16" t="n">
        <x:f>IF(H766&gt;0,G766/H766,"n.a.")</x:f>
        <x:v>8.028571428571428</x:v>
      </x:c>
      <x:c r="J766" s="10" t="n">
        <x:f>IF('Данные'!E766&gt;0,G766/'Данные'!E766,"n.a.")</x:f>
        <x:v>0.009748820427421593</x:v>
      </x:c>
      <x:c r="K766" s="1" t="str">
        <x:f>IF(G766&gt;='Дашборд'!$C$51,"X","Z")</x:f>
        <x:v>X</x:v>
      </x:c>
      <x:c r="L766" s="1" t="str">
        <x:f>IF(H766=0,IF(G766&gt;0,"Нет остатка","Нет спроса"),IF(I766&gt;='Дашборд'!$C$52,"Быстрый","Медленный"))</x:f>
        <x:v>Быстрый</x:v>
      </x:c>
      <x:c r="M766" s="1" t="str">
        <x:f>IF('Данные'!E766&lt;'Дашборд'!$C$53,"Мало трафика",IF(J766&lt;'Дашборд'!$C$9*'Дашборд'!$C$54,"Да","Нет"))</x:f>
        <x:v>Да</x:v>
      </x:c>
      <x:c r="N766" s="1" t="str">
        <x:f>IF(AND('Данные'!D766&gt;='Дашборд'!$C$55,D766&lt;'Дашборд'!$C$56,'Данные'!E766&gt;='Дашборд'!$C$53,'Данные'!L766&lt;&gt;"Да"),"Да","Нет")</x:f>
        <x:v>Да</x:v>
      </x:c>
      <x:c r="O766" s="1" t="str">
        <x:f>'Данные'!L766</x:f>
        <x:v>Нет</x:v>
      </x:c>
    </x:row>
    <x:row r="767">
      <x:c r="A767" s="1" t="str">
        <x:f>'Данные'!A767</x:f>
        <x:v>323191823</x:v>
      </x:c>
      <x:c r="B767" s="1" t="str">
        <x:f>'Данные'!B767</x:f>
        <x:v>polowoman3K-89/коричневый</x:v>
      </x:c>
      <x:c r="C767" s="8" t="n">
        <x:f>'Данные'!G767</x:f>
        <x:v>220018</x:v>
      </x:c>
      <x:c r="D767" s="15" t="n">
        <x:f>C767/SUM($C$5:$C$2477)</x:f>
        <x:v>0.00025703022639971825</x:v>
      </x:c>
      <x:c r="E767" s="15" t="n">
        <x:f>SUM($D$5:D767)</x:f>
        <x:v>0.9228954998344763</x:v>
      </x:c>
      <x:c r="F767" s="1" t="str">
        <x:f>IF(C767&lt;=0,"C",IF(E767-D767&lt;'Дашборд'!$C$49,"A",IF(E767-D767&lt;'Дашборд'!$C$50,"B","C")))</x:f>
        <x:v>B</x:v>
      </x:c>
      <x:c r="G767" s="8" t="n">
        <x:f>'Данные'!F767</x:f>
        <x:v>428</x:v>
      </x:c>
      <x:c r="H767" s="8" t="n">
        <x:f>SUM('Данные'!H767:I767)</x:f>
        <x:v>99</x:v>
      </x:c>
      <x:c r="I767" s="16" t="n">
        <x:f>IF(H767&gt;0,G767/H767,"n.a.")</x:f>
        <x:v>4.3232323232323235</x:v>
      </x:c>
      <x:c r="J767" s="10" t="n">
        <x:f>IF('Данные'!E767&gt;0,G767/'Данные'!E767,"n.a.")</x:f>
        <x:v>0.009912684994325682</x:v>
      </x:c>
      <x:c r="K767" s="1" t="str">
        <x:f>IF(G767&gt;='Дашборд'!$C$51,"X","Z")</x:f>
        <x:v>X</x:v>
      </x:c>
      <x:c r="L767" s="1" t="str">
        <x:f>IF(H767=0,IF(G767&gt;0,"Нет остатка","Нет спроса"),IF(I767&gt;='Дашборд'!$C$52,"Быстрый","Медленный"))</x:f>
        <x:v>Быстрый</x:v>
      </x:c>
      <x:c r="M767" s="1" t="str">
        <x:f>IF('Данные'!E767&lt;'Дашборд'!$C$53,"Мало трафика",IF(J767&lt;'Дашборд'!$C$9*'Дашборд'!$C$54,"Да","Нет"))</x:f>
        <x:v>Да</x:v>
      </x:c>
      <x:c r="N767" s="1" t="str">
        <x:f>IF(AND('Данные'!D767&gt;='Дашборд'!$C$55,D767&lt;'Дашборд'!$C$56,'Данные'!E767&gt;='Дашборд'!$C$53,'Данные'!L767&lt;&gt;"Да"),"Да","Нет")</x:f>
        <x:v>Нет</x:v>
      </x:c>
      <x:c r="O767" s="1" t="str">
        <x:f>'Данные'!L767</x:f>
        <x:v>Нет</x:v>
      </x:c>
    </x:row>
    <x:row r="768">
      <x:c r="A768" s="1" t="str">
        <x:f>'Данные'!A768</x:f>
        <x:v>239852085</x:v>
      </x:c>
      <x:c r="B768" s="1" t="str">
        <x:f>'Данные'!B768</x:f>
        <x:v>svitshotrukpetl/светло-розовый</x:v>
      </x:c>
      <x:c r="C768" s="8" t="n">
        <x:f>'Данные'!G768</x:f>
        <x:v>219727</x:v>
      </x:c>
      <x:c r="D768" s="15" t="n">
        <x:f>C768/SUM($C$5:$C$2477)</x:f>
        <x:v>0.00025669027332368667</x:v>
      </x:c>
      <x:c r="E768" s="15" t="n">
        <x:f>SUM($D$5:D768)</x:f>
        <x:v>0.9231521901077999</x:v>
      </x:c>
      <x:c r="F768" s="1" t="str">
        <x:f>IF(C768&lt;=0,"C",IF(E768-D768&lt;'Дашборд'!$C$49,"A",IF(E768-D768&lt;'Дашборд'!$C$50,"B","C")))</x:f>
        <x:v>B</x:v>
      </x:c>
      <x:c r="G768" s="8" t="n">
        <x:f>'Данные'!F768</x:f>
        <x:v>245</x:v>
      </x:c>
      <x:c r="H768" s="8" t="n">
        <x:f>SUM('Данные'!H768:I768)</x:f>
        <x:v>0</x:v>
      </x:c>
      <x:c r="I768" s="16" t="str">
        <x:f>IF(H768&gt;0,G768/H768,"n.a.")</x:f>
        <x:v>n.a.</x:v>
      </x:c>
      <x:c r="J768" s="10" t="n">
        <x:f>IF('Данные'!E768&gt;0,G768/'Данные'!E768,"n.a.")</x:f>
        <x:v>0.013202565069784986</x:v>
      </x:c>
      <x:c r="K768" s="1" t="str">
        <x:f>IF(G768&gt;='Дашборд'!$C$51,"X","Z")</x:f>
        <x:v>Z</x:v>
      </x:c>
      <x:c r="L768" s="1" t="str">
        <x:f>IF(H768=0,IF(G768&gt;0,"Нет остатка","Нет спроса"),IF(I768&gt;='Дашборд'!$C$52,"Быстрый","Медленный"))</x:f>
        <x:v>Нет остатка</x:v>
      </x:c>
      <x:c r="M768" s="1" t="str">
        <x:f>IF('Данные'!E768&lt;'Дашборд'!$C$53,"Мало трафика",IF(J768&lt;'Дашборд'!$C$9*'Дашборд'!$C$54,"Да","Нет"))</x:f>
        <x:v>Нет</x:v>
      </x:c>
      <x:c r="N768" s="1" t="str">
        <x:f>IF(AND('Данные'!D768&gt;='Дашборд'!$C$55,D768&lt;'Дашборд'!$C$56,'Данные'!E768&gt;='Дашборд'!$C$53,'Данные'!L768&lt;&gt;"Да"),"Да","Нет")</x:f>
        <x:v>Да</x:v>
      </x:c>
      <x:c r="O768" s="1" t="str">
        <x:f>'Данные'!L768</x:f>
        <x:v>Нет</x:v>
      </x:c>
    </x:row>
    <x:row r="769">
      <x:c r="A769" s="1" t="str">
        <x:f>'Данные'!A769</x:f>
        <x:v>295991304</x:v>
      </x:c>
      <x:c r="B769" s="1" t="str">
        <x:f>'Данные'!B769</x:f>
        <x:v>hudimanprint/future-247/темно-серый</x:v>
      </x:c>
      <x:c r="C769" s="8" t="n">
        <x:f>'Данные'!G769</x:f>
        <x:v>217830</x:v>
      </x:c>
      <x:c r="D769" s="15" t="n">
        <x:f>C769/SUM($C$5:$C$2477)</x:f>
        <x:v>0.00025447415309952197</x:v>
      </x:c>
      <x:c r="E769" s="15" t="n">
        <x:f>SUM($D$5:D769)</x:f>
        <x:v>0.9234066642608995</x:v>
      </x:c>
      <x:c r="F769" s="1" t="str">
        <x:f>IF(C769&lt;=0,"C",IF(E769-D769&lt;'Дашборд'!$C$49,"A",IF(E769-D769&lt;'Дашборд'!$C$50,"B","C")))</x:f>
        <x:v>B</x:v>
      </x:c>
      <x:c r="G769" s="8" t="n">
        <x:f>'Данные'!F769</x:f>
        <x:v>203</x:v>
      </x:c>
      <x:c r="H769" s="8" t="n">
        <x:f>SUM('Данные'!H769:I769)</x:f>
        <x:v>664</x:v>
      </x:c>
      <x:c r="I769" s="16" t="n">
        <x:f>IF(H769&gt;0,G769/H769,"n.a.")</x:f>
        <x:v>0.3057228915662651</x:v>
      </x:c>
      <x:c r="J769" s="10" t="n">
        <x:f>IF('Данные'!E769&gt;0,G769/'Данные'!E769,"n.a.")</x:f>
        <x:v>0.013560454241816967</x:v>
      </x:c>
      <x:c r="K769" s="1" t="str">
        <x:f>IF(G769&gt;='Дашборд'!$C$51,"X","Z")</x:f>
        <x:v>Z</x:v>
      </x:c>
      <x:c r="L769" s="1" t="str">
        <x:f>IF(H769=0,IF(G769&gt;0,"Нет остатка","Нет спроса"),IF(I769&gt;='Дашборд'!$C$52,"Быстрый","Медленный"))</x:f>
        <x:v>Медленный</x:v>
      </x:c>
      <x:c r="M769" s="1" t="str">
        <x:f>IF('Данные'!E769&lt;'Дашборд'!$C$53,"Мало трафика",IF(J769&lt;'Дашборд'!$C$9*'Дашборд'!$C$54,"Да","Нет"))</x:f>
        <x:v>Нет</x:v>
      </x:c>
      <x:c r="N769" s="1" t="str">
        <x:f>IF(AND('Данные'!D769&gt;='Дашборд'!$C$55,D769&lt;'Дашборд'!$C$56,'Данные'!E769&gt;='Дашборд'!$C$53,'Данные'!L769&lt;&gt;"Да"),"Да","Нет")</x:f>
        <x:v>Да</x:v>
      </x:c>
      <x:c r="O769" s="1" t="str">
        <x:f>'Данные'!L769</x:f>
        <x:v>Нет</x:v>
      </x:c>
    </x:row>
    <x:row r="770">
      <x:c r="A770" s="1" t="str">
        <x:f>'Данные'!A770</x:f>
        <x:v>222802045</x:v>
      </x:c>
      <x:c r="B770" s="1" t="str">
        <x:f>'Данные'!B770</x:f>
        <x:v>hudipetl/серыймеланж2</x:v>
      </x:c>
      <x:c r="C770" s="8" t="n">
        <x:f>'Данные'!G770</x:f>
        <x:v>217645</x:v>
      </x:c>
      <x:c r="D770" s="15" t="n">
        <x:f>C770/SUM($C$5:$C$2477)</x:f>
        <x:v>0.0002542580317281617</x:v>
      </x:c>
      <x:c r="E770" s="15" t="n">
        <x:f>SUM($D$5:D770)</x:f>
        <x:v>0.9236609222926276</x:v>
      </x:c>
      <x:c r="F770" s="1" t="str">
        <x:f>IF(C770&lt;=0,"C",IF(E770-D770&lt;'Дашборд'!$C$49,"A",IF(E770-D770&lt;'Дашборд'!$C$50,"B","C")))</x:f>
        <x:v>B</x:v>
      </x:c>
      <x:c r="G770" s="8" t="n">
        <x:f>'Данные'!F770</x:f>
        <x:v>228</x:v>
      </x:c>
      <x:c r="H770" s="8" t="n">
        <x:f>SUM('Данные'!H770:I770)</x:f>
        <x:v>3</x:v>
      </x:c>
      <x:c r="I770" s="16" t="n">
        <x:f>IF(H770&gt;0,G770/H770,"n.a.")</x:f>
        <x:v>76</x:v>
      </x:c>
      <x:c r="J770" s="10" t="n">
        <x:f>IF('Данные'!E770&gt;0,G770/'Данные'!E770,"n.a.")</x:f>
        <x:v>0.009415262636273538</x:v>
      </x:c>
      <x:c r="K770" s="1" t="str">
        <x:f>IF(G770&gt;='Дашборд'!$C$51,"X","Z")</x:f>
        <x:v>Z</x:v>
      </x:c>
      <x:c r="L770" s="1" t="str">
        <x:f>IF(H770=0,IF(G770&gt;0,"Нет остатка","Нет спроса"),IF(I770&gt;='Дашборд'!$C$52,"Быстрый","Медленный"))</x:f>
        <x:v>Быстрый</x:v>
      </x:c>
      <x:c r="M770" s="1" t="str">
        <x:f>IF('Данные'!E770&lt;'Дашборд'!$C$53,"Мало трафика",IF(J770&lt;'Дашборд'!$C$9*'Дашборд'!$C$54,"Да","Нет"))</x:f>
        <x:v>Да</x:v>
      </x:c>
      <x:c r="N770" s="1" t="str">
        <x:f>IF(AND('Данные'!D770&gt;='Дашборд'!$C$55,D770&lt;'Дашборд'!$C$56,'Данные'!E770&gt;='Дашборд'!$C$53,'Данные'!L770&lt;&gt;"Да"),"Да","Нет")</x:f>
        <x:v>Нет</x:v>
      </x:c>
      <x:c r="O770" s="1" t="str">
        <x:f>'Данные'!L770</x:f>
        <x:v>Нет</x:v>
      </x:c>
    </x:row>
    <x:row r="771">
      <x:c r="A771" s="1" t="str">
        <x:f>'Данные'!A771</x:f>
        <x:v>348218025</x:v>
      </x:c>
      <x:c r="B771" s="1" t="str">
        <x:f>'Данные'!B771</x:f>
        <x:v>bodyskims/молочный</x:v>
      </x:c>
      <x:c r="C771" s="8" t="n">
        <x:f>'Данные'!G771</x:f>
        <x:v>217446</x:v>
      </x:c>
      <x:c r="D771" s="15" t="n">
        <x:f>C771/SUM($C$5:$C$2477)</x:f>
        <x:v>0.0002540255552259958</x:v>
      </x:c>
      <x:c r="E771" s="15" t="n">
        <x:f>SUM($D$5:D771)</x:f>
        <x:v>0.9239149478478537</x:v>
      </x:c>
      <x:c r="F771" s="1" t="str">
        <x:f>IF(C771&lt;=0,"C",IF(E771-D771&lt;'Дашборд'!$C$49,"A",IF(E771-D771&lt;'Дашборд'!$C$50,"B","C")))</x:f>
        <x:v>B</x:v>
      </x:c>
      <x:c r="G771" s="8" t="n">
        <x:f>'Данные'!F771</x:f>
        <x:v>682</x:v>
      </x:c>
      <x:c r="H771" s="8" t="n">
        <x:f>SUM('Данные'!H771:I771)</x:f>
        <x:v>468</x:v>
      </x:c>
      <x:c r="I771" s="16" t="n">
        <x:f>IF(H771&gt;0,G771/H771,"n.a.")</x:f>
        <x:v>1.4572649572649572</x:v>
      </x:c>
      <x:c r="J771" s="10" t="n">
        <x:f>IF('Данные'!E771&gt;0,G771/'Данные'!E771,"n.a.")</x:f>
        <x:v>0.014730657911788847</x:v>
      </x:c>
      <x:c r="K771" s="1" t="str">
        <x:f>IF(G771&gt;='Дашборд'!$C$51,"X","Z")</x:f>
        <x:v>X</x:v>
      </x:c>
      <x:c r="L771" s="1" t="str">
        <x:f>IF(H771=0,IF(G771&gt;0,"Нет остатка","Нет спроса"),IF(I771&gt;='Дашборд'!$C$52,"Быстрый","Медленный"))</x:f>
        <x:v>Быстрый</x:v>
      </x:c>
      <x:c r="M771" s="1" t="str">
        <x:f>IF('Данные'!E771&lt;'Дашборд'!$C$53,"Мало трафика",IF(J771&lt;'Дашборд'!$C$9*'Дашборд'!$C$54,"Да","Нет"))</x:f>
        <x:v>Нет</x:v>
      </x:c>
      <x:c r="N771" s="1" t="str">
        <x:f>IF(AND('Данные'!D771&gt;='Дашборд'!$C$55,D771&lt;'Дашборд'!$C$56,'Данные'!E771&gt;='Дашборд'!$C$53,'Данные'!L771&lt;&gt;"Да"),"Да","Нет")</x:f>
        <x:v>Нет</x:v>
      </x:c>
      <x:c r="O771" s="1" t="str">
        <x:f>'Данные'!L771</x:f>
        <x:v>Нет</x:v>
      </x:c>
    </x:row>
    <x:row r="772">
      <x:c r="A772" s="1" t="str">
        <x:f>'Данные'!A772</x:f>
        <x:v>222293207</x:v>
      </x:c>
      <x:c r="B772" s="1" t="str">
        <x:f>'Данные'!B772</x:f>
        <x:v>futbolkaprint/Vintage-110/молочный</x:v>
      </x:c>
      <x:c r="C772" s="8" t="n">
        <x:f>'Данные'!G772</x:f>
        <x:v>216870</x:v>
      </x:c>
      <x:c r="D772" s="15" t="n">
        <x:f>C772/SUM($C$5:$C$2477)</x:f>
        <x:v>0.00025335265841570643</x:v>
      </x:c>
      <x:c r="E772" s="15" t="n">
        <x:f>SUM($D$5:D772)</x:f>
        <x:v>0.9241683005062694</x:v>
      </x:c>
      <x:c r="F772" s="1" t="str">
        <x:f>IF(C772&lt;=0,"C",IF(E772-D772&lt;'Дашборд'!$C$49,"A",IF(E772-D772&lt;'Дашборд'!$C$50,"B","C")))</x:f>
        <x:v>B</x:v>
      </x:c>
      <x:c r="G772" s="8" t="n">
        <x:f>'Данные'!F772</x:f>
        <x:v>270</x:v>
      </x:c>
      <x:c r="H772" s="8" t="n">
        <x:f>SUM('Данные'!H772:I772)</x:f>
        <x:v>264</x:v>
      </x:c>
      <x:c r="I772" s="16" t="n">
        <x:f>IF(H772&gt;0,G772/H772,"n.a.")</x:f>
        <x:v>1.0227272727272727</x:v>
      </x:c>
      <x:c r="J772" s="10" t="n">
        <x:f>IF('Данные'!E772&gt;0,G772/'Данные'!E772,"n.a.")</x:f>
        <x:v>0.014022331861854065</x:v>
      </x:c>
      <x:c r="K772" s="1" t="str">
        <x:f>IF(G772&gt;='Дашборд'!$C$51,"X","Z")</x:f>
        <x:v>Z</x:v>
      </x:c>
      <x:c r="L772" s="1" t="str">
        <x:f>IF(H772=0,IF(G772&gt;0,"Нет остатка","Нет спроса"),IF(I772&gt;='Дашборд'!$C$52,"Быстрый","Медленный"))</x:f>
        <x:v>Быстрый</x:v>
      </x:c>
      <x:c r="M772" s="1" t="str">
        <x:f>IF('Данные'!E772&lt;'Дашборд'!$C$53,"Мало трафика",IF(J772&lt;'Дашборд'!$C$9*'Дашборд'!$C$54,"Да","Нет"))</x:f>
        <x:v>Нет</x:v>
      </x:c>
      <x:c r="N772" s="1" t="str">
        <x:f>IF(AND('Данные'!D772&gt;='Дашборд'!$C$55,D772&lt;'Дашборд'!$C$56,'Данные'!E772&gt;='Дашборд'!$C$53,'Данные'!L772&lt;&gt;"Да"),"Да","Нет")</x:f>
        <x:v>Нет</x:v>
      </x:c>
      <x:c r="O772" s="1" t="str">
        <x:f>'Данные'!L772</x:f>
        <x:v>Нет</x:v>
      </x:c>
    </x:row>
    <x:row r="773">
      <x:c r="A773" s="1" t="str">
        <x:f>'Данные'!A773</x:f>
        <x:v>246369352</x:v>
      </x:c>
      <x:c r="B773" s="1" t="str">
        <x:f>'Данные'!B773</x:f>
        <x:v>tolstovkazipcrop/вареныйсерый</x:v>
      </x:c>
      <x:c r="C773" s="8" t="n">
        <x:f>'Данные'!G773</x:f>
        <x:v>216824</x:v>
      </x:c>
      <x:c r="D773" s="15" t="n">
        <x:f>C773/SUM($C$5:$C$2477)</x:f>
        <x:v>0.00025329892012877363</x:v>
      </x:c>
      <x:c r="E773" s="15" t="n">
        <x:f>SUM($D$5:D773)</x:f>
        <x:v>0.9244215994263982</x:v>
      </x:c>
      <x:c r="F773" s="1" t="str">
        <x:f>IF(C773&lt;=0,"C",IF(E773-D773&lt;'Дашборд'!$C$49,"A",IF(E773-D773&lt;'Дашборд'!$C$50,"B","C")))</x:f>
        <x:v>B</x:v>
      </x:c>
      <x:c r="G773" s="8" t="n">
        <x:f>'Данные'!F773</x:f>
        <x:v>213</x:v>
      </x:c>
      <x:c r="H773" s="8" t="n">
        <x:f>SUM('Данные'!H773:I773)</x:f>
        <x:v>1</x:v>
      </x:c>
      <x:c r="I773" s="16" t="n">
        <x:f>IF(H773&gt;0,G773/H773,"n.a.")</x:f>
        <x:v>213</x:v>
      </x:c>
      <x:c r="J773" s="10" t="n">
        <x:f>IF('Данные'!E773&gt;0,G773/'Данные'!E773,"n.a.")</x:f>
        <x:v>0.010389737085995806</x:v>
      </x:c>
      <x:c r="K773" s="1" t="str">
        <x:f>IF(G773&gt;='Дашборд'!$C$51,"X","Z")</x:f>
        <x:v>Z</x:v>
      </x:c>
      <x:c r="L773" s="1" t="str">
        <x:f>IF(H773=0,IF(G773&gt;0,"Нет остатка","Нет спроса"),IF(I773&gt;='Дашборд'!$C$52,"Быстрый","Медленный"))</x:f>
        <x:v>Быстрый</x:v>
      </x:c>
      <x:c r="M773" s="1" t="str">
        <x:f>IF('Данные'!E773&lt;'Дашборд'!$C$53,"Мало трафика",IF(J773&lt;'Дашборд'!$C$9*'Дашборд'!$C$54,"Да","Нет"))</x:f>
        <x:v>Нет</x:v>
      </x:c>
      <x:c r="N773" s="1" t="str">
        <x:f>IF(AND('Данные'!D773&gt;='Дашборд'!$C$55,D773&lt;'Дашборд'!$C$56,'Данные'!E773&gt;='Дашборд'!$C$53,'Данные'!L773&lt;&gt;"Да"),"Да","Нет")</x:f>
        <x:v>Да</x:v>
      </x:c>
      <x:c r="O773" s="1" t="str">
        <x:f>'Данные'!L773</x:f>
        <x:v>Нет</x:v>
      </x:c>
    </x:row>
    <x:row r="774">
      <x:c r="A774" s="1" t="str">
        <x:f>'Данные'!A774</x:f>
        <x:v>216143244</x:v>
      </x:c>
      <x:c r="B774" s="1" t="str">
        <x:f>'Данные'!B774</x:f>
        <x:v>hudivish/MovesTag-94/черный</x:v>
      </x:c>
      <x:c r="C774" s="8" t="n">
        <x:f>'Данные'!G774</x:f>
        <x:v>216394</x:v>
      </x:c>
      <x:c r="D774" s="15" t="n">
        <x:f>C774/SUM($C$5:$C$2477)</x:f>
        <x:v>0.0002527965839683146</x:v>
      </x:c>
      <x:c r="E774" s="15" t="n">
        <x:f>SUM($D$5:D774)</x:f>
        <x:v>0.9246743960103665</x:v>
      </x:c>
      <x:c r="F774" s="1" t="str">
        <x:f>IF(C774&lt;=0,"C",IF(E774-D774&lt;'Дашборд'!$C$49,"A",IF(E774-D774&lt;'Дашборд'!$C$50,"B","C")))</x:f>
        <x:v>B</x:v>
      </x:c>
      <x:c r="G774" s="8" t="n">
        <x:f>'Данные'!F774</x:f>
        <x:v>191</x:v>
      </x:c>
      <x:c r="H774" s="8" t="n">
        <x:f>SUM('Данные'!H774:I774)</x:f>
        <x:v>118</x:v>
      </x:c>
      <x:c r="I774" s="16" t="n">
        <x:f>IF(H774&gt;0,G774/H774,"n.a.")</x:f>
        <x:v>1.61864406779661</x:v>
      </x:c>
      <x:c r="J774" s="10" t="n">
        <x:f>IF('Данные'!E774&gt;0,G774/'Данные'!E774,"n.a.")</x:f>
        <x:v>0.007695716991014948</x:v>
      </x:c>
      <x:c r="K774" s="1" t="str">
        <x:f>IF(G774&gt;='Дашборд'!$C$51,"X","Z")</x:f>
        <x:v>Z</x:v>
      </x:c>
      <x:c r="L774" s="1" t="str">
        <x:f>IF(H774=0,IF(G774&gt;0,"Нет остатка","Нет спроса"),IF(I774&gt;='Дашборд'!$C$52,"Быстрый","Медленный"))</x:f>
        <x:v>Быстрый</x:v>
      </x:c>
      <x:c r="M774" s="1" t="str">
        <x:f>IF('Данные'!E774&lt;'Дашборд'!$C$53,"Мало трафика",IF(J774&lt;'Дашборд'!$C$9*'Дашборд'!$C$54,"Да","Нет"))</x:f>
        <x:v>Да</x:v>
      </x:c>
      <x:c r="N774" s="1" t="str">
        <x:f>IF(AND('Данные'!D774&gt;='Дашборд'!$C$55,D774&lt;'Дашборд'!$C$56,'Данные'!E774&gt;='Дашборд'!$C$53,'Данные'!L774&lt;&gt;"Да"),"Да","Нет")</x:f>
        <x:v>Нет</x:v>
      </x:c>
      <x:c r="O774" s="1" t="str">
        <x:f>'Данные'!L774</x:f>
        <x:v>Нет</x:v>
      </x:c>
    </x:row>
    <x:row r="775">
      <x:c r="A775" s="1" t="str">
        <x:f>'Данные'!A775</x:f>
        <x:v>165911135</x:v>
      </x:c>
      <x:c r="B775" s="1" t="str">
        <x:f>'Данные'!B775</x:f>
        <x:v>longman/белый</x:v>
      </x:c>
      <x:c r="C775" s="8" t="n">
        <x:f>'Данные'!G775</x:f>
        <x:v>215551</x:v>
      </x:c>
      <x:c r="D775" s="15" t="n">
        <x:f>C775/SUM($C$5:$C$2477)</x:f>
        <x:v>0.000251811771449089</x:v>
      </x:c>
      <x:c r="E775" s="15" t="n">
        <x:f>SUM($D$5:D775)</x:f>
        <x:v>0.9249262077818156</x:v>
      </x:c>
      <x:c r="F775" s="1" t="str">
        <x:f>IF(C775&lt;=0,"C",IF(E775-D775&lt;'Дашборд'!$C$49,"A",IF(E775-D775&lt;'Дашборд'!$C$50,"B","C")))</x:f>
        <x:v>B</x:v>
      </x:c>
      <x:c r="G775" s="8" t="n">
        <x:f>'Данные'!F775</x:f>
        <x:v>452</x:v>
      </x:c>
      <x:c r="H775" s="8" t="n">
        <x:f>SUM('Данные'!H775:I775)</x:f>
        <x:v>2812</x:v>
      </x:c>
      <x:c r="I775" s="16" t="n">
        <x:f>IF(H775&gt;0,G775/H775,"n.a.")</x:f>
        <x:v>0.16073968705547653</x:v>
      </x:c>
      <x:c r="J775" s="10" t="n">
        <x:f>IF('Данные'!E775&gt;0,G775/'Данные'!E775,"n.a.")</x:f>
        <x:v>0.03729680666721677</x:v>
      </x:c>
      <x:c r="K775" s="1" t="str">
        <x:f>IF(G775&gt;='Дашборд'!$C$51,"X","Z")</x:f>
        <x:v>X</x:v>
      </x:c>
      <x:c r="L775" s="1" t="str">
        <x:f>IF(H775=0,IF(G775&gt;0,"Нет остатка","Нет спроса"),IF(I775&gt;='Дашборд'!$C$52,"Быстрый","Медленный"))</x:f>
        <x:v>Медленный</x:v>
      </x:c>
      <x:c r="M775" s="1" t="str">
        <x:f>IF('Данные'!E775&lt;'Дашборд'!$C$53,"Мало трафика",IF(J775&lt;'Дашборд'!$C$9*'Дашборд'!$C$54,"Да","Нет"))</x:f>
        <x:v>Нет</x:v>
      </x:c>
      <x:c r="N775" s="1" t="str">
        <x:f>IF(AND('Данные'!D775&gt;='Дашборд'!$C$55,D775&lt;'Дашборд'!$C$56,'Данные'!E775&gt;='Дашборд'!$C$53,'Данные'!L775&lt;&gt;"Да"),"Да","Нет")</x:f>
        <x:v>Нет</x:v>
      </x:c>
      <x:c r="O775" s="1" t="str">
        <x:f>'Данные'!L775</x:f>
        <x:v>Нет</x:v>
      </x:c>
    </x:row>
    <x:row r="776">
      <x:c r="A776" s="1" t="str">
        <x:f>'Данные'!A776</x:f>
        <x:v>19077493</x:v>
      </x:c>
      <x:c r="B776" s="1" t="str">
        <x:f>'Данные'!B776</x:f>
        <x:v>bruki/синесерый</x:v>
      </x:c>
      <x:c r="C776" s="8" t="n">
        <x:f>'Данные'!G776</x:f>
        <x:v>215326</x:v>
      </x:c>
      <x:c r="D776" s="15" t="n">
        <x:f>C776/SUM($C$5:$C$2477)</x:f>
        <x:v>0.0002515489211325698</x:v>
      </x:c>
      <x:c r="E776" s="15" t="n">
        <x:f>SUM($D$5:D776)</x:f>
        <x:v>0.9251777567029481</x:v>
      </x:c>
      <x:c r="F776" s="1" t="str">
        <x:f>IF(C776&lt;=0,"C",IF(E776-D776&lt;'Дашборд'!$C$49,"A",IF(E776-D776&lt;'Дашборд'!$C$50,"B","C")))</x:f>
        <x:v>B</x:v>
      </x:c>
      <x:c r="G776" s="8" t="n">
        <x:f>'Данные'!F776</x:f>
        <x:v>435</x:v>
      </x:c>
      <x:c r="H776" s="8" t="n">
        <x:f>SUM('Данные'!H776:I776)</x:f>
        <x:v>400</x:v>
      </x:c>
      <x:c r="I776" s="16" t="n">
        <x:f>IF(H776&gt;0,G776/H776,"n.a.")</x:f>
        <x:v>1.0875</x:v>
      </x:c>
      <x:c r="J776" s="10" t="n">
        <x:f>IF('Данные'!E776&gt;0,G776/'Данные'!E776,"n.a.")</x:f>
        <x:v>0.01952511333542798</x:v>
      </x:c>
      <x:c r="K776" s="1" t="str">
        <x:f>IF(G776&gt;='Дашборд'!$C$51,"X","Z")</x:f>
        <x:v>X</x:v>
      </x:c>
      <x:c r="L776" s="1" t="str">
        <x:f>IF(H776=0,IF(G776&gt;0,"Нет остатка","Нет спроса"),IF(I776&gt;='Дашборд'!$C$52,"Быстрый","Медленный"))</x:f>
        <x:v>Быстрый</x:v>
      </x:c>
      <x:c r="M776" s="1" t="str">
        <x:f>IF('Данные'!E776&lt;'Дашборд'!$C$53,"Мало трафика",IF(J776&lt;'Дашборд'!$C$9*'Дашборд'!$C$54,"Да","Нет"))</x:f>
        <x:v>Нет</x:v>
      </x:c>
      <x:c r="N776" s="1" t="str">
        <x:f>IF(AND('Данные'!D776&gt;='Дашборд'!$C$55,D776&lt;'Дашборд'!$C$56,'Данные'!E776&gt;='Дашборд'!$C$53,'Данные'!L776&lt;&gt;"Да"),"Да","Нет")</x:f>
        <x:v>Нет</x:v>
      </x:c>
      <x:c r="O776" s="1" t="str">
        <x:f>'Данные'!L776</x:f>
        <x:v>Нет</x:v>
      </x:c>
    </x:row>
    <x:row r="777">
      <x:c r="A777" s="1" t="str">
        <x:f>'Данные'!A777</x:f>
        <x:v>336312266</x:v>
      </x:c>
      <x:c r="B777" s="1" t="str">
        <x:f>'Данные'!B777</x:f>
        <x:v>shortyman/дымка</x:v>
      </x:c>
      <x:c r="C777" s="8" t="n">
        <x:f>'Данные'!G777</x:f>
        <x:v>213910</x:v>
      </x:c>
      <x:c r="D777" s="15" t="n">
        <x:f>C777/SUM($C$5:$C$2477)</x:f>
        <x:v>0.0002498947164739418</x:v>
      </x:c>
      <x:c r="E777" s="15" t="n">
        <x:f>SUM($D$5:D777)</x:f>
        <x:v>0.9254276514194221</x:v>
      </x:c>
      <x:c r="F777" s="1" t="str">
        <x:f>IF(C777&lt;=0,"C",IF(E777-D777&lt;'Дашборд'!$C$49,"A",IF(E777-D777&lt;'Дашборд'!$C$50,"B","C")))</x:f>
        <x:v>B</x:v>
      </x:c>
      <x:c r="G777" s="8" t="n">
        <x:f>'Данные'!F777</x:f>
        <x:v>346</x:v>
      </x:c>
      <x:c r="H777" s="8" t="n">
        <x:f>SUM('Данные'!H777:I777)</x:f>
        <x:v>0</x:v>
      </x:c>
      <x:c r="I777" s="16" t="str">
        <x:f>IF(H777&gt;0,G777/H777,"n.a.")</x:f>
        <x:v>n.a.</x:v>
      </x:c>
      <x:c r="J777" s="10" t="n">
        <x:f>IF('Данные'!E777&gt;0,G777/'Данные'!E777,"n.a.")</x:f>
        <x:v>0.02172684458398744</x:v>
      </x:c>
      <x:c r="K777" s="1" t="str">
        <x:f>IF(G777&gt;='Дашборд'!$C$51,"X","Z")</x:f>
        <x:v>X</x:v>
      </x:c>
      <x:c r="L777" s="1" t="str">
        <x:f>IF(H777=0,IF(G777&gt;0,"Нет остатка","Нет спроса"),IF(I777&gt;='Дашборд'!$C$52,"Быстрый","Медленный"))</x:f>
        <x:v>Нет остатка</x:v>
      </x:c>
      <x:c r="M777" s="1" t="str">
        <x:f>IF('Данные'!E777&lt;'Дашборд'!$C$53,"Мало трафика",IF(J777&lt;'Дашборд'!$C$9*'Дашборд'!$C$54,"Да","Нет"))</x:f>
        <x:v>Нет</x:v>
      </x:c>
      <x:c r="N777" s="1" t="str">
        <x:f>IF(AND('Данные'!D777&gt;='Дашборд'!$C$55,D777&lt;'Дашборд'!$C$56,'Данные'!E777&gt;='Дашборд'!$C$53,'Данные'!L777&lt;&gt;"Да"),"Да","Нет")</x:f>
        <x:v>Нет</x:v>
      </x:c>
      <x:c r="O777" s="1" t="str">
        <x:f>'Данные'!L777</x:f>
        <x:v>Нет</x:v>
      </x:c>
    </x:row>
    <x:row r="778">
      <x:c r="A778" s="1" t="str">
        <x:f>'Данные'!A778</x:f>
        <x:v>160478492</x:v>
      </x:c>
      <x:c r="B778" s="1" t="str">
        <x:f>'Данные'!B778</x:f>
        <x:v>shortyman/серый</x:v>
      </x:c>
      <x:c r="C778" s="8" t="n">
        <x:f>'Данные'!G778</x:f>
        <x:v>213261</x:v>
      </x:c>
      <x:c r="D778" s="15" t="n">
        <x:f>C778/SUM($C$5:$C$2477)</x:f>
        <x:v>0.00024913653933873736</x:v>
      </x:c>
      <x:c r="E778" s="15" t="n">
        <x:f>SUM($D$5:D778)</x:f>
        <x:v>0.9256767879587608</x:v>
      </x:c>
      <x:c r="F778" s="1" t="str">
        <x:f>IF(C778&lt;=0,"C",IF(E778-D778&lt;'Дашборд'!$C$49,"A",IF(E778-D778&lt;'Дашборд'!$C$50,"B","C")))</x:f>
        <x:v>B</x:v>
      </x:c>
      <x:c r="G778" s="8" t="n">
        <x:f>'Данные'!F778</x:f>
        <x:v>400</x:v>
      </x:c>
      <x:c r="H778" s="8" t="n">
        <x:f>SUM('Данные'!H778:I778)</x:f>
        <x:v>3</x:v>
      </x:c>
      <x:c r="I778" s="16" t="n">
        <x:f>IF(H778&gt;0,G778/H778,"n.a.")</x:f>
        <x:v>133.33333333333334</x:v>
      </x:c>
      <x:c r="J778" s="10" t="n">
        <x:f>IF('Данные'!E778&gt;0,G778/'Данные'!E778,"n.a.")</x:f>
        <x:v>0.015270672673131251</x:v>
      </x:c>
      <x:c r="K778" s="1" t="str">
        <x:f>IF(G778&gt;='Дашборд'!$C$51,"X","Z")</x:f>
        <x:v>X</x:v>
      </x:c>
      <x:c r="L778" s="1" t="str">
        <x:f>IF(H778=0,IF(G778&gt;0,"Нет остатка","Нет спроса"),IF(I778&gt;='Дашборд'!$C$52,"Быстрый","Медленный"))</x:f>
        <x:v>Быстрый</x:v>
      </x:c>
      <x:c r="M778" s="1" t="str">
        <x:f>IF('Данные'!E778&lt;'Дашборд'!$C$53,"Мало трафика",IF(J778&lt;'Дашборд'!$C$9*'Дашборд'!$C$54,"Да","Нет"))</x:f>
        <x:v>Нет</x:v>
      </x:c>
      <x:c r="N778" s="1" t="str">
        <x:f>IF(AND('Данные'!D778&gt;='Дашборд'!$C$55,D778&lt;'Дашборд'!$C$56,'Данные'!E778&gt;='Дашборд'!$C$53,'Данные'!L778&lt;&gt;"Да"),"Да","Нет")</x:f>
        <x:v>Нет</x:v>
      </x:c>
      <x:c r="O778" s="1" t="str">
        <x:f>'Данные'!L778</x:f>
        <x:v>Нет</x:v>
      </x:c>
    </x:row>
    <x:row r="779">
      <x:c r="A779" s="1" t="str">
        <x:f>'Данные'!A779</x:f>
        <x:v>332581971</x:v>
      </x:c>
      <x:c r="B779" s="1" t="str">
        <x:f>'Данные'!B779</x:f>
        <x:v>shortyman4P-91/серыймеланж2</x:v>
      </x:c>
      <x:c r="C779" s="8" t="n">
        <x:f>'Данные'!G779</x:f>
        <x:v>213211</x:v>
      </x:c>
      <x:c r="D779" s="15" t="n">
        <x:f>C779/SUM($C$5:$C$2477)</x:f>
        <x:v>0.0002490781281572886</x:v>
      </x:c>
      <x:c r="E779" s="15" t="n">
        <x:f>SUM($D$5:D779)</x:f>
        <x:v>0.9259258660869182</x:v>
      </x:c>
      <x:c r="F779" s="1" t="str">
        <x:f>IF(C779&lt;=0,"C",IF(E779-D779&lt;'Дашборд'!$C$49,"A",IF(E779-D779&lt;'Дашборд'!$C$50,"B","C")))</x:f>
        <x:v>B</x:v>
      </x:c>
      <x:c r="G779" s="8" t="n">
        <x:f>'Данные'!F779</x:f>
        <x:v>434</x:v>
      </x:c>
      <x:c r="H779" s="8" t="n">
        <x:f>SUM('Данные'!H779:I779)</x:f>
        <x:v>8</x:v>
      </x:c>
      <x:c r="I779" s="16" t="n">
        <x:f>IF(H779&gt;0,G779/H779,"n.a.")</x:f>
        <x:v>54.25</x:v>
      </x:c>
      <x:c r="J779" s="10" t="n">
        <x:f>IF('Данные'!E779&gt;0,G779/'Данные'!E779,"n.a.")</x:f>
        <x:v>0.027409372236958444</x:v>
      </x:c>
      <x:c r="K779" s="1" t="str">
        <x:f>IF(G779&gt;='Дашборд'!$C$51,"X","Z")</x:f>
        <x:v>X</x:v>
      </x:c>
      <x:c r="L779" s="1" t="str">
        <x:f>IF(H779=0,IF(G779&gt;0,"Нет остатка","Нет спроса"),IF(I779&gt;='Дашборд'!$C$52,"Быстрый","Медленный"))</x:f>
        <x:v>Быстрый</x:v>
      </x:c>
      <x:c r="M779" s="1" t="str">
        <x:f>IF('Данные'!E779&lt;'Дашборд'!$C$53,"Мало трафика",IF(J779&lt;'Дашборд'!$C$9*'Дашборд'!$C$54,"Да","Нет"))</x:f>
        <x:v>Нет</x:v>
      </x:c>
      <x:c r="N779" s="1" t="str">
        <x:f>IF(AND('Данные'!D779&gt;='Дашборд'!$C$55,D779&lt;'Дашборд'!$C$56,'Данные'!E779&gt;='Дашборд'!$C$53,'Данные'!L779&lt;&gt;"Да"),"Да","Нет")</x:f>
        <x:v>Нет</x:v>
      </x:c>
      <x:c r="O779" s="1" t="str">
        <x:f>'Данные'!L779</x:f>
        <x:v>Нет</x:v>
      </x:c>
    </x:row>
    <x:row r="780">
      <x:c r="A780" s="1" t="str">
        <x:f>'Данные'!A780</x:f>
        <x:v>150673972</x:v>
      </x:c>
      <x:c r="B780" s="1" t="str">
        <x:f>'Данные'!B780</x:f>
        <x:v>svitshotover/фуксия</x:v>
      </x:c>
      <x:c r="C780" s="8" t="n">
        <x:f>'Данные'!G780</x:f>
        <x:v>213156</x:v>
      </x:c>
      <x:c r="D780" s="15" t="n">
        <x:f>C780/SUM($C$5:$C$2477)</x:f>
        <x:v>0.00024901387585769504</x:v>
      </x:c>
      <x:c r="E780" s="15" t="n">
        <x:f>SUM($D$5:D780)</x:f>
        <x:v>0.9261748799627759</x:v>
      </x:c>
      <x:c r="F780" s="1" t="str">
        <x:f>IF(C780&lt;=0,"C",IF(E780-D780&lt;'Дашборд'!$C$49,"A",IF(E780-D780&lt;'Дашборд'!$C$50,"B","C")))</x:f>
        <x:v>B</x:v>
      </x:c>
      <x:c r="G780" s="8" t="n">
        <x:f>'Данные'!F780</x:f>
        <x:v>372</x:v>
      </x:c>
      <x:c r="H780" s="8" t="n">
        <x:f>SUM('Данные'!H780:I780)</x:f>
        <x:v>987</x:v>
      </x:c>
      <x:c r="I780" s="16" t="n">
        <x:f>IF(H780&gt;0,G780/H780,"n.a.")</x:f>
        <x:v>0.3768996960486322</x:v>
      </x:c>
      <x:c r="J780" s="10" t="n">
        <x:f>IF('Данные'!E780&gt;0,G780/'Данные'!E780,"n.a.")</x:f>
        <x:v>0.012253368029249975</x:v>
      </x:c>
      <x:c r="K780" s="1" t="str">
        <x:f>IF(G780&gt;='Дашборд'!$C$51,"X","Z")</x:f>
        <x:v>X</x:v>
      </x:c>
      <x:c r="L780" s="1" t="str">
        <x:f>IF(H780=0,IF(G780&gt;0,"Нет остатка","Нет спроса"),IF(I780&gt;='Дашборд'!$C$52,"Быстрый","Медленный"))</x:f>
        <x:v>Медленный</x:v>
      </x:c>
      <x:c r="M780" s="1" t="str">
        <x:f>IF('Данные'!E780&lt;'Дашборд'!$C$53,"Мало трафика",IF(J780&lt;'Дашборд'!$C$9*'Дашборд'!$C$54,"Да","Нет"))</x:f>
        <x:v>Нет</x:v>
      </x:c>
      <x:c r="N780" s="1" t="str">
        <x:f>IF(AND('Данные'!D780&gt;='Дашборд'!$C$55,D780&lt;'Дашборд'!$C$56,'Данные'!E780&gt;='Дашборд'!$C$53,'Данные'!L780&lt;&gt;"Да"),"Да","Нет")</x:f>
        <x:v>Да</x:v>
      </x:c>
      <x:c r="O780" s="1" t="str">
        <x:f>'Данные'!L780</x:f>
        <x:v>Нет</x:v>
      </x:c>
    </x:row>
    <x:row r="781">
      <x:c r="A781" s="1" t="str">
        <x:f>'Данные'!A781</x:f>
        <x:v>19865831</x:v>
      </x:c>
      <x:c r="B781" s="1" t="str">
        <x:f>'Данные'!B781</x:f>
        <x:v>hudi/светло-зеленый</x:v>
      </x:c>
      <x:c r="C781" s="8" t="n">
        <x:f>'Данные'!G781</x:f>
        <x:v>213154</x:v>
      </x:c>
      <x:c r="D781" s="15" t="n">
        <x:f>C781/SUM($C$5:$C$2477)</x:f>
        <x:v>0.0002490115394104371</x:v>
      </x:c>
      <x:c r="E781" s="15" t="n">
        <x:f>SUM($D$5:D781)</x:f>
        <x:v>0.9264238915021864</x:v>
      </x:c>
      <x:c r="F781" s="1" t="str">
        <x:f>IF(C781&lt;=0,"C",IF(E781-D781&lt;'Дашборд'!$C$49,"A",IF(E781-D781&lt;'Дашборд'!$C$50,"B","C")))</x:f>
        <x:v>B</x:v>
      </x:c>
      <x:c r="G781" s="8" t="n">
        <x:f>'Данные'!F781</x:f>
        <x:v>261</x:v>
      </x:c>
      <x:c r="H781" s="8" t="n">
        <x:f>SUM('Данные'!H781:I781)</x:f>
        <x:v>4</x:v>
      </x:c>
      <x:c r="I781" s="16" t="n">
        <x:f>IF(H781&gt;0,G781/H781,"n.a.")</x:f>
        <x:v>65.25</x:v>
      </x:c>
      <x:c r="J781" s="10" t="n">
        <x:f>IF('Данные'!E781&gt;0,G781/'Данные'!E781,"n.a.")</x:f>
        <x:v>0.022693678810538215</x:v>
      </x:c>
      <x:c r="K781" s="1" t="str">
        <x:f>IF(G781&gt;='Дашборд'!$C$51,"X","Z")</x:f>
        <x:v>Z</x:v>
      </x:c>
      <x:c r="L781" s="1" t="str">
        <x:f>IF(H781=0,IF(G781&gt;0,"Нет остатка","Нет спроса"),IF(I781&gt;='Дашборд'!$C$52,"Быстрый","Медленный"))</x:f>
        <x:v>Быстрый</x:v>
      </x:c>
      <x:c r="M781" s="1" t="str">
        <x:f>IF('Данные'!E781&lt;'Дашборд'!$C$53,"Мало трафика",IF(J781&lt;'Дашборд'!$C$9*'Дашборд'!$C$54,"Да","Нет"))</x:f>
        <x:v>Нет</x:v>
      </x:c>
      <x:c r="N781" s="1" t="str">
        <x:f>IF(AND('Данные'!D781&gt;='Дашборд'!$C$55,D781&lt;'Дашборд'!$C$56,'Данные'!E781&gt;='Дашборд'!$C$53,'Данные'!L781&lt;&gt;"Да"),"Да","Нет")</x:f>
        <x:v>Да</x:v>
      </x:c>
      <x:c r="O781" s="1" t="str">
        <x:f>'Данные'!L781</x:f>
        <x:v>Нет</x:v>
      </x:c>
    </x:row>
    <x:row r="782">
      <x:c r="A782" s="1" t="str">
        <x:f>'Данные'!A782</x:f>
        <x:v>193100139</x:v>
      </x:c>
      <x:c r="B782" s="1" t="str">
        <x:f>'Данные'!B782</x:f>
        <x:v>svitshotzip1/темно-серый</x:v>
      </x:c>
      <x:c r="C782" s="8" t="n">
        <x:f>'Данные'!G782</x:f>
        <x:v>213070</x:v>
      </x:c>
      <x:c r="D782" s="15" t="n">
        <x:f>C782/SUM($C$5:$C$2477)</x:f>
        <x:v>0.0002489134086256032</x:v>
      </x:c>
      <x:c r="E782" s="15" t="n">
        <x:f>SUM($D$5:D782)</x:f>
        <x:v>0.926672804910812</x:v>
      </x:c>
      <x:c r="F782" s="1" t="str">
        <x:f>IF(C782&lt;=0,"C",IF(E782-D782&lt;'Дашборд'!$C$49,"A",IF(E782-D782&lt;'Дашборд'!$C$50,"B","C")))</x:f>
        <x:v>B</x:v>
      </x:c>
      <x:c r="G782" s="8" t="n">
        <x:f>'Данные'!F782</x:f>
        <x:v>275</x:v>
      </x:c>
      <x:c r="H782" s="8" t="n">
        <x:f>SUM('Данные'!H782:I782)</x:f>
        <x:v>196</x:v>
      </x:c>
      <x:c r="I782" s="16" t="n">
        <x:f>IF(H782&gt;0,G782/H782,"n.a.")</x:f>
        <x:v>1.403061224489796</x:v>
      </x:c>
      <x:c r="J782" s="10" t="n">
        <x:f>IF('Данные'!E782&gt;0,G782/'Данные'!E782,"n.a.")</x:f>
        <x:v>0.01562944018186985</x:v>
      </x:c>
      <x:c r="K782" s="1" t="str">
        <x:f>IF(G782&gt;='Дашборд'!$C$51,"X","Z")</x:f>
        <x:v>X</x:v>
      </x:c>
      <x:c r="L782" s="1" t="str">
        <x:f>IF(H782=0,IF(G782&gt;0,"Нет остатка","Нет спроса"),IF(I782&gt;='Дашборд'!$C$52,"Быстрый","Медленный"))</x:f>
        <x:v>Быстрый</x:v>
      </x:c>
      <x:c r="M782" s="1" t="str">
        <x:f>IF('Данные'!E782&lt;'Дашборд'!$C$53,"Мало трафика",IF(J782&lt;'Дашборд'!$C$9*'Дашборд'!$C$54,"Да","Нет"))</x:f>
        <x:v>Нет</x:v>
      </x:c>
      <x:c r="N782" s="1" t="str">
        <x:f>IF(AND('Данные'!D782&gt;='Дашборд'!$C$55,D782&lt;'Дашборд'!$C$56,'Данные'!E782&gt;='Дашборд'!$C$53,'Данные'!L782&lt;&gt;"Да"),"Да","Нет")</x:f>
        <x:v>Да</x:v>
      </x:c>
      <x:c r="O782" s="1" t="str">
        <x:f>'Данные'!L782</x:f>
        <x:v>Нет</x:v>
      </x:c>
    </x:row>
    <x:row r="783">
      <x:c r="A783" s="1" t="str">
        <x:f>'Данные'!A783</x:f>
        <x:v>237893881</x:v>
      </x:c>
      <x:c r="B783" s="1" t="str">
        <x:f>'Данные'!B783</x:f>
        <x:v>svitzipcroppetl/молочный</x:v>
      </x:c>
      <x:c r="C783" s="8" t="n">
        <x:f>'Данные'!G783</x:f>
        <x:v>212835</x:v>
      </x:c>
      <x:c r="D783" s="15" t="n">
        <x:f>C783/SUM($C$5:$C$2477)</x:f>
        <x:v>0.0002486388760727942</x:v>
      </x:c>
      <x:c r="E783" s="15" t="n">
        <x:f>SUM($D$5:D783)</x:f>
        <x:v>0.9269214437868849</x:v>
      </x:c>
      <x:c r="F783" s="1" t="str">
        <x:f>IF(C783&lt;=0,"C",IF(E783-D783&lt;'Дашборд'!$C$49,"A",IF(E783-D783&lt;'Дашборд'!$C$50,"B","C")))</x:f>
        <x:v>B</x:v>
      </x:c>
      <x:c r="G783" s="8" t="n">
        <x:f>'Данные'!F783</x:f>
        <x:v>276</x:v>
      </x:c>
      <x:c r="H783" s="8" t="n">
        <x:f>SUM('Данные'!H783:I783)</x:f>
        <x:v>340</x:v>
      </x:c>
      <x:c r="I783" s="16" t="n">
        <x:f>IF(H783&gt;0,G783/H783,"n.a.")</x:f>
        <x:v>0.8117647058823529</x:v>
      </x:c>
      <x:c r="J783" s="10" t="n">
        <x:f>IF('Данные'!E783&gt;0,G783/'Данные'!E783,"n.a.")</x:f>
        <x:v>0.010437544907915139</x:v>
      </x:c>
      <x:c r="K783" s="1" t="str">
        <x:f>IF(G783&gt;='Дашборд'!$C$51,"X","Z")</x:f>
        <x:v>X</x:v>
      </x:c>
      <x:c r="L783" s="1" t="str">
        <x:f>IF(H783=0,IF(G783&gt;0,"Нет остатка","Нет спроса"),IF(I783&gt;='Дашборд'!$C$52,"Быстрый","Медленный"))</x:f>
        <x:v>Медленный</x:v>
      </x:c>
      <x:c r="M783" s="1" t="str">
        <x:f>IF('Данные'!E783&lt;'Дашборд'!$C$53,"Мало трафика",IF(J783&lt;'Дашборд'!$C$9*'Дашборд'!$C$54,"Да","Нет"))</x:f>
        <x:v>Нет</x:v>
      </x:c>
      <x:c r="N783" s="1" t="str">
        <x:f>IF(AND('Данные'!D783&gt;='Дашборд'!$C$55,D783&lt;'Дашборд'!$C$56,'Данные'!E783&gt;='Дашборд'!$C$53,'Данные'!L783&lt;&gt;"Да"),"Да","Нет")</x:f>
        <x:v>Нет</x:v>
      </x:c>
      <x:c r="O783" s="1" t="str">
        <x:f>'Данные'!L783</x:f>
        <x:v>Нет</x:v>
      </x:c>
    </x:row>
    <x:row r="784">
      <x:c r="A784" s="1" t="str">
        <x:f>'Данные'!A784</x:f>
        <x:v>253269672</x:v>
      </x:c>
      <x:c r="B784" s="1" t="str">
        <x:f>'Данные'!B784</x:f>
        <x:v>hudiprint/Spread-202/белый</x:v>
      </x:c>
      <x:c r="C784" s="8" t="n">
        <x:f>'Данные'!G784</x:f>
        <x:v>212424</x:v>
      </x:c>
      <x:c r="D784" s="15" t="n">
        <x:f>C784/SUM($C$5:$C$2477)</x:f>
        <x:v>0.0002481587361612857</x:v>
      </x:c>
      <x:c r="E784" s="15" t="n">
        <x:f>SUM($D$5:D784)</x:f>
        <x:v>0.9271696025230461</x:v>
      </x:c>
      <x:c r="F784" s="1" t="str">
        <x:f>IF(C784&lt;=0,"C",IF(E784-D784&lt;'Дашборд'!$C$49,"A",IF(E784-D784&lt;'Дашборд'!$C$50,"B","C")))</x:f>
        <x:v>B</x:v>
      </x:c>
      <x:c r="G784" s="8" t="n">
        <x:f>'Данные'!F784</x:f>
        <x:v>206</x:v>
      </x:c>
      <x:c r="H784" s="8" t="n">
        <x:f>SUM('Данные'!H784:I784)</x:f>
        <x:v>1033</x:v>
      </x:c>
      <x:c r="I784" s="16" t="n">
        <x:f>IF(H784&gt;0,G784/H784,"n.a.")</x:f>
        <x:v>0.1994191674733785</x:v>
      </x:c>
      <x:c r="J784" s="10" t="n">
        <x:f>IF('Данные'!E784&gt;0,G784/'Данные'!E784,"n.a.")</x:f>
        <x:v>0.004982223619609645</x:v>
      </x:c>
      <x:c r="K784" s="1" t="str">
        <x:f>IF(G784&gt;='Дашборд'!$C$51,"X","Z")</x:f>
        <x:v>Z</x:v>
      </x:c>
      <x:c r="L784" s="1" t="str">
        <x:f>IF(H784=0,IF(G784&gt;0,"Нет остатка","Нет спроса"),IF(I784&gt;='Дашборд'!$C$52,"Быстрый","Медленный"))</x:f>
        <x:v>Медленный</x:v>
      </x:c>
      <x:c r="M784" s="1" t="str">
        <x:f>IF('Данные'!E784&lt;'Дашборд'!$C$53,"Мало трафика",IF(J784&lt;'Дашборд'!$C$9*'Дашборд'!$C$54,"Да","Нет"))</x:f>
        <x:v>Да</x:v>
      </x:c>
      <x:c r="N784" s="1" t="str">
        <x:f>IF(AND('Данные'!D784&gt;='Дашборд'!$C$55,D784&lt;'Дашборд'!$C$56,'Данные'!E784&gt;='Дашборд'!$C$53,'Данные'!L784&lt;&gt;"Да"),"Да","Нет")</x:f>
        <x:v>Нет</x:v>
      </x:c>
      <x:c r="O784" s="1" t="str">
        <x:f>'Данные'!L784</x:f>
        <x:v>Нет</x:v>
      </x:c>
    </x:row>
    <x:row r="785">
      <x:c r="A785" s="1" t="str">
        <x:f>'Данные'!A785</x:f>
        <x:v>77786888</x:v>
      </x:c>
      <x:c r="B785" s="1" t="str">
        <x:f>'Данные'!B785</x:f>
        <x:v>futbolkaover/зеленый</x:v>
      </x:c>
      <x:c r="C785" s="8" t="n">
        <x:f>'Данные'!G785</x:f>
        <x:v>212015</x:v>
      </x:c>
      <x:c r="D785" s="15" t="n">
        <x:f>C785/SUM($C$5:$C$2477)</x:f>
        <x:v>0.0002476809326970351</x:v>
      </x:c>
      <x:c r="E785" s="15" t="n">
        <x:f>SUM($D$5:D785)</x:f>
        <x:v>0.9274172834557431</x:v>
      </x:c>
      <x:c r="F785" s="1" t="str">
        <x:f>IF(C785&lt;=0,"C",IF(E785-D785&lt;'Дашборд'!$C$49,"A",IF(E785-D785&lt;'Дашборд'!$C$50,"B","C")))</x:f>
        <x:v>B</x:v>
      </x:c>
      <x:c r="G785" s="8" t="n">
        <x:f>'Данные'!F785</x:f>
        <x:v>469</x:v>
      </x:c>
      <x:c r="H785" s="8" t="n">
        <x:f>SUM('Данные'!H785:I785)</x:f>
        <x:v>2673</x:v>
      </x:c>
      <x:c r="I785" s="16" t="n">
        <x:f>IF(H785&gt;0,G785/H785,"n.a.")</x:f>
        <x:v>0.1754582865693977</x:v>
      </x:c>
      <x:c r="J785" s="10" t="n">
        <x:f>IF('Данные'!E785&gt;0,G785/'Данные'!E785,"n.a.")</x:f>
        <x:v>0.010631304544939364</x:v>
      </x:c>
      <x:c r="K785" s="1" t="str">
        <x:f>IF(G785&gt;='Дашборд'!$C$51,"X","Z")</x:f>
        <x:v>X</x:v>
      </x:c>
      <x:c r="L785" s="1" t="str">
        <x:f>IF(H785=0,IF(G785&gt;0,"Нет остатка","Нет спроса"),IF(I785&gt;='Дашборд'!$C$52,"Быстрый","Медленный"))</x:f>
        <x:v>Медленный</x:v>
      </x:c>
      <x:c r="M785" s="1" t="str">
        <x:f>IF('Данные'!E785&lt;'Дашборд'!$C$53,"Мало трафика",IF(J785&lt;'Дашборд'!$C$9*'Дашборд'!$C$54,"Да","Нет"))</x:f>
        <x:v>Нет</x:v>
      </x:c>
      <x:c r="N785" s="1" t="str">
        <x:f>IF(AND('Данные'!D785&gt;='Дашборд'!$C$55,D785&lt;'Дашборд'!$C$56,'Данные'!E785&gt;='Дашборд'!$C$53,'Данные'!L785&lt;&gt;"Да"),"Да","Нет")</x:f>
        <x:v>Да</x:v>
      </x:c>
      <x:c r="O785" s="1" t="str">
        <x:f>'Данные'!L785</x:f>
        <x:v>Нет</x:v>
      </x:c>
    </x:row>
    <x:row r="786">
      <x:c r="A786" s="1" t="str">
        <x:f>'Данные'!A786</x:f>
        <x:v>344406130</x:v>
      </x:c>
      <x:c r="B786" s="1" t="str">
        <x:f>'Данные'!B786</x:f>
        <x:v>malyshkabasic/розовый</x:v>
      </x:c>
      <x:c r="C786" s="8" t="n">
        <x:f>'Данные'!G786</x:f>
        <x:v>211671</x:v>
      </x:c>
      <x:c r="D786" s="15" t="n">
        <x:f>C786/SUM($C$5:$C$2477)</x:f>
        <x:v>0.00024727906376866785</x:v>
      </x:c>
      <x:c r="E786" s="15" t="n">
        <x:f>SUM($D$5:D786)</x:f>
        <x:v>0.9276645625195118</x:v>
      </x:c>
      <x:c r="F786" s="1" t="str">
        <x:f>IF(C786&lt;=0,"C",IF(E786-D786&lt;'Дашборд'!$C$49,"A",IF(E786-D786&lt;'Дашборд'!$C$50,"B","C")))</x:f>
        <x:v>B</x:v>
      </x:c>
      <x:c r="G786" s="8" t="n">
        <x:f>'Данные'!F786</x:f>
        <x:v>781</x:v>
      </x:c>
      <x:c r="H786" s="8" t="n">
        <x:f>SUM('Данные'!H786:I786)</x:f>
        <x:v>509</x:v>
      </x:c>
      <x:c r="I786" s="16" t="n">
        <x:f>IF(H786&gt;0,G786/H786,"n.a.")</x:f>
        <x:v>1.5343811394891944</x:v>
      </x:c>
      <x:c r="J786" s="10" t="n">
        <x:f>IF('Данные'!E786&gt;0,G786/'Данные'!E786,"n.a.")</x:f>
        <x:v>0.011011166253101737</x:v>
      </x:c>
      <x:c r="K786" s="1" t="str">
        <x:f>IF(G786&gt;='Дашборд'!$C$51,"X","Z")</x:f>
        <x:v>X</x:v>
      </x:c>
      <x:c r="L786" s="1" t="str">
        <x:f>IF(H786=0,IF(G786&gt;0,"Нет остатка","Нет спроса"),IF(I786&gt;='Дашборд'!$C$52,"Быстрый","Медленный"))</x:f>
        <x:v>Быстрый</x:v>
      </x:c>
      <x:c r="M786" s="1" t="str">
        <x:f>IF('Данные'!E786&lt;'Дашборд'!$C$53,"Мало трафика",IF(J786&lt;'Дашборд'!$C$9*'Дашборд'!$C$54,"Да","Нет"))</x:f>
        <x:v>Нет</x:v>
      </x:c>
      <x:c r="N786" s="1" t="str">
        <x:f>IF(AND('Данные'!D786&gt;='Дашборд'!$C$55,D786&lt;'Дашборд'!$C$56,'Данные'!E786&gt;='Дашборд'!$C$53,'Данные'!L786&lt;&gt;"Да"),"Да","Нет")</x:f>
        <x:v>Нет</x:v>
      </x:c>
      <x:c r="O786" s="1" t="str">
        <x:f>'Данные'!L786</x:f>
        <x:v>Нет</x:v>
      </x:c>
    </x:row>
    <x:row r="787">
      <x:c r="A787" s="1" t="str">
        <x:f>'Данные'!A787</x:f>
        <x:v>280030825</x:v>
      </x:c>
      <x:c r="B787" s="1" t="str">
        <x:f>'Данные'!B787</x:f>
        <x:v>svitshotzipman2/серый</x:v>
      </x:c>
      <x:c r="C787" s="8" t="n">
        <x:f>'Данные'!G787</x:f>
        <x:v>211596</x:v>
      </x:c>
      <x:c r="D787" s="15" t="n">
        <x:f>C787/SUM($C$5:$C$2477)</x:f>
        <x:v>0.0002471914469964948</x:v>
      </x:c>
      <x:c r="E787" s="15" t="n">
        <x:f>SUM($D$5:D787)</x:f>
        <x:v>0.9279117539665083</x:v>
      </x:c>
      <x:c r="F787" s="1" t="str">
        <x:f>IF(C787&lt;=0,"C",IF(E787-D787&lt;'Дашборд'!$C$49,"A",IF(E787-D787&lt;'Дашборд'!$C$50,"B","C")))</x:f>
        <x:v>B</x:v>
      </x:c>
      <x:c r="G787" s="8" t="n">
        <x:f>'Данные'!F787</x:f>
        <x:v>238</x:v>
      </x:c>
      <x:c r="H787" s="8" t="n">
        <x:f>SUM('Данные'!H787:I787)</x:f>
        <x:v>1</x:v>
      </x:c>
      <x:c r="I787" s="16" t="n">
        <x:f>IF(H787&gt;0,G787/H787,"n.a.")</x:f>
        <x:v>238</x:v>
      </x:c>
      <x:c r="J787" s="10" t="n">
        <x:f>IF('Данные'!E787&gt;0,G787/'Данные'!E787,"n.a.")</x:f>
        <x:v>0.01098546042003231</x:v>
      </x:c>
      <x:c r="K787" s="1" t="str">
        <x:f>IF(G787&gt;='Дашборд'!$C$51,"X","Z")</x:f>
        <x:v>Z</x:v>
      </x:c>
      <x:c r="L787" s="1" t="str">
        <x:f>IF(H787=0,IF(G787&gt;0,"Нет остатка","Нет спроса"),IF(I787&gt;='Дашборд'!$C$52,"Быстрый","Медленный"))</x:f>
        <x:v>Быстрый</x:v>
      </x:c>
      <x:c r="M787" s="1" t="str">
        <x:f>IF('Данные'!E787&lt;'Дашборд'!$C$53,"Мало трафика",IF(J787&lt;'Дашборд'!$C$9*'Дашборд'!$C$54,"Да","Нет"))</x:f>
        <x:v>Нет</x:v>
      </x:c>
      <x:c r="N787" s="1" t="str">
        <x:f>IF(AND('Данные'!D787&gt;='Дашборд'!$C$55,D787&lt;'Дашборд'!$C$56,'Данные'!E787&gt;='Дашборд'!$C$53,'Данные'!L787&lt;&gt;"Да"),"Да","Нет")</x:f>
        <x:v>Да</x:v>
      </x:c>
      <x:c r="O787" s="1" t="str">
        <x:f>'Данные'!L787</x:f>
        <x:v>Нет</x:v>
      </x:c>
    </x:row>
    <x:row r="788">
      <x:c r="A788" s="1" t="str">
        <x:f>'Данные'!A788</x:f>
        <x:v>202779186</x:v>
      </x:c>
      <x:c r="B788" s="1" t="str">
        <x:f>'Данные'!B788</x:f>
        <x:v>hudiprint/Duma-61/молочный</x:v>
      </x:c>
      <x:c r="C788" s="8" t="n">
        <x:f>'Данные'!G788</x:f>
        <x:v>210575</x:v>
      </x:c>
      <x:c r="D788" s="15" t="n">
        <x:f>C788/SUM($C$5:$C$2477)</x:f>
        <x:v>0.0002459986906713118</x:v>
      </x:c>
      <x:c r="E788" s="15" t="n">
        <x:f>SUM($D$5:D788)</x:f>
        <x:v>0.9281577526571796</x:v>
      </x:c>
      <x:c r="F788" s="1" t="str">
        <x:f>IF(C788&lt;=0,"C",IF(E788-D788&lt;'Дашборд'!$C$49,"A",IF(E788-D788&lt;'Дашборд'!$C$50,"B","C")))</x:f>
        <x:v>B</x:v>
      </x:c>
      <x:c r="G788" s="8" t="n">
        <x:f>'Данные'!F788</x:f>
        <x:v>211</x:v>
      </x:c>
      <x:c r="H788" s="8" t="n">
        <x:f>SUM('Данные'!H788:I788)</x:f>
        <x:v>116</x:v>
      </x:c>
      <x:c r="I788" s="16" t="n">
        <x:f>IF(H788&gt;0,G788/H788,"n.a.")</x:f>
        <x:v>1.8189655172413792</x:v>
      </x:c>
      <x:c r="J788" s="10" t="n">
        <x:f>IF('Данные'!E788&gt;0,G788/'Данные'!E788,"n.a.")</x:f>
        <x:v>0.006514758552550327</x:v>
      </x:c>
      <x:c r="K788" s="1" t="str">
        <x:f>IF(G788&gt;='Дашборд'!$C$51,"X","Z")</x:f>
        <x:v>Z</x:v>
      </x:c>
      <x:c r="L788" s="1" t="str">
        <x:f>IF(H788=0,IF(G788&gt;0,"Нет остатка","Нет спроса"),IF(I788&gt;='Дашборд'!$C$52,"Быстрый","Медленный"))</x:f>
        <x:v>Быстрый</x:v>
      </x:c>
      <x:c r="M788" s="1" t="str">
        <x:f>IF('Данные'!E788&lt;'Дашборд'!$C$53,"Мало трафика",IF(J788&lt;'Дашборд'!$C$9*'Дашборд'!$C$54,"Да","Нет"))</x:f>
        <x:v>Да</x:v>
      </x:c>
      <x:c r="N788" s="1" t="str">
        <x:f>IF(AND('Данные'!D788&gt;='Дашборд'!$C$55,D788&lt;'Дашборд'!$C$56,'Данные'!E788&gt;='Дашборд'!$C$53,'Данные'!L788&lt;&gt;"Да"),"Да","Нет")</x:f>
        <x:v>Да</x:v>
      </x:c>
      <x:c r="O788" s="1" t="str">
        <x:f>'Данные'!L788</x:f>
        <x:v>Нет</x:v>
      </x:c>
    </x:row>
    <x:row r="789">
      <x:c r="A789" s="1" t="str">
        <x:f>'Данные'!A789</x:f>
        <x:v>313770742</x:v>
      </x:c>
      <x:c r="B789" s="1" t="str">
        <x:f>'Данные'!B789</x:f>
        <x:v>futbolkagirl/какао</x:v>
      </x:c>
      <x:c r="C789" s="8" t="n">
        <x:f>'Данные'!G789</x:f>
        <x:v>209814</x:v>
      </x:c>
      <x:c r="D789" s="15" t="n">
        <x:f>C789/SUM($C$5:$C$2477)</x:f>
        <x:v>0.0002451096724896622</x:v>
      </x:c>
      <x:c r="E789" s="15" t="n">
        <x:f>SUM($D$5:D789)</x:f>
        <x:v>0.9284028623296693</x:v>
      </x:c>
      <x:c r="F789" s="1" t="str">
        <x:f>IF(C789&lt;=0,"C",IF(E789-D789&lt;'Дашборд'!$C$49,"A",IF(E789-D789&lt;'Дашборд'!$C$50,"B","C")))</x:f>
        <x:v>B</x:v>
      </x:c>
      <x:c r="G789" s="8" t="n">
        <x:f>'Данные'!F789</x:f>
        <x:v>630</x:v>
      </x:c>
      <x:c r="H789" s="8" t="n">
        <x:f>SUM('Данные'!H789:I789)</x:f>
        <x:v>818</x:v>
      </x:c>
      <x:c r="I789" s="16" t="n">
        <x:f>IF(H789&gt;0,G789/H789,"n.a.")</x:f>
        <x:v>0.7701711491442543</x:v>
      </x:c>
      <x:c r="J789" s="10" t="n">
        <x:f>IF('Данные'!E789&gt;0,G789/'Данные'!E789,"n.a.")</x:f>
        <x:v>0.013527731850293101</x:v>
      </x:c>
      <x:c r="K789" s="1" t="str">
        <x:f>IF(G789&gt;='Дашборд'!$C$51,"X","Z")</x:f>
        <x:v>X</x:v>
      </x:c>
      <x:c r="L789" s="1" t="str">
        <x:f>IF(H789=0,IF(G789&gt;0,"Нет остатка","Нет спроса"),IF(I789&gt;='Дашборд'!$C$52,"Быстрый","Медленный"))</x:f>
        <x:v>Медленный</x:v>
      </x:c>
      <x:c r="M789" s="1" t="str">
        <x:f>IF('Данные'!E789&lt;'Дашборд'!$C$53,"Мало трафика",IF(J789&lt;'Дашборд'!$C$9*'Дашборд'!$C$54,"Да","Нет"))</x:f>
        <x:v>Нет</x:v>
      </x:c>
      <x:c r="N789" s="1" t="str">
        <x:f>IF(AND('Данные'!D789&gt;='Дашборд'!$C$55,D789&lt;'Дашборд'!$C$56,'Данные'!E789&gt;='Дашборд'!$C$53,'Данные'!L789&lt;&gt;"Да"),"Да","Нет")</x:f>
        <x:v>Да</x:v>
      </x:c>
      <x:c r="O789" s="1" t="str">
        <x:f>'Данные'!L789</x:f>
        <x:v>Нет</x:v>
      </x:c>
    </x:row>
    <x:row r="790">
      <x:c r="A790" s="1" t="str">
        <x:f>'Данные'!A790</x:f>
        <x:v>311049932</x:v>
      </x:c>
      <x:c r="B790" s="1" t="str">
        <x:f>'Данные'!B790</x:f>
        <x:v>hudimanpetl/серый</x:v>
      </x:c>
      <x:c r="C790" s="8" t="n">
        <x:f>'Данные'!G790</x:f>
        <x:v>209279</x:v>
      </x:c>
      <x:c r="D790" s="15" t="n">
        <x:f>C790/SUM($C$5:$C$2477)</x:f>
        <x:v>0.00024448467284816076</x:v>
      </x:c>
      <x:c r="E790" s="15" t="n">
        <x:f>SUM($D$5:D790)</x:f>
        <x:v>0.9286473470025175</x:v>
      </x:c>
      <x:c r="F790" s="1" t="str">
        <x:f>IF(C790&lt;=0,"C",IF(E790-D790&lt;'Дашборд'!$C$49,"A",IF(E790-D790&lt;'Дашборд'!$C$50,"B","C")))</x:f>
        <x:v>B</x:v>
      </x:c>
      <x:c r="G790" s="8" t="n">
        <x:f>'Данные'!F790</x:f>
        <x:v>253</x:v>
      </x:c>
      <x:c r="H790" s="8" t="n">
        <x:f>SUM('Данные'!H790:I790)</x:f>
        <x:v>40</x:v>
      </x:c>
      <x:c r="I790" s="16" t="n">
        <x:f>IF(H790&gt;0,G790/H790,"n.a.")</x:f>
        <x:v>6.325</x:v>
      </x:c>
      <x:c r="J790" s="10" t="n">
        <x:f>IF('Данные'!E790&gt;0,G790/'Данные'!E790,"n.a.")</x:f>
        <x:v>0.019491525423728815</x:v>
      </x:c>
      <x:c r="K790" s="1" t="str">
        <x:f>IF(G790&gt;='Дашборд'!$C$51,"X","Z")</x:f>
        <x:v>Z</x:v>
      </x:c>
      <x:c r="L790" s="1" t="str">
        <x:f>IF(H790=0,IF(G790&gt;0,"Нет остатка","Нет спроса"),IF(I790&gt;='Дашборд'!$C$52,"Быстрый","Медленный"))</x:f>
        <x:v>Быстрый</x:v>
      </x:c>
      <x:c r="M790" s="1" t="str">
        <x:f>IF('Данные'!E790&lt;'Дашборд'!$C$53,"Мало трафика",IF(J790&lt;'Дашборд'!$C$9*'Дашборд'!$C$54,"Да","Нет"))</x:f>
        <x:v>Нет</x:v>
      </x:c>
      <x:c r="N790" s="1" t="str">
        <x:f>IF(AND('Данные'!D790&gt;='Дашборд'!$C$55,D790&lt;'Дашборд'!$C$56,'Данные'!E790&gt;='Дашборд'!$C$53,'Данные'!L790&lt;&gt;"Да"),"Да","Нет")</x:f>
        <x:v>Нет</x:v>
      </x:c>
      <x:c r="O790" s="1" t="str">
        <x:f>'Данные'!L790</x:f>
        <x:v>Нет</x:v>
      </x:c>
    </x:row>
    <x:row r="791">
      <x:c r="A791" s="1" t="str">
        <x:f>'Данные'!A791</x:f>
        <x:v>334783654</x:v>
      </x:c>
      <x:c r="B791" s="1" t="str">
        <x:f>'Данные'!B791</x:f>
        <x:v>futbolkaprint/Manipulation-292/красный</x:v>
      </x:c>
      <x:c r="C791" s="8" t="n">
        <x:f>'Данные'!G791</x:f>
        <x:v>208903</x:v>
      </x:c>
      <x:c r="D791" s="15" t="n">
        <x:f>C791/SUM($C$5:$C$2477)</x:f>
        <x:v>0.00024404542076366637</x:v>
      </x:c>
      <x:c r="E791" s="15" t="n">
        <x:f>SUM($D$5:D791)</x:f>
        <x:v>0.9288913924232811</x:v>
      </x:c>
      <x:c r="F791" s="1" t="str">
        <x:f>IF(C791&lt;=0,"C",IF(E791-D791&lt;'Дашборд'!$C$49,"A",IF(E791-D791&lt;'Дашборд'!$C$50,"B","C")))</x:f>
        <x:v>B</x:v>
      </x:c>
      <x:c r="G791" s="8" t="n">
        <x:f>'Данные'!F791</x:f>
        <x:v>397</x:v>
      </x:c>
      <x:c r="H791" s="8" t="n">
        <x:f>SUM('Данные'!H791:I791)</x:f>
        <x:v>288</x:v>
      </x:c>
      <x:c r="I791" s="16" t="n">
        <x:f>IF(H791&gt;0,G791/H791,"n.a.")</x:f>
        <x:v>1.3784722222222223</x:v>
      </x:c>
      <x:c r="J791" s="10" t="n">
        <x:f>IF('Данные'!E791&gt;0,G791/'Данные'!E791,"n.a.")</x:f>
        <x:v>0.006249311316448124</x:v>
      </x:c>
      <x:c r="K791" s="1" t="str">
        <x:f>IF(G791&gt;='Дашборд'!$C$51,"X","Z")</x:f>
        <x:v>X</x:v>
      </x:c>
      <x:c r="L791" s="1" t="str">
        <x:f>IF(H791=0,IF(G791&gt;0,"Нет остатка","Нет спроса"),IF(I791&gt;='Дашборд'!$C$52,"Быстрый","Медленный"))</x:f>
        <x:v>Быстрый</x:v>
      </x:c>
      <x:c r="M791" s="1" t="str">
        <x:f>IF('Данные'!E791&lt;'Дашборд'!$C$53,"Мало трафика",IF(J791&lt;'Дашборд'!$C$9*'Дашборд'!$C$54,"Да","Нет"))</x:f>
        <x:v>Да</x:v>
      </x:c>
      <x:c r="N791" s="1" t="str">
        <x:f>IF(AND('Данные'!D791&gt;='Дашборд'!$C$55,D791&lt;'Дашборд'!$C$56,'Данные'!E791&gt;='Дашборд'!$C$53,'Данные'!L791&lt;&gt;"Да"),"Да","Нет")</x:f>
        <x:v>Да</x:v>
      </x:c>
      <x:c r="O791" s="1" t="str">
        <x:f>'Данные'!L791</x:f>
        <x:v>Нет</x:v>
      </x:c>
    </x:row>
    <x:row r="792">
      <x:c r="A792" s="1" t="str">
        <x:f>'Данные'!A792</x:f>
        <x:v>288627029</x:v>
      </x:c>
      <x:c r="B792" s="1" t="str">
        <x:f>'Данные'!B792</x:f>
        <x:v>svitshotzip1/темно-синий</x:v>
      </x:c>
      <x:c r="C792" s="8" t="n">
        <x:f>'Данные'!G792</x:f>
        <x:v>208371</x:v>
      </x:c>
      <x:c r="D792" s="15" t="n">
        <x:f>C792/SUM($C$5:$C$2477)</x:f>
        <x:v>0.0002434239257930519</x:v>
      </x:c>
      <x:c r="E792" s="15" t="n">
        <x:f>SUM($D$5:D792)</x:f>
        <x:v>0.9291348163490741</x:v>
      </x:c>
      <x:c r="F792" s="1" t="str">
        <x:f>IF(C792&lt;=0,"C",IF(E792-D792&lt;'Дашборд'!$C$49,"A",IF(E792-D792&lt;'Дашборд'!$C$50,"B","C")))</x:f>
        <x:v>B</x:v>
      </x:c>
      <x:c r="G792" s="8" t="n">
        <x:f>'Данные'!F792</x:f>
        <x:v>210</x:v>
      </x:c>
      <x:c r="H792" s="8" t="n">
        <x:f>SUM('Данные'!H792:I792)</x:f>
        <x:v>378</x:v>
      </x:c>
      <x:c r="I792" s="16" t="n">
        <x:f>IF(H792&gt;0,G792/H792,"n.a.")</x:f>
        <x:v>0.5555555555555556</x:v>
      </x:c>
      <x:c r="J792" s="10" t="n">
        <x:f>IF('Данные'!E792&gt;0,G792/'Данные'!E792,"n.a.")</x:f>
        <x:v>0.011115227862171175</x:v>
      </x:c>
      <x:c r="K792" s="1" t="str">
        <x:f>IF(G792&gt;='Дашборд'!$C$51,"X","Z")</x:f>
        <x:v>Z</x:v>
      </x:c>
      <x:c r="L792" s="1" t="str">
        <x:f>IF(H792=0,IF(G792&gt;0,"Нет остатка","Нет спроса"),IF(I792&gt;='Дашборд'!$C$52,"Быстрый","Медленный"))</x:f>
        <x:v>Медленный</x:v>
      </x:c>
      <x:c r="M792" s="1" t="str">
        <x:f>IF('Данные'!E792&lt;'Дашборд'!$C$53,"Мало трафика",IF(J792&lt;'Дашборд'!$C$9*'Дашборд'!$C$54,"Да","Нет"))</x:f>
        <x:v>Нет</x:v>
      </x:c>
      <x:c r="N792" s="1" t="str">
        <x:f>IF(AND('Данные'!D792&gt;='Дашборд'!$C$55,D792&lt;'Дашборд'!$C$56,'Данные'!E792&gt;='Дашборд'!$C$53,'Данные'!L792&lt;&gt;"Да"),"Да","Нет")</x:f>
        <x:v>Да</x:v>
      </x:c>
      <x:c r="O792" s="1" t="str">
        <x:f>'Данные'!L792</x:f>
        <x:v>Нет</x:v>
      </x:c>
    </x:row>
    <x:row r="793">
      <x:c r="A793" s="1" t="str">
        <x:f>'Данные'!A793</x:f>
        <x:v>314822396</x:v>
      </x:c>
      <x:c r="B793" s="1" t="str">
        <x:f>'Данные'!B793</x:f>
        <x:v>2Nitkalong3D-76print/Something-240/белый</x:v>
      </x:c>
      <x:c r="C793" s="8" t="n">
        <x:f>'Данные'!G793</x:f>
        <x:v>208337</x:v>
      </x:c>
      <x:c r="D793" s="15" t="n">
        <x:f>C793/SUM($C$5:$C$2477)</x:f>
        <x:v>0.00024338420618966677</x:v>
      </x:c>
      <x:c r="E793" s="15" t="n">
        <x:f>SUM($D$5:D793)</x:f>
        <x:v>0.9293782005552638</x:v>
      </x:c>
      <x:c r="F793" s="1" t="str">
        <x:f>IF(C793&lt;=0,"C",IF(E793-D793&lt;'Дашборд'!$C$49,"A",IF(E793-D793&lt;'Дашборд'!$C$50,"B","C")))</x:f>
        <x:v>B</x:v>
      </x:c>
      <x:c r="G793" s="8" t="n">
        <x:f>'Данные'!F793</x:f>
        <x:v>513</x:v>
      </x:c>
      <x:c r="H793" s="8" t="n">
        <x:f>SUM('Данные'!H793:I793)</x:f>
        <x:v>149</x:v>
      </x:c>
      <x:c r="I793" s="16" t="n">
        <x:f>IF(H793&gt;0,G793/H793,"n.a.")</x:f>
        <x:v>3.442953020134228</x:v>
      </x:c>
      <x:c r="J793" s="10" t="n">
        <x:f>IF('Данные'!E793&gt;0,G793/'Данные'!E793,"n.a.")</x:f>
        <x:v>0.008731469031368611</x:v>
      </x:c>
      <x:c r="K793" s="1" t="str">
        <x:f>IF(G793&gt;='Дашборд'!$C$51,"X","Z")</x:f>
        <x:v>X</x:v>
      </x:c>
      <x:c r="L793" s="1" t="str">
        <x:f>IF(H793=0,IF(G793&gt;0,"Нет остатка","Нет спроса"),IF(I793&gt;='Дашборд'!$C$52,"Быстрый","Медленный"))</x:f>
        <x:v>Быстрый</x:v>
      </x:c>
      <x:c r="M793" s="1" t="str">
        <x:f>IF('Данные'!E793&lt;'Дашборд'!$C$53,"Мало трафика",IF(J793&lt;'Дашборд'!$C$9*'Дашборд'!$C$54,"Да","Нет"))</x:f>
        <x:v>Да</x:v>
      </x:c>
      <x:c r="N793" s="1" t="str">
        <x:f>IF(AND('Данные'!D793&gt;='Дашборд'!$C$55,D793&lt;'Дашборд'!$C$56,'Данные'!E793&gt;='Дашборд'!$C$53,'Данные'!L793&lt;&gt;"Да"),"Да","Нет")</x:f>
        <x:v>Нет</x:v>
      </x:c>
      <x:c r="O793" s="1" t="str">
        <x:f>'Данные'!L793</x:f>
        <x:v>Нет</x:v>
      </x:c>
    </x:row>
    <x:row r="794">
      <x:c r="A794" s="1" t="str">
        <x:f>'Данные'!A794</x:f>
        <x:v>355433906</x:v>
      </x:c>
      <x:c r="B794" s="1" t="str">
        <x:f>'Данные'!B794</x:f>
        <x:v>futbolkaprint/ocean-316/молочный</x:v>
      </x:c>
      <x:c r="C794" s="8" t="n">
        <x:f>'Данные'!G794</x:f>
        <x:v>207200</x:v>
      </x:c>
      <x:c r="D794" s="15" t="n">
        <x:f>C794/SUM($C$5:$C$2477)</x:f>
        <x:v>0.00024205593592352274</x:v>
      </x:c>
      <x:c r="E794" s="15" t="n">
        <x:f>SUM($D$5:D794)</x:f>
        <x:v>0.9296202564911873</x:v>
      </x:c>
      <x:c r="F794" s="1" t="str">
        <x:f>IF(C794&lt;=0,"C",IF(E794-D794&lt;'Дашборд'!$C$49,"A",IF(E794-D794&lt;'Дашборд'!$C$50,"B","C")))</x:f>
        <x:v>B</x:v>
      </x:c>
      <x:c r="G794" s="8" t="n">
        <x:f>'Данные'!F794</x:f>
        <x:v>318</x:v>
      </x:c>
      <x:c r="H794" s="8" t="n">
        <x:f>SUM('Данные'!H794:I794)</x:f>
        <x:v>102</x:v>
      </x:c>
      <x:c r="I794" s="16" t="n">
        <x:f>IF(H794&gt;0,G794/H794,"n.a.")</x:f>
        <x:v>3.1176470588235294</x:v>
      </x:c>
      <x:c r="J794" s="10" t="n">
        <x:f>IF('Данные'!E794&gt;0,G794/'Данные'!E794,"n.a.")</x:f>
        <x:v>0.007829041311733714</x:v>
      </x:c>
      <x:c r="K794" s="1" t="str">
        <x:f>IF(G794&gt;='Дашборд'!$C$51,"X","Z")</x:f>
        <x:v>X</x:v>
      </x:c>
      <x:c r="L794" s="1" t="str">
        <x:f>IF(H794=0,IF(G794&gt;0,"Нет остатка","Нет спроса"),IF(I794&gt;='Дашборд'!$C$52,"Быстрый","Медленный"))</x:f>
        <x:v>Быстрый</x:v>
      </x:c>
      <x:c r="M794" s="1" t="str">
        <x:f>IF('Данные'!E794&lt;'Дашборд'!$C$53,"Мало трафика",IF(J794&lt;'Дашборд'!$C$9*'Дашборд'!$C$54,"Да","Нет"))</x:f>
        <x:v>Да</x:v>
      </x:c>
      <x:c r="N794" s="1" t="str">
        <x:f>IF(AND('Данные'!D794&gt;='Дашборд'!$C$55,D794&lt;'Дашборд'!$C$56,'Данные'!E794&gt;='Дашборд'!$C$53,'Данные'!L794&lt;&gt;"Да"),"Да","Нет")</x:f>
        <x:v>Да</x:v>
      </x:c>
      <x:c r="O794" s="1" t="str">
        <x:f>'Данные'!L794</x:f>
        <x:v>Нет</x:v>
      </x:c>
    </x:row>
    <x:row r="795">
      <x:c r="A795" s="1" t="str">
        <x:f>'Данные'!A795</x:f>
        <x:v>271383076</x:v>
      </x:c>
      <x:c r="B795" s="1" t="str">
        <x:f>'Данные'!B795</x:f>
        <x:v>shtanyfix/песочный</x:v>
      </x:c>
      <x:c r="C795" s="8" t="n">
        <x:f>'Данные'!G795</x:f>
        <x:v>207054</x:v>
      </x:c>
      <x:c r="D795" s="15" t="n">
        <x:f>C795/SUM($C$5:$C$2477)</x:f>
        <x:v>0.00024188537527369244</x:v>
      </x:c>
      <x:c r="E795" s="15" t="n">
        <x:f>SUM($D$5:D795)</x:f>
        <x:v>0.929862141866461</x:v>
      </x:c>
      <x:c r="F795" s="1" t="str">
        <x:f>IF(C795&lt;=0,"C",IF(E795-D795&lt;'Дашборд'!$C$49,"A",IF(E795-D795&lt;'Дашборд'!$C$50,"B","C")))</x:f>
        <x:v>B</x:v>
      </x:c>
      <x:c r="G795" s="8" t="n">
        <x:f>'Данные'!F795</x:f>
        <x:v>356</x:v>
      </x:c>
      <x:c r="H795" s="8" t="n">
        <x:f>SUM('Данные'!H795:I795)</x:f>
        <x:v>659</x:v>
      </x:c>
      <x:c r="I795" s="16" t="n">
        <x:f>IF(H795&gt;0,G795/H795,"n.a.")</x:f>
        <x:v>0.5402124430955993</x:v>
      </x:c>
      <x:c r="J795" s="10" t="n">
        <x:f>IF('Данные'!E795&gt;0,G795/'Данные'!E795,"n.a.")</x:f>
        <x:v>0.011095527505064672</x:v>
      </x:c>
      <x:c r="K795" s="1" t="str">
        <x:f>IF(G795&gt;='Дашборд'!$C$51,"X","Z")</x:f>
        <x:v>X</x:v>
      </x:c>
      <x:c r="L795" s="1" t="str">
        <x:f>IF(H795=0,IF(G795&gt;0,"Нет остатка","Нет спроса"),IF(I795&gt;='Дашборд'!$C$52,"Быстрый","Медленный"))</x:f>
        <x:v>Медленный</x:v>
      </x:c>
      <x:c r="M795" s="1" t="str">
        <x:f>IF('Данные'!E795&lt;'Дашборд'!$C$53,"Мало трафика",IF(J795&lt;'Дашборд'!$C$9*'Дашборд'!$C$54,"Да","Нет"))</x:f>
        <x:v>Нет</x:v>
      </x:c>
      <x:c r="N795" s="1" t="str">
        <x:f>IF(AND('Данные'!D795&gt;='Дашборд'!$C$55,D795&lt;'Дашборд'!$C$56,'Данные'!E795&gt;='Дашборд'!$C$53,'Данные'!L795&lt;&gt;"Да"),"Да","Нет")</x:f>
        <x:v>Нет</x:v>
      </x:c>
      <x:c r="O795" s="1" t="str">
        <x:f>'Данные'!L795</x:f>
        <x:v>Нет</x:v>
      </x:c>
    </x:row>
    <x:row r="796">
      <x:c r="A796" s="1" t="str">
        <x:f>'Данные'!A796</x:f>
        <x:v>332418836</x:v>
      </x:c>
      <x:c r="B796" s="1" t="str">
        <x:f>'Данные'!B796</x:f>
        <x:v>top/бордовый</x:v>
      </x:c>
      <x:c r="C796" s="8" t="n">
        <x:f>'Данные'!G796</x:f>
        <x:v>206626</x:v>
      </x:c>
      <x:c r="D796" s="15" t="n">
        <x:f>C796/SUM($C$5:$C$2477)</x:f>
        <x:v>0.00024138537556049136</x:v>
      </x:c>
      <x:c r="E796" s="15" t="n">
        <x:f>SUM($D$5:D796)</x:f>
        <x:v>0.9301035272420215</x:v>
      </x:c>
      <x:c r="F796" s="1" t="str">
        <x:f>IF(C796&lt;=0,"C",IF(E796-D796&lt;'Дашборд'!$C$49,"A",IF(E796-D796&lt;'Дашборд'!$C$50,"B","C")))</x:f>
        <x:v>B</x:v>
      </x:c>
      <x:c r="G796" s="8" t="n">
        <x:f>'Данные'!F796</x:f>
        <x:v>769</x:v>
      </x:c>
      <x:c r="H796" s="8" t="n">
        <x:f>SUM('Данные'!H796:I796)</x:f>
        <x:v>169</x:v>
      </x:c>
      <x:c r="I796" s="16" t="n">
        <x:f>IF(H796&gt;0,G796/H796,"n.a.")</x:f>
        <x:v>4.550295857988166</x:v>
      </x:c>
      <x:c r="J796" s="10" t="n">
        <x:f>IF('Данные'!E796&gt;0,G796/'Данные'!E796,"n.a.")</x:f>
        <x:v>0.016489053755601776</x:v>
      </x:c>
      <x:c r="K796" s="1" t="str">
        <x:f>IF(G796&gt;='Дашборд'!$C$51,"X","Z")</x:f>
        <x:v>X</x:v>
      </x:c>
      <x:c r="L796" s="1" t="str">
        <x:f>IF(H796=0,IF(G796&gt;0,"Нет остатка","Нет спроса"),IF(I796&gt;='Дашборд'!$C$52,"Быстрый","Медленный"))</x:f>
        <x:v>Быстрый</x:v>
      </x:c>
      <x:c r="M796" s="1" t="str">
        <x:f>IF('Данные'!E796&lt;'Дашборд'!$C$53,"Мало трафика",IF(J796&lt;'Дашборд'!$C$9*'Дашборд'!$C$54,"Да","Нет"))</x:f>
        <x:v>Нет</x:v>
      </x:c>
      <x:c r="N796" s="1" t="str">
        <x:f>IF(AND('Данные'!D796&gt;='Дашборд'!$C$55,D796&lt;'Дашборд'!$C$56,'Данные'!E796&gt;='Дашборд'!$C$53,'Данные'!L796&lt;&gt;"Да"),"Да","Нет")</x:f>
        <x:v>Нет</x:v>
      </x:c>
      <x:c r="O796" s="1" t="str">
        <x:f>'Данные'!L796</x:f>
        <x:v>Нет</x:v>
      </x:c>
    </x:row>
    <x:row r="797">
      <x:c r="A797" s="1" t="str">
        <x:f>'Данные'!A797</x:f>
        <x:v>300270087</x:v>
      </x:c>
      <x:c r="B797" s="1" t="str">
        <x:f>'Данные'!B797</x:f>
        <x:v>svitzip3P-S-5/серый</x:v>
      </x:c>
      <x:c r="C797" s="8" t="n">
        <x:f>'Данные'!G797</x:f>
        <x:v>206392</x:v>
      </x:c>
      <x:c r="D797" s="15" t="n">
        <x:f>C797/SUM($C$5:$C$2477)</x:f>
        <x:v>0.00024111201123131132</x:v>
      </x:c>
      <x:c r="E797" s="15" t="n">
        <x:f>SUM($D$5:D797)</x:f>
        <x:v>0.9303446392532528</x:v>
      </x:c>
      <x:c r="F797" s="1" t="str">
        <x:f>IF(C797&lt;=0,"C",IF(E797-D797&lt;'Дашборд'!$C$49,"A",IF(E797-D797&lt;'Дашборд'!$C$50,"B","C")))</x:f>
        <x:v>B</x:v>
      </x:c>
      <x:c r="G797" s="8" t="n">
        <x:f>'Данные'!F797</x:f>
        <x:v>325</x:v>
      </x:c>
      <x:c r="H797" s="8" t="n">
        <x:f>SUM('Данные'!H797:I797)</x:f>
        <x:v>131</x:v>
      </x:c>
      <x:c r="I797" s="16" t="n">
        <x:f>IF(H797&gt;0,G797/H797,"n.a.")</x:f>
        <x:v>2.480916030534351</x:v>
      </x:c>
      <x:c r="J797" s="10" t="n">
        <x:f>IF('Данные'!E797&gt;0,G797/'Данные'!E797,"n.a.")</x:f>
        <x:v>0.009624211554976458</x:v>
      </x:c>
      <x:c r="K797" s="1" t="str">
        <x:f>IF(G797&gt;='Дашборд'!$C$51,"X","Z")</x:f>
        <x:v>X</x:v>
      </x:c>
      <x:c r="L797" s="1" t="str">
        <x:f>IF(H797=0,IF(G797&gt;0,"Нет остатка","Нет спроса"),IF(I797&gt;='Дашборд'!$C$52,"Быстрый","Медленный"))</x:f>
        <x:v>Быстрый</x:v>
      </x:c>
      <x:c r="M797" s="1" t="str">
        <x:f>IF('Данные'!E797&lt;'Дашборд'!$C$53,"Мало трафика",IF(J797&lt;'Дашборд'!$C$9*'Дашборд'!$C$54,"Да","Нет"))</x:f>
        <x:v>Да</x:v>
      </x:c>
      <x:c r="N797" s="1" t="str">
        <x:f>IF(AND('Данные'!D797&gt;='Дашборд'!$C$55,D797&lt;'Дашборд'!$C$56,'Данные'!E797&gt;='Дашборд'!$C$53,'Данные'!L797&lt;&gt;"Да"),"Да","Нет")</x:f>
        <x:v>Нет</x:v>
      </x:c>
      <x:c r="O797" s="1" t="str">
        <x:f>'Данные'!L797</x:f>
        <x:v>Нет</x:v>
      </x:c>
    </x:row>
    <x:row r="798">
      <x:c r="A798" s="1" t="str">
        <x:f>'Данные'!A798</x:f>
        <x:v>320423129</x:v>
      </x:c>
      <x:c r="B798" s="1" t="str">
        <x:f>'Данные'!B798</x:f>
        <x:v>shtanyfix/дымка</x:v>
      </x:c>
      <x:c r="C798" s="8" t="n">
        <x:f>'Данные'!G798</x:f>
        <x:v>206139</x:v>
      </x:c>
      <x:c r="D798" s="15" t="n">
        <x:f>C798/SUM($C$5:$C$2477)</x:f>
        <x:v>0.00024081645065318077</x:v>
      </x:c>
      <x:c r="E798" s="15" t="n">
        <x:f>SUM($D$5:D798)</x:f>
        <x:v>0.930585455703906</x:v>
      </x:c>
      <x:c r="F798" s="1" t="str">
        <x:f>IF(C798&lt;=0,"C",IF(E798-D798&lt;'Дашборд'!$C$49,"A",IF(E798-D798&lt;'Дашборд'!$C$50,"B","C")))</x:f>
        <x:v>B</x:v>
      </x:c>
      <x:c r="G798" s="8" t="n">
        <x:f>'Данные'!F798</x:f>
        <x:v>264</x:v>
      </x:c>
      <x:c r="H798" s="8" t="n">
        <x:f>SUM('Данные'!H798:I798)</x:f>
        <x:v>5</x:v>
      </x:c>
      <x:c r="I798" s="16" t="n">
        <x:f>IF(H798&gt;0,G798/H798,"n.a.")</x:f>
        <x:v>52.8</x:v>
      </x:c>
      <x:c r="J798" s="10" t="n">
        <x:f>IF('Данные'!E798&gt;0,G798/'Данные'!E798,"n.a.")</x:f>
        <x:v>0.014552670745824376</x:v>
      </x:c>
      <x:c r="K798" s="1" t="str">
        <x:f>IF(G798&gt;='Дашборд'!$C$51,"X","Z")</x:f>
        <x:v>Z</x:v>
      </x:c>
      <x:c r="L798" s="1" t="str">
        <x:f>IF(H798=0,IF(G798&gt;0,"Нет остатка","Нет спроса"),IF(I798&gt;='Дашборд'!$C$52,"Быстрый","Медленный"))</x:f>
        <x:v>Быстрый</x:v>
      </x:c>
      <x:c r="M798" s="1" t="str">
        <x:f>IF('Данные'!E798&lt;'Дашборд'!$C$53,"Мало трафика",IF(J798&lt;'Дашборд'!$C$9*'Дашборд'!$C$54,"Да","Нет"))</x:f>
        <x:v>Нет</x:v>
      </x:c>
      <x:c r="N798" s="1" t="str">
        <x:f>IF(AND('Данные'!D798&gt;='Дашборд'!$C$55,D798&lt;'Дашборд'!$C$56,'Данные'!E798&gt;='Дашборд'!$C$53,'Данные'!L798&lt;&gt;"Да"),"Да","Нет")</x:f>
        <x:v>Нет</x:v>
      </x:c>
      <x:c r="O798" s="1" t="str">
        <x:f>'Данные'!L798</x:f>
        <x:v>Нет</x:v>
      </x:c>
    </x:row>
    <x:row r="799">
      <x:c r="A799" s="1" t="str">
        <x:f>'Данные'!A799</x:f>
        <x:v>19079985</x:v>
      </x:c>
      <x:c r="B799" s="1" t="str">
        <x:f>'Данные'!B799</x:f>
        <x:v>kostyum/розовый</x:v>
      </x:c>
      <x:c r="C799" s="8" t="n">
        <x:f>'Данные'!G799</x:f>
        <x:v>205897</x:v>
      </x:c>
      <x:c r="D799" s="15" t="n">
        <x:f>C799/SUM($C$5:$C$2477)</x:f>
        <x:v>0.00024053374053496893</x:v>
      </x:c>
      <x:c r="E799" s="15" t="n">
        <x:f>SUM($D$5:D799)</x:f>
        <x:v>0.9308259894444411</x:v>
      </x:c>
      <x:c r="F799" s="1" t="str">
        <x:f>IF(C799&lt;=0,"C",IF(E799-D799&lt;'Дашборд'!$C$49,"A",IF(E799-D799&lt;'Дашборд'!$C$50,"B","C")))</x:f>
        <x:v>B</x:v>
      </x:c>
      <x:c r="G799" s="8" t="n">
        <x:f>'Данные'!F799</x:f>
        <x:v>153</x:v>
      </x:c>
      <x:c r="H799" s="8" t="n">
        <x:f>SUM('Данные'!H799:I799)</x:f>
        <x:v>752</x:v>
      </x:c>
      <x:c r="I799" s="16" t="n">
        <x:f>IF(H799&gt;0,G799/H799,"n.a.")</x:f>
        <x:v>0.20345744680851063</x:v>
      </x:c>
      <x:c r="J799" s="10" t="n">
        <x:f>IF('Данные'!E799&gt;0,G799/'Данные'!E799,"n.a.")</x:f>
        <x:v>0.0026323939300092907</x:v>
      </x:c>
      <x:c r="K799" s="1" t="str">
        <x:f>IF(G799&gt;='Дашборд'!$C$51,"X","Z")</x:f>
        <x:v>Z</x:v>
      </x:c>
      <x:c r="L799" s="1" t="str">
        <x:f>IF(H799=0,IF(G799&gt;0,"Нет остатка","Нет спроса"),IF(I799&gt;='Дашборд'!$C$52,"Быстрый","Медленный"))</x:f>
        <x:v>Медленный</x:v>
      </x:c>
      <x:c r="M799" s="1" t="str">
        <x:f>IF('Данные'!E799&lt;'Дашборд'!$C$53,"Мало трафика",IF(J799&lt;'Дашборд'!$C$9*'Дашборд'!$C$54,"Да","Нет"))</x:f>
        <x:v>Да</x:v>
      </x:c>
      <x:c r="N799" s="1" t="str">
        <x:f>IF(AND('Данные'!D799&gt;='Дашборд'!$C$55,D799&lt;'Дашборд'!$C$56,'Данные'!E799&gt;='Дашборд'!$C$53,'Данные'!L799&lt;&gt;"Да"),"Да","Нет")</x:f>
        <x:v>Нет</x:v>
      </x:c>
      <x:c r="O799" s="1" t="str">
        <x:f>'Данные'!L799</x:f>
        <x:v>Нет</x:v>
      </x:c>
    </x:row>
    <x:row r="800">
      <x:c r="A800" s="1" t="str">
        <x:f>'Данные'!A800</x:f>
        <x:v>215422722</x:v>
      </x:c>
      <x:c r="B800" s="1" t="str">
        <x:f>'Данные'!B800</x:f>
        <x:v>futbolkaprint/NeedMoney-104/молочный</x:v>
      </x:c>
      <x:c r="C800" s="8" t="n">
        <x:f>'Данные'!G800</x:f>
        <x:v>205578</x:v>
      </x:c>
      <x:c r="D800" s="15" t="n">
        <x:f>C800/SUM($C$5:$C$2477)</x:f>
        <x:v>0.00024016107719732605</x:v>
      </x:c>
      <x:c r="E800" s="15" t="n">
        <x:f>SUM($D$5:D800)</x:f>
        <x:v>0.9310661505216384</x:v>
      </x:c>
      <x:c r="F800" s="1" t="str">
        <x:f>IF(C800&lt;=0,"C",IF(E800-D800&lt;'Дашборд'!$C$49,"A",IF(E800-D800&lt;'Дашборд'!$C$50,"B","C")))</x:f>
        <x:v>B</x:v>
      </x:c>
      <x:c r="G800" s="8" t="n">
        <x:f>'Данные'!F800</x:f>
        <x:v>307</x:v>
      </x:c>
      <x:c r="H800" s="8" t="n">
        <x:f>SUM('Данные'!H800:I800)</x:f>
        <x:v>0</x:v>
      </x:c>
      <x:c r="I800" s="16" t="str">
        <x:f>IF(H800&gt;0,G800/H800,"n.a.")</x:f>
        <x:v>n.a.</x:v>
      </x:c>
      <x:c r="J800" s="10" t="n">
        <x:f>IF('Данные'!E800&gt;0,G800/'Данные'!E800,"n.a.")</x:f>
        <x:v>0.01036461850101283</x:v>
      </x:c>
      <x:c r="K800" s="1" t="str">
        <x:f>IF(G800&gt;='Дашборд'!$C$51,"X","Z")</x:f>
        <x:v>X</x:v>
      </x:c>
      <x:c r="L800" s="1" t="str">
        <x:f>IF(H800=0,IF(G800&gt;0,"Нет остатка","Нет спроса"),IF(I800&gt;='Дашборд'!$C$52,"Быстрый","Медленный"))</x:f>
        <x:v>Нет остатка</x:v>
      </x:c>
      <x:c r="M800" s="1" t="str">
        <x:f>IF('Данные'!E800&lt;'Дашборд'!$C$53,"Мало трафика",IF(J800&lt;'Дашборд'!$C$9*'Дашборд'!$C$54,"Да","Нет"))</x:f>
        <x:v>Нет</x:v>
      </x:c>
      <x:c r="N800" s="1" t="str">
        <x:f>IF(AND('Данные'!D800&gt;='Дашборд'!$C$55,D800&lt;'Дашборд'!$C$56,'Данные'!E800&gt;='Дашборд'!$C$53,'Данные'!L800&lt;&gt;"Да"),"Да","Нет")</x:f>
        <x:v>Нет</x:v>
      </x:c>
      <x:c r="O800" s="1" t="str">
        <x:f>'Данные'!L800</x:f>
        <x:v>Нет</x:v>
      </x:c>
    </x:row>
    <x:row r="801">
      <x:c r="A801" s="1" t="str">
        <x:f>'Данные'!A801</x:f>
        <x:v>195315576</x:v>
      </x:c>
      <x:c r="B801" s="1" t="str">
        <x:f>'Данные'!B801</x:f>
        <x:v>hudiprint/LoveNever-45/молочный</x:v>
      </x:c>
      <x:c r="C801" s="8" t="n">
        <x:f>'Данные'!G801</x:f>
        <x:v>205079</x:v>
      </x:c>
      <x:c r="D801" s="15" t="n">
        <x:f>C801/SUM($C$5:$C$2477)</x:f>
        <x:v>0.00023957813360646774</x:v>
      </x:c>
      <x:c r="E801" s="15" t="n">
        <x:f>SUM($D$5:D801)</x:f>
        <x:v>0.9313057286552449</x:v>
      </x:c>
      <x:c r="F801" s="1" t="str">
        <x:f>IF(C801&lt;=0,"C",IF(E801-D801&lt;'Дашборд'!$C$49,"A",IF(E801-D801&lt;'Дашборд'!$C$50,"B","C")))</x:f>
        <x:v>B</x:v>
      </x:c>
      <x:c r="G801" s="8" t="n">
        <x:f>'Данные'!F801</x:f>
        <x:v>212</x:v>
      </x:c>
      <x:c r="H801" s="8" t="n">
        <x:f>SUM('Данные'!H801:I801)</x:f>
        <x:v>174</x:v>
      </x:c>
      <x:c r="I801" s="16" t="n">
        <x:f>IF(H801&gt;0,G801/H801,"n.a.")</x:f>
        <x:v>1.2183908045977012</x:v>
      </x:c>
      <x:c r="J801" s="10" t="n">
        <x:f>IF('Данные'!E801&gt;0,G801/'Данные'!E801,"n.a.")</x:f>
        <x:v>0.010398783538529455</x:v>
      </x:c>
      <x:c r="K801" s="1" t="str">
        <x:f>IF(G801&gt;='Дашборд'!$C$51,"X","Z")</x:f>
        <x:v>Z</x:v>
      </x:c>
      <x:c r="L801" s="1" t="str">
        <x:f>IF(H801=0,IF(G801&gt;0,"Нет остатка","Нет спроса"),IF(I801&gt;='Дашборд'!$C$52,"Быстрый","Медленный"))</x:f>
        <x:v>Быстрый</x:v>
      </x:c>
      <x:c r="M801" s="1" t="str">
        <x:f>IF('Данные'!E801&lt;'Дашборд'!$C$53,"Мало трафика",IF(J801&lt;'Дашборд'!$C$9*'Дашборд'!$C$54,"Да","Нет"))</x:f>
        <x:v>Нет</x:v>
      </x:c>
      <x:c r="N801" s="1" t="str">
        <x:f>IF(AND('Данные'!D801&gt;='Дашборд'!$C$55,D801&lt;'Дашборд'!$C$56,'Данные'!E801&gt;='Дашборд'!$C$53,'Данные'!L801&lt;&gt;"Да"),"Да","Нет")</x:f>
        <x:v>Нет</x:v>
      </x:c>
      <x:c r="O801" s="1" t="str">
        <x:f>'Данные'!L801</x:f>
        <x:v>Нет</x:v>
      </x:c>
    </x:row>
    <x:row r="802">
      <x:c r="A802" s="1" t="str">
        <x:f>'Данные'!A802</x:f>
        <x:v>322133006</x:v>
      </x:c>
      <x:c r="B802" s="1" t="str">
        <x:f>'Данные'!B802</x:f>
        <x:v>shorts3n3P-87/серый</x:v>
      </x:c>
      <x:c r="C802" s="8" t="n">
        <x:f>'Данные'!G802</x:f>
        <x:v>204063</x:v>
      </x:c>
      <x:c r="D802" s="15" t="n">
        <x:f>C802/SUM($C$5:$C$2477)</x:f>
        <x:v>0.00023839121839942963</x:v>
      </x:c>
      <x:c r="E802" s="15" t="n">
        <x:f>SUM($D$5:D802)</x:f>
        <x:v>0.9315441198736443</x:v>
      </x:c>
      <x:c r="F802" s="1" t="str">
        <x:f>IF(C802&lt;=0,"C",IF(E802-D802&lt;'Дашборд'!$C$49,"A",IF(E802-D802&lt;'Дашборд'!$C$50,"B","C")))</x:f>
        <x:v>B</x:v>
      </x:c>
      <x:c r="G802" s="8" t="n">
        <x:f>'Данные'!F802</x:f>
        <x:v>468</x:v>
      </x:c>
      <x:c r="H802" s="8" t="n">
        <x:f>SUM('Данные'!H802:I802)</x:f>
        <x:v>20</x:v>
      </x:c>
      <x:c r="I802" s="16" t="n">
        <x:f>IF(H802&gt;0,G802/H802,"n.a.")</x:f>
        <x:v>23.4</x:v>
      </x:c>
      <x:c r="J802" s="10" t="n">
        <x:f>IF('Данные'!E802&gt;0,G802/'Данные'!E802,"n.a.")</x:f>
        <x:v>0.024231127679403542</x:v>
      </x:c>
      <x:c r="K802" s="1" t="str">
        <x:f>IF(G802&gt;='Дашборд'!$C$51,"X","Z")</x:f>
        <x:v>X</x:v>
      </x:c>
      <x:c r="L802" s="1" t="str">
        <x:f>IF(H802=0,IF(G802&gt;0,"Нет остатка","Нет спроса"),IF(I802&gt;='Дашборд'!$C$52,"Быстрый","Медленный"))</x:f>
        <x:v>Быстрый</x:v>
      </x:c>
      <x:c r="M802" s="1" t="str">
        <x:f>IF('Данные'!E802&lt;'Дашборд'!$C$53,"Мало трафика",IF(J802&lt;'Дашборд'!$C$9*'Дашборд'!$C$54,"Да","Нет"))</x:f>
        <x:v>Нет</x:v>
      </x:c>
      <x:c r="N802" s="1" t="str">
        <x:f>IF(AND('Данные'!D802&gt;='Дашборд'!$C$55,D802&lt;'Дашборд'!$C$56,'Данные'!E802&gt;='Дашборд'!$C$53,'Данные'!L802&lt;&gt;"Да"),"Да","Нет")</x:f>
        <x:v>Нет</x:v>
      </x:c>
      <x:c r="O802" s="1" t="str">
        <x:f>'Данные'!L802</x:f>
        <x:v>Нет</x:v>
      </x:c>
    </x:row>
    <x:row r="803">
      <x:c r="A803" s="1" t="str">
        <x:f>'Данные'!A803</x:f>
        <x:v>216143242</x:v>
      </x:c>
      <x:c r="B803" s="1" t="str">
        <x:f>'Данные'!B803</x:f>
        <x:v>hudivish/Tennis-89/черный</x:v>
      </x:c>
      <x:c r="C803" s="8" t="n">
        <x:f>'Данные'!G803</x:f>
        <x:v>202149</x:v>
      </x:c>
      <x:c r="D803" s="15" t="n">
        <x:f>C803/SUM($C$5:$C$2477)</x:f>
        <x:v>0.0002361552383735724</x:v>
      </x:c>
      <x:c r="E803" s="15" t="n">
        <x:f>SUM($D$5:D803)</x:f>
        <x:v>0.9317802751120179</x:v>
      </x:c>
      <x:c r="F803" s="1" t="str">
        <x:f>IF(C803&lt;=0,"C",IF(E803-D803&lt;'Дашборд'!$C$49,"A",IF(E803-D803&lt;'Дашборд'!$C$50,"B","C")))</x:f>
        <x:v>B</x:v>
      </x:c>
      <x:c r="G803" s="8" t="n">
        <x:f>'Данные'!F803</x:f>
        <x:v>222</x:v>
      </x:c>
      <x:c r="H803" s="8" t="n">
        <x:f>SUM('Данные'!H803:I803)</x:f>
        <x:v>68</x:v>
      </x:c>
      <x:c r="I803" s="16" t="n">
        <x:f>IF(H803&gt;0,G803/H803,"n.a.")</x:f>
        <x:v>3.264705882352941</x:v>
      </x:c>
      <x:c r="J803" s="10" t="n">
        <x:f>IF('Данные'!E803&gt;0,G803/'Данные'!E803,"n.a.")</x:f>
        <x:v>0.007487604978245472</x:v>
      </x:c>
      <x:c r="K803" s="1" t="str">
        <x:f>IF(G803&gt;='Дашборд'!$C$51,"X","Z")</x:f>
        <x:v>Z</x:v>
      </x:c>
      <x:c r="L803" s="1" t="str">
        <x:f>IF(H803=0,IF(G803&gt;0,"Нет остатка","Нет спроса"),IF(I803&gt;='Дашборд'!$C$52,"Быстрый","Медленный"))</x:f>
        <x:v>Быстрый</x:v>
      </x:c>
      <x:c r="M803" s="1" t="str">
        <x:f>IF('Данные'!E803&lt;'Дашборд'!$C$53,"Мало трафика",IF(J803&lt;'Дашборд'!$C$9*'Дашборд'!$C$54,"Да","Нет"))</x:f>
        <x:v>Да</x:v>
      </x:c>
      <x:c r="N803" s="1" t="str">
        <x:f>IF(AND('Данные'!D803&gt;='Дашборд'!$C$55,D803&lt;'Дашборд'!$C$56,'Данные'!E803&gt;='Дашборд'!$C$53,'Данные'!L803&lt;&gt;"Да"),"Да","Нет")</x:f>
        <x:v>Да</x:v>
      </x:c>
      <x:c r="O803" s="1" t="str">
        <x:f>'Данные'!L803</x:f>
        <x:v>Нет</x:v>
      </x:c>
    </x:row>
    <x:row r="804">
      <x:c r="A804" s="1" t="str">
        <x:f>'Данные'!A804</x:f>
        <x:v>320420253</x:v>
      </x:c>
      <x:c r="B804" s="1" t="str">
        <x:f>'Данные'!B804</x:f>
        <x:v>palazzoshnurok/темно-синий</x:v>
      </x:c>
      <x:c r="C804" s="8" t="n">
        <x:f>'Данные'!G804</x:f>
        <x:v>201680</x:v>
      </x:c>
      <x:c r="D804" s="15" t="n">
        <x:f>C804/SUM($C$5:$C$2477)</x:f>
        <x:v>0.00023560734149158334</x:v>
      </x:c>
      <x:c r="E804" s="15" t="n">
        <x:f>SUM($D$5:D804)</x:f>
        <x:v>0.9320158824535094</x:v>
      </x:c>
      <x:c r="F804" s="1" t="str">
        <x:f>IF(C804&lt;=0,"C",IF(E804-D804&lt;'Дашборд'!$C$49,"A",IF(E804-D804&lt;'Дашборд'!$C$50,"B","C")))</x:f>
        <x:v>B</x:v>
      </x:c>
      <x:c r="G804" s="8" t="n">
        <x:f>'Данные'!F804</x:f>
        <x:v>463</x:v>
      </x:c>
      <x:c r="H804" s="8" t="n">
        <x:f>SUM('Данные'!H804:I804)</x:f>
        <x:v>91</x:v>
      </x:c>
      <x:c r="I804" s="16" t="n">
        <x:f>IF(H804&gt;0,G804/H804,"n.a.")</x:f>
        <x:v>5.087912087912088</x:v>
      </x:c>
      <x:c r="J804" s="10" t="n">
        <x:f>IF('Данные'!E804&gt;0,G804/'Данные'!E804,"n.a.")</x:f>
        <x:v>0.016573003543687584</x:v>
      </x:c>
      <x:c r="K804" s="1" t="str">
        <x:f>IF(G804&gt;='Дашборд'!$C$51,"X","Z")</x:f>
        <x:v>X</x:v>
      </x:c>
      <x:c r="L804" s="1" t="str">
        <x:f>IF(H804=0,IF(G804&gt;0,"Нет остатка","Нет спроса"),IF(I804&gt;='Дашборд'!$C$52,"Быстрый","Медленный"))</x:f>
        <x:v>Быстрый</x:v>
      </x:c>
      <x:c r="M804" s="1" t="str">
        <x:f>IF('Данные'!E804&lt;'Дашборд'!$C$53,"Мало трафика",IF(J804&lt;'Дашборд'!$C$9*'Дашборд'!$C$54,"Да","Нет"))</x:f>
        <x:v>Нет</x:v>
      </x:c>
      <x:c r="N804" s="1" t="str">
        <x:f>IF(AND('Данные'!D804&gt;='Дашборд'!$C$55,D804&lt;'Дашборд'!$C$56,'Данные'!E804&gt;='Дашборд'!$C$53,'Данные'!L804&lt;&gt;"Да"),"Да","Нет")</x:f>
        <x:v>Да</x:v>
      </x:c>
      <x:c r="O804" s="1" t="str">
        <x:f>'Данные'!L804</x:f>
        <x:v>Нет</x:v>
      </x:c>
    </x:row>
    <x:row r="805">
      <x:c r="A805" s="1" t="str">
        <x:f>'Данные'!A805</x:f>
        <x:v>332646311</x:v>
      </x:c>
      <x:c r="B805" s="1" t="str">
        <x:f>'Данные'!B805</x:f>
        <x:v>futbolkaprint/Cocktail-233/бордовый</x:v>
      </x:c>
      <x:c r="C805" s="8" t="n">
        <x:f>'Данные'!G805</x:f>
        <x:v>200904</x:v>
      </x:c>
      <x:c r="D805" s="15" t="n">
        <x:f>C805/SUM($C$5:$C$2477)</x:f>
        <x:v>0.0002347007999554991</x:v>
      </x:c>
      <x:c r="E805" s="15" t="n">
        <x:f>SUM($D$5:D805)</x:f>
        <x:v>0.9322505832534649</x:v>
      </x:c>
      <x:c r="F805" s="1" t="str">
        <x:f>IF(C805&lt;=0,"C",IF(E805-D805&lt;'Дашборд'!$C$49,"A",IF(E805-D805&lt;'Дашборд'!$C$50,"B","C")))</x:f>
        <x:v>B</x:v>
      </x:c>
      <x:c r="G805" s="8" t="n">
        <x:f>'Данные'!F805</x:f>
        <x:v>456</x:v>
      </x:c>
      <x:c r="H805" s="8" t="n">
        <x:f>SUM('Данные'!H805:I805)</x:f>
        <x:v>36</x:v>
      </x:c>
      <x:c r="I805" s="16" t="n">
        <x:f>IF(H805&gt;0,G805/H805,"n.a.")</x:f>
        <x:v>12.666666666666666</x:v>
      </x:c>
      <x:c r="J805" s="10" t="n">
        <x:f>IF('Данные'!E805&gt;0,G805/'Данные'!E805,"n.a.")</x:f>
        <x:v>0.006362050924311127</x:v>
      </x:c>
      <x:c r="K805" s="1" t="str">
        <x:f>IF(G805&gt;='Дашборд'!$C$51,"X","Z")</x:f>
        <x:v>X</x:v>
      </x:c>
      <x:c r="L805" s="1" t="str">
        <x:f>IF(H805=0,IF(G805&gt;0,"Нет остатка","Нет спроса"),IF(I805&gt;='Дашборд'!$C$52,"Быстрый","Медленный"))</x:f>
        <x:v>Быстрый</x:v>
      </x:c>
      <x:c r="M805" s="1" t="str">
        <x:f>IF('Данные'!E805&lt;'Дашборд'!$C$53,"Мало трафика",IF(J805&lt;'Дашборд'!$C$9*'Дашборд'!$C$54,"Да","Нет"))</x:f>
        <x:v>Да</x:v>
      </x:c>
      <x:c r="N805" s="1" t="str">
        <x:f>IF(AND('Данные'!D805&gt;='Дашборд'!$C$55,D805&lt;'Дашборд'!$C$56,'Данные'!E805&gt;='Дашборд'!$C$53,'Данные'!L805&lt;&gt;"Да"),"Да","Нет")</x:f>
        <x:v>Да</x:v>
      </x:c>
      <x:c r="O805" s="1" t="str">
        <x:f>'Данные'!L805</x:f>
        <x:v>Нет</x:v>
      </x:c>
    </x:row>
    <x:row r="806">
      <x:c r="A806" s="1" t="str">
        <x:f>'Данные'!A806</x:f>
        <x:v>333323572</x:v>
      </x:c>
      <x:c r="B806" s="1" t="str">
        <x:f>'Данные'!B806</x:f>
        <x:v>hudicroppetl/голубой</x:v>
      </x:c>
      <x:c r="C806" s="8" t="n">
        <x:f>'Данные'!G806</x:f>
        <x:v>199346</x:v>
      </x:c>
      <x:c r="D806" s="15" t="n">
        <x:f>C806/SUM($C$5:$C$2477)</x:f>
        <x:v>0.00023288070754155676</x:v>
      </x:c>
      <x:c r="E806" s="15" t="n">
        <x:f>SUM($D$5:D806)</x:f>
        <x:v>0.9324834639610065</x:v>
      </x:c>
      <x:c r="F806" s="1" t="str">
        <x:f>IF(C806&lt;=0,"C",IF(E806-D806&lt;'Дашборд'!$C$49,"A",IF(E806-D806&lt;'Дашборд'!$C$50,"B","C")))</x:f>
        <x:v>B</x:v>
      </x:c>
      <x:c r="G806" s="8" t="n">
        <x:f>'Данные'!F806</x:f>
        <x:v>218</x:v>
      </x:c>
      <x:c r="H806" s="8" t="n">
        <x:f>SUM('Данные'!H806:I806)</x:f>
        <x:v>40</x:v>
      </x:c>
      <x:c r="I806" s="16" t="n">
        <x:f>IF(H806&gt;0,G806/H806,"n.a.")</x:f>
        <x:v>5.45</x:v>
      </x:c>
      <x:c r="J806" s="10" t="n">
        <x:f>IF('Данные'!E806&gt;0,G806/'Данные'!E806,"n.a.")</x:f>
        <x:v>0.010186439885986637</x:v>
      </x:c>
      <x:c r="K806" s="1" t="str">
        <x:f>IF(G806&gt;='Дашборд'!$C$51,"X","Z")</x:f>
        <x:v>Z</x:v>
      </x:c>
      <x:c r="L806" s="1" t="str">
        <x:f>IF(H806=0,IF(G806&gt;0,"Нет остатка","Нет спроса"),IF(I806&gt;='Дашборд'!$C$52,"Быстрый","Медленный"))</x:f>
        <x:v>Быстрый</x:v>
      </x:c>
      <x:c r="M806" s="1" t="str">
        <x:f>IF('Данные'!E806&lt;'Дашборд'!$C$53,"Мало трафика",IF(J806&lt;'Дашборд'!$C$9*'Дашборд'!$C$54,"Да","Нет"))</x:f>
        <x:v>Нет</x:v>
      </x:c>
      <x:c r="N806" s="1" t="str">
        <x:f>IF(AND('Данные'!D806&gt;='Дашборд'!$C$55,D806&lt;'Дашборд'!$C$56,'Данные'!E806&gt;='Дашборд'!$C$53,'Данные'!L806&lt;&gt;"Да"),"Да","Нет")</x:f>
        <x:v>Нет</x:v>
      </x:c>
      <x:c r="O806" s="1" t="str">
        <x:f>'Данные'!L806</x:f>
        <x:v>Нет</x:v>
      </x:c>
    </x:row>
    <x:row r="807">
      <x:c r="A807" s="1" t="str">
        <x:f>'Данные'!A807</x:f>
        <x:v>336307754</x:v>
      </x:c>
      <x:c r="B807" s="1" t="str">
        <x:f>'Данные'!B807</x:f>
        <x:v>svitshotpolopetl3P-60/коричневый</x:v>
      </x:c>
      <x:c r="C807" s="8" t="n">
        <x:f>'Данные'!G807</x:f>
        <x:v>199213</x:v>
      </x:c>
      <x:c r="D807" s="15" t="n">
        <x:f>C807/SUM($C$5:$C$2477)</x:f>
        <x:v>0.00023272533379890316</x:v>
      </x:c>
      <x:c r="E807" s="15" t="n">
        <x:f>SUM($D$5:D807)</x:f>
        <x:v>0.9327161892948054</x:v>
      </x:c>
      <x:c r="F807" s="1" t="str">
        <x:f>IF(C807&lt;=0,"C",IF(E807-D807&lt;'Дашборд'!$C$49,"A",IF(E807-D807&lt;'Дашборд'!$C$50,"B","C")))</x:f>
        <x:v>B</x:v>
      </x:c>
      <x:c r="G807" s="8" t="n">
        <x:f>'Данные'!F807</x:f>
        <x:v>227</x:v>
      </x:c>
      <x:c r="H807" s="8" t="n">
        <x:f>SUM('Данные'!H807:I807)</x:f>
        <x:v>49</x:v>
      </x:c>
      <x:c r="I807" s="16" t="n">
        <x:f>IF(H807&gt;0,G807/H807,"n.a.")</x:f>
        <x:v>4.63265306122449</x:v>
      </x:c>
      <x:c r="J807" s="10" t="n">
        <x:f>IF('Данные'!E807&gt;0,G807/'Данные'!E807,"n.a.")</x:f>
        <x:v>0.007327307940606843</x:v>
      </x:c>
      <x:c r="K807" s="1" t="str">
        <x:f>IF(G807&gt;='Дашборд'!$C$51,"X","Z")</x:f>
        <x:v>Z</x:v>
      </x:c>
      <x:c r="L807" s="1" t="str">
        <x:f>IF(H807=0,IF(G807&gt;0,"Нет остатка","Нет спроса"),IF(I807&gt;='Дашборд'!$C$52,"Быстрый","Медленный"))</x:f>
        <x:v>Быстрый</x:v>
      </x:c>
      <x:c r="M807" s="1" t="str">
        <x:f>IF('Данные'!E807&lt;'Дашборд'!$C$53,"Мало трафика",IF(J807&lt;'Дашборд'!$C$9*'Дашборд'!$C$54,"Да","Нет"))</x:f>
        <x:v>Да</x:v>
      </x:c>
      <x:c r="N807" s="1" t="str">
        <x:f>IF(AND('Данные'!D807&gt;='Дашборд'!$C$55,D807&lt;'Дашборд'!$C$56,'Данные'!E807&gt;='Дашборд'!$C$53,'Данные'!L807&lt;&gt;"Да"),"Да","Нет")</x:f>
        <x:v>Нет</x:v>
      </x:c>
      <x:c r="O807" s="1" t="str">
        <x:f>'Данные'!L807</x:f>
        <x:v>Нет</x:v>
      </x:c>
    </x:row>
    <x:row r="808">
      <x:c r="A808" s="1" t="str">
        <x:f>'Данные'!A808</x:f>
        <x:v>220090336</x:v>
      </x:c>
      <x:c r="B808" s="1" t="str">
        <x:f>'Данные'!B808</x:f>
        <x:v>tolstovkazipman/кофейный</x:v>
      </x:c>
      <x:c r="C808" s="8" t="n">
        <x:f>'Данные'!G808</x:f>
        <x:v>199121</x:v>
      </x:c>
      <x:c r="D808" s="15" t="n">
        <x:f>C808/SUM($C$5:$C$2477)</x:f>
        <x:v>0.0002326178572250375</x:v>
      </x:c>
      <x:c r="E808" s="15" t="n">
        <x:f>SUM($D$5:D808)</x:f>
        <x:v>0.9329488071520304</x:v>
      </x:c>
      <x:c r="F808" s="1" t="str">
        <x:f>IF(C808&lt;=0,"C",IF(E808-D808&lt;'Дашборд'!$C$49,"A",IF(E808-D808&lt;'Дашборд'!$C$50,"B","C")))</x:f>
        <x:v>B</x:v>
      </x:c>
      <x:c r="G808" s="8" t="n">
        <x:f>'Данные'!F808</x:f>
        <x:v>215</x:v>
      </x:c>
      <x:c r="H808" s="8" t="n">
        <x:f>SUM('Данные'!H808:I808)</x:f>
        <x:v>1</x:v>
      </x:c>
      <x:c r="I808" s="16" t="n">
        <x:f>IF(H808&gt;0,G808/H808,"n.a.")</x:f>
        <x:v>215</x:v>
      </x:c>
      <x:c r="J808" s="10" t="n">
        <x:f>IF('Данные'!E808&gt;0,G808/'Данные'!E808,"n.a.")</x:f>
        <x:v>0.009031716026044948</x:v>
      </x:c>
      <x:c r="K808" s="1" t="str">
        <x:f>IF(G808&gt;='Дашборд'!$C$51,"X","Z")</x:f>
        <x:v>Z</x:v>
      </x:c>
      <x:c r="L808" s="1" t="str">
        <x:f>IF(H808=0,IF(G808&gt;0,"Нет остатка","Нет спроса"),IF(I808&gt;='Дашборд'!$C$52,"Быстрый","Медленный"))</x:f>
        <x:v>Быстрый</x:v>
      </x:c>
      <x:c r="M808" s="1" t="str">
        <x:f>IF('Данные'!E808&lt;'Дашборд'!$C$53,"Мало трафика",IF(J808&lt;'Дашборд'!$C$9*'Дашборд'!$C$54,"Да","Нет"))</x:f>
        <x:v>Да</x:v>
      </x:c>
      <x:c r="N808" s="1" t="str">
        <x:f>IF(AND('Данные'!D808&gt;='Дашборд'!$C$55,D808&lt;'Дашборд'!$C$56,'Данные'!E808&gt;='Дашборд'!$C$53,'Данные'!L808&lt;&gt;"Да"),"Да","Нет")</x:f>
        <x:v>Да</x:v>
      </x:c>
      <x:c r="O808" s="1" t="str">
        <x:f>'Данные'!L808</x:f>
        <x:v>Нет</x:v>
      </x:c>
    </x:row>
    <x:row r="809">
      <x:c r="A809" s="1" t="str">
        <x:f>'Данные'!A809</x:f>
        <x:v>202409690</x:v>
      </x:c>
      <x:c r="B809" s="1" t="str">
        <x:f>'Данные'!B809</x:f>
        <x:v>hudiprint/Goodvibes-50/молочный</x:v>
      </x:c>
      <x:c r="C809" s="8" t="n">
        <x:f>'Данные'!G809</x:f>
        <x:v>195103</x:v>
      </x:c>
      <x:c r="D809" s="15" t="n">
        <x:f>C809/SUM($C$5:$C$2477)</x:f>
        <x:v>0.00022792393468381783</x:v>
      </x:c>
      <x:c r="E809" s="15" t="n">
        <x:f>SUM($D$5:D809)</x:f>
        <x:v>0.9331767310867143</x:v>
      </x:c>
      <x:c r="F809" s="1" t="str">
        <x:f>IF(C809&lt;=0,"C",IF(E809-D809&lt;'Дашборд'!$C$49,"A",IF(E809-D809&lt;'Дашборд'!$C$50,"B","C")))</x:f>
        <x:v>B</x:v>
      </x:c>
      <x:c r="G809" s="8" t="n">
        <x:f>'Данные'!F809</x:f>
        <x:v>180</x:v>
      </x:c>
      <x:c r="H809" s="8" t="n">
        <x:f>SUM('Данные'!H809:I809)</x:f>
        <x:v>5</x:v>
      </x:c>
      <x:c r="I809" s="16" t="n">
        <x:f>IF(H809&gt;0,G809/H809,"n.a.")</x:f>
        <x:v>36</x:v>
      </x:c>
      <x:c r="J809" s="10" t="n">
        <x:f>IF('Данные'!E809&gt;0,G809/'Данные'!E809,"n.a.")</x:f>
        <x:v>0.011941882836860611</x:v>
      </x:c>
      <x:c r="K809" s="1" t="str">
        <x:f>IF(G809&gt;='Дашборд'!$C$51,"X","Z")</x:f>
        <x:v>Z</x:v>
      </x:c>
      <x:c r="L809" s="1" t="str">
        <x:f>IF(H809=0,IF(G809&gt;0,"Нет остатка","Нет спроса"),IF(I809&gt;='Дашборд'!$C$52,"Быстрый","Медленный"))</x:f>
        <x:v>Быстрый</x:v>
      </x:c>
      <x:c r="M809" s="1" t="str">
        <x:f>IF('Данные'!E809&lt;'Дашборд'!$C$53,"Мало трафика",IF(J809&lt;'Дашборд'!$C$9*'Дашборд'!$C$54,"Да","Нет"))</x:f>
        <x:v>Нет</x:v>
      </x:c>
      <x:c r="N809" s="1" t="str">
        <x:f>IF(AND('Данные'!D809&gt;='Дашборд'!$C$55,D809&lt;'Дашборд'!$C$56,'Данные'!E809&gt;='Дашборд'!$C$53,'Данные'!L809&lt;&gt;"Да"),"Да","Нет")</x:f>
        <x:v>Нет</x:v>
      </x:c>
      <x:c r="O809" s="1" t="str">
        <x:f>'Данные'!L809</x:f>
        <x:v>Нет</x:v>
      </x:c>
    </x:row>
    <x:row r="810">
      <x:c r="A810" s="1" t="str">
        <x:f>'Данные'!A810</x:f>
        <x:v>145845815</x:v>
      </x:c>
      <x:c r="B810" s="1" t="str">
        <x:f>'Данные'!B810</x:f>
        <x:v>svitshotman/коричневый</x:v>
      </x:c>
      <x:c r="C810" s="8" t="n">
        <x:f>'Данные'!G810</x:f>
        <x:v>195012</x:v>
      </x:c>
      <x:c r="D810" s="15" t="n">
        <x:f>C810/SUM($C$5:$C$2477)</x:f>
        <x:v>0.00022781762633358117</x:v>
      </x:c>
      <x:c r="E810" s="15" t="n">
        <x:f>SUM($D$5:D810)</x:f>
        <x:v>0.9334045487130479</x:v>
      </x:c>
      <x:c r="F810" s="1" t="str">
        <x:f>IF(C810&lt;=0,"C",IF(E810-D810&lt;'Дашборд'!$C$49,"A",IF(E810-D810&lt;'Дашборд'!$C$50,"B","C")))</x:f>
        <x:v>B</x:v>
      </x:c>
      <x:c r="G810" s="8" t="n">
        <x:f>'Данные'!F810</x:f>
        <x:v>251</x:v>
      </x:c>
      <x:c r="H810" s="8" t="n">
        <x:f>SUM('Данные'!H810:I810)</x:f>
        <x:v>69</x:v>
      </x:c>
      <x:c r="I810" s="16" t="n">
        <x:f>IF(H810&gt;0,G810/H810,"n.a.")</x:f>
        <x:v>3.63768115942029</x:v>
      </x:c>
      <x:c r="J810" s="10" t="n">
        <x:f>IF('Данные'!E810&gt;0,G810/'Данные'!E810,"n.a.")</x:f>
        <x:v>0.021412728203378265</x:v>
      </x:c>
      <x:c r="K810" s="1" t="str">
        <x:f>IF(G810&gt;='Дашборд'!$C$51,"X","Z")</x:f>
        <x:v>Z</x:v>
      </x:c>
      <x:c r="L810" s="1" t="str">
        <x:f>IF(H810=0,IF(G810&gt;0,"Нет остатка","Нет спроса"),IF(I810&gt;='Дашборд'!$C$52,"Быстрый","Медленный"))</x:f>
        <x:v>Быстрый</x:v>
      </x:c>
      <x:c r="M810" s="1" t="str">
        <x:f>IF('Данные'!E810&lt;'Дашборд'!$C$53,"Мало трафика",IF(J810&lt;'Дашборд'!$C$9*'Дашборд'!$C$54,"Да","Нет"))</x:f>
        <x:v>Нет</x:v>
      </x:c>
      <x:c r="N810" s="1" t="str">
        <x:f>IF(AND('Данные'!D810&gt;='Дашборд'!$C$55,D810&lt;'Дашборд'!$C$56,'Данные'!E810&gt;='Дашборд'!$C$53,'Данные'!L810&lt;&gt;"Да"),"Да","Нет")</x:f>
        <x:v>Да</x:v>
      </x:c>
      <x:c r="O810" s="1" t="str">
        <x:f>'Данные'!L810</x:f>
        <x:v>Нет</x:v>
      </x:c>
    </x:row>
    <x:row r="811">
      <x:c r="A811" s="1" t="str">
        <x:f>'Данные'!A811</x:f>
        <x:v>233262514</x:v>
      </x:c>
      <x:c r="B811" s="1" t="str">
        <x:f>'Данные'!B811</x:f>
        <x:v>2Nshortyman/молочный</x:v>
      </x:c>
      <x:c r="C811" s="8" t="n">
        <x:f>'Данные'!G811</x:f>
        <x:v>194014</x:v>
      </x:c>
      <x:c r="D811" s="15" t="n">
        <x:f>C811/SUM($C$5:$C$2477)</x:f>
        <x:v>0.00022665173915186457</x:v>
      </x:c>
      <x:c r="E811" s="15" t="n">
        <x:f>SUM($D$5:D811)</x:f>
        <x:v>0.9336312004521997</x:v>
      </x:c>
      <x:c r="F811" s="1" t="str">
        <x:f>IF(C811&lt;=0,"C",IF(E811-D811&lt;'Дашборд'!$C$49,"A",IF(E811-D811&lt;'Дашборд'!$C$50,"B","C")))</x:f>
        <x:v>B</x:v>
      </x:c>
      <x:c r="G811" s="8" t="n">
        <x:f>'Данные'!F811</x:f>
        <x:v>523</x:v>
      </x:c>
      <x:c r="H811" s="8" t="n">
        <x:f>SUM('Данные'!H811:I811)</x:f>
        <x:v>3</x:v>
      </x:c>
      <x:c r="I811" s="16" t="n">
        <x:f>IF(H811&gt;0,G811/H811,"n.a.")</x:f>
        <x:v>174.33333333333334</x:v>
      </x:c>
      <x:c r="J811" s="10" t="n">
        <x:f>IF('Данные'!E811&gt;0,G811/'Данные'!E811,"n.a.")</x:f>
        <x:v>0.021104027116455492</x:v>
      </x:c>
      <x:c r="K811" s="1" t="str">
        <x:f>IF(G811&gt;='Дашборд'!$C$51,"X","Z")</x:f>
        <x:v>X</x:v>
      </x:c>
      <x:c r="L811" s="1" t="str">
        <x:f>IF(H811=0,IF(G811&gt;0,"Нет остатка","Нет спроса"),IF(I811&gt;='Дашборд'!$C$52,"Быстрый","Медленный"))</x:f>
        <x:v>Быстрый</x:v>
      </x:c>
      <x:c r="M811" s="1" t="str">
        <x:f>IF('Данные'!E811&lt;'Дашборд'!$C$53,"Мало трафика",IF(J811&lt;'Дашборд'!$C$9*'Дашборд'!$C$54,"Да","Нет"))</x:f>
        <x:v>Нет</x:v>
      </x:c>
      <x:c r="N811" s="1" t="str">
        <x:f>IF(AND('Данные'!D811&gt;='Дашборд'!$C$55,D811&lt;'Дашборд'!$C$56,'Данные'!E811&gt;='Дашборд'!$C$53,'Данные'!L811&lt;&gt;"Да"),"Да","Нет")</x:f>
        <x:v>Нет</x:v>
      </x:c>
      <x:c r="O811" s="1" t="str">
        <x:f>'Данные'!L811</x:f>
        <x:v>Нет</x:v>
      </x:c>
    </x:row>
    <x:row r="812">
      <x:c r="A812" s="1" t="str">
        <x:f>'Данные'!A812</x:f>
        <x:v>222802044</x:v>
      </x:c>
      <x:c r="B812" s="1" t="str">
        <x:f>'Данные'!B812</x:f>
        <x:v>hudipetl/темно-серый</x:v>
      </x:c>
      <x:c r="C812" s="8" t="n">
        <x:f>'Данные'!G812</x:f>
        <x:v>193904</x:v>
      </x:c>
      <x:c r="D812" s="15" t="n">
        <x:f>C812/SUM($C$5:$C$2477)</x:f>
        <x:v>0.00022652323455267737</x:v>
      </x:c>
      <x:c r="E812" s="15" t="n">
        <x:f>SUM($D$5:D812)</x:f>
        <x:v>0.9338577236867524</x:v>
      </x:c>
      <x:c r="F812" s="1" t="str">
        <x:f>IF(C812&lt;=0,"C",IF(E812-D812&lt;'Дашборд'!$C$49,"A",IF(E812-D812&lt;'Дашборд'!$C$50,"B","C")))</x:f>
        <x:v>B</x:v>
      </x:c>
      <x:c r="G812" s="8" t="n">
        <x:f>'Данные'!F812</x:f>
        <x:v>152</x:v>
      </x:c>
      <x:c r="H812" s="8" t="n">
        <x:f>SUM('Данные'!H812:I812)</x:f>
        <x:v>0</x:v>
      </x:c>
      <x:c r="I812" s="16" t="str">
        <x:f>IF(H812&gt;0,G812/H812,"n.a.")</x:f>
        <x:v>n.a.</x:v>
      </x:c>
      <x:c r="J812" s="10" t="n">
        <x:f>IF('Данные'!E812&gt;0,G812/'Данные'!E812,"n.a.")</x:f>
        <x:v>0.007061884408102583</x:v>
      </x:c>
      <x:c r="K812" s="1" t="str">
        <x:f>IF(G812&gt;='Дашборд'!$C$51,"X","Z")</x:f>
        <x:v>Z</x:v>
      </x:c>
      <x:c r="L812" s="1" t="str">
        <x:f>IF(H812=0,IF(G812&gt;0,"Нет остатка","Нет спроса"),IF(I812&gt;='Дашборд'!$C$52,"Быстрый","Медленный"))</x:f>
        <x:v>Нет остатка</x:v>
      </x:c>
      <x:c r="M812" s="1" t="str">
        <x:f>IF('Данные'!E812&lt;'Дашборд'!$C$53,"Мало трафика",IF(J812&lt;'Дашборд'!$C$9*'Дашборд'!$C$54,"Да","Нет"))</x:f>
        <x:v>Да</x:v>
      </x:c>
      <x:c r="N812" s="1" t="str">
        <x:f>IF(AND('Данные'!D812&gt;='Дашборд'!$C$55,D812&lt;'Дашборд'!$C$56,'Данные'!E812&gt;='Дашборд'!$C$53,'Данные'!L812&lt;&gt;"Да"),"Да","Нет")</x:f>
        <x:v>Нет</x:v>
      </x:c>
      <x:c r="O812" s="1" t="str">
        <x:f>'Данные'!L812</x:f>
        <x:v>Нет</x:v>
      </x:c>
    </x:row>
    <x:row r="813">
      <x:c r="A813" s="1" t="str">
        <x:f>'Данные'!A813</x:f>
        <x:v>246363158</x:v>
      </x:c>
      <x:c r="B813" s="1" t="str">
        <x:f>'Данные'!B813</x:f>
        <x:v>tolstovkazipcrop/бежевый</x:v>
      </x:c>
      <x:c r="C813" s="8" t="n">
        <x:f>'Данные'!G813</x:f>
        <x:v>193647</x:v>
      </x:c>
      <x:c r="D813" s="15" t="n">
        <x:f>C813/SUM($C$5:$C$2477)</x:f>
        <x:v>0.00022622300108003093</x:v>
      </x:c>
      <x:c r="E813" s="15" t="n">
        <x:f>SUM($D$5:D813)</x:f>
        <x:v>0.9340839466878323</x:v>
      </x:c>
      <x:c r="F813" s="1" t="str">
        <x:f>IF(C813&lt;=0,"C",IF(E813-D813&lt;'Дашборд'!$C$49,"A",IF(E813-D813&lt;'Дашборд'!$C$50,"B","C")))</x:f>
        <x:v>B</x:v>
      </x:c>
      <x:c r="G813" s="8" t="n">
        <x:f>'Данные'!F813</x:f>
        <x:v>196</x:v>
      </x:c>
      <x:c r="H813" s="8" t="n">
        <x:f>SUM('Данные'!H813:I813)</x:f>
        <x:v>2</x:v>
      </x:c>
      <x:c r="I813" s="16" t="n">
        <x:f>IF(H813&gt;0,G813/H813,"n.a.")</x:f>
        <x:v>98</x:v>
      </x:c>
      <x:c r="J813" s="10" t="n">
        <x:f>IF('Данные'!E813&gt;0,G813/'Данные'!E813,"n.a.")</x:f>
        <x:v>0.009082904675842255</x:v>
      </x:c>
      <x:c r="K813" s="1" t="str">
        <x:f>IF(G813&gt;='Дашборд'!$C$51,"X","Z")</x:f>
        <x:v>Z</x:v>
      </x:c>
      <x:c r="L813" s="1" t="str">
        <x:f>IF(H813=0,IF(G813&gt;0,"Нет остатка","Нет спроса"),IF(I813&gt;='Дашборд'!$C$52,"Быстрый","Медленный"))</x:f>
        <x:v>Быстрый</x:v>
      </x:c>
      <x:c r="M813" s="1" t="str">
        <x:f>IF('Данные'!E813&lt;'Дашборд'!$C$53,"Мало трафика",IF(J813&lt;'Дашборд'!$C$9*'Дашборд'!$C$54,"Да","Нет"))</x:f>
        <x:v>Да</x:v>
      </x:c>
      <x:c r="N813" s="1" t="str">
        <x:f>IF(AND('Данные'!D813&gt;='Дашборд'!$C$55,D813&lt;'Дашборд'!$C$56,'Данные'!E813&gt;='Дашборд'!$C$53,'Данные'!L813&lt;&gt;"Да"),"Да","Нет")</x:f>
        <x:v>Да</x:v>
      </x:c>
      <x:c r="O813" s="1" t="str">
        <x:f>'Данные'!L813</x:f>
        <x:v>Нет</x:v>
      </x:c>
    </x:row>
    <x:row r="814">
      <x:c r="A814" s="1" t="str">
        <x:f>'Данные'!A814</x:f>
        <x:v>281587847</x:v>
      </x:c>
      <x:c r="B814" s="1" t="str">
        <x:f>'Данные'!B814</x:f>
        <x:v>boxer/черный</x:v>
      </x:c>
      <x:c r="C814" s="8" t="n">
        <x:f>'Данные'!G814</x:f>
        <x:v>192957</x:v>
      </x:c>
      <x:c r="D814" s="15" t="n">
        <x:f>C814/SUM($C$5:$C$2477)</x:f>
        <x:v>0.0002254169267760385</x:v>
      </x:c>
      <x:c r="E814" s="15" t="n">
        <x:f>SUM($D$5:D814)</x:f>
        <x:v>0.9343093636146084</x:v>
      </x:c>
      <x:c r="F814" s="1" t="str">
        <x:f>IF(C814&lt;=0,"C",IF(E814-D814&lt;'Дашборд'!$C$49,"A",IF(E814-D814&lt;'Дашборд'!$C$50,"B","C")))</x:f>
        <x:v>B</x:v>
      </x:c>
      <x:c r="G814" s="8" t="n">
        <x:f>'Данные'!F814</x:f>
        <x:v>783</x:v>
      </x:c>
      <x:c r="H814" s="8" t="n">
        <x:f>SUM('Данные'!H814:I814)</x:f>
        <x:v>632</x:v>
      </x:c>
      <x:c r="I814" s="16" t="n">
        <x:f>IF(H814&gt;0,G814/H814,"n.a.")</x:f>
        <x:v>1.2389240506329113</x:v>
      </x:c>
      <x:c r="J814" s="10" t="n">
        <x:f>IF('Данные'!E814&gt;0,G814/'Данные'!E814,"n.a.")</x:f>
        <x:v>0.041430763532462035</x:v>
      </x:c>
      <x:c r="K814" s="1" t="str">
        <x:f>IF(G814&gt;='Дашборд'!$C$51,"X","Z")</x:f>
        <x:v>X</x:v>
      </x:c>
      <x:c r="L814" s="1" t="str">
        <x:f>IF(H814=0,IF(G814&gt;0,"Нет остатка","Нет спроса"),IF(I814&gt;='Дашборд'!$C$52,"Быстрый","Медленный"))</x:f>
        <x:v>Быстрый</x:v>
      </x:c>
      <x:c r="M814" s="1" t="str">
        <x:f>IF('Данные'!E814&lt;'Дашборд'!$C$53,"Мало трафика",IF(J814&lt;'Дашборд'!$C$9*'Дашборд'!$C$54,"Да","Нет"))</x:f>
        <x:v>Нет</x:v>
      </x:c>
      <x:c r="N814" s="1" t="str">
        <x:f>IF(AND('Данные'!D814&gt;='Дашборд'!$C$55,D814&lt;'Дашборд'!$C$56,'Данные'!E814&gt;='Дашборд'!$C$53,'Данные'!L814&lt;&gt;"Да"),"Да","Нет")</x:f>
        <x:v>Нет</x:v>
      </x:c>
      <x:c r="O814" s="1" t="str">
        <x:f>'Данные'!L814</x:f>
        <x:v>Нет</x:v>
      </x:c>
    </x:row>
    <x:row r="815">
      <x:c r="A815" s="1" t="str">
        <x:f>'Данные'!A815</x:f>
        <x:v>320420251</x:v>
      </x:c>
      <x:c r="B815" s="1" t="str">
        <x:f>'Данные'!B815</x:f>
        <x:v>palazzoshnurok/дымка</x:v>
      </x:c>
      <x:c r="C815" s="8" t="n">
        <x:f>'Данные'!G815</x:f>
        <x:v>192314</x:v>
      </x:c>
      <x:c r="D815" s="15" t="n">
        <x:f>C815/SUM($C$5:$C$2477)</x:f>
        <x:v>0.00022466575898260786</x:v>
      </x:c>
      <x:c r="E815" s="15" t="n">
        <x:f>SUM($D$5:D815)</x:f>
        <x:v>0.934534029373591</x:v>
      </x:c>
      <x:c r="F815" s="1" t="str">
        <x:f>IF(C815&lt;=0,"C",IF(E815-D815&lt;'Дашборд'!$C$49,"A",IF(E815-D815&lt;'Дашборд'!$C$50,"B","C")))</x:f>
        <x:v>B</x:v>
      </x:c>
      <x:c r="G815" s="8" t="n">
        <x:f>'Данные'!F815</x:f>
        <x:v>392</x:v>
      </x:c>
      <x:c r="H815" s="8" t="n">
        <x:f>SUM('Данные'!H815:I815)</x:f>
        <x:v>488</x:v>
      </x:c>
      <x:c r="I815" s="16" t="n">
        <x:f>IF(H815&gt;0,G815/H815,"n.a.")</x:f>
        <x:v>0.8032786885245902</x:v>
      </x:c>
      <x:c r="J815" s="10" t="n">
        <x:f>IF('Данные'!E815&gt;0,G815/'Данные'!E815,"n.a.")</x:f>
        <x:v>0.01586851799376594</x:v>
      </x:c>
      <x:c r="K815" s="1" t="str">
        <x:f>IF(G815&gt;='Дашборд'!$C$51,"X","Z")</x:f>
        <x:v>X</x:v>
      </x:c>
      <x:c r="L815" s="1" t="str">
        <x:f>IF(H815=0,IF(G815&gt;0,"Нет остатка","Нет спроса"),IF(I815&gt;='Дашборд'!$C$52,"Быстрый","Медленный"))</x:f>
        <x:v>Медленный</x:v>
      </x:c>
      <x:c r="M815" s="1" t="str">
        <x:f>IF('Данные'!E815&lt;'Дашборд'!$C$53,"Мало трафика",IF(J815&lt;'Дашборд'!$C$9*'Дашборд'!$C$54,"Да","Нет"))</x:f>
        <x:v>Нет</x:v>
      </x:c>
      <x:c r="N815" s="1" t="str">
        <x:f>IF(AND('Данные'!D815&gt;='Дашборд'!$C$55,D815&lt;'Дашборд'!$C$56,'Данные'!E815&gt;='Дашборд'!$C$53,'Данные'!L815&lt;&gt;"Да"),"Да","Нет")</x:f>
        <x:v>Нет</x:v>
      </x:c>
      <x:c r="O815" s="1" t="str">
        <x:f>'Данные'!L815</x:f>
        <x:v>Нет</x:v>
      </x:c>
    </x:row>
    <x:row r="816">
      <x:c r="A816" s="1" t="str">
        <x:f>'Данные'!A816</x:f>
        <x:v>246362996</x:v>
      </x:c>
      <x:c r="B816" s="1" t="str">
        <x:f>'Данные'!B816</x:f>
        <x:v>tolstovkazipcrop/хаки</x:v>
      </x:c>
      <x:c r="C816" s="8" t="n">
        <x:f>'Данные'!G816</x:f>
        <x:v>191245</x:v>
      </x:c>
      <x:c r="D816" s="15" t="n">
        <x:f>C816/SUM($C$5:$C$2477)</x:f>
        <x:v>0.0002234169279232341</x:v>
      </x:c>
      <x:c r="E816" s="15" t="n">
        <x:f>SUM($D$5:D816)</x:f>
        <x:v>0.9347574463015142</x:v>
      </x:c>
      <x:c r="F816" s="1" t="str">
        <x:f>IF(C816&lt;=0,"C",IF(E816-D816&lt;'Дашборд'!$C$49,"A",IF(E816-D816&lt;'Дашборд'!$C$50,"B","C")))</x:f>
        <x:v>B</x:v>
      </x:c>
      <x:c r="G816" s="8" t="n">
        <x:f>'Данные'!F816</x:f>
        <x:v>187</x:v>
      </x:c>
      <x:c r="H816" s="8" t="n">
        <x:f>SUM('Данные'!H816:I816)</x:f>
        <x:v>0</x:v>
      </x:c>
      <x:c r="I816" s="16" t="str">
        <x:f>IF(H816&gt;0,G816/H816,"n.a.")</x:f>
        <x:v>n.a.</x:v>
      </x:c>
      <x:c r="J816" s="10" t="n">
        <x:f>IF('Данные'!E816&gt;0,G816/'Данные'!E816,"n.a.")</x:f>
        <x:v>0.00723404255319149</x:v>
      </x:c>
      <x:c r="K816" s="1" t="str">
        <x:f>IF(G816&gt;='Дашборд'!$C$51,"X","Z")</x:f>
        <x:v>Z</x:v>
      </x:c>
      <x:c r="L816" s="1" t="str">
        <x:f>IF(H816=0,IF(G816&gt;0,"Нет остатка","Нет спроса"),IF(I816&gt;='Дашборд'!$C$52,"Быстрый","Медленный"))</x:f>
        <x:v>Нет остатка</x:v>
      </x:c>
      <x:c r="M816" s="1" t="str">
        <x:f>IF('Данные'!E816&lt;'Дашборд'!$C$53,"Мало трафика",IF(J816&lt;'Дашборд'!$C$9*'Дашборд'!$C$54,"Да","Нет"))</x:f>
        <x:v>Да</x:v>
      </x:c>
      <x:c r="N816" s="1" t="str">
        <x:f>IF(AND('Данные'!D816&gt;='Дашборд'!$C$55,D816&lt;'Дашборд'!$C$56,'Данные'!E816&gt;='Дашборд'!$C$53,'Данные'!L816&lt;&gt;"Да"),"Да","Нет")</x:f>
        <x:v>Да</x:v>
      </x:c>
      <x:c r="O816" s="1" t="str">
        <x:f>'Данные'!L816</x:f>
        <x:v>Нет</x:v>
      </x:c>
    </x:row>
    <x:row r="817">
      <x:c r="A817" s="1" t="str">
        <x:f>'Данные'!A817</x:f>
        <x:v>325076333</x:v>
      </x:c>
      <x:c r="B817" s="1" t="str">
        <x:f>'Данные'!B817</x:f>
        <x:v>kulirkamanprint/Time-275/коричневый</x:v>
      </x:c>
      <x:c r="C817" s="8" t="n">
        <x:f>'Данные'!G817</x:f>
        <x:v>190574</x:v>
      </x:c>
      <x:c r="D817" s="15" t="n">
        <x:f>C817/SUM($C$5:$C$2477)</x:f>
        <x:v>0.0002226330498681922</x:v>
      </x:c>
      <x:c r="E817" s="15" t="n">
        <x:f>SUM($D$5:D817)</x:f>
        <x:v>0.9349800793513824</x:v>
      </x:c>
      <x:c r="F817" s="1" t="str">
        <x:f>IF(C817&lt;=0,"C",IF(E817-D817&lt;'Дашборд'!$C$49,"A",IF(E817-D817&lt;'Дашборд'!$C$50,"B","C")))</x:f>
        <x:v>B</x:v>
      </x:c>
      <x:c r="G817" s="8" t="n">
        <x:f>'Данные'!F817</x:f>
        <x:v>312</x:v>
      </x:c>
      <x:c r="H817" s="8" t="n">
        <x:f>SUM('Данные'!H817:I817)</x:f>
        <x:v>50</x:v>
      </x:c>
      <x:c r="I817" s="16" t="n">
        <x:f>IF(H817&gt;0,G817/H817,"n.a.")</x:f>
        <x:v>6.24</x:v>
      </x:c>
      <x:c r="J817" s="10" t="n">
        <x:f>IF('Данные'!E817&gt;0,G817/'Данные'!E817,"n.a.")</x:f>
        <x:v>0.006661684637557382</x:v>
      </x:c>
      <x:c r="K817" s="1" t="str">
        <x:f>IF(G817&gt;='Дашборд'!$C$51,"X","Z")</x:f>
        <x:v>X</x:v>
      </x:c>
      <x:c r="L817" s="1" t="str">
        <x:f>IF(H817=0,IF(G817&gt;0,"Нет остатка","Нет спроса"),IF(I817&gt;='Дашборд'!$C$52,"Быстрый","Медленный"))</x:f>
        <x:v>Быстрый</x:v>
      </x:c>
      <x:c r="M817" s="1" t="str">
        <x:f>IF('Данные'!E817&lt;'Дашборд'!$C$53,"Мало трафика",IF(J817&lt;'Дашборд'!$C$9*'Дашборд'!$C$54,"Да","Нет"))</x:f>
        <x:v>Да</x:v>
      </x:c>
      <x:c r="N817" s="1" t="str">
        <x:f>IF(AND('Данные'!D817&gt;='Дашборд'!$C$55,D817&lt;'Дашборд'!$C$56,'Данные'!E817&gt;='Дашборд'!$C$53,'Данные'!L817&lt;&gt;"Да"),"Да","Нет")</x:f>
        <x:v>Нет</x:v>
      </x:c>
      <x:c r="O817" s="1" t="str">
        <x:f>'Данные'!L817</x:f>
        <x:v>Нет</x:v>
      </x:c>
    </x:row>
    <x:row r="818">
      <x:c r="A818" s="1" t="str">
        <x:f>'Данные'!A818</x:f>
        <x:v>166248304</x:v>
      </x:c>
      <x:c r="B818" s="1" t="str">
        <x:f>'Данные'!B818</x:f>
        <x:v>svitshotover/красный</x:v>
      </x:c>
      <x:c r="C818" s="8" t="n">
        <x:f>'Данные'!G818</x:f>
        <x:v>190523</x:v>
      </x:c>
      <x:c r="D818" s="15" t="n">
        <x:f>C818/SUM($C$5:$C$2477)</x:f>
        <x:v>0.00022257347046311448</x:v>
      </x:c>
      <x:c r="E818" s="15" t="n">
        <x:f>SUM($D$5:D818)</x:f>
        <x:v>0.9352026528218454</x:v>
      </x:c>
      <x:c r="F818" s="1" t="str">
        <x:f>IF(C818&lt;=0,"C",IF(E818-D818&lt;'Дашборд'!$C$49,"A",IF(E818-D818&lt;'Дашборд'!$C$50,"B","C")))</x:f>
        <x:v>B</x:v>
      </x:c>
      <x:c r="G818" s="8" t="n">
        <x:f>'Данные'!F818</x:f>
        <x:v>240</x:v>
      </x:c>
      <x:c r="H818" s="8" t="n">
        <x:f>SUM('Данные'!H818:I818)</x:f>
        <x:v>277</x:v>
      </x:c>
      <x:c r="I818" s="16" t="n">
        <x:f>IF(H818&gt;0,G818/H818,"n.a.")</x:f>
        <x:v>0.8664259927797834</x:v>
      </x:c>
      <x:c r="J818" s="10" t="n">
        <x:f>IF('Данные'!E818&gt;0,G818/'Данные'!E818,"n.a.")</x:f>
        <x:v>0.019079418077748628</x:v>
      </x:c>
      <x:c r="K818" s="1" t="str">
        <x:f>IF(G818&gt;='Дашборд'!$C$51,"X","Z")</x:f>
        <x:v>Z</x:v>
      </x:c>
      <x:c r="L818" s="1" t="str">
        <x:f>IF(H818=0,IF(G818&gt;0,"Нет остатка","Нет спроса"),IF(I818&gt;='Дашборд'!$C$52,"Быстрый","Медленный"))</x:f>
        <x:v>Медленный</x:v>
      </x:c>
      <x:c r="M818" s="1" t="str">
        <x:f>IF('Данные'!E818&lt;'Дашборд'!$C$53,"Мало трафика",IF(J818&lt;'Дашборд'!$C$9*'Дашборд'!$C$54,"Да","Нет"))</x:f>
        <x:v>Нет</x:v>
      </x:c>
      <x:c r="N818" s="1" t="str">
        <x:f>IF(AND('Данные'!D818&gt;='Дашборд'!$C$55,D818&lt;'Дашборд'!$C$56,'Данные'!E818&gt;='Дашборд'!$C$53,'Данные'!L818&lt;&gt;"Да"),"Да","Нет")</x:f>
        <x:v>Да</x:v>
      </x:c>
      <x:c r="O818" s="1" t="str">
        <x:f>'Данные'!L818</x:f>
        <x:v>Нет</x:v>
      </x:c>
    </x:row>
    <x:row r="819">
      <x:c r="A819" s="1" t="str">
        <x:f>'Данные'!A819</x:f>
        <x:v>209915076</x:v>
      </x:c>
      <x:c r="B819" s="1" t="str">
        <x:f>'Данные'!B819</x:f>
        <x:v>longsvobod/кофейный</x:v>
      </x:c>
      <x:c r="C819" s="8" t="n">
        <x:f>'Данные'!G819</x:f>
        <x:v>189946</x:v>
      </x:c>
      <x:c r="D819" s="15" t="n">
        <x:f>C819/SUM($C$5:$C$2477)</x:f>
        <x:v>0.0002218994054291962</x:v>
      </x:c>
      <x:c r="E819" s="15" t="n">
        <x:f>SUM($D$5:D819)</x:f>
        <x:v>0.9354245522272746</x:v>
      </x:c>
      <x:c r="F819" s="1" t="str">
        <x:f>IF(C819&lt;=0,"C",IF(E819-D819&lt;'Дашборд'!$C$49,"A",IF(E819-D819&lt;'Дашборд'!$C$50,"B","C")))</x:f>
        <x:v>B</x:v>
      </x:c>
      <x:c r="G819" s="8" t="n">
        <x:f>'Данные'!F819</x:f>
        <x:v>471</x:v>
      </x:c>
      <x:c r="H819" s="8" t="n">
        <x:f>SUM('Данные'!H819:I819)</x:f>
        <x:v>58</x:v>
      </x:c>
      <x:c r="I819" s="16" t="n">
        <x:f>IF(H819&gt;0,G819/H819,"n.a.")</x:f>
        <x:v>8.120689655172415</x:v>
      </x:c>
      <x:c r="J819" s="10" t="n">
        <x:f>IF('Данные'!E819&gt;0,G819/'Данные'!E819,"n.a.")</x:f>
        <x:v>0.008068937161652847</x:v>
      </x:c>
      <x:c r="K819" s="1" t="str">
        <x:f>IF(G819&gt;='Дашборд'!$C$51,"X","Z")</x:f>
        <x:v>X</x:v>
      </x:c>
      <x:c r="L819" s="1" t="str">
        <x:f>IF(H819=0,IF(G819&gt;0,"Нет остатка","Нет спроса"),IF(I819&gt;='Дашборд'!$C$52,"Быстрый","Медленный"))</x:f>
        <x:v>Быстрый</x:v>
      </x:c>
      <x:c r="M819" s="1" t="str">
        <x:f>IF('Данные'!E819&lt;'Дашборд'!$C$53,"Мало трафика",IF(J819&lt;'Дашборд'!$C$9*'Дашборд'!$C$54,"Да","Нет"))</x:f>
        <x:v>Да</x:v>
      </x:c>
      <x:c r="N819" s="1" t="str">
        <x:f>IF(AND('Данные'!D819&gt;='Дашборд'!$C$55,D819&lt;'Дашборд'!$C$56,'Данные'!E819&gt;='Дашборд'!$C$53,'Данные'!L819&lt;&gt;"Да"),"Да","Нет")</x:f>
        <x:v>Нет</x:v>
      </x:c>
      <x:c r="O819" s="1" t="str">
        <x:f>'Данные'!L819</x:f>
        <x:v>Нет</x:v>
      </x:c>
    </x:row>
    <x:row r="820">
      <x:c r="A820" s="1" t="str">
        <x:f>'Данные'!A820</x:f>
        <x:v>332646310</x:v>
      </x:c>
      <x:c r="B820" s="1" t="str">
        <x:f>'Данные'!B820</x:f>
        <x:v>futbolkaprint/Rome-237/кофейный</x:v>
      </x:c>
      <x:c r="C820" s="8" t="n">
        <x:f>'Данные'!G820</x:f>
        <x:v>189624</x:v>
      </x:c>
      <x:c r="D820" s="15" t="n">
        <x:f>C820/SUM($C$5:$C$2477)</x:f>
        <x:v>0.00022152323742066638</x:v>
      </x:c>
      <x:c r="E820" s="15" t="n">
        <x:f>SUM($D$5:D820)</x:f>
        <x:v>0.9356460754646952</x:v>
      </x:c>
      <x:c r="F820" s="1" t="str">
        <x:f>IF(C820&lt;=0,"C",IF(E820-D820&lt;'Дашборд'!$C$49,"A",IF(E820-D820&lt;'Дашборд'!$C$50,"B","C")))</x:f>
        <x:v>B</x:v>
      </x:c>
      <x:c r="G820" s="8" t="n">
        <x:f>'Данные'!F820</x:f>
        <x:v>434</x:v>
      </x:c>
      <x:c r="H820" s="8" t="n">
        <x:f>SUM('Данные'!H820:I820)</x:f>
        <x:v>261</x:v>
      </x:c>
      <x:c r="I820" s="16" t="n">
        <x:f>IF(H820&gt;0,G820/H820,"n.a.")</x:f>
        <x:v>1.6628352490421456</x:v>
      </x:c>
      <x:c r="J820" s="10" t="n">
        <x:f>IF('Данные'!E820&gt;0,G820/'Данные'!E820,"n.a.")</x:f>
        <x:v>0.005999778809997788</x:v>
      </x:c>
      <x:c r="K820" s="1" t="str">
        <x:f>IF(G820&gt;='Дашборд'!$C$51,"X","Z")</x:f>
        <x:v>X</x:v>
      </x:c>
      <x:c r="L820" s="1" t="str">
        <x:f>IF(H820=0,IF(G820&gt;0,"Нет остатка","Нет спроса"),IF(I820&gt;='Дашборд'!$C$52,"Быстрый","Медленный"))</x:f>
        <x:v>Быстрый</x:v>
      </x:c>
      <x:c r="M820" s="1" t="str">
        <x:f>IF('Данные'!E820&lt;'Дашборд'!$C$53,"Мало трафика",IF(J820&lt;'Дашборд'!$C$9*'Дашборд'!$C$54,"Да","Нет"))</x:f>
        <x:v>Да</x:v>
      </x:c>
      <x:c r="N820" s="1" t="str">
        <x:f>IF(AND('Данные'!D820&gt;='Дашборд'!$C$55,D820&lt;'Дашборд'!$C$56,'Данные'!E820&gt;='Дашборд'!$C$53,'Данные'!L820&lt;&gt;"Да"),"Да","Нет")</x:f>
        <x:v>Да</x:v>
      </x:c>
      <x:c r="O820" s="1" t="str">
        <x:f>'Данные'!L820</x:f>
        <x:v>Нет</x:v>
      </x:c>
    </x:row>
    <x:row r="821">
      <x:c r="A821" s="1" t="str">
        <x:f>'Данные'!A821</x:f>
        <x:v>333104135</x:v>
      </x:c>
      <x:c r="B821" s="1" t="str">
        <x:f>'Данные'!B821</x:f>
        <x:v>topbando/дымка</x:v>
      </x:c>
      <x:c r="C821" s="8" t="n">
        <x:f>'Данные'!G821</x:f>
        <x:v>189079</x:v>
      </x:c>
      <x:c r="D821" s="15" t="n">
        <x:f>C821/SUM($C$5:$C$2477)</x:f>
        <x:v>0.00022088655554287526</x:v>
      </x:c>
      <x:c r="E821" s="15" t="n">
        <x:f>SUM($D$5:D821)</x:f>
        <x:v>0.9358669620202381</x:v>
      </x:c>
      <x:c r="F821" s="1" t="str">
        <x:f>IF(C821&lt;=0,"C",IF(E821-D821&lt;'Дашборд'!$C$49,"A",IF(E821-D821&lt;'Дашборд'!$C$50,"B","C")))</x:f>
        <x:v>B</x:v>
      </x:c>
      <x:c r="G821" s="8" t="n">
        <x:f>'Данные'!F821</x:f>
        <x:v>744</x:v>
      </x:c>
      <x:c r="H821" s="8" t="n">
        <x:f>SUM('Данные'!H821:I821)</x:f>
        <x:v>259</x:v>
      </x:c>
      <x:c r="I821" s="16" t="n">
        <x:f>IF(H821&gt;0,G821/H821,"n.a.")</x:f>
        <x:v>2.8725868725868726</x:v>
      </x:c>
      <x:c r="J821" s="10" t="n">
        <x:f>IF('Данные'!E821&gt;0,G821/'Данные'!E821,"n.a.")</x:f>
        <x:v>0.022931114193250116</x:v>
      </x:c>
      <x:c r="K821" s="1" t="str">
        <x:f>IF(G821&gt;='Дашборд'!$C$51,"X","Z")</x:f>
        <x:v>X</x:v>
      </x:c>
      <x:c r="L821" s="1" t="str">
        <x:f>IF(H821=0,IF(G821&gt;0,"Нет остатка","Нет спроса"),IF(I821&gt;='Дашборд'!$C$52,"Быстрый","Медленный"))</x:f>
        <x:v>Быстрый</x:v>
      </x:c>
      <x:c r="M821" s="1" t="str">
        <x:f>IF('Данные'!E821&lt;'Дашборд'!$C$53,"Мало трафика",IF(J821&lt;'Дашборд'!$C$9*'Дашборд'!$C$54,"Да","Нет"))</x:f>
        <x:v>Нет</x:v>
      </x:c>
      <x:c r="N821" s="1" t="str">
        <x:f>IF(AND('Данные'!D821&gt;='Дашборд'!$C$55,D821&lt;'Дашборд'!$C$56,'Данные'!E821&gt;='Дашборд'!$C$53,'Данные'!L821&lt;&gt;"Да"),"Да","Нет")</x:f>
        <x:v>Нет</x:v>
      </x:c>
      <x:c r="O821" s="1" t="str">
        <x:f>'Данные'!L821</x:f>
        <x:v>Нет</x:v>
      </x:c>
    </x:row>
    <x:row r="822">
      <x:c r="A822" s="1" t="str">
        <x:f>'Данные'!A822</x:f>
        <x:v>333139841</x:v>
      </x:c>
      <x:c r="B822" s="1" t="str">
        <x:f>'Данные'!B822</x:f>
        <x:v>topfutbolka/розовый</x:v>
      </x:c>
      <x:c r="C822" s="8" t="n">
        <x:f>'Данные'!G822</x:f>
        <x:v>188730</x:v>
      </x:c>
      <x:c r="D822" s="15" t="n">
        <x:f>C822/SUM($C$5:$C$2477)</x:f>
        <x:v>0.00022047884549636316</x:v>
      </x:c>
      <x:c r="E822" s="15" t="n">
        <x:f>SUM($D$5:D822)</x:f>
        <x:v>0.9360874408657345</x:v>
      </x:c>
      <x:c r="F822" s="1" t="str">
        <x:f>IF(C822&lt;=0,"C",IF(E822-D822&lt;'Дашборд'!$C$49,"A",IF(E822-D822&lt;'Дашборд'!$C$50,"B","C")))</x:f>
        <x:v>B</x:v>
      </x:c>
      <x:c r="G822" s="8" t="n">
        <x:f>'Данные'!F822</x:f>
        <x:v>710</x:v>
      </x:c>
      <x:c r="H822" s="8" t="n">
        <x:f>SUM('Данные'!H822:I822)</x:f>
        <x:v>134</x:v>
      </x:c>
      <x:c r="I822" s="16" t="n">
        <x:f>IF(H822&gt;0,G822/H822,"n.a.")</x:f>
        <x:v>5.298507462686567</x:v>
      </x:c>
      <x:c r="J822" s="10" t="n">
        <x:f>IF('Данные'!E822&gt;0,G822/'Данные'!E822,"n.a.")</x:f>
        <x:v>0.030464258130953402</x:v>
      </x:c>
      <x:c r="K822" s="1" t="str">
        <x:f>IF(G822&gt;='Дашборд'!$C$51,"X","Z")</x:f>
        <x:v>X</x:v>
      </x:c>
      <x:c r="L822" s="1" t="str">
        <x:f>IF(H822=0,IF(G822&gt;0,"Нет остатка","Нет спроса"),IF(I822&gt;='Дашборд'!$C$52,"Быстрый","Медленный"))</x:f>
        <x:v>Быстрый</x:v>
      </x:c>
      <x:c r="M822" s="1" t="str">
        <x:f>IF('Данные'!E822&lt;'Дашборд'!$C$53,"Мало трафика",IF(J822&lt;'Дашборд'!$C$9*'Дашборд'!$C$54,"Да","Нет"))</x:f>
        <x:v>Нет</x:v>
      </x:c>
      <x:c r="N822" s="1" t="str">
        <x:f>IF(AND('Данные'!D822&gt;='Дашборд'!$C$55,D822&lt;'Дашборд'!$C$56,'Данные'!E822&gt;='Дашборд'!$C$53,'Данные'!L822&lt;&gt;"Да"),"Да","Нет")</x:f>
        <x:v>Да</x:v>
      </x:c>
      <x:c r="O822" s="1" t="str">
        <x:f>'Данные'!L822</x:f>
        <x:v>Нет</x:v>
      </x:c>
    </x:row>
    <x:row r="823">
      <x:c r="A823" s="1" t="str">
        <x:f>'Данные'!A823</x:f>
        <x:v>228407604</x:v>
      </x:c>
      <x:c r="B823" s="1" t="str">
        <x:f>'Данные'!B823</x:f>
        <x:v>kulirkamanprint/Cactus-144/молочный</x:v>
      </x:c>
      <x:c r="C823" s="8" t="n">
        <x:f>'Данные'!G823</x:f>
        <x:v>188675</x:v>
      </x:c>
      <x:c r="D823" s="15" t="n">
        <x:f>C823/SUM($C$5:$C$2477)</x:f>
        <x:v>0.00022041459319676956</x:v>
      </x:c>
      <x:c r="E823" s="15" t="n">
        <x:f>SUM($D$5:D823)</x:f>
        <x:v>0.9363078554589312</x:v>
      </x:c>
      <x:c r="F823" s="1" t="str">
        <x:f>IF(C823&lt;=0,"C",IF(E823-D823&lt;'Дашборд'!$C$49,"A",IF(E823-D823&lt;'Дашборд'!$C$50,"B","C")))</x:f>
        <x:v>B</x:v>
      </x:c>
      <x:c r="G823" s="8" t="n">
        <x:f>'Данные'!F823</x:f>
        <x:v>327</x:v>
      </x:c>
      <x:c r="H823" s="8" t="n">
        <x:f>SUM('Данные'!H823:I823)</x:f>
        <x:v>0</x:v>
      </x:c>
      <x:c r="I823" s="16" t="str">
        <x:f>IF(H823&gt;0,G823/H823,"n.a.")</x:f>
        <x:v>n.a.</x:v>
      </x:c>
      <x:c r="J823" s="10" t="n">
        <x:f>IF('Данные'!E823&gt;0,G823/'Данные'!E823,"n.a.")</x:f>
        <x:v>0.01517683096630465</x:v>
      </x:c>
      <x:c r="K823" s="1" t="str">
        <x:f>IF(G823&gt;='Дашборд'!$C$51,"X","Z")</x:f>
        <x:v>X</x:v>
      </x:c>
      <x:c r="L823" s="1" t="str">
        <x:f>IF(H823=0,IF(G823&gt;0,"Нет остатка","Нет спроса"),IF(I823&gt;='Дашборд'!$C$52,"Быстрый","Медленный"))</x:f>
        <x:v>Нет остатка</x:v>
      </x:c>
      <x:c r="M823" s="1" t="str">
        <x:f>IF('Данные'!E823&lt;'Дашборд'!$C$53,"Мало трафика",IF(J823&lt;'Дашборд'!$C$9*'Дашборд'!$C$54,"Да","Нет"))</x:f>
        <x:v>Нет</x:v>
      </x:c>
      <x:c r="N823" s="1" t="str">
        <x:f>IF(AND('Данные'!D823&gt;='Дашборд'!$C$55,D823&lt;'Дашборд'!$C$56,'Данные'!E823&gt;='Дашборд'!$C$53,'Данные'!L823&lt;&gt;"Да"),"Да","Нет")</x:f>
        <x:v>Нет</x:v>
      </x:c>
      <x:c r="O823" s="1" t="str">
        <x:f>'Данные'!L823</x:f>
        <x:v>Нет</x:v>
      </x:c>
    </x:row>
    <x:row r="824">
      <x:c r="A824" s="1" t="str">
        <x:f>'Данные'!A824</x:f>
        <x:v>322137312</x:v>
      </x:c>
      <x:c r="B824" s="1" t="str">
        <x:f>'Данные'!B824</x:f>
        <x:v>longpolo3K-90/красный</x:v>
      </x:c>
      <x:c r="C824" s="8" t="n">
        <x:f>'Данные'!G824</x:f>
        <x:v>188180</x:v>
      </x:c>
      <x:c r="D824" s="15" t="n">
        <x:f>C824/SUM($C$5:$C$2477)</x:f>
        <x:v>0.00021983632250042716</x:v>
      </x:c>
      <x:c r="E824" s="15" t="n">
        <x:f>SUM($D$5:D824)</x:f>
        <x:v>0.9365276917814317</x:v>
      </x:c>
      <x:c r="F824" s="1" t="str">
        <x:f>IF(C824&lt;=0,"C",IF(E824-D824&lt;'Дашборд'!$C$49,"A",IF(E824-D824&lt;'Дашборд'!$C$50,"B","C")))</x:f>
        <x:v>B</x:v>
      </x:c>
      <x:c r="G824" s="8" t="n">
        <x:f>'Данные'!F824</x:f>
        <x:v>365</x:v>
      </x:c>
      <x:c r="H824" s="8" t="n">
        <x:f>SUM('Данные'!H824:I824)</x:f>
        <x:v>86</x:v>
      </x:c>
      <x:c r="I824" s="16" t="n">
        <x:f>IF(H824&gt;0,G824/H824,"n.a.")</x:f>
        <x:v>4.244186046511628</x:v>
      </x:c>
      <x:c r="J824" s="10" t="n">
        <x:f>IF('Данные'!E824&gt;0,G824/'Данные'!E824,"n.a.")</x:f>
        <x:v>0.007970302434763621</x:v>
      </x:c>
      <x:c r="K824" s="1" t="str">
        <x:f>IF(G824&gt;='Дашборд'!$C$51,"X","Z")</x:f>
        <x:v>X</x:v>
      </x:c>
      <x:c r="L824" s="1" t="str">
        <x:f>IF(H824=0,IF(G824&gt;0,"Нет остатка","Нет спроса"),IF(I824&gt;='Дашборд'!$C$52,"Быстрый","Медленный"))</x:f>
        <x:v>Быстрый</x:v>
      </x:c>
      <x:c r="M824" s="1" t="str">
        <x:f>IF('Данные'!E824&lt;'Дашборд'!$C$53,"Мало трафика",IF(J824&lt;'Дашборд'!$C$9*'Дашборд'!$C$54,"Да","Нет"))</x:f>
        <x:v>Да</x:v>
      </x:c>
      <x:c r="N824" s="1" t="str">
        <x:f>IF(AND('Данные'!D824&gt;='Дашборд'!$C$55,D824&lt;'Дашборд'!$C$56,'Данные'!E824&gt;='Дашборд'!$C$53,'Данные'!L824&lt;&gt;"Да"),"Да","Нет")</x:f>
        <x:v>Нет</x:v>
      </x:c>
      <x:c r="O824" s="1" t="str">
        <x:f>'Данные'!L824</x:f>
        <x:v>Нет</x:v>
      </x:c>
    </x:row>
    <x:row r="825">
      <x:c r="A825" s="1" t="str">
        <x:f>'Данные'!A825</x:f>
        <x:v>332581973</x:v>
      </x:c>
      <x:c r="B825" s="1" t="str">
        <x:f>'Данные'!B825</x:f>
        <x:v>shortyman4P-91/коричневый</x:v>
      </x:c>
      <x:c r="C825" s="8" t="n">
        <x:f>'Данные'!G825</x:f>
        <x:v>187950</x:v>
      </x:c>
      <x:c r="D825" s="15" t="n">
        <x:f>C825/SUM($C$5:$C$2477)</x:f>
        <x:v>0.00021956763106576303</x:v>
      </x:c>
      <x:c r="E825" s="15" t="n">
        <x:f>SUM($D$5:D825)</x:f>
        <x:v>0.9367472594124975</x:v>
      </x:c>
      <x:c r="F825" s="1" t="str">
        <x:f>IF(C825&lt;=0,"C",IF(E825-D825&lt;'Дашборд'!$C$49,"A",IF(E825-D825&lt;'Дашборд'!$C$50,"B","C")))</x:f>
        <x:v>B</x:v>
      </x:c>
      <x:c r="G825" s="8" t="n">
        <x:f>'Данные'!F825</x:f>
        <x:v>299</x:v>
      </x:c>
      <x:c r="H825" s="8" t="n">
        <x:f>SUM('Данные'!H825:I825)</x:f>
        <x:v>3</x:v>
      </x:c>
      <x:c r="I825" s="16" t="n">
        <x:f>IF(H825&gt;0,G825/H825,"n.a.")</x:f>
        <x:v>99.66666666666667</x:v>
      </x:c>
      <x:c r="J825" s="10" t="n">
        <x:f>IF('Данные'!E825&gt;0,G825/'Данные'!E825,"n.a.")</x:f>
        <x:v>0.018296414147595155</x:v>
      </x:c>
      <x:c r="K825" s="1" t="str">
        <x:f>IF(G825&gt;='Дашборд'!$C$51,"X","Z")</x:f>
        <x:v>X</x:v>
      </x:c>
      <x:c r="L825" s="1" t="str">
        <x:f>IF(H825=0,IF(G825&gt;0,"Нет остатка","Нет спроса"),IF(I825&gt;='Дашборд'!$C$52,"Быстрый","Медленный"))</x:f>
        <x:v>Быстрый</x:v>
      </x:c>
      <x:c r="M825" s="1" t="str">
        <x:f>IF('Данные'!E825&lt;'Дашборд'!$C$53,"Мало трафика",IF(J825&lt;'Дашборд'!$C$9*'Дашборд'!$C$54,"Да","Нет"))</x:f>
        <x:v>Нет</x:v>
      </x:c>
      <x:c r="N825" s="1" t="str">
        <x:f>IF(AND('Данные'!D825&gt;='Дашборд'!$C$55,D825&lt;'Дашборд'!$C$56,'Данные'!E825&gt;='Дашборд'!$C$53,'Данные'!L825&lt;&gt;"Да"),"Да","Нет")</x:f>
        <x:v>Нет</x:v>
      </x:c>
      <x:c r="O825" s="1" t="str">
        <x:f>'Данные'!L825</x:f>
        <x:v>Нет</x:v>
      </x:c>
    </x:row>
    <x:row r="826">
      <x:c r="A826" s="1" t="str">
        <x:f>'Данные'!A826</x:f>
        <x:v>220090318</x:v>
      </x:c>
      <x:c r="B826" s="1" t="str">
        <x:f>'Данные'!B826</x:f>
        <x:v>tolstovkazipman/синий</x:v>
      </x:c>
      <x:c r="C826" s="8" t="n">
        <x:f>'Данные'!G826</x:f>
        <x:v>187378</x:v>
      </x:c>
      <x:c r="D826" s="15" t="n">
        <x:f>C826/SUM($C$5:$C$2477)</x:f>
        <x:v>0.00021889940714998958</x:v>
      </x:c>
      <x:c r="E826" s="15" t="n">
        <x:f>SUM($D$5:D826)</x:f>
        <x:v>0.9369661588196475</x:v>
      </x:c>
      <x:c r="F826" s="1" t="str">
        <x:f>IF(C826&lt;=0,"C",IF(E826-D826&lt;'Дашборд'!$C$49,"A",IF(E826-D826&lt;'Дашборд'!$C$50,"B","C")))</x:f>
        <x:v>B</x:v>
      </x:c>
      <x:c r="G826" s="8" t="n">
        <x:f>'Данные'!F826</x:f>
        <x:v>191</x:v>
      </x:c>
      <x:c r="H826" s="8" t="n">
        <x:f>SUM('Данные'!H826:I826)</x:f>
        <x:v>3</x:v>
      </x:c>
      <x:c r="I826" s="16" t="n">
        <x:f>IF(H826&gt;0,G826/H826,"n.a.")</x:f>
        <x:v>63.666666666666664</x:v>
      </x:c>
      <x:c r="J826" s="10" t="n">
        <x:f>IF('Данные'!E826&gt;0,G826/'Данные'!E826,"n.a.")</x:f>
        <x:v>0.010152014457319019</x:v>
      </x:c>
      <x:c r="K826" s="1" t="str">
        <x:f>IF(G826&gt;='Дашборд'!$C$51,"X","Z")</x:f>
        <x:v>Z</x:v>
      </x:c>
      <x:c r="L826" s="1" t="str">
        <x:f>IF(H826=0,IF(G826&gt;0,"Нет остатка","Нет спроса"),IF(I826&gt;='Дашборд'!$C$52,"Быстрый","Медленный"))</x:f>
        <x:v>Быстрый</x:v>
      </x:c>
      <x:c r="M826" s="1" t="str">
        <x:f>IF('Данные'!E826&lt;'Дашборд'!$C$53,"Мало трафика",IF(J826&lt;'Дашборд'!$C$9*'Дашборд'!$C$54,"Да","Нет"))</x:f>
        <x:v>Нет</x:v>
      </x:c>
      <x:c r="N826" s="1" t="str">
        <x:f>IF(AND('Данные'!D826&gt;='Дашборд'!$C$55,D826&lt;'Дашборд'!$C$56,'Данные'!E826&gt;='Дашборд'!$C$53,'Данные'!L826&lt;&gt;"Да"),"Да","Нет")</x:f>
        <x:v>Да</x:v>
      </x:c>
      <x:c r="O826" s="1" t="str">
        <x:f>'Данные'!L826</x:f>
        <x:v>Нет</x:v>
      </x:c>
    </x:row>
    <x:row r="827">
      <x:c r="A827" s="1" t="str">
        <x:f>'Данные'!A827</x:f>
        <x:v>209915089</x:v>
      </x:c>
      <x:c r="B827" s="1" t="str">
        <x:f>'Данные'!B827</x:f>
        <x:v>longsvobod/молочный</x:v>
      </x:c>
      <x:c r="C827" s="8" t="n">
        <x:f>'Данные'!G827</x:f>
        <x:v>186943</x:v>
      </x:c>
      <x:c r="D827" s="15" t="n">
        <x:f>C827/SUM($C$5:$C$2477)</x:f>
        <x:v>0.00021839122987138567</x:v>
      </x:c>
      <x:c r="E827" s="15" t="n">
        <x:f>SUM($D$5:D827)</x:f>
        <x:v>0.937184550049519</x:v>
      </x:c>
      <x:c r="F827" s="1" t="str">
        <x:f>IF(C827&lt;=0,"C",IF(E827-D827&lt;'Дашборд'!$C$49,"A",IF(E827-D827&lt;'Дашборд'!$C$50,"B","C")))</x:f>
        <x:v>B</x:v>
      </x:c>
      <x:c r="G827" s="8" t="n">
        <x:f>'Данные'!F827</x:f>
        <x:v>529</x:v>
      </x:c>
      <x:c r="H827" s="8" t="n">
        <x:f>SUM('Данные'!H827:I827)</x:f>
        <x:v>129</x:v>
      </x:c>
      <x:c r="I827" s="16" t="n">
        <x:f>IF(H827&gt;0,G827/H827,"n.a.")</x:f>
        <x:v>4.10077519379845</x:v>
      </x:c>
      <x:c r="J827" s="10" t="n">
        <x:f>IF('Данные'!E827&gt;0,G827/'Данные'!E827,"n.a.")</x:f>
        <x:v>0.019310093082679322</x:v>
      </x:c>
      <x:c r="K827" s="1" t="str">
        <x:f>IF(G827&gt;='Дашборд'!$C$51,"X","Z")</x:f>
        <x:v>X</x:v>
      </x:c>
      <x:c r="L827" s="1" t="str">
        <x:f>IF(H827=0,IF(G827&gt;0,"Нет остатка","Нет спроса"),IF(I827&gt;='Дашборд'!$C$52,"Быстрый","Медленный"))</x:f>
        <x:v>Быстрый</x:v>
      </x:c>
      <x:c r="M827" s="1" t="str">
        <x:f>IF('Данные'!E827&lt;'Дашборд'!$C$53,"Мало трафика",IF(J827&lt;'Дашборд'!$C$9*'Дашборд'!$C$54,"Да","Нет"))</x:f>
        <x:v>Нет</x:v>
      </x:c>
      <x:c r="N827" s="1" t="str">
        <x:f>IF(AND('Данные'!D827&gt;='Дашборд'!$C$55,D827&lt;'Дашборд'!$C$56,'Данные'!E827&gt;='Дашборд'!$C$53,'Данные'!L827&lt;&gt;"Да"),"Да","Нет")</x:f>
        <x:v>Нет</x:v>
      </x:c>
      <x:c r="O827" s="1" t="str">
        <x:f>'Данные'!L827</x:f>
        <x:v>Нет</x:v>
      </x:c>
    </x:row>
    <x:row r="828">
      <x:c r="A828" s="1" t="str">
        <x:f>'Данные'!A828</x:f>
        <x:v>55216549</x:v>
      </x:c>
      <x:c r="B828" s="1" t="str">
        <x:f>'Данные'!B828</x:f>
        <x:v>kostyumman/светло-зеленый</x:v>
      </x:c>
      <x:c r="C828" s="8" t="n">
        <x:f>'Данные'!G828</x:f>
        <x:v>186062</x:v>
      </x:c>
      <x:c r="D828" s="15" t="n">
        <x:f>C828/SUM($C$5:$C$2477)</x:f>
        <x:v>0.0002173620248542591</x:v>
      </x:c>
      <x:c r="E828" s="15" t="n">
        <x:f>SUM($D$5:D828)</x:f>
        <x:v>0.9374019120743732</x:v>
      </x:c>
      <x:c r="F828" s="1" t="str">
        <x:f>IF(C828&lt;=0,"C",IF(E828-D828&lt;'Дашборд'!$C$49,"A",IF(E828-D828&lt;'Дашборд'!$C$50,"B","C")))</x:f>
        <x:v>B</x:v>
      </x:c>
      <x:c r="G828" s="8" t="n">
        <x:f>'Данные'!F828</x:f>
        <x:v>126</x:v>
      </x:c>
      <x:c r="H828" s="8" t="n">
        <x:f>SUM('Данные'!H828:I828)</x:f>
        <x:v>269</x:v>
      </x:c>
      <x:c r="I828" s="16" t="n">
        <x:f>IF(H828&gt;0,G828/H828,"n.a.")</x:f>
        <x:v>0.4684014869888476</x:v>
      </x:c>
      <x:c r="J828" s="10" t="n">
        <x:f>IF('Данные'!E828&gt;0,G828/'Данные'!E828,"n.a.")</x:f>
        <x:v>0.01623292965730482</x:v>
      </x:c>
      <x:c r="K828" s="1" t="str">
        <x:f>IF(G828&gt;='Дашборд'!$C$51,"X","Z")</x:f>
        <x:v>Z</x:v>
      </x:c>
      <x:c r="L828" s="1" t="str">
        <x:f>IF(H828=0,IF(G828&gt;0,"Нет остатка","Нет спроса"),IF(I828&gt;='Дашборд'!$C$52,"Быстрый","Медленный"))</x:f>
        <x:v>Медленный</x:v>
      </x:c>
      <x:c r="M828" s="1" t="str">
        <x:f>IF('Данные'!E828&lt;'Дашборд'!$C$53,"Мало трафика",IF(J828&lt;'Дашборд'!$C$9*'Дашборд'!$C$54,"Да","Нет"))</x:f>
        <x:v>Нет</x:v>
      </x:c>
      <x:c r="N828" s="1" t="str">
        <x:f>IF(AND('Данные'!D828&gt;='Дашборд'!$C$55,D828&lt;'Дашборд'!$C$56,'Данные'!E828&gt;='Дашборд'!$C$53,'Данные'!L828&lt;&gt;"Да"),"Да","Нет")</x:f>
        <x:v>Нет</x:v>
      </x:c>
      <x:c r="O828" s="1" t="str">
        <x:f>'Данные'!L828</x:f>
        <x:v>Нет</x:v>
      </x:c>
    </x:row>
    <x:row r="829">
      <x:c r="A829" s="1" t="str">
        <x:f>'Данные'!A829</x:f>
        <x:v>202954956</x:v>
      </x:c>
      <x:c r="B829" s="1" t="str">
        <x:f>'Данные'!B829</x:f>
        <x:v>hudiprint/KRASLoveNever-64/молочный</x:v>
      </x:c>
      <x:c r="C829" s="8" t="n">
        <x:f>'Данные'!G829</x:f>
        <x:v>185725</x:v>
      </x:c>
      <x:c r="D829" s="15" t="n">
        <x:f>C829/SUM($C$5:$C$2477)</x:f>
        <x:v>0.0002169683334912947</x:v>
      </x:c>
      <x:c r="E829" s="15" t="n">
        <x:f>SUM($D$5:D829)</x:f>
        <x:v>0.9376188804078645</x:v>
      </x:c>
      <x:c r="F829" s="1" t="str">
        <x:f>IF(C829&lt;=0,"C",IF(E829-D829&lt;'Дашборд'!$C$49,"A",IF(E829-D829&lt;'Дашборд'!$C$50,"B","C")))</x:f>
        <x:v>B</x:v>
      </x:c>
      <x:c r="G829" s="8" t="n">
        <x:f>'Данные'!F829</x:f>
        <x:v>173</x:v>
      </x:c>
      <x:c r="H829" s="8" t="n">
        <x:f>SUM('Данные'!H829:I829)</x:f>
        <x:v>138</x:v>
      </x:c>
      <x:c r="I829" s="16" t="n">
        <x:f>IF(H829&gt;0,G829/H829,"n.a.")</x:f>
        <x:v>1.2536231884057971</x:v>
      </x:c>
      <x:c r="J829" s="10" t="n">
        <x:f>IF('Данные'!E829&gt;0,G829/'Данные'!E829,"n.a.")</x:f>
        <x:v>0.008754174678676247</x:v>
      </x:c>
      <x:c r="K829" s="1" t="str">
        <x:f>IF(G829&gt;='Дашборд'!$C$51,"X","Z")</x:f>
        <x:v>Z</x:v>
      </x:c>
      <x:c r="L829" s="1" t="str">
        <x:f>IF(H829=0,IF(G829&gt;0,"Нет остатка","Нет спроса"),IF(I829&gt;='Дашборд'!$C$52,"Быстрый","Медленный"))</x:f>
        <x:v>Быстрый</x:v>
      </x:c>
      <x:c r="M829" s="1" t="str">
        <x:f>IF('Данные'!E829&lt;'Дашборд'!$C$53,"Мало трафика",IF(J829&lt;'Дашборд'!$C$9*'Дашборд'!$C$54,"Да","Нет"))</x:f>
        <x:v>Да</x:v>
      </x:c>
      <x:c r="N829" s="1" t="str">
        <x:f>IF(AND('Данные'!D829&gt;='Дашборд'!$C$55,D829&lt;'Дашборд'!$C$56,'Данные'!E829&gt;='Дашборд'!$C$53,'Данные'!L829&lt;&gt;"Да"),"Да","Нет")</x:f>
        <x:v>Нет</x:v>
      </x:c>
      <x:c r="O829" s="1" t="str">
        <x:f>'Данные'!L829</x:f>
        <x:v>Нет</x:v>
      </x:c>
    </x:row>
    <x:row r="830">
      <x:c r="A830" s="1" t="str">
        <x:f>'Данные'!A830</x:f>
        <x:v>344184280</x:v>
      </x:c>
      <x:c r="B830" s="1" t="str">
        <x:f>'Данные'!B830</x:f>
        <x:v>longslim3К-81/каштановый</x:v>
      </x:c>
      <x:c r="C830" s="8" t="n">
        <x:f>'Данные'!G830</x:f>
        <x:v>185642</x:v>
      </x:c>
      <x:c r="D830" s="15" t="n">
        <x:f>C830/SUM($C$5:$C$2477)</x:f>
        <x:v>0.0002168713709300898</x:v>
      </x:c>
      <x:c r="E830" s="15" t="n">
        <x:f>SUM($D$5:D830)</x:f>
        <x:v>0.9378357517787945</x:v>
      </x:c>
      <x:c r="F830" s="1" t="str">
        <x:f>IF(C830&lt;=0,"C",IF(E830-D830&lt;'Дашборд'!$C$49,"A",IF(E830-D830&lt;'Дашборд'!$C$50,"B","C")))</x:f>
        <x:v>B</x:v>
      </x:c>
      <x:c r="G830" s="8" t="n">
        <x:f>'Данные'!F830</x:f>
        <x:v>459</x:v>
      </x:c>
      <x:c r="H830" s="8" t="n">
        <x:f>SUM('Данные'!H830:I830)</x:f>
        <x:v>2</x:v>
      </x:c>
      <x:c r="I830" s="16" t="n">
        <x:f>IF(H830&gt;0,G830/H830,"n.a.")</x:f>
        <x:v>229.5</x:v>
      </x:c>
      <x:c r="J830" s="10" t="n">
        <x:f>IF('Данные'!E830&gt;0,G830/'Данные'!E830,"n.a.")</x:f>
        <x:v>0.020419057787268116</x:v>
      </x:c>
      <x:c r="K830" s="1" t="str">
        <x:f>IF(G830&gt;='Дашборд'!$C$51,"X","Z")</x:f>
        <x:v>X</x:v>
      </x:c>
      <x:c r="L830" s="1" t="str">
        <x:f>IF(H830=0,IF(G830&gt;0,"Нет остатка","Нет спроса"),IF(I830&gt;='Дашборд'!$C$52,"Быстрый","Медленный"))</x:f>
        <x:v>Быстрый</x:v>
      </x:c>
      <x:c r="M830" s="1" t="str">
        <x:f>IF('Данные'!E830&lt;'Дашборд'!$C$53,"Мало трафика",IF(J830&lt;'Дашборд'!$C$9*'Дашборд'!$C$54,"Да","Нет"))</x:f>
        <x:v>Нет</x:v>
      </x:c>
      <x:c r="N830" s="1" t="str">
        <x:f>IF(AND('Данные'!D830&gt;='Дашборд'!$C$55,D830&lt;'Дашборд'!$C$56,'Данные'!E830&gt;='Дашборд'!$C$53,'Данные'!L830&lt;&gt;"Да"),"Да","Нет")</x:f>
        <x:v>Нет</x:v>
      </x:c>
      <x:c r="O830" s="1" t="str">
        <x:f>'Данные'!L830</x:f>
        <x:v>Нет</x:v>
      </x:c>
    </x:row>
    <x:row r="831">
      <x:c r="A831" s="1" t="str">
        <x:f>'Данные'!A831</x:f>
        <x:v>268453054</x:v>
      </x:c>
      <x:c r="B831" s="1" t="str">
        <x:f>'Данные'!B831</x:f>
        <x:v>hudi/милка</x:v>
      </x:c>
      <x:c r="C831" s="8" t="n">
        <x:f>'Данные'!G831</x:f>
        <x:v>184264</x:v>
      </x:c>
      <x:c r="D831" s="15" t="n">
        <x:f>C831/SUM($C$5:$C$2477)</x:f>
        <x:v>0.0002152615587693629</x:v>
      </x:c>
      <x:c r="E831" s="15" t="n">
        <x:f>SUM($D$5:D831)</x:f>
        <x:v>0.9380510133375639</x:v>
      </x:c>
      <x:c r="F831" s="1" t="str">
        <x:f>IF(C831&lt;=0,"C",IF(E831-D831&lt;'Дашборд'!$C$49,"A",IF(E831-D831&lt;'Дашборд'!$C$50,"B","C")))</x:f>
        <x:v>B</x:v>
      </x:c>
      <x:c r="G831" s="8" t="n">
        <x:f>'Данные'!F831</x:f>
        <x:v>211</x:v>
      </x:c>
      <x:c r="H831" s="8" t="n">
        <x:f>SUM('Данные'!H831:I831)</x:f>
        <x:v>269</x:v>
      </x:c>
      <x:c r="I831" s="16" t="n">
        <x:f>IF(H831&gt;0,G831/H831,"n.a.")</x:f>
        <x:v>0.7843866171003717</x:v>
      </x:c>
      <x:c r="J831" s="10" t="n">
        <x:f>IF('Данные'!E831&gt;0,G831/'Данные'!E831,"n.a.")</x:f>
        <x:v>0.006366159787593531</x:v>
      </x:c>
      <x:c r="K831" s="1" t="str">
        <x:f>IF(G831&gt;='Дашборд'!$C$51,"X","Z")</x:f>
        <x:v>Z</x:v>
      </x:c>
      <x:c r="L831" s="1" t="str">
        <x:f>IF(H831=0,IF(G831&gt;0,"Нет остатка","Нет спроса"),IF(I831&gt;='Дашборд'!$C$52,"Быстрый","Медленный"))</x:f>
        <x:v>Медленный</x:v>
      </x:c>
      <x:c r="M831" s="1" t="str">
        <x:f>IF('Данные'!E831&lt;'Дашборд'!$C$53,"Мало трафика",IF(J831&lt;'Дашборд'!$C$9*'Дашборд'!$C$54,"Да","Нет"))</x:f>
        <x:v>Да</x:v>
      </x:c>
      <x:c r="N831" s="1" t="str">
        <x:f>IF(AND('Данные'!D831&gt;='Дашборд'!$C$55,D831&lt;'Дашборд'!$C$56,'Данные'!E831&gt;='Дашборд'!$C$53,'Данные'!L831&lt;&gt;"Да"),"Да","Нет")</x:f>
        <x:v>Да</x:v>
      </x:c>
      <x:c r="O831" s="1" t="str">
        <x:f>'Данные'!L831</x:f>
        <x:v>Нет</x:v>
      </x:c>
    </x:row>
    <x:row r="832">
      <x:c r="A832" s="1" t="str">
        <x:f>'Данные'!A832</x:f>
        <x:v>313465265</x:v>
      </x:c>
      <x:c r="B832" s="1" t="str">
        <x:f>'Данные'!B832</x:f>
        <x:v>longcrop3К-84/черный</x:v>
      </x:c>
      <x:c r="C832" s="8" t="n">
        <x:f>'Данные'!G832</x:f>
        <x:v>183856</x:v>
      </x:c>
      <x:c r="D832" s="15" t="n">
        <x:f>C832/SUM($C$5:$C$2477)</x:f>
        <x:v>0.00021478492352874128</x:v>
      </x:c>
      <x:c r="E832" s="15" t="n">
        <x:f>SUM($D$5:D832)</x:f>
        <x:v>0.9382657982610927</x:v>
      </x:c>
      <x:c r="F832" s="1" t="str">
        <x:f>IF(C832&lt;=0,"C",IF(E832-D832&lt;'Дашборд'!$C$49,"A",IF(E832-D832&lt;'Дашборд'!$C$50,"B","C")))</x:f>
        <x:v>B</x:v>
      </x:c>
      <x:c r="G832" s="8" t="n">
        <x:f>'Данные'!F832</x:f>
        <x:v>388</x:v>
      </x:c>
      <x:c r="H832" s="8" t="n">
        <x:f>SUM('Данные'!H832:I832)</x:f>
        <x:v>4</x:v>
      </x:c>
      <x:c r="I832" s="16" t="n">
        <x:f>IF(H832&gt;0,G832/H832,"n.a.")</x:f>
        <x:v>97</x:v>
      </x:c>
      <x:c r="J832" s="10" t="n">
        <x:f>IF('Данные'!E832&gt;0,G832/'Данные'!E832,"n.a.")</x:f>
        <x:v>0.02997064730418662</x:v>
      </x:c>
      <x:c r="K832" s="1" t="str">
        <x:f>IF(G832&gt;='Дашборд'!$C$51,"X","Z")</x:f>
        <x:v>X</x:v>
      </x:c>
      <x:c r="L832" s="1" t="str">
        <x:f>IF(H832=0,IF(G832&gt;0,"Нет остатка","Нет спроса"),IF(I832&gt;='Дашборд'!$C$52,"Быстрый","Медленный"))</x:f>
        <x:v>Быстрый</x:v>
      </x:c>
      <x:c r="M832" s="1" t="str">
        <x:f>IF('Данные'!E832&lt;'Дашборд'!$C$53,"Мало трафика",IF(J832&lt;'Дашборд'!$C$9*'Дашборд'!$C$54,"Да","Нет"))</x:f>
        <x:v>Нет</x:v>
      </x:c>
      <x:c r="N832" s="1" t="str">
        <x:f>IF(AND('Данные'!D832&gt;='Дашборд'!$C$55,D832&lt;'Дашборд'!$C$56,'Данные'!E832&gt;='Дашборд'!$C$53,'Данные'!L832&lt;&gt;"Да"),"Да","Нет")</x:f>
        <x:v>Нет</x:v>
      </x:c>
      <x:c r="O832" s="1" t="str">
        <x:f>'Данные'!L832</x:f>
        <x:v>Нет</x:v>
      </x:c>
    </x:row>
    <x:row r="833">
      <x:c r="A833" s="1" t="str">
        <x:f>'Данные'!A833</x:f>
        <x:v>332418841</x:v>
      </x:c>
      <x:c r="B833" s="1" t="str">
        <x:f>'Данные'!B833</x:f>
        <x:v>top/дымка</x:v>
      </x:c>
      <x:c r="C833" s="8" t="n">
        <x:f>'Данные'!G833</x:f>
        <x:v>183498</x:v>
      </x:c>
      <x:c r="D833" s="15" t="n">
        <x:f>C833/SUM($C$5:$C$2477)</x:f>
        <x:v>0.0002143666994695684</x:v>
      </x:c>
      <x:c r="E833" s="15" t="n">
        <x:f>SUM($D$5:D833)</x:f>
        <x:v>0.9384801649605623</x:v>
      </x:c>
      <x:c r="F833" s="1" t="str">
        <x:f>IF(C833&lt;=0,"C",IF(E833-D833&lt;'Дашборд'!$C$49,"A",IF(E833-D833&lt;'Дашборд'!$C$50,"B","C")))</x:f>
        <x:v>B</x:v>
      </x:c>
      <x:c r="G833" s="8" t="n">
        <x:f>'Данные'!F833</x:f>
        <x:v>662</x:v>
      </x:c>
      <x:c r="H833" s="8" t="n">
        <x:f>SUM('Данные'!H833:I833)</x:f>
        <x:v>100</x:v>
      </x:c>
      <x:c r="I833" s="16" t="n">
        <x:f>IF(H833&gt;0,G833/H833,"n.a.")</x:f>
        <x:v>6.62</x:v>
      </x:c>
      <x:c r="J833" s="10" t="n">
        <x:f>IF('Данные'!E833&gt;0,G833/'Данные'!E833,"n.a.")</x:f>
        <x:v>0.013436168053582302</x:v>
      </x:c>
      <x:c r="K833" s="1" t="str">
        <x:f>IF(G833&gt;='Дашборд'!$C$51,"X","Z")</x:f>
        <x:v>X</x:v>
      </x:c>
      <x:c r="L833" s="1" t="str">
        <x:f>IF(H833=0,IF(G833&gt;0,"Нет остатка","Нет спроса"),IF(I833&gt;='Дашборд'!$C$52,"Быстрый","Медленный"))</x:f>
        <x:v>Быстрый</x:v>
      </x:c>
      <x:c r="M833" s="1" t="str">
        <x:f>IF('Данные'!E833&lt;'Дашборд'!$C$53,"Мало трафика",IF(J833&lt;'Дашборд'!$C$9*'Дашборд'!$C$54,"Да","Нет"))</x:f>
        <x:v>Нет</x:v>
      </x:c>
      <x:c r="N833" s="1" t="str">
        <x:f>IF(AND('Данные'!D833&gt;='Дашборд'!$C$55,D833&lt;'Дашборд'!$C$56,'Данные'!E833&gt;='Дашборд'!$C$53,'Данные'!L833&lt;&gt;"Да"),"Да","Нет")</x:f>
        <x:v>Нет</x:v>
      </x:c>
      <x:c r="O833" s="1" t="str">
        <x:f>'Данные'!L833</x:f>
        <x:v>Нет</x:v>
      </x:c>
    </x:row>
    <x:row r="834">
      <x:c r="A834" s="1" t="str">
        <x:f>'Данные'!A834</x:f>
        <x:v>326824804</x:v>
      </x:c>
      <x:c r="B834" s="1" t="str">
        <x:f>'Данные'!B834</x:f>
        <x:v>2nkost3D-72-73/бордовый</x:v>
      </x:c>
      <x:c r="C834" s="8" t="n">
        <x:f>'Данные'!G834</x:f>
        <x:v>183223</x:v>
      </x:c>
      <x:c r="D834" s="15" t="n">
        <x:f>C834/SUM($C$5:$C$2477)</x:f>
        <x:v>0.00021404543797160042</x:v>
      </x:c>
      <x:c r="E834" s="15" t="n">
        <x:f>SUM($D$5:D834)</x:f>
        <x:v>0.938694210398534</x:v>
      </x:c>
      <x:c r="F834" s="1" t="str">
        <x:f>IF(C834&lt;=0,"C",IF(E834-D834&lt;'Дашборд'!$C$49,"A",IF(E834-D834&lt;'Дашборд'!$C$50,"B","C")))</x:f>
        <x:v>B</x:v>
      </x:c>
      <x:c r="G834" s="8" t="n">
        <x:f>'Данные'!F834</x:f>
        <x:v>479</x:v>
      </x:c>
      <x:c r="H834" s="8" t="n">
        <x:f>SUM('Данные'!H834:I834)</x:f>
        <x:v>6</x:v>
      </x:c>
      <x:c r="I834" s="16" t="n">
        <x:f>IF(H834&gt;0,G834/H834,"n.a.")</x:f>
        <x:v>79.83333333333333</x:v>
      </x:c>
      <x:c r="J834" s="10" t="n">
        <x:f>IF('Данные'!E834&gt;0,G834/'Данные'!E834,"n.a.")</x:f>
        <x:v>0.00863950363436322</x:v>
      </x:c>
      <x:c r="K834" s="1" t="str">
        <x:f>IF(G834&gt;='Дашборд'!$C$51,"X","Z")</x:f>
        <x:v>X</x:v>
      </x:c>
      <x:c r="L834" s="1" t="str">
        <x:f>IF(H834=0,IF(G834&gt;0,"Нет остатка","Нет спроса"),IF(I834&gt;='Дашборд'!$C$52,"Быстрый","Медленный"))</x:f>
        <x:v>Быстрый</x:v>
      </x:c>
      <x:c r="M834" s="1" t="str">
        <x:f>IF('Данные'!E834&lt;'Дашборд'!$C$53,"Мало трафика",IF(J834&lt;'Дашборд'!$C$9*'Дашборд'!$C$54,"Да","Нет"))</x:f>
        <x:v>Да</x:v>
      </x:c>
      <x:c r="N834" s="1" t="str">
        <x:f>IF(AND('Данные'!D834&gt;='Дашборд'!$C$55,D834&lt;'Дашборд'!$C$56,'Данные'!E834&gt;='Дашборд'!$C$53,'Данные'!L834&lt;&gt;"Да"),"Да","Нет")</x:f>
        <x:v>Нет</x:v>
      </x:c>
      <x:c r="O834" s="1" t="str">
        <x:f>'Данные'!L834</x:f>
        <x:v>Нет</x:v>
      </x:c>
    </x:row>
    <x:row r="835">
      <x:c r="A835" s="1" t="str">
        <x:f>'Данные'!A835</x:f>
        <x:v>332581972</x:v>
      </x:c>
      <x:c r="B835" s="1" t="str">
        <x:f>'Данные'!B835</x:f>
        <x:v>shortyman4P-91/серый</x:v>
      </x:c>
      <x:c r="C835" s="8" t="n">
        <x:f>'Данные'!G835</x:f>
        <x:v>182967</x:v>
      </x:c>
      <x:c r="D835" s="15" t="n">
        <x:f>C835/SUM($C$5:$C$2477)</x:f>
        <x:v>0.00021374637272258292</x:v>
      </x:c>
      <x:c r="E835" s="15" t="n">
        <x:f>SUM($D$5:D835)</x:f>
        <x:v>0.9389079567712565</x:v>
      </x:c>
      <x:c r="F835" s="1" t="str">
        <x:f>IF(C835&lt;=0,"C",IF(E835-D835&lt;'Дашборд'!$C$49,"A",IF(E835-D835&lt;'Дашборд'!$C$50,"B","C")))</x:f>
        <x:v>B</x:v>
      </x:c>
      <x:c r="G835" s="8" t="n">
        <x:f>'Данные'!F835</x:f>
        <x:v>362</x:v>
      </x:c>
      <x:c r="H835" s="8" t="n">
        <x:f>SUM('Данные'!H835:I835)</x:f>
        <x:v>2</x:v>
      </x:c>
      <x:c r="I835" s="16" t="n">
        <x:f>IF(H835&gt;0,G835/H835,"n.a.")</x:f>
        <x:v>181</x:v>
      </x:c>
      <x:c r="J835" s="10" t="n">
        <x:f>IF('Данные'!E835&gt;0,G835/'Данные'!E835,"n.a.")</x:f>
        <x:v>0.018944944525853047</x:v>
      </x:c>
      <x:c r="K835" s="1" t="str">
        <x:f>IF(G835&gt;='Дашборд'!$C$51,"X","Z")</x:f>
        <x:v>X</x:v>
      </x:c>
      <x:c r="L835" s="1" t="str">
        <x:f>IF(H835=0,IF(G835&gt;0,"Нет остатка","Нет спроса"),IF(I835&gt;='Дашборд'!$C$52,"Быстрый","Медленный"))</x:f>
        <x:v>Быстрый</x:v>
      </x:c>
      <x:c r="M835" s="1" t="str">
        <x:f>IF('Данные'!E835&lt;'Дашборд'!$C$53,"Мало трафика",IF(J835&lt;'Дашборд'!$C$9*'Дашборд'!$C$54,"Да","Нет"))</x:f>
        <x:v>Нет</x:v>
      </x:c>
      <x:c r="N835" s="1" t="str">
        <x:f>IF(AND('Данные'!D835&gt;='Дашборд'!$C$55,D835&lt;'Дашборд'!$C$56,'Данные'!E835&gt;='Дашборд'!$C$53,'Данные'!L835&lt;&gt;"Да"),"Да","Нет")</x:f>
        <x:v>Нет</x:v>
      </x:c>
      <x:c r="O835" s="1" t="str">
        <x:f>'Данные'!L835</x:f>
        <x:v>Нет</x:v>
      </x:c>
    </x:row>
    <x:row r="836">
      <x:c r="A836" s="1" t="str">
        <x:f>'Данные'!A836</x:f>
        <x:v>332581970</x:v>
      </x:c>
      <x:c r="B836" s="1" t="str">
        <x:f>'Данные'!B836</x:f>
        <x:v>shortyman4P-91/темно-серый</x:v>
      </x:c>
      <x:c r="C836" s="8" t="n">
        <x:f>'Данные'!G836</x:f>
        <x:v>182667</x:v>
      </x:c>
      <x:c r="D836" s="15" t="n">
        <x:f>C836/SUM($C$5:$C$2477)</x:f>
        <x:v>0.00021339590563389057</x:v>
      </x:c>
      <x:c r="E836" s="15" t="n">
        <x:f>SUM($D$5:D836)</x:f>
        <x:v>0.9391213526768903</x:v>
      </x:c>
      <x:c r="F836" s="1" t="str">
        <x:f>IF(C836&lt;=0,"C",IF(E836-D836&lt;'Дашборд'!$C$49,"A",IF(E836-D836&lt;'Дашборд'!$C$50,"B","C")))</x:f>
        <x:v>B</x:v>
      </x:c>
      <x:c r="G836" s="8" t="n">
        <x:f>'Данные'!F836</x:f>
        <x:v>379</x:v>
      </x:c>
      <x:c r="H836" s="8" t="n">
        <x:f>SUM('Данные'!H836:I836)</x:f>
        <x:v>5</x:v>
      </x:c>
      <x:c r="I836" s="16" t="n">
        <x:f>IF(H836&gt;0,G836/H836,"n.a.")</x:f>
        <x:v>75.8</x:v>
      </x:c>
      <x:c r="J836" s="10" t="n">
        <x:f>IF('Данные'!E836&gt;0,G836/'Данные'!E836,"n.a.")</x:f>
        <x:v>0.0203206262398799</x:v>
      </x:c>
      <x:c r="K836" s="1" t="str">
        <x:f>IF(G836&gt;='Дашборд'!$C$51,"X","Z")</x:f>
        <x:v>X</x:v>
      </x:c>
      <x:c r="L836" s="1" t="str">
        <x:f>IF(H836=0,IF(G836&gt;0,"Нет остатка","Нет спроса"),IF(I836&gt;='Дашборд'!$C$52,"Быстрый","Медленный"))</x:f>
        <x:v>Быстрый</x:v>
      </x:c>
      <x:c r="M836" s="1" t="str">
        <x:f>IF('Данные'!E836&lt;'Дашборд'!$C$53,"Мало трафика",IF(J836&lt;'Дашборд'!$C$9*'Дашборд'!$C$54,"Да","Нет"))</x:f>
        <x:v>Нет</x:v>
      </x:c>
      <x:c r="N836" s="1" t="str">
        <x:f>IF(AND('Данные'!D836&gt;='Дашборд'!$C$55,D836&lt;'Дашборд'!$C$56,'Данные'!E836&gt;='Дашборд'!$C$53,'Данные'!L836&lt;&gt;"Да"),"Да","Нет")</x:f>
        <x:v>Нет</x:v>
      </x:c>
      <x:c r="O836" s="1" t="str">
        <x:f>'Данные'!L836</x:f>
        <x:v>Нет</x:v>
      </x:c>
    </x:row>
    <x:row r="837">
      <x:c r="A837" s="1" t="str">
        <x:f>'Данные'!A837</x:f>
        <x:v>224386336</x:v>
      </x:c>
      <x:c r="B837" s="1" t="str">
        <x:f>'Данные'!B837</x:f>
        <x:v>kulirkamanprint/TakeCare-134/какао</x:v>
      </x:c>
      <x:c r="C837" s="8" t="n">
        <x:f>'Данные'!G837</x:f>
        <x:v>181918</x:v>
      </x:c>
      <x:c r="D837" s="15" t="n">
        <x:f>C837/SUM($C$5:$C$2477)</x:f>
        <x:v>0.00021252090613578864</x:v>
      </x:c>
      <x:c r="E837" s="15" t="n">
        <x:f>SUM($D$5:D837)</x:f>
        <x:v>0.9393338735830261</x:v>
      </x:c>
      <x:c r="F837" s="1" t="str">
        <x:f>IF(C837&lt;=0,"C",IF(E837-D837&lt;'Дашборд'!$C$49,"A",IF(E837-D837&lt;'Дашборд'!$C$50,"B","C")))</x:f>
        <x:v>B</x:v>
      </x:c>
      <x:c r="G837" s="8" t="n">
        <x:f>'Данные'!F837</x:f>
        <x:v>362</x:v>
      </x:c>
      <x:c r="H837" s="8" t="n">
        <x:f>SUM('Данные'!H837:I837)</x:f>
        <x:v>25</x:v>
      </x:c>
      <x:c r="I837" s="16" t="n">
        <x:f>IF(H837&gt;0,G837/H837,"n.a.")</x:f>
        <x:v>14.48</x:v>
      </x:c>
      <x:c r="J837" s="10" t="n">
        <x:f>IF('Данные'!E837&gt;0,G837/'Данные'!E837,"n.a.")</x:f>
        <x:v>0.02037829317721234</x:v>
      </x:c>
      <x:c r="K837" s="1" t="str">
        <x:f>IF(G837&gt;='Дашборд'!$C$51,"X","Z")</x:f>
        <x:v>X</x:v>
      </x:c>
      <x:c r="L837" s="1" t="str">
        <x:f>IF(H837=0,IF(G837&gt;0,"Нет остатка","Нет спроса"),IF(I837&gt;='Дашборд'!$C$52,"Быстрый","Медленный"))</x:f>
        <x:v>Быстрый</x:v>
      </x:c>
      <x:c r="M837" s="1" t="str">
        <x:f>IF('Данные'!E837&lt;'Дашборд'!$C$53,"Мало трафика",IF(J837&lt;'Дашборд'!$C$9*'Дашборд'!$C$54,"Да","Нет"))</x:f>
        <x:v>Нет</x:v>
      </x:c>
      <x:c r="N837" s="1" t="str">
        <x:f>IF(AND('Данные'!D837&gt;='Дашборд'!$C$55,D837&lt;'Дашборд'!$C$56,'Данные'!E837&gt;='Дашборд'!$C$53,'Данные'!L837&lt;&gt;"Да"),"Да","Нет")</x:f>
        <x:v>Да</x:v>
      </x:c>
      <x:c r="O837" s="1" t="str">
        <x:f>'Данные'!L837</x:f>
        <x:v>Нет</x:v>
      </x:c>
    </x:row>
    <x:row r="838">
      <x:c r="A838" s="1" t="str">
        <x:f>'Данные'!A838</x:f>
        <x:v>150674021</x:v>
      </x:c>
      <x:c r="B838" s="1" t="str">
        <x:f>'Данные'!B838</x:f>
        <x:v>svitshotover/мандариновый</x:v>
      </x:c>
      <x:c r="C838" s="8" t="n">
        <x:f>'Данные'!G838</x:f>
        <x:v>181584</x:v>
      </x:c>
      <x:c r="D838" s="15" t="n">
        <x:f>C838/SUM($C$5:$C$2477)</x:f>
        <x:v>0.00021213071944371117</x:v>
      </x:c>
      <x:c r="E838" s="15" t="n">
        <x:f>SUM($D$5:D838)</x:f>
        <x:v>0.9395460043024698</x:v>
      </x:c>
      <x:c r="F838" s="1" t="str">
        <x:f>IF(C838&lt;=0,"C",IF(E838-D838&lt;'Дашборд'!$C$49,"A",IF(E838-D838&lt;'Дашборд'!$C$50,"B","C")))</x:f>
        <x:v>B</x:v>
      </x:c>
      <x:c r="G838" s="8" t="n">
        <x:f>'Данные'!F838</x:f>
        <x:v>259</x:v>
      </x:c>
      <x:c r="H838" s="8" t="n">
        <x:f>SUM('Данные'!H838:I838)</x:f>
        <x:v>744</x:v>
      </x:c>
      <x:c r="I838" s="16" t="n">
        <x:f>IF(H838&gt;0,G838/H838,"n.a.")</x:f>
        <x:v>0.3481182795698925</x:v>
      </x:c>
      <x:c r="J838" s="10" t="n">
        <x:f>IF('Данные'!E838&gt;0,G838/'Данные'!E838,"n.a.")</x:f>
        <x:v>0.015462686567164178</x:v>
      </x:c>
      <x:c r="K838" s="1" t="str">
        <x:f>IF(G838&gt;='Дашборд'!$C$51,"X","Z")</x:f>
        <x:v>Z</x:v>
      </x:c>
      <x:c r="L838" s="1" t="str">
        <x:f>IF(H838=0,IF(G838&gt;0,"Нет остатка","Нет спроса"),IF(I838&gt;='Дашборд'!$C$52,"Быстрый","Медленный"))</x:f>
        <x:v>Медленный</x:v>
      </x:c>
      <x:c r="M838" s="1" t="str">
        <x:f>IF('Данные'!E838&lt;'Дашборд'!$C$53,"Мало трафика",IF(J838&lt;'Дашборд'!$C$9*'Дашборд'!$C$54,"Да","Нет"))</x:f>
        <x:v>Нет</x:v>
      </x:c>
      <x:c r="N838" s="1" t="str">
        <x:f>IF(AND('Данные'!D838&gt;='Дашборд'!$C$55,D838&lt;'Дашборд'!$C$56,'Данные'!E838&gt;='Дашборд'!$C$53,'Данные'!L838&lt;&gt;"Да"),"Да","Нет")</x:f>
        <x:v>Да</x:v>
      </x:c>
      <x:c r="O838" s="1" t="str">
        <x:f>'Данные'!L838</x:f>
        <x:v>Нет</x:v>
      </x:c>
    </x:row>
    <x:row r="839">
      <x:c r="A839" s="1" t="str">
        <x:f>'Данные'!A839</x:f>
        <x:v>183793819</x:v>
      </x:c>
      <x:c r="B839" s="1" t="str">
        <x:f>'Данные'!B839</x:f>
        <x:v>hudiprint/TDG-3/черный</x:v>
      </x:c>
      <x:c r="C839" s="8" t="n">
        <x:f>'Данные'!G839</x:f>
        <x:v>181564</x:v>
      </x:c>
      <x:c r="D839" s="15" t="n">
        <x:f>C839/SUM($C$5:$C$2477)</x:f>
        <x:v>0.00021210735497113168</x:v>
      </x:c>
      <x:c r="E839" s="15" t="n">
        <x:f>SUM($D$5:D839)</x:f>
        <x:v>0.9397581116574409</x:v>
      </x:c>
      <x:c r="F839" s="1" t="str">
        <x:f>IF(C839&lt;=0,"C",IF(E839-D839&lt;'Дашборд'!$C$49,"A",IF(E839-D839&lt;'Дашборд'!$C$50,"B","C")))</x:f>
        <x:v>B</x:v>
      </x:c>
      <x:c r="G839" s="8" t="n">
        <x:f>'Данные'!F839</x:f>
        <x:v>161</x:v>
      </x:c>
      <x:c r="H839" s="8" t="n">
        <x:f>SUM('Данные'!H839:I839)</x:f>
        <x:v>1</x:v>
      </x:c>
      <x:c r="I839" s="16" t="n">
        <x:f>IF(H839&gt;0,G839/H839,"n.a.")</x:f>
        <x:v>161</x:v>
      </x:c>
      <x:c r="J839" s="10" t="n">
        <x:f>IF('Данные'!E839&gt;0,G839/'Данные'!E839,"n.a.")</x:f>
        <x:v>0.009544134210682316</x:v>
      </x:c>
      <x:c r="K839" s="1" t="str">
        <x:f>IF(G839&gt;='Дашборд'!$C$51,"X","Z")</x:f>
        <x:v>Z</x:v>
      </x:c>
      <x:c r="L839" s="1" t="str">
        <x:f>IF(H839=0,IF(G839&gt;0,"Нет остатка","Нет спроса"),IF(I839&gt;='Дашборд'!$C$52,"Быстрый","Медленный"))</x:f>
        <x:v>Быстрый</x:v>
      </x:c>
      <x:c r="M839" s="1" t="str">
        <x:f>IF('Данные'!E839&lt;'Дашборд'!$C$53,"Мало трафика",IF(J839&lt;'Дашборд'!$C$9*'Дашборд'!$C$54,"Да","Нет"))</x:f>
        <x:v>Да</x:v>
      </x:c>
      <x:c r="N839" s="1" t="str">
        <x:f>IF(AND('Данные'!D839&gt;='Дашборд'!$C$55,D839&lt;'Дашборд'!$C$56,'Данные'!E839&gt;='Дашборд'!$C$53,'Данные'!L839&lt;&gt;"Да"),"Да","Нет")</x:f>
        <x:v>Нет</x:v>
      </x:c>
      <x:c r="O839" s="1" t="str">
        <x:f>'Данные'!L839</x:f>
        <x:v>Нет</x:v>
      </x:c>
    </x:row>
    <x:row r="840">
      <x:c r="A840" s="1" t="str">
        <x:f>'Данные'!A840</x:f>
        <x:v>266147459</x:v>
      </x:c>
      <x:c r="B840" s="1" t="str">
        <x:f>'Данные'!B840</x:f>
        <x:v>hudiprint/MOSCOW-220/молочный</x:v>
      </x:c>
      <x:c r="C840" s="8" t="n">
        <x:f>'Данные'!G840</x:f>
        <x:v>181259</x:v>
      </x:c>
      <x:c r="D840" s="15" t="n">
        <x:f>C840/SUM($C$5:$C$2477)</x:f>
        <x:v>0.00021175104676429444</x:v>
      </x:c>
      <x:c r="E840" s="15" t="n">
        <x:f>SUM($D$5:D840)</x:f>
        <x:v>0.9399698627042052</x:v>
      </x:c>
      <x:c r="F840" s="1" t="str">
        <x:f>IF(C840&lt;=0,"C",IF(E840-D840&lt;'Дашборд'!$C$49,"A",IF(E840-D840&lt;'Дашборд'!$C$50,"B","C")))</x:f>
        <x:v>B</x:v>
      </x:c>
      <x:c r="G840" s="8" t="n">
        <x:f>'Данные'!F840</x:f>
        <x:v>130</x:v>
      </x:c>
      <x:c r="H840" s="8" t="n">
        <x:f>SUM('Данные'!H840:I840)</x:f>
        <x:v>3</x:v>
      </x:c>
      <x:c r="I840" s="16" t="n">
        <x:f>IF(H840&gt;0,G840/H840,"n.a.")</x:f>
        <x:v>43.333333333333336</x:v>
      </x:c>
      <x:c r="J840" s="10" t="n">
        <x:f>IF('Данные'!E840&gt;0,G840/'Данные'!E840,"n.a.")</x:f>
        <x:v>0.006105579560398272</x:v>
      </x:c>
      <x:c r="K840" s="1" t="str">
        <x:f>IF(G840&gt;='Дашборд'!$C$51,"X","Z")</x:f>
        <x:v>Z</x:v>
      </x:c>
      <x:c r="L840" s="1" t="str">
        <x:f>IF(H840=0,IF(G840&gt;0,"Нет остатка","Нет спроса"),IF(I840&gt;='Дашборд'!$C$52,"Быстрый","Медленный"))</x:f>
        <x:v>Быстрый</x:v>
      </x:c>
      <x:c r="M840" s="1" t="str">
        <x:f>IF('Данные'!E840&lt;'Дашборд'!$C$53,"Мало трафика",IF(J840&lt;'Дашборд'!$C$9*'Дашборд'!$C$54,"Да","Нет"))</x:f>
        <x:v>Да</x:v>
      </x:c>
      <x:c r="N840" s="1" t="str">
        <x:f>IF(AND('Данные'!D840&gt;='Дашборд'!$C$55,D840&lt;'Дашборд'!$C$56,'Данные'!E840&gt;='Дашборд'!$C$53,'Данные'!L840&lt;&gt;"Да"),"Да","Нет")</x:f>
        <x:v>Да</x:v>
      </x:c>
      <x:c r="O840" s="1" t="str">
        <x:f>'Данные'!L840</x:f>
        <x:v>Нет</x:v>
      </x:c>
    </x:row>
    <x:row r="841">
      <x:c r="A841" s="1" t="str">
        <x:f>'Данные'!A841</x:f>
        <x:v>287286750</x:v>
      </x:c>
      <x:c r="B841" s="1" t="str">
        <x:f>'Данные'!B841</x:f>
        <x:v>2Nitkalongsliv3D-76/темно-синий</x:v>
      </x:c>
      <x:c r="C841" s="8" t="n">
        <x:f>'Данные'!G841</x:f>
        <x:v>180440</x:v>
      </x:c>
      <x:c r="D841" s="15" t="n">
        <x:f>C841/SUM($C$5:$C$2477)</x:f>
        <x:v>0.0002107942716121643</x:v>
      </x:c>
      <x:c r="E841" s="15" t="n">
        <x:f>SUM($D$5:D841)</x:f>
        <x:v>0.9401806569758174</x:v>
      </x:c>
      <x:c r="F841" s="1" t="str">
        <x:f>IF(C841&lt;=0,"C",IF(E841-D841&lt;'Дашборд'!$C$49,"A",IF(E841-D841&lt;'Дашборд'!$C$50,"B","C")))</x:f>
        <x:v>B</x:v>
      </x:c>
      <x:c r="G841" s="8" t="n">
        <x:f>'Данные'!F841</x:f>
        <x:v>393</x:v>
      </x:c>
      <x:c r="H841" s="8" t="n">
        <x:f>SUM('Данные'!H841:I841)</x:f>
        <x:v>20</x:v>
      </x:c>
      <x:c r="I841" s="16" t="n">
        <x:f>IF(H841&gt;0,G841/H841,"n.a.")</x:f>
        <x:v>19.65</x:v>
      </x:c>
      <x:c r="J841" s="10" t="n">
        <x:f>IF('Данные'!E841&gt;0,G841/'Данные'!E841,"n.a.")</x:f>
        <x:v>0.00788270218228498</x:v>
      </x:c>
      <x:c r="K841" s="1" t="str">
        <x:f>IF(G841&gt;='Дашборд'!$C$51,"X","Z")</x:f>
        <x:v>X</x:v>
      </x:c>
      <x:c r="L841" s="1" t="str">
        <x:f>IF(H841=0,IF(G841&gt;0,"Нет остатка","Нет спроса"),IF(I841&gt;='Дашборд'!$C$52,"Быстрый","Медленный"))</x:f>
        <x:v>Быстрый</x:v>
      </x:c>
      <x:c r="M841" s="1" t="str">
        <x:f>IF('Данные'!E841&lt;'Дашборд'!$C$53,"Мало трафика",IF(J841&lt;'Дашборд'!$C$9*'Дашборд'!$C$54,"Да","Нет"))</x:f>
        <x:v>Да</x:v>
      </x:c>
      <x:c r="N841" s="1" t="str">
        <x:f>IF(AND('Данные'!D841&gt;='Дашборд'!$C$55,D841&lt;'Дашборд'!$C$56,'Данные'!E841&gt;='Дашборд'!$C$53,'Данные'!L841&lt;&gt;"Да"),"Да","Нет")</x:f>
        <x:v>Нет</x:v>
      </x:c>
      <x:c r="O841" s="1" t="str">
        <x:f>'Данные'!L841</x:f>
        <x:v>Нет</x:v>
      </x:c>
    </x:row>
    <x:row r="842">
      <x:c r="A842" s="1" t="str">
        <x:f>'Данные'!A842</x:f>
        <x:v>333121382</x:v>
      </x:c>
      <x:c r="B842" s="1" t="str">
        <x:f>'Данные'!B842</x:f>
        <x:v>topmayka/молочный</x:v>
      </x:c>
      <x:c r="C842" s="8" t="n">
        <x:f>'Данные'!G842</x:f>
        <x:v>180275</x:v>
      </x:c>
      <x:c r="D842" s="15" t="n">
        <x:f>C842/SUM($C$5:$C$2477)</x:f>
        <x:v>0.0002106015147133835</x:v>
      </x:c>
      <x:c r="E842" s="15" t="n">
        <x:f>SUM($D$5:D842)</x:f>
        <x:v>0.9403912584905308</x:v>
      </x:c>
      <x:c r="F842" s="1" t="str">
        <x:f>IF(C842&lt;=0,"C",IF(E842-D842&lt;'Дашборд'!$C$49,"A",IF(E842-D842&lt;'Дашборд'!$C$50,"B","C")))</x:f>
        <x:v>B</x:v>
      </x:c>
      <x:c r="G842" s="8" t="n">
        <x:f>'Данные'!F842</x:f>
        <x:v>653</x:v>
      </x:c>
      <x:c r="H842" s="8" t="n">
        <x:f>SUM('Данные'!H842:I842)</x:f>
        <x:v>1414</x:v>
      </x:c>
      <x:c r="I842" s="16" t="n">
        <x:f>IF(H842&gt;0,G842/H842,"n.a.")</x:f>
        <x:v>0.4618104667609618</x:v>
      </x:c>
      <x:c r="J842" s="10" t="n">
        <x:f>IF('Данные'!E842&gt;0,G842/'Данные'!E842,"n.a.")</x:f>
        <x:v>0.021618221545388335</x:v>
      </x:c>
      <x:c r="K842" s="1" t="str">
        <x:f>IF(G842&gt;='Дашборд'!$C$51,"X","Z")</x:f>
        <x:v>X</x:v>
      </x:c>
      <x:c r="L842" s="1" t="str">
        <x:f>IF(H842=0,IF(G842&gt;0,"Нет остатка","Нет спроса"),IF(I842&gt;='Дашборд'!$C$52,"Быстрый","Медленный"))</x:f>
        <x:v>Медленный</x:v>
      </x:c>
      <x:c r="M842" s="1" t="str">
        <x:f>IF('Данные'!E842&lt;'Дашборд'!$C$53,"Мало трафика",IF(J842&lt;'Дашборд'!$C$9*'Дашборд'!$C$54,"Да","Нет"))</x:f>
        <x:v>Нет</x:v>
      </x:c>
      <x:c r="N842" s="1" t="str">
        <x:f>IF(AND('Данные'!D842&gt;='Дашборд'!$C$55,D842&lt;'Дашборд'!$C$56,'Данные'!E842&gt;='Дашборд'!$C$53,'Данные'!L842&lt;&gt;"Да"),"Да","Нет")</x:f>
        <x:v>Да</x:v>
      </x:c>
      <x:c r="O842" s="1" t="str">
        <x:f>'Данные'!L842</x:f>
        <x:v>Нет</x:v>
      </x:c>
    </x:row>
    <x:row r="843">
      <x:c r="A843" s="1" t="str">
        <x:f>'Данные'!A843</x:f>
        <x:v>210248282</x:v>
      </x:c>
      <x:c r="B843" s="1" t="str">
        <x:f>'Данные'!B843</x:f>
        <x:v>kulirkamanprint/SaintLouis-76/молочный</x:v>
      </x:c>
      <x:c r="C843" s="8" t="n">
        <x:f>'Данные'!G843</x:f>
        <x:v>179759</x:v>
      </x:c>
      <x:c r="D843" s="15" t="n">
        <x:f>C843/SUM($C$5:$C$2477)</x:f>
        <x:v>0.00020999871132083264</x:v>
      </x:c>
      <x:c r="E843" s="15" t="n">
        <x:f>SUM($D$5:D843)</x:f>
        <x:v>0.9406012572018517</x:v>
      </x:c>
      <x:c r="F843" s="1" t="str">
        <x:f>IF(C843&lt;=0,"C",IF(E843-D843&lt;'Дашборд'!$C$49,"A",IF(E843-D843&lt;'Дашборд'!$C$50,"B","C")))</x:f>
        <x:v>B</x:v>
      </x:c>
      <x:c r="G843" s="8" t="n">
        <x:f>'Данные'!F843</x:f>
        <x:v>350</x:v>
      </x:c>
      <x:c r="H843" s="8" t="n">
        <x:f>SUM('Данные'!H843:I843)</x:f>
        <x:v>5</x:v>
      </x:c>
      <x:c r="I843" s="16" t="n">
        <x:f>IF(H843&gt;0,G843/H843,"n.a.")</x:f>
        <x:v>70</x:v>
      </x:c>
      <x:c r="J843" s="10" t="n">
        <x:f>IF('Данные'!E843&gt;0,G843/'Данные'!E843,"n.a.")</x:f>
        <x:v>0.02988132843848715</x:v>
      </x:c>
      <x:c r="K843" s="1" t="str">
        <x:f>IF(G843&gt;='Дашборд'!$C$51,"X","Z")</x:f>
        <x:v>X</x:v>
      </x:c>
      <x:c r="L843" s="1" t="str">
        <x:f>IF(H843=0,IF(G843&gt;0,"Нет остатка","Нет спроса"),IF(I843&gt;='Дашборд'!$C$52,"Быстрый","Медленный"))</x:f>
        <x:v>Быстрый</x:v>
      </x:c>
      <x:c r="M843" s="1" t="str">
        <x:f>IF('Данные'!E843&lt;'Дашборд'!$C$53,"Мало трафика",IF(J843&lt;'Дашборд'!$C$9*'Дашборд'!$C$54,"Да","Нет"))</x:f>
        <x:v>Нет</x:v>
      </x:c>
      <x:c r="N843" s="1" t="str">
        <x:f>IF(AND('Данные'!D843&gt;='Дашборд'!$C$55,D843&lt;'Дашборд'!$C$56,'Данные'!E843&gt;='Дашборд'!$C$53,'Данные'!L843&lt;&gt;"Да"),"Да","Нет")</x:f>
        <x:v>Нет</x:v>
      </x:c>
      <x:c r="O843" s="1" t="str">
        <x:f>'Данные'!L843</x:f>
        <x:v>Нет</x:v>
      </x:c>
    </x:row>
    <x:row r="844">
      <x:c r="A844" s="1" t="str">
        <x:f>'Данные'!A844</x:f>
        <x:v>181613189</x:v>
      </x:c>
      <x:c r="B844" s="1" t="str">
        <x:f>'Данные'!B844</x:f>
        <x:v>kostum/черный</x:v>
      </x:c>
      <x:c r="C844" s="8" t="n">
        <x:f>'Данные'!G844</x:f>
        <x:v>179144</x:v>
      </x:c>
      <x:c r="D844" s="15" t="n">
        <x:f>C844/SUM($C$5:$C$2477)</x:f>
        <x:v>0.0002092802537890133</x:v>
      </x:c>
      <x:c r="E844" s="15" t="n">
        <x:f>SUM($D$5:D844)</x:f>
        <x:v>0.9408105374556407</x:v>
      </x:c>
      <x:c r="F844" s="1" t="str">
        <x:f>IF(C844&lt;=0,"C",IF(E844-D844&lt;'Дашборд'!$C$49,"A",IF(E844-D844&lt;'Дашборд'!$C$50,"B","C")))</x:f>
        <x:v>B</x:v>
      </x:c>
      <x:c r="G844" s="8" t="n">
        <x:f>'Данные'!F844</x:f>
        <x:v>120</x:v>
      </x:c>
      <x:c r="H844" s="8" t="n">
        <x:f>SUM('Данные'!H844:I844)</x:f>
        <x:v>191</x:v>
      </x:c>
      <x:c r="I844" s="16" t="n">
        <x:f>IF(H844&gt;0,G844/H844,"n.a.")</x:f>
        <x:v>0.6282722513089005</x:v>
      </x:c>
      <x:c r="J844" s="10" t="n">
        <x:f>IF('Данные'!E844&gt;0,G844/'Данные'!E844,"n.a.")</x:f>
        <x:v>0.00496031746031746</x:v>
      </x:c>
      <x:c r="K844" s="1" t="str">
        <x:f>IF(G844&gt;='Дашборд'!$C$51,"X","Z")</x:f>
        <x:v>Z</x:v>
      </x:c>
      <x:c r="L844" s="1" t="str">
        <x:f>IF(H844=0,IF(G844&gt;0,"Нет остатка","Нет спроса"),IF(I844&gt;='Дашборд'!$C$52,"Быстрый","Медленный"))</x:f>
        <x:v>Медленный</x:v>
      </x:c>
      <x:c r="M844" s="1" t="str">
        <x:f>IF('Данные'!E844&lt;'Дашборд'!$C$53,"Мало трафика",IF(J844&lt;'Дашборд'!$C$9*'Дашборд'!$C$54,"Да","Нет"))</x:f>
        <x:v>Да</x:v>
      </x:c>
      <x:c r="N844" s="1" t="str">
        <x:f>IF(AND('Данные'!D844&gt;='Дашборд'!$C$55,D844&lt;'Дашборд'!$C$56,'Данные'!E844&gt;='Дашборд'!$C$53,'Данные'!L844&lt;&gt;"Да"),"Да","Нет")</x:f>
        <x:v>Нет</x:v>
      </x:c>
      <x:c r="O844" s="1" t="str">
        <x:f>'Данные'!L844</x:f>
        <x:v>Нет</x:v>
      </x:c>
    </x:row>
    <x:row r="845">
      <x:c r="A845" s="1" t="str">
        <x:f>'Данные'!A845</x:f>
        <x:v>245558079</x:v>
      </x:c>
      <x:c r="B845" s="1" t="str">
        <x:f>'Данные'!B845</x:f>
        <x:v>hudimanprint/TakeCare-134/песочный</x:v>
      </x:c>
      <x:c r="C845" s="8" t="n">
        <x:f>'Данные'!G845</x:f>
        <x:v>178767</x:v>
      </x:c>
      <x:c r="D845" s="15" t="n">
        <x:f>C845/SUM($C$5:$C$2477)</x:f>
        <x:v>0.0002088398334808899</x:v>
      </x:c>
      <x:c r="E845" s="15" t="n">
        <x:f>SUM($D$5:D845)</x:f>
        <x:v>0.9410193772891216</x:v>
      </x:c>
      <x:c r="F845" s="1" t="str">
        <x:f>IF(C845&lt;=0,"C",IF(E845-D845&lt;'Дашборд'!$C$49,"A",IF(E845-D845&lt;'Дашборд'!$C$50,"B","C")))</x:f>
        <x:v>B</x:v>
      </x:c>
      <x:c r="G845" s="8" t="n">
        <x:f>'Данные'!F845</x:f>
        <x:v>189</x:v>
      </x:c>
      <x:c r="H845" s="8" t="n">
        <x:f>SUM('Данные'!H845:I845)</x:f>
        <x:v>584</x:v>
      </x:c>
      <x:c r="I845" s="16" t="n">
        <x:f>IF(H845&gt;0,G845/H845,"n.a.")</x:f>
        <x:v>0.3236301369863014</x:v>
      </x:c>
      <x:c r="J845" s="10" t="n">
        <x:f>IF('Данные'!E845&gt;0,G845/'Данные'!E845,"n.a.")</x:f>
        <x:v>0.007992895204262877</x:v>
      </x:c>
      <x:c r="K845" s="1" t="str">
        <x:f>IF(G845&gt;='Дашборд'!$C$51,"X","Z")</x:f>
        <x:v>Z</x:v>
      </x:c>
      <x:c r="L845" s="1" t="str">
        <x:f>IF(H845=0,IF(G845&gt;0,"Нет остатка","Нет спроса"),IF(I845&gt;='Дашборд'!$C$52,"Быстрый","Медленный"))</x:f>
        <x:v>Медленный</x:v>
      </x:c>
      <x:c r="M845" s="1" t="str">
        <x:f>IF('Данные'!E845&lt;'Дашборд'!$C$53,"Мало трафика",IF(J845&lt;'Дашборд'!$C$9*'Дашборд'!$C$54,"Да","Нет"))</x:f>
        <x:v>Да</x:v>
      </x:c>
      <x:c r="N845" s="1" t="str">
        <x:f>IF(AND('Данные'!D845&gt;='Дашборд'!$C$55,D845&lt;'Дашборд'!$C$56,'Данные'!E845&gt;='Дашборд'!$C$53,'Данные'!L845&lt;&gt;"Да"),"Да","Нет")</x:f>
        <x:v>Да</x:v>
      </x:c>
      <x:c r="O845" s="1" t="str">
        <x:f>'Данные'!L845</x:f>
        <x:v>Нет</x:v>
      </x:c>
    </x:row>
    <x:row r="846">
      <x:c r="A846" s="1" t="str">
        <x:f>'Данные'!A846</x:f>
        <x:v>311049924</x:v>
      </x:c>
      <x:c r="B846" s="1" t="str">
        <x:f>'Данные'!B846</x:f>
        <x:v>hudimanpetl/песочный</x:v>
      </x:c>
      <x:c r="C846" s="8" t="n">
        <x:f>'Данные'!G846</x:f>
        <x:v>178554</x:v>
      </x:c>
      <x:c r="D846" s="15" t="n">
        <x:f>C846/SUM($C$5:$C$2477)</x:f>
        <x:v>0.00020859100184791833</x:v>
      </x:c>
      <x:c r="E846" s="15" t="n">
        <x:f>SUM($D$5:D846)</x:f>
        <x:v>0.9412279682909694</x:v>
      </x:c>
      <x:c r="F846" s="1" t="str">
        <x:f>IF(C846&lt;=0,"C",IF(E846-D846&lt;'Дашборд'!$C$49,"A",IF(E846-D846&lt;'Дашборд'!$C$50,"B","C")))</x:f>
        <x:v>B</x:v>
      </x:c>
      <x:c r="G846" s="8" t="n">
        <x:f>'Данные'!F846</x:f>
        <x:v>186</x:v>
      </x:c>
      <x:c r="H846" s="8" t="n">
        <x:f>SUM('Данные'!H846:I846)</x:f>
        <x:v>6</x:v>
      </x:c>
      <x:c r="I846" s="16" t="n">
        <x:f>IF(H846&gt;0,G846/H846,"n.a.")</x:f>
        <x:v>31</x:v>
      </x:c>
      <x:c r="J846" s="10" t="n">
        <x:f>IF('Данные'!E846&gt;0,G846/'Данные'!E846,"n.a.")</x:f>
        <x:v>0.01816051552431166</x:v>
      </x:c>
      <x:c r="K846" s="1" t="str">
        <x:f>IF(G846&gt;='Дашборд'!$C$51,"X","Z")</x:f>
        <x:v>Z</x:v>
      </x:c>
      <x:c r="L846" s="1" t="str">
        <x:f>IF(H846=0,IF(G846&gt;0,"Нет остатка","Нет спроса"),IF(I846&gt;='Дашборд'!$C$52,"Быстрый","Медленный"))</x:f>
        <x:v>Быстрый</x:v>
      </x:c>
      <x:c r="M846" s="1" t="str">
        <x:f>IF('Данные'!E846&lt;'Дашборд'!$C$53,"Мало трафика",IF(J846&lt;'Дашборд'!$C$9*'Дашборд'!$C$54,"Да","Нет"))</x:f>
        <x:v>Нет</x:v>
      </x:c>
      <x:c r="N846" s="1" t="str">
        <x:f>IF(AND('Данные'!D846&gt;='Дашборд'!$C$55,D846&lt;'Дашборд'!$C$56,'Данные'!E846&gt;='Дашборд'!$C$53,'Данные'!L846&lt;&gt;"Да"),"Да","Нет")</x:f>
        <x:v>Нет</x:v>
      </x:c>
      <x:c r="O846" s="1" t="str">
        <x:f>'Данные'!L846</x:f>
        <x:v>Нет</x:v>
      </x:c>
    </x:row>
    <x:row r="847">
      <x:c r="A847" s="1" t="str">
        <x:f>'Данные'!A847</x:f>
        <x:v>203224206</x:v>
      </x:c>
      <x:c r="B847" s="1" t="str">
        <x:f>'Данные'!B847</x:f>
        <x:v>hudiprint/MoreSelf-44/розовый</x:v>
      </x:c>
      <x:c r="C847" s="8" t="n">
        <x:f>'Данные'!G847</x:f>
        <x:v>178536</x:v>
      </x:c>
      <x:c r="D847" s="15" t="n">
        <x:f>C847/SUM($C$5:$C$2477)</x:f>
        <x:v>0.00020856997382259678</x:v>
      </x:c>
      <x:c r="E847" s="15" t="n">
        <x:f>SUM($D$5:D847)</x:f>
        <x:v>0.941436538264792</x:v>
      </x:c>
      <x:c r="F847" s="1" t="str">
        <x:f>IF(C847&lt;=0,"C",IF(E847-D847&lt;'Дашборд'!$C$49,"A",IF(E847-D847&lt;'Дашборд'!$C$50,"B","C")))</x:f>
        <x:v>B</x:v>
      </x:c>
      <x:c r="G847" s="8" t="n">
        <x:f>'Данные'!F847</x:f>
        <x:v>160</x:v>
      </x:c>
      <x:c r="H847" s="8" t="n">
        <x:f>SUM('Данные'!H847:I847)</x:f>
        <x:v>119</x:v>
      </x:c>
      <x:c r="I847" s="16" t="n">
        <x:f>IF(H847&gt;0,G847/H847,"n.a.")</x:f>
        <x:v>1.3445378151260505</x:v>
      </x:c>
      <x:c r="J847" s="10" t="n">
        <x:f>IF('Данные'!E847&gt;0,G847/'Данные'!E847,"n.a.")</x:f>
        <x:v>0.008552948094296253</x:v>
      </x:c>
      <x:c r="K847" s="1" t="str">
        <x:f>IF(G847&gt;='Дашборд'!$C$51,"X","Z")</x:f>
        <x:v>Z</x:v>
      </x:c>
      <x:c r="L847" s="1" t="str">
        <x:f>IF(H847=0,IF(G847&gt;0,"Нет остатка","Нет спроса"),IF(I847&gt;='Дашборд'!$C$52,"Быстрый","Медленный"))</x:f>
        <x:v>Быстрый</x:v>
      </x:c>
      <x:c r="M847" s="1" t="str">
        <x:f>IF('Данные'!E847&lt;'Дашборд'!$C$53,"Мало трафика",IF(J847&lt;'Дашборд'!$C$9*'Дашборд'!$C$54,"Да","Нет"))</x:f>
        <x:v>Да</x:v>
      </x:c>
      <x:c r="N847" s="1" t="str">
        <x:f>IF(AND('Данные'!D847&gt;='Дашборд'!$C$55,D847&lt;'Дашборд'!$C$56,'Данные'!E847&gt;='Дашборд'!$C$53,'Данные'!L847&lt;&gt;"Да"),"Да","Нет")</x:f>
        <x:v>Нет</x:v>
      </x:c>
      <x:c r="O847" s="1" t="str">
        <x:f>'Данные'!L847</x:f>
        <x:v>Нет</x:v>
      </x:c>
    </x:row>
    <x:row r="848">
      <x:c r="A848" s="1" t="str">
        <x:f>'Данные'!A848</x:f>
        <x:v>175116968</x:v>
      </x:c>
      <x:c r="B848" s="1" t="str">
        <x:f>'Данные'!B848</x:f>
        <x:v>reglanman/какао</x:v>
      </x:c>
      <x:c r="C848" s="8" t="n">
        <x:f>'Данные'!G848</x:f>
        <x:v>178387</x:v>
      </x:c>
      <x:c r="D848" s="15" t="n">
        <x:f>C848/SUM($C$5:$C$2477)</x:f>
        <x:v>0.00020839590850187957</x:v>
      </x:c>
      <x:c r="E848" s="15" t="n">
        <x:f>SUM($D$5:D848)</x:f>
        <x:v>0.9416449341732939</x:v>
      </x:c>
      <x:c r="F848" s="1" t="str">
        <x:f>IF(C848&lt;=0,"C",IF(E848-D848&lt;'Дашборд'!$C$49,"A",IF(E848-D848&lt;'Дашборд'!$C$50,"B","C")))</x:f>
        <x:v>B</x:v>
      </x:c>
      <x:c r="G848" s="8" t="n">
        <x:f>'Данные'!F848</x:f>
        <x:v>397</x:v>
      </x:c>
      <x:c r="H848" s="8" t="n">
        <x:f>SUM('Данные'!H848:I848)</x:f>
        <x:v>1169</x:v>
      </x:c>
      <x:c r="I848" s="16" t="n">
        <x:f>IF(H848&gt;0,G848/H848,"n.a.")</x:f>
        <x:v>0.339606501283148</x:v>
      </x:c>
      <x:c r="J848" s="10" t="n">
        <x:f>IF('Данные'!E848&gt;0,G848/'Данные'!E848,"n.a.")</x:f>
        <x:v>0.018754724111866967</x:v>
      </x:c>
      <x:c r="K848" s="1" t="str">
        <x:f>IF(G848&gt;='Дашборд'!$C$51,"X","Z")</x:f>
        <x:v>X</x:v>
      </x:c>
      <x:c r="L848" s="1" t="str">
        <x:f>IF(H848=0,IF(G848&gt;0,"Нет остатка","Нет спроса"),IF(I848&gt;='Дашборд'!$C$52,"Быстрый","Медленный"))</x:f>
        <x:v>Медленный</x:v>
      </x:c>
      <x:c r="M848" s="1" t="str">
        <x:f>IF('Данные'!E848&lt;'Дашборд'!$C$53,"Мало трафика",IF(J848&lt;'Дашборд'!$C$9*'Дашборд'!$C$54,"Да","Нет"))</x:f>
        <x:v>Нет</x:v>
      </x:c>
      <x:c r="N848" s="1" t="str">
        <x:f>IF(AND('Данные'!D848&gt;='Дашборд'!$C$55,D848&lt;'Дашборд'!$C$56,'Данные'!E848&gt;='Дашборд'!$C$53,'Данные'!L848&lt;&gt;"Да"),"Да","Нет")</x:f>
        <x:v>Нет</x:v>
      </x:c>
      <x:c r="O848" s="1" t="str">
        <x:f>'Данные'!L848</x:f>
        <x:v>Нет</x:v>
      </x:c>
    </x:row>
    <x:row r="849">
      <x:c r="A849" s="1" t="str">
        <x:f>'Данные'!A849</x:f>
        <x:v>208734201</x:v>
      </x:c>
      <x:c r="B849" s="1" t="str">
        <x:f>'Данные'!B849</x:f>
        <x:v>svitshotzip1/морскаяволна</x:v>
      </x:c>
      <x:c r="C849" s="8" t="n">
        <x:f>'Данные'!G849</x:f>
        <x:v>177958</x:v>
      </x:c>
      <x:c r="D849" s="15" t="n">
        <x:f>C849/SUM($C$5:$C$2477)</x:f>
        <x:v>0.00020789474056504952</x:v>
      </x:c>
      <x:c r="E849" s="15" t="n">
        <x:f>SUM($D$5:D849)</x:f>
        <x:v>0.9418528289138589</x:v>
      </x:c>
      <x:c r="F849" s="1" t="str">
        <x:f>IF(C849&lt;=0,"C",IF(E849-D849&lt;'Дашборд'!$C$49,"A",IF(E849-D849&lt;'Дашборд'!$C$50,"B","C")))</x:f>
        <x:v>B</x:v>
      </x:c>
      <x:c r="G849" s="8" t="n">
        <x:f>'Данные'!F849</x:f>
        <x:v>189</x:v>
      </x:c>
      <x:c r="H849" s="8" t="n">
        <x:f>SUM('Данные'!H849:I849)</x:f>
        <x:v>286</x:v>
      </x:c>
      <x:c r="I849" s="16" t="n">
        <x:f>IF(H849&gt;0,G849/H849,"n.a.")</x:f>
        <x:v>0.6608391608391608</x:v>
      </x:c>
      <x:c r="J849" s="10" t="n">
        <x:f>IF('Данные'!E849&gt;0,G849/'Данные'!E849,"n.a.")</x:f>
        <x:v>0.01506576325229175</x:v>
      </x:c>
      <x:c r="K849" s="1" t="str">
        <x:f>IF(G849&gt;='Дашборд'!$C$51,"X","Z")</x:f>
        <x:v>Z</x:v>
      </x:c>
      <x:c r="L849" s="1" t="str">
        <x:f>IF(H849=0,IF(G849&gt;0,"Нет остатка","Нет спроса"),IF(I849&gt;='Дашборд'!$C$52,"Быстрый","Медленный"))</x:f>
        <x:v>Медленный</x:v>
      </x:c>
      <x:c r="M849" s="1" t="str">
        <x:f>IF('Данные'!E849&lt;'Дашборд'!$C$53,"Мало трафика",IF(J849&lt;'Дашборд'!$C$9*'Дашборд'!$C$54,"Да","Нет"))</x:f>
        <x:v>Нет</x:v>
      </x:c>
      <x:c r="N849" s="1" t="str">
        <x:f>IF(AND('Данные'!D849&gt;='Дашборд'!$C$55,D849&lt;'Дашборд'!$C$56,'Данные'!E849&gt;='Дашборд'!$C$53,'Данные'!L849&lt;&gt;"Да"),"Да","Нет")</x:f>
        <x:v>Да</x:v>
      </x:c>
      <x:c r="O849" s="1" t="str">
        <x:f>'Данные'!L849</x:f>
        <x:v>Нет</x:v>
      </x:c>
    </x:row>
    <x:row r="850">
      <x:c r="A850" s="1" t="str">
        <x:f>'Данные'!A850</x:f>
        <x:v>212947261</x:v>
      </x:c>
      <x:c r="B850" s="1" t="str">
        <x:f>'Данные'!B850</x:f>
        <x:v>hudiprint/MoreSelf-44/голубой</x:v>
      </x:c>
      <x:c r="C850" s="8" t="n">
        <x:f>'Данные'!G850</x:f>
        <x:v>177957</x:v>
      </x:c>
      <x:c r="D850" s="15" t="n">
        <x:f>C850/SUM($C$5:$C$2477)</x:f>
        <x:v>0.00020789357234142055</x:v>
      </x:c>
      <x:c r="E850" s="15" t="n">
        <x:f>SUM($D$5:D850)</x:f>
        <x:v>0.9420607224862003</x:v>
      </x:c>
      <x:c r="F850" s="1" t="str">
        <x:f>IF(C850&lt;=0,"C",IF(E850-D850&lt;'Дашборд'!$C$49,"A",IF(E850-D850&lt;'Дашборд'!$C$50,"B","C")))</x:f>
        <x:v>B</x:v>
      </x:c>
      <x:c r="G850" s="8" t="n">
        <x:f>'Данные'!F850</x:f>
        <x:v>163</x:v>
      </x:c>
      <x:c r="H850" s="8" t="n">
        <x:f>SUM('Данные'!H850:I850)</x:f>
        <x:v>20</x:v>
      </x:c>
      <x:c r="I850" s="16" t="n">
        <x:f>IF(H850&gt;0,G850/H850,"n.a.")</x:f>
        <x:v>8.15</x:v>
      </x:c>
      <x:c r="J850" s="10" t="n">
        <x:f>IF('Данные'!E850&gt;0,G850/'Данные'!E850,"n.a.")</x:f>
        <x:v>0.010866666666666667</x:v>
      </x:c>
      <x:c r="K850" s="1" t="str">
        <x:f>IF(G850&gt;='Дашборд'!$C$51,"X","Z")</x:f>
        <x:v>Z</x:v>
      </x:c>
      <x:c r="L850" s="1" t="str">
        <x:f>IF(H850=0,IF(G850&gt;0,"Нет остатка","Нет спроса"),IF(I850&gt;='Дашборд'!$C$52,"Быстрый","Медленный"))</x:f>
        <x:v>Быстрый</x:v>
      </x:c>
      <x:c r="M850" s="1" t="str">
        <x:f>IF('Данные'!E850&lt;'Дашборд'!$C$53,"Мало трафика",IF(J850&lt;'Дашборд'!$C$9*'Дашборд'!$C$54,"Да","Нет"))</x:f>
        <x:v>Нет</x:v>
      </x:c>
      <x:c r="N850" s="1" t="str">
        <x:f>IF(AND('Данные'!D850&gt;='Дашборд'!$C$55,D850&lt;'Дашборд'!$C$56,'Данные'!E850&gt;='Дашборд'!$C$53,'Данные'!L850&lt;&gt;"Да"),"Да","Нет")</x:f>
        <x:v>Нет</x:v>
      </x:c>
      <x:c r="O850" s="1" t="str">
        <x:f>'Данные'!L850</x:f>
        <x:v>Нет</x:v>
      </x:c>
    </x:row>
    <x:row r="851">
      <x:c r="A851" s="1" t="str">
        <x:f>'Данные'!A851</x:f>
        <x:v>288643271</x:v>
      </x:c>
      <x:c r="B851" s="1" t="str">
        <x:f>'Данные'!B851</x:f>
        <x:v>svitshotman/дымка</x:v>
      </x:c>
      <x:c r="C851" s="8" t="n">
        <x:f>'Данные'!G851</x:f>
        <x:v>177900</x:v>
      </x:c>
      <x:c r="D851" s="15" t="n">
        <x:f>C851/SUM($C$5:$C$2477)</x:f>
        <x:v>0.00020782698359456898</x:v>
      </x:c>
      <x:c r="E851" s="15" t="n">
        <x:f>SUM($D$5:D851)</x:f>
        <x:v>0.9422685494697949</x:v>
      </x:c>
      <x:c r="F851" s="1" t="str">
        <x:f>IF(C851&lt;=0,"C",IF(E851-D851&lt;'Дашборд'!$C$49,"A",IF(E851-D851&lt;'Дашборд'!$C$50,"B","C")))</x:f>
        <x:v>B</x:v>
      </x:c>
      <x:c r="G851" s="8" t="n">
        <x:f>'Данные'!F851</x:f>
        <x:v>200</x:v>
      </x:c>
      <x:c r="H851" s="8" t="n">
        <x:f>SUM('Данные'!H851:I851)</x:f>
        <x:v>149</x:v>
      </x:c>
      <x:c r="I851" s="16" t="n">
        <x:f>IF(H851&gt;0,G851/H851,"n.a.")</x:f>
        <x:v>1.342281879194631</x:v>
      </x:c>
      <x:c r="J851" s="10" t="n">
        <x:f>IF('Данные'!E851&gt;0,G851/'Данные'!E851,"n.a.")</x:f>
        <x:v>0.014628437682855471</x:v>
      </x:c>
      <x:c r="K851" s="1" t="str">
        <x:f>IF(G851&gt;='Дашборд'!$C$51,"X","Z")</x:f>
        <x:v>Z</x:v>
      </x:c>
      <x:c r="L851" s="1" t="str">
        <x:f>IF(H851=0,IF(G851&gt;0,"Нет остатка","Нет спроса"),IF(I851&gt;='Дашборд'!$C$52,"Быстрый","Медленный"))</x:f>
        <x:v>Быстрый</x:v>
      </x:c>
      <x:c r="M851" s="1" t="str">
        <x:f>IF('Данные'!E851&lt;'Дашборд'!$C$53,"Мало трафика",IF(J851&lt;'Дашборд'!$C$9*'Дашборд'!$C$54,"Да","Нет"))</x:f>
        <x:v>Нет</x:v>
      </x:c>
      <x:c r="N851" s="1" t="str">
        <x:f>IF(AND('Данные'!D851&gt;='Дашборд'!$C$55,D851&lt;'Дашборд'!$C$56,'Данные'!E851&gt;='Дашборд'!$C$53,'Данные'!L851&lt;&gt;"Да"),"Да","Нет")</x:f>
        <x:v>Да</x:v>
      </x:c>
      <x:c r="O851" s="1" t="str">
        <x:f>'Данные'!L851</x:f>
        <x:v>Нет</x:v>
      </x:c>
    </x:row>
    <x:row r="852">
      <x:c r="A852" s="1" t="str">
        <x:f>'Данные'!A852</x:f>
        <x:v>19346569</x:v>
      </x:c>
      <x:c r="B852" s="1" t="str">
        <x:f>'Данные'!B852</x:f>
        <x:v>kostyum/графит</x:v>
      </x:c>
      <x:c r="C852" s="8" t="n">
        <x:f>'Данные'!G852</x:f>
        <x:v>177351</x:v>
      </x:c>
      <x:c r="D852" s="15" t="n">
        <x:f>C852/SUM($C$5:$C$2477)</x:f>
        <x:v>0.00020718562882226198</x:v>
      </x:c>
      <x:c r="E852" s="15" t="n">
        <x:f>SUM($D$5:D852)</x:f>
        <x:v>0.9424757350986172</x:v>
      </x:c>
      <x:c r="F852" s="1" t="str">
        <x:f>IF(C852&lt;=0,"C",IF(E852-D852&lt;'Дашборд'!$C$49,"A",IF(E852-D852&lt;'Дашборд'!$C$50,"B","C")))</x:f>
        <x:v>B</x:v>
      </x:c>
      <x:c r="G852" s="8" t="n">
        <x:f>'Данные'!F852</x:f>
        <x:v>121</x:v>
      </x:c>
      <x:c r="H852" s="8" t="n">
        <x:f>SUM('Данные'!H852:I852)</x:f>
        <x:v>198</x:v>
      </x:c>
      <x:c r="I852" s="16" t="n">
        <x:f>IF(H852&gt;0,G852/H852,"n.a.")</x:f>
        <x:v>0.6111111111111112</x:v>
      </x:c>
      <x:c r="J852" s="10" t="n">
        <x:f>IF('Данные'!E852&gt;0,G852/'Данные'!E852,"n.a.")</x:f>
        <x:v>0.0055698766341373595</x:v>
      </x:c>
      <x:c r="K852" s="1" t="str">
        <x:f>IF(G852&gt;='Дашборд'!$C$51,"X","Z")</x:f>
        <x:v>Z</x:v>
      </x:c>
      <x:c r="L852" s="1" t="str">
        <x:f>IF(H852=0,IF(G852&gt;0,"Нет остатка","Нет спроса"),IF(I852&gt;='Дашборд'!$C$52,"Быстрый","Медленный"))</x:f>
        <x:v>Медленный</x:v>
      </x:c>
      <x:c r="M852" s="1" t="str">
        <x:f>IF('Данные'!E852&lt;'Дашборд'!$C$53,"Мало трафика",IF(J852&lt;'Дашборд'!$C$9*'Дашборд'!$C$54,"Да","Нет"))</x:f>
        <x:v>Да</x:v>
      </x:c>
      <x:c r="N852" s="1" t="str">
        <x:f>IF(AND('Данные'!D852&gt;='Дашборд'!$C$55,D852&lt;'Дашборд'!$C$56,'Данные'!E852&gt;='Дашборд'!$C$53,'Данные'!L852&lt;&gt;"Да"),"Да","Нет")</x:f>
        <x:v>Нет</x:v>
      </x:c>
      <x:c r="O852" s="1" t="str">
        <x:f>'Данные'!L852</x:f>
        <x:v>Нет</x:v>
      </x:c>
    </x:row>
    <x:row r="853">
      <x:c r="A853" s="1" t="str">
        <x:f>'Данные'!A853</x:f>
        <x:v>87046418</x:v>
      </x:c>
      <x:c r="B853" s="1" t="str">
        <x:f>'Данные'!B853</x:f>
        <x:v>kroptop/салатовый</x:v>
      </x:c>
      <x:c r="C853" s="8" t="n">
        <x:f>'Данные'!G853</x:f>
        <x:v>177209</x:v>
      </x:c>
      <x:c r="D853" s="15" t="n">
        <x:f>C853/SUM($C$5:$C$2477)</x:f>
        <x:v>0.0002070197410669476</x:v>
      </x:c>
      <x:c r="E853" s="15" t="n">
        <x:f>SUM($D$5:D853)</x:f>
        <x:v>0.9426827548396841</x:v>
      </x:c>
      <x:c r="F853" s="1" t="str">
        <x:f>IF(C853&lt;=0,"C",IF(E853-D853&lt;'Дашборд'!$C$49,"A",IF(E853-D853&lt;'Дашборд'!$C$50,"B","C")))</x:f>
        <x:v>B</x:v>
      </x:c>
      <x:c r="G853" s="8" t="n">
        <x:f>'Данные'!F853</x:f>
        <x:v>418</x:v>
      </x:c>
      <x:c r="H853" s="8" t="n">
        <x:f>SUM('Данные'!H853:I853)</x:f>
        <x:v>172</x:v>
      </x:c>
      <x:c r="I853" s="16" t="n">
        <x:f>IF(H853&gt;0,G853/H853,"n.a.")</x:f>
        <x:v>2.4302325581395348</x:v>
      </x:c>
      <x:c r="J853" s="10" t="n">
        <x:f>IF('Данные'!E853&gt;0,G853/'Данные'!E853,"n.a.")</x:f>
        <x:v>0.027379314862120915</x:v>
      </x:c>
      <x:c r="K853" s="1" t="str">
        <x:f>IF(G853&gt;='Дашборд'!$C$51,"X","Z")</x:f>
        <x:v>X</x:v>
      </x:c>
      <x:c r="L853" s="1" t="str">
        <x:f>IF(H853=0,IF(G853&gt;0,"Нет остатка","Нет спроса"),IF(I853&gt;='Дашборд'!$C$52,"Быстрый","Медленный"))</x:f>
        <x:v>Быстрый</x:v>
      </x:c>
      <x:c r="M853" s="1" t="str">
        <x:f>IF('Данные'!E853&lt;'Дашборд'!$C$53,"Мало трафика",IF(J853&lt;'Дашборд'!$C$9*'Дашборд'!$C$54,"Да","Нет"))</x:f>
        <x:v>Нет</x:v>
      </x:c>
      <x:c r="N853" s="1" t="str">
        <x:f>IF(AND('Данные'!D853&gt;='Дашборд'!$C$55,D853&lt;'Дашборд'!$C$56,'Данные'!E853&gt;='Дашборд'!$C$53,'Данные'!L853&lt;&gt;"Да"),"Да","Нет")</x:f>
        <x:v>Да</x:v>
      </x:c>
      <x:c r="O853" s="1" t="str">
        <x:f>'Данные'!L853</x:f>
        <x:v>Нет</x:v>
      </x:c>
    </x:row>
    <x:row r="854">
      <x:c r="A854" s="1" t="str">
        <x:f>'Данные'!A854</x:f>
        <x:v>183791697</x:v>
      </x:c>
      <x:c r="B854" s="1" t="str">
        <x:f>'Данные'!B854</x:f>
        <x:v>hudiprint/MEDUZA-17/черный</x:v>
      </x:c>
      <x:c r="C854" s="8" t="n">
        <x:f>'Данные'!G854</x:f>
        <x:v>177153</x:v>
      </x:c>
      <x:c r="D854" s="15" t="n">
        <x:f>C854/SUM($C$5:$C$2477)</x:f>
        <x:v>0.00020695432054372502</x:v>
      </x:c>
      <x:c r="E854" s="15" t="n">
        <x:f>SUM($D$5:D854)</x:f>
        <x:v>0.9428897091602279</x:v>
      </x:c>
      <x:c r="F854" s="1" t="str">
        <x:f>IF(C854&lt;=0,"C",IF(E854-D854&lt;'Дашборд'!$C$49,"A",IF(E854-D854&lt;'Дашборд'!$C$50,"B","C")))</x:f>
        <x:v>B</x:v>
      </x:c>
      <x:c r="G854" s="8" t="n">
        <x:f>'Данные'!F854</x:f>
        <x:v>129</x:v>
      </x:c>
      <x:c r="H854" s="8" t="n">
        <x:f>SUM('Данные'!H854:I854)</x:f>
        <x:v>77</x:v>
      </x:c>
      <x:c r="I854" s="16" t="n">
        <x:f>IF(H854&gt;0,G854/H854,"n.a.")</x:f>
        <x:v>1.6753246753246753</x:v>
      </x:c>
      <x:c r="J854" s="10" t="n">
        <x:f>IF('Данные'!E854&gt;0,G854/'Данные'!E854,"n.a.")</x:f>
        <x:v>0.006134094151212553</x:v>
      </x:c>
      <x:c r="K854" s="1" t="str">
        <x:f>IF(G854&gt;='Дашборд'!$C$51,"X","Z")</x:f>
        <x:v>Z</x:v>
      </x:c>
      <x:c r="L854" s="1" t="str">
        <x:f>IF(H854=0,IF(G854&gt;0,"Нет остатка","Нет спроса"),IF(I854&gt;='Дашборд'!$C$52,"Быстрый","Медленный"))</x:f>
        <x:v>Быстрый</x:v>
      </x:c>
      <x:c r="M854" s="1" t="str">
        <x:f>IF('Данные'!E854&lt;'Дашборд'!$C$53,"Мало трафика",IF(J854&lt;'Дашборд'!$C$9*'Дашборд'!$C$54,"Да","Нет"))</x:f>
        <x:v>Да</x:v>
      </x:c>
      <x:c r="N854" s="1" t="str">
        <x:f>IF(AND('Данные'!D854&gt;='Дашборд'!$C$55,D854&lt;'Дашборд'!$C$56,'Данные'!E854&gt;='Дашборд'!$C$53,'Данные'!L854&lt;&gt;"Да"),"Да","Нет")</x:f>
        <x:v>Нет</x:v>
      </x:c>
      <x:c r="O854" s="1" t="str">
        <x:f>'Данные'!L854</x:f>
        <x:v>Нет</x:v>
      </x:c>
    </x:row>
    <x:row r="855">
      <x:c r="A855" s="1" t="str">
        <x:f>'Данные'!A855</x:f>
        <x:v>287286751</x:v>
      </x:c>
      <x:c r="B855" s="1" t="str">
        <x:f>'Данные'!B855</x:f>
        <x:v>2Nitkalongsliv3D-76/серый</x:v>
      </x:c>
      <x:c r="C855" s="8" t="n">
        <x:f>'Данные'!G855</x:f>
        <x:v>176843</x:v>
      </x:c>
      <x:c r="D855" s="15" t="n">
        <x:f>C855/SUM($C$5:$C$2477)</x:f>
        <x:v>0.00020659217121874292</x:v>
      </x:c>
      <x:c r="E855" s="15" t="n">
        <x:f>SUM($D$5:D855)</x:f>
        <x:v>0.9430963013314466</x:v>
      </x:c>
      <x:c r="F855" s="1" t="str">
        <x:f>IF(C855&lt;=0,"C",IF(E855-D855&lt;'Дашборд'!$C$49,"A",IF(E855-D855&lt;'Дашборд'!$C$50,"B","C")))</x:f>
        <x:v>B</x:v>
      </x:c>
      <x:c r="G855" s="8" t="n">
        <x:f>'Данные'!F855</x:f>
        <x:v>310</x:v>
      </x:c>
      <x:c r="H855" s="8" t="n">
        <x:f>SUM('Данные'!H855:I855)</x:f>
        <x:v>14</x:v>
      </x:c>
      <x:c r="I855" s="16" t="n">
        <x:f>IF(H855&gt;0,G855/H855,"n.a.")</x:f>
        <x:v>22.142857142857142</x:v>
      </x:c>
      <x:c r="J855" s="10" t="n">
        <x:f>IF('Данные'!E855&gt;0,G855/'Данные'!E855,"n.a.")</x:f>
        <x:v>0.027747941281775868</x:v>
      </x:c>
      <x:c r="K855" s="1" t="str">
        <x:f>IF(G855&gt;='Дашборд'!$C$51,"X","Z")</x:f>
        <x:v>X</x:v>
      </x:c>
      <x:c r="L855" s="1" t="str">
        <x:f>IF(H855=0,IF(G855&gt;0,"Нет остатка","Нет спроса"),IF(I855&gt;='Дашборд'!$C$52,"Быстрый","Медленный"))</x:f>
        <x:v>Быстрый</x:v>
      </x:c>
      <x:c r="M855" s="1" t="str">
        <x:f>IF('Данные'!E855&lt;'Дашборд'!$C$53,"Мало трафика",IF(J855&lt;'Дашборд'!$C$9*'Дашборд'!$C$54,"Да","Нет"))</x:f>
        <x:v>Нет</x:v>
      </x:c>
      <x:c r="N855" s="1" t="str">
        <x:f>IF(AND('Данные'!D855&gt;='Дашборд'!$C$55,D855&lt;'Дашборд'!$C$56,'Данные'!E855&gt;='Дашборд'!$C$53,'Данные'!L855&lt;&gt;"Да"),"Да","Нет")</x:f>
        <x:v>Нет</x:v>
      </x:c>
      <x:c r="O855" s="1" t="str">
        <x:f>'Данные'!L855</x:f>
        <x:v>Нет</x:v>
      </x:c>
    </x:row>
    <x:row r="856">
      <x:c r="A856" s="1" t="str">
        <x:f>'Данные'!A856</x:f>
        <x:v>209640745</x:v>
      </x:c>
      <x:c r="B856" s="1" t="str">
        <x:f>'Данные'!B856</x:f>
        <x:v>futbolkaprint/Anketa-62/молочный</x:v>
      </x:c>
      <x:c r="C856" s="8" t="n">
        <x:f>'Данные'!G856</x:f>
        <x:v>176107</x:v>
      </x:c>
      <x:c r="D856" s="15" t="n">
        <x:f>C856/SUM($C$5:$C$2477)</x:f>
        <x:v>0.00020573235862781766</x:v>
      </x:c>
      <x:c r="E856" s="15" t="n">
        <x:f>SUM($D$5:D856)</x:f>
        <x:v>0.9433020336900745</x:v>
      </x:c>
      <x:c r="F856" s="1" t="str">
        <x:f>IF(C856&lt;=0,"C",IF(E856-D856&lt;'Дашборд'!$C$49,"A",IF(E856-D856&lt;'Дашборд'!$C$50,"B","C")))</x:f>
        <x:v>B</x:v>
      </x:c>
      <x:c r="G856" s="8" t="n">
        <x:f>'Данные'!F856</x:f>
        <x:v>305</x:v>
      </x:c>
      <x:c r="H856" s="8" t="n">
        <x:f>SUM('Данные'!H856:I856)</x:f>
        <x:v>37</x:v>
      </x:c>
      <x:c r="I856" s="16" t="n">
        <x:f>IF(H856&gt;0,G856/H856,"n.a.")</x:f>
        <x:v>8.243243243243244</x:v>
      </x:c>
      <x:c r="J856" s="10" t="n">
        <x:f>IF('Данные'!E856&gt;0,G856/'Данные'!E856,"n.a.")</x:f>
        <x:v>0.0026156682818060974</x:v>
      </x:c>
      <x:c r="K856" s="1" t="str">
        <x:f>IF(G856&gt;='Дашборд'!$C$51,"X","Z")</x:f>
        <x:v>X</x:v>
      </x:c>
      <x:c r="L856" s="1" t="str">
        <x:f>IF(H856=0,IF(G856&gt;0,"Нет остатка","Нет спроса"),IF(I856&gt;='Дашборд'!$C$52,"Быстрый","Медленный"))</x:f>
        <x:v>Быстрый</x:v>
      </x:c>
      <x:c r="M856" s="1" t="str">
        <x:f>IF('Данные'!E856&lt;'Дашборд'!$C$53,"Мало трафика",IF(J856&lt;'Дашборд'!$C$9*'Дашборд'!$C$54,"Да","Нет"))</x:f>
        <x:v>Да</x:v>
      </x:c>
      <x:c r="N856" s="1" t="str">
        <x:f>IF(AND('Данные'!D856&gt;='Дашборд'!$C$55,D856&lt;'Дашборд'!$C$56,'Данные'!E856&gt;='Дашборд'!$C$53,'Данные'!L856&lt;&gt;"Да"),"Да","Нет")</x:f>
        <x:v>Нет</x:v>
      </x:c>
      <x:c r="O856" s="1" t="str">
        <x:f>'Данные'!L856</x:f>
        <x:v>Нет</x:v>
      </x:c>
    </x:row>
    <x:row r="857">
      <x:c r="A857" s="1" t="str">
        <x:f>'Данные'!A857</x:f>
        <x:v>249222956</x:v>
      </x:c>
      <x:c r="B857" s="1" t="str">
        <x:f>'Данные'!B857</x:f>
        <x:v>svitshotpolopetl3P-60/серый</x:v>
      </x:c>
      <x:c r="C857" s="8" t="n">
        <x:f>'Данные'!G857</x:f>
        <x:v>175933</x:v>
      </x:c>
      <x:c r="D857" s="15" t="n">
        <x:f>C857/SUM($C$5:$C$2477)</x:f>
        <x:v>0.00020552908771637608</x:v>
      </x:c>
      <x:c r="E857" s="15" t="n">
        <x:f>SUM($D$5:D857)</x:f>
        <x:v>0.9435075627777909</x:v>
      </x:c>
      <x:c r="F857" s="1" t="str">
        <x:f>IF(C857&lt;=0,"C",IF(E857-D857&lt;'Дашборд'!$C$49,"A",IF(E857-D857&lt;'Дашборд'!$C$50,"B","C")))</x:f>
        <x:v>B</x:v>
      </x:c>
      <x:c r="G857" s="8" t="n">
        <x:f>'Данные'!F857</x:f>
        <x:v>294</x:v>
      </x:c>
      <x:c r="H857" s="8" t="n">
        <x:f>SUM('Данные'!H857:I857)</x:f>
        <x:v>356</x:v>
      </x:c>
      <x:c r="I857" s="16" t="n">
        <x:f>IF(H857&gt;0,G857/H857,"n.a.")</x:f>
        <x:v>0.8258426966292135</x:v>
      </x:c>
      <x:c r="J857" s="10" t="n">
        <x:f>IF('Данные'!E857&gt;0,G857/'Данные'!E857,"n.a.")</x:f>
        <x:v>0.009124200856557631</x:v>
      </x:c>
      <x:c r="K857" s="1" t="str">
        <x:f>IF(G857&gt;='Дашборд'!$C$51,"X","Z")</x:f>
        <x:v>X</x:v>
      </x:c>
      <x:c r="L857" s="1" t="str">
        <x:f>IF(H857=0,IF(G857&gt;0,"Нет остатка","Нет спроса"),IF(I857&gt;='Дашборд'!$C$52,"Быстрый","Медленный"))</x:f>
        <x:v>Медленный</x:v>
      </x:c>
      <x:c r="M857" s="1" t="str">
        <x:f>IF('Данные'!E857&lt;'Дашборд'!$C$53,"Мало трафика",IF(J857&lt;'Дашборд'!$C$9*'Дашборд'!$C$54,"Да","Нет"))</x:f>
        <x:v>Да</x:v>
      </x:c>
      <x:c r="N857" s="1" t="str">
        <x:f>IF(AND('Данные'!D857&gt;='Дашборд'!$C$55,D857&lt;'Дашборд'!$C$56,'Данные'!E857&gt;='Дашборд'!$C$53,'Данные'!L857&lt;&gt;"Да"),"Да","Нет")</x:f>
        <x:v>Нет</x:v>
      </x:c>
      <x:c r="O857" s="1" t="str">
        <x:f>'Данные'!L857</x:f>
        <x:v>Нет</x:v>
      </x:c>
    </x:row>
    <x:row r="858">
      <x:c r="A858" s="1" t="str">
        <x:f>'Данные'!A858</x:f>
        <x:v>43410536</x:v>
      </x:c>
      <x:c r="B858" s="1" t="str">
        <x:f>'Данные'!B858</x:f>
        <x:v>longsliv/бордовый</x:v>
      </x:c>
      <x:c r="C858" s="8" t="n">
        <x:f>'Данные'!G858</x:f>
        <x:v>175912</x:v>
      </x:c>
      <x:c r="D858" s="15" t="n">
        <x:f>C858/SUM($C$5:$C$2477)</x:f>
        <x:v>0.00020550455502016762</x:v>
      </x:c>
      <x:c r="E858" s="15" t="n">
        <x:f>SUM($D$5:D858)</x:f>
        <x:v>0.9437130673328111</x:v>
      </x:c>
      <x:c r="F858" s="1" t="str">
        <x:f>IF(C858&lt;=0,"C",IF(E858-D858&lt;'Дашборд'!$C$49,"A",IF(E858-D858&lt;'Дашборд'!$C$50,"B","C")))</x:f>
        <x:v>B</x:v>
      </x:c>
      <x:c r="G858" s="8" t="n">
        <x:f>'Данные'!F858</x:f>
        <x:v>530</x:v>
      </x:c>
      <x:c r="H858" s="8" t="n">
        <x:f>SUM('Данные'!H858:I858)</x:f>
        <x:v>142</x:v>
      </x:c>
      <x:c r="I858" s="16" t="n">
        <x:f>IF(H858&gt;0,G858/H858,"n.a.")</x:f>
        <x:v>3.732394366197183</x:v>
      </x:c>
      <x:c r="J858" s="10" t="n">
        <x:f>IF('Данные'!E858&gt;0,G858/'Данные'!E858,"n.a.")</x:f>
        <x:v>0.024608812740864558</x:v>
      </x:c>
      <x:c r="K858" s="1" t="str">
        <x:f>IF(G858&gt;='Дашборд'!$C$51,"X","Z")</x:f>
        <x:v>X</x:v>
      </x:c>
      <x:c r="L858" s="1" t="str">
        <x:f>IF(H858=0,IF(G858&gt;0,"Нет остатка","Нет спроса"),IF(I858&gt;='Дашборд'!$C$52,"Быстрый","Медленный"))</x:f>
        <x:v>Быстрый</x:v>
      </x:c>
      <x:c r="M858" s="1" t="str">
        <x:f>IF('Данные'!E858&lt;'Дашборд'!$C$53,"Мало трафика",IF(J858&lt;'Дашборд'!$C$9*'Дашборд'!$C$54,"Да","Нет"))</x:f>
        <x:v>Нет</x:v>
      </x:c>
      <x:c r="N858" s="1" t="str">
        <x:f>IF(AND('Данные'!D858&gt;='Дашборд'!$C$55,D858&lt;'Дашборд'!$C$56,'Данные'!E858&gt;='Дашборд'!$C$53,'Данные'!L858&lt;&gt;"Да"),"Да","Нет")</x:f>
        <x:v>Да</x:v>
      </x:c>
      <x:c r="O858" s="1" t="str">
        <x:f>'Данные'!L858</x:f>
        <x:v>Нет</x:v>
      </x:c>
    </x:row>
    <x:row r="859">
      <x:c r="A859" s="1" t="str">
        <x:f>'Данные'!A859</x:f>
        <x:v>245583558</x:v>
      </x:c>
      <x:c r="B859" s="1" t="str">
        <x:f>'Данные'!B859</x:f>
        <x:v>hudiprint/NeedMoney-104/черный</x:v>
      </x:c>
      <x:c r="C859" s="8" t="n">
        <x:f>'Данные'!G859</x:f>
        <x:v>175655</x:v>
      </x:c>
      <x:c r="D859" s="15" t="n">
        <x:f>C859/SUM($C$5:$C$2477)</x:f>
        <x:v>0.00020520432154752118</x:v>
      </x:c>
      <x:c r="E859" s="15" t="n">
        <x:f>SUM($D$5:D859)</x:f>
        <x:v>0.9439182716543586</x:v>
      </x:c>
      <x:c r="F859" s="1" t="str">
        <x:f>IF(C859&lt;=0,"C",IF(E859-D859&lt;'Дашборд'!$C$49,"A",IF(E859-D859&lt;'Дашборд'!$C$50,"B","C")))</x:f>
        <x:v>B</x:v>
      </x:c>
      <x:c r="G859" s="8" t="n">
        <x:f>'Данные'!F859</x:f>
        <x:v>179</x:v>
      </x:c>
      <x:c r="H859" s="8" t="n">
        <x:f>SUM('Данные'!H859:I859)</x:f>
        <x:v>6</x:v>
      </x:c>
      <x:c r="I859" s="16" t="n">
        <x:f>IF(H859&gt;0,G859/H859,"n.a.")</x:f>
        <x:v>29.833333333333332</x:v>
      </x:c>
      <x:c r="J859" s="10" t="n">
        <x:f>IF('Данные'!E859&gt;0,G859/'Данные'!E859,"n.a.")</x:f>
        <x:v>0.01227204168380639</x:v>
      </x:c>
      <x:c r="K859" s="1" t="str">
        <x:f>IF(G859&gt;='Дашборд'!$C$51,"X","Z")</x:f>
        <x:v>Z</x:v>
      </x:c>
      <x:c r="L859" s="1" t="str">
        <x:f>IF(H859=0,IF(G859&gt;0,"Нет остатка","Нет спроса"),IF(I859&gt;='Дашборд'!$C$52,"Быстрый","Медленный"))</x:f>
        <x:v>Быстрый</x:v>
      </x:c>
      <x:c r="M859" s="1" t="str">
        <x:f>IF('Данные'!E859&lt;'Дашборд'!$C$53,"Мало трафика",IF(J859&lt;'Дашборд'!$C$9*'Дашборд'!$C$54,"Да","Нет"))</x:f>
        <x:v>Нет</x:v>
      </x:c>
      <x:c r="N859" s="1" t="str">
        <x:f>IF(AND('Данные'!D859&gt;='Дашборд'!$C$55,D859&lt;'Дашборд'!$C$56,'Данные'!E859&gt;='Дашборд'!$C$53,'Данные'!L859&lt;&gt;"Да"),"Да","Нет")</x:f>
        <x:v>Нет</x:v>
      </x:c>
      <x:c r="O859" s="1" t="str">
        <x:f>'Данные'!L859</x:f>
        <x:v>Нет</x:v>
      </x:c>
    </x:row>
    <x:row r="860">
      <x:c r="A860" s="1" t="str">
        <x:f>'Данные'!A860</x:f>
        <x:v>202409765</x:v>
      </x:c>
      <x:c r="B860" s="1" t="str">
        <x:f>'Данные'!B860</x:f>
        <x:v>hudimanprint/Brukman-42/песочный</x:v>
      </x:c>
      <x:c r="C860" s="8" t="n">
        <x:f>'Данные'!G860</x:f>
        <x:v>174419</x:v>
      </x:c>
      <x:c r="D860" s="15" t="n">
        <x:f>C860/SUM($C$5:$C$2477)</x:f>
        <x:v>0.00020376039714210866</x:v>
      </x:c>
      <x:c r="E860" s="15" t="n">
        <x:f>SUM($D$5:D860)</x:f>
        <x:v>0.9441220320515007</x:v>
      </x:c>
      <x:c r="F860" s="1" t="str">
        <x:f>IF(C860&lt;=0,"C",IF(E860-D860&lt;'Дашборд'!$C$49,"A",IF(E860-D860&lt;'Дашборд'!$C$50,"B","C")))</x:f>
        <x:v>B</x:v>
      </x:c>
      <x:c r="G860" s="8" t="n">
        <x:f>'Данные'!F860</x:f>
        <x:v>202</x:v>
      </x:c>
      <x:c r="H860" s="8" t="n">
        <x:f>SUM('Данные'!H860:I860)</x:f>
        <x:v>0</x:v>
      </x:c>
      <x:c r="I860" s="16" t="str">
        <x:f>IF(H860&gt;0,G860/H860,"n.a.")</x:f>
        <x:v>n.a.</x:v>
      </x:c>
      <x:c r="J860" s="10" t="n">
        <x:f>IF('Данные'!E860&gt;0,G860/'Данные'!E860,"n.a.")</x:f>
        <x:v>0.016043205464220476</x:v>
      </x:c>
      <x:c r="K860" s="1" t="str">
        <x:f>IF(G860&gt;='Дашборд'!$C$51,"X","Z")</x:f>
        <x:v>Z</x:v>
      </x:c>
      <x:c r="L860" s="1" t="str">
        <x:f>IF(H860=0,IF(G860&gt;0,"Нет остатка","Нет спроса"),IF(I860&gt;='Дашборд'!$C$52,"Быстрый","Медленный"))</x:f>
        <x:v>Нет остатка</x:v>
      </x:c>
      <x:c r="M860" s="1" t="str">
        <x:f>IF('Данные'!E860&lt;'Дашборд'!$C$53,"Мало трафика",IF(J860&lt;'Дашборд'!$C$9*'Дашборд'!$C$54,"Да","Нет"))</x:f>
        <x:v>Нет</x:v>
      </x:c>
      <x:c r="N860" s="1" t="str">
        <x:f>IF(AND('Данные'!D860&gt;='Дашборд'!$C$55,D860&lt;'Дашборд'!$C$56,'Данные'!E860&gt;='Дашборд'!$C$53,'Данные'!L860&lt;&gt;"Да"),"Да","Нет")</x:f>
        <x:v>Да</x:v>
      </x:c>
      <x:c r="O860" s="1" t="str">
        <x:f>'Данные'!L860</x:f>
        <x:v>Нет</x:v>
      </x:c>
    </x:row>
    <x:row r="861">
      <x:c r="A861" s="1" t="str">
        <x:f>'Данные'!A861</x:f>
        <x:v>246363017</x:v>
      </x:c>
      <x:c r="B861" s="1" t="str">
        <x:f>'Данные'!B861</x:f>
        <x:v>tolstovkazipcrop/синий</x:v>
      </x:c>
      <x:c r="C861" s="8" t="n">
        <x:f>'Данные'!G861</x:f>
        <x:v>173552</x:v>
      </x:c>
      <x:c r="D861" s="15" t="n">
        <x:f>C861/SUM($C$5:$C$2477)</x:f>
        <x:v>0.00020274754725578773</x:v>
      </x:c>
      <x:c r="E861" s="15" t="n">
        <x:f>SUM($D$5:D861)</x:f>
        <x:v>0.9443247795987565</x:v>
      </x:c>
      <x:c r="F861" s="1" t="str">
        <x:f>IF(C861&lt;=0,"C",IF(E861-D861&lt;'Дашборд'!$C$49,"A",IF(E861-D861&lt;'Дашборд'!$C$50,"B","C")))</x:f>
        <x:v>B</x:v>
      </x:c>
      <x:c r="G861" s="8" t="n">
        <x:f>'Данные'!F861</x:f>
        <x:v>163</x:v>
      </x:c>
      <x:c r="H861" s="8" t="n">
        <x:f>SUM('Данные'!H861:I861)</x:f>
        <x:v>2</x:v>
      </x:c>
      <x:c r="I861" s="16" t="n">
        <x:f>IF(H861&gt;0,G861/H861,"n.a.")</x:f>
        <x:v>81.5</x:v>
      </x:c>
      <x:c r="J861" s="10" t="n">
        <x:f>IF('Данные'!E861&gt;0,G861/'Данные'!E861,"n.a.")</x:f>
        <x:v>0.01074489123269611</x:v>
      </x:c>
      <x:c r="K861" s="1" t="str">
        <x:f>IF(G861&gt;='Дашборд'!$C$51,"X","Z")</x:f>
        <x:v>Z</x:v>
      </x:c>
      <x:c r="L861" s="1" t="str">
        <x:f>IF(H861=0,IF(G861&gt;0,"Нет остатка","Нет спроса"),IF(I861&gt;='Дашборд'!$C$52,"Быстрый","Медленный"))</x:f>
        <x:v>Быстрый</x:v>
      </x:c>
      <x:c r="M861" s="1" t="str">
        <x:f>IF('Данные'!E861&lt;'Дашборд'!$C$53,"Мало трафика",IF(J861&lt;'Дашборд'!$C$9*'Дашборд'!$C$54,"Да","Нет"))</x:f>
        <x:v>Нет</x:v>
      </x:c>
      <x:c r="N861" s="1" t="str">
        <x:f>IF(AND('Данные'!D861&gt;='Дашборд'!$C$55,D861&lt;'Дашборд'!$C$56,'Данные'!E861&gt;='Дашборд'!$C$53,'Данные'!L861&lt;&gt;"Да"),"Да","Нет")</x:f>
        <x:v>Да</x:v>
      </x:c>
      <x:c r="O861" s="1" t="str">
        <x:f>'Данные'!L861</x:f>
        <x:v>Нет</x:v>
      </x:c>
    </x:row>
    <x:row r="862">
      <x:c r="A862" s="1" t="str">
        <x:f>'Данные'!A862</x:f>
        <x:v>250810799</x:v>
      </x:c>
      <x:c r="B862" s="1" t="str">
        <x:f>'Данные'!B862</x:f>
        <x:v>hudimanprint/ModernCity-184/песочный</x:v>
      </x:c>
      <x:c r="C862" s="8" t="n">
        <x:f>'Данные'!G862</x:f>
        <x:v>172553</x:v>
      </x:c>
      <x:c r="D862" s="15" t="n">
        <x:f>C862/SUM($C$5:$C$2477)</x:f>
        <x:v>0.00020158049185044216</x:v>
      </x:c>
      <x:c r="E862" s="15" t="n">
        <x:f>SUM($D$5:D862)</x:f>
        <x:v>0.944526360090607</x:v>
      </x:c>
      <x:c r="F862" s="1" t="str">
        <x:f>IF(C862&lt;=0,"C",IF(E862-D862&lt;'Дашборд'!$C$49,"A",IF(E862-D862&lt;'Дашборд'!$C$50,"B","C")))</x:f>
        <x:v>B</x:v>
      </x:c>
      <x:c r="G862" s="8" t="n">
        <x:f>'Данные'!F862</x:f>
        <x:v>193</x:v>
      </x:c>
      <x:c r="H862" s="8" t="n">
        <x:f>SUM('Данные'!H862:I862)</x:f>
        <x:v>529</x:v>
      </x:c>
      <x:c r="I862" s="16" t="n">
        <x:f>IF(H862&gt;0,G862/H862,"n.a.")</x:f>
        <x:v>0.3648393194706994</x:v>
      </x:c>
      <x:c r="J862" s="10" t="n">
        <x:f>IF('Данные'!E862&gt;0,G862/'Данные'!E862,"n.a.")</x:f>
        <x:v>0.006158067706837689</x:v>
      </x:c>
      <x:c r="K862" s="1" t="str">
        <x:f>IF(G862&gt;='Дашборд'!$C$51,"X","Z")</x:f>
        <x:v>Z</x:v>
      </x:c>
      <x:c r="L862" s="1" t="str">
        <x:f>IF(H862=0,IF(G862&gt;0,"Нет остатка","Нет спроса"),IF(I862&gt;='Дашборд'!$C$52,"Быстрый","Медленный"))</x:f>
        <x:v>Медленный</x:v>
      </x:c>
      <x:c r="M862" s="1" t="str">
        <x:f>IF('Данные'!E862&lt;'Дашборд'!$C$53,"Мало трафика",IF(J862&lt;'Дашборд'!$C$9*'Дашборд'!$C$54,"Да","Нет"))</x:f>
        <x:v>Да</x:v>
      </x:c>
      <x:c r="N862" s="1" t="str">
        <x:f>IF(AND('Данные'!D862&gt;='Дашборд'!$C$55,D862&lt;'Дашборд'!$C$56,'Данные'!E862&gt;='Дашборд'!$C$53,'Данные'!L862&lt;&gt;"Да"),"Да","Нет")</x:f>
        <x:v>Нет</x:v>
      </x:c>
      <x:c r="O862" s="1" t="str">
        <x:f>'Данные'!L862</x:f>
        <x:v>Нет</x:v>
      </x:c>
    </x:row>
    <x:row r="863">
      <x:c r="A863" s="1" t="str">
        <x:f>'Данные'!A863</x:f>
        <x:v>234287030</x:v>
      </x:c>
      <x:c r="B863" s="1" t="str">
        <x:f>'Данные'!B863</x:f>
        <x:v>svitshotmanpetl/молочный</x:v>
      </x:c>
      <x:c r="C863" s="8" t="n">
        <x:f>'Данные'!G863</x:f>
        <x:v>172540</x:v>
      </x:c>
      <x:c r="D863" s="15" t="n">
        <x:f>C863/SUM($C$5:$C$2477)</x:f>
        <x:v>0.0002015653049432655</x:v>
      </x:c>
      <x:c r="E863" s="15" t="n">
        <x:f>SUM($D$5:D863)</x:f>
        <x:v>0.9447279253955503</x:v>
      </x:c>
      <x:c r="F863" s="1" t="str">
        <x:f>IF(C863&lt;=0,"C",IF(E863-D863&lt;'Дашборд'!$C$49,"A",IF(E863-D863&lt;'Дашборд'!$C$50,"B","C")))</x:f>
        <x:v>B</x:v>
      </x:c>
      <x:c r="G863" s="8" t="n">
        <x:f>'Данные'!F863</x:f>
        <x:v>181</x:v>
      </x:c>
      <x:c r="H863" s="8" t="n">
        <x:f>SUM('Данные'!H863:I863)</x:f>
        <x:v>3</x:v>
      </x:c>
      <x:c r="I863" s="16" t="n">
        <x:f>IF(H863&gt;0,G863/H863,"n.a.")</x:f>
        <x:v>60.333333333333336</x:v>
      </x:c>
      <x:c r="J863" s="10" t="n">
        <x:f>IF('Данные'!E863&gt;0,G863/'Данные'!E863,"n.a.")</x:f>
        <x:v>0.014499719618681406</x:v>
      </x:c>
      <x:c r="K863" s="1" t="str">
        <x:f>IF(G863&gt;='Дашборд'!$C$51,"X","Z")</x:f>
        <x:v>Z</x:v>
      </x:c>
      <x:c r="L863" s="1" t="str">
        <x:f>IF(H863=0,IF(G863&gt;0,"Нет остатка","Нет спроса"),IF(I863&gt;='Дашборд'!$C$52,"Быстрый","Медленный"))</x:f>
        <x:v>Быстрый</x:v>
      </x:c>
      <x:c r="M863" s="1" t="str">
        <x:f>IF('Данные'!E863&lt;'Дашборд'!$C$53,"Мало трафика",IF(J863&lt;'Дашборд'!$C$9*'Дашборд'!$C$54,"Да","Нет"))</x:f>
        <x:v>Нет</x:v>
      </x:c>
      <x:c r="N863" s="1" t="str">
        <x:f>IF(AND('Данные'!D863&gt;='Дашборд'!$C$55,D863&lt;'Дашборд'!$C$56,'Данные'!E863&gt;='Дашборд'!$C$53,'Данные'!L863&lt;&gt;"Да"),"Да","Нет")</x:f>
        <x:v>Нет</x:v>
      </x:c>
      <x:c r="O863" s="1" t="str">
        <x:f>'Данные'!L863</x:f>
        <x:v>Нет</x:v>
      </x:c>
    </x:row>
    <x:row r="864">
      <x:c r="A864" s="1" t="str">
        <x:f>'Данные'!A864</x:f>
        <x:v>256332777</x:v>
      </x:c>
      <x:c r="B864" s="1" t="str">
        <x:f>'Данные'!B864</x:f>
        <x:v>futhlopman/темно-серый</x:v>
      </x:c>
      <x:c r="C864" s="8" t="n">
        <x:f>'Данные'!G864</x:f>
        <x:v>172442</x:v>
      </x:c>
      <x:c r="D864" s="15" t="n">
        <x:f>C864/SUM($C$5:$C$2477)</x:f>
        <x:v>0.000201450819027626</x:v>
      </x:c>
      <x:c r="E864" s="15" t="n">
        <x:f>SUM($D$5:D864)</x:f>
        <x:v>0.944929376214578</x:v>
      </x:c>
      <x:c r="F864" s="1" t="str">
        <x:f>IF(C864&lt;=0,"C",IF(E864-D864&lt;'Дашборд'!$C$49,"A",IF(E864-D864&lt;'Дашборд'!$C$50,"B","C")))</x:f>
        <x:v>B</x:v>
      </x:c>
      <x:c r="G864" s="8" t="n">
        <x:f>'Данные'!F864</x:f>
        <x:v>412</x:v>
      </x:c>
      <x:c r="H864" s="8" t="n">
        <x:f>SUM('Данные'!H864:I864)</x:f>
        <x:v>90</x:v>
      </x:c>
      <x:c r="I864" s="16" t="n">
        <x:f>IF(H864&gt;0,G864/H864,"n.a.")</x:f>
        <x:v>4.5777777777777775</x:v>
      </x:c>
      <x:c r="J864" s="10" t="n">
        <x:f>IF('Данные'!E864&gt;0,G864/'Данные'!E864,"n.a.")</x:f>
        <x:v>0.02176669484361792</x:v>
      </x:c>
      <x:c r="K864" s="1" t="str">
        <x:f>IF(G864&gt;='Дашборд'!$C$51,"X","Z")</x:f>
        <x:v>X</x:v>
      </x:c>
      <x:c r="L864" s="1" t="str">
        <x:f>IF(H864=0,IF(G864&gt;0,"Нет остатка","Нет спроса"),IF(I864&gt;='Дашборд'!$C$52,"Быстрый","Медленный"))</x:f>
        <x:v>Быстрый</x:v>
      </x:c>
      <x:c r="M864" s="1" t="str">
        <x:f>IF('Данные'!E864&lt;'Дашборд'!$C$53,"Мало трафика",IF(J864&lt;'Дашборд'!$C$9*'Дашборд'!$C$54,"Да","Нет"))</x:f>
        <x:v>Нет</x:v>
      </x:c>
      <x:c r="N864" s="1" t="str">
        <x:f>IF(AND('Данные'!D864&gt;='Дашборд'!$C$55,D864&lt;'Дашборд'!$C$56,'Данные'!E864&gt;='Дашборд'!$C$53,'Данные'!L864&lt;&gt;"Да"),"Да","Нет")</x:f>
        <x:v>Нет</x:v>
      </x:c>
      <x:c r="O864" s="1" t="str">
        <x:f>'Данные'!L864</x:f>
        <x:v>Нет</x:v>
      </x:c>
    </x:row>
    <x:row r="865">
      <x:c r="A865" s="1" t="str">
        <x:f>'Данные'!A865</x:f>
        <x:v>52479844</x:v>
      </x:c>
      <x:c r="B865" s="1" t="str">
        <x:f>'Данные'!B865</x:f>
        <x:v>hudiman/изумрудно-зеленый</x:v>
      </x:c>
      <x:c r="C865" s="8" t="n">
        <x:f>'Данные'!G865</x:f>
        <x:v>172375</x:v>
      </x:c>
      <x:c r="D865" s="15" t="n">
        <x:f>C865/SUM($C$5:$C$2477)</x:f>
        <x:v>0.0002013725480444847</x:v>
      </x:c>
      <x:c r="E865" s="15" t="n">
        <x:f>SUM($D$5:D865)</x:f>
        <x:v>0.9451307487626225</x:v>
      </x:c>
      <x:c r="F865" s="1" t="str">
        <x:f>IF(C865&lt;=0,"C",IF(E865-D865&lt;'Дашборд'!$C$49,"A",IF(E865-D865&lt;'Дашборд'!$C$50,"B","C")))</x:f>
        <x:v>B</x:v>
      </x:c>
      <x:c r="G865" s="8" t="n">
        <x:f>'Данные'!F865</x:f>
        <x:v>153</x:v>
      </x:c>
      <x:c r="H865" s="8" t="n">
        <x:f>SUM('Данные'!H865:I865)</x:f>
        <x:v>54</x:v>
      </x:c>
      <x:c r="I865" s="16" t="n">
        <x:f>IF(H865&gt;0,G865/H865,"n.a.")</x:f>
        <x:v>2.8333333333333335</x:v>
      </x:c>
      <x:c r="J865" s="10" t="n">
        <x:f>IF('Данные'!E865&gt;0,G865/'Данные'!E865,"n.a.")</x:f>
        <x:v>0.02751303722352095</x:v>
      </x:c>
      <x:c r="K865" s="1" t="str">
        <x:f>IF(G865&gt;='Дашборд'!$C$51,"X","Z")</x:f>
        <x:v>Z</x:v>
      </x:c>
      <x:c r="L865" s="1" t="str">
        <x:f>IF(H865=0,IF(G865&gt;0,"Нет остатка","Нет спроса"),IF(I865&gt;='Дашборд'!$C$52,"Быстрый","Медленный"))</x:f>
        <x:v>Быстрый</x:v>
      </x:c>
      <x:c r="M865" s="1" t="str">
        <x:f>IF('Данные'!E865&lt;'Дашборд'!$C$53,"Мало трафика",IF(J865&lt;'Дашборд'!$C$9*'Дашборд'!$C$54,"Да","Нет"))</x:f>
        <x:v>Нет</x:v>
      </x:c>
      <x:c r="N865" s="1" t="str">
        <x:f>IF(AND('Данные'!D865&gt;='Дашборд'!$C$55,D865&lt;'Дашборд'!$C$56,'Данные'!E865&gt;='Дашборд'!$C$53,'Данные'!L865&lt;&gt;"Да"),"Да","Нет")</x:f>
        <x:v>Да</x:v>
      </x:c>
      <x:c r="O865" s="1" t="str">
        <x:f>'Данные'!L865</x:f>
        <x:v>Нет</x:v>
      </x:c>
    </x:row>
    <x:row r="866">
      <x:c r="A866" s="1" t="str">
        <x:f>'Данные'!A866</x:f>
        <x:v>256323226</x:v>
      </x:c>
      <x:c r="B866" s="1" t="str">
        <x:f>'Данные'!B866</x:f>
        <x:v>futhlopmanover/шалфей</x:v>
      </x:c>
      <x:c r="C866" s="8" t="n">
        <x:f>'Данные'!G866</x:f>
        <x:v>170690</x:v>
      </x:c>
      <x:c r="D866" s="15" t="n">
        <x:f>C866/SUM($C$5:$C$2477)</x:f>
        <x:v>0.00019940409122966264</x:v>
      </x:c>
      <x:c r="E866" s="15" t="n">
        <x:f>SUM($D$5:D866)</x:f>
        <x:v>0.9453301528538521</x:v>
      </x:c>
      <x:c r="F866" s="1" t="str">
        <x:f>IF(C866&lt;=0,"C",IF(E866-D866&lt;'Дашборд'!$C$49,"A",IF(E866-D866&lt;'Дашборд'!$C$50,"B","C")))</x:f>
        <x:v>B</x:v>
      </x:c>
      <x:c r="G866" s="8" t="n">
        <x:f>'Данные'!F866</x:f>
        <x:v>459</x:v>
      </x:c>
      <x:c r="H866" s="8" t="n">
        <x:f>SUM('Данные'!H866:I866)</x:f>
        <x:v>90</x:v>
      </x:c>
      <x:c r="I866" s="16" t="n">
        <x:f>IF(H866&gt;0,G866/H866,"n.a.")</x:f>
        <x:v>5.1</x:v>
      </x:c>
      <x:c r="J866" s="10" t="n">
        <x:f>IF('Данные'!E866&gt;0,G866/'Данные'!E866,"n.a.")</x:f>
        <x:v>0.01887102742260412</x:v>
      </x:c>
      <x:c r="K866" s="1" t="str">
        <x:f>IF(G866&gt;='Дашборд'!$C$51,"X","Z")</x:f>
        <x:v>X</x:v>
      </x:c>
      <x:c r="L866" s="1" t="str">
        <x:f>IF(H866=0,IF(G866&gt;0,"Нет остатка","Нет спроса"),IF(I866&gt;='Дашборд'!$C$52,"Быстрый","Медленный"))</x:f>
        <x:v>Быстрый</x:v>
      </x:c>
      <x:c r="M866" s="1" t="str">
        <x:f>IF('Данные'!E866&lt;'Дашборд'!$C$53,"Мало трафика",IF(J866&lt;'Дашборд'!$C$9*'Дашборд'!$C$54,"Да","Нет"))</x:f>
        <x:v>Нет</x:v>
      </x:c>
      <x:c r="N866" s="1" t="str">
        <x:f>IF(AND('Данные'!D866&gt;='Дашборд'!$C$55,D866&lt;'Дашборд'!$C$56,'Данные'!E866&gt;='Дашборд'!$C$53,'Данные'!L866&lt;&gt;"Да"),"Да","Нет")</x:f>
        <x:v>Нет</x:v>
      </x:c>
      <x:c r="O866" s="1" t="str">
        <x:f>'Данные'!L866</x:f>
        <x:v>Нет</x:v>
      </x:c>
    </x:row>
    <x:row r="867">
      <x:c r="A867" s="1" t="str">
        <x:f>'Данные'!A867</x:f>
        <x:v>209919694</x:v>
      </x:c>
      <x:c r="B867" s="1" t="str">
        <x:f>'Данные'!B867</x:f>
        <x:v>longsvobod/черный</x:v>
      </x:c>
      <x:c r="C867" s="8" t="n">
        <x:f>'Данные'!G867</x:f>
        <x:v>170668</x:v>
      </x:c>
      <x:c r="D867" s="15" t="n">
        <x:f>C867/SUM($C$5:$C$2477)</x:f>
        <x:v>0.00019937839030982518</x:v>
      </x:c>
      <x:c r="E867" s="15" t="n">
        <x:f>SUM($D$5:D867)</x:f>
        <x:v>0.945529531244162</x:v>
      </x:c>
      <x:c r="F867" s="1" t="str">
        <x:f>IF(C867&lt;=0,"C",IF(E867-D867&lt;'Дашборд'!$C$49,"A",IF(E867-D867&lt;'Дашборд'!$C$50,"B","C")))</x:f>
        <x:v>B</x:v>
      </x:c>
      <x:c r="G867" s="8" t="n">
        <x:f>'Данные'!F867</x:f>
        <x:v>345</x:v>
      </x:c>
      <x:c r="H867" s="8" t="n">
        <x:f>SUM('Данные'!H867:I867)</x:f>
        <x:v>87</x:v>
      </x:c>
      <x:c r="I867" s="16" t="n">
        <x:f>IF(H867&gt;0,G867/H867,"n.a.")</x:f>
        <x:v>3.9655172413793105</x:v>
      </x:c>
      <x:c r="J867" s="10" t="n">
        <x:f>IF('Данные'!E867&gt;0,G867/'Данные'!E867,"n.a.")</x:f>
        <x:v>0.019671570304481696</x:v>
      </x:c>
      <x:c r="K867" s="1" t="str">
        <x:f>IF(G867&gt;='Дашборд'!$C$51,"X","Z")</x:f>
        <x:v>X</x:v>
      </x:c>
      <x:c r="L867" s="1" t="str">
        <x:f>IF(H867=0,IF(G867&gt;0,"Нет остатка","Нет спроса"),IF(I867&gt;='Дашборд'!$C$52,"Быстрый","Медленный"))</x:f>
        <x:v>Быстрый</x:v>
      </x:c>
      <x:c r="M867" s="1" t="str">
        <x:f>IF('Данные'!E867&lt;'Дашборд'!$C$53,"Мало трафика",IF(J867&lt;'Дашборд'!$C$9*'Дашборд'!$C$54,"Да","Нет"))</x:f>
        <x:v>Нет</x:v>
      </x:c>
      <x:c r="N867" s="1" t="str">
        <x:f>IF(AND('Данные'!D867&gt;='Дашборд'!$C$55,D867&lt;'Дашборд'!$C$56,'Данные'!E867&gt;='Дашборд'!$C$53,'Данные'!L867&lt;&gt;"Да"),"Да","Нет")</x:f>
        <x:v>Нет</x:v>
      </x:c>
      <x:c r="O867" s="1" t="str">
        <x:f>'Данные'!L867</x:f>
        <x:v>Нет</x:v>
      </x:c>
    </x:row>
    <x:row r="868">
      <x:c r="A868" s="1" t="str">
        <x:f>'Данные'!A868</x:f>
        <x:v>26436307</x:v>
      </x:c>
      <x:c r="B868" s="1" t="str">
        <x:f>'Данные'!B868</x:f>
        <x:v>hudiman/бежевый</x:v>
      </x:c>
      <x:c r="C868" s="8" t="n">
        <x:f>'Данные'!G868</x:f>
        <x:v>170610</x:v>
      </x:c>
      <x:c r="D868" s="15" t="n">
        <x:f>C868/SUM($C$5:$C$2477)</x:f>
        <x:v>0.00019931063333934466</x:v>
      </x:c>
      <x:c r="E868" s="15" t="n">
        <x:f>SUM($D$5:D868)</x:f>
        <x:v>0.9457288418775013</x:v>
      </x:c>
      <x:c r="F868" s="1" t="str">
        <x:f>IF(C868&lt;=0,"C",IF(E868-D868&lt;'Дашборд'!$C$49,"A",IF(E868-D868&lt;'Дашборд'!$C$50,"B","C")))</x:f>
        <x:v>B</x:v>
      </x:c>
      <x:c r="G868" s="8" t="n">
        <x:f>'Данные'!F868</x:f>
        <x:v>202</x:v>
      </x:c>
      <x:c r="H868" s="8" t="n">
        <x:f>SUM('Данные'!H868:I868)</x:f>
        <x:v>345</x:v>
      </x:c>
      <x:c r="I868" s="16" t="n">
        <x:f>IF(H868&gt;0,G868/H868,"n.a.")</x:f>
        <x:v>0.5855072463768116</x:v>
      </x:c>
      <x:c r="J868" s="10" t="n">
        <x:f>IF('Данные'!E868&gt;0,G868/'Данные'!E868,"n.a.")</x:f>
        <x:v>0.019690028267862366</x:v>
      </x:c>
      <x:c r="K868" s="1" t="str">
        <x:f>IF(G868&gt;='Дашборд'!$C$51,"X","Z")</x:f>
        <x:v>Z</x:v>
      </x:c>
      <x:c r="L868" s="1" t="str">
        <x:f>IF(H868=0,IF(G868&gt;0,"Нет остатка","Нет спроса"),IF(I868&gt;='Дашборд'!$C$52,"Быстрый","Медленный"))</x:f>
        <x:v>Медленный</x:v>
      </x:c>
      <x:c r="M868" s="1" t="str">
        <x:f>IF('Данные'!E868&lt;'Дашборд'!$C$53,"Мало трафика",IF(J868&lt;'Дашборд'!$C$9*'Дашборд'!$C$54,"Да","Нет"))</x:f>
        <x:v>Нет</x:v>
      </x:c>
      <x:c r="N868" s="1" t="str">
        <x:f>IF(AND('Данные'!D868&gt;='Дашборд'!$C$55,D868&lt;'Дашборд'!$C$56,'Данные'!E868&gt;='Дашборд'!$C$53,'Данные'!L868&lt;&gt;"Да"),"Да","Нет")</x:f>
        <x:v>Да</x:v>
      </x:c>
      <x:c r="O868" s="1" t="str">
        <x:f>'Данные'!L868</x:f>
        <x:v>Нет</x:v>
      </x:c>
    </x:row>
    <x:row r="869">
      <x:c r="A869" s="1" t="str">
        <x:f>'Данные'!A869</x:f>
        <x:v>51576905</x:v>
      </x:c>
      <x:c r="B869" s="1" t="str">
        <x:f>'Данные'!B869</x:f>
        <x:v>brukiman/коричневый</x:v>
      </x:c>
      <x:c r="C869" s="8" t="n">
        <x:f>'Данные'!G869</x:f>
        <x:v>170257</x:v>
      </x:c>
      <x:c r="D869" s="15" t="n">
        <x:f>C869/SUM($C$5:$C$2477)</x:f>
        <x:v>0.00019889825039831664</x:v>
      </x:c>
      <x:c r="E869" s="15" t="n">
        <x:f>SUM($D$5:D869)</x:f>
        <x:v>0.9459277401278996</x:v>
      </x:c>
      <x:c r="F869" s="1" t="str">
        <x:f>IF(C869&lt;=0,"C",IF(E869-D869&lt;'Дашборд'!$C$49,"A",IF(E869-D869&lt;'Дашборд'!$C$50,"B","C")))</x:f>
        <x:v>B</x:v>
      </x:c>
      <x:c r="G869" s="8" t="n">
        <x:f>'Данные'!F869</x:f>
        <x:v>227</x:v>
      </x:c>
      <x:c r="H869" s="8" t="n">
        <x:f>SUM('Данные'!H869:I869)</x:f>
        <x:v>170</x:v>
      </x:c>
      <x:c r="I869" s="16" t="n">
        <x:f>IF(H869&gt;0,G869/H869,"n.a.")</x:f>
        <x:v>1.3352941176470587</x:v>
      </x:c>
      <x:c r="J869" s="10" t="n">
        <x:f>IF('Данные'!E869&gt;0,G869/'Данные'!E869,"n.a.")</x:f>
        <x:v>0.02707861147560539</x:v>
      </x:c>
      <x:c r="K869" s="1" t="str">
        <x:f>IF(G869&gt;='Дашборд'!$C$51,"X","Z")</x:f>
        <x:v>Z</x:v>
      </x:c>
      <x:c r="L869" s="1" t="str">
        <x:f>IF(H869=0,IF(G869&gt;0,"Нет остатка","Нет спроса"),IF(I869&gt;='Дашборд'!$C$52,"Быстрый","Медленный"))</x:f>
        <x:v>Быстрый</x:v>
      </x:c>
      <x:c r="M869" s="1" t="str">
        <x:f>IF('Данные'!E869&lt;'Дашборд'!$C$53,"Мало трафика",IF(J869&lt;'Дашборд'!$C$9*'Дашборд'!$C$54,"Да","Нет"))</x:f>
        <x:v>Нет</x:v>
      </x:c>
      <x:c r="N869" s="1" t="str">
        <x:f>IF(AND('Данные'!D869&gt;='Дашборд'!$C$55,D869&lt;'Дашборд'!$C$56,'Данные'!E869&gt;='Дашборд'!$C$53,'Данные'!L869&lt;&gt;"Да"),"Да","Нет")</x:f>
        <x:v>Нет</x:v>
      </x:c>
      <x:c r="O869" s="1" t="str">
        <x:f>'Данные'!L869</x:f>
        <x:v>Нет</x:v>
      </x:c>
    </x:row>
    <x:row r="870">
      <x:c r="A870" s="1" t="str">
        <x:f>'Данные'!A870</x:f>
        <x:v>234287017</x:v>
      </x:c>
      <x:c r="B870" s="1" t="str">
        <x:f>'Данные'!B870</x:f>
        <x:v>svitshotpetl/серый</x:v>
      </x:c>
      <x:c r="C870" s="8" t="n">
        <x:f>'Данные'!G870</x:f>
        <x:v>169386</x:v>
      </x:c>
      <x:c r="D870" s="15" t="n">
        <x:f>C870/SUM($C$5:$C$2477)</x:f>
        <x:v>0.00019788072761747983</x:v>
      </x:c>
      <x:c r="E870" s="15" t="n">
        <x:f>SUM($D$5:D870)</x:f>
        <x:v>0.9461256208555171</x:v>
      </x:c>
      <x:c r="F870" s="1" t="str">
        <x:f>IF(C870&lt;=0,"C",IF(E870-D870&lt;'Дашборд'!$C$49,"A",IF(E870-D870&lt;'Дашборд'!$C$50,"B","C")))</x:f>
        <x:v>B</x:v>
      </x:c>
      <x:c r="G870" s="8" t="n">
        <x:f>'Данные'!F870</x:f>
        <x:v>268</x:v>
      </x:c>
      <x:c r="H870" s="8" t="n">
        <x:f>SUM('Данные'!H870:I870)</x:f>
        <x:v>77</x:v>
      </x:c>
      <x:c r="I870" s="16" t="n">
        <x:f>IF(H870&gt;0,G870/H870,"n.a.")</x:f>
        <x:v>3.4805194805194803</x:v>
      </x:c>
      <x:c r="J870" s="10" t="n">
        <x:f>IF('Данные'!E870&gt;0,G870/'Данные'!E870,"n.a.")</x:f>
        <x:v>0.013553150601800344</x:v>
      </x:c>
      <x:c r="K870" s="1" t="str">
        <x:f>IF(G870&gt;='Дашборд'!$C$51,"X","Z")</x:f>
        <x:v>Z</x:v>
      </x:c>
      <x:c r="L870" s="1" t="str">
        <x:f>IF(H870=0,IF(G870&gt;0,"Нет остатка","Нет спроса"),IF(I870&gt;='Дашборд'!$C$52,"Быстрый","Медленный"))</x:f>
        <x:v>Быстрый</x:v>
      </x:c>
      <x:c r="M870" s="1" t="str">
        <x:f>IF('Данные'!E870&lt;'Дашборд'!$C$53,"Мало трафика",IF(J870&lt;'Дашборд'!$C$9*'Дашборд'!$C$54,"Да","Нет"))</x:f>
        <x:v>Нет</x:v>
      </x:c>
      <x:c r="N870" s="1" t="str">
        <x:f>IF(AND('Данные'!D870&gt;='Дашборд'!$C$55,D870&lt;'Дашборд'!$C$56,'Данные'!E870&gt;='Дашборд'!$C$53,'Данные'!L870&lt;&gt;"Да"),"Да","Нет")</x:f>
        <x:v>Нет</x:v>
      </x:c>
      <x:c r="O870" s="1" t="str">
        <x:f>'Данные'!L870</x:f>
        <x:v>Нет</x:v>
      </x:c>
    </x:row>
    <x:row r="871">
      <x:c r="A871" s="1" t="str">
        <x:f>'Данные'!A871</x:f>
        <x:v>198090021</x:v>
      </x:c>
      <x:c r="B871" s="1" t="str">
        <x:f>'Данные'!B871</x:f>
        <x:v>brukiman/серыймеланж2</x:v>
      </x:c>
      <x:c r="C871" s="8" t="n">
        <x:f>'Данные'!G871</x:f>
        <x:v>169282</x:v>
      </x:c>
      <x:c r="D871" s="15" t="n">
        <x:f>C871/SUM($C$5:$C$2477)</x:f>
        <x:v>0.00019775923236006648</x:v>
      </x:c>
      <x:c r="E871" s="15" t="n">
        <x:f>SUM($D$5:D871)</x:f>
        <x:v>0.9463233800878772</x:v>
      </x:c>
      <x:c r="F871" s="1" t="str">
        <x:f>IF(C871&lt;=0,"C",IF(E871-D871&lt;'Дашборд'!$C$49,"A",IF(E871-D871&lt;'Дашборд'!$C$50,"B","C")))</x:f>
        <x:v>B</x:v>
      </x:c>
      <x:c r="G871" s="8" t="n">
        <x:f>'Данные'!F871</x:f>
        <x:v>364</x:v>
      </x:c>
      <x:c r="H871" s="8" t="n">
        <x:f>SUM('Данные'!H871:I871)</x:f>
        <x:v>90</x:v>
      </x:c>
      <x:c r="I871" s="16" t="n">
        <x:f>IF(H871&gt;0,G871/H871,"n.a.")</x:f>
        <x:v>4.044444444444444</x:v>
      </x:c>
      <x:c r="J871" s="10" t="n">
        <x:f>IF('Данные'!E871&gt;0,G871/'Данные'!E871,"n.a.")</x:f>
        <x:v>0.029041008456996968</x:v>
      </x:c>
      <x:c r="K871" s="1" t="str">
        <x:f>IF(G871&gt;='Дашборд'!$C$51,"X","Z")</x:f>
        <x:v>X</x:v>
      </x:c>
      <x:c r="L871" s="1" t="str">
        <x:f>IF(H871=0,IF(G871&gt;0,"Нет остатка","Нет спроса"),IF(I871&gt;='Дашборд'!$C$52,"Быстрый","Медленный"))</x:f>
        <x:v>Быстрый</x:v>
      </x:c>
      <x:c r="M871" s="1" t="str">
        <x:f>IF('Данные'!E871&lt;'Дашборд'!$C$53,"Мало трафика",IF(J871&lt;'Дашборд'!$C$9*'Дашборд'!$C$54,"Да","Нет"))</x:f>
        <x:v>Нет</x:v>
      </x:c>
      <x:c r="N871" s="1" t="str">
        <x:f>IF(AND('Данные'!D871&gt;='Дашборд'!$C$55,D871&lt;'Дашборд'!$C$56,'Данные'!E871&gt;='Дашборд'!$C$53,'Данные'!L871&lt;&gt;"Да"),"Да","Нет")</x:f>
        <x:v>Нет</x:v>
      </x:c>
      <x:c r="O871" s="1" t="str">
        <x:f>'Данные'!L871</x:f>
        <x:v>Нет</x:v>
      </x:c>
    </x:row>
    <x:row r="872">
      <x:c r="A872" s="1" t="str">
        <x:f>'Данные'!A872</x:f>
        <x:v>288641542</x:v>
      </x:c>
      <x:c r="B872" s="1" t="str">
        <x:f>'Данные'!B872</x:f>
        <x:v>svitshotover/дымка</x:v>
      </x:c>
      <x:c r="C872" s="8" t="n">
        <x:f>'Данные'!G872</x:f>
        <x:v>169080</x:v>
      </x:c>
      <x:c r="D872" s="15" t="n">
        <x:f>C872/SUM($C$5:$C$2477)</x:f>
        <x:v>0.00019752325118701364</x:v>
      </x:c>
      <x:c r="E872" s="15" t="n">
        <x:f>SUM($D$5:D872)</x:f>
        <x:v>0.9465209033390642</x:v>
      </x:c>
      <x:c r="F872" s="1" t="str">
        <x:f>IF(C872&lt;=0,"C",IF(E872-D872&lt;'Дашборд'!$C$49,"A",IF(E872-D872&lt;'Дашборд'!$C$50,"B","C")))</x:f>
        <x:v>B</x:v>
      </x:c>
      <x:c r="G872" s="8" t="n">
        <x:f>'Данные'!F872</x:f>
        <x:v>220</x:v>
      </x:c>
      <x:c r="H872" s="8" t="n">
        <x:f>SUM('Данные'!H872:I872)</x:f>
        <x:v>417</x:v>
      </x:c>
      <x:c r="I872" s="16" t="n">
        <x:f>IF(H872&gt;0,G872/H872,"n.a.")</x:f>
        <x:v>0.5275779376498801</x:v>
      </x:c>
      <x:c r="J872" s="10" t="n">
        <x:f>IF('Данные'!E872&gt;0,G872/'Данные'!E872,"n.a.")</x:f>
        <x:v>0.014937533948940793</x:v>
      </x:c>
      <x:c r="K872" s="1" t="str">
        <x:f>IF(G872&gt;='Дашборд'!$C$51,"X","Z")</x:f>
        <x:v>Z</x:v>
      </x:c>
      <x:c r="L872" s="1" t="str">
        <x:f>IF(H872=0,IF(G872&gt;0,"Нет остатка","Нет спроса"),IF(I872&gt;='Дашборд'!$C$52,"Быстрый","Медленный"))</x:f>
        <x:v>Медленный</x:v>
      </x:c>
      <x:c r="M872" s="1" t="str">
        <x:f>IF('Данные'!E872&lt;'Дашборд'!$C$53,"Мало трафика",IF(J872&lt;'Дашборд'!$C$9*'Дашборд'!$C$54,"Да","Нет"))</x:f>
        <x:v>Нет</x:v>
      </x:c>
      <x:c r="N872" s="1" t="str">
        <x:f>IF(AND('Данные'!D872&gt;='Дашборд'!$C$55,D872&lt;'Дашборд'!$C$56,'Данные'!E872&gt;='Дашборд'!$C$53,'Данные'!L872&lt;&gt;"Да"),"Да","Нет")</x:f>
        <x:v>Да</x:v>
      </x:c>
      <x:c r="O872" s="1" t="str">
        <x:f>'Данные'!L872</x:f>
        <x:v>Нет</x:v>
      </x:c>
    </x:row>
    <x:row r="873">
      <x:c r="A873" s="1" t="str">
        <x:f>'Данные'!A873</x:f>
        <x:v>210618393</x:v>
      </x:c>
      <x:c r="B873" s="1" t="str">
        <x:f>'Данные'!B873</x:f>
        <x:v>kostkulirkaover/черный</x:v>
      </x:c>
      <x:c r="C873" s="8" t="n">
        <x:f>'Данные'!G873</x:f>
        <x:v>168906</x:v>
      </x:c>
      <x:c r="D873" s="15" t="n">
        <x:f>C873/SUM($C$5:$C$2477)</x:f>
        <x:v>0.00019731998027557206</x:v>
      </x:c>
      <x:c r="E873" s="15" t="n">
        <x:f>SUM($D$5:D873)</x:f>
        <x:v>0.9467182233193399</x:v>
      </x:c>
      <x:c r="F873" s="1" t="str">
        <x:f>IF(C873&lt;=0,"C",IF(E873-D873&lt;'Дашборд'!$C$49,"A",IF(E873-D873&lt;'Дашборд'!$C$50,"B","C")))</x:f>
        <x:v>B</x:v>
      </x:c>
      <x:c r="G873" s="8" t="n">
        <x:f>'Данные'!F873</x:f>
        <x:v>223</x:v>
      </x:c>
      <x:c r="H873" s="8" t="n">
        <x:f>SUM('Данные'!H873:I873)</x:f>
        <x:v>487</x:v>
      </x:c>
      <x:c r="I873" s="16" t="n">
        <x:f>IF(H873&gt;0,G873/H873,"n.a.")</x:f>
        <x:v>0.45790554414784396</x:v>
      </x:c>
      <x:c r="J873" s="10" t="n">
        <x:f>IF('Данные'!E873&gt;0,G873/'Данные'!E873,"n.a.")</x:f>
        <x:v>0.010672409667384542</x:v>
      </x:c>
      <x:c r="K873" s="1" t="str">
        <x:f>IF(G873&gt;='Дашборд'!$C$51,"X","Z")</x:f>
        <x:v>Z</x:v>
      </x:c>
      <x:c r="L873" s="1" t="str">
        <x:f>IF(H873=0,IF(G873&gt;0,"Нет остатка","Нет спроса"),IF(I873&gt;='Дашборд'!$C$52,"Быстрый","Медленный"))</x:f>
        <x:v>Медленный</x:v>
      </x:c>
      <x:c r="M873" s="1" t="str">
        <x:f>IF('Данные'!E873&lt;'Дашборд'!$C$53,"Мало трафика",IF(J873&lt;'Дашборд'!$C$9*'Дашборд'!$C$54,"Да","Нет"))</x:f>
        <x:v>Нет</x:v>
      </x:c>
      <x:c r="N873" s="1" t="str">
        <x:f>IF(AND('Данные'!D873&gt;='Дашборд'!$C$55,D873&lt;'Дашборд'!$C$56,'Данные'!E873&gt;='Дашборд'!$C$53,'Данные'!L873&lt;&gt;"Да"),"Да","Нет")</x:f>
        <x:v>Нет</x:v>
      </x:c>
      <x:c r="O873" s="1" t="str">
        <x:f>'Данные'!L873</x:f>
        <x:v>Нет</x:v>
      </x:c>
    </x:row>
    <x:row r="874">
      <x:c r="A874" s="1" t="str">
        <x:f>'Данные'!A874</x:f>
        <x:v>234269968</x:v>
      </x:c>
      <x:c r="B874" s="1" t="str">
        <x:f>'Данные'!B874</x:f>
        <x:v>svitshotpetl/черный</x:v>
      </x:c>
      <x:c r="C874" s="8" t="n">
        <x:f>'Данные'!G874</x:f>
        <x:v>168802</x:v>
      </x:c>
      <x:c r="D874" s="15" t="n">
        <x:f>C874/SUM($C$5:$C$2477)</x:f>
        <x:v>0.0001971984850181587</x:v>
      </x:c>
      <x:c r="E874" s="15" t="n">
        <x:f>SUM($D$5:D874)</x:f>
        <x:v>0.9469154218043581</x:v>
      </x:c>
      <x:c r="F874" s="1" t="str">
        <x:f>IF(C874&lt;=0,"C",IF(E874-D874&lt;'Дашборд'!$C$49,"A",IF(E874-D874&lt;'Дашборд'!$C$50,"B","C")))</x:f>
        <x:v>B</x:v>
      </x:c>
      <x:c r="G874" s="8" t="n">
        <x:f>'Данные'!F874</x:f>
        <x:v>258</x:v>
      </x:c>
      <x:c r="H874" s="8" t="n">
        <x:f>SUM('Данные'!H874:I874)</x:f>
        <x:v>52</x:v>
      </x:c>
      <x:c r="I874" s="16" t="n">
        <x:f>IF(H874&gt;0,G874/H874,"n.a.")</x:f>
        <x:v>4.961538461538462</x:v>
      </x:c>
      <x:c r="J874" s="10" t="n">
        <x:f>IF('Данные'!E874&gt;0,G874/'Данные'!E874,"n.a.")</x:f>
        <x:v>0.009264246472045675</x:v>
      </x:c>
      <x:c r="K874" s="1" t="str">
        <x:f>IF(G874&gt;='Дашборд'!$C$51,"X","Z")</x:f>
        <x:v>Z</x:v>
      </x:c>
      <x:c r="L874" s="1" t="str">
        <x:f>IF(H874=0,IF(G874&gt;0,"Нет остатка","Нет спроса"),IF(I874&gt;='Дашборд'!$C$52,"Быстрый","Медленный"))</x:f>
        <x:v>Быстрый</x:v>
      </x:c>
      <x:c r="M874" s="1" t="str">
        <x:f>IF('Данные'!E874&lt;'Дашборд'!$C$53,"Мало трафика",IF(J874&lt;'Дашборд'!$C$9*'Дашборд'!$C$54,"Да","Нет"))</x:f>
        <x:v>Да</x:v>
      </x:c>
      <x:c r="N874" s="1" t="str">
        <x:f>IF(AND('Данные'!D874&gt;='Дашборд'!$C$55,D874&lt;'Дашборд'!$C$56,'Данные'!E874&gt;='Дашборд'!$C$53,'Данные'!L874&lt;&gt;"Да"),"Да","Нет")</x:f>
        <x:v>Нет</x:v>
      </x:c>
      <x:c r="O874" s="1" t="str">
        <x:f>'Данные'!L874</x:f>
        <x:v>Нет</x:v>
      </x:c>
    </x:row>
    <x:row r="875">
      <x:c r="A875" s="1" t="str">
        <x:f>'Данные'!A875</x:f>
        <x:v>300270094</x:v>
      </x:c>
      <x:c r="B875" s="1" t="str">
        <x:f>'Данные'!B875</x:f>
        <x:v>svitzip3P-S-5/серыймеланж2</x:v>
      </x:c>
      <x:c r="C875" s="8" t="n">
        <x:f>'Данные'!G875</x:f>
        <x:v>168743</x:v>
      </x:c>
      <x:c r="D875" s="15" t="n">
        <x:f>C875/SUM($C$5:$C$2477)</x:f>
        <x:v>0.00019712955982404922</x:v>
      </x:c>
      <x:c r="E875" s="15" t="n">
        <x:f>SUM($D$5:D875)</x:f>
        <x:v>0.9471125513641822</x:v>
      </x:c>
      <x:c r="F875" s="1" t="str">
        <x:f>IF(C875&lt;=0,"C",IF(E875-D875&lt;'Дашборд'!$C$49,"A",IF(E875-D875&lt;'Дашборд'!$C$50,"B","C")))</x:f>
        <x:v>B</x:v>
      </x:c>
      <x:c r="G875" s="8" t="n">
        <x:f>'Данные'!F875</x:f>
        <x:v>227</x:v>
      </x:c>
      <x:c r="H875" s="8" t="n">
        <x:f>SUM('Данные'!H875:I875)</x:f>
        <x:v>123</x:v>
      </x:c>
      <x:c r="I875" s="16" t="n">
        <x:f>IF(H875&gt;0,G875/H875,"n.a.")</x:f>
        <x:v>1.8455284552845528</x:v>
      </x:c>
      <x:c r="J875" s="10" t="n">
        <x:f>IF('Данные'!E875&gt;0,G875/'Данные'!E875,"n.a.")</x:f>
        <x:v>0.009043104135128675</x:v>
      </x:c>
      <x:c r="K875" s="1" t="str">
        <x:f>IF(G875&gt;='Дашборд'!$C$51,"X","Z")</x:f>
        <x:v>Z</x:v>
      </x:c>
      <x:c r="L875" s="1" t="str">
        <x:f>IF(H875=0,IF(G875&gt;0,"Нет остатка","Нет спроса"),IF(I875&gt;='Дашборд'!$C$52,"Быстрый","Медленный"))</x:f>
        <x:v>Быстрый</x:v>
      </x:c>
      <x:c r="M875" s="1" t="str">
        <x:f>IF('Данные'!E875&lt;'Дашборд'!$C$53,"Мало трафика",IF(J875&lt;'Дашборд'!$C$9*'Дашборд'!$C$54,"Да","Нет"))</x:f>
        <x:v>Да</x:v>
      </x:c>
      <x:c r="N875" s="1" t="str">
        <x:f>IF(AND('Данные'!D875&gt;='Дашборд'!$C$55,D875&lt;'Дашборд'!$C$56,'Данные'!E875&gt;='Дашборд'!$C$53,'Данные'!L875&lt;&gt;"Да"),"Да","Нет")</x:f>
        <x:v>Нет</x:v>
      </x:c>
      <x:c r="O875" s="1" t="str">
        <x:f>'Данные'!L875</x:f>
        <x:v>Нет</x:v>
      </x:c>
    </x:row>
    <x:row r="876">
      <x:c r="A876" s="1" t="str">
        <x:f>'Данные'!A876</x:f>
        <x:v>175116981</x:v>
      </x:c>
      <x:c r="B876" s="1" t="str">
        <x:f>'Данные'!B876</x:f>
        <x:v>reglanman/бежевый</x:v>
      </x:c>
      <x:c r="C876" s="8" t="n">
        <x:f>'Данные'!G876</x:f>
        <x:v>168619</x:v>
      </x:c>
      <x:c r="D876" s="15" t="n">
        <x:f>C876/SUM($C$5:$C$2477)</x:f>
        <x:v>0.00019698470009405636</x:v>
      </x:c>
      <x:c r="E876" s="15" t="n">
        <x:f>SUM($D$5:D876)</x:f>
        <x:v>0.9473095360642763</x:v>
      </x:c>
      <x:c r="F876" s="1" t="str">
        <x:f>IF(C876&lt;=0,"C",IF(E876-D876&lt;'Дашборд'!$C$49,"A",IF(E876-D876&lt;'Дашборд'!$C$50,"B","C")))</x:f>
        <x:v>B</x:v>
      </x:c>
      <x:c r="G876" s="8" t="n">
        <x:f>'Данные'!F876</x:f>
        <x:v>478</x:v>
      </x:c>
      <x:c r="H876" s="8" t="n">
        <x:f>SUM('Данные'!H876:I876)</x:f>
        <x:v>464</x:v>
      </x:c>
      <x:c r="I876" s="16" t="n">
        <x:f>IF(H876&gt;0,G876/H876,"n.a.")</x:f>
        <x:v>1.0301724137931034</x:v>
      </x:c>
      <x:c r="J876" s="10" t="n">
        <x:f>IF('Данные'!E876&gt;0,G876/'Данные'!E876,"n.a.")</x:f>
        <x:v>0.017778769619876515</x:v>
      </x:c>
      <x:c r="K876" s="1" t="str">
        <x:f>IF(G876&gt;='Дашборд'!$C$51,"X","Z")</x:f>
        <x:v>X</x:v>
      </x:c>
      <x:c r="L876" s="1" t="str">
        <x:f>IF(H876=0,IF(G876&gt;0,"Нет остатка","Нет спроса"),IF(I876&gt;='Дашборд'!$C$52,"Быстрый","Медленный"))</x:f>
        <x:v>Быстрый</x:v>
      </x:c>
      <x:c r="M876" s="1" t="str">
        <x:f>IF('Данные'!E876&lt;'Дашборд'!$C$53,"Мало трафика",IF(J876&lt;'Дашборд'!$C$9*'Дашборд'!$C$54,"Да","Нет"))</x:f>
        <x:v>Нет</x:v>
      </x:c>
      <x:c r="N876" s="1" t="str">
        <x:f>IF(AND('Данные'!D876&gt;='Дашборд'!$C$55,D876&lt;'Дашборд'!$C$56,'Данные'!E876&gt;='Дашборд'!$C$53,'Данные'!L876&lt;&gt;"Да"),"Да","Нет")</x:f>
        <x:v>Нет</x:v>
      </x:c>
      <x:c r="O876" s="1" t="str">
        <x:f>'Данные'!L876</x:f>
        <x:v>Нет</x:v>
      </x:c>
    </x:row>
    <x:row r="877">
      <x:c r="A877" s="1" t="str">
        <x:f>'Данные'!A877</x:f>
        <x:v>209914834</x:v>
      </x:c>
      <x:c r="B877" s="1" t="str">
        <x:f>'Данные'!B877</x:f>
        <x:v>longsvobod/голубой</x:v>
      </x:c>
      <x:c r="C877" s="8" t="n">
        <x:f>'Данные'!G877</x:f>
        <x:v>167882</x:v>
      </x:c>
      <x:c r="D877" s="15" t="n">
        <x:f>C877/SUM($C$5:$C$2477)</x:f>
        <x:v>0.00019612371927950215</x:v>
      </x:c>
      <x:c r="E877" s="15" t="n">
        <x:f>SUM($D$5:D877)</x:f>
        <x:v>0.9475056597835557</x:v>
      </x:c>
      <x:c r="F877" s="1" t="str">
        <x:f>IF(C877&lt;=0,"C",IF(E877-D877&lt;'Дашборд'!$C$49,"A",IF(E877-D877&lt;'Дашборд'!$C$50,"B","C")))</x:f>
        <x:v>B</x:v>
      </x:c>
      <x:c r="G877" s="8" t="n">
        <x:f>'Данные'!F877</x:f>
        <x:v>388</x:v>
      </x:c>
      <x:c r="H877" s="8" t="n">
        <x:f>SUM('Данные'!H877:I877)</x:f>
        <x:v>45</x:v>
      </x:c>
      <x:c r="I877" s="16" t="n">
        <x:f>IF(H877&gt;0,G877/H877,"n.a.")</x:f>
        <x:v>8.622222222222222</x:v>
      </x:c>
      <x:c r="J877" s="10" t="n">
        <x:f>IF('Данные'!E877&gt;0,G877/'Данные'!E877,"n.a.")</x:f>
        <x:v>0.012325677435750818</x:v>
      </x:c>
      <x:c r="K877" s="1" t="str">
        <x:f>IF(G877&gt;='Дашборд'!$C$51,"X","Z")</x:f>
        <x:v>X</x:v>
      </x:c>
      <x:c r="L877" s="1" t="str">
        <x:f>IF(H877=0,IF(G877&gt;0,"Нет остатка","Нет спроса"),IF(I877&gt;='Дашборд'!$C$52,"Быстрый","Медленный"))</x:f>
        <x:v>Быстрый</x:v>
      </x:c>
      <x:c r="M877" s="1" t="str">
        <x:f>IF('Данные'!E877&lt;'Дашборд'!$C$53,"Мало трафика",IF(J877&lt;'Дашборд'!$C$9*'Дашборд'!$C$54,"Да","Нет"))</x:f>
        <x:v>Нет</x:v>
      </x:c>
      <x:c r="N877" s="1" t="str">
        <x:f>IF(AND('Данные'!D877&gt;='Дашборд'!$C$55,D877&lt;'Дашборд'!$C$56,'Данные'!E877&gt;='Дашборд'!$C$53,'Данные'!L877&lt;&gt;"Да"),"Да","Нет")</x:f>
        <x:v>Нет</x:v>
      </x:c>
      <x:c r="O877" s="1" t="str">
        <x:f>'Данные'!L877</x:f>
        <x:v>Нет</x:v>
      </x:c>
    </x:row>
    <x:row r="878">
      <x:c r="A878" s="1" t="str">
        <x:f>'Данные'!A878</x:f>
        <x:v>209915124</x:v>
      </x:c>
      <x:c r="B878" s="1" t="str">
        <x:f>'Данные'!B878</x:f>
        <x:v>longsvobod/бежевый</x:v>
      </x:c>
      <x:c r="C878" s="8" t="n">
        <x:f>'Данные'!G878</x:f>
        <x:v>167869</x:v>
      </x:c>
      <x:c r="D878" s="15" t="n">
        <x:f>C878/SUM($C$5:$C$2477)</x:f>
        <x:v>0.00019610853237232546</x:v>
      </x:c>
      <x:c r="E878" s="15" t="n">
        <x:f>SUM($D$5:D878)</x:f>
        <x:v>0.947701768315928</x:v>
      </x:c>
      <x:c r="F878" s="1" t="str">
        <x:f>IF(C878&lt;=0,"C",IF(E878-D878&lt;'Дашборд'!$C$49,"A",IF(E878-D878&lt;'Дашборд'!$C$50,"B","C")))</x:f>
        <x:v>B</x:v>
      </x:c>
      <x:c r="G878" s="8" t="n">
        <x:f>'Данные'!F878</x:f>
        <x:v>541</x:v>
      </x:c>
      <x:c r="H878" s="8" t="n">
        <x:f>SUM('Данные'!H878:I878)</x:f>
        <x:v>117</x:v>
      </x:c>
      <x:c r="I878" s="16" t="n">
        <x:f>IF(H878&gt;0,G878/H878,"n.a.")</x:f>
        <x:v>4.6239316239316235</x:v>
      </x:c>
      <x:c r="J878" s="10" t="n">
        <x:f>IF('Данные'!E878&gt;0,G878/'Данные'!E878,"n.a.")</x:f>
        <x:v>0.016629779909012665</x:v>
      </x:c>
      <x:c r="K878" s="1" t="str">
        <x:f>IF(G878&gt;='Дашборд'!$C$51,"X","Z")</x:f>
        <x:v>X</x:v>
      </x:c>
      <x:c r="L878" s="1" t="str">
        <x:f>IF(H878=0,IF(G878&gt;0,"Нет остатка","Нет спроса"),IF(I878&gt;='Дашборд'!$C$52,"Быстрый","Медленный"))</x:f>
        <x:v>Быстрый</x:v>
      </x:c>
      <x:c r="M878" s="1" t="str">
        <x:f>IF('Данные'!E878&lt;'Дашборд'!$C$53,"Мало трафика",IF(J878&lt;'Дашборд'!$C$9*'Дашборд'!$C$54,"Да","Нет"))</x:f>
        <x:v>Нет</x:v>
      </x:c>
      <x:c r="N878" s="1" t="str">
        <x:f>IF(AND('Данные'!D878&gt;='Дашборд'!$C$55,D878&lt;'Дашборд'!$C$56,'Данные'!E878&gt;='Дашборд'!$C$53,'Данные'!L878&lt;&gt;"Да"),"Да","Нет")</x:f>
        <x:v>Нет</x:v>
      </x:c>
      <x:c r="O878" s="1" t="str">
        <x:f>'Данные'!L878</x:f>
        <x:v>Нет</x:v>
      </x:c>
    </x:row>
    <x:row r="879">
      <x:c r="A879" s="1" t="str">
        <x:f>'Данные'!A879</x:f>
        <x:v>245583552</x:v>
      </x:c>
      <x:c r="B879" s="1" t="str">
        <x:f>'Данные'!B879</x:f>
        <x:v>hudiprint/BrighterDays-129/белый</x:v>
      </x:c>
      <x:c r="C879" s="8" t="n">
        <x:f>'Данные'!G879</x:f>
        <x:v>167088</x:v>
      </x:c>
      <x:c r="D879" s="15" t="n">
        <x:f>C879/SUM($C$5:$C$2477)</x:f>
        <x:v>0.00019519614971809637</x:v>
      </x:c>
      <x:c r="E879" s="15" t="n">
        <x:f>SUM($D$5:D879)</x:f>
        <x:v>0.9478969644656461</x:v>
      </x:c>
      <x:c r="F879" s="1" t="str">
        <x:f>IF(C879&lt;=0,"C",IF(E879-D879&lt;'Дашборд'!$C$49,"A",IF(E879-D879&lt;'Дашборд'!$C$50,"B","C")))</x:f>
        <x:v>B</x:v>
      </x:c>
      <x:c r="G879" s="8" t="n">
        <x:f>'Данные'!F879</x:f>
        <x:v>153</x:v>
      </x:c>
      <x:c r="H879" s="8" t="n">
        <x:f>SUM('Данные'!H879:I879)</x:f>
        <x:v>251</x:v>
      </x:c>
      <x:c r="I879" s="16" t="n">
        <x:f>IF(H879&gt;0,G879/H879,"n.a.")</x:f>
        <x:v>0.6095617529880478</x:v>
      </x:c>
      <x:c r="J879" s="10" t="n">
        <x:f>IF('Данные'!E879&gt;0,G879/'Данные'!E879,"n.a.")</x:f>
        <x:v>0.003361086092133301</x:v>
      </x:c>
      <x:c r="K879" s="1" t="str">
        <x:f>IF(G879&gt;='Дашборд'!$C$51,"X","Z")</x:f>
        <x:v>Z</x:v>
      </x:c>
      <x:c r="L879" s="1" t="str">
        <x:f>IF(H879=0,IF(G879&gt;0,"Нет остатка","Нет спроса"),IF(I879&gt;='Дашборд'!$C$52,"Быстрый","Медленный"))</x:f>
        <x:v>Медленный</x:v>
      </x:c>
      <x:c r="M879" s="1" t="str">
        <x:f>IF('Данные'!E879&lt;'Дашборд'!$C$53,"Мало трафика",IF(J879&lt;'Дашборд'!$C$9*'Дашборд'!$C$54,"Да","Нет"))</x:f>
        <x:v>Да</x:v>
      </x:c>
      <x:c r="N879" s="1" t="str">
        <x:f>IF(AND('Данные'!D879&gt;='Дашборд'!$C$55,D879&lt;'Дашборд'!$C$56,'Данные'!E879&gt;='Дашборд'!$C$53,'Данные'!L879&lt;&gt;"Да"),"Да","Нет")</x:f>
        <x:v>Нет</x:v>
      </x:c>
      <x:c r="O879" s="1" t="str">
        <x:f>'Данные'!L879</x:f>
        <x:v>Нет</x:v>
      </x:c>
    </x:row>
    <x:row r="880">
      <x:c r="A880" s="1" t="str">
        <x:f>'Данные'!A880</x:f>
        <x:v>320424587</x:v>
      </x:c>
      <x:c r="B880" s="1" t="str">
        <x:f>'Данные'!B880</x:f>
        <x:v>brukizshp3P-S-1/песочный</x:v>
      </x:c>
      <x:c r="C880" s="8" t="n">
        <x:f>'Данные'!G880</x:f>
        <x:v>167035</x:v>
      </x:c>
      <x:c r="D880" s="15" t="n">
        <x:f>C880/SUM($C$5:$C$2477)</x:f>
        <x:v>0.0001951342338657607</x:v>
      </x:c>
      <x:c r="E880" s="15" t="n">
        <x:f>SUM($D$5:D880)</x:f>
        <x:v>0.9480920986995118</x:v>
      </x:c>
      <x:c r="F880" s="1" t="str">
        <x:f>IF(C880&lt;=0,"C",IF(E880-D880&lt;'Дашборд'!$C$49,"A",IF(E880-D880&lt;'Дашборд'!$C$50,"B","C")))</x:f>
        <x:v>B</x:v>
      </x:c>
      <x:c r="G880" s="8" t="n">
        <x:f>'Данные'!F880</x:f>
        <x:v>224</x:v>
      </x:c>
      <x:c r="H880" s="8" t="n">
        <x:f>SUM('Данные'!H880:I880)</x:f>
        <x:v>846</x:v>
      </x:c>
      <x:c r="I880" s="16" t="n">
        <x:f>IF(H880&gt;0,G880/H880,"n.a.")</x:f>
        <x:v>0.2647754137115839</x:v>
      </x:c>
      <x:c r="J880" s="10" t="n">
        <x:f>IF('Данные'!E880&gt;0,G880/'Данные'!E880,"n.a.")</x:f>
        <x:v>0.006135305395781977</x:v>
      </x:c>
      <x:c r="K880" s="1" t="str">
        <x:f>IF(G880&gt;='Дашборд'!$C$51,"X","Z")</x:f>
        <x:v>Z</x:v>
      </x:c>
      <x:c r="L880" s="1" t="str">
        <x:f>IF(H880=0,IF(G880&gt;0,"Нет остатка","Нет спроса"),IF(I880&gt;='Дашборд'!$C$52,"Быстрый","Медленный"))</x:f>
        <x:v>Медленный</x:v>
      </x:c>
      <x:c r="M880" s="1" t="str">
        <x:f>IF('Данные'!E880&lt;'Дашборд'!$C$53,"Мало трафика",IF(J880&lt;'Дашборд'!$C$9*'Дашборд'!$C$54,"Да","Нет"))</x:f>
        <x:v>Да</x:v>
      </x:c>
      <x:c r="N880" s="1" t="str">
        <x:f>IF(AND('Данные'!D880&gt;='Дашборд'!$C$55,D880&lt;'Дашборд'!$C$56,'Данные'!E880&gt;='Дашборд'!$C$53,'Данные'!L880&lt;&gt;"Да"),"Да","Нет")</x:f>
        <x:v>Нет</x:v>
      </x:c>
      <x:c r="O880" s="1" t="str">
        <x:f>'Данные'!L880</x:f>
        <x:v>Нет</x:v>
      </x:c>
    </x:row>
    <x:row r="881">
      <x:c r="A881" s="1" t="str">
        <x:f>'Данные'!A881</x:f>
        <x:v>198068996</x:v>
      </x:c>
      <x:c r="B881" s="1" t="str">
        <x:f>'Данные'!B881</x:f>
        <x:v>svitshotman/серыймеланж2</x:v>
      </x:c>
      <x:c r="C881" s="8" t="n">
        <x:f>'Данные'!G881</x:f>
        <x:v>167011</x:v>
      </x:c>
      <x:c r="D881" s="15" t="n">
        <x:f>C881/SUM($C$5:$C$2477)</x:f>
        <x:v>0.00019510619649866533</x:v>
      </x:c>
      <x:c r="E881" s="15" t="n">
        <x:f>SUM($D$5:D881)</x:f>
        <x:v>0.9482872048960105</x:v>
      </x:c>
      <x:c r="F881" s="1" t="str">
        <x:f>IF(C881&lt;=0,"C",IF(E881-D881&lt;'Дашборд'!$C$49,"A",IF(E881-D881&lt;'Дашборд'!$C$50,"B","C")))</x:f>
        <x:v>B</x:v>
      </x:c>
      <x:c r="G881" s="8" t="n">
        <x:f>'Данные'!F881</x:f>
        <x:v>267</x:v>
      </x:c>
      <x:c r="H881" s="8" t="n">
        <x:f>SUM('Данные'!H881:I881)</x:f>
        <x:v>276</x:v>
      </x:c>
      <x:c r="I881" s="16" t="n">
        <x:f>IF(H881&gt;0,G881/H881,"n.a.")</x:f>
        <x:v>0.967391304347826</x:v>
      </x:c>
      <x:c r="J881" s="10" t="n">
        <x:f>IF('Данные'!E881&gt;0,G881/'Данные'!E881,"n.a.")</x:f>
        <x:v>0.023108880041544055</x:v>
      </x:c>
      <x:c r="K881" s="1" t="str">
        <x:f>IF(G881&gt;='Дашборд'!$C$51,"X","Z")</x:f>
        <x:v>Z</x:v>
      </x:c>
      <x:c r="L881" s="1" t="str">
        <x:f>IF(H881=0,IF(G881&gt;0,"Нет остатка","Нет спроса"),IF(I881&gt;='Дашборд'!$C$52,"Быстрый","Медленный"))</x:f>
        <x:v>Медленный</x:v>
      </x:c>
      <x:c r="M881" s="1" t="str">
        <x:f>IF('Данные'!E881&lt;'Дашборд'!$C$53,"Мало трафика",IF(J881&lt;'Дашборд'!$C$9*'Дашборд'!$C$54,"Да","Нет"))</x:f>
        <x:v>Нет</x:v>
      </x:c>
      <x:c r="N881" s="1" t="str">
        <x:f>IF(AND('Данные'!D881&gt;='Дашборд'!$C$55,D881&lt;'Дашборд'!$C$56,'Данные'!E881&gt;='Дашборд'!$C$53,'Данные'!L881&lt;&gt;"Да"),"Да","Нет")</x:f>
        <x:v>Да</x:v>
      </x:c>
      <x:c r="O881" s="1" t="str">
        <x:f>'Данные'!L881</x:f>
        <x:v>Нет</x:v>
      </x:c>
    </x:row>
    <x:row r="882">
      <x:c r="A882" s="1" t="str">
        <x:f>'Данные'!A882</x:f>
        <x:v>204189657</x:v>
      </x:c>
      <x:c r="B882" s="1" t="str">
        <x:f>'Данные'!B882</x:f>
        <x:v>hudiprint/COTTON-66/черный</x:v>
      </x:c>
      <x:c r="C882" s="8" t="n">
        <x:f>'Данные'!G882</x:f>
        <x:v>166980</x:v>
      </x:c>
      <x:c r="D882" s="15" t="n">
        <x:f>C882/SUM($C$5:$C$2477)</x:f>
        <x:v>0.0001950699815661671</x:v>
      </x:c>
      <x:c r="E882" s="15" t="n">
        <x:f>SUM($D$5:D882)</x:f>
        <x:v>0.9484822748775766</x:v>
      </x:c>
      <x:c r="F882" s="1" t="str">
        <x:f>IF(C882&lt;=0,"C",IF(E882-D882&lt;'Дашборд'!$C$49,"A",IF(E882-D882&lt;'Дашборд'!$C$50,"B","C")))</x:f>
        <x:v>B</x:v>
      </x:c>
      <x:c r="G882" s="8" t="n">
        <x:f>'Данные'!F882</x:f>
        <x:v>153</x:v>
      </x:c>
      <x:c r="H882" s="8" t="n">
        <x:f>SUM('Данные'!H882:I882)</x:f>
        <x:v>153</x:v>
      </x:c>
      <x:c r="I882" s="16" t="n">
        <x:f>IF(H882&gt;0,G882/H882,"n.a.")</x:f>
        <x:v>1</x:v>
      </x:c>
      <x:c r="J882" s="10" t="n">
        <x:f>IF('Данные'!E882&gt;0,G882/'Данные'!E882,"n.a.")</x:f>
        <x:v>0.006835239456754825</x:v>
      </x:c>
      <x:c r="K882" s="1" t="str">
        <x:f>IF(G882&gt;='Дашборд'!$C$51,"X","Z")</x:f>
        <x:v>Z</x:v>
      </x:c>
      <x:c r="L882" s="1" t="str">
        <x:f>IF(H882=0,IF(G882&gt;0,"Нет остатка","Нет спроса"),IF(I882&gt;='Дашборд'!$C$52,"Быстрый","Медленный"))</x:f>
        <x:v>Быстрый</x:v>
      </x:c>
      <x:c r="M882" s="1" t="str">
        <x:f>IF('Данные'!E882&lt;'Дашборд'!$C$53,"Мало трафика",IF(J882&lt;'Дашборд'!$C$9*'Дашборд'!$C$54,"Да","Нет"))</x:f>
        <x:v>Да</x:v>
      </x:c>
      <x:c r="N882" s="1" t="str">
        <x:f>IF(AND('Данные'!D882&gt;='Дашборд'!$C$55,D882&lt;'Дашборд'!$C$56,'Данные'!E882&gt;='Дашборд'!$C$53,'Данные'!L882&lt;&gt;"Да"),"Да","Нет")</x:f>
        <x:v>Нет</x:v>
      </x:c>
      <x:c r="O882" s="1" t="str">
        <x:f>'Данные'!L882</x:f>
        <x:v>Нет</x:v>
      </x:c>
    </x:row>
    <x:row r="883">
      <x:c r="A883" s="1" t="str">
        <x:f>'Данные'!A883</x:f>
        <x:v>289089197</x:v>
      </x:c>
      <x:c r="B883" s="1" t="str">
        <x:f>'Данные'!B883</x:f>
        <x:v>palazzonachos/молочный</x:v>
      </x:c>
      <x:c r="C883" s="8" t="n">
        <x:f>'Данные'!G883</x:f>
        <x:v>166854</x:v>
      </x:c>
      <x:c r="D883" s="15" t="n">
        <x:f>C883/SUM($C$5:$C$2477)</x:f>
        <x:v>0.00019492278538891633</x:v>
      </x:c>
      <x:c r="E883" s="15" t="n">
        <x:f>SUM($D$5:D883)</x:f>
        <x:v>0.9486771976629655</x:v>
      </x:c>
      <x:c r="F883" s="1" t="str">
        <x:f>IF(C883&lt;=0,"C",IF(E883-D883&lt;'Дашборд'!$C$49,"A",IF(E883-D883&lt;'Дашборд'!$C$50,"B","C")))</x:f>
        <x:v>B</x:v>
      </x:c>
      <x:c r="G883" s="8" t="n">
        <x:f>'Данные'!F883</x:f>
        <x:v>310</x:v>
      </x:c>
      <x:c r="H883" s="8" t="n">
        <x:f>SUM('Данные'!H883:I883)</x:f>
        <x:v>140</x:v>
      </x:c>
      <x:c r="I883" s="16" t="n">
        <x:f>IF(H883&gt;0,G883/H883,"n.a.")</x:f>
        <x:v>2.2142857142857144</x:v>
      </x:c>
      <x:c r="J883" s="10" t="n">
        <x:f>IF('Данные'!E883&gt;0,G883/'Данные'!E883,"n.a.")</x:f>
        <x:v>0.012210974120612911</x:v>
      </x:c>
      <x:c r="K883" s="1" t="str">
        <x:f>IF(G883&gt;='Дашборд'!$C$51,"X","Z")</x:f>
        <x:v>X</x:v>
      </x:c>
      <x:c r="L883" s="1" t="str">
        <x:f>IF(H883=0,IF(G883&gt;0,"Нет остатка","Нет спроса"),IF(I883&gt;='Дашборд'!$C$52,"Быстрый","Медленный"))</x:f>
        <x:v>Быстрый</x:v>
      </x:c>
      <x:c r="M883" s="1" t="str">
        <x:f>IF('Данные'!E883&lt;'Дашборд'!$C$53,"Мало трафика",IF(J883&lt;'Дашборд'!$C$9*'Дашборд'!$C$54,"Да","Нет"))</x:f>
        <x:v>Нет</x:v>
      </x:c>
      <x:c r="N883" s="1" t="str">
        <x:f>IF(AND('Данные'!D883&gt;='Дашборд'!$C$55,D883&lt;'Дашборд'!$C$56,'Данные'!E883&gt;='Дашборд'!$C$53,'Данные'!L883&lt;&gt;"Да"),"Да","Нет")</x:f>
        <x:v>Нет</x:v>
      </x:c>
      <x:c r="O883" s="1" t="str">
        <x:f>'Данные'!L883</x:f>
        <x:v>Нет</x:v>
      </x:c>
    </x:row>
    <x:row r="884">
      <x:c r="A884" s="1" t="str">
        <x:f>'Данные'!A884</x:f>
        <x:v>51571686</x:v>
      </x:c>
      <x:c r="B884" s="1" t="str">
        <x:f>'Данные'!B884</x:f>
        <x:v>brukiman/графит</x:v>
      </x:c>
      <x:c r="C884" s="8" t="n">
        <x:f>'Данные'!G884</x:f>
        <x:v>166204</x:v>
      </x:c>
      <x:c r="D884" s="15" t="n">
        <x:f>C884/SUM($C$5:$C$2477)</x:f>
        <x:v>0.0001941634400300829</x:v>
      </x:c>
      <x:c r="E884" s="15" t="n">
        <x:f>SUM($D$5:D884)</x:f>
        <x:v>0.9488713611029956</x:v>
      </x:c>
      <x:c r="F884" s="1" t="str">
        <x:f>IF(C884&lt;=0,"C",IF(E884-D884&lt;'Дашборд'!$C$49,"A",IF(E884-D884&lt;'Дашборд'!$C$50,"B","C")))</x:f>
        <x:v>B</x:v>
      </x:c>
      <x:c r="G884" s="8" t="n">
        <x:f>'Данные'!F884</x:f>
        <x:v>260</x:v>
      </x:c>
      <x:c r="H884" s="8" t="n">
        <x:f>SUM('Данные'!H884:I884)</x:f>
        <x:v>791</x:v>
      </x:c>
      <x:c r="I884" s="16" t="n">
        <x:f>IF(H884&gt;0,G884/H884,"n.a.")</x:f>
        <x:v>0.32869785082174463</x:v>
      </x:c>
      <x:c r="J884" s="10" t="n">
        <x:f>IF('Данные'!E884&gt;0,G884/'Данные'!E884,"n.a.")</x:f>
        <x:v>0.02317703690497415</x:v>
      </x:c>
      <x:c r="K884" s="1" t="str">
        <x:f>IF(G884&gt;='Дашборд'!$C$51,"X","Z")</x:f>
        <x:v>Z</x:v>
      </x:c>
      <x:c r="L884" s="1" t="str">
        <x:f>IF(H884=0,IF(G884&gt;0,"Нет остатка","Нет спроса"),IF(I884&gt;='Дашборд'!$C$52,"Быстрый","Медленный"))</x:f>
        <x:v>Медленный</x:v>
      </x:c>
      <x:c r="M884" s="1" t="str">
        <x:f>IF('Данные'!E884&lt;'Дашборд'!$C$53,"Мало трафика",IF(J884&lt;'Дашборд'!$C$9*'Дашборд'!$C$54,"Да","Нет"))</x:f>
        <x:v>Нет</x:v>
      </x:c>
      <x:c r="N884" s="1" t="str">
        <x:f>IF(AND('Данные'!D884&gt;='Дашборд'!$C$55,D884&lt;'Дашборд'!$C$56,'Данные'!E884&gt;='Дашборд'!$C$53,'Данные'!L884&lt;&gt;"Да"),"Да","Нет")</x:f>
        <x:v>Нет</x:v>
      </x:c>
      <x:c r="O884" s="1" t="str">
        <x:f>'Данные'!L884</x:f>
        <x:v>Нет</x:v>
      </x:c>
    </x:row>
    <x:row r="885">
      <x:c r="A885" s="1" t="str">
        <x:f>'Данные'!A885</x:f>
        <x:v>280030826</x:v>
      </x:c>
      <x:c r="B885" s="1" t="str">
        <x:f>'Данные'!B885</x:f>
        <x:v>svitshotzipman2/изумрудно-зеленый</x:v>
      </x:c>
      <x:c r="C885" s="8" t="n">
        <x:f>'Данные'!G885</x:f>
        <x:v>166015</x:v>
      </x:c>
      <x:c r="D885" s="15" t="n">
        <x:f>C885/SUM($C$5:$C$2477)</x:f>
        <x:v>0.00019394264576420668</x:v>
      </x:c>
      <x:c r="E885" s="15" t="n">
        <x:f>SUM($D$5:D885)</x:f>
        <x:v>0.9490653037487599</x:v>
      </x:c>
      <x:c r="F885" s="1" t="str">
        <x:f>IF(C885&lt;=0,"C",IF(E885-D885&lt;'Дашборд'!$C$49,"A",IF(E885-D885&lt;'Дашборд'!$C$50,"B","C")))</x:f>
        <x:v>B</x:v>
      </x:c>
      <x:c r="G885" s="8" t="n">
        <x:f>'Данные'!F885</x:f>
        <x:v>132</x:v>
      </x:c>
      <x:c r="H885" s="8" t="n">
        <x:f>SUM('Данные'!H885:I885)</x:f>
        <x:v>0</x:v>
      </x:c>
      <x:c r="I885" s="16" t="str">
        <x:f>IF(H885&gt;0,G885/H885,"n.a.")</x:f>
        <x:v>n.a.</x:v>
      </x:c>
      <x:c r="J885" s="10" t="n">
        <x:f>IF('Данные'!E885&gt;0,G885/'Данные'!E885,"n.a.")</x:f>
        <x:v>0.009346456135382</x:v>
      </x:c>
      <x:c r="K885" s="1" t="str">
        <x:f>IF(G885&gt;='Дашборд'!$C$51,"X","Z")</x:f>
        <x:v>Z</x:v>
      </x:c>
      <x:c r="L885" s="1" t="str">
        <x:f>IF(H885=0,IF(G885&gt;0,"Нет остатка","Нет спроса"),IF(I885&gt;='Дашборд'!$C$52,"Быстрый","Медленный"))</x:f>
        <x:v>Нет остатка</x:v>
      </x:c>
      <x:c r="M885" s="1" t="str">
        <x:f>IF('Данные'!E885&lt;'Дашборд'!$C$53,"Мало трафика",IF(J885&lt;'Дашборд'!$C$9*'Дашборд'!$C$54,"Да","Нет"))</x:f>
        <x:v>Да</x:v>
      </x:c>
      <x:c r="N885" s="1" t="str">
        <x:f>IF(AND('Данные'!D885&gt;='Дашборд'!$C$55,D885&lt;'Дашборд'!$C$56,'Данные'!E885&gt;='Дашборд'!$C$53,'Данные'!L885&lt;&gt;"Да"),"Да","Нет")</x:f>
        <x:v>Да</x:v>
      </x:c>
      <x:c r="O885" s="1" t="str">
        <x:f>'Данные'!L885</x:f>
        <x:v>Нет</x:v>
      </x:c>
    </x:row>
    <x:row r="886">
      <x:c r="A886" s="1" t="str">
        <x:f>'Данные'!A886</x:f>
        <x:v>288615742</x:v>
      </x:c>
      <x:c r="B886" s="1" t="str">
        <x:f>'Данные'!B886</x:f>
        <x:v>svitshotzip1/дымка</x:v>
      </x:c>
      <x:c r="C886" s="8" t="n">
        <x:f>'Данные'!G886</x:f>
        <x:v>165711</x:v>
      </x:c>
      <x:c r="D886" s="15" t="n">
        <x:f>C886/SUM($C$5:$C$2477)</x:f>
        <x:v>0.00019358750578099844</x:v>
      </x:c>
      <x:c r="E886" s="15" t="n">
        <x:f>SUM($D$5:D886)</x:f>
        <x:v>0.9492588912545409</x:v>
      </x:c>
      <x:c r="F886" s="1" t="str">
        <x:f>IF(C886&lt;=0,"C",IF(E886-D886&lt;'Дашборд'!$C$49,"A",IF(E886-D886&lt;'Дашборд'!$C$50,"B","C")))</x:f>
        <x:v>B</x:v>
      </x:c>
      <x:c r="G886" s="8" t="n">
        <x:f>'Данные'!F886</x:f>
        <x:v>223</x:v>
      </x:c>
      <x:c r="H886" s="8" t="n">
        <x:f>SUM('Данные'!H886:I886)</x:f>
        <x:v>107</x:v>
      </x:c>
      <x:c r="I886" s="16" t="n">
        <x:f>IF(H886&gt;0,G886/H886,"n.a.")</x:f>
        <x:v>2.0841121495327104</x:v>
      </x:c>
      <x:c r="J886" s="10" t="n">
        <x:f>IF('Данные'!E886&gt;0,G886/'Данные'!E886,"n.a.")</x:f>
        <x:v>0.011260351444152696</x:v>
      </x:c>
      <x:c r="K886" s="1" t="str">
        <x:f>IF(G886&gt;='Дашборд'!$C$51,"X","Z")</x:f>
        <x:v>Z</x:v>
      </x:c>
      <x:c r="L886" s="1" t="str">
        <x:f>IF(H886=0,IF(G886&gt;0,"Нет остатка","Нет спроса"),IF(I886&gt;='Дашборд'!$C$52,"Быстрый","Медленный"))</x:f>
        <x:v>Быстрый</x:v>
      </x:c>
      <x:c r="M886" s="1" t="str">
        <x:f>IF('Данные'!E886&lt;'Дашборд'!$C$53,"Мало трафика",IF(J886&lt;'Дашборд'!$C$9*'Дашборд'!$C$54,"Да","Нет"))</x:f>
        <x:v>Нет</x:v>
      </x:c>
      <x:c r="N886" s="1" t="str">
        <x:f>IF(AND('Данные'!D886&gt;='Дашборд'!$C$55,D886&lt;'Дашборд'!$C$56,'Данные'!E886&gt;='Дашборд'!$C$53,'Данные'!L886&lt;&gt;"Да"),"Да","Нет")</x:f>
        <x:v>Да</x:v>
      </x:c>
      <x:c r="O886" s="1" t="str">
        <x:f>'Данные'!L886</x:f>
        <x:v>Нет</x:v>
      </x:c>
    </x:row>
    <x:row r="887">
      <x:c r="A887" s="1" t="str">
        <x:f>'Данные'!A887</x:f>
        <x:v>333095359</x:v>
      </x:c>
      <x:c r="B887" s="1" t="str">
        <x:f>'Данные'!B887</x:f>
        <x:v>palazzoshnurok/винный</x:v>
      </x:c>
      <x:c r="C887" s="8" t="n">
        <x:f>'Данные'!G887</x:f>
        <x:v>165303</x:v>
      </x:c>
      <x:c r="D887" s="15" t="n">
        <x:f>C887/SUM($C$5:$C$2477)</x:f>
        <x:v>0.00019311087054037682</x:v>
      </x:c>
      <x:c r="E887" s="15" t="n">
        <x:f>SUM($D$5:D887)</x:f>
        <x:v>0.9494520021250813</x:v>
      </x:c>
      <x:c r="F887" s="1" t="str">
        <x:f>IF(C887&lt;=0,"C",IF(E887-D887&lt;'Дашборд'!$C$49,"A",IF(E887-D887&lt;'Дашборд'!$C$50,"B","C")))</x:f>
        <x:v>B</x:v>
      </x:c>
      <x:c r="G887" s="8" t="n">
        <x:f>'Данные'!F887</x:f>
        <x:v>215</x:v>
      </x:c>
      <x:c r="H887" s="8" t="n">
        <x:f>SUM('Данные'!H887:I887)</x:f>
        <x:v>148</x:v>
      </x:c>
      <x:c r="I887" s="16" t="n">
        <x:f>IF(H887&gt;0,G887/H887,"n.a.")</x:f>
        <x:v>1.4527027027027026</x:v>
      </x:c>
      <x:c r="J887" s="10" t="n">
        <x:f>IF('Данные'!E887&gt;0,G887/'Данные'!E887,"n.a.")</x:f>
        <x:v>0.007299765728448715</x:v>
      </x:c>
      <x:c r="K887" s="1" t="str">
        <x:f>IF(G887&gt;='Дашборд'!$C$51,"X","Z")</x:f>
        <x:v>Z</x:v>
      </x:c>
      <x:c r="L887" s="1" t="str">
        <x:f>IF(H887=0,IF(G887&gt;0,"Нет остатка","Нет спроса"),IF(I887&gt;='Дашборд'!$C$52,"Быстрый","Медленный"))</x:f>
        <x:v>Быстрый</x:v>
      </x:c>
      <x:c r="M887" s="1" t="str">
        <x:f>IF('Данные'!E887&lt;'Дашборд'!$C$53,"Мало трафика",IF(J887&lt;'Дашборд'!$C$9*'Дашборд'!$C$54,"Да","Нет"))</x:f>
        <x:v>Да</x:v>
      </x:c>
      <x:c r="N887" s="1" t="str">
        <x:f>IF(AND('Данные'!D887&gt;='Дашборд'!$C$55,D887&lt;'Дашборд'!$C$56,'Данные'!E887&gt;='Дашборд'!$C$53,'Данные'!L887&lt;&gt;"Да"),"Да","Нет")</x:f>
        <x:v>Нет</x:v>
      </x:c>
      <x:c r="O887" s="1" t="str">
        <x:f>'Данные'!L887</x:f>
        <x:v>Нет</x:v>
      </x:c>
    </x:row>
    <x:row r="888">
      <x:c r="A888" s="1" t="str">
        <x:f>'Данные'!A888</x:f>
        <x:v>168141907</x:v>
      </x:c>
      <x:c r="B888" s="1" t="str">
        <x:f>'Данные'!B888</x:f>
        <x:v>bruki/серый</x:v>
      </x:c>
      <x:c r="C888" s="8" t="n">
        <x:f>'Данные'!G888</x:f>
        <x:v>165195</x:v>
      </x:c>
      <x:c r="D888" s="15" t="n">
        <x:f>C888/SUM($C$5:$C$2477)</x:f>
        <x:v>0.00019298470238844758</x:v>
      </x:c>
      <x:c r="E888" s="15" t="n">
        <x:f>SUM($D$5:D888)</x:f>
        <x:v>0.9496449868274698</x:v>
      </x:c>
      <x:c r="F888" s="1" t="str">
        <x:f>IF(C888&lt;=0,"C",IF(E888-D888&lt;'Дашборд'!$C$49,"A",IF(E888-D888&lt;'Дашборд'!$C$50,"B","C")))</x:f>
        <x:v>B</x:v>
      </x:c>
      <x:c r="G888" s="8" t="n">
        <x:f>'Данные'!F888</x:f>
        <x:v>384</x:v>
      </x:c>
      <x:c r="H888" s="8" t="n">
        <x:f>SUM('Данные'!H888:I888)</x:f>
        <x:v>572</x:v>
      </x:c>
      <x:c r="I888" s="16" t="n">
        <x:f>IF(H888&gt;0,G888/H888,"n.a.")</x:f>
        <x:v>0.6713286713286714</x:v>
      </x:c>
      <x:c r="J888" s="10" t="n">
        <x:f>IF('Данные'!E888&gt;0,G888/'Данные'!E888,"n.a.")</x:f>
        <x:v>0.022034773627130314</x:v>
      </x:c>
      <x:c r="K888" s="1" t="str">
        <x:f>IF(G888&gt;='Дашборд'!$C$51,"X","Z")</x:f>
        <x:v>X</x:v>
      </x:c>
      <x:c r="L888" s="1" t="str">
        <x:f>IF(H888=0,IF(G888&gt;0,"Нет остатка","Нет спроса"),IF(I888&gt;='Дашборд'!$C$52,"Быстрый","Медленный"))</x:f>
        <x:v>Медленный</x:v>
      </x:c>
      <x:c r="M888" s="1" t="str">
        <x:f>IF('Данные'!E888&lt;'Дашборд'!$C$53,"Мало трафика",IF(J888&lt;'Дашборд'!$C$9*'Дашборд'!$C$54,"Да","Нет"))</x:f>
        <x:v>Нет</x:v>
      </x:c>
      <x:c r="N888" s="1" t="str">
        <x:f>IF(AND('Данные'!D888&gt;='Дашборд'!$C$55,D888&lt;'Дашборд'!$C$56,'Данные'!E888&gt;='Дашборд'!$C$53,'Данные'!L888&lt;&gt;"Да"),"Да","Нет")</x:f>
        <x:v>Нет</x:v>
      </x:c>
      <x:c r="O888" s="1" t="str">
        <x:f>'Данные'!L888</x:f>
        <x:v>Нет</x:v>
      </x:c>
    </x:row>
    <x:row r="889">
      <x:c r="A889" s="1" t="str">
        <x:f>'Данные'!A889</x:f>
        <x:v>246363115</x:v>
      </x:c>
      <x:c r="B889" s="1" t="str">
        <x:f>'Данные'!B889</x:f>
        <x:v>tolstovkazipcrop/коричневый</x:v>
      </x:c>
      <x:c r="C889" s="8" t="n">
        <x:f>'Данные'!G889</x:f>
        <x:v>164920</x:v>
      </x:c>
      <x:c r="D889" s="15" t="n">
        <x:f>C889/SUM($C$5:$C$2477)</x:f>
        <x:v>0.00019266344089047957</x:v>
      </x:c>
      <x:c r="E889" s="15" t="n">
        <x:f>SUM($D$5:D889)</x:f>
        <x:v>0.9498376502683603</x:v>
      </x:c>
      <x:c r="F889" s="1" t="str">
        <x:f>IF(C889&lt;=0,"C",IF(E889-D889&lt;'Дашборд'!$C$49,"A",IF(E889-D889&lt;'Дашборд'!$C$50,"B","C")))</x:f>
        <x:v>B</x:v>
      </x:c>
      <x:c r="G889" s="8" t="n">
        <x:f>'Данные'!F889</x:f>
        <x:v>161</x:v>
      </x:c>
      <x:c r="H889" s="8" t="n">
        <x:f>SUM('Данные'!H889:I889)</x:f>
        <x:v>0</x:v>
      </x:c>
      <x:c r="I889" s="16" t="str">
        <x:f>IF(H889&gt;0,G889/H889,"n.a.")</x:f>
        <x:v>n.a.</x:v>
      </x:c>
      <x:c r="J889" s="10" t="n">
        <x:f>IF('Данные'!E889&gt;0,G889/'Данные'!E889,"n.a.")</x:f>
        <x:v>0.009904644724700092</x:v>
      </x:c>
      <x:c r="K889" s="1" t="str">
        <x:f>IF(G889&gt;='Дашборд'!$C$51,"X","Z")</x:f>
        <x:v>Z</x:v>
      </x:c>
      <x:c r="L889" s="1" t="str">
        <x:f>IF(H889=0,IF(G889&gt;0,"Нет остатка","Нет спроса"),IF(I889&gt;='Дашборд'!$C$52,"Быстрый","Медленный"))</x:f>
        <x:v>Нет остатка</x:v>
      </x:c>
      <x:c r="M889" s="1" t="str">
        <x:f>IF('Данные'!E889&lt;'Дашборд'!$C$53,"Мало трафика",IF(J889&lt;'Дашборд'!$C$9*'Дашборд'!$C$54,"Да","Нет"))</x:f>
        <x:v>Да</x:v>
      </x:c>
      <x:c r="N889" s="1" t="str">
        <x:f>IF(AND('Данные'!D889&gt;='Дашборд'!$C$55,D889&lt;'Дашборд'!$C$56,'Данные'!E889&gt;='Дашборд'!$C$53,'Данные'!L889&lt;&gt;"Да"),"Да","Нет")</x:f>
        <x:v>Да</x:v>
      </x:c>
      <x:c r="O889" s="1" t="str">
        <x:f>'Данные'!L889</x:f>
        <x:v>Нет</x:v>
      </x:c>
    </x:row>
    <x:row r="890">
      <x:c r="A890" s="1" t="str">
        <x:f>'Данные'!A890</x:f>
        <x:v>256323209</x:v>
      </x:c>
      <x:c r="B890" s="1" t="str">
        <x:f>'Данные'!B890</x:f>
        <x:v>futhlopmanover/деним</x:v>
      </x:c>
      <x:c r="C890" s="8" t="n">
        <x:f>'Данные'!G890</x:f>
        <x:v>164591</x:v>
      </x:c>
      <x:c r="D890" s="15" t="n">
        <x:f>C890/SUM($C$5:$C$2477)</x:f>
        <x:v>0.00019227909531654695</x:v>
      </x:c>
      <x:c r="E890" s="15" t="n">
        <x:f>SUM($D$5:D890)</x:f>
        <x:v>0.9500299293636768</x:v>
      </x:c>
      <x:c r="F890" s="1" t="str">
        <x:f>IF(C890&lt;=0,"C",IF(E890-D890&lt;'Дашборд'!$C$49,"A",IF(E890-D890&lt;'Дашборд'!$C$50,"B","C")))</x:f>
        <x:v>B</x:v>
      </x:c>
      <x:c r="G890" s="8" t="n">
        <x:f>'Данные'!F890</x:f>
        <x:v>337</x:v>
      </x:c>
      <x:c r="H890" s="8" t="n">
        <x:f>SUM('Данные'!H890:I890)</x:f>
        <x:v>11</x:v>
      </x:c>
      <x:c r="I890" s="16" t="n">
        <x:f>IF(H890&gt;0,G890/H890,"n.a.")</x:f>
        <x:v>30.636363636363637</x:v>
      </x:c>
      <x:c r="J890" s="10" t="n">
        <x:f>IF('Данные'!E890&gt;0,G890/'Данные'!E890,"n.a.")</x:f>
        <x:v>0.015449502590198505</x:v>
      </x:c>
      <x:c r="K890" s="1" t="str">
        <x:f>IF(G890&gt;='Дашборд'!$C$51,"X","Z")</x:f>
        <x:v>X</x:v>
      </x:c>
      <x:c r="L890" s="1" t="str">
        <x:f>IF(H890=0,IF(G890&gt;0,"Нет остатка","Нет спроса"),IF(I890&gt;='Дашборд'!$C$52,"Быстрый","Медленный"))</x:f>
        <x:v>Быстрый</x:v>
      </x:c>
      <x:c r="M890" s="1" t="str">
        <x:f>IF('Данные'!E890&lt;'Дашборд'!$C$53,"Мало трафика",IF(J890&lt;'Дашборд'!$C$9*'Дашборд'!$C$54,"Да","Нет"))</x:f>
        <x:v>Нет</x:v>
      </x:c>
      <x:c r="N890" s="1" t="str">
        <x:f>IF(AND('Данные'!D890&gt;='Дашборд'!$C$55,D890&lt;'Дашборд'!$C$56,'Данные'!E890&gt;='Дашборд'!$C$53,'Данные'!L890&lt;&gt;"Да"),"Да","Нет")</x:f>
        <x:v>Нет</x:v>
      </x:c>
      <x:c r="O890" s="1" t="str">
        <x:f>'Данные'!L890</x:f>
        <x:v>Нет</x:v>
      </x:c>
    </x:row>
    <x:row r="891">
      <x:c r="A891" s="1" t="str">
        <x:f>'Данные'!A891</x:f>
        <x:v>250828857</x:v>
      </x:c>
      <x:c r="B891" s="1" t="str">
        <x:f>'Данные'!B891</x:f>
        <x:v>hudiprint/LoveHope-191/молочный</x:v>
      </x:c>
      <x:c r="C891" s="8" t="n">
        <x:f>'Данные'!G891</x:f>
        <x:v>164176</x:v>
      </x:c>
      <x:c r="D891" s="15" t="n">
        <x:f>C891/SUM($C$5:$C$2477)</x:f>
        <x:v>0.00019179428251052253</x:v>
      </x:c>
      <x:c r="E891" s="15" t="n">
        <x:f>SUM($D$5:D891)</x:f>
        <x:v>0.9502217236461873</x:v>
      </x:c>
      <x:c r="F891" s="1" t="str">
        <x:f>IF(C891&lt;=0,"C",IF(E891-D891&lt;'Дашборд'!$C$49,"A",IF(E891-D891&lt;'Дашборд'!$C$50,"B","C")))</x:f>
        <x:v>C</x:v>
      </x:c>
      <x:c r="G891" s="8" t="n">
        <x:f>'Данные'!F891</x:f>
        <x:v>152</x:v>
      </x:c>
      <x:c r="H891" s="8" t="n">
        <x:f>SUM('Данные'!H891:I891)</x:f>
        <x:v>16</x:v>
      </x:c>
      <x:c r="I891" s="16" t="n">
        <x:f>IF(H891&gt;0,G891/H891,"n.a.")</x:f>
        <x:v>9.5</x:v>
      </x:c>
      <x:c r="J891" s="10" t="n">
        <x:f>IF('Данные'!E891&gt;0,G891/'Данные'!E891,"n.a.")</x:f>
        <x:v>0.005558806319485079</x:v>
      </x:c>
      <x:c r="K891" s="1" t="str">
        <x:f>IF(G891&gt;='Дашборд'!$C$51,"X","Z")</x:f>
        <x:v>Z</x:v>
      </x:c>
      <x:c r="L891" s="1" t="str">
        <x:f>IF(H891=0,IF(G891&gt;0,"Нет остатка","Нет спроса"),IF(I891&gt;='Дашборд'!$C$52,"Быстрый","Медленный"))</x:f>
        <x:v>Быстрый</x:v>
      </x:c>
      <x:c r="M891" s="1" t="str">
        <x:f>IF('Данные'!E891&lt;'Дашборд'!$C$53,"Мало трафика",IF(J891&lt;'Дашборд'!$C$9*'Дашборд'!$C$54,"Да","Нет"))</x:f>
        <x:v>Да</x:v>
      </x:c>
      <x:c r="N891" s="1" t="str">
        <x:f>IF(AND('Данные'!D891&gt;='Дашборд'!$C$55,D891&lt;'Дашборд'!$C$56,'Данные'!E891&gt;='Дашборд'!$C$53,'Данные'!L891&lt;&gt;"Да"),"Да","Нет")</x:f>
        <x:v>Нет</x:v>
      </x:c>
      <x:c r="O891" s="1" t="str">
        <x:f>'Данные'!L891</x:f>
        <x:v>Нет</x:v>
      </x:c>
    </x:row>
    <x:row r="892">
      <x:c r="A892" s="1" t="str">
        <x:f>'Данные'!A892</x:f>
        <x:v>344161143</x:v>
      </x:c>
      <x:c r="B892" s="1" t="str">
        <x:f>'Данные'!B892</x:f>
        <x:v>longslim3К-81/дымка</x:v>
      </x:c>
      <x:c r="C892" s="8" t="n">
        <x:f>'Данные'!G892</x:f>
        <x:v>163878</x:v>
      </x:c>
      <x:c r="D892" s="15" t="n">
        <x:f>C892/SUM($C$5:$C$2477)</x:f>
        <x:v>0.00019144615186908812</x:v>
      </x:c>
      <x:c r="E892" s="15" t="n">
        <x:f>SUM($D$5:D892)</x:f>
        <x:v>0.9504131697980563</x:v>
      </x:c>
      <x:c r="F892" s="1" t="str">
        <x:f>IF(C892&lt;=0,"C",IF(E892-D892&lt;'Дашборд'!$C$49,"A",IF(E892-D892&lt;'Дашборд'!$C$50,"B","C")))</x:f>
        <x:v>C</x:v>
      </x:c>
      <x:c r="G892" s="8" t="n">
        <x:f>'Данные'!F892</x:f>
        <x:v>461</x:v>
      </x:c>
      <x:c r="H892" s="8" t="n">
        <x:f>SUM('Данные'!H892:I892)</x:f>
        <x:v>166</x:v>
      </x:c>
      <x:c r="I892" s="16" t="n">
        <x:f>IF(H892&gt;0,G892/H892,"n.a.")</x:f>
        <x:v>2.7771084337349397</x:v>
      </x:c>
      <x:c r="J892" s="10" t="n">
        <x:f>IF('Данные'!E892&gt;0,G892/'Данные'!E892,"n.a.")</x:f>
        <x:v>0.022727272727272728</x:v>
      </x:c>
      <x:c r="K892" s="1" t="str">
        <x:f>IF(G892&gt;='Дашборд'!$C$51,"X","Z")</x:f>
        <x:v>X</x:v>
      </x:c>
      <x:c r="L892" s="1" t="str">
        <x:f>IF(H892=0,IF(G892&gt;0,"Нет остатка","Нет спроса"),IF(I892&gt;='Дашборд'!$C$52,"Быстрый","Медленный"))</x:f>
        <x:v>Быстрый</x:v>
      </x:c>
      <x:c r="M892" s="1" t="str">
        <x:f>IF('Данные'!E892&lt;'Дашборд'!$C$53,"Мало трафика",IF(J892&lt;'Дашборд'!$C$9*'Дашборд'!$C$54,"Да","Нет"))</x:f>
        <x:v>Нет</x:v>
      </x:c>
      <x:c r="N892" s="1" t="str">
        <x:f>IF(AND('Данные'!D892&gt;='Дашборд'!$C$55,D892&lt;'Дашборд'!$C$56,'Данные'!E892&gt;='Дашборд'!$C$53,'Данные'!L892&lt;&gt;"Да"),"Да","Нет")</x:f>
        <x:v>Нет</x:v>
      </x:c>
      <x:c r="O892" s="1" t="str">
        <x:f>'Данные'!L892</x:f>
        <x:v>Нет</x:v>
      </x:c>
    </x:row>
    <x:row r="893">
      <x:c r="A893" s="1" t="str">
        <x:f>'Данные'!A893</x:f>
        <x:v>332581977</x:v>
      </x:c>
      <x:c r="B893" s="1" t="str">
        <x:f>'Данные'!B893</x:f>
        <x:v>shortyman4P-91/темно-синий</x:v>
      </x:c>
      <x:c r="C893" s="8" t="n">
        <x:f>'Данные'!G893</x:f>
        <x:v>163692</x:v>
      </x:c>
      <x:c r="D893" s="15" t="n">
        <x:f>C893/SUM($C$5:$C$2477)</x:f>
        <x:v>0.00019122886227409885</x:v>
      </x:c>
      <x:c r="E893" s="15" t="n">
        <x:f>SUM($D$5:D893)</x:f>
        <x:v>0.9506043986603304</x:v>
      </x:c>
      <x:c r="F893" s="1" t="str">
        <x:f>IF(C893&lt;=0,"C",IF(E893-D893&lt;'Дашборд'!$C$49,"A",IF(E893-D893&lt;'Дашборд'!$C$50,"B","C")))</x:f>
        <x:v>C</x:v>
      </x:c>
      <x:c r="G893" s="8" t="n">
        <x:f>'Данные'!F893</x:f>
        <x:v>313</x:v>
      </x:c>
      <x:c r="H893" s="8" t="n">
        <x:f>SUM('Данные'!H893:I893)</x:f>
        <x:v>2</x:v>
      </x:c>
      <x:c r="I893" s="16" t="n">
        <x:f>IF(H893&gt;0,G893/H893,"n.a.")</x:f>
        <x:v>156.5</x:v>
      </x:c>
      <x:c r="J893" s="10" t="n">
        <x:f>IF('Данные'!E893&gt;0,G893/'Данные'!E893,"n.a.")</x:f>
        <x:v>0.01415520984081042</x:v>
      </x:c>
      <x:c r="K893" s="1" t="str">
        <x:f>IF(G893&gt;='Дашборд'!$C$51,"X","Z")</x:f>
        <x:v>X</x:v>
      </x:c>
      <x:c r="L893" s="1" t="str">
        <x:f>IF(H893=0,IF(G893&gt;0,"Нет остатка","Нет спроса"),IF(I893&gt;='Дашборд'!$C$52,"Быстрый","Медленный"))</x:f>
        <x:v>Быстрый</x:v>
      </x:c>
      <x:c r="M893" s="1" t="str">
        <x:f>IF('Данные'!E893&lt;'Дашборд'!$C$53,"Мало трафика",IF(J893&lt;'Дашборд'!$C$9*'Дашборд'!$C$54,"Да","Нет"))</x:f>
        <x:v>Нет</x:v>
      </x:c>
      <x:c r="N893" s="1" t="str">
        <x:f>IF(AND('Данные'!D893&gt;='Дашборд'!$C$55,D893&lt;'Дашборд'!$C$56,'Данные'!E893&gt;='Дашборд'!$C$53,'Данные'!L893&lt;&gt;"Да"),"Да","Нет")</x:f>
        <x:v>Нет</x:v>
      </x:c>
      <x:c r="O893" s="1" t="str">
        <x:f>'Данные'!L893</x:f>
        <x:v>Нет</x:v>
      </x:c>
    </x:row>
    <x:row r="894">
      <x:c r="A894" s="1" t="str">
        <x:f>'Данные'!A894</x:f>
        <x:v>160478502</x:v>
      </x:c>
      <x:c r="B894" s="1" t="str">
        <x:f>'Данные'!B894</x:f>
        <x:v>shortyman/коричневый</x:v>
      </x:c>
      <x:c r="C894" s="8" t="n">
        <x:f>'Данные'!G894</x:f>
        <x:v>162076</x:v>
      </x:c>
      <x:c r="D894" s="15" t="n">
        <x:f>C894/SUM($C$5:$C$2477)</x:f>
        <x:v>0.00018934101288967602</x:v>
      </x:c>
      <x:c r="E894" s="15" t="n">
        <x:f>SUM($D$5:D894)</x:f>
        <x:v>0.9507937396732201</x:v>
      </x:c>
      <x:c r="F894" s="1" t="str">
        <x:f>IF(C894&lt;=0,"C",IF(E894-D894&lt;'Дашборд'!$C$49,"A",IF(E894-D894&lt;'Дашборд'!$C$50,"B","C")))</x:f>
        <x:v>C</x:v>
      </x:c>
      <x:c r="G894" s="8" t="n">
        <x:f>'Данные'!F894</x:f>
        <x:v>272</x:v>
      </x:c>
      <x:c r="H894" s="8" t="n">
        <x:f>SUM('Данные'!H894:I894)</x:f>
        <x:v>1</x:v>
      </x:c>
      <x:c r="I894" s="16" t="n">
        <x:f>IF(H894&gt;0,G894/H894,"n.a.")</x:f>
        <x:v>272</x:v>
      </x:c>
      <x:c r="J894" s="10" t="n">
        <x:f>IF('Данные'!E894&gt;0,G894/'Данные'!E894,"n.a.")</x:f>
        <x:v>0.02068126520681265</x:v>
      </x:c>
      <x:c r="K894" s="1" t="str">
        <x:f>IF(G894&gt;='Дашборд'!$C$51,"X","Z")</x:f>
        <x:v>X</x:v>
      </x:c>
      <x:c r="L894" s="1" t="str">
        <x:f>IF(H894=0,IF(G894&gt;0,"Нет остатка","Нет спроса"),IF(I894&gt;='Дашборд'!$C$52,"Быстрый","Медленный"))</x:f>
        <x:v>Быстрый</x:v>
      </x:c>
      <x:c r="M894" s="1" t="str">
        <x:f>IF('Данные'!E894&lt;'Дашборд'!$C$53,"Мало трафика",IF(J894&lt;'Дашборд'!$C$9*'Дашборд'!$C$54,"Да","Нет"))</x:f>
        <x:v>Нет</x:v>
      </x:c>
      <x:c r="N894" s="1" t="str">
        <x:f>IF(AND('Данные'!D894&gt;='Дашборд'!$C$55,D894&lt;'Дашборд'!$C$56,'Данные'!E894&gt;='Дашборд'!$C$53,'Данные'!L894&lt;&gt;"Да"),"Да","Нет")</x:f>
        <x:v>Нет</x:v>
      </x:c>
      <x:c r="O894" s="1" t="str">
        <x:f>'Данные'!L894</x:f>
        <x:v>Нет</x:v>
      </x:c>
    </x:row>
    <x:row r="895">
      <x:c r="A895" s="1" t="str">
        <x:f>'Данные'!A895</x:f>
        <x:v>311071834</x:v>
      </x:c>
      <x:c r="B895" s="1" t="str">
        <x:f>'Данные'!B895</x:f>
        <x:v>brukipetl/графит</x:v>
      </x:c>
      <x:c r="C895" s="8" t="n">
        <x:f>'Данные'!G895</x:f>
        <x:v>161710</x:v>
      </x:c>
      <x:c r="D895" s="15" t="n">
        <x:f>C895/SUM($C$5:$C$2477)</x:f>
        <x:v>0.00018891344304147135</x:v>
      </x:c>
      <x:c r="E895" s="15" t="n">
        <x:f>SUM($D$5:D895)</x:f>
        <x:v>0.9509826531162616</x:v>
      </x:c>
      <x:c r="F895" s="1" t="str">
        <x:f>IF(C895&lt;=0,"C",IF(E895-D895&lt;'Дашборд'!$C$49,"A",IF(E895-D895&lt;'Дашборд'!$C$50,"B","C")))</x:f>
        <x:v>C</x:v>
      </x:c>
      <x:c r="G895" s="8" t="n">
        <x:f>'Данные'!F895</x:f>
        <x:v>256</x:v>
      </x:c>
      <x:c r="H895" s="8" t="n">
        <x:f>SUM('Данные'!H895:I895)</x:f>
        <x:v>146</x:v>
      </x:c>
      <x:c r="I895" s="16" t="n">
        <x:f>IF(H895&gt;0,G895/H895,"n.a.")</x:f>
        <x:v>1.7534246575342465</x:v>
      </x:c>
      <x:c r="J895" s="10" t="n">
        <x:f>IF('Данные'!E895&gt;0,G895/'Данные'!E895,"n.a.")</x:f>
        <x:v>0.01434012995742774</x:v>
      </x:c>
      <x:c r="K895" s="1" t="str">
        <x:f>IF(G895&gt;='Дашборд'!$C$51,"X","Z")</x:f>
        <x:v>Z</x:v>
      </x:c>
      <x:c r="L895" s="1" t="str">
        <x:f>IF(H895=0,IF(G895&gt;0,"Нет остатка","Нет спроса"),IF(I895&gt;='Дашборд'!$C$52,"Быстрый","Медленный"))</x:f>
        <x:v>Быстрый</x:v>
      </x:c>
      <x:c r="M895" s="1" t="str">
        <x:f>IF('Данные'!E895&lt;'Дашборд'!$C$53,"Мало трафика",IF(J895&lt;'Дашборд'!$C$9*'Дашборд'!$C$54,"Да","Нет"))</x:f>
        <x:v>Нет</x:v>
      </x:c>
      <x:c r="N895" s="1" t="str">
        <x:f>IF(AND('Данные'!D895&gt;='Дашборд'!$C$55,D895&lt;'Дашборд'!$C$56,'Данные'!E895&gt;='Дашборд'!$C$53,'Данные'!L895&lt;&gt;"Да"),"Да","Нет")</x:f>
        <x:v>Нет</x:v>
      </x:c>
      <x:c r="O895" s="1" t="str">
        <x:f>'Данные'!L895</x:f>
        <x:v>Нет</x:v>
      </x:c>
    </x:row>
    <x:row r="896">
      <x:c r="A896" s="1" t="str">
        <x:f>'Данные'!A896</x:f>
        <x:v>234264520</x:v>
      </x:c>
      <x:c r="B896" s="1" t="str">
        <x:f>'Данные'!B896</x:f>
        <x:v>hudimanpetl/черный</x:v>
      </x:c>
      <x:c r="C896" s="8" t="n">
        <x:f>'Данные'!G896</x:f>
        <x:v>161503</x:v>
      </x:c>
      <x:c r="D896" s="15" t="n">
        <x:f>C896/SUM($C$5:$C$2477)</x:f>
        <x:v>0.00018867162075027362</x:v>
      </x:c>
      <x:c r="E896" s="15" t="n">
        <x:f>SUM($D$5:D896)</x:f>
        <x:v>0.9511713247370119</x:v>
      </x:c>
      <x:c r="F896" s="1" t="str">
        <x:f>IF(C896&lt;=0,"C",IF(E896-D896&lt;'Дашборд'!$C$49,"A",IF(E896-D896&lt;'Дашборд'!$C$50,"B","C")))</x:f>
        <x:v>C</x:v>
      </x:c>
      <x:c r="G896" s="8" t="n">
        <x:f>'Данные'!F896</x:f>
        <x:v>125</x:v>
      </x:c>
      <x:c r="H896" s="8" t="n">
        <x:f>SUM('Данные'!H896:I896)</x:f>
        <x:v>0</x:v>
      </x:c>
      <x:c r="I896" s="16" t="str">
        <x:f>IF(H896&gt;0,G896/H896,"n.a.")</x:f>
        <x:v>n.a.</x:v>
      </x:c>
      <x:c r="J896" s="10" t="n">
        <x:f>IF('Данные'!E896&gt;0,G896/'Данные'!E896,"n.a.")</x:f>
        <x:v>0.01377258704275011</x:v>
      </x:c>
      <x:c r="K896" s="1" t="str">
        <x:f>IF(G896&gt;='Дашборд'!$C$51,"X","Z")</x:f>
        <x:v>Z</x:v>
      </x:c>
      <x:c r="L896" s="1" t="str">
        <x:f>IF(H896=0,IF(G896&gt;0,"Нет остатка","Нет спроса"),IF(I896&gt;='Дашборд'!$C$52,"Быстрый","Медленный"))</x:f>
        <x:v>Нет остатка</x:v>
      </x:c>
      <x:c r="M896" s="1" t="str">
        <x:f>IF('Данные'!E896&lt;'Дашборд'!$C$53,"Мало трафика",IF(J896&lt;'Дашборд'!$C$9*'Дашборд'!$C$54,"Да","Нет"))</x:f>
        <x:v>Нет</x:v>
      </x:c>
      <x:c r="N896" s="1" t="str">
        <x:f>IF(AND('Данные'!D896&gt;='Дашборд'!$C$55,D896&lt;'Дашборд'!$C$56,'Данные'!E896&gt;='Дашборд'!$C$53,'Данные'!L896&lt;&gt;"Да"),"Да","Нет")</x:f>
        <x:v>Нет</x:v>
      </x:c>
      <x:c r="O896" s="1" t="str">
        <x:f>'Данные'!L896</x:f>
        <x:v>Нет</x:v>
      </x:c>
    </x:row>
    <x:row r="897">
      <x:c r="A897" s="1" t="str">
        <x:f>'Данные'!A897</x:f>
        <x:v>321850392</x:v>
      </x:c>
      <x:c r="B897" s="1" t="str">
        <x:f>'Данные'!B897</x:f>
        <x:v>tankman4K-S12/белый</x:v>
      </x:c>
      <x:c r="C897" s="8" t="n">
        <x:f>'Данные'!G897</x:f>
        <x:v>160585</x:v>
      </x:c>
      <x:c r="D897" s="15" t="n">
        <x:f>C897/SUM($C$5:$C$2477)</x:f>
        <x:v>0.000187599191458875</x:v>
      </x:c>
      <x:c r="E897" s="15" t="n">
        <x:f>SUM($D$5:D897)</x:f>
        <x:v>0.9513589239284708</x:v>
      </x:c>
      <x:c r="F897" s="1" t="str">
        <x:f>IF(C897&lt;=0,"C",IF(E897-D897&lt;'Дашборд'!$C$49,"A",IF(E897-D897&lt;'Дашборд'!$C$50,"B","C")))</x:f>
        <x:v>C</x:v>
      </x:c>
      <x:c r="G897" s="8" t="n">
        <x:f>'Данные'!F897</x:f>
        <x:v>287</x:v>
      </x:c>
      <x:c r="H897" s="8" t="n">
        <x:f>SUM('Данные'!H897:I897)</x:f>
        <x:v>0</x:v>
      </x:c>
      <x:c r="I897" s="16" t="str">
        <x:f>IF(H897&gt;0,G897/H897,"n.a.")</x:f>
        <x:v>n.a.</x:v>
      </x:c>
      <x:c r="J897" s="10" t="n">
        <x:f>IF('Данные'!E897&gt;0,G897/'Данные'!E897,"n.a.")</x:f>
        <x:v>0.010959217962425539</x:v>
      </x:c>
      <x:c r="K897" s="1" t="str">
        <x:f>IF(G897&gt;='Дашборд'!$C$51,"X","Z")</x:f>
        <x:v>X</x:v>
      </x:c>
      <x:c r="L897" s="1" t="str">
        <x:f>IF(H897=0,IF(G897&gt;0,"Нет остатка","Нет спроса"),IF(I897&gt;='Дашборд'!$C$52,"Быстрый","Медленный"))</x:f>
        <x:v>Нет остатка</x:v>
      </x:c>
      <x:c r="M897" s="1" t="str">
        <x:f>IF('Данные'!E897&lt;'Дашборд'!$C$53,"Мало трафика",IF(J897&lt;'Дашборд'!$C$9*'Дашборд'!$C$54,"Да","Нет"))</x:f>
        <x:v>Нет</x:v>
      </x:c>
      <x:c r="N897" s="1" t="str">
        <x:f>IF(AND('Данные'!D897&gt;='Дашборд'!$C$55,D897&lt;'Дашборд'!$C$56,'Данные'!E897&gt;='Дашборд'!$C$53,'Данные'!L897&lt;&gt;"Да"),"Да","Нет")</x:f>
        <x:v>Нет</x:v>
      </x:c>
      <x:c r="O897" s="1" t="str">
        <x:f>'Данные'!L897</x:f>
        <x:v>Нет</x:v>
      </x:c>
    </x:row>
    <x:row r="898">
      <x:c r="A898" s="1" t="str">
        <x:f>'Данные'!A898</x:f>
        <x:v>246363198</x:v>
      </x:c>
      <x:c r="B898" s="1" t="str">
        <x:f>'Данные'!B898</x:f>
        <x:v>tolstovkazipcrop/красный</x:v>
      </x:c>
      <x:c r="C898" s="8" t="n">
        <x:f>'Данные'!G898</x:f>
        <x:v>160380</x:v>
      </x:c>
      <x:c r="D898" s="15" t="n">
        <x:f>C898/SUM($C$5:$C$2477)</x:f>
        <x:v>0.00018735970561493522</x:v>
      </x:c>
      <x:c r="E898" s="15" t="n">
        <x:f>SUM($D$5:D898)</x:f>
        <x:v>0.9515462836340857</x:v>
      </x:c>
      <x:c r="F898" s="1" t="str">
        <x:f>IF(C898&lt;=0,"C",IF(E898-D898&lt;'Дашборд'!$C$49,"A",IF(E898-D898&lt;'Дашборд'!$C$50,"B","C")))</x:f>
        <x:v>C</x:v>
      </x:c>
      <x:c r="G898" s="8" t="n">
        <x:f>'Данные'!F898</x:f>
        <x:v>139</x:v>
      </x:c>
      <x:c r="H898" s="8" t="n">
        <x:f>SUM('Данные'!H898:I898)</x:f>
        <x:v>0</x:v>
      </x:c>
      <x:c r="I898" s="16" t="str">
        <x:f>IF(H898&gt;0,G898/H898,"n.a.")</x:f>
        <x:v>n.a.</x:v>
      </x:c>
      <x:c r="J898" s="10" t="n">
        <x:f>IF('Данные'!E898&gt;0,G898/'Данные'!E898,"n.a.")</x:f>
        <x:v>0.007802851689682273</x:v>
      </x:c>
      <x:c r="K898" s="1" t="str">
        <x:f>IF(G898&gt;='Дашборд'!$C$51,"X","Z")</x:f>
        <x:v>Z</x:v>
      </x:c>
      <x:c r="L898" s="1" t="str">
        <x:f>IF(H898=0,IF(G898&gt;0,"Нет остатка","Нет спроса"),IF(I898&gt;='Дашборд'!$C$52,"Быстрый","Медленный"))</x:f>
        <x:v>Нет остатка</x:v>
      </x:c>
      <x:c r="M898" s="1" t="str">
        <x:f>IF('Данные'!E898&lt;'Дашборд'!$C$53,"Мало трафика",IF(J898&lt;'Дашборд'!$C$9*'Дашборд'!$C$54,"Да","Нет"))</x:f>
        <x:v>Да</x:v>
      </x:c>
      <x:c r="N898" s="1" t="str">
        <x:f>IF(AND('Данные'!D898&gt;='Дашборд'!$C$55,D898&lt;'Дашборд'!$C$56,'Данные'!E898&gt;='Дашборд'!$C$53,'Данные'!L898&lt;&gt;"Да"),"Да","Нет")</x:f>
        <x:v>Да</x:v>
      </x:c>
      <x:c r="O898" s="1" t="str">
        <x:f>'Данные'!L898</x:f>
        <x:v>Нет</x:v>
      </x:c>
    </x:row>
    <x:row r="899">
      <x:c r="A899" s="1" t="str">
        <x:f>'Данные'!A899</x:f>
        <x:v>204501064</x:v>
      </x:c>
      <x:c r="B899" s="1" t="str">
        <x:f>'Данные'!B899</x:f>
        <x:v>Futbolkaprint/ZelMoreSelf-63/молочный</x:v>
      </x:c>
      <x:c r="C899" s="8" t="n">
        <x:f>'Данные'!G899</x:f>
        <x:v>160372</x:v>
      </x:c>
      <x:c r="D899" s="15" t="n">
        <x:f>C899/SUM($C$5:$C$2477)</x:f>
        <x:v>0.00018735035982590342</x:v>
      </x:c>
      <x:c r="E899" s="15" t="n">
        <x:f>SUM($D$5:D899)</x:f>
        <x:v>0.9517336339939115</x:v>
      </x:c>
      <x:c r="F899" s="1" t="str">
        <x:f>IF(C899&lt;=0,"C",IF(E899-D899&lt;'Дашборд'!$C$49,"A",IF(E899-D899&lt;'Дашборд'!$C$50,"B","C")))</x:f>
        <x:v>C</x:v>
      </x:c>
      <x:c r="G899" s="8" t="n">
        <x:f>'Данные'!F899</x:f>
        <x:v>291</x:v>
      </x:c>
      <x:c r="H899" s="8" t="n">
        <x:f>SUM('Данные'!H899:I899)</x:f>
        <x:v>292</x:v>
      </x:c>
      <x:c r="I899" s="16" t="n">
        <x:f>IF(H899&gt;0,G899/H899,"n.a.")</x:f>
        <x:v>0.9965753424657534</x:v>
      </x:c>
      <x:c r="J899" s="10" t="n">
        <x:f>IF('Данные'!E899&gt;0,G899/'Данные'!E899,"n.a.")</x:f>
        <x:v>0.010225595614589921</x:v>
      </x:c>
      <x:c r="K899" s="1" t="str">
        <x:f>IF(G899&gt;='Дашборд'!$C$51,"X","Z")</x:f>
        <x:v>X</x:v>
      </x:c>
      <x:c r="L899" s="1" t="str">
        <x:f>IF(H899=0,IF(G899&gt;0,"Нет остатка","Нет спроса"),IF(I899&gt;='Дашборд'!$C$52,"Быстрый","Медленный"))</x:f>
        <x:v>Медленный</x:v>
      </x:c>
      <x:c r="M899" s="1" t="str">
        <x:f>IF('Данные'!E899&lt;'Дашборд'!$C$53,"Мало трафика",IF(J899&lt;'Дашборд'!$C$9*'Дашборд'!$C$54,"Да","Нет"))</x:f>
        <x:v>Нет</x:v>
      </x:c>
      <x:c r="N899" s="1" t="str">
        <x:f>IF(AND('Данные'!D899&gt;='Дашборд'!$C$55,D899&lt;'Дашборд'!$C$56,'Данные'!E899&gt;='Дашборд'!$C$53,'Данные'!L899&lt;&gt;"Да"),"Да","Нет")</x:f>
        <x:v>Нет</x:v>
      </x:c>
      <x:c r="O899" s="1" t="str">
        <x:f>'Данные'!L899</x:f>
        <x:v>Нет</x:v>
      </x:c>
    </x:row>
    <x:row r="900">
      <x:c r="A900" s="1" t="str">
        <x:f>'Данные'!A900</x:f>
        <x:v>320424593</x:v>
      </x:c>
      <x:c r="B900" s="1" t="str">
        <x:f>'Данные'!B900</x:f>
        <x:v>brukizshp3P-S-1/графит</x:v>
      </x:c>
      <x:c r="C900" s="8" t="n">
        <x:f>'Данные'!G900</x:f>
        <x:v>159823</x:v>
      </x:c>
      <x:c r="D900" s="15" t="n">
        <x:f>C900/SUM($C$5:$C$2477)</x:f>
        <x:v>0.0001867090050535964</x:v>
      </x:c>
      <x:c r="E900" s="15" t="n">
        <x:f>SUM($D$5:D900)</x:f>
        <x:v>0.9519203429989651</x:v>
      </x:c>
      <x:c r="F900" s="1" t="str">
        <x:f>IF(C900&lt;=0,"C",IF(E900-D900&lt;'Дашборд'!$C$49,"A",IF(E900-D900&lt;'Дашборд'!$C$50,"B","C")))</x:f>
        <x:v>C</x:v>
      </x:c>
      <x:c r="G900" s="8" t="n">
        <x:f>'Данные'!F900</x:f>
        <x:v>188</x:v>
      </x:c>
      <x:c r="H900" s="8" t="n">
        <x:f>SUM('Данные'!H900:I900)</x:f>
        <x:v>319</x:v>
      </x:c>
      <x:c r="I900" s="16" t="n">
        <x:f>IF(H900&gt;0,G900/H900,"n.a.")</x:f>
        <x:v>0.5893416927899686</x:v>
      </x:c>
      <x:c r="J900" s="10" t="n">
        <x:f>IF('Данные'!E900&gt;0,G900/'Данные'!E900,"n.a.")</x:f>
        <x:v>0.008820907427391732</x:v>
      </x:c>
      <x:c r="K900" s="1" t="str">
        <x:f>IF(G900&gt;='Дашборд'!$C$51,"X","Z")</x:f>
        <x:v>Z</x:v>
      </x:c>
      <x:c r="L900" s="1" t="str">
        <x:f>IF(H900=0,IF(G900&gt;0,"Нет остатка","Нет спроса"),IF(I900&gt;='Дашборд'!$C$52,"Быстрый","Медленный"))</x:f>
        <x:v>Медленный</x:v>
      </x:c>
      <x:c r="M900" s="1" t="str">
        <x:f>IF('Данные'!E900&lt;'Дашборд'!$C$53,"Мало трафика",IF(J900&lt;'Дашборд'!$C$9*'Дашборд'!$C$54,"Да","Нет"))</x:f>
        <x:v>Да</x:v>
      </x:c>
      <x:c r="N900" s="1" t="str">
        <x:f>IF(AND('Данные'!D900&gt;='Дашборд'!$C$55,D900&lt;'Дашборд'!$C$56,'Данные'!E900&gt;='Дашборд'!$C$53,'Данные'!L900&lt;&gt;"Да"),"Да","Нет")</x:f>
        <x:v>Нет</x:v>
      </x:c>
      <x:c r="O900" s="1" t="str">
        <x:f>'Данные'!L900</x:f>
        <x:v>Нет</x:v>
      </x:c>
    </x:row>
    <x:row r="901">
      <x:c r="A901" s="1" t="str">
        <x:f>'Данные'!A901</x:f>
        <x:v>245583530</x:v>
      </x:c>
      <x:c r="B901" s="1" t="str">
        <x:f>'Данные'!B901</x:f>
        <x:v>hudiprint/MICHIGAN-102/дымка</x:v>
      </x:c>
      <x:c r="C901" s="8" t="n">
        <x:f>'Данные'!G901</x:f>
        <x:v>159487</x:v>
      </x:c>
      <x:c r="D901" s="15" t="n">
        <x:f>C901/SUM($C$5:$C$2477)</x:f>
        <x:v>0.00018631648191426095</x:v>
      </x:c>
      <x:c r="E901" s="15" t="n">
        <x:f>SUM($D$5:D901)</x:f>
        <x:v>0.9521066594808794</x:v>
      </x:c>
      <x:c r="F901" s="1" t="str">
        <x:f>IF(C901&lt;=0,"C",IF(E901-D901&lt;'Дашборд'!$C$49,"A",IF(E901-D901&lt;'Дашборд'!$C$50,"B","C")))</x:f>
        <x:v>C</x:v>
      </x:c>
      <x:c r="G901" s="8" t="n">
        <x:f>'Данные'!F901</x:f>
        <x:v>139</x:v>
      </x:c>
      <x:c r="H901" s="8" t="n">
        <x:f>SUM('Данные'!H901:I901)</x:f>
        <x:v>129</x:v>
      </x:c>
      <x:c r="I901" s="16" t="n">
        <x:f>IF(H901&gt;0,G901/H901,"n.a.")</x:f>
        <x:v>1.0775193798449612</x:v>
      </x:c>
      <x:c r="J901" s="10" t="n">
        <x:f>IF('Данные'!E901&gt;0,G901/'Данные'!E901,"n.a.")</x:f>
        <x:v>0.005530357284952654</x:v>
      </x:c>
      <x:c r="K901" s="1" t="str">
        <x:f>IF(G901&gt;='Дашборд'!$C$51,"X","Z")</x:f>
        <x:v>Z</x:v>
      </x:c>
      <x:c r="L901" s="1" t="str">
        <x:f>IF(H901=0,IF(G901&gt;0,"Нет остатка","Нет спроса"),IF(I901&gt;='Дашборд'!$C$52,"Быстрый","Медленный"))</x:f>
        <x:v>Быстрый</x:v>
      </x:c>
      <x:c r="M901" s="1" t="str">
        <x:f>IF('Данные'!E901&lt;'Дашборд'!$C$53,"Мало трафика",IF(J901&lt;'Дашборд'!$C$9*'Дашборд'!$C$54,"Да","Нет"))</x:f>
        <x:v>Да</x:v>
      </x:c>
      <x:c r="N901" s="1" t="str">
        <x:f>IF(AND('Данные'!D901&gt;='Дашборд'!$C$55,D901&lt;'Дашборд'!$C$56,'Данные'!E901&gt;='Дашборд'!$C$53,'Данные'!L901&lt;&gt;"Да"),"Да","Нет")</x:f>
        <x:v>Да</x:v>
      </x:c>
      <x:c r="O901" s="1" t="str">
        <x:f>'Данные'!L901</x:f>
        <x:v>Нет</x:v>
      </x:c>
    </x:row>
    <x:row r="902">
      <x:c r="A902" s="1" t="str">
        <x:f>'Данные'!A902</x:f>
        <x:v>183793817</x:v>
      </x:c>
      <x:c r="B902" s="1" t="str">
        <x:f>'Данные'!B902</x:f>
        <x:v>hudiprint/NEED-15/песочный</x:v>
      </x:c>
      <x:c r="C902" s="8" t="n">
        <x:f>'Данные'!G902</x:f>
        <x:v>159441</x:v>
      </x:c>
      <x:c r="D902" s="15" t="n">
        <x:f>C902/SUM($C$5:$C$2477)</x:f>
        <x:v>0.00018626274362732812</x:v>
      </x:c>
      <x:c r="E902" s="15" t="n">
        <x:f>SUM($D$5:D902)</x:f>
        <x:v>0.9522929222245067</x:v>
      </x:c>
      <x:c r="F902" s="1" t="str">
        <x:f>IF(C902&lt;=0,"C",IF(E902-D902&lt;'Дашборд'!$C$49,"A",IF(E902-D902&lt;'Дашборд'!$C$50,"B","C")))</x:f>
        <x:v>C</x:v>
      </x:c>
      <x:c r="G902" s="8" t="n">
        <x:f>'Данные'!F902</x:f>
        <x:v>155</x:v>
      </x:c>
      <x:c r="H902" s="8" t="n">
        <x:f>SUM('Данные'!H902:I902)</x:f>
        <x:v>1</x:v>
      </x:c>
      <x:c r="I902" s="16" t="n">
        <x:f>IF(H902&gt;0,G902/H902,"n.a.")</x:f>
        <x:v>155</x:v>
      </x:c>
      <x:c r="J902" s="10" t="n">
        <x:f>IF('Данные'!E902&gt;0,G902/'Данные'!E902,"n.a.")</x:f>
        <x:v>0.014606106294760649</x:v>
      </x:c>
      <x:c r="K902" s="1" t="str">
        <x:f>IF(G902&gt;='Дашборд'!$C$51,"X","Z")</x:f>
        <x:v>Z</x:v>
      </x:c>
      <x:c r="L902" s="1" t="str">
        <x:f>IF(H902=0,IF(G902&gt;0,"Нет остатка","Нет спроса"),IF(I902&gt;='Дашборд'!$C$52,"Быстрый","Медленный"))</x:f>
        <x:v>Быстрый</x:v>
      </x:c>
      <x:c r="M902" s="1" t="str">
        <x:f>IF('Данные'!E902&lt;'Дашборд'!$C$53,"Мало трафика",IF(J902&lt;'Дашборд'!$C$9*'Дашборд'!$C$54,"Да","Нет"))</x:f>
        <x:v>Нет</x:v>
      </x:c>
      <x:c r="N902" s="1" t="str">
        <x:f>IF(AND('Данные'!D902&gt;='Дашборд'!$C$55,D902&lt;'Дашборд'!$C$56,'Данные'!E902&gt;='Дашборд'!$C$53,'Данные'!L902&lt;&gt;"Да"),"Да","Нет")</x:f>
        <x:v>Да</x:v>
      </x:c>
      <x:c r="O902" s="1" t="str">
        <x:f>'Данные'!L902</x:f>
        <x:v>Нет</x:v>
      </x:c>
    </x:row>
    <x:row r="903">
      <x:c r="A903" s="1" t="str">
        <x:f>'Данные'!A903</x:f>
        <x:v>19077495</x:v>
      </x:c>
      <x:c r="B903" s="1" t="str">
        <x:f>'Данные'!B903</x:f>
        <x:v>bruki/розовый</x:v>
      </x:c>
      <x:c r="C903" s="8" t="n">
        <x:f>'Данные'!G903</x:f>
        <x:v>159143</x:v>
      </x:c>
      <x:c r="D903" s="15" t="n">
        <x:f>C903/SUM($C$5:$C$2477)</x:f>
        <x:v>0.00018591461298589373</x:v>
      </x:c>
      <x:c r="E903" s="15" t="n">
        <x:f>SUM($D$5:D903)</x:f>
        <x:v>0.9524788368374926</x:v>
      </x:c>
      <x:c r="F903" s="1" t="str">
        <x:f>IF(C903&lt;=0,"C",IF(E903-D903&lt;'Дашборд'!$C$49,"A",IF(E903-D903&lt;'Дашборд'!$C$50,"B","C")))</x:f>
        <x:v>C</x:v>
      </x:c>
      <x:c r="G903" s="8" t="n">
        <x:f>'Данные'!F903</x:f>
        <x:v>320</x:v>
      </x:c>
      <x:c r="H903" s="8" t="n">
        <x:f>SUM('Данные'!H903:I903)</x:f>
        <x:v>307</x:v>
      </x:c>
      <x:c r="I903" s="16" t="n">
        <x:f>IF(H903&gt;0,G903/H903,"n.a.")</x:f>
        <x:v>1.0423452768729642</x:v>
      </x:c>
      <x:c r="J903" s="10" t="n">
        <x:f>IF('Данные'!E903&gt;0,G903/'Данные'!E903,"n.a.")</x:f>
        <x:v>0.02394492666866208</x:v>
      </x:c>
      <x:c r="K903" s="1" t="str">
        <x:f>IF(G903&gt;='Дашборд'!$C$51,"X","Z")</x:f>
        <x:v>X</x:v>
      </x:c>
      <x:c r="L903" s="1" t="str">
        <x:f>IF(H903=0,IF(G903&gt;0,"Нет остатка","Нет спроса"),IF(I903&gt;='Дашборд'!$C$52,"Быстрый","Медленный"))</x:f>
        <x:v>Быстрый</x:v>
      </x:c>
      <x:c r="M903" s="1" t="str">
        <x:f>IF('Данные'!E903&lt;'Дашборд'!$C$53,"Мало трафика",IF(J903&lt;'Дашборд'!$C$9*'Дашборд'!$C$54,"Да","Нет"))</x:f>
        <x:v>Нет</x:v>
      </x:c>
      <x:c r="N903" s="1" t="str">
        <x:f>IF(AND('Данные'!D903&gt;='Дашборд'!$C$55,D903&lt;'Дашборд'!$C$56,'Данные'!E903&gt;='Дашборд'!$C$53,'Данные'!L903&lt;&gt;"Да"),"Да","Нет")</x:f>
        <x:v>Нет</x:v>
      </x:c>
      <x:c r="O903" s="1" t="str">
        <x:f>'Данные'!L903</x:f>
        <x:v>Нет</x:v>
      </x:c>
    </x:row>
    <x:row r="904">
      <x:c r="A904" s="1" t="str">
        <x:f>'Данные'!A904</x:f>
        <x:v>234287033</x:v>
      </x:c>
      <x:c r="B904" s="1" t="str">
        <x:f>'Данные'!B904</x:f>
        <x:v>svitshotpetl/молочный</x:v>
      </x:c>
      <x:c r="C904" s="8" t="n">
        <x:f>'Данные'!G904</x:f>
        <x:v>158553</x:v>
      </x:c>
      <x:c r="D904" s="15" t="n">
        <x:f>C904/SUM($C$5:$C$2477)</x:f>
        <x:v>0.00018522536104479876</x:v>
      </x:c>
      <x:c r="E904" s="15" t="n">
        <x:f>SUM($D$5:D904)</x:f>
        <x:v>0.9526640621985374</x:v>
      </x:c>
      <x:c r="F904" s="1" t="str">
        <x:f>IF(C904&lt;=0,"C",IF(E904-D904&lt;'Дашборд'!$C$49,"A",IF(E904-D904&lt;'Дашборд'!$C$50,"B","C")))</x:f>
        <x:v>C</x:v>
      </x:c>
      <x:c r="G904" s="8" t="n">
        <x:f>'Данные'!F904</x:f>
        <x:v>197</x:v>
      </x:c>
      <x:c r="H904" s="8" t="n">
        <x:f>SUM('Данные'!H904:I904)</x:f>
        <x:v>42</x:v>
      </x:c>
      <x:c r="I904" s="16" t="n">
        <x:f>IF(H904&gt;0,G904/H904,"n.a.")</x:f>
        <x:v>4.690476190476191</x:v>
      </x:c>
      <x:c r="J904" s="10" t="n">
        <x:f>IF('Данные'!E904&gt;0,G904/'Данные'!E904,"n.a.")</x:f>
        <x:v>0.019325093192073768</x:v>
      </x:c>
      <x:c r="K904" s="1" t="str">
        <x:f>IF(G904&gt;='Дашборд'!$C$51,"X","Z")</x:f>
        <x:v>Z</x:v>
      </x:c>
      <x:c r="L904" s="1" t="str">
        <x:f>IF(H904=0,IF(G904&gt;0,"Нет остатка","Нет спроса"),IF(I904&gt;='Дашборд'!$C$52,"Быстрый","Медленный"))</x:f>
        <x:v>Быстрый</x:v>
      </x:c>
      <x:c r="M904" s="1" t="str">
        <x:f>IF('Данные'!E904&lt;'Дашборд'!$C$53,"Мало трафика",IF(J904&lt;'Дашборд'!$C$9*'Дашборд'!$C$54,"Да","Нет"))</x:f>
        <x:v>Нет</x:v>
      </x:c>
      <x:c r="N904" s="1" t="str">
        <x:f>IF(AND('Данные'!D904&gt;='Дашборд'!$C$55,D904&lt;'Дашборд'!$C$56,'Данные'!E904&gt;='Дашборд'!$C$53,'Данные'!L904&lt;&gt;"Да"),"Да","Нет")</x:f>
        <x:v>Нет</x:v>
      </x:c>
      <x:c r="O904" s="1" t="str">
        <x:f>'Данные'!L904</x:f>
        <x:v>Нет</x:v>
      </x:c>
    </x:row>
    <x:row r="905">
      <x:c r="A905" s="1" t="str">
        <x:f>'Данные'!A905</x:f>
        <x:v>289404046</x:v>
      </x:c>
      <x:c r="B905" s="1" t="str">
        <x:f>'Данные'!B905</x:f>
        <x:v>brukikarman3P-S-2/дымка</x:v>
      </x:c>
      <x:c r="C905" s="8" t="n">
        <x:f>'Данные'!G905</x:f>
        <x:v>158501</x:v>
      </x:c>
      <x:c r="D905" s="15" t="n">
        <x:f>C905/SUM($C$5:$C$2477)</x:f>
        <x:v>0.00018516461341609207</x:v>
      </x:c>
      <x:c r="E905" s="15" t="n">
        <x:f>SUM($D$5:D905)</x:f>
        <x:v>0.9528492268119535</x:v>
      </x:c>
      <x:c r="F905" s="1" t="str">
        <x:f>IF(C905&lt;=0,"C",IF(E905-D905&lt;'Дашборд'!$C$49,"A",IF(E905-D905&lt;'Дашборд'!$C$50,"B","C")))</x:f>
        <x:v>C</x:v>
      </x:c>
      <x:c r="G905" s="8" t="n">
        <x:f>'Данные'!F905</x:f>
        <x:v>345</x:v>
      </x:c>
      <x:c r="H905" s="8" t="n">
        <x:f>SUM('Данные'!H905:I905)</x:f>
        <x:v>64</x:v>
      </x:c>
      <x:c r="I905" s="16" t="n">
        <x:f>IF(H905&gt;0,G905/H905,"n.a.")</x:f>
        <x:v>5.390625</x:v>
      </x:c>
      <x:c r="J905" s="10" t="n">
        <x:f>IF('Данные'!E905&gt;0,G905/'Данные'!E905,"n.a.")</x:f>
        <x:v>0.010175190231817377</x:v>
      </x:c>
      <x:c r="K905" s="1" t="str">
        <x:f>IF(G905&gt;='Дашборд'!$C$51,"X","Z")</x:f>
        <x:v>X</x:v>
      </x:c>
      <x:c r="L905" s="1" t="str">
        <x:f>IF(H905=0,IF(G905&gt;0,"Нет остатка","Нет спроса"),IF(I905&gt;='Дашборд'!$C$52,"Быстрый","Медленный"))</x:f>
        <x:v>Быстрый</x:v>
      </x:c>
      <x:c r="M905" s="1" t="str">
        <x:f>IF('Данные'!E905&lt;'Дашборд'!$C$53,"Мало трафика",IF(J905&lt;'Дашборд'!$C$9*'Дашборд'!$C$54,"Да","Нет"))</x:f>
        <x:v>Нет</x:v>
      </x:c>
      <x:c r="N905" s="1" t="str">
        <x:f>IF(AND('Данные'!D905&gt;='Дашборд'!$C$55,D905&lt;'Дашборд'!$C$56,'Данные'!E905&gt;='Дашборд'!$C$53,'Данные'!L905&lt;&gt;"Да"),"Да","Нет")</x:f>
        <x:v>Нет</x:v>
      </x:c>
      <x:c r="O905" s="1" t="str">
        <x:f>'Данные'!L905</x:f>
        <x:v>Нет</x:v>
      </x:c>
    </x:row>
    <x:row r="906">
      <x:c r="A906" s="1" t="str">
        <x:f>'Данные'!A906</x:f>
        <x:v>216158866</x:v>
      </x:c>
      <x:c r="B906" s="1" t="str">
        <x:f>'Данные'!B906</x:f>
        <x:v>futbolkaboy/черный</x:v>
      </x:c>
      <x:c r="C906" s="8" t="n">
        <x:f>'Данные'!G906</x:f>
        <x:v>158288</x:v>
      </x:c>
      <x:c r="D906" s="15" t="n">
        <x:f>C906/SUM($C$5:$C$2477)</x:f>
        <x:v>0.0001849157817831205</x:v>
      </x:c>
      <x:c r="E906" s="15" t="n">
        <x:f>SUM($D$5:D906)</x:f>
        <x:v>0.9530341425937366</x:v>
      </x:c>
      <x:c r="F906" s="1" t="str">
        <x:f>IF(C906&lt;=0,"C",IF(E906-D906&lt;'Дашборд'!$C$49,"A",IF(E906-D906&lt;'Дашборд'!$C$50,"B","C")))</x:f>
        <x:v>C</x:v>
      </x:c>
      <x:c r="G906" s="8" t="n">
        <x:f>'Данные'!F906</x:f>
        <x:v>462</x:v>
      </x:c>
      <x:c r="H906" s="8" t="n">
        <x:f>SUM('Данные'!H906:I906)</x:f>
        <x:v>2363</x:v>
      </x:c>
      <x:c r="I906" s="16" t="n">
        <x:f>IF(H906&gt;0,G906/H906,"n.a.")</x:f>
        <x:v>0.1955141768937791</x:v>
      </x:c>
      <x:c r="J906" s="10" t="n">
        <x:f>IF('Данные'!E906&gt;0,G906/'Данные'!E906,"n.a.")</x:f>
        <x:v>0.039056555921886886</x:v>
      </x:c>
      <x:c r="K906" s="1" t="str">
        <x:f>IF(G906&gt;='Дашборд'!$C$51,"X","Z")</x:f>
        <x:v>X</x:v>
      </x:c>
      <x:c r="L906" s="1" t="str">
        <x:f>IF(H906=0,IF(G906&gt;0,"Нет остатка","Нет спроса"),IF(I906&gt;='Дашборд'!$C$52,"Быстрый","Медленный"))</x:f>
        <x:v>Медленный</x:v>
      </x:c>
      <x:c r="M906" s="1" t="str">
        <x:f>IF('Данные'!E906&lt;'Дашборд'!$C$53,"Мало трафика",IF(J906&lt;'Дашборд'!$C$9*'Дашборд'!$C$54,"Да","Нет"))</x:f>
        <x:v>Нет</x:v>
      </x:c>
      <x:c r="N906" s="1" t="str">
        <x:f>IF(AND('Данные'!D906&gt;='Дашборд'!$C$55,D906&lt;'Дашборд'!$C$56,'Данные'!E906&gt;='Дашборд'!$C$53,'Данные'!L906&lt;&gt;"Да"),"Да","Нет")</x:f>
        <x:v>Да</x:v>
      </x:c>
      <x:c r="O906" s="1" t="str">
        <x:f>'Данные'!L906</x:f>
        <x:v>Нет</x:v>
      </x:c>
    </x:row>
    <x:row r="907">
      <x:c r="A907" s="1" t="str">
        <x:f>'Данные'!A907</x:f>
        <x:v>165911123</x:v>
      </x:c>
      <x:c r="B907" s="1" t="str">
        <x:f>'Данные'!B907</x:f>
        <x:v>longman/какао</x:v>
      </x:c>
      <x:c r="C907" s="8" t="n">
        <x:f>'Данные'!G907</x:f>
        <x:v>158258</x:v>
      </x:c>
      <x:c r="D907" s="15" t="n">
        <x:f>C907/SUM($C$5:$C$2477)</x:f>
        <x:v>0.00018488073507425126</x:v>
      </x:c>
      <x:c r="E907" s="15" t="n">
        <x:f>SUM($D$5:D907)</x:f>
        <x:v>0.9532190233288109</x:v>
      </x:c>
      <x:c r="F907" s="1" t="str">
        <x:f>IF(C907&lt;=0,"C",IF(E907-D907&lt;'Дашборд'!$C$49,"A",IF(E907-D907&lt;'Дашборд'!$C$50,"B","C")))</x:f>
        <x:v>C</x:v>
      </x:c>
      <x:c r="G907" s="8" t="n">
        <x:f>'Данные'!F907</x:f>
        <x:v>406</x:v>
      </x:c>
      <x:c r="H907" s="8" t="n">
        <x:f>SUM('Данные'!H907:I907)</x:f>
        <x:v>2140</x:v>
      </x:c>
      <x:c r="I907" s="16" t="n">
        <x:f>IF(H907&gt;0,G907/H907,"n.a.")</x:f>
        <x:v>0.1897196261682243</x:v>
      </x:c>
      <x:c r="J907" s="10" t="n">
        <x:f>IF('Данные'!E907&gt;0,G907/'Данные'!E907,"n.a.")</x:f>
        <x:v>0.017992466208730334</x:v>
      </x:c>
      <x:c r="K907" s="1" t="str">
        <x:f>IF(G907&gt;='Дашборд'!$C$51,"X","Z")</x:f>
        <x:v>X</x:v>
      </x:c>
      <x:c r="L907" s="1" t="str">
        <x:f>IF(H907=0,IF(G907&gt;0,"Нет остатка","Нет спроса"),IF(I907&gt;='Дашборд'!$C$52,"Быстрый","Медленный"))</x:f>
        <x:v>Медленный</x:v>
      </x:c>
      <x:c r="M907" s="1" t="str">
        <x:f>IF('Данные'!E907&lt;'Дашборд'!$C$53,"Мало трафика",IF(J907&lt;'Дашборд'!$C$9*'Дашборд'!$C$54,"Да","Нет"))</x:f>
        <x:v>Нет</x:v>
      </x:c>
      <x:c r="N907" s="1" t="str">
        <x:f>IF(AND('Данные'!D907&gt;='Дашборд'!$C$55,D907&lt;'Дашборд'!$C$56,'Данные'!E907&gt;='Дашборд'!$C$53,'Данные'!L907&lt;&gt;"Да"),"Да","Нет")</x:f>
        <x:v>Нет</x:v>
      </x:c>
      <x:c r="O907" s="1" t="str">
        <x:f>'Данные'!L907</x:f>
        <x:v>Нет</x:v>
      </x:c>
    </x:row>
    <x:row r="908">
      <x:c r="A908" s="1" t="str">
        <x:f>'Данные'!A908</x:f>
        <x:v>220118012</x:v>
      </x:c>
      <x:c r="B908" s="1" t="str">
        <x:f>'Данные'!B908</x:f>
        <x:v>futbolkaprint/RunningClub-124/белый</x:v>
      </x:c>
      <x:c r="C908" s="8" t="n">
        <x:f>'Данные'!G908</x:f>
        <x:v>157579</x:v>
      </x:c>
      <x:c r="D908" s="15" t="n">
        <x:f>C908/SUM($C$5:$C$2477)</x:f>
        <x:v>0.00018408751123017756</x:v>
      </x:c>
      <x:c r="E908" s="15" t="n">
        <x:f>SUM($D$5:D908)</x:f>
        <x:v>0.9534031108400411</x:v>
      </x:c>
      <x:c r="F908" s="1" t="str">
        <x:f>IF(C908&lt;=0,"C",IF(E908-D908&lt;'Дашборд'!$C$49,"A",IF(E908-D908&lt;'Дашборд'!$C$50,"B","C")))</x:f>
        <x:v>C</x:v>
      </x:c>
      <x:c r="G908" s="8" t="n">
        <x:f>'Данные'!F908</x:f>
        <x:v>243</x:v>
      </x:c>
      <x:c r="H908" s="8" t="n">
        <x:f>SUM('Данные'!H908:I908)</x:f>
        <x:v>1</x:v>
      </x:c>
      <x:c r="I908" s="16" t="n">
        <x:f>IF(H908&gt;0,G908/H908,"n.a.")</x:f>
        <x:v>243</x:v>
      </x:c>
      <x:c r="J908" s="10" t="n">
        <x:f>IF('Данные'!E908&gt;0,G908/'Данные'!E908,"n.a.")</x:f>
        <x:v>0.008133618958361226</x:v>
      </x:c>
      <x:c r="K908" s="1" t="str">
        <x:f>IF(G908&gt;='Дашборд'!$C$51,"X","Z")</x:f>
        <x:v>Z</x:v>
      </x:c>
      <x:c r="L908" s="1" t="str">
        <x:f>IF(H908=0,IF(G908&gt;0,"Нет остатка","Нет спроса"),IF(I908&gt;='Дашборд'!$C$52,"Быстрый","Медленный"))</x:f>
        <x:v>Быстрый</x:v>
      </x:c>
      <x:c r="M908" s="1" t="str">
        <x:f>IF('Данные'!E908&lt;'Дашборд'!$C$53,"Мало трафика",IF(J908&lt;'Дашборд'!$C$9*'Дашборд'!$C$54,"Да","Нет"))</x:f>
        <x:v>Да</x:v>
      </x:c>
      <x:c r="N908" s="1" t="str">
        <x:f>IF(AND('Данные'!D908&gt;='Дашборд'!$C$55,D908&lt;'Дашборд'!$C$56,'Данные'!E908&gt;='Дашборд'!$C$53,'Данные'!L908&lt;&gt;"Да"),"Да","Нет")</x:f>
        <x:v>Нет</x:v>
      </x:c>
      <x:c r="O908" s="1" t="str">
        <x:f>'Данные'!L908</x:f>
        <x:v>Нет</x:v>
      </x:c>
    </x:row>
    <x:row r="909">
      <x:c r="A909" s="1" t="str">
        <x:f>'Данные'!A909</x:f>
        <x:v>216158868</x:v>
      </x:c>
      <x:c r="B909" s="1" t="str">
        <x:f>'Данные'!B909</x:f>
        <x:v>futbolkagirl/черный</x:v>
      </x:c>
      <x:c r="C909" s="8" t="n">
        <x:f>'Данные'!G909</x:f>
        <x:v>156810</x:v>
      </x:c>
      <x:c r="D909" s="15" t="n">
        <x:f>C909/SUM($C$5:$C$2477)</x:f>
        <x:v>0.00018318914725949615</x:v>
      </x:c>
      <x:c r="E909" s="15" t="n">
        <x:f>SUM($D$5:D909)</x:f>
        <x:v>0.9535862999873006</x:v>
      </x:c>
      <x:c r="F909" s="1" t="str">
        <x:f>IF(C909&lt;=0,"C",IF(E909-D909&lt;'Дашборд'!$C$49,"A",IF(E909-D909&lt;'Дашборд'!$C$50,"B","C")))</x:f>
        <x:v>C</x:v>
      </x:c>
      <x:c r="G909" s="8" t="n">
        <x:f>'Данные'!F909</x:f>
        <x:v>492</x:v>
      </x:c>
      <x:c r="H909" s="8" t="n">
        <x:f>SUM('Данные'!H909:I909)</x:f>
        <x:v>1233</x:v>
      </x:c>
      <x:c r="I909" s="16" t="n">
        <x:f>IF(H909&gt;0,G909/H909,"n.a.")</x:f>
        <x:v>0.39902676399026765</x:v>
      </x:c>
      <x:c r="J909" s="10" t="n">
        <x:f>IF('Данные'!E909&gt;0,G909/'Данные'!E909,"n.a.")</x:f>
        <x:v>0.020762121787568047</x:v>
      </x:c>
      <x:c r="K909" s="1" t="str">
        <x:f>IF(G909&gt;='Дашборд'!$C$51,"X","Z")</x:f>
        <x:v>X</x:v>
      </x:c>
      <x:c r="L909" s="1" t="str">
        <x:f>IF(H909=0,IF(G909&gt;0,"Нет остатка","Нет спроса"),IF(I909&gt;='Дашборд'!$C$52,"Быстрый","Медленный"))</x:f>
        <x:v>Медленный</x:v>
      </x:c>
      <x:c r="M909" s="1" t="str">
        <x:f>IF('Данные'!E909&lt;'Дашборд'!$C$53,"Мало трафика",IF(J909&lt;'Дашборд'!$C$9*'Дашборд'!$C$54,"Да","Нет"))</x:f>
        <x:v>Нет</x:v>
      </x:c>
      <x:c r="N909" s="1" t="str">
        <x:f>IF(AND('Данные'!D909&gt;='Дашборд'!$C$55,D909&lt;'Дашборд'!$C$56,'Данные'!E909&gt;='Дашборд'!$C$53,'Данные'!L909&lt;&gt;"Да"),"Да","Нет")</x:f>
        <x:v>Да</x:v>
      </x:c>
      <x:c r="O909" s="1" t="str">
        <x:f>'Данные'!L909</x:f>
        <x:v>Нет</x:v>
      </x:c>
    </x:row>
    <x:row r="910">
      <x:c r="A910" s="1" t="str">
        <x:f>'Данные'!A910</x:f>
        <x:v>296186656</x:v>
      </x:c>
      <x:c r="B910" s="1" t="str">
        <x:f>'Данные'!B910</x:f>
        <x:v>shtanyman4P-79/серыймеланж2</x:v>
      </x:c>
      <x:c r="C910" s="8" t="n">
        <x:f>'Данные'!G910</x:f>
        <x:v>156709</x:v>
      </x:c>
      <x:c r="D910" s="15" t="n">
        <x:f>C910/SUM($C$5:$C$2477)</x:f>
        <x:v>0.00018307115667296972</x:v>
      </x:c>
      <x:c r="E910" s="15" t="n">
        <x:f>SUM($D$5:D910)</x:f>
        <x:v>0.9537693711439735</x:v>
      </x:c>
      <x:c r="F910" s="1" t="str">
        <x:f>IF(C910&lt;=0,"C",IF(E910-D910&lt;'Дашборд'!$C$49,"A",IF(E910-D910&lt;'Дашборд'!$C$50,"B","C")))</x:f>
        <x:v>C</x:v>
      </x:c>
      <x:c r="G910" s="8" t="n">
        <x:f>'Данные'!F910</x:f>
        <x:v>212</x:v>
      </x:c>
      <x:c r="H910" s="8" t="n">
        <x:f>SUM('Данные'!H910:I910)</x:f>
        <x:v>0</x:v>
      </x:c>
      <x:c r="I910" s="16" t="str">
        <x:f>IF(H910&gt;0,G910/H910,"n.a.")</x:f>
        <x:v>n.a.</x:v>
      </x:c>
      <x:c r="J910" s="10" t="n">
        <x:f>IF('Данные'!E910&gt;0,G910/'Данные'!E910,"n.a.")</x:f>
        <x:v>0.0155186296757192</x:v>
      </x:c>
      <x:c r="K910" s="1" t="str">
        <x:f>IF(G910&gt;='Дашборд'!$C$51,"X","Z")</x:f>
        <x:v>Z</x:v>
      </x:c>
      <x:c r="L910" s="1" t="str">
        <x:f>IF(H910=0,IF(G910&gt;0,"Нет остатка","Нет спроса"),IF(I910&gt;='Дашборд'!$C$52,"Быстрый","Медленный"))</x:f>
        <x:v>Нет остатка</x:v>
      </x:c>
      <x:c r="M910" s="1" t="str">
        <x:f>IF('Данные'!E910&lt;'Дашборд'!$C$53,"Мало трафика",IF(J910&lt;'Дашборд'!$C$9*'Дашборд'!$C$54,"Да","Нет"))</x:f>
        <x:v>Нет</x:v>
      </x:c>
      <x:c r="N910" s="1" t="str">
        <x:f>IF(AND('Данные'!D910&gt;='Дашборд'!$C$55,D910&lt;'Дашборд'!$C$56,'Данные'!E910&gt;='Дашборд'!$C$53,'Данные'!L910&lt;&gt;"Да"),"Да","Нет")</x:f>
        <x:v>Нет</x:v>
      </x:c>
      <x:c r="O910" s="1" t="str">
        <x:f>'Данные'!L910</x:f>
        <x:v>Нет</x:v>
      </x:c>
    </x:row>
    <x:row r="911">
      <x:c r="A911" s="1" t="str">
        <x:f>'Данные'!A911</x:f>
        <x:v>51559216</x:v>
      </x:c>
      <x:c r="B911" s="1" t="str">
        <x:f>'Данные'!B911</x:f>
        <x:v>brukiman/молочный</x:v>
      </x:c>
      <x:c r="C911" s="8" t="n">
        <x:f>'Данные'!G911</x:f>
        <x:v>155631</x:v>
      </x:c>
      <x:c r="D911" s="15" t="n">
        <x:f>C911/SUM($C$5:$C$2477)</x:f>
        <x:v>0.00018181181160093518</x:v>
      </x:c>
      <x:c r="E911" s="15" t="n">
        <x:f>SUM($D$5:D911)</x:f>
        <x:v>0.9539511829555745</x:v>
      </x:c>
      <x:c r="F911" s="1" t="str">
        <x:f>IF(C911&lt;=0,"C",IF(E911-D911&lt;'Дашборд'!$C$49,"A",IF(E911-D911&lt;'Дашборд'!$C$50,"B","C")))</x:f>
        <x:v>C</x:v>
      </x:c>
      <x:c r="G911" s="8" t="n">
        <x:f>'Данные'!F911</x:f>
        <x:v>254</x:v>
      </x:c>
      <x:c r="H911" s="8" t="n">
        <x:f>SUM('Данные'!H911:I911)</x:f>
        <x:v>585</x:v>
      </x:c>
      <x:c r="I911" s="16" t="n">
        <x:f>IF(H911&gt;0,G911/H911,"n.a.")</x:f>
        <x:v>0.4341880341880342</x:v>
      </x:c>
      <x:c r="J911" s="10" t="n">
        <x:f>IF('Данные'!E911&gt;0,G911/'Данные'!E911,"n.a.")</x:f>
        <x:v>0.022404516185939843</x:v>
      </x:c>
      <x:c r="K911" s="1" t="str">
        <x:f>IF(G911&gt;='Дашборд'!$C$51,"X","Z")</x:f>
        <x:v>Z</x:v>
      </x:c>
      <x:c r="L911" s="1" t="str">
        <x:f>IF(H911=0,IF(G911&gt;0,"Нет остатка","Нет спроса"),IF(I911&gt;='Дашборд'!$C$52,"Быстрый","Медленный"))</x:f>
        <x:v>Медленный</x:v>
      </x:c>
      <x:c r="M911" s="1" t="str">
        <x:f>IF('Данные'!E911&lt;'Дашборд'!$C$53,"Мало трафика",IF(J911&lt;'Дашборд'!$C$9*'Дашборд'!$C$54,"Да","Нет"))</x:f>
        <x:v>Нет</x:v>
      </x:c>
      <x:c r="N911" s="1" t="str">
        <x:f>IF(AND('Данные'!D911&gt;='Дашборд'!$C$55,D911&lt;'Дашборд'!$C$56,'Данные'!E911&gt;='Дашборд'!$C$53,'Данные'!L911&lt;&gt;"Да"),"Да","Нет")</x:f>
        <x:v>Нет</x:v>
      </x:c>
      <x:c r="O911" s="1" t="str">
        <x:f>'Данные'!L911</x:f>
        <x:v>Нет</x:v>
      </x:c>
    </x:row>
    <x:row r="912">
      <x:c r="A912" s="1" t="str">
        <x:f>'Данные'!A912</x:f>
        <x:v>237883599</x:v>
      </x:c>
      <x:c r="B912" s="1" t="str">
        <x:f>'Данные'!B912</x:f>
        <x:v>2Nlongsliv/темно-серый</x:v>
      </x:c>
      <x:c r="C912" s="8" t="n">
        <x:f>'Данные'!G912</x:f>
        <x:v>155566</x:v>
      </x:c>
      <x:c r="D912" s="15" t="n">
        <x:f>C912/SUM($C$5:$C$2477)</x:f>
        <x:v>0.00018173587706505183</x:v>
      </x:c>
      <x:c r="E912" s="15" t="n">
        <x:f>SUM($D$5:D912)</x:f>
        <x:v>0.9541329188326395</x:v>
      </x:c>
      <x:c r="F912" s="1" t="str">
        <x:f>IF(C912&lt;=0,"C",IF(E912-D912&lt;'Дашборд'!$C$49,"A",IF(E912-D912&lt;'Дашборд'!$C$50,"B","C")))</x:f>
        <x:v>C</x:v>
      </x:c>
      <x:c r="G912" s="8" t="n">
        <x:f>'Данные'!F912</x:f>
        <x:v>274</x:v>
      </x:c>
      <x:c r="H912" s="8" t="n">
        <x:f>SUM('Данные'!H912:I912)</x:f>
        <x:v>9</x:v>
      </x:c>
      <x:c r="I912" s="16" t="n">
        <x:f>IF(H912&gt;0,G912/H912,"n.a.")</x:f>
        <x:v>30.444444444444443</x:v>
      </x:c>
      <x:c r="J912" s="10" t="n">
        <x:f>IF('Данные'!E912&gt;0,G912/'Данные'!E912,"n.a.")</x:f>
        <x:v>0.0045460578709848685</x:v>
      </x:c>
      <x:c r="K912" s="1" t="str">
        <x:f>IF(G912&gt;='Дашборд'!$C$51,"X","Z")</x:f>
        <x:v>X</x:v>
      </x:c>
      <x:c r="L912" s="1" t="str">
        <x:f>IF(H912=0,IF(G912&gt;0,"Нет остатка","Нет спроса"),IF(I912&gt;='Дашборд'!$C$52,"Быстрый","Медленный"))</x:f>
        <x:v>Быстрый</x:v>
      </x:c>
      <x:c r="M912" s="1" t="str">
        <x:f>IF('Данные'!E912&lt;'Дашборд'!$C$53,"Мало трафика",IF(J912&lt;'Дашборд'!$C$9*'Дашборд'!$C$54,"Да","Нет"))</x:f>
        <x:v>Да</x:v>
      </x:c>
      <x:c r="N912" s="1" t="str">
        <x:f>IF(AND('Данные'!D912&gt;='Дашборд'!$C$55,D912&lt;'Дашборд'!$C$56,'Данные'!E912&gt;='Дашборд'!$C$53,'Данные'!L912&lt;&gt;"Да"),"Да","Нет")</x:f>
        <x:v>Нет</x:v>
      </x:c>
      <x:c r="O912" s="1" t="str">
        <x:f>'Данные'!L912</x:f>
        <x:v>Нет</x:v>
      </x:c>
    </x:row>
    <x:row r="913">
      <x:c r="A913" s="1" t="str">
        <x:f>'Данные'!A913</x:f>
        <x:v>175116960</x:v>
      </x:c>
      <x:c r="B913" s="1" t="str">
        <x:f>'Данные'!B913</x:f>
        <x:v>reglanman/бордовый</x:v>
      </x:c>
      <x:c r="C913" s="8" t="n">
        <x:f>'Данные'!G913</x:f>
        <x:v>155128</x:v>
      </x:c>
      <x:c r="D913" s="15" t="n">
        <x:f>C913/SUM($C$5:$C$2477)</x:f>
        <x:v>0.00018122419511556098</x:v>
      </x:c>
      <x:c r="E913" s="15" t="n">
        <x:f>SUM($D$5:D913)</x:f>
        <x:v>0.9543141430277551</x:v>
      </x:c>
      <x:c r="F913" s="1" t="str">
        <x:f>IF(C913&lt;=0,"C",IF(E913-D913&lt;'Дашборд'!$C$49,"A",IF(E913-D913&lt;'Дашборд'!$C$50,"B","C")))</x:f>
        <x:v>C</x:v>
      </x:c>
      <x:c r="G913" s="8" t="n">
        <x:f>'Данные'!F913</x:f>
        <x:v>327</x:v>
      </x:c>
      <x:c r="H913" s="8" t="n">
        <x:f>SUM('Данные'!H913:I913)</x:f>
        <x:v>939</x:v>
      </x:c>
      <x:c r="I913" s="16" t="n">
        <x:f>IF(H913&gt;0,G913/H913,"n.a.")</x:f>
        <x:v>0.34824281150159747</x:v>
      </x:c>
      <x:c r="J913" s="10" t="n">
        <x:f>IF('Данные'!E913&gt;0,G913/'Данные'!E913,"n.a.")</x:f>
        <x:v>0.0283337665713543</x:v>
      </x:c>
      <x:c r="K913" s="1" t="str">
        <x:f>IF(G913&gt;='Дашборд'!$C$51,"X","Z")</x:f>
        <x:v>X</x:v>
      </x:c>
      <x:c r="L913" s="1" t="str">
        <x:f>IF(H913=0,IF(G913&gt;0,"Нет остатка","Нет спроса"),IF(I913&gt;='Дашборд'!$C$52,"Быстрый","Медленный"))</x:f>
        <x:v>Медленный</x:v>
      </x:c>
      <x:c r="M913" s="1" t="str">
        <x:f>IF('Данные'!E913&lt;'Дашборд'!$C$53,"Мало трафика",IF(J913&lt;'Дашборд'!$C$9*'Дашборд'!$C$54,"Да","Нет"))</x:f>
        <x:v>Нет</x:v>
      </x:c>
      <x:c r="N913" s="1" t="str">
        <x:f>IF(AND('Данные'!D913&gt;='Дашборд'!$C$55,D913&lt;'Дашборд'!$C$56,'Данные'!E913&gt;='Дашборд'!$C$53,'Данные'!L913&lt;&gt;"Да"),"Да","Нет")</x:f>
        <x:v>Нет</x:v>
      </x:c>
      <x:c r="O913" s="1" t="str">
        <x:f>'Данные'!L913</x:f>
        <x:v>Нет</x:v>
      </x:c>
    </x:row>
    <x:row r="914">
      <x:c r="A914" s="1" t="str">
        <x:f>'Данные'!A914</x:f>
        <x:v>288627686</x:v>
      </x:c>
      <x:c r="B914" s="1" t="str">
        <x:f>'Данные'!B914</x:f>
        <x:v>kostyum/серыймеланж2</x:v>
      </x:c>
      <x:c r="C914" s="8" t="n">
        <x:f>'Данные'!G914</x:f>
        <x:v>155009</x:v>
      </x:c>
      <x:c r="D914" s="15" t="n">
        <x:f>C914/SUM($C$5:$C$2477)</x:f>
        <x:v>0.000181085176503713</x:v>
      </x:c>
      <x:c r="E914" s="15" t="n">
        <x:f>SUM($D$5:D914)</x:f>
        <x:v>0.9544952282042588</x:v>
      </x:c>
      <x:c r="F914" s="1" t="str">
        <x:f>IF(C914&lt;=0,"C",IF(E914-D914&lt;'Дашборд'!$C$49,"A",IF(E914-D914&lt;'Дашборд'!$C$50,"B","C")))</x:f>
        <x:v>C</x:v>
      </x:c>
      <x:c r="G914" s="8" t="n">
        <x:f>'Данные'!F914</x:f>
        <x:v>125</x:v>
      </x:c>
      <x:c r="H914" s="8" t="n">
        <x:f>SUM('Данные'!H914:I914)</x:f>
        <x:v>239</x:v>
      </x:c>
      <x:c r="I914" s="16" t="n">
        <x:f>IF(H914&gt;0,G914/H914,"n.a.")</x:f>
        <x:v>0.5230125523012552</x:v>
      </x:c>
      <x:c r="J914" s="10" t="n">
        <x:f>IF('Данные'!E914&gt;0,G914/'Данные'!E914,"n.a.")</x:f>
        <x:v>0.005972003248769767</x:v>
      </x:c>
      <x:c r="K914" s="1" t="str">
        <x:f>IF(G914&gt;='Дашборд'!$C$51,"X","Z")</x:f>
        <x:v>Z</x:v>
      </x:c>
      <x:c r="L914" s="1" t="str">
        <x:f>IF(H914=0,IF(G914&gt;0,"Нет остатка","Нет спроса"),IF(I914&gt;='Дашборд'!$C$52,"Быстрый","Медленный"))</x:f>
        <x:v>Медленный</x:v>
      </x:c>
      <x:c r="M914" s="1" t="str">
        <x:f>IF('Данные'!E914&lt;'Дашборд'!$C$53,"Мало трафика",IF(J914&lt;'Дашборд'!$C$9*'Дашборд'!$C$54,"Да","Нет"))</x:f>
        <x:v>Да</x:v>
      </x:c>
      <x:c r="N914" s="1" t="str">
        <x:f>IF(AND('Данные'!D914&gt;='Дашборд'!$C$55,D914&lt;'Дашборд'!$C$56,'Данные'!E914&gt;='Дашборд'!$C$53,'Данные'!L914&lt;&gt;"Да"),"Да","Нет")</x:f>
        <x:v>Нет</x:v>
      </x:c>
      <x:c r="O914" s="1" t="str">
        <x:f>'Данные'!L914</x:f>
        <x:v>Нет</x:v>
      </x:c>
    </x:row>
    <x:row r="915">
      <x:c r="A915" s="1" t="str">
        <x:f>'Данные'!A915</x:f>
        <x:v>323186187</x:v>
      </x:c>
      <x:c r="B915" s="1" t="str">
        <x:f>'Данные'!B915</x:f>
        <x:v>futskims3K-102/красный</x:v>
      </x:c>
      <x:c r="C915" s="8" t="n">
        <x:f>'Данные'!G915</x:f>
        <x:v>154812</x:v>
      </x:c>
      <x:c r="D915" s="15" t="n">
        <x:f>C915/SUM($C$5:$C$2477)</x:f>
        <x:v>0.00018085503644880502</x:v>
      </x:c>
      <x:c r="E915" s="15" t="n">
        <x:f>SUM($D$5:D915)</x:f>
        <x:v>0.9546760832407076</x:v>
      </x:c>
      <x:c r="F915" s="1" t="str">
        <x:f>IF(C915&lt;=0,"C",IF(E915-D915&lt;'Дашборд'!$C$49,"A",IF(E915-D915&lt;'Дашборд'!$C$50,"B","C")))</x:f>
        <x:v>C</x:v>
      </x:c>
      <x:c r="G915" s="8" t="n">
        <x:f>'Данные'!F915</x:f>
        <x:v>405</x:v>
      </x:c>
      <x:c r="H915" s="8" t="n">
        <x:f>SUM('Данные'!H915:I915)</x:f>
        <x:v>912</x:v>
      </x:c>
      <x:c r="I915" s="16" t="n">
        <x:f>IF(H915&gt;0,G915/H915,"n.a.")</x:f>
        <x:v>0.4440789473684211</x:v>
      </x:c>
      <x:c r="J915" s="10" t="n">
        <x:f>IF('Данные'!E915&gt;0,G915/'Данные'!E915,"n.a.")</x:f>
        <x:v>0.011286367183145692</x:v>
      </x:c>
      <x:c r="K915" s="1" t="str">
        <x:f>IF(G915&gt;='Дашборд'!$C$51,"X","Z")</x:f>
        <x:v>X</x:v>
      </x:c>
      <x:c r="L915" s="1" t="str">
        <x:f>IF(H915=0,IF(G915&gt;0,"Нет остатка","Нет спроса"),IF(I915&gt;='Дашборд'!$C$52,"Быстрый","Медленный"))</x:f>
        <x:v>Медленный</x:v>
      </x:c>
      <x:c r="M915" s="1" t="str">
        <x:f>IF('Данные'!E915&lt;'Дашборд'!$C$53,"Мало трафика",IF(J915&lt;'Дашборд'!$C$9*'Дашборд'!$C$54,"Да","Нет"))</x:f>
        <x:v>Нет</x:v>
      </x:c>
      <x:c r="N915" s="1" t="str">
        <x:f>IF(AND('Данные'!D915&gt;='Дашборд'!$C$55,D915&lt;'Дашборд'!$C$56,'Данные'!E915&gt;='Дашборд'!$C$53,'Данные'!L915&lt;&gt;"Да"),"Да","Нет")</x:f>
        <x:v>Нет</x:v>
      </x:c>
      <x:c r="O915" s="1" t="str">
        <x:f>'Данные'!L915</x:f>
        <x:v>Нет</x:v>
      </x:c>
    </x:row>
    <x:row r="916">
      <x:c r="A916" s="1" t="str">
        <x:f>'Данные'!A916</x:f>
        <x:v>117962930</x:v>
      </x:c>
      <x:c r="B916" s="1" t="str">
        <x:f>'Данные'!B916</x:f>
        <x:v>hudiman/зеленый</x:v>
      </x:c>
      <x:c r="C916" s="8" t="n">
        <x:f>'Данные'!G916</x:f>
        <x:v>152641</x:v>
      </x:c>
      <x:c r="D916" s="15" t="n">
        <x:f>C916/SUM($C$5:$C$2477)</x:f>
        <x:v>0.0001783188229503013</x:v>
      </x:c>
      <x:c r="E916" s="15" t="n">
        <x:f>SUM($D$5:D916)</x:f>
        <x:v>0.9548544020636579</x:v>
      </x:c>
      <x:c r="F916" s="1" t="str">
        <x:f>IF(C916&lt;=0,"C",IF(E916-D916&lt;'Дашборд'!$C$49,"A",IF(E916-D916&lt;'Дашборд'!$C$50,"B","C")))</x:f>
        <x:v>C</x:v>
      </x:c>
      <x:c r="G916" s="8" t="n">
        <x:f>'Данные'!F916</x:f>
        <x:v>147</x:v>
      </x:c>
      <x:c r="H916" s="8" t="n">
        <x:f>SUM('Данные'!H916:I916)</x:f>
        <x:v>200</x:v>
      </x:c>
      <x:c r="I916" s="16" t="n">
        <x:f>IF(H916&gt;0,G916/H916,"n.a.")</x:f>
        <x:v>0.735</x:v>
      </x:c>
      <x:c r="J916" s="10" t="n">
        <x:f>IF('Данные'!E916&gt;0,G916/'Данные'!E916,"n.a.")</x:f>
        <x:v>0.017382050372472507</x:v>
      </x:c>
      <x:c r="K916" s="1" t="str">
        <x:f>IF(G916&gt;='Дашборд'!$C$51,"X","Z")</x:f>
        <x:v>Z</x:v>
      </x:c>
      <x:c r="L916" s="1" t="str">
        <x:f>IF(H916=0,IF(G916&gt;0,"Нет остатка","Нет спроса"),IF(I916&gt;='Дашборд'!$C$52,"Быстрый","Медленный"))</x:f>
        <x:v>Медленный</x:v>
      </x:c>
      <x:c r="M916" s="1" t="str">
        <x:f>IF('Данные'!E916&lt;'Дашборд'!$C$53,"Мало трафика",IF(J916&lt;'Дашборд'!$C$9*'Дашборд'!$C$54,"Да","Нет"))</x:f>
        <x:v>Нет</x:v>
      </x:c>
      <x:c r="N916" s="1" t="str">
        <x:f>IF(AND('Данные'!D916&gt;='Дашборд'!$C$55,D916&lt;'Дашборд'!$C$56,'Данные'!E916&gt;='Дашборд'!$C$53,'Данные'!L916&lt;&gt;"Да"),"Да","Нет")</x:f>
        <x:v>Да</x:v>
      </x:c>
      <x:c r="O916" s="1" t="str">
        <x:f>'Данные'!L916</x:f>
        <x:v>Нет</x:v>
      </x:c>
    </x:row>
    <x:row r="917">
      <x:c r="A917" s="1" t="str">
        <x:f>'Данные'!A917</x:f>
        <x:v>117259554</x:v>
      </x:c>
      <x:c r="B917" s="1" t="str">
        <x:f>'Данные'!B917</x:f>
        <x:v>brukiman/кофейный</x:v>
      </x:c>
      <x:c r="C917" s="8" t="n">
        <x:f>'Данные'!G917</x:f>
        <x:v>152393</x:v>
      </x:c>
      <x:c r="D917" s="15" t="n">
        <x:f>C917/SUM($C$5:$C$2477)</x:f>
        <x:v>0.00017802910349031564</x:v>
      </x:c>
      <x:c r="E917" s="15" t="n">
        <x:f>SUM($D$5:D917)</x:f>
        <x:v>0.9550324311671482</x:v>
      </x:c>
      <x:c r="F917" s="1" t="str">
        <x:f>IF(C917&lt;=0,"C",IF(E917-D917&lt;'Дашборд'!$C$49,"A",IF(E917-D917&lt;'Дашборд'!$C$50,"B","C")))</x:f>
        <x:v>C</x:v>
      </x:c>
      <x:c r="G917" s="8" t="n">
        <x:f>'Данные'!F917</x:f>
        <x:v>188</x:v>
      </x:c>
      <x:c r="H917" s="8" t="n">
        <x:f>SUM('Данные'!H917:I917)</x:f>
        <x:v>842</x:v>
      </x:c>
      <x:c r="I917" s="16" t="n">
        <x:f>IF(H917&gt;0,G917/H917,"n.a.")</x:f>
        <x:v>0.22327790973871733</x:v>
      </x:c>
      <x:c r="J917" s="10" t="n">
        <x:f>IF('Данные'!E917&gt;0,G917/'Данные'!E917,"n.a.")</x:f>
        <x:v>0.0239673635900051</x:v>
      </x:c>
      <x:c r="K917" s="1" t="str">
        <x:f>IF(G917&gt;='Дашборд'!$C$51,"X","Z")</x:f>
        <x:v>Z</x:v>
      </x:c>
      <x:c r="L917" s="1" t="str">
        <x:f>IF(H917=0,IF(G917&gt;0,"Нет остатка","Нет спроса"),IF(I917&gt;='Дашборд'!$C$52,"Быстрый","Медленный"))</x:f>
        <x:v>Медленный</x:v>
      </x:c>
      <x:c r="M917" s="1" t="str">
        <x:f>IF('Данные'!E917&lt;'Дашборд'!$C$53,"Мало трафика",IF(J917&lt;'Дашборд'!$C$9*'Дашборд'!$C$54,"Да","Нет"))</x:f>
        <x:v>Нет</x:v>
      </x:c>
      <x:c r="N917" s="1" t="str">
        <x:f>IF(AND('Данные'!D917&gt;='Дашборд'!$C$55,D917&lt;'Дашборд'!$C$56,'Данные'!E917&gt;='Дашборд'!$C$53,'Данные'!L917&lt;&gt;"Да"),"Да","Нет")</x:f>
        <x:v>Да</x:v>
      </x:c>
      <x:c r="O917" s="1" t="str">
        <x:f>'Данные'!L917</x:f>
        <x:v>Нет</x:v>
      </x:c>
    </x:row>
    <x:row r="918">
      <x:c r="A918" s="1" t="str">
        <x:f>'Данные'!A918</x:f>
        <x:v>176176584</x:v>
      </x:c>
      <x:c r="B918" s="1" t="str">
        <x:f>'Данные'!B918</x:f>
        <x:v>hudi/хаки</x:v>
      </x:c>
      <x:c r="C918" s="8" t="n">
        <x:f>'Данные'!G918</x:f>
        <x:v>152376</x:v>
      </x:c>
      <x:c r="D918" s="15" t="n">
        <x:f>C918/SUM($C$5:$C$2477)</x:f>
        <x:v>0.00017800924368862307</x:v>
      </x:c>
      <x:c r="E918" s="15" t="n">
        <x:f>SUM($D$5:D918)</x:f>
        <x:v>0.9552104404108368</x:v>
      </x:c>
      <x:c r="F918" s="1" t="str">
        <x:f>IF(C918&lt;=0,"C",IF(E918-D918&lt;'Дашборд'!$C$49,"A",IF(E918-D918&lt;'Дашборд'!$C$50,"B","C")))</x:f>
        <x:v>C</x:v>
      </x:c>
      <x:c r="G918" s="8" t="n">
        <x:f>'Данные'!F918</x:f>
        <x:v>141</x:v>
      </x:c>
      <x:c r="H918" s="8" t="n">
        <x:f>SUM('Данные'!H918:I918)</x:f>
        <x:v>5</x:v>
      </x:c>
      <x:c r="I918" s="16" t="n">
        <x:f>IF(H918&gt;0,G918/H918,"n.a.")</x:f>
        <x:v>28.2</x:v>
      </x:c>
      <x:c r="J918" s="10" t="n">
        <x:f>IF('Данные'!E918&gt;0,G918/'Данные'!E918,"n.a.")</x:f>
        <x:v>0.013137053945774713</x:v>
      </x:c>
      <x:c r="K918" s="1" t="str">
        <x:f>IF(G918&gt;='Дашборд'!$C$51,"X","Z")</x:f>
        <x:v>Z</x:v>
      </x:c>
      <x:c r="L918" s="1" t="str">
        <x:f>IF(H918=0,IF(G918&gt;0,"Нет остатка","Нет спроса"),IF(I918&gt;='Дашборд'!$C$52,"Быстрый","Медленный"))</x:f>
        <x:v>Быстрый</x:v>
      </x:c>
      <x:c r="M918" s="1" t="str">
        <x:f>IF('Данные'!E918&lt;'Дашборд'!$C$53,"Мало трафика",IF(J918&lt;'Дашборд'!$C$9*'Дашборд'!$C$54,"Да","Нет"))</x:f>
        <x:v>Нет</x:v>
      </x:c>
      <x:c r="N918" s="1" t="str">
        <x:f>IF(AND('Данные'!D918&gt;='Дашборд'!$C$55,D918&lt;'Дашборд'!$C$56,'Данные'!E918&gt;='Дашборд'!$C$53,'Данные'!L918&lt;&gt;"Да"),"Да","Нет")</x:f>
        <x:v>Да</x:v>
      </x:c>
      <x:c r="O918" s="1" t="str">
        <x:f>'Данные'!L918</x:f>
        <x:v>Нет</x:v>
      </x:c>
    </x:row>
    <x:row r="919">
      <x:c r="A919" s="1" t="str">
        <x:f>'Данные'!A919</x:f>
        <x:v>331519121</x:v>
      </x:c>
      <x:c r="B919" s="1" t="str">
        <x:f>'Данные'!B919</x:f>
        <x:v>reglanmanover4K-E2/чер-бел</x:v>
      </x:c>
      <x:c r="C919" s="8" t="n">
        <x:f>'Данные'!G919</x:f>
        <x:v>152279</x:v>
      </x:c>
      <x:c r="D919" s="15" t="n">
        <x:f>C919/SUM($C$5:$C$2477)</x:f>
        <x:v>0.00017789592599661255</x:v>
      </x:c>
      <x:c r="E919" s="15" t="n">
        <x:f>SUM($D$5:D919)</x:f>
        <x:v>0.9553883363368334</x:v>
      </x:c>
      <x:c r="F919" s="1" t="str">
        <x:f>IF(C919&lt;=0,"C",IF(E919-D919&lt;'Дашборд'!$C$49,"A",IF(E919-D919&lt;'Дашборд'!$C$50,"B","C")))</x:f>
        <x:v>C</x:v>
      </x:c>
      <x:c r="G919" s="8" t="n">
        <x:f>'Данные'!F919</x:f>
        <x:v>266</x:v>
      </x:c>
      <x:c r="H919" s="8" t="n">
        <x:f>SUM('Данные'!H919:I919)</x:f>
        <x:v>46</x:v>
      </x:c>
      <x:c r="I919" s="16" t="n">
        <x:f>IF(H919&gt;0,G919/H919,"n.a.")</x:f>
        <x:v>5.782608695652174</x:v>
      </x:c>
      <x:c r="J919" s="10" t="n">
        <x:f>IF('Данные'!E919&gt;0,G919/'Данные'!E919,"n.a.")</x:f>
        <x:v>0.014881951437842676</x:v>
      </x:c>
      <x:c r="K919" s="1" t="str">
        <x:f>IF(G919&gt;='Дашборд'!$C$51,"X","Z")</x:f>
        <x:v>Z</x:v>
      </x:c>
      <x:c r="L919" s="1" t="str">
        <x:f>IF(H919=0,IF(G919&gt;0,"Нет остатка","Нет спроса"),IF(I919&gt;='Дашборд'!$C$52,"Быстрый","Медленный"))</x:f>
        <x:v>Быстрый</x:v>
      </x:c>
      <x:c r="M919" s="1" t="str">
        <x:f>IF('Данные'!E919&lt;'Дашборд'!$C$53,"Мало трафика",IF(J919&lt;'Дашборд'!$C$9*'Дашборд'!$C$54,"Да","Нет"))</x:f>
        <x:v>Нет</x:v>
      </x:c>
      <x:c r="N919" s="1" t="str">
        <x:f>IF(AND('Данные'!D919&gt;='Дашборд'!$C$55,D919&lt;'Дашборд'!$C$56,'Данные'!E919&gt;='Дашборд'!$C$53,'Данные'!L919&lt;&gt;"Да"),"Да","Нет")</x:f>
        <x:v>Нет</x:v>
      </x:c>
      <x:c r="O919" s="1" t="str">
        <x:f>'Данные'!L919</x:f>
        <x:v>Нет</x:v>
      </x:c>
    </x:row>
    <x:row r="920">
      <x:c r="A920" s="1" t="str">
        <x:f>'Данные'!A920</x:f>
        <x:v>333103029</x:v>
      </x:c>
      <x:c r="B920" s="1" t="str">
        <x:f>'Данные'!B920</x:f>
        <x:v>topbando/пыльно-синий</x:v>
      </x:c>
      <x:c r="C920" s="8" t="n">
        <x:f>'Данные'!G920</x:f>
        <x:v>152253</x:v>
      </x:c>
      <x:c r="D920" s="15" t="n">
        <x:f>C920/SUM($C$5:$C$2477)</x:f>
        <x:v>0.0001778655521822592</x:v>
      </x:c>
      <x:c r="E920" s="15" t="n">
        <x:f>SUM($D$5:D920)</x:f>
        <x:v>0.9555662018890156</x:v>
      </x:c>
      <x:c r="F920" s="1" t="str">
        <x:f>IF(C920&lt;=0,"C",IF(E920-D920&lt;'Дашборд'!$C$49,"A",IF(E920-D920&lt;'Дашборд'!$C$50,"B","C")))</x:f>
        <x:v>C</x:v>
      </x:c>
      <x:c r="G920" s="8" t="n">
        <x:f>'Данные'!F920</x:f>
        <x:v>592</x:v>
      </x:c>
      <x:c r="H920" s="8" t="n">
        <x:f>SUM('Данные'!H920:I920)</x:f>
        <x:v>477</x:v>
      </x:c>
      <x:c r="I920" s="16" t="n">
        <x:f>IF(H920&gt;0,G920/H920,"n.a.")</x:f>
        <x:v>1.2410901467505242</x:v>
      </x:c>
      <x:c r="J920" s="10" t="n">
        <x:f>IF('Данные'!E920&gt;0,G920/'Данные'!E920,"n.a.")</x:f>
        <x:v>0.022536069130914767</x:v>
      </x:c>
      <x:c r="K920" s="1" t="str">
        <x:f>IF(G920&gt;='Дашборд'!$C$51,"X","Z")</x:f>
        <x:v>X</x:v>
      </x:c>
      <x:c r="L920" s="1" t="str">
        <x:f>IF(H920=0,IF(G920&gt;0,"Нет остатка","Нет спроса"),IF(I920&gt;='Дашборд'!$C$52,"Быстрый","Медленный"))</x:f>
        <x:v>Быстрый</x:v>
      </x:c>
      <x:c r="M920" s="1" t="str">
        <x:f>IF('Данные'!E920&lt;'Дашборд'!$C$53,"Мало трафика",IF(J920&lt;'Дашборд'!$C$9*'Дашборд'!$C$54,"Да","Нет"))</x:f>
        <x:v>Нет</x:v>
      </x:c>
      <x:c r="N920" s="1" t="str">
        <x:f>IF(AND('Данные'!D920&gt;='Дашборд'!$C$55,D920&lt;'Дашборд'!$C$56,'Данные'!E920&gt;='Дашборд'!$C$53,'Данные'!L920&lt;&gt;"Да"),"Да","Нет")</x:f>
        <x:v>Да</x:v>
      </x:c>
      <x:c r="O920" s="1" t="str">
        <x:f>'Данные'!L920</x:f>
        <x:v>Нет</x:v>
      </x:c>
    </x:row>
    <x:row r="921">
      <x:c r="A921" s="1" t="str">
        <x:f>'Данные'!A921</x:f>
        <x:v>288627691</x:v>
      </x:c>
      <x:c r="B921" s="1" t="str">
        <x:f>'Данные'!B921</x:f>
        <x:v>kostyum/темно-синий</x:v>
      </x:c>
      <x:c r="C921" s="8" t="n">
        <x:f>'Данные'!G921</x:f>
        <x:v>152192</x:v>
      </x:c>
      <x:c r="D921" s="15" t="n">
        <x:f>C921/SUM($C$5:$C$2477)</x:f>
        <x:v>0.00017779429054089175</x:v>
      </x:c>
      <x:c r="E921" s="15" t="n">
        <x:f>SUM($D$5:D921)</x:f>
        <x:v>0.9557439961795565</x:v>
      </x:c>
      <x:c r="F921" s="1" t="str">
        <x:f>IF(C921&lt;=0,"C",IF(E921-D921&lt;'Дашборд'!$C$49,"A",IF(E921-D921&lt;'Дашборд'!$C$50,"B","C")))</x:f>
        <x:v>C</x:v>
      </x:c>
      <x:c r="G921" s="8" t="n">
        <x:f>'Данные'!F921</x:f>
        <x:v>137</x:v>
      </x:c>
      <x:c r="H921" s="8" t="n">
        <x:f>SUM('Данные'!H921:I921)</x:f>
        <x:v>446</x:v>
      </x:c>
      <x:c r="I921" s="16" t="n">
        <x:f>IF(H921&gt;0,G921/H921,"n.a.")</x:f>
        <x:v>0.3071748878923767</x:v>
      </x:c>
      <x:c r="J921" s="10" t="n">
        <x:f>IF('Данные'!E921&gt;0,G921/'Данные'!E921,"n.a.")</x:f>
        <x:v>0.003477069109921068</x:v>
      </x:c>
      <x:c r="K921" s="1" t="str">
        <x:f>IF(G921&gt;='Дашборд'!$C$51,"X","Z")</x:f>
        <x:v>Z</x:v>
      </x:c>
      <x:c r="L921" s="1" t="str">
        <x:f>IF(H921=0,IF(G921&gt;0,"Нет остатка","Нет спроса"),IF(I921&gt;='Дашборд'!$C$52,"Быстрый","Медленный"))</x:f>
        <x:v>Медленный</x:v>
      </x:c>
      <x:c r="M921" s="1" t="str">
        <x:f>IF('Данные'!E921&lt;'Дашборд'!$C$53,"Мало трафика",IF(J921&lt;'Дашборд'!$C$9*'Дашборд'!$C$54,"Да","Нет"))</x:f>
        <x:v>Да</x:v>
      </x:c>
      <x:c r="N921" s="1" t="str">
        <x:f>IF(AND('Данные'!D921&gt;='Дашборд'!$C$55,D921&lt;'Дашборд'!$C$56,'Данные'!E921&gt;='Дашборд'!$C$53,'Данные'!L921&lt;&gt;"Да"),"Да","Нет")</x:f>
        <x:v>Нет</x:v>
      </x:c>
      <x:c r="O921" s="1" t="str">
        <x:f>'Данные'!L921</x:f>
        <x:v>Нет</x:v>
      </x:c>
    </x:row>
    <x:row r="922">
      <x:c r="A922" s="1" t="str">
        <x:f>'Данные'!A922</x:f>
        <x:v>150674016</x:v>
      </x:c>
      <x:c r="B922" s="1" t="str">
        <x:f>'Данные'!B922</x:f>
        <x:v>svitshotover/бордовый</x:v>
      </x:c>
      <x:c r="C922" s="8" t="n">
        <x:f>'Данные'!G922</x:f>
        <x:v>150255</x:v>
      </x:c>
      <x:c r="D922" s="15" t="n">
        <x:f>C922/SUM($C$5:$C$2477)</x:f>
        <x:v>0.0001755314413715681</x:v>
      </x:c>
      <x:c r="E922" s="15" t="n">
        <x:f>SUM($D$5:D922)</x:f>
        <x:v>0.9559195276209281</x:v>
      </x:c>
      <x:c r="F922" s="1" t="str">
        <x:f>IF(C922&lt;=0,"C",IF(E922-D922&lt;'Дашборд'!$C$49,"A",IF(E922-D922&lt;'Дашборд'!$C$50,"B","C")))</x:f>
        <x:v>C</x:v>
      </x:c>
      <x:c r="G922" s="8" t="n">
        <x:f>'Данные'!F922</x:f>
        <x:v>199</x:v>
      </x:c>
      <x:c r="H922" s="8" t="n">
        <x:f>SUM('Данные'!H922:I922)</x:f>
        <x:v>364</x:v>
      </x:c>
      <x:c r="I922" s="16" t="n">
        <x:f>IF(H922&gt;0,G922/H922,"n.a.")</x:f>
        <x:v>0.5467032967032966</x:v>
      </x:c>
      <x:c r="J922" s="10" t="n">
        <x:f>IF('Данные'!E922&gt;0,G922/'Данные'!E922,"n.a.")</x:f>
        <x:v>0.013393458069726747</x:v>
      </x:c>
      <x:c r="K922" s="1" t="str">
        <x:f>IF(G922&gt;='Дашборд'!$C$51,"X","Z")</x:f>
        <x:v>Z</x:v>
      </x:c>
      <x:c r="L922" s="1" t="str">
        <x:f>IF(H922=0,IF(G922&gt;0,"Нет остатка","Нет спроса"),IF(I922&gt;='Дашборд'!$C$52,"Быстрый","Медленный"))</x:f>
        <x:v>Медленный</x:v>
      </x:c>
      <x:c r="M922" s="1" t="str">
        <x:f>IF('Данные'!E922&lt;'Дашборд'!$C$53,"Мало трафика",IF(J922&lt;'Дашборд'!$C$9*'Дашборд'!$C$54,"Да","Нет"))</x:f>
        <x:v>Нет</x:v>
      </x:c>
      <x:c r="N922" s="1" t="str">
        <x:f>IF(AND('Данные'!D922&gt;='Дашборд'!$C$55,D922&lt;'Дашборд'!$C$56,'Данные'!E922&gt;='Дашборд'!$C$53,'Данные'!L922&lt;&gt;"Да"),"Да","Нет")</x:f>
        <x:v>Да</x:v>
      </x:c>
      <x:c r="O922" s="1" t="str">
        <x:f>'Данные'!L922</x:f>
        <x:v>Нет</x:v>
      </x:c>
    </x:row>
    <x:row r="923">
      <x:c r="A923" s="1" t="str">
        <x:f>'Данные'!A923</x:f>
        <x:v>288633828</x:v>
      </x:c>
      <x:c r="B923" s="1" t="str">
        <x:f>'Данные'!B923</x:f>
        <x:v>kostumman/дымка</x:v>
      </x:c>
      <x:c r="C923" s="8" t="n">
        <x:f>'Данные'!G923</x:f>
        <x:v>149909</x:v>
      </x:c>
      <x:c r="D923" s="15" t="n">
        <x:f>C923/SUM($C$5:$C$2477)</x:f>
        <x:v>0.0001751272359959429</x:v>
      </x:c>
      <x:c r="E923" s="15" t="n">
        <x:f>SUM($D$5:D923)</x:f>
        <x:v>0.9560946548569241</x:v>
      </x:c>
      <x:c r="F923" s="1" t="str">
        <x:f>IF(C923&lt;=0,"C",IF(E923-D923&lt;'Дашборд'!$C$49,"A",IF(E923-D923&lt;'Дашборд'!$C$50,"B","C")))</x:f>
        <x:v>C</x:v>
      </x:c>
      <x:c r="G923" s="8" t="n">
        <x:f>'Данные'!F923</x:f>
        <x:v>86</x:v>
      </x:c>
      <x:c r="H923" s="8" t="n">
        <x:f>SUM('Данные'!H923:I923)</x:f>
        <x:v>8</x:v>
      </x:c>
      <x:c r="I923" s="16" t="n">
        <x:f>IF(H923&gt;0,G923/H923,"n.a.")</x:f>
        <x:v>10.75</x:v>
      </x:c>
      <x:c r="J923" s="10" t="n">
        <x:f>IF('Данные'!E923&gt;0,G923/'Данные'!E923,"n.a.")</x:f>
        <x:v>0.011144227031229753</x:v>
      </x:c>
      <x:c r="K923" s="1" t="str">
        <x:f>IF(G923&gt;='Дашборд'!$C$51,"X","Z")</x:f>
        <x:v>Z</x:v>
      </x:c>
      <x:c r="L923" s="1" t="str">
        <x:f>IF(H923=0,IF(G923&gt;0,"Нет остатка","Нет спроса"),IF(I923&gt;='Дашборд'!$C$52,"Быстрый","Медленный"))</x:f>
        <x:v>Быстрый</x:v>
      </x:c>
      <x:c r="M923" s="1" t="str">
        <x:f>IF('Данные'!E923&lt;'Дашборд'!$C$53,"Мало трафика",IF(J923&lt;'Дашборд'!$C$9*'Дашборд'!$C$54,"Да","Нет"))</x:f>
        <x:v>Нет</x:v>
      </x:c>
      <x:c r="N923" s="1" t="str">
        <x:f>IF(AND('Данные'!D923&gt;='Дашборд'!$C$55,D923&lt;'Дашборд'!$C$56,'Данные'!E923&gt;='Дашборд'!$C$53,'Данные'!L923&lt;&gt;"Да"),"Да","Нет")</x:f>
        <x:v>Да</x:v>
      </x:c>
      <x:c r="O923" s="1" t="str">
        <x:f>'Данные'!L923</x:f>
        <x:v>Нет</x:v>
      </x:c>
    </x:row>
    <x:row r="924">
      <x:c r="A924" s="1" t="str">
        <x:f>'Данные'!A924</x:f>
        <x:v>297340872</x:v>
      </x:c>
      <x:c r="B924" s="1" t="str">
        <x:f>'Данные'!B924</x:f>
        <x:v>kostyum/красный</x:v>
      </x:c>
      <x:c r="C924" s="8" t="n">
        <x:f>'Данные'!G924</x:f>
        <x:v>149622</x:v>
      </x:c>
      <x:c r="D924" s="15" t="n">
        <x:f>C924/SUM($C$5:$C$2477)</x:f>
        <x:v>0.0001747919558144272</x:v>
      </x:c>
      <x:c r="E924" s="15" t="n">
        <x:f>SUM($D$5:D924)</x:f>
        <x:v>0.9562694468127385</x:v>
      </x:c>
      <x:c r="F924" s="1" t="str">
        <x:f>IF(C924&lt;=0,"C",IF(E924-D924&lt;'Дашборд'!$C$49,"A",IF(E924-D924&lt;'Дашборд'!$C$50,"B","C")))</x:f>
        <x:v>C</x:v>
      </x:c>
      <x:c r="G924" s="8" t="n">
        <x:f>'Данные'!F924</x:f>
        <x:v>94</x:v>
      </x:c>
      <x:c r="H924" s="8" t="n">
        <x:f>SUM('Данные'!H924:I924)</x:f>
        <x:v>486</x:v>
      </x:c>
      <x:c r="I924" s="16" t="n">
        <x:f>IF(H924&gt;0,G924/H924,"n.a.")</x:f>
        <x:v>0.1934156378600823</x:v>
      </x:c>
      <x:c r="J924" s="10" t="n">
        <x:f>IF('Данные'!E924&gt;0,G924/'Данные'!E924,"n.a.")</x:f>
        <x:v>0.002576613124280467</x:v>
      </x:c>
      <x:c r="K924" s="1" t="str">
        <x:f>IF(G924&gt;='Дашборд'!$C$51,"X","Z")</x:f>
        <x:v>Z</x:v>
      </x:c>
      <x:c r="L924" s="1" t="str">
        <x:f>IF(H924=0,IF(G924&gt;0,"Нет остатка","Нет спроса"),IF(I924&gt;='Дашборд'!$C$52,"Быстрый","Медленный"))</x:f>
        <x:v>Медленный</x:v>
      </x:c>
      <x:c r="M924" s="1" t="str">
        <x:f>IF('Данные'!E924&lt;'Дашборд'!$C$53,"Мало трафика",IF(J924&lt;'Дашборд'!$C$9*'Дашборд'!$C$54,"Да","Нет"))</x:f>
        <x:v>Да</x:v>
      </x:c>
      <x:c r="N924" s="1" t="str">
        <x:f>IF(AND('Данные'!D924&gt;='Дашборд'!$C$55,D924&lt;'Дашборд'!$C$56,'Данные'!E924&gt;='Дашборд'!$C$53,'Данные'!L924&lt;&gt;"Да"),"Да","Нет")</x:f>
        <x:v>Нет</x:v>
      </x:c>
      <x:c r="O924" s="1" t="str">
        <x:f>'Данные'!L924</x:f>
        <x:v>Нет</x:v>
      </x:c>
    </x:row>
    <x:row r="925">
      <x:c r="A925" s="1" t="str">
        <x:f>'Данные'!A925</x:f>
        <x:v>246369378</x:v>
      </x:c>
      <x:c r="B925" s="1" t="str">
        <x:f>'Данные'!B925</x:f>
        <x:v>tolstovkazipcrop/персиковый</x:v>
      </x:c>
      <x:c r="C925" s="8" t="n">
        <x:f>'Данные'!G925</x:f>
        <x:v>149597</x:v>
      </x:c>
      <x:c r="D925" s="15" t="n">
        <x:f>C925/SUM($C$5:$C$2477)</x:f>
        <x:v>0.00017476275022370284</x:v>
      </x:c>
      <x:c r="E925" s="15" t="n">
        <x:f>SUM($D$5:D925)</x:f>
        <x:v>0.9564442095629622</x:v>
      </x:c>
      <x:c r="F925" s="1" t="str">
        <x:f>IF(C925&lt;=0,"C",IF(E925-D925&lt;'Дашборд'!$C$49,"A",IF(E925-D925&lt;'Дашборд'!$C$50,"B","C")))</x:f>
        <x:v>C</x:v>
      </x:c>
      <x:c r="G925" s="8" t="n">
        <x:f>'Данные'!F925</x:f>
        <x:v>164</x:v>
      </x:c>
      <x:c r="H925" s="8" t="n">
        <x:f>SUM('Данные'!H925:I925)</x:f>
        <x:v>93</x:v>
      </x:c>
      <x:c r="I925" s="16" t="n">
        <x:f>IF(H925&gt;0,G925/H925,"n.a.")</x:f>
        <x:v>1.7634408602150538</x:v>
      </x:c>
      <x:c r="J925" s="10" t="n">
        <x:f>IF('Данные'!E925&gt;0,G925/'Данные'!E925,"n.a.")</x:f>
        <x:v>0.009390208989407386</x:v>
      </x:c>
      <x:c r="K925" s="1" t="str">
        <x:f>IF(G925&gt;='Дашборд'!$C$51,"X","Z")</x:f>
        <x:v>Z</x:v>
      </x:c>
      <x:c r="L925" s="1" t="str">
        <x:f>IF(H925=0,IF(G925&gt;0,"Нет остатка","Нет спроса"),IF(I925&gt;='Дашборд'!$C$52,"Быстрый","Медленный"))</x:f>
        <x:v>Быстрый</x:v>
      </x:c>
      <x:c r="M925" s="1" t="str">
        <x:f>IF('Данные'!E925&lt;'Дашборд'!$C$53,"Мало трафика",IF(J925&lt;'Дашборд'!$C$9*'Дашборд'!$C$54,"Да","Нет"))</x:f>
        <x:v>Да</x:v>
      </x:c>
      <x:c r="N925" s="1" t="str">
        <x:f>IF(AND('Данные'!D925&gt;='Дашборд'!$C$55,D925&lt;'Дашборд'!$C$56,'Данные'!E925&gt;='Дашборд'!$C$53,'Данные'!L925&lt;&gt;"Да"),"Да","Нет")</x:f>
        <x:v>Да</x:v>
      </x:c>
      <x:c r="O925" s="1" t="str">
        <x:f>'Данные'!L925</x:f>
        <x:v>Нет</x:v>
      </x:c>
    </x:row>
    <x:row r="926">
      <x:c r="A926" s="1" t="str">
        <x:f>'Данные'!A926</x:f>
        <x:v>336295688</x:v>
      </x:c>
      <x:c r="B926" s="1" t="str">
        <x:f>'Данные'!B926</x:f>
        <x:v>futbolkaoverhlop/коричневый</x:v>
      </x:c>
      <x:c r="C926" s="8" t="n">
        <x:f>'Данные'!G926</x:f>
        <x:v>148850</x:v>
      </x:c>
      <x:c r="D926" s="15" t="n">
        <x:f>C926/SUM($C$5:$C$2477)</x:f>
        <x:v>0.0001738900871728589</x:v>
      </x:c>
      <x:c r="E926" s="15" t="n">
        <x:f>SUM($D$5:D926)</x:f>
        <x:v>0.956618099650135</x:v>
      </x:c>
      <x:c r="F926" s="1" t="str">
        <x:f>IF(C926&lt;=0,"C",IF(E926-D926&lt;'Дашборд'!$C$49,"A",IF(E926-D926&lt;'Дашборд'!$C$50,"B","C")))</x:f>
        <x:v>C</x:v>
      </x:c>
      <x:c r="G926" s="8" t="n">
        <x:f>'Данные'!F926</x:f>
        <x:v>346</x:v>
      </x:c>
      <x:c r="H926" s="8" t="n">
        <x:f>SUM('Данные'!H926:I926)</x:f>
        <x:v>41</x:v>
      </x:c>
      <x:c r="I926" s="16" t="n">
        <x:f>IF(H926&gt;0,G926/H926,"n.a.")</x:f>
        <x:v>8.439024390243903</x:v>
      </x:c>
      <x:c r="J926" s="10" t="n">
        <x:f>IF('Данные'!E926&gt;0,G926/'Данные'!E926,"n.a.")</x:f>
        <x:v>0.016286184984702284</x:v>
      </x:c>
      <x:c r="K926" s="1" t="str">
        <x:f>IF(G926&gt;='Дашборд'!$C$51,"X","Z")</x:f>
        <x:v>X</x:v>
      </x:c>
      <x:c r="L926" s="1" t="str">
        <x:f>IF(H926=0,IF(G926&gt;0,"Нет остатка","Нет спроса"),IF(I926&gt;='Дашборд'!$C$52,"Быстрый","Медленный"))</x:f>
        <x:v>Быстрый</x:v>
      </x:c>
      <x:c r="M926" s="1" t="str">
        <x:f>IF('Данные'!E926&lt;'Дашборд'!$C$53,"Мало трафика",IF(J926&lt;'Дашборд'!$C$9*'Дашборд'!$C$54,"Да","Нет"))</x:f>
        <x:v>Нет</x:v>
      </x:c>
      <x:c r="N926" s="1" t="str">
        <x:f>IF(AND('Данные'!D926&gt;='Дашборд'!$C$55,D926&lt;'Дашборд'!$C$56,'Данные'!E926&gt;='Дашборд'!$C$53,'Данные'!L926&lt;&gt;"Да"),"Да","Нет")</x:f>
        <x:v>Да</x:v>
      </x:c>
      <x:c r="O926" s="1" t="str">
        <x:f>'Данные'!L926</x:f>
        <x:v>Нет</x:v>
      </x:c>
    </x:row>
    <x:row r="927">
      <x:c r="A927" s="1" t="str">
        <x:f>'Данные'!A927</x:f>
        <x:v>333141440</x:v>
      </x:c>
      <x:c r="B927" s="1" t="str">
        <x:f>'Данные'!B927</x:f>
        <x:v>topfutbolka/молочный</x:v>
      </x:c>
      <x:c r="C927" s="8" t="n">
        <x:f>'Данные'!G927</x:f>
        <x:v>148341</x:v>
      </x:c>
      <x:c r="D927" s="15" t="n">
        <x:f>C927/SUM($C$5:$C$2477)</x:f>
        <x:v>0.00017329546134571083</x:v>
      </x:c>
      <x:c r="E927" s="15" t="n">
        <x:f>SUM($D$5:D927)</x:f>
        <x:v>0.9567913951114807</x:v>
      </x:c>
      <x:c r="F927" s="1" t="str">
        <x:f>IF(C927&lt;=0,"C",IF(E927-D927&lt;'Дашборд'!$C$49,"A",IF(E927-D927&lt;'Дашборд'!$C$50,"B","C")))</x:f>
        <x:v>C</x:v>
      </x:c>
      <x:c r="G927" s="8" t="n">
        <x:f>'Данные'!F927</x:f>
        <x:v>693</x:v>
      </x:c>
      <x:c r="H927" s="8" t="n">
        <x:f>SUM('Данные'!H927:I927)</x:f>
        <x:v>1760</x:v>
      </x:c>
      <x:c r="I927" s="16" t="n">
        <x:f>IF(H927&gt;0,G927/H927,"n.a.")</x:f>
        <x:v>0.39375</x:v>
      </x:c>
      <x:c r="J927" s="10" t="n">
        <x:f>IF('Данные'!E927&gt;0,G927/'Данные'!E927,"n.a.")</x:f>
        <x:v>0.027263070931193203</x:v>
      </x:c>
      <x:c r="K927" s="1" t="str">
        <x:f>IF(G927&gt;='Дашборд'!$C$51,"X","Z")</x:f>
        <x:v>X</x:v>
      </x:c>
      <x:c r="L927" s="1" t="str">
        <x:f>IF(H927=0,IF(G927&gt;0,"Нет остатка","Нет спроса"),IF(I927&gt;='Дашборд'!$C$52,"Быстрый","Медленный"))</x:f>
        <x:v>Медленный</x:v>
      </x:c>
      <x:c r="M927" s="1" t="str">
        <x:f>IF('Данные'!E927&lt;'Дашборд'!$C$53,"Мало трафика",IF(J927&lt;'Дашборд'!$C$9*'Дашборд'!$C$54,"Да","Нет"))</x:f>
        <x:v>Нет</x:v>
      </x:c>
      <x:c r="N927" s="1" t="str">
        <x:f>IF(AND('Данные'!D927&gt;='Дашборд'!$C$55,D927&lt;'Дашборд'!$C$56,'Данные'!E927&gt;='Дашборд'!$C$53,'Данные'!L927&lt;&gt;"Да"),"Да","Нет")</x:f>
        <x:v>Да</x:v>
      </x:c>
      <x:c r="O927" s="1" t="str">
        <x:f>'Данные'!L927</x:f>
        <x:v>Нет</x:v>
      </x:c>
    </x:row>
    <x:row r="928">
      <x:c r="A928" s="1" t="str">
        <x:f>'Данные'!A928</x:f>
        <x:v>158427969</x:v>
      </x:c>
      <x:c r="B928" s="1" t="str">
        <x:f>'Данные'!B928</x:f>
        <x:v>kostumman/морскаяволна</x:v>
      </x:c>
      <x:c r="C928" s="8" t="n">
        <x:f>'Данные'!G928</x:f>
        <x:v>147396</x:v>
      </x:c>
      <x:c r="D928" s="15" t="n">
        <x:f>C928/SUM($C$5:$C$2477)</x:f>
        <x:v>0.0001721914900163299</x:v>
      </x:c>
      <x:c r="E928" s="15" t="n">
        <x:f>SUM($D$5:D928)</x:f>
        <x:v>0.956963586601497</x:v>
      </x:c>
      <x:c r="F928" s="1" t="str">
        <x:f>IF(C928&lt;=0,"C",IF(E928-D928&lt;'Дашборд'!$C$49,"A",IF(E928-D928&lt;'Дашборд'!$C$50,"B","C")))</x:f>
        <x:v>C</x:v>
      </x:c>
      <x:c r="G928" s="8" t="n">
        <x:f>'Данные'!F928</x:f>
        <x:v>78</x:v>
      </x:c>
      <x:c r="H928" s="8" t="n">
        <x:f>SUM('Данные'!H928:I928)</x:f>
        <x:v>750</x:v>
      </x:c>
      <x:c r="I928" s="16" t="n">
        <x:f>IF(H928&gt;0,G928/H928,"n.a.")</x:f>
        <x:v>0.104</x:v>
      </x:c>
      <x:c r="J928" s="10" t="n">
        <x:f>IF('Данные'!E928&gt;0,G928/'Данные'!E928,"n.a.")</x:f>
        <x:v>0.011398509425690487</x:v>
      </x:c>
      <x:c r="K928" s="1" t="str">
        <x:f>IF(G928&gt;='Дашборд'!$C$51,"X","Z")</x:f>
        <x:v>Z</x:v>
      </x:c>
      <x:c r="L928" s="1" t="str">
        <x:f>IF(H928=0,IF(G928&gt;0,"Нет остатка","Нет спроса"),IF(I928&gt;='Дашборд'!$C$52,"Быстрый","Медленный"))</x:f>
        <x:v>Медленный</x:v>
      </x:c>
      <x:c r="M928" s="1" t="str">
        <x:f>IF('Данные'!E928&lt;'Дашборд'!$C$53,"Мало трафика",IF(J928&lt;'Дашборд'!$C$9*'Дашборд'!$C$54,"Да","Нет"))</x:f>
        <x:v>Нет</x:v>
      </x:c>
      <x:c r="N928" s="1" t="str">
        <x:f>IF(AND('Данные'!D928&gt;='Дашборд'!$C$55,D928&lt;'Дашборд'!$C$56,'Данные'!E928&gt;='Дашборд'!$C$53,'Данные'!L928&lt;&gt;"Да"),"Да","Нет")</x:f>
        <x:v>Да</x:v>
      </x:c>
      <x:c r="O928" s="1" t="str">
        <x:f>'Данные'!L928</x:f>
        <x:v>Нет</x:v>
      </x:c>
    </x:row>
    <x:row r="929">
      <x:c r="A929" s="1" t="str">
        <x:f>'Данные'!A929</x:f>
        <x:v>235988740</x:v>
      </x:c>
      <x:c r="B929" s="1" t="str">
        <x:f>'Данные'!B929</x:f>
        <x:v>brukipetl/молочный</x:v>
      </x:c>
      <x:c r="C929" s="8" t="n">
        <x:f>'Данные'!G929</x:f>
        <x:v>147140</x:v>
      </x:c>
      <x:c r="D929" s="15" t="n">
        <x:f>C929/SUM($C$5:$C$2477)</x:f>
        <x:v>0.00017189242476731243</x:v>
      </x:c>
      <x:c r="E929" s="15" t="n">
        <x:f>SUM($D$5:D929)</x:f>
        <x:v>0.9571354790262644</x:v>
      </x:c>
      <x:c r="F929" s="1" t="str">
        <x:f>IF(C929&lt;=0,"C",IF(E929-D929&lt;'Дашборд'!$C$49,"A",IF(E929-D929&lt;'Дашборд'!$C$50,"B","C")))</x:f>
        <x:v>C</x:v>
      </x:c>
      <x:c r="G929" s="8" t="n">
        <x:f>'Данные'!F929</x:f>
        <x:v>293</x:v>
      </x:c>
      <x:c r="H929" s="8" t="n">
        <x:f>SUM('Данные'!H929:I929)</x:f>
        <x:v>93</x:v>
      </x:c>
      <x:c r="I929" s="16" t="n">
        <x:f>IF(H929&gt;0,G929/H929,"n.a.")</x:f>
        <x:v>3.150537634408602</x:v>
      </x:c>
      <x:c r="J929" s="10" t="n">
        <x:f>IF('Данные'!E929&gt;0,G929/'Данные'!E929,"n.a.")</x:f>
        <x:v>0.01109638326074607</x:v>
      </x:c>
      <x:c r="K929" s="1" t="str">
        <x:f>IF(G929&gt;='Дашборд'!$C$51,"X","Z")</x:f>
        <x:v>X</x:v>
      </x:c>
      <x:c r="L929" s="1" t="str">
        <x:f>IF(H929=0,IF(G929&gt;0,"Нет остатка","Нет спроса"),IF(I929&gt;='Дашборд'!$C$52,"Быстрый","Медленный"))</x:f>
        <x:v>Быстрый</x:v>
      </x:c>
      <x:c r="M929" s="1" t="str">
        <x:f>IF('Данные'!E929&lt;'Дашборд'!$C$53,"Мало трафика",IF(J929&lt;'Дашборд'!$C$9*'Дашборд'!$C$54,"Да","Нет"))</x:f>
        <x:v>Нет</x:v>
      </x:c>
      <x:c r="N929" s="1" t="str">
        <x:f>IF(AND('Данные'!D929&gt;='Дашборд'!$C$55,D929&lt;'Дашборд'!$C$56,'Данные'!E929&gt;='Дашборд'!$C$53,'Данные'!L929&lt;&gt;"Да"),"Да","Нет")</x:f>
        <x:v>Нет</x:v>
      </x:c>
      <x:c r="O929" s="1" t="str">
        <x:f>'Данные'!L929</x:f>
        <x:v>Нет</x:v>
      </x:c>
    </x:row>
    <x:row r="930">
      <x:c r="A930" s="1" t="str">
        <x:f>'Данные'!A930</x:f>
        <x:v>288633826</x:v>
      </x:c>
      <x:c r="B930" s="1" t="str">
        <x:f>'Данные'!B930</x:f>
        <x:v>kostumman/темно-серый</x:v>
      </x:c>
      <x:c r="C930" s="8" t="n">
        <x:f>'Данные'!G930</x:f>
        <x:v>146936</x:v>
      </x:c>
      <x:c r="D930" s="15" t="n">
        <x:f>C930/SUM($C$5:$C$2477)</x:f>
        <x:v>0.00017165410714700162</x:v>
      </x:c>
      <x:c r="E930" s="15" t="n">
        <x:f>SUM($D$5:D930)</x:f>
        <x:v>0.9573071331334114</x:v>
      </x:c>
      <x:c r="F930" s="1" t="str">
        <x:f>IF(C930&lt;=0,"C",IF(E930-D930&lt;'Дашборд'!$C$49,"A",IF(E930-D930&lt;'Дашборд'!$C$50,"B","C")))</x:f>
        <x:v>C</x:v>
      </x:c>
      <x:c r="G930" s="8" t="n">
        <x:f>'Данные'!F930</x:f>
        <x:v>96</x:v>
      </x:c>
      <x:c r="H930" s="8" t="n">
        <x:f>SUM('Данные'!H930:I930)</x:f>
        <x:v>340</x:v>
      </x:c>
      <x:c r="I930" s="16" t="n">
        <x:f>IF(H930&gt;0,G930/H930,"n.a.")</x:f>
        <x:v>0.2823529411764706</x:v>
      </x:c>
      <x:c r="J930" s="10" t="n">
        <x:f>IF('Данные'!E930&gt;0,G930/'Данные'!E930,"n.a.")</x:f>
        <x:v>0.014446952595936794</x:v>
      </x:c>
      <x:c r="K930" s="1" t="str">
        <x:f>IF(G930&gt;='Дашборд'!$C$51,"X","Z")</x:f>
        <x:v>Z</x:v>
      </x:c>
      <x:c r="L930" s="1" t="str">
        <x:f>IF(H930=0,IF(G930&gt;0,"Нет остатка","Нет спроса"),IF(I930&gt;='Дашборд'!$C$52,"Быстрый","Медленный"))</x:f>
        <x:v>Медленный</x:v>
      </x:c>
      <x:c r="M930" s="1" t="str">
        <x:f>IF('Данные'!E930&lt;'Дашборд'!$C$53,"Мало трафика",IF(J930&lt;'Дашборд'!$C$9*'Дашборд'!$C$54,"Да","Нет"))</x:f>
        <x:v>Нет</x:v>
      </x:c>
      <x:c r="N930" s="1" t="str">
        <x:f>IF(AND('Данные'!D930&gt;='Дашборд'!$C$55,D930&lt;'Дашборд'!$C$56,'Данные'!E930&gt;='Дашборд'!$C$53,'Данные'!L930&lt;&gt;"Да"),"Да","Нет")</x:f>
        <x:v>Да</x:v>
      </x:c>
      <x:c r="O930" s="1" t="str">
        <x:f>'Данные'!L930</x:f>
        <x:v>Нет</x:v>
      </x:c>
    </x:row>
    <x:row r="931">
      <x:c r="A931" s="1" t="str">
        <x:f>'Данные'!A931</x:f>
        <x:v>165911120</x:v>
      </x:c>
      <x:c r="B931" s="1" t="str">
        <x:f>'Данные'!B931</x:f>
        <x:v>longman/бежевый</x:v>
      </x:c>
      <x:c r="C931" s="8" t="n">
        <x:f>'Данные'!G931</x:f>
        <x:v>145945</x:v>
      </x:c>
      <x:c r="D931" s="15" t="n">
        <x:f>C931/SUM($C$5:$C$2477)</x:f>
        <x:v>0.00017049639753068785</x:v>
      </x:c>
      <x:c r="E931" s="15" t="n">
        <x:f>SUM($D$5:D931)</x:f>
        <x:v>0.9574776295309421</x:v>
      </x:c>
      <x:c r="F931" s="1" t="str">
        <x:f>IF(C931&lt;=0,"C",IF(E931-D931&lt;'Дашборд'!$C$49,"A",IF(E931-D931&lt;'Дашборд'!$C$50,"B","C")))</x:f>
        <x:v>C</x:v>
      </x:c>
      <x:c r="G931" s="8" t="n">
        <x:f>'Данные'!F931</x:f>
        <x:v>347</x:v>
      </x:c>
      <x:c r="H931" s="8" t="n">
        <x:f>SUM('Данные'!H931:I931)</x:f>
        <x:v>1702</x:v>
      </x:c>
      <x:c r="I931" s="16" t="n">
        <x:f>IF(H931&gt;0,G931/H931,"n.a.")</x:f>
        <x:v>0.20387779083431257</x:v>
      </x:c>
      <x:c r="J931" s="10" t="n">
        <x:f>IF('Данные'!E931&gt;0,G931/'Данные'!E931,"n.a.")</x:f>
        <x:v>0.015004756551068062</x:v>
      </x:c>
      <x:c r="K931" s="1" t="str">
        <x:f>IF(G931&gt;='Дашборд'!$C$51,"X","Z")</x:f>
        <x:v>X</x:v>
      </x:c>
      <x:c r="L931" s="1" t="str">
        <x:f>IF(H931=0,IF(G931&gt;0,"Нет остатка","Нет спроса"),IF(I931&gt;='Дашборд'!$C$52,"Быстрый","Медленный"))</x:f>
        <x:v>Медленный</x:v>
      </x:c>
      <x:c r="M931" s="1" t="str">
        <x:f>IF('Данные'!E931&lt;'Дашборд'!$C$53,"Мало трафика",IF(J931&lt;'Дашборд'!$C$9*'Дашборд'!$C$54,"Да","Нет"))</x:f>
        <x:v>Нет</x:v>
      </x:c>
      <x:c r="N931" s="1" t="str">
        <x:f>IF(AND('Данные'!D931&gt;='Дашборд'!$C$55,D931&lt;'Дашборд'!$C$56,'Данные'!E931&gt;='Дашборд'!$C$53,'Данные'!L931&lt;&gt;"Да"),"Да","Нет")</x:f>
        <x:v>Нет</x:v>
      </x:c>
      <x:c r="O931" s="1" t="str">
        <x:f>'Данные'!L931</x:f>
        <x:v>Нет</x:v>
      </x:c>
    </x:row>
    <x:row r="932">
      <x:c r="A932" s="1" t="str">
        <x:f>'Данные'!A932</x:f>
        <x:v>210618400</x:v>
      </x:c>
      <x:c r="B932" s="1" t="str">
        <x:f>'Данные'!B932</x:f>
        <x:v>kostkulirkaover/фуксия</x:v>
      </x:c>
      <x:c r="C932" s="8" t="n">
        <x:f>'Данные'!G932</x:f>
        <x:v>145739</x:v>
      </x:c>
      <x:c r="D932" s="15" t="n">
        <x:f>C932/SUM($C$5:$C$2477)</x:f>
        <x:v>0.0001702557434631191</x:v>
      </x:c>
      <x:c r="E932" s="15" t="n">
        <x:f>SUM($D$5:D932)</x:f>
        <x:v>0.9576478852744051</x:v>
      </x:c>
      <x:c r="F932" s="1" t="str">
        <x:f>IF(C932&lt;=0,"C",IF(E932-D932&lt;'Дашборд'!$C$49,"A",IF(E932-D932&lt;'Дашборд'!$C$50,"B","C")))</x:f>
        <x:v>C</x:v>
      </x:c>
      <x:c r="G932" s="8" t="n">
        <x:f>'Данные'!F932</x:f>
        <x:v>203</x:v>
      </x:c>
      <x:c r="H932" s="8" t="n">
        <x:f>SUM('Данные'!H932:I932)</x:f>
        <x:v>530</x:v>
      </x:c>
      <x:c r="I932" s="16" t="n">
        <x:f>IF(H932&gt;0,G932/H932,"n.a.")</x:f>
        <x:v>0.38301886792452833</x:v>
      </x:c>
      <x:c r="J932" s="10" t="n">
        <x:f>IF('Данные'!E932&gt;0,G932/'Данные'!E932,"n.a.")</x:f>
        <x:v>0.007974857591828718</x:v>
      </x:c>
      <x:c r="K932" s="1" t="str">
        <x:f>IF(G932&gt;='Дашборд'!$C$51,"X","Z")</x:f>
        <x:v>Z</x:v>
      </x:c>
      <x:c r="L932" s="1" t="str">
        <x:f>IF(H932=0,IF(G932&gt;0,"Нет остатка","Нет спроса"),IF(I932&gt;='Дашборд'!$C$52,"Быстрый","Медленный"))</x:f>
        <x:v>Медленный</x:v>
      </x:c>
      <x:c r="M932" s="1" t="str">
        <x:f>IF('Данные'!E932&lt;'Дашборд'!$C$53,"Мало трафика",IF(J932&lt;'Дашборд'!$C$9*'Дашборд'!$C$54,"Да","Нет"))</x:f>
        <x:v>Да</x:v>
      </x:c>
      <x:c r="N932" s="1" t="str">
        <x:f>IF(AND('Данные'!D932&gt;='Дашборд'!$C$55,D932&lt;'Дашборд'!$C$56,'Данные'!E932&gt;='Дашборд'!$C$53,'Данные'!L932&lt;&gt;"Да"),"Да","Нет")</x:f>
        <x:v>Нет</x:v>
      </x:c>
      <x:c r="O932" s="1" t="str">
        <x:f>'Данные'!L932</x:f>
        <x:v>Нет</x:v>
      </x:c>
    </x:row>
    <x:row r="933">
      <x:c r="A933" s="1" t="str">
        <x:f>'Данные'!A933</x:f>
        <x:v>239852086</x:v>
      </x:c>
      <x:c r="B933" s="1" t="str">
        <x:f>'Данные'!B933</x:f>
        <x:v>svitshotrukpetl/песочный</x:v>
      </x:c>
      <x:c r="C933" s="8" t="n">
        <x:f>'Данные'!G933</x:f>
        <x:v>145577</x:v>
      </x:c>
      <x:c r="D933" s="15" t="n">
        <x:f>C933/SUM($C$5:$C$2477)</x:f>
        <x:v>0.00017006649123522523</x:v>
      </x:c>
      <x:c r="E933" s="15" t="n">
        <x:f>SUM($D$5:D933)</x:f>
        <x:v>0.9578179517656403</x:v>
      </x:c>
      <x:c r="F933" s="1" t="str">
        <x:f>IF(C933&lt;=0,"C",IF(E933-D933&lt;'Дашборд'!$C$49,"A",IF(E933-D933&lt;'Дашборд'!$C$50,"B","C")))</x:f>
        <x:v>C</x:v>
      </x:c>
      <x:c r="G933" s="8" t="n">
        <x:f>'Данные'!F933</x:f>
        <x:v>233</x:v>
      </x:c>
      <x:c r="H933" s="8" t="n">
        <x:f>SUM('Данные'!H933:I933)</x:f>
        <x:v>408</x:v>
      </x:c>
      <x:c r="I933" s="16" t="n">
        <x:f>IF(H933&gt;0,G933/H933,"n.a.")</x:f>
        <x:v>0.571078431372549</x:v>
      </x:c>
      <x:c r="J933" s="10" t="n">
        <x:f>IF('Данные'!E933&gt;0,G933/'Данные'!E933,"n.a.")</x:f>
        <x:v>0.008909793124545906</x:v>
      </x:c>
      <x:c r="K933" s="1" t="str">
        <x:f>IF(G933&gt;='Дашборд'!$C$51,"X","Z")</x:f>
        <x:v>Z</x:v>
      </x:c>
      <x:c r="L933" s="1" t="str">
        <x:f>IF(H933=0,IF(G933&gt;0,"Нет остатка","Нет спроса"),IF(I933&gt;='Дашборд'!$C$52,"Быстрый","Медленный"))</x:f>
        <x:v>Медленный</x:v>
      </x:c>
      <x:c r="M933" s="1" t="str">
        <x:f>IF('Данные'!E933&lt;'Дашборд'!$C$53,"Мало трафика",IF(J933&lt;'Дашборд'!$C$9*'Дашборд'!$C$54,"Да","Нет"))</x:f>
        <x:v>Да</x:v>
      </x:c>
      <x:c r="N933" s="1" t="str">
        <x:f>IF(AND('Данные'!D933&gt;='Дашборд'!$C$55,D933&lt;'Дашборд'!$C$56,'Данные'!E933&gt;='Дашборд'!$C$53,'Данные'!L933&lt;&gt;"Да"),"Да","Нет")</x:f>
        <x:v>Да</x:v>
      </x:c>
      <x:c r="O933" s="1" t="str">
        <x:f>'Данные'!L933</x:f>
        <x:v>Нет</x:v>
      </x:c>
    </x:row>
    <x:row r="934">
      <x:c r="A934" s="1" t="str">
        <x:f>'Данные'!A934</x:f>
        <x:v>380930277</x:v>
      </x:c>
      <x:c r="B934" s="1" t="str">
        <x:f>'Данные'!B934</x:f>
        <x:v>hudicrop1/светло-фиолетовый</x:v>
      </x:c>
      <x:c r="C934" s="8" t="n">
        <x:f>'Данные'!G934</x:f>
        <x:v>144331</x:v>
      </x:c>
      <x:c r="D934" s="15" t="n">
        <x:f>C934/SUM($C$5:$C$2477)</x:f>
        <x:v>0.00016861088459352297</x:v>
      </x:c>
      <x:c r="E934" s="15" t="n">
        <x:f>SUM($D$5:D934)</x:f>
        <x:v>0.9579865626502339</x:v>
      </x:c>
      <x:c r="F934" s="1" t="str">
        <x:f>IF(C934&lt;=0,"C",IF(E934-D934&lt;'Дашборд'!$C$49,"A",IF(E934-D934&lt;'Дашборд'!$C$50,"B","C")))</x:f>
        <x:v>C</x:v>
      </x:c>
      <x:c r="G934" s="8" t="n">
        <x:f>'Данные'!F934</x:f>
        <x:v>122</x:v>
      </x:c>
      <x:c r="H934" s="8" t="n">
        <x:f>SUM('Данные'!H934:I934)</x:f>
        <x:v>0</x:v>
      </x:c>
      <x:c r="I934" s="16" t="str">
        <x:f>IF(H934&gt;0,G934/H934,"n.a.")</x:f>
        <x:v>n.a.</x:v>
      </x:c>
      <x:c r="J934" s="10" t="n">
        <x:f>IF('Данные'!E934&gt;0,G934/'Данные'!E934,"n.a.")</x:f>
        <x:v>0.0070483563464093825</x:v>
      </x:c>
      <x:c r="K934" s="1" t="str">
        <x:f>IF(G934&gt;='Дашборд'!$C$51,"X","Z")</x:f>
        <x:v>Z</x:v>
      </x:c>
      <x:c r="L934" s="1" t="str">
        <x:f>IF(H934=0,IF(G934&gt;0,"Нет остатка","Нет спроса"),IF(I934&gt;='Дашборд'!$C$52,"Быстрый","Медленный"))</x:f>
        <x:v>Нет остатка</x:v>
      </x:c>
      <x:c r="M934" s="1" t="str">
        <x:f>IF('Данные'!E934&lt;'Дашборд'!$C$53,"Мало трафика",IF(J934&lt;'Дашборд'!$C$9*'Дашборд'!$C$54,"Да","Нет"))</x:f>
        <x:v>Да</x:v>
      </x:c>
      <x:c r="N934" s="1" t="str">
        <x:f>IF(AND('Данные'!D934&gt;='Дашборд'!$C$55,D934&lt;'Дашборд'!$C$56,'Данные'!E934&gt;='Дашборд'!$C$53,'Данные'!L934&lt;&gt;"Да"),"Да","Нет")</x:f>
        <x:v>Нет</x:v>
      </x:c>
      <x:c r="O934" s="1" t="str">
        <x:f>'Данные'!L934</x:f>
        <x:v>Нет</x:v>
      </x:c>
    </x:row>
    <x:row r="935">
      <x:c r="A935" s="1" t="str">
        <x:f>'Данные'!A935</x:f>
        <x:v>245583544</x:v>
      </x:c>
      <x:c r="B935" s="1" t="str">
        <x:f>'Данные'!B935</x:f>
        <x:v>hudiprint/Smile-143/серыймеланж2</x:v>
      </x:c>
      <x:c r="C935" s="8" t="n">
        <x:f>'Данные'!G935</x:f>
        <x:v>143789</x:v>
      </x:c>
      <x:c r="D935" s="15" t="n">
        <x:f>C935/SUM($C$5:$C$2477)</x:f>
        <x:v>0.00016797770738661877</x:v>
      </x:c>
      <x:c r="E935" s="15" t="n">
        <x:f>SUM($D$5:D935)</x:f>
        <x:v>0.9581545403576205</x:v>
      </x:c>
      <x:c r="F935" s="1" t="str">
        <x:f>IF(C935&lt;=0,"C",IF(E935-D935&lt;'Дашборд'!$C$49,"A",IF(E935-D935&lt;'Дашборд'!$C$50,"B","C")))</x:f>
        <x:v>C</x:v>
      </x:c>
      <x:c r="G935" s="8" t="n">
        <x:f>'Данные'!F935</x:f>
        <x:v>150</x:v>
      </x:c>
      <x:c r="H935" s="8" t="n">
        <x:f>SUM('Данные'!H935:I935)</x:f>
        <x:v>460</x:v>
      </x:c>
      <x:c r="I935" s="16" t="n">
        <x:f>IF(H935&gt;0,G935/H935,"n.a.")</x:f>
        <x:v>0.32608695652173914</x:v>
      </x:c>
      <x:c r="J935" s="10" t="n">
        <x:f>IF('Данные'!E935&gt;0,G935/'Данные'!E935,"n.a.")</x:f>
        <x:v>0.006112718529687436</x:v>
      </x:c>
      <x:c r="K935" s="1" t="str">
        <x:f>IF(G935&gt;='Дашборд'!$C$51,"X","Z")</x:f>
        <x:v>Z</x:v>
      </x:c>
      <x:c r="L935" s="1" t="str">
        <x:f>IF(H935=0,IF(G935&gt;0,"Нет остатка","Нет спроса"),IF(I935&gt;='Дашборд'!$C$52,"Быстрый","Медленный"))</x:f>
        <x:v>Медленный</x:v>
      </x:c>
      <x:c r="M935" s="1" t="str">
        <x:f>IF('Данные'!E935&lt;'Дашборд'!$C$53,"Мало трафика",IF(J935&lt;'Дашборд'!$C$9*'Дашборд'!$C$54,"Да","Нет"))</x:f>
        <x:v>Да</x:v>
      </x:c>
      <x:c r="N935" s="1" t="str">
        <x:f>IF(AND('Данные'!D935&gt;='Дашборд'!$C$55,D935&lt;'Дашборд'!$C$56,'Данные'!E935&gt;='Дашборд'!$C$53,'Данные'!L935&lt;&gt;"Да"),"Да","Нет")</x:f>
        <x:v>Нет</x:v>
      </x:c>
      <x:c r="O935" s="1" t="str">
        <x:f>'Данные'!L935</x:f>
        <x:v>Нет</x:v>
      </x:c>
    </x:row>
    <x:row r="936">
      <x:c r="A936" s="1" t="str">
        <x:f>'Данные'!A936</x:f>
        <x:v>218970527</x:v>
      </x:c>
      <x:c r="B936" s="1" t="str">
        <x:f>'Данные'!B936</x:f>
        <x:v>topfutbolka/черный</x:v>
      </x:c>
      <x:c r="C936" s="8" t="n">
        <x:f>'Данные'!G936</x:f>
        <x:v>143279</x:v>
      </x:c>
      <x:c r="D936" s="15" t="n">
        <x:f>C936/SUM($C$5:$C$2477)</x:f>
        <x:v>0.00016738191333584177</x:v>
      </x:c>
      <x:c r="E936" s="15" t="n">
        <x:f>SUM($D$5:D936)</x:f>
        <x:v>0.9583219222709564</x:v>
      </x:c>
      <x:c r="F936" s="1" t="str">
        <x:f>IF(C936&lt;=0,"C",IF(E936-D936&lt;'Дашборд'!$C$49,"A",IF(E936-D936&lt;'Дашборд'!$C$50,"B","C")))</x:f>
        <x:v>C</x:v>
      </x:c>
      <x:c r="G936" s="8" t="n">
        <x:f>'Данные'!F936</x:f>
        <x:v>379</x:v>
      </x:c>
      <x:c r="H936" s="8" t="n">
        <x:f>SUM('Данные'!H936:I936)</x:f>
        <x:v>2893</x:v>
      </x:c>
      <x:c r="I936" s="16" t="n">
        <x:f>IF(H936&gt;0,G936/H936,"n.a.")</x:f>
        <x:v>0.13100587625302454</x:v>
      </x:c>
      <x:c r="J936" s="10" t="n">
        <x:f>IF('Данные'!E936&gt;0,G936/'Данные'!E936,"n.a.")</x:f>
        <x:v>0.020891902320709994</x:v>
      </x:c>
      <x:c r="K936" s="1" t="str">
        <x:f>IF(G936&gt;='Дашборд'!$C$51,"X","Z")</x:f>
        <x:v>X</x:v>
      </x:c>
      <x:c r="L936" s="1" t="str">
        <x:f>IF(H936=0,IF(G936&gt;0,"Нет остатка","Нет спроса"),IF(I936&gt;='Дашборд'!$C$52,"Быстрый","Медленный"))</x:f>
        <x:v>Медленный</x:v>
      </x:c>
      <x:c r="M936" s="1" t="str">
        <x:f>IF('Данные'!E936&lt;'Дашборд'!$C$53,"Мало трафика",IF(J936&lt;'Дашборд'!$C$9*'Дашборд'!$C$54,"Да","Нет"))</x:f>
        <x:v>Нет</x:v>
      </x:c>
      <x:c r="N936" s="1" t="str">
        <x:f>IF(AND('Данные'!D936&gt;='Дашборд'!$C$55,D936&lt;'Дашборд'!$C$56,'Данные'!E936&gt;='Дашборд'!$C$53,'Данные'!L936&lt;&gt;"Да"),"Да","Нет")</x:f>
        <x:v>Нет</x:v>
      </x:c>
      <x:c r="O936" s="1" t="str">
        <x:f>'Данные'!L936</x:f>
        <x:v>Нет</x:v>
      </x:c>
    </x:row>
    <x:row r="937">
      <x:c r="A937" s="1" t="str">
        <x:f>'Данные'!A937</x:f>
        <x:v>240808508</x:v>
      </x:c>
      <x:c r="B937" s="1" t="str">
        <x:f>'Данные'!B937</x:f>
        <x:v>hudiboy/темно-синий</x:v>
      </x:c>
      <x:c r="C937" s="8" t="n">
        <x:f>'Данные'!G937</x:f>
        <x:v>143221</x:v>
      </x:c>
      <x:c r="D937" s="15" t="n">
        <x:f>C937/SUM($C$5:$C$2477)</x:f>
        <x:v>0.00016731415636536126</x:v>
      </x:c>
      <x:c r="E937" s="15" t="n">
        <x:f>SUM($D$5:D937)</x:f>
        <x:v>0.9584892364273218</x:v>
      </x:c>
      <x:c r="F937" s="1" t="str">
        <x:f>IF(C937&lt;=0,"C",IF(E937-D937&lt;'Дашборд'!$C$49,"A",IF(E937-D937&lt;'Дашборд'!$C$50,"B","C")))</x:f>
        <x:v>C</x:v>
      </x:c>
      <x:c r="G937" s="8" t="n">
        <x:f>'Данные'!F937</x:f>
        <x:v>195</x:v>
      </x:c>
      <x:c r="H937" s="8" t="n">
        <x:f>SUM('Данные'!H937:I937)</x:f>
        <x:v>288</x:v>
      </x:c>
      <x:c r="I937" s="16" t="n">
        <x:f>IF(H937&gt;0,G937/H937,"n.a.")</x:f>
        <x:v>0.6770833333333334</x:v>
      </x:c>
      <x:c r="J937" s="10" t="n">
        <x:f>IF('Данные'!E937&gt;0,G937/'Данные'!E937,"n.a.")</x:f>
        <x:v>0.013587903282001254</x:v>
      </x:c>
      <x:c r="K937" s="1" t="str">
        <x:f>IF(G937&gt;='Дашборд'!$C$51,"X","Z")</x:f>
        <x:v>Z</x:v>
      </x:c>
      <x:c r="L937" s="1" t="str">
        <x:f>IF(H937=0,IF(G937&gt;0,"Нет остатка","Нет спроса"),IF(I937&gt;='Дашборд'!$C$52,"Быстрый","Медленный"))</x:f>
        <x:v>Медленный</x:v>
      </x:c>
      <x:c r="M937" s="1" t="str">
        <x:f>IF('Данные'!E937&lt;'Дашборд'!$C$53,"Мало трафика",IF(J937&lt;'Дашборд'!$C$9*'Дашборд'!$C$54,"Да","Нет"))</x:f>
        <x:v>Нет</x:v>
      </x:c>
      <x:c r="N937" s="1" t="str">
        <x:f>IF(AND('Данные'!D937&gt;='Дашборд'!$C$55,D937&lt;'Дашборд'!$C$56,'Данные'!E937&gt;='Дашборд'!$C$53,'Данные'!L937&lt;&gt;"Да"),"Да","Нет")</x:f>
        <x:v>Нет</x:v>
      </x:c>
      <x:c r="O937" s="1" t="str">
        <x:f>'Данные'!L937</x:f>
        <x:v>Нет</x:v>
      </x:c>
    </x:row>
    <x:row r="938">
      <x:c r="A938" s="1" t="str">
        <x:f>'Данные'!A938</x:f>
        <x:v>211596876</x:v>
      </x:c>
      <x:c r="B938" s="1" t="str">
        <x:f>'Данные'!B938</x:f>
        <x:v>kulirkamanprint/NEWYORK-81/молочный</x:v>
      </x:c>
      <x:c r="C938" s="8" t="n">
        <x:f>'Данные'!G938</x:f>
        <x:v>143071</x:v>
      </x:c>
      <x:c r="D938" s="15" t="n">
        <x:f>C938/SUM($C$5:$C$2477)</x:f>
        <x:v>0.00016713892282101508</x:v>
      </x:c>
      <x:c r="E938" s="15" t="n">
        <x:f>SUM($D$5:D938)</x:f>
        <x:v>0.9586563753501428</x:v>
      </x:c>
      <x:c r="F938" s="1" t="str">
        <x:f>IF(C938&lt;=0,"C",IF(E938-D938&lt;'Дашборд'!$C$49,"A",IF(E938-D938&lt;'Дашборд'!$C$50,"B","C")))</x:f>
        <x:v>C</x:v>
      </x:c>
      <x:c r="G938" s="8" t="n">
        <x:f>'Данные'!F938</x:f>
        <x:v>333</x:v>
      </x:c>
      <x:c r="H938" s="8" t="n">
        <x:f>SUM('Данные'!H938:I938)</x:f>
        <x:v>0</x:v>
      </x:c>
      <x:c r="I938" s="16" t="str">
        <x:f>IF(H938&gt;0,G938/H938,"n.a.")</x:f>
        <x:v>n.a.</x:v>
      </x:c>
      <x:c r="J938" s="10" t="n">
        <x:f>IF('Данные'!E938&gt;0,G938/'Данные'!E938,"n.a.")</x:f>
        <x:v>0.025844004656577414</x:v>
      </x:c>
      <x:c r="K938" s="1" t="str">
        <x:f>IF(G938&gt;='Дашборд'!$C$51,"X","Z")</x:f>
        <x:v>X</x:v>
      </x:c>
      <x:c r="L938" s="1" t="str">
        <x:f>IF(H938=0,IF(G938&gt;0,"Нет остатка","Нет спроса"),IF(I938&gt;='Дашборд'!$C$52,"Быстрый","Медленный"))</x:f>
        <x:v>Нет остатка</x:v>
      </x:c>
      <x:c r="M938" s="1" t="str">
        <x:f>IF('Данные'!E938&lt;'Дашборд'!$C$53,"Мало трафика",IF(J938&lt;'Дашборд'!$C$9*'Дашборд'!$C$54,"Да","Нет"))</x:f>
        <x:v>Нет</x:v>
      </x:c>
      <x:c r="N938" s="1" t="str">
        <x:f>IF(AND('Данные'!D938&gt;='Дашборд'!$C$55,D938&lt;'Дашборд'!$C$56,'Данные'!E938&gt;='Дашборд'!$C$53,'Данные'!L938&lt;&gt;"Да"),"Да","Нет")</x:f>
        <x:v>Нет</x:v>
      </x:c>
      <x:c r="O938" s="1" t="str">
        <x:f>'Данные'!L938</x:f>
        <x:v>Нет</x:v>
      </x:c>
    </x:row>
    <x:row r="939">
      <x:c r="A939" s="1" t="str">
        <x:f>'Данные'!A939</x:f>
        <x:v>215422756</x:v>
      </x:c>
      <x:c r="B939" s="1" t="str">
        <x:f>'Данные'!B939</x:f>
        <x:v>futbolkaprint/NeedMoney-104/черный</x:v>
      </x:c>
      <x:c r="C939" s="8" t="n">
        <x:f>'Данные'!G939</x:f>
        <x:v>143009</x:v>
      </x:c>
      <x:c r="D939" s="15" t="n">
        <x:f>C939/SUM($C$5:$C$2477)</x:f>
        <x:v>0.00016706649295601865</x:v>
      </x:c>
      <x:c r="E939" s="15" t="n">
        <x:f>SUM($D$5:D939)</x:f>
        <x:v>0.9588234418430989</x:v>
      </x:c>
      <x:c r="F939" s="1" t="str">
        <x:f>IF(C939&lt;=0,"C",IF(E939-D939&lt;'Дашборд'!$C$49,"A",IF(E939-D939&lt;'Дашборд'!$C$50,"B","C")))</x:f>
        <x:v>C</x:v>
      </x:c>
      <x:c r="G939" s="8" t="n">
        <x:f>'Данные'!F939</x:f>
        <x:v>225</x:v>
      </x:c>
      <x:c r="H939" s="8" t="n">
        <x:f>SUM('Данные'!H939:I939)</x:f>
        <x:v>0</x:v>
      </x:c>
      <x:c r="I939" s="16" t="str">
        <x:f>IF(H939&gt;0,G939/H939,"n.a.")</x:f>
        <x:v>n.a.</x:v>
      </x:c>
      <x:c r="J939" s="10" t="n">
        <x:f>IF('Данные'!E939&gt;0,G939/'Данные'!E939,"n.a.")</x:f>
        <x:v>0.006186417376959032</x:v>
      </x:c>
      <x:c r="K939" s="1" t="str">
        <x:f>IF(G939&gt;='Дашборд'!$C$51,"X","Z")</x:f>
        <x:v>Z</x:v>
      </x:c>
      <x:c r="L939" s="1" t="str">
        <x:f>IF(H939=0,IF(G939&gt;0,"Нет остатка","Нет спроса"),IF(I939&gt;='Дашборд'!$C$52,"Быстрый","Медленный"))</x:f>
        <x:v>Нет остатка</x:v>
      </x:c>
      <x:c r="M939" s="1" t="str">
        <x:f>IF('Данные'!E939&lt;'Дашборд'!$C$53,"Мало трафика",IF(J939&lt;'Дашборд'!$C$9*'Дашборд'!$C$54,"Да","Нет"))</x:f>
        <x:v>Да</x:v>
      </x:c>
      <x:c r="N939" s="1" t="str">
        <x:f>IF(AND('Данные'!D939&gt;='Дашборд'!$C$55,D939&lt;'Дашборд'!$C$56,'Данные'!E939&gt;='Дашборд'!$C$53,'Данные'!L939&lt;&gt;"Да"),"Да","Нет")</x:f>
        <x:v>Нет</x:v>
      </x:c>
      <x:c r="O939" s="1" t="str">
        <x:f>'Данные'!L939</x:f>
        <x:v>Нет</x:v>
      </x:c>
    </x:row>
    <x:row r="940">
      <x:c r="A940" s="1" t="str">
        <x:f>'Данные'!A940</x:f>
        <x:v>208997092</x:v>
      </x:c>
      <x:c r="B940" s="1" t="str">
        <x:f>'Данные'!B940</x:f>
        <x:v>futbolkaprint/Duma-61/молочный</x:v>
      </x:c>
      <x:c r="C940" s="8" t="n">
        <x:f>'Данные'!G940</x:f>
        <x:v>142847</x:v>
      </x:c>
      <x:c r="D940" s="15" t="n">
        <x:f>C940/SUM($C$5:$C$2477)</x:f>
        <x:v>0.00016687724072812478</x:v>
      </x:c>
      <x:c r="E940" s="15" t="n">
        <x:f>SUM($D$5:D940)</x:f>
        <x:v>0.958990319083827</x:v>
      </x:c>
      <x:c r="F940" s="1" t="str">
        <x:f>IF(C940&lt;=0,"C",IF(E940-D940&lt;'Дашборд'!$C$49,"A",IF(E940-D940&lt;'Дашборд'!$C$50,"B","C")))</x:f>
        <x:v>C</x:v>
      </x:c>
      <x:c r="G940" s="8" t="n">
        <x:f>'Данные'!F940</x:f>
        <x:v>270</x:v>
      </x:c>
      <x:c r="H940" s="8" t="n">
        <x:f>SUM('Данные'!H940:I940)</x:f>
        <x:v>0</x:v>
      </x:c>
      <x:c r="I940" s="16" t="str">
        <x:f>IF(H940&gt;0,G940/H940,"n.a.")</x:f>
        <x:v>n.a.</x:v>
      </x:c>
      <x:c r="J940" s="10" t="n">
        <x:f>IF('Данные'!E940&gt;0,G940/'Данные'!E940,"n.a.")</x:f>
        <x:v>0.010195989577432877</x:v>
      </x:c>
      <x:c r="K940" s="1" t="str">
        <x:f>IF(G940&gt;='Дашборд'!$C$51,"X","Z")</x:f>
        <x:v>Z</x:v>
      </x:c>
      <x:c r="L940" s="1" t="str">
        <x:f>IF(H940=0,IF(G940&gt;0,"Нет остатка","Нет спроса"),IF(I940&gt;='Дашборд'!$C$52,"Быстрый","Медленный"))</x:f>
        <x:v>Нет остатка</x:v>
      </x:c>
      <x:c r="M940" s="1" t="str">
        <x:f>IF('Данные'!E940&lt;'Дашборд'!$C$53,"Мало трафика",IF(J940&lt;'Дашборд'!$C$9*'Дашборд'!$C$54,"Да","Нет"))</x:f>
        <x:v>Нет</x:v>
      </x:c>
      <x:c r="N940" s="1" t="str">
        <x:f>IF(AND('Данные'!D940&gt;='Дашборд'!$C$55,D940&lt;'Дашборд'!$C$56,'Данные'!E940&gt;='Дашборд'!$C$53,'Данные'!L940&lt;&gt;"Да"),"Да","Нет")</x:f>
        <x:v>Нет</x:v>
      </x:c>
      <x:c r="O940" s="1" t="str">
        <x:f>'Данные'!L940</x:f>
        <x:v>Нет</x:v>
      </x:c>
    </x:row>
    <x:row r="941">
      <x:c r="A941" s="1" t="str">
        <x:f>'Данные'!A941</x:f>
        <x:v>288627687</x:v>
      </x:c>
      <x:c r="B941" s="1" t="str">
        <x:f>'Данные'!B941</x:f>
        <x:v>kostyum/милка</x:v>
      </x:c>
      <x:c r="C941" s="8" t="n">
        <x:f>'Данные'!G941</x:f>
        <x:v>142530</x:v>
      </x:c>
      <x:c r="D941" s="15" t="n">
        <x:f>C941/SUM($C$5:$C$2477)</x:f>
        <x:v>0.00016650691383773985</x:v>
      </x:c>
      <x:c r="E941" s="15" t="n">
        <x:f>SUM($D$5:D941)</x:f>
        <x:v>0.9591568259976648</x:v>
      </x:c>
      <x:c r="F941" s="1" t="str">
        <x:f>IF(C941&lt;=0,"C",IF(E941-D941&lt;'Дашборд'!$C$49,"A",IF(E941-D941&lt;'Дашборд'!$C$50,"B","C")))</x:f>
        <x:v>C</x:v>
      </x:c>
      <x:c r="G941" s="8" t="n">
        <x:f>'Данные'!F941</x:f>
        <x:v>87</x:v>
      </x:c>
      <x:c r="H941" s="8" t="n">
        <x:f>SUM('Данные'!H941:I941)</x:f>
        <x:v>420</x:v>
      </x:c>
      <x:c r="I941" s="16" t="n">
        <x:f>IF(H941&gt;0,G941/H941,"n.a.")</x:f>
        <x:v>0.20714285714285716</x:v>
      </x:c>
      <x:c r="J941" s="10" t="n">
        <x:f>IF('Данные'!E941&gt;0,G941/'Данные'!E941,"n.a.")</x:f>
        <x:v>0.0020603419694027376</x:v>
      </x:c>
      <x:c r="K941" s="1" t="str">
        <x:f>IF(G941&gt;='Дашборд'!$C$51,"X","Z")</x:f>
        <x:v>Z</x:v>
      </x:c>
      <x:c r="L941" s="1" t="str">
        <x:f>IF(H941=0,IF(G941&gt;0,"Нет остатка","Нет спроса"),IF(I941&gt;='Дашборд'!$C$52,"Быстрый","Медленный"))</x:f>
        <x:v>Медленный</x:v>
      </x:c>
      <x:c r="M941" s="1" t="str">
        <x:f>IF('Данные'!E941&lt;'Дашборд'!$C$53,"Мало трафика",IF(J941&lt;'Дашборд'!$C$9*'Дашборд'!$C$54,"Да","Нет"))</x:f>
        <x:v>Да</x:v>
      </x:c>
      <x:c r="N941" s="1" t="str">
        <x:f>IF(AND('Данные'!D941&gt;='Дашборд'!$C$55,D941&lt;'Дашборд'!$C$56,'Данные'!E941&gt;='Дашборд'!$C$53,'Данные'!L941&lt;&gt;"Да"),"Да","Нет")</x:f>
        <x:v>Нет</x:v>
      </x:c>
      <x:c r="O941" s="1" t="str">
        <x:f>'Данные'!L941</x:f>
        <x:v>Нет</x:v>
      </x:c>
    </x:row>
    <x:row r="942">
      <x:c r="A942" s="1" t="str">
        <x:f>'Данные'!A942</x:f>
        <x:v>214938400</x:v>
      </x:c>
      <x:c r="B942" s="1" t="str">
        <x:f>'Данные'!B942</x:f>
        <x:v>hudiprint/Couture-108/синий</x:v>
      </x:c>
      <x:c r="C942" s="8" t="n">
        <x:f>'Данные'!G942</x:f>
        <x:v>142399</x:v>
      </x:c>
      <x:c r="D942" s="15" t="n">
        <x:f>C942/SUM($C$5:$C$2477)</x:f>
        <x:v>0.00016635387654234419</x:v>
      </x:c>
      <x:c r="E942" s="15" t="n">
        <x:f>SUM($D$5:D942)</x:f>
        <x:v>0.9593231798742071</x:v>
      </x:c>
      <x:c r="F942" s="1" t="str">
        <x:f>IF(C942&lt;=0,"C",IF(E942-D942&lt;'Дашборд'!$C$49,"A",IF(E942-D942&lt;'Дашборд'!$C$50,"B","C")))</x:f>
        <x:v>C</x:v>
      </x:c>
      <x:c r="G942" s="8" t="n">
        <x:f>'Данные'!F942</x:f>
        <x:v>136</x:v>
      </x:c>
      <x:c r="H942" s="8" t="n">
        <x:f>SUM('Данные'!H942:I942)</x:f>
        <x:v>149</x:v>
      </x:c>
      <x:c r="I942" s="16" t="n">
        <x:f>IF(H942&gt;0,G942/H942,"n.a.")</x:f>
        <x:v>0.912751677852349</x:v>
      </x:c>
      <x:c r="J942" s="10" t="n">
        <x:f>IF('Данные'!E942&gt;0,G942/'Данные'!E942,"n.a.")</x:f>
        <x:v>0.007127509040406687</x:v>
      </x:c>
      <x:c r="K942" s="1" t="str">
        <x:f>IF(G942&gt;='Дашборд'!$C$51,"X","Z")</x:f>
        <x:v>Z</x:v>
      </x:c>
      <x:c r="L942" s="1" t="str">
        <x:f>IF(H942=0,IF(G942&gt;0,"Нет остатка","Нет спроса"),IF(I942&gt;='Дашборд'!$C$52,"Быстрый","Медленный"))</x:f>
        <x:v>Медленный</x:v>
      </x:c>
      <x:c r="M942" s="1" t="str">
        <x:f>IF('Данные'!E942&lt;'Дашборд'!$C$53,"Мало трафика",IF(J942&lt;'Дашборд'!$C$9*'Дашборд'!$C$54,"Да","Нет"))</x:f>
        <x:v>Да</x:v>
      </x:c>
      <x:c r="N942" s="1" t="str">
        <x:f>IF(AND('Данные'!D942&gt;='Дашборд'!$C$55,D942&lt;'Дашборд'!$C$56,'Данные'!E942&gt;='Дашборд'!$C$53,'Данные'!L942&lt;&gt;"Да"),"Да","Нет")</x:f>
        <x:v>Нет</x:v>
      </x:c>
      <x:c r="O942" s="1" t="str">
        <x:f>'Данные'!L942</x:f>
        <x:v>Нет</x:v>
      </x:c>
    </x:row>
    <x:row r="943">
      <x:c r="A943" s="1" t="str">
        <x:f>'Данные'!A943</x:f>
        <x:v>256332773</x:v>
      </x:c>
      <x:c r="B943" s="1" t="str">
        <x:f>'Данные'!B943</x:f>
        <x:v>futhlopman/коричневый</x:v>
      </x:c>
      <x:c r="C943" s="8" t="n">
        <x:f>'Данные'!G943</x:f>
        <x:v>141582</x:v>
      </x:c>
      <x:c r="D943" s="15" t="n">
        <x:f>C943/SUM($C$5:$C$2477)</x:f>
        <x:v>0.000165399437837472</x:v>
      </x:c>
      <x:c r="E943" s="15" t="n">
        <x:f>SUM($D$5:D943)</x:f>
        <x:v>0.9594885793120446</x:v>
      </x:c>
      <x:c r="F943" s="1" t="str">
        <x:f>IF(C943&lt;=0,"C",IF(E943-D943&lt;'Дашборд'!$C$49,"A",IF(E943-D943&lt;'Дашборд'!$C$50,"B","C")))</x:f>
        <x:v>C</x:v>
      </x:c>
      <x:c r="G943" s="8" t="n">
        <x:f>'Данные'!F943</x:f>
        <x:v>385</x:v>
      </x:c>
      <x:c r="H943" s="8" t="n">
        <x:f>SUM('Данные'!H943:I943)</x:f>
        <x:v>577</x:v>
      </x:c>
      <x:c r="I943" s="16" t="n">
        <x:f>IF(H943&gt;0,G943/H943,"n.a.")</x:f>
        <x:v>0.6672443674176777</x:v>
      </x:c>
      <x:c r="J943" s="10" t="n">
        <x:f>IF('Данные'!E943&gt;0,G943/'Данные'!E943,"n.a.")</x:f>
        <x:v>0.014085022316528865</x:v>
      </x:c>
      <x:c r="K943" s="1" t="str">
        <x:f>IF(G943&gt;='Дашборд'!$C$51,"X","Z")</x:f>
        <x:v>X</x:v>
      </x:c>
      <x:c r="L943" s="1" t="str">
        <x:f>IF(H943=0,IF(G943&gt;0,"Нет остатка","Нет спроса"),IF(I943&gt;='Дашборд'!$C$52,"Быстрый","Медленный"))</x:f>
        <x:v>Медленный</x:v>
      </x:c>
      <x:c r="M943" s="1" t="str">
        <x:f>IF('Данные'!E943&lt;'Дашборд'!$C$53,"Мало трафика",IF(J943&lt;'Дашборд'!$C$9*'Дашборд'!$C$54,"Да","Нет"))</x:f>
        <x:v>Нет</x:v>
      </x:c>
      <x:c r="N943" s="1" t="str">
        <x:f>IF(AND('Данные'!D943&gt;='Дашборд'!$C$55,D943&lt;'Дашборд'!$C$56,'Данные'!E943&gt;='Дашборд'!$C$53,'Данные'!L943&lt;&gt;"Да"),"Да","Нет")</x:f>
        <x:v>Нет</x:v>
      </x:c>
      <x:c r="O943" s="1" t="str">
        <x:f>'Данные'!L943</x:f>
        <x:v>Нет</x:v>
      </x:c>
    </x:row>
    <x:row r="944">
      <x:c r="A944" s="1" t="str">
        <x:f>'Данные'!A944</x:f>
        <x:v>306916577</x:v>
      </x:c>
      <x:c r="B944" s="1" t="str">
        <x:f>'Данные'!B944</x:f>
        <x:v>hudicropman4F-67/вареныйсерый</x:v>
      </x:c>
      <x:c r="C944" s="8" t="n">
        <x:f>'Данные'!G944</x:f>
        <x:v>140779</x:v>
      </x:c>
      <x:c r="D944" s="15" t="n">
        <x:f>C944/SUM($C$5:$C$2477)</x:f>
        <x:v>0.00016446135426340545</x:v>
      </x:c>
      <x:c r="E944" s="15" t="n">
        <x:f>SUM($D$5:D944)</x:f>
        <x:v>0.959653040666308</x:v>
      </x:c>
      <x:c r="F944" s="1" t="str">
        <x:f>IF(C944&lt;=0,"C",IF(E944-D944&lt;'Дашборд'!$C$49,"A",IF(E944-D944&lt;'Дашборд'!$C$50,"B","C")))</x:f>
        <x:v>C</x:v>
      </x:c>
      <x:c r="G944" s="8" t="n">
        <x:f>'Данные'!F944</x:f>
        <x:v>98</x:v>
      </x:c>
      <x:c r="H944" s="8" t="n">
        <x:f>SUM('Данные'!H944:I944)</x:f>
        <x:v>83</x:v>
      </x:c>
      <x:c r="I944" s="16" t="n">
        <x:f>IF(H944&gt;0,G944/H944,"n.a.")</x:f>
        <x:v>1.180722891566265</x:v>
      </x:c>
      <x:c r="J944" s="10" t="n">
        <x:f>IF('Данные'!E944&gt;0,G944/'Данные'!E944,"n.a.")</x:f>
        <x:v>0.010567177054129826</x:v>
      </x:c>
      <x:c r="K944" s="1" t="str">
        <x:f>IF(G944&gt;='Дашборд'!$C$51,"X","Z")</x:f>
        <x:v>Z</x:v>
      </x:c>
      <x:c r="L944" s="1" t="str">
        <x:f>IF(H944=0,IF(G944&gt;0,"Нет остатка","Нет спроса"),IF(I944&gt;='Дашборд'!$C$52,"Быстрый","Медленный"))</x:f>
        <x:v>Быстрый</x:v>
      </x:c>
      <x:c r="M944" s="1" t="str">
        <x:f>IF('Данные'!E944&lt;'Дашборд'!$C$53,"Мало трафика",IF(J944&lt;'Дашборд'!$C$9*'Дашборд'!$C$54,"Да","Нет"))</x:f>
        <x:v>Нет</x:v>
      </x:c>
      <x:c r="N944" s="1" t="str">
        <x:f>IF(AND('Данные'!D944&gt;='Дашборд'!$C$55,D944&lt;'Дашборд'!$C$56,'Данные'!E944&gt;='Дашборд'!$C$53,'Данные'!L944&lt;&gt;"Да"),"Да","Нет")</x:f>
        <x:v>Да</x:v>
      </x:c>
      <x:c r="O944" s="1" t="str">
        <x:f>'Данные'!L944</x:f>
        <x:v>Нет</x:v>
      </x:c>
    </x:row>
    <x:row r="945">
      <x:c r="A945" s="1" t="str">
        <x:f>'Данные'!A945</x:f>
        <x:v>209915691</x:v>
      </x:c>
      <x:c r="B945" s="1" t="str">
        <x:f>'Данные'!B945</x:f>
        <x:v>shorty/черный</x:v>
      </x:c>
      <x:c r="C945" s="8" t="n">
        <x:f>'Данные'!G945</x:f>
        <x:v>140763</x:v>
      </x:c>
      <x:c r="D945" s="15" t="n">
        <x:f>C945/SUM($C$5:$C$2477)</x:f>
        <x:v>0.00016444266268534184</x:v>
      </x:c>
      <x:c r="E945" s="15" t="n">
        <x:f>SUM($D$5:D945)</x:f>
        <x:v>0.9598174833289933</x:v>
      </x:c>
      <x:c r="F945" s="1" t="str">
        <x:f>IF(C945&lt;=0,"C",IF(E945-D945&lt;'Дашборд'!$C$49,"A",IF(E945-D945&lt;'Дашборд'!$C$50,"B","C")))</x:f>
        <x:v>C</x:v>
      </x:c>
      <x:c r="G945" s="8" t="n">
        <x:f>'Данные'!F945</x:f>
        <x:v>316</x:v>
      </x:c>
      <x:c r="H945" s="8" t="n">
        <x:f>SUM('Данные'!H945:I945)</x:f>
        <x:v>13</x:v>
      </x:c>
      <x:c r="I945" s="16" t="n">
        <x:f>IF(H945&gt;0,G945/H945,"n.a.")</x:f>
        <x:v>24.307692307692307</x:v>
      </x:c>
      <x:c r="J945" s="10" t="n">
        <x:f>IF('Данные'!E945&gt;0,G945/'Данные'!E945,"n.a.")</x:f>
        <x:v>0.027154764973790498</x:v>
      </x:c>
      <x:c r="K945" s="1" t="str">
        <x:f>IF(G945&gt;='Дашборд'!$C$51,"X","Z")</x:f>
        <x:v>X</x:v>
      </x:c>
      <x:c r="L945" s="1" t="str">
        <x:f>IF(H945=0,IF(G945&gt;0,"Нет остатка","Нет спроса"),IF(I945&gt;='Дашборд'!$C$52,"Быстрый","Медленный"))</x:f>
        <x:v>Быстрый</x:v>
      </x:c>
      <x:c r="M945" s="1" t="str">
        <x:f>IF('Данные'!E945&lt;'Дашборд'!$C$53,"Мало трафика",IF(J945&lt;'Дашборд'!$C$9*'Дашборд'!$C$54,"Да","Нет"))</x:f>
        <x:v>Нет</x:v>
      </x:c>
      <x:c r="N945" s="1" t="str">
        <x:f>IF(AND('Данные'!D945&gt;='Дашборд'!$C$55,D945&lt;'Дашборд'!$C$56,'Данные'!E945&gt;='Дашборд'!$C$53,'Данные'!L945&lt;&gt;"Да"),"Да","Нет")</x:f>
        <x:v>Нет</x:v>
      </x:c>
      <x:c r="O945" s="1" t="str">
        <x:f>'Данные'!L945</x:f>
        <x:v>Нет</x:v>
      </x:c>
    </x:row>
    <x:row r="946">
      <x:c r="A946" s="1" t="str">
        <x:f>'Данные'!A946</x:f>
        <x:v>313770769</x:v>
      </x:c>
      <x:c r="B946" s="1" t="str">
        <x:f>'Данные'!B946</x:f>
        <x:v>futbolkagirl/розовый</x:v>
      </x:c>
      <x:c r="C946" s="8" t="n">
        <x:f>'Данные'!G946</x:f>
        <x:v>140032</x:v>
      </x:c>
      <x:c r="D946" s="15" t="n">
        <x:f>C946/SUM($C$5:$C$2477)</x:f>
        <x:v>0.00016358869121256146</x:v>
      </x:c>
      <x:c r="E946" s="15" t="n">
        <x:f>SUM($D$5:D946)</x:f>
        <x:v>0.9599810720202059</x:v>
      </x:c>
      <x:c r="F946" s="1" t="str">
        <x:f>IF(C946&lt;=0,"C",IF(E946-D946&lt;'Дашборд'!$C$49,"A",IF(E946-D946&lt;'Дашборд'!$C$50,"B","C")))</x:f>
        <x:v>C</x:v>
      </x:c>
      <x:c r="G946" s="8" t="n">
        <x:f>'Данные'!F946</x:f>
        <x:v>384</x:v>
      </x:c>
      <x:c r="H946" s="8" t="n">
        <x:f>SUM('Данные'!H946:I946)</x:f>
        <x:v>5</x:v>
      </x:c>
      <x:c r="I946" s="16" t="n">
        <x:f>IF(H946&gt;0,G946/H946,"n.a.")</x:f>
        <x:v>76.8</x:v>
      </x:c>
      <x:c r="J946" s="10" t="n">
        <x:f>IF('Данные'!E946&gt;0,G946/'Данные'!E946,"n.a.")</x:f>
        <x:v>0.011115292210611631</x:v>
      </x:c>
      <x:c r="K946" s="1" t="str">
        <x:f>IF(G946&gt;='Дашборд'!$C$51,"X","Z")</x:f>
        <x:v>X</x:v>
      </x:c>
      <x:c r="L946" s="1" t="str">
        <x:f>IF(H946=0,IF(G946&gt;0,"Нет остатка","Нет спроса"),IF(I946&gt;='Дашборд'!$C$52,"Быстрый","Медленный"))</x:f>
        <x:v>Быстрый</x:v>
      </x:c>
      <x:c r="M946" s="1" t="str">
        <x:f>IF('Данные'!E946&lt;'Дашборд'!$C$53,"Мало трафика",IF(J946&lt;'Дашборд'!$C$9*'Дашборд'!$C$54,"Да","Нет"))</x:f>
        <x:v>Нет</x:v>
      </x:c>
      <x:c r="N946" s="1" t="str">
        <x:f>IF(AND('Данные'!D946&gt;='Дашборд'!$C$55,D946&lt;'Дашборд'!$C$56,'Данные'!E946&gt;='Дашборд'!$C$53,'Данные'!L946&lt;&gt;"Да"),"Да","Нет")</x:f>
        <x:v>Да</x:v>
      </x:c>
      <x:c r="O946" s="1" t="str">
        <x:f>'Данные'!L946</x:f>
        <x:v>Нет</x:v>
      </x:c>
    </x:row>
    <x:row r="947">
      <x:c r="A947" s="1" t="str">
        <x:f>'Данные'!A947</x:f>
        <x:v>264723165</x:v>
      </x:c>
      <x:c r="B947" s="1" t="str">
        <x:f>'Данные'!B947</x:f>
        <x:v>svitshotrukpetl/бордовый</x:v>
      </x:c>
      <x:c r="C947" s="8" t="n">
        <x:f>'Данные'!G947</x:f>
        <x:v>139997</x:v>
      </x:c>
      <x:c r="D947" s="15" t="n">
        <x:f>C947/SUM($C$5:$C$2477)</x:f>
        <x:v>0.00016354780338554735</x:v>
      </x:c>
      <x:c r="E947" s="15" t="n">
        <x:f>SUM($D$5:D947)</x:f>
        <x:v>0.9601446198235914</x:v>
      </x:c>
      <x:c r="F947" s="1" t="str">
        <x:f>IF(C947&lt;=0,"C",IF(E947-D947&lt;'Дашборд'!$C$49,"A",IF(E947-D947&lt;'Дашборд'!$C$50,"B","C")))</x:f>
        <x:v>C</x:v>
      </x:c>
      <x:c r="G947" s="8" t="n">
        <x:f>'Данные'!F947</x:f>
        <x:v>138</x:v>
      </x:c>
      <x:c r="H947" s="8" t="n">
        <x:f>SUM('Данные'!H947:I947)</x:f>
        <x:v>5</x:v>
      </x:c>
      <x:c r="I947" s="16" t="n">
        <x:f>IF(H947&gt;0,G947/H947,"n.a.")</x:f>
        <x:v>27.6</x:v>
      </x:c>
      <x:c r="J947" s="10" t="n">
        <x:f>IF('Данные'!E947&gt;0,G947/'Данные'!E947,"n.a.")</x:f>
        <x:v>0.013691834507391606</x:v>
      </x:c>
      <x:c r="K947" s="1" t="str">
        <x:f>IF(G947&gt;='Дашборд'!$C$51,"X","Z")</x:f>
        <x:v>Z</x:v>
      </x:c>
      <x:c r="L947" s="1" t="str">
        <x:f>IF(H947=0,IF(G947&gt;0,"Нет остатка","Нет спроса"),IF(I947&gt;='Дашборд'!$C$52,"Быстрый","Медленный"))</x:f>
        <x:v>Быстрый</x:v>
      </x:c>
      <x:c r="M947" s="1" t="str">
        <x:f>IF('Данные'!E947&lt;'Дашборд'!$C$53,"Мало трафика",IF(J947&lt;'Дашборд'!$C$9*'Дашборд'!$C$54,"Да","Нет"))</x:f>
        <x:v>Нет</x:v>
      </x:c>
      <x:c r="N947" s="1" t="str">
        <x:f>IF(AND('Данные'!D947&gt;='Дашборд'!$C$55,D947&lt;'Дашборд'!$C$56,'Данные'!E947&gt;='Дашборд'!$C$53,'Данные'!L947&lt;&gt;"Да"),"Да","Нет")</x:f>
        <x:v>Да</x:v>
      </x:c>
      <x:c r="O947" s="1" t="str">
        <x:f>'Данные'!L947</x:f>
        <x:v>Нет</x:v>
      </x:c>
    </x:row>
    <x:row r="948">
      <x:c r="A948" s="1" t="str">
        <x:f>'Данные'!A948</x:f>
        <x:v>326824801</x:v>
      </x:c>
      <x:c r="B948" s="1" t="str">
        <x:f>'Данные'!B948</x:f>
        <x:v>2nkost3D-72-73/серыймеланж2</x:v>
      </x:c>
      <x:c r="C948" s="8" t="n">
        <x:f>'Данные'!G948</x:f>
        <x:v>139979</x:v>
      </x:c>
      <x:c r="D948" s="15" t="n">
        <x:f>C948/SUM($C$5:$C$2477)</x:f>
        <x:v>0.0001635267753602258</x:v>
      </x:c>
      <x:c r="E948" s="15" t="n">
        <x:f>SUM($D$5:D948)</x:f>
        <x:v>0.9603081465989517</x:v>
      </x:c>
      <x:c r="F948" s="1" t="str">
        <x:f>IF(C948&lt;=0,"C",IF(E948-D948&lt;'Дашборд'!$C$49,"A",IF(E948-D948&lt;'Дашборд'!$C$50,"B","C")))</x:f>
        <x:v>C</x:v>
      </x:c>
      <x:c r="G948" s="8" t="n">
        <x:f>'Данные'!F948</x:f>
        <x:v>340</x:v>
      </x:c>
      <x:c r="H948" s="8" t="n">
        <x:f>SUM('Данные'!H948:I948)</x:f>
        <x:v>0</x:v>
      </x:c>
      <x:c r="I948" s="16" t="str">
        <x:f>IF(H948&gt;0,G948/H948,"n.a.")</x:f>
        <x:v>n.a.</x:v>
      </x:c>
      <x:c r="J948" s="10" t="n">
        <x:f>IF('Данные'!E948&gt;0,G948/'Данные'!E948,"n.a.")</x:f>
        <x:v>0.00751182006981574</x:v>
      </x:c>
      <x:c r="K948" s="1" t="str">
        <x:f>IF(G948&gt;='Дашборд'!$C$51,"X","Z")</x:f>
        <x:v>X</x:v>
      </x:c>
      <x:c r="L948" s="1" t="str">
        <x:f>IF(H948=0,IF(G948&gt;0,"Нет остатка","Нет спроса"),IF(I948&gt;='Дашборд'!$C$52,"Быстрый","Медленный"))</x:f>
        <x:v>Нет остатка</x:v>
      </x:c>
      <x:c r="M948" s="1" t="str">
        <x:f>IF('Данные'!E948&lt;'Дашборд'!$C$53,"Мало трафика",IF(J948&lt;'Дашборд'!$C$9*'Дашборд'!$C$54,"Да","Нет"))</x:f>
        <x:v>Да</x:v>
      </x:c>
      <x:c r="N948" s="1" t="str">
        <x:f>IF(AND('Данные'!D948&gt;='Дашборд'!$C$55,D948&lt;'Дашборд'!$C$56,'Данные'!E948&gt;='Дашборд'!$C$53,'Данные'!L948&lt;&gt;"Да"),"Да","Нет")</x:f>
        <x:v>Нет</x:v>
      </x:c>
      <x:c r="O948" s="1" t="str">
        <x:f>'Данные'!L948</x:f>
        <x:v>Нет</x:v>
      </x:c>
    </x:row>
    <x:row r="949">
      <x:c r="A949" s="1" t="str">
        <x:f>'Данные'!A949</x:f>
        <x:v>344388890</x:v>
      </x:c>
      <x:c r="B949" s="1" t="str">
        <x:f>'Данные'!B949</x:f>
        <x:v>malyshkabasic/молочный</x:v>
      </x:c>
      <x:c r="C949" s="8" t="n">
        <x:f>'Данные'!G949</x:f>
        <x:v>139411</x:v>
      </x:c>
      <x:c r="D949" s="15" t="n">
        <x:f>C949/SUM($C$5:$C$2477)</x:f>
        <x:v>0.0001628632243389683</x:v>
      </x:c>
      <x:c r="E949" s="15" t="n">
        <x:f>SUM($D$5:D949)</x:f>
        <x:v>0.9604710098232907</x:v>
      </x:c>
      <x:c r="F949" s="1" t="str">
        <x:f>IF(C949&lt;=0,"C",IF(E949-D949&lt;'Дашборд'!$C$49,"A",IF(E949-D949&lt;'Дашборд'!$C$50,"B","C")))</x:f>
        <x:v>C</x:v>
      </x:c>
      <x:c r="G949" s="8" t="n">
        <x:f>'Данные'!F949</x:f>
        <x:v>614</x:v>
      </x:c>
      <x:c r="H949" s="8" t="n">
        <x:f>SUM('Данные'!H949:I949)</x:f>
        <x:v>434</x:v>
      </x:c>
      <x:c r="I949" s="16" t="n">
        <x:f>IF(H949&gt;0,G949/H949,"n.a.")</x:f>
        <x:v>1.4147465437788018</x:v>
      </x:c>
      <x:c r="J949" s="10" t="n">
        <x:f>IF('Данные'!E949&gt;0,G949/'Данные'!E949,"n.a.")</x:f>
        <x:v>0.014761389590094964</x:v>
      </x:c>
      <x:c r="K949" s="1" t="str">
        <x:f>IF(G949&gt;='Дашборд'!$C$51,"X","Z")</x:f>
        <x:v>X</x:v>
      </x:c>
      <x:c r="L949" s="1" t="str">
        <x:f>IF(H949=0,IF(G949&gt;0,"Нет остатка","Нет спроса"),IF(I949&gt;='Дашборд'!$C$52,"Быстрый","Медленный"))</x:f>
        <x:v>Быстрый</x:v>
      </x:c>
      <x:c r="M949" s="1" t="str">
        <x:f>IF('Данные'!E949&lt;'Дашборд'!$C$53,"Мало трафика",IF(J949&lt;'Дашборд'!$C$9*'Дашборд'!$C$54,"Да","Нет"))</x:f>
        <x:v>Нет</x:v>
      </x:c>
      <x:c r="N949" s="1" t="str">
        <x:f>IF(AND('Данные'!D949&gt;='Дашборд'!$C$55,D949&lt;'Дашборд'!$C$56,'Данные'!E949&gt;='Дашборд'!$C$53,'Данные'!L949&lt;&gt;"Да"),"Да","Нет")</x:f>
        <x:v>Нет</x:v>
      </x:c>
      <x:c r="O949" s="1" t="str">
        <x:f>'Данные'!L949</x:f>
        <x:v>Нет</x:v>
      </x:c>
    </x:row>
    <x:row r="950">
      <x:c r="A950" s="1" t="str">
        <x:f>'Данные'!A950</x:f>
        <x:v>250555332</x:v>
      </x:c>
      <x:c r="B950" s="1" t="str">
        <x:f>'Данные'!B950</x:f>
        <x:v>hudimanprint/Culture-183/черный</x:v>
      </x:c>
      <x:c r="C950" s="8" t="n">
        <x:f>'Данные'!G950</x:f>
        <x:v>138987</x:v>
      </x:c>
      <x:c r="D950" s="15" t="n">
        <x:f>C950/SUM($C$5:$C$2477)</x:f>
        <x:v>0.00016236789752028307</x:v>
      </x:c>
      <x:c r="E950" s="15" t="n">
        <x:f>SUM($D$5:D950)</x:f>
        <x:v>0.960633377720811</x:v>
      </x:c>
      <x:c r="F950" s="1" t="str">
        <x:f>IF(C950&lt;=0,"C",IF(E950-D950&lt;'Дашборд'!$C$49,"A",IF(E950-D950&lt;'Дашборд'!$C$50,"B","C")))</x:f>
        <x:v>C</x:v>
      </x:c>
      <x:c r="G950" s="8" t="n">
        <x:f>'Данные'!F950</x:f>
        <x:v>149</x:v>
      </x:c>
      <x:c r="H950" s="8" t="n">
        <x:f>SUM('Данные'!H950:I950)</x:f>
        <x:v>75</x:v>
      </x:c>
      <x:c r="I950" s="16" t="n">
        <x:f>IF(H950&gt;0,G950/H950,"n.a.")</x:f>
        <x:v>1.9866666666666666</x:v>
      </x:c>
      <x:c r="J950" s="10" t="n">
        <x:f>IF('Данные'!E950&gt;0,G950/'Данные'!E950,"n.a.")</x:f>
        <x:v>0.017201570076194873</x:v>
      </x:c>
      <x:c r="K950" s="1" t="str">
        <x:f>IF(G950&gt;='Дашборд'!$C$51,"X","Z")</x:f>
        <x:v>Z</x:v>
      </x:c>
      <x:c r="L950" s="1" t="str">
        <x:f>IF(H950=0,IF(G950&gt;0,"Нет остатка","Нет спроса"),IF(I950&gt;='Дашборд'!$C$52,"Быстрый","Медленный"))</x:f>
        <x:v>Быстрый</x:v>
      </x:c>
      <x:c r="M950" s="1" t="str">
        <x:f>IF('Данные'!E950&lt;'Дашборд'!$C$53,"Мало трафика",IF(J950&lt;'Дашборд'!$C$9*'Дашборд'!$C$54,"Да","Нет"))</x:f>
        <x:v>Нет</x:v>
      </x:c>
      <x:c r="N950" s="1" t="str">
        <x:f>IF(AND('Данные'!D950&gt;='Дашборд'!$C$55,D950&lt;'Дашборд'!$C$56,'Данные'!E950&gt;='Дашборд'!$C$53,'Данные'!L950&lt;&gt;"Да"),"Да","Нет")</x:f>
        <x:v>Нет</x:v>
      </x:c>
      <x:c r="O950" s="1" t="str">
        <x:f>'Данные'!L950</x:f>
        <x:v>Нет</x:v>
      </x:c>
    </x:row>
    <x:row r="951">
      <x:c r="A951" s="1" t="str">
        <x:f>'Данные'!A951</x:f>
        <x:v>30027083</x:v>
      </x:c>
      <x:c r="B951" s="1" t="str">
        <x:f>'Данные'!B951</x:f>
        <x:v>longsliv/молочный</x:v>
      </x:c>
      <x:c r="C951" s="8" t="n">
        <x:f>'Данные'!G951</x:f>
        <x:v>138340</x:v>
      </x:c>
      <x:c r="D951" s="15" t="n">
        <x:f>C951/SUM($C$5:$C$2477)</x:f>
        <x:v>0.00016161205683233655</x:v>
      </x:c>
      <x:c r="E951" s="15" t="n">
        <x:f>SUM($D$5:D951)</x:f>
        <x:v>0.9607949897776433</x:v>
      </x:c>
      <x:c r="F951" s="1" t="str">
        <x:f>IF(C951&lt;=0,"C",IF(E951-D951&lt;'Дашборд'!$C$49,"A",IF(E951-D951&lt;'Дашборд'!$C$50,"B","C")))</x:f>
        <x:v>C</x:v>
      </x:c>
      <x:c r="G951" s="8" t="n">
        <x:f>'Данные'!F951</x:f>
        <x:v>594</x:v>
      </x:c>
      <x:c r="H951" s="8" t="n">
        <x:f>SUM('Данные'!H951:I951)</x:f>
        <x:v>646</x:v>
      </x:c>
      <x:c r="I951" s="16" t="n">
        <x:f>IF(H951&gt;0,G951/H951,"n.a.")</x:f>
        <x:v>0.9195046439628483</x:v>
      </x:c>
      <x:c r="J951" s="10" t="n">
        <x:f>IF('Данные'!E951&gt;0,G951/'Данные'!E951,"n.a.")</x:f>
        <x:v>0.03541828155745036</x:v>
      </x:c>
      <x:c r="K951" s="1" t="str">
        <x:f>IF(G951&gt;='Дашборд'!$C$51,"X","Z")</x:f>
        <x:v>X</x:v>
      </x:c>
      <x:c r="L951" s="1" t="str">
        <x:f>IF(H951=0,IF(G951&gt;0,"Нет остатка","Нет спроса"),IF(I951&gt;='Дашборд'!$C$52,"Быстрый","Медленный"))</x:f>
        <x:v>Медленный</x:v>
      </x:c>
      <x:c r="M951" s="1" t="str">
        <x:f>IF('Данные'!E951&lt;'Дашборд'!$C$53,"Мало трафика",IF(J951&lt;'Дашборд'!$C$9*'Дашборд'!$C$54,"Да","Нет"))</x:f>
        <x:v>Нет</x:v>
      </x:c>
      <x:c r="N951" s="1" t="str">
        <x:f>IF(AND('Данные'!D951&gt;='Дашборд'!$C$55,D951&lt;'Дашборд'!$C$56,'Данные'!E951&gt;='Дашборд'!$C$53,'Данные'!L951&lt;&gt;"Да"),"Да","Нет")</x:f>
        <x:v>Нет</x:v>
      </x:c>
      <x:c r="O951" s="1" t="str">
        <x:f>'Данные'!L951</x:f>
        <x:v>Нет</x:v>
      </x:c>
    </x:row>
    <x:row r="952">
      <x:c r="A952" s="1" t="str">
        <x:f>'Данные'!A952</x:f>
        <x:v>246362970</x:v>
      </x:c>
      <x:c r="B952" s="1" t="str">
        <x:f>'Данные'!B952</x:f>
        <x:v>tolstovkazipcrop/кофейный</x:v>
      </x:c>
      <x:c r="C952" s="8" t="n">
        <x:f>'Данные'!G952</x:f>
        <x:v>136615</x:v>
      </x:c>
      <x:c r="D952" s="15" t="n">
        <x:f>C952/SUM($C$5:$C$2477)</x:f>
        <x:v>0.0001595968710723555</x:v>
      </x:c>
      <x:c r="E952" s="15" t="n">
        <x:f>SUM($D$5:D952)</x:f>
        <x:v>0.9609545866487157</x:v>
      </x:c>
      <x:c r="F952" s="1" t="str">
        <x:f>IF(C952&lt;=0,"C",IF(E952-D952&lt;'Дашборд'!$C$49,"A",IF(E952-D952&lt;'Дашборд'!$C$50,"B","C")))</x:f>
        <x:v>C</x:v>
      </x:c>
      <x:c r="G952" s="8" t="n">
        <x:f>'Данные'!F952</x:f>
        <x:v>152</x:v>
      </x:c>
      <x:c r="H952" s="8" t="n">
        <x:f>SUM('Данные'!H952:I952)</x:f>
        <x:v>1</x:v>
      </x:c>
      <x:c r="I952" s="16" t="n">
        <x:f>IF(H952&gt;0,G952/H952,"n.a.")</x:f>
        <x:v>152</x:v>
      </x:c>
      <x:c r="J952" s="10" t="n">
        <x:f>IF('Данные'!E952&gt;0,G952/'Данные'!E952,"n.a.")</x:f>
        <x:v>0.005163394252326924</x:v>
      </x:c>
      <x:c r="K952" s="1" t="str">
        <x:f>IF(G952&gt;='Дашборд'!$C$51,"X","Z")</x:f>
        <x:v>Z</x:v>
      </x:c>
      <x:c r="L952" s="1" t="str">
        <x:f>IF(H952=0,IF(G952&gt;0,"Нет остатка","Нет спроса"),IF(I952&gt;='Дашборд'!$C$52,"Быстрый","Медленный"))</x:f>
        <x:v>Быстрый</x:v>
      </x:c>
      <x:c r="M952" s="1" t="str">
        <x:f>IF('Данные'!E952&lt;'Дашборд'!$C$53,"Мало трафика",IF(J952&lt;'Дашборд'!$C$9*'Дашборд'!$C$54,"Да","Нет"))</x:f>
        <x:v>Да</x:v>
      </x:c>
      <x:c r="N952" s="1" t="str">
        <x:f>IF(AND('Данные'!D952&gt;='Дашборд'!$C$55,D952&lt;'Дашборд'!$C$56,'Данные'!E952&gt;='Дашборд'!$C$53,'Данные'!L952&lt;&gt;"Да"),"Да","Нет")</x:f>
        <x:v>Да</x:v>
      </x:c>
      <x:c r="O952" s="1" t="str">
        <x:f>'Данные'!L952</x:f>
        <x:v>Нет</x:v>
      </x:c>
    </x:row>
    <x:row r="953">
      <x:c r="A953" s="1" t="str">
        <x:f>'Данные'!A953</x:f>
        <x:v>176176587</x:v>
      </x:c>
      <x:c r="B953" s="1" t="str">
        <x:f>'Данные'!B953</x:f>
        <x:v>svitshotman/хаки</x:v>
      </x:c>
      <x:c r="C953" s="8" t="n">
        <x:f>'Данные'!G953</x:f>
        <x:v>136587</x:v>
      </x:c>
      <x:c r="D953" s="15" t="n">
        <x:f>C953/SUM($C$5:$C$2477)</x:f>
        <x:v>0.0001595641608107442</x:v>
      </x:c>
      <x:c r="E953" s="15" t="n">
        <x:f>SUM($D$5:D953)</x:f>
        <x:v>0.9611141508095264</x:v>
      </x:c>
      <x:c r="F953" s="1" t="str">
        <x:f>IF(C953&lt;=0,"C",IF(E953-D953&lt;'Дашборд'!$C$49,"A",IF(E953-D953&lt;'Дашборд'!$C$50,"B","C")))</x:f>
        <x:v>C</x:v>
      </x:c>
      <x:c r="G953" s="8" t="n">
        <x:f>'Данные'!F953</x:f>
        <x:v>182</x:v>
      </x:c>
      <x:c r="H953" s="8" t="n">
        <x:f>SUM('Данные'!H953:I953)</x:f>
        <x:v>90</x:v>
      </x:c>
      <x:c r="I953" s="16" t="n">
        <x:f>IF(H953&gt;0,G953/H953,"n.a.")</x:f>
        <x:v>2.022222222222222</x:v>
      </x:c>
      <x:c r="J953" s="10" t="n">
        <x:f>IF('Данные'!E953&gt;0,G953/'Данные'!E953,"n.a.")</x:f>
        <x:v>0.013136051966798989</x:v>
      </x:c>
      <x:c r="K953" s="1" t="str">
        <x:f>IF(G953&gt;='Дашборд'!$C$51,"X","Z")</x:f>
        <x:v>Z</x:v>
      </x:c>
      <x:c r="L953" s="1" t="str">
        <x:f>IF(H953=0,IF(G953&gt;0,"Нет остатка","Нет спроса"),IF(I953&gt;='Дашборд'!$C$52,"Быстрый","Медленный"))</x:f>
        <x:v>Быстрый</x:v>
      </x:c>
      <x:c r="M953" s="1" t="str">
        <x:f>IF('Данные'!E953&lt;'Дашборд'!$C$53,"Мало трафика",IF(J953&lt;'Дашборд'!$C$9*'Дашборд'!$C$54,"Да","Нет"))</x:f>
        <x:v>Нет</x:v>
      </x:c>
      <x:c r="N953" s="1" t="str">
        <x:f>IF(AND('Данные'!D953&gt;='Дашборд'!$C$55,D953&lt;'Дашборд'!$C$56,'Данные'!E953&gt;='Дашборд'!$C$53,'Данные'!L953&lt;&gt;"Да"),"Да","Нет")</x:f>
        <x:v>Да</x:v>
      </x:c>
      <x:c r="O953" s="1" t="str">
        <x:f>'Данные'!L953</x:f>
        <x:v>Нет</x:v>
      </x:c>
    </x:row>
    <x:row r="954">
      <x:c r="A954" s="1" t="str">
        <x:f>'Данные'!A954</x:f>
        <x:v>321843724</x:v>
      </x:c>
      <x:c r="B954" s="1" t="str">
        <x:f>'Данные'!B954</x:f>
        <x:v>tankman4K-S12/черный</x:v>
      </x:c>
      <x:c r="C954" s="8" t="n">
        <x:f>'Данные'!G954</x:f>
        <x:v>135970</x:v>
      </x:c>
      <x:c r="D954" s="15" t="n">
        <x:f>C954/SUM($C$5:$C$2477)</x:f>
        <x:v>0.00015884336683166691</x:v>
      </x:c>
      <x:c r="E954" s="15" t="n">
        <x:f>SUM($D$5:D954)</x:f>
        <x:v>0.9612729941763581</x:v>
      </x:c>
      <x:c r="F954" s="1" t="str">
        <x:f>IF(C954&lt;=0,"C",IF(E954-D954&lt;'Дашборд'!$C$49,"A",IF(E954-D954&lt;'Дашборд'!$C$50,"B","C")))</x:f>
        <x:v>C</x:v>
      </x:c>
      <x:c r="G954" s="8" t="n">
        <x:f>'Данные'!F954</x:f>
        <x:v>213</x:v>
      </x:c>
      <x:c r="H954" s="8" t="n">
        <x:f>SUM('Данные'!H954:I954)</x:f>
        <x:v>0</x:v>
      </x:c>
      <x:c r="I954" s="16" t="str">
        <x:f>IF(H954&gt;0,G954/H954,"n.a.")</x:f>
        <x:v>n.a.</x:v>
      </x:c>
      <x:c r="J954" s="10" t="n">
        <x:f>IF('Данные'!E954&gt;0,G954/'Данные'!E954,"n.a.")</x:f>
        <x:v>0.009004058167061211</x:v>
      </x:c>
      <x:c r="K954" s="1" t="str">
        <x:f>IF(G954&gt;='Дашборд'!$C$51,"X","Z")</x:f>
        <x:v>Z</x:v>
      </x:c>
      <x:c r="L954" s="1" t="str">
        <x:f>IF(H954=0,IF(G954&gt;0,"Нет остатка","Нет спроса"),IF(I954&gt;='Дашборд'!$C$52,"Быстрый","Медленный"))</x:f>
        <x:v>Нет остатка</x:v>
      </x:c>
      <x:c r="M954" s="1" t="str">
        <x:f>IF('Данные'!E954&lt;'Дашборд'!$C$53,"Мало трафика",IF(J954&lt;'Дашборд'!$C$9*'Дашборд'!$C$54,"Да","Нет"))</x:f>
        <x:v>Да</x:v>
      </x:c>
      <x:c r="N954" s="1" t="str">
        <x:f>IF(AND('Данные'!D954&gt;='Дашборд'!$C$55,D954&lt;'Дашборд'!$C$56,'Данные'!E954&gt;='Дашборд'!$C$53,'Данные'!L954&lt;&gt;"Да"),"Да","Нет")</x:f>
        <x:v>Нет</x:v>
      </x:c>
      <x:c r="O954" s="1" t="str">
        <x:f>'Данные'!L954</x:f>
        <x:v>Нет</x:v>
      </x:c>
    </x:row>
    <x:row r="955">
      <x:c r="A955" s="1" t="str">
        <x:f>'Данные'!A955</x:f>
        <x:v>253963998</x:v>
      </x:c>
      <x:c r="B955" s="1" t="str">
        <x:f>'Данные'!B955</x:f>
        <x:v>svitshotzip1/светло-розовый</x:v>
      </x:c>
      <x:c r="C955" s="8" t="n">
        <x:f>'Данные'!G955</x:f>
        <x:v>135867</x:v>
      </x:c>
      <x:c r="D955" s="15" t="n">
        <x:f>C955/SUM($C$5:$C$2477)</x:f>
        <x:v>0.00015872303979788254</x:v>
      </x:c>
      <x:c r="E955" s="15" t="n">
        <x:f>SUM($D$5:D955)</x:f>
        <x:v>0.9614317172161561</x:v>
      </x:c>
      <x:c r="F955" s="1" t="str">
        <x:f>IF(C955&lt;=0,"C",IF(E955-D955&lt;'Дашборд'!$C$49,"A",IF(E955-D955&lt;'Дашборд'!$C$50,"B","C")))</x:f>
        <x:v>C</x:v>
      </x:c>
      <x:c r="G955" s="8" t="n">
        <x:f>'Данные'!F955</x:f>
        <x:v>111</x:v>
      </x:c>
      <x:c r="H955" s="8" t="n">
        <x:f>SUM('Данные'!H955:I955)</x:f>
        <x:v>0</x:v>
      </x:c>
      <x:c r="I955" s="16" t="str">
        <x:f>IF(H955&gt;0,G955/H955,"n.a.")</x:f>
        <x:v>n.a.</x:v>
      </x:c>
      <x:c r="J955" s="10" t="n">
        <x:f>IF('Данные'!E955&gt;0,G955/'Данные'!E955,"n.a.")</x:f>
        <x:v>0.019234101542193727</x:v>
      </x:c>
      <x:c r="K955" s="1" t="str">
        <x:f>IF(G955&gt;='Дашборд'!$C$51,"X","Z")</x:f>
        <x:v>Z</x:v>
      </x:c>
      <x:c r="L955" s="1" t="str">
        <x:f>IF(H955=0,IF(G955&gt;0,"Нет остатка","Нет спроса"),IF(I955&gt;='Дашборд'!$C$52,"Быстрый","Медленный"))</x:f>
        <x:v>Нет остатка</x:v>
      </x:c>
      <x:c r="M955" s="1" t="str">
        <x:f>IF('Данные'!E955&lt;'Дашборд'!$C$53,"Мало трафика",IF(J955&lt;'Дашборд'!$C$9*'Дашборд'!$C$54,"Да","Нет"))</x:f>
        <x:v>Нет</x:v>
      </x:c>
      <x:c r="N955" s="1" t="str">
        <x:f>IF(AND('Данные'!D955&gt;='Дашборд'!$C$55,D955&lt;'Дашборд'!$C$56,'Данные'!E955&gt;='Дашборд'!$C$53,'Данные'!L955&lt;&gt;"Да"),"Да","Нет")</x:f>
        <x:v>Да</x:v>
      </x:c>
      <x:c r="O955" s="1" t="str">
        <x:f>'Данные'!L955</x:f>
        <x:v>Нет</x:v>
      </x:c>
    </x:row>
    <x:row r="956">
      <x:c r="A956" s="1" t="str">
        <x:f>'Данные'!A956</x:f>
        <x:v>344407621</x:v>
      </x:c>
      <x:c r="B956" s="1" t="str">
        <x:f>'Данные'!B956</x:f>
        <x:v>maykaman/черный</x:v>
      </x:c>
      <x:c r="C956" s="8" t="n">
        <x:f>'Данные'!G956</x:f>
        <x:v>134659</x:v>
      </x:c>
      <x:c r="D956" s="15" t="n">
        <x:f>C956/SUM($C$5:$C$2477)</x:f>
        <x:v>0.0001573118256540813</x:v>
      </x:c>
      <x:c r="E956" s="15" t="n">
        <x:f>SUM($D$5:D956)</x:f>
        <x:v>0.9615890290418101</x:v>
      </x:c>
      <x:c r="F956" s="1" t="str">
        <x:f>IF(C956&lt;=0,"C",IF(E956-D956&lt;'Дашборд'!$C$49,"A",IF(E956-D956&lt;'Дашборд'!$C$50,"B","C")))</x:f>
        <x:v>C</x:v>
      </x:c>
      <x:c r="G956" s="8" t="n">
        <x:f>'Данные'!F956</x:f>
        <x:v>304</x:v>
      </x:c>
      <x:c r="H956" s="8" t="n">
        <x:f>SUM('Данные'!H956:I956)</x:f>
        <x:v>1330</x:v>
      </x:c>
      <x:c r="I956" s="16" t="n">
        <x:f>IF(H956&gt;0,G956/H956,"n.a.")</x:f>
        <x:v>0.22857142857142856</x:v>
      </x:c>
      <x:c r="J956" s="10" t="n">
        <x:f>IF('Данные'!E956&gt;0,G956/'Данные'!E956,"n.a.")</x:f>
        <x:v>0.017420205145836913</x:v>
      </x:c>
      <x:c r="K956" s="1" t="str">
        <x:f>IF(G956&gt;='Дашборд'!$C$51,"X","Z")</x:f>
        <x:v>X</x:v>
      </x:c>
      <x:c r="L956" s="1" t="str">
        <x:f>IF(H956=0,IF(G956&gt;0,"Нет остатка","Нет спроса"),IF(I956&gt;='Дашборд'!$C$52,"Быстрый","Медленный"))</x:f>
        <x:v>Медленный</x:v>
      </x:c>
      <x:c r="M956" s="1" t="str">
        <x:f>IF('Данные'!E956&lt;'Дашборд'!$C$53,"Мало трафика",IF(J956&lt;'Дашборд'!$C$9*'Дашборд'!$C$54,"Да","Нет"))</x:f>
        <x:v>Нет</x:v>
      </x:c>
      <x:c r="N956" s="1" t="str">
        <x:f>IF(AND('Данные'!D956&gt;='Дашборд'!$C$55,D956&lt;'Дашборд'!$C$56,'Данные'!E956&gt;='Дашборд'!$C$53,'Данные'!L956&lt;&gt;"Да"),"Да","Нет")</x:f>
        <x:v>Да</x:v>
      </x:c>
      <x:c r="O956" s="1" t="str">
        <x:f>'Данные'!L956</x:f>
        <x:v>Нет</x:v>
      </x:c>
    </x:row>
    <x:row r="957">
      <x:c r="A957" s="1" t="str">
        <x:f>'Данные'!A957</x:f>
        <x:v>256323219</x:v>
      </x:c>
      <x:c r="B957" s="1" t="str">
        <x:f>'Данные'!B957</x:f>
        <x:v>futhlopmanover/хаки</x:v>
      </x:c>
      <x:c r="C957" s="8" t="n">
        <x:f>'Данные'!G957</x:f>
        <x:v>134603</x:v>
      </x:c>
      <x:c r="D957" s="15" t="n">
        <x:f>C957/SUM($C$5:$C$2477)</x:f>
        <x:v>0.00015724640513085873</x:v>
      </x:c>
      <x:c r="E957" s="15" t="n">
        <x:f>SUM($D$5:D957)</x:f>
        <x:v>0.9617462754469409</x:v>
      </x:c>
      <x:c r="F957" s="1" t="str">
        <x:f>IF(C957&lt;=0,"C",IF(E957-D957&lt;'Дашборд'!$C$49,"A",IF(E957-D957&lt;'Дашборд'!$C$50,"B","C")))</x:f>
        <x:v>C</x:v>
      </x:c>
      <x:c r="G957" s="8" t="n">
        <x:f>'Данные'!F957</x:f>
        <x:v>285</x:v>
      </x:c>
      <x:c r="H957" s="8" t="n">
        <x:f>SUM('Данные'!H957:I957)</x:f>
        <x:v>37</x:v>
      </x:c>
      <x:c r="I957" s="16" t="n">
        <x:f>IF(H957&gt;0,G957/H957,"n.a.")</x:f>
        <x:v>7.702702702702703</x:v>
      </x:c>
      <x:c r="J957" s="10" t="n">
        <x:f>IF('Данные'!E957&gt;0,G957/'Данные'!E957,"n.a.")</x:f>
        <x:v>0.01300775901414879</x:v>
      </x:c>
      <x:c r="K957" s="1" t="str">
        <x:f>IF(G957&gt;='Дашборд'!$C$51,"X","Z")</x:f>
        <x:v>X</x:v>
      </x:c>
      <x:c r="L957" s="1" t="str">
        <x:f>IF(H957=0,IF(G957&gt;0,"Нет остатка","Нет спроса"),IF(I957&gt;='Дашборд'!$C$52,"Быстрый","Медленный"))</x:f>
        <x:v>Быстрый</x:v>
      </x:c>
      <x:c r="M957" s="1" t="str">
        <x:f>IF('Данные'!E957&lt;'Дашборд'!$C$53,"Мало трафика",IF(J957&lt;'Дашборд'!$C$9*'Дашборд'!$C$54,"Да","Нет"))</x:f>
        <x:v>Нет</x:v>
      </x:c>
      <x:c r="N957" s="1" t="str">
        <x:f>IF(AND('Данные'!D957&gt;='Дашборд'!$C$55,D957&lt;'Дашборд'!$C$56,'Данные'!E957&gt;='Дашборд'!$C$53,'Данные'!L957&lt;&gt;"Да"),"Да","Нет")</x:f>
        <x:v>Нет</x:v>
      </x:c>
      <x:c r="O957" s="1" t="str">
        <x:f>'Данные'!L957</x:f>
        <x:v>Нет</x:v>
      </x:c>
    </x:row>
    <x:row r="958">
      <x:c r="A958" s="1" t="str">
        <x:f>'Данные'!A958</x:f>
        <x:v>326824802</x:v>
      </x:c>
      <x:c r="B958" s="1" t="str">
        <x:f>'Данные'!B958</x:f>
        <x:v>2nkost3D-72-73/коричневый</x:v>
      </x:c>
      <x:c r="C958" s="8" t="n">
        <x:f>'Данные'!G958</x:f>
        <x:v>134459</x:v>
      </x:c>
      <x:c r="D958" s="15" t="n">
        <x:f>C958/SUM($C$5:$C$2477)</x:f>
        <x:v>0.0001570781809282864</x:v>
      </x:c>
      <x:c r="E958" s="15" t="n">
        <x:f>SUM($D$5:D958)</x:f>
        <x:v>0.9619033536278692</x:v>
      </x:c>
      <x:c r="F958" s="1" t="str">
        <x:f>IF(C958&lt;=0,"C",IF(E958-D958&lt;'Дашборд'!$C$49,"A",IF(E958-D958&lt;'Дашборд'!$C$50,"B","C")))</x:f>
        <x:v>C</x:v>
      </x:c>
      <x:c r="G958" s="8" t="n">
        <x:f>'Данные'!F958</x:f>
        <x:v>315</x:v>
      </x:c>
      <x:c r="H958" s="8" t="n">
        <x:f>SUM('Данные'!H958:I958)</x:f>
        <x:v>4</x:v>
      </x:c>
      <x:c r="I958" s="16" t="n">
        <x:f>IF(H958&gt;0,G958/H958,"n.a.")</x:f>
        <x:v>78.75</x:v>
      </x:c>
      <x:c r="J958" s="10" t="n">
        <x:f>IF('Данные'!E958&gt;0,G958/'Данные'!E958,"n.a.")</x:f>
        <x:v>0.004760753256959768</x:v>
      </x:c>
      <x:c r="K958" s="1" t="str">
        <x:f>IF(G958&gt;='Дашборд'!$C$51,"X","Z")</x:f>
        <x:v>X</x:v>
      </x:c>
      <x:c r="L958" s="1" t="str">
        <x:f>IF(H958=0,IF(G958&gt;0,"Нет остатка","Нет спроса"),IF(I958&gt;='Дашборд'!$C$52,"Быстрый","Медленный"))</x:f>
        <x:v>Быстрый</x:v>
      </x:c>
      <x:c r="M958" s="1" t="str">
        <x:f>IF('Данные'!E958&lt;'Дашборд'!$C$53,"Мало трафика",IF(J958&lt;'Дашборд'!$C$9*'Дашборд'!$C$54,"Да","Нет"))</x:f>
        <x:v>Да</x:v>
      </x:c>
      <x:c r="N958" s="1" t="str">
        <x:f>IF(AND('Данные'!D958&gt;='Дашборд'!$C$55,D958&lt;'Дашборд'!$C$56,'Данные'!E958&gt;='Дашборд'!$C$53,'Данные'!L958&lt;&gt;"Да"),"Да","Нет")</x:f>
        <x:v>Нет</x:v>
      </x:c>
      <x:c r="O958" s="1" t="str">
        <x:f>'Данные'!L958</x:f>
        <x:v>Нет</x:v>
      </x:c>
    </x:row>
    <x:row r="959">
      <x:c r="A959" s="1" t="str">
        <x:f>'Данные'!A959</x:f>
        <x:v>168141903</x:v>
      </x:c>
      <x:c r="B959" s="1" t="str">
        <x:f>'Данные'!B959</x:f>
        <x:v>bruki/красный</x:v>
      </x:c>
      <x:c r="C959" s="8" t="n">
        <x:f>'Данные'!G959</x:f>
        <x:v>134434</x:v>
      </x:c>
      <x:c r="D959" s="15" t="n">
        <x:f>C959/SUM($C$5:$C$2477)</x:f>
        <x:v>0.00015704897533756204</x:v>
      </x:c>
      <x:c r="E959" s="15" t="n">
        <x:f>SUM($D$5:D959)</x:f>
        <x:v>0.9620604026032067</x:v>
      </x:c>
      <x:c r="F959" s="1" t="str">
        <x:f>IF(C959&lt;=0,"C",IF(E959-D959&lt;'Дашборд'!$C$49,"A",IF(E959-D959&lt;'Дашборд'!$C$50,"B","C")))</x:f>
        <x:v>C</x:v>
      </x:c>
      <x:c r="G959" s="8" t="n">
        <x:f>'Данные'!F959</x:f>
        <x:v>245</x:v>
      </x:c>
      <x:c r="H959" s="8" t="n">
        <x:f>SUM('Данные'!H959:I959)</x:f>
        <x:v>237</x:v>
      </x:c>
      <x:c r="I959" s="16" t="n">
        <x:f>IF(H959&gt;0,G959/H959,"n.a.")</x:f>
        <x:v>1.0337552742616034</x:v>
      </x:c>
      <x:c r="J959" s="10" t="n">
        <x:f>IF('Данные'!E959&gt;0,G959/'Данные'!E959,"n.a.")</x:f>
        <x:v>0.0287626203334116</x:v>
      </x:c>
      <x:c r="K959" s="1" t="str">
        <x:f>IF(G959&gt;='Дашборд'!$C$51,"X","Z")</x:f>
        <x:v>Z</x:v>
      </x:c>
      <x:c r="L959" s="1" t="str">
        <x:f>IF(H959=0,IF(G959&gt;0,"Нет остатка","Нет спроса"),IF(I959&gt;='Дашборд'!$C$52,"Быстрый","Медленный"))</x:f>
        <x:v>Быстрый</x:v>
      </x:c>
      <x:c r="M959" s="1" t="str">
        <x:f>IF('Данные'!E959&lt;'Дашборд'!$C$53,"Мало трафика",IF(J959&lt;'Дашборд'!$C$9*'Дашборд'!$C$54,"Да","Нет"))</x:f>
        <x:v>Нет</x:v>
      </x:c>
      <x:c r="N959" s="1" t="str">
        <x:f>IF(AND('Данные'!D959&gt;='Дашборд'!$C$55,D959&lt;'Дашборд'!$C$56,'Данные'!E959&gt;='Дашборд'!$C$53,'Данные'!L959&lt;&gt;"Да"),"Да","Нет")</x:f>
        <x:v>Нет</x:v>
      </x:c>
      <x:c r="O959" s="1" t="str">
        <x:f>'Данные'!L959</x:f>
        <x:v>Нет</x:v>
      </x:c>
    </x:row>
    <x:row r="960">
      <x:c r="A960" s="1" t="str">
        <x:f>'Данные'!A960</x:f>
        <x:v>344184284</x:v>
      </x:c>
      <x:c r="B960" s="1" t="str">
        <x:f>'Данные'!B960</x:f>
        <x:v>longslim3К-81/какао</x:v>
      </x:c>
      <x:c r="C960" s="8" t="n">
        <x:f>'Данные'!G960</x:f>
        <x:v>134090</x:v>
      </x:c>
      <x:c r="D960" s="15" t="n">
        <x:f>C960/SUM($C$5:$C$2477)</x:f>
        <x:v>0.00015664710640919482</x:v>
      </x:c>
      <x:c r="E960" s="15" t="n">
        <x:f>SUM($D$5:D960)</x:f>
        <x:v>0.9622170497096159</x:v>
      </x:c>
      <x:c r="F960" s="1" t="str">
        <x:f>IF(C960&lt;=0,"C",IF(E960-D960&lt;'Дашборд'!$C$49,"A",IF(E960-D960&lt;'Дашборд'!$C$50,"B","C")))</x:f>
        <x:v>C</x:v>
      </x:c>
      <x:c r="G960" s="8" t="n">
        <x:f>'Данные'!F960</x:f>
        <x:v>369</x:v>
      </x:c>
      <x:c r="H960" s="8" t="n">
        <x:f>SUM('Данные'!H960:I960)</x:f>
        <x:v>9</x:v>
      </x:c>
      <x:c r="I960" s="16" t="n">
        <x:f>IF(H960&gt;0,G960/H960,"n.a.")</x:f>
        <x:v>41</x:v>
      </x:c>
      <x:c r="J960" s="10" t="n">
        <x:f>IF('Данные'!E960&gt;0,G960/'Данные'!E960,"n.a.")</x:f>
        <x:v>0.023264611310762247</x:v>
      </x:c>
      <x:c r="K960" s="1" t="str">
        <x:f>IF(G960&gt;='Дашборд'!$C$51,"X","Z")</x:f>
        <x:v>X</x:v>
      </x:c>
      <x:c r="L960" s="1" t="str">
        <x:f>IF(H960=0,IF(G960&gt;0,"Нет остатка","Нет спроса"),IF(I960&gt;='Дашборд'!$C$52,"Быстрый","Медленный"))</x:f>
        <x:v>Быстрый</x:v>
      </x:c>
      <x:c r="M960" s="1" t="str">
        <x:f>IF('Данные'!E960&lt;'Дашборд'!$C$53,"Мало трафика",IF(J960&lt;'Дашборд'!$C$9*'Дашборд'!$C$54,"Да","Нет"))</x:f>
        <x:v>Нет</x:v>
      </x:c>
      <x:c r="N960" s="1" t="str">
        <x:f>IF(AND('Данные'!D960&gt;='Дашборд'!$C$55,D960&lt;'Дашборд'!$C$56,'Данные'!E960&gt;='Дашборд'!$C$53,'Данные'!L960&lt;&gt;"Да"),"Да","Нет")</x:f>
        <x:v>Нет</x:v>
      </x:c>
      <x:c r="O960" s="1" t="str">
        <x:f>'Данные'!L960</x:f>
        <x:v>Нет</x:v>
      </x:c>
    </x:row>
    <x:row r="961">
      <x:c r="A961" s="1" t="str">
        <x:f>'Данные'!A961</x:f>
        <x:v>19865662</x:v>
      </x:c>
      <x:c r="B961" s="1" t="str">
        <x:f>'Данные'!B961</x:f>
        <x:v>kostyum/светло-зеленый</x:v>
      </x:c>
      <x:c r="C961" s="8" t="n">
        <x:f>'Данные'!G961</x:f>
        <x:v>133956</x:v>
      </x:c>
      <x:c r="D961" s="15" t="n">
        <x:f>C961/SUM($C$5:$C$2477)</x:f>
        <x:v>0.0001564905644429122</x:v>
      </x:c>
      <x:c r="E961" s="15" t="n">
        <x:f>SUM($D$5:D961)</x:f>
        <x:v>0.9623735402740587</x:v>
      </x:c>
      <x:c r="F961" s="1" t="str">
        <x:f>IF(C961&lt;=0,"C",IF(E961-D961&lt;'Дашборд'!$C$49,"A",IF(E961-D961&lt;'Дашборд'!$C$50,"B","C")))</x:f>
        <x:v>C</x:v>
      </x:c>
      <x:c r="G961" s="8" t="n">
        <x:f>'Данные'!F961</x:f>
        <x:v>79</x:v>
      </x:c>
      <x:c r="H961" s="8" t="n">
        <x:f>SUM('Данные'!H961:I961)</x:f>
        <x:v>137</x:v>
      </x:c>
      <x:c r="I961" s="16" t="n">
        <x:f>IF(H961&gt;0,G961/H961,"n.a.")</x:f>
        <x:v>0.5766423357664233</x:v>
      </x:c>
      <x:c r="J961" s="10" t="n">
        <x:f>IF('Данные'!E961&gt;0,G961/'Данные'!E961,"n.a.")</x:f>
        <x:v>0.006257425742574258</x:v>
      </x:c>
      <x:c r="K961" s="1" t="str">
        <x:f>IF(G961&gt;='Дашборд'!$C$51,"X","Z")</x:f>
        <x:v>Z</x:v>
      </x:c>
      <x:c r="L961" s="1" t="str">
        <x:f>IF(H961=0,IF(G961&gt;0,"Нет остатка","Нет спроса"),IF(I961&gt;='Дашборд'!$C$52,"Быстрый","Медленный"))</x:f>
        <x:v>Медленный</x:v>
      </x:c>
      <x:c r="M961" s="1" t="str">
        <x:f>IF('Данные'!E961&lt;'Дашборд'!$C$53,"Мало трафика",IF(J961&lt;'Дашборд'!$C$9*'Дашборд'!$C$54,"Да","Нет"))</x:f>
        <x:v>Да</x:v>
      </x:c>
      <x:c r="N961" s="1" t="str">
        <x:f>IF(AND('Данные'!D961&gt;='Дашборд'!$C$55,D961&lt;'Дашборд'!$C$56,'Данные'!E961&gt;='Дашборд'!$C$53,'Данные'!L961&lt;&gt;"Да"),"Да","Нет")</x:f>
        <x:v>Нет</x:v>
      </x:c>
      <x:c r="O961" s="1" t="str">
        <x:f>'Данные'!L961</x:f>
        <x:v>Нет</x:v>
      </x:c>
    </x:row>
    <x:row r="962">
      <x:c r="A962" s="1" t="str">
        <x:f>'Данные'!A962</x:f>
        <x:v>150673977</x:v>
      </x:c>
      <x:c r="B962" s="1" t="str">
        <x:f>'Данные'!B962</x:f>
        <x:v>svitshotover/графит</x:v>
      </x:c>
      <x:c r="C962" s="8" t="n">
        <x:f>'Данные'!G962</x:f>
        <x:v>133939</x:v>
      </x:c>
      <x:c r="D962" s="15" t="n">
        <x:f>C962/SUM($C$5:$C$2477)</x:f>
        <x:v>0.00015647070464121964</x:v>
      </x:c>
      <x:c r="E962" s="15" t="n">
        <x:f>SUM($D$5:D962)</x:f>
        <x:v>0.9625300109787</x:v>
      </x:c>
      <x:c r="F962" s="1" t="str">
        <x:f>IF(C962&lt;=0,"C",IF(E962-D962&lt;'Дашборд'!$C$49,"A",IF(E962-D962&lt;'Дашборд'!$C$50,"B","C")))</x:f>
        <x:v>C</x:v>
      </x:c>
      <x:c r="G962" s="8" t="n">
        <x:f>'Данные'!F962</x:f>
        <x:v>198</x:v>
      </x:c>
      <x:c r="H962" s="8" t="n">
        <x:f>SUM('Данные'!H962:I962)</x:f>
        <x:v>273</x:v>
      </x:c>
      <x:c r="I962" s="16" t="n">
        <x:f>IF(H962&gt;0,G962/H962,"n.a.")</x:f>
        <x:v>0.7252747252747253</x:v>
      </x:c>
      <x:c r="J962" s="10" t="n">
        <x:f>IF('Данные'!E962&gt;0,G962/'Данные'!E962,"n.a.")</x:f>
        <x:v>0.013162268164594829</x:v>
      </x:c>
      <x:c r="K962" s="1" t="str">
        <x:f>IF(G962&gt;='Дашборд'!$C$51,"X","Z")</x:f>
        <x:v>Z</x:v>
      </x:c>
      <x:c r="L962" s="1" t="str">
        <x:f>IF(H962=0,IF(G962&gt;0,"Нет остатка","Нет спроса"),IF(I962&gt;='Дашборд'!$C$52,"Быстрый","Медленный"))</x:f>
        <x:v>Медленный</x:v>
      </x:c>
      <x:c r="M962" s="1" t="str">
        <x:f>IF('Данные'!E962&lt;'Дашборд'!$C$53,"Мало трафика",IF(J962&lt;'Дашборд'!$C$9*'Дашборд'!$C$54,"Да","Нет"))</x:f>
        <x:v>Нет</x:v>
      </x:c>
      <x:c r="N962" s="1" t="str">
        <x:f>IF(AND('Данные'!D962&gt;='Дашборд'!$C$55,D962&lt;'Дашборд'!$C$56,'Данные'!E962&gt;='Дашборд'!$C$53,'Данные'!L962&lt;&gt;"Да"),"Да","Нет")</x:f>
        <x:v>Да</x:v>
      </x:c>
      <x:c r="O962" s="1" t="str">
        <x:f>'Данные'!L962</x:f>
        <x:v>Нет</x:v>
      </x:c>
    </x:row>
    <x:row r="963">
      <x:c r="A963" s="1" t="str">
        <x:f>'Данные'!A963</x:f>
        <x:v>289404031</x:v>
      </x:c>
      <x:c r="B963" s="1" t="str">
        <x:f>'Данные'!B963</x:f>
        <x:v>brukikarman3P-S-2/песочный</x:v>
      </x:c>
      <x:c r="C963" s="8" t="n">
        <x:f>'Данные'!G963</x:f>
        <x:v>132651</x:v>
      </x:c>
      <x:c r="D963" s="15" t="n">
        <x:f>C963/SUM($C$5:$C$2477)</x:f>
        <x:v>0.00015496603260710046</x:v>
      </x:c>
      <x:c r="E963" s="15" t="n">
        <x:f>SUM($D$5:D963)</x:f>
        <x:v>0.9626849770113071</x:v>
      </x:c>
      <x:c r="F963" s="1" t="str">
        <x:f>IF(C963&lt;=0,"C",IF(E963-D963&lt;'Дашборд'!$C$49,"A",IF(E963-D963&lt;'Дашборд'!$C$50,"B","C")))</x:f>
        <x:v>C</x:v>
      </x:c>
      <x:c r="G963" s="8" t="n">
        <x:f>'Данные'!F963</x:f>
        <x:v>343</x:v>
      </x:c>
      <x:c r="H963" s="8" t="n">
        <x:f>SUM('Данные'!H963:I963)</x:f>
        <x:v>440</x:v>
      </x:c>
      <x:c r="I963" s="16" t="n">
        <x:f>IF(H963&gt;0,G963/H963,"n.a.")</x:f>
        <x:v>0.7795454545454545</x:v>
      </x:c>
      <x:c r="J963" s="10" t="n">
        <x:f>IF('Данные'!E963&gt;0,G963/'Данные'!E963,"n.a.")</x:f>
        <x:v>0.008933454876937101</x:v>
      </x:c>
      <x:c r="K963" s="1" t="str">
        <x:f>IF(G963&gt;='Дашборд'!$C$51,"X","Z")</x:f>
        <x:v>X</x:v>
      </x:c>
      <x:c r="L963" s="1" t="str">
        <x:f>IF(H963=0,IF(G963&gt;0,"Нет остатка","Нет спроса"),IF(I963&gt;='Дашборд'!$C$52,"Быстрый","Медленный"))</x:f>
        <x:v>Медленный</x:v>
      </x:c>
      <x:c r="M963" s="1" t="str">
        <x:f>IF('Данные'!E963&lt;'Дашборд'!$C$53,"Мало трафика",IF(J963&lt;'Дашборд'!$C$9*'Дашборд'!$C$54,"Да","Нет"))</x:f>
        <x:v>Да</x:v>
      </x:c>
      <x:c r="N963" s="1" t="str">
        <x:f>IF(AND('Данные'!D963&gt;='Дашборд'!$C$55,D963&lt;'Дашборд'!$C$56,'Данные'!E963&gt;='Дашборд'!$C$53,'Данные'!L963&lt;&gt;"Да"),"Да","Нет")</x:f>
        <x:v>Нет</x:v>
      </x:c>
      <x:c r="O963" s="1" t="str">
        <x:f>'Данные'!L963</x:f>
        <x:v>Нет</x:v>
      </x:c>
    </x:row>
    <x:row r="964">
      <x:c r="A964" s="1" t="str">
        <x:f>'Данные'!A964</x:f>
        <x:v>245583535</x:v>
      </x:c>
      <x:c r="B964" s="1" t="str">
        <x:f>'Данные'!B964</x:f>
        <x:v>hudiprint/MovesClub-138/синий</x:v>
      </x:c>
      <x:c r="C964" s="8" t="n">
        <x:f>'Данные'!G964</x:f>
        <x:v>132566</x:v>
      </x:c>
      <x:c r="D964" s="15" t="n">
        <x:f>C964/SUM($C$5:$C$2477)</x:f>
        <x:v>0.00015486673359863762</x:v>
      </x:c>
      <x:c r="E964" s="15" t="n">
        <x:f>SUM($D$5:D964)</x:f>
        <x:v>0.9628398437449057</x:v>
      </x:c>
      <x:c r="F964" s="1" t="str">
        <x:f>IF(C964&lt;=0,"C",IF(E964-D964&lt;'Дашборд'!$C$49,"A",IF(E964-D964&lt;'Дашборд'!$C$50,"B","C")))</x:f>
        <x:v>C</x:v>
      </x:c>
      <x:c r="G964" s="8" t="n">
        <x:f>'Данные'!F964</x:f>
        <x:v>142</x:v>
      </x:c>
      <x:c r="H964" s="8" t="n">
        <x:f>SUM('Данные'!H964:I964)</x:f>
        <x:v>2</x:v>
      </x:c>
      <x:c r="I964" s="16" t="n">
        <x:f>IF(H964&gt;0,G964/H964,"n.a.")</x:f>
        <x:v>71</x:v>
      </x:c>
      <x:c r="J964" s="10" t="n">
        <x:f>IF('Данные'!E964&gt;0,G964/'Данные'!E964,"n.a.")</x:f>
        <x:v>0.008052625609617784</x:v>
      </x:c>
      <x:c r="K964" s="1" t="str">
        <x:f>IF(G964&gt;='Дашборд'!$C$51,"X","Z")</x:f>
        <x:v>Z</x:v>
      </x:c>
      <x:c r="L964" s="1" t="str">
        <x:f>IF(H964=0,IF(G964&gt;0,"Нет остатка","Нет спроса"),IF(I964&gt;='Дашборд'!$C$52,"Быстрый","Медленный"))</x:f>
        <x:v>Быстрый</x:v>
      </x:c>
      <x:c r="M964" s="1" t="str">
        <x:f>IF('Данные'!E964&lt;'Дашборд'!$C$53,"Мало трафика",IF(J964&lt;'Дашборд'!$C$9*'Дашборд'!$C$54,"Да","Нет"))</x:f>
        <x:v>Да</x:v>
      </x:c>
      <x:c r="N964" s="1" t="str">
        <x:f>IF(AND('Данные'!D964&gt;='Дашборд'!$C$55,D964&lt;'Дашборд'!$C$56,'Данные'!E964&gt;='Дашборд'!$C$53,'Данные'!L964&lt;&gt;"Да"),"Да","Нет")</x:f>
        <x:v>Нет</x:v>
      </x:c>
      <x:c r="O964" s="1" t="str">
        <x:f>'Данные'!L964</x:f>
        <x:v>Нет</x:v>
      </x:c>
    </x:row>
    <x:row r="965">
      <x:c r="A965" s="1" t="str">
        <x:f>'Данные'!A965</x:f>
        <x:v>216674344</x:v>
      </x:c>
      <x:c r="B965" s="1" t="str">
        <x:f>'Данные'!B965</x:f>
        <x:v>2NshortymanX2/чер-сермел</x:v>
      </x:c>
      <x:c r="C965" s="8" t="n">
        <x:f>'Данные'!G965</x:f>
        <x:v>132550</x:v>
      </x:c>
      <x:c r="D965" s="15" t="n">
        <x:f>C965/SUM($C$5:$C$2477)</x:f>
        <x:v>0.00015484804202057402</x:v>
      </x:c>
      <x:c r="E965" s="15" t="n">
        <x:f>SUM($D$5:D965)</x:f>
        <x:v>0.9629946917869263</x:v>
      </x:c>
      <x:c r="F965" s="1" t="str">
        <x:f>IF(C965&lt;=0,"C",IF(E965-D965&lt;'Дашборд'!$C$49,"A",IF(E965-D965&lt;'Дашборд'!$C$50,"B","C")))</x:f>
        <x:v>C</x:v>
      </x:c>
      <x:c r="G965" s="8" t="n">
        <x:f>'Данные'!F965</x:f>
        <x:v>150</x:v>
      </x:c>
      <x:c r="H965" s="8" t="n">
        <x:f>SUM('Данные'!H965:I965)</x:f>
        <x:v>0</x:v>
      </x:c>
      <x:c r="I965" s="16" t="str">
        <x:f>IF(H965&gt;0,G965/H965,"n.a.")</x:f>
        <x:v>n.a.</x:v>
      </x:c>
      <x:c r="J965" s="10" t="n">
        <x:f>IF('Данные'!E965&gt;0,G965/'Данные'!E965,"n.a.")</x:f>
        <x:v>0.019054878048780487</x:v>
      </x:c>
      <x:c r="K965" s="1" t="str">
        <x:f>IF(G965&gt;='Дашборд'!$C$51,"X","Z")</x:f>
        <x:v>Z</x:v>
      </x:c>
      <x:c r="L965" s="1" t="str">
        <x:f>IF(H965=0,IF(G965&gt;0,"Нет остатка","Нет спроса"),IF(I965&gt;='Дашборд'!$C$52,"Быстрый","Медленный"))</x:f>
        <x:v>Нет остатка</x:v>
      </x:c>
      <x:c r="M965" s="1" t="str">
        <x:f>IF('Данные'!E965&lt;'Дашборд'!$C$53,"Мало трафика",IF(J965&lt;'Дашборд'!$C$9*'Дашборд'!$C$54,"Да","Нет"))</x:f>
        <x:v>Нет</x:v>
      </x:c>
      <x:c r="N965" s="1" t="str">
        <x:f>IF(AND('Данные'!D965&gt;='Дашборд'!$C$55,D965&lt;'Дашборд'!$C$56,'Данные'!E965&gt;='Дашборд'!$C$53,'Данные'!L965&lt;&gt;"Да"),"Да","Нет")</x:f>
        <x:v>Нет</x:v>
      </x:c>
      <x:c r="O965" s="1" t="str">
        <x:f>'Данные'!L965</x:f>
        <x:v>Нет</x:v>
      </x:c>
    </x:row>
    <x:row r="966">
      <x:c r="A966" s="1" t="str">
        <x:f>'Данные'!A966</x:f>
        <x:v>228355394</x:v>
      </x:c>
      <x:c r="B966" s="1" t="str">
        <x:f>'Данные'!B966</x:f>
        <x:v>kulirkamanprint/MovesReality-137/молочный</x:v>
      </x:c>
      <x:c r="C966" s="8" t="n">
        <x:f>'Данные'!G966</x:f>
        <x:v>132188</x:v>
      </x:c>
      <x:c r="D966" s="15" t="n">
        <x:f>C966/SUM($C$5:$C$2477)</x:f>
        <x:v>0.00015442514506688523</x:v>
      </x:c>
      <x:c r="E966" s="15" t="n">
        <x:f>SUM($D$5:D966)</x:f>
        <x:v>0.9631491169319932</x:v>
      </x:c>
      <x:c r="F966" s="1" t="str">
        <x:f>IF(C966&lt;=0,"C",IF(E966-D966&lt;'Дашборд'!$C$49,"A",IF(E966-D966&lt;'Дашборд'!$C$50,"B","C")))</x:f>
        <x:v>C</x:v>
      </x:c>
      <x:c r="G966" s="8" t="n">
        <x:f>'Данные'!F966</x:f>
        <x:v>267</x:v>
      </x:c>
      <x:c r="H966" s="8" t="n">
        <x:f>SUM('Данные'!H966:I966)</x:f>
        <x:v>122</x:v>
      </x:c>
      <x:c r="I966" s="16" t="n">
        <x:f>IF(H966&gt;0,G966/H966,"n.a.")</x:f>
        <x:v>2.1885245901639343</x:v>
      </x:c>
      <x:c r="J966" s="10" t="n">
        <x:f>IF('Данные'!E966&gt;0,G966/'Данные'!E966,"n.a.")</x:f>
        <x:v>0.01874605069156779</x:v>
      </x:c>
      <x:c r="K966" s="1" t="str">
        <x:f>IF(G966&gt;='Дашборд'!$C$51,"X","Z")</x:f>
        <x:v>Z</x:v>
      </x:c>
      <x:c r="L966" s="1" t="str">
        <x:f>IF(H966=0,IF(G966&gt;0,"Нет остатка","Нет спроса"),IF(I966&gt;='Дашборд'!$C$52,"Быстрый","Медленный"))</x:f>
        <x:v>Быстрый</x:v>
      </x:c>
      <x:c r="M966" s="1" t="str">
        <x:f>IF('Данные'!E966&lt;'Дашборд'!$C$53,"Мало трафика",IF(J966&lt;'Дашборд'!$C$9*'Дашборд'!$C$54,"Да","Нет"))</x:f>
        <x:v>Нет</x:v>
      </x:c>
      <x:c r="N966" s="1" t="str">
        <x:f>IF(AND('Данные'!D966&gt;='Дашборд'!$C$55,D966&lt;'Дашборд'!$C$56,'Данные'!E966&gt;='Дашборд'!$C$53,'Данные'!L966&lt;&gt;"Да"),"Да","Нет")</x:f>
        <x:v>Нет</x:v>
      </x:c>
      <x:c r="O966" s="1" t="str">
        <x:f>'Данные'!L966</x:f>
        <x:v>Нет</x:v>
      </x:c>
    </x:row>
    <x:row r="967">
      <x:c r="A967" s="1" t="str">
        <x:f>'Данные'!A967</x:f>
        <x:v>222802035</x:v>
      </x:c>
      <x:c r="B967" s="1" t="str">
        <x:f>'Данные'!B967</x:f>
        <x:v>hudipetl/песочный</x:v>
      </x:c>
      <x:c r="C967" s="8" t="n">
        <x:f>'Данные'!G967</x:f>
        <x:v>132020</x:v>
      </x:c>
      <x:c r="D967" s="15" t="n">
        <x:f>C967/SUM($C$5:$C$2477)</x:f>
        <x:v>0.00015422888349721754</x:v>
      </x:c>
      <x:c r="E967" s="15" t="n">
        <x:f>SUM($D$5:D967)</x:f>
        <x:v>0.9633033458154905</x:v>
      </x:c>
      <x:c r="F967" s="1" t="str">
        <x:f>IF(C967&lt;=0,"C",IF(E967-D967&lt;'Дашборд'!$C$49,"A",IF(E967-D967&lt;'Дашборд'!$C$50,"B","C")))</x:f>
        <x:v>C</x:v>
      </x:c>
      <x:c r="G967" s="8" t="n">
        <x:f>'Данные'!F967</x:f>
        <x:v>180</x:v>
      </x:c>
      <x:c r="H967" s="8" t="n">
        <x:f>SUM('Данные'!H967:I967)</x:f>
        <x:v>107</x:v>
      </x:c>
      <x:c r="I967" s="16" t="n">
        <x:f>IF(H967&gt;0,G967/H967,"n.a.")</x:f>
        <x:v>1.6822429906542056</x:v>
      </x:c>
      <x:c r="J967" s="10" t="n">
        <x:f>IF('Данные'!E967&gt;0,G967/'Данные'!E967,"n.a.")</x:f>
        <x:v>0.010480349344978166</x:v>
      </x:c>
      <x:c r="K967" s="1" t="str">
        <x:f>IF(G967&gt;='Дашборд'!$C$51,"X","Z")</x:f>
        <x:v>Z</x:v>
      </x:c>
      <x:c r="L967" s="1" t="str">
        <x:f>IF(H967=0,IF(G967&gt;0,"Нет остатка","Нет спроса"),IF(I967&gt;='Дашборд'!$C$52,"Быстрый","Медленный"))</x:f>
        <x:v>Быстрый</x:v>
      </x:c>
      <x:c r="M967" s="1" t="str">
        <x:f>IF('Данные'!E967&lt;'Дашборд'!$C$53,"Мало трафика",IF(J967&lt;'Дашборд'!$C$9*'Дашборд'!$C$54,"Да","Нет"))</x:f>
        <x:v>Нет</x:v>
      </x:c>
      <x:c r="N967" s="1" t="str">
        <x:f>IF(AND('Данные'!D967&gt;='Дашборд'!$C$55,D967&lt;'Дашборд'!$C$56,'Данные'!E967&gt;='Дашборд'!$C$53,'Данные'!L967&lt;&gt;"Да"),"Да","Нет")</x:f>
        <x:v>Нет</x:v>
      </x:c>
      <x:c r="O967" s="1" t="str">
        <x:f>'Данные'!L967</x:f>
        <x:v>Нет</x:v>
      </x:c>
    </x:row>
    <x:row r="968">
      <x:c r="A968" s="1" t="str">
        <x:f>'Данные'!A968</x:f>
        <x:v>245558078</x:v>
      </x:c>
      <x:c r="B968" s="1" t="str">
        <x:f>'Данные'!B968</x:f>
        <x:v>hudimanprint/MovesMatter-73/молочный</x:v>
      </x:c>
      <x:c r="C968" s="8" t="n">
        <x:f>'Данные'!G968</x:f>
        <x:v>131601</x:v>
      </x:c>
      <x:c r="D968" s="15" t="n">
        <x:f>C968/SUM($C$5:$C$2477)</x:f>
        <x:v>0.0001537393977966772</x:v>
      </x:c>
      <x:c r="E968" s="15" t="n">
        <x:f>SUM($D$5:D968)</x:f>
        <x:v>0.9634570852132872</x:v>
      </x:c>
      <x:c r="F968" s="1" t="str">
        <x:f>IF(C968&lt;=0,"C",IF(E968-D968&lt;'Дашборд'!$C$49,"A",IF(E968-D968&lt;'Дашборд'!$C$50,"B","C")))</x:f>
        <x:v>C</x:v>
      </x:c>
      <x:c r="G968" s="8" t="n">
        <x:f>'Данные'!F968</x:f>
        <x:v>130</x:v>
      </x:c>
      <x:c r="H968" s="8" t="n">
        <x:f>SUM('Данные'!H968:I968)</x:f>
        <x:v>150</x:v>
      </x:c>
      <x:c r="I968" s="16" t="n">
        <x:f>IF(H968&gt;0,G968/H968,"n.a.")</x:f>
        <x:v>0.8666666666666667</x:v>
      </x:c>
      <x:c r="J968" s="10" t="n">
        <x:f>IF('Данные'!E968&gt;0,G968/'Данные'!E968,"n.a.")</x:f>
        <x:v>0.015526095784067837</x:v>
      </x:c>
      <x:c r="K968" s="1" t="str">
        <x:f>IF(G968&gt;='Дашборд'!$C$51,"X","Z")</x:f>
        <x:v>Z</x:v>
      </x:c>
      <x:c r="L968" s="1" t="str">
        <x:f>IF(H968=0,IF(G968&gt;0,"Нет остатка","Нет спроса"),IF(I968&gt;='Дашборд'!$C$52,"Быстрый","Медленный"))</x:f>
        <x:v>Медленный</x:v>
      </x:c>
      <x:c r="M968" s="1" t="str">
        <x:f>IF('Данные'!E968&lt;'Дашборд'!$C$53,"Мало трафика",IF(J968&lt;'Дашборд'!$C$9*'Дашборд'!$C$54,"Да","Нет"))</x:f>
        <x:v>Нет</x:v>
      </x:c>
      <x:c r="N968" s="1" t="str">
        <x:f>IF(AND('Данные'!D968&gt;='Дашборд'!$C$55,D968&lt;'Дашборд'!$C$56,'Данные'!E968&gt;='Дашборд'!$C$53,'Данные'!L968&lt;&gt;"Да"),"Да","Нет")</x:f>
        <x:v>Нет</x:v>
      </x:c>
      <x:c r="O968" s="1" t="str">
        <x:f>'Данные'!L968</x:f>
        <x:v>Нет</x:v>
      </x:c>
    </x:row>
    <x:row r="969">
      <x:c r="A969" s="1" t="str">
        <x:f>'Данные'!A969</x:f>
        <x:v>209640781</x:v>
      </x:c>
      <x:c r="B969" s="1" t="str">
        <x:f>'Данные'!B969</x:f>
        <x:v>futbolkaprint/Notmood-59/молочный</x:v>
      </x:c>
      <x:c r="C969" s="8" t="n">
        <x:f>'Данные'!G969</x:f>
        <x:v>129980</x:v>
      </x:c>
      <x:c r="D969" s="15" t="n">
        <x:f>C969/SUM($C$5:$C$2477)</x:f>
        <x:v>0.0001518457072941095</x:v>
      </x:c>
      <x:c r="E969" s="15" t="n">
        <x:f>SUM($D$5:D969)</x:f>
        <x:v>0.9636089309205813</x:v>
      </x:c>
      <x:c r="F969" s="1" t="str">
        <x:f>IF(C969&lt;=0,"C",IF(E969-D969&lt;'Дашборд'!$C$49,"A",IF(E969-D969&lt;'Дашборд'!$C$50,"B","C")))</x:f>
        <x:v>C</x:v>
      </x:c>
      <x:c r="G969" s="8" t="n">
        <x:f>'Данные'!F969</x:f>
        <x:v>227</x:v>
      </x:c>
      <x:c r="H969" s="8" t="n">
        <x:f>SUM('Данные'!H969:I969)</x:f>
        <x:v>0</x:v>
      </x:c>
      <x:c r="I969" s="16" t="str">
        <x:f>IF(H969&gt;0,G969/H969,"n.a.")</x:f>
        <x:v>n.a.</x:v>
      </x:c>
      <x:c r="J969" s="10" t="n">
        <x:f>IF('Данные'!E969&gt;0,G969/'Данные'!E969,"n.a.")</x:f>
        <x:v>0.00812775251530667</x:v>
      </x:c>
      <x:c r="K969" s="1" t="str">
        <x:f>IF(G969&gt;='Дашборд'!$C$51,"X","Z")</x:f>
        <x:v>Z</x:v>
      </x:c>
      <x:c r="L969" s="1" t="str">
        <x:f>IF(H969=0,IF(G969&gt;0,"Нет остатка","Нет спроса"),IF(I969&gt;='Дашборд'!$C$52,"Быстрый","Медленный"))</x:f>
        <x:v>Нет остатка</x:v>
      </x:c>
      <x:c r="M969" s="1" t="str">
        <x:f>IF('Данные'!E969&lt;'Дашборд'!$C$53,"Мало трафика",IF(J969&lt;'Дашборд'!$C$9*'Дашборд'!$C$54,"Да","Нет"))</x:f>
        <x:v>Да</x:v>
      </x:c>
      <x:c r="N969" s="1" t="str">
        <x:f>IF(AND('Данные'!D969&gt;='Дашборд'!$C$55,D969&lt;'Дашборд'!$C$56,'Данные'!E969&gt;='Дашборд'!$C$53,'Данные'!L969&lt;&gt;"Да"),"Да","Нет")</x:f>
        <x:v>Нет</x:v>
      </x:c>
      <x:c r="O969" s="1" t="str">
        <x:f>'Данные'!L969</x:f>
        <x:v>Нет</x:v>
      </x:c>
    </x:row>
    <x:row r="970">
      <x:c r="A970" s="1" t="str">
        <x:f>'Данные'!A970</x:f>
        <x:v>202409715</x:v>
      </x:c>
      <x:c r="B970" s="1" t="str">
        <x:f>'Данные'!B970</x:f>
        <x:v>hudiprint/Chic-55/песочный</x:v>
      </x:c>
      <x:c r="C970" s="8" t="n">
        <x:f>'Данные'!G970</x:f>
        <x:v>128711</x:v>
      </x:c>
      <x:c r="D970" s="15" t="n">
        <x:f>C970/SUM($C$5:$C$2477)</x:f>
        <x:v>0.0001503632315089408</x:v>
      </x:c>
      <x:c r="E970" s="15" t="n">
        <x:f>SUM($D$5:D970)</x:f>
        <x:v>0.9637592941520903</x:v>
      </x:c>
      <x:c r="F970" s="1" t="str">
        <x:f>IF(C970&lt;=0,"C",IF(E970-D970&lt;'Дашборд'!$C$49,"A",IF(E970-D970&lt;'Дашборд'!$C$50,"B","C")))</x:f>
        <x:v>C</x:v>
      </x:c>
      <x:c r="G970" s="8" t="n">
        <x:f>'Данные'!F970</x:f>
        <x:v>153</x:v>
      </x:c>
      <x:c r="H970" s="8" t="n">
        <x:f>SUM('Данные'!H970:I970)</x:f>
        <x:v>812</x:v>
      </x:c>
      <x:c r="I970" s="16" t="n">
        <x:f>IF(H970&gt;0,G970/H970,"n.a.")</x:f>
        <x:v>0.18842364532019704</x:v>
      </x:c>
      <x:c r="J970" s="10" t="n">
        <x:f>IF('Данные'!E970&gt;0,G970/'Данные'!E970,"n.a.")</x:f>
        <x:v>0.0060414610069101675</x:v>
      </x:c>
      <x:c r="K970" s="1" t="str">
        <x:f>IF(G970&gt;='Дашборд'!$C$51,"X","Z")</x:f>
        <x:v>Z</x:v>
      </x:c>
      <x:c r="L970" s="1" t="str">
        <x:f>IF(H970=0,IF(G970&gt;0,"Нет остатка","Нет спроса"),IF(I970&gt;='Дашборд'!$C$52,"Быстрый","Медленный"))</x:f>
        <x:v>Медленный</x:v>
      </x:c>
      <x:c r="M970" s="1" t="str">
        <x:f>IF('Данные'!E970&lt;'Дашборд'!$C$53,"Мало трафика",IF(J970&lt;'Дашборд'!$C$9*'Дашборд'!$C$54,"Да","Нет"))</x:f>
        <x:v>Да</x:v>
      </x:c>
      <x:c r="N970" s="1" t="str">
        <x:f>IF(AND('Данные'!D970&gt;='Дашборд'!$C$55,D970&lt;'Дашборд'!$C$56,'Данные'!E970&gt;='Дашборд'!$C$53,'Данные'!L970&lt;&gt;"Да"),"Да","Нет")</x:f>
        <x:v>Да</x:v>
      </x:c>
      <x:c r="O970" s="1" t="str">
        <x:f>'Данные'!L970</x:f>
        <x:v>Нет</x:v>
      </x:c>
    </x:row>
    <x:row r="971">
      <x:c r="A971" s="1" t="str">
        <x:f>'Данные'!A971</x:f>
        <x:v>332680052</x:v>
      </x:c>
      <x:c r="B971" s="1" t="str">
        <x:f>'Данные'!B971</x:f>
        <x:v>vshirt3K-99/серый</x:v>
      </x:c>
      <x:c r="C971" s="8" t="n">
        <x:f>'Данные'!G971</x:f>
        <x:v>128218</x:v>
      </x:c>
      <x:c r="D971" s="15" t="n">
        <x:f>C971/SUM($C$5:$C$2477)</x:f>
        <x:v>0.00014978729725985637</x:v>
      </x:c>
      <x:c r="E971" s="15" t="n">
        <x:f>SUM($D$5:D971)</x:f>
        <x:v>0.9639090814493502</x:v>
      </x:c>
      <x:c r="F971" s="1" t="str">
        <x:f>IF(C971&lt;=0,"C",IF(E971-D971&lt;'Дашборд'!$C$49,"A",IF(E971-D971&lt;'Дашборд'!$C$50,"B","C")))</x:f>
        <x:v>C</x:v>
      </x:c>
      <x:c r="G971" s="8" t="n">
        <x:f>'Данные'!F971</x:f>
        <x:v>460</x:v>
      </x:c>
      <x:c r="H971" s="8" t="n">
        <x:f>SUM('Данные'!H971:I971)</x:f>
        <x:v>172</x:v>
      </x:c>
      <x:c r="I971" s="16" t="n">
        <x:f>IF(H971&gt;0,G971/H971,"n.a.")</x:f>
        <x:v>2.6744186046511627</x:v>
      </x:c>
      <x:c r="J971" s="10" t="n">
        <x:f>IF('Данные'!E971&gt;0,G971/'Данные'!E971,"n.a.")</x:f>
        <x:v>0.007917111287046917</x:v>
      </x:c>
      <x:c r="K971" s="1" t="str">
        <x:f>IF(G971&gt;='Дашборд'!$C$51,"X","Z")</x:f>
        <x:v>X</x:v>
      </x:c>
      <x:c r="L971" s="1" t="str">
        <x:f>IF(H971=0,IF(G971&gt;0,"Нет остатка","Нет спроса"),IF(I971&gt;='Дашборд'!$C$52,"Быстрый","Медленный"))</x:f>
        <x:v>Быстрый</x:v>
      </x:c>
      <x:c r="M971" s="1" t="str">
        <x:f>IF('Данные'!E971&lt;'Дашборд'!$C$53,"Мало трафика",IF(J971&lt;'Дашборд'!$C$9*'Дашборд'!$C$54,"Да","Нет"))</x:f>
        <x:v>Да</x:v>
      </x:c>
      <x:c r="N971" s="1" t="str">
        <x:f>IF(AND('Данные'!D971&gt;='Дашборд'!$C$55,D971&lt;'Дашборд'!$C$56,'Данные'!E971&gt;='Дашборд'!$C$53,'Данные'!L971&lt;&gt;"Да"),"Да","Нет")</x:f>
        <x:v>Нет</x:v>
      </x:c>
      <x:c r="O971" s="1" t="str">
        <x:f>'Данные'!L971</x:f>
        <x:v>Нет</x:v>
      </x:c>
    </x:row>
    <x:row r="972">
      <x:c r="A972" s="1" t="str">
        <x:f>'Данные'!A972</x:f>
        <x:v>209915066</x:v>
      </x:c>
      <x:c r="B972" s="1" t="str">
        <x:f>'Данные'!B972</x:f>
        <x:v>longsvobod/какао</x:v>
      </x:c>
      <x:c r="C972" s="8" t="n">
        <x:f>'Данные'!G972</x:f>
        <x:v>128194</x:v>
      </x:c>
      <x:c r="D972" s="15" t="n">
        <x:f>C972/SUM($C$5:$C$2477)</x:f>
        <x:v>0.00014975925989276097</x:v>
      </x:c>
      <x:c r="E972" s="15" t="n">
        <x:f>SUM($D$5:D972)</x:f>
        <x:v>0.964058840709243</x:v>
      </x:c>
      <x:c r="F972" s="1" t="str">
        <x:f>IF(C972&lt;=0,"C",IF(E972-D972&lt;'Дашборд'!$C$49,"A",IF(E972-D972&lt;'Дашборд'!$C$50,"B","C")))</x:f>
        <x:v>C</x:v>
      </x:c>
      <x:c r="G972" s="8" t="n">
        <x:f>'Данные'!F972</x:f>
        <x:v>257</x:v>
      </x:c>
      <x:c r="H972" s="8" t="n">
        <x:f>SUM('Данные'!H972:I972)</x:f>
        <x:v>7</x:v>
      </x:c>
      <x:c r="I972" s="16" t="n">
        <x:f>IF(H972&gt;0,G972/H972,"n.a.")</x:f>
        <x:v>36.714285714285715</x:v>
      </x:c>
      <x:c r="J972" s="10" t="n">
        <x:f>IF('Данные'!E972&gt;0,G972/'Данные'!E972,"n.a.")</x:f>
        <x:v>0.009101855786938659</x:v>
      </x:c>
      <x:c r="K972" s="1" t="str">
        <x:f>IF(G972&gt;='Дашборд'!$C$51,"X","Z")</x:f>
        <x:v>Z</x:v>
      </x:c>
      <x:c r="L972" s="1" t="str">
        <x:f>IF(H972=0,IF(G972&gt;0,"Нет остатка","Нет спроса"),IF(I972&gt;='Дашборд'!$C$52,"Быстрый","Медленный"))</x:f>
        <x:v>Быстрый</x:v>
      </x:c>
      <x:c r="M972" s="1" t="str">
        <x:f>IF('Данные'!E972&lt;'Дашборд'!$C$53,"Мало трафика",IF(J972&lt;'Дашборд'!$C$9*'Дашборд'!$C$54,"Да","Нет"))</x:f>
        <x:v>Да</x:v>
      </x:c>
      <x:c r="N972" s="1" t="str">
        <x:f>IF(AND('Данные'!D972&gt;='Дашборд'!$C$55,D972&lt;'Дашборд'!$C$56,'Данные'!E972&gt;='Дашборд'!$C$53,'Данные'!L972&lt;&gt;"Да"),"Да","Нет")</x:f>
        <x:v>Нет</x:v>
      </x:c>
      <x:c r="O972" s="1" t="str">
        <x:f>'Данные'!L972</x:f>
        <x:v>Нет</x:v>
      </x:c>
    </x:row>
    <x:row r="973">
      <x:c r="A973" s="1" t="str">
        <x:f>'Данные'!A973</x:f>
        <x:v>221201511</x:v>
      </x:c>
      <x:c r="B973" s="1" t="str">
        <x:f>'Данные'!B973</x:f>
        <x:v>kulirkamanprint/Explorer-125/белый</x:v>
      </x:c>
      <x:c r="C973" s="8" t="n">
        <x:f>'Данные'!G973</x:f>
        <x:v>127873</x:v>
      </x:c>
      <x:c r="D973" s="15" t="n">
        <x:f>C973/SUM($C$5:$C$2477)</x:f>
        <x:v>0.00014938426010786016</x:v>
      </x:c>
      <x:c r="E973" s="15" t="n">
        <x:f>SUM($D$5:D973)</x:f>
        <x:v>0.9642082249693509</x:v>
      </x:c>
      <x:c r="F973" s="1" t="str">
        <x:f>IF(C973&lt;=0,"C",IF(E973-D973&lt;'Дашборд'!$C$49,"A",IF(E973-D973&lt;'Дашборд'!$C$50,"B","C")))</x:f>
        <x:v>C</x:v>
      </x:c>
      <x:c r="G973" s="8" t="n">
        <x:f>'Данные'!F973</x:f>
        <x:v>217</x:v>
      </x:c>
      <x:c r="H973" s="8" t="n">
        <x:f>SUM('Данные'!H973:I973)</x:f>
        <x:v>2</x:v>
      </x:c>
      <x:c r="I973" s="16" t="n">
        <x:f>IF(H973&gt;0,G973/H973,"n.a.")</x:f>
        <x:v>108.5</x:v>
      </x:c>
      <x:c r="J973" s="10" t="n">
        <x:f>IF('Данные'!E973&gt;0,G973/'Данные'!E973,"n.a.")</x:f>
        <x:v>0.013108614232209739</x:v>
      </x:c>
      <x:c r="K973" s="1" t="str">
        <x:f>IF(G973&gt;='Дашборд'!$C$51,"X","Z")</x:f>
        <x:v>Z</x:v>
      </x:c>
      <x:c r="L973" s="1" t="str">
        <x:f>IF(H973=0,IF(G973&gt;0,"Нет остатка","Нет спроса"),IF(I973&gt;='Дашборд'!$C$52,"Быстрый","Медленный"))</x:f>
        <x:v>Быстрый</x:v>
      </x:c>
      <x:c r="M973" s="1" t="str">
        <x:f>IF('Данные'!E973&lt;'Дашборд'!$C$53,"Мало трафика",IF(J973&lt;'Дашборд'!$C$9*'Дашборд'!$C$54,"Да","Нет"))</x:f>
        <x:v>Нет</x:v>
      </x:c>
      <x:c r="N973" s="1" t="str">
        <x:f>IF(AND('Данные'!D973&gt;='Дашборд'!$C$55,D973&lt;'Дашборд'!$C$56,'Данные'!E973&gt;='Дашборд'!$C$53,'Данные'!L973&lt;&gt;"Да"),"Да","Нет")</x:f>
        <x:v>Нет</x:v>
      </x:c>
      <x:c r="O973" s="1" t="str">
        <x:f>'Данные'!L973</x:f>
        <x:v>Нет</x:v>
      </x:c>
    </x:row>
    <x:row r="974">
      <x:c r="A974" s="1" t="str">
        <x:f>'Данные'!A974</x:f>
        <x:v>251781135</x:v>
      </x:c>
      <x:c r="B974" s="1" t="str">
        <x:f>'Данные'!B974</x:f>
        <x:v>hudimanprint/Error-186/темно-серый</x:v>
      </x:c>
      <x:c r="C974" s="8" t="n">
        <x:f>'Данные'!G974</x:f>
        <x:v>127856</x:v>
      </x:c>
      <x:c r="D974" s="15" t="n">
        <x:f>C974/SUM($C$5:$C$2477)</x:f>
        <x:v>0.00014936440030616758</x:v>
      </x:c>
      <x:c r="E974" s="15" t="n">
        <x:f>SUM($D$5:D974)</x:f>
        <x:v>0.9643575893696571</x:v>
      </x:c>
      <x:c r="F974" s="1" t="str">
        <x:f>IF(C974&lt;=0,"C",IF(E974-D974&lt;'Дашборд'!$C$49,"A",IF(E974-D974&lt;'Дашборд'!$C$50,"B","C")))</x:f>
        <x:v>C</x:v>
      </x:c>
      <x:c r="G974" s="8" t="n">
        <x:f>'Данные'!F974</x:f>
        <x:v>127</x:v>
      </x:c>
      <x:c r="H974" s="8" t="n">
        <x:f>SUM('Данные'!H974:I974)</x:f>
        <x:v>67</x:v>
      </x:c>
      <x:c r="I974" s="16" t="n">
        <x:f>IF(H974&gt;0,G974/H974,"n.a.")</x:f>
        <x:v>1.8955223880597014</x:v>
      </x:c>
      <x:c r="J974" s="10" t="n">
        <x:f>IF('Данные'!E974&gt;0,G974/'Данные'!E974,"n.a.")</x:f>
        <x:v>0.013991406852484302</x:v>
      </x:c>
      <x:c r="K974" s="1" t="str">
        <x:f>IF(G974&gt;='Дашборд'!$C$51,"X","Z")</x:f>
        <x:v>Z</x:v>
      </x:c>
      <x:c r="L974" s="1" t="str">
        <x:f>IF(H974=0,IF(G974&gt;0,"Нет остатка","Нет спроса"),IF(I974&gt;='Дашборд'!$C$52,"Быстрый","Медленный"))</x:f>
        <x:v>Быстрый</x:v>
      </x:c>
      <x:c r="M974" s="1" t="str">
        <x:f>IF('Данные'!E974&lt;'Дашборд'!$C$53,"Мало трафика",IF(J974&lt;'Дашборд'!$C$9*'Дашборд'!$C$54,"Да","Нет"))</x:f>
        <x:v>Нет</x:v>
      </x:c>
      <x:c r="N974" s="1" t="str">
        <x:f>IF(AND('Данные'!D974&gt;='Дашборд'!$C$55,D974&lt;'Дашборд'!$C$56,'Данные'!E974&gt;='Дашборд'!$C$53,'Данные'!L974&lt;&gt;"Да"),"Да","Нет")</x:f>
        <x:v>Нет</x:v>
      </x:c>
      <x:c r="O974" s="1" t="str">
        <x:f>'Данные'!L974</x:f>
        <x:v>Нет</x:v>
      </x:c>
    </x:row>
    <x:row r="975">
      <x:c r="A975" s="1" t="str">
        <x:f>'Данные'!A975</x:f>
        <x:v>242485152</x:v>
      </x:c>
      <x:c r="B975" s="1" t="str">
        <x:f>'Данные'!B975</x:f>
        <x:v>bomber/черный</x:v>
      </x:c>
      <x:c r="C975" s="8" t="n">
        <x:f>'Данные'!G975</x:f>
        <x:v>127586</x:v>
      </x:c>
      <x:c r="D975" s="15" t="n">
        <x:f>C975/SUM($C$5:$C$2477)</x:f>
        <x:v>0.00014904897992634446</x:v>
      </x:c>
      <x:c r="E975" s="15" t="n">
        <x:f>SUM($D$5:D975)</x:f>
        <x:v>0.9645066383495834</x:v>
      </x:c>
      <x:c r="F975" s="1" t="str">
        <x:f>IF(C975&lt;=0,"C",IF(E975-D975&lt;'Дашборд'!$C$49,"A",IF(E975-D975&lt;'Дашборд'!$C$50,"B","C")))</x:f>
        <x:v>C</x:v>
      </x:c>
      <x:c r="G975" s="8" t="n">
        <x:f>'Данные'!F975</x:f>
        <x:v>91</x:v>
      </x:c>
      <x:c r="H975" s="8" t="n">
        <x:f>SUM('Данные'!H975:I975)</x:f>
        <x:v>165</x:v>
      </x:c>
      <x:c r="I975" s="16" t="n">
        <x:f>IF(H975&gt;0,G975/H975,"n.a.")</x:f>
        <x:v>0.5515151515151515</x:v>
      </x:c>
      <x:c r="J975" s="10" t="n">
        <x:f>IF('Данные'!E975&gt;0,G975/'Данные'!E975,"n.a.")</x:f>
        <x:v>0.0035495572804930373</x:v>
      </x:c>
      <x:c r="K975" s="1" t="str">
        <x:f>IF(G975&gt;='Дашборд'!$C$51,"X","Z")</x:f>
        <x:v>Z</x:v>
      </x:c>
      <x:c r="L975" s="1" t="str">
        <x:f>IF(H975=0,IF(G975&gt;0,"Нет остатка","Нет спроса"),IF(I975&gt;='Дашборд'!$C$52,"Быстрый","Медленный"))</x:f>
        <x:v>Медленный</x:v>
      </x:c>
      <x:c r="M975" s="1" t="str">
        <x:f>IF('Данные'!E975&lt;'Дашборд'!$C$53,"Мало трафика",IF(J975&lt;'Дашборд'!$C$9*'Дашборд'!$C$54,"Да","Нет"))</x:f>
        <x:v>Да</x:v>
      </x:c>
      <x:c r="N975" s="1" t="str">
        <x:f>IF(AND('Данные'!D975&gt;='Дашборд'!$C$55,D975&lt;'Дашборд'!$C$56,'Данные'!E975&gt;='Дашборд'!$C$53,'Данные'!L975&lt;&gt;"Да"),"Да","Нет")</x:f>
        <x:v>Нет</x:v>
      </x:c>
      <x:c r="O975" s="1" t="str">
        <x:f>'Данные'!L975</x:f>
        <x:v>Нет</x:v>
      </x:c>
    </x:row>
    <x:row r="976">
      <x:c r="A976" s="1" t="str">
        <x:f>'Данные'!A976</x:f>
        <x:v>322329520</x:v>
      </x:c>
      <x:c r="B976" s="1" t="str">
        <x:f>'Данные'!B976</x:f>
        <x:v>hudipetl/коричневый</x:v>
      </x:c>
      <x:c r="C976" s="8" t="n">
        <x:f>'Данные'!G976</x:f>
        <x:v>127410</x:v>
      </x:c>
      <x:c r="D976" s="15" t="n">
        <x:f>C976/SUM($C$5:$C$2477)</x:f>
        <x:v>0.00014884337256764493</x:v>
      </x:c>
      <x:c r="E976" s="15" t="n">
        <x:f>SUM($D$5:D976)</x:f>
        <x:v>0.964655481722151</x:v>
      </x:c>
      <x:c r="F976" s="1" t="str">
        <x:f>IF(C976&lt;=0,"C",IF(E976-D976&lt;'Дашборд'!$C$49,"A",IF(E976-D976&lt;'Дашборд'!$C$50,"B","C")))</x:f>
        <x:v>C</x:v>
      </x:c>
      <x:c r="G976" s="8" t="n">
        <x:f>'Данные'!F976</x:f>
        <x:v>137</x:v>
      </x:c>
      <x:c r="H976" s="8" t="n">
        <x:f>SUM('Данные'!H976:I976)</x:f>
        <x:v>0</x:v>
      </x:c>
      <x:c r="I976" s="16" t="str">
        <x:f>IF(H976&gt;0,G976/H976,"n.a.")</x:f>
        <x:v>n.a.</x:v>
      </x:c>
      <x:c r="J976" s="10" t="n">
        <x:f>IF('Данные'!E976&gt;0,G976/'Данные'!E976,"n.a.")</x:f>
        <x:v>0.011672488710914202</x:v>
      </x:c>
      <x:c r="K976" s="1" t="str">
        <x:f>IF(G976&gt;='Дашборд'!$C$51,"X","Z")</x:f>
        <x:v>Z</x:v>
      </x:c>
      <x:c r="L976" s="1" t="str">
        <x:f>IF(H976=0,IF(G976&gt;0,"Нет остатка","Нет спроса"),IF(I976&gt;='Дашборд'!$C$52,"Быстрый","Медленный"))</x:f>
        <x:v>Нет остатка</x:v>
      </x:c>
      <x:c r="M976" s="1" t="str">
        <x:f>IF('Данные'!E976&lt;'Дашборд'!$C$53,"Мало трафика",IF(J976&lt;'Дашборд'!$C$9*'Дашборд'!$C$54,"Да","Нет"))</x:f>
        <x:v>Нет</x:v>
      </x:c>
      <x:c r="N976" s="1" t="str">
        <x:f>IF(AND('Данные'!D976&gt;='Дашборд'!$C$55,D976&lt;'Дашборд'!$C$56,'Данные'!E976&gt;='Дашборд'!$C$53,'Данные'!L976&lt;&gt;"Да"),"Да","Нет")</x:f>
        <x:v>Нет</x:v>
      </x:c>
      <x:c r="O976" s="1" t="str">
        <x:f>'Данные'!L976</x:f>
        <x:v>Нет</x:v>
      </x:c>
    </x:row>
    <x:row r="977">
      <x:c r="A977" s="1" t="str">
        <x:f>'Данные'!A977</x:f>
        <x:v>246363090</x:v>
      </x:c>
      <x:c r="B977" s="1" t="str">
        <x:f>'Данные'!B977</x:f>
        <x:v>tolstovkazipcrop/милка</x:v>
      </x:c>
      <x:c r="C977" s="8" t="n">
        <x:f>'Данные'!G977</x:f>
        <x:v>127239</x:v>
      </x:c>
      <x:c r="D977" s="15" t="n">
        <x:f>C977/SUM($C$5:$C$2477)</x:f>
        <x:v>0.0001486436063270903</x:v>
      </x:c>
      <x:c r="E977" s="15" t="n">
        <x:f>SUM($D$5:D977)</x:f>
        <x:v>0.964804125328478</x:v>
      </x:c>
      <x:c r="F977" s="1" t="str">
        <x:f>IF(C977&lt;=0,"C",IF(E977-D977&lt;'Дашборд'!$C$49,"A",IF(E977-D977&lt;'Дашборд'!$C$50,"B","C")))</x:f>
        <x:v>C</x:v>
      </x:c>
      <x:c r="G977" s="8" t="n">
        <x:f>'Данные'!F977</x:f>
        <x:v>140</x:v>
      </x:c>
      <x:c r="H977" s="8" t="n">
        <x:f>SUM('Данные'!H977:I977)</x:f>
        <x:v>315</x:v>
      </x:c>
      <x:c r="I977" s="16" t="n">
        <x:f>IF(H977&gt;0,G977/H977,"n.a.")</x:f>
        <x:v>0.4444444444444444</x:v>
      </x:c>
      <x:c r="J977" s="10" t="n">
        <x:f>IF('Данные'!E977&gt;0,G977/'Данные'!E977,"n.a.")</x:f>
        <x:v>0.007174704043458207</x:v>
      </x:c>
      <x:c r="K977" s="1" t="str">
        <x:f>IF(G977&gt;='Дашборд'!$C$51,"X","Z")</x:f>
        <x:v>Z</x:v>
      </x:c>
      <x:c r="L977" s="1" t="str">
        <x:f>IF(H977=0,IF(G977&gt;0,"Нет остатка","Нет спроса"),IF(I977&gt;='Дашборд'!$C$52,"Быстрый","Медленный"))</x:f>
        <x:v>Медленный</x:v>
      </x:c>
      <x:c r="M977" s="1" t="str">
        <x:f>IF('Данные'!E977&lt;'Дашборд'!$C$53,"Мало трафика",IF(J977&lt;'Дашборд'!$C$9*'Дашборд'!$C$54,"Да","Нет"))</x:f>
        <x:v>Да</x:v>
      </x:c>
      <x:c r="N977" s="1" t="str">
        <x:f>IF(AND('Данные'!D977&gt;='Дашборд'!$C$55,D977&lt;'Дашборд'!$C$56,'Данные'!E977&gt;='Дашборд'!$C$53,'Данные'!L977&lt;&gt;"Да"),"Да","Нет")</x:f>
        <x:v>Да</x:v>
      </x:c>
      <x:c r="O977" s="1" t="str">
        <x:f>'Данные'!L977</x:f>
        <x:v>Нет</x:v>
      </x:c>
    </x:row>
    <x:row r="978">
      <x:c r="A978" s="1" t="str">
        <x:f>'Данные'!A978</x:f>
        <x:v>266718697</x:v>
      </x:c>
      <x:c r="B978" s="1" t="str">
        <x:f>'Данные'!B978</x:f>
        <x:v>hudimanprint/KEEP-MOVING-222/черный</x:v>
      </x:c>
      <x:c r="C978" s="8" t="n">
        <x:f>'Данные'!G978</x:f>
        <x:v>127230</x:v>
      </x:c>
      <x:c r="D978" s="15" t="n">
        <x:f>C978/SUM($C$5:$C$2477)</x:f>
        <x:v>0.00014863309231442952</x:v>
      </x:c>
      <x:c r="E978" s="15" t="n">
        <x:f>SUM($D$5:D978)</x:f>
        <x:v>0.9649527584207924</x:v>
      </x:c>
      <x:c r="F978" s="1" t="str">
        <x:f>IF(C978&lt;=0,"C",IF(E978-D978&lt;'Дашборд'!$C$49,"A",IF(E978-D978&lt;'Дашборд'!$C$50,"B","C")))</x:f>
        <x:v>C</x:v>
      </x:c>
      <x:c r="G978" s="8" t="n">
        <x:f>'Данные'!F978</x:f>
        <x:v>129</x:v>
      </x:c>
      <x:c r="H978" s="8" t="n">
        <x:f>SUM('Данные'!H978:I978)</x:f>
        <x:v>130</x:v>
      </x:c>
      <x:c r="I978" s="16" t="n">
        <x:f>IF(H978&gt;0,G978/H978,"n.a.")</x:f>
        <x:v>0.9923076923076923</x:v>
      </x:c>
      <x:c r="J978" s="10" t="n">
        <x:f>IF('Данные'!E978&gt;0,G978/'Данные'!E978,"n.a.")</x:f>
        <x:v>0.01322805578342904</x:v>
      </x:c>
      <x:c r="K978" s="1" t="str">
        <x:f>IF(G978&gt;='Дашборд'!$C$51,"X","Z")</x:f>
        <x:v>Z</x:v>
      </x:c>
      <x:c r="L978" s="1" t="str">
        <x:f>IF(H978=0,IF(G978&gt;0,"Нет остатка","Нет спроса"),IF(I978&gt;='Дашборд'!$C$52,"Быстрый","Медленный"))</x:f>
        <x:v>Медленный</x:v>
      </x:c>
      <x:c r="M978" s="1" t="str">
        <x:f>IF('Данные'!E978&lt;'Дашборд'!$C$53,"Мало трафика",IF(J978&lt;'Дашборд'!$C$9*'Дашборд'!$C$54,"Да","Нет"))</x:f>
        <x:v>Нет</x:v>
      </x:c>
      <x:c r="N978" s="1" t="str">
        <x:f>IF(AND('Данные'!D978&gt;='Дашборд'!$C$55,D978&lt;'Дашборд'!$C$56,'Данные'!E978&gt;='Дашборд'!$C$53,'Данные'!L978&lt;&gt;"Да"),"Да","Нет")</x:f>
        <x:v>Нет</x:v>
      </x:c>
      <x:c r="O978" s="1" t="str">
        <x:f>'Данные'!L978</x:f>
        <x:v>Нет</x:v>
      </x:c>
    </x:row>
    <x:row r="979">
      <x:c r="A979" s="1" t="str">
        <x:f>'Данные'!A979</x:f>
        <x:v>280030829</x:v>
      </x:c>
      <x:c r="B979" s="1" t="str">
        <x:f>'Данные'!B979</x:f>
        <x:v>svitshotzipman2/дымка</x:v>
      </x:c>
      <x:c r="C979" s="8" t="n">
        <x:f>'Данные'!G979</x:f>
        <x:v>127149</x:v>
      </x:c>
      <x:c r="D979" s="15" t="n">
        <x:f>C979/SUM($C$5:$C$2477)</x:f>
        <x:v>0.00014853846620048258</x:v>
      </x:c>
      <x:c r="E979" s="15" t="n">
        <x:f>SUM($D$5:D979)</x:f>
        <x:v>0.9651012968869929</x:v>
      </x:c>
      <x:c r="F979" s="1" t="str">
        <x:f>IF(C979&lt;=0,"C",IF(E979-D979&lt;'Дашборд'!$C$49,"A",IF(E979-D979&lt;'Дашборд'!$C$50,"B","C")))</x:f>
        <x:v>C</x:v>
      </x:c>
      <x:c r="G979" s="8" t="n">
        <x:f>'Данные'!F979</x:f>
        <x:v>119</x:v>
      </x:c>
      <x:c r="H979" s="8" t="n">
        <x:f>SUM('Данные'!H979:I979)</x:f>
        <x:v>1</x:v>
      </x:c>
      <x:c r="I979" s="16" t="n">
        <x:f>IF(H979&gt;0,G979/H979,"n.a.")</x:f>
        <x:v>119</x:v>
      </x:c>
      <x:c r="J979" s="10" t="n">
        <x:f>IF('Данные'!E979&gt;0,G979/'Данные'!E979,"n.a.")</x:f>
        <x:v>0.006690655571798043</x:v>
      </x:c>
      <x:c r="K979" s="1" t="str">
        <x:f>IF(G979&gt;='Дашборд'!$C$51,"X","Z")</x:f>
        <x:v>Z</x:v>
      </x:c>
      <x:c r="L979" s="1" t="str">
        <x:f>IF(H979=0,IF(G979&gt;0,"Нет остатка","Нет спроса"),IF(I979&gt;='Дашборд'!$C$52,"Быстрый","Медленный"))</x:f>
        <x:v>Быстрый</x:v>
      </x:c>
      <x:c r="M979" s="1" t="str">
        <x:f>IF('Данные'!E979&lt;'Дашборд'!$C$53,"Мало трафика",IF(J979&lt;'Дашборд'!$C$9*'Дашборд'!$C$54,"Да","Нет"))</x:f>
        <x:v>Да</x:v>
      </x:c>
      <x:c r="N979" s="1" t="str">
        <x:f>IF(AND('Данные'!D979&gt;='Дашборд'!$C$55,D979&lt;'Дашборд'!$C$56,'Данные'!E979&gt;='Дашборд'!$C$53,'Данные'!L979&lt;&gt;"Да"),"Да","Нет")</x:f>
        <x:v>Да</x:v>
      </x:c>
      <x:c r="O979" s="1" t="str">
        <x:f>'Данные'!L979</x:f>
        <x:v>Нет</x:v>
      </x:c>
    </x:row>
    <x:row r="980">
      <x:c r="A980" s="1" t="str">
        <x:f>'Данные'!A980</x:f>
        <x:v>168141904</x:v>
      </x:c>
      <x:c r="B980" s="1" t="str">
        <x:f>'Данные'!B980</x:f>
        <x:v>bruki/морскаяволна</x:v>
      </x:c>
      <x:c r="C980" s="8" t="n">
        <x:f>'Данные'!G980</x:f>
        <x:v>127067</x:v>
      </x:c>
      <x:c r="D980" s="15" t="n">
        <x:f>C980/SUM($C$5:$C$2477)</x:f>
        <x:v>0.00014844267186290669</x:v>
      </x:c>
      <x:c r="E980" s="15" t="n">
        <x:f>SUM($D$5:D980)</x:f>
        <x:v>0.9652497395588557</x:v>
      </x:c>
      <x:c r="F980" s="1" t="str">
        <x:f>IF(C980&lt;=0,"C",IF(E980-D980&lt;'Дашборд'!$C$49,"A",IF(E980-D980&lt;'Дашборд'!$C$50,"B","C")))</x:f>
        <x:v>C</x:v>
      </x:c>
      <x:c r="G980" s="8" t="n">
        <x:f>'Данные'!F980</x:f>
        <x:v>173</x:v>
      </x:c>
      <x:c r="H980" s="8" t="n">
        <x:f>SUM('Данные'!H980:I980)</x:f>
        <x:v>828</x:v>
      </x:c>
      <x:c r="I980" s="16" t="n">
        <x:f>IF(H980&gt;0,G980/H980,"n.a.")</x:f>
        <x:v>0.20893719806763286</x:v>
      </x:c>
      <x:c r="J980" s="10" t="n">
        <x:f>IF('Данные'!E980&gt;0,G980/'Данные'!E980,"n.a.")</x:f>
        <x:v>0.020053320969050655</x:v>
      </x:c>
      <x:c r="K980" s="1" t="str">
        <x:f>IF(G980&gt;='Дашборд'!$C$51,"X","Z")</x:f>
        <x:v>Z</x:v>
      </x:c>
      <x:c r="L980" s="1" t="str">
        <x:f>IF(H980=0,IF(G980&gt;0,"Нет остатка","Нет спроса"),IF(I980&gt;='Дашборд'!$C$52,"Быстрый","Медленный"))</x:f>
        <x:v>Медленный</x:v>
      </x:c>
      <x:c r="M980" s="1" t="str">
        <x:f>IF('Данные'!E980&lt;'Дашборд'!$C$53,"Мало трафика",IF(J980&lt;'Дашборд'!$C$9*'Дашборд'!$C$54,"Да","Нет"))</x:f>
        <x:v>Нет</x:v>
      </x:c>
      <x:c r="N980" s="1" t="str">
        <x:f>IF(AND('Данные'!D980&gt;='Дашборд'!$C$55,D980&lt;'Дашборд'!$C$56,'Данные'!E980&gt;='Дашборд'!$C$53,'Данные'!L980&lt;&gt;"Да"),"Да","Нет")</x:f>
        <x:v>Да</x:v>
      </x:c>
      <x:c r="O980" s="1" t="str">
        <x:f>'Данные'!L980</x:f>
        <x:v>Нет</x:v>
      </x:c>
    </x:row>
    <x:row r="981">
      <x:c r="A981" s="1" t="str">
        <x:f>'Данные'!A981</x:f>
        <x:v>283026228</x:v>
      </x:c>
      <x:c r="B981" s="1" t="str">
        <x:f>'Данные'!B981</x:f>
        <x:v>sweatervyaz/молочный</x:v>
      </x:c>
      <x:c r="C981" s="8" t="n">
        <x:f>'Данные'!G981</x:f>
        <x:v>126956</x:v>
      </x:c>
      <x:c r="D981" s="15" t="n">
        <x:f>C981/SUM($C$5:$C$2477)</x:f>
        <x:v>0.0001483129990400905</x:v>
      </x:c>
      <x:c r="E981" s="15" t="n">
        <x:f>SUM($D$5:D981)</x:f>
        <x:v>0.9653980525578958</x:v>
      </x:c>
      <x:c r="F981" s="1" t="str">
        <x:f>IF(C981&lt;=0,"C",IF(E981-D981&lt;'Дашборд'!$C$49,"A",IF(E981-D981&lt;'Дашборд'!$C$50,"B","C")))</x:f>
        <x:v>C</x:v>
      </x:c>
      <x:c r="G981" s="8" t="n">
        <x:f>'Данные'!F981</x:f>
        <x:v>160</x:v>
      </x:c>
      <x:c r="H981" s="8" t="n">
        <x:f>SUM('Данные'!H981:I981)</x:f>
        <x:v>286</x:v>
      </x:c>
      <x:c r="I981" s="16" t="n">
        <x:f>IF(H981&gt;0,G981/H981,"n.a.")</x:f>
        <x:v>0.5594405594405595</x:v>
      </x:c>
      <x:c r="J981" s="10" t="n">
        <x:f>IF('Данные'!E981&gt;0,G981/'Данные'!E981,"n.a.")</x:f>
        <x:v>0.007346863807512169</x:v>
      </x:c>
      <x:c r="K981" s="1" t="str">
        <x:f>IF(G981&gt;='Дашборд'!$C$51,"X","Z")</x:f>
        <x:v>Z</x:v>
      </x:c>
      <x:c r="L981" s="1" t="str">
        <x:f>IF(H981=0,IF(G981&gt;0,"Нет остатка","Нет спроса"),IF(I981&gt;='Дашборд'!$C$52,"Быстрый","Медленный"))</x:f>
        <x:v>Медленный</x:v>
      </x:c>
      <x:c r="M981" s="1" t="str">
        <x:f>IF('Данные'!E981&lt;'Дашборд'!$C$53,"Мало трафика",IF(J981&lt;'Дашборд'!$C$9*'Дашборд'!$C$54,"Да","Нет"))</x:f>
        <x:v>Да</x:v>
      </x:c>
      <x:c r="N981" s="1" t="str">
        <x:f>IF(AND('Данные'!D981&gt;='Дашборд'!$C$55,D981&lt;'Дашборд'!$C$56,'Данные'!E981&gt;='Дашборд'!$C$53,'Данные'!L981&lt;&gt;"Да"),"Да","Нет")</x:f>
        <x:v>Нет</x:v>
      </x:c>
      <x:c r="O981" s="1" t="str">
        <x:f>'Данные'!L981</x:f>
        <x:v>Нет</x:v>
      </x:c>
    </x:row>
    <x:row r="982">
      <x:c r="A982" s="1" t="str">
        <x:f>'Данные'!A982</x:f>
        <x:v>320423131</x:v>
      </x:c>
      <x:c r="B982" s="1" t="str">
        <x:f>'Данные'!B982</x:f>
        <x:v>shtanyfix/темно-синий</x:v>
      </x:c>
      <x:c r="C982" s="8" t="n">
        <x:f>'Данные'!G982</x:f>
        <x:v>125995</x:v>
      </x:c>
      <x:c r="D982" s="15" t="n">
        <x:f>C982/SUM($C$5:$C$2477)</x:f>
        <x:v>0.00014719033613264597</x:v>
      </x:c>
      <x:c r="E982" s="15" t="n">
        <x:f>SUM($D$5:D982)</x:f>
        <x:v>0.9655452428940284</x:v>
      </x:c>
      <x:c r="F982" s="1" t="str">
        <x:f>IF(C982&lt;=0,"C",IF(E982-D982&lt;'Дашборд'!$C$49,"A",IF(E982-D982&lt;'Дашборд'!$C$50,"B","C")))</x:f>
        <x:v>C</x:v>
      </x:c>
      <x:c r="G982" s="8" t="n">
        <x:f>'Данные'!F982</x:f>
        <x:v>249</x:v>
      </x:c>
      <x:c r="H982" s="8" t="n">
        <x:f>SUM('Данные'!H982:I982)</x:f>
        <x:v>21</x:v>
      </x:c>
      <x:c r="I982" s="16" t="n">
        <x:f>IF(H982&gt;0,G982/H982,"n.a.")</x:f>
        <x:v>11.857142857142858</x:v>
      </x:c>
      <x:c r="J982" s="10" t="n">
        <x:f>IF('Данные'!E982&gt;0,G982/'Данные'!E982,"n.a.")</x:f>
        <x:v>0.013208848336958252</x:v>
      </x:c>
      <x:c r="K982" s="1" t="str">
        <x:f>IF(G982&gt;='Дашборд'!$C$51,"X","Z")</x:f>
        <x:v>Z</x:v>
      </x:c>
      <x:c r="L982" s="1" t="str">
        <x:f>IF(H982=0,IF(G982&gt;0,"Нет остатка","Нет спроса"),IF(I982&gt;='Дашборд'!$C$52,"Быстрый","Медленный"))</x:f>
        <x:v>Быстрый</x:v>
      </x:c>
      <x:c r="M982" s="1" t="str">
        <x:f>IF('Данные'!E982&lt;'Дашборд'!$C$53,"Мало трафика",IF(J982&lt;'Дашборд'!$C$9*'Дашборд'!$C$54,"Да","Нет"))</x:f>
        <x:v>Нет</x:v>
      </x:c>
      <x:c r="N982" s="1" t="str">
        <x:f>IF(AND('Данные'!D982&gt;='Дашборд'!$C$55,D982&lt;'Дашборд'!$C$56,'Данные'!E982&gt;='Дашборд'!$C$53,'Данные'!L982&lt;&gt;"Да"),"Да","Нет")</x:f>
        <x:v>Нет</x:v>
      </x:c>
      <x:c r="O982" s="1" t="str">
        <x:f>'Данные'!L982</x:f>
        <x:v>Нет</x:v>
      </x:c>
    </x:row>
    <x:row r="983">
      <x:c r="A983" s="1" t="str">
        <x:f>'Данные'!A983</x:f>
        <x:v>171386752</x:v>
      </x:c>
      <x:c r="B983" s="1" t="str">
        <x:f>'Данные'!B983</x:f>
        <x:v>bruki/белый</x:v>
      </x:c>
      <x:c r="C983" s="8" t="n">
        <x:f>'Данные'!G983</x:f>
        <x:v>125722</x:v>
      </x:c>
      <x:c r="D983" s="15" t="n">
        <x:f>C983/SUM($C$5:$C$2477)</x:f>
        <x:v>0.00014687141108193593</x:v>
      </x:c>
      <x:c r="E983" s="15" t="n">
        <x:f>SUM($D$5:D983)</x:f>
        <x:v>0.9656921143051104</x:v>
      </x:c>
      <x:c r="F983" s="1" t="str">
        <x:f>IF(C983&lt;=0,"C",IF(E983-D983&lt;'Дашборд'!$C$49,"A",IF(E983-D983&lt;'Дашборд'!$C$50,"B","C")))</x:f>
        <x:v>C</x:v>
      </x:c>
      <x:c r="G983" s="8" t="n">
        <x:f>'Данные'!F983</x:f>
        <x:v>325</x:v>
      </x:c>
      <x:c r="H983" s="8" t="n">
        <x:f>SUM('Данные'!H983:I983)</x:f>
        <x:v>148</x:v>
      </x:c>
      <x:c r="I983" s="16" t="n">
        <x:f>IF(H983&gt;0,G983/H983,"n.a.")</x:f>
        <x:v>2.195945945945946</x:v>
      </x:c>
      <x:c r="J983" s="10" t="n">
        <x:f>IF('Данные'!E983&gt;0,G983/'Данные'!E983,"n.a.")</x:f>
        <x:v>0.02060483104038547</x:v>
      </x:c>
      <x:c r="K983" s="1" t="str">
        <x:f>IF(G983&gt;='Дашборд'!$C$51,"X","Z")</x:f>
        <x:v>X</x:v>
      </x:c>
      <x:c r="L983" s="1" t="str">
        <x:f>IF(H983=0,IF(G983&gt;0,"Нет остатка","Нет спроса"),IF(I983&gt;='Дашборд'!$C$52,"Быстрый","Медленный"))</x:f>
        <x:v>Быстрый</x:v>
      </x:c>
      <x:c r="M983" s="1" t="str">
        <x:f>IF('Данные'!E983&lt;'Дашборд'!$C$53,"Мало трафика",IF(J983&lt;'Дашборд'!$C$9*'Дашборд'!$C$54,"Да","Нет"))</x:f>
        <x:v>Нет</x:v>
      </x:c>
      <x:c r="N983" s="1" t="str">
        <x:f>IF(AND('Данные'!D983&gt;='Дашборд'!$C$55,D983&lt;'Дашборд'!$C$56,'Данные'!E983&gt;='Дашборд'!$C$53,'Данные'!L983&lt;&gt;"Да"),"Да","Нет")</x:f>
        <x:v>Да</x:v>
      </x:c>
      <x:c r="O983" s="1" t="str">
        <x:f>'Данные'!L983</x:f>
        <x:v>Нет</x:v>
      </x:c>
    </x:row>
    <x:row r="984">
      <x:c r="A984" s="1" t="str">
        <x:f>'Данные'!A984</x:f>
        <x:v>344398597</x:v>
      </x:c>
      <x:c r="B984" s="1" t="str">
        <x:f>'Данные'!B984</x:f>
        <x:v>malyshkabasic/бордовый</x:v>
      </x:c>
      <x:c r="C984" s="8" t="n">
        <x:f>'Данные'!G984</x:f>
        <x:v>125646</x:v>
      </x:c>
      <x:c r="D984" s="15" t="n">
        <x:f>C984/SUM($C$5:$C$2477)</x:f>
        <x:v>0.00014678262608613387</x:v>
      </x:c>
      <x:c r="E984" s="15" t="n">
        <x:f>SUM($D$5:D984)</x:f>
        <x:v>0.9658388969311965</x:v>
      </x:c>
      <x:c r="F984" s="1" t="str">
        <x:f>IF(C984&lt;=0,"C",IF(E984-D984&lt;'Дашборд'!$C$49,"A",IF(E984-D984&lt;'Дашборд'!$C$50,"B","C")))</x:f>
        <x:v>C</x:v>
      </x:c>
      <x:c r="G984" s="8" t="n">
        <x:f>'Данные'!F984</x:f>
        <x:v>371</x:v>
      </x:c>
      <x:c r="H984" s="8" t="n">
        <x:f>SUM('Данные'!H984:I984)</x:f>
        <x:v>448</x:v>
      </x:c>
      <x:c r="I984" s="16" t="n">
        <x:f>IF(H984&gt;0,G984/H984,"n.a.")</x:f>
        <x:v>0.828125</x:v>
      </x:c>
      <x:c r="J984" s="10" t="n">
        <x:f>IF('Данные'!E984&gt;0,G984/'Данные'!E984,"n.a.")</x:f>
        <x:v>0.007282649235419979</x:v>
      </x:c>
      <x:c r="K984" s="1" t="str">
        <x:f>IF(G984&gt;='Дашборд'!$C$51,"X","Z")</x:f>
        <x:v>X</x:v>
      </x:c>
      <x:c r="L984" s="1" t="str">
        <x:f>IF(H984=0,IF(G984&gt;0,"Нет остатка","Нет спроса"),IF(I984&gt;='Дашборд'!$C$52,"Быстрый","Медленный"))</x:f>
        <x:v>Медленный</x:v>
      </x:c>
      <x:c r="M984" s="1" t="str">
        <x:f>IF('Данные'!E984&lt;'Дашборд'!$C$53,"Мало трафика",IF(J984&lt;'Дашборд'!$C$9*'Дашборд'!$C$54,"Да","Нет"))</x:f>
        <x:v>Да</x:v>
      </x:c>
      <x:c r="N984" s="1" t="str">
        <x:f>IF(AND('Данные'!D984&gt;='Дашборд'!$C$55,D984&lt;'Дашборд'!$C$56,'Данные'!E984&gt;='Дашборд'!$C$53,'Данные'!L984&lt;&gt;"Да"),"Да","Нет")</x:f>
        <x:v>Нет</x:v>
      </x:c>
      <x:c r="O984" s="1" t="str">
        <x:f>'Данные'!L984</x:f>
        <x:v>Нет</x:v>
      </x:c>
    </x:row>
    <x:row r="985">
      <x:c r="A985" s="1" t="str">
        <x:f>'Данные'!A985</x:f>
        <x:v>323193111</x:v>
      </x:c>
      <x:c r="B985" s="1" t="str">
        <x:f>'Данные'!B985</x:f>
        <x:v>polowoman3K-89/белый</x:v>
      </x:c>
      <x:c r="C985" s="8" t="n">
        <x:f>'Данные'!G985</x:f>
        <x:v>125519</x:v>
      </x:c>
      <x:c r="D985" s="15" t="n">
        <x:f>C985/SUM($C$5:$C$2477)</x:f>
        <x:v>0.0001466342616852541</x:v>
      </x:c>
      <x:c r="E985" s="15" t="n">
        <x:f>SUM($D$5:D985)</x:f>
        <x:v>0.9659855311928818</x:v>
      </x:c>
      <x:c r="F985" s="1" t="str">
        <x:f>IF(C985&lt;=0,"C",IF(E985-D985&lt;'Дашборд'!$C$49,"A",IF(E985-D985&lt;'Дашборд'!$C$50,"B","C")))</x:f>
        <x:v>C</x:v>
      </x:c>
      <x:c r="G985" s="8" t="n">
        <x:f>'Данные'!F985</x:f>
        <x:v>247</x:v>
      </x:c>
      <x:c r="H985" s="8" t="n">
        <x:f>SUM('Данные'!H985:I985)</x:f>
        <x:v>192</x:v>
      </x:c>
      <x:c r="I985" s="16" t="n">
        <x:f>IF(H985&gt;0,G985/H985,"n.a.")</x:f>
        <x:v>1.2864583333333333</x:v>
      </x:c>
      <x:c r="J985" s="10" t="n">
        <x:f>IF('Данные'!E985&gt;0,G985/'Данные'!E985,"n.a.")</x:f>
        <x:v>0.010046776489729509</x:v>
      </x:c>
      <x:c r="K985" s="1" t="str">
        <x:f>IF(G985&gt;='Дашборд'!$C$51,"X","Z")</x:f>
        <x:v>Z</x:v>
      </x:c>
      <x:c r="L985" s="1" t="str">
        <x:f>IF(H985=0,IF(G985&gt;0,"Нет остатка","Нет спроса"),IF(I985&gt;='Дашборд'!$C$52,"Быстрый","Медленный"))</x:f>
        <x:v>Быстрый</x:v>
      </x:c>
      <x:c r="M985" s="1" t="str">
        <x:f>IF('Данные'!E985&lt;'Дашборд'!$C$53,"Мало трафика",IF(J985&lt;'Дашборд'!$C$9*'Дашборд'!$C$54,"Да","Нет"))</x:f>
        <x:v>Да</x:v>
      </x:c>
      <x:c r="N985" s="1" t="str">
        <x:f>IF(AND('Данные'!D985&gt;='Дашборд'!$C$55,D985&lt;'Дашборд'!$C$56,'Данные'!E985&gt;='Дашборд'!$C$53,'Данные'!L985&lt;&gt;"Да"),"Да","Нет")</x:f>
        <x:v>Нет</x:v>
      </x:c>
      <x:c r="O985" s="1" t="str">
        <x:f>'Данные'!L985</x:f>
        <x:v>Нет</x:v>
      </x:c>
    </x:row>
    <x:row r="986">
      <x:c r="A986" s="1" t="str">
        <x:f>'Данные'!A986</x:f>
        <x:v>344184281</x:v>
      </x:c>
      <x:c r="B986" s="1" t="str">
        <x:f>'Данные'!B986</x:f>
        <x:v>longslim3К-81/розовый</x:v>
      </x:c>
      <x:c r="C986" s="8" t="n">
        <x:f>'Данные'!G986</x:f>
        <x:v>125200</x:v>
      </x:c>
      <x:c r="D986" s="15" t="n">
        <x:f>C986/SUM($C$5:$C$2477)</x:f>
        <x:v>0.00014626159834761122</x:v>
      </x:c>
      <x:c r="E986" s="15" t="n">
        <x:f>SUM($D$5:D986)</x:f>
        <x:v>0.9661317927912294</x:v>
      </x:c>
      <x:c r="F986" s="1" t="str">
        <x:f>IF(C986&lt;=0,"C",IF(E986-D986&lt;'Дашборд'!$C$49,"A",IF(E986-D986&lt;'Дашборд'!$C$50,"B","C")))</x:f>
        <x:v>C</x:v>
      </x:c>
      <x:c r="G986" s="8" t="n">
        <x:f>'Данные'!F986</x:f>
        <x:v>465</x:v>
      </x:c>
      <x:c r="H986" s="8" t="n">
        <x:f>SUM('Данные'!H986:I986)</x:f>
        <x:v>1</x:v>
      </x:c>
      <x:c r="I986" s="16" t="n">
        <x:f>IF(H986&gt;0,G986/H986,"n.a.")</x:f>
        <x:v>465</x:v>
      </x:c>
      <x:c r="J986" s="10" t="n">
        <x:f>IF('Данные'!E986&gt;0,G986/'Данные'!E986,"n.a.")</x:f>
        <x:v>0.020567030828431157</x:v>
      </x:c>
      <x:c r="K986" s="1" t="str">
        <x:f>IF(G986&gt;='Дашборд'!$C$51,"X","Z")</x:f>
        <x:v>X</x:v>
      </x:c>
      <x:c r="L986" s="1" t="str">
        <x:f>IF(H986=0,IF(G986&gt;0,"Нет остатка","Нет спроса"),IF(I986&gt;='Дашборд'!$C$52,"Быстрый","Медленный"))</x:f>
        <x:v>Быстрый</x:v>
      </x:c>
      <x:c r="M986" s="1" t="str">
        <x:f>IF('Данные'!E986&lt;'Дашборд'!$C$53,"Мало трафика",IF(J986&lt;'Дашборд'!$C$9*'Дашборд'!$C$54,"Да","Нет"))</x:f>
        <x:v>Нет</x:v>
      </x:c>
      <x:c r="N986" s="1" t="str">
        <x:f>IF(AND('Данные'!D986&gt;='Дашборд'!$C$55,D986&lt;'Дашборд'!$C$56,'Данные'!E986&gt;='Дашборд'!$C$53,'Данные'!L986&lt;&gt;"Да"),"Да","Нет")</x:f>
        <x:v>Нет</x:v>
      </x:c>
      <x:c r="O986" s="1" t="str">
        <x:f>'Данные'!L986</x:f>
        <x:v>Нет</x:v>
      </x:c>
    </x:row>
    <x:row r="987">
      <x:c r="A987" s="1" t="str">
        <x:f>'Данные'!A987</x:f>
        <x:v>220090374</x:v>
      </x:c>
      <x:c r="B987" s="1" t="str">
        <x:f>'Данные'!B987</x:f>
        <x:v>tolstovkazipcrop/голубой</x:v>
      </x:c>
      <x:c r="C987" s="8" t="n">
        <x:f>'Данные'!G987</x:f>
        <x:v>124557</x:v>
      </x:c>
      <x:c r="D987" s="15" t="n">
        <x:f>C987/SUM($C$5:$C$2477)</x:f>
        <x:v>0.00014551043055418061</x:v>
      </x:c>
      <x:c r="E987" s="15" t="n">
        <x:f>SUM($D$5:D987)</x:f>
        <x:v>0.9662773032217836</x:v>
      </x:c>
      <x:c r="F987" s="1" t="str">
        <x:f>IF(C987&lt;=0,"C",IF(E987-D987&lt;'Дашборд'!$C$49,"A",IF(E987-D987&lt;'Дашборд'!$C$50,"B","C")))</x:f>
        <x:v>C</x:v>
      </x:c>
      <x:c r="G987" s="8" t="n">
        <x:f>'Данные'!F987</x:f>
        <x:v>101</x:v>
      </x:c>
      <x:c r="H987" s="8" t="n">
        <x:f>SUM('Данные'!H987:I987)</x:f>
        <x:v>167</x:v>
      </x:c>
      <x:c r="I987" s="16" t="n">
        <x:f>IF(H987&gt;0,G987/H987,"n.a.")</x:f>
        <x:v>0.6047904191616766</x:v>
      </x:c>
      <x:c r="J987" s="10" t="n">
        <x:f>IF('Данные'!E987&gt;0,G987/'Данные'!E987,"n.a.")</x:f>
        <x:v>0.00545975458132872</x:v>
      </x:c>
      <x:c r="K987" s="1" t="str">
        <x:f>IF(G987&gt;='Дашборд'!$C$51,"X","Z")</x:f>
        <x:v>Z</x:v>
      </x:c>
      <x:c r="L987" s="1" t="str">
        <x:f>IF(H987=0,IF(G987&gt;0,"Нет остатка","Нет спроса"),IF(I987&gt;='Дашборд'!$C$52,"Быстрый","Медленный"))</x:f>
        <x:v>Медленный</x:v>
      </x:c>
      <x:c r="M987" s="1" t="str">
        <x:f>IF('Данные'!E987&lt;'Дашборд'!$C$53,"Мало трафика",IF(J987&lt;'Дашборд'!$C$9*'Дашборд'!$C$54,"Да","Нет"))</x:f>
        <x:v>Да</x:v>
      </x:c>
      <x:c r="N987" s="1" t="str">
        <x:f>IF(AND('Данные'!D987&gt;='Дашборд'!$C$55,D987&lt;'Дашборд'!$C$56,'Данные'!E987&gt;='Дашборд'!$C$53,'Данные'!L987&lt;&gt;"Да"),"Да","Нет")</x:f>
        <x:v>Нет</x:v>
      </x:c>
      <x:c r="O987" s="1" t="str">
        <x:f>'Данные'!L987</x:f>
        <x:v>Нет</x:v>
      </x:c>
    </x:row>
    <x:row r="988">
      <x:c r="A988" s="1" t="str">
        <x:f>'Данные'!A988</x:f>
        <x:v>168141901</x:v>
      </x:c>
      <x:c r="B988" s="1" t="str">
        <x:f>'Данные'!B988</x:f>
        <x:v>bruki/синий</x:v>
      </x:c>
      <x:c r="C988" s="8" t="n">
        <x:f>'Данные'!G988</x:f>
        <x:v>123882</x:v>
      </x:c>
      <x:c r="D988" s="15" t="n">
        <x:f>C988/SUM($C$5:$C$2477)</x:f>
        <x:v>0.0001447218796046228</x:v>
      </x:c>
      <x:c r="E988" s="15" t="n">
        <x:f>SUM($D$5:D988)</x:f>
        <x:v>0.9664220251013882</x:v>
      </x:c>
      <x:c r="F988" s="1" t="str">
        <x:f>IF(C988&lt;=0,"C",IF(E988-D988&lt;'Дашборд'!$C$49,"A",IF(E988-D988&lt;'Дашборд'!$C$50,"B","C")))</x:f>
        <x:v>C</x:v>
      </x:c>
      <x:c r="G988" s="8" t="n">
        <x:f>'Данные'!F988</x:f>
        <x:v>222</x:v>
      </x:c>
      <x:c r="H988" s="8" t="n">
        <x:f>SUM('Данные'!H988:I988)</x:f>
        <x:v>365</x:v>
      </x:c>
      <x:c r="I988" s="16" t="n">
        <x:f>IF(H988&gt;0,G988/H988,"n.a.")</x:f>
        <x:v>0.6082191780821918</x:v>
      </x:c>
      <x:c r="J988" s="10" t="n">
        <x:f>IF('Данные'!E988&gt;0,G988/'Данные'!E988,"n.a.")</x:f>
        <x:v>0.028619311589532036</x:v>
      </x:c>
      <x:c r="K988" s="1" t="str">
        <x:f>IF(G988&gt;='Дашборд'!$C$51,"X","Z")</x:f>
        <x:v>Z</x:v>
      </x:c>
      <x:c r="L988" s="1" t="str">
        <x:f>IF(H988=0,IF(G988&gt;0,"Нет остатка","Нет спроса"),IF(I988&gt;='Дашборд'!$C$52,"Быстрый","Медленный"))</x:f>
        <x:v>Медленный</x:v>
      </x:c>
      <x:c r="M988" s="1" t="str">
        <x:f>IF('Данные'!E988&lt;'Дашборд'!$C$53,"Мало трафика",IF(J988&lt;'Дашборд'!$C$9*'Дашборд'!$C$54,"Да","Нет"))</x:f>
        <x:v>Нет</x:v>
      </x:c>
      <x:c r="N988" s="1" t="str">
        <x:f>IF(AND('Данные'!D988&gt;='Дашборд'!$C$55,D988&lt;'Дашборд'!$C$56,'Данные'!E988&gt;='Дашборд'!$C$53,'Данные'!L988&lt;&gt;"Да"),"Да","Нет")</x:f>
        <x:v>Да</x:v>
      </x:c>
      <x:c r="O988" s="1" t="str">
        <x:f>'Данные'!L988</x:f>
        <x:v>Нет</x:v>
      </x:c>
    </x:row>
    <x:row r="989">
      <x:c r="A989" s="1" t="str">
        <x:f>'Данные'!A989</x:f>
        <x:v>313770740</x:v>
      </x:c>
      <x:c r="B989" s="1" t="str">
        <x:f>'Данные'!B989</x:f>
        <x:v>futbolkagirl/молочный</x:v>
      </x:c>
      <x:c r="C989" s="8" t="n">
        <x:f>'Данные'!G989</x:f>
        <x:v>123875</x:v>
      </x:c>
      <x:c r="D989" s="15" t="n">
        <x:f>C989/SUM($C$5:$C$2477)</x:f>
        <x:v>0.00014471370203921998</x:v>
      </x:c>
      <x:c r="E989" s="15" t="n">
        <x:f>SUM($D$5:D989)</x:f>
        <x:v>0.9665667388034274</x:v>
      </x:c>
      <x:c r="F989" s="1" t="str">
        <x:f>IF(C989&lt;=0,"C",IF(E989-D989&lt;'Дашборд'!$C$49,"A",IF(E989-D989&lt;'Дашборд'!$C$50,"B","C")))</x:f>
        <x:v>C</x:v>
      </x:c>
      <x:c r="G989" s="8" t="n">
        <x:f>'Данные'!F989</x:f>
        <x:v>445</x:v>
      </x:c>
      <x:c r="H989" s="8" t="n">
        <x:f>SUM('Данные'!H989:I989)</x:f>
        <x:v>625</x:v>
      </x:c>
      <x:c r="I989" s="16" t="n">
        <x:f>IF(H989&gt;0,G989/H989,"n.a.")</x:f>
        <x:v>0.712</x:v>
      </x:c>
      <x:c r="J989" s="10" t="n">
        <x:f>IF('Данные'!E989&gt;0,G989/'Данные'!E989,"n.a.")</x:f>
        <x:v>0.013361357153580543</x:v>
      </x:c>
      <x:c r="K989" s="1" t="str">
        <x:f>IF(G989&gt;='Дашборд'!$C$51,"X","Z")</x:f>
        <x:v>X</x:v>
      </x:c>
      <x:c r="L989" s="1" t="str">
        <x:f>IF(H989=0,IF(G989&gt;0,"Нет остатка","Нет спроса"),IF(I989&gt;='Дашборд'!$C$52,"Быстрый","Медленный"))</x:f>
        <x:v>Медленный</x:v>
      </x:c>
      <x:c r="M989" s="1" t="str">
        <x:f>IF('Данные'!E989&lt;'Дашборд'!$C$53,"Мало трафика",IF(J989&lt;'Дашборд'!$C$9*'Дашборд'!$C$54,"Да","Нет"))</x:f>
        <x:v>Нет</x:v>
      </x:c>
      <x:c r="N989" s="1" t="str">
        <x:f>IF(AND('Данные'!D989&gt;='Дашборд'!$C$55,D989&lt;'Дашборд'!$C$56,'Данные'!E989&gt;='Дашборд'!$C$53,'Данные'!L989&lt;&gt;"Да"),"Да","Нет")</x:f>
        <x:v>Да</x:v>
      </x:c>
      <x:c r="O989" s="1" t="str">
        <x:f>'Данные'!L989</x:f>
        <x:v>Нет</x:v>
      </x:c>
    </x:row>
    <x:row r="990">
      <x:c r="A990" s="1" t="str">
        <x:f>'Данные'!A990</x:f>
        <x:v>193097655</x:v>
      </x:c>
      <x:c r="B990" s="1" t="str">
        <x:f>'Данные'!B990</x:f>
        <x:v>svitshotzip1/белый</x:v>
      </x:c>
      <x:c r="C990" s="8" t="n">
        <x:f>'Данные'!G990</x:f>
        <x:v>123484</x:v>
      </x:c>
      <x:c r="D990" s="15" t="n">
        <x:f>C990/SUM($C$5:$C$2477)</x:f>
        <x:v>0.00014425692660029093</x:v>
      </x:c>
      <x:c r="E990" s="15" t="n">
        <x:f>SUM($D$5:D990)</x:f>
        <x:v>0.9667109957300276</x:v>
      </x:c>
      <x:c r="F990" s="1" t="str">
        <x:f>IF(C990&lt;=0,"C",IF(E990-D990&lt;'Дашборд'!$C$49,"A",IF(E990-D990&lt;'Дашборд'!$C$50,"B","C")))</x:f>
        <x:v>C</x:v>
      </x:c>
      <x:c r="G990" s="8" t="n">
        <x:f>'Данные'!F990</x:f>
        <x:v>192</x:v>
      </x:c>
      <x:c r="H990" s="8" t="n">
        <x:f>SUM('Данные'!H990:I990)</x:f>
        <x:v>404</x:v>
      </x:c>
      <x:c r="I990" s="16" t="n">
        <x:f>IF(H990&gt;0,G990/H990,"n.a.")</x:f>
        <x:v>0.4752475247524752</x:v>
      </x:c>
      <x:c r="J990" s="10" t="n">
        <x:f>IF('Данные'!E990&gt;0,G990/'Данные'!E990,"n.a.")</x:f>
        <x:v>0.013655761024182077</x:v>
      </x:c>
      <x:c r="K990" s="1" t="str">
        <x:f>IF(G990&gt;='Дашборд'!$C$51,"X","Z")</x:f>
        <x:v>Z</x:v>
      </x:c>
      <x:c r="L990" s="1" t="str">
        <x:f>IF(H990=0,IF(G990&gt;0,"Нет остатка","Нет спроса"),IF(I990&gt;='Дашборд'!$C$52,"Быстрый","Медленный"))</x:f>
        <x:v>Медленный</x:v>
      </x:c>
      <x:c r="M990" s="1" t="str">
        <x:f>IF('Данные'!E990&lt;'Дашборд'!$C$53,"Мало трафика",IF(J990&lt;'Дашборд'!$C$9*'Дашборд'!$C$54,"Да","Нет"))</x:f>
        <x:v>Нет</x:v>
      </x:c>
      <x:c r="N990" s="1" t="str">
        <x:f>IF(AND('Данные'!D990&gt;='Дашборд'!$C$55,D990&lt;'Дашборд'!$C$56,'Данные'!E990&gt;='Дашборд'!$C$53,'Данные'!L990&lt;&gt;"Да"),"Да","Нет")</x:f>
        <x:v>Да</x:v>
      </x:c>
      <x:c r="O990" s="1" t="str">
        <x:f>'Данные'!L990</x:f>
        <x:v>Нет</x:v>
      </x:c>
    </x:row>
    <x:row r="991">
      <x:c r="A991" s="1" t="str">
        <x:f>'Данные'!A991</x:f>
        <x:v>332418839</x:v>
      </x:c>
      <x:c r="B991" s="1" t="str">
        <x:f>'Данные'!B991</x:f>
        <x:v>top/какао</x:v>
      </x:c>
      <x:c r="C991" s="8" t="n">
        <x:f>'Данные'!G991</x:f>
        <x:v>122951</x:v>
      </x:c>
      <x:c r="D991" s="15" t="n">
        <x:f>C991/SUM($C$5:$C$2477)</x:f>
        <x:v>0.0001436342634060475</x:v>
      </x:c>
      <x:c r="E991" s="15" t="n">
        <x:f>SUM($D$5:D991)</x:f>
        <x:v>0.9668546299934336</x:v>
      </x:c>
      <x:c r="F991" s="1" t="str">
        <x:f>IF(C991&lt;=0,"C",IF(E991-D991&lt;'Дашборд'!$C$49,"A",IF(E991-D991&lt;'Дашборд'!$C$50,"B","C")))</x:f>
        <x:v>C</x:v>
      </x:c>
      <x:c r="G991" s="8" t="n">
        <x:f>'Данные'!F991</x:f>
        <x:v>422</x:v>
      </x:c>
      <x:c r="H991" s="8" t="n">
        <x:f>SUM('Данные'!H991:I991)</x:f>
        <x:v>110</x:v>
      </x:c>
      <x:c r="I991" s="16" t="n">
        <x:f>IF(H991&gt;0,G991/H991,"n.a.")</x:f>
        <x:v>3.8363636363636364</x:v>
      </x:c>
      <x:c r="J991" s="10" t="n">
        <x:f>IF('Данные'!E991&gt;0,G991/'Данные'!E991,"n.a.")</x:f>
        <x:v>0.012972640639409776</x:v>
      </x:c>
      <x:c r="K991" s="1" t="str">
        <x:f>IF(G991&gt;='Дашборд'!$C$51,"X","Z")</x:f>
        <x:v>X</x:v>
      </x:c>
      <x:c r="L991" s="1" t="str">
        <x:f>IF(H991=0,IF(G991&gt;0,"Нет остатка","Нет спроса"),IF(I991&gt;='Дашборд'!$C$52,"Быстрый","Медленный"))</x:f>
        <x:v>Быстрый</x:v>
      </x:c>
      <x:c r="M991" s="1" t="str">
        <x:f>IF('Данные'!E991&lt;'Дашборд'!$C$53,"Мало трафика",IF(J991&lt;'Дашборд'!$C$9*'Дашборд'!$C$54,"Да","Нет"))</x:f>
        <x:v>Нет</x:v>
      </x:c>
      <x:c r="N991" s="1" t="str">
        <x:f>IF(AND('Данные'!D991&gt;='Дашборд'!$C$55,D991&lt;'Дашборд'!$C$56,'Данные'!E991&gt;='Дашборд'!$C$53,'Данные'!L991&lt;&gt;"Да"),"Да","Нет")</x:f>
        <x:v>Нет</x:v>
      </x:c>
      <x:c r="O991" s="1" t="str">
        <x:f>'Данные'!L991</x:f>
        <x:v>Нет</x:v>
      </x:c>
    </x:row>
    <x:row r="992">
      <x:c r="A992" s="1" t="str">
        <x:f>'Данные'!A992</x:f>
        <x:v>313770753</x:v>
      </x:c>
      <x:c r="B992" s="1" t="str">
        <x:f>'Данные'!B992</x:f>
        <x:v>futbolkagirl/зелено-серый</x:v>
      </x:c>
      <x:c r="C992" s="8" t="n">
        <x:f>'Данные'!G992</x:f>
        <x:v>122796</x:v>
      </x:c>
      <x:c r="D992" s="15" t="n">
        <x:f>C992/SUM($C$5:$C$2477)</x:f>
        <x:v>0.00014345318874355647</x:v>
      </x:c>
      <x:c r="E992" s="15" t="n">
        <x:f>SUM($D$5:D992)</x:f>
        <x:v>0.9669980831821772</x:v>
      </x:c>
      <x:c r="F992" s="1" t="str">
        <x:f>IF(C992&lt;=0,"C",IF(E992-D992&lt;'Дашборд'!$C$49,"A",IF(E992-D992&lt;'Дашборд'!$C$50,"B","C")))</x:f>
        <x:v>C</x:v>
      </x:c>
      <x:c r="G992" s="8" t="n">
        <x:f>'Данные'!F992</x:f>
        <x:v>368</x:v>
      </x:c>
      <x:c r="H992" s="8" t="n">
        <x:f>SUM('Данные'!H992:I992)</x:f>
        <x:v>275</x:v>
      </x:c>
      <x:c r="I992" s="16" t="n">
        <x:f>IF(H992&gt;0,G992/H992,"n.a.")</x:f>
        <x:v>1.3381818181818181</x:v>
      </x:c>
      <x:c r="J992" s="10" t="n">
        <x:f>IF('Данные'!E992&gt;0,G992/'Данные'!E992,"n.a.")</x:f>
        <x:v>0.014174562822586858</x:v>
      </x:c>
      <x:c r="K992" s="1" t="str">
        <x:f>IF(G992&gt;='Дашборд'!$C$51,"X","Z")</x:f>
        <x:v>X</x:v>
      </x:c>
      <x:c r="L992" s="1" t="str">
        <x:f>IF(H992=0,IF(G992&gt;0,"Нет остатка","Нет спроса"),IF(I992&gt;='Дашборд'!$C$52,"Быстрый","Медленный"))</x:f>
        <x:v>Быстрый</x:v>
      </x:c>
      <x:c r="M992" s="1" t="str">
        <x:f>IF('Данные'!E992&lt;'Дашборд'!$C$53,"Мало трафика",IF(J992&lt;'Дашборд'!$C$9*'Дашборд'!$C$54,"Да","Нет"))</x:f>
        <x:v>Нет</x:v>
      </x:c>
      <x:c r="N992" s="1" t="str">
        <x:f>IF(AND('Данные'!D992&gt;='Дашборд'!$C$55,D992&lt;'Дашборд'!$C$56,'Данные'!E992&gt;='Дашборд'!$C$53,'Данные'!L992&lt;&gt;"Да"),"Да","Нет")</x:f>
        <x:v>Да</x:v>
      </x:c>
      <x:c r="O992" s="1" t="str">
        <x:f>'Данные'!L992</x:f>
        <x:v>Нет</x:v>
      </x:c>
    </x:row>
    <x:row r="993">
      <x:c r="A993" s="1" t="str">
        <x:f>'Данные'!A993</x:f>
        <x:v>320424591</x:v>
      </x:c>
      <x:c r="B993" s="1" t="str">
        <x:f>'Данные'!B993</x:f>
        <x:v>brukizshp3P-S-1/темно-синий</x:v>
      </x:c>
      <x:c r="C993" s="8" t="n">
        <x:f>'Данные'!G993</x:f>
        <x:v>122638</x:v>
      </x:c>
      <x:c r="D993" s="15" t="n">
        <x:f>C993/SUM($C$5:$C$2477)</x:f>
        <x:v>0.0001432686094101785</x:v>
      </x:c>
      <x:c r="E993" s="15" t="n">
        <x:f>SUM($D$5:D993)</x:f>
        <x:v>0.9671413517915873</x:v>
      </x:c>
      <x:c r="F993" s="1" t="str">
        <x:f>IF(C993&lt;=0,"C",IF(E993-D993&lt;'Дашборд'!$C$49,"A",IF(E993-D993&lt;'Дашборд'!$C$50,"B","C")))</x:f>
        <x:v>C</x:v>
      </x:c>
      <x:c r="G993" s="8" t="n">
        <x:f>'Данные'!F993</x:f>
        <x:v>189</x:v>
      </x:c>
      <x:c r="H993" s="8" t="n">
        <x:f>SUM('Данные'!H993:I993)</x:f>
        <x:v>231</x:v>
      </x:c>
      <x:c r="I993" s="16" t="n">
        <x:f>IF(H993&gt;0,G993/H993,"n.a.")</x:f>
        <x:v>0.8181818181818182</x:v>
      </x:c>
      <x:c r="J993" s="10" t="n">
        <x:f>IF('Данные'!E993&gt;0,G993/'Данные'!E993,"n.a.")</x:f>
        <x:v>0.00626865671641791</x:v>
      </x:c>
      <x:c r="K993" s="1" t="str">
        <x:f>IF(G993&gt;='Дашборд'!$C$51,"X","Z")</x:f>
        <x:v>Z</x:v>
      </x:c>
      <x:c r="L993" s="1" t="str">
        <x:f>IF(H993=0,IF(G993&gt;0,"Нет остатка","Нет спроса"),IF(I993&gt;='Дашборд'!$C$52,"Быстрый","Медленный"))</x:f>
        <x:v>Медленный</x:v>
      </x:c>
      <x:c r="M993" s="1" t="str">
        <x:f>IF('Данные'!E993&lt;'Дашборд'!$C$53,"Мало трафика",IF(J993&lt;'Дашборд'!$C$9*'Дашборд'!$C$54,"Да","Нет"))</x:f>
        <x:v>Да</x:v>
      </x:c>
      <x:c r="N993" s="1" t="str">
        <x:f>IF(AND('Данные'!D993&gt;='Дашборд'!$C$55,D993&lt;'Дашборд'!$C$56,'Данные'!E993&gt;='Дашборд'!$C$53,'Данные'!L993&lt;&gt;"Да"),"Да","Нет")</x:f>
        <x:v>Нет</x:v>
      </x:c>
      <x:c r="O993" s="1" t="str">
        <x:f>'Данные'!L993</x:f>
        <x:v>Нет</x:v>
      </x:c>
    </x:row>
    <x:row r="994">
      <x:c r="A994" s="1" t="str">
        <x:f>'Данные'!A994</x:f>
        <x:v>314822398</x:v>
      </x:c>
      <x:c r="B994" s="1" t="str">
        <x:f>'Данные'!B994</x:f>
        <x:v>2Nitkalong3D-76print/Elysees-242/молочный</x:v>
      </x:c>
      <x:c r="C994" s="8" t="n">
        <x:f>'Данные'!G994</x:f>
        <x:v>122187</x:v>
      </x:c>
      <x:c r="D994" s="15" t="n">
        <x:f>C994/SUM($C$5:$C$2477)</x:f>
        <x:v>0.00014274174055351098</x:v>
      </x:c>
      <x:c r="E994" s="15" t="n">
        <x:f>SUM($D$5:D994)</x:f>
        <x:v>0.9672840935321408</x:v>
      </x:c>
      <x:c r="F994" s="1" t="str">
        <x:f>IF(C994&lt;=0,"C",IF(E994-D994&lt;'Дашборд'!$C$49,"A",IF(E994-D994&lt;'Дашборд'!$C$50,"B","C")))</x:f>
        <x:v>C</x:v>
      </x:c>
      <x:c r="G994" s="8" t="n">
        <x:f>'Данные'!F994</x:f>
        <x:v>221</x:v>
      </x:c>
      <x:c r="H994" s="8" t="n">
        <x:f>SUM('Данные'!H994:I994)</x:f>
        <x:v>0</x:v>
      </x:c>
      <x:c r="I994" s="16" t="str">
        <x:f>IF(H994&gt;0,G994/H994,"n.a.")</x:f>
        <x:v>n.a.</x:v>
      </x:c>
      <x:c r="J994" s="10" t="n">
        <x:f>IF('Данные'!E994&gt;0,G994/'Данные'!E994,"n.a.")</x:f>
        <x:v>0.01840439706862092</x:v>
      </x:c>
      <x:c r="K994" s="1" t="str">
        <x:f>IF(G994&gt;='Дашборд'!$C$51,"X","Z")</x:f>
        <x:v>Z</x:v>
      </x:c>
      <x:c r="L994" s="1" t="str">
        <x:f>IF(H994=0,IF(G994&gt;0,"Нет остатка","Нет спроса"),IF(I994&gt;='Дашборд'!$C$52,"Быстрый","Медленный"))</x:f>
        <x:v>Нет остатка</x:v>
      </x:c>
      <x:c r="M994" s="1" t="str">
        <x:f>IF('Данные'!E994&lt;'Дашборд'!$C$53,"Мало трафика",IF(J994&lt;'Дашборд'!$C$9*'Дашборд'!$C$54,"Да","Нет"))</x:f>
        <x:v>Нет</x:v>
      </x:c>
      <x:c r="N994" s="1" t="str">
        <x:f>IF(AND('Данные'!D994&gt;='Дашборд'!$C$55,D994&lt;'Дашборд'!$C$56,'Данные'!E994&gt;='Дашборд'!$C$53,'Данные'!L994&lt;&gt;"Да"),"Да","Нет")</x:f>
        <x:v>Нет</x:v>
      </x:c>
      <x:c r="O994" s="1" t="str">
        <x:f>'Данные'!L994</x:f>
        <x:v>Нет</x:v>
      </x:c>
    </x:row>
    <x:row r="995">
      <x:c r="A995" s="1" t="str">
        <x:f>'Данные'!A995</x:f>
        <x:v>181613188</x:v>
      </x:c>
      <x:c r="B995" s="1" t="str">
        <x:f>'Данные'!B995</x:f>
        <x:v>kostyum/мандариновый</x:v>
      </x:c>
      <x:c r="C995" s="8" t="n">
        <x:f>'Данные'!G995</x:f>
        <x:v>121446</x:v>
      </x:c>
      <x:c r="D995" s="15" t="n">
        <x:f>C995/SUM($C$5:$C$2477)</x:f>
        <x:v>0.00014187608684444085</x:v>
      </x:c>
      <x:c r="E995" s="15" t="n">
        <x:f>SUM($D$5:D995)</x:f>
        <x:v>0.9674259696189853</x:v>
      </x:c>
      <x:c r="F995" s="1" t="str">
        <x:f>IF(C995&lt;=0,"C",IF(E995-D995&lt;'Дашборд'!$C$49,"A",IF(E995-D995&lt;'Дашборд'!$C$50,"B","C")))</x:f>
        <x:v>C</x:v>
      </x:c>
      <x:c r="G995" s="8" t="n">
        <x:f>'Данные'!F995</x:f>
        <x:v>60</x:v>
      </x:c>
      <x:c r="H995" s="8" t="n">
        <x:f>SUM('Данные'!H995:I995)</x:f>
        <x:v>301</x:v>
      </x:c>
      <x:c r="I995" s="16" t="n">
        <x:f>IF(H995&gt;0,G995/H995,"n.a.")</x:f>
        <x:v>0.19933554817275748</x:v>
      </x:c>
      <x:c r="J995" s="10" t="n">
        <x:f>IF('Данные'!E995&gt;0,G995/'Данные'!E995,"n.a.")</x:f>
        <x:v>0.0039856516540454365</x:v>
      </x:c>
      <x:c r="K995" s="1" t="str">
        <x:f>IF(G995&gt;='Дашборд'!$C$51,"X","Z")</x:f>
        <x:v>Z</x:v>
      </x:c>
      <x:c r="L995" s="1" t="str">
        <x:f>IF(H995=0,IF(G995&gt;0,"Нет остатка","Нет спроса"),IF(I995&gt;='Дашборд'!$C$52,"Быстрый","Медленный"))</x:f>
        <x:v>Медленный</x:v>
      </x:c>
      <x:c r="M995" s="1" t="str">
        <x:f>IF('Данные'!E995&lt;'Дашборд'!$C$53,"Мало трафика",IF(J995&lt;'Дашборд'!$C$9*'Дашборд'!$C$54,"Да","Нет"))</x:f>
        <x:v>Да</x:v>
      </x:c>
      <x:c r="N995" s="1" t="str">
        <x:f>IF(AND('Данные'!D995&gt;='Дашборд'!$C$55,D995&lt;'Дашборд'!$C$56,'Данные'!E995&gt;='Дашборд'!$C$53,'Данные'!L995&lt;&gt;"Да"),"Да","Нет")</x:f>
        <x:v>Нет</x:v>
      </x:c>
      <x:c r="O995" s="1" t="str">
        <x:f>'Данные'!L995</x:f>
        <x:v>Нет</x:v>
      </x:c>
    </x:row>
    <x:row r="996">
      <x:c r="A996" s="1" t="str">
        <x:f>'Данные'!A996</x:f>
        <x:v>235988736</x:v>
      </x:c>
      <x:c r="B996" s="1" t="str">
        <x:f>'Данные'!B996</x:f>
        <x:v>brukipetl/темно-серый</x:v>
      </x:c>
      <x:c r="C996" s="8" t="n">
        <x:f>'Данные'!G996</x:f>
        <x:v>121210</x:v>
      </x:c>
      <x:c r="D996" s="15" t="n">
        <x:f>C996/SUM($C$5:$C$2477)</x:f>
        <x:v>0.00014160038606800284</x:v>
      </x:c>
      <x:c r="E996" s="15" t="n">
        <x:f>SUM($D$5:D996)</x:f>
        <x:v>0.9675675700050533</x:v>
      </x:c>
      <x:c r="F996" s="1" t="str">
        <x:f>IF(C996&lt;=0,"C",IF(E996-D996&lt;'Дашборд'!$C$49,"A",IF(E996-D996&lt;'Дашборд'!$C$50,"B","C")))</x:f>
        <x:v>C</x:v>
      </x:c>
      <x:c r="G996" s="8" t="n">
        <x:f>'Данные'!F996</x:f>
        <x:v>193</x:v>
      </x:c>
      <x:c r="H996" s="8" t="n">
        <x:f>SUM('Данные'!H996:I996)</x:f>
        <x:v>57</x:v>
      </x:c>
      <x:c r="I996" s="16" t="n">
        <x:f>IF(H996&gt;0,G996/H996,"n.a.")</x:f>
        <x:v>3.3859649122807016</x:v>
      </x:c>
      <x:c r="J996" s="10" t="n">
        <x:f>IF('Данные'!E996&gt;0,G996/'Данные'!E996,"n.a.")</x:f>
        <x:v>0.019020400118261557</x:v>
      </x:c>
      <x:c r="K996" s="1" t="str">
        <x:f>IF(G996&gt;='Дашборд'!$C$51,"X","Z")</x:f>
        <x:v>Z</x:v>
      </x:c>
      <x:c r="L996" s="1" t="str">
        <x:f>IF(H996=0,IF(G996&gt;0,"Нет остатка","Нет спроса"),IF(I996&gt;='Дашборд'!$C$52,"Быстрый","Медленный"))</x:f>
        <x:v>Быстрый</x:v>
      </x:c>
      <x:c r="M996" s="1" t="str">
        <x:f>IF('Данные'!E996&lt;'Дашборд'!$C$53,"Мало трафика",IF(J996&lt;'Дашборд'!$C$9*'Дашборд'!$C$54,"Да","Нет"))</x:f>
        <x:v>Нет</x:v>
      </x:c>
      <x:c r="N996" s="1" t="str">
        <x:f>IF(AND('Данные'!D996&gt;='Дашборд'!$C$55,D996&lt;'Дашборд'!$C$56,'Данные'!E996&gt;='Дашборд'!$C$53,'Данные'!L996&lt;&gt;"Да"),"Да","Нет")</x:f>
        <x:v>Нет</x:v>
      </x:c>
      <x:c r="O996" s="1" t="str">
        <x:f>'Данные'!L996</x:f>
        <x:v>Нет</x:v>
      </x:c>
    </x:row>
    <x:row r="997">
      <x:c r="A997" s="1" t="str">
        <x:f>'Данные'!A997</x:f>
        <x:v>215422749</x:v>
      </x:c>
      <x:c r="B997" s="1" t="str">
        <x:f>'Данные'!B997</x:f>
        <x:v>futbolkaprint/MICHIGAN-102/дымка</x:v>
      </x:c>
      <x:c r="C997" s="8" t="n">
        <x:f>'Данные'!G997</x:f>
        <x:v>121023</x:v>
      </x:c>
      <x:c r="D997" s="15" t="n">
        <x:f>C997/SUM($C$5:$C$2477)</x:f>
        <x:v>0.0001413819282493846</x:v>
      </x:c>
      <x:c r="E997" s="15" t="n">
        <x:f>SUM($D$5:D997)</x:f>
        <x:v>0.9677089519333028</x:v>
      </x:c>
      <x:c r="F997" s="1" t="str">
        <x:f>IF(C997&lt;=0,"C",IF(E997-D997&lt;'Дашборд'!$C$49,"A",IF(E997-D997&lt;'Дашборд'!$C$50,"B","C")))</x:f>
        <x:v>C</x:v>
      </x:c>
      <x:c r="G997" s="8" t="n">
        <x:f>'Данные'!F997</x:f>
        <x:v>211</x:v>
      </x:c>
      <x:c r="H997" s="8" t="n">
        <x:f>SUM('Данные'!H997:I997)</x:f>
        <x:v>226</x:v>
      </x:c>
      <x:c r="I997" s="16" t="n">
        <x:f>IF(H997&gt;0,G997/H997,"n.a.")</x:f>
        <x:v>0.9336283185840708</x:v>
      </x:c>
      <x:c r="J997" s="10" t="n">
        <x:f>IF('Данные'!E997&gt;0,G997/'Данные'!E997,"n.a.")</x:f>
        <x:v>0.026848199516477923</x:v>
      </x:c>
      <x:c r="K997" s="1" t="str">
        <x:f>IF(G997&gt;='Дашборд'!$C$51,"X","Z")</x:f>
        <x:v>Z</x:v>
      </x:c>
      <x:c r="L997" s="1" t="str">
        <x:f>IF(H997=0,IF(G997&gt;0,"Нет остатка","Нет спроса"),IF(I997&gt;='Дашборд'!$C$52,"Быстрый","Медленный"))</x:f>
        <x:v>Медленный</x:v>
      </x:c>
      <x:c r="M997" s="1" t="str">
        <x:f>IF('Данные'!E997&lt;'Дашборд'!$C$53,"Мало трафика",IF(J997&lt;'Дашборд'!$C$9*'Дашборд'!$C$54,"Да","Нет"))</x:f>
        <x:v>Нет</x:v>
      </x:c>
      <x:c r="N997" s="1" t="str">
        <x:f>IF(AND('Данные'!D997&gt;='Дашборд'!$C$55,D997&lt;'Дашборд'!$C$56,'Данные'!E997&gt;='Дашборд'!$C$53,'Данные'!L997&lt;&gt;"Да"),"Да","Нет")</x:f>
        <x:v>Нет</x:v>
      </x:c>
      <x:c r="O997" s="1" t="str">
        <x:f>'Данные'!L997</x:f>
        <x:v>Нет</x:v>
      </x:c>
    </x:row>
    <x:row r="998">
      <x:c r="A998" s="1" t="str">
        <x:f>'Данные'!A998</x:f>
        <x:v>217879607</x:v>
      </x:c>
      <x:c r="B998" s="1" t="str">
        <x:f>'Данные'!B998</x:f>
        <x:v>2NshortymanX2/чер-коф</x:v>
      </x:c>
      <x:c r="C998" s="8" t="n">
        <x:f>'Данные'!G998</x:f>
        <x:v>121000</x:v>
      </x:c>
      <x:c r="D998" s="15" t="n">
        <x:f>C998/SUM($C$5:$C$2477)</x:f>
        <x:v>0.0001413550591059182</x:v>
      </x:c>
      <x:c r="E998" s="15" t="n">
        <x:f>SUM($D$5:D998)</x:f>
        <x:v>0.9678503069924087</x:v>
      </x:c>
      <x:c r="F998" s="1" t="str">
        <x:f>IF(C998&lt;=0,"C",IF(E998-D998&lt;'Дашборд'!$C$49,"A",IF(E998-D998&lt;'Дашборд'!$C$50,"B","C")))</x:f>
        <x:v>C</x:v>
      </x:c>
      <x:c r="G998" s="8" t="n">
        <x:f>'Данные'!F998</x:f>
        <x:v>161</x:v>
      </x:c>
      <x:c r="H998" s="8" t="n">
        <x:f>SUM('Данные'!H998:I998)</x:f>
        <x:v>0</x:v>
      </x:c>
      <x:c r="I998" s="16" t="str">
        <x:f>IF(H998&gt;0,G998/H998,"n.a.")</x:f>
        <x:v>n.a.</x:v>
      </x:c>
      <x:c r="J998" s="10" t="n">
        <x:f>IF('Данные'!E998&gt;0,G998/'Данные'!E998,"n.a.")</x:f>
        <x:v>0.02359320046893318</x:v>
      </x:c>
      <x:c r="K998" s="1" t="str">
        <x:f>IF(G998&gt;='Дашборд'!$C$51,"X","Z")</x:f>
        <x:v>Z</x:v>
      </x:c>
      <x:c r="L998" s="1" t="str">
        <x:f>IF(H998=0,IF(G998&gt;0,"Нет остатка","Нет спроса"),IF(I998&gt;='Дашборд'!$C$52,"Быстрый","Медленный"))</x:f>
        <x:v>Нет остатка</x:v>
      </x:c>
      <x:c r="M998" s="1" t="str">
        <x:f>IF('Данные'!E998&lt;'Дашборд'!$C$53,"Мало трафика",IF(J998&lt;'Дашборд'!$C$9*'Дашборд'!$C$54,"Да","Нет"))</x:f>
        <x:v>Нет</x:v>
      </x:c>
      <x:c r="N998" s="1" t="str">
        <x:f>IF(AND('Данные'!D998&gt;='Дашборд'!$C$55,D998&lt;'Дашборд'!$C$56,'Данные'!E998&gt;='Дашборд'!$C$53,'Данные'!L998&lt;&gt;"Да"),"Да","Нет")</x:f>
        <x:v>Нет</x:v>
      </x:c>
      <x:c r="O998" s="1" t="str">
        <x:f>'Данные'!L998</x:f>
        <x:v>Нет</x:v>
      </x:c>
    </x:row>
    <x:row r="999">
      <x:c r="A999" s="1" t="str">
        <x:f>'Данные'!A999</x:f>
        <x:v>311462401</x:v>
      </x:c>
      <x:c r="B999" s="1" t="str">
        <x:f>'Данные'!B999</x:f>
        <x:v>brukimanpetl/коричневый</x:v>
      </x:c>
      <x:c r="C999" s="8" t="n">
        <x:f>'Данные'!G999</x:f>
        <x:v>120997</x:v>
      </x:c>
      <x:c r="D999" s="15" t="n">
        <x:f>C999/SUM($C$5:$C$2477)</x:f>
        <x:v>0.0001413515544350313</x:v>
      </x:c>
      <x:c r="E999" s="15" t="n">
        <x:f>SUM($D$5:D999)</x:f>
        <x:v>0.9679916585468438</x:v>
      </x:c>
      <x:c r="F999" s="1" t="str">
        <x:f>IF(C999&lt;=0,"C",IF(E999-D999&lt;'Дашборд'!$C$49,"A",IF(E999-D999&lt;'Дашборд'!$C$50,"B","C")))</x:f>
        <x:v>C</x:v>
      </x:c>
      <x:c r="G999" s="8" t="n">
        <x:f>'Данные'!F999</x:f>
        <x:v>191</x:v>
      </x:c>
      <x:c r="H999" s="8" t="n">
        <x:f>SUM('Данные'!H999:I999)</x:f>
        <x:v>1</x:v>
      </x:c>
      <x:c r="I999" s="16" t="n">
        <x:f>IF(H999&gt;0,G999/H999,"n.a.")</x:f>
        <x:v>191</x:v>
      </x:c>
      <x:c r="J999" s="10" t="n">
        <x:f>IF('Данные'!E999&gt;0,G999/'Данные'!E999,"n.a.")</x:f>
        <x:v>0.010936158030346407</x:v>
      </x:c>
      <x:c r="K999" s="1" t="str">
        <x:f>IF(G999&gt;='Дашборд'!$C$51,"X","Z")</x:f>
        <x:v>Z</x:v>
      </x:c>
      <x:c r="L999" s="1" t="str">
        <x:f>IF(H999=0,IF(G999&gt;0,"Нет остатка","Нет спроса"),IF(I999&gt;='Дашборд'!$C$52,"Быстрый","Медленный"))</x:f>
        <x:v>Быстрый</x:v>
      </x:c>
      <x:c r="M999" s="1" t="str">
        <x:f>IF('Данные'!E999&lt;'Дашборд'!$C$53,"Мало трафика",IF(J999&lt;'Дашборд'!$C$9*'Дашборд'!$C$54,"Да","Нет"))</x:f>
        <x:v>Нет</x:v>
      </x:c>
      <x:c r="N999" s="1" t="str">
        <x:f>IF(AND('Данные'!D999&gt;='Дашборд'!$C$55,D999&lt;'Дашборд'!$C$56,'Данные'!E999&gt;='Дашборд'!$C$53,'Данные'!L999&lt;&gt;"Да"),"Да","Нет")</x:f>
        <x:v>Нет</x:v>
      </x:c>
      <x:c r="O999" s="1" t="str">
        <x:f>'Данные'!L999</x:f>
        <x:v>Нет</x:v>
      </x:c>
    </x:row>
    <x:row r="1000">
      <x:c r="A1000" s="1" t="str">
        <x:f>'Данные'!A1000</x:f>
        <x:v>334783652</x:v>
      </x:c>
      <x:c r="B1000" s="1" t="str">
        <x:f>'Данные'!B1000</x:f>
        <x:v>futbolkaprint/Single-291/черный</x:v>
      </x:c>
      <x:c r="C1000" s="8" t="n">
        <x:f>'Данные'!G1000</x:f>
        <x:v>120893</x:v>
      </x:c>
      <x:c r="D1000" s="15" t="n">
        <x:f>C1000/SUM($C$5:$C$2477)</x:f>
        <x:v>0.0001412300591776179</x:v>
      </x:c>
      <x:c r="E1000" s="15" t="n">
        <x:f>SUM($D$5:D1000)</x:f>
        <x:v>0.9681328886060214</x:v>
      </x:c>
      <x:c r="F1000" s="1" t="str">
        <x:f>IF(C1000&lt;=0,"C",IF(E1000-D1000&lt;'Дашборд'!$C$49,"A",IF(E1000-D1000&lt;'Дашборд'!$C$50,"B","C")))</x:f>
        <x:v>C</x:v>
      </x:c>
      <x:c r="G1000" s="8" t="n">
        <x:f>'Данные'!F1000</x:f>
        <x:v>277</x:v>
      </x:c>
      <x:c r="H1000" s="8" t="n">
        <x:f>SUM('Данные'!H1000:I1000)</x:f>
        <x:v>592</x:v>
      </x:c>
      <x:c r="I1000" s="16" t="n">
        <x:f>IF(H1000&gt;0,G1000/H1000,"n.a.")</x:f>
        <x:v>0.46790540540540543</x:v>
      </x:c>
      <x:c r="J1000" s="10" t="n">
        <x:f>IF('Данные'!E1000&gt;0,G1000/'Данные'!E1000,"n.a.")</x:f>
        <x:v>0.00448975622406639</x:v>
      </x:c>
      <x:c r="K1000" s="1" t="str">
        <x:f>IF(G1000&gt;='Дашборд'!$C$51,"X","Z")</x:f>
        <x:v>X</x:v>
      </x:c>
      <x:c r="L1000" s="1" t="str">
        <x:f>IF(H1000=0,IF(G1000&gt;0,"Нет остатка","Нет спроса"),IF(I1000&gt;='Дашборд'!$C$52,"Быстрый","Медленный"))</x:f>
        <x:v>Медленный</x:v>
      </x:c>
      <x:c r="M1000" s="1" t="str">
        <x:f>IF('Данные'!E1000&lt;'Дашборд'!$C$53,"Мало трафика",IF(J1000&lt;'Дашборд'!$C$9*'Дашборд'!$C$54,"Да","Нет"))</x:f>
        <x:v>Да</x:v>
      </x:c>
      <x:c r="N1000" s="1" t="str">
        <x:f>IF(AND('Данные'!D1000&gt;='Дашборд'!$C$55,D1000&lt;'Дашборд'!$C$56,'Данные'!E1000&gt;='Дашборд'!$C$53,'Данные'!L1000&lt;&gt;"Да"),"Да","Нет")</x:f>
        <x:v>Да</x:v>
      </x:c>
      <x:c r="O1000" s="1" t="str">
        <x:f>'Данные'!L1000</x:f>
        <x:v>Нет</x:v>
      </x:c>
    </x:row>
    <x:row r="1001">
      <x:c r="A1001" s="1" t="str">
        <x:f>'Данные'!A1001</x:f>
        <x:v>347537675</x:v>
      </x:c>
      <x:c r="B1001" s="1" t="str">
        <x:f>'Данные'!B1001</x:f>
        <x:v>body3K-S-6/розовый</x:v>
      </x:c>
      <x:c r="C1001" s="8" t="n">
        <x:f>'Данные'!G1001</x:f>
        <x:v>120666</x:v>
      </x:c>
      <x:c r="D1001" s="15" t="n">
        <x:f>C1001/SUM($C$5:$C$2477)</x:f>
        <x:v>0.0001409648724138407</x:v>
      </x:c>
      <x:c r="E1001" s="15" t="n">
        <x:f>SUM($D$5:D1001)</x:f>
        <x:v>0.9682738534784353</x:v>
      </x:c>
      <x:c r="F1001" s="1" t="str">
        <x:f>IF(C1001&lt;=0,"C",IF(E1001-D1001&lt;'Дашборд'!$C$49,"A",IF(E1001-D1001&lt;'Дашборд'!$C$50,"B","C")))</x:f>
        <x:v>C</x:v>
      </x:c>
      <x:c r="G1001" s="8" t="n">
        <x:f>'Данные'!F1001</x:f>
        <x:v>378</x:v>
      </x:c>
      <x:c r="H1001" s="8" t="n">
        <x:f>SUM('Данные'!H1001:I1001)</x:f>
        <x:v>107</x:v>
      </x:c>
      <x:c r="I1001" s="16" t="n">
        <x:f>IF(H1001&gt;0,G1001/H1001,"n.a.")</x:f>
        <x:v>3.532710280373832</x:v>
      </x:c>
      <x:c r="J1001" s="10" t="n">
        <x:f>IF('Данные'!E1001&gt;0,G1001/'Данные'!E1001,"n.a.")</x:f>
        <x:v>0.009536544138052829</x:v>
      </x:c>
      <x:c r="K1001" s="1" t="str">
        <x:f>IF(G1001&gt;='Дашборд'!$C$51,"X","Z")</x:f>
        <x:v>X</x:v>
      </x:c>
      <x:c r="L1001" s="1" t="str">
        <x:f>IF(H1001=0,IF(G1001&gt;0,"Нет остатка","Нет спроса"),IF(I1001&gt;='Дашборд'!$C$52,"Быстрый","Медленный"))</x:f>
        <x:v>Быстрый</x:v>
      </x:c>
      <x:c r="M1001" s="1" t="str">
        <x:f>IF('Данные'!E1001&lt;'Дашборд'!$C$53,"Мало трафика",IF(J1001&lt;'Дашборд'!$C$9*'Дашборд'!$C$54,"Да","Нет"))</x:f>
        <x:v>Да</x:v>
      </x:c>
      <x:c r="N1001" s="1" t="str">
        <x:f>IF(AND('Данные'!D1001&gt;='Дашборд'!$C$55,D1001&lt;'Дашборд'!$C$56,'Данные'!E1001&gt;='Дашборд'!$C$53,'Данные'!L1001&lt;&gt;"Да"),"Да","Нет")</x:f>
        <x:v>Нет</x:v>
      </x:c>
      <x:c r="O1001" s="1" t="str">
        <x:f>'Данные'!L1001</x:f>
        <x:v>Нет</x:v>
      </x:c>
    </x:row>
    <x:row r="1002">
      <x:c r="A1002" s="1" t="str">
        <x:f>'Данные'!A1002</x:f>
        <x:v>244782644</x:v>
      </x:c>
      <x:c r="B1002" s="1" t="str">
        <x:f>'Данные'!B1002</x:f>
        <x:v>hudimanprint/NeverBlack-179/черный</x:v>
      </x:c>
      <x:c r="C1002" s="8" t="n">
        <x:f>'Данные'!G1002</x:f>
        <x:v>120401</x:v>
      </x:c>
      <x:c r="D1002" s="15" t="n">
        <x:f>C1002/SUM($C$5:$C$2477)</x:f>
        <x:v>0.00014065529315216246</x:v>
      </x:c>
      <x:c r="E1002" s="15" t="n">
        <x:f>SUM($D$5:D1002)</x:f>
        <x:v>0.9684145087715875</x:v>
      </x:c>
      <x:c r="F1002" s="1" t="str">
        <x:f>IF(C1002&lt;=0,"C",IF(E1002-D1002&lt;'Дашборд'!$C$49,"A",IF(E1002-D1002&lt;'Дашборд'!$C$50,"B","C")))</x:f>
        <x:v>C</x:v>
      </x:c>
      <x:c r="G1002" s="8" t="n">
        <x:f>'Данные'!F1002</x:f>
        <x:v>100</x:v>
      </x:c>
      <x:c r="H1002" s="8" t="n">
        <x:f>SUM('Данные'!H1002:I1002)</x:f>
        <x:v>10</x:v>
      </x:c>
      <x:c r="I1002" s="16" t="n">
        <x:f>IF(H1002&gt;0,G1002/H1002,"n.a.")</x:f>
        <x:v>10</x:v>
      </x:c>
      <x:c r="J1002" s="10" t="n">
        <x:f>IF('Данные'!E1002&gt;0,G1002/'Данные'!E1002,"n.a.")</x:f>
        <x:v>0.013442667025137788</x:v>
      </x:c>
      <x:c r="K1002" s="1" t="str">
        <x:f>IF(G1002&gt;='Дашборд'!$C$51,"X","Z")</x:f>
        <x:v>Z</x:v>
      </x:c>
      <x:c r="L1002" s="1" t="str">
        <x:f>IF(H1002=0,IF(G1002&gt;0,"Нет остатка","Нет спроса"),IF(I1002&gt;='Дашборд'!$C$52,"Быстрый","Медленный"))</x:f>
        <x:v>Быстрый</x:v>
      </x:c>
      <x:c r="M1002" s="1" t="str">
        <x:f>IF('Данные'!E1002&lt;'Дашборд'!$C$53,"Мало трафика",IF(J1002&lt;'Дашборд'!$C$9*'Дашборд'!$C$54,"Да","Нет"))</x:f>
        <x:v>Нет</x:v>
      </x:c>
      <x:c r="N1002" s="1" t="str">
        <x:f>IF(AND('Данные'!D1002&gt;='Дашборд'!$C$55,D1002&lt;'Дашборд'!$C$56,'Данные'!E1002&gt;='Дашборд'!$C$53,'Данные'!L1002&lt;&gt;"Да"),"Да","Нет")</x:f>
        <x:v>Нет</x:v>
      </x:c>
      <x:c r="O1002" s="1" t="str">
        <x:f>'Данные'!L1002</x:f>
        <x:v>Нет</x:v>
      </x:c>
    </x:row>
    <x:row r="1003">
      <x:c r="A1003" s="1" t="str">
        <x:f>'Данные'!A1003</x:f>
        <x:v>314227601</x:v>
      </x:c>
      <x:c r="B1003" s="1" t="str">
        <x:f>'Данные'!B1003</x:f>
        <x:v>kostyum/изумрудно-зеленый</x:v>
      </x:c>
      <x:c r="C1003" s="8" t="n">
        <x:f>'Данные'!G1003</x:f>
        <x:v>119733</x:v>
      </x:c>
      <x:c r="D1003" s="15" t="n">
        <x:f>C1003/SUM($C$5:$C$2477)</x:f>
        <x:v>0.00013987491976800748</x:v>
      </x:c>
      <x:c r="E1003" s="15" t="n">
        <x:f>SUM($D$5:D1003)</x:f>
        <x:v>0.9685543836913555</x:v>
      </x:c>
      <x:c r="F1003" s="1" t="str">
        <x:f>IF(C1003&lt;=0,"C",IF(E1003-D1003&lt;'Дашборд'!$C$49,"A",IF(E1003-D1003&lt;'Дашборд'!$C$50,"B","C")))</x:f>
        <x:v>C</x:v>
      </x:c>
      <x:c r="G1003" s="8" t="n">
        <x:f>'Данные'!F1003</x:f>
        <x:v>54</x:v>
      </x:c>
      <x:c r="H1003" s="8" t="n">
        <x:f>SUM('Данные'!H1003:I1003)</x:f>
        <x:v>262</x:v>
      </x:c>
      <x:c r="I1003" s="16" t="n">
        <x:f>IF(H1003&gt;0,G1003/H1003,"n.a.")</x:f>
        <x:v>0.20610687022900764</x:v>
      </x:c>
      <x:c r="J1003" s="10" t="n">
        <x:f>IF('Данные'!E1003&gt;0,G1003/'Данные'!E1003,"n.a.")</x:f>
        <x:v>0.0027686628383921247</x:v>
      </x:c>
      <x:c r="K1003" s="1" t="str">
        <x:f>IF(G1003&gt;='Дашборд'!$C$51,"X","Z")</x:f>
        <x:v>Z</x:v>
      </x:c>
      <x:c r="L1003" s="1" t="str">
        <x:f>IF(H1003=0,IF(G1003&gt;0,"Нет остатка","Нет спроса"),IF(I1003&gt;='Дашборд'!$C$52,"Быстрый","Медленный"))</x:f>
        <x:v>Медленный</x:v>
      </x:c>
      <x:c r="M1003" s="1" t="str">
        <x:f>IF('Данные'!E1003&lt;'Дашборд'!$C$53,"Мало трафика",IF(J1003&lt;'Дашборд'!$C$9*'Дашборд'!$C$54,"Да","Нет"))</x:f>
        <x:v>Да</x:v>
      </x:c>
      <x:c r="N1003" s="1" t="str">
        <x:f>IF(AND('Данные'!D1003&gt;='Дашборд'!$C$55,D1003&lt;'Дашборд'!$C$56,'Данные'!E1003&gt;='Дашборд'!$C$53,'Данные'!L1003&lt;&gt;"Да"),"Да","Нет")</x:f>
        <x:v>Нет</x:v>
      </x:c>
      <x:c r="O1003" s="1" t="str">
        <x:f>'Данные'!L1003</x:f>
        <x:v>Нет</x:v>
      </x:c>
    </x:row>
    <x:row r="1004">
      <x:c r="A1004" s="1" t="str">
        <x:f>'Данные'!A1004</x:f>
        <x:v>295586341</x:v>
      </x:c>
      <x:c r="B1004" s="1" t="str">
        <x:f>'Данные'!B1004</x:f>
        <x:v>hudiman2/серыймеланж2</x:v>
      </x:c>
      <x:c r="C1004" s="8" t="n">
        <x:f>'Данные'!G1004</x:f>
        <x:v>119049</x:v>
      </x:c>
      <x:c r="D1004" s="15" t="n">
        <x:f>C1004/SUM($C$5:$C$2477)</x:f>
        <x:v>0.0001390758548057889</x:v>
      </x:c>
      <x:c r="E1004" s="15" t="n">
        <x:f>SUM($D$5:D1004)</x:f>
        <x:v>0.9686934595461613</x:v>
      </x:c>
      <x:c r="F1004" s="1" t="str">
        <x:f>IF(C1004&lt;=0,"C",IF(E1004-D1004&lt;'Дашборд'!$C$49,"A",IF(E1004-D1004&lt;'Дашборд'!$C$50,"B","C")))</x:f>
        <x:v>C</x:v>
      </x:c>
      <x:c r="G1004" s="8" t="n">
        <x:f>'Данные'!F1004</x:f>
        <x:v>155</x:v>
      </x:c>
      <x:c r="H1004" s="8" t="n">
        <x:f>SUM('Данные'!H1004:I1004)</x:f>
        <x:v>114</x:v>
      </x:c>
      <x:c r="I1004" s="16" t="n">
        <x:f>IF(H1004&gt;0,G1004/H1004,"n.a.")</x:f>
        <x:v>1.3596491228070176</x:v>
      </x:c>
      <x:c r="J1004" s="10" t="n">
        <x:f>IF('Данные'!E1004&gt;0,G1004/'Данные'!E1004,"n.a.")</x:f>
        <x:v>0.015255905511811024</x:v>
      </x:c>
      <x:c r="K1004" s="1" t="str">
        <x:f>IF(G1004&gt;='Дашборд'!$C$51,"X","Z")</x:f>
        <x:v>Z</x:v>
      </x:c>
      <x:c r="L1004" s="1" t="str">
        <x:f>IF(H1004=0,IF(G1004&gt;0,"Нет остатка","Нет спроса"),IF(I1004&gt;='Дашборд'!$C$52,"Быстрый","Медленный"))</x:f>
        <x:v>Быстрый</x:v>
      </x:c>
      <x:c r="M1004" s="1" t="str">
        <x:f>IF('Данные'!E1004&lt;'Дашборд'!$C$53,"Мало трафика",IF(J1004&lt;'Дашборд'!$C$9*'Дашборд'!$C$54,"Да","Нет"))</x:f>
        <x:v>Нет</x:v>
      </x:c>
      <x:c r="N1004" s="1" t="str">
        <x:f>IF(AND('Данные'!D1004&gt;='Дашборд'!$C$55,D1004&lt;'Дашборд'!$C$56,'Данные'!E1004&gt;='Дашборд'!$C$53,'Данные'!L1004&lt;&gt;"Да"),"Да","Нет")</x:f>
        <x:v>Нет</x:v>
      </x:c>
      <x:c r="O1004" s="1" t="str">
        <x:f>'Данные'!L1004</x:f>
        <x:v>Нет</x:v>
      </x:c>
    </x:row>
    <x:row r="1005">
      <x:c r="A1005" s="1" t="str">
        <x:f>'Данные'!A1005</x:f>
        <x:v>237893880</x:v>
      </x:c>
      <x:c r="B1005" s="1" t="str">
        <x:f>'Данные'!B1005</x:f>
        <x:v>svitzipcroppetl/песочный</x:v>
      </x:c>
      <x:c r="C1005" s="8" t="n">
        <x:f>'Данные'!G1005</x:f>
        <x:v>118836</x:v>
      </x:c>
      <x:c r="D1005" s="15" t="n">
        <x:f>C1005/SUM($C$5:$C$2477)</x:f>
        <x:v>0.00013882702317281732</x:v>
      </x:c>
      <x:c r="E1005" s="15" t="n">
        <x:f>SUM($D$5:D1005)</x:f>
        <x:v>0.9688322865693341</x:v>
      </x:c>
      <x:c r="F1005" s="1" t="str">
        <x:f>IF(C1005&lt;=0,"C",IF(E1005-D1005&lt;'Дашборд'!$C$49,"A",IF(E1005-D1005&lt;'Дашборд'!$C$50,"B","C")))</x:f>
        <x:v>C</x:v>
      </x:c>
      <x:c r="G1005" s="8" t="n">
        <x:f>'Данные'!F1005</x:f>
        <x:v>196</x:v>
      </x:c>
      <x:c r="H1005" s="8" t="n">
        <x:f>SUM('Данные'!H1005:I1005)</x:f>
        <x:v>90</x:v>
      </x:c>
      <x:c r="I1005" s="16" t="n">
        <x:f>IF(H1005&gt;0,G1005/H1005,"n.a.")</x:f>
        <x:v>2.1777777777777776</x:v>
      </x:c>
      <x:c r="J1005" s="10" t="n">
        <x:f>IF('Данные'!E1005&gt;0,G1005/'Данные'!E1005,"n.a.")</x:f>
        <x:v>0.006378754841019299</x:v>
      </x:c>
      <x:c r="K1005" s="1" t="str">
        <x:f>IF(G1005&gt;='Дашборд'!$C$51,"X","Z")</x:f>
        <x:v>Z</x:v>
      </x:c>
      <x:c r="L1005" s="1" t="str">
        <x:f>IF(H1005=0,IF(G1005&gt;0,"Нет остатка","Нет спроса"),IF(I1005&gt;='Дашборд'!$C$52,"Быстрый","Медленный"))</x:f>
        <x:v>Быстрый</x:v>
      </x:c>
      <x:c r="M1005" s="1" t="str">
        <x:f>IF('Данные'!E1005&lt;'Дашборд'!$C$53,"Мало трафика",IF(J1005&lt;'Дашборд'!$C$9*'Дашборд'!$C$54,"Да","Нет"))</x:f>
        <x:v>Да</x:v>
      </x:c>
      <x:c r="N1005" s="1" t="str">
        <x:f>IF(AND('Данные'!D1005&gt;='Дашборд'!$C$55,D1005&lt;'Дашборд'!$C$56,'Данные'!E1005&gt;='Дашборд'!$C$53,'Данные'!L1005&lt;&gt;"Да"),"Да","Нет")</x:f>
        <x:v>Нет</x:v>
      </x:c>
      <x:c r="O1005" s="1" t="str">
        <x:f>'Данные'!L1005</x:f>
        <x:v>Нет</x:v>
      </x:c>
    </x:row>
    <x:row r="1006">
      <x:c r="A1006" s="1" t="str">
        <x:f>'Данные'!A1006</x:f>
        <x:v>202779218</x:v>
      </x:c>
      <x:c r="B1006" s="1" t="str">
        <x:f>'Данные'!B1006</x:f>
        <x:v>hudiprint/Goodthinks-57/молочный</x:v>
      </x:c>
      <x:c r="C1006" s="8" t="n">
        <x:f>'Данные'!G1006</x:f>
        <x:v>118811</x:v>
      </x:c>
      <x:c r="D1006" s="15" t="n">
        <x:f>C1006/SUM($C$5:$C$2477)</x:f>
        <x:v>0.00013879781758209295</x:v>
      </x:c>
      <x:c r="E1006" s="15" t="n">
        <x:f>SUM($D$5:D1006)</x:f>
        <x:v>0.9689710843869161</x:v>
      </x:c>
      <x:c r="F1006" s="1" t="str">
        <x:f>IF(C1006&lt;=0,"C",IF(E1006-D1006&lt;'Дашборд'!$C$49,"A",IF(E1006-D1006&lt;'Дашборд'!$C$50,"B","C")))</x:f>
        <x:v>C</x:v>
      </x:c>
      <x:c r="G1006" s="8" t="n">
        <x:f>'Данные'!F1006</x:f>
        <x:v>93</x:v>
      </x:c>
      <x:c r="H1006" s="8" t="n">
        <x:f>SUM('Данные'!H1006:I1006)</x:f>
        <x:v>0</x:v>
      </x:c>
      <x:c r="I1006" s="16" t="str">
        <x:f>IF(H1006&gt;0,G1006/H1006,"n.a.")</x:f>
        <x:v>n.a.</x:v>
      </x:c>
      <x:c r="J1006" s="10" t="n">
        <x:f>IF('Данные'!E1006&gt;0,G1006/'Данные'!E1006,"n.a.")</x:f>
        <x:v>0.01167754897036665</x:v>
      </x:c>
      <x:c r="K1006" s="1" t="str">
        <x:f>IF(G1006&gt;='Дашборд'!$C$51,"X","Z")</x:f>
        <x:v>Z</x:v>
      </x:c>
      <x:c r="L1006" s="1" t="str">
        <x:f>IF(H1006=0,IF(G1006&gt;0,"Нет остатка","Нет спроса"),IF(I1006&gt;='Дашборд'!$C$52,"Быстрый","Медленный"))</x:f>
        <x:v>Нет остатка</x:v>
      </x:c>
      <x:c r="M1006" s="1" t="str">
        <x:f>IF('Данные'!E1006&lt;'Дашборд'!$C$53,"Мало трафика",IF(J1006&lt;'Дашборд'!$C$9*'Дашборд'!$C$54,"Да","Нет"))</x:f>
        <x:v>Нет</x:v>
      </x:c>
      <x:c r="N1006" s="1" t="str">
        <x:f>IF(AND('Данные'!D1006&gt;='Дашборд'!$C$55,D1006&lt;'Дашборд'!$C$56,'Данные'!E1006&gt;='Дашборд'!$C$53,'Данные'!L1006&lt;&gt;"Да"),"Да","Нет")</x:f>
        <x:v>Да</x:v>
      </x:c>
      <x:c r="O1006" s="1" t="str">
        <x:f>'Данные'!L1006</x:f>
        <x:v>Нет</x:v>
      </x:c>
    </x:row>
    <x:row r="1007">
      <x:c r="A1007" s="1" t="str">
        <x:f>'Данные'!A1007</x:f>
        <x:v>221519600</x:v>
      </x:c>
      <x:c r="B1007" s="1" t="str">
        <x:f>'Данные'!B1007</x:f>
        <x:v>futbolkaover/персиковый</x:v>
      </x:c>
      <x:c r="C1007" s="8" t="n">
        <x:f>'Данные'!G1007</x:f>
        <x:v>118752</x:v>
      </x:c>
      <x:c r="D1007" s="15" t="n">
        <x:f>C1007/SUM($C$5:$C$2477)</x:f>
        <x:v>0.00013872889238798346</x:v>
      </x:c>
      <x:c r="E1007" s="15" t="n">
        <x:f>SUM($D$5:D1007)</x:f>
        <x:v>0.9691098132793041</x:v>
      </x:c>
      <x:c r="F1007" s="1" t="str">
        <x:f>IF(C1007&lt;=0,"C",IF(E1007-D1007&lt;'Дашборд'!$C$49,"A",IF(E1007-D1007&lt;'Дашборд'!$C$50,"B","C")))</x:f>
        <x:v>C</x:v>
      </x:c>
      <x:c r="G1007" s="8" t="n">
        <x:f>'Данные'!F1007</x:f>
        <x:v>261</x:v>
      </x:c>
      <x:c r="H1007" s="8" t="n">
        <x:f>SUM('Данные'!H1007:I1007)</x:f>
        <x:v>43</x:v>
      </x:c>
      <x:c r="I1007" s="16" t="n">
        <x:f>IF(H1007&gt;0,G1007/H1007,"n.a.")</x:f>
        <x:v>6.069767441860465</x:v>
      </x:c>
      <x:c r="J1007" s="10" t="n">
        <x:f>IF('Данные'!E1007&gt;0,G1007/'Данные'!E1007,"n.a.")</x:f>
        <x:v>0.006001655629139073</x:v>
      </x:c>
      <x:c r="K1007" s="1" t="str">
        <x:f>IF(G1007&gt;='Дашборд'!$C$51,"X","Z")</x:f>
        <x:v>Z</x:v>
      </x:c>
      <x:c r="L1007" s="1" t="str">
        <x:f>IF(H1007=0,IF(G1007&gt;0,"Нет остатка","Нет спроса"),IF(I1007&gt;='Дашборд'!$C$52,"Быстрый","Медленный"))</x:f>
        <x:v>Быстрый</x:v>
      </x:c>
      <x:c r="M1007" s="1" t="str">
        <x:f>IF('Данные'!E1007&lt;'Дашборд'!$C$53,"Мало трафика",IF(J1007&lt;'Дашборд'!$C$9*'Дашборд'!$C$54,"Да","Нет"))</x:f>
        <x:v>Да</x:v>
      </x:c>
      <x:c r="N1007" s="1" t="str">
        <x:f>IF(AND('Данные'!D1007&gt;='Дашборд'!$C$55,D1007&lt;'Дашборд'!$C$56,'Данные'!E1007&gt;='Дашборд'!$C$53,'Данные'!L1007&lt;&gt;"Да"),"Да","Нет")</x:f>
        <x:v>Да</x:v>
      </x:c>
      <x:c r="O1007" s="1" t="str">
        <x:f>'Данные'!L1007</x:f>
        <x:v>Нет</x:v>
      </x:c>
    </x:row>
    <x:row r="1008">
      <x:c r="A1008" s="1" t="str">
        <x:f>'Данные'!A1008</x:f>
        <x:v>325064129</x:v>
      </x:c>
      <x:c r="B1008" s="1" t="str">
        <x:f>'Данные'!B1008</x:f>
        <x:v>svitfix3F-77/коричневый</x:v>
      </x:c>
      <x:c r="C1008" s="8" t="n">
        <x:f>'Данные'!G1008</x:f>
        <x:v>118733</x:v>
      </x:c>
      <x:c r="D1008" s="15" t="n">
        <x:f>C1008/SUM($C$5:$C$2477)</x:f>
        <x:v>0.00013870669613903294</x:v>
      </x:c>
      <x:c r="E1008" s="15" t="n">
        <x:f>SUM($D$5:D1008)</x:f>
        <x:v>0.9692485199754431</x:v>
      </x:c>
      <x:c r="F1008" s="1" t="str">
        <x:f>IF(C1008&lt;=0,"C",IF(E1008-D1008&lt;'Дашборд'!$C$49,"A",IF(E1008-D1008&lt;'Дашборд'!$C$50,"B","C")))</x:f>
        <x:v>C</x:v>
      </x:c>
      <x:c r="G1008" s="8" t="n">
        <x:f>'Данные'!F1008</x:f>
        <x:v>176</x:v>
      </x:c>
      <x:c r="H1008" s="8" t="n">
        <x:f>SUM('Данные'!H1008:I1008)</x:f>
        <x:v>1</x:v>
      </x:c>
      <x:c r="I1008" s="16" t="n">
        <x:f>IF(H1008&gt;0,G1008/H1008,"n.a.")</x:f>
        <x:v>176</x:v>
      </x:c>
      <x:c r="J1008" s="10" t="n">
        <x:f>IF('Данные'!E1008&gt;0,G1008/'Данные'!E1008,"n.a.")</x:f>
        <x:v>0.014332247557003257</x:v>
      </x:c>
      <x:c r="K1008" s="1" t="str">
        <x:f>IF(G1008&gt;='Дашборд'!$C$51,"X","Z")</x:f>
        <x:v>Z</x:v>
      </x:c>
      <x:c r="L1008" s="1" t="str">
        <x:f>IF(H1008=0,IF(G1008&gt;0,"Нет остатка","Нет спроса"),IF(I1008&gt;='Дашборд'!$C$52,"Быстрый","Медленный"))</x:f>
        <x:v>Быстрый</x:v>
      </x:c>
      <x:c r="M1008" s="1" t="str">
        <x:f>IF('Данные'!E1008&lt;'Дашборд'!$C$53,"Мало трафика",IF(J1008&lt;'Дашборд'!$C$9*'Дашборд'!$C$54,"Да","Нет"))</x:f>
        <x:v>Нет</x:v>
      </x:c>
      <x:c r="N1008" s="1" t="str">
        <x:f>IF(AND('Данные'!D1008&gt;='Дашборд'!$C$55,D1008&lt;'Дашборд'!$C$56,'Данные'!E1008&gt;='Дашборд'!$C$53,'Данные'!L1008&lt;&gt;"Да"),"Да","Нет")</x:f>
        <x:v>Нет</x:v>
      </x:c>
      <x:c r="O1008" s="1" t="str">
        <x:f>'Данные'!L1008</x:f>
        <x:v>Нет</x:v>
      </x:c>
    </x:row>
    <x:row r="1009">
      <x:c r="A1009" s="1" t="str">
        <x:f>'Данные'!A1009</x:f>
        <x:v>235988737</x:v>
      </x:c>
      <x:c r="B1009" s="1" t="str">
        <x:f>'Данные'!B1009</x:f>
        <x:v>brukipetl/светло-розовый</x:v>
      </x:c>
      <x:c r="C1009" s="8" t="n">
        <x:f>'Данные'!G1009</x:f>
        <x:v>118526</x:v>
      </x:c>
      <x:c r="D1009" s="15" t="n">
        <x:f>C1009/SUM($C$5:$C$2477)</x:f>
        <x:v>0.00013846487384783522</x:v>
      </x:c>
      <x:c r="E1009" s="15" t="n">
        <x:f>SUM($D$5:D1009)</x:f>
        <x:v>0.969386984849291</x:v>
      </x:c>
      <x:c r="F1009" s="1" t="str">
        <x:f>IF(C1009&lt;=0,"C",IF(E1009-D1009&lt;'Дашборд'!$C$49,"A",IF(E1009-D1009&lt;'Дашборд'!$C$50,"B","C")))</x:f>
        <x:v>C</x:v>
      </x:c>
      <x:c r="G1009" s="8" t="n">
        <x:f>'Данные'!F1009</x:f>
        <x:v>276</x:v>
      </x:c>
      <x:c r="H1009" s="8" t="n">
        <x:f>SUM('Данные'!H1009:I1009)</x:f>
        <x:v>67</x:v>
      </x:c>
      <x:c r="I1009" s="16" t="n">
        <x:f>IF(H1009&gt;0,G1009/H1009,"n.a.")</x:f>
        <x:v>4.119402985074627</x:v>
      </x:c>
      <x:c r="J1009" s="10" t="n">
        <x:f>IF('Данные'!E1009&gt;0,G1009/'Данные'!E1009,"n.a.")</x:f>
        <x:v>0.010745153001635132</x:v>
      </x:c>
      <x:c r="K1009" s="1" t="str">
        <x:f>IF(G1009&gt;='Дашборд'!$C$51,"X","Z")</x:f>
        <x:v>X</x:v>
      </x:c>
      <x:c r="L1009" s="1" t="str">
        <x:f>IF(H1009=0,IF(G1009&gt;0,"Нет остатка","Нет спроса"),IF(I1009&gt;='Дашборд'!$C$52,"Быстрый","Медленный"))</x:f>
        <x:v>Быстрый</x:v>
      </x:c>
      <x:c r="M1009" s="1" t="str">
        <x:f>IF('Данные'!E1009&lt;'Дашборд'!$C$53,"Мало трафика",IF(J1009&lt;'Дашборд'!$C$9*'Дашборд'!$C$54,"Да","Нет"))</x:f>
        <x:v>Нет</x:v>
      </x:c>
      <x:c r="N1009" s="1" t="str">
        <x:f>IF(AND('Данные'!D1009&gt;='Дашборд'!$C$55,D1009&lt;'Дашборд'!$C$56,'Данные'!E1009&gt;='Дашборд'!$C$53,'Данные'!L1009&lt;&gt;"Да"),"Да","Нет")</x:f>
        <x:v>Нет</x:v>
      </x:c>
      <x:c r="O1009" s="1" t="str">
        <x:f>'Данные'!L1009</x:f>
        <x:v>Нет</x:v>
      </x:c>
    </x:row>
    <x:row r="1010">
      <x:c r="A1010" s="1" t="str">
        <x:f>'Данные'!A1010</x:f>
        <x:v>211855720</x:v>
      </x:c>
      <x:c r="B1010" s="1" t="str">
        <x:f>'Данные'!B1010</x:f>
        <x:v>kulirkamanprint/CLFSD-79/молочный</x:v>
      </x:c>
      <x:c r="C1010" s="8" t="n">
        <x:f>'Данные'!G1010</x:f>
        <x:v>118485</x:v>
      </x:c>
      <x:c r="D1010" s="15" t="n">
        <x:f>C1010/SUM($C$5:$C$2477)</x:f>
        <x:v>0.00013841697667904725</x:v>
      </x:c>
      <x:c r="E1010" s="15" t="n">
        <x:f>SUM($D$5:D1010)</x:f>
        <x:v>0.96952540182597</x:v>
      </x:c>
      <x:c r="F1010" s="1" t="str">
        <x:f>IF(C1010&lt;=0,"C",IF(E1010-D1010&lt;'Дашборд'!$C$49,"A",IF(E1010-D1010&lt;'Дашборд'!$C$50,"B","C")))</x:f>
        <x:v>C</x:v>
      </x:c>
      <x:c r="G1010" s="8" t="n">
        <x:f>'Данные'!F1010</x:f>
        <x:v>231</x:v>
      </x:c>
      <x:c r="H1010" s="8" t="n">
        <x:f>SUM('Данные'!H1010:I1010)</x:f>
        <x:v>3</x:v>
      </x:c>
      <x:c r="I1010" s="16" t="n">
        <x:f>IF(H1010&gt;0,G1010/H1010,"n.a.")</x:f>
        <x:v>77</x:v>
      </x:c>
      <x:c r="J1010" s="10" t="n">
        <x:f>IF('Данные'!E1010&gt;0,G1010/'Данные'!E1010,"n.a.")</x:f>
        <x:v>0.021860509132204033</x:v>
      </x:c>
      <x:c r="K1010" s="1" t="str">
        <x:f>IF(G1010&gt;='Дашборд'!$C$51,"X","Z")</x:f>
        <x:v>Z</x:v>
      </x:c>
      <x:c r="L1010" s="1" t="str">
        <x:f>IF(H1010=0,IF(G1010&gt;0,"Нет остатка","Нет спроса"),IF(I1010&gt;='Дашборд'!$C$52,"Быстрый","Медленный"))</x:f>
        <x:v>Быстрый</x:v>
      </x:c>
      <x:c r="M1010" s="1" t="str">
        <x:f>IF('Данные'!E1010&lt;'Дашборд'!$C$53,"Мало трафика",IF(J1010&lt;'Дашборд'!$C$9*'Дашборд'!$C$54,"Да","Нет"))</x:f>
        <x:v>Нет</x:v>
      </x:c>
      <x:c r="N1010" s="1" t="str">
        <x:f>IF(AND('Данные'!D1010&gt;='Дашборд'!$C$55,D1010&lt;'Дашборд'!$C$56,'Данные'!E1010&gt;='Дашборд'!$C$53,'Данные'!L1010&lt;&gt;"Да"),"Да","Нет")</x:f>
        <x:v>Нет</x:v>
      </x:c>
      <x:c r="O1010" s="1" t="str">
        <x:f>'Данные'!L1010</x:f>
        <x:v>Нет</x:v>
      </x:c>
    </x:row>
    <x:row r="1011">
      <x:c r="A1011" s="1" t="str">
        <x:f>'Данные'!A1011</x:f>
        <x:v>343341079</x:v>
      </x:c>
      <x:c r="B1011" s="1" t="str">
        <x:f>'Данные'!B1011</x:f>
        <x:v>futbolkaprint/Stress-303/сине-морской</x:v>
      </x:c>
      <x:c r="C1011" s="8" t="n">
        <x:f>'Данные'!G1011</x:f>
        <x:v>118162</x:v>
      </x:c>
      <x:c r="D1011" s="15" t="n">
        <x:f>C1011/SUM($C$5:$C$2477)</x:f>
        <x:v>0.00013803964044688849</x:v>
      </x:c>
      <x:c r="E1011" s="15" t="n">
        <x:f>SUM($D$5:D1011)</x:f>
        <x:v>0.9696634414664169</x:v>
      </x:c>
      <x:c r="F1011" s="1" t="str">
        <x:f>IF(C1011&lt;=0,"C",IF(E1011-D1011&lt;'Дашборд'!$C$49,"A",IF(E1011-D1011&lt;'Дашборд'!$C$50,"B","C")))</x:f>
        <x:v>C</x:v>
      </x:c>
      <x:c r="G1011" s="8" t="n">
        <x:f>'Данные'!F1011</x:f>
        <x:v>252</x:v>
      </x:c>
      <x:c r="H1011" s="8" t="n">
        <x:f>SUM('Данные'!H1011:I1011)</x:f>
        <x:v>1415</x:v>
      </x:c>
      <x:c r="I1011" s="16" t="n">
        <x:f>IF(H1011&gt;0,G1011/H1011,"n.a.")</x:f>
        <x:v>0.17809187279151945</x:v>
      </x:c>
      <x:c r="J1011" s="10" t="n">
        <x:f>IF('Данные'!E1011&gt;0,G1011/'Данные'!E1011,"n.a.")</x:f>
        <x:v>0.004942436307294016</x:v>
      </x:c>
      <x:c r="K1011" s="1" t="str">
        <x:f>IF(G1011&gt;='Дашборд'!$C$51,"X","Z")</x:f>
        <x:v>Z</x:v>
      </x:c>
      <x:c r="L1011" s="1" t="str">
        <x:f>IF(H1011=0,IF(G1011&gt;0,"Нет остатка","Нет спроса"),IF(I1011&gt;='Дашборд'!$C$52,"Быстрый","Медленный"))</x:f>
        <x:v>Медленный</x:v>
      </x:c>
      <x:c r="M1011" s="1" t="str">
        <x:f>IF('Данные'!E1011&lt;'Дашборд'!$C$53,"Мало трафика",IF(J1011&lt;'Дашборд'!$C$9*'Дашборд'!$C$54,"Да","Нет"))</x:f>
        <x:v>Да</x:v>
      </x:c>
      <x:c r="N1011" s="1" t="str">
        <x:f>IF(AND('Данные'!D1011&gt;='Дашборд'!$C$55,D1011&lt;'Дашборд'!$C$56,'Данные'!E1011&gt;='Дашборд'!$C$53,'Данные'!L1011&lt;&gt;"Да"),"Да","Нет")</x:f>
        <x:v>Да</x:v>
      </x:c>
      <x:c r="O1011" s="1" t="str">
        <x:f>'Данные'!L1011</x:f>
        <x:v>Нет</x:v>
      </x:c>
    </x:row>
    <x:row r="1012">
      <x:c r="A1012" s="1" t="str">
        <x:f>'Данные'!A1012</x:f>
        <x:v>150674012</x:v>
      </x:c>
      <x:c r="B1012" s="1" t="str">
        <x:f>'Данные'!B1012</x:f>
        <x:v>svitshotover/светло-фиолетовый</x:v>
      </x:c>
      <x:c r="C1012" s="8" t="n">
        <x:f>'Данные'!G1012</x:f>
        <x:v>117788</x:v>
      </x:c>
      <x:c r="D1012" s="15" t="n">
        <x:f>C1012/SUM($C$5:$C$2477)</x:f>
        <x:v>0.000137602724809652</x:v>
      </x:c>
      <x:c r="E1012" s="15" t="n">
        <x:f>SUM($D$5:D1012)</x:f>
        <x:v>0.9698010441912266</x:v>
      </x:c>
      <x:c r="F1012" s="1" t="str">
        <x:f>IF(C1012&lt;=0,"C",IF(E1012-D1012&lt;'Дашборд'!$C$49,"A",IF(E1012-D1012&lt;'Дашборд'!$C$50,"B","C")))</x:f>
        <x:v>C</x:v>
      </x:c>
      <x:c r="G1012" s="8" t="n">
        <x:f>'Данные'!F1012</x:f>
        <x:v>141</x:v>
      </x:c>
      <x:c r="H1012" s="8" t="n">
        <x:f>SUM('Данные'!H1012:I1012)</x:f>
        <x:v>161</x:v>
      </x:c>
      <x:c r="I1012" s="16" t="n">
        <x:f>IF(H1012&gt;0,G1012/H1012,"n.a.")</x:f>
        <x:v>0.8757763975155279</x:v>
      </x:c>
      <x:c r="J1012" s="10" t="n">
        <x:f>IF('Данные'!E1012&gt;0,G1012/'Данные'!E1012,"n.a.")</x:f>
        <x:v>0.012991799502441722</x:v>
      </x:c>
      <x:c r="K1012" s="1" t="str">
        <x:f>IF(G1012&gt;='Дашборд'!$C$51,"X","Z")</x:f>
        <x:v>Z</x:v>
      </x:c>
      <x:c r="L1012" s="1" t="str">
        <x:f>IF(H1012=0,IF(G1012&gt;0,"Нет остатка","Нет спроса"),IF(I1012&gt;='Дашборд'!$C$52,"Быстрый","Медленный"))</x:f>
        <x:v>Медленный</x:v>
      </x:c>
      <x:c r="M1012" s="1" t="str">
        <x:f>IF('Данные'!E1012&lt;'Дашборд'!$C$53,"Мало трафика",IF(J1012&lt;'Дашборд'!$C$9*'Дашборд'!$C$54,"Да","Нет"))</x:f>
        <x:v>Нет</x:v>
      </x:c>
      <x:c r="N1012" s="1" t="str">
        <x:f>IF(AND('Данные'!D1012&gt;='Дашборд'!$C$55,D1012&lt;'Дашборд'!$C$56,'Данные'!E1012&gt;='Дашборд'!$C$53,'Данные'!L1012&lt;&gt;"Да"),"Да","Нет")</x:f>
        <x:v>Да</x:v>
      </x:c>
      <x:c r="O1012" s="1" t="str">
        <x:f>'Данные'!L1012</x:f>
        <x:v>Нет</x:v>
      </x:c>
    </x:row>
    <x:row r="1013">
      <x:c r="A1013" s="1" t="str">
        <x:f>'Данные'!A1013</x:f>
        <x:v>300305940</x:v>
      </x:c>
      <x:c r="B1013" s="1" t="str">
        <x:f>'Данные'!B1013</x:f>
        <x:v>palazzonachos/коричневый</x:v>
      </x:c>
      <x:c r="C1013" s="8" t="n">
        <x:f>'Данные'!G1013</x:f>
        <x:v>117578</x:v>
      </x:c>
      <x:c r="D1013" s="15" t="n">
        <x:f>C1013/SUM($C$5:$C$2477)</x:f>
        <x:v>0.00013735739784756734</x:v>
      </x:c>
      <x:c r="E1013" s="15" t="n">
        <x:f>SUM($D$5:D1013)</x:f>
        <x:v>0.9699384015890742</x:v>
      </x:c>
      <x:c r="F1013" s="1" t="str">
        <x:f>IF(C1013&lt;=0,"C",IF(E1013-D1013&lt;'Дашборд'!$C$49,"A",IF(E1013-D1013&lt;'Дашборд'!$C$50,"B","C")))</x:f>
        <x:v>C</x:v>
      </x:c>
      <x:c r="G1013" s="8" t="n">
        <x:f>'Данные'!F1013</x:f>
        <x:v>305</x:v>
      </x:c>
      <x:c r="H1013" s="8" t="n">
        <x:f>SUM('Данные'!H1013:I1013)</x:f>
        <x:v>270</x:v>
      </x:c>
      <x:c r="I1013" s="16" t="n">
        <x:f>IF(H1013&gt;0,G1013/H1013,"n.a.")</x:f>
        <x:v>1.1296296296296295</x:v>
      </x:c>
      <x:c r="J1013" s="10" t="n">
        <x:f>IF('Данные'!E1013&gt;0,G1013/'Данные'!E1013,"n.a.")</x:f>
        <x:v>0.015288986916637425</x:v>
      </x:c>
      <x:c r="K1013" s="1" t="str">
        <x:f>IF(G1013&gt;='Дашборд'!$C$51,"X","Z")</x:f>
        <x:v>X</x:v>
      </x:c>
      <x:c r="L1013" s="1" t="str">
        <x:f>IF(H1013=0,IF(G1013&gt;0,"Нет остатка","Нет спроса"),IF(I1013&gt;='Дашборд'!$C$52,"Быстрый","Медленный"))</x:f>
        <x:v>Быстрый</x:v>
      </x:c>
      <x:c r="M1013" s="1" t="str">
        <x:f>IF('Данные'!E1013&lt;'Дашборд'!$C$53,"Мало трафика",IF(J1013&lt;'Дашборд'!$C$9*'Дашборд'!$C$54,"Да","Нет"))</x:f>
        <x:v>Нет</x:v>
      </x:c>
      <x:c r="N1013" s="1" t="str">
        <x:f>IF(AND('Данные'!D1013&gt;='Дашборд'!$C$55,D1013&lt;'Дашборд'!$C$56,'Данные'!E1013&gt;='Дашборд'!$C$53,'Данные'!L1013&lt;&gt;"Да"),"Да","Нет")</x:f>
        <x:v>Нет</x:v>
      </x:c>
      <x:c r="O1013" s="1" t="str">
        <x:f>'Данные'!L1013</x:f>
        <x:v>Нет</x:v>
      </x:c>
    </x:row>
    <x:row r="1014">
      <x:c r="A1014" s="1" t="str">
        <x:f>'Данные'!A1014</x:f>
        <x:v>288627689</x:v>
      </x:c>
      <x:c r="B1014" s="1" t="str">
        <x:f>'Данные'!B1014</x:f>
        <x:v>kostyum/дымка</x:v>
      </x:c>
      <x:c r="C1014" s="8" t="n">
        <x:f>'Данные'!G1014</x:f>
        <x:v>117308</x:v>
      </x:c>
      <x:c r="D1014" s="15" t="n">
        <x:f>C1014/SUM($C$5:$C$2477)</x:f>
        <x:v>0.00013704197746774424</x:v>
      </x:c>
      <x:c r="E1014" s="15" t="n">
        <x:f>SUM($D$5:D1014)</x:f>
        <x:v>0.970075443566542</x:v>
      </x:c>
      <x:c r="F1014" s="1" t="str">
        <x:f>IF(C1014&lt;=0,"C",IF(E1014-D1014&lt;'Дашборд'!$C$49,"A",IF(E1014-D1014&lt;'Дашборд'!$C$50,"B","C")))</x:f>
        <x:v>C</x:v>
      </x:c>
      <x:c r="G1014" s="8" t="n">
        <x:f>'Данные'!F1014</x:f>
        <x:v>100</x:v>
      </x:c>
      <x:c r="H1014" s="8" t="n">
        <x:f>SUM('Данные'!H1014:I1014)</x:f>
        <x:v>108</x:v>
      </x:c>
      <x:c r="I1014" s="16" t="n">
        <x:f>IF(H1014&gt;0,G1014/H1014,"n.a.")</x:f>
        <x:v>0.9259259259259259</x:v>
      </x:c>
      <x:c r="J1014" s="10" t="n">
        <x:f>IF('Данные'!E1014&gt;0,G1014/'Данные'!E1014,"n.a.")</x:f>
        <x:v>0.004275148561412509</x:v>
      </x:c>
      <x:c r="K1014" s="1" t="str">
        <x:f>IF(G1014&gt;='Дашборд'!$C$51,"X","Z")</x:f>
        <x:v>Z</x:v>
      </x:c>
      <x:c r="L1014" s="1" t="str">
        <x:f>IF(H1014=0,IF(G1014&gt;0,"Нет остатка","Нет спроса"),IF(I1014&gt;='Дашборд'!$C$52,"Быстрый","Медленный"))</x:f>
        <x:v>Медленный</x:v>
      </x:c>
      <x:c r="M1014" s="1" t="str">
        <x:f>IF('Данные'!E1014&lt;'Дашборд'!$C$53,"Мало трафика",IF(J1014&lt;'Дашборд'!$C$9*'Дашборд'!$C$54,"Да","Нет"))</x:f>
        <x:v>Да</x:v>
      </x:c>
      <x:c r="N1014" s="1" t="str">
        <x:f>IF(AND('Данные'!D1014&gt;='Дашборд'!$C$55,D1014&lt;'Дашборд'!$C$56,'Данные'!E1014&gt;='Дашборд'!$C$53,'Данные'!L1014&lt;&gt;"Да"),"Да","Нет")</x:f>
        <x:v>Нет</x:v>
      </x:c>
      <x:c r="O1014" s="1" t="str">
        <x:f>'Данные'!L1014</x:f>
        <x:v>Нет</x:v>
      </x:c>
    </x:row>
    <x:row r="1015">
      <x:c r="A1015" s="1" t="str">
        <x:f>'Данные'!A1015</x:f>
        <x:v>321831818</x:v>
      </x:c>
      <x:c r="B1015" s="1" t="str">
        <x:f>'Данные'!B1015</x:f>
        <x:v>ribmayka3R-S13/белый</x:v>
      </x:c>
      <x:c r="C1015" s="8" t="n">
        <x:f>'Данные'!G1015</x:f>
        <x:v>117243</x:v>
      </x:c>
      <x:c r="D1015" s="15" t="n">
        <x:f>C1015/SUM($C$5:$C$2477)</x:f>
        <x:v>0.0001369660429318609</x:v>
      </x:c>
      <x:c r="E1015" s="15" t="n">
        <x:f>SUM($D$5:D1015)</x:f>
        <x:v>0.9702124096094739</x:v>
      </x:c>
      <x:c r="F1015" s="1" t="str">
        <x:f>IF(C1015&lt;=0,"C",IF(E1015-D1015&lt;'Дашборд'!$C$49,"A",IF(E1015-D1015&lt;'Дашборд'!$C$50,"B","C")))</x:f>
        <x:v>C</x:v>
      </x:c>
      <x:c r="G1015" s="8" t="n">
        <x:f>'Данные'!F1015</x:f>
        <x:v>304</x:v>
      </x:c>
      <x:c r="H1015" s="8" t="n">
        <x:f>SUM('Данные'!H1015:I1015)</x:f>
        <x:v>492</x:v>
      </x:c>
      <x:c r="I1015" s="16" t="n">
        <x:f>IF(H1015&gt;0,G1015/H1015,"n.a.")</x:f>
        <x:v>0.6178861788617886</x:v>
      </x:c>
      <x:c r="J1015" s="10" t="n">
        <x:f>IF('Данные'!E1015&gt;0,G1015/'Данные'!E1015,"n.a.")</x:f>
        <x:v>0.022168744986509153</x:v>
      </x:c>
      <x:c r="K1015" s="1" t="str">
        <x:f>IF(G1015&gt;='Дашборд'!$C$51,"X","Z")</x:f>
        <x:v>X</x:v>
      </x:c>
      <x:c r="L1015" s="1" t="str">
        <x:f>IF(H1015=0,IF(G1015&gt;0,"Нет остатка","Нет спроса"),IF(I1015&gt;='Дашборд'!$C$52,"Быстрый","Медленный"))</x:f>
        <x:v>Медленный</x:v>
      </x:c>
      <x:c r="M1015" s="1" t="str">
        <x:f>IF('Данные'!E1015&lt;'Дашборд'!$C$53,"Мало трафика",IF(J1015&lt;'Дашборд'!$C$9*'Дашборд'!$C$54,"Да","Нет"))</x:f>
        <x:v>Нет</x:v>
      </x:c>
      <x:c r="N1015" s="1" t="str">
        <x:f>IF(AND('Данные'!D1015&gt;='Дашборд'!$C$55,D1015&lt;'Дашборд'!$C$56,'Данные'!E1015&gt;='Дашборд'!$C$53,'Данные'!L1015&lt;&gt;"Да"),"Да","Нет")</x:f>
        <x:v>Да</x:v>
      </x:c>
      <x:c r="O1015" s="1" t="str">
        <x:f>'Данные'!L1015</x:f>
        <x:v>Нет</x:v>
      </x:c>
    </x:row>
    <x:row r="1016">
      <x:c r="A1016" s="1" t="str">
        <x:f>'Данные'!A1016</x:f>
        <x:v>222802033</x:v>
      </x:c>
      <x:c r="B1016" s="1" t="str">
        <x:f>'Данные'!B1016</x:f>
        <x:v>hudipetl/розовый</x:v>
      </x:c>
      <x:c r="C1016" s="8" t="n">
        <x:f>'Данные'!G1016</x:f>
        <x:v>117224</x:v>
      </x:c>
      <x:c r="D1016" s="15" t="n">
        <x:f>C1016/SUM($C$5:$C$2477)</x:f>
        <x:v>0.00013694384668291038</x:v>
      </x:c>
      <x:c r="E1016" s="15" t="n">
        <x:f>SUM($D$5:D1016)</x:f>
        <x:v>0.9703493534561568</x:v>
      </x:c>
      <x:c r="F1016" s="1" t="str">
        <x:f>IF(C1016&lt;=0,"C",IF(E1016-D1016&lt;'Дашборд'!$C$49,"A",IF(E1016-D1016&lt;'Дашборд'!$C$50,"B","C")))</x:f>
        <x:v>C</x:v>
      </x:c>
      <x:c r="G1016" s="8" t="n">
        <x:f>'Данные'!F1016</x:f>
        <x:v>108</x:v>
      </x:c>
      <x:c r="H1016" s="8" t="n">
        <x:f>SUM('Данные'!H1016:I1016)</x:f>
        <x:v>0</x:v>
      </x:c>
      <x:c r="I1016" s="16" t="str">
        <x:f>IF(H1016&gt;0,G1016/H1016,"n.a.")</x:f>
        <x:v>n.a.</x:v>
      </x:c>
      <x:c r="J1016" s="10" t="n">
        <x:f>IF('Данные'!E1016&gt;0,G1016/'Данные'!E1016,"n.a.")</x:f>
        <x:v>0.006680274633512711</x:v>
      </x:c>
      <x:c r="K1016" s="1" t="str">
        <x:f>IF(G1016&gt;='Дашборд'!$C$51,"X","Z")</x:f>
        <x:v>Z</x:v>
      </x:c>
      <x:c r="L1016" s="1" t="str">
        <x:f>IF(H1016=0,IF(G1016&gt;0,"Нет остатка","Нет спроса"),IF(I1016&gt;='Дашборд'!$C$52,"Быстрый","Медленный"))</x:f>
        <x:v>Нет остатка</x:v>
      </x:c>
      <x:c r="M1016" s="1" t="str">
        <x:f>IF('Данные'!E1016&lt;'Дашборд'!$C$53,"Мало трафика",IF(J1016&lt;'Дашборд'!$C$9*'Дашборд'!$C$54,"Да","Нет"))</x:f>
        <x:v>Да</x:v>
      </x:c>
      <x:c r="N1016" s="1" t="str">
        <x:f>IF(AND('Данные'!D1016&gt;='Дашборд'!$C$55,D1016&lt;'Дашборд'!$C$56,'Данные'!E1016&gt;='Дашборд'!$C$53,'Данные'!L1016&lt;&gt;"Да"),"Да","Нет")</x:f>
        <x:v>Нет</x:v>
      </x:c>
      <x:c r="O1016" s="1" t="str">
        <x:f>'Данные'!L1016</x:f>
        <x:v>Нет</x:v>
      </x:c>
    </x:row>
    <x:row r="1017">
      <x:c r="A1017" s="1" t="str">
        <x:f>'Данные'!A1017</x:f>
        <x:v>202399694</x:v>
      </x:c>
      <x:c r="B1017" s="1" t="str">
        <x:f>'Данные'!B1017</x:f>
        <x:v>hudimanprint/Brukman-42/молочный</x:v>
      </x:c>
      <x:c r="C1017" s="8" t="n">
        <x:f>'Данные'!G1017</x:f>
        <x:v>116783</x:v>
      </x:c>
      <x:c r="D1017" s="15" t="n">
        <x:f>C1017/SUM($C$5:$C$2477)</x:f>
        <x:v>0.00013642866006253261</x:v>
      </x:c>
      <x:c r="E1017" s="15" t="n">
        <x:f>SUM($D$5:D1017)</x:f>
        <x:v>0.9704857821162194</x:v>
      </x:c>
      <x:c r="F1017" s="1" t="str">
        <x:f>IF(C1017&lt;=0,"C",IF(E1017-D1017&lt;'Дашборд'!$C$49,"A",IF(E1017-D1017&lt;'Дашборд'!$C$50,"B","C")))</x:f>
        <x:v>C</x:v>
      </x:c>
      <x:c r="G1017" s="8" t="n">
        <x:f>'Данные'!F1017</x:f>
        <x:v>155</x:v>
      </x:c>
      <x:c r="H1017" s="8" t="n">
        <x:f>SUM('Данные'!H1017:I1017)</x:f>
        <x:v>146</x:v>
      </x:c>
      <x:c r="I1017" s="16" t="n">
        <x:f>IF(H1017&gt;0,G1017/H1017,"n.a.")</x:f>
        <x:v>1.0616438356164384</x:v>
      </x:c>
      <x:c r="J1017" s="10" t="n">
        <x:f>IF('Данные'!E1017&gt;0,G1017/'Данные'!E1017,"n.a.")</x:f>
        <x:v>0.01903475377624954</x:v>
      </x:c>
      <x:c r="K1017" s="1" t="str">
        <x:f>IF(G1017&gt;='Дашборд'!$C$51,"X","Z")</x:f>
        <x:v>Z</x:v>
      </x:c>
      <x:c r="L1017" s="1" t="str">
        <x:f>IF(H1017=0,IF(G1017&gt;0,"Нет остатка","Нет спроса"),IF(I1017&gt;='Дашборд'!$C$52,"Быстрый","Медленный"))</x:f>
        <x:v>Быстрый</x:v>
      </x:c>
      <x:c r="M1017" s="1" t="str">
        <x:f>IF('Данные'!E1017&lt;'Дашборд'!$C$53,"Мало трафика",IF(J1017&lt;'Дашборд'!$C$9*'Дашборд'!$C$54,"Да","Нет"))</x:f>
        <x:v>Нет</x:v>
      </x:c>
      <x:c r="N1017" s="1" t="str">
        <x:f>IF(AND('Данные'!D1017&gt;='Дашборд'!$C$55,D1017&lt;'Дашборд'!$C$56,'Данные'!E1017&gt;='Дашборд'!$C$53,'Данные'!L1017&lt;&gt;"Да"),"Да","Нет")</x:f>
        <x:v>Да</x:v>
      </x:c>
      <x:c r="O1017" s="1" t="str">
        <x:f>'Данные'!L1017</x:f>
        <x:v>Нет</x:v>
      </x:c>
    </x:row>
    <x:row r="1018">
      <x:c r="A1018" s="1" t="str">
        <x:f>'Данные'!A1018</x:f>
        <x:v>320414103</x:v>
      </x:c>
      <x:c r="B1018" s="1" t="str">
        <x:f>'Данные'!B1018</x:f>
        <x:v>svitfix3F-77/дымка</x:v>
      </x:c>
      <x:c r="C1018" s="8" t="n">
        <x:f>'Данные'!G1018</x:f>
        <x:v>115697</x:v>
      </x:c>
      <x:c r="D1018" s="15" t="n">
        <x:f>C1018/SUM($C$5:$C$2477)</x:f>
        <x:v>0.00013515996920146627</x:v>
      </x:c>
      <x:c r="E1018" s="15" t="n">
        <x:f>SUM($D$5:D1018)</x:f>
        <x:v>0.9706209420854208</x:v>
      </x:c>
      <x:c r="F1018" s="1" t="str">
        <x:f>IF(C1018&lt;=0,"C",IF(E1018-D1018&lt;'Дашборд'!$C$49,"A",IF(E1018-D1018&lt;'Дашборд'!$C$50,"B","C")))</x:f>
        <x:v>C</x:v>
      </x:c>
      <x:c r="G1018" s="8" t="n">
        <x:f>'Данные'!F1018</x:f>
        <x:v>134</x:v>
      </x:c>
      <x:c r="H1018" s="8" t="n">
        <x:f>SUM('Данные'!H1018:I1018)</x:f>
        <x:v>2</x:v>
      </x:c>
      <x:c r="I1018" s="16" t="n">
        <x:f>IF(H1018&gt;0,G1018/H1018,"n.a.")</x:f>
        <x:v>67</x:v>
      </x:c>
      <x:c r="J1018" s="10" t="n">
        <x:f>IF('Данные'!E1018&gt;0,G1018/'Данные'!E1018,"n.a.")</x:f>
        <x:v>0.008193213084683583</x:v>
      </x:c>
      <x:c r="K1018" s="1" t="str">
        <x:f>IF(G1018&gt;='Дашборд'!$C$51,"X","Z")</x:f>
        <x:v>Z</x:v>
      </x:c>
      <x:c r="L1018" s="1" t="str">
        <x:f>IF(H1018=0,IF(G1018&gt;0,"Нет остатка","Нет спроса"),IF(I1018&gt;='Дашборд'!$C$52,"Быстрый","Медленный"))</x:f>
        <x:v>Быстрый</x:v>
      </x:c>
      <x:c r="M1018" s="1" t="str">
        <x:f>IF('Данные'!E1018&lt;'Дашборд'!$C$53,"Мало трафика",IF(J1018&lt;'Дашборд'!$C$9*'Дашборд'!$C$54,"Да","Нет"))</x:f>
        <x:v>Да</x:v>
      </x:c>
      <x:c r="N1018" s="1" t="str">
        <x:f>IF(AND('Данные'!D1018&gt;='Дашборд'!$C$55,D1018&lt;'Дашборд'!$C$56,'Данные'!E1018&gt;='Дашборд'!$C$53,'Данные'!L1018&lt;&gt;"Да"),"Да","Нет")</x:f>
        <x:v>Нет</x:v>
      </x:c>
      <x:c r="O1018" s="1" t="str">
        <x:f>'Данные'!L1018</x:f>
        <x:v>Нет</x:v>
      </x:c>
    </x:row>
    <x:row r="1019">
      <x:c r="A1019" s="1" t="str">
        <x:f>'Данные'!A1019</x:f>
        <x:v>235988739</x:v>
      </x:c>
      <x:c r="B1019" s="1" t="str">
        <x:f>'Данные'!B1019</x:f>
        <x:v>brukipetl/розовый</x:v>
      </x:c>
      <x:c r="C1019" s="8" t="n">
        <x:f>'Данные'!G1019</x:f>
        <x:v>115483</x:v>
      </x:c>
      <x:c r="D1019" s="15" t="n">
        <x:f>C1019/SUM($C$5:$C$2477)</x:f>
        <x:v>0.00013490996934486572</x:v>
      </x:c>
      <x:c r="E1019" s="15" t="n">
        <x:f>SUM($D$5:D1019)</x:f>
        <x:v>0.9707558520547657</x:v>
      </x:c>
      <x:c r="F1019" s="1" t="str">
        <x:f>IF(C1019&lt;=0,"C",IF(E1019-D1019&lt;'Дашборд'!$C$49,"A",IF(E1019-D1019&lt;'Дашборд'!$C$50,"B","C")))</x:f>
        <x:v>C</x:v>
      </x:c>
      <x:c r="G1019" s="8" t="n">
        <x:f>'Данные'!F1019</x:f>
        <x:v>162</x:v>
      </x:c>
      <x:c r="H1019" s="8" t="n">
        <x:f>SUM('Данные'!H1019:I1019)</x:f>
        <x:v>7</x:v>
      </x:c>
      <x:c r="I1019" s="16" t="n">
        <x:f>IF(H1019&gt;0,G1019/H1019,"n.a.")</x:f>
        <x:v>23.142857142857142</x:v>
      </x:c>
      <x:c r="J1019" s="10" t="n">
        <x:f>IF('Данные'!E1019&gt;0,G1019/'Данные'!E1019,"n.a.")</x:f>
        <x:v>0.015477214101461736</x:v>
      </x:c>
      <x:c r="K1019" s="1" t="str">
        <x:f>IF(G1019&gt;='Дашборд'!$C$51,"X","Z")</x:f>
        <x:v>Z</x:v>
      </x:c>
      <x:c r="L1019" s="1" t="str">
        <x:f>IF(H1019=0,IF(G1019&gt;0,"Нет остатка","Нет спроса"),IF(I1019&gt;='Дашборд'!$C$52,"Быстрый","Медленный"))</x:f>
        <x:v>Быстрый</x:v>
      </x:c>
      <x:c r="M1019" s="1" t="str">
        <x:f>IF('Данные'!E1019&lt;'Дашборд'!$C$53,"Мало трафика",IF(J1019&lt;'Дашборд'!$C$9*'Дашборд'!$C$54,"Да","Нет"))</x:f>
        <x:v>Нет</x:v>
      </x:c>
      <x:c r="N1019" s="1" t="str">
        <x:f>IF(AND('Данные'!D1019&gt;='Дашборд'!$C$55,D1019&lt;'Дашборд'!$C$56,'Данные'!E1019&gt;='Дашборд'!$C$53,'Данные'!L1019&lt;&gt;"Да"),"Да","Нет")</x:f>
        <x:v>Нет</x:v>
      </x:c>
      <x:c r="O1019" s="1" t="str">
        <x:f>'Данные'!L1019</x:f>
        <x:v>Нет</x:v>
      </x:c>
    </x:row>
    <x:row r="1020">
      <x:c r="A1020" s="1" t="str">
        <x:f>'Данные'!A1020</x:f>
        <x:v>325074329</x:v>
      </x:c>
      <x:c r="B1020" s="1" t="str">
        <x:f>'Данные'!B1020</x:f>
        <x:v>futbolkaprint/Phoenix-273/белый</x:v>
      </x:c>
      <x:c r="C1020" s="8" t="n">
        <x:f>'Данные'!G1020</x:f>
        <x:v>115040</x:v>
      </x:c>
      <x:c r="D1020" s="15" t="n">
        <x:f>C1020/SUM($C$5:$C$2477)</x:f>
        <x:v>0.00013439244627722998</x:v>
      </x:c>
      <x:c r="E1020" s="15" t="n">
        <x:f>SUM($D$5:D1020)</x:f>
        <x:v>0.9708902445010429</x:v>
      </x:c>
      <x:c r="F1020" s="1" t="str">
        <x:f>IF(C1020&lt;=0,"C",IF(E1020-D1020&lt;'Дашборд'!$C$49,"A",IF(E1020-D1020&lt;'Дашборд'!$C$50,"B","C")))</x:f>
        <x:v>C</x:v>
      </x:c>
      <x:c r="G1020" s="8" t="n">
        <x:f>'Данные'!F1020</x:f>
        <x:v>180</x:v>
      </x:c>
      <x:c r="H1020" s="8" t="n">
        <x:f>SUM('Данные'!H1020:I1020)</x:f>
        <x:v>298</x:v>
      </x:c>
      <x:c r="I1020" s="16" t="n">
        <x:f>IF(H1020&gt;0,G1020/H1020,"n.a.")</x:f>
        <x:v>0.6040268456375839</x:v>
      </x:c>
      <x:c r="J1020" s="10" t="n">
        <x:f>IF('Данные'!E1020&gt;0,G1020/'Данные'!E1020,"n.a.")</x:f>
        <x:v>0.005161586327531328</x:v>
      </x:c>
      <x:c r="K1020" s="1" t="str">
        <x:f>IF(G1020&gt;='Дашборд'!$C$51,"X","Z")</x:f>
        <x:v>Z</x:v>
      </x:c>
      <x:c r="L1020" s="1" t="str">
        <x:f>IF(H1020=0,IF(G1020&gt;0,"Нет остатка","Нет спроса"),IF(I1020&gt;='Дашборд'!$C$52,"Быстрый","Медленный"))</x:f>
        <x:v>Медленный</x:v>
      </x:c>
      <x:c r="M1020" s="1" t="str">
        <x:f>IF('Данные'!E1020&lt;'Дашборд'!$C$53,"Мало трафика",IF(J1020&lt;'Дашборд'!$C$9*'Дашборд'!$C$54,"Да","Нет"))</x:f>
        <x:v>Да</x:v>
      </x:c>
      <x:c r="N1020" s="1" t="str">
        <x:f>IF(AND('Данные'!D1020&gt;='Дашборд'!$C$55,D1020&lt;'Дашборд'!$C$56,'Данные'!E1020&gt;='Дашборд'!$C$53,'Данные'!L1020&lt;&gt;"Да"),"Да","Нет")</x:f>
        <x:v>Да</x:v>
      </x:c>
      <x:c r="O1020" s="1" t="str">
        <x:f>'Данные'!L1020</x:f>
        <x:v>Нет</x:v>
      </x:c>
    </x:row>
    <x:row r="1021">
      <x:c r="A1021" s="1" t="str">
        <x:f>'Данные'!A1021</x:f>
        <x:v>340608540</x:v>
      </x:c>
      <x:c r="B1021" s="1" t="str">
        <x:f>'Данные'!B1021</x:f>
        <x:v>kulirkaman/графит</x:v>
      </x:c>
      <x:c r="C1021" s="8" t="n">
        <x:f>'Данные'!G1021</x:f>
        <x:v>114700</x:v>
      </x:c>
      <x:c r="D1021" s="15" t="n">
        <x:f>C1021/SUM($C$5:$C$2477)</x:f>
        <x:v>0.00013399525024337865</x:v>
      </x:c>
      <x:c r="E1021" s="15" t="n">
        <x:f>SUM($D$5:D1021)</x:f>
        <x:v>0.9710242397512863</x:v>
      </x:c>
      <x:c r="F1021" s="1" t="str">
        <x:f>IF(C1021&lt;=0,"C",IF(E1021-D1021&lt;'Дашборд'!$C$49,"A",IF(E1021-D1021&lt;'Дашборд'!$C$50,"B","C")))</x:f>
        <x:v>C</x:v>
      </x:c>
      <x:c r="G1021" s="8" t="n">
        <x:f>'Данные'!F1021</x:f>
        <x:v>236</x:v>
      </x:c>
      <x:c r="H1021" s="8" t="n">
        <x:f>SUM('Данные'!H1021:I1021)</x:f>
        <x:v>1026</x:v>
      </x:c>
      <x:c r="I1021" s="16" t="n">
        <x:f>IF(H1021&gt;0,G1021/H1021,"n.a.")</x:f>
        <x:v>0.2300194931773879</x:v>
      </x:c>
      <x:c r="J1021" s="10" t="n">
        <x:f>IF('Данные'!E1021&gt;0,G1021/'Данные'!E1021,"n.a.")</x:f>
        <x:v>0.01608177172061329</x:v>
      </x:c>
      <x:c r="K1021" s="1" t="str">
        <x:f>IF(G1021&gt;='Дашборд'!$C$51,"X","Z")</x:f>
        <x:v>Z</x:v>
      </x:c>
      <x:c r="L1021" s="1" t="str">
        <x:f>IF(H1021=0,IF(G1021&gt;0,"Нет остатка","Нет спроса"),IF(I1021&gt;='Дашборд'!$C$52,"Быстрый","Медленный"))</x:f>
        <x:v>Медленный</x:v>
      </x:c>
      <x:c r="M1021" s="1" t="str">
        <x:f>IF('Данные'!E1021&lt;'Дашборд'!$C$53,"Мало трафика",IF(J1021&lt;'Дашборд'!$C$9*'Дашборд'!$C$54,"Да","Нет"))</x:f>
        <x:v>Нет</x:v>
      </x:c>
      <x:c r="N1021" s="1" t="str">
        <x:f>IF(AND('Данные'!D1021&gt;='Дашборд'!$C$55,D1021&lt;'Дашборд'!$C$56,'Данные'!E1021&gt;='Дашборд'!$C$53,'Данные'!L1021&lt;&gt;"Да"),"Да","Нет")</x:f>
        <x:v>Нет</x:v>
      </x:c>
      <x:c r="O1021" s="1" t="str">
        <x:f>'Данные'!L1021</x:f>
        <x:v>Нет</x:v>
      </x:c>
    </x:row>
    <x:row r="1022">
      <x:c r="A1022" s="1" t="str">
        <x:f>'Данные'!A1022</x:f>
        <x:v>183793818</x:v>
      </x:c>
      <x:c r="B1022" s="1" t="str">
        <x:f>'Данные'!B1022</x:f>
        <x:v>hudiprint/MEDUSA-17/молочный</x:v>
      </x:c>
      <x:c r="C1022" s="8" t="n">
        <x:f>'Данные'!G1022</x:f>
        <x:v>114060</x:v>
      </x:c>
      <x:c r="D1022" s="15" t="n">
        <x:f>C1022/SUM($C$5:$C$2477)</x:f>
        <x:v>0.00013324758712083496</x:v>
      </x:c>
      <x:c r="E1022" s="15" t="n">
        <x:f>SUM($D$5:D1022)</x:f>
        <x:v>0.9711574873384071</x:v>
      </x:c>
      <x:c r="F1022" s="1" t="str">
        <x:f>IF(C1022&lt;=0,"C",IF(E1022-D1022&lt;'Дашборд'!$C$49,"A",IF(E1022-D1022&lt;'Дашборд'!$C$50,"B","C")))</x:f>
        <x:v>C</x:v>
      </x:c>
      <x:c r="G1022" s="8" t="n">
        <x:f>'Данные'!F1022</x:f>
        <x:v>96</x:v>
      </x:c>
      <x:c r="H1022" s="8" t="n">
        <x:f>SUM('Данные'!H1022:I1022)</x:f>
        <x:v>2</x:v>
      </x:c>
      <x:c r="I1022" s="16" t="n">
        <x:f>IF(H1022&gt;0,G1022/H1022,"n.a.")</x:f>
        <x:v>48</x:v>
      </x:c>
      <x:c r="J1022" s="10" t="n">
        <x:f>IF('Данные'!E1022&gt;0,G1022/'Данные'!E1022,"n.a.")</x:f>
        <x:v>0.008655666756829862</x:v>
      </x:c>
      <x:c r="K1022" s="1" t="str">
        <x:f>IF(G1022&gt;='Дашборд'!$C$51,"X","Z")</x:f>
        <x:v>Z</x:v>
      </x:c>
      <x:c r="L1022" s="1" t="str">
        <x:f>IF(H1022=0,IF(G1022&gt;0,"Нет остатка","Нет спроса"),IF(I1022&gt;='Дашборд'!$C$52,"Быстрый","Медленный"))</x:f>
        <x:v>Быстрый</x:v>
      </x:c>
      <x:c r="M1022" s="1" t="str">
        <x:f>IF('Данные'!E1022&lt;'Дашборд'!$C$53,"Мало трафика",IF(J1022&lt;'Дашборд'!$C$9*'Дашборд'!$C$54,"Да","Нет"))</x:f>
        <x:v>Да</x:v>
      </x:c>
      <x:c r="N1022" s="1" t="str">
        <x:f>IF(AND('Данные'!D1022&gt;='Дашборд'!$C$55,D1022&lt;'Дашборд'!$C$56,'Данные'!E1022&gt;='Дашборд'!$C$53,'Данные'!L1022&lt;&gt;"Да"),"Да","Нет")</x:f>
        <x:v>Нет</x:v>
      </x:c>
      <x:c r="O1022" s="1" t="str">
        <x:f>'Данные'!L1022</x:f>
        <x:v>Нет</x:v>
      </x:c>
    </x:row>
    <x:row r="1023">
      <x:c r="A1023" s="1" t="str">
        <x:f>'Данные'!A1023</x:f>
        <x:v>160478498</x:v>
      </x:c>
      <x:c r="B1023" s="1" t="str">
        <x:f>'Данные'!B1023</x:f>
        <x:v>shortyman/песочный</x:v>
      </x:c>
      <x:c r="C1023" s="8" t="n">
        <x:f>'Данные'!G1023</x:f>
        <x:v>113752</x:v>
      </x:c>
      <x:c r="D1023" s="15" t="n">
        <x:f>C1023/SUM($C$5:$C$2477)</x:f>
        <x:v>0.0001328877742431108</x:v>
      </x:c>
      <x:c r="E1023" s="15" t="n">
        <x:f>SUM($D$5:D1023)</x:f>
        <x:v>0.9712903751126503</x:v>
      </x:c>
      <x:c r="F1023" s="1" t="str">
        <x:f>IF(C1023&lt;=0,"C",IF(E1023-D1023&lt;'Дашборд'!$C$49,"A",IF(E1023-D1023&lt;'Дашборд'!$C$50,"B","C")))</x:f>
        <x:v>C</x:v>
      </x:c>
      <x:c r="G1023" s="8" t="n">
        <x:f>'Данные'!F1023</x:f>
        <x:v>191</x:v>
      </x:c>
      <x:c r="H1023" s="8" t="n">
        <x:f>SUM('Данные'!H1023:I1023)</x:f>
        <x:v>0</x:v>
      </x:c>
      <x:c r="I1023" s="16" t="str">
        <x:f>IF(H1023&gt;0,G1023/H1023,"n.a.")</x:f>
        <x:v>n.a.</x:v>
      </x:c>
      <x:c r="J1023" s="10" t="n">
        <x:f>IF('Данные'!E1023&gt;0,G1023/'Данные'!E1023,"n.a.")</x:f>
        <x:v>0.01637517146776406</x:v>
      </x:c>
      <x:c r="K1023" s="1" t="str">
        <x:f>IF(G1023&gt;='Дашборд'!$C$51,"X","Z")</x:f>
        <x:v>Z</x:v>
      </x:c>
      <x:c r="L1023" s="1" t="str">
        <x:f>IF(H1023=0,IF(G1023&gt;0,"Нет остатка","Нет спроса"),IF(I1023&gt;='Дашборд'!$C$52,"Быстрый","Медленный"))</x:f>
        <x:v>Нет остатка</x:v>
      </x:c>
      <x:c r="M1023" s="1" t="str">
        <x:f>IF('Данные'!E1023&lt;'Дашборд'!$C$53,"Мало трафика",IF(J1023&lt;'Дашборд'!$C$9*'Дашборд'!$C$54,"Да","Нет"))</x:f>
        <x:v>Нет</x:v>
      </x:c>
      <x:c r="N1023" s="1" t="str">
        <x:f>IF(AND('Данные'!D1023&gt;='Дашборд'!$C$55,D1023&lt;'Дашборд'!$C$56,'Данные'!E1023&gt;='Дашборд'!$C$53,'Данные'!L1023&lt;&gt;"Да"),"Да","Нет")</x:f>
        <x:v>Нет</x:v>
      </x:c>
      <x:c r="O1023" s="1" t="str">
        <x:f>'Данные'!L1023</x:f>
        <x:v>Нет</x:v>
      </x:c>
    </x:row>
    <x:row r="1024">
      <x:c r="A1024" s="1" t="str">
        <x:f>'Данные'!A1024</x:f>
        <x:v>316049263</x:v>
      </x:c>
      <x:c r="B1024" s="1" t="str">
        <x:f>'Данные'!B1024</x:f>
        <x:v>boxerX5/черХ2-серыймеланж2-ссерХ2</x:v>
      </x:c>
      <x:c r="C1024" s="8" t="n">
        <x:f>'Данные'!G1024</x:f>
        <x:v>113720</x:v>
      </x:c>
      <x:c r="D1024" s="15" t="n">
        <x:f>C1024/SUM($C$5:$C$2477)</x:f>
        <x:v>0.00013285039108698363</x:v>
      </x:c>
      <x:c r="E1024" s="15" t="n">
        <x:f>SUM($D$5:D1024)</x:f>
        <x:v>0.9714232255037373</x:v>
      </x:c>
      <x:c r="F1024" s="1" t="str">
        <x:f>IF(C1024&lt;=0,"C",IF(E1024-D1024&lt;'Дашборд'!$C$49,"A",IF(E1024-D1024&lt;'Дашборд'!$C$50,"B","C")))</x:f>
        <x:v>C</x:v>
      </x:c>
      <x:c r="G1024" s="8" t="n">
        <x:f>'Данные'!F1024</x:f>
        <x:v>96</x:v>
      </x:c>
      <x:c r="H1024" s="8" t="n">
        <x:f>SUM('Данные'!H1024:I1024)</x:f>
        <x:v>744</x:v>
      </x:c>
      <x:c r="I1024" s="16" t="n">
        <x:f>IF(H1024&gt;0,G1024/H1024,"n.a.")</x:f>
        <x:v>0.12903225806451613</x:v>
      </x:c>
      <x:c r="J1024" s="10" t="n">
        <x:f>IF('Данные'!E1024&gt;0,G1024/'Данные'!E1024,"n.a.")</x:f>
        <x:v>0.007196941299947523</x:v>
      </x:c>
      <x:c r="K1024" s="1" t="str">
        <x:f>IF(G1024&gt;='Дашборд'!$C$51,"X","Z")</x:f>
        <x:v>Z</x:v>
      </x:c>
      <x:c r="L1024" s="1" t="str">
        <x:f>IF(H1024=0,IF(G1024&gt;0,"Нет остатка","Нет спроса"),IF(I1024&gt;='Дашборд'!$C$52,"Быстрый","Медленный"))</x:f>
        <x:v>Медленный</x:v>
      </x:c>
      <x:c r="M1024" s="1" t="str">
        <x:f>IF('Данные'!E1024&lt;'Дашборд'!$C$53,"Мало трафика",IF(J1024&lt;'Дашборд'!$C$9*'Дашборд'!$C$54,"Да","Нет"))</x:f>
        <x:v>Да</x:v>
      </x:c>
      <x:c r="N1024" s="1" t="str">
        <x:f>IF(AND('Данные'!D1024&gt;='Дашборд'!$C$55,D1024&lt;'Дашборд'!$C$56,'Данные'!E1024&gt;='Дашборд'!$C$53,'Данные'!L1024&lt;&gt;"Да"),"Да","Нет")</x:f>
        <x:v>Нет</x:v>
      </x:c>
      <x:c r="O1024" s="1" t="str">
        <x:f>'Данные'!L1024</x:f>
        <x:v>Нет</x:v>
      </x:c>
    </x:row>
    <x:row r="1025">
      <x:c r="A1025" s="1" t="str">
        <x:f>'Данные'!A1025</x:f>
        <x:v>158427992</x:v>
      </x:c>
      <x:c r="B1025" s="1" t="str">
        <x:f>'Данные'!B1025</x:f>
        <x:v>kostumman/кофейный</x:v>
      </x:c>
      <x:c r="C1025" s="8" t="n">
        <x:f>'Данные'!G1025</x:f>
        <x:v>113566</x:v>
      </x:c>
      <x:c r="D1025" s="15" t="n">
        <x:f>C1025/SUM($C$5:$C$2477)</x:f>
        <x:v>0.00013267048464812154</x:v>
      </x:c>
      <x:c r="E1025" s="15" t="n">
        <x:f>SUM($D$5:D1025)</x:f>
        <x:v>0.9715558959883854</x:v>
      </x:c>
      <x:c r="F1025" s="1" t="str">
        <x:f>IF(C1025&lt;=0,"C",IF(E1025-D1025&lt;'Дашборд'!$C$49,"A",IF(E1025-D1025&lt;'Дашборд'!$C$50,"B","C")))</x:f>
        <x:v>C</x:v>
      </x:c>
      <x:c r="G1025" s="8" t="n">
        <x:f>'Данные'!F1025</x:f>
        <x:v>86</x:v>
      </x:c>
      <x:c r="H1025" s="8" t="n">
        <x:f>SUM('Данные'!H1025:I1025)</x:f>
        <x:v>272</x:v>
      </x:c>
      <x:c r="I1025" s="16" t="n">
        <x:f>IF(H1025&gt;0,G1025/H1025,"n.a.")</x:f>
        <x:v>0.3161764705882353</x:v>
      </x:c>
      <x:c r="J1025" s="10" t="n">
        <x:f>IF('Данные'!E1025&gt;0,G1025/'Данные'!E1025,"n.a.")</x:f>
        <x:v>0.013900113140455795</x:v>
      </x:c>
      <x:c r="K1025" s="1" t="str">
        <x:f>IF(G1025&gt;='Дашборд'!$C$51,"X","Z")</x:f>
        <x:v>Z</x:v>
      </x:c>
      <x:c r="L1025" s="1" t="str">
        <x:f>IF(H1025=0,IF(G1025&gt;0,"Нет остатка","Нет спроса"),IF(I1025&gt;='Дашборд'!$C$52,"Быстрый","Медленный"))</x:f>
        <x:v>Медленный</x:v>
      </x:c>
      <x:c r="M1025" s="1" t="str">
        <x:f>IF('Данные'!E1025&lt;'Дашборд'!$C$53,"Мало трафика",IF(J1025&lt;'Дашборд'!$C$9*'Дашборд'!$C$54,"Да","Нет"))</x:f>
        <x:v>Нет</x:v>
      </x:c>
      <x:c r="N1025" s="1" t="str">
        <x:f>IF(AND('Данные'!D1025&gt;='Дашборд'!$C$55,D1025&lt;'Дашборд'!$C$56,'Данные'!E1025&gt;='Дашборд'!$C$53,'Данные'!L1025&lt;&gt;"Да"),"Да","Нет")</x:f>
        <x:v>Да</x:v>
      </x:c>
      <x:c r="O1025" s="1" t="str">
        <x:f>'Данные'!L1025</x:f>
        <x:v>Нет</x:v>
      </x:c>
    </x:row>
    <x:row r="1026">
      <x:c r="A1026" s="1" t="str">
        <x:f>'Данные'!A1026</x:f>
        <x:v>271720088</x:v>
      </x:c>
      <x:c r="B1026" s="1" t="str">
        <x:f>'Данные'!B1026</x:f>
        <x:v>svitshotman/вареныйсерый</x:v>
      </x:c>
      <x:c r="C1026" s="8" t="n">
        <x:f>'Данные'!G1026</x:f>
        <x:v>113043</x:v>
      </x:c>
      <x:c r="D1026" s="15" t="n">
        <x:f>C1026/SUM($C$5:$C$2477)</x:f>
        <x:v>0.00013205950369016785</x:v>
      </x:c>
      <x:c r="E1026" s="15" t="n">
        <x:f>SUM($D$5:D1026)</x:f>
        <x:v>0.9716879554920757</x:v>
      </x:c>
      <x:c r="F1026" s="1" t="str">
        <x:f>IF(C1026&lt;=0,"C",IF(E1026-D1026&lt;'Дашборд'!$C$49,"A",IF(E1026-D1026&lt;'Дашборд'!$C$50,"B","C")))</x:f>
        <x:v>C</x:v>
      </x:c>
      <x:c r="G1026" s="8" t="n">
        <x:f>'Данные'!F1026</x:f>
        <x:v>116</x:v>
      </x:c>
      <x:c r="H1026" s="8" t="n">
        <x:f>SUM('Данные'!H1026:I1026)</x:f>
        <x:v>637</x:v>
      </x:c>
      <x:c r="I1026" s="16" t="n">
        <x:f>IF(H1026&gt;0,G1026/H1026,"n.a.")</x:f>
        <x:v>0.18210361067503925</x:v>
      </x:c>
      <x:c r="J1026" s="10" t="n">
        <x:f>IF('Данные'!E1026&gt;0,G1026/'Данные'!E1026,"n.a.")</x:f>
        <x:v>0.009750357232915861</x:v>
      </x:c>
      <x:c r="K1026" s="1" t="str">
        <x:f>IF(G1026&gt;='Дашборд'!$C$51,"X","Z")</x:f>
        <x:v>Z</x:v>
      </x:c>
      <x:c r="L1026" s="1" t="str">
        <x:f>IF(H1026=0,IF(G1026&gt;0,"Нет остатка","Нет спроса"),IF(I1026&gt;='Дашборд'!$C$52,"Быстрый","Медленный"))</x:f>
        <x:v>Медленный</x:v>
      </x:c>
      <x:c r="M1026" s="1" t="str">
        <x:f>IF('Данные'!E1026&lt;'Дашборд'!$C$53,"Мало трафика",IF(J1026&lt;'Дашборд'!$C$9*'Дашборд'!$C$54,"Да","Нет"))</x:f>
        <x:v>Да</x:v>
      </x:c>
      <x:c r="N1026" s="1" t="str">
        <x:f>IF(AND('Данные'!D1026&gt;='Дашборд'!$C$55,D1026&lt;'Дашборд'!$C$56,'Данные'!E1026&gt;='Дашборд'!$C$53,'Данные'!L1026&lt;&gt;"Да"),"Да","Нет")</x:f>
        <x:v>Да</x:v>
      </x:c>
      <x:c r="O1026" s="1" t="str">
        <x:f>'Данные'!L1026</x:f>
        <x:v>Нет</x:v>
      </x:c>
    </x:row>
    <x:row r="1027">
      <x:c r="A1027" s="1" t="str">
        <x:f>'Данные'!A1027</x:f>
        <x:v>289098361</x:v>
      </x:c>
      <x:c r="B1027" s="1" t="str">
        <x:f>'Данные'!B1027</x:f>
        <x:v>tolstovkazip3F-71/светло-розовый</x:v>
      </x:c>
      <x:c r="C1027" s="8" t="n">
        <x:f>'Данные'!G1027</x:f>
        <x:v>112988</x:v>
      </x:c>
      <x:c r="D1027" s="15" t="n">
        <x:f>C1027/SUM($C$5:$C$2477)</x:f>
        <x:v>0.00013199525139057425</x:v>
      </x:c>
      <x:c r="E1027" s="15" t="n">
        <x:f>SUM($D$5:D1027)</x:f>
        <x:v>0.9718199507434663</x:v>
      </x:c>
      <x:c r="F1027" s="1" t="str">
        <x:f>IF(C1027&lt;=0,"C",IF(E1027-D1027&lt;'Дашборд'!$C$49,"A",IF(E1027-D1027&lt;'Дашборд'!$C$50,"B","C")))</x:f>
        <x:v>C</x:v>
      </x:c>
      <x:c r="G1027" s="8" t="n">
        <x:f>'Данные'!F1027</x:f>
        <x:v>126</x:v>
      </x:c>
      <x:c r="H1027" s="8" t="n">
        <x:f>SUM('Данные'!H1027:I1027)</x:f>
        <x:v>0</x:v>
      </x:c>
      <x:c r="I1027" s="16" t="str">
        <x:f>IF(H1027&gt;0,G1027/H1027,"n.a.")</x:f>
        <x:v>n.a.</x:v>
      </x:c>
      <x:c r="J1027" s="10" t="n">
        <x:f>IF('Данные'!E1027&gt;0,G1027/'Данные'!E1027,"n.a.")</x:f>
        <x:v>0.005064308681672026</x:v>
      </x:c>
      <x:c r="K1027" s="1" t="str">
        <x:f>IF(G1027&gt;='Дашборд'!$C$51,"X","Z")</x:f>
        <x:v>Z</x:v>
      </x:c>
      <x:c r="L1027" s="1" t="str">
        <x:f>IF(H1027=0,IF(G1027&gt;0,"Нет остатка","Нет спроса"),IF(I1027&gt;='Дашборд'!$C$52,"Быстрый","Медленный"))</x:f>
        <x:v>Нет остатка</x:v>
      </x:c>
      <x:c r="M1027" s="1" t="str">
        <x:f>IF('Данные'!E1027&lt;'Дашборд'!$C$53,"Мало трафика",IF(J1027&lt;'Дашборд'!$C$9*'Дашборд'!$C$54,"Да","Нет"))</x:f>
        <x:v>Да</x:v>
      </x:c>
      <x:c r="N1027" s="1" t="str">
        <x:f>IF(AND('Данные'!D1027&gt;='Дашборд'!$C$55,D1027&lt;'Дашборд'!$C$56,'Данные'!E1027&gt;='Дашборд'!$C$53,'Данные'!L1027&lt;&gt;"Да"),"Да","Нет")</x:f>
        <x:v>Да</x:v>
      </x:c>
      <x:c r="O1027" s="1" t="str">
        <x:f>'Данные'!L1027</x:f>
        <x:v>Нет</x:v>
      </x:c>
    </x:row>
    <x:row r="1028">
      <x:c r="A1028" s="1" t="str">
        <x:f>'Данные'!A1028</x:f>
        <x:v>256332776</x:v>
      </x:c>
      <x:c r="B1028" s="1" t="str">
        <x:f>'Данные'!B1028</x:f>
        <x:v>futhlopman/деним</x:v>
      </x:c>
      <x:c r="C1028" s="8" t="n">
        <x:f>'Данные'!G1028</x:f>
        <x:v>112948</x:v>
      </x:c>
      <x:c r="D1028" s="15" t="n">
        <x:f>C1028/SUM($C$5:$C$2477)</x:f>
        <x:v>0.00013194852244541528</x:v>
      </x:c>
      <x:c r="E1028" s="15" t="n">
        <x:f>SUM($D$5:D1028)</x:f>
        <x:v>0.9719518992659117</x:v>
      </x:c>
      <x:c r="F1028" s="1" t="str">
        <x:f>IF(C1028&lt;=0,"C",IF(E1028-D1028&lt;'Дашборд'!$C$49,"A",IF(E1028-D1028&lt;'Дашборд'!$C$50,"B","C")))</x:f>
        <x:v>C</x:v>
      </x:c>
      <x:c r="G1028" s="8" t="n">
        <x:f>'Данные'!F1028</x:f>
        <x:v>315</x:v>
      </x:c>
      <x:c r="H1028" s="8" t="n">
        <x:f>SUM('Данные'!H1028:I1028)</x:f>
        <x:v>65</x:v>
      </x:c>
      <x:c r="I1028" s="16" t="n">
        <x:f>IF(H1028&gt;0,G1028/H1028,"n.a.")</x:f>
        <x:v>4.846153846153846</x:v>
      </x:c>
      <x:c r="J1028" s="10" t="n">
        <x:f>IF('Данные'!E1028&gt;0,G1028/'Данные'!E1028,"n.a.")</x:f>
        <x:v>0.01325311342982161</x:v>
      </x:c>
      <x:c r="K1028" s="1" t="str">
        <x:f>IF(G1028&gt;='Дашборд'!$C$51,"X","Z")</x:f>
        <x:v>X</x:v>
      </x:c>
      <x:c r="L1028" s="1" t="str">
        <x:f>IF(H1028=0,IF(G1028&gt;0,"Нет остатка","Нет спроса"),IF(I1028&gt;='Дашборд'!$C$52,"Быстрый","Медленный"))</x:f>
        <x:v>Быстрый</x:v>
      </x:c>
      <x:c r="M1028" s="1" t="str">
        <x:f>IF('Данные'!E1028&lt;'Дашборд'!$C$53,"Мало трафика",IF(J1028&lt;'Дашборд'!$C$9*'Дашборд'!$C$54,"Да","Нет"))</x:f>
        <x:v>Нет</x:v>
      </x:c>
      <x:c r="N1028" s="1" t="str">
        <x:f>IF(AND('Данные'!D1028&gt;='Дашборд'!$C$55,D1028&lt;'Дашборд'!$C$56,'Данные'!E1028&gt;='Дашборд'!$C$53,'Данные'!L1028&lt;&gt;"Да"),"Да","Нет")</x:f>
        <x:v>Нет</x:v>
      </x:c>
      <x:c r="O1028" s="1" t="str">
        <x:f>'Данные'!L1028</x:f>
        <x:v>Нет</x:v>
      </x:c>
    </x:row>
    <x:row r="1029">
      <x:c r="A1029" s="1" t="str">
        <x:f>'Данные'!A1029</x:f>
        <x:v>209916476</x:v>
      </x:c>
      <x:c r="B1029" s="1" t="str">
        <x:f>'Данные'!B1029</x:f>
        <x:v>kroptopprint/Los-49/молочный</x:v>
      </x:c>
      <x:c r="C1029" s="8" t="n">
        <x:f>'Данные'!G1029</x:f>
        <x:v>112700</x:v>
      </x:c>
      <x:c r="D1029" s="15" t="n">
        <x:f>C1029/SUM($C$5:$C$2477)</x:f>
        <x:v>0.0001316588029854296</x:v>
      </x:c>
      <x:c r="E1029" s="15" t="n">
        <x:f>SUM($D$5:D1029)</x:f>
        <x:v>0.9720835580688971</x:v>
      </x:c>
      <x:c r="F1029" s="1" t="str">
        <x:f>IF(C1029&lt;=0,"C",IF(E1029-D1029&lt;'Дашборд'!$C$49,"A",IF(E1029-D1029&lt;'Дашборд'!$C$50,"B","C")))</x:f>
        <x:v>C</x:v>
      </x:c>
      <x:c r="G1029" s="8" t="n">
        <x:f>'Данные'!F1029</x:f>
        <x:v>303</x:v>
      </x:c>
      <x:c r="H1029" s="8" t="n">
        <x:f>SUM('Данные'!H1029:I1029)</x:f>
        <x:v>8</x:v>
      </x:c>
      <x:c r="I1029" s="16" t="n">
        <x:f>IF(H1029&gt;0,G1029/H1029,"n.a.")</x:f>
        <x:v>37.875</x:v>
      </x:c>
      <x:c r="J1029" s="10" t="n">
        <x:f>IF('Данные'!E1029&gt;0,G1029/'Данные'!E1029,"n.a.")</x:f>
        <x:v>0.01668226614546055</x:v>
      </x:c>
      <x:c r="K1029" s="1" t="str">
        <x:f>IF(G1029&gt;='Дашборд'!$C$51,"X","Z")</x:f>
        <x:v>X</x:v>
      </x:c>
      <x:c r="L1029" s="1" t="str">
        <x:f>IF(H1029=0,IF(G1029&gt;0,"Нет остатка","Нет спроса"),IF(I1029&gt;='Дашборд'!$C$52,"Быстрый","Медленный"))</x:f>
        <x:v>Быстрый</x:v>
      </x:c>
      <x:c r="M1029" s="1" t="str">
        <x:f>IF('Данные'!E1029&lt;'Дашборд'!$C$53,"Мало трафика",IF(J1029&lt;'Дашборд'!$C$9*'Дашборд'!$C$54,"Да","Нет"))</x:f>
        <x:v>Нет</x:v>
      </x:c>
      <x:c r="N1029" s="1" t="str">
        <x:f>IF(AND('Данные'!D1029&gt;='Дашборд'!$C$55,D1029&lt;'Дашборд'!$C$56,'Данные'!E1029&gt;='Дашборд'!$C$53,'Данные'!L1029&lt;&gt;"Да"),"Да","Нет")</x:f>
        <x:v>Да</x:v>
      </x:c>
      <x:c r="O1029" s="1" t="str">
        <x:f>'Данные'!L1029</x:f>
        <x:v>Нет</x:v>
      </x:c>
    </x:row>
    <x:row r="1030">
      <x:c r="A1030" s="1" t="str">
        <x:f>'Данные'!A1030</x:f>
        <x:v>231458801</x:v>
      </x:c>
      <x:c r="B1030" s="1" t="str">
        <x:f>'Данные'!B1030</x:f>
        <x:v>futbolkagirl/дымка</x:v>
      </x:c>
      <x:c r="C1030" s="8" t="n">
        <x:f>'Данные'!G1030</x:f>
        <x:v>112577</x:v>
      </x:c>
      <x:c r="D1030" s="15" t="n">
        <x:f>C1030/SUM($C$5:$C$2477)</x:f>
        <x:v>0.00013151511147906574</x:v>
      </x:c>
      <x:c r="E1030" s="15" t="n">
        <x:f>SUM($D$5:D1030)</x:f>
        <x:v>0.9722150731803761</x:v>
      </x:c>
      <x:c r="F1030" s="1" t="str">
        <x:f>IF(C1030&lt;=0,"C",IF(E1030-D1030&lt;'Дашборд'!$C$49,"A",IF(E1030-D1030&lt;'Дашборд'!$C$50,"B","C")))</x:f>
        <x:v>C</x:v>
      </x:c>
      <x:c r="G1030" s="8" t="n">
        <x:f>'Данные'!F1030</x:f>
        <x:v>369</x:v>
      </x:c>
      <x:c r="H1030" s="8" t="n">
        <x:f>SUM('Данные'!H1030:I1030)</x:f>
        <x:v>515</x:v>
      </x:c>
      <x:c r="I1030" s="16" t="n">
        <x:f>IF(H1030&gt;0,G1030/H1030,"n.a.")</x:f>
        <x:v>0.7165048543689321</x:v>
      </x:c>
      <x:c r="J1030" s="10" t="n">
        <x:f>IF('Данные'!E1030&gt;0,G1030/'Данные'!E1030,"n.a.")</x:f>
        <x:v>0.016813231876794094</x:v>
      </x:c>
      <x:c r="K1030" s="1" t="str">
        <x:f>IF(G1030&gt;='Дашборд'!$C$51,"X","Z")</x:f>
        <x:v>X</x:v>
      </x:c>
      <x:c r="L1030" s="1" t="str">
        <x:f>IF(H1030=0,IF(G1030&gt;0,"Нет остатка","Нет спроса"),IF(I1030&gt;='Дашборд'!$C$52,"Быстрый","Медленный"))</x:f>
        <x:v>Медленный</x:v>
      </x:c>
      <x:c r="M1030" s="1" t="str">
        <x:f>IF('Данные'!E1030&lt;'Дашборд'!$C$53,"Мало трафика",IF(J1030&lt;'Дашборд'!$C$9*'Дашборд'!$C$54,"Да","Нет"))</x:f>
        <x:v>Нет</x:v>
      </x:c>
      <x:c r="N1030" s="1" t="str">
        <x:f>IF(AND('Данные'!D1030&gt;='Дашборд'!$C$55,D1030&lt;'Дашборд'!$C$56,'Данные'!E1030&gt;='Дашборд'!$C$53,'Данные'!L1030&lt;&gt;"Да"),"Да","Нет")</x:f>
        <x:v>Да</x:v>
      </x:c>
      <x:c r="O1030" s="1" t="str">
        <x:f>'Данные'!L1030</x:f>
        <x:v>Нет</x:v>
      </x:c>
    </x:row>
    <x:row r="1031">
      <x:c r="A1031" s="1" t="str">
        <x:f>'Данные'!A1031</x:f>
        <x:v>250810798</x:v>
      </x:c>
      <x:c r="B1031" s="1" t="str">
        <x:f>'Данные'!B1031</x:f>
        <x:v>hudimanprint/Star-188/молочный</x:v>
      </x:c>
      <x:c r="C1031" s="8" t="n">
        <x:f>'Данные'!G1031</x:f>
        <x:v>112517</x:v>
      </x:c>
      <x:c r="D1031" s="15" t="n">
        <x:f>C1031/SUM($C$5:$C$2477)</x:f>
        <x:v>0.00013144501806132725</x:v>
      </x:c>
      <x:c r="E1031" s="15" t="n">
        <x:f>SUM($D$5:D1031)</x:f>
        <x:v>0.9723465181984374</x:v>
      </x:c>
      <x:c r="F1031" s="1" t="str">
        <x:f>IF(C1031&lt;=0,"C",IF(E1031-D1031&lt;'Дашборд'!$C$49,"A",IF(E1031-D1031&lt;'Дашборд'!$C$50,"B","C")))</x:f>
        <x:v>C</x:v>
      </x:c>
      <x:c r="G1031" s="8" t="n">
        <x:f>'Данные'!F1031</x:f>
        <x:v>107</x:v>
      </x:c>
      <x:c r="H1031" s="8" t="n">
        <x:f>SUM('Данные'!H1031:I1031)</x:f>
        <x:v>195</x:v>
      </x:c>
      <x:c r="I1031" s="16" t="n">
        <x:f>IF(H1031&gt;0,G1031/H1031,"n.a.")</x:f>
        <x:v>0.5487179487179488</x:v>
      </x:c>
      <x:c r="J1031" s="10" t="n">
        <x:f>IF('Данные'!E1031&gt;0,G1031/'Данные'!E1031,"n.a.")</x:f>
        <x:v>0.011141191170345689</x:v>
      </x:c>
      <x:c r="K1031" s="1" t="str">
        <x:f>IF(G1031&gt;='Дашборд'!$C$51,"X","Z")</x:f>
        <x:v>Z</x:v>
      </x:c>
      <x:c r="L1031" s="1" t="str">
        <x:f>IF(H1031=0,IF(G1031&gt;0,"Нет остатка","Нет спроса"),IF(I1031&gt;='Дашборд'!$C$52,"Быстрый","Медленный"))</x:f>
        <x:v>Медленный</x:v>
      </x:c>
      <x:c r="M1031" s="1" t="str">
        <x:f>IF('Данные'!E1031&lt;'Дашборд'!$C$53,"Мало трафика",IF(J1031&lt;'Дашборд'!$C$9*'Дашборд'!$C$54,"Да","Нет"))</x:f>
        <x:v>Нет</x:v>
      </x:c>
      <x:c r="N1031" s="1" t="str">
        <x:f>IF(AND('Данные'!D1031&gt;='Дашборд'!$C$55,D1031&lt;'Дашборд'!$C$56,'Данные'!E1031&gt;='Дашборд'!$C$53,'Данные'!L1031&lt;&gt;"Да"),"Да","Нет")</x:f>
        <x:v>Нет</x:v>
      </x:c>
      <x:c r="O1031" s="1" t="str">
        <x:f>'Данные'!L1031</x:f>
        <x:v>Нет</x:v>
      </x:c>
    </x:row>
    <x:row r="1032">
      <x:c r="A1032" s="1" t="str">
        <x:f>'Данные'!A1032</x:f>
        <x:v>316047292</x:v>
      </x:c>
      <x:c r="B1032" s="1" t="str">
        <x:f>'Данные'!B1032</x:f>
        <x:v>boxerX3/чер-cерыймеланж2-ссер</x:v>
      </x:c>
      <x:c r="C1032" s="8" t="n">
        <x:f>'Данные'!G1032</x:f>
        <x:v>112235</x:v>
      </x:c>
      <x:c r="D1032" s="15" t="n">
        <x:f>C1032/SUM($C$5:$C$2477)</x:f>
        <x:v>0.00013111557899795644</x:v>
      </x:c>
      <x:c r="E1032" s="15" t="n">
        <x:f>SUM($D$5:D1032)</x:f>
        <x:v>0.9724776337774353</x:v>
      </x:c>
      <x:c r="F1032" s="1" t="str">
        <x:f>IF(C1032&lt;=0,"C",IF(E1032-D1032&lt;'Дашборд'!$C$49,"A",IF(E1032-D1032&lt;'Дашборд'!$C$50,"B","C")))</x:f>
        <x:v>C</x:v>
      </x:c>
      <x:c r="G1032" s="8" t="n">
        <x:f>'Данные'!F1032</x:f>
        <x:v>162</x:v>
      </x:c>
      <x:c r="H1032" s="8" t="n">
        <x:f>SUM('Данные'!H1032:I1032)</x:f>
        <x:v>4240</x:v>
      </x:c>
      <x:c r="I1032" s="16" t="n">
        <x:f>IF(H1032&gt;0,G1032/H1032,"n.a.")</x:f>
        <x:v>0.03820754716981132</x:v>
      </x:c>
      <x:c r="J1032" s="10" t="n">
        <x:f>IF('Данные'!E1032&gt;0,G1032/'Данные'!E1032,"n.a.")</x:f>
        <x:v>0.014027188501168932</x:v>
      </x:c>
      <x:c r="K1032" s="1" t="str">
        <x:f>IF(G1032&gt;='Дашборд'!$C$51,"X","Z")</x:f>
        <x:v>Z</x:v>
      </x:c>
      <x:c r="L1032" s="1" t="str">
        <x:f>IF(H1032=0,IF(G1032&gt;0,"Нет остатка","Нет спроса"),IF(I1032&gt;='Дашборд'!$C$52,"Быстрый","Медленный"))</x:f>
        <x:v>Медленный</x:v>
      </x:c>
      <x:c r="M1032" s="1" t="str">
        <x:f>IF('Данные'!E1032&lt;'Дашборд'!$C$53,"Мало трафика",IF(J1032&lt;'Дашборд'!$C$9*'Дашборд'!$C$54,"Да","Нет"))</x:f>
        <x:v>Нет</x:v>
      </x:c>
      <x:c r="N1032" s="1" t="str">
        <x:f>IF(AND('Данные'!D1032&gt;='Дашборд'!$C$55,D1032&lt;'Дашборд'!$C$56,'Данные'!E1032&gt;='Дашборд'!$C$53,'Данные'!L1032&lt;&gt;"Да"),"Да","Нет")</x:f>
        <x:v>Нет</x:v>
      </x:c>
      <x:c r="O1032" s="1" t="str">
        <x:f>'Данные'!L1032</x:f>
        <x:v>Нет</x:v>
      </x:c>
    </x:row>
    <x:row r="1033">
      <x:c r="A1033" s="1" t="str">
        <x:f>'Данные'!A1033</x:f>
        <x:v>160478465</x:v>
      </x:c>
      <x:c r="B1033" s="1" t="str">
        <x:f>'Данные'!B1033</x:f>
        <x:v>shortyman/графит</x:v>
      </x:c>
      <x:c r="C1033" s="8" t="n">
        <x:f>'Данные'!G1033</x:f>
        <x:v>112221</x:v>
      </x:c>
      <x:c r="D1033" s="15" t="n">
        <x:f>C1033/SUM($C$5:$C$2477)</x:f>
        <x:v>0.00013109922386715078</x:v>
      </x:c>
      <x:c r="E1033" s="15" t="n">
        <x:f>SUM($D$5:D1033)</x:f>
        <x:v>0.9726087330013025</x:v>
      </x:c>
      <x:c r="F1033" s="1" t="str">
        <x:f>IF(C1033&lt;=0,"C",IF(E1033-D1033&lt;'Дашборд'!$C$49,"A",IF(E1033-D1033&lt;'Дашборд'!$C$50,"B","C")))</x:f>
        <x:v>C</x:v>
      </x:c>
      <x:c r="G1033" s="8" t="n">
        <x:f>'Данные'!F1033</x:f>
        <x:v>198</x:v>
      </x:c>
      <x:c r="H1033" s="8" t="n">
        <x:f>SUM('Данные'!H1033:I1033)</x:f>
        <x:v>0</x:v>
      </x:c>
      <x:c r="I1033" s="16" t="str">
        <x:f>IF(H1033&gt;0,G1033/H1033,"n.a.")</x:f>
        <x:v>n.a.</x:v>
      </x:c>
      <x:c r="J1033" s="10" t="n">
        <x:f>IF('Данные'!E1033&gt;0,G1033/'Данные'!E1033,"n.a.")</x:f>
        <x:v>0.01971915147893636</x:v>
      </x:c>
      <x:c r="K1033" s="1" t="str">
        <x:f>IF(G1033&gt;='Дашборд'!$C$51,"X","Z")</x:f>
        <x:v>Z</x:v>
      </x:c>
      <x:c r="L1033" s="1" t="str">
        <x:f>IF(H1033=0,IF(G1033&gt;0,"Нет остатка","Нет спроса"),IF(I1033&gt;='Дашборд'!$C$52,"Быстрый","Медленный"))</x:f>
        <x:v>Нет остатка</x:v>
      </x:c>
      <x:c r="M1033" s="1" t="str">
        <x:f>IF('Данные'!E1033&lt;'Дашборд'!$C$53,"Мало трафика",IF(J1033&lt;'Дашборд'!$C$9*'Дашборд'!$C$54,"Да","Нет"))</x:f>
        <x:v>Нет</x:v>
      </x:c>
      <x:c r="N1033" s="1" t="str">
        <x:f>IF(AND('Данные'!D1033&gt;='Дашборд'!$C$55,D1033&lt;'Дашборд'!$C$56,'Данные'!E1033&gt;='Дашборд'!$C$53,'Данные'!L1033&lt;&gt;"Да"),"Да","Нет")</x:f>
        <x:v>Нет</x:v>
      </x:c>
      <x:c r="O1033" s="1" t="str">
        <x:f>'Данные'!L1033</x:f>
        <x:v>Нет</x:v>
      </x:c>
    </x:row>
    <x:row r="1034">
      <x:c r="A1034" s="1" t="str">
        <x:f>'Данные'!A1034</x:f>
        <x:v>288633827</x:v>
      </x:c>
      <x:c r="B1034" s="1" t="str">
        <x:f>'Данные'!B1034</x:f>
        <x:v>kostumman/серыймеланж2</x:v>
      </x:c>
      <x:c r="C1034" s="8" t="n">
        <x:f>'Данные'!G1034</x:f>
        <x:v>111472</x:v>
      </x:c>
      <x:c r="D1034" s="15" t="n">
        <x:f>C1034/SUM($C$5:$C$2477)</x:f>
        <x:v>0.00013022422436904889</x:v>
      </x:c>
      <x:c r="E1034" s="15" t="n">
        <x:f>SUM($D$5:D1034)</x:f>
        <x:v>0.9727389572256715</x:v>
      </x:c>
      <x:c r="F1034" s="1" t="str">
        <x:f>IF(C1034&lt;=0,"C",IF(E1034-D1034&lt;'Дашборд'!$C$49,"A",IF(E1034-D1034&lt;'Дашборд'!$C$50,"B","C")))</x:f>
        <x:v>C</x:v>
      </x:c>
      <x:c r="G1034" s="8" t="n">
        <x:f>'Данные'!F1034</x:f>
        <x:v>129</x:v>
      </x:c>
      <x:c r="H1034" s="8" t="n">
        <x:f>SUM('Данные'!H1034:I1034)</x:f>
        <x:v>641</x:v>
      </x:c>
      <x:c r="I1034" s="16" t="n">
        <x:f>IF(H1034&gt;0,G1034/H1034,"n.a.")</x:f>
        <x:v>0.20124804992199688</x:v>
      </x:c>
      <x:c r="J1034" s="10" t="n">
        <x:f>IF('Данные'!E1034&gt;0,G1034/'Данные'!E1034,"n.a.")</x:f>
        <x:v>0.007866333313006891</x:v>
      </x:c>
      <x:c r="K1034" s="1" t="str">
        <x:f>IF(G1034&gt;='Дашборд'!$C$51,"X","Z")</x:f>
        <x:v>Z</x:v>
      </x:c>
      <x:c r="L1034" s="1" t="str">
        <x:f>IF(H1034=0,IF(G1034&gt;0,"Нет остатка","Нет спроса"),IF(I1034&gt;='Дашборд'!$C$52,"Быстрый","Медленный"))</x:f>
        <x:v>Медленный</x:v>
      </x:c>
      <x:c r="M1034" s="1" t="str">
        <x:f>IF('Данные'!E1034&lt;'Дашборд'!$C$53,"Мало трафика",IF(J1034&lt;'Дашборд'!$C$9*'Дашборд'!$C$54,"Да","Нет"))</x:f>
        <x:v>Да</x:v>
      </x:c>
      <x:c r="N1034" s="1" t="str">
        <x:f>IF(AND('Данные'!D1034&gt;='Дашборд'!$C$55,D1034&lt;'Дашборд'!$C$56,'Данные'!E1034&gt;='Дашборд'!$C$53,'Данные'!L1034&lt;&gt;"Да"),"Да","Нет")</x:f>
        <x:v>Да</x:v>
      </x:c>
      <x:c r="O1034" s="1" t="str">
        <x:f>'Данные'!L1034</x:f>
        <x:v>Нет</x:v>
      </x:c>
    </x:row>
    <x:row r="1035">
      <x:c r="A1035" s="1" t="str">
        <x:f>'Данные'!A1035</x:f>
        <x:v>160478494</x:v>
      </x:c>
      <x:c r="B1035" s="1" t="str">
        <x:f>'Данные'!B1035</x:f>
        <x:v>shortyman/молочный</x:v>
      </x:c>
      <x:c r="C1035" s="8" t="n">
        <x:f>'Данные'!G1035</x:f>
        <x:v>111434</x:v>
      </x:c>
      <x:c r="D1035" s="15" t="n">
        <x:f>C1035/SUM($C$5:$C$2477)</x:f>
        <x:v>0.00013017983187114783</x:v>
      </x:c>
      <x:c r="E1035" s="15" t="n">
        <x:f>SUM($D$5:D1035)</x:f>
        <x:v>0.9728691370575426</x:v>
      </x:c>
      <x:c r="F1035" s="1" t="str">
        <x:f>IF(C1035&lt;=0,"C",IF(E1035-D1035&lt;'Дашборд'!$C$49,"A",IF(E1035-D1035&lt;'Дашборд'!$C$50,"B","C")))</x:f>
        <x:v>C</x:v>
      </x:c>
      <x:c r="G1035" s="8" t="n">
        <x:f>'Данные'!F1035</x:f>
        <x:v>173</x:v>
      </x:c>
      <x:c r="H1035" s="8" t="n">
        <x:f>SUM('Данные'!H1035:I1035)</x:f>
        <x:v>8</x:v>
      </x:c>
      <x:c r="I1035" s="16" t="n">
        <x:f>IF(H1035&gt;0,G1035/H1035,"n.a.")</x:f>
        <x:v>21.625</x:v>
      </x:c>
      <x:c r="J1035" s="10" t="n">
        <x:f>IF('Данные'!E1035&gt;0,G1035/'Данные'!E1035,"n.a.")</x:f>
        <x:v>0.01590219689309679</x:v>
      </x:c>
      <x:c r="K1035" s="1" t="str">
        <x:f>IF(G1035&gt;='Дашборд'!$C$51,"X","Z")</x:f>
        <x:v>Z</x:v>
      </x:c>
      <x:c r="L1035" s="1" t="str">
        <x:f>IF(H1035=0,IF(G1035&gt;0,"Нет остатка","Нет спроса"),IF(I1035&gt;='Дашборд'!$C$52,"Быстрый","Медленный"))</x:f>
        <x:v>Быстрый</x:v>
      </x:c>
      <x:c r="M1035" s="1" t="str">
        <x:f>IF('Данные'!E1035&lt;'Дашборд'!$C$53,"Мало трафика",IF(J1035&lt;'Дашборд'!$C$9*'Дашборд'!$C$54,"Да","Нет"))</x:f>
        <x:v>Нет</x:v>
      </x:c>
      <x:c r="N1035" s="1" t="str">
        <x:f>IF(AND('Данные'!D1035&gt;='Дашборд'!$C$55,D1035&lt;'Дашборд'!$C$56,'Данные'!E1035&gt;='Дашборд'!$C$53,'Данные'!L1035&lt;&gt;"Да"),"Да","Нет")</x:f>
        <x:v>Нет</x:v>
      </x:c>
      <x:c r="O1035" s="1" t="str">
        <x:f>'Данные'!L1035</x:f>
        <x:v>Нет</x:v>
      </x:c>
    </x:row>
    <x:row r="1036">
      <x:c r="A1036" s="1" t="str">
        <x:f>'Данные'!A1036</x:f>
        <x:v>246363206</x:v>
      </x:c>
      <x:c r="B1036" s="1" t="str">
        <x:f>'Данные'!B1036</x:f>
        <x:v>tolstovkazipman/коричневый</x:v>
      </x:c>
      <x:c r="C1036" s="8" t="n">
        <x:f>'Данные'!G1036</x:f>
        <x:v>111360</x:v>
      </x:c>
      <x:c r="D1036" s="15" t="n">
        <x:f>C1036/SUM($C$5:$C$2477)</x:f>
        <x:v>0.00013009338332260374</x:v>
      </x:c>
      <x:c r="E1036" s="15" t="n">
        <x:f>SUM($D$5:D1036)</x:f>
        <x:v>0.9729992304408652</x:v>
      </x:c>
      <x:c r="F1036" s="1" t="str">
        <x:f>IF(C1036&lt;=0,"C",IF(E1036-D1036&lt;'Дашборд'!$C$49,"A",IF(E1036-D1036&lt;'Дашборд'!$C$50,"B","C")))</x:f>
        <x:v>C</x:v>
      </x:c>
      <x:c r="G1036" s="8" t="n">
        <x:f>'Данные'!F1036</x:f>
        <x:v>90</x:v>
      </x:c>
      <x:c r="H1036" s="8" t="n">
        <x:f>SUM('Данные'!H1036:I1036)</x:f>
        <x:v>0</x:v>
      </x:c>
      <x:c r="I1036" s="16" t="str">
        <x:f>IF(H1036&gt;0,G1036/H1036,"n.a.")</x:f>
        <x:v>n.a.</x:v>
      </x:c>
      <x:c r="J1036" s="10" t="n">
        <x:f>IF('Данные'!E1036&gt;0,G1036/'Данные'!E1036,"n.a.")</x:f>
        <x:v>0.007422068283028204</x:v>
      </x:c>
      <x:c r="K1036" s="1" t="str">
        <x:f>IF(G1036&gt;='Дашборд'!$C$51,"X","Z")</x:f>
        <x:v>Z</x:v>
      </x:c>
      <x:c r="L1036" s="1" t="str">
        <x:f>IF(H1036=0,IF(G1036&gt;0,"Нет остатка","Нет спроса"),IF(I1036&gt;='Дашборд'!$C$52,"Быстрый","Медленный"))</x:f>
        <x:v>Нет остатка</x:v>
      </x:c>
      <x:c r="M1036" s="1" t="str">
        <x:f>IF('Данные'!E1036&lt;'Дашборд'!$C$53,"Мало трафика",IF(J1036&lt;'Дашборд'!$C$9*'Дашборд'!$C$54,"Да","Нет"))</x:f>
        <x:v>Да</x:v>
      </x:c>
      <x:c r="N1036" s="1" t="str">
        <x:f>IF(AND('Данные'!D1036&gt;='Дашборд'!$C$55,D1036&lt;'Дашборд'!$C$56,'Данные'!E1036&gt;='Дашборд'!$C$53,'Данные'!L1036&lt;&gt;"Да"),"Да","Нет")</x:f>
        <x:v>Да</x:v>
      </x:c>
      <x:c r="O1036" s="1" t="str">
        <x:f>'Данные'!L1036</x:f>
        <x:v>Нет</x:v>
      </x:c>
    </x:row>
    <x:row r="1037">
      <x:c r="A1037" s="1" t="str">
        <x:f>'Данные'!A1037</x:f>
        <x:v>202409634</x:v>
      </x:c>
      <x:c r="B1037" s="1" t="str">
        <x:f>'Данные'!B1037</x:f>
        <x:v>hudiprint/Chic-55/черный</x:v>
      </x:c>
      <x:c r="C1037" s="8" t="n">
        <x:f>'Данные'!G1037</x:f>
        <x:v>111070</x:v>
      </x:c>
      <x:c r="D1037" s="15" t="n">
        <x:f>C1037/SUM($C$5:$C$2477)</x:f>
        <x:v>0.00012975459847020112</x:v>
      </x:c>
      <x:c r="E1037" s="15" t="n">
        <x:f>SUM($D$5:D1037)</x:f>
        <x:v>0.9731289850393354</x:v>
      </x:c>
      <x:c r="F1037" s="1" t="str">
        <x:f>IF(C1037&lt;=0,"C",IF(E1037-D1037&lt;'Дашборд'!$C$49,"A",IF(E1037-D1037&lt;'Дашборд'!$C$50,"B","C")))</x:f>
        <x:v>C</x:v>
      </x:c>
      <x:c r="G1037" s="8" t="n">
        <x:f>'Данные'!F1037</x:f>
        <x:v>130</x:v>
      </x:c>
      <x:c r="H1037" s="8" t="n">
        <x:f>SUM('Данные'!H1037:I1037)</x:f>
        <x:v>295</x:v>
      </x:c>
      <x:c r="I1037" s="16" t="n">
        <x:f>IF(H1037&gt;0,G1037/H1037,"n.a.")</x:f>
        <x:v>0.4406779661016949</x:v>
      </x:c>
      <x:c r="J1037" s="10" t="n">
        <x:f>IF('Данные'!E1037&gt;0,G1037/'Данные'!E1037,"n.a.")</x:f>
        <x:v>0.005506374687619128</x:v>
      </x:c>
      <x:c r="K1037" s="1" t="str">
        <x:f>IF(G1037&gt;='Дашборд'!$C$51,"X","Z")</x:f>
        <x:v>Z</x:v>
      </x:c>
      <x:c r="L1037" s="1" t="str">
        <x:f>IF(H1037=0,IF(G1037&gt;0,"Нет остатка","Нет спроса"),IF(I1037&gt;='Дашборд'!$C$52,"Быстрый","Медленный"))</x:f>
        <x:v>Медленный</x:v>
      </x:c>
      <x:c r="M1037" s="1" t="str">
        <x:f>IF('Данные'!E1037&lt;'Дашборд'!$C$53,"Мало трафика",IF(J1037&lt;'Дашборд'!$C$9*'Дашборд'!$C$54,"Да","Нет"))</x:f>
        <x:v>Да</x:v>
      </x:c>
      <x:c r="N1037" s="1" t="str">
        <x:f>IF(AND('Данные'!D1037&gt;='Дашборд'!$C$55,D1037&lt;'Дашборд'!$C$56,'Данные'!E1037&gt;='Дашборд'!$C$53,'Данные'!L1037&lt;&gt;"Да"),"Да","Нет")</x:f>
        <x:v>Да</x:v>
      </x:c>
      <x:c r="O1037" s="1" t="str">
        <x:f>'Данные'!L1037</x:f>
        <x:v>Нет</x:v>
      </x:c>
    </x:row>
    <x:row r="1038">
      <x:c r="A1038" s="1" t="str">
        <x:f>'Данные'!A1038</x:f>
        <x:v>332387100</x:v>
      </x:c>
      <x:c r="B1038" s="1" t="str">
        <x:f>'Данные'!B1038</x:f>
        <x:v>shorts3n3P-87/светло-розовый</x:v>
      </x:c>
      <x:c r="C1038" s="8" t="n">
        <x:f>'Данные'!G1038</x:f>
        <x:v>110923</x:v>
      </x:c>
      <x:c r="D1038" s="15" t="n">
        <x:f>C1038/SUM($C$5:$C$2477)</x:f>
        <x:v>0.00012958286959674186</x:v>
      </x:c>
      <x:c r="E1038" s="15" t="n">
        <x:f>SUM($D$5:D1038)</x:f>
        <x:v>0.9732585679089322</x:v>
      </x:c>
      <x:c r="F1038" s="1" t="str">
        <x:f>IF(C1038&lt;=0,"C",IF(E1038-D1038&lt;'Дашборд'!$C$49,"A",IF(E1038-D1038&lt;'Дашборд'!$C$50,"B","C")))</x:f>
        <x:v>C</x:v>
      </x:c>
      <x:c r="G1038" s="8" t="n">
        <x:f>'Данные'!F1038</x:f>
        <x:v>292</x:v>
      </x:c>
      <x:c r="H1038" s="8" t="n">
        <x:f>SUM('Данные'!H1038:I1038)</x:f>
        <x:v>2</x:v>
      </x:c>
      <x:c r="I1038" s="16" t="n">
        <x:f>IF(H1038&gt;0,G1038/H1038,"n.a.")</x:f>
        <x:v>146</x:v>
      </x:c>
      <x:c r="J1038" s="10" t="n">
        <x:f>IF('Данные'!E1038&gt;0,G1038/'Данные'!E1038,"n.a.")</x:f>
        <x:v>0.023213291994594164</x:v>
      </x:c>
      <x:c r="K1038" s="1" t="str">
        <x:f>IF(G1038&gt;='Дашборд'!$C$51,"X","Z")</x:f>
        <x:v>X</x:v>
      </x:c>
      <x:c r="L1038" s="1" t="str">
        <x:f>IF(H1038=0,IF(G1038&gt;0,"Нет остатка","Нет спроса"),IF(I1038&gt;='Дашборд'!$C$52,"Быстрый","Медленный"))</x:f>
        <x:v>Быстрый</x:v>
      </x:c>
      <x:c r="M1038" s="1" t="str">
        <x:f>IF('Данные'!E1038&lt;'Дашборд'!$C$53,"Мало трафика",IF(J1038&lt;'Дашборд'!$C$9*'Дашборд'!$C$54,"Да","Нет"))</x:f>
        <x:v>Нет</x:v>
      </x:c>
      <x:c r="N1038" s="1" t="str">
        <x:f>IF(AND('Данные'!D1038&gt;='Дашборд'!$C$55,D1038&lt;'Дашборд'!$C$56,'Данные'!E1038&gt;='Дашборд'!$C$53,'Данные'!L1038&lt;&gt;"Да"),"Да","Нет")</x:f>
        <x:v>Нет</x:v>
      </x:c>
      <x:c r="O1038" s="1" t="str">
        <x:f>'Данные'!L1038</x:f>
        <x:v>Нет</x:v>
      </x:c>
    </x:row>
    <x:row r="1039">
      <x:c r="A1039" s="1" t="str">
        <x:f>'Данные'!A1039</x:f>
        <x:v>208261429</x:v>
      </x:c>
      <x:c r="B1039" s="1" t="str">
        <x:f>'Данные'!B1039</x:f>
        <x:v>hudimanprint/TDGBrand-70/черный</x:v>
      </x:c>
      <x:c r="C1039" s="8" t="n">
        <x:f>'Данные'!G1039</x:f>
        <x:v>110745</x:v>
      </x:c>
      <x:c r="D1039" s="15" t="n">
        <x:f>C1039/SUM($C$5:$C$2477)</x:f>
        <x:v>0.0001293749257907844</x:v>
      </x:c>
      <x:c r="E1039" s="15" t="n">
        <x:f>SUM($D$5:D1039)</x:f>
        <x:v>0.973387942834723</x:v>
      </x:c>
      <x:c r="F1039" s="1" t="str">
        <x:f>IF(C1039&lt;=0,"C",IF(E1039-D1039&lt;'Дашборд'!$C$49,"A",IF(E1039-D1039&lt;'Дашборд'!$C$50,"B","C")))</x:f>
        <x:v>C</x:v>
      </x:c>
      <x:c r="G1039" s="8" t="n">
        <x:f>'Данные'!F1039</x:f>
        <x:v>118</x:v>
      </x:c>
      <x:c r="H1039" s="8" t="n">
        <x:f>SUM('Данные'!H1039:I1039)</x:f>
        <x:v>947</x:v>
      </x:c>
      <x:c r="I1039" s="16" t="n">
        <x:f>IF(H1039&gt;0,G1039/H1039,"n.a.")</x:f>
        <x:v>0.1246040126715945</x:v>
      </x:c>
      <x:c r="J1039" s="10" t="n">
        <x:f>IF('Данные'!E1039&gt;0,G1039/'Данные'!E1039,"n.a.")</x:f>
        <x:v>0.005811662726556343</x:v>
      </x:c>
      <x:c r="K1039" s="1" t="str">
        <x:f>IF(G1039&gt;='Дашборд'!$C$51,"X","Z")</x:f>
        <x:v>Z</x:v>
      </x:c>
      <x:c r="L1039" s="1" t="str">
        <x:f>IF(H1039=0,IF(G1039&gt;0,"Нет остатка","Нет спроса"),IF(I1039&gt;='Дашборд'!$C$52,"Быстрый","Медленный"))</x:f>
        <x:v>Медленный</x:v>
      </x:c>
      <x:c r="M1039" s="1" t="str">
        <x:f>IF('Данные'!E1039&lt;'Дашборд'!$C$53,"Мало трафика",IF(J1039&lt;'Дашборд'!$C$9*'Дашборд'!$C$54,"Да","Нет"))</x:f>
        <x:v>Да</x:v>
      </x:c>
      <x:c r="N1039" s="1" t="str">
        <x:f>IF(AND('Данные'!D1039&gt;='Дашборд'!$C$55,D1039&lt;'Дашборд'!$C$56,'Данные'!E1039&gt;='Дашборд'!$C$53,'Данные'!L1039&lt;&gt;"Да"),"Да","Нет")</x:f>
        <x:v>Да</x:v>
      </x:c>
      <x:c r="O1039" s="1" t="str">
        <x:f>'Данные'!L1039</x:f>
        <x:v>Нет</x:v>
      </x:c>
    </x:row>
    <x:row r="1040">
      <x:c r="A1040" s="1" t="str">
        <x:f>'Данные'!A1040</x:f>
        <x:v>333139840</x:v>
      </x:c>
      <x:c r="B1040" s="1" t="str">
        <x:f>'Данные'!B1040</x:f>
        <x:v>topfutbolka/каштановый</x:v>
      </x:c>
      <x:c r="C1040" s="8" t="n">
        <x:f>'Данные'!G1040</x:f>
        <x:v>110321</x:v>
      </x:c>
      <x:c r="D1040" s="15" t="n">
        <x:f>C1040/SUM($C$5:$C$2477)</x:f>
        <x:v>0.0001288795989720992</x:v>
      </x:c>
      <x:c r="E1040" s="15" t="n">
        <x:f>SUM($D$5:D1040)</x:f>
        <x:v>0.9735168224336951</x:v>
      </x:c>
      <x:c r="F1040" s="1" t="str">
        <x:f>IF(C1040&lt;=0,"C",IF(E1040-D1040&lt;'Дашборд'!$C$49,"A",IF(E1040-D1040&lt;'Дашборд'!$C$50,"B","C")))</x:f>
        <x:v>C</x:v>
      </x:c>
      <x:c r="G1040" s="8" t="n">
        <x:f>'Данные'!F1040</x:f>
        <x:v>431</x:v>
      </x:c>
      <x:c r="H1040" s="8" t="n">
        <x:f>SUM('Данные'!H1040:I1040)</x:f>
        <x:v>878</x:v>
      </x:c>
      <x:c r="I1040" s="16" t="n">
        <x:f>IF(H1040&gt;0,G1040/H1040,"n.a.")</x:f>
        <x:v>0.4908883826879271</x:v>
      </x:c>
      <x:c r="J1040" s="10" t="n">
        <x:f>IF('Данные'!E1040&gt;0,G1040/'Данные'!E1040,"n.a.")</x:f>
        <x:v>0.011273278928646161</x:v>
      </x:c>
      <x:c r="K1040" s="1" t="str">
        <x:f>IF(G1040&gt;='Дашборд'!$C$51,"X","Z")</x:f>
        <x:v>X</x:v>
      </x:c>
      <x:c r="L1040" s="1" t="str">
        <x:f>IF(H1040=0,IF(G1040&gt;0,"Нет остатка","Нет спроса"),IF(I1040&gt;='Дашборд'!$C$52,"Быстрый","Медленный"))</x:f>
        <x:v>Медленный</x:v>
      </x:c>
      <x:c r="M1040" s="1" t="str">
        <x:f>IF('Данные'!E1040&lt;'Дашборд'!$C$53,"Мало трафика",IF(J1040&lt;'Дашборд'!$C$9*'Дашборд'!$C$54,"Да","Нет"))</x:f>
        <x:v>Нет</x:v>
      </x:c>
      <x:c r="N1040" s="1" t="str">
        <x:f>IF(AND('Данные'!D1040&gt;='Дашборд'!$C$55,D1040&lt;'Дашборд'!$C$56,'Данные'!E1040&gt;='Дашборд'!$C$53,'Данные'!L1040&lt;&gt;"Да"),"Да","Нет")</x:f>
        <x:v>Да</x:v>
      </x:c>
      <x:c r="O1040" s="1" t="str">
        <x:f>'Данные'!L1040</x:f>
        <x:v>Нет</x:v>
      </x:c>
    </x:row>
    <x:row r="1041">
      <x:c r="A1041" s="1" t="str">
        <x:f>'Данные'!A1041</x:f>
        <x:v>158080264</x:v>
      </x:c>
      <x:c r="B1041" s="1" t="str">
        <x:f>'Данные'!B1041</x:f>
        <x:v>bruki/изумрудно-зеленый</x:v>
      </x:c>
      <x:c r="C1041" s="8" t="n">
        <x:f>'Данные'!G1041</x:f>
        <x:v>110222</x:v>
      </x:c>
      <x:c r="D1041" s="15" t="n">
        <x:f>C1041/SUM($C$5:$C$2477)</x:f>
        <x:v>0.0001287639448328307</x:v>
      </x:c>
      <x:c r="E1041" s="15" t="n">
        <x:f>SUM($D$5:D1041)</x:f>
        <x:v>0.9736455863785279</x:v>
      </x:c>
      <x:c r="F1041" s="1" t="str">
        <x:f>IF(C1041&lt;=0,"C",IF(E1041-D1041&lt;'Дашборд'!$C$49,"A",IF(E1041-D1041&lt;'Дашборд'!$C$50,"B","C")))</x:f>
        <x:v>C</x:v>
      </x:c>
      <x:c r="G1041" s="8" t="n">
        <x:f>'Данные'!F1041</x:f>
        <x:v>181</x:v>
      </x:c>
      <x:c r="H1041" s="8" t="n">
        <x:f>SUM('Данные'!H1041:I1041)</x:f>
        <x:v>513</x:v>
      </x:c>
      <x:c r="I1041" s="16" t="n">
        <x:f>IF(H1041&gt;0,G1041/H1041,"n.a.")</x:f>
        <x:v>0.35282651072124754</x:v>
      </x:c>
      <x:c r="J1041" s="10" t="n">
        <x:f>IF('Данные'!E1041&gt;0,G1041/'Данные'!E1041,"n.a.")</x:f>
        <x:v>0.01720532319391635</x:v>
      </x:c>
      <x:c r="K1041" s="1" t="str">
        <x:f>IF(G1041&gt;='Дашборд'!$C$51,"X","Z")</x:f>
        <x:v>Z</x:v>
      </x:c>
      <x:c r="L1041" s="1" t="str">
        <x:f>IF(H1041=0,IF(G1041&gt;0,"Нет остатка","Нет спроса"),IF(I1041&gt;='Дашборд'!$C$52,"Быстрый","Медленный"))</x:f>
        <x:v>Медленный</x:v>
      </x:c>
      <x:c r="M1041" s="1" t="str">
        <x:f>IF('Данные'!E1041&lt;'Дашборд'!$C$53,"Мало трафика",IF(J1041&lt;'Дашборд'!$C$9*'Дашборд'!$C$54,"Да","Нет"))</x:f>
        <x:v>Нет</x:v>
      </x:c>
      <x:c r="N1041" s="1" t="str">
        <x:f>IF(AND('Данные'!D1041&gt;='Дашборд'!$C$55,D1041&lt;'Дашборд'!$C$56,'Данные'!E1041&gt;='Дашборд'!$C$53,'Данные'!L1041&lt;&gt;"Да"),"Да","Нет")</x:f>
        <x:v>Нет</x:v>
      </x:c>
      <x:c r="O1041" s="1" t="str">
        <x:f>'Данные'!L1041</x:f>
        <x:v>Нет</x:v>
      </x:c>
    </x:row>
    <x:row r="1042">
      <x:c r="A1042" s="1" t="str">
        <x:f>'Данные'!A1042</x:f>
        <x:v>256332778</x:v>
      </x:c>
      <x:c r="B1042" s="1" t="str">
        <x:f>'Данные'!B1042</x:f>
        <x:v>futhlopman/хаки</x:v>
      </x:c>
      <x:c r="C1042" s="8" t="n">
        <x:f>'Данные'!G1042</x:f>
        <x:v>110131</x:v>
      </x:c>
      <x:c r="D1042" s="15" t="n">
        <x:f>C1042/SUM($C$5:$C$2477)</x:f>
        <x:v>0.00012865763648259402</x:v>
      </x:c>
      <x:c r="E1042" s="15" t="n">
        <x:f>SUM($D$5:D1042)</x:f>
        <x:v>0.9737742440150106</x:v>
      </x:c>
      <x:c r="F1042" s="1" t="str">
        <x:f>IF(C1042&lt;=0,"C",IF(E1042-D1042&lt;'Дашборд'!$C$49,"A",IF(E1042-D1042&lt;'Дашборд'!$C$50,"B","C")))</x:f>
        <x:v>C</x:v>
      </x:c>
      <x:c r="G1042" s="8" t="n">
        <x:f>'Данные'!F1042</x:f>
        <x:v>303</x:v>
      </x:c>
      <x:c r="H1042" s="8" t="n">
        <x:f>SUM('Данные'!H1042:I1042)</x:f>
        <x:v>120</x:v>
      </x:c>
      <x:c r="I1042" s="16" t="n">
        <x:f>IF(H1042&gt;0,G1042/H1042,"n.a.")</x:f>
        <x:v>2.525</x:v>
      </x:c>
      <x:c r="J1042" s="10" t="n">
        <x:f>IF('Данные'!E1042&gt;0,G1042/'Данные'!E1042,"n.a.")</x:f>
        <x:v>0.012311567998049652</x:v>
      </x:c>
      <x:c r="K1042" s="1" t="str">
        <x:f>IF(G1042&gt;='Дашборд'!$C$51,"X","Z")</x:f>
        <x:v>X</x:v>
      </x:c>
      <x:c r="L1042" s="1" t="str">
        <x:f>IF(H1042=0,IF(G1042&gt;0,"Нет остатка","Нет спроса"),IF(I1042&gt;='Дашборд'!$C$52,"Быстрый","Медленный"))</x:f>
        <x:v>Быстрый</x:v>
      </x:c>
      <x:c r="M1042" s="1" t="str">
        <x:f>IF('Данные'!E1042&lt;'Дашборд'!$C$53,"Мало трафика",IF(J1042&lt;'Дашборд'!$C$9*'Дашборд'!$C$54,"Да","Нет"))</x:f>
        <x:v>Нет</x:v>
      </x:c>
      <x:c r="N1042" s="1" t="str">
        <x:f>IF(AND('Данные'!D1042&gt;='Дашборд'!$C$55,D1042&lt;'Дашборд'!$C$56,'Данные'!E1042&gt;='Дашборд'!$C$53,'Данные'!L1042&lt;&gt;"Да"),"Да","Нет")</x:f>
        <x:v>Нет</x:v>
      </x:c>
      <x:c r="O1042" s="1" t="str">
        <x:f>'Данные'!L1042</x:f>
        <x:v>Нет</x:v>
      </x:c>
    </x:row>
    <x:row r="1043">
      <x:c r="A1043" s="1" t="str">
        <x:f>'Данные'!A1043</x:f>
        <x:v>204476253</x:v>
      </x:c>
      <x:c r="B1043" s="1" t="str">
        <x:f>'Данные'!B1043</x:f>
        <x:v>hudimanprint/FREEDOM-67/черный</x:v>
      </x:c>
      <x:c r="C1043" s="8" t="n">
        <x:f>'Данные'!G1043</x:f>
        <x:v>109678</x:v>
      </x:c>
      <x:c r="D1043" s="15" t="n">
        <x:f>C1043/SUM($C$5:$C$2477)</x:f>
        <x:v>0.00012812843117866857</x:v>
      </x:c>
      <x:c r="E1043" s="15" t="n">
        <x:f>SUM($D$5:D1043)</x:f>
        <x:v>0.9739023724461893</x:v>
      </x:c>
      <x:c r="F1043" s="1" t="str">
        <x:f>IF(C1043&lt;=0,"C",IF(E1043-D1043&lt;'Дашборд'!$C$49,"A",IF(E1043-D1043&lt;'Дашборд'!$C$50,"B","C")))</x:f>
        <x:v>C</x:v>
      </x:c>
      <x:c r="G1043" s="8" t="n">
        <x:f>'Данные'!F1043</x:f>
        <x:v>100</x:v>
      </x:c>
      <x:c r="H1043" s="8" t="n">
        <x:f>SUM('Данные'!H1043:I1043)</x:f>
        <x:v>173</x:v>
      </x:c>
      <x:c r="I1043" s="16" t="n">
        <x:f>IF(H1043&gt;0,G1043/H1043,"n.a.")</x:f>
        <x:v>0.5780346820809249</x:v>
      </x:c>
      <x:c r="J1043" s="10" t="n">
        <x:f>IF('Данные'!E1043&gt;0,G1043/'Данные'!E1043,"n.a.")</x:f>
        <x:v>0.00733783387144115</x:v>
      </x:c>
      <x:c r="K1043" s="1" t="str">
        <x:f>IF(G1043&gt;='Дашборд'!$C$51,"X","Z")</x:f>
        <x:v>Z</x:v>
      </x:c>
      <x:c r="L1043" s="1" t="str">
        <x:f>IF(H1043=0,IF(G1043&gt;0,"Нет остатка","Нет спроса"),IF(I1043&gt;='Дашборд'!$C$52,"Быстрый","Медленный"))</x:f>
        <x:v>Медленный</x:v>
      </x:c>
      <x:c r="M1043" s="1" t="str">
        <x:f>IF('Данные'!E1043&lt;'Дашборд'!$C$53,"Мало трафика",IF(J1043&lt;'Дашборд'!$C$9*'Дашборд'!$C$54,"Да","Нет"))</x:f>
        <x:v>Да</x:v>
      </x:c>
      <x:c r="N1043" s="1" t="str">
        <x:f>IF(AND('Данные'!D1043&gt;='Дашборд'!$C$55,D1043&lt;'Дашборд'!$C$56,'Данные'!E1043&gt;='Дашборд'!$C$53,'Данные'!L1043&lt;&gt;"Да"),"Да","Нет")</x:f>
        <x:v>Да</x:v>
      </x:c>
      <x:c r="O1043" s="1" t="str">
        <x:f>'Данные'!L1043</x:f>
        <x:v>Нет</x:v>
      </x:c>
    </x:row>
    <x:row r="1044">
      <x:c r="A1044" s="1" t="str">
        <x:f>'Данные'!A1044</x:f>
        <x:v>209915110</x:v>
      </x:c>
      <x:c r="B1044" s="1" t="str">
        <x:f>'Данные'!B1044</x:f>
        <x:v>longsvobod/пудровый</x:v>
      </x:c>
      <x:c r="C1044" s="8" t="n">
        <x:f>'Данные'!G1044</x:f>
        <x:v>109570</x:v>
      </x:c>
      <x:c r="D1044" s="15" t="n">
        <x:f>C1044/SUM($C$5:$C$2477)</x:f>
        <x:v>0.0001280022630267393</x:v>
      </x:c>
      <x:c r="E1044" s="15" t="n">
        <x:f>SUM($D$5:D1044)</x:f>
        <x:v>0.974030374709216</x:v>
      </x:c>
      <x:c r="F1044" s="1" t="str">
        <x:f>IF(C1044&lt;=0,"C",IF(E1044-D1044&lt;'Дашборд'!$C$49,"A",IF(E1044-D1044&lt;'Дашборд'!$C$50,"B","C")))</x:f>
        <x:v>C</x:v>
      </x:c>
      <x:c r="G1044" s="8" t="n">
        <x:f>'Данные'!F1044</x:f>
        <x:v>317</x:v>
      </x:c>
      <x:c r="H1044" s="8" t="n">
        <x:f>SUM('Данные'!H1044:I1044)</x:f>
        <x:v>68</x:v>
      </x:c>
      <x:c r="I1044" s="16" t="n">
        <x:f>IF(H1044&gt;0,G1044/H1044,"n.a.")</x:f>
        <x:v>4.661764705882353</x:v>
      </x:c>
      <x:c r="J1044" s="10" t="n">
        <x:f>IF('Данные'!E1044&gt;0,G1044/'Данные'!E1044,"n.a.")</x:f>
        <x:v>0.011913710162357186</x:v>
      </x:c>
      <x:c r="K1044" s="1" t="str">
        <x:f>IF(G1044&gt;='Дашборд'!$C$51,"X","Z")</x:f>
        <x:v>X</x:v>
      </x:c>
      <x:c r="L1044" s="1" t="str">
        <x:f>IF(H1044=0,IF(G1044&gt;0,"Нет остатка","Нет спроса"),IF(I1044&gt;='Дашборд'!$C$52,"Быстрый","Медленный"))</x:f>
        <x:v>Быстрый</x:v>
      </x:c>
      <x:c r="M1044" s="1" t="str">
        <x:f>IF('Данные'!E1044&lt;'Дашборд'!$C$53,"Мало трафика",IF(J1044&lt;'Дашборд'!$C$9*'Дашборд'!$C$54,"Да","Нет"))</x:f>
        <x:v>Нет</x:v>
      </x:c>
      <x:c r="N1044" s="1" t="str">
        <x:f>IF(AND('Данные'!D1044&gt;='Дашборд'!$C$55,D1044&lt;'Дашборд'!$C$56,'Данные'!E1044&gt;='Дашборд'!$C$53,'Данные'!L1044&lt;&gt;"Да"),"Да","Нет")</x:f>
        <x:v>Нет</x:v>
      </x:c>
      <x:c r="O1044" s="1" t="str">
        <x:f>'Данные'!L1044</x:f>
        <x:v>Нет</x:v>
      </x:c>
    </x:row>
    <x:row r="1045">
      <x:c r="A1045" s="1" t="str">
        <x:f>'Данные'!A1045</x:f>
        <x:v>221519614</x:v>
      </x:c>
      <x:c r="B1045" s="1" t="str">
        <x:f>'Данные'!B1045</x:f>
        <x:v>kulirkaman/персиковый</x:v>
      </x:c>
      <x:c r="C1045" s="8" t="n">
        <x:f>'Данные'!G1045</x:f>
        <x:v>109517</x:v>
      </x:c>
      <x:c r="D1045" s="15" t="n">
        <x:f>C1045/SUM($C$5:$C$2477)</x:f>
        <x:v>0.00012794034717440367</x:v>
      </x:c>
      <x:c r="E1045" s="15" t="n">
        <x:f>SUM($D$5:D1045)</x:f>
        <x:v>0.9741583150563905</x:v>
      </x:c>
      <x:c r="F1045" s="1" t="str">
        <x:f>IF(C1045&lt;=0,"C",IF(E1045-D1045&lt;'Дашборд'!$C$49,"A",IF(E1045-D1045&lt;'Дашборд'!$C$50,"B","C")))</x:f>
        <x:v>C</x:v>
      </x:c>
      <x:c r="G1045" s="8" t="n">
        <x:f>'Данные'!F1045</x:f>
        <x:v>268</x:v>
      </x:c>
      <x:c r="H1045" s="8" t="n">
        <x:f>SUM('Данные'!H1045:I1045)</x:f>
        <x:v>98</x:v>
      </x:c>
      <x:c r="I1045" s="16" t="n">
        <x:f>IF(H1045&gt;0,G1045/H1045,"n.a.")</x:f>
        <x:v>2.7346938775510203</x:v>
      </x:c>
      <x:c r="J1045" s="10" t="n">
        <x:f>IF('Данные'!E1045&gt;0,G1045/'Данные'!E1045,"n.a.")</x:f>
        <x:v>0.015598626389616437</x:v>
      </x:c>
      <x:c r="K1045" s="1" t="str">
        <x:f>IF(G1045&gt;='Дашборд'!$C$51,"X","Z")</x:f>
        <x:v>Z</x:v>
      </x:c>
      <x:c r="L1045" s="1" t="str">
        <x:f>IF(H1045=0,IF(G1045&gt;0,"Нет остатка","Нет спроса"),IF(I1045&gt;='Дашборд'!$C$52,"Быстрый","Медленный"))</x:f>
        <x:v>Быстрый</x:v>
      </x:c>
      <x:c r="M1045" s="1" t="str">
        <x:f>IF('Данные'!E1045&lt;'Дашборд'!$C$53,"Мало трафика",IF(J1045&lt;'Дашборд'!$C$9*'Дашборд'!$C$54,"Да","Нет"))</x:f>
        <x:v>Нет</x:v>
      </x:c>
      <x:c r="N1045" s="1" t="str">
        <x:f>IF(AND('Данные'!D1045&gt;='Дашборд'!$C$55,D1045&lt;'Дашборд'!$C$56,'Данные'!E1045&gt;='Дашборд'!$C$53,'Данные'!L1045&lt;&gt;"Да"),"Да","Нет")</x:f>
        <x:v>Нет</x:v>
      </x:c>
      <x:c r="O1045" s="1" t="str">
        <x:f>'Данные'!L1045</x:f>
        <x:v>Нет</x:v>
      </x:c>
    </x:row>
    <x:row r="1046">
      <x:c r="A1046" s="1" t="str">
        <x:f>'Данные'!A1046</x:f>
        <x:v>233258135</x:v>
      </x:c>
      <x:c r="B1046" s="1" t="str">
        <x:f>'Данные'!B1046</x:f>
        <x:v>2Nshortyman/черный</x:v>
      </x:c>
      <x:c r="C1046" s="8" t="n">
        <x:f>'Данные'!G1046</x:f>
        <x:v>108259</x:v>
      </x:c>
      <x:c r="D1046" s="15" t="n">
        <x:f>C1046/SUM($C$5:$C$2477)</x:f>
        <x:v>0.0001264707218491537</x:v>
      </x:c>
      <x:c r="E1046" s="15" t="n">
        <x:f>SUM($D$5:D1046)</x:f>
        <x:v>0.9742847857782396</x:v>
      </x:c>
      <x:c r="F1046" s="1" t="str">
        <x:f>IF(C1046&lt;=0,"C",IF(E1046-D1046&lt;'Дашборд'!$C$49,"A",IF(E1046-D1046&lt;'Дашборд'!$C$50,"B","C")))</x:f>
        <x:v>C</x:v>
      </x:c>
      <x:c r="G1046" s="8" t="n">
        <x:f>'Данные'!F1046</x:f>
        <x:v>246</x:v>
      </x:c>
      <x:c r="H1046" s="8" t="n">
        <x:f>SUM('Данные'!H1046:I1046)</x:f>
        <x:v>2</x:v>
      </x:c>
      <x:c r="I1046" s="16" t="n">
        <x:f>IF(H1046&gt;0,G1046/H1046,"n.a.")</x:f>
        <x:v>123</x:v>
      </x:c>
      <x:c r="J1046" s="10" t="n">
        <x:f>IF('Данные'!E1046&gt;0,G1046/'Данные'!E1046,"n.a.")</x:f>
        <x:v>0.037643458301453714</x:v>
      </x:c>
      <x:c r="K1046" s="1" t="str">
        <x:f>IF(G1046&gt;='Дашборд'!$C$51,"X","Z")</x:f>
        <x:v>Z</x:v>
      </x:c>
      <x:c r="L1046" s="1" t="str">
        <x:f>IF(H1046=0,IF(G1046&gt;0,"Нет остатка","Нет спроса"),IF(I1046&gt;='Дашборд'!$C$52,"Быстрый","Медленный"))</x:f>
        <x:v>Быстрый</x:v>
      </x:c>
      <x:c r="M1046" s="1" t="str">
        <x:f>IF('Данные'!E1046&lt;'Дашборд'!$C$53,"Мало трафика",IF(J1046&lt;'Дашборд'!$C$9*'Дашборд'!$C$54,"Да","Нет"))</x:f>
        <x:v>Нет</x:v>
      </x:c>
      <x:c r="N1046" s="1" t="str">
        <x:f>IF(AND('Данные'!D1046&gt;='Дашборд'!$C$55,D1046&lt;'Дашборд'!$C$56,'Данные'!E1046&gt;='Дашборд'!$C$53,'Данные'!L1046&lt;&gt;"Да"),"Да","Нет")</x:f>
        <x:v>Нет</x:v>
      </x:c>
      <x:c r="O1046" s="1" t="str">
        <x:f>'Данные'!L1046</x:f>
        <x:v>Нет</x:v>
      </x:c>
    </x:row>
    <x:row r="1047">
      <x:c r="A1047" s="1" t="str">
        <x:f>'Данные'!A1047</x:f>
        <x:v>333121381</x:v>
      </x:c>
      <x:c r="B1047" s="1" t="str">
        <x:f>'Данные'!B1047</x:f>
        <x:v>topmayka/дымка</x:v>
      </x:c>
      <x:c r="C1047" s="8" t="n">
        <x:f>'Данные'!G1047</x:f>
        <x:v>108221</x:v>
      </x:c>
      <x:c r="D1047" s="15" t="n">
        <x:f>C1047/SUM($C$5:$C$2477)</x:f>
        <x:v>0.00012642632935125266</x:v>
      </x:c>
      <x:c r="E1047" s="15" t="n">
        <x:f>SUM($D$5:D1047)</x:f>
        <x:v>0.9744112121075909</x:v>
      </x:c>
      <x:c r="F1047" s="1" t="str">
        <x:f>IF(C1047&lt;=0,"C",IF(E1047-D1047&lt;'Дашборд'!$C$49,"A",IF(E1047-D1047&lt;'Дашборд'!$C$50,"B","C")))</x:f>
        <x:v>C</x:v>
      </x:c>
      <x:c r="G1047" s="8" t="n">
        <x:f>'Данные'!F1047</x:f>
        <x:v>362</x:v>
      </x:c>
      <x:c r="H1047" s="8" t="n">
        <x:f>SUM('Данные'!H1047:I1047)</x:f>
        <x:v>393</x:v>
      </x:c>
      <x:c r="I1047" s="16" t="n">
        <x:f>IF(H1047&gt;0,G1047/H1047,"n.a.")</x:f>
        <x:v>0.9211195928753181</x:v>
      </x:c>
      <x:c r="J1047" s="10" t="n">
        <x:f>IF('Данные'!E1047&gt;0,G1047/'Данные'!E1047,"n.a.")</x:f>
        <x:v>0.01486775094463611</x:v>
      </x:c>
      <x:c r="K1047" s="1" t="str">
        <x:f>IF(G1047&gt;='Дашборд'!$C$51,"X","Z")</x:f>
        <x:v>X</x:v>
      </x:c>
      <x:c r="L1047" s="1" t="str">
        <x:f>IF(H1047=0,IF(G1047&gt;0,"Нет остатка","Нет спроса"),IF(I1047&gt;='Дашборд'!$C$52,"Быстрый","Медленный"))</x:f>
        <x:v>Медленный</x:v>
      </x:c>
      <x:c r="M1047" s="1" t="str">
        <x:f>IF('Данные'!E1047&lt;'Дашборд'!$C$53,"Мало трафика",IF(J1047&lt;'Дашборд'!$C$9*'Дашборд'!$C$54,"Да","Нет"))</x:f>
        <x:v>Нет</x:v>
      </x:c>
      <x:c r="N1047" s="1" t="str">
        <x:f>IF(AND('Данные'!D1047&gt;='Дашборд'!$C$55,D1047&lt;'Дашборд'!$C$56,'Данные'!E1047&gt;='Дашборд'!$C$53,'Данные'!L1047&lt;&gt;"Да"),"Да","Нет")</x:f>
        <x:v>Да</x:v>
      </x:c>
      <x:c r="O1047" s="1" t="str">
        <x:f>'Данные'!L1047</x:f>
        <x:v>Нет</x:v>
      </x:c>
    </x:row>
    <x:row r="1048">
      <x:c r="A1048" s="1" t="str">
        <x:f>'Данные'!A1048</x:f>
        <x:v>281587849</x:v>
      </x:c>
      <x:c r="B1048" s="1" t="str">
        <x:f>'Данные'!B1048</x:f>
        <x:v>boxer/светло-серый</x:v>
      </x:c>
      <x:c r="C1048" s="8" t="n">
        <x:f>'Данные'!G1048</x:f>
        <x:v>108208</x:v>
      </x:c>
      <x:c r="D1048" s="15" t="n">
        <x:f>C1048/SUM($C$5:$C$2477)</x:f>
        <x:v>0.000126411142444076</x:v>
      </x:c>
      <x:c r="E1048" s="15" t="n">
        <x:f>SUM($D$5:D1048)</x:f>
        <x:v>0.9745376232500349</x:v>
      </x:c>
      <x:c r="F1048" s="1" t="str">
        <x:f>IF(C1048&lt;=0,"C",IF(E1048-D1048&lt;'Дашборд'!$C$49,"A",IF(E1048-D1048&lt;'Дашборд'!$C$50,"B","C")))</x:f>
        <x:v>C</x:v>
      </x:c>
      <x:c r="G1048" s="8" t="n">
        <x:f>'Данные'!F1048</x:f>
        <x:v>408</x:v>
      </x:c>
      <x:c r="H1048" s="8" t="n">
        <x:f>SUM('Данные'!H1048:I1048)</x:f>
        <x:v>1180</x:v>
      </x:c>
      <x:c r="I1048" s="16" t="n">
        <x:f>IF(H1048&gt;0,G1048/H1048,"n.a.")</x:f>
        <x:v>0.34576271186440677</x:v>
      </x:c>
      <x:c r="J1048" s="10" t="n">
        <x:f>IF('Данные'!E1048&gt;0,G1048/'Данные'!E1048,"n.a.")</x:f>
        <x:v>0.029006114033840465</x:v>
      </x:c>
      <x:c r="K1048" s="1" t="str">
        <x:f>IF(G1048&gt;='Дашборд'!$C$51,"X","Z")</x:f>
        <x:v>X</x:v>
      </x:c>
      <x:c r="L1048" s="1" t="str">
        <x:f>IF(H1048=0,IF(G1048&gt;0,"Нет остатка","Нет спроса"),IF(I1048&gt;='Дашборд'!$C$52,"Быстрый","Медленный"))</x:f>
        <x:v>Медленный</x:v>
      </x:c>
      <x:c r="M1048" s="1" t="str">
        <x:f>IF('Данные'!E1048&lt;'Дашборд'!$C$53,"Мало трафика",IF(J1048&lt;'Дашборд'!$C$9*'Дашборд'!$C$54,"Да","Нет"))</x:f>
        <x:v>Нет</x:v>
      </x:c>
      <x:c r="N1048" s="1" t="str">
        <x:f>IF(AND('Данные'!D1048&gt;='Дашборд'!$C$55,D1048&lt;'Дашборд'!$C$56,'Данные'!E1048&gt;='Дашборд'!$C$53,'Данные'!L1048&lt;&gt;"Да"),"Да","Нет")</x:f>
        <x:v>Нет</x:v>
      </x:c>
      <x:c r="O1048" s="1" t="str">
        <x:f>'Данные'!L1048</x:f>
        <x:v>Нет</x:v>
      </x:c>
    </x:row>
    <x:row r="1049">
      <x:c r="A1049" s="1" t="str">
        <x:f>'Данные'!A1049</x:f>
        <x:v>294025144</x:v>
      </x:c>
      <x:c r="B1049" s="1" t="str">
        <x:f>'Данные'!B1049</x:f>
        <x:v>svitfix3F-77/бежевый</x:v>
      </x:c>
      <x:c r="C1049" s="8" t="n">
        <x:f>'Данные'!G1049</x:f>
        <x:v>107374</x:v>
      </x:c>
      <x:c r="D1049" s="15" t="n">
        <x:f>C1049/SUM($C$5:$C$2477)</x:f>
        <x:v>0.00012543684393751125</x:v>
      </x:c>
      <x:c r="E1049" s="15" t="n">
        <x:f>SUM($D$5:D1049)</x:f>
        <x:v>0.9746630600939724</x:v>
      </x:c>
      <x:c r="F1049" s="1" t="str">
        <x:f>IF(C1049&lt;=0,"C",IF(E1049-D1049&lt;'Дашборд'!$C$49,"A",IF(E1049-D1049&lt;'Дашборд'!$C$50,"B","C")))</x:f>
        <x:v>C</x:v>
      </x:c>
      <x:c r="G1049" s="8" t="n">
        <x:f>'Данные'!F1049</x:f>
        <x:v>176</x:v>
      </x:c>
      <x:c r="H1049" s="8" t="n">
        <x:f>SUM('Данные'!H1049:I1049)</x:f>
        <x:v>295</x:v>
      </x:c>
      <x:c r="I1049" s="16" t="n">
        <x:f>IF(H1049&gt;0,G1049/H1049,"n.a.")</x:f>
        <x:v>0.5966101694915255</x:v>
      </x:c>
      <x:c r="J1049" s="10" t="n">
        <x:f>IF('Данные'!E1049&gt;0,G1049/'Данные'!E1049,"n.a.")</x:f>
        <x:v>0.011469534050179211</x:v>
      </x:c>
      <x:c r="K1049" s="1" t="str">
        <x:f>IF(G1049&gt;='Дашборд'!$C$51,"X","Z")</x:f>
        <x:v>Z</x:v>
      </x:c>
      <x:c r="L1049" s="1" t="str">
        <x:f>IF(H1049=0,IF(G1049&gt;0,"Нет остатка","Нет спроса"),IF(I1049&gt;='Дашборд'!$C$52,"Быстрый","Медленный"))</x:f>
        <x:v>Медленный</x:v>
      </x:c>
      <x:c r="M1049" s="1" t="str">
        <x:f>IF('Данные'!E1049&lt;'Дашборд'!$C$53,"Мало трафика",IF(J1049&lt;'Дашборд'!$C$9*'Дашборд'!$C$54,"Да","Нет"))</x:f>
        <x:v>Нет</x:v>
      </x:c>
      <x:c r="N1049" s="1" t="str">
        <x:f>IF(AND('Данные'!D1049&gt;='Дашборд'!$C$55,D1049&lt;'Дашборд'!$C$56,'Данные'!E1049&gt;='Дашборд'!$C$53,'Данные'!L1049&lt;&gt;"Да"),"Да","Нет")</x:f>
        <x:v>Нет</x:v>
      </x:c>
      <x:c r="O1049" s="1" t="str">
        <x:f>'Данные'!L1049</x:f>
        <x:v>Нет</x:v>
      </x:c>
    </x:row>
    <x:row r="1050">
      <x:c r="A1050" s="1" t="str">
        <x:f>'Данные'!A1050</x:f>
        <x:v>333141439</x:v>
      </x:c>
      <x:c r="B1050" s="1" t="str">
        <x:f>'Данные'!B1050</x:f>
        <x:v>topfutbolka/дымка</x:v>
      </x:c>
      <x:c r="C1050" s="8" t="n">
        <x:f>'Данные'!G1050</x:f>
        <x:v>106641</x:v>
      </x:c>
      <x:c r="D1050" s="15" t="n">
        <x:f>C1050/SUM($C$5:$C$2477)</x:f>
        <x:v>0.00012458053601747292</x:v>
      </x:c>
      <x:c r="E1050" s="15" t="n">
        <x:f>SUM($D$5:D1050)</x:f>
        <x:v>0.9747876406299899</x:v>
      </x:c>
      <x:c r="F1050" s="1" t="str">
        <x:f>IF(C1050&lt;=0,"C",IF(E1050-D1050&lt;'Дашборд'!$C$49,"A",IF(E1050-D1050&lt;'Дашборд'!$C$50,"B","C")))</x:f>
        <x:v>C</x:v>
      </x:c>
      <x:c r="G1050" s="8" t="n">
        <x:f>'Данные'!F1050</x:f>
        <x:v>275</x:v>
      </x:c>
      <x:c r="H1050" s="8" t="n">
        <x:f>SUM('Данные'!H1050:I1050)</x:f>
        <x:v>506</x:v>
      </x:c>
      <x:c r="I1050" s="16" t="n">
        <x:f>IF(H1050&gt;0,G1050/H1050,"n.a.")</x:f>
        <x:v>0.5434782608695652</x:v>
      </x:c>
      <x:c r="J1050" s="10" t="n">
        <x:f>IF('Данные'!E1050&gt;0,G1050/'Данные'!E1050,"n.a.")</x:f>
        <x:v>0.017002596760232472</x:v>
      </x:c>
      <x:c r="K1050" s="1" t="str">
        <x:f>IF(G1050&gt;='Дашборд'!$C$51,"X","Z")</x:f>
        <x:v>X</x:v>
      </x:c>
      <x:c r="L1050" s="1" t="str">
        <x:f>IF(H1050=0,IF(G1050&gt;0,"Нет остатка","Нет спроса"),IF(I1050&gt;='Дашборд'!$C$52,"Быстрый","Медленный"))</x:f>
        <x:v>Медленный</x:v>
      </x:c>
      <x:c r="M1050" s="1" t="str">
        <x:f>IF('Данные'!E1050&lt;'Дашборд'!$C$53,"Мало трафика",IF(J1050&lt;'Дашборд'!$C$9*'Дашборд'!$C$54,"Да","Нет"))</x:f>
        <x:v>Нет</x:v>
      </x:c>
      <x:c r="N1050" s="1" t="str">
        <x:f>IF(AND('Данные'!D1050&gt;='Дашборд'!$C$55,D1050&lt;'Дашборд'!$C$56,'Данные'!E1050&gt;='Дашборд'!$C$53,'Данные'!L1050&lt;&gt;"Да"),"Да","Нет")</x:f>
        <x:v>Да</x:v>
      </x:c>
      <x:c r="O1050" s="1" t="str">
        <x:f>'Данные'!L1050</x:f>
        <x:v>Нет</x:v>
      </x:c>
    </x:row>
    <x:row r="1051">
      <x:c r="A1051" s="1" t="str">
        <x:f>'Данные'!A1051</x:f>
        <x:v>234287022</x:v>
      </x:c>
      <x:c r="B1051" s="1" t="str">
        <x:f>'Данные'!B1051</x:f>
        <x:v>svitshotmanpetl/серый</x:v>
      </x:c>
      <x:c r="C1051" s="8" t="n">
        <x:f>'Данные'!G1051</x:f>
        <x:v>106628</x:v>
      </x:c>
      <x:c r="D1051" s="15" t="n">
        <x:f>C1051/SUM($C$5:$C$2477)</x:f>
        <x:v>0.00012456534911029624</x:v>
      </x:c>
      <x:c r="E1051" s="15" t="n">
        <x:f>SUM($D$5:D1051)</x:f>
        <x:v>0.9749122059791002</x:v>
      </x:c>
      <x:c r="F1051" s="1" t="str">
        <x:f>IF(C1051&lt;=0,"C",IF(E1051-D1051&lt;'Дашборд'!$C$49,"A",IF(E1051-D1051&lt;'Дашборд'!$C$50,"B","C")))</x:f>
        <x:v>C</x:v>
      </x:c>
      <x:c r="G1051" s="8" t="n">
        <x:f>'Данные'!F1051</x:f>
        <x:v>133</x:v>
      </x:c>
      <x:c r="H1051" s="8" t="n">
        <x:f>SUM('Данные'!H1051:I1051)</x:f>
        <x:v>21</x:v>
      </x:c>
      <x:c r="I1051" s="16" t="n">
        <x:f>IF(H1051&gt;0,G1051/H1051,"n.a.")</x:f>
        <x:v>6.333333333333333</x:v>
      </x:c>
      <x:c r="J1051" s="10" t="n">
        <x:f>IF('Данные'!E1051&gt;0,G1051/'Данные'!E1051,"n.a.")</x:f>
        <x:v>0.010092578539990894</x:v>
      </x:c>
      <x:c r="K1051" s="1" t="str">
        <x:f>IF(G1051&gt;='Дашборд'!$C$51,"X","Z")</x:f>
        <x:v>Z</x:v>
      </x:c>
      <x:c r="L1051" s="1" t="str">
        <x:f>IF(H1051=0,IF(G1051&gt;0,"Нет остатка","Нет спроса"),IF(I1051&gt;='Дашборд'!$C$52,"Быстрый","Медленный"))</x:f>
        <x:v>Быстрый</x:v>
      </x:c>
      <x:c r="M1051" s="1" t="str">
        <x:f>IF('Данные'!E1051&lt;'Дашборд'!$C$53,"Мало трафика",IF(J1051&lt;'Дашборд'!$C$9*'Дашборд'!$C$54,"Да","Нет"))</x:f>
        <x:v>Да</x:v>
      </x:c>
      <x:c r="N1051" s="1" t="str">
        <x:f>IF(AND('Данные'!D1051&gt;='Дашборд'!$C$55,D1051&lt;'Дашборд'!$C$56,'Данные'!E1051&gt;='Дашборд'!$C$53,'Данные'!L1051&lt;&gt;"Да"),"Да","Нет")</x:f>
        <x:v>Нет</x:v>
      </x:c>
      <x:c r="O1051" s="1" t="str">
        <x:f>'Данные'!L1051</x:f>
        <x:v>Нет</x:v>
      </x:c>
    </x:row>
    <x:row r="1052">
      <x:c r="A1052" s="1" t="str">
        <x:f>'Данные'!A1052</x:f>
        <x:v>231458800</x:v>
      </x:c>
      <x:c r="B1052" s="1" t="str">
        <x:f>'Данные'!B1052</x:f>
        <x:v>futbolkagirl/коричневый</x:v>
      </x:c>
      <x:c r="C1052" s="8" t="n">
        <x:f>'Данные'!G1052</x:f>
        <x:v>106617</x:v>
      </x:c>
      <x:c r="D1052" s="15" t="n">
        <x:f>C1052/SUM($C$5:$C$2477)</x:f>
        <x:v>0.00012455249865037752</x:v>
      </x:c>
      <x:c r="E1052" s="15" t="n">
        <x:f>SUM($D$5:D1052)</x:f>
        <x:v>0.9750367584777506</x:v>
      </x:c>
      <x:c r="F1052" s="1" t="str">
        <x:f>IF(C1052&lt;=0,"C",IF(E1052-D1052&lt;'Дашборд'!$C$49,"A",IF(E1052-D1052&lt;'Дашборд'!$C$50,"B","C")))</x:f>
        <x:v>C</x:v>
      </x:c>
      <x:c r="G1052" s="8" t="n">
        <x:f>'Данные'!F1052</x:f>
        <x:v>333</x:v>
      </x:c>
      <x:c r="H1052" s="8" t="n">
        <x:f>SUM('Данные'!H1052:I1052)</x:f>
        <x:v>321</x:v>
      </x:c>
      <x:c r="I1052" s="16" t="n">
        <x:f>IF(H1052&gt;0,G1052/H1052,"n.a.")</x:f>
        <x:v>1.0373831775700935</x:v>
      </x:c>
      <x:c r="J1052" s="10" t="n">
        <x:f>IF('Данные'!E1052&gt;0,G1052/'Данные'!E1052,"n.a.")</x:f>
        <x:v>0.015473258677570744</x:v>
      </x:c>
      <x:c r="K1052" s="1" t="str">
        <x:f>IF(G1052&gt;='Дашборд'!$C$51,"X","Z")</x:f>
        <x:v>X</x:v>
      </x:c>
      <x:c r="L1052" s="1" t="str">
        <x:f>IF(H1052=0,IF(G1052&gt;0,"Нет остатка","Нет спроса"),IF(I1052&gt;='Дашборд'!$C$52,"Быстрый","Медленный"))</x:f>
        <x:v>Быстрый</x:v>
      </x:c>
      <x:c r="M1052" s="1" t="str">
        <x:f>IF('Данные'!E1052&lt;'Дашборд'!$C$53,"Мало трафика",IF(J1052&lt;'Дашборд'!$C$9*'Дашборд'!$C$54,"Да","Нет"))</x:f>
        <x:v>Нет</x:v>
      </x:c>
      <x:c r="N1052" s="1" t="str">
        <x:f>IF(AND('Данные'!D1052&gt;='Дашборд'!$C$55,D1052&lt;'Дашборд'!$C$56,'Данные'!E1052&gt;='Дашборд'!$C$53,'Данные'!L1052&lt;&gt;"Да"),"Да","Нет")</x:f>
        <x:v>Да</x:v>
      </x:c>
      <x:c r="O1052" s="1" t="str">
        <x:f>'Данные'!L1052</x:f>
        <x:v>Нет</x:v>
      </x:c>
    </x:row>
    <x:row r="1053">
      <x:c r="A1053" s="1" t="str">
        <x:f>'Данные'!A1053</x:f>
        <x:v>313770773</x:v>
      </x:c>
      <x:c r="B1053" s="1" t="str">
        <x:f>'Данные'!B1053</x:f>
        <x:v>futbolkagirl/пыльнаяроза</x:v>
      </x:c>
      <x:c r="C1053" s="8" t="n">
        <x:f>'Данные'!G1053</x:f>
        <x:v>105358</x:v>
      </x:c>
      <x:c r="D1053" s="15" t="n">
        <x:f>C1053/SUM($C$5:$C$2477)</x:f>
        <x:v>0.0001230817051014986</x:v>
      </x:c>
      <x:c r="E1053" s="15" t="n">
        <x:f>SUM($D$5:D1053)</x:f>
        <x:v>0.9751598401828521</x:v>
      </x:c>
      <x:c r="F1053" s="1" t="str">
        <x:f>IF(C1053&lt;=0,"C",IF(E1053-D1053&lt;'Дашборд'!$C$49,"A",IF(E1053-D1053&lt;'Дашборд'!$C$50,"B","C")))</x:f>
        <x:v>C</x:v>
      </x:c>
      <x:c r="G1053" s="8" t="n">
        <x:f>'Данные'!F1053</x:f>
        <x:v>281</x:v>
      </x:c>
      <x:c r="H1053" s="8" t="n">
        <x:f>SUM('Данные'!H1053:I1053)</x:f>
        <x:v>6</x:v>
      </x:c>
      <x:c r="I1053" s="16" t="n">
        <x:f>IF(H1053&gt;0,G1053/H1053,"n.a.")</x:f>
        <x:v>46.833333333333336</x:v>
      </x:c>
      <x:c r="J1053" s="10" t="n">
        <x:f>IF('Данные'!E1053&gt;0,G1053/'Данные'!E1053,"n.a.")</x:f>
        <x:v>0.010300208936622557</x:v>
      </x:c>
      <x:c r="K1053" s="1" t="str">
        <x:f>IF(G1053&gt;='Дашборд'!$C$51,"X","Z")</x:f>
        <x:v>X</x:v>
      </x:c>
      <x:c r="L1053" s="1" t="str">
        <x:f>IF(H1053=0,IF(G1053&gt;0,"Нет остатка","Нет спроса"),IF(I1053&gt;='Дашборд'!$C$52,"Быстрый","Медленный"))</x:f>
        <x:v>Быстрый</x:v>
      </x:c>
      <x:c r="M1053" s="1" t="str">
        <x:f>IF('Данные'!E1053&lt;'Дашборд'!$C$53,"Мало трафика",IF(J1053&lt;'Дашборд'!$C$9*'Дашборд'!$C$54,"Да","Нет"))</x:f>
        <x:v>Нет</x:v>
      </x:c>
      <x:c r="N1053" s="1" t="str">
        <x:f>IF(AND('Данные'!D1053&gt;='Дашборд'!$C$55,D1053&lt;'Дашборд'!$C$56,'Данные'!E1053&gt;='Дашборд'!$C$53,'Данные'!L1053&lt;&gt;"Да"),"Да","Нет")</x:f>
        <x:v>Да</x:v>
      </x:c>
      <x:c r="O1053" s="1" t="str">
        <x:f>'Данные'!L1053</x:f>
        <x:v>Нет</x:v>
      </x:c>
    </x:row>
    <x:row r="1054">
      <x:c r="A1054" s="1" t="str">
        <x:f>'Данные'!A1054</x:f>
        <x:v>166215427</x:v>
      </x:c>
      <x:c r="B1054" s="1" t="str">
        <x:f>'Данные'!B1054</x:f>
        <x:v>shortyman/серыймеланж</x:v>
      </x:c>
      <x:c r="C1054" s="8" t="n">
        <x:f>'Данные'!G1054</x:f>
        <x:v>104455</x:v>
      </x:c>
      <x:c r="D1054" s="15" t="n">
        <x:f>C1054/SUM($C$5:$C$2477)</x:f>
        <x:v>0.0001220267991645346</x:v>
      </x:c>
      <x:c r="E1054" s="15" t="n">
        <x:f>SUM($D$5:D1054)</x:f>
        <x:v>0.9752818669820166</x:v>
      </x:c>
      <x:c r="F1054" s="1" t="str">
        <x:f>IF(C1054&lt;=0,"C",IF(E1054-D1054&lt;'Дашборд'!$C$49,"A",IF(E1054-D1054&lt;'Дашборд'!$C$50,"B","C")))</x:f>
        <x:v>C</x:v>
      </x:c>
      <x:c r="G1054" s="8" t="n">
        <x:f>'Данные'!F1054</x:f>
        <x:v>183</x:v>
      </x:c>
      <x:c r="H1054" s="8" t="n">
        <x:f>SUM('Данные'!H1054:I1054)</x:f>
        <x:v>0</x:v>
      </x:c>
      <x:c r="I1054" s="16" t="str">
        <x:f>IF(H1054&gt;0,G1054/H1054,"n.a.")</x:f>
        <x:v>n.a.</x:v>
      </x:c>
      <x:c r="J1054" s="10" t="n">
        <x:f>IF('Данные'!E1054&gt;0,G1054/'Данные'!E1054,"n.a.")</x:f>
        <x:v>0.01672607622703592</x:v>
      </x:c>
      <x:c r="K1054" s="1" t="str">
        <x:f>IF(G1054&gt;='Дашборд'!$C$51,"X","Z")</x:f>
        <x:v>Z</x:v>
      </x:c>
      <x:c r="L1054" s="1" t="str">
        <x:f>IF(H1054=0,IF(G1054&gt;0,"Нет остатка","Нет спроса"),IF(I1054&gt;='Дашборд'!$C$52,"Быстрый","Медленный"))</x:f>
        <x:v>Нет остатка</x:v>
      </x:c>
      <x:c r="M1054" s="1" t="str">
        <x:f>IF('Данные'!E1054&lt;'Дашборд'!$C$53,"Мало трафика",IF(J1054&lt;'Дашборд'!$C$9*'Дашборд'!$C$54,"Да","Нет"))</x:f>
        <x:v>Нет</x:v>
      </x:c>
      <x:c r="N1054" s="1" t="str">
        <x:f>IF(AND('Данные'!D1054&gt;='Дашборд'!$C$55,D1054&lt;'Дашборд'!$C$56,'Данные'!E1054&gt;='Дашборд'!$C$53,'Данные'!L1054&lt;&gt;"Да"),"Да","Нет")</x:f>
        <x:v>Нет</x:v>
      </x:c>
      <x:c r="O1054" s="1" t="str">
        <x:f>'Данные'!L1054</x:f>
        <x:v>Нет</x:v>
      </x:c>
    </x:row>
    <x:row r="1055">
      <x:c r="A1055" s="1" t="str">
        <x:f>'Данные'!A1055</x:f>
        <x:v>234030771</x:v>
      </x:c>
      <x:c r="B1055" s="1" t="str">
        <x:f>'Данные'!B1055</x:f>
        <x:v>svitshotzipman2/серыймеланж2</x:v>
      </x:c>
      <x:c r="C1055" s="8" t="n">
        <x:f>'Данные'!G1055</x:f>
        <x:v>104127</x:v>
      </x:c>
      <x:c r="D1055" s="15" t="n">
        <x:f>C1055/SUM($C$5:$C$2477)</x:f>
        <x:v>0.00012164362181423095</x:v>
      </x:c>
      <x:c r="E1055" s="15" t="n">
        <x:f>SUM($D$5:D1055)</x:f>
        <x:v>0.9754035106038308</x:v>
      </x:c>
      <x:c r="F1055" s="1" t="str">
        <x:f>IF(C1055&lt;=0,"C",IF(E1055-D1055&lt;'Дашборд'!$C$49,"A",IF(E1055-D1055&lt;'Дашборд'!$C$50,"B","C")))</x:f>
        <x:v>C</x:v>
      </x:c>
      <x:c r="G1055" s="8" t="n">
        <x:f>'Данные'!F1055</x:f>
        <x:v>120</x:v>
      </x:c>
      <x:c r="H1055" s="8" t="n">
        <x:f>SUM('Данные'!H1055:I1055)</x:f>
        <x:v>1</x:v>
      </x:c>
      <x:c r="I1055" s="16" t="n">
        <x:f>IF(H1055&gt;0,G1055/H1055,"n.a.")</x:f>
        <x:v>120</x:v>
      </x:c>
      <x:c r="J1055" s="10" t="n">
        <x:f>IF('Данные'!E1055&gt;0,G1055/'Данные'!E1055,"n.a.")</x:f>
        <x:v>0.007793219898688141</x:v>
      </x:c>
      <x:c r="K1055" s="1" t="str">
        <x:f>IF(G1055&gt;='Дашборд'!$C$51,"X","Z")</x:f>
        <x:v>Z</x:v>
      </x:c>
      <x:c r="L1055" s="1" t="str">
        <x:f>IF(H1055=0,IF(G1055&gt;0,"Нет остатка","Нет спроса"),IF(I1055&gt;='Дашборд'!$C$52,"Быстрый","Медленный"))</x:f>
        <x:v>Быстрый</x:v>
      </x:c>
      <x:c r="M1055" s="1" t="str">
        <x:f>IF('Данные'!E1055&lt;'Дашборд'!$C$53,"Мало трафика",IF(J1055&lt;'Дашборд'!$C$9*'Дашборд'!$C$54,"Да","Нет"))</x:f>
        <x:v>Да</x:v>
      </x:c>
      <x:c r="N1055" s="1" t="str">
        <x:f>IF(AND('Данные'!D1055&gt;='Дашборд'!$C$55,D1055&lt;'Дашборд'!$C$56,'Данные'!E1055&gt;='Дашборд'!$C$53,'Данные'!L1055&lt;&gt;"Да"),"Да","Нет")</x:f>
        <x:v>Да</x:v>
      </x:c>
      <x:c r="O1055" s="1" t="str">
        <x:f>'Данные'!L1055</x:f>
        <x:v>Нет</x:v>
      </x:c>
    </x:row>
    <x:row r="1056">
      <x:c r="A1056" s="1" t="str">
        <x:f>'Данные'!A1056</x:f>
        <x:v>183793828</x:v>
      </x:c>
      <x:c r="B1056" s="1" t="str">
        <x:f>'Данные'!B1056</x:f>
        <x:v>hudiprint/NEED-15/молочный</x:v>
      </x:c>
      <x:c r="C1056" s="8" t="n">
        <x:f>'Данные'!G1056</x:f>
        <x:v>104090</x:v>
      </x:c>
      <x:c r="D1056" s="15" t="n">
        <x:f>C1056/SUM($C$5:$C$2477)</x:f>
        <x:v>0.00012160039753995889</x:v>
      </x:c>
      <x:c r="E1056" s="15" t="n">
        <x:f>SUM($D$5:D1056)</x:f>
        <x:v>0.9755251110013707</x:v>
      </x:c>
      <x:c r="F1056" s="1" t="str">
        <x:f>IF(C1056&lt;=0,"C",IF(E1056-D1056&lt;'Дашборд'!$C$49,"A",IF(E1056-D1056&lt;'Дашборд'!$C$50,"B","C")))</x:f>
        <x:v>C</x:v>
      </x:c>
      <x:c r="G1056" s="8" t="n">
        <x:f>'Данные'!F1056</x:f>
        <x:v>102</x:v>
      </x:c>
      <x:c r="H1056" s="8" t="n">
        <x:f>SUM('Данные'!H1056:I1056)</x:f>
        <x:v>1</x:v>
      </x:c>
      <x:c r="I1056" s="16" t="n">
        <x:f>IF(H1056&gt;0,G1056/H1056,"n.a.")</x:f>
        <x:v>102</x:v>
      </x:c>
      <x:c r="J1056" s="10" t="n">
        <x:f>IF('Данные'!E1056&gt;0,G1056/'Данные'!E1056,"n.a.")</x:f>
        <x:v>0.007239176721078779</x:v>
      </x:c>
      <x:c r="K1056" s="1" t="str">
        <x:f>IF(G1056&gt;='Дашборд'!$C$51,"X","Z")</x:f>
        <x:v>Z</x:v>
      </x:c>
      <x:c r="L1056" s="1" t="str">
        <x:f>IF(H1056=0,IF(G1056&gt;0,"Нет остатка","Нет спроса"),IF(I1056&gt;='Дашборд'!$C$52,"Быстрый","Медленный"))</x:f>
        <x:v>Быстрый</x:v>
      </x:c>
      <x:c r="M1056" s="1" t="str">
        <x:f>IF('Данные'!E1056&lt;'Дашборд'!$C$53,"Мало трафика",IF(J1056&lt;'Дашборд'!$C$9*'Дашборд'!$C$54,"Да","Нет"))</x:f>
        <x:v>Да</x:v>
      </x:c>
      <x:c r="N1056" s="1" t="str">
        <x:f>IF(AND('Данные'!D1056&gt;='Дашборд'!$C$55,D1056&lt;'Дашборд'!$C$56,'Данные'!E1056&gt;='Дашборд'!$C$53,'Данные'!L1056&lt;&gt;"Да"),"Да","Нет")</x:f>
        <x:v>Да</x:v>
      </x:c>
      <x:c r="O1056" s="1" t="str">
        <x:f>'Данные'!L1056</x:f>
        <x:v>Нет</x:v>
      </x:c>
    </x:row>
    <x:row r="1057">
      <x:c r="A1057" s="1" t="str">
        <x:f>'Данные'!A1057</x:f>
        <x:v>245316950</x:v>
      </x:c>
      <x:c r="B1057" s="1" t="str">
        <x:f>'Данные'!B1057</x:f>
        <x:v>hudiprint/MovesWithLove-135/светло-зеленый</x:v>
      </x:c>
      <x:c r="C1057" s="8" t="n">
        <x:f>'Данные'!G1057</x:f>
        <x:v>103992</x:v>
      </x:c>
      <x:c r="D1057" s="15" t="n">
        <x:f>C1057/SUM($C$5:$C$2477)</x:f>
        <x:v>0.00012148591162431939</x:v>
      </x:c>
      <x:c r="E1057" s="15" t="n">
        <x:f>SUM($D$5:D1057)</x:f>
        <x:v>0.975646596912995</x:v>
      </x:c>
      <x:c r="F1057" s="1" t="str">
        <x:f>IF(C1057&lt;=0,"C",IF(E1057-D1057&lt;'Дашборд'!$C$49,"A",IF(E1057-D1057&lt;'Дашборд'!$C$50,"B","C")))</x:f>
        <x:v>C</x:v>
      </x:c>
      <x:c r="G1057" s="8" t="n">
        <x:f>'Данные'!F1057</x:f>
        <x:v>105</x:v>
      </x:c>
      <x:c r="H1057" s="8" t="n">
        <x:f>SUM('Данные'!H1057:I1057)</x:f>
        <x:v>4</x:v>
      </x:c>
      <x:c r="I1057" s="16" t="n">
        <x:f>IF(H1057&gt;0,G1057/H1057,"n.a.")</x:f>
        <x:v>26.25</x:v>
      </x:c>
      <x:c r="J1057" s="10" t="n">
        <x:f>IF('Данные'!E1057&gt;0,G1057/'Данные'!E1057,"n.a.")</x:f>
        <x:v>0.007722291681988674</x:v>
      </x:c>
      <x:c r="K1057" s="1" t="str">
        <x:f>IF(G1057&gt;='Дашборд'!$C$51,"X","Z")</x:f>
        <x:v>Z</x:v>
      </x:c>
      <x:c r="L1057" s="1" t="str">
        <x:f>IF(H1057=0,IF(G1057&gt;0,"Нет остатка","Нет спроса"),IF(I1057&gt;='Дашборд'!$C$52,"Быстрый","Медленный"))</x:f>
        <x:v>Быстрый</x:v>
      </x:c>
      <x:c r="M1057" s="1" t="str">
        <x:f>IF('Данные'!E1057&lt;'Дашборд'!$C$53,"Мало трафика",IF(J1057&lt;'Дашборд'!$C$9*'Дашборд'!$C$54,"Да","Нет"))</x:f>
        <x:v>Да</x:v>
      </x:c>
      <x:c r="N1057" s="1" t="str">
        <x:f>IF(AND('Данные'!D1057&gt;='Дашборд'!$C$55,D1057&lt;'Дашборд'!$C$56,'Данные'!E1057&gt;='Дашборд'!$C$53,'Данные'!L1057&lt;&gt;"Да"),"Да","Нет")</x:f>
        <x:v>Нет</x:v>
      </x:c>
      <x:c r="O1057" s="1" t="str">
        <x:f>'Данные'!L1057</x:f>
        <x:v>Нет</x:v>
      </x:c>
    </x:row>
    <x:row r="1058">
      <x:c r="A1058" s="1" t="str">
        <x:f>'Данные'!A1058</x:f>
        <x:v>264722806</x:v>
      </x:c>
      <x:c r="B1058" s="1" t="str">
        <x:f>'Данные'!B1058</x:f>
        <x:v>svitzipcroppetl/бордовый</x:v>
      </x:c>
      <x:c r="C1058" s="8" t="n">
        <x:f>'Данные'!G1058</x:f>
        <x:v>103949</x:v>
      </x:c>
      <x:c r="D1058" s="15" t="n">
        <x:f>C1058/SUM($C$5:$C$2477)</x:f>
        <x:v>0.00012143567800827347</x:v>
      </x:c>
      <x:c r="E1058" s="15" t="n">
        <x:f>SUM($D$5:D1058)</x:f>
        <x:v>0.9757680325910033</x:v>
      </x:c>
      <x:c r="F1058" s="1" t="str">
        <x:f>IF(C1058&lt;=0,"C",IF(E1058-D1058&lt;'Дашборд'!$C$49,"A",IF(E1058-D1058&lt;'Дашборд'!$C$50,"B","C")))</x:f>
        <x:v>C</x:v>
      </x:c>
      <x:c r="G1058" s="8" t="n">
        <x:f>'Данные'!F1058</x:f>
        <x:v>128</x:v>
      </x:c>
      <x:c r="H1058" s="8" t="n">
        <x:f>SUM('Данные'!H1058:I1058)</x:f>
        <x:v>58</x:v>
      </x:c>
      <x:c r="I1058" s="16" t="n">
        <x:f>IF(H1058&gt;0,G1058/H1058,"n.a.")</x:f>
        <x:v>2.206896551724138</x:v>
      </x:c>
      <x:c r="J1058" s="10" t="n">
        <x:f>IF('Данные'!E1058&gt;0,G1058/'Данные'!E1058,"n.a.")</x:f>
        <x:v>0.005295821266032272</x:v>
      </x:c>
      <x:c r="K1058" s="1" t="str">
        <x:f>IF(G1058&gt;='Дашборд'!$C$51,"X","Z")</x:f>
        <x:v>Z</x:v>
      </x:c>
      <x:c r="L1058" s="1" t="str">
        <x:f>IF(H1058=0,IF(G1058&gt;0,"Нет остатка","Нет спроса"),IF(I1058&gt;='Дашборд'!$C$52,"Быстрый","Медленный"))</x:f>
        <x:v>Быстрый</x:v>
      </x:c>
      <x:c r="M1058" s="1" t="str">
        <x:f>IF('Данные'!E1058&lt;'Дашборд'!$C$53,"Мало трафика",IF(J1058&lt;'Дашборд'!$C$9*'Дашборд'!$C$54,"Да","Нет"))</x:f>
        <x:v>Да</x:v>
      </x:c>
      <x:c r="N1058" s="1" t="str">
        <x:f>IF(AND('Данные'!D1058&gt;='Дашборд'!$C$55,D1058&lt;'Дашборд'!$C$56,'Данные'!E1058&gt;='Дашборд'!$C$53,'Данные'!L1058&lt;&gt;"Да"),"Да","Нет")</x:f>
        <x:v>Нет</x:v>
      </x:c>
      <x:c r="O1058" s="1" t="str">
        <x:f>'Данные'!L1058</x:f>
        <x:v>Нет</x:v>
      </x:c>
    </x:row>
    <x:row r="1059">
      <x:c r="A1059" s="1" t="str">
        <x:f>'Данные'!A1059</x:f>
        <x:v>66991232</x:v>
      </x:c>
      <x:c r="B1059" s="1" t="str">
        <x:f>'Данные'!B1059</x:f>
        <x:v>brukiman/изумрудно-зеленый</x:v>
      </x:c>
      <x:c r="C1059" s="8" t="n">
        <x:f>'Данные'!G1059</x:f>
        <x:v>103683</x:v>
      </x:c>
      <x:c r="D1059" s="15" t="n">
        <x:f>C1059/SUM($C$5:$C$2477)</x:f>
        <x:v>0.00012112493052296626</x:v>
      </x:c>
      <x:c r="E1059" s="15" t="n">
        <x:f>SUM($D$5:D1059)</x:f>
        <x:v>0.9758891575215263</x:v>
      </x:c>
      <x:c r="F1059" s="1" t="str">
        <x:f>IF(C1059&lt;=0,"C",IF(E1059-D1059&lt;'Дашборд'!$C$49,"A",IF(E1059-D1059&lt;'Дашборд'!$C$50,"B","C")))</x:f>
        <x:v>C</x:v>
      </x:c>
      <x:c r="G1059" s="8" t="n">
        <x:f>'Данные'!F1059</x:f>
        <x:v>125</x:v>
      </x:c>
      <x:c r="H1059" s="8" t="n">
        <x:f>SUM('Данные'!H1059:I1059)</x:f>
        <x:v>333</x:v>
      </x:c>
      <x:c r="I1059" s="16" t="n">
        <x:f>IF(H1059&gt;0,G1059/H1059,"n.a.")</x:f>
        <x:v>0.37537537537537535</x:v>
      </x:c>
      <x:c r="J1059" s="10" t="n">
        <x:f>IF('Данные'!E1059&gt;0,G1059/'Данные'!E1059,"n.a.")</x:f>
        <x:v>0.01779612756264237</x:v>
      </x:c>
      <x:c r="K1059" s="1" t="str">
        <x:f>IF(G1059&gt;='Дашборд'!$C$51,"X","Z")</x:f>
        <x:v>Z</x:v>
      </x:c>
      <x:c r="L1059" s="1" t="str">
        <x:f>IF(H1059=0,IF(G1059&gt;0,"Нет остатка","Нет спроса"),IF(I1059&gt;='Дашборд'!$C$52,"Быстрый","Медленный"))</x:f>
        <x:v>Медленный</x:v>
      </x:c>
      <x:c r="M1059" s="1" t="str">
        <x:f>IF('Данные'!E1059&lt;'Дашборд'!$C$53,"Мало трафика",IF(J1059&lt;'Дашборд'!$C$9*'Дашборд'!$C$54,"Да","Нет"))</x:f>
        <x:v>Нет</x:v>
      </x:c>
      <x:c r="N1059" s="1" t="str">
        <x:f>IF(AND('Данные'!D1059&gt;='Дашборд'!$C$55,D1059&lt;'Дашборд'!$C$56,'Данные'!E1059&gt;='Дашборд'!$C$53,'Данные'!L1059&lt;&gt;"Да"),"Да","Нет")</x:f>
        <x:v>Да</x:v>
      </x:c>
      <x:c r="O1059" s="1" t="str">
        <x:f>'Данные'!L1059</x:f>
        <x:v>Нет</x:v>
      </x:c>
    </x:row>
    <x:row r="1060">
      <x:c r="A1060" s="1" t="str">
        <x:f>'Данные'!A1060</x:f>
        <x:v>233502092</x:v>
      </x:c>
      <x:c r="B1060" s="1" t="str">
        <x:f>'Данные'!B1060</x:f>
        <x:v>hudiboy/черный</x:v>
      </x:c>
      <x:c r="C1060" s="8" t="n">
        <x:f>'Данные'!G1060</x:f>
        <x:v>103352</x:v>
      </x:c>
      <x:c r="D1060" s="15" t="n">
        <x:f>C1060/SUM($C$5:$C$2477)</x:f>
        <x:v>0.00012073824850177568</x:v>
      </x:c>
      <x:c r="E1060" s="15" t="n">
        <x:f>SUM($D$5:D1060)</x:f>
        <x:v>0.9760098957700281</x:v>
      </x:c>
      <x:c r="F1060" s="1" t="str">
        <x:f>IF(C1060&lt;=0,"C",IF(E1060-D1060&lt;'Дашборд'!$C$49,"A",IF(E1060-D1060&lt;'Дашборд'!$C$50,"B","C")))</x:f>
        <x:v>C</x:v>
      </x:c>
      <x:c r="G1060" s="8" t="n">
        <x:f>'Данные'!F1060</x:f>
        <x:v>134</x:v>
      </x:c>
      <x:c r="H1060" s="8" t="n">
        <x:f>SUM('Данные'!H1060:I1060)</x:f>
        <x:v>135</x:v>
      </x:c>
      <x:c r="I1060" s="16" t="n">
        <x:f>IF(H1060&gt;0,G1060/H1060,"n.a.")</x:f>
        <x:v>0.9925925925925926</x:v>
      </x:c>
      <x:c r="J1060" s="10" t="n">
        <x:f>IF('Данные'!E1060&gt;0,G1060/'Данные'!E1060,"n.a.")</x:f>
        <x:v>0.013653963725290402</x:v>
      </x:c>
      <x:c r="K1060" s="1" t="str">
        <x:f>IF(G1060&gt;='Дашборд'!$C$51,"X","Z")</x:f>
        <x:v>Z</x:v>
      </x:c>
      <x:c r="L1060" s="1" t="str">
        <x:f>IF(H1060=0,IF(G1060&gt;0,"Нет остатка","Нет спроса"),IF(I1060&gt;='Дашборд'!$C$52,"Быстрый","Медленный"))</x:f>
        <x:v>Медленный</x:v>
      </x:c>
      <x:c r="M1060" s="1" t="str">
        <x:f>IF('Данные'!E1060&lt;'Дашборд'!$C$53,"Мало трафика",IF(J1060&lt;'Дашборд'!$C$9*'Дашборд'!$C$54,"Да","Нет"))</x:f>
        <x:v>Нет</x:v>
      </x:c>
      <x:c r="N1060" s="1" t="str">
        <x:f>IF(AND('Данные'!D1060&gt;='Дашборд'!$C$55,D1060&lt;'Дашборд'!$C$56,'Данные'!E1060&gt;='Дашборд'!$C$53,'Данные'!L1060&lt;&gt;"Да"),"Да","Нет")</x:f>
        <x:v>Нет</x:v>
      </x:c>
      <x:c r="O1060" s="1" t="str">
        <x:f>'Данные'!L1060</x:f>
        <x:v>Нет</x:v>
      </x:c>
    </x:row>
    <x:row r="1061">
      <x:c r="A1061" s="1" t="str">
        <x:f>'Данные'!A1061</x:f>
        <x:v>221503640</x:v>
      </x:c>
      <x:c r="B1061" s="1" t="str">
        <x:f>'Данные'!B1061</x:f>
        <x:v>baza/персиковый</x:v>
      </x:c>
      <x:c r="C1061" s="8" t="n">
        <x:f>'Данные'!G1061</x:f>
        <x:v>102961</x:v>
      </x:c>
      <x:c r="D1061" s="15" t="n">
        <x:f>C1061/SUM($C$5:$C$2477)</x:f>
        <x:v>0.00012028147306284665</x:v>
      </x:c>
      <x:c r="E1061" s="15" t="n">
        <x:f>SUM($D$5:D1061)</x:f>
        <x:v>0.9761301772430909</x:v>
      </x:c>
      <x:c r="F1061" s="1" t="str">
        <x:f>IF(C1061&lt;=0,"C",IF(E1061-D1061&lt;'Дашборд'!$C$49,"A",IF(E1061-D1061&lt;'Дашборд'!$C$50,"B","C")))</x:f>
        <x:v>C</x:v>
      </x:c>
      <x:c r="G1061" s="8" t="n">
        <x:f>'Данные'!F1061</x:f>
        <x:v>232</x:v>
      </x:c>
      <x:c r="H1061" s="8" t="n">
        <x:f>SUM('Данные'!H1061:I1061)</x:f>
        <x:v>344</x:v>
      </x:c>
      <x:c r="I1061" s="16" t="n">
        <x:f>IF(H1061&gt;0,G1061/H1061,"n.a.")</x:f>
        <x:v>0.6744186046511628</x:v>
      </x:c>
      <x:c r="J1061" s="10" t="n">
        <x:f>IF('Данные'!E1061&gt;0,G1061/'Данные'!E1061,"n.a.")</x:f>
        <x:v>0.007146377525874815</x:v>
      </x:c>
      <x:c r="K1061" s="1" t="str">
        <x:f>IF(G1061&gt;='Дашборд'!$C$51,"X","Z")</x:f>
        <x:v>Z</x:v>
      </x:c>
      <x:c r="L1061" s="1" t="str">
        <x:f>IF(H1061=0,IF(G1061&gt;0,"Нет остатка","Нет спроса"),IF(I1061&gt;='Дашборд'!$C$52,"Быстрый","Медленный"))</x:f>
        <x:v>Медленный</x:v>
      </x:c>
      <x:c r="M1061" s="1" t="str">
        <x:f>IF('Данные'!E1061&lt;'Дашборд'!$C$53,"Мало трафика",IF(J1061&lt;'Дашборд'!$C$9*'Дашборд'!$C$54,"Да","Нет"))</x:f>
        <x:v>Да</x:v>
      </x:c>
      <x:c r="N1061" s="1" t="str">
        <x:f>IF(AND('Данные'!D1061&gt;='Дашборд'!$C$55,D1061&lt;'Дашборд'!$C$56,'Данные'!E1061&gt;='Дашборд'!$C$53,'Данные'!L1061&lt;&gt;"Да"),"Да","Нет")</x:f>
        <x:v>Нет</x:v>
      </x:c>
      <x:c r="O1061" s="1" t="str">
        <x:f>'Данные'!L1061</x:f>
        <x:v>Нет</x:v>
      </x:c>
    </x:row>
    <x:row r="1062">
      <x:c r="A1062" s="1" t="str">
        <x:f>'Данные'!A1062</x:f>
        <x:v>222293190</x:v>
      </x:c>
      <x:c r="B1062" s="1" t="str">
        <x:f>'Данные'!B1062</x:f>
        <x:v>futbolkaprint/BrighterDays-129/белый</x:v>
      </x:c>
      <x:c r="C1062" s="8" t="n">
        <x:f>'Данные'!G1062</x:f>
        <x:v>102578</x:v>
      </x:c>
      <x:c r="D1062" s="15" t="n">
        <x:f>C1062/SUM($C$5:$C$2477)</x:f>
        <x:v>0.0001198340434129494</x:v>
      </x:c>
      <x:c r="E1062" s="15" t="n">
        <x:f>SUM($D$5:D1062)</x:f>
        <x:v>0.9762500112865039</x:v>
      </x:c>
      <x:c r="F1062" s="1" t="str">
        <x:f>IF(C1062&lt;=0,"C",IF(E1062-D1062&lt;'Дашборд'!$C$49,"A",IF(E1062-D1062&lt;'Дашборд'!$C$50,"B","C")))</x:f>
        <x:v>C</x:v>
      </x:c>
      <x:c r="G1062" s="8" t="n">
        <x:f>'Данные'!F1062</x:f>
        <x:v>140</x:v>
      </x:c>
      <x:c r="H1062" s="8" t="n">
        <x:f>SUM('Данные'!H1062:I1062)</x:f>
        <x:v>0</x:v>
      </x:c>
      <x:c r="I1062" s="16" t="str">
        <x:f>IF(H1062&gt;0,G1062/H1062,"n.a.")</x:f>
        <x:v>n.a.</x:v>
      </x:c>
      <x:c r="J1062" s="10" t="n">
        <x:f>IF('Данные'!E1062&gt;0,G1062/'Данные'!E1062,"n.a.")</x:f>
        <x:v>0.006409962913785999</x:v>
      </x:c>
      <x:c r="K1062" s="1" t="str">
        <x:f>IF(G1062&gt;='Дашборд'!$C$51,"X","Z")</x:f>
        <x:v>Z</x:v>
      </x:c>
      <x:c r="L1062" s="1" t="str">
        <x:f>IF(H1062=0,IF(G1062&gt;0,"Нет остатка","Нет спроса"),IF(I1062&gt;='Дашборд'!$C$52,"Быстрый","Медленный"))</x:f>
        <x:v>Нет остатка</x:v>
      </x:c>
      <x:c r="M1062" s="1" t="str">
        <x:f>IF('Данные'!E1062&lt;'Дашборд'!$C$53,"Мало трафика",IF(J1062&lt;'Дашборд'!$C$9*'Дашборд'!$C$54,"Да","Нет"))</x:f>
        <x:v>Да</x:v>
      </x:c>
      <x:c r="N1062" s="1" t="str">
        <x:f>IF(AND('Данные'!D1062&gt;='Дашборд'!$C$55,D1062&lt;'Дашборд'!$C$56,'Данные'!E1062&gt;='Дашборд'!$C$53,'Данные'!L1062&lt;&gt;"Да"),"Да","Нет")</x:f>
        <x:v>Нет</x:v>
      </x:c>
      <x:c r="O1062" s="1" t="str">
        <x:f>'Данные'!L1062</x:f>
        <x:v>Нет</x:v>
      </x:c>
    </x:row>
    <x:row r="1063">
      <x:c r="A1063" s="1" t="str">
        <x:f>'Данные'!A1063</x:f>
        <x:v>232234734</x:v>
      </x:c>
      <x:c r="B1063" s="1" t="str">
        <x:f>'Данные'!B1063</x:f>
        <x:v>hudivish/Dream-11в/темно-серый</x:v>
      </x:c>
      <x:c r="C1063" s="8" t="n">
        <x:f>'Данные'!G1063</x:f>
        <x:v>102568</x:v>
      </x:c>
      <x:c r="D1063" s="15" t="n">
        <x:f>C1063/SUM($C$5:$C$2477)</x:f>
        <x:v>0.00011982236117665966</x:v>
      </x:c>
      <x:c r="E1063" s="15" t="n">
        <x:f>SUM($D$5:D1063)</x:f>
        <x:v>0.9763698336476806</x:v>
      </x:c>
      <x:c r="F1063" s="1" t="str">
        <x:f>IF(C1063&lt;=0,"C",IF(E1063-D1063&lt;'Дашборд'!$C$49,"A",IF(E1063-D1063&lt;'Дашборд'!$C$50,"B","C")))</x:f>
        <x:v>C</x:v>
      </x:c>
      <x:c r="G1063" s="8" t="n">
        <x:f>'Данные'!F1063</x:f>
        <x:v>140</x:v>
      </x:c>
      <x:c r="H1063" s="8" t="n">
        <x:f>SUM('Данные'!H1063:I1063)</x:f>
        <x:v>0</x:v>
      </x:c>
      <x:c r="I1063" s="16" t="str">
        <x:f>IF(H1063&gt;0,G1063/H1063,"n.a.")</x:f>
        <x:v>n.a.</x:v>
      </x:c>
      <x:c r="J1063" s="10" t="n">
        <x:f>IF('Данные'!E1063&gt;0,G1063/'Данные'!E1063,"n.a.")</x:f>
        <x:v>0.009548492702223434</x:v>
      </x:c>
      <x:c r="K1063" s="1" t="str">
        <x:f>IF(G1063&gt;='Дашборд'!$C$51,"X","Z")</x:f>
        <x:v>Z</x:v>
      </x:c>
      <x:c r="L1063" s="1" t="str">
        <x:f>IF(H1063=0,IF(G1063&gt;0,"Нет остатка","Нет спроса"),IF(I1063&gt;='Дашборд'!$C$52,"Быстрый","Медленный"))</x:f>
        <x:v>Нет остатка</x:v>
      </x:c>
      <x:c r="M1063" s="1" t="str">
        <x:f>IF('Данные'!E1063&lt;'Дашборд'!$C$53,"Мало трафика",IF(J1063&lt;'Дашборд'!$C$9*'Дашборд'!$C$54,"Да","Нет"))</x:f>
        <x:v>Да</x:v>
      </x:c>
      <x:c r="N1063" s="1" t="str">
        <x:f>IF(AND('Данные'!D1063&gt;='Дашборд'!$C$55,D1063&lt;'Дашборд'!$C$56,'Данные'!E1063&gt;='Дашборд'!$C$53,'Данные'!L1063&lt;&gt;"Да"),"Да","Нет")</x:f>
        <x:v>Да</x:v>
      </x:c>
      <x:c r="O1063" s="1" t="str">
        <x:f>'Данные'!L1063</x:f>
        <x:v>Нет</x:v>
      </x:c>
    </x:row>
    <x:row r="1064">
      <x:c r="A1064" s="1" t="str">
        <x:f>'Данные'!A1064</x:f>
        <x:v>336295687</x:v>
      </x:c>
      <x:c r="B1064" s="1" t="str">
        <x:f>'Данные'!B1064</x:f>
        <x:v>futbolkaoverhlop/бордовый</x:v>
      </x:c>
      <x:c r="C1064" s="8" t="n">
        <x:f>'Данные'!G1064</x:f>
        <x:v>102500</x:v>
      </x:c>
      <x:c r="D1064" s="15" t="n">
        <x:f>C1064/SUM($C$5:$C$2477)</x:f>
        <x:v>0.00011974292196988938</x:v>
      </x:c>
      <x:c r="E1064" s="15" t="n">
        <x:f>SUM($D$5:D1064)</x:f>
        <x:v>0.9764895765696505</x:v>
      </x:c>
      <x:c r="F1064" s="1" t="str">
        <x:f>IF(C1064&lt;=0,"C",IF(E1064-D1064&lt;'Дашборд'!$C$49,"A",IF(E1064-D1064&lt;'Дашборд'!$C$50,"B","C")))</x:f>
        <x:v>C</x:v>
      </x:c>
      <x:c r="G1064" s="8" t="n">
        <x:f>'Данные'!F1064</x:f>
        <x:v>319</x:v>
      </x:c>
      <x:c r="H1064" s="8" t="n">
        <x:f>SUM('Данные'!H1064:I1064)</x:f>
        <x:v>168</x:v>
      </x:c>
      <x:c r="I1064" s="16" t="n">
        <x:f>IF(H1064&gt;0,G1064/H1064,"n.a.")</x:f>
        <x:v>1.8988095238095237</x:v>
      </x:c>
      <x:c r="J1064" s="10" t="n">
        <x:f>IF('Данные'!E1064&gt;0,G1064/'Данные'!E1064,"n.a.")</x:f>
        <x:v>0.015099162209494959</x:v>
      </x:c>
      <x:c r="K1064" s="1" t="str">
        <x:f>IF(G1064&gt;='Дашборд'!$C$51,"X","Z")</x:f>
        <x:v>X</x:v>
      </x:c>
      <x:c r="L1064" s="1" t="str">
        <x:f>IF(H1064=0,IF(G1064&gt;0,"Нет остатка","Нет спроса"),IF(I1064&gt;='Дашборд'!$C$52,"Быстрый","Медленный"))</x:f>
        <x:v>Быстрый</x:v>
      </x:c>
      <x:c r="M1064" s="1" t="str">
        <x:f>IF('Данные'!E1064&lt;'Дашборд'!$C$53,"Мало трафика",IF(J1064&lt;'Дашборд'!$C$9*'Дашборд'!$C$54,"Да","Нет"))</x:f>
        <x:v>Нет</x:v>
      </x:c>
      <x:c r="N1064" s="1" t="str">
        <x:f>IF(AND('Данные'!D1064&gt;='Дашборд'!$C$55,D1064&lt;'Дашборд'!$C$56,'Данные'!E1064&gt;='Дашборд'!$C$53,'Данные'!L1064&lt;&gt;"Да"),"Да","Нет")</x:f>
        <x:v>Да</x:v>
      </x:c>
      <x:c r="O1064" s="1" t="str">
        <x:f>'Данные'!L1064</x:f>
        <x:v>Нет</x:v>
      </x:c>
    </x:row>
    <x:row r="1065">
      <x:c r="A1065" s="1" t="str">
        <x:f>'Данные'!A1065</x:f>
        <x:v>160478470</x:v>
      </x:c>
      <x:c r="B1065" s="1" t="str">
        <x:f>'Данные'!B1065</x:f>
        <x:v>shortyman/черный</x:v>
      </x:c>
      <x:c r="C1065" s="8" t="n">
        <x:f>'Данные'!G1065</x:f>
        <x:v>102430</x:v>
      </x:c>
      <x:c r="D1065" s="15" t="n">
        <x:f>C1065/SUM($C$5:$C$2477)</x:f>
        <x:v>0.00011966114631586117</x:v>
      </x:c>
      <x:c r="E1065" s="15" t="n">
        <x:f>SUM($D$5:D1065)</x:f>
        <x:v>0.9766092377159664</x:v>
      </x:c>
      <x:c r="F1065" s="1" t="str">
        <x:f>IF(C1065&lt;=0,"C",IF(E1065-D1065&lt;'Дашборд'!$C$49,"A",IF(E1065-D1065&lt;'Дашборд'!$C$50,"B","C")))</x:f>
        <x:v>C</x:v>
      </x:c>
      <x:c r="G1065" s="8" t="n">
        <x:f>'Данные'!F1065</x:f>
        <x:v>221</x:v>
      </x:c>
      <x:c r="H1065" s="8" t="n">
        <x:f>SUM('Данные'!H1065:I1065)</x:f>
        <x:v>0</x:v>
      </x:c>
      <x:c r="I1065" s="16" t="str">
        <x:f>IF(H1065&gt;0,G1065/H1065,"n.a.")</x:f>
        <x:v>n.a.</x:v>
      </x:c>
      <x:c r="J1065" s="10" t="n">
        <x:f>IF('Данные'!E1065&gt;0,G1065/'Данные'!E1065,"n.a.")</x:f>
        <x:v>0.03247134880987364</x:v>
      </x:c>
      <x:c r="K1065" s="1" t="str">
        <x:f>IF(G1065&gt;='Дашборд'!$C$51,"X","Z")</x:f>
        <x:v>Z</x:v>
      </x:c>
      <x:c r="L1065" s="1" t="str">
        <x:f>IF(H1065=0,IF(G1065&gt;0,"Нет остатка","Нет спроса"),IF(I1065&gt;='Дашборд'!$C$52,"Быстрый","Медленный"))</x:f>
        <x:v>Нет остатка</x:v>
      </x:c>
      <x:c r="M1065" s="1" t="str">
        <x:f>IF('Данные'!E1065&lt;'Дашборд'!$C$53,"Мало трафика",IF(J1065&lt;'Дашборд'!$C$9*'Дашборд'!$C$54,"Да","Нет"))</x:f>
        <x:v>Нет</x:v>
      </x:c>
      <x:c r="N1065" s="1" t="str">
        <x:f>IF(AND('Данные'!D1065&gt;='Дашборд'!$C$55,D1065&lt;'Дашборд'!$C$56,'Данные'!E1065&gt;='Дашборд'!$C$53,'Данные'!L1065&lt;&gt;"Да"),"Да","Нет")</x:f>
        <x:v>Нет</x:v>
      </x:c>
      <x:c r="O1065" s="1" t="str">
        <x:f>'Данные'!L1065</x:f>
        <x:v>Нет</x:v>
      </x:c>
    </x:row>
    <x:row r="1066">
      <x:c r="A1066" s="1" t="str">
        <x:f>'Данные'!A1066</x:f>
        <x:v>246362937</x:v>
      </x:c>
      <x:c r="B1066" s="1" t="str">
        <x:f>'Данные'!B1066</x:f>
        <x:v>tolstovkazipman/голубой</x:v>
      </x:c>
      <x:c r="C1066" s="8" t="n">
        <x:f>'Данные'!G1066</x:f>
        <x:v>102208</x:v>
      </x:c>
      <x:c r="D1066" s="15" t="n">
        <x:f>C1066/SUM($C$5:$C$2477)</x:f>
        <x:v>0.00011940180067022883</x:v>
      </x:c>
      <x:c r="E1066" s="15" t="n">
        <x:f>SUM($D$5:D1066)</x:f>
        <x:v>0.9767286395166367</x:v>
      </x:c>
      <x:c r="F1066" s="1" t="str">
        <x:f>IF(C1066&lt;=0,"C",IF(E1066-D1066&lt;'Дашборд'!$C$49,"A",IF(E1066-D1066&lt;'Дашборд'!$C$50,"B","C")))</x:f>
        <x:v>C</x:v>
      </x:c>
      <x:c r="G1066" s="8" t="n">
        <x:f>'Данные'!F1066</x:f>
        <x:v>75</x:v>
      </x:c>
      <x:c r="H1066" s="8" t="n">
        <x:f>SUM('Данные'!H1066:I1066)</x:f>
        <x:v>0</x:v>
      </x:c>
      <x:c r="I1066" s="16" t="str">
        <x:f>IF(H1066&gt;0,G1066/H1066,"n.a.")</x:f>
        <x:v>n.a.</x:v>
      </x:c>
      <x:c r="J1066" s="10" t="n">
        <x:f>IF('Данные'!E1066&gt;0,G1066/'Данные'!E1066,"n.a.")</x:f>
        <x:v>0.007526342197691922</x:v>
      </x:c>
      <x:c r="K1066" s="1" t="str">
        <x:f>IF(G1066&gt;='Дашборд'!$C$51,"X","Z")</x:f>
        <x:v>Z</x:v>
      </x:c>
      <x:c r="L1066" s="1" t="str">
        <x:f>IF(H1066=0,IF(G1066&gt;0,"Нет остатка","Нет спроса"),IF(I1066&gt;='Дашборд'!$C$52,"Быстрый","Медленный"))</x:f>
        <x:v>Нет остатка</x:v>
      </x:c>
      <x:c r="M1066" s="1" t="str">
        <x:f>IF('Данные'!E1066&lt;'Дашборд'!$C$53,"Мало трафика",IF(J1066&lt;'Дашборд'!$C$9*'Дашборд'!$C$54,"Да","Нет"))</x:f>
        <x:v>Да</x:v>
      </x:c>
      <x:c r="N1066" s="1" t="str">
        <x:f>IF(AND('Данные'!D1066&gt;='Дашборд'!$C$55,D1066&lt;'Дашборд'!$C$56,'Данные'!E1066&gt;='Дашборд'!$C$53,'Данные'!L1066&lt;&gt;"Да"),"Да","Нет")</x:f>
        <x:v>Да</x:v>
      </x:c>
      <x:c r="O1066" s="1" t="str">
        <x:f>'Данные'!L1066</x:f>
        <x:v>Нет</x:v>
      </x:c>
    </x:row>
    <x:row r="1067">
      <x:c r="A1067" s="1" t="str">
        <x:f>'Данные'!A1067</x:f>
        <x:v>322127868</x:v>
      </x:c>
      <x:c r="B1067" s="1" t="str">
        <x:f>'Данные'!B1067</x:f>
        <x:v>shorts3n3P-87/черный</x:v>
      </x:c>
      <x:c r="C1067" s="8" t="n">
        <x:f>'Данные'!G1067</x:f>
        <x:v>102193</x:v>
      </x:c>
      <x:c r="D1067" s="15" t="n">
        <x:f>C1067/SUM($C$5:$C$2477)</x:f>
        <x:v>0.0001193842773157942</x:v>
      </x:c>
      <x:c r="E1067" s="15" t="n">
        <x:f>SUM($D$5:D1067)</x:f>
        <x:v>0.9768480237939525</x:v>
      </x:c>
      <x:c r="F1067" s="1" t="str">
        <x:f>IF(C1067&lt;=0,"C",IF(E1067-D1067&lt;'Дашборд'!$C$49,"A",IF(E1067-D1067&lt;'Дашборд'!$C$50,"B","C")))</x:f>
        <x:v>C</x:v>
      </x:c>
      <x:c r="G1067" s="8" t="n">
        <x:f>'Данные'!F1067</x:f>
        <x:v>244</x:v>
      </x:c>
      <x:c r="H1067" s="8" t="n">
        <x:f>SUM('Данные'!H1067:I1067)</x:f>
        <x:v>529</x:v>
      </x:c>
      <x:c r="I1067" s="16" t="n">
        <x:f>IF(H1067&gt;0,G1067/H1067,"n.a.")</x:f>
        <x:v>0.4612476370510397</x:v>
      </x:c>
      <x:c r="J1067" s="10" t="n">
        <x:f>IF('Данные'!E1067&gt;0,G1067/'Данные'!E1067,"n.a.")</x:f>
        <x:v>0.016579465923761635</x:v>
      </x:c>
      <x:c r="K1067" s="1" t="str">
        <x:f>IF(G1067&gt;='Дашборд'!$C$51,"X","Z")</x:f>
        <x:v>Z</x:v>
      </x:c>
      <x:c r="L1067" s="1" t="str">
        <x:f>IF(H1067=0,IF(G1067&gt;0,"Нет остатка","Нет спроса"),IF(I1067&gt;='Дашборд'!$C$52,"Быстрый","Медленный"))</x:f>
        <x:v>Медленный</x:v>
      </x:c>
      <x:c r="M1067" s="1" t="str">
        <x:f>IF('Данные'!E1067&lt;'Дашборд'!$C$53,"Мало трафика",IF(J1067&lt;'Дашборд'!$C$9*'Дашборд'!$C$54,"Да","Нет"))</x:f>
        <x:v>Нет</x:v>
      </x:c>
      <x:c r="N1067" s="1" t="str">
        <x:f>IF(AND('Данные'!D1067&gt;='Дашборд'!$C$55,D1067&lt;'Дашборд'!$C$56,'Данные'!E1067&gt;='Дашборд'!$C$53,'Данные'!L1067&lt;&gt;"Да"),"Да","Нет")</x:f>
        <x:v>Нет</x:v>
      </x:c>
      <x:c r="O1067" s="1" t="str">
        <x:f>'Данные'!L1067</x:f>
        <x:v>Нет</x:v>
      </x:c>
    </x:row>
    <x:row r="1068">
      <x:c r="A1068" s="1" t="str">
        <x:f>'Данные'!A1068</x:f>
        <x:v>195712675</x:v>
      </x:c>
      <x:c r="B1068" s="1" t="str">
        <x:f>'Данные'!B1068</x:f>
        <x:v>sweater/светло-фиолетовый</x:v>
      </x:c>
      <x:c r="C1068" s="8" t="n">
        <x:f>'Данные'!G1068</x:f>
        <x:v>102041</x:v>
      </x:c>
      <x:c r="D1068" s="15" t="n">
        <x:f>C1068/SUM($C$5:$C$2477)</x:f>
        <x:v>0.00011920670732419007</x:v>
      </x:c>
      <x:c r="E1068" s="15" t="n">
        <x:f>SUM($D$5:D1068)</x:f>
        <x:v>0.9769672305012768</x:v>
      </x:c>
      <x:c r="F1068" s="1" t="str">
        <x:f>IF(C1068&lt;=0,"C",IF(E1068-D1068&lt;'Дашборд'!$C$49,"A",IF(E1068-D1068&lt;'Дашборд'!$C$50,"B","C")))</x:f>
        <x:v>C</x:v>
      </x:c>
      <x:c r="G1068" s="8" t="n">
        <x:f>'Данные'!F1068</x:f>
        <x:v>189</x:v>
      </x:c>
      <x:c r="H1068" s="8" t="n">
        <x:f>SUM('Данные'!H1068:I1068)</x:f>
        <x:v>39</x:v>
      </x:c>
      <x:c r="I1068" s="16" t="n">
        <x:f>IF(H1068&gt;0,G1068/H1068,"n.a.")</x:f>
        <x:v>4.846153846153846</x:v>
      </x:c>
      <x:c r="J1068" s="10" t="n">
        <x:f>IF('Данные'!E1068&gt;0,G1068/'Данные'!E1068,"n.a.")</x:f>
        <x:v>0.00926697720029419</x:v>
      </x:c>
      <x:c r="K1068" s="1" t="str">
        <x:f>IF(G1068&gt;='Дашборд'!$C$51,"X","Z")</x:f>
        <x:v>Z</x:v>
      </x:c>
      <x:c r="L1068" s="1" t="str">
        <x:f>IF(H1068=0,IF(G1068&gt;0,"Нет остатка","Нет спроса"),IF(I1068&gt;='Дашборд'!$C$52,"Быстрый","Медленный"))</x:f>
        <x:v>Быстрый</x:v>
      </x:c>
      <x:c r="M1068" s="1" t="str">
        <x:f>IF('Данные'!E1068&lt;'Дашборд'!$C$53,"Мало трафика",IF(J1068&lt;'Дашборд'!$C$9*'Дашборд'!$C$54,"Да","Нет"))</x:f>
        <x:v>Да</x:v>
      </x:c>
      <x:c r="N1068" s="1" t="str">
        <x:f>IF(AND('Данные'!D1068&gt;='Дашборд'!$C$55,D1068&lt;'Дашборд'!$C$56,'Данные'!E1068&gt;='Дашборд'!$C$53,'Данные'!L1068&lt;&gt;"Да"),"Да","Нет")</x:f>
        <x:v>Да</x:v>
      </x:c>
      <x:c r="O1068" s="1" t="str">
        <x:f>'Данные'!L1068</x:f>
        <x:v>Нет</x:v>
      </x:c>
    </x:row>
    <x:row r="1069">
      <x:c r="A1069" s="1" t="str">
        <x:f>'Данные'!A1069</x:f>
        <x:v>212947278</x:v>
      </x:c>
      <x:c r="B1069" s="1" t="str">
        <x:f>'Данные'!B1069</x:f>
        <x:v>hudiprint/SinMoreSelf-91/серыймеланж2</x:v>
      </x:c>
      <x:c r="C1069" s="8" t="n">
        <x:f>'Данные'!G1069</x:f>
        <x:v>102032</x:v>
      </x:c>
      <x:c r="D1069" s="15" t="n">
        <x:f>C1069/SUM($C$5:$C$2477)</x:f>
        <x:v>0.0001191961933115293</x:v>
      </x:c>
      <x:c r="E1069" s="15" t="n">
        <x:f>SUM($D$5:D1069)</x:f>
        <x:v>0.9770864266945883</x:v>
      </x:c>
      <x:c r="F1069" s="1" t="str">
        <x:f>IF(C1069&lt;=0,"C",IF(E1069-D1069&lt;'Дашборд'!$C$49,"A",IF(E1069-D1069&lt;'Дашборд'!$C$50,"B","C")))</x:f>
        <x:v>C</x:v>
      </x:c>
      <x:c r="G1069" s="8" t="n">
        <x:f>'Данные'!F1069</x:f>
        <x:v>87</x:v>
      </x:c>
      <x:c r="H1069" s="8" t="n">
        <x:f>SUM('Данные'!H1069:I1069)</x:f>
        <x:v>2</x:v>
      </x:c>
      <x:c r="I1069" s="16" t="n">
        <x:f>IF(H1069&gt;0,G1069/H1069,"n.a.")</x:f>
        <x:v>43.5</x:v>
      </x:c>
      <x:c r="J1069" s="10" t="n">
        <x:f>IF('Данные'!E1069&gt;0,G1069/'Данные'!E1069,"n.a.")</x:f>
        <x:v>0.01449516827724092</x:v>
      </x:c>
      <x:c r="K1069" s="1" t="str">
        <x:f>IF(G1069&gt;='Дашборд'!$C$51,"X","Z")</x:f>
        <x:v>Z</x:v>
      </x:c>
      <x:c r="L1069" s="1" t="str">
        <x:f>IF(H1069=0,IF(G1069&gt;0,"Нет остатка","Нет спроса"),IF(I1069&gt;='Дашборд'!$C$52,"Быстрый","Медленный"))</x:f>
        <x:v>Быстрый</x:v>
      </x:c>
      <x:c r="M1069" s="1" t="str">
        <x:f>IF('Данные'!E1069&lt;'Дашборд'!$C$53,"Мало трафика",IF(J1069&lt;'Дашборд'!$C$9*'Дашборд'!$C$54,"Да","Нет"))</x:f>
        <x:v>Нет</x:v>
      </x:c>
      <x:c r="N1069" s="1" t="str">
        <x:f>IF(AND('Данные'!D1069&gt;='Дашборд'!$C$55,D1069&lt;'Дашборд'!$C$56,'Данные'!E1069&gt;='Дашборд'!$C$53,'Данные'!L1069&lt;&gt;"Да"),"Да","Нет")</x:f>
        <x:v>Нет</x:v>
      </x:c>
      <x:c r="O1069" s="1" t="str">
        <x:f>'Данные'!L1069</x:f>
        <x:v>Нет</x:v>
      </x:c>
    </x:row>
    <x:row r="1070">
      <x:c r="A1070" s="1" t="str">
        <x:f>'Данные'!A1070</x:f>
        <x:v>289098366</x:v>
      </x:c>
      <x:c r="B1070" s="1" t="str">
        <x:f>'Данные'!B1070</x:f>
        <x:v>tolstovkazip3F-71/бордовый</x:v>
      </x:c>
      <x:c r="C1070" s="8" t="n">
        <x:f>'Данные'!G1070</x:f>
        <x:v>101856</x:v>
      </x:c>
      <x:c r="D1070" s="15" t="n">
        <x:f>C1070/SUM($C$5:$C$2477)</x:f>
        <x:v>0.00011899058595282979</x:v>
      </x:c>
      <x:c r="E1070" s="15" t="n">
        <x:f>SUM($D$5:D1070)</x:f>
        <x:v>0.9772054172805412</x:v>
      </x:c>
      <x:c r="F1070" s="1" t="str">
        <x:f>IF(C1070&lt;=0,"C",IF(E1070-D1070&lt;'Дашборд'!$C$49,"A",IF(E1070-D1070&lt;'Дашборд'!$C$50,"B","C")))</x:f>
        <x:v>C</x:v>
      </x:c>
      <x:c r="G1070" s="8" t="n">
        <x:f>'Данные'!F1070</x:f>
        <x:v>85</x:v>
      </x:c>
      <x:c r="H1070" s="8" t="n">
        <x:f>SUM('Данные'!H1070:I1070)</x:f>
        <x:v>1</x:v>
      </x:c>
      <x:c r="I1070" s="16" t="n">
        <x:f>IF(H1070&gt;0,G1070/H1070,"n.a.")</x:f>
        <x:v>85</x:v>
      </x:c>
      <x:c r="J1070" s="10" t="n">
        <x:f>IF('Данные'!E1070&gt;0,G1070/'Данные'!E1070,"n.a.")</x:f>
        <x:v>0.004014167650531287</x:v>
      </x:c>
      <x:c r="K1070" s="1" t="str">
        <x:f>IF(G1070&gt;='Дашборд'!$C$51,"X","Z")</x:f>
        <x:v>Z</x:v>
      </x:c>
      <x:c r="L1070" s="1" t="str">
        <x:f>IF(H1070=0,IF(G1070&gt;0,"Нет остатка","Нет спроса"),IF(I1070&gt;='Дашборд'!$C$52,"Быстрый","Медленный"))</x:f>
        <x:v>Быстрый</x:v>
      </x:c>
      <x:c r="M1070" s="1" t="str">
        <x:f>IF('Данные'!E1070&lt;'Дашборд'!$C$53,"Мало трафика",IF(J1070&lt;'Дашборд'!$C$9*'Дашборд'!$C$54,"Да","Нет"))</x:f>
        <x:v>Да</x:v>
      </x:c>
      <x:c r="N1070" s="1" t="str">
        <x:f>IF(AND('Данные'!D1070&gt;='Дашборд'!$C$55,D1070&lt;'Дашборд'!$C$56,'Данные'!E1070&gt;='Дашборд'!$C$53,'Данные'!L1070&lt;&gt;"Да"),"Да","Нет")</x:f>
        <x:v>Да</x:v>
      </x:c>
      <x:c r="O1070" s="1" t="str">
        <x:f>'Данные'!L1070</x:f>
        <x:v>Нет</x:v>
      </x:c>
    </x:row>
    <x:row r="1071">
      <x:c r="A1071" s="1" t="str">
        <x:f>'Данные'!A1071</x:f>
        <x:v>271383078</x:v>
      </x:c>
      <x:c r="B1071" s="1" t="str">
        <x:f>'Данные'!B1071</x:f>
        <x:v>shtanyfix/бордовый</x:v>
      </x:c>
      <x:c r="C1071" s="8" t="n">
        <x:f>'Данные'!G1071</x:f>
        <x:v>101088</x:v>
      </x:c>
      <x:c r="D1071" s="15" t="n">
        <x:f>C1071/SUM($C$5:$C$2477)</x:f>
        <x:v>0.00011809339020577735</x:v>
      </x:c>
      <x:c r="E1071" s="15" t="n">
        <x:f>SUM($D$5:D1071)</x:f>
        <x:v>0.977323510670747</x:v>
      </x:c>
      <x:c r="F1071" s="1" t="str">
        <x:f>IF(C1071&lt;=0,"C",IF(E1071-D1071&lt;'Дашборд'!$C$49,"A",IF(E1071-D1071&lt;'Дашборд'!$C$50,"B","C")))</x:f>
        <x:v>C</x:v>
      </x:c>
      <x:c r="G1071" s="8" t="n">
        <x:f>'Данные'!F1071</x:f>
        <x:v>123</x:v>
      </x:c>
      <x:c r="H1071" s="8" t="n">
        <x:f>SUM('Данные'!H1071:I1071)</x:f>
        <x:v>3</x:v>
      </x:c>
      <x:c r="I1071" s="16" t="n">
        <x:f>IF(H1071&gt;0,G1071/H1071,"n.a.")</x:f>
        <x:v>41</x:v>
      </x:c>
      <x:c r="J1071" s="10" t="n">
        <x:f>IF('Данные'!E1071&gt;0,G1071/'Данные'!E1071,"n.a.")</x:f>
        <x:v>0.011001788908765653</x:v>
      </x:c>
      <x:c r="K1071" s="1" t="str">
        <x:f>IF(G1071&gt;='Дашборд'!$C$51,"X","Z")</x:f>
        <x:v>Z</x:v>
      </x:c>
      <x:c r="L1071" s="1" t="str">
        <x:f>IF(H1071=0,IF(G1071&gt;0,"Нет остатка","Нет спроса"),IF(I1071&gt;='Дашборд'!$C$52,"Быстрый","Медленный"))</x:f>
        <x:v>Быстрый</x:v>
      </x:c>
      <x:c r="M1071" s="1" t="str">
        <x:f>IF('Данные'!E1071&lt;'Дашборд'!$C$53,"Мало трафика",IF(J1071&lt;'Дашборд'!$C$9*'Дашборд'!$C$54,"Да","Нет"))</x:f>
        <x:v>Нет</x:v>
      </x:c>
      <x:c r="N1071" s="1" t="str">
        <x:f>IF(AND('Данные'!D1071&gt;='Дашборд'!$C$55,D1071&lt;'Дашборд'!$C$56,'Данные'!E1071&gt;='Дашборд'!$C$53,'Данные'!L1071&lt;&gt;"Да"),"Да","Нет")</x:f>
        <x:v>Нет</x:v>
      </x:c>
      <x:c r="O1071" s="1" t="str">
        <x:f>'Данные'!L1071</x:f>
        <x:v>Нет</x:v>
      </x:c>
    </x:row>
    <x:row r="1072">
      <x:c r="A1072" s="1" t="str">
        <x:f>'Данные'!A1072</x:f>
        <x:v>71994016</x:v>
      </x:c>
      <x:c r="B1072" s="1" t="str">
        <x:f>'Данные'!B1072</x:f>
        <x:v>brukiman/песочный</x:v>
      </x:c>
      <x:c r="C1072" s="8" t="n">
        <x:f>'Данные'!G1072</x:f>
        <x:v>100769</x:v>
      </x:c>
      <x:c r="D1072" s="15" t="n">
        <x:f>C1072/SUM($C$5:$C$2477)</x:f>
        <x:v>0.00011772072686813447</x:v>
      </x:c>
      <x:c r="E1072" s="15" t="n">
        <x:f>SUM($D$5:D1072)</x:f>
        <x:v>0.9774412313976151</x:v>
      </x:c>
      <x:c r="F1072" s="1" t="str">
        <x:f>IF(C1072&lt;=0,"C",IF(E1072-D1072&lt;'Дашборд'!$C$49,"A",IF(E1072-D1072&lt;'Дашборд'!$C$50,"B","C")))</x:f>
        <x:v>C</x:v>
      </x:c>
      <x:c r="G1072" s="8" t="n">
        <x:f>'Данные'!F1072</x:f>
        <x:v>162</x:v>
      </x:c>
      <x:c r="H1072" s="8" t="n">
        <x:f>SUM('Данные'!H1072:I1072)</x:f>
        <x:v>555</x:v>
      </x:c>
      <x:c r="I1072" s="16" t="n">
        <x:f>IF(H1072&gt;0,G1072/H1072,"n.a.")</x:f>
        <x:v>0.2918918918918919</x:v>
      </x:c>
      <x:c r="J1072" s="10" t="n">
        <x:f>IF('Данные'!E1072&gt;0,G1072/'Данные'!E1072,"n.a.")</x:f>
        <x:v>0.02965946539729037</x:v>
      </x:c>
      <x:c r="K1072" s="1" t="str">
        <x:f>IF(G1072&gt;='Дашборд'!$C$51,"X","Z")</x:f>
        <x:v>Z</x:v>
      </x:c>
      <x:c r="L1072" s="1" t="str">
        <x:f>IF(H1072=0,IF(G1072&gt;0,"Нет остатка","Нет спроса"),IF(I1072&gt;='Дашборд'!$C$52,"Быстрый","Медленный"))</x:f>
        <x:v>Медленный</x:v>
      </x:c>
      <x:c r="M1072" s="1" t="str">
        <x:f>IF('Данные'!E1072&lt;'Дашборд'!$C$53,"Мало трафика",IF(J1072&lt;'Дашборд'!$C$9*'Дашборд'!$C$54,"Да","Нет"))</x:f>
        <x:v>Нет</x:v>
      </x:c>
      <x:c r="N1072" s="1" t="str">
        <x:f>IF(AND('Данные'!D1072&gt;='Дашборд'!$C$55,D1072&lt;'Дашборд'!$C$56,'Данные'!E1072&gt;='Дашборд'!$C$53,'Данные'!L1072&lt;&gt;"Да"),"Да","Нет")</x:f>
        <x:v>Нет</x:v>
      </x:c>
      <x:c r="O1072" s="1" t="str">
        <x:f>'Данные'!L1072</x:f>
        <x:v>Нет</x:v>
      </x:c>
    </x:row>
    <x:row r="1073">
      <x:c r="A1073" s="1" t="str">
        <x:f>'Данные'!A1073</x:f>
        <x:v>333088568</x:v>
      </x:c>
      <x:c r="B1073" s="1" t="str">
        <x:f>'Данные'!B1073</x:f>
        <x:v>brukizshp3P-S-1/винный</x:v>
      </x:c>
      <x:c r="C1073" s="8" t="n">
        <x:f>'Данные'!G1073</x:f>
        <x:v>100409</x:v>
      </x:c>
      <x:c r="D1073" s="15" t="n">
        <x:f>C1073/SUM($C$5:$C$2477)</x:f>
        <x:v>0.00011730016636170365</x:v>
      </x:c>
      <x:c r="E1073" s="15" t="n">
        <x:f>SUM($D$5:D1073)</x:f>
        <x:v>0.9775585315639768</x:v>
      </x:c>
      <x:c r="F1073" s="1" t="str">
        <x:f>IF(C1073&lt;=0,"C",IF(E1073-D1073&lt;'Дашборд'!$C$49,"A",IF(E1073-D1073&lt;'Дашборд'!$C$50,"B","C")))</x:f>
        <x:v>C</x:v>
      </x:c>
      <x:c r="G1073" s="8" t="n">
        <x:f>'Данные'!F1073</x:f>
        <x:v>106</x:v>
      </x:c>
      <x:c r="H1073" s="8" t="n">
        <x:f>SUM('Данные'!H1073:I1073)</x:f>
        <x:v>144</x:v>
      </x:c>
      <x:c r="I1073" s="16" t="n">
        <x:f>IF(H1073&gt;0,G1073/H1073,"n.a.")</x:f>
        <x:v>0.7361111111111112</x:v>
      </x:c>
      <x:c r="J1073" s="10" t="n">
        <x:f>IF('Данные'!E1073&gt;0,G1073/'Данные'!E1073,"n.a.")</x:f>
        <x:v>0.004384150880966168</x:v>
      </x:c>
      <x:c r="K1073" s="1" t="str">
        <x:f>IF(G1073&gt;='Дашборд'!$C$51,"X","Z")</x:f>
        <x:v>Z</x:v>
      </x:c>
      <x:c r="L1073" s="1" t="str">
        <x:f>IF(H1073=0,IF(G1073&gt;0,"Нет остатка","Нет спроса"),IF(I1073&gt;='Дашборд'!$C$52,"Быстрый","Медленный"))</x:f>
        <x:v>Медленный</x:v>
      </x:c>
      <x:c r="M1073" s="1" t="str">
        <x:f>IF('Данные'!E1073&lt;'Дашборд'!$C$53,"Мало трафика",IF(J1073&lt;'Дашборд'!$C$9*'Дашборд'!$C$54,"Да","Нет"))</x:f>
        <x:v>Да</x:v>
      </x:c>
      <x:c r="N1073" s="1" t="str">
        <x:f>IF(AND('Данные'!D1073&gt;='Дашборд'!$C$55,D1073&lt;'Дашборд'!$C$56,'Данные'!E1073&gt;='Дашборд'!$C$53,'Данные'!L1073&lt;&gt;"Да"),"Да","Нет")</x:f>
        <x:v>Нет</x:v>
      </x:c>
      <x:c r="O1073" s="1" t="str">
        <x:f>'Данные'!L1073</x:f>
        <x:v>Нет</x:v>
      </x:c>
    </x:row>
    <x:row r="1074">
      <x:c r="A1074" s="1" t="str">
        <x:f>'Данные'!A1074</x:f>
        <x:v>165911149</x:v>
      </x:c>
      <x:c r="B1074" s="1" t="str">
        <x:f>'Данные'!B1074</x:f>
        <x:v>longman/кофейный</x:v>
      </x:c>
      <x:c r="C1074" s="8" t="n">
        <x:f>'Данные'!G1074</x:f>
        <x:v>100234</x:v>
      </x:c>
      <x:c r="D1074" s="15" t="n">
        <x:f>C1074/SUM($C$5:$C$2477)</x:f>
        <x:v>0.0001170957272266331</x:v>
      </x:c>
      <x:c r="E1074" s="15" t="n">
        <x:f>SUM($D$5:D1074)</x:f>
        <x:v>0.9776756272912034</x:v>
      </x:c>
      <x:c r="F1074" s="1" t="str">
        <x:f>IF(C1074&lt;=0,"C",IF(E1074-D1074&lt;'Дашборд'!$C$49,"A",IF(E1074-D1074&lt;'Дашборд'!$C$50,"B","C")))</x:f>
        <x:v>C</x:v>
      </x:c>
      <x:c r="G1074" s="8" t="n">
        <x:f>'Данные'!F1074</x:f>
        <x:v>257</x:v>
      </x:c>
      <x:c r="H1074" s="8" t="n">
        <x:f>SUM('Данные'!H1074:I1074)</x:f>
        <x:v>1200</x:v>
      </x:c>
      <x:c r="I1074" s="16" t="n">
        <x:f>IF(H1074&gt;0,G1074/H1074,"n.a.")</x:f>
        <x:v>0.21416666666666667</x:v>
      </x:c>
      <x:c r="J1074" s="10" t="n">
        <x:f>IF('Данные'!E1074&gt;0,G1074/'Данные'!E1074,"n.a.")</x:f>
        <x:v>0.025370187561697927</x:v>
      </x:c>
      <x:c r="K1074" s="1" t="str">
        <x:f>IF(G1074&gt;='Дашборд'!$C$51,"X","Z")</x:f>
        <x:v>Z</x:v>
      </x:c>
      <x:c r="L1074" s="1" t="str">
        <x:f>IF(H1074=0,IF(G1074&gt;0,"Нет остатка","Нет спроса"),IF(I1074&gt;='Дашборд'!$C$52,"Быстрый","Медленный"))</x:f>
        <x:v>Медленный</x:v>
      </x:c>
      <x:c r="M1074" s="1" t="str">
        <x:f>IF('Данные'!E1074&lt;'Дашборд'!$C$53,"Мало трафика",IF(J1074&lt;'Дашборд'!$C$9*'Дашборд'!$C$54,"Да","Нет"))</x:f>
        <x:v>Нет</x:v>
      </x:c>
      <x:c r="N1074" s="1" t="str">
        <x:f>IF(AND('Данные'!D1074&gt;='Дашборд'!$C$55,D1074&lt;'Дашборд'!$C$56,'Данные'!E1074&gt;='Дашборд'!$C$53,'Данные'!L1074&lt;&gt;"Да"),"Да","Нет")</x:f>
        <x:v>Нет</x:v>
      </x:c>
      <x:c r="O1074" s="1" t="str">
        <x:f>'Данные'!L1074</x:f>
        <x:v>Нет</x:v>
      </x:c>
    </x:row>
    <x:row r="1075">
      <x:c r="A1075" s="1" t="str">
        <x:f>'Данные'!A1075</x:f>
        <x:v>19079979</x:v>
      </x:c>
      <x:c r="B1075" s="1" t="str">
        <x:f>'Данные'!B1075</x:f>
        <x:v>kostyum/молочный</x:v>
      </x:c>
      <x:c r="C1075" s="8" t="n">
        <x:f>'Данные'!G1075</x:f>
        <x:v>99920</x:v>
      </x:c>
      <x:c r="D1075" s="15" t="n">
        <x:f>C1075/SUM($C$5:$C$2477)</x:f>
        <x:v>0.0001167289050071351</x:v>
      </x:c>
      <x:c r="E1075" s="15" t="n">
        <x:f>SUM($D$5:D1075)</x:f>
        <x:v>0.9777923561962105</x:v>
      </x:c>
      <x:c r="F1075" s="1" t="str">
        <x:f>IF(C1075&lt;=0,"C",IF(E1075-D1075&lt;'Дашборд'!$C$49,"A",IF(E1075-D1075&lt;'Дашборд'!$C$50,"B","C")))</x:f>
        <x:v>C</x:v>
      </x:c>
      <x:c r="G1075" s="8" t="n">
        <x:f>'Данные'!F1075</x:f>
        <x:v>80</x:v>
      </x:c>
      <x:c r="H1075" s="8" t="n">
        <x:f>SUM('Данные'!H1075:I1075)</x:f>
        <x:v>1015</x:v>
      </x:c>
      <x:c r="I1075" s="16" t="n">
        <x:f>IF(H1075&gt;0,G1075/H1075,"n.a.")</x:f>
        <x:v>0.07881773399014778</x:v>
      </x:c>
      <x:c r="J1075" s="10" t="n">
        <x:f>IF('Данные'!E1075&gt;0,G1075/'Данные'!E1075,"n.a.")</x:f>
        <x:v>0.0014382539596929328</x:v>
      </x:c>
      <x:c r="K1075" s="1" t="str">
        <x:f>IF(G1075&gt;='Дашборд'!$C$51,"X","Z")</x:f>
        <x:v>Z</x:v>
      </x:c>
      <x:c r="L1075" s="1" t="str">
        <x:f>IF(H1075=0,IF(G1075&gt;0,"Нет остатка","Нет спроса"),IF(I1075&gt;='Дашборд'!$C$52,"Быстрый","Медленный"))</x:f>
        <x:v>Медленный</x:v>
      </x:c>
      <x:c r="M1075" s="1" t="str">
        <x:f>IF('Данные'!E1075&lt;'Дашборд'!$C$53,"Мало трафика",IF(J1075&lt;'Дашборд'!$C$9*'Дашборд'!$C$54,"Да","Нет"))</x:f>
        <x:v>Да</x:v>
      </x:c>
      <x:c r="N1075" s="1" t="str">
        <x:f>IF(AND('Данные'!D1075&gt;='Дашборд'!$C$55,D1075&lt;'Дашборд'!$C$56,'Данные'!E1075&gt;='Дашборд'!$C$53,'Данные'!L1075&lt;&gt;"Да"),"Да","Нет")</x:f>
        <x:v>Нет</x:v>
      </x:c>
      <x:c r="O1075" s="1" t="str">
        <x:f>'Данные'!L1075</x:f>
        <x:v>Нет</x:v>
      </x:c>
    </x:row>
    <x:row r="1076">
      <x:c r="A1076" s="1" t="str">
        <x:f>'Данные'!A1076</x:f>
        <x:v>293297747</x:v>
      </x:c>
      <x:c r="B1076" s="1" t="str">
        <x:f>'Данные'!B1076</x:f>
        <x:v>2Nlongman4D-69/графит</x:v>
      </x:c>
      <x:c r="C1076" s="8" t="n">
        <x:f>'Данные'!G1076</x:f>
        <x:v>99503</x:v>
      </x:c>
      <x:c r="D1076" s="15" t="n">
        <x:f>C1076/SUM($C$5:$C$2477)</x:f>
        <x:v>0.00011624175575385272</x:v>
      </x:c>
      <x:c r="E1076" s="15" t="n">
        <x:f>SUM($D$5:D1076)</x:f>
        <x:v>0.9779085979519644</x:v>
      </x:c>
      <x:c r="F1076" s="1" t="str">
        <x:f>IF(C1076&lt;=0,"C",IF(E1076-D1076&lt;'Дашборд'!$C$49,"A",IF(E1076-D1076&lt;'Дашборд'!$C$50,"B","C")))</x:f>
        <x:v>C</x:v>
      </x:c>
      <x:c r="G1076" s="8" t="n">
        <x:f>'Данные'!F1076</x:f>
        <x:v>173</x:v>
      </x:c>
      <x:c r="H1076" s="8" t="n">
        <x:f>SUM('Данные'!H1076:I1076)</x:f>
        <x:v>0</x:v>
      </x:c>
      <x:c r="I1076" s="16" t="str">
        <x:f>IF(H1076&gt;0,G1076/H1076,"n.a.")</x:f>
        <x:v>n.a.</x:v>
      </x:c>
      <x:c r="J1076" s="10" t="n">
        <x:f>IF('Данные'!E1076&gt;0,G1076/'Данные'!E1076,"n.a.")</x:f>
        <x:v>0.008508754672437537</x:v>
      </x:c>
      <x:c r="K1076" s="1" t="str">
        <x:f>IF(G1076&gt;='Дашборд'!$C$51,"X","Z")</x:f>
        <x:v>Z</x:v>
      </x:c>
      <x:c r="L1076" s="1" t="str">
        <x:f>IF(H1076=0,IF(G1076&gt;0,"Нет остатка","Нет спроса"),IF(I1076&gt;='Дашборд'!$C$52,"Быстрый","Медленный"))</x:f>
        <x:v>Нет остатка</x:v>
      </x:c>
      <x:c r="M1076" s="1" t="str">
        <x:f>IF('Данные'!E1076&lt;'Дашборд'!$C$53,"Мало трафика",IF(J1076&lt;'Дашборд'!$C$9*'Дашборд'!$C$54,"Да","Нет"))</x:f>
        <x:v>Да</x:v>
      </x:c>
      <x:c r="N1076" s="1" t="str">
        <x:f>IF(AND('Данные'!D1076&gt;='Дашборд'!$C$55,D1076&lt;'Дашборд'!$C$56,'Данные'!E1076&gt;='Дашборд'!$C$53,'Данные'!L1076&lt;&gt;"Да"),"Да","Нет")</x:f>
        <x:v>Да</x:v>
      </x:c>
      <x:c r="O1076" s="1" t="str">
        <x:f>'Данные'!L1076</x:f>
        <x:v>Нет</x:v>
      </x:c>
    </x:row>
    <x:row r="1077">
      <x:c r="A1077" s="1" t="str">
        <x:f>'Данные'!A1077</x:f>
        <x:v>296192289</x:v>
      </x:c>
      <x:c r="B1077" s="1" t="str">
        <x:f>'Данные'!B1077</x:f>
        <x:v>fixman4F-78/серыймеланж2</x:v>
      </x:c>
      <x:c r="C1077" s="8" t="n">
        <x:f>'Данные'!G1077</x:f>
        <x:v>99404</x:v>
      </x:c>
      <x:c r="D1077" s="15" t="n">
        <x:f>C1077/SUM($C$5:$C$2477)</x:f>
        <x:v>0.00011612610161458424</x:v>
      </x:c>
      <x:c r="E1077" s="15" t="n">
        <x:f>SUM($D$5:D1077)</x:f>
        <x:v>0.978024724053579</x:v>
      </x:c>
      <x:c r="F1077" s="1" t="str">
        <x:f>IF(C1077&lt;=0,"C",IF(E1077-D1077&lt;'Дашборд'!$C$49,"A",IF(E1077-D1077&lt;'Дашборд'!$C$50,"B","C")))</x:f>
        <x:v>C</x:v>
      </x:c>
      <x:c r="G1077" s="8" t="n">
        <x:f>'Данные'!F1077</x:f>
        <x:v>251</x:v>
      </x:c>
      <x:c r="H1077" s="8" t="n">
        <x:f>SUM('Данные'!H1077:I1077)</x:f>
        <x:v>404</x:v>
      </x:c>
      <x:c r="I1077" s="16" t="n">
        <x:f>IF(H1077&gt;0,G1077/H1077,"n.a.")</x:f>
        <x:v>0.6212871287128713</x:v>
      </x:c>
      <x:c r="J1077" s="10" t="n">
        <x:f>IF('Данные'!E1077&gt;0,G1077/'Данные'!E1077,"n.a.")</x:f>
        <x:v>0.01667330941942341</x:v>
      </x:c>
      <x:c r="K1077" s="1" t="str">
        <x:f>IF(G1077&gt;='Дашборд'!$C$51,"X","Z")</x:f>
        <x:v>Z</x:v>
      </x:c>
      <x:c r="L1077" s="1" t="str">
        <x:f>IF(H1077=0,IF(G1077&gt;0,"Нет остатка","Нет спроса"),IF(I1077&gt;='Дашборд'!$C$52,"Быстрый","Медленный"))</x:f>
        <x:v>Медленный</x:v>
      </x:c>
      <x:c r="M1077" s="1" t="str">
        <x:f>IF('Данные'!E1077&lt;'Дашборд'!$C$53,"Мало трафика",IF(J1077&lt;'Дашборд'!$C$9*'Дашборд'!$C$54,"Да","Нет"))</x:f>
        <x:v>Нет</x:v>
      </x:c>
      <x:c r="N1077" s="1" t="str">
        <x:f>IF(AND('Данные'!D1077&gt;='Дашборд'!$C$55,D1077&lt;'Дашборд'!$C$56,'Данные'!E1077&gt;='Дашборд'!$C$53,'Данные'!L1077&lt;&gt;"Да"),"Да","Нет")</x:f>
        <x:v>Нет</x:v>
      </x:c>
      <x:c r="O1077" s="1" t="str">
        <x:f>'Данные'!L1077</x:f>
        <x:v>Нет</x:v>
      </x:c>
    </x:row>
    <x:row r="1078">
      <x:c r="A1078" s="1" t="str">
        <x:f>'Данные'!A1078</x:f>
        <x:v>202779197</x:v>
      </x:c>
      <x:c r="B1078" s="1" t="str">
        <x:f>'Данные'!B1078</x:f>
        <x:v>hudiprint/Notmood-59/молочный</x:v>
      </x:c>
      <x:c r="C1078" s="8" t="n">
        <x:f>'Данные'!G1078</x:f>
        <x:v>97908</x:v>
      </x:c>
      <x:c r="D1078" s="15" t="n">
        <x:f>C1078/SUM($C$5:$C$2477)</x:f>
        <x:v>0.00011437843906563833</x:v>
      </x:c>
      <x:c r="E1078" s="15" t="n">
        <x:f>SUM($D$5:D1078)</x:f>
        <x:v>0.9781391024926446</x:v>
      </x:c>
      <x:c r="F1078" s="1" t="str">
        <x:f>IF(C1078&lt;=0,"C",IF(E1078-D1078&lt;'Дашборд'!$C$49,"A",IF(E1078-D1078&lt;'Дашборд'!$C$50,"B","C")))</x:f>
        <x:v>C</x:v>
      </x:c>
      <x:c r="G1078" s="8" t="n">
        <x:f>'Данные'!F1078</x:f>
        <x:v>93</x:v>
      </x:c>
      <x:c r="H1078" s="8" t="n">
        <x:f>SUM('Данные'!H1078:I1078)</x:f>
        <x:v>0</x:v>
      </x:c>
      <x:c r="I1078" s="16" t="str">
        <x:f>IF(H1078&gt;0,G1078/H1078,"n.a.")</x:f>
        <x:v>n.a.</x:v>
      </x:c>
      <x:c r="J1078" s="10" t="n">
        <x:f>IF('Данные'!E1078&gt;0,G1078/'Данные'!E1078,"n.a.")</x:f>
        <x:v>0.010078023407022107</x:v>
      </x:c>
      <x:c r="K1078" s="1" t="str">
        <x:f>IF(G1078&gt;='Дашборд'!$C$51,"X","Z")</x:f>
        <x:v>Z</x:v>
      </x:c>
      <x:c r="L1078" s="1" t="str">
        <x:f>IF(H1078=0,IF(G1078&gt;0,"Нет остатка","Нет спроса"),IF(I1078&gt;='Дашборд'!$C$52,"Быстрый","Медленный"))</x:f>
        <x:v>Нет остатка</x:v>
      </x:c>
      <x:c r="M1078" s="1" t="str">
        <x:f>IF('Данные'!E1078&lt;'Дашборд'!$C$53,"Мало трафика",IF(J1078&lt;'Дашборд'!$C$9*'Дашборд'!$C$54,"Да","Нет"))</x:f>
        <x:v>Да</x:v>
      </x:c>
      <x:c r="N1078" s="1" t="str">
        <x:f>IF(AND('Данные'!D1078&gt;='Дашборд'!$C$55,D1078&lt;'Дашборд'!$C$56,'Данные'!E1078&gt;='Дашборд'!$C$53,'Данные'!L1078&lt;&gt;"Да"),"Да","Нет")</x:f>
        <x:v>Нет</x:v>
      </x:c>
      <x:c r="O1078" s="1" t="str">
        <x:f>'Данные'!L1078</x:f>
        <x:v>Нет</x:v>
      </x:c>
    </x:row>
    <x:row r="1079">
      <x:c r="A1079" s="1" t="str">
        <x:f>'Данные'!A1079</x:f>
        <x:v>193100144</x:v>
      </x:c>
      <x:c r="B1079" s="1" t="str">
        <x:f>'Данные'!B1079</x:f>
        <x:v>svitshotzip1/голубой</x:v>
      </x:c>
      <x:c r="C1079" s="8" t="n">
        <x:f>'Данные'!G1079</x:f>
        <x:v>97900</x:v>
      </x:c>
      <x:c r="D1079" s="15" t="n">
        <x:f>C1079/SUM($C$5:$C$2477)</x:f>
        <x:v>0.00011436909327660655</x:v>
      </x:c>
      <x:c r="E1079" s="15" t="n">
        <x:f>SUM($D$5:D1079)</x:f>
        <x:v>0.9782534715859211</x:v>
      </x:c>
      <x:c r="F1079" s="1" t="str">
        <x:f>IF(C1079&lt;=0,"C",IF(E1079-D1079&lt;'Дашборд'!$C$49,"A",IF(E1079-D1079&lt;'Дашборд'!$C$50,"B","C")))</x:f>
        <x:v>C</x:v>
      </x:c>
      <x:c r="G1079" s="8" t="n">
        <x:f>'Данные'!F1079</x:f>
        <x:v>130</x:v>
      </x:c>
      <x:c r="H1079" s="8" t="n">
        <x:f>SUM('Данные'!H1079:I1079)</x:f>
        <x:v>41</x:v>
      </x:c>
      <x:c r="I1079" s="16" t="n">
        <x:f>IF(H1079&gt;0,G1079/H1079,"n.a.")</x:f>
        <x:v>3.1707317073170733</x:v>
      </x:c>
      <x:c r="J1079" s="10" t="n">
        <x:f>IF('Данные'!E1079&gt;0,G1079/'Данные'!E1079,"n.a.")</x:f>
        <x:v>0.010054915306674917</x:v>
      </x:c>
      <x:c r="K1079" s="1" t="str">
        <x:f>IF(G1079&gt;='Дашборд'!$C$51,"X","Z")</x:f>
        <x:v>Z</x:v>
      </x:c>
      <x:c r="L1079" s="1" t="str">
        <x:f>IF(H1079=0,IF(G1079&gt;0,"Нет остатка","Нет спроса"),IF(I1079&gt;='Дашборд'!$C$52,"Быстрый","Медленный"))</x:f>
        <x:v>Быстрый</x:v>
      </x:c>
      <x:c r="M1079" s="1" t="str">
        <x:f>IF('Данные'!E1079&lt;'Дашборд'!$C$53,"Мало трафика",IF(J1079&lt;'Дашборд'!$C$9*'Дашборд'!$C$54,"Да","Нет"))</x:f>
        <x:v>Да</x:v>
      </x:c>
      <x:c r="N1079" s="1" t="str">
        <x:f>IF(AND('Данные'!D1079&gt;='Дашборд'!$C$55,D1079&lt;'Дашборд'!$C$56,'Данные'!E1079&gt;='Дашборд'!$C$53,'Данные'!L1079&lt;&gt;"Да"),"Да","Нет")</x:f>
        <x:v>Да</x:v>
      </x:c>
      <x:c r="O1079" s="1" t="str">
        <x:f>'Данные'!L1079</x:f>
        <x:v>Нет</x:v>
      </x:c>
    </x:row>
    <x:row r="1080">
      <x:c r="A1080" s="1" t="str">
        <x:f>'Данные'!A1080</x:f>
        <x:v>313189786</x:v>
      </x:c>
      <x:c r="B1080" s="1" t="str">
        <x:f>'Данные'!B1080</x:f>
        <x:v>longoverX2/чер-бел</x:v>
      </x:c>
      <x:c r="C1080" s="8" t="n">
        <x:f>'Данные'!G1080</x:f>
        <x:v>97641</x:v>
      </x:c>
      <x:c r="D1080" s="15" t="n">
        <x:f>C1080/SUM($C$5:$C$2477)</x:f>
        <x:v>0.00011406652335670213</x:v>
      </x:c>
      <x:c r="E1080" s="15" t="n">
        <x:f>SUM($D$5:D1080)</x:f>
        <x:v>0.9783675381092778</x:v>
      </x:c>
      <x:c r="F1080" s="1" t="str">
        <x:f>IF(C1080&lt;=0,"C",IF(E1080-D1080&lt;'Дашборд'!$C$49,"A",IF(E1080-D1080&lt;'Дашборд'!$C$50,"B","C")))</x:f>
        <x:v>C</x:v>
      </x:c>
      <x:c r="G1080" s="8" t="n">
        <x:f>'Данные'!F1080</x:f>
        <x:v>108</x:v>
      </x:c>
      <x:c r="H1080" s="8" t="n">
        <x:f>SUM('Данные'!H1080:I1080)</x:f>
        <x:v>105</x:v>
      </x:c>
      <x:c r="I1080" s="16" t="n">
        <x:f>IF(H1080&gt;0,G1080/H1080,"n.a.")</x:f>
        <x:v>1.0285714285714285</x:v>
      </x:c>
      <x:c r="J1080" s="10" t="n">
        <x:f>IF('Данные'!E1080&gt;0,G1080/'Данные'!E1080,"n.a.")</x:f>
        <x:v>0.017015913029777847</x:v>
      </x:c>
      <x:c r="K1080" s="1" t="str">
        <x:f>IF(G1080&gt;='Дашборд'!$C$51,"X","Z")</x:f>
        <x:v>Z</x:v>
      </x:c>
      <x:c r="L1080" s="1" t="str">
        <x:f>IF(H1080=0,IF(G1080&gt;0,"Нет остатка","Нет спроса"),IF(I1080&gt;='Дашборд'!$C$52,"Быстрый","Медленный"))</x:f>
        <x:v>Быстрый</x:v>
      </x:c>
      <x:c r="M1080" s="1" t="str">
        <x:f>IF('Данные'!E1080&lt;'Дашборд'!$C$53,"Мало трафика",IF(J1080&lt;'Дашборд'!$C$9*'Дашборд'!$C$54,"Да","Нет"))</x:f>
        <x:v>Нет</x:v>
      </x:c>
      <x:c r="N1080" s="1" t="str">
        <x:f>IF(AND('Данные'!D1080&gt;='Дашборд'!$C$55,D1080&lt;'Дашборд'!$C$56,'Данные'!E1080&gt;='Дашборд'!$C$53,'Данные'!L1080&lt;&gt;"Да"),"Да","Нет")</x:f>
        <x:v>Нет</x:v>
      </x:c>
      <x:c r="O1080" s="1" t="str">
        <x:f>'Данные'!L1080</x:f>
        <x:v>Нет</x:v>
      </x:c>
    </x:row>
    <x:row r="1081">
      <x:c r="A1081" s="1" t="str">
        <x:f>'Данные'!A1081</x:f>
        <x:v>340601816</x:v>
      </x:c>
      <x:c r="B1081" s="1" t="str">
        <x:f>'Данные'!B1081</x:f>
        <x:v>futbolkaover/графит</x:v>
      </x:c>
      <x:c r="C1081" s="8" t="n">
        <x:f>'Данные'!G1081</x:f>
        <x:v>97608</x:v>
      </x:c>
      <x:c r="D1081" s="15" t="n">
        <x:f>C1081/SUM($C$5:$C$2477)</x:f>
        <x:v>0.00011402797197694598</x:v>
      </x:c>
      <x:c r="E1081" s="15" t="n">
        <x:f>SUM($D$5:D1081)</x:f>
        <x:v>0.9784815660812547</x:v>
      </x:c>
      <x:c r="F1081" s="1" t="str">
        <x:f>IF(C1081&lt;=0,"C",IF(E1081-D1081&lt;'Дашборд'!$C$49,"A",IF(E1081-D1081&lt;'Дашборд'!$C$50,"B","C")))</x:f>
        <x:v>C</x:v>
      </x:c>
      <x:c r="G1081" s="8" t="n">
        <x:f>'Данные'!F1081</x:f>
        <x:v>221</x:v>
      </x:c>
      <x:c r="H1081" s="8" t="n">
        <x:f>SUM('Данные'!H1081:I1081)</x:f>
        <x:v>43</x:v>
      </x:c>
      <x:c r="I1081" s="16" t="n">
        <x:f>IF(H1081&gt;0,G1081/H1081,"n.a.")</x:f>
        <x:v>5.1395348837209305</x:v>
      </x:c>
      <x:c r="J1081" s="10" t="n">
        <x:f>IF('Данные'!E1081&gt;0,G1081/'Данные'!E1081,"n.a.")</x:f>
        <x:v>0.010387290844143636</x:v>
      </x:c>
      <x:c r="K1081" s="1" t="str">
        <x:f>IF(G1081&gt;='Дашборд'!$C$51,"X","Z")</x:f>
        <x:v>Z</x:v>
      </x:c>
      <x:c r="L1081" s="1" t="str">
        <x:f>IF(H1081=0,IF(G1081&gt;0,"Нет остатка","Нет спроса"),IF(I1081&gt;='Дашборд'!$C$52,"Быстрый","Медленный"))</x:f>
        <x:v>Быстрый</x:v>
      </x:c>
      <x:c r="M1081" s="1" t="str">
        <x:f>IF('Данные'!E1081&lt;'Дашборд'!$C$53,"Мало трафика",IF(J1081&lt;'Дашборд'!$C$9*'Дашборд'!$C$54,"Да","Нет"))</x:f>
        <x:v>Нет</x:v>
      </x:c>
      <x:c r="N1081" s="1" t="str">
        <x:f>IF(AND('Данные'!D1081&gt;='Дашборд'!$C$55,D1081&lt;'Дашборд'!$C$56,'Данные'!E1081&gt;='Дашборд'!$C$53,'Данные'!L1081&lt;&gt;"Да"),"Да","Нет")</x:f>
        <x:v>Да</x:v>
      </x:c>
      <x:c r="O1081" s="1" t="str">
        <x:f>'Данные'!L1081</x:f>
        <x:v>Нет</x:v>
      </x:c>
    </x:row>
    <x:row r="1082">
      <x:c r="A1082" s="1" t="str">
        <x:f>'Данные'!A1082</x:f>
        <x:v>344410702</x:v>
      </x:c>
      <x:c r="B1082" s="1" t="str">
        <x:f>'Данные'!B1082</x:f>
        <x:v>maykaman/белый</x:v>
      </x:c>
      <x:c r="C1082" s="8" t="n">
        <x:f>'Данные'!G1082</x:f>
        <x:v>97514</x:v>
      </x:c>
      <x:c r="D1082" s="15" t="n">
        <x:f>C1082/SUM($C$5:$C$2477)</x:f>
        <x:v>0.00011391815895582237</x:v>
      </x:c>
      <x:c r="E1082" s="15" t="n">
        <x:f>SUM($D$5:D1082)</x:f>
        <x:v>0.9785954842402105</x:v>
      </x:c>
      <x:c r="F1082" s="1" t="str">
        <x:f>IF(C1082&lt;=0,"C",IF(E1082-D1082&lt;'Дашборд'!$C$49,"A",IF(E1082-D1082&lt;'Дашборд'!$C$50,"B","C")))</x:f>
        <x:v>C</x:v>
      </x:c>
      <x:c r="G1082" s="8" t="n">
        <x:f>'Данные'!F1082</x:f>
        <x:v>221</x:v>
      </x:c>
      <x:c r="H1082" s="8" t="n">
        <x:f>SUM('Данные'!H1082:I1082)</x:f>
        <x:v>1070</x:v>
      </x:c>
      <x:c r="I1082" s="16" t="n">
        <x:f>IF(H1082&gt;0,G1082/H1082,"n.a.")</x:f>
        <x:v>0.20654205607476636</x:v>
      </x:c>
      <x:c r="J1082" s="10" t="n">
        <x:f>IF('Данные'!E1082&gt;0,G1082/'Данные'!E1082,"n.a.")</x:f>
        <x:v>0.012872786579683132</x:v>
      </x:c>
      <x:c r="K1082" s="1" t="str">
        <x:f>IF(G1082&gt;='Дашборд'!$C$51,"X","Z")</x:f>
        <x:v>Z</x:v>
      </x:c>
      <x:c r="L1082" s="1" t="str">
        <x:f>IF(H1082=0,IF(G1082&gt;0,"Нет остатка","Нет спроса"),IF(I1082&gt;='Дашборд'!$C$52,"Быстрый","Медленный"))</x:f>
        <x:v>Медленный</x:v>
      </x:c>
      <x:c r="M1082" s="1" t="str">
        <x:f>IF('Данные'!E1082&lt;'Дашборд'!$C$53,"Мало трафика",IF(J1082&lt;'Дашборд'!$C$9*'Дашборд'!$C$54,"Да","Нет"))</x:f>
        <x:v>Нет</x:v>
      </x:c>
      <x:c r="N1082" s="1" t="str">
        <x:f>IF(AND('Данные'!D1082&gt;='Дашборд'!$C$55,D1082&lt;'Дашборд'!$C$56,'Данные'!E1082&gt;='Дашборд'!$C$53,'Данные'!L1082&lt;&gt;"Да"),"Да","Нет")</x:f>
        <x:v>Да</x:v>
      </x:c>
      <x:c r="O1082" s="1" t="str">
        <x:f>'Данные'!L1082</x:f>
        <x:v>Нет</x:v>
      </x:c>
    </x:row>
    <x:row r="1083">
      <x:c r="A1083" s="1" t="str">
        <x:f>'Данные'!A1083</x:f>
        <x:v>241638622</x:v>
      </x:c>
      <x:c r="B1083" s="1" t="str">
        <x:f>'Данные'!B1083</x:f>
        <x:v>hudiprint/MovesWithLove-135/песочный</x:v>
      </x:c>
      <x:c r="C1083" s="8" t="n">
        <x:f>'Данные'!G1083</x:f>
        <x:v>97310</x:v>
      </x:c>
      <x:c r="D1083" s="15" t="n">
        <x:f>C1083/SUM($C$5:$C$2477)</x:f>
        <x:v>0.00011367984133551157</x:v>
      </x:c>
      <x:c r="E1083" s="15" t="n">
        <x:f>SUM($D$5:D1083)</x:f>
        <x:v>0.978709164081546</x:v>
      </x:c>
      <x:c r="F1083" s="1" t="str">
        <x:f>IF(C1083&lt;=0,"C",IF(E1083-D1083&lt;'Дашборд'!$C$49,"A",IF(E1083-D1083&lt;'Дашборд'!$C$50,"B","C")))</x:f>
        <x:v>C</x:v>
      </x:c>
      <x:c r="G1083" s="8" t="n">
        <x:f>'Данные'!F1083</x:f>
        <x:v>114</x:v>
      </x:c>
      <x:c r="H1083" s="8" t="n">
        <x:f>SUM('Данные'!H1083:I1083)</x:f>
        <x:v>0</x:v>
      </x:c>
      <x:c r="I1083" s="16" t="str">
        <x:f>IF(H1083&gt;0,G1083/H1083,"n.a.")</x:f>
        <x:v>n.a.</x:v>
      </x:c>
      <x:c r="J1083" s="10" t="n">
        <x:f>IF('Данные'!E1083&gt;0,G1083/'Данные'!E1083,"n.a.")</x:f>
        <x:v>0.01189358372456964</x:v>
      </x:c>
      <x:c r="K1083" s="1" t="str">
        <x:f>IF(G1083&gt;='Дашборд'!$C$51,"X","Z")</x:f>
        <x:v>Z</x:v>
      </x:c>
      <x:c r="L1083" s="1" t="str">
        <x:f>IF(H1083=0,IF(G1083&gt;0,"Нет остатка","Нет спроса"),IF(I1083&gt;='Дашборд'!$C$52,"Быстрый","Медленный"))</x:f>
        <x:v>Нет остатка</x:v>
      </x:c>
      <x:c r="M1083" s="1" t="str">
        <x:f>IF('Данные'!E1083&lt;'Дашборд'!$C$53,"Мало трафика",IF(J1083&lt;'Дашборд'!$C$9*'Дашборд'!$C$54,"Да","Нет"))</x:f>
        <x:v>Нет</x:v>
      </x:c>
      <x:c r="N1083" s="1" t="str">
        <x:f>IF(AND('Данные'!D1083&gt;='Дашборд'!$C$55,D1083&lt;'Дашборд'!$C$56,'Данные'!E1083&gt;='Дашборд'!$C$53,'Данные'!L1083&lt;&gt;"Да"),"Да","Нет")</x:f>
        <x:v>Нет</x:v>
      </x:c>
      <x:c r="O1083" s="1" t="str">
        <x:f>'Данные'!L1083</x:f>
        <x:v>Нет</x:v>
      </x:c>
    </x:row>
    <x:row r="1084">
      <x:c r="A1084" s="1" t="str">
        <x:f>'Данные'!A1084</x:f>
        <x:v>178309512</x:v>
      </x:c>
      <x:c r="B1084" s="1" t="str">
        <x:f>'Данные'!B1084</x:f>
        <x:v>svitcrop/фуме</x:v>
      </x:c>
      <x:c r="C1084" s="8" t="n">
        <x:f>'Данные'!G1084</x:f>
        <x:v>96973</x:v>
      </x:c>
      <x:c r="D1084" s="15" t="n">
        <x:f>C1084/SUM($C$5:$C$2477)</x:f>
        <x:v>0.00011328614997254716</x:v>
      </x:c>
      <x:c r="E1084" s="15" t="n">
        <x:f>SUM($D$5:D1084)</x:f>
        <x:v>0.9788224502315185</x:v>
      </x:c>
      <x:c r="F1084" s="1" t="str">
        <x:f>IF(C1084&lt;=0,"C",IF(E1084-D1084&lt;'Дашборд'!$C$49,"A",IF(E1084-D1084&lt;'Дашборд'!$C$50,"B","C")))</x:f>
        <x:v>C</x:v>
      </x:c>
      <x:c r="G1084" s="8" t="n">
        <x:f>'Данные'!F1084</x:f>
        <x:v>235</x:v>
      </x:c>
      <x:c r="H1084" s="8" t="n">
        <x:f>SUM('Данные'!H1084:I1084)</x:f>
        <x:v>1</x:v>
      </x:c>
      <x:c r="I1084" s="16" t="n">
        <x:f>IF(H1084&gt;0,G1084/H1084,"n.a.")</x:f>
        <x:v>235</x:v>
      </x:c>
      <x:c r="J1084" s="10" t="n">
        <x:f>IF('Данные'!E1084&gt;0,G1084/'Данные'!E1084,"n.a.")</x:f>
        <x:v>0.018186039312799877</x:v>
      </x:c>
      <x:c r="K1084" s="1" t="str">
        <x:f>IF(G1084&gt;='Дашборд'!$C$51,"X","Z")</x:f>
        <x:v>Z</x:v>
      </x:c>
      <x:c r="L1084" s="1" t="str">
        <x:f>IF(H1084=0,IF(G1084&gt;0,"Нет остатка","Нет спроса"),IF(I1084&gt;='Дашборд'!$C$52,"Быстрый","Медленный"))</x:f>
        <x:v>Быстрый</x:v>
      </x:c>
      <x:c r="M1084" s="1" t="str">
        <x:f>IF('Данные'!E1084&lt;'Дашборд'!$C$53,"Мало трафика",IF(J1084&lt;'Дашборд'!$C$9*'Дашборд'!$C$54,"Да","Нет"))</x:f>
        <x:v>Нет</x:v>
      </x:c>
      <x:c r="N1084" s="1" t="str">
        <x:f>IF(AND('Данные'!D1084&gt;='Дашборд'!$C$55,D1084&lt;'Дашборд'!$C$56,'Данные'!E1084&gt;='Дашборд'!$C$53,'Данные'!L1084&lt;&gt;"Да"),"Да","Нет")</x:f>
        <x:v>Да</x:v>
      </x:c>
      <x:c r="O1084" s="1" t="str">
        <x:f>'Данные'!L1084</x:f>
        <x:v>Нет</x:v>
      </x:c>
    </x:row>
    <x:row r="1085">
      <x:c r="A1085" s="1" t="str">
        <x:f>'Данные'!A1085</x:f>
        <x:v>344443983</x:v>
      </x:c>
      <x:c r="B1085" s="1" t="str">
        <x:f>'Данные'!B1085</x:f>
        <x:v>maykaman/молочный</x:v>
      </x:c>
      <x:c r="C1085" s="8" t="n">
        <x:f>'Данные'!G1085</x:f>
        <x:v>96712</x:v>
      </x:c>
      <x:c r="D1085" s="15" t="n">
        <x:f>C1085/SUM($C$5:$C$2477)</x:f>
        <x:v>0.0001129812436053848</x:v>
      </x:c>
      <x:c r="E1085" s="15" t="n">
        <x:f>SUM($D$5:D1085)</x:f>
        <x:v>0.9789354314751239</x:v>
      </x:c>
      <x:c r="F1085" s="1" t="str">
        <x:f>IF(C1085&lt;=0,"C",IF(E1085-D1085&lt;'Дашборд'!$C$49,"A",IF(E1085-D1085&lt;'Дашборд'!$C$50,"B","C")))</x:f>
        <x:v>C</x:v>
      </x:c>
      <x:c r="G1085" s="8" t="n">
        <x:f>'Данные'!F1085</x:f>
        <x:v>221</x:v>
      </x:c>
      <x:c r="H1085" s="8" t="n">
        <x:f>SUM('Данные'!H1085:I1085)</x:f>
        <x:v>1871</x:v>
      </x:c>
      <x:c r="I1085" s="16" t="n">
        <x:f>IF(H1085&gt;0,G1085/H1085,"n.a.")</x:f>
        <x:v>0.11811865312667023</x:v>
      </x:c>
      <x:c r="J1085" s="10" t="n">
        <x:f>IF('Данные'!E1085&gt;0,G1085/'Данные'!E1085,"n.a.")</x:f>
        <x:v>0.01165796275782033</x:v>
      </x:c>
      <x:c r="K1085" s="1" t="str">
        <x:f>IF(G1085&gt;='Дашборд'!$C$51,"X","Z")</x:f>
        <x:v>Z</x:v>
      </x:c>
      <x:c r="L1085" s="1" t="str">
        <x:f>IF(H1085=0,IF(G1085&gt;0,"Нет остатка","Нет спроса"),IF(I1085&gt;='Дашборд'!$C$52,"Быстрый","Медленный"))</x:f>
        <x:v>Медленный</x:v>
      </x:c>
      <x:c r="M1085" s="1" t="str">
        <x:f>IF('Данные'!E1085&lt;'Дашборд'!$C$53,"Мало трафика",IF(J1085&lt;'Дашборд'!$C$9*'Дашборд'!$C$54,"Да","Нет"))</x:f>
        <x:v>Нет</x:v>
      </x:c>
      <x:c r="N1085" s="1" t="str">
        <x:f>IF(AND('Данные'!D1085&gt;='Дашборд'!$C$55,D1085&lt;'Дашборд'!$C$56,'Данные'!E1085&gt;='Дашборд'!$C$53,'Данные'!L1085&lt;&gt;"Да"),"Да","Нет")</x:f>
        <x:v>Да</x:v>
      </x:c>
      <x:c r="O1085" s="1" t="str">
        <x:f>'Данные'!L1085</x:f>
        <x:v>Нет</x:v>
      </x:c>
    </x:row>
    <x:row r="1086">
      <x:c r="A1086" s="1" t="str">
        <x:f>'Данные'!A1086</x:f>
        <x:v>333121380</x:v>
      </x:c>
      <x:c r="B1086" s="1" t="str">
        <x:f>'Данные'!B1086</x:f>
        <x:v>topmayka/какао</x:v>
      </x:c>
      <x:c r="C1086" s="8" t="n">
        <x:f>'Данные'!G1086</x:f>
        <x:v>96543</x:v>
      </x:c>
      <x:c r="D1086" s="15" t="n">
        <x:f>C1086/SUM($C$5:$C$2477)</x:f>
        <x:v>0.0001127838138120881</x:v>
      </x:c>
      <x:c r="E1086" s="15" t="n">
        <x:f>SUM($D$5:D1086)</x:f>
        <x:v>0.9790482152889359</x:v>
      </x:c>
      <x:c r="F1086" s="1" t="str">
        <x:f>IF(C1086&lt;=0,"C",IF(E1086-D1086&lt;'Дашборд'!$C$49,"A",IF(E1086-D1086&lt;'Дашборд'!$C$50,"B","C")))</x:f>
        <x:v>C</x:v>
      </x:c>
      <x:c r="G1086" s="8" t="n">
        <x:f>'Данные'!F1086</x:f>
        <x:v>371</x:v>
      </x:c>
      <x:c r="H1086" s="8" t="n">
        <x:f>SUM('Данные'!H1086:I1086)</x:f>
        <x:v>250</x:v>
      </x:c>
      <x:c r="I1086" s="16" t="n">
        <x:f>IF(H1086&gt;0,G1086/H1086,"n.a.")</x:f>
        <x:v>1.484</x:v>
      </x:c>
      <x:c r="J1086" s="10" t="n">
        <x:f>IF('Данные'!E1086&gt;0,G1086/'Данные'!E1086,"n.a.")</x:f>
        <x:v>0.022392563978754224</x:v>
      </x:c>
      <x:c r="K1086" s="1" t="str">
        <x:f>IF(G1086&gt;='Дашборд'!$C$51,"X","Z")</x:f>
        <x:v>X</x:v>
      </x:c>
      <x:c r="L1086" s="1" t="str">
        <x:f>IF(H1086=0,IF(G1086&gt;0,"Нет остатка","Нет спроса"),IF(I1086&gt;='Дашборд'!$C$52,"Быстрый","Медленный"))</x:f>
        <x:v>Быстрый</x:v>
      </x:c>
      <x:c r="M1086" s="1" t="str">
        <x:f>IF('Данные'!E1086&lt;'Дашборд'!$C$53,"Мало трафика",IF(J1086&lt;'Дашборд'!$C$9*'Дашборд'!$C$54,"Да","Нет"))</x:f>
        <x:v>Нет</x:v>
      </x:c>
      <x:c r="N1086" s="1" t="str">
        <x:f>IF(AND('Данные'!D1086&gt;='Дашборд'!$C$55,D1086&lt;'Дашборд'!$C$56,'Данные'!E1086&gt;='Дашборд'!$C$53,'Данные'!L1086&lt;&gt;"Да"),"Да","Нет")</x:f>
        <x:v>Да</x:v>
      </x:c>
      <x:c r="O1086" s="1" t="str">
        <x:f>'Данные'!L1086</x:f>
        <x:v>Нет</x:v>
      </x:c>
    </x:row>
    <x:row r="1087">
      <x:c r="A1087" s="1" t="str">
        <x:f>'Данные'!A1087</x:f>
        <x:v>176976179</x:v>
      </x:c>
      <x:c r="B1087" s="1" t="str">
        <x:f>'Данные'!B1087</x:f>
        <x:v>hudi1size/песочный</x:v>
      </x:c>
      <x:c r="C1087" s="8" t="n">
        <x:f>'Данные'!G1087</x:f>
        <x:v>96457</x:v>
      </x:c>
      <x:c r="D1087" s="15" t="n">
        <x:f>C1087/SUM($C$5:$C$2477)</x:f>
        <x:v>0.0001126833465799963</x:v>
      </x:c>
      <x:c r="E1087" s="15" t="n">
        <x:f>SUM($D$5:D1087)</x:f>
        <x:v>0.9791608986355159</x:v>
      </x:c>
      <x:c r="F1087" s="1" t="str">
        <x:f>IF(C1087&lt;=0,"C",IF(E1087-D1087&lt;'Дашборд'!$C$49,"A",IF(E1087-D1087&lt;'Дашборд'!$C$50,"B","C")))</x:f>
        <x:v>C</x:v>
      </x:c>
      <x:c r="G1087" s="8" t="n">
        <x:f>'Данные'!F1087</x:f>
        <x:v>78</x:v>
      </x:c>
      <x:c r="H1087" s="8" t="n">
        <x:f>SUM('Данные'!H1087:I1087)</x:f>
        <x:v>0</x:v>
      </x:c>
      <x:c r="I1087" s="16" t="str">
        <x:f>IF(H1087&gt;0,G1087/H1087,"n.a.")</x:f>
        <x:v>n.a.</x:v>
      </x:c>
      <x:c r="J1087" s="10" t="n">
        <x:f>IF('Данные'!E1087&gt;0,G1087/'Данные'!E1087,"n.a.")</x:f>
        <x:v>0.017317939609236235</x:v>
      </x:c>
      <x:c r="K1087" s="1" t="str">
        <x:f>IF(G1087&gt;='Дашборд'!$C$51,"X","Z")</x:f>
        <x:v>Z</x:v>
      </x:c>
      <x:c r="L1087" s="1" t="str">
        <x:f>IF(H1087=0,IF(G1087&gt;0,"Нет остатка","Нет спроса"),IF(I1087&gt;='Дашборд'!$C$52,"Быстрый","Медленный"))</x:f>
        <x:v>Нет остатка</x:v>
      </x:c>
      <x:c r="M1087" s="1" t="str">
        <x:f>IF('Данные'!E1087&lt;'Дашборд'!$C$53,"Мало трафика",IF(J1087&lt;'Дашборд'!$C$9*'Дашборд'!$C$54,"Да","Нет"))</x:f>
        <x:v>Нет</x:v>
      </x:c>
      <x:c r="N1087" s="1" t="str">
        <x:f>IF(AND('Данные'!D1087&gt;='Дашборд'!$C$55,D1087&lt;'Дашборд'!$C$56,'Данные'!E1087&gt;='Дашборд'!$C$53,'Данные'!L1087&lt;&gt;"Да"),"Да","Нет")</x:f>
        <x:v>Да</x:v>
      </x:c>
      <x:c r="O1087" s="1" t="str">
        <x:f>'Данные'!L1087</x:f>
        <x:v>Нет</x:v>
      </x:c>
    </x:row>
    <x:row r="1088">
      <x:c r="A1088" s="1" t="str">
        <x:f>'Данные'!A1088</x:f>
        <x:v>289095362</x:v>
      </x:c>
      <x:c r="B1088" s="1" t="str">
        <x:f>'Данные'!B1088</x:f>
        <x:v>palazzoshnurok/голубой</x:v>
      </x:c>
      <x:c r="C1088" s="8" t="n">
        <x:f>'Данные'!G1088</x:f>
        <x:v>95848</x:v>
      </x:c>
      <x:c r="D1088" s="15" t="n">
        <x:f>C1088/SUM($C$5:$C$2477)</x:f>
        <x:v>0.00011197189838995081</x:v>
      </x:c>
      <x:c r="E1088" s="15" t="n">
        <x:f>SUM($D$5:D1088)</x:f>
        <x:v>0.9792728705339059</x:v>
      </x:c>
      <x:c r="F1088" s="1" t="str">
        <x:f>IF(C1088&lt;=0,"C",IF(E1088-D1088&lt;'Дашборд'!$C$49,"A",IF(E1088-D1088&lt;'Дашборд'!$C$50,"B","C")))</x:f>
        <x:v>C</x:v>
      </x:c>
      <x:c r="G1088" s="8" t="n">
        <x:f>'Данные'!F1088</x:f>
        <x:v>135</x:v>
      </x:c>
      <x:c r="H1088" s="8" t="n">
        <x:f>SUM('Данные'!H1088:I1088)</x:f>
        <x:v>141</x:v>
      </x:c>
      <x:c r="I1088" s="16" t="n">
        <x:f>IF(H1088&gt;0,G1088/H1088,"n.a.")</x:f>
        <x:v>0.9574468085106383</x:v>
      </x:c>
      <x:c r="J1088" s="10" t="n">
        <x:f>IF('Данные'!E1088&gt;0,G1088/'Данные'!E1088,"n.a.")</x:f>
        <x:v>0.008533501896333754</x:v>
      </x:c>
      <x:c r="K1088" s="1" t="str">
        <x:f>IF(G1088&gt;='Дашборд'!$C$51,"X","Z")</x:f>
        <x:v>Z</x:v>
      </x:c>
      <x:c r="L1088" s="1" t="str">
        <x:f>IF(H1088=0,IF(G1088&gt;0,"Нет остатка","Нет спроса"),IF(I1088&gt;='Дашборд'!$C$52,"Быстрый","Медленный"))</x:f>
        <x:v>Медленный</x:v>
      </x:c>
      <x:c r="M1088" s="1" t="str">
        <x:f>IF('Данные'!E1088&lt;'Дашборд'!$C$53,"Мало трафика",IF(J1088&lt;'Дашборд'!$C$9*'Дашборд'!$C$54,"Да","Нет"))</x:f>
        <x:v>Да</x:v>
      </x:c>
      <x:c r="N1088" s="1" t="str">
        <x:f>IF(AND('Данные'!D1088&gt;='Дашборд'!$C$55,D1088&lt;'Дашборд'!$C$56,'Данные'!E1088&gt;='Дашборд'!$C$53,'Данные'!L1088&lt;&gt;"Да"),"Да","Нет")</x:f>
        <x:v>Нет</x:v>
      </x:c>
      <x:c r="O1088" s="1" t="str">
        <x:f>'Данные'!L1088</x:f>
        <x:v>Нет</x:v>
      </x:c>
    </x:row>
    <x:row r="1089">
      <x:c r="A1089" s="1" t="str">
        <x:f>'Данные'!A1089</x:f>
        <x:v>237301025</x:v>
      </x:c>
      <x:c r="B1089" s="1" t="str">
        <x:f>'Данные'!B1089</x:f>
        <x:v>longoverprint/BelGoodvibes-169/розовый</x:v>
      </x:c>
      <x:c r="C1089" s="8" t="n">
        <x:f>'Данные'!G1089</x:f>
        <x:v>95439</x:v>
      </x:c>
      <x:c r="D1089" s="15" t="n">
        <x:f>C1089/SUM($C$5:$C$2477)</x:f>
        <x:v>0.00011149409492570022</x:v>
      </x:c>
      <x:c r="E1089" s="15" t="n">
        <x:f>SUM($D$5:D1089)</x:f>
        <x:v>0.9793843646288316</x:v>
      </x:c>
      <x:c r="F1089" s="1" t="str">
        <x:f>IF(C1089&lt;=0,"C",IF(E1089-D1089&lt;'Дашборд'!$C$49,"A",IF(E1089-D1089&lt;'Дашборд'!$C$50,"B","C")))</x:f>
        <x:v>C</x:v>
      </x:c>
      <x:c r="G1089" s="8" t="n">
        <x:f>'Данные'!F1089</x:f>
        <x:v>140</x:v>
      </x:c>
      <x:c r="H1089" s="8" t="n">
        <x:f>SUM('Данные'!H1089:I1089)</x:f>
        <x:v>1</x:v>
      </x:c>
      <x:c r="I1089" s="16" t="n">
        <x:f>IF(H1089&gt;0,G1089/H1089,"n.a.")</x:f>
        <x:v>140</x:v>
      </x:c>
      <x:c r="J1089" s="10" t="n">
        <x:f>IF('Данные'!E1089&gt;0,G1089/'Данные'!E1089,"n.a.")</x:f>
        <x:v>0.019358407079646017</x:v>
      </x:c>
      <x:c r="K1089" s="1" t="str">
        <x:f>IF(G1089&gt;='Дашборд'!$C$51,"X","Z")</x:f>
        <x:v>Z</x:v>
      </x:c>
      <x:c r="L1089" s="1" t="str">
        <x:f>IF(H1089=0,IF(G1089&gt;0,"Нет остатка","Нет спроса"),IF(I1089&gt;='Дашборд'!$C$52,"Быстрый","Медленный"))</x:f>
        <x:v>Быстрый</x:v>
      </x:c>
      <x:c r="M1089" s="1" t="str">
        <x:f>IF('Данные'!E1089&lt;'Дашборд'!$C$53,"Мало трафика",IF(J1089&lt;'Дашборд'!$C$9*'Дашборд'!$C$54,"Да","Нет"))</x:f>
        <x:v>Нет</x:v>
      </x:c>
      <x:c r="N1089" s="1" t="str">
        <x:f>IF(AND('Данные'!D1089&gt;='Дашборд'!$C$55,D1089&lt;'Дашборд'!$C$56,'Данные'!E1089&gt;='Дашборд'!$C$53,'Данные'!L1089&lt;&gt;"Да"),"Да","Нет")</x:f>
        <x:v>Нет</x:v>
      </x:c>
      <x:c r="O1089" s="1" t="str">
        <x:f>'Данные'!L1089</x:f>
        <x:v>Нет</x:v>
      </x:c>
    </x:row>
    <x:row r="1090">
      <x:c r="A1090" s="1" t="str">
        <x:f>'Данные'!A1090</x:f>
        <x:v>245558083</x:v>
      </x:c>
      <x:c r="B1090" s="1" t="str">
        <x:f>'Данные'!B1090</x:f>
        <x:v>hudimanprint/ComeOn-176/песочный</x:v>
      </x:c>
      <x:c r="C1090" s="8" t="n">
        <x:f>'Данные'!G1090</x:f>
        <x:v>95298</x:v>
      </x:c>
      <x:c r="D1090" s="15" t="n">
        <x:f>C1090/SUM($C$5:$C$2477)</x:f>
        <x:v>0.00011132937539401481</x:v>
      </x:c>
      <x:c r="E1090" s="15" t="n">
        <x:f>SUM($D$5:D1090)</x:f>
        <x:v>0.9794956940042256</x:v>
      </x:c>
      <x:c r="F1090" s="1" t="str">
        <x:f>IF(C1090&lt;=0,"C",IF(E1090-D1090&lt;'Дашборд'!$C$49,"A",IF(E1090-D1090&lt;'Дашборд'!$C$50,"B","C")))</x:f>
        <x:v>C</x:v>
      </x:c>
      <x:c r="G1090" s="8" t="n">
        <x:f>'Данные'!F1090</x:f>
        <x:v>107</x:v>
      </x:c>
      <x:c r="H1090" s="8" t="n">
        <x:f>SUM('Данные'!H1090:I1090)</x:f>
        <x:v>150</x:v>
      </x:c>
      <x:c r="I1090" s="16" t="n">
        <x:f>IF(H1090&gt;0,G1090/H1090,"n.a.")</x:f>
        <x:v>0.7133333333333334</x:v>
      </x:c>
      <x:c r="J1090" s="10" t="n">
        <x:f>IF('Данные'!E1090&gt;0,G1090/'Данные'!E1090,"n.a.")</x:f>
        <x:v>0.015457960127130887</x:v>
      </x:c>
      <x:c r="K1090" s="1" t="str">
        <x:f>IF(G1090&gt;='Дашборд'!$C$51,"X","Z")</x:f>
        <x:v>Z</x:v>
      </x:c>
      <x:c r="L1090" s="1" t="str">
        <x:f>IF(H1090=0,IF(G1090&gt;0,"Нет остатка","Нет спроса"),IF(I1090&gt;='Дашборд'!$C$52,"Быстрый","Медленный"))</x:f>
        <x:v>Медленный</x:v>
      </x:c>
      <x:c r="M1090" s="1" t="str">
        <x:f>IF('Данные'!E1090&lt;'Дашборд'!$C$53,"Мало трафика",IF(J1090&lt;'Дашборд'!$C$9*'Дашборд'!$C$54,"Да","Нет"))</x:f>
        <x:v>Нет</x:v>
      </x:c>
      <x:c r="N1090" s="1" t="str">
        <x:f>IF(AND('Данные'!D1090&gt;='Дашборд'!$C$55,D1090&lt;'Дашборд'!$C$56,'Данные'!E1090&gt;='Дашборд'!$C$53,'Данные'!L1090&lt;&gt;"Да"),"Да","Нет")</x:f>
        <x:v>Да</x:v>
      </x:c>
      <x:c r="O1090" s="1" t="str">
        <x:f>'Данные'!L1090</x:f>
        <x:v>Нет</x:v>
      </x:c>
    </x:row>
    <x:row r="1091">
      <x:c r="A1091" s="1" t="str">
        <x:f>'Данные'!A1091</x:f>
        <x:v>110533945</x:v>
      </x:c>
      <x:c r="B1091" s="1" t="str">
        <x:f>'Данные'!B1091</x:f>
        <x:v>futbolka_mary/мандариновый</x:v>
      </x:c>
      <x:c r="C1091" s="8" t="n">
        <x:f>'Данные'!G1091</x:f>
        <x:v>94246</x:v>
      </x:c>
      <x:c r="D1091" s="15" t="n">
        <x:f>C1091/SUM($C$5:$C$2477)</x:f>
        <x:v>0.0001101004041363336</x:v>
      </x:c>
      <x:c r="E1091" s="15" t="n">
        <x:f>SUM($D$5:D1091)</x:f>
        <x:v>0.9796057944083619</x:v>
      </x:c>
      <x:c r="F1091" s="1" t="str">
        <x:f>IF(C1091&lt;=0,"C",IF(E1091-D1091&lt;'Дашборд'!$C$49,"A",IF(E1091-D1091&lt;'Дашборд'!$C$50,"B","C")))</x:f>
        <x:v>C</x:v>
      </x:c>
      <x:c r="G1091" s="8" t="n">
        <x:f>'Данные'!F1091</x:f>
        <x:v>390</x:v>
      </x:c>
      <x:c r="H1091" s="8" t="n">
        <x:f>SUM('Данные'!H1091:I1091)</x:f>
        <x:v>6</x:v>
      </x:c>
      <x:c r="I1091" s="16" t="n">
        <x:f>IF(H1091&gt;0,G1091/H1091,"n.a.")</x:f>
        <x:v>65</x:v>
      </x:c>
      <x:c r="J1091" s="10" t="n">
        <x:f>IF('Данные'!E1091&gt;0,G1091/'Данные'!E1091,"n.a.")</x:f>
        <x:v>0.01951854261548471</x:v>
      </x:c>
      <x:c r="K1091" s="1" t="str">
        <x:f>IF(G1091&gt;='Дашборд'!$C$51,"X","Z")</x:f>
        <x:v>X</x:v>
      </x:c>
      <x:c r="L1091" s="1" t="str">
        <x:f>IF(H1091=0,IF(G1091&gt;0,"Нет остатка","Нет спроса"),IF(I1091&gt;='Дашборд'!$C$52,"Быстрый","Медленный"))</x:f>
        <x:v>Быстрый</x:v>
      </x:c>
      <x:c r="M1091" s="1" t="str">
        <x:f>IF('Данные'!E1091&lt;'Дашборд'!$C$53,"Мало трафика",IF(J1091&lt;'Дашборд'!$C$9*'Дашборд'!$C$54,"Да","Нет"))</x:f>
        <x:v>Нет</x:v>
      </x:c>
      <x:c r="N1091" s="1" t="str">
        <x:f>IF(AND('Данные'!D1091&gt;='Дашборд'!$C$55,D1091&lt;'Дашборд'!$C$56,'Данные'!E1091&gt;='Дашборд'!$C$53,'Данные'!L1091&lt;&gt;"Да"),"Да","Нет")</x:f>
        <x:v>Нет</x:v>
      </x:c>
      <x:c r="O1091" s="1" t="str">
        <x:f>'Данные'!L1091</x:f>
        <x:v>Нет</x:v>
      </x:c>
    </x:row>
    <x:row r="1092">
      <x:c r="A1092" s="1" t="str">
        <x:f>'Данные'!A1092</x:f>
        <x:v>306156819</x:v>
      </x:c>
      <x:c r="B1092" s="1" t="str">
        <x:f>'Данные'!B1092</x:f>
        <x:v>svitman4F-S-7/серыймеланж2</x:v>
      </x:c>
      <x:c r="C1092" s="8" t="n">
        <x:f>'Данные'!G1092</x:f>
        <x:v>94227</x:v>
      </x:c>
      <x:c r="D1092" s="15" t="n">
        <x:f>C1092/SUM($C$5:$C$2477)</x:f>
        <x:v>0.00011007820788738309</x:v>
      </x:c>
      <x:c r="E1092" s="15" t="n">
        <x:f>SUM($D$5:D1092)</x:f>
        <x:v>0.9797158726162493</x:v>
      </x:c>
      <x:c r="F1092" s="1" t="str">
        <x:f>IF(C1092&lt;=0,"C",IF(E1092-D1092&lt;'Дашборд'!$C$49,"A",IF(E1092-D1092&lt;'Дашборд'!$C$50,"B","C")))</x:f>
        <x:v>C</x:v>
      </x:c>
      <x:c r="G1092" s="8" t="n">
        <x:f>'Данные'!F1092</x:f>
        <x:v>141</x:v>
      </x:c>
      <x:c r="H1092" s="8" t="n">
        <x:f>SUM('Данные'!H1092:I1092)</x:f>
        <x:v>4</x:v>
      </x:c>
      <x:c r="I1092" s="16" t="n">
        <x:f>IF(H1092&gt;0,G1092/H1092,"n.a.")</x:f>
        <x:v>35.25</x:v>
      </x:c>
      <x:c r="J1092" s="10" t="n">
        <x:f>IF('Данные'!E1092&gt;0,G1092/'Данные'!E1092,"n.a.")</x:f>
        <x:v>0.010499664904311564</x:v>
      </x:c>
      <x:c r="K1092" s="1" t="str">
        <x:f>IF(G1092&gt;='Дашборд'!$C$51,"X","Z")</x:f>
        <x:v>Z</x:v>
      </x:c>
      <x:c r="L1092" s="1" t="str">
        <x:f>IF(H1092=0,IF(G1092&gt;0,"Нет остатка","Нет спроса"),IF(I1092&gt;='Дашборд'!$C$52,"Быстрый","Медленный"))</x:f>
        <x:v>Быстрый</x:v>
      </x:c>
      <x:c r="M1092" s="1" t="str">
        <x:f>IF('Данные'!E1092&lt;'Дашборд'!$C$53,"Мало трафика",IF(J1092&lt;'Дашборд'!$C$9*'Дашборд'!$C$54,"Да","Нет"))</x:f>
        <x:v>Нет</x:v>
      </x:c>
      <x:c r="N1092" s="1" t="str">
        <x:f>IF(AND('Данные'!D1092&gt;='Дашборд'!$C$55,D1092&lt;'Дашборд'!$C$56,'Данные'!E1092&gt;='Дашборд'!$C$53,'Данные'!L1092&lt;&gt;"Да"),"Да","Нет")</x:f>
        <x:v>Нет</x:v>
      </x:c>
      <x:c r="O1092" s="1" t="str">
        <x:f>'Данные'!L1092</x:f>
        <x:v>Нет</x:v>
      </x:c>
    </x:row>
    <x:row r="1093">
      <x:c r="A1093" s="1" t="str">
        <x:f>'Данные'!A1093</x:f>
        <x:v>195315573</x:v>
      </x:c>
      <x:c r="B1093" s="1" t="str">
        <x:f>'Данные'!B1093</x:f>
        <x:v>hudiprint/LoveNever-45/черный</x:v>
      </x:c>
      <x:c r="C1093" s="8" t="n">
        <x:f>'Данные'!G1093</x:f>
        <x:v>94142</x:v>
      </x:c>
      <x:c r="D1093" s="15" t="n">
        <x:f>C1093/SUM($C$5:$C$2477)</x:f>
        <x:v>0.00010997890887892025</x:v>
      </x:c>
      <x:c r="E1093" s="15" t="n">
        <x:f>SUM($D$5:D1093)</x:f>
        <x:v>0.9798258515251281</x:v>
      </x:c>
      <x:c r="F1093" s="1" t="str">
        <x:f>IF(C1093&lt;=0,"C",IF(E1093-D1093&lt;'Дашборд'!$C$49,"A",IF(E1093-D1093&lt;'Дашборд'!$C$50,"B","C")))</x:f>
        <x:v>C</x:v>
      </x:c>
      <x:c r="G1093" s="8" t="n">
        <x:f>'Данные'!F1093</x:f>
        <x:v>62</x:v>
      </x:c>
      <x:c r="H1093" s="8" t="n">
        <x:f>SUM('Данные'!H1093:I1093)</x:f>
        <x:v>42</x:v>
      </x:c>
      <x:c r="I1093" s="16" t="n">
        <x:f>IF(H1093&gt;0,G1093/H1093,"n.a.")</x:f>
        <x:v>1.4761904761904763</x:v>
      </x:c>
      <x:c r="J1093" s="10" t="n">
        <x:f>IF('Данные'!E1093&gt;0,G1093/'Данные'!E1093,"n.a.")</x:f>
        <x:v>0.009464203938330026</x:v>
      </x:c>
      <x:c r="K1093" s="1" t="str">
        <x:f>IF(G1093&gt;='Дашборд'!$C$51,"X","Z")</x:f>
        <x:v>Z</x:v>
      </x:c>
      <x:c r="L1093" s="1" t="str">
        <x:f>IF(H1093=0,IF(G1093&gt;0,"Нет остатка","Нет спроса"),IF(I1093&gt;='Дашборд'!$C$52,"Быстрый","Медленный"))</x:f>
        <x:v>Быстрый</x:v>
      </x:c>
      <x:c r="M1093" s="1" t="str">
        <x:f>IF('Данные'!E1093&lt;'Дашборд'!$C$53,"Мало трафика",IF(J1093&lt;'Дашборд'!$C$9*'Дашборд'!$C$54,"Да","Нет"))</x:f>
        <x:v>Да</x:v>
      </x:c>
      <x:c r="N1093" s="1" t="str">
        <x:f>IF(AND('Данные'!D1093&gt;='Дашборд'!$C$55,D1093&lt;'Дашборд'!$C$56,'Данные'!E1093&gt;='Дашборд'!$C$53,'Данные'!L1093&lt;&gt;"Да"),"Да","Нет")</x:f>
        <x:v>Нет</x:v>
      </x:c>
      <x:c r="O1093" s="1" t="str">
        <x:f>'Данные'!L1093</x:f>
        <x:v>Нет</x:v>
      </x:c>
    </x:row>
    <x:row r="1094">
      <x:c r="A1094" s="1" t="str">
        <x:f>'Данные'!A1094</x:f>
        <x:v>320414100</x:v>
      </x:c>
      <x:c r="B1094" s="1" t="str">
        <x:f>'Данные'!B1094</x:f>
        <x:v>svitfix3F-77/голубой</x:v>
      </x:c>
      <x:c r="C1094" s="8" t="n">
        <x:f>'Данные'!G1094</x:f>
        <x:v>94085</x:v>
      </x:c>
      <x:c r="D1094" s="15" t="n">
        <x:f>C1094/SUM($C$5:$C$2477)</x:f>
        <x:v>0.00010991232013206871</x:v>
      </x:c>
      <x:c r="E1094" s="15" t="n">
        <x:f>SUM($D$5:D1094)</x:f>
        <x:v>0.9799357638452602</x:v>
      </x:c>
      <x:c r="F1094" s="1" t="str">
        <x:f>IF(C1094&lt;=0,"C",IF(E1094-D1094&lt;'Дашборд'!$C$49,"A",IF(E1094-D1094&lt;'Дашборд'!$C$50,"B","C")))</x:f>
        <x:v>C</x:v>
      </x:c>
      <x:c r="G1094" s="8" t="n">
        <x:f>'Данные'!F1094</x:f>
        <x:v>160</x:v>
      </x:c>
      <x:c r="H1094" s="8" t="n">
        <x:f>SUM('Данные'!H1094:I1094)</x:f>
        <x:v>2</x:v>
      </x:c>
      <x:c r="I1094" s="16" t="n">
        <x:f>IF(H1094&gt;0,G1094/H1094,"n.a.")</x:f>
        <x:v>80</x:v>
      </x:c>
      <x:c r="J1094" s="10" t="n">
        <x:f>IF('Данные'!E1094&gt;0,G1094/'Данные'!E1094,"n.a.")</x:f>
        <x:v>0.008555692208972782</x:v>
      </x:c>
      <x:c r="K1094" s="1" t="str">
        <x:f>IF(G1094&gt;='Дашборд'!$C$51,"X","Z")</x:f>
        <x:v>Z</x:v>
      </x:c>
      <x:c r="L1094" s="1" t="str">
        <x:f>IF(H1094=0,IF(G1094&gt;0,"Нет остатка","Нет спроса"),IF(I1094&gt;='Дашборд'!$C$52,"Быстрый","Медленный"))</x:f>
        <x:v>Быстрый</x:v>
      </x:c>
      <x:c r="M1094" s="1" t="str">
        <x:f>IF('Данные'!E1094&lt;'Дашборд'!$C$53,"Мало трафика",IF(J1094&lt;'Дашборд'!$C$9*'Дашборд'!$C$54,"Да","Нет"))</x:f>
        <x:v>Да</x:v>
      </x:c>
      <x:c r="N1094" s="1" t="str">
        <x:f>IF(AND('Данные'!D1094&gt;='Дашборд'!$C$55,D1094&lt;'Дашборд'!$C$56,'Данные'!E1094&gt;='Дашборд'!$C$53,'Данные'!L1094&lt;&gt;"Да"),"Да","Нет")</x:f>
        <x:v>Нет</x:v>
      </x:c>
      <x:c r="O1094" s="1" t="str">
        <x:f>'Данные'!L1094</x:f>
        <x:v>Нет</x:v>
      </x:c>
    </x:row>
    <x:row r="1095">
      <x:c r="A1095" s="1" t="str">
        <x:f>'Данные'!A1095</x:f>
        <x:v>255318128</x:v>
      </x:c>
      <x:c r="B1095" s="1" t="str">
        <x:f>'Данные'!B1095</x:f>
        <x:v>hudiprint/JUST_HOODIE-208/черный</x:v>
      </x:c>
      <x:c r="C1095" s="8" t="n">
        <x:f>'Данные'!G1095</x:f>
        <x:v>93878</x:v>
      </x:c>
      <x:c r="D1095" s="15" t="n">
        <x:f>C1095/SUM($C$5:$C$2477)</x:f>
        <x:v>0.00010967049784087098</x:v>
      </x:c>
      <x:c r="E1095" s="15" t="n">
        <x:f>SUM($D$5:D1095)</x:f>
        <x:v>0.980045434343101</x:v>
      </x:c>
      <x:c r="F1095" s="1" t="str">
        <x:f>IF(C1095&lt;=0,"C",IF(E1095-D1095&lt;'Дашборд'!$C$49,"A",IF(E1095-D1095&lt;'Дашборд'!$C$50,"B","C")))</x:f>
        <x:v>C</x:v>
      </x:c>
      <x:c r="G1095" s="8" t="n">
        <x:f>'Данные'!F1095</x:f>
        <x:v>74</x:v>
      </x:c>
      <x:c r="H1095" s="8" t="n">
        <x:f>SUM('Данные'!H1095:I1095)</x:f>
        <x:v>16</x:v>
      </x:c>
      <x:c r="I1095" s="16" t="n">
        <x:f>IF(H1095&gt;0,G1095/H1095,"n.a.")</x:f>
        <x:v>4.625</x:v>
      </x:c>
      <x:c r="J1095" s="10" t="n">
        <x:f>IF('Данные'!E1095&gt;0,G1095/'Данные'!E1095,"n.a.")</x:f>
        <x:v>0.005783961231827419</x:v>
      </x:c>
      <x:c r="K1095" s="1" t="str">
        <x:f>IF(G1095&gt;='Дашборд'!$C$51,"X","Z")</x:f>
        <x:v>Z</x:v>
      </x:c>
      <x:c r="L1095" s="1" t="str">
        <x:f>IF(H1095=0,IF(G1095&gt;0,"Нет остатка","Нет спроса"),IF(I1095&gt;='Дашборд'!$C$52,"Быстрый","Медленный"))</x:f>
        <x:v>Быстрый</x:v>
      </x:c>
      <x:c r="M1095" s="1" t="str">
        <x:f>IF('Данные'!E1095&lt;'Дашборд'!$C$53,"Мало трафика",IF(J1095&lt;'Дашборд'!$C$9*'Дашборд'!$C$54,"Да","Нет"))</x:f>
        <x:v>Да</x:v>
      </x:c>
      <x:c r="N1095" s="1" t="str">
        <x:f>IF(AND('Данные'!D1095&gt;='Дашборд'!$C$55,D1095&lt;'Дашборд'!$C$56,'Данные'!E1095&gt;='Дашборд'!$C$53,'Данные'!L1095&lt;&gt;"Да"),"Да","Нет")</x:f>
        <x:v>Нет</x:v>
      </x:c>
      <x:c r="O1095" s="1" t="str">
        <x:f>'Данные'!L1095</x:f>
        <x:v>Нет</x:v>
      </x:c>
    </x:row>
    <x:row r="1096">
      <x:c r="A1096" s="1" t="str">
        <x:f>'Данные'!A1096</x:f>
        <x:v>150673982</x:v>
      </x:c>
      <x:c r="B1096" s="1" t="str">
        <x:f>'Данные'!B1096</x:f>
        <x:v>svitshotover/бежевый</x:v>
      </x:c>
      <x:c r="C1096" s="8" t="n">
        <x:f>'Данные'!G1096</x:f>
        <x:v>93155</x:v>
      </x:c>
      <x:c r="D1096" s="15" t="n">
        <x:f>C1096/SUM($C$5:$C$2477)</x:f>
        <x:v>0.00010882587215712239</x:v>
      </x:c>
      <x:c r="E1096" s="15" t="n">
        <x:f>SUM($D$5:D1096)</x:f>
        <x:v>0.9801542602152581</x:v>
      </x:c>
      <x:c r="F1096" s="1" t="str">
        <x:f>IF(C1096&lt;=0,"C",IF(E1096-D1096&lt;'Дашборд'!$C$49,"A",IF(E1096-D1096&lt;'Дашборд'!$C$50,"B","C")))</x:f>
        <x:v>C</x:v>
      </x:c>
      <x:c r="G1096" s="8" t="n">
        <x:f>'Данные'!F1096</x:f>
        <x:v>203</x:v>
      </x:c>
      <x:c r="H1096" s="8" t="n">
        <x:f>SUM('Данные'!H1096:I1096)</x:f>
        <x:v>588</x:v>
      </x:c>
      <x:c r="I1096" s="16" t="n">
        <x:f>IF(H1096&gt;0,G1096/H1096,"n.a.")</x:f>
        <x:v>0.34523809523809523</x:v>
      </x:c>
      <x:c r="J1096" s="10" t="n">
        <x:f>IF('Данные'!E1096&gt;0,G1096/'Данные'!E1096,"n.a.")</x:f>
        <x:v>0.010437554630058101</x:v>
      </x:c>
      <x:c r="K1096" s="1" t="str">
        <x:f>IF(G1096&gt;='Дашборд'!$C$51,"X","Z")</x:f>
        <x:v>Z</x:v>
      </x:c>
      <x:c r="L1096" s="1" t="str">
        <x:f>IF(H1096=0,IF(G1096&gt;0,"Нет остатка","Нет спроса"),IF(I1096&gt;='Дашборд'!$C$52,"Быстрый","Медленный"))</x:f>
        <x:v>Медленный</x:v>
      </x:c>
      <x:c r="M1096" s="1" t="str">
        <x:f>IF('Данные'!E1096&lt;'Дашборд'!$C$53,"Мало трафика",IF(J1096&lt;'Дашборд'!$C$9*'Дашборд'!$C$54,"Да","Нет"))</x:f>
        <x:v>Нет</x:v>
      </x:c>
      <x:c r="N1096" s="1" t="str">
        <x:f>IF(AND('Данные'!D1096&gt;='Дашборд'!$C$55,D1096&lt;'Дашборд'!$C$56,'Данные'!E1096&gt;='Дашборд'!$C$53,'Данные'!L1096&lt;&gt;"Да"),"Да","Нет")</x:f>
        <x:v>Да</x:v>
      </x:c>
      <x:c r="O1096" s="1" t="str">
        <x:f>'Данные'!L1096</x:f>
        <x:v>Нет</x:v>
      </x:c>
    </x:row>
    <x:row r="1097">
      <x:c r="A1097" s="1" t="str">
        <x:f>'Данные'!A1097</x:f>
        <x:v>241472522</x:v>
      </x:c>
      <x:c r="B1097" s="1" t="str">
        <x:f>'Данные'!B1097</x:f>
        <x:v>termoman/черный</x:v>
      </x:c>
      <x:c r="C1097" s="8" t="n">
        <x:f>'Данные'!G1097</x:f>
        <x:v>92492</x:v>
      </x:c>
      <x:c r="D1097" s="15" t="n">
        <x:f>C1097/SUM($C$5:$C$2477)</x:f>
        <x:v>0.00010805133989111228</x:v>
      </x:c>
      <x:c r="E1097" s="15" t="n">
        <x:f>SUM($D$5:D1097)</x:f>
        <x:v>0.9802623115551492</x:v>
      </x:c>
      <x:c r="F1097" s="1" t="str">
        <x:f>IF(C1097&lt;=0,"C",IF(E1097-D1097&lt;'Дашборд'!$C$49,"A",IF(E1097-D1097&lt;'Дашборд'!$C$50,"B","C")))</x:f>
        <x:v>C</x:v>
      </x:c>
      <x:c r="G1097" s="8" t="n">
        <x:f>'Данные'!F1097</x:f>
        <x:v>98</x:v>
      </x:c>
      <x:c r="H1097" s="8" t="n">
        <x:f>SUM('Данные'!H1097:I1097)</x:f>
        <x:v>2533</x:v>
      </x:c>
      <x:c r="I1097" s="16" t="n">
        <x:f>IF(H1097&gt;0,G1097/H1097,"n.a.")</x:f>
        <x:v>0.03868930122384524</x:v>
      </x:c>
      <x:c r="J1097" s="10" t="n">
        <x:f>IF('Данные'!E1097&gt;0,G1097/'Данные'!E1097,"n.a.")</x:f>
        <x:v>0.027512633352049412</x:v>
      </x:c>
      <x:c r="K1097" s="1" t="str">
        <x:f>IF(G1097&gt;='Дашборд'!$C$51,"X","Z")</x:f>
        <x:v>Z</x:v>
      </x:c>
      <x:c r="L1097" s="1" t="str">
        <x:f>IF(H1097=0,IF(G1097&gt;0,"Нет остатка","Нет спроса"),IF(I1097&gt;='Дашборд'!$C$52,"Быстрый","Медленный"))</x:f>
        <x:v>Медленный</x:v>
      </x:c>
      <x:c r="M1097" s="1" t="str">
        <x:f>IF('Данные'!E1097&lt;'Дашборд'!$C$53,"Мало трафика",IF(J1097&lt;'Дашборд'!$C$9*'Дашборд'!$C$54,"Да","Нет"))</x:f>
        <x:v>Нет</x:v>
      </x:c>
      <x:c r="N1097" s="1" t="str">
        <x:f>IF(AND('Данные'!D1097&gt;='Дашборд'!$C$55,D1097&lt;'Дашборд'!$C$56,'Данные'!E1097&gt;='Дашборд'!$C$53,'Данные'!L1097&lt;&gt;"Да"),"Да","Нет")</x:f>
        <x:v>Нет</x:v>
      </x:c>
      <x:c r="O1097" s="1" t="str">
        <x:f>'Данные'!L1097</x:f>
        <x:v>Нет</x:v>
      </x:c>
    </x:row>
    <x:row r="1098">
      <x:c r="A1098" s="1" t="str">
        <x:f>'Данные'!A1098</x:f>
        <x:v>158427996</x:v>
      </x:c>
      <x:c r="B1098" s="1" t="str">
        <x:f>'Данные'!B1098</x:f>
        <x:v>kostumman/молочный</x:v>
      </x:c>
      <x:c r="C1098" s="8" t="n">
        <x:f>'Данные'!G1098</x:f>
        <x:v>91426</x:v>
      </x:c>
      <x:c r="D1098" s="15" t="n">
        <x:f>C1098/SUM($C$5:$C$2477)</x:f>
        <x:v>0.00010680601350262543</x:v>
      </x:c>
      <x:c r="E1098" s="15" t="n">
        <x:f>SUM($D$5:D1098)</x:f>
        <x:v>0.9803691175686519</x:v>
      </x:c>
      <x:c r="F1098" s="1" t="str">
        <x:f>IF(C1098&lt;=0,"C",IF(E1098-D1098&lt;'Дашборд'!$C$49,"A",IF(E1098-D1098&lt;'Дашборд'!$C$50,"B","C")))</x:f>
        <x:v>C</x:v>
      </x:c>
      <x:c r="G1098" s="8" t="n">
        <x:f>'Данные'!F1098</x:f>
        <x:v>79</x:v>
      </x:c>
      <x:c r="H1098" s="8" t="n">
        <x:f>SUM('Данные'!H1098:I1098)</x:f>
        <x:v>1083</x:v>
      </x:c>
      <x:c r="I1098" s="16" t="n">
        <x:f>IF(H1098&gt;0,G1098/H1098,"n.a.")</x:f>
        <x:v>0.0729455216989843</x:v>
      </x:c>
      <x:c r="J1098" s="10" t="n">
        <x:f>IF('Данные'!E1098&gt;0,G1098/'Данные'!E1098,"n.a.")</x:f>
        <x:v>0.012666345999679333</x:v>
      </x:c>
      <x:c r="K1098" s="1" t="str">
        <x:f>IF(G1098&gt;='Дашборд'!$C$51,"X","Z")</x:f>
        <x:v>Z</x:v>
      </x:c>
      <x:c r="L1098" s="1" t="str">
        <x:f>IF(H1098=0,IF(G1098&gt;0,"Нет остатка","Нет спроса"),IF(I1098&gt;='Дашборд'!$C$52,"Быстрый","Медленный"))</x:f>
        <x:v>Медленный</x:v>
      </x:c>
      <x:c r="M1098" s="1" t="str">
        <x:f>IF('Данные'!E1098&lt;'Дашборд'!$C$53,"Мало трафика",IF(J1098&lt;'Дашборд'!$C$9*'Дашборд'!$C$54,"Да","Нет"))</x:f>
        <x:v>Нет</x:v>
      </x:c>
      <x:c r="N1098" s="1" t="str">
        <x:f>IF(AND('Данные'!D1098&gt;='Дашборд'!$C$55,D1098&lt;'Дашборд'!$C$56,'Данные'!E1098&gt;='Дашборд'!$C$53,'Данные'!L1098&lt;&gt;"Да"),"Да","Нет")</x:f>
        <x:v>Да</x:v>
      </x:c>
      <x:c r="O1098" s="1" t="str">
        <x:f>'Данные'!L1098</x:f>
        <x:v>Нет</x:v>
      </x:c>
    </x:row>
    <x:row r="1099">
      <x:c r="A1099" s="1" t="str">
        <x:f>'Данные'!A1099</x:f>
        <x:v>176176579</x:v>
      </x:c>
      <x:c r="B1099" s="1" t="str">
        <x:f>'Данные'!B1099</x:f>
        <x:v>svitshotover/хаки</x:v>
      </x:c>
      <x:c r="C1099" s="8" t="n">
        <x:f>'Данные'!G1099</x:f>
        <x:v>91167</x:v>
      </x:c>
      <x:c r="D1099" s="15" t="n">
        <x:f>C1099/SUM($C$5:$C$2477)</x:f>
        <x:v>0.00010650344358272103</x:v>
      </x:c>
      <x:c r="E1099" s="15" t="n">
        <x:f>SUM($D$5:D1099)</x:f>
        <x:v>0.9804756210122346</x:v>
      </x:c>
      <x:c r="F1099" s="1" t="str">
        <x:f>IF(C1099&lt;=0,"C",IF(E1099-D1099&lt;'Дашборд'!$C$49,"A",IF(E1099-D1099&lt;'Дашборд'!$C$50,"B","C")))</x:f>
        <x:v>C</x:v>
      </x:c>
      <x:c r="G1099" s="8" t="n">
        <x:f>'Данные'!F1099</x:f>
        <x:v>139</x:v>
      </x:c>
      <x:c r="H1099" s="8" t="n">
        <x:f>SUM('Данные'!H1099:I1099)</x:f>
        <x:v>208</x:v>
      </x:c>
      <x:c r="I1099" s="16" t="n">
        <x:f>IF(H1099&gt;0,G1099/H1099,"n.a.")</x:f>
        <x:v>0.6682692307692307</x:v>
      </x:c>
      <x:c r="J1099" s="10" t="n">
        <x:f>IF('Данные'!E1099&gt;0,G1099/'Данные'!E1099,"n.a.")</x:f>
        <x:v>0.011574652344075276</x:v>
      </x:c>
      <x:c r="K1099" s="1" t="str">
        <x:f>IF(G1099&gt;='Дашборд'!$C$51,"X","Z")</x:f>
        <x:v>Z</x:v>
      </x:c>
      <x:c r="L1099" s="1" t="str">
        <x:f>IF(H1099=0,IF(G1099&gt;0,"Нет остатка","Нет спроса"),IF(I1099&gt;='Дашборд'!$C$52,"Быстрый","Медленный"))</x:f>
        <x:v>Медленный</x:v>
      </x:c>
      <x:c r="M1099" s="1" t="str">
        <x:f>IF('Данные'!E1099&lt;'Дашборд'!$C$53,"Мало трафика",IF(J1099&lt;'Дашборд'!$C$9*'Дашборд'!$C$54,"Да","Нет"))</x:f>
        <x:v>Нет</x:v>
      </x:c>
      <x:c r="N1099" s="1" t="str">
        <x:f>IF(AND('Данные'!D1099&gt;='Дашборд'!$C$55,D1099&lt;'Дашборд'!$C$56,'Данные'!E1099&gt;='Дашборд'!$C$53,'Данные'!L1099&lt;&gt;"Да"),"Да","Нет")</x:f>
        <x:v>Да</x:v>
      </x:c>
      <x:c r="O1099" s="1" t="str">
        <x:f>'Данные'!L1099</x:f>
        <x:v>Нет</x:v>
      </x:c>
    </x:row>
    <x:row r="1100">
      <x:c r="A1100" s="1" t="str">
        <x:f>'Данные'!A1100</x:f>
        <x:v>216143235</x:v>
      </x:c>
      <x:c r="B1100" s="1" t="str">
        <x:f>'Данные'!B1100</x:f>
        <x:v>hudivish/PARADISO-106/молочный</x:v>
      </x:c>
      <x:c r="C1100" s="8" t="n">
        <x:f>'Данные'!G1100</x:f>
        <x:v>91030</x:v>
      </x:c>
      <x:c r="D1100" s="15" t="n">
        <x:f>C1100/SUM($C$5:$C$2477)</x:f>
        <x:v>0.00010634339694555152</x:v>
      </x:c>
      <x:c r="E1100" s="15" t="n">
        <x:f>SUM($D$5:D1100)</x:f>
        <x:v>0.9805819644091802</x:v>
      </x:c>
      <x:c r="F1100" s="1" t="str">
        <x:f>IF(C1100&lt;=0,"C",IF(E1100-D1100&lt;'Дашборд'!$C$49,"A",IF(E1100-D1100&lt;'Дашборд'!$C$50,"B","C")))</x:f>
        <x:v>C</x:v>
      </x:c>
      <x:c r="G1100" s="8" t="n">
        <x:f>'Данные'!F1100</x:f>
        <x:v>81</x:v>
      </x:c>
      <x:c r="H1100" s="8" t="n">
        <x:f>SUM('Данные'!H1100:I1100)</x:f>
        <x:v>16</x:v>
      </x:c>
      <x:c r="I1100" s="16" t="n">
        <x:f>IF(H1100&gt;0,G1100/H1100,"n.a.")</x:f>
        <x:v>5.0625</x:v>
      </x:c>
      <x:c r="J1100" s="10" t="n">
        <x:f>IF('Данные'!E1100&gt;0,G1100/'Данные'!E1100,"n.a.")</x:f>
        <x:v>0.0052285050348567005</x:v>
      </x:c>
      <x:c r="K1100" s="1" t="str">
        <x:f>IF(G1100&gt;='Дашборд'!$C$51,"X","Z")</x:f>
        <x:v>Z</x:v>
      </x:c>
      <x:c r="L1100" s="1" t="str">
        <x:f>IF(H1100=0,IF(G1100&gt;0,"Нет остатка","Нет спроса"),IF(I1100&gt;='Дашборд'!$C$52,"Быстрый","Медленный"))</x:f>
        <x:v>Быстрый</x:v>
      </x:c>
      <x:c r="M1100" s="1" t="str">
        <x:f>IF('Данные'!E1100&lt;'Дашборд'!$C$53,"Мало трафика",IF(J1100&lt;'Дашборд'!$C$9*'Дашборд'!$C$54,"Да","Нет"))</x:f>
        <x:v>Да</x:v>
      </x:c>
      <x:c r="N1100" s="1" t="str">
        <x:f>IF(AND('Данные'!D1100&gt;='Дашборд'!$C$55,D1100&lt;'Дашборд'!$C$56,'Данные'!E1100&gt;='Дашборд'!$C$53,'Данные'!L1100&lt;&gt;"Да"),"Да","Нет")</x:f>
        <x:v>Да</x:v>
      </x:c>
      <x:c r="O1100" s="1" t="str">
        <x:f>'Данные'!L1100</x:f>
        <x:v>Нет</x:v>
      </x:c>
    </x:row>
    <x:row r="1101">
      <x:c r="A1101" s="1" t="str">
        <x:f>'Данные'!A1101</x:f>
        <x:v>347537674</x:v>
      </x:c>
      <x:c r="B1101" s="1" t="str">
        <x:f>'Данные'!B1101</x:f>
        <x:v>body3K-S-6/молочный</x:v>
      </x:c>
      <x:c r="C1101" s="8" t="n">
        <x:f>'Данные'!G1101</x:f>
        <x:v>90336</x:v>
      </x:c>
      <x:c r="D1101" s="15" t="n">
        <x:f>C1101/SUM($C$5:$C$2477)</x:f>
        <x:v>0.00010553264974704319</x:v>
      </x:c>
      <x:c r="E1101" s="15" t="n">
        <x:f>SUM($D$5:D1101)</x:f>
        <x:v>0.9806874970589272</x:v>
      </x:c>
      <x:c r="F1101" s="1" t="str">
        <x:f>IF(C1101&lt;=0,"C",IF(E1101-D1101&lt;'Дашборд'!$C$49,"A",IF(E1101-D1101&lt;'Дашборд'!$C$50,"B","C")))</x:f>
        <x:v>C</x:v>
      </x:c>
      <x:c r="G1101" s="8" t="n">
        <x:f>'Данные'!F1101</x:f>
        <x:v>332</x:v>
      </x:c>
      <x:c r="H1101" s="8" t="n">
        <x:f>SUM('Данные'!H1101:I1101)</x:f>
        <x:v>1243</x:v>
      </x:c>
      <x:c r="I1101" s="16" t="n">
        <x:f>IF(H1101&gt;0,G1101/H1101,"n.a.")</x:f>
        <x:v>0.2670957361222848</x:v>
      </x:c>
      <x:c r="J1101" s="10" t="n">
        <x:f>IF('Данные'!E1101&gt;0,G1101/'Данные'!E1101,"n.a.")</x:f>
        <x:v>0.010843648953195936</x:v>
      </x:c>
      <x:c r="K1101" s="1" t="str">
        <x:f>IF(G1101&gt;='Дашборд'!$C$51,"X","Z")</x:f>
        <x:v>X</x:v>
      </x:c>
      <x:c r="L1101" s="1" t="str">
        <x:f>IF(H1101=0,IF(G1101&gt;0,"Нет остатка","Нет спроса"),IF(I1101&gt;='Дашборд'!$C$52,"Быстрый","Медленный"))</x:f>
        <x:v>Медленный</x:v>
      </x:c>
      <x:c r="M1101" s="1" t="str">
        <x:f>IF('Данные'!E1101&lt;'Дашборд'!$C$53,"Мало трафика",IF(J1101&lt;'Дашборд'!$C$9*'Дашборд'!$C$54,"Да","Нет"))</x:f>
        <x:v>Нет</x:v>
      </x:c>
      <x:c r="N1101" s="1" t="str">
        <x:f>IF(AND('Данные'!D1101&gt;='Дашборд'!$C$55,D1101&lt;'Дашборд'!$C$56,'Данные'!E1101&gt;='Дашборд'!$C$53,'Данные'!L1101&lt;&gt;"Да"),"Да","Нет")</x:f>
        <x:v>Нет</x:v>
      </x:c>
      <x:c r="O1101" s="1" t="str">
        <x:f>'Данные'!L1101</x:f>
        <x:v>Нет</x:v>
      </x:c>
    </x:row>
    <x:row r="1102">
      <x:c r="A1102" s="1" t="str">
        <x:f>'Данные'!A1102</x:f>
        <x:v>178309514</x:v>
      </x:c>
      <x:c r="B1102" s="1" t="str">
        <x:f>'Данные'!B1102</x:f>
        <x:v>svitcrop/серый меланж</x:v>
      </x:c>
      <x:c r="C1102" s="8" t="n">
        <x:f>'Данные'!G1102</x:f>
        <x:v>90113</x:v>
      </x:c>
      <x:c r="D1102" s="15" t="n">
        <x:f>C1102/SUM($C$5:$C$2477)</x:f>
        <x:v>0.00010527213587778188</x:v>
      </x:c>
      <x:c r="E1102" s="15" t="n">
        <x:f>SUM($D$5:D1102)</x:f>
        <x:v>0.980792769194805</x:v>
      </x:c>
      <x:c r="F1102" s="1" t="str">
        <x:f>IF(C1102&lt;=0,"C",IF(E1102-D1102&lt;'Дашборд'!$C$49,"A",IF(E1102-D1102&lt;'Дашборд'!$C$50,"B","C")))</x:f>
        <x:v>C</x:v>
      </x:c>
      <x:c r="G1102" s="8" t="n">
        <x:f>'Данные'!F1102</x:f>
        <x:v>180</x:v>
      </x:c>
      <x:c r="H1102" s="8" t="n">
        <x:f>SUM('Данные'!H1102:I1102)</x:f>
        <x:v>36</x:v>
      </x:c>
      <x:c r="I1102" s="16" t="n">
        <x:f>IF(H1102&gt;0,G1102/H1102,"n.a.")</x:f>
        <x:v>5</x:v>
      </x:c>
      <x:c r="J1102" s="10" t="n">
        <x:f>IF('Данные'!E1102&gt;0,G1102/'Данные'!E1102,"n.a.")</x:f>
        <x:v>0.01160840964787824</x:v>
      </x:c>
      <x:c r="K1102" s="1" t="str">
        <x:f>IF(G1102&gt;='Дашборд'!$C$51,"X","Z")</x:f>
        <x:v>Z</x:v>
      </x:c>
      <x:c r="L1102" s="1" t="str">
        <x:f>IF(H1102=0,IF(G1102&gt;0,"Нет остатка","Нет спроса"),IF(I1102&gt;='Дашборд'!$C$52,"Быстрый","Медленный"))</x:f>
        <x:v>Быстрый</x:v>
      </x:c>
      <x:c r="M1102" s="1" t="str">
        <x:f>IF('Данные'!E1102&lt;'Дашборд'!$C$53,"Мало трафика",IF(J1102&lt;'Дашборд'!$C$9*'Дашборд'!$C$54,"Да","Нет"))</x:f>
        <x:v>Нет</x:v>
      </x:c>
      <x:c r="N1102" s="1" t="str">
        <x:f>IF(AND('Данные'!D1102&gt;='Дашборд'!$C$55,D1102&lt;'Дашборд'!$C$56,'Данные'!E1102&gt;='Дашборд'!$C$53,'Данные'!L1102&lt;&gt;"Да"),"Да","Нет")</x:f>
        <x:v>Да</x:v>
      </x:c>
      <x:c r="O1102" s="1" t="str">
        <x:f>'Данные'!L1102</x:f>
        <x:v>Нет</x:v>
      </x:c>
    </x:row>
    <x:row r="1103">
      <x:c r="A1103" s="1" t="str">
        <x:f>'Данные'!A1103</x:f>
        <x:v>33335066</x:v>
      </x:c>
      <x:c r="B1103" s="1" t="str">
        <x:f>'Данные'!B1103</x:f>
        <x:v>futbolka_mary/светлофиолетовый</x:v>
      </x:c>
      <x:c r="C1103" s="8" t="n">
        <x:f>'Данные'!G1103</x:f>
        <x:v>89766</x:v>
      </x:c>
      <x:c r="D1103" s="15" t="n">
        <x:f>C1103/SUM($C$5:$C$2477)</x:f>
        <x:v>0.00010486676227852772</x:v>
      </x:c>
      <x:c r="E1103" s="15" t="n">
        <x:f>SUM($D$5:D1103)</x:f>
        <x:v>0.9808976359570835</x:v>
      </x:c>
      <x:c r="F1103" s="1" t="str">
        <x:f>IF(C1103&lt;=0,"C",IF(E1103-D1103&lt;'Дашборд'!$C$49,"A",IF(E1103-D1103&lt;'Дашборд'!$C$50,"B","C")))</x:f>
        <x:v>C</x:v>
      </x:c>
      <x:c r="G1103" s="8" t="n">
        <x:f>'Данные'!F1103</x:f>
        <x:v>405</x:v>
      </x:c>
      <x:c r="H1103" s="8" t="n">
        <x:f>SUM('Данные'!H1103:I1103)</x:f>
        <x:v>2</x:v>
      </x:c>
      <x:c r="I1103" s="16" t="n">
        <x:f>IF(H1103&gt;0,G1103/H1103,"n.a.")</x:f>
        <x:v>202.5</x:v>
      </x:c>
      <x:c r="J1103" s="10" t="n">
        <x:f>IF('Данные'!E1103&gt;0,G1103/'Данные'!E1103,"n.a.")</x:f>
        <x:v>0.028039324286901136</x:v>
      </x:c>
      <x:c r="K1103" s="1" t="str">
        <x:f>IF(G1103&gt;='Дашборд'!$C$51,"X","Z")</x:f>
        <x:v>X</x:v>
      </x:c>
      <x:c r="L1103" s="1" t="str">
        <x:f>IF(H1103=0,IF(G1103&gt;0,"Нет остатка","Нет спроса"),IF(I1103&gt;='Дашборд'!$C$52,"Быстрый","Медленный"))</x:f>
        <x:v>Быстрый</x:v>
      </x:c>
      <x:c r="M1103" s="1" t="str">
        <x:f>IF('Данные'!E1103&lt;'Дашборд'!$C$53,"Мало трафика",IF(J1103&lt;'Дашборд'!$C$9*'Дашборд'!$C$54,"Да","Нет"))</x:f>
        <x:v>Нет</x:v>
      </x:c>
      <x:c r="N1103" s="1" t="str">
        <x:f>IF(AND('Данные'!D1103&gt;='Дашборд'!$C$55,D1103&lt;'Дашборд'!$C$56,'Данные'!E1103&gt;='Дашборд'!$C$53,'Данные'!L1103&lt;&gt;"Да"),"Да","Нет")</x:f>
        <x:v>Нет</x:v>
      </x:c>
      <x:c r="O1103" s="1" t="str">
        <x:f>'Данные'!L1103</x:f>
        <x:v>Нет</x:v>
      </x:c>
    </x:row>
    <x:row r="1104">
      <x:c r="A1104" s="1" t="str">
        <x:f>'Данные'!A1104</x:f>
        <x:v>240808503</x:v>
      </x:c>
      <x:c r="B1104" s="1" t="str">
        <x:f>'Данные'!B1104</x:f>
        <x:v>hudiboy/темно-серый</x:v>
      </x:c>
      <x:c r="C1104" s="8" t="n">
        <x:f>'Данные'!G1104</x:f>
        <x:v>89704</x:v>
      </x:c>
      <x:c r="D1104" s="15" t="n">
        <x:f>C1104/SUM($C$5:$C$2477)</x:f>
        <x:v>0.00010479433241353128</x:v>
      </x:c>
      <x:c r="E1104" s="15" t="n">
        <x:f>SUM($D$5:D1104)</x:f>
        <x:v>0.981002430289497</x:v>
      </x:c>
      <x:c r="F1104" s="1" t="str">
        <x:f>IF(C1104&lt;=0,"C",IF(E1104-D1104&lt;'Дашборд'!$C$49,"A",IF(E1104-D1104&lt;'Дашборд'!$C$50,"B","C")))</x:f>
        <x:v>C</x:v>
      </x:c>
      <x:c r="G1104" s="8" t="n">
        <x:f>'Данные'!F1104</x:f>
        <x:v>103</x:v>
      </x:c>
      <x:c r="H1104" s="8" t="n">
        <x:f>SUM('Данные'!H1104:I1104)</x:f>
        <x:v>10</x:v>
      </x:c>
      <x:c r="I1104" s="16" t="n">
        <x:f>IF(H1104&gt;0,G1104/H1104,"n.a.")</x:f>
        <x:v>10.3</x:v>
      </x:c>
      <x:c r="J1104" s="10" t="n">
        <x:f>IF('Данные'!E1104&gt;0,G1104/'Данные'!E1104,"n.a.")</x:f>
        <x:v>0.008181745968702836</x:v>
      </x:c>
      <x:c r="K1104" s="1" t="str">
        <x:f>IF(G1104&gt;='Дашборд'!$C$51,"X","Z")</x:f>
        <x:v>Z</x:v>
      </x:c>
      <x:c r="L1104" s="1" t="str">
        <x:f>IF(H1104=0,IF(G1104&gt;0,"Нет остатка","Нет спроса"),IF(I1104&gt;='Дашборд'!$C$52,"Быстрый","Медленный"))</x:f>
        <x:v>Быстрый</x:v>
      </x:c>
      <x:c r="M1104" s="1" t="str">
        <x:f>IF('Данные'!E1104&lt;'Дашборд'!$C$53,"Мало трафика",IF(J1104&lt;'Дашборд'!$C$9*'Дашборд'!$C$54,"Да","Нет"))</x:f>
        <x:v>Да</x:v>
      </x:c>
      <x:c r="N1104" s="1" t="str">
        <x:f>IF(AND('Данные'!D1104&gt;='Дашборд'!$C$55,D1104&lt;'Дашборд'!$C$56,'Данные'!E1104&gt;='Дашборд'!$C$53,'Данные'!L1104&lt;&gt;"Да"),"Да","Нет")</x:f>
        <x:v>Нет</x:v>
      </x:c>
      <x:c r="O1104" s="1" t="str">
        <x:f>'Данные'!L1104</x:f>
        <x:v>Нет</x:v>
      </x:c>
    </x:row>
    <x:row r="1105">
      <x:c r="A1105" s="1" t="str">
        <x:f>'Данные'!A1105</x:f>
        <x:v>344389320</x:v>
      </x:c>
      <x:c r="B1105" s="1" t="str">
        <x:f>'Данные'!B1105</x:f>
        <x:v>ribmayka3R-S13/красно-коричневый</x:v>
      </x:c>
      <x:c r="C1105" s="8" t="n">
        <x:f>'Данные'!G1105</x:f>
        <x:v>89660</x:v>
      </x:c>
      <x:c r="D1105" s="15" t="n">
        <x:f>C1105/SUM($C$5:$C$2477)</x:f>
        <x:v>0.00010474293057385641</x:v>
      </x:c>
      <x:c r="E1105" s="15" t="n">
        <x:f>SUM($D$5:D1105)</x:f>
        <x:v>0.9811071732200708</x:v>
      </x:c>
      <x:c r="F1105" s="1" t="str">
        <x:f>IF(C1105&lt;=0,"C",IF(E1105-D1105&lt;'Дашборд'!$C$49,"A",IF(E1105-D1105&lt;'Дашборд'!$C$50,"B","C")))</x:f>
        <x:v>C</x:v>
      </x:c>
      <x:c r="G1105" s="8" t="n">
        <x:f>'Данные'!F1105</x:f>
        <x:v>254</x:v>
      </x:c>
      <x:c r="H1105" s="8" t="n">
        <x:f>SUM('Данные'!H1105:I1105)</x:f>
        <x:v>3</x:v>
      </x:c>
      <x:c r="I1105" s="16" t="n">
        <x:f>IF(H1105&gt;0,G1105/H1105,"n.a.")</x:f>
        <x:v>84.66666666666667</x:v>
      </x:c>
      <x:c r="J1105" s="10" t="n">
        <x:f>IF('Данные'!E1105&gt;0,G1105/'Данные'!E1105,"n.a.")</x:f>
        <x:v>0.011671185038827367</x:v>
      </x:c>
      <x:c r="K1105" s="1" t="str">
        <x:f>IF(G1105&gt;='Дашборд'!$C$51,"X","Z")</x:f>
        <x:v>Z</x:v>
      </x:c>
      <x:c r="L1105" s="1" t="str">
        <x:f>IF(H1105=0,IF(G1105&gt;0,"Нет остатка","Нет спроса"),IF(I1105&gt;='Дашборд'!$C$52,"Быстрый","Медленный"))</x:f>
        <x:v>Быстрый</x:v>
      </x:c>
      <x:c r="M1105" s="1" t="str">
        <x:f>IF('Данные'!E1105&lt;'Дашборд'!$C$53,"Мало трафика",IF(J1105&lt;'Дашборд'!$C$9*'Дашборд'!$C$54,"Да","Нет"))</x:f>
        <x:v>Нет</x:v>
      </x:c>
      <x:c r="N1105" s="1" t="str">
        <x:f>IF(AND('Данные'!D1105&gt;='Дашборд'!$C$55,D1105&lt;'Дашборд'!$C$56,'Данные'!E1105&gt;='Дашборд'!$C$53,'Данные'!L1105&lt;&gt;"Да"),"Да","Нет")</x:f>
        <x:v>Да</x:v>
      </x:c>
      <x:c r="O1105" s="1" t="str">
        <x:f>'Данные'!L1105</x:f>
        <x:v>Нет</x:v>
      </x:c>
    </x:row>
    <x:row r="1106">
      <x:c r="A1106" s="1" t="str">
        <x:f>'Данные'!A1106</x:f>
        <x:v>202409663</x:v>
      </x:c>
      <x:c r="B1106" s="1" t="str">
        <x:f>'Данные'!B1106</x:f>
        <x:v>hudimanprint/Brukman-42/морскаяволна</x:v>
      </x:c>
      <x:c r="C1106" s="8" t="n">
        <x:f>'Данные'!G1106</x:f>
        <x:v>89611</x:v>
      </x:c>
      <x:c r="D1106" s="15" t="n">
        <x:f>C1106/SUM($C$5:$C$2477)</x:f>
        <x:v>0.00010468568761603667</x:v>
      </x:c>
      <x:c r="E1106" s="15" t="n">
        <x:f>SUM($D$5:D1106)</x:f>
        <x:v>0.9812118589076868</x:v>
      </x:c>
      <x:c r="F1106" s="1" t="str">
        <x:f>IF(C1106&lt;=0,"C",IF(E1106-D1106&lt;'Дашборд'!$C$49,"A",IF(E1106-D1106&lt;'Дашборд'!$C$50,"B","C")))</x:f>
        <x:v>C</x:v>
      </x:c>
      <x:c r="G1106" s="8" t="n">
        <x:f>'Данные'!F1106</x:f>
        <x:v>78</x:v>
      </x:c>
      <x:c r="H1106" s="8" t="n">
        <x:f>SUM('Данные'!H1106:I1106)</x:f>
        <x:v>5</x:v>
      </x:c>
      <x:c r="I1106" s="16" t="n">
        <x:f>IF(H1106&gt;0,G1106/H1106,"n.a.")</x:f>
        <x:v>15.6</x:v>
      </x:c>
      <x:c r="J1106" s="10" t="n">
        <x:f>IF('Данные'!E1106&gt;0,G1106/'Данные'!E1106,"n.a.")</x:f>
        <x:v>0.012124980568941396</x:v>
      </x:c>
      <x:c r="K1106" s="1" t="str">
        <x:f>IF(G1106&gt;='Дашборд'!$C$51,"X","Z")</x:f>
        <x:v>Z</x:v>
      </x:c>
      <x:c r="L1106" s="1" t="str">
        <x:f>IF(H1106=0,IF(G1106&gt;0,"Нет остатка","Нет спроса"),IF(I1106&gt;='Дашборд'!$C$52,"Быстрый","Медленный"))</x:f>
        <x:v>Быстрый</x:v>
      </x:c>
      <x:c r="M1106" s="1" t="str">
        <x:f>IF('Данные'!E1106&lt;'Дашборд'!$C$53,"Мало трафика",IF(J1106&lt;'Дашборд'!$C$9*'Дашборд'!$C$54,"Да","Нет"))</x:f>
        <x:v>Нет</x:v>
      </x:c>
      <x:c r="N1106" s="1" t="str">
        <x:f>IF(AND('Данные'!D1106&gt;='Дашборд'!$C$55,D1106&lt;'Дашборд'!$C$56,'Данные'!E1106&gt;='Дашборд'!$C$53,'Данные'!L1106&lt;&gt;"Да"),"Да","Нет")</x:f>
        <x:v>Да</x:v>
      </x:c>
      <x:c r="O1106" s="1" t="str">
        <x:f>'Данные'!L1106</x:f>
        <x:v>Нет</x:v>
      </x:c>
    </x:row>
    <x:row r="1107">
      <x:c r="A1107" s="1" t="str">
        <x:f>'Данные'!A1107</x:f>
        <x:v>361797593</x:v>
      </x:c>
      <x:c r="B1107" s="1" t="str">
        <x:f>'Данные'!B1107</x:f>
        <x:v>shortyman/бордовый</x:v>
      </x:c>
      <x:c r="C1107" s="8" t="n">
        <x:f>'Данные'!G1107</x:f>
        <x:v>89585</x:v>
      </x:c>
      <x:c r="D1107" s="15" t="n">
        <x:f>C1107/SUM($C$5:$C$2477)</x:f>
        <x:v>0.00010465531380168332</x:v>
      </x:c>
      <x:c r="E1107" s="15" t="n">
        <x:f>SUM($D$5:D1107)</x:f>
        <x:v>0.9813165142214885</x:v>
      </x:c>
      <x:c r="F1107" s="1" t="str">
        <x:f>IF(C1107&lt;=0,"C",IF(E1107-D1107&lt;'Дашборд'!$C$49,"A",IF(E1107-D1107&lt;'Дашборд'!$C$50,"B","C")))</x:f>
        <x:v>C</x:v>
      </x:c>
      <x:c r="G1107" s="8" t="n">
        <x:f>'Данные'!F1107</x:f>
        <x:v>133</x:v>
      </x:c>
      <x:c r="H1107" s="8" t="n">
        <x:f>SUM('Данные'!H1107:I1107)</x:f>
        <x:v>57</x:v>
      </x:c>
      <x:c r="I1107" s="16" t="n">
        <x:f>IF(H1107&gt;0,G1107/H1107,"n.a.")</x:f>
        <x:v>2.3333333333333335</x:v>
      </x:c>
      <x:c r="J1107" s="10" t="n">
        <x:f>IF('Данные'!E1107&gt;0,G1107/'Данные'!E1107,"n.a.")</x:f>
        <x:v>0.012760241773002015</x:v>
      </x:c>
      <x:c r="K1107" s="1" t="str">
        <x:f>IF(G1107&gt;='Дашборд'!$C$51,"X","Z")</x:f>
        <x:v>Z</x:v>
      </x:c>
      <x:c r="L1107" s="1" t="str">
        <x:f>IF(H1107=0,IF(G1107&gt;0,"Нет остатка","Нет спроса"),IF(I1107&gt;='Дашборд'!$C$52,"Быстрый","Медленный"))</x:f>
        <x:v>Быстрый</x:v>
      </x:c>
      <x:c r="M1107" s="1" t="str">
        <x:f>IF('Данные'!E1107&lt;'Дашборд'!$C$53,"Мало трафика",IF(J1107&lt;'Дашборд'!$C$9*'Дашборд'!$C$54,"Да","Нет"))</x:f>
        <x:v>Нет</x:v>
      </x:c>
      <x:c r="N1107" s="1" t="str">
        <x:f>IF(AND('Данные'!D1107&gt;='Дашборд'!$C$55,D1107&lt;'Дашборд'!$C$56,'Данные'!E1107&gt;='Дашборд'!$C$53,'Данные'!L1107&lt;&gt;"Да"),"Да","Нет")</x:f>
        <x:v>Нет</x:v>
      </x:c>
      <x:c r="O1107" s="1" t="str">
        <x:f>'Данные'!L1107</x:f>
        <x:v>Нет</x:v>
      </x:c>
    </x:row>
    <x:row r="1108">
      <x:c r="A1108" s="1" t="str">
        <x:f>'Данные'!A1108</x:f>
        <x:v>256332775</x:v>
      </x:c>
      <x:c r="B1108" s="1" t="str">
        <x:f>'Данные'!B1108</x:f>
        <x:v>futhlopman/черный</x:v>
      </x:c>
      <x:c r="C1108" s="8" t="n">
        <x:f>'Данные'!G1108</x:f>
        <x:v>89544</x:v>
      </x:c>
      <x:c r="D1108" s="15" t="n">
        <x:f>C1108/SUM($C$5:$C$2477)</x:f>
        <x:v>0.00010460741663289536</x:v>
      </x:c>
      <x:c r="E1108" s="15" t="n">
        <x:f>SUM($D$5:D1108)</x:f>
        <x:v>0.9814211216381213</x:v>
      </x:c>
      <x:c r="F1108" s="1" t="str">
        <x:f>IF(C1108&lt;=0,"C",IF(E1108-D1108&lt;'Дашборд'!$C$49,"A",IF(E1108-D1108&lt;'Дашборд'!$C$50,"B","C")))</x:f>
        <x:v>C</x:v>
      </x:c>
      <x:c r="G1108" s="8" t="n">
        <x:f>'Данные'!F1108</x:f>
        <x:v>215</x:v>
      </x:c>
      <x:c r="H1108" s="8" t="n">
        <x:f>SUM('Данные'!H1108:I1108)</x:f>
        <x:v>326</x:v>
      </x:c>
      <x:c r="I1108" s="16" t="n">
        <x:f>IF(H1108&gt;0,G1108/H1108,"n.a.")</x:f>
        <x:v>0.6595092024539877</x:v>
      </x:c>
      <x:c r="J1108" s="10" t="n">
        <x:f>IF('Данные'!E1108&gt;0,G1108/'Данные'!E1108,"n.a.")</x:f>
        <x:v>0.012686611199622352</x:v>
      </x:c>
      <x:c r="K1108" s="1" t="str">
        <x:f>IF(G1108&gt;='Дашборд'!$C$51,"X","Z")</x:f>
        <x:v>Z</x:v>
      </x:c>
      <x:c r="L1108" s="1" t="str">
        <x:f>IF(H1108=0,IF(G1108&gt;0,"Нет остатка","Нет спроса"),IF(I1108&gt;='Дашборд'!$C$52,"Быстрый","Медленный"))</x:f>
        <x:v>Медленный</x:v>
      </x:c>
      <x:c r="M1108" s="1" t="str">
        <x:f>IF('Данные'!E1108&lt;'Дашборд'!$C$53,"Мало трафика",IF(J1108&lt;'Дашборд'!$C$9*'Дашборд'!$C$54,"Да","Нет"))</x:f>
        <x:v>Нет</x:v>
      </x:c>
      <x:c r="N1108" s="1" t="str">
        <x:f>IF(AND('Данные'!D1108&gt;='Дашборд'!$C$55,D1108&lt;'Дашборд'!$C$56,'Данные'!E1108&gt;='Дашборд'!$C$53,'Данные'!L1108&lt;&gt;"Да"),"Да","Нет")</x:f>
        <x:v>Нет</x:v>
      </x:c>
      <x:c r="O1108" s="1" t="str">
        <x:f>'Данные'!L1108</x:f>
        <x:v>Нет</x:v>
      </x:c>
    </x:row>
    <x:row r="1109">
      <x:c r="A1109" s="1" t="str">
        <x:f>'Данные'!A1109</x:f>
        <x:v>35657199</x:v>
      </x:c>
      <x:c r="B1109" s="1" t="str">
        <x:f>'Данные'!B1109</x:f>
        <x:v>longsliv/белый</x:v>
      </x:c>
      <x:c r="C1109" s="8" t="n">
        <x:f>'Данные'!G1109</x:f>
        <x:v>89433</x:v>
      </x:c>
      <x:c r="D1109" s="15" t="n">
        <x:f>C1109/SUM($C$5:$C$2477)</x:f>
        <x:v>0.0001044777438100792</x:v>
      </x:c>
      <x:c r="E1109" s="15" t="n">
        <x:f>SUM($D$5:D1109)</x:f>
        <x:v>0.9815255993819314</x:v>
      </x:c>
      <x:c r="F1109" s="1" t="str">
        <x:f>IF(C1109&lt;=0,"C",IF(E1109-D1109&lt;'Дашборд'!$C$49,"A",IF(E1109-D1109&lt;'Дашборд'!$C$50,"B","C")))</x:f>
        <x:v>C</x:v>
      </x:c>
      <x:c r="G1109" s="8" t="n">
        <x:f>'Данные'!F1109</x:f>
        <x:v>306</x:v>
      </x:c>
      <x:c r="H1109" s="8" t="n">
        <x:f>SUM('Данные'!H1109:I1109)</x:f>
        <x:v>960</x:v>
      </x:c>
      <x:c r="I1109" s="16" t="n">
        <x:f>IF(H1109&gt;0,G1109/H1109,"n.a.")</x:f>
        <x:v>0.31875</x:v>
      </x:c>
      <x:c r="J1109" s="10" t="n">
        <x:f>IF('Данные'!E1109&gt;0,G1109/'Данные'!E1109,"n.a.")</x:f>
        <x:v>0.027968193035371538</x:v>
      </x:c>
      <x:c r="K1109" s="1" t="str">
        <x:f>IF(G1109&gt;='Дашборд'!$C$51,"X","Z")</x:f>
        <x:v>X</x:v>
      </x:c>
      <x:c r="L1109" s="1" t="str">
        <x:f>IF(H1109=0,IF(G1109&gt;0,"Нет остатка","Нет спроса"),IF(I1109&gt;='Дашборд'!$C$52,"Быстрый","Медленный"))</x:f>
        <x:v>Медленный</x:v>
      </x:c>
      <x:c r="M1109" s="1" t="str">
        <x:f>IF('Данные'!E1109&lt;'Дашборд'!$C$53,"Мало трафика",IF(J1109&lt;'Дашборд'!$C$9*'Дашборд'!$C$54,"Да","Нет"))</x:f>
        <x:v>Нет</x:v>
      </x:c>
      <x:c r="N1109" s="1" t="str">
        <x:f>IF(AND('Данные'!D1109&gt;='Дашборд'!$C$55,D1109&lt;'Дашборд'!$C$56,'Данные'!E1109&gt;='Дашборд'!$C$53,'Данные'!L1109&lt;&gt;"Да"),"Да","Нет")</x:f>
        <x:v>Да</x:v>
      </x:c>
      <x:c r="O1109" s="1" t="str">
        <x:f>'Данные'!L1109</x:f>
        <x:v>Нет</x:v>
      </x:c>
    </x:row>
    <x:row r="1110">
      <x:c r="A1110" s="1" t="str">
        <x:f>'Данные'!A1110</x:f>
        <x:v>331519118</x:v>
      </x:c>
      <x:c r="B1110" s="1" t="str">
        <x:f>'Данные'!B1110</x:f>
        <x:v>reglanmanover4K-E2/бор-мол</x:v>
      </x:c>
      <x:c r="C1110" s="8" t="n">
        <x:f>'Данные'!G1110</x:f>
        <x:v>89263</x:v>
      </x:c>
      <x:c r="D1110" s="15" t="n">
        <x:f>C1110/SUM($C$5:$C$2477)</x:f>
        <x:v>0.00010427914579315352</x:v>
      </x:c>
      <x:c r="E1110" s="15" t="n">
        <x:f>SUM($D$5:D1110)</x:f>
        <x:v>0.9816298785277245</x:v>
      </x:c>
      <x:c r="F1110" s="1" t="str">
        <x:f>IF(C1110&lt;=0,"C",IF(E1110-D1110&lt;'Дашборд'!$C$49,"A",IF(E1110-D1110&lt;'Дашборд'!$C$50,"B","C")))</x:f>
        <x:v>C</x:v>
      </x:c>
      <x:c r="G1110" s="8" t="n">
        <x:f>'Данные'!F1110</x:f>
        <x:v>133</x:v>
      </x:c>
      <x:c r="H1110" s="8" t="n">
        <x:f>SUM('Данные'!H1110:I1110)</x:f>
        <x:v>58</x:v>
      </x:c>
      <x:c r="I1110" s="16" t="n">
        <x:f>IF(H1110&gt;0,G1110/H1110,"n.a.")</x:f>
        <x:v>2.293103448275862</x:v>
      </x:c>
      <x:c r="J1110" s="10" t="n">
        <x:f>IF('Данные'!E1110&gt;0,G1110/'Данные'!E1110,"n.a.")</x:f>
        <x:v>0.0069108859444011435</x:v>
      </x:c>
      <x:c r="K1110" s="1" t="str">
        <x:f>IF(G1110&gt;='Дашборд'!$C$51,"X","Z")</x:f>
        <x:v>Z</x:v>
      </x:c>
      <x:c r="L1110" s="1" t="str">
        <x:f>IF(H1110=0,IF(G1110&gt;0,"Нет остатка","Нет спроса"),IF(I1110&gt;='Дашборд'!$C$52,"Быстрый","Медленный"))</x:f>
        <x:v>Быстрый</x:v>
      </x:c>
      <x:c r="M1110" s="1" t="str">
        <x:f>IF('Данные'!E1110&lt;'Дашборд'!$C$53,"Мало трафика",IF(J1110&lt;'Дашборд'!$C$9*'Дашборд'!$C$54,"Да","Нет"))</x:f>
        <x:v>Да</x:v>
      </x:c>
      <x:c r="N1110" s="1" t="str">
        <x:f>IF(AND('Данные'!D1110&gt;='Дашборд'!$C$55,D1110&lt;'Дашборд'!$C$56,'Данные'!E1110&gt;='Дашборд'!$C$53,'Данные'!L1110&lt;&gt;"Да"),"Да","Нет")</x:f>
        <x:v>Нет</x:v>
      </x:c>
      <x:c r="O1110" s="1" t="str">
        <x:f>'Данные'!L1110</x:f>
        <x:v>Нет</x:v>
      </x:c>
    </x:row>
    <x:row r="1111">
      <x:c r="A1111" s="1" t="str">
        <x:f>'Данные'!A1111</x:f>
        <x:v>235988742</x:v>
      </x:c>
      <x:c r="B1111" s="1" t="str">
        <x:f>'Данные'!B1111</x:f>
        <x:v>brukipetl/песочный</x:v>
      </x:c>
      <x:c r="C1111" s="8" t="n">
        <x:f>'Данные'!G1111</x:f>
        <x:v>89197</x:v>
      </x:c>
      <x:c r="D1111" s="15" t="n">
        <x:f>C1111/SUM($C$5:$C$2477)</x:f>
        <x:v>0.0001042020430336412</x:v>
      </x:c>
      <x:c r="E1111" s="15" t="n">
        <x:f>SUM($D$5:D1111)</x:f>
        <x:v>0.9817340805707582</x:v>
      </x:c>
      <x:c r="F1111" s="1" t="str">
        <x:f>IF(C1111&lt;=0,"C",IF(E1111-D1111&lt;'Дашборд'!$C$49,"A",IF(E1111-D1111&lt;'Дашборд'!$C$50,"B","C")))</x:f>
        <x:v>C</x:v>
      </x:c>
      <x:c r="G1111" s="8" t="n">
        <x:f>'Данные'!F1111</x:f>
        <x:v>164</x:v>
      </x:c>
      <x:c r="H1111" s="8" t="n">
        <x:f>SUM('Данные'!H1111:I1111)</x:f>
        <x:v>115</x:v>
      </x:c>
      <x:c r="I1111" s="16" t="n">
        <x:f>IF(H1111&gt;0,G1111/H1111,"n.a.")</x:f>
        <x:v>1.4260869565217391</x:v>
      </x:c>
      <x:c r="J1111" s="10" t="n">
        <x:f>IF('Данные'!E1111&gt;0,G1111/'Данные'!E1111,"n.a.")</x:f>
        <x:v>0.01212748650447386</x:v>
      </x:c>
      <x:c r="K1111" s="1" t="str">
        <x:f>IF(G1111&gt;='Дашборд'!$C$51,"X","Z")</x:f>
        <x:v>Z</x:v>
      </x:c>
      <x:c r="L1111" s="1" t="str">
        <x:f>IF(H1111=0,IF(G1111&gt;0,"Нет остатка","Нет спроса"),IF(I1111&gt;='Дашборд'!$C$52,"Быстрый","Медленный"))</x:f>
        <x:v>Быстрый</x:v>
      </x:c>
      <x:c r="M1111" s="1" t="str">
        <x:f>IF('Данные'!E1111&lt;'Дашборд'!$C$53,"Мало трафика",IF(J1111&lt;'Дашборд'!$C$9*'Дашборд'!$C$54,"Да","Нет"))</x:f>
        <x:v>Нет</x:v>
      </x:c>
      <x:c r="N1111" s="1" t="str">
        <x:f>IF(AND('Данные'!D1111&gt;='Дашборд'!$C$55,D1111&lt;'Дашборд'!$C$56,'Данные'!E1111&gt;='Дашборд'!$C$53,'Данные'!L1111&lt;&gt;"Да"),"Да","Нет")</x:f>
        <x:v>Нет</x:v>
      </x:c>
      <x:c r="O1111" s="1" t="str">
        <x:f>'Данные'!L1111</x:f>
        <x:v>Нет</x:v>
      </x:c>
    </x:row>
    <x:row r="1112">
      <x:c r="A1112" s="1" t="str">
        <x:f>'Данные'!A1112</x:f>
        <x:v>331663317</x:v>
      </x:c>
      <x:c r="B1112" s="1" t="str">
        <x:f>'Данные'!B1112</x:f>
        <x:v>longcrop3К-84/молочный</x:v>
      </x:c>
      <x:c r="C1112" s="8" t="n">
        <x:f>'Данные'!G1112</x:f>
        <x:v>89177</x:v>
      </x:c>
      <x:c r="D1112" s="15" t="n">
        <x:f>C1112/SUM($C$5:$C$2477)</x:f>
        <x:v>0.00010417867856106171</x:v>
      </x:c>
      <x:c r="E1112" s="15" t="n">
        <x:f>SUM($D$5:D1112)</x:f>
        <x:v>0.9818382592493192</x:v>
      </x:c>
      <x:c r="F1112" s="1" t="str">
        <x:f>IF(C1112&lt;=0,"C",IF(E1112-D1112&lt;'Дашборд'!$C$49,"A",IF(E1112-D1112&lt;'Дашборд'!$C$50,"B","C")))</x:f>
        <x:v>C</x:v>
      </x:c>
      <x:c r="G1112" s="8" t="n">
        <x:f>'Данные'!F1112</x:f>
        <x:v>282</x:v>
      </x:c>
      <x:c r="H1112" s="8" t="n">
        <x:f>SUM('Данные'!H1112:I1112)</x:f>
        <x:v>1212</x:v>
      </x:c>
      <x:c r="I1112" s="16" t="n">
        <x:f>IF(H1112&gt;0,G1112/H1112,"n.a.")</x:f>
        <x:v>0.23267326732673269</x:v>
      </x:c>
      <x:c r="J1112" s="10" t="n">
        <x:f>IF('Данные'!E1112&gt;0,G1112/'Данные'!E1112,"n.a.")</x:f>
        <x:v>0.021772699197035207</x:v>
      </x:c>
      <x:c r="K1112" s="1" t="str">
        <x:f>IF(G1112&gt;='Дашборд'!$C$51,"X","Z")</x:f>
        <x:v>X</x:v>
      </x:c>
      <x:c r="L1112" s="1" t="str">
        <x:f>IF(H1112=0,IF(G1112&gt;0,"Нет остатка","Нет спроса"),IF(I1112&gt;='Дашборд'!$C$52,"Быстрый","Медленный"))</x:f>
        <x:v>Медленный</x:v>
      </x:c>
      <x:c r="M1112" s="1" t="str">
        <x:f>IF('Данные'!E1112&lt;'Дашборд'!$C$53,"Мало трафика",IF(J1112&lt;'Дашборд'!$C$9*'Дашборд'!$C$54,"Да","Нет"))</x:f>
        <x:v>Нет</x:v>
      </x:c>
      <x:c r="N1112" s="1" t="str">
        <x:f>IF(AND('Данные'!D1112&gt;='Дашборд'!$C$55,D1112&lt;'Дашборд'!$C$56,'Данные'!E1112&gt;='Дашборд'!$C$53,'Данные'!L1112&lt;&gt;"Да"),"Да","Нет")</x:f>
        <x:v>Нет</x:v>
      </x:c>
      <x:c r="O1112" s="1" t="str">
        <x:f>'Данные'!L1112</x:f>
        <x:v>Нет</x:v>
      </x:c>
    </x:row>
    <x:row r="1113">
      <x:c r="A1113" s="1" t="str">
        <x:f>'Данные'!A1113</x:f>
        <x:v>289095361</x:v>
      </x:c>
      <x:c r="B1113" s="1" t="str">
        <x:f>'Данные'!B1113</x:f>
        <x:v>palazzoshnurok/графит</x:v>
      </x:c>
      <x:c r="C1113" s="8" t="n">
        <x:f>'Данные'!G1113</x:f>
        <x:v>88931</x:v>
      </x:c>
      <x:c r="D1113" s="15" t="n">
        <x:f>C1113/SUM($C$5:$C$2477)</x:f>
        <x:v>0.00010389129554833397</x:v>
      </x:c>
      <x:c r="E1113" s="15" t="n">
        <x:f>SUM($D$5:D1113)</x:f>
        <x:v>0.9819421505448676</x:v>
      </x:c>
      <x:c r="F1113" s="1" t="str">
        <x:f>IF(C1113&lt;=0,"C",IF(E1113-D1113&lt;'Дашборд'!$C$49,"A",IF(E1113-D1113&lt;'Дашборд'!$C$50,"B","C")))</x:f>
        <x:v>C</x:v>
      </x:c>
      <x:c r="G1113" s="8" t="n">
        <x:f>'Данные'!F1113</x:f>
        <x:v>175</x:v>
      </x:c>
      <x:c r="H1113" s="8" t="n">
        <x:f>SUM('Данные'!H1113:I1113)</x:f>
        <x:v>246</x:v>
      </x:c>
      <x:c r="I1113" s="16" t="n">
        <x:f>IF(H1113&gt;0,G1113/H1113,"n.a.")</x:f>
        <x:v>0.7113821138211383</x:v>
      </x:c>
      <x:c r="J1113" s="10" t="n">
        <x:f>IF('Данные'!E1113&gt;0,G1113/'Данные'!E1113,"n.a.")</x:f>
        <x:v>0.009181532004197272</x:v>
      </x:c>
      <x:c r="K1113" s="1" t="str">
        <x:f>IF(G1113&gt;='Дашборд'!$C$51,"X","Z")</x:f>
        <x:v>Z</x:v>
      </x:c>
      <x:c r="L1113" s="1" t="str">
        <x:f>IF(H1113=0,IF(G1113&gt;0,"Нет остатка","Нет спроса"),IF(I1113&gt;='Дашборд'!$C$52,"Быстрый","Медленный"))</x:f>
        <x:v>Медленный</x:v>
      </x:c>
      <x:c r="M1113" s="1" t="str">
        <x:f>IF('Данные'!E1113&lt;'Дашборд'!$C$53,"Мало трафика",IF(J1113&lt;'Дашборд'!$C$9*'Дашборд'!$C$54,"Да","Нет"))</x:f>
        <x:v>Да</x:v>
      </x:c>
      <x:c r="N1113" s="1" t="str">
        <x:f>IF(AND('Данные'!D1113&gt;='Дашборд'!$C$55,D1113&lt;'Дашборд'!$C$56,'Данные'!E1113&gt;='Дашборд'!$C$53,'Данные'!L1113&lt;&gt;"Да"),"Да","Нет")</x:f>
        <x:v>Нет</x:v>
      </x:c>
      <x:c r="O1113" s="1" t="str">
        <x:f>'Данные'!L1113</x:f>
        <x:v>Нет</x:v>
      </x:c>
    </x:row>
    <x:row r="1114">
      <x:c r="A1114" s="1" t="str">
        <x:f>'Данные'!A1114</x:f>
        <x:v>348183440</x:v>
      </x:c>
      <x:c r="B1114" s="1" t="str">
        <x:f>'Данные'!B1114</x:f>
        <x:v>shtanyfix/графит</x:v>
      </x:c>
      <x:c r="C1114" s="8" t="n">
        <x:f>'Данные'!G1114</x:f>
        <x:v>88801</x:v>
      </x:c>
      <x:c r="D1114" s="15" t="n">
        <x:f>C1114/SUM($C$5:$C$2477)</x:f>
        <x:v>0.0001037394264765673</x:v>
      </x:c>
      <x:c r="E1114" s="15" t="n">
        <x:f>SUM($D$5:D1114)</x:f>
        <x:v>0.9820458899713441</x:v>
      </x:c>
      <x:c r="F1114" s="1" t="str">
        <x:f>IF(C1114&lt;=0,"C",IF(E1114-D1114&lt;'Дашборд'!$C$49,"A",IF(E1114-D1114&lt;'Дашборд'!$C$50,"B","C")))</x:f>
        <x:v>C</x:v>
      </x:c>
      <x:c r="G1114" s="8" t="n">
        <x:f>'Данные'!F1114</x:f>
        <x:v>169</x:v>
      </x:c>
      <x:c r="H1114" s="8" t="n">
        <x:f>SUM('Данные'!H1114:I1114)</x:f>
        <x:v>6</x:v>
      </x:c>
      <x:c r="I1114" s="16" t="n">
        <x:f>IF(H1114&gt;0,G1114/H1114,"n.a.")</x:f>
        <x:v>28.166666666666668</x:v>
      </x:c>
      <x:c r="J1114" s="10" t="n">
        <x:f>IF('Данные'!E1114&gt;0,G1114/'Данные'!E1114,"n.a.")</x:f>
        <x:v>0.007690907436060799</x:v>
      </x:c>
      <x:c r="K1114" s="1" t="str">
        <x:f>IF(G1114&gt;='Дашборд'!$C$51,"X","Z")</x:f>
        <x:v>Z</x:v>
      </x:c>
      <x:c r="L1114" s="1" t="str">
        <x:f>IF(H1114=0,IF(G1114&gt;0,"Нет остатка","Нет спроса"),IF(I1114&gt;='Дашборд'!$C$52,"Быстрый","Медленный"))</x:f>
        <x:v>Быстрый</x:v>
      </x:c>
      <x:c r="M1114" s="1" t="str">
        <x:f>IF('Данные'!E1114&lt;'Дашборд'!$C$53,"Мало трафика",IF(J1114&lt;'Дашборд'!$C$9*'Дашборд'!$C$54,"Да","Нет"))</x:f>
        <x:v>Да</x:v>
      </x:c>
      <x:c r="N1114" s="1" t="str">
        <x:f>IF(AND('Данные'!D1114&gt;='Дашборд'!$C$55,D1114&lt;'Дашборд'!$C$56,'Данные'!E1114&gt;='Дашборд'!$C$53,'Данные'!L1114&lt;&gt;"Да"),"Да","Нет")</x:f>
        <x:v>Нет</x:v>
      </x:c>
      <x:c r="O1114" s="1" t="str">
        <x:f>'Данные'!L1114</x:f>
        <x:v>Нет</x:v>
      </x:c>
    </x:row>
    <x:row r="1115">
      <x:c r="A1115" s="1" t="str">
        <x:f>'Данные'!A1115</x:f>
        <x:v>335327230</x:v>
      </x:c>
      <x:c r="B1115" s="1" t="str">
        <x:f>'Данные'!B1115</x:f>
        <x:v>futbolkagirl/пыльнаямята</x:v>
      </x:c>
      <x:c r="C1115" s="8" t="n">
        <x:f>'Данные'!G1115</x:f>
        <x:v>88752</x:v>
      </x:c>
      <x:c r="D1115" s="15" t="n">
        <x:f>C1115/SUM($C$5:$C$2477)</x:f>
        <x:v>0.00010368218351874754</x:v>
      </x:c>
      <x:c r="E1115" s="15" t="n">
        <x:f>SUM($D$5:D1115)</x:f>
        <x:v>0.9821495721548629</x:v>
      </x:c>
      <x:c r="F1115" s="1" t="str">
        <x:f>IF(C1115&lt;=0,"C",IF(E1115-D1115&lt;'Дашборд'!$C$49,"A",IF(E1115-D1115&lt;'Дашборд'!$C$50,"B","C")))</x:f>
        <x:v>C</x:v>
      </x:c>
      <x:c r="G1115" s="8" t="n">
        <x:f>'Данные'!F1115</x:f>
        <x:v>253</x:v>
      </x:c>
      <x:c r="H1115" s="8" t="n">
        <x:f>SUM('Данные'!H1115:I1115)</x:f>
        <x:v>416</x:v>
      </x:c>
      <x:c r="I1115" s="16" t="n">
        <x:f>IF(H1115&gt;0,G1115/H1115,"n.a.")</x:f>
        <x:v>0.6081730769230769</x:v>
      </x:c>
      <x:c r="J1115" s="10" t="n">
        <x:f>IF('Данные'!E1115&gt;0,G1115/'Данные'!E1115,"n.a.")</x:f>
        <x:v>0.009874712150189298</x:v>
      </x:c>
      <x:c r="K1115" s="1" t="str">
        <x:f>IF(G1115&gt;='Дашборд'!$C$51,"X","Z")</x:f>
        <x:v>Z</x:v>
      </x:c>
      <x:c r="L1115" s="1" t="str">
        <x:f>IF(H1115=0,IF(G1115&gt;0,"Нет остатка","Нет спроса"),IF(I1115&gt;='Дашборд'!$C$52,"Быстрый","Медленный"))</x:f>
        <x:v>Медленный</x:v>
      </x:c>
      <x:c r="M1115" s="1" t="str">
        <x:f>IF('Данные'!E1115&lt;'Дашборд'!$C$53,"Мало трафика",IF(J1115&lt;'Дашборд'!$C$9*'Дашборд'!$C$54,"Да","Нет"))</x:f>
        <x:v>Да</x:v>
      </x:c>
      <x:c r="N1115" s="1" t="str">
        <x:f>IF(AND('Данные'!D1115&gt;='Дашборд'!$C$55,D1115&lt;'Дашборд'!$C$56,'Данные'!E1115&gt;='Дашборд'!$C$53,'Данные'!L1115&lt;&gt;"Да"),"Да","Нет")</x:f>
        <x:v>Да</x:v>
      </x:c>
      <x:c r="O1115" s="1" t="str">
        <x:f>'Данные'!L1115</x:f>
        <x:v>Нет</x:v>
      </x:c>
    </x:row>
    <x:row r="1116">
      <x:c r="A1116" s="1" t="str">
        <x:f>'Данные'!A1116</x:f>
        <x:v>156186501</x:v>
      </x:c>
      <x:c r="B1116" s="1" t="str">
        <x:f>'Данные'!B1116</x:f>
        <x:v>svitshotover/серый</x:v>
      </x:c>
      <x:c r="C1116" s="8" t="n">
        <x:f>'Данные'!G1116</x:f>
        <x:v>88607</x:v>
      </x:c>
      <x:c r="D1116" s="15" t="n">
        <x:f>C1116/SUM($C$5:$C$2477)</x:f>
        <x:v>0.00010351279109254623</x:v>
      </x:c>
      <x:c r="E1116" s="15" t="n">
        <x:f>SUM($D$5:D1116)</x:f>
        <x:v>0.9822530849459554</x:v>
      </x:c>
      <x:c r="F1116" s="1" t="str">
        <x:f>IF(C1116&lt;=0,"C",IF(E1116-D1116&lt;'Дашборд'!$C$49,"A",IF(E1116-D1116&lt;'Дашборд'!$C$50,"B","C")))</x:f>
        <x:v>C</x:v>
      </x:c>
      <x:c r="G1116" s="8" t="n">
        <x:f>'Данные'!F1116</x:f>
        <x:v>180</x:v>
      </x:c>
      <x:c r="H1116" s="8" t="n">
        <x:f>SUM('Данные'!H1116:I1116)</x:f>
        <x:v>2581</x:v>
      </x:c>
      <x:c r="I1116" s="16" t="n">
        <x:f>IF(H1116&gt;0,G1116/H1116,"n.a.")</x:f>
        <x:v>0.06974041069352964</x:v>
      </x:c>
      <x:c r="J1116" s="10" t="n">
        <x:f>IF('Данные'!E1116&gt;0,G1116/'Данные'!E1116,"n.a.")</x:f>
        <x:v>0.008319852091518374</x:v>
      </x:c>
      <x:c r="K1116" s="1" t="str">
        <x:f>IF(G1116&gt;='Дашборд'!$C$51,"X","Z")</x:f>
        <x:v>Z</x:v>
      </x:c>
      <x:c r="L1116" s="1" t="str">
        <x:f>IF(H1116=0,IF(G1116&gt;0,"Нет остатка","Нет спроса"),IF(I1116&gt;='Дашборд'!$C$52,"Быстрый","Медленный"))</x:f>
        <x:v>Медленный</x:v>
      </x:c>
      <x:c r="M1116" s="1" t="str">
        <x:f>IF('Данные'!E1116&lt;'Дашборд'!$C$53,"Мало трафика",IF(J1116&lt;'Дашборд'!$C$9*'Дашборд'!$C$54,"Да","Нет"))</x:f>
        <x:v>Да</x:v>
      </x:c>
      <x:c r="N1116" s="1" t="str">
        <x:f>IF(AND('Данные'!D1116&gt;='Дашборд'!$C$55,D1116&lt;'Дашборд'!$C$56,'Данные'!E1116&gt;='Дашборд'!$C$53,'Данные'!L1116&lt;&gt;"Да"),"Да","Нет")</x:f>
        <x:v>Да</x:v>
      </x:c>
      <x:c r="O1116" s="1" t="str">
        <x:f>'Данные'!L1116</x:f>
        <x:v>Нет</x:v>
      </x:c>
    </x:row>
    <x:row r="1117">
      <x:c r="A1117" s="1" t="str">
        <x:f>'Данные'!A1117</x:f>
        <x:v>234271412</x:v>
      </x:c>
      <x:c r="B1117" s="1" t="str">
        <x:f>'Данные'!B1117</x:f>
        <x:v>svitshotmanpetl/черный</x:v>
      </x:c>
      <x:c r="C1117" s="8" t="n">
        <x:f>'Данные'!G1117</x:f>
        <x:v>88206</x:v>
      </x:c>
      <x:c r="D1117" s="15" t="n">
        <x:f>C1117/SUM($C$5:$C$2477)</x:f>
        <x:v>0.00010304433341732745</x:v>
      </x:c>
      <x:c r="E1117" s="15" t="n">
        <x:f>SUM($D$5:D1117)</x:f>
        <x:v>0.9823561292793728</x:v>
      </x:c>
      <x:c r="F1117" s="1" t="str">
        <x:f>IF(C1117&lt;=0,"C",IF(E1117-D1117&lt;'Дашборд'!$C$49,"A",IF(E1117-D1117&lt;'Дашборд'!$C$50,"B","C")))</x:f>
        <x:v>C</x:v>
      </x:c>
      <x:c r="G1117" s="8" t="n">
        <x:f>'Данные'!F1117</x:f>
        <x:v>115</x:v>
      </x:c>
      <x:c r="H1117" s="8" t="n">
        <x:f>SUM('Данные'!H1117:I1117)</x:f>
        <x:v>1</x:v>
      </x:c>
      <x:c r="I1117" s="16" t="n">
        <x:f>IF(H1117&gt;0,G1117/H1117,"n.a.")</x:f>
        <x:v>115</x:v>
      </x:c>
      <x:c r="J1117" s="10" t="n">
        <x:f>IF('Данные'!E1117&gt;0,G1117/'Данные'!E1117,"n.a.")</x:f>
        <x:v>0.010015676711374325</x:v>
      </x:c>
      <x:c r="K1117" s="1" t="str">
        <x:f>IF(G1117&gt;='Дашборд'!$C$51,"X","Z")</x:f>
        <x:v>Z</x:v>
      </x:c>
      <x:c r="L1117" s="1" t="str">
        <x:f>IF(H1117=0,IF(G1117&gt;0,"Нет остатка","Нет спроса"),IF(I1117&gt;='Дашборд'!$C$52,"Быстрый","Медленный"))</x:f>
        <x:v>Быстрый</x:v>
      </x:c>
      <x:c r="M1117" s="1" t="str">
        <x:f>IF('Данные'!E1117&lt;'Дашборд'!$C$53,"Мало трафика",IF(J1117&lt;'Дашборд'!$C$9*'Дашборд'!$C$54,"Да","Нет"))</x:f>
        <x:v>Да</x:v>
      </x:c>
      <x:c r="N1117" s="1" t="str">
        <x:f>IF(AND('Данные'!D1117&gt;='Дашборд'!$C$55,D1117&lt;'Дашборд'!$C$56,'Данные'!E1117&gt;='Дашборд'!$C$53,'Данные'!L1117&lt;&gt;"Да"),"Да","Нет")</x:f>
        <x:v>Нет</x:v>
      </x:c>
      <x:c r="O1117" s="1" t="str">
        <x:f>'Данные'!L1117</x:f>
        <x:v>Нет</x:v>
      </x:c>
    </x:row>
    <x:row r="1118">
      <x:c r="A1118" s="1" t="str">
        <x:f>'Данные'!A1118</x:f>
        <x:v>240808488</x:v>
      </x:c>
      <x:c r="B1118" s="1" t="str">
        <x:f>'Данные'!B1118</x:f>
        <x:v>hudigirl/молочный</x:v>
      </x:c>
      <x:c r="C1118" s="8" t="n">
        <x:f>'Данные'!G1118</x:f>
        <x:v>88069</x:v>
      </x:c>
      <x:c r="D1118" s="15" t="n">
        <x:f>C1118/SUM($C$5:$C$2477)</x:f>
        <x:v>0.00010288428678015793</x:v>
      </x:c>
      <x:c r="E1118" s="15" t="n">
        <x:f>SUM($D$5:D1118)</x:f>
        <x:v>0.982459013566153</x:v>
      </x:c>
      <x:c r="F1118" s="1" t="str">
        <x:f>IF(C1118&lt;=0,"C",IF(E1118-D1118&lt;'Дашборд'!$C$49,"A",IF(E1118-D1118&lt;'Дашборд'!$C$50,"B","C")))</x:f>
        <x:v>C</x:v>
      </x:c>
      <x:c r="G1118" s="8" t="n">
        <x:f>'Данные'!F1118</x:f>
        <x:v>116</x:v>
      </x:c>
      <x:c r="H1118" s="8" t="n">
        <x:f>SUM('Данные'!H1118:I1118)</x:f>
        <x:v>269</x:v>
      </x:c>
      <x:c r="I1118" s="16" t="n">
        <x:f>IF(H1118&gt;0,G1118/H1118,"n.a.")</x:f>
        <x:v>0.4312267657992565</x:v>
      </x:c>
      <x:c r="J1118" s="10" t="n">
        <x:f>IF('Данные'!E1118&gt;0,G1118/'Данные'!E1118,"n.a.")</x:f>
        <x:v>0.007979089283257669</x:v>
      </x:c>
      <x:c r="K1118" s="1" t="str">
        <x:f>IF(G1118&gt;='Дашборд'!$C$51,"X","Z")</x:f>
        <x:v>Z</x:v>
      </x:c>
      <x:c r="L1118" s="1" t="str">
        <x:f>IF(H1118=0,IF(G1118&gt;0,"Нет остатка","Нет спроса"),IF(I1118&gt;='Дашборд'!$C$52,"Быстрый","Медленный"))</x:f>
        <x:v>Медленный</x:v>
      </x:c>
      <x:c r="M1118" s="1" t="str">
        <x:f>IF('Данные'!E1118&lt;'Дашборд'!$C$53,"Мало трафика",IF(J1118&lt;'Дашборд'!$C$9*'Дашборд'!$C$54,"Да","Нет"))</x:f>
        <x:v>Да</x:v>
      </x:c>
      <x:c r="N1118" s="1" t="str">
        <x:f>IF(AND('Данные'!D1118&gt;='Дашборд'!$C$55,D1118&lt;'Дашборд'!$C$56,'Данные'!E1118&gt;='Дашборд'!$C$53,'Данные'!L1118&lt;&gt;"Да"),"Да","Нет")</x:f>
        <x:v>Нет</x:v>
      </x:c>
      <x:c r="O1118" s="1" t="str">
        <x:f>'Данные'!L1118</x:f>
        <x:v>Нет</x:v>
      </x:c>
    </x:row>
    <x:row r="1119">
      <x:c r="A1119" s="1" t="str">
        <x:f>'Данные'!A1119</x:f>
        <x:v>176176582</x:v>
      </x:c>
      <x:c r="B1119" s="1" t="str">
        <x:f>'Данные'!B1119</x:f>
        <x:v>brukiman/хаки</x:v>
      </x:c>
      <x:c r="C1119" s="8" t="n">
        <x:f>'Данные'!G1119</x:f>
        <x:v>87718</x:v>
      </x:c>
      <x:c r="D1119" s="15" t="n">
        <x:f>C1119/SUM($C$5:$C$2477)</x:f>
        <x:v>0.00010247424028638787</x:v>
      </x:c>
      <x:c r="E1119" s="15" t="n">
        <x:f>SUM($D$5:D1119)</x:f>
        <x:v>0.9825614878064394</x:v>
      </x:c>
      <x:c r="F1119" s="1" t="str">
        <x:f>IF(C1119&lt;=0,"C",IF(E1119-D1119&lt;'Дашборд'!$C$49,"A",IF(E1119-D1119&lt;'Дашборд'!$C$50,"B","C")))</x:f>
        <x:v>C</x:v>
      </x:c>
      <x:c r="G1119" s="8" t="n">
        <x:f>'Данные'!F1119</x:f>
        <x:v>101</x:v>
      </x:c>
      <x:c r="H1119" s="8" t="n">
        <x:f>SUM('Данные'!H1119:I1119)</x:f>
        <x:v>550</x:v>
      </x:c>
      <x:c r="I1119" s="16" t="n">
        <x:f>IF(H1119&gt;0,G1119/H1119,"n.a.")</x:f>
        <x:v>0.18363636363636363</x:v>
      </x:c>
      <x:c r="J1119" s="10" t="n">
        <x:f>IF('Данные'!E1119&gt;0,G1119/'Данные'!E1119,"n.a.")</x:f>
        <x:v>0.02039991920824076</x:v>
      </x:c>
      <x:c r="K1119" s="1" t="str">
        <x:f>IF(G1119&gt;='Дашборд'!$C$51,"X","Z")</x:f>
        <x:v>Z</x:v>
      </x:c>
      <x:c r="L1119" s="1" t="str">
        <x:f>IF(H1119=0,IF(G1119&gt;0,"Нет остатка","Нет спроса"),IF(I1119&gt;='Дашборд'!$C$52,"Быстрый","Медленный"))</x:f>
        <x:v>Медленный</x:v>
      </x:c>
      <x:c r="M1119" s="1" t="str">
        <x:f>IF('Данные'!E1119&lt;'Дашборд'!$C$53,"Мало трафика",IF(J1119&lt;'Дашборд'!$C$9*'Дашборд'!$C$54,"Да","Нет"))</x:f>
        <x:v>Нет</x:v>
      </x:c>
      <x:c r="N1119" s="1" t="str">
        <x:f>IF(AND('Данные'!D1119&gt;='Дашборд'!$C$55,D1119&lt;'Дашборд'!$C$56,'Данные'!E1119&gt;='Дашборд'!$C$53,'Данные'!L1119&lt;&gt;"Да"),"Да","Нет")</x:f>
        <x:v>Нет</x:v>
      </x:c>
      <x:c r="O1119" s="1" t="str">
        <x:f>'Данные'!L1119</x:f>
        <x:v>Нет</x:v>
      </x:c>
    </x:row>
    <x:row r="1120">
      <x:c r="A1120" s="1" t="str">
        <x:f>'Данные'!A1120</x:f>
        <x:v>33775540</x:v>
      </x:c>
      <x:c r="B1120" s="1" t="str">
        <x:f>'Данные'!B1120</x:f>
        <x:v>longsliv/шалфей</x:v>
      </x:c>
      <x:c r="C1120" s="8" t="n">
        <x:f>'Данные'!G1120</x:f>
        <x:v>87354</x:v>
      </x:c>
      <x:c r="D1120" s="15" t="n">
        <x:f>C1120/SUM($C$5:$C$2477)</x:f>
        <x:v>0.00010204900688544115</x:v>
      </x:c>
      <x:c r="E1120" s="15" t="n">
        <x:f>SUM($D$5:D1120)</x:f>
        <x:v>0.9826635368133249</x:v>
      </x:c>
      <x:c r="F1120" s="1" t="str">
        <x:f>IF(C1120&lt;=0,"C",IF(E1120-D1120&lt;'Дашборд'!$C$49,"A",IF(E1120-D1120&lt;'Дашборд'!$C$50,"B","C")))</x:f>
        <x:v>C</x:v>
      </x:c>
      <x:c r="G1120" s="8" t="n">
        <x:f>'Данные'!F1120</x:f>
        <x:v>322</x:v>
      </x:c>
      <x:c r="H1120" s="8" t="n">
        <x:f>SUM('Данные'!H1120:I1120)</x:f>
        <x:v>462</x:v>
      </x:c>
      <x:c r="I1120" s="16" t="n">
        <x:f>IF(H1120&gt;0,G1120/H1120,"n.a.")</x:f>
        <x:v>0.696969696969697</x:v>
      </x:c>
      <x:c r="J1120" s="10" t="n">
        <x:f>IF('Данные'!E1120&gt;0,G1120/'Данные'!E1120,"n.a.")</x:f>
        <x:v>0.02434782608695652</x:v>
      </x:c>
      <x:c r="K1120" s="1" t="str">
        <x:f>IF(G1120&gt;='Дашборд'!$C$51,"X","Z")</x:f>
        <x:v>X</x:v>
      </x:c>
      <x:c r="L1120" s="1" t="str">
        <x:f>IF(H1120=0,IF(G1120&gt;0,"Нет остатка","Нет спроса"),IF(I1120&gt;='Дашборд'!$C$52,"Быстрый","Медленный"))</x:f>
        <x:v>Медленный</x:v>
      </x:c>
      <x:c r="M1120" s="1" t="str">
        <x:f>IF('Данные'!E1120&lt;'Дашборд'!$C$53,"Мало трафика",IF(J1120&lt;'Дашборд'!$C$9*'Дашборд'!$C$54,"Да","Нет"))</x:f>
        <x:v>Нет</x:v>
      </x:c>
      <x:c r="N1120" s="1" t="str">
        <x:f>IF(AND('Данные'!D1120&gt;='Дашборд'!$C$55,D1120&lt;'Дашборд'!$C$56,'Данные'!E1120&gt;='Дашборд'!$C$53,'Данные'!L1120&lt;&gt;"Да"),"Да","Нет")</x:f>
        <x:v>Да</x:v>
      </x:c>
      <x:c r="O1120" s="1" t="str">
        <x:f>'Данные'!L1120</x:f>
        <x:v>Нет</x:v>
      </x:c>
    </x:row>
    <x:row r="1121">
      <x:c r="A1121" s="1" t="str">
        <x:f>'Данные'!A1121</x:f>
        <x:v>202954973</x:v>
      </x:c>
      <x:c r="B1121" s="1" t="str">
        <x:f>'Данные'!B1121</x:f>
        <x:v>hudiprint/ZelMoreSelf-63/молочный</x:v>
      </x:c>
      <x:c r="C1121" s="8" t="n">
        <x:f>'Данные'!G1121</x:f>
        <x:v>86906</x:v>
      </x:c>
      <x:c r="D1121" s="15" t="n">
        <x:f>C1121/SUM($C$5:$C$2477)</x:f>
        <x:v>0.00010152564269966056</x:v>
      </x:c>
      <x:c r="E1121" s="15" t="n">
        <x:f>SUM($D$5:D1121)</x:f>
        <x:v>0.9827650624560245</x:v>
      </x:c>
      <x:c r="F1121" s="1" t="str">
        <x:f>IF(C1121&lt;=0,"C",IF(E1121-D1121&lt;'Дашборд'!$C$49,"A",IF(E1121-D1121&lt;'Дашборд'!$C$50,"B","C")))</x:f>
        <x:v>C</x:v>
      </x:c>
      <x:c r="G1121" s="8" t="n">
        <x:f>'Данные'!F1121</x:f>
        <x:v>90</x:v>
      </x:c>
      <x:c r="H1121" s="8" t="n">
        <x:f>SUM('Данные'!H1121:I1121)</x:f>
        <x:v>15</x:v>
      </x:c>
      <x:c r="I1121" s="16" t="n">
        <x:f>IF(H1121&gt;0,G1121/H1121,"n.a.")</x:f>
        <x:v>6</x:v>
      </x:c>
      <x:c r="J1121" s="10" t="n">
        <x:f>IF('Данные'!E1121&gt;0,G1121/'Данные'!E1121,"n.a.")</x:f>
        <x:v>0.008298755186721992</x:v>
      </x:c>
      <x:c r="K1121" s="1" t="str">
        <x:f>IF(G1121&gt;='Дашборд'!$C$51,"X","Z")</x:f>
        <x:v>Z</x:v>
      </x:c>
      <x:c r="L1121" s="1" t="str">
        <x:f>IF(H1121=0,IF(G1121&gt;0,"Нет остатка","Нет спроса"),IF(I1121&gt;='Дашборд'!$C$52,"Быстрый","Медленный"))</x:f>
        <x:v>Быстрый</x:v>
      </x:c>
      <x:c r="M1121" s="1" t="str">
        <x:f>IF('Данные'!E1121&lt;'Дашборд'!$C$53,"Мало трафика",IF(J1121&lt;'Дашборд'!$C$9*'Дашборд'!$C$54,"Да","Нет"))</x:f>
        <x:v>Да</x:v>
      </x:c>
      <x:c r="N1121" s="1" t="str">
        <x:f>IF(AND('Данные'!D1121&gt;='Дашборд'!$C$55,D1121&lt;'Дашборд'!$C$56,'Данные'!E1121&gt;='Дашборд'!$C$53,'Данные'!L1121&lt;&gt;"Да"),"Да","Нет")</x:f>
        <x:v>Нет</x:v>
      </x:c>
      <x:c r="O1121" s="1" t="str">
        <x:f>'Данные'!L1121</x:f>
        <x:v>Нет</x:v>
      </x:c>
    </x:row>
    <x:row r="1122">
      <x:c r="A1122" s="1" t="str">
        <x:f>'Данные'!A1122</x:f>
        <x:v>333121378</x:v>
      </x:c>
      <x:c r="B1122" s="1" t="str">
        <x:f>'Данные'!B1122</x:f>
        <x:v>topmayka/каштановый</x:v>
      </x:c>
      <x:c r="C1122" s="8" t="n">
        <x:f>'Данные'!G1122</x:f>
        <x:v>86868</x:v>
      </x:c>
      <x:c r="D1122" s="15" t="n">
        <x:f>C1122/SUM($C$5:$C$2477)</x:f>
        <x:v>0.00010148125020175952</x:v>
      </x:c>
      <x:c r="E1122" s="15" t="n">
        <x:f>SUM($D$5:D1122)</x:f>
        <x:v>0.9828665437062262</x:v>
      </x:c>
      <x:c r="F1122" s="1" t="str">
        <x:f>IF(C1122&lt;=0,"C",IF(E1122-D1122&lt;'Дашборд'!$C$49,"A",IF(E1122-D1122&lt;'Дашборд'!$C$50,"B","C")))</x:f>
        <x:v>C</x:v>
      </x:c>
      <x:c r="G1122" s="8" t="n">
        <x:f>'Данные'!F1122</x:f>
        <x:v>257</x:v>
      </x:c>
      <x:c r="H1122" s="8" t="n">
        <x:f>SUM('Данные'!H1122:I1122)</x:f>
        <x:v>763</x:v>
      </x:c>
      <x:c r="I1122" s="16" t="n">
        <x:f>IF(H1122&gt;0,G1122/H1122,"n.a.")</x:f>
        <x:v>0.33682830930537355</x:v>
      </x:c>
      <x:c r="J1122" s="10" t="n">
        <x:f>IF('Данные'!E1122&gt;0,G1122/'Данные'!E1122,"n.a.")</x:f>
        <x:v>0.012357551569937971</x:v>
      </x:c>
      <x:c r="K1122" s="1" t="str">
        <x:f>IF(G1122&gt;='Дашборд'!$C$51,"X","Z")</x:f>
        <x:v>Z</x:v>
      </x:c>
      <x:c r="L1122" s="1" t="str">
        <x:f>IF(H1122=0,IF(G1122&gt;0,"Нет остатка","Нет спроса"),IF(I1122&gt;='Дашборд'!$C$52,"Быстрый","Медленный"))</x:f>
        <x:v>Медленный</x:v>
      </x:c>
      <x:c r="M1122" s="1" t="str">
        <x:f>IF('Данные'!E1122&lt;'Дашборд'!$C$53,"Мало трафика",IF(J1122&lt;'Дашборд'!$C$9*'Дашборд'!$C$54,"Да","Нет"))</x:f>
        <x:v>Нет</x:v>
      </x:c>
      <x:c r="N1122" s="1" t="str">
        <x:f>IF(AND('Данные'!D1122&gt;='Дашборд'!$C$55,D1122&lt;'Дашборд'!$C$56,'Данные'!E1122&gt;='Дашборд'!$C$53,'Данные'!L1122&lt;&gt;"Да"),"Да","Нет")</x:f>
        <x:v>Да</x:v>
      </x:c>
      <x:c r="O1122" s="1" t="str">
        <x:f>'Данные'!L1122</x:f>
        <x:v>Нет</x:v>
      </x:c>
    </x:row>
    <x:row r="1123">
      <x:c r="A1123" s="1" t="str">
        <x:f>'Данные'!A1123</x:f>
        <x:v>51575466</x:v>
      </x:c>
      <x:c r="B1123" s="1" t="str">
        <x:f>'Данные'!B1123</x:f>
        <x:v>brukiman/бордовый</x:v>
      </x:c>
      <x:c r="C1123" s="8" t="n">
        <x:f>'Данные'!G1123</x:f>
        <x:v>86259</x:v>
      </x:c>
      <x:c r="D1123" s="15" t="n">
        <x:f>C1123/SUM($C$5:$C$2477)</x:f>
        <x:v>0.00010076980201171404</x:v>
      </x:c>
      <x:c r="E1123" s="15" t="n">
        <x:f>SUM($D$5:D1123)</x:f>
        <x:v>0.9829673135082378</x:v>
      </x:c>
      <x:c r="F1123" s="1" t="str">
        <x:f>IF(C1123&lt;=0,"C",IF(E1123-D1123&lt;'Дашборд'!$C$49,"A",IF(E1123-D1123&lt;'Дашборд'!$C$50,"B","C")))</x:f>
        <x:v>C</x:v>
      </x:c>
      <x:c r="G1123" s="8" t="n">
        <x:f>'Данные'!F1123</x:f>
        <x:v>147</x:v>
      </x:c>
      <x:c r="H1123" s="8" t="n">
        <x:f>SUM('Данные'!H1123:I1123)</x:f>
        <x:v>793</x:v>
      </x:c>
      <x:c r="I1123" s="16" t="n">
        <x:f>IF(H1123&gt;0,G1123/H1123,"n.a.")</x:f>
        <x:v>0.1853720050441362</x:v>
      </x:c>
      <x:c r="J1123" s="10" t="n">
        <x:f>IF('Данные'!E1123&gt;0,G1123/'Данные'!E1123,"n.a.")</x:f>
        <x:v>0.022279478629887845</x:v>
      </x:c>
      <x:c r="K1123" s="1" t="str">
        <x:f>IF(G1123&gt;='Дашборд'!$C$51,"X","Z")</x:f>
        <x:v>Z</x:v>
      </x:c>
      <x:c r="L1123" s="1" t="str">
        <x:f>IF(H1123=0,IF(G1123&gt;0,"Нет остатка","Нет спроса"),IF(I1123&gt;='Дашборд'!$C$52,"Быстрый","Медленный"))</x:f>
        <x:v>Медленный</x:v>
      </x:c>
      <x:c r="M1123" s="1" t="str">
        <x:f>IF('Данные'!E1123&lt;'Дашборд'!$C$53,"Мало трафика",IF(J1123&lt;'Дашборд'!$C$9*'Дашборд'!$C$54,"Да","Нет"))</x:f>
        <x:v>Нет</x:v>
      </x:c>
      <x:c r="N1123" s="1" t="str">
        <x:f>IF(AND('Данные'!D1123&gt;='Дашборд'!$C$55,D1123&lt;'Дашборд'!$C$56,'Данные'!E1123&gt;='Дашборд'!$C$53,'Данные'!L1123&lt;&gt;"Да"),"Да","Нет")</x:f>
        <x:v>Нет</x:v>
      </x:c>
      <x:c r="O1123" s="1" t="str">
        <x:f>'Данные'!L1123</x:f>
        <x:v>Нет</x:v>
      </x:c>
    </x:row>
    <x:row r="1124">
      <x:c r="A1124" s="1" t="str">
        <x:f>'Данные'!A1124</x:f>
        <x:v>209914976</x:v>
      </x:c>
      <x:c r="B1124" s="1" t="str">
        <x:f>'Данные'!B1124</x:f>
        <x:v>longsvobod/фуксия</x:v>
      </x:c>
      <x:c r="C1124" s="8" t="n">
        <x:f>'Данные'!G1124</x:f>
        <x:v>86138</x:v>
      </x:c>
      <x:c r="D1124" s="15" t="n">
        <x:f>C1124/SUM($C$5:$C$2477)</x:f>
        <x:v>0.00010062844695260812</x:v>
      </x:c>
      <x:c r="E1124" s="15" t="n">
        <x:f>SUM($D$5:D1124)</x:f>
        <x:v>0.9830679419551904</x:v>
      </x:c>
      <x:c r="F1124" s="1" t="str">
        <x:f>IF(C1124&lt;=0,"C",IF(E1124-D1124&lt;'Дашборд'!$C$49,"A",IF(E1124-D1124&lt;'Дашборд'!$C$50,"B","C")))</x:f>
        <x:v>C</x:v>
      </x:c>
      <x:c r="G1124" s="8" t="n">
        <x:f>'Данные'!F1124</x:f>
        <x:v>292</x:v>
      </x:c>
      <x:c r="H1124" s="8" t="n">
        <x:f>SUM('Данные'!H1124:I1124)</x:f>
        <x:v>53</x:v>
      </x:c>
      <x:c r="I1124" s="16" t="n">
        <x:f>IF(H1124&gt;0,G1124/H1124,"n.a.")</x:f>
        <x:v>5.509433962264151</x:v>
      </x:c>
      <x:c r="J1124" s="10" t="n">
        <x:f>IF('Данные'!E1124&gt;0,G1124/'Данные'!E1124,"n.a.")</x:f>
        <x:v>0.011712795828319293</x:v>
      </x:c>
      <x:c r="K1124" s="1" t="str">
        <x:f>IF(G1124&gt;='Дашборд'!$C$51,"X","Z")</x:f>
        <x:v>X</x:v>
      </x:c>
      <x:c r="L1124" s="1" t="str">
        <x:f>IF(H1124=0,IF(G1124&gt;0,"Нет остатка","Нет спроса"),IF(I1124&gt;='Дашборд'!$C$52,"Быстрый","Медленный"))</x:f>
        <x:v>Быстрый</x:v>
      </x:c>
      <x:c r="M1124" s="1" t="str">
        <x:f>IF('Данные'!E1124&lt;'Дашборд'!$C$53,"Мало трафика",IF(J1124&lt;'Дашборд'!$C$9*'Дашборд'!$C$54,"Да","Нет"))</x:f>
        <x:v>Нет</x:v>
      </x:c>
      <x:c r="N1124" s="1" t="str">
        <x:f>IF(AND('Данные'!D1124&gt;='Дашборд'!$C$55,D1124&lt;'Дашборд'!$C$56,'Данные'!E1124&gt;='Дашборд'!$C$53,'Данные'!L1124&lt;&gt;"Да"),"Да","Нет")</x:f>
        <x:v>Нет</x:v>
      </x:c>
      <x:c r="O1124" s="1" t="str">
        <x:f>'Данные'!L1124</x:f>
        <x:v>Нет</x:v>
      </x:c>
    </x:row>
    <x:row r="1125">
      <x:c r="A1125" s="1" t="str">
        <x:f>'Данные'!A1125</x:f>
        <x:v>216665885</x:v>
      </x:c>
      <x:c r="B1125" s="1" t="str">
        <x:f>'Данные'!B1125</x:f>
        <x:v>2Nfutbolkaman/светло-зеленый</x:v>
      </x:c>
      <x:c r="C1125" s="8" t="n">
        <x:f>'Данные'!G1125</x:f>
        <x:v>86069</x:v>
      </x:c>
      <x:c r="D1125" s="15" t="n">
        <x:f>C1125/SUM($C$5:$C$2477)</x:f>
        <x:v>0.00010054783952220887</x:v>
      </x:c>
      <x:c r="E1125" s="15" t="n">
        <x:f>SUM($D$5:D1125)</x:f>
        <x:v>0.9831684897947126</x:v>
      </x:c>
      <x:c r="F1125" s="1" t="str">
        <x:f>IF(C1125&lt;=0,"C",IF(E1125-D1125&lt;'Дашборд'!$C$49,"A",IF(E1125-D1125&lt;'Дашборд'!$C$50,"B","C")))</x:f>
        <x:v>C</x:v>
      </x:c>
      <x:c r="G1125" s="8" t="n">
        <x:f>'Данные'!F1125</x:f>
        <x:v>237</x:v>
      </x:c>
      <x:c r="H1125" s="8" t="n">
        <x:f>SUM('Данные'!H1125:I1125)</x:f>
        <x:v>87</x:v>
      </x:c>
      <x:c r="I1125" s="16" t="n">
        <x:f>IF(H1125&gt;0,G1125/H1125,"n.a.")</x:f>
        <x:v>2.7241379310344827</x:v>
      </x:c>
      <x:c r="J1125" s="10" t="n">
        <x:f>IF('Данные'!E1125&gt;0,G1125/'Данные'!E1125,"n.a.")</x:f>
        <x:v>0.010865578580597836</x:v>
      </x:c>
      <x:c r="K1125" s="1" t="str">
        <x:f>IF(G1125&gt;='Дашборд'!$C$51,"X","Z")</x:f>
        <x:v>Z</x:v>
      </x:c>
      <x:c r="L1125" s="1" t="str">
        <x:f>IF(H1125=0,IF(G1125&gt;0,"Нет остатка","Нет спроса"),IF(I1125&gt;='Дашборд'!$C$52,"Быстрый","Медленный"))</x:f>
        <x:v>Быстрый</x:v>
      </x:c>
      <x:c r="M1125" s="1" t="str">
        <x:f>IF('Данные'!E1125&lt;'Дашборд'!$C$53,"Мало трафика",IF(J1125&lt;'Дашборд'!$C$9*'Дашборд'!$C$54,"Да","Нет"))</x:f>
        <x:v>Нет</x:v>
      </x:c>
      <x:c r="N1125" s="1" t="str">
        <x:f>IF(AND('Данные'!D1125&gt;='Дашборд'!$C$55,D1125&lt;'Дашборд'!$C$56,'Данные'!E1125&gt;='Дашборд'!$C$53,'Данные'!L1125&lt;&gt;"Да"),"Да","Нет")</x:f>
        <x:v>Нет</x:v>
      </x:c>
      <x:c r="O1125" s="1" t="str">
        <x:f>'Данные'!L1125</x:f>
        <x:v>Нет</x:v>
      </x:c>
    </x:row>
    <x:row r="1126">
      <x:c r="A1126" s="1" t="str">
        <x:f>'Данные'!A1126</x:f>
        <x:v>333141438</x:v>
      </x:c>
      <x:c r="B1126" s="1" t="str">
        <x:f>'Данные'!B1126</x:f>
        <x:v>topfutbolka/какао</x:v>
      </x:c>
      <x:c r="C1126" s="8" t="n">
        <x:f>'Данные'!G1126</x:f>
        <x:v>85807</x:v>
      </x:c>
      <x:c r="D1126" s="15" t="n">
        <x:f>C1126/SUM($C$5:$C$2477)</x:f>
        <x:v>0.00010024176493141754</x:v>
      </x:c>
      <x:c r="E1126" s="15" t="n">
        <x:f>SUM($D$5:D1126)</x:f>
        <x:v>0.983268731559644</x:v>
      </x:c>
      <x:c r="F1126" s="1" t="str">
        <x:f>IF(C1126&lt;=0,"C",IF(E1126-D1126&lt;'Дашборд'!$C$49,"A",IF(E1126-D1126&lt;'Дашборд'!$C$50,"B","C")))</x:f>
        <x:v>C</x:v>
      </x:c>
      <x:c r="G1126" s="8" t="n">
        <x:f>'Данные'!F1126</x:f>
        <x:v>251</x:v>
      </x:c>
      <x:c r="H1126" s="8" t="n">
        <x:f>SUM('Данные'!H1126:I1126)</x:f>
        <x:v>228</x:v>
      </x:c>
      <x:c r="I1126" s="16" t="n">
        <x:f>IF(H1126&gt;0,G1126/H1126,"n.a.")</x:f>
        <x:v>1.1008771929824561</x:v>
      </x:c>
      <x:c r="J1126" s="10" t="n">
        <x:f>IF('Данные'!E1126&gt;0,G1126/'Данные'!E1126,"n.a.")</x:f>
        <x:v>0.008308782151014599</x:v>
      </x:c>
      <x:c r="K1126" s="1" t="str">
        <x:f>IF(G1126&gt;='Дашборд'!$C$51,"X","Z")</x:f>
        <x:v>Z</x:v>
      </x:c>
      <x:c r="L1126" s="1" t="str">
        <x:f>IF(H1126=0,IF(G1126&gt;0,"Нет остатка","Нет спроса"),IF(I1126&gt;='Дашборд'!$C$52,"Быстрый","Медленный"))</x:f>
        <x:v>Быстрый</x:v>
      </x:c>
      <x:c r="M1126" s="1" t="str">
        <x:f>IF('Данные'!E1126&lt;'Дашборд'!$C$53,"Мало трафика",IF(J1126&lt;'Дашборд'!$C$9*'Дашборд'!$C$54,"Да","Нет"))</x:f>
        <x:v>Да</x:v>
      </x:c>
      <x:c r="N1126" s="1" t="str">
        <x:f>IF(AND('Данные'!D1126&gt;='Дашборд'!$C$55,D1126&lt;'Дашборд'!$C$56,'Данные'!E1126&gt;='Дашборд'!$C$53,'Данные'!L1126&lt;&gt;"Да"),"Да","Нет")</x:f>
        <x:v>Да</x:v>
      </x:c>
      <x:c r="O1126" s="1" t="str">
        <x:f>'Данные'!L1126</x:f>
        <x:v>Нет</x:v>
      </x:c>
    </x:row>
    <x:row r="1127">
      <x:c r="A1127" s="1" t="str">
        <x:f>'Данные'!A1127</x:f>
        <x:v>313770748</x:v>
      </x:c>
      <x:c r="B1127" s="1" t="str">
        <x:f>'Данные'!B1127</x:f>
        <x:v>futbolkagirl/эвкалипт</x:v>
      </x:c>
      <x:c r="C1127" s="8" t="n">
        <x:f>'Данные'!G1127</x:f>
        <x:v>85418</x:v>
      </x:c>
      <x:c r="D1127" s="15" t="n">
        <x:f>C1127/SUM($C$5:$C$2477)</x:f>
        <x:v>0.00009978732593974645</x:v>
      </x:c>
      <x:c r="E1127" s="15" t="n">
        <x:f>SUM($D$5:D1127)</x:f>
        <x:v>0.9833685188855837</x:v>
      </x:c>
      <x:c r="F1127" s="1" t="str">
        <x:f>IF(C1127&lt;=0,"C",IF(E1127-D1127&lt;'Дашборд'!$C$49,"A",IF(E1127-D1127&lt;'Дашборд'!$C$50,"B","C")))</x:f>
        <x:v>C</x:v>
      </x:c>
      <x:c r="G1127" s="8" t="n">
        <x:f>'Данные'!F1127</x:f>
        <x:v>227</x:v>
      </x:c>
      <x:c r="H1127" s="8" t="n">
        <x:f>SUM('Данные'!H1127:I1127)</x:f>
        <x:v>136</x:v>
      </x:c>
      <x:c r="I1127" s="16" t="n">
        <x:f>IF(H1127&gt;0,G1127/H1127,"n.a.")</x:f>
        <x:v>1.6691176470588236</x:v>
      </x:c>
      <x:c r="J1127" s="10" t="n">
        <x:f>IF('Данные'!E1127&gt;0,G1127/'Данные'!E1127,"n.a.")</x:f>
        <x:v>0.00792348773081085</x:v>
      </x:c>
      <x:c r="K1127" s="1" t="str">
        <x:f>IF(G1127&gt;='Дашборд'!$C$51,"X","Z")</x:f>
        <x:v>Z</x:v>
      </x:c>
      <x:c r="L1127" s="1" t="str">
        <x:f>IF(H1127=0,IF(G1127&gt;0,"Нет остатка","Нет спроса"),IF(I1127&gt;='Дашборд'!$C$52,"Быстрый","Медленный"))</x:f>
        <x:v>Быстрый</x:v>
      </x:c>
      <x:c r="M1127" s="1" t="str">
        <x:f>IF('Данные'!E1127&lt;'Дашборд'!$C$53,"Мало трафика",IF(J1127&lt;'Дашборд'!$C$9*'Дашборд'!$C$54,"Да","Нет"))</x:f>
        <x:v>Да</x:v>
      </x:c>
      <x:c r="N1127" s="1" t="str">
        <x:f>IF(AND('Данные'!D1127&gt;='Дашборд'!$C$55,D1127&lt;'Дашборд'!$C$56,'Данные'!E1127&gt;='Дашборд'!$C$53,'Данные'!L1127&lt;&gt;"Да"),"Да","Нет")</x:f>
        <x:v>Да</x:v>
      </x:c>
      <x:c r="O1127" s="1" t="str">
        <x:f>'Данные'!L1127</x:f>
        <x:v>Нет</x:v>
      </x:c>
    </x:row>
    <x:row r="1128">
      <x:c r="A1128" s="1" t="str">
        <x:f>'Данные'!A1128</x:f>
        <x:v>79692041</x:v>
      </x:c>
      <x:c r="B1128" s="1" t="str">
        <x:f>'Данные'!B1128</x:f>
        <x:v>longsliv/дымка</x:v>
      </x:c>
      <x:c r="C1128" s="8" t="n">
        <x:f>'Данные'!G1128</x:f>
        <x:v>84672</x:v>
      </x:c>
      <x:c r="D1128" s="15" t="n">
        <x:f>C1128/SUM($C$5:$C$2477)</x:f>
        <x:v>0.00009891583111253145</x:v>
      </x:c>
      <x:c r="E1128" s="15" t="n">
        <x:f>SUM($D$5:D1128)</x:f>
        <x:v>0.9834674347166963</x:v>
      </x:c>
      <x:c r="F1128" s="1" t="str">
        <x:f>IF(C1128&lt;=0,"C",IF(E1128-D1128&lt;'Дашборд'!$C$49,"A",IF(E1128-D1128&lt;'Дашборд'!$C$50,"B","C")))</x:f>
        <x:v>C</x:v>
      </x:c>
      <x:c r="G1128" s="8" t="n">
        <x:f>'Данные'!F1128</x:f>
        <x:v>345</x:v>
      </x:c>
      <x:c r="H1128" s="8" t="n">
        <x:f>SUM('Данные'!H1128:I1128)</x:f>
        <x:v>347</x:v>
      </x:c>
      <x:c r="I1128" s="16" t="n">
        <x:f>IF(H1128&gt;0,G1128/H1128,"n.a.")</x:f>
        <x:v>0.9942363112391931</x:v>
      </x:c>
      <x:c r="J1128" s="10" t="n">
        <x:f>IF('Данные'!E1128&gt;0,G1128/'Данные'!E1128,"n.a.")</x:f>
        <x:v>0.02794427344889033</x:v>
      </x:c>
      <x:c r="K1128" s="1" t="str">
        <x:f>IF(G1128&gt;='Дашборд'!$C$51,"X","Z")</x:f>
        <x:v>X</x:v>
      </x:c>
      <x:c r="L1128" s="1" t="str">
        <x:f>IF(H1128=0,IF(G1128&gt;0,"Нет остатка","Нет спроса"),IF(I1128&gt;='Дашборд'!$C$52,"Быстрый","Медленный"))</x:f>
        <x:v>Медленный</x:v>
      </x:c>
      <x:c r="M1128" s="1" t="str">
        <x:f>IF('Данные'!E1128&lt;'Дашборд'!$C$53,"Мало трафика",IF(J1128&lt;'Дашборд'!$C$9*'Дашборд'!$C$54,"Да","Нет"))</x:f>
        <x:v>Нет</x:v>
      </x:c>
      <x:c r="N1128" s="1" t="str">
        <x:f>IF(AND('Данные'!D1128&gt;='Дашборд'!$C$55,D1128&lt;'Дашборд'!$C$56,'Данные'!E1128&gt;='Дашборд'!$C$53,'Данные'!L1128&lt;&gt;"Да"),"Да","Нет")</x:f>
        <x:v>Да</x:v>
      </x:c>
      <x:c r="O1128" s="1" t="str">
        <x:f>'Данные'!L1128</x:f>
        <x:v>Нет</x:v>
      </x:c>
    </x:row>
    <x:row r="1129">
      <x:c r="A1129" s="1" t="str">
        <x:f>'Данные'!A1129</x:f>
        <x:v>240808479</x:v>
      </x:c>
      <x:c r="B1129" s="1" t="str">
        <x:f>'Данные'!B1129</x:f>
        <x:v>hudigirl/темно-серый</x:v>
      </x:c>
      <x:c r="C1129" s="8" t="n">
        <x:f>'Данные'!G1129</x:f>
        <x:v>84275</x:v>
      </x:c>
      <x:c r="D1129" s="15" t="n">
        <x:f>C1129/SUM($C$5:$C$2477)</x:f>
        <x:v>0.00009845204633182856</x:v>
      </x:c>
      <x:c r="E1129" s="15" t="n">
        <x:f>SUM($D$5:D1129)</x:f>
        <x:v>0.9835658867630281</x:v>
      </x:c>
      <x:c r="F1129" s="1" t="str">
        <x:f>IF(C1129&lt;=0,"C",IF(E1129-D1129&lt;'Дашборд'!$C$49,"A",IF(E1129-D1129&lt;'Дашборд'!$C$50,"B","C")))</x:f>
        <x:v>C</x:v>
      </x:c>
      <x:c r="G1129" s="8" t="n">
        <x:f>'Данные'!F1129</x:f>
        <x:v>115</x:v>
      </x:c>
      <x:c r="H1129" s="8" t="n">
        <x:f>SUM('Данные'!H1129:I1129)</x:f>
        <x:v>123</x:v>
      </x:c>
      <x:c r="I1129" s="16" t="n">
        <x:f>IF(H1129&gt;0,G1129/H1129,"n.a.")</x:f>
        <x:v>0.9349593495934959</x:v>
      </x:c>
      <x:c r="J1129" s="10" t="n">
        <x:f>IF('Данные'!E1129&gt;0,G1129/'Данные'!E1129,"n.a.")</x:f>
        <x:v>0.011844680193634771</x:v>
      </x:c>
      <x:c r="K1129" s="1" t="str">
        <x:f>IF(G1129&gt;='Дашборд'!$C$51,"X","Z")</x:f>
        <x:v>Z</x:v>
      </x:c>
      <x:c r="L1129" s="1" t="str">
        <x:f>IF(H1129=0,IF(G1129&gt;0,"Нет остатка","Нет спроса"),IF(I1129&gt;='Дашборд'!$C$52,"Быстрый","Медленный"))</x:f>
        <x:v>Медленный</x:v>
      </x:c>
      <x:c r="M1129" s="1" t="str">
        <x:f>IF('Данные'!E1129&lt;'Дашборд'!$C$53,"Мало трафика",IF(J1129&lt;'Дашборд'!$C$9*'Дашборд'!$C$54,"Да","Нет"))</x:f>
        <x:v>Нет</x:v>
      </x:c>
      <x:c r="N1129" s="1" t="str">
        <x:f>IF(AND('Данные'!D1129&gt;='Дашборд'!$C$55,D1129&lt;'Дашборд'!$C$56,'Данные'!E1129&gt;='Дашборд'!$C$53,'Данные'!L1129&lt;&gt;"Да"),"Да","Нет")</x:f>
        <x:v>Нет</x:v>
      </x:c>
      <x:c r="O1129" s="1" t="str">
        <x:f>'Данные'!L1129</x:f>
        <x:v>Нет</x:v>
      </x:c>
    </x:row>
    <x:row r="1130">
      <x:c r="A1130" s="1" t="str">
        <x:f>'Данные'!A1130</x:f>
        <x:v>202779214</x:v>
      </x:c>
      <x:c r="B1130" s="1" t="str">
        <x:f>'Данные'!B1130</x:f>
        <x:v>hudiprint/Duma-61/темно-серый</x:v>
      </x:c>
      <x:c r="C1130" s="8" t="n">
        <x:f>'Данные'!G1130</x:f>
        <x:v>83935</x:v>
      </x:c>
      <x:c r="D1130" s="15" t="n">
        <x:f>C1130/SUM($C$5:$C$2477)</x:f>
        <x:v>0.00009805485029797722</x:v>
      </x:c>
      <x:c r="E1130" s="15" t="n">
        <x:f>SUM($D$5:D1130)</x:f>
        <x:v>0.9836639416133262</x:v>
      </x:c>
      <x:c r="F1130" s="1" t="str">
        <x:f>IF(C1130&lt;=0,"C",IF(E1130-D1130&lt;'Дашборд'!$C$49,"A",IF(E1130-D1130&lt;'Дашборд'!$C$50,"B","C")))</x:f>
        <x:v>C</x:v>
      </x:c>
      <x:c r="G1130" s="8" t="n">
        <x:f>'Данные'!F1130</x:f>
        <x:v>65</x:v>
      </x:c>
      <x:c r="H1130" s="8" t="n">
        <x:f>SUM('Данные'!H1130:I1130)</x:f>
        <x:v>8</x:v>
      </x:c>
      <x:c r="I1130" s="16" t="n">
        <x:f>IF(H1130&gt;0,G1130/H1130,"n.a.")</x:f>
        <x:v>8.125</x:v>
      </x:c>
      <x:c r="J1130" s="10" t="n">
        <x:f>IF('Данные'!E1130&gt;0,G1130/'Данные'!E1130,"n.a.")</x:f>
        <x:v>0.005948567767914341</x:v>
      </x:c>
      <x:c r="K1130" s="1" t="str">
        <x:f>IF(G1130&gt;='Дашборд'!$C$51,"X","Z")</x:f>
        <x:v>Z</x:v>
      </x:c>
      <x:c r="L1130" s="1" t="str">
        <x:f>IF(H1130=0,IF(G1130&gt;0,"Нет остатка","Нет спроса"),IF(I1130&gt;='Дашборд'!$C$52,"Быстрый","Медленный"))</x:f>
        <x:v>Быстрый</x:v>
      </x:c>
      <x:c r="M1130" s="1" t="str">
        <x:f>IF('Данные'!E1130&lt;'Дашборд'!$C$53,"Мало трафика",IF(J1130&lt;'Дашборд'!$C$9*'Дашборд'!$C$54,"Да","Нет"))</x:f>
        <x:v>Да</x:v>
      </x:c>
      <x:c r="N1130" s="1" t="str">
        <x:f>IF(AND('Данные'!D1130&gt;='Дашборд'!$C$55,D1130&lt;'Дашборд'!$C$56,'Данные'!E1130&gt;='Дашборд'!$C$53,'Данные'!L1130&lt;&gt;"Да"),"Да","Нет")</x:f>
        <x:v>Нет</x:v>
      </x:c>
      <x:c r="O1130" s="1" t="str">
        <x:f>'Данные'!L1130</x:f>
        <x:v>Нет</x:v>
      </x:c>
    </x:row>
    <x:row r="1131">
      <x:c r="A1131" s="1" t="str">
        <x:f>'Данные'!A1131</x:f>
        <x:v>344396645</x:v>
      </x:c>
      <x:c r="B1131" s="1" t="str">
        <x:f>'Данные'!B1131</x:f>
        <x:v>ribmayka3R-S13/бордовый</x:v>
      </x:c>
      <x:c r="C1131" s="8" t="n">
        <x:f>'Данные'!G1131</x:f>
        <x:v>83239</x:v>
      </x:c>
      <x:c r="D1131" s="15" t="n">
        <x:f>C1131/SUM($C$5:$C$2477)</x:f>
        <x:v>0.00009724176665221095</x:v>
      </x:c>
      <x:c r="E1131" s="15" t="n">
        <x:f>SUM($D$5:D1131)</x:f>
        <x:v>0.9837611833799783</x:v>
      </x:c>
      <x:c r="F1131" s="1" t="str">
        <x:f>IF(C1131&lt;=0,"C",IF(E1131-D1131&lt;'Дашборд'!$C$49,"A",IF(E1131-D1131&lt;'Дашборд'!$C$50,"B","C")))</x:f>
        <x:v>C</x:v>
      </x:c>
      <x:c r="G1131" s="8" t="n">
        <x:f>'Данные'!F1131</x:f>
        <x:v>257</x:v>
      </x:c>
      <x:c r="H1131" s="8" t="n">
        <x:f>SUM('Данные'!H1131:I1131)</x:f>
        <x:v>0</x:v>
      </x:c>
      <x:c r="I1131" s="16" t="str">
        <x:f>IF(H1131&gt;0,G1131/H1131,"n.a.")</x:f>
        <x:v>n.a.</x:v>
      </x:c>
      <x:c r="J1131" s="10" t="n">
        <x:f>IF('Данные'!E1131&gt;0,G1131/'Данные'!E1131,"n.a.")</x:f>
        <x:v>0.013062925688726237</x:v>
      </x:c>
      <x:c r="K1131" s="1" t="str">
        <x:f>IF(G1131&gt;='Дашборд'!$C$51,"X","Z")</x:f>
        <x:v>Z</x:v>
      </x:c>
      <x:c r="L1131" s="1" t="str">
        <x:f>IF(H1131=0,IF(G1131&gt;0,"Нет остатка","Нет спроса"),IF(I1131&gt;='Дашборд'!$C$52,"Быстрый","Медленный"))</x:f>
        <x:v>Нет остатка</x:v>
      </x:c>
      <x:c r="M1131" s="1" t="str">
        <x:f>IF('Данные'!E1131&lt;'Дашборд'!$C$53,"Мало трафика",IF(J1131&lt;'Дашборд'!$C$9*'Дашборд'!$C$54,"Да","Нет"))</x:f>
        <x:v>Нет</x:v>
      </x:c>
      <x:c r="N1131" s="1" t="str">
        <x:f>IF(AND('Данные'!D1131&gt;='Дашборд'!$C$55,D1131&lt;'Дашборд'!$C$56,'Данные'!E1131&gt;='Дашборд'!$C$53,'Данные'!L1131&lt;&gt;"Да"),"Да","Нет")</x:f>
        <x:v>Да</x:v>
      </x:c>
      <x:c r="O1131" s="1" t="str">
        <x:f>'Данные'!L1131</x:f>
        <x:v>Нет</x:v>
      </x:c>
    </x:row>
    <x:row r="1132">
      <x:c r="A1132" s="1" t="str">
        <x:f>'Данные'!A1132</x:f>
        <x:v>306916574</x:v>
      </x:c>
      <x:c r="B1132" s="1" t="str">
        <x:f>'Данные'!B1132</x:f>
        <x:v>hudicropman4F-67/кофейный</x:v>
      </x:c>
      <x:c r="C1132" s="8" t="n">
        <x:f>'Данные'!G1132</x:f>
        <x:v>81696</x:v>
      </x:c>
      <x:c r="D1132" s="15" t="n">
        <x:f>C1132/SUM($C$5:$C$2477)</x:f>
        <x:v>0.00009543919759270325</x:v>
      </x:c>
      <x:c r="E1132" s="15" t="n">
        <x:f>SUM($D$5:D1132)</x:f>
        <x:v>0.983856622577571</x:v>
      </x:c>
      <x:c r="F1132" s="1" t="str">
        <x:f>IF(C1132&lt;=0,"C",IF(E1132-D1132&lt;'Дашборд'!$C$49,"A",IF(E1132-D1132&lt;'Дашборд'!$C$50,"B","C")))</x:f>
        <x:v>C</x:v>
      </x:c>
      <x:c r="G1132" s="8" t="n">
        <x:f>'Данные'!F1132</x:f>
        <x:v>92</x:v>
      </x:c>
      <x:c r="H1132" s="8" t="n">
        <x:f>SUM('Данные'!H1132:I1132)</x:f>
        <x:v>39</x:v>
      </x:c>
      <x:c r="I1132" s="16" t="n">
        <x:f>IF(H1132&gt;0,G1132/H1132,"n.a.")</x:f>
        <x:v>2.358974358974359</x:v>
      </x:c>
      <x:c r="J1132" s="10" t="n">
        <x:f>IF('Данные'!E1132&gt;0,G1132/'Данные'!E1132,"n.a.")</x:f>
        <x:v>0.014563875257242362</x:v>
      </x:c>
      <x:c r="K1132" s="1" t="str">
        <x:f>IF(G1132&gt;='Дашборд'!$C$51,"X","Z")</x:f>
        <x:v>Z</x:v>
      </x:c>
      <x:c r="L1132" s="1" t="str">
        <x:f>IF(H1132=0,IF(G1132&gt;0,"Нет остатка","Нет спроса"),IF(I1132&gt;='Дашборд'!$C$52,"Быстрый","Медленный"))</x:f>
        <x:v>Быстрый</x:v>
      </x:c>
      <x:c r="M1132" s="1" t="str">
        <x:f>IF('Данные'!E1132&lt;'Дашборд'!$C$53,"Мало трафика",IF(J1132&lt;'Дашборд'!$C$9*'Дашборд'!$C$54,"Да","Нет"))</x:f>
        <x:v>Нет</x:v>
      </x:c>
      <x:c r="N1132" s="1" t="str">
        <x:f>IF(AND('Данные'!D1132&gt;='Дашборд'!$C$55,D1132&lt;'Дашборд'!$C$56,'Данные'!E1132&gt;='Дашборд'!$C$53,'Данные'!L1132&lt;&gt;"Да"),"Да","Нет")</x:f>
        <x:v>Да</x:v>
      </x:c>
      <x:c r="O1132" s="1" t="str">
        <x:f>'Данные'!L1132</x:f>
        <x:v>Нет</x:v>
      </x:c>
    </x:row>
    <x:row r="1133">
      <x:c r="A1133" s="1" t="str">
        <x:f>'Данные'!A1133</x:f>
        <x:v>232234809</x:v>
      </x:c>
      <x:c r="B1133" s="1" t="str">
        <x:f>'Данные'!B1133</x:f>
        <x:v>hudivish/Flowers-14в/песочный</x:v>
      </x:c>
      <x:c r="C1133" s="8" t="n">
        <x:f>'Данные'!G1133</x:f>
        <x:v>81367</x:v>
      </x:c>
      <x:c r="D1133" s="15" t="n">
        <x:f>C1133/SUM($C$5:$C$2477)</x:f>
        <x:v>0.00009505485201877063</x:v>
      </x:c>
      <x:c r="E1133" s="15" t="n">
        <x:f>SUM($D$5:D1133)</x:f>
        <x:v>0.9839516774295898</x:v>
      </x:c>
      <x:c r="F1133" s="1" t="str">
        <x:f>IF(C1133&lt;=0,"C",IF(E1133-D1133&lt;'Дашборд'!$C$49,"A",IF(E1133-D1133&lt;'Дашборд'!$C$50,"B","C")))</x:f>
        <x:v>C</x:v>
      </x:c>
      <x:c r="G1133" s="8" t="n">
        <x:f>'Данные'!F1133</x:f>
        <x:v>128</x:v>
      </x:c>
      <x:c r="H1133" s="8" t="n">
        <x:f>SUM('Данные'!H1133:I1133)</x:f>
        <x:v>47</x:v>
      </x:c>
      <x:c r="I1133" s="16" t="n">
        <x:f>IF(H1133&gt;0,G1133/H1133,"n.a.")</x:f>
        <x:v>2.723404255319149</x:v>
      </x:c>
      <x:c r="J1133" s="10" t="n">
        <x:f>IF('Данные'!E1133&gt;0,G1133/'Данные'!E1133,"n.a.")</x:f>
        <x:v>0.007693232359658613</x:v>
      </x:c>
      <x:c r="K1133" s="1" t="str">
        <x:f>IF(G1133&gt;='Дашборд'!$C$51,"X","Z")</x:f>
        <x:v>Z</x:v>
      </x:c>
      <x:c r="L1133" s="1" t="str">
        <x:f>IF(H1133=0,IF(G1133&gt;0,"Нет остатка","Нет спроса"),IF(I1133&gt;='Дашборд'!$C$52,"Быстрый","Медленный"))</x:f>
        <x:v>Быстрый</x:v>
      </x:c>
      <x:c r="M1133" s="1" t="str">
        <x:f>IF('Данные'!E1133&lt;'Дашборд'!$C$53,"Мало трафика",IF(J1133&lt;'Дашборд'!$C$9*'Дашборд'!$C$54,"Да","Нет"))</x:f>
        <x:v>Да</x:v>
      </x:c>
      <x:c r="N1133" s="1" t="str">
        <x:f>IF(AND('Данные'!D1133&gt;='Дашборд'!$C$55,D1133&lt;'Дашборд'!$C$56,'Данные'!E1133&gt;='Дашборд'!$C$53,'Данные'!L1133&lt;&gt;"Да"),"Да","Нет")</x:f>
        <x:v>Да</x:v>
      </x:c>
      <x:c r="O1133" s="1" t="str">
        <x:f>'Данные'!L1133</x:f>
        <x:v>Нет</x:v>
      </x:c>
    </x:row>
    <x:row r="1134">
      <x:c r="A1134" s="1" t="str">
        <x:f>'Данные'!A1134</x:f>
        <x:v>321815228</x:v>
      </x:c>
      <x:c r="B1134" s="1" t="str">
        <x:f>'Данные'!B1134</x:f>
        <x:v>toprib3R-82/черный</x:v>
      </x:c>
      <x:c r="C1134" s="8" t="n">
        <x:f>'Данные'!G1134</x:f>
        <x:v>80655</x:v>
      </x:c>
      <x:c r="D1134" s="15" t="n">
        <x:f>C1134/SUM($C$5:$C$2477)</x:f>
        <x:v>0.00009422307679494076</x:v>
      </x:c>
      <x:c r="E1134" s="15" t="n">
        <x:f>SUM($D$5:D1134)</x:f>
        <x:v>0.9840459005063847</x:v>
      </x:c>
      <x:c r="F1134" s="1" t="str">
        <x:f>IF(C1134&lt;=0,"C",IF(E1134-D1134&lt;'Дашборд'!$C$49,"A",IF(E1134-D1134&lt;'Дашборд'!$C$50,"B","C")))</x:f>
        <x:v>C</x:v>
      </x:c>
      <x:c r="G1134" s="8" t="n">
        <x:f>'Данные'!F1134</x:f>
        <x:v>340</x:v>
      </x:c>
      <x:c r="H1134" s="8" t="n">
        <x:f>SUM('Данные'!H1134:I1134)</x:f>
        <x:v>3940</x:v>
      </x:c>
      <x:c r="I1134" s="16" t="n">
        <x:f>IF(H1134&gt;0,G1134/H1134,"n.a.")</x:f>
        <x:v>0.08629441624365482</x:v>
      </x:c>
      <x:c r="J1134" s="10" t="n">
        <x:f>IF('Данные'!E1134&gt;0,G1134/'Данные'!E1134,"n.a.")</x:f>
        <x:v>0.022689356022689355</x:v>
      </x:c>
      <x:c r="K1134" s="1" t="str">
        <x:f>IF(G1134&gt;='Дашборд'!$C$51,"X","Z")</x:f>
        <x:v>X</x:v>
      </x:c>
      <x:c r="L1134" s="1" t="str">
        <x:f>IF(H1134=0,IF(G1134&gt;0,"Нет остатка","Нет спроса"),IF(I1134&gt;='Дашборд'!$C$52,"Быстрый","Медленный"))</x:f>
        <x:v>Медленный</x:v>
      </x:c>
      <x:c r="M1134" s="1" t="str">
        <x:f>IF('Данные'!E1134&lt;'Дашборд'!$C$53,"Мало трафика",IF(J1134&lt;'Дашборд'!$C$9*'Дашборд'!$C$54,"Да","Нет"))</x:f>
        <x:v>Нет</x:v>
      </x:c>
      <x:c r="N1134" s="1" t="str">
        <x:f>IF(AND('Данные'!D1134&gt;='Дашборд'!$C$55,D1134&lt;'Дашборд'!$C$56,'Данные'!E1134&gt;='Дашборд'!$C$53,'Данные'!L1134&lt;&gt;"Да"),"Да","Нет")</x:f>
        <x:v>Нет</x:v>
      </x:c>
      <x:c r="O1134" s="1" t="str">
        <x:f>'Данные'!L1134</x:f>
        <x:v>Нет</x:v>
      </x:c>
    </x:row>
    <x:row r="1135">
      <x:c r="A1135" s="1" t="str">
        <x:f>'Данные'!A1135</x:f>
        <x:v>332600655</x:v>
      </x:c>
      <x:c r="B1135" s="1" t="str">
        <x:f>'Данные'!B1135</x:f>
        <x:v>hudicroppetl/бежевый</x:v>
      </x:c>
      <x:c r="C1135" s="8" t="n">
        <x:f>'Данные'!G1135</x:f>
        <x:v>80510</x:v>
      </x:c>
      <x:c r="D1135" s="15" t="n">
        <x:f>C1135/SUM($C$5:$C$2477)</x:f>
        <x:v>0.00009405368436873946</x:v>
      </x:c>
      <x:c r="E1135" s="15" t="n">
        <x:f>SUM($D$5:D1135)</x:f>
        <x:v>0.9841399541907535</x:v>
      </x:c>
      <x:c r="F1135" s="1" t="str">
        <x:f>IF(C1135&lt;=0,"C",IF(E1135-D1135&lt;'Дашборд'!$C$49,"A",IF(E1135-D1135&lt;'Дашборд'!$C$50,"B","C")))</x:f>
        <x:v>C</x:v>
      </x:c>
      <x:c r="G1135" s="8" t="n">
        <x:f>'Данные'!F1135</x:f>
        <x:v>108</x:v>
      </x:c>
      <x:c r="H1135" s="8" t="n">
        <x:f>SUM('Данные'!H1135:I1135)</x:f>
        <x:v>230</x:v>
      </x:c>
      <x:c r="I1135" s="16" t="n">
        <x:f>IF(H1135&gt;0,G1135/H1135,"n.a.")</x:f>
        <x:v>0.46956521739130436</x:v>
      </x:c>
      <x:c r="J1135" s="10" t="n">
        <x:f>IF('Данные'!E1135&gt;0,G1135/'Данные'!E1135,"n.a.")</x:f>
        <x:v>0.004983848638670974</x:v>
      </x:c>
      <x:c r="K1135" s="1" t="str">
        <x:f>IF(G1135&gt;='Дашборд'!$C$51,"X","Z")</x:f>
        <x:v>Z</x:v>
      </x:c>
      <x:c r="L1135" s="1" t="str">
        <x:f>IF(H1135=0,IF(G1135&gt;0,"Нет остатка","Нет спроса"),IF(I1135&gt;='Дашборд'!$C$52,"Быстрый","Медленный"))</x:f>
        <x:v>Медленный</x:v>
      </x:c>
      <x:c r="M1135" s="1" t="str">
        <x:f>IF('Данные'!E1135&lt;'Дашборд'!$C$53,"Мало трафика",IF(J1135&lt;'Дашборд'!$C$9*'Дашборд'!$C$54,"Да","Нет"))</x:f>
        <x:v>Да</x:v>
      </x:c>
      <x:c r="N1135" s="1" t="str">
        <x:f>IF(AND('Данные'!D1135&gt;='Дашборд'!$C$55,D1135&lt;'Дашборд'!$C$56,'Данные'!E1135&gt;='Дашборд'!$C$53,'Данные'!L1135&lt;&gt;"Да"),"Да","Нет")</x:f>
        <x:v>Нет</x:v>
      </x:c>
      <x:c r="O1135" s="1" t="str">
        <x:f>'Данные'!L1135</x:f>
        <x:v>Нет</x:v>
      </x:c>
    </x:row>
    <x:row r="1136">
      <x:c r="A1136" s="1" t="str">
        <x:f>'Данные'!A1136</x:f>
        <x:v>323169149</x:v>
      </x:c>
      <x:c r="B1136" s="1" t="str">
        <x:f>'Данные'!B1136</x:f>
        <x:v>tanktop3K-S9/молочный</x:v>
      </x:c>
      <x:c r="C1136" s="8" t="n">
        <x:f>'Данные'!G1136</x:f>
        <x:v>80106</x:v>
      </x:c>
      <x:c r="D1136" s="15" t="n">
        <x:f>C1136/SUM($C$5:$C$2477)</x:f>
        <x:v>0.00009358172202263375</x:v>
      </x:c>
      <x:c r="E1136" s="15" t="n">
        <x:f>SUM($D$5:D1136)</x:f>
        <x:v>0.9842335359127762</x:v>
      </x:c>
      <x:c r="F1136" s="1" t="str">
        <x:f>IF(C1136&lt;=0,"C",IF(E1136-D1136&lt;'Дашборд'!$C$49,"A",IF(E1136-D1136&lt;'Дашборд'!$C$50,"B","C")))</x:f>
        <x:v>C</x:v>
      </x:c>
      <x:c r="G1136" s="8" t="n">
        <x:f>'Данные'!F1136</x:f>
        <x:v>277</x:v>
      </x:c>
      <x:c r="H1136" s="8" t="n">
        <x:f>SUM('Данные'!H1136:I1136)</x:f>
        <x:v>236</x:v>
      </x:c>
      <x:c r="I1136" s="16" t="n">
        <x:f>IF(H1136&gt;0,G1136/H1136,"n.a.")</x:f>
        <x:v>1.173728813559322</x:v>
      </x:c>
      <x:c r="J1136" s="10" t="n">
        <x:f>IF('Данные'!E1136&gt;0,G1136/'Данные'!E1136,"n.a.")</x:f>
        <x:v>0.0073609524062607954</x:v>
      </x:c>
      <x:c r="K1136" s="1" t="str">
        <x:f>IF(G1136&gt;='Дашборд'!$C$51,"X","Z")</x:f>
        <x:v>X</x:v>
      </x:c>
      <x:c r="L1136" s="1" t="str">
        <x:f>IF(H1136=0,IF(G1136&gt;0,"Нет остатка","Нет спроса"),IF(I1136&gt;='Дашборд'!$C$52,"Быстрый","Медленный"))</x:f>
        <x:v>Быстрый</x:v>
      </x:c>
      <x:c r="M1136" s="1" t="str">
        <x:f>IF('Данные'!E1136&lt;'Дашборд'!$C$53,"Мало трафика",IF(J1136&lt;'Дашборд'!$C$9*'Дашборд'!$C$54,"Да","Нет"))</x:f>
        <x:v>Да</x:v>
      </x:c>
      <x:c r="N1136" s="1" t="str">
        <x:f>IF(AND('Данные'!D1136&gt;='Дашборд'!$C$55,D1136&lt;'Дашборд'!$C$56,'Данные'!E1136&gt;='Дашборд'!$C$53,'Данные'!L1136&lt;&gt;"Да"),"Да","Нет")</x:f>
        <x:v>Нет</x:v>
      </x:c>
      <x:c r="O1136" s="1" t="str">
        <x:f>'Данные'!L1136</x:f>
        <x:v>Нет</x:v>
      </x:c>
    </x:row>
    <x:row r="1137">
      <x:c r="A1137" s="1" t="str">
        <x:f>'Данные'!A1137</x:f>
        <x:v>195712674</x:v>
      </x:c>
      <x:c r="B1137" s="1" t="str">
        <x:f>'Данные'!B1137</x:f>
        <x:v>sweater/бордовый</x:v>
      </x:c>
      <x:c r="C1137" s="8" t="n">
        <x:f>'Данные'!G1137</x:f>
        <x:v>80076</x:v>
      </x:c>
      <x:c r="D1137" s="15" t="n">
        <x:f>C1137/SUM($C$5:$C$2477)</x:f>
        <x:v>0.0000935466753137645</x:v>
      </x:c>
      <x:c r="E1137" s="15" t="n">
        <x:f>SUM($D$5:D1137)</x:f>
        <x:v>0.98432708258809</x:v>
      </x:c>
      <x:c r="F1137" s="1" t="str">
        <x:f>IF(C1137&lt;=0,"C",IF(E1137-D1137&lt;'Дашборд'!$C$49,"A",IF(E1137-D1137&lt;'Дашборд'!$C$50,"B","C")))</x:f>
        <x:v>C</x:v>
      </x:c>
      <x:c r="G1137" s="8" t="n">
        <x:f>'Данные'!F1137</x:f>
        <x:v>84</x:v>
      </x:c>
      <x:c r="H1137" s="8" t="n">
        <x:f>SUM('Данные'!H1137:I1137)</x:f>
        <x:v>61</x:v>
      </x:c>
      <x:c r="I1137" s="16" t="n">
        <x:f>IF(H1137&gt;0,G1137/H1137,"n.a.")</x:f>
        <x:v>1.3770491803278688</x:v>
      </x:c>
      <x:c r="J1137" s="10" t="n">
        <x:f>IF('Данные'!E1137&gt;0,G1137/'Данные'!E1137,"n.a.")</x:f>
        <x:v>0.011336032388663968</x:v>
      </x:c>
      <x:c r="K1137" s="1" t="str">
        <x:f>IF(G1137&gt;='Дашборд'!$C$51,"X","Z")</x:f>
        <x:v>Z</x:v>
      </x:c>
      <x:c r="L1137" s="1" t="str">
        <x:f>IF(H1137=0,IF(G1137&gt;0,"Нет остатка","Нет спроса"),IF(I1137&gt;='Дашборд'!$C$52,"Быстрый","Медленный"))</x:f>
        <x:v>Быстрый</x:v>
      </x:c>
      <x:c r="M1137" s="1" t="str">
        <x:f>IF('Данные'!E1137&lt;'Дашборд'!$C$53,"Мало трафика",IF(J1137&lt;'Дашборд'!$C$9*'Дашборд'!$C$54,"Да","Нет"))</x:f>
        <x:v>Нет</x:v>
      </x:c>
      <x:c r="N1137" s="1" t="str">
        <x:f>IF(AND('Данные'!D1137&gt;='Дашборд'!$C$55,D1137&lt;'Дашборд'!$C$56,'Данные'!E1137&gt;='Дашборд'!$C$53,'Данные'!L1137&lt;&gt;"Да"),"Да","Нет")</x:f>
        <x:v>Да</x:v>
      </x:c>
      <x:c r="O1137" s="1" t="str">
        <x:f>'Данные'!L1137</x:f>
        <x:v>Нет</x:v>
      </x:c>
    </x:row>
    <x:row r="1138">
      <x:c r="A1138" s="1" t="str">
        <x:f>'Данные'!A1138</x:f>
        <x:v>300305942</x:v>
      </x:c>
      <x:c r="B1138" s="1" t="str">
        <x:f>'Данные'!B1138</x:f>
        <x:v>palazzonachos/графит</x:v>
      </x:c>
      <x:c r="C1138" s="8" t="n">
        <x:f>'Данные'!G1138</x:f>
        <x:v>79723</x:v>
      </x:c>
      <x:c r="D1138" s="15" t="n">
        <x:f>C1138/SUM($C$5:$C$2477)</x:f>
        <x:v>0.0000931342923727365</x:v>
      </x:c>
      <x:c r="E1138" s="15" t="n">
        <x:f>SUM($D$5:D1138)</x:f>
        <x:v>0.9844202168804628</x:v>
      </x:c>
      <x:c r="F1138" s="1" t="str">
        <x:f>IF(C1138&lt;=0,"C",IF(E1138-D1138&lt;'Дашборд'!$C$49,"A",IF(E1138-D1138&lt;'Дашборд'!$C$50,"B","C")))</x:f>
        <x:v>C</x:v>
      </x:c>
      <x:c r="G1138" s="8" t="n">
        <x:f>'Данные'!F1138</x:f>
        <x:v>136</x:v>
      </x:c>
      <x:c r="H1138" s="8" t="n">
        <x:f>SUM('Данные'!H1138:I1138)</x:f>
        <x:v>312</x:v>
      </x:c>
      <x:c r="I1138" s="16" t="n">
        <x:f>IF(H1138&gt;0,G1138/H1138,"n.a.")</x:f>
        <x:v>0.4358974358974359</x:v>
      </x:c>
      <x:c r="J1138" s="10" t="n">
        <x:f>IF('Данные'!E1138&gt;0,G1138/'Данные'!E1138,"n.a.")</x:f>
        <x:v>0.012529942878201585</x:v>
      </x:c>
      <x:c r="K1138" s="1" t="str">
        <x:f>IF(G1138&gt;='Дашборд'!$C$51,"X","Z")</x:f>
        <x:v>Z</x:v>
      </x:c>
      <x:c r="L1138" s="1" t="str">
        <x:f>IF(H1138=0,IF(G1138&gt;0,"Нет остатка","Нет спроса"),IF(I1138&gt;='Дашборд'!$C$52,"Быстрый","Медленный"))</x:f>
        <x:v>Медленный</x:v>
      </x:c>
      <x:c r="M1138" s="1" t="str">
        <x:f>IF('Данные'!E1138&lt;'Дашборд'!$C$53,"Мало трафика",IF(J1138&lt;'Дашборд'!$C$9*'Дашборд'!$C$54,"Да","Нет"))</x:f>
        <x:v>Нет</x:v>
      </x:c>
      <x:c r="N1138" s="1" t="str">
        <x:f>IF(AND('Данные'!D1138&gt;='Дашборд'!$C$55,D1138&lt;'Дашборд'!$C$56,'Данные'!E1138&gt;='Дашборд'!$C$53,'Данные'!L1138&lt;&gt;"Да"),"Да","Нет")</x:f>
        <x:v>Нет</x:v>
      </x:c>
      <x:c r="O1138" s="1" t="str">
        <x:f>'Данные'!L1138</x:f>
        <x:v>Нет</x:v>
      </x:c>
    </x:row>
    <x:row r="1139">
      <x:c r="A1139" s="1" t="str">
        <x:f>'Данные'!A1139</x:f>
        <x:v>204476264</x:v>
      </x:c>
      <x:c r="B1139" s="1" t="str">
        <x:f>'Данные'!B1139</x:f>
        <x:v>hudimanprint/FREEDOM-67/молочный</x:v>
      </x:c>
      <x:c r="C1139" s="8" t="n">
        <x:f>'Данные'!G1139</x:f>
        <x:v>78881</x:v>
      </x:c>
      <x:c r="D1139" s="15" t="n">
        <x:f>C1139/SUM($C$5:$C$2477)</x:f>
        <x:v>0.00009215064807713994</x:v>
      </x:c>
      <x:c r="E1139" s="15" t="n">
        <x:f>SUM($D$5:D1139)</x:f>
        <x:v>0.9845123675285399</x:v>
      </x:c>
      <x:c r="F1139" s="1" t="str">
        <x:f>IF(C1139&lt;=0,"C",IF(E1139-D1139&lt;'Дашборд'!$C$49,"A",IF(E1139-D1139&lt;'Дашборд'!$C$50,"B","C")))</x:f>
        <x:v>C</x:v>
      </x:c>
      <x:c r="G1139" s="8" t="n">
        <x:f>'Данные'!F1139</x:f>
        <x:v>94</x:v>
      </x:c>
      <x:c r="H1139" s="8" t="n">
        <x:f>SUM('Данные'!H1139:I1139)</x:f>
        <x:v>55</x:v>
      </x:c>
      <x:c r="I1139" s="16" t="n">
        <x:f>IF(H1139&gt;0,G1139/H1139,"n.a.")</x:f>
        <x:v>1.709090909090909</x:v>
      </x:c>
      <x:c r="J1139" s="10" t="n">
        <x:f>IF('Данные'!E1139&gt;0,G1139/'Данные'!E1139,"n.a.")</x:f>
        <x:v>0.008862072216460827</x:v>
      </x:c>
      <x:c r="K1139" s="1" t="str">
        <x:f>IF(G1139&gt;='Дашборд'!$C$51,"X","Z")</x:f>
        <x:v>Z</x:v>
      </x:c>
      <x:c r="L1139" s="1" t="str">
        <x:f>IF(H1139=0,IF(G1139&gt;0,"Нет остатка","Нет спроса"),IF(I1139&gt;='Дашборд'!$C$52,"Быстрый","Медленный"))</x:f>
        <x:v>Быстрый</x:v>
      </x:c>
      <x:c r="M1139" s="1" t="str">
        <x:f>IF('Данные'!E1139&lt;'Дашборд'!$C$53,"Мало трафика",IF(J1139&lt;'Дашборд'!$C$9*'Дашборд'!$C$54,"Да","Нет"))</x:f>
        <x:v>Да</x:v>
      </x:c>
      <x:c r="N1139" s="1" t="str">
        <x:f>IF(AND('Данные'!D1139&gt;='Дашборд'!$C$55,D1139&lt;'Дашборд'!$C$56,'Данные'!E1139&gt;='Дашборд'!$C$53,'Данные'!L1139&lt;&gt;"Да"),"Да","Нет")</x:f>
        <x:v>Да</x:v>
      </x:c>
      <x:c r="O1139" s="1" t="str">
        <x:f>'Данные'!L1139</x:f>
        <x:v>Нет</x:v>
      </x:c>
    </x:row>
    <x:row r="1140">
      <x:c r="A1140" s="1" t="str">
        <x:f>'Данные'!A1140</x:f>
        <x:v>235997580</x:v>
      </x:c>
      <x:c r="B1140" s="1" t="str">
        <x:f>'Данные'!B1140</x:f>
        <x:v>bazaboy/коричневый</x:v>
      </x:c>
      <x:c r="C1140" s="8" t="n">
        <x:f>'Данные'!G1140</x:f>
        <x:v>78834</x:v>
      </x:c>
      <x:c r="D1140" s="15" t="n">
        <x:f>C1140/SUM($C$5:$C$2477)</x:f>
        <x:v>0.00009209574156657814</x:v>
      </x:c>
      <x:c r="E1140" s="15" t="n">
        <x:f>SUM($D$5:D1140)</x:f>
        <x:v>0.9846044632701064</x:v>
      </x:c>
      <x:c r="F1140" s="1" t="str">
        <x:f>IF(C1140&lt;=0,"C",IF(E1140-D1140&lt;'Дашборд'!$C$49,"A",IF(E1140-D1140&lt;'Дашборд'!$C$50,"B","C")))</x:f>
        <x:v>C</x:v>
      </x:c>
      <x:c r="G1140" s="8" t="n">
        <x:f>'Данные'!F1140</x:f>
        <x:v>338</x:v>
      </x:c>
      <x:c r="H1140" s="8" t="n">
        <x:f>SUM('Данные'!H1140:I1140)</x:f>
        <x:v>572</x:v>
      </x:c>
      <x:c r="I1140" s="16" t="n">
        <x:f>IF(H1140&gt;0,G1140/H1140,"n.a.")</x:f>
        <x:v>0.5909090909090909</x:v>
      </x:c>
      <x:c r="J1140" s="10" t="n">
        <x:f>IF('Данные'!E1140&gt;0,G1140/'Данные'!E1140,"n.a.")</x:f>
        <x:v>0.0416256157635468</x:v>
      </x:c>
      <x:c r="K1140" s="1" t="str">
        <x:f>IF(G1140&gt;='Дашборд'!$C$51,"X","Z")</x:f>
        <x:v>X</x:v>
      </x:c>
      <x:c r="L1140" s="1" t="str">
        <x:f>IF(H1140=0,IF(G1140&gt;0,"Нет остатка","Нет спроса"),IF(I1140&gt;='Дашборд'!$C$52,"Быстрый","Медленный"))</x:f>
        <x:v>Медленный</x:v>
      </x:c>
      <x:c r="M1140" s="1" t="str">
        <x:f>IF('Данные'!E1140&lt;'Дашборд'!$C$53,"Мало трафика",IF(J1140&lt;'Дашборд'!$C$9*'Дашборд'!$C$54,"Да","Нет"))</x:f>
        <x:v>Нет</x:v>
      </x:c>
      <x:c r="N1140" s="1" t="str">
        <x:f>IF(AND('Данные'!D1140&gt;='Дашборд'!$C$55,D1140&lt;'Дашборд'!$C$56,'Данные'!E1140&gt;='Дашборд'!$C$53,'Данные'!L1140&lt;&gt;"Да"),"Да","Нет")</x:f>
        <x:v>Да</x:v>
      </x:c>
      <x:c r="O1140" s="1" t="str">
        <x:f>'Данные'!L1140</x:f>
        <x:v>Нет</x:v>
      </x:c>
    </x:row>
    <x:row r="1141">
      <x:c r="A1141" s="1" t="str">
        <x:f>'Данные'!A1141</x:f>
        <x:v>79693726</x:v>
      </x:c>
      <x:c r="B1141" s="1" t="str">
        <x:f>'Данные'!B1141</x:f>
        <x:v>longsliv/коричневый</x:v>
      </x:c>
      <x:c r="C1141" s="8" t="n">
        <x:f>'Данные'!G1141</x:f>
        <x:v>78705</x:v>
      </x:c>
      <x:c r="D1141" s="15" t="n">
        <x:f>C1141/SUM($C$5:$C$2477)</x:f>
        <x:v>0.00009194504071844043</x:v>
      </x:c>
      <x:c r="E1141" s="15" t="n">
        <x:f>SUM($D$5:D1141)</x:f>
        <x:v>0.9846964083108248</x:v>
      </x:c>
      <x:c r="F1141" s="1" t="str">
        <x:f>IF(C1141&lt;=0,"C",IF(E1141-D1141&lt;'Дашборд'!$C$49,"A",IF(E1141-D1141&lt;'Дашборд'!$C$50,"B","C")))</x:f>
        <x:v>C</x:v>
      </x:c>
      <x:c r="G1141" s="8" t="n">
        <x:f>'Данные'!F1141</x:f>
        <x:v>214</x:v>
      </x:c>
      <x:c r="H1141" s="8" t="n">
        <x:f>SUM('Данные'!H1141:I1141)</x:f>
        <x:v>33</x:v>
      </x:c>
      <x:c r="I1141" s="16" t="n">
        <x:f>IF(H1141&gt;0,G1141/H1141,"n.a.")</x:f>
        <x:v>6.484848484848484</x:v>
      </x:c>
      <x:c r="J1141" s="10" t="n">
        <x:f>IF('Данные'!E1141&gt;0,G1141/'Данные'!E1141,"n.a.")</x:f>
        <x:v>0.019642037631941257</x:v>
      </x:c>
      <x:c r="K1141" s="1" t="str">
        <x:f>IF(G1141&gt;='Дашборд'!$C$51,"X","Z")</x:f>
        <x:v>Z</x:v>
      </x:c>
      <x:c r="L1141" s="1" t="str">
        <x:f>IF(H1141=0,IF(G1141&gt;0,"Нет остатка","Нет спроса"),IF(I1141&gt;='Дашборд'!$C$52,"Быстрый","Медленный"))</x:f>
        <x:v>Быстрый</x:v>
      </x:c>
      <x:c r="M1141" s="1" t="str">
        <x:f>IF('Данные'!E1141&lt;'Дашборд'!$C$53,"Мало трафика",IF(J1141&lt;'Дашборд'!$C$9*'Дашборд'!$C$54,"Да","Нет"))</x:f>
        <x:v>Нет</x:v>
      </x:c>
      <x:c r="N1141" s="1" t="str">
        <x:f>IF(AND('Данные'!D1141&gt;='Дашборд'!$C$55,D1141&lt;'Дашборд'!$C$56,'Данные'!E1141&gt;='Дашборд'!$C$53,'Данные'!L1141&lt;&gt;"Да"),"Да","Нет")</x:f>
        <x:v>Да</x:v>
      </x:c>
      <x:c r="O1141" s="1" t="str">
        <x:f>'Данные'!L1141</x:f>
        <x:v>Нет</x:v>
      </x:c>
    </x:row>
    <x:row r="1142">
      <x:c r="A1142" s="1" t="str">
        <x:f>'Данные'!A1142</x:f>
        <x:v>245583542</x:v>
      </x:c>
      <x:c r="B1142" s="1" t="str">
        <x:f>'Данные'!B1142</x:f>
        <x:v>hudiprint/NeverFails-120/голубой</x:v>
      </x:c>
      <x:c r="C1142" s="8" t="n">
        <x:f>'Данные'!G1142</x:f>
        <x:v>78511</x:v>
      </x:c>
      <x:c r="D1142" s="15" t="n">
        <x:f>C1142/SUM($C$5:$C$2477)</x:f>
        <x:v>0.00009171840533441937</x:v>
      </x:c>
      <x:c r="E1142" s="15" t="n">
        <x:f>SUM($D$5:D1142)</x:f>
        <x:v>0.9847881267161592</x:v>
      </x:c>
      <x:c r="F1142" s="1" t="str">
        <x:f>IF(C1142&lt;=0,"C",IF(E1142-D1142&lt;'Дашборд'!$C$49,"A",IF(E1142-D1142&lt;'Дашборд'!$C$50,"B","C")))</x:f>
        <x:v>C</x:v>
      </x:c>
      <x:c r="G1142" s="8" t="n">
        <x:f>'Данные'!F1142</x:f>
        <x:v>83</x:v>
      </x:c>
      <x:c r="H1142" s="8" t="n">
        <x:f>SUM('Данные'!H1142:I1142)</x:f>
        <x:v>164</x:v>
      </x:c>
      <x:c r="I1142" s="16" t="n">
        <x:f>IF(H1142&gt;0,G1142/H1142,"n.a.")</x:f>
        <x:v>0.5060975609756098</x:v>
      </x:c>
      <x:c r="J1142" s="10" t="n">
        <x:f>IF('Данные'!E1142&gt;0,G1142/'Данные'!E1142,"n.a.")</x:f>
        <x:v>0.004595028511321486</x:v>
      </x:c>
      <x:c r="K1142" s="1" t="str">
        <x:f>IF(G1142&gt;='Дашборд'!$C$51,"X","Z")</x:f>
        <x:v>Z</x:v>
      </x:c>
      <x:c r="L1142" s="1" t="str">
        <x:f>IF(H1142=0,IF(G1142&gt;0,"Нет остатка","Нет спроса"),IF(I1142&gt;='Дашборд'!$C$52,"Быстрый","Медленный"))</x:f>
        <x:v>Медленный</x:v>
      </x:c>
      <x:c r="M1142" s="1" t="str">
        <x:f>IF('Данные'!E1142&lt;'Дашборд'!$C$53,"Мало трафика",IF(J1142&lt;'Дашборд'!$C$9*'Дашборд'!$C$54,"Да","Нет"))</x:f>
        <x:v>Да</x:v>
      </x:c>
      <x:c r="N1142" s="1" t="str">
        <x:f>IF(AND('Данные'!D1142&gt;='Дашборд'!$C$55,D1142&lt;'Дашборд'!$C$56,'Данные'!E1142&gt;='Дашборд'!$C$53,'Данные'!L1142&lt;&gt;"Да"),"Да","Нет")</x:f>
        <x:v>Да</x:v>
      </x:c>
      <x:c r="O1142" s="1" t="str">
        <x:f>'Данные'!L1142</x:f>
        <x:v>Нет</x:v>
      </x:c>
    </x:row>
    <x:row r="1143">
      <x:c r="A1143" s="1" t="str">
        <x:f>'Данные'!A1143</x:f>
        <x:v>202779190</x:v>
      </x:c>
      <x:c r="B1143" s="1" t="str">
        <x:f>'Данные'!B1143</x:f>
        <x:v>hudiprint/Goodthinks-57/черный</x:v>
      </x:c>
      <x:c r="C1143" s="8" t="n">
        <x:f>'Данные'!G1143</x:f>
        <x:v>78220</x:v>
      </x:c>
      <x:c r="D1143" s="15" t="n">
        <x:f>C1143/SUM($C$5:$C$2477)</x:f>
        <x:v>0.00009137845225838778</x:v>
      </x:c>
      <x:c r="E1143" s="15" t="n">
        <x:f>SUM($D$5:D1143)</x:f>
        <x:v>0.9848795051684176</x:v>
      </x:c>
      <x:c r="F1143" s="1" t="str">
        <x:f>IF(C1143&lt;=0,"C",IF(E1143-D1143&lt;'Дашборд'!$C$49,"A",IF(E1143-D1143&lt;'Дашборд'!$C$50,"B","C")))</x:f>
        <x:v>C</x:v>
      </x:c>
      <x:c r="G1143" s="8" t="n">
        <x:f>'Данные'!F1143</x:f>
        <x:v>66</x:v>
      </x:c>
      <x:c r="H1143" s="8" t="n">
        <x:f>SUM('Данные'!H1143:I1143)</x:f>
        <x:v>32</x:v>
      </x:c>
      <x:c r="I1143" s="16" t="n">
        <x:f>IF(H1143&gt;0,G1143/H1143,"n.a.")</x:f>
        <x:v>2.0625</x:v>
      </x:c>
      <x:c r="J1143" s="10" t="n">
        <x:f>IF('Данные'!E1143&gt;0,G1143/'Данные'!E1143,"n.a.")</x:f>
        <x:v>0.007353760445682451</x:v>
      </x:c>
      <x:c r="K1143" s="1" t="str">
        <x:f>IF(G1143&gt;='Дашборд'!$C$51,"X","Z")</x:f>
        <x:v>Z</x:v>
      </x:c>
      <x:c r="L1143" s="1" t="str">
        <x:f>IF(H1143=0,IF(G1143&gt;0,"Нет остатка","Нет спроса"),IF(I1143&gt;='Дашборд'!$C$52,"Быстрый","Медленный"))</x:f>
        <x:v>Быстрый</x:v>
      </x:c>
      <x:c r="M1143" s="1" t="str">
        <x:f>IF('Данные'!E1143&lt;'Дашборд'!$C$53,"Мало трафика",IF(J1143&lt;'Дашборд'!$C$9*'Дашборд'!$C$54,"Да","Нет"))</x:f>
        <x:v>Да</x:v>
      </x:c>
      <x:c r="N1143" s="1" t="str">
        <x:f>IF(AND('Данные'!D1143&gt;='Дашборд'!$C$55,D1143&lt;'Дашборд'!$C$56,'Данные'!E1143&gt;='Дашборд'!$C$53,'Данные'!L1143&lt;&gt;"Да"),"Да","Нет")</x:f>
        <x:v>Нет</x:v>
      </x:c>
      <x:c r="O1143" s="1" t="str">
        <x:f>'Данные'!L1143</x:f>
        <x:v>Нет</x:v>
      </x:c>
    </x:row>
    <x:row r="1144">
      <x:c r="A1144" s="1" t="str">
        <x:f>'Данные'!A1144</x:f>
        <x:v>235997588</x:v>
      </x:c>
      <x:c r="B1144" s="1" t="str">
        <x:f>'Данные'!B1144</x:f>
        <x:v>bazaboy/какао</x:v>
      </x:c>
      <x:c r="C1144" s="8" t="n">
        <x:f>'Данные'!G1144</x:f>
        <x:v>78050</x:v>
      </x:c>
      <x:c r="D1144" s="15" t="n">
        <x:f>C1144/SUM($C$5:$C$2477)</x:f>
        <x:v>0.00009117985424146212</x:v>
      </x:c>
      <x:c r="E1144" s="15" t="n">
        <x:f>SUM($D$5:D1144)</x:f>
        <x:v>0.984970685022659</x:v>
      </x:c>
      <x:c r="F1144" s="1" t="str">
        <x:f>IF(C1144&lt;=0,"C",IF(E1144-D1144&lt;'Дашборд'!$C$49,"A",IF(E1144-D1144&lt;'Дашборд'!$C$50,"B","C")))</x:f>
        <x:v>C</x:v>
      </x:c>
      <x:c r="G1144" s="8" t="n">
        <x:f>'Данные'!F1144</x:f>
        <x:v>262</x:v>
      </x:c>
      <x:c r="H1144" s="8" t="n">
        <x:f>SUM('Данные'!H1144:I1144)</x:f>
        <x:v>782</x:v>
      </x:c>
      <x:c r="I1144" s="16" t="n">
        <x:f>IF(H1144&gt;0,G1144/H1144,"n.a.")</x:f>
        <x:v>0.3350383631713555</x:v>
      </x:c>
      <x:c r="J1144" s="10" t="n">
        <x:f>IF('Данные'!E1144&gt;0,G1144/'Данные'!E1144,"n.a.")</x:f>
        <x:v>0.034711181770005296</x:v>
      </x:c>
      <x:c r="K1144" s="1" t="str">
        <x:f>IF(G1144&gt;='Дашборд'!$C$51,"X","Z")</x:f>
        <x:v>Z</x:v>
      </x:c>
      <x:c r="L1144" s="1" t="str">
        <x:f>IF(H1144=0,IF(G1144&gt;0,"Нет остатка","Нет спроса"),IF(I1144&gt;='Дашборд'!$C$52,"Быстрый","Медленный"))</x:f>
        <x:v>Медленный</x:v>
      </x:c>
      <x:c r="M1144" s="1" t="str">
        <x:f>IF('Данные'!E1144&lt;'Дашборд'!$C$53,"Мало трафика",IF(J1144&lt;'Дашборд'!$C$9*'Дашборд'!$C$54,"Да","Нет"))</x:f>
        <x:v>Нет</x:v>
      </x:c>
      <x:c r="N1144" s="1" t="str">
        <x:f>IF(AND('Данные'!D1144&gt;='Дашборд'!$C$55,D1144&lt;'Дашборд'!$C$56,'Данные'!E1144&gt;='Дашборд'!$C$53,'Данные'!L1144&lt;&gt;"Да"),"Да","Нет")</x:f>
        <x:v>Да</x:v>
      </x:c>
      <x:c r="O1144" s="1" t="str">
        <x:f>'Данные'!L1144</x:f>
        <x:v>Нет</x:v>
      </x:c>
    </x:row>
    <x:row r="1145">
      <x:c r="A1145" s="1" t="str">
        <x:f>'Данные'!A1145</x:f>
        <x:v>344502477</x:v>
      </x:c>
      <x:c r="B1145" s="1" t="str">
        <x:f>'Данные'!B1145</x:f>
        <x:v>malyshkabasic/каштановый</x:v>
      </x:c>
      <x:c r="C1145" s="8" t="n">
        <x:f>'Данные'!G1145</x:f>
        <x:v>77808</x:v>
      </x:c>
      <x:c r="D1145" s="15" t="n">
        <x:f>C1145/SUM($C$5:$C$2477)</x:f>
        <x:v>0.00009089714412325027</x:v>
      </x:c>
      <x:c r="E1145" s="15" t="n">
        <x:f>SUM($D$5:D1145)</x:f>
        <x:v>0.9850615821667823</x:v>
      </x:c>
      <x:c r="F1145" s="1" t="str">
        <x:f>IF(C1145&lt;=0,"C",IF(E1145-D1145&lt;'Дашборд'!$C$49,"A",IF(E1145-D1145&lt;'Дашборд'!$C$50,"B","C")))</x:f>
        <x:v>C</x:v>
      </x:c>
      <x:c r="G1145" s="8" t="n">
        <x:f>'Данные'!F1145</x:f>
        <x:v>244</x:v>
      </x:c>
      <x:c r="H1145" s="8" t="n">
        <x:f>SUM('Данные'!H1145:I1145)</x:f>
        <x:v>511</x:v>
      </x:c>
      <x:c r="I1145" s="16" t="n">
        <x:f>IF(H1145&gt;0,G1145/H1145,"n.a.")</x:f>
        <x:v>0.4774951076320939</x:v>
      </x:c>
      <x:c r="J1145" s="10" t="n">
        <x:f>IF('Данные'!E1145&gt;0,G1145/'Данные'!E1145,"n.a.")</x:f>
        <x:v>0.0036112837817837374</x:v>
      </x:c>
      <x:c r="K1145" s="1" t="str">
        <x:f>IF(G1145&gt;='Дашборд'!$C$51,"X","Z")</x:f>
        <x:v>Z</x:v>
      </x:c>
      <x:c r="L1145" s="1" t="str">
        <x:f>IF(H1145=0,IF(G1145&gt;0,"Нет остатка","Нет спроса"),IF(I1145&gt;='Дашборд'!$C$52,"Быстрый","Медленный"))</x:f>
        <x:v>Медленный</x:v>
      </x:c>
      <x:c r="M1145" s="1" t="str">
        <x:f>IF('Данные'!E1145&lt;'Дашборд'!$C$53,"Мало трафика",IF(J1145&lt;'Дашборд'!$C$9*'Дашборд'!$C$54,"Да","Нет"))</x:f>
        <x:v>Да</x:v>
      </x:c>
      <x:c r="N1145" s="1" t="str">
        <x:f>IF(AND('Данные'!D1145&gt;='Дашборд'!$C$55,D1145&lt;'Дашборд'!$C$56,'Данные'!E1145&gt;='Дашборд'!$C$53,'Данные'!L1145&lt;&gt;"Да"),"Да","Нет")</x:f>
        <x:v>Нет</x:v>
      </x:c>
      <x:c r="O1145" s="1" t="str">
        <x:f>'Данные'!L1145</x:f>
        <x:v>Нет</x:v>
      </x:c>
    </x:row>
    <x:row r="1146">
      <x:c r="A1146" s="1" t="str">
        <x:f>'Данные'!A1146</x:f>
        <x:v>300305941</x:v>
      </x:c>
      <x:c r="B1146" s="1" t="str">
        <x:f>'Данные'!B1146</x:f>
        <x:v>palazzonachos/темно-серый</x:v>
      </x:c>
      <x:c r="C1146" s="8" t="n">
        <x:f>'Данные'!G1146</x:f>
        <x:v>77801</x:v>
      </x:c>
      <x:c r="D1146" s="15" t="n">
        <x:f>C1146/SUM($C$5:$C$2477)</x:f>
        <x:v>0.00009088896655784746</x:v>
      </x:c>
      <x:c r="E1146" s="15" t="n">
        <x:f>SUM($D$5:D1146)</x:f>
        <x:v>0.9851524711333401</x:v>
      </x:c>
      <x:c r="F1146" s="1" t="str">
        <x:f>IF(C1146&lt;=0,"C",IF(E1146-D1146&lt;'Дашборд'!$C$49,"A",IF(E1146-D1146&lt;'Дашборд'!$C$50,"B","C")))</x:f>
        <x:v>C</x:v>
      </x:c>
      <x:c r="G1146" s="8" t="n">
        <x:f>'Данные'!F1146</x:f>
        <x:v>163</x:v>
      </x:c>
      <x:c r="H1146" s="8" t="n">
        <x:f>SUM('Данные'!H1146:I1146)</x:f>
        <x:v>68</x:v>
      </x:c>
      <x:c r="I1146" s="16" t="n">
        <x:f>IF(H1146&gt;0,G1146/H1146,"n.a.")</x:f>
        <x:v>2.3970588235294117</x:v>
      </x:c>
      <x:c r="J1146" s="10" t="n">
        <x:f>IF('Данные'!E1146&gt;0,G1146/'Данные'!E1146,"n.a.")</x:f>
        <x:v>0.01105309554485658</x:v>
      </x:c>
      <x:c r="K1146" s="1" t="str">
        <x:f>IF(G1146&gt;='Дашборд'!$C$51,"X","Z")</x:f>
        <x:v>Z</x:v>
      </x:c>
      <x:c r="L1146" s="1" t="str">
        <x:f>IF(H1146=0,IF(G1146&gt;0,"Нет остатка","Нет спроса"),IF(I1146&gt;='Дашборд'!$C$52,"Быстрый","Медленный"))</x:f>
        <x:v>Быстрый</x:v>
      </x:c>
      <x:c r="M1146" s="1" t="str">
        <x:f>IF('Данные'!E1146&lt;'Дашборд'!$C$53,"Мало трафика",IF(J1146&lt;'Дашборд'!$C$9*'Дашборд'!$C$54,"Да","Нет"))</x:f>
        <x:v>Нет</x:v>
      </x:c>
      <x:c r="N1146" s="1" t="str">
        <x:f>IF(AND('Данные'!D1146&gt;='Дашборд'!$C$55,D1146&lt;'Дашборд'!$C$56,'Данные'!E1146&gt;='Дашборд'!$C$53,'Данные'!L1146&lt;&gt;"Да"),"Да","Нет")</x:f>
        <x:v>Нет</x:v>
      </x:c>
      <x:c r="O1146" s="1" t="str">
        <x:f>'Данные'!L1146</x:f>
        <x:v>Нет</x:v>
      </x:c>
    </x:row>
    <x:row r="1147">
      <x:c r="A1147" s="1" t="str">
        <x:f>'Данные'!A1147</x:f>
        <x:v>251257771</x:v>
      </x:c>
      <x:c r="B1147" s="1" t="str">
        <x:f>'Данные'!B1147</x:f>
        <x:v>hudimanprint/Amare-182/черный</x:v>
      </x:c>
      <x:c r="C1147" s="8" t="n">
        <x:f>'Данные'!G1147</x:f>
        <x:v>77331</x:v>
      </x:c>
      <x:c r="D1147" s="15" t="n">
        <x:f>C1147/SUM($C$5:$C$2477)</x:f>
        <x:v>0.00009033990145222942</x:v>
      </x:c>
      <x:c r="E1147" s="15" t="n">
        <x:f>SUM($D$5:D1147)</x:f>
        <x:v>0.9852428110347924</x:v>
      </x:c>
      <x:c r="F1147" s="1" t="str">
        <x:f>IF(C1147&lt;=0,"C",IF(E1147-D1147&lt;'Дашборд'!$C$49,"A",IF(E1147-D1147&lt;'Дашборд'!$C$50,"B","C")))</x:f>
        <x:v>C</x:v>
      </x:c>
      <x:c r="G1147" s="8" t="n">
        <x:f>'Данные'!F1147</x:f>
        <x:v>85</x:v>
      </x:c>
      <x:c r="H1147" s="8" t="n">
        <x:f>SUM('Данные'!H1147:I1147)</x:f>
        <x:v>170</x:v>
      </x:c>
      <x:c r="I1147" s="16" t="n">
        <x:f>IF(H1147&gt;0,G1147/H1147,"n.a.")</x:f>
        <x:v>0.5</x:v>
      </x:c>
      <x:c r="J1147" s="10" t="n">
        <x:f>IF('Данные'!E1147&gt;0,G1147/'Данные'!E1147,"n.a.")</x:f>
        <x:v>0.011034661820070103</x:v>
      </x:c>
      <x:c r="K1147" s="1" t="str">
        <x:f>IF(G1147&gt;='Дашборд'!$C$51,"X","Z")</x:f>
        <x:v>Z</x:v>
      </x:c>
      <x:c r="L1147" s="1" t="str">
        <x:f>IF(H1147=0,IF(G1147&gt;0,"Нет остатка","Нет спроса"),IF(I1147&gt;='Дашборд'!$C$52,"Быстрый","Медленный"))</x:f>
        <x:v>Медленный</x:v>
      </x:c>
      <x:c r="M1147" s="1" t="str">
        <x:f>IF('Данные'!E1147&lt;'Дашборд'!$C$53,"Мало трафика",IF(J1147&lt;'Дашборд'!$C$9*'Дашборд'!$C$54,"Да","Нет"))</x:f>
        <x:v>Нет</x:v>
      </x:c>
      <x:c r="N1147" s="1" t="str">
        <x:f>IF(AND('Данные'!D1147&gt;='Дашборд'!$C$55,D1147&lt;'Дашборд'!$C$56,'Данные'!E1147&gt;='Дашборд'!$C$53,'Данные'!L1147&lt;&gt;"Да"),"Да","Нет")</x:f>
        <x:v>Нет</x:v>
      </x:c>
      <x:c r="O1147" s="1" t="str">
        <x:f>'Данные'!L1147</x:f>
        <x:v>Нет</x:v>
      </x:c>
    </x:row>
    <x:row r="1148">
      <x:c r="A1148" s="1" t="str">
        <x:f>'Данные'!A1148</x:f>
        <x:v>289095363</x:v>
      </x:c>
      <x:c r="B1148" s="1" t="str">
        <x:f>'Данные'!B1148</x:f>
        <x:v>palazzoshnurok/серый</x:v>
      </x:c>
      <x:c r="C1148" s="8" t="n">
        <x:f>'Данные'!G1148</x:f>
        <x:v>76500</x:v>
      </x:c>
      <x:c r="D1148" s="15" t="n">
        <x:f>C1148/SUM($C$5:$C$2477)</x:f>
        <x:v>0.00008936910761655159</x:v>
      </x:c>
      <x:c r="E1148" s="15" t="n">
        <x:f>SUM($D$5:D1148)</x:f>
        <x:v>0.985332180142409</x:v>
      </x:c>
      <x:c r="F1148" s="1" t="str">
        <x:f>IF(C1148&lt;=0,"C",IF(E1148-D1148&lt;'Дашборд'!$C$49,"A",IF(E1148-D1148&lt;'Дашборд'!$C$50,"B","C")))</x:f>
        <x:v>C</x:v>
      </x:c>
      <x:c r="G1148" s="8" t="n">
        <x:f>'Данные'!F1148</x:f>
        <x:v>186</x:v>
      </x:c>
      <x:c r="H1148" s="8" t="n">
        <x:f>SUM('Данные'!H1148:I1148)</x:f>
        <x:v>72</x:v>
      </x:c>
      <x:c r="I1148" s="16" t="n">
        <x:f>IF(H1148&gt;0,G1148/H1148,"n.a.")</x:f>
        <x:v>2.5833333333333335</x:v>
      </x:c>
      <x:c r="J1148" s="10" t="n">
        <x:f>IF('Данные'!E1148&gt;0,G1148/'Данные'!E1148,"n.a.")</x:f>
        <x:v>0.0071936881188118815</x:v>
      </x:c>
      <x:c r="K1148" s="1" t="str">
        <x:f>IF(G1148&gt;='Дашборд'!$C$51,"X","Z")</x:f>
        <x:v>Z</x:v>
      </x:c>
      <x:c r="L1148" s="1" t="str">
        <x:f>IF(H1148=0,IF(G1148&gt;0,"Нет остатка","Нет спроса"),IF(I1148&gt;='Дашборд'!$C$52,"Быстрый","Медленный"))</x:f>
        <x:v>Быстрый</x:v>
      </x:c>
      <x:c r="M1148" s="1" t="str">
        <x:f>IF('Данные'!E1148&lt;'Дашборд'!$C$53,"Мало трафика",IF(J1148&lt;'Дашборд'!$C$9*'Дашборд'!$C$54,"Да","Нет"))</x:f>
        <x:v>Да</x:v>
      </x:c>
      <x:c r="N1148" s="1" t="str">
        <x:f>IF(AND('Данные'!D1148&gt;='Дашборд'!$C$55,D1148&lt;'Дашборд'!$C$56,'Данные'!E1148&gt;='Дашборд'!$C$53,'Данные'!L1148&lt;&gt;"Да"),"Да","Нет")</x:f>
        <x:v>Да</x:v>
      </x:c>
      <x:c r="O1148" s="1" t="str">
        <x:f>'Данные'!L1148</x:f>
        <x:v>Нет</x:v>
      </x:c>
    </x:row>
    <x:row r="1149">
      <x:c r="A1149" s="1" t="str">
        <x:f>'Данные'!A1149</x:f>
        <x:v>300305958</x:v>
      </x:c>
      <x:c r="B1149" s="1" t="str">
        <x:f>'Данные'!B1149</x:f>
        <x:v>palazzonachos/темно-синий</x:v>
      </x:c>
      <x:c r="C1149" s="8" t="n">
        <x:f>'Данные'!G1149</x:f>
        <x:v>76422</x:v>
      </x:c>
      <x:c r="D1149" s="15" t="n">
        <x:f>C1149/SUM($C$5:$C$2477)</x:f>
        <x:v>0.00008927798617349157</x:v>
      </x:c>
      <x:c r="E1149" s="15" t="n">
        <x:f>SUM($D$5:D1149)</x:f>
        <x:v>0.9854214581285825</x:v>
      </x:c>
      <x:c r="F1149" s="1" t="str">
        <x:f>IF(C1149&lt;=0,"C",IF(E1149-D1149&lt;'Дашборд'!$C$49,"A",IF(E1149-D1149&lt;'Дашборд'!$C$50,"B","C")))</x:f>
        <x:v>C</x:v>
      </x:c>
      <x:c r="G1149" s="8" t="n">
        <x:f>'Данные'!F1149</x:f>
        <x:v>157</x:v>
      </x:c>
      <x:c r="H1149" s="8" t="n">
        <x:f>SUM('Данные'!H1149:I1149)</x:f>
        <x:v>124</x:v>
      </x:c>
      <x:c r="I1149" s="16" t="n">
        <x:f>IF(H1149&gt;0,G1149/H1149,"n.a.")</x:f>
        <x:v>1.2661290322580645</x:v>
      </x:c>
      <x:c r="J1149" s="10" t="n">
        <x:f>IF('Данные'!E1149&gt;0,G1149/'Данные'!E1149,"n.a.")</x:f>
        <x:v>0.01621565792191696</x:v>
      </x:c>
      <x:c r="K1149" s="1" t="str">
        <x:f>IF(G1149&gt;='Дашборд'!$C$51,"X","Z")</x:f>
        <x:v>Z</x:v>
      </x:c>
      <x:c r="L1149" s="1" t="str">
        <x:f>IF(H1149=0,IF(G1149&gt;0,"Нет остатка","Нет спроса"),IF(I1149&gt;='Дашборд'!$C$52,"Быстрый","Медленный"))</x:f>
        <x:v>Быстрый</x:v>
      </x:c>
      <x:c r="M1149" s="1" t="str">
        <x:f>IF('Данные'!E1149&lt;'Дашборд'!$C$53,"Мало трафика",IF(J1149&lt;'Дашборд'!$C$9*'Дашборд'!$C$54,"Да","Нет"))</x:f>
        <x:v>Нет</x:v>
      </x:c>
      <x:c r="N1149" s="1" t="str">
        <x:f>IF(AND('Данные'!D1149&gt;='Дашборд'!$C$55,D1149&lt;'Дашборд'!$C$56,'Данные'!E1149&gt;='Дашборд'!$C$53,'Данные'!L1149&lt;&gt;"Да"),"Да","Нет")</x:f>
        <x:v>Нет</x:v>
      </x:c>
      <x:c r="O1149" s="1" t="str">
        <x:f>'Данные'!L1149</x:f>
        <x:v>Нет</x:v>
      </x:c>
    </x:row>
    <x:row r="1150">
      <x:c r="A1150" s="1" t="str">
        <x:f>'Данные'!A1150</x:f>
        <x:v>321831819</x:v>
      </x:c>
      <x:c r="B1150" s="1" t="str">
        <x:f>'Данные'!B1150</x:f>
        <x:v>ribmayka3R-S13/черный</x:v>
      </x:c>
      <x:c r="C1150" s="8" t="n">
        <x:f>'Данные'!G1150</x:f>
        <x:v>75363</x:v>
      </x:c>
      <x:c r="D1150" s="15" t="n">
        <x:f>C1150/SUM($C$5:$C$2477)</x:f>
        <x:v>0.00008804083735040755</x:v>
      </x:c>
      <x:c r="E1150" s="15" t="n">
        <x:f>SUM($D$5:D1150)</x:f>
        <x:v>0.9855094989659329</x:v>
      </x:c>
      <x:c r="F1150" s="1" t="str">
        <x:f>IF(C1150&lt;=0,"C",IF(E1150-D1150&lt;'Дашборд'!$C$49,"A",IF(E1150-D1150&lt;'Дашборд'!$C$50,"B","C")))</x:f>
        <x:v>C</x:v>
      </x:c>
      <x:c r="G1150" s="8" t="n">
        <x:f>'Данные'!F1150</x:f>
        <x:v>165</x:v>
      </x:c>
      <x:c r="H1150" s="8" t="n">
        <x:f>SUM('Данные'!H1150:I1150)</x:f>
        <x:v>795</x:v>
      </x:c>
      <x:c r="I1150" s="16" t="n">
        <x:f>IF(H1150&gt;0,G1150/H1150,"n.a.")</x:f>
        <x:v>0.20754716981132076</x:v>
      </x:c>
      <x:c r="J1150" s="10" t="n">
        <x:f>IF('Данные'!E1150&gt;0,G1150/'Данные'!E1150,"n.a.")</x:f>
        <x:v>0.01134878602379806</x:v>
      </x:c>
      <x:c r="K1150" s="1" t="str">
        <x:f>IF(G1150&gt;='Дашборд'!$C$51,"X","Z")</x:f>
        <x:v>Z</x:v>
      </x:c>
      <x:c r="L1150" s="1" t="str">
        <x:f>IF(H1150=0,IF(G1150&gt;0,"Нет остатка","Нет спроса"),IF(I1150&gt;='Дашборд'!$C$52,"Быстрый","Медленный"))</x:f>
        <x:v>Медленный</x:v>
      </x:c>
      <x:c r="M1150" s="1" t="str">
        <x:f>IF('Данные'!E1150&lt;'Дашборд'!$C$53,"Мало трафика",IF(J1150&lt;'Дашборд'!$C$9*'Дашборд'!$C$54,"Да","Нет"))</x:f>
        <x:v>Нет</x:v>
      </x:c>
      <x:c r="N1150" s="1" t="str">
        <x:f>IF(AND('Данные'!D1150&gt;='Дашборд'!$C$55,D1150&lt;'Дашборд'!$C$56,'Данные'!E1150&gt;='Дашборд'!$C$53,'Данные'!L1150&lt;&gt;"Да"),"Да","Нет")</x:f>
        <x:v>Да</x:v>
      </x:c>
      <x:c r="O1150" s="1" t="str">
        <x:f>'Данные'!L1150</x:f>
        <x:v>Нет</x:v>
      </x:c>
    </x:row>
    <x:row r="1151">
      <x:c r="A1151" s="1" t="str">
        <x:f>'Данные'!A1151</x:f>
        <x:v>251790570</x:v>
      </x:c>
      <x:c r="B1151" s="1" t="str">
        <x:f>'Данные'!B1151</x:f>
        <x:v>svitshotmanprint/Paradox-181/темно-серый</x:v>
      </x:c>
      <x:c r="C1151" s="8" t="n">
        <x:f>'Данные'!G1151</x:f>
        <x:v>74457</x:v>
      </x:c>
      <x:c r="D1151" s="15" t="n">
        <x:f>C1151/SUM($C$5:$C$2477)</x:f>
        <x:v>0.00008698242674255662</x:v>
      </x:c>
      <x:c r="E1151" s="15" t="n">
        <x:f>SUM($D$5:D1151)</x:f>
        <x:v>0.9855964813926754</x:v>
      </x:c>
      <x:c r="F1151" s="1" t="str">
        <x:f>IF(C1151&lt;=0,"C",IF(E1151-D1151&lt;'Дашборд'!$C$49,"A",IF(E1151-D1151&lt;'Дашборд'!$C$50,"B","C")))</x:f>
        <x:v>C</x:v>
      </x:c>
      <x:c r="G1151" s="8" t="n">
        <x:f>'Данные'!F1151</x:f>
        <x:v>97</x:v>
      </x:c>
      <x:c r="H1151" s="8" t="n">
        <x:f>SUM('Данные'!H1151:I1151)</x:f>
        <x:v>137</x:v>
      </x:c>
      <x:c r="I1151" s="16" t="n">
        <x:f>IF(H1151&gt;0,G1151/H1151,"n.a.")</x:f>
        <x:v>0.708029197080292</x:v>
      </x:c>
      <x:c r="J1151" s="10" t="n">
        <x:f>IF('Данные'!E1151&gt;0,G1151/'Данные'!E1151,"n.a.")</x:f>
        <x:v>0.0065522831667117</x:v>
      </x:c>
      <x:c r="K1151" s="1" t="str">
        <x:f>IF(G1151&gt;='Дашборд'!$C$51,"X","Z")</x:f>
        <x:v>Z</x:v>
      </x:c>
      <x:c r="L1151" s="1" t="str">
        <x:f>IF(H1151=0,IF(G1151&gt;0,"Нет остатка","Нет спроса"),IF(I1151&gt;='Дашборд'!$C$52,"Быстрый","Медленный"))</x:f>
        <x:v>Медленный</x:v>
      </x:c>
      <x:c r="M1151" s="1" t="str">
        <x:f>IF('Данные'!E1151&lt;'Дашборд'!$C$53,"Мало трафика",IF(J1151&lt;'Дашборд'!$C$9*'Дашборд'!$C$54,"Да","Нет"))</x:f>
        <x:v>Да</x:v>
      </x:c>
      <x:c r="N1151" s="1" t="str">
        <x:f>IF(AND('Данные'!D1151&gt;='Дашборд'!$C$55,D1151&lt;'Дашборд'!$C$56,'Данные'!E1151&gt;='Дашборд'!$C$53,'Данные'!L1151&lt;&gt;"Да"),"Да","Нет")</x:f>
        <x:v>Да</x:v>
      </x:c>
      <x:c r="O1151" s="1" t="str">
        <x:f>'Данные'!L1151</x:f>
        <x:v>Нет</x:v>
      </x:c>
    </x:row>
    <x:row r="1152">
      <x:c r="A1152" s="1" t="str">
        <x:f>'Данные'!A1152</x:f>
        <x:v>348183441</x:v>
      </x:c>
      <x:c r="B1152" s="1" t="str">
        <x:f>'Данные'!B1152</x:f>
        <x:v>shtanyfix/серый</x:v>
      </x:c>
      <x:c r="C1152" s="8" t="n">
        <x:f>'Данные'!G1152</x:f>
        <x:v>73729</x:v>
      </x:c>
      <x:c r="D1152" s="15" t="n">
        <x:f>C1152/SUM($C$5:$C$2477)</x:f>
        <x:v>0.00008613195994066317</x:v>
      </x:c>
      <x:c r="E1152" s="15" t="n">
        <x:f>SUM($D$5:D1152)</x:f>
        <x:v>0.9856826133526161</x:v>
      </x:c>
      <x:c r="F1152" s="1" t="str">
        <x:f>IF(C1152&lt;=0,"C",IF(E1152-D1152&lt;'Дашборд'!$C$49,"A",IF(E1152-D1152&lt;'Дашборд'!$C$50,"B","C")))</x:f>
        <x:v>C</x:v>
      </x:c>
      <x:c r="G1152" s="8" t="n">
        <x:f>'Данные'!F1152</x:f>
        <x:v>124</x:v>
      </x:c>
      <x:c r="H1152" s="8" t="n">
        <x:f>SUM('Данные'!H1152:I1152)</x:f>
        <x:v>22</x:v>
      </x:c>
      <x:c r="I1152" s="16" t="n">
        <x:f>IF(H1152&gt;0,G1152/H1152,"n.a.")</x:f>
        <x:v>5.636363636363637</x:v>
      </x:c>
      <x:c r="J1152" s="10" t="n">
        <x:f>IF('Данные'!E1152&gt;0,G1152/'Данные'!E1152,"n.a.")</x:f>
        <x:v>0.011852418275664309</x:v>
      </x:c>
      <x:c r="K1152" s="1" t="str">
        <x:f>IF(G1152&gt;='Дашборд'!$C$51,"X","Z")</x:f>
        <x:v>Z</x:v>
      </x:c>
      <x:c r="L1152" s="1" t="str">
        <x:f>IF(H1152=0,IF(G1152&gt;0,"Нет остатка","Нет спроса"),IF(I1152&gt;='Дашборд'!$C$52,"Быстрый","Медленный"))</x:f>
        <x:v>Быстрый</x:v>
      </x:c>
      <x:c r="M1152" s="1" t="str">
        <x:f>IF('Данные'!E1152&lt;'Дашборд'!$C$53,"Мало трафика",IF(J1152&lt;'Дашборд'!$C$9*'Дашборд'!$C$54,"Да","Нет"))</x:f>
        <x:v>Нет</x:v>
      </x:c>
      <x:c r="N1152" s="1" t="str">
        <x:f>IF(AND('Данные'!D1152&gt;='Дашборд'!$C$55,D1152&lt;'Дашборд'!$C$56,'Данные'!E1152&gt;='Дашборд'!$C$53,'Данные'!L1152&lt;&gt;"Да"),"Да","Нет")</x:f>
        <x:v>Нет</x:v>
      </x:c>
      <x:c r="O1152" s="1" t="str">
        <x:f>'Данные'!L1152</x:f>
        <x:v>Нет</x:v>
      </x:c>
    </x:row>
    <x:row r="1153">
      <x:c r="A1153" s="1" t="str">
        <x:f>'Данные'!A1153</x:f>
        <x:v>245583541</x:v>
      </x:c>
      <x:c r="B1153" s="1" t="str">
        <x:f>'Данные'!B1153</x:f>
        <x:v>hudiprint/BROOKLYN-77/молочный</x:v>
      </x:c>
      <x:c r="C1153" s="8" t="n">
        <x:f>'Данные'!G1153</x:f>
        <x:v>73668</x:v>
      </x:c>
      <x:c r="D1153" s="15" t="n">
        <x:f>C1153/SUM($C$5:$C$2477)</x:f>
        <x:v>0.00008606069829929572</x:v>
      </x:c>
      <x:c r="E1153" s="15" t="n">
        <x:f>SUM($D$5:D1153)</x:f>
        <x:v>0.9857686740509154</x:v>
      </x:c>
      <x:c r="F1153" s="1" t="str">
        <x:f>IF(C1153&lt;=0,"C",IF(E1153-D1153&lt;'Дашборд'!$C$49,"A",IF(E1153-D1153&lt;'Дашборд'!$C$50,"B","C")))</x:f>
        <x:v>C</x:v>
      </x:c>
      <x:c r="G1153" s="8" t="n">
        <x:f>'Данные'!F1153</x:f>
        <x:v>82</x:v>
      </x:c>
      <x:c r="H1153" s="8" t="n">
        <x:f>SUM('Данные'!H1153:I1153)</x:f>
        <x:v>8</x:v>
      </x:c>
      <x:c r="I1153" s="16" t="n">
        <x:f>IF(H1153&gt;0,G1153/H1153,"n.a.")</x:f>
        <x:v>10.25</x:v>
      </x:c>
      <x:c r="J1153" s="10" t="n">
        <x:f>IF('Данные'!E1153&gt;0,G1153/'Данные'!E1153,"n.a.")</x:f>
        <x:v>0.006289308176100629</x:v>
      </x:c>
      <x:c r="K1153" s="1" t="str">
        <x:f>IF(G1153&gt;='Дашборд'!$C$51,"X","Z")</x:f>
        <x:v>Z</x:v>
      </x:c>
      <x:c r="L1153" s="1" t="str">
        <x:f>IF(H1153=0,IF(G1153&gt;0,"Нет остатка","Нет спроса"),IF(I1153&gt;='Дашборд'!$C$52,"Быстрый","Медленный"))</x:f>
        <x:v>Быстрый</x:v>
      </x:c>
      <x:c r="M1153" s="1" t="str">
        <x:f>IF('Данные'!E1153&lt;'Дашборд'!$C$53,"Мало трафика",IF(J1153&lt;'Дашборд'!$C$9*'Дашборд'!$C$54,"Да","Нет"))</x:f>
        <x:v>Да</x:v>
      </x:c>
      <x:c r="N1153" s="1" t="str">
        <x:f>IF(AND('Данные'!D1153&gt;='Дашборд'!$C$55,D1153&lt;'Дашборд'!$C$56,'Данные'!E1153&gt;='Дашборд'!$C$53,'Данные'!L1153&lt;&gt;"Да"),"Да","Нет")</x:f>
        <x:v>Да</x:v>
      </x:c>
      <x:c r="O1153" s="1" t="str">
        <x:f>'Данные'!L1153</x:f>
        <x:v>Нет</x:v>
      </x:c>
    </x:row>
    <x:row r="1154">
      <x:c r="A1154" s="1" t="str">
        <x:f>'Данные'!A1154</x:f>
        <x:v>150674019</x:v>
      </x:c>
      <x:c r="B1154" s="1" t="str">
        <x:f>'Данные'!B1154</x:f>
        <x:v>svitshotover/сине-серый</x:v>
      </x:c>
      <x:c r="C1154" s="8" t="n">
        <x:f>'Данные'!G1154</x:f>
        <x:v>73516</x:v>
      </x:c>
      <x:c r="D1154" s="15" t="n">
        <x:f>C1154/SUM($C$5:$C$2477)</x:f>
        <x:v>0.00008588312830769158</x:v>
      </x:c>
      <x:c r="E1154" s="15" t="n">
        <x:f>SUM($D$5:D1154)</x:f>
        <x:v>0.9858545571792231</x:v>
      </x:c>
      <x:c r="F1154" s="1" t="str">
        <x:f>IF(C1154&lt;=0,"C",IF(E1154-D1154&lt;'Дашборд'!$C$49,"A",IF(E1154-D1154&lt;'Дашборд'!$C$50,"B","C")))</x:f>
        <x:v>C</x:v>
      </x:c>
      <x:c r="G1154" s="8" t="n">
        <x:f>'Данные'!F1154</x:f>
        <x:v>97</x:v>
      </x:c>
      <x:c r="H1154" s="8" t="n">
        <x:f>SUM('Данные'!H1154:I1154)</x:f>
        <x:v>514</x:v>
      </x:c>
      <x:c r="I1154" s="16" t="n">
        <x:f>IF(H1154&gt;0,G1154/H1154,"n.a.")</x:f>
        <x:v>0.188715953307393</x:v>
      </x:c>
      <x:c r="J1154" s="10" t="n">
        <x:f>IF('Данные'!E1154&gt;0,G1154/'Данные'!E1154,"n.a.")</x:f>
        <x:v>0.010043487264443984</x:v>
      </x:c>
      <x:c r="K1154" s="1" t="str">
        <x:f>IF(G1154&gt;='Дашборд'!$C$51,"X","Z")</x:f>
        <x:v>Z</x:v>
      </x:c>
      <x:c r="L1154" s="1" t="str">
        <x:f>IF(H1154=0,IF(G1154&gt;0,"Нет остатка","Нет спроса"),IF(I1154&gt;='Дашборд'!$C$52,"Быстрый","Медленный"))</x:f>
        <x:v>Медленный</x:v>
      </x:c>
      <x:c r="M1154" s="1" t="str">
        <x:f>IF('Данные'!E1154&lt;'Дашборд'!$C$53,"Мало трафика",IF(J1154&lt;'Дашборд'!$C$9*'Дашборд'!$C$54,"Да","Нет"))</x:f>
        <x:v>Да</x:v>
      </x:c>
      <x:c r="N1154" s="1" t="str">
        <x:f>IF(AND('Данные'!D1154&gt;='Дашборд'!$C$55,D1154&lt;'Дашборд'!$C$56,'Данные'!E1154&gt;='Дашборд'!$C$53,'Данные'!L1154&lt;&gt;"Да"),"Да","Нет")</x:f>
        <x:v>Да</x:v>
      </x:c>
      <x:c r="O1154" s="1" t="str">
        <x:f>'Данные'!L1154</x:f>
        <x:v>Нет</x:v>
      </x:c>
    </x:row>
    <x:row r="1155">
      <x:c r="A1155" s="1" t="str">
        <x:f>'Данные'!A1155</x:f>
        <x:v>165911158</x:v>
      </x:c>
      <x:c r="B1155" s="1" t="str">
        <x:f>'Данные'!B1155</x:f>
        <x:v>longman/голубой</x:v>
      </x:c>
      <x:c r="C1155" s="8" t="n">
        <x:f>'Данные'!G1155</x:f>
        <x:v>73499</x:v>
      </x:c>
      <x:c r="D1155" s="15" t="n">
        <x:f>C1155/SUM($C$5:$C$2477)</x:f>
        <x:v>0.00008586326850599902</x:v>
      </x:c>
      <x:c r="E1155" s="15" t="n">
        <x:f>SUM($D$5:D1155)</x:f>
        <x:v>0.9859404204477291</x:v>
      </x:c>
      <x:c r="F1155" s="1" t="str">
        <x:f>IF(C1155&lt;=0,"C",IF(E1155-D1155&lt;'Дашборд'!$C$49,"A",IF(E1155-D1155&lt;'Дашборд'!$C$50,"B","C")))</x:f>
        <x:v>C</x:v>
      </x:c>
      <x:c r="G1155" s="8" t="n">
        <x:f>'Данные'!F1155</x:f>
        <x:v>125</x:v>
      </x:c>
      <x:c r="H1155" s="8" t="n">
        <x:f>SUM('Данные'!H1155:I1155)</x:f>
        <x:v>685</x:v>
      </x:c>
      <x:c r="I1155" s="16" t="n">
        <x:f>IF(H1155&gt;0,G1155/H1155,"n.a.")</x:f>
        <x:v>0.18248175182481752</x:v>
      </x:c>
      <x:c r="J1155" s="10" t="n">
        <x:f>IF('Данные'!E1155&gt;0,G1155/'Данные'!E1155,"n.a.")</x:f>
        <x:v>0.06390593047034765</x:v>
      </x:c>
      <x:c r="K1155" s="1" t="str">
        <x:f>IF(G1155&gt;='Дашборд'!$C$51,"X","Z")</x:f>
        <x:v>Z</x:v>
      </x:c>
      <x:c r="L1155" s="1" t="str">
        <x:f>IF(H1155=0,IF(G1155&gt;0,"Нет остатка","Нет спроса"),IF(I1155&gt;='Дашборд'!$C$52,"Быстрый","Медленный"))</x:f>
        <x:v>Медленный</x:v>
      </x:c>
      <x:c r="M1155" s="1" t="str">
        <x:f>IF('Данные'!E1155&lt;'Дашборд'!$C$53,"Мало трафика",IF(J1155&lt;'Дашборд'!$C$9*'Дашборд'!$C$54,"Да","Нет"))</x:f>
        <x:v>Нет</x:v>
      </x:c>
      <x:c r="N1155" s="1" t="str">
        <x:f>IF(AND('Данные'!D1155&gt;='Дашборд'!$C$55,D1155&lt;'Дашборд'!$C$56,'Данные'!E1155&gt;='Дашборд'!$C$53,'Данные'!L1155&lt;&gt;"Да"),"Да","Нет")</x:f>
        <x:v>Нет</x:v>
      </x:c>
      <x:c r="O1155" s="1" t="str">
        <x:f>'Данные'!L1155</x:f>
        <x:v>Нет</x:v>
      </x:c>
    </x:row>
    <x:row r="1156">
      <x:c r="A1156" s="1" t="str">
        <x:f>'Данные'!A1156</x:f>
        <x:v>251257772</x:v>
      </x:c>
      <x:c r="B1156" s="1" t="str">
        <x:f>'Данные'!B1156</x:f>
        <x:v>hudimanprint/TDGstudios-187/черный</x:v>
      </x:c>
      <x:c r="C1156" s="8" t="n">
        <x:f>'Данные'!G1156</x:f>
        <x:v>72818</x:v>
      </x:c>
      <x:c r="D1156" s="15" t="n">
        <x:f>C1156/SUM($C$5:$C$2477)</x:f>
        <x:v>0.00008506770821466736</x:v>
      </x:c>
      <x:c r="E1156" s="15" t="n">
        <x:f>SUM($D$5:D1156)</x:f>
        <x:v>0.9860254881559438</x:v>
      </x:c>
      <x:c r="F1156" s="1" t="str">
        <x:f>IF(C1156&lt;=0,"C",IF(E1156-D1156&lt;'Дашборд'!$C$49,"A",IF(E1156-D1156&lt;'Дашборд'!$C$50,"B","C")))</x:f>
        <x:v>C</x:v>
      </x:c>
      <x:c r="G1156" s="8" t="n">
        <x:f>'Данные'!F1156</x:f>
        <x:v>64</x:v>
      </x:c>
      <x:c r="H1156" s="8" t="n">
        <x:f>SUM('Данные'!H1156:I1156)</x:f>
        <x:v>60</x:v>
      </x:c>
      <x:c r="I1156" s="16" t="n">
        <x:f>IF(H1156&gt;0,G1156/H1156,"n.a.")</x:f>
        <x:v>1.0666666666666667</x:v>
      </x:c>
      <x:c r="J1156" s="10" t="n">
        <x:f>IF('Данные'!E1156&gt;0,G1156/'Данные'!E1156,"n.a.")</x:f>
        <x:v>0.009186163341466916</x:v>
      </x:c>
      <x:c r="K1156" s="1" t="str">
        <x:f>IF(G1156&gt;='Дашборд'!$C$51,"X","Z")</x:f>
        <x:v>Z</x:v>
      </x:c>
      <x:c r="L1156" s="1" t="str">
        <x:f>IF(H1156=0,IF(G1156&gt;0,"Нет остатка","Нет спроса"),IF(I1156&gt;='Дашборд'!$C$52,"Быстрый","Медленный"))</x:f>
        <x:v>Быстрый</x:v>
      </x:c>
      <x:c r="M1156" s="1" t="str">
        <x:f>IF('Данные'!E1156&lt;'Дашборд'!$C$53,"Мало трафика",IF(J1156&lt;'Дашборд'!$C$9*'Дашборд'!$C$54,"Да","Нет"))</x:f>
        <x:v>Да</x:v>
      </x:c>
      <x:c r="N1156" s="1" t="str">
        <x:f>IF(AND('Данные'!D1156&gt;='Дашборд'!$C$55,D1156&lt;'Дашборд'!$C$56,'Данные'!E1156&gt;='Дашборд'!$C$53,'Данные'!L1156&lt;&gt;"Да"),"Да","Нет")</x:f>
        <x:v>Нет</x:v>
      </x:c>
      <x:c r="O1156" s="1" t="str">
        <x:f>'Данные'!L1156</x:f>
        <x:v>Нет</x:v>
      </x:c>
    </x:row>
    <x:row r="1157">
      <x:c r="A1157" s="1" t="str">
        <x:f>'Данные'!A1157</x:f>
        <x:v>229154430</x:v>
      </x:c>
      <x:c r="B1157" s="1" t="str">
        <x:f>'Данные'!B1157</x:f>
        <x:v>futbolkamanoverX3/чер-бел-шал</x:v>
      </x:c>
      <x:c r="C1157" s="8" t="n">
        <x:f>'Данные'!G1157</x:f>
        <x:v>72797</x:v>
      </x:c>
      <x:c r="D1157" s="15" t="n">
        <x:f>C1157/SUM($C$5:$C$2477)</x:f>
        <x:v>0.0000850431755184589</x:v>
      </x:c>
      <x:c r="E1157" s="15" t="n">
        <x:f>SUM($D$5:D1157)</x:f>
        <x:v>0.9861105313314623</x:v>
      </x:c>
      <x:c r="F1157" s="1" t="str">
        <x:f>IF(C1157&lt;=0,"C",IF(E1157-D1157&lt;'Дашборд'!$C$49,"A",IF(E1157-D1157&lt;'Дашборд'!$C$50,"B","C")))</x:f>
        <x:v>C</x:v>
      </x:c>
      <x:c r="G1157" s="8" t="n">
        <x:f>'Данные'!F1157</x:f>
        <x:v>43</x:v>
      </x:c>
      <x:c r="H1157" s="8" t="n">
        <x:f>SUM('Данные'!H1157:I1157)</x:f>
        <x:v>0</x:v>
      </x:c>
      <x:c r="I1157" s="16" t="str">
        <x:f>IF(H1157&gt;0,G1157/H1157,"n.a.")</x:f>
        <x:v>n.a.</x:v>
      </x:c>
      <x:c r="J1157" s="10" t="n">
        <x:f>IF('Данные'!E1157&gt;0,G1157/'Данные'!E1157,"n.a.")</x:f>
        <x:v>0.0018506563374219927</x:v>
      </x:c>
      <x:c r="K1157" s="1" t="str">
        <x:f>IF(G1157&gt;='Дашборд'!$C$51,"X","Z")</x:f>
        <x:v>Z</x:v>
      </x:c>
      <x:c r="L1157" s="1" t="str">
        <x:f>IF(H1157=0,IF(G1157&gt;0,"Нет остатка","Нет спроса"),IF(I1157&gt;='Дашборд'!$C$52,"Быстрый","Медленный"))</x:f>
        <x:v>Нет остатка</x:v>
      </x:c>
      <x:c r="M1157" s="1" t="str">
        <x:f>IF('Данные'!E1157&lt;'Дашборд'!$C$53,"Мало трафика",IF(J1157&lt;'Дашборд'!$C$9*'Дашборд'!$C$54,"Да","Нет"))</x:f>
        <x:v>Да</x:v>
      </x:c>
      <x:c r="N1157" s="1" t="str">
        <x:f>IF(AND('Данные'!D1157&gt;='Дашборд'!$C$55,D1157&lt;'Дашборд'!$C$56,'Данные'!E1157&gt;='Дашборд'!$C$53,'Данные'!L1157&lt;&gt;"Да"),"Да","Нет")</x:f>
        <x:v>Нет</x:v>
      </x:c>
      <x:c r="O1157" s="1" t="str">
        <x:f>'Данные'!L1157</x:f>
        <x:v>Нет</x:v>
      </x:c>
    </x:row>
    <x:row r="1158">
      <x:c r="A1158" s="1" t="str">
        <x:f>'Данные'!A1158</x:f>
        <x:v>235997584</x:v>
      </x:c>
      <x:c r="B1158" s="1" t="str">
        <x:f>'Данные'!B1158</x:f>
        <x:v>bazagirl/белый</x:v>
      </x:c>
      <x:c r="C1158" s="8" t="n">
        <x:f>'Данные'!G1158</x:f>
        <x:v>72571</x:v>
      </x:c>
      <x:c r="D1158" s="15" t="n">
        <x:f>C1158/SUM($C$5:$C$2477)</x:f>
        <x:v>0.00008477915697831066</x:v>
      </x:c>
      <x:c r="E1158" s="15" t="n">
        <x:f>SUM($D$5:D1158)</x:f>
        <x:v>0.9861953104884407</x:v>
      </x:c>
      <x:c r="F1158" s="1" t="str">
        <x:f>IF(C1158&lt;=0,"C",IF(E1158-D1158&lt;'Дашборд'!$C$49,"A",IF(E1158-D1158&lt;'Дашборд'!$C$50,"B","C")))</x:f>
        <x:v>C</x:v>
      </x:c>
      <x:c r="G1158" s="8" t="n">
        <x:f>'Данные'!F1158</x:f>
        <x:v>247</x:v>
      </x:c>
      <x:c r="H1158" s="8" t="n">
        <x:f>SUM('Данные'!H1158:I1158)</x:f>
        <x:v>683</x:v>
      </x:c>
      <x:c r="I1158" s="16" t="n">
        <x:f>IF(H1158&gt;0,G1158/H1158,"n.a.")</x:f>
        <x:v>0.3616398243045388</x:v>
      </x:c>
      <x:c r="J1158" s="10" t="n">
        <x:f>IF('Данные'!E1158&gt;0,G1158/'Данные'!E1158,"n.a.")</x:f>
        <x:v>0.052890792291220554</x:v>
      </x:c>
      <x:c r="K1158" s="1" t="str">
        <x:f>IF(G1158&gt;='Дашборд'!$C$51,"X","Z")</x:f>
        <x:v>Z</x:v>
      </x:c>
      <x:c r="L1158" s="1" t="str">
        <x:f>IF(H1158=0,IF(G1158&gt;0,"Нет остатка","Нет спроса"),IF(I1158&gt;='Дашборд'!$C$52,"Быстрый","Медленный"))</x:f>
        <x:v>Медленный</x:v>
      </x:c>
      <x:c r="M1158" s="1" t="str">
        <x:f>IF('Данные'!E1158&lt;'Дашборд'!$C$53,"Мало трафика",IF(J1158&lt;'Дашборд'!$C$9*'Дашборд'!$C$54,"Да","Нет"))</x:f>
        <x:v>Нет</x:v>
      </x:c>
      <x:c r="N1158" s="1" t="str">
        <x:f>IF(AND('Данные'!D1158&gt;='Дашборд'!$C$55,D1158&lt;'Дашборд'!$C$56,'Данные'!E1158&gt;='Дашборд'!$C$53,'Данные'!L1158&lt;&gt;"Да"),"Да","Нет")</x:f>
        <x:v>Нет</x:v>
      </x:c>
      <x:c r="O1158" s="1" t="str">
        <x:f>'Данные'!L1158</x:f>
        <x:v>Нет</x:v>
      </x:c>
    </x:row>
    <x:row r="1159">
      <x:c r="A1159" s="1" t="str">
        <x:f>'Данные'!A1159</x:f>
        <x:v>201761293</x:v>
      </x:c>
      <x:c r="B1159" s="1" t="str">
        <x:f>'Данные'!B1159</x:f>
        <x:v>hudiprint/Los-49/молочный</x:v>
      </x:c>
      <x:c r="C1159" s="8" t="n">
        <x:f>'Данные'!G1159</x:f>
        <x:v>72192</x:v>
      </x:c>
      <x:c r="D1159" s="15" t="n">
        <x:f>C1159/SUM($C$5:$C$2477)</x:f>
        <x:v>0.00008433640022292932</x:v>
      </x:c>
      <x:c r="E1159" s="15" t="n">
        <x:f>SUM($D$5:D1159)</x:f>
        <x:v>0.9862796468886637</x:v>
      </x:c>
      <x:c r="F1159" s="1" t="str">
        <x:f>IF(C1159&lt;=0,"C",IF(E1159-D1159&lt;'Дашборд'!$C$49,"A",IF(E1159-D1159&lt;'Дашборд'!$C$50,"B","C")))</x:f>
        <x:v>C</x:v>
      </x:c>
      <x:c r="G1159" s="8" t="n">
        <x:f>'Данные'!F1159</x:f>
        <x:v>44</x:v>
      </x:c>
      <x:c r="H1159" s="8" t="n">
        <x:f>SUM('Данные'!H1159:I1159)</x:f>
        <x:v>4</x:v>
      </x:c>
      <x:c r="I1159" s="16" t="n">
        <x:f>IF(H1159&gt;0,G1159/H1159,"n.a.")</x:f>
        <x:v>11</x:v>
      </x:c>
      <x:c r="J1159" s="10" t="n">
        <x:f>IF('Данные'!E1159&gt;0,G1159/'Данные'!E1159,"n.a.")</x:f>
        <x:v>0.008548669127647172</x:v>
      </x:c>
      <x:c r="K1159" s="1" t="str">
        <x:f>IF(G1159&gt;='Дашборд'!$C$51,"X","Z")</x:f>
        <x:v>Z</x:v>
      </x:c>
      <x:c r="L1159" s="1" t="str">
        <x:f>IF(H1159=0,IF(G1159&gt;0,"Нет остатка","Нет спроса"),IF(I1159&gt;='Дашборд'!$C$52,"Быстрый","Медленный"))</x:f>
        <x:v>Быстрый</x:v>
      </x:c>
      <x:c r="M1159" s="1" t="str">
        <x:f>IF('Данные'!E1159&lt;'Дашборд'!$C$53,"Мало трафика",IF(J1159&lt;'Дашборд'!$C$9*'Дашборд'!$C$54,"Да","Нет"))</x:f>
        <x:v>Да</x:v>
      </x:c>
      <x:c r="N1159" s="1" t="str">
        <x:f>IF(AND('Данные'!D1159&gt;='Дашборд'!$C$55,D1159&lt;'Дашборд'!$C$56,'Данные'!E1159&gt;='Дашборд'!$C$53,'Данные'!L1159&lt;&gt;"Да"),"Да","Нет")</x:f>
        <x:v>Да</x:v>
      </x:c>
      <x:c r="O1159" s="1" t="str">
        <x:f>'Данные'!L1159</x:f>
        <x:v>Нет</x:v>
      </x:c>
    </x:row>
    <x:row r="1160">
      <x:c r="A1160" s="1" t="str">
        <x:f>'Данные'!A1160</x:f>
        <x:v>311071840</x:v>
      </x:c>
      <x:c r="B1160" s="1" t="str">
        <x:f>'Данные'!B1160</x:f>
        <x:v>brukipetl/бежевый</x:v>
      </x:c>
      <x:c r="C1160" s="8" t="n">
        <x:f>'Данные'!G1160</x:f>
        <x:v>71598</x:v>
      </x:c>
      <x:c r="D1160" s="15" t="n">
        <x:f>C1160/SUM($C$5:$C$2477)</x:f>
        <x:v>0.00008364247538731844</x:v>
      </x:c>
      <x:c r="E1160" s="15" t="n">
        <x:f>SUM($D$5:D1160)</x:f>
        <x:v>0.9863632893640509</x:v>
      </x:c>
      <x:c r="F1160" s="1" t="str">
        <x:f>IF(C1160&lt;=0,"C",IF(E1160-D1160&lt;'Дашборд'!$C$49,"A",IF(E1160-D1160&lt;'Дашборд'!$C$50,"B","C")))</x:f>
        <x:v>C</x:v>
      </x:c>
      <x:c r="G1160" s="8" t="n">
        <x:f>'Данные'!F1160</x:f>
        <x:v>143</x:v>
      </x:c>
      <x:c r="H1160" s="8" t="n">
        <x:f>SUM('Данные'!H1160:I1160)</x:f>
        <x:v>220</x:v>
      </x:c>
      <x:c r="I1160" s="16" t="n">
        <x:f>IF(H1160&gt;0,G1160/H1160,"n.a.")</x:f>
        <x:v>0.65</x:v>
      </x:c>
      <x:c r="J1160" s="10" t="n">
        <x:f>IF('Данные'!E1160&gt;0,G1160/'Данные'!E1160,"n.a.")</x:f>
        <x:v>0.012197202320027294</x:v>
      </x:c>
      <x:c r="K1160" s="1" t="str">
        <x:f>IF(G1160&gt;='Дашборд'!$C$51,"X","Z")</x:f>
        <x:v>Z</x:v>
      </x:c>
      <x:c r="L1160" s="1" t="str">
        <x:f>IF(H1160=0,IF(G1160&gt;0,"Нет остатка","Нет спроса"),IF(I1160&gt;='Дашборд'!$C$52,"Быстрый","Медленный"))</x:f>
        <x:v>Медленный</x:v>
      </x:c>
      <x:c r="M1160" s="1" t="str">
        <x:f>IF('Данные'!E1160&lt;'Дашборд'!$C$53,"Мало трафика",IF(J1160&lt;'Дашборд'!$C$9*'Дашборд'!$C$54,"Да","Нет"))</x:f>
        <x:v>Нет</x:v>
      </x:c>
      <x:c r="N1160" s="1" t="str">
        <x:f>IF(AND('Данные'!D1160&gt;='Дашборд'!$C$55,D1160&lt;'Дашборд'!$C$56,'Данные'!E1160&gt;='Дашборд'!$C$53,'Данные'!L1160&lt;&gt;"Да"),"Да","Нет")</x:f>
        <x:v>Нет</x:v>
      </x:c>
      <x:c r="O1160" s="1" t="str">
        <x:f>'Данные'!L1160</x:f>
        <x:v>Нет</x:v>
      </x:c>
    </x:row>
    <x:row r="1161">
      <x:c r="A1161" s="1" t="str">
        <x:f>'Данные'!A1161</x:f>
        <x:v>334783651</x:v>
      </x:c>
      <x:c r="B1161" s="1" t="str">
        <x:f>'Данные'!B1161</x:f>
        <x:v>futbolkaprint/Single-291/бордовый</x:v>
      </x:c>
      <x:c r="C1161" s="8" t="n">
        <x:f>'Данные'!G1161</x:f>
        <x:v>71403</x:v>
      </x:c>
      <x:c r="D1161" s="15" t="n">
        <x:f>C1161/SUM($C$5:$C$2477)</x:f>
        <x:v>0.0000834146717796684</x:v>
      </x:c>
      <x:c r="E1161" s="15" t="n">
        <x:f>SUM($D$5:D1161)</x:f>
        <x:v>0.9864467040358306</x:v>
      </x:c>
      <x:c r="F1161" s="1" t="str">
        <x:f>IF(C1161&lt;=0,"C",IF(E1161-D1161&lt;'Дашборд'!$C$49,"A",IF(E1161-D1161&lt;'Дашборд'!$C$50,"B","C")))</x:f>
        <x:v>C</x:v>
      </x:c>
      <x:c r="G1161" s="8" t="n">
        <x:f>'Данные'!F1161</x:f>
        <x:v>195</x:v>
      </x:c>
      <x:c r="H1161" s="8" t="n">
        <x:f>SUM('Данные'!H1161:I1161)</x:f>
        <x:v>582</x:v>
      </x:c>
      <x:c r="I1161" s="16" t="n">
        <x:f>IF(H1161&gt;0,G1161/H1161,"n.a.")</x:f>
        <x:v>0.33505154639175255</x:v>
      </x:c>
      <x:c r="J1161" s="10" t="n">
        <x:f>IF('Данные'!E1161&gt;0,G1161/'Данные'!E1161,"n.a.")</x:f>
        <x:v>0.0026075444954067103</x:v>
      </x:c>
      <x:c r="K1161" s="1" t="str">
        <x:f>IF(G1161&gt;='Дашборд'!$C$51,"X","Z")</x:f>
        <x:v>Z</x:v>
      </x:c>
      <x:c r="L1161" s="1" t="str">
        <x:f>IF(H1161=0,IF(G1161&gt;0,"Нет остатка","Нет спроса"),IF(I1161&gt;='Дашборд'!$C$52,"Быстрый","Медленный"))</x:f>
        <x:v>Медленный</x:v>
      </x:c>
      <x:c r="M1161" s="1" t="str">
        <x:f>IF('Данные'!E1161&lt;'Дашборд'!$C$53,"Мало трафика",IF(J1161&lt;'Дашборд'!$C$9*'Дашборд'!$C$54,"Да","Нет"))</x:f>
        <x:v>Да</x:v>
      </x:c>
      <x:c r="N1161" s="1" t="str">
        <x:f>IF(AND('Данные'!D1161&gt;='Дашборд'!$C$55,D1161&lt;'Дашборд'!$C$56,'Данные'!E1161&gt;='Дашборд'!$C$53,'Данные'!L1161&lt;&gt;"Да"),"Да","Нет")</x:f>
        <x:v>Да</x:v>
      </x:c>
      <x:c r="O1161" s="1" t="str">
        <x:f>'Данные'!L1161</x:f>
        <x:v>Нет</x:v>
      </x:c>
    </x:row>
    <x:row r="1162">
      <x:c r="A1162" s="1" t="str">
        <x:f>'Данные'!A1162</x:f>
        <x:v>212947285</x:v>
      </x:c>
      <x:c r="B1162" s="1" t="str">
        <x:f>'Данные'!B1162</x:f>
        <x:v>hudiprint/RozMoreSelf-90/молочный</x:v>
      </x:c>
      <x:c r="C1162" s="8" t="n">
        <x:f>'Данные'!G1162</x:f>
        <x:v>71192</x:v>
      </x:c>
      <x:c r="D1162" s="15" t="n">
        <x:f>C1162/SUM($C$5:$C$2477)</x:f>
        <x:v>0.00008316817659395478</x:v>
      </x:c>
      <x:c r="E1162" s="15" t="n">
        <x:f>SUM($D$5:D1162)</x:f>
        <x:v>0.9865298722124245</x:v>
      </x:c>
      <x:c r="F1162" s="1" t="str">
        <x:f>IF(C1162&lt;=0,"C",IF(E1162-D1162&lt;'Дашборд'!$C$49,"A",IF(E1162-D1162&lt;'Дашборд'!$C$50,"B","C")))</x:f>
        <x:v>C</x:v>
      </x:c>
      <x:c r="G1162" s="8" t="n">
        <x:f>'Данные'!F1162</x:f>
        <x:v>68</x:v>
      </x:c>
      <x:c r="H1162" s="8" t="n">
        <x:f>SUM('Данные'!H1162:I1162)</x:f>
        <x:v>0</x:v>
      </x:c>
      <x:c r="I1162" s="16" t="str">
        <x:f>IF(H1162&gt;0,G1162/H1162,"n.a.")</x:f>
        <x:v>n.a.</x:v>
      </x:c>
      <x:c r="J1162" s="10" t="n">
        <x:f>IF('Данные'!E1162&gt;0,G1162/'Данные'!E1162,"n.a.")</x:f>
        <x:v>0.0071496162338345074</x:v>
      </x:c>
      <x:c r="K1162" s="1" t="str">
        <x:f>IF(G1162&gt;='Дашборд'!$C$51,"X","Z")</x:f>
        <x:v>Z</x:v>
      </x:c>
      <x:c r="L1162" s="1" t="str">
        <x:f>IF(H1162=0,IF(G1162&gt;0,"Нет остатка","Нет спроса"),IF(I1162&gt;='Дашборд'!$C$52,"Быстрый","Медленный"))</x:f>
        <x:v>Нет остатка</x:v>
      </x:c>
      <x:c r="M1162" s="1" t="str">
        <x:f>IF('Данные'!E1162&lt;'Дашборд'!$C$53,"Мало трафика",IF(J1162&lt;'Дашборд'!$C$9*'Дашборд'!$C$54,"Да","Нет"))</x:f>
        <x:v>Да</x:v>
      </x:c>
      <x:c r="N1162" s="1" t="str">
        <x:f>IF(AND('Данные'!D1162&gt;='Дашборд'!$C$55,D1162&lt;'Дашборд'!$C$56,'Данные'!E1162&gt;='Дашборд'!$C$53,'Данные'!L1162&lt;&gt;"Да"),"Да","Нет")</x:f>
        <x:v>Да</x:v>
      </x:c>
      <x:c r="O1162" s="1" t="str">
        <x:f>'Данные'!L1162</x:f>
        <x:v>Нет</x:v>
      </x:c>
    </x:row>
    <x:row r="1163">
      <x:c r="A1163" s="1" t="str">
        <x:f>'Данные'!A1163</x:f>
        <x:v>283026227</x:v>
      </x:c>
      <x:c r="B1163" s="1" t="str">
        <x:f>'Данные'!B1163</x:f>
        <x:v>sweatervyaz/бордовый</x:v>
      </x:c>
      <x:c r="C1163" s="8" t="n">
        <x:f>'Данные'!G1163</x:f>
        <x:v>71065</x:v>
      </x:c>
      <x:c r="D1163" s="15" t="n">
        <x:f>C1163/SUM($C$5:$C$2477)</x:f>
        <x:v>0.00008301981219307501</x:v>
      </x:c>
      <x:c r="E1163" s="15" t="n">
        <x:f>SUM($D$5:D1163)</x:f>
        <x:v>0.9866128920246175</x:v>
      </x:c>
      <x:c r="F1163" s="1" t="str">
        <x:f>IF(C1163&lt;=0,"C",IF(E1163-D1163&lt;'Дашборд'!$C$49,"A",IF(E1163-D1163&lt;'Дашборд'!$C$50,"B","C")))</x:f>
        <x:v>C</x:v>
      </x:c>
      <x:c r="G1163" s="8" t="n">
        <x:f>'Данные'!F1163</x:f>
        <x:v>65</x:v>
      </x:c>
      <x:c r="H1163" s="8" t="n">
        <x:f>SUM('Данные'!H1163:I1163)</x:f>
        <x:v>424</x:v>
      </x:c>
      <x:c r="I1163" s="16" t="n">
        <x:f>IF(H1163&gt;0,G1163/H1163,"n.a.")</x:f>
        <x:v>0.15330188679245282</x:v>
      </x:c>
      <x:c r="J1163" s="10" t="n">
        <x:f>IF('Данные'!E1163&gt;0,G1163/'Данные'!E1163,"n.a.")</x:f>
        <x:v>0.0052125100240577385</x:v>
      </x:c>
      <x:c r="K1163" s="1" t="str">
        <x:f>IF(G1163&gt;='Дашборд'!$C$51,"X","Z")</x:f>
        <x:v>Z</x:v>
      </x:c>
      <x:c r="L1163" s="1" t="str">
        <x:f>IF(H1163=0,IF(G1163&gt;0,"Нет остатка","Нет спроса"),IF(I1163&gt;='Дашборд'!$C$52,"Быстрый","Медленный"))</x:f>
        <x:v>Медленный</x:v>
      </x:c>
      <x:c r="M1163" s="1" t="str">
        <x:f>IF('Данные'!E1163&lt;'Дашборд'!$C$53,"Мало трафика",IF(J1163&lt;'Дашборд'!$C$9*'Дашборд'!$C$54,"Да","Нет"))</x:f>
        <x:v>Да</x:v>
      </x:c>
      <x:c r="N1163" s="1" t="str">
        <x:f>IF(AND('Данные'!D1163&gt;='Дашборд'!$C$55,D1163&lt;'Дашборд'!$C$56,'Данные'!E1163&gt;='Дашборд'!$C$53,'Данные'!L1163&lt;&gt;"Да"),"Да","Нет")</x:f>
        <x:v>Нет</x:v>
      </x:c>
      <x:c r="O1163" s="1" t="str">
        <x:f>'Данные'!L1163</x:f>
        <x:v>Нет</x:v>
      </x:c>
    </x:row>
    <x:row r="1164">
      <x:c r="A1164" s="1" t="str">
        <x:f>'Данные'!A1164</x:f>
        <x:v>244785627</x:v>
      </x:c>
      <x:c r="B1164" s="1" t="str">
        <x:f>'Данные'!B1164</x:f>
        <x:v>hudimanprint/MovesBlack-180/черный</x:v>
      </x:c>
      <x:c r="C1164" s="8" t="n">
        <x:f>'Данные'!G1164</x:f>
        <x:v>70783</x:v>
      </x:c>
      <x:c r="D1164" s="15" t="n">
        <x:f>C1164/SUM($C$5:$C$2477)</x:f>
        <x:v>0.0000826903731297042</x:v>
      </x:c>
      <x:c r="E1164" s="15" t="n">
        <x:f>SUM($D$5:D1164)</x:f>
        <x:v>0.9866955823977472</x:v>
      </x:c>
      <x:c r="F1164" s="1" t="str">
        <x:f>IF(C1164&lt;=0,"C",IF(E1164-D1164&lt;'Дашборд'!$C$49,"A",IF(E1164-D1164&lt;'Дашборд'!$C$50,"B","C")))</x:f>
        <x:v>C</x:v>
      </x:c>
      <x:c r="G1164" s="8" t="n">
        <x:f>'Данные'!F1164</x:f>
        <x:v>50</x:v>
      </x:c>
      <x:c r="H1164" s="8" t="n">
        <x:f>SUM('Данные'!H1164:I1164)</x:f>
        <x:v>53</x:v>
      </x:c>
      <x:c r="I1164" s="16" t="n">
        <x:f>IF(H1164&gt;0,G1164/H1164,"n.a.")</x:f>
        <x:v>0.9433962264150944</x:v>
      </x:c>
      <x:c r="J1164" s="10" t="n">
        <x:f>IF('Данные'!E1164&gt;0,G1164/'Данные'!E1164,"n.a.")</x:f>
        <x:v>0.00821557673348669</x:v>
      </x:c>
      <x:c r="K1164" s="1" t="str">
        <x:f>IF(G1164&gt;='Дашборд'!$C$51,"X","Z")</x:f>
        <x:v>Z</x:v>
      </x:c>
      <x:c r="L1164" s="1" t="str">
        <x:f>IF(H1164=0,IF(G1164&gt;0,"Нет остатка","Нет спроса"),IF(I1164&gt;='Дашборд'!$C$52,"Быстрый","Медленный"))</x:f>
        <x:v>Медленный</x:v>
      </x:c>
      <x:c r="M1164" s="1" t="str">
        <x:f>IF('Данные'!E1164&lt;'Дашборд'!$C$53,"Мало трафика",IF(J1164&lt;'Дашборд'!$C$9*'Дашборд'!$C$54,"Да","Нет"))</x:f>
        <x:v>Да</x:v>
      </x:c>
      <x:c r="N1164" s="1" t="str">
        <x:f>IF(AND('Данные'!D1164&gt;='Дашборд'!$C$55,D1164&lt;'Дашборд'!$C$56,'Данные'!E1164&gt;='Дашборд'!$C$53,'Данные'!L1164&lt;&gt;"Да"),"Да","Нет")</x:f>
        <x:v>Нет</x:v>
      </x:c>
      <x:c r="O1164" s="1" t="str">
        <x:f>'Данные'!L1164</x:f>
        <x:v>Нет</x:v>
      </x:c>
    </x:row>
    <x:row r="1165">
      <x:c r="A1165" s="1" t="str">
        <x:f>'Данные'!A1165</x:f>
        <x:v>170169477</x:v>
      </x:c>
      <x:c r="B1165" s="1" t="str">
        <x:f>'Данные'!B1165</x:f>
        <x:v>brukiman/синий</x:v>
      </x:c>
      <x:c r="C1165" s="8" t="n">
        <x:f>'Данные'!G1165</x:f>
        <x:v>70769</x:v>
      </x:c>
      <x:c r="D1165" s="15" t="n">
        <x:f>C1165/SUM($C$5:$C$2477)</x:f>
        <x:v>0.00008267401799889856</x:v>
      </x:c>
      <x:c r="E1165" s="15" t="n">
        <x:f>SUM($D$5:D1165)</x:f>
        <x:v>0.9867782564157461</x:v>
      </x:c>
      <x:c r="F1165" s="1" t="str">
        <x:f>IF(C1165&lt;=0,"C",IF(E1165-D1165&lt;'Дашборд'!$C$49,"A",IF(E1165-D1165&lt;'Дашборд'!$C$50,"B","C")))</x:f>
        <x:v>C</x:v>
      </x:c>
      <x:c r="G1165" s="8" t="n">
        <x:f>'Данные'!F1165</x:f>
        <x:v>88</x:v>
      </x:c>
      <x:c r="H1165" s="8" t="n">
        <x:f>SUM('Данные'!H1165:I1165)</x:f>
        <x:v>541</x:v>
      </x:c>
      <x:c r="I1165" s="16" t="n">
        <x:f>IF(H1165&gt;0,G1165/H1165,"n.a.")</x:f>
        <x:v>0.16266173752310537</x:v>
      </x:c>
      <x:c r="J1165" s="10" t="n">
        <x:f>IF('Данные'!E1165&gt;0,G1165/'Данные'!E1165,"n.a.")</x:f>
        <x:v>0.025360230547550433</x:v>
      </x:c>
      <x:c r="K1165" s="1" t="str">
        <x:f>IF(G1165&gt;='Дашборд'!$C$51,"X","Z")</x:f>
        <x:v>Z</x:v>
      </x:c>
      <x:c r="L1165" s="1" t="str">
        <x:f>IF(H1165=0,IF(G1165&gt;0,"Нет остатка","Нет спроса"),IF(I1165&gt;='Дашборд'!$C$52,"Быстрый","Медленный"))</x:f>
        <x:v>Медленный</x:v>
      </x:c>
      <x:c r="M1165" s="1" t="str">
        <x:f>IF('Данные'!E1165&lt;'Дашборд'!$C$53,"Мало трафика",IF(J1165&lt;'Дашборд'!$C$9*'Дашборд'!$C$54,"Да","Нет"))</x:f>
        <x:v>Нет</x:v>
      </x:c>
      <x:c r="N1165" s="1" t="str">
        <x:f>IF(AND('Данные'!D1165&gt;='Дашборд'!$C$55,D1165&lt;'Дашборд'!$C$56,'Данные'!E1165&gt;='Дашборд'!$C$53,'Данные'!L1165&lt;&gt;"Да"),"Да","Нет")</x:f>
        <x:v>Да</x:v>
      </x:c>
      <x:c r="O1165" s="1" t="str">
        <x:f>'Данные'!L1165</x:f>
        <x:v>Нет</x:v>
      </x:c>
    </x:row>
    <x:row r="1166">
      <x:c r="A1166" s="1" t="str">
        <x:f>'Данные'!A1166</x:f>
        <x:v>235997592</x:v>
      </x:c>
      <x:c r="B1166" s="1" t="str">
        <x:f>'Данные'!B1166</x:f>
        <x:v>bazaboy/черный</x:v>
      </x:c>
      <x:c r="C1166" s="8" t="n">
        <x:f>'Данные'!G1166</x:f>
        <x:v>70360</x:v>
      </x:c>
      <x:c r="D1166" s="15" t="n">
        <x:f>C1166/SUM($C$5:$C$2477)</x:f>
        <x:v>0.00008219621453464798</x:v>
      </x:c>
      <x:c r="E1166" s="15" t="n">
        <x:f>SUM($D$5:D1166)</x:f>
        <x:v>0.9868604526302808</x:v>
      </x:c>
      <x:c r="F1166" s="1" t="str">
        <x:f>IF(C1166&lt;=0,"C",IF(E1166-D1166&lt;'Дашборд'!$C$49,"A",IF(E1166-D1166&lt;'Дашборд'!$C$50,"B","C")))</x:f>
        <x:v>C</x:v>
      </x:c>
      <x:c r="G1166" s="8" t="n">
        <x:f>'Данные'!F1166</x:f>
        <x:v>278</x:v>
      </x:c>
      <x:c r="H1166" s="8" t="n">
        <x:f>SUM('Данные'!H1166:I1166)</x:f>
        <x:v>1982</x:v>
      </x:c>
      <x:c r="I1166" s="16" t="n">
        <x:f>IF(H1166&gt;0,G1166/H1166,"n.a.")</x:f>
        <x:v>0.14026236125126135</x:v>
      </x:c>
      <x:c r="J1166" s="10" t="n">
        <x:f>IF('Данные'!E1166&gt;0,G1166/'Данные'!E1166,"n.a.")</x:f>
        <x:v>0.05371980676328503</x:v>
      </x:c>
      <x:c r="K1166" s="1" t="str">
        <x:f>IF(G1166&gt;='Дашборд'!$C$51,"X","Z")</x:f>
        <x:v>X</x:v>
      </x:c>
      <x:c r="L1166" s="1" t="str">
        <x:f>IF(H1166=0,IF(G1166&gt;0,"Нет остатка","Нет спроса"),IF(I1166&gt;='Дашборд'!$C$52,"Быстрый","Медленный"))</x:f>
        <x:v>Медленный</x:v>
      </x:c>
      <x:c r="M1166" s="1" t="str">
        <x:f>IF('Данные'!E1166&lt;'Дашборд'!$C$53,"Мало трафика",IF(J1166&lt;'Дашборд'!$C$9*'Дашборд'!$C$54,"Да","Нет"))</x:f>
        <x:v>Нет</x:v>
      </x:c>
      <x:c r="N1166" s="1" t="str">
        <x:f>IF(AND('Данные'!D1166&gt;='Дашборд'!$C$55,D1166&lt;'Дашборд'!$C$56,'Данные'!E1166&gt;='Дашборд'!$C$53,'Данные'!L1166&lt;&gt;"Да"),"Да","Нет")</x:f>
        <x:v>Да</x:v>
      </x:c>
      <x:c r="O1166" s="1" t="str">
        <x:f>'Данные'!L1166</x:f>
        <x:v>Нет</x:v>
      </x:c>
    </x:row>
    <x:row r="1167">
      <x:c r="A1167" s="1" t="str">
        <x:f>'Данные'!A1167</x:f>
        <x:v>300305944</x:v>
      </x:c>
      <x:c r="B1167" s="1" t="str">
        <x:f>'Данные'!B1167</x:f>
        <x:v>palazzonachos/дымка</x:v>
      </x:c>
      <x:c r="C1167" s="8" t="n">
        <x:f>'Данные'!G1167</x:f>
        <x:v>70223</x:v>
      </x:c>
      <x:c r="D1167" s="15" t="n">
        <x:f>C1167/SUM($C$5:$C$2477)</x:f>
        <x:v>0.00008203616789747846</x:v>
      </x:c>
      <x:c r="E1167" s="15" t="n">
        <x:f>SUM($D$5:D1167)</x:f>
        <x:v>0.9869424887981783</x:v>
      </x:c>
      <x:c r="F1167" s="1" t="str">
        <x:f>IF(C1167&lt;=0,"C",IF(E1167-D1167&lt;'Дашборд'!$C$49,"A",IF(E1167-D1167&lt;'Дашборд'!$C$50,"B","C")))</x:f>
        <x:v>C</x:v>
      </x:c>
      <x:c r="G1167" s="8" t="n">
        <x:f>'Данные'!F1167</x:f>
        <x:v>138</x:v>
      </x:c>
      <x:c r="H1167" s="8" t="n">
        <x:f>SUM('Данные'!H1167:I1167)</x:f>
        <x:v>218</x:v>
      </x:c>
      <x:c r="I1167" s="16" t="n">
        <x:f>IF(H1167&gt;0,G1167/H1167,"n.a.")</x:f>
        <x:v>0.6330275229357798</x:v>
      </x:c>
      <x:c r="J1167" s="10" t="n">
        <x:f>IF('Данные'!E1167&gt;0,G1167/'Данные'!E1167,"n.a.")</x:f>
        <x:v>0.010327795240233499</x:v>
      </x:c>
      <x:c r="K1167" s="1" t="str">
        <x:f>IF(G1167&gt;='Дашборд'!$C$51,"X","Z")</x:f>
        <x:v>Z</x:v>
      </x:c>
      <x:c r="L1167" s="1" t="str">
        <x:f>IF(H1167=0,IF(G1167&gt;0,"Нет остатка","Нет спроса"),IF(I1167&gt;='Дашборд'!$C$52,"Быстрый","Медленный"))</x:f>
        <x:v>Медленный</x:v>
      </x:c>
      <x:c r="M1167" s="1" t="str">
        <x:f>IF('Данные'!E1167&lt;'Дашборд'!$C$53,"Мало трафика",IF(J1167&lt;'Дашборд'!$C$9*'Дашборд'!$C$54,"Да","Нет"))</x:f>
        <x:v>Нет</x:v>
      </x:c>
      <x:c r="N1167" s="1" t="str">
        <x:f>IF(AND('Данные'!D1167&gt;='Дашборд'!$C$55,D1167&lt;'Дашборд'!$C$56,'Данные'!E1167&gt;='Дашборд'!$C$53,'Данные'!L1167&lt;&gt;"Да"),"Да","Нет")</x:f>
        <x:v>Нет</x:v>
      </x:c>
      <x:c r="O1167" s="1" t="str">
        <x:f>'Данные'!L1167</x:f>
        <x:v>Нет</x:v>
      </x:c>
    </x:row>
    <x:row r="1168">
      <x:c r="A1168" s="1" t="str">
        <x:f>'Данные'!A1168</x:f>
        <x:v>347537673</x:v>
      </x:c>
      <x:c r="B1168" s="1" t="str">
        <x:f>'Данные'!B1168</x:f>
        <x:v>body3K-S-6/белый</x:v>
      </x:c>
      <x:c r="C1168" s="8" t="n">
        <x:f>'Данные'!G1168</x:f>
        <x:v>69695</x:v>
      </x:c>
      <x:c r="D1168" s="15" t="n">
        <x:f>C1168/SUM($C$5:$C$2477)</x:f>
        <x:v>0.0000814193458213799</x:v>
      </x:c>
      <x:c r="E1168" s="15" t="n">
        <x:f>SUM($D$5:D1168)</x:f>
        <x:v>0.9870239081439997</x:v>
      </x:c>
      <x:c r="F1168" s="1" t="str">
        <x:f>IF(C1168&lt;=0,"C",IF(E1168-D1168&lt;'Дашборд'!$C$49,"A",IF(E1168-D1168&lt;'Дашборд'!$C$50,"B","C")))</x:f>
        <x:v>C</x:v>
      </x:c>
      <x:c r="G1168" s="8" t="n">
        <x:f>'Данные'!F1168</x:f>
        <x:v>178</x:v>
      </x:c>
      <x:c r="H1168" s="8" t="n">
        <x:f>SUM('Данные'!H1168:I1168)</x:f>
        <x:v>2632</x:v>
      </x:c>
      <x:c r="I1168" s="16" t="n">
        <x:f>IF(H1168&gt;0,G1168/H1168,"n.a.")</x:f>
        <x:v>0.067629179331307</x:v>
      </x:c>
      <x:c r="J1168" s="10" t="n">
        <x:f>IF('Данные'!E1168&gt;0,G1168/'Данные'!E1168,"n.a.")</x:f>
        <x:v>0.006314743862636583</x:v>
      </x:c>
      <x:c r="K1168" s="1" t="str">
        <x:f>IF(G1168&gt;='Дашборд'!$C$51,"X","Z")</x:f>
        <x:v>Z</x:v>
      </x:c>
      <x:c r="L1168" s="1" t="str">
        <x:f>IF(H1168=0,IF(G1168&gt;0,"Нет остатка","Нет спроса"),IF(I1168&gt;='Дашборд'!$C$52,"Быстрый","Медленный"))</x:f>
        <x:v>Медленный</x:v>
      </x:c>
      <x:c r="M1168" s="1" t="str">
        <x:f>IF('Данные'!E1168&lt;'Дашборд'!$C$53,"Мало трафика",IF(J1168&lt;'Дашборд'!$C$9*'Дашборд'!$C$54,"Да","Нет"))</x:f>
        <x:v>Да</x:v>
      </x:c>
      <x:c r="N1168" s="1" t="str">
        <x:f>IF(AND('Данные'!D1168&gt;='Дашборд'!$C$55,D1168&lt;'Дашборд'!$C$56,'Данные'!E1168&gt;='Дашборд'!$C$53,'Данные'!L1168&lt;&gt;"Да"),"Да","Нет")</x:f>
        <x:v>Нет</x:v>
      </x:c>
      <x:c r="O1168" s="1" t="str">
        <x:f>'Данные'!L1168</x:f>
        <x:v>Нет</x:v>
      </x:c>
    </x:row>
    <x:row r="1169">
      <x:c r="A1169" s="1" t="str">
        <x:f>'Данные'!A1169</x:f>
        <x:v>289089195</x:v>
      </x:c>
      <x:c r="B1169" s="1" t="str">
        <x:f>'Данные'!B1169</x:f>
        <x:v>palazzonachos/бордовый</x:v>
      </x:c>
      <x:c r="C1169" s="8" t="n">
        <x:f>'Данные'!G1169</x:f>
        <x:v>69313</x:v>
      </x:c>
      <x:c r="D1169" s="15" t="n">
        <x:f>C1169/SUM($C$5:$C$2477)</x:f>
        <x:v>0.00008097308439511164</x:v>
      </x:c>
      <x:c r="E1169" s="15" t="n">
        <x:f>SUM($D$5:D1169)</x:f>
        <x:v>0.9871048812283948</x:v>
      </x:c>
      <x:c r="F1169" s="1" t="str">
        <x:f>IF(C1169&lt;=0,"C",IF(E1169-D1169&lt;'Дашборд'!$C$49,"A",IF(E1169-D1169&lt;'Дашборд'!$C$50,"B","C")))</x:f>
        <x:v>C</x:v>
      </x:c>
      <x:c r="G1169" s="8" t="n">
        <x:f>'Данные'!F1169</x:f>
        <x:v>124</x:v>
      </x:c>
      <x:c r="H1169" s="8" t="n">
        <x:f>SUM('Данные'!H1169:I1169)</x:f>
        <x:v>3</x:v>
      </x:c>
      <x:c r="I1169" s="16" t="n">
        <x:f>IF(H1169&gt;0,G1169/H1169,"n.a.")</x:f>
        <x:v>41.333333333333336</x:v>
      </x:c>
      <x:c r="J1169" s="10" t="n">
        <x:f>IF('Данные'!E1169&gt;0,G1169/'Данные'!E1169,"n.a.")</x:f>
        <x:v>0.009396074865499735</x:v>
      </x:c>
      <x:c r="K1169" s="1" t="str">
        <x:f>IF(G1169&gt;='Дашборд'!$C$51,"X","Z")</x:f>
        <x:v>Z</x:v>
      </x:c>
      <x:c r="L1169" s="1" t="str">
        <x:f>IF(H1169=0,IF(G1169&gt;0,"Нет остатка","Нет спроса"),IF(I1169&gt;='Дашборд'!$C$52,"Быстрый","Медленный"))</x:f>
        <x:v>Быстрый</x:v>
      </x:c>
      <x:c r="M1169" s="1" t="str">
        <x:f>IF('Данные'!E1169&lt;'Дашборд'!$C$53,"Мало трафика",IF(J1169&lt;'Дашборд'!$C$9*'Дашборд'!$C$54,"Да","Нет"))</x:f>
        <x:v>Да</x:v>
      </x:c>
      <x:c r="N1169" s="1" t="str">
        <x:f>IF(AND('Данные'!D1169&gt;='Дашборд'!$C$55,D1169&lt;'Дашборд'!$C$56,'Данные'!E1169&gt;='Дашборд'!$C$53,'Данные'!L1169&lt;&gt;"Да"),"Да","Нет")</x:f>
        <x:v>Нет</x:v>
      </x:c>
      <x:c r="O1169" s="1" t="str">
        <x:f>'Данные'!L1169</x:f>
        <x:v>Нет</x:v>
      </x:c>
    </x:row>
    <x:row r="1170">
      <x:c r="A1170" s="1" t="str">
        <x:f>'Данные'!A1170</x:f>
        <x:v>217879631</x:v>
      </x:c>
      <x:c r="B1170" s="1" t="str">
        <x:f>'Данные'!B1170</x:f>
        <x:v>2NshortymanX2/чер-тсер</x:v>
      </x:c>
      <x:c r="C1170" s="8" t="n">
        <x:f>'Данные'!G1170</x:f>
        <x:v>69300</x:v>
      </x:c>
      <x:c r="D1170" s="15" t="n">
        <x:f>C1170/SUM($C$5:$C$2477)</x:f>
        <x:v>0.00008095789748793497</x:v>
      </x:c>
      <x:c r="E1170" s="15" t="n">
        <x:f>SUM($D$5:D1170)</x:f>
        <x:v>0.9871858391258828</x:v>
      </x:c>
      <x:c r="F1170" s="1" t="str">
        <x:f>IF(C1170&lt;=0,"C",IF(E1170-D1170&lt;'Дашборд'!$C$49,"A",IF(E1170-D1170&lt;'Дашборд'!$C$50,"B","C")))</x:f>
        <x:v>C</x:v>
      </x:c>
      <x:c r="G1170" s="8" t="n">
        <x:f>'Данные'!F1170</x:f>
        <x:v>151</x:v>
      </x:c>
      <x:c r="H1170" s="8" t="n">
        <x:f>SUM('Данные'!H1170:I1170)</x:f>
        <x:v>0</x:v>
      </x:c>
      <x:c r="I1170" s="16" t="str">
        <x:f>IF(H1170&gt;0,G1170/H1170,"n.a.")</x:f>
        <x:v>n.a.</x:v>
      </x:c>
      <x:c r="J1170" s="10" t="n">
        <x:f>IF('Данные'!E1170&gt;0,G1170/'Данные'!E1170,"n.a.")</x:f>
        <x:v>0.02909441233140655</x:v>
      </x:c>
      <x:c r="K1170" s="1" t="str">
        <x:f>IF(G1170&gt;='Дашборд'!$C$51,"X","Z")</x:f>
        <x:v>Z</x:v>
      </x:c>
      <x:c r="L1170" s="1" t="str">
        <x:f>IF(H1170=0,IF(G1170&gt;0,"Нет остатка","Нет спроса"),IF(I1170&gt;='Дашборд'!$C$52,"Быстрый","Медленный"))</x:f>
        <x:v>Нет остатка</x:v>
      </x:c>
      <x:c r="M1170" s="1" t="str">
        <x:f>IF('Данные'!E1170&lt;'Дашборд'!$C$53,"Мало трафика",IF(J1170&lt;'Дашборд'!$C$9*'Дашборд'!$C$54,"Да","Нет"))</x:f>
        <x:v>Нет</x:v>
      </x:c>
      <x:c r="N1170" s="1" t="str">
        <x:f>IF(AND('Данные'!D1170&gt;='Дашборд'!$C$55,D1170&lt;'Дашборд'!$C$56,'Данные'!E1170&gt;='Дашборд'!$C$53,'Данные'!L1170&lt;&gt;"Да"),"Да","Нет")</x:f>
        <x:v>Нет</x:v>
      </x:c>
      <x:c r="O1170" s="1" t="str">
        <x:f>'Данные'!L1170</x:f>
        <x:v>Нет</x:v>
      </x:c>
    </x:row>
    <x:row r="1171">
      <x:c r="A1171" s="1" t="str">
        <x:f>'Данные'!A1171</x:f>
        <x:v>344404687</x:v>
      </x:c>
      <x:c r="B1171" s="1" t="str">
        <x:f>'Данные'!B1171</x:f>
        <x:v>ribmayka3R-S13/серый</x:v>
      </x:c>
      <x:c r="C1171" s="8" t="n">
        <x:f>'Данные'!G1171</x:f>
        <x:v>69203</x:v>
      </x:c>
      <x:c r="D1171" s="15" t="n">
        <x:f>C1171/SUM($C$5:$C$2477)</x:f>
        <x:v>0.00008084457979592443</x:v>
      </x:c>
      <x:c r="E1171" s="15" t="n">
        <x:f>SUM($D$5:D1171)</x:f>
        <x:v>0.9872666837056787</x:v>
      </x:c>
      <x:c r="F1171" s="1" t="str">
        <x:f>IF(C1171&lt;=0,"C",IF(E1171-D1171&lt;'Дашборд'!$C$49,"A",IF(E1171-D1171&lt;'Дашборд'!$C$50,"B","C")))</x:f>
        <x:v>C</x:v>
      </x:c>
      <x:c r="G1171" s="8" t="n">
        <x:f>'Данные'!F1171</x:f>
        <x:v>200</x:v>
      </x:c>
      <x:c r="H1171" s="8" t="n">
        <x:f>SUM('Данные'!H1171:I1171)</x:f>
        <x:v>649</x:v>
      </x:c>
      <x:c r="I1171" s="16" t="n">
        <x:f>IF(H1171&gt;0,G1171/H1171,"n.a.")</x:f>
        <x:v>0.3081664098613251</x:v>
      </x:c>
      <x:c r="J1171" s="10" t="n">
        <x:f>IF('Данные'!E1171&gt;0,G1171/'Данные'!E1171,"n.a.")</x:f>
        <x:v>0.010735373054213635</x:v>
      </x:c>
      <x:c r="K1171" s="1" t="str">
        <x:f>IF(G1171&gt;='Дашборд'!$C$51,"X","Z")</x:f>
        <x:v>Z</x:v>
      </x:c>
      <x:c r="L1171" s="1" t="str">
        <x:f>IF(H1171=0,IF(G1171&gt;0,"Нет остатка","Нет спроса"),IF(I1171&gt;='Дашборд'!$C$52,"Быстрый","Медленный"))</x:f>
        <x:v>Медленный</x:v>
      </x:c>
      <x:c r="M1171" s="1" t="str">
        <x:f>IF('Данные'!E1171&lt;'Дашборд'!$C$53,"Мало трафика",IF(J1171&lt;'Дашборд'!$C$9*'Дашборд'!$C$54,"Да","Нет"))</x:f>
        <x:v>Нет</x:v>
      </x:c>
      <x:c r="N1171" s="1" t="str">
        <x:f>IF(AND('Данные'!D1171&gt;='Дашборд'!$C$55,D1171&lt;'Дашборд'!$C$56,'Данные'!E1171&gt;='Дашборд'!$C$53,'Данные'!L1171&lt;&gt;"Да"),"Да","Нет")</x:f>
        <x:v>Да</x:v>
      </x:c>
      <x:c r="O1171" s="1" t="str">
        <x:f>'Данные'!L1171</x:f>
        <x:v>Нет</x:v>
      </x:c>
    </x:row>
    <x:row r="1172">
      <x:c r="A1172" s="1" t="str">
        <x:f>'Данные'!A1172</x:f>
        <x:v>332418835</x:v>
      </x:c>
      <x:c r="B1172" s="1" t="str">
        <x:f>'Данные'!B1172</x:f>
        <x:v>top/пыльно-синий</x:v>
      </x:c>
      <x:c r="C1172" s="8" t="n">
        <x:f>'Данные'!G1172</x:f>
        <x:v>69100</x:v>
      </x:c>
      <x:c r="D1172" s="15" t="n">
        <x:f>C1172/SUM($C$5:$C$2477)</x:f>
        <x:v>0.00008072425276214006</x:v>
      </x:c>
      <x:c r="E1172" s="15" t="n">
        <x:f>SUM($D$5:D1172)</x:f>
        <x:v>0.9873474079584409</x:v>
      </x:c>
      <x:c r="F1172" s="1" t="str">
        <x:f>IF(C1172&lt;=0,"C",IF(E1172-D1172&lt;'Дашборд'!$C$49,"A",IF(E1172-D1172&lt;'Дашборд'!$C$50,"B","C")))</x:f>
        <x:v>C</x:v>
      </x:c>
      <x:c r="G1172" s="8" t="n">
        <x:f>'Данные'!F1172</x:f>
        <x:v>271</x:v>
      </x:c>
      <x:c r="H1172" s="8" t="n">
        <x:f>SUM('Данные'!H1172:I1172)</x:f>
        <x:v>39</x:v>
      </x:c>
      <x:c r="I1172" s="16" t="n">
        <x:f>IF(H1172&gt;0,G1172/H1172,"n.a.")</x:f>
        <x:v>6.948717948717949</x:v>
      </x:c>
      <x:c r="J1172" s="10" t="n">
        <x:f>IF('Данные'!E1172&gt;0,G1172/'Данные'!E1172,"n.a.")</x:f>
        <x:v>0.010692444269086604</x:v>
      </x:c>
      <x:c r="K1172" s="1" t="str">
        <x:f>IF(G1172&gt;='Дашборд'!$C$51,"X","Z")</x:f>
        <x:v>Z</x:v>
      </x:c>
      <x:c r="L1172" s="1" t="str">
        <x:f>IF(H1172=0,IF(G1172&gt;0,"Нет остатка","Нет спроса"),IF(I1172&gt;='Дашборд'!$C$52,"Быстрый","Медленный"))</x:f>
        <x:v>Быстрый</x:v>
      </x:c>
      <x:c r="M1172" s="1" t="str">
        <x:f>IF('Данные'!E1172&lt;'Дашборд'!$C$53,"Мало трафика",IF(J1172&lt;'Дашборд'!$C$9*'Дашборд'!$C$54,"Да","Нет"))</x:f>
        <x:v>Нет</x:v>
      </x:c>
      <x:c r="N1172" s="1" t="str">
        <x:f>IF(AND('Данные'!D1172&gt;='Дашборд'!$C$55,D1172&lt;'Дашборд'!$C$56,'Данные'!E1172&gt;='Дашборд'!$C$53,'Данные'!L1172&lt;&gt;"Да"),"Да","Нет")</x:f>
        <x:v>Нет</x:v>
      </x:c>
      <x:c r="O1172" s="1" t="str">
        <x:f>'Данные'!L1172</x:f>
        <x:v>Нет</x:v>
      </x:c>
    </x:row>
    <x:row r="1173">
      <x:c r="A1173" s="1" t="str">
        <x:f>'Данные'!A1173</x:f>
        <x:v>204476254</x:v>
      </x:c>
      <x:c r="B1173" s="1" t="str">
        <x:f>'Данные'!B1173</x:f>
        <x:v>hudimanprint/PLAY-68/черный</x:v>
      </x:c>
      <x:c r="C1173" s="8" t="n">
        <x:f>'Данные'!G1173</x:f>
        <x:v>68808</x:v>
      </x:c>
      <x:c r="D1173" s="15" t="n">
        <x:f>C1173/SUM($C$5:$C$2477)</x:f>
        <x:v>0.0000803831314624795</x:v>
      </x:c>
      <x:c r="E1173" s="15" t="n">
        <x:f>SUM($D$5:D1173)</x:f>
        <x:v>0.9874277910899034</x:v>
      </x:c>
      <x:c r="F1173" s="1" t="str">
        <x:f>IF(C1173&lt;=0,"C",IF(E1173-D1173&lt;'Дашборд'!$C$49,"A",IF(E1173-D1173&lt;'Дашборд'!$C$50,"B","C")))</x:f>
        <x:v>C</x:v>
      </x:c>
      <x:c r="G1173" s="8" t="n">
        <x:f>'Данные'!F1173</x:f>
        <x:v>66</x:v>
      </x:c>
      <x:c r="H1173" s="8" t="n">
        <x:f>SUM('Данные'!H1173:I1173)</x:f>
        <x:v>1</x:v>
      </x:c>
      <x:c r="I1173" s="16" t="n">
        <x:f>IF(H1173&gt;0,G1173/H1173,"n.a.")</x:f>
        <x:v>66</x:v>
      </x:c>
      <x:c r="J1173" s="10" t="n">
        <x:f>IF('Данные'!E1173&gt;0,G1173/'Данные'!E1173,"n.a.")</x:f>
        <x:v>0.0100625095288916</x:v>
      </x:c>
      <x:c r="K1173" s="1" t="str">
        <x:f>IF(G1173&gt;='Дашборд'!$C$51,"X","Z")</x:f>
        <x:v>Z</x:v>
      </x:c>
      <x:c r="L1173" s="1" t="str">
        <x:f>IF(H1173=0,IF(G1173&gt;0,"Нет остатка","Нет спроса"),IF(I1173&gt;='Дашборд'!$C$52,"Быстрый","Медленный"))</x:f>
        <x:v>Быстрый</x:v>
      </x:c>
      <x:c r="M1173" s="1" t="str">
        <x:f>IF('Данные'!E1173&lt;'Дашборд'!$C$53,"Мало трафика",IF(J1173&lt;'Дашборд'!$C$9*'Дашборд'!$C$54,"Да","Нет"))</x:f>
        <x:v>Да</x:v>
      </x:c>
      <x:c r="N1173" s="1" t="str">
        <x:f>IF(AND('Данные'!D1173&gt;='Дашборд'!$C$55,D1173&lt;'Дашборд'!$C$56,'Данные'!E1173&gt;='Дашборд'!$C$53,'Данные'!L1173&lt;&gt;"Да"),"Да","Нет")</x:f>
        <x:v>Нет</x:v>
      </x:c>
      <x:c r="O1173" s="1" t="str">
        <x:f>'Данные'!L1173</x:f>
        <x:v>Нет</x:v>
      </x:c>
    </x:row>
    <x:row r="1174">
      <x:c r="A1174" s="1" t="str">
        <x:f>'Данные'!A1174</x:f>
        <x:v>316053818</x:v>
      </x:c>
      <x:c r="B1174" s="1" t="str">
        <x:f>'Данные'!B1174</x:f>
        <x:v>boxer/серыймеланж2</x:v>
      </x:c>
      <x:c r="C1174" s="8" t="n">
        <x:f>'Данные'!G1174</x:f>
        <x:v>68521</x:v>
      </x:c>
      <x:c r="D1174" s="15" t="n">
        <x:f>C1174/SUM($C$5:$C$2477)</x:f>
        <x:v>0.00008004785128096381</x:v>
      </x:c>
      <x:c r="E1174" s="15" t="n">
        <x:f>SUM($D$5:D1174)</x:f>
        <x:v>0.9875078389411844</x:v>
      </x:c>
      <x:c r="F1174" s="1" t="str">
        <x:f>IF(C1174&lt;=0,"C",IF(E1174-D1174&lt;'Дашборд'!$C$49,"A",IF(E1174-D1174&lt;'Дашборд'!$C$50,"B","C")))</x:f>
        <x:v>C</x:v>
      </x:c>
      <x:c r="G1174" s="8" t="n">
        <x:f>'Данные'!F1174</x:f>
        <x:v>245</x:v>
      </x:c>
      <x:c r="H1174" s="8" t="n">
        <x:f>SUM('Данные'!H1174:I1174)</x:f>
        <x:v>345</x:v>
      </x:c>
      <x:c r="I1174" s="16" t="n">
        <x:f>IF(H1174&gt;0,G1174/H1174,"n.a.")</x:f>
        <x:v>0.7101449275362319</x:v>
      </x:c>
      <x:c r="J1174" s="10" t="n">
        <x:f>IF('Данные'!E1174&gt;0,G1174/'Данные'!E1174,"n.a.")</x:f>
        <x:v>0.022056175729204177</x:v>
      </x:c>
      <x:c r="K1174" s="1" t="str">
        <x:f>IF(G1174&gt;='Дашборд'!$C$51,"X","Z")</x:f>
        <x:v>Z</x:v>
      </x:c>
      <x:c r="L1174" s="1" t="str">
        <x:f>IF(H1174=0,IF(G1174&gt;0,"Нет остатка","Нет спроса"),IF(I1174&gt;='Дашборд'!$C$52,"Быстрый","Медленный"))</x:f>
        <x:v>Медленный</x:v>
      </x:c>
      <x:c r="M1174" s="1" t="str">
        <x:f>IF('Данные'!E1174&lt;'Дашборд'!$C$53,"Мало трафика",IF(J1174&lt;'Дашборд'!$C$9*'Дашборд'!$C$54,"Да","Нет"))</x:f>
        <x:v>Нет</x:v>
      </x:c>
      <x:c r="N1174" s="1" t="str">
        <x:f>IF(AND('Данные'!D1174&gt;='Дашборд'!$C$55,D1174&lt;'Дашборд'!$C$56,'Данные'!E1174&gt;='Дашборд'!$C$53,'Данные'!L1174&lt;&gt;"Да"),"Да","Нет")</x:f>
        <x:v>Нет</x:v>
      </x:c>
      <x:c r="O1174" s="1" t="str">
        <x:f>'Данные'!L1174</x:f>
        <x:v>Нет</x:v>
      </x:c>
    </x:row>
    <x:row r="1175">
      <x:c r="A1175" s="1" t="str">
        <x:f>'Данные'!A1175</x:f>
        <x:v>344417659</x:v>
      </x:c>
      <x:c r="B1175" s="1" t="str">
        <x:f>'Данные'!B1175</x:f>
        <x:v>maykaman/красно-коричневый</x:v>
      </x:c>
      <x:c r="C1175" s="8" t="n">
        <x:f>'Данные'!G1175</x:f>
        <x:v>68409</x:v>
      </x:c>
      <x:c r="D1175" s="15" t="n">
        <x:f>C1175/SUM($C$5:$C$2477)</x:f>
        <x:v>0.00007991701023451866</x:v>
      </x:c>
      <x:c r="E1175" s="15" t="n">
        <x:f>SUM($D$5:D1175)</x:f>
        <x:v>0.9875877559514189</x:v>
      </x:c>
      <x:c r="F1175" s="1" t="str">
        <x:f>IF(C1175&lt;=0,"C",IF(E1175-D1175&lt;'Дашборд'!$C$49,"A",IF(E1175-D1175&lt;'Дашборд'!$C$50,"B","C")))</x:f>
        <x:v>C</x:v>
      </x:c>
      <x:c r="G1175" s="8" t="n">
        <x:f>'Данные'!F1175</x:f>
        <x:v>137</x:v>
      </x:c>
      <x:c r="H1175" s="8" t="n">
        <x:f>SUM('Данные'!H1175:I1175)</x:f>
        <x:v>390</x:v>
      </x:c>
      <x:c r="I1175" s="16" t="n">
        <x:f>IF(H1175&gt;0,G1175/H1175,"n.a.")</x:f>
        <x:v>0.35128205128205126</x:v>
      </x:c>
      <x:c r="J1175" s="10" t="n">
        <x:f>IF('Данные'!E1175&gt;0,G1175/'Данные'!E1175,"n.a.")</x:f>
        <x:v>0.011536842105263158</x:v>
      </x:c>
      <x:c r="K1175" s="1" t="str">
        <x:f>IF(G1175&gt;='Дашборд'!$C$51,"X","Z")</x:f>
        <x:v>Z</x:v>
      </x:c>
      <x:c r="L1175" s="1" t="str">
        <x:f>IF(H1175=0,IF(G1175&gt;0,"Нет остатка","Нет спроса"),IF(I1175&gt;='Дашборд'!$C$52,"Быстрый","Медленный"))</x:f>
        <x:v>Медленный</x:v>
      </x:c>
      <x:c r="M1175" s="1" t="str">
        <x:f>IF('Данные'!E1175&lt;'Дашборд'!$C$53,"Мало трафика",IF(J1175&lt;'Дашборд'!$C$9*'Дашборд'!$C$54,"Да","Нет"))</x:f>
        <x:v>Нет</x:v>
      </x:c>
      <x:c r="N1175" s="1" t="str">
        <x:f>IF(AND('Данные'!D1175&gt;='Дашборд'!$C$55,D1175&lt;'Дашборд'!$C$56,'Данные'!E1175&gt;='Дашборд'!$C$53,'Данные'!L1175&lt;&gt;"Да"),"Да","Нет")</x:f>
        <x:v>Да</x:v>
      </x:c>
      <x:c r="O1175" s="1" t="str">
        <x:f>'Данные'!L1175</x:f>
        <x:v>Нет</x:v>
      </x:c>
    </x:row>
    <x:row r="1176">
      <x:c r="A1176" s="1" t="str">
        <x:f>'Данные'!A1176</x:f>
        <x:v>158427950</x:v>
      </x:c>
      <x:c r="B1176" s="1" t="str">
        <x:f>'Данные'!B1176</x:f>
        <x:v>kostumman/песочный</x:v>
      </x:c>
      <x:c r="C1176" s="8" t="n">
        <x:f>'Данные'!G1176</x:f>
        <x:v>67811</x:v>
      </x:c>
      <x:c r="D1176" s="15" t="n">
        <x:f>C1176/SUM($C$5:$C$2477)</x:f>
        <x:v>0.00007921841250439189</x:v>
      </x:c>
      <x:c r="E1176" s="15" t="n">
        <x:f>SUM($D$5:D1176)</x:f>
        <x:v>0.9876669743639233</x:v>
      </x:c>
      <x:c r="F1176" s="1" t="str">
        <x:f>IF(C1176&lt;=0,"C",IF(E1176-D1176&lt;'Дашборд'!$C$49,"A",IF(E1176-D1176&lt;'Дашборд'!$C$50,"B","C")))</x:f>
        <x:v>C</x:v>
      </x:c>
      <x:c r="G1176" s="8" t="n">
        <x:f>'Данные'!F1176</x:f>
        <x:v>67</x:v>
      </x:c>
      <x:c r="H1176" s="8" t="n">
        <x:f>SUM('Данные'!H1176:I1176)</x:f>
        <x:v>427</x:v>
      </x:c>
      <x:c r="I1176" s="16" t="n">
        <x:f>IF(H1176&gt;0,G1176/H1176,"n.a.")</x:f>
        <x:v>0.15690866510538642</x:v>
      </x:c>
      <x:c r="J1176" s="10" t="n">
        <x:f>IF('Данные'!E1176&gt;0,G1176/'Данные'!E1176,"n.a.")</x:f>
        <x:v>0.012612951807228916</x:v>
      </x:c>
      <x:c r="K1176" s="1" t="str">
        <x:f>IF(G1176&gt;='Дашборд'!$C$51,"X","Z")</x:f>
        <x:v>Z</x:v>
      </x:c>
      <x:c r="L1176" s="1" t="str">
        <x:f>IF(H1176=0,IF(G1176&gt;0,"Нет остатка","Нет спроса"),IF(I1176&gt;='Дашборд'!$C$52,"Быстрый","Медленный"))</x:f>
        <x:v>Медленный</x:v>
      </x:c>
      <x:c r="M1176" s="1" t="str">
        <x:f>IF('Данные'!E1176&lt;'Дашборд'!$C$53,"Мало трафика",IF(J1176&lt;'Дашборд'!$C$9*'Дашборд'!$C$54,"Да","Нет"))</x:f>
        <x:v>Нет</x:v>
      </x:c>
      <x:c r="N1176" s="1" t="str">
        <x:f>IF(AND('Данные'!D1176&gt;='Дашборд'!$C$55,D1176&lt;'Дашборд'!$C$56,'Данные'!E1176&gt;='Дашборд'!$C$53,'Данные'!L1176&lt;&gt;"Да"),"Да","Нет")</x:f>
        <x:v>Да</x:v>
      </x:c>
      <x:c r="O1176" s="1" t="str">
        <x:f>'Данные'!L1176</x:f>
        <x:v>Нет</x:v>
      </x:c>
    </x:row>
    <x:row r="1177">
      <x:c r="A1177" s="1" t="str">
        <x:f>'Данные'!A1177</x:f>
        <x:v>370795843</x:v>
      </x:c>
      <x:c r="B1177" s="1" t="str">
        <x:f>'Данные'!B1177</x:f>
        <x:v>2Nshortymanbk/коричневый</x:v>
      </x:c>
      <x:c r="C1177" s="8" t="n">
        <x:f>'Данные'!G1177</x:f>
        <x:v>67219</x:v>
      </x:c>
      <x:c r="D1177" s="15" t="n">
        <x:f>C1177/SUM($C$5:$C$2477)</x:f>
        <x:v>0.00007852682411603897</x:v>
      </x:c>
      <x:c r="E1177" s="15" t="n">
        <x:f>SUM($D$5:D1177)</x:f>
        <x:v>0.9877455011880393</x:v>
      </x:c>
      <x:c r="F1177" s="1" t="str">
        <x:f>IF(C1177&lt;=0,"C",IF(E1177-D1177&lt;'Дашборд'!$C$49,"A",IF(E1177-D1177&lt;'Дашборд'!$C$50,"B","C")))</x:f>
        <x:v>C</x:v>
      </x:c>
      <x:c r="G1177" s="8" t="n">
        <x:f>'Данные'!F1177</x:f>
        <x:v>106</x:v>
      </x:c>
      <x:c r="H1177" s="8" t="n">
        <x:f>SUM('Данные'!H1177:I1177)</x:f>
        <x:v>5</x:v>
      </x:c>
      <x:c r="I1177" s="16" t="n">
        <x:f>IF(H1177&gt;0,G1177/H1177,"n.a.")</x:f>
        <x:v>21.2</x:v>
      </x:c>
      <x:c r="J1177" s="10" t="n">
        <x:f>IF('Данные'!E1177&gt;0,G1177/'Данные'!E1177,"n.a.")</x:f>
        <x:v>0.008885908290720093</x:v>
      </x:c>
      <x:c r="K1177" s="1" t="str">
        <x:f>IF(G1177&gt;='Дашборд'!$C$51,"X","Z")</x:f>
        <x:v>Z</x:v>
      </x:c>
      <x:c r="L1177" s="1" t="str">
        <x:f>IF(H1177=0,IF(G1177&gt;0,"Нет остатка","Нет спроса"),IF(I1177&gt;='Дашборд'!$C$52,"Быстрый","Медленный"))</x:f>
        <x:v>Быстрый</x:v>
      </x:c>
      <x:c r="M1177" s="1" t="str">
        <x:f>IF('Данные'!E1177&lt;'Дашборд'!$C$53,"Мало трафика",IF(J1177&lt;'Дашборд'!$C$9*'Дашборд'!$C$54,"Да","Нет"))</x:f>
        <x:v>Да</x:v>
      </x:c>
      <x:c r="N1177" s="1" t="str">
        <x:f>IF(AND('Данные'!D1177&gt;='Дашборд'!$C$55,D1177&lt;'Дашборд'!$C$56,'Данные'!E1177&gt;='Дашборд'!$C$53,'Данные'!L1177&lt;&gt;"Да"),"Да","Нет")</x:f>
        <x:v>Нет</x:v>
      </x:c>
      <x:c r="O1177" s="1" t="str">
        <x:f>'Данные'!L1177</x:f>
        <x:v>Нет</x:v>
      </x:c>
    </x:row>
    <x:row r="1178">
      <x:c r="A1178" s="1" t="str">
        <x:f>'Данные'!A1178</x:f>
        <x:v>313770738</x:v>
      </x:c>
      <x:c r="B1178" s="1" t="str">
        <x:f>'Данные'!B1178</x:f>
        <x:v>futbolkagirl/серовато-розовый</x:v>
      </x:c>
      <x:c r="C1178" s="8" t="n">
        <x:f>'Данные'!G1178</x:f>
        <x:v>67085</x:v>
      </x:c>
      <x:c r="D1178" s="15" t="n">
        <x:f>C1178/SUM($C$5:$C$2477)</x:f>
        <x:v>0.00007837028214975638</x:v>
      </x:c>
      <x:c r="E1178" s="15" t="n">
        <x:f>SUM($D$5:D1178)</x:f>
        <x:v>0.987823871470189</x:v>
      </x:c>
      <x:c r="F1178" s="1" t="str">
        <x:f>IF(C1178&lt;=0,"C",IF(E1178-D1178&lt;'Дашборд'!$C$49,"A",IF(E1178-D1178&lt;'Дашборд'!$C$50,"B","C")))</x:f>
        <x:v>C</x:v>
      </x:c>
      <x:c r="G1178" s="8" t="n">
        <x:f>'Данные'!F1178</x:f>
        <x:v>183</x:v>
      </x:c>
      <x:c r="H1178" s="8" t="n">
        <x:f>SUM('Данные'!H1178:I1178)</x:f>
        <x:v>261</x:v>
      </x:c>
      <x:c r="I1178" s="16" t="n">
        <x:f>IF(H1178&gt;0,G1178/H1178,"n.a.")</x:f>
        <x:v>0.7011494252873564</x:v>
      </x:c>
      <x:c r="J1178" s="10" t="n">
        <x:f>IF('Данные'!E1178&gt;0,G1178/'Данные'!E1178,"n.a.")</x:f>
        <x:v>0.006454571106094808</x:v>
      </x:c>
      <x:c r="K1178" s="1" t="str">
        <x:f>IF(G1178&gt;='Дашборд'!$C$51,"X","Z")</x:f>
        <x:v>Z</x:v>
      </x:c>
      <x:c r="L1178" s="1" t="str">
        <x:f>IF(H1178=0,IF(G1178&gt;0,"Нет остатка","Нет спроса"),IF(I1178&gt;='Дашборд'!$C$52,"Быстрый","Медленный"))</x:f>
        <x:v>Медленный</x:v>
      </x:c>
      <x:c r="M1178" s="1" t="str">
        <x:f>IF('Данные'!E1178&lt;'Дашборд'!$C$53,"Мало трафика",IF(J1178&lt;'Дашборд'!$C$9*'Дашборд'!$C$54,"Да","Нет"))</x:f>
        <x:v>Да</x:v>
      </x:c>
      <x:c r="N1178" s="1" t="str">
        <x:f>IF(AND('Данные'!D1178&gt;='Дашборд'!$C$55,D1178&lt;'Дашборд'!$C$56,'Данные'!E1178&gt;='Дашборд'!$C$53,'Данные'!L1178&lt;&gt;"Да"),"Да","Нет")</x:f>
        <x:v>Да</x:v>
      </x:c>
      <x:c r="O1178" s="1" t="str">
        <x:f>'Данные'!L1178</x:f>
        <x:v>Нет</x:v>
      </x:c>
    </x:row>
    <x:row r="1179">
      <x:c r="A1179" s="1" t="str">
        <x:f>'Данные'!A1179</x:f>
        <x:v>335463347</x:v>
      </x:c>
      <x:c r="B1179" s="1" t="str">
        <x:f>'Данные'!B1179</x:f>
        <x:v>shorts3n3P-87/бордовый</x:v>
      </x:c>
      <x:c r="C1179" s="8" t="n">
        <x:f>'Данные'!G1179</x:f>
        <x:v>66843</x:v>
      </x:c>
      <x:c r="D1179" s="15" t="n">
        <x:f>C1179/SUM($C$5:$C$2477)</x:f>
        <x:v>0.00007808757203154454</x:v>
      </x:c>
      <x:c r="E1179" s="15" t="n">
        <x:f>SUM($D$5:D1179)</x:f>
        <x:v>0.9879019590422206</x:v>
      </x:c>
      <x:c r="F1179" s="1" t="str">
        <x:f>IF(C1179&lt;=0,"C",IF(E1179-D1179&lt;'Дашборд'!$C$49,"A",IF(E1179-D1179&lt;'Дашборд'!$C$50,"B","C")))</x:f>
        <x:v>C</x:v>
      </x:c>
      <x:c r="G1179" s="8" t="n">
        <x:f>'Данные'!F1179</x:f>
        <x:v>143</x:v>
      </x:c>
      <x:c r="H1179" s="8" t="n">
        <x:f>SUM('Данные'!H1179:I1179)</x:f>
        <x:v>37</x:v>
      </x:c>
      <x:c r="I1179" s="16" t="n">
        <x:f>IF(H1179&gt;0,G1179/H1179,"n.a.")</x:f>
        <x:v>3.864864864864865</x:v>
      </x:c>
      <x:c r="J1179" s="10" t="n">
        <x:f>IF('Данные'!E1179&gt;0,G1179/'Данные'!E1179,"n.a.")</x:f>
        <x:v>0.016154541346588343</x:v>
      </x:c>
      <x:c r="K1179" s="1" t="str">
        <x:f>IF(G1179&gt;='Дашборд'!$C$51,"X","Z")</x:f>
        <x:v>Z</x:v>
      </x:c>
      <x:c r="L1179" s="1" t="str">
        <x:f>IF(H1179=0,IF(G1179&gt;0,"Нет остатка","Нет спроса"),IF(I1179&gt;='Дашборд'!$C$52,"Быстрый","Медленный"))</x:f>
        <x:v>Быстрый</x:v>
      </x:c>
      <x:c r="M1179" s="1" t="str">
        <x:f>IF('Данные'!E1179&lt;'Дашборд'!$C$53,"Мало трафика",IF(J1179&lt;'Дашборд'!$C$9*'Дашборд'!$C$54,"Да","Нет"))</x:f>
        <x:v>Нет</x:v>
      </x:c>
      <x:c r="N1179" s="1" t="str">
        <x:f>IF(AND('Данные'!D1179&gt;='Дашборд'!$C$55,D1179&lt;'Дашборд'!$C$56,'Данные'!E1179&gt;='Дашборд'!$C$53,'Данные'!L1179&lt;&gt;"Да"),"Да","Нет")</x:f>
        <x:v>Нет</x:v>
      </x:c>
      <x:c r="O1179" s="1" t="str">
        <x:f>'Данные'!L1179</x:f>
        <x:v>Нет</x:v>
      </x:c>
    </x:row>
    <x:row r="1180">
      <x:c r="A1180" s="1" t="str">
        <x:f>'Данные'!A1180</x:f>
        <x:v>203015609</x:v>
      </x:c>
      <x:c r="B1180" s="1" t="str">
        <x:f>'Данные'!B1180</x:f>
        <x:v>Futbolkaprint/KRASLoveNever-64/молочный</x:v>
      </x:c>
      <x:c r="C1180" s="8" t="n">
        <x:f>'Данные'!G1180</x:f>
        <x:v>66711</x:v>
      </x:c>
      <x:c r="D1180" s="15" t="n">
        <x:f>C1180/SUM($C$5:$C$2477)</x:f>
        <x:v>0.0000779333665125199</x:v>
      </x:c>
      <x:c r="E1180" s="15" t="n">
        <x:f>SUM($D$5:D1180)</x:f>
        <x:v>0.9879798924087331</x:v>
      </x:c>
      <x:c r="F1180" s="1" t="str">
        <x:f>IF(C1180&lt;=0,"C",IF(E1180-D1180&lt;'Дашборд'!$C$49,"A",IF(E1180-D1180&lt;'Дашборд'!$C$50,"B","C")))</x:f>
        <x:v>C</x:v>
      </x:c>
      <x:c r="G1180" s="8" t="n">
        <x:f>'Данные'!F1180</x:f>
        <x:v>103</x:v>
      </x:c>
      <x:c r="H1180" s="8" t="n">
        <x:f>SUM('Данные'!H1180:I1180)</x:f>
        <x:v>1</x:v>
      </x:c>
      <x:c r="I1180" s="16" t="n">
        <x:f>IF(H1180&gt;0,G1180/H1180,"n.a.")</x:f>
        <x:v>103</x:v>
      </x:c>
      <x:c r="J1180" s="10" t="n">
        <x:f>IF('Данные'!E1180&gt;0,G1180/'Данные'!E1180,"n.a.")</x:f>
        <x:v>0.00882075875652993</x:v>
      </x:c>
      <x:c r="K1180" s="1" t="str">
        <x:f>IF(G1180&gt;='Дашборд'!$C$51,"X","Z")</x:f>
        <x:v>Z</x:v>
      </x:c>
      <x:c r="L1180" s="1" t="str">
        <x:f>IF(H1180=0,IF(G1180&gt;0,"Нет остатка","Нет спроса"),IF(I1180&gt;='Дашборд'!$C$52,"Быстрый","Медленный"))</x:f>
        <x:v>Быстрый</x:v>
      </x:c>
      <x:c r="M1180" s="1" t="str">
        <x:f>IF('Данные'!E1180&lt;'Дашборд'!$C$53,"Мало трафика",IF(J1180&lt;'Дашборд'!$C$9*'Дашборд'!$C$54,"Да","Нет"))</x:f>
        <x:v>Да</x:v>
      </x:c>
      <x:c r="N1180" s="1" t="str">
        <x:f>IF(AND('Данные'!D1180&gt;='Дашборд'!$C$55,D1180&lt;'Дашборд'!$C$56,'Данные'!E1180&gt;='Дашборд'!$C$53,'Данные'!L1180&lt;&gt;"Да"),"Да","Нет")</x:f>
        <x:v>Нет</x:v>
      </x:c>
      <x:c r="O1180" s="1" t="str">
        <x:f>'Данные'!L1180</x:f>
        <x:v>Нет</x:v>
      </x:c>
    </x:row>
    <x:row r="1181">
      <x:c r="A1181" s="1" t="str">
        <x:f>'Данные'!A1181</x:f>
        <x:v>25604112</x:v>
      </x:c>
      <x:c r="B1181" s="1" t="str">
        <x:f>'Данные'!B1181</x:f>
        <x:v>futbolka/красный</x:v>
      </x:c>
      <x:c r="C1181" s="8" t="n">
        <x:f>'Данные'!G1181</x:f>
        <x:v>65801</x:v>
      </x:c>
      <x:c r="D1181" s="15" t="n">
        <x:f>C1181/SUM($C$5:$C$2477)</x:f>
        <x:v>0.00007687028301015309</x:v>
      </x:c>
      <x:c r="E1181" s="15" t="n">
        <x:f>SUM($D$5:D1181)</x:f>
        <x:v>0.9880567626917433</x:v>
      </x:c>
      <x:c r="F1181" s="1" t="str">
        <x:f>IF(C1181&lt;=0,"C",IF(E1181-D1181&lt;'Дашборд'!$C$49,"A",IF(E1181-D1181&lt;'Дашборд'!$C$50,"B","C")))</x:f>
        <x:v>C</x:v>
      </x:c>
      <x:c r="G1181" s="8" t="n">
        <x:f>'Данные'!F1181</x:f>
        <x:v>153</x:v>
      </x:c>
      <x:c r="H1181" s="8" t="n">
        <x:f>SUM('Данные'!H1181:I1181)</x:f>
        <x:v>0</x:v>
      </x:c>
      <x:c r="I1181" s="16" t="str">
        <x:f>IF(H1181&gt;0,G1181/H1181,"n.a.")</x:f>
        <x:v>n.a.</x:v>
      </x:c>
      <x:c r="J1181" s="10" t="n">
        <x:f>IF('Данные'!E1181&gt;0,G1181/'Данные'!E1181,"n.a.")</x:f>
        <x:v>0.009441530391854367</x:v>
      </x:c>
      <x:c r="K1181" s="1" t="str">
        <x:f>IF(G1181&gt;='Дашборд'!$C$51,"X","Z")</x:f>
        <x:v>Z</x:v>
      </x:c>
      <x:c r="L1181" s="1" t="str">
        <x:f>IF(H1181=0,IF(G1181&gt;0,"Нет остатка","Нет спроса"),IF(I1181&gt;='Дашборд'!$C$52,"Быстрый","Медленный"))</x:f>
        <x:v>Нет остатка</x:v>
      </x:c>
      <x:c r="M1181" s="1" t="str">
        <x:f>IF('Данные'!E1181&lt;'Дашборд'!$C$53,"Мало трафика",IF(J1181&lt;'Дашборд'!$C$9*'Дашборд'!$C$54,"Да","Нет"))</x:f>
        <x:v>Да</x:v>
      </x:c>
      <x:c r="N1181" s="1" t="str">
        <x:f>IF(AND('Данные'!D1181&gt;='Дашборд'!$C$55,D1181&lt;'Дашборд'!$C$56,'Данные'!E1181&gt;='Дашборд'!$C$53,'Данные'!L1181&lt;&gt;"Да"),"Да","Нет")</x:f>
        <x:v>Нет</x:v>
      </x:c>
      <x:c r="O1181" s="1" t="str">
        <x:f>'Данные'!L1181</x:f>
        <x:v>Нет</x:v>
      </x:c>
    </x:row>
    <x:row r="1182">
      <x:c r="A1182" s="1" t="str">
        <x:f>'Данные'!A1182</x:f>
        <x:v>245558082</x:v>
      </x:c>
      <x:c r="B1182" s="1" t="str">
        <x:f>'Данные'!B1182</x:f>
        <x:v>hudimanprint/Cactus-144/молочный</x:v>
      </x:c>
      <x:c r="C1182" s="8" t="n">
        <x:f>'Данные'!G1182</x:f>
        <x:v>65778</x:v>
      </x:c>
      <x:c r="D1182" s="15" t="n">
        <x:f>C1182/SUM($C$5:$C$2477)</x:f>
        <x:v>0.00007684341386668667</x:v>
      </x:c>
      <x:c r="E1182" s="15" t="n">
        <x:f>SUM($D$5:D1182)</x:f>
        <x:v>0.98813360610561</x:v>
      </x:c>
      <x:c r="F1182" s="1" t="str">
        <x:f>IF(C1182&lt;=0,"C",IF(E1182-D1182&lt;'Дашборд'!$C$49,"A",IF(E1182-D1182&lt;'Дашборд'!$C$50,"B","C")))</x:f>
        <x:v>C</x:v>
      </x:c>
      <x:c r="G1182" s="8" t="n">
        <x:f>'Данные'!F1182</x:f>
        <x:v>67</x:v>
      </x:c>
      <x:c r="H1182" s="8" t="n">
        <x:f>SUM('Данные'!H1182:I1182)</x:f>
        <x:v>49</x:v>
      </x:c>
      <x:c r="I1182" s="16" t="n">
        <x:f>IF(H1182&gt;0,G1182/H1182,"n.a.")</x:f>
        <x:v>1.3673469387755102</x:v>
      </x:c>
      <x:c r="J1182" s="10" t="n">
        <x:f>IF('Данные'!E1182&gt;0,G1182/'Данные'!E1182,"n.a.")</x:f>
        <x:v>0.009349706949483673</x:v>
      </x:c>
      <x:c r="K1182" s="1" t="str">
        <x:f>IF(G1182&gt;='Дашборд'!$C$51,"X","Z")</x:f>
        <x:v>Z</x:v>
      </x:c>
      <x:c r="L1182" s="1" t="str">
        <x:f>IF(H1182=0,IF(G1182&gt;0,"Нет остатка","Нет спроса"),IF(I1182&gt;='Дашборд'!$C$52,"Быстрый","Медленный"))</x:f>
        <x:v>Быстрый</x:v>
      </x:c>
      <x:c r="M1182" s="1" t="str">
        <x:f>IF('Данные'!E1182&lt;'Дашборд'!$C$53,"Мало трафика",IF(J1182&lt;'Дашборд'!$C$9*'Дашборд'!$C$54,"Да","Нет"))</x:f>
        <x:v>Да</x:v>
      </x:c>
      <x:c r="N1182" s="1" t="str">
        <x:f>IF(AND('Данные'!D1182&gt;='Дашборд'!$C$55,D1182&lt;'Дашборд'!$C$56,'Данные'!E1182&gt;='Дашборд'!$C$53,'Данные'!L1182&lt;&gt;"Да"),"Да","Нет")</x:f>
        <x:v>Нет</x:v>
      </x:c>
      <x:c r="O1182" s="1" t="str">
        <x:f>'Данные'!L1182</x:f>
        <x:v>Нет</x:v>
      </x:c>
    </x:row>
    <x:row r="1183">
      <x:c r="A1183" s="1" t="str">
        <x:f>'Данные'!A1183</x:f>
        <x:v>171386788</x:v>
      </x:c>
      <x:c r="B1183" s="1" t="str">
        <x:f>'Данные'!B1183</x:f>
        <x:v>svitshotover/темно-серый</x:v>
      </x:c>
      <x:c r="C1183" s="8" t="n">
        <x:f>'Данные'!G1183</x:f>
        <x:v>65379</x:v>
      </x:c>
      <x:c r="D1183" s="15" t="n">
        <x:f>C1183/SUM($C$5:$C$2477)</x:f>
        <x:v>0.00007637729263872584</x:v>
      </x:c>
      <x:c r="E1183" s="15" t="n">
        <x:f>SUM($D$5:D1183)</x:f>
        <x:v>0.9882099833982487</x:v>
      </x:c>
      <x:c r="F1183" s="1" t="str">
        <x:f>IF(C1183&lt;=0,"C",IF(E1183-D1183&lt;'Дашборд'!$C$49,"A",IF(E1183-D1183&lt;'Дашборд'!$C$50,"B","C")))</x:f>
        <x:v>C</x:v>
      </x:c>
      <x:c r="G1183" s="8" t="n">
        <x:f>'Данные'!F1183</x:f>
        <x:v>46</x:v>
      </x:c>
      <x:c r="H1183" s="8" t="n">
        <x:f>SUM('Данные'!H1183:I1183)</x:f>
        <x:v>206</x:v>
      </x:c>
      <x:c r="I1183" s="16" t="n">
        <x:f>IF(H1183&gt;0,G1183/H1183,"n.a.")</x:f>
        <x:v>0.22330097087378642</x:v>
      </x:c>
      <x:c r="J1183" s="10" t="n">
        <x:f>IF('Данные'!E1183&gt;0,G1183/'Данные'!E1183,"n.a.")</x:f>
        <x:v>0.006254248810333107</x:v>
      </x:c>
      <x:c r="K1183" s="1" t="str">
        <x:f>IF(G1183&gt;='Дашборд'!$C$51,"X","Z")</x:f>
        <x:v>Z</x:v>
      </x:c>
      <x:c r="L1183" s="1" t="str">
        <x:f>IF(H1183=0,IF(G1183&gt;0,"Нет остатка","Нет спроса"),IF(I1183&gt;='Дашборд'!$C$52,"Быстрый","Медленный"))</x:f>
        <x:v>Медленный</x:v>
      </x:c>
      <x:c r="M1183" s="1" t="str">
        <x:f>IF('Данные'!E1183&lt;'Дашборд'!$C$53,"Мало трафика",IF(J1183&lt;'Дашборд'!$C$9*'Дашборд'!$C$54,"Да","Нет"))</x:f>
        <x:v>Да</x:v>
      </x:c>
      <x:c r="N1183" s="1" t="str">
        <x:f>IF(AND('Данные'!D1183&gt;='Дашборд'!$C$55,D1183&lt;'Дашборд'!$C$56,'Данные'!E1183&gt;='Дашборд'!$C$53,'Данные'!L1183&lt;&gt;"Да"),"Да","Нет")</x:f>
        <x:v>Да</x:v>
      </x:c>
      <x:c r="O1183" s="1" t="str">
        <x:f>'Данные'!L1183</x:f>
        <x:v>Нет</x:v>
      </x:c>
    </x:row>
    <x:row r="1184">
      <x:c r="A1184" s="1" t="str">
        <x:f>'Данные'!A1184</x:f>
        <x:v>35657626</x:v>
      </x:c>
      <x:c r="B1184" s="1" t="str">
        <x:f>'Данные'!B1184</x:f>
        <x:v>longsliv/красный</x:v>
      </x:c>
      <x:c r="C1184" s="8" t="n">
        <x:f>'Данные'!G1184</x:f>
        <x:v>65306</x:v>
      </x:c>
      <x:c r="D1184" s="15" t="n">
        <x:f>C1184/SUM($C$5:$C$2477)</x:f>
        <x:v>0.00007629201231381069</x:v>
      </x:c>
      <x:c r="E1184" s="15" t="n">
        <x:f>SUM($D$5:D1184)</x:f>
        <x:v>0.9882862754105626</x:v>
      </x:c>
      <x:c r="F1184" s="1" t="str">
        <x:f>IF(C1184&lt;=0,"C",IF(E1184-D1184&lt;'Дашборд'!$C$49,"A",IF(E1184-D1184&lt;'Дашборд'!$C$50,"B","C")))</x:f>
        <x:v>C</x:v>
      </x:c>
      <x:c r="G1184" s="8" t="n">
        <x:f>'Данные'!F1184</x:f>
        <x:v>222</x:v>
      </x:c>
      <x:c r="H1184" s="8" t="n">
        <x:f>SUM('Данные'!H1184:I1184)</x:f>
        <x:v>70</x:v>
      </x:c>
      <x:c r="I1184" s="16" t="n">
        <x:f>IF(H1184&gt;0,G1184/H1184,"n.a.")</x:f>
        <x:v>3.1714285714285713</x:v>
      </x:c>
      <x:c r="J1184" s="10" t="n">
        <x:f>IF('Данные'!E1184&gt;0,G1184/'Данные'!E1184,"n.a.")</x:f>
        <x:v>0.03346901854364541</x:v>
      </x:c>
      <x:c r="K1184" s="1" t="str">
        <x:f>IF(G1184&gt;='Дашборд'!$C$51,"X","Z")</x:f>
        <x:v>Z</x:v>
      </x:c>
      <x:c r="L1184" s="1" t="str">
        <x:f>IF(H1184=0,IF(G1184&gt;0,"Нет остатка","Нет спроса"),IF(I1184&gt;='Дашборд'!$C$52,"Быстрый","Медленный"))</x:f>
        <x:v>Быстрый</x:v>
      </x:c>
      <x:c r="M1184" s="1" t="str">
        <x:f>IF('Данные'!E1184&lt;'Дашборд'!$C$53,"Мало трафика",IF(J1184&lt;'Дашборд'!$C$9*'Дашборд'!$C$54,"Да","Нет"))</x:f>
        <x:v>Нет</x:v>
      </x:c>
      <x:c r="N1184" s="1" t="str">
        <x:f>IF(AND('Данные'!D1184&gt;='Дашборд'!$C$55,D1184&lt;'Дашборд'!$C$56,'Данные'!E1184&gt;='Дашборд'!$C$53,'Данные'!L1184&lt;&gt;"Да"),"Да","Нет")</x:f>
        <x:v>Да</x:v>
      </x:c>
      <x:c r="O1184" s="1" t="str">
        <x:f>'Данные'!L1184</x:f>
        <x:v>Нет</x:v>
      </x:c>
    </x:row>
    <x:row r="1185">
      <x:c r="A1185" s="1" t="str">
        <x:f>'Данные'!A1185</x:f>
        <x:v>171386790</x:v>
      </x:c>
      <x:c r="B1185" s="1" t="str">
        <x:f>'Данные'!B1185</x:f>
        <x:v>svitshotover/белый</x:v>
      </x:c>
      <x:c r="C1185" s="8" t="n">
        <x:f>'Данные'!G1185</x:f>
        <x:v>65242</x:v>
      </x:c>
      <x:c r="D1185" s="15" t="n">
        <x:f>C1185/SUM($C$5:$C$2477)</x:f>
        <x:v>0.00007621724600155633</x:v>
      </x:c>
      <x:c r="E1185" s="15" t="n">
        <x:f>SUM($D$5:D1185)</x:f>
        <x:v>0.9883624926565642</x:v>
      </x:c>
      <x:c r="F1185" s="1" t="str">
        <x:f>IF(C1185&lt;=0,"C",IF(E1185-D1185&lt;'Дашборд'!$C$49,"A",IF(E1185-D1185&lt;'Дашборд'!$C$50,"B","C")))</x:f>
        <x:v>C</x:v>
      </x:c>
      <x:c r="G1185" s="8" t="n">
        <x:f>'Данные'!F1185</x:f>
        <x:v>84</x:v>
      </x:c>
      <x:c r="H1185" s="8" t="n">
        <x:f>SUM('Данные'!H1185:I1185)</x:f>
        <x:v>257</x:v>
      </x:c>
      <x:c r="I1185" s="16" t="n">
        <x:f>IF(H1185&gt;0,G1185/H1185,"n.a.")</x:f>
        <x:v>0.32684824902723736</x:v>
      </x:c>
      <x:c r="J1185" s="10" t="n">
        <x:f>IF('Данные'!E1185&gt;0,G1185/'Данные'!E1185,"n.a.")</x:f>
        <x:v>0.008130081300813009</x:v>
      </x:c>
      <x:c r="K1185" s="1" t="str">
        <x:f>IF(G1185&gt;='Дашборд'!$C$51,"X","Z")</x:f>
        <x:v>Z</x:v>
      </x:c>
      <x:c r="L1185" s="1" t="str">
        <x:f>IF(H1185=0,IF(G1185&gt;0,"Нет остатка","Нет спроса"),IF(I1185&gt;='Дашборд'!$C$52,"Быстрый","Медленный"))</x:f>
        <x:v>Медленный</x:v>
      </x:c>
      <x:c r="M1185" s="1" t="str">
        <x:f>IF('Данные'!E1185&lt;'Дашборд'!$C$53,"Мало трафика",IF(J1185&lt;'Дашборд'!$C$9*'Дашборд'!$C$54,"Да","Нет"))</x:f>
        <x:v>Да</x:v>
      </x:c>
      <x:c r="N1185" s="1" t="str">
        <x:f>IF(AND('Данные'!D1185&gt;='Дашборд'!$C$55,D1185&lt;'Дашборд'!$C$56,'Данные'!E1185&gt;='Дашборд'!$C$53,'Данные'!L1185&lt;&gt;"Да"),"Да","Нет")</x:f>
        <x:v>Да</x:v>
      </x:c>
      <x:c r="O1185" s="1" t="str">
        <x:f>'Данные'!L1185</x:f>
        <x:v>Нет</x:v>
      </x:c>
    </x:row>
    <x:row r="1186">
      <x:c r="A1186" s="1" t="str">
        <x:f>'Данные'!A1186</x:f>
        <x:v>181613185</x:v>
      </x:c>
      <x:c r="B1186" s="1" t="str">
        <x:f>'Данные'!B1186</x:f>
        <x:v>kostyum/синий</x:v>
      </x:c>
      <x:c r="C1186" s="8" t="n">
        <x:f>'Данные'!G1186</x:f>
        <x:v>64836</x:v>
      </x:c>
      <x:c r="D1186" s="15" t="n">
        <x:f>C1186/SUM($C$5:$C$2477)</x:f>
        <x:v>0.00007574294720819267</x:v>
      </x:c>
      <x:c r="E1186" s="15" t="n">
        <x:f>SUM($D$5:D1186)</x:f>
        <x:v>0.9884382356037724</x:v>
      </x:c>
      <x:c r="F1186" s="1" t="str">
        <x:f>IF(C1186&lt;=0,"C",IF(E1186-D1186&lt;'Дашборд'!$C$49,"A",IF(E1186-D1186&lt;'Дашборд'!$C$50,"B","C")))</x:f>
        <x:v>C</x:v>
      </x:c>
      <x:c r="G1186" s="8" t="n">
        <x:f>'Данные'!F1186</x:f>
        <x:v>59</x:v>
      </x:c>
      <x:c r="H1186" s="8" t="n">
        <x:f>SUM('Данные'!H1186:I1186)</x:f>
        <x:v>385</x:v>
      </x:c>
      <x:c r="I1186" s="16" t="n">
        <x:f>IF(H1186&gt;0,G1186/H1186,"n.a.")</x:f>
        <x:v>0.15324675324675324</x:v>
      </x:c>
      <x:c r="J1186" s="10" t="n">
        <x:f>IF('Данные'!E1186&gt;0,G1186/'Данные'!E1186,"n.a.")</x:f>
        <x:v>0.0022801051167104652</x:v>
      </x:c>
      <x:c r="K1186" s="1" t="str">
        <x:f>IF(G1186&gt;='Дашборд'!$C$51,"X","Z")</x:f>
        <x:v>Z</x:v>
      </x:c>
      <x:c r="L1186" s="1" t="str">
        <x:f>IF(H1186=0,IF(G1186&gt;0,"Нет остатка","Нет спроса"),IF(I1186&gt;='Дашборд'!$C$52,"Быстрый","Медленный"))</x:f>
        <x:v>Медленный</x:v>
      </x:c>
      <x:c r="M1186" s="1" t="str">
        <x:f>IF('Данные'!E1186&lt;'Дашборд'!$C$53,"Мало трафика",IF(J1186&lt;'Дашборд'!$C$9*'Дашборд'!$C$54,"Да","Нет"))</x:f>
        <x:v>Да</x:v>
      </x:c>
      <x:c r="N1186" s="1" t="str">
        <x:f>IF(AND('Данные'!D1186&gt;='Дашборд'!$C$55,D1186&lt;'Дашборд'!$C$56,'Данные'!E1186&gt;='Дашборд'!$C$53,'Данные'!L1186&lt;&gt;"Да"),"Да","Нет")</x:f>
        <x:v>Нет</x:v>
      </x:c>
      <x:c r="O1186" s="1" t="str">
        <x:f>'Данные'!L1186</x:f>
        <x:v>Нет</x:v>
      </x:c>
    </x:row>
    <x:row r="1187">
      <x:c r="A1187" s="1" t="str">
        <x:f>'Данные'!A1187</x:f>
        <x:v>333112142</x:v>
      </x:c>
      <x:c r="B1187" s="1" t="str">
        <x:f>'Данные'!B1187</x:f>
        <x:v>topmayka/пыльно-синий</x:v>
      </x:c>
      <x:c r="C1187" s="8" t="n">
        <x:f>'Данные'!G1187</x:f>
        <x:v>64555</x:v>
      </x:c>
      <x:c r="D1187" s="15" t="n">
        <x:f>C1187/SUM($C$5:$C$2477)</x:f>
        <x:v>0.00007541467636845082</x:v>
      </x:c>
      <x:c r="E1187" s="15" t="n">
        <x:f>SUM($D$5:D1187)</x:f>
        <x:v>0.9885136502801408</x:v>
      </x:c>
      <x:c r="F1187" s="1" t="str">
        <x:f>IF(C1187&lt;=0,"C",IF(E1187-D1187&lt;'Дашборд'!$C$49,"A",IF(E1187-D1187&lt;'Дашборд'!$C$50,"B","C")))</x:f>
        <x:v>C</x:v>
      </x:c>
      <x:c r="G1187" s="8" t="n">
        <x:f>'Данные'!F1187</x:f>
        <x:v>177</x:v>
      </x:c>
      <x:c r="H1187" s="8" t="n">
        <x:f>SUM('Данные'!H1187:I1187)</x:f>
        <x:v>76</x:v>
      </x:c>
      <x:c r="I1187" s="16" t="n">
        <x:f>IF(H1187&gt;0,G1187/H1187,"n.a.")</x:f>
        <x:v>2.3289473684210527</x:v>
      </x:c>
      <x:c r="J1187" s="10" t="n">
        <x:f>IF('Данные'!E1187&gt;0,G1187/'Данные'!E1187,"n.a.")</x:f>
        <x:v>0.010792024876531919</x:v>
      </x:c>
      <x:c r="K1187" s="1" t="str">
        <x:f>IF(G1187&gt;='Дашборд'!$C$51,"X","Z")</x:f>
        <x:v>Z</x:v>
      </x:c>
      <x:c r="L1187" s="1" t="str">
        <x:f>IF(H1187=0,IF(G1187&gt;0,"Нет остатка","Нет спроса"),IF(I1187&gt;='Дашборд'!$C$52,"Быстрый","Медленный"))</x:f>
        <x:v>Быстрый</x:v>
      </x:c>
      <x:c r="M1187" s="1" t="str">
        <x:f>IF('Данные'!E1187&lt;'Дашборд'!$C$53,"Мало трафика",IF(J1187&lt;'Дашборд'!$C$9*'Дашборд'!$C$54,"Да","Нет"))</x:f>
        <x:v>Нет</x:v>
      </x:c>
      <x:c r="N1187" s="1" t="str">
        <x:f>IF(AND('Данные'!D1187&gt;='Дашборд'!$C$55,D1187&lt;'Дашборд'!$C$56,'Данные'!E1187&gt;='Дашборд'!$C$53,'Данные'!L1187&lt;&gt;"Да"),"Да","Нет")</x:f>
        <x:v>Да</x:v>
      </x:c>
      <x:c r="O1187" s="1" t="str">
        <x:f>'Данные'!L1187</x:f>
        <x:v>Нет</x:v>
      </x:c>
    </x:row>
    <x:row r="1188">
      <x:c r="A1188" s="1" t="str">
        <x:f>'Данные'!A1188</x:f>
        <x:v>306916576</x:v>
      </x:c>
      <x:c r="B1188" s="1" t="str">
        <x:f>'Данные'!B1188</x:f>
        <x:v>hudicropman4F-67/графит</x:v>
      </x:c>
      <x:c r="C1188" s="8" t="n">
        <x:f>'Данные'!G1188</x:f>
        <x:v>64209</x:v>
      </x:c>
      <x:c r="D1188" s="15" t="n">
        <x:f>C1188/SUM($C$5:$C$2477)</x:f>
        <x:v>0.00007501047099282563</x:v>
      </x:c>
      <x:c r="E1188" s="15" t="n">
        <x:f>SUM($D$5:D1188)</x:f>
        <x:v>0.9885886607511336</x:v>
      </x:c>
      <x:c r="F1188" s="1" t="str">
        <x:f>IF(C1188&lt;=0,"C",IF(E1188-D1188&lt;'Дашборд'!$C$49,"A",IF(E1188-D1188&lt;'Дашборд'!$C$50,"B","C")))</x:f>
        <x:v>C</x:v>
      </x:c>
      <x:c r="G1188" s="8" t="n">
        <x:f>'Данные'!F1188</x:f>
        <x:v>86</x:v>
      </x:c>
      <x:c r="H1188" s="8" t="n">
        <x:f>SUM('Данные'!H1188:I1188)</x:f>
        <x:v>349</x:v>
      </x:c>
      <x:c r="I1188" s="16" t="n">
        <x:f>IF(H1188&gt;0,G1188/H1188,"n.a.")</x:f>
        <x:v>0.24641833810888253</x:v>
      </x:c>
      <x:c r="J1188" s="10" t="n">
        <x:f>IF('Данные'!E1188&gt;0,G1188/'Данные'!E1188,"n.a.")</x:f>
        <x:v>0.010208926875593542</x:v>
      </x:c>
      <x:c r="K1188" s="1" t="str">
        <x:f>IF(G1188&gt;='Дашборд'!$C$51,"X","Z")</x:f>
        <x:v>Z</x:v>
      </x:c>
      <x:c r="L1188" s="1" t="str">
        <x:f>IF(H1188=0,IF(G1188&gt;0,"Нет остатка","Нет спроса"),IF(I1188&gt;='Дашборд'!$C$52,"Быстрый","Медленный"))</x:f>
        <x:v>Медленный</x:v>
      </x:c>
      <x:c r="M1188" s="1" t="str">
        <x:f>IF('Данные'!E1188&lt;'Дашборд'!$C$53,"Мало трафика",IF(J1188&lt;'Дашборд'!$C$9*'Дашборд'!$C$54,"Да","Нет"))</x:f>
        <x:v>Нет</x:v>
      </x:c>
      <x:c r="N1188" s="1" t="str">
        <x:f>IF(AND('Данные'!D1188&gt;='Дашборд'!$C$55,D1188&lt;'Дашборд'!$C$56,'Данные'!E1188&gt;='Дашборд'!$C$53,'Данные'!L1188&lt;&gt;"Да"),"Да","Нет")</x:f>
        <x:v>Да</x:v>
      </x:c>
      <x:c r="O1188" s="1" t="str">
        <x:f>'Данные'!L1188</x:f>
        <x:v>Нет</x:v>
      </x:c>
    </x:row>
    <x:row r="1189">
      <x:c r="A1189" s="1" t="str">
        <x:f>'Данные'!A1189</x:f>
        <x:v>181355542</x:v>
      </x:c>
      <x:c r="B1189" s="1" t="str">
        <x:f>'Данные'!B1189</x:f>
        <x:v>sweater/молочный</x:v>
      </x:c>
      <x:c r="C1189" s="8" t="n">
        <x:f>'Данные'!G1189</x:f>
        <x:v>64148</x:v>
      </x:c>
      <x:c r="D1189" s="15" t="n">
        <x:f>C1189/SUM($C$5:$C$2477)</x:f>
        <x:v>0.00007493920935145819</x:v>
      </x:c>
      <x:c r="E1189" s="15" t="n">
        <x:f>SUM($D$5:D1189)</x:f>
        <x:v>0.988663599960485</x:v>
      </x:c>
      <x:c r="F1189" s="1" t="str">
        <x:f>IF(C1189&lt;=0,"C",IF(E1189-D1189&lt;'Дашборд'!$C$49,"A",IF(E1189-D1189&lt;'Дашборд'!$C$50,"B","C")))</x:f>
        <x:v>C</x:v>
      </x:c>
      <x:c r="G1189" s="8" t="n">
        <x:f>'Данные'!F1189</x:f>
        <x:v>101</x:v>
      </x:c>
      <x:c r="H1189" s="8" t="n">
        <x:f>SUM('Данные'!H1189:I1189)</x:f>
        <x:v>240</x:v>
      </x:c>
      <x:c r="I1189" s="16" t="n">
        <x:f>IF(H1189&gt;0,G1189/H1189,"n.a.")</x:f>
        <x:v>0.42083333333333334</x:v>
      </x:c>
      <x:c r="J1189" s="10" t="n">
        <x:f>IF('Данные'!E1189&gt;0,G1189/'Данные'!E1189,"n.a.")</x:f>
        <x:v>0.017264957264957265</x:v>
      </x:c>
      <x:c r="K1189" s="1" t="str">
        <x:f>IF(G1189&gt;='Дашборд'!$C$51,"X","Z")</x:f>
        <x:v>Z</x:v>
      </x:c>
      <x:c r="L1189" s="1" t="str">
        <x:f>IF(H1189=0,IF(G1189&gt;0,"Нет остатка","Нет спроса"),IF(I1189&gt;='Дашборд'!$C$52,"Быстрый","Медленный"))</x:f>
        <x:v>Медленный</x:v>
      </x:c>
      <x:c r="M1189" s="1" t="str">
        <x:f>IF('Данные'!E1189&lt;'Дашборд'!$C$53,"Мало трафика",IF(J1189&lt;'Дашборд'!$C$9*'Дашборд'!$C$54,"Да","Нет"))</x:f>
        <x:v>Нет</x:v>
      </x:c>
      <x:c r="N1189" s="1" t="str">
        <x:f>IF(AND('Данные'!D1189&gt;='Дашборд'!$C$55,D1189&lt;'Дашборд'!$C$56,'Данные'!E1189&gt;='Дашборд'!$C$53,'Данные'!L1189&lt;&gt;"Да"),"Да","Нет")</x:f>
        <x:v>Нет</x:v>
      </x:c>
      <x:c r="O1189" s="1" t="str">
        <x:f>'Данные'!L1189</x:f>
        <x:v>Нет</x:v>
      </x:c>
    </x:row>
    <x:row r="1190">
      <x:c r="A1190" s="1" t="str">
        <x:f>'Данные'!A1190</x:f>
        <x:v>323169152</x:v>
      </x:c>
      <x:c r="B1190" s="1" t="str">
        <x:f>'Данные'!B1190</x:f>
        <x:v>tanktop3K-S9/каштановый</x:v>
      </x:c>
      <x:c r="C1190" s="8" t="n">
        <x:f>'Данные'!G1190</x:f>
        <x:v>62626</x:v>
      </x:c>
      <x:c r="D1190" s="15" t="n">
        <x:f>C1190/SUM($C$5:$C$2477)</x:f>
        <x:v>0.00007316117298815895</x:v>
      </x:c>
      <x:c r="E1190" s="15" t="n">
        <x:f>SUM($D$5:D1190)</x:f>
        <x:v>0.9887367611334732</x:v>
      </x:c>
      <x:c r="F1190" s="1" t="str">
        <x:f>IF(C1190&lt;=0,"C",IF(E1190-D1190&lt;'Дашборд'!$C$49,"A",IF(E1190-D1190&lt;'Дашборд'!$C$50,"B","C")))</x:f>
        <x:v>C</x:v>
      </x:c>
      <x:c r="G1190" s="8" t="n">
        <x:f>'Данные'!F1190</x:f>
        <x:v>219</x:v>
      </x:c>
      <x:c r="H1190" s="8" t="n">
        <x:f>SUM('Данные'!H1190:I1190)</x:f>
        <x:v>126</x:v>
      </x:c>
      <x:c r="I1190" s="16" t="n">
        <x:f>IF(H1190&gt;0,G1190/H1190,"n.a.")</x:f>
        <x:v>1.7380952380952381</x:v>
      </x:c>
      <x:c r="J1190" s="10" t="n">
        <x:f>IF('Данные'!E1190&gt;0,G1190/'Данные'!E1190,"n.a.")</x:f>
        <x:v>0.006550610193826275</x:v>
      </x:c>
      <x:c r="K1190" s="1" t="str">
        <x:f>IF(G1190&gt;='Дашборд'!$C$51,"X","Z")</x:f>
        <x:v>Z</x:v>
      </x:c>
      <x:c r="L1190" s="1" t="str">
        <x:f>IF(H1190=0,IF(G1190&gt;0,"Нет остатка","Нет спроса"),IF(I1190&gt;='Дашборд'!$C$52,"Быстрый","Медленный"))</x:f>
        <x:v>Быстрый</x:v>
      </x:c>
      <x:c r="M1190" s="1" t="str">
        <x:f>IF('Данные'!E1190&lt;'Дашборд'!$C$53,"Мало трафика",IF(J1190&lt;'Дашборд'!$C$9*'Дашборд'!$C$54,"Да","Нет"))</x:f>
        <x:v>Да</x:v>
      </x:c>
      <x:c r="N1190" s="1" t="str">
        <x:f>IF(AND('Данные'!D1190&gt;='Дашборд'!$C$55,D1190&lt;'Дашборд'!$C$56,'Данные'!E1190&gt;='Дашборд'!$C$53,'Данные'!L1190&lt;&gt;"Да"),"Да","Нет")</x:f>
        <x:v>Нет</x:v>
      </x:c>
      <x:c r="O1190" s="1" t="str">
        <x:f>'Данные'!L1190</x:f>
        <x:v>Нет</x:v>
      </x:c>
    </x:row>
    <x:row r="1191">
      <x:c r="A1191" s="1" t="str">
        <x:f>'Данные'!A1191</x:f>
        <x:v>181355534</x:v>
      </x:c>
      <x:c r="B1191" s="1" t="str">
        <x:f>'Данные'!B1191</x:f>
        <x:v>sweater/кофейный</x:v>
      </x:c>
      <x:c r="C1191" s="8" t="n">
        <x:f>'Данные'!G1191</x:f>
        <x:v>62616</x:v>
      </x:c>
      <x:c r="D1191" s="15" t="n">
        <x:f>C1191/SUM($C$5:$C$2477)</x:f>
        <x:v>0.00007314949075186921</x:v>
      </x:c>
      <x:c r="E1191" s="15" t="n">
        <x:f>SUM($D$5:D1191)</x:f>
        <x:v>0.9888099106242251</x:v>
      </x:c>
      <x:c r="F1191" s="1" t="str">
        <x:f>IF(C1191&lt;=0,"C",IF(E1191-D1191&lt;'Дашборд'!$C$49,"A",IF(E1191-D1191&lt;'Дашборд'!$C$50,"B","C")))</x:f>
        <x:v>C</x:v>
      </x:c>
      <x:c r="G1191" s="8" t="n">
        <x:f>'Данные'!F1191</x:f>
        <x:v>87</x:v>
      </x:c>
      <x:c r="H1191" s="8" t="n">
        <x:f>SUM('Данные'!H1191:I1191)</x:f>
        <x:v>196</x:v>
      </x:c>
      <x:c r="I1191" s="16" t="n">
        <x:f>IF(H1191&gt;0,G1191/H1191,"n.a.")</x:f>
        <x:v>0.44387755102040816</x:v>
      </x:c>
      <x:c r="J1191" s="10" t="n">
        <x:f>IF('Данные'!E1191&gt;0,G1191/'Данные'!E1191,"n.a.")</x:f>
        <x:v>0.01219170403587444</x:v>
      </x:c>
      <x:c r="K1191" s="1" t="str">
        <x:f>IF(G1191&gt;='Дашборд'!$C$51,"X","Z")</x:f>
        <x:v>Z</x:v>
      </x:c>
      <x:c r="L1191" s="1" t="str">
        <x:f>IF(H1191=0,IF(G1191&gt;0,"Нет остатка","Нет спроса"),IF(I1191&gt;='Дашборд'!$C$52,"Быстрый","Медленный"))</x:f>
        <x:v>Медленный</x:v>
      </x:c>
      <x:c r="M1191" s="1" t="str">
        <x:f>IF('Данные'!E1191&lt;'Дашборд'!$C$53,"Мало трафика",IF(J1191&lt;'Дашборд'!$C$9*'Дашборд'!$C$54,"Да","Нет"))</x:f>
        <x:v>Нет</x:v>
      </x:c>
      <x:c r="N1191" s="1" t="str">
        <x:f>IF(AND('Данные'!D1191&gt;='Дашборд'!$C$55,D1191&lt;'Дашборд'!$C$56,'Данные'!E1191&gt;='Дашборд'!$C$53,'Данные'!L1191&lt;&gt;"Да"),"Да","Нет")</x:f>
        <x:v>Да</x:v>
      </x:c>
      <x:c r="O1191" s="1" t="str">
        <x:f>'Данные'!L1191</x:f>
        <x:v>Нет</x:v>
      </x:c>
    </x:row>
    <x:row r="1192">
      <x:c r="A1192" s="1" t="str">
        <x:f>'Данные'!A1192</x:f>
        <x:v>216665274</x:v>
      </x:c>
      <x:c r="B1192" s="1" t="str">
        <x:f>'Данные'!B1192</x:f>
        <x:v>2Nfutbolkaman/кофейный</x:v>
      </x:c>
      <x:c r="C1192" s="8" t="n">
        <x:f>'Данные'!G1192</x:f>
        <x:v>62542</x:v>
      </x:c>
      <x:c r="D1192" s="15" t="n">
        <x:f>C1192/SUM($C$5:$C$2477)</x:f>
        <x:v>0.00007306304220332509</x:v>
      </x:c>
      <x:c r="E1192" s="15" t="n">
        <x:f>SUM($D$5:D1192)</x:f>
        <x:v>0.9888829736664284</x:v>
      </x:c>
      <x:c r="F1192" s="1" t="str">
        <x:f>IF(C1192&lt;=0,"C",IF(E1192-D1192&lt;'Дашборд'!$C$49,"A",IF(E1192-D1192&lt;'Дашборд'!$C$50,"B","C")))</x:f>
        <x:v>C</x:v>
      </x:c>
      <x:c r="G1192" s="8" t="n">
        <x:f>'Данные'!F1192</x:f>
        <x:v>112</x:v>
      </x:c>
      <x:c r="H1192" s="8" t="n">
        <x:f>SUM('Данные'!H1192:I1192)</x:f>
        <x:v>43</x:v>
      </x:c>
      <x:c r="I1192" s="16" t="n">
        <x:f>IF(H1192&gt;0,G1192/H1192,"n.a.")</x:f>
        <x:v>2.604651162790698</x:v>
      </x:c>
      <x:c r="J1192" s="10" t="n">
        <x:f>IF('Данные'!E1192&gt;0,G1192/'Данные'!E1192,"n.a.")</x:f>
        <x:v>0.007014906676687962</x:v>
      </x:c>
      <x:c r="K1192" s="1" t="str">
        <x:f>IF(G1192&gt;='Дашборд'!$C$51,"X","Z")</x:f>
        <x:v>Z</x:v>
      </x:c>
      <x:c r="L1192" s="1" t="str">
        <x:f>IF(H1192=0,IF(G1192&gt;0,"Нет остатка","Нет спроса"),IF(I1192&gt;='Дашборд'!$C$52,"Быстрый","Медленный"))</x:f>
        <x:v>Быстрый</x:v>
      </x:c>
      <x:c r="M1192" s="1" t="str">
        <x:f>IF('Данные'!E1192&lt;'Дашборд'!$C$53,"Мало трафика",IF(J1192&lt;'Дашборд'!$C$9*'Дашборд'!$C$54,"Да","Нет"))</x:f>
        <x:v>Да</x:v>
      </x:c>
      <x:c r="N1192" s="1" t="str">
        <x:f>IF(AND('Данные'!D1192&gt;='Дашборд'!$C$55,D1192&lt;'Дашборд'!$C$56,'Данные'!E1192&gt;='Дашборд'!$C$53,'Данные'!L1192&lt;&gt;"Да"),"Да","Нет")</x:f>
        <x:v>Нет</x:v>
      </x:c>
      <x:c r="O1192" s="1" t="str">
        <x:f>'Данные'!L1192</x:f>
        <x:v>Нет</x:v>
      </x:c>
    </x:row>
    <x:row r="1193">
      <x:c r="A1193" s="1" t="str">
        <x:f>'Данные'!A1193</x:f>
        <x:v>295586342</x:v>
      </x:c>
      <x:c r="B1193" s="1" t="str">
        <x:f>'Данные'!B1193</x:f>
        <x:v>hudiman2/темно-серый</x:v>
      </x:c>
      <x:c r="C1193" s="8" t="n">
        <x:f>'Данные'!G1193</x:f>
        <x:v>62528</x:v>
      </x:c>
      <x:c r="D1193" s="15" t="n">
        <x:f>C1193/SUM($C$5:$C$2477)</x:f>
        <x:v>0.00007304668707251945</x:v>
      </x:c>
      <x:c r="E1193" s="15" t="n">
        <x:f>SUM($D$5:D1193)</x:f>
        <x:v>0.9889560203535009</x:v>
      </x:c>
      <x:c r="F1193" s="1" t="str">
        <x:f>IF(C1193&lt;=0,"C",IF(E1193-D1193&lt;'Дашборд'!$C$49,"A",IF(E1193-D1193&lt;'Дашборд'!$C$50,"B","C")))</x:f>
        <x:v>C</x:v>
      </x:c>
      <x:c r="G1193" s="8" t="n">
        <x:f>'Данные'!F1193</x:f>
        <x:v>93</x:v>
      </x:c>
      <x:c r="H1193" s="8" t="n">
        <x:f>SUM('Данные'!H1193:I1193)</x:f>
        <x:v>86</x:v>
      </x:c>
      <x:c r="I1193" s="16" t="n">
        <x:f>IF(H1193&gt;0,G1193/H1193,"n.a.")</x:f>
        <x:v>1.0813953488372092</x:v>
      </x:c>
      <x:c r="J1193" s="10" t="n">
        <x:f>IF('Данные'!E1193&gt;0,G1193/'Данные'!E1193,"n.a.")</x:f>
        <x:v>0.008895265423242468</x:v>
      </x:c>
      <x:c r="K1193" s="1" t="str">
        <x:f>IF(G1193&gt;='Дашборд'!$C$51,"X","Z")</x:f>
        <x:v>Z</x:v>
      </x:c>
      <x:c r="L1193" s="1" t="str">
        <x:f>IF(H1193=0,IF(G1193&gt;0,"Нет остатка","Нет спроса"),IF(I1193&gt;='Дашборд'!$C$52,"Быстрый","Медленный"))</x:f>
        <x:v>Быстрый</x:v>
      </x:c>
      <x:c r="M1193" s="1" t="str">
        <x:f>IF('Данные'!E1193&lt;'Дашборд'!$C$53,"Мало трафика",IF(J1193&lt;'Дашборд'!$C$9*'Дашборд'!$C$54,"Да","Нет"))</x:f>
        <x:v>Да</x:v>
      </x:c>
      <x:c r="N1193" s="1" t="str">
        <x:f>IF(AND('Данные'!D1193&gt;='Дашборд'!$C$55,D1193&lt;'Дашборд'!$C$56,'Данные'!E1193&gt;='Дашборд'!$C$53,'Данные'!L1193&lt;&gt;"Да"),"Да","Нет")</x:f>
        <x:v>Нет</x:v>
      </x:c>
      <x:c r="O1193" s="1" t="str">
        <x:f>'Данные'!L1193</x:f>
        <x:v>Нет</x:v>
      </x:c>
    </x:row>
    <x:row r="1194">
      <x:c r="A1194" s="1" t="str">
        <x:f>'Данные'!A1194</x:f>
        <x:v>235997596</x:v>
      </x:c>
      <x:c r="B1194" s="1" t="str">
        <x:f>'Данные'!B1194</x:f>
        <x:v>bazaboy/темно-серый</x:v>
      </x:c>
      <x:c r="C1194" s="8" t="n">
        <x:f>'Данные'!G1194</x:f>
        <x:v>62055</x:v>
      </x:c>
      <x:c r="D1194" s="15" t="n">
        <x:f>C1194/SUM($C$5:$C$2477)</x:f>
        <x:v>0.0000724941172960145</x:v>
      </x:c>
      <x:c r="E1194" s="15" t="n">
        <x:f>SUM($D$5:D1194)</x:f>
        <x:v>0.989028514470797</x:v>
      </x:c>
      <x:c r="F1194" s="1" t="str">
        <x:f>IF(C1194&lt;=0,"C",IF(E1194-D1194&lt;'Дашборд'!$C$49,"A",IF(E1194-D1194&lt;'Дашборд'!$C$50,"B","C")))</x:f>
        <x:v>C</x:v>
      </x:c>
      <x:c r="G1194" s="8" t="n">
        <x:f>'Данные'!F1194</x:f>
        <x:v>235</x:v>
      </x:c>
      <x:c r="H1194" s="8" t="n">
        <x:f>SUM('Данные'!H1194:I1194)</x:f>
        <x:v>689</x:v>
      </x:c>
      <x:c r="I1194" s="16" t="n">
        <x:f>IF(H1194&gt;0,G1194/H1194,"n.a.")</x:f>
        <x:v>0.34107402031930334</x:v>
      </x:c>
      <x:c r="J1194" s="10" t="n">
        <x:f>IF('Данные'!E1194&gt;0,G1194/'Данные'!E1194,"n.a.")</x:f>
        <x:v>0.038798084860491994</x:v>
      </x:c>
      <x:c r="K1194" s="1" t="str">
        <x:f>IF(G1194&gt;='Дашборд'!$C$51,"X","Z")</x:f>
        <x:v>Z</x:v>
      </x:c>
      <x:c r="L1194" s="1" t="str">
        <x:f>IF(H1194=0,IF(G1194&gt;0,"Нет остатка","Нет спроса"),IF(I1194&gt;='Дашборд'!$C$52,"Быстрый","Медленный"))</x:f>
        <x:v>Медленный</x:v>
      </x:c>
      <x:c r="M1194" s="1" t="str">
        <x:f>IF('Данные'!E1194&lt;'Дашборд'!$C$53,"Мало трафика",IF(J1194&lt;'Дашборд'!$C$9*'Дашборд'!$C$54,"Да","Нет"))</x:f>
        <x:v>Нет</x:v>
      </x:c>
      <x:c r="N1194" s="1" t="str">
        <x:f>IF(AND('Данные'!D1194&gt;='Дашборд'!$C$55,D1194&lt;'Дашборд'!$C$56,'Данные'!E1194&gt;='Дашборд'!$C$53,'Данные'!L1194&lt;&gt;"Да"),"Да","Нет")</x:f>
        <x:v>Да</x:v>
      </x:c>
      <x:c r="O1194" s="1" t="str">
        <x:f>'Данные'!L1194</x:f>
        <x:v>Нет</x:v>
      </x:c>
    </x:row>
    <x:row r="1195">
      <x:c r="A1195" s="1" t="str">
        <x:f>'Данные'!A1195</x:f>
        <x:v>256332787</x:v>
      </x:c>
      <x:c r="B1195" s="1" t="str">
        <x:f>'Данные'!B1195</x:f>
        <x:v>futhlopman/какао</x:v>
      </x:c>
      <x:c r="C1195" s="8" t="n">
        <x:f>'Данные'!G1195</x:f>
        <x:v>61854</x:v>
      </x:c>
      <x:c r="D1195" s="15" t="n">
        <x:f>C1195/SUM($C$5:$C$2477)</x:f>
        <x:v>0.00007225930434659061</x:v>
      </x:c>
      <x:c r="E1195" s="15" t="n">
        <x:f>SUM($D$5:D1195)</x:f>
        <x:v>0.9891007737751436</x:v>
      </x:c>
      <x:c r="F1195" s="1" t="str">
        <x:f>IF(C1195&lt;=0,"C",IF(E1195-D1195&lt;'Дашборд'!$C$49,"A",IF(E1195-D1195&lt;'Дашборд'!$C$50,"B","C")))</x:f>
        <x:v>C</x:v>
      </x:c>
      <x:c r="G1195" s="8" t="n">
        <x:f>'Данные'!F1195</x:f>
        <x:v>180</x:v>
      </x:c>
      <x:c r="H1195" s="8" t="n">
        <x:f>SUM('Данные'!H1195:I1195)</x:f>
        <x:v>353</x:v>
      </x:c>
      <x:c r="I1195" s="16" t="n">
        <x:f>IF(H1195&gt;0,G1195/H1195,"n.a.")</x:f>
        <x:v>0.509915014164306</x:v>
      </x:c>
      <x:c r="J1195" s="10" t="n">
        <x:f>IF('Данные'!E1195&gt;0,G1195/'Данные'!E1195,"n.a.")</x:f>
        <x:v>0.01863546951030127</x:v>
      </x:c>
      <x:c r="K1195" s="1" t="str">
        <x:f>IF(G1195&gt;='Дашборд'!$C$51,"X","Z")</x:f>
        <x:v>Z</x:v>
      </x:c>
      <x:c r="L1195" s="1" t="str">
        <x:f>IF(H1195=0,IF(G1195&gt;0,"Нет остатка","Нет спроса"),IF(I1195&gt;='Дашборд'!$C$52,"Быстрый","Медленный"))</x:f>
        <x:v>Медленный</x:v>
      </x:c>
      <x:c r="M1195" s="1" t="str">
        <x:f>IF('Данные'!E1195&lt;'Дашборд'!$C$53,"Мало трафика",IF(J1195&lt;'Дашборд'!$C$9*'Дашборд'!$C$54,"Да","Нет"))</x:f>
        <x:v>Нет</x:v>
      </x:c>
      <x:c r="N1195" s="1" t="str">
        <x:f>IF(AND('Данные'!D1195&gt;='Дашборд'!$C$55,D1195&lt;'Дашборд'!$C$56,'Данные'!E1195&gt;='Дашборд'!$C$53,'Данные'!L1195&lt;&gt;"Да"),"Да","Нет")</x:f>
        <x:v>Нет</x:v>
      </x:c>
      <x:c r="O1195" s="1" t="str">
        <x:f>'Данные'!L1195</x:f>
        <x:v>Нет</x:v>
      </x:c>
    </x:row>
    <x:row r="1196">
      <x:c r="A1196" s="1" t="str">
        <x:f>'Данные'!A1196</x:f>
        <x:v>202779211</x:v>
      </x:c>
      <x:c r="B1196" s="1" t="str">
        <x:f>'Данные'!B1196</x:f>
        <x:v>hudiprint/Anketa-62/молочный</x:v>
      </x:c>
      <x:c r="C1196" s="8" t="n">
        <x:f>'Данные'!G1196</x:f>
        <x:v>61204</x:v>
      </x:c>
      <x:c r="D1196" s="15" t="n">
        <x:f>C1196/SUM($C$5:$C$2477)</x:f>
        <x:v>0.00007149995898775717</x:v>
      </x:c>
      <x:c r="E1196" s="15" t="n">
        <x:f>SUM($D$5:D1196)</x:f>
        <x:v>0.9891722737341314</x:v>
      </x:c>
      <x:c r="F1196" s="1" t="str">
        <x:f>IF(C1196&lt;=0,"C",IF(E1196-D1196&lt;'Дашборд'!$C$49,"A",IF(E1196-D1196&lt;'Дашборд'!$C$50,"B","C")))</x:f>
        <x:v>C</x:v>
      </x:c>
      <x:c r="G1196" s="8" t="n">
        <x:f>'Данные'!F1196</x:f>
        <x:v>86</x:v>
      </x:c>
      <x:c r="H1196" s="8" t="n">
        <x:f>SUM('Данные'!H1196:I1196)</x:f>
        <x:v>103</x:v>
      </x:c>
      <x:c r="I1196" s="16" t="n">
        <x:f>IF(H1196&gt;0,G1196/H1196,"n.a.")</x:f>
        <x:v>0.8349514563106796</x:v>
      </x:c>
      <x:c r="J1196" s="10" t="n">
        <x:f>IF('Данные'!E1196&gt;0,G1196/'Данные'!E1196,"n.a.")</x:f>
        <x:v>0.002821244628153397</x:v>
      </x:c>
      <x:c r="K1196" s="1" t="str">
        <x:f>IF(G1196&gt;='Дашборд'!$C$51,"X","Z")</x:f>
        <x:v>Z</x:v>
      </x:c>
      <x:c r="L1196" s="1" t="str">
        <x:f>IF(H1196=0,IF(G1196&gt;0,"Нет остатка","Нет спроса"),IF(I1196&gt;='Дашборд'!$C$52,"Быстрый","Медленный"))</x:f>
        <x:v>Медленный</x:v>
      </x:c>
      <x:c r="M1196" s="1" t="str">
        <x:f>IF('Данные'!E1196&lt;'Дашборд'!$C$53,"Мало трафика",IF(J1196&lt;'Дашборд'!$C$9*'Дашборд'!$C$54,"Да","Нет"))</x:f>
        <x:v>Да</x:v>
      </x:c>
      <x:c r="N1196" s="1" t="str">
        <x:f>IF(AND('Данные'!D1196&gt;='Дашборд'!$C$55,D1196&lt;'Дашборд'!$C$56,'Данные'!E1196&gt;='Дашборд'!$C$53,'Данные'!L1196&lt;&gt;"Да"),"Да","Нет")</x:f>
        <x:v>Нет</x:v>
      </x:c>
      <x:c r="O1196" s="1" t="str">
        <x:f>'Данные'!L1196</x:f>
        <x:v>Нет</x:v>
      </x:c>
    </x:row>
    <x:row r="1197">
      <x:c r="A1197" s="1" t="str">
        <x:f>'Данные'!A1197</x:f>
        <x:v>238369283</x:v>
      </x:c>
      <x:c r="B1197" s="1" t="str">
        <x:f>'Данные'!B1197</x:f>
        <x:v>kroptop/темно-синий</x:v>
      </x:c>
      <x:c r="C1197" s="8" t="n">
        <x:f>'Данные'!G1197</x:f>
        <x:v>59448</x:v>
      </x:c>
      <x:c r="D1197" s="15" t="n">
        <x:f>C1197/SUM($C$5:$C$2477)</x:f>
        <x:v>0.00006944855829527789</x:v>
      </x:c>
      <x:c r="E1197" s="15" t="n">
        <x:f>SUM($D$5:D1197)</x:f>
        <x:v>0.9892417222924267</x:v>
      </x:c>
      <x:c r="F1197" s="1" t="str">
        <x:f>IF(C1197&lt;=0,"C",IF(E1197-D1197&lt;'Дашборд'!$C$49,"A",IF(E1197-D1197&lt;'Дашборд'!$C$50,"B","C")))</x:f>
        <x:v>C</x:v>
      </x:c>
      <x:c r="G1197" s="8" t="n">
        <x:f>'Данные'!F1197</x:f>
        <x:v>123</x:v>
      </x:c>
      <x:c r="H1197" s="8" t="n">
        <x:f>SUM('Данные'!H1197:I1197)</x:f>
        <x:v>52</x:v>
      </x:c>
      <x:c r="I1197" s="16" t="n">
        <x:f>IF(H1197&gt;0,G1197/H1197,"n.a.")</x:f>
        <x:v>2.3653846153846154</x:v>
      </x:c>
      <x:c r="J1197" s="10" t="n">
        <x:f>IF('Данные'!E1197&gt;0,G1197/'Данные'!E1197,"n.a.")</x:f>
        <x:v>0.028778661675245672</x:v>
      </x:c>
      <x:c r="K1197" s="1" t="str">
        <x:f>IF(G1197&gt;='Дашборд'!$C$51,"X","Z")</x:f>
        <x:v>Z</x:v>
      </x:c>
      <x:c r="L1197" s="1" t="str">
        <x:f>IF(H1197=0,IF(G1197&gt;0,"Нет остатка","Нет спроса"),IF(I1197&gt;='Дашборд'!$C$52,"Быстрый","Медленный"))</x:f>
        <x:v>Быстрый</x:v>
      </x:c>
      <x:c r="M1197" s="1" t="str">
        <x:f>IF('Данные'!E1197&lt;'Дашборд'!$C$53,"Мало трафика",IF(J1197&lt;'Дашборд'!$C$9*'Дашборд'!$C$54,"Да","Нет"))</x:f>
        <x:v>Нет</x:v>
      </x:c>
      <x:c r="N1197" s="1" t="str">
        <x:f>IF(AND('Данные'!D1197&gt;='Дашборд'!$C$55,D1197&lt;'Дашборд'!$C$56,'Данные'!E1197&gt;='Дашборд'!$C$53,'Данные'!L1197&lt;&gt;"Да"),"Да","Нет")</x:f>
        <x:v>Да</x:v>
      </x:c>
      <x:c r="O1197" s="1" t="str">
        <x:f>'Данные'!L1197</x:f>
        <x:v>Нет</x:v>
      </x:c>
    </x:row>
    <x:row r="1198">
      <x:c r="A1198" s="1" t="str">
        <x:f>'Данные'!A1198</x:f>
        <x:v>344184289</x:v>
      </x:c>
      <x:c r="B1198" s="1" t="str">
        <x:f>'Данные'!B1198</x:f>
        <x:v>longslim3К-81/графит</x:v>
      </x:c>
      <x:c r="C1198" s="8" t="n">
        <x:f>'Данные'!G1198</x:f>
        <x:v>59400</x:v>
      </x:c>
      <x:c r="D1198" s="15" t="n">
        <x:f>C1198/SUM($C$5:$C$2477)</x:f>
        <x:v>0.00006939248356108712</x:v>
      </x:c>
      <x:c r="E1198" s="15" t="n">
        <x:f>SUM($D$5:D1198)</x:f>
        <x:v>0.9893111147759878</x:v>
      </x:c>
      <x:c r="F1198" s="1" t="str">
        <x:f>IF(C1198&lt;=0,"C",IF(E1198-D1198&lt;'Дашборд'!$C$49,"A",IF(E1198-D1198&lt;'Дашборд'!$C$50,"B","C")))</x:f>
        <x:v>C</x:v>
      </x:c>
      <x:c r="G1198" s="8" t="n">
        <x:f>'Данные'!F1198</x:f>
        <x:v>168</x:v>
      </x:c>
      <x:c r="H1198" s="8" t="n">
        <x:f>SUM('Данные'!H1198:I1198)</x:f>
        <x:v>141</x:v>
      </x:c>
      <x:c r="I1198" s="16" t="n">
        <x:f>IF(H1198&gt;0,G1198/H1198,"n.a.")</x:f>
        <x:v>1.1914893617021276</x:v>
      </x:c>
      <x:c r="J1198" s="10" t="n">
        <x:f>IF('Данные'!E1198&gt;0,G1198/'Данные'!E1198,"n.a.")</x:f>
        <x:v>0.012871590560833588</x:v>
      </x:c>
      <x:c r="K1198" s="1" t="str">
        <x:f>IF(G1198&gt;='Дашборд'!$C$51,"X","Z")</x:f>
        <x:v>Z</x:v>
      </x:c>
      <x:c r="L1198" s="1" t="str">
        <x:f>IF(H1198=0,IF(G1198&gt;0,"Нет остатка","Нет спроса"),IF(I1198&gt;='Дашборд'!$C$52,"Быстрый","Медленный"))</x:f>
        <x:v>Быстрый</x:v>
      </x:c>
      <x:c r="M1198" s="1" t="str">
        <x:f>IF('Данные'!E1198&lt;'Дашборд'!$C$53,"Мало трафика",IF(J1198&lt;'Дашборд'!$C$9*'Дашборд'!$C$54,"Да","Нет"))</x:f>
        <x:v>Нет</x:v>
      </x:c>
      <x:c r="N1198" s="1" t="str">
        <x:f>IF(AND('Данные'!D1198&gt;='Дашборд'!$C$55,D1198&lt;'Дашборд'!$C$56,'Данные'!E1198&gt;='Дашборд'!$C$53,'Данные'!L1198&lt;&gt;"Да"),"Да","Нет")</x:f>
        <x:v>Нет</x:v>
      </x:c>
      <x:c r="O1198" s="1" t="str">
        <x:f>'Данные'!L1198</x:f>
        <x:v>Нет</x:v>
      </x:c>
    </x:row>
    <x:row r="1199">
      <x:c r="A1199" s="1" t="str">
        <x:f>'Данные'!A1199</x:f>
        <x:v>166248300</x:v>
      </x:c>
      <x:c r="B1199" s="1" t="str">
        <x:f>'Данные'!B1199</x:f>
        <x:v>svitshotover/синий</x:v>
      </x:c>
      <x:c r="C1199" s="8" t="n">
        <x:f>'Данные'!G1199</x:f>
        <x:v>59391</x:v>
      </x:c>
      <x:c r="D1199" s="15" t="n">
        <x:f>C1199/SUM($C$5:$C$2477)</x:f>
        <x:v>0.00006938196954842634</x:v>
      </x:c>
      <x:c r="E1199" s="15" t="n">
        <x:f>SUM($D$5:D1199)</x:f>
        <x:v>0.9893804967455362</x:v>
      </x:c>
      <x:c r="F1199" s="1" t="str">
        <x:f>IF(C1199&lt;=0,"C",IF(E1199-D1199&lt;'Дашборд'!$C$49,"A",IF(E1199-D1199&lt;'Дашборд'!$C$50,"B","C")))</x:f>
        <x:v>C</x:v>
      </x:c>
      <x:c r="G1199" s="8" t="n">
        <x:f>'Данные'!F1199</x:f>
        <x:v>86</x:v>
      </x:c>
      <x:c r="H1199" s="8" t="n">
        <x:f>SUM('Данные'!H1199:I1199)</x:f>
        <x:v>134</x:v>
      </x:c>
      <x:c r="I1199" s="16" t="n">
        <x:f>IF(H1199&gt;0,G1199/H1199,"n.a.")</x:f>
        <x:v>0.6417910447761194</x:v>
      </x:c>
      <x:c r="J1199" s="10" t="n">
        <x:f>IF('Данные'!E1199&gt;0,G1199/'Данные'!E1199,"n.a.")</x:f>
        <x:v>0.006262743955723856</x:v>
      </x:c>
      <x:c r="K1199" s="1" t="str">
        <x:f>IF(G1199&gt;='Дашборд'!$C$51,"X","Z")</x:f>
        <x:v>Z</x:v>
      </x:c>
      <x:c r="L1199" s="1" t="str">
        <x:f>IF(H1199=0,IF(G1199&gt;0,"Нет остатка","Нет спроса"),IF(I1199&gt;='Дашборд'!$C$52,"Быстрый","Медленный"))</x:f>
        <x:v>Медленный</x:v>
      </x:c>
      <x:c r="M1199" s="1" t="str">
        <x:f>IF('Данные'!E1199&lt;'Дашборд'!$C$53,"Мало трафика",IF(J1199&lt;'Дашборд'!$C$9*'Дашборд'!$C$54,"Да","Нет"))</x:f>
        <x:v>Да</x:v>
      </x:c>
      <x:c r="N1199" s="1" t="str">
        <x:f>IF(AND('Данные'!D1199&gt;='Дашборд'!$C$55,D1199&lt;'Дашборд'!$C$56,'Данные'!E1199&gt;='Дашборд'!$C$53,'Данные'!L1199&lt;&gt;"Да"),"Да","Нет")</x:f>
        <x:v>Да</x:v>
      </x:c>
      <x:c r="O1199" s="1" t="str">
        <x:f>'Данные'!L1199</x:f>
        <x:v>Нет</x:v>
      </x:c>
    </x:row>
    <x:row r="1200">
      <x:c r="A1200" s="1" t="str">
        <x:f>'Данные'!A1200</x:f>
        <x:v>326814896</x:v>
      </x:c>
      <x:c r="B1200" s="1" t="str">
        <x:f>'Данные'!B1200</x:f>
        <x:v>svitzip3P-S-5/светло-розовый</x:v>
      </x:c>
      <x:c r="C1200" s="8" t="n">
        <x:f>'Данные'!G1200</x:f>
        <x:v>59281</x:v>
      </x:c>
      <x:c r="D1200" s="15" t="n">
        <x:f>C1200/SUM($C$5:$C$2477)</x:f>
        <x:v>0.00006925346494923915</x:v>
      </x:c>
      <x:c r="E1200" s="15" t="n">
        <x:f>SUM($D$5:D1200)</x:f>
        <x:v>0.9894497502104854</x:v>
      </x:c>
      <x:c r="F1200" s="1" t="str">
        <x:f>IF(C1200&lt;=0,"C",IF(E1200-D1200&lt;'Дашборд'!$C$49,"A",IF(E1200-D1200&lt;'Дашборд'!$C$50,"B","C")))</x:f>
        <x:v>C</x:v>
      </x:c>
      <x:c r="G1200" s="8" t="n">
        <x:f>'Данные'!F1200</x:f>
        <x:v>108</x:v>
      </x:c>
      <x:c r="H1200" s="8" t="n">
        <x:f>SUM('Данные'!H1200:I1200)</x:f>
        <x:v>135</x:v>
      </x:c>
      <x:c r="I1200" s="16" t="n">
        <x:f>IF(H1200&gt;0,G1200/H1200,"n.a.")</x:f>
        <x:v>0.8</x:v>
      </x:c>
      <x:c r="J1200" s="10" t="n">
        <x:f>IF('Данные'!E1200&gt;0,G1200/'Данные'!E1200,"n.a.")</x:f>
        <x:v>0.003272826449286342</x:v>
      </x:c>
      <x:c r="K1200" s="1" t="str">
        <x:f>IF(G1200&gt;='Дашборд'!$C$51,"X","Z")</x:f>
        <x:v>Z</x:v>
      </x:c>
      <x:c r="L1200" s="1" t="str">
        <x:f>IF(H1200=0,IF(G1200&gt;0,"Нет остатка","Нет спроса"),IF(I1200&gt;='Дашборд'!$C$52,"Быстрый","Медленный"))</x:f>
        <x:v>Медленный</x:v>
      </x:c>
      <x:c r="M1200" s="1" t="str">
        <x:f>IF('Данные'!E1200&lt;'Дашборд'!$C$53,"Мало трафика",IF(J1200&lt;'Дашборд'!$C$9*'Дашборд'!$C$54,"Да","Нет"))</x:f>
        <x:v>Да</x:v>
      </x:c>
      <x:c r="N1200" s="1" t="str">
        <x:f>IF(AND('Данные'!D1200&gt;='Дашборд'!$C$55,D1200&lt;'Дашборд'!$C$56,'Данные'!E1200&gt;='Дашборд'!$C$53,'Данные'!L1200&lt;&gt;"Да"),"Да","Нет")</x:f>
        <x:v>Нет</x:v>
      </x:c>
      <x:c r="O1200" s="1" t="str">
        <x:f>'Данные'!L1200</x:f>
        <x:v>Нет</x:v>
      </x:c>
    </x:row>
    <x:row r="1201">
      <x:c r="A1201" s="1" t="str">
        <x:f>'Данные'!A1201</x:f>
        <x:v>178241990</x:v>
      </x:c>
      <x:c r="B1201" s="1" t="str">
        <x:f>'Данные'!B1201</x:f>
        <x:v>hudi1size/кофейный</x:v>
      </x:c>
      <x:c r="C1201" s="8" t="n">
        <x:f>'Данные'!G1201</x:f>
        <x:v>59153</x:v>
      </x:c>
      <x:c r="D1201" s="15" t="n">
        <x:f>C1201/SUM($C$5:$C$2477)</x:f>
        <x:v>0.0000691039323247304</x:v>
      </x:c>
      <x:c r="E1201" s="15" t="n">
        <x:f>SUM($D$5:D1201)</x:f>
        <x:v>0.9895188541428102</x:v>
      </x:c>
      <x:c r="F1201" s="1" t="str">
        <x:f>IF(C1201&lt;=0,"C",IF(E1201-D1201&lt;'Дашборд'!$C$49,"A",IF(E1201-D1201&lt;'Дашборд'!$C$50,"B","C")))</x:f>
        <x:v>C</x:v>
      </x:c>
      <x:c r="G1201" s="8" t="n">
        <x:f>'Данные'!F1201</x:f>
        <x:v>72</x:v>
      </x:c>
      <x:c r="H1201" s="8" t="n">
        <x:f>SUM('Данные'!H1201:I1201)</x:f>
        <x:v>1</x:v>
      </x:c>
      <x:c r="I1201" s="16" t="n">
        <x:f>IF(H1201&gt;0,G1201/H1201,"n.a.")</x:f>
        <x:v>72</x:v>
      </x:c>
      <x:c r="J1201" s="10" t="n">
        <x:f>IF('Данные'!E1201&gt;0,G1201/'Данные'!E1201,"n.a.")</x:f>
        <x:v>0.01610377991500783</x:v>
      </x:c>
      <x:c r="K1201" s="1" t="str">
        <x:f>IF(G1201&gt;='Дашборд'!$C$51,"X","Z")</x:f>
        <x:v>Z</x:v>
      </x:c>
      <x:c r="L1201" s="1" t="str">
        <x:f>IF(H1201=0,IF(G1201&gt;0,"Нет остатка","Нет спроса"),IF(I1201&gt;='Дашборд'!$C$52,"Быстрый","Медленный"))</x:f>
        <x:v>Быстрый</x:v>
      </x:c>
      <x:c r="M1201" s="1" t="str">
        <x:f>IF('Данные'!E1201&lt;'Дашборд'!$C$53,"Мало трафика",IF(J1201&lt;'Дашборд'!$C$9*'Дашборд'!$C$54,"Да","Нет"))</x:f>
        <x:v>Нет</x:v>
      </x:c>
      <x:c r="N1201" s="1" t="str">
        <x:f>IF(AND('Данные'!D1201&gt;='Дашборд'!$C$55,D1201&lt;'Дашборд'!$C$56,'Данные'!E1201&gt;='Дашборд'!$C$53,'Данные'!L1201&lt;&gt;"Да"),"Да","Нет")</x:f>
        <x:v>Да</x:v>
      </x:c>
      <x:c r="O1201" s="1" t="str">
        <x:f>'Данные'!L1201</x:f>
        <x:v>Нет</x:v>
      </x:c>
    </x:row>
    <x:row r="1202">
      <x:c r="A1202" s="1" t="str">
        <x:f>'Данные'!A1202</x:f>
        <x:v>344395200</x:v>
      </x:c>
      <x:c r="B1202" s="1" t="str">
        <x:f>'Данные'!B1202</x:f>
        <x:v>tophumo/бордовый</x:v>
      </x:c>
      <x:c r="C1202" s="8" t="n">
        <x:f>'Данные'!G1202</x:f>
        <x:v>58490</x:v>
      </x:c>
      <x:c r="D1202" s="15" t="n">
        <x:f>C1202/SUM($C$5:$C$2477)</x:f>
        <x:v>0.0000683294000587203</x:v>
      </x:c>
      <x:c r="E1202" s="15" t="n">
        <x:f>SUM($D$5:D1202)</x:f>
        <x:v>0.9895871835428689</x:v>
      </x:c>
      <x:c r="F1202" s="1" t="str">
        <x:f>IF(C1202&lt;=0,"C",IF(E1202-D1202&lt;'Дашборд'!$C$49,"A",IF(E1202-D1202&lt;'Дашборд'!$C$50,"B","C")))</x:f>
        <x:v>C</x:v>
      </x:c>
      <x:c r="G1202" s="8" t="n">
        <x:f>'Данные'!F1202</x:f>
        <x:v>234</x:v>
      </x:c>
      <x:c r="H1202" s="8" t="n">
        <x:f>SUM('Данные'!H1202:I1202)</x:f>
        <x:v>439</x:v>
      </x:c>
      <x:c r="I1202" s="16" t="n">
        <x:f>IF(H1202&gt;0,G1202/H1202,"n.a.")</x:f>
        <x:v>0.5330296127562643</x:v>
      </x:c>
      <x:c r="J1202" s="10" t="n">
        <x:f>IF('Данные'!E1202&gt;0,G1202/'Данные'!E1202,"n.a.")</x:f>
        <x:v>0.010905531994221</x:v>
      </x:c>
      <x:c r="K1202" s="1" t="str">
        <x:f>IF(G1202&gt;='Дашборд'!$C$51,"X","Z")</x:f>
        <x:v>Z</x:v>
      </x:c>
      <x:c r="L1202" s="1" t="str">
        <x:f>IF(H1202=0,IF(G1202&gt;0,"Нет остатка","Нет спроса"),IF(I1202&gt;='Дашборд'!$C$52,"Быстрый","Медленный"))</x:f>
        <x:v>Медленный</x:v>
      </x:c>
      <x:c r="M1202" s="1" t="str">
        <x:f>IF('Данные'!E1202&lt;'Дашборд'!$C$53,"Мало трафика",IF(J1202&lt;'Дашборд'!$C$9*'Дашборд'!$C$54,"Да","Нет"))</x:f>
        <x:v>Нет</x:v>
      </x:c>
      <x:c r="N1202" s="1" t="str">
        <x:f>IF(AND('Данные'!D1202&gt;='Дашборд'!$C$55,D1202&lt;'Дашборд'!$C$56,'Данные'!E1202&gt;='Дашборд'!$C$53,'Данные'!L1202&lt;&gt;"Да"),"Да","Нет")</x:f>
        <x:v>Да</x:v>
      </x:c>
      <x:c r="O1202" s="1" t="str">
        <x:f>'Данные'!L1202</x:f>
        <x:v>Нет</x:v>
      </x:c>
    </x:row>
    <x:row r="1203">
      <x:c r="A1203" s="1" t="str">
        <x:f>'Данные'!A1203</x:f>
        <x:v>283026229</x:v>
      </x:c>
      <x:c r="B1203" s="1" t="str">
        <x:f>'Данные'!B1203</x:f>
        <x:v>sweatervyaz/темно-серый</x:v>
      </x:c>
      <x:c r="C1203" s="8" t="n">
        <x:f>'Данные'!G1203</x:f>
        <x:v>58236</x:v>
      </x:c>
      <x:c r="D1203" s="15" t="n">
        <x:f>C1203/SUM($C$5:$C$2477)</x:f>
        <x:v>0.00006803267125696076</x:v>
      </x:c>
      <x:c r="E1203" s="15" t="n">
        <x:f>SUM($D$5:D1203)</x:f>
        <x:v>0.9896552162141259</x:v>
      </x:c>
      <x:c r="F1203" s="1" t="str">
        <x:f>IF(C1203&lt;=0,"C",IF(E1203-D1203&lt;'Дашборд'!$C$49,"A",IF(E1203-D1203&lt;'Дашборд'!$C$50,"B","C")))</x:f>
        <x:v>C</x:v>
      </x:c>
      <x:c r="G1203" s="8" t="n">
        <x:f>'Данные'!F1203</x:f>
        <x:v>66</x:v>
      </x:c>
      <x:c r="H1203" s="8" t="n">
        <x:f>SUM('Данные'!H1203:I1203)</x:f>
        <x:v>446</x:v>
      </x:c>
      <x:c r="I1203" s="16" t="n">
        <x:f>IF(H1203&gt;0,G1203/H1203,"n.a.")</x:f>
        <x:v>0.14798206278026907</x:v>
      </x:c>
      <x:c r="J1203" s="10" t="n">
        <x:f>IF('Данные'!E1203&gt;0,G1203/'Данные'!E1203,"n.a.")</x:f>
        <x:v>0.0063632857693790975</x:v>
      </x:c>
      <x:c r="K1203" s="1" t="str">
        <x:f>IF(G1203&gt;='Дашборд'!$C$51,"X","Z")</x:f>
        <x:v>Z</x:v>
      </x:c>
      <x:c r="L1203" s="1" t="str">
        <x:f>IF(H1203=0,IF(G1203&gt;0,"Нет остатка","Нет спроса"),IF(I1203&gt;='Дашборд'!$C$52,"Быстрый","Медленный"))</x:f>
        <x:v>Медленный</x:v>
      </x:c>
      <x:c r="M1203" s="1" t="str">
        <x:f>IF('Данные'!E1203&lt;'Дашборд'!$C$53,"Мало трафика",IF(J1203&lt;'Дашборд'!$C$9*'Дашборд'!$C$54,"Да","Нет"))</x:f>
        <x:v>Да</x:v>
      </x:c>
      <x:c r="N1203" s="1" t="str">
        <x:f>IF(AND('Данные'!D1203&gt;='Дашборд'!$C$55,D1203&lt;'Дашборд'!$C$56,'Данные'!E1203&gt;='Дашборд'!$C$53,'Данные'!L1203&lt;&gt;"Да"),"Да","Нет")</x:f>
        <x:v>Нет</x:v>
      </x:c>
      <x:c r="O1203" s="1" t="str">
        <x:f>'Данные'!L1203</x:f>
        <x:v>Нет</x:v>
      </x:c>
    </x:row>
    <x:row r="1204">
      <x:c r="A1204" s="1" t="str">
        <x:f>'Данные'!A1204</x:f>
        <x:v>202779202</x:v>
      </x:c>
      <x:c r="B1204" s="1" t="str">
        <x:f>'Данные'!B1204</x:f>
        <x:v>hudiprint/Forever-60/молочный</x:v>
      </x:c>
      <x:c r="C1204" s="8" t="n">
        <x:f>'Данные'!G1204</x:f>
        <x:v>58142</x:v>
      </x:c>
      <x:c r="D1204" s="15" t="n">
        <x:f>C1204/SUM($C$5:$C$2477)</x:f>
        <x:v>0.00006792285823583715</x:v>
      </x:c>
      <x:c r="E1204" s="15" t="n">
        <x:f>SUM($D$5:D1204)</x:f>
        <x:v>0.9897231390723618</x:v>
      </x:c>
      <x:c r="F1204" s="1" t="str">
        <x:f>IF(C1204&lt;=0,"C",IF(E1204-D1204&lt;'Дашборд'!$C$49,"A",IF(E1204-D1204&lt;'Дашборд'!$C$50,"B","C")))</x:f>
        <x:v>C</x:v>
      </x:c>
      <x:c r="G1204" s="8" t="n">
        <x:f>'Данные'!F1204</x:f>
        <x:v>65</x:v>
      </x:c>
      <x:c r="H1204" s="8" t="n">
        <x:f>SUM('Данные'!H1204:I1204)</x:f>
        <x:v>152</x:v>
      </x:c>
      <x:c r="I1204" s="16" t="n">
        <x:f>IF(H1204&gt;0,G1204/H1204,"n.a.")</x:f>
        <x:v>0.4276315789473684</x:v>
      </x:c>
      <x:c r="J1204" s="10" t="n">
        <x:f>IF('Данные'!E1204&gt;0,G1204/'Данные'!E1204,"n.a.")</x:f>
        <x:v>0.0035852178709321566</x:v>
      </x:c>
      <x:c r="K1204" s="1" t="str">
        <x:f>IF(G1204&gt;='Дашборд'!$C$51,"X","Z")</x:f>
        <x:v>Z</x:v>
      </x:c>
      <x:c r="L1204" s="1" t="str">
        <x:f>IF(H1204=0,IF(G1204&gt;0,"Нет остатка","Нет спроса"),IF(I1204&gt;='Дашборд'!$C$52,"Быстрый","Медленный"))</x:f>
        <x:v>Медленный</x:v>
      </x:c>
      <x:c r="M1204" s="1" t="str">
        <x:f>IF('Данные'!E1204&lt;'Дашборд'!$C$53,"Мало трафика",IF(J1204&lt;'Дашборд'!$C$9*'Дашборд'!$C$54,"Да","Нет"))</x:f>
        <x:v>Да</x:v>
      </x:c>
      <x:c r="N1204" s="1" t="str">
        <x:f>IF(AND('Данные'!D1204&gt;='Дашборд'!$C$55,D1204&lt;'Дашборд'!$C$56,'Данные'!E1204&gt;='Дашборд'!$C$53,'Данные'!L1204&lt;&gt;"Да"),"Да","Нет")</x:f>
        <x:v>Нет</x:v>
      </x:c>
      <x:c r="O1204" s="1" t="str">
        <x:f>'Данные'!L1204</x:f>
        <x:v>Нет</x:v>
      </x:c>
    </x:row>
    <x:row r="1205">
      <x:c r="A1205" s="1" t="str">
        <x:f>'Данные'!A1205</x:f>
        <x:v>311045260</x:v>
      </x:c>
      <x:c r="B1205" s="1" t="str">
        <x:f>'Данные'!B1205</x:f>
        <x:v>hudipetl/бежевый</x:v>
      </x:c>
      <x:c r="C1205" s="8" t="n">
        <x:f>'Данные'!G1205</x:f>
        <x:v>58132</x:v>
      </x:c>
      <x:c r="D1205" s="15" t="n">
        <x:f>C1205/SUM($C$5:$C$2477)</x:f>
        <x:v>0.00006791117599954741</x:v>
      </x:c>
      <x:c r="E1205" s="15" t="n">
        <x:f>SUM($D$5:D1205)</x:f>
        <x:v>0.9897910502483613</x:v>
      </x:c>
      <x:c r="F1205" s="1" t="str">
        <x:f>IF(C1205&lt;=0,"C",IF(E1205-D1205&lt;'Дашборд'!$C$49,"A",IF(E1205-D1205&lt;'Дашборд'!$C$50,"B","C")))</x:f>
        <x:v>C</x:v>
      </x:c>
      <x:c r="G1205" s="8" t="n">
        <x:f>'Данные'!F1205</x:f>
        <x:v>103</x:v>
      </x:c>
      <x:c r="H1205" s="8" t="n">
        <x:f>SUM('Данные'!H1205:I1205)</x:f>
        <x:v>52</x:v>
      </x:c>
      <x:c r="I1205" s="16" t="n">
        <x:f>IF(H1205&gt;0,G1205/H1205,"n.a.")</x:f>
        <x:v>1.9807692307692308</x:v>
      </x:c>
      <x:c r="J1205" s="10" t="n">
        <x:f>IF('Данные'!E1205&gt;0,G1205/'Данные'!E1205,"n.a.")</x:f>
        <x:v>0.007242809928978271</x:v>
      </x:c>
      <x:c r="K1205" s="1" t="str">
        <x:f>IF(G1205&gt;='Дашборд'!$C$51,"X","Z")</x:f>
        <x:v>Z</x:v>
      </x:c>
      <x:c r="L1205" s="1" t="str">
        <x:f>IF(H1205=0,IF(G1205&gt;0,"Нет остатка","Нет спроса"),IF(I1205&gt;='Дашборд'!$C$52,"Быстрый","Медленный"))</x:f>
        <x:v>Быстрый</x:v>
      </x:c>
      <x:c r="M1205" s="1" t="str">
        <x:f>IF('Данные'!E1205&lt;'Дашборд'!$C$53,"Мало трафика",IF(J1205&lt;'Дашборд'!$C$9*'Дашборд'!$C$54,"Да","Нет"))</x:f>
        <x:v>Да</x:v>
      </x:c>
      <x:c r="N1205" s="1" t="str">
        <x:f>IF(AND('Данные'!D1205&gt;='Дашборд'!$C$55,D1205&lt;'Дашборд'!$C$56,'Данные'!E1205&gt;='Дашборд'!$C$53,'Данные'!L1205&lt;&gt;"Да"),"Да","Нет")</x:f>
        <x:v>Нет</x:v>
      </x:c>
      <x:c r="O1205" s="1" t="str">
        <x:f>'Данные'!L1205</x:f>
        <x:v>Нет</x:v>
      </x:c>
    </x:row>
    <x:row r="1206">
      <x:c r="A1206" s="1" t="str">
        <x:f>'Данные'!A1206</x:f>
        <x:v>332387101</x:v>
      </x:c>
      <x:c r="B1206" s="1" t="str">
        <x:f>'Данные'!B1206</x:f>
        <x:v>shorts3n3P-87/темно-серый</x:v>
      </x:c>
      <x:c r="C1206" s="8" t="n">
        <x:f>'Данные'!G1206</x:f>
        <x:v>58125</x:v>
      </x:c>
      <x:c r="D1206" s="15" t="n">
        <x:f>C1206/SUM($C$5:$C$2477)</x:f>
        <x:v>0.0000679029984341446</x:v>
      </x:c>
      <x:c r="E1206" s="15" t="n">
        <x:f>SUM($D$5:D1206)</x:f>
        <x:v>0.9898589532467955</x:v>
      </x:c>
      <x:c r="F1206" s="1" t="str">
        <x:f>IF(C1206&lt;=0,"C",IF(E1206-D1206&lt;'Дашборд'!$C$49,"A",IF(E1206-D1206&lt;'Дашборд'!$C$50,"B","C")))</x:f>
        <x:v>C</x:v>
      </x:c>
      <x:c r="G1206" s="8" t="n">
        <x:f>'Данные'!F1206</x:f>
        <x:v>117</x:v>
      </x:c>
      <x:c r="H1206" s="8" t="n">
        <x:f>SUM('Данные'!H1206:I1206)</x:f>
        <x:v>1</x:v>
      </x:c>
      <x:c r="I1206" s="16" t="n">
        <x:f>IF(H1206&gt;0,G1206/H1206,"n.a.")</x:f>
        <x:v>117</x:v>
      </x:c>
      <x:c r="J1206" s="10" t="n">
        <x:f>IF('Данные'!E1206&gt;0,G1206/'Данные'!E1206,"n.a.")</x:f>
        <x:v>0.01540690018435607</x:v>
      </x:c>
      <x:c r="K1206" s="1" t="str">
        <x:f>IF(G1206&gt;='Дашборд'!$C$51,"X","Z")</x:f>
        <x:v>Z</x:v>
      </x:c>
      <x:c r="L1206" s="1" t="str">
        <x:f>IF(H1206=0,IF(G1206&gt;0,"Нет остатка","Нет спроса"),IF(I1206&gt;='Дашборд'!$C$52,"Быстрый","Медленный"))</x:f>
        <x:v>Быстрый</x:v>
      </x:c>
      <x:c r="M1206" s="1" t="str">
        <x:f>IF('Данные'!E1206&lt;'Дашборд'!$C$53,"Мало трафика",IF(J1206&lt;'Дашборд'!$C$9*'Дашборд'!$C$54,"Да","Нет"))</x:f>
        <x:v>Нет</x:v>
      </x:c>
      <x:c r="N1206" s="1" t="str">
        <x:f>IF(AND('Данные'!D1206&gt;='Дашборд'!$C$55,D1206&lt;'Дашборд'!$C$56,'Данные'!E1206&gt;='Дашборд'!$C$53,'Данные'!L1206&lt;&gt;"Да"),"Да","Нет")</x:f>
        <x:v>Нет</x:v>
      </x:c>
      <x:c r="O1206" s="1" t="str">
        <x:f>'Данные'!L1206</x:f>
        <x:v>Нет</x:v>
      </x:c>
    </x:row>
    <x:row r="1207">
      <x:c r="A1207" s="1" t="str">
        <x:f>'Данные'!A1207</x:f>
        <x:v>160478475</x:v>
      </x:c>
      <x:c r="B1207" s="1" t="str">
        <x:f>'Данные'!B1207</x:f>
        <x:v>shortyman/бежевый</x:v>
      </x:c>
      <x:c r="C1207" s="8" t="n">
        <x:f>'Данные'!G1207</x:f>
        <x:v>57957</x:v>
      </x:c>
      <x:c r="D1207" s="15" t="n">
        <x:f>C1207/SUM($C$5:$C$2477)</x:f>
        <x:v>0.00006770673686447687</x:v>
      </x:c>
      <x:c r="E1207" s="15" t="n">
        <x:f>SUM($D$5:D1207)</x:f>
        <x:v>0.98992665998366</x:v>
      </x:c>
      <x:c r="F1207" s="1" t="str">
        <x:f>IF(C1207&lt;=0,"C",IF(E1207-D1207&lt;'Дашборд'!$C$49,"A",IF(E1207-D1207&lt;'Дашборд'!$C$50,"B","C")))</x:f>
        <x:v>C</x:v>
      </x:c>
      <x:c r="G1207" s="8" t="n">
        <x:f>'Данные'!F1207</x:f>
        <x:v>130</x:v>
      </x:c>
      <x:c r="H1207" s="8" t="n">
        <x:f>SUM('Данные'!H1207:I1207)</x:f>
        <x:v>0</x:v>
      </x:c>
      <x:c r="I1207" s="16" t="str">
        <x:f>IF(H1207&gt;0,G1207/H1207,"n.a.")</x:f>
        <x:v>n.a.</x:v>
      </x:c>
      <x:c r="J1207" s="10" t="n">
        <x:f>IF('Данные'!E1207&gt;0,G1207/'Данные'!E1207,"n.a.")</x:f>
        <x:v>0.013053519429661613</x:v>
      </x:c>
      <x:c r="K1207" s="1" t="str">
        <x:f>IF(G1207&gt;='Дашборд'!$C$51,"X","Z")</x:f>
        <x:v>Z</x:v>
      </x:c>
      <x:c r="L1207" s="1" t="str">
        <x:f>IF(H1207=0,IF(G1207&gt;0,"Нет остатка","Нет спроса"),IF(I1207&gt;='Дашборд'!$C$52,"Быстрый","Медленный"))</x:f>
        <x:v>Нет остатка</x:v>
      </x:c>
      <x:c r="M1207" s="1" t="str">
        <x:f>IF('Данные'!E1207&lt;'Дашборд'!$C$53,"Мало трафика",IF(J1207&lt;'Дашборд'!$C$9*'Дашборд'!$C$54,"Да","Нет"))</x:f>
        <x:v>Нет</x:v>
      </x:c>
      <x:c r="N1207" s="1" t="str">
        <x:f>IF(AND('Данные'!D1207&gt;='Дашборд'!$C$55,D1207&lt;'Дашборд'!$C$56,'Данные'!E1207&gt;='Дашборд'!$C$53,'Данные'!L1207&lt;&gt;"Да"),"Да","Нет")</x:f>
        <x:v>Нет</x:v>
      </x:c>
      <x:c r="O1207" s="1" t="str">
        <x:f>'Данные'!L1207</x:f>
        <x:v>Нет</x:v>
      </x:c>
    </x:row>
    <x:row r="1208">
      <x:c r="A1208" s="1" t="str">
        <x:f>'Данные'!A1208</x:f>
        <x:v>322133007</x:v>
      </x:c>
      <x:c r="B1208" s="1" t="str">
        <x:f>'Данные'!B1208</x:f>
        <x:v>shorts3n3P-87/молочный</x:v>
      </x:c>
      <x:c r="C1208" s="8" t="n">
        <x:f>'Данные'!G1208</x:f>
        <x:v>57820</x:v>
      </x:c>
      <x:c r="D1208" s="15" t="n">
        <x:f>C1208/SUM($C$5:$C$2477)</x:f>
        <x:v>0.00006754669022730736</x:v>
      </x:c>
      <x:c r="E1208" s="15" t="n">
        <x:f>SUM($D$5:D1208)</x:f>
        <x:v>0.9899942066738874</x:v>
      </x:c>
      <x:c r="F1208" s="1" t="str">
        <x:f>IF(C1208&lt;=0,"C",IF(E1208-D1208&lt;'Дашборд'!$C$49,"A",IF(E1208-D1208&lt;'Дашборд'!$C$50,"B","C")))</x:f>
        <x:v>C</x:v>
      </x:c>
      <x:c r="G1208" s="8" t="n">
        <x:f>'Данные'!F1208</x:f>
        <x:v>148</x:v>
      </x:c>
      <x:c r="H1208" s="8" t="n">
        <x:f>SUM('Данные'!H1208:I1208)</x:f>
        <x:v>76</x:v>
      </x:c>
      <x:c r="I1208" s="16" t="n">
        <x:f>IF(H1208&gt;0,G1208/H1208,"n.a.")</x:f>
        <x:v>1.9473684210526316</x:v>
      </x:c>
      <x:c r="J1208" s="10" t="n">
        <x:f>IF('Данные'!E1208&gt;0,G1208/'Данные'!E1208,"n.a.")</x:f>
        <x:v>0.012618296529968454</x:v>
      </x:c>
      <x:c r="K1208" s="1" t="str">
        <x:f>IF(G1208&gt;='Дашборд'!$C$51,"X","Z")</x:f>
        <x:v>Z</x:v>
      </x:c>
      <x:c r="L1208" s="1" t="str">
        <x:f>IF(H1208=0,IF(G1208&gt;0,"Нет остатка","Нет спроса"),IF(I1208&gt;='Дашборд'!$C$52,"Быстрый","Медленный"))</x:f>
        <x:v>Быстрый</x:v>
      </x:c>
      <x:c r="M1208" s="1" t="str">
        <x:f>IF('Данные'!E1208&lt;'Дашборд'!$C$53,"Мало трафика",IF(J1208&lt;'Дашборд'!$C$9*'Дашборд'!$C$54,"Да","Нет"))</x:f>
        <x:v>Нет</x:v>
      </x:c>
      <x:c r="N1208" s="1" t="str">
        <x:f>IF(AND('Данные'!D1208&gt;='Дашборд'!$C$55,D1208&lt;'Дашборд'!$C$56,'Данные'!E1208&gt;='Дашборд'!$C$53,'Данные'!L1208&lt;&gt;"Да"),"Да","Нет")</x:f>
        <x:v>Нет</x:v>
      </x:c>
      <x:c r="O1208" s="1" t="str">
        <x:f>'Данные'!L1208</x:f>
        <x:v>Нет</x:v>
      </x:c>
    </x:row>
    <x:row r="1209">
      <x:c r="A1209" s="1" t="str">
        <x:f>'Данные'!A1209</x:f>
        <x:v>158427958</x:v>
      </x:c>
      <x:c r="B1209" s="1" t="str">
        <x:f>'Данные'!B1209</x:f>
        <x:v>kostumman/фиолетовый</x:v>
      </x:c>
      <x:c r="C1209" s="8" t="n">
        <x:f>'Данные'!G1209</x:f>
        <x:v>57197</x:v>
      </x:c>
      <x:c r="D1209" s="15" t="n">
        <x:f>C1209/SUM($C$5:$C$2477)</x:f>
        <x:v>0.00006681888690645623</x:v>
      </x:c>
      <x:c r="E1209" s="15" t="n">
        <x:f>SUM($D$5:D1209)</x:f>
        <x:v>0.9900610255607938</x:v>
      </x:c>
      <x:c r="F1209" s="1" t="str">
        <x:f>IF(C1209&lt;=0,"C",IF(E1209-D1209&lt;'Дашборд'!$C$49,"A",IF(E1209-D1209&lt;'Дашборд'!$C$50,"B","C")))</x:f>
        <x:v>C</x:v>
      </x:c>
      <x:c r="G1209" s="8" t="n">
        <x:f>'Данные'!F1209</x:f>
        <x:v>35</x:v>
      </x:c>
      <x:c r="H1209" s="8" t="n">
        <x:f>SUM('Данные'!H1209:I1209)</x:f>
        <x:v>296</x:v>
      </x:c>
      <x:c r="I1209" s="16" t="n">
        <x:f>IF(H1209&gt;0,G1209/H1209,"n.a.")</x:f>
        <x:v>0.11824324324324324</x:v>
      </x:c>
      <x:c r="J1209" s="10" t="n">
        <x:f>IF('Данные'!E1209&gt;0,G1209/'Данные'!E1209,"n.a.")</x:f>
        <x:v>0.0060417745554980145</x:v>
      </x:c>
      <x:c r="K1209" s="1" t="str">
        <x:f>IF(G1209&gt;='Дашборд'!$C$51,"X","Z")</x:f>
        <x:v>Z</x:v>
      </x:c>
      <x:c r="L1209" s="1" t="str">
        <x:f>IF(H1209=0,IF(G1209&gt;0,"Нет остатка","Нет спроса"),IF(I1209&gt;='Дашборд'!$C$52,"Быстрый","Медленный"))</x:f>
        <x:v>Медленный</x:v>
      </x:c>
      <x:c r="M1209" s="1" t="str">
        <x:f>IF('Данные'!E1209&lt;'Дашборд'!$C$53,"Мало трафика",IF(J1209&lt;'Дашборд'!$C$9*'Дашборд'!$C$54,"Да","Нет"))</x:f>
        <x:v>Да</x:v>
      </x:c>
      <x:c r="N1209" s="1" t="str">
        <x:f>IF(AND('Данные'!D1209&gt;='Дашборд'!$C$55,D1209&lt;'Дашборд'!$C$56,'Данные'!E1209&gt;='Дашборд'!$C$53,'Данные'!L1209&lt;&gt;"Да"),"Да","Нет")</x:f>
        <x:v>Да</x:v>
      </x:c>
      <x:c r="O1209" s="1" t="str">
        <x:f>'Данные'!L1209</x:f>
        <x:v>Нет</x:v>
      </x:c>
    </x:row>
    <x:row r="1210">
      <x:c r="A1210" s="1" t="str">
        <x:f>'Данные'!A1210</x:f>
        <x:v>198068995</x:v>
      </x:c>
      <x:c r="B1210" s="1" t="str">
        <x:f>'Данные'!B1210</x:f>
        <x:v>sweater/серыймеланж2</x:v>
      </x:c>
      <x:c r="C1210" s="8" t="n">
        <x:f>'Данные'!G1210</x:f>
        <x:v>56711</x:v>
      </x:c>
      <x:c r="D1210" s="15" t="n">
        <x:f>C1210/SUM($C$5:$C$2477)</x:f>
        <x:v>0.00006625113022277461</x:v>
      </x:c>
      <x:c r="E1210" s="15" t="n">
        <x:f>SUM($D$5:D1210)</x:f>
        <x:v>0.9901272766910165</x:v>
      </x:c>
      <x:c r="F1210" s="1" t="str">
        <x:f>IF(C1210&lt;=0,"C",IF(E1210-D1210&lt;'Дашборд'!$C$49,"A",IF(E1210-D1210&lt;'Дашборд'!$C$50,"B","C")))</x:f>
        <x:v>C</x:v>
      </x:c>
      <x:c r="G1210" s="8" t="n">
        <x:f>'Данные'!F1210</x:f>
        <x:v>65</x:v>
      </x:c>
      <x:c r="H1210" s="8" t="n">
        <x:f>SUM('Данные'!H1210:I1210)</x:f>
        <x:v>167</x:v>
      </x:c>
      <x:c r="I1210" s="16" t="n">
        <x:f>IF(H1210&gt;0,G1210/H1210,"n.a.")</x:f>
        <x:v>0.38922155688622756</x:v>
      </x:c>
      <x:c r="J1210" s="10" t="n">
        <x:f>IF('Данные'!E1210&gt;0,G1210/'Данные'!E1210,"n.a.")</x:f>
        <x:v>0.01636455186304129</x:v>
      </x:c>
      <x:c r="K1210" s="1" t="str">
        <x:f>IF(G1210&gt;='Дашборд'!$C$51,"X","Z")</x:f>
        <x:v>Z</x:v>
      </x:c>
      <x:c r="L1210" s="1" t="str">
        <x:f>IF(H1210=0,IF(G1210&gt;0,"Нет остатка","Нет спроса"),IF(I1210&gt;='Дашборд'!$C$52,"Быстрый","Медленный"))</x:f>
        <x:v>Медленный</x:v>
      </x:c>
      <x:c r="M1210" s="1" t="str">
        <x:f>IF('Данные'!E1210&lt;'Дашборд'!$C$53,"Мало трафика",IF(J1210&lt;'Дашборд'!$C$9*'Дашборд'!$C$54,"Да","Нет"))</x:f>
        <x:v>Нет</x:v>
      </x:c>
      <x:c r="N1210" s="1" t="str">
        <x:f>IF(AND('Данные'!D1210&gt;='Дашборд'!$C$55,D1210&lt;'Дашборд'!$C$56,'Данные'!E1210&gt;='Дашборд'!$C$53,'Данные'!L1210&lt;&gt;"Да"),"Да","Нет")</x:f>
        <x:v>Да</x:v>
      </x:c>
      <x:c r="O1210" s="1" t="str">
        <x:f>'Данные'!L1210</x:f>
        <x:v>Нет</x:v>
      </x:c>
    </x:row>
    <x:row r="1211">
      <x:c r="A1211" s="1" t="str">
        <x:f>'Данные'!A1211</x:f>
        <x:v>311049926</x:v>
      </x:c>
      <x:c r="B1211" s="1" t="str">
        <x:f>'Данные'!B1211</x:f>
        <x:v>hudimanpetl/графит</x:v>
      </x:c>
      <x:c r="C1211" s="8" t="n">
        <x:f>'Данные'!G1211</x:f>
        <x:v>56651</x:v>
      </x:c>
      <x:c r="D1211" s="15" t="n">
        <x:f>C1211/SUM($C$5:$C$2477)</x:f>
        <x:v>0.00006618103680503613</x:v>
      </x:c>
      <x:c r="E1211" s="15" t="n">
        <x:f>SUM($D$5:D1211)</x:f>
        <x:v>0.9901934577278215</x:v>
      </x:c>
      <x:c r="F1211" s="1" t="str">
        <x:f>IF(C1211&lt;=0,"C",IF(E1211-D1211&lt;'Дашборд'!$C$49,"A",IF(E1211-D1211&lt;'Дашборд'!$C$50,"B","C")))</x:f>
        <x:v>C</x:v>
      </x:c>
      <x:c r="G1211" s="8" t="n">
        <x:f>'Данные'!F1211</x:f>
        <x:v>92</x:v>
      </x:c>
      <x:c r="H1211" s="8" t="n">
        <x:f>SUM('Данные'!H1211:I1211)</x:f>
        <x:v>5</x:v>
      </x:c>
      <x:c r="I1211" s="16" t="n">
        <x:f>IF(H1211&gt;0,G1211/H1211,"n.a.")</x:f>
        <x:v>18.4</x:v>
      </x:c>
      <x:c r="J1211" s="10" t="n">
        <x:f>IF('Данные'!E1211&gt;0,G1211/'Данные'!E1211,"n.a.")</x:f>
        <x:v>0.008099304516242627</x:v>
      </x:c>
      <x:c r="K1211" s="1" t="str">
        <x:f>IF(G1211&gt;='Дашборд'!$C$51,"X","Z")</x:f>
        <x:v>Z</x:v>
      </x:c>
      <x:c r="L1211" s="1" t="str">
        <x:f>IF(H1211=0,IF(G1211&gt;0,"Нет остатка","Нет спроса"),IF(I1211&gt;='Дашборд'!$C$52,"Быстрый","Медленный"))</x:f>
        <x:v>Быстрый</x:v>
      </x:c>
      <x:c r="M1211" s="1" t="str">
        <x:f>IF('Данные'!E1211&lt;'Дашборд'!$C$53,"Мало трафика",IF(J1211&lt;'Дашборд'!$C$9*'Дашборд'!$C$54,"Да","Нет"))</x:f>
        <x:v>Да</x:v>
      </x:c>
      <x:c r="N1211" s="1" t="str">
        <x:f>IF(AND('Данные'!D1211&gt;='Дашборд'!$C$55,D1211&lt;'Дашборд'!$C$56,'Данные'!E1211&gt;='Дашборд'!$C$53,'Данные'!L1211&lt;&gt;"Да"),"Да","Нет")</x:f>
        <x:v>Нет</x:v>
      </x:c>
      <x:c r="O1211" s="1" t="str">
        <x:f>'Данные'!L1211</x:f>
        <x:v>Нет</x:v>
      </x:c>
    </x:row>
    <x:row r="1212">
      <x:c r="A1212" s="1" t="str">
        <x:f>'Данные'!A1212</x:f>
        <x:v>344401317</x:v>
      </x:c>
      <x:c r="B1212" s="1" t="str">
        <x:f>'Данные'!B1212</x:f>
        <x:v>malyshkabasic/какао</x:v>
      </x:c>
      <x:c r="C1212" s="8" t="n">
        <x:f>'Данные'!G1212</x:f>
        <x:v>56222</x:v>
      </x:c>
      <x:c r="D1212" s="15" t="n">
        <x:f>C1212/SUM($C$5:$C$2477)</x:f>
        <x:v>0.00006567986886820605</x:v>
      </x:c>
      <x:c r="E1212" s="15" t="n">
        <x:f>SUM($D$5:D1212)</x:f>
        <x:v>0.9902591375966897</x:v>
      </x:c>
      <x:c r="F1212" s="1" t="str">
        <x:f>IF(C1212&lt;=0,"C",IF(E1212-D1212&lt;'Дашборд'!$C$49,"A",IF(E1212-D1212&lt;'Дашборд'!$C$50,"B","C")))</x:f>
        <x:v>C</x:v>
      </x:c>
      <x:c r="G1212" s="8" t="n">
        <x:f>'Данные'!F1212</x:f>
        <x:v>215</x:v>
      </x:c>
      <x:c r="H1212" s="8" t="n">
        <x:f>SUM('Данные'!H1212:I1212)</x:f>
        <x:v>628</x:v>
      </x:c>
      <x:c r="I1212" s="16" t="n">
        <x:f>IF(H1212&gt;0,G1212/H1212,"n.a.")</x:f>
        <x:v>0.34235668789808915</x:v>
      </x:c>
      <x:c r="J1212" s="10" t="n">
        <x:f>IF('Данные'!E1212&gt;0,G1212/'Данные'!E1212,"n.a.")</x:f>
        <x:v>0.007215975834871623</x:v>
      </x:c>
      <x:c r="K1212" s="1" t="str">
        <x:f>IF(G1212&gt;='Дашборд'!$C$51,"X","Z")</x:f>
        <x:v>Z</x:v>
      </x:c>
      <x:c r="L1212" s="1" t="str">
        <x:f>IF(H1212=0,IF(G1212&gt;0,"Нет остатка","Нет спроса"),IF(I1212&gt;='Дашборд'!$C$52,"Быстрый","Медленный"))</x:f>
        <x:v>Медленный</x:v>
      </x:c>
      <x:c r="M1212" s="1" t="str">
        <x:f>IF('Данные'!E1212&lt;'Дашборд'!$C$53,"Мало трафика",IF(J1212&lt;'Дашборд'!$C$9*'Дашборд'!$C$54,"Да","Нет"))</x:f>
        <x:v>Да</x:v>
      </x:c>
      <x:c r="N1212" s="1" t="str">
        <x:f>IF(AND('Данные'!D1212&gt;='Дашборд'!$C$55,D1212&lt;'Дашборд'!$C$56,'Данные'!E1212&gt;='Дашборд'!$C$53,'Данные'!L1212&lt;&gt;"Да"),"Да","Нет")</x:f>
        <x:v>Нет</x:v>
      </x:c>
      <x:c r="O1212" s="1" t="str">
        <x:f>'Данные'!L1212</x:f>
        <x:v>Нет</x:v>
      </x:c>
    </x:row>
    <x:row r="1213">
      <x:c r="A1213" s="1" t="str">
        <x:f>'Данные'!A1213</x:f>
        <x:v>231458809</x:v>
      </x:c>
      <x:c r="B1213" s="1" t="str">
        <x:f>'Данные'!B1213</x:f>
        <x:v>futbolkaboy/дымка</x:v>
      </x:c>
      <x:c r="C1213" s="8" t="n">
        <x:f>'Данные'!G1213</x:f>
        <x:v>55382</x:v>
      </x:c>
      <x:c r="D1213" s="15" t="n">
        <x:f>C1213/SUM($C$5:$C$2477)</x:f>
        <x:v>0.00006469856101986745</x:v>
      </x:c>
      <x:c r="E1213" s="15" t="n">
        <x:f>SUM($D$5:D1213)</x:f>
        <x:v>0.9903238361577096</x:v>
      </x:c>
      <x:c r="F1213" s="1" t="str">
        <x:f>IF(C1213&lt;=0,"C",IF(E1213-D1213&lt;'Дашборд'!$C$49,"A",IF(E1213-D1213&lt;'Дашборд'!$C$50,"B","C")))</x:f>
        <x:v>C</x:v>
      </x:c>
      <x:c r="G1213" s="8" t="n">
        <x:f>'Данные'!F1213</x:f>
        <x:v>168</x:v>
      </x:c>
      <x:c r="H1213" s="8" t="n">
        <x:f>SUM('Данные'!H1213:I1213)</x:f>
        <x:v>912</x:v>
      </x:c>
      <x:c r="I1213" s="16" t="n">
        <x:f>IF(H1213&gt;0,G1213/H1213,"n.a.")</x:f>
        <x:v>0.18421052631578946</x:v>
      </x:c>
      <x:c r="J1213" s="10" t="n">
        <x:f>IF('Данные'!E1213&gt;0,G1213/'Данные'!E1213,"n.a.")</x:f>
        <x:v>0.019769357495881382</x:v>
      </x:c>
      <x:c r="K1213" s="1" t="str">
        <x:f>IF(G1213&gt;='Дашборд'!$C$51,"X","Z")</x:f>
        <x:v>Z</x:v>
      </x:c>
      <x:c r="L1213" s="1" t="str">
        <x:f>IF(H1213=0,IF(G1213&gt;0,"Нет остатка","Нет спроса"),IF(I1213&gt;='Дашборд'!$C$52,"Быстрый","Медленный"))</x:f>
        <x:v>Медленный</x:v>
      </x:c>
      <x:c r="M1213" s="1" t="str">
        <x:f>IF('Данные'!E1213&lt;'Дашборд'!$C$53,"Мало трафика",IF(J1213&lt;'Дашборд'!$C$9*'Дашборд'!$C$54,"Да","Нет"))</x:f>
        <x:v>Нет</x:v>
      </x:c>
      <x:c r="N1213" s="1" t="str">
        <x:f>IF(AND('Данные'!D1213&gt;='Дашборд'!$C$55,D1213&lt;'Дашборд'!$C$56,'Данные'!E1213&gt;='Дашборд'!$C$53,'Данные'!L1213&lt;&gt;"Да"),"Да","Нет")</x:f>
        <x:v>Да</x:v>
      </x:c>
      <x:c r="O1213" s="1" t="str">
        <x:f>'Данные'!L1213</x:f>
        <x:v>Нет</x:v>
      </x:c>
    </x:row>
    <x:row r="1214">
      <x:c r="A1214" s="1" t="str">
        <x:f>'Данные'!A1214</x:f>
        <x:v>256329208</x:v>
      </x:c>
      <x:c r="B1214" s="1" t="str">
        <x:f>'Данные'!B1214</x:f>
        <x:v>futhlopman/белый</x:v>
      </x:c>
      <x:c r="C1214" s="8" t="n">
        <x:f>'Данные'!G1214</x:f>
        <x:v>54344</x:v>
      </x:c>
      <x:c r="D1214" s="15" t="n">
        <x:f>C1214/SUM($C$5:$C$2477)</x:f>
        <x:v>0.00006348594489299189</x:v>
      </x:c>
      <x:c r="E1214" s="15" t="n">
        <x:f>SUM($D$5:D1214)</x:f>
        <x:v>0.9903873221026026</x:v>
      </x:c>
      <x:c r="F1214" s="1" t="str">
        <x:f>IF(C1214&lt;=0,"C",IF(E1214-D1214&lt;'Дашборд'!$C$49,"A",IF(E1214-D1214&lt;'Дашборд'!$C$50,"B","C")))</x:f>
        <x:v>C</x:v>
      </x:c>
      <x:c r="G1214" s="8" t="n">
        <x:f>'Данные'!F1214</x:f>
        <x:v>153</x:v>
      </x:c>
      <x:c r="H1214" s="8" t="n">
        <x:f>SUM('Данные'!H1214:I1214)</x:f>
        <x:v>409</x:v>
      </x:c>
      <x:c r="I1214" s="16" t="n">
        <x:f>IF(H1214&gt;0,G1214/H1214,"n.a.")</x:f>
        <x:v>0.3740831295843521</x:v>
      </x:c>
      <x:c r="J1214" s="10" t="n">
        <x:f>IF('Данные'!E1214&gt;0,G1214/'Данные'!E1214,"n.a.")</x:f>
        <x:v>0.03097165991902834</x:v>
      </x:c>
      <x:c r="K1214" s="1" t="str">
        <x:f>IF(G1214&gt;='Дашборд'!$C$51,"X","Z")</x:f>
        <x:v>Z</x:v>
      </x:c>
      <x:c r="L1214" s="1" t="str">
        <x:f>IF(H1214=0,IF(G1214&gt;0,"Нет остатка","Нет спроса"),IF(I1214&gt;='Дашборд'!$C$52,"Быстрый","Медленный"))</x:f>
        <x:v>Медленный</x:v>
      </x:c>
      <x:c r="M1214" s="1" t="str">
        <x:f>IF('Данные'!E1214&lt;'Дашборд'!$C$53,"Мало трафика",IF(J1214&lt;'Дашборд'!$C$9*'Дашборд'!$C$54,"Да","Нет"))</x:f>
        <x:v>Нет</x:v>
      </x:c>
      <x:c r="N1214" s="1" t="str">
        <x:f>IF(AND('Данные'!D1214&gt;='Дашборд'!$C$55,D1214&lt;'Дашборд'!$C$56,'Данные'!E1214&gt;='Дашборд'!$C$53,'Данные'!L1214&lt;&gt;"Да"),"Да","Нет")</x:f>
        <x:v>Нет</x:v>
      </x:c>
      <x:c r="O1214" s="1" t="str">
        <x:f>'Данные'!L1214</x:f>
        <x:v>Нет</x:v>
      </x:c>
    </x:row>
    <x:row r="1215">
      <x:c r="A1215" s="1" t="str">
        <x:f>'Данные'!A1215</x:f>
        <x:v>222005667</x:v>
      </x:c>
      <x:c r="B1215" s="1" t="str">
        <x:f>'Данные'!B1215</x:f>
        <x:v>futbolkamanoverX3/чер-бел-син</x:v>
      </x:c>
      <x:c r="C1215" s="8" t="n">
        <x:f>'Данные'!G1215</x:f>
        <x:v>54063</x:v>
      </x:c>
      <x:c r="D1215" s="15" t="n">
        <x:f>C1215/SUM($C$5:$C$2477)</x:f>
        <x:v>0.00006315767405325004</x:v>
      </x:c>
      <x:c r="E1215" s="15" t="n">
        <x:f>SUM($D$5:D1215)</x:f>
        <x:v>0.9904504797766559</x:v>
      </x:c>
      <x:c r="F1215" s="1" t="str">
        <x:f>IF(C1215&lt;=0,"C",IF(E1215-D1215&lt;'Дашборд'!$C$49,"A",IF(E1215-D1215&lt;'Дашборд'!$C$50,"B","C")))</x:f>
        <x:v>C</x:v>
      </x:c>
      <x:c r="G1215" s="8" t="n">
        <x:f>'Данные'!F1215</x:f>
        <x:v>44</x:v>
      </x:c>
      <x:c r="H1215" s="8" t="n">
        <x:f>SUM('Данные'!H1215:I1215)</x:f>
        <x:v>47</x:v>
      </x:c>
      <x:c r="I1215" s="16" t="n">
        <x:f>IF(H1215&gt;0,G1215/H1215,"n.a.")</x:f>
        <x:v>0.9361702127659575</x:v>
      </x:c>
      <x:c r="J1215" s="10" t="n">
        <x:f>IF('Данные'!E1215&gt;0,G1215/'Данные'!E1215,"n.a.")</x:f>
        <x:v>0.0023671185711211535</x:v>
      </x:c>
      <x:c r="K1215" s="1" t="str">
        <x:f>IF(G1215&gt;='Дашборд'!$C$51,"X","Z")</x:f>
        <x:v>Z</x:v>
      </x:c>
      <x:c r="L1215" s="1" t="str">
        <x:f>IF(H1215=0,IF(G1215&gt;0,"Нет остатка","Нет спроса"),IF(I1215&gt;='Дашборд'!$C$52,"Быстрый","Медленный"))</x:f>
        <x:v>Медленный</x:v>
      </x:c>
      <x:c r="M1215" s="1" t="str">
        <x:f>IF('Данные'!E1215&lt;'Дашборд'!$C$53,"Мало трафика",IF(J1215&lt;'Дашборд'!$C$9*'Дашборд'!$C$54,"Да","Нет"))</x:f>
        <x:v>Да</x:v>
      </x:c>
      <x:c r="N1215" s="1" t="str">
        <x:f>IF(AND('Данные'!D1215&gt;='Дашборд'!$C$55,D1215&lt;'Дашборд'!$C$56,'Данные'!E1215&gt;='Дашборд'!$C$53,'Данные'!L1215&lt;&gt;"Да"),"Да","Нет")</x:f>
        <x:v>Нет</x:v>
      </x:c>
      <x:c r="O1215" s="1" t="str">
        <x:f>'Данные'!L1215</x:f>
        <x:v>Нет</x:v>
      </x:c>
    </x:row>
    <x:row r="1216">
      <x:c r="A1216" s="1" t="str">
        <x:f>'Данные'!A1216</x:f>
        <x:v>229777381</x:v>
      </x:c>
      <x:c r="B1216" s="1" t="str">
        <x:f>'Данные'!B1216</x:f>
        <x:v>futbolkamanoverX3/белый</x:v>
      </x:c>
      <x:c r="C1216" s="8" t="n">
        <x:f>'Данные'!G1216</x:f>
        <x:v>54011</x:v>
      </x:c>
      <x:c r="D1216" s="15" t="n">
        <x:f>C1216/SUM($C$5:$C$2477)</x:f>
        <x:v>0.00006309692642454337</x:v>
      </x:c>
      <x:c r="E1216" s="15" t="n">
        <x:f>SUM($D$5:D1216)</x:f>
        <x:v>0.9905135767030805</x:v>
      </x:c>
      <x:c r="F1216" s="1" t="str">
        <x:f>IF(C1216&lt;=0,"C",IF(E1216-D1216&lt;'Дашборд'!$C$49,"A",IF(E1216-D1216&lt;'Дашборд'!$C$50,"B","C")))</x:f>
        <x:v>C</x:v>
      </x:c>
      <x:c r="G1216" s="8" t="n">
        <x:f>'Данные'!F1216</x:f>
        <x:v>48</x:v>
      </x:c>
      <x:c r="H1216" s="8" t="n">
        <x:f>SUM('Данные'!H1216:I1216)</x:f>
        <x:v>96</x:v>
      </x:c>
      <x:c r="I1216" s="16" t="n">
        <x:f>IF(H1216&gt;0,G1216/H1216,"n.a.")</x:f>
        <x:v>0.5</x:v>
      </x:c>
      <x:c r="J1216" s="10" t="n">
        <x:f>IF('Данные'!E1216&gt;0,G1216/'Данные'!E1216,"n.a.")</x:f>
        <x:v>0.0022989606781934</x:v>
      </x:c>
      <x:c r="K1216" s="1" t="str">
        <x:f>IF(G1216&gt;='Дашборд'!$C$51,"X","Z")</x:f>
        <x:v>Z</x:v>
      </x:c>
      <x:c r="L1216" s="1" t="str">
        <x:f>IF(H1216=0,IF(G1216&gt;0,"Нет остатка","Нет спроса"),IF(I1216&gt;='Дашборд'!$C$52,"Быстрый","Медленный"))</x:f>
        <x:v>Медленный</x:v>
      </x:c>
      <x:c r="M1216" s="1" t="str">
        <x:f>IF('Данные'!E1216&lt;'Дашборд'!$C$53,"Мало трафика",IF(J1216&lt;'Дашборд'!$C$9*'Дашборд'!$C$54,"Да","Нет"))</x:f>
        <x:v>Да</x:v>
      </x:c>
      <x:c r="N1216" s="1" t="str">
        <x:f>IF(AND('Данные'!D1216&gt;='Дашборд'!$C$55,D1216&lt;'Дашборд'!$C$56,'Данные'!E1216&gt;='Дашборд'!$C$53,'Данные'!L1216&lt;&gt;"Да"),"Да","Нет")</x:f>
        <x:v>Нет</x:v>
      </x:c>
      <x:c r="O1216" s="1" t="str">
        <x:f>'Данные'!L1216</x:f>
        <x:v>Нет</x:v>
      </x:c>
    </x:row>
    <x:row r="1217">
      <x:c r="A1217" s="1" t="str">
        <x:f>'Данные'!A1217</x:f>
        <x:v>323169151</x:v>
      </x:c>
      <x:c r="B1217" s="1" t="str">
        <x:f>'Данные'!B1217</x:f>
        <x:v>tanktop3K-S9/бордовый</x:v>
      </x:c>
      <x:c r="C1217" s="8" t="n">
        <x:f>'Данные'!G1217</x:f>
        <x:v>53925</x:v>
      </x:c>
      <x:c r="D1217" s="15" t="n">
        <x:f>C1217/SUM($C$5:$C$2477)</x:f>
        <x:v>0.00006299645919245156</x:v>
      </x:c>
      <x:c r="E1217" s="15" t="n">
        <x:f>SUM($D$5:D1217)</x:f>
        <x:v>0.990576573162273</x:v>
      </x:c>
      <x:c r="F1217" s="1" t="str">
        <x:f>IF(C1217&lt;=0,"C",IF(E1217-D1217&lt;'Дашборд'!$C$49,"A",IF(E1217-D1217&lt;'Дашборд'!$C$50,"B","C")))</x:f>
        <x:v>C</x:v>
      </x:c>
      <x:c r="G1217" s="8" t="n">
        <x:f>'Данные'!F1217</x:f>
        <x:v>180</x:v>
      </x:c>
      <x:c r="H1217" s="8" t="n">
        <x:f>SUM('Данные'!H1217:I1217)</x:f>
        <x:v>222</x:v>
      </x:c>
      <x:c r="I1217" s="16" t="n">
        <x:f>IF(H1217&gt;0,G1217/H1217,"n.a.")</x:f>
        <x:v>0.8108108108108109</x:v>
      </x:c>
      <x:c r="J1217" s="10" t="n">
        <x:f>IF('Данные'!E1217&gt;0,G1217/'Данные'!E1217,"n.a.")</x:f>
        <x:v>0.006303624584135878</x:v>
      </x:c>
      <x:c r="K1217" s="1" t="str">
        <x:f>IF(G1217&gt;='Дашборд'!$C$51,"X","Z")</x:f>
        <x:v>Z</x:v>
      </x:c>
      <x:c r="L1217" s="1" t="str">
        <x:f>IF(H1217=0,IF(G1217&gt;0,"Нет остатка","Нет спроса"),IF(I1217&gt;='Дашборд'!$C$52,"Быстрый","Медленный"))</x:f>
        <x:v>Медленный</x:v>
      </x:c>
      <x:c r="M1217" s="1" t="str">
        <x:f>IF('Данные'!E1217&lt;'Дашборд'!$C$53,"Мало трафика",IF(J1217&lt;'Дашборд'!$C$9*'Дашборд'!$C$54,"Да","Нет"))</x:f>
        <x:v>Да</x:v>
      </x:c>
      <x:c r="N1217" s="1" t="str">
        <x:f>IF(AND('Данные'!D1217&gt;='Дашборд'!$C$55,D1217&lt;'Дашборд'!$C$56,'Данные'!E1217&gt;='Дашборд'!$C$53,'Данные'!L1217&lt;&gt;"Да"),"Да","Нет")</x:f>
        <x:v>Нет</x:v>
      </x:c>
      <x:c r="O1217" s="1" t="str">
        <x:f>'Данные'!L1217</x:f>
        <x:v>Нет</x:v>
      </x:c>
    </x:row>
    <x:row r="1218">
      <x:c r="A1218" s="1" t="str">
        <x:f>'Данные'!A1218</x:f>
        <x:v>245583529</x:v>
      </x:c>
      <x:c r="B1218" s="1" t="str">
        <x:f>'Данные'!B1218</x:f>
        <x:v>hudiprint/Vintage-110/молочный</x:v>
      </x:c>
      <x:c r="C1218" s="8" t="n">
        <x:f>'Данные'!G1218</x:f>
        <x:v>53704</x:v>
      </x:c>
      <x:c r="D1218" s="15" t="n">
        <x:f>C1218/SUM($C$5:$C$2477)</x:f>
        <x:v>0.0000627382817704482</x:v>
      </x:c>
      <x:c r="E1218" s="15" t="n">
        <x:f>SUM($D$5:D1218)</x:f>
        <x:v>0.9906393114440435</x:v>
      </x:c>
      <x:c r="F1218" s="1" t="str">
        <x:f>IF(C1218&lt;=0,"C",IF(E1218-D1218&lt;'Дашборд'!$C$49,"A",IF(E1218-D1218&lt;'Дашборд'!$C$50,"B","C")))</x:f>
        <x:v>C</x:v>
      </x:c>
      <x:c r="G1218" s="8" t="n">
        <x:f>'Данные'!F1218</x:f>
        <x:v>78</x:v>
      </x:c>
      <x:c r="H1218" s="8" t="n">
        <x:f>SUM('Данные'!H1218:I1218)</x:f>
        <x:v>28</x:v>
      </x:c>
      <x:c r="I1218" s="16" t="n">
        <x:f>IF(H1218&gt;0,G1218/H1218,"n.a.")</x:f>
        <x:v>2.7857142857142856</x:v>
      </x:c>
      <x:c r="J1218" s="10" t="n">
        <x:f>IF('Данные'!E1218&gt;0,G1218/'Данные'!E1218,"n.a.")</x:f>
        <x:v>0.004348310848478091</x:v>
      </x:c>
      <x:c r="K1218" s="1" t="str">
        <x:f>IF(G1218&gt;='Дашборд'!$C$51,"X","Z")</x:f>
        <x:v>Z</x:v>
      </x:c>
      <x:c r="L1218" s="1" t="str">
        <x:f>IF(H1218=0,IF(G1218&gt;0,"Нет остатка","Нет спроса"),IF(I1218&gt;='Дашборд'!$C$52,"Быстрый","Медленный"))</x:f>
        <x:v>Быстрый</x:v>
      </x:c>
      <x:c r="M1218" s="1" t="str">
        <x:f>IF('Данные'!E1218&lt;'Дашборд'!$C$53,"Мало трафика",IF(J1218&lt;'Дашборд'!$C$9*'Дашборд'!$C$54,"Да","Нет"))</x:f>
        <x:v>Да</x:v>
      </x:c>
      <x:c r="N1218" s="1" t="str">
        <x:f>IF(AND('Данные'!D1218&gt;='Дашборд'!$C$55,D1218&lt;'Дашборд'!$C$56,'Данные'!E1218&gt;='Дашборд'!$C$53,'Данные'!L1218&lt;&gt;"Да"),"Да","Нет")</x:f>
        <x:v>Да</x:v>
      </x:c>
      <x:c r="O1218" s="1" t="str">
        <x:f>'Данные'!L1218</x:f>
        <x:v>Нет</x:v>
      </x:c>
    </x:row>
    <x:row r="1219">
      <x:c r="A1219" s="1" t="str">
        <x:f>'Данные'!A1219</x:f>
        <x:v>79907436</x:v>
      </x:c>
      <x:c r="B1219" s="1" t="str">
        <x:f>'Данные'!B1219</x:f>
        <x:v>futbolka/морскаяволна</x:v>
      </x:c>
      <x:c r="C1219" s="8" t="n">
        <x:f>'Данные'!G1219</x:f>
        <x:v>53602</x:v>
      </x:c>
      <x:c r="D1219" s="15" t="n">
        <x:f>C1219/SUM($C$5:$C$2477)</x:f>
        <x:v>0.00006261912296029279</x:v>
      </x:c>
      <x:c r="E1219" s="15" t="n">
        <x:f>SUM($D$5:D1219)</x:f>
        <x:v>0.9907019305670037</x:v>
      </x:c>
      <x:c r="F1219" s="1" t="str">
        <x:f>IF(C1219&lt;=0,"C",IF(E1219-D1219&lt;'Дашборд'!$C$49,"A",IF(E1219-D1219&lt;'Дашборд'!$C$50,"B","C")))</x:f>
        <x:v>C</x:v>
      </x:c>
      <x:c r="G1219" s="8" t="n">
        <x:f>'Данные'!F1219</x:f>
        <x:v>151</x:v>
      </x:c>
      <x:c r="H1219" s="8" t="n">
        <x:f>SUM('Данные'!H1219:I1219)</x:f>
        <x:v>3</x:v>
      </x:c>
      <x:c r="I1219" s="16" t="n">
        <x:f>IF(H1219&gt;0,G1219/H1219,"n.a.")</x:f>
        <x:v>50.333333333333336</x:v>
      </x:c>
      <x:c r="J1219" s="10" t="n">
        <x:f>IF('Данные'!E1219&gt;0,G1219/'Данные'!E1219,"n.a.")</x:f>
        <x:v>0.01705636507398622</x:v>
      </x:c>
      <x:c r="K1219" s="1" t="str">
        <x:f>IF(G1219&gt;='Дашборд'!$C$51,"X","Z")</x:f>
        <x:v>Z</x:v>
      </x:c>
      <x:c r="L1219" s="1" t="str">
        <x:f>IF(H1219=0,IF(G1219&gt;0,"Нет остатка","Нет спроса"),IF(I1219&gt;='Дашборд'!$C$52,"Быстрый","Медленный"))</x:f>
        <x:v>Быстрый</x:v>
      </x:c>
      <x:c r="M1219" s="1" t="str">
        <x:f>IF('Данные'!E1219&lt;'Дашборд'!$C$53,"Мало трафика",IF(J1219&lt;'Дашборд'!$C$9*'Дашборд'!$C$54,"Да","Нет"))</x:f>
        <x:v>Нет</x:v>
      </x:c>
      <x:c r="N1219" s="1" t="str">
        <x:f>IF(AND('Данные'!D1219&gt;='Дашборд'!$C$55,D1219&lt;'Дашборд'!$C$56,'Данные'!E1219&gt;='Дашборд'!$C$53,'Данные'!L1219&lt;&gt;"Да"),"Да","Нет")</x:f>
        <x:v>Нет</x:v>
      </x:c>
      <x:c r="O1219" s="1" t="str">
        <x:f>'Данные'!L1219</x:f>
        <x:v>Нет</x:v>
      </x:c>
    </x:row>
    <x:row r="1220">
      <x:c r="A1220" s="1" t="str">
        <x:f>'Данные'!A1220</x:f>
        <x:v>145845802</x:v>
      </x:c>
      <x:c r="B1220" s="1" t="str">
        <x:f>'Данные'!B1220</x:f>
        <x:v>svitshotman/фиолетовый</x:v>
      </x:c>
      <x:c r="C1220" s="8" t="n">
        <x:f>'Данные'!G1220</x:f>
        <x:v>53401</x:v>
      </x:c>
      <x:c r="D1220" s="15" t="n">
        <x:f>C1220/SUM($C$5:$C$2477)</x:f>
        <x:v>0.00006238431001086891</x:v>
      </x:c>
      <x:c r="E1220" s="15" t="n">
        <x:f>SUM($D$5:D1220)</x:f>
        <x:v>0.9907643148770146</x:v>
      </x:c>
      <x:c r="F1220" s="1" t="str">
        <x:f>IF(C1220&lt;=0,"C",IF(E1220-D1220&lt;'Дашборд'!$C$49,"A",IF(E1220-D1220&lt;'Дашборд'!$C$50,"B","C")))</x:f>
        <x:v>C</x:v>
      </x:c>
      <x:c r="G1220" s="8" t="n">
        <x:f>'Данные'!F1220</x:f>
        <x:v>61</x:v>
      </x:c>
      <x:c r="H1220" s="8" t="n">
        <x:f>SUM('Данные'!H1220:I1220)</x:f>
        <x:v>136</x:v>
      </x:c>
      <x:c r="I1220" s="16" t="n">
        <x:f>IF(H1220&gt;0,G1220/H1220,"n.a.")</x:f>
        <x:v>0.4485294117647059</x:v>
      </x:c>
      <x:c r="J1220" s="10" t="n">
        <x:f>IF('Данные'!E1220&gt;0,G1220/'Данные'!E1220,"n.a.")</x:f>
        <x:v>0.005792972459639127</x:v>
      </x:c>
      <x:c r="K1220" s="1" t="str">
        <x:f>IF(G1220&gt;='Дашборд'!$C$51,"X","Z")</x:f>
        <x:v>Z</x:v>
      </x:c>
      <x:c r="L1220" s="1" t="str">
        <x:f>IF(H1220=0,IF(G1220&gt;0,"Нет остатка","Нет спроса"),IF(I1220&gt;='Дашборд'!$C$52,"Быстрый","Медленный"))</x:f>
        <x:v>Медленный</x:v>
      </x:c>
      <x:c r="M1220" s="1" t="str">
        <x:f>IF('Данные'!E1220&lt;'Дашборд'!$C$53,"Мало трафика",IF(J1220&lt;'Дашборд'!$C$9*'Дашборд'!$C$54,"Да","Нет"))</x:f>
        <x:v>Да</x:v>
      </x:c>
      <x:c r="N1220" s="1" t="str">
        <x:f>IF(AND('Данные'!D1220&gt;='Дашборд'!$C$55,D1220&lt;'Дашборд'!$C$56,'Данные'!E1220&gt;='Дашборд'!$C$53,'Данные'!L1220&lt;&gt;"Да"),"Да","Нет")</x:f>
        <x:v>Нет</x:v>
      </x:c>
      <x:c r="O1220" s="1" t="str">
        <x:f>'Данные'!L1220</x:f>
        <x:v>Нет</x:v>
      </x:c>
    </x:row>
    <x:row r="1221">
      <x:c r="A1221" s="1" t="str">
        <x:f>'Данные'!A1221</x:f>
        <x:v>158427983</x:v>
      </x:c>
      <x:c r="B1221" s="1" t="str">
        <x:f>'Данные'!B1221</x:f>
        <x:v>kostumman/коричневый</x:v>
      </x:c>
      <x:c r="C1221" s="8" t="n">
        <x:f>'Данные'!G1221</x:f>
        <x:v>53329</x:v>
      </x:c>
      <x:c r="D1221" s="15" t="n">
        <x:f>C1221/SUM($C$5:$C$2477)</x:f>
        <x:v>0.00006230019790958275</x:v>
      </x:c>
      <x:c r="E1221" s="15" t="n">
        <x:f>SUM($D$5:D1221)</x:f>
        <x:v>0.9908266150749241</x:v>
      </x:c>
      <x:c r="F1221" s="1" t="str">
        <x:f>IF(C1221&lt;=0,"C",IF(E1221-D1221&lt;'Дашборд'!$C$49,"A",IF(E1221-D1221&lt;'Дашборд'!$C$50,"B","C")))</x:f>
        <x:v>C</x:v>
      </x:c>
      <x:c r="G1221" s="8" t="n">
        <x:f>'Данные'!F1221</x:f>
        <x:v>23</x:v>
      </x:c>
      <x:c r="H1221" s="8" t="n">
        <x:f>SUM('Данные'!H1221:I1221)</x:f>
        <x:v>30</x:v>
      </x:c>
      <x:c r="I1221" s="16" t="n">
        <x:f>IF(H1221&gt;0,G1221/H1221,"n.a.")</x:f>
        <x:v>0.7666666666666667</x:v>
      </x:c>
      <x:c r="J1221" s="10" t="n">
        <x:f>IF('Данные'!E1221&gt;0,G1221/'Данные'!E1221,"n.a.")</x:f>
        <x:v>0.0034482758620689655</x:v>
      </x:c>
      <x:c r="K1221" s="1" t="str">
        <x:f>IF(G1221&gt;='Дашборд'!$C$51,"X","Z")</x:f>
        <x:v>Z</x:v>
      </x:c>
      <x:c r="L1221" s="1" t="str">
        <x:f>IF(H1221=0,IF(G1221&gt;0,"Нет остатка","Нет спроса"),IF(I1221&gt;='Дашборд'!$C$52,"Быстрый","Медленный"))</x:f>
        <x:v>Медленный</x:v>
      </x:c>
      <x:c r="M1221" s="1" t="str">
        <x:f>IF('Данные'!E1221&lt;'Дашборд'!$C$53,"Мало трафика",IF(J1221&lt;'Дашборд'!$C$9*'Дашборд'!$C$54,"Да","Нет"))</x:f>
        <x:v>Да</x:v>
      </x:c>
      <x:c r="N1221" s="1" t="str">
        <x:f>IF(AND('Данные'!D1221&gt;='Дашборд'!$C$55,D1221&lt;'Дашборд'!$C$56,'Данные'!E1221&gt;='Дашборд'!$C$53,'Данные'!L1221&lt;&gt;"Да"),"Да","Нет")</x:f>
        <x:v>Да</x:v>
      </x:c>
      <x:c r="O1221" s="1" t="str">
        <x:f>'Данные'!L1221</x:f>
        <x:v>Нет</x:v>
      </x:c>
    </x:row>
    <x:row r="1222">
      <x:c r="A1222" s="1" t="str">
        <x:f>'Данные'!A1222</x:f>
        <x:v>181613184</x:v>
      </x:c>
      <x:c r="B1222" s="1" t="str">
        <x:f>'Данные'!B1222</x:f>
        <x:v>kostyum/морскаяволна</x:v>
      </x:c>
      <x:c r="C1222" s="8" t="n">
        <x:f>'Данные'!G1222</x:f>
        <x:v>53309</x:v>
      </x:c>
      <x:c r="D1222" s="15" t="n">
        <x:f>C1222/SUM($C$5:$C$2477)</x:f>
        <x:v>0.00006227683343700325</x:v>
      </x:c>
      <x:c r="E1222" s="15" t="n">
        <x:f>SUM($D$5:D1222)</x:f>
        <x:v>0.990888891908361</x:v>
      </x:c>
      <x:c r="F1222" s="1" t="str">
        <x:f>IF(C1222&lt;=0,"C",IF(E1222-D1222&lt;'Дашборд'!$C$49,"A",IF(E1222-D1222&lt;'Дашборд'!$C$50,"B","C")))</x:f>
        <x:v>C</x:v>
      </x:c>
      <x:c r="G1222" s="8" t="n">
        <x:f>'Данные'!F1222</x:f>
        <x:v>34</x:v>
      </x:c>
      <x:c r="H1222" s="8" t="n">
        <x:f>SUM('Данные'!H1222:I1222)</x:f>
        <x:v>125</x:v>
      </x:c>
      <x:c r="I1222" s="16" t="n">
        <x:f>IF(H1222&gt;0,G1222/H1222,"n.a.")</x:f>
        <x:v>0.272</x:v>
      </x:c>
      <x:c r="J1222" s="10" t="n">
        <x:f>IF('Данные'!E1222&gt;0,G1222/'Данные'!E1222,"n.a.")</x:f>
        <x:v>0.003213914358635032</x:v>
      </x:c>
      <x:c r="K1222" s="1" t="str">
        <x:f>IF(G1222&gt;='Дашборд'!$C$51,"X","Z")</x:f>
        <x:v>Z</x:v>
      </x:c>
      <x:c r="L1222" s="1" t="str">
        <x:f>IF(H1222=0,IF(G1222&gt;0,"Нет остатка","Нет спроса"),IF(I1222&gt;='Дашборд'!$C$52,"Быстрый","Медленный"))</x:f>
        <x:v>Медленный</x:v>
      </x:c>
      <x:c r="M1222" s="1" t="str">
        <x:f>IF('Данные'!E1222&lt;'Дашборд'!$C$53,"Мало трафика",IF(J1222&lt;'Дашборд'!$C$9*'Дашборд'!$C$54,"Да","Нет"))</x:f>
        <x:v>Да</x:v>
      </x:c>
      <x:c r="N1222" s="1" t="str">
        <x:f>IF(AND('Данные'!D1222&gt;='Дашборд'!$C$55,D1222&lt;'Дашборд'!$C$56,'Данные'!E1222&gt;='Дашборд'!$C$53,'Данные'!L1222&lt;&gt;"Да"),"Да","Нет")</x:f>
        <x:v>Нет</x:v>
      </x:c>
      <x:c r="O1222" s="1" t="str">
        <x:f>'Данные'!L1222</x:f>
        <x:v>Нет</x:v>
      </x:c>
    </x:row>
    <x:row r="1223">
      <x:c r="A1223" s="1" t="str">
        <x:f>'Данные'!A1223</x:f>
        <x:v>75328497</x:v>
      </x:c>
      <x:c r="B1223" s="1" t="str">
        <x:f>'Данные'!B1223</x:f>
        <x:v>longsliv/фуксия</x:v>
      </x:c>
      <x:c r="C1223" s="8" t="n">
        <x:f>'Данные'!G1223</x:f>
        <x:v>52575</x:v>
      </x:c>
      <x:c r="D1223" s="15" t="n">
        <x:f>C1223/SUM($C$5:$C$2477)</x:f>
        <x:v>0.00006141935729333594</x:v>
      </x:c>
      <x:c r="E1223" s="15" t="n">
        <x:f>SUM($D$5:D1223)</x:f>
        <x:v>0.9909503112656544</x:v>
      </x:c>
      <x:c r="F1223" s="1" t="str">
        <x:f>IF(C1223&lt;=0,"C",IF(E1223-D1223&lt;'Дашборд'!$C$49,"A",IF(E1223-D1223&lt;'Дашборд'!$C$50,"B","C")))</x:f>
        <x:v>C</x:v>
      </x:c>
      <x:c r="G1223" s="8" t="n">
        <x:f>'Данные'!F1223</x:f>
        <x:v>199</x:v>
      </x:c>
      <x:c r="H1223" s="8" t="n">
        <x:f>SUM('Данные'!H1223:I1223)</x:f>
        <x:v>61</x:v>
      </x:c>
      <x:c r="I1223" s="16" t="n">
        <x:f>IF(H1223&gt;0,G1223/H1223,"n.a.")</x:f>
        <x:v>3.262295081967213</x:v>
      </x:c>
      <x:c r="J1223" s="10" t="n">
        <x:f>IF('Данные'!E1223&gt;0,G1223/'Данные'!E1223,"n.a.")</x:f>
        <x:v>0.02568073299780617</x:v>
      </x:c>
      <x:c r="K1223" s="1" t="str">
        <x:f>IF(G1223&gt;='Дашборд'!$C$51,"X","Z")</x:f>
        <x:v>Z</x:v>
      </x:c>
      <x:c r="L1223" s="1" t="str">
        <x:f>IF(H1223=0,IF(G1223&gt;0,"Нет остатка","Нет спроса"),IF(I1223&gt;='Дашборд'!$C$52,"Быстрый","Медленный"))</x:f>
        <x:v>Быстрый</x:v>
      </x:c>
      <x:c r="M1223" s="1" t="str">
        <x:f>IF('Данные'!E1223&lt;'Дашборд'!$C$53,"Мало трафика",IF(J1223&lt;'Дашборд'!$C$9*'Дашборд'!$C$54,"Да","Нет"))</x:f>
        <x:v>Нет</x:v>
      </x:c>
      <x:c r="N1223" s="1" t="str">
        <x:f>IF(AND('Данные'!D1223&gt;='Дашборд'!$C$55,D1223&lt;'Дашборд'!$C$56,'Данные'!E1223&gt;='Дашборд'!$C$53,'Данные'!L1223&lt;&gt;"Да"),"Да","Нет")</x:f>
        <x:v>Да</x:v>
      </x:c>
      <x:c r="O1223" s="1" t="str">
        <x:f>'Данные'!L1223</x:f>
        <x:v>Нет</x:v>
      </x:c>
    </x:row>
    <x:row r="1224">
      <x:c r="A1224" s="1" t="str">
        <x:f>'Данные'!A1224</x:f>
        <x:v>31156397</x:v>
      </x:c>
      <x:c r="B1224" s="1" t="str">
        <x:f>'Данные'!B1224</x:f>
        <x:v>longsliv/голубой</x:v>
      </x:c>
      <x:c r="C1224" s="8" t="n">
        <x:f>'Данные'!G1224</x:f>
        <x:v>52565</x:v>
      </x:c>
      <x:c r="D1224" s="15" t="n">
        <x:f>C1224/SUM($C$5:$C$2477)</x:f>
        <x:v>0.0000614076750570462</x:v>
      </x:c>
      <x:c r="E1224" s="15" t="n">
        <x:f>SUM($D$5:D1224)</x:f>
        <x:v>0.9910117189407114</x:v>
      </x:c>
      <x:c r="F1224" s="1" t="str">
        <x:f>IF(C1224&lt;=0,"C",IF(E1224-D1224&lt;'Дашборд'!$C$49,"A",IF(E1224-D1224&lt;'Дашборд'!$C$50,"B","C")))</x:f>
        <x:v>C</x:v>
      </x:c>
      <x:c r="G1224" s="8" t="n">
        <x:f>'Данные'!F1224</x:f>
        <x:v>236</x:v>
      </x:c>
      <x:c r="H1224" s="8" t="n">
        <x:f>SUM('Данные'!H1224:I1224)</x:f>
        <x:v>799</x:v>
      </x:c>
      <x:c r="I1224" s="16" t="n">
        <x:f>IF(H1224&gt;0,G1224/H1224,"n.a.")</x:f>
        <x:v>0.295369211514393</x:v>
      </x:c>
      <x:c r="J1224" s="10" t="n">
        <x:f>IF('Данные'!E1224&gt;0,G1224/'Данные'!E1224,"n.a.")</x:f>
        <x:v>0.031225191849695688</x:v>
      </x:c>
      <x:c r="K1224" s="1" t="str">
        <x:f>IF(G1224&gt;='Дашборд'!$C$51,"X","Z")</x:f>
        <x:v>Z</x:v>
      </x:c>
      <x:c r="L1224" s="1" t="str">
        <x:f>IF(H1224=0,IF(G1224&gt;0,"Нет остатка","Нет спроса"),IF(I1224&gt;='Дашборд'!$C$52,"Быстрый","Медленный"))</x:f>
        <x:v>Медленный</x:v>
      </x:c>
      <x:c r="M1224" s="1" t="str">
        <x:f>IF('Данные'!E1224&lt;'Дашборд'!$C$53,"Мало трафика",IF(J1224&lt;'Дашборд'!$C$9*'Дашборд'!$C$54,"Да","Нет"))</x:f>
        <x:v>Нет</x:v>
      </x:c>
      <x:c r="N1224" s="1" t="str">
        <x:f>IF(AND('Данные'!D1224&gt;='Дашборд'!$C$55,D1224&lt;'Дашборд'!$C$56,'Данные'!E1224&gt;='Дашборд'!$C$53,'Данные'!L1224&lt;&gt;"Да"),"Да","Нет")</x:f>
        <x:v>Да</x:v>
      </x:c>
      <x:c r="O1224" s="1" t="str">
        <x:f>'Данные'!L1224</x:f>
        <x:v>Нет</x:v>
      </x:c>
    </x:row>
    <x:row r="1225">
      <x:c r="A1225" s="1" t="str">
        <x:f>'Данные'!A1225</x:f>
        <x:v>229787652</x:v>
      </x:c>
      <x:c r="B1225" s="1" t="str">
        <x:f>'Данные'!B1225</x:f>
        <x:v>futbolkaprint/Groovy-153/белый</x:v>
      </x:c>
      <x:c r="C1225" s="8" t="n">
        <x:f>'Данные'!G1225</x:f>
        <x:v>52312</x:v>
      </x:c>
      <x:c r="D1225" s="15" t="n">
        <x:f>C1225/SUM($C$5:$C$2477)</x:f>
        <x:v>0.00006111211447891564</x:v>
      </x:c>
      <x:c r="E1225" s="15" t="n">
        <x:f>SUM($D$5:D1225)</x:f>
        <x:v>0.9910728310551903</x:v>
      </x:c>
      <x:c r="F1225" s="1" t="str">
        <x:f>IF(C1225&lt;=0,"C",IF(E1225-D1225&lt;'Дашборд'!$C$49,"A",IF(E1225-D1225&lt;'Дашборд'!$C$50,"B","C")))</x:f>
        <x:v>C</x:v>
      </x:c>
      <x:c r="G1225" s="8" t="n">
        <x:f>'Данные'!F1225</x:f>
        <x:v>75</x:v>
      </x:c>
      <x:c r="H1225" s="8" t="n">
        <x:f>SUM('Данные'!H1225:I1225)</x:f>
        <x:v>0</x:v>
      </x:c>
      <x:c r="I1225" s="16" t="str">
        <x:f>IF(H1225&gt;0,G1225/H1225,"n.a.")</x:f>
        <x:v>n.a.</x:v>
      </x:c>
      <x:c r="J1225" s="10" t="n">
        <x:f>IF('Данные'!E1225&gt;0,G1225/'Данные'!E1225,"n.a.")</x:f>
        <x:v>0.00566807738814994</x:v>
      </x:c>
      <x:c r="K1225" s="1" t="str">
        <x:f>IF(G1225&gt;='Дашборд'!$C$51,"X","Z")</x:f>
        <x:v>Z</x:v>
      </x:c>
      <x:c r="L1225" s="1" t="str">
        <x:f>IF(H1225=0,IF(G1225&gt;0,"Нет остатка","Нет спроса"),IF(I1225&gt;='Дашборд'!$C$52,"Быстрый","Медленный"))</x:f>
        <x:v>Нет остатка</x:v>
      </x:c>
      <x:c r="M1225" s="1" t="str">
        <x:f>IF('Данные'!E1225&lt;'Дашборд'!$C$53,"Мало трафика",IF(J1225&lt;'Дашборд'!$C$9*'Дашборд'!$C$54,"Да","Нет"))</x:f>
        <x:v>Да</x:v>
      </x:c>
      <x:c r="N1225" s="1" t="str">
        <x:f>IF(AND('Данные'!D1225&gt;='Дашборд'!$C$55,D1225&lt;'Дашборд'!$C$56,'Данные'!E1225&gt;='Дашборд'!$C$53,'Данные'!L1225&lt;&gt;"Да"),"Да","Нет")</x:f>
        <x:v>Нет</x:v>
      </x:c>
      <x:c r="O1225" s="1" t="str">
        <x:f>'Данные'!L1225</x:f>
        <x:v>Нет</x:v>
      </x:c>
    </x:row>
    <x:row r="1226">
      <x:c r="A1226" s="1" t="str">
        <x:f>'Данные'!A1226</x:f>
        <x:v>256332779</x:v>
      </x:c>
      <x:c r="B1226" s="1" t="str">
        <x:f>'Данные'!B1226</x:f>
        <x:v>futhlopman/шалфей</x:v>
      </x:c>
      <x:c r="C1226" s="8" t="n">
        <x:f>'Данные'!G1226</x:f>
        <x:v>51954</x:v>
      </x:c>
      <x:c r="D1226" s="15" t="n">
        <x:f>C1226/SUM($C$5:$C$2477)</x:f>
        <x:v>0.00006069389041974276</x:v>
      </x:c>
      <x:c r="E1226" s="15" t="n">
        <x:f>SUM($D$5:D1226)</x:f>
        <x:v>0.99113352494561</x:v>
      </x:c>
      <x:c r="F1226" s="1" t="str">
        <x:f>IF(C1226&lt;=0,"C",IF(E1226-D1226&lt;'Дашборд'!$C$49,"A",IF(E1226-D1226&lt;'Дашборд'!$C$50,"B","C")))</x:f>
        <x:v>C</x:v>
      </x:c>
      <x:c r="G1226" s="8" t="n">
        <x:f>'Данные'!F1226</x:f>
        <x:v>139</x:v>
      </x:c>
      <x:c r="H1226" s="8" t="n">
        <x:f>SUM('Данные'!H1226:I1226)</x:f>
        <x:v>58</x:v>
      </x:c>
      <x:c r="I1226" s="16" t="n">
        <x:f>IF(H1226&gt;0,G1226/H1226,"n.a.")</x:f>
        <x:v>2.396551724137931</x:v>
      </x:c>
      <x:c r="J1226" s="10" t="n">
        <x:f>IF('Данные'!E1226&gt;0,G1226/'Данные'!E1226,"n.a.")</x:f>
        <x:v>0.008376016872551973</x:v>
      </x:c>
      <x:c r="K1226" s="1" t="str">
        <x:f>IF(G1226&gt;='Дашборд'!$C$51,"X","Z")</x:f>
        <x:v>Z</x:v>
      </x:c>
      <x:c r="L1226" s="1" t="str">
        <x:f>IF(H1226=0,IF(G1226&gt;0,"Нет остатка","Нет спроса"),IF(I1226&gt;='Дашборд'!$C$52,"Быстрый","Медленный"))</x:f>
        <x:v>Быстрый</x:v>
      </x:c>
      <x:c r="M1226" s="1" t="str">
        <x:f>IF('Данные'!E1226&lt;'Дашборд'!$C$53,"Мало трафика",IF(J1226&lt;'Дашборд'!$C$9*'Дашборд'!$C$54,"Да","Нет"))</x:f>
        <x:v>Да</x:v>
      </x:c>
      <x:c r="N1226" s="1" t="str">
        <x:f>IF(AND('Данные'!D1226&gt;='Дашборд'!$C$55,D1226&lt;'Дашборд'!$C$56,'Данные'!E1226&gt;='Дашборд'!$C$53,'Данные'!L1226&lt;&gt;"Да"),"Да","Нет")</x:f>
        <x:v>Нет</x:v>
      </x:c>
      <x:c r="O1226" s="1" t="str">
        <x:f>'Данные'!L1226</x:f>
        <x:v>Нет</x:v>
      </x:c>
    </x:row>
    <x:row r="1227">
      <x:c r="A1227" s="1" t="str">
        <x:f>'Данные'!A1227</x:f>
        <x:v>175116983</x:v>
      </x:c>
      <x:c r="B1227" s="1" t="str">
        <x:f>'Данные'!B1227</x:f>
        <x:v>reglanman/коричневый</x:v>
      </x:c>
      <x:c r="C1227" s="8" t="n">
        <x:f>'Данные'!G1227</x:f>
        <x:v>51487</x:v>
      </x:c>
      <x:c r="D1227" s="15" t="n">
        <x:f>C1227/SUM($C$5:$C$2477)</x:f>
        <x:v>0.000060148329985011654</x:v>
      </x:c>
      <x:c r="E1227" s="15" t="n">
        <x:f>SUM($D$5:D1227)</x:f>
        <x:v>0.991193673275595</x:v>
      </x:c>
      <x:c r="F1227" s="1" t="str">
        <x:f>IF(C1227&lt;=0,"C",IF(E1227-D1227&lt;'Дашборд'!$C$49,"A",IF(E1227-D1227&lt;'Дашборд'!$C$50,"B","C")))</x:f>
        <x:v>C</x:v>
      </x:c>
      <x:c r="G1227" s="8" t="n">
        <x:f>'Данные'!F1227</x:f>
        <x:v>122</x:v>
      </x:c>
      <x:c r="H1227" s="8" t="n">
        <x:f>SUM('Данные'!H1227:I1227)</x:f>
        <x:v>810</x:v>
      </x:c>
      <x:c r="I1227" s="16" t="n">
        <x:f>IF(H1227&gt;0,G1227/H1227,"n.a.")</x:f>
        <x:v>0.1506172839506173</x:v>
      </x:c>
      <x:c r="J1227" s="10" t="n">
        <x:f>IF('Данные'!E1227&gt;0,G1227/'Данные'!E1227,"n.a.")</x:f>
        <x:v>0.057547169811320756</x:v>
      </x:c>
      <x:c r="K1227" s="1" t="str">
        <x:f>IF(G1227&gt;='Дашборд'!$C$51,"X","Z")</x:f>
        <x:v>Z</x:v>
      </x:c>
      <x:c r="L1227" s="1" t="str">
        <x:f>IF(H1227=0,IF(G1227&gt;0,"Нет остатка","Нет спроса"),IF(I1227&gt;='Дашборд'!$C$52,"Быстрый","Медленный"))</x:f>
        <x:v>Медленный</x:v>
      </x:c>
      <x:c r="M1227" s="1" t="str">
        <x:f>IF('Данные'!E1227&lt;'Дашборд'!$C$53,"Мало трафика",IF(J1227&lt;'Дашборд'!$C$9*'Дашборд'!$C$54,"Да","Нет"))</x:f>
        <x:v>Нет</x:v>
      </x:c>
      <x:c r="N1227" s="1" t="str">
        <x:f>IF(AND('Данные'!D1227&gt;='Дашборд'!$C$55,D1227&lt;'Дашборд'!$C$56,'Данные'!E1227&gt;='Дашборд'!$C$53,'Данные'!L1227&lt;&gt;"Да"),"Да","Нет")</x:f>
        <x:v>Нет</x:v>
      </x:c>
      <x:c r="O1227" s="1" t="str">
        <x:f>'Данные'!L1227</x:f>
        <x:v>Нет</x:v>
      </x:c>
    </x:row>
    <x:row r="1228">
      <x:c r="A1228" s="1" t="str">
        <x:f>'Данные'!A1228</x:f>
        <x:v>256336257</x:v>
      </x:c>
      <x:c r="B1228" s="1" t="str">
        <x:f>'Данные'!B1228</x:f>
        <x:v>futbolkaoverhlop/черный</x:v>
      </x:c>
      <x:c r="C1228" s="8" t="n">
        <x:f>'Данные'!G1228</x:f>
        <x:v>51477</x:v>
      </x:c>
      <x:c r="D1228" s="15" t="n">
        <x:f>C1228/SUM($C$5:$C$2477)</x:f>
        <x:v>0.00006013664774872191</x:v>
      </x:c>
      <x:c r="E1228" s="15" t="n">
        <x:f>SUM($D$5:D1228)</x:f>
        <x:v>0.9912538099233438</x:v>
      </x:c>
      <x:c r="F1228" s="1" t="str">
        <x:f>IF(C1228&lt;=0,"C",IF(E1228-D1228&lt;'Дашборд'!$C$49,"A",IF(E1228-D1228&lt;'Дашборд'!$C$50,"B","C")))</x:f>
        <x:v>C</x:v>
      </x:c>
      <x:c r="G1228" s="8" t="n">
        <x:f>'Данные'!F1228</x:f>
        <x:v>171</x:v>
      </x:c>
      <x:c r="H1228" s="8" t="n">
        <x:f>SUM('Данные'!H1228:I1228)</x:f>
        <x:v>429</x:v>
      </x:c>
      <x:c r="I1228" s="16" t="n">
        <x:f>IF(H1228&gt;0,G1228/H1228,"n.a.")</x:f>
        <x:v>0.3986013986013986</x:v>
      </x:c>
      <x:c r="J1228" s="10" t="n">
        <x:f>IF('Данные'!E1228&gt;0,G1228/'Данные'!E1228,"n.a.")</x:f>
        <x:v>0.014360094054417199</x:v>
      </x:c>
      <x:c r="K1228" s="1" t="str">
        <x:f>IF(G1228&gt;='Дашборд'!$C$51,"X","Z")</x:f>
        <x:v>Z</x:v>
      </x:c>
      <x:c r="L1228" s="1" t="str">
        <x:f>IF(H1228=0,IF(G1228&gt;0,"Нет остатка","Нет спроса"),IF(I1228&gt;='Дашборд'!$C$52,"Быстрый","Медленный"))</x:f>
        <x:v>Медленный</x:v>
      </x:c>
      <x:c r="M1228" s="1" t="str">
        <x:f>IF('Данные'!E1228&lt;'Дашборд'!$C$53,"Мало трафика",IF(J1228&lt;'Дашборд'!$C$9*'Дашборд'!$C$54,"Да","Нет"))</x:f>
        <x:v>Нет</x:v>
      </x:c>
      <x:c r="N1228" s="1" t="str">
        <x:f>IF(AND('Данные'!D1228&gt;='Дашборд'!$C$55,D1228&lt;'Дашборд'!$C$56,'Данные'!E1228&gt;='Дашборд'!$C$53,'Данные'!L1228&lt;&gt;"Да"),"Да","Нет")</x:f>
        <x:v>Да</x:v>
      </x:c>
      <x:c r="O1228" s="1" t="str">
        <x:f>'Данные'!L1228</x:f>
        <x:v>Нет</x:v>
      </x:c>
    </x:row>
    <x:row r="1229">
      <x:c r="A1229" s="1" t="str">
        <x:f>'Данные'!A1229</x:f>
        <x:v>256315191</x:v>
      </x:c>
      <x:c r="B1229" s="1" t="str">
        <x:f>'Данные'!B1229</x:f>
        <x:v>bazahlop/темно-серый</x:v>
      </x:c>
      <x:c r="C1229" s="8" t="n">
        <x:f>'Данные'!G1229</x:f>
        <x:v>51395</x:v>
      </x:c>
      <x:c r="D1229" s="15" t="n">
        <x:f>C1229/SUM($C$5:$C$2477)</x:f>
        <x:v>0.000060040853411146</x:v>
      </x:c>
      <x:c r="E1229" s="15" t="n">
        <x:f>SUM($D$5:D1229)</x:f>
        <x:v>0.9913138507767549</x:v>
      </x:c>
      <x:c r="F1229" s="1" t="str">
        <x:f>IF(C1229&lt;=0,"C",IF(E1229-D1229&lt;'Дашборд'!$C$49,"A",IF(E1229-D1229&lt;'Дашборд'!$C$50,"B","C")))</x:f>
        <x:v>C</x:v>
      </x:c>
      <x:c r="G1229" s="8" t="n">
        <x:f>'Данные'!F1229</x:f>
        <x:v>150</x:v>
      </x:c>
      <x:c r="H1229" s="8" t="n">
        <x:f>SUM('Данные'!H1229:I1229)</x:f>
        <x:v>761</x:v>
      </x:c>
      <x:c r="I1229" s="16" t="n">
        <x:f>IF(H1229&gt;0,G1229/H1229,"n.a.")</x:f>
        <x:v>0.19710906701708278</x:v>
      </x:c>
      <x:c r="J1229" s="10" t="n">
        <x:f>IF('Данные'!E1229&gt;0,G1229/'Данные'!E1229,"n.a.")</x:f>
        <x:v>0.007603020933650971</x:v>
      </x:c>
      <x:c r="K1229" s="1" t="str">
        <x:f>IF(G1229&gt;='Дашборд'!$C$51,"X","Z")</x:f>
        <x:v>Z</x:v>
      </x:c>
      <x:c r="L1229" s="1" t="str">
        <x:f>IF(H1229=0,IF(G1229&gt;0,"Нет остатка","Нет спроса"),IF(I1229&gt;='Дашборд'!$C$52,"Быстрый","Медленный"))</x:f>
        <x:v>Медленный</x:v>
      </x:c>
      <x:c r="M1229" s="1" t="str">
        <x:f>IF('Данные'!E1229&lt;'Дашборд'!$C$53,"Мало трафика",IF(J1229&lt;'Дашборд'!$C$9*'Дашборд'!$C$54,"Да","Нет"))</x:f>
        <x:v>Да</x:v>
      </x:c>
      <x:c r="N1229" s="1" t="str">
        <x:f>IF(AND('Данные'!D1229&gt;='Дашборд'!$C$55,D1229&lt;'Дашборд'!$C$56,'Данные'!E1229&gt;='Дашборд'!$C$53,'Данные'!L1229&lt;&gt;"Да"),"Да","Нет")</x:f>
        <x:v>Нет</x:v>
      </x:c>
      <x:c r="O1229" s="1" t="str">
        <x:f>'Данные'!L1229</x:f>
        <x:v>Нет</x:v>
      </x:c>
    </x:row>
    <x:row r="1230">
      <x:c r="A1230" s="1" t="str">
        <x:f>'Данные'!A1230</x:f>
        <x:v>245583522</x:v>
      </x:c>
      <x:c r="B1230" s="1" t="str">
        <x:f>'Данные'!B1230</x:f>
        <x:v>hudiprint/LastToast-142/белый</x:v>
      </x:c>
      <x:c r="C1230" s="8" t="n">
        <x:f>'Данные'!G1230</x:f>
        <x:v>51051</x:v>
      </x:c>
      <x:c r="D1230" s="15" t="n">
        <x:f>C1230/SUM($C$5:$C$2477)</x:f>
        <x:v>0.00005963898448277876</x:v>
      </x:c>
      <x:c r="E1230" s="15" t="n">
        <x:f>SUM($D$5:D1230)</x:f>
        <x:v>0.9913734897612377</x:v>
      </x:c>
      <x:c r="F1230" s="1" t="str">
        <x:f>IF(C1230&lt;=0,"C",IF(E1230-D1230&lt;'Дашборд'!$C$49,"A",IF(E1230-D1230&lt;'Дашборд'!$C$50,"B","C")))</x:f>
        <x:v>C</x:v>
      </x:c>
      <x:c r="G1230" s="8" t="n">
        <x:f>'Данные'!F1230</x:f>
        <x:v>59</x:v>
      </x:c>
      <x:c r="H1230" s="8" t="n">
        <x:f>SUM('Данные'!H1230:I1230)</x:f>
        <x:v>335</x:v>
      </x:c>
      <x:c r="I1230" s="16" t="n">
        <x:f>IF(H1230&gt;0,G1230/H1230,"n.a.")</x:f>
        <x:v>0.1761194029850746</x:v>
      </x:c>
      <x:c r="J1230" s="10" t="n">
        <x:f>IF('Данные'!E1230&gt;0,G1230/'Данные'!E1230,"n.a.")</x:f>
        <x:v>0.002366816431322208</x:v>
      </x:c>
      <x:c r="K1230" s="1" t="str">
        <x:f>IF(G1230&gt;='Дашборд'!$C$51,"X","Z")</x:f>
        <x:v>Z</x:v>
      </x:c>
      <x:c r="L1230" s="1" t="str">
        <x:f>IF(H1230=0,IF(G1230&gt;0,"Нет остатка","Нет спроса"),IF(I1230&gt;='Дашборд'!$C$52,"Быстрый","Медленный"))</x:f>
        <x:v>Медленный</x:v>
      </x:c>
      <x:c r="M1230" s="1" t="str">
        <x:f>IF('Данные'!E1230&lt;'Дашборд'!$C$53,"Мало трафика",IF(J1230&lt;'Дашборд'!$C$9*'Дашборд'!$C$54,"Да","Нет"))</x:f>
        <x:v>Да</x:v>
      </x:c>
      <x:c r="N1230" s="1" t="str">
        <x:f>IF(AND('Данные'!D1230&gt;='Дашборд'!$C$55,D1230&lt;'Дашборд'!$C$56,'Данные'!E1230&gt;='Дашборд'!$C$53,'Данные'!L1230&lt;&gt;"Да"),"Да","Нет")</x:f>
        <x:v>Нет</x:v>
      </x:c>
      <x:c r="O1230" s="1" t="str">
        <x:f>'Данные'!L1230</x:f>
        <x:v>Нет</x:v>
      </x:c>
    </x:row>
    <x:row r="1231">
      <x:c r="A1231" s="1" t="str">
        <x:f>'Данные'!A1231</x:f>
        <x:v>176974782</x:v>
      </x:c>
      <x:c r="B1231" s="1" t="str">
        <x:f>'Данные'!B1231</x:f>
        <x:v>hudi1size/черный</x:v>
      </x:c>
      <x:c r="C1231" s="8" t="n">
        <x:f>'Данные'!G1231</x:f>
        <x:v>50986</x:v>
      </x:c>
      <x:c r="D1231" s="15" t="n">
        <x:f>C1231/SUM($C$5:$C$2477)</x:f>
        <x:v>0.000059563049946895414</x:v>
      </x:c>
      <x:c r="E1231" s="15" t="n">
        <x:f>SUM($D$5:D1231)</x:f>
        <x:v>0.9914330528111847</x:v>
      </x:c>
      <x:c r="F1231" s="1" t="str">
        <x:f>IF(C1231&lt;=0,"C",IF(E1231-D1231&lt;'Дашборд'!$C$49,"A",IF(E1231-D1231&lt;'Дашборд'!$C$50,"B","C")))</x:f>
        <x:v>C</x:v>
      </x:c>
      <x:c r="G1231" s="8" t="n">
        <x:f>'Данные'!F1231</x:f>
        <x:v>50</x:v>
      </x:c>
      <x:c r="H1231" s="8" t="n">
        <x:f>SUM('Данные'!H1231:I1231)</x:f>
        <x:v>0</x:v>
      </x:c>
      <x:c r="I1231" s="16" t="str">
        <x:f>IF(H1231&gt;0,G1231/H1231,"n.a.")</x:f>
        <x:v>n.a.</x:v>
      </x:c>
      <x:c r="J1231" s="10" t="n">
        <x:f>IF('Данные'!E1231&gt;0,G1231/'Данные'!E1231,"n.a.")</x:f>
        <x:v>0.016672224074691565</x:v>
      </x:c>
      <x:c r="K1231" s="1" t="str">
        <x:f>IF(G1231&gt;='Дашборд'!$C$51,"X","Z")</x:f>
        <x:v>Z</x:v>
      </x:c>
      <x:c r="L1231" s="1" t="str">
        <x:f>IF(H1231=0,IF(G1231&gt;0,"Нет остатка","Нет спроса"),IF(I1231&gt;='Дашборд'!$C$52,"Быстрый","Медленный"))</x:f>
        <x:v>Нет остатка</x:v>
      </x:c>
      <x:c r="M1231" s="1" t="str">
        <x:f>IF('Данные'!E1231&lt;'Дашборд'!$C$53,"Мало трафика",IF(J1231&lt;'Дашборд'!$C$9*'Дашборд'!$C$54,"Да","Нет"))</x:f>
        <x:v>Нет</x:v>
      </x:c>
      <x:c r="N1231" s="1" t="str">
        <x:f>IF(AND('Данные'!D1231&gt;='Дашборд'!$C$55,D1231&lt;'Дашборд'!$C$56,'Данные'!E1231&gt;='Дашборд'!$C$53,'Данные'!L1231&lt;&gt;"Да"),"Да","Нет")</x:f>
        <x:v>Нет</x:v>
      </x:c>
      <x:c r="O1231" s="1" t="str">
        <x:f>'Данные'!L1231</x:f>
        <x:v>Нет</x:v>
      </x:c>
    </x:row>
    <x:row r="1232">
      <x:c r="A1232" s="1" t="str">
        <x:f>'Данные'!A1232</x:f>
        <x:v>331334280</x:v>
      </x:c>
      <x:c r="B1232" s="1" t="str">
        <x:f>'Данные'!B1232</x:f>
        <x:v>longpolo3K-90/молочный</x:v>
      </x:c>
      <x:c r="C1232" s="8" t="n">
        <x:f>'Данные'!G1232</x:f>
        <x:v>50750</x:v>
      </x:c>
      <x:c r="D1232" s="15" t="n">
        <x:f>C1232/SUM($C$5:$C$2477)</x:f>
        <x:v>0.00005928734917045743</x:v>
      </x:c>
      <x:c r="E1232" s="15" t="n">
        <x:f>SUM($D$5:D1232)</x:f>
        <x:v>0.9914923401603551</x:v>
      </x:c>
      <x:c r="F1232" s="1" t="str">
        <x:f>IF(C1232&lt;=0,"C",IF(E1232-D1232&lt;'Дашборд'!$C$49,"A",IF(E1232-D1232&lt;'Дашборд'!$C$50,"B","C")))</x:f>
        <x:v>C</x:v>
      </x:c>
      <x:c r="G1232" s="8" t="n">
        <x:f>'Данные'!F1232</x:f>
        <x:v>105</x:v>
      </x:c>
      <x:c r="H1232" s="8" t="n">
        <x:f>SUM('Данные'!H1232:I1232)</x:f>
        <x:v>217</x:v>
      </x:c>
      <x:c r="I1232" s="16" t="n">
        <x:f>IF(H1232&gt;0,G1232/H1232,"n.a.")</x:f>
        <x:v>0.4838709677419355</x:v>
      </x:c>
      <x:c r="J1232" s="10" t="n">
        <x:f>IF('Данные'!E1232&gt;0,G1232/'Данные'!E1232,"n.a.")</x:f>
        <x:v>0.00674720472946922</x:v>
      </x:c>
      <x:c r="K1232" s="1" t="str">
        <x:f>IF(G1232&gt;='Дашборд'!$C$51,"X","Z")</x:f>
        <x:v>Z</x:v>
      </x:c>
      <x:c r="L1232" s="1" t="str">
        <x:f>IF(H1232=0,IF(G1232&gt;0,"Нет остатка","Нет спроса"),IF(I1232&gt;='Дашборд'!$C$52,"Быстрый","Медленный"))</x:f>
        <x:v>Медленный</x:v>
      </x:c>
      <x:c r="M1232" s="1" t="str">
        <x:f>IF('Данные'!E1232&lt;'Дашборд'!$C$53,"Мало трафика",IF(J1232&lt;'Дашборд'!$C$9*'Дашборд'!$C$54,"Да","Нет"))</x:f>
        <x:v>Да</x:v>
      </x:c>
      <x:c r="N1232" s="1" t="str">
        <x:f>IF(AND('Данные'!D1232&gt;='Дашборд'!$C$55,D1232&lt;'Дашборд'!$C$56,'Данные'!E1232&gt;='Дашборд'!$C$53,'Данные'!L1232&lt;&gt;"Да"),"Да","Нет")</x:f>
        <x:v>Нет</x:v>
      </x:c>
      <x:c r="O1232" s="1" t="str">
        <x:f>'Данные'!L1232</x:f>
        <x:v>Нет</x:v>
      </x:c>
    </x:row>
    <x:row r="1233">
      <x:c r="A1233" s="1" t="str">
        <x:f>'Данные'!A1233</x:f>
        <x:v>150673997</x:v>
      </x:c>
      <x:c r="B1233" s="1" t="str">
        <x:f>'Данные'!B1233</x:f>
        <x:v>svitshotover/светло-зеленый</x:v>
      </x:c>
      <x:c r="C1233" s="8" t="n">
        <x:f>'Данные'!G1233</x:f>
        <x:v>50710</x:v>
      </x:c>
      <x:c r="D1233" s="15" t="n">
        <x:f>C1233/SUM($C$5:$C$2477)</x:f>
        <x:v>0.00005924062022529844</x:v>
      </x:c>
      <x:c r="E1233" s="15" t="n">
        <x:f>SUM($D$5:D1233)</x:f>
        <x:v>0.9915515807805805</x:v>
      </x:c>
      <x:c r="F1233" s="1" t="str">
        <x:f>IF(C1233&lt;=0,"C",IF(E1233-D1233&lt;'Дашборд'!$C$49,"A",IF(E1233-D1233&lt;'Дашборд'!$C$50,"B","C")))</x:f>
        <x:v>C</x:v>
      </x:c>
      <x:c r="G1233" s="8" t="n">
        <x:f>'Данные'!F1233</x:f>
        <x:v>82</x:v>
      </x:c>
      <x:c r="H1233" s="8" t="n">
        <x:f>SUM('Данные'!H1233:I1233)</x:f>
        <x:v>175</x:v>
      </x:c>
      <x:c r="I1233" s="16" t="n">
        <x:f>IF(H1233&gt;0,G1233/H1233,"n.a.")</x:f>
        <x:v>0.4685714285714286</x:v>
      </x:c>
      <x:c r="J1233" s="10" t="n">
        <x:f>IF('Данные'!E1233&gt;0,G1233/'Данные'!E1233,"n.a.")</x:f>
        <x:v>0.007818459191456904</x:v>
      </x:c>
      <x:c r="K1233" s="1" t="str">
        <x:f>IF(G1233&gt;='Дашборд'!$C$51,"X","Z")</x:f>
        <x:v>Z</x:v>
      </x:c>
      <x:c r="L1233" s="1" t="str">
        <x:f>IF(H1233=0,IF(G1233&gt;0,"Нет остатка","Нет спроса"),IF(I1233&gt;='Дашборд'!$C$52,"Быстрый","Медленный"))</x:f>
        <x:v>Медленный</x:v>
      </x:c>
      <x:c r="M1233" s="1" t="str">
        <x:f>IF('Данные'!E1233&lt;'Дашборд'!$C$53,"Мало трафика",IF(J1233&lt;'Дашборд'!$C$9*'Дашборд'!$C$54,"Да","Нет"))</x:f>
        <x:v>Да</x:v>
      </x:c>
      <x:c r="N1233" s="1" t="str">
        <x:f>IF(AND('Данные'!D1233&gt;='Дашборд'!$C$55,D1233&lt;'Дашборд'!$C$56,'Данные'!E1233&gt;='Дашборд'!$C$53,'Данные'!L1233&lt;&gt;"Да"),"Да","Нет")</x:f>
        <x:v>Да</x:v>
      </x:c>
      <x:c r="O1233" s="1" t="str">
        <x:f>'Данные'!L1233</x:f>
        <x:v>Нет</x:v>
      </x:c>
    </x:row>
    <x:row r="1234">
      <x:c r="A1234" s="1" t="str">
        <x:f>'Данные'!A1234</x:f>
        <x:v>311462400</x:v>
      </x:c>
      <x:c r="B1234" s="1" t="str">
        <x:f>'Данные'!B1234</x:f>
        <x:v>brukimanpetl/темно-синий</x:v>
      </x:c>
      <x:c r="C1234" s="8" t="n">
        <x:f>'Данные'!G1234</x:f>
        <x:v>50557</x:v>
      </x:c>
      <x:c r="D1234" s="15" t="n">
        <x:f>C1234/SUM($C$5:$C$2477)</x:f>
        <x:v>0.00005906188201006534</x:v>
      </x:c>
      <x:c r="E1234" s="15" t="n">
        <x:f>SUM($D$5:D1234)</x:f>
        <x:v>0.9916106426625906</x:v>
      </x:c>
      <x:c r="F1234" s="1" t="str">
        <x:f>IF(C1234&lt;=0,"C",IF(E1234-D1234&lt;'Дашборд'!$C$49,"A",IF(E1234-D1234&lt;'Дашборд'!$C$50,"B","C")))</x:f>
        <x:v>C</x:v>
      </x:c>
      <x:c r="G1234" s="8" t="n">
        <x:f>'Данные'!F1234</x:f>
        <x:v>76</x:v>
      </x:c>
      <x:c r="H1234" s="8" t="n">
        <x:f>SUM('Данные'!H1234:I1234)</x:f>
        <x:v>0</x:v>
      </x:c>
      <x:c r="I1234" s="16" t="str">
        <x:f>IF(H1234&gt;0,G1234/H1234,"n.a.")</x:f>
        <x:v>n.a.</x:v>
      </x:c>
      <x:c r="J1234" s="10" t="n">
        <x:f>IF('Данные'!E1234&gt;0,G1234/'Данные'!E1234,"n.a.")</x:f>
        <x:v>0.005624213720121365</x:v>
      </x:c>
      <x:c r="K1234" s="1" t="str">
        <x:f>IF(G1234&gt;='Дашборд'!$C$51,"X","Z")</x:f>
        <x:v>Z</x:v>
      </x:c>
      <x:c r="L1234" s="1" t="str">
        <x:f>IF(H1234=0,IF(G1234&gt;0,"Нет остатка","Нет спроса"),IF(I1234&gt;='Дашборд'!$C$52,"Быстрый","Медленный"))</x:f>
        <x:v>Нет остатка</x:v>
      </x:c>
      <x:c r="M1234" s="1" t="str">
        <x:f>IF('Данные'!E1234&lt;'Дашборд'!$C$53,"Мало трафика",IF(J1234&lt;'Дашборд'!$C$9*'Дашборд'!$C$54,"Да","Нет"))</x:f>
        <x:v>Да</x:v>
      </x:c>
      <x:c r="N1234" s="1" t="str">
        <x:f>IF(AND('Данные'!D1234&gt;='Дашборд'!$C$55,D1234&lt;'Дашборд'!$C$56,'Данные'!E1234&gt;='Дашборд'!$C$53,'Данные'!L1234&lt;&gt;"Да"),"Да","Нет")</x:f>
        <x:v>Нет</x:v>
      </x:c>
      <x:c r="O1234" s="1" t="str">
        <x:f>'Данные'!L1234</x:f>
        <x:v>Нет</x:v>
      </x:c>
    </x:row>
    <x:row r="1235">
      <x:c r="A1235" s="1" t="str">
        <x:f>'Данные'!A1235</x:f>
        <x:v>194931728</x:v>
      </x:c>
      <x:c r="B1235" s="1" t="str">
        <x:f>'Данные'!B1235</x:f>
        <x:v>sweater/коричневый</x:v>
      </x:c>
      <x:c r="C1235" s="8" t="n">
        <x:f>'Данные'!G1235</x:f>
        <x:v>50456</x:v>
      </x:c>
      <x:c r="D1235" s="15" t="n">
        <x:f>C1235/SUM($C$5:$C$2477)</x:f>
        <x:v>0.000058943891423538915</x:v>
      </x:c>
      <x:c r="E1235" s="15" t="n">
        <x:f>SUM($D$5:D1235)</x:f>
        <x:v>0.9916695865540142</x:v>
      </x:c>
      <x:c r="F1235" s="1" t="str">
        <x:f>IF(C1235&lt;=0,"C",IF(E1235-D1235&lt;'Дашборд'!$C$49,"A",IF(E1235-D1235&lt;'Дашборд'!$C$50,"B","C")))</x:f>
        <x:v>C</x:v>
      </x:c>
      <x:c r="G1235" s="8" t="n">
        <x:f>'Данные'!F1235</x:f>
        <x:v>59</x:v>
      </x:c>
      <x:c r="H1235" s="8" t="n">
        <x:f>SUM('Данные'!H1235:I1235)</x:f>
        <x:v>120</x:v>
      </x:c>
      <x:c r="I1235" s="16" t="n">
        <x:f>IF(H1235&gt;0,G1235/H1235,"n.a.")</x:f>
        <x:v>0.49166666666666664</x:v>
      </x:c>
      <x:c r="J1235" s="10" t="n">
        <x:f>IF('Данные'!E1235&gt;0,G1235/'Данные'!E1235,"n.a.")</x:f>
        <x:v>0.016643159379407618</x:v>
      </x:c>
      <x:c r="K1235" s="1" t="str">
        <x:f>IF(G1235&gt;='Дашборд'!$C$51,"X","Z")</x:f>
        <x:v>Z</x:v>
      </x:c>
      <x:c r="L1235" s="1" t="str">
        <x:f>IF(H1235=0,IF(G1235&gt;0,"Нет остатка","Нет спроса"),IF(I1235&gt;='Дашборд'!$C$52,"Быстрый","Медленный"))</x:f>
        <x:v>Медленный</x:v>
      </x:c>
      <x:c r="M1235" s="1" t="str">
        <x:f>IF('Данные'!E1235&lt;'Дашборд'!$C$53,"Мало трафика",IF(J1235&lt;'Дашборд'!$C$9*'Дашборд'!$C$54,"Да","Нет"))</x:f>
        <x:v>Нет</x:v>
      </x:c>
      <x:c r="N1235" s="1" t="str">
        <x:f>IF(AND('Данные'!D1235&gt;='Дашборд'!$C$55,D1235&lt;'Дашборд'!$C$56,'Данные'!E1235&gt;='Дашборд'!$C$53,'Данные'!L1235&lt;&gt;"Да"),"Да","Нет")</x:f>
        <x:v>Да</x:v>
      </x:c>
      <x:c r="O1235" s="1" t="str">
        <x:f>'Данные'!L1235</x:f>
        <x:v>Нет</x:v>
      </x:c>
    </x:row>
    <x:row r="1236">
      <x:c r="A1236" s="1" t="str">
        <x:f>'Данные'!A1236</x:f>
        <x:v>195712690</x:v>
      </x:c>
      <x:c r="B1236" s="1" t="str">
        <x:f>'Данные'!B1236</x:f>
        <x:v>sweater/мандариновый</x:v>
      </x:c>
      <x:c r="C1236" s="8" t="n">
        <x:f>'Данные'!G1236</x:f>
        <x:v>50406</x:v>
      </x:c>
      <x:c r="D1236" s="15" t="n">
        <x:f>C1236/SUM($C$5:$C$2477)</x:f>
        <x:v>0.00005888548024209019</x:v>
      </x:c>
      <x:c r="E1236" s="15" t="n">
        <x:f>SUM($D$5:D1236)</x:f>
        <x:v>0.9917284720342563</x:v>
      </x:c>
      <x:c r="F1236" s="1" t="str">
        <x:f>IF(C1236&lt;=0,"C",IF(E1236-D1236&lt;'Дашборд'!$C$49,"A",IF(E1236-D1236&lt;'Дашборд'!$C$50,"B","C")))</x:f>
        <x:v>C</x:v>
      </x:c>
      <x:c r="G1236" s="8" t="n">
        <x:f>'Данные'!F1236</x:f>
        <x:v>50</x:v>
      </x:c>
      <x:c r="H1236" s="8" t="n">
        <x:f>SUM('Данные'!H1236:I1236)</x:f>
        <x:v>82</x:v>
      </x:c>
      <x:c r="I1236" s="16" t="n">
        <x:f>IF(H1236&gt;0,G1236/H1236,"n.a.")</x:f>
        <x:v>0.6097560975609756</x:v>
      </x:c>
      <x:c r="J1236" s="10" t="n">
        <x:f>IF('Данные'!E1236&gt;0,G1236/'Данные'!E1236,"n.a.")</x:f>
        <x:v>0.017568517217146872</x:v>
      </x:c>
      <x:c r="K1236" s="1" t="str">
        <x:f>IF(G1236&gt;='Дашборд'!$C$51,"X","Z")</x:f>
        <x:v>Z</x:v>
      </x:c>
      <x:c r="L1236" s="1" t="str">
        <x:f>IF(H1236=0,IF(G1236&gt;0,"Нет остатка","Нет спроса"),IF(I1236&gt;='Дашборд'!$C$52,"Быстрый","Медленный"))</x:f>
        <x:v>Медленный</x:v>
      </x:c>
      <x:c r="M1236" s="1" t="str">
        <x:f>IF('Данные'!E1236&lt;'Дашборд'!$C$53,"Мало трафика",IF(J1236&lt;'Дашборд'!$C$9*'Дашборд'!$C$54,"Да","Нет"))</x:f>
        <x:v>Нет</x:v>
      </x:c>
      <x:c r="N1236" s="1" t="str">
        <x:f>IF(AND('Данные'!D1236&gt;='Дашборд'!$C$55,D1236&lt;'Дашборд'!$C$56,'Данные'!E1236&gt;='Дашборд'!$C$53,'Данные'!L1236&lt;&gt;"Да"),"Да","Нет")</x:f>
        <x:v>Да</x:v>
      </x:c>
      <x:c r="O1236" s="1" t="str">
        <x:f>'Данные'!L1236</x:f>
        <x:v>Нет</x:v>
      </x:c>
    </x:row>
    <x:row r="1237">
      <x:c r="A1237" s="1" t="str">
        <x:f>'Данные'!A1237</x:f>
        <x:v>204476257</x:v>
      </x:c>
      <x:c r="B1237" s="1" t="str">
        <x:f>'Данные'!B1237</x:f>
        <x:v>hudimanprint/PLAY-68/молочный</x:v>
      </x:c>
      <x:c r="C1237" s="8" t="n">
        <x:f>'Данные'!G1237</x:f>
        <x:v>50167</x:v>
      </x:c>
      <x:c r="D1237" s="15" t="n">
        <x:f>C1237/SUM($C$5:$C$2477)</x:f>
        <x:v>0.00005860627479476528</x:v>
      </x:c>
      <x:c r="E1237" s="15" t="n">
        <x:f>SUM($D$5:D1237)</x:f>
        <x:v>0.9917870783090511</x:v>
      </x:c>
      <x:c r="F1237" s="1" t="str">
        <x:f>IF(C1237&lt;=0,"C",IF(E1237-D1237&lt;'Дашборд'!$C$49,"A",IF(E1237-D1237&lt;'Дашборд'!$C$50,"B","C")))</x:f>
        <x:v>C</x:v>
      </x:c>
      <x:c r="G1237" s="8" t="n">
        <x:f>'Данные'!F1237</x:f>
        <x:v>44</x:v>
      </x:c>
      <x:c r="H1237" s="8" t="n">
        <x:f>SUM('Данные'!H1237:I1237)</x:f>
        <x:v>2</x:v>
      </x:c>
      <x:c r="I1237" s="16" t="n">
        <x:f>IF(H1237&gt;0,G1237/H1237,"n.a.")</x:f>
        <x:v>22</x:v>
      </x:c>
      <x:c r="J1237" s="10" t="n">
        <x:f>IF('Данные'!E1237&gt;0,G1237/'Данные'!E1237,"n.a.")</x:f>
        <x:v>0.009472551130247578</x:v>
      </x:c>
      <x:c r="K1237" s="1" t="str">
        <x:f>IF(G1237&gt;='Дашборд'!$C$51,"X","Z")</x:f>
        <x:v>Z</x:v>
      </x:c>
      <x:c r="L1237" s="1" t="str">
        <x:f>IF(H1237=0,IF(G1237&gt;0,"Нет остатка","Нет спроса"),IF(I1237&gt;='Дашборд'!$C$52,"Быстрый","Медленный"))</x:f>
        <x:v>Быстрый</x:v>
      </x:c>
      <x:c r="M1237" s="1" t="str">
        <x:f>IF('Данные'!E1237&lt;'Дашборд'!$C$53,"Мало трафика",IF(J1237&lt;'Дашборд'!$C$9*'Дашборд'!$C$54,"Да","Нет"))</x:f>
        <x:v>Да</x:v>
      </x:c>
      <x:c r="N1237" s="1" t="str">
        <x:f>IF(AND('Данные'!D1237&gt;='Дашборд'!$C$55,D1237&lt;'Дашборд'!$C$56,'Данные'!E1237&gt;='Дашборд'!$C$53,'Данные'!L1237&lt;&gt;"Да"),"Да","Нет")</x:f>
        <x:v>Нет</x:v>
      </x:c>
      <x:c r="O1237" s="1" t="str">
        <x:f>'Данные'!L1237</x:f>
        <x:v>Нет</x:v>
      </x:c>
    </x:row>
    <x:row r="1238">
      <x:c r="A1238" s="1" t="str">
        <x:f>'Данные'!A1238</x:f>
        <x:v>23961830</x:v>
      </x:c>
      <x:c r="B1238" s="1" t="str">
        <x:f>'Данные'!B1238</x:f>
        <x:v>futbolka/черный</x:v>
      </x:c>
      <x:c r="C1238" s="8" t="n">
        <x:f>'Данные'!G1238</x:f>
        <x:v>49990</x:v>
      </x:c>
      <x:c r="D1238" s="15" t="n">
        <x:f>C1238/SUM($C$5:$C$2477)</x:f>
        <x:v>0.000058399499212436784</x:v>
      </x:c>
      <x:c r="E1238" s="15" t="n">
        <x:f>SUM($D$5:D1238)</x:f>
        <x:v>0.9918454778082636</x:v>
      </x:c>
      <x:c r="F1238" s="1" t="str">
        <x:f>IF(C1238&lt;=0,"C",IF(E1238-D1238&lt;'Дашборд'!$C$49,"A",IF(E1238-D1238&lt;'Дашборд'!$C$50,"B","C")))</x:f>
        <x:v>C</x:v>
      </x:c>
      <x:c r="G1238" s="8" t="n">
        <x:f>'Данные'!F1238</x:f>
        <x:v>129</x:v>
      </x:c>
      <x:c r="H1238" s="8" t="n">
        <x:f>SUM('Данные'!H1238:I1238)</x:f>
        <x:v>0</x:v>
      </x:c>
      <x:c r="I1238" s="16" t="str">
        <x:f>IF(H1238&gt;0,G1238/H1238,"n.a.")</x:f>
        <x:v>n.a.</x:v>
      </x:c>
      <x:c r="J1238" s="10" t="n">
        <x:f>IF('Данные'!E1238&gt;0,G1238/'Данные'!E1238,"n.a.")</x:f>
        <x:v>0.023717595146166576</x:v>
      </x:c>
      <x:c r="K1238" s="1" t="str">
        <x:f>IF(G1238&gt;='Дашборд'!$C$51,"X","Z")</x:f>
        <x:v>Z</x:v>
      </x:c>
      <x:c r="L1238" s="1" t="str">
        <x:f>IF(H1238=0,IF(G1238&gt;0,"Нет остатка","Нет спроса"),IF(I1238&gt;='Дашборд'!$C$52,"Быстрый","Медленный"))</x:f>
        <x:v>Нет остатка</x:v>
      </x:c>
      <x:c r="M1238" s="1" t="str">
        <x:f>IF('Данные'!E1238&lt;'Дашборд'!$C$53,"Мало трафика",IF(J1238&lt;'Дашборд'!$C$9*'Дашборд'!$C$54,"Да","Нет"))</x:f>
        <x:v>Нет</x:v>
      </x:c>
      <x:c r="N1238" s="1" t="str">
        <x:f>IF(AND('Данные'!D1238&gt;='Дашборд'!$C$55,D1238&lt;'Дашборд'!$C$56,'Данные'!E1238&gt;='Дашборд'!$C$53,'Данные'!L1238&lt;&gt;"Да"),"Да","Нет")</x:f>
        <x:v>Нет</x:v>
      </x:c>
      <x:c r="O1238" s="1" t="str">
        <x:f>'Данные'!L1238</x:f>
        <x:v>Нет</x:v>
      </x:c>
    </x:row>
    <x:row r="1239">
      <x:c r="A1239" s="1" t="str">
        <x:f>'Данные'!A1239</x:f>
        <x:v>216783595</x:v>
      </x:c>
      <x:c r="B1239" s="1" t="str">
        <x:f>'Данные'!B1239</x:f>
        <x:v>hudiprint/BelMoreSelf-114/серыймеланж2</x:v>
      </x:c>
      <x:c r="C1239" s="8" t="n">
        <x:f>'Данные'!G1239</x:f>
        <x:v>49650</x:v>
      </x:c>
      <x:c r="D1239" s="15" t="n">
        <x:f>C1239/SUM($C$5:$C$2477)</x:f>
        <x:v>0.000058002303178585445</x:v>
      </x:c>
      <x:c r="E1239" s="15" t="n">
        <x:f>SUM($D$5:D1239)</x:f>
        <x:v>0.9919034801114421</x:v>
      </x:c>
      <x:c r="F1239" s="1" t="str">
        <x:f>IF(C1239&lt;=0,"C",IF(E1239-D1239&lt;'Дашборд'!$C$49,"A",IF(E1239-D1239&lt;'Дашборд'!$C$50,"B","C")))</x:f>
        <x:v>C</x:v>
      </x:c>
      <x:c r="G1239" s="8" t="n">
        <x:f>'Данные'!F1239</x:f>
        <x:v>54</x:v>
      </x:c>
      <x:c r="H1239" s="8" t="n">
        <x:f>SUM('Данные'!H1239:I1239)</x:f>
        <x:v>2</x:v>
      </x:c>
      <x:c r="I1239" s="16" t="n">
        <x:f>IF(H1239&gt;0,G1239/H1239,"n.a.")</x:f>
        <x:v>27</x:v>
      </x:c>
      <x:c r="J1239" s="10" t="n">
        <x:f>IF('Данные'!E1239&gt;0,G1239/'Данные'!E1239,"n.a.")</x:f>
        <x:v>0.00782041998551774</x:v>
      </x:c>
      <x:c r="K1239" s="1" t="str">
        <x:f>IF(G1239&gt;='Дашборд'!$C$51,"X","Z")</x:f>
        <x:v>Z</x:v>
      </x:c>
      <x:c r="L1239" s="1" t="str">
        <x:f>IF(H1239=0,IF(G1239&gt;0,"Нет остатка","Нет спроса"),IF(I1239&gt;='Дашборд'!$C$52,"Быстрый","Медленный"))</x:f>
        <x:v>Быстрый</x:v>
      </x:c>
      <x:c r="M1239" s="1" t="str">
        <x:f>IF('Данные'!E1239&lt;'Дашборд'!$C$53,"Мало трафика",IF(J1239&lt;'Дашборд'!$C$9*'Дашборд'!$C$54,"Да","Нет"))</x:f>
        <x:v>Да</x:v>
      </x:c>
      <x:c r="N1239" s="1" t="str">
        <x:f>IF(AND('Данные'!D1239&gt;='Дашборд'!$C$55,D1239&lt;'Дашборд'!$C$56,'Данные'!E1239&gt;='Дашборд'!$C$53,'Данные'!L1239&lt;&gt;"Да"),"Да","Нет")</x:f>
        <x:v>Нет</x:v>
      </x:c>
      <x:c r="O1239" s="1" t="str">
        <x:f>'Данные'!L1239</x:f>
        <x:v>Нет</x:v>
      </x:c>
    </x:row>
    <x:row r="1240">
      <x:c r="A1240" s="1" t="str">
        <x:f>'Данные'!A1240</x:f>
        <x:v>245558081</x:v>
      </x:c>
      <x:c r="B1240" s="1" t="str">
        <x:f>'Данные'!B1240</x:f>
        <x:v>hudimanprint/TakeCare-134/молочный</x:v>
      </x:c>
      <x:c r="C1240" s="8" t="n">
        <x:f>'Данные'!G1240</x:f>
        <x:v>49584</x:v>
      </x:c>
      <x:c r="D1240" s="15" t="n">
        <x:f>C1240/SUM($C$5:$C$2477)</x:f>
        <x:v>0.00005792520041907313</x:v>
      </x:c>
      <x:c r="E1240" s="15" t="n">
        <x:f>SUM($D$5:D1240)</x:f>
        <x:v>0.9919614053118612</x:v>
      </x:c>
      <x:c r="F1240" s="1" t="str">
        <x:f>IF(C1240&lt;=0,"C",IF(E1240-D1240&lt;'Дашборд'!$C$49,"A",IF(E1240-D1240&lt;'Дашборд'!$C$50,"B","C")))</x:f>
        <x:v>C</x:v>
      </x:c>
      <x:c r="G1240" s="8" t="n">
        <x:f>'Данные'!F1240</x:f>
        <x:v>64</x:v>
      </x:c>
      <x:c r="H1240" s="8" t="n">
        <x:f>SUM('Данные'!H1240:I1240)</x:f>
        <x:v>181</x:v>
      </x:c>
      <x:c r="I1240" s="16" t="n">
        <x:f>IF(H1240&gt;0,G1240/H1240,"n.a.")</x:f>
        <x:v>0.35359116022099446</x:v>
      </x:c>
      <x:c r="J1240" s="10" t="n">
        <x:f>IF('Данные'!E1240&gt;0,G1240/'Данные'!E1240,"n.a.")</x:f>
        <x:v>0.008096141682479444</x:v>
      </x:c>
      <x:c r="K1240" s="1" t="str">
        <x:f>IF(G1240&gt;='Дашборд'!$C$51,"X","Z")</x:f>
        <x:v>Z</x:v>
      </x:c>
      <x:c r="L1240" s="1" t="str">
        <x:f>IF(H1240=0,IF(G1240&gt;0,"Нет остатка","Нет спроса"),IF(I1240&gt;='Дашборд'!$C$52,"Быстрый","Медленный"))</x:f>
        <x:v>Медленный</x:v>
      </x:c>
      <x:c r="M1240" s="1" t="str">
        <x:f>IF('Данные'!E1240&lt;'Дашборд'!$C$53,"Мало трафика",IF(J1240&lt;'Дашборд'!$C$9*'Дашборд'!$C$54,"Да","Нет"))</x:f>
        <x:v>Да</x:v>
      </x:c>
      <x:c r="N1240" s="1" t="str">
        <x:f>IF(AND('Данные'!D1240&gt;='Дашборд'!$C$55,D1240&lt;'Дашборд'!$C$56,'Данные'!E1240&gt;='Дашборд'!$C$53,'Данные'!L1240&lt;&gt;"Да"),"Да","Нет")</x:f>
        <x:v>Да</x:v>
      </x:c>
      <x:c r="O1240" s="1" t="str">
        <x:f>'Данные'!L1240</x:f>
        <x:v>Нет</x:v>
      </x:c>
    </x:row>
    <x:row r="1241">
      <x:c r="A1241" s="1" t="str">
        <x:f>'Данные'!A1241</x:f>
        <x:v>331644636</x:v>
      </x:c>
      <x:c r="B1241" s="1" t="str">
        <x:f>'Данные'!B1241</x:f>
        <x:v>longslim3К-81/молочный</x:v>
      </x:c>
      <x:c r="C1241" s="8" t="n">
        <x:f>'Данные'!G1241</x:f>
        <x:v>49500</x:v>
      </x:c>
      <x:c r="D1241" s="15" t="n">
        <x:f>C1241/SUM($C$5:$C$2477)</x:f>
        <x:v>0.000057827069634239266</x:v>
      </x:c>
      <x:c r="E1241" s="15" t="n">
        <x:f>SUM($D$5:D1241)</x:f>
        <x:v>0.9920192323814954</x:v>
      </x:c>
      <x:c r="F1241" s="1" t="str">
        <x:f>IF(C1241&lt;=0,"C",IF(E1241-D1241&lt;'Дашборд'!$C$49,"A",IF(E1241-D1241&lt;'Дашборд'!$C$50,"B","C")))</x:f>
        <x:v>C</x:v>
      </x:c>
      <x:c r="G1241" s="8" t="n">
        <x:f>'Данные'!F1241</x:f>
        <x:v>171</x:v>
      </x:c>
      <x:c r="H1241" s="8" t="n">
        <x:f>SUM('Данные'!H1241:I1241)</x:f>
        <x:v>836</x:v>
      </x:c>
      <x:c r="I1241" s="16" t="n">
        <x:f>IF(H1241&gt;0,G1241/H1241,"n.a.")</x:f>
        <x:v>0.20454545454545456</x:v>
      </x:c>
      <x:c r="J1241" s="10" t="n">
        <x:f>IF('Данные'!E1241&gt;0,G1241/'Данные'!E1241,"n.a.")</x:f>
        <x:v>0.013945522753221334</x:v>
      </x:c>
      <x:c r="K1241" s="1" t="str">
        <x:f>IF(G1241&gt;='Дашборд'!$C$51,"X","Z")</x:f>
        <x:v>Z</x:v>
      </x:c>
      <x:c r="L1241" s="1" t="str">
        <x:f>IF(H1241=0,IF(G1241&gt;0,"Нет остатка","Нет спроса"),IF(I1241&gt;='Дашборд'!$C$52,"Быстрый","Медленный"))</x:f>
        <x:v>Медленный</x:v>
      </x:c>
      <x:c r="M1241" s="1" t="str">
        <x:f>IF('Данные'!E1241&lt;'Дашборд'!$C$53,"Мало трафика",IF(J1241&lt;'Дашборд'!$C$9*'Дашборд'!$C$54,"Да","Нет"))</x:f>
        <x:v>Нет</x:v>
      </x:c>
      <x:c r="N1241" s="1" t="str">
        <x:f>IF(AND('Данные'!D1241&gt;='Дашборд'!$C$55,D1241&lt;'Дашборд'!$C$56,'Данные'!E1241&gt;='Дашборд'!$C$53,'Данные'!L1241&lt;&gt;"Да"),"Да","Нет")</x:f>
        <x:v>Нет</x:v>
      </x:c>
      <x:c r="O1241" s="1" t="str">
        <x:f>'Данные'!L1241</x:f>
        <x:v>Нет</x:v>
      </x:c>
    </x:row>
    <x:row r="1242">
      <x:c r="A1242" s="1" t="str">
        <x:f>'Данные'!A1242</x:f>
        <x:v>237301021</x:v>
      </x:c>
      <x:c r="B1242" s="1" t="str">
        <x:f>'Данные'!B1242</x:f>
        <x:v>longoverprint/BelMoreSelf-114/красный</x:v>
      </x:c>
      <x:c r="C1242" s="8" t="n">
        <x:f>'Данные'!G1242</x:f>
        <x:v>49317</x:v>
      </x:c>
      <x:c r="D1242" s="15" t="n">
        <x:f>C1242/SUM($C$5:$C$2477)</x:f>
        <x:v>0.00005761328471013692</x:v>
      </x:c>
      <x:c r="E1242" s="15" t="n">
        <x:f>SUM($D$5:D1242)</x:f>
        <x:v>0.9920768456662055</x:v>
      </x:c>
      <x:c r="F1242" s="1" t="str">
        <x:f>IF(C1242&lt;=0,"C",IF(E1242-D1242&lt;'Дашборд'!$C$49,"A",IF(E1242-D1242&lt;'Дашборд'!$C$50,"B","C")))</x:f>
        <x:v>C</x:v>
      </x:c>
      <x:c r="G1242" s="8" t="n">
        <x:f>'Данные'!F1242</x:f>
        <x:v>88</x:v>
      </x:c>
      <x:c r="H1242" s="8" t="n">
        <x:f>SUM('Данные'!H1242:I1242)</x:f>
        <x:v>0</x:v>
      </x:c>
      <x:c r="I1242" s="16" t="str">
        <x:f>IF(H1242&gt;0,G1242/H1242,"n.a.")</x:f>
        <x:v>n.a.</x:v>
      </x:c>
      <x:c r="J1242" s="10" t="n">
        <x:f>IF('Данные'!E1242&gt;0,G1242/'Данные'!E1242,"n.a.")</x:f>
        <x:v>0.01782458983188171</x:v>
      </x:c>
      <x:c r="K1242" s="1" t="str">
        <x:f>IF(G1242&gt;='Дашборд'!$C$51,"X","Z")</x:f>
        <x:v>Z</x:v>
      </x:c>
      <x:c r="L1242" s="1" t="str">
        <x:f>IF(H1242=0,IF(G1242&gt;0,"Нет остатка","Нет спроса"),IF(I1242&gt;='Дашборд'!$C$52,"Быстрый","Медленный"))</x:f>
        <x:v>Нет остатка</x:v>
      </x:c>
      <x:c r="M1242" s="1" t="str">
        <x:f>IF('Данные'!E1242&lt;'Дашборд'!$C$53,"Мало трафика",IF(J1242&lt;'Дашборд'!$C$9*'Дашборд'!$C$54,"Да","Нет"))</x:f>
        <x:v>Нет</x:v>
      </x:c>
      <x:c r="N1242" s="1" t="str">
        <x:f>IF(AND('Данные'!D1242&gt;='Дашборд'!$C$55,D1242&lt;'Дашборд'!$C$56,'Данные'!E1242&gt;='Дашборд'!$C$53,'Данные'!L1242&lt;&gt;"Да"),"Да","Нет")</x:f>
        <x:v>Нет</x:v>
      </x:c>
      <x:c r="O1242" s="1" t="str">
        <x:f>'Данные'!L1242</x:f>
        <x:v>Нет</x:v>
      </x:c>
    </x:row>
    <x:row r="1243">
      <x:c r="A1243" s="1" t="str">
        <x:f>'Данные'!A1243</x:f>
        <x:v>344437034</x:v>
      </x:c>
      <x:c r="B1243" s="1" t="str">
        <x:f>'Данные'!B1243</x:f>
        <x:v>maykaman/графит</x:v>
      </x:c>
      <x:c r="C1243" s="8" t="n">
        <x:f>'Данные'!G1243</x:f>
        <x:v>48963</x:v>
      </x:c>
      <x:c r="D1243" s="15" t="n">
        <x:f>C1243/SUM($C$5:$C$2477)</x:f>
        <x:v>0.00005719973354547994</x:v>
      </x:c>
      <x:c r="E1243" s="15" t="n">
        <x:f>SUM($D$5:D1243)</x:f>
        <x:v>0.9921340453997509</x:v>
      </x:c>
      <x:c r="F1243" s="1" t="str">
        <x:f>IF(C1243&lt;=0,"C",IF(E1243-D1243&lt;'Дашборд'!$C$49,"A",IF(E1243-D1243&lt;'Дашборд'!$C$50,"B","C")))</x:f>
        <x:v>C</x:v>
      </x:c>
      <x:c r="G1243" s="8" t="n">
        <x:f>'Данные'!F1243</x:f>
        <x:v>96</x:v>
      </x:c>
      <x:c r="H1243" s="8" t="n">
        <x:f>SUM('Данные'!H1243:I1243)</x:f>
        <x:v>533</x:v>
      </x:c>
      <x:c r="I1243" s="16" t="n">
        <x:f>IF(H1243&gt;0,G1243/H1243,"n.a.")</x:f>
        <x:v>0.1801125703564728</x:v>
      </x:c>
      <x:c r="J1243" s="10" t="n">
        <x:f>IF('Данные'!E1243&gt;0,G1243/'Данные'!E1243,"n.a.")</x:f>
        <x:v>0.013939305938725135</x:v>
      </x:c>
      <x:c r="K1243" s="1" t="str">
        <x:f>IF(G1243&gt;='Дашборд'!$C$51,"X","Z")</x:f>
        <x:v>Z</x:v>
      </x:c>
      <x:c r="L1243" s="1" t="str">
        <x:f>IF(H1243=0,IF(G1243&gt;0,"Нет остатка","Нет спроса"),IF(I1243&gt;='Дашборд'!$C$52,"Быстрый","Медленный"))</x:f>
        <x:v>Медленный</x:v>
      </x:c>
      <x:c r="M1243" s="1" t="str">
        <x:f>IF('Данные'!E1243&lt;'Дашборд'!$C$53,"Мало трафика",IF(J1243&lt;'Дашборд'!$C$9*'Дашборд'!$C$54,"Да","Нет"))</x:f>
        <x:v>Нет</x:v>
      </x:c>
      <x:c r="N1243" s="1" t="str">
        <x:f>IF(AND('Данные'!D1243&gt;='Дашборд'!$C$55,D1243&lt;'Дашборд'!$C$56,'Данные'!E1243&gt;='Дашборд'!$C$53,'Данные'!L1243&lt;&gt;"Да"),"Да","Нет")</x:f>
        <x:v>Да</x:v>
      </x:c>
      <x:c r="O1243" s="1" t="str">
        <x:f>'Данные'!L1243</x:f>
        <x:v>Нет</x:v>
      </x:c>
    </x:row>
    <x:row r="1244">
      <x:c r="A1244" s="1" t="str">
        <x:f>'Данные'!A1244</x:f>
        <x:v>204476256</x:v>
      </x:c>
      <x:c r="B1244" s="1" t="str">
        <x:f>'Данные'!B1244</x:f>
        <x:v>hudimanprint/TeloX6-69/молочный</x:v>
      </x:c>
      <x:c r="C1244" s="8" t="n">
        <x:f>'Данные'!G1244</x:f>
        <x:v>48926</x:v>
      </x:c>
      <x:c r="D1244" s="15" t="n">
        <x:f>C1244/SUM($C$5:$C$2477)</x:f>
        <x:v>0.00005715650927120788</x:v>
      </x:c>
      <x:c r="E1244" s="15" t="n">
        <x:f>SUM($D$5:D1244)</x:f>
        <x:v>0.9921912019090221</x:v>
      </x:c>
      <x:c r="F1244" s="1" t="str">
        <x:f>IF(C1244&lt;=0,"C",IF(E1244-D1244&lt;'Дашборд'!$C$49,"A",IF(E1244-D1244&lt;'Дашборд'!$C$50,"B","C")))</x:f>
        <x:v>C</x:v>
      </x:c>
      <x:c r="G1244" s="8" t="n">
        <x:f>'Данные'!F1244</x:f>
        <x:v>36</x:v>
      </x:c>
      <x:c r="H1244" s="8" t="n">
        <x:f>SUM('Данные'!H1244:I1244)</x:f>
        <x:v>90</x:v>
      </x:c>
      <x:c r="I1244" s="16" t="n">
        <x:f>IF(H1244&gt;0,G1244/H1244,"n.a.")</x:f>
        <x:v>0.4</x:v>
      </x:c>
      <x:c r="J1244" s="10" t="n">
        <x:f>IF('Данные'!E1244&gt;0,G1244/'Данные'!E1244,"n.a.")</x:f>
        <x:v>0.0032200357781753132</x:v>
      </x:c>
      <x:c r="K1244" s="1" t="str">
        <x:f>IF(G1244&gt;='Дашборд'!$C$51,"X","Z")</x:f>
        <x:v>Z</x:v>
      </x:c>
      <x:c r="L1244" s="1" t="str">
        <x:f>IF(H1244=0,IF(G1244&gt;0,"Нет остатка","Нет спроса"),IF(I1244&gt;='Дашборд'!$C$52,"Быстрый","Медленный"))</x:f>
        <x:v>Медленный</x:v>
      </x:c>
      <x:c r="M1244" s="1" t="str">
        <x:f>IF('Данные'!E1244&lt;'Дашборд'!$C$53,"Мало трафика",IF(J1244&lt;'Дашборд'!$C$9*'Дашборд'!$C$54,"Да","Нет"))</x:f>
        <x:v>Да</x:v>
      </x:c>
      <x:c r="N1244" s="1" t="str">
        <x:f>IF(AND('Данные'!D1244&gt;='Дашборд'!$C$55,D1244&lt;'Дашборд'!$C$56,'Данные'!E1244&gt;='Дашборд'!$C$53,'Данные'!L1244&lt;&gt;"Да"),"Да","Нет")</x:f>
        <x:v>Да</x:v>
      </x:c>
      <x:c r="O1244" s="1" t="str">
        <x:f>'Данные'!L1244</x:f>
        <x:v>Нет</x:v>
      </x:c>
    </x:row>
    <x:row r="1245">
      <x:c r="A1245" s="1" t="str">
        <x:f>'Данные'!A1245</x:f>
        <x:v>240435395</x:v>
      </x:c>
      <x:c r="B1245" s="1" t="str">
        <x:f>'Данные'!B1245</x:f>
        <x:v>hudivish/Luck-17в/голубой</x:v>
      </x:c>
      <x:c r="C1245" s="8" t="n">
        <x:f>'Данные'!G1245</x:f>
        <x:v>48815</x:v>
      </x:c>
      <x:c r="D1245" s="15" t="n">
        <x:f>C1245/SUM($C$5:$C$2477)</x:f>
        <x:v>0.00005702683644839171</x:v>
      </x:c>
      <x:c r="E1245" s="15" t="n">
        <x:f>SUM($D$5:D1245)</x:f>
        <x:v>0.9922482287454705</x:v>
      </x:c>
      <x:c r="F1245" s="1" t="str">
        <x:f>IF(C1245&lt;=0,"C",IF(E1245-D1245&lt;'Дашборд'!$C$49,"A",IF(E1245-D1245&lt;'Дашборд'!$C$50,"B","C")))</x:f>
        <x:v>C</x:v>
      </x:c>
      <x:c r="G1245" s="8" t="n">
        <x:f>'Данные'!F1245</x:f>
        <x:v>34</x:v>
      </x:c>
      <x:c r="H1245" s="8" t="n">
        <x:f>SUM('Данные'!H1245:I1245)</x:f>
        <x:v>0</x:v>
      </x:c>
      <x:c r="I1245" s="16" t="str">
        <x:f>IF(H1245&gt;0,G1245/H1245,"n.a.")</x:f>
        <x:v>n.a.</x:v>
      </x:c>
      <x:c r="J1245" s="10" t="n">
        <x:f>IF('Данные'!E1245&gt;0,G1245/'Данные'!E1245,"n.a.")</x:f>
        <x:v>0.006481128478841022</x:v>
      </x:c>
      <x:c r="K1245" s="1" t="str">
        <x:f>IF(G1245&gt;='Дашборд'!$C$51,"X","Z")</x:f>
        <x:v>Z</x:v>
      </x:c>
      <x:c r="L1245" s="1" t="str">
        <x:f>IF(H1245=0,IF(G1245&gt;0,"Нет остатка","Нет спроса"),IF(I1245&gt;='Дашборд'!$C$52,"Быстрый","Медленный"))</x:f>
        <x:v>Нет остатка</x:v>
      </x:c>
      <x:c r="M1245" s="1" t="str">
        <x:f>IF('Данные'!E1245&lt;'Дашборд'!$C$53,"Мало трафика",IF(J1245&lt;'Дашборд'!$C$9*'Дашборд'!$C$54,"Да","Нет"))</x:f>
        <x:v>Да</x:v>
      </x:c>
      <x:c r="N1245" s="1" t="str">
        <x:f>IF(AND('Данные'!D1245&gt;='Дашборд'!$C$55,D1245&lt;'Дашборд'!$C$56,'Данные'!E1245&gt;='Дашборд'!$C$53,'Данные'!L1245&lt;&gt;"Да"),"Да","Нет")</x:f>
        <x:v>Да</x:v>
      </x:c>
      <x:c r="O1245" s="1" t="str">
        <x:f>'Данные'!L1245</x:f>
        <x:v>Нет</x:v>
      </x:c>
    </x:row>
    <x:row r="1246">
      <x:c r="A1246" s="1" t="str">
        <x:f>'Данные'!A1246</x:f>
        <x:v>253281929</x:v>
      </x:c>
      <x:c r="B1246" s="1" t="str">
        <x:f>'Данные'!B1246</x:f>
        <x:v>hudiprint/Lovers-196/черный</x:v>
      </x:c>
      <x:c r="C1246" s="8" t="n">
        <x:f>'Данные'!G1246</x:f>
        <x:v>48768</x:v>
      </x:c>
      <x:c r="D1246" s="15" t="n">
        <x:f>C1246/SUM($C$5:$C$2477)</x:f>
        <x:v>0.00005697192993782991</x:v>
      </x:c>
      <x:c r="E1246" s="15" t="n">
        <x:f>SUM($D$5:D1246)</x:f>
        <x:v>0.9923052006754083</x:v>
      </x:c>
      <x:c r="F1246" s="1" t="str">
        <x:f>IF(C1246&lt;=0,"C",IF(E1246-D1246&lt;'Дашборд'!$C$49,"A",IF(E1246-D1246&lt;'Дашборд'!$C$50,"B","C")))</x:f>
        <x:v>C</x:v>
      </x:c>
      <x:c r="G1246" s="8" t="n">
        <x:f>'Данные'!F1246</x:f>
        <x:v>45</x:v>
      </x:c>
      <x:c r="H1246" s="8" t="n">
        <x:f>SUM('Данные'!H1246:I1246)</x:f>
        <x:v>543</x:v>
      </x:c>
      <x:c r="I1246" s="16" t="n">
        <x:f>IF(H1246&gt;0,G1246/H1246,"n.a.")</x:f>
        <x:v>0.08287292817679558</x:v>
      </x:c>
      <x:c r="J1246" s="10" t="n">
        <x:f>IF('Данные'!E1246&gt;0,G1246/'Данные'!E1246,"n.a.")</x:f>
        <x:v>0.0022030745128757464</x:v>
      </x:c>
      <x:c r="K1246" s="1" t="str">
        <x:f>IF(G1246&gt;='Дашборд'!$C$51,"X","Z")</x:f>
        <x:v>Z</x:v>
      </x:c>
      <x:c r="L1246" s="1" t="str">
        <x:f>IF(H1246=0,IF(G1246&gt;0,"Нет остатка","Нет спроса"),IF(I1246&gt;='Дашборд'!$C$52,"Быстрый","Медленный"))</x:f>
        <x:v>Медленный</x:v>
      </x:c>
      <x:c r="M1246" s="1" t="str">
        <x:f>IF('Данные'!E1246&lt;'Дашборд'!$C$53,"Мало трафика",IF(J1246&lt;'Дашборд'!$C$9*'Дашборд'!$C$54,"Да","Нет"))</x:f>
        <x:v>Да</x:v>
      </x:c>
      <x:c r="N1246" s="1" t="str">
        <x:f>IF(AND('Данные'!D1246&gt;='Дашборд'!$C$55,D1246&lt;'Дашборд'!$C$56,'Данные'!E1246&gt;='Дашборд'!$C$53,'Данные'!L1246&lt;&gt;"Да"),"Да","Нет")</x:f>
        <x:v>Да</x:v>
      </x:c>
      <x:c r="O1246" s="1" t="str">
        <x:f>'Данные'!L1246</x:f>
        <x:v>Нет</x:v>
      </x:c>
    </x:row>
    <x:row r="1247">
      <x:c r="A1247" s="1" t="str">
        <x:f>'Данные'!A1247</x:f>
        <x:v>209915743</x:v>
      </x:c>
      <x:c r="B1247" s="1" t="str">
        <x:f>'Данные'!B1247</x:f>
        <x:v>shorty/какао</x:v>
      </x:c>
      <x:c r="C1247" s="8" t="n">
        <x:f>'Данные'!G1247</x:f>
        <x:v>48745</x:v>
      </x:c>
      <x:c r="D1247" s="15" t="n">
        <x:f>C1247/SUM($C$5:$C$2477)</x:f>
        <x:v>0.00005694506079436349</x:v>
      </x:c>
      <x:c r="E1247" s="15" t="n">
        <x:f>SUM($D$5:D1247)</x:f>
        <x:v>0.9923621457362026</x:v>
      </x:c>
      <x:c r="F1247" s="1" t="str">
        <x:f>IF(C1247&lt;=0,"C",IF(E1247-D1247&lt;'Дашборд'!$C$49,"A",IF(E1247-D1247&lt;'Дашборд'!$C$50,"B","C")))</x:f>
        <x:v>C</x:v>
      </x:c>
      <x:c r="G1247" s="8" t="n">
        <x:f>'Данные'!F1247</x:f>
        <x:v>100</x:v>
      </x:c>
      <x:c r="H1247" s="8" t="n">
        <x:f>SUM('Данные'!H1247:I1247)</x:f>
        <x:v>292</x:v>
      </x:c>
      <x:c r="I1247" s="16" t="n">
        <x:f>IF(H1247&gt;0,G1247/H1247,"n.a.")</x:f>
        <x:v>0.3424657534246575</x:v>
      </x:c>
      <x:c r="J1247" s="10" t="n">
        <x:f>IF('Данные'!E1247&gt;0,G1247/'Данные'!E1247,"n.a.")</x:f>
        <x:v>0.014912019087384432</x:v>
      </x:c>
      <x:c r="K1247" s="1" t="str">
        <x:f>IF(G1247&gt;='Дашборд'!$C$51,"X","Z")</x:f>
        <x:v>Z</x:v>
      </x:c>
      <x:c r="L1247" s="1" t="str">
        <x:f>IF(H1247=0,IF(G1247&gt;0,"Нет остатка","Нет спроса"),IF(I1247&gt;='Дашборд'!$C$52,"Быстрый","Медленный"))</x:f>
        <x:v>Медленный</x:v>
      </x:c>
      <x:c r="M1247" s="1" t="str">
        <x:f>IF('Данные'!E1247&lt;'Дашборд'!$C$53,"Мало трафика",IF(J1247&lt;'Дашборд'!$C$9*'Дашборд'!$C$54,"Да","Нет"))</x:f>
        <x:v>Нет</x:v>
      </x:c>
      <x:c r="N1247" s="1" t="str">
        <x:f>IF(AND('Данные'!D1247&gt;='Дашборд'!$C$55,D1247&lt;'Дашборд'!$C$56,'Данные'!E1247&gt;='Дашборд'!$C$53,'Данные'!L1247&lt;&gt;"Да"),"Да","Нет")</x:f>
        <x:v>Нет</x:v>
      </x:c>
      <x:c r="O1247" s="1" t="str">
        <x:f>'Данные'!L1247</x:f>
        <x:v>Нет</x:v>
      </x:c>
    </x:row>
    <x:row r="1248">
      <x:c r="A1248" s="1" t="str">
        <x:f>'Данные'!A1248</x:f>
        <x:v>176976178</x:v>
      </x:c>
      <x:c r="B1248" s="1" t="str">
        <x:f>'Данные'!B1248</x:f>
        <x:v>hudi1size/розовый</x:v>
      </x:c>
      <x:c r="C1248" s="8" t="n">
        <x:f>'Данные'!G1248</x:f>
        <x:v>48651</x:v>
      </x:c>
      <x:c r="D1248" s="15" t="n">
        <x:f>C1248/SUM($C$5:$C$2477)</x:f>
        <x:v>0.00005683524777323989</x:v>
      </x:c>
      <x:c r="E1248" s="15" t="n">
        <x:f>SUM($D$5:D1248)</x:f>
        <x:v>0.9924189809839759</x:v>
      </x:c>
      <x:c r="F1248" s="1" t="str">
        <x:f>IF(C1248&lt;=0,"C",IF(E1248-D1248&lt;'Дашборд'!$C$49,"A",IF(E1248-D1248&lt;'Дашборд'!$C$50,"B","C")))</x:f>
        <x:v>C</x:v>
      </x:c>
      <x:c r="G1248" s="8" t="n">
        <x:f>'Данные'!F1248</x:f>
        <x:v>44</x:v>
      </x:c>
      <x:c r="H1248" s="8" t="n">
        <x:f>SUM('Данные'!H1248:I1248)</x:f>
        <x:v>0</x:v>
      </x:c>
      <x:c r="I1248" s="16" t="str">
        <x:f>IF(H1248&gt;0,G1248/H1248,"n.a.")</x:f>
        <x:v>n.a.</x:v>
      </x:c>
      <x:c r="J1248" s="10" t="n">
        <x:f>IF('Данные'!E1248&gt;0,G1248/'Данные'!E1248,"n.a.")</x:f>
        <x:v>0.01647940074906367</x:v>
      </x:c>
      <x:c r="K1248" s="1" t="str">
        <x:f>IF(G1248&gt;='Дашборд'!$C$51,"X","Z")</x:f>
        <x:v>Z</x:v>
      </x:c>
      <x:c r="L1248" s="1" t="str">
        <x:f>IF(H1248=0,IF(G1248&gt;0,"Нет остатка","Нет спроса"),IF(I1248&gt;='Дашборд'!$C$52,"Быстрый","Медленный"))</x:f>
        <x:v>Нет остатка</x:v>
      </x:c>
      <x:c r="M1248" s="1" t="str">
        <x:f>IF('Данные'!E1248&lt;'Дашборд'!$C$53,"Мало трафика",IF(J1248&lt;'Дашборд'!$C$9*'Дашборд'!$C$54,"Да","Нет"))</x:f>
        <x:v>Нет</x:v>
      </x:c>
      <x:c r="N1248" s="1" t="str">
        <x:f>IF(AND('Данные'!D1248&gt;='Дашборд'!$C$55,D1248&lt;'Дашборд'!$C$56,'Данные'!E1248&gt;='Дашборд'!$C$53,'Данные'!L1248&lt;&gt;"Да"),"Да","Нет")</x:f>
        <x:v>Нет</x:v>
      </x:c>
      <x:c r="O1248" s="1" t="str">
        <x:f>'Данные'!L1248</x:f>
        <x:v>Нет</x:v>
      </x:c>
    </x:row>
    <x:row r="1249">
      <x:c r="A1249" s="1" t="str">
        <x:f>'Данные'!A1249</x:f>
        <x:v>333139838</x:v>
      </x:c>
      <x:c r="B1249" s="1" t="str">
        <x:f>'Данные'!B1249</x:f>
        <x:v>topfutbolka/пыльно-синий</x:v>
      </x:c>
      <x:c r="C1249" s="8" t="n">
        <x:f>'Данные'!G1249</x:f>
        <x:v>48581</x:v>
      </x:c>
      <x:c r="D1249" s="15" t="n">
        <x:f>C1249/SUM($C$5:$C$2477)</x:f>
        <x:v>0.00005675347211921167</x:v>
      </x:c>
      <x:c r="E1249" s="15" t="n">
        <x:f>SUM($D$5:D1249)</x:f>
        <x:v>0.992475734456095</x:v>
      </x:c>
      <x:c r="F1249" s="1" t="str">
        <x:f>IF(C1249&lt;=0,"C",IF(E1249-D1249&lt;'Дашборд'!$C$49,"A",IF(E1249-D1249&lt;'Дашборд'!$C$50,"B","C")))</x:f>
        <x:v>C</x:v>
      </x:c>
      <x:c r="G1249" s="8" t="n">
        <x:f>'Данные'!F1249</x:f>
        <x:v>126</x:v>
      </x:c>
      <x:c r="H1249" s="8" t="n">
        <x:f>SUM('Данные'!H1249:I1249)</x:f>
        <x:v>102</x:v>
      </x:c>
      <x:c r="I1249" s="16" t="n">
        <x:f>IF(H1249&gt;0,G1249/H1249,"n.a.")</x:f>
        <x:v>1.2352941176470589</x:v>
      </x:c>
      <x:c r="J1249" s="10" t="n">
        <x:f>IF('Данные'!E1249&gt;0,G1249/'Данные'!E1249,"n.a.")</x:f>
        <x:v>0.011028446389496717</x:v>
      </x:c>
      <x:c r="K1249" s="1" t="str">
        <x:f>IF(G1249&gt;='Дашборд'!$C$51,"X","Z")</x:f>
        <x:v>Z</x:v>
      </x:c>
      <x:c r="L1249" s="1" t="str">
        <x:f>IF(H1249=0,IF(G1249&gt;0,"Нет остатка","Нет спроса"),IF(I1249&gt;='Дашборд'!$C$52,"Быстрый","Медленный"))</x:f>
        <x:v>Быстрый</x:v>
      </x:c>
      <x:c r="M1249" s="1" t="str">
        <x:f>IF('Данные'!E1249&lt;'Дашборд'!$C$53,"Мало трафика",IF(J1249&lt;'Дашборд'!$C$9*'Дашборд'!$C$54,"Да","Нет"))</x:f>
        <x:v>Нет</x:v>
      </x:c>
      <x:c r="N1249" s="1" t="str">
        <x:f>IF(AND('Данные'!D1249&gt;='Дашборд'!$C$55,D1249&lt;'Дашборд'!$C$56,'Данные'!E1249&gt;='Дашборд'!$C$53,'Данные'!L1249&lt;&gt;"Да"),"Да","Нет")</x:f>
        <x:v>Да</x:v>
      </x:c>
      <x:c r="O1249" s="1" t="str">
        <x:f>'Данные'!L1249</x:f>
        <x:v>Нет</x:v>
      </x:c>
    </x:row>
    <x:row r="1250">
      <x:c r="A1250" s="1" t="str">
        <x:f>'Данные'!A1250</x:f>
        <x:v>329562244</x:v>
      </x:c>
      <x:c r="B1250" s="1" t="str">
        <x:f>'Данные'!B1250</x:f>
        <x:v>brukiboy/дымка</x:v>
      </x:c>
      <x:c r="C1250" s="8" t="n">
        <x:f>'Данные'!G1250</x:f>
        <x:v>48009</x:v>
      </x:c>
      <x:c r="D1250" s="15" t="n">
        <x:f>C1250/SUM($C$5:$C$2477)</x:f>
        <x:v>0.00005608524820343824</x:v>
      </x:c>
      <x:c r="E1250" s="15" t="n">
        <x:f>SUM($D$5:D1250)</x:f>
        <x:v>0.9925318197042985</x:v>
      </x:c>
      <x:c r="F1250" s="1" t="str">
        <x:f>IF(C1250&lt;=0,"C",IF(E1250-D1250&lt;'Дашборд'!$C$49,"A",IF(E1250-D1250&lt;'Дашборд'!$C$50,"B","C")))</x:f>
        <x:v>C</x:v>
      </x:c>
      <x:c r="G1250" s="8" t="n">
        <x:f>'Данные'!F1250</x:f>
        <x:v>77</x:v>
      </x:c>
      <x:c r="H1250" s="8" t="n">
        <x:f>SUM('Данные'!H1250:I1250)</x:f>
        <x:v>35</x:v>
      </x:c>
      <x:c r="I1250" s="16" t="n">
        <x:f>IF(H1250&gt;0,G1250/H1250,"n.a.")</x:f>
        <x:v>2.2</x:v>
      </x:c>
      <x:c r="J1250" s="10" t="n">
        <x:f>IF('Данные'!E1250&gt;0,G1250/'Данные'!E1250,"n.a.")</x:f>
        <x:v>0.01236153475678279</x:v>
      </x:c>
      <x:c r="K1250" s="1" t="str">
        <x:f>IF(G1250&gt;='Дашборд'!$C$51,"X","Z")</x:f>
        <x:v>Z</x:v>
      </x:c>
      <x:c r="L1250" s="1" t="str">
        <x:f>IF(H1250=0,IF(G1250&gt;0,"Нет остатка","Нет спроса"),IF(I1250&gt;='Дашборд'!$C$52,"Быстрый","Медленный"))</x:f>
        <x:v>Быстрый</x:v>
      </x:c>
      <x:c r="M1250" s="1" t="str">
        <x:f>IF('Данные'!E1250&lt;'Дашборд'!$C$53,"Мало трафика",IF(J1250&lt;'Дашборд'!$C$9*'Дашборд'!$C$54,"Да","Нет"))</x:f>
        <x:v>Нет</x:v>
      </x:c>
      <x:c r="N1250" s="1" t="str">
        <x:f>IF(AND('Данные'!D1250&gt;='Дашборд'!$C$55,D1250&lt;'Дашборд'!$C$56,'Данные'!E1250&gt;='Дашборд'!$C$53,'Данные'!L1250&lt;&gt;"Да"),"Да","Нет")</x:f>
        <x:v>Нет</x:v>
      </x:c>
      <x:c r="O1250" s="1" t="str">
        <x:f>'Данные'!L1250</x:f>
        <x:v>Нет</x:v>
      </x:c>
    </x:row>
    <x:row r="1251">
      <x:c r="A1251" s="1" t="str">
        <x:f>'Данные'!A1251</x:f>
        <x:v>181355545</x:v>
      </x:c>
      <x:c r="B1251" s="1" t="str">
        <x:f>'Данные'!B1251</x:f>
        <x:v>sweater/розовый</x:v>
      </x:c>
      <x:c r="C1251" s="8" t="n">
        <x:f>'Данные'!G1251</x:f>
        <x:v>47954</x:v>
      </x:c>
      <x:c r="D1251" s="15" t="n">
        <x:f>C1251/SUM($C$5:$C$2477)</x:f>
        <x:v>0.00005602099590384464</x:v>
      </x:c>
      <x:c r="E1251" s="15" t="n">
        <x:f>SUM($D$5:D1251)</x:f>
        <x:v>0.9925878407002023</x:v>
      </x:c>
      <x:c r="F1251" s="1" t="str">
        <x:f>IF(C1251&lt;=0,"C",IF(E1251-D1251&lt;'Дашборд'!$C$49,"A",IF(E1251-D1251&lt;'Дашборд'!$C$50,"B","C")))</x:f>
        <x:v>C</x:v>
      </x:c>
      <x:c r="G1251" s="8" t="n">
        <x:f>'Данные'!F1251</x:f>
        <x:v>72</x:v>
      </x:c>
      <x:c r="H1251" s="8" t="n">
        <x:f>SUM('Данные'!H1251:I1251)</x:f>
        <x:v>248</x:v>
      </x:c>
      <x:c r="I1251" s="16" t="n">
        <x:f>IF(H1251&gt;0,G1251/H1251,"n.a.")</x:f>
        <x:v>0.2903225806451613</x:v>
      </x:c>
      <x:c r="J1251" s="10" t="n">
        <x:f>IF('Данные'!E1251&gt;0,G1251/'Данные'!E1251,"n.a.")</x:f>
        <x:v>0.011510791366906475</x:v>
      </x:c>
      <x:c r="K1251" s="1" t="str">
        <x:f>IF(G1251&gt;='Дашборд'!$C$51,"X","Z")</x:f>
        <x:v>Z</x:v>
      </x:c>
      <x:c r="L1251" s="1" t="str">
        <x:f>IF(H1251=0,IF(G1251&gt;0,"Нет остатка","Нет спроса"),IF(I1251&gt;='Дашборд'!$C$52,"Быстрый","Медленный"))</x:f>
        <x:v>Медленный</x:v>
      </x:c>
      <x:c r="M1251" s="1" t="str">
        <x:f>IF('Данные'!E1251&lt;'Дашборд'!$C$53,"Мало трафика",IF(J1251&lt;'Дашборд'!$C$9*'Дашборд'!$C$54,"Да","Нет"))</x:f>
        <x:v>Нет</x:v>
      </x:c>
      <x:c r="N1251" s="1" t="str">
        <x:f>IF(AND('Данные'!D1251&gt;='Дашборд'!$C$55,D1251&lt;'Дашборд'!$C$56,'Данные'!E1251&gt;='Дашборд'!$C$53,'Данные'!L1251&lt;&gt;"Да"),"Да","Нет")</x:f>
        <x:v>Нет</x:v>
      </x:c>
      <x:c r="O1251" s="1" t="str">
        <x:f>'Данные'!L1251</x:f>
        <x:v>Нет</x:v>
      </x:c>
    </x:row>
    <x:row r="1252">
      <x:c r="A1252" s="1" t="str">
        <x:f>'Данные'!A1252</x:f>
        <x:v>287286749</x:v>
      </x:c>
      <x:c r="B1252" s="1" t="str">
        <x:f>'Данные'!B1252</x:f>
        <x:v>2Nitkalongsliv3D-76/кофейный</x:v>
      </x:c>
      <x:c r="C1252" s="8" t="n">
        <x:f>'Данные'!G1252</x:f>
        <x:v>47953</x:v>
      </x:c>
      <x:c r="D1252" s="15" t="n">
        <x:f>C1252/SUM($C$5:$C$2477)</x:f>
        <x:v>0.000056019827680215665</x:v>
      </x:c>
      <x:c r="E1252" s="15" t="n">
        <x:f>SUM($D$5:D1252)</x:f>
        <x:v>0.9926438605278826</x:v>
      </x:c>
      <x:c r="F1252" s="1" t="str">
        <x:f>IF(C1252&lt;=0,"C",IF(E1252-D1252&lt;'Дашборд'!$C$49,"A",IF(E1252-D1252&lt;'Дашборд'!$C$50,"B","C")))</x:f>
        <x:v>C</x:v>
      </x:c>
      <x:c r="G1252" s="8" t="n">
        <x:f>'Данные'!F1252</x:f>
        <x:v>92</x:v>
      </x:c>
      <x:c r="H1252" s="8" t="n">
        <x:f>SUM('Данные'!H1252:I1252)</x:f>
        <x:v>3</x:v>
      </x:c>
      <x:c r="I1252" s="16" t="n">
        <x:f>IF(H1252&gt;0,G1252/H1252,"n.a.")</x:f>
        <x:v>30.666666666666668</x:v>
      </x:c>
      <x:c r="J1252" s="10" t="n">
        <x:f>IF('Данные'!E1252&gt;0,G1252/'Данные'!E1252,"n.a.")</x:f>
        <x:v>0.014456316781898177</x:v>
      </x:c>
      <x:c r="K1252" s="1" t="str">
        <x:f>IF(G1252&gt;='Дашборд'!$C$51,"X","Z")</x:f>
        <x:v>Z</x:v>
      </x:c>
      <x:c r="L1252" s="1" t="str">
        <x:f>IF(H1252=0,IF(G1252&gt;0,"Нет остатка","Нет спроса"),IF(I1252&gt;='Дашборд'!$C$52,"Быстрый","Медленный"))</x:f>
        <x:v>Быстрый</x:v>
      </x:c>
      <x:c r="M1252" s="1" t="str">
        <x:f>IF('Данные'!E1252&lt;'Дашборд'!$C$53,"Мало трафика",IF(J1252&lt;'Дашборд'!$C$9*'Дашборд'!$C$54,"Да","Нет"))</x:f>
        <x:v>Нет</x:v>
      </x:c>
      <x:c r="N1252" s="1" t="str">
        <x:f>IF(AND('Данные'!D1252&gt;='Дашборд'!$C$55,D1252&lt;'Дашборд'!$C$56,'Данные'!E1252&gt;='Дашборд'!$C$53,'Данные'!L1252&lt;&gt;"Да"),"Да","Нет")</x:f>
        <x:v>Нет</x:v>
      </x:c>
      <x:c r="O1252" s="1" t="str">
        <x:f>'Данные'!L1252</x:f>
        <x:v>Нет</x:v>
      </x:c>
    </x:row>
    <x:row r="1253">
      <x:c r="A1253" s="1" t="str">
        <x:f>'Данные'!A1253</x:f>
        <x:v>33778608</x:v>
      </x:c>
      <x:c r="B1253" s="1" t="str">
        <x:f>'Данные'!B1253</x:f>
        <x:v>longsliv/серовато-розовый</x:v>
      </x:c>
      <x:c r="C1253" s="8" t="n">
        <x:f>'Данные'!G1253</x:f>
        <x:v>47829</x:v>
      </x:c>
      <x:c r="D1253" s="15" t="n">
        <x:f>C1253/SUM($C$5:$C$2477)</x:f>
        <x:v>0.00005587496795022282</x:v>
      </x:c>
      <x:c r="E1253" s="15" t="n">
        <x:f>SUM($D$5:D1253)</x:f>
        <x:v>0.9926997354958328</x:v>
      </x:c>
      <x:c r="F1253" s="1" t="str">
        <x:f>IF(C1253&lt;=0,"C",IF(E1253-D1253&lt;'Дашборд'!$C$49,"A",IF(E1253-D1253&lt;'Дашборд'!$C$50,"B","C")))</x:f>
        <x:v>C</x:v>
      </x:c>
      <x:c r="G1253" s="8" t="n">
        <x:f>'Данные'!F1253</x:f>
        <x:v>189</x:v>
      </x:c>
      <x:c r="H1253" s="8" t="n">
        <x:f>SUM('Данные'!H1253:I1253)</x:f>
        <x:v>611</x:v>
      </x:c>
      <x:c r="I1253" s="16" t="n">
        <x:f>IF(H1253&gt;0,G1253/H1253,"n.a.")</x:f>
        <x:v>0.309328968903437</x:v>
      </x:c>
      <x:c r="J1253" s="10" t="n">
        <x:f>IF('Данные'!E1253&gt;0,G1253/'Данные'!E1253,"n.a.")</x:f>
        <x:v>0.012711009482816598</x:v>
      </x:c>
      <x:c r="K1253" s="1" t="str">
        <x:f>IF(G1253&gt;='Дашборд'!$C$51,"X","Z")</x:f>
        <x:v>Z</x:v>
      </x:c>
      <x:c r="L1253" s="1" t="str">
        <x:f>IF(H1253=0,IF(G1253&gt;0,"Нет остатка","Нет спроса"),IF(I1253&gt;='Дашборд'!$C$52,"Быстрый","Медленный"))</x:f>
        <x:v>Медленный</x:v>
      </x:c>
      <x:c r="M1253" s="1" t="str">
        <x:f>IF('Данные'!E1253&lt;'Дашборд'!$C$53,"Мало трафика",IF(J1253&lt;'Дашборд'!$C$9*'Дашборд'!$C$54,"Да","Нет"))</x:f>
        <x:v>Нет</x:v>
      </x:c>
      <x:c r="N1253" s="1" t="str">
        <x:f>IF(AND('Данные'!D1253&gt;='Дашборд'!$C$55,D1253&lt;'Дашборд'!$C$56,'Данные'!E1253&gt;='Дашборд'!$C$53,'Данные'!L1253&lt;&gt;"Да"),"Да","Нет")</x:f>
        <x:v>Да</x:v>
      </x:c>
      <x:c r="O1253" s="1" t="str">
        <x:f>'Данные'!L1253</x:f>
        <x:v>Нет</x:v>
      </x:c>
    </x:row>
    <x:row r="1254">
      <x:c r="A1254" s="1" t="str">
        <x:f>'Данные'!A1254</x:f>
        <x:v>317227926</x:v>
      </x:c>
      <x:c r="B1254" s="1" t="str">
        <x:f>'Данные'!B1254</x:f>
        <x:v>futbolkahlopboy/вареныйсерый</x:v>
      </x:c>
      <x:c r="C1254" s="8" t="n">
        <x:f>'Данные'!G1254</x:f>
        <x:v>47271</x:v>
      </x:c>
      <x:c r="D1254" s="15" t="n">
        <x:f>C1254/SUM($C$5:$C$2477)</x:f>
        <x:v>0.00005522309916525504</x:v>
      </x:c>
      <x:c r="E1254" s="15" t="n">
        <x:f>SUM($D$5:D1254)</x:f>
        <x:v>0.9927549585949981</x:v>
      </x:c>
      <x:c r="F1254" s="1" t="str">
        <x:f>IF(C1254&lt;=0,"C",IF(E1254-D1254&lt;'Дашборд'!$C$49,"A",IF(E1254-D1254&lt;'Дашборд'!$C$50,"B","C")))</x:f>
        <x:v>C</x:v>
      </x:c>
      <x:c r="G1254" s="8" t="n">
        <x:f>'Данные'!F1254</x:f>
        <x:v>151</x:v>
      </x:c>
      <x:c r="H1254" s="8" t="n">
        <x:f>SUM('Данные'!H1254:I1254)</x:f>
        <x:v>318</x:v>
      </x:c>
      <x:c r="I1254" s="16" t="n">
        <x:f>IF(H1254&gt;0,G1254/H1254,"n.a.")</x:f>
        <x:v>0.4748427672955975</x:v>
      </x:c>
      <x:c r="J1254" s="10" t="n">
        <x:f>IF('Данные'!E1254&gt;0,G1254/'Данные'!E1254,"n.a.")</x:f>
        <x:v>0.012095482217238065</x:v>
      </x:c>
      <x:c r="K1254" s="1" t="str">
        <x:f>IF(G1254&gt;='Дашборд'!$C$51,"X","Z")</x:f>
        <x:v>Z</x:v>
      </x:c>
      <x:c r="L1254" s="1" t="str">
        <x:f>IF(H1254=0,IF(G1254&gt;0,"Нет остатка","Нет спроса"),IF(I1254&gt;='Дашборд'!$C$52,"Быстрый","Медленный"))</x:f>
        <x:v>Медленный</x:v>
      </x:c>
      <x:c r="M1254" s="1" t="str">
        <x:f>IF('Данные'!E1254&lt;'Дашборд'!$C$53,"Мало трафика",IF(J1254&lt;'Дашборд'!$C$9*'Дашборд'!$C$54,"Да","Нет"))</x:f>
        <x:v>Нет</x:v>
      </x:c>
      <x:c r="N1254" s="1" t="str">
        <x:f>IF(AND('Данные'!D1254&gt;='Дашборд'!$C$55,D1254&lt;'Дашборд'!$C$56,'Данные'!E1254&gt;='Дашборд'!$C$53,'Данные'!L1254&lt;&gt;"Да"),"Да","Нет")</x:f>
        <x:v>Да</x:v>
      </x:c>
      <x:c r="O1254" s="1" t="str">
        <x:f>'Данные'!L1254</x:f>
        <x:v>Нет</x:v>
      </x:c>
    </x:row>
    <x:row r="1255">
      <x:c r="A1255" s="1" t="str">
        <x:f>'Данные'!A1255</x:f>
        <x:v>322169428</x:v>
      </x:c>
      <x:c r="B1255" s="1" t="str">
        <x:f>'Данные'!B1255</x:f>
        <x:v>futbolkaprint/Sparks-271/зелоносерый</x:v>
      </x:c>
      <x:c r="C1255" s="8" t="n">
        <x:f>'Данные'!G1255</x:f>
        <x:v>46920</x:v>
      </x:c>
      <x:c r="D1255" s="15" t="n">
        <x:f>C1255/SUM($C$5:$C$2477)</x:f>
        <x:v>0.00005481305267148498</x:v>
      </x:c>
      <x:c r="E1255" s="15" t="n">
        <x:f>SUM($D$5:D1255)</x:f>
        <x:v>0.9928097716476696</x:v>
      </x:c>
      <x:c r="F1255" s="1" t="str">
        <x:f>IF(C1255&lt;=0,"C",IF(E1255-D1255&lt;'Дашборд'!$C$49,"A",IF(E1255-D1255&lt;'Дашборд'!$C$50,"B","C")))</x:f>
        <x:v>C</x:v>
      </x:c>
      <x:c r="G1255" s="8" t="n">
        <x:f>'Данные'!F1255</x:f>
        <x:v>68</x:v>
      </x:c>
      <x:c r="H1255" s="8" t="n">
        <x:f>SUM('Данные'!H1255:I1255)</x:f>
        <x:v>26</x:v>
      </x:c>
      <x:c r="I1255" s="16" t="n">
        <x:f>IF(H1255&gt;0,G1255/H1255,"n.a.")</x:f>
        <x:v>2.6153846153846154</x:v>
      </x:c>
      <x:c r="J1255" s="10" t="n">
        <x:f>IF('Данные'!E1255&gt;0,G1255/'Данные'!E1255,"n.a.")</x:f>
        <x:v>0.0023535112310940367</x:v>
      </x:c>
      <x:c r="K1255" s="1" t="str">
        <x:f>IF(G1255&gt;='Дашборд'!$C$51,"X","Z")</x:f>
        <x:v>Z</x:v>
      </x:c>
      <x:c r="L1255" s="1" t="str">
        <x:f>IF(H1255=0,IF(G1255&gt;0,"Нет остатка","Нет спроса"),IF(I1255&gt;='Дашборд'!$C$52,"Быстрый","Медленный"))</x:f>
        <x:v>Быстрый</x:v>
      </x:c>
      <x:c r="M1255" s="1" t="str">
        <x:f>IF('Данные'!E1255&lt;'Дашборд'!$C$53,"Мало трафика",IF(J1255&lt;'Дашборд'!$C$9*'Дашборд'!$C$54,"Да","Нет"))</x:f>
        <x:v>Да</x:v>
      </x:c>
      <x:c r="N1255" s="1" t="str">
        <x:f>IF(AND('Данные'!D1255&gt;='Дашборд'!$C$55,D1255&lt;'Дашборд'!$C$56,'Данные'!E1255&gt;='Дашборд'!$C$53,'Данные'!L1255&lt;&gt;"Да"),"Да","Нет")</x:f>
        <x:v>Да</x:v>
      </x:c>
      <x:c r="O1255" s="1" t="str">
        <x:f>'Данные'!L1255</x:f>
        <x:v>Нет</x:v>
      </x:c>
    </x:row>
    <x:row r="1256">
      <x:c r="A1256" s="1" t="str">
        <x:f>'Данные'!A1256</x:f>
        <x:v>318404886</x:v>
      </x:c>
      <x:c r="B1256" s="1" t="str">
        <x:f>'Данные'!B1256</x:f>
        <x:v>futbolkagirl/мандариновый</x:v>
      </x:c>
      <x:c r="C1256" s="8" t="n">
        <x:f>'Данные'!G1256</x:f>
        <x:v>46172</x:v>
      </x:c>
      <x:c r="D1256" s="15" t="n">
        <x:f>C1256/SUM($C$5:$C$2477)</x:f>
        <x:v>0.000053939221397012024</x:v>
      </x:c>
      <x:c r="E1256" s="15" t="n">
        <x:f>SUM($D$5:D1256)</x:f>
        <x:v>0.9928637108690666</x:v>
      </x:c>
      <x:c r="F1256" s="1" t="str">
        <x:f>IF(C1256&lt;=0,"C",IF(E1256-D1256&lt;'Дашборд'!$C$49,"A",IF(E1256-D1256&lt;'Дашборд'!$C$50,"B","C")))</x:f>
        <x:v>C</x:v>
      </x:c>
      <x:c r="G1256" s="8" t="n">
        <x:f>'Данные'!F1256</x:f>
        <x:v>159</x:v>
      </x:c>
      <x:c r="H1256" s="8" t="n">
        <x:f>SUM('Данные'!H1256:I1256)</x:f>
        <x:v>74</x:v>
      </x:c>
      <x:c r="I1256" s="16" t="n">
        <x:f>IF(H1256&gt;0,G1256/H1256,"n.a.")</x:f>
        <x:v>2.1486486486486487</x:v>
      </x:c>
      <x:c r="J1256" s="10" t="n">
        <x:f>IF('Данные'!E1256&gt;0,G1256/'Данные'!E1256,"n.a.")</x:f>
        <x:v>0.007151209858774849</x:v>
      </x:c>
      <x:c r="K1256" s="1" t="str">
        <x:f>IF(G1256&gt;='Дашборд'!$C$51,"X","Z")</x:f>
        <x:v>Z</x:v>
      </x:c>
      <x:c r="L1256" s="1" t="str">
        <x:f>IF(H1256=0,IF(G1256&gt;0,"Нет остатка","Нет спроса"),IF(I1256&gt;='Дашборд'!$C$52,"Быстрый","Медленный"))</x:f>
        <x:v>Быстрый</x:v>
      </x:c>
      <x:c r="M1256" s="1" t="str">
        <x:f>IF('Данные'!E1256&lt;'Дашборд'!$C$53,"Мало трафика",IF(J1256&lt;'Дашборд'!$C$9*'Дашборд'!$C$54,"Да","Нет"))</x:f>
        <x:v>Да</x:v>
      </x:c>
      <x:c r="N1256" s="1" t="str">
        <x:f>IF(AND('Данные'!D1256&gt;='Дашборд'!$C$55,D1256&lt;'Дашборд'!$C$56,'Данные'!E1256&gt;='Дашборд'!$C$53,'Данные'!L1256&lt;&gt;"Да"),"Да","Нет")</x:f>
        <x:v>Да</x:v>
      </x:c>
      <x:c r="O1256" s="1" t="str">
        <x:f>'Данные'!L1256</x:f>
        <x:v>Нет</x:v>
      </x:c>
    </x:row>
    <x:row r="1257">
      <x:c r="A1257" s="1" t="str">
        <x:f>'Данные'!A1257</x:f>
        <x:v>300305955</x:v>
      </x:c>
      <x:c r="B1257" s="1" t="str">
        <x:f>'Данные'!B1257</x:f>
        <x:v>palazzonachos/бежевый</x:v>
      </x:c>
      <x:c r="C1257" s="8" t="n">
        <x:f>'Данные'!G1257</x:f>
        <x:v>46060</x:v>
      </x:c>
      <x:c r="D1257" s="15" t="n">
        <x:f>C1257/SUM($C$5:$C$2477)</x:f>
        <x:v>0.000053808380350566876</x:v>
      </x:c>
      <x:c r="E1257" s="15" t="n">
        <x:f>SUM($D$5:D1257)</x:f>
        <x:v>0.9929175192494171</x:v>
      </x:c>
      <x:c r="F1257" s="1" t="str">
        <x:f>IF(C1257&lt;=0,"C",IF(E1257-D1257&lt;'Дашборд'!$C$49,"A",IF(E1257-D1257&lt;'Дашборд'!$C$50,"B","C")))</x:f>
        <x:v>C</x:v>
      </x:c>
      <x:c r="G1257" s="8" t="n">
        <x:f>'Данные'!F1257</x:f>
        <x:v>65</x:v>
      </x:c>
      <x:c r="H1257" s="8" t="n">
        <x:f>SUM('Данные'!H1257:I1257)</x:f>
        <x:v>246</x:v>
      </x:c>
      <x:c r="I1257" s="16" t="n">
        <x:f>IF(H1257&gt;0,G1257/H1257,"n.a.")</x:f>
        <x:v>0.26422764227642276</x:v>
      </x:c>
      <x:c r="J1257" s="10" t="n">
        <x:f>IF('Данные'!E1257&gt;0,G1257/'Данные'!E1257,"n.a.")</x:f>
        <x:v>0.005080506487415976</x:v>
      </x:c>
      <x:c r="K1257" s="1" t="str">
        <x:f>IF(G1257&gt;='Дашборд'!$C$51,"X","Z")</x:f>
        <x:v>Z</x:v>
      </x:c>
      <x:c r="L1257" s="1" t="str">
        <x:f>IF(H1257=0,IF(G1257&gt;0,"Нет остатка","Нет спроса"),IF(I1257&gt;='Дашборд'!$C$52,"Быстрый","Медленный"))</x:f>
        <x:v>Медленный</x:v>
      </x:c>
      <x:c r="M1257" s="1" t="str">
        <x:f>IF('Данные'!E1257&lt;'Дашборд'!$C$53,"Мало трафика",IF(J1257&lt;'Дашборд'!$C$9*'Дашборд'!$C$54,"Да","Нет"))</x:f>
        <x:v>Да</x:v>
      </x:c>
      <x:c r="N1257" s="1" t="str">
        <x:f>IF(AND('Данные'!D1257&gt;='Дашборд'!$C$55,D1257&lt;'Дашборд'!$C$56,'Данные'!E1257&gt;='Дашборд'!$C$53,'Данные'!L1257&lt;&gt;"Да"),"Да","Нет")</x:f>
        <x:v>Нет</x:v>
      </x:c>
      <x:c r="O1257" s="1" t="str">
        <x:f>'Данные'!L1257</x:f>
        <x:v>Нет</x:v>
      </x:c>
    </x:row>
    <x:row r="1258">
      <x:c r="A1258" s="1" t="str">
        <x:f>'Данные'!A1258</x:f>
        <x:v>245580533</x:v>
      </x:c>
      <x:c r="B1258" s="1" t="str">
        <x:f>'Данные'!B1258</x:f>
        <x:v>hudiprint/CoffeeCup-145/белый</x:v>
      </x:c>
      <x:c r="C1258" s="8" t="n">
        <x:f>'Данные'!G1258</x:f>
        <x:v>45780</x:v>
      </x:c>
      <x:c r="D1258" s="15" t="n">
        <x:f>C1258/SUM($C$5:$C$2477)</x:f>
        <x:v>0.00005348127773445401</x:v>
      </x:c>
      <x:c r="E1258" s="15" t="n">
        <x:f>SUM($D$5:D1258)</x:f>
        <x:v>0.9929710005271515</x:v>
      </x:c>
      <x:c r="F1258" s="1" t="str">
        <x:f>IF(C1258&lt;=0,"C",IF(E1258-D1258&lt;'Дашборд'!$C$49,"A",IF(E1258-D1258&lt;'Дашборд'!$C$50,"B","C")))</x:f>
        <x:v>C</x:v>
      </x:c>
      <x:c r="G1258" s="8" t="n">
        <x:f>'Данные'!F1258</x:f>
        <x:v>43</x:v>
      </x:c>
      <x:c r="H1258" s="8" t="n">
        <x:f>SUM('Данные'!H1258:I1258)</x:f>
        <x:v>259</x:v>
      </x:c>
      <x:c r="I1258" s="16" t="n">
        <x:f>IF(H1258&gt;0,G1258/H1258,"n.a.")</x:f>
        <x:v>0.16602316602316602</x:v>
      </x:c>
      <x:c r="J1258" s="10" t="n">
        <x:f>IF('Данные'!E1258&gt;0,G1258/'Данные'!E1258,"n.a.")</x:f>
        <x:v>0.0016092814371257485</x:v>
      </x:c>
      <x:c r="K1258" s="1" t="str">
        <x:f>IF(G1258&gt;='Дашборд'!$C$51,"X","Z")</x:f>
        <x:v>Z</x:v>
      </x:c>
      <x:c r="L1258" s="1" t="str">
        <x:f>IF(H1258=0,IF(G1258&gt;0,"Нет остатка","Нет спроса"),IF(I1258&gt;='Дашборд'!$C$52,"Быстрый","Медленный"))</x:f>
        <x:v>Медленный</x:v>
      </x:c>
      <x:c r="M1258" s="1" t="str">
        <x:f>IF('Данные'!E1258&lt;'Дашборд'!$C$53,"Мало трафика",IF(J1258&lt;'Дашборд'!$C$9*'Дашборд'!$C$54,"Да","Нет"))</x:f>
        <x:v>Да</x:v>
      </x:c>
      <x:c r="N1258" s="1" t="str">
        <x:f>IF(AND('Данные'!D1258&gt;='Дашборд'!$C$55,D1258&lt;'Дашборд'!$C$56,'Данные'!E1258&gt;='Дашборд'!$C$53,'Данные'!L1258&lt;&gt;"Да"),"Да","Нет")</x:f>
        <x:v>Нет</x:v>
      </x:c>
      <x:c r="O1258" s="1" t="str">
        <x:f>'Данные'!L1258</x:f>
        <x:v>Нет</x:v>
      </x:c>
    </x:row>
    <x:row r="1259">
      <x:c r="A1259" s="1" t="str">
        <x:f>'Данные'!A1259</x:f>
        <x:v>240808483</x:v>
      </x:c>
      <x:c r="B1259" s="1" t="str">
        <x:f>'Данные'!B1259</x:f>
        <x:v>hudiboy/молочный</x:v>
      </x:c>
      <x:c r="C1259" s="8" t="n">
        <x:f>'Данные'!G1259</x:f>
        <x:v>45362</x:v>
      </x:c>
      <x:c r="D1259" s="15" t="n">
        <x:f>C1259/SUM($C$5:$C$2477)</x:f>
        <x:v>0.000052992960257542654</x:v>
      </x:c>
      <x:c r="E1259" s="15" t="n">
        <x:f>SUM($D$5:D1259)</x:f>
        <x:v>0.993023993487409</x:v>
      </x:c>
      <x:c r="F1259" s="1" t="str">
        <x:f>IF(C1259&lt;=0,"C",IF(E1259-D1259&lt;'Дашборд'!$C$49,"A",IF(E1259-D1259&lt;'Дашборд'!$C$50,"B","C")))</x:f>
        <x:v>C</x:v>
      </x:c>
      <x:c r="G1259" s="8" t="n">
        <x:f>'Данные'!F1259</x:f>
        <x:v>67</x:v>
      </x:c>
      <x:c r="H1259" s="8" t="n">
        <x:f>SUM('Данные'!H1259:I1259)</x:f>
        <x:v>211</x:v>
      </x:c>
      <x:c r="I1259" s="16" t="n">
        <x:f>IF(H1259&gt;0,G1259/H1259,"n.a.")</x:f>
        <x:v>0.3175355450236967</x:v>
      </x:c>
      <x:c r="J1259" s="10" t="n">
        <x:f>IF('Данные'!E1259&gt;0,G1259/'Данные'!E1259,"n.a.")</x:f>
        <x:v>0.00807520790647222</x:v>
      </x:c>
      <x:c r="K1259" s="1" t="str">
        <x:f>IF(G1259&gt;='Дашборд'!$C$51,"X","Z")</x:f>
        <x:v>Z</x:v>
      </x:c>
      <x:c r="L1259" s="1" t="str">
        <x:f>IF(H1259=0,IF(G1259&gt;0,"Нет остатка","Нет спроса"),IF(I1259&gt;='Дашборд'!$C$52,"Быстрый","Медленный"))</x:f>
        <x:v>Медленный</x:v>
      </x:c>
      <x:c r="M1259" s="1" t="str">
        <x:f>IF('Данные'!E1259&lt;'Дашборд'!$C$53,"Мало трафика",IF(J1259&lt;'Дашборд'!$C$9*'Дашборд'!$C$54,"Да","Нет"))</x:f>
        <x:v>Да</x:v>
      </x:c>
      <x:c r="N1259" s="1" t="str">
        <x:f>IF(AND('Данные'!D1259&gt;='Дашборд'!$C$55,D1259&lt;'Дашборд'!$C$56,'Данные'!E1259&gt;='Дашборд'!$C$53,'Данные'!L1259&lt;&gt;"Да"),"Да","Нет")</x:f>
        <x:v>Нет</x:v>
      </x:c>
      <x:c r="O1259" s="1" t="str">
        <x:f>'Данные'!L1259</x:f>
        <x:v>Нет</x:v>
      </x:c>
    </x:row>
    <x:row r="1260">
      <x:c r="A1260" s="1" t="str">
        <x:f>'Данные'!A1260</x:f>
        <x:v>253281928</x:v>
      </x:c>
      <x:c r="B1260" s="1" t="str">
        <x:f>'Данные'!B1260</x:f>
        <x:v>hudiprint/MovesCrew-199/черный</x:v>
      </x:c>
      <x:c r="C1260" s="8" t="n">
        <x:f>'Данные'!G1260</x:f>
        <x:v>44563</x:v>
      </x:c>
      <x:c r="D1260" s="15" t="n">
        <x:f>C1260/SUM($C$5:$C$2477)</x:f>
        <x:v>0.000052059549577992006</x:v>
      </x:c>
      <x:c r="E1260" s="15" t="n">
        <x:f>SUM($D$5:D1260)</x:f>
        <x:v>0.993076053036987</x:v>
      </x:c>
      <x:c r="F1260" s="1" t="str">
        <x:f>IF(C1260&lt;=0,"C",IF(E1260-D1260&lt;'Дашборд'!$C$49,"A",IF(E1260-D1260&lt;'Дашборд'!$C$50,"B","C")))</x:f>
        <x:v>C</x:v>
      </x:c>
      <x:c r="G1260" s="8" t="n">
        <x:f>'Данные'!F1260</x:f>
        <x:v>50</x:v>
      </x:c>
      <x:c r="H1260" s="8" t="n">
        <x:f>SUM('Данные'!H1260:I1260)</x:f>
        <x:v>124</x:v>
      </x:c>
      <x:c r="I1260" s="16" t="n">
        <x:f>IF(H1260&gt;0,G1260/H1260,"n.a.")</x:f>
        <x:v>0.4032258064516129</x:v>
      </x:c>
      <x:c r="J1260" s="10" t="n">
        <x:f>IF('Данные'!E1260&gt;0,G1260/'Данные'!E1260,"n.a.")</x:f>
        <x:v>0.0026535052804755083</x:v>
      </x:c>
      <x:c r="K1260" s="1" t="str">
        <x:f>IF(G1260&gt;='Дашборд'!$C$51,"X","Z")</x:f>
        <x:v>Z</x:v>
      </x:c>
      <x:c r="L1260" s="1" t="str">
        <x:f>IF(H1260=0,IF(G1260&gt;0,"Нет остатка","Нет спроса"),IF(I1260&gt;='Дашборд'!$C$52,"Быстрый","Медленный"))</x:f>
        <x:v>Медленный</x:v>
      </x:c>
      <x:c r="M1260" s="1" t="str">
        <x:f>IF('Данные'!E1260&lt;'Дашборд'!$C$53,"Мало трафика",IF(J1260&lt;'Дашборд'!$C$9*'Дашборд'!$C$54,"Да","Нет"))</x:f>
        <x:v>Да</x:v>
      </x:c>
      <x:c r="N1260" s="1" t="str">
        <x:f>IF(AND('Данные'!D1260&gt;='Дашборд'!$C$55,D1260&lt;'Дашборд'!$C$56,'Данные'!E1260&gt;='Дашборд'!$C$53,'Данные'!L1260&lt;&gt;"Да"),"Да","Нет")</x:f>
        <x:v>Да</x:v>
      </x:c>
      <x:c r="O1260" s="1" t="str">
        <x:f>'Данные'!L1260</x:f>
        <x:v>Нет</x:v>
      </x:c>
    </x:row>
    <x:row r="1261">
      <x:c r="A1261" s="1" t="str">
        <x:f>'Данные'!A1261</x:f>
        <x:v>316105859</x:v>
      </x:c>
      <x:c r="B1261" s="1" t="str">
        <x:f>'Данные'!B1261</x:f>
        <x:v>futbolkaprint/Strangers-265/бордовый</x:v>
      </x:c>
      <x:c r="C1261" s="8" t="n">
        <x:f>'Данные'!G1261</x:f>
        <x:v>44176</x:v>
      </x:c>
      <x:c r="D1261" s="15" t="n">
        <x:f>C1261/SUM($C$5:$C$2477)</x:f>
        <x:v>0.000051607447033578865</x:v>
      </x:c>
      <x:c r="E1261" s="15" t="n">
        <x:f>SUM($D$5:D1261)</x:f>
        <x:v>0.9931276604840206</x:v>
      </x:c>
      <x:c r="F1261" s="1" t="str">
        <x:f>IF(C1261&lt;=0,"C",IF(E1261-D1261&lt;'Дашборд'!$C$49,"A",IF(E1261-D1261&lt;'Дашборд'!$C$50,"B","C")))</x:f>
        <x:v>C</x:v>
      </x:c>
      <x:c r="G1261" s="8" t="n">
        <x:f>'Данные'!F1261</x:f>
        <x:v>55</x:v>
      </x:c>
      <x:c r="H1261" s="8" t="n">
        <x:f>SUM('Данные'!H1261:I1261)</x:f>
        <x:v>0</x:v>
      </x:c>
      <x:c r="I1261" s="16" t="str">
        <x:f>IF(H1261&gt;0,G1261/H1261,"n.a.")</x:f>
        <x:v>n.a.</x:v>
      </x:c>
      <x:c r="J1261" s="10" t="n">
        <x:f>IF('Данные'!E1261&gt;0,G1261/'Данные'!E1261,"n.a.")</x:f>
        <x:v>0.007305086996945145</x:v>
      </x:c>
      <x:c r="K1261" s="1" t="str">
        <x:f>IF(G1261&gt;='Дашборд'!$C$51,"X","Z")</x:f>
        <x:v>Z</x:v>
      </x:c>
      <x:c r="L1261" s="1" t="str">
        <x:f>IF(H1261=0,IF(G1261&gt;0,"Нет остатка","Нет спроса"),IF(I1261&gt;='Дашборд'!$C$52,"Быстрый","Медленный"))</x:f>
        <x:v>Нет остатка</x:v>
      </x:c>
      <x:c r="M1261" s="1" t="str">
        <x:f>IF('Данные'!E1261&lt;'Дашборд'!$C$53,"Мало трафика",IF(J1261&lt;'Дашборд'!$C$9*'Дашборд'!$C$54,"Да","Нет"))</x:f>
        <x:v>Да</x:v>
      </x:c>
      <x:c r="N1261" s="1" t="str">
        <x:f>IF(AND('Данные'!D1261&gt;='Дашборд'!$C$55,D1261&lt;'Дашборд'!$C$56,'Данные'!E1261&gt;='Дашборд'!$C$53,'Данные'!L1261&lt;&gt;"Да"),"Да","Нет")</x:f>
        <x:v>Да</x:v>
      </x:c>
      <x:c r="O1261" s="1" t="str">
        <x:f>'Данные'!L1261</x:f>
        <x:v>Нет</x:v>
      </x:c>
    </x:row>
    <x:row r="1262">
      <x:c r="A1262" s="1" t="str">
        <x:f>'Данные'!A1262</x:f>
        <x:v>344319375</x:v>
      </x:c>
      <x:c r="B1262" s="1" t="str">
        <x:f>'Данные'!B1262</x:f>
        <x:v>toprib3R-82/красно-коричневый</x:v>
      </x:c>
      <x:c r="C1262" s="8" t="n">
        <x:f>'Данные'!G1262</x:f>
        <x:v>44050</x:v>
      </x:c>
      <x:c r="D1262" s="15" t="n">
        <x:f>C1262/SUM($C$5:$C$2477)</x:f>
        <x:v>0.00005146025085632807</x:v>
      </x:c>
      <x:c r="E1262" s="15" t="n">
        <x:f>SUM($D$5:D1262)</x:f>
        <x:v>0.9931791207348769</x:v>
      </x:c>
      <x:c r="F1262" s="1" t="str">
        <x:f>IF(C1262&lt;=0,"C",IF(E1262-D1262&lt;'Дашборд'!$C$49,"A",IF(E1262-D1262&lt;'Дашборд'!$C$50,"B","C")))</x:f>
        <x:v>C</x:v>
      </x:c>
      <x:c r="G1262" s="8" t="n">
        <x:f>'Данные'!F1262</x:f>
        <x:v>283</x:v>
      </x:c>
      <x:c r="H1262" s="8" t="n">
        <x:f>SUM('Данные'!H1262:I1262)</x:f>
        <x:v>529</x:v>
      </x:c>
      <x:c r="I1262" s="16" t="n">
        <x:f>IF(H1262&gt;0,G1262/H1262,"n.a.")</x:f>
        <x:v>0.5349716446124764</x:v>
      </x:c>
      <x:c r="J1262" s="10" t="n">
        <x:f>IF('Данные'!E1262&gt;0,G1262/'Данные'!E1262,"n.a.")</x:f>
        <x:v>0.019598337950138503</x:v>
      </x:c>
      <x:c r="K1262" s="1" t="str">
        <x:f>IF(G1262&gt;='Дашборд'!$C$51,"X","Z")</x:f>
        <x:v>X</x:v>
      </x:c>
      <x:c r="L1262" s="1" t="str">
        <x:f>IF(H1262=0,IF(G1262&gt;0,"Нет остатка","Нет спроса"),IF(I1262&gt;='Дашборд'!$C$52,"Быстрый","Медленный"))</x:f>
        <x:v>Медленный</x:v>
      </x:c>
      <x:c r="M1262" s="1" t="str">
        <x:f>IF('Данные'!E1262&lt;'Дашборд'!$C$53,"Мало трафика",IF(J1262&lt;'Дашборд'!$C$9*'Дашборд'!$C$54,"Да","Нет"))</x:f>
        <x:v>Нет</x:v>
      </x:c>
      <x:c r="N1262" s="1" t="str">
        <x:f>IF(AND('Данные'!D1262&gt;='Дашборд'!$C$55,D1262&lt;'Дашборд'!$C$56,'Данные'!E1262&gt;='Дашборд'!$C$53,'Данные'!L1262&lt;&gt;"Да"),"Да","Нет")</x:f>
        <x:v>Нет</x:v>
      </x:c>
      <x:c r="O1262" s="1" t="str">
        <x:f>'Данные'!L1262</x:f>
        <x:v>Нет</x:v>
      </x:c>
    </x:row>
    <x:row r="1263">
      <x:c r="A1263" s="1" t="str">
        <x:f>'Данные'!A1263</x:f>
        <x:v>245583527</x:v>
      </x:c>
      <x:c r="B1263" s="1" t="str">
        <x:f>'Данные'!B1263</x:f>
        <x:v>hudiprint/RunningClub-124/белый</x:v>
      </x:c>
      <x:c r="C1263" s="8" t="n">
        <x:f>'Данные'!G1263</x:f>
        <x:v>43752</x:v>
      </x:c>
      <x:c r="D1263" s="15" t="n">
        <x:f>C1263/SUM($C$5:$C$2477)</x:f>
        <x:v>0.000051112120214893664</x:v>
      </x:c>
      <x:c r="E1263" s="15" t="n">
        <x:f>SUM($D$5:D1263)</x:f>
        <x:v>0.9932302328550918</x:v>
      </x:c>
      <x:c r="F1263" s="1" t="str">
        <x:f>IF(C1263&lt;=0,"C",IF(E1263-D1263&lt;'Дашборд'!$C$49,"A",IF(E1263-D1263&lt;'Дашборд'!$C$50,"B","C")))</x:f>
        <x:v>C</x:v>
      </x:c>
      <x:c r="G1263" s="8" t="n">
        <x:f>'Данные'!F1263</x:f>
        <x:v>49</x:v>
      </x:c>
      <x:c r="H1263" s="8" t="n">
        <x:f>SUM('Данные'!H1263:I1263)</x:f>
        <x:v>566</x:v>
      </x:c>
      <x:c r="I1263" s="16" t="n">
        <x:f>IF(H1263&gt;0,G1263/H1263,"n.a.")</x:f>
        <x:v>0.08657243816254417</x:v>
      </x:c>
      <x:c r="J1263" s="10" t="n">
        <x:f>IF('Данные'!E1263&gt;0,G1263/'Данные'!E1263,"n.a.")</x:f>
        <x:v>0.0024486532407176054</x:v>
      </x:c>
      <x:c r="K1263" s="1" t="str">
        <x:f>IF(G1263&gt;='Дашборд'!$C$51,"X","Z")</x:f>
        <x:v>Z</x:v>
      </x:c>
      <x:c r="L1263" s="1" t="str">
        <x:f>IF(H1263=0,IF(G1263&gt;0,"Нет остатка","Нет спроса"),IF(I1263&gt;='Дашборд'!$C$52,"Быстрый","Медленный"))</x:f>
        <x:v>Медленный</x:v>
      </x:c>
      <x:c r="M1263" s="1" t="str">
        <x:f>IF('Данные'!E1263&lt;'Дашборд'!$C$53,"Мало трафика",IF(J1263&lt;'Дашборд'!$C$9*'Дашборд'!$C$54,"Да","Нет"))</x:f>
        <x:v>Да</x:v>
      </x:c>
      <x:c r="N1263" s="1" t="str">
        <x:f>IF(AND('Данные'!D1263&gt;='Дашборд'!$C$55,D1263&lt;'Дашборд'!$C$56,'Данные'!E1263&gt;='Дашборд'!$C$53,'Данные'!L1263&lt;&gt;"Да"),"Да","Нет")</x:f>
        <x:v>Нет</x:v>
      </x:c>
      <x:c r="O1263" s="1" t="str">
        <x:f>'Данные'!L1263</x:f>
        <x:v>Нет</x:v>
      </x:c>
    </x:row>
    <x:row r="1264">
      <x:c r="A1264" s="1" t="str">
        <x:f>'Данные'!A1264</x:f>
        <x:v>335463348</x:v>
      </x:c>
      <x:c r="B1264" s="1" t="str">
        <x:f>'Данные'!B1264</x:f>
        <x:v>shorts3n3P-87/коричневый</x:v>
      </x:c>
      <x:c r="C1264" s="8" t="n">
        <x:f>'Данные'!G1264</x:f>
        <x:v>43431</x:v>
      </x:c>
      <x:c r="D1264" s="15" t="n">
        <x:f>C1264/SUM($C$5:$C$2477)</x:f>
        <x:v>0.00005073712042999284</x:v>
      </x:c>
      <x:c r="E1264" s="15" t="n">
        <x:f>SUM($D$5:D1264)</x:f>
        <x:v>0.9932809699755218</x:v>
      </x:c>
      <x:c r="F1264" s="1" t="str">
        <x:f>IF(C1264&lt;=0,"C",IF(E1264-D1264&lt;'Дашборд'!$C$49,"A",IF(E1264-D1264&lt;'Дашборд'!$C$50,"B","C")))</x:f>
        <x:v>C</x:v>
      </x:c>
      <x:c r="G1264" s="8" t="n">
        <x:f>'Данные'!F1264</x:f>
        <x:v>114</x:v>
      </x:c>
      <x:c r="H1264" s="8" t="n">
        <x:f>SUM('Данные'!H1264:I1264)</x:f>
        <x:v>17</x:v>
      </x:c>
      <x:c r="I1264" s="16" t="n">
        <x:f>IF(H1264&gt;0,G1264/H1264,"n.a.")</x:f>
        <x:v>6.705882352941177</x:v>
      </x:c>
      <x:c r="J1264" s="10" t="n">
        <x:f>IF('Данные'!E1264&gt;0,G1264/'Данные'!E1264,"n.a.")</x:f>
        <x:v>0.015657189946435928</x:v>
      </x:c>
      <x:c r="K1264" s="1" t="str">
        <x:f>IF(G1264&gt;='Дашборд'!$C$51,"X","Z")</x:f>
        <x:v>Z</x:v>
      </x:c>
      <x:c r="L1264" s="1" t="str">
        <x:f>IF(H1264=0,IF(G1264&gt;0,"Нет остатка","Нет спроса"),IF(I1264&gt;='Дашборд'!$C$52,"Быстрый","Медленный"))</x:f>
        <x:v>Быстрый</x:v>
      </x:c>
      <x:c r="M1264" s="1" t="str">
        <x:f>IF('Данные'!E1264&lt;'Дашборд'!$C$53,"Мало трафика",IF(J1264&lt;'Дашборд'!$C$9*'Дашборд'!$C$54,"Да","Нет"))</x:f>
        <x:v>Нет</x:v>
      </x:c>
      <x:c r="N1264" s="1" t="str">
        <x:f>IF(AND('Данные'!D1264&gt;='Дашборд'!$C$55,D1264&lt;'Дашборд'!$C$56,'Данные'!E1264&gt;='Дашборд'!$C$53,'Данные'!L1264&lt;&gt;"Да"),"Да","Нет")</x:f>
        <x:v>Нет</x:v>
      </x:c>
      <x:c r="O1264" s="1" t="str">
        <x:f>'Данные'!L1264</x:f>
        <x:v>Нет</x:v>
      </x:c>
    </x:row>
    <x:row r="1265">
      <x:c r="A1265" s="1" t="str">
        <x:f>'Данные'!A1265</x:f>
        <x:v>241638628</x:v>
      </x:c>
      <x:c r="B1265" s="1" t="str">
        <x:f>'Данные'!B1265</x:f>
        <x:v>hudiprint/MovesWithLove-135/молочный</x:v>
      </x:c>
      <x:c r="C1265" s="8" t="n">
        <x:f>'Данные'!G1265</x:f>
        <x:v>43395</x:v>
      </x:c>
      <x:c r="D1265" s="15" t="n">
        <x:f>C1265/SUM($C$5:$C$2477)</x:f>
        <x:v>0.00005069506437934975</x:v>
      </x:c>
      <x:c r="E1265" s="15" t="n">
        <x:f>SUM($D$5:D1265)</x:f>
        <x:v>0.9933316650399012</x:v>
      </x:c>
      <x:c r="F1265" s="1" t="str">
        <x:f>IF(C1265&lt;=0,"C",IF(E1265-D1265&lt;'Дашборд'!$C$49,"A",IF(E1265-D1265&lt;'Дашборд'!$C$50,"B","C")))</x:f>
        <x:v>C</x:v>
      </x:c>
      <x:c r="G1265" s="8" t="n">
        <x:f>'Данные'!F1265</x:f>
        <x:v>47</x:v>
      </x:c>
      <x:c r="H1265" s="8" t="n">
        <x:f>SUM('Данные'!H1265:I1265)</x:f>
        <x:v>0</x:v>
      </x:c>
      <x:c r="I1265" s="16" t="str">
        <x:f>IF(H1265&gt;0,G1265/H1265,"n.a.")</x:f>
        <x:v>n.a.</x:v>
      </x:c>
      <x:c r="J1265" s="10" t="n">
        <x:f>IF('Данные'!E1265&gt;0,G1265/'Данные'!E1265,"n.a.")</x:f>
        <x:v>0.0061462011246240355</x:v>
      </x:c>
      <x:c r="K1265" s="1" t="str">
        <x:f>IF(G1265&gt;='Дашборд'!$C$51,"X","Z")</x:f>
        <x:v>Z</x:v>
      </x:c>
      <x:c r="L1265" s="1" t="str">
        <x:f>IF(H1265=0,IF(G1265&gt;0,"Нет остатка","Нет спроса"),IF(I1265&gt;='Дашборд'!$C$52,"Быстрый","Медленный"))</x:f>
        <x:v>Нет остатка</x:v>
      </x:c>
      <x:c r="M1265" s="1" t="str">
        <x:f>IF('Данные'!E1265&lt;'Дашборд'!$C$53,"Мало трафика",IF(J1265&lt;'Дашборд'!$C$9*'Дашборд'!$C$54,"Да","Нет"))</x:f>
        <x:v>Да</x:v>
      </x:c>
      <x:c r="N1265" s="1" t="str">
        <x:f>IF(AND('Данные'!D1265&gt;='Дашборд'!$C$55,D1265&lt;'Дашборд'!$C$56,'Данные'!E1265&gt;='Дашборд'!$C$53,'Данные'!L1265&lt;&gt;"Да"),"Да","Нет")</x:f>
        <x:v>Нет</x:v>
      </x:c>
      <x:c r="O1265" s="1" t="str">
        <x:f>'Данные'!L1265</x:f>
        <x:v>Нет</x:v>
      </x:c>
    </x:row>
    <x:row r="1266">
      <x:c r="A1266" s="1" t="str">
        <x:f>'Данные'!A1266</x:f>
        <x:v>202779224</x:v>
      </x:c>
      <x:c r="B1266" s="1" t="str">
        <x:f>'Данные'!B1266</x:f>
        <x:v>hudiprint/Anketa-62/черный</x:v>
      </x:c>
      <x:c r="C1266" s="8" t="n">
        <x:f>'Данные'!G1266</x:f>
        <x:v>43324</x:v>
      </x:c>
      <x:c r="D1266" s="15" t="n">
        <x:f>C1266/SUM($C$5:$C$2477)</x:f>
        <x:v>0.000050612120501692564</x:v>
      </x:c>
      <x:c r="E1266" s="15" t="n">
        <x:f>SUM($D$5:D1266)</x:f>
        <x:v>0.993382277160403</x:v>
      </x:c>
      <x:c r="F1266" s="1" t="str">
        <x:f>IF(C1266&lt;=0,"C",IF(E1266-D1266&lt;'Дашборд'!$C$49,"A",IF(E1266-D1266&lt;'Дашборд'!$C$50,"B","C")))</x:f>
        <x:v>C</x:v>
      </x:c>
      <x:c r="G1266" s="8" t="n">
        <x:f>'Данные'!F1266</x:f>
        <x:v>44</x:v>
      </x:c>
      <x:c r="H1266" s="8" t="n">
        <x:f>SUM('Данные'!H1266:I1266)</x:f>
        <x:v>78</x:v>
      </x:c>
      <x:c r="I1266" s="16" t="n">
        <x:f>IF(H1266&gt;0,G1266/H1266,"n.a.")</x:f>
        <x:v>0.5641025641025641</x:v>
      </x:c>
      <x:c r="J1266" s="10" t="n">
        <x:f>IF('Данные'!E1266&gt;0,G1266/'Данные'!E1266,"n.a.")</x:f>
        <x:v>0.0012789210556911988</x:v>
      </x:c>
      <x:c r="K1266" s="1" t="str">
        <x:f>IF(G1266&gt;='Дашборд'!$C$51,"X","Z")</x:f>
        <x:v>Z</x:v>
      </x:c>
      <x:c r="L1266" s="1" t="str">
        <x:f>IF(H1266=0,IF(G1266&gt;0,"Нет остатка","Нет спроса"),IF(I1266&gt;='Дашборд'!$C$52,"Быстрый","Медленный"))</x:f>
        <x:v>Медленный</x:v>
      </x:c>
      <x:c r="M1266" s="1" t="str">
        <x:f>IF('Данные'!E1266&lt;'Дашборд'!$C$53,"Мало трафика",IF(J1266&lt;'Дашборд'!$C$9*'Дашборд'!$C$54,"Да","Нет"))</x:f>
        <x:v>Да</x:v>
      </x:c>
      <x:c r="N1266" s="1" t="str">
        <x:f>IF(AND('Данные'!D1266&gt;='Дашборд'!$C$55,D1266&lt;'Дашборд'!$C$56,'Данные'!E1266&gt;='Дашборд'!$C$53,'Данные'!L1266&lt;&gt;"Да"),"Да","Нет")</x:f>
        <x:v>Нет</x:v>
      </x:c>
      <x:c r="O1266" s="1" t="str">
        <x:f>'Данные'!L1266</x:f>
        <x:v>Нет</x:v>
      </x:c>
    </x:row>
    <x:row r="1267">
      <x:c r="A1267" s="1" t="str">
        <x:f>'Данные'!A1267</x:f>
        <x:v>116725958</x:v>
      </x:c>
      <x:c r="B1267" s="1" t="str">
        <x:f>'Данные'!B1267</x:f>
        <x:v>longsliv/кофейный</x:v>
      </x:c>
      <x:c r="C1267" s="8" t="n">
        <x:f>'Данные'!G1267</x:f>
        <x:v>43180</x:v>
      </x:c>
      <x:c r="D1267" s="15" t="n">
        <x:f>C1267/SUM($C$5:$C$2477)</x:f>
        <x:v>0.00005044389629912023</x:v>
      </x:c>
      <x:c r="E1267" s="15" t="n">
        <x:f>SUM($D$5:D1267)</x:f>
        <x:v>0.9934327210567021</x:v>
      </x:c>
      <x:c r="F1267" s="1" t="str">
        <x:f>IF(C1267&lt;=0,"C",IF(E1267-D1267&lt;'Дашборд'!$C$49,"A",IF(E1267-D1267&lt;'Дашборд'!$C$50,"B","C")))</x:f>
        <x:v>C</x:v>
      </x:c>
      <x:c r="G1267" s="8" t="n">
        <x:f>'Данные'!F1267</x:f>
        <x:v>191</x:v>
      </x:c>
      <x:c r="H1267" s="8" t="n">
        <x:f>SUM('Данные'!H1267:I1267)</x:f>
        <x:v>786</x:v>
      </x:c>
      <x:c r="I1267" s="16" t="n">
        <x:f>IF(H1267&gt;0,G1267/H1267,"n.a.")</x:f>
        <x:v>0.2430025445292621</x:v>
      </x:c>
      <x:c r="J1267" s="10" t="n">
        <x:f>IF('Данные'!E1267&gt;0,G1267/'Данные'!E1267,"n.a.")</x:f>
        <x:v>0.018732836406433896</x:v>
      </x:c>
      <x:c r="K1267" s="1" t="str">
        <x:f>IF(G1267&gt;='Дашборд'!$C$51,"X","Z")</x:f>
        <x:v>Z</x:v>
      </x:c>
      <x:c r="L1267" s="1" t="str">
        <x:f>IF(H1267=0,IF(G1267&gt;0,"Нет остатка","Нет спроса"),IF(I1267&gt;='Дашборд'!$C$52,"Быстрый","Медленный"))</x:f>
        <x:v>Медленный</x:v>
      </x:c>
      <x:c r="M1267" s="1" t="str">
        <x:f>IF('Данные'!E1267&lt;'Дашборд'!$C$53,"Мало трафика",IF(J1267&lt;'Дашборд'!$C$9*'Дашборд'!$C$54,"Да","Нет"))</x:f>
        <x:v>Нет</x:v>
      </x:c>
      <x:c r="N1267" s="1" t="str">
        <x:f>IF(AND('Данные'!D1267&gt;='Дашборд'!$C$55,D1267&lt;'Дашборд'!$C$56,'Данные'!E1267&gt;='Дашборд'!$C$53,'Данные'!L1267&lt;&gt;"Да"),"Да","Нет")</x:f>
        <x:v>Да</x:v>
      </x:c>
      <x:c r="O1267" s="1" t="str">
        <x:f>'Данные'!L1267</x:f>
        <x:v>Нет</x:v>
      </x:c>
    </x:row>
    <x:row r="1268">
      <x:c r="A1268" s="1" t="str">
        <x:f>'Данные'!A1268</x:f>
        <x:v>28233031</x:v>
      </x:c>
      <x:c r="B1268" s="1" t="str">
        <x:f>'Данные'!B1268</x:f>
        <x:v>longsliv/бежевый</x:v>
      </x:c>
      <x:c r="C1268" s="8" t="n">
        <x:f>'Данные'!G1268</x:f>
        <x:v>43178</x:v>
      </x:c>
      <x:c r="D1268" s="15" t="n">
        <x:f>C1268/SUM($C$5:$C$2477)</x:f>
        <x:v>0.00005044155985186228</x:v>
      </x:c>
      <x:c r="E1268" s="15" t="n">
        <x:f>SUM($D$5:D1268)</x:f>
        <x:v>0.993483162616554</x:v>
      </x:c>
      <x:c r="F1268" s="1" t="str">
        <x:f>IF(C1268&lt;=0,"C",IF(E1268-D1268&lt;'Дашборд'!$C$49,"A",IF(E1268-D1268&lt;'Дашборд'!$C$50,"B","C")))</x:f>
        <x:v>C</x:v>
      </x:c>
      <x:c r="G1268" s="8" t="n">
        <x:f>'Данные'!F1268</x:f>
        <x:v>252</x:v>
      </x:c>
      <x:c r="H1268" s="8" t="n">
        <x:f>SUM('Данные'!H1268:I1268)</x:f>
        <x:v>953</x:v>
      </x:c>
      <x:c r="I1268" s="16" t="n">
        <x:f>IF(H1268&gt;0,G1268/H1268,"n.a.")</x:f>
        <x:v>0.2644281217208814</x:v>
      </x:c>
      <x:c r="J1268" s="10" t="n">
        <x:f>IF('Данные'!E1268&gt;0,G1268/'Данные'!E1268,"n.a.")</x:f>
        <x:v>0.019743027264180507</x:v>
      </x:c>
      <x:c r="K1268" s="1" t="str">
        <x:f>IF(G1268&gt;='Дашборд'!$C$51,"X","Z")</x:f>
        <x:v>Z</x:v>
      </x:c>
      <x:c r="L1268" s="1" t="str">
        <x:f>IF(H1268=0,IF(G1268&gt;0,"Нет остатка","Нет спроса"),IF(I1268&gt;='Дашборд'!$C$52,"Быстрый","Медленный"))</x:f>
        <x:v>Медленный</x:v>
      </x:c>
      <x:c r="M1268" s="1" t="str">
        <x:f>IF('Данные'!E1268&lt;'Дашборд'!$C$53,"Мало трафика",IF(J1268&lt;'Дашборд'!$C$9*'Дашборд'!$C$54,"Да","Нет"))</x:f>
        <x:v>Нет</x:v>
      </x:c>
      <x:c r="N1268" s="1" t="str">
        <x:f>IF(AND('Данные'!D1268&gt;='Дашборд'!$C$55,D1268&lt;'Дашборд'!$C$56,'Данные'!E1268&gt;='Дашборд'!$C$53,'Данные'!L1268&lt;&gt;"Да"),"Да","Нет")</x:f>
        <x:v>Да</x:v>
      </x:c>
      <x:c r="O1268" s="1" t="str">
        <x:f>'Данные'!L1268</x:f>
        <x:v>Нет</x:v>
      </x:c>
    </x:row>
    <x:row r="1269">
      <x:c r="A1269" s="1" t="str">
        <x:f>'Данные'!A1269</x:f>
        <x:v>288615741</x:v>
      </x:c>
      <x:c r="B1269" s="1" t="str">
        <x:f>'Данные'!B1269</x:f>
        <x:v>svitshotzip1/коричневый</x:v>
      </x:c>
      <x:c r="C1269" s="8" t="n">
        <x:f>'Данные'!G1269</x:f>
        <x:v>42994</x:v>
      </x:c>
      <x:c r="D1269" s="15" t="n">
        <x:f>C1269/SUM($C$5:$C$2477)</x:f>
        <x:v>0.00005022660670413097</x:v>
      </x:c>
      <x:c r="E1269" s="15" t="n">
        <x:f>SUM($D$5:D1269)</x:f>
        <x:v>0.9935333892232582</x:v>
      </x:c>
      <x:c r="F1269" s="1" t="str">
        <x:f>IF(C1269&lt;=0,"C",IF(E1269-D1269&lt;'Дашборд'!$C$49,"A",IF(E1269-D1269&lt;'Дашборд'!$C$50,"B","C")))</x:f>
        <x:v>C</x:v>
      </x:c>
      <x:c r="G1269" s="8" t="n">
        <x:f>'Данные'!F1269</x:f>
        <x:v>72</x:v>
      </x:c>
      <x:c r="H1269" s="8" t="n">
        <x:f>SUM('Данные'!H1269:I1269)</x:f>
        <x:v>1</x:v>
      </x:c>
      <x:c r="I1269" s="16" t="n">
        <x:f>IF(H1269&gt;0,G1269/H1269,"n.a.")</x:f>
        <x:v>72</x:v>
      </x:c>
      <x:c r="J1269" s="10" t="n">
        <x:f>IF('Данные'!E1269&gt;0,G1269/'Данные'!E1269,"n.a.")</x:f>
        <x:v>0.02154398563734291</x:v>
      </x:c>
      <x:c r="K1269" s="1" t="str">
        <x:f>IF(G1269&gt;='Дашборд'!$C$51,"X","Z")</x:f>
        <x:v>Z</x:v>
      </x:c>
      <x:c r="L1269" s="1" t="str">
        <x:f>IF(H1269=0,IF(G1269&gt;0,"Нет остатка","Нет спроса"),IF(I1269&gt;='Дашборд'!$C$52,"Быстрый","Медленный"))</x:f>
        <x:v>Быстрый</x:v>
      </x:c>
      <x:c r="M1269" s="1" t="str">
        <x:f>IF('Данные'!E1269&lt;'Дашборд'!$C$53,"Мало трафика",IF(J1269&lt;'Дашборд'!$C$9*'Дашборд'!$C$54,"Да","Нет"))</x:f>
        <x:v>Нет</x:v>
      </x:c>
      <x:c r="N1269" s="1" t="str">
        <x:f>IF(AND('Данные'!D1269&gt;='Дашборд'!$C$55,D1269&lt;'Дашборд'!$C$56,'Данные'!E1269&gt;='Дашборд'!$C$53,'Данные'!L1269&lt;&gt;"Да"),"Да","Нет")</x:f>
        <x:v>Да</x:v>
      </x:c>
      <x:c r="O1269" s="1" t="str">
        <x:f>'Данные'!L1269</x:f>
        <x:v>Нет</x:v>
      </x:c>
    </x:row>
    <x:row r="1270">
      <x:c r="A1270" s="1" t="str">
        <x:f>'Данные'!A1270</x:f>
        <x:v>306916573</x:v>
      </x:c>
      <x:c r="B1270" s="1" t="str">
        <x:f>'Данные'!B1270</x:f>
        <x:v>hudicropman4F-67/песочный</x:v>
      </x:c>
      <x:c r="C1270" s="8" t="n">
        <x:f>'Данные'!G1270</x:f>
        <x:v>42869</x:v>
      </x:c>
      <x:c r="D1270" s="15" t="n">
        <x:f>C1270/SUM($C$5:$C$2477)</x:f>
        <x:v>0.000050080578750509155</x:v>
      </x:c>
      <x:c r="E1270" s="15" t="n">
        <x:f>SUM($D$5:D1270)</x:f>
        <x:v>0.9935834698020087</x:v>
      </x:c>
      <x:c r="F1270" s="1" t="str">
        <x:f>IF(C1270&lt;=0,"C",IF(E1270-D1270&lt;'Дашборд'!$C$49,"A",IF(E1270-D1270&lt;'Дашборд'!$C$50,"B","C")))</x:f>
        <x:v>C</x:v>
      </x:c>
      <x:c r="G1270" s="8" t="n">
        <x:f>'Данные'!F1270</x:f>
        <x:v>57</x:v>
      </x:c>
      <x:c r="H1270" s="8" t="n">
        <x:f>SUM('Данные'!H1270:I1270)</x:f>
        <x:v>338</x:v>
      </x:c>
      <x:c r="I1270" s="16" t="n">
        <x:f>IF(H1270&gt;0,G1270/H1270,"n.a.")</x:f>
        <x:v>0.16863905325443787</x:v>
      </x:c>
      <x:c r="J1270" s="10" t="n">
        <x:f>IF('Данные'!E1270&gt;0,G1270/'Данные'!E1270,"n.a.")</x:f>
        <x:v>0.007057075646898601</x:v>
      </x:c>
      <x:c r="K1270" s="1" t="str">
        <x:f>IF(G1270&gt;='Дашборд'!$C$51,"X","Z")</x:f>
        <x:v>Z</x:v>
      </x:c>
      <x:c r="L1270" s="1" t="str">
        <x:f>IF(H1270=0,IF(G1270&gt;0,"Нет остатка","Нет спроса"),IF(I1270&gt;='Дашборд'!$C$52,"Быстрый","Медленный"))</x:f>
        <x:v>Медленный</x:v>
      </x:c>
      <x:c r="M1270" s="1" t="str">
        <x:f>IF('Данные'!E1270&lt;'Дашборд'!$C$53,"Мало трафика",IF(J1270&lt;'Дашборд'!$C$9*'Дашборд'!$C$54,"Да","Нет"))</x:f>
        <x:v>Да</x:v>
      </x:c>
      <x:c r="N1270" s="1" t="str">
        <x:f>IF(AND('Данные'!D1270&gt;='Дашборд'!$C$55,D1270&lt;'Дашборд'!$C$56,'Данные'!E1270&gt;='Дашборд'!$C$53,'Данные'!L1270&lt;&gt;"Да"),"Да","Нет")</x:f>
        <x:v>Да</x:v>
      </x:c>
      <x:c r="O1270" s="1" t="str">
        <x:f>'Данные'!L1270</x:f>
        <x:v>Нет</x:v>
      </x:c>
    </x:row>
    <x:row r="1271">
      <x:c r="A1271" s="1" t="str">
        <x:f>'Данные'!A1271</x:f>
        <x:v>365942947</x:v>
      </x:c>
      <x:c r="B1271" s="1" t="str">
        <x:f>'Данные'!B1271</x:f>
        <x:v>bazaboy/бордовый</x:v>
      </x:c>
      <x:c r="C1271" s="8" t="n">
        <x:f>'Данные'!G1271</x:f>
        <x:v>42722</x:v>
      </x:c>
      <x:c r="D1271" s="15" t="n">
        <x:f>C1271/SUM($C$5:$C$2477)</x:f>
        <x:v>0.0000499088498770499</x:v>
      </x:c>
      <x:c r="E1271" s="15" t="n">
        <x:f>SUM($D$5:D1271)</x:f>
        <x:v>0.9936333786518858</x:v>
      </x:c>
      <x:c r="F1271" s="1" t="str">
        <x:f>IF(C1271&lt;=0,"C",IF(E1271-D1271&lt;'Дашборд'!$C$49,"A",IF(E1271-D1271&lt;'Дашборд'!$C$50,"B","C")))</x:f>
        <x:v>C</x:v>
      </x:c>
      <x:c r="G1271" s="8" t="n">
        <x:f>'Данные'!F1271</x:f>
        <x:v>143</x:v>
      </x:c>
      <x:c r="H1271" s="8" t="n">
        <x:f>SUM('Данные'!H1271:I1271)</x:f>
        <x:v>526</x:v>
      </x:c>
      <x:c r="I1271" s="16" t="n">
        <x:f>IF(H1271&gt;0,G1271/H1271,"n.a.")</x:f>
        <x:v>0.2718631178707224</x:v>
      </x:c>
      <x:c r="J1271" s="10" t="n">
        <x:f>IF('Данные'!E1271&gt;0,G1271/'Данные'!E1271,"n.a.")</x:f>
        <x:v>0.02181540808543097</x:v>
      </x:c>
      <x:c r="K1271" s="1" t="str">
        <x:f>IF(G1271&gt;='Дашборд'!$C$51,"X","Z")</x:f>
        <x:v>Z</x:v>
      </x:c>
      <x:c r="L1271" s="1" t="str">
        <x:f>IF(H1271=0,IF(G1271&gt;0,"Нет остатка","Нет спроса"),IF(I1271&gt;='Дашборд'!$C$52,"Быстрый","Медленный"))</x:f>
        <x:v>Медленный</x:v>
      </x:c>
      <x:c r="M1271" s="1" t="str">
        <x:f>IF('Данные'!E1271&lt;'Дашборд'!$C$53,"Мало трафика",IF(J1271&lt;'Дашборд'!$C$9*'Дашборд'!$C$54,"Да","Нет"))</x:f>
        <x:v>Нет</x:v>
      </x:c>
      <x:c r="N1271" s="1" t="str">
        <x:f>IF(AND('Данные'!D1271&gt;='Дашборд'!$C$55,D1271&lt;'Дашборд'!$C$56,'Данные'!E1271&gt;='Дашборд'!$C$53,'Данные'!L1271&lt;&gt;"Да"),"Да","Нет")</x:f>
        <x:v>Да</x:v>
      </x:c>
      <x:c r="O1271" s="1" t="str">
        <x:f>'Данные'!L1271</x:f>
        <x:v>Нет</x:v>
      </x:c>
    </x:row>
    <x:row r="1272">
      <x:c r="A1272" s="1" t="str">
        <x:f>'Данные'!A1272</x:f>
        <x:v>344184278</x:v>
      </x:c>
      <x:c r="B1272" s="1" t="str">
        <x:f>'Данные'!B1272</x:f>
        <x:v>longslim3К-81/красный</x:v>
      </x:c>
      <x:c r="C1272" s="8" t="n">
        <x:f>'Данные'!G1272</x:f>
        <x:v>42396</x:v>
      </x:c>
      <x:c r="D1272" s="15" t="n">
        <x:f>C1272/SUM($C$5:$C$2477)</x:f>
        <x:v>0.000049528008974004195</x:v>
      </x:c>
      <x:c r="E1272" s="15" t="n">
        <x:f>SUM($D$5:D1272)</x:f>
        <x:v>0.9936829066608598</x:v>
      </x:c>
      <x:c r="F1272" s="1" t="str">
        <x:f>IF(C1272&lt;=0,"C",IF(E1272-D1272&lt;'Дашборд'!$C$49,"A",IF(E1272-D1272&lt;'Дашборд'!$C$50,"B","C")))</x:f>
        <x:v>C</x:v>
      </x:c>
      <x:c r="G1272" s="8" t="n">
        <x:f>'Данные'!F1272</x:f>
        <x:v>97</x:v>
      </x:c>
      <x:c r="H1272" s="8" t="n">
        <x:f>SUM('Данные'!H1272:I1272)</x:f>
        <x:v>397</x:v>
      </x:c>
      <x:c r="I1272" s="16" t="n">
        <x:f>IF(H1272&gt;0,G1272/H1272,"n.a.")</x:f>
        <x:v>0.24433249370277077</x:v>
      </x:c>
      <x:c r="J1272" s="10" t="n">
        <x:f>IF('Данные'!E1272&gt;0,G1272/'Данные'!E1272,"n.a.")</x:f>
        <x:v>0.008807772632343594</x:v>
      </x:c>
      <x:c r="K1272" s="1" t="str">
        <x:f>IF(G1272&gt;='Дашборд'!$C$51,"X","Z")</x:f>
        <x:v>Z</x:v>
      </x:c>
      <x:c r="L1272" s="1" t="str">
        <x:f>IF(H1272=0,IF(G1272&gt;0,"Нет остатка","Нет спроса"),IF(I1272&gt;='Дашборд'!$C$52,"Быстрый","Медленный"))</x:f>
        <x:v>Медленный</x:v>
      </x:c>
      <x:c r="M1272" s="1" t="str">
        <x:f>IF('Данные'!E1272&lt;'Дашборд'!$C$53,"Мало трафика",IF(J1272&lt;'Дашборд'!$C$9*'Дашборд'!$C$54,"Да","Нет"))</x:f>
        <x:v>Да</x:v>
      </x:c>
      <x:c r="N1272" s="1" t="str">
        <x:f>IF(AND('Данные'!D1272&gt;='Дашборд'!$C$55,D1272&lt;'Дашборд'!$C$56,'Данные'!E1272&gt;='Дашборд'!$C$53,'Данные'!L1272&lt;&gt;"Да"),"Да","Нет")</x:f>
        <x:v>Нет</x:v>
      </x:c>
      <x:c r="O1272" s="1" t="str">
        <x:f>'Данные'!L1272</x:f>
        <x:v>Нет</x:v>
      </x:c>
    </x:row>
    <x:row r="1273">
      <x:c r="A1273" s="1" t="str">
        <x:f>'Данные'!A1273</x:f>
        <x:v>261299064</x:v>
      </x:c>
      <x:c r="B1273" s="1" t="str">
        <x:f>'Данные'!B1273</x:f>
        <x:v>termoshtany/черный</x:v>
      </x:c>
      <x:c r="C1273" s="8" t="n">
        <x:f>'Данные'!G1273</x:f>
        <x:v>42141</x:v>
      </x:c>
      <x:c r="D1273" s="15" t="n">
        <x:f>C1273/SUM($C$5:$C$2477)</x:f>
        <x:v>0.000049230111948615696</x:v>
      </x:c>
      <x:c r="E1273" s="15" t="n">
        <x:f>SUM($D$5:D1273)</x:f>
        <x:v>0.9937321367728084</x:v>
      </x:c>
      <x:c r="F1273" s="1" t="str">
        <x:f>IF(C1273&lt;=0,"C",IF(E1273-D1273&lt;'Дашборд'!$C$49,"A",IF(E1273-D1273&lt;'Дашборд'!$C$50,"B","C")))</x:f>
        <x:v>C</x:v>
      </x:c>
      <x:c r="G1273" s="8" t="n">
        <x:f>'Данные'!F1273</x:f>
        <x:v>68</x:v>
      </x:c>
      <x:c r="H1273" s="8" t="n">
        <x:f>SUM('Данные'!H1273:I1273)</x:f>
        <x:v>976</x:v>
      </x:c>
      <x:c r="I1273" s="16" t="n">
        <x:f>IF(H1273&gt;0,G1273/H1273,"n.a.")</x:f>
        <x:v>0.06967213114754098</x:v>
      </x:c>
      <x:c r="J1273" s="10" t="n">
        <x:f>IF('Данные'!E1273&gt;0,G1273/'Данные'!E1273,"n.a.")</x:f>
        <x:v>0.026552128074970715</x:v>
      </x:c>
      <x:c r="K1273" s="1" t="str">
        <x:f>IF(G1273&gt;='Дашборд'!$C$51,"X","Z")</x:f>
        <x:v>Z</x:v>
      </x:c>
      <x:c r="L1273" s="1" t="str">
        <x:f>IF(H1273=0,IF(G1273&gt;0,"Нет остатка","Нет спроса"),IF(I1273&gt;='Дашборд'!$C$52,"Быстрый","Медленный"))</x:f>
        <x:v>Медленный</x:v>
      </x:c>
      <x:c r="M1273" s="1" t="str">
        <x:f>IF('Данные'!E1273&lt;'Дашборд'!$C$53,"Мало трафика",IF(J1273&lt;'Дашборд'!$C$9*'Дашборд'!$C$54,"Да","Нет"))</x:f>
        <x:v>Нет</x:v>
      </x:c>
      <x:c r="N1273" s="1" t="str">
        <x:f>IF(AND('Данные'!D1273&gt;='Дашборд'!$C$55,D1273&lt;'Дашборд'!$C$56,'Данные'!E1273&gt;='Дашборд'!$C$53,'Данные'!L1273&lt;&gt;"Да"),"Да","Нет")</x:f>
        <x:v>Да</x:v>
      </x:c>
      <x:c r="O1273" s="1" t="str">
        <x:f>'Данные'!L1273</x:f>
        <x:v>Нет</x:v>
      </x:c>
    </x:row>
    <x:row r="1274">
      <x:c r="A1274" s="1" t="str">
        <x:f>'Данные'!A1274</x:f>
        <x:v>209915712</x:v>
      </x:c>
      <x:c r="B1274" s="1" t="str">
        <x:f>'Данные'!B1274</x:f>
        <x:v>shorty/коричневый</x:v>
      </x:c>
      <x:c r="C1274" s="8" t="n">
        <x:f>'Данные'!G1274</x:f>
        <x:v>41955</x:v>
      </x:c>
      <x:c r="D1274" s="15" t="n">
        <x:f>C1274/SUM($C$5:$C$2477)</x:f>
        <x:v>0.00004901282235362643</x:v>
      </x:c>
      <x:c r="E1274" s="15" t="n">
        <x:f>SUM($D$5:D1274)</x:f>
        <x:v>0.993781149595162</x:v>
      </x:c>
      <x:c r="F1274" s="1" t="str">
        <x:f>IF(C1274&lt;=0,"C",IF(E1274-D1274&lt;'Дашборд'!$C$49,"A",IF(E1274-D1274&lt;'Дашборд'!$C$50,"B","C")))</x:f>
        <x:v>C</x:v>
      </x:c>
      <x:c r="G1274" s="8" t="n">
        <x:f>'Данные'!F1274</x:f>
        <x:v>110</x:v>
      </x:c>
      <x:c r="H1274" s="8" t="n">
        <x:f>SUM('Данные'!H1274:I1274)</x:f>
        <x:v>112</x:v>
      </x:c>
      <x:c r="I1274" s="16" t="n">
        <x:f>IF(H1274&gt;0,G1274/H1274,"n.a.")</x:f>
        <x:v>0.9821428571428571</x:v>
      </x:c>
      <x:c r="J1274" s="10" t="n">
        <x:f>IF('Данные'!E1274&gt;0,G1274/'Данные'!E1274,"n.a.")</x:f>
        <x:v>0.01094963169420665</x:v>
      </x:c>
      <x:c r="K1274" s="1" t="str">
        <x:f>IF(G1274&gt;='Дашборд'!$C$51,"X","Z")</x:f>
        <x:v>Z</x:v>
      </x:c>
      <x:c r="L1274" s="1" t="str">
        <x:f>IF(H1274=0,IF(G1274&gt;0,"Нет остатка","Нет спроса"),IF(I1274&gt;='Дашборд'!$C$52,"Быстрый","Медленный"))</x:f>
        <x:v>Медленный</x:v>
      </x:c>
      <x:c r="M1274" s="1" t="str">
        <x:f>IF('Данные'!E1274&lt;'Дашборд'!$C$53,"Мало трафика",IF(J1274&lt;'Дашборд'!$C$9*'Дашборд'!$C$54,"Да","Нет"))</x:f>
        <x:v>Нет</x:v>
      </x:c>
      <x:c r="N1274" s="1" t="str">
        <x:f>IF(AND('Данные'!D1274&gt;='Дашборд'!$C$55,D1274&lt;'Дашборд'!$C$56,'Данные'!E1274&gt;='Дашборд'!$C$53,'Данные'!L1274&lt;&gt;"Да"),"Да","Нет")</x:f>
        <x:v>Нет</x:v>
      </x:c>
      <x:c r="O1274" s="1" t="str">
        <x:f>'Данные'!L1274</x:f>
        <x:v>Нет</x:v>
      </x:c>
    </x:row>
    <x:row r="1275">
      <x:c r="A1275" s="1" t="str">
        <x:f>'Данные'!A1275</x:f>
        <x:v>313770762</x:v>
      </x:c>
      <x:c r="B1275" s="1" t="str">
        <x:f>'Данные'!B1275</x:f>
        <x:v>futbolkagirl/голубой</x:v>
      </x:c>
      <x:c r="C1275" s="8" t="n">
        <x:f>'Данные'!G1275</x:f>
        <x:v>41806</x:v>
      </x:c>
      <x:c r="D1275" s="15" t="n">
        <x:f>C1275/SUM($C$5:$C$2477)</x:f>
        <x:v>0.00004883875703290922</x:v>
      </x:c>
      <x:c r="E1275" s="15" t="n">
        <x:f>SUM($D$5:D1275)</x:f>
        <x:v>0.9938299883521948</x:v>
      </x:c>
      <x:c r="F1275" s="1" t="str">
        <x:f>IF(C1275&lt;=0,"C",IF(E1275-D1275&lt;'Дашборд'!$C$49,"A",IF(E1275-D1275&lt;'Дашборд'!$C$50,"B","C")))</x:f>
        <x:v>C</x:v>
      </x:c>
      <x:c r="G1275" s="8" t="n">
        <x:f>'Данные'!F1275</x:f>
        <x:v>117</x:v>
      </x:c>
      <x:c r="H1275" s="8" t="n">
        <x:f>SUM('Данные'!H1275:I1275)</x:f>
        <x:v>0</x:v>
      </x:c>
      <x:c r="I1275" s="16" t="str">
        <x:f>IF(H1275&gt;0,G1275/H1275,"n.a.")</x:f>
        <x:v>n.a.</x:v>
      </x:c>
      <x:c r="J1275" s="10" t="n">
        <x:f>IF('Данные'!E1275&gt;0,G1275/'Данные'!E1275,"n.a.")</x:f>
        <x:v>0.0055836594444974704</x:v>
      </x:c>
      <x:c r="K1275" s="1" t="str">
        <x:f>IF(G1275&gt;='Дашборд'!$C$51,"X","Z")</x:f>
        <x:v>Z</x:v>
      </x:c>
      <x:c r="L1275" s="1" t="str">
        <x:f>IF(H1275=0,IF(G1275&gt;0,"Нет остатка","Нет спроса"),IF(I1275&gt;='Дашборд'!$C$52,"Быстрый","Медленный"))</x:f>
        <x:v>Нет остатка</x:v>
      </x:c>
      <x:c r="M1275" s="1" t="str">
        <x:f>IF('Данные'!E1275&lt;'Дашборд'!$C$53,"Мало трафика",IF(J1275&lt;'Дашборд'!$C$9*'Дашборд'!$C$54,"Да","Нет"))</x:f>
        <x:v>Да</x:v>
      </x:c>
      <x:c r="N1275" s="1" t="str">
        <x:f>IF(AND('Данные'!D1275&gt;='Дашборд'!$C$55,D1275&lt;'Дашборд'!$C$56,'Данные'!E1275&gt;='Дашборд'!$C$53,'Данные'!L1275&lt;&gt;"Да"),"Да","Нет")</x:f>
        <x:v>Да</x:v>
      </x:c>
      <x:c r="O1275" s="1" t="str">
        <x:f>'Данные'!L1275</x:f>
        <x:v>Нет</x:v>
      </x:c>
    </x:row>
    <x:row r="1276">
      <x:c r="A1276" s="1" t="str">
        <x:f>'Данные'!A1276</x:f>
        <x:v>316105860</x:v>
      </x:c>
      <x:c r="B1276" s="1" t="str">
        <x:f>'Данные'!B1276</x:f>
        <x:v>futbolkaprint/Bright-266/бордовый</x:v>
      </x:c>
      <x:c r="C1276" s="8" t="n">
        <x:f>'Данные'!G1276</x:f>
        <x:v>41533</x:v>
      </x:c>
      <x:c r="D1276" s="15" t="n">
        <x:f>C1276/SUM($C$5:$C$2477)</x:f>
        <x:v>0.00004851983198219918</x:v>
      </x:c>
      <x:c r="E1276" s="15" t="n">
        <x:f>SUM($D$5:D1276)</x:f>
        <x:v>0.993878508184177</x:v>
      </x:c>
      <x:c r="F1276" s="1" t="str">
        <x:f>IF(C1276&lt;=0,"C",IF(E1276-D1276&lt;'Дашборд'!$C$49,"A",IF(E1276-D1276&lt;'Дашборд'!$C$50,"B","C")))</x:f>
        <x:v>C</x:v>
      </x:c>
      <x:c r="G1276" s="8" t="n">
        <x:f>'Данные'!F1276</x:f>
        <x:v>63</x:v>
      </x:c>
      <x:c r="H1276" s="8" t="n">
        <x:f>SUM('Данные'!H1276:I1276)</x:f>
        <x:v>1338</x:v>
      </x:c>
      <x:c r="I1276" s="16" t="n">
        <x:f>IF(H1276&gt;0,G1276/H1276,"n.a.")</x:f>
        <x:v>0.04708520179372197</x:v>
      </x:c>
      <x:c r="J1276" s="10" t="n">
        <x:f>IF('Данные'!E1276&gt;0,G1276/'Данные'!E1276,"n.a.")</x:f>
        <x:v>0.0050011907597046915</x:v>
      </x:c>
      <x:c r="K1276" s="1" t="str">
        <x:f>IF(G1276&gt;='Дашборд'!$C$51,"X","Z")</x:f>
        <x:v>Z</x:v>
      </x:c>
      <x:c r="L1276" s="1" t="str">
        <x:f>IF(H1276=0,IF(G1276&gt;0,"Нет остатка","Нет спроса"),IF(I1276&gt;='Дашборд'!$C$52,"Быстрый","Медленный"))</x:f>
        <x:v>Медленный</x:v>
      </x:c>
      <x:c r="M1276" s="1" t="str">
        <x:f>IF('Данные'!E1276&lt;'Дашборд'!$C$53,"Мало трафика",IF(J1276&lt;'Дашборд'!$C$9*'Дашборд'!$C$54,"Да","Нет"))</x:f>
        <x:v>Да</x:v>
      </x:c>
      <x:c r="N1276" s="1" t="str">
        <x:f>IF(AND('Данные'!D1276&gt;='Дашборд'!$C$55,D1276&lt;'Дашборд'!$C$56,'Данные'!E1276&gt;='Дашборд'!$C$53,'Данные'!L1276&lt;&gt;"Да"),"Да","Нет")</x:f>
        <x:v>Да</x:v>
      </x:c>
      <x:c r="O1276" s="1" t="str">
        <x:f>'Данные'!L1276</x:f>
        <x:v>Нет</x:v>
      </x:c>
    </x:row>
    <x:row r="1277">
      <x:c r="A1277" s="1" t="str">
        <x:f>'Данные'!A1277</x:f>
        <x:v>300305943</x:v>
      </x:c>
      <x:c r="B1277" s="1" t="str">
        <x:f>'Данные'!B1277</x:f>
        <x:v>palazzonachos/кофейный</x:v>
      </x:c>
      <x:c r="C1277" s="8" t="n">
        <x:f>'Данные'!G1277</x:f>
        <x:v>41040</x:v>
      </x:c>
      <x:c r="D1277" s="15" t="n">
        <x:f>C1277/SUM($C$5:$C$2477)</x:f>
        <x:v>0.00004794389773311473</x:v>
      </x:c>
      <x:c r="E1277" s="15" t="n">
        <x:f>SUM($D$5:D1277)</x:f>
        <x:v>0.9939264520819101</x:v>
      </x:c>
      <x:c r="F1277" s="1" t="str">
        <x:f>IF(C1277&lt;=0,"C",IF(E1277-D1277&lt;'Дашборд'!$C$49,"A",IF(E1277-D1277&lt;'Дашборд'!$C$50,"B","C")))</x:f>
        <x:v>C</x:v>
      </x:c>
      <x:c r="G1277" s="8" t="n">
        <x:f>'Данные'!F1277</x:f>
        <x:v>65</x:v>
      </x:c>
      <x:c r="H1277" s="8" t="n">
        <x:f>SUM('Данные'!H1277:I1277)</x:f>
        <x:v>471</x:v>
      </x:c>
      <x:c r="I1277" s="16" t="n">
        <x:f>IF(H1277&gt;0,G1277/H1277,"n.a.")</x:f>
        <x:v>0.13800424628450106</x:v>
      </x:c>
      <x:c r="J1277" s="10" t="n">
        <x:f>IF('Данные'!E1277&gt;0,G1277/'Данные'!E1277,"n.a.")</x:f>
        <x:v>0.005886081680702707</x:v>
      </x:c>
      <x:c r="K1277" s="1" t="str">
        <x:f>IF(G1277&gt;='Дашборд'!$C$51,"X","Z")</x:f>
        <x:v>Z</x:v>
      </x:c>
      <x:c r="L1277" s="1" t="str">
        <x:f>IF(H1277=0,IF(G1277&gt;0,"Нет остатка","Нет спроса"),IF(I1277&gt;='Дашборд'!$C$52,"Быстрый","Медленный"))</x:f>
        <x:v>Медленный</x:v>
      </x:c>
      <x:c r="M1277" s="1" t="str">
        <x:f>IF('Данные'!E1277&lt;'Дашборд'!$C$53,"Мало трафика",IF(J1277&lt;'Дашборд'!$C$9*'Дашборд'!$C$54,"Да","Нет"))</x:f>
        <x:v>Да</x:v>
      </x:c>
      <x:c r="N1277" s="1" t="str">
        <x:f>IF(AND('Данные'!D1277&gt;='Дашборд'!$C$55,D1277&lt;'Дашборд'!$C$56,'Данные'!E1277&gt;='Дашборд'!$C$53,'Данные'!L1277&lt;&gt;"Да"),"Да","Нет")</x:f>
        <x:v>Нет</x:v>
      </x:c>
      <x:c r="O1277" s="1" t="str">
        <x:f>'Данные'!L1277</x:f>
        <x:v>Нет</x:v>
      </x:c>
    </x:row>
    <x:row r="1278">
      <x:c r="A1278" s="1" t="str">
        <x:f>'Данные'!A1278</x:f>
        <x:v>29348499</x:v>
      </x:c>
      <x:c r="B1278" s="1" t="str">
        <x:f>'Данные'!B1278</x:f>
        <x:v>longsliv/эвкалипт</x:v>
      </x:c>
      <x:c r="C1278" s="8" t="n">
        <x:f>'Данные'!G1278</x:f>
        <x:v>40980</x:v>
      </x:c>
      <x:c r="D1278" s="15" t="n">
        <x:f>C1278/SUM($C$5:$C$2477)</x:f>
        <x:v>0.000047873804315376265</x:v>
      </x:c>
      <x:c r="E1278" s="15" t="n">
        <x:f>SUM($D$5:D1278)</x:f>
        <x:v>0.9939743258862255</x:v>
      </x:c>
      <x:c r="F1278" s="1" t="str">
        <x:f>IF(C1278&lt;=0,"C",IF(E1278-D1278&lt;'Дашборд'!$C$49,"A",IF(E1278-D1278&lt;'Дашборд'!$C$50,"B","C")))</x:f>
        <x:v>C</x:v>
      </x:c>
      <x:c r="G1278" s="8" t="n">
        <x:f>'Данные'!F1278</x:f>
        <x:v>146</x:v>
      </x:c>
      <x:c r="H1278" s="8" t="n">
        <x:f>SUM('Данные'!H1278:I1278)</x:f>
        <x:v>651</x:v>
      </x:c>
      <x:c r="I1278" s="16" t="n">
        <x:f>IF(H1278&gt;0,G1278/H1278,"n.a.")</x:f>
        <x:v>0.22427035330261136</x:v>
      </x:c>
      <x:c r="J1278" s="10" t="n">
        <x:f>IF('Данные'!E1278&gt;0,G1278/'Данные'!E1278,"n.a.")</x:f>
        <x:v>0.011232497307278043</x:v>
      </x:c>
      <x:c r="K1278" s="1" t="str">
        <x:f>IF(G1278&gt;='Дашборд'!$C$51,"X","Z")</x:f>
        <x:v>Z</x:v>
      </x:c>
      <x:c r="L1278" s="1" t="str">
        <x:f>IF(H1278=0,IF(G1278&gt;0,"Нет остатка","Нет спроса"),IF(I1278&gt;='Дашборд'!$C$52,"Быстрый","Медленный"))</x:f>
        <x:v>Медленный</x:v>
      </x:c>
      <x:c r="M1278" s="1" t="str">
        <x:f>IF('Данные'!E1278&lt;'Дашборд'!$C$53,"Мало трафика",IF(J1278&lt;'Дашборд'!$C$9*'Дашборд'!$C$54,"Да","Нет"))</x:f>
        <x:v>Нет</x:v>
      </x:c>
      <x:c r="N1278" s="1" t="str">
        <x:f>IF(AND('Данные'!D1278&gt;='Дашборд'!$C$55,D1278&lt;'Дашборд'!$C$56,'Данные'!E1278&gt;='Дашборд'!$C$53,'Данные'!L1278&lt;&gt;"Да"),"Да","Нет")</x:f>
        <x:v>Да</x:v>
      </x:c>
      <x:c r="O1278" s="1" t="str">
        <x:f>'Данные'!L1278</x:f>
        <x:v>Нет</x:v>
      </x:c>
    </x:row>
    <x:row r="1279">
      <x:c r="A1279" s="1" t="str">
        <x:f>'Данные'!A1279</x:f>
        <x:v>195712683</x:v>
      </x:c>
      <x:c r="B1279" s="1" t="str">
        <x:f>'Данные'!B1279</x:f>
        <x:v>sweater/фиолетовый</x:v>
      </x:c>
      <x:c r="C1279" s="8" t="n">
        <x:f>'Данные'!G1279</x:f>
        <x:v>40956</x:v>
      </x:c>
      <x:c r="D1279" s="15" t="n">
        <x:f>C1279/SUM($C$5:$C$2477)</x:f>
        <x:v>0.00004784576694828087</x:v>
      </x:c>
      <x:c r="E1279" s="15" t="n">
        <x:f>SUM($D$5:D1279)</x:f>
        <x:v>0.9940221716531737</x:v>
      </x:c>
      <x:c r="F1279" s="1" t="str">
        <x:f>IF(C1279&lt;=0,"C",IF(E1279-D1279&lt;'Дашборд'!$C$49,"A",IF(E1279-D1279&lt;'Дашборд'!$C$50,"B","C")))</x:f>
        <x:v>C</x:v>
      </x:c>
      <x:c r="G1279" s="8" t="n">
        <x:f>'Данные'!F1279</x:f>
        <x:v>57</x:v>
      </x:c>
      <x:c r="H1279" s="8" t="n">
        <x:f>SUM('Данные'!H1279:I1279)</x:f>
        <x:v>10</x:v>
      </x:c>
      <x:c r="I1279" s="16" t="n">
        <x:f>IF(H1279&gt;0,G1279/H1279,"n.a.")</x:f>
        <x:v>5.7</x:v>
      </x:c>
      <x:c r="J1279" s="10" t="n">
        <x:f>IF('Данные'!E1279&gt;0,G1279/'Данные'!E1279,"n.a.")</x:f>
        <x:v>0.009897551658274006</x:v>
      </x:c>
      <x:c r="K1279" s="1" t="str">
        <x:f>IF(G1279&gt;='Дашборд'!$C$51,"X","Z")</x:f>
        <x:v>Z</x:v>
      </x:c>
      <x:c r="L1279" s="1" t="str">
        <x:f>IF(H1279=0,IF(G1279&gt;0,"Нет остатка","Нет спроса"),IF(I1279&gt;='Дашборд'!$C$52,"Быстрый","Медленный"))</x:f>
        <x:v>Быстрый</x:v>
      </x:c>
      <x:c r="M1279" s="1" t="str">
        <x:f>IF('Данные'!E1279&lt;'Дашборд'!$C$53,"Мало трафика",IF(J1279&lt;'Дашборд'!$C$9*'Дашборд'!$C$54,"Да","Нет"))</x:f>
        <x:v>Да</x:v>
      </x:c>
      <x:c r="N1279" s="1" t="str">
        <x:f>IF(AND('Данные'!D1279&gt;='Дашборд'!$C$55,D1279&lt;'Дашборд'!$C$56,'Данные'!E1279&gt;='Дашборд'!$C$53,'Данные'!L1279&lt;&gt;"Да"),"Да","Нет")</x:f>
        <x:v>Да</x:v>
      </x:c>
      <x:c r="O1279" s="1" t="str">
        <x:f>'Данные'!L1279</x:f>
        <x:v>Нет</x:v>
      </x:c>
    </x:row>
    <x:row r="1280">
      <x:c r="A1280" s="1" t="str">
        <x:f>'Данные'!A1280</x:f>
        <x:v>235997585</x:v>
      </x:c>
      <x:c r="B1280" s="1" t="str">
        <x:f>'Данные'!B1280</x:f>
        <x:v>bazaboy/серый</x:v>
      </x:c>
      <x:c r="C1280" s="8" t="n">
        <x:f>'Данные'!G1280</x:f>
        <x:v>40638</x:v>
      </x:c>
      <x:c r="D1280" s="15" t="n">
        <x:f>C1280/SUM($C$5:$C$2477)</x:f>
        <x:v>0.000047474271834266976</x:v>
      </x:c>
      <x:c r="E1280" s="15" t="n">
        <x:f>SUM($D$5:D1280)</x:f>
        <x:v>0.994069645925008</x:v>
      </x:c>
      <x:c r="F1280" s="1" t="str">
        <x:f>IF(C1280&lt;=0,"C",IF(E1280-D1280&lt;'Дашборд'!$C$49,"A",IF(E1280-D1280&lt;'Дашборд'!$C$50,"B","C")))</x:f>
        <x:v>C</x:v>
      </x:c>
      <x:c r="G1280" s="8" t="n">
        <x:f>'Данные'!F1280</x:f>
        <x:v>179</x:v>
      </x:c>
      <x:c r="H1280" s="8" t="n">
        <x:f>SUM('Данные'!H1280:I1280)</x:f>
        <x:v>376</x:v>
      </x:c>
      <x:c r="I1280" s="16" t="n">
        <x:f>IF(H1280&gt;0,G1280/H1280,"n.a.")</x:f>
        <x:v>0.47606382978723405</x:v>
      </x:c>
      <x:c r="J1280" s="10" t="n">
        <x:f>IF('Данные'!E1280&gt;0,G1280/'Данные'!E1280,"n.a.")</x:f>
        <x:v>0.027790715727371525</x:v>
      </x:c>
      <x:c r="K1280" s="1" t="str">
        <x:f>IF(G1280&gt;='Дашборд'!$C$51,"X","Z")</x:f>
        <x:v>Z</x:v>
      </x:c>
      <x:c r="L1280" s="1" t="str">
        <x:f>IF(H1280=0,IF(G1280&gt;0,"Нет остатка","Нет спроса"),IF(I1280&gt;='Дашборд'!$C$52,"Быстрый","Медленный"))</x:f>
        <x:v>Медленный</x:v>
      </x:c>
      <x:c r="M1280" s="1" t="str">
        <x:f>IF('Данные'!E1280&lt;'Дашборд'!$C$53,"Мало трафика",IF(J1280&lt;'Дашборд'!$C$9*'Дашборд'!$C$54,"Да","Нет"))</x:f>
        <x:v>Нет</x:v>
      </x:c>
      <x:c r="N1280" s="1" t="str">
        <x:f>IF(AND('Данные'!D1280&gt;='Дашборд'!$C$55,D1280&lt;'Дашборд'!$C$56,'Данные'!E1280&gt;='Дашборд'!$C$53,'Данные'!L1280&lt;&gt;"Да"),"Да","Нет")</x:f>
        <x:v>Да</x:v>
      </x:c>
      <x:c r="O1280" s="1" t="str">
        <x:f>'Данные'!L1280</x:f>
        <x:v>Нет</x:v>
      </x:c>
    </x:row>
    <x:row r="1281">
      <x:c r="A1281" s="1" t="str">
        <x:f>'Данные'!A1281</x:f>
        <x:v>313770775</x:v>
      </x:c>
      <x:c r="B1281" s="1" t="str">
        <x:f>'Данные'!B1281</x:f>
        <x:v>futbolkagirl/хаки</x:v>
      </x:c>
      <x:c r="C1281" s="8" t="n">
        <x:f>'Данные'!G1281</x:f>
        <x:v>40509</x:v>
      </x:c>
      <x:c r="D1281" s="15" t="n">
        <x:f>C1281/SUM($C$5:$C$2477)</x:f>
        <x:v>0.00004732357098612926</x:v>
      </x:c>
      <x:c r="E1281" s="15" t="n">
        <x:f>SUM($D$5:D1281)</x:f>
        <x:v>0.9941169694959942</x:v>
      </x:c>
      <x:c r="F1281" s="1" t="str">
        <x:f>IF(C1281&lt;=0,"C",IF(E1281-D1281&lt;'Дашборд'!$C$49,"A",IF(E1281-D1281&lt;'Дашборд'!$C$50,"B","C")))</x:f>
        <x:v>C</x:v>
      </x:c>
      <x:c r="G1281" s="8" t="n">
        <x:f>'Данные'!F1281</x:f>
        <x:v>138</x:v>
      </x:c>
      <x:c r="H1281" s="8" t="n">
        <x:f>SUM('Данные'!H1281:I1281)</x:f>
        <x:v>220</x:v>
      </x:c>
      <x:c r="I1281" s="16" t="n">
        <x:f>IF(H1281&gt;0,G1281/H1281,"n.a.")</x:f>
        <x:v>0.6272727272727273</x:v>
      </x:c>
      <x:c r="J1281" s="10" t="n">
        <x:f>IF('Данные'!E1281&gt;0,G1281/'Данные'!E1281,"n.a.")</x:f>
        <x:v>0.0067156552630298315</x:v>
      </x:c>
      <x:c r="K1281" s="1" t="str">
        <x:f>IF(G1281&gt;='Дашборд'!$C$51,"X","Z")</x:f>
        <x:v>Z</x:v>
      </x:c>
      <x:c r="L1281" s="1" t="str">
        <x:f>IF(H1281=0,IF(G1281&gt;0,"Нет остатка","Нет спроса"),IF(I1281&gt;='Дашборд'!$C$52,"Быстрый","Медленный"))</x:f>
        <x:v>Медленный</x:v>
      </x:c>
      <x:c r="M1281" s="1" t="str">
        <x:f>IF('Данные'!E1281&lt;'Дашборд'!$C$53,"Мало трафика",IF(J1281&lt;'Дашборд'!$C$9*'Дашборд'!$C$54,"Да","Нет"))</x:f>
        <x:v>Да</x:v>
      </x:c>
      <x:c r="N1281" s="1" t="str">
        <x:f>IF(AND('Данные'!D1281&gt;='Дашборд'!$C$55,D1281&lt;'Дашборд'!$C$56,'Данные'!E1281&gt;='Дашборд'!$C$53,'Данные'!L1281&lt;&gt;"Да"),"Да","Нет")</x:f>
        <x:v>Да</x:v>
      </x:c>
      <x:c r="O1281" s="1" t="str">
        <x:f>'Данные'!L1281</x:f>
        <x:v>Нет</x:v>
      </x:c>
    </x:row>
    <x:row r="1282">
      <x:c r="A1282" s="1" t="str">
        <x:f>'Данные'!A1282</x:f>
        <x:v>256339618</x:v>
      </x:c>
      <x:c r="B1282" s="1" t="str">
        <x:f>'Данные'!B1282</x:f>
        <x:v>futbolkaoverhlop/какао</x:v>
      </x:c>
      <x:c r="C1282" s="8" t="n">
        <x:f>'Данные'!G1282</x:f>
        <x:v>39940</x:v>
      </x:c>
      <x:c r="D1282" s="15" t="n">
        <x:f>C1282/SUM($C$5:$C$2477)</x:f>
        <x:v>0.000046658851741242755</x:v>
      </x:c>
      <x:c r="E1282" s="15" t="n">
        <x:f>SUM($D$5:D1282)</x:f>
        <x:v>0.9941636283477354</x:v>
      </x:c>
      <x:c r="F1282" s="1" t="str">
        <x:f>IF(C1282&lt;=0,"C",IF(E1282-D1282&lt;'Дашборд'!$C$49,"A",IF(E1282-D1282&lt;'Дашборд'!$C$50,"B","C")))</x:f>
        <x:v>C</x:v>
      </x:c>
      <x:c r="G1282" s="8" t="n">
        <x:f>'Данные'!F1282</x:f>
        <x:v>109</x:v>
      </x:c>
      <x:c r="H1282" s="8" t="n">
        <x:f>SUM('Данные'!H1282:I1282)</x:f>
        <x:v>348</x:v>
      </x:c>
      <x:c r="I1282" s="16" t="n">
        <x:f>IF(H1282&gt;0,G1282/H1282,"n.a.")</x:f>
        <x:v>0.3132183908045977</x:v>
      </x:c>
      <x:c r="J1282" s="10" t="n">
        <x:f>IF('Данные'!E1282&gt;0,G1282/'Данные'!E1282,"n.a.")</x:f>
        <x:v>0.007292433264200174</x:v>
      </x:c>
      <x:c r="K1282" s="1" t="str">
        <x:f>IF(G1282&gt;='Дашборд'!$C$51,"X","Z")</x:f>
        <x:v>Z</x:v>
      </x:c>
      <x:c r="L1282" s="1" t="str">
        <x:f>IF(H1282=0,IF(G1282&gt;0,"Нет остатка","Нет спроса"),IF(I1282&gt;='Дашборд'!$C$52,"Быстрый","Медленный"))</x:f>
        <x:v>Медленный</x:v>
      </x:c>
      <x:c r="M1282" s="1" t="str">
        <x:f>IF('Данные'!E1282&lt;'Дашборд'!$C$53,"Мало трафика",IF(J1282&lt;'Дашборд'!$C$9*'Дашборд'!$C$54,"Да","Нет"))</x:f>
        <x:v>Да</x:v>
      </x:c>
      <x:c r="N1282" s="1" t="str">
        <x:f>IF(AND('Данные'!D1282&gt;='Дашборд'!$C$55,D1282&lt;'Дашборд'!$C$56,'Данные'!E1282&gt;='Дашборд'!$C$53,'Данные'!L1282&lt;&gt;"Да"),"Да","Нет")</x:f>
        <x:v>Да</x:v>
      </x:c>
      <x:c r="O1282" s="1" t="str">
        <x:f>'Данные'!L1282</x:f>
        <x:v>Нет</x:v>
      </x:c>
    </x:row>
    <x:row r="1283">
      <x:c r="A1283" s="1" t="str">
        <x:f>'Данные'!A1283</x:f>
        <x:v>231458799</x:v>
      </x:c>
      <x:c r="B1283" s="1" t="str">
        <x:f>'Данные'!B1283</x:f>
        <x:v>futbolkagirl/салатовый</x:v>
      </x:c>
      <x:c r="C1283" s="8" t="n">
        <x:f>'Данные'!G1283</x:f>
        <x:v>39897</x:v>
      </x:c>
      <x:c r="D1283" s="15" t="n">
        <x:f>C1283/SUM($C$5:$C$2477)</x:f>
        <x:v>0.000046608618125196845</x:v>
      </x:c>
      <x:c r="E1283" s="15" t="n">
        <x:f>SUM($D$5:D1283)</x:f>
        <x:v>0.9942102369658606</x:v>
      </x:c>
      <x:c r="F1283" s="1" t="str">
        <x:f>IF(C1283&lt;=0,"C",IF(E1283-D1283&lt;'Дашборд'!$C$49,"A",IF(E1283-D1283&lt;'Дашборд'!$C$50,"B","C")))</x:f>
        <x:v>C</x:v>
      </x:c>
      <x:c r="G1283" s="8" t="n">
        <x:f>'Данные'!F1283</x:f>
        <x:v>111</x:v>
      </x:c>
      <x:c r="H1283" s="8" t="n">
        <x:f>SUM('Данные'!H1283:I1283)</x:f>
        <x:v>0</x:v>
      </x:c>
      <x:c r="I1283" s="16" t="str">
        <x:f>IF(H1283&gt;0,G1283/H1283,"n.a.")</x:f>
        <x:v>n.a.</x:v>
      </x:c>
      <x:c r="J1283" s="10" t="n">
        <x:f>IF('Данные'!E1283&gt;0,G1283/'Данные'!E1283,"n.a.")</x:f>
        <x:v>0.0049213034803812904</x:v>
      </x:c>
      <x:c r="K1283" s="1" t="str">
        <x:f>IF(G1283&gt;='Дашборд'!$C$51,"X","Z")</x:f>
        <x:v>Z</x:v>
      </x:c>
      <x:c r="L1283" s="1" t="str">
        <x:f>IF(H1283=0,IF(G1283&gt;0,"Нет остатка","Нет спроса"),IF(I1283&gt;='Дашборд'!$C$52,"Быстрый","Медленный"))</x:f>
        <x:v>Нет остатка</x:v>
      </x:c>
      <x:c r="M1283" s="1" t="str">
        <x:f>IF('Данные'!E1283&lt;'Дашборд'!$C$53,"Мало трафика",IF(J1283&lt;'Дашборд'!$C$9*'Дашборд'!$C$54,"Да","Нет"))</x:f>
        <x:v>Да</x:v>
      </x:c>
      <x:c r="N1283" s="1" t="str">
        <x:f>IF(AND('Данные'!D1283&gt;='Дашборд'!$C$55,D1283&lt;'Дашборд'!$C$56,'Данные'!E1283&gt;='Дашборд'!$C$53,'Данные'!L1283&lt;&gt;"Да"),"Да","Нет")</x:f>
        <x:v>Да</x:v>
      </x:c>
      <x:c r="O1283" s="1" t="str">
        <x:f>'Данные'!L1283</x:f>
        <x:v>Нет</x:v>
      </x:c>
    </x:row>
    <x:row r="1284">
      <x:c r="A1284" s="1" t="str">
        <x:f>'Данные'!A1284</x:f>
        <x:v>195712673</x:v>
      </x:c>
      <x:c r="B1284" s="1" t="str">
        <x:f>'Данные'!B1284</x:f>
        <x:v>sweater/красный</x:v>
      </x:c>
      <x:c r="C1284" s="8" t="n">
        <x:f>'Данные'!G1284</x:f>
        <x:v>39835</x:v>
      </x:c>
      <x:c r="D1284" s="15" t="n">
        <x:f>C1284/SUM($C$5:$C$2477)</x:f>
        <x:v>0.00004653618826020043</x:v>
      </x:c>
      <x:c r="E1284" s="15" t="n">
        <x:f>SUM($D$5:D1284)</x:f>
        <x:v>0.9942567731541209</x:v>
      </x:c>
      <x:c r="F1284" s="1" t="str">
        <x:f>IF(C1284&lt;=0,"C",IF(E1284-D1284&lt;'Дашборд'!$C$49,"A",IF(E1284-D1284&lt;'Дашборд'!$C$50,"B","C")))</x:f>
        <x:v>C</x:v>
      </x:c>
      <x:c r="G1284" s="8" t="n">
        <x:f>'Данные'!F1284</x:f>
        <x:v>57</x:v>
      </x:c>
      <x:c r="H1284" s="8" t="n">
        <x:f>SUM('Данные'!H1284:I1284)</x:f>
        <x:v>53</x:v>
      </x:c>
      <x:c r="I1284" s="16" t="n">
        <x:f>IF(H1284&gt;0,G1284/H1284,"n.a.")</x:f>
        <x:v>1.0754716981132075</x:v>
      </x:c>
      <x:c r="J1284" s="10" t="n">
        <x:f>IF('Данные'!E1284&gt;0,G1284/'Данные'!E1284,"n.a.")</x:f>
        <x:v>0.021111111111111112</x:v>
      </x:c>
      <x:c r="K1284" s="1" t="str">
        <x:f>IF(G1284&gt;='Дашборд'!$C$51,"X","Z")</x:f>
        <x:v>Z</x:v>
      </x:c>
      <x:c r="L1284" s="1" t="str">
        <x:f>IF(H1284=0,IF(G1284&gt;0,"Нет остатка","Нет спроса"),IF(I1284&gt;='Дашборд'!$C$52,"Быстрый","Медленный"))</x:f>
        <x:v>Быстрый</x:v>
      </x:c>
      <x:c r="M1284" s="1" t="str">
        <x:f>IF('Данные'!E1284&lt;'Дашборд'!$C$53,"Мало трафика",IF(J1284&lt;'Дашборд'!$C$9*'Дашборд'!$C$54,"Да","Нет"))</x:f>
        <x:v>Нет</x:v>
      </x:c>
      <x:c r="N1284" s="1" t="str">
        <x:f>IF(AND('Данные'!D1284&gt;='Дашборд'!$C$55,D1284&lt;'Дашборд'!$C$56,'Данные'!E1284&gt;='Дашборд'!$C$53,'Данные'!L1284&lt;&gt;"Да"),"Да","Нет")</x:f>
        <x:v>Да</x:v>
      </x:c>
      <x:c r="O1284" s="1" t="str">
        <x:f>'Данные'!L1284</x:f>
        <x:v>Нет</x:v>
      </x:c>
    </x:row>
    <x:row r="1285">
      <x:c r="A1285" s="1" t="str">
        <x:f>'Данные'!A1285</x:f>
        <x:v>29349032</x:v>
      </x:c>
      <x:c r="B1285" s="1" t="str">
        <x:f>'Данные'!B1285</x:f>
        <x:v>longsliv/пудровый</x:v>
      </x:c>
      <x:c r="C1285" s="8" t="n">
        <x:f>'Данные'!G1285</x:f>
        <x:v>39781</x:v>
      </x:c>
      <x:c r="D1285" s="15" t="n">
        <x:f>C1285/SUM($C$5:$C$2477)</x:f>
        <x:v>0.000046473104184235804</x:v>
      </x:c>
      <x:c r="E1285" s="15" t="n">
        <x:f>SUM($D$5:D1285)</x:f>
        <x:v>0.9943032462583051</x:v>
      </x:c>
      <x:c r="F1285" s="1" t="str">
        <x:f>IF(C1285&lt;=0,"C",IF(E1285-D1285&lt;'Дашборд'!$C$49,"A",IF(E1285-D1285&lt;'Дашборд'!$C$50,"B","C")))</x:f>
        <x:v>C</x:v>
      </x:c>
      <x:c r="G1285" s="8" t="n">
        <x:f>'Данные'!F1285</x:f>
        <x:v>197</x:v>
      </x:c>
      <x:c r="H1285" s="8" t="n">
        <x:f>SUM('Данные'!H1285:I1285)</x:f>
        <x:v>428</x:v>
      </x:c>
      <x:c r="I1285" s="16" t="n">
        <x:f>IF(H1285&gt;0,G1285/H1285,"n.a.")</x:f>
        <x:v>0.4602803738317757</x:v>
      </x:c>
      <x:c r="J1285" s="10" t="n">
        <x:f>IF('Данные'!E1285&gt;0,G1285/'Данные'!E1285,"n.a.")</x:f>
        <x:v>0.011174768846786545</x:v>
      </x:c>
      <x:c r="K1285" s="1" t="str">
        <x:f>IF(G1285&gt;='Дашборд'!$C$51,"X","Z")</x:f>
        <x:v>Z</x:v>
      </x:c>
      <x:c r="L1285" s="1" t="str">
        <x:f>IF(H1285=0,IF(G1285&gt;0,"Нет остатка","Нет спроса"),IF(I1285&gt;='Дашборд'!$C$52,"Быстрый","Медленный"))</x:f>
        <x:v>Медленный</x:v>
      </x:c>
      <x:c r="M1285" s="1" t="str">
        <x:f>IF('Данные'!E1285&lt;'Дашборд'!$C$53,"Мало трафика",IF(J1285&lt;'Дашборд'!$C$9*'Дашборд'!$C$54,"Да","Нет"))</x:f>
        <x:v>Нет</x:v>
      </x:c>
      <x:c r="N1285" s="1" t="str">
        <x:f>IF(AND('Данные'!D1285&gt;='Дашборд'!$C$55,D1285&lt;'Дашборд'!$C$56,'Данные'!E1285&gt;='Дашборд'!$C$53,'Данные'!L1285&lt;&gt;"Да"),"Да","Нет")</x:f>
        <x:v>Да</x:v>
      </x:c>
      <x:c r="O1285" s="1" t="str">
        <x:f>'Данные'!L1285</x:f>
        <x:v>Нет</x:v>
      </x:c>
    </x:row>
    <x:row r="1286">
      <x:c r="A1286" s="1" t="str">
        <x:f>'Данные'!A1286</x:f>
        <x:v>344319374</x:v>
      </x:c>
      <x:c r="B1286" s="1" t="str">
        <x:f>'Данные'!B1286</x:f>
        <x:v>toprib3R-82/молочный</x:v>
      </x:c>
      <x:c r="C1286" s="8" t="n">
        <x:f>'Данные'!G1286</x:f>
        <x:v>39417</x:v>
      </x:c>
      <x:c r="D1286" s="15" t="n">
        <x:f>C1286/SUM($C$5:$C$2477)</x:f>
        <x:v>0.00004604787078328907</x:v>
      </x:c>
      <x:c r="E1286" s="15" t="n">
        <x:f>SUM($D$5:D1286)</x:f>
        <x:v>0.9943492941290885</x:v>
      </x:c>
      <x:c r="F1286" s="1" t="str">
        <x:f>IF(C1286&lt;=0,"C",IF(E1286-D1286&lt;'Дашборд'!$C$49,"A",IF(E1286-D1286&lt;'Дашборд'!$C$50,"B","C")))</x:f>
        <x:v>C</x:v>
      </x:c>
      <x:c r="G1286" s="8" t="n">
        <x:f>'Данные'!F1286</x:f>
        <x:v>179</x:v>
      </x:c>
      <x:c r="H1286" s="8" t="n">
        <x:f>SUM('Данные'!H1286:I1286)</x:f>
        <x:v>960</x:v>
      </x:c>
      <x:c r="I1286" s="16" t="n">
        <x:f>IF(H1286&gt;0,G1286/H1286,"n.a.")</x:f>
        <x:v>0.18645833333333334</x:v>
      </x:c>
      <x:c r="J1286" s="10" t="n">
        <x:f>IF('Данные'!E1286&gt;0,G1286/'Данные'!E1286,"n.a.")</x:f>
        <x:v>0.010623145400593472</x:v>
      </x:c>
      <x:c r="K1286" s="1" t="str">
        <x:f>IF(G1286&gt;='Дашборд'!$C$51,"X","Z")</x:f>
        <x:v>Z</x:v>
      </x:c>
      <x:c r="L1286" s="1" t="str">
        <x:f>IF(H1286=0,IF(G1286&gt;0,"Нет остатка","Нет спроса"),IF(I1286&gt;='Дашборд'!$C$52,"Быстрый","Медленный"))</x:f>
        <x:v>Медленный</x:v>
      </x:c>
      <x:c r="M1286" s="1" t="str">
        <x:f>IF('Данные'!E1286&lt;'Дашборд'!$C$53,"Мало трафика",IF(J1286&lt;'Дашборд'!$C$9*'Дашборд'!$C$54,"Да","Нет"))</x:f>
        <x:v>Нет</x:v>
      </x:c>
      <x:c r="N1286" s="1" t="str">
        <x:f>IF(AND('Данные'!D1286&gt;='Дашборд'!$C$55,D1286&lt;'Дашборд'!$C$56,'Данные'!E1286&gt;='Дашборд'!$C$53,'Данные'!L1286&lt;&gt;"Да"),"Да","Нет")</x:f>
        <x:v>Нет</x:v>
      </x:c>
      <x:c r="O1286" s="1" t="str">
        <x:f>'Данные'!L1286</x:f>
        <x:v>Нет</x:v>
      </x:c>
    </x:row>
    <x:row r="1287">
      <x:c r="A1287" s="1" t="str">
        <x:f>'Данные'!A1287</x:f>
        <x:v>325074330</x:v>
      </x:c>
      <x:c r="B1287" s="1" t="str">
        <x:f>'Данные'!B1287</x:f>
        <x:v>futbolkaprint/AllYouNeed-274/бордовый</x:v>
      </x:c>
      <x:c r="C1287" s="8" t="n">
        <x:f>'Данные'!G1287</x:f>
        <x:v>39325</x:v>
      </x:c>
      <x:c r="D1287" s="15" t="n">
        <x:f>C1287/SUM($C$5:$C$2477)</x:f>
        <x:v>0.000045940394209423416</x:v>
      </x:c>
      <x:c r="E1287" s="15" t="n">
        <x:f>SUM($D$5:D1287)</x:f>
        <x:v>0.9943952345232979</x:v>
      </x:c>
      <x:c r="F1287" s="1" t="str">
        <x:f>IF(C1287&lt;=0,"C",IF(E1287-D1287&lt;'Дашборд'!$C$49,"A",IF(E1287-D1287&lt;'Дашборд'!$C$50,"B","C")))</x:f>
        <x:v>C</x:v>
      </x:c>
      <x:c r="G1287" s="8" t="n">
        <x:f>'Данные'!F1287</x:f>
        <x:v>92</x:v>
      </x:c>
      <x:c r="H1287" s="8" t="n">
        <x:f>SUM('Данные'!H1287:I1287)</x:f>
        <x:v>202</x:v>
      </x:c>
      <x:c r="I1287" s="16" t="n">
        <x:f>IF(H1287&gt;0,G1287/H1287,"n.a.")</x:f>
        <x:v>0.45544554455445546</x:v>
      </x:c>
      <x:c r="J1287" s="10" t="n">
        <x:f>IF('Данные'!E1287&gt;0,G1287/'Данные'!E1287,"n.a.")</x:f>
        <x:v>0.0045144511506943425</x:v>
      </x:c>
      <x:c r="K1287" s="1" t="str">
        <x:f>IF(G1287&gt;='Дашборд'!$C$51,"X","Z")</x:f>
        <x:v>Z</x:v>
      </x:c>
      <x:c r="L1287" s="1" t="str">
        <x:f>IF(H1287=0,IF(G1287&gt;0,"Нет остатка","Нет спроса"),IF(I1287&gt;='Дашборд'!$C$52,"Быстрый","Медленный"))</x:f>
        <x:v>Медленный</x:v>
      </x:c>
      <x:c r="M1287" s="1" t="str">
        <x:f>IF('Данные'!E1287&lt;'Дашборд'!$C$53,"Мало трафика",IF(J1287&lt;'Дашборд'!$C$9*'Дашборд'!$C$54,"Да","Нет"))</x:f>
        <x:v>Да</x:v>
      </x:c>
      <x:c r="N1287" s="1" t="str">
        <x:f>IF(AND('Данные'!D1287&gt;='Дашборд'!$C$55,D1287&lt;'Дашборд'!$C$56,'Данные'!E1287&gt;='Дашборд'!$C$53,'Данные'!L1287&lt;&gt;"Да"),"Да","Нет")</x:f>
        <x:v>Да</x:v>
      </x:c>
      <x:c r="O1287" s="1" t="str">
        <x:f>'Данные'!L1287</x:f>
        <x:v>Нет</x:v>
      </x:c>
    </x:row>
    <x:row r="1288">
      <x:c r="A1288" s="1" t="str">
        <x:f>'Данные'!A1288</x:f>
        <x:v>254965701</x:v>
      </x:c>
      <x:c r="B1288" s="1" t="str">
        <x:f>'Данные'!B1288</x:f>
        <x:v>hudimanprint/TLDVGNY-207/черный</x:v>
      </x:c>
      <x:c r="C1288" s="8" t="n">
        <x:f>'Данные'!G1288</x:f>
        <x:v>39116</x:v>
      </x:c>
      <x:c r="D1288" s="15" t="n">
        <x:f>C1288/SUM($C$5:$C$2477)</x:f>
        <x:v>0.00004569623547096774</x:v>
      </x:c>
      <x:c r="E1288" s="15" t="n">
        <x:f>SUM($D$5:D1288)</x:f>
        <x:v>0.9944409307587689</x:v>
      </x:c>
      <x:c r="F1288" s="1" t="str">
        <x:f>IF(C1288&lt;=0,"C",IF(E1288-D1288&lt;'Дашборд'!$C$49,"A",IF(E1288-D1288&lt;'Дашборд'!$C$50,"B","C")))</x:f>
        <x:v>C</x:v>
      </x:c>
      <x:c r="G1288" s="8" t="n">
        <x:f>'Данные'!F1288</x:f>
        <x:v>36</x:v>
      </x:c>
      <x:c r="H1288" s="8" t="n">
        <x:f>SUM('Данные'!H1288:I1288)</x:f>
        <x:v>39</x:v>
      </x:c>
      <x:c r="I1288" s="16" t="n">
        <x:f>IF(H1288&gt;0,G1288/H1288,"n.a.")</x:f>
        <x:v>0.9230769230769231</x:v>
      </x:c>
      <x:c r="J1288" s="10" t="n">
        <x:f>IF('Данные'!E1288&gt;0,G1288/'Данные'!E1288,"n.a.")</x:f>
        <x:v>0.006432017152045739</x:v>
      </x:c>
      <x:c r="K1288" s="1" t="str">
        <x:f>IF(G1288&gt;='Дашборд'!$C$51,"X","Z")</x:f>
        <x:v>Z</x:v>
      </x:c>
      <x:c r="L1288" s="1" t="str">
        <x:f>IF(H1288=0,IF(G1288&gt;0,"Нет остатка","Нет спроса"),IF(I1288&gt;='Дашборд'!$C$52,"Быстрый","Медленный"))</x:f>
        <x:v>Медленный</x:v>
      </x:c>
      <x:c r="M1288" s="1" t="str">
        <x:f>IF('Данные'!E1288&lt;'Дашборд'!$C$53,"Мало трафика",IF(J1288&lt;'Дашборд'!$C$9*'Дашборд'!$C$54,"Да","Нет"))</x:f>
        <x:v>Да</x:v>
      </x:c>
      <x:c r="N1288" s="1" t="str">
        <x:f>IF(AND('Данные'!D1288&gt;='Дашборд'!$C$55,D1288&lt;'Дашборд'!$C$56,'Данные'!E1288&gt;='Дашборд'!$C$53,'Данные'!L1288&lt;&gt;"Да"),"Да","Нет")</x:f>
        <x:v>Нет</x:v>
      </x:c>
      <x:c r="O1288" s="1" t="str">
        <x:f>'Данные'!L1288</x:f>
        <x:v>Нет</x:v>
      </x:c>
    </x:row>
    <x:row r="1289">
      <x:c r="A1289" s="1" t="str">
        <x:f>'Данные'!A1289</x:f>
        <x:v>184167718</x:v>
      </x:c>
      <x:c r="B1289" s="1" t="str">
        <x:f>'Данные'!B1289</x:f>
        <x:v>sweater/серый</x:v>
      </x:c>
      <x:c r="C1289" s="8" t="n">
        <x:f>'Данные'!G1289</x:f>
        <x:v>39096</x:v>
      </x:c>
      <x:c r="D1289" s="15" t="n">
        <x:f>C1289/SUM($C$5:$C$2477)</x:f>
        <x:v>0.00004567287099838825</x:v>
      </x:c>
      <x:c r="E1289" s="15" t="n">
        <x:f>SUM($D$5:D1289)</x:f>
        <x:v>0.9944866036297674</x:v>
      </x:c>
      <x:c r="F1289" s="1" t="str">
        <x:f>IF(C1289&lt;=0,"C",IF(E1289-D1289&lt;'Дашборд'!$C$49,"A",IF(E1289-D1289&lt;'Дашборд'!$C$50,"B","C")))</x:f>
        <x:v>C</x:v>
      </x:c>
      <x:c r="G1289" s="8" t="n">
        <x:f>'Данные'!F1289</x:f>
        <x:v>75</x:v>
      </x:c>
      <x:c r="H1289" s="8" t="n">
        <x:f>SUM('Данные'!H1289:I1289)</x:f>
        <x:v>94</x:v>
      </x:c>
      <x:c r="I1289" s="16" t="n">
        <x:f>IF(H1289&gt;0,G1289/H1289,"n.a.")</x:f>
        <x:v>0.7978723404255319</x:v>
      </x:c>
      <x:c r="J1289" s="10" t="n">
        <x:f>IF('Данные'!E1289&gt;0,G1289/'Данные'!E1289,"n.a.")</x:f>
        <x:v>0.010192987224789346</x:v>
      </x:c>
      <x:c r="K1289" s="1" t="str">
        <x:f>IF(G1289&gt;='Дашборд'!$C$51,"X","Z")</x:f>
        <x:v>Z</x:v>
      </x:c>
      <x:c r="L1289" s="1" t="str">
        <x:f>IF(H1289=0,IF(G1289&gt;0,"Нет остатка","Нет спроса"),IF(I1289&gt;='Дашборд'!$C$52,"Быстрый","Медленный"))</x:f>
        <x:v>Медленный</x:v>
      </x:c>
      <x:c r="M1289" s="1" t="str">
        <x:f>IF('Данные'!E1289&lt;'Дашборд'!$C$53,"Мало трафика",IF(J1289&lt;'Дашборд'!$C$9*'Дашборд'!$C$54,"Да","Нет"))</x:f>
        <x:v>Нет</x:v>
      </x:c>
      <x:c r="N1289" s="1" t="str">
        <x:f>IF(AND('Данные'!D1289&gt;='Дашборд'!$C$55,D1289&lt;'Дашборд'!$C$56,'Данные'!E1289&gt;='Дашборд'!$C$53,'Данные'!L1289&lt;&gt;"Да"),"Да","Нет")</x:f>
        <x:v>Да</x:v>
      </x:c>
      <x:c r="O1289" s="1" t="str">
        <x:f>'Данные'!L1289</x:f>
        <x:v>Нет</x:v>
      </x:c>
    </x:row>
    <x:row r="1290">
      <x:c r="A1290" s="1" t="str">
        <x:f>'Данные'!A1290</x:f>
        <x:v>331334281</x:v>
      </x:c>
      <x:c r="B1290" s="1" t="str">
        <x:f>'Данные'!B1290</x:f>
        <x:v>longpolo3K-90/розовый</x:v>
      </x:c>
      <x:c r="C1290" s="8" t="n">
        <x:f>'Данные'!G1290</x:f>
        <x:v>39019</x:v>
      </x:c>
      <x:c r="D1290" s="15" t="n">
        <x:f>C1290/SUM($C$5:$C$2477)</x:f>
        <x:v>0.00004558291777895721</x:v>
      </x:c>
      <x:c r="E1290" s="15" t="n">
        <x:f>SUM($D$5:D1290)</x:f>
        <x:v>0.9945321865475464</x:v>
      </x:c>
      <x:c r="F1290" s="1" t="str">
        <x:f>IF(C1290&lt;=0,"C",IF(E1290-D1290&lt;'Дашборд'!$C$49,"A",IF(E1290-D1290&lt;'Дашборд'!$C$50,"B","C")))</x:f>
        <x:v>C</x:v>
      </x:c>
      <x:c r="G1290" s="8" t="n">
        <x:f>'Данные'!F1290</x:f>
        <x:v>72</x:v>
      </x:c>
      <x:c r="H1290" s="8" t="n">
        <x:f>SUM('Данные'!H1290:I1290)</x:f>
        <x:v>35</x:v>
      </x:c>
      <x:c r="I1290" s="16" t="n">
        <x:f>IF(H1290&gt;0,G1290/H1290,"n.a.")</x:f>
        <x:v>2.057142857142857</x:v>
      </x:c>
      <x:c r="J1290" s="10" t="n">
        <x:f>IF('Данные'!E1290&gt;0,G1290/'Данные'!E1290,"n.a.")</x:f>
        <x:v>0.002103049421661409</x:v>
      </x:c>
      <x:c r="K1290" s="1" t="str">
        <x:f>IF(G1290&gt;='Дашборд'!$C$51,"X","Z")</x:f>
        <x:v>Z</x:v>
      </x:c>
      <x:c r="L1290" s="1" t="str">
        <x:f>IF(H1290=0,IF(G1290&gt;0,"Нет остатка","Нет спроса"),IF(I1290&gt;='Дашборд'!$C$52,"Быстрый","Медленный"))</x:f>
        <x:v>Быстрый</x:v>
      </x:c>
      <x:c r="M1290" s="1" t="str">
        <x:f>IF('Данные'!E1290&lt;'Дашборд'!$C$53,"Мало трафика",IF(J1290&lt;'Дашборд'!$C$9*'Дашборд'!$C$54,"Да","Нет"))</x:f>
        <x:v>Да</x:v>
      </x:c>
      <x:c r="N1290" s="1" t="str">
        <x:f>IF(AND('Данные'!D1290&gt;='Дашборд'!$C$55,D1290&lt;'Дашборд'!$C$56,'Данные'!E1290&gt;='Дашборд'!$C$53,'Данные'!L1290&lt;&gt;"Да"),"Да","Нет")</x:f>
        <x:v>Нет</x:v>
      </x:c>
      <x:c r="O1290" s="1" t="str">
        <x:f>'Данные'!L1290</x:f>
        <x:v>Нет</x:v>
      </x:c>
    </x:row>
    <x:row r="1291">
      <x:c r="A1291" s="1" t="str">
        <x:f>'Данные'!A1291</x:f>
        <x:v>256339616</x:v>
      </x:c>
      <x:c r="B1291" s="1" t="str">
        <x:f>'Данные'!B1291</x:f>
        <x:v>futbolkaoverhlop/белый</x:v>
      </x:c>
      <x:c r="C1291" s="8" t="n">
        <x:f>'Данные'!G1291</x:f>
        <x:v>38950</x:v>
      </x:c>
      <x:c r="D1291" s="15" t="n">
        <x:f>C1291/SUM($C$5:$C$2477)</x:f>
        <x:v>0.00004550231034855797</x:v>
      </x:c>
      <x:c r="E1291" s="15" t="n">
        <x:f>SUM($D$5:D1291)</x:f>
        <x:v>0.994577688857895</x:v>
      </x:c>
      <x:c r="F1291" s="1" t="str">
        <x:f>IF(C1291&lt;=0,"C",IF(E1291-D1291&lt;'Дашборд'!$C$49,"A",IF(E1291-D1291&lt;'Дашборд'!$C$50,"B","C")))</x:f>
        <x:v>C</x:v>
      </x:c>
      <x:c r="G1291" s="8" t="n">
        <x:f>'Данные'!F1291</x:f>
        <x:v>158</x:v>
      </x:c>
      <x:c r="H1291" s="8" t="n">
        <x:f>SUM('Данные'!H1291:I1291)</x:f>
        <x:v>2285</x:v>
      </x:c>
      <x:c r="I1291" s="16" t="n">
        <x:f>IF(H1291&gt;0,G1291/H1291,"n.a.")</x:f>
        <x:v>0.06914660831509847</x:v>
      </x:c>
      <x:c r="J1291" s="10" t="n">
        <x:f>IF('Данные'!E1291&gt;0,G1291/'Данные'!E1291,"n.a.")</x:f>
        <x:v>0.03097431876102725</x:v>
      </x:c>
      <x:c r="K1291" s="1" t="str">
        <x:f>IF(G1291&gt;='Дашборд'!$C$51,"X","Z")</x:f>
        <x:v>Z</x:v>
      </x:c>
      <x:c r="L1291" s="1" t="str">
        <x:f>IF(H1291=0,IF(G1291&gt;0,"Нет остатка","Нет спроса"),IF(I1291&gt;='Дашборд'!$C$52,"Быстрый","Медленный"))</x:f>
        <x:v>Медленный</x:v>
      </x:c>
      <x:c r="M1291" s="1" t="str">
        <x:f>IF('Данные'!E1291&lt;'Дашборд'!$C$53,"Мало трафика",IF(J1291&lt;'Дашборд'!$C$9*'Дашборд'!$C$54,"Да","Нет"))</x:f>
        <x:v>Нет</x:v>
      </x:c>
      <x:c r="N1291" s="1" t="str">
        <x:f>IF(AND('Данные'!D1291&gt;='Дашборд'!$C$55,D1291&lt;'Дашборд'!$C$56,'Данные'!E1291&gt;='Дашборд'!$C$53,'Данные'!L1291&lt;&gt;"Да"),"Да","Нет")</x:f>
        <x:v>Да</x:v>
      </x:c>
      <x:c r="O1291" s="1" t="str">
        <x:f>'Данные'!L1291</x:f>
        <x:v>Нет</x:v>
      </x:c>
    </x:row>
    <x:row r="1292">
      <x:c r="A1292" s="1" t="str">
        <x:f>'Данные'!A1292</x:f>
        <x:v>321748107</x:v>
      </x:c>
      <x:c r="B1292" s="1" t="str">
        <x:f>'Данные'!B1292</x:f>
        <x:v>ubkamaxi3P-S14/бордовый</x:v>
      </x:c>
      <x:c r="C1292" s="8" t="n">
        <x:f>'Данные'!G1292</x:f>
        <x:v>38453</x:v>
      </x:c>
      <x:c r="D1292" s="15" t="n">
        <x:f>C1292/SUM($C$5:$C$2477)</x:f>
        <x:v>0.00004492170320495762</x:v>
      </x:c>
      <x:c r="E1292" s="15" t="n">
        <x:f>SUM($D$5:D1292)</x:f>
        <x:v>0.9946226105610999</x:v>
      </x:c>
      <x:c r="F1292" s="1" t="str">
        <x:f>IF(C1292&lt;=0,"C",IF(E1292-D1292&lt;'Дашборд'!$C$49,"A",IF(E1292-D1292&lt;'Дашборд'!$C$50,"B","C")))</x:f>
        <x:v>C</x:v>
      </x:c>
      <x:c r="G1292" s="8" t="n">
        <x:f>'Данные'!F1292</x:f>
        <x:v>74</x:v>
      </x:c>
      <x:c r="H1292" s="8" t="n">
        <x:f>SUM('Данные'!H1292:I1292)</x:f>
        <x:v>761</x:v>
      </x:c>
      <x:c r="I1292" s="16" t="n">
        <x:f>IF(H1292&gt;0,G1292/H1292,"n.a.")</x:f>
        <x:v>0.09724047306176084</x:v>
      </x:c>
      <x:c r="J1292" s="10" t="n">
        <x:f>IF('Данные'!E1292&gt;0,G1292/'Данные'!E1292,"n.a.")</x:f>
        <x:v>0.004104725981806079</x:v>
      </x:c>
      <x:c r="K1292" s="1" t="str">
        <x:f>IF(G1292&gt;='Дашборд'!$C$51,"X","Z")</x:f>
        <x:v>Z</x:v>
      </x:c>
      <x:c r="L1292" s="1" t="str">
        <x:f>IF(H1292=0,IF(G1292&gt;0,"Нет остатка","Нет спроса"),IF(I1292&gt;='Дашборд'!$C$52,"Быстрый","Медленный"))</x:f>
        <x:v>Медленный</x:v>
      </x:c>
      <x:c r="M1292" s="1" t="str">
        <x:f>IF('Данные'!E1292&lt;'Дашборд'!$C$53,"Мало трафика",IF(J1292&lt;'Дашборд'!$C$9*'Дашборд'!$C$54,"Да","Нет"))</x:f>
        <x:v>Да</x:v>
      </x:c>
      <x:c r="N1292" s="1" t="str">
        <x:f>IF(AND('Данные'!D1292&gt;='Дашборд'!$C$55,D1292&lt;'Дашборд'!$C$56,'Данные'!E1292&gt;='Дашборд'!$C$53,'Данные'!L1292&lt;&gt;"Да"),"Да","Нет")</x:f>
        <x:v>Нет</x:v>
      </x:c>
      <x:c r="O1292" s="1" t="str">
        <x:f>'Данные'!L1292</x:f>
        <x:v>Нет</x:v>
      </x:c>
    </x:row>
    <x:row r="1293">
      <x:c r="A1293" s="1" t="str">
        <x:f>'Данные'!A1293</x:f>
        <x:v>181354061</x:v>
      </x:c>
      <x:c r="B1293" s="1" t="str">
        <x:f>'Данные'!B1293</x:f>
        <x:v>sweater/черный</x:v>
      </x:c>
      <x:c r="C1293" s="8" t="n">
        <x:f>'Данные'!G1293</x:f>
        <x:v>38412</x:v>
      </x:c>
      <x:c r="D1293" s="15" t="n">
        <x:f>C1293/SUM($C$5:$C$2477)</x:f>
        <x:v>0.00004487380603616967</x:v>
      </x:c>
      <x:c r="E1293" s="15" t="n">
        <x:f>SUM($D$5:D1293)</x:f>
        <x:v>0.994667484367136</x:v>
      </x:c>
      <x:c r="F1293" s="1" t="str">
        <x:f>IF(C1293&lt;=0,"C",IF(E1293-D1293&lt;'Дашборд'!$C$49,"A",IF(E1293-D1293&lt;'Дашборд'!$C$50,"B","C")))</x:f>
        <x:v>C</x:v>
      </x:c>
      <x:c r="G1293" s="8" t="n">
        <x:f>'Данные'!F1293</x:f>
        <x:v>41</x:v>
      </x:c>
      <x:c r="H1293" s="8" t="n">
        <x:f>SUM('Данные'!H1293:I1293)</x:f>
        <x:v>47</x:v>
      </x:c>
      <x:c r="I1293" s="16" t="n">
        <x:f>IF(H1293&gt;0,G1293/H1293,"n.a.")</x:f>
        <x:v>0.8723404255319149</x:v>
      </x:c>
      <x:c r="J1293" s="10" t="n">
        <x:f>IF('Данные'!E1293&gt;0,G1293/'Данные'!E1293,"n.a.")</x:f>
        <x:v>0.01447229085774797</x:v>
      </x:c>
      <x:c r="K1293" s="1" t="str">
        <x:f>IF(G1293&gt;='Дашборд'!$C$51,"X","Z")</x:f>
        <x:v>Z</x:v>
      </x:c>
      <x:c r="L1293" s="1" t="str">
        <x:f>IF(H1293=0,IF(G1293&gt;0,"Нет остатка","Нет спроса"),IF(I1293&gt;='Дашборд'!$C$52,"Быстрый","Медленный"))</x:f>
        <x:v>Медленный</x:v>
      </x:c>
      <x:c r="M1293" s="1" t="str">
        <x:f>IF('Данные'!E1293&lt;'Дашборд'!$C$53,"Мало трафика",IF(J1293&lt;'Дашборд'!$C$9*'Дашборд'!$C$54,"Да","Нет"))</x:f>
        <x:v>Нет</x:v>
      </x:c>
      <x:c r="N1293" s="1" t="str">
        <x:f>IF(AND('Данные'!D1293&gt;='Дашборд'!$C$55,D1293&lt;'Дашборд'!$C$56,'Данные'!E1293&gt;='Дашборд'!$C$53,'Данные'!L1293&lt;&gt;"Да"),"Да","Нет")</x:f>
        <x:v>Да</x:v>
      </x:c>
      <x:c r="O1293" s="1" t="str">
        <x:f>'Данные'!L1293</x:f>
        <x:v>Нет</x:v>
      </x:c>
    </x:row>
    <x:row r="1294">
      <x:c r="A1294" s="1" t="str">
        <x:f>'Данные'!A1294</x:f>
        <x:v>195712679</x:v>
      </x:c>
      <x:c r="B1294" s="1" t="str">
        <x:f>'Данные'!B1294</x:f>
        <x:v>sweater/синий</x:v>
      </x:c>
      <x:c r="C1294" s="8" t="n">
        <x:f>'Данные'!G1294</x:f>
        <x:v>38396</x:v>
      </x:c>
      <x:c r="D1294" s="15" t="n">
        <x:f>C1294/SUM($C$5:$C$2477)</x:f>
        <x:v>0.000044855114458106076</x:v>
      </x:c>
      <x:c r="E1294" s="15" t="n">
        <x:f>SUM($D$5:D1294)</x:f>
        <x:v>0.9947123394815941</x:v>
      </x:c>
      <x:c r="F1294" s="1" t="str">
        <x:f>IF(C1294&lt;=0,"C",IF(E1294-D1294&lt;'Дашборд'!$C$49,"A",IF(E1294-D1294&lt;'Дашборд'!$C$50,"B","C")))</x:f>
        <x:v>C</x:v>
      </x:c>
      <x:c r="G1294" s="8" t="n">
        <x:f>'Данные'!F1294</x:f>
        <x:v>38</x:v>
      </x:c>
      <x:c r="H1294" s="8" t="n">
        <x:f>SUM('Данные'!H1294:I1294)</x:f>
        <x:v>204</x:v>
      </x:c>
      <x:c r="I1294" s="16" t="n">
        <x:f>IF(H1294&gt;0,G1294/H1294,"n.a.")</x:f>
        <x:v>0.18627450980392157</x:v>
      </x:c>
      <x:c r="J1294" s="10" t="n">
        <x:f>IF('Данные'!E1294&gt;0,G1294/'Данные'!E1294,"n.a.")</x:f>
        <x:v>0.014492753623188406</x:v>
      </x:c>
      <x:c r="K1294" s="1" t="str">
        <x:f>IF(G1294&gt;='Дашборд'!$C$51,"X","Z")</x:f>
        <x:v>Z</x:v>
      </x:c>
      <x:c r="L1294" s="1" t="str">
        <x:f>IF(H1294=0,IF(G1294&gt;0,"Нет остатка","Нет спроса"),IF(I1294&gt;='Дашборд'!$C$52,"Быстрый","Медленный"))</x:f>
        <x:v>Медленный</x:v>
      </x:c>
      <x:c r="M1294" s="1" t="str">
        <x:f>IF('Данные'!E1294&lt;'Дашборд'!$C$53,"Мало трафика",IF(J1294&lt;'Дашборд'!$C$9*'Дашборд'!$C$54,"Да","Нет"))</x:f>
        <x:v>Нет</x:v>
      </x:c>
      <x:c r="N1294" s="1" t="str">
        <x:f>IF(AND('Данные'!D1294&gt;='Дашборд'!$C$55,D1294&lt;'Дашборд'!$C$56,'Данные'!E1294&gt;='Дашборд'!$C$53,'Данные'!L1294&lt;&gt;"Да"),"Да","Нет")</x:f>
        <x:v>Да</x:v>
      </x:c>
      <x:c r="O1294" s="1" t="str">
        <x:f>'Данные'!L1294</x:f>
        <x:v>Нет</x:v>
      </x:c>
    </x:row>
    <x:row r="1295">
      <x:c r="A1295" s="1" t="str">
        <x:f>'Данные'!A1295</x:f>
        <x:v>317227917</x:v>
      </x:c>
      <x:c r="B1295" s="1" t="str">
        <x:f>'Данные'!B1295</x:f>
        <x:v>bazakulgirl/белый</x:v>
      </x:c>
      <x:c r="C1295" s="8" t="n">
        <x:f>'Данные'!G1295</x:f>
        <x:v>38381</x:v>
      </x:c>
      <x:c r="D1295" s="15" t="n">
        <x:f>C1295/SUM($C$5:$C$2477)</x:f>
        <x:v>0.00004483759110367146</x:v>
      </x:c>
      <x:c r="E1295" s="15" t="n">
        <x:f>SUM($D$5:D1295)</x:f>
        <x:v>0.9947571770726977</x:v>
      </x:c>
      <x:c r="F1295" s="1" t="str">
        <x:f>IF(C1295&lt;=0,"C",IF(E1295-D1295&lt;'Дашборд'!$C$49,"A",IF(E1295-D1295&lt;'Дашборд'!$C$50,"B","C")))</x:f>
        <x:v>C</x:v>
      </x:c>
      <x:c r="G1295" s="8" t="n">
        <x:f>'Данные'!F1295</x:f>
        <x:v>101</x:v>
      </x:c>
      <x:c r="H1295" s="8" t="n">
        <x:f>SUM('Данные'!H1295:I1295)</x:f>
        <x:v>974</x:v>
      </x:c>
      <x:c r="I1295" s="16" t="n">
        <x:f>IF(H1295&gt;0,G1295/H1295,"n.a.")</x:f>
        <x:v>0.10369609856262833</x:v>
      </x:c>
      <x:c r="J1295" s="10" t="n">
        <x:f>IF('Данные'!E1295&gt;0,G1295/'Данные'!E1295,"n.a.")</x:f>
        <x:v>0.03100061387354205</x:v>
      </x:c>
      <x:c r="K1295" s="1" t="str">
        <x:f>IF(G1295&gt;='Дашборд'!$C$51,"X","Z")</x:f>
        <x:v>Z</x:v>
      </x:c>
      <x:c r="L1295" s="1" t="str">
        <x:f>IF(H1295=0,IF(G1295&gt;0,"Нет остатка","Нет спроса"),IF(I1295&gt;='Дашборд'!$C$52,"Быстрый","Медленный"))</x:f>
        <x:v>Медленный</x:v>
      </x:c>
      <x:c r="M1295" s="1" t="str">
        <x:f>IF('Данные'!E1295&lt;'Дашборд'!$C$53,"Мало трафика",IF(J1295&lt;'Дашборд'!$C$9*'Дашборд'!$C$54,"Да","Нет"))</x:f>
        <x:v>Нет</x:v>
      </x:c>
      <x:c r="N1295" s="1" t="str">
        <x:f>IF(AND('Данные'!D1295&gt;='Дашборд'!$C$55,D1295&lt;'Дашборд'!$C$56,'Данные'!E1295&gt;='Дашборд'!$C$53,'Данные'!L1295&lt;&gt;"Да"),"Да","Нет")</x:f>
        <x:v>Да</x:v>
      </x:c>
      <x:c r="O1295" s="1" t="str">
        <x:f>'Данные'!L1295</x:f>
        <x:v>Нет</x:v>
      </x:c>
    </x:row>
    <x:row r="1296">
      <x:c r="A1296" s="1" t="str">
        <x:f>'Данные'!A1296</x:f>
        <x:v>237884232</x:v>
      </x:c>
      <x:c r="B1296" s="1" t="str">
        <x:f>'Данные'!B1296</x:f>
        <x:v>2Nlongsliv/молочный</x:v>
      </x:c>
      <x:c r="C1296" s="8" t="n">
        <x:f>'Данные'!G1296</x:f>
        <x:v>38296</x:v>
      </x:c>
      <x:c r="D1296" s="15" t="n">
        <x:f>C1296/SUM($C$5:$C$2477)</x:f>
        <x:v>0.00004473829209520862</x:v>
      </x:c>
      <x:c r="E1296" s="15" t="n">
        <x:f>SUM($D$5:D1296)</x:f>
        <x:v>0.9948019153647929</x:v>
      </x:c>
      <x:c r="F1296" s="1" t="str">
        <x:f>IF(C1296&lt;=0,"C",IF(E1296-D1296&lt;'Дашборд'!$C$49,"A",IF(E1296-D1296&lt;'Дашборд'!$C$50,"B","C")))</x:f>
        <x:v>C</x:v>
      </x:c>
      <x:c r="G1296" s="8" t="n">
        <x:f>'Данные'!F1296</x:f>
        <x:v>55</x:v>
      </x:c>
      <x:c r="H1296" s="8" t="n">
        <x:f>SUM('Данные'!H1296:I1296)</x:f>
        <x:v>1</x:v>
      </x:c>
      <x:c r="I1296" s="16" t="n">
        <x:f>IF(H1296&gt;0,G1296/H1296,"n.a.")</x:f>
        <x:v>55</x:v>
      </x:c>
      <x:c r="J1296" s="10" t="n">
        <x:f>IF('Данные'!E1296&gt;0,G1296/'Данные'!E1296,"n.a.")</x:f>
        <x:v>0.013770655983975965</x:v>
      </x:c>
      <x:c r="K1296" s="1" t="str">
        <x:f>IF(G1296&gt;='Дашборд'!$C$51,"X","Z")</x:f>
        <x:v>Z</x:v>
      </x:c>
      <x:c r="L1296" s="1" t="str">
        <x:f>IF(H1296=0,IF(G1296&gt;0,"Нет остатка","Нет спроса"),IF(I1296&gt;='Дашборд'!$C$52,"Быстрый","Медленный"))</x:f>
        <x:v>Быстрый</x:v>
      </x:c>
      <x:c r="M1296" s="1" t="str">
        <x:f>IF('Данные'!E1296&lt;'Дашборд'!$C$53,"Мало трафика",IF(J1296&lt;'Дашборд'!$C$9*'Дашборд'!$C$54,"Да","Нет"))</x:f>
        <x:v>Нет</x:v>
      </x:c>
      <x:c r="N1296" s="1" t="str">
        <x:f>IF(AND('Данные'!D1296&gt;='Дашборд'!$C$55,D1296&lt;'Дашборд'!$C$56,'Данные'!E1296&gt;='Дашборд'!$C$53,'Данные'!L1296&lt;&gt;"Да"),"Да","Нет")</x:f>
        <x:v>Нет</x:v>
      </x:c>
      <x:c r="O1296" s="1" t="str">
        <x:f>'Данные'!L1296</x:f>
        <x:v>Нет</x:v>
      </x:c>
    </x:row>
    <x:row r="1297">
      <x:c r="A1297" s="1" t="str">
        <x:f>'Данные'!A1297</x:f>
        <x:v>229154439</x:v>
      </x:c>
      <x:c r="B1297" s="1" t="str">
        <x:f>'Данные'!B1297</x:f>
        <x:v>futbolkamanX3/чер-бел-ден</x:v>
      </x:c>
      <x:c r="C1297" s="8" t="n">
        <x:f>'Данные'!G1297</x:f>
        <x:v>38029</x:v>
      </x:c>
      <x:c r="D1297" s="15" t="n">
        <x:f>C1297/SUM($C$5:$C$2477)</x:f>
        <x:v>0.00004442637638627242</x:v>
      </x:c>
      <x:c r="E1297" s="15" t="n">
        <x:f>SUM($D$5:D1297)</x:f>
        <x:v>0.9948463417411791</x:v>
      </x:c>
      <x:c r="F1297" s="1" t="str">
        <x:f>IF(C1297&lt;=0,"C",IF(E1297-D1297&lt;'Дашборд'!$C$49,"A",IF(E1297-D1297&lt;'Дашборд'!$C$50,"B","C")))</x:f>
        <x:v>C</x:v>
      </x:c>
      <x:c r="G1297" s="8" t="n">
        <x:f>'Данные'!F1297</x:f>
        <x:v>34</x:v>
      </x:c>
      <x:c r="H1297" s="8" t="n">
        <x:f>SUM('Данные'!H1297:I1297)</x:f>
        <x:v>0</x:v>
      </x:c>
      <x:c r="I1297" s="16" t="str">
        <x:f>IF(H1297&gt;0,G1297/H1297,"n.a.")</x:f>
        <x:v>n.a.</x:v>
      </x:c>
      <x:c r="J1297" s="10" t="n">
        <x:f>IF('Данные'!E1297&gt;0,G1297/'Данные'!E1297,"n.a.")</x:f>
        <x:v>0.0017243128106298813</x:v>
      </x:c>
      <x:c r="K1297" s="1" t="str">
        <x:f>IF(G1297&gt;='Дашборд'!$C$51,"X","Z")</x:f>
        <x:v>Z</x:v>
      </x:c>
      <x:c r="L1297" s="1" t="str">
        <x:f>IF(H1297=0,IF(G1297&gt;0,"Нет остатка","Нет спроса"),IF(I1297&gt;='Дашборд'!$C$52,"Быстрый","Медленный"))</x:f>
        <x:v>Нет остатка</x:v>
      </x:c>
      <x:c r="M1297" s="1" t="str">
        <x:f>IF('Данные'!E1297&lt;'Дашборд'!$C$53,"Мало трафика",IF(J1297&lt;'Дашборд'!$C$9*'Дашборд'!$C$54,"Да","Нет"))</x:f>
        <x:v>Да</x:v>
      </x:c>
      <x:c r="N1297" s="1" t="str">
        <x:f>IF(AND('Данные'!D1297&gt;='Дашборд'!$C$55,D1297&lt;'Дашборд'!$C$56,'Данные'!E1297&gt;='Дашборд'!$C$53,'Данные'!L1297&lt;&gt;"Да"),"Да","Нет")</x:f>
        <x:v>Нет</x:v>
      </x:c>
      <x:c r="O1297" s="1" t="str">
        <x:f>'Данные'!L1297</x:f>
        <x:v>Нет</x:v>
      </x:c>
    </x:row>
    <x:row r="1298">
      <x:c r="A1298" s="1" t="str">
        <x:f>'Данные'!A1298</x:f>
        <x:v>320414099</x:v>
      </x:c>
      <x:c r="B1298" s="1" t="str">
        <x:f>'Данные'!B1298</x:f>
        <x:v>svitfix3F-77/песочный</x:v>
      </x:c>
      <x:c r="C1298" s="8" t="n">
        <x:f>'Данные'!G1298</x:f>
        <x:v>37989</x:v>
      </x:c>
      <x:c r="D1298" s="15" t="n">
        <x:f>C1298/SUM($C$5:$C$2477)</x:f>
        <x:v>0.00004437964744111344</x:v>
      </x:c>
      <x:c r="E1298" s="15" t="n">
        <x:f>SUM($D$5:D1298)</x:f>
        <x:v>0.9948907213886202</x:v>
      </x:c>
      <x:c r="F1298" s="1" t="str">
        <x:f>IF(C1298&lt;=0,"C",IF(E1298-D1298&lt;'Дашборд'!$C$49,"A",IF(E1298-D1298&lt;'Дашборд'!$C$50,"B","C")))</x:f>
        <x:v>C</x:v>
      </x:c>
      <x:c r="G1298" s="8" t="n">
        <x:f>'Данные'!F1298</x:f>
        <x:v>80</x:v>
      </x:c>
      <x:c r="H1298" s="8" t="n">
        <x:f>SUM('Данные'!H1298:I1298)</x:f>
        <x:v>35</x:v>
      </x:c>
      <x:c r="I1298" s="16" t="n">
        <x:f>IF(H1298&gt;0,G1298/H1298,"n.a.")</x:f>
        <x:v>2.2857142857142856</x:v>
      </x:c>
      <x:c r="J1298" s="10" t="n">
        <x:f>IF('Данные'!E1298&gt;0,G1298/'Данные'!E1298,"n.a.")</x:f>
        <x:v>0.005237315875613748</x:v>
      </x:c>
      <x:c r="K1298" s="1" t="str">
        <x:f>IF(G1298&gt;='Дашборд'!$C$51,"X","Z")</x:f>
        <x:v>Z</x:v>
      </x:c>
      <x:c r="L1298" s="1" t="str">
        <x:f>IF(H1298=0,IF(G1298&gt;0,"Нет остатка","Нет спроса"),IF(I1298&gt;='Дашборд'!$C$52,"Быстрый","Медленный"))</x:f>
        <x:v>Быстрый</x:v>
      </x:c>
      <x:c r="M1298" s="1" t="str">
        <x:f>IF('Данные'!E1298&lt;'Дашборд'!$C$53,"Мало трафика",IF(J1298&lt;'Дашборд'!$C$9*'Дашборд'!$C$54,"Да","Нет"))</x:f>
        <x:v>Да</x:v>
      </x:c>
      <x:c r="N1298" s="1" t="str">
        <x:f>IF(AND('Данные'!D1298&gt;='Дашборд'!$C$55,D1298&lt;'Дашборд'!$C$56,'Данные'!E1298&gt;='Дашборд'!$C$53,'Данные'!L1298&lt;&gt;"Да"),"Да","Нет")</x:f>
        <x:v>Нет</x:v>
      </x:c>
      <x:c r="O1298" s="1" t="str">
        <x:f>'Данные'!L1298</x:f>
        <x:v>Нет</x:v>
      </x:c>
    </x:row>
    <x:row r="1299">
      <x:c r="A1299" s="1" t="str">
        <x:f>'Данные'!A1299</x:f>
        <x:v>209915692</x:v>
      </x:c>
      <x:c r="B1299" s="1" t="str">
        <x:f>'Данные'!B1299</x:f>
        <x:v>shorty/молочный</x:v>
      </x:c>
      <x:c r="C1299" s="8" t="n">
        <x:f>'Данные'!G1299</x:f>
        <x:v>37589</x:v>
      </x:c>
      <x:c r="D1299" s="15" t="n">
        <x:f>C1299/SUM($C$5:$C$2477)</x:f>
        <x:v>0.00004391235798952363</x:v>
      </x:c>
      <x:c r="E1299" s="15" t="n">
        <x:f>SUM($D$5:D1299)</x:f>
        <x:v>0.9949346337466097</x:v>
      </x:c>
      <x:c r="F1299" s="1" t="str">
        <x:f>IF(C1299&lt;=0,"C",IF(E1299-D1299&lt;'Дашборд'!$C$49,"A",IF(E1299-D1299&lt;'Дашборд'!$C$50,"B","C")))</x:f>
        <x:v>C</x:v>
      </x:c>
      <x:c r="G1299" s="8" t="n">
        <x:f>'Данные'!F1299</x:f>
        <x:v>115</x:v>
      </x:c>
      <x:c r="H1299" s="8" t="n">
        <x:f>SUM('Данные'!H1299:I1299)</x:f>
        <x:v>118</x:v>
      </x:c>
      <x:c r="I1299" s="16" t="n">
        <x:f>IF(H1299&gt;0,G1299/H1299,"n.a.")</x:f>
        <x:v>0.9745762711864406</x:v>
      </x:c>
      <x:c r="J1299" s="10" t="n">
        <x:f>IF('Данные'!E1299&gt;0,G1299/'Данные'!E1299,"n.a.")</x:f>
        <x:v>0.020664869721473494</x:v>
      </x:c>
      <x:c r="K1299" s="1" t="str">
        <x:f>IF(G1299&gt;='Дашборд'!$C$51,"X","Z")</x:f>
        <x:v>Z</x:v>
      </x:c>
      <x:c r="L1299" s="1" t="str">
        <x:f>IF(H1299=0,IF(G1299&gt;0,"Нет остатка","Нет спроса"),IF(I1299&gt;='Дашборд'!$C$52,"Быстрый","Медленный"))</x:f>
        <x:v>Медленный</x:v>
      </x:c>
      <x:c r="M1299" s="1" t="str">
        <x:f>IF('Данные'!E1299&lt;'Дашборд'!$C$53,"Мало трафика",IF(J1299&lt;'Дашборд'!$C$9*'Дашборд'!$C$54,"Да","Нет"))</x:f>
        <x:v>Нет</x:v>
      </x:c>
      <x:c r="N1299" s="1" t="str">
        <x:f>IF(AND('Данные'!D1299&gt;='Дашборд'!$C$55,D1299&lt;'Дашборд'!$C$56,'Данные'!E1299&gt;='Дашборд'!$C$53,'Данные'!L1299&lt;&gt;"Да"),"Да","Нет")</x:f>
        <x:v>Нет</x:v>
      </x:c>
      <x:c r="O1299" s="1" t="str">
        <x:f>'Данные'!L1299</x:f>
        <x:v>Нет</x:v>
      </x:c>
    </x:row>
    <x:row r="1300">
      <x:c r="A1300" s="1" t="str">
        <x:f>'Данные'!A1300</x:f>
        <x:v>235997595</x:v>
      </x:c>
      <x:c r="B1300" s="1" t="str">
        <x:f>'Данные'!B1300</x:f>
        <x:v>bazaboy/синий</x:v>
      </x:c>
      <x:c r="C1300" s="8" t="n">
        <x:f>'Данные'!G1300</x:f>
        <x:v>37233</x:v>
      </x:c>
      <x:c r="D1300" s="15" t="n">
        <x:f>C1300/SUM($C$5:$C$2477)</x:f>
        <x:v>0.000043496470377608695</x:v>
      </x:c>
      <x:c r="E1300" s="15" t="n">
        <x:f>SUM($D$5:D1300)</x:f>
        <x:v>0.9949781302169873</x:v>
      </x:c>
      <x:c r="F1300" s="1" t="str">
        <x:f>IF(C1300&lt;=0,"C",IF(E1300-D1300&lt;'Дашборд'!$C$49,"A",IF(E1300-D1300&lt;'Дашборд'!$C$50,"B","C")))</x:f>
        <x:v>C</x:v>
      </x:c>
      <x:c r="G1300" s="8" t="n">
        <x:f>'Данные'!F1300</x:f>
        <x:v>125</x:v>
      </x:c>
      <x:c r="H1300" s="8" t="n">
        <x:f>SUM('Данные'!H1300:I1300)</x:f>
        <x:v>225</x:v>
      </x:c>
      <x:c r="I1300" s="16" t="n">
        <x:f>IF(H1300&gt;0,G1300/H1300,"n.a.")</x:f>
        <x:v>0.5555555555555556</x:v>
      </x:c>
      <x:c r="J1300" s="10" t="n">
        <x:f>IF('Данные'!E1300&gt;0,G1300/'Данные'!E1300,"n.a.")</x:f>
        <x:v>0.028415548988406456</x:v>
      </x:c>
      <x:c r="K1300" s="1" t="str">
        <x:f>IF(G1300&gt;='Дашборд'!$C$51,"X","Z")</x:f>
        <x:v>Z</x:v>
      </x:c>
      <x:c r="L1300" s="1" t="str">
        <x:f>IF(H1300=0,IF(G1300&gt;0,"Нет остатка","Нет спроса"),IF(I1300&gt;='Дашборд'!$C$52,"Быстрый","Медленный"))</x:f>
        <x:v>Медленный</x:v>
      </x:c>
      <x:c r="M1300" s="1" t="str">
        <x:f>IF('Данные'!E1300&lt;'Дашборд'!$C$53,"Мало трафика",IF(J1300&lt;'Дашборд'!$C$9*'Дашборд'!$C$54,"Да","Нет"))</x:f>
        <x:v>Нет</x:v>
      </x:c>
      <x:c r="N1300" s="1" t="str">
        <x:f>IF(AND('Данные'!D1300&gt;='Дашборд'!$C$55,D1300&lt;'Дашборд'!$C$56,'Данные'!E1300&gt;='Дашборд'!$C$53,'Данные'!L1300&lt;&gt;"Да"),"Да","Нет")</x:f>
        <x:v>Да</x:v>
      </x:c>
      <x:c r="O1300" s="1" t="str">
        <x:f>'Данные'!L1300</x:f>
        <x:v>Нет</x:v>
      </x:c>
    </x:row>
    <x:row r="1301">
      <x:c r="A1301" s="1" t="str">
        <x:f>'Данные'!A1301</x:f>
        <x:v>249083832</x:v>
      </x:c>
      <x:c r="B1301" s="1" t="str">
        <x:f>'Данные'!B1301</x:f>
        <x:v>hudiprint/Cosmic-151/молочный</x:v>
      </x:c>
      <x:c r="C1301" s="8" t="n">
        <x:f>'Данные'!G1301</x:f>
        <x:v>36589</x:v>
      </x:c>
      <x:c r="D1301" s="15" t="n">
        <x:f>C1301/SUM($C$5:$C$2477)</x:f>
        <x:v>0.0000427441343605491</x:v>
      </x:c>
      <x:c r="E1301" s="15" t="n">
        <x:f>SUM($D$5:D1301)</x:f>
        <x:v>0.9950208743513479</x:v>
      </x:c>
      <x:c r="F1301" s="1" t="str">
        <x:f>IF(C1301&lt;=0,"C",IF(E1301-D1301&lt;'Дашборд'!$C$49,"A",IF(E1301-D1301&lt;'Дашборд'!$C$50,"B","C")))</x:f>
        <x:v>C</x:v>
      </x:c>
      <x:c r="G1301" s="8" t="n">
        <x:f>'Данные'!F1301</x:f>
        <x:v>53</x:v>
      </x:c>
      <x:c r="H1301" s="8" t="n">
        <x:f>SUM('Данные'!H1301:I1301)</x:f>
        <x:v>277</x:v>
      </x:c>
      <x:c r="I1301" s="16" t="n">
        <x:f>IF(H1301&gt;0,G1301/H1301,"n.a.")</x:f>
        <x:v>0.19133574007220217</x:v>
      </x:c>
      <x:c r="J1301" s="10" t="n">
        <x:f>IF('Данные'!E1301&gt;0,G1301/'Данные'!E1301,"n.a.")</x:f>
        <x:v>0.0026713709677419354</x:v>
      </x:c>
      <x:c r="K1301" s="1" t="str">
        <x:f>IF(G1301&gt;='Дашборд'!$C$51,"X","Z")</x:f>
        <x:v>Z</x:v>
      </x:c>
      <x:c r="L1301" s="1" t="str">
        <x:f>IF(H1301=0,IF(G1301&gt;0,"Нет остатка","Нет спроса"),IF(I1301&gt;='Дашборд'!$C$52,"Быстрый","Медленный"))</x:f>
        <x:v>Медленный</x:v>
      </x:c>
      <x:c r="M1301" s="1" t="str">
        <x:f>IF('Данные'!E1301&lt;'Дашборд'!$C$53,"Мало трафика",IF(J1301&lt;'Дашборд'!$C$9*'Дашборд'!$C$54,"Да","Нет"))</x:f>
        <x:v>Да</x:v>
      </x:c>
      <x:c r="N1301" s="1" t="str">
        <x:f>IF(AND('Данные'!D1301&gt;='Дашборд'!$C$55,D1301&lt;'Дашборд'!$C$56,'Данные'!E1301&gt;='Дашборд'!$C$53,'Данные'!L1301&lt;&gt;"Да"),"Да","Нет")</x:f>
        <x:v>Нет</x:v>
      </x:c>
      <x:c r="O1301" s="1" t="str">
        <x:f>'Данные'!L1301</x:f>
        <x:v>Нет</x:v>
      </x:c>
    </x:row>
    <x:row r="1302">
      <x:c r="A1302" s="1" t="str">
        <x:f>'Данные'!A1302</x:f>
        <x:v>193733331</x:v>
      </x:c>
      <x:c r="B1302" s="1" t="str">
        <x:f>'Данные'!B1302</x:f>
        <x:v>sweater/бежевый</x:v>
      </x:c>
      <x:c r="C1302" s="8" t="n">
        <x:f>'Данные'!G1302</x:f>
        <x:v>36538</x:v>
      </x:c>
      <x:c r="D1302" s="15" t="n">
        <x:f>C1302/SUM($C$5:$C$2477)</x:f>
        <x:v>0.0000426845549554714</x:v>
      </x:c>
      <x:c r="E1302" s="15" t="n">
        <x:f>SUM($D$5:D1302)</x:f>
        <x:v>0.9950635589063034</x:v>
      </x:c>
      <x:c r="F1302" s="1" t="str">
        <x:f>IF(C1302&lt;=0,"C",IF(E1302-D1302&lt;'Дашборд'!$C$49,"A",IF(E1302-D1302&lt;'Дашборд'!$C$50,"B","C")))</x:f>
        <x:v>C</x:v>
      </x:c>
      <x:c r="G1302" s="8" t="n">
        <x:f>'Данные'!F1302</x:f>
        <x:v>62</x:v>
      </x:c>
      <x:c r="H1302" s="8" t="n">
        <x:f>SUM('Данные'!H1302:I1302)</x:f>
        <x:v>264</x:v>
      </x:c>
      <x:c r="I1302" s="16" t="n">
        <x:f>IF(H1302&gt;0,G1302/H1302,"n.a.")</x:f>
        <x:v>0.23484848484848486</x:v>
      </x:c>
      <x:c r="J1302" s="10" t="n">
        <x:f>IF('Данные'!E1302&gt;0,G1302/'Данные'!E1302,"n.a.")</x:f>
        <x:v>0.011900191938579654</x:v>
      </x:c>
      <x:c r="K1302" s="1" t="str">
        <x:f>IF(G1302&gt;='Дашборд'!$C$51,"X","Z")</x:f>
        <x:v>Z</x:v>
      </x:c>
      <x:c r="L1302" s="1" t="str">
        <x:f>IF(H1302=0,IF(G1302&gt;0,"Нет остатка","Нет спроса"),IF(I1302&gt;='Дашборд'!$C$52,"Быстрый","Медленный"))</x:f>
        <x:v>Медленный</x:v>
      </x:c>
      <x:c r="M1302" s="1" t="str">
        <x:f>IF('Данные'!E1302&lt;'Дашборд'!$C$53,"Мало трафика",IF(J1302&lt;'Дашборд'!$C$9*'Дашборд'!$C$54,"Да","Нет"))</x:f>
        <x:v>Нет</x:v>
      </x:c>
      <x:c r="N1302" s="1" t="str">
        <x:f>IF(AND('Данные'!D1302&gt;='Дашборд'!$C$55,D1302&lt;'Дашборд'!$C$56,'Данные'!E1302&gt;='Дашборд'!$C$53,'Данные'!L1302&lt;&gt;"Да"),"Да","Нет")</x:f>
        <x:v>Да</x:v>
      </x:c>
      <x:c r="O1302" s="1" t="str">
        <x:f>'Данные'!L1302</x:f>
        <x:v>Нет</x:v>
      </x:c>
    </x:row>
    <x:row r="1303">
      <x:c r="A1303" s="1" t="str">
        <x:f>'Данные'!A1303</x:f>
        <x:v>195712676</x:v>
      </x:c>
      <x:c r="B1303" s="1" t="str">
        <x:f>'Данные'!B1303</x:f>
        <x:v>sweater/деним</x:v>
      </x:c>
      <x:c r="C1303" s="8" t="n">
        <x:f>'Данные'!G1303</x:f>
        <x:v>36423</x:v>
      </x:c>
      <x:c r="D1303" s="15" t="n">
        <x:f>C1303/SUM($C$5:$C$2477)</x:f>
        <x:v>0.000042550209238139325</x:v>
      </x:c>
      <x:c r="E1303" s="15" t="n">
        <x:f>SUM($D$5:D1303)</x:f>
        <x:v>0.9951061091155415</x:v>
      </x:c>
      <x:c r="F1303" s="1" t="str">
        <x:f>IF(C1303&lt;=0,"C",IF(E1303-D1303&lt;'Дашборд'!$C$49,"A",IF(E1303-D1303&lt;'Дашборд'!$C$50,"B","C")))</x:f>
        <x:v>C</x:v>
      </x:c>
      <x:c r="G1303" s="8" t="n">
        <x:f>'Данные'!F1303</x:f>
        <x:v>58</x:v>
      </x:c>
      <x:c r="H1303" s="8" t="n">
        <x:f>SUM('Данные'!H1303:I1303)</x:f>
        <x:v>202</x:v>
      </x:c>
      <x:c r="I1303" s="16" t="n">
        <x:f>IF(H1303&gt;0,G1303/H1303,"n.a.")</x:f>
        <x:v>0.2871287128712871</x:v>
      </x:c>
      <x:c r="J1303" s="10" t="n">
        <x:f>IF('Данные'!E1303&gt;0,G1303/'Данные'!E1303,"n.a.")</x:f>
        <x:v>0.009055425448868072</x:v>
      </x:c>
      <x:c r="K1303" s="1" t="str">
        <x:f>IF(G1303&gt;='Дашборд'!$C$51,"X","Z")</x:f>
        <x:v>Z</x:v>
      </x:c>
      <x:c r="L1303" s="1" t="str">
        <x:f>IF(H1303=0,IF(G1303&gt;0,"Нет остатка","Нет спроса"),IF(I1303&gt;='Дашборд'!$C$52,"Быстрый","Медленный"))</x:f>
        <x:v>Медленный</x:v>
      </x:c>
      <x:c r="M1303" s="1" t="str">
        <x:f>IF('Данные'!E1303&lt;'Дашборд'!$C$53,"Мало трафика",IF(J1303&lt;'Дашборд'!$C$9*'Дашборд'!$C$54,"Да","Нет"))</x:f>
        <x:v>Да</x:v>
      </x:c>
      <x:c r="N1303" s="1" t="str">
        <x:f>IF(AND('Данные'!D1303&gt;='Дашборд'!$C$55,D1303&lt;'Дашборд'!$C$56,'Данные'!E1303&gt;='Дашборд'!$C$53,'Данные'!L1303&lt;&gt;"Да"),"Да","Нет")</x:f>
        <x:v>Нет</x:v>
      </x:c>
      <x:c r="O1303" s="1" t="str">
        <x:f>'Данные'!L1303</x:f>
        <x:v>Нет</x:v>
      </x:c>
    </x:row>
    <x:row r="1304">
      <x:c r="A1304" s="1" t="str">
        <x:f>'Данные'!A1304</x:f>
        <x:v>344505960</x:v>
      </x:c>
      <x:c r="B1304" s="1" t="str">
        <x:f>'Данные'!B1304</x:f>
        <x:v>malyshkabasic/красный</x:v>
      </x:c>
      <x:c r="C1304" s="8" t="n">
        <x:f>'Данные'!G1304</x:f>
        <x:v>35620</x:v>
      </x:c>
      <x:c r="D1304" s="15" t="n">
        <x:f>C1304/SUM($C$5:$C$2477)</x:f>
        <x:v>0.000041612125664072776</x:v>
      </x:c>
      <x:c r="E1304" s="15" t="n">
        <x:f>SUM($D$5:D1304)</x:f>
        <x:v>0.9951477212412057</x:v>
      </x:c>
      <x:c r="F1304" s="1" t="str">
        <x:f>IF(C1304&lt;=0,"C",IF(E1304-D1304&lt;'Дашборд'!$C$49,"A",IF(E1304-D1304&lt;'Дашборд'!$C$50,"B","C")))</x:f>
        <x:v>C</x:v>
      </x:c>
      <x:c r="G1304" s="8" t="n">
        <x:f>'Данные'!F1304</x:f>
        <x:v>206</x:v>
      </x:c>
      <x:c r="H1304" s="8" t="n">
        <x:f>SUM('Данные'!H1304:I1304)</x:f>
        <x:v>99</x:v>
      </x:c>
      <x:c r="I1304" s="16" t="n">
        <x:f>IF(H1304&gt;0,G1304/H1304,"n.a.")</x:f>
        <x:v>2.080808080808081</x:v>
      </x:c>
      <x:c r="J1304" s="10" t="n">
        <x:f>IF('Данные'!E1304&gt;0,G1304/'Данные'!E1304,"n.a.")</x:f>
        <x:v>0.005695957529171044</x:v>
      </x:c>
      <x:c r="K1304" s="1" t="str">
        <x:f>IF(G1304&gt;='Дашборд'!$C$51,"X","Z")</x:f>
        <x:v>Z</x:v>
      </x:c>
      <x:c r="L1304" s="1" t="str">
        <x:f>IF(H1304=0,IF(G1304&gt;0,"Нет остатка","Нет спроса"),IF(I1304&gt;='Дашборд'!$C$52,"Быстрый","Медленный"))</x:f>
        <x:v>Быстрый</x:v>
      </x:c>
      <x:c r="M1304" s="1" t="str">
        <x:f>IF('Данные'!E1304&lt;'Дашборд'!$C$53,"Мало трафика",IF(J1304&lt;'Дашборд'!$C$9*'Дашборд'!$C$54,"Да","Нет"))</x:f>
        <x:v>Да</x:v>
      </x:c>
      <x:c r="N1304" s="1" t="str">
        <x:f>IF(AND('Данные'!D1304&gt;='Дашборд'!$C$55,D1304&lt;'Дашборд'!$C$56,'Данные'!E1304&gt;='Дашборд'!$C$53,'Данные'!L1304&lt;&gt;"Да"),"Да","Нет")</x:f>
        <x:v>Нет</x:v>
      </x:c>
      <x:c r="O1304" s="1" t="str">
        <x:f>'Данные'!L1304</x:f>
        <x:v>Нет</x:v>
      </x:c>
    </x:row>
    <x:row r="1305">
      <x:c r="A1305" s="1" t="str">
        <x:f>'Данные'!A1305</x:f>
        <x:v>245583526</x:v>
      </x:c>
      <x:c r="B1305" s="1" t="str">
        <x:f>'Данные'!B1305</x:f>
        <x:v>hudiprint/Prosecco2-112/молочный</x:v>
      </x:c>
      <x:c r="C1305" s="8" t="n">
        <x:f>'Данные'!G1305</x:f>
        <x:v>35451</x:v>
      </x:c>
      <x:c r="D1305" s="15" t="n">
        <x:f>C1305/SUM($C$5:$C$2477)</x:f>
        <x:v>0.00004141469587077608</x:v>
      </x:c>
      <x:c r="E1305" s="15" t="n">
        <x:f>SUM($D$5:D1305)</x:f>
        <x:v>0.9951891359370765</x:v>
      </x:c>
      <x:c r="F1305" s="1" t="str">
        <x:f>IF(C1305&lt;=0,"C",IF(E1305-D1305&lt;'Дашборд'!$C$49,"A",IF(E1305-D1305&lt;'Дашборд'!$C$50,"B","C")))</x:f>
        <x:v>C</x:v>
      </x:c>
      <x:c r="G1305" s="8" t="n">
        <x:f>'Данные'!F1305</x:f>
        <x:v>32</x:v>
      </x:c>
      <x:c r="H1305" s="8" t="n">
        <x:f>SUM('Данные'!H1305:I1305)</x:f>
        <x:v>0</x:v>
      </x:c>
      <x:c r="I1305" s="16" t="str">
        <x:f>IF(H1305&gt;0,G1305/H1305,"n.a.")</x:f>
        <x:v>n.a.</x:v>
      </x:c>
      <x:c r="J1305" s="10" t="n">
        <x:f>IF('Данные'!E1305&gt;0,G1305/'Данные'!E1305,"n.a.")</x:f>
        <x:v>0.006862534848809779</x:v>
      </x:c>
      <x:c r="K1305" s="1" t="str">
        <x:f>IF(G1305&gt;='Дашборд'!$C$51,"X","Z")</x:f>
        <x:v>Z</x:v>
      </x:c>
      <x:c r="L1305" s="1" t="str">
        <x:f>IF(H1305=0,IF(G1305&gt;0,"Нет остатка","Нет спроса"),IF(I1305&gt;='Дашборд'!$C$52,"Быстрый","Медленный"))</x:f>
        <x:v>Нет остатка</x:v>
      </x:c>
      <x:c r="M1305" s="1" t="str">
        <x:f>IF('Данные'!E1305&lt;'Дашборд'!$C$53,"Мало трафика",IF(J1305&lt;'Дашборд'!$C$9*'Дашборд'!$C$54,"Да","Нет"))</x:f>
        <x:v>Да</x:v>
      </x:c>
      <x:c r="N1305" s="1" t="str">
        <x:f>IF(AND('Данные'!D1305&gt;='Дашборд'!$C$55,D1305&lt;'Дашборд'!$C$56,'Данные'!E1305&gt;='Дашборд'!$C$53,'Данные'!L1305&lt;&gt;"Да"),"Да","Нет")</x:f>
        <x:v>Да</x:v>
      </x:c>
      <x:c r="O1305" s="1" t="str">
        <x:f>'Данные'!L1305</x:f>
        <x:v>Нет</x:v>
      </x:c>
    </x:row>
    <x:row r="1306">
      <x:c r="A1306" s="1" t="str">
        <x:f>'Данные'!A1306</x:f>
        <x:v>201772612</x:v>
      </x:c>
      <x:c r="B1306" s="1" t="str">
        <x:f>'Данные'!B1306</x:f>
        <x:v>svitshotprint/MoreSelf-44/молочный</x:v>
      </x:c>
      <x:c r="C1306" s="8" t="n">
        <x:f>'Данные'!G1306</x:f>
        <x:v>35417</x:v>
      </x:c>
      <x:c r="D1306" s="15" t="n">
        <x:f>C1306/SUM($C$5:$C$2477)</x:f>
        <x:v>0.00004137497626739095</x:v>
      </x:c>
      <x:c r="E1306" s="15" t="n">
        <x:f>SUM($D$5:D1306)</x:f>
        <x:v>0.9952305109133439</x:v>
      </x:c>
      <x:c r="F1306" s="1" t="str">
        <x:f>IF(C1306&lt;=0,"C",IF(E1306-D1306&lt;'Дашборд'!$C$49,"A",IF(E1306-D1306&lt;'Дашборд'!$C$50,"B","C")))</x:f>
        <x:v>C</x:v>
      </x:c>
      <x:c r="G1306" s="8" t="n">
        <x:f>'Данные'!F1306</x:f>
        <x:v>64</x:v>
      </x:c>
      <x:c r="H1306" s="8" t="n">
        <x:f>SUM('Данные'!H1306:I1306)</x:f>
        <x:v>374</x:v>
      </x:c>
      <x:c r="I1306" s="16" t="n">
        <x:f>IF(H1306&gt;0,G1306/H1306,"n.a.")</x:f>
        <x:v>0.1711229946524064</x:v>
      </x:c>
      <x:c r="J1306" s="10" t="n">
        <x:f>IF('Данные'!E1306&gt;0,G1306/'Данные'!E1306,"n.a.")</x:f>
        <x:v>0.005558933379657779</x:v>
      </x:c>
      <x:c r="K1306" s="1" t="str">
        <x:f>IF(G1306&gt;='Дашборд'!$C$51,"X","Z")</x:f>
        <x:v>Z</x:v>
      </x:c>
      <x:c r="L1306" s="1" t="str">
        <x:f>IF(H1306=0,IF(G1306&gt;0,"Нет остатка","Нет спроса"),IF(I1306&gt;='Дашборд'!$C$52,"Быстрый","Медленный"))</x:f>
        <x:v>Медленный</x:v>
      </x:c>
      <x:c r="M1306" s="1" t="str">
        <x:f>IF('Данные'!E1306&lt;'Дашборд'!$C$53,"Мало трафика",IF(J1306&lt;'Дашборд'!$C$9*'Дашборд'!$C$54,"Да","Нет"))</x:f>
        <x:v>Да</x:v>
      </x:c>
      <x:c r="N1306" s="1" t="str">
        <x:f>IF(AND('Данные'!D1306&gt;='Дашборд'!$C$55,D1306&lt;'Дашборд'!$C$56,'Данные'!E1306&gt;='Дашборд'!$C$53,'Данные'!L1306&lt;&gt;"Да"),"Да","Нет")</x:f>
        <x:v>Нет</x:v>
      </x:c>
      <x:c r="O1306" s="1" t="str">
        <x:f>'Данные'!L1306</x:f>
        <x:v>Нет</x:v>
      </x:c>
    </x:row>
    <x:row r="1307">
      <x:c r="A1307" s="1" t="str">
        <x:f>'Данные'!A1307</x:f>
        <x:v>321748994</x:v>
      </x:c>
      <x:c r="B1307" s="1" t="str">
        <x:f>'Данные'!B1307</x:f>
        <x:v>ubkamaxi3P-S14/темно-серый</x:v>
      </x:c>
      <x:c r="C1307" s="8" t="n">
        <x:f>'Данные'!G1307</x:f>
        <x:v>35382</x:v>
      </x:c>
      <x:c r="D1307" s="15" t="n">
        <x:f>C1307/SUM($C$5:$C$2477)</x:f>
        <x:v>0.00004133408844037684</x:v>
      </x:c>
      <x:c r="E1307" s="15" t="n">
        <x:f>SUM($D$5:D1307)</x:f>
        <x:v>0.9952718450017843</x:v>
      </x:c>
      <x:c r="F1307" s="1" t="str">
        <x:f>IF(C1307&lt;=0,"C",IF(E1307-D1307&lt;'Дашборд'!$C$49,"A",IF(E1307-D1307&lt;'Дашборд'!$C$50,"B","C")))</x:f>
        <x:v>C</x:v>
      </x:c>
      <x:c r="G1307" s="8" t="n">
        <x:f>'Данные'!F1307</x:f>
        <x:v>78</x:v>
      </x:c>
      <x:c r="H1307" s="8" t="n">
        <x:f>SUM('Данные'!H1307:I1307)</x:f>
        <x:v>479</x:v>
      </x:c>
      <x:c r="I1307" s="16" t="n">
        <x:f>IF(H1307&gt;0,G1307/H1307,"n.a.")</x:f>
        <x:v>0.162839248434238</x:v>
      </x:c>
      <x:c r="J1307" s="10" t="n">
        <x:f>IF('Данные'!E1307&gt;0,G1307/'Данные'!E1307,"n.a.")</x:f>
        <x:v>0.008871701546860783</x:v>
      </x:c>
      <x:c r="K1307" s="1" t="str">
        <x:f>IF(G1307&gt;='Дашборд'!$C$51,"X","Z")</x:f>
        <x:v>Z</x:v>
      </x:c>
      <x:c r="L1307" s="1" t="str">
        <x:f>IF(H1307=0,IF(G1307&gt;0,"Нет остатка","Нет спроса"),IF(I1307&gt;='Дашборд'!$C$52,"Быстрый","Медленный"))</x:f>
        <x:v>Медленный</x:v>
      </x:c>
      <x:c r="M1307" s="1" t="str">
        <x:f>IF('Данные'!E1307&lt;'Дашборд'!$C$53,"Мало трафика",IF(J1307&lt;'Дашборд'!$C$9*'Дашборд'!$C$54,"Да","Нет"))</x:f>
        <x:v>Да</x:v>
      </x:c>
      <x:c r="N1307" s="1" t="str">
        <x:f>IF(AND('Данные'!D1307&gt;='Дашборд'!$C$55,D1307&lt;'Дашборд'!$C$56,'Данные'!E1307&gt;='Дашборд'!$C$53,'Данные'!L1307&lt;&gt;"Да"),"Да","Нет")</x:f>
        <x:v>Нет</x:v>
      </x:c>
      <x:c r="O1307" s="1" t="str">
        <x:f>'Данные'!L1307</x:f>
        <x:v>Нет</x:v>
      </x:c>
    </x:row>
    <x:row r="1308">
      <x:c r="A1308" s="1" t="str">
        <x:f>'Данные'!A1308</x:f>
        <x:v>257064364</x:v>
      </x:c>
      <x:c r="B1308" s="1" t="str">
        <x:f>'Данные'!B1308</x:f>
        <x:v>longoverprint/Tiger-216/молочный</x:v>
      </x:c>
      <x:c r="C1308" s="8" t="n">
        <x:f>'Данные'!G1308</x:f>
        <x:v>35378</x:v>
      </x:c>
      <x:c r="D1308" s="15" t="n">
        <x:f>C1308/SUM($C$5:$C$2477)</x:f>
        <x:v>0.00004132941554586094</x:v>
      </x:c>
      <x:c r="E1308" s="15" t="n">
        <x:f>SUM($D$5:D1308)</x:f>
        <x:v>0.9953131744173302</x:v>
      </x:c>
      <x:c r="F1308" s="1" t="str">
        <x:f>IF(C1308&lt;=0,"C",IF(E1308-D1308&lt;'Дашборд'!$C$49,"A",IF(E1308-D1308&lt;'Дашборд'!$C$50,"B","C")))</x:f>
        <x:v>C</x:v>
      </x:c>
      <x:c r="G1308" s="8" t="n">
        <x:f>'Данные'!F1308</x:f>
        <x:v>42</x:v>
      </x:c>
      <x:c r="H1308" s="8" t="n">
        <x:f>SUM('Данные'!H1308:I1308)</x:f>
        <x:v>1336</x:v>
      </x:c>
      <x:c r="I1308" s="16" t="n">
        <x:f>IF(H1308&gt;0,G1308/H1308,"n.a.")</x:f>
        <x:v>0.03143712574850299</x:v>
      </x:c>
      <x:c r="J1308" s="10" t="n">
        <x:f>IF('Данные'!E1308&gt;0,G1308/'Данные'!E1308,"n.a.")</x:f>
        <x:v>0.00903225806451613</x:v>
      </x:c>
      <x:c r="K1308" s="1" t="str">
        <x:f>IF(G1308&gt;='Дашборд'!$C$51,"X","Z")</x:f>
        <x:v>Z</x:v>
      </x:c>
      <x:c r="L1308" s="1" t="str">
        <x:f>IF(H1308=0,IF(G1308&gt;0,"Нет остатка","Нет спроса"),IF(I1308&gt;='Дашборд'!$C$52,"Быстрый","Медленный"))</x:f>
        <x:v>Медленный</x:v>
      </x:c>
      <x:c r="M1308" s="1" t="str">
        <x:f>IF('Данные'!E1308&lt;'Дашборд'!$C$53,"Мало трафика",IF(J1308&lt;'Дашборд'!$C$9*'Дашборд'!$C$54,"Да","Нет"))</x:f>
        <x:v>Да</x:v>
      </x:c>
      <x:c r="N1308" s="1" t="str">
        <x:f>IF(AND('Данные'!D1308&gt;='Дашборд'!$C$55,D1308&lt;'Дашборд'!$C$56,'Данные'!E1308&gt;='Дашборд'!$C$53,'Данные'!L1308&lt;&gt;"Да"),"Да","Нет")</x:f>
        <x:v>Нет</x:v>
      </x:c>
      <x:c r="O1308" s="1" t="str">
        <x:f>'Данные'!L1308</x:f>
        <x:v>Нет</x:v>
      </x:c>
    </x:row>
    <x:row r="1309">
      <x:c r="A1309" s="1" t="str">
        <x:f>'Данные'!A1309</x:f>
        <x:v>321815229</x:v>
      </x:c>
      <x:c r="B1309" s="1" t="str">
        <x:f>'Данные'!B1309</x:f>
        <x:v>toprib3R-82/белый</x:v>
      </x:c>
      <x:c r="C1309" s="8" t="n">
        <x:f>'Данные'!G1309</x:f>
        <x:v>35231</x:v>
      </x:c>
      <x:c r="D1309" s="15" t="n">
        <x:f>C1309/SUM($C$5:$C$2477)</x:f>
        <x:v>0.000041157686672401685</x:v>
      </x:c>
      <x:c r="E1309" s="15" t="n">
        <x:f>SUM($D$5:D1309)</x:f>
        <x:v>0.9953543321040027</x:v>
      </x:c>
      <x:c r="F1309" s="1" t="str">
        <x:f>IF(C1309&lt;=0,"C",IF(E1309-D1309&lt;'Дашборд'!$C$49,"A",IF(E1309-D1309&lt;'Дашборд'!$C$50,"B","C")))</x:f>
        <x:v>C</x:v>
      </x:c>
      <x:c r="G1309" s="8" t="n">
        <x:f>'Данные'!F1309</x:f>
        <x:v>186</x:v>
      </x:c>
      <x:c r="H1309" s="8" t="n">
        <x:f>SUM('Данные'!H1309:I1309)</x:f>
        <x:v>886</x:v>
      </x:c>
      <x:c r="I1309" s="16" t="n">
        <x:f>IF(H1309&gt;0,G1309/H1309,"n.a.")</x:f>
        <x:v>0.20993227990970656</x:v>
      </x:c>
      <x:c r="J1309" s="10" t="n">
        <x:f>IF('Данные'!E1309&gt;0,G1309/'Данные'!E1309,"n.a.")</x:f>
        <x:v>0.011137724550898204</x:v>
      </x:c>
      <x:c r="K1309" s="1" t="str">
        <x:f>IF(G1309&gt;='Дашборд'!$C$51,"X","Z")</x:f>
        <x:v>Z</x:v>
      </x:c>
      <x:c r="L1309" s="1" t="str">
        <x:f>IF(H1309=0,IF(G1309&gt;0,"Нет остатка","Нет спроса"),IF(I1309&gt;='Дашборд'!$C$52,"Быстрый","Медленный"))</x:f>
        <x:v>Медленный</x:v>
      </x:c>
      <x:c r="M1309" s="1" t="str">
        <x:f>IF('Данные'!E1309&lt;'Дашборд'!$C$53,"Мало трафика",IF(J1309&lt;'Дашборд'!$C$9*'Дашборд'!$C$54,"Да","Нет"))</x:f>
        <x:v>Нет</x:v>
      </x:c>
      <x:c r="N1309" s="1" t="str">
        <x:f>IF(AND('Данные'!D1309&gt;='Дашборд'!$C$55,D1309&lt;'Дашборд'!$C$56,'Данные'!E1309&gt;='Дашборд'!$C$53,'Данные'!L1309&lt;&gt;"Да"),"Да","Нет")</x:f>
        <x:v>Нет</x:v>
      </x:c>
      <x:c r="O1309" s="1" t="str">
        <x:f>'Данные'!L1309</x:f>
        <x:v>Нет</x:v>
      </x:c>
    </x:row>
    <x:row r="1310">
      <x:c r="A1310" s="1" t="str">
        <x:f>'Данные'!A1310</x:f>
        <x:v>195712686</x:v>
      </x:c>
      <x:c r="B1310" s="1" t="str">
        <x:f>'Данные'!B1310</x:f>
        <x:v>sweater/голубой</x:v>
      </x:c>
      <x:c r="C1310" s="8" t="n">
        <x:f>'Данные'!G1310</x:f>
        <x:v>35047</x:v>
      </x:c>
      <x:c r="D1310" s="15" t="n">
        <x:f>C1310/SUM($C$5:$C$2477)</x:f>
        <x:v>0.000040942733524670375</x:v>
      </x:c>
      <x:c r="E1310" s="15" t="n">
        <x:f>SUM($D$5:D1310)</x:f>
        <x:v>0.9953952748375273</x:v>
      </x:c>
      <x:c r="F1310" s="1" t="str">
        <x:f>IF(C1310&lt;=0,"C",IF(E1310-D1310&lt;'Дашборд'!$C$49,"A",IF(E1310-D1310&lt;'Дашборд'!$C$50,"B","C")))</x:f>
        <x:v>C</x:v>
      </x:c>
      <x:c r="G1310" s="8" t="n">
        <x:f>'Данные'!F1310</x:f>
        <x:v>38</x:v>
      </x:c>
      <x:c r="H1310" s="8" t="n">
        <x:f>SUM('Данные'!H1310:I1310)</x:f>
        <x:v>5</x:v>
      </x:c>
      <x:c r="I1310" s="16" t="n">
        <x:f>IF(H1310&gt;0,G1310/H1310,"n.a.")</x:f>
        <x:v>7.6</x:v>
      </x:c>
      <x:c r="J1310" s="10" t="n">
        <x:f>IF('Данные'!E1310&gt;0,G1310/'Данные'!E1310,"n.a.")</x:f>
        <x:v>0.012495889510029596</x:v>
      </x:c>
      <x:c r="K1310" s="1" t="str">
        <x:f>IF(G1310&gt;='Дашборд'!$C$51,"X","Z")</x:f>
        <x:v>Z</x:v>
      </x:c>
      <x:c r="L1310" s="1" t="str">
        <x:f>IF(H1310=0,IF(G1310&gt;0,"Нет остатка","Нет спроса"),IF(I1310&gt;='Дашборд'!$C$52,"Быстрый","Медленный"))</x:f>
        <x:v>Быстрый</x:v>
      </x:c>
      <x:c r="M1310" s="1" t="str">
        <x:f>IF('Данные'!E1310&lt;'Дашборд'!$C$53,"Мало трафика",IF(J1310&lt;'Дашборд'!$C$9*'Дашборд'!$C$54,"Да","Нет"))</x:f>
        <x:v>Нет</x:v>
      </x:c>
      <x:c r="N1310" s="1" t="str">
        <x:f>IF(AND('Данные'!D1310&gt;='Дашборд'!$C$55,D1310&lt;'Дашборд'!$C$56,'Данные'!E1310&gt;='Дашборд'!$C$53,'Данные'!L1310&lt;&gt;"Да"),"Да","Нет")</x:f>
        <x:v>Да</x:v>
      </x:c>
      <x:c r="O1310" s="1" t="str">
        <x:f>'Данные'!L1310</x:f>
        <x:v>Нет</x:v>
      </x:c>
    </x:row>
    <x:row r="1311">
      <x:c r="A1311" s="1" t="str">
        <x:f>'Данные'!A1311</x:f>
        <x:v>116725960</x:v>
      </x:c>
      <x:c r="B1311" s="1" t="str">
        <x:f>'Данные'!B1311</x:f>
        <x:v>longsliv/пыльнаяроза</x:v>
      </x:c>
      <x:c r="C1311" s="8" t="n">
        <x:f>'Данные'!G1311</x:f>
        <x:v>35020</x:v>
      </x:c>
      <x:c r="D1311" s="15" t="n">
        <x:f>C1311/SUM($C$5:$C$2477)</x:f>
        <x:v>0.00004091119148668806</x:v>
      </x:c>
      <x:c r="E1311" s="15" t="n">
        <x:f>SUM($D$5:D1311)</x:f>
        <x:v>0.995436186029014</x:v>
      </x:c>
      <x:c r="F1311" s="1" t="str">
        <x:f>IF(C1311&lt;=0,"C",IF(E1311-D1311&lt;'Дашборд'!$C$49,"A",IF(E1311-D1311&lt;'Дашборд'!$C$50,"B","C")))</x:f>
        <x:v>C</x:v>
      </x:c>
      <x:c r="G1311" s="8" t="n">
        <x:f>'Данные'!F1311</x:f>
        <x:v>204</x:v>
      </x:c>
      <x:c r="H1311" s="8" t="n">
        <x:f>SUM('Данные'!H1311:I1311)</x:f>
        <x:v>83</x:v>
      </x:c>
      <x:c r="I1311" s="16" t="n">
        <x:f>IF(H1311&gt;0,G1311/H1311,"n.a.")</x:f>
        <x:v>2.4578313253012047</x:v>
      </x:c>
      <x:c r="J1311" s="10" t="n">
        <x:f>IF('Данные'!E1311&gt;0,G1311/'Данные'!E1311,"n.a.")</x:f>
        <x:v>0.015337192692278775</x:v>
      </x:c>
      <x:c r="K1311" s="1" t="str">
        <x:f>IF(G1311&gt;='Дашборд'!$C$51,"X","Z")</x:f>
        <x:v>Z</x:v>
      </x:c>
      <x:c r="L1311" s="1" t="str">
        <x:f>IF(H1311=0,IF(G1311&gt;0,"Нет остатка","Нет спроса"),IF(I1311&gt;='Дашборд'!$C$52,"Быстрый","Медленный"))</x:f>
        <x:v>Быстрый</x:v>
      </x:c>
      <x:c r="M1311" s="1" t="str">
        <x:f>IF('Данные'!E1311&lt;'Дашборд'!$C$53,"Мало трафика",IF(J1311&lt;'Дашборд'!$C$9*'Дашборд'!$C$54,"Да","Нет"))</x:f>
        <x:v>Нет</x:v>
      </x:c>
      <x:c r="N1311" s="1" t="str">
        <x:f>IF(AND('Данные'!D1311&gt;='Дашборд'!$C$55,D1311&lt;'Дашборд'!$C$56,'Данные'!E1311&gt;='Дашборд'!$C$53,'Данные'!L1311&lt;&gt;"Да"),"Да","Нет")</x:f>
        <x:v>Да</x:v>
      </x:c>
      <x:c r="O1311" s="1" t="str">
        <x:f>'Данные'!L1311</x:f>
        <x:v>Нет</x:v>
      </x:c>
    </x:row>
    <x:row r="1312">
      <x:c r="A1312" s="1" t="str">
        <x:f>'Данные'!A1312</x:f>
        <x:v>209914905</x:v>
      </x:c>
      <x:c r="B1312" s="1" t="str">
        <x:f>'Данные'!B1312</x:f>
        <x:v>longsvobod/сероваторозовый</x:v>
      </x:c>
      <x:c r="C1312" s="8" t="n">
        <x:f>'Данные'!G1312</x:f>
        <x:v>35008</x:v>
      </x:c>
      <x:c r="D1312" s="15" t="n">
        <x:f>C1312/SUM($C$5:$C$2477)</x:f>
        <x:v>0.000040897172803140366</x:v>
      </x:c>
      <x:c r="E1312" s="15" t="n">
        <x:f>SUM($D$5:D1312)</x:f>
        <x:v>0.995477083201817</x:v>
      </x:c>
      <x:c r="F1312" s="1" t="str">
        <x:f>IF(C1312&lt;=0,"C",IF(E1312-D1312&lt;'Дашборд'!$C$49,"A",IF(E1312-D1312&lt;'Дашборд'!$C$50,"B","C")))</x:f>
        <x:v>C</x:v>
      </x:c>
      <x:c r="G1312" s="8" t="n">
        <x:f>'Данные'!F1312</x:f>
        <x:v>91</x:v>
      </x:c>
      <x:c r="H1312" s="8" t="n">
        <x:f>SUM('Данные'!H1312:I1312)</x:f>
        <x:v>103</x:v>
      </x:c>
      <x:c r="I1312" s="16" t="n">
        <x:f>IF(H1312&gt;0,G1312/H1312,"n.a.")</x:f>
        <x:v>0.883495145631068</x:v>
      </x:c>
      <x:c r="J1312" s="10" t="n">
        <x:f>IF('Данные'!E1312&gt;0,G1312/'Данные'!E1312,"n.a.")</x:f>
        <x:v>0.01480156148340924</x:v>
      </x:c>
      <x:c r="K1312" s="1" t="str">
        <x:f>IF(G1312&gt;='Дашборд'!$C$51,"X","Z")</x:f>
        <x:v>Z</x:v>
      </x:c>
      <x:c r="L1312" s="1" t="str">
        <x:f>IF(H1312=0,IF(G1312&gt;0,"Нет остатка","Нет спроса"),IF(I1312&gt;='Дашборд'!$C$52,"Быстрый","Медленный"))</x:f>
        <x:v>Медленный</x:v>
      </x:c>
      <x:c r="M1312" s="1" t="str">
        <x:f>IF('Данные'!E1312&lt;'Дашборд'!$C$53,"Мало трафика",IF(J1312&lt;'Дашборд'!$C$9*'Дашборд'!$C$54,"Да","Нет"))</x:f>
        <x:v>Нет</x:v>
      </x:c>
      <x:c r="N1312" s="1" t="str">
        <x:f>IF(AND('Данные'!D1312&gt;='Дашборд'!$C$55,D1312&lt;'Дашборд'!$C$56,'Данные'!E1312&gt;='Дашборд'!$C$53,'Данные'!L1312&lt;&gt;"Да"),"Да","Нет")</x:f>
        <x:v>Нет</x:v>
      </x:c>
      <x:c r="O1312" s="1" t="str">
        <x:f>'Данные'!L1312</x:f>
        <x:v>Нет</x:v>
      </x:c>
    </x:row>
    <x:row r="1313">
      <x:c r="A1313" s="1" t="str">
        <x:f>'Данные'!A1313</x:f>
        <x:v>316510762</x:v>
      </x:c>
      <x:c r="B1313" s="1" t="str">
        <x:f>'Данные'!B1313</x:f>
        <x:v>brukiboy/коричневый</x:v>
      </x:c>
      <x:c r="C1313" s="8" t="n">
        <x:f>'Данные'!G1313</x:f>
        <x:v>34853</x:v>
      </x:c>
      <x:c r="D1313" s="15" t="n">
        <x:f>C1313/SUM($C$5:$C$2477)</x:f>
        <x:v>0.000040716098140649315</x:v>
      </x:c>
      <x:c r="E1313" s="15" t="n">
        <x:f>SUM($D$5:D1313)</x:f>
        <x:v>0.9955177992999577</x:v>
      </x:c>
      <x:c r="F1313" s="1" t="str">
        <x:f>IF(C1313&lt;=0,"C",IF(E1313-D1313&lt;'Дашборд'!$C$49,"A",IF(E1313-D1313&lt;'Дашборд'!$C$50,"B","C")))</x:f>
        <x:v>C</x:v>
      </x:c>
      <x:c r="G1313" s="8" t="n">
        <x:f>'Данные'!F1313</x:f>
        <x:v>71</x:v>
      </x:c>
      <x:c r="H1313" s="8" t="n">
        <x:f>SUM('Данные'!H1313:I1313)</x:f>
        <x:v>198</x:v>
      </x:c>
      <x:c r="I1313" s="16" t="n">
        <x:f>IF(H1313&gt;0,G1313/H1313,"n.a.")</x:f>
        <x:v>0.35858585858585856</x:v>
      </x:c>
      <x:c r="J1313" s="10" t="n">
        <x:f>IF('Данные'!E1313&gt;0,G1313/'Данные'!E1313,"n.a.")</x:f>
        <x:v>0.013085145595281976</x:v>
      </x:c>
      <x:c r="K1313" s="1" t="str">
        <x:f>IF(G1313&gt;='Дашборд'!$C$51,"X","Z")</x:f>
        <x:v>Z</x:v>
      </x:c>
      <x:c r="L1313" s="1" t="str">
        <x:f>IF(H1313=0,IF(G1313&gt;0,"Нет остатка","Нет спроса"),IF(I1313&gt;='Дашборд'!$C$52,"Быстрый","Медленный"))</x:f>
        <x:v>Медленный</x:v>
      </x:c>
      <x:c r="M1313" s="1" t="str">
        <x:f>IF('Данные'!E1313&lt;'Дашборд'!$C$53,"Мало трафика",IF(J1313&lt;'Дашборд'!$C$9*'Дашборд'!$C$54,"Да","Нет"))</x:f>
        <x:v>Нет</x:v>
      </x:c>
      <x:c r="N1313" s="1" t="str">
        <x:f>IF(AND('Данные'!D1313&gt;='Дашборд'!$C$55,D1313&lt;'Дашборд'!$C$56,'Данные'!E1313&gt;='Дашборд'!$C$53,'Данные'!L1313&lt;&gt;"Да"),"Да","Нет")</x:f>
        <x:v>Нет</x:v>
      </x:c>
      <x:c r="O1313" s="1" t="str">
        <x:f>'Данные'!L1313</x:f>
        <x:v>Нет</x:v>
      </x:c>
    </x:row>
    <x:row r="1314">
      <x:c r="A1314" s="1" t="str">
        <x:f>'Данные'!A1314</x:f>
        <x:v>313770735</x:v>
      </x:c>
      <x:c r="B1314" s="1" t="str">
        <x:f>'Данные'!B1314</x:f>
        <x:v>futbolkagirl/пудровый</x:v>
      </x:c>
      <x:c r="C1314" s="8" t="n">
        <x:f>'Данные'!G1314</x:f>
        <x:v>34555</x:v>
      </x:c>
      <x:c r="D1314" s="15" t="n">
        <x:f>C1314/SUM($C$5:$C$2477)</x:f>
        <x:v>0.00004036796749921491</x:v>
      </x:c>
      <x:c r="E1314" s="15" t="n">
        <x:f>SUM($D$5:D1314)</x:f>
        <x:v>0.9955581672674568</x:v>
      </x:c>
      <x:c r="F1314" s="1" t="str">
        <x:f>IF(C1314&lt;=0,"C",IF(E1314-D1314&lt;'Дашборд'!$C$49,"A",IF(E1314-D1314&lt;'Дашборд'!$C$50,"B","C")))</x:f>
        <x:v>C</x:v>
      </x:c>
      <x:c r="G1314" s="8" t="n">
        <x:f>'Данные'!F1314</x:f>
        <x:v>102</x:v>
      </x:c>
      <x:c r="H1314" s="8" t="n">
        <x:f>SUM('Данные'!H1314:I1314)</x:f>
        <x:v>0</x:v>
      </x:c>
      <x:c r="I1314" s="16" t="str">
        <x:f>IF(H1314&gt;0,G1314/H1314,"n.a.")</x:f>
        <x:v>n.a.</x:v>
      </x:c>
      <x:c r="J1314" s="10" t="n">
        <x:f>IF('Данные'!E1314&gt;0,G1314/'Данные'!E1314,"n.a.")</x:f>
        <x:v>0.005546191071719863</x:v>
      </x:c>
      <x:c r="K1314" s="1" t="str">
        <x:f>IF(G1314&gt;='Дашборд'!$C$51,"X","Z")</x:f>
        <x:v>Z</x:v>
      </x:c>
      <x:c r="L1314" s="1" t="str">
        <x:f>IF(H1314=0,IF(G1314&gt;0,"Нет остатка","Нет спроса"),IF(I1314&gt;='Дашборд'!$C$52,"Быстрый","Медленный"))</x:f>
        <x:v>Нет остатка</x:v>
      </x:c>
      <x:c r="M1314" s="1" t="str">
        <x:f>IF('Данные'!E1314&lt;'Дашборд'!$C$53,"Мало трафика",IF(J1314&lt;'Дашборд'!$C$9*'Дашборд'!$C$54,"Да","Нет"))</x:f>
        <x:v>Да</x:v>
      </x:c>
      <x:c r="N1314" s="1" t="str">
        <x:f>IF(AND('Данные'!D1314&gt;='Дашборд'!$C$55,D1314&lt;'Дашборд'!$C$56,'Данные'!E1314&gt;='Дашборд'!$C$53,'Данные'!L1314&lt;&gt;"Да"),"Да","Нет")</x:f>
        <x:v>Да</x:v>
      </x:c>
      <x:c r="O1314" s="1" t="str">
        <x:f>'Данные'!L1314</x:f>
        <x:v>Нет</x:v>
      </x:c>
    </x:row>
    <x:row r="1315">
      <x:c r="A1315" s="1" t="str">
        <x:f>'Данные'!A1315</x:f>
        <x:v>229651027</x:v>
      </x:c>
      <x:c r="B1315" s="1" t="str">
        <x:f>'Данные'!B1315</x:f>
        <x:v>kostumgirl/черный</x:v>
      </x:c>
      <x:c r="C1315" s="8" t="n">
        <x:f>'Данные'!G1315</x:f>
        <x:v>34252</x:v>
      </x:c>
      <x:c r="D1315" s="15" t="n">
        <x:f>C1315/SUM($C$5:$C$2477)</x:f>
        <x:v>0.00004001399573963562</x:v>
      </x:c>
      <x:c r="E1315" s="15" t="n">
        <x:f>SUM($D$5:D1315)</x:f>
        <x:v>0.9955981812631964</x:v>
      </x:c>
      <x:c r="F1315" s="1" t="str">
        <x:f>IF(C1315&lt;=0,"C",IF(E1315-D1315&lt;'Дашборд'!$C$49,"A",IF(E1315-D1315&lt;'Дашборд'!$C$50,"B","C")))</x:f>
        <x:v>C</x:v>
      </x:c>
      <x:c r="G1315" s="8" t="n">
        <x:f>'Данные'!F1315</x:f>
        <x:v>23</x:v>
      </x:c>
      <x:c r="H1315" s="8" t="n">
        <x:f>SUM('Данные'!H1315:I1315)</x:f>
        <x:v>77</x:v>
      </x:c>
      <x:c r="I1315" s="16" t="n">
        <x:f>IF(H1315&gt;0,G1315/H1315,"n.a.")</x:f>
        <x:v>0.2987012987012987</x:v>
      </x:c>
      <x:c r="J1315" s="10" t="n">
        <x:f>IF('Данные'!E1315&gt;0,G1315/'Данные'!E1315,"n.a.")</x:f>
        <x:v>0.004771784232365146</x:v>
      </x:c>
      <x:c r="K1315" s="1" t="str">
        <x:f>IF(G1315&gt;='Дашборд'!$C$51,"X","Z")</x:f>
        <x:v>Z</x:v>
      </x:c>
      <x:c r="L1315" s="1" t="str">
        <x:f>IF(H1315=0,IF(G1315&gt;0,"Нет остатка","Нет спроса"),IF(I1315&gt;='Дашборд'!$C$52,"Быстрый","Медленный"))</x:f>
        <x:v>Медленный</x:v>
      </x:c>
      <x:c r="M1315" s="1" t="str">
        <x:f>IF('Данные'!E1315&lt;'Дашборд'!$C$53,"Мало трафика",IF(J1315&lt;'Дашборд'!$C$9*'Дашборд'!$C$54,"Да","Нет"))</x:f>
        <x:v>Да</x:v>
      </x:c>
      <x:c r="N1315" s="1" t="str">
        <x:f>IF(AND('Данные'!D1315&gt;='Дашборд'!$C$55,D1315&lt;'Дашборд'!$C$56,'Данные'!E1315&gt;='Дашборд'!$C$53,'Данные'!L1315&lt;&gt;"Да"),"Да","Нет")</x:f>
        <x:v>Да</x:v>
      </x:c>
      <x:c r="O1315" s="1" t="str">
        <x:f>'Данные'!L1315</x:f>
        <x:v>Нет</x:v>
      </x:c>
    </x:row>
    <x:row r="1316">
      <x:c r="A1316" s="1" t="str">
        <x:f>'Данные'!A1316</x:f>
        <x:v>205604804</x:v>
      </x:c>
      <x:c r="B1316" s="1" t="str">
        <x:f>'Данные'!B1316</x:f>
        <x:v>hudiman2/черный</x:v>
      </x:c>
      <x:c r="C1316" s="8" t="n">
        <x:f>'Данные'!G1316</x:f>
        <x:v>33733</x:v>
      </x:c>
      <x:c r="D1316" s="15" t="n">
        <x:f>C1316/SUM($C$5:$C$2477)</x:f>
        <x:v>0.00003940768767619784</x:v>
      </x:c>
      <x:c r="E1316" s="15" t="n">
        <x:f>SUM($D$5:D1316)</x:f>
        <x:v>0.9956375889508726</x:v>
      </x:c>
      <x:c r="F1316" s="1" t="str">
        <x:f>IF(C1316&lt;=0,"C",IF(E1316-D1316&lt;'Дашборд'!$C$49,"A",IF(E1316-D1316&lt;'Дашборд'!$C$50,"B","C")))</x:f>
        <x:v>C</x:v>
      </x:c>
      <x:c r="G1316" s="8" t="n">
        <x:f>'Данные'!F1316</x:f>
        <x:v>33</x:v>
      </x:c>
      <x:c r="H1316" s="8" t="n">
        <x:f>SUM('Данные'!H1316:I1316)</x:f>
        <x:v>45</x:v>
      </x:c>
      <x:c r="I1316" s="16" t="n">
        <x:f>IF(H1316&gt;0,G1316/H1316,"n.a.")</x:f>
        <x:v>0.7333333333333333</x:v>
      </x:c>
      <x:c r="J1316" s="10" t="n">
        <x:f>IF('Данные'!E1316&gt;0,G1316/'Данные'!E1316,"n.a.")</x:f>
        <x:v>0.009065934065934067</x:v>
      </x:c>
      <x:c r="K1316" s="1" t="str">
        <x:f>IF(G1316&gt;='Дашборд'!$C$51,"X","Z")</x:f>
        <x:v>Z</x:v>
      </x:c>
      <x:c r="L1316" s="1" t="str">
        <x:f>IF(H1316=0,IF(G1316&gt;0,"Нет остатка","Нет спроса"),IF(I1316&gt;='Дашборд'!$C$52,"Быстрый","Медленный"))</x:f>
        <x:v>Медленный</x:v>
      </x:c>
      <x:c r="M1316" s="1" t="str">
        <x:f>IF('Данные'!E1316&lt;'Дашборд'!$C$53,"Мало трафика",IF(J1316&lt;'Дашборд'!$C$9*'Дашборд'!$C$54,"Да","Нет"))</x:f>
        <x:v>Да</x:v>
      </x:c>
      <x:c r="N1316" s="1" t="str">
        <x:f>IF(AND('Данные'!D1316&gt;='Дашборд'!$C$55,D1316&lt;'Дашборд'!$C$56,'Данные'!E1316&gt;='Дашборд'!$C$53,'Данные'!L1316&lt;&gt;"Да"),"Да","Нет")</x:f>
        <x:v>Нет</x:v>
      </x:c>
      <x:c r="O1316" s="1" t="str">
        <x:f>'Данные'!L1316</x:f>
        <x:v>Нет</x:v>
      </x:c>
    </x:row>
    <x:row r="1317">
      <x:c r="A1317" s="1" t="str">
        <x:f>'Данные'!A1317</x:f>
        <x:v>204476261</x:v>
      </x:c>
      <x:c r="B1317" s="1" t="str">
        <x:f>'Данные'!B1317</x:f>
        <x:v>hudimanprint/TeloX6-69/черный</x:v>
      </x:c>
      <x:c r="C1317" s="8" t="n">
        <x:f>'Данные'!G1317</x:f>
        <x:v>33260</x:v>
      </x:c>
      <x:c r="D1317" s="15" t="n">
        <x:f>C1317/SUM($C$5:$C$2477)</x:f>
        <x:v>0.000038855117899692884</x:v>
      </x:c>
      <x:c r="E1317" s="15" t="n">
        <x:f>SUM($D$5:D1317)</x:f>
        <x:v>0.9956764440687723</x:v>
      </x:c>
      <x:c r="F1317" s="1" t="str">
        <x:f>IF(C1317&lt;=0,"C",IF(E1317-D1317&lt;'Дашборд'!$C$49,"A",IF(E1317-D1317&lt;'Дашборд'!$C$50,"B","C")))</x:f>
        <x:v>C</x:v>
      </x:c>
      <x:c r="G1317" s="8" t="n">
        <x:f>'Данные'!F1317</x:f>
        <x:v>28</x:v>
      </x:c>
      <x:c r="H1317" s="8" t="n">
        <x:f>SUM('Данные'!H1317:I1317)</x:f>
        <x:v>190</x:v>
      </x:c>
      <x:c r="I1317" s="16" t="n">
        <x:f>IF(H1317&gt;0,G1317/H1317,"n.a.")</x:f>
        <x:v>0.14736842105263157</x:v>
      </x:c>
      <x:c r="J1317" s="10" t="n">
        <x:f>IF('Данные'!E1317&gt;0,G1317/'Данные'!E1317,"n.a.")</x:f>
        <x:v>0.0025789813023855577</x:v>
      </x:c>
      <x:c r="K1317" s="1" t="str">
        <x:f>IF(G1317&gt;='Дашборд'!$C$51,"X","Z")</x:f>
        <x:v>Z</x:v>
      </x:c>
      <x:c r="L1317" s="1" t="str">
        <x:f>IF(H1317=0,IF(G1317&gt;0,"Нет остатка","Нет спроса"),IF(I1317&gt;='Дашборд'!$C$52,"Быстрый","Медленный"))</x:f>
        <x:v>Медленный</x:v>
      </x:c>
      <x:c r="M1317" s="1" t="str">
        <x:f>IF('Данные'!E1317&lt;'Дашборд'!$C$53,"Мало трафика",IF(J1317&lt;'Дашборд'!$C$9*'Дашборд'!$C$54,"Да","Нет"))</x:f>
        <x:v>Да</x:v>
      </x:c>
      <x:c r="N1317" s="1" t="str">
        <x:f>IF(AND('Данные'!D1317&gt;='Дашборд'!$C$55,D1317&lt;'Дашборд'!$C$56,'Данные'!E1317&gt;='Дашборд'!$C$53,'Данные'!L1317&lt;&gt;"Да"),"Да","Нет")</x:f>
        <x:v>Нет</x:v>
      </x:c>
      <x:c r="O1317" s="1" t="str">
        <x:f>'Данные'!L1317</x:f>
        <x:v>Нет</x:v>
      </x:c>
    </x:row>
    <x:row r="1318">
      <x:c r="A1318" s="1" t="str">
        <x:f>'Данные'!A1318</x:f>
        <x:v>234109066</x:v>
      </x:c>
      <x:c r="B1318" s="1" t="str">
        <x:f>'Данные'!B1318</x:f>
        <x:v>futbolkaprint/TheMovementClub-140/темно-синий</x:v>
      </x:c>
      <x:c r="C1318" s="8" t="n">
        <x:f>'Данные'!G1318</x:f>
        <x:v>33192</x:v>
      </x:c>
      <x:c r="D1318" s="15" t="n">
        <x:f>C1318/SUM($C$5:$C$2477)</x:f>
        <x:v>0.000038775678692922616</x:v>
      </x:c>
      <x:c r="E1318" s="15" t="n">
        <x:f>SUM($D$5:D1318)</x:f>
        <x:v>0.9957152197474652</x:v>
      </x:c>
      <x:c r="F1318" s="1" t="str">
        <x:f>IF(C1318&lt;=0,"C",IF(E1318-D1318&lt;'Дашборд'!$C$49,"A",IF(E1318-D1318&lt;'Дашборд'!$C$50,"B","C")))</x:f>
        <x:v>C</x:v>
      </x:c>
      <x:c r="G1318" s="8" t="n">
        <x:f>'Данные'!F1318</x:f>
        <x:v>51</x:v>
      </x:c>
      <x:c r="H1318" s="8" t="n">
        <x:f>SUM('Данные'!H1318:I1318)</x:f>
        <x:v>0</x:v>
      </x:c>
      <x:c r="I1318" s="16" t="str">
        <x:f>IF(H1318&gt;0,G1318/H1318,"n.a.")</x:f>
        <x:v>n.a.</x:v>
      </x:c>
      <x:c r="J1318" s="10" t="n">
        <x:f>IF('Данные'!E1318&gt;0,G1318/'Данные'!E1318,"n.a.")</x:f>
        <x:v>0.016414547795300934</x:v>
      </x:c>
      <x:c r="K1318" s="1" t="str">
        <x:f>IF(G1318&gt;='Дашборд'!$C$51,"X","Z")</x:f>
        <x:v>Z</x:v>
      </x:c>
      <x:c r="L1318" s="1" t="str">
        <x:f>IF(H1318=0,IF(G1318&gt;0,"Нет остатка","Нет спроса"),IF(I1318&gt;='Дашборд'!$C$52,"Быстрый","Медленный"))</x:f>
        <x:v>Нет остатка</x:v>
      </x:c>
      <x:c r="M1318" s="1" t="str">
        <x:f>IF('Данные'!E1318&lt;'Дашборд'!$C$53,"Мало трафика",IF(J1318&lt;'Дашборд'!$C$9*'Дашборд'!$C$54,"Да","Нет"))</x:f>
        <x:v>Нет</x:v>
      </x:c>
      <x:c r="N1318" s="1" t="str">
        <x:f>IF(AND('Данные'!D1318&gt;='Дашборд'!$C$55,D1318&lt;'Дашборд'!$C$56,'Данные'!E1318&gt;='Дашборд'!$C$53,'Данные'!L1318&lt;&gt;"Да"),"Да","Нет")</x:f>
        <x:v>Да</x:v>
      </x:c>
      <x:c r="O1318" s="1" t="str">
        <x:f>'Данные'!L1318</x:f>
        <x:v>Нет</x:v>
      </x:c>
    </x:row>
    <x:row r="1319">
      <x:c r="A1319" s="1" t="str">
        <x:f>'Данные'!A1319</x:f>
        <x:v>209914955</x:v>
      </x:c>
      <x:c r="B1319" s="1" t="str">
        <x:f>'Данные'!B1319</x:f>
        <x:v>longsvobod/мандариновый</x:v>
      </x:c>
      <x:c r="C1319" s="8" t="n">
        <x:f>'Данные'!G1319</x:f>
        <x:v>32981</x:v>
      </x:c>
      <x:c r="D1319" s="15" t="n">
        <x:f>C1319/SUM($C$5:$C$2477)</x:f>
        <x:v>0.00003852918350720899</x:v>
      </x:c>
      <x:c r="E1319" s="15" t="n">
        <x:f>SUM($D$5:D1319)</x:f>
        <x:v>0.9957537489309725</x:v>
      </x:c>
      <x:c r="F1319" s="1" t="str">
        <x:f>IF(C1319&lt;=0,"C",IF(E1319-D1319&lt;'Дашборд'!$C$49,"A",IF(E1319-D1319&lt;'Дашборд'!$C$50,"B","C")))</x:f>
        <x:v>C</x:v>
      </x:c>
      <x:c r="G1319" s="8" t="n">
        <x:f>'Данные'!F1319</x:f>
        <x:v>97</x:v>
      </x:c>
      <x:c r="H1319" s="8" t="n">
        <x:f>SUM('Данные'!H1319:I1319)</x:f>
        <x:v>42</x:v>
      </x:c>
      <x:c r="I1319" s="16" t="n">
        <x:f>IF(H1319&gt;0,G1319/H1319,"n.a.")</x:f>
        <x:v>2.3095238095238093</x:v>
      </x:c>
      <x:c r="J1319" s="10" t="n">
        <x:f>IF('Данные'!E1319&gt;0,G1319/'Данные'!E1319,"n.a.")</x:f>
        <x:v>0.02105948762483717</x:v>
      </x:c>
      <x:c r="K1319" s="1" t="str">
        <x:f>IF(G1319&gt;='Дашборд'!$C$51,"X","Z")</x:f>
        <x:v>Z</x:v>
      </x:c>
      <x:c r="L1319" s="1" t="str">
        <x:f>IF(H1319=0,IF(G1319&gt;0,"Нет остатка","Нет спроса"),IF(I1319&gt;='Дашборд'!$C$52,"Быстрый","Медленный"))</x:f>
        <x:v>Быстрый</x:v>
      </x:c>
      <x:c r="M1319" s="1" t="str">
        <x:f>IF('Данные'!E1319&lt;'Дашборд'!$C$53,"Мало трафика",IF(J1319&lt;'Дашборд'!$C$9*'Дашборд'!$C$54,"Да","Нет"))</x:f>
        <x:v>Нет</x:v>
      </x:c>
      <x:c r="N1319" s="1" t="str">
        <x:f>IF(AND('Данные'!D1319&gt;='Дашборд'!$C$55,D1319&lt;'Дашборд'!$C$56,'Данные'!E1319&gt;='Дашборд'!$C$53,'Данные'!L1319&lt;&gt;"Да"),"Да","Нет")</x:f>
        <x:v>Нет</x:v>
      </x:c>
      <x:c r="O1319" s="1" t="str">
        <x:f>'Данные'!L1319</x:f>
        <x:v>Нет</x:v>
      </x:c>
    </x:row>
    <x:row r="1320">
      <x:c r="A1320" s="1" t="str">
        <x:f>'Данные'!A1320</x:f>
        <x:v>313770754</x:v>
      </x:c>
      <x:c r="B1320" s="1" t="str">
        <x:f>'Данные'!B1320</x:f>
        <x:v>futbolkagirl/морскаяволна</x:v>
      </x:c>
      <x:c r="C1320" s="8" t="n">
        <x:f>'Данные'!G1320</x:f>
        <x:v>32980</x:v>
      </x:c>
      <x:c r="D1320" s="15" t="n">
        <x:f>C1320/SUM($C$5:$C$2477)</x:f>
        <x:v>0.00003852801528358002</x:v>
      </x:c>
      <x:c r="E1320" s="15" t="n">
        <x:f>SUM($D$5:D1320)</x:f>
        <x:v>0.995792276946256</x:v>
      </x:c>
      <x:c r="F1320" s="1" t="str">
        <x:f>IF(C1320&lt;=0,"C",IF(E1320-D1320&lt;'Дашборд'!$C$49,"A",IF(E1320-D1320&lt;'Дашборд'!$C$50,"B","C")))</x:f>
        <x:v>C</x:v>
      </x:c>
      <x:c r="G1320" s="8" t="n">
        <x:f>'Данные'!F1320</x:f>
        <x:v>86</x:v>
      </x:c>
      <x:c r="H1320" s="8" t="n">
        <x:f>SUM('Данные'!H1320:I1320)</x:f>
        <x:v>0</x:v>
      </x:c>
      <x:c r="I1320" s="16" t="str">
        <x:f>IF(H1320&gt;0,G1320/H1320,"n.a.")</x:f>
        <x:v>n.a.</x:v>
      </x:c>
      <x:c r="J1320" s="10" t="n">
        <x:f>IF('Данные'!E1320&gt;0,G1320/'Данные'!E1320,"n.a.")</x:f>
        <x:v>0.008484609313338595</x:v>
      </x:c>
      <x:c r="K1320" s="1" t="str">
        <x:f>IF(G1320&gt;='Дашборд'!$C$51,"X","Z")</x:f>
        <x:v>Z</x:v>
      </x:c>
      <x:c r="L1320" s="1" t="str">
        <x:f>IF(H1320=0,IF(G1320&gt;0,"Нет остатка","Нет спроса"),IF(I1320&gt;='Дашборд'!$C$52,"Быстрый","Медленный"))</x:f>
        <x:v>Нет остатка</x:v>
      </x:c>
      <x:c r="M1320" s="1" t="str">
        <x:f>IF('Данные'!E1320&lt;'Дашборд'!$C$53,"Мало трафика",IF(J1320&lt;'Дашборд'!$C$9*'Дашборд'!$C$54,"Да","Нет"))</x:f>
        <x:v>Да</x:v>
      </x:c>
      <x:c r="N1320" s="1" t="str">
        <x:f>IF(AND('Данные'!D1320&gt;='Дашборд'!$C$55,D1320&lt;'Дашборд'!$C$56,'Данные'!E1320&gt;='Дашборд'!$C$53,'Данные'!L1320&lt;&gt;"Да"),"Да","Нет")</x:f>
        <x:v>Да</x:v>
      </x:c>
      <x:c r="O1320" s="1" t="str">
        <x:f>'Данные'!L1320</x:f>
        <x:v>Нет</x:v>
      </x:c>
    </x:row>
    <x:row r="1321">
      <x:c r="A1321" s="1" t="str">
        <x:f>'Данные'!A1321</x:f>
        <x:v>195712678</x:v>
      </x:c>
      <x:c r="B1321" s="1" t="str">
        <x:f>'Данные'!B1321</x:f>
        <x:v>sweater/салатовый</x:v>
      </x:c>
      <x:c r="C1321" s="8" t="n">
        <x:f>'Данные'!G1321</x:f>
        <x:v>32876</x:v>
      </x:c>
      <x:c r="D1321" s="15" t="n">
        <x:f>C1321/SUM($C$5:$C$2477)</x:f>
        <x:v>0.000038406520026166664</x:v>
      </x:c>
      <x:c r="E1321" s="15" t="n">
        <x:f>SUM($D$5:D1321)</x:f>
        <x:v>0.9958306834662822</x:v>
      </x:c>
      <x:c r="F1321" s="1" t="str">
        <x:f>IF(C1321&lt;=0,"C",IF(E1321-D1321&lt;'Дашборд'!$C$49,"A",IF(E1321-D1321&lt;'Дашборд'!$C$50,"B","C")))</x:f>
        <x:v>C</x:v>
      </x:c>
      <x:c r="G1321" s="8" t="n">
        <x:f>'Данные'!F1321</x:f>
        <x:v>38</x:v>
      </x:c>
      <x:c r="H1321" s="8" t="n">
        <x:f>SUM('Данные'!H1321:I1321)</x:f>
        <x:v>142</x:v>
      </x:c>
      <x:c r="I1321" s="16" t="n">
        <x:f>IF(H1321&gt;0,G1321/H1321,"n.a.")</x:f>
        <x:v>0.2676056338028169</x:v>
      </x:c>
      <x:c r="J1321" s="10" t="n">
        <x:f>IF('Данные'!E1321&gt;0,G1321/'Данные'!E1321,"n.a.")</x:f>
        <x:v>0.009172097513878832</x:v>
      </x:c>
      <x:c r="K1321" s="1" t="str">
        <x:f>IF(G1321&gt;='Дашборд'!$C$51,"X","Z")</x:f>
        <x:v>Z</x:v>
      </x:c>
      <x:c r="L1321" s="1" t="str">
        <x:f>IF(H1321=0,IF(G1321&gt;0,"Нет остатка","Нет спроса"),IF(I1321&gt;='Дашборд'!$C$52,"Быстрый","Медленный"))</x:f>
        <x:v>Медленный</x:v>
      </x:c>
      <x:c r="M1321" s="1" t="str">
        <x:f>IF('Данные'!E1321&lt;'Дашборд'!$C$53,"Мало трафика",IF(J1321&lt;'Дашборд'!$C$9*'Дашборд'!$C$54,"Да","Нет"))</x:f>
        <x:v>Да</x:v>
      </x:c>
      <x:c r="N1321" s="1" t="str">
        <x:f>IF(AND('Данные'!D1321&gt;='Дашборд'!$C$55,D1321&lt;'Дашборд'!$C$56,'Данные'!E1321&gt;='Дашборд'!$C$53,'Данные'!L1321&lt;&gt;"Да"),"Да","Нет")</x:f>
        <x:v>Да</x:v>
      </x:c>
      <x:c r="O1321" s="1" t="str">
        <x:f>'Данные'!L1321</x:f>
        <x:v>Нет</x:v>
      </x:c>
    </x:row>
    <x:row r="1322">
      <x:c r="A1322" s="1" t="str">
        <x:f>'Данные'!A1322</x:f>
        <x:v>313770743</x:v>
      </x:c>
      <x:c r="B1322" s="1" t="str">
        <x:f>'Данные'!B1322</x:f>
        <x:v>futbolkaboy/какао</x:v>
      </x:c>
      <x:c r="C1322" s="8" t="n">
        <x:f>'Данные'!G1322</x:f>
        <x:v>32871</x:v>
      </x:c>
      <x:c r="D1322" s="15" t="n">
        <x:f>C1322/SUM($C$5:$C$2477)</x:f>
        <x:v>0.00003840067890802179</x:v>
      </x:c>
      <x:c r="E1322" s="15" t="n">
        <x:f>SUM($D$5:D1322)</x:f>
        <x:v>0.9958690841451903</x:v>
      </x:c>
      <x:c r="F1322" s="1" t="str">
        <x:f>IF(C1322&lt;=0,"C",IF(E1322-D1322&lt;'Дашборд'!$C$49,"A",IF(E1322-D1322&lt;'Дашборд'!$C$50,"B","C")))</x:f>
        <x:v>C</x:v>
      </x:c>
      <x:c r="G1322" s="8" t="n">
        <x:f>'Данные'!F1322</x:f>
        <x:v>97</x:v>
      </x:c>
      <x:c r="H1322" s="8" t="n">
        <x:f>SUM('Данные'!H1322:I1322)</x:f>
        <x:v>333</x:v>
      </x:c>
      <x:c r="I1322" s="16" t="n">
        <x:f>IF(H1322&gt;0,G1322/H1322,"n.a.")</x:f>
        <x:v>0.2912912912912913</x:v>
      </x:c>
      <x:c r="J1322" s="10" t="n">
        <x:f>IF('Данные'!E1322&gt;0,G1322/'Данные'!E1322,"n.a.")</x:f>
        <x:v>0.013236899563318777</x:v>
      </x:c>
      <x:c r="K1322" s="1" t="str">
        <x:f>IF(G1322&gt;='Дашборд'!$C$51,"X","Z")</x:f>
        <x:v>Z</x:v>
      </x:c>
      <x:c r="L1322" s="1" t="str">
        <x:f>IF(H1322=0,IF(G1322&gt;0,"Нет остатка","Нет спроса"),IF(I1322&gt;='Дашборд'!$C$52,"Быстрый","Медленный"))</x:f>
        <x:v>Медленный</x:v>
      </x:c>
      <x:c r="M1322" s="1" t="str">
        <x:f>IF('Данные'!E1322&lt;'Дашборд'!$C$53,"Мало трафика",IF(J1322&lt;'Дашборд'!$C$9*'Дашборд'!$C$54,"Да","Нет"))</x:f>
        <x:v>Нет</x:v>
      </x:c>
      <x:c r="N1322" s="1" t="str">
        <x:f>IF(AND('Данные'!D1322&gt;='Дашборд'!$C$55,D1322&lt;'Дашборд'!$C$56,'Данные'!E1322&gt;='Дашборд'!$C$53,'Данные'!L1322&lt;&gt;"Да"),"Да","Нет")</x:f>
        <x:v>Да</x:v>
      </x:c>
      <x:c r="O1322" s="1" t="str">
        <x:f>'Данные'!L1322</x:f>
        <x:v>Нет</x:v>
      </x:c>
    </x:row>
    <x:row r="1323">
      <x:c r="A1323" s="1" t="str">
        <x:f>'Данные'!A1323</x:f>
        <x:v>195712680</x:v>
      </x:c>
      <x:c r="B1323" s="1" t="str">
        <x:f>'Данные'!B1323</x:f>
        <x:v>sweater/зеленый</x:v>
      </x:c>
      <x:c r="C1323" s="8" t="n">
        <x:f>'Данные'!G1323</x:f>
        <x:v>32673</x:v>
      </x:c>
      <x:c r="D1323" s="15" t="n">
        <x:f>C1323/SUM($C$5:$C$2477)</x:f>
        <x:v>0.00003816937062948484</x:v>
      </x:c>
      <x:c r="E1323" s="15" t="n">
        <x:f>SUM($D$5:D1323)</x:f>
        <x:v>0.9959072535158198</x:v>
      </x:c>
      <x:c r="F1323" s="1" t="str">
        <x:f>IF(C1323&lt;=0,"C",IF(E1323-D1323&lt;'Дашборд'!$C$49,"A",IF(E1323-D1323&lt;'Дашборд'!$C$50,"B","C")))</x:f>
        <x:v>C</x:v>
      </x:c>
      <x:c r="G1323" s="8" t="n">
        <x:f>'Данные'!F1323</x:f>
        <x:v>51</x:v>
      </x:c>
      <x:c r="H1323" s="8" t="n">
        <x:f>SUM('Данные'!H1323:I1323)</x:f>
        <x:v>179</x:v>
      </x:c>
      <x:c r="I1323" s="16" t="n">
        <x:f>IF(H1323&gt;0,G1323/H1323,"n.a.")</x:f>
        <x:v>0.2849162011173184</x:v>
      </x:c>
      <x:c r="J1323" s="10" t="n">
        <x:f>IF('Данные'!E1323&gt;0,G1323/'Данные'!E1323,"n.a.")</x:f>
        <x:v>0.014672036823935558</x:v>
      </x:c>
      <x:c r="K1323" s="1" t="str">
        <x:f>IF(G1323&gt;='Дашборд'!$C$51,"X","Z")</x:f>
        <x:v>Z</x:v>
      </x:c>
      <x:c r="L1323" s="1" t="str">
        <x:f>IF(H1323=0,IF(G1323&gt;0,"Нет остатка","Нет спроса"),IF(I1323&gt;='Дашборд'!$C$52,"Быстрый","Медленный"))</x:f>
        <x:v>Медленный</x:v>
      </x:c>
      <x:c r="M1323" s="1" t="str">
        <x:f>IF('Данные'!E1323&lt;'Дашборд'!$C$53,"Мало трафика",IF(J1323&lt;'Дашборд'!$C$9*'Дашборд'!$C$54,"Да","Нет"))</x:f>
        <x:v>Нет</x:v>
      </x:c>
      <x:c r="N1323" s="1" t="str">
        <x:f>IF(AND('Данные'!D1323&gt;='Дашборд'!$C$55,D1323&lt;'Дашборд'!$C$56,'Данные'!E1323&gt;='Дашборд'!$C$53,'Данные'!L1323&lt;&gt;"Да"),"Да","Нет")</x:f>
        <x:v>Да</x:v>
      </x:c>
      <x:c r="O1323" s="1" t="str">
        <x:f>'Данные'!L1323</x:f>
        <x:v>Нет</x:v>
      </x:c>
    </x:row>
    <x:row r="1324">
      <x:c r="A1324" s="1" t="str">
        <x:f>'Данные'!A1324</x:f>
        <x:v>211803054</x:v>
      </x:c>
      <x:c r="B1324" s="1" t="str">
        <x:f>'Данные'!B1324</x:f>
        <x:v>futbolkamanX2/черный-белый</x:v>
      </x:c>
      <x:c r="C1324" s="8" t="n">
        <x:f>'Данные'!G1324</x:f>
        <x:v>32268</x:v>
      </x:c>
      <x:c r="D1324" s="15" t="n">
        <x:f>C1324/SUM($C$5:$C$2477)</x:f>
        <x:v>0.000037696240059750154</x:v>
      </x:c>
      <x:c r="E1324" s="15" t="n">
        <x:f>SUM($D$5:D1324)</x:f>
        <x:v>0.9959449497558795</x:v>
      </x:c>
      <x:c r="F1324" s="1" t="str">
        <x:f>IF(C1324&lt;=0,"C",IF(E1324-D1324&lt;'Дашборд'!$C$49,"A",IF(E1324-D1324&lt;'Дашборд'!$C$50,"B","C")))</x:f>
        <x:v>C</x:v>
      </x:c>
      <x:c r="G1324" s="8" t="n">
        <x:f>'Данные'!F1324</x:f>
        <x:v>45</x:v>
      </x:c>
      <x:c r="H1324" s="8" t="n">
        <x:f>SUM('Данные'!H1324:I1324)</x:f>
        <x:v>1</x:v>
      </x:c>
      <x:c r="I1324" s="16" t="n">
        <x:f>IF(H1324&gt;0,G1324/H1324,"n.a.")</x:f>
        <x:v>45</x:v>
      </x:c>
      <x:c r="J1324" s="10" t="n">
        <x:f>IF('Данные'!E1324&gt;0,G1324/'Данные'!E1324,"n.a.")</x:f>
        <x:v>0.0016852039096730705</x:v>
      </x:c>
      <x:c r="K1324" s="1" t="str">
        <x:f>IF(G1324&gt;='Дашборд'!$C$51,"X","Z")</x:f>
        <x:v>Z</x:v>
      </x:c>
      <x:c r="L1324" s="1" t="str">
        <x:f>IF(H1324=0,IF(G1324&gt;0,"Нет остатка","Нет спроса"),IF(I1324&gt;='Дашборд'!$C$52,"Быстрый","Медленный"))</x:f>
        <x:v>Быстрый</x:v>
      </x:c>
      <x:c r="M1324" s="1" t="str">
        <x:f>IF('Данные'!E1324&lt;'Дашборд'!$C$53,"Мало трафика",IF(J1324&lt;'Дашборд'!$C$9*'Дашборд'!$C$54,"Да","Нет"))</x:f>
        <x:v>Да</x:v>
      </x:c>
      <x:c r="N1324" s="1" t="str">
        <x:f>IF(AND('Данные'!D1324&gt;='Дашборд'!$C$55,D1324&lt;'Дашборд'!$C$56,'Данные'!E1324&gt;='Дашборд'!$C$53,'Данные'!L1324&lt;&gt;"Да"),"Да","Нет")</x:f>
        <x:v>Нет</x:v>
      </x:c>
      <x:c r="O1324" s="1" t="str">
        <x:f>'Данные'!L1324</x:f>
        <x:v>Нет</x:v>
      </x:c>
    </x:row>
    <x:row r="1325">
      <x:c r="A1325" s="1" t="str">
        <x:f>'Данные'!A1325</x:f>
        <x:v>211332727</x:v>
      </x:c>
      <x:c r="B1325" s="1" t="str">
        <x:f>'Данные'!B1325</x:f>
        <x:v>futbolkaboy/голубой</x:v>
      </x:c>
      <x:c r="C1325" s="8" t="n">
        <x:f>'Данные'!G1325</x:f>
        <x:v>31691</x:v>
      </x:c>
      <x:c r="D1325" s="15" t="n">
        <x:f>C1325/SUM($C$5:$C$2477)</x:f>
        <x:v>0.000037022175025831846</x:v>
      </x:c>
      <x:c r="E1325" s="15" t="n">
        <x:f>SUM($D$5:D1325)</x:f>
        <x:v>0.9959819719309054</x:v>
      </x:c>
      <x:c r="F1325" s="1" t="str">
        <x:f>IF(C1325&lt;=0,"C",IF(E1325-D1325&lt;'Дашборд'!$C$49,"A",IF(E1325-D1325&lt;'Дашборд'!$C$50,"B","C")))</x:f>
        <x:v>C</x:v>
      </x:c>
      <x:c r="G1325" s="8" t="n">
        <x:f>'Данные'!F1325</x:f>
        <x:v>86</x:v>
      </x:c>
      <x:c r="H1325" s="8" t="n">
        <x:f>SUM('Данные'!H1325:I1325)</x:f>
        <x:v>11</x:v>
      </x:c>
      <x:c r="I1325" s="16" t="n">
        <x:f>IF(H1325&gt;0,G1325/H1325,"n.a.")</x:f>
        <x:v>7.818181818181818</x:v>
      </x:c>
      <x:c r="J1325" s="10" t="n">
        <x:f>IF('Данные'!E1325&gt;0,G1325/'Данные'!E1325,"n.a.")</x:f>
        <x:v>0.01606575751914814</x:v>
      </x:c>
      <x:c r="K1325" s="1" t="str">
        <x:f>IF(G1325&gt;='Дашборд'!$C$51,"X","Z")</x:f>
        <x:v>Z</x:v>
      </x:c>
      <x:c r="L1325" s="1" t="str">
        <x:f>IF(H1325=0,IF(G1325&gt;0,"Нет остатка","Нет спроса"),IF(I1325&gt;='Дашборд'!$C$52,"Быстрый","Медленный"))</x:f>
        <x:v>Быстрый</x:v>
      </x:c>
      <x:c r="M1325" s="1" t="str">
        <x:f>IF('Данные'!E1325&lt;'Дашборд'!$C$53,"Мало трафика",IF(J1325&lt;'Дашборд'!$C$9*'Дашборд'!$C$54,"Да","Нет"))</x:f>
        <x:v>Нет</x:v>
      </x:c>
      <x:c r="N1325" s="1" t="str">
        <x:f>IF(AND('Данные'!D1325&gt;='Дашборд'!$C$55,D1325&lt;'Дашборд'!$C$56,'Данные'!E1325&gt;='Дашборд'!$C$53,'Данные'!L1325&lt;&gt;"Да"),"Да","Нет")</x:f>
        <x:v>Да</x:v>
      </x:c>
      <x:c r="O1325" s="1" t="str">
        <x:f>'Данные'!L1325</x:f>
        <x:v>Нет</x:v>
      </x:c>
    </x:row>
    <x:row r="1326">
      <x:c r="A1326" s="1" t="str">
        <x:f>'Данные'!A1326</x:f>
        <x:v>240808491</x:v>
      </x:c>
      <x:c r="B1326" s="1" t="str">
        <x:f>'Данные'!B1326</x:f>
        <x:v>brukiboy/молочный</x:v>
      </x:c>
      <x:c r="C1326" s="8" t="n">
        <x:f>'Данные'!G1326</x:f>
        <x:v>31654</x:v>
      </x:c>
      <x:c r="D1326" s="15" t="n">
        <x:f>C1326/SUM($C$5:$C$2477)</x:f>
        <x:v>0.000036978950751559794</x:v>
      </x:c>
      <x:c r="E1326" s="15" t="n">
        <x:f>SUM($D$5:D1326)</x:f>
        <x:v>0.996018950881657</x:v>
      </x:c>
      <x:c r="F1326" s="1" t="str">
        <x:f>IF(C1326&lt;=0,"C",IF(E1326-D1326&lt;'Дашборд'!$C$49,"A",IF(E1326-D1326&lt;'Дашборд'!$C$50,"B","C")))</x:f>
        <x:v>C</x:v>
      </x:c>
      <x:c r="G1326" s="8" t="n">
        <x:f>'Данные'!F1326</x:f>
        <x:v>73</x:v>
      </x:c>
      <x:c r="H1326" s="8" t="n">
        <x:f>SUM('Данные'!H1326:I1326)</x:f>
        <x:v>159</x:v>
      </x:c>
      <x:c r="I1326" s="16" t="n">
        <x:f>IF(H1326&gt;0,G1326/H1326,"n.a.")</x:f>
        <x:v>0.4591194968553459</x:v>
      </x:c>
      <x:c r="J1326" s="10" t="n">
        <x:f>IF('Данные'!E1326&gt;0,G1326/'Данные'!E1326,"n.a.")</x:f>
        <x:v>0.011383128021206923</x:v>
      </x:c>
      <x:c r="K1326" s="1" t="str">
        <x:f>IF(G1326&gt;='Дашборд'!$C$51,"X","Z")</x:f>
        <x:v>Z</x:v>
      </x:c>
      <x:c r="L1326" s="1" t="str">
        <x:f>IF(H1326=0,IF(G1326&gt;0,"Нет остатка","Нет спроса"),IF(I1326&gt;='Дашборд'!$C$52,"Быстрый","Медленный"))</x:f>
        <x:v>Медленный</x:v>
      </x:c>
      <x:c r="M1326" s="1" t="str">
        <x:f>IF('Данные'!E1326&lt;'Дашборд'!$C$53,"Мало трафика",IF(J1326&lt;'Дашборд'!$C$9*'Дашборд'!$C$54,"Да","Нет"))</x:f>
        <x:v>Нет</x:v>
      </x:c>
      <x:c r="N1326" s="1" t="str">
        <x:f>IF(AND('Данные'!D1326&gt;='Дашборд'!$C$55,D1326&lt;'Дашборд'!$C$56,'Данные'!E1326&gt;='Дашборд'!$C$53,'Данные'!L1326&lt;&gt;"Да"),"Да","Нет")</x:f>
        <x:v>Нет</x:v>
      </x:c>
      <x:c r="O1326" s="1" t="str">
        <x:f>'Данные'!L1326</x:f>
        <x:v>Нет</x:v>
      </x:c>
    </x:row>
    <x:row r="1327">
      <x:c r="A1327" s="1" t="str">
        <x:f>'Данные'!A1327</x:f>
        <x:v>233979544</x:v>
      </x:c>
      <x:c r="B1327" s="1" t="str">
        <x:f>'Данные'!B1327</x:f>
        <x:v>futbolkamanX3/черный</x:v>
      </x:c>
      <x:c r="C1327" s="8" t="n">
        <x:f>'Данные'!G1327</x:f>
        <x:v>31632</x:v>
      </x:c>
      <x:c r="D1327" s="15" t="n">
        <x:f>C1327/SUM($C$5:$C$2477)</x:f>
        <x:v>0.00003695324983172235</x:v>
      </x:c>
      <x:c r="E1327" s="15" t="n">
        <x:f>SUM($D$5:D1327)</x:f>
        <x:v>0.9960559041314888</x:v>
      </x:c>
      <x:c r="F1327" s="1" t="str">
        <x:f>IF(C1327&lt;=0,"C",IF(E1327-D1327&lt;'Дашборд'!$C$49,"A",IF(E1327-D1327&lt;'Дашборд'!$C$50,"B","C")))</x:f>
        <x:v>C</x:v>
      </x:c>
      <x:c r="G1327" s="8" t="n">
        <x:f>'Данные'!F1327</x:f>
        <x:v>25</x:v>
      </x:c>
      <x:c r="H1327" s="8" t="n">
        <x:f>SUM('Данные'!H1327:I1327)</x:f>
        <x:v>1</x:v>
      </x:c>
      <x:c r="I1327" s="16" t="n">
        <x:f>IF(H1327&gt;0,G1327/H1327,"n.a.")</x:f>
        <x:v>25</x:v>
      </x:c>
      <x:c r="J1327" s="10" t="n">
        <x:f>IF('Данные'!E1327&gt;0,G1327/'Данные'!E1327,"n.a.")</x:f>
        <x:v>0.0010562338924331404</x:v>
      </x:c>
      <x:c r="K1327" s="1" t="str">
        <x:f>IF(G1327&gt;='Дашборд'!$C$51,"X","Z")</x:f>
        <x:v>Z</x:v>
      </x:c>
      <x:c r="L1327" s="1" t="str">
        <x:f>IF(H1327=0,IF(G1327&gt;0,"Нет остатка","Нет спроса"),IF(I1327&gt;='Дашборд'!$C$52,"Быстрый","Медленный"))</x:f>
        <x:v>Быстрый</x:v>
      </x:c>
      <x:c r="M1327" s="1" t="str">
        <x:f>IF('Данные'!E1327&lt;'Дашборд'!$C$53,"Мало трафика",IF(J1327&lt;'Дашборд'!$C$9*'Дашборд'!$C$54,"Да","Нет"))</x:f>
        <x:v>Да</x:v>
      </x:c>
      <x:c r="N1327" s="1" t="str">
        <x:f>IF(AND('Данные'!D1327&gt;='Дашборд'!$C$55,D1327&lt;'Дашборд'!$C$56,'Данные'!E1327&gt;='Дашборд'!$C$53,'Данные'!L1327&lt;&gt;"Да"),"Да","Нет")</x:f>
        <x:v>Нет</x:v>
      </x:c>
      <x:c r="O1327" s="1" t="str">
        <x:f>'Данные'!L1327</x:f>
        <x:v>Нет</x:v>
      </x:c>
    </x:row>
    <x:row r="1328">
      <x:c r="A1328" s="1" t="str">
        <x:f>'Данные'!A1328</x:f>
        <x:v>235613732</x:v>
      </x:c>
      <x:c r="B1328" s="1" t="str">
        <x:f>'Данные'!B1328</x:f>
        <x:v>hudicrop/молочный</x:v>
      </x:c>
      <x:c r="C1328" s="8" t="n">
        <x:f>'Данные'!G1328</x:f>
        <x:v>31616</x:v>
      </x:c>
      <x:c r="D1328" s="15" t="n">
        <x:f>C1328/SUM($C$5:$C$2477)</x:f>
        <x:v>0.00003693455825365876</x:v>
      </x:c>
      <x:c r="E1328" s="15" t="n">
        <x:f>SUM($D$5:D1328)</x:f>
        <x:v>0.9960928386897425</x:v>
      </x:c>
      <x:c r="F1328" s="1" t="str">
        <x:f>IF(C1328&lt;=0,"C",IF(E1328-D1328&lt;'Дашборд'!$C$49,"A",IF(E1328-D1328&lt;'Дашборд'!$C$50,"B","C")))</x:f>
        <x:v>C</x:v>
      </x:c>
      <x:c r="G1328" s="8" t="n">
        <x:f>'Данные'!F1328</x:f>
        <x:v>29</x:v>
      </x:c>
      <x:c r="H1328" s="8" t="n">
        <x:f>SUM('Данные'!H1328:I1328)</x:f>
        <x:v>0</x:v>
      </x:c>
      <x:c r="I1328" s="16" t="str">
        <x:f>IF(H1328&gt;0,G1328/H1328,"n.a.")</x:f>
        <x:v>n.a.</x:v>
      </x:c>
      <x:c r="J1328" s="10" t="n">
        <x:f>IF('Данные'!E1328&gt;0,G1328/'Данные'!E1328,"n.a.")</x:f>
        <x:v>0.0017885777722955471</x:v>
      </x:c>
      <x:c r="K1328" s="1" t="str">
        <x:f>IF(G1328&gt;='Дашборд'!$C$51,"X","Z")</x:f>
        <x:v>Z</x:v>
      </x:c>
      <x:c r="L1328" s="1" t="str">
        <x:f>IF(H1328=0,IF(G1328&gt;0,"Нет остатка","Нет спроса"),IF(I1328&gt;='Дашборд'!$C$52,"Быстрый","Медленный"))</x:f>
        <x:v>Нет остатка</x:v>
      </x:c>
      <x:c r="M1328" s="1" t="str">
        <x:f>IF('Данные'!E1328&lt;'Дашборд'!$C$53,"Мало трафика",IF(J1328&lt;'Дашборд'!$C$9*'Дашборд'!$C$54,"Да","Нет"))</x:f>
        <x:v>Да</x:v>
      </x:c>
      <x:c r="N1328" s="1" t="str">
        <x:f>IF(AND('Данные'!D1328&gt;='Дашборд'!$C$55,D1328&lt;'Дашборд'!$C$56,'Данные'!E1328&gt;='Дашборд'!$C$53,'Данные'!L1328&lt;&gt;"Да"),"Да","Нет")</x:f>
        <x:v>Нет</x:v>
      </x:c>
      <x:c r="O1328" s="1" t="str">
        <x:f>'Данные'!L1328</x:f>
        <x:v>Нет</x:v>
      </x:c>
    </x:row>
    <x:row r="1329">
      <x:c r="A1329" s="1" t="str">
        <x:f>'Данные'!A1329</x:f>
        <x:v>344410283</x:v>
      </x:c>
      <x:c r="B1329" s="1" t="str">
        <x:f>'Данные'!B1329</x:f>
        <x:v>malyshkabasic/пыльно-синий</x:v>
      </x:c>
      <x:c r="C1329" s="8" t="n">
        <x:f>'Данные'!G1329</x:f>
        <x:v>31563</x:v>
      </x:c>
      <x:c r="D1329" s="15" t="n">
        <x:f>C1329/SUM($C$5:$C$2477)</x:f>
        <x:v>0.00003687264240132311</x:v>
      </x:c>
      <x:c r="E1329" s="15" t="n">
        <x:f>SUM($D$5:D1329)</x:f>
        <x:v>0.9961297113321439</x:v>
      </x:c>
      <x:c r="F1329" s="1" t="str">
        <x:f>IF(C1329&lt;=0,"C",IF(E1329-D1329&lt;'Дашборд'!$C$49,"A",IF(E1329-D1329&lt;'Дашборд'!$C$50,"B","C")))</x:f>
        <x:v>C</x:v>
      </x:c>
      <x:c r="G1329" s="8" t="n">
        <x:f>'Данные'!F1329</x:f>
        <x:v>111</x:v>
      </x:c>
      <x:c r="H1329" s="8" t="n">
        <x:f>SUM('Данные'!H1329:I1329)</x:f>
        <x:v>763</x:v>
      </x:c>
      <x:c r="I1329" s="16" t="n">
        <x:f>IF(H1329&gt;0,G1329/H1329,"n.a.")</x:f>
        <x:v>0.145478374836173</x:v>
      </x:c>
      <x:c r="J1329" s="10" t="n">
        <x:f>IF('Данные'!E1329&gt;0,G1329/'Данные'!E1329,"n.a.")</x:f>
        <x:v>0.002686870642912471</x:v>
      </x:c>
      <x:c r="K1329" s="1" t="str">
        <x:f>IF(G1329&gt;='Дашборд'!$C$51,"X","Z")</x:f>
        <x:v>Z</x:v>
      </x:c>
      <x:c r="L1329" s="1" t="str">
        <x:f>IF(H1329=0,IF(G1329&gt;0,"Нет остатка","Нет спроса"),IF(I1329&gt;='Дашборд'!$C$52,"Быстрый","Медленный"))</x:f>
        <x:v>Медленный</x:v>
      </x:c>
      <x:c r="M1329" s="1" t="str">
        <x:f>IF('Данные'!E1329&lt;'Дашборд'!$C$53,"Мало трафика",IF(J1329&lt;'Дашборд'!$C$9*'Дашборд'!$C$54,"Да","Нет"))</x:f>
        <x:v>Да</x:v>
      </x:c>
      <x:c r="N1329" s="1" t="str">
        <x:f>IF(AND('Данные'!D1329&gt;='Дашборд'!$C$55,D1329&lt;'Дашборд'!$C$56,'Данные'!E1329&gt;='Дашборд'!$C$53,'Данные'!L1329&lt;&gt;"Да"),"Да","Нет")</x:f>
        <x:v>Нет</x:v>
      </x:c>
      <x:c r="O1329" s="1" t="str">
        <x:f>'Данные'!L1329</x:f>
        <x:v>Нет</x:v>
      </x:c>
    </x:row>
    <x:row r="1330">
      <x:c r="A1330" s="1" t="str">
        <x:f>'Данные'!A1330</x:f>
        <x:v>179951194</x:v>
      </x:c>
      <x:c r="B1330" s="1" t="str">
        <x:f>'Данные'!B1330</x:f>
        <x:v>palazzo/молочный</x:v>
      </x:c>
      <x:c r="C1330" s="8" t="n">
        <x:f>'Данные'!G1330</x:f>
        <x:v>31468</x:v>
      </x:c>
      <x:c r="D1330" s="15" t="n">
        <x:f>C1330/SUM($C$5:$C$2477)</x:f>
        <x:v>0.00003676166115657053</x:v>
      </x:c>
      <x:c r="E1330" s="15" t="n">
        <x:f>SUM($D$5:D1330)</x:f>
        <x:v>0.9961664729933005</x:v>
      </x:c>
      <x:c r="F1330" s="1" t="str">
        <x:f>IF(C1330&lt;=0,"C",IF(E1330-D1330&lt;'Дашборд'!$C$49,"A",IF(E1330-D1330&lt;'Дашборд'!$C$50,"B","C")))</x:f>
        <x:v>C</x:v>
      </x:c>
      <x:c r="G1330" s="8" t="n">
        <x:f>'Данные'!F1330</x:f>
        <x:v>88</x:v>
      </x:c>
      <x:c r="H1330" s="8" t="n">
        <x:f>SUM('Данные'!H1330:I1330)</x:f>
        <x:v>16</x:v>
      </x:c>
      <x:c r="I1330" s="16" t="n">
        <x:f>IF(H1330&gt;0,G1330/H1330,"n.a.")</x:f>
        <x:v>5.5</x:v>
      </x:c>
      <x:c r="J1330" s="10" t="n">
        <x:f>IF('Данные'!E1330&gt;0,G1330/'Данные'!E1330,"n.a.")</x:f>
        <x:v>0.015881609817722433</x:v>
      </x:c>
      <x:c r="K1330" s="1" t="str">
        <x:f>IF(G1330&gt;='Дашборд'!$C$51,"X","Z")</x:f>
        <x:v>Z</x:v>
      </x:c>
      <x:c r="L1330" s="1" t="str">
        <x:f>IF(H1330=0,IF(G1330&gt;0,"Нет остатка","Нет спроса"),IF(I1330&gt;='Дашборд'!$C$52,"Быстрый","Медленный"))</x:f>
        <x:v>Быстрый</x:v>
      </x:c>
      <x:c r="M1330" s="1" t="str">
        <x:f>IF('Данные'!E1330&lt;'Дашборд'!$C$53,"Мало трафика",IF(J1330&lt;'Дашборд'!$C$9*'Дашборд'!$C$54,"Да","Нет"))</x:f>
        <x:v>Нет</x:v>
      </x:c>
      <x:c r="N1330" s="1" t="str">
        <x:f>IF(AND('Данные'!D1330&gt;='Дашборд'!$C$55,D1330&lt;'Дашборд'!$C$56,'Данные'!E1330&gt;='Дашборд'!$C$53,'Данные'!L1330&lt;&gt;"Да"),"Да","Нет")</x:f>
        <x:v>Да</x:v>
      </x:c>
      <x:c r="O1330" s="1" t="str">
        <x:f>'Данные'!L1330</x:f>
        <x:v>Нет</x:v>
      </x:c>
    </x:row>
    <x:row r="1331">
      <x:c r="A1331" s="1" t="str">
        <x:f>'Данные'!A1331</x:f>
        <x:v>233503585</x:v>
      </x:c>
      <x:c r="B1331" s="1" t="str">
        <x:f>'Данные'!B1331</x:f>
        <x:v>brukigirl/розовый</x:v>
      </x:c>
      <x:c r="C1331" s="8" t="n">
        <x:f>'Данные'!G1331</x:f>
        <x:v>31451</x:v>
      </x:c>
      <x:c r="D1331" s="15" t="n">
        <x:f>C1331/SUM($C$5:$C$2477)</x:f>
        <x:v>0.00003674180135487796</x:v>
      </x:c>
      <x:c r="E1331" s="15" t="n">
        <x:f>SUM($D$5:D1331)</x:f>
        <x:v>0.9962032147946553</x:v>
      </x:c>
      <x:c r="F1331" s="1" t="str">
        <x:f>IF(C1331&lt;=0,"C",IF(E1331-D1331&lt;'Дашборд'!$C$49,"A",IF(E1331-D1331&lt;'Дашборд'!$C$50,"B","C")))</x:f>
        <x:v>C</x:v>
      </x:c>
      <x:c r="G1331" s="8" t="n">
        <x:f>'Данные'!F1331</x:f>
        <x:v>49</x:v>
      </x:c>
      <x:c r="H1331" s="8" t="n">
        <x:f>SUM('Данные'!H1331:I1331)</x:f>
        <x:v>4</x:v>
      </x:c>
      <x:c r="I1331" s="16" t="n">
        <x:f>IF(H1331&gt;0,G1331/H1331,"n.a.")</x:f>
        <x:v>12.25</x:v>
      </x:c>
      <x:c r="J1331" s="10" t="n">
        <x:f>IF('Данные'!E1331&gt;0,G1331/'Данные'!E1331,"n.a.")</x:f>
        <x:v>0.008013082583810302</x:v>
      </x:c>
      <x:c r="K1331" s="1" t="str">
        <x:f>IF(G1331&gt;='Дашборд'!$C$51,"X","Z")</x:f>
        <x:v>Z</x:v>
      </x:c>
      <x:c r="L1331" s="1" t="str">
        <x:f>IF(H1331=0,IF(G1331&gt;0,"Нет остатка","Нет спроса"),IF(I1331&gt;='Дашборд'!$C$52,"Быстрый","Медленный"))</x:f>
        <x:v>Быстрый</x:v>
      </x:c>
      <x:c r="M1331" s="1" t="str">
        <x:f>IF('Данные'!E1331&lt;'Дашборд'!$C$53,"Мало трафика",IF(J1331&lt;'Дашборд'!$C$9*'Дашборд'!$C$54,"Да","Нет"))</x:f>
        <x:v>Да</x:v>
      </x:c>
      <x:c r="N1331" s="1" t="str">
        <x:f>IF(AND('Данные'!D1331&gt;='Дашборд'!$C$55,D1331&lt;'Дашборд'!$C$56,'Данные'!E1331&gt;='Дашборд'!$C$53,'Данные'!L1331&lt;&gt;"Да"),"Да","Нет")</x:f>
        <x:v>Нет</x:v>
      </x:c>
      <x:c r="O1331" s="1" t="str">
        <x:f>'Данные'!L1331</x:f>
        <x:v>Нет</x:v>
      </x:c>
    </x:row>
    <x:row r="1332">
      <x:c r="A1332" s="1" t="str">
        <x:f>'Данные'!A1332</x:f>
        <x:v>229124478</x:v>
      </x:c>
      <x:c r="B1332" s="1" t="str">
        <x:f>'Данные'!B1332</x:f>
        <x:v>futbolkaprint/SEOUL-119/розовый</x:v>
      </x:c>
      <x:c r="C1332" s="8" t="n">
        <x:f>'Данные'!G1332</x:f>
        <x:v>31395</x:v>
      </x:c>
      <x:c r="D1332" s="15" t="n">
        <x:f>C1332/SUM($C$5:$C$2477)</x:f>
        <x:v>0.00003667638083165539</x:v>
      </x:c>
      <x:c r="E1332" s="15" t="n">
        <x:f>SUM($D$5:D1332)</x:f>
        <x:v>0.996239891175487</x:v>
      </x:c>
      <x:c r="F1332" s="1" t="str">
        <x:f>IF(C1332&lt;=0,"C",IF(E1332-D1332&lt;'Дашборд'!$C$49,"A",IF(E1332-D1332&lt;'Дашборд'!$C$50,"B","C")))</x:f>
        <x:v>C</x:v>
      </x:c>
      <x:c r="G1332" s="8" t="n">
        <x:f>'Данные'!F1332</x:f>
        <x:v>53</x:v>
      </x:c>
      <x:c r="H1332" s="8" t="n">
        <x:f>SUM('Данные'!H1332:I1332)</x:f>
        <x:v>0</x:v>
      </x:c>
      <x:c r="I1332" s="16" t="str">
        <x:f>IF(H1332&gt;0,G1332/H1332,"n.a.")</x:f>
        <x:v>n.a.</x:v>
      </x:c>
      <x:c r="J1332" s="10" t="n">
        <x:f>IF('Данные'!E1332&gt;0,G1332/'Данные'!E1332,"n.a.")</x:f>
        <x:v>0.00631177801595808</x:v>
      </x:c>
      <x:c r="K1332" s="1" t="str">
        <x:f>IF(G1332&gt;='Дашборд'!$C$51,"X","Z")</x:f>
        <x:v>Z</x:v>
      </x:c>
      <x:c r="L1332" s="1" t="str">
        <x:f>IF(H1332=0,IF(G1332&gt;0,"Нет остатка","Нет спроса"),IF(I1332&gt;='Дашборд'!$C$52,"Быстрый","Медленный"))</x:f>
        <x:v>Нет остатка</x:v>
      </x:c>
      <x:c r="M1332" s="1" t="str">
        <x:f>IF('Данные'!E1332&lt;'Дашборд'!$C$53,"Мало трафика",IF(J1332&lt;'Дашборд'!$C$9*'Дашборд'!$C$54,"Да","Нет"))</x:f>
        <x:v>Да</x:v>
      </x:c>
      <x:c r="N1332" s="1" t="str">
        <x:f>IF(AND('Данные'!D1332&gt;='Дашборд'!$C$55,D1332&lt;'Дашборд'!$C$56,'Данные'!E1332&gt;='Дашборд'!$C$53,'Данные'!L1332&lt;&gt;"Да"),"Да","Нет")</x:f>
        <x:v>Да</x:v>
      </x:c>
      <x:c r="O1332" s="1" t="str">
        <x:f>'Данные'!L1332</x:f>
        <x:v>Нет</x:v>
      </x:c>
    </x:row>
    <x:row r="1333">
      <x:c r="A1333" s="1" t="str">
        <x:f>'Данные'!A1333</x:f>
        <x:v>313770741</x:v>
      </x:c>
      <x:c r="B1333" s="1" t="str">
        <x:f>'Данные'!B1333</x:f>
        <x:v>futbolkagirl/кофейный</x:v>
      </x:c>
      <x:c r="C1333" s="8" t="n">
        <x:f>'Данные'!G1333</x:f>
        <x:v>31257</x:v>
      </x:c>
      <x:c r="D1333" s="15" t="n">
        <x:f>C1333/SUM($C$5:$C$2477)</x:f>
        <x:v>0.0000365151659708569</x:v>
      </x:c>
      <x:c r="E1333" s="15" t="n">
        <x:f>SUM($D$5:D1333)</x:f>
        <x:v>0.9962764063414578</x:v>
      </x:c>
      <x:c r="F1333" s="1" t="str">
        <x:f>IF(C1333&lt;=0,"C",IF(E1333-D1333&lt;'Дашборд'!$C$49,"A",IF(E1333-D1333&lt;'Дашборд'!$C$50,"B","C")))</x:f>
        <x:v>C</x:v>
      </x:c>
      <x:c r="G1333" s="8" t="n">
        <x:f>'Данные'!F1333</x:f>
        <x:v>100</x:v>
      </x:c>
      <x:c r="H1333" s="8" t="n">
        <x:f>SUM('Данные'!H1333:I1333)</x:f>
        <x:v>1</x:v>
      </x:c>
      <x:c r="I1333" s="16" t="n">
        <x:f>IF(H1333&gt;0,G1333/H1333,"n.a.")</x:f>
        <x:v>100</x:v>
      </x:c>
      <x:c r="J1333" s="10" t="n">
        <x:f>IF('Данные'!E1333&gt;0,G1333/'Данные'!E1333,"n.a.")</x:f>
        <x:v>0.005708088361207832</x:v>
      </x:c>
      <x:c r="K1333" s="1" t="str">
        <x:f>IF(G1333&gt;='Дашборд'!$C$51,"X","Z")</x:f>
        <x:v>Z</x:v>
      </x:c>
      <x:c r="L1333" s="1" t="str">
        <x:f>IF(H1333=0,IF(G1333&gt;0,"Нет остатка","Нет спроса"),IF(I1333&gt;='Дашборд'!$C$52,"Быстрый","Медленный"))</x:f>
        <x:v>Быстрый</x:v>
      </x:c>
      <x:c r="M1333" s="1" t="str">
        <x:f>IF('Данные'!E1333&lt;'Дашборд'!$C$53,"Мало трафика",IF(J1333&lt;'Дашборд'!$C$9*'Дашборд'!$C$54,"Да","Нет"))</x:f>
        <x:v>Да</x:v>
      </x:c>
      <x:c r="N1333" s="1" t="str">
        <x:f>IF(AND('Данные'!D1333&gt;='Дашборд'!$C$55,D1333&lt;'Дашборд'!$C$56,'Данные'!E1333&gt;='Дашборд'!$C$53,'Данные'!L1333&lt;&gt;"Да"),"Да","Нет")</x:f>
        <x:v>Да</x:v>
      </x:c>
      <x:c r="O1333" s="1" t="str">
        <x:f>'Данные'!L1333</x:f>
        <x:v>Нет</x:v>
      </x:c>
    </x:row>
    <x:row r="1334">
      <x:c r="A1334" s="1" t="str">
        <x:f>'Данные'!A1334</x:f>
        <x:v>370408820</x:v>
      </x:c>
      <x:c r="B1334" s="1" t="str">
        <x:f>'Данные'!B1334</x:f>
        <x:v>2Nshortymanbk/бордовый</x:v>
      </x:c>
      <x:c r="C1334" s="8" t="n">
        <x:f>'Данные'!G1334</x:f>
        <x:v>31080</x:v>
      </x:c>
      <x:c r="D1334" s="15" t="n">
        <x:f>C1334/SUM($C$5:$C$2477)</x:f>
        <x:v>0.00003630839038852841</x:v>
      </x:c>
      <x:c r="E1334" s="15" t="n">
        <x:f>SUM($D$5:D1334)</x:f>
        <x:v>0.9963127147318462</x:v>
      </x:c>
      <x:c r="F1334" s="1" t="str">
        <x:f>IF(C1334&lt;=0,"C",IF(E1334-D1334&lt;'Дашборд'!$C$49,"A",IF(E1334-D1334&lt;'Дашборд'!$C$50,"B","C")))</x:f>
        <x:v>C</x:v>
      </x:c>
      <x:c r="G1334" s="8" t="n">
        <x:f>'Данные'!F1334</x:f>
        <x:v>65</x:v>
      </x:c>
      <x:c r="H1334" s="8" t="n">
        <x:f>SUM('Данные'!H1334:I1334)</x:f>
        <x:v>26</x:v>
      </x:c>
      <x:c r="I1334" s="16" t="n">
        <x:f>IF(H1334&gt;0,G1334/H1334,"n.a.")</x:f>
        <x:v>2.5</x:v>
      </x:c>
      <x:c r="J1334" s="10" t="n">
        <x:f>IF('Данные'!E1334&gt;0,G1334/'Данные'!E1334,"n.a.")</x:f>
        <x:v>0.0064394689914800875</x:v>
      </x:c>
      <x:c r="K1334" s="1" t="str">
        <x:f>IF(G1334&gt;='Дашборд'!$C$51,"X","Z")</x:f>
        <x:v>Z</x:v>
      </x:c>
      <x:c r="L1334" s="1" t="str">
        <x:f>IF(H1334=0,IF(G1334&gt;0,"Нет остатка","Нет спроса"),IF(I1334&gt;='Дашборд'!$C$52,"Быстрый","Медленный"))</x:f>
        <x:v>Быстрый</x:v>
      </x:c>
      <x:c r="M1334" s="1" t="str">
        <x:f>IF('Данные'!E1334&lt;'Дашборд'!$C$53,"Мало трафика",IF(J1334&lt;'Дашборд'!$C$9*'Дашборд'!$C$54,"Да","Нет"))</x:f>
        <x:v>Да</x:v>
      </x:c>
      <x:c r="N1334" s="1" t="str">
        <x:f>IF(AND('Данные'!D1334&gt;='Дашборд'!$C$55,D1334&lt;'Дашборд'!$C$56,'Данные'!E1334&gt;='Дашборд'!$C$53,'Данные'!L1334&lt;&gt;"Да"),"Да","Нет")</x:f>
        <x:v>Нет</x:v>
      </x:c>
      <x:c r="O1334" s="1" t="str">
        <x:f>'Данные'!L1334</x:f>
        <x:v>Нет</x:v>
      </x:c>
    </x:row>
    <x:row r="1335">
      <x:c r="A1335" s="1" t="str">
        <x:f>'Данные'!A1335</x:f>
        <x:v>335327573</x:v>
      </x:c>
      <x:c r="B1335" s="1" t="str">
        <x:f>'Данные'!B1335</x:f>
        <x:v>bazakulgirl/бордовый</x:v>
      </x:c>
      <x:c r="C1335" s="8" t="n">
        <x:f>'Данные'!G1335</x:f>
        <x:v>30932</x:v>
      </x:c>
      <x:c r="D1335" s="15" t="n">
        <x:f>C1335/SUM($C$5:$C$2477)</x:f>
        <x:v>0.00003613549329144018</x:v>
      </x:c>
      <x:c r="E1335" s="15" t="n">
        <x:f>SUM($D$5:D1335)</x:f>
        <x:v>0.9963488502251376</x:v>
      </x:c>
      <x:c r="F1335" s="1" t="str">
        <x:f>IF(C1335&lt;=0,"C",IF(E1335-D1335&lt;'Дашборд'!$C$49,"A",IF(E1335-D1335&lt;'Дашборд'!$C$50,"B","C")))</x:f>
        <x:v>C</x:v>
      </x:c>
      <x:c r="G1335" s="8" t="n">
        <x:f>'Данные'!F1335</x:f>
        <x:v>89</x:v>
      </x:c>
      <x:c r="H1335" s="8" t="n">
        <x:f>SUM('Данные'!H1335:I1335)</x:f>
        <x:v>462</x:v>
      </x:c>
      <x:c r="I1335" s="16" t="n">
        <x:f>IF(H1335&gt;0,G1335/H1335,"n.a.")</x:f>
        <x:v>0.19264069264069264</x:v>
      </x:c>
      <x:c r="J1335" s="10" t="n">
        <x:f>IF('Данные'!E1335&gt;0,G1335/'Данные'!E1335,"n.a.")</x:f>
        <x:v>0.03234011627906977</x:v>
      </x:c>
      <x:c r="K1335" s="1" t="str">
        <x:f>IF(G1335&gt;='Дашборд'!$C$51,"X","Z")</x:f>
        <x:v>Z</x:v>
      </x:c>
      <x:c r="L1335" s="1" t="str">
        <x:f>IF(H1335=0,IF(G1335&gt;0,"Нет остатка","Нет спроса"),IF(I1335&gt;='Дашборд'!$C$52,"Быстрый","Медленный"))</x:f>
        <x:v>Медленный</x:v>
      </x:c>
      <x:c r="M1335" s="1" t="str">
        <x:f>IF('Данные'!E1335&lt;'Дашборд'!$C$53,"Мало трафика",IF(J1335&lt;'Дашборд'!$C$9*'Дашборд'!$C$54,"Да","Нет"))</x:f>
        <x:v>Нет</x:v>
      </x:c>
      <x:c r="N1335" s="1" t="str">
        <x:f>IF(AND('Данные'!D1335&gt;='Дашборд'!$C$55,D1335&lt;'Дашборд'!$C$56,'Данные'!E1335&gt;='Дашборд'!$C$53,'Данные'!L1335&lt;&gt;"Да"),"Да","Нет")</x:f>
        <x:v>Да</x:v>
      </x:c>
      <x:c r="O1335" s="1" t="str">
        <x:f>'Данные'!L1335</x:f>
        <x:v>Нет</x:v>
      </x:c>
    </x:row>
    <x:row r="1336">
      <x:c r="A1336" s="1" t="str">
        <x:f>'Данные'!A1336</x:f>
        <x:v>210616858</x:v>
      </x:c>
      <x:c r="B1336" s="1" t="str">
        <x:f>'Данные'!B1336</x:f>
        <x:v>kostkulirkaover/белый</x:v>
      </x:c>
      <x:c r="C1336" s="8" t="n">
        <x:f>'Данные'!G1336</x:f>
        <x:v>30477</x:v>
      </x:c>
      <x:c r="D1336" s="15" t="n">
        <x:f>C1336/SUM($C$5:$C$2477)</x:f>
        <x:v>0.00003560395154025677</x:v>
      </x:c>
      <x:c r="E1336" s="15" t="n">
        <x:f>SUM($D$5:D1336)</x:f>
        <x:v>0.9963844541766779</x:v>
      </x:c>
      <x:c r="F1336" s="1" t="str">
        <x:f>IF(C1336&lt;=0,"C",IF(E1336-D1336&lt;'Дашборд'!$C$49,"A",IF(E1336-D1336&lt;'Дашборд'!$C$50,"B","C")))</x:f>
        <x:v>C</x:v>
      </x:c>
      <x:c r="G1336" s="8" t="n">
        <x:f>'Данные'!F1336</x:f>
        <x:v>41</x:v>
      </x:c>
      <x:c r="H1336" s="8" t="n">
        <x:f>SUM('Данные'!H1336:I1336)</x:f>
        <x:v>592</x:v>
      </x:c>
      <x:c r="I1336" s="16" t="n">
        <x:f>IF(H1336&gt;0,G1336/H1336,"n.a.")</x:f>
        <x:v>0.06925675675675676</x:v>
      </x:c>
      <x:c r="J1336" s="10" t="n">
        <x:f>IF('Данные'!E1336&gt;0,G1336/'Данные'!E1336,"n.a.")</x:f>
        <x:v>0.0020429518162339926</x:v>
      </x:c>
      <x:c r="K1336" s="1" t="str">
        <x:f>IF(G1336&gt;='Дашборд'!$C$51,"X","Z")</x:f>
        <x:v>Z</x:v>
      </x:c>
      <x:c r="L1336" s="1" t="str">
        <x:f>IF(H1336=0,IF(G1336&gt;0,"Нет остатка","Нет спроса"),IF(I1336&gt;='Дашборд'!$C$52,"Быстрый","Медленный"))</x:f>
        <x:v>Медленный</x:v>
      </x:c>
      <x:c r="M1336" s="1" t="str">
        <x:f>IF('Данные'!E1336&lt;'Дашборд'!$C$53,"Мало трафика",IF(J1336&lt;'Дашборд'!$C$9*'Дашборд'!$C$54,"Да","Нет"))</x:f>
        <x:v>Да</x:v>
      </x:c>
      <x:c r="N1336" s="1" t="str">
        <x:f>IF(AND('Данные'!D1336&gt;='Дашборд'!$C$55,D1336&lt;'Дашборд'!$C$56,'Данные'!E1336&gt;='Дашборд'!$C$53,'Данные'!L1336&lt;&gt;"Да"),"Да","Нет")</x:f>
        <x:v>Нет</x:v>
      </x:c>
      <x:c r="O1336" s="1" t="str">
        <x:f>'Данные'!L1336</x:f>
        <x:v>Нет</x:v>
      </x:c>
    </x:row>
    <x:row r="1337">
      <x:c r="A1337" s="1" t="str">
        <x:f>'Данные'!A1337</x:f>
        <x:v>176976180</x:v>
      </x:c>
      <x:c r="B1337" s="1" t="str">
        <x:f>'Данные'!B1337</x:f>
        <x:v>hudi1size/мандариновый</x:v>
      </x:c>
      <x:c r="C1337" s="8" t="n">
        <x:f>'Данные'!G1337</x:f>
        <x:v>30248</x:v>
      </x:c>
      <x:c r="D1337" s="15" t="n">
        <x:f>C1337/SUM($C$5:$C$2477)</x:f>
        <x:v>0.0000353364283292216</x:v>
      </x:c>
      <x:c r="E1337" s="15" t="n">
        <x:f>SUM($D$5:D1337)</x:f>
        <x:v>0.9964197906050071</x:v>
      </x:c>
      <x:c r="F1337" s="1" t="str">
        <x:f>IF(C1337&lt;=0,"C",IF(E1337-D1337&lt;'Дашборд'!$C$49,"A",IF(E1337-D1337&lt;'Дашборд'!$C$50,"B","C")))</x:f>
        <x:v>C</x:v>
      </x:c>
      <x:c r="G1337" s="8" t="n">
        <x:f>'Данные'!F1337</x:f>
        <x:v>27</x:v>
      </x:c>
      <x:c r="H1337" s="8" t="n">
        <x:f>SUM('Данные'!H1337:I1337)</x:f>
        <x:v>0</x:v>
      </x:c>
      <x:c r="I1337" s="16" t="str">
        <x:f>IF(H1337&gt;0,G1337/H1337,"n.a.")</x:f>
        <x:v>n.a.</x:v>
      </x:c>
      <x:c r="J1337" s="10" t="n">
        <x:f>IF('Данные'!E1337&gt;0,G1337/'Данные'!E1337,"n.a.")</x:f>
        <x:v>0.014900662251655629</x:v>
      </x:c>
      <x:c r="K1337" s="1" t="str">
        <x:f>IF(G1337&gt;='Дашборд'!$C$51,"X","Z")</x:f>
        <x:v>Z</x:v>
      </x:c>
      <x:c r="L1337" s="1" t="str">
        <x:f>IF(H1337=0,IF(G1337&gt;0,"Нет остатка","Нет спроса"),IF(I1337&gt;='Дашборд'!$C$52,"Быстрый","Медленный"))</x:f>
        <x:v>Нет остатка</x:v>
      </x:c>
      <x:c r="M1337" s="1" t="str">
        <x:f>IF('Данные'!E1337&lt;'Дашборд'!$C$53,"Мало трафика",IF(J1337&lt;'Дашборд'!$C$9*'Дашборд'!$C$54,"Да","Нет"))</x:f>
        <x:v>Нет</x:v>
      </x:c>
      <x:c r="N1337" s="1" t="str">
        <x:f>IF(AND('Данные'!D1337&gt;='Дашборд'!$C$55,D1337&lt;'Дашборд'!$C$56,'Данные'!E1337&gt;='Дашборд'!$C$53,'Данные'!L1337&lt;&gt;"Да"),"Да","Нет")</x:f>
        <x:v>Нет</x:v>
      </x:c>
      <x:c r="O1337" s="1" t="str">
        <x:f>'Данные'!L1337</x:f>
        <x:v>Нет</x:v>
      </x:c>
    </x:row>
    <x:row r="1338">
      <x:c r="A1338" s="1" t="str">
        <x:f>'Данные'!A1338</x:f>
        <x:v>326822926</x:v>
      </x:c>
      <x:c r="B1338" s="1" t="str">
        <x:f>'Данные'!B1338</x:f>
        <x:v>2Nitkalongsliv3D-76/бордовый</x:v>
      </x:c>
      <x:c r="C1338" s="8" t="n">
        <x:f>'Данные'!G1338</x:f>
        <x:v>29888</x:v>
      </x:c>
      <x:c r="D1338" s="15" t="n">
        <x:f>C1338/SUM($C$5:$C$2477)</x:f>
        <x:v>0.00003491586782279077</x:v>
      </x:c>
      <x:c r="E1338" s="15" t="n">
        <x:f>SUM($D$5:D1338)</x:f>
        <x:v>0.9964547064728299</x:v>
      </x:c>
      <x:c r="F1338" s="1" t="str">
        <x:f>IF(C1338&lt;=0,"C",IF(E1338-D1338&lt;'Дашборд'!$C$49,"A",IF(E1338-D1338&lt;'Дашборд'!$C$50,"B","C")))</x:f>
        <x:v>C</x:v>
      </x:c>
      <x:c r="G1338" s="8" t="n">
        <x:f>'Данные'!F1338</x:f>
        <x:v>92</x:v>
      </x:c>
      <x:c r="H1338" s="8" t="n">
        <x:f>SUM('Данные'!H1338:I1338)</x:f>
        <x:v>171</x:v>
      </x:c>
      <x:c r="I1338" s="16" t="n">
        <x:f>IF(H1338&gt;0,G1338/H1338,"n.a.")</x:f>
        <x:v>0.5380116959064327</x:v>
      </x:c>
      <x:c r="J1338" s="10" t="n">
        <x:f>IF('Данные'!E1338&gt;0,G1338/'Данные'!E1338,"n.a.")</x:f>
        <x:v>0.0032701809263142928</x:v>
      </x:c>
      <x:c r="K1338" s="1" t="str">
        <x:f>IF(G1338&gt;='Дашборд'!$C$51,"X","Z")</x:f>
        <x:v>Z</x:v>
      </x:c>
      <x:c r="L1338" s="1" t="str">
        <x:f>IF(H1338=0,IF(G1338&gt;0,"Нет остатка","Нет спроса"),IF(I1338&gt;='Дашборд'!$C$52,"Быстрый","Медленный"))</x:f>
        <x:v>Медленный</x:v>
      </x:c>
      <x:c r="M1338" s="1" t="str">
        <x:f>IF('Данные'!E1338&lt;'Дашборд'!$C$53,"Мало трафика",IF(J1338&lt;'Дашборд'!$C$9*'Дашборд'!$C$54,"Да","Нет"))</x:f>
        <x:v>Да</x:v>
      </x:c>
      <x:c r="N1338" s="1" t="str">
        <x:f>IF(AND('Данные'!D1338&gt;='Дашборд'!$C$55,D1338&lt;'Дашборд'!$C$56,'Данные'!E1338&gt;='Дашборд'!$C$53,'Данные'!L1338&lt;&gt;"Да"),"Да","Нет")</x:f>
        <x:v>Нет</x:v>
      </x:c>
      <x:c r="O1338" s="1" t="str">
        <x:f>'Данные'!L1338</x:f>
        <x:v>Нет</x:v>
      </x:c>
    </x:row>
    <x:row r="1339">
      <x:c r="A1339" s="1" t="str">
        <x:f>'Данные'!A1339</x:f>
        <x:v>30028906</x:v>
      </x:c>
      <x:c r="B1339" s="1" t="str">
        <x:f>'Данные'!B1339</x:f>
        <x:v>longsliv/какао</x:v>
      </x:c>
      <x:c r="C1339" s="8" t="n">
        <x:f>'Данные'!G1339</x:f>
        <x:v>29784</x:v>
      </x:c>
      <x:c r="D1339" s="15" t="n">
        <x:f>C1339/SUM($C$5:$C$2477)</x:f>
        <x:v>0.00003479437256537742</x:v>
      </x:c>
      <x:c r="E1339" s="15" t="n">
        <x:f>SUM($D$5:D1339)</x:f>
        <x:v>0.9964895008453952</x:v>
      </x:c>
      <x:c r="F1339" s="1" t="str">
        <x:f>IF(C1339&lt;=0,"C",IF(E1339-D1339&lt;'Дашборд'!$C$49,"A",IF(E1339-D1339&lt;'Дашборд'!$C$50,"B","C")))</x:f>
        <x:v>C</x:v>
      </x:c>
      <x:c r="G1339" s="8" t="n">
        <x:f>'Данные'!F1339</x:f>
        <x:v>155</x:v>
      </x:c>
      <x:c r="H1339" s="8" t="n">
        <x:f>SUM('Данные'!H1339:I1339)</x:f>
        <x:v>727</x:v>
      </x:c>
      <x:c r="I1339" s="16" t="n">
        <x:f>IF(H1339&gt;0,G1339/H1339,"n.a.")</x:f>
        <x:v>0.21320495185694635</x:v>
      </x:c>
      <x:c r="J1339" s="10" t="n">
        <x:f>IF('Данные'!E1339&gt;0,G1339/'Данные'!E1339,"n.a.")</x:f>
        <x:v>0.015179708157868965</x:v>
      </x:c>
      <x:c r="K1339" s="1" t="str">
        <x:f>IF(G1339&gt;='Дашборд'!$C$51,"X","Z")</x:f>
        <x:v>Z</x:v>
      </x:c>
      <x:c r="L1339" s="1" t="str">
        <x:f>IF(H1339=0,IF(G1339&gt;0,"Нет остатка","Нет спроса"),IF(I1339&gt;='Дашборд'!$C$52,"Быстрый","Медленный"))</x:f>
        <x:v>Медленный</x:v>
      </x:c>
      <x:c r="M1339" s="1" t="str">
        <x:f>IF('Данные'!E1339&lt;'Дашборд'!$C$53,"Мало трафика",IF(J1339&lt;'Дашборд'!$C$9*'Дашборд'!$C$54,"Да","Нет"))</x:f>
        <x:v>Нет</x:v>
      </x:c>
      <x:c r="N1339" s="1" t="str">
        <x:f>IF(AND('Данные'!D1339&gt;='Дашборд'!$C$55,D1339&lt;'Дашборд'!$C$56,'Данные'!E1339&gt;='Дашборд'!$C$53,'Данные'!L1339&lt;&gt;"Да"),"Да","Нет")</x:f>
        <x:v>Да</x:v>
      </x:c>
      <x:c r="O1339" s="1" t="str">
        <x:f>'Данные'!L1339</x:f>
        <x:v>Нет</x:v>
      </x:c>
    </x:row>
    <x:row r="1340">
      <x:c r="A1340" s="1" t="str">
        <x:f>'Данные'!A1340</x:f>
        <x:v>344408144</x:v>
      </x:c>
      <x:c r="B1340" s="1" t="str">
        <x:f>'Данные'!B1340</x:f>
        <x:v>ribmayka3R-S13/бежевый</x:v>
      </x:c>
      <x:c r="C1340" s="8" t="n">
        <x:f>'Данные'!G1340</x:f>
        <x:v>29780</x:v>
      </x:c>
      <x:c r="D1340" s="15" t="n">
        <x:f>C1340/SUM($C$5:$C$2477)</x:f>
        <x:v>0.00003478969967086152</x:v>
      </x:c>
      <x:c r="E1340" s="15" t="n">
        <x:f>SUM($D$5:D1340)</x:f>
        <x:v>0.9965242905450661</x:v>
      </x:c>
      <x:c r="F1340" s="1" t="str">
        <x:f>IF(C1340&lt;=0,"C",IF(E1340-D1340&lt;'Дашборд'!$C$49,"A",IF(E1340-D1340&lt;'Дашборд'!$C$50,"B","C")))</x:f>
        <x:v>C</x:v>
      </x:c>
      <x:c r="G1340" s="8" t="n">
        <x:f>'Данные'!F1340</x:f>
        <x:v>62</x:v>
      </x:c>
      <x:c r="H1340" s="8" t="n">
        <x:f>SUM('Данные'!H1340:I1340)</x:f>
        <x:v>281</x:v>
      </x:c>
      <x:c r="I1340" s="16" t="n">
        <x:f>IF(H1340&gt;0,G1340/H1340,"n.a.")</x:f>
        <x:v>0.2206405693950178</x:v>
      </x:c>
      <x:c r="J1340" s="10" t="n">
        <x:f>IF('Данные'!E1340&gt;0,G1340/'Данные'!E1340,"n.a.")</x:f>
        <x:v>0.0038569206842923795</x:v>
      </x:c>
      <x:c r="K1340" s="1" t="str">
        <x:f>IF(G1340&gt;='Дашборд'!$C$51,"X","Z")</x:f>
        <x:v>Z</x:v>
      </x:c>
      <x:c r="L1340" s="1" t="str">
        <x:f>IF(H1340=0,IF(G1340&gt;0,"Нет остатка","Нет спроса"),IF(I1340&gt;='Дашборд'!$C$52,"Быстрый","Медленный"))</x:f>
        <x:v>Медленный</x:v>
      </x:c>
      <x:c r="M1340" s="1" t="str">
        <x:f>IF('Данные'!E1340&lt;'Дашборд'!$C$53,"Мало трафика",IF(J1340&lt;'Дашборд'!$C$9*'Дашборд'!$C$54,"Да","Нет"))</x:f>
        <x:v>Да</x:v>
      </x:c>
      <x:c r="N1340" s="1" t="str">
        <x:f>IF(AND('Данные'!D1340&gt;='Дашборд'!$C$55,D1340&lt;'Дашборд'!$C$56,'Данные'!E1340&gt;='Дашборд'!$C$53,'Данные'!L1340&lt;&gt;"Да"),"Да","Нет")</x:f>
        <x:v>Да</x:v>
      </x:c>
      <x:c r="O1340" s="1" t="str">
        <x:f>'Данные'!L1340</x:f>
        <x:v>Нет</x:v>
      </x:c>
    </x:row>
    <x:row r="1341">
      <x:c r="A1341" s="1" t="str">
        <x:f>'Данные'!A1341</x:f>
        <x:v>209915739</x:v>
      </x:c>
      <x:c r="B1341" s="1" t="str">
        <x:f>'Данные'!B1341</x:f>
        <x:v>shorty/голубой</x:v>
      </x:c>
      <x:c r="C1341" s="8" t="n">
        <x:f>'Данные'!G1341</x:f>
        <x:v>29721</x:v>
      </x:c>
      <x:c r="D1341" s="15" t="n">
        <x:f>C1341/SUM($C$5:$C$2477)</x:f>
        <x:v>0.000034720774476752024</x:v>
      </x:c>
      <x:c r="E1341" s="15" t="n">
        <x:f>SUM($D$5:D1341)</x:f>
        <x:v>0.9965590113195428</x:v>
      </x:c>
      <x:c r="F1341" s="1" t="str">
        <x:f>IF(C1341&lt;=0,"C",IF(E1341-D1341&lt;'Дашборд'!$C$49,"A",IF(E1341-D1341&lt;'Дашборд'!$C$50,"B","C")))</x:f>
        <x:v>C</x:v>
      </x:c>
      <x:c r="G1341" s="8" t="n">
        <x:f>'Данные'!F1341</x:f>
        <x:v>78</x:v>
      </x:c>
      <x:c r="H1341" s="8" t="n">
        <x:f>SUM('Данные'!H1341:I1341)</x:f>
        <x:v>61</x:v>
      </x:c>
      <x:c r="I1341" s="16" t="n">
        <x:f>IF(H1341&gt;0,G1341/H1341,"n.a.")</x:f>
        <x:v>1.278688524590164</x:v>
      </x:c>
      <x:c r="J1341" s="10" t="n">
        <x:f>IF('Данные'!E1341&gt;0,G1341/'Данные'!E1341,"n.a.")</x:f>
        <x:v>0.011538461538461539</x:v>
      </x:c>
      <x:c r="K1341" s="1" t="str">
        <x:f>IF(G1341&gt;='Дашборд'!$C$51,"X","Z")</x:f>
        <x:v>Z</x:v>
      </x:c>
      <x:c r="L1341" s="1" t="str">
        <x:f>IF(H1341=0,IF(G1341&gt;0,"Нет остатка","Нет спроса"),IF(I1341&gt;='Дашборд'!$C$52,"Быстрый","Медленный"))</x:f>
        <x:v>Быстрый</x:v>
      </x:c>
      <x:c r="M1341" s="1" t="str">
        <x:f>IF('Данные'!E1341&lt;'Дашборд'!$C$53,"Мало трафика",IF(J1341&lt;'Дашборд'!$C$9*'Дашборд'!$C$54,"Да","Нет"))</x:f>
        <x:v>Нет</x:v>
      </x:c>
      <x:c r="N1341" s="1" t="str">
        <x:f>IF(AND('Данные'!D1341&gt;='Дашборд'!$C$55,D1341&lt;'Дашборд'!$C$56,'Данные'!E1341&gt;='Дашборд'!$C$53,'Данные'!L1341&lt;&gt;"Да"),"Да","Нет")</x:f>
        <x:v>Нет</x:v>
      </x:c>
      <x:c r="O1341" s="1" t="str">
        <x:f>'Данные'!L1341</x:f>
        <x:v>Нет</x:v>
      </x:c>
    </x:row>
    <x:row r="1342">
      <x:c r="A1342" s="1" t="str">
        <x:f>'Данные'!A1342</x:f>
        <x:v>283024479</x:v>
      </x:c>
      <x:c r="B1342" s="1" t="str">
        <x:f>'Данные'!B1342</x:f>
        <x:v>sweatervyaz/черный</x:v>
      </x:c>
      <x:c r="C1342" s="8" t="n">
        <x:f>'Данные'!G1342</x:f>
        <x:v>29502</x:v>
      </x:c>
      <x:c r="D1342" s="15" t="n">
        <x:f>C1342/SUM($C$5:$C$2477)</x:f>
        <x:v>0.0000344649335020066</x:v>
      </x:c>
      <x:c r="E1342" s="15" t="n">
        <x:f>SUM($D$5:D1342)</x:f>
        <x:v>0.9965934762530448</x:v>
      </x:c>
      <x:c r="F1342" s="1" t="str">
        <x:f>IF(C1342&lt;=0,"C",IF(E1342-D1342&lt;'Дашборд'!$C$49,"A",IF(E1342-D1342&lt;'Дашборд'!$C$50,"B","C")))</x:f>
        <x:v>C</x:v>
      </x:c>
      <x:c r="G1342" s="8" t="n">
        <x:f>'Данные'!F1342</x:f>
        <x:v>37</x:v>
      </x:c>
      <x:c r="H1342" s="8" t="n">
        <x:f>SUM('Данные'!H1342:I1342)</x:f>
        <x:v>318</x:v>
      </x:c>
      <x:c r="I1342" s="16" t="n">
        <x:f>IF(H1342&gt;0,G1342/H1342,"n.a.")</x:f>
        <x:v>0.11635220125786164</x:v>
      </x:c>
      <x:c r="J1342" s="10" t="n">
        <x:f>IF('Данные'!E1342&gt;0,G1342/'Данные'!E1342,"n.a.")</x:f>
        <x:v>0.006388121546961326</x:v>
      </x:c>
      <x:c r="K1342" s="1" t="str">
        <x:f>IF(G1342&gt;='Дашборд'!$C$51,"X","Z")</x:f>
        <x:v>Z</x:v>
      </x:c>
      <x:c r="L1342" s="1" t="str">
        <x:f>IF(H1342=0,IF(G1342&gt;0,"Нет остатка","Нет спроса"),IF(I1342&gt;='Дашборд'!$C$52,"Быстрый","Медленный"))</x:f>
        <x:v>Медленный</x:v>
      </x:c>
      <x:c r="M1342" s="1" t="str">
        <x:f>IF('Данные'!E1342&lt;'Дашборд'!$C$53,"Мало трафика",IF(J1342&lt;'Дашборд'!$C$9*'Дашборд'!$C$54,"Да","Нет"))</x:f>
        <x:v>Да</x:v>
      </x:c>
      <x:c r="N1342" s="1" t="str">
        <x:f>IF(AND('Данные'!D1342&gt;='Дашборд'!$C$55,D1342&lt;'Дашборд'!$C$56,'Данные'!E1342&gt;='Дашборд'!$C$53,'Данные'!L1342&lt;&gt;"Да"),"Да","Нет")</x:f>
        <x:v>Нет</x:v>
      </x:c>
      <x:c r="O1342" s="1" t="str">
        <x:f>'Данные'!L1342</x:f>
        <x:v>Нет</x:v>
      </x:c>
    </x:row>
    <x:row r="1343">
      <x:c r="A1343" s="1" t="str">
        <x:f>'Данные'!A1343</x:f>
        <x:v>172152408</x:v>
      </x:c>
      <x:c r="B1343" s="1" t="str">
        <x:f>'Данные'!B1343</x:f>
        <x:v>baza/мятапыльная</x:v>
      </x:c>
      <x:c r="C1343" s="8" t="n">
        <x:f>'Данные'!G1343</x:f>
        <x:v>29380</x:v>
      </x:c>
      <x:c r="D1343" s="15" t="n">
        <x:f>C1343/SUM($C$5:$C$2477)</x:f>
        <x:v>0.000034322410219271706</x:v>
      </x:c>
      <x:c r="E1343" s="15" t="n">
        <x:f>SUM($D$5:D1343)</x:f>
        <x:v>0.9966277986632641</x:v>
      </x:c>
      <x:c r="F1343" s="1" t="str">
        <x:f>IF(C1343&lt;=0,"C",IF(E1343-D1343&lt;'Дашборд'!$C$49,"A",IF(E1343-D1343&lt;'Дашборд'!$C$50,"B","C")))</x:f>
        <x:v>C</x:v>
      </x:c>
      <x:c r="G1343" s="8" t="n">
        <x:f>'Данные'!F1343</x:f>
        <x:v>67</x:v>
      </x:c>
      <x:c r="H1343" s="8" t="n">
        <x:f>SUM('Данные'!H1343:I1343)</x:f>
        <x:v>105</x:v>
      </x:c>
      <x:c r="I1343" s="16" t="n">
        <x:f>IF(H1343&gt;0,G1343/H1343,"n.a.")</x:f>
        <x:v>0.638095238095238</x:v>
      </x:c>
      <x:c r="J1343" s="10" t="n">
        <x:f>IF('Данные'!E1343&gt;0,G1343/'Данные'!E1343,"n.a.")</x:f>
        <x:v>0.003576767029681828</x:v>
      </x:c>
      <x:c r="K1343" s="1" t="str">
        <x:f>IF(G1343&gt;='Дашборд'!$C$51,"X","Z")</x:f>
        <x:v>Z</x:v>
      </x:c>
      <x:c r="L1343" s="1" t="str">
        <x:f>IF(H1343=0,IF(G1343&gt;0,"Нет остатка","Нет спроса"),IF(I1343&gt;='Дашборд'!$C$52,"Быстрый","Медленный"))</x:f>
        <x:v>Медленный</x:v>
      </x:c>
      <x:c r="M1343" s="1" t="str">
        <x:f>IF('Данные'!E1343&lt;'Дашборд'!$C$53,"Мало трафика",IF(J1343&lt;'Дашборд'!$C$9*'Дашборд'!$C$54,"Да","Нет"))</x:f>
        <x:v>Да</x:v>
      </x:c>
      <x:c r="N1343" s="1" t="str">
        <x:f>IF(AND('Данные'!D1343&gt;='Дашборд'!$C$55,D1343&lt;'Дашборд'!$C$56,'Данные'!E1343&gt;='Дашборд'!$C$53,'Данные'!L1343&lt;&gt;"Да"),"Да","Нет")</x:f>
        <x:v>Нет</x:v>
      </x:c>
      <x:c r="O1343" s="1" t="str">
        <x:f>'Данные'!L1343</x:f>
        <x:v>Нет</x:v>
      </x:c>
    </x:row>
    <x:row r="1344">
      <x:c r="A1344" s="1" t="str">
        <x:f>'Данные'!A1344</x:f>
        <x:v>226527742</x:v>
      </x:c>
      <x:c r="B1344" s="1" t="str">
        <x:f>'Данные'!B1344</x:f>
        <x:v>futbolkaprint/MovesClub-138/сине-морской</x:v>
      </x:c>
      <x:c r="C1344" s="8" t="n">
        <x:f>'Данные'!G1344</x:f>
        <x:v>29215</x:v>
      </x:c>
      <x:c r="D1344" s="15" t="n">
        <x:f>C1344/SUM($C$5:$C$2477)</x:f>
        <x:v>0.00003412965332049091</x:v>
      </x:c>
      <x:c r="E1344" s="15" t="n">
        <x:f>SUM($D$5:D1344)</x:f>
        <x:v>0.9966619283165846</x:v>
      </x:c>
      <x:c r="F1344" s="1" t="str">
        <x:f>IF(C1344&lt;=0,"C",IF(E1344-D1344&lt;'Дашборд'!$C$49,"A",IF(E1344-D1344&lt;'Дашборд'!$C$50,"B","C")))</x:f>
        <x:v>C</x:v>
      </x:c>
      <x:c r="G1344" s="8" t="n">
        <x:f>'Данные'!F1344</x:f>
        <x:v>58</x:v>
      </x:c>
      <x:c r="H1344" s="8" t="n">
        <x:f>SUM('Данные'!H1344:I1344)</x:f>
        <x:v>0</x:v>
      </x:c>
      <x:c r="I1344" s="16" t="str">
        <x:f>IF(H1344&gt;0,G1344/H1344,"n.a.")</x:f>
        <x:v>n.a.</x:v>
      </x:c>
      <x:c r="J1344" s="10" t="n">
        <x:f>IF('Данные'!E1344&gt;0,G1344/'Данные'!E1344,"n.a.")</x:f>
        <x:v>0.011473788328387734</x:v>
      </x:c>
      <x:c r="K1344" s="1" t="str">
        <x:f>IF(G1344&gt;='Дашборд'!$C$51,"X","Z")</x:f>
        <x:v>Z</x:v>
      </x:c>
      <x:c r="L1344" s="1" t="str">
        <x:f>IF(H1344=0,IF(G1344&gt;0,"Нет остатка","Нет спроса"),IF(I1344&gt;='Дашборд'!$C$52,"Быстрый","Медленный"))</x:f>
        <x:v>Нет остатка</x:v>
      </x:c>
      <x:c r="M1344" s="1" t="str">
        <x:f>IF('Данные'!E1344&lt;'Дашборд'!$C$53,"Мало трафика",IF(J1344&lt;'Дашборд'!$C$9*'Дашборд'!$C$54,"Да","Нет"))</x:f>
        <x:v>Нет</x:v>
      </x:c>
      <x:c r="N1344" s="1" t="str">
        <x:f>IF(AND('Данные'!D1344&gt;='Дашборд'!$C$55,D1344&lt;'Дашборд'!$C$56,'Данные'!E1344&gt;='Дашборд'!$C$53,'Данные'!L1344&lt;&gt;"Да"),"Да","Нет")</x:f>
        <x:v>Да</x:v>
      </x:c>
      <x:c r="O1344" s="1" t="str">
        <x:f>'Данные'!L1344</x:f>
        <x:v>Нет</x:v>
      </x:c>
    </x:row>
    <x:row r="1345">
      <x:c r="A1345" s="1" t="str">
        <x:f>'Данные'!A1345</x:f>
        <x:v>207178445</x:v>
      </x:c>
      <x:c r="B1345" s="1" t="str">
        <x:f>'Данные'!B1345</x:f>
        <x:v>futbolkaprint/Chic-55/молочный</x:v>
      </x:c>
      <x:c r="C1345" s="8" t="n">
        <x:f>'Данные'!G1345</x:f>
        <x:v>28824</x:v>
      </x:c>
      <x:c r="D1345" s="15" t="n">
        <x:f>C1345/SUM($C$5:$C$2477)</x:f>
        <x:v>0.00003367287788156187</x:v>
      </x:c>
      <x:c r="E1345" s="15" t="n">
        <x:f>SUM($D$5:D1345)</x:f>
        <x:v>0.9966956011944662</x:v>
      </x:c>
      <x:c r="F1345" s="1" t="str">
        <x:f>IF(C1345&lt;=0,"C",IF(E1345-D1345&lt;'Дашборд'!$C$49,"A",IF(E1345-D1345&lt;'Дашборд'!$C$50,"B","C")))</x:f>
        <x:v>C</x:v>
      </x:c>
      <x:c r="G1345" s="8" t="n">
        <x:f>'Данные'!F1345</x:f>
        <x:v>46</x:v>
      </x:c>
      <x:c r="H1345" s="8" t="n">
        <x:f>SUM('Данные'!H1345:I1345)</x:f>
        <x:v>0</x:v>
      </x:c>
      <x:c r="I1345" s="16" t="str">
        <x:f>IF(H1345&gt;0,G1345/H1345,"n.a.")</x:f>
        <x:v>n.a.</x:v>
      </x:c>
      <x:c r="J1345" s="10" t="n">
        <x:f>IF('Данные'!E1345&gt;0,G1345/'Данные'!E1345,"n.a.")</x:f>
        <x:v>0.009506096300888613</x:v>
      </x:c>
      <x:c r="K1345" s="1" t="str">
        <x:f>IF(G1345&gt;='Дашборд'!$C$51,"X","Z")</x:f>
        <x:v>Z</x:v>
      </x:c>
      <x:c r="L1345" s="1" t="str">
        <x:f>IF(H1345=0,IF(G1345&gt;0,"Нет остатка","Нет спроса"),IF(I1345&gt;='Дашборд'!$C$52,"Быстрый","Медленный"))</x:f>
        <x:v>Нет остатка</x:v>
      </x:c>
      <x:c r="M1345" s="1" t="str">
        <x:f>IF('Данные'!E1345&lt;'Дашборд'!$C$53,"Мало трафика",IF(J1345&lt;'Дашборд'!$C$9*'Дашборд'!$C$54,"Да","Нет"))</x:f>
        <x:v>Да</x:v>
      </x:c>
      <x:c r="N1345" s="1" t="str">
        <x:f>IF(AND('Данные'!D1345&gt;='Дашборд'!$C$55,D1345&lt;'Дашборд'!$C$56,'Данные'!E1345&gt;='Дашборд'!$C$53,'Данные'!L1345&lt;&gt;"Да"),"Да","Нет")</x:f>
        <x:v>Нет</x:v>
      </x:c>
      <x:c r="O1345" s="1" t="str">
        <x:f>'Данные'!L1345</x:f>
        <x:v>Нет</x:v>
      </x:c>
    </x:row>
    <x:row r="1346">
      <x:c r="A1346" s="1" t="str">
        <x:f>'Данные'!A1346</x:f>
        <x:v>229651357</x:v>
      </x:c>
      <x:c r="B1346" s="1" t="str">
        <x:f>'Данные'!B1346</x:f>
        <x:v>kostumboy/черный</x:v>
      </x:c>
      <x:c r="C1346" s="8" t="n">
        <x:f>'Данные'!G1346</x:f>
        <x:v>28796</x:v>
      </x:c>
      <x:c r="D1346" s="15" t="n">
        <x:f>C1346/SUM($C$5:$C$2477)</x:f>
        <x:v>0.00003364016761995058</x:v>
      </x:c>
      <x:c r="E1346" s="15" t="n">
        <x:f>SUM($D$5:D1346)</x:f>
        <x:v>0.9967292413620862</x:v>
      </x:c>
      <x:c r="F1346" s="1" t="str">
        <x:f>IF(C1346&lt;=0,"C",IF(E1346-D1346&lt;'Дашборд'!$C$49,"A",IF(E1346-D1346&lt;'Дашборд'!$C$50,"B","C")))</x:f>
        <x:v>C</x:v>
      </x:c>
      <x:c r="G1346" s="8" t="n">
        <x:f>'Данные'!F1346</x:f>
        <x:v>19</x:v>
      </x:c>
      <x:c r="H1346" s="8" t="n">
        <x:f>SUM('Данные'!H1346:I1346)</x:f>
        <x:v>94</x:v>
      </x:c>
      <x:c r="I1346" s="16" t="n">
        <x:f>IF(H1346&gt;0,G1346/H1346,"n.a.")</x:f>
        <x:v>0.20212765957446807</x:v>
      </x:c>
      <x:c r="J1346" s="10" t="n">
        <x:f>IF('Данные'!E1346&gt;0,G1346/'Данные'!E1346,"n.a.")</x:f>
        <x:v>0.0031635031635031635</x:v>
      </x:c>
      <x:c r="K1346" s="1" t="str">
        <x:f>IF(G1346&gt;='Дашборд'!$C$51,"X","Z")</x:f>
        <x:v>Z</x:v>
      </x:c>
      <x:c r="L1346" s="1" t="str">
        <x:f>IF(H1346=0,IF(G1346&gt;0,"Нет остатка","Нет спроса"),IF(I1346&gt;='Дашборд'!$C$52,"Быстрый","Медленный"))</x:f>
        <x:v>Медленный</x:v>
      </x:c>
      <x:c r="M1346" s="1" t="str">
        <x:f>IF('Данные'!E1346&lt;'Дашборд'!$C$53,"Мало трафика",IF(J1346&lt;'Дашборд'!$C$9*'Дашборд'!$C$54,"Да","Нет"))</x:f>
        <x:v>Да</x:v>
      </x:c>
      <x:c r="N1346" s="1" t="str">
        <x:f>IF(AND('Данные'!D1346&gt;='Дашборд'!$C$55,D1346&lt;'Дашборд'!$C$56,'Данные'!E1346&gt;='Дашборд'!$C$53,'Данные'!L1346&lt;&gt;"Да"),"Да","Нет")</x:f>
        <x:v>Да</x:v>
      </x:c>
      <x:c r="O1346" s="1" t="str">
        <x:f>'Данные'!L1346</x:f>
        <x:v>Нет</x:v>
      </x:c>
    </x:row>
    <x:row r="1347">
      <x:c r="A1347" s="1" t="str">
        <x:f>'Данные'!A1347</x:f>
        <x:v>240808496</x:v>
      </x:c>
      <x:c r="B1347" s="1" t="str">
        <x:f>'Данные'!B1347</x:f>
        <x:v>brukigirl/молочный</x:v>
      </x:c>
      <x:c r="C1347" s="8" t="n">
        <x:f>'Данные'!G1347</x:f>
        <x:v>28630</x:v>
      </x:c>
      <x:c r="D1347" s="15" t="n">
        <x:f>C1347/SUM($C$5:$C$2477)</x:f>
        <x:v>0.00003344624249754081</x:v>
      </x:c>
      <x:c r="E1347" s="15" t="n">
        <x:f>SUM($D$5:D1347)</x:f>
        <x:v>0.9967626876045838</x:v>
      </x:c>
      <x:c r="F1347" s="1" t="str">
        <x:f>IF(C1347&lt;=0,"C",IF(E1347-D1347&lt;'Дашборд'!$C$49,"A",IF(E1347-D1347&lt;'Дашборд'!$C$50,"B","C")))</x:f>
        <x:v>C</x:v>
      </x:c>
      <x:c r="G1347" s="8" t="n">
        <x:f>'Данные'!F1347</x:f>
        <x:v>71</x:v>
      </x:c>
      <x:c r="H1347" s="8" t="n">
        <x:f>SUM('Данные'!H1347:I1347)</x:f>
        <x:v>491</x:v>
      </x:c>
      <x:c r="I1347" s="16" t="n">
        <x:f>IF(H1347&gt;0,G1347/H1347,"n.a.")</x:f>
        <x:v>0.1446028513238289</x:v>
      </x:c>
      <x:c r="J1347" s="10" t="n">
        <x:f>IF('Данные'!E1347&gt;0,G1347/'Данные'!E1347,"n.a.")</x:f>
        <x:v>0.012241379310344828</x:v>
      </x:c>
      <x:c r="K1347" s="1" t="str">
        <x:f>IF(G1347&gt;='Дашборд'!$C$51,"X","Z")</x:f>
        <x:v>Z</x:v>
      </x:c>
      <x:c r="L1347" s="1" t="str">
        <x:f>IF(H1347=0,IF(G1347&gt;0,"Нет остатка","Нет спроса"),IF(I1347&gt;='Дашборд'!$C$52,"Быстрый","Медленный"))</x:f>
        <x:v>Медленный</x:v>
      </x:c>
      <x:c r="M1347" s="1" t="str">
        <x:f>IF('Данные'!E1347&lt;'Дашборд'!$C$53,"Мало трафика",IF(J1347&lt;'Дашборд'!$C$9*'Дашборд'!$C$54,"Да","Нет"))</x:f>
        <x:v>Нет</x:v>
      </x:c>
      <x:c r="N1347" s="1" t="str">
        <x:f>IF(AND('Данные'!D1347&gt;='Дашборд'!$C$55,D1347&lt;'Дашборд'!$C$56,'Данные'!E1347&gt;='Дашборд'!$C$53,'Данные'!L1347&lt;&gt;"Да"),"Да","Нет")</x:f>
        <x:v>Нет</x:v>
      </x:c>
      <x:c r="O1347" s="1" t="str">
        <x:f>'Данные'!L1347</x:f>
        <x:v>Нет</x:v>
      </x:c>
    </x:row>
    <x:row r="1348">
      <x:c r="A1348" s="1" t="str">
        <x:f>'Данные'!A1348</x:f>
        <x:v>228407601</x:v>
      </x:c>
      <x:c r="B1348" s="1" t="str">
        <x:f>'Данные'!B1348</x:f>
        <x:v>futbolkaprint/Miracles-147/светло-фиолетовый</x:v>
      </x:c>
      <x:c r="C1348" s="8" t="n">
        <x:f>'Данные'!G1348</x:f>
        <x:v>28471</x:v>
      </x:c>
      <x:c r="D1348" s="15" t="n">
        <x:f>C1348/SUM($C$5:$C$2477)</x:f>
        <x:v>0.00003326049494053386</x:v>
      </x:c>
      <x:c r="E1348" s="15" t="n">
        <x:f>SUM($D$5:D1348)</x:f>
        <x:v>0.9967959480995243</x:v>
      </x:c>
      <x:c r="F1348" s="1" t="str">
        <x:f>IF(C1348&lt;=0,"C",IF(E1348-D1348&lt;'Дашборд'!$C$49,"A",IF(E1348-D1348&lt;'Дашборд'!$C$50,"B","C")))</x:f>
        <x:v>C</x:v>
      </x:c>
      <x:c r="G1348" s="8" t="n">
        <x:f>'Данные'!F1348</x:f>
        <x:v>44</x:v>
      </x:c>
      <x:c r="H1348" s="8" t="n">
        <x:f>SUM('Данные'!H1348:I1348)</x:f>
        <x:v>0</x:v>
      </x:c>
      <x:c r="I1348" s="16" t="str">
        <x:f>IF(H1348&gt;0,G1348/H1348,"n.a.")</x:f>
        <x:v>n.a.</x:v>
      </x:c>
      <x:c r="J1348" s="10" t="n">
        <x:f>IF('Данные'!E1348&gt;0,G1348/'Данные'!E1348,"n.a.")</x:f>
        <x:v>0.005595828564161262</x:v>
      </x:c>
      <x:c r="K1348" s="1" t="str">
        <x:f>IF(G1348&gt;='Дашборд'!$C$51,"X","Z")</x:f>
        <x:v>Z</x:v>
      </x:c>
      <x:c r="L1348" s="1" t="str">
        <x:f>IF(H1348=0,IF(G1348&gt;0,"Нет остатка","Нет спроса"),IF(I1348&gt;='Дашборд'!$C$52,"Быстрый","Медленный"))</x:f>
        <x:v>Нет остатка</x:v>
      </x:c>
      <x:c r="M1348" s="1" t="str">
        <x:f>IF('Данные'!E1348&lt;'Дашборд'!$C$53,"Мало трафика",IF(J1348&lt;'Дашборд'!$C$9*'Дашборд'!$C$54,"Да","Нет"))</x:f>
        <x:v>Да</x:v>
      </x:c>
      <x:c r="N1348" s="1" t="str">
        <x:f>IF(AND('Данные'!D1348&gt;='Дашборд'!$C$55,D1348&lt;'Дашборд'!$C$56,'Данные'!E1348&gt;='Дашборд'!$C$53,'Данные'!L1348&lt;&gt;"Да"),"Да","Нет")</x:f>
        <x:v>Нет</x:v>
      </x:c>
      <x:c r="O1348" s="1" t="str">
        <x:f>'Данные'!L1348</x:f>
        <x:v>Нет</x:v>
      </x:c>
    </x:row>
    <x:row r="1349">
      <x:c r="A1349" s="1" t="str">
        <x:f>'Данные'!A1349</x:f>
        <x:v>256332781</x:v>
      </x:c>
      <x:c r="B1349" s="1" t="str">
        <x:f>'Данные'!B1349</x:f>
        <x:v>futhlopman/синий</x:v>
      </x:c>
      <x:c r="C1349" s="8" t="n">
        <x:f>'Данные'!G1349</x:f>
        <x:v>28162</x:v>
      </x:c>
      <x:c r="D1349" s="15" t="n">
        <x:f>C1349/SUM($C$5:$C$2477)</x:f>
        <x:v>0.00003289951383918073</x:v>
      </x:c>
      <x:c r="E1349" s="15" t="n">
        <x:f>SUM($D$5:D1349)</x:f>
        <x:v>0.9968288476133635</x:v>
      </x:c>
      <x:c r="F1349" s="1" t="str">
        <x:f>IF(C1349&lt;=0,"C",IF(E1349-D1349&lt;'Дашборд'!$C$49,"A",IF(E1349-D1349&lt;'Дашборд'!$C$50,"B","C")))</x:f>
        <x:v>C</x:v>
      </x:c>
      <x:c r="G1349" s="8" t="n">
        <x:f>'Данные'!F1349</x:f>
        <x:v>73</x:v>
      </x:c>
      <x:c r="H1349" s="8" t="n">
        <x:f>SUM('Данные'!H1349:I1349)</x:f>
        <x:v>5</x:v>
      </x:c>
      <x:c r="I1349" s="16" t="n">
        <x:f>IF(H1349&gt;0,G1349/H1349,"n.a.")</x:f>
        <x:v>14.6</x:v>
      </x:c>
      <x:c r="J1349" s="10" t="n">
        <x:f>IF('Данные'!E1349&gt;0,G1349/'Данные'!E1349,"n.a.")</x:f>
        <x:v>0.007841873455795467</x:v>
      </x:c>
      <x:c r="K1349" s="1" t="str">
        <x:f>IF(G1349&gt;='Дашборд'!$C$51,"X","Z")</x:f>
        <x:v>Z</x:v>
      </x:c>
      <x:c r="L1349" s="1" t="str">
        <x:f>IF(H1349=0,IF(G1349&gt;0,"Нет остатка","Нет спроса"),IF(I1349&gt;='Дашборд'!$C$52,"Быстрый","Медленный"))</x:f>
        <x:v>Быстрый</x:v>
      </x:c>
      <x:c r="M1349" s="1" t="str">
        <x:f>IF('Данные'!E1349&lt;'Дашборд'!$C$53,"Мало трафика",IF(J1349&lt;'Дашборд'!$C$9*'Дашборд'!$C$54,"Да","Нет"))</x:f>
        <x:v>Да</x:v>
      </x:c>
      <x:c r="N1349" s="1" t="str">
        <x:f>IF(AND('Данные'!D1349&gt;='Дашборд'!$C$55,D1349&lt;'Дашборд'!$C$56,'Данные'!E1349&gt;='Дашборд'!$C$53,'Данные'!L1349&lt;&gt;"Да"),"Да","Нет")</x:f>
        <x:v>Нет</x:v>
      </x:c>
      <x:c r="O1349" s="1" t="str">
        <x:f>'Данные'!L1349</x:f>
        <x:v>Нет</x:v>
      </x:c>
    </x:row>
    <x:row r="1350">
      <x:c r="A1350" s="1" t="str">
        <x:f>'Данные'!A1350</x:f>
        <x:v>116112640</x:v>
      </x:c>
      <x:c r="B1350" s="1" t="str">
        <x:f>'Данные'!B1350</x:f>
        <x:v>hudi/деним</x:v>
      </x:c>
      <x:c r="C1350" s="8" t="n">
        <x:f>'Данные'!G1350</x:f>
        <x:v>27979</x:v>
      </x:c>
      <x:c r="D1350" s="15" t="n">
        <x:f>C1350/SUM($C$5:$C$2477)</x:f>
        <x:v>0.00003268572891507839</x:v>
      </x:c>
      <x:c r="E1350" s="15" t="n">
        <x:f>SUM($D$5:D1350)</x:f>
        <x:v>0.9968615333422787</x:v>
      </x:c>
      <x:c r="F1350" s="1" t="str">
        <x:f>IF(C1350&lt;=0,"C",IF(E1350-D1350&lt;'Дашборд'!$C$49,"A",IF(E1350-D1350&lt;'Дашборд'!$C$50,"B","C")))</x:f>
        <x:v>C</x:v>
      </x:c>
      <x:c r="G1350" s="8" t="n">
        <x:f>'Данные'!F1350</x:f>
        <x:v>34</x:v>
      </x:c>
      <x:c r="H1350" s="8" t="n">
        <x:f>SUM('Данные'!H1350:I1350)</x:f>
        <x:v>2</x:v>
      </x:c>
      <x:c r="I1350" s="16" t="n">
        <x:f>IF(H1350&gt;0,G1350/H1350,"n.a.")</x:f>
        <x:v>17</x:v>
      </x:c>
      <x:c r="J1350" s="10" t="n">
        <x:f>IF('Данные'!E1350&gt;0,G1350/'Данные'!E1350,"n.a.")</x:f>
        <x:v>0.007764329755651975</x:v>
      </x:c>
      <x:c r="K1350" s="1" t="str">
        <x:f>IF(G1350&gt;='Дашборд'!$C$51,"X","Z")</x:f>
        <x:v>Z</x:v>
      </x:c>
      <x:c r="L1350" s="1" t="str">
        <x:f>IF(H1350=0,IF(G1350&gt;0,"Нет остатка","Нет спроса"),IF(I1350&gt;='Дашборд'!$C$52,"Быстрый","Медленный"))</x:f>
        <x:v>Быстрый</x:v>
      </x:c>
      <x:c r="M1350" s="1" t="str">
        <x:f>IF('Данные'!E1350&lt;'Дашборд'!$C$53,"Мало трафика",IF(J1350&lt;'Дашборд'!$C$9*'Дашборд'!$C$54,"Да","Нет"))</x:f>
        <x:v>Да</x:v>
      </x:c>
      <x:c r="N1350" s="1" t="str">
        <x:f>IF(AND('Данные'!D1350&gt;='Дашборд'!$C$55,D1350&lt;'Дашборд'!$C$56,'Данные'!E1350&gt;='Дашборд'!$C$53,'Данные'!L1350&lt;&gt;"Да"),"Да","Нет")</x:f>
        <x:v>Да</x:v>
      </x:c>
      <x:c r="O1350" s="1" t="str">
        <x:f>'Данные'!L1350</x:f>
        <x:v>Нет</x:v>
      </x:c>
    </x:row>
    <x:row r="1351">
      <x:c r="A1351" s="1" t="str">
        <x:f>'Данные'!A1351</x:f>
        <x:v>176976181</x:v>
      </x:c>
      <x:c r="B1351" s="1" t="str">
        <x:f>'Данные'!B1351</x:f>
        <x:v>hudi1size/серый</x:v>
      </x:c>
      <x:c r="C1351" s="8" t="n">
        <x:f>'Данные'!G1351</x:f>
        <x:v>27622</x:v>
      </x:c>
      <x:c r="D1351" s="15" t="n">
        <x:f>C1351/SUM($C$5:$C$2477)</x:f>
        <x:v>0.00003226867307953448</x:v>
      </x:c>
      <x:c r="E1351" s="15" t="n">
        <x:f>SUM($D$5:D1351)</x:f>
        <x:v>0.9968938020153582</x:v>
      </x:c>
      <x:c r="F1351" s="1" t="str">
        <x:f>IF(C1351&lt;=0,"C",IF(E1351-D1351&lt;'Дашборд'!$C$49,"A",IF(E1351-D1351&lt;'Дашборд'!$C$50,"B","C")))</x:f>
        <x:v>C</x:v>
      </x:c>
      <x:c r="G1351" s="8" t="n">
        <x:f>'Данные'!F1351</x:f>
        <x:v>24</x:v>
      </x:c>
      <x:c r="H1351" s="8" t="n">
        <x:f>SUM('Данные'!H1351:I1351)</x:f>
        <x:v>0</x:v>
      </x:c>
      <x:c r="I1351" s="16" t="str">
        <x:f>IF(H1351&gt;0,G1351/H1351,"n.a.")</x:f>
        <x:v>n.a.</x:v>
      </x:c>
      <x:c r="J1351" s="10" t="n">
        <x:f>IF('Данные'!E1351&gt;0,G1351/'Данные'!E1351,"n.a.")</x:f>
        <x:v>0.012725344644750796</x:v>
      </x:c>
      <x:c r="K1351" s="1" t="str">
        <x:f>IF(G1351&gt;='Дашборд'!$C$51,"X","Z")</x:f>
        <x:v>Z</x:v>
      </x:c>
      <x:c r="L1351" s="1" t="str">
        <x:f>IF(H1351=0,IF(G1351&gt;0,"Нет остатка","Нет спроса"),IF(I1351&gt;='Дашборд'!$C$52,"Быстрый","Медленный"))</x:f>
        <x:v>Нет остатка</x:v>
      </x:c>
      <x:c r="M1351" s="1" t="str">
        <x:f>IF('Данные'!E1351&lt;'Дашборд'!$C$53,"Мало трафика",IF(J1351&lt;'Дашборд'!$C$9*'Дашборд'!$C$54,"Да","Нет"))</x:f>
        <x:v>Нет</x:v>
      </x:c>
      <x:c r="N1351" s="1" t="str">
        <x:f>IF(AND('Данные'!D1351&gt;='Дашборд'!$C$55,D1351&lt;'Дашборд'!$C$56,'Данные'!E1351&gt;='Дашборд'!$C$53,'Данные'!L1351&lt;&gt;"Да"),"Да","Нет")</x:f>
        <x:v>Да</x:v>
      </x:c>
      <x:c r="O1351" s="1" t="str">
        <x:f>'Данные'!L1351</x:f>
        <x:v>Нет</x:v>
      </x:c>
    </x:row>
    <x:row r="1352">
      <x:c r="A1352" s="1" t="str">
        <x:f>'Данные'!A1352</x:f>
        <x:v>216665879</x:v>
      </x:c>
      <x:c r="B1352" s="1" t="str">
        <x:f>'Данные'!B1352</x:f>
        <x:v>2Nfutbolkaman/темно-серый</x:v>
      </x:c>
      <x:c r="C1352" s="8" t="n">
        <x:f>'Данные'!G1352</x:f>
        <x:v>27503</x:v>
      </x:c>
      <x:c r="D1352" s="15" t="n">
        <x:f>C1352/SUM($C$5:$C$2477)</x:f>
        <x:v>0.00003212965446768652</x:v>
      </x:c>
      <x:c r="E1352" s="15" t="n">
        <x:f>SUM($D$5:D1352)</x:f>
        <x:v>0.9969259316698258</x:v>
      </x:c>
      <x:c r="F1352" s="1" t="str">
        <x:f>IF(C1352&lt;=0,"C",IF(E1352-D1352&lt;'Дашборд'!$C$49,"A",IF(E1352-D1352&lt;'Дашборд'!$C$50,"B","C")))</x:f>
        <x:v>C</x:v>
      </x:c>
      <x:c r="G1352" s="8" t="n">
        <x:f>'Данные'!F1352</x:f>
        <x:v>54</x:v>
      </x:c>
      <x:c r="H1352" s="8" t="n">
        <x:f>SUM('Данные'!H1352:I1352)</x:f>
        <x:v>2</x:v>
      </x:c>
      <x:c r="I1352" s="16" t="n">
        <x:f>IF(H1352&gt;0,G1352/H1352,"n.a.")</x:f>
        <x:v>27</x:v>
      </x:c>
      <x:c r="J1352" s="10" t="n">
        <x:f>IF('Данные'!E1352&gt;0,G1352/'Данные'!E1352,"n.a.")</x:f>
        <x:v>0.004457652303120356</x:v>
      </x:c>
      <x:c r="K1352" s="1" t="str">
        <x:f>IF(G1352&gt;='Дашборд'!$C$51,"X","Z")</x:f>
        <x:v>Z</x:v>
      </x:c>
      <x:c r="L1352" s="1" t="str">
        <x:f>IF(H1352=0,IF(G1352&gt;0,"Нет остатка","Нет спроса"),IF(I1352&gt;='Дашборд'!$C$52,"Быстрый","Медленный"))</x:f>
        <x:v>Быстрый</x:v>
      </x:c>
      <x:c r="M1352" s="1" t="str">
        <x:f>IF('Данные'!E1352&lt;'Дашборд'!$C$53,"Мало трафика",IF(J1352&lt;'Дашборд'!$C$9*'Дашборд'!$C$54,"Да","Нет"))</x:f>
        <x:v>Да</x:v>
      </x:c>
      <x:c r="N1352" s="1" t="str">
        <x:f>IF(AND('Данные'!D1352&gt;='Дашборд'!$C$55,D1352&lt;'Дашборд'!$C$56,'Данные'!E1352&gt;='Дашборд'!$C$53,'Данные'!L1352&lt;&gt;"Да"),"Да","Нет")</x:f>
        <x:v>Нет</x:v>
      </x:c>
      <x:c r="O1352" s="1" t="str">
        <x:f>'Данные'!L1352</x:f>
        <x:v>Нет</x:v>
      </x:c>
    </x:row>
    <x:row r="1353">
      <x:c r="A1353" s="1" t="str">
        <x:f>'Данные'!A1353</x:f>
        <x:v>240808475</x:v>
      </x:c>
      <x:c r="B1353" s="1" t="str">
        <x:f>'Данные'!B1353</x:f>
        <x:v>brukigirl/черный</x:v>
      </x:c>
      <x:c r="C1353" s="8" t="n">
        <x:f>'Данные'!G1353</x:f>
        <x:v>27447</x:v>
      </x:c>
      <x:c r="D1353" s="15" t="n">
        <x:f>C1353/SUM($C$5:$C$2477)</x:f>
        <x:v>0.00003206423394446394</x:v>
      </x:c>
      <x:c r="E1353" s="15" t="n">
        <x:f>SUM($D$5:D1353)</x:f>
        <x:v>0.9969579959037702</x:v>
      </x:c>
      <x:c r="F1353" s="1" t="str">
        <x:f>IF(C1353&lt;=0,"C",IF(E1353-D1353&lt;'Дашборд'!$C$49,"A",IF(E1353-D1353&lt;'Дашборд'!$C$50,"B","C")))</x:f>
        <x:v>C</x:v>
      </x:c>
      <x:c r="G1353" s="8" t="n">
        <x:f>'Данные'!F1353</x:f>
        <x:v>38</x:v>
      </x:c>
      <x:c r="H1353" s="8" t="n">
        <x:f>SUM('Данные'!H1353:I1353)</x:f>
        <x:v>142</x:v>
      </x:c>
      <x:c r="I1353" s="16" t="n">
        <x:f>IF(H1353&gt;0,G1353/H1353,"n.a.")</x:f>
        <x:v>0.2676056338028169</x:v>
      </x:c>
      <x:c r="J1353" s="10" t="n">
        <x:f>IF('Данные'!E1353&gt;0,G1353/'Данные'!E1353,"n.a.")</x:f>
        <x:v>0.007202426080363912</x:v>
      </x:c>
      <x:c r="K1353" s="1" t="str">
        <x:f>IF(G1353&gt;='Дашборд'!$C$51,"X","Z")</x:f>
        <x:v>Z</x:v>
      </x:c>
      <x:c r="L1353" s="1" t="str">
        <x:f>IF(H1353=0,IF(G1353&gt;0,"Нет остатка","Нет спроса"),IF(I1353&gt;='Дашборд'!$C$52,"Быстрый","Медленный"))</x:f>
        <x:v>Медленный</x:v>
      </x:c>
      <x:c r="M1353" s="1" t="str">
        <x:f>IF('Данные'!E1353&lt;'Дашборд'!$C$53,"Мало трафика",IF(J1353&lt;'Дашборд'!$C$9*'Дашборд'!$C$54,"Да","Нет"))</x:f>
        <x:v>Да</x:v>
      </x:c>
      <x:c r="N1353" s="1" t="str">
        <x:f>IF(AND('Данные'!D1353&gt;='Дашборд'!$C$55,D1353&lt;'Дашборд'!$C$56,'Данные'!E1353&gt;='Дашборд'!$C$53,'Данные'!L1353&lt;&gt;"Да"),"Да","Нет")</x:f>
        <x:v>Нет</x:v>
      </x:c>
      <x:c r="O1353" s="1" t="str">
        <x:f>'Данные'!L1353</x:f>
        <x:v>Нет</x:v>
      </x:c>
    </x:row>
    <x:row r="1354">
      <x:c r="A1354" s="1" t="str">
        <x:f>'Данные'!A1354</x:f>
        <x:v>182968334</x:v>
      </x:c>
      <x:c r="B1354" s="1" t="str">
        <x:f>'Данные'!B1354</x:f>
        <x:v>sweater/фуксия</x:v>
      </x:c>
      <x:c r="C1354" s="8" t="n">
        <x:f>'Данные'!G1354</x:f>
        <x:v>27046</x:v>
      </x:c>
      <x:c r="D1354" s="15" t="n">
        <x:f>C1354/SUM($C$5:$C$2477)</x:f>
        <x:v>0.00003159577626924515</x:v>
      </x:c>
      <x:c r="E1354" s="15" t="n">
        <x:f>SUM($D$5:D1354)</x:f>
        <x:v>0.9969895916800394</x:v>
      </x:c>
      <x:c r="F1354" s="1" t="str">
        <x:f>IF(C1354&lt;=0,"C",IF(E1354-D1354&lt;'Дашборд'!$C$49,"A",IF(E1354-D1354&lt;'Дашборд'!$C$50,"B","C")))</x:f>
        <x:v>C</x:v>
      </x:c>
      <x:c r="G1354" s="8" t="n">
        <x:f>'Данные'!F1354</x:f>
        <x:v>34</x:v>
      </x:c>
      <x:c r="H1354" s="8" t="n">
        <x:f>SUM('Данные'!H1354:I1354)</x:f>
        <x:v>258</x:v>
      </x:c>
      <x:c r="I1354" s="16" t="n">
        <x:f>IF(H1354&gt;0,G1354/H1354,"n.a.")</x:f>
        <x:v>0.13178294573643412</x:v>
      </x:c>
      <x:c r="J1354" s="10" t="n">
        <x:f>IF('Данные'!E1354&gt;0,G1354/'Данные'!E1354,"n.a.")</x:f>
        <x:v>0.00861850443599493</x:v>
      </x:c>
      <x:c r="K1354" s="1" t="str">
        <x:f>IF(G1354&gt;='Дашборд'!$C$51,"X","Z")</x:f>
        <x:v>Z</x:v>
      </x:c>
      <x:c r="L1354" s="1" t="str">
        <x:f>IF(H1354=0,IF(G1354&gt;0,"Нет остатка","Нет спроса"),IF(I1354&gt;='Дашборд'!$C$52,"Быстрый","Медленный"))</x:f>
        <x:v>Медленный</x:v>
      </x:c>
      <x:c r="M1354" s="1" t="str">
        <x:f>IF('Данные'!E1354&lt;'Дашборд'!$C$53,"Мало трафика",IF(J1354&lt;'Дашборд'!$C$9*'Дашборд'!$C$54,"Да","Нет"))</x:f>
        <x:v>Да</x:v>
      </x:c>
      <x:c r="N1354" s="1" t="str">
        <x:f>IF(AND('Данные'!D1354&gt;='Дашборд'!$C$55,D1354&lt;'Дашборд'!$C$56,'Данные'!E1354&gt;='Дашборд'!$C$53,'Данные'!L1354&lt;&gt;"Да"),"Да","Нет")</x:f>
        <x:v>Да</x:v>
      </x:c>
      <x:c r="O1354" s="1" t="str">
        <x:f>'Данные'!L1354</x:f>
        <x:v>Нет</x:v>
      </x:c>
    </x:row>
    <x:row r="1355">
      <x:c r="A1355" s="1" t="str">
        <x:f>'Данные'!A1355</x:f>
        <x:v>365942948</x:v>
      </x:c>
      <x:c r="B1355" s="1" t="str">
        <x:f>'Данные'!B1355</x:f>
        <x:v>bazaboy/молочный</x:v>
      </x:c>
      <x:c r="C1355" s="8" t="n">
        <x:f>'Данные'!G1355</x:f>
        <x:v>26862</x:v>
      </x:c>
      <x:c r="D1355" s="15" t="n">
        <x:f>C1355/SUM($C$5:$C$2477)</x:f>
        <x:v>0.00003138082312151384</x:v>
      </x:c>
      <x:c r="E1355" s="15" t="n">
        <x:f>SUM($D$5:D1355)</x:f>
        <x:v>0.9970209725031609</x:v>
      </x:c>
      <x:c r="F1355" s="1" t="str">
        <x:f>IF(C1355&lt;=0,"C",IF(E1355-D1355&lt;'Дашборд'!$C$49,"A",IF(E1355-D1355&lt;'Дашборд'!$C$50,"B","C")))</x:f>
        <x:v>C</x:v>
      </x:c>
      <x:c r="G1355" s="8" t="n">
        <x:f>'Данные'!F1355</x:f>
        <x:v>86</x:v>
      </x:c>
      <x:c r="H1355" s="8" t="n">
        <x:f>SUM('Данные'!H1355:I1355)</x:f>
        <x:v>166</x:v>
      </x:c>
      <x:c r="I1355" s="16" t="n">
        <x:f>IF(H1355&gt;0,G1355/H1355,"n.a.")</x:f>
        <x:v>0.5180722891566265</x:v>
      </x:c>
      <x:c r="J1355" s="10" t="n">
        <x:f>IF('Данные'!E1355&gt;0,G1355/'Данные'!E1355,"n.a.")</x:f>
        <x:v>0.01936064835659613</x:v>
      </x:c>
      <x:c r="K1355" s="1" t="str">
        <x:f>IF(G1355&gt;='Дашборд'!$C$51,"X","Z")</x:f>
        <x:v>Z</x:v>
      </x:c>
      <x:c r="L1355" s="1" t="str">
        <x:f>IF(H1355=0,IF(G1355&gt;0,"Нет остатка","Нет спроса"),IF(I1355&gt;='Дашборд'!$C$52,"Быстрый","Медленный"))</x:f>
        <x:v>Медленный</x:v>
      </x:c>
      <x:c r="M1355" s="1" t="str">
        <x:f>IF('Данные'!E1355&lt;'Дашборд'!$C$53,"Мало трафика",IF(J1355&lt;'Дашборд'!$C$9*'Дашборд'!$C$54,"Да","Нет"))</x:f>
        <x:v>Нет</x:v>
      </x:c>
      <x:c r="N1355" s="1" t="str">
        <x:f>IF(AND('Данные'!D1355&gt;='Дашборд'!$C$55,D1355&lt;'Дашборд'!$C$56,'Данные'!E1355&gt;='Дашборд'!$C$53,'Данные'!L1355&lt;&gt;"Да"),"Да","Нет")</x:f>
        <x:v>Да</x:v>
      </x:c>
      <x:c r="O1355" s="1" t="str">
        <x:f>'Данные'!L1355</x:f>
        <x:v>Нет</x:v>
      </x:c>
    </x:row>
    <x:row r="1356">
      <x:c r="A1356" s="1" t="str">
        <x:f>'Данные'!A1356</x:f>
        <x:v>216158871</x:v>
      </x:c>
      <x:c r="B1356" s="1" t="str">
        <x:f>'Данные'!B1356</x:f>
        <x:v>futbolkaboy/белый</x:v>
      </x:c>
      <x:c r="C1356" s="8" t="n">
        <x:f>'Данные'!G1356</x:f>
        <x:v>26808</x:v>
      </x:c>
      <x:c r="D1356" s="15" t="n">
        <x:f>C1356/SUM($C$5:$C$2477)</x:f>
        <x:v>0.00003131773904554922</x:v>
      </x:c>
      <x:c r="E1356" s="15" t="n">
        <x:f>SUM($D$5:D1356)</x:f>
        <x:v>0.9970522902422064</x:v>
      </x:c>
      <x:c r="F1356" s="1" t="str">
        <x:f>IF(C1356&lt;=0,"C",IF(E1356-D1356&lt;'Дашборд'!$C$49,"A",IF(E1356-D1356&lt;'Дашборд'!$C$50,"B","C")))</x:f>
        <x:v>C</x:v>
      </x:c>
      <x:c r="G1356" s="8" t="n">
        <x:f>'Данные'!F1356</x:f>
        <x:v>79</x:v>
      </x:c>
      <x:c r="H1356" s="8" t="n">
        <x:f>SUM('Данные'!H1356:I1356)</x:f>
        <x:v>445</x:v>
      </x:c>
      <x:c r="I1356" s="16" t="n">
        <x:f>IF(H1356&gt;0,G1356/H1356,"n.a.")</x:f>
        <x:v>0.17752808988764046</x:v>
      </x:c>
      <x:c r="J1356" s="10" t="n">
        <x:f>IF('Данные'!E1356&gt;0,G1356/'Данные'!E1356,"n.a.")</x:f>
        <x:v>0.013906002464354868</x:v>
      </x:c>
      <x:c r="K1356" s="1" t="str">
        <x:f>IF(G1356&gt;='Дашборд'!$C$51,"X","Z")</x:f>
        <x:v>Z</x:v>
      </x:c>
      <x:c r="L1356" s="1" t="str">
        <x:f>IF(H1356=0,IF(G1356&gt;0,"Нет остатка","Нет спроса"),IF(I1356&gt;='Дашборд'!$C$52,"Быстрый","Медленный"))</x:f>
        <x:v>Медленный</x:v>
      </x:c>
      <x:c r="M1356" s="1" t="str">
        <x:f>IF('Данные'!E1356&lt;'Дашборд'!$C$53,"Мало трафика",IF(J1356&lt;'Дашборд'!$C$9*'Дашборд'!$C$54,"Да","Нет"))</x:f>
        <x:v>Нет</x:v>
      </x:c>
      <x:c r="N1356" s="1" t="str">
        <x:f>IF(AND('Данные'!D1356&gt;='Дашборд'!$C$55,D1356&lt;'Дашборд'!$C$56,'Данные'!E1356&gt;='Дашборд'!$C$53,'Данные'!L1356&lt;&gt;"Да"),"Да","Нет")</x:f>
        <x:v>Да</x:v>
      </x:c>
      <x:c r="O1356" s="1" t="str">
        <x:f>'Данные'!L1356</x:f>
        <x:v>Нет</x:v>
      </x:c>
    </x:row>
    <x:row r="1357">
      <x:c r="A1357" s="1" t="str">
        <x:f>'Данные'!A1357</x:f>
        <x:v>256332774</x:v>
      </x:c>
      <x:c r="B1357" s="1" t="str">
        <x:f>'Данные'!B1357</x:f>
        <x:v>futhlopman/серый</x:v>
      </x:c>
      <x:c r="C1357" s="8" t="n">
        <x:f>'Данные'!G1357</x:f>
        <x:v>26798</x:v>
      </x:c>
      <x:c r="D1357" s="15" t="n">
        <x:f>C1357/SUM($C$5:$C$2477)</x:f>
        <x:v>0.000031306056809259474</x:v>
      </x:c>
      <x:c r="E1357" s="15" t="n">
        <x:f>SUM($D$5:D1357)</x:f>
        <x:v>0.9970835962990157</x:v>
      </x:c>
      <x:c r="F1357" s="1" t="str">
        <x:f>IF(C1357&lt;=0,"C",IF(E1357-D1357&lt;'Дашборд'!$C$49,"A",IF(E1357-D1357&lt;'Дашборд'!$C$50,"B","C")))</x:f>
        <x:v>C</x:v>
      </x:c>
      <x:c r="G1357" s="8" t="n">
        <x:f>'Данные'!F1357</x:f>
        <x:v>69</x:v>
      </x:c>
      <x:c r="H1357" s="8" t="n">
        <x:f>SUM('Данные'!H1357:I1357)</x:f>
        <x:v>119</x:v>
      </x:c>
      <x:c r="I1357" s="16" t="n">
        <x:f>IF(H1357&gt;0,G1357/H1357,"n.a.")</x:f>
        <x:v>0.5798319327731093</x:v>
      </x:c>
      <x:c r="J1357" s="10" t="n">
        <x:f>IF('Данные'!E1357&gt;0,G1357/'Данные'!E1357,"n.a.")</x:f>
        <x:v>0.0038564721663313212</x:v>
      </x:c>
      <x:c r="K1357" s="1" t="str">
        <x:f>IF(G1357&gt;='Дашборд'!$C$51,"X","Z")</x:f>
        <x:v>Z</x:v>
      </x:c>
      <x:c r="L1357" s="1" t="str">
        <x:f>IF(H1357=0,IF(G1357&gt;0,"Нет остатка","Нет спроса"),IF(I1357&gt;='Дашборд'!$C$52,"Быстрый","Медленный"))</x:f>
        <x:v>Медленный</x:v>
      </x:c>
      <x:c r="M1357" s="1" t="str">
        <x:f>IF('Данные'!E1357&lt;'Дашборд'!$C$53,"Мало трафика",IF(J1357&lt;'Дашборд'!$C$9*'Дашборд'!$C$54,"Да","Нет"))</x:f>
        <x:v>Да</x:v>
      </x:c>
      <x:c r="N1357" s="1" t="str">
        <x:f>IF(AND('Данные'!D1357&gt;='Дашборд'!$C$55,D1357&lt;'Дашборд'!$C$56,'Данные'!E1357&gt;='Дашборд'!$C$53,'Данные'!L1357&lt;&gt;"Да"),"Да","Нет")</x:f>
        <x:v>Нет</x:v>
      </x:c>
      <x:c r="O1357" s="1" t="str">
        <x:f>'Данные'!L1357</x:f>
        <x:v>Нет</x:v>
      </x:c>
    </x:row>
    <x:row r="1358">
      <x:c r="A1358" s="1" t="str">
        <x:f>'Данные'!A1358</x:f>
        <x:v>344311899</x:v>
      </x:c>
      <x:c r="B1358" s="1" t="str">
        <x:f>'Данные'!B1358</x:f>
        <x:v>toprib3R-82/светло-розовый</x:v>
      </x:c>
      <x:c r="C1358" s="8" t="n">
        <x:f>'Данные'!G1358</x:f>
        <x:v>26763</x:v>
      </x:c>
      <x:c r="D1358" s="15" t="n">
        <x:f>C1358/SUM($C$5:$C$2477)</x:f>
        <x:v>0.000031265168982245365</x:v>
      </x:c>
      <x:c r="E1358" s="15" t="n">
        <x:f>SUM($D$5:D1358)</x:f>
        <x:v>0.9971148614679979</x:v>
      </x:c>
      <x:c r="F1358" s="1" t="str">
        <x:f>IF(C1358&lt;=0,"C",IF(E1358-D1358&lt;'Дашборд'!$C$49,"A",IF(E1358-D1358&lt;'Дашборд'!$C$50,"B","C")))</x:f>
        <x:v>C</x:v>
      </x:c>
      <x:c r="G1358" s="8" t="n">
        <x:f>'Данные'!F1358</x:f>
        <x:v>123</x:v>
      </x:c>
      <x:c r="H1358" s="8" t="n">
        <x:f>SUM('Данные'!H1358:I1358)</x:f>
        <x:v>409</x:v>
      </x:c>
      <x:c r="I1358" s="16" t="n">
        <x:f>IF(H1358&gt;0,G1358/H1358,"n.a.")</x:f>
        <x:v>0.30073349633251834</x:v>
      </x:c>
      <x:c r="J1358" s="10" t="n">
        <x:f>IF('Данные'!E1358&gt;0,G1358/'Данные'!E1358,"n.a.")</x:f>
        <x:v>0.008771929824561403</x:v>
      </x:c>
      <x:c r="K1358" s="1" t="str">
        <x:f>IF(G1358&gt;='Дашборд'!$C$51,"X","Z")</x:f>
        <x:v>Z</x:v>
      </x:c>
      <x:c r="L1358" s="1" t="str">
        <x:f>IF(H1358=0,IF(G1358&gt;0,"Нет остатка","Нет спроса"),IF(I1358&gt;='Дашборд'!$C$52,"Быстрый","Медленный"))</x:f>
        <x:v>Медленный</x:v>
      </x:c>
      <x:c r="M1358" s="1" t="str">
        <x:f>IF('Данные'!E1358&lt;'Дашборд'!$C$53,"Мало трафика",IF(J1358&lt;'Дашборд'!$C$9*'Дашборд'!$C$54,"Да","Нет"))</x:f>
        <x:v>Да</x:v>
      </x:c>
      <x:c r="N1358" s="1" t="str">
        <x:f>IF(AND('Данные'!D1358&gt;='Дашборд'!$C$55,D1358&lt;'Дашборд'!$C$56,'Данные'!E1358&gt;='Дашборд'!$C$53,'Данные'!L1358&lt;&gt;"Да"),"Да","Нет")</x:f>
        <x:v>Нет</x:v>
      </x:c>
      <x:c r="O1358" s="1" t="str">
        <x:f>'Данные'!L1358</x:f>
        <x:v>Нет</x:v>
      </x:c>
    </x:row>
    <x:row r="1359">
      <x:c r="A1359" s="1" t="str">
        <x:f>'Данные'!A1359</x:f>
        <x:v>210618405</x:v>
      </x:c>
      <x:c r="B1359" s="1" t="str">
        <x:f>'Данные'!B1359</x:f>
        <x:v>kostkulirkaover/молочный</x:v>
      </x:c>
      <x:c r="C1359" s="8" t="n">
        <x:f>'Данные'!G1359</x:f>
        <x:v>26750</x:v>
      </x:c>
      <x:c r="D1359" s="15" t="n">
        <x:f>C1359/SUM($C$5:$C$2477)</x:f>
        <x:v>0.00003124998207506869</x:v>
      </x:c>
      <x:c r="E1359" s="15" t="n">
        <x:f>SUM($D$5:D1359)</x:f>
        <x:v>0.9971461114500729</x:v>
      </x:c>
      <x:c r="F1359" s="1" t="str">
        <x:f>IF(C1359&lt;=0,"C",IF(E1359-D1359&lt;'Дашборд'!$C$49,"A",IF(E1359-D1359&lt;'Дашборд'!$C$50,"B","C")))</x:f>
        <x:v>C</x:v>
      </x:c>
      <x:c r="G1359" s="8" t="n">
        <x:f>'Данные'!F1359</x:f>
        <x:v>54</x:v>
      </x:c>
      <x:c r="H1359" s="8" t="n">
        <x:f>SUM('Данные'!H1359:I1359)</x:f>
        <x:v>729</x:v>
      </x:c>
      <x:c r="I1359" s="16" t="n">
        <x:f>IF(H1359&gt;0,G1359/H1359,"n.a.")</x:f>
        <x:v>0.07407407407407407</x:v>
      </x:c>
      <x:c r="J1359" s="10" t="n">
        <x:f>IF('Данные'!E1359&gt;0,G1359/'Данные'!E1359,"n.a.")</x:f>
        <x:v>0.004199066874027994</x:v>
      </x:c>
      <x:c r="K1359" s="1" t="str">
        <x:f>IF(G1359&gt;='Дашборд'!$C$51,"X","Z")</x:f>
        <x:v>Z</x:v>
      </x:c>
      <x:c r="L1359" s="1" t="str">
        <x:f>IF(H1359=0,IF(G1359&gt;0,"Нет остатка","Нет спроса"),IF(I1359&gt;='Дашборд'!$C$52,"Быстрый","Медленный"))</x:f>
        <x:v>Медленный</x:v>
      </x:c>
      <x:c r="M1359" s="1" t="str">
        <x:f>IF('Данные'!E1359&lt;'Дашборд'!$C$53,"Мало трафика",IF(J1359&lt;'Дашборд'!$C$9*'Дашборд'!$C$54,"Да","Нет"))</x:f>
        <x:v>Да</x:v>
      </x:c>
      <x:c r="N1359" s="1" t="str">
        <x:f>IF(AND('Данные'!D1359&gt;='Дашборд'!$C$55,D1359&lt;'Дашборд'!$C$56,'Данные'!E1359&gt;='Дашборд'!$C$53,'Данные'!L1359&lt;&gt;"Да"),"Да","Нет")</x:f>
        <x:v>Нет</x:v>
      </x:c>
      <x:c r="O1359" s="1" t="str">
        <x:f>'Данные'!L1359</x:f>
        <x:v>Нет</x:v>
      </x:c>
    </x:row>
    <x:row r="1360">
      <x:c r="A1360" s="1" t="str">
        <x:f>'Данные'!A1360</x:f>
        <x:v>229653006</x:v>
      </x:c>
      <x:c r="B1360" s="1" t="str">
        <x:f>'Данные'!B1360</x:f>
        <x:v>kostumgirl/молочный</x:v>
      </x:c>
      <x:c r="C1360" s="8" t="n">
        <x:f>'Данные'!G1360</x:f>
        <x:v>26429</x:v>
      </x:c>
      <x:c r="D1360" s="15" t="n">
        <x:f>C1360/SUM($C$5:$C$2477)</x:f>
        <x:v>0.00003087498229016787</x:v>
      </x:c>
      <x:c r="E1360" s="15" t="n">
        <x:f>SUM($D$5:D1360)</x:f>
        <x:v>0.9971769864323631</x:v>
      </x:c>
      <x:c r="F1360" s="1" t="str">
        <x:f>IF(C1360&lt;=0,"C",IF(E1360-D1360&lt;'Дашборд'!$C$49,"A",IF(E1360-D1360&lt;'Дашборд'!$C$50,"B","C")))</x:f>
        <x:v>C</x:v>
      </x:c>
      <x:c r="G1360" s="8" t="n">
        <x:f>'Данные'!F1360</x:f>
        <x:v>23</x:v>
      </x:c>
      <x:c r="H1360" s="8" t="n">
        <x:f>SUM('Данные'!H1360:I1360)</x:f>
        <x:v>127</x:v>
      </x:c>
      <x:c r="I1360" s="16" t="n">
        <x:f>IF(H1360&gt;0,G1360/H1360,"n.a.")</x:f>
        <x:v>0.18110236220472442</x:v>
      </x:c>
      <x:c r="J1360" s="10" t="n">
        <x:f>IF('Данные'!E1360&gt;0,G1360/'Данные'!E1360,"n.a.")</x:f>
        <x:v>0.0032721582017356666</x:v>
      </x:c>
      <x:c r="K1360" s="1" t="str">
        <x:f>IF(G1360&gt;='Дашборд'!$C$51,"X","Z")</x:f>
        <x:v>Z</x:v>
      </x:c>
      <x:c r="L1360" s="1" t="str">
        <x:f>IF(H1360=0,IF(G1360&gt;0,"Нет остатка","Нет спроса"),IF(I1360&gt;='Дашборд'!$C$52,"Быстрый","Медленный"))</x:f>
        <x:v>Медленный</x:v>
      </x:c>
      <x:c r="M1360" s="1" t="str">
        <x:f>IF('Данные'!E1360&lt;'Дашборд'!$C$53,"Мало трафика",IF(J1360&lt;'Дашборд'!$C$9*'Дашборд'!$C$54,"Да","Нет"))</x:f>
        <x:v>Да</x:v>
      </x:c>
      <x:c r="N1360" s="1" t="str">
        <x:f>IF(AND('Данные'!D1360&gt;='Дашборд'!$C$55,D1360&lt;'Дашборд'!$C$56,'Данные'!E1360&gt;='Дашборд'!$C$53,'Данные'!L1360&lt;&gt;"Да"),"Да","Нет")</x:f>
        <x:v>Да</x:v>
      </x:c>
      <x:c r="O1360" s="1" t="str">
        <x:f>'Данные'!L1360</x:f>
        <x:v>Нет</x:v>
      </x:c>
    </x:row>
    <x:row r="1361">
      <x:c r="A1361" s="1" t="str">
        <x:f>'Данные'!A1361</x:f>
        <x:v>211404515</x:v>
      </x:c>
      <x:c r="B1361" s="1" t="str">
        <x:f>'Данные'!B1361</x:f>
        <x:v>futbolkagirl/светло-фиолетовый</x:v>
      </x:c>
      <x:c r="C1361" s="8" t="n">
        <x:f>'Данные'!G1361</x:f>
        <x:v>26324</x:v>
      </x:c>
      <x:c r="D1361" s="15" t="n">
        <x:f>C1361/SUM($C$5:$C$2477)</x:f>
        <x:v>0.00003075231880912554</x:v>
      </x:c>
      <x:c r="E1361" s="15" t="n">
        <x:f>SUM($D$5:D1361)</x:f>
        <x:v>0.9972077387511722</x:v>
      </x:c>
      <x:c r="F1361" s="1" t="str">
        <x:f>IF(C1361&lt;=0,"C",IF(E1361-D1361&lt;'Дашборд'!$C$49,"A",IF(E1361-D1361&lt;'Дашборд'!$C$50,"B","C")))</x:f>
        <x:v>C</x:v>
      </x:c>
      <x:c r="G1361" s="8" t="n">
        <x:f>'Данные'!F1361</x:f>
        <x:v>73</x:v>
      </x:c>
      <x:c r="H1361" s="8" t="n">
        <x:f>SUM('Данные'!H1361:I1361)</x:f>
        <x:v>0</x:v>
      </x:c>
      <x:c r="I1361" s="16" t="str">
        <x:f>IF(H1361&gt;0,G1361/H1361,"n.a.")</x:f>
        <x:v>n.a.</x:v>
      </x:c>
      <x:c r="J1361" s="10" t="n">
        <x:f>IF('Данные'!E1361&gt;0,G1361/'Данные'!E1361,"n.a.")</x:f>
        <x:v>0.0048424543946932</x:v>
      </x:c>
      <x:c r="K1361" s="1" t="str">
        <x:f>IF(G1361&gt;='Дашборд'!$C$51,"X","Z")</x:f>
        <x:v>Z</x:v>
      </x:c>
      <x:c r="L1361" s="1" t="str">
        <x:f>IF(H1361=0,IF(G1361&gt;0,"Нет остатка","Нет спроса"),IF(I1361&gt;='Дашборд'!$C$52,"Быстрый","Медленный"))</x:f>
        <x:v>Нет остатка</x:v>
      </x:c>
      <x:c r="M1361" s="1" t="str">
        <x:f>IF('Данные'!E1361&lt;'Дашборд'!$C$53,"Мало трафика",IF(J1361&lt;'Дашборд'!$C$9*'Дашборд'!$C$54,"Да","Нет"))</x:f>
        <x:v>Да</x:v>
      </x:c>
      <x:c r="N1361" s="1" t="str">
        <x:f>IF(AND('Данные'!D1361&gt;='Дашборд'!$C$55,D1361&lt;'Дашборд'!$C$56,'Данные'!E1361&gt;='Дашборд'!$C$53,'Данные'!L1361&lt;&gt;"Да"),"Да","Нет")</x:f>
        <x:v>Да</x:v>
      </x:c>
      <x:c r="O1361" s="1" t="str">
        <x:f>'Данные'!L1361</x:f>
        <x:v>Нет</x:v>
      </x:c>
    </x:row>
    <x:row r="1362">
      <x:c r="A1362" s="1" t="str">
        <x:f>'Данные'!A1362</x:f>
        <x:v>203134399</x:v>
      </x:c>
      <x:c r="B1362" s="1" t="str">
        <x:f>'Данные'!B1362</x:f>
        <x:v>svitshotprint/KRASLoveNever-64/молочный</x:v>
      </x:c>
      <x:c r="C1362" s="8" t="n">
        <x:f>'Данные'!G1362</x:f>
        <x:v>26153</x:v>
      </x:c>
      <x:c r="D1362" s="15" t="n">
        <x:f>C1362/SUM($C$5:$C$2477)</x:f>
        <x:v>0.0000305525525685709</x:v>
      </x:c>
      <x:c r="E1362" s="15" t="n">
        <x:f>SUM($D$5:D1362)</x:f>
        <x:v>0.9972382913037408</x:v>
      </x:c>
      <x:c r="F1362" s="1" t="str">
        <x:f>IF(C1362&lt;=0,"C",IF(E1362-D1362&lt;'Дашборд'!$C$49,"A",IF(E1362-D1362&lt;'Дашборд'!$C$50,"B","C")))</x:f>
        <x:v>C</x:v>
      </x:c>
      <x:c r="G1362" s="8" t="n">
        <x:f>'Данные'!F1362</x:f>
        <x:v>27</x:v>
      </x:c>
      <x:c r="H1362" s="8" t="n">
        <x:f>SUM('Данные'!H1362:I1362)</x:f>
        <x:v>252</x:v>
      </x:c>
      <x:c r="I1362" s="16" t="n">
        <x:f>IF(H1362&gt;0,G1362/H1362,"n.a.")</x:f>
        <x:v>0.10714285714285714</x:v>
      </x:c>
      <x:c r="J1362" s="10" t="n">
        <x:f>IF('Данные'!E1362&gt;0,G1362/'Данные'!E1362,"n.a.")</x:f>
        <x:v>0.0035400550675232724</x:v>
      </x:c>
      <x:c r="K1362" s="1" t="str">
        <x:f>IF(G1362&gt;='Дашборд'!$C$51,"X","Z")</x:f>
        <x:v>Z</x:v>
      </x:c>
      <x:c r="L1362" s="1" t="str">
        <x:f>IF(H1362=0,IF(G1362&gt;0,"Нет остатка","Нет спроса"),IF(I1362&gt;='Дашборд'!$C$52,"Быстрый","Медленный"))</x:f>
        <x:v>Медленный</x:v>
      </x:c>
      <x:c r="M1362" s="1" t="str">
        <x:f>IF('Данные'!E1362&lt;'Дашборд'!$C$53,"Мало трафика",IF(J1362&lt;'Дашборд'!$C$9*'Дашборд'!$C$54,"Да","Нет"))</x:f>
        <x:v>Да</x:v>
      </x:c>
      <x:c r="N1362" s="1" t="str">
        <x:f>IF(AND('Данные'!D1362&gt;='Дашборд'!$C$55,D1362&lt;'Дашборд'!$C$56,'Данные'!E1362&gt;='Дашборд'!$C$53,'Данные'!L1362&lt;&gt;"Да"),"Да","Нет")</x:f>
        <x:v>Нет</x:v>
      </x:c>
      <x:c r="O1362" s="1" t="str">
        <x:f>'Данные'!L1362</x:f>
        <x:v>Нет</x:v>
      </x:c>
    </x:row>
    <x:row r="1363">
      <x:c r="A1363" s="1" t="str">
        <x:f>'Данные'!A1363</x:f>
        <x:v>231458802</x:v>
      </x:c>
      <x:c r="B1363" s="1" t="str">
        <x:f>'Данные'!B1363</x:f>
        <x:v>futbolkaboy/коричневый</x:v>
      </x:c>
      <x:c r="C1363" s="8" t="n">
        <x:f>'Данные'!G1363</x:f>
        <x:v>25813</x:v>
      </x:c>
      <x:c r="D1363" s="15" t="n">
        <x:f>C1363/SUM($C$5:$C$2477)</x:f>
        <x:v>0.00003015535653471956</x:v>
      </x:c>
      <x:c r="E1363" s="15" t="n">
        <x:f>SUM($D$5:D1363)</x:f>
        <x:v>0.9972684466602755</x:v>
      </x:c>
      <x:c r="F1363" s="1" t="str">
        <x:f>IF(C1363&lt;=0,"C",IF(E1363-D1363&lt;'Дашборд'!$C$49,"A",IF(E1363-D1363&lt;'Дашборд'!$C$50,"B","C")))</x:f>
        <x:v>C</x:v>
      </x:c>
      <x:c r="G1363" s="8" t="n">
        <x:f>'Данные'!F1363</x:f>
        <x:v>81</x:v>
      </x:c>
      <x:c r="H1363" s="8" t="n">
        <x:f>SUM('Данные'!H1363:I1363)</x:f>
        <x:v>454</x:v>
      </x:c>
      <x:c r="I1363" s="16" t="n">
        <x:f>IF(H1363&gt;0,G1363/H1363,"n.a.")</x:f>
        <x:v>0.17841409691629956</x:v>
      </x:c>
      <x:c r="J1363" s="10" t="n">
        <x:f>IF('Данные'!E1363&gt;0,G1363/'Данные'!E1363,"n.a.")</x:f>
        <x:v>0.009380428488708743</x:v>
      </x:c>
      <x:c r="K1363" s="1" t="str">
        <x:f>IF(G1363&gt;='Дашборд'!$C$51,"X","Z")</x:f>
        <x:v>Z</x:v>
      </x:c>
      <x:c r="L1363" s="1" t="str">
        <x:f>IF(H1363=0,IF(G1363&gt;0,"Нет остатка","Нет спроса"),IF(I1363&gt;='Дашборд'!$C$52,"Быстрый","Медленный"))</x:f>
        <x:v>Медленный</x:v>
      </x:c>
      <x:c r="M1363" s="1" t="str">
        <x:f>IF('Данные'!E1363&lt;'Дашборд'!$C$53,"Мало трафика",IF(J1363&lt;'Дашборд'!$C$9*'Дашборд'!$C$54,"Да","Нет"))</x:f>
        <x:v>Да</x:v>
      </x:c>
      <x:c r="N1363" s="1" t="str">
        <x:f>IF(AND('Данные'!D1363&gt;='Дашборд'!$C$55,D1363&lt;'Дашборд'!$C$56,'Данные'!E1363&gt;='Дашборд'!$C$53,'Данные'!L1363&lt;&gt;"Да"),"Да","Нет")</x:f>
        <x:v>Да</x:v>
      </x:c>
      <x:c r="O1363" s="1" t="str">
        <x:f>'Данные'!L1363</x:f>
        <x:v>Нет</x:v>
      </x:c>
    </x:row>
    <x:row r="1364">
      <x:c r="A1364" s="1" t="str">
        <x:f>'Данные'!A1364</x:f>
        <x:v>234287046</x:v>
      </x:c>
      <x:c r="B1364" s="1" t="str">
        <x:f>'Данные'!B1364</x:f>
        <x:v>svitshotpetl/голубой</x:v>
      </x:c>
      <x:c r="C1364" s="8" t="n">
        <x:f>'Данные'!G1364</x:f>
        <x:v>25748</x:v>
      </x:c>
      <x:c r="D1364" s="15" t="n">
        <x:f>C1364/SUM($C$5:$C$2477)</x:f>
        <x:v>0.000030079421998836213</x:v>
      </x:c>
      <x:c r="E1364" s="15" t="n">
        <x:f>SUM($D$5:D1364)</x:f>
        <x:v>0.9972985260822743</x:v>
      </x:c>
      <x:c r="F1364" s="1" t="str">
        <x:f>IF(C1364&lt;=0,"C",IF(E1364-D1364&lt;'Дашборд'!$C$49,"A",IF(E1364-D1364&lt;'Дашборд'!$C$50,"B","C")))</x:f>
        <x:v>C</x:v>
      </x:c>
      <x:c r="G1364" s="8" t="n">
        <x:f>'Данные'!F1364</x:f>
        <x:v>57</x:v>
      </x:c>
      <x:c r="H1364" s="8" t="n">
        <x:f>SUM('Данные'!H1364:I1364)</x:f>
        <x:v>0</x:v>
      </x:c>
      <x:c r="I1364" s="16" t="str">
        <x:f>IF(H1364&gt;0,G1364/H1364,"n.a.")</x:f>
        <x:v>n.a.</x:v>
      </x:c>
      <x:c r="J1364" s="10" t="n">
        <x:f>IF('Данные'!E1364&gt;0,G1364/'Данные'!E1364,"n.a.")</x:f>
        <x:v>0.012596685082872929</x:v>
      </x:c>
      <x:c r="K1364" s="1" t="str">
        <x:f>IF(G1364&gt;='Дашборд'!$C$51,"X","Z")</x:f>
        <x:v>Z</x:v>
      </x:c>
      <x:c r="L1364" s="1" t="str">
        <x:f>IF(H1364=0,IF(G1364&gt;0,"Нет остатка","Нет спроса"),IF(I1364&gt;='Дашборд'!$C$52,"Быстрый","Медленный"))</x:f>
        <x:v>Нет остатка</x:v>
      </x:c>
      <x:c r="M1364" s="1" t="str">
        <x:f>IF('Данные'!E1364&lt;'Дашборд'!$C$53,"Мало трафика",IF(J1364&lt;'Дашборд'!$C$9*'Дашборд'!$C$54,"Да","Нет"))</x:f>
        <x:v>Нет</x:v>
      </x:c>
      <x:c r="N1364" s="1" t="str">
        <x:f>IF(AND('Данные'!D1364&gt;='Дашборд'!$C$55,D1364&lt;'Дашборд'!$C$56,'Данные'!E1364&gt;='Дашборд'!$C$53,'Данные'!L1364&lt;&gt;"Да"),"Да","Нет")</x:f>
        <x:v>Нет</x:v>
      </x:c>
      <x:c r="O1364" s="1" t="str">
        <x:f>'Данные'!L1364</x:f>
        <x:v>Нет</x:v>
      </x:c>
    </x:row>
    <x:row r="1365">
      <x:c r="A1365" s="1" t="str">
        <x:f>'Данные'!A1365</x:f>
        <x:v>165911177</x:v>
      </x:c>
      <x:c r="B1365" s="1" t="str">
        <x:f>'Данные'!B1365</x:f>
        <x:v>longman/серовато-розовый</x:v>
      </x:c>
      <x:c r="C1365" s="8" t="n">
        <x:f>'Данные'!G1365</x:f>
        <x:v>25515</x:v>
      </x:c>
      <x:c r="D1365" s="15" t="n">
        <x:f>C1365/SUM($C$5:$C$2477)</x:f>
        <x:v>0.000029807225893285147</x:v>
      </x:c>
      <x:c r="E1365" s="15" t="n">
        <x:f>SUM($D$5:D1365)</x:f>
        <x:v>0.9973283333081676</x:v>
      </x:c>
      <x:c r="F1365" s="1" t="str">
        <x:f>IF(C1365&lt;=0,"C",IF(E1365-D1365&lt;'Дашборд'!$C$49,"A",IF(E1365-D1365&lt;'Дашборд'!$C$50,"B","C")))</x:f>
        <x:v>C</x:v>
      </x:c>
      <x:c r="G1365" s="8" t="n">
        <x:f>'Данные'!F1365</x:f>
        <x:v>59</x:v>
      </x:c>
      <x:c r="H1365" s="8" t="n">
        <x:f>SUM('Данные'!H1365:I1365)</x:f>
        <x:v>87</x:v>
      </x:c>
      <x:c r="I1365" s="16" t="n">
        <x:f>IF(H1365&gt;0,G1365/H1365,"n.a.")</x:f>
        <x:v>0.6781609195402298</x:v>
      </x:c>
      <x:c r="J1365" s="10" t="n">
        <x:f>IF('Данные'!E1365&gt;0,G1365/'Данные'!E1365,"n.a.")</x:f>
        <x:v>0.004545454545454545</x:v>
      </x:c>
      <x:c r="K1365" s="1" t="str">
        <x:f>IF(G1365&gt;='Дашборд'!$C$51,"X","Z")</x:f>
        <x:v>Z</x:v>
      </x:c>
      <x:c r="L1365" s="1" t="str">
        <x:f>IF(H1365=0,IF(G1365&gt;0,"Нет остатка","Нет спроса"),IF(I1365&gt;='Дашборд'!$C$52,"Быстрый","Медленный"))</x:f>
        <x:v>Медленный</x:v>
      </x:c>
      <x:c r="M1365" s="1" t="str">
        <x:f>IF('Данные'!E1365&lt;'Дашборд'!$C$53,"Мало трафика",IF(J1365&lt;'Дашборд'!$C$9*'Дашборд'!$C$54,"Да","Нет"))</x:f>
        <x:v>Да</x:v>
      </x:c>
      <x:c r="N1365" s="1" t="str">
        <x:f>IF(AND('Данные'!D1365&gt;='Дашборд'!$C$55,D1365&lt;'Дашборд'!$C$56,'Данные'!E1365&gt;='Дашборд'!$C$53,'Данные'!L1365&lt;&gt;"Да"),"Да","Нет")</x:f>
        <x:v>Нет</x:v>
      </x:c>
      <x:c r="O1365" s="1" t="str">
        <x:f>'Данные'!L1365</x:f>
        <x:v>Нет</x:v>
      </x:c>
    </x:row>
    <x:row r="1366">
      <x:c r="A1366" s="1" t="str">
        <x:f>'Данные'!A1366</x:f>
        <x:v>344319377</x:v>
      </x:c>
      <x:c r="B1366" s="1" t="str">
        <x:f>'Данные'!B1366</x:f>
        <x:v>toprib3R-82/пыльно-синий</x:v>
      </x:c>
      <x:c r="C1366" s="8" t="n">
        <x:f>'Данные'!G1366</x:f>
        <x:v>25476</x:v>
      </x:c>
      <x:c r="D1366" s="15" t="n">
        <x:f>C1366/SUM($C$5:$C$2477)</x:f>
        <x:v>0.000029761665171755142</x:v>
      </x:c>
      <x:c r="E1366" s="15" t="n">
        <x:f>SUM($D$5:D1366)</x:f>
        <x:v>0.9973580949733394</x:v>
      </x:c>
      <x:c r="F1366" s="1" t="str">
        <x:f>IF(C1366&lt;=0,"C",IF(E1366-D1366&lt;'Дашборд'!$C$49,"A",IF(E1366-D1366&lt;'Дашборд'!$C$50,"B","C")))</x:f>
        <x:v>C</x:v>
      </x:c>
      <x:c r="G1366" s="8" t="n">
        <x:f>'Данные'!F1366</x:f>
        <x:v>129</x:v>
      </x:c>
      <x:c r="H1366" s="8" t="n">
        <x:f>SUM('Данные'!H1366:I1366)</x:f>
        <x:v>952</x:v>
      </x:c>
      <x:c r="I1366" s="16" t="n">
        <x:f>IF(H1366&gt;0,G1366/H1366,"n.a.")</x:f>
        <x:v>0.13550420168067226</x:v>
      </x:c>
      <x:c r="J1366" s="10" t="n">
        <x:f>IF('Данные'!E1366&gt;0,G1366/'Данные'!E1366,"n.a.")</x:f>
        <x:v>0.011746494263340011</x:v>
      </x:c>
      <x:c r="K1366" s="1" t="str">
        <x:f>IF(G1366&gt;='Дашборд'!$C$51,"X","Z")</x:f>
        <x:v>Z</x:v>
      </x:c>
      <x:c r="L1366" s="1" t="str">
        <x:f>IF(H1366=0,IF(G1366&gt;0,"Нет остатка","Нет спроса"),IF(I1366&gt;='Дашборд'!$C$52,"Быстрый","Медленный"))</x:f>
        <x:v>Медленный</x:v>
      </x:c>
      <x:c r="M1366" s="1" t="str">
        <x:f>IF('Данные'!E1366&lt;'Дашборд'!$C$53,"Мало трафика",IF(J1366&lt;'Дашборд'!$C$9*'Дашборд'!$C$54,"Да","Нет"))</x:f>
        <x:v>Нет</x:v>
      </x:c>
      <x:c r="N1366" s="1" t="str">
        <x:f>IF(AND('Данные'!D1366&gt;='Дашборд'!$C$55,D1366&lt;'Дашборд'!$C$56,'Данные'!E1366&gt;='Дашборд'!$C$53,'Данные'!L1366&lt;&gt;"Да"),"Да","Нет")</x:f>
        <x:v>Нет</x:v>
      </x:c>
      <x:c r="O1366" s="1" t="str">
        <x:f>'Данные'!L1366</x:f>
        <x:v>Нет</x:v>
      </x:c>
    </x:row>
    <x:row r="1367">
      <x:c r="A1367" s="1" t="str">
        <x:f>'Данные'!A1367</x:f>
        <x:v>210248322</x:v>
      </x:c>
      <x:c r="B1367" s="1" t="str">
        <x:f>'Данные'!B1367</x:f>
        <x:v>kulirkamanprint/Athletics-74/черный</x:v>
      </x:c>
      <x:c r="C1367" s="8" t="n">
        <x:f>'Данные'!G1367</x:f>
        <x:v>25467</x:v>
      </x:c>
      <x:c r="D1367" s="15" t="n">
        <x:f>C1367/SUM($C$5:$C$2477)</x:f>
        <x:v>0.00002975115115909437</x:v>
      </x:c>
      <x:c r="E1367" s="15" t="n">
        <x:f>SUM($D$5:D1367)</x:f>
        <x:v>0.9973878461244985</x:v>
      </x:c>
      <x:c r="F1367" s="1" t="str">
        <x:f>IF(C1367&lt;=0,"C",IF(E1367-D1367&lt;'Дашборд'!$C$49,"A",IF(E1367-D1367&lt;'Дашборд'!$C$50,"B","C")))</x:f>
        <x:v>C</x:v>
      </x:c>
      <x:c r="G1367" s="8" t="n">
        <x:f>'Данные'!F1367</x:f>
        <x:v>39</x:v>
      </x:c>
      <x:c r="H1367" s="8" t="n">
        <x:f>SUM('Данные'!H1367:I1367)</x:f>
        <x:v>0</x:v>
      </x:c>
      <x:c r="I1367" s="16" t="str">
        <x:f>IF(H1367&gt;0,G1367/H1367,"n.a.")</x:f>
        <x:v>n.a.</x:v>
      </x:c>
      <x:c r="J1367" s="10" t="n">
        <x:f>IF('Данные'!E1367&gt;0,G1367/'Данные'!E1367,"n.a.")</x:f>
        <x:v>0.0022529027785800934</x:v>
      </x:c>
      <x:c r="K1367" s="1" t="str">
        <x:f>IF(G1367&gt;='Дашборд'!$C$51,"X","Z")</x:f>
        <x:v>Z</x:v>
      </x:c>
      <x:c r="L1367" s="1" t="str">
        <x:f>IF(H1367=0,IF(G1367&gt;0,"Нет остатка","Нет спроса"),IF(I1367&gt;='Дашборд'!$C$52,"Быстрый","Медленный"))</x:f>
        <x:v>Нет остатка</x:v>
      </x:c>
      <x:c r="M1367" s="1" t="str">
        <x:f>IF('Данные'!E1367&lt;'Дашборд'!$C$53,"Мало трафика",IF(J1367&lt;'Дашборд'!$C$9*'Дашборд'!$C$54,"Да","Нет"))</x:f>
        <x:v>Да</x:v>
      </x:c>
      <x:c r="N1367" s="1" t="str">
        <x:f>IF(AND('Данные'!D1367&gt;='Дашборд'!$C$55,D1367&lt;'Дашборд'!$C$56,'Данные'!E1367&gt;='Дашборд'!$C$53,'Данные'!L1367&lt;&gt;"Да"),"Да","Нет")</x:f>
        <x:v>Нет</x:v>
      </x:c>
      <x:c r="O1367" s="1" t="str">
        <x:f>'Данные'!L1367</x:f>
        <x:v>Нет</x:v>
      </x:c>
    </x:row>
    <x:row r="1368">
      <x:c r="A1368" s="1" t="str">
        <x:f>'Данные'!A1368</x:f>
        <x:v>233504050</x:v>
      </x:c>
      <x:c r="B1368" s="1" t="str">
        <x:f>'Данные'!B1368</x:f>
        <x:v>brukiboy/черный</x:v>
      </x:c>
      <x:c r="C1368" s="8" t="n">
        <x:f>'Данные'!G1368</x:f>
        <x:v>25286</x:v>
      </x:c>
      <x:c r="D1368" s="15" t="n">
        <x:f>C1368/SUM($C$5:$C$2477)</x:f>
        <x:v>0.00002953970268224998</x:v>
      </x:c>
      <x:c r="E1368" s="15" t="n">
        <x:f>SUM($D$5:D1368)</x:f>
        <x:v>0.9974173858271808</x:v>
      </x:c>
      <x:c r="F1368" s="1" t="str">
        <x:f>IF(C1368&lt;=0,"C",IF(E1368-D1368&lt;'Дашборд'!$C$49,"A",IF(E1368-D1368&lt;'Дашборд'!$C$50,"B","C")))</x:f>
        <x:v>C</x:v>
      </x:c>
      <x:c r="G1368" s="8" t="n">
        <x:f>'Данные'!F1368</x:f>
        <x:v>38</x:v>
      </x:c>
      <x:c r="H1368" s="8" t="n">
        <x:f>SUM('Данные'!H1368:I1368)</x:f>
        <x:v>533</x:v>
      </x:c>
      <x:c r="I1368" s="16" t="n">
        <x:f>IF(H1368&gt;0,G1368/H1368,"n.a.")</x:f>
        <x:v>0.07129455909943715</x:v>
      </x:c>
      <x:c r="J1368" s="10" t="n">
        <x:f>IF('Данные'!E1368&gt;0,G1368/'Данные'!E1368,"n.a.")</x:f>
        <x:v>0.00851063829787234</x:v>
      </x:c>
      <x:c r="K1368" s="1" t="str">
        <x:f>IF(G1368&gt;='Дашборд'!$C$51,"X","Z")</x:f>
        <x:v>Z</x:v>
      </x:c>
      <x:c r="L1368" s="1" t="str">
        <x:f>IF(H1368=0,IF(G1368&gt;0,"Нет остатка","Нет спроса"),IF(I1368&gt;='Дашборд'!$C$52,"Быстрый","Медленный"))</x:f>
        <x:v>Медленный</x:v>
      </x:c>
      <x:c r="M1368" s="1" t="str">
        <x:f>IF('Данные'!E1368&lt;'Дашборд'!$C$53,"Мало трафика",IF(J1368&lt;'Дашборд'!$C$9*'Дашборд'!$C$54,"Да","Нет"))</x:f>
        <x:v>Да</x:v>
      </x:c>
      <x:c r="N1368" s="1" t="str">
        <x:f>IF(AND('Данные'!D1368&gt;='Дашборд'!$C$55,D1368&lt;'Дашборд'!$C$56,'Данные'!E1368&gt;='Дашборд'!$C$53,'Данные'!L1368&lt;&gt;"Да"),"Да","Нет")</x:f>
        <x:v>Нет</x:v>
      </x:c>
      <x:c r="O1368" s="1" t="str">
        <x:f>'Данные'!L1368</x:f>
        <x:v>Нет</x:v>
      </x:c>
    </x:row>
    <x:row r="1369">
      <x:c r="A1369" s="1" t="str">
        <x:f>'Данные'!A1369</x:f>
        <x:v>317227918</x:v>
      </x:c>
      <x:c r="B1369" s="1" t="str">
        <x:f>'Данные'!B1369</x:f>
        <x:v>bazakulgirl/голубой</x:v>
      </x:c>
      <x:c r="C1369" s="8" t="n">
        <x:f>'Данные'!G1369</x:f>
        <x:v>24922</x:v>
      </x:c>
      <x:c r="D1369" s="15" t="n">
        <x:f>C1369/SUM($C$5:$C$2477)</x:f>
        <x:v>0.000029114469281303253</x:v>
      </x:c>
      <x:c r="E1369" s="15" t="n">
        <x:f>SUM($D$5:D1369)</x:f>
        <x:v>0.9974465002964621</x:v>
      </x:c>
      <x:c r="F1369" s="1" t="str">
        <x:f>IF(C1369&lt;=0,"C",IF(E1369-D1369&lt;'Дашборд'!$C$49,"A",IF(E1369-D1369&lt;'Дашборд'!$C$50,"B","C")))</x:f>
        <x:v>C</x:v>
      </x:c>
      <x:c r="G1369" s="8" t="n">
        <x:f>'Данные'!F1369</x:f>
        <x:v>72</x:v>
      </x:c>
      <x:c r="H1369" s="8" t="n">
        <x:f>SUM('Данные'!H1369:I1369)</x:f>
        <x:v>208</x:v>
      </x:c>
      <x:c r="I1369" s="16" t="n">
        <x:f>IF(H1369&gt;0,G1369/H1369,"n.a.")</x:f>
        <x:v>0.34615384615384615</x:v>
      </x:c>
      <x:c r="J1369" s="10" t="n">
        <x:f>IF('Данные'!E1369&gt;0,G1369/'Данные'!E1369,"n.a.")</x:f>
        <x:v>0.021957913998170174</x:v>
      </x:c>
      <x:c r="K1369" s="1" t="str">
        <x:f>IF(G1369&gt;='Дашборд'!$C$51,"X","Z")</x:f>
        <x:v>Z</x:v>
      </x:c>
      <x:c r="L1369" s="1" t="str">
        <x:f>IF(H1369=0,IF(G1369&gt;0,"Нет остатка","Нет спроса"),IF(I1369&gt;='Дашборд'!$C$52,"Быстрый","Медленный"))</x:f>
        <x:v>Медленный</x:v>
      </x:c>
      <x:c r="M1369" s="1" t="str">
        <x:f>IF('Данные'!E1369&lt;'Дашборд'!$C$53,"Мало трафика",IF(J1369&lt;'Дашборд'!$C$9*'Дашборд'!$C$54,"Да","Нет"))</x:f>
        <x:v>Нет</x:v>
      </x:c>
      <x:c r="N1369" s="1" t="str">
        <x:f>IF(AND('Данные'!D1369&gt;='Дашборд'!$C$55,D1369&lt;'Дашборд'!$C$56,'Данные'!E1369&gt;='Дашборд'!$C$53,'Данные'!L1369&lt;&gt;"Да"),"Да","Нет")</x:f>
        <x:v>Да</x:v>
      </x:c>
      <x:c r="O1369" s="1" t="str">
        <x:f>'Данные'!L1369</x:f>
        <x:v>Нет</x:v>
      </x:c>
    </x:row>
    <x:row r="1370">
      <x:c r="A1370" s="1" t="str">
        <x:f>'Данные'!A1370</x:f>
        <x:v>219112168</x:v>
      </x:c>
      <x:c r="B1370" s="1" t="str">
        <x:f>'Данные'!B1370</x:f>
        <x:v>futbolkaprint/MEDUSA-17/черный</x:v>
      </x:c>
      <x:c r="C1370" s="8" t="n">
        <x:f>'Данные'!G1370</x:f>
        <x:v>24257</x:v>
      </x:c>
      <x:c r="D1370" s="15" t="n">
        <x:f>C1370/SUM($C$5:$C$2477)</x:f>
        <x:v>0.00002833760056803519</x:v>
      </x:c>
      <x:c r="E1370" s="15" t="n">
        <x:f>SUM($D$5:D1370)</x:f>
        <x:v>0.9974748378970302</x:v>
      </x:c>
      <x:c r="F1370" s="1" t="str">
        <x:f>IF(C1370&lt;=0,"C",IF(E1370-D1370&lt;'Дашборд'!$C$49,"A",IF(E1370-D1370&lt;'Дашборд'!$C$50,"B","C")))</x:f>
        <x:v>C</x:v>
      </x:c>
      <x:c r="G1370" s="8" t="n">
        <x:f>'Данные'!F1370</x:f>
        <x:v>47</x:v>
      </x:c>
      <x:c r="H1370" s="8" t="n">
        <x:f>SUM('Данные'!H1370:I1370)</x:f>
        <x:v>0</x:v>
      </x:c>
      <x:c r="I1370" s="16" t="str">
        <x:f>IF(H1370&gt;0,G1370/H1370,"n.a.")</x:f>
        <x:v>n.a.</x:v>
      </x:c>
      <x:c r="J1370" s="10" t="n">
        <x:f>IF('Данные'!E1370&gt;0,G1370/'Данные'!E1370,"n.a.")</x:f>
        <x:v>0.008517578832910475</x:v>
      </x:c>
      <x:c r="K1370" s="1" t="str">
        <x:f>IF(G1370&gt;='Дашборд'!$C$51,"X","Z")</x:f>
        <x:v>Z</x:v>
      </x:c>
      <x:c r="L1370" s="1" t="str">
        <x:f>IF(H1370=0,IF(G1370&gt;0,"Нет остатка","Нет спроса"),IF(I1370&gt;='Дашборд'!$C$52,"Быстрый","Медленный"))</x:f>
        <x:v>Нет остатка</x:v>
      </x:c>
      <x:c r="M1370" s="1" t="str">
        <x:f>IF('Данные'!E1370&lt;'Дашборд'!$C$53,"Мало трафика",IF(J1370&lt;'Дашборд'!$C$9*'Дашборд'!$C$54,"Да","Нет"))</x:f>
        <x:v>Да</x:v>
      </x:c>
      <x:c r="N1370" s="1" t="str">
        <x:f>IF(AND('Данные'!D1370&gt;='Дашборд'!$C$55,D1370&lt;'Дашборд'!$C$56,'Данные'!E1370&gt;='Дашборд'!$C$53,'Данные'!L1370&lt;&gt;"Да"),"Да","Нет")</x:f>
        <x:v>Нет</x:v>
      </x:c>
      <x:c r="O1370" s="1" t="str">
        <x:f>'Данные'!L1370</x:f>
        <x:v>Нет</x:v>
      </x:c>
    </x:row>
    <x:row r="1371">
      <x:c r="A1371" s="1" t="str">
        <x:f>'Данные'!A1371</x:f>
        <x:v>318405958</x:v>
      </x:c>
      <x:c r="B1371" s="1" t="str">
        <x:f>'Данные'!B1371</x:f>
        <x:v>brukiboy/серыймеланж2</x:v>
      </x:c>
      <x:c r="C1371" s="8" t="n">
        <x:f>'Данные'!G1371</x:f>
        <x:v>23992</x:v>
      </x:c>
      <x:c r="D1371" s="15" t="n">
        <x:f>C1371/SUM($C$5:$C$2477)</x:f>
        <x:v>0.000028028021306356937</x:v>
      </x:c>
      <x:c r="E1371" s="15" t="n">
        <x:f>SUM($D$5:D1371)</x:f>
        <x:v>0.9975028659183365</x:v>
      </x:c>
      <x:c r="F1371" s="1" t="str">
        <x:f>IF(C1371&lt;=0,"C",IF(E1371-D1371&lt;'Дашборд'!$C$49,"A",IF(E1371-D1371&lt;'Дашборд'!$C$50,"B","C")))</x:f>
        <x:v>C</x:v>
      </x:c>
      <x:c r="G1371" s="8" t="n">
        <x:f>'Данные'!F1371</x:f>
        <x:v>47</x:v>
      </x:c>
      <x:c r="H1371" s="8" t="n">
        <x:f>SUM('Данные'!H1371:I1371)</x:f>
        <x:v>84</x:v>
      </x:c>
      <x:c r="I1371" s="16" t="n">
        <x:f>IF(H1371&gt;0,G1371/H1371,"n.a.")</x:f>
        <x:v>0.5595238095238095</x:v>
      </x:c>
      <x:c r="J1371" s="10" t="n">
        <x:f>IF('Данные'!E1371&gt;0,G1371/'Данные'!E1371,"n.a.")</x:f>
        <x:v>0.010101010101010102</x:v>
      </x:c>
      <x:c r="K1371" s="1" t="str">
        <x:f>IF(G1371&gt;='Дашборд'!$C$51,"X","Z")</x:f>
        <x:v>Z</x:v>
      </x:c>
      <x:c r="L1371" s="1" t="str">
        <x:f>IF(H1371=0,IF(G1371&gt;0,"Нет остатка","Нет спроса"),IF(I1371&gt;='Дашборд'!$C$52,"Быстрый","Медленный"))</x:f>
        <x:v>Медленный</x:v>
      </x:c>
      <x:c r="M1371" s="1" t="str">
        <x:f>IF('Данные'!E1371&lt;'Дашборд'!$C$53,"Мало трафика",IF(J1371&lt;'Дашборд'!$C$9*'Дашборд'!$C$54,"Да","Нет"))</x:f>
        <x:v>Да</x:v>
      </x:c>
      <x:c r="N1371" s="1" t="str">
        <x:f>IF(AND('Данные'!D1371&gt;='Дашборд'!$C$55,D1371&lt;'Дашборд'!$C$56,'Данные'!E1371&gt;='Дашборд'!$C$53,'Данные'!L1371&lt;&gt;"Да"),"Да","Нет")</x:f>
        <x:v>Нет</x:v>
      </x:c>
      <x:c r="O1371" s="1" t="str">
        <x:f>'Данные'!L1371</x:f>
        <x:v>Нет</x:v>
      </x:c>
    </x:row>
    <x:row r="1372">
      <x:c r="A1372" s="1" t="str">
        <x:f>'Данные'!A1372</x:f>
        <x:v>246363173</x:v>
      </x:c>
      <x:c r="B1372" s="1" t="str">
        <x:f>'Данные'!B1372</x:f>
        <x:v>tolstovkazipcrop/дымка</x:v>
      </x:c>
      <x:c r="C1372" s="8" t="n">
        <x:f>'Данные'!G1372</x:f>
        <x:v>23893</x:v>
      </x:c>
      <x:c r="D1372" s="15" t="n">
        <x:f>C1372/SUM($C$5:$C$2477)</x:f>
        <x:v>0.00002791236716708846</x:v>
      </x:c>
      <x:c r="E1372" s="15" t="n">
        <x:f>SUM($D$5:D1372)</x:f>
        <x:v>0.9975307782855035</x:v>
      </x:c>
      <x:c r="F1372" s="1" t="str">
        <x:f>IF(C1372&lt;=0,"C",IF(E1372-D1372&lt;'Дашборд'!$C$49,"A",IF(E1372-D1372&lt;'Дашборд'!$C$50,"B","C")))</x:f>
        <x:v>C</x:v>
      </x:c>
      <x:c r="G1372" s="8" t="n">
        <x:f>'Данные'!F1372</x:f>
        <x:v>32</x:v>
      </x:c>
      <x:c r="H1372" s="8" t="n">
        <x:f>SUM('Данные'!H1372:I1372)</x:f>
        <x:v>0</x:v>
      </x:c>
      <x:c r="I1372" s="16" t="str">
        <x:f>IF(H1372&gt;0,G1372/H1372,"n.a.")</x:f>
        <x:v>n.a.</x:v>
      </x:c>
      <x:c r="J1372" s="10" t="n">
        <x:f>IF('Данные'!E1372&gt;0,G1372/'Данные'!E1372,"n.a.")</x:f>
        <x:v>0.002427000379218809</x:v>
      </x:c>
      <x:c r="K1372" s="1" t="str">
        <x:f>IF(G1372&gt;='Дашборд'!$C$51,"X","Z")</x:f>
        <x:v>Z</x:v>
      </x:c>
      <x:c r="L1372" s="1" t="str">
        <x:f>IF(H1372=0,IF(G1372&gt;0,"Нет остатка","Нет спроса"),IF(I1372&gt;='Дашборд'!$C$52,"Быстрый","Медленный"))</x:f>
        <x:v>Нет остатка</x:v>
      </x:c>
      <x:c r="M1372" s="1" t="str">
        <x:f>IF('Данные'!E1372&lt;'Дашборд'!$C$53,"Мало трафика",IF(J1372&lt;'Дашборд'!$C$9*'Дашборд'!$C$54,"Да","Нет"))</x:f>
        <x:v>Да</x:v>
      </x:c>
      <x:c r="N1372" s="1" t="str">
        <x:f>IF(AND('Данные'!D1372&gt;='Дашборд'!$C$55,D1372&lt;'Дашборд'!$C$56,'Данные'!E1372&gt;='Дашборд'!$C$53,'Данные'!L1372&lt;&gt;"Да"),"Да","Нет")</x:f>
        <x:v>Да</x:v>
      </x:c>
      <x:c r="O1372" s="1" t="str">
        <x:f>'Данные'!L1372</x:f>
        <x:v>Нет</x:v>
      </x:c>
    </x:row>
    <x:row r="1373">
      <x:c r="A1373" s="1" t="str">
        <x:f>'Данные'!A1373</x:f>
        <x:v>313770777</x:v>
      </x:c>
      <x:c r="B1373" s="1" t="str">
        <x:f>'Данные'!B1373</x:f>
        <x:v>futbolkagirl/деним</x:v>
      </x:c>
      <x:c r="C1373" s="8" t="n">
        <x:f>'Данные'!G1373</x:f>
        <x:v>23768</x:v>
      </x:c>
      <x:c r="D1373" s="15" t="n">
        <x:f>C1373/SUM($C$5:$C$2477)</x:f>
        <x:v>0.000027766339213466643</x:v>
      </x:c>
      <x:c r="E1373" s="15" t="n">
        <x:f>SUM($D$5:D1373)</x:f>
        <x:v>0.9975585446247169</x:v>
      </x:c>
      <x:c r="F1373" s="1" t="str">
        <x:f>IF(C1373&lt;=0,"C",IF(E1373-D1373&lt;'Дашборд'!$C$49,"A",IF(E1373-D1373&lt;'Дашборд'!$C$50,"B","C")))</x:f>
        <x:v>C</x:v>
      </x:c>
      <x:c r="G1373" s="8" t="n">
        <x:f>'Данные'!F1373</x:f>
        <x:v>62</x:v>
      </x:c>
      <x:c r="H1373" s="8" t="n">
        <x:f>SUM('Данные'!H1373:I1373)</x:f>
        <x:v>132</x:v>
      </x:c>
      <x:c r="I1373" s="16" t="n">
        <x:f>IF(H1373&gt;0,G1373/H1373,"n.a.")</x:f>
        <x:v>0.4696969696969697</x:v>
      </x:c>
      <x:c r="J1373" s="10" t="n">
        <x:f>IF('Данные'!E1373&gt;0,G1373/'Данные'!E1373,"n.a.")</x:f>
        <x:v>0.0032528856243441762</x:v>
      </x:c>
      <x:c r="K1373" s="1" t="str">
        <x:f>IF(G1373&gt;='Дашборд'!$C$51,"X","Z")</x:f>
        <x:v>Z</x:v>
      </x:c>
      <x:c r="L1373" s="1" t="str">
        <x:f>IF(H1373=0,IF(G1373&gt;0,"Нет остатка","Нет спроса"),IF(I1373&gt;='Дашборд'!$C$52,"Быстрый","Медленный"))</x:f>
        <x:v>Медленный</x:v>
      </x:c>
      <x:c r="M1373" s="1" t="str">
        <x:f>IF('Данные'!E1373&lt;'Дашборд'!$C$53,"Мало трафика",IF(J1373&lt;'Дашборд'!$C$9*'Дашборд'!$C$54,"Да","Нет"))</x:f>
        <x:v>Да</x:v>
      </x:c>
      <x:c r="N1373" s="1" t="str">
        <x:f>IF(AND('Данные'!D1373&gt;='Дашборд'!$C$55,D1373&lt;'Дашборд'!$C$56,'Данные'!E1373&gt;='Дашборд'!$C$53,'Данные'!L1373&lt;&gt;"Да"),"Да","Нет")</x:f>
        <x:v>Да</x:v>
      </x:c>
      <x:c r="O1373" s="1" t="str">
        <x:f>'Данные'!L1373</x:f>
        <x:v>Нет</x:v>
      </x:c>
    </x:row>
    <x:row r="1374">
      <x:c r="A1374" s="1" t="str">
        <x:f>'Данные'!A1374</x:f>
        <x:v>209915685</x:v>
      </x:c>
      <x:c r="B1374" s="1" t="str">
        <x:f>'Данные'!B1374</x:f>
        <x:v>shorty/бежевый</x:v>
      </x:c>
      <x:c r="C1374" s="8" t="n">
        <x:f>'Данные'!G1374</x:f>
        <x:v>23331</x:v>
      </x:c>
      <x:c r="D1374" s="15" t="n">
        <x:f>C1374/SUM($C$5:$C$2477)</x:f>
        <x:v>0.000027255825487604775</x:v>
      </x:c>
      <x:c r="E1374" s="15" t="n">
        <x:f>SUM($D$5:D1374)</x:f>
        <x:v>0.9975858004502045</x:v>
      </x:c>
      <x:c r="F1374" s="1" t="str">
        <x:f>IF(C1374&lt;=0,"C",IF(E1374-D1374&lt;'Дашборд'!$C$49,"A",IF(E1374-D1374&lt;'Дашборд'!$C$50,"B","C")))</x:f>
        <x:v>C</x:v>
      </x:c>
      <x:c r="G1374" s="8" t="n">
        <x:f>'Данные'!F1374</x:f>
        <x:v>81</x:v>
      </x:c>
      <x:c r="H1374" s="8" t="n">
        <x:f>SUM('Данные'!H1374:I1374)</x:f>
        <x:v>140</x:v>
      </x:c>
      <x:c r="I1374" s="16" t="n">
        <x:f>IF(H1374&gt;0,G1374/H1374,"n.a.")</x:f>
        <x:v>0.5785714285714286</x:v>
      </x:c>
      <x:c r="J1374" s="10" t="n">
        <x:f>IF('Данные'!E1374&gt;0,G1374/'Данные'!E1374,"n.a.")</x:f>
        <x:v>0.013488759367194006</x:v>
      </x:c>
      <x:c r="K1374" s="1" t="str">
        <x:f>IF(G1374&gt;='Дашборд'!$C$51,"X","Z")</x:f>
        <x:v>Z</x:v>
      </x:c>
      <x:c r="L1374" s="1" t="str">
        <x:f>IF(H1374=0,IF(G1374&gt;0,"Нет остатка","Нет спроса"),IF(I1374&gt;='Дашборд'!$C$52,"Быстрый","Медленный"))</x:f>
        <x:v>Медленный</x:v>
      </x:c>
      <x:c r="M1374" s="1" t="str">
        <x:f>IF('Данные'!E1374&lt;'Дашборд'!$C$53,"Мало трафика",IF(J1374&lt;'Дашборд'!$C$9*'Дашборд'!$C$54,"Да","Нет"))</x:f>
        <x:v>Нет</x:v>
      </x:c>
      <x:c r="N1374" s="1" t="str">
        <x:f>IF(AND('Данные'!D1374&gt;='Дашборд'!$C$55,D1374&lt;'Дашборд'!$C$56,'Данные'!E1374&gt;='Дашборд'!$C$53,'Данные'!L1374&lt;&gt;"Да"),"Да","Нет")</x:f>
        <x:v>Нет</x:v>
      </x:c>
      <x:c r="O1374" s="1" t="str">
        <x:f>'Данные'!L1374</x:f>
        <x:v>Нет</x:v>
      </x:c>
    </x:row>
    <x:row r="1375">
      <x:c r="A1375" s="1" t="str">
        <x:f>'Данные'!A1375</x:f>
        <x:v>357022577</x:v>
      </x:c>
      <x:c r="B1375" s="1" t="str">
        <x:f>'Данные'!B1375</x:f>
        <x:v>bazakulgirl/розовый</x:v>
      </x:c>
      <x:c r="C1375" s="8" t="n">
        <x:f>'Данные'!G1375</x:f>
        <x:v>23193</x:v>
      </x:c>
      <x:c r="D1375" s="15" t="n">
        <x:f>C1375/SUM($C$5:$C$2477)</x:f>
        <x:v>0.00002709461062680629</x:v>
      </x:c>
      <x:c r="E1375" s="15" t="n">
        <x:f>SUM($D$5:D1375)</x:f>
        <x:v>0.9976128950608313</x:v>
      </x:c>
      <x:c r="F1375" s="1" t="str">
        <x:f>IF(C1375&lt;=0,"C",IF(E1375-D1375&lt;'Дашборд'!$C$49,"A",IF(E1375-D1375&lt;'Дашборд'!$C$50,"B","C")))</x:f>
        <x:v>C</x:v>
      </x:c>
      <x:c r="G1375" s="8" t="n">
        <x:f>'Данные'!F1375</x:f>
        <x:v>64</x:v>
      </x:c>
      <x:c r="H1375" s="8" t="n">
        <x:f>SUM('Данные'!H1375:I1375)</x:f>
        <x:v>55</x:v>
      </x:c>
      <x:c r="I1375" s="16" t="n">
        <x:f>IF(H1375&gt;0,G1375/H1375,"n.a.")</x:f>
        <x:v>1.1636363636363636</x:v>
      </x:c>
      <x:c r="J1375" s="10" t="n">
        <x:f>IF('Данные'!E1375&gt;0,G1375/'Данные'!E1375,"n.a.")</x:f>
        <x:v>0.026856903063365505</x:v>
      </x:c>
      <x:c r="K1375" s="1" t="str">
        <x:f>IF(G1375&gt;='Дашборд'!$C$51,"X","Z")</x:f>
        <x:v>Z</x:v>
      </x:c>
      <x:c r="L1375" s="1" t="str">
        <x:f>IF(H1375=0,IF(G1375&gt;0,"Нет остатка","Нет спроса"),IF(I1375&gt;='Дашборд'!$C$52,"Быстрый","Медленный"))</x:f>
        <x:v>Быстрый</x:v>
      </x:c>
      <x:c r="M1375" s="1" t="str">
        <x:f>IF('Данные'!E1375&lt;'Дашборд'!$C$53,"Мало трафика",IF(J1375&lt;'Дашборд'!$C$9*'Дашборд'!$C$54,"Да","Нет"))</x:f>
        <x:v>Нет</x:v>
      </x:c>
      <x:c r="N1375" s="1" t="str">
        <x:f>IF(AND('Данные'!D1375&gt;='Дашборд'!$C$55,D1375&lt;'Дашборд'!$C$56,'Данные'!E1375&gt;='Дашборд'!$C$53,'Данные'!L1375&lt;&gt;"Да"),"Да","Нет")</x:f>
        <x:v>Да</x:v>
      </x:c>
      <x:c r="O1375" s="1" t="str">
        <x:f>'Данные'!L1375</x:f>
        <x:v>Нет</x:v>
      </x:c>
    </x:row>
    <x:row r="1376">
      <x:c r="A1376" s="1" t="str">
        <x:f>'Данные'!A1376</x:f>
        <x:v>256318614</x:v>
      </x:c>
      <x:c r="B1376" s="1" t="str">
        <x:f>'Данные'!B1376</x:f>
        <x:v>futhlopmanover/белый</x:v>
      </x:c>
      <x:c r="C1376" s="8" t="n">
        <x:f>'Данные'!G1376</x:f>
        <x:v>22788</x:v>
      </x:c>
      <x:c r="D1376" s="15" t="n">
        <x:f>C1376/SUM($C$5:$C$2477)</x:f>
        <x:v>0.000026621480057071604</x:v>
      </x:c>
      <x:c r="E1376" s="15" t="n">
        <x:f>SUM($D$5:D1376)</x:f>
        <x:v>0.9976395165408883</x:v>
      </x:c>
      <x:c r="F1376" s="1" t="str">
        <x:f>IF(C1376&lt;=0,"C",IF(E1376-D1376&lt;'Дашборд'!$C$49,"A",IF(E1376-D1376&lt;'Дашборд'!$C$50,"B","C")))</x:f>
        <x:v>C</x:v>
      </x:c>
      <x:c r="G1376" s="8" t="n">
        <x:f>'Данные'!F1376</x:f>
        <x:v>70</x:v>
      </x:c>
      <x:c r="H1376" s="8" t="n">
        <x:f>SUM('Данные'!H1376:I1376)</x:f>
        <x:v>1137</x:v>
      </x:c>
      <x:c r="I1376" s="16" t="n">
        <x:f>IF(H1376&gt;0,G1376/H1376,"n.a.")</x:f>
        <x:v>0.06156552330694811</x:v>
      </x:c>
      <x:c r="J1376" s="10" t="n">
        <x:f>IF('Данные'!E1376&gt;0,G1376/'Данные'!E1376,"n.a.")</x:f>
        <x:v>0.017699115044247787</x:v>
      </x:c>
      <x:c r="K1376" s="1" t="str">
        <x:f>IF(G1376&gt;='Дашборд'!$C$51,"X","Z")</x:f>
        <x:v>Z</x:v>
      </x:c>
      <x:c r="L1376" s="1" t="str">
        <x:f>IF(H1376=0,IF(G1376&gt;0,"Нет остатка","Нет спроса"),IF(I1376&gt;='Дашборд'!$C$52,"Быстрый","Медленный"))</x:f>
        <x:v>Медленный</x:v>
      </x:c>
      <x:c r="M1376" s="1" t="str">
        <x:f>IF('Данные'!E1376&lt;'Дашборд'!$C$53,"Мало трафика",IF(J1376&lt;'Дашборд'!$C$9*'Дашборд'!$C$54,"Да","Нет"))</x:f>
        <x:v>Нет</x:v>
      </x:c>
      <x:c r="N1376" s="1" t="str">
        <x:f>IF(AND('Данные'!D1376&gt;='Дашборд'!$C$55,D1376&lt;'Дашборд'!$C$56,'Данные'!E1376&gt;='Дашборд'!$C$53,'Данные'!L1376&lt;&gt;"Да"),"Да","Нет")</x:f>
        <x:v>Нет</x:v>
      </x:c>
      <x:c r="O1376" s="1" t="str">
        <x:f>'Данные'!L1376</x:f>
        <x:v>Нет</x:v>
      </x:c>
    </x:row>
    <x:row r="1377">
      <x:c r="A1377" s="1" t="str">
        <x:f>'Данные'!A1377</x:f>
        <x:v>232234792</x:v>
      </x:c>
      <x:c r="B1377" s="1" t="str">
        <x:f>'Данные'!B1377</x:f>
        <x:v>futbolkaprint/FreeYourMind-152/белый</x:v>
      </x:c>
      <x:c r="C1377" s="8" t="n">
        <x:f>'Данные'!G1377</x:f>
        <x:v>22739</x:v>
      </x:c>
      <x:c r="D1377" s="15" t="n">
        <x:f>C1377/SUM($C$5:$C$2477)</x:f>
        <x:v>0.00002656423709925185</x:v>
      </x:c>
      <x:c r="E1377" s="15" t="n">
        <x:f>SUM($D$5:D1377)</x:f>
        <x:v>0.9976660807779876</x:v>
      </x:c>
      <x:c r="F1377" s="1" t="str">
        <x:f>IF(C1377&lt;=0,"C",IF(E1377-D1377&lt;'Дашборд'!$C$49,"A",IF(E1377-D1377&lt;'Дашборд'!$C$50,"B","C")))</x:f>
        <x:v>C</x:v>
      </x:c>
      <x:c r="G1377" s="8" t="n">
        <x:f>'Данные'!F1377</x:f>
        <x:v>42</x:v>
      </x:c>
      <x:c r="H1377" s="8" t="n">
        <x:f>SUM('Данные'!H1377:I1377)</x:f>
        <x:v>1</x:v>
      </x:c>
      <x:c r="I1377" s="16" t="n">
        <x:f>IF(H1377&gt;0,G1377/H1377,"n.a.")</x:f>
        <x:v>42</x:v>
      </x:c>
      <x:c r="J1377" s="10" t="n">
        <x:f>IF('Данные'!E1377&gt;0,G1377/'Данные'!E1377,"n.a.")</x:f>
        <x:v>0.005190952910641453</x:v>
      </x:c>
      <x:c r="K1377" s="1" t="str">
        <x:f>IF(G1377&gt;='Дашборд'!$C$51,"X","Z")</x:f>
        <x:v>Z</x:v>
      </x:c>
      <x:c r="L1377" s="1" t="str">
        <x:f>IF(H1377=0,IF(G1377&gt;0,"Нет остатка","Нет спроса"),IF(I1377&gt;='Дашборд'!$C$52,"Быстрый","Медленный"))</x:f>
        <x:v>Быстрый</x:v>
      </x:c>
      <x:c r="M1377" s="1" t="str">
        <x:f>IF('Данные'!E1377&lt;'Дашборд'!$C$53,"Мало трафика",IF(J1377&lt;'Дашборд'!$C$9*'Дашборд'!$C$54,"Да","Нет"))</x:f>
        <x:v>Да</x:v>
      </x:c>
      <x:c r="N1377" s="1" t="str">
        <x:f>IF(AND('Данные'!D1377&gt;='Дашборд'!$C$55,D1377&lt;'Дашборд'!$C$56,'Данные'!E1377&gt;='Дашборд'!$C$53,'Данные'!L1377&lt;&gt;"Да"),"Да","Нет")</x:f>
        <x:v>Нет</x:v>
      </x:c>
      <x:c r="O1377" s="1" t="str">
        <x:f>'Данные'!L1377</x:f>
        <x:v>Нет</x:v>
      </x:c>
    </x:row>
    <x:row r="1378">
      <x:c r="A1378" s="1" t="str">
        <x:f>'Данные'!A1378</x:f>
        <x:v>232234803</x:v>
      </x:c>
      <x:c r="B1378" s="1" t="str">
        <x:f>'Данные'!B1378</x:f>
        <x:v>futbolkaprint/Portofino-156/какао</x:v>
      </x:c>
      <x:c r="C1378" s="8" t="n">
        <x:f>'Данные'!G1378</x:f>
        <x:v>22725</x:v>
      </x:c>
      <x:c r="D1378" s="15" t="n">
        <x:f>C1378/SUM($C$5:$C$2477)</x:f>
        <x:v>0.000026547881968446208</x:v>
      </x:c>
      <x:c r="E1378" s="15" t="n">
        <x:f>SUM($D$5:D1378)</x:f>
        <x:v>0.997692628659956</x:v>
      </x:c>
      <x:c r="F1378" s="1" t="str">
        <x:f>IF(C1378&lt;=0,"C",IF(E1378-D1378&lt;'Дашборд'!$C$49,"A",IF(E1378-D1378&lt;'Дашборд'!$C$50,"B","C")))</x:f>
        <x:v>C</x:v>
      </x:c>
      <x:c r="G1378" s="8" t="n">
        <x:f>'Данные'!F1378</x:f>
        <x:v>31</x:v>
      </x:c>
      <x:c r="H1378" s="8" t="n">
        <x:f>SUM('Данные'!H1378:I1378)</x:f>
        <x:v>0</x:v>
      </x:c>
      <x:c r="I1378" s="16" t="str">
        <x:f>IF(H1378&gt;0,G1378/H1378,"n.a.")</x:f>
        <x:v>n.a.</x:v>
      </x:c>
      <x:c r="J1378" s="10" t="n">
        <x:f>IF('Данные'!E1378&gt;0,G1378/'Данные'!E1378,"n.a.")</x:f>
        <x:v>0.00802485115195444</x:v>
      </x:c>
      <x:c r="K1378" s="1" t="str">
        <x:f>IF(G1378&gt;='Дашборд'!$C$51,"X","Z")</x:f>
        <x:v>Z</x:v>
      </x:c>
      <x:c r="L1378" s="1" t="str">
        <x:f>IF(H1378=0,IF(G1378&gt;0,"Нет остатка","Нет спроса"),IF(I1378&gt;='Дашборд'!$C$52,"Быстрый","Медленный"))</x:f>
        <x:v>Нет остатка</x:v>
      </x:c>
      <x:c r="M1378" s="1" t="str">
        <x:f>IF('Данные'!E1378&lt;'Дашборд'!$C$53,"Мало трафика",IF(J1378&lt;'Дашборд'!$C$9*'Дашборд'!$C$54,"Да","Нет"))</x:f>
        <x:v>Да</x:v>
      </x:c>
      <x:c r="N1378" s="1" t="str">
        <x:f>IF(AND('Данные'!D1378&gt;='Дашборд'!$C$55,D1378&lt;'Дашборд'!$C$56,'Данные'!E1378&gt;='Дашборд'!$C$53,'Данные'!L1378&lt;&gt;"Да"),"Да","Нет")</x:f>
        <x:v>Нет</x:v>
      </x:c>
      <x:c r="O1378" s="1" t="str">
        <x:f>'Данные'!L1378</x:f>
        <x:v>Нет</x:v>
      </x:c>
    </x:row>
    <x:row r="1379">
      <x:c r="A1379" s="1" t="str">
        <x:f>'Данные'!A1379</x:f>
        <x:v>195712697</x:v>
      </x:c>
      <x:c r="B1379" s="1" t="str">
        <x:f>'Данные'!B1379</x:f>
        <x:v>sweater/морскаяволна</x:v>
      </x:c>
      <x:c r="C1379" s="8" t="n">
        <x:f>'Данные'!G1379</x:f>
        <x:v>22646</x:v>
      </x:c>
      <x:c r="D1379" s="15" t="n">
        <x:f>C1379/SUM($C$5:$C$2477)</x:f>
        <x:v>0.000026455592301757218</x:v>
      </x:c>
      <x:c r="E1379" s="15" t="n">
        <x:f>SUM($D$5:D1379)</x:f>
        <x:v>0.9977190842522577</x:v>
      </x:c>
      <x:c r="F1379" s="1" t="str">
        <x:f>IF(C1379&lt;=0,"C",IF(E1379-D1379&lt;'Дашборд'!$C$49,"A",IF(E1379-D1379&lt;'Дашборд'!$C$50,"B","C")))</x:f>
        <x:v>C</x:v>
      </x:c>
      <x:c r="G1379" s="8" t="n">
        <x:f>'Данные'!F1379</x:f>
        <x:v>42</x:v>
      </x:c>
      <x:c r="H1379" s="8" t="n">
        <x:f>SUM('Данные'!H1379:I1379)</x:f>
        <x:v>66</x:v>
      </x:c>
      <x:c r="I1379" s="16" t="n">
        <x:f>IF(H1379&gt;0,G1379/H1379,"n.a.")</x:f>
        <x:v>0.6363636363636364</x:v>
      </x:c>
      <x:c r="J1379" s="10" t="n">
        <x:f>IF('Данные'!E1379&gt;0,G1379/'Данные'!E1379,"n.a.")</x:f>
        <x:v>0.010421836228287842</x:v>
      </x:c>
      <x:c r="K1379" s="1" t="str">
        <x:f>IF(G1379&gt;='Дашборд'!$C$51,"X","Z")</x:f>
        <x:v>Z</x:v>
      </x:c>
      <x:c r="L1379" s="1" t="str">
        <x:f>IF(H1379=0,IF(G1379&gt;0,"Нет остатка","Нет спроса"),IF(I1379&gt;='Дашборд'!$C$52,"Быстрый","Медленный"))</x:f>
        <x:v>Медленный</x:v>
      </x:c>
      <x:c r="M1379" s="1" t="str">
        <x:f>IF('Данные'!E1379&lt;'Дашборд'!$C$53,"Мало трафика",IF(J1379&lt;'Дашборд'!$C$9*'Дашборд'!$C$54,"Да","Нет"))</x:f>
        <x:v>Нет</x:v>
      </x:c>
      <x:c r="N1379" s="1" t="str">
        <x:f>IF(AND('Данные'!D1379&gt;='Дашборд'!$C$55,D1379&lt;'Дашборд'!$C$56,'Данные'!E1379&gt;='Дашборд'!$C$53,'Данные'!L1379&lt;&gt;"Да"),"Да","Нет")</x:f>
        <x:v>Да</x:v>
      </x:c>
      <x:c r="O1379" s="1" t="str">
        <x:f>'Данные'!L1379</x:f>
        <x:v>Нет</x:v>
      </x:c>
    </x:row>
    <x:row r="1380">
      <x:c r="A1380" s="1" t="str">
        <x:f>'Данные'!A1380</x:f>
        <x:v>229653011</x:v>
      </x:c>
      <x:c r="B1380" s="1" t="str">
        <x:f>'Данные'!B1380</x:f>
        <x:v>kostumboy/молочный</x:v>
      </x:c>
      <x:c r="C1380" s="8" t="n">
        <x:f>'Данные'!G1380</x:f>
        <x:v>22244</x:v>
      </x:c>
      <x:c r="D1380" s="15" t="n">
        <x:f>C1380/SUM($C$5:$C$2477)</x:f>
        <x:v>0.000025985966402909458</x:v>
      </x:c>
      <x:c r="E1380" s="15" t="n">
        <x:f>SUM($D$5:D1380)</x:f>
        <x:v>0.9977450702186607</x:v>
      </x:c>
      <x:c r="F1380" s="1" t="str">
        <x:f>IF(C1380&lt;=0,"C",IF(E1380-D1380&lt;'Дашборд'!$C$49,"A",IF(E1380-D1380&lt;'Дашборд'!$C$50,"B","C")))</x:f>
        <x:v>C</x:v>
      </x:c>
      <x:c r="G1380" s="8" t="n">
        <x:f>'Данные'!F1380</x:f>
        <x:v>18</x:v>
      </x:c>
      <x:c r="H1380" s="8" t="n">
        <x:f>SUM('Данные'!H1380:I1380)</x:f>
        <x:v>118</x:v>
      </x:c>
      <x:c r="I1380" s="16" t="n">
        <x:f>IF(H1380&gt;0,G1380/H1380,"n.a.")</x:f>
        <x:v>0.15254237288135594</x:v>
      </x:c>
      <x:c r="J1380" s="10" t="n">
        <x:f>IF('Данные'!E1380&gt;0,G1380/'Данные'!E1380,"n.a.")</x:f>
        <x:v>0.0037562604340567614</x:v>
      </x:c>
      <x:c r="K1380" s="1" t="str">
        <x:f>IF(G1380&gt;='Дашборд'!$C$51,"X","Z")</x:f>
        <x:v>Z</x:v>
      </x:c>
      <x:c r="L1380" s="1" t="str">
        <x:f>IF(H1380=0,IF(G1380&gt;0,"Нет остатка","Нет спроса"),IF(I1380&gt;='Дашборд'!$C$52,"Быстрый","Медленный"))</x:f>
        <x:v>Медленный</x:v>
      </x:c>
      <x:c r="M1380" s="1" t="str">
        <x:f>IF('Данные'!E1380&lt;'Дашборд'!$C$53,"Мало трафика",IF(J1380&lt;'Дашборд'!$C$9*'Дашборд'!$C$54,"Да","Нет"))</x:f>
        <x:v>Да</x:v>
      </x:c>
      <x:c r="N1380" s="1" t="str">
        <x:f>IF(AND('Данные'!D1380&gt;='Дашборд'!$C$55,D1380&lt;'Дашборд'!$C$56,'Данные'!E1380&gt;='Дашборд'!$C$53,'Данные'!L1380&lt;&gt;"Да"),"Да","Нет")</x:f>
        <x:v>Да</x:v>
      </x:c>
      <x:c r="O1380" s="1" t="str">
        <x:f>'Данные'!L1380</x:f>
        <x:v>Нет</x:v>
      </x:c>
    </x:row>
    <x:row r="1381">
      <x:c r="A1381" s="1" t="str">
        <x:f>'Данные'!A1381</x:f>
        <x:v>209915723</x:v>
      </x:c>
      <x:c r="B1381" s="1" t="str">
        <x:f>'Данные'!B1381</x:f>
        <x:v>shorty/мандариновый</x:v>
      </x:c>
      <x:c r="C1381" s="8" t="n">
        <x:f>'Данные'!G1381</x:f>
        <x:v>22213</x:v>
      </x:c>
      <x:c r="D1381" s="15" t="n">
        <x:f>C1381/SUM($C$5:$C$2477)</x:f>
        <x:v>0.00002594975147041125</x:v>
      </x:c>
      <x:c r="E1381" s="15" t="n">
        <x:f>SUM($D$5:D1381)</x:f>
        <x:v>0.9977710199701311</x:v>
      </x:c>
      <x:c r="F1381" s="1" t="str">
        <x:f>IF(C1381&lt;=0,"C",IF(E1381-D1381&lt;'Дашборд'!$C$49,"A",IF(E1381-D1381&lt;'Дашборд'!$C$50,"B","C")))</x:f>
        <x:v>C</x:v>
      </x:c>
      <x:c r="G1381" s="8" t="n">
        <x:f>'Данные'!F1381</x:f>
        <x:v>51</x:v>
      </x:c>
      <x:c r="H1381" s="8" t="n">
        <x:f>SUM('Данные'!H1381:I1381)</x:f>
        <x:v>253</x:v>
      </x:c>
      <x:c r="I1381" s="16" t="n">
        <x:f>IF(H1381&gt;0,G1381/H1381,"n.a.")</x:f>
        <x:v>0.2015810276679842</x:v>
      </x:c>
      <x:c r="J1381" s="10" t="n">
        <x:f>IF('Данные'!E1381&gt;0,G1381/'Данные'!E1381,"n.a.")</x:f>
        <x:v>0.007955077211043519</x:v>
      </x:c>
      <x:c r="K1381" s="1" t="str">
        <x:f>IF(G1381&gt;='Дашборд'!$C$51,"X","Z")</x:f>
        <x:v>Z</x:v>
      </x:c>
      <x:c r="L1381" s="1" t="str">
        <x:f>IF(H1381=0,IF(G1381&gt;0,"Нет остатка","Нет спроса"),IF(I1381&gt;='Дашборд'!$C$52,"Быстрый","Медленный"))</x:f>
        <x:v>Медленный</x:v>
      </x:c>
      <x:c r="M1381" s="1" t="str">
        <x:f>IF('Данные'!E1381&lt;'Дашборд'!$C$53,"Мало трафика",IF(J1381&lt;'Дашборд'!$C$9*'Дашборд'!$C$54,"Да","Нет"))</x:f>
        <x:v>Да</x:v>
      </x:c>
      <x:c r="N1381" s="1" t="str">
        <x:f>IF(AND('Данные'!D1381&gt;='Дашборд'!$C$55,D1381&lt;'Дашборд'!$C$56,'Данные'!E1381&gt;='Дашборд'!$C$53,'Данные'!L1381&lt;&gt;"Да"),"Да","Нет")</x:f>
        <x:v>Нет</x:v>
      </x:c>
      <x:c r="O1381" s="1" t="str">
        <x:f>'Данные'!L1381</x:f>
        <x:v>Нет</x:v>
      </x:c>
    </x:row>
    <x:row r="1382">
      <x:c r="A1382" s="1" t="str">
        <x:f>'Данные'!A1382</x:f>
        <x:v>297440102</x:v>
      </x:c>
      <x:c r="B1382" s="1" t="str">
        <x:f>'Данные'!B1382</x:f>
        <x:v>longover/серый</x:v>
      </x:c>
      <x:c r="C1382" s="8" t="n">
        <x:f>'Данные'!G1382</x:f>
        <x:v>22012</x:v>
      </x:c>
      <x:c r="D1382" s="15" t="n">
        <x:f>C1382/SUM($C$5:$C$2477)</x:f>
        <x:v>0.000025714938520987368</x:v>
      </x:c>
      <x:c r="E1382" s="15" t="n">
        <x:f>SUM($D$5:D1382)</x:f>
        <x:v>0.9977967349086521</x:v>
      </x:c>
      <x:c r="F1382" s="1" t="str">
        <x:f>IF(C1382&lt;=0,"C",IF(E1382-D1382&lt;'Дашборд'!$C$49,"A",IF(E1382-D1382&lt;'Дашборд'!$C$50,"B","C")))</x:f>
        <x:v>C</x:v>
      </x:c>
      <x:c r="G1382" s="8" t="n">
        <x:f>'Данные'!F1382</x:f>
        <x:v>36</x:v>
      </x:c>
      <x:c r="H1382" s="8" t="n">
        <x:f>SUM('Данные'!H1382:I1382)</x:f>
        <x:v>320</x:v>
      </x:c>
      <x:c r="I1382" s="16" t="n">
        <x:f>IF(H1382&gt;0,G1382/H1382,"n.a.")</x:f>
        <x:v>0.1125</x:v>
      </x:c>
      <x:c r="J1382" s="10" t="n">
        <x:f>IF('Данные'!E1382&gt;0,G1382/'Данные'!E1382,"n.a.")</x:f>
        <x:v>0.0012722196699296744</x:v>
      </x:c>
      <x:c r="K1382" s="1" t="str">
        <x:f>IF(G1382&gt;='Дашборд'!$C$51,"X","Z")</x:f>
        <x:v>Z</x:v>
      </x:c>
      <x:c r="L1382" s="1" t="str">
        <x:f>IF(H1382=0,IF(G1382&gt;0,"Нет остатка","Нет спроса"),IF(I1382&gt;='Дашборд'!$C$52,"Быстрый","Медленный"))</x:f>
        <x:v>Медленный</x:v>
      </x:c>
      <x:c r="M1382" s="1" t="str">
        <x:f>IF('Данные'!E1382&lt;'Дашборд'!$C$53,"Мало трафика",IF(J1382&lt;'Дашборд'!$C$9*'Дашборд'!$C$54,"Да","Нет"))</x:f>
        <x:v>Да</x:v>
      </x:c>
      <x:c r="N1382" s="1" t="str">
        <x:f>IF(AND('Данные'!D1382&gt;='Дашборд'!$C$55,D1382&lt;'Дашборд'!$C$56,'Данные'!E1382&gt;='Дашборд'!$C$53,'Данные'!L1382&lt;&gt;"Да"),"Да","Нет")</x:f>
        <x:v>Нет</x:v>
      </x:c>
      <x:c r="O1382" s="1" t="str">
        <x:f>'Данные'!L1382</x:f>
        <x:v>Нет</x:v>
      </x:c>
    </x:row>
    <x:row r="1383">
      <x:c r="A1383" s="1" t="str">
        <x:f>'Данные'!A1383</x:f>
        <x:v>233502091</x:v>
      </x:c>
      <x:c r="B1383" s="1" t="str">
        <x:f>'Данные'!B1383</x:f>
        <x:v>hudigirl/розовый</x:v>
      </x:c>
      <x:c r="C1383" s="8" t="n">
        <x:f>'Данные'!G1383</x:f>
        <x:v>21202</x:v>
      </x:c>
      <x:c r="D1383" s="15" t="n">
        <x:f>C1383/SUM($C$5:$C$2477)</x:f>
        <x:v>0.000024768677381517998</x:v>
      </x:c>
      <x:c r="E1383" s="15" t="n">
        <x:f>SUM($D$5:D1383)</x:f>
        <x:v>0.9978215035860336</x:v>
      </x:c>
      <x:c r="F1383" s="1" t="str">
        <x:f>IF(C1383&lt;=0,"C",IF(E1383-D1383&lt;'Дашборд'!$C$49,"A",IF(E1383-D1383&lt;'Дашборд'!$C$50,"B","C")))</x:f>
        <x:v>C</x:v>
      </x:c>
      <x:c r="G1383" s="8" t="n">
        <x:f>'Данные'!F1383</x:f>
        <x:v>22</x:v>
      </x:c>
      <x:c r="H1383" s="8" t="n">
        <x:f>SUM('Данные'!H1383:I1383)</x:f>
        <x:v>1</x:v>
      </x:c>
      <x:c r="I1383" s="16" t="n">
        <x:f>IF(H1383&gt;0,G1383/H1383,"n.a.")</x:f>
        <x:v>22</x:v>
      </x:c>
      <x:c r="J1383" s="10" t="n">
        <x:f>IF('Данные'!E1383&gt;0,G1383/'Данные'!E1383,"n.a.")</x:f>
        <x:v>0.004295197188598204</x:v>
      </x:c>
      <x:c r="K1383" s="1" t="str">
        <x:f>IF(G1383&gt;='Дашборд'!$C$51,"X","Z")</x:f>
        <x:v>Z</x:v>
      </x:c>
      <x:c r="L1383" s="1" t="str">
        <x:f>IF(H1383=0,IF(G1383&gt;0,"Нет остатка","Нет спроса"),IF(I1383&gt;='Дашборд'!$C$52,"Быстрый","Медленный"))</x:f>
        <x:v>Быстрый</x:v>
      </x:c>
      <x:c r="M1383" s="1" t="str">
        <x:f>IF('Данные'!E1383&lt;'Дашборд'!$C$53,"Мало трафика",IF(J1383&lt;'Дашборд'!$C$9*'Дашборд'!$C$54,"Да","Нет"))</x:f>
        <x:v>Да</x:v>
      </x:c>
      <x:c r="N1383" s="1" t="str">
        <x:f>IF(AND('Данные'!D1383&gt;='Дашборд'!$C$55,D1383&lt;'Дашборд'!$C$56,'Данные'!E1383&gt;='Дашборд'!$C$53,'Данные'!L1383&lt;&gt;"Да"),"Да","Нет")</x:f>
        <x:v>Нет</x:v>
      </x:c>
      <x:c r="O1383" s="1" t="str">
        <x:f>'Данные'!L1383</x:f>
        <x:v>Нет</x:v>
      </x:c>
    </x:row>
    <x:row r="1384">
      <x:c r="A1384" s="1" t="str">
        <x:f>'Данные'!A1384</x:f>
        <x:v>216783590</x:v>
      </x:c>
      <x:c r="B1384" s="1" t="str">
        <x:f>'Данные'!B1384</x:f>
        <x:v>hudiprint/BelMoreSelf-114/красный</x:v>
      </x:c>
      <x:c r="C1384" s="8" t="n">
        <x:f>'Данные'!G1384</x:f>
        <x:v>21150</x:v>
      </x:c>
      <x:c r="D1384" s="15" t="n">
        <x:f>C1384/SUM($C$5:$C$2477)</x:f>
        <x:v>0.00002470792975281132</x:v>
      </x:c>
      <x:c r="E1384" s="15" t="n">
        <x:f>SUM($D$5:D1384)</x:f>
        <x:v>0.9978462115157865</x:v>
      </x:c>
      <x:c r="F1384" s="1" t="str">
        <x:f>IF(C1384&lt;=0,"C",IF(E1384-D1384&lt;'Дашборд'!$C$49,"A",IF(E1384-D1384&lt;'Дашборд'!$C$50,"B","C")))</x:f>
        <x:v>C</x:v>
      </x:c>
      <x:c r="G1384" s="8" t="n">
        <x:f>'Данные'!F1384</x:f>
        <x:v>39</x:v>
      </x:c>
      <x:c r="H1384" s="8" t="n">
        <x:f>SUM('Данные'!H1384:I1384)</x:f>
        <x:v>1</x:v>
      </x:c>
      <x:c r="I1384" s="16" t="n">
        <x:f>IF(H1384&gt;0,G1384/H1384,"n.a.")</x:f>
        <x:v>39</x:v>
      </x:c>
      <x:c r="J1384" s="10" t="n">
        <x:f>IF('Данные'!E1384&gt;0,G1384/'Данные'!E1384,"n.a.")</x:f>
        <x:v>0.008109794135995009</x:v>
      </x:c>
      <x:c r="K1384" s="1" t="str">
        <x:f>IF(G1384&gt;='Дашборд'!$C$51,"X","Z")</x:f>
        <x:v>Z</x:v>
      </x:c>
      <x:c r="L1384" s="1" t="str">
        <x:f>IF(H1384=0,IF(G1384&gt;0,"Нет остатка","Нет спроса"),IF(I1384&gt;='Дашборд'!$C$52,"Быстрый","Медленный"))</x:f>
        <x:v>Быстрый</x:v>
      </x:c>
      <x:c r="M1384" s="1" t="str">
        <x:f>IF('Данные'!E1384&lt;'Дашборд'!$C$53,"Мало трафика",IF(J1384&lt;'Дашборд'!$C$9*'Дашборд'!$C$54,"Да","Нет"))</x:f>
        <x:v>Да</x:v>
      </x:c>
      <x:c r="N1384" s="1" t="str">
        <x:f>IF(AND('Данные'!D1384&gt;='Дашборд'!$C$55,D1384&lt;'Дашборд'!$C$56,'Данные'!E1384&gt;='Дашборд'!$C$53,'Данные'!L1384&lt;&gt;"Да"),"Да","Нет")</x:f>
        <x:v>Нет</x:v>
      </x:c>
      <x:c r="O1384" s="1" t="str">
        <x:f>'Данные'!L1384</x:f>
        <x:v>Нет</x:v>
      </x:c>
    </x:row>
    <x:row r="1385">
      <x:c r="A1385" s="1" t="str">
        <x:f>'Данные'!A1385</x:f>
        <x:v>313770737</x:v>
      </x:c>
      <x:c r="B1385" s="1" t="str">
        <x:f>'Данные'!B1385</x:f>
        <x:v>futbolkaboy/молочный</x:v>
      </x:c>
      <x:c r="C1385" s="8" t="n">
        <x:f>'Данные'!G1385</x:f>
        <x:v>21136</x:v>
      </x:c>
      <x:c r="D1385" s="15" t="n">
        <x:f>C1385/SUM($C$5:$C$2477)</x:f>
        <x:v>0.00002469157462200568</x:v>
      </x:c>
      <x:c r="E1385" s="15" t="n">
        <x:f>SUM($D$5:D1385)</x:f>
        <x:v>0.9978709030904085</x:v>
      </x:c>
      <x:c r="F1385" s="1" t="str">
        <x:f>IF(C1385&lt;=0,"C",IF(E1385-D1385&lt;'Дашборд'!$C$49,"A",IF(E1385-D1385&lt;'Дашборд'!$C$50,"B","C")))</x:f>
        <x:v>C</x:v>
      </x:c>
      <x:c r="G1385" s="8" t="n">
        <x:f>'Данные'!F1385</x:f>
        <x:v>71</x:v>
      </x:c>
      <x:c r="H1385" s="8" t="n">
        <x:f>SUM('Данные'!H1385:I1385)</x:f>
        <x:v>657</x:v>
      </x:c>
      <x:c r="I1385" s="16" t="n">
        <x:f>IF(H1385&gt;0,G1385/H1385,"n.a.")</x:f>
        <x:v>0.1080669710806697</x:v>
      </x:c>
      <x:c r="J1385" s="10" t="n">
        <x:f>IF('Данные'!E1385&gt;0,G1385/'Данные'!E1385,"n.a.")</x:f>
        <x:v>0.011542838562835311</x:v>
      </x:c>
      <x:c r="K1385" s="1" t="str">
        <x:f>IF(G1385&gt;='Дашборд'!$C$51,"X","Z")</x:f>
        <x:v>Z</x:v>
      </x:c>
      <x:c r="L1385" s="1" t="str">
        <x:f>IF(H1385=0,IF(G1385&gt;0,"Нет остатка","Нет спроса"),IF(I1385&gt;='Дашборд'!$C$52,"Быстрый","Медленный"))</x:f>
        <x:v>Медленный</x:v>
      </x:c>
      <x:c r="M1385" s="1" t="str">
        <x:f>IF('Данные'!E1385&lt;'Дашборд'!$C$53,"Мало трафика",IF(J1385&lt;'Дашборд'!$C$9*'Дашборд'!$C$54,"Да","Нет"))</x:f>
        <x:v>Нет</x:v>
      </x:c>
      <x:c r="N1385" s="1" t="str">
        <x:f>IF(AND('Данные'!D1385&gt;='Дашборд'!$C$55,D1385&lt;'Дашборд'!$C$56,'Данные'!E1385&gt;='Дашборд'!$C$53,'Данные'!L1385&lt;&gt;"Да"),"Да","Нет")</x:f>
        <x:v>Да</x:v>
      </x:c>
      <x:c r="O1385" s="1" t="str">
        <x:f>'Данные'!L1385</x:f>
        <x:v>Нет</x:v>
      </x:c>
    </x:row>
    <x:row r="1386">
      <x:c r="A1386" s="1" t="str">
        <x:f>'Данные'!A1386</x:f>
        <x:v>256323201</x:v>
      </x:c>
      <x:c r="B1386" s="1" t="str">
        <x:f>'Данные'!B1386</x:f>
        <x:v>futhlopmanover/серый</x:v>
      </x:c>
      <x:c r="C1386" s="8" t="n">
        <x:f>'Данные'!G1386</x:f>
        <x:v>20748</x:v>
      </x:c>
      <x:c r="D1386" s="15" t="n">
        <x:f>C1386/SUM($C$5:$C$2477)</x:f>
        <x:v>0.00002423830385396356</x:v>
      </x:c>
      <x:c r="E1386" s="15" t="n">
        <x:f>SUM($D$5:D1386)</x:f>
        <x:v>0.9978951413942625</x:v>
      </x:c>
      <x:c r="F1386" s="1" t="str">
        <x:f>IF(C1386&lt;=0,"C",IF(E1386-D1386&lt;'Дашборд'!$C$49,"A",IF(E1386-D1386&lt;'Дашборд'!$C$50,"B","C")))</x:f>
        <x:v>C</x:v>
      </x:c>
      <x:c r="G1386" s="8" t="n">
        <x:f>'Данные'!F1386</x:f>
        <x:v>40</x:v>
      </x:c>
      <x:c r="H1386" s="8" t="n">
        <x:f>SUM('Данные'!H1386:I1386)</x:f>
        <x:v>0</x:v>
      </x:c>
      <x:c r="I1386" s="16" t="str">
        <x:f>IF(H1386&gt;0,G1386/H1386,"n.a.")</x:f>
        <x:v>n.a.</x:v>
      </x:c>
      <x:c r="J1386" s="10" t="n">
        <x:f>IF('Данные'!E1386&gt;0,G1386/'Данные'!E1386,"n.a.")</x:f>
        <x:v>0.007142857142857143</x:v>
      </x:c>
      <x:c r="K1386" s="1" t="str">
        <x:f>IF(G1386&gt;='Дашборд'!$C$51,"X","Z")</x:f>
        <x:v>Z</x:v>
      </x:c>
      <x:c r="L1386" s="1" t="str">
        <x:f>IF(H1386=0,IF(G1386&gt;0,"Нет остатка","Нет спроса"),IF(I1386&gt;='Дашборд'!$C$52,"Быстрый","Медленный"))</x:f>
        <x:v>Нет остатка</x:v>
      </x:c>
      <x:c r="M1386" s="1" t="str">
        <x:f>IF('Данные'!E1386&lt;'Дашборд'!$C$53,"Мало трафика",IF(J1386&lt;'Дашборд'!$C$9*'Дашборд'!$C$54,"Да","Нет"))</x:f>
        <x:v>Да</x:v>
      </x:c>
      <x:c r="N1386" s="1" t="str">
        <x:f>IF(AND('Данные'!D1386&gt;='Дашборд'!$C$55,D1386&lt;'Дашборд'!$C$56,'Данные'!E1386&gt;='Дашборд'!$C$53,'Данные'!L1386&lt;&gt;"Да"),"Да","Нет")</x:f>
        <x:v>Нет</x:v>
      </x:c>
      <x:c r="O1386" s="1" t="str">
        <x:f>'Данные'!L1386</x:f>
        <x:v>Нет</x:v>
      </x:c>
    </x:row>
    <x:row r="1387">
      <x:c r="A1387" s="1" t="str">
        <x:f>'Данные'!A1387</x:f>
        <x:v>116670019</x:v>
      </x:c>
      <x:c r="B1387" s="1" t="str">
        <x:f>'Данные'!B1387</x:f>
        <x:v>longsliv/сине-морской</x:v>
      </x:c>
      <x:c r="C1387" s="8" t="n">
        <x:f>'Данные'!G1387</x:f>
        <x:v>20572</x:v>
      </x:c>
      <x:c r="D1387" s="15" t="n">
        <x:f>C1387/SUM($C$5:$C$2477)</x:f>
        <x:v>0.000024032696495264044</x:v>
      </x:c>
      <x:c r="E1387" s="15" t="n">
        <x:f>SUM($D$5:D1387)</x:f>
        <x:v>0.9979191740907578</x:v>
      </x:c>
      <x:c r="F1387" s="1" t="str">
        <x:f>IF(C1387&lt;=0,"C",IF(E1387-D1387&lt;'Дашборд'!$C$49,"A",IF(E1387-D1387&lt;'Дашборд'!$C$50,"B","C")))</x:f>
        <x:v>C</x:v>
      </x:c>
      <x:c r="G1387" s="8" t="n">
        <x:f>'Данные'!F1387</x:f>
        <x:v>146</x:v>
      </x:c>
      <x:c r="H1387" s="8" t="n">
        <x:f>SUM('Данные'!H1387:I1387)</x:f>
        <x:v>682</x:v>
      </x:c>
      <x:c r="I1387" s="16" t="n">
        <x:f>IF(H1387&gt;0,G1387/H1387,"n.a.")</x:f>
        <x:v>0.21407624633431085</x:v>
      </x:c>
      <x:c r="J1387" s="10" t="n">
        <x:f>IF('Данные'!E1387&gt;0,G1387/'Данные'!E1387,"n.a.")</x:f>
        <x:v>0.011062282163964238</x:v>
      </x:c>
      <x:c r="K1387" s="1" t="str">
        <x:f>IF(G1387&gt;='Дашборд'!$C$51,"X","Z")</x:f>
        <x:v>Z</x:v>
      </x:c>
      <x:c r="L1387" s="1" t="str">
        <x:f>IF(H1387=0,IF(G1387&gt;0,"Нет остатка","Нет спроса"),IF(I1387&gt;='Дашборд'!$C$52,"Быстрый","Медленный"))</x:f>
        <x:v>Медленный</x:v>
      </x:c>
      <x:c r="M1387" s="1" t="str">
        <x:f>IF('Данные'!E1387&lt;'Дашборд'!$C$53,"Мало трафика",IF(J1387&lt;'Дашборд'!$C$9*'Дашборд'!$C$54,"Да","Нет"))</x:f>
        <x:v>Нет</x:v>
      </x:c>
      <x:c r="N1387" s="1" t="str">
        <x:f>IF(AND('Данные'!D1387&gt;='Дашборд'!$C$55,D1387&lt;'Дашборд'!$C$56,'Данные'!E1387&gt;='Дашборд'!$C$53,'Данные'!L1387&lt;&gt;"Да"),"Да","Нет")</x:f>
        <x:v>Да</x:v>
      </x:c>
      <x:c r="O1387" s="1" t="str">
        <x:f>'Данные'!L1387</x:f>
        <x:v>Нет</x:v>
      </x:c>
    </x:row>
    <x:row r="1388">
      <x:c r="A1388" s="1" t="str">
        <x:f>'Данные'!A1388</x:f>
        <x:v>209143707</x:v>
      </x:c>
      <x:c r="B1388" s="1" t="str">
        <x:f>'Данные'!B1388</x:f>
        <x:v>kulirkamanprint/FREEDOM-67/молочный</x:v>
      </x:c>
      <x:c r="C1388" s="8" t="n">
        <x:f>'Данные'!G1388</x:f>
        <x:v>20480</x:v>
      </x:c>
      <x:c r="D1388" s="15" t="n">
        <x:f>C1388/SUM($C$5:$C$2477)</x:f>
        <x:v>0.000023925219921398386</x:v>
      </x:c>
      <x:c r="E1388" s="15" t="n">
        <x:f>SUM($D$5:D1388)</x:f>
        <x:v>0.9979430993106793</x:v>
      </x:c>
      <x:c r="F1388" s="1" t="str">
        <x:f>IF(C1388&lt;=0,"C",IF(E1388-D1388&lt;'Дашборд'!$C$49,"A",IF(E1388-D1388&lt;'Дашборд'!$C$50,"B","C")))</x:f>
        <x:v>C</x:v>
      </x:c>
      <x:c r="G1388" s="8" t="n">
        <x:f>'Данные'!F1388</x:f>
        <x:v>50</x:v>
      </x:c>
      <x:c r="H1388" s="8" t="n">
        <x:f>SUM('Данные'!H1388:I1388)</x:f>
        <x:v>107</x:v>
      </x:c>
      <x:c r="I1388" s="16" t="n">
        <x:f>IF(H1388&gt;0,G1388/H1388,"n.a.")</x:f>
        <x:v>0.4672897196261682</x:v>
      </x:c>
      <x:c r="J1388" s="10" t="n">
        <x:f>IF('Данные'!E1388&gt;0,G1388/'Данные'!E1388,"n.a.")</x:f>
        <x:v>0.01326963906581741</x:v>
      </x:c>
      <x:c r="K1388" s="1" t="str">
        <x:f>IF(G1388&gt;='Дашборд'!$C$51,"X","Z")</x:f>
        <x:v>Z</x:v>
      </x:c>
      <x:c r="L1388" s="1" t="str">
        <x:f>IF(H1388=0,IF(G1388&gt;0,"Нет остатка","Нет спроса"),IF(I1388&gt;='Дашборд'!$C$52,"Быстрый","Медленный"))</x:f>
        <x:v>Медленный</x:v>
      </x:c>
      <x:c r="M1388" s="1" t="str">
        <x:f>IF('Данные'!E1388&lt;'Дашборд'!$C$53,"Мало трафика",IF(J1388&lt;'Дашборд'!$C$9*'Дашборд'!$C$54,"Да","Нет"))</x:f>
        <x:v>Нет</x:v>
      </x:c>
      <x:c r="N1388" s="1" t="str">
        <x:f>IF(AND('Данные'!D1388&gt;='Дашборд'!$C$55,D1388&lt;'Дашборд'!$C$56,'Данные'!E1388&gt;='Дашборд'!$C$53,'Данные'!L1388&lt;&gt;"Да"),"Да","Нет")</x:f>
        <x:v>Да</x:v>
      </x:c>
      <x:c r="O1388" s="1" t="str">
        <x:f>'Данные'!L1388</x:f>
        <x:v>Нет</x:v>
      </x:c>
    </x:row>
    <x:row r="1389">
      <x:c r="A1389" s="1" t="str">
        <x:f>'Данные'!A1389</x:f>
        <x:v>313770751</x:v>
      </x:c>
      <x:c r="B1389" s="1" t="str">
        <x:f>'Данные'!B1389</x:f>
        <x:v>futbolkaboy/кофейный</x:v>
      </x:c>
      <x:c r="C1389" s="8" t="n">
        <x:f>'Данные'!G1389</x:f>
        <x:v>20330</x:v>
      </x:c>
      <x:c r="D1389" s="15" t="n">
        <x:f>C1389/SUM($C$5:$C$2477)</x:f>
        <x:v>0.000023749986377052207</x:v>
      </x:c>
      <x:c r="E1389" s="15" t="n">
        <x:f>SUM($D$5:D1389)</x:f>
        <x:v>0.9979668492970563</x:v>
      </x:c>
      <x:c r="F1389" s="1" t="str">
        <x:f>IF(C1389&lt;=0,"C",IF(E1389-D1389&lt;'Дашборд'!$C$49,"A",IF(E1389-D1389&lt;'Дашборд'!$C$50,"B","C")))</x:f>
        <x:v>C</x:v>
      </x:c>
      <x:c r="G1389" s="8" t="n">
        <x:f>'Данные'!F1389</x:f>
        <x:v>75</x:v>
      </x:c>
      <x:c r="H1389" s="8" t="n">
        <x:f>SUM('Данные'!H1389:I1389)</x:f>
        <x:v>0</x:v>
      </x:c>
      <x:c r="I1389" s="16" t="str">
        <x:f>IF(H1389&gt;0,G1389/H1389,"n.a.")</x:f>
        <x:v>n.a.</x:v>
      </x:c>
      <x:c r="J1389" s="10" t="n">
        <x:f>IF('Данные'!E1389&gt;0,G1389/'Данные'!E1389,"n.a.")</x:f>
        <x:v>0.008220078912757563</x:v>
      </x:c>
      <x:c r="K1389" s="1" t="str">
        <x:f>IF(G1389&gt;='Дашборд'!$C$51,"X","Z")</x:f>
        <x:v>Z</x:v>
      </x:c>
      <x:c r="L1389" s="1" t="str">
        <x:f>IF(H1389=0,IF(G1389&gt;0,"Нет остатка","Нет спроса"),IF(I1389&gt;='Дашборд'!$C$52,"Быстрый","Медленный"))</x:f>
        <x:v>Нет остатка</x:v>
      </x:c>
      <x:c r="M1389" s="1" t="str">
        <x:f>IF('Данные'!E1389&lt;'Дашборд'!$C$53,"Мало трафика",IF(J1389&lt;'Дашборд'!$C$9*'Дашборд'!$C$54,"Да","Нет"))</x:f>
        <x:v>Да</x:v>
      </x:c>
      <x:c r="N1389" s="1" t="str">
        <x:f>IF(AND('Данные'!D1389&gt;='Дашборд'!$C$55,D1389&lt;'Дашборд'!$C$56,'Данные'!E1389&gt;='Дашборд'!$C$53,'Данные'!L1389&lt;&gt;"Да"),"Да","Нет")</x:f>
        <x:v>Да</x:v>
      </x:c>
      <x:c r="O1389" s="1" t="str">
        <x:f>'Данные'!L1389</x:f>
        <x:v>Нет</x:v>
      </x:c>
    </x:row>
    <x:row r="1390">
      <x:c r="A1390" s="1" t="str">
        <x:f>'Данные'!A1390</x:f>
        <x:v>313770752</x:v>
      </x:c>
      <x:c r="B1390" s="1" t="str">
        <x:f>'Данные'!B1390</x:f>
        <x:v>futbolkaboy/деним</x:v>
      </x:c>
      <x:c r="C1390" s="8" t="n">
        <x:f>'Данные'!G1390</x:f>
        <x:v>20238</x:v>
      </x:c>
      <x:c r="D1390" s="15" t="n">
        <x:f>C1390/SUM($C$5:$C$2477)</x:f>
        <x:v>0.000023642509803186548</x:v>
      </x:c>
      <x:c r="E1390" s="15" t="n">
        <x:f>SUM($D$5:D1390)</x:f>
        <x:v>0.9979904918068594</x:v>
      </x:c>
      <x:c r="F1390" s="1" t="str">
        <x:f>IF(C1390&lt;=0,"C",IF(E1390-D1390&lt;'Дашборд'!$C$49,"A",IF(E1390-D1390&lt;'Дашборд'!$C$50,"B","C")))</x:f>
        <x:v>C</x:v>
      </x:c>
      <x:c r="G1390" s="8" t="n">
        <x:f>'Данные'!F1390</x:f>
        <x:v>63</x:v>
      </x:c>
      <x:c r="H1390" s="8" t="n">
        <x:f>SUM('Данные'!H1390:I1390)</x:f>
        <x:v>238</x:v>
      </x:c>
      <x:c r="I1390" s="16" t="n">
        <x:f>IF(H1390&gt;0,G1390/H1390,"n.a.")</x:f>
        <x:v>0.2647058823529412</x:v>
      </x:c>
      <x:c r="J1390" s="10" t="n">
        <x:f>IF('Данные'!E1390&gt;0,G1390/'Данные'!E1390,"n.a.")</x:f>
        <x:v>0.011585141596175064</x:v>
      </x:c>
      <x:c r="K1390" s="1" t="str">
        <x:f>IF(G1390&gt;='Дашборд'!$C$51,"X","Z")</x:f>
        <x:v>Z</x:v>
      </x:c>
      <x:c r="L1390" s="1" t="str">
        <x:f>IF(H1390=0,IF(G1390&gt;0,"Нет остатка","Нет спроса"),IF(I1390&gt;='Дашборд'!$C$52,"Быстрый","Медленный"))</x:f>
        <x:v>Медленный</x:v>
      </x:c>
      <x:c r="M1390" s="1" t="str">
        <x:f>IF('Данные'!E1390&lt;'Дашборд'!$C$53,"Мало трафика",IF(J1390&lt;'Дашборд'!$C$9*'Дашборд'!$C$54,"Да","Нет"))</x:f>
        <x:v>Нет</x:v>
      </x:c>
      <x:c r="N1390" s="1" t="str">
        <x:f>IF(AND('Данные'!D1390&gt;='Дашборд'!$C$55,D1390&lt;'Дашборд'!$C$56,'Данные'!E1390&gt;='Дашборд'!$C$53,'Данные'!L1390&lt;&gt;"Да"),"Да","Нет")</x:f>
        <x:v>Да</x:v>
      </x:c>
      <x:c r="O1390" s="1" t="str">
        <x:f>'Данные'!L1390</x:f>
        <x:v>Нет</x:v>
      </x:c>
    </x:row>
    <x:row r="1391">
      <x:c r="A1391" s="1" t="str">
        <x:f>'Данные'!A1391</x:f>
        <x:v>256315192</x:v>
      </x:c>
      <x:c r="B1391" s="1" t="str">
        <x:f>'Данные'!B1391</x:f>
        <x:v>bazahlop/розовый</x:v>
      </x:c>
      <x:c r="C1391" s="8" t="n">
        <x:f>'Данные'!G1391</x:f>
        <x:v>19977</x:v>
      </x:c>
      <x:c r="D1391" s="15" t="n">
        <x:f>C1391/SUM($C$5:$C$2477)</x:f>
        <x:v>0.000023337603436024196</x:v>
      </x:c>
      <x:c r="E1391" s="15" t="n">
        <x:f>SUM($D$5:D1391)</x:f>
        <x:v>0.9980138294102954</x:v>
      </x:c>
      <x:c r="F1391" s="1" t="str">
        <x:f>IF(C1391&lt;=0,"C",IF(E1391-D1391&lt;'Дашборд'!$C$49,"A",IF(E1391-D1391&lt;'Дашборд'!$C$50,"B","C")))</x:f>
        <x:v>C</x:v>
      </x:c>
      <x:c r="G1391" s="8" t="n">
        <x:f>'Данные'!F1391</x:f>
        <x:v>62</x:v>
      </x:c>
      <x:c r="H1391" s="8" t="n">
        <x:f>SUM('Данные'!H1391:I1391)</x:f>
        <x:v>372</x:v>
      </x:c>
      <x:c r="I1391" s="16" t="n">
        <x:f>IF(H1391&gt;0,G1391/H1391,"n.a.")</x:f>
        <x:v>0.16666666666666666</x:v>
      </x:c>
      <x:c r="J1391" s="10" t="n">
        <x:f>IF('Данные'!E1391&gt;0,G1391/'Данные'!E1391,"n.a.")</x:f>
        <x:v>0.00913780397936625</x:v>
      </x:c>
      <x:c r="K1391" s="1" t="str">
        <x:f>IF(G1391&gt;='Дашборд'!$C$51,"X","Z")</x:f>
        <x:v>Z</x:v>
      </x:c>
      <x:c r="L1391" s="1" t="str">
        <x:f>IF(H1391=0,IF(G1391&gt;0,"Нет остатка","Нет спроса"),IF(I1391&gt;='Дашборд'!$C$52,"Быстрый","Медленный"))</x:f>
        <x:v>Медленный</x:v>
      </x:c>
      <x:c r="M1391" s="1" t="str">
        <x:f>IF('Данные'!E1391&lt;'Дашборд'!$C$53,"Мало трафика",IF(J1391&lt;'Дашборд'!$C$9*'Дашборд'!$C$54,"Да","Нет"))</x:f>
        <x:v>Да</x:v>
      </x:c>
      <x:c r="N1391" s="1" t="str">
        <x:f>IF(AND('Данные'!D1391&gt;='Дашборд'!$C$55,D1391&lt;'Дашборд'!$C$56,'Данные'!E1391&gt;='Дашборд'!$C$53,'Данные'!L1391&lt;&gt;"Да"),"Да","Нет")</x:f>
        <x:v>Нет</x:v>
      </x:c>
      <x:c r="O1391" s="1" t="str">
        <x:f>'Данные'!L1391</x:f>
        <x:v>Нет</x:v>
      </x:c>
    </x:row>
    <x:row r="1392">
      <x:c r="A1392" s="1" t="str">
        <x:f>'Данные'!A1392</x:f>
        <x:v>344319376</x:v>
      </x:c>
      <x:c r="B1392" s="1" t="str">
        <x:f>'Данные'!B1392</x:f>
        <x:v>toprib3R-82/бордовый</x:v>
      </x:c>
      <x:c r="C1392" s="8" t="n">
        <x:f>'Данные'!G1392</x:f>
        <x:v>19708</x:v>
      </x:c>
      <x:c r="D1392" s="15" t="n">
        <x:f>C1392/SUM($C$5:$C$2477)</x:f>
        <x:v>0.00002302335127983005</x:v>
      </x:c>
      <x:c r="E1392" s="15" t="n">
        <x:f>SUM($D$5:D1392)</x:f>
        <x:v>0.9980368527615752</x:v>
      </x:c>
      <x:c r="F1392" s="1" t="str">
        <x:f>IF(C1392&lt;=0,"C",IF(E1392-D1392&lt;'Дашборд'!$C$49,"A",IF(E1392-D1392&lt;'Дашборд'!$C$50,"B","C")))</x:f>
        <x:v>C</x:v>
      </x:c>
      <x:c r="G1392" s="8" t="n">
        <x:f>'Данные'!F1392</x:f>
        <x:v>90</x:v>
      </x:c>
      <x:c r="H1392" s="8" t="n">
        <x:f>SUM('Данные'!H1392:I1392)</x:f>
        <x:v>699</x:v>
      </x:c>
      <x:c r="I1392" s="16" t="n">
        <x:f>IF(H1392&gt;0,G1392/H1392,"n.a.")</x:f>
        <x:v>0.12875536480686695</x:v>
      </x:c>
      <x:c r="J1392" s="10" t="n">
        <x:f>IF('Данные'!E1392&gt;0,G1392/'Данные'!E1392,"n.a.")</x:f>
        <x:v>0.007719358435543357</x:v>
      </x:c>
      <x:c r="K1392" s="1" t="str">
        <x:f>IF(G1392&gt;='Дашборд'!$C$51,"X","Z")</x:f>
        <x:v>Z</x:v>
      </x:c>
      <x:c r="L1392" s="1" t="str">
        <x:f>IF(H1392=0,IF(G1392&gt;0,"Нет остатка","Нет спроса"),IF(I1392&gt;='Дашборд'!$C$52,"Быстрый","Медленный"))</x:f>
        <x:v>Медленный</x:v>
      </x:c>
      <x:c r="M1392" s="1" t="str">
        <x:f>IF('Данные'!E1392&lt;'Дашборд'!$C$53,"Мало трафика",IF(J1392&lt;'Дашборд'!$C$9*'Дашборд'!$C$54,"Да","Нет"))</x:f>
        <x:v>Да</x:v>
      </x:c>
      <x:c r="N1392" s="1" t="str">
        <x:f>IF(AND('Данные'!D1392&gt;='Дашборд'!$C$55,D1392&lt;'Дашборд'!$C$56,'Данные'!E1392&gt;='Дашборд'!$C$53,'Данные'!L1392&lt;&gt;"Да"),"Да","Нет")</x:f>
        <x:v>Нет</x:v>
      </x:c>
      <x:c r="O1392" s="1" t="str">
        <x:f>'Данные'!L1392</x:f>
        <x:v>Нет</x:v>
      </x:c>
    </x:row>
    <x:row r="1393">
      <x:c r="A1393" s="1" t="str">
        <x:f>'Данные'!A1393</x:f>
        <x:v>361823570</x:v>
      </x:c>
      <x:c r="B1393" s="1" t="str">
        <x:f>'Данные'!B1393</x:f>
        <x:v>futhlopman/бордовый</x:v>
      </x:c>
      <x:c r="C1393" s="8" t="n">
        <x:f>'Данные'!G1393</x:f>
        <x:v>19220</x:v>
      </x:c>
      <x:c r="D1393" s="15" t="n">
        <x:f>C1393/SUM($C$5:$C$2477)</x:f>
        <x:v>0.000022453258148890478</x:v>
      </x:c>
      <x:c r="E1393" s="15" t="n">
        <x:f>SUM($D$5:D1393)</x:f>
        <x:v>0.998059306019724</x:v>
      </x:c>
      <x:c r="F1393" s="1" t="str">
        <x:f>IF(C1393&lt;=0,"C",IF(E1393-D1393&lt;'Дашборд'!$C$49,"A",IF(E1393-D1393&lt;'Дашборд'!$C$50,"B","C")))</x:f>
        <x:v>C</x:v>
      </x:c>
      <x:c r="G1393" s="8" t="n">
        <x:f>'Данные'!F1393</x:f>
        <x:v>68</x:v>
      </x:c>
      <x:c r="H1393" s="8" t="n">
        <x:f>SUM('Данные'!H1393:I1393)</x:f>
        <x:v>130</x:v>
      </x:c>
      <x:c r="I1393" s="16" t="n">
        <x:f>IF(H1393&gt;0,G1393/H1393,"n.a.")</x:f>
        <x:v>0.5230769230769231</x:v>
      </x:c>
      <x:c r="J1393" s="10" t="n">
        <x:f>IF('Данные'!E1393&gt;0,G1393/'Данные'!E1393,"n.a.")</x:f>
        <x:v>0.0073561228905235825</x:v>
      </x:c>
      <x:c r="K1393" s="1" t="str">
        <x:f>IF(G1393&gt;='Дашборд'!$C$51,"X","Z")</x:f>
        <x:v>Z</x:v>
      </x:c>
      <x:c r="L1393" s="1" t="str">
        <x:f>IF(H1393=0,IF(G1393&gt;0,"Нет остатка","Нет спроса"),IF(I1393&gt;='Дашборд'!$C$52,"Быстрый","Медленный"))</x:f>
        <x:v>Медленный</x:v>
      </x:c>
      <x:c r="M1393" s="1" t="str">
        <x:f>IF('Данные'!E1393&lt;'Дашборд'!$C$53,"Мало трафика",IF(J1393&lt;'Дашборд'!$C$9*'Дашборд'!$C$54,"Да","Нет"))</x:f>
        <x:v>Да</x:v>
      </x:c>
      <x:c r="N1393" s="1" t="str">
        <x:f>IF(AND('Данные'!D1393&gt;='Дашборд'!$C$55,D1393&lt;'Дашборд'!$C$56,'Данные'!E1393&gt;='Дашборд'!$C$53,'Данные'!L1393&lt;&gt;"Да"),"Да","Нет")</x:f>
        <x:v>Нет</x:v>
      </x:c>
      <x:c r="O1393" s="1" t="str">
        <x:f>'Данные'!L1393</x:f>
        <x:v>Нет</x:v>
      </x:c>
    </x:row>
    <x:row r="1394">
      <x:c r="A1394" s="1" t="str">
        <x:f>'Данные'!A1394</x:f>
        <x:v>195315575</x:v>
      </x:c>
      <x:c r="B1394" s="1" t="str">
        <x:f>'Данные'!B1394</x:f>
        <x:v>hudiprint/MoreSelf-44/черный</x:v>
      </x:c>
      <x:c r="C1394" s="8" t="n">
        <x:f>'Данные'!G1394</x:f>
        <x:v>19140</x:v>
      </x:c>
      <x:c r="D1394" s="15" t="n">
        <x:f>C1394/SUM($C$5:$C$2477)</x:f>
        <x:v>0.000022359800258572517</x:v>
      </x:c>
      <x:c r="E1394" s="15" t="n">
        <x:f>SUM($D$5:D1394)</x:f>
        <x:v>0.9980816658199826</x:v>
      </x:c>
      <x:c r="F1394" s="1" t="str">
        <x:f>IF(C1394&lt;=0,"C",IF(E1394-D1394&lt;'Дашборд'!$C$49,"A",IF(E1394-D1394&lt;'Дашборд'!$C$50,"B","C")))</x:f>
        <x:v>C</x:v>
      </x:c>
      <x:c r="G1394" s="8" t="n">
        <x:f>'Данные'!F1394</x:f>
        <x:v>15</x:v>
      </x:c>
      <x:c r="H1394" s="8" t="n">
        <x:f>SUM('Данные'!H1394:I1394)</x:f>
        <x:v>6</x:v>
      </x:c>
      <x:c r="I1394" s="16" t="n">
        <x:f>IF(H1394&gt;0,G1394/H1394,"n.a.")</x:f>
        <x:v>2.5</x:v>
      </x:c>
      <x:c r="J1394" s="10" t="n">
        <x:f>IF('Данные'!E1394&gt;0,G1394/'Данные'!E1394,"n.a.")</x:f>
        <x:v>0.008143322475570033</x:v>
      </x:c>
      <x:c r="K1394" s="1" t="str">
        <x:f>IF(G1394&gt;='Дашборд'!$C$51,"X","Z")</x:f>
        <x:v>Z</x:v>
      </x:c>
      <x:c r="L1394" s="1" t="str">
        <x:f>IF(H1394=0,IF(G1394&gt;0,"Нет остатка","Нет спроса"),IF(I1394&gt;='Дашборд'!$C$52,"Быстрый","Медленный"))</x:f>
        <x:v>Быстрый</x:v>
      </x:c>
      <x:c r="M1394" s="1" t="str">
        <x:f>IF('Данные'!E1394&lt;'Дашборд'!$C$53,"Мало трафика",IF(J1394&lt;'Дашборд'!$C$9*'Дашборд'!$C$54,"Да","Нет"))</x:f>
        <x:v>Да</x:v>
      </x:c>
      <x:c r="N1394" s="1" t="str">
        <x:f>IF(AND('Данные'!D1394&gt;='Дашборд'!$C$55,D1394&lt;'Дашборд'!$C$56,'Данные'!E1394&gt;='Дашборд'!$C$53,'Данные'!L1394&lt;&gt;"Да"),"Да","Нет")</x:f>
        <x:v>Нет</x:v>
      </x:c>
      <x:c r="O1394" s="1" t="str">
        <x:f>'Данные'!L1394</x:f>
        <x:v>Нет</x:v>
      </x:c>
    </x:row>
    <x:row r="1395">
      <x:c r="A1395" s="1" t="str">
        <x:f>'Данные'!A1395</x:f>
        <x:v>181355539</x:v>
      </x:c>
      <x:c r="B1395" s="1" t="str">
        <x:f>'Данные'!B1395</x:f>
        <x:v>sweater/песочный</x:v>
      </x:c>
      <x:c r="C1395" s="8" t="n">
        <x:f>'Данные'!G1395</x:f>
        <x:v>19021</x:v>
      </x:c>
      <x:c r="D1395" s="15" t="n">
        <x:f>C1395/SUM($C$5:$C$2477)</x:f>
        <x:v>0.000022220781646724547</x:v>
      </x:c>
      <x:c r="E1395" s="15" t="n">
        <x:f>SUM($D$5:D1395)</x:f>
        <x:v>0.9981038866016293</x:v>
      </x:c>
      <x:c r="F1395" s="1" t="str">
        <x:f>IF(C1395&lt;=0,"C",IF(E1395-D1395&lt;'Дашборд'!$C$49,"A",IF(E1395-D1395&lt;'Дашборд'!$C$50,"B","C")))</x:f>
        <x:v>C</x:v>
      </x:c>
      <x:c r="G1395" s="8" t="n">
        <x:f>'Данные'!F1395</x:f>
        <x:v>28</x:v>
      </x:c>
      <x:c r="H1395" s="8" t="n">
        <x:f>SUM('Данные'!H1395:I1395)</x:f>
        <x:v>26</x:v>
      </x:c>
      <x:c r="I1395" s="16" t="n">
        <x:f>IF(H1395&gt;0,G1395/H1395,"n.a.")</x:f>
        <x:v>1.0769230769230769</x:v>
      </x:c>
      <x:c r="J1395" s="10" t="n">
        <x:f>IF('Данные'!E1395&gt;0,G1395/'Данные'!E1395,"n.a.")</x:f>
        <x:v>0.0062724014336917565</x:v>
      </x:c>
      <x:c r="K1395" s="1" t="str">
        <x:f>IF(G1395&gt;='Дашборд'!$C$51,"X","Z")</x:f>
        <x:v>Z</x:v>
      </x:c>
      <x:c r="L1395" s="1" t="str">
        <x:f>IF(H1395=0,IF(G1395&gt;0,"Нет остатка","Нет спроса"),IF(I1395&gt;='Дашборд'!$C$52,"Быстрый","Медленный"))</x:f>
        <x:v>Быстрый</x:v>
      </x:c>
      <x:c r="M1395" s="1" t="str">
        <x:f>IF('Данные'!E1395&lt;'Дашборд'!$C$53,"Мало трафика",IF(J1395&lt;'Дашборд'!$C$9*'Дашборд'!$C$54,"Да","Нет"))</x:f>
        <x:v>Да</x:v>
      </x:c>
      <x:c r="N1395" s="1" t="str">
        <x:f>IF(AND('Данные'!D1395&gt;='Дашборд'!$C$55,D1395&lt;'Дашборд'!$C$56,'Данные'!E1395&gt;='Дашборд'!$C$53,'Данные'!L1395&lt;&gt;"Да"),"Да","Нет")</x:f>
        <x:v>Да</x:v>
      </x:c>
      <x:c r="O1395" s="1" t="str">
        <x:f>'Данные'!L1395</x:f>
        <x:v>Нет</x:v>
      </x:c>
    </x:row>
    <x:row r="1396">
      <x:c r="A1396" s="1" t="str">
        <x:f>'Данные'!A1396</x:f>
        <x:v>210618387</x:v>
      </x:c>
      <x:c r="B1396" s="1" t="str">
        <x:f>'Данные'!B1396</x:f>
        <x:v>kostkulirkaover/голубой</x:v>
      </x:c>
      <x:c r="C1396" s="8" t="n">
        <x:f>'Данные'!G1396</x:f>
        <x:v>18912</x:v>
      </x:c>
      <x:c r="D1396" s="15" t="n">
        <x:f>C1396/SUM($C$5:$C$2477)</x:f>
        <x:v>0.000022093445271166323</x:v>
      </x:c>
      <x:c r="E1396" s="15" t="n">
        <x:f>SUM($D$5:D1396)</x:f>
        <x:v>0.9981259800469005</x:v>
      </x:c>
      <x:c r="F1396" s="1" t="str">
        <x:f>IF(C1396&lt;=0,"C",IF(E1396-D1396&lt;'Дашборд'!$C$49,"A",IF(E1396-D1396&lt;'Дашборд'!$C$50,"B","C")))</x:f>
        <x:v>C</x:v>
      </x:c>
      <x:c r="G1396" s="8" t="n">
        <x:f>'Данные'!F1396</x:f>
        <x:v>15</x:v>
      </x:c>
      <x:c r="H1396" s="8" t="n">
        <x:f>SUM('Данные'!H1396:I1396)</x:f>
        <x:v>0</x:v>
      </x:c>
      <x:c r="I1396" s="16" t="str">
        <x:f>IF(H1396&gt;0,G1396/H1396,"n.a.")</x:f>
        <x:v>n.a.</x:v>
      </x:c>
      <x:c r="J1396" s="10" t="n">
        <x:f>IF('Данные'!E1396&gt;0,G1396/'Данные'!E1396,"n.a.")</x:f>
        <x:v>0.001054481546572935</x:v>
      </x:c>
      <x:c r="K1396" s="1" t="str">
        <x:f>IF(G1396&gt;='Дашборд'!$C$51,"X","Z")</x:f>
        <x:v>Z</x:v>
      </x:c>
      <x:c r="L1396" s="1" t="str">
        <x:f>IF(H1396=0,IF(G1396&gt;0,"Нет остатка","Нет спроса"),IF(I1396&gt;='Дашборд'!$C$52,"Быстрый","Медленный"))</x:f>
        <x:v>Нет остатка</x:v>
      </x:c>
      <x:c r="M1396" s="1" t="str">
        <x:f>IF('Данные'!E1396&lt;'Дашборд'!$C$53,"Мало трафика",IF(J1396&lt;'Дашборд'!$C$9*'Дашборд'!$C$54,"Да","Нет"))</x:f>
        <x:v>Да</x:v>
      </x:c>
      <x:c r="N1396" s="1" t="str">
        <x:f>IF(AND('Данные'!D1396&gt;='Дашборд'!$C$55,D1396&lt;'Дашборд'!$C$56,'Данные'!E1396&gt;='Дашборд'!$C$53,'Данные'!L1396&lt;&gt;"Да"),"Да","Нет")</x:f>
        <x:v>Нет</x:v>
      </x:c>
      <x:c r="O1396" s="1" t="str">
        <x:f>'Данные'!L1396</x:f>
        <x:v>Нет</x:v>
      </x:c>
    </x:row>
    <x:row r="1397">
      <x:c r="A1397" s="1" t="str">
        <x:f>'Данные'!A1397</x:f>
        <x:v>323175137</x:v>
      </x:c>
      <x:c r="B1397" s="1" t="str">
        <x:f>'Данные'!B1397</x:f>
        <x:v>ubkamaxi3P-S14/коричневый</x:v>
      </x:c>
      <x:c r="C1397" s="8" t="n">
        <x:f>'Данные'!G1397</x:f>
        <x:v>18897</x:v>
      </x:c>
      <x:c r="D1397" s="15" t="n">
        <x:f>C1397/SUM($C$5:$C$2477)</x:f>
        <x:v>0.000022075921916731704</x:v>
      </x:c>
      <x:c r="E1397" s="15" t="n">
        <x:f>SUM($D$5:D1397)</x:f>
        <x:v>0.9981480559688172</x:v>
      </x:c>
      <x:c r="F1397" s="1" t="str">
        <x:f>IF(C1397&lt;=0,"C",IF(E1397-D1397&lt;'Дашборд'!$C$49,"A",IF(E1397-D1397&lt;'Дашборд'!$C$50,"B","C")))</x:f>
        <x:v>C</x:v>
      </x:c>
      <x:c r="G1397" s="8" t="n">
        <x:f>'Данные'!F1397</x:f>
        <x:v>36</x:v>
      </x:c>
      <x:c r="H1397" s="8" t="n">
        <x:f>SUM('Данные'!H1397:I1397)</x:f>
        <x:v>75</x:v>
      </x:c>
      <x:c r="I1397" s="16" t="n">
        <x:f>IF(H1397&gt;0,G1397/H1397,"n.a.")</x:f>
        <x:v>0.48</x:v>
      </x:c>
      <x:c r="J1397" s="10" t="n">
        <x:f>IF('Данные'!E1397&gt;0,G1397/'Данные'!E1397,"n.a.")</x:f>
        <x:v>0.001282553706936478</x:v>
      </x:c>
      <x:c r="K1397" s="1" t="str">
        <x:f>IF(G1397&gt;='Дашборд'!$C$51,"X","Z")</x:f>
        <x:v>Z</x:v>
      </x:c>
      <x:c r="L1397" s="1" t="str">
        <x:f>IF(H1397=0,IF(G1397&gt;0,"Нет остатка","Нет спроса"),IF(I1397&gt;='Дашборд'!$C$52,"Быстрый","Медленный"))</x:f>
        <x:v>Медленный</x:v>
      </x:c>
      <x:c r="M1397" s="1" t="str">
        <x:f>IF('Данные'!E1397&lt;'Дашборд'!$C$53,"Мало трафика",IF(J1397&lt;'Дашборд'!$C$9*'Дашборд'!$C$54,"Да","Нет"))</x:f>
        <x:v>Да</x:v>
      </x:c>
      <x:c r="N1397" s="1" t="str">
        <x:f>IF(AND('Данные'!D1397&gt;='Дашборд'!$C$55,D1397&lt;'Дашборд'!$C$56,'Данные'!E1397&gt;='Дашборд'!$C$53,'Данные'!L1397&lt;&gt;"Да"),"Да","Нет")</x:f>
        <x:v>Нет</x:v>
      </x:c>
      <x:c r="O1397" s="1" t="str">
        <x:f>'Данные'!L1397</x:f>
        <x:v>Нет</x:v>
      </x:c>
    </x:row>
    <x:row r="1398">
      <x:c r="A1398" s="1" t="str">
        <x:f>'Данные'!A1398</x:f>
        <x:v>379285872</x:v>
      </x:c>
      <x:c r="B1398" s="1" t="str">
        <x:f>'Данные'!B1398</x:f>
        <x:v>polovyaz/розовый</x:v>
      </x:c>
      <x:c r="C1398" s="8" t="n">
        <x:f>'Данные'!G1398</x:f>
        <x:v>18650</x:v>
      </x:c>
      <x:c r="D1398" s="15" t="n">
        <x:f>C1398/SUM($C$5:$C$2477)</x:f>
        <x:v>0.000021787370680374995</x:v>
      </x:c>
      <x:c r="E1398" s="15" t="n">
        <x:f>SUM($D$5:D1398)</x:f>
        <x:v>0.9981698433394975</x:v>
      </x:c>
      <x:c r="F1398" s="1" t="str">
        <x:f>IF(C1398&lt;=0,"C",IF(E1398-D1398&lt;'Дашборд'!$C$49,"A",IF(E1398-D1398&lt;'Дашборд'!$C$50,"B","C")))</x:f>
        <x:v>C</x:v>
      </x:c>
      <x:c r="G1398" s="8" t="n">
        <x:f>'Данные'!F1398</x:f>
        <x:v>25</x:v>
      </x:c>
      <x:c r="H1398" s="8" t="n">
        <x:f>SUM('Данные'!H1398:I1398)</x:f>
        <x:v>378</x:v>
      </x:c>
      <x:c r="I1398" s="16" t="n">
        <x:f>IF(H1398&gt;0,G1398/H1398,"n.a.")</x:f>
        <x:v>0.06613756613756613</x:v>
      </x:c>
      <x:c r="J1398" s="10" t="n">
        <x:f>IF('Данные'!E1398&gt;0,G1398/'Данные'!E1398,"n.a.")</x:f>
        <x:v>0.0016711229946524064</x:v>
      </x:c>
      <x:c r="K1398" s="1" t="str">
        <x:f>IF(G1398&gt;='Дашборд'!$C$51,"X","Z")</x:f>
        <x:v>Z</x:v>
      </x:c>
      <x:c r="L1398" s="1" t="str">
        <x:f>IF(H1398=0,IF(G1398&gt;0,"Нет остатка","Нет спроса"),IF(I1398&gt;='Дашборд'!$C$52,"Быстрый","Медленный"))</x:f>
        <x:v>Медленный</x:v>
      </x:c>
      <x:c r="M1398" s="1" t="str">
        <x:f>IF('Данные'!E1398&lt;'Дашборд'!$C$53,"Мало трафика",IF(J1398&lt;'Дашборд'!$C$9*'Дашборд'!$C$54,"Да","Нет"))</x:f>
        <x:v>Да</x:v>
      </x:c>
      <x:c r="N1398" s="1" t="str">
        <x:f>IF(AND('Данные'!D1398&gt;='Дашборд'!$C$55,D1398&lt;'Дашборд'!$C$56,'Данные'!E1398&gt;='Дашборд'!$C$53,'Данные'!L1398&lt;&gt;"Да"),"Да","Нет")</x:f>
        <x:v>Нет</x:v>
      </x:c>
      <x:c r="O1398" s="1" t="str">
        <x:f>'Данные'!L1398</x:f>
        <x:v>Нет</x:v>
      </x:c>
    </x:row>
    <x:row r="1399">
      <x:c r="A1399" s="1" t="str">
        <x:f>'Данные'!A1399</x:f>
        <x:v>241482186</x:v>
      </x:c>
      <x:c r="B1399" s="1" t="str">
        <x:f>'Данные'!B1399</x:f>
        <x:v>termolong/черный</x:v>
      </x:c>
      <x:c r="C1399" s="8" t="n">
        <x:f>'Данные'!G1399</x:f>
        <x:v>18640</x:v>
      </x:c>
      <x:c r="D1399" s="15" t="n">
        <x:f>C1399/SUM($C$5:$C$2477)</x:f>
        <x:v>0.00002177568844408525</x:v>
      </x:c>
      <x:c r="E1399" s="15" t="n">
        <x:f>SUM($D$5:D1399)</x:f>
        <x:v>0.9981916190279416</x:v>
      </x:c>
      <x:c r="F1399" s="1" t="str">
        <x:f>IF(C1399&lt;=0,"C",IF(E1399-D1399&lt;'Дашборд'!$C$49,"A",IF(E1399-D1399&lt;'Дашборд'!$C$50,"B","C")))</x:f>
        <x:v>C</x:v>
      </x:c>
      <x:c r="G1399" s="8" t="n">
        <x:f>'Данные'!F1399</x:f>
        <x:v>56</x:v>
      </x:c>
      <x:c r="H1399" s="8" t="n">
        <x:f>SUM('Данные'!H1399:I1399)</x:f>
        <x:v>1231</x:v>
      </x:c>
      <x:c r="I1399" s="16" t="n">
        <x:f>IF(H1399&gt;0,G1399/H1399,"n.a.")</x:f>
        <x:v>0.045491470349309504</x:v>
      </x:c>
      <x:c r="J1399" s="10" t="n">
        <x:f>IF('Данные'!E1399&gt;0,G1399/'Данные'!E1399,"n.a.")</x:f>
        <x:v>0.01808785529715762</x:v>
      </x:c>
      <x:c r="K1399" s="1" t="str">
        <x:f>IF(G1399&gt;='Дашборд'!$C$51,"X","Z")</x:f>
        <x:v>Z</x:v>
      </x:c>
      <x:c r="L1399" s="1" t="str">
        <x:f>IF(H1399=0,IF(G1399&gt;0,"Нет остатка","Нет спроса"),IF(I1399&gt;='Дашборд'!$C$52,"Быстрый","Медленный"))</x:f>
        <x:v>Медленный</x:v>
      </x:c>
      <x:c r="M1399" s="1" t="str">
        <x:f>IF('Данные'!E1399&lt;'Дашборд'!$C$53,"Мало трафика",IF(J1399&lt;'Дашборд'!$C$9*'Дашборд'!$C$54,"Да","Нет"))</x:f>
        <x:v>Нет</x:v>
      </x:c>
      <x:c r="N1399" s="1" t="str">
        <x:f>IF(AND('Данные'!D1399&gt;='Дашборд'!$C$55,D1399&lt;'Дашборд'!$C$56,'Данные'!E1399&gt;='Дашборд'!$C$53,'Данные'!L1399&lt;&gt;"Да"),"Да","Нет")</x:f>
        <x:v>Да</x:v>
      </x:c>
      <x:c r="O1399" s="1" t="str">
        <x:f>'Данные'!L1399</x:f>
        <x:v>Нет</x:v>
      </x:c>
    </x:row>
    <x:row r="1400">
      <x:c r="A1400" s="1" t="str">
        <x:f>'Данные'!A1400</x:f>
        <x:v>241516876</x:v>
      </x:c>
      <x:c r="B1400" s="1" t="str">
        <x:f>'Данные'!B1400</x:f>
        <x:v>termoshtanyman/черный</x:v>
      </x:c>
      <x:c r="C1400" s="8" t="n">
        <x:f>'Данные'!G1400</x:f>
        <x:v>18012</x:v>
      </x:c>
      <x:c r="D1400" s="15" t="n">
        <x:f>C1400/SUM($C$5:$C$2477)</x:f>
        <x:v>0.000021042044005089245</x:v>
      </x:c>
      <x:c r="E1400" s="15" t="n">
        <x:f>SUM($D$5:D1400)</x:f>
        <x:v>0.9982126610719467</x:v>
      </x:c>
      <x:c r="F1400" s="1" t="str">
        <x:f>IF(C1400&lt;=0,"C",IF(E1400-D1400&lt;'Дашборд'!$C$49,"A",IF(E1400-D1400&lt;'Дашборд'!$C$50,"B","C")))</x:f>
        <x:v>C</x:v>
      </x:c>
      <x:c r="G1400" s="8" t="n">
        <x:f>'Данные'!F1400</x:f>
        <x:v>28</x:v>
      </x:c>
      <x:c r="H1400" s="8" t="n">
        <x:f>SUM('Данные'!H1400:I1400)</x:f>
        <x:v>3676</x:v>
      </x:c>
      <x:c r="I1400" s="16" t="n">
        <x:f>IF(H1400&gt;0,G1400/H1400,"n.a.")</x:f>
        <x:v>0.007616974972796518</x:v>
      </x:c>
      <x:c r="J1400" s="10" t="n">
        <x:f>IF('Данные'!E1400&gt;0,G1400/'Данные'!E1400,"n.a.")</x:f>
        <x:v>0.019649122807017545</x:v>
      </x:c>
      <x:c r="K1400" s="1" t="str">
        <x:f>IF(G1400&gt;='Дашборд'!$C$51,"X","Z")</x:f>
        <x:v>Z</x:v>
      </x:c>
      <x:c r="L1400" s="1" t="str">
        <x:f>IF(H1400=0,IF(G1400&gt;0,"Нет остатка","Нет спроса"),IF(I1400&gt;='Дашборд'!$C$52,"Быстрый","Медленный"))</x:f>
        <x:v>Медленный</x:v>
      </x:c>
      <x:c r="M1400" s="1" t="str">
        <x:f>IF('Данные'!E1400&lt;'Дашборд'!$C$53,"Мало трафика",IF(J1400&lt;'Дашборд'!$C$9*'Дашборд'!$C$54,"Да","Нет"))</x:f>
        <x:v>Нет</x:v>
      </x:c>
      <x:c r="N1400" s="1" t="str">
        <x:f>IF(AND('Данные'!D1400&gt;='Дашборд'!$C$55,D1400&lt;'Дашборд'!$C$56,'Данные'!E1400&gt;='Дашборд'!$C$53,'Данные'!L1400&lt;&gt;"Да"),"Да","Нет")</x:f>
        <x:v>Да</x:v>
      </x:c>
      <x:c r="O1400" s="1" t="str">
        <x:f>'Данные'!L1400</x:f>
        <x:v>Нет</x:v>
      </x:c>
    </x:row>
    <x:row r="1401">
      <x:c r="A1401" s="1" t="str">
        <x:f>'Данные'!A1401</x:f>
        <x:v>209915724</x:v>
      </x:c>
      <x:c r="B1401" s="1" t="str">
        <x:f>'Данные'!B1401</x:f>
        <x:v>shorty/зелено-серый</x:v>
      </x:c>
      <x:c r="C1401" s="8" t="n">
        <x:f>'Данные'!G1401</x:f>
        <x:v>17962</x:v>
      </x:c>
      <x:c r="D1401" s="15" t="n">
        <x:f>C1401/SUM($C$5:$C$2477)</x:f>
        <x:v>0.000020983632823640517</x:v>
      </x:c>
      <x:c r="E1401" s="15" t="n">
        <x:f>SUM($D$5:D1401)</x:f>
        <x:v>0.9982336447047704</x:v>
      </x:c>
      <x:c r="F1401" s="1" t="str">
        <x:f>IF(C1401&lt;=0,"C",IF(E1401-D1401&lt;'Дашборд'!$C$49,"A",IF(E1401-D1401&lt;'Дашборд'!$C$50,"B","C")))</x:f>
        <x:v>C</x:v>
      </x:c>
      <x:c r="G1401" s="8" t="n">
        <x:f>'Данные'!F1401</x:f>
        <x:v>33</x:v>
      </x:c>
      <x:c r="H1401" s="8" t="n">
        <x:f>SUM('Данные'!H1401:I1401)</x:f>
        <x:v>37</x:v>
      </x:c>
      <x:c r="I1401" s="16" t="n">
        <x:f>IF(H1401&gt;0,G1401/H1401,"n.a.")</x:f>
        <x:v>0.8918918918918919</x:v>
      </x:c>
      <x:c r="J1401" s="10" t="n">
        <x:f>IF('Данные'!E1401&gt;0,G1401/'Данные'!E1401,"n.a.")</x:f>
        <x:v>0.005812929364100757</x:v>
      </x:c>
      <x:c r="K1401" s="1" t="str">
        <x:f>IF(G1401&gt;='Дашборд'!$C$51,"X","Z")</x:f>
        <x:v>Z</x:v>
      </x:c>
      <x:c r="L1401" s="1" t="str">
        <x:f>IF(H1401=0,IF(G1401&gt;0,"Нет остатка","Нет спроса"),IF(I1401&gt;='Дашборд'!$C$52,"Быстрый","Медленный"))</x:f>
        <x:v>Медленный</x:v>
      </x:c>
      <x:c r="M1401" s="1" t="str">
        <x:f>IF('Данные'!E1401&lt;'Дашборд'!$C$53,"Мало трафика",IF(J1401&lt;'Дашборд'!$C$9*'Дашборд'!$C$54,"Да","Нет"))</x:f>
        <x:v>Да</x:v>
      </x:c>
      <x:c r="N1401" s="1" t="str">
        <x:f>IF(AND('Данные'!D1401&gt;='Дашборд'!$C$55,D1401&lt;'Дашборд'!$C$56,'Данные'!E1401&gt;='Дашборд'!$C$53,'Данные'!L1401&lt;&gt;"Да"),"Да","Нет")</x:f>
        <x:v>Нет</x:v>
      </x:c>
      <x:c r="O1401" s="1" t="str">
        <x:f>'Данные'!L1401</x:f>
        <x:v>Нет</x:v>
      </x:c>
    </x:row>
    <x:row r="1402">
      <x:c r="A1402" s="1" t="str">
        <x:f>'Данные'!A1402</x:f>
        <x:v>317224612</x:v>
      </x:c>
      <x:c r="B1402" s="1" t="str">
        <x:f>'Данные'!B1402</x:f>
        <x:v>bazagirl/какао</x:v>
      </x:c>
      <x:c r="C1402" s="8" t="n">
        <x:f>'Данные'!G1402</x:f>
        <x:v>17727</x:v>
      </x:c>
      <x:c r="D1402" s="15" t="n">
        <x:f>C1402/SUM($C$5:$C$2477)</x:f>
        <x:v>0.000020709100270831505</x:v>
      </x:c>
      <x:c r="E1402" s="15" t="n">
        <x:f>SUM($D$5:D1402)</x:f>
        <x:v>0.9982543538050412</x:v>
      </x:c>
      <x:c r="F1402" s="1" t="str">
        <x:f>IF(C1402&lt;=0,"C",IF(E1402-D1402&lt;'Дашборд'!$C$49,"A",IF(E1402-D1402&lt;'Дашборд'!$C$50,"B","C")))</x:f>
        <x:v>C</x:v>
      </x:c>
      <x:c r="G1402" s="8" t="n">
        <x:f>'Данные'!F1402</x:f>
        <x:v>55</x:v>
      </x:c>
      <x:c r="H1402" s="8" t="n">
        <x:f>SUM('Данные'!H1402:I1402)</x:f>
        <x:v>14</x:v>
      </x:c>
      <x:c r="I1402" s="16" t="n">
        <x:f>IF(H1402&gt;0,G1402/H1402,"n.a.")</x:f>
        <x:v>3.9285714285714284</x:v>
      </x:c>
      <x:c r="J1402" s="10" t="n">
        <x:f>IF('Данные'!E1402&gt;0,G1402/'Данные'!E1402,"n.a.")</x:f>
        <x:v>0.01915041782729805</x:v>
      </x:c>
      <x:c r="K1402" s="1" t="str">
        <x:f>IF(G1402&gt;='Дашборд'!$C$51,"X","Z")</x:f>
        <x:v>Z</x:v>
      </x:c>
      <x:c r="L1402" s="1" t="str">
        <x:f>IF(H1402=0,IF(G1402&gt;0,"Нет остатка","Нет спроса"),IF(I1402&gt;='Дашборд'!$C$52,"Быстрый","Медленный"))</x:f>
        <x:v>Быстрый</x:v>
      </x:c>
      <x:c r="M1402" s="1" t="str">
        <x:f>IF('Данные'!E1402&lt;'Дашборд'!$C$53,"Мало трафика",IF(J1402&lt;'Дашборд'!$C$9*'Дашборд'!$C$54,"Да","Нет"))</x:f>
        <x:v>Нет</x:v>
      </x:c>
      <x:c r="N1402" s="1" t="str">
        <x:f>IF(AND('Данные'!D1402&gt;='Дашборд'!$C$55,D1402&lt;'Дашборд'!$C$56,'Данные'!E1402&gt;='Дашборд'!$C$53,'Данные'!L1402&lt;&gt;"Да"),"Да","Нет")</x:f>
        <x:v>Да</x:v>
      </x:c>
      <x:c r="O1402" s="1" t="str">
        <x:f>'Данные'!L1402</x:f>
        <x:v>Нет</x:v>
      </x:c>
    </x:row>
    <x:row r="1403">
      <x:c r="A1403" s="1" t="str">
        <x:f>'Данные'!A1403</x:f>
        <x:v>194931723</x:v>
      </x:c>
      <x:c r="B1403" s="1" t="str">
        <x:f>'Данные'!B1403</x:f>
        <x:v>sweater/графит</x:v>
      </x:c>
      <x:c r="C1403" s="8" t="n">
        <x:f>'Данные'!G1403</x:f>
        <x:v>17524</x:v>
      </x:c>
      <x:c r="D1403" s="15" t="n">
        <x:f>C1403/SUM($C$5:$C$2477)</x:f>
        <x:v>0.000020471950874149673</x:v>
      </x:c>
      <x:c r="E1403" s="15" t="n">
        <x:f>SUM($D$5:D1403)</x:f>
        <x:v>0.9982748257559154</x:v>
      </x:c>
      <x:c r="F1403" s="1" t="str">
        <x:f>IF(C1403&lt;=0,"C",IF(E1403-D1403&lt;'Дашборд'!$C$49,"A",IF(E1403-D1403&lt;'Дашборд'!$C$50,"B","C")))</x:f>
        <x:v>C</x:v>
      </x:c>
      <x:c r="G1403" s="8" t="n">
        <x:f>'Данные'!F1403</x:f>
        <x:v>53</x:v>
      </x:c>
      <x:c r="H1403" s="8" t="n">
        <x:f>SUM('Данные'!H1403:I1403)</x:f>
        <x:v>374</x:v>
      </x:c>
      <x:c r="I1403" s="16" t="n">
        <x:f>IF(H1403&gt;0,G1403/H1403,"n.a.")</x:f>
        <x:v>0.14171122994652408</x:v>
      </x:c>
      <x:c r="J1403" s="10" t="n">
        <x:f>IF('Данные'!E1403&gt;0,G1403/'Данные'!E1403,"n.a.")</x:f>
        <x:v>0.015773809523809523</x:v>
      </x:c>
      <x:c r="K1403" s="1" t="str">
        <x:f>IF(G1403&gt;='Дашборд'!$C$51,"X","Z")</x:f>
        <x:v>Z</x:v>
      </x:c>
      <x:c r="L1403" s="1" t="str">
        <x:f>IF(H1403=0,IF(G1403&gt;0,"Нет остатка","Нет спроса"),IF(I1403&gt;='Дашборд'!$C$52,"Быстрый","Медленный"))</x:f>
        <x:v>Медленный</x:v>
      </x:c>
      <x:c r="M1403" s="1" t="str">
        <x:f>IF('Данные'!E1403&lt;'Дашборд'!$C$53,"Мало трафика",IF(J1403&lt;'Дашборд'!$C$9*'Дашборд'!$C$54,"Да","Нет"))</x:f>
        <x:v>Нет</x:v>
      </x:c>
      <x:c r="N1403" s="1" t="str">
        <x:f>IF(AND('Данные'!D1403&gt;='Дашборд'!$C$55,D1403&lt;'Дашборд'!$C$56,'Данные'!E1403&gt;='Дашборд'!$C$53,'Данные'!L1403&lt;&gt;"Да"),"Да","Нет")</x:f>
        <x:v>Да</x:v>
      </x:c>
      <x:c r="O1403" s="1" t="str">
        <x:f>'Данные'!L1403</x:f>
        <x:v>Нет</x:v>
      </x:c>
    </x:row>
    <x:row r="1404">
      <x:c r="A1404" s="1" t="str">
        <x:f>'Данные'!A1404</x:f>
        <x:v>231458803</x:v>
      </x:c>
      <x:c r="B1404" s="1" t="str">
        <x:f>'Данные'!B1404</x:f>
        <x:v>futbolkaboy/светло-фиолетовый</x:v>
      </x:c>
      <x:c r="C1404" s="8" t="n">
        <x:f>'Данные'!G1404</x:f>
        <x:v>17507</x:v>
      </x:c>
      <x:c r="D1404" s="15" t="n">
        <x:f>C1404/SUM($C$5:$C$2477)</x:f>
        <x:v>0.000020452091072457108</x:v>
      </x:c>
      <x:c r="E1404" s="15" t="n">
        <x:f>SUM($D$5:D1404)</x:f>
        <x:v>0.9982952778469879</x:v>
      </x:c>
      <x:c r="F1404" s="1" t="str">
        <x:f>IF(C1404&lt;=0,"C",IF(E1404-D1404&lt;'Дашборд'!$C$49,"A",IF(E1404-D1404&lt;'Дашборд'!$C$50,"B","C")))</x:f>
        <x:v>C</x:v>
      </x:c>
      <x:c r="G1404" s="8" t="n">
        <x:f>'Данные'!F1404</x:f>
        <x:v>41</x:v>
      </x:c>
      <x:c r="H1404" s="8" t="n">
        <x:f>SUM('Данные'!H1404:I1404)</x:f>
        <x:v>0</x:v>
      </x:c>
      <x:c r="I1404" s="16" t="str">
        <x:f>IF(H1404&gt;0,G1404/H1404,"n.a.")</x:f>
        <x:v>n.a.</x:v>
      </x:c>
      <x:c r="J1404" s="10" t="n">
        <x:f>IF('Данные'!E1404&gt;0,G1404/'Данные'!E1404,"n.a.")</x:f>
        <x:v>0.012856694888679836</x:v>
      </x:c>
      <x:c r="K1404" s="1" t="str">
        <x:f>IF(G1404&gt;='Дашборд'!$C$51,"X","Z")</x:f>
        <x:v>Z</x:v>
      </x:c>
      <x:c r="L1404" s="1" t="str">
        <x:f>IF(H1404=0,IF(G1404&gt;0,"Нет остатка","Нет спроса"),IF(I1404&gt;='Дашборд'!$C$52,"Быстрый","Медленный"))</x:f>
        <x:v>Нет остатка</x:v>
      </x:c>
      <x:c r="M1404" s="1" t="str">
        <x:f>IF('Данные'!E1404&lt;'Дашборд'!$C$53,"Мало трафика",IF(J1404&lt;'Дашборд'!$C$9*'Дашборд'!$C$54,"Да","Нет"))</x:f>
        <x:v>Нет</x:v>
      </x:c>
      <x:c r="N1404" s="1" t="str">
        <x:f>IF(AND('Данные'!D1404&gt;='Дашборд'!$C$55,D1404&lt;'Дашборд'!$C$56,'Данные'!E1404&gt;='Дашборд'!$C$53,'Данные'!L1404&lt;&gt;"Да"),"Да","Нет")</x:f>
        <x:v>Да</x:v>
      </x:c>
      <x:c r="O1404" s="1" t="str">
        <x:f>'Данные'!L1404</x:f>
        <x:v>Нет</x:v>
      </x:c>
    </x:row>
    <x:row r="1405">
      <x:c r="A1405" s="1" t="str">
        <x:f>'Данные'!A1405</x:f>
        <x:v>33774770</x:v>
      </x:c>
      <x:c r="B1405" s="1" t="str">
        <x:f>'Данные'!B1405</x:f>
        <x:v>longsliv/мятапыльная</x:v>
      </x:c>
      <x:c r="C1405" s="8" t="n">
        <x:f>'Данные'!G1405</x:f>
        <x:v>17375</x:v>
      </x:c>
      <x:c r="D1405" s="15" t="n">
        <x:f>C1405/SUM($C$5:$C$2477)</x:f>
        <x:v>0.00002029788555343247</x:v>
      </x:c>
      <x:c r="E1405" s="15" t="n">
        <x:f>SUM($D$5:D1405)</x:f>
        <x:v>0.9983155757325414</x:v>
      </x:c>
      <x:c r="F1405" s="1" t="str">
        <x:f>IF(C1405&lt;=0,"C",IF(E1405-D1405&lt;'Дашборд'!$C$49,"A",IF(E1405-D1405&lt;'Дашборд'!$C$50,"B","C")))</x:f>
        <x:v>C</x:v>
      </x:c>
      <x:c r="G1405" s="8" t="n">
        <x:f>'Данные'!F1405</x:f>
        <x:v>69</x:v>
      </x:c>
      <x:c r="H1405" s="8" t="n">
        <x:f>SUM('Данные'!H1405:I1405)</x:f>
        <x:v>488</x:v>
      </x:c>
      <x:c r="I1405" s="16" t="n">
        <x:f>IF(H1405&gt;0,G1405/H1405,"n.a.")</x:f>
        <x:v>0.1413934426229508</x:v>
      </x:c>
      <x:c r="J1405" s="10" t="n">
        <x:f>IF('Данные'!E1405&gt;0,G1405/'Данные'!E1405,"n.a.")</x:f>
        <x:v>0.01036191620363418</x:v>
      </x:c>
      <x:c r="K1405" s="1" t="str">
        <x:f>IF(G1405&gt;='Дашборд'!$C$51,"X","Z")</x:f>
        <x:v>Z</x:v>
      </x:c>
      <x:c r="L1405" s="1" t="str">
        <x:f>IF(H1405=0,IF(G1405&gt;0,"Нет остатка","Нет спроса"),IF(I1405&gt;='Дашборд'!$C$52,"Быстрый","Медленный"))</x:f>
        <x:v>Медленный</x:v>
      </x:c>
      <x:c r="M1405" s="1" t="str">
        <x:f>IF('Данные'!E1405&lt;'Дашборд'!$C$53,"Мало трафика",IF(J1405&lt;'Дашборд'!$C$9*'Дашборд'!$C$54,"Да","Нет"))</x:f>
        <x:v>Нет</x:v>
      </x:c>
      <x:c r="N1405" s="1" t="str">
        <x:f>IF(AND('Данные'!D1405&gt;='Дашборд'!$C$55,D1405&lt;'Дашборд'!$C$56,'Данные'!E1405&gt;='Дашборд'!$C$53,'Данные'!L1405&lt;&gt;"Да"),"Да","Нет")</x:f>
        <x:v>Да</x:v>
      </x:c>
      <x:c r="O1405" s="1" t="str">
        <x:f>'Данные'!L1405</x:f>
        <x:v>Нет</x:v>
      </x:c>
    </x:row>
    <x:row r="1406">
      <x:c r="A1406" s="1" t="str">
        <x:f>'Данные'!A1406</x:f>
        <x:v>158080260</x:v>
      </x:c>
      <x:c r="B1406" s="1" t="str">
        <x:f>'Данные'!B1406</x:f>
        <x:v>bruki/фуксия</x:v>
      </x:c>
      <x:c r="C1406" s="8" t="n">
        <x:f>'Данные'!G1406</x:f>
        <x:v>17043</x:v>
      </x:c>
      <x:c r="D1406" s="15" t="n">
        <x:f>C1406/SUM($C$5:$C$2477)</x:f>
        <x:v>0.000019910035308612924</x:v>
      </x:c>
      <x:c r="E1406" s="15" t="n">
        <x:f>SUM($D$5:D1406)</x:f>
        <x:v>0.99833548576785</x:v>
      </x:c>
      <x:c r="F1406" s="1" t="str">
        <x:f>IF(C1406&lt;=0,"C",IF(E1406-D1406&lt;'Дашборд'!$C$49,"A",IF(E1406-D1406&lt;'Дашборд'!$C$50,"B","C")))</x:f>
        <x:v>C</x:v>
      </x:c>
      <x:c r="G1406" s="8" t="n">
        <x:f>'Данные'!F1406</x:f>
        <x:v>35</x:v>
      </x:c>
      <x:c r="H1406" s="8" t="n">
        <x:f>SUM('Данные'!H1406:I1406)</x:f>
        <x:v>21</x:v>
      </x:c>
      <x:c r="I1406" s="16" t="n">
        <x:f>IF(H1406&gt;0,G1406/H1406,"n.a.")</x:f>
        <x:v>1.6666666666666667</x:v>
      </x:c>
      <x:c r="J1406" s="10" t="n">
        <x:f>IF('Данные'!E1406&gt;0,G1406/'Данные'!E1406,"n.a.")</x:f>
        <x:v>0.006331403762662807</x:v>
      </x:c>
      <x:c r="K1406" s="1" t="str">
        <x:f>IF(G1406&gt;='Дашборд'!$C$51,"X","Z")</x:f>
        <x:v>Z</x:v>
      </x:c>
      <x:c r="L1406" s="1" t="str">
        <x:f>IF(H1406=0,IF(G1406&gt;0,"Нет остатка","Нет спроса"),IF(I1406&gt;='Дашборд'!$C$52,"Быстрый","Медленный"))</x:f>
        <x:v>Быстрый</x:v>
      </x:c>
      <x:c r="M1406" s="1" t="str">
        <x:f>IF('Данные'!E1406&lt;'Дашборд'!$C$53,"Мало трафика",IF(J1406&lt;'Дашборд'!$C$9*'Дашборд'!$C$54,"Да","Нет"))</x:f>
        <x:v>Да</x:v>
      </x:c>
      <x:c r="N1406" s="1" t="str">
        <x:f>IF(AND('Данные'!D1406&gt;='Дашборд'!$C$55,D1406&lt;'Дашборд'!$C$56,'Данные'!E1406&gt;='Дашборд'!$C$53,'Данные'!L1406&lt;&gt;"Да"),"Да","Нет")</x:f>
        <x:v>Нет</x:v>
      </x:c>
      <x:c r="O1406" s="1" t="str">
        <x:f>'Данные'!L1406</x:f>
        <x:v>Нет</x:v>
      </x:c>
    </x:row>
    <x:row r="1407">
      <x:c r="A1407" s="1" t="str">
        <x:f>'Данные'!A1407</x:f>
        <x:v>209915710</x:v>
      </x:c>
      <x:c r="B1407" s="1" t="str">
        <x:f>'Данные'!B1407</x:f>
        <x:v>shorty/пудровый</x:v>
      </x:c>
      <x:c r="C1407" s="8" t="n">
        <x:f>'Данные'!G1407</x:f>
        <x:v>16673</x:v>
      </x:c>
      <x:c r="D1407" s="15" t="n">
        <x:f>C1407/SUM($C$5:$C$2477)</x:f>
        <x:v>0.000019477792565892348</x:v>
      </x:c>
      <x:c r="E1407" s="15" t="n">
        <x:f>SUM($D$5:D1407)</x:f>
        <x:v>0.998354963560416</x:v>
      </x:c>
      <x:c r="F1407" s="1" t="str">
        <x:f>IF(C1407&lt;=0,"C",IF(E1407-D1407&lt;'Дашборд'!$C$49,"A",IF(E1407-D1407&lt;'Дашборд'!$C$50,"B","C")))</x:f>
        <x:v>C</x:v>
      </x:c>
      <x:c r="G1407" s="8" t="n">
        <x:f>'Данные'!F1407</x:f>
        <x:v>46</x:v>
      </x:c>
      <x:c r="H1407" s="8" t="n">
        <x:f>SUM('Данные'!H1407:I1407)</x:f>
        <x:v>178</x:v>
      </x:c>
      <x:c r="I1407" s="16" t="n">
        <x:f>IF(H1407&gt;0,G1407/H1407,"n.a.")</x:f>
        <x:v>0.25842696629213485</x:v>
      </x:c>
      <x:c r="J1407" s="10" t="n">
        <x:f>IF('Данные'!E1407&gt;0,G1407/'Данные'!E1407,"n.a.")</x:f>
        <x:v>0.006711409395973154</x:v>
      </x:c>
      <x:c r="K1407" s="1" t="str">
        <x:f>IF(G1407&gt;='Дашборд'!$C$51,"X","Z")</x:f>
        <x:v>Z</x:v>
      </x:c>
      <x:c r="L1407" s="1" t="str">
        <x:f>IF(H1407=0,IF(G1407&gt;0,"Нет остатка","Нет спроса"),IF(I1407&gt;='Дашборд'!$C$52,"Быстрый","Медленный"))</x:f>
        <x:v>Медленный</x:v>
      </x:c>
      <x:c r="M1407" s="1" t="str">
        <x:f>IF('Данные'!E1407&lt;'Дашборд'!$C$53,"Мало трафика",IF(J1407&lt;'Дашборд'!$C$9*'Дашборд'!$C$54,"Да","Нет"))</x:f>
        <x:v>Да</x:v>
      </x:c>
      <x:c r="N1407" s="1" t="str">
        <x:f>IF(AND('Данные'!D1407&gt;='Дашборд'!$C$55,D1407&lt;'Дашборд'!$C$56,'Данные'!E1407&gt;='Дашборд'!$C$53,'Данные'!L1407&lt;&gt;"Да"),"Да","Нет")</x:f>
        <x:v>Нет</x:v>
      </x:c>
      <x:c r="O1407" s="1" t="str">
        <x:f>'Данные'!L1407</x:f>
        <x:v>Нет</x:v>
      </x:c>
    </x:row>
    <x:row r="1408">
      <x:c r="A1408" s="1" t="str">
        <x:f>'Данные'!A1408</x:f>
        <x:v>228669216</x:v>
      </x:c>
      <x:c r="B1408" s="1" t="str">
        <x:f>'Данные'!B1408</x:f>
        <x:v>futbolkaprint/Prosecco2-112/молочный</x:v>
      </x:c>
      <x:c r="C1408" s="8" t="n">
        <x:f>'Данные'!G1408</x:f>
        <x:v>16651</x:v>
      </x:c>
      <x:c r="D1408" s="15" t="n">
        <x:f>C1408/SUM($C$5:$C$2477)</x:f>
        <x:v>0.000019452091646054907</x:v>
      </x:c>
      <x:c r="E1408" s="15" t="n">
        <x:f>SUM($D$5:D1408)</x:f>
        <x:v>0.998374415652062</x:v>
      </x:c>
      <x:c r="F1408" s="1" t="str">
        <x:f>IF(C1408&lt;=0,"C",IF(E1408-D1408&lt;'Дашборд'!$C$49,"A",IF(E1408-D1408&lt;'Дашборд'!$C$50,"B","C")))</x:f>
        <x:v>C</x:v>
      </x:c>
      <x:c r="G1408" s="8" t="n">
        <x:f>'Данные'!F1408</x:f>
        <x:v>22</x:v>
      </x:c>
      <x:c r="H1408" s="8" t="n">
        <x:f>SUM('Данные'!H1408:I1408)</x:f>
        <x:v>0</x:v>
      </x:c>
      <x:c r="I1408" s="16" t="str">
        <x:f>IF(H1408&gt;0,G1408/H1408,"n.a.")</x:f>
        <x:v>n.a.</x:v>
      </x:c>
      <x:c r="J1408" s="10" t="n">
        <x:f>IF('Данные'!E1408&gt;0,G1408/'Данные'!E1408,"n.a.")</x:f>
        <x:v>0.014230271668822769</x:v>
      </x:c>
      <x:c r="K1408" s="1" t="str">
        <x:f>IF(G1408&gt;='Дашборд'!$C$51,"X","Z")</x:f>
        <x:v>Z</x:v>
      </x:c>
      <x:c r="L1408" s="1" t="str">
        <x:f>IF(H1408=0,IF(G1408&gt;0,"Нет остатка","Нет спроса"),IF(I1408&gt;='Дашборд'!$C$52,"Быстрый","Медленный"))</x:f>
        <x:v>Нет остатка</x:v>
      </x:c>
      <x:c r="M1408" s="1" t="str">
        <x:f>IF('Данные'!E1408&lt;'Дашборд'!$C$53,"Мало трафика",IF(J1408&lt;'Дашборд'!$C$9*'Дашборд'!$C$54,"Да","Нет"))</x:f>
        <x:v>Нет</x:v>
      </x:c>
      <x:c r="N1408" s="1" t="str">
        <x:f>IF(AND('Данные'!D1408&gt;='Дашборд'!$C$55,D1408&lt;'Дашборд'!$C$56,'Данные'!E1408&gt;='Дашборд'!$C$53,'Данные'!L1408&lt;&gt;"Да"),"Да","Нет")</x:f>
        <x:v>Да</x:v>
      </x:c>
      <x:c r="O1408" s="1" t="str">
        <x:f>'Данные'!L1408</x:f>
        <x:v>Нет</x:v>
      </x:c>
    </x:row>
    <x:row r="1409">
      <x:c r="A1409" s="1" t="str">
        <x:f>'Данные'!A1409</x:f>
        <x:v>195712682</x:v>
      </x:c>
      <x:c r="B1409" s="1" t="str">
        <x:f>'Данные'!B1409</x:f>
        <x:v>sweater/сине-серый</x:v>
      </x:c>
      <x:c r="C1409" s="8" t="n">
        <x:f>'Данные'!G1409</x:f>
        <x:v>16168</x:v>
      </x:c>
      <x:c r="D1409" s="15" t="n">
        <x:f>C1409/SUM($C$5:$C$2477)</x:f>
        <x:v>0.00001888783963326021</x:v>
      </x:c>
      <x:c r="E1409" s="15" t="n">
        <x:f>SUM($D$5:D1409)</x:f>
        <x:v>0.9983933034916952</x:v>
      </x:c>
      <x:c r="F1409" s="1" t="str">
        <x:f>IF(C1409&lt;=0,"C",IF(E1409-D1409&lt;'Дашборд'!$C$49,"A",IF(E1409-D1409&lt;'Дашборд'!$C$50,"B","C")))</x:f>
        <x:v>C</x:v>
      </x:c>
      <x:c r="G1409" s="8" t="n">
        <x:f>'Данные'!F1409</x:f>
        <x:v>26</x:v>
      </x:c>
      <x:c r="H1409" s="8" t="n">
        <x:f>SUM('Данные'!H1409:I1409)</x:f>
        <x:v>366</x:v>
      </x:c>
      <x:c r="I1409" s="16" t="n">
        <x:f>IF(H1409&gt;0,G1409/H1409,"n.a.")</x:f>
        <x:v>0.07103825136612021</x:v>
      </x:c>
      <x:c r="J1409" s="10" t="n">
        <x:f>IF('Данные'!E1409&gt;0,G1409/'Данные'!E1409,"n.a.")</x:f>
        <x:v>0.010815307820299502</x:v>
      </x:c>
      <x:c r="K1409" s="1" t="str">
        <x:f>IF(G1409&gt;='Дашборд'!$C$51,"X","Z")</x:f>
        <x:v>Z</x:v>
      </x:c>
      <x:c r="L1409" s="1" t="str">
        <x:f>IF(H1409=0,IF(G1409&gt;0,"Нет остатка","Нет спроса"),IF(I1409&gt;='Дашборд'!$C$52,"Быстрый","Медленный"))</x:f>
        <x:v>Медленный</x:v>
      </x:c>
      <x:c r="M1409" s="1" t="str">
        <x:f>IF('Данные'!E1409&lt;'Дашборд'!$C$53,"Мало трафика",IF(J1409&lt;'Дашборд'!$C$9*'Дашборд'!$C$54,"Да","Нет"))</x:f>
        <x:v>Нет</x:v>
      </x:c>
      <x:c r="N1409" s="1" t="str">
        <x:f>IF(AND('Данные'!D1409&gt;='Дашборд'!$C$55,D1409&lt;'Дашборд'!$C$56,'Данные'!E1409&gt;='Дашборд'!$C$53,'Данные'!L1409&lt;&gt;"Да"),"Да","Нет")</x:f>
        <x:v>Да</x:v>
      </x:c>
      <x:c r="O1409" s="1" t="str">
        <x:f>'Данные'!L1409</x:f>
        <x:v>Нет</x:v>
      </x:c>
    </x:row>
    <x:row r="1410">
      <x:c r="A1410" s="1" t="str">
        <x:f>'Данные'!A1410</x:f>
        <x:v>380905476</x:v>
      </x:c>
      <x:c r="B1410" s="1" t="str">
        <x:f>'Данные'!B1410</x:f>
        <x:v>futbolkagirl/графит</x:v>
      </x:c>
      <x:c r="C1410" s="8" t="n">
        <x:f>'Данные'!G1410</x:f>
        <x:v>16110</x:v>
      </x:c>
      <x:c r="D1410" s="15" t="n">
        <x:f>C1410/SUM($C$5:$C$2477)</x:f>
        <x:v>0.000018820082662779687</x:v>
      </x:c>
      <x:c r="E1410" s="15" t="n">
        <x:f>SUM($D$5:D1410)</x:f>
        <x:v>0.9984121235743579</x:v>
      </x:c>
      <x:c r="F1410" s="1" t="str">
        <x:f>IF(C1410&lt;=0,"C",IF(E1410-D1410&lt;'Дашборд'!$C$49,"A",IF(E1410-D1410&lt;'Дашборд'!$C$50,"B","C")))</x:f>
        <x:v>C</x:v>
      </x:c>
      <x:c r="G1410" s="8" t="n">
        <x:f>'Данные'!F1410</x:f>
        <x:v>55</x:v>
      </x:c>
      <x:c r="H1410" s="8" t="n">
        <x:f>SUM('Данные'!H1410:I1410)</x:f>
        <x:v>71</x:v>
      </x:c>
      <x:c r="I1410" s="16" t="n">
        <x:f>IF(H1410&gt;0,G1410/H1410,"n.a.")</x:f>
        <x:v>0.7746478873239436</x:v>
      </x:c>
      <x:c r="J1410" s="10" t="n">
        <x:f>IF('Данные'!E1410&gt;0,G1410/'Данные'!E1410,"n.a.")</x:f>
        <x:v>0.0031462730965047766</x:v>
      </x:c>
      <x:c r="K1410" s="1" t="str">
        <x:f>IF(G1410&gt;='Дашборд'!$C$51,"X","Z")</x:f>
        <x:v>Z</x:v>
      </x:c>
      <x:c r="L1410" s="1" t="str">
        <x:f>IF(H1410=0,IF(G1410&gt;0,"Нет остатка","Нет спроса"),IF(I1410&gt;='Дашборд'!$C$52,"Быстрый","Медленный"))</x:f>
        <x:v>Медленный</x:v>
      </x:c>
      <x:c r="M1410" s="1" t="str">
        <x:f>IF('Данные'!E1410&lt;'Дашборд'!$C$53,"Мало трафика",IF(J1410&lt;'Дашборд'!$C$9*'Дашборд'!$C$54,"Да","Нет"))</x:f>
        <x:v>Да</x:v>
      </x:c>
      <x:c r="N1410" s="1" t="str">
        <x:f>IF(AND('Данные'!D1410&gt;='Дашборд'!$C$55,D1410&lt;'Дашборд'!$C$56,'Данные'!E1410&gt;='Дашборд'!$C$53,'Данные'!L1410&lt;&gt;"Да"),"Да","Нет")</x:f>
        <x:v>Да</x:v>
      </x:c>
      <x:c r="O1410" s="1" t="str">
        <x:f>'Данные'!L1410</x:f>
        <x:v>Нет</x:v>
      </x:c>
    </x:row>
    <x:row r="1411">
      <x:c r="A1411" s="1" t="str">
        <x:f>'Данные'!A1411</x:f>
        <x:v>165788824</x:v>
      </x:c>
      <x:c r="B1411" s="1" t="str">
        <x:f>'Данные'!B1411</x:f>
        <x:v>hudi/серыймеланж</x:v>
      </x:c>
      <x:c r="C1411" s="8" t="n">
        <x:f>'Данные'!G1411</x:f>
        <x:v>16054</x:v>
      </x:c>
      <x:c r="D1411" s="15" t="n">
        <x:f>C1411/SUM($C$5:$C$2477)</x:f>
        <x:v>0.000018754662139557112</x:v>
      </x:c>
      <x:c r="E1411" s="15" t="n">
        <x:f>SUM($D$5:D1411)</x:f>
        <x:v>0.9984308782364975</x:v>
      </x:c>
      <x:c r="F1411" s="1" t="str">
        <x:f>IF(C1411&lt;=0,"C",IF(E1411-D1411&lt;'Дашборд'!$C$49,"A",IF(E1411-D1411&lt;'Дашборд'!$C$50,"B","C")))</x:f>
        <x:v>C</x:v>
      </x:c>
      <x:c r="G1411" s="8" t="n">
        <x:f>'Данные'!F1411</x:f>
        <x:v>21</x:v>
      </x:c>
      <x:c r="H1411" s="8" t="n">
        <x:f>SUM('Данные'!H1411:I1411)</x:f>
        <x:v>109</x:v>
      </x:c>
      <x:c r="I1411" s="16" t="n">
        <x:f>IF(H1411&gt;0,G1411/H1411,"n.a.")</x:f>
        <x:v>0.1926605504587156</x:v>
      </x:c>
      <x:c r="J1411" s="10" t="n">
        <x:f>IF('Данные'!E1411&gt;0,G1411/'Данные'!E1411,"n.a.")</x:f>
        <x:v>0.005722070844686649</x:v>
      </x:c>
      <x:c r="K1411" s="1" t="str">
        <x:f>IF(G1411&gt;='Дашборд'!$C$51,"X","Z")</x:f>
        <x:v>Z</x:v>
      </x:c>
      <x:c r="L1411" s="1" t="str">
        <x:f>IF(H1411=0,IF(G1411&gt;0,"Нет остатка","Нет спроса"),IF(I1411&gt;='Дашборд'!$C$52,"Быстрый","Медленный"))</x:f>
        <x:v>Медленный</x:v>
      </x:c>
      <x:c r="M1411" s="1" t="str">
        <x:f>IF('Данные'!E1411&lt;'Дашборд'!$C$53,"Мало трафика",IF(J1411&lt;'Дашборд'!$C$9*'Дашборд'!$C$54,"Да","Нет"))</x:f>
        <x:v>Да</x:v>
      </x:c>
      <x:c r="N1411" s="1" t="str">
        <x:f>IF(AND('Данные'!D1411&gt;='Дашборд'!$C$55,D1411&lt;'Дашборд'!$C$56,'Данные'!E1411&gt;='Дашборд'!$C$53,'Данные'!L1411&lt;&gt;"Да"),"Да","Нет")</x:f>
        <x:v>Да</x:v>
      </x:c>
      <x:c r="O1411" s="1" t="str">
        <x:f>'Данные'!L1411</x:f>
        <x:v>Нет</x:v>
      </x:c>
    </x:row>
    <x:row r="1412">
      <x:c r="A1412" s="1" t="str">
        <x:f>'Данные'!A1412</x:f>
        <x:v>229653007</x:v>
      </x:c>
      <x:c r="B1412" s="1" t="str">
        <x:f>'Данные'!B1412</x:f>
        <x:v>kostumgirl/розовый</x:v>
      </x:c>
      <x:c r="C1412" s="8" t="n">
        <x:f>'Данные'!G1412</x:f>
        <x:v>15763</x:v>
      </x:c>
      <x:c r="D1412" s="15" t="n">
        <x:f>C1412/SUM($C$5:$C$2477)</x:f>
        <x:v>0.000018414709063525526</x:v>
      </x:c>
      <x:c r="E1412" s="15" t="n">
        <x:f>SUM($D$5:D1412)</x:f>
        <x:v>0.998449292945561</x:v>
      </x:c>
      <x:c r="F1412" s="1" t="str">
        <x:f>IF(C1412&lt;=0,"C",IF(E1412-D1412&lt;'Дашборд'!$C$49,"A",IF(E1412-D1412&lt;'Дашборд'!$C$50,"B","C")))</x:f>
        <x:v>C</x:v>
      </x:c>
      <x:c r="G1412" s="8" t="n">
        <x:f>'Данные'!F1412</x:f>
        <x:v>22</x:v>
      </x:c>
      <x:c r="H1412" s="8" t="n">
        <x:f>SUM('Данные'!H1412:I1412)</x:f>
        <x:v>8</x:v>
      </x:c>
      <x:c r="I1412" s="16" t="n">
        <x:f>IF(H1412&gt;0,G1412/H1412,"n.a.")</x:f>
        <x:v>2.75</x:v>
      </x:c>
      <x:c r="J1412" s="10" t="n">
        <x:f>IF('Данные'!E1412&gt;0,G1412/'Данные'!E1412,"n.a.")</x:f>
        <x:v>0.003377859665284815</x:v>
      </x:c>
      <x:c r="K1412" s="1" t="str">
        <x:f>IF(G1412&gt;='Дашборд'!$C$51,"X","Z")</x:f>
        <x:v>Z</x:v>
      </x:c>
      <x:c r="L1412" s="1" t="str">
        <x:f>IF(H1412=0,IF(G1412&gt;0,"Нет остатка","Нет спроса"),IF(I1412&gt;='Дашборд'!$C$52,"Быстрый","Медленный"))</x:f>
        <x:v>Быстрый</x:v>
      </x:c>
      <x:c r="M1412" s="1" t="str">
        <x:f>IF('Данные'!E1412&lt;'Дашборд'!$C$53,"Мало трафика",IF(J1412&lt;'Дашборд'!$C$9*'Дашборд'!$C$54,"Да","Нет"))</x:f>
        <x:v>Да</x:v>
      </x:c>
      <x:c r="N1412" s="1" t="str">
        <x:f>IF(AND('Данные'!D1412&gt;='Дашборд'!$C$55,D1412&lt;'Дашборд'!$C$56,'Данные'!E1412&gt;='Дашборд'!$C$53,'Данные'!L1412&lt;&gt;"Да"),"Да","Нет")</x:f>
        <x:v>Да</x:v>
      </x:c>
      <x:c r="O1412" s="1" t="str">
        <x:f>'Данные'!L1412</x:f>
        <x:v>Нет</x:v>
      </x:c>
    </x:row>
    <x:row r="1413">
      <x:c r="A1413" s="1" t="str">
        <x:f>'Данные'!A1413</x:f>
        <x:v>300270089</x:v>
      </x:c>
      <x:c r="B1413" s="1" t="str">
        <x:f>'Данные'!B1413</x:f>
        <x:v>svitzip3P-S-5/темно-синий</x:v>
      </x:c>
      <x:c r="C1413" s="8" t="n">
        <x:f>'Данные'!G1413</x:f>
        <x:v>15721</x:v>
      </x:c>
      <x:c r="D1413" s="15" t="n">
        <x:f>C1413/SUM($C$5:$C$2477)</x:f>
        <x:v>0.000018365643671108595</x:v>
      </x:c>
      <x:c r="E1413" s="15" t="n">
        <x:f>SUM($D$5:D1413)</x:f>
        <x:v>0.998467658589232</x:v>
      </x:c>
      <x:c r="F1413" s="1" t="str">
        <x:f>IF(C1413&lt;=0,"C",IF(E1413-D1413&lt;'Дашборд'!$C$49,"A",IF(E1413-D1413&lt;'Дашборд'!$C$50,"B","C")))</x:f>
        <x:v>C</x:v>
      </x:c>
      <x:c r="G1413" s="8" t="n">
        <x:f>'Данные'!F1413</x:f>
        <x:v>30</x:v>
      </x:c>
      <x:c r="H1413" s="8" t="n">
        <x:f>SUM('Данные'!H1413:I1413)</x:f>
        <x:v>54</x:v>
      </x:c>
      <x:c r="I1413" s="16" t="n">
        <x:f>IF(H1413&gt;0,G1413/H1413,"n.a.")</x:f>
        <x:v>0.5555555555555556</x:v>
      </x:c>
      <x:c r="J1413" s="10" t="n">
        <x:f>IF('Данные'!E1413&gt;0,G1413/'Данные'!E1413,"n.a.")</x:f>
        <x:v>0.0044398401657540325</x:v>
      </x:c>
      <x:c r="K1413" s="1" t="str">
        <x:f>IF(G1413&gt;='Дашборд'!$C$51,"X","Z")</x:f>
        <x:v>Z</x:v>
      </x:c>
      <x:c r="L1413" s="1" t="str">
        <x:f>IF(H1413=0,IF(G1413&gt;0,"Нет остатка","Нет спроса"),IF(I1413&gt;='Дашборд'!$C$52,"Быстрый","Медленный"))</x:f>
        <x:v>Медленный</x:v>
      </x:c>
      <x:c r="M1413" s="1" t="str">
        <x:f>IF('Данные'!E1413&lt;'Дашборд'!$C$53,"Мало трафика",IF(J1413&lt;'Дашборд'!$C$9*'Дашборд'!$C$54,"Да","Нет"))</x:f>
        <x:v>Да</x:v>
      </x:c>
      <x:c r="N1413" s="1" t="str">
        <x:f>IF(AND('Данные'!D1413&gt;='Дашборд'!$C$55,D1413&lt;'Дашборд'!$C$56,'Данные'!E1413&gt;='Дашборд'!$C$53,'Данные'!L1413&lt;&gt;"Да"),"Да","Нет")</x:f>
        <x:v>Нет</x:v>
      </x:c>
      <x:c r="O1413" s="1" t="str">
        <x:f>'Данные'!L1413</x:f>
        <x:v>Нет</x:v>
      </x:c>
    </x:row>
    <x:row r="1414">
      <x:c r="A1414" s="1" t="str">
        <x:f>'Данные'!A1414</x:f>
        <x:v>313770765</x:v>
      </x:c>
      <x:c r="B1414" s="1" t="str">
        <x:f>'Данные'!B1414</x:f>
        <x:v>futbolkagirl/шалфей</x:v>
      </x:c>
      <x:c r="C1414" s="8" t="n">
        <x:f>'Данные'!G1414</x:f>
        <x:v>15676</x:v>
      </x:c>
      <x:c r="D1414" s="15" t="n">
        <x:f>C1414/SUM($C$5:$C$2477)</x:f>
        <x:v>0.000018313073607804743</x:v>
      </x:c>
      <x:c r="E1414" s="15" t="n">
        <x:f>SUM($D$5:D1414)</x:f>
        <x:v>0.9984859716628398</x:v>
      </x:c>
      <x:c r="F1414" s="1" t="str">
        <x:f>IF(C1414&lt;=0,"C",IF(E1414-D1414&lt;'Дашборд'!$C$49,"A",IF(E1414-D1414&lt;'Дашборд'!$C$50,"B","C")))</x:f>
        <x:v>C</x:v>
      </x:c>
      <x:c r="G1414" s="8" t="n">
        <x:f>'Данные'!F1414</x:f>
        <x:v>48</x:v>
      </x:c>
      <x:c r="H1414" s="8" t="n">
        <x:f>SUM('Данные'!H1414:I1414)</x:f>
        <x:v>35</x:v>
      </x:c>
      <x:c r="I1414" s="16" t="n">
        <x:f>IF(H1414&gt;0,G1414/H1414,"n.a.")</x:f>
        <x:v>1.3714285714285714</x:v>
      </x:c>
      <x:c r="J1414" s="10" t="n">
        <x:f>IF('Данные'!E1414&gt;0,G1414/'Данные'!E1414,"n.a.")</x:f>
        <x:v>0.002438157159546909</x:v>
      </x:c>
      <x:c r="K1414" s="1" t="str">
        <x:f>IF(G1414&gt;='Дашборд'!$C$51,"X","Z")</x:f>
        <x:v>Z</x:v>
      </x:c>
      <x:c r="L1414" s="1" t="str">
        <x:f>IF(H1414=0,IF(G1414&gt;0,"Нет остатка","Нет спроса"),IF(I1414&gt;='Дашборд'!$C$52,"Быстрый","Медленный"))</x:f>
        <x:v>Быстрый</x:v>
      </x:c>
      <x:c r="M1414" s="1" t="str">
        <x:f>IF('Данные'!E1414&lt;'Дашборд'!$C$53,"Мало трафика",IF(J1414&lt;'Дашборд'!$C$9*'Дашборд'!$C$54,"Да","Нет"))</x:f>
        <x:v>Да</x:v>
      </x:c>
      <x:c r="N1414" s="1" t="str">
        <x:f>IF(AND('Данные'!D1414&gt;='Дашборд'!$C$55,D1414&lt;'Дашборд'!$C$56,'Данные'!E1414&gt;='Дашборд'!$C$53,'Данные'!L1414&lt;&gt;"Да"),"Да","Нет")</x:f>
        <x:v>Да</x:v>
      </x:c>
      <x:c r="O1414" s="1" t="str">
        <x:f>'Данные'!L1414</x:f>
        <x:v>Нет</x:v>
      </x:c>
    </x:row>
    <x:row r="1415">
      <x:c r="A1415" s="1" t="str">
        <x:f>'Данные'!A1415</x:f>
        <x:v>229777378</x:v>
      </x:c>
      <x:c r="B1415" s="1" t="str">
        <x:f>'Данные'!B1415</x:f>
        <x:v>futbolkamanoverX3/черный</x:v>
      </x:c>
      <x:c r="C1415" s="8" t="n">
        <x:f>'Данные'!G1415</x:f>
        <x:v>15556</x:v>
      </x:c>
      <x:c r="D1415" s="15" t="n">
        <x:f>C1415/SUM($C$5:$C$2477)</x:f>
        <x:v>0.000018172886772327797</x:v>
      </x:c>
      <x:c r="E1415" s="15" t="n">
        <x:f>SUM($D$5:D1415)</x:f>
        <x:v>0.9985041445496121</x:v>
      </x:c>
      <x:c r="F1415" s="1" t="str">
        <x:f>IF(C1415&lt;=0,"C",IF(E1415-D1415&lt;'Дашборд'!$C$49,"A",IF(E1415-D1415&lt;'Дашборд'!$C$50,"B","C")))</x:f>
        <x:v>C</x:v>
      </x:c>
      <x:c r="G1415" s="8" t="n">
        <x:f>'Данные'!F1415</x:f>
        <x:v>12</x:v>
      </x:c>
      <x:c r="H1415" s="8" t="n">
        <x:f>SUM('Данные'!H1415:I1415)</x:f>
        <x:v>52</x:v>
      </x:c>
      <x:c r="I1415" s="16" t="n">
        <x:f>IF(H1415&gt;0,G1415/H1415,"n.a.")</x:f>
        <x:v>0.23076923076923078</x:v>
      </x:c>
      <x:c r="J1415" s="10" t="n">
        <x:f>IF('Данные'!E1415&gt;0,G1415/'Данные'!E1415,"n.a.")</x:f>
        <x:v>0.000509792259654191</x:v>
      </x:c>
      <x:c r="K1415" s="1" t="str">
        <x:f>IF(G1415&gt;='Дашборд'!$C$51,"X","Z")</x:f>
        <x:v>Z</x:v>
      </x:c>
      <x:c r="L1415" s="1" t="str">
        <x:f>IF(H1415=0,IF(G1415&gt;0,"Нет остатка","Нет спроса"),IF(I1415&gt;='Дашборд'!$C$52,"Быстрый","Медленный"))</x:f>
        <x:v>Медленный</x:v>
      </x:c>
      <x:c r="M1415" s="1" t="str">
        <x:f>IF('Данные'!E1415&lt;'Дашборд'!$C$53,"Мало трафика",IF(J1415&lt;'Дашборд'!$C$9*'Дашборд'!$C$54,"Да","Нет"))</x:f>
        <x:v>Да</x:v>
      </x:c>
      <x:c r="N1415" s="1" t="str">
        <x:f>IF(AND('Данные'!D1415&gt;='Дашборд'!$C$55,D1415&lt;'Дашборд'!$C$56,'Данные'!E1415&gt;='Дашборд'!$C$53,'Данные'!L1415&lt;&gt;"Да"),"Да","Нет")</x:f>
        <x:v>Нет</x:v>
      </x:c>
      <x:c r="O1415" s="1" t="str">
        <x:f>'Данные'!L1415</x:f>
        <x:v>Нет</x:v>
      </x:c>
    </x:row>
    <x:row r="1416">
      <x:c r="A1416" s="1" t="str">
        <x:f>'Данные'!A1416</x:f>
        <x:v>176976184</x:v>
      </x:c>
      <x:c r="B1416" s="1" t="str">
        <x:f>'Данные'!B1416</x:f>
        <x:v>hudi1size/синий</x:v>
      </x:c>
      <x:c r="C1416" s="8" t="n">
        <x:f>'Данные'!G1416</x:f>
        <x:v>15500</x:v>
      </x:c>
      <x:c r="D1416" s="15" t="n">
        <x:f>C1416/SUM($C$5:$C$2477)</x:f>
        <x:v>0.000018107466249105223</x:v>
      </x:c>
      <x:c r="E1416" s="15" t="n">
        <x:f>SUM($D$5:D1416)</x:f>
        <x:v>0.9985222520158612</x:v>
      </x:c>
      <x:c r="F1416" s="1" t="str">
        <x:f>IF(C1416&lt;=0,"C",IF(E1416-D1416&lt;'Дашборд'!$C$49,"A",IF(E1416-D1416&lt;'Дашборд'!$C$50,"B","C")))</x:f>
        <x:v>C</x:v>
      </x:c>
      <x:c r="G1416" s="8" t="n">
        <x:f>'Данные'!F1416</x:f>
        <x:v>15</x:v>
      </x:c>
      <x:c r="H1416" s="8" t="n">
        <x:f>SUM('Данные'!H1416:I1416)</x:f>
        <x:v>0</x:v>
      </x:c>
      <x:c r="I1416" s="16" t="str">
        <x:f>IF(H1416&gt;0,G1416/H1416,"n.a.")</x:f>
        <x:v>n.a.</x:v>
      </x:c>
      <x:c r="J1416" s="10" t="n">
        <x:f>IF('Данные'!E1416&gt;0,G1416/'Данные'!E1416,"n.a.")</x:f>
        <x:v>0.02608695652173913</x:v>
      </x:c>
      <x:c r="K1416" s="1" t="str">
        <x:f>IF(G1416&gt;='Дашборд'!$C$51,"X","Z")</x:f>
        <x:v>Z</x:v>
      </x:c>
      <x:c r="L1416" s="1" t="str">
        <x:f>IF(H1416=0,IF(G1416&gt;0,"Нет остатка","Нет спроса"),IF(I1416&gt;='Дашборд'!$C$52,"Быстрый","Медленный"))</x:f>
        <x:v>Нет остатка</x:v>
      </x:c>
      <x:c r="M1416" s="1" t="str">
        <x:f>IF('Данные'!E1416&lt;'Дашборд'!$C$53,"Мало трафика",IF(J1416&lt;'Дашборд'!$C$9*'Дашборд'!$C$54,"Да","Нет"))</x:f>
        <x:v>Мало трафика</x:v>
      </x:c>
      <x:c r="N1416" s="1" t="str">
        <x:f>IF(AND('Данные'!D1416&gt;='Дашборд'!$C$55,D1416&lt;'Дашборд'!$C$56,'Данные'!E1416&gt;='Дашборд'!$C$53,'Данные'!L1416&lt;&gt;"Да"),"Да","Нет")</x:f>
        <x:v>Нет</x:v>
      </x:c>
      <x:c r="O1416" s="1" t="str">
        <x:f>'Данные'!L1416</x:f>
        <x:v>Нет</x:v>
      </x:c>
    </x:row>
    <x:row r="1417">
      <x:c r="A1417" s="1" t="str">
        <x:f>'Данные'!A1417</x:f>
        <x:v>202779191</x:v>
      </x:c>
      <x:c r="B1417" s="1" t="str">
        <x:f>'Данные'!B1417</x:f>
        <x:v>hudiprint/MoreSelf-44/темно-серый</x:v>
      </x:c>
      <x:c r="C1417" s="8" t="n">
        <x:f>'Данные'!G1417</x:f>
        <x:v>15429</x:v>
      </x:c>
      <x:c r="D1417" s="15" t="n">
        <x:f>C1417/SUM($C$5:$C$2477)</x:f>
        <x:v>0.000018024522371448034</x:v>
      </x:c>
      <x:c r="E1417" s="15" t="n">
        <x:f>SUM($D$5:D1417)</x:f>
        <x:v>0.9985402765382326</x:v>
      </x:c>
      <x:c r="F1417" s="1" t="str">
        <x:f>IF(C1417&lt;=0,"C",IF(E1417-D1417&lt;'Дашборд'!$C$49,"A",IF(E1417-D1417&lt;'Дашборд'!$C$50,"B","C")))</x:f>
        <x:v>C</x:v>
      </x:c>
      <x:c r="G1417" s="8" t="n">
        <x:f>'Данные'!F1417</x:f>
        <x:v>8</x:v>
      </x:c>
      <x:c r="H1417" s="8" t="n">
        <x:f>SUM('Данные'!H1417:I1417)</x:f>
        <x:v>0</x:v>
      </x:c>
      <x:c r="I1417" s="16" t="str">
        <x:f>IF(H1417&gt;0,G1417/H1417,"n.a.")</x:f>
        <x:v>n.a.</x:v>
      </x:c>
      <x:c r="J1417" s="10" t="n">
        <x:f>IF('Данные'!E1417&gt;0,G1417/'Данные'!E1417,"n.a.")</x:f>
        <x:v>0.005681818181818182</x:v>
      </x:c>
      <x:c r="K1417" s="1" t="str">
        <x:f>IF(G1417&gt;='Дашборд'!$C$51,"X","Z")</x:f>
        <x:v>Z</x:v>
      </x:c>
      <x:c r="L1417" s="1" t="str">
        <x:f>IF(H1417=0,IF(G1417&gt;0,"Нет остатка","Нет спроса"),IF(I1417&gt;='Дашборд'!$C$52,"Быстрый","Медленный"))</x:f>
        <x:v>Нет остатка</x:v>
      </x:c>
      <x:c r="M1417" s="1" t="str">
        <x:f>IF('Данные'!E1417&lt;'Дашборд'!$C$53,"Мало трафика",IF(J1417&lt;'Дашборд'!$C$9*'Дашборд'!$C$54,"Да","Нет"))</x:f>
        <x:v>Да</x:v>
      </x:c>
      <x:c r="N1417" s="1" t="str">
        <x:f>IF(AND('Данные'!D1417&gt;='Дашборд'!$C$55,D1417&lt;'Дашборд'!$C$56,'Данные'!E1417&gt;='Дашборд'!$C$53,'Данные'!L1417&lt;&gt;"Да"),"Да","Нет")</x:f>
        <x:v>Нет</x:v>
      </x:c>
      <x:c r="O1417" s="1" t="str">
        <x:f>'Данные'!L1417</x:f>
        <x:v>Нет</x:v>
      </x:c>
    </x:row>
    <x:row r="1418">
      <x:c r="A1418" s="1" t="str">
        <x:f>'Данные'!A1418</x:f>
        <x:v>313770781</x:v>
      </x:c>
      <x:c r="B1418" s="1" t="str">
        <x:f>'Данные'!B1418</x:f>
        <x:v>futbolkagirl/банановый</x:v>
      </x:c>
      <x:c r="C1418" s="8" t="n">
        <x:f>'Данные'!G1418</x:f>
        <x:v>15400</x:v>
      </x:c>
      <x:c r="D1418" s="15" t="n">
        <x:f>C1418/SUM($C$5:$C$2477)</x:f>
        <x:v>0.00001799064388620777</x:v>
      </x:c>
      <x:c r="E1418" s="15" t="n">
        <x:f>SUM($D$5:D1418)</x:f>
        <x:v>0.9985582671821188</x:v>
      </x:c>
      <x:c r="F1418" s="1" t="str">
        <x:f>IF(C1418&lt;=0,"C",IF(E1418-D1418&lt;'Дашборд'!$C$49,"A",IF(E1418-D1418&lt;'Дашборд'!$C$50,"B","C")))</x:f>
        <x:v>C</x:v>
      </x:c>
      <x:c r="G1418" s="8" t="n">
        <x:f>'Данные'!F1418</x:f>
        <x:v>53</x:v>
      </x:c>
      <x:c r="H1418" s="8" t="n">
        <x:f>SUM('Данные'!H1418:I1418)</x:f>
        <x:v>0</x:v>
      </x:c>
      <x:c r="I1418" s="16" t="str">
        <x:f>IF(H1418&gt;0,G1418/H1418,"n.a.")</x:f>
        <x:v>n.a.</x:v>
      </x:c>
      <x:c r="J1418" s="10" t="n">
        <x:f>IF('Данные'!E1418&gt;0,G1418/'Данные'!E1418,"n.a.")</x:f>
        <x:v>0.00908467603702434</x:v>
      </x:c>
      <x:c r="K1418" s="1" t="str">
        <x:f>IF(G1418&gt;='Дашборд'!$C$51,"X","Z")</x:f>
        <x:v>Z</x:v>
      </x:c>
      <x:c r="L1418" s="1" t="str">
        <x:f>IF(H1418=0,IF(G1418&gt;0,"Нет остатка","Нет спроса"),IF(I1418&gt;='Дашборд'!$C$52,"Быстрый","Медленный"))</x:f>
        <x:v>Нет остатка</x:v>
      </x:c>
      <x:c r="M1418" s="1" t="str">
        <x:f>IF('Данные'!E1418&lt;'Дашборд'!$C$53,"Мало трафика",IF(J1418&lt;'Дашборд'!$C$9*'Дашборд'!$C$54,"Да","Нет"))</x:f>
        <x:v>Да</x:v>
      </x:c>
      <x:c r="N1418" s="1" t="str">
        <x:f>IF(AND('Данные'!D1418&gt;='Дашборд'!$C$55,D1418&lt;'Дашборд'!$C$56,'Данные'!E1418&gt;='Дашборд'!$C$53,'Данные'!L1418&lt;&gt;"Да"),"Да","Нет")</x:f>
        <x:v>Да</x:v>
      </x:c>
      <x:c r="O1418" s="1" t="str">
        <x:f>'Данные'!L1418</x:f>
        <x:v>Нет</x:v>
      </x:c>
    </x:row>
    <x:row r="1419">
      <x:c r="A1419" s="1" t="str">
        <x:f>'Данные'!A1419</x:f>
        <x:v>256323217</x:v>
      </x:c>
      <x:c r="B1419" s="1" t="str">
        <x:f>'Данные'!B1419</x:f>
        <x:v>futhlopmanover/темно-серый</x:v>
      </x:c>
      <x:c r="C1419" s="8" t="n">
        <x:f>'Данные'!G1419</x:f>
        <x:v>15295</x:v>
      </x:c>
      <x:c r="D1419" s="15" t="n">
        <x:f>C1419/SUM($C$5:$C$2477)</x:f>
        <x:v>0.000017867980405165445</x:v>
      </x:c>
      <x:c r="E1419" s="15" t="n">
        <x:f>SUM($D$5:D1419)</x:f>
        <x:v>0.998576135162524</x:v>
      </x:c>
      <x:c r="F1419" s="1" t="str">
        <x:f>IF(C1419&lt;=0,"C",IF(E1419-D1419&lt;'Дашборд'!$C$49,"A",IF(E1419-D1419&lt;'Дашборд'!$C$50,"B","C")))</x:f>
        <x:v>C</x:v>
      </x:c>
      <x:c r="G1419" s="8" t="n">
        <x:f>'Данные'!F1419</x:f>
        <x:v>43</x:v>
      </x:c>
      <x:c r="H1419" s="8" t="n">
        <x:f>SUM('Данные'!H1419:I1419)</x:f>
        <x:v>1</x:v>
      </x:c>
      <x:c r="I1419" s="16" t="n">
        <x:f>IF(H1419&gt;0,G1419/H1419,"n.a.")</x:f>
        <x:v>43</x:v>
      </x:c>
      <x:c r="J1419" s="10" t="n">
        <x:f>IF('Данные'!E1419&gt;0,G1419/'Данные'!E1419,"n.a.")</x:f>
        <x:v>0.005335649584315672</x:v>
      </x:c>
      <x:c r="K1419" s="1" t="str">
        <x:f>IF(G1419&gt;='Дашборд'!$C$51,"X","Z")</x:f>
        <x:v>Z</x:v>
      </x:c>
      <x:c r="L1419" s="1" t="str">
        <x:f>IF(H1419=0,IF(G1419&gt;0,"Нет остатка","Нет спроса"),IF(I1419&gt;='Дашборд'!$C$52,"Быстрый","Медленный"))</x:f>
        <x:v>Быстрый</x:v>
      </x:c>
      <x:c r="M1419" s="1" t="str">
        <x:f>IF('Данные'!E1419&lt;'Дашборд'!$C$53,"Мало трафика",IF(J1419&lt;'Дашборд'!$C$9*'Дашборд'!$C$54,"Да","Нет"))</x:f>
        <x:v>Да</x:v>
      </x:c>
      <x:c r="N1419" s="1" t="str">
        <x:f>IF(AND('Данные'!D1419&gt;='Дашборд'!$C$55,D1419&lt;'Дашборд'!$C$56,'Данные'!E1419&gt;='Дашборд'!$C$53,'Данные'!L1419&lt;&gt;"Да"),"Да","Нет")</x:f>
        <x:v>Нет</x:v>
      </x:c>
      <x:c r="O1419" s="1" t="str">
        <x:f>'Данные'!L1419</x:f>
        <x:v>Нет</x:v>
      </x:c>
    </x:row>
    <x:row r="1420">
      <x:c r="A1420" s="1" t="str">
        <x:f>'Данные'!A1420</x:f>
        <x:v>344319379</x:v>
      </x:c>
      <x:c r="B1420" s="1" t="str">
        <x:f>'Данные'!B1420</x:f>
        <x:v>toprib3R-82/бежевый</x:v>
      </x:c>
      <x:c r="C1420" s="8" t="n">
        <x:f>'Данные'!G1420</x:f>
        <x:v>15203</x:v>
      </x:c>
      <x:c r="D1420" s="15" t="n">
        <x:f>C1420/SUM($C$5:$C$2477)</x:f>
        <x:v>0.00001776050383129979</x:v>
      </x:c>
      <x:c r="E1420" s="15" t="n">
        <x:f>SUM($D$5:D1420)</x:f>
        <x:v>0.9985938956663553</x:v>
      </x:c>
      <x:c r="F1420" s="1" t="str">
        <x:f>IF(C1420&lt;=0,"C",IF(E1420-D1420&lt;'Дашборд'!$C$49,"A",IF(E1420-D1420&lt;'Дашборд'!$C$50,"B","C")))</x:f>
        <x:v>C</x:v>
      </x:c>
      <x:c r="G1420" s="8" t="n">
        <x:f>'Данные'!F1420</x:f>
        <x:v>91</x:v>
      </x:c>
      <x:c r="H1420" s="8" t="n">
        <x:f>SUM('Данные'!H1420:I1420)</x:f>
        <x:v>920</x:v>
      </x:c>
      <x:c r="I1420" s="16" t="n">
        <x:f>IF(H1420&gt;0,G1420/H1420,"n.a.")</x:f>
        <x:v>0.09891304347826087</x:v>
      </x:c>
      <x:c r="J1420" s="10" t="n">
        <x:f>IF('Данные'!E1420&gt;0,G1420/'Данные'!E1420,"n.a.")</x:f>
        <x:v>0.006868961352657005</x:v>
      </x:c>
      <x:c r="K1420" s="1" t="str">
        <x:f>IF(G1420&gt;='Дашборд'!$C$51,"X","Z")</x:f>
        <x:v>Z</x:v>
      </x:c>
      <x:c r="L1420" s="1" t="str">
        <x:f>IF(H1420=0,IF(G1420&gt;0,"Нет остатка","Нет спроса"),IF(I1420&gt;='Дашборд'!$C$52,"Быстрый","Медленный"))</x:f>
        <x:v>Медленный</x:v>
      </x:c>
      <x:c r="M1420" s="1" t="str">
        <x:f>IF('Данные'!E1420&lt;'Дашборд'!$C$53,"Мало трафика",IF(J1420&lt;'Дашборд'!$C$9*'Дашборд'!$C$54,"Да","Нет"))</x:f>
        <x:v>Да</x:v>
      </x:c>
      <x:c r="N1420" s="1" t="str">
        <x:f>IF(AND('Данные'!D1420&gt;='Дашборд'!$C$55,D1420&lt;'Дашборд'!$C$56,'Данные'!E1420&gt;='Дашборд'!$C$53,'Данные'!L1420&lt;&gt;"Да"),"Да","Нет")</x:f>
        <x:v>Нет</x:v>
      </x:c>
      <x:c r="O1420" s="1" t="str">
        <x:f>'Данные'!L1420</x:f>
        <x:v>Нет</x:v>
      </x:c>
    </x:row>
    <x:row r="1421">
      <x:c r="A1421" s="1" t="str">
        <x:f>'Данные'!A1421</x:f>
        <x:v>366559994</x:v>
      </x:c>
      <x:c r="B1421" s="1" t="str">
        <x:f>'Данные'!B1421</x:f>
        <x:v>2Nshortyboy/коричневый</x:v>
      </x:c>
      <x:c r="C1421" s="8" t="n">
        <x:f>'Данные'!G1421</x:f>
        <x:v>14880</x:v>
      </x:c>
      <x:c r="D1421" s="15" t="n">
        <x:f>C1421/SUM($C$5:$C$2477)</x:f>
        <x:v>0.000017383167599141016</x:v>
      </x:c>
      <x:c r="E1421" s="15" t="n">
        <x:f>SUM($D$5:D1421)</x:f>
        <x:v>0.9986112788339544</x:v>
      </x:c>
      <x:c r="F1421" s="1" t="str">
        <x:f>IF(C1421&lt;=0,"C",IF(E1421-D1421&lt;'Дашборд'!$C$49,"A",IF(E1421-D1421&lt;'Дашборд'!$C$50,"B","C")))</x:f>
        <x:v>C</x:v>
      </x:c>
      <x:c r="G1421" s="8" t="n">
        <x:f>'Данные'!F1421</x:f>
        <x:v>39</x:v>
      </x:c>
      <x:c r="H1421" s="8" t="n">
        <x:f>SUM('Данные'!H1421:I1421)</x:f>
        <x:v>30</x:v>
      </x:c>
      <x:c r="I1421" s="16" t="n">
        <x:f>IF(H1421&gt;0,G1421/H1421,"n.a.")</x:f>
        <x:v>1.3</x:v>
      </x:c>
      <x:c r="J1421" s="10" t="n">
        <x:f>IF('Данные'!E1421&gt;0,G1421/'Данные'!E1421,"n.a.")</x:f>
        <x:v>0.011101622544833475</x:v>
      </x:c>
      <x:c r="K1421" s="1" t="str">
        <x:f>IF(G1421&gt;='Дашборд'!$C$51,"X","Z")</x:f>
        <x:v>Z</x:v>
      </x:c>
      <x:c r="L1421" s="1" t="str">
        <x:f>IF(H1421=0,IF(G1421&gt;0,"Нет остатка","Нет спроса"),IF(I1421&gt;='Дашборд'!$C$52,"Быстрый","Медленный"))</x:f>
        <x:v>Быстрый</x:v>
      </x:c>
      <x:c r="M1421" s="1" t="str">
        <x:f>IF('Данные'!E1421&lt;'Дашборд'!$C$53,"Мало трафика",IF(J1421&lt;'Дашборд'!$C$9*'Дашборд'!$C$54,"Да","Нет"))</x:f>
        <x:v>Нет</x:v>
      </x:c>
      <x:c r="N1421" s="1" t="str">
        <x:f>IF(AND('Данные'!D1421&gt;='Дашборд'!$C$55,D1421&lt;'Дашборд'!$C$56,'Данные'!E1421&gt;='Дашборд'!$C$53,'Данные'!L1421&lt;&gt;"Да"),"Да","Нет")</x:f>
        <x:v>Нет</x:v>
      </x:c>
      <x:c r="O1421" s="1" t="str">
        <x:f>'Данные'!L1421</x:f>
        <x:v>Нет</x:v>
      </x:c>
    </x:row>
    <x:row r="1422">
      <x:c r="A1422" s="1" t="str">
        <x:f>'Данные'!A1422</x:f>
        <x:v>313770739</x:v>
      </x:c>
      <x:c r="B1422" s="1" t="str">
        <x:f>'Данные'!B1422</x:f>
        <x:v>futbolkagirl/красный</x:v>
      </x:c>
      <x:c r="C1422" s="8" t="n">
        <x:f>'Данные'!G1422</x:f>
        <x:v>14540</x:v>
      </x:c>
      <x:c r="D1422" s="15" t="n">
        <x:f>C1422/SUM($C$5:$C$2477)</x:f>
        <x:v>0.000016985971565289674</x:v>
      </x:c>
      <x:c r="E1422" s="15" t="n">
        <x:f>SUM($D$5:D1422)</x:f>
        <x:v>0.9986282648055197</x:v>
      </x:c>
      <x:c r="F1422" s="1" t="str">
        <x:f>IF(C1422&lt;=0,"C",IF(E1422-D1422&lt;'Дашборд'!$C$49,"A",IF(E1422-D1422&lt;'Дашборд'!$C$50,"B","C")))</x:f>
        <x:v>C</x:v>
      </x:c>
      <x:c r="G1422" s="8" t="n">
        <x:f>'Данные'!F1422</x:f>
        <x:v>40</x:v>
      </x:c>
      <x:c r="H1422" s="8" t="n">
        <x:f>SUM('Данные'!H1422:I1422)</x:f>
        <x:v>0</x:v>
      </x:c>
      <x:c r="I1422" s="16" t="str">
        <x:f>IF(H1422&gt;0,G1422/H1422,"n.a.")</x:f>
        <x:v>n.a.</x:v>
      </x:c>
      <x:c r="J1422" s="10" t="n">
        <x:f>IF('Данные'!E1422&gt;0,G1422/'Данные'!E1422,"n.a.")</x:f>
        <x:v>0.005176653293645658</x:v>
      </x:c>
      <x:c r="K1422" s="1" t="str">
        <x:f>IF(G1422&gt;='Дашборд'!$C$51,"X","Z")</x:f>
        <x:v>Z</x:v>
      </x:c>
      <x:c r="L1422" s="1" t="str">
        <x:f>IF(H1422=0,IF(G1422&gt;0,"Нет остатка","Нет спроса"),IF(I1422&gt;='Дашборд'!$C$52,"Быстрый","Медленный"))</x:f>
        <x:v>Нет остатка</x:v>
      </x:c>
      <x:c r="M1422" s="1" t="str">
        <x:f>IF('Данные'!E1422&lt;'Дашборд'!$C$53,"Мало трафика",IF(J1422&lt;'Дашборд'!$C$9*'Дашборд'!$C$54,"Да","Нет"))</x:f>
        <x:v>Да</x:v>
      </x:c>
      <x:c r="N1422" s="1" t="str">
        <x:f>IF(AND('Данные'!D1422&gt;='Дашборд'!$C$55,D1422&lt;'Дашборд'!$C$56,'Данные'!E1422&gt;='Дашборд'!$C$53,'Данные'!L1422&lt;&gt;"Да"),"Да","Нет")</x:f>
        <x:v>Да</x:v>
      </x:c>
      <x:c r="O1422" s="1" t="str">
        <x:f>'Данные'!L1422</x:f>
        <x:v>Нет</x:v>
      </x:c>
    </x:row>
    <x:row r="1423">
      <x:c r="A1423" s="1" t="str">
        <x:f>'Данные'!A1423</x:f>
        <x:v>313770745</x:v>
      </x:c>
      <x:c r="B1423" s="1" t="str">
        <x:f>'Данные'!B1423</x:f>
        <x:v>futbolkagirl/сине-морской</x:v>
      </x:c>
      <x:c r="C1423" s="8" t="n">
        <x:f>'Данные'!G1423</x:f>
        <x:v>14386</x:v>
      </x:c>
      <x:c r="D1423" s="15" t="n">
        <x:f>C1423/SUM($C$5:$C$2477)</x:f>
        <x:v>0.000016806065126427598</x:v>
      </x:c>
      <x:c r="E1423" s="15" t="n">
        <x:f>SUM($D$5:D1423)</x:f>
        <x:v>0.9986450708706461</x:v>
      </x:c>
      <x:c r="F1423" s="1" t="str">
        <x:f>IF(C1423&lt;=0,"C",IF(E1423-D1423&lt;'Дашборд'!$C$49,"A",IF(E1423-D1423&lt;'Дашборд'!$C$50,"B","C")))</x:f>
        <x:v>C</x:v>
      </x:c>
      <x:c r="G1423" s="8" t="n">
        <x:f>'Данные'!F1423</x:f>
        <x:v>39</x:v>
      </x:c>
      <x:c r="H1423" s="8" t="n">
        <x:f>SUM('Данные'!H1423:I1423)</x:f>
        <x:v>125</x:v>
      </x:c>
      <x:c r="I1423" s="16" t="n">
        <x:f>IF(H1423&gt;0,G1423/H1423,"n.a.")</x:f>
        <x:v>0.312</x:v>
      </x:c>
      <x:c r="J1423" s="10" t="n">
        <x:f>IF('Данные'!E1423&gt;0,G1423/'Данные'!E1423,"n.a.")</x:f>
        <x:v>0.001985136923546778</x:v>
      </x:c>
      <x:c r="K1423" s="1" t="str">
        <x:f>IF(G1423&gt;='Дашборд'!$C$51,"X","Z")</x:f>
        <x:v>Z</x:v>
      </x:c>
      <x:c r="L1423" s="1" t="str">
        <x:f>IF(H1423=0,IF(G1423&gt;0,"Нет остатка","Нет спроса"),IF(I1423&gt;='Дашборд'!$C$52,"Быстрый","Медленный"))</x:f>
        <x:v>Медленный</x:v>
      </x:c>
      <x:c r="M1423" s="1" t="str">
        <x:f>IF('Данные'!E1423&lt;'Дашборд'!$C$53,"Мало трафика",IF(J1423&lt;'Дашборд'!$C$9*'Дашборд'!$C$54,"Да","Нет"))</x:f>
        <x:v>Да</x:v>
      </x:c>
      <x:c r="N1423" s="1" t="str">
        <x:f>IF(AND('Данные'!D1423&gt;='Дашборд'!$C$55,D1423&lt;'Дашборд'!$C$56,'Данные'!E1423&gt;='Дашборд'!$C$53,'Данные'!L1423&lt;&gt;"Да"),"Да","Нет")</x:f>
        <x:v>Да</x:v>
      </x:c>
      <x:c r="O1423" s="1" t="str">
        <x:f>'Данные'!L1423</x:f>
        <x:v>Нет</x:v>
      </x:c>
    </x:row>
    <x:row r="1424">
      <x:c r="A1424" s="1" t="str">
        <x:f>'Данные'!A1424</x:f>
        <x:v>178309498</x:v>
      </x:c>
      <x:c r="B1424" s="1" t="str">
        <x:f>'Данные'!B1424</x:f>
        <x:v>svitcrop/коричневый</x:v>
      </x:c>
      <x:c r="C1424" s="8" t="n">
        <x:f>'Данные'!G1424</x:f>
        <x:v>14380</x:v>
      </x:c>
      <x:c r="D1424" s="15" t="n">
        <x:f>C1424/SUM($C$5:$C$2477)</x:f>
        <x:v>0.000016799055784653748</x:v>
      </x:c>
      <x:c r="E1424" s="15" t="n">
        <x:f>SUM($D$5:D1424)</x:f>
        <x:v>0.9986618699264308</x:v>
      </x:c>
      <x:c r="F1424" s="1" t="str">
        <x:f>IF(C1424&lt;=0,"C",IF(E1424-D1424&lt;'Дашборд'!$C$49,"A",IF(E1424-D1424&lt;'Дашборд'!$C$50,"B","C")))</x:f>
        <x:v>C</x:v>
      </x:c>
      <x:c r="G1424" s="8" t="n">
        <x:f>'Данные'!F1424</x:f>
        <x:v>46</x:v>
      </x:c>
      <x:c r="H1424" s="8" t="n">
        <x:f>SUM('Данные'!H1424:I1424)</x:f>
        <x:v>0</x:v>
      </x:c>
      <x:c r="I1424" s="16" t="str">
        <x:f>IF(H1424&gt;0,G1424/H1424,"n.a.")</x:f>
        <x:v>n.a.</x:v>
      </x:c>
      <x:c r="J1424" s="10" t="n">
        <x:f>IF('Данные'!E1424&gt;0,G1424/'Данные'!E1424,"n.a.")</x:f>
        <x:v>0.010543204217281686</x:v>
      </x:c>
      <x:c r="K1424" s="1" t="str">
        <x:f>IF(G1424&gt;='Дашборд'!$C$51,"X","Z")</x:f>
        <x:v>Z</x:v>
      </x:c>
      <x:c r="L1424" s="1" t="str">
        <x:f>IF(H1424=0,IF(G1424&gt;0,"Нет остатка","Нет спроса"),IF(I1424&gt;='Дашборд'!$C$52,"Быстрый","Медленный"))</x:f>
        <x:v>Нет остатка</x:v>
      </x:c>
      <x:c r="M1424" s="1" t="str">
        <x:f>IF('Данные'!E1424&lt;'Дашборд'!$C$53,"Мало трафика",IF(J1424&lt;'Дашборд'!$C$9*'Дашборд'!$C$54,"Да","Нет"))</x:f>
        <x:v>Нет</x:v>
      </x:c>
      <x:c r="N1424" s="1" t="str">
        <x:f>IF(AND('Данные'!D1424&gt;='Дашборд'!$C$55,D1424&lt;'Дашборд'!$C$56,'Данные'!E1424&gt;='Дашборд'!$C$53,'Данные'!L1424&lt;&gt;"Да"),"Да","Нет")</x:f>
        <x:v>Да</x:v>
      </x:c>
      <x:c r="O1424" s="1" t="str">
        <x:f>'Данные'!L1424</x:f>
        <x:v>Нет</x:v>
      </x:c>
    </x:row>
    <x:row r="1425">
      <x:c r="A1425" s="1" t="str">
        <x:f>'Данные'!A1425</x:f>
        <x:v>209915733</x:v>
      </x:c>
      <x:c r="B1425" s="1" t="str">
        <x:f>'Данные'!B1425</x:f>
        <x:v>shorty/белый</x:v>
      </x:c>
      <x:c r="C1425" s="8" t="n">
        <x:f>'Данные'!G1425</x:f>
        <x:v>14197</x:v>
      </x:c>
      <x:c r="D1425" s="15" t="n">
        <x:f>C1425/SUM($C$5:$C$2477)</x:f>
        <x:v>0.00001658527086055141</x:v>
      </x:c>
      <x:c r="E1425" s="15" t="n">
        <x:f>SUM($D$5:D1425)</x:f>
        <x:v>0.9986784551972914</x:v>
      </x:c>
      <x:c r="F1425" s="1" t="str">
        <x:f>IF(C1425&lt;=0,"C",IF(E1425-D1425&lt;'Дашборд'!$C$49,"A",IF(E1425-D1425&lt;'Дашборд'!$C$50,"B","C")))</x:f>
        <x:v>C</x:v>
      </x:c>
      <x:c r="G1425" s="8" t="n">
        <x:f>'Данные'!F1425</x:f>
        <x:v>52</x:v>
      </x:c>
      <x:c r="H1425" s="8" t="n">
        <x:f>SUM('Данные'!H1425:I1425)</x:f>
        <x:v>202</x:v>
      </x:c>
      <x:c r="I1425" s="16" t="n">
        <x:f>IF(H1425&gt;0,G1425/H1425,"n.a.")</x:f>
        <x:v>0.25742574257425743</x:v>
      </x:c>
      <x:c r="J1425" s="10" t="n">
        <x:f>IF('Данные'!E1425&gt;0,G1425/'Данные'!E1425,"n.a.")</x:f>
        <x:v>0.008365508365508366</x:v>
      </x:c>
      <x:c r="K1425" s="1" t="str">
        <x:f>IF(G1425&gt;='Дашборд'!$C$51,"X","Z")</x:f>
        <x:v>Z</x:v>
      </x:c>
      <x:c r="L1425" s="1" t="str">
        <x:f>IF(H1425=0,IF(G1425&gt;0,"Нет остатка","Нет спроса"),IF(I1425&gt;='Дашборд'!$C$52,"Быстрый","Медленный"))</x:f>
        <x:v>Медленный</x:v>
      </x:c>
      <x:c r="M1425" s="1" t="str">
        <x:f>IF('Данные'!E1425&lt;'Дашборд'!$C$53,"Мало трафика",IF(J1425&lt;'Дашборд'!$C$9*'Дашборд'!$C$54,"Да","Нет"))</x:f>
        <x:v>Да</x:v>
      </x:c>
      <x:c r="N1425" s="1" t="str">
        <x:f>IF(AND('Данные'!D1425&gt;='Дашборд'!$C$55,D1425&lt;'Дашборд'!$C$56,'Данные'!E1425&gt;='Дашборд'!$C$53,'Данные'!L1425&lt;&gt;"Да"),"Да","Нет")</x:f>
        <x:v>Нет</x:v>
      </x:c>
      <x:c r="O1425" s="1" t="str">
        <x:f>'Данные'!L1425</x:f>
        <x:v>Нет</x:v>
      </x:c>
    </x:row>
    <x:row r="1426">
      <x:c r="A1426" s="1" t="str">
        <x:f>'Данные'!A1426</x:f>
        <x:v>343238681</x:v>
      </x:c>
      <x:c r="B1426" s="1" t="str">
        <x:f>'Данные'!B1426</x:f>
        <x:v>sweatervyaz/коричневый</x:v>
      </x:c>
      <x:c r="C1426" s="8" t="n">
        <x:f>'Данные'!G1426</x:f>
        <x:v>14040</x:v>
      </x:c>
      <x:c r="D1426" s="15" t="n">
        <x:f>C1426/SUM($C$5:$C$2477)</x:f>
        <x:v>0.00001640185975080241</x:v>
      </x:c>
      <x:c r="E1426" s="15" t="n">
        <x:f>SUM($D$5:D1426)</x:f>
        <x:v>0.9986948570570422</x:v>
      </x:c>
      <x:c r="F1426" s="1" t="str">
        <x:f>IF(C1426&lt;=0,"C",IF(E1426-D1426&lt;'Дашборд'!$C$49,"A",IF(E1426-D1426&lt;'Дашборд'!$C$50,"B","C")))</x:f>
        <x:v>C</x:v>
      </x:c>
      <x:c r="G1426" s="8" t="n">
        <x:f>'Данные'!F1426</x:f>
        <x:v>34</x:v>
      </x:c>
      <x:c r="H1426" s="8" t="n">
        <x:f>SUM('Данные'!H1426:I1426)</x:f>
        <x:v>220</x:v>
      </x:c>
      <x:c r="I1426" s="16" t="n">
        <x:f>IF(H1426&gt;0,G1426/H1426,"n.a.")</x:f>
        <x:v>0.15454545454545454</x:v>
      </x:c>
      <x:c r="J1426" s="10" t="n">
        <x:f>IF('Данные'!E1426&gt;0,G1426/'Данные'!E1426,"n.a.")</x:f>
        <x:v>0.004859225382306703</x:v>
      </x:c>
      <x:c r="K1426" s="1" t="str">
        <x:f>IF(G1426&gt;='Дашборд'!$C$51,"X","Z")</x:f>
        <x:v>Z</x:v>
      </x:c>
      <x:c r="L1426" s="1" t="str">
        <x:f>IF(H1426=0,IF(G1426&gt;0,"Нет остатка","Нет спроса"),IF(I1426&gt;='Дашборд'!$C$52,"Быстрый","Медленный"))</x:f>
        <x:v>Медленный</x:v>
      </x:c>
      <x:c r="M1426" s="1" t="str">
        <x:f>IF('Данные'!E1426&lt;'Дашборд'!$C$53,"Мало трафика",IF(J1426&lt;'Дашборд'!$C$9*'Дашборд'!$C$54,"Да","Нет"))</x:f>
        <x:v>Да</x:v>
      </x:c>
      <x:c r="N1426" s="1" t="str">
        <x:f>IF(AND('Данные'!D1426&gt;='Дашборд'!$C$55,D1426&lt;'Дашборд'!$C$56,'Данные'!E1426&gt;='Дашборд'!$C$53,'Данные'!L1426&lt;&gt;"Да"),"Да","Нет")</x:f>
        <x:v>Нет</x:v>
      </x:c>
      <x:c r="O1426" s="1" t="str">
        <x:f>'Данные'!L1426</x:f>
        <x:v>Нет</x:v>
      </x:c>
    </x:row>
    <x:row r="1427">
      <x:c r="A1427" s="1" t="str">
        <x:f>'Данные'!A1427</x:f>
        <x:v>195712692</x:v>
      </x:c>
      <x:c r="B1427" s="1" t="str">
        <x:f>'Данные'!B1427</x:f>
        <x:v>sweater/изумрудно-зеленый</x:v>
      </x:c>
      <x:c r="C1427" s="8" t="n">
        <x:f>'Данные'!G1427</x:f>
        <x:v>13412</x:v>
      </x:c>
      <x:c r="D1427" s="15" t="n">
        <x:f>C1427/SUM($C$5:$C$2477)</x:f>
        <x:v>0.000015668215311806405</x:v>
      </x:c>
      <x:c r="E1427" s="15" t="n">
        <x:f>SUM($D$5:D1427)</x:f>
        <x:v>0.998710525272354</x:v>
      </x:c>
      <x:c r="F1427" s="1" t="str">
        <x:f>IF(C1427&lt;=0,"C",IF(E1427-D1427&lt;'Дашборд'!$C$49,"A",IF(E1427-D1427&lt;'Дашборд'!$C$50,"B","C")))</x:f>
        <x:v>C</x:v>
      </x:c>
      <x:c r="G1427" s="8" t="n">
        <x:f>'Данные'!F1427</x:f>
        <x:v>17</x:v>
      </x:c>
      <x:c r="H1427" s="8" t="n">
        <x:f>SUM('Данные'!H1427:I1427)</x:f>
        <x:v>1</x:v>
      </x:c>
      <x:c r="I1427" s="16" t="n">
        <x:f>IF(H1427&gt;0,G1427/H1427,"n.a.")</x:f>
        <x:v>17</x:v>
      </x:c>
      <x:c r="J1427" s="10" t="n">
        <x:f>IF('Данные'!E1427&gt;0,G1427/'Данные'!E1427,"n.a.")</x:f>
        <x:v>0.012099644128113879</x:v>
      </x:c>
      <x:c r="K1427" s="1" t="str">
        <x:f>IF(G1427&gt;='Дашборд'!$C$51,"X","Z")</x:f>
        <x:v>Z</x:v>
      </x:c>
      <x:c r="L1427" s="1" t="str">
        <x:f>IF(H1427=0,IF(G1427&gt;0,"Нет остатка","Нет спроса"),IF(I1427&gt;='Дашборд'!$C$52,"Быстрый","Медленный"))</x:f>
        <x:v>Быстрый</x:v>
      </x:c>
      <x:c r="M1427" s="1" t="str">
        <x:f>IF('Данные'!E1427&lt;'Дашборд'!$C$53,"Мало трафика",IF(J1427&lt;'Дашборд'!$C$9*'Дашборд'!$C$54,"Да","Нет"))</x:f>
        <x:v>Нет</x:v>
      </x:c>
      <x:c r="N1427" s="1" t="str">
        <x:f>IF(AND('Данные'!D1427&gt;='Дашборд'!$C$55,D1427&lt;'Дашборд'!$C$56,'Данные'!E1427&gt;='Дашборд'!$C$53,'Данные'!L1427&lt;&gt;"Да"),"Да","Нет")</x:f>
        <x:v>Нет</x:v>
      </x:c>
      <x:c r="O1427" s="1" t="str">
        <x:f>'Данные'!L1427</x:f>
        <x:v>Нет</x:v>
      </x:c>
    </x:row>
    <x:row r="1428">
      <x:c r="A1428" s="1" t="str">
        <x:f>'Данные'!A1428</x:f>
        <x:v>176976188</x:v>
      </x:c>
      <x:c r="B1428" s="1" t="str">
        <x:f>'Данные'!B1428</x:f>
        <x:v>hudi1size/молочный</x:v>
      </x:c>
      <x:c r="C1428" s="8" t="n">
        <x:f>'Данные'!G1428</x:f>
        <x:v>13035</x:v>
      </x:c>
      <x:c r="D1428" s="15" t="n">
        <x:f>C1428/SUM($C$5:$C$2477)</x:f>
        <x:v>0.000015227795003683006</x:v>
      </x:c>
      <x:c r="E1428" s="15" t="n">
        <x:f>SUM($D$5:D1428)</x:f>
        <x:v>0.9987257530673578</x:v>
      </x:c>
      <x:c r="F1428" s="1" t="str">
        <x:f>IF(C1428&lt;=0,"C",IF(E1428-D1428&lt;'Дашборд'!$C$49,"A",IF(E1428-D1428&lt;'Дашборд'!$C$50,"B","C")))</x:f>
        <x:v>C</x:v>
      </x:c>
      <x:c r="G1428" s="8" t="n">
        <x:f>'Данные'!F1428</x:f>
        <x:v>13</x:v>
      </x:c>
      <x:c r="H1428" s="8" t="n">
        <x:f>SUM('Данные'!H1428:I1428)</x:f>
        <x:v>0</x:v>
      </x:c>
      <x:c r="I1428" s="16" t="str">
        <x:f>IF(H1428&gt;0,G1428/H1428,"n.a.")</x:f>
        <x:v>n.a.</x:v>
      </x:c>
      <x:c r="J1428" s="10" t="n">
        <x:f>IF('Данные'!E1428&gt;0,G1428/'Данные'!E1428,"n.a.")</x:f>
        <x:v>0.01</x:v>
      </x:c>
      <x:c r="K1428" s="1" t="str">
        <x:f>IF(G1428&gt;='Дашборд'!$C$51,"X","Z")</x:f>
        <x:v>Z</x:v>
      </x:c>
      <x:c r="L1428" s="1" t="str">
        <x:f>IF(H1428=0,IF(G1428&gt;0,"Нет остатка","Нет спроса"),IF(I1428&gt;='Дашборд'!$C$52,"Быстрый","Медленный"))</x:f>
        <x:v>Нет остатка</x:v>
      </x:c>
      <x:c r="M1428" s="1" t="str">
        <x:f>IF('Данные'!E1428&lt;'Дашборд'!$C$53,"Мало трафика",IF(J1428&lt;'Дашборд'!$C$9*'Дашборд'!$C$54,"Да","Нет"))</x:f>
        <x:v>Да</x:v>
      </x:c>
      <x:c r="N1428" s="1" t="str">
        <x:f>IF(AND('Данные'!D1428&gt;='Дашборд'!$C$55,D1428&lt;'Дашборд'!$C$56,'Данные'!E1428&gt;='Дашборд'!$C$53,'Данные'!L1428&lt;&gt;"Да"),"Да","Нет")</x:f>
        <x:v>Да</x:v>
      </x:c>
      <x:c r="O1428" s="1" t="str">
        <x:f>'Данные'!L1428</x:f>
        <x:v>Нет</x:v>
      </x:c>
    </x:row>
    <x:row r="1429">
      <x:c r="A1429" s="1" t="str">
        <x:f>'Данные'!A1429</x:f>
        <x:v>235997582</x:v>
      </x:c>
      <x:c r="B1429" s="1" t="str">
        <x:f>'Данные'!B1429</x:f>
        <x:v>bazaboy/хаки</x:v>
      </x:c>
      <x:c r="C1429" s="8" t="n">
        <x:f>'Данные'!G1429</x:f>
        <x:v>12927</x:v>
      </x:c>
      <x:c r="D1429" s="15" t="n">
        <x:f>C1429/SUM($C$5:$C$2477)</x:f>
        <x:v>0.000015101626851753757</x:v>
      </x:c>
      <x:c r="E1429" s="15" t="n">
        <x:f>SUM($D$5:D1429)</x:f>
        <x:v>0.9987408546942095</x:v>
      </x:c>
      <x:c r="F1429" s="1" t="str">
        <x:f>IF(C1429&lt;=0,"C",IF(E1429-D1429&lt;'Дашборд'!$C$49,"A",IF(E1429-D1429&lt;'Дашборд'!$C$50,"B","C")))</x:f>
        <x:v>C</x:v>
      </x:c>
      <x:c r="G1429" s="8" t="n">
        <x:f>'Данные'!F1429</x:f>
        <x:v>40</x:v>
      </x:c>
      <x:c r="H1429" s="8" t="n">
        <x:f>SUM('Данные'!H1429:I1429)</x:f>
        <x:v>237</x:v>
      </x:c>
      <x:c r="I1429" s="16" t="n">
        <x:f>IF(H1429&gt;0,G1429/H1429,"n.a.")</x:f>
        <x:v>0.16877637130801687</x:v>
      </x:c>
      <x:c r="J1429" s="10" t="n">
        <x:f>IF('Данные'!E1429&gt;0,G1429/'Данные'!E1429,"n.a.")</x:f>
        <x:v>0.005160624435556703</x:v>
      </x:c>
      <x:c r="K1429" s="1" t="str">
        <x:f>IF(G1429&gt;='Дашборд'!$C$51,"X","Z")</x:f>
        <x:v>Z</x:v>
      </x:c>
      <x:c r="L1429" s="1" t="str">
        <x:f>IF(H1429=0,IF(G1429&gt;0,"Нет остатка","Нет спроса"),IF(I1429&gt;='Дашборд'!$C$52,"Быстрый","Медленный"))</x:f>
        <x:v>Медленный</x:v>
      </x:c>
      <x:c r="M1429" s="1" t="str">
        <x:f>IF('Данные'!E1429&lt;'Дашборд'!$C$53,"Мало трафика",IF(J1429&lt;'Дашборд'!$C$9*'Дашборд'!$C$54,"Да","Нет"))</x:f>
        <x:v>Да</x:v>
      </x:c>
      <x:c r="N1429" s="1" t="str">
        <x:f>IF(AND('Данные'!D1429&gt;='Дашборд'!$C$55,D1429&lt;'Дашборд'!$C$56,'Данные'!E1429&gt;='Дашборд'!$C$53,'Данные'!L1429&lt;&gt;"Да"),"Да","Нет")</x:f>
        <x:v>Да</x:v>
      </x:c>
      <x:c r="O1429" s="1" t="str">
        <x:f>'Данные'!L1429</x:f>
        <x:v>Нет</x:v>
      </x:c>
    </x:row>
    <x:row r="1430">
      <x:c r="A1430" s="1" t="str">
        <x:f>'Данные'!A1430</x:f>
        <x:v>250555331</x:v>
      </x:c>
      <x:c r="B1430" s="1" t="str">
        <x:f>'Данные'!B1430</x:f>
        <x:v>hudimanprint/DontFollow-190/черный</x:v>
      </x:c>
      <x:c r="C1430" s="8" t="n">
        <x:f>'Данные'!G1430</x:f>
        <x:v>12860</x:v>
      </x:c>
      <x:c r="D1430" s="15" t="n">
        <x:f>C1430/SUM($C$5:$C$2477)</x:f>
        <x:v>0.000015023355868612463</x:v>
      </x:c>
      <x:c r="E1430" s="15" t="n">
        <x:f>SUM($D$5:D1430)</x:f>
        <x:v>0.998755878050078</x:v>
      </x:c>
      <x:c r="F1430" s="1" t="str">
        <x:f>IF(C1430&lt;=0,"C",IF(E1430-D1430&lt;'Дашборд'!$C$49,"A",IF(E1430-D1430&lt;'Дашборд'!$C$50,"B","C")))</x:f>
        <x:v>C</x:v>
      </x:c>
      <x:c r="G1430" s="8" t="n">
        <x:f>'Данные'!F1430</x:f>
        <x:v>10</x:v>
      </x:c>
      <x:c r="H1430" s="8" t="n">
        <x:f>SUM('Данные'!H1430:I1430)</x:f>
        <x:v>28</x:v>
      </x:c>
      <x:c r="I1430" s="16" t="n">
        <x:f>IF(H1430&gt;0,G1430/H1430,"n.a.")</x:f>
        <x:v>0.35714285714285715</x:v>
      </x:c>
      <x:c r="J1430" s="10" t="n">
        <x:f>IF('Данные'!E1430&gt;0,G1430/'Данные'!E1430,"n.a.")</x:f>
        <x:v>0.002285714285714286</x:v>
      </x:c>
      <x:c r="K1430" s="1" t="str">
        <x:f>IF(G1430&gt;='Дашборд'!$C$51,"X","Z")</x:f>
        <x:v>Z</x:v>
      </x:c>
      <x:c r="L1430" s="1" t="str">
        <x:f>IF(H1430=0,IF(G1430&gt;0,"Нет остатка","Нет спроса"),IF(I1430&gt;='Дашборд'!$C$52,"Быстрый","Медленный"))</x:f>
        <x:v>Медленный</x:v>
      </x:c>
      <x:c r="M1430" s="1" t="str">
        <x:f>IF('Данные'!E1430&lt;'Дашборд'!$C$53,"Мало трафика",IF(J1430&lt;'Дашборд'!$C$9*'Дашборд'!$C$54,"Да","Нет"))</x:f>
        <x:v>Да</x:v>
      </x:c>
      <x:c r="N1430" s="1" t="str">
        <x:f>IF(AND('Данные'!D1430&gt;='Дашборд'!$C$55,D1430&lt;'Дашборд'!$C$56,'Данные'!E1430&gt;='Дашборд'!$C$53,'Данные'!L1430&lt;&gt;"Да"),"Да","Нет")</x:f>
        <x:v>Нет</x:v>
      </x:c>
      <x:c r="O1430" s="1" t="str">
        <x:f>'Данные'!L1430</x:f>
        <x:v>Нет</x:v>
      </x:c>
    </x:row>
    <x:row r="1431">
      <x:c r="A1431" s="1" t="str">
        <x:f>'Данные'!A1431</x:f>
        <x:v>316510758</x:v>
      </x:c>
      <x:c r="B1431" s="1" t="str">
        <x:f>'Данные'!B1431</x:f>
        <x:v>brukiboy/графит</x:v>
      </x:c>
      <x:c r="C1431" s="8" t="n">
        <x:f>'Данные'!G1431</x:f>
        <x:v>12815</x:v>
      </x:c>
      <x:c r="D1431" s="15" t="n">
        <x:f>C1431/SUM($C$5:$C$2477)</x:f>
        <x:v>0.000014970785805308609</x:v>
      </x:c>
      <x:c r="E1431" s="15" t="n">
        <x:f>SUM($D$5:D1431)</x:f>
        <x:v>0.9987708488358833</x:v>
      </x:c>
      <x:c r="F1431" s="1" t="str">
        <x:f>IF(C1431&lt;=0,"C",IF(E1431-D1431&lt;'Дашборд'!$C$49,"A",IF(E1431-D1431&lt;'Дашборд'!$C$50,"B","C")))</x:f>
        <x:v>C</x:v>
      </x:c>
      <x:c r="G1431" s="8" t="n">
        <x:f>'Данные'!F1431</x:f>
        <x:v>18</x:v>
      </x:c>
      <x:c r="H1431" s="8" t="n">
        <x:f>SUM('Данные'!H1431:I1431)</x:f>
        <x:v>233</x:v>
      </x:c>
      <x:c r="I1431" s="16" t="n">
        <x:f>IF(H1431&gt;0,G1431/H1431,"n.a.")</x:f>
        <x:v>0.07725321888412018</x:v>
      </x:c>
      <x:c r="J1431" s="10" t="n">
        <x:f>IF('Данные'!E1431&gt;0,G1431/'Данные'!E1431,"n.a.")</x:f>
        <x:v>0.0038585209003215433</x:v>
      </x:c>
      <x:c r="K1431" s="1" t="str">
        <x:f>IF(G1431&gt;='Дашборд'!$C$51,"X","Z")</x:f>
        <x:v>Z</x:v>
      </x:c>
      <x:c r="L1431" s="1" t="str">
        <x:f>IF(H1431=0,IF(G1431&gt;0,"Нет остатка","Нет спроса"),IF(I1431&gt;='Дашборд'!$C$52,"Быстрый","Медленный"))</x:f>
        <x:v>Медленный</x:v>
      </x:c>
      <x:c r="M1431" s="1" t="str">
        <x:f>IF('Данные'!E1431&lt;'Дашборд'!$C$53,"Мало трафика",IF(J1431&lt;'Дашборд'!$C$9*'Дашборд'!$C$54,"Да","Нет"))</x:f>
        <x:v>Да</x:v>
      </x:c>
      <x:c r="N1431" s="1" t="str">
        <x:f>IF(AND('Данные'!D1431&gt;='Дашборд'!$C$55,D1431&lt;'Дашборд'!$C$56,'Данные'!E1431&gt;='Дашборд'!$C$53,'Данные'!L1431&lt;&gt;"Да"),"Да","Нет")</x:f>
        <x:v>Нет</x:v>
      </x:c>
      <x:c r="O1431" s="1" t="str">
        <x:f>'Данные'!L1431</x:f>
        <x:v>Нет</x:v>
      </x:c>
    </x:row>
    <x:row r="1432">
      <x:c r="A1432" s="1" t="str">
        <x:f>'Данные'!A1432</x:f>
        <x:v>233777161</x:v>
      </x:c>
      <x:c r="B1432" s="1" t="str">
        <x:f>'Данные'!B1432</x:f>
        <x:v>bazaboyX3/ден-сер-шал</x:v>
      </x:c>
      <x:c r="C1432" s="8" t="n">
        <x:f>'Данные'!G1432</x:f>
        <x:v>12543</x:v>
      </x:c>
      <x:c r="D1432" s="15" t="n">
        <x:f>C1432/SUM($C$5:$C$2477)</x:f>
        <x:v>0.000014653028978227538</x:v>
      </x:c>
      <x:c r="E1432" s="15" t="n">
        <x:f>SUM($D$5:D1432)</x:f>
        <x:v>0.9987855018648615</x:v>
      </x:c>
      <x:c r="F1432" s="1" t="str">
        <x:f>IF(C1432&lt;=0,"C",IF(E1432-D1432&lt;'Дашборд'!$C$49,"A",IF(E1432-D1432&lt;'Дашборд'!$C$50,"B","C")))</x:f>
        <x:v>C</x:v>
      </x:c>
      <x:c r="G1432" s="8" t="n">
        <x:f>'Данные'!F1432</x:f>
        <x:v>10</x:v>
      </x:c>
      <x:c r="H1432" s="8" t="n">
        <x:f>SUM('Данные'!H1432:I1432)</x:f>
        <x:v>0</x:v>
      </x:c>
      <x:c r="I1432" s="16" t="str">
        <x:f>IF(H1432&gt;0,G1432/H1432,"n.a.")</x:f>
        <x:v>n.a.</x:v>
      </x:c>
      <x:c r="J1432" s="10" t="n">
        <x:f>IF('Данные'!E1432&gt;0,G1432/'Данные'!E1432,"n.a.")</x:f>
        <x:v>0.01692047377326565</x:v>
      </x:c>
      <x:c r="K1432" s="1" t="str">
        <x:f>IF(G1432&gt;='Дашборд'!$C$51,"X","Z")</x:f>
        <x:v>Z</x:v>
      </x:c>
      <x:c r="L1432" s="1" t="str">
        <x:f>IF(H1432=0,IF(G1432&gt;0,"Нет остатка","Нет спроса"),IF(I1432&gt;='Дашборд'!$C$52,"Быстрый","Медленный"))</x:f>
        <x:v>Нет остатка</x:v>
      </x:c>
      <x:c r="M1432" s="1" t="str">
        <x:f>IF('Данные'!E1432&lt;'Дашборд'!$C$53,"Мало трафика",IF(J1432&lt;'Дашборд'!$C$9*'Дашборд'!$C$54,"Да","Нет"))</x:f>
        <x:v>Мало трафика</x:v>
      </x:c>
      <x:c r="N1432" s="1" t="str">
        <x:f>IF(AND('Данные'!D1432&gt;='Дашборд'!$C$55,D1432&lt;'Дашборд'!$C$56,'Данные'!E1432&gt;='Дашборд'!$C$53,'Данные'!L1432&lt;&gt;"Да"),"Да","Нет")</x:f>
        <x:v>Нет</x:v>
      </x:c>
      <x:c r="O1432" s="1" t="str">
        <x:f>'Данные'!L1432</x:f>
        <x:v>Нет</x:v>
      </x:c>
    </x:row>
    <x:row r="1433">
      <x:c r="A1433" s="1" t="str">
        <x:f>'Данные'!A1433</x:f>
        <x:v>235988746</x:v>
      </x:c>
      <x:c r="B1433" s="1" t="str">
        <x:f>'Данные'!B1433</x:f>
        <x:v>brukipetl/голубой</x:v>
      </x:c>
      <x:c r="C1433" s="8" t="n">
        <x:f>'Данные'!G1433</x:f>
        <x:v>12456</x:v>
      </x:c>
      <x:c r="D1433" s="15" t="n">
        <x:f>C1433/SUM($C$5:$C$2477)</x:f>
        <x:v>0.000014551393522506753</x:v>
      </x:c>
      <x:c r="E1433" s="15" t="n">
        <x:f>SUM($D$5:D1433)</x:f>
        <x:v>0.998800053258384</x:v>
      </x:c>
      <x:c r="F1433" s="1" t="str">
        <x:f>IF(C1433&lt;=0,"C",IF(E1433-D1433&lt;'Дашборд'!$C$49,"A",IF(E1433-D1433&lt;'Дашборд'!$C$50,"B","C")))</x:f>
        <x:v>C</x:v>
      </x:c>
      <x:c r="G1433" s="8" t="n">
        <x:f>'Данные'!F1433</x:f>
        <x:v>32</x:v>
      </x:c>
      <x:c r="H1433" s="8" t="n">
        <x:f>SUM('Данные'!H1433:I1433)</x:f>
        <x:v>236</x:v>
      </x:c>
      <x:c r="I1433" s="16" t="n">
        <x:f>IF(H1433&gt;0,G1433/H1433,"n.a.")</x:f>
        <x:v>0.13559322033898305</x:v>
      </x:c>
      <x:c r="J1433" s="10" t="n">
        <x:f>IF('Данные'!E1433&gt;0,G1433/'Данные'!E1433,"n.a.")</x:f>
        <x:v>0.005227049983665469</x:v>
      </x:c>
      <x:c r="K1433" s="1" t="str">
        <x:f>IF(G1433&gt;='Дашборд'!$C$51,"X","Z")</x:f>
        <x:v>Z</x:v>
      </x:c>
      <x:c r="L1433" s="1" t="str">
        <x:f>IF(H1433=0,IF(G1433&gt;0,"Нет остатка","Нет спроса"),IF(I1433&gt;='Дашборд'!$C$52,"Быстрый","Медленный"))</x:f>
        <x:v>Медленный</x:v>
      </x:c>
      <x:c r="M1433" s="1" t="str">
        <x:f>IF('Данные'!E1433&lt;'Дашборд'!$C$53,"Мало трафика",IF(J1433&lt;'Дашборд'!$C$9*'Дашборд'!$C$54,"Да","Нет"))</x:f>
        <x:v>Да</x:v>
      </x:c>
      <x:c r="N1433" s="1" t="str">
        <x:f>IF(AND('Данные'!D1433&gt;='Дашборд'!$C$55,D1433&lt;'Дашборд'!$C$56,'Данные'!E1433&gt;='Дашборд'!$C$53,'Данные'!L1433&lt;&gt;"Да"),"Да","Нет")</x:f>
        <x:v>Нет</x:v>
      </x:c>
      <x:c r="O1433" s="1" t="str">
        <x:f>'Данные'!L1433</x:f>
        <x:v>Нет</x:v>
      </x:c>
    </x:row>
    <x:row r="1434">
      <x:c r="A1434" s="1" t="str">
        <x:f>'Данные'!A1434</x:f>
        <x:v>150673979</x:v>
      </x:c>
      <x:c r="B1434" s="1" t="str">
        <x:f>'Данные'!B1434</x:f>
        <x:v>svitshotover/салатовый</x:v>
      </x:c>
      <x:c r="C1434" s="8" t="n">
        <x:f>'Данные'!G1434</x:f>
        <x:v>12357</x:v>
      </x:c>
      <x:c r="D1434" s="15" t="n">
        <x:f>C1434/SUM($C$5:$C$2477)</x:f>
        <x:v>0.000014435739383238275</x:v>
      </x:c>
      <x:c r="E1434" s="15" t="n">
        <x:f>SUM($D$5:D1434)</x:f>
        <x:v>0.9988144889977671</x:v>
      </x:c>
      <x:c r="F1434" s="1" t="str">
        <x:f>IF(C1434&lt;=0,"C",IF(E1434-D1434&lt;'Дашборд'!$C$49,"A",IF(E1434-D1434&lt;'Дашборд'!$C$50,"B","C")))</x:f>
        <x:v>C</x:v>
      </x:c>
      <x:c r="G1434" s="8" t="n">
        <x:f>'Данные'!F1434</x:f>
        <x:v>12</x:v>
      </x:c>
      <x:c r="H1434" s="8" t="n">
        <x:f>SUM('Данные'!H1434:I1434)</x:f>
        <x:v>16</x:v>
      </x:c>
      <x:c r="I1434" s="16" t="n">
        <x:f>IF(H1434&gt;0,G1434/H1434,"n.a.")</x:f>
        <x:v>0.75</x:v>
      </x:c>
      <x:c r="J1434" s="10" t="n">
        <x:f>IF('Данные'!E1434&gt;0,G1434/'Данные'!E1434,"n.a.")</x:f>
        <x:v>0.010628875110717449</x:v>
      </x:c>
      <x:c r="K1434" s="1" t="str">
        <x:f>IF(G1434&gt;='Дашборд'!$C$51,"X","Z")</x:f>
        <x:v>Z</x:v>
      </x:c>
      <x:c r="L1434" s="1" t="str">
        <x:f>IF(H1434=0,IF(G1434&gt;0,"Нет остатка","Нет спроса"),IF(I1434&gt;='Дашборд'!$C$52,"Быстрый","Медленный"))</x:f>
        <x:v>Медленный</x:v>
      </x:c>
      <x:c r="M1434" s="1" t="str">
        <x:f>IF('Данные'!E1434&lt;'Дашборд'!$C$53,"Мало трафика",IF(J1434&lt;'Дашборд'!$C$9*'Дашборд'!$C$54,"Да","Нет"))</x:f>
        <x:v>Нет</x:v>
      </x:c>
      <x:c r="N1434" s="1" t="str">
        <x:f>IF(AND('Данные'!D1434&gt;='Дашборд'!$C$55,D1434&lt;'Дашборд'!$C$56,'Данные'!E1434&gt;='Дашборд'!$C$53,'Данные'!L1434&lt;&gt;"Да"),"Да","Нет")</x:f>
        <x:v>Да</x:v>
      </x:c>
      <x:c r="O1434" s="1" t="str">
        <x:f>'Данные'!L1434</x:f>
        <x:v>Нет</x:v>
      </x:c>
    </x:row>
    <x:row r="1435">
      <x:c r="A1435" s="1" t="str">
        <x:f>'Данные'!A1435</x:f>
        <x:v>215422753</x:v>
      </x:c>
      <x:c r="B1435" s="1" t="str">
        <x:f>'Данные'!B1435</x:f>
        <x:v>futbolkaprint/MCollection-103/белый</x:v>
      </x:c>
      <x:c r="C1435" s="8" t="n">
        <x:f>'Данные'!G1435</x:f>
        <x:v>12227</x:v>
      </x:c>
      <x:c r="D1435" s="15" t="n">
        <x:f>C1435/SUM($C$5:$C$2477)</x:f>
        <x:v>0.000014283870311471586</x:v>
      </x:c>
      <x:c r="E1435" s="15" t="n">
        <x:f>SUM($D$5:D1435)</x:f>
        <x:v>0.9988287728680786</x:v>
      </x:c>
      <x:c r="F1435" s="1" t="str">
        <x:f>IF(C1435&lt;=0,"C",IF(E1435-D1435&lt;'Дашборд'!$C$49,"A",IF(E1435-D1435&lt;'Дашборд'!$C$50,"B","C")))</x:f>
        <x:v>C</x:v>
      </x:c>
      <x:c r="G1435" s="8" t="n">
        <x:f>'Данные'!F1435</x:f>
        <x:v>18</x:v>
      </x:c>
      <x:c r="H1435" s="8" t="n">
        <x:f>SUM('Данные'!H1435:I1435)</x:f>
        <x:v>0</x:v>
      </x:c>
      <x:c r="I1435" s="16" t="str">
        <x:f>IF(H1435&gt;0,G1435/H1435,"n.a.")</x:f>
        <x:v>n.a.</x:v>
      </x:c>
      <x:c r="J1435" s="10" t="n">
        <x:f>IF('Данные'!E1435&gt;0,G1435/'Данные'!E1435,"n.a.")</x:f>
        <x:v>0.006815600151457781</x:v>
      </x:c>
      <x:c r="K1435" s="1" t="str">
        <x:f>IF(G1435&gt;='Дашборд'!$C$51,"X","Z")</x:f>
        <x:v>Z</x:v>
      </x:c>
      <x:c r="L1435" s="1" t="str">
        <x:f>IF(H1435=0,IF(G1435&gt;0,"Нет остатка","Нет спроса"),IF(I1435&gt;='Дашборд'!$C$52,"Быстрый","Медленный"))</x:f>
        <x:v>Нет остатка</x:v>
      </x:c>
      <x:c r="M1435" s="1" t="str">
        <x:f>IF('Данные'!E1435&lt;'Дашборд'!$C$53,"Мало трафика",IF(J1435&lt;'Дашборд'!$C$9*'Дашборд'!$C$54,"Да","Нет"))</x:f>
        <x:v>Да</x:v>
      </x:c>
      <x:c r="N1435" s="1" t="str">
        <x:f>IF(AND('Данные'!D1435&gt;='Дашборд'!$C$55,D1435&lt;'Дашборд'!$C$56,'Данные'!E1435&gt;='Дашборд'!$C$53,'Данные'!L1435&lt;&gt;"Да"),"Да","Нет")</x:f>
        <x:v>Да</x:v>
      </x:c>
      <x:c r="O1435" s="1" t="str">
        <x:f>'Данные'!L1435</x:f>
        <x:v>Нет</x:v>
      </x:c>
    </x:row>
    <x:row r="1436">
      <x:c r="A1436" s="1" t="str">
        <x:f>'Данные'!A1436</x:f>
        <x:v>368371038</x:v>
      </x:c>
      <x:c r="B1436" s="1" t="str">
        <x:f>'Данные'!B1436</x:f>
        <x:v>bazaboy/вареныйсерый</x:v>
      </x:c>
      <x:c r="C1436" s="8" t="n">
        <x:f>'Данные'!G1436</x:f>
        <x:v>11858</x:v>
      </x:c>
      <x:c r="D1436" s="15" t="n">
        <x:f>C1436/SUM($C$5:$C$2477)</x:f>
        <x:v>0.000013852795792379983</x:v>
      </x:c>
      <x:c r="E1436" s="15" t="n">
        <x:f>SUM($D$5:D1436)</x:f>
        <x:v>0.9988426256638709</x:v>
      </x:c>
      <x:c r="F1436" s="1" t="str">
        <x:f>IF(C1436&lt;=0,"C",IF(E1436-D1436&lt;'Дашборд'!$C$49,"A",IF(E1436-D1436&lt;'Дашборд'!$C$50,"B","C")))</x:f>
        <x:v>C</x:v>
      </x:c>
      <x:c r="G1436" s="8" t="n">
        <x:f>'Данные'!F1436</x:f>
        <x:v>39</x:v>
      </x:c>
      <x:c r="H1436" s="8" t="n">
        <x:f>SUM('Данные'!H1436:I1436)</x:f>
        <x:v>703</x:v>
      </x:c>
      <x:c r="I1436" s="16" t="n">
        <x:f>IF(H1436&gt;0,G1436/H1436,"n.a.")</x:f>
        <x:v>0.05547652916073969</x:v>
      </x:c>
      <x:c r="J1436" s="10" t="n">
        <x:f>IF('Данные'!E1436&gt;0,G1436/'Данные'!E1436,"n.a.")</x:f>
        <x:v>0.007653061224489796</x:v>
      </x:c>
      <x:c r="K1436" s="1" t="str">
        <x:f>IF(G1436&gt;='Дашборд'!$C$51,"X","Z")</x:f>
        <x:v>Z</x:v>
      </x:c>
      <x:c r="L1436" s="1" t="str">
        <x:f>IF(H1436=0,IF(G1436&gt;0,"Нет остатка","Нет спроса"),IF(I1436&gt;='Дашборд'!$C$52,"Быстрый","Медленный"))</x:f>
        <x:v>Медленный</x:v>
      </x:c>
      <x:c r="M1436" s="1" t="str">
        <x:f>IF('Данные'!E1436&lt;'Дашборд'!$C$53,"Мало трафика",IF(J1436&lt;'Дашборд'!$C$9*'Дашборд'!$C$54,"Да","Нет"))</x:f>
        <x:v>Да</x:v>
      </x:c>
      <x:c r="N1436" s="1" t="str">
        <x:f>IF(AND('Данные'!D1436&gt;='Дашборд'!$C$55,D1436&lt;'Дашборд'!$C$56,'Данные'!E1436&gt;='Дашборд'!$C$53,'Данные'!L1436&lt;&gt;"Да"),"Да","Нет")</x:f>
        <x:v>Да</x:v>
      </x:c>
      <x:c r="O1436" s="1" t="str">
        <x:f>'Данные'!L1436</x:f>
        <x:v>Нет</x:v>
      </x:c>
    </x:row>
    <x:row r="1437">
      <x:c r="A1437" s="1" t="str">
        <x:f>'Данные'!A1437</x:f>
        <x:v>227853240</x:v>
      </x:c>
      <x:c r="B1437" s="1" t="str">
        <x:f>'Данные'!B1437</x:f>
        <x:v>shorty/розовый</x:v>
      </x:c>
      <x:c r="C1437" s="8" t="n">
        <x:f>'Данные'!G1437</x:f>
        <x:v>11606</x:v>
      </x:c>
      <x:c r="D1437" s="15" t="n">
        <x:f>C1437/SUM($C$5:$C$2477)</x:f>
        <x:v>0.000013558403437878402</x:v>
      </x:c>
      <x:c r="E1437" s="15" t="n">
        <x:f>SUM($D$5:D1437)</x:f>
        <x:v>0.9988561840673088</x:v>
      </x:c>
      <x:c r="F1437" s="1" t="str">
        <x:f>IF(C1437&lt;=0,"C",IF(E1437-D1437&lt;'Дашборд'!$C$49,"A",IF(E1437-D1437&lt;'Дашборд'!$C$50,"B","C")))</x:f>
        <x:v>C</x:v>
      </x:c>
      <x:c r="G1437" s="8" t="n">
        <x:f>'Данные'!F1437</x:f>
        <x:v>49</x:v>
      </x:c>
      <x:c r="H1437" s="8" t="n">
        <x:f>SUM('Данные'!H1437:I1437)</x:f>
        <x:v>0</x:v>
      </x:c>
      <x:c r="I1437" s="16" t="str">
        <x:f>IF(H1437&gt;0,G1437/H1437,"n.a.")</x:f>
        <x:v>n.a.</x:v>
      </x:c>
      <x:c r="J1437" s="10" t="n">
        <x:f>IF('Данные'!E1437&gt;0,G1437/'Данные'!E1437,"n.a.")</x:f>
        <x:v>0.026133333333333335</x:v>
      </x:c>
      <x:c r="K1437" s="1" t="str">
        <x:f>IF(G1437&gt;='Дашборд'!$C$51,"X","Z")</x:f>
        <x:v>Z</x:v>
      </x:c>
      <x:c r="L1437" s="1" t="str">
        <x:f>IF(H1437=0,IF(G1437&gt;0,"Нет остатка","Нет спроса"),IF(I1437&gt;='Дашборд'!$C$52,"Быстрый","Медленный"))</x:f>
        <x:v>Нет остатка</x:v>
      </x:c>
      <x:c r="M1437" s="1" t="str">
        <x:f>IF('Данные'!E1437&lt;'Дашборд'!$C$53,"Мало трафика",IF(J1437&lt;'Дашборд'!$C$9*'Дашборд'!$C$54,"Да","Нет"))</x:f>
        <x:v>Нет</x:v>
      </x:c>
      <x:c r="N1437" s="1" t="str">
        <x:f>IF(AND('Данные'!D1437&gt;='Дашборд'!$C$55,D1437&lt;'Дашборд'!$C$56,'Данные'!E1437&gt;='Дашборд'!$C$53,'Данные'!L1437&lt;&gt;"Да"),"Да","Нет")</x:f>
        <x:v>Нет</x:v>
      </x:c>
      <x:c r="O1437" s="1" t="str">
        <x:f>'Данные'!L1437</x:f>
        <x:v>Нет</x:v>
      </x:c>
    </x:row>
    <x:row r="1438">
      <x:c r="A1438" s="1" t="str">
        <x:f>'Данные'!A1438</x:f>
        <x:v>335327572</x:v>
      </x:c>
      <x:c r="B1438" s="1" t="str">
        <x:f>'Данные'!B1438</x:f>
        <x:v>bazakulgirl/черный</x:v>
      </x:c>
      <x:c r="C1438" s="8" t="n">
        <x:f>'Данные'!G1438</x:f>
        <x:v>11495</x:v>
      </x:c>
      <x:c r="D1438" s="15" t="n">
        <x:f>C1438/SUM($C$5:$C$2477)</x:f>
        <x:v>0.000013428730615062229</x:v>
      </x:c>
      <x:c r="E1438" s="15" t="n">
        <x:f>SUM($D$5:D1438)</x:f>
        <x:v>0.9988696127979239</x:v>
      </x:c>
      <x:c r="F1438" s="1" t="str">
        <x:f>IF(C1438&lt;=0,"C",IF(E1438-D1438&lt;'Дашборд'!$C$49,"A",IF(E1438-D1438&lt;'Дашборд'!$C$50,"B","C")))</x:f>
        <x:v>C</x:v>
      </x:c>
      <x:c r="G1438" s="8" t="n">
        <x:f>'Данные'!F1438</x:f>
        <x:v>31</x:v>
      </x:c>
      <x:c r="H1438" s="8" t="n">
        <x:f>SUM('Данные'!H1438:I1438)</x:f>
        <x:v>3389</x:v>
      </x:c>
      <x:c r="I1438" s="16" t="n">
        <x:f>IF(H1438&gt;0,G1438/H1438,"n.a.")</x:f>
        <x:v>0.009147241074063145</x:v>
      </x:c>
      <x:c r="J1438" s="10" t="n">
        <x:f>IF('Данные'!E1438&gt;0,G1438/'Данные'!E1438,"n.a.")</x:f>
        <x:v>0.01598762248581743</x:v>
      </x:c>
      <x:c r="K1438" s="1" t="str">
        <x:f>IF(G1438&gt;='Дашборд'!$C$51,"X","Z")</x:f>
        <x:v>Z</x:v>
      </x:c>
      <x:c r="L1438" s="1" t="str">
        <x:f>IF(H1438=0,IF(G1438&gt;0,"Нет остатка","Нет спроса"),IF(I1438&gt;='Дашборд'!$C$52,"Быстрый","Медленный"))</x:f>
        <x:v>Медленный</x:v>
      </x:c>
      <x:c r="M1438" s="1" t="str">
        <x:f>IF('Данные'!E1438&lt;'Дашборд'!$C$53,"Мало трафика",IF(J1438&lt;'Дашборд'!$C$9*'Дашборд'!$C$54,"Да","Нет"))</x:f>
        <x:v>Нет</x:v>
      </x:c>
      <x:c r="N1438" s="1" t="str">
        <x:f>IF(AND('Данные'!D1438&gt;='Дашборд'!$C$55,D1438&lt;'Дашборд'!$C$56,'Данные'!E1438&gt;='Дашборд'!$C$53,'Данные'!L1438&lt;&gt;"Да"),"Да","Нет")</x:f>
        <x:v>Да</x:v>
      </x:c>
      <x:c r="O1438" s="1" t="str">
        <x:f>'Данные'!L1438</x:f>
        <x:v>Нет</x:v>
      </x:c>
    </x:row>
    <x:row r="1439">
      <x:c r="A1439" s="1" t="str">
        <x:f>'Данные'!A1439</x:f>
        <x:v>317227919</x:v>
      </x:c>
      <x:c r="B1439" s="1" t="str">
        <x:f>'Данные'!B1439</x:f>
        <x:v>bazakulgirl/красный</x:v>
      </x:c>
      <x:c r="C1439" s="8" t="n">
        <x:f>'Данные'!G1439</x:f>
        <x:v>11494</x:v>
      </x:c>
      <x:c r="D1439" s="15" t="n">
        <x:f>C1439/SUM($C$5:$C$2477)</x:f>
        <x:v>0.000013427562391433255</x:v>
      </x:c>
      <x:c r="E1439" s="15" t="n">
        <x:f>SUM($D$5:D1439)</x:f>
        <x:v>0.9988830403603153</x:v>
      </x:c>
      <x:c r="F1439" s="1" t="str">
        <x:f>IF(C1439&lt;=0,"C",IF(E1439-D1439&lt;'Дашборд'!$C$49,"A",IF(E1439-D1439&lt;'Дашборд'!$C$50,"B","C")))</x:f>
        <x:v>C</x:v>
      </x:c>
      <x:c r="G1439" s="8" t="n">
        <x:f>'Данные'!F1439</x:f>
        <x:v>36</x:v>
      </x:c>
      <x:c r="H1439" s="8" t="n">
        <x:f>SUM('Данные'!H1439:I1439)</x:f>
        <x:v>162</x:v>
      </x:c>
      <x:c r="I1439" s="16" t="n">
        <x:f>IF(H1439&gt;0,G1439/H1439,"n.a.")</x:f>
        <x:v>0.2222222222222222</x:v>
      </x:c>
      <x:c r="J1439" s="10" t="n">
        <x:f>IF('Данные'!E1439&gt;0,G1439/'Данные'!E1439,"n.a.")</x:f>
        <x:v>0.015727391874180863</x:v>
      </x:c>
      <x:c r="K1439" s="1" t="str">
        <x:f>IF(G1439&gt;='Дашборд'!$C$51,"X","Z")</x:f>
        <x:v>Z</x:v>
      </x:c>
      <x:c r="L1439" s="1" t="str">
        <x:f>IF(H1439=0,IF(G1439&gt;0,"Нет остатка","Нет спроса"),IF(I1439&gt;='Дашборд'!$C$52,"Быстрый","Медленный"))</x:f>
        <x:v>Медленный</x:v>
      </x:c>
      <x:c r="M1439" s="1" t="str">
        <x:f>IF('Данные'!E1439&lt;'Дашборд'!$C$53,"Мало трафика",IF(J1439&lt;'Дашборд'!$C$9*'Дашборд'!$C$54,"Да","Нет"))</x:f>
        <x:v>Нет</x:v>
      </x:c>
      <x:c r="N1439" s="1" t="str">
        <x:f>IF(AND('Данные'!D1439&gt;='Дашборд'!$C$55,D1439&lt;'Дашборд'!$C$56,'Данные'!E1439&gt;='Дашборд'!$C$53,'Данные'!L1439&lt;&gt;"Да"),"Да","Нет")</x:f>
        <x:v>Да</x:v>
      </x:c>
      <x:c r="O1439" s="1" t="str">
        <x:f>'Данные'!L1439</x:f>
        <x:v>Нет</x:v>
      </x:c>
    </x:row>
    <x:row r="1440">
      <x:c r="A1440" s="1" t="str">
        <x:f>'Данные'!A1440</x:f>
        <x:v>194931702</x:v>
      </x:c>
      <x:c r="B1440" s="1" t="str">
        <x:f>'Данные'!B1440</x:f>
        <x:v>sweater/белый</x:v>
      </x:c>
      <x:c r="C1440" s="8" t="n">
        <x:f>'Данные'!G1440</x:f>
        <x:v>11095</x:v>
      </x:c>
      <x:c r="D1440" s="15" t="n">
        <x:f>C1440/SUM($C$5:$C$2477)</x:f>
        <x:v>0.000012961441163472417</x:v>
      </x:c>
      <x:c r="E1440" s="15" t="n">
        <x:f>SUM($D$5:D1440)</x:f>
        <x:v>0.9988960018014788</x:v>
      </x:c>
      <x:c r="F1440" s="1" t="str">
        <x:f>IF(C1440&lt;=0,"C",IF(E1440-D1440&lt;'Дашборд'!$C$49,"A",IF(E1440-D1440&lt;'Дашборд'!$C$50,"B","C")))</x:f>
        <x:v>C</x:v>
      </x:c>
      <x:c r="G1440" s="8" t="n">
        <x:f>'Данные'!F1440</x:f>
        <x:v>22</x:v>
      </x:c>
      <x:c r="H1440" s="8" t="n">
        <x:f>SUM('Данные'!H1440:I1440)</x:f>
        <x:v>216</x:v>
      </x:c>
      <x:c r="I1440" s="16" t="n">
        <x:f>IF(H1440&gt;0,G1440/H1440,"n.a.")</x:f>
        <x:v>0.10185185185185185</x:v>
      </x:c>
      <x:c r="J1440" s="10" t="n">
        <x:f>IF('Данные'!E1440&gt;0,G1440/'Данные'!E1440,"n.a.")</x:f>
        <x:v>0.009544468546637744</x:v>
      </x:c>
      <x:c r="K1440" s="1" t="str">
        <x:f>IF(G1440&gt;='Дашборд'!$C$51,"X","Z")</x:f>
        <x:v>Z</x:v>
      </x:c>
      <x:c r="L1440" s="1" t="str">
        <x:f>IF(H1440=0,IF(G1440&gt;0,"Нет остатка","Нет спроса"),IF(I1440&gt;='Дашборд'!$C$52,"Быстрый","Медленный"))</x:f>
        <x:v>Медленный</x:v>
      </x:c>
      <x:c r="M1440" s="1" t="str">
        <x:f>IF('Данные'!E1440&lt;'Дашборд'!$C$53,"Мало трафика",IF(J1440&lt;'Дашборд'!$C$9*'Дашборд'!$C$54,"Да","Нет"))</x:f>
        <x:v>Да</x:v>
      </x:c>
      <x:c r="N1440" s="1" t="str">
        <x:f>IF(AND('Данные'!D1440&gt;='Дашборд'!$C$55,D1440&lt;'Дашборд'!$C$56,'Данные'!E1440&gt;='Дашборд'!$C$53,'Данные'!L1440&lt;&gt;"Да"),"Да","Нет")</x:f>
        <x:v>Да</x:v>
      </x:c>
      <x:c r="O1440" s="1" t="str">
        <x:f>'Данные'!L1440</x:f>
        <x:v>Нет</x:v>
      </x:c>
    </x:row>
    <x:row r="1441">
      <x:c r="A1441" s="1" t="str">
        <x:f>'Данные'!A1441</x:f>
        <x:v>195712687</x:v>
      </x:c>
      <x:c r="B1441" s="1" t="str">
        <x:f>'Данные'!B1441</x:f>
        <x:v>sweater/хаки</x:v>
      </x:c>
      <x:c r="C1441" s="8" t="n">
        <x:f>'Данные'!G1441</x:f>
        <x:v>11090</x:v>
      </x:c>
      <x:c r="D1441" s="15" t="n">
        <x:f>C1441/SUM($C$5:$C$2477)</x:f>
        <x:v>0.000012955600045327544</x:v>
      </x:c>
      <x:c r="E1441" s="15" t="n">
        <x:f>SUM($D$5:D1441)</x:f>
        <x:v>0.9989089574015241</x:v>
      </x:c>
      <x:c r="F1441" s="1" t="str">
        <x:f>IF(C1441&lt;=0,"C",IF(E1441-D1441&lt;'Дашборд'!$C$49,"A",IF(E1441-D1441&lt;'Дашборд'!$C$50,"B","C")))</x:f>
        <x:v>C</x:v>
      </x:c>
      <x:c r="G1441" s="8" t="n">
        <x:f>'Данные'!F1441</x:f>
        <x:v>13</x:v>
      </x:c>
      <x:c r="H1441" s="8" t="n">
        <x:f>SUM('Данные'!H1441:I1441)</x:f>
        <x:v>286</x:v>
      </x:c>
      <x:c r="I1441" s="16" t="n">
        <x:f>IF(H1441&gt;0,G1441/H1441,"n.a.")</x:f>
        <x:v>0.045454545454545456</x:v>
      </x:c>
      <x:c r="J1441" s="10" t="n">
        <x:f>IF('Данные'!E1441&gt;0,G1441/'Данные'!E1441,"n.a.")</x:f>
        <x:v>0.00526742301458671</x:v>
      </x:c>
      <x:c r="K1441" s="1" t="str">
        <x:f>IF(G1441&gt;='Дашборд'!$C$51,"X","Z")</x:f>
        <x:v>Z</x:v>
      </x:c>
      <x:c r="L1441" s="1" t="str">
        <x:f>IF(H1441=0,IF(G1441&gt;0,"Нет остатка","Нет спроса"),IF(I1441&gt;='Дашборд'!$C$52,"Быстрый","Медленный"))</x:f>
        <x:v>Медленный</x:v>
      </x:c>
      <x:c r="M1441" s="1" t="str">
        <x:f>IF('Данные'!E1441&lt;'Дашборд'!$C$53,"Мало трафика",IF(J1441&lt;'Дашборд'!$C$9*'Дашборд'!$C$54,"Да","Нет"))</x:f>
        <x:v>Да</x:v>
      </x:c>
      <x:c r="N1441" s="1" t="str">
        <x:f>IF(AND('Данные'!D1441&gt;='Дашборд'!$C$55,D1441&lt;'Дашборд'!$C$56,'Данные'!E1441&gt;='Дашборд'!$C$53,'Данные'!L1441&lt;&gt;"Да"),"Да","Нет")</x:f>
        <x:v>Да</x:v>
      </x:c>
      <x:c r="O1441" s="1" t="str">
        <x:f>'Данные'!L1441</x:f>
        <x:v>Нет</x:v>
      </x:c>
    </x:row>
    <x:row r="1442">
      <x:c r="A1442" s="1" t="str">
        <x:f>'Данные'!A1442</x:f>
        <x:v>313770771</x:v>
      </x:c>
      <x:c r="B1442" s="1" t="str">
        <x:f>'Данные'!B1442</x:f>
        <x:v>futbolkaboy/хаки</x:v>
      </x:c>
      <x:c r="C1442" s="8" t="n">
        <x:f>'Данные'!G1442</x:f>
        <x:v>11009</x:v>
      </x:c>
      <x:c r="D1442" s="15" t="n">
        <x:f>C1442/SUM($C$5:$C$2477)</x:f>
        <x:v>0.000012860973931380607</x:v>
      </x:c>
      <x:c r="E1442" s="15" t="n">
        <x:f>SUM($D$5:D1442)</x:f>
        <x:v>0.9989218183754555</x:v>
      </x:c>
      <x:c r="F1442" s="1" t="str">
        <x:f>IF(C1442&lt;=0,"C",IF(E1442-D1442&lt;'Дашборд'!$C$49,"A",IF(E1442-D1442&lt;'Дашборд'!$C$50,"B","C")))</x:f>
        <x:v>C</x:v>
      </x:c>
      <x:c r="G1442" s="8" t="n">
        <x:f>'Данные'!F1442</x:f>
        <x:v>33</x:v>
      </x:c>
      <x:c r="H1442" s="8" t="n">
        <x:f>SUM('Данные'!H1442:I1442)</x:f>
        <x:v>195</x:v>
      </x:c>
      <x:c r="I1442" s="16" t="n">
        <x:f>IF(H1442&gt;0,G1442/H1442,"n.a.")</x:f>
        <x:v>0.16923076923076924</x:v>
      </x:c>
      <x:c r="J1442" s="10" t="n">
        <x:f>IF('Данные'!E1442&gt;0,G1442/'Данные'!E1442,"n.a.")</x:f>
        <x:v>0.005149812734082397</x:v>
      </x:c>
      <x:c r="K1442" s="1" t="str">
        <x:f>IF(G1442&gt;='Дашборд'!$C$51,"X","Z")</x:f>
        <x:v>Z</x:v>
      </x:c>
      <x:c r="L1442" s="1" t="str">
        <x:f>IF(H1442=0,IF(G1442&gt;0,"Нет остатка","Нет спроса"),IF(I1442&gt;='Дашборд'!$C$52,"Быстрый","Медленный"))</x:f>
        <x:v>Медленный</x:v>
      </x:c>
      <x:c r="M1442" s="1" t="str">
        <x:f>IF('Данные'!E1442&lt;'Дашборд'!$C$53,"Мало трафика",IF(J1442&lt;'Дашборд'!$C$9*'Дашборд'!$C$54,"Да","Нет"))</x:f>
        <x:v>Да</x:v>
      </x:c>
      <x:c r="N1442" s="1" t="str">
        <x:f>IF(AND('Данные'!D1442&gt;='Дашборд'!$C$55,D1442&lt;'Дашборд'!$C$56,'Данные'!E1442&gt;='Дашборд'!$C$53,'Данные'!L1442&lt;&gt;"Да"),"Да","Нет")</x:f>
        <x:v>Да</x:v>
      </x:c>
      <x:c r="O1442" s="1" t="str">
        <x:f>'Данные'!L1442</x:f>
        <x:v>Нет</x:v>
      </x:c>
    </x:row>
    <x:row r="1443">
      <x:c r="A1443" s="1" t="str">
        <x:f>'Данные'!A1443</x:f>
        <x:v>344319373</x:v>
      </x:c>
      <x:c r="B1443" s="1" t="str">
        <x:f>'Данные'!B1443</x:f>
        <x:v>toprib3R-82/темно-серый</x:v>
      </x:c>
      <x:c r="C1443" s="8" t="n">
        <x:f>'Данные'!G1443</x:f>
        <x:v>10989</x:v>
      </x:c>
      <x:c r="D1443" s="15" t="n">
        <x:f>C1443/SUM($C$5:$C$2477)</x:f>
        <x:v>0.000012837609458801117</x:v>
      </x:c>
      <x:c r="E1443" s="15" t="n">
        <x:f>SUM($D$5:D1443)</x:f>
        <x:v>0.9989346559849143</x:v>
      </x:c>
      <x:c r="F1443" s="1" t="str">
        <x:f>IF(C1443&lt;=0,"C",IF(E1443-D1443&lt;'Дашборд'!$C$49,"A",IF(E1443-D1443&lt;'Дашборд'!$C$50,"B","C")))</x:f>
        <x:v>C</x:v>
      </x:c>
      <x:c r="G1443" s="8" t="n">
        <x:f>'Данные'!F1443</x:f>
        <x:v>36</x:v>
      </x:c>
      <x:c r="H1443" s="8" t="n">
        <x:f>SUM('Данные'!H1443:I1443)</x:f>
        <x:v>392</x:v>
      </x:c>
      <x:c r="I1443" s="16" t="n">
        <x:f>IF(H1443&gt;0,G1443/H1443,"n.a.")</x:f>
        <x:v>0.09183673469387756</x:v>
      </x:c>
      <x:c r="J1443" s="10" t="n">
        <x:f>IF('Данные'!E1443&gt;0,G1443/'Данные'!E1443,"n.a.")</x:f>
        <x:v>0.004013377926421404</x:v>
      </x:c>
      <x:c r="K1443" s="1" t="str">
        <x:f>IF(G1443&gt;='Дашборд'!$C$51,"X","Z")</x:f>
        <x:v>Z</x:v>
      </x:c>
      <x:c r="L1443" s="1" t="str">
        <x:f>IF(H1443=0,IF(G1443&gt;0,"Нет остатка","Нет спроса"),IF(I1443&gt;='Дашборд'!$C$52,"Быстрый","Медленный"))</x:f>
        <x:v>Медленный</x:v>
      </x:c>
      <x:c r="M1443" s="1" t="str">
        <x:f>IF('Данные'!E1443&lt;'Дашборд'!$C$53,"Мало трафика",IF(J1443&lt;'Дашборд'!$C$9*'Дашборд'!$C$54,"Да","Нет"))</x:f>
        <x:v>Да</x:v>
      </x:c>
      <x:c r="N1443" s="1" t="str">
        <x:f>IF(AND('Данные'!D1443&gt;='Дашборд'!$C$55,D1443&lt;'Дашборд'!$C$56,'Данные'!E1443&gt;='Дашборд'!$C$53,'Данные'!L1443&lt;&gt;"Да"),"Да","Нет")</x:f>
        <x:v>Нет</x:v>
      </x:c>
      <x:c r="O1443" s="1" t="str">
        <x:f>'Данные'!L1443</x:f>
        <x:v>Нет</x:v>
      </x:c>
    </x:row>
    <x:row r="1444">
      <x:c r="A1444" s="1" t="str">
        <x:f>'Данные'!A1444</x:f>
        <x:v>209914904</x:v>
      </x:c>
      <x:c r="B1444" s="1" t="str">
        <x:f>'Данные'!B1444</x:f>
        <x:v>svitshotonesize/бежевый</x:v>
      </x:c>
      <x:c r="C1444" s="8" t="n">
        <x:f>'Данные'!G1444</x:f>
        <x:v>10980</x:v>
      </x:c>
      <x:c r="D1444" s="15" t="n">
        <x:f>C1444/SUM($C$5:$C$2477)</x:f>
        <x:v>0.000012827095446140345</x:v>
      </x:c>
      <x:c r="E1444" s="15" t="n">
        <x:f>SUM($D$5:D1444)</x:f>
        <x:v>0.9989474830803604</x:v>
      </x:c>
      <x:c r="F1444" s="1" t="str">
        <x:f>IF(C1444&lt;=0,"C",IF(E1444-D1444&lt;'Дашборд'!$C$49,"A",IF(E1444-D1444&lt;'Дашборд'!$C$50,"B","C")))</x:f>
        <x:v>C</x:v>
      </x:c>
      <x:c r="G1444" s="8" t="n">
        <x:f>'Данные'!F1444</x:f>
        <x:v>8</x:v>
      </x:c>
      <x:c r="H1444" s="8" t="n">
        <x:f>SUM('Данные'!H1444:I1444)</x:f>
        <x:v>31</x:v>
      </x:c>
      <x:c r="I1444" s="16" t="n">
        <x:f>IF(H1444&gt;0,G1444/H1444,"n.a.")</x:f>
        <x:v>0.25806451612903225</x:v>
      </x:c>
      <x:c r="J1444" s="10" t="n">
        <x:f>IF('Данные'!E1444&gt;0,G1444/'Данные'!E1444,"n.a.")</x:f>
        <x:v>0.0074005550416281225</x:v>
      </x:c>
      <x:c r="K1444" s="1" t="str">
        <x:f>IF(G1444&gt;='Дашборд'!$C$51,"X","Z")</x:f>
        <x:v>Z</x:v>
      </x:c>
      <x:c r="L1444" s="1" t="str">
        <x:f>IF(H1444=0,IF(G1444&gt;0,"Нет остатка","Нет спроса"),IF(I1444&gt;='Дашборд'!$C$52,"Быстрый","Медленный"))</x:f>
        <x:v>Медленный</x:v>
      </x:c>
      <x:c r="M1444" s="1" t="str">
        <x:f>IF('Данные'!E1444&lt;'Дашборд'!$C$53,"Мало трафика",IF(J1444&lt;'Дашборд'!$C$9*'Дашборд'!$C$54,"Да","Нет"))</x:f>
        <x:v>Да</x:v>
      </x:c>
      <x:c r="N1444" s="1" t="str">
        <x:f>IF(AND('Данные'!D1444&gt;='Дашборд'!$C$55,D1444&lt;'Дашборд'!$C$56,'Данные'!E1444&gt;='Дашборд'!$C$53,'Данные'!L1444&lt;&gt;"Да"),"Да","Нет")</x:f>
        <x:v>Нет</x:v>
      </x:c>
      <x:c r="O1444" s="1" t="str">
        <x:f>'Данные'!L1444</x:f>
        <x:v>Нет</x:v>
      </x:c>
    </x:row>
    <x:row r="1445">
      <x:c r="A1445" s="1" t="str">
        <x:f>'Данные'!A1445</x:f>
        <x:v>379285870</x:v>
      </x:c>
      <x:c r="B1445" s="1" t="str">
        <x:f>'Данные'!B1445</x:f>
        <x:v>polovyaz/бордовый</x:v>
      </x:c>
      <x:c r="C1445" s="8" t="n">
        <x:f>'Данные'!G1445</x:f>
        <x:v>10800</x:v>
      </x:c>
      <x:c r="D1445" s="15" t="n">
        <x:f>C1445/SUM($C$5:$C$2477)</x:f>
        <x:v>0.00001261681519292493</x:v>
      </x:c>
      <x:c r="E1445" s="15" t="n">
        <x:f>SUM($D$5:D1445)</x:f>
        <x:v>0.9989600998955533</x:v>
      </x:c>
      <x:c r="F1445" s="1" t="str">
        <x:f>IF(C1445&lt;=0,"C",IF(E1445-D1445&lt;'Дашборд'!$C$49,"A",IF(E1445-D1445&lt;'Дашборд'!$C$50,"B","C")))</x:f>
        <x:v>C</x:v>
      </x:c>
      <x:c r="G1445" s="8" t="n">
        <x:f>'Данные'!F1445</x:f>
        <x:v>15</x:v>
      </x:c>
      <x:c r="H1445" s="8" t="n">
        <x:f>SUM('Данные'!H1445:I1445)</x:f>
        <x:v>385</x:v>
      </x:c>
      <x:c r="I1445" s="16" t="n">
        <x:f>IF(H1445&gt;0,G1445/H1445,"n.a.")</x:f>
        <x:v>0.03896103896103896</x:v>
      </x:c>
      <x:c r="J1445" s="10" t="n">
        <x:f>IF('Данные'!E1445&gt;0,G1445/'Данные'!E1445,"n.a.")</x:f>
        <x:v>0.0021837239772892706</x:v>
      </x:c>
      <x:c r="K1445" s="1" t="str">
        <x:f>IF(G1445&gt;='Дашборд'!$C$51,"X","Z")</x:f>
        <x:v>Z</x:v>
      </x:c>
      <x:c r="L1445" s="1" t="str">
        <x:f>IF(H1445=0,IF(G1445&gt;0,"Нет остатка","Нет спроса"),IF(I1445&gt;='Дашборд'!$C$52,"Быстрый","Медленный"))</x:f>
        <x:v>Медленный</x:v>
      </x:c>
      <x:c r="M1445" s="1" t="str">
        <x:f>IF('Данные'!E1445&lt;'Дашборд'!$C$53,"Мало трафика",IF(J1445&lt;'Дашборд'!$C$9*'Дашборд'!$C$54,"Да","Нет"))</x:f>
        <x:v>Да</x:v>
      </x:c>
      <x:c r="N1445" s="1" t="str">
        <x:f>IF(AND('Данные'!D1445&gt;='Дашборд'!$C$55,D1445&lt;'Дашборд'!$C$56,'Данные'!E1445&gt;='Дашборд'!$C$53,'Данные'!L1445&lt;&gt;"Да"),"Да","Нет")</x:f>
        <x:v>Нет</x:v>
      </x:c>
      <x:c r="O1445" s="1" t="str">
        <x:f>'Данные'!L1445</x:f>
        <x:v>Нет</x:v>
      </x:c>
    </x:row>
    <x:row r="1446">
      <x:c r="A1446" s="1" t="str">
        <x:f>'Данные'!A1446</x:f>
        <x:v>344319378</x:v>
      </x:c>
      <x:c r="B1446" s="1" t="str">
        <x:f>'Данные'!B1446</x:f>
        <x:v>toprib3R-82/серый</x:v>
      </x:c>
      <x:c r="C1446" s="8" t="n">
        <x:f>'Данные'!G1446</x:f>
        <x:v>10785</x:v>
      </x:c>
      <x:c r="D1446" s="15" t="n">
        <x:f>C1446/SUM($C$5:$C$2477)</x:f>
        <x:v>0.000012599291838490312</x:v>
      </x:c>
      <x:c r="E1446" s="15" t="n">
        <x:f>SUM($D$5:D1446)</x:f>
        <x:v>0.9989726991873918</x:v>
      </x:c>
      <x:c r="F1446" s="1" t="str">
        <x:f>IF(C1446&lt;=0,"C",IF(E1446-D1446&lt;'Дашборд'!$C$49,"A",IF(E1446-D1446&lt;'Дашборд'!$C$50,"B","C")))</x:f>
        <x:v>C</x:v>
      </x:c>
      <x:c r="G1446" s="8" t="n">
        <x:f>'Данные'!F1446</x:f>
        <x:v>43</x:v>
      </x:c>
      <x:c r="H1446" s="8" t="n">
        <x:f>SUM('Данные'!H1446:I1446)</x:f>
        <x:v>393</x:v>
      </x:c>
      <x:c r="I1446" s="16" t="n">
        <x:f>IF(H1446&gt;0,G1446/H1446,"n.a.")</x:f>
        <x:v>0.10941475826972011</x:v>
      </x:c>
      <x:c r="J1446" s="10" t="n">
        <x:f>IF('Данные'!E1446&gt;0,G1446/'Данные'!E1446,"n.a.")</x:f>
        <x:v>0.003352303734310439</x:v>
      </x:c>
      <x:c r="K1446" s="1" t="str">
        <x:f>IF(G1446&gt;='Дашборд'!$C$51,"X","Z")</x:f>
        <x:v>Z</x:v>
      </x:c>
      <x:c r="L1446" s="1" t="str">
        <x:f>IF(H1446=0,IF(G1446&gt;0,"Нет остатка","Нет спроса"),IF(I1446&gt;='Дашборд'!$C$52,"Быстрый","Медленный"))</x:f>
        <x:v>Медленный</x:v>
      </x:c>
      <x:c r="M1446" s="1" t="str">
        <x:f>IF('Данные'!E1446&lt;'Дашборд'!$C$53,"Мало трафика",IF(J1446&lt;'Дашборд'!$C$9*'Дашборд'!$C$54,"Да","Нет"))</x:f>
        <x:v>Да</x:v>
      </x:c>
      <x:c r="N1446" s="1" t="str">
        <x:f>IF(AND('Данные'!D1446&gt;='Дашборд'!$C$55,D1446&lt;'Дашборд'!$C$56,'Данные'!E1446&gt;='Дашборд'!$C$53,'Данные'!L1446&lt;&gt;"Да"),"Да","Нет")</x:f>
        <x:v>Нет</x:v>
      </x:c>
      <x:c r="O1446" s="1" t="str">
        <x:f>'Данные'!L1446</x:f>
        <x:v>Нет</x:v>
      </x:c>
    </x:row>
    <x:row r="1447">
      <x:c r="A1447" s="1" t="str">
        <x:f>'Данные'!A1447</x:f>
        <x:v>116858506</x:v>
      </x:c>
      <x:c r="B1447" s="1" t="str">
        <x:f>'Данные'!B1447</x:f>
        <x:v>bruki/зеленый</x:v>
      </x:c>
      <x:c r="C1447" s="8" t="n">
        <x:f>'Данные'!G1447</x:f>
        <x:v>10693</x:v>
      </x:c>
      <x:c r="D1447" s="15" t="n">
        <x:f>C1447/SUM($C$5:$C$2477)</x:f>
        <x:v>0.000012491815264624655</x:v>
      </x:c>
      <x:c r="E1447" s="15" t="n">
        <x:f>SUM($D$5:D1447)</x:f>
        <x:v>0.9989851910026565</x:v>
      </x:c>
      <x:c r="F1447" s="1" t="str">
        <x:f>IF(C1447&lt;=0,"C",IF(E1447-D1447&lt;'Дашборд'!$C$49,"A",IF(E1447-D1447&lt;'Дашборд'!$C$50,"B","C")))</x:f>
        <x:v>C</x:v>
      </x:c>
      <x:c r="G1447" s="8" t="n">
        <x:f>'Данные'!F1447</x:f>
        <x:v>13</x:v>
      </x:c>
      <x:c r="H1447" s="8" t="n">
        <x:f>SUM('Данные'!H1447:I1447)</x:f>
        <x:v>62</x:v>
      </x:c>
      <x:c r="I1447" s="16" t="n">
        <x:f>IF(H1447&gt;0,G1447/H1447,"n.a.")</x:f>
        <x:v>0.20967741935483872</x:v>
      </x:c>
      <x:c r="J1447" s="10" t="n">
        <x:f>IF('Данные'!E1447&gt;0,G1447/'Данные'!E1447,"n.a.")</x:f>
        <x:v>0.0050682261208577</x:v>
      </x:c>
      <x:c r="K1447" s="1" t="str">
        <x:f>IF(G1447&gt;='Дашборд'!$C$51,"X","Z")</x:f>
        <x:v>Z</x:v>
      </x:c>
      <x:c r="L1447" s="1" t="str">
        <x:f>IF(H1447=0,IF(G1447&gt;0,"Нет остатка","Нет спроса"),IF(I1447&gt;='Дашборд'!$C$52,"Быстрый","Медленный"))</x:f>
        <x:v>Медленный</x:v>
      </x:c>
      <x:c r="M1447" s="1" t="str">
        <x:f>IF('Данные'!E1447&lt;'Дашборд'!$C$53,"Мало трафика",IF(J1447&lt;'Дашборд'!$C$9*'Дашборд'!$C$54,"Да","Нет"))</x:f>
        <x:v>Да</x:v>
      </x:c>
      <x:c r="N1447" s="1" t="str">
        <x:f>IF(AND('Данные'!D1447&gt;='Дашборд'!$C$55,D1447&lt;'Дашборд'!$C$56,'Данные'!E1447&gt;='Дашборд'!$C$53,'Данные'!L1447&lt;&gt;"Да"),"Да","Нет")</x:f>
        <x:v>Нет</x:v>
      </x:c>
      <x:c r="O1447" s="1" t="str">
        <x:f>'Данные'!L1447</x:f>
        <x:v>Нет</x:v>
      </x:c>
    </x:row>
    <x:row r="1448">
      <x:c r="A1448" s="1" t="str">
        <x:f>'Данные'!A1448</x:f>
        <x:v>198068982</x:v>
      </x:c>
      <x:c r="B1448" s="1" t="str">
        <x:f>'Данные'!B1448</x:f>
        <x:v>hudi1size/серыймеланж2</x:v>
      </x:c>
      <x:c r="C1448" s="8" t="n">
        <x:f>'Данные'!G1448</x:f>
        <x:v>10686</x:v>
      </x:c>
      <x:c r="D1448" s="15" t="n">
        <x:f>C1448/SUM($C$5:$C$2477)</x:f>
        <x:v>0.000012483637699221834</x:v>
      </x:c>
      <x:c r="E1448" s="15" t="n">
        <x:f>SUM($D$5:D1448)</x:f>
        <x:v>0.9989976746403557</x:v>
      </x:c>
      <x:c r="F1448" s="1" t="str">
        <x:f>IF(C1448&lt;=0,"C",IF(E1448-D1448&lt;'Дашборд'!$C$49,"A",IF(E1448-D1448&lt;'Дашборд'!$C$50,"B","C")))</x:f>
        <x:v>C</x:v>
      </x:c>
      <x:c r="G1448" s="8" t="n">
        <x:f>'Данные'!F1448</x:f>
        <x:v>9</x:v>
      </x:c>
      <x:c r="H1448" s="8" t="n">
        <x:f>SUM('Данные'!H1448:I1448)</x:f>
        <x:v>0</x:v>
      </x:c>
      <x:c r="I1448" s="16" t="str">
        <x:f>IF(H1448&gt;0,G1448/H1448,"n.a.")</x:f>
        <x:v>n.a.</x:v>
      </x:c>
      <x:c r="J1448" s="10" t="n">
        <x:f>IF('Данные'!E1448&gt;0,G1448/'Данные'!E1448,"n.a.")</x:f>
        <x:v>0.007992895204262877</x:v>
      </x:c>
      <x:c r="K1448" s="1" t="str">
        <x:f>IF(G1448&gt;='Дашборд'!$C$51,"X","Z")</x:f>
        <x:v>Z</x:v>
      </x:c>
      <x:c r="L1448" s="1" t="str">
        <x:f>IF(H1448=0,IF(G1448&gt;0,"Нет остатка","Нет спроса"),IF(I1448&gt;='Дашборд'!$C$52,"Быстрый","Медленный"))</x:f>
        <x:v>Нет остатка</x:v>
      </x:c>
      <x:c r="M1448" s="1" t="str">
        <x:f>IF('Данные'!E1448&lt;'Дашборд'!$C$53,"Мало трафика",IF(J1448&lt;'Дашборд'!$C$9*'Дашборд'!$C$54,"Да","Нет"))</x:f>
        <x:v>Да</x:v>
      </x:c>
      <x:c r="N1448" s="1" t="str">
        <x:f>IF(AND('Данные'!D1448&gt;='Дашборд'!$C$55,D1448&lt;'Дашборд'!$C$56,'Данные'!E1448&gt;='Дашборд'!$C$53,'Данные'!L1448&lt;&gt;"Да"),"Да","Нет")</x:f>
        <x:v>Да</x:v>
      </x:c>
      <x:c r="O1448" s="1" t="str">
        <x:f>'Данные'!L1448</x:f>
        <x:v>Нет</x:v>
      </x:c>
    </x:row>
    <x:row r="1449">
      <x:c r="A1449" s="1" t="str">
        <x:f>'Данные'!A1449</x:f>
        <x:v>233262531</x:v>
      </x:c>
      <x:c r="B1449" s="1" t="str">
        <x:f>'Данные'!B1449</x:f>
        <x:v>2Nshortymanbk/песочный</x:v>
      </x:c>
      <x:c r="C1449" s="8" t="n">
        <x:f>'Данные'!G1449</x:f>
        <x:v>10500</x:v>
      </x:c>
      <x:c r="D1449" s="15" t="n">
        <x:f>C1449/SUM($C$5:$C$2477)</x:f>
        <x:v>0.00001226634810423257</x:v>
      </x:c>
      <x:c r="E1449" s="15" t="n">
        <x:f>SUM($D$5:D1449)</x:f>
        <x:v>0.99900994098846</x:v>
      </x:c>
      <x:c r="F1449" s="1" t="str">
        <x:f>IF(C1449&lt;=0,"C",IF(E1449-D1449&lt;'Дашборд'!$C$49,"A",IF(E1449-D1449&lt;'Дашборд'!$C$50,"B","C")))</x:f>
        <x:v>C</x:v>
      </x:c>
      <x:c r="G1449" s="8" t="n">
        <x:f>'Данные'!F1449</x:f>
        <x:v>45</x:v>
      </x:c>
      <x:c r="H1449" s="8" t="n">
        <x:f>SUM('Данные'!H1449:I1449)</x:f>
        <x:v>0</x:v>
      </x:c>
      <x:c r="I1449" s="16" t="str">
        <x:f>IF(H1449&gt;0,G1449/H1449,"n.a.")</x:f>
        <x:v>n.a.</x:v>
      </x:c>
      <x:c r="J1449" s="10" t="n">
        <x:f>IF('Данные'!E1449&gt;0,G1449/'Данные'!E1449,"n.a.")</x:f>
        <x:v>0.007077697389116074</x:v>
      </x:c>
      <x:c r="K1449" s="1" t="str">
        <x:f>IF(G1449&gt;='Дашборд'!$C$51,"X","Z")</x:f>
        <x:v>Z</x:v>
      </x:c>
      <x:c r="L1449" s="1" t="str">
        <x:f>IF(H1449=0,IF(G1449&gt;0,"Нет остатка","Нет спроса"),IF(I1449&gt;='Дашборд'!$C$52,"Быстрый","Медленный"))</x:f>
        <x:v>Нет остатка</x:v>
      </x:c>
      <x:c r="M1449" s="1" t="str">
        <x:f>IF('Данные'!E1449&lt;'Дашборд'!$C$53,"Мало трафика",IF(J1449&lt;'Дашборд'!$C$9*'Дашборд'!$C$54,"Да","Нет"))</x:f>
        <x:v>Да</x:v>
      </x:c>
      <x:c r="N1449" s="1" t="str">
        <x:f>IF(AND('Данные'!D1449&gt;='Дашборд'!$C$55,D1449&lt;'Дашборд'!$C$56,'Данные'!E1449&gt;='Дашборд'!$C$53,'Данные'!L1449&lt;&gt;"Да"),"Да","Нет")</x:f>
        <x:v>Нет</x:v>
      </x:c>
      <x:c r="O1449" s="1" t="str">
        <x:f>'Данные'!L1449</x:f>
        <x:v>Нет</x:v>
      </x:c>
    </x:row>
    <x:row r="1450">
      <x:c r="A1450" s="1" t="str">
        <x:f>'Данные'!A1450</x:f>
        <x:v>176976190</x:v>
      </x:c>
      <x:c r="B1450" s="1" t="str">
        <x:f>'Данные'!B1450</x:f>
        <x:v>hudi1size/графит</x:v>
      </x:c>
      <x:c r="C1450" s="8" t="n">
        <x:f>'Данные'!G1450</x:f>
        <x:v>10469</x:v>
      </x:c>
      <x:c r="D1450" s="15" t="n">
        <x:f>C1450/SUM($C$5:$C$2477)</x:f>
        <x:v>0.00001223013317173436</x:v>
      </x:c>
      <x:c r="E1450" s="15" t="n">
        <x:f>SUM($D$5:D1450)</x:f>
        <x:v>0.9990221711216317</x:v>
      </x:c>
      <x:c r="F1450" s="1" t="str">
        <x:f>IF(C1450&lt;=0,"C",IF(E1450-D1450&lt;'Дашборд'!$C$49,"A",IF(E1450-D1450&lt;'Дашборд'!$C$50,"B","C")))</x:f>
        <x:v>C</x:v>
      </x:c>
      <x:c r="G1450" s="8" t="n">
        <x:f>'Данные'!F1450</x:f>
        <x:v>5</x:v>
      </x:c>
      <x:c r="H1450" s="8" t="n">
        <x:f>SUM('Данные'!H1450:I1450)</x:f>
        <x:v>0</x:v>
      </x:c>
      <x:c r="I1450" s="16" t="str">
        <x:f>IF(H1450&gt;0,G1450/H1450,"n.a.")</x:f>
        <x:v>n.a.</x:v>
      </x:c>
      <x:c r="J1450" s="10" t="n">
        <x:f>IF('Данные'!E1450&gt;0,G1450/'Данные'!E1450,"n.a.")</x:f>
        <x:v>0.01098901098901099</x:v>
      </x:c>
      <x:c r="K1450" s="1" t="str">
        <x:f>IF(G1450&gt;='Дашборд'!$C$51,"X","Z")</x:f>
        <x:v>Z</x:v>
      </x:c>
      <x:c r="L1450" s="1" t="str">
        <x:f>IF(H1450=0,IF(G1450&gt;0,"Нет остатка","Нет спроса"),IF(I1450&gt;='Дашборд'!$C$52,"Быстрый","Медленный"))</x:f>
        <x:v>Нет остатка</x:v>
      </x:c>
      <x:c r="M1450" s="1" t="str">
        <x:f>IF('Данные'!E1450&lt;'Дашборд'!$C$53,"Мало трафика",IF(J1450&lt;'Дашборд'!$C$9*'Дашборд'!$C$54,"Да","Нет"))</x:f>
        <x:v>Мало трафика</x:v>
      </x:c>
      <x:c r="N1450" s="1" t="str">
        <x:f>IF(AND('Данные'!D1450&gt;='Дашборд'!$C$55,D1450&lt;'Дашборд'!$C$56,'Данные'!E1450&gt;='Дашборд'!$C$53,'Данные'!L1450&lt;&gt;"Да"),"Да","Нет")</x:f>
        <x:v>Нет</x:v>
      </x:c>
      <x:c r="O1450" s="1" t="str">
        <x:f>'Данные'!L1450</x:f>
        <x:v>Нет</x:v>
      </x:c>
    </x:row>
    <x:row r="1451">
      <x:c r="A1451" s="1" t="str">
        <x:f>'Данные'!A1451</x:f>
        <x:v>209915684</x:v>
      </x:c>
      <x:c r="B1451" s="1" t="str">
        <x:f>'Данные'!B1451</x:f>
        <x:v>shorty/серовато-розовый</x:v>
      </x:c>
      <x:c r="C1451" s="8" t="n">
        <x:f>'Данные'!G1451</x:f>
        <x:v>10385</x:v>
      </x:c>
      <x:c r="D1451" s="15" t="n">
        <x:f>C1451/SUM($C$5:$C$2477)</x:f>
        <x:v>0.0000121320023869005</x:v>
      </x:c>
      <x:c r="E1451" s="15" t="n">
        <x:f>SUM($D$5:D1451)</x:f>
        <x:v>0.9990343031240186</x:v>
      </x:c>
      <x:c r="F1451" s="1" t="str">
        <x:f>IF(C1451&lt;=0,"C",IF(E1451-D1451&lt;'Дашборд'!$C$49,"A",IF(E1451-D1451&lt;'Дашборд'!$C$50,"B","C")))</x:f>
        <x:v>C</x:v>
      </x:c>
      <x:c r="G1451" s="8" t="n">
        <x:f>'Данные'!F1451</x:f>
        <x:v>21</x:v>
      </x:c>
      <x:c r="H1451" s="8" t="n">
        <x:f>SUM('Данные'!H1451:I1451)</x:f>
        <x:v>3</x:v>
      </x:c>
      <x:c r="I1451" s="16" t="n">
        <x:f>IF(H1451&gt;0,G1451/H1451,"n.a.")</x:f>
        <x:v>7</x:v>
      </x:c>
      <x:c r="J1451" s="10" t="n">
        <x:f>IF('Данные'!E1451&gt;0,G1451/'Данные'!E1451,"n.a.")</x:f>
        <x:v>0.0031446540880503146</x:v>
      </x:c>
      <x:c r="K1451" s="1" t="str">
        <x:f>IF(G1451&gt;='Дашборд'!$C$51,"X","Z")</x:f>
        <x:v>Z</x:v>
      </x:c>
      <x:c r="L1451" s="1" t="str">
        <x:f>IF(H1451=0,IF(G1451&gt;0,"Нет остатка","Нет спроса"),IF(I1451&gt;='Дашборд'!$C$52,"Быстрый","Медленный"))</x:f>
        <x:v>Быстрый</x:v>
      </x:c>
      <x:c r="M1451" s="1" t="str">
        <x:f>IF('Данные'!E1451&lt;'Дашборд'!$C$53,"Мало трафика",IF(J1451&lt;'Дашборд'!$C$9*'Дашборд'!$C$54,"Да","Нет"))</x:f>
        <x:v>Да</x:v>
      </x:c>
      <x:c r="N1451" s="1" t="str">
        <x:f>IF(AND('Данные'!D1451&gt;='Дашборд'!$C$55,D1451&lt;'Дашборд'!$C$56,'Данные'!E1451&gt;='Дашборд'!$C$53,'Данные'!L1451&lt;&gt;"Да"),"Да","Нет")</x:f>
        <x:v>Нет</x:v>
      </x:c>
      <x:c r="O1451" s="1" t="str">
        <x:f>'Данные'!L1451</x:f>
        <x:v>Нет</x:v>
      </x:c>
    </x:row>
    <x:row r="1452">
      <x:c r="A1452" s="1" t="str">
        <x:f>'Данные'!A1452</x:f>
        <x:v>246013570</x:v>
      </x:c>
      <x:c r="B1452" s="1" t="str">
        <x:f>'Данные'!B1452</x:f>
        <x:v>bazakulgirl/мятапыльная</x:v>
      </x:c>
      <x:c r="C1452" s="8" t="n">
        <x:f>'Данные'!G1452</x:f>
        <x:v>10356</x:v>
      </x:c>
      <x:c r="D1452" s="15" t="n">
        <x:f>C1452/SUM($C$5:$C$2477)</x:f>
        <x:v>0.000012098123901660238</x:v>
      </x:c>
      <x:c r="E1452" s="15" t="n">
        <x:f>SUM($D$5:D1452)</x:f>
        <x:v>0.9990464012479203</x:v>
      </x:c>
      <x:c r="F1452" s="1" t="str">
        <x:f>IF(C1452&lt;=0,"C",IF(E1452-D1452&lt;'Дашборд'!$C$49,"A",IF(E1452-D1452&lt;'Дашборд'!$C$50,"B","C")))</x:f>
        <x:v>C</x:v>
      </x:c>
      <x:c r="G1452" s="8" t="n">
        <x:f>'Данные'!F1452</x:f>
        <x:v>30</x:v>
      </x:c>
      <x:c r="H1452" s="8" t="n">
        <x:f>SUM('Данные'!H1452:I1452)</x:f>
        <x:v>255</x:v>
      </x:c>
      <x:c r="I1452" s="16" t="n">
        <x:f>IF(H1452&gt;0,G1452/H1452,"n.a.")</x:f>
        <x:v>0.11764705882352941</x:v>
      </x:c>
      <x:c r="J1452" s="10" t="n">
        <x:f>IF('Данные'!E1452&gt;0,G1452/'Данные'!E1452,"n.a.")</x:f>
        <x:v>0.014258555133079848</x:v>
      </x:c>
      <x:c r="K1452" s="1" t="str">
        <x:f>IF(G1452&gt;='Дашборд'!$C$51,"X","Z")</x:f>
        <x:v>Z</x:v>
      </x:c>
      <x:c r="L1452" s="1" t="str">
        <x:f>IF(H1452=0,IF(G1452&gt;0,"Нет остатка","Нет спроса"),IF(I1452&gt;='Дашборд'!$C$52,"Быстрый","Медленный"))</x:f>
        <x:v>Медленный</x:v>
      </x:c>
      <x:c r="M1452" s="1" t="str">
        <x:f>IF('Данные'!E1452&lt;'Дашборд'!$C$53,"Мало трафика",IF(J1452&lt;'Дашборд'!$C$9*'Дашборд'!$C$54,"Да","Нет"))</x:f>
        <x:v>Нет</x:v>
      </x:c>
      <x:c r="N1452" s="1" t="str">
        <x:f>IF(AND('Данные'!D1452&gt;='Дашборд'!$C$55,D1452&lt;'Дашборд'!$C$56,'Данные'!E1452&gt;='Дашборд'!$C$53,'Данные'!L1452&lt;&gt;"Да"),"Да","Нет")</x:f>
        <x:v>Нет</x:v>
      </x:c>
      <x:c r="O1452" s="1" t="str">
        <x:f>'Данные'!L1452</x:f>
        <x:v>Нет</x:v>
      </x:c>
    </x:row>
    <x:row r="1453">
      <x:c r="A1453" s="1" t="str">
        <x:f>'Данные'!A1453</x:f>
        <x:v>365801829</x:v>
      </x:c>
      <x:c r="B1453" s="1" t="str">
        <x:f>'Данные'!B1453</x:f>
        <x:v>bazakulgirl/зелено-серый</x:v>
      </x:c>
      <x:c r="C1453" s="8" t="n">
        <x:f>'Данные'!G1453</x:f>
        <x:v>10335</x:v>
      </x:c>
      <x:c r="D1453" s="15" t="n">
        <x:f>C1453/SUM($C$5:$C$2477)</x:f>
        <x:v>0.000012073591205451773</x:v>
      </x:c>
      <x:c r="E1453" s="15" t="n">
        <x:f>SUM($D$5:D1453)</x:f>
        <x:v>0.9990584748391258</x:v>
      </x:c>
      <x:c r="F1453" s="1" t="str">
        <x:f>IF(C1453&lt;=0,"C",IF(E1453-D1453&lt;'Дашборд'!$C$49,"A",IF(E1453-D1453&lt;'Дашборд'!$C$50,"B","C")))</x:f>
        <x:v>C</x:v>
      </x:c>
      <x:c r="G1453" s="8" t="n">
        <x:f>'Данные'!F1453</x:f>
        <x:v>24</x:v>
      </x:c>
      <x:c r="H1453" s="8" t="n">
        <x:f>SUM('Данные'!H1453:I1453)</x:f>
        <x:v>104</x:v>
      </x:c>
      <x:c r="I1453" s="16" t="n">
        <x:f>IF(H1453&gt;0,G1453/H1453,"n.a.")</x:f>
        <x:v>0.23076923076923078</x:v>
      </x:c>
      <x:c r="J1453" s="10" t="n">
        <x:f>IF('Данные'!E1453&gt;0,G1453/'Данные'!E1453,"n.a.")</x:f>
        <x:v>0.02164111812443643</x:v>
      </x:c>
      <x:c r="K1453" s="1" t="str">
        <x:f>IF(G1453&gt;='Дашборд'!$C$51,"X","Z")</x:f>
        <x:v>Z</x:v>
      </x:c>
      <x:c r="L1453" s="1" t="str">
        <x:f>IF(H1453=0,IF(G1453&gt;0,"Нет остатка","Нет спроса"),IF(I1453&gt;='Дашборд'!$C$52,"Быстрый","Медленный"))</x:f>
        <x:v>Медленный</x:v>
      </x:c>
      <x:c r="M1453" s="1" t="str">
        <x:f>IF('Данные'!E1453&lt;'Дашборд'!$C$53,"Мало трафика",IF(J1453&lt;'Дашборд'!$C$9*'Дашборд'!$C$54,"Да","Нет"))</x:f>
        <x:v>Нет</x:v>
      </x:c>
      <x:c r="N1453" s="1" t="str">
        <x:f>IF(AND('Данные'!D1453&gt;='Дашборд'!$C$55,D1453&lt;'Дашборд'!$C$56,'Данные'!E1453&gt;='Дашборд'!$C$53,'Данные'!L1453&lt;&gt;"Да"),"Да","Нет")</x:f>
        <x:v>Да</x:v>
      </x:c>
      <x:c r="O1453" s="1" t="str">
        <x:f>'Данные'!L1453</x:f>
        <x:v>Нет</x:v>
      </x:c>
    </x:row>
    <x:row r="1454">
      <x:c r="A1454" s="1" t="str">
        <x:f>'Данные'!A1454</x:f>
        <x:v>169512652</x:v>
      </x:c>
      <x:c r="B1454" s="1" t="str">
        <x:f>'Данные'!B1454</x:f>
        <x:v>2xnitkacrop/песочный</x:v>
      </x:c>
      <x:c r="C1454" s="8" t="n">
        <x:f>'Данные'!G1454</x:f>
        <x:v>10315</x:v>
      </x:c>
      <x:c r="D1454" s="15" t="n">
        <x:f>C1454/SUM($C$5:$C$2477)</x:f>
        <x:v>0.000012050226732872282</x:v>
      </x:c>
      <x:c r="E1454" s="15" t="n">
        <x:f>SUM($D$5:D1454)</x:f>
        <x:v>0.9990705250658587</x:v>
      </x:c>
      <x:c r="F1454" s="1" t="str">
        <x:f>IF(C1454&lt;=0,"C",IF(E1454-D1454&lt;'Дашборд'!$C$49,"A",IF(E1454-D1454&lt;'Дашборд'!$C$50,"B","C")))</x:f>
        <x:v>C</x:v>
      </x:c>
      <x:c r="G1454" s="8" t="n">
        <x:f>'Данные'!F1454</x:f>
        <x:v>17</x:v>
      </x:c>
      <x:c r="H1454" s="8" t="n">
        <x:f>SUM('Данные'!H1454:I1454)</x:f>
        <x:v>0</x:v>
      </x:c>
      <x:c r="I1454" s="16" t="str">
        <x:f>IF(H1454&gt;0,G1454/H1454,"n.a.")</x:f>
        <x:v>n.a.</x:v>
      </x:c>
      <x:c r="J1454" s="10" t="n">
        <x:f>IF('Данные'!E1454&gt;0,G1454/'Данные'!E1454,"n.a.")</x:f>
        <x:v>0.003325508607198748</x:v>
      </x:c>
      <x:c r="K1454" s="1" t="str">
        <x:f>IF(G1454&gt;='Дашборд'!$C$51,"X","Z")</x:f>
        <x:v>Z</x:v>
      </x:c>
      <x:c r="L1454" s="1" t="str">
        <x:f>IF(H1454=0,IF(G1454&gt;0,"Нет остатка","Нет спроса"),IF(I1454&gt;='Дашборд'!$C$52,"Быстрый","Медленный"))</x:f>
        <x:v>Нет остатка</x:v>
      </x:c>
      <x:c r="M1454" s="1" t="str">
        <x:f>IF('Данные'!E1454&lt;'Дашборд'!$C$53,"Мало трафика",IF(J1454&lt;'Дашборд'!$C$9*'Дашборд'!$C$54,"Да","Нет"))</x:f>
        <x:v>Да</x:v>
      </x:c>
      <x:c r="N1454" s="1" t="str">
        <x:f>IF(AND('Данные'!D1454&gt;='Дашборд'!$C$55,D1454&lt;'Дашборд'!$C$56,'Данные'!E1454&gt;='Дашборд'!$C$53,'Данные'!L1454&lt;&gt;"Да"),"Да","Нет")</x:f>
        <x:v>Да</x:v>
      </x:c>
      <x:c r="O1454" s="1" t="str">
        <x:f>'Данные'!L1454</x:f>
        <x:v>Нет</x:v>
      </x:c>
    </x:row>
    <x:row r="1455">
      <x:c r="A1455" s="1" t="str">
        <x:f>'Данные'!A1455</x:f>
        <x:v>216135569</x:v>
      </x:c>
      <x:c r="B1455" s="1" t="str">
        <x:f>'Данные'!B1455</x:f>
        <x:v>2xnitkamanshort/синий</x:v>
      </x:c>
      <x:c r="C1455" s="8" t="n">
        <x:f>'Данные'!G1455</x:f>
        <x:v>10304</x:v>
      </x:c>
      <x:c r="D1455" s="15" t="n">
        <x:f>C1455/SUM($C$5:$C$2477)</x:f>
        <x:v>0.000012037376272953564</x:v>
      </x:c>
      <x:c r="E1455" s="15" t="n">
        <x:f>SUM($D$5:D1455)</x:f>
        <x:v>0.9990825624421317</x:v>
      </x:c>
      <x:c r="F1455" s="1" t="str">
        <x:f>IF(C1455&lt;=0,"C",IF(E1455-D1455&lt;'Дашборд'!$C$49,"A",IF(E1455-D1455&lt;'Дашборд'!$C$50,"B","C")))</x:f>
        <x:v>C</x:v>
      </x:c>
      <x:c r="G1455" s="8" t="n">
        <x:f>'Данные'!F1455</x:f>
        <x:v>16</x:v>
      </x:c>
      <x:c r="H1455" s="8" t="n">
        <x:f>SUM('Данные'!H1455:I1455)</x:f>
        <x:v>27</x:v>
      </x:c>
      <x:c r="I1455" s="16" t="n">
        <x:f>IF(H1455&gt;0,G1455/H1455,"n.a.")</x:f>
        <x:v>0.5925925925925926</x:v>
      </x:c>
      <x:c r="J1455" s="10" t="n">
        <x:f>IF('Данные'!E1455&gt;0,G1455/'Данные'!E1455,"n.a.")</x:f>
        <x:v>0.004493119910137602</x:v>
      </x:c>
      <x:c r="K1455" s="1" t="str">
        <x:f>IF(G1455&gt;='Дашборд'!$C$51,"X","Z")</x:f>
        <x:v>Z</x:v>
      </x:c>
      <x:c r="L1455" s="1" t="str">
        <x:f>IF(H1455=0,IF(G1455&gt;0,"Нет остатка","Нет спроса"),IF(I1455&gt;='Дашборд'!$C$52,"Быстрый","Медленный"))</x:f>
        <x:v>Медленный</x:v>
      </x:c>
      <x:c r="M1455" s="1" t="str">
        <x:f>IF('Данные'!E1455&lt;'Дашборд'!$C$53,"Мало трафика",IF(J1455&lt;'Дашборд'!$C$9*'Дашборд'!$C$54,"Да","Нет"))</x:f>
        <x:v>Да</x:v>
      </x:c>
      <x:c r="N1455" s="1" t="str">
        <x:f>IF(AND('Данные'!D1455&gt;='Дашборд'!$C$55,D1455&lt;'Дашборд'!$C$56,'Данные'!E1455&gt;='Дашборд'!$C$53,'Данные'!L1455&lt;&gt;"Да"),"Да","Нет")</x:f>
        <x:v>Нет</x:v>
      </x:c>
      <x:c r="O1455" s="1" t="str">
        <x:f>'Данные'!L1455</x:f>
        <x:v>Нет</x:v>
      </x:c>
    </x:row>
    <x:row r="1456">
      <x:c r="A1456" s="1" t="str">
        <x:f>'Данные'!A1456</x:f>
        <x:v>15748481</x:v>
      </x:c>
      <x:c r="B1456" s="1" t="str">
        <x:f>'Данные'!B1456</x:f>
        <x:v>bruki/светлофиолетовый</x:v>
      </x:c>
      <x:c r="C1456" s="8" t="n">
        <x:f>'Данные'!G1456</x:f>
        <x:v>10248</x:v>
      </x:c>
      <x:c r="D1456" s="15" t="n">
        <x:f>C1456/SUM($C$5:$C$2477)</x:f>
        <x:v>0.00001197195574973099</x:v>
      </x:c>
      <x:c r="E1456" s="15" t="n">
        <x:f>SUM($D$5:D1456)</x:f>
        <x:v>0.9990945343978814</x:v>
      </x:c>
      <x:c r="F1456" s="1" t="str">
        <x:f>IF(C1456&lt;=0,"C",IF(E1456-D1456&lt;'Дашборд'!$C$49,"A",IF(E1456-D1456&lt;'Дашборд'!$C$50,"B","C")))</x:f>
        <x:v>C</x:v>
      </x:c>
      <x:c r="G1456" s="8" t="n">
        <x:f>'Данные'!F1456</x:f>
        <x:v>14</x:v>
      </x:c>
      <x:c r="H1456" s="8" t="n">
        <x:f>SUM('Данные'!H1456:I1456)</x:f>
        <x:v>1</x:v>
      </x:c>
      <x:c r="I1456" s="16" t="n">
        <x:f>IF(H1456&gt;0,G1456/H1456,"n.a.")</x:f>
        <x:v>14</x:v>
      </x:c>
      <x:c r="J1456" s="10" t="n">
        <x:f>IF('Данные'!E1456&gt;0,G1456/'Данные'!E1456,"n.a.")</x:f>
        <x:v>0.00772626931567329</x:v>
      </x:c>
      <x:c r="K1456" s="1" t="str">
        <x:f>IF(G1456&gt;='Дашборд'!$C$51,"X","Z")</x:f>
        <x:v>Z</x:v>
      </x:c>
      <x:c r="L1456" s="1" t="str">
        <x:f>IF(H1456=0,IF(G1456&gt;0,"Нет остатка","Нет спроса"),IF(I1456&gt;='Дашборд'!$C$52,"Быстрый","Медленный"))</x:f>
        <x:v>Быстрый</x:v>
      </x:c>
      <x:c r="M1456" s="1" t="str">
        <x:f>IF('Данные'!E1456&lt;'Дашборд'!$C$53,"Мало трафика",IF(J1456&lt;'Дашборд'!$C$9*'Дашборд'!$C$54,"Да","Нет"))</x:f>
        <x:v>Да</x:v>
      </x:c>
      <x:c r="N1456" s="1" t="str">
        <x:f>IF(AND('Данные'!D1456&gt;='Дашборд'!$C$55,D1456&lt;'Дашборд'!$C$56,'Данные'!E1456&gt;='Дашборд'!$C$53,'Данные'!L1456&lt;&gt;"Да"),"Да","Нет")</x:f>
        <x:v>Нет</x:v>
      </x:c>
      <x:c r="O1456" s="1" t="str">
        <x:f>'Данные'!L1456</x:f>
        <x:v>Нет</x:v>
      </x:c>
    </x:row>
    <x:row r="1457">
      <x:c r="A1457" s="1" t="str">
        <x:f>'Данные'!A1457</x:f>
        <x:v>183793831</x:v>
      </x:c>
      <x:c r="B1457" s="1" t="str">
        <x:f>'Данные'!B1457</x:f>
        <x:v>hudiprint/MEDUSA-17/изумрудно-зеленый</x:v>
      </x:c>
      <x:c r="C1457" s="8" t="n">
        <x:f>'Данные'!G1457</x:f>
        <x:v>9988</x:v>
      </x:c>
      <x:c r="D1457" s="15" t="n">
        <x:f>C1457/SUM($C$5:$C$2477)</x:f>
        <x:v>0.000011668217606197612</x:v>
      </x:c>
      <x:c r="E1457" s="15" t="n">
        <x:f>SUM($D$5:D1457)</x:f>
        <x:v>0.9991062026154877</x:v>
      </x:c>
      <x:c r="F1457" s="1" t="str">
        <x:f>IF(C1457&lt;=0,"C",IF(E1457-D1457&lt;'Дашборд'!$C$49,"A",IF(E1457-D1457&lt;'Дашборд'!$C$50,"B","C")))</x:f>
        <x:v>C</x:v>
      </x:c>
      <x:c r="G1457" s="8" t="n">
        <x:f>'Данные'!F1457</x:f>
        <x:v>5</x:v>
      </x:c>
      <x:c r="H1457" s="8" t="n">
        <x:f>SUM('Данные'!H1457:I1457)</x:f>
        <x:v>1</x:v>
      </x:c>
      <x:c r="I1457" s="16" t="n">
        <x:f>IF(H1457&gt;0,G1457/H1457,"n.a.")</x:f>
        <x:v>5</x:v>
      </x:c>
      <x:c r="J1457" s="10" t="n">
        <x:f>IF('Данные'!E1457&gt;0,G1457/'Данные'!E1457,"n.a.")</x:f>
        <x:v>0.00235626767200754</x:v>
      </x:c>
      <x:c r="K1457" s="1" t="str">
        <x:f>IF(G1457&gt;='Дашборд'!$C$51,"X","Z")</x:f>
        <x:v>Z</x:v>
      </x:c>
      <x:c r="L1457" s="1" t="str">
        <x:f>IF(H1457=0,IF(G1457&gt;0,"Нет остатка","Нет спроса"),IF(I1457&gt;='Дашборд'!$C$52,"Быстрый","Медленный"))</x:f>
        <x:v>Быстрый</x:v>
      </x:c>
      <x:c r="M1457" s="1" t="str">
        <x:f>IF('Данные'!E1457&lt;'Дашборд'!$C$53,"Мало трафика",IF(J1457&lt;'Дашборд'!$C$9*'Дашборд'!$C$54,"Да","Нет"))</x:f>
        <x:v>Да</x:v>
      </x:c>
      <x:c r="N1457" s="1" t="str">
        <x:f>IF(AND('Данные'!D1457&gt;='Дашборд'!$C$55,D1457&lt;'Дашборд'!$C$56,'Данные'!E1457&gt;='Дашборд'!$C$53,'Данные'!L1457&lt;&gt;"Да"),"Да","Нет")</x:f>
        <x:v>Нет</x:v>
      </x:c>
      <x:c r="O1457" s="1" t="str">
        <x:f>'Данные'!L1457</x:f>
        <x:v>Нет</x:v>
      </x:c>
    </x:row>
    <x:row r="1458">
      <x:c r="A1458" s="1" t="str">
        <x:f>'Данные'!A1458</x:f>
        <x:v>231458805</x:v>
      </x:c>
      <x:c r="B1458" s="1" t="str">
        <x:f>'Данные'!B1458</x:f>
        <x:v>futbolkaboy/бежевый</x:v>
      </x:c>
      <x:c r="C1458" s="8" t="n">
        <x:f>'Данные'!G1458</x:f>
        <x:v>9749</x:v>
      </x:c>
      <x:c r="D1458" s="15" t="n">
        <x:f>C1458/SUM($C$5:$C$2477)</x:f>
        <x:v>0.000011389012158872698</x:v>
      </x:c>
      <x:c r="E1458" s="15" t="n">
        <x:f>SUM($D$5:D1458)</x:f>
        <x:v>0.9991175916276466</x:v>
      </x:c>
      <x:c r="F1458" s="1" t="str">
        <x:f>IF(C1458&lt;=0,"C",IF(E1458-D1458&lt;'Дашборд'!$C$49,"A",IF(E1458-D1458&lt;'Дашборд'!$C$50,"B","C")))</x:f>
        <x:v>C</x:v>
      </x:c>
      <x:c r="G1458" s="8" t="n">
        <x:f>'Данные'!F1458</x:f>
        <x:v>28</x:v>
      </x:c>
      <x:c r="H1458" s="8" t="n">
        <x:f>SUM('Данные'!H1458:I1458)</x:f>
        <x:v>0</x:v>
      </x:c>
      <x:c r="I1458" s="16" t="str">
        <x:f>IF(H1458&gt;0,G1458/H1458,"n.a.")</x:f>
        <x:v>n.a.</x:v>
      </x:c>
      <x:c r="J1458" s="10" t="n">
        <x:f>IF('Данные'!E1458&gt;0,G1458/'Данные'!E1458,"n.a.")</x:f>
        <x:v>0.014410705095213588</x:v>
      </x:c>
      <x:c r="K1458" s="1" t="str">
        <x:f>IF(G1458&gt;='Дашборд'!$C$51,"X","Z")</x:f>
        <x:v>Z</x:v>
      </x:c>
      <x:c r="L1458" s="1" t="str">
        <x:f>IF(H1458=0,IF(G1458&gt;0,"Нет остатка","Нет спроса"),IF(I1458&gt;='Дашборд'!$C$52,"Быстрый","Медленный"))</x:f>
        <x:v>Нет остатка</x:v>
      </x:c>
      <x:c r="M1458" s="1" t="str">
        <x:f>IF('Данные'!E1458&lt;'Дашборд'!$C$53,"Мало трафика",IF(J1458&lt;'Дашборд'!$C$9*'Дашборд'!$C$54,"Да","Нет"))</x:f>
        <x:v>Нет</x:v>
      </x:c>
      <x:c r="N1458" s="1" t="str">
        <x:f>IF(AND('Данные'!D1458&gt;='Дашборд'!$C$55,D1458&lt;'Дашборд'!$C$56,'Данные'!E1458&gt;='Дашборд'!$C$53,'Данные'!L1458&lt;&gt;"Да"),"Да","Нет")</x:f>
        <x:v>Да</x:v>
      </x:c>
      <x:c r="O1458" s="1" t="str">
        <x:f>'Данные'!L1458</x:f>
        <x:v>Нет</x:v>
      </x:c>
    </x:row>
    <x:row r="1459">
      <x:c r="A1459" s="1" t="str">
        <x:f>'Данные'!A1459</x:f>
        <x:v>313770744</x:v>
      </x:c>
      <x:c r="B1459" s="1" t="str">
        <x:f>'Данные'!B1459</x:f>
        <x:v>futbolkagirl/фуксия</x:v>
      </x:c>
      <x:c r="C1459" s="8" t="n">
        <x:f>'Данные'!G1459</x:f>
        <x:v>9700</x:v>
      </x:c>
      <x:c r="D1459" s="15" t="n">
        <x:f>C1459/SUM($C$5:$C$2477)</x:f>
        <x:v>0.000011331769201052947</x:v>
      </x:c>
      <x:c r="E1459" s="15" t="n">
        <x:f>SUM($D$5:D1459)</x:f>
        <x:v>0.9991289233968477</x:v>
      </x:c>
      <x:c r="F1459" s="1" t="str">
        <x:f>IF(C1459&lt;=0,"C",IF(E1459-D1459&lt;'Дашборд'!$C$49,"A",IF(E1459-D1459&lt;'Дашборд'!$C$50,"B","C")))</x:f>
        <x:v>C</x:v>
      </x:c>
      <x:c r="G1459" s="8" t="n">
        <x:f>'Данные'!F1459</x:f>
        <x:v>25</x:v>
      </x:c>
      <x:c r="H1459" s="8" t="n">
        <x:f>SUM('Данные'!H1459:I1459)</x:f>
        <x:v>0</x:v>
      </x:c>
      <x:c r="I1459" s="16" t="str">
        <x:f>IF(H1459&gt;0,G1459/H1459,"n.a.")</x:f>
        <x:v>n.a.</x:v>
      </x:c>
      <x:c r="J1459" s="10" t="n">
        <x:f>IF('Данные'!E1459&gt;0,G1459/'Данные'!E1459,"n.a.")</x:f>
        <x:v>0.009238728750923873</x:v>
      </x:c>
      <x:c r="K1459" s="1" t="str">
        <x:f>IF(G1459&gt;='Дашборд'!$C$51,"X","Z")</x:f>
        <x:v>Z</x:v>
      </x:c>
      <x:c r="L1459" s="1" t="str">
        <x:f>IF(H1459=0,IF(G1459&gt;0,"Нет остатка","Нет спроса"),IF(I1459&gt;='Дашборд'!$C$52,"Быстрый","Медленный"))</x:f>
        <x:v>Нет остатка</x:v>
      </x:c>
      <x:c r="M1459" s="1" t="str">
        <x:f>IF('Данные'!E1459&lt;'Дашборд'!$C$53,"Мало трафика",IF(J1459&lt;'Дашборд'!$C$9*'Дашборд'!$C$54,"Да","Нет"))</x:f>
        <x:v>Да</x:v>
      </x:c>
      <x:c r="N1459" s="1" t="str">
        <x:f>IF(AND('Данные'!D1459&gt;='Дашборд'!$C$55,D1459&lt;'Дашборд'!$C$56,'Данные'!E1459&gt;='Дашборд'!$C$53,'Данные'!L1459&lt;&gt;"Да"),"Да","Нет")</x:f>
        <x:v>Да</x:v>
      </x:c>
      <x:c r="O1459" s="1" t="str">
        <x:f>'Данные'!L1459</x:f>
        <x:v>Нет</x:v>
      </x:c>
    </x:row>
    <x:row r="1460">
      <x:c r="A1460" s="1" t="str">
        <x:f>'Данные'!A1460</x:f>
        <x:v>229124476</x:v>
      </x:c>
      <x:c r="B1460" s="1" t="str">
        <x:f>'Данные'!B1460</x:f>
        <x:v>bazaprint/SummerKiss-148/персиковый</x:v>
      </x:c>
      <x:c r="C1460" s="8" t="n">
        <x:f>'Данные'!G1460</x:f>
        <x:v>9614</x:v>
      </x:c>
      <x:c r="D1460" s="15" t="n">
        <x:f>C1460/SUM($C$5:$C$2477)</x:f>
        <x:v>0.000011231301968961137</x:v>
      </x:c>
      <x:c r="E1460" s="15" t="n">
        <x:f>SUM($D$5:D1460)</x:f>
        <x:v>0.9991401546988167</x:v>
      </x:c>
      <x:c r="F1460" s="1" t="str">
        <x:f>IF(C1460&lt;=0,"C",IF(E1460-D1460&lt;'Дашборд'!$C$49,"A",IF(E1460-D1460&lt;'Дашборд'!$C$50,"B","C")))</x:f>
        <x:v>C</x:v>
      </x:c>
      <x:c r="G1460" s="8" t="n">
        <x:f>'Данные'!F1460</x:f>
        <x:v>24</x:v>
      </x:c>
      <x:c r="H1460" s="8" t="n">
        <x:f>SUM('Данные'!H1460:I1460)</x:f>
        <x:v>0</x:v>
      </x:c>
      <x:c r="I1460" s="16" t="str">
        <x:f>IF(H1460&gt;0,G1460/H1460,"n.a.")</x:f>
        <x:v>n.a.</x:v>
      </x:c>
      <x:c r="J1460" s="10" t="n">
        <x:f>IF('Данные'!E1460&gt;0,G1460/'Данные'!E1460,"n.a.")</x:f>
        <x:v>0.0032733224222585926</x:v>
      </x:c>
      <x:c r="K1460" s="1" t="str">
        <x:f>IF(G1460&gt;='Дашборд'!$C$51,"X","Z")</x:f>
        <x:v>Z</x:v>
      </x:c>
      <x:c r="L1460" s="1" t="str">
        <x:f>IF(H1460=0,IF(G1460&gt;0,"Нет остатка","Нет спроса"),IF(I1460&gt;='Дашборд'!$C$52,"Быстрый","Медленный"))</x:f>
        <x:v>Нет остатка</x:v>
      </x:c>
      <x:c r="M1460" s="1" t="str">
        <x:f>IF('Данные'!E1460&lt;'Дашборд'!$C$53,"Мало трафика",IF(J1460&lt;'Дашборд'!$C$9*'Дашборд'!$C$54,"Да","Нет"))</x:f>
        <x:v>Да</x:v>
      </x:c>
      <x:c r="N1460" s="1" t="str">
        <x:f>IF(AND('Данные'!D1460&gt;='Дашборд'!$C$55,D1460&lt;'Дашборд'!$C$56,'Данные'!E1460&gt;='Дашборд'!$C$53,'Данные'!L1460&lt;&gt;"Да"),"Да","Нет")</x:f>
        <x:v>Да</x:v>
      </x:c>
      <x:c r="O1460" s="1" t="str">
        <x:f>'Данные'!L1460</x:f>
        <x:v>Нет</x:v>
      </x:c>
    </x:row>
    <x:row r="1461">
      <x:c r="A1461" s="1" t="str">
        <x:f>'Данные'!A1461</x:f>
        <x:v>202954954</x:v>
      </x:c>
      <x:c r="B1461" s="1" t="str">
        <x:f>'Данные'!B1461</x:f>
        <x:v>svitshotprint/ZelMoreSelf-63/молочный</x:v>
      </x:c>
      <x:c r="C1461" s="8" t="n">
        <x:f>'Данные'!G1461</x:f>
        <x:v>9612</x:v>
      </x:c>
      <x:c r="D1461" s="15" t="n">
        <x:f>C1461/SUM($C$5:$C$2477)</x:f>
        <x:v>0.000011228965521703187</x:v>
      </x:c>
      <x:c r="E1461" s="15" t="n">
        <x:f>SUM($D$5:D1461)</x:f>
        <x:v>0.9991513836643384</x:v>
      </x:c>
      <x:c r="F1461" s="1" t="str">
        <x:f>IF(C1461&lt;=0,"C",IF(E1461-D1461&lt;'Дашборд'!$C$49,"A",IF(E1461-D1461&lt;'Дашборд'!$C$50,"B","C")))</x:f>
        <x:v>C</x:v>
      </x:c>
      <x:c r="G1461" s="8" t="n">
        <x:f>'Данные'!F1461</x:f>
        <x:v>6</x:v>
      </x:c>
      <x:c r="H1461" s="8" t="n">
        <x:f>SUM('Данные'!H1461:I1461)</x:f>
        <x:v>4</x:v>
      </x:c>
      <x:c r="I1461" s="16" t="n">
        <x:f>IF(H1461&gt;0,G1461/H1461,"n.a.")</x:f>
        <x:v>1.5</x:v>
      </x:c>
      <x:c r="J1461" s="10" t="n">
        <x:f>IF('Данные'!E1461&gt;0,G1461/'Данные'!E1461,"n.a.")</x:f>
        <x:v>0.006417112299465241</x:v>
      </x:c>
      <x:c r="K1461" s="1" t="str">
        <x:f>IF(G1461&gt;='Дашборд'!$C$51,"X","Z")</x:f>
        <x:v>Z</x:v>
      </x:c>
      <x:c r="L1461" s="1" t="str">
        <x:f>IF(H1461=0,IF(G1461&gt;0,"Нет остатка","Нет спроса"),IF(I1461&gt;='Дашборд'!$C$52,"Быстрый","Медленный"))</x:f>
        <x:v>Быстрый</x:v>
      </x:c>
      <x:c r="M1461" s="1" t="str">
        <x:f>IF('Данные'!E1461&lt;'Дашборд'!$C$53,"Мало трафика",IF(J1461&lt;'Дашборд'!$C$9*'Дашборд'!$C$54,"Да","Нет"))</x:f>
        <x:v>Мало трафика</x:v>
      </x:c>
      <x:c r="N1461" s="1" t="str">
        <x:f>IF(AND('Данные'!D1461&gt;='Дашборд'!$C$55,D1461&lt;'Дашборд'!$C$56,'Данные'!E1461&gt;='Дашборд'!$C$53,'Данные'!L1461&lt;&gt;"Да"),"Да","Нет")</x:f>
        <x:v>Нет</x:v>
      </x:c>
      <x:c r="O1461" s="1" t="str">
        <x:f>'Данные'!L1461</x:f>
        <x:v>Нет</x:v>
      </x:c>
    </x:row>
    <x:row r="1462">
      <x:c r="A1462" s="1" t="str">
        <x:f>'Данные'!A1462</x:f>
        <x:v>183793829</x:v>
      </x:c>
      <x:c r="B1462" s="1" t="str">
        <x:f>'Данные'!B1462</x:f>
        <x:v>hudiprint/TDG-3/розовый</x:v>
      </x:c>
      <x:c r="C1462" s="8" t="n">
        <x:f>'Данные'!G1462</x:f>
        <x:v>9600</x:v>
      </x:c>
      <x:c r="D1462" s="15" t="n">
        <x:f>C1462/SUM($C$5:$C$2477)</x:f>
        <x:v>0.000011214946838155494</x:v>
      </x:c>
      <x:c r="E1462" s="15" t="n">
        <x:f>SUM($D$5:D1462)</x:f>
        <x:v>0.9991625986111766</x:v>
      </x:c>
      <x:c r="F1462" s="1" t="str">
        <x:f>IF(C1462&lt;=0,"C",IF(E1462-D1462&lt;'Дашборд'!$C$49,"A",IF(E1462-D1462&lt;'Дашборд'!$C$50,"B","C")))</x:f>
        <x:v>C</x:v>
      </x:c>
      <x:c r="G1462" s="8" t="n">
        <x:f>'Данные'!F1462</x:f>
        <x:v>9</x:v>
      </x:c>
      <x:c r="H1462" s="8" t="n">
        <x:f>SUM('Данные'!H1462:I1462)</x:f>
        <x:v>0</x:v>
      </x:c>
      <x:c r="I1462" s="16" t="str">
        <x:f>IF(H1462&gt;0,G1462/H1462,"n.a.")</x:f>
        <x:v>n.a.</x:v>
      </x:c>
      <x:c r="J1462" s="10" t="n">
        <x:f>IF('Данные'!E1462&gt;0,G1462/'Данные'!E1462,"n.a.")</x:f>
        <x:v>0.007431874483897605</x:v>
      </x:c>
      <x:c r="K1462" s="1" t="str">
        <x:f>IF(G1462&gt;='Дашборд'!$C$51,"X","Z")</x:f>
        <x:v>Z</x:v>
      </x:c>
      <x:c r="L1462" s="1" t="str">
        <x:f>IF(H1462=0,IF(G1462&gt;0,"Нет остатка","Нет спроса"),IF(I1462&gt;='Дашборд'!$C$52,"Быстрый","Медленный"))</x:f>
        <x:v>Нет остатка</x:v>
      </x:c>
      <x:c r="M1462" s="1" t="str">
        <x:f>IF('Данные'!E1462&lt;'Дашборд'!$C$53,"Мало трафика",IF(J1462&lt;'Дашборд'!$C$9*'Дашборд'!$C$54,"Да","Нет"))</x:f>
        <x:v>Да</x:v>
      </x:c>
      <x:c r="N1462" s="1" t="str">
        <x:f>IF(AND('Данные'!D1462&gt;='Дашборд'!$C$55,D1462&lt;'Дашборд'!$C$56,'Данные'!E1462&gt;='Дашборд'!$C$53,'Данные'!L1462&lt;&gt;"Да"),"Да","Нет")</x:f>
        <x:v>Нет</x:v>
      </x:c>
      <x:c r="O1462" s="1" t="str">
        <x:f>'Данные'!L1462</x:f>
        <x:v>Нет</x:v>
      </x:c>
    </x:row>
    <x:row r="1463">
      <x:c r="A1463" s="1" t="str">
        <x:f>'Данные'!A1463</x:f>
        <x:v>240808493</x:v>
      </x:c>
      <x:c r="B1463" s="1" t="str">
        <x:f>'Данные'!B1463</x:f>
        <x:v>brukigirl/темно-синий</x:v>
      </x:c>
      <x:c r="C1463" s="8" t="n">
        <x:f>'Данные'!G1463</x:f>
        <x:v>9456</x:v>
      </x:c>
      <x:c r="D1463" s="15" t="n">
        <x:f>C1463/SUM($C$5:$C$2477)</x:f>
        <x:v>0.000011046722635583162</x:v>
      </x:c>
      <x:c r="E1463" s="15" t="n">
        <x:f>SUM($D$5:D1463)</x:f>
        <x:v>0.9991736453338123</x:v>
      </x:c>
      <x:c r="F1463" s="1" t="str">
        <x:f>IF(C1463&lt;=0,"C",IF(E1463-D1463&lt;'Дашборд'!$C$49,"A",IF(E1463-D1463&lt;'Дашборд'!$C$50,"B","C")))</x:f>
        <x:v>C</x:v>
      </x:c>
      <x:c r="G1463" s="8" t="n">
        <x:f>'Данные'!F1463</x:f>
        <x:v>19</x:v>
      </x:c>
      <x:c r="H1463" s="8" t="n">
        <x:f>SUM('Данные'!H1463:I1463)</x:f>
        <x:v>47</x:v>
      </x:c>
      <x:c r="I1463" s="16" t="n">
        <x:f>IF(H1463&gt;0,G1463/H1463,"n.a.")</x:f>
        <x:v>0.40425531914893614</x:v>
      </x:c>
      <x:c r="J1463" s="10" t="n">
        <x:f>IF('Данные'!E1463&gt;0,G1463/'Данные'!E1463,"n.a.")</x:f>
        <x:v>0.004465334900117509</x:v>
      </x:c>
      <x:c r="K1463" s="1" t="str">
        <x:f>IF(G1463&gt;='Дашборд'!$C$51,"X","Z")</x:f>
        <x:v>Z</x:v>
      </x:c>
      <x:c r="L1463" s="1" t="str">
        <x:f>IF(H1463=0,IF(G1463&gt;0,"Нет остатка","Нет спроса"),IF(I1463&gt;='Дашборд'!$C$52,"Быстрый","Медленный"))</x:f>
        <x:v>Медленный</x:v>
      </x:c>
      <x:c r="M1463" s="1" t="str">
        <x:f>IF('Данные'!E1463&lt;'Дашборд'!$C$53,"Мало трафика",IF(J1463&lt;'Дашборд'!$C$9*'Дашборд'!$C$54,"Да","Нет"))</x:f>
        <x:v>Да</x:v>
      </x:c>
      <x:c r="N1463" s="1" t="str">
        <x:f>IF(AND('Данные'!D1463&gt;='Дашборд'!$C$55,D1463&lt;'Дашборд'!$C$56,'Данные'!E1463&gt;='Дашборд'!$C$53,'Данные'!L1463&lt;&gt;"Да"),"Да","Нет")</x:f>
        <x:v>Нет</x:v>
      </x:c>
      <x:c r="O1463" s="1" t="str">
        <x:f>'Данные'!L1463</x:f>
        <x:v>Нет</x:v>
      </x:c>
    </x:row>
    <x:row r="1464">
      <x:c r="A1464" s="1" t="str">
        <x:f>'Данные'!A1464</x:f>
        <x:v>357020147</x:v>
      </x:c>
      <x:c r="B1464" s="1" t="str">
        <x:f>'Данные'!B1464</x:f>
        <x:v>bazakulgirl/пыльнаяроза</x:v>
      </x:c>
      <x:c r="C1464" s="8" t="n">
        <x:f>'Данные'!G1464</x:f>
        <x:v>9215</x:v>
      </x:c>
      <x:c r="D1464" s="15" t="n">
        <x:f>C1464/SUM($C$5:$C$2477)</x:f>
        <x:v>0.0000107651807410003</x:v>
      </x:c>
      <x:c r="E1464" s="15" t="n">
        <x:f>SUM($D$5:D1464)</x:f>
        <x:v>0.9991844105145532</x:v>
      </x:c>
      <x:c r="F1464" s="1" t="str">
        <x:f>IF(C1464&lt;=0,"C",IF(E1464-D1464&lt;'Дашборд'!$C$49,"A",IF(E1464-D1464&lt;'Дашборд'!$C$50,"B","C")))</x:f>
        <x:v>C</x:v>
      </x:c>
      <x:c r="G1464" s="8" t="n">
        <x:f>'Данные'!F1464</x:f>
        <x:v>23</x:v>
      </x:c>
      <x:c r="H1464" s="8" t="n">
        <x:f>SUM('Данные'!H1464:I1464)</x:f>
        <x:v>177</x:v>
      </x:c>
      <x:c r="I1464" s="16" t="n">
        <x:f>IF(H1464&gt;0,G1464/H1464,"n.a.")</x:f>
        <x:v>0.12994350282485875</x:v>
      </x:c>
      <x:c r="J1464" s="10" t="n">
        <x:f>IF('Данные'!E1464&gt;0,G1464/'Данные'!E1464,"n.a.")</x:f>
        <x:v>0.01143141153081511</x:v>
      </x:c>
      <x:c r="K1464" s="1" t="str">
        <x:f>IF(G1464&gt;='Дашборд'!$C$51,"X","Z")</x:f>
        <x:v>Z</x:v>
      </x:c>
      <x:c r="L1464" s="1" t="str">
        <x:f>IF(H1464=0,IF(G1464&gt;0,"Нет остатка","Нет спроса"),IF(I1464&gt;='Дашборд'!$C$52,"Быстрый","Медленный"))</x:f>
        <x:v>Медленный</x:v>
      </x:c>
      <x:c r="M1464" s="1" t="str">
        <x:f>IF('Данные'!E1464&lt;'Дашборд'!$C$53,"Мало трафика",IF(J1464&lt;'Дашборд'!$C$9*'Дашборд'!$C$54,"Да","Нет"))</x:f>
        <x:v>Нет</x:v>
      </x:c>
      <x:c r="N1464" s="1" t="str">
        <x:f>IF(AND('Данные'!D1464&gt;='Дашборд'!$C$55,D1464&lt;'Дашборд'!$C$56,'Данные'!E1464&gt;='Дашборд'!$C$53,'Данные'!L1464&lt;&gt;"Да"),"Да","Нет")</x:f>
        <x:v>Да</x:v>
      </x:c>
      <x:c r="O1464" s="1" t="str">
        <x:f>'Данные'!L1464</x:f>
        <x:v>Нет</x:v>
      </x:c>
    </x:row>
    <x:row r="1465">
      <x:c r="A1465" s="1" t="str">
        <x:f>'Данные'!A1465</x:f>
        <x:v>335327574</x:v>
      </x:c>
      <x:c r="B1465" s="1" t="str">
        <x:f>'Данные'!B1465</x:f>
        <x:v>bazakulgirl/дымка</x:v>
      </x:c>
      <x:c r="C1465" s="8" t="n">
        <x:f>'Данные'!G1465</x:f>
        <x:v>9157</x:v>
      </x:c>
      <x:c r="D1465" s="15" t="n">
        <x:f>C1465/SUM($C$5:$C$2477)</x:f>
        <x:v>0.000010697423770519777</x:v>
      </x:c>
      <x:c r="E1465" s="15" t="n">
        <x:f>SUM($D$5:D1465)</x:f>
        <x:v>0.9991951079383237</x:v>
      </x:c>
      <x:c r="F1465" s="1" t="str">
        <x:f>IF(C1465&lt;=0,"C",IF(E1465-D1465&lt;'Дашборд'!$C$49,"A",IF(E1465-D1465&lt;'Дашборд'!$C$50,"B","C")))</x:f>
        <x:v>C</x:v>
      </x:c>
      <x:c r="G1465" s="8" t="n">
        <x:f>'Данные'!F1465</x:f>
        <x:v>26</x:v>
      </x:c>
      <x:c r="H1465" s="8" t="n">
        <x:f>SUM('Данные'!H1465:I1465)</x:f>
        <x:v>1349</x:v>
      </x:c>
      <x:c r="I1465" s="16" t="n">
        <x:f>IF(H1465&gt;0,G1465/H1465,"n.a.")</x:f>
        <x:v>0.01927353595255745</x:v>
      </x:c>
      <x:c r="J1465" s="10" t="n">
        <x:f>IF('Данные'!E1465&gt;0,G1465/'Данные'!E1465,"n.a.")</x:f>
        <x:v>0.014404432132963989</x:v>
      </x:c>
      <x:c r="K1465" s="1" t="str">
        <x:f>IF(G1465&gt;='Дашборд'!$C$51,"X","Z")</x:f>
        <x:v>Z</x:v>
      </x:c>
      <x:c r="L1465" s="1" t="str">
        <x:f>IF(H1465=0,IF(G1465&gt;0,"Нет остатка","Нет спроса"),IF(I1465&gt;='Дашборд'!$C$52,"Быстрый","Медленный"))</x:f>
        <x:v>Медленный</x:v>
      </x:c>
      <x:c r="M1465" s="1" t="str">
        <x:f>IF('Данные'!E1465&lt;'Дашборд'!$C$53,"Мало трафика",IF(J1465&lt;'Дашборд'!$C$9*'Дашборд'!$C$54,"Да","Нет"))</x:f>
        <x:v>Нет</x:v>
      </x:c>
      <x:c r="N1465" s="1" t="str">
        <x:f>IF(AND('Данные'!D1465&gt;='Дашборд'!$C$55,D1465&lt;'Дашборд'!$C$56,'Данные'!E1465&gt;='Дашборд'!$C$53,'Данные'!L1465&lt;&gt;"Да"),"Да","Нет")</x:f>
        <x:v>Да</x:v>
      </x:c>
      <x:c r="O1465" s="1" t="str">
        <x:f>'Данные'!L1465</x:f>
        <x:v>Нет</x:v>
      </x:c>
    </x:row>
    <x:row r="1466">
      <x:c r="A1466" s="1" t="str">
        <x:f>'Данные'!A1466</x:f>
        <x:v>195712685</x:v>
      </x:c>
      <x:c r="B1466" s="1" t="str">
        <x:f>'Данные'!B1466</x:f>
        <x:v>sweater/темно-серый</x:v>
      </x:c>
      <x:c r="C1466" s="8" t="n">
        <x:f>'Данные'!G1466</x:f>
        <x:v>8927</x:v>
      </x:c>
      <x:c r="D1466" s="15" t="n">
        <x:f>C1466/SUM($C$5:$C$2477)</x:f>
        <x:v>0.000010428732335855634</x:v>
      </x:c>
      <x:c r="E1466" s="15" t="n">
        <x:f>SUM($D$5:D1466)</x:f>
        <x:v>0.9992055366706595</x:v>
      </x:c>
      <x:c r="F1466" s="1" t="str">
        <x:f>IF(C1466&lt;=0,"C",IF(E1466-D1466&lt;'Дашборд'!$C$49,"A",IF(E1466-D1466&lt;'Дашборд'!$C$50,"B","C")))</x:f>
        <x:v>C</x:v>
      </x:c>
      <x:c r="G1466" s="8" t="n">
        <x:f>'Данные'!F1466</x:f>
        <x:v>10</x:v>
      </x:c>
      <x:c r="H1466" s="8" t="n">
        <x:f>SUM('Данные'!H1466:I1466)</x:f>
        <x:v>101</x:v>
      </x:c>
      <x:c r="I1466" s="16" t="n">
        <x:f>IF(H1466&gt;0,G1466/H1466,"n.a.")</x:f>
        <x:v>0.09900990099009901</x:v>
      </x:c>
      <x:c r="J1466" s="10" t="n">
        <x:f>IF('Данные'!E1466&gt;0,G1466/'Данные'!E1466,"n.a.")</x:f>
        <x:v>0.004338394793926247</x:v>
      </x:c>
      <x:c r="K1466" s="1" t="str">
        <x:f>IF(G1466&gt;='Дашборд'!$C$51,"X","Z")</x:f>
        <x:v>Z</x:v>
      </x:c>
      <x:c r="L1466" s="1" t="str">
        <x:f>IF(H1466=0,IF(G1466&gt;0,"Нет остатка","Нет спроса"),IF(I1466&gt;='Дашборд'!$C$52,"Быстрый","Медленный"))</x:f>
        <x:v>Медленный</x:v>
      </x:c>
      <x:c r="M1466" s="1" t="str">
        <x:f>IF('Данные'!E1466&lt;'Дашборд'!$C$53,"Мало трафика",IF(J1466&lt;'Дашборд'!$C$9*'Дашборд'!$C$54,"Да","Нет"))</x:f>
        <x:v>Да</x:v>
      </x:c>
      <x:c r="N1466" s="1" t="str">
        <x:f>IF(AND('Данные'!D1466&gt;='Дашборд'!$C$55,D1466&lt;'Дашборд'!$C$56,'Данные'!E1466&gt;='Дашборд'!$C$53,'Данные'!L1466&lt;&gt;"Да"),"Да","Нет")</x:f>
        <x:v>Да</x:v>
      </x:c>
      <x:c r="O1466" s="1" t="str">
        <x:f>'Данные'!L1466</x:f>
        <x:v>Нет</x:v>
      </x:c>
    </x:row>
    <x:row r="1467">
      <x:c r="A1467" s="1" t="str">
        <x:f>'Данные'!A1467</x:f>
        <x:v>235997590</x:v>
      </x:c>
      <x:c r="B1467" s="1" t="str">
        <x:f>'Данные'!B1467</x:f>
        <x:v>bazagirl/серый</x:v>
      </x:c>
      <x:c r="C1467" s="8" t="n">
        <x:f>'Данные'!G1467</x:f>
        <x:v>8823</x:v>
      </x:c>
      <x:c r="D1467" s="15" t="n">
        <x:f>C1467/SUM($C$5:$C$2477)</x:f>
        <x:v>0.000010307237078442283</x:v>
      </x:c>
      <x:c r="E1467" s="15" t="n">
        <x:f>SUM($D$5:D1467)</x:f>
        <x:v>0.9992158439077379</x:v>
      </x:c>
      <x:c r="F1467" s="1" t="str">
        <x:f>IF(C1467&lt;=0,"C",IF(E1467-D1467&lt;'Дашборд'!$C$49,"A",IF(E1467-D1467&lt;'Дашборд'!$C$50,"B","C")))</x:f>
        <x:v>C</x:v>
      </x:c>
      <x:c r="G1467" s="8" t="n">
        <x:f>'Данные'!F1467</x:f>
        <x:v>27</x:v>
      </x:c>
      <x:c r="H1467" s="8" t="n">
        <x:f>SUM('Данные'!H1467:I1467)</x:f>
        <x:v>13</x:v>
      </x:c>
      <x:c r="I1467" s="16" t="n">
        <x:f>IF(H1467&gt;0,G1467/H1467,"n.a.")</x:f>
        <x:v>2.076923076923077</x:v>
      </x:c>
      <x:c r="J1467" s="10" t="n">
        <x:f>IF('Данные'!E1467&gt;0,G1467/'Данные'!E1467,"n.a.")</x:f>
        <x:v>0.015526164462334674</x:v>
      </x:c>
      <x:c r="K1467" s="1" t="str">
        <x:f>IF(G1467&gt;='Дашборд'!$C$51,"X","Z")</x:f>
        <x:v>Z</x:v>
      </x:c>
      <x:c r="L1467" s="1" t="str">
        <x:f>IF(H1467=0,IF(G1467&gt;0,"Нет остатка","Нет спроса"),IF(I1467&gt;='Дашборд'!$C$52,"Быстрый","Медленный"))</x:f>
        <x:v>Быстрый</x:v>
      </x:c>
      <x:c r="M1467" s="1" t="str">
        <x:f>IF('Данные'!E1467&lt;'Дашборд'!$C$53,"Мало трафика",IF(J1467&lt;'Дашборд'!$C$9*'Дашборд'!$C$54,"Да","Нет"))</x:f>
        <x:v>Нет</x:v>
      </x:c>
      <x:c r="N1467" s="1" t="str">
        <x:f>IF(AND('Данные'!D1467&gt;='Дашборд'!$C$55,D1467&lt;'Дашборд'!$C$56,'Данные'!E1467&gt;='Дашборд'!$C$53,'Данные'!L1467&lt;&gt;"Да"),"Да","Нет")</x:f>
        <x:v>Да</x:v>
      </x:c>
      <x:c r="O1467" s="1" t="str">
        <x:f>'Данные'!L1467</x:f>
        <x:v>Нет</x:v>
      </x:c>
    </x:row>
    <x:row r="1468">
      <x:c r="A1468" s="1" t="str">
        <x:f>'Данные'!A1468</x:f>
        <x:v>216665880</x:v>
      </x:c>
      <x:c r="B1468" s="1" t="str">
        <x:f>'Данные'!B1468</x:f>
        <x:v>2Nfutbolkaman/молочный</x:v>
      </x:c>
      <x:c r="C1468" s="8" t="n">
        <x:f>'Данные'!G1468</x:f>
        <x:v>8783</x:v>
      </x:c>
      <x:c r="D1468" s="15" t="n">
        <x:f>C1468/SUM($C$5:$C$2477)</x:f>
        <x:v>0.000010260508133283302</x:v>
      </x:c>
      <x:c r="E1468" s="15" t="n">
        <x:f>SUM($D$5:D1468)</x:f>
        <x:v>0.9992261044158711</x:v>
      </x:c>
      <x:c r="F1468" s="1" t="str">
        <x:f>IF(C1468&lt;=0,"C",IF(E1468-D1468&lt;'Дашборд'!$C$49,"A",IF(E1468-D1468&lt;'Дашборд'!$C$50,"B","C")))</x:f>
        <x:v>C</x:v>
      </x:c>
      <x:c r="G1468" s="8" t="n">
        <x:f>'Данные'!F1468</x:f>
        <x:v>13</x:v>
      </x:c>
      <x:c r="H1468" s="8" t="n">
        <x:f>SUM('Данные'!H1468:I1468)</x:f>
        <x:v>0</x:v>
      </x:c>
      <x:c r="I1468" s="16" t="str">
        <x:f>IF(H1468&gt;0,G1468/H1468,"n.a.")</x:f>
        <x:v>n.a.</x:v>
      </x:c>
      <x:c r="J1468" s="10" t="n">
        <x:f>IF('Данные'!E1468&gt;0,G1468/'Данные'!E1468,"n.a.")</x:f>
        <x:v>0.003648610721302273</x:v>
      </x:c>
      <x:c r="K1468" s="1" t="str">
        <x:f>IF(G1468&gt;='Дашборд'!$C$51,"X","Z")</x:f>
        <x:v>Z</x:v>
      </x:c>
      <x:c r="L1468" s="1" t="str">
        <x:f>IF(H1468=0,IF(G1468&gt;0,"Нет остатка","Нет спроса"),IF(I1468&gt;='Дашборд'!$C$52,"Быстрый","Медленный"))</x:f>
        <x:v>Нет остатка</x:v>
      </x:c>
      <x:c r="M1468" s="1" t="str">
        <x:f>IF('Данные'!E1468&lt;'Дашборд'!$C$53,"Мало трафика",IF(J1468&lt;'Дашборд'!$C$9*'Дашборд'!$C$54,"Да","Нет"))</x:f>
        <x:v>Да</x:v>
      </x:c>
      <x:c r="N1468" s="1" t="str">
        <x:f>IF(AND('Данные'!D1468&gt;='Дашборд'!$C$55,D1468&lt;'Дашборд'!$C$56,'Данные'!E1468&gt;='Дашборд'!$C$53,'Данные'!L1468&lt;&gt;"Да"),"Да","Нет")</x:f>
        <x:v>Нет</x:v>
      </x:c>
      <x:c r="O1468" s="1" t="str">
        <x:f>'Данные'!L1468</x:f>
        <x:v>Нет</x:v>
      </x:c>
    </x:row>
    <x:row r="1469">
      <x:c r="A1469" s="1" t="str">
        <x:f>'Данные'!A1469</x:f>
        <x:v>158080261</x:v>
      </x:c>
      <x:c r="B1469" s="1" t="str">
        <x:f>'Данные'!B1469</x:f>
        <x:v>bruki/салатовый</x:v>
      </x:c>
      <x:c r="C1469" s="8" t="n">
        <x:f>'Данные'!G1469</x:f>
        <x:v>8508</x:v>
      </x:c>
      <x:c r="D1469" s="15" t="n">
        <x:f>C1469/SUM($C$5:$C$2477)</x:f>
        <x:v>0.000009939246635315306</x:v>
      </x:c>
      <x:c r="E1469" s="15" t="n">
        <x:f>SUM($D$5:D1469)</x:f>
        <x:v>0.9992360436625064</x:v>
      </x:c>
      <x:c r="F1469" s="1" t="str">
        <x:f>IF(C1469&lt;=0,"C",IF(E1469-D1469&lt;'Дашборд'!$C$49,"A",IF(E1469-D1469&lt;'Дашборд'!$C$50,"B","C")))</x:f>
        <x:v>C</x:v>
      </x:c>
      <x:c r="G1469" s="8" t="n">
        <x:f>'Данные'!F1469</x:f>
        <x:v>8</x:v>
      </x:c>
      <x:c r="H1469" s="8" t="n">
        <x:f>SUM('Данные'!H1469:I1469)</x:f>
        <x:v>4</x:v>
      </x:c>
      <x:c r="I1469" s="16" t="n">
        <x:f>IF(H1469&gt;0,G1469/H1469,"n.a.")</x:f>
        <x:v>2</x:v>
      </x:c>
      <x:c r="J1469" s="10" t="n">
        <x:f>IF('Данные'!E1469&gt;0,G1469/'Данные'!E1469,"n.a.")</x:f>
        <x:v>0.0026101141924959217</x:v>
      </x:c>
      <x:c r="K1469" s="1" t="str">
        <x:f>IF(G1469&gt;='Дашборд'!$C$51,"X","Z")</x:f>
        <x:v>Z</x:v>
      </x:c>
      <x:c r="L1469" s="1" t="str">
        <x:f>IF(H1469=0,IF(G1469&gt;0,"Нет остатка","Нет спроса"),IF(I1469&gt;='Дашборд'!$C$52,"Быстрый","Медленный"))</x:f>
        <x:v>Быстрый</x:v>
      </x:c>
      <x:c r="M1469" s="1" t="str">
        <x:f>IF('Данные'!E1469&lt;'Дашборд'!$C$53,"Мало трафика",IF(J1469&lt;'Дашборд'!$C$9*'Дашборд'!$C$54,"Да","Нет"))</x:f>
        <x:v>Да</x:v>
      </x:c>
      <x:c r="N1469" s="1" t="str">
        <x:f>IF(AND('Данные'!D1469&gt;='Дашборд'!$C$55,D1469&lt;'Дашборд'!$C$56,'Данные'!E1469&gt;='Дашборд'!$C$53,'Данные'!L1469&lt;&gt;"Да"),"Да","Нет")</x:f>
        <x:v>Да</x:v>
      </x:c>
      <x:c r="O1469" s="1" t="str">
        <x:f>'Данные'!L1469</x:f>
        <x:v>Нет</x:v>
      </x:c>
    </x:row>
    <x:row r="1470">
      <x:c r="A1470" s="1" t="str">
        <x:f>'Данные'!A1470</x:f>
        <x:v>209127955</x:v>
      </x:c>
      <x:c r="B1470" s="1" t="str">
        <x:f>'Данные'!B1470</x:f>
        <x:v>futbolkaover2/черный</x:v>
      </x:c>
      <x:c r="C1470" s="8" t="n">
        <x:f>'Данные'!G1470</x:f>
        <x:v>8383</x:v>
      </x:c>
      <x:c r="D1470" s="15" t="n">
        <x:f>C1470/SUM($C$5:$C$2477)</x:f>
        <x:v>0.00000979321868169349</x:v>
      </x:c>
      <x:c r="E1470" s="15" t="n">
        <x:f>SUM($D$5:D1470)</x:f>
        <x:v>0.9992458368811881</x:v>
      </x:c>
      <x:c r="F1470" s="1" t="str">
        <x:f>IF(C1470&lt;=0,"C",IF(E1470-D1470&lt;'Дашборд'!$C$49,"A",IF(E1470-D1470&lt;'Дашборд'!$C$50,"B","C")))</x:f>
        <x:v>C</x:v>
      </x:c>
      <x:c r="G1470" s="8" t="n">
        <x:f>'Данные'!F1470</x:f>
        <x:v>14</x:v>
      </x:c>
      <x:c r="H1470" s="8" t="n">
        <x:f>SUM('Данные'!H1470:I1470)</x:f>
        <x:v>3</x:v>
      </x:c>
      <x:c r="I1470" s="16" t="n">
        <x:f>IF(H1470&gt;0,G1470/H1470,"n.a.")</x:f>
        <x:v>4.666666666666667</x:v>
      </x:c>
      <x:c r="J1470" s="10" t="n">
        <x:f>IF('Данные'!E1470&gt;0,G1470/'Данные'!E1470,"n.a.")</x:f>
        <x:v>0.0025945144551519643</x:v>
      </x:c>
      <x:c r="K1470" s="1" t="str">
        <x:f>IF(G1470&gt;='Дашборд'!$C$51,"X","Z")</x:f>
        <x:v>Z</x:v>
      </x:c>
      <x:c r="L1470" s="1" t="str">
        <x:f>IF(H1470=0,IF(G1470&gt;0,"Нет остатка","Нет спроса"),IF(I1470&gt;='Дашборд'!$C$52,"Быстрый","Медленный"))</x:f>
        <x:v>Быстрый</x:v>
      </x:c>
      <x:c r="M1470" s="1" t="str">
        <x:f>IF('Данные'!E1470&lt;'Дашборд'!$C$53,"Мало трафика",IF(J1470&lt;'Дашборд'!$C$9*'Дашборд'!$C$54,"Да","Нет"))</x:f>
        <x:v>Да</x:v>
      </x:c>
      <x:c r="N1470" s="1" t="str">
        <x:f>IF(AND('Данные'!D1470&gt;='Дашборд'!$C$55,D1470&lt;'Дашборд'!$C$56,'Данные'!E1470&gt;='Дашборд'!$C$53,'Данные'!L1470&lt;&gt;"Да"),"Да","Нет")</x:f>
        <x:v>Да</x:v>
      </x:c>
      <x:c r="O1470" s="1" t="str">
        <x:f>'Данные'!L1470</x:f>
        <x:v>Нет</x:v>
      </x:c>
    </x:row>
    <x:row r="1471">
      <x:c r="A1471" s="1" t="str">
        <x:f>'Данные'!A1471</x:f>
        <x:v>179951229</x:v>
      </x:c>
      <x:c r="B1471" s="1" t="str">
        <x:f>'Данные'!B1471</x:f>
        <x:v>palazzo/фуксия</x:v>
      </x:c>
      <x:c r="C1471" s="8" t="n">
        <x:f>'Данные'!G1471</x:f>
        <x:v>8200</x:v>
      </x:c>
      <x:c r="D1471" s="15" t="n">
        <x:f>C1471/SUM($C$5:$C$2477)</x:f>
        <x:v>0.00000957943375759115</x:v>
      </x:c>
      <x:c r="E1471" s="15" t="n">
        <x:f>SUM($D$5:D1471)</x:f>
        <x:v>0.9992554163149456</x:v>
      </x:c>
      <x:c r="F1471" s="1" t="str">
        <x:f>IF(C1471&lt;=0,"C",IF(E1471-D1471&lt;'Дашборд'!$C$49,"A",IF(E1471-D1471&lt;'Дашборд'!$C$50,"B","C")))</x:f>
        <x:v>C</x:v>
      </x:c>
      <x:c r="G1471" s="8" t="n">
        <x:f>'Данные'!F1471</x:f>
        <x:v>11</x:v>
      </x:c>
      <x:c r="H1471" s="8" t="n">
        <x:f>SUM('Данные'!H1471:I1471)</x:f>
        <x:v>0</x:v>
      </x:c>
      <x:c r="I1471" s="16" t="str">
        <x:f>IF(H1471&gt;0,G1471/H1471,"n.a.")</x:f>
        <x:v>n.a.</x:v>
      </x:c>
      <x:c r="J1471" s="10" t="n">
        <x:f>IF('Данные'!E1471&gt;0,G1471/'Данные'!E1471,"n.a.")</x:f>
        <x:v>0.011530398322851153</x:v>
      </x:c>
      <x:c r="K1471" s="1" t="str">
        <x:f>IF(G1471&gt;='Дашборд'!$C$51,"X","Z")</x:f>
        <x:v>Z</x:v>
      </x:c>
      <x:c r="L1471" s="1" t="str">
        <x:f>IF(H1471=0,IF(G1471&gt;0,"Нет остатка","Нет спроса"),IF(I1471&gt;='Дашборд'!$C$52,"Быстрый","Медленный"))</x:f>
        <x:v>Нет остатка</x:v>
      </x:c>
      <x:c r="M1471" s="1" t="str">
        <x:f>IF('Данные'!E1471&lt;'Дашборд'!$C$53,"Мало трафика",IF(J1471&lt;'Дашборд'!$C$9*'Дашборд'!$C$54,"Да","Нет"))</x:f>
        <x:v>Мало трафика</x:v>
      </x:c>
      <x:c r="N1471" s="1" t="str">
        <x:f>IF(AND('Данные'!D1471&gt;='Дашборд'!$C$55,D1471&lt;'Дашборд'!$C$56,'Данные'!E1471&gt;='Дашборд'!$C$53,'Данные'!L1471&lt;&gt;"Да"),"Да","Нет")</x:f>
        <x:v>Нет</x:v>
      </x:c>
      <x:c r="O1471" s="1" t="str">
        <x:f>'Данные'!L1471</x:f>
        <x:v>Нет</x:v>
      </x:c>
    </x:row>
    <x:row r="1472">
      <x:c r="A1472" s="1" t="str">
        <x:f>'Данные'!A1472</x:f>
        <x:v>357022582</x:v>
      </x:c>
      <x:c r="B1472" s="1" t="str">
        <x:f>'Данные'!B1472</x:f>
        <x:v>bazakulgirl/бежевый</x:v>
      </x:c>
      <x:c r="C1472" s="8" t="n">
        <x:f>'Данные'!G1472</x:f>
        <x:v>8141</x:v>
      </x:c>
      <x:c r="D1472" s="15" t="n">
        <x:f>C1472/SUM($C$5:$C$2477)</x:f>
        <x:v>0.000009510508563481653</x:v>
      </x:c>
      <x:c r="E1472" s="15" t="n">
        <x:f>SUM($D$5:D1472)</x:f>
        <x:v>0.9992649268235091</x:v>
      </x:c>
      <x:c r="F1472" s="1" t="str">
        <x:f>IF(C1472&lt;=0,"C",IF(E1472-D1472&lt;'Дашборд'!$C$49,"A",IF(E1472-D1472&lt;'Дашборд'!$C$50,"B","C")))</x:f>
        <x:v>C</x:v>
      </x:c>
      <x:c r="G1472" s="8" t="n">
        <x:f>'Данные'!F1472</x:f>
        <x:v>22</x:v>
      </x:c>
      <x:c r="H1472" s="8" t="n">
        <x:f>SUM('Данные'!H1472:I1472)</x:f>
        <x:v>18</x:v>
      </x:c>
      <x:c r="I1472" s="16" t="n">
        <x:f>IF(H1472&gt;0,G1472/H1472,"n.a.")</x:f>
        <x:v>1.2222222222222223</x:v>
      </x:c>
      <x:c r="J1472" s="10" t="n">
        <x:f>IF('Данные'!E1472&gt;0,G1472/'Данные'!E1472,"n.a.")</x:f>
        <x:v>0.01371571072319202</x:v>
      </x:c>
      <x:c r="K1472" s="1" t="str">
        <x:f>IF(G1472&gt;='Дашборд'!$C$51,"X","Z")</x:f>
        <x:v>Z</x:v>
      </x:c>
      <x:c r="L1472" s="1" t="str">
        <x:f>IF(H1472=0,IF(G1472&gt;0,"Нет остатка","Нет спроса"),IF(I1472&gt;='Дашборд'!$C$52,"Быстрый","Медленный"))</x:f>
        <x:v>Быстрый</x:v>
      </x:c>
      <x:c r="M1472" s="1" t="str">
        <x:f>IF('Данные'!E1472&lt;'Дашборд'!$C$53,"Мало трафика",IF(J1472&lt;'Дашборд'!$C$9*'Дашборд'!$C$54,"Да","Нет"))</x:f>
        <x:v>Нет</x:v>
      </x:c>
      <x:c r="N1472" s="1" t="str">
        <x:f>IF(AND('Данные'!D1472&gt;='Дашборд'!$C$55,D1472&lt;'Дашборд'!$C$56,'Данные'!E1472&gt;='Дашборд'!$C$53,'Данные'!L1472&lt;&gt;"Да"),"Да","Нет")</x:f>
        <x:v>Да</x:v>
      </x:c>
      <x:c r="O1472" s="1" t="str">
        <x:f>'Данные'!L1472</x:f>
        <x:v>Нет</x:v>
      </x:c>
    </x:row>
    <x:row r="1473">
      <x:c r="A1473" s="1" t="str">
        <x:f>'Данные'!A1473</x:f>
        <x:v>256312562</x:v>
      </x:c>
      <x:c r="B1473" s="1" t="str">
        <x:f>'Данные'!B1473</x:f>
        <x:v>bazahlop/черный</x:v>
      </x:c>
      <x:c r="C1473" s="8" t="n">
        <x:f>'Данные'!G1473</x:f>
        <x:v>8118</x:v>
      </x:c>
      <x:c r="D1473" s="15" t="n">
        <x:f>C1473/SUM($C$5:$C$2477)</x:f>
        <x:v>0.00000948363942001524</x:v>
      </x:c>
      <x:c r="E1473" s="15" t="n">
        <x:f>SUM($D$5:D1473)</x:f>
        <x:v>0.9992744104629291</x:v>
      </x:c>
      <x:c r="F1473" s="1" t="str">
        <x:f>IF(C1473&lt;=0,"C",IF(E1473-D1473&lt;'Дашборд'!$C$49,"A",IF(E1473-D1473&lt;'Дашборд'!$C$50,"B","C")))</x:f>
        <x:v>C</x:v>
      </x:c>
      <x:c r="G1473" s="8" t="n">
        <x:f>'Данные'!F1473</x:f>
        <x:v>23</x:v>
      </x:c>
      <x:c r="H1473" s="8" t="n">
        <x:f>SUM('Данные'!H1473:I1473)</x:f>
        <x:v>47</x:v>
      </x:c>
      <x:c r="I1473" s="16" t="n">
        <x:f>IF(H1473&gt;0,G1473/H1473,"n.a.")</x:f>
        <x:v>0.48936170212765956</x:v>
      </x:c>
      <x:c r="J1473" s="10" t="n">
        <x:f>IF('Данные'!E1473&gt;0,G1473/'Данные'!E1473,"n.a.")</x:f>
        <x:v>0.0060526315789473685</x:v>
      </x:c>
      <x:c r="K1473" s="1" t="str">
        <x:f>IF(G1473&gt;='Дашборд'!$C$51,"X","Z")</x:f>
        <x:v>Z</x:v>
      </x:c>
      <x:c r="L1473" s="1" t="str">
        <x:f>IF(H1473=0,IF(G1473&gt;0,"Нет остатка","Нет спроса"),IF(I1473&gt;='Дашборд'!$C$52,"Быстрый","Медленный"))</x:f>
        <x:v>Медленный</x:v>
      </x:c>
      <x:c r="M1473" s="1" t="str">
        <x:f>IF('Данные'!E1473&lt;'Дашборд'!$C$53,"Мало трафика",IF(J1473&lt;'Дашборд'!$C$9*'Дашборд'!$C$54,"Да","Нет"))</x:f>
        <x:v>Да</x:v>
      </x:c>
      <x:c r="N1473" s="1" t="str">
        <x:f>IF(AND('Данные'!D1473&gt;='Дашборд'!$C$55,D1473&lt;'Дашборд'!$C$56,'Данные'!E1473&gt;='Дашборд'!$C$53,'Данные'!L1473&lt;&gt;"Да"),"Да","Нет")</x:f>
        <x:v>Нет</x:v>
      </x:c>
      <x:c r="O1473" s="1" t="str">
        <x:f>'Данные'!L1473</x:f>
        <x:v>Нет</x:v>
      </x:c>
    </x:row>
    <x:row r="1474">
      <x:c r="A1474" s="1" t="str">
        <x:f>'Данные'!A1474</x:f>
        <x:v>241482671</x:v>
      </x:c>
      <x:c r="B1474" s="1" t="str">
        <x:f>'Данные'!B1474</x:f>
        <x:v>termolongman/черный</x:v>
      </x:c>
      <x:c r="C1474" s="8" t="n">
        <x:f>'Данные'!G1474</x:f>
        <x:v>7997</x:v>
      </x:c>
      <x:c r="D1474" s="15" t="n">
        <x:f>C1474/SUM($C$5:$C$2477)</x:f>
        <x:v>0.00000934228436090932</x:v>
      </x:c>
      <x:c r="E1474" s="15" t="n">
        <x:f>SUM($D$5:D1474)</x:f>
        <x:v>0.99928375274729</x:v>
      </x:c>
      <x:c r="F1474" s="1" t="str">
        <x:f>IF(C1474&lt;=0,"C",IF(E1474-D1474&lt;'Дашборд'!$C$49,"A",IF(E1474-D1474&lt;'Дашборд'!$C$50,"B","C")))</x:f>
        <x:v>C</x:v>
      </x:c>
      <x:c r="G1474" s="8" t="n">
        <x:f>'Данные'!F1474</x:f>
        <x:v>20</x:v>
      </x:c>
      <x:c r="H1474" s="8" t="n">
        <x:f>SUM('Данные'!H1474:I1474)</x:f>
        <x:v>1503</x:v>
      </x:c>
      <x:c r="I1474" s="16" t="n">
        <x:f>IF(H1474&gt;0,G1474/H1474,"n.a.")</x:f>
        <x:v>0.01330671989354624</x:v>
      </x:c>
      <x:c r="J1474" s="10" t="n">
        <x:f>IF('Данные'!E1474&gt;0,G1474/'Данные'!E1474,"n.a.")</x:f>
        <x:v>0.010615711252653927</x:v>
      </x:c>
      <x:c r="K1474" s="1" t="str">
        <x:f>IF(G1474&gt;='Дашборд'!$C$51,"X","Z")</x:f>
        <x:v>Z</x:v>
      </x:c>
      <x:c r="L1474" s="1" t="str">
        <x:f>IF(H1474=0,IF(G1474&gt;0,"Нет остатка","Нет спроса"),IF(I1474&gt;='Дашборд'!$C$52,"Быстрый","Медленный"))</x:f>
        <x:v>Медленный</x:v>
      </x:c>
      <x:c r="M1474" s="1" t="str">
        <x:f>IF('Данные'!E1474&lt;'Дашборд'!$C$53,"Мало трафика",IF(J1474&lt;'Дашборд'!$C$9*'Дашборд'!$C$54,"Да","Нет"))</x:f>
        <x:v>Нет</x:v>
      </x:c>
      <x:c r="N1474" s="1" t="str">
        <x:f>IF(AND('Данные'!D1474&gt;='Дашборд'!$C$55,D1474&lt;'Дашборд'!$C$56,'Данные'!E1474&gt;='Дашборд'!$C$53,'Данные'!L1474&lt;&gt;"Да"),"Да","Нет")</x:f>
        <x:v>Да</x:v>
      </x:c>
      <x:c r="O1474" s="1" t="str">
        <x:f>'Данные'!L1474</x:f>
        <x:v>Нет</x:v>
      </x:c>
    </x:row>
    <x:row r="1475">
      <x:c r="A1475" s="1" t="str">
        <x:f>'Данные'!A1475</x:f>
        <x:v>167654206</x:v>
      </x:c>
      <x:c r="B1475" s="1" t="str">
        <x:f>'Данные'!B1475</x:f>
        <x:v>futbolka/кофейный</x:v>
      </x:c>
      <x:c r="C1475" s="8" t="n">
        <x:f>'Данные'!G1475</x:f>
        <x:v>7895</x:v>
      </x:c>
      <x:c r="D1475" s="15" t="n">
        <x:f>C1475/SUM($C$5:$C$2477)</x:f>
        <x:v>0.000009223125550753919</x:v>
      </x:c>
      <x:c r="E1475" s="15" t="n">
        <x:f>SUM($D$5:D1475)</x:f>
        <x:v>0.9992929758728407</x:v>
      </x:c>
      <x:c r="F1475" s="1" t="str">
        <x:f>IF(C1475&lt;=0,"C",IF(E1475-D1475&lt;'Дашборд'!$C$49,"A",IF(E1475-D1475&lt;'Дашборд'!$C$50,"B","C")))</x:f>
        <x:v>C</x:v>
      </x:c>
      <x:c r="G1475" s="8" t="n">
        <x:f>'Данные'!F1475</x:f>
        <x:v>13</x:v>
      </x:c>
      <x:c r="H1475" s="8" t="n">
        <x:f>SUM('Данные'!H1475:I1475)</x:f>
        <x:v>0</x:v>
      </x:c>
      <x:c r="I1475" s="16" t="str">
        <x:f>IF(H1475&gt;0,G1475/H1475,"n.a.")</x:f>
        <x:v>n.a.</x:v>
      </x:c>
      <x:c r="J1475" s="10" t="n">
        <x:f>IF('Данные'!E1475&gt;0,G1475/'Данные'!E1475,"n.a.")</x:f>
        <x:v>0.021775544388609715</x:v>
      </x:c>
      <x:c r="K1475" s="1" t="str">
        <x:f>IF(G1475&gt;='Дашборд'!$C$51,"X","Z")</x:f>
        <x:v>Z</x:v>
      </x:c>
      <x:c r="L1475" s="1" t="str">
        <x:f>IF(H1475=0,IF(G1475&gt;0,"Нет остатка","Нет спроса"),IF(I1475&gt;='Дашборд'!$C$52,"Быстрый","Медленный"))</x:f>
        <x:v>Нет остатка</x:v>
      </x:c>
      <x:c r="M1475" s="1" t="str">
        <x:f>IF('Данные'!E1475&lt;'Дашборд'!$C$53,"Мало трафика",IF(J1475&lt;'Дашборд'!$C$9*'Дашборд'!$C$54,"Да","Нет"))</x:f>
        <x:v>Мало трафика</x:v>
      </x:c>
      <x:c r="N1475" s="1" t="str">
        <x:f>IF(AND('Данные'!D1475&gt;='Дашборд'!$C$55,D1475&lt;'Дашборд'!$C$56,'Данные'!E1475&gt;='Дашборд'!$C$53,'Данные'!L1475&lt;&gt;"Да"),"Да","Нет")</x:f>
        <x:v>Нет</x:v>
      </x:c>
      <x:c r="O1475" s="1" t="str">
        <x:f>'Данные'!L1475</x:f>
        <x:v>Нет</x:v>
      </x:c>
    </x:row>
    <x:row r="1476">
      <x:c r="A1476" s="1" t="str">
        <x:f>'Данные'!A1476</x:f>
        <x:v>224386362</x:v>
      </x:c>
      <x:c r="B1476" s="1" t="str">
        <x:f>'Данные'!B1476</x:f>
        <x:v>bazaprint/Moves-y2k-133/молочный</x:v>
      </x:c>
      <x:c r="C1476" s="8" t="n">
        <x:f>'Данные'!G1476</x:f>
        <x:v>7894</x:v>
      </x:c>
      <x:c r="D1476" s="15" t="n">
        <x:f>C1476/SUM($C$5:$C$2477)</x:f>
        <x:v>0.000009221957327124944</x:v>
      </x:c>
      <x:c r="E1476" s="15" t="n">
        <x:f>SUM($D$5:D1476)</x:f>
        <x:v>0.9993021978301678</x:v>
      </x:c>
      <x:c r="F1476" s="1" t="str">
        <x:f>IF(C1476&lt;=0,"C",IF(E1476-D1476&lt;'Дашборд'!$C$49,"A",IF(E1476-D1476&lt;'Дашборд'!$C$50,"B","C")))</x:f>
        <x:v>C</x:v>
      </x:c>
      <x:c r="G1476" s="8" t="n">
        <x:f>'Данные'!F1476</x:f>
        <x:v>20</x:v>
      </x:c>
      <x:c r="H1476" s="8" t="n">
        <x:f>SUM('Данные'!H1476:I1476)</x:f>
        <x:v>77</x:v>
      </x:c>
      <x:c r="I1476" s="16" t="n">
        <x:f>IF(H1476&gt;0,G1476/H1476,"n.a.")</x:f>
        <x:v>0.2597402597402597</x:v>
      </x:c>
      <x:c r="J1476" s="10" t="n">
        <x:f>IF('Данные'!E1476&gt;0,G1476/'Данные'!E1476,"n.a.")</x:f>
        <x:v>0.0024488796375658137</x:v>
      </x:c>
      <x:c r="K1476" s="1" t="str">
        <x:f>IF(G1476&gt;='Дашборд'!$C$51,"X","Z")</x:f>
        <x:v>Z</x:v>
      </x:c>
      <x:c r="L1476" s="1" t="str">
        <x:f>IF(H1476=0,IF(G1476&gt;0,"Нет остатка","Нет спроса"),IF(I1476&gt;='Дашборд'!$C$52,"Быстрый","Медленный"))</x:f>
        <x:v>Медленный</x:v>
      </x:c>
      <x:c r="M1476" s="1" t="str">
        <x:f>IF('Данные'!E1476&lt;'Дашборд'!$C$53,"Мало трафика",IF(J1476&lt;'Дашборд'!$C$9*'Дашборд'!$C$54,"Да","Нет"))</x:f>
        <x:v>Да</x:v>
      </x:c>
      <x:c r="N1476" s="1" t="str">
        <x:f>IF(AND('Данные'!D1476&gt;='Дашборд'!$C$55,D1476&lt;'Дашборд'!$C$56,'Данные'!E1476&gt;='Дашборд'!$C$53,'Данные'!L1476&lt;&gt;"Да"),"Да","Нет")</x:f>
        <x:v>Да</x:v>
      </x:c>
      <x:c r="O1476" s="1" t="str">
        <x:f>'Данные'!L1476</x:f>
        <x:v>Нет</x:v>
      </x:c>
    </x:row>
    <x:row r="1477">
      <x:c r="A1477" s="1" t="str">
        <x:f>'Данные'!A1477</x:f>
        <x:v>231458798</x:v>
      </x:c>
      <x:c r="B1477" s="1" t="str">
        <x:f>'Данные'!B1477</x:f>
        <x:v>futbolkagirl/бежевый</x:v>
      </x:c>
      <x:c r="C1477" s="8" t="n">
        <x:f>'Данные'!G1477</x:f>
        <x:v>7813</x:v>
      </x:c>
      <x:c r="D1477" s="15" t="n">
        <x:f>C1477/SUM($C$5:$C$2477)</x:f>
        <x:v>0.000009127331213178008</x:v>
      </x:c>
      <x:c r="E1477" s="15" t="n">
        <x:f>SUM($D$5:D1477)</x:f>
        <x:v>0.999311325161381</x:v>
      </x:c>
      <x:c r="F1477" s="1" t="str">
        <x:f>IF(C1477&lt;=0,"C",IF(E1477-D1477&lt;'Дашборд'!$C$49,"A",IF(E1477-D1477&lt;'Дашборд'!$C$50,"B","C")))</x:f>
        <x:v>C</x:v>
      </x:c>
      <x:c r="G1477" s="8" t="n">
        <x:f>'Данные'!F1477</x:f>
        <x:v>22</x:v>
      </x:c>
      <x:c r="H1477" s="8" t="n">
        <x:f>SUM('Данные'!H1477:I1477)</x:f>
        <x:v>0</x:v>
      </x:c>
      <x:c r="I1477" s="16" t="str">
        <x:f>IF(H1477&gt;0,G1477/H1477,"n.a.")</x:f>
        <x:v>n.a.</x:v>
      </x:c>
      <x:c r="J1477" s="10" t="n">
        <x:f>IF('Данные'!E1477&gt;0,G1477/'Данные'!E1477,"n.a.")</x:f>
        <x:v>0.0018174308137133416</x:v>
      </x:c>
      <x:c r="K1477" s="1" t="str">
        <x:f>IF(G1477&gt;='Дашборд'!$C$51,"X","Z")</x:f>
        <x:v>Z</x:v>
      </x:c>
      <x:c r="L1477" s="1" t="str">
        <x:f>IF(H1477=0,IF(G1477&gt;0,"Нет остатка","Нет спроса"),IF(I1477&gt;='Дашборд'!$C$52,"Быстрый","Медленный"))</x:f>
        <x:v>Нет остатка</x:v>
      </x:c>
      <x:c r="M1477" s="1" t="str">
        <x:f>IF('Данные'!E1477&lt;'Дашборд'!$C$53,"Мало трафика",IF(J1477&lt;'Дашборд'!$C$9*'Дашборд'!$C$54,"Да","Нет"))</x:f>
        <x:v>Да</x:v>
      </x:c>
      <x:c r="N1477" s="1" t="str">
        <x:f>IF(AND('Данные'!D1477&gt;='Дашборд'!$C$55,D1477&lt;'Дашборд'!$C$56,'Данные'!E1477&gt;='Дашборд'!$C$53,'Данные'!L1477&lt;&gt;"Да"),"Да","Нет")</x:f>
        <x:v>Да</x:v>
      </x:c>
      <x:c r="O1477" s="1" t="str">
        <x:f>'Данные'!L1477</x:f>
        <x:v>Нет</x:v>
      </x:c>
    </x:row>
    <x:row r="1478">
      <x:c r="A1478" s="1" t="str">
        <x:f>'Данные'!A1478</x:f>
        <x:v>158698707</x:v>
      </x:c>
      <x:c r="B1478" s="1" t="str">
        <x:f>'Данные'!B1478</x:f>
        <x:v>bruki/деним</x:v>
      </x:c>
      <x:c r="C1478" s="8" t="n">
        <x:f>'Данные'!G1478</x:f>
        <x:v>7799</x:v>
      </x:c>
      <x:c r="D1478" s="15" t="n">
        <x:f>C1478/SUM($C$5:$C$2477)</x:f>
        <x:v>0.000009110976082372364</x:v>
      </x:c>
      <x:c r="E1478" s="15" t="n">
        <x:f>SUM($D$5:D1478)</x:f>
        <x:v>0.9993204361374634</x:v>
      </x:c>
      <x:c r="F1478" s="1" t="str">
        <x:f>IF(C1478&lt;=0,"C",IF(E1478-D1478&lt;'Дашборд'!$C$49,"A",IF(E1478-D1478&lt;'Дашборд'!$C$50,"B","C")))</x:f>
        <x:v>C</x:v>
      </x:c>
      <x:c r="G1478" s="8" t="n">
        <x:f>'Данные'!F1478</x:f>
        <x:v>7</x:v>
      </x:c>
      <x:c r="H1478" s="8" t="n">
        <x:f>SUM('Данные'!H1478:I1478)</x:f>
        <x:v>0</x:v>
      </x:c>
      <x:c r="I1478" s="16" t="str">
        <x:f>IF(H1478&gt;0,G1478/H1478,"n.a.")</x:f>
        <x:v>n.a.</x:v>
      </x:c>
      <x:c r="J1478" s="10" t="n">
        <x:f>IF('Данные'!E1478&gt;0,G1478/'Данные'!E1478,"n.a.")</x:f>
        <x:v>0.0039040713887339654</x:v>
      </x:c>
      <x:c r="K1478" s="1" t="str">
        <x:f>IF(G1478&gt;='Дашборд'!$C$51,"X","Z")</x:f>
        <x:v>Z</x:v>
      </x:c>
      <x:c r="L1478" s="1" t="str">
        <x:f>IF(H1478=0,IF(G1478&gt;0,"Нет остатка","Нет спроса"),IF(I1478&gt;='Дашборд'!$C$52,"Быстрый","Медленный"))</x:f>
        <x:v>Нет остатка</x:v>
      </x:c>
      <x:c r="M1478" s="1" t="str">
        <x:f>IF('Данные'!E1478&lt;'Дашборд'!$C$53,"Мало трафика",IF(J1478&lt;'Дашборд'!$C$9*'Дашборд'!$C$54,"Да","Нет"))</x:f>
        <x:v>Да</x:v>
      </x:c>
      <x:c r="N1478" s="1" t="str">
        <x:f>IF(AND('Данные'!D1478&gt;='Дашборд'!$C$55,D1478&lt;'Дашборд'!$C$56,'Данные'!E1478&gt;='Дашборд'!$C$53,'Данные'!L1478&lt;&gt;"Да"),"Да","Нет")</x:f>
        <x:v>Да</x:v>
      </x:c>
      <x:c r="O1478" s="1" t="str">
        <x:f>'Данные'!L1478</x:f>
        <x:v>Нет</x:v>
      </x:c>
    </x:row>
    <x:row r="1479">
      <x:c r="A1479" s="1" t="str">
        <x:f>'Данные'!A1479</x:f>
        <x:v>170172037</x:v>
      </x:c>
      <x:c r="B1479" s="1" t="str">
        <x:f>'Данные'!B1479</x:f>
        <x:v>2xnitkacrop/белый</x:v>
      </x:c>
      <x:c r="C1479" s="8" t="n">
        <x:f>'Данные'!G1479</x:f>
        <x:v>7748</x:v>
      </x:c>
      <x:c r="D1479" s="15" t="n">
        <x:f>C1479/SUM($C$5:$C$2477)</x:f>
        <x:v>0.000009051396677294663</x:v>
      </x:c>
      <x:c r="E1479" s="15" t="n">
        <x:f>SUM($D$5:D1479)</x:f>
        <x:v>0.9993294875341406</x:v>
      </x:c>
      <x:c r="F1479" s="1" t="str">
        <x:f>IF(C1479&lt;=0,"C",IF(E1479-D1479&lt;'Дашборд'!$C$49,"A",IF(E1479-D1479&lt;'Дашборд'!$C$50,"B","C")))</x:f>
        <x:v>C</x:v>
      </x:c>
      <x:c r="G1479" s="8" t="n">
        <x:f>'Данные'!F1479</x:f>
        <x:v>16</x:v>
      </x:c>
      <x:c r="H1479" s="8" t="n">
        <x:f>SUM('Данные'!H1479:I1479)</x:f>
        <x:v>3</x:v>
      </x:c>
      <x:c r="I1479" s="16" t="n">
        <x:f>IF(H1479&gt;0,G1479/H1479,"n.a.")</x:f>
        <x:v>5.333333333333333</x:v>
      </x:c>
      <x:c r="J1479" s="10" t="n">
        <x:f>IF('Данные'!E1479&gt;0,G1479/'Данные'!E1479,"n.a.")</x:f>
        <x:v>0.0036968576709796672</x:v>
      </x:c>
      <x:c r="K1479" s="1" t="str">
        <x:f>IF(G1479&gt;='Дашборд'!$C$51,"X","Z")</x:f>
        <x:v>Z</x:v>
      </x:c>
      <x:c r="L1479" s="1" t="str">
        <x:f>IF(H1479=0,IF(G1479&gt;0,"Нет остатка","Нет спроса"),IF(I1479&gt;='Дашборд'!$C$52,"Быстрый","Медленный"))</x:f>
        <x:v>Быстрый</x:v>
      </x:c>
      <x:c r="M1479" s="1" t="str">
        <x:f>IF('Данные'!E1479&lt;'Дашборд'!$C$53,"Мало трафика",IF(J1479&lt;'Дашборд'!$C$9*'Дашборд'!$C$54,"Да","Нет"))</x:f>
        <x:v>Да</x:v>
      </x:c>
      <x:c r="N1479" s="1" t="str">
        <x:f>IF(AND('Данные'!D1479&gt;='Дашборд'!$C$55,D1479&lt;'Дашборд'!$C$56,'Данные'!E1479&gt;='Дашборд'!$C$53,'Данные'!L1479&lt;&gt;"Да"),"Да","Нет")</x:f>
        <x:v>Да</x:v>
      </x:c>
      <x:c r="O1479" s="1" t="str">
        <x:f>'Данные'!L1479</x:f>
        <x:v>Нет</x:v>
      </x:c>
    </x:row>
    <x:row r="1480">
      <x:c r="A1480" s="1" t="str">
        <x:f>'Данные'!A1480</x:f>
        <x:v>313770780</x:v>
      </x:c>
      <x:c r="B1480" s="1" t="str">
        <x:f>'Данные'!B1480</x:f>
        <x:v>futbolkaboy/бордовый</x:v>
      </x:c>
      <x:c r="C1480" s="8" t="n">
        <x:f>'Данные'!G1480</x:f>
        <x:v>7568</x:v>
      </x:c>
      <x:c r="D1480" s="15" t="n">
        <x:f>C1480/SUM($C$5:$C$2477)</x:f>
        <x:v>0.000008841116424079247</x:v>
      </x:c>
      <x:c r="E1480" s="15" t="n">
        <x:f>SUM($D$5:D1480)</x:f>
        <x:v>0.9993383286505647</x:v>
      </x:c>
      <x:c r="F1480" s="1" t="str">
        <x:f>IF(C1480&lt;=0,"C",IF(E1480-D1480&lt;'Дашборд'!$C$49,"A",IF(E1480-D1480&lt;'Дашборд'!$C$50,"B","C")))</x:f>
        <x:v>C</x:v>
      </x:c>
      <x:c r="G1480" s="8" t="n">
        <x:f>'Данные'!F1480</x:f>
        <x:v>21</x:v>
      </x:c>
      <x:c r="H1480" s="8" t="n">
        <x:f>SUM('Данные'!H1480:I1480)</x:f>
        <x:v>235</x:v>
      </x:c>
      <x:c r="I1480" s="16" t="n">
        <x:f>IF(H1480&gt;0,G1480/H1480,"n.a.")</x:f>
        <x:v>0.08936170212765958</x:v>
      </x:c>
      <x:c r="J1480" s="10" t="n">
        <x:f>IF('Данные'!E1480&gt;0,G1480/'Данные'!E1480,"n.a.")</x:f>
        <x:v>0.003695881731784583</x:v>
      </x:c>
      <x:c r="K1480" s="1" t="str">
        <x:f>IF(G1480&gt;='Дашборд'!$C$51,"X","Z")</x:f>
        <x:v>Z</x:v>
      </x:c>
      <x:c r="L1480" s="1" t="str">
        <x:f>IF(H1480=0,IF(G1480&gt;0,"Нет остатка","Нет спроса"),IF(I1480&gt;='Дашборд'!$C$52,"Быстрый","Медленный"))</x:f>
        <x:v>Медленный</x:v>
      </x:c>
      <x:c r="M1480" s="1" t="str">
        <x:f>IF('Данные'!E1480&lt;'Дашборд'!$C$53,"Мало трафика",IF(J1480&lt;'Дашборд'!$C$9*'Дашборд'!$C$54,"Да","Нет"))</x:f>
        <x:v>Да</x:v>
      </x:c>
      <x:c r="N1480" s="1" t="str">
        <x:f>IF(AND('Данные'!D1480&gt;='Дашборд'!$C$55,D1480&lt;'Дашборд'!$C$56,'Данные'!E1480&gt;='Дашборд'!$C$53,'Данные'!L1480&lt;&gt;"Да"),"Да","Нет")</x:f>
        <x:v>Да</x:v>
      </x:c>
      <x:c r="O1480" s="1" t="str">
        <x:f>'Данные'!L1480</x:f>
        <x:v>Нет</x:v>
      </x:c>
    </x:row>
    <x:row r="1481">
      <x:c r="A1481" s="1" t="str">
        <x:f>'Данные'!A1481</x:f>
        <x:v>366559997</x:v>
      </x:c>
      <x:c r="B1481" s="1" t="str">
        <x:f>'Данные'!B1481</x:f>
        <x:v>2Nshortyboy/серый</x:v>
      </x:c>
      <x:c r="C1481" s="8" t="n">
        <x:f>'Данные'!G1481</x:f>
        <x:v>7500</x:v>
      </x:c>
      <x:c r="D1481" s="15" t="n">
        <x:f>C1481/SUM($C$5:$C$2477)</x:f>
        <x:v>0.000008761677217308979</x:v>
      </x:c>
      <x:c r="E1481" s="15" t="n">
        <x:f>SUM($D$5:D1481)</x:f>
        <x:v>0.999347090327782</x:v>
      </x:c>
      <x:c r="F1481" s="1" t="str">
        <x:f>IF(C1481&lt;=0,"C",IF(E1481-D1481&lt;'Дашборд'!$C$49,"A",IF(E1481-D1481&lt;'Дашборд'!$C$50,"B","C")))</x:f>
        <x:v>C</x:v>
      </x:c>
      <x:c r="G1481" s="8" t="n">
        <x:f>'Данные'!F1481</x:f>
        <x:v>21</x:v>
      </x:c>
      <x:c r="H1481" s="8" t="n">
        <x:f>SUM('Данные'!H1481:I1481)</x:f>
        <x:v>45</x:v>
      </x:c>
      <x:c r="I1481" s="16" t="n">
        <x:f>IF(H1481&gt;0,G1481/H1481,"n.a.")</x:f>
        <x:v>0.4666666666666667</x:v>
      </x:c>
      <x:c r="J1481" s="10" t="n">
        <x:f>IF('Данные'!E1481&gt;0,G1481/'Данные'!E1481,"n.a.")</x:f>
        <x:v>0.0063025210084033615</x:v>
      </x:c>
      <x:c r="K1481" s="1" t="str">
        <x:f>IF(G1481&gt;='Дашборд'!$C$51,"X","Z")</x:f>
        <x:v>Z</x:v>
      </x:c>
      <x:c r="L1481" s="1" t="str">
        <x:f>IF(H1481=0,IF(G1481&gt;0,"Нет остатка","Нет спроса"),IF(I1481&gt;='Дашборд'!$C$52,"Быстрый","Медленный"))</x:f>
        <x:v>Медленный</x:v>
      </x:c>
      <x:c r="M1481" s="1" t="str">
        <x:f>IF('Данные'!E1481&lt;'Дашборд'!$C$53,"Мало трафика",IF(J1481&lt;'Дашборд'!$C$9*'Дашборд'!$C$54,"Да","Нет"))</x:f>
        <x:v>Да</x:v>
      </x:c>
      <x:c r="N1481" s="1" t="str">
        <x:f>IF(AND('Данные'!D1481&gt;='Дашборд'!$C$55,D1481&lt;'Дашборд'!$C$56,'Данные'!E1481&gt;='Дашборд'!$C$53,'Данные'!L1481&lt;&gt;"Да"),"Да","Нет")</x:f>
        <x:v>Нет</x:v>
      </x:c>
      <x:c r="O1481" s="1" t="str">
        <x:f>'Данные'!L1481</x:f>
        <x:v>Нет</x:v>
      </x:c>
    </x:row>
    <x:row r="1482">
      <x:c r="A1482" s="1" t="str">
        <x:f>'Данные'!A1482</x:f>
        <x:v>366559999</x:v>
      </x:c>
      <x:c r="B1482" s="1" t="str">
        <x:f>'Данные'!B1482</x:f>
        <x:v>2Nshortyboy/молочный</x:v>
      </x:c>
      <x:c r="C1482" s="8" t="n">
        <x:f>'Данные'!G1482</x:f>
        <x:v>7440</x:v>
      </x:c>
      <x:c r="D1482" s="15" t="n">
        <x:f>C1482/SUM($C$5:$C$2477)</x:f>
        <x:v>0.000008691583799570508</x:v>
      </x:c>
      <x:c r="E1482" s="15" t="n">
        <x:f>SUM($D$5:D1482)</x:f>
        <x:v>0.9993557819115816</x:v>
      </x:c>
      <x:c r="F1482" s="1" t="str">
        <x:f>IF(C1482&lt;=0,"C",IF(E1482-D1482&lt;'Дашборд'!$C$49,"A",IF(E1482-D1482&lt;'Дашборд'!$C$50,"B","C")))</x:f>
        <x:v>C</x:v>
      </x:c>
      <x:c r="G1482" s="8" t="n">
        <x:f>'Данные'!F1482</x:f>
        <x:v>22</x:v>
      </x:c>
      <x:c r="H1482" s="8" t="n">
        <x:f>SUM('Данные'!H1482:I1482)</x:f>
        <x:v>225</x:v>
      </x:c>
      <x:c r="I1482" s="16" t="n">
        <x:f>IF(H1482&gt;0,G1482/H1482,"n.a.")</x:f>
        <x:v>0.09777777777777778</x:v>
      </x:c>
      <x:c r="J1482" s="10" t="n">
        <x:f>IF('Данные'!E1482&gt;0,G1482/'Данные'!E1482,"n.a.")</x:f>
        <x:v>0.004939380332285586</x:v>
      </x:c>
      <x:c r="K1482" s="1" t="str">
        <x:f>IF(G1482&gt;='Дашборд'!$C$51,"X","Z")</x:f>
        <x:v>Z</x:v>
      </x:c>
      <x:c r="L1482" s="1" t="str">
        <x:f>IF(H1482=0,IF(G1482&gt;0,"Нет остатка","Нет спроса"),IF(I1482&gt;='Дашборд'!$C$52,"Быстрый","Медленный"))</x:f>
        <x:v>Медленный</x:v>
      </x:c>
      <x:c r="M1482" s="1" t="str">
        <x:f>IF('Данные'!E1482&lt;'Дашборд'!$C$53,"Мало трафика",IF(J1482&lt;'Дашборд'!$C$9*'Дашборд'!$C$54,"Да","Нет"))</x:f>
        <x:v>Да</x:v>
      </x:c>
      <x:c r="N1482" s="1" t="str">
        <x:f>IF(AND('Данные'!D1482&gt;='Дашборд'!$C$55,D1482&lt;'Дашборд'!$C$56,'Данные'!E1482&gt;='Дашборд'!$C$53,'Данные'!L1482&lt;&gt;"Да"),"Да","Нет")</x:f>
        <x:v>Нет</x:v>
      </x:c>
      <x:c r="O1482" s="1" t="str">
        <x:f>'Данные'!L1482</x:f>
        <x:v>Нет</x:v>
      </x:c>
    </x:row>
    <x:row r="1483">
      <x:c r="A1483" s="1" t="str">
        <x:f>'Данные'!A1483</x:f>
        <x:v>335327576</x:v>
      </x:c>
      <x:c r="B1483" s="1" t="str">
        <x:f>'Данные'!B1483</x:f>
        <x:v>bazakulgirl/шалфей</x:v>
      </x:c>
      <x:c r="C1483" s="8" t="n">
        <x:f>'Данные'!G1483</x:f>
        <x:v>7410</x:v>
      </x:c>
      <x:c r="D1483" s="15" t="n">
        <x:f>C1483/SUM($C$5:$C$2477)</x:f>
        <x:v>0.000008656537090701271</x:v>
      </x:c>
      <x:c r="E1483" s="15" t="n">
        <x:f>SUM($D$5:D1483)</x:f>
        <x:v>0.9993644384486723</x:v>
      </x:c>
      <x:c r="F1483" s="1" t="str">
        <x:f>IF(C1483&lt;=0,"C",IF(E1483-D1483&lt;'Дашборд'!$C$49,"A",IF(E1483-D1483&lt;'Дашборд'!$C$50,"B","C")))</x:f>
        <x:v>C</x:v>
      </x:c>
      <x:c r="G1483" s="8" t="n">
        <x:f>'Данные'!F1483</x:f>
        <x:v>30</x:v>
      </x:c>
      <x:c r="H1483" s="8" t="n">
        <x:f>SUM('Данные'!H1483:I1483)</x:f>
        <x:v>143</x:v>
      </x:c>
      <x:c r="I1483" s="16" t="n">
        <x:f>IF(H1483&gt;0,G1483/H1483,"n.a.")</x:f>
        <x:v>0.2097902097902098</x:v>
      </x:c>
      <x:c r="J1483" s="10" t="n">
        <x:f>IF('Данные'!E1483&gt;0,G1483/'Данные'!E1483,"n.a.")</x:f>
        <x:v>0.01455604075691412</x:v>
      </x:c>
      <x:c r="K1483" s="1" t="str">
        <x:f>IF(G1483&gt;='Дашборд'!$C$51,"X","Z")</x:f>
        <x:v>Z</x:v>
      </x:c>
      <x:c r="L1483" s="1" t="str">
        <x:f>IF(H1483=0,IF(G1483&gt;0,"Нет остатка","Нет спроса"),IF(I1483&gt;='Дашборд'!$C$52,"Быстрый","Медленный"))</x:f>
        <x:v>Медленный</x:v>
      </x:c>
      <x:c r="M1483" s="1" t="str">
        <x:f>IF('Данные'!E1483&lt;'Дашборд'!$C$53,"Мало трафика",IF(J1483&lt;'Дашборд'!$C$9*'Дашборд'!$C$54,"Да","Нет"))</x:f>
        <x:v>Нет</x:v>
      </x:c>
      <x:c r="N1483" s="1" t="str">
        <x:f>IF(AND('Данные'!D1483&gt;='Дашборд'!$C$55,D1483&lt;'Дашборд'!$C$56,'Данные'!E1483&gt;='Дашборд'!$C$53,'Данные'!L1483&lt;&gt;"Да"),"Да","Нет")</x:f>
        <x:v>Да</x:v>
      </x:c>
      <x:c r="O1483" s="1" t="str">
        <x:f>'Данные'!L1483</x:f>
        <x:v>Нет</x:v>
      </x:c>
    </x:row>
    <x:row r="1484">
      <x:c r="A1484" s="1" t="str">
        <x:f>'Данные'!A1484</x:f>
        <x:v>178309522</x:v>
      </x:c>
      <x:c r="B1484" s="1" t="str">
        <x:f>'Данные'!B1484</x:f>
        <x:v>svitcrop/серый</x:v>
      </x:c>
      <x:c r="C1484" s="8" t="n">
        <x:f>'Данные'!G1484</x:f>
        <x:v>7338</x:v>
      </x:c>
      <x:c r="D1484" s="15" t="n">
        <x:f>C1484/SUM($C$5:$C$2477)</x:f>
        <x:v>0.000008572424989415105</x:v>
      </x:c>
      <x:c r="E1484" s="15" t="n">
        <x:f>SUM($D$5:D1484)</x:f>
        <x:v>0.9993730108736617</x:v>
      </x:c>
      <x:c r="F1484" s="1" t="str">
        <x:f>IF(C1484&lt;=0,"C",IF(E1484-D1484&lt;'Дашборд'!$C$49,"A",IF(E1484-D1484&lt;'Дашборд'!$C$50,"B","C")))</x:f>
        <x:v>C</x:v>
      </x:c>
      <x:c r="G1484" s="8" t="n">
        <x:f>'Данные'!F1484</x:f>
        <x:v>15</x:v>
      </x:c>
      <x:c r="H1484" s="8" t="n">
        <x:f>SUM('Данные'!H1484:I1484)</x:f>
        <x:v>0</x:v>
      </x:c>
      <x:c r="I1484" s="16" t="str">
        <x:f>IF(H1484&gt;0,G1484/H1484,"n.a.")</x:f>
        <x:v>n.a.</x:v>
      </x:c>
      <x:c r="J1484" s="10" t="n">
        <x:f>IF('Данные'!E1484&gt;0,G1484/'Данные'!E1484,"n.a.")</x:f>
        <x:v>0.00951776649746193</x:v>
      </x:c>
      <x:c r="K1484" s="1" t="str">
        <x:f>IF(G1484&gt;='Дашборд'!$C$51,"X","Z")</x:f>
        <x:v>Z</x:v>
      </x:c>
      <x:c r="L1484" s="1" t="str">
        <x:f>IF(H1484=0,IF(G1484&gt;0,"Нет остатка","Нет спроса"),IF(I1484&gt;='Дашборд'!$C$52,"Быстрый","Медленный"))</x:f>
        <x:v>Нет остатка</x:v>
      </x:c>
      <x:c r="M1484" s="1" t="str">
        <x:f>IF('Данные'!E1484&lt;'Дашборд'!$C$53,"Мало трафика",IF(J1484&lt;'Дашборд'!$C$9*'Дашборд'!$C$54,"Да","Нет"))</x:f>
        <x:v>Да</x:v>
      </x:c>
      <x:c r="N1484" s="1" t="str">
        <x:f>IF(AND('Данные'!D1484&gt;='Дашборд'!$C$55,D1484&lt;'Дашборд'!$C$56,'Данные'!E1484&gt;='Дашборд'!$C$53,'Данные'!L1484&lt;&gt;"Да"),"Да","Нет")</x:f>
        <x:v>Да</x:v>
      </x:c>
      <x:c r="O1484" s="1" t="str">
        <x:f>'Данные'!L1484</x:f>
        <x:v>Нет</x:v>
      </x:c>
    </x:row>
    <x:row r="1485">
      <x:c r="A1485" s="1" t="str">
        <x:f>'Данные'!A1485</x:f>
        <x:v>209914960</x:v>
      </x:c>
      <x:c r="B1485" s="1" t="str">
        <x:f>'Данные'!B1485</x:f>
        <x:v>svitshotonesize/фуксия</x:v>
      </x:c>
      <x:c r="C1485" s="8" t="n">
        <x:f>'Данные'!G1485</x:f>
        <x:v>7141</x:v>
      </x:c>
      <x:c r="D1485" s="15" t="n">
        <x:f>C1485/SUM($C$5:$C$2477)</x:f>
        <x:v>0.000008342284934507123</x:v>
      </x:c>
      <x:c r="E1485" s="15" t="n">
        <x:f>SUM($D$5:D1485)</x:f>
        <x:v>0.9993813531585962</x:v>
      </x:c>
      <x:c r="F1485" s="1" t="str">
        <x:f>IF(C1485&lt;=0,"C",IF(E1485-D1485&lt;'Дашборд'!$C$49,"A",IF(E1485-D1485&lt;'Дашборд'!$C$50,"B","C")))</x:f>
        <x:v>C</x:v>
      </x:c>
      <x:c r="G1485" s="8" t="n">
        <x:f>'Данные'!F1485</x:f>
        <x:v>13</x:v>
      </x:c>
      <x:c r="H1485" s="8" t="n">
        <x:f>SUM('Данные'!H1485:I1485)</x:f>
        <x:v>1</x:v>
      </x:c>
      <x:c r="I1485" s="16" t="n">
        <x:f>IF(H1485&gt;0,G1485/H1485,"n.a.")</x:f>
        <x:v>13</x:v>
      </x:c>
      <x:c r="J1485" s="10" t="n">
        <x:f>IF('Данные'!E1485&gt;0,G1485/'Данные'!E1485,"n.a.")</x:f>
        <x:v>0.014874141876430207</x:v>
      </x:c>
      <x:c r="K1485" s="1" t="str">
        <x:f>IF(G1485&gt;='Дашборд'!$C$51,"X","Z")</x:f>
        <x:v>Z</x:v>
      </x:c>
      <x:c r="L1485" s="1" t="str">
        <x:f>IF(H1485=0,IF(G1485&gt;0,"Нет остатка","Нет спроса"),IF(I1485&gt;='Дашборд'!$C$52,"Быстрый","Медленный"))</x:f>
        <x:v>Быстрый</x:v>
      </x:c>
      <x:c r="M1485" s="1" t="str">
        <x:f>IF('Данные'!E1485&lt;'Дашборд'!$C$53,"Мало трафика",IF(J1485&lt;'Дашборд'!$C$9*'Дашборд'!$C$54,"Да","Нет"))</x:f>
        <x:v>Мало трафика</x:v>
      </x:c>
      <x:c r="N1485" s="1" t="str">
        <x:f>IF(AND('Данные'!D1485&gt;='Дашборд'!$C$55,D1485&lt;'Дашборд'!$C$56,'Данные'!E1485&gt;='Дашборд'!$C$53,'Данные'!L1485&lt;&gt;"Да"),"Да","Нет")</x:f>
        <x:v>Нет</x:v>
      </x:c>
      <x:c r="O1485" s="1" t="str">
        <x:f>'Данные'!L1485</x:f>
        <x:v>Нет</x:v>
      </x:c>
    </x:row>
    <x:row r="1486">
      <x:c r="A1486" s="1" t="str">
        <x:f>'Данные'!A1486</x:f>
        <x:v>209915006</x:v>
      </x:c>
      <x:c r="B1486" s="1" t="str">
        <x:f>'Данные'!B1486</x:f>
        <x:v>svitshotonesize/кофейный</x:v>
      </x:c>
      <x:c r="C1486" s="8" t="n">
        <x:f>'Данные'!G1486</x:f>
        <x:v>7036</x:v>
      </x:c>
      <x:c r="D1486" s="15" t="n">
        <x:f>C1486/SUM($C$5:$C$2477)</x:f>
        <x:v>0.000008219621453464796</x:v>
      </x:c>
      <x:c r="E1486" s="15" t="n">
        <x:f>SUM($D$5:D1486)</x:f>
        <x:v>0.9993895727800497</x:v>
      </x:c>
      <x:c r="F1486" s="1" t="str">
        <x:f>IF(C1486&lt;=0,"C",IF(E1486-D1486&lt;'Дашборд'!$C$49,"A",IF(E1486-D1486&lt;'Дашборд'!$C$50,"B","C")))</x:f>
        <x:v>C</x:v>
      </x:c>
      <x:c r="G1486" s="8" t="n">
        <x:f>'Данные'!F1486</x:f>
        <x:v>11</x:v>
      </x:c>
      <x:c r="H1486" s="8" t="n">
        <x:f>SUM('Данные'!H1486:I1486)</x:f>
        <x:v>25</x:v>
      </x:c>
      <x:c r="I1486" s="16" t="n">
        <x:f>IF(H1486&gt;0,G1486/H1486,"n.a.")</x:f>
        <x:v>0.44</x:v>
      </x:c>
      <x:c r="J1486" s="10" t="n">
        <x:f>IF('Данные'!E1486&gt;0,G1486/'Данные'!E1486,"n.a.")</x:f>
        <x:v>0.008914100486223663</x:v>
      </x:c>
      <x:c r="K1486" s="1" t="str">
        <x:f>IF(G1486&gt;='Дашборд'!$C$51,"X","Z")</x:f>
        <x:v>Z</x:v>
      </x:c>
      <x:c r="L1486" s="1" t="str">
        <x:f>IF(H1486=0,IF(G1486&gt;0,"Нет остатка","Нет спроса"),IF(I1486&gt;='Дашборд'!$C$52,"Быстрый","Медленный"))</x:f>
        <x:v>Медленный</x:v>
      </x:c>
      <x:c r="M1486" s="1" t="str">
        <x:f>IF('Данные'!E1486&lt;'Дашборд'!$C$53,"Мало трафика",IF(J1486&lt;'Дашборд'!$C$9*'Дашборд'!$C$54,"Да","Нет"))</x:f>
        <x:v>Да</x:v>
      </x:c>
      <x:c r="N1486" s="1" t="str">
        <x:f>IF(AND('Данные'!D1486&gt;='Дашборд'!$C$55,D1486&lt;'Дашборд'!$C$56,'Данные'!E1486&gt;='Дашборд'!$C$53,'Данные'!L1486&lt;&gt;"Да"),"Да","Нет")</x:f>
        <x:v>Да</x:v>
      </x:c>
      <x:c r="O1486" s="1" t="str">
        <x:f>'Данные'!L1486</x:f>
        <x:v>Нет</x:v>
      </x:c>
    </x:row>
    <x:row r="1487">
      <x:c r="A1487" s="1" t="str">
        <x:f>'Данные'!A1487</x:f>
        <x:v>370531407</x:v>
      </x:c>
      <x:c r="B1487" s="1" t="str">
        <x:f>'Данные'!B1487</x:f>
        <x:v>topfutbolka/красный</x:v>
      </x:c>
      <x:c r="C1487" s="8" t="n">
        <x:f>'Данные'!G1487</x:f>
        <x:v>6960</x:v>
      </x:c>
      <x:c r="D1487" s="15" t="n">
        <x:f>C1487/SUM($C$5:$C$2477)</x:f>
        <x:v>0.000008130836457662734</x:v>
      </x:c>
      <x:c r="E1487" s="15" t="n">
        <x:f>SUM($D$5:D1487)</x:f>
        <x:v>0.9993977036165074</x:v>
      </x:c>
      <x:c r="F1487" s="1" t="str">
        <x:f>IF(C1487&lt;=0,"C",IF(E1487-D1487&lt;'Дашборд'!$C$49,"A",IF(E1487-D1487&lt;'Дашборд'!$C$50,"B","C")))</x:f>
        <x:v>C</x:v>
      </x:c>
      <x:c r="G1487" s="8" t="n">
        <x:f>'Данные'!F1487</x:f>
        <x:v>26</x:v>
      </x:c>
      <x:c r="H1487" s="8" t="n">
        <x:f>SUM('Данные'!H1487:I1487)</x:f>
        <x:v>18</x:v>
      </x:c>
      <x:c r="I1487" s="16" t="n">
        <x:f>IF(H1487&gt;0,G1487/H1487,"n.a.")</x:f>
        <x:v>1.4444444444444444</x:v>
      </x:c>
      <x:c r="J1487" s="10" t="n">
        <x:f>IF('Данные'!E1487&gt;0,G1487/'Данные'!E1487,"n.a.")</x:f>
        <x:v>0.0023636363636363638</x:v>
      </x:c>
      <x:c r="K1487" s="1" t="str">
        <x:f>IF(G1487&gt;='Дашборд'!$C$51,"X","Z")</x:f>
        <x:v>Z</x:v>
      </x:c>
      <x:c r="L1487" s="1" t="str">
        <x:f>IF(H1487=0,IF(G1487&gt;0,"Нет остатка","Нет спроса"),IF(I1487&gt;='Дашборд'!$C$52,"Быстрый","Медленный"))</x:f>
        <x:v>Быстрый</x:v>
      </x:c>
      <x:c r="M1487" s="1" t="str">
        <x:f>IF('Данные'!E1487&lt;'Дашборд'!$C$53,"Мало трафика",IF(J1487&lt;'Дашборд'!$C$9*'Дашборд'!$C$54,"Да","Нет"))</x:f>
        <x:v>Да</x:v>
      </x:c>
      <x:c r="N1487" s="1" t="str">
        <x:f>IF(AND('Данные'!D1487&gt;='Дашборд'!$C$55,D1487&lt;'Дашборд'!$C$56,'Данные'!E1487&gt;='Дашборд'!$C$53,'Данные'!L1487&lt;&gt;"Да"),"Да","Нет")</x:f>
        <x:v>Да</x:v>
      </x:c>
      <x:c r="O1487" s="1" t="str">
        <x:f>'Данные'!L1487</x:f>
        <x:v>Нет</x:v>
      </x:c>
    </x:row>
    <x:row r="1488">
      <x:c r="A1488" s="1" t="str">
        <x:f>'Данные'!A1488</x:f>
        <x:v>209915108</x:v>
      </x:c>
      <x:c r="B1488" s="1" t="str">
        <x:f>'Данные'!B1488</x:f>
        <x:v>svitshotonesize/графит</x:v>
      </x:c>
      <x:c r="C1488" s="8" t="n">
        <x:f>'Данные'!G1488</x:f>
        <x:v>6901</x:v>
      </x:c>
      <x:c r="D1488" s="15" t="n">
        <x:f>C1488/SUM($C$5:$C$2477)</x:f>
        <x:v>0.000008061911263553236</x:v>
      </x:c>
      <x:c r="E1488" s="15" t="n">
        <x:f>SUM($D$5:D1488)</x:f>
        <x:v>0.9994057655277709</x:v>
      </x:c>
      <x:c r="F1488" s="1" t="str">
        <x:f>IF(C1488&lt;=0,"C",IF(E1488-D1488&lt;'Дашборд'!$C$49,"A",IF(E1488-D1488&lt;'Дашборд'!$C$50,"B","C")))</x:f>
        <x:v>C</x:v>
      </x:c>
      <x:c r="G1488" s="8" t="n">
        <x:f>'Данные'!F1488</x:f>
        <x:v>12</x:v>
      </x:c>
      <x:c r="H1488" s="8" t="n">
        <x:f>SUM('Данные'!H1488:I1488)</x:f>
        <x:v>10</x:v>
      </x:c>
      <x:c r="I1488" s="16" t="n">
        <x:f>IF(H1488&gt;0,G1488/H1488,"n.a.")</x:f>
        <x:v>1.2</x:v>
      </x:c>
      <x:c r="J1488" s="10" t="n">
        <x:f>IF('Данные'!E1488&gt;0,G1488/'Данные'!E1488,"n.a.")</x:f>
        <x:v>0.01054481546572935</x:v>
      </x:c>
      <x:c r="K1488" s="1" t="str">
        <x:f>IF(G1488&gt;='Дашборд'!$C$51,"X","Z")</x:f>
        <x:v>Z</x:v>
      </x:c>
      <x:c r="L1488" s="1" t="str">
        <x:f>IF(H1488=0,IF(G1488&gt;0,"Нет остатка","Нет спроса"),IF(I1488&gt;='Дашборд'!$C$52,"Быстрый","Медленный"))</x:f>
        <x:v>Быстрый</x:v>
      </x:c>
      <x:c r="M1488" s="1" t="str">
        <x:f>IF('Данные'!E1488&lt;'Дашборд'!$C$53,"Мало трафика",IF(J1488&lt;'Дашборд'!$C$9*'Дашборд'!$C$54,"Да","Нет"))</x:f>
        <x:v>Нет</x:v>
      </x:c>
      <x:c r="N1488" s="1" t="str">
        <x:f>IF(AND('Данные'!D1488&gt;='Дашборд'!$C$55,D1488&lt;'Дашборд'!$C$56,'Данные'!E1488&gt;='Дашборд'!$C$53,'Данные'!L1488&lt;&gt;"Да"),"Да","Нет")</x:f>
        <x:v>Нет</x:v>
      </x:c>
      <x:c r="O1488" s="1" t="str">
        <x:f>'Данные'!L1488</x:f>
        <x:v>Нет</x:v>
      </x:c>
    </x:row>
    <x:row r="1489">
      <x:c r="A1489" s="1" t="str">
        <x:f>'Данные'!A1489</x:f>
        <x:v>179951220</x:v>
      </x:c>
      <x:c r="B1489" s="1" t="str">
        <x:f>'Данные'!B1489</x:f>
        <x:v>palazzo/серыймеланж</x:v>
      </x:c>
      <x:c r="C1489" s="8" t="n">
        <x:f>'Данные'!G1489</x:f>
        <x:v>6762</x:v>
      </x:c>
      <x:c r="D1489" s="15" t="n">
        <x:f>C1489/SUM($C$5:$C$2477)</x:f>
        <x:v>0.000007899528179125775</x:v>
      </x:c>
      <x:c r="E1489" s="15" t="n">
        <x:f>SUM($D$5:D1489)</x:f>
        <x:v>0.9994136650559501</x:v>
      </x:c>
      <x:c r="F1489" s="1" t="str">
        <x:f>IF(C1489&lt;=0,"C",IF(E1489-D1489&lt;'Дашборд'!$C$49,"A",IF(E1489-D1489&lt;'Дашборд'!$C$50,"B","C")))</x:f>
        <x:v>C</x:v>
      </x:c>
      <x:c r="G1489" s="8" t="n">
        <x:f>'Данные'!F1489</x:f>
        <x:v>9</x:v>
      </x:c>
      <x:c r="H1489" s="8" t="n">
        <x:f>SUM('Данные'!H1489:I1489)</x:f>
        <x:v>1</x:v>
      </x:c>
      <x:c r="I1489" s="16" t="n">
        <x:f>IF(H1489&gt;0,G1489/H1489,"n.a.")</x:f>
        <x:v>9</x:v>
      </x:c>
      <x:c r="J1489" s="10" t="n">
        <x:f>IF('Данные'!E1489&gt;0,G1489/'Данные'!E1489,"n.a.")</x:f>
        <x:v>0.006502890173410405</x:v>
      </x:c>
      <x:c r="K1489" s="1" t="str">
        <x:f>IF(G1489&gt;='Дашборд'!$C$51,"X","Z")</x:f>
        <x:v>Z</x:v>
      </x:c>
      <x:c r="L1489" s="1" t="str">
        <x:f>IF(H1489=0,IF(G1489&gt;0,"Нет остатка","Нет спроса"),IF(I1489&gt;='Дашборд'!$C$52,"Быстрый","Медленный"))</x:f>
        <x:v>Быстрый</x:v>
      </x:c>
      <x:c r="M1489" s="1" t="str">
        <x:f>IF('Данные'!E1489&lt;'Дашборд'!$C$53,"Мало трафика",IF(J1489&lt;'Дашборд'!$C$9*'Дашборд'!$C$54,"Да","Нет"))</x:f>
        <x:v>Да</x:v>
      </x:c>
      <x:c r="N1489" s="1" t="str">
        <x:f>IF(AND('Данные'!D1489&gt;='Дашборд'!$C$55,D1489&lt;'Дашборд'!$C$56,'Данные'!E1489&gt;='Дашборд'!$C$53,'Данные'!L1489&lt;&gt;"Да"),"Да","Нет")</x:f>
        <x:v>Да</x:v>
      </x:c>
      <x:c r="O1489" s="1" t="str">
        <x:f>'Данные'!L1489</x:f>
        <x:v>Нет</x:v>
      </x:c>
    </x:row>
    <x:row r="1490">
      <x:c r="A1490" s="1" t="str">
        <x:f>'Данные'!A1490</x:f>
        <x:v>313770755</x:v>
      </x:c>
      <x:c r="B1490" s="1" t="str">
        <x:f>'Данные'!B1490</x:f>
        <x:v>futbolkaboy/зелено-серый</x:v>
      </x:c>
      <x:c r="C1490" s="8" t="n">
        <x:f>'Данные'!G1490</x:f>
        <x:v>6757</x:v>
      </x:c>
      <x:c r="D1490" s="15" t="n">
        <x:f>C1490/SUM($C$5:$C$2477)</x:f>
        <x:v>0.000007893687060980904</x:v>
      </x:c>
      <x:c r="E1490" s="15" t="n">
        <x:f>SUM($D$5:D1490)</x:f>
        <x:v>0.9994215587430111</x:v>
      </x:c>
      <x:c r="F1490" s="1" t="str">
        <x:f>IF(C1490&lt;=0,"C",IF(E1490-D1490&lt;'Дашборд'!$C$49,"A",IF(E1490-D1490&lt;'Дашборд'!$C$50,"B","C")))</x:f>
        <x:v>C</x:v>
      </x:c>
      <x:c r="G1490" s="8" t="n">
        <x:f>'Данные'!F1490</x:f>
        <x:v>20</x:v>
      </x:c>
      <x:c r="H1490" s="8" t="n">
        <x:f>SUM('Данные'!H1490:I1490)</x:f>
        <x:v>69</x:v>
      </x:c>
      <x:c r="I1490" s="16" t="n">
        <x:f>IF(H1490&gt;0,G1490/H1490,"n.a.")</x:f>
        <x:v>0.2898550724637681</x:v>
      </x:c>
      <x:c r="J1490" s="10" t="n">
        <x:f>IF('Данные'!E1490&gt;0,G1490/'Данные'!E1490,"n.a.")</x:f>
        <x:v>0.008090614886731391</x:v>
      </x:c>
      <x:c r="K1490" s="1" t="str">
        <x:f>IF(G1490&gt;='Дашборд'!$C$51,"X","Z")</x:f>
        <x:v>Z</x:v>
      </x:c>
      <x:c r="L1490" s="1" t="str">
        <x:f>IF(H1490=0,IF(G1490&gt;0,"Нет остатка","Нет спроса"),IF(I1490&gt;='Дашборд'!$C$52,"Быстрый","Медленный"))</x:f>
        <x:v>Медленный</x:v>
      </x:c>
      <x:c r="M1490" s="1" t="str">
        <x:f>IF('Данные'!E1490&lt;'Дашборд'!$C$53,"Мало трафика",IF(J1490&lt;'Дашборд'!$C$9*'Дашборд'!$C$54,"Да","Нет"))</x:f>
        <x:v>Да</x:v>
      </x:c>
      <x:c r="N1490" s="1" t="str">
        <x:f>IF(AND('Данные'!D1490&gt;='Дашборд'!$C$55,D1490&lt;'Дашборд'!$C$56,'Данные'!E1490&gt;='Дашборд'!$C$53,'Данные'!L1490&lt;&gt;"Да"),"Да","Нет")</x:f>
        <x:v>Да</x:v>
      </x:c>
      <x:c r="O1490" s="1" t="str">
        <x:f>'Данные'!L1490</x:f>
        <x:v>Нет</x:v>
      </x:c>
    </x:row>
    <x:row r="1491">
      <x:c r="A1491" s="1" t="str">
        <x:f>'Данные'!A1491</x:f>
        <x:v>119891838</x:v>
      </x:c>
      <x:c r="B1491" s="1" t="str">
        <x:f>'Данные'!B1491</x:f>
        <x:v>hudiman/фуксия</x:v>
      </x:c>
      <x:c r="C1491" s="8" t="n">
        <x:f>'Данные'!G1491</x:f>
        <x:v>6738</x:v>
      </x:c>
      <x:c r="D1491" s="15" t="n">
        <x:f>C1491/SUM($C$5:$C$2477)</x:f>
        <x:v>0.000007871490812030387</x:v>
      </x:c>
      <x:c r="E1491" s="15" t="n">
        <x:f>SUM($D$5:D1491)</x:f>
        <x:v>0.9994294302338231</x:v>
      </x:c>
      <x:c r="F1491" s="1" t="str">
        <x:f>IF(C1491&lt;=0,"C",IF(E1491-D1491&lt;'Дашборд'!$C$49,"A",IF(E1491-D1491&lt;'Дашборд'!$C$50,"B","C")))</x:f>
        <x:v>C</x:v>
      </x:c>
      <x:c r="G1491" s="8" t="n">
        <x:f>'Данные'!F1491</x:f>
        <x:v>10</x:v>
      </x:c>
      <x:c r="H1491" s="8" t="n">
        <x:f>SUM('Данные'!H1491:I1491)</x:f>
        <x:v>0</x:v>
      </x:c>
      <x:c r="I1491" s="16" t="str">
        <x:f>IF(H1491&gt;0,G1491/H1491,"n.a.")</x:f>
        <x:v>n.a.</x:v>
      </x:c>
      <x:c r="J1491" s="10" t="n">
        <x:f>IF('Данные'!E1491&gt;0,G1491/'Данные'!E1491,"n.a.")</x:f>
        <x:v>0.0030581039755351682</x:v>
      </x:c>
      <x:c r="K1491" s="1" t="str">
        <x:f>IF(G1491&gt;='Дашборд'!$C$51,"X","Z")</x:f>
        <x:v>Z</x:v>
      </x:c>
      <x:c r="L1491" s="1" t="str">
        <x:f>IF(H1491=0,IF(G1491&gt;0,"Нет остатка","Нет спроса"),IF(I1491&gt;='Дашборд'!$C$52,"Быстрый","Медленный"))</x:f>
        <x:v>Нет остатка</x:v>
      </x:c>
      <x:c r="M1491" s="1" t="str">
        <x:f>IF('Данные'!E1491&lt;'Дашборд'!$C$53,"Мало трафика",IF(J1491&lt;'Дашборд'!$C$9*'Дашборд'!$C$54,"Да","Нет"))</x:f>
        <x:v>Да</x:v>
      </x:c>
      <x:c r="N1491" s="1" t="str">
        <x:f>IF(AND('Данные'!D1491&gt;='Дашборд'!$C$55,D1491&lt;'Дашборд'!$C$56,'Данные'!E1491&gt;='Дашборд'!$C$53,'Данные'!L1491&lt;&gt;"Да"),"Да","Нет")</x:f>
        <x:v>Да</x:v>
      </x:c>
      <x:c r="O1491" s="1" t="str">
        <x:f>'Данные'!L1491</x:f>
        <x:v>Нет</x:v>
      </x:c>
    </x:row>
    <x:row r="1492">
      <x:c r="A1492" s="1" t="str">
        <x:f>'Данные'!A1492</x:f>
        <x:v>235997586</x:v>
      </x:c>
      <x:c r="B1492" s="1" t="str">
        <x:f>'Данные'!B1492</x:f>
        <x:v>bazagirl/розовый</x:v>
      </x:c>
      <x:c r="C1492" s="8" t="n">
        <x:f>'Данные'!G1492</x:f>
        <x:v>6683</x:v>
      </x:c>
      <x:c r="D1492" s="15" t="n">
        <x:f>C1492/SUM($C$5:$C$2477)</x:f>
        <x:v>0.000007807238512436787</x:v>
      </x:c>
      <x:c r="E1492" s="15" t="n">
        <x:f>SUM($D$5:D1492)</x:f>
        <x:v>0.9994372374723356</x:v>
      </x:c>
      <x:c r="F1492" s="1" t="str">
        <x:f>IF(C1492&lt;=0,"C",IF(E1492-D1492&lt;'Дашборд'!$C$49,"A",IF(E1492-D1492&lt;'Дашборд'!$C$50,"B","C")))</x:f>
        <x:v>C</x:v>
      </x:c>
      <x:c r="G1492" s="8" t="n">
        <x:f>'Данные'!F1492</x:f>
        <x:v>21</x:v>
      </x:c>
      <x:c r="H1492" s="8" t="n">
        <x:f>SUM('Данные'!H1492:I1492)</x:f>
        <x:v>125</x:v>
      </x:c>
      <x:c r="I1492" s="16" t="n">
        <x:f>IF(H1492&gt;0,G1492/H1492,"n.a.")</x:f>
        <x:v>0.168</x:v>
      </x:c>
      <x:c r="J1492" s="10" t="n">
        <x:f>IF('Данные'!E1492&gt;0,G1492/'Данные'!E1492,"n.a.")</x:f>
        <x:v>0.005805916505391208</x:v>
      </x:c>
      <x:c r="K1492" s="1" t="str">
        <x:f>IF(G1492&gt;='Дашборд'!$C$51,"X","Z")</x:f>
        <x:v>Z</x:v>
      </x:c>
      <x:c r="L1492" s="1" t="str">
        <x:f>IF(H1492=0,IF(G1492&gt;0,"Нет остатка","Нет спроса"),IF(I1492&gt;='Дашборд'!$C$52,"Быстрый","Медленный"))</x:f>
        <x:v>Медленный</x:v>
      </x:c>
      <x:c r="M1492" s="1" t="str">
        <x:f>IF('Данные'!E1492&lt;'Дашборд'!$C$53,"Мало трафика",IF(J1492&lt;'Дашборд'!$C$9*'Дашборд'!$C$54,"Да","Нет"))</x:f>
        <x:v>Да</x:v>
      </x:c>
      <x:c r="N1492" s="1" t="str">
        <x:f>IF(AND('Данные'!D1492&gt;='Дашборд'!$C$55,D1492&lt;'Дашборд'!$C$56,'Данные'!E1492&gt;='Дашборд'!$C$53,'Данные'!L1492&lt;&gt;"Да"),"Да","Нет")</x:f>
        <x:v>Да</x:v>
      </x:c>
      <x:c r="O1492" s="1" t="str">
        <x:f>'Данные'!L1492</x:f>
        <x:v>Нет</x:v>
      </x:c>
    </x:row>
    <x:row r="1493">
      <x:c r="A1493" s="1" t="str">
        <x:f>'Данные'!A1493</x:f>
        <x:v>231458797</x:v>
      </x:c>
      <x:c r="B1493" s="1" t="str">
        <x:f>'Данные'!B1493</x:f>
        <x:v>futbolkagirl/зеленый</x:v>
      </x:c>
      <x:c r="C1493" s="8" t="n">
        <x:f>'Данные'!G1493</x:f>
        <x:v>6621</x:v>
      </x:c>
      <x:c r="D1493" s="15" t="n">
        <x:f>C1493/SUM($C$5:$C$2477)</x:f>
        <x:v>0.000007734808647440366</x:v>
      </x:c>
      <x:c r="E1493" s="15" t="n">
        <x:f>SUM($D$5:D1493)</x:f>
        <x:v>0.9994449722809831</x:v>
      </x:c>
      <x:c r="F1493" s="1" t="str">
        <x:f>IF(C1493&lt;=0,"C",IF(E1493-D1493&lt;'Дашборд'!$C$49,"A",IF(E1493-D1493&lt;'Дашборд'!$C$50,"B","C")))</x:f>
        <x:v>C</x:v>
      </x:c>
      <x:c r="G1493" s="8" t="n">
        <x:f>'Данные'!F1493</x:f>
        <x:v>19</x:v>
      </x:c>
      <x:c r="H1493" s="8" t="n">
        <x:f>SUM('Данные'!H1493:I1493)</x:f>
        <x:v>0</x:v>
      </x:c>
      <x:c r="I1493" s="16" t="str">
        <x:f>IF(H1493&gt;0,G1493/H1493,"n.a.")</x:f>
        <x:v>n.a.</x:v>
      </x:c>
      <x:c r="J1493" s="10" t="n">
        <x:f>IF('Данные'!E1493&gt;0,G1493/'Данные'!E1493,"n.a.")</x:f>
        <x:v>0.0011588899054589814</x:v>
      </x:c>
      <x:c r="K1493" s="1" t="str">
        <x:f>IF(G1493&gt;='Дашборд'!$C$51,"X","Z")</x:f>
        <x:v>Z</x:v>
      </x:c>
      <x:c r="L1493" s="1" t="str">
        <x:f>IF(H1493=0,IF(G1493&gt;0,"Нет остатка","Нет спроса"),IF(I1493&gt;='Дашборд'!$C$52,"Быстрый","Медленный"))</x:f>
        <x:v>Нет остатка</x:v>
      </x:c>
      <x:c r="M1493" s="1" t="str">
        <x:f>IF('Данные'!E1493&lt;'Дашборд'!$C$53,"Мало трафика",IF(J1493&lt;'Дашборд'!$C$9*'Дашборд'!$C$54,"Да","Нет"))</x:f>
        <x:v>Да</x:v>
      </x:c>
      <x:c r="N1493" s="1" t="str">
        <x:f>IF(AND('Данные'!D1493&gt;='Дашборд'!$C$55,D1493&lt;'Дашборд'!$C$56,'Данные'!E1493&gt;='Дашборд'!$C$53,'Данные'!L1493&lt;&gt;"Да"),"Да","Нет")</x:f>
        <x:v>Да</x:v>
      </x:c>
      <x:c r="O1493" s="1" t="str">
        <x:f>'Данные'!L1493</x:f>
        <x:v>Нет</x:v>
      </x:c>
    </x:row>
    <x:row r="1494">
      <x:c r="A1494" s="1" t="str">
        <x:f>'Данные'!A1494</x:f>
        <x:v>235997581</x:v>
      </x:c>
      <x:c r="B1494" s="1" t="str">
        <x:f>'Данные'!B1494</x:f>
        <x:v>bazaboy/деним</x:v>
      </x:c>
      <x:c r="C1494" s="8" t="n">
        <x:f>'Данные'!G1494</x:f>
        <x:v>6606</x:v>
      </x:c>
      <x:c r="D1494" s="15" t="n">
        <x:f>C1494/SUM($C$5:$C$2477)</x:f>
        <x:v>0.00000771728529300575</x:v>
      </x:c>
      <x:c r="E1494" s="15" t="n">
        <x:f>SUM($D$5:D1494)</x:f>
        <x:v>0.9994526895662761</x:v>
      </x:c>
      <x:c r="F1494" s="1" t="str">
        <x:f>IF(C1494&lt;=0,"C",IF(E1494-D1494&lt;'Дашборд'!$C$49,"A",IF(E1494-D1494&lt;'Дашборд'!$C$50,"B","C")))</x:f>
        <x:v>C</x:v>
      </x:c>
      <x:c r="G1494" s="8" t="n">
        <x:f>'Данные'!F1494</x:f>
        <x:v>26</x:v>
      </x:c>
      <x:c r="H1494" s="8" t="n">
        <x:f>SUM('Данные'!H1494:I1494)</x:f>
        <x:v>153</x:v>
      </x:c>
      <x:c r="I1494" s="16" t="n">
        <x:f>IF(H1494&gt;0,G1494/H1494,"n.a.")</x:f>
        <x:v>0.16993464052287582</x:v>
      </x:c>
      <x:c r="J1494" s="10" t="n">
        <x:f>IF('Данные'!E1494&gt;0,G1494/'Данные'!E1494,"n.a.")</x:f>
        <x:v>0.003656307129798903</x:v>
      </x:c>
      <x:c r="K1494" s="1" t="str">
        <x:f>IF(G1494&gt;='Дашборд'!$C$51,"X","Z")</x:f>
        <x:v>Z</x:v>
      </x:c>
      <x:c r="L1494" s="1" t="str">
        <x:f>IF(H1494=0,IF(G1494&gt;0,"Нет остатка","Нет спроса"),IF(I1494&gt;='Дашборд'!$C$52,"Быстрый","Медленный"))</x:f>
        <x:v>Медленный</x:v>
      </x:c>
      <x:c r="M1494" s="1" t="str">
        <x:f>IF('Данные'!E1494&lt;'Дашборд'!$C$53,"Мало трафика",IF(J1494&lt;'Дашборд'!$C$9*'Дашборд'!$C$54,"Да","Нет"))</x:f>
        <x:v>Да</x:v>
      </x:c>
      <x:c r="N1494" s="1" t="str">
        <x:f>IF(AND('Данные'!D1494&gt;='Дашборд'!$C$55,D1494&lt;'Дашборд'!$C$56,'Данные'!E1494&gt;='Дашборд'!$C$53,'Данные'!L1494&lt;&gt;"Да"),"Да","Нет")</x:f>
        <x:v>Да</x:v>
      </x:c>
      <x:c r="O1494" s="1" t="str">
        <x:f>'Данные'!L1494</x:f>
        <x:v>Нет</x:v>
      </x:c>
    </x:row>
    <x:row r="1495">
      <x:c r="A1495" s="1" t="str">
        <x:f>'Данные'!A1495</x:f>
        <x:v>224386310</x:v>
      </x:c>
      <x:c r="B1495" s="1" t="str">
        <x:f>'Данные'!B1495</x:f>
        <x:v>bazaprint/Moves-y2k-133/черный</x:v>
      </x:c>
      <x:c r="C1495" s="8" t="n">
        <x:f>'Данные'!G1495</x:f>
        <x:v>6542</x:v>
      </x:c>
      <x:c r="D1495" s="15" t="n">
        <x:f>C1495/SUM($C$5:$C$2477)</x:f>
        <x:v>0.000007642518980751378</x:v>
      </x:c>
      <x:c r="E1495" s="15" t="n">
        <x:f>SUM($D$5:D1495)</x:f>
        <x:v>0.9994603320852569</x:v>
      </x:c>
      <x:c r="F1495" s="1" t="str">
        <x:f>IF(C1495&lt;=0,"C",IF(E1495-D1495&lt;'Дашборд'!$C$49,"A",IF(E1495-D1495&lt;'Дашборд'!$C$50,"B","C")))</x:f>
        <x:v>C</x:v>
      </x:c>
      <x:c r="G1495" s="8" t="n">
        <x:f>'Данные'!F1495</x:f>
        <x:v>13</x:v>
      </x:c>
      <x:c r="H1495" s="8" t="n">
        <x:f>SUM('Данные'!H1495:I1495)</x:f>
        <x:v>5</x:v>
      </x:c>
      <x:c r="I1495" s="16" t="n">
        <x:f>IF(H1495&gt;0,G1495/H1495,"n.a.")</x:f>
        <x:v>2.6</x:v>
      </x:c>
      <x:c r="J1495" s="10" t="n">
        <x:f>IF('Данные'!E1495&gt;0,G1495/'Данные'!E1495,"n.a.")</x:f>
        <x:v>0.0018377155781735934</x:v>
      </x:c>
      <x:c r="K1495" s="1" t="str">
        <x:f>IF(G1495&gt;='Дашборд'!$C$51,"X","Z")</x:f>
        <x:v>Z</x:v>
      </x:c>
      <x:c r="L1495" s="1" t="str">
        <x:f>IF(H1495=0,IF(G1495&gt;0,"Нет остатка","Нет спроса"),IF(I1495&gt;='Дашборд'!$C$52,"Быстрый","Медленный"))</x:f>
        <x:v>Быстрый</x:v>
      </x:c>
      <x:c r="M1495" s="1" t="str">
        <x:f>IF('Данные'!E1495&lt;'Дашборд'!$C$53,"Мало трафика",IF(J1495&lt;'Дашборд'!$C$9*'Дашборд'!$C$54,"Да","Нет"))</x:f>
        <x:v>Да</x:v>
      </x:c>
      <x:c r="N1495" s="1" t="str">
        <x:f>IF(AND('Данные'!D1495&gt;='Дашборд'!$C$55,D1495&lt;'Дашборд'!$C$56,'Данные'!E1495&gt;='Дашборд'!$C$53,'Данные'!L1495&lt;&gt;"Да"),"Да","Нет")</x:f>
        <x:v>Да</x:v>
      </x:c>
      <x:c r="O1495" s="1" t="str">
        <x:f>'Данные'!L1495</x:f>
        <x:v>Нет</x:v>
      </x:c>
    </x:row>
    <x:row r="1496">
      <x:c r="A1496" s="1" t="str">
        <x:f>'Данные'!A1496</x:f>
        <x:v>256315185</x:v>
      </x:c>
      <x:c r="B1496" s="1" t="str">
        <x:f>'Данные'!B1496</x:f>
        <x:v>bazahlop/белый</x:v>
      </x:c>
      <x:c r="C1496" s="8" t="n">
        <x:f>'Данные'!G1496</x:f>
        <x:v>6542</x:v>
      </x:c>
      <x:c r="D1496" s="15" t="n">
        <x:f>C1496/SUM($C$5:$C$2477)</x:f>
        <x:v>0.000007642518980751378</x:v>
      </x:c>
      <x:c r="E1496" s="15" t="n">
        <x:f>SUM($D$5:D1496)</x:f>
        <x:v>0.9994679746042376</x:v>
      </x:c>
      <x:c r="F1496" s="1" t="str">
        <x:f>IF(C1496&lt;=0,"C",IF(E1496-D1496&lt;'Дашборд'!$C$49,"A",IF(E1496-D1496&lt;'Дашборд'!$C$50,"B","C")))</x:f>
        <x:v>C</x:v>
      </x:c>
      <x:c r="G1496" s="8" t="n">
        <x:f>'Данные'!F1496</x:f>
        <x:v>24</x:v>
      </x:c>
      <x:c r="H1496" s="8" t="n">
        <x:f>SUM('Данные'!H1496:I1496)</x:f>
        <x:v>64</x:v>
      </x:c>
      <x:c r="I1496" s="16" t="n">
        <x:f>IF(H1496&gt;0,G1496/H1496,"n.a.")</x:f>
        <x:v>0.375</x:v>
      </x:c>
      <x:c r="J1496" s="10" t="n">
        <x:f>IF('Данные'!E1496&gt;0,G1496/'Данные'!E1496,"n.a.")</x:f>
        <x:v>0.006785411365564037</x:v>
      </x:c>
      <x:c r="K1496" s="1" t="str">
        <x:f>IF(G1496&gt;='Дашборд'!$C$51,"X","Z")</x:f>
        <x:v>Z</x:v>
      </x:c>
      <x:c r="L1496" s="1" t="str">
        <x:f>IF(H1496=0,IF(G1496&gt;0,"Нет остатка","Нет спроса"),IF(I1496&gt;='Дашборд'!$C$52,"Быстрый","Медленный"))</x:f>
        <x:v>Медленный</x:v>
      </x:c>
      <x:c r="M1496" s="1" t="str">
        <x:f>IF('Данные'!E1496&lt;'Дашборд'!$C$53,"Мало трафика",IF(J1496&lt;'Дашборд'!$C$9*'Дашборд'!$C$54,"Да","Нет"))</x:f>
        <x:v>Да</x:v>
      </x:c>
      <x:c r="N1496" s="1" t="str">
        <x:f>IF(AND('Данные'!D1496&gt;='Дашборд'!$C$55,D1496&lt;'Дашборд'!$C$56,'Данные'!E1496&gt;='Дашборд'!$C$53,'Данные'!L1496&lt;&gt;"Да"),"Да","Нет")</x:f>
        <x:v>Нет</x:v>
      </x:c>
      <x:c r="O1496" s="1" t="str">
        <x:f>'Данные'!L1496</x:f>
        <x:v>Нет</x:v>
      </x:c>
    </x:row>
    <x:row r="1497">
      <x:c r="A1497" s="1" t="str">
        <x:f>'Данные'!A1497</x:f>
        <x:v>170169476</x:v>
      </x:c>
      <x:c r="B1497" s="1" t="str">
        <x:f>'Данные'!B1497</x:f>
        <x:v>brukiman/голубой</x:v>
      </x:c>
      <x:c r="C1497" s="8" t="n">
        <x:f>'Данные'!G1497</x:f>
        <x:v>6539</x:v>
      </x:c>
      <x:c r="D1497" s="15" t="n">
        <x:f>C1497/SUM($C$5:$C$2477)</x:f>
        <x:v>0.000007639014309864455</x:v>
      </x:c>
      <x:c r="E1497" s="15" t="n">
        <x:f>SUM($D$5:D1497)</x:f>
        <x:v>0.9994756136185475</x:v>
      </x:c>
      <x:c r="F1497" s="1" t="str">
        <x:f>IF(C1497&lt;=0,"C",IF(E1497-D1497&lt;'Дашборд'!$C$49,"A",IF(E1497-D1497&lt;'Дашборд'!$C$50,"B","C")))</x:f>
        <x:v>C</x:v>
      </x:c>
      <x:c r="G1497" s="8" t="n">
        <x:f>'Данные'!F1497</x:f>
        <x:v>12</x:v>
      </x:c>
      <x:c r="H1497" s="8" t="n">
        <x:f>SUM('Данные'!H1497:I1497)</x:f>
        <x:v>15</x:v>
      </x:c>
      <x:c r="I1497" s="16" t="n">
        <x:f>IF(H1497&gt;0,G1497/H1497,"n.a.")</x:f>
        <x:v>0.8</x:v>
      </x:c>
      <x:c r="J1497" s="10" t="n">
        <x:f>IF('Данные'!E1497&gt;0,G1497/'Данные'!E1497,"n.a.")</x:f>
        <x:v>0.0064794816414686825</x:v>
      </x:c>
      <x:c r="K1497" s="1" t="str">
        <x:f>IF(G1497&gt;='Дашборд'!$C$51,"X","Z")</x:f>
        <x:v>Z</x:v>
      </x:c>
      <x:c r="L1497" s="1" t="str">
        <x:f>IF(H1497=0,IF(G1497&gt;0,"Нет остатка","Нет спроса"),IF(I1497&gt;='Дашборд'!$C$52,"Быстрый","Медленный"))</x:f>
        <x:v>Медленный</x:v>
      </x:c>
      <x:c r="M1497" s="1" t="str">
        <x:f>IF('Данные'!E1497&lt;'Дашборд'!$C$53,"Мало трафика",IF(J1497&lt;'Дашборд'!$C$9*'Дашборд'!$C$54,"Да","Нет"))</x:f>
        <x:v>Да</x:v>
      </x:c>
      <x:c r="N1497" s="1" t="str">
        <x:f>IF(AND('Данные'!D1497&gt;='Дашборд'!$C$55,D1497&lt;'Дашборд'!$C$56,'Данные'!E1497&gt;='Дашборд'!$C$53,'Данные'!L1497&lt;&gt;"Да"),"Да","Нет")</x:f>
        <x:v>Да</x:v>
      </x:c>
      <x:c r="O1497" s="1" t="str">
        <x:f>'Данные'!L1497</x:f>
        <x:v>Нет</x:v>
      </x:c>
    </x:row>
    <x:row r="1498">
      <x:c r="A1498" s="1" t="str">
        <x:f>'Данные'!A1498</x:f>
        <x:v>334774970</x:v>
      </x:c>
      <x:c r="B1498" s="1" t="str">
        <x:f>'Данные'!B1498</x:f>
        <x:v>brukigirl/бордовый</x:v>
      </x:c>
      <x:c r="C1498" s="8" t="n">
        <x:f>'Данные'!G1498</x:f>
        <x:v>6534</x:v>
      </x:c>
      <x:c r="D1498" s="15" t="n">
        <x:f>C1498/SUM($C$5:$C$2477)</x:f>
        <x:v>0.000007633173191719583</x:v>
      </x:c>
      <x:c r="E1498" s="15" t="n">
        <x:f>SUM($D$5:D1498)</x:f>
        <x:v>0.9994832467917393</x:v>
      </x:c>
      <x:c r="F1498" s="1" t="str">
        <x:f>IF(C1498&lt;=0,"C",IF(E1498-D1498&lt;'Дашборд'!$C$49,"A",IF(E1498-D1498&lt;'Дашборд'!$C$50,"B","C")))</x:f>
        <x:v>C</x:v>
      </x:c>
      <x:c r="G1498" s="8" t="n">
        <x:f>'Данные'!F1498</x:f>
        <x:v>16</x:v>
      </x:c>
      <x:c r="H1498" s="8" t="n">
        <x:f>SUM('Данные'!H1498:I1498)</x:f>
        <x:v>142</x:v>
      </x:c>
      <x:c r="I1498" s="16" t="n">
        <x:f>IF(H1498&gt;0,G1498/H1498,"n.a.")</x:f>
        <x:v>0.11267605633802817</x:v>
      </x:c>
      <x:c r="J1498" s="10" t="n">
        <x:f>IF('Данные'!E1498&gt;0,G1498/'Данные'!E1498,"n.a.")</x:f>
        <x:v>0.003975155279503106</x:v>
      </x:c>
      <x:c r="K1498" s="1" t="str">
        <x:f>IF(G1498&gt;='Дашборд'!$C$51,"X","Z")</x:f>
        <x:v>Z</x:v>
      </x:c>
      <x:c r="L1498" s="1" t="str">
        <x:f>IF(H1498=0,IF(G1498&gt;0,"Нет остатка","Нет спроса"),IF(I1498&gt;='Дашборд'!$C$52,"Быстрый","Медленный"))</x:f>
        <x:v>Медленный</x:v>
      </x:c>
      <x:c r="M1498" s="1" t="str">
        <x:f>IF('Данные'!E1498&lt;'Дашборд'!$C$53,"Мало трафика",IF(J1498&lt;'Дашборд'!$C$9*'Дашборд'!$C$54,"Да","Нет"))</x:f>
        <x:v>Да</x:v>
      </x:c>
      <x:c r="N1498" s="1" t="str">
        <x:f>IF(AND('Данные'!D1498&gt;='Дашборд'!$C$55,D1498&lt;'Дашборд'!$C$56,'Данные'!E1498&gt;='Дашборд'!$C$53,'Данные'!L1498&lt;&gt;"Да"),"Да","Нет")</x:f>
        <x:v>Нет</x:v>
      </x:c>
      <x:c r="O1498" s="1" t="str">
        <x:f>'Данные'!L1498</x:f>
        <x:v>Нет</x:v>
      </x:c>
    </x:row>
    <x:row r="1499">
      <x:c r="A1499" s="1" t="str">
        <x:f>'Данные'!A1499</x:f>
        <x:v>209915682</x:v>
      </x:c>
      <x:c r="B1499" s="1" t="str">
        <x:f>'Данные'!B1499</x:f>
        <x:v>shorty/дымка</x:v>
      </x:c>
      <x:c r="C1499" s="8" t="n">
        <x:f>'Данные'!G1499</x:f>
        <x:v>6519</x:v>
      </x:c>
      <x:c r="D1499" s="15" t="n">
        <x:f>C1499/SUM($C$5:$C$2477)</x:f>
        <x:v>0.0000076156498372849646</x:v>
      </x:c>
      <x:c r="E1499" s="15" t="n">
        <x:f>SUM($D$5:D1499)</x:f>
        <x:v>0.9994908624415766</x:v>
      </x:c>
      <x:c r="F1499" s="1" t="str">
        <x:f>IF(C1499&lt;=0,"C",IF(E1499-D1499&lt;'Дашборд'!$C$49,"A",IF(E1499-D1499&lt;'Дашборд'!$C$50,"B","C")))</x:f>
        <x:v>C</x:v>
      </x:c>
      <x:c r="G1499" s="8" t="n">
        <x:f>'Данные'!F1499</x:f>
        <x:v>13</x:v>
      </x:c>
      <x:c r="H1499" s="8" t="n">
        <x:f>SUM('Данные'!H1499:I1499)</x:f>
        <x:v>90</x:v>
      </x:c>
      <x:c r="I1499" s="16" t="n">
        <x:f>IF(H1499&gt;0,G1499/H1499,"n.a.")</x:f>
        <x:v>0.14444444444444443</x:v>
      </x:c>
      <x:c r="J1499" s="10" t="n">
        <x:f>IF('Данные'!E1499&gt;0,G1499/'Данные'!E1499,"n.a.")</x:f>
        <x:v>0.0040460628695922814</x:v>
      </x:c>
      <x:c r="K1499" s="1" t="str">
        <x:f>IF(G1499&gt;='Дашборд'!$C$51,"X","Z")</x:f>
        <x:v>Z</x:v>
      </x:c>
      <x:c r="L1499" s="1" t="str">
        <x:f>IF(H1499=0,IF(G1499&gt;0,"Нет остатка","Нет спроса"),IF(I1499&gt;='Дашборд'!$C$52,"Быстрый","Медленный"))</x:f>
        <x:v>Медленный</x:v>
      </x:c>
      <x:c r="M1499" s="1" t="str">
        <x:f>IF('Данные'!E1499&lt;'Дашборд'!$C$53,"Мало трафика",IF(J1499&lt;'Дашборд'!$C$9*'Дашборд'!$C$54,"Да","Нет"))</x:f>
        <x:v>Да</x:v>
      </x:c>
      <x:c r="N1499" s="1" t="str">
        <x:f>IF(AND('Данные'!D1499&gt;='Дашборд'!$C$55,D1499&lt;'Дашборд'!$C$56,'Данные'!E1499&gt;='Дашборд'!$C$53,'Данные'!L1499&lt;&gt;"Да"),"Да","Нет")</x:f>
        <x:v>Нет</x:v>
      </x:c>
      <x:c r="O1499" s="1" t="str">
        <x:f>'Данные'!L1499</x:f>
        <x:v>Нет</x:v>
      </x:c>
    </x:row>
    <x:row r="1500">
      <x:c r="A1500" s="1" t="str">
        <x:f>'Данные'!A1500</x:f>
        <x:v>158696710</x:v>
      </x:c>
      <x:c r="B1500" s="1" t="str">
        <x:f>'Данные'!B1500</x:f>
        <x:v>brukiman/зеленый</x:v>
      </x:c>
      <x:c r="C1500" s="8" t="n">
        <x:f>'Данные'!G1500</x:f>
        <x:v>6517</x:v>
      </x:c>
      <x:c r="D1500" s="15" t="n">
        <x:f>C1500/SUM($C$5:$C$2477)</x:f>
        <x:v>0.000007613313390027015</x:v>
      </x:c>
      <x:c r="E1500" s="15" t="n">
        <x:f>SUM($D$5:D1500)</x:f>
        <x:v>0.9994984757549666</x:v>
      </x:c>
      <x:c r="F1500" s="1" t="str">
        <x:f>IF(C1500&lt;=0,"C",IF(E1500-D1500&lt;'Дашборд'!$C$49,"A",IF(E1500-D1500&lt;'Дашборд'!$C$50,"B","C")))</x:f>
        <x:v>C</x:v>
      </x:c>
      <x:c r="G1500" s="8" t="n">
        <x:f>'Данные'!F1500</x:f>
        <x:v>15</x:v>
      </x:c>
      <x:c r="H1500" s="8" t="n">
        <x:f>SUM('Данные'!H1500:I1500)</x:f>
        <x:v>90</x:v>
      </x:c>
      <x:c r="I1500" s="16" t="n">
        <x:f>IF(H1500&gt;0,G1500/H1500,"n.a.")</x:f>
        <x:v>0.16666666666666666</x:v>
      </x:c>
      <x:c r="J1500" s="10" t="n">
        <x:f>IF('Данные'!E1500&gt;0,G1500/'Данные'!E1500,"n.a.")</x:f>
        <x:v>0.008237232289950576</x:v>
      </x:c>
      <x:c r="K1500" s="1" t="str">
        <x:f>IF(G1500&gt;='Дашборд'!$C$51,"X","Z")</x:f>
        <x:v>Z</x:v>
      </x:c>
      <x:c r="L1500" s="1" t="str">
        <x:f>IF(H1500=0,IF(G1500&gt;0,"Нет остатка","Нет спроса"),IF(I1500&gt;='Дашборд'!$C$52,"Быстрый","Медленный"))</x:f>
        <x:v>Медленный</x:v>
      </x:c>
      <x:c r="M1500" s="1" t="str">
        <x:f>IF('Данные'!E1500&lt;'Дашборд'!$C$53,"Мало трафика",IF(J1500&lt;'Дашборд'!$C$9*'Дашборд'!$C$54,"Да","Нет"))</x:f>
        <x:v>Да</x:v>
      </x:c>
      <x:c r="N1500" s="1" t="str">
        <x:f>IF(AND('Данные'!D1500&gt;='Дашборд'!$C$55,D1500&lt;'Дашборд'!$C$56,'Данные'!E1500&gt;='Дашборд'!$C$53,'Данные'!L1500&lt;&gt;"Да"),"Да","Нет")</x:f>
        <x:v>Нет</x:v>
      </x:c>
      <x:c r="O1500" s="1" t="str">
        <x:f>'Данные'!L1500</x:f>
        <x:v>Нет</x:v>
      </x:c>
    </x:row>
    <x:row r="1501">
      <x:c r="A1501" s="1" t="str">
        <x:f>'Данные'!A1501</x:f>
        <x:v>344438913</x:v>
      </x:c>
      <x:c r="B1501" s="1" t="str">
        <x:f>'Данные'!B1501</x:f>
        <x:v>tophumo/бежевый</x:v>
      </x:c>
      <x:c r="C1501" s="8" t="n">
        <x:f>'Данные'!G1501</x:f>
        <x:v>6510</x:v>
      </x:c>
      <x:c r="D1501" s="15" t="n">
        <x:f>C1501/SUM($C$5:$C$2477)</x:f>
        <x:v>0.0000076051358246241944</x:v>
      </x:c>
      <x:c r="E1501" s="15" t="n">
        <x:f>SUM($D$5:D1501)</x:f>
        <x:v>0.9995060808907913</x:v>
      </x:c>
      <x:c r="F1501" s="1" t="str">
        <x:f>IF(C1501&lt;=0,"C",IF(E1501-D1501&lt;'Дашборд'!$C$49,"A",IF(E1501-D1501&lt;'Дашборд'!$C$50,"B","C")))</x:f>
        <x:v>C</x:v>
      </x:c>
      <x:c r="G1501" s="8" t="n">
        <x:f>'Данные'!F1501</x:f>
        <x:v>14</x:v>
      </x:c>
      <x:c r="H1501" s="8" t="n">
        <x:f>SUM('Данные'!H1501:I1501)</x:f>
        <x:v>235</x:v>
      </x:c>
      <x:c r="I1501" s="16" t="n">
        <x:f>IF(H1501&gt;0,G1501/H1501,"n.a.")</x:f>
        <x:v>0.059574468085106386</x:v>
      </x:c>
      <x:c r="J1501" s="10" t="n">
        <x:f>IF('Данные'!E1501&gt;0,G1501/'Данные'!E1501,"n.a.")</x:f>
        <x:v>0.0015335743235841822</x:v>
      </x:c>
      <x:c r="K1501" s="1" t="str">
        <x:f>IF(G1501&gt;='Дашборд'!$C$51,"X","Z")</x:f>
        <x:v>Z</x:v>
      </x:c>
      <x:c r="L1501" s="1" t="str">
        <x:f>IF(H1501=0,IF(G1501&gt;0,"Нет остатка","Нет спроса"),IF(I1501&gt;='Дашборд'!$C$52,"Быстрый","Медленный"))</x:f>
        <x:v>Медленный</x:v>
      </x:c>
      <x:c r="M1501" s="1" t="str">
        <x:f>IF('Данные'!E1501&lt;'Дашборд'!$C$53,"Мало трафика",IF(J1501&lt;'Дашборд'!$C$9*'Дашборд'!$C$54,"Да","Нет"))</x:f>
        <x:v>Да</x:v>
      </x:c>
      <x:c r="N1501" s="1" t="str">
        <x:f>IF(AND('Данные'!D1501&gt;='Дашборд'!$C$55,D1501&lt;'Дашборд'!$C$56,'Данные'!E1501&gt;='Дашборд'!$C$53,'Данные'!L1501&lt;&gt;"Да"),"Да","Нет")</x:f>
        <x:v>Нет</x:v>
      </x:c>
      <x:c r="O1501" s="1" t="str">
        <x:f>'Данные'!L1501</x:f>
        <x:v>Нет</x:v>
      </x:c>
    </x:row>
    <x:row r="1502">
      <x:c r="A1502" s="1" t="str">
        <x:f>'Данные'!A1502</x:f>
        <x:v>179951201</x:v>
      </x:c>
      <x:c r="B1502" s="1" t="str">
        <x:f>'Данные'!B1502</x:f>
        <x:v>palazzo/серый</x:v>
      </x:c>
      <x:c r="C1502" s="8" t="n">
        <x:f>'Данные'!G1502</x:f>
        <x:v>6496</x:v>
      </x:c>
      <x:c r="D1502" s="15" t="n">
        <x:f>C1502/SUM($C$5:$C$2477)</x:f>
        <x:v>0.000007588780693818551</x:v>
      </x:c>
      <x:c r="E1502" s="15" t="n">
        <x:f>SUM($D$5:D1502)</x:f>
        <x:v>0.9995136696714851</x:v>
      </x:c>
      <x:c r="F1502" s="1" t="str">
        <x:f>IF(C1502&lt;=0,"C",IF(E1502-D1502&lt;'Дашборд'!$C$49,"A",IF(E1502-D1502&lt;'Дашборд'!$C$50,"B","C")))</x:f>
        <x:v>C</x:v>
      </x:c>
      <x:c r="G1502" s="8" t="n">
        <x:f>'Данные'!F1502</x:f>
        <x:v>7</x:v>
      </x:c>
      <x:c r="H1502" s="8" t="n">
        <x:f>SUM('Данные'!H1502:I1502)</x:f>
        <x:v>1</x:v>
      </x:c>
      <x:c r="I1502" s="16" t="n">
        <x:f>IF(H1502&gt;0,G1502/H1502,"n.a.")</x:f>
        <x:v>7</x:v>
      </x:c>
      <x:c r="J1502" s="10" t="n">
        <x:f>IF('Данные'!E1502&gt;0,G1502/'Данные'!E1502,"n.a.")</x:f>
        <x:v>0.007231404958677686</x:v>
      </x:c>
      <x:c r="K1502" s="1" t="str">
        <x:f>IF(G1502&gt;='Дашборд'!$C$51,"X","Z")</x:f>
        <x:v>Z</x:v>
      </x:c>
      <x:c r="L1502" s="1" t="str">
        <x:f>IF(H1502=0,IF(G1502&gt;0,"Нет остатка","Нет спроса"),IF(I1502&gt;='Дашборд'!$C$52,"Быстрый","Медленный"))</x:f>
        <x:v>Быстрый</x:v>
      </x:c>
      <x:c r="M1502" s="1" t="str">
        <x:f>IF('Данные'!E1502&lt;'Дашборд'!$C$53,"Мало трафика",IF(J1502&lt;'Дашборд'!$C$9*'Дашборд'!$C$54,"Да","Нет"))</x:f>
        <x:v>Мало трафика</x:v>
      </x:c>
      <x:c r="N1502" s="1" t="str">
        <x:f>IF(AND('Данные'!D1502&gt;='Дашборд'!$C$55,D1502&lt;'Дашборд'!$C$56,'Данные'!E1502&gt;='Дашборд'!$C$53,'Данные'!L1502&lt;&gt;"Да"),"Да","Нет")</x:f>
        <x:v>Нет</x:v>
      </x:c>
      <x:c r="O1502" s="1" t="str">
        <x:f>'Данные'!L1502</x:f>
        <x:v>Нет</x:v>
      </x:c>
    </x:row>
    <x:row r="1503">
      <x:c r="A1503" s="1" t="str">
        <x:f>'Данные'!A1503</x:f>
        <x:v>234287021</x:v>
      </x:c>
      <x:c r="B1503" s="1" t="str">
        <x:f>'Данные'!B1503</x:f>
        <x:v>svitshotmanpetl/темно-синий</x:v>
      </x:c>
      <x:c r="C1503" s="8" t="n">
        <x:f>'Данные'!G1503</x:f>
        <x:v>6473</x:v>
      </x:c>
      <x:c r="D1503" s="15" t="n">
        <x:f>C1503/SUM($C$5:$C$2477)</x:f>
        <x:v>0.000007561911550352136</x:v>
      </x:c>
      <x:c r="E1503" s="15" t="n">
        <x:f>SUM($D$5:D1503)</x:f>
        <x:v>0.9995212315830355</x:v>
      </x:c>
      <x:c r="F1503" s="1" t="str">
        <x:f>IF(C1503&lt;=0,"C",IF(E1503-D1503&lt;'Дашборд'!$C$49,"A",IF(E1503-D1503&lt;'Дашборд'!$C$50,"B","C")))</x:f>
        <x:v>C</x:v>
      </x:c>
      <x:c r="G1503" s="8" t="n">
        <x:f>'Данные'!F1503</x:f>
        <x:v>6</x:v>
      </x:c>
      <x:c r="H1503" s="8" t="n">
        <x:f>SUM('Данные'!H1503:I1503)</x:f>
        <x:v>0</x:v>
      </x:c>
      <x:c r="I1503" s="16" t="str">
        <x:f>IF(H1503&gt;0,G1503/H1503,"n.a.")</x:f>
        <x:v>n.a.</x:v>
      </x:c>
      <x:c r="J1503" s="10" t="n">
        <x:f>IF('Данные'!E1503&gt;0,G1503/'Данные'!E1503,"n.a.")</x:f>
        <x:v>0.00228310502283105</x:v>
      </x:c>
      <x:c r="K1503" s="1" t="str">
        <x:f>IF(G1503&gt;='Дашборд'!$C$51,"X","Z")</x:f>
        <x:v>Z</x:v>
      </x:c>
      <x:c r="L1503" s="1" t="str">
        <x:f>IF(H1503=0,IF(G1503&gt;0,"Нет остатка","Нет спроса"),IF(I1503&gt;='Дашборд'!$C$52,"Быстрый","Медленный"))</x:f>
        <x:v>Нет остатка</x:v>
      </x:c>
      <x:c r="M1503" s="1" t="str">
        <x:f>IF('Данные'!E1503&lt;'Дашборд'!$C$53,"Мало трафика",IF(J1503&lt;'Дашборд'!$C$9*'Дашборд'!$C$54,"Да","Нет"))</x:f>
        <x:v>Да</x:v>
      </x:c>
      <x:c r="N1503" s="1" t="str">
        <x:f>IF(AND('Данные'!D1503&gt;='Дашборд'!$C$55,D1503&lt;'Дашборд'!$C$56,'Данные'!E1503&gt;='Дашборд'!$C$53,'Данные'!L1503&lt;&gt;"Да"),"Да","Нет")</x:f>
        <x:v>Нет</x:v>
      </x:c>
      <x:c r="O1503" s="1" t="str">
        <x:f>'Данные'!L1503</x:f>
        <x:v>Нет</x:v>
      </x:c>
    </x:row>
    <x:row r="1504">
      <x:c r="A1504" s="1" t="str">
        <x:f>'Данные'!A1504</x:f>
        <x:v>240808516</x:v>
      </x:c>
      <x:c r="B1504" s="1" t="str">
        <x:f>'Данные'!B1504</x:f>
        <x:v>brukiboy/темно-серый</x:v>
      </x:c>
      <x:c r="C1504" s="8" t="n">
        <x:f>'Данные'!G1504</x:f>
        <x:v>6412</x:v>
      </x:c>
      <x:c r="D1504" s="15" t="n">
        <x:f>C1504/SUM($C$5:$C$2477)</x:f>
        <x:v>0.00000749064990898469</x:v>
      </x:c>
      <x:c r="E1504" s="15" t="n">
        <x:f>SUM($D$5:D1504)</x:f>
        <x:v>0.9995287222329445</x:v>
      </x:c>
      <x:c r="F1504" s="1" t="str">
        <x:f>IF(C1504&lt;=0,"C",IF(E1504-D1504&lt;'Дашборд'!$C$49,"A",IF(E1504-D1504&lt;'Дашборд'!$C$50,"B","C")))</x:f>
        <x:v>C</x:v>
      </x:c>
      <x:c r="G1504" s="8" t="n">
        <x:f>'Данные'!F1504</x:f>
        <x:v>12</x:v>
      </x:c>
      <x:c r="H1504" s="8" t="n">
        <x:f>SUM('Данные'!H1504:I1504)</x:f>
        <x:v>79</x:v>
      </x:c>
      <x:c r="I1504" s="16" t="n">
        <x:f>IF(H1504&gt;0,G1504/H1504,"n.a.")</x:f>
        <x:v>0.1518987341772152</x:v>
      </x:c>
      <x:c r="J1504" s="10" t="n">
        <x:f>IF('Данные'!E1504&gt;0,G1504/'Данные'!E1504,"n.a.")</x:f>
        <x:v>0.0032292787944025836</x:v>
      </x:c>
      <x:c r="K1504" s="1" t="str">
        <x:f>IF(G1504&gt;='Дашборд'!$C$51,"X","Z")</x:f>
        <x:v>Z</x:v>
      </x:c>
      <x:c r="L1504" s="1" t="str">
        <x:f>IF(H1504=0,IF(G1504&gt;0,"Нет остатка","Нет спроса"),IF(I1504&gt;='Дашборд'!$C$52,"Быстрый","Медленный"))</x:f>
        <x:v>Медленный</x:v>
      </x:c>
      <x:c r="M1504" s="1" t="str">
        <x:f>IF('Данные'!E1504&lt;'Дашборд'!$C$53,"Мало трафика",IF(J1504&lt;'Дашборд'!$C$9*'Дашборд'!$C$54,"Да","Нет"))</x:f>
        <x:v>Да</x:v>
      </x:c>
      <x:c r="N1504" s="1" t="str">
        <x:f>IF(AND('Данные'!D1504&gt;='Дашборд'!$C$55,D1504&lt;'Дашборд'!$C$56,'Данные'!E1504&gt;='Дашборд'!$C$53,'Данные'!L1504&lt;&gt;"Да"),"Да","Нет")</x:f>
        <x:v>Нет</x:v>
      </x:c>
      <x:c r="O1504" s="1" t="str">
        <x:f>'Данные'!L1504</x:f>
        <x:v>Нет</x:v>
      </x:c>
    </x:row>
    <x:row r="1505">
      <x:c r="A1505" s="1" t="str">
        <x:f>'Данные'!A1505</x:f>
        <x:v>246012965</x:v>
      </x:c>
      <x:c r="B1505" s="1" t="str">
        <x:f>'Данные'!B1505</x:f>
        <x:v>bazakulgirl/молочный</x:v>
      </x:c>
      <x:c r="C1505" s="8" t="n">
        <x:f>'Данные'!G1505</x:f>
        <x:v>6390</x:v>
      </x:c>
      <x:c r="D1505" s="15" t="n">
        <x:f>C1505/SUM($C$5:$C$2477)</x:f>
        <x:v>0.000007464948989147251</x:v>
      </x:c>
      <x:c r="E1505" s="15" t="n">
        <x:f>SUM($D$5:D1505)</x:f>
        <x:v>0.9995361871819337</x:v>
      </x:c>
      <x:c r="F1505" s="1" t="str">
        <x:f>IF(C1505&lt;=0,"C",IF(E1505-D1505&lt;'Дашборд'!$C$49,"A",IF(E1505-D1505&lt;'Дашборд'!$C$50,"B","C")))</x:f>
        <x:v>C</x:v>
      </x:c>
      <x:c r="G1505" s="8" t="n">
        <x:f>'Данные'!F1505</x:f>
        <x:v>16</x:v>
      </x:c>
      <x:c r="H1505" s="8" t="n">
        <x:f>SUM('Данные'!H1505:I1505)</x:f>
        <x:v>2</x:v>
      </x:c>
      <x:c r="I1505" s="16" t="n">
        <x:f>IF(H1505&gt;0,G1505/H1505,"n.a.")</x:f>
        <x:v>8</x:v>
      </x:c>
      <x:c r="J1505" s="10" t="n">
        <x:f>IF('Данные'!E1505&gt;0,G1505/'Данные'!E1505,"n.a.")</x:f>
        <x:v>0.00857449088960343</x:v>
      </x:c>
      <x:c r="K1505" s="1" t="str">
        <x:f>IF(G1505&gt;='Дашборд'!$C$51,"X","Z")</x:f>
        <x:v>Z</x:v>
      </x:c>
      <x:c r="L1505" s="1" t="str">
        <x:f>IF(H1505=0,IF(G1505&gt;0,"Нет остатка","Нет спроса"),IF(I1505&gt;='Дашборд'!$C$52,"Быстрый","Медленный"))</x:f>
        <x:v>Быстрый</x:v>
      </x:c>
      <x:c r="M1505" s="1" t="str">
        <x:f>IF('Данные'!E1505&lt;'Дашборд'!$C$53,"Мало трафика",IF(J1505&lt;'Дашборд'!$C$9*'Дашборд'!$C$54,"Да","Нет"))</x:f>
        <x:v>Да</x:v>
      </x:c>
      <x:c r="N1505" s="1" t="str">
        <x:f>IF(AND('Данные'!D1505&gt;='Дашборд'!$C$55,D1505&lt;'Дашборд'!$C$56,'Данные'!E1505&gt;='Дашборд'!$C$53,'Данные'!L1505&lt;&gt;"Да"),"Да","Нет")</x:f>
        <x:v>Да</x:v>
      </x:c>
      <x:c r="O1505" s="1" t="str">
        <x:f>'Данные'!L1505</x:f>
        <x:v>Нет</x:v>
      </x:c>
    </x:row>
    <x:row r="1506">
      <x:c r="A1506" s="1" t="str">
        <x:f>'Данные'!A1506</x:f>
        <x:v>357020146</x:v>
      </x:c>
      <x:c r="B1506" s="1" t="str">
        <x:f>'Данные'!B1506</x:f>
        <x:v>bazakulgirl/коричневый</x:v>
      </x:c>
      <x:c r="C1506" s="8" t="n">
        <x:f>'Данные'!G1506</x:f>
        <x:v>6242</x:v>
      </x:c>
      <x:c r="D1506" s="15" t="n">
        <x:f>C1506/SUM($C$5:$C$2477)</x:f>
        <x:v>0.00000729205189205902</x:v>
      </x:c>
      <x:c r="E1506" s="15" t="n">
        <x:f>SUM($D$5:D1506)</x:f>
        <x:v>0.9995434792338258</x:v>
      </x:c>
      <x:c r="F1506" s="1" t="str">
        <x:f>IF(C1506&lt;=0,"C",IF(E1506-D1506&lt;'Дашборд'!$C$49,"A",IF(E1506-D1506&lt;'Дашборд'!$C$50,"B","C")))</x:f>
        <x:v>C</x:v>
      </x:c>
      <x:c r="G1506" s="8" t="n">
        <x:f>'Данные'!F1506</x:f>
        <x:v>13</x:v>
      </x:c>
      <x:c r="H1506" s="8" t="n">
        <x:f>SUM('Данные'!H1506:I1506)</x:f>
        <x:v>443</x:v>
      </x:c>
      <x:c r="I1506" s="16" t="n">
        <x:f>IF(H1506&gt;0,G1506/H1506,"n.a.")</x:f>
        <x:v>0.029345372460496615</x:v>
      </x:c>
      <x:c r="J1506" s="10" t="n">
        <x:f>IF('Данные'!E1506&gt;0,G1506/'Данные'!E1506,"n.a.")</x:f>
        <x:v>0.011872146118721462</x:v>
      </x:c>
      <x:c r="K1506" s="1" t="str">
        <x:f>IF(G1506&gt;='Дашборд'!$C$51,"X","Z")</x:f>
        <x:v>Z</x:v>
      </x:c>
      <x:c r="L1506" s="1" t="str">
        <x:f>IF(H1506=0,IF(G1506&gt;0,"Нет остатка","Нет спроса"),IF(I1506&gt;='Дашборд'!$C$52,"Быстрый","Медленный"))</x:f>
        <x:v>Медленный</x:v>
      </x:c>
      <x:c r="M1506" s="1" t="str">
        <x:f>IF('Данные'!E1506&lt;'Дашборд'!$C$53,"Мало трафика",IF(J1506&lt;'Дашборд'!$C$9*'Дашборд'!$C$54,"Да","Нет"))</x:f>
        <x:v>Нет</x:v>
      </x:c>
      <x:c r="N1506" s="1" t="str">
        <x:f>IF(AND('Данные'!D1506&gt;='Дашборд'!$C$55,D1506&lt;'Дашборд'!$C$56,'Данные'!E1506&gt;='Дашборд'!$C$53,'Данные'!L1506&lt;&gt;"Да"),"Да","Нет")</x:f>
        <x:v>Да</x:v>
      </x:c>
      <x:c r="O1506" s="1" t="str">
        <x:f>'Данные'!L1506</x:f>
        <x:v>Нет</x:v>
      </x:c>
    </x:row>
    <x:row r="1507">
      <x:c r="A1507" s="1" t="str">
        <x:f>'Данные'!A1507</x:f>
        <x:v>357022578</x:v>
      </x:c>
      <x:c r="B1507" s="1" t="str">
        <x:f>'Данные'!B1507</x:f>
        <x:v>bazakulgirl/какао</x:v>
      </x:c>
      <x:c r="C1507" s="8" t="n">
        <x:f>'Данные'!G1507</x:f>
        <x:v>6234</x:v>
      </x:c>
      <x:c r="D1507" s="15" t="n">
        <x:f>C1507/SUM($C$5:$C$2477)</x:f>
        <x:v>0.000007282706103027224</x:v>
      </x:c>
      <x:c r="E1507" s="15" t="n">
        <x:f>SUM($D$5:D1507)</x:f>
        <x:v>0.9995507619399289</x:v>
      </x:c>
      <x:c r="F1507" s="1" t="str">
        <x:f>IF(C1507&lt;=0,"C",IF(E1507-D1507&lt;'Дашборд'!$C$49,"A",IF(E1507-D1507&lt;'Дашборд'!$C$50,"B","C")))</x:f>
        <x:v>C</x:v>
      </x:c>
      <x:c r="G1507" s="8" t="n">
        <x:f>'Данные'!F1507</x:f>
        <x:v>19</x:v>
      </x:c>
      <x:c r="H1507" s="8" t="n">
        <x:f>SUM('Данные'!H1507:I1507)</x:f>
        <x:v>795</x:v>
      </x:c>
      <x:c r="I1507" s="16" t="n">
        <x:f>IF(H1507&gt;0,G1507/H1507,"n.a.")</x:f>
        <x:v>0.02389937106918239</x:v>
      </x:c>
      <x:c r="J1507" s="10" t="n">
        <x:f>IF('Данные'!E1507&gt;0,G1507/'Данные'!E1507,"n.a.")</x:f>
        <x:v>0.010237068965517241</x:v>
      </x:c>
      <x:c r="K1507" s="1" t="str">
        <x:f>IF(G1507&gt;='Дашборд'!$C$51,"X","Z")</x:f>
        <x:v>Z</x:v>
      </x:c>
      <x:c r="L1507" s="1" t="str">
        <x:f>IF(H1507=0,IF(G1507&gt;0,"Нет остатка","Нет спроса"),IF(I1507&gt;='Дашборд'!$C$52,"Быстрый","Медленный"))</x:f>
        <x:v>Медленный</x:v>
      </x:c>
      <x:c r="M1507" s="1" t="str">
        <x:f>IF('Данные'!E1507&lt;'Дашборд'!$C$53,"Мало трафика",IF(J1507&lt;'Дашборд'!$C$9*'Дашборд'!$C$54,"Да","Нет"))</x:f>
        <x:v>Нет</x:v>
      </x:c>
      <x:c r="N1507" s="1" t="str">
        <x:f>IF(AND('Данные'!D1507&gt;='Дашборд'!$C$55,D1507&lt;'Дашборд'!$C$56,'Данные'!E1507&gt;='Дашборд'!$C$53,'Данные'!L1507&lt;&gt;"Да"),"Да","Нет")</x:f>
        <x:v>Да</x:v>
      </x:c>
      <x:c r="O1507" s="1" t="str">
        <x:f>'Данные'!L1507</x:f>
        <x:v>Нет</x:v>
      </x:c>
    </x:row>
    <x:row r="1508">
      <x:c r="A1508" s="1" t="str">
        <x:f>'Данные'!A1508</x:f>
        <x:v>194931732</x:v>
      </x:c>
      <x:c r="B1508" s="1" t="str">
        <x:f>'Данные'!B1508</x:f>
        <x:v>sweater/светло-зеленый</x:v>
      </x:c>
      <x:c r="C1508" s="8" t="n">
        <x:f>'Данные'!G1508</x:f>
        <x:v>6071</x:v>
      </x:c>
      <x:c r="D1508" s="15" t="n">
        <x:f>C1508/SUM($C$5:$C$2477)</x:f>
        <x:v>0.0000070922856515043755</x:v>
      </x:c>
      <x:c r="E1508" s="15" t="n">
        <x:f>SUM($D$5:D1508)</x:f>
        <x:v>0.9995578542255804</x:v>
      </x:c>
      <x:c r="F1508" s="1" t="str">
        <x:f>IF(C1508&lt;=0,"C",IF(E1508-D1508&lt;'Дашборд'!$C$49,"A",IF(E1508-D1508&lt;'Дашборд'!$C$50,"B","C")))</x:f>
        <x:v>C</x:v>
      </x:c>
      <x:c r="G1508" s="8" t="n">
        <x:f>'Данные'!F1508</x:f>
        <x:v>6</x:v>
      </x:c>
      <x:c r="H1508" s="8" t="n">
        <x:f>SUM('Данные'!H1508:I1508)</x:f>
        <x:v>0</x:v>
      </x:c>
      <x:c r="I1508" s="16" t="str">
        <x:f>IF(H1508&gt;0,G1508/H1508,"n.a.")</x:f>
        <x:v>n.a.</x:v>
      </x:c>
      <x:c r="J1508" s="10" t="n">
        <x:f>IF('Данные'!E1508&gt;0,G1508/'Данные'!E1508,"n.a.")</x:f>
        <x:v>0.02926829268292683</x:v>
      </x:c>
      <x:c r="K1508" s="1" t="str">
        <x:f>IF(G1508&gt;='Дашборд'!$C$51,"X","Z")</x:f>
        <x:v>Z</x:v>
      </x:c>
      <x:c r="L1508" s="1" t="str">
        <x:f>IF(H1508=0,IF(G1508&gt;0,"Нет остатка","Нет спроса"),IF(I1508&gt;='Дашборд'!$C$52,"Быстрый","Медленный"))</x:f>
        <x:v>Нет остатка</x:v>
      </x:c>
      <x:c r="M1508" s="1" t="str">
        <x:f>IF('Данные'!E1508&lt;'Дашборд'!$C$53,"Мало трафика",IF(J1508&lt;'Дашборд'!$C$9*'Дашборд'!$C$54,"Да","Нет"))</x:f>
        <x:v>Мало трафика</x:v>
      </x:c>
      <x:c r="N1508" s="1" t="str">
        <x:f>IF(AND('Данные'!D1508&gt;='Дашборд'!$C$55,D1508&lt;'Дашборд'!$C$56,'Данные'!E1508&gt;='Дашборд'!$C$53,'Данные'!L1508&lt;&gt;"Да"),"Да","Нет")</x:f>
        <x:v>Нет</x:v>
      </x:c>
      <x:c r="O1508" s="1" t="str">
        <x:f>'Данные'!L1508</x:f>
        <x:v>Нет</x:v>
      </x:c>
    </x:row>
    <x:row r="1509">
      <x:c r="A1509" s="1" t="str">
        <x:f>'Данные'!A1509</x:f>
        <x:v>240808476</x:v>
      </x:c>
      <x:c r="B1509" s="1" t="str">
        <x:f>'Данные'!B1509</x:f>
        <x:v>brukiboy/темно-синий</x:v>
      </x:c>
      <x:c r="C1509" s="8" t="n">
        <x:f>'Данные'!G1509</x:f>
        <x:v>6067</x:v>
      </x:c>
      <x:c r="D1509" s="15" t="n">
        <x:f>C1509/SUM($C$5:$C$2477)</x:f>
        <x:v>0.000007087612756988477</x:v>
      </x:c>
      <x:c r="E1509" s="15" t="n">
        <x:f>SUM($D$5:D1509)</x:f>
        <x:v>0.9995649418383374</x:v>
      </x:c>
      <x:c r="F1509" s="1" t="str">
        <x:f>IF(C1509&lt;=0,"C",IF(E1509-D1509&lt;'Дашборд'!$C$49,"A",IF(E1509-D1509&lt;'Дашборд'!$C$50,"B","C")))</x:f>
        <x:v>C</x:v>
      </x:c>
      <x:c r="G1509" s="8" t="n">
        <x:f>'Данные'!F1509</x:f>
        <x:v>9</x:v>
      </x:c>
      <x:c r="H1509" s="8" t="n">
        <x:f>SUM('Данные'!H1509:I1509)</x:f>
        <x:v>37</x:v>
      </x:c>
      <x:c r="I1509" s="16" t="n">
        <x:f>IF(H1509&gt;0,G1509/H1509,"n.a.")</x:f>
        <x:v>0.24324324324324326</x:v>
      </x:c>
      <x:c r="J1509" s="10" t="n">
        <x:f>IF('Данные'!E1509&gt;0,G1509/'Данные'!E1509,"n.a.")</x:f>
        <x:v>0.0026041666666666665</x:v>
      </x:c>
      <x:c r="K1509" s="1" t="str">
        <x:f>IF(G1509&gt;='Дашборд'!$C$51,"X","Z")</x:f>
        <x:v>Z</x:v>
      </x:c>
      <x:c r="L1509" s="1" t="str">
        <x:f>IF(H1509=0,IF(G1509&gt;0,"Нет остатка","Нет спроса"),IF(I1509&gt;='Дашборд'!$C$52,"Быстрый","Медленный"))</x:f>
        <x:v>Медленный</x:v>
      </x:c>
      <x:c r="M1509" s="1" t="str">
        <x:f>IF('Данные'!E1509&lt;'Дашборд'!$C$53,"Мало трафика",IF(J1509&lt;'Дашборд'!$C$9*'Дашборд'!$C$54,"Да","Нет"))</x:f>
        <x:v>Да</x:v>
      </x:c>
      <x:c r="N1509" s="1" t="str">
        <x:f>IF(AND('Данные'!D1509&gt;='Дашборд'!$C$55,D1509&lt;'Дашборд'!$C$56,'Данные'!E1509&gt;='Дашборд'!$C$53,'Данные'!L1509&lt;&gt;"Да"),"Да","Нет")</x:f>
        <x:v>Нет</x:v>
      </x:c>
      <x:c r="O1509" s="1" t="str">
        <x:f>'Данные'!L1509</x:f>
        <x:v>Нет</x:v>
      </x:c>
    </x:row>
    <x:row r="1510">
      <x:c r="A1510" s="1" t="str">
        <x:f>'Данные'!A1510</x:f>
        <x:v>170172373</x:v>
      </x:c>
      <x:c r="B1510" s="1" t="str">
        <x:f>'Данные'!B1510</x:f>
        <x:v>brukiman/светло-фиолетовый</x:v>
      </x:c>
      <x:c r="C1510" s="8" t="n">
        <x:f>'Данные'!G1510</x:f>
        <x:v>6066</x:v>
      </x:c>
      <x:c r="D1510" s="15" t="n">
        <x:f>C1510/SUM($C$5:$C$2477)</x:f>
        <x:v>0.000007086444533359502</x:v>
      </x:c>
      <x:c r="E1510" s="15" t="n">
        <x:f>SUM($D$5:D1510)</x:f>
        <x:v>0.9995720282828708</x:v>
      </x:c>
      <x:c r="F1510" s="1" t="str">
        <x:f>IF(C1510&lt;=0,"C",IF(E1510-D1510&lt;'Дашборд'!$C$49,"A",IF(E1510-D1510&lt;'Дашборд'!$C$50,"B","C")))</x:f>
        <x:v>C</x:v>
      </x:c>
      <x:c r="G1510" s="8" t="n">
        <x:f>'Данные'!F1510</x:f>
        <x:v>9</x:v>
      </x:c>
      <x:c r="H1510" s="8" t="n">
        <x:f>SUM('Данные'!H1510:I1510)</x:f>
        <x:v>12</x:v>
      </x:c>
      <x:c r="I1510" s="16" t="n">
        <x:f>IF(H1510&gt;0,G1510/H1510,"n.a.")</x:f>
        <x:v>0.75</x:v>
      </x:c>
      <x:c r="J1510" s="10" t="n">
        <x:f>IF('Данные'!E1510&gt;0,G1510/'Данные'!E1510,"n.a.")</x:f>
        <x:v>0.00967741935483871</x:v>
      </x:c>
      <x:c r="K1510" s="1" t="str">
        <x:f>IF(G1510&gt;='Дашборд'!$C$51,"X","Z")</x:f>
        <x:v>Z</x:v>
      </x:c>
      <x:c r="L1510" s="1" t="str">
        <x:f>IF(H1510=0,IF(G1510&gt;0,"Нет остатка","Нет спроса"),IF(I1510&gt;='Дашборд'!$C$52,"Быстрый","Медленный"))</x:f>
        <x:v>Медленный</x:v>
      </x:c>
      <x:c r="M1510" s="1" t="str">
        <x:f>IF('Данные'!E1510&lt;'Дашборд'!$C$53,"Мало трафика",IF(J1510&lt;'Дашборд'!$C$9*'Дашборд'!$C$54,"Да","Нет"))</x:f>
        <x:v>Мало трафика</x:v>
      </x:c>
      <x:c r="N1510" s="1" t="str">
        <x:f>IF(AND('Данные'!D1510&gt;='Дашборд'!$C$55,D1510&lt;'Дашборд'!$C$56,'Данные'!E1510&gt;='Дашборд'!$C$53,'Данные'!L1510&lt;&gt;"Да"),"Да","Нет")</x:f>
        <x:v>Нет</x:v>
      </x:c>
      <x:c r="O1510" s="1" t="str">
        <x:f>'Данные'!L1510</x:f>
        <x:v>Нет</x:v>
      </x:c>
    </x:row>
    <x:row r="1511">
      <x:c r="A1511" s="1" t="str">
        <x:f>'Данные'!A1511</x:f>
        <x:v>227853238</x:v>
      </x:c>
      <x:c r="B1511" s="1" t="str">
        <x:f>'Данные'!B1511</x:f>
        <x:v>shorty/персиковый</x:v>
      </x:c>
      <x:c r="C1511" s="8" t="n">
        <x:f>'Данные'!G1511</x:f>
        <x:v>5942</x:v>
      </x:c>
      <x:c r="D1511" s="15" t="n">
        <x:f>C1511/SUM($C$5:$C$2477)</x:f>
        <x:v>0.000006941584803366661</x:v>
      </x:c>
      <x:c r="E1511" s="15" t="n">
        <x:f>SUM($D$5:D1511)</x:f>
        <x:v>0.9995789698676742</x:v>
      </x:c>
      <x:c r="F1511" s="1" t="str">
        <x:f>IF(C1511&lt;=0,"C",IF(E1511-D1511&lt;'Дашборд'!$C$49,"A",IF(E1511-D1511&lt;'Дашборд'!$C$50,"B","C")))</x:f>
        <x:v>C</x:v>
      </x:c>
      <x:c r="G1511" s="8" t="n">
        <x:f>'Данные'!F1511</x:f>
        <x:v>12</x:v>
      </x:c>
      <x:c r="H1511" s="8" t="n">
        <x:f>SUM('Данные'!H1511:I1511)</x:f>
        <x:v>13</x:v>
      </x:c>
      <x:c r="I1511" s="16" t="n">
        <x:f>IF(H1511&gt;0,G1511/H1511,"n.a.")</x:f>
        <x:v>0.9230769230769231</x:v>
      </x:c>
      <x:c r="J1511" s="10" t="n">
        <x:f>IF('Данные'!E1511&gt;0,G1511/'Данные'!E1511,"n.a.")</x:f>
        <x:v>0.002058319039451115</x:v>
      </x:c>
      <x:c r="K1511" s="1" t="str">
        <x:f>IF(G1511&gt;='Дашборд'!$C$51,"X","Z")</x:f>
        <x:v>Z</x:v>
      </x:c>
      <x:c r="L1511" s="1" t="str">
        <x:f>IF(H1511=0,IF(G1511&gt;0,"Нет остатка","Нет спроса"),IF(I1511&gt;='Дашборд'!$C$52,"Быстрый","Медленный"))</x:f>
        <x:v>Медленный</x:v>
      </x:c>
      <x:c r="M1511" s="1" t="str">
        <x:f>IF('Данные'!E1511&lt;'Дашборд'!$C$53,"Мало трафика",IF(J1511&lt;'Дашборд'!$C$9*'Дашборд'!$C$54,"Да","Нет"))</x:f>
        <x:v>Да</x:v>
      </x:c>
      <x:c r="N1511" s="1" t="str">
        <x:f>IF(AND('Данные'!D1511&gt;='Дашборд'!$C$55,D1511&lt;'Дашборд'!$C$56,'Данные'!E1511&gt;='Дашборд'!$C$53,'Данные'!L1511&lt;&gt;"Да"),"Да","Нет")</x:f>
        <x:v>Нет</x:v>
      </x:c>
      <x:c r="O1511" s="1" t="str">
        <x:f>'Данные'!L1511</x:f>
        <x:v>Нет</x:v>
      </x:c>
    </x:row>
    <x:row r="1512">
      <x:c r="A1512" s="1" t="str">
        <x:f>'Данные'!A1512</x:f>
        <x:v>236026599</x:v>
      </x:c>
      <x:c r="B1512" s="1" t="str">
        <x:f>'Данные'!B1512</x:f>
        <x:v>futbolkaprint/Sounds-162/молочный</x:v>
      </x:c>
      <x:c r="C1512" s="8" t="n">
        <x:f>'Данные'!G1512</x:f>
        <x:v>5683</x:v>
      </x:c>
      <x:c r="D1512" s="15" t="n">
        <x:f>C1512/SUM($C$5:$C$2477)</x:f>
        <x:v>0.000006639014883462257</x:v>
      </x:c>
      <x:c r="E1512" s="15" t="n">
        <x:f>SUM($D$5:D1512)</x:f>
        <x:v>0.9995856088825578</x:v>
      </x:c>
      <x:c r="F1512" s="1" t="str">
        <x:f>IF(C1512&lt;=0,"C",IF(E1512-D1512&lt;'Дашборд'!$C$49,"A",IF(E1512-D1512&lt;'Дашборд'!$C$50,"B","C")))</x:f>
        <x:v>C</x:v>
      </x:c>
      <x:c r="G1512" s="8" t="n">
        <x:f>'Данные'!F1512</x:f>
        <x:v>11</x:v>
      </x:c>
      <x:c r="H1512" s="8" t="n">
        <x:f>SUM('Данные'!H1512:I1512)</x:f>
        <x:v>0</x:v>
      </x:c>
      <x:c r="I1512" s="16" t="str">
        <x:f>IF(H1512&gt;0,G1512/H1512,"n.a.")</x:f>
        <x:v>n.a.</x:v>
      </x:c>
      <x:c r="J1512" s="10" t="n">
        <x:f>IF('Данные'!E1512&gt;0,G1512/'Данные'!E1512,"n.a.")</x:f>
        <x:v>0.004391217564870259</x:v>
      </x:c>
      <x:c r="K1512" s="1" t="str">
        <x:f>IF(G1512&gt;='Дашборд'!$C$51,"X","Z")</x:f>
        <x:v>Z</x:v>
      </x:c>
      <x:c r="L1512" s="1" t="str">
        <x:f>IF(H1512=0,IF(G1512&gt;0,"Нет остатка","Нет спроса"),IF(I1512&gt;='Дашборд'!$C$52,"Быстрый","Медленный"))</x:f>
        <x:v>Нет остатка</x:v>
      </x:c>
      <x:c r="M1512" s="1" t="str">
        <x:f>IF('Данные'!E1512&lt;'Дашборд'!$C$53,"Мало трафика",IF(J1512&lt;'Дашборд'!$C$9*'Дашборд'!$C$54,"Да","Нет"))</x:f>
        <x:v>Да</x:v>
      </x:c>
      <x:c r="N1512" s="1" t="str">
        <x:f>IF(AND('Данные'!D1512&gt;='Дашборд'!$C$55,D1512&lt;'Дашборд'!$C$56,'Данные'!E1512&gt;='Дашборд'!$C$53,'Данные'!L1512&lt;&gt;"Да"),"Да","Нет")</x:f>
        <x:v>Нет</x:v>
      </x:c>
      <x:c r="O1512" s="1" t="str">
        <x:f>'Данные'!L1512</x:f>
        <x:v>Нет</x:v>
      </x:c>
    </x:row>
    <x:row r="1513">
      <x:c r="A1513" s="1" t="str">
        <x:f>'Данные'!A1513</x:f>
        <x:v>209915734</x:v>
      </x:c>
      <x:c r="B1513" s="1" t="str">
        <x:f>'Данные'!B1513</x:f>
        <x:v>shorty/фуксия</x:v>
      </x:c>
      <x:c r="C1513" s="8" t="n">
        <x:f>'Данные'!G1513</x:f>
        <x:v>5550</x:v>
      </x:c>
      <x:c r="D1513" s="15" t="n">
        <x:f>C1513/SUM($C$5:$C$2477)</x:f>
        <x:v>0.000006483641140808644</x:v>
      </x:c>
      <x:c r="E1513" s="15" t="n">
        <x:f>SUM($D$5:D1513)</x:f>
        <x:v>0.9995920925236985</x:v>
      </x:c>
      <x:c r="F1513" s="1" t="str">
        <x:f>IF(C1513&lt;=0,"C",IF(E1513-D1513&lt;'Дашборд'!$C$49,"A",IF(E1513-D1513&lt;'Дашборд'!$C$50,"B","C")))</x:f>
        <x:v>C</x:v>
      </x:c>
      <x:c r="G1513" s="8" t="n">
        <x:f>'Данные'!F1513</x:f>
        <x:v>12</x:v>
      </x:c>
      <x:c r="H1513" s="8" t="n">
        <x:f>SUM('Данные'!H1513:I1513)</x:f>
        <x:v>149</x:v>
      </x:c>
      <x:c r="I1513" s="16" t="n">
        <x:f>IF(H1513&gt;0,G1513/H1513,"n.a.")</x:f>
        <x:v>0.08053691275167785</x:v>
      </x:c>
      <x:c r="J1513" s="10" t="n">
        <x:f>IF('Данные'!E1513&gt;0,G1513/'Данные'!E1513,"n.a.")</x:f>
        <x:v>0.01406799531066823</x:v>
      </x:c>
      <x:c r="K1513" s="1" t="str">
        <x:f>IF(G1513&gt;='Дашборд'!$C$51,"X","Z")</x:f>
        <x:v>Z</x:v>
      </x:c>
      <x:c r="L1513" s="1" t="str">
        <x:f>IF(H1513=0,IF(G1513&gt;0,"Нет остатка","Нет спроса"),IF(I1513&gt;='Дашборд'!$C$52,"Быстрый","Медленный"))</x:f>
        <x:v>Медленный</x:v>
      </x:c>
      <x:c r="M1513" s="1" t="str">
        <x:f>IF('Данные'!E1513&lt;'Дашборд'!$C$53,"Мало трафика",IF(J1513&lt;'Дашборд'!$C$9*'Дашборд'!$C$54,"Да","Нет"))</x:f>
        <x:v>Мало трафика</x:v>
      </x:c>
      <x:c r="N1513" s="1" t="str">
        <x:f>IF(AND('Данные'!D1513&gt;='Дашборд'!$C$55,D1513&lt;'Дашборд'!$C$56,'Данные'!E1513&gt;='Дашборд'!$C$53,'Данные'!L1513&lt;&gt;"Да"),"Да","Нет")</x:f>
        <x:v>Нет</x:v>
      </x:c>
      <x:c r="O1513" s="1" t="str">
        <x:f>'Данные'!L1513</x:f>
        <x:v>Нет</x:v>
      </x:c>
    </x:row>
    <x:row r="1514">
      <x:c r="A1514" s="1" t="str">
        <x:f>'Данные'!A1514</x:f>
        <x:v>44880056</x:v>
      </x:c>
      <x:c r="B1514" s="1" t="str">
        <x:f>'Данные'!B1514</x:f>
        <x:v>longslivdecolte/пыльнаямята</x:v>
      </x:c>
      <x:c r="C1514" s="8" t="n">
        <x:f>'Данные'!G1514</x:f>
        <x:v>5521</x:v>
      </x:c>
      <x:c r="D1514" s="15" t="n">
        <x:f>C1514/SUM($C$5:$C$2477)</x:f>
        <x:v>0.000006449762655568383</x:v>
      </x:c>
      <x:c r="E1514" s="15" t="n">
        <x:f>SUM($D$5:D1514)</x:f>
        <x:v>0.999598542286354</x:v>
      </x:c>
      <x:c r="F1514" s="1" t="str">
        <x:f>IF(C1514&lt;=0,"C",IF(E1514-D1514&lt;'Дашборд'!$C$49,"A",IF(E1514-D1514&lt;'Дашборд'!$C$50,"B","C")))</x:f>
        <x:v>C</x:v>
      </x:c>
      <x:c r="G1514" s="8" t="n">
        <x:f>'Данные'!F1514</x:f>
        <x:v>26</x:v>
      </x:c>
      <x:c r="H1514" s="8" t="n">
        <x:f>SUM('Данные'!H1514:I1514)</x:f>
        <x:v>221</x:v>
      </x:c>
      <x:c r="I1514" s="16" t="n">
        <x:f>IF(H1514&gt;0,G1514/H1514,"n.a.")</x:f>
        <x:v>0.11764705882352941</x:v>
      </x:c>
      <x:c r="J1514" s="10" t="n">
        <x:f>IF('Данные'!E1514&gt;0,G1514/'Данные'!E1514,"n.a.")</x:f>
        <x:v>0.007902735562310031</x:v>
      </x:c>
      <x:c r="K1514" s="1" t="str">
        <x:f>IF(G1514&gt;='Дашборд'!$C$51,"X","Z")</x:f>
        <x:v>Z</x:v>
      </x:c>
      <x:c r="L1514" s="1" t="str">
        <x:f>IF(H1514=0,IF(G1514&gt;0,"Нет остатка","Нет спроса"),IF(I1514&gt;='Дашборд'!$C$52,"Быстрый","Медленный"))</x:f>
        <x:v>Медленный</x:v>
      </x:c>
      <x:c r="M1514" s="1" t="str">
        <x:f>IF('Данные'!E1514&lt;'Дашборд'!$C$53,"Мало трафика",IF(J1514&lt;'Дашборд'!$C$9*'Дашборд'!$C$54,"Да","Нет"))</x:f>
        <x:v>Да</x:v>
      </x:c>
      <x:c r="N1514" s="1" t="str">
        <x:f>IF(AND('Данные'!D1514&gt;='Дашборд'!$C$55,D1514&lt;'Дашборд'!$C$56,'Данные'!E1514&gt;='Дашборд'!$C$53,'Данные'!L1514&lt;&gt;"Да"),"Да","Нет")</x:f>
        <x:v>Нет</x:v>
      </x:c>
      <x:c r="O1514" s="1" t="str">
        <x:f>'Данные'!L1514</x:f>
        <x:v>Нет</x:v>
      </x:c>
    </x:row>
    <x:row r="1515">
      <x:c r="A1515" s="1" t="str">
        <x:f>'Данные'!A1515</x:f>
        <x:v>366559995</x:v>
      </x:c>
      <x:c r="B1515" s="1" t="str">
        <x:f>'Данные'!B1515</x:f>
        <x:v>2Nshortyboy/бордовый</x:v>
      </x:c>
      <x:c r="C1515" s="8" t="n">
        <x:f>'Данные'!G1515</x:f>
        <x:v>5520</x:v>
      </x:c>
      <x:c r="D1515" s="15" t="n">
        <x:f>C1515/SUM($C$5:$C$2477)</x:f>
        <x:v>0.000006448594431939409</x:v>
      </x:c>
      <x:c r="E1515" s="15" t="n">
        <x:f>SUM($D$5:D1515)</x:f>
        <x:v>0.9996049908807859</x:v>
      </x:c>
      <x:c r="F1515" s="1" t="str">
        <x:f>IF(C1515&lt;=0,"C",IF(E1515-D1515&lt;'Дашборд'!$C$49,"A",IF(E1515-D1515&lt;'Дашборд'!$C$50,"B","C")))</x:f>
        <x:v>C</x:v>
      </x:c>
      <x:c r="G1515" s="8" t="n">
        <x:f>'Данные'!F1515</x:f>
        <x:v>16</x:v>
      </x:c>
      <x:c r="H1515" s="8" t="n">
        <x:f>SUM('Данные'!H1515:I1515)</x:f>
        <x:v>15</x:v>
      </x:c>
      <x:c r="I1515" s="16" t="n">
        <x:f>IF(H1515&gt;0,G1515/H1515,"n.a.")</x:f>
        <x:v>1.0666666666666667</x:v>
      </x:c>
      <x:c r="J1515" s="10" t="n">
        <x:f>IF('Данные'!E1515&gt;0,G1515/'Данные'!E1515,"n.a.")</x:f>
        <x:v>0.006296733569460842</x:v>
      </x:c>
      <x:c r="K1515" s="1" t="str">
        <x:f>IF(G1515&gt;='Дашборд'!$C$51,"X","Z")</x:f>
        <x:v>Z</x:v>
      </x:c>
      <x:c r="L1515" s="1" t="str">
        <x:f>IF(H1515=0,IF(G1515&gt;0,"Нет остатка","Нет спроса"),IF(I1515&gt;='Дашборд'!$C$52,"Быстрый","Медленный"))</x:f>
        <x:v>Быстрый</x:v>
      </x:c>
      <x:c r="M1515" s="1" t="str">
        <x:f>IF('Данные'!E1515&lt;'Дашборд'!$C$53,"Мало трафика",IF(J1515&lt;'Дашборд'!$C$9*'Дашборд'!$C$54,"Да","Нет"))</x:f>
        <x:v>Да</x:v>
      </x:c>
      <x:c r="N1515" s="1" t="str">
        <x:f>IF(AND('Данные'!D1515&gt;='Дашборд'!$C$55,D1515&lt;'Дашборд'!$C$56,'Данные'!E1515&gt;='Дашборд'!$C$53,'Данные'!L1515&lt;&gt;"Да"),"Да","Нет")</x:f>
        <x:v>Нет</x:v>
      </x:c>
      <x:c r="O1515" s="1" t="str">
        <x:f>'Данные'!L1515</x:f>
        <x:v>Нет</x:v>
      </x:c>
    </x:row>
    <x:row r="1516">
      <x:c r="A1516" s="1" t="str">
        <x:f>'Данные'!A1516</x:f>
        <x:v>366557122</x:v>
      </x:c>
      <x:c r="B1516" s="1" t="str">
        <x:f>'Данные'!B1516</x:f>
        <x:v>2Nshortyboy/черный</x:v>
      </x:c>
      <x:c r="C1516" s="8" t="n">
        <x:f>'Данные'!G1516</x:f>
        <x:v>5460</x:v>
      </x:c>
      <x:c r="D1516" s="15" t="n">
        <x:f>C1516/SUM($C$5:$C$2477)</x:f>
        <x:v>0.000006378501014200937</x:v>
      </x:c>
      <x:c r="E1516" s="15" t="n">
        <x:f>SUM($D$5:D1516)</x:f>
        <x:v>0.9996113693818001</x:v>
      </x:c>
      <x:c r="F1516" s="1" t="str">
        <x:f>IF(C1516&lt;=0,"C",IF(E1516-D1516&lt;'Дашборд'!$C$49,"A",IF(E1516-D1516&lt;'Дашборд'!$C$50,"B","C")))</x:f>
        <x:v>C</x:v>
      </x:c>
      <x:c r="G1516" s="8" t="n">
        <x:f>'Данные'!F1516</x:f>
        <x:v>20</x:v>
      </x:c>
      <x:c r="H1516" s="8" t="n">
        <x:f>SUM('Данные'!H1516:I1516)</x:f>
        <x:v>83</x:v>
      </x:c>
      <x:c r="I1516" s="16" t="n">
        <x:f>IF(H1516&gt;0,G1516/H1516,"n.a.")</x:f>
        <x:v>0.24096385542168675</x:v>
      </x:c>
      <x:c r="J1516" s="10" t="n">
        <x:f>IF('Данные'!E1516&gt;0,G1516/'Данные'!E1516,"n.a.")</x:f>
        <x:v>0.0074822297044519264</x:v>
      </x:c>
      <x:c r="K1516" s="1" t="str">
        <x:f>IF(G1516&gt;='Дашборд'!$C$51,"X","Z")</x:f>
        <x:v>Z</x:v>
      </x:c>
      <x:c r="L1516" s="1" t="str">
        <x:f>IF(H1516=0,IF(G1516&gt;0,"Нет остатка","Нет спроса"),IF(I1516&gt;='Дашборд'!$C$52,"Быстрый","Медленный"))</x:f>
        <x:v>Медленный</x:v>
      </x:c>
      <x:c r="M1516" s="1" t="str">
        <x:f>IF('Данные'!E1516&lt;'Дашборд'!$C$53,"Мало трафика",IF(J1516&lt;'Дашборд'!$C$9*'Дашборд'!$C$54,"Да","Нет"))</x:f>
        <x:v>Да</x:v>
      </x:c>
      <x:c r="N1516" s="1" t="str">
        <x:f>IF(AND('Данные'!D1516&gt;='Дашборд'!$C$55,D1516&lt;'Дашборд'!$C$56,'Данные'!E1516&gt;='Дашборд'!$C$53,'Данные'!L1516&lt;&gt;"Да"),"Да","Нет")</x:f>
        <x:v>Нет</x:v>
      </x:c>
      <x:c r="O1516" s="1" t="str">
        <x:f>'Данные'!L1516</x:f>
        <x:v>Нет</x:v>
      </x:c>
    </x:row>
    <x:row r="1517">
      <x:c r="A1517" s="1" t="str">
        <x:f>'Данные'!A1517</x:f>
        <x:v>116725956</x:v>
      </x:c>
      <x:c r="B1517" s="1" t="str">
        <x:f>'Данные'!B1517</x:f>
        <x:v>longsliv/зелено-серый</x:v>
      </x:c>
      <x:c r="C1517" s="8" t="n">
        <x:f>'Данные'!G1517</x:f>
        <x:v>5432</x:v>
      </x:c>
      <x:c r="D1517" s="15" t="n">
        <x:f>C1517/SUM($C$5:$C$2477)</x:f>
        <x:v>0.00000634579075258965</x:v>
      </x:c>
      <x:c r="E1517" s="15" t="n">
        <x:f>SUM($D$5:D1517)</x:f>
        <x:v>0.9996177151725526</x:v>
      </x:c>
      <x:c r="F1517" s="1" t="str">
        <x:f>IF(C1517&lt;=0,"C",IF(E1517-D1517&lt;'Дашборд'!$C$49,"A",IF(E1517-D1517&lt;'Дашборд'!$C$50,"B","C")))</x:f>
        <x:v>C</x:v>
      </x:c>
      <x:c r="G1517" s="8" t="n">
        <x:f>'Данные'!F1517</x:f>
        <x:v>16</x:v>
      </x:c>
      <x:c r="H1517" s="8" t="n">
        <x:f>SUM('Данные'!H1517:I1517)</x:f>
        <x:v>24</x:v>
      </x:c>
      <x:c r="I1517" s="16" t="n">
        <x:f>IF(H1517&gt;0,G1517/H1517,"n.a.")</x:f>
        <x:v>0.6666666666666666</x:v>
      </x:c>
      <x:c r="J1517" s="10" t="n">
        <x:f>IF('Данные'!E1517&gt;0,G1517/'Данные'!E1517,"n.a.")</x:f>
        <x:v>0.002178649237472767</x:v>
      </x:c>
      <x:c r="K1517" s="1" t="str">
        <x:f>IF(G1517&gt;='Дашборд'!$C$51,"X","Z")</x:f>
        <x:v>Z</x:v>
      </x:c>
      <x:c r="L1517" s="1" t="str">
        <x:f>IF(H1517=0,IF(G1517&gt;0,"Нет остатка","Нет спроса"),IF(I1517&gt;='Дашборд'!$C$52,"Быстрый","Медленный"))</x:f>
        <x:v>Медленный</x:v>
      </x:c>
      <x:c r="M1517" s="1" t="str">
        <x:f>IF('Данные'!E1517&lt;'Дашборд'!$C$53,"Мало трафика",IF(J1517&lt;'Дашборд'!$C$9*'Дашборд'!$C$54,"Да","Нет"))</x:f>
        <x:v>Да</x:v>
      </x:c>
      <x:c r="N1517" s="1" t="str">
        <x:f>IF(AND('Данные'!D1517&gt;='Дашборд'!$C$55,D1517&lt;'Дашборд'!$C$56,'Данные'!E1517&gt;='Дашборд'!$C$53,'Данные'!L1517&lt;&gt;"Да"),"Да","Нет")</x:f>
        <x:v>Нет</x:v>
      </x:c>
      <x:c r="O1517" s="1" t="str">
        <x:f>'Данные'!L1517</x:f>
        <x:v>Нет</x:v>
      </x:c>
    </x:row>
    <x:row r="1518">
      <x:c r="A1518" s="1" t="str">
        <x:f>'Данные'!A1518</x:f>
        <x:v>287286755</x:v>
      </x:c>
      <x:c r="B1518" s="1" t="str">
        <x:f>'Данные'!B1518</x:f>
        <x:v>2Nitkalongsliv3D-76/фуксия</x:v>
      </x:c>
      <x:c r="C1518" s="8" t="n">
        <x:f>'Данные'!G1518</x:f>
        <x:v>5322</x:v>
      </x:c>
      <x:c r="D1518" s="15" t="n">
        <x:f>C1518/SUM($C$5:$C$2477)</x:f>
        <x:v>0.000006217286153402451</x:v>
      </x:c>
      <x:c r="E1518" s="15" t="n">
        <x:f>SUM($D$5:D1518)</x:f>
        <x:v>0.999623932458706</x:v>
      </x:c>
      <x:c r="F1518" s="1" t="str">
        <x:f>IF(C1518&lt;=0,"C",IF(E1518-D1518&lt;'Дашборд'!$C$49,"A",IF(E1518-D1518&lt;'Дашборд'!$C$50,"B","C")))</x:f>
        <x:v>C</x:v>
      </x:c>
      <x:c r="G1518" s="8" t="n">
        <x:f>'Данные'!F1518</x:f>
        <x:v>9</x:v>
      </x:c>
      <x:c r="H1518" s="8" t="n">
        <x:f>SUM('Данные'!H1518:I1518)</x:f>
        <x:v>0</x:v>
      </x:c>
      <x:c r="I1518" s="16" t="str">
        <x:f>IF(H1518&gt;0,G1518/H1518,"n.a.")</x:f>
        <x:v>n.a.</x:v>
      </x:c>
      <x:c r="J1518" s="10" t="n">
        <x:f>IF('Данные'!E1518&gt;0,G1518/'Данные'!E1518,"n.a.")</x:f>
        <x:v>0.00529723366686286</x:v>
      </x:c>
      <x:c r="K1518" s="1" t="str">
        <x:f>IF(G1518&gt;='Дашборд'!$C$51,"X","Z")</x:f>
        <x:v>Z</x:v>
      </x:c>
      <x:c r="L1518" s="1" t="str">
        <x:f>IF(H1518=0,IF(G1518&gt;0,"Нет остатка","Нет спроса"),IF(I1518&gt;='Дашборд'!$C$52,"Быстрый","Медленный"))</x:f>
        <x:v>Нет остатка</x:v>
      </x:c>
      <x:c r="M1518" s="1" t="str">
        <x:f>IF('Данные'!E1518&lt;'Дашборд'!$C$53,"Мало трафика",IF(J1518&lt;'Дашборд'!$C$9*'Дашборд'!$C$54,"Да","Нет"))</x:f>
        <x:v>Да</x:v>
      </x:c>
      <x:c r="N1518" s="1" t="str">
        <x:f>IF(AND('Данные'!D1518&gt;='Дашборд'!$C$55,D1518&lt;'Дашборд'!$C$56,'Данные'!E1518&gt;='Дашборд'!$C$53,'Данные'!L1518&lt;&gt;"Да"),"Да","Нет")</x:f>
        <x:v>Нет</x:v>
      </x:c>
      <x:c r="O1518" s="1" t="str">
        <x:f>'Данные'!L1518</x:f>
        <x:v>Нет</x:v>
      </x:c>
    </x:row>
    <x:row r="1519">
      <x:c r="A1519" s="1" t="str">
        <x:f>'Данные'!A1519</x:f>
        <x:v>169362204</x:v>
      </x:c>
      <x:c r="B1519" s="1" t="str">
        <x:f>'Данные'!B1519</x:f>
        <x:v>longslivrukav/фуксия</x:v>
      </x:c>
      <x:c r="C1519" s="8" t="n">
        <x:f>'Данные'!G1519</x:f>
        <x:v>5300</x:v>
      </x:c>
      <x:c r="D1519" s="15" t="n">
        <x:f>C1519/SUM($C$5:$C$2477)</x:f>
        <x:v>0.000006191585233565012</x:v>
      </x:c>
      <x:c r="E1519" s="15" t="n">
        <x:f>SUM($D$5:D1519)</x:f>
        <x:v>0.9996301240439395</x:v>
      </x:c>
      <x:c r="F1519" s="1" t="str">
        <x:f>IF(C1519&lt;=0,"C",IF(E1519-D1519&lt;'Дашборд'!$C$49,"A",IF(E1519-D1519&lt;'Дашборд'!$C$50,"B","C")))</x:f>
        <x:v>C</x:v>
      </x:c>
      <x:c r="G1519" s="8" t="n">
        <x:f>'Данные'!F1519</x:f>
        <x:v>12</x:v>
      </x:c>
      <x:c r="H1519" s="8" t="n">
        <x:f>SUM('Данные'!H1519:I1519)</x:f>
        <x:v>5</x:v>
      </x:c>
      <x:c r="I1519" s="16" t="n">
        <x:f>IF(H1519&gt;0,G1519/H1519,"n.a.")</x:f>
        <x:v>2.4</x:v>
      </x:c>
      <x:c r="J1519" s="10" t="n">
        <x:f>IF('Данные'!E1519&gt;0,G1519/'Данные'!E1519,"n.a.")</x:f>
        <x:v>0.006493506493506494</x:v>
      </x:c>
      <x:c r="K1519" s="1" t="str">
        <x:f>IF(G1519&gt;='Дашборд'!$C$51,"X","Z")</x:f>
        <x:v>Z</x:v>
      </x:c>
      <x:c r="L1519" s="1" t="str">
        <x:f>IF(H1519=0,IF(G1519&gt;0,"Нет остатка","Нет спроса"),IF(I1519&gt;='Дашборд'!$C$52,"Быстрый","Медленный"))</x:f>
        <x:v>Быстрый</x:v>
      </x:c>
      <x:c r="M1519" s="1" t="str">
        <x:f>IF('Данные'!E1519&lt;'Дашборд'!$C$53,"Мало трафика",IF(J1519&lt;'Дашборд'!$C$9*'Дашборд'!$C$54,"Да","Нет"))</x:f>
        <x:v>Да</x:v>
      </x:c>
      <x:c r="N1519" s="1" t="str">
        <x:f>IF(AND('Данные'!D1519&gt;='Дашборд'!$C$55,D1519&lt;'Дашборд'!$C$56,'Данные'!E1519&gt;='Дашборд'!$C$53,'Данные'!L1519&lt;&gt;"Да"),"Да","Нет")</x:f>
        <x:v>Нет</x:v>
      </x:c>
      <x:c r="O1519" s="1" t="str">
        <x:f>'Данные'!L1519</x:f>
        <x:v>Нет</x:v>
      </x:c>
    </x:row>
    <x:row r="1520">
      <x:c r="A1520" s="1" t="str">
        <x:f>'Данные'!A1520</x:f>
        <x:v>329562245</x:v>
      </x:c>
      <x:c r="B1520" s="1" t="str">
        <x:f>'Данные'!B1520</x:f>
        <x:v>brukiboy/серый</x:v>
      </x:c>
      <x:c r="C1520" s="8" t="n">
        <x:f>'Данные'!G1520</x:f>
        <x:v>5297</x:v>
      </x:c>
      <x:c r="D1520" s="15" t="n">
        <x:f>C1520/SUM($C$5:$C$2477)</x:f>
        <x:v>0.0000061880805626780885</x:v>
      </x:c>
      <x:c r="E1520" s="15" t="n">
        <x:f>SUM($D$5:D1520)</x:f>
        <x:v>0.9996363121245021</x:v>
      </x:c>
      <x:c r="F1520" s="1" t="str">
        <x:f>IF(C1520&lt;=0,"C",IF(E1520-D1520&lt;'Дашборд'!$C$49,"A",IF(E1520-D1520&lt;'Дашборд'!$C$50,"B","C")))</x:f>
        <x:v>C</x:v>
      </x:c>
      <x:c r="G1520" s="8" t="n">
        <x:f>'Данные'!F1520</x:f>
        <x:v>7</x:v>
      </x:c>
      <x:c r="H1520" s="8" t="n">
        <x:f>SUM('Данные'!H1520:I1520)</x:f>
        <x:v>93</x:v>
      </x:c>
      <x:c r="I1520" s="16" t="n">
        <x:f>IF(H1520&gt;0,G1520/H1520,"n.a.")</x:f>
        <x:v>0.07526881720430108</x:v>
      </x:c>
      <x:c r="J1520" s="10" t="n">
        <x:f>IF('Данные'!E1520&gt;0,G1520/'Данные'!E1520,"n.a.")</x:f>
        <x:v>0.0020783847980997625</x:v>
      </x:c>
      <x:c r="K1520" s="1" t="str">
        <x:f>IF(G1520&gt;='Дашборд'!$C$51,"X","Z")</x:f>
        <x:v>Z</x:v>
      </x:c>
      <x:c r="L1520" s="1" t="str">
        <x:f>IF(H1520=0,IF(G1520&gt;0,"Нет остатка","Нет спроса"),IF(I1520&gt;='Дашборд'!$C$52,"Быстрый","Медленный"))</x:f>
        <x:v>Медленный</x:v>
      </x:c>
      <x:c r="M1520" s="1" t="str">
        <x:f>IF('Данные'!E1520&lt;'Дашборд'!$C$53,"Мало трафика",IF(J1520&lt;'Дашборд'!$C$9*'Дашборд'!$C$54,"Да","Нет"))</x:f>
        <x:v>Да</x:v>
      </x:c>
      <x:c r="N1520" s="1" t="str">
        <x:f>IF(AND('Данные'!D1520&gt;='Дашборд'!$C$55,D1520&lt;'Дашборд'!$C$56,'Данные'!E1520&gt;='Дашборд'!$C$53,'Данные'!L1520&lt;&gt;"Да"),"Да","Нет")</x:f>
        <x:v>Нет</x:v>
      </x:c>
      <x:c r="O1520" s="1" t="str">
        <x:f>'Данные'!L1520</x:f>
        <x:v>Нет</x:v>
      </x:c>
    </x:row>
    <x:row r="1521">
      <x:c r="A1521" s="1" t="str">
        <x:f>'Данные'!A1521</x:f>
        <x:v>222011063</x:v>
      </x:c>
      <x:c r="B1521" s="1" t="str">
        <x:f>'Данные'!B1521</x:f>
        <x:v>futbolkamanoverX3/чер-тсер-син</x:v>
      </x:c>
      <x:c r="C1521" s="8" t="n">
        <x:f>'Данные'!G1521</x:f>
        <x:v>5279</x:v>
      </x:c>
      <x:c r="D1521" s="15" t="n">
        <x:f>C1521/SUM($C$5:$C$2477)</x:f>
        <x:v>0.0000061670525373565465</x:v>
      </x:c>
      <x:c r="E1521" s="15" t="n">
        <x:f>SUM($D$5:D1521)</x:f>
        <x:v>0.9996424791770394</x:v>
      </x:c>
      <x:c r="F1521" s="1" t="str">
        <x:f>IF(C1521&lt;=0,"C",IF(E1521-D1521&lt;'Дашборд'!$C$49,"A",IF(E1521-D1521&lt;'Дашборд'!$C$50,"B","C")))</x:f>
        <x:v>C</x:v>
      </x:c>
      <x:c r="G1521" s="8" t="n">
        <x:f>'Данные'!F1521</x:f>
        <x:v>4</x:v>
      </x:c>
      <x:c r="H1521" s="8" t="n">
        <x:f>SUM('Данные'!H1521:I1521)</x:f>
        <x:v>1</x:v>
      </x:c>
      <x:c r="I1521" s="16" t="n">
        <x:f>IF(H1521&gt;0,G1521/H1521,"n.a.")</x:f>
        <x:v>4</x:v>
      </x:c>
      <x:c r="J1521" s="10" t="n">
        <x:f>IF('Данные'!E1521&gt;0,G1521/'Данные'!E1521,"n.a.")</x:f>
        <x:v>0.00024580593621335953</x:v>
      </x:c>
      <x:c r="K1521" s="1" t="str">
        <x:f>IF(G1521&gt;='Дашборд'!$C$51,"X","Z")</x:f>
        <x:v>Z</x:v>
      </x:c>
      <x:c r="L1521" s="1" t="str">
        <x:f>IF(H1521=0,IF(G1521&gt;0,"Нет остатка","Нет спроса"),IF(I1521&gt;='Дашборд'!$C$52,"Быстрый","Медленный"))</x:f>
        <x:v>Быстрый</x:v>
      </x:c>
      <x:c r="M1521" s="1" t="str">
        <x:f>IF('Данные'!E1521&lt;'Дашборд'!$C$53,"Мало трафика",IF(J1521&lt;'Дашборд'!$C$9*'Дашборд'!$C$54,"Да","Нет"))</x:f>
        <x:v>Да</x:v>
      </x:c>
      <x:c r="N1521" s="1" t="str">
        <x:f>IF(AND('Данные'!D1521&gt;='Дашборд'!$C$55,D1521&lt;'Дашборд'!$C$56,'Данные'!E1521&gt;='Дашборд'!$C$53,'Данные'!L1521&lt;&gt;"Да"),"Да","Нет")</x:f>
        <x:v>Нет</x:v>
      </x:c>
      <x:c r="O1521" s="1" t="str">
        <x:f>'Данные'!L1521</x:f>
        <x:v>Нет</x:v>
      </x:c>
    </x:row>
    <x:row r="1522">
      <x:c r="A1522" s="1" t="str">
        <x:f>'Данные'!A1522</x:f>
        <x:v>235997578</x:v>
      </x:c>
      <x:c r="B1522" s="1" t="str">
        <x:f>'Данные'!B1522</x:f>
        <x:v>bazagirl/темно-серый</x:v>
      </x:c>
      <x:c r="C1522" s="8" t="n">
        <x:f>'Данные'!G1522</x:f>
        <x:v>5246</x:v>
      </x:c>
      <x:c r="D1522" s="15" t="n">
        <x:f>C1522/SUM($C$5:$C$2477)</x:f>
        <x:v>0.000006128501157600388</x:v>
      </x:c>
      <x:c r="E1522" s="15" t="n">
        <x:f>SUM($D$5:D1522)</x:f>
        <x:v>0.999648607678197</x:v>
      </x:c>
      <x:c r="F1522" s="1" t="str">
        <x:f>IF(C1522&lt;=0,"C",IF(E1522-D1522&lt;'Дашборд'!$C$49,"A",IF(E1522-D1522&lt;'Дашборд'!$C$50,"B","C")))</x:f>
        <x:v>C</x:v>
      </x:c>
      <x:c r="G1522" s="8" t="n">
        <x:f>'Данные'!F1522</x:f>
        <x:v>23</x:v>
      </x:c>
      <x:c r="H1522" s="8" t="n">
        <x:f>SUM('Данные'!H1522:I1522)</x:f>
        <x:v>156</x:v>
      </x:c>
      <x:c r="I1522" s="16" t="n">
        <x:f>IF(H1522&gt;0,G1522/H1522,"n.a.")</x:f>
        <x:v>0.14743589743589744</x:v>
      </x:c>
      <x:c r="J1522" s="10" t="n">
        <x:f>IF('Данные'!E1522&gt;0,G1522/'Данные'!E1522,"n.a.")</x:f>
        <x:v>0.01638176638176638</x:v>
      </x:c>
      <x:c r="K1522" s="1" t="str">
        <x:f>IF(G1522&gt;='Дашборд'!$C$51,"X","Z")</x:f>
        <x:v>Z</x:v>
      </x:c>
      <x:c r="L1522" s="1" t="str">
        <x:f>IF(H1522=0,IF(G1522&gt;0,"Нет остатка","Нет спроса"),IF(I1522&gt;='Дашборд'!$C$52,"Быстрый","Медленный"))</x:f>
        <x:v>Медленный</x:v>
      </x:c>
      <x:c r="M1522" s="1" t="str">
        <x:f>IF('Данные'!E1522&lt;'Дашборд'!$C$53,"Мало трафика",IF(J1522&lt;'Дашборд'!$C$9*'Дашборд'!$C$54,"Да","Нет"))</x:f>
        <x:v>Нет</x:v>
      </x:c>
      <x:c r="N1522" s="1" t="str">
        <x:f>IF(AND('Данные'!D1522&gt;='Дашборд'!$C$55,D1522&lt;'Дашборд'!$C$56,'Данные'!E1522&gt;='Дашборд'!$C$53,'Данные'!L1522&lt;&gt;"Да"),"Да","Нет")</x:f>
        <x:v>Да</x:v>
      </x:c>
      <x:c r="O1522" s="1" t="str">
        <x:f>'Данные'!L1522</x:f>
        <x:v>Нет</x:v>
      </x:c>
    </x:row>
    <x:row r="1523">
      <x:c r="A1523" s="1" t="str">
        <x:f>'Данные'!A1523</x:f>
        <x:v>287286754</x:v>
      </x:c>
      <x:c r="B1523" s="1" t="str">
        <x:f>'Данные'!B1523</x:f>
        <x:v>2Nitkalongsliv3D-76/коричневый</x:v>
      </x:c>
      <x:c r="C1523" s="8" t="n">
        <x:f>'Данные'!G1523</x:f>
        <x:v>5240</x:v>
      </x:c>
      <x:c r="D1523" s="15" t="n">
        <x:f>C1523/SUM($C$5:$C$2477)</x:f>
        <x:v>0.00000612149181582654</x:v>
      </x:c>
      <x:c r="E1523" s="15" t="n">
        <x:f>SUM($D$5:D1523)</x:f>
        <x:v>0.9996547291700127</x:v>
      </x:c>
      <x:c r="F1523" s="1" t="str">
        <x:f>IF(C1523&lt;=0,"C",IF(E1523-D1523&lt;'Дашборд'!$C$49,"A",IF(E1523-D1523&lt;'Дашборд'!$C$50,"B","C")))</x:f>
        <x:v>C</x:v>
      </x:c>
      <x:c r="G1523" s="8" t="n">
        <x:f>'Данные'!F1523</x:f>
        <x:v>8</x:v>
      </x:c>
      <x:c r="H1523" s="8" t="n">
        <x:f>SUM('Данные'!H1523:I1523)</x:f>
        <x:v>0</x:v>
      </x:c>
      <x:c r="I1523" s="16" t="str">
        <x:f>IF(H1523&gt;0,G1523/H1523,"n.a.")</x:f>
        <x:v>n.a.</x:v>
      </x:c>
      <x:c r="J1523" s="10" t="n">
        <x:f>IF('Данные'!E1523&gt;0,G1523/'Данные'!E1523,"n.a.")</x:f>
        <x:v>0.005047318611987382</x:v>
      </x:c>
      <x:c r="K1523" s="1" t="str">
        <x:f>IF(G1523&gt;='Дашборд'!$C$51,"X","Z")</x:f>
        <x:v>Z</x:v>
      </x:c>
      <x:c r="L1523" s="1" t="str">
        <x:f>IF(H1523=0,IF(G1523&gt;0,"Нет остатка","Нет спроса"),IF(I1523&gt;='Дашборд'!$C$52,"Быстрый","Медленный"))</x:f>
        <x:v>Нет остатка</x:v>
      </x:c>
      <x:c r="M1523" s="1" t="str">
        <x:f>IF('Данные'!E1523&lt;'Дашборд'!$C$53,"Мало трафика",IF(J1523&lt;'Дашборд'!$C$9*'Дашборд'!$C$54,"Да","Нет"))</x:f>
        <x:v>Да</x:v>
      </x:c>
      <x:c r="N1523" s="1" t="str">
        <x:f>IF(AND('Данные'!D1523&gt;='Дашборд'!$C$55,D1523&lt;'Дашборд'!$C$56,'Данные'!E1523&gt;='Дашборд'!$C$53,'Данные'!L1523&lt;&gt;"Да"),"Да","Нет")</x:f>
        <x:v>Нет</x:v>
      </x:c>
      <x:c r="O1523" s="1" t="str">
        <x:f>'Данные'!L1523</x:f>
        <x:v>Нет</x:v>
      </x:c>
    </x:row>
    <x:row r="1524">
      <x:c r="A1524" s="1" t="str">
        <x:f>'Данные'!A1524</x:f>
        <x:v>320258155</x:v>
      </x:c>
      <x:c r="B1524" s="1" t="str">
        <x:f>'Данные'!B1524</x:f>
        <x:v>svitpal/серыймеланж2</x:v>
      </x:c>
      <x:c r="C1524" s="8" t="n">
        <x:f>'Данные'!G1524</x:f>
        <x:v>5200</x:v>
      </x:c>
      <x:c r="D1524" s="15" t="n">
        <x:f>C1524/SUM($C$5:$C$2477)</x:f>
        <x:v>0.000006074762870667559</x:v>
      </x:c>
      <x:c r="E1524" s="15" t="n">
        <x:f>SUM($D$5:D1524)</x:f>
        <x:v>0.9996608039328834</x:v>
      </x:c>
      <x:c r="F1524" s="1" t="str">
        <x:f>IF(C1524&lt;=0,"C",IF(E1524-D1524&lt;'Дашборд'!$C$49,"A",IF(E1524-D1524&lt;'Дашборд'!$C$50,"B","C")))</x:f>
        <x:v>C</x:v>
      </x:c>
      <x:c r="G1524" s="8" t="n">
        <x:f>'Данные'!F1524</x:f>
        <x:v>36</x:v>
      </x:c>
      <x:c r="H1524" s="8" t="n">
        <x:f>SUM('Данные'!H1524:I1524)</x:f>
        <x:v>219</x:v>
      </x:c>
      <x:c r="I1524" s="16" t="n">
        <x:f>IF(H1524&gt;0,G1524/H1524,"n.a.")</x:f>
        <x:v>0.1643835616438356</x:v>
      </x:c>
      <x:c r="J1524" s="10" t="n">
        <x:f>IF('Данные'!E1524&gt;0,G1524/'Данные'!E1524,"n.a.")</x:f>
        <x:v>0.0022608804873453497</x:v>
      </x:c>
      <x:c r="K1524" s="1" t="str">
        <x:f>IF(G1524&gt;='Дашборд'!$C$51,"X","Z")</x:f>
        <x:v>Z</x:v>
      </x:c>
      <x:c r="L1524" s="1" t="str">
        <x:f>IF(H1524=0,IF(G1524&gt;0,"Нет остатка","Нет спроса"),IF(I1524&gt;='Дашборд'!$C$52,"Быстрый","Медленный"))</x:f>
        <x:v>Медленный</x:v>
      </x:c>
      <x:c r="M1524" s="1" t="str">
        <x:f>IF('Данные'!E1524&lt;'Дашборд'!$C$53,"Мало трафика",IF(J1524&lt;'Дашборд'!$C$9*'Дашборд'!$C$54,"Да","Нет"))</x:f>
        <x:v>Да</x:v>
      </x:c>
      <x:c r="N1524" s="1" t="str">
        <x:f>IF(AND('Данные'!D1524&gt;='Дашборд'!$C$55,D1524&lt;'Дашборд'!$C$56,'Данные'!E1524&gt;='Дашборд'!$C$53,'Данные'!L1524&lt;&gt;"Да"),"Да","Нет")</x:f>
        <x:v>Нет</x:v>
      </x:c>
      <x:c r="O1524" s="1" t="str">
        <x:f>'Данные'!L1524</x:f>
        <x:v>Нет</x:v>
      </x:c>
    </x:row>
    <x:row r="1525">
      <x:c r="A1525" s="1" t="str">
        <x:f>'Данные'!A1525</x:f>
        <x:v>209143705</x:v>
      </x:c>
      <x:c r="B1525" s="1" t="str">
        <x:f>'Данные'!B1525</x:f>
        <x:v>kulirkamanprint/TeloX6-69/молочный</x:v>
      </x:c>
      <x:c r="C1525" s="8" t="n">
        <x:f>'Данные'!G1525</x:f>
        <x:v>5120</x:v>
      </x:c>
      <x:c r="D1525" s="15" t="n">
        <x:f>C1525/SUM($C$5:$C$2477)</x:f>
        <x:v>0.000005981304980349596</x:v>
      </x:c>
      <x:c r="E1525" s="15" t="n">
        <x:f>SUM($D$5:D1525)</x:f>
        <x:v>0.9996667852378637</x:v>
      </x:c>
      <x:c r="F1525" s="1" t="str">
        <x:f>IF(C1525&lt;=0,"C",IF(E1525-D1525&lt;'Дашборд'!$C$49,"A",IF(E1525-D1525&lt;'Дашборд'!$C$50,"B","C")))</x:f>
        <x:v>C</x:v>
      </x:c>
      <x:c r="G1525" s="8" t="n">
        <x:f>'Данные'!F1525</x:f>
        <x:v>26</x:v>
      </x:c>
      <x:c r="H1525" s="8" t="n">
        <x:f>SUM('Данные'!H1525:I1525)</x:f>
        <x:v>92</x:v>
      </x:c>
      <x:c r="I1525" s="16" t="n">
        <x:f>IF(H1525&gt;0,G1525/H1525,"n.a.")</x:f>
        <x:v>0.2826086956521739</x:v>
      </x:c>
      <x:c r="J1525" s="10" t="n">
        <x:f>IF('Данные'!E1525&gt;0,G1525/'Данные'!E1525,"n.a.")</x:f>
        <x:v>0.009056078021595262</x:v>
      </x:c>
      <x:c r="K1525" s="1" t="str">
        <x:f>IF(G1525&gt;='Дашборд'!$C$51,"X","Z")</x:f>
        <x:v>Z</x:v>
      </x:c>
      <x:c r="L1525" s="1" t="str">
        <x:f>IF(H1525=0,IF(G1525&gt;0,"Нет остатка","Нет спроса"),IF(I1525&gt;='Дашборд'!$C$52,"Быстрый","Медленный"))</x:f>
        <x:v>Медленный</x:v>
      </x:c>
      <x:c r="M1525" s="1" t="str">
        <x:f>IF('Данные'!E1525&lt;'Дашборд'!$C$53,"Мало трафика",IF(J1525&lt;'Дашборд'!$C$9*'Дашборд'!$C$54,"Да","Нет"))</x:f>
        <x:v>Да</x:v>
      </x:c>
      <x:c r="N1525" s="1" t="str">
        <x:f>IF(AND('Данные'!D1525&gt;='Дашборд'!$C$55,D1525&lt;'Дашборд'!$C$56,'Данные'!E1525&gt;='Дашборд'!$C$53,'Данные'!L1525&lt;&gt;"Да"),"Да","Нет")</x:f>
        <x:v>Нет</x:v>
      </x:c>
      <x:c r="O1525" s="1" t="str">
        <x:f>'Данные'!L1525</x:f>
        <x:v>Нет</x:v>
      </x:c>
    </x:row>
    <x:row r="1526">
      <x:c r="A1526" s="1" t="str">
        <x:f>'Данные'!A1526</x:f>
        <x:v>222347130</x:v>
      </x:c>
      <x:c r="B1526" s="1" t="str">
        <x:f>'Данные'!B1526</x:f>
        <x:v>2Nfutbolkaman/черный</x:v>
      </x:c>
      <x:c r="C1526" s="8" t="n">
        <x:f>'Данные'!G1526</x:f>
        <x:v>5110</x:v>
      </x:c>
      <x:c r="D1526" s="15" t="n">
        <x:f>C1526/SUM($C$5:$C$2477)</x:f>
        <x:v>0.000005969622744059851</x:v>
      </x:c>
      <x:c r="E1526" s="15" t="n">
        <x:f>SUM($D$5:D1526)</x:f>
        <x:v>0.9996727548606077</x:v>
      </x:c>
      <x:c r="F1526" s="1" t="str">
        <x:f>IF(C1526&lt;=0,"C",IF(E1526-D1526&lt;'Дашборд'!$C$49,"A",IF(E1526-D1526&lt;'Дашборд'!$C$50,"B","C")))</x:f>
        <x:v>C</x:v>
      </x:c>
      <x:c r="G1526" s="8" t="n">
        <x:f>'Данные'!F1526</x:f>
        <x:v>5</x:v>
      </x:c>
      <x:c r="H1526" s="8" t="n">
        <x:f>SUM('Данные'!H1526:I1526)</x:f>
        <x:v>0</x:v>
      </x:c>
      <x:c r="I1526" s="16" t="str">
        <x:f>IF(H1526&gt;0,G1526/H1526,"n.a.")</x:f>
        <x:v>n.a.</x:v>
      </x:c>
      <x:c r="J1526" s="10" t="n">
        <x:f>IF('Данные'!E1526&gt;0,G1526/'Данные'!E1526,"n.a.")</x:f>
        <x:v>0.003071253071253071</x:v>
      </x:c>
      <x:c r="K1526" s="1" t="str">
        <x:f>IF(G1526&gt;='Дашборд'!$C$51,"X","Z")</x:f>
        <x:v>Z</x:v>
      </x:c>
      <x:c r="L1526" s="1" t="str">
        <x:f>IF(H1526=0,IF(G1526&gt;0,"Нет остатка","Нет спроса"),IF(I1526&gt;='Дашборд'!$C$52,"Быстрый","Медленный"))</x:f>
        <x:v>Нет остатка</x:v>
      </x:c>
      <x:c r="M1526" s="1" t="str">
        <x:f>IF('Данные'!E1526&lt;'Дашборд'!$C$53,"Мало трафика",IF(J1526&lt;'Дашборд'!$C$9*'Дашборд'!$C$54,"Да","Нет"))</x:f>
        <x:v>Да</x:v>
      </x:c>
      <x:c r="N1526" s="1" t="str">
        <x:f>IF(AND('Данные'!D1526&gt;='Дашборд'!$C$55,D1526&lt;'Дашборд'!$C$56,'Данные'!E1526&gt;='Дашборд'!$C$53,'Данные'!L1526&lt;&gt;"Да"),"Да","Нет")</x:f>
        <x:v>Нет</x:v>
      </x:c>
      <x:c r="O1526" s="1" t="str">
        <x:f>'Данные'!L1526</x:f>
        <x:v>Нет</x:v>
      </x:c>
    </x:row>
    <x:row r="1527">
      <x:c r="A1527" s="1" t="str">
        <x:f>'Данные'!A1527</x:f>
        <x:v>51580934</x:v>
      </x:c>
      <x:c r="B1527" s="1" t="str">
        <x:f>'Данные'!B1527</x:f>
        <x:v>brukiman/морскаяволна</x:v>
      </x:c>
      <x:c r="C1527" s="8" t="n">
        <x:f>'Данные'!G1527</x:f>
        <x:v>5050</x:v>
      </x:c>
      <x:c r="D1527" s="15" t="n">
        <x:f>C1527/SUM($C$5:$C$2477)</x:f>
        <x:v>0.0000058995293263213794</x:v>
      </x:c>
      <x:c r="E1527" s="15" t="n">
        <x:f>SUM($D$5:D1527)</x:f>
        <x:v>0.999678654389934</x:v>
      </x:c>
      <x:c r="F1527" s="1" t="str">
        <x:f>IF(C1527&lt;=0,"C",IF(E1527-D1527&lt;'Дашборд'!$C$49,"A",IF(E1527-D1527&lt;'Дашборд'!$C$50,"B","C")))</x:f>
        <x:v>C</x:v>
      </x:c>
      <x:c r="G1527" s="8" t="n">
        <x:f>'Данные'!F1527</x:f>
        <x:v>4</x:v>
      </x:c>
      <x:c r="H1527" s="8" t="n">
        <x:f>SUM('Данные'!H1527:I1527)</x:f>
        <x:v>3</x:v>
      </x:c>
      <x:c r="I1527" s="16" t="n">
        <x:f>IF(H1527&gt;0,G1527/H1527,"n.a.")</x:f>
        <x:v>1.3333333333333333</x:v>
      </x:c>
      <x:c r="J1527" s="10" t="n">
        <x:f>IF('Данные'!E1527&gt;0,G1527/'Данные'!E1527,"n.a.")</x:f>
        <x:v>0.0031031807602792862</x:v>
      </x:c>
      <x:c r="K1527" s="1" t="str">
        <x:f>IF(G1527&gt;='Дашборд'!$C$51,"X","Z")</x:f>
        <x:v>Z</x:v>
      </x:c>
      <x:c r="L1527" s="1" t="str">
        <x:f>IF(H1527=0,IF(G1527&gt;0,"Нет остатка","Нет спроса"),IF(I1527&gt;='Дашборд'!$C$52,"Быстрый","Медленный"))</x:f>
        <x:v>Быстрый</x:v>
      </x:c>
      <x:c r="M1527" s="1" t="str">
        <x:f>IF('Данные'!E1527&lt;'Дашборд'!$C$53,"Мало трафика",IF(J1527&lt;'Дашборд'!$C$9*'Дашборд'!$C$54,"Да","Нет"))</x:f>
        <x:v>Да</x:v>
      </x:c>
      <x:c r="N1527" s="1" t="str">
        <x:f>IF(AND('Данные'!D1527&gt;='Дашборд'!$C$55,D1527&lt;'Дашборд'!$C$56,'Данные'!E1527&gt;='Дашборд'!$C$53,'Данные'!L1527&lt;&gt;"Да"),"Да","Нет")</x:f>
        <x:v>Нет</x:v>
      </x:c>
      <x:c r="O1527" s="1" t="str">
        <x:f>'Данные'!L1527</x:f>
        <x:v>Нет</x:v>
      </x:c>
    </x:row>
    <x:row r="1528">
      <x:c r="A1528" s="1" t="str">
        <x:f>'Данные'!A1528</x:f>
        <x:v>150673971</x:v>
      </x:c>
      <x:c r="B1528" s="1" t="str">
        <x:f>'Данные'!B1528</x:f>
        <x:v>svitshotover/деним</x:v>
      </x:c>
      <x:c r="C1528" s="8" t="n">
        <x:f>'Данные'!G1528</x:f>
        <x:v>5030</x:v>
      </x:c>
      <x:c r="D1528" s="15" t="n">
        <x:f>C1528/SUM($C$5:$C$2477)</x:f>
        <x:v>0.000005876164853741889</x:v>
      </x:c>
      <x:c r="E1528" s="15" t="n">
        <x:f>SUM($D$5:D1528)</x:f>
        <x:v>0.9996845305547877</x:v>
      </x:c>
      <x:c r="F1528" s="1" t="str">
        <x:f>IF(C1528&lt;=0,"C",IF(E1528-D1528&lt;'Дашборд'!$C$49,"A",IF(E1528-D1528&lt;'Дашборд'!$C$50,"B","C")))</x:f>
        <x:v>C</x:v>
      </x:c>
      <x:c r="G1528" s="8" t="n">
        <x:f>'Данные'!F1528</x:f>
        <x:v>6</x:v>
      </x:c>
      <x:c r="H1528" s="8" t="n">
        <x:f>SUM('Данные'!H1528:I1528)</x:f>
        <x:v>57</x:v>
      </x:c>
      <x:c r="I1528" s="16" t="n">
        <x:f>IF(H1528&gt;0,G1528/H1528,"n.a.")</x:f>
        <x:v>0.10526315789473684</x:v>
      </x:c>
      <x:c r="J1528" s="10" t="n">
        <x:f>IF('Данные'!E1528&gt;0,G1528/'Данные'!E1528,"n.a.")</x:f>
        <x:v>0.006269592476489028</x:v>
      </x:c>
      <x:c r="K1528" s="1" t="str">
        <x:f>IF(G1528&gt;='Дашборд'!$C$51,"X","Z")</x:f>
        <x:v>Z</x:v>
      </x:c>
      <x:c r="L1528" s="1" t="str">
        <x:f>IF(H1528=0,IF(G1528&gt;0,"Нет остатка","Нет спроса"),IF(I1528&gt;='Дашборд'!$C$52,"Быстрый","Медленный"))</x:f>
        <x:v>Медленный</x:v>
      </x:c>
      <x:c r="M1528" s="1" t="str">
        <x:f>IF('Данные'!E1528&lt;'Дашборд'!$C$53,"Мало трафика",IF(J1528&lt;'Дашборд'!$C$9*'Дашборд'!$C$54,"Да","Нет"))</x:f>
        <x:v>Мало трафика</x:v>
      </x:c>
      <x:c r="N1528" s="1" t="str">
        <x:f>IF(AND('Данные'!D1528&gt;='Дашборд'!$C$55,D1528&lt;'Дашборд'!$C$56,'Данные'!E1528&gt;='Дашборд'!$C$53,'Данные'!L1528&lt;&gt;"Да"),"Да","Нет")</x:f>
        <x:v>Нет</x:v>
      </x:c>
      <x:c r="O1528" s="1" t="str">
        <x:f>'Данные'!L1528</x:f>
        <x:v>Нет</x:v>
      </x:c>
    </x:row>
    <x:row r="1529">
      <x:c r="A1529" s="1" t="str">
        <x:f>'Данные'!A1529</x:f>
        <x:v>365942949</x:v>
      </x:c>
      <x:c r="B1529" s="1" t="str">
        <x:f>'Данные'!B1529</x:f>
        <x:v>bazaboy/темно-синий</x:v>
      </x:c>
      <x:c r="C1529" s="8" t="n">
        <x:f>'Данные'!G1529</x:f>
        <x:v>4871</x:v>
      </x:c>
      <x:c r="D1529" s="15" t="n">
        <x:f>C1529/SUM($C$5:$C$2477)</x:f>
        <x:v>0.000005690417296734938</x:v>
      </x:c>
      <x:c r="E1529" s="15" t="n">
        <x:f>SUM($D$5:D1529)</x:f>
        <x:v>0.9996902209720844</x:v>
      </x:c>
      <x:c r="F1529" s="1" t="str">
        <x:f>IF(C1529&lt;=0,"C",IF(E1529-D1529&lt;'Дашборд'!$C$49,"A",IF(E1529-D1529&lt;'Дашборд'!$C$50,"B","C")))</x:f>
        <x:v>C</x:v>
      </x:c>
      <x:c r="G1529" s="8" t="n">
        <x:f>'Данные'!F1529</x:f>
        <x:v>17</x:v>
      </x:c>
      <x:c r="H1529" s="8" t="n">
        <x:f>SUM('Данные'!H1529:I1529)</x:f>
        <x:v>14</x:v>
      </x:c>
      <x:c r="I1529" s="16" t="n">
        <x:f>IF(H1529&gt;0,G1529/H1529,"n.a.")</x:f>
        <x:v>1.2142857142857142</x:v>
      </x:c>
      <x:c r="J1529" s="10" t="n">
        <x:f>IF('Данные'!E1529&gt;0,G1529/'Данные'!E1529,"n.a.")</x:f>
        <x:v>0.0045772751750134625</x:v>
      </x:c>
      <x:c r="K1529" s="1" t="str">
        <x:f>IF(G1529&gt;='Дашборд'!$C$51,"X","Z")</x:f>
        <x:v>Z</x:v>
      </x:c>
      <x:c r="L1529" s="1" t="str">
        <x:f>IF(H1529=0,IF(G1529&gt;0,"Нет остатка","Нет спроса"),IF(I1529&gt;='Дашборд'!$C$52,"Быстрый","Медленный"))</x:f>
        <x:v>Быстрый</x:v>
      </x:c>
      <x:c r="M1529" s="1" t="str">
        <x:f>IF('Данные'!E1529&lt;'Дашборд'!$C$53,"Мало трафика",IF(J1529&lt;'Дашборд'!$C$9*'Дашборд'!$C$54,"Да","Нет"))</x:f>
        <x:v>Да</x:v>
      </x:c>
      <x:c r="N1529" s="1" t="str">
        <x:f>IF(AND('Данные'!D1529&gt;='Дашборд'!$C$55,D1529&lt;'Дашборд'!$C$56,'Данные'!E1529&gt;='Дашборд'!$C$53,'Данные'!L1529&lt;&gt;"Да"),"Да","Нет")</x:f>
        <x:v>Да</x:v>
      </x:c>
      <x:c r="O1529" s="1" t="str">
        <x:f>'Данные'!L1529</x:f>
        <x:v>Нет</x:v>
      </x:c>
    </x:row>
    <x:row r="1530">
      <x:c r="A1530" s="1" t="str">
        <x:f>'Данные'!A1530</x:f>
        <x:v>209915690</x:v>
      </x:c>
      <x:c r="B1530" s="1" t="str">
        <x:f>'Данные'!B1530</x:f>
        <x:v>shorty/светло-фиолетовый</x:v>
      </x:c>
      <x:c r="C1530" s="8" t="n">
        <x:f>'Данные'!G1530</x:f>
        <x:v>4816</x:v>
      </x:c>
      <x:c r="D1530" s="15" t="n">
        <x:f>C1530/SUM($C$5:$C$2477)</x:f>
        <x:v>0.000005626164997141339</x:v>
      </x:c>
      <x:c r="E1530" s="15" t="n">
        <x:f>SUM($D$5:D1530)</x:f>
        <x:v>0.9996958471370815</x:v>
      </x:c>
      <x:c r="F1530" s="1" t="str">
        <x:f>IF(C1530&lt;=0,"C",IF(E1530-D1530&lt;'Дашборд'!$C$49,"A",IF(E1530-D1530&lt;'Дашборд'!$C$50,"B","C")))</x:f>
        <x:v>C</x:v>
      </x:c>
      <x:c r="G1530" s="8" t="n">
        <x:f>'Данные'!F1530</x:f>
        <x:v>8</x:v>
      </x:c>
      <x:c r="H1530" s="8" t="n">
        <x:f>SUM('Данные'!H1530:I1530)</x:f>
        <x:v>24</x:v>
      </x:c>
      <x:c r="I1530" s="16" t="n">
        <x:f>IF(H1530&gt;0,G1530/H1530,"n.a.")</x:f>
        <x:v>0.3333333333333333</x:v>
      </x:c>
      <x:c r="J1530" s="10" t="n">
        <x:f>IF('Данные'!E1530&gt;0,G1530/'Данные'!E1530,"n.a.")</x:f>
        <x:v>0.001498969458497283</x:v>
      </x:c>
      <x:c r="K1530" s="1" t="str">
        <x:f>IF(G1530&gt;='Дашборд'!$C$51,"X","Z")</x:f>
        <x:v>Z</x:v>
      </x:c>
      <x:c r="L1530" s="1" t="str">
        <x:f>IF(H1530=0,IF(G1530&gt;0,"Нет остатка","Нет спроса"),IF(I1530&gt;='Дашборд'!$C$52,"Быстрый","Медленный"))</x:f>
        <x:v>Медленный</x:v>
      </x:c>
      <x:c r="M1530" s="1" t="str">
        <x:f>IF('Данные'!E1530&lt;'Дашборд'!$C$53,"Мало трафика",IF(J1530&lt;'Дашборд'!$C$9*'Дашборд'!$C$54,"Да","Нет"))</x:f>
        <x:v>Да</x:v>
      </x:c>
      <x:c r="N1530" s="1" t="str">
        <x:f>IF(AND('Данные'!D1530&gt;='Дашборд'!$C$55,D1530&lt;'Дашборд'!$C$56,'Данные'!E1530&gt;='Дашборд'!$C$53,'Данные'!L1530&lt;&gt;"Да"),"Да","Нет")</x:f>
        <x:v>Нет</x:v>
      </x:c>
      <x:c r="O1530" s="1" t="str">
        <x:f>'Данные'!L1530</x:f>
        <x:v>Нет</x:v>
      </x:c>
    </x:row>
    <x:row r="1531">
      <x:c r="A1531" s="1" t="str">
        <x:f>'Данные'!A1531</x:f>
        <x:v>361825200</x:v>
      </x:c>
      <x:c r="B1531" s="1" t="str">
        <x:f>'Данные'!B1531</x:f>
        <x:v>bazagirl/черный</x:v>
      </x:c>
      <x:c r="C1531" s="8" t="n">
        <x:f>'Данные'!G1531</x:f>
        <x:v>4700</x:v>
      </x:c>
      <x:c r="D1531" s="15" t="n">
        <x:f>C1531/SUM($C$5:$C$2477)</x:f>
        <x:v>0.000005490651056180294</x:v>
      </x:c>
      <x:c r="E1531" s="15" t="n">
        <x:f>SUM($D$5:D1531)</x:f>
        <x:v>0.9997013377881376</x:v>
      </x:c>
      <x:c r="F1531" s="1" t="str">
        <x:f>IF(C1531&lt;=0,"C",IF(E1531-D1531&lt;'Дашборд'!$C$49,"A",IF(E1531-D1531&lt;'Дашборд'!$C$50,"B","C")))</x:f>
        <x:v>C</x:v>
      </x:c>
      <x:c r="G1531" s="8" t="n">
        <x:f>'Данные'!F1531</x:f>
        <x:v>19</x:v>
      </x:c>
      <x:c r="H1531" s="8" t="n">
        <x:f>SUM('Данные'!H1531:I1531)</x:f>
        <x:v>381</x:v>
      </x:c>
      <x:c r="I1531" s="16" t="n">
        <x:f>IF(H1531&gt;0,G1531/H1531,"n.a.")</x:f>
        <x:v>0.049868766404199474</x:v>
      </x:c>
      <x:c r="J1531" s="10" t="n">
        <x:f>IF('Данные'!E1531&gt;0,G1531/'Данные'!E1531,"n.a.")</x:f>
        <x:v>0.010428100987925357</x:v>
      </x:c>
      <x:c r="K1531" s="1" t="str">
        <x:f>IF(G1531&gt;='Дашборд'!$C$51,"X","Z")</x:f>
        <x:v>Z</x:v>
      </x:c>
      <x:c r="L1531" s="1" t="str">
        <x:f>IF(H1531=0,IF(G1531&gt;0,"Нет остатка","Нет спроса"),IF(I1531&gt;='Дашборд'!$C$52,"Быстрый","Медленный"))</x:f>
        <x:v>Медленный</x:v>
      </x:c>
      <x:c r="M1531" s="1" t="str">
        <x:f>IF('Данные'!E1531&lt;'Дашборд'!$C$53,"Мало трафика",IF(J1531&lt;'Дашборд'!$C$9*'Дашборд'!$C$54,"Да","Нет"))</x:f>
        <x:v>Нет</x:v>
      </x:c>
      <x:c r="N1531" s="1" t="str">
        <x:f>IF(AND('Данные'!D1531&gt;='Дашборд'!$C$55,D1531&lt;'Дашборд'!$C$56,'Данные'!E1531&gt;='Дашборд'!$C$53,'Данные'!L1531&lt;&gt;"Да"),"Да","Нет")</x:f>
        <x:v>Да</x:v>
      </x:c>
      <x:c r="O1531" s="1" t="str">
        <x:f>'Данные'!L1531</x:f>
        <x:v>Нет</x:v>
      </x:c>
    </x:row>
    <x:row r="1532">
      <x:c r="A1532" s="1" t="str">
        <x:f>'Данные'!A1532</x:f>
        <x:v>170169480</x:v>
      </x:c>
      <x:c r="B1532" s="1" t="str">
        <x:f>'Данные'!B1532</x:f>
        <x:v>brukiman/розовый</x:v>
      </x:c>
      <x:c r="C1532" s="8" t="n">
        <x:f>'Данные'!G1532</x:f>
        <x:v>4669</x:v>
      </x:c>
      <x:c r="D1532" s="15" t="n">
        <x:f>C1532/SUM($C$5:$C$2477)</x:f>
        <x:v>0.000005454436123682083</x:v>
      </x:c>
      <x:c r="E1532" s="15" t="n">
        <x:f>SUM($D$5:D1532)</x:f>
        <x:v>0.9997067922242613</x:v>
      </x:c>
      <x:c r="F1532" s="1" t="str">
        <x:f>IF(C1532&lt;=0,"C",IF(E1532-D1532&lt;'Дашборд'!$C$49,"A",IF(E1532-D1532&lt;'Дашборд'!$C$50,"B","C")))</x:f>
        <x:v>C</x:v>
      </x:c>
      <x:c r="G1532" s="8" t="n">
        <x:f>'Данные'!F1532</x:f>
        <x:v>3</x:v>
      </x:c>
      <x:c r="H1532" s="8" t="n">
        <x:f>SUM('Данные'!H1532:I1532)</x:f>
        <x:v>2</x:v>
      </x:c>
      <x:c r="I1532" s="16" t="n">
        <x:f>IF(H1532&gt;0,G1532/H1532,"n.a.")</x:f>
        <x:v>1.5</x:v>
      </x:c>
      <x:c r="J1532" s="10" t="n">
        <x:f>IF('Данные'!E1532&gt;0,G1532/'Данные'!E1532,"n.a.")</x:f>
        <x:v>0.0021849963583394027</x:v>
      </x:c>
      <x:c r="K1532" s="1" t="str">
        <x:f>IF(G1532&gt;='Дашборд'!$C$51,"X","Z")</x:f>
        <x:v>Z</x:v>
      </x:c>
      <x:c r="L1532" s="1" t="str">
        <x:f>IF(H1532=0,IF(G1532&gt;0,"Нет остатка","Нет спроса"),IF(I1532&gt;='Дашборд'!$C$52,"Быстрый","Медленный"))</x:f>
        <x:v>Быстрый</x:v>
      </x:c>
      <x:c r="M1532" s="1" t="str">
        <x:f>IF('Данные'!E1532&lt;'Дашборд'!$C$53,"Мало трафика",IF(J1532&lt;'Дашборд'!$C$9*'Дашборд'!$C$54,"Да","Нет"))</x:f>
        <x:v>Да</x:v>
      </x:c>
      <x:c r="N1532" s="1" t="str">
        <x:f>IF(AND('Данные'!D1532&gt;='Дашборд'!$C$55,D1532&lt;'Дашборд'!$C$56,'Данные'!E1532&gt;='Дашборд'!$C$53,'Данные'!L1532&lt;&gt;"Да"),"Да","Нет")</x:f>
        <x:v>Да</x:v>
      </x:c>
      <x:c r="O1532" s="1" t="str">
        <x:f>'Данные'!L1532</x:f>
        <x:v>Нет</x:v>
      </x:c>
    </x:row>
    <x:row r="1533">
      <x:c r="A1533" s="1" t="str">
        <x:f>'Данные'!A1533</x:f>
        <x:v>203134462</x:v>
      </x:c>
      <x:c r="B1533" s="1" t="str">
        <x:f>'Данные'!B1533</x:f>
        <x:v>svitshotprint/LoveNever-45/молочный</x:v>
      </x:c>
      <x:c r="C1533" s="8" t="n">
        <x:f>'Данные'!G1533</x:f>
        <x:v>4616</x:v>
      </x:c>
      <x:c r="D1533" s="15" t="n">
        <x:f>C1533/SUM($C$5:$C$2477)</x:f>
        <x:v>0.000005392520271346433</x:v>
      </x:c>
      <x:c r="E1533" s="15" t="n">
        <x:f>SUM($D$5:D1533)</x:f>
        <x:v>0.9997121847445326</x:v>
      </x:c>
      <x:c r="F1533" s="1" t="str">
        <x:f>IF(C1533&lt;=0,"C",IF(E1533-D1533&lt;'Дашборд'!$C$49,"A",IF(E1533-D1533&lt;'Дашборд'!$C$50,"B","C")))</x:f>
        <x:v>C</x:v>
      </x:c>
      <x:c r="G1533" s="8" t="n">
        <x:f>'Данные'!F1533</x:f>
        <x:v>8</x:v>
      </x:c>
      <x:c r="H1533" s="8" t="n">
        <x:f>SUM('Данные'!H1533:I1533)</x:f>
        <x:v>11</x:v>
      </x:c>
      <x:c r="I1533" s="16" t="n">
        <x:f>IF(H1533&gt;0,G1533/H1533,"n.a.")</x:f>
        <x:v>0.7272727272727273</x:v>
      </x:c>
      <x:c r="J1533" s="10" t="n">
        <x:f>IF('Данные'!E1533&gt;0,G1533/'Данные'!E1533,"n.a.")</x:f>
        <x:v>0.007366482504604052</x:v>
      </x:c>
      <x:c r="K1533" s="1" t="str">
        <x:f>IF(G1533&gt;='Дашборд'!$C$51,"X","Z")</x:f>
        <x:v>Z</x:v>
      </x:c>
      <x:c r="L1533" s="1" t="str">
        <x:f>IF(H1533=0,IF(G1533&gt;0,"Нет остатка","Нет спроса"),IF(I1533&gt;='Дашборд'!$C$52,"Быстрый","Медленный"))</x:f>
        <x:v>Медленный</x:v>
      </x:c>
      <x:c r="M1533" s="1" t="str">
        <x:f>IF('Данные'!E1533&lt;'Дашборд'!$C$53,"Мало трафика",IF(J1533&lt;'Дашборд'!$C$9*'Дашборд'!$C$54,"Да","Нет"))</x:f>
        <x:v>Да</x:v>
      </x:c>
      <x:c r="N1533" s="1" t="str">
        <x:f>IF(AND('Данные'!D1533&gt;='Дашборд'!$C$55,D1533&lt;'Дашборд'!$C$56,'Данные'!E1533&gt;='Дашборд'!$C$53,'Данные'!L1533&lt;&gt;"Да"),"Да","Нет")</x:f>
        <x:v>Нет</x:v>
      </x:c>
      <x:c r="O1533" s="1" t="str">
        <x:f>'Данные'!L1533</x:f>
        <x:v>Нет</x:v>
      </x:c>
    </x:row>
    <x:row r="1534">
      <x:c r="A1534" s="1" t="str">
        <x:f>'Данные'!A1534</x:f>
        <x:v>178309501</x:v>
      </x:c>
      <x:c r="B1534" s="1" t="str">
        <x:f>'Данные'!B1534</x:f>
        <x:v>svitcrop/темно-синий</x:v>
      </x:c>
      <x:c r="C1534" s="8" t="n">
        <x:f>'Данные'!G1534</x:f>
        <x:v>4590</x:v>
      </x:c>
      <x:c r="D1534" s="15" t="n">
        <x:f>C1534/SUM($C$5:$C$2477)</x:f>
        <x:v>0.000005362146456993095</x:v>
      </x:c>
      <x:c r="E1534" s="15" t="n">
        <x:f>SUM($D$5:D1534)</x:f>
        <x:v>0.9997175468909896</x:v>
      </x:c>
      <x:c r="F1534" s="1" t="str">
        <x:f>IF(C1534&lt;=0,"C",IF(E1534-D1534&lt;'Дашборд'!$C$49,"A",IF(E1534-D1534&lt;'Дашборд'!$C$50,"B","C")))</x:f>
        <x:v>C</x:v>
      </x:c>
      <x:c r="G1534" s="8" t="n">
        <x:f>'Данные'!F1534</x:f>
        <x:v>12</x:v>
      </x:c>
      <x:c r="H1534" s="8" t="n">
        <x:f>SUM('Данные'!H1534:I1534)</x:f>
        <x:v>0</x:v>
      </x:c>
      <x:c r="I1534" s="16" t="str">
        <x:f>IF(H1534&gt;0,G1534/H1534,"n.a.")</x:f>
        <x:v>n.a.</x:v>
      </x:c>
      <x:c r="J1534" s="10" t="n">
        <x:f>IF('Данные'!E1534&gt;0,G1534/'Данные'!E1534,"n.a.")</x:f>
        <x:v>0.010526315789473684</x:v>
      </x:c>
      <x:c r="K1534" s="1" t="str">
        <x:f>IF(G1534&gt;='Дашборд'!$C$51,"X","Z")</x:f>
        <x:v>Z</x:v>
      </x:c>
      <x:c r="L1534" s="1" t="str">
        <x:f>IF(H1534=0,IF(G1534&gt;0,"Нет остатка","Нет спроса"),IF(I1534&gt;='Дашборд'!$C$52,"Быстрый","Медленный"))</x:f>
        <x:v>Нет остатка</x:v>
      </x:c>
      <x:c r="M1534" s="1" t="str">
        <x:f>IF('Данные'!E1534&lt;'Дашборд'!$C$53,"Мало трафика",IF(J1534&lt;'Дашборд'!$C$9*'Дашборд'!$C$54,"Да","Нет"))</x:f>
        <x:v>Нет</x:v>
      </x:c>
      <x:c r="N1534" s="1" t="str">
        <x:f>IF(AND('Данные'!D1534&gt;='Дашборд'!$C$55,D1534&lt;'Дашборд'!$C$56,'Данные'!E1534&gt;='Дашборд'!$C$53,'Данные'!L1534&lt;&gt;"Да"),"Да","Нет")</x:f>
        <x:v>Да</x:v>
      </x:c>
      <x:c r="O1534" s="1" t="str">
        <x:f>'Данные'!L1534</x:f>
        <x:v>Нет</x:v>
      </x:c>
    </x:row>
    <x:row r="1535">
      <x:c r="A1535" s="1" t="str">
        <x:f>'Данные'!A1535</x:f>
        <x:v>178309489</x:v>
      </x:c>
      <x:c r="B1535" s="1" t="str">
        <x:f>'Данные'!B1535</x:f>
        <x:v>svitcrop/фуксия</x:v>
      </x:c>
      <x:c r="C1535" s="8" t="n">
        <x:f>'Данные'!G1535</x:f>
        <x:v>4550</x:v>
      </x:c>
      <x:c r="D1535" s="15" t="n">
        <x:f>C1535/SUM($C$5:$C$2477)</x:f>
        <x:v>0.0000053154175118341145</x:v>
      </x:c>
      <x:c r="E1535" s="15" t="n">
        <x:f>SUM($D$5:D1535)</x:f>
        <x:v>0.9997228623085014</x:v>
      </x:c>
      <x:c r="F1535" s="1" t="str">
        <x:f>IF(C1535&lt;=0,"C",IF(E1535-D1535&lt;'Дашборд'!$C$49,"A",IF(E1535-D1535&lt;'Дашборд'!$C$50,"B","C")))</x:f>
        <x:v>C</x:v>
      </x:c>
      <x:c r="G1535" s="8" t="n">
        <x:f>'Данные'!F1535</x:f>
        <x:v>7</x:v>
      </x:c>
      <x:c r="H1535" s="8" t="n">
        <x:f>SUM('Данные'!H1535:I1535)</x:f>
        <x:v>0</x:v>
      </x:c>
      <x:c r="I1535" s="16" t="str">
        <x:f>IF(H1535&gt;0,G1535/H1535,"n.a.")</x:f>
        <x:v>n.a.</x:v>
      </x:c>
      <x:c r="J1535" s="10" t="n">
        <x:f>IF('Данные'!E1535&gt;0,G1535/'Данные'!E1535,"n.a.")</x:f>
        <x:v>0.004807692307692308</x:v>
      </x:c>
      <x:c r="K1535" s="1" t="str">
        <x:f>IF(G1535&gt;='Дашборд'!$C$51,"X","Z")</x:f>
        <x:v>Z</x:v>
      </x:c>
      <x:c r="L1535" s="1" t="str">
        <x:f>IF(H1535=0,IF(G1535&gt;0,"Нет остатка","Нет спроса"),IF(I1535&gt;='Дашборд'!$C$52,"Быстрый","Медленный"))</x:f>
        <x:v>Нет остатка</x:v>
      </x:c>
      <x:c r="M1535" s="1" t="str">
        <x:f>IF('Данные'!E1535&lt;'Дашборд'!$C$53,"Мало трафика",IF(J1535&lt;'Дашборд'!$C$9*'Дашборд'!$C$54,"Да","Нет"))</x:f>
        <x:v>Да</x:v>
      </x:c>
      <x:c r="N1535" s="1" t="str">
        <x:f>IF(AND('Данные'!D1535&gt;='Дашборд'!$C$55,D1535&lt;'Дашборд'!$C$56,'Данные'!E1535&gt;='Дашборд'!$C$53,'Данные'!L1535&lt;&gt;"Да"),"Да","Нет")</x:f>
        <x:v>Да</x:v>
      </x:c>
      <x:c r="O1535" s="1" t="str">
        <x:f>'Данные'!L1535</x:f>
        <x:v>Нет</x:v>
      </x:c>
    </x:row>
    <x:row r="1536">
      <x:c r="A1536" s="1" t="str">
        <x:f>'Данные'!A1536</x:f>
        <x:v>331334279</x:v>
      </x:c>
      <x:c r="B1536" s="1" t="str">
        <x:f>'Данные'!B1536</x:f>
        <x:v>longpolo3K-90/коричневый</x:v>
      </x:c>
      <x:c r="C1536" s="8" t="n">
        <x:f>'Данные'!G1536</x:f>
        <x:v>4500</x:v>
      </x:c>
      <x:c r="D1536" s="15" t="n">
        <x:f>C1536/SUM($C$5:$C$2477)</x:f>
        <x:v>0.000005257006330385388</x:v>
      </x:c>
      <x:c r="E1536" s="15" t="n">
        <x:f>SUM($D$5:D1536)</x:f>
        <x:v>0.9997281193148317</x:v>
      </x:c>
      <x:c r="F1536" s="1" t="str">
        <x:f>IF(C1536&lt;=0,"C",IF(E1536-D1536&lt;'Дашборд'!$C$49,"A",IF(E1536-D1536&lt;'Дашборд'!$C$50,"B","C")))</x:f>
        <x:v>C</x:v>
      </x:c>
      <x:c r="G1536" s="8" t="n">
        <x:f>'Данные'!F1536</x:f>
        <x:v>3</x:v>
      </x:c>
      <x:c r="H1536" s="8" t="n">
        <x:f>SUM('Данные'!H1536:I1536)</x:f>
        <x:v>181</x:v>
      </x:c>
      <x:c r="I1536" s="16" t="n">
        <x:f>IF(H1536&gt;0,G1536/H1536,"n.a.")</x:f>
        <x:v>0.016574585635359115</x:v>
      </x:c>
      <x:c r="J1536" s="10" t="n">
        <x:f>IF('Данные'!E1536&gt;0,G1536/'Данные'!E1536,"n.a.")</x:f>
        <x:v>0.0012371134020618556</x:v>
      </x:c>
      <x:c r="K1536" s="1" t="str">
        <x:f>IF(G1536&gt;='Дашборд'!$C$51,"X","Z")</x:f>
        <x:v>Z</x:v>
      </x:c>
      <x:c r="L1536" s="1" t="str">
        <x:f>IF(H1536=0,IF(G1536&gt;0,"Нет остатка","Нет спроса"),IF(I1536&gt;='Дашборд'!$C$52,"Быстрый","Медленный"))</x:f>
        <x:v>Медленный</x:v>
      </x:c>
      <x:c r="M1536" s="1" t="str">
        <x:f>IF('Данные'!E1536&lt;'Дашборд'!$C$53,"Мало трафика",IF(J1536&lt;'Дашборд'!$C$9*'Дашборд'!$C$54,"Да","Нет"))</x:f>
        <x:v>Да</x:v>
      </x:c>
      <x:c r="N1536" s="1" t="str">
        <x:f>IF(AND('Данные'!D1536&gt;='Дашборд'!$C$55,D1536&lt;'Дашборд'!$C$56,'Данные'!E1536&gt;='Дашборд'!$C$53,'Данные'!L1536&lt;&gt;"Да"),"Да","Нет")</x:f>
        <x:v>Нет</x:v>
      </x:c>
      <x:c r="O1536" s="1" t="str">
        <x:f>'Данные'!L1536</x:f>
        <x:v>Нет</x:v>
      </x:c>
    </x:row>
    <x:row r="1537">
      <x:c r="A1537" s="1" t="str">
        <x:f>'Данные'!A1537</x:f>
        <x:v>165911119</x:v>
      </x:c>
      <x:c r="B1537" s="1" t="str">
        <x:f>'Данные'!B1537</x:f>
        <x:v>longman/морскаяволна</x:v>
      </x:c>
      <x:c r="C1537" s="8" t="n">
        <x:f>'Данные'!G1537</x:f>
        <x:v>4491</x:v>
      </x:c>
      <x:c r="D1537" s="15" t="n">
        <x:f>C1537/SUM($C$5:$C$2477)</x:f>
        <x:v>0.000005246492317724617</x:v>
      </x:c>
      <x:c r="E1537" s="15" t="n">
        <x:f>SUM($D$5:D1537)</x:f>
        <x:v>0.9997333658071494</x:v>
      </x:c>
      <x:c r="F1537" s="1" t="str">
        <x:f>IF(C1537&lt;=0,"C",IF(E1537-D1537&lt;'Дашборд'!$C$49,"A",IF(E1537-D1537&lt;'Дашборд'!$C$50,"B","C")))</x:f>
        <x:v>C</x:v>
      </x:c>
      <x:c r="G1537" s="8" t="n">
        <x:f>'Данные'!F1537</x:f>
        <x:v>5</x:v>
      </x:c>
      <x:c r="H1537" s="8" t="n">
        <x:f>SUM('Данные'!H1537:I1537)</x:f>
        <x:v>0</x:v>
      </x:c>
      <x:c r="I1537" s="16" t="str">
        <x:f>IF(H1537&gt;0,G1537/H1537,"n.a.")</x:f>
        <x:v>n.a.</x:v>
      </x:c>
      <x:c r="J1537" s="10" t="n">
        <x:f>IF('Данные'!E1537&gt;0,G1537/'Данные'!E1537,"n.a.")</x:f>
        <x:v>0.0054466230936819175</x:v>
      </x:c>
      <x:c r="K1537" s="1" t="str">
        <x:f>IF(G1537&gt;='Дашборд'!$C$51,"X","Z")</x:f>
        <x:v>Z</x:v>
      </x:c>
      <x:c r="L1537" s="1" t="str">
        <x:f>IF(H1537=0,IF(G1537&gt;0,"Нет остатка","Нет спроса"),IF(I1537&gt;='Дашборд'!$C$52,"Быстрый","Медленный"))</x:f>
        <x:v>Нет остатка</x:v>
      </x:c>
      <x:c r="M1537" s="1" t="str">
        <x:f>IF('Данные'!E1537&lt;'Дашборд'!$C$53,"Мало трафика",IF(J1537&lt;'Дашборд'!$C$9*'Дашборд'!$C$54,"Да","Нет"))</x:f>
        <x:v>Мало трафика</x:v>
      </x:c>
      <x:c r="N1537" s="1" t="str">
        <x:f>IF(AND('Данные'!D1537&gt;='Дашборд'!$C$55,D1537&lt;'Дашборд'!$C$56,'Данные'!E1537&gt;='Дашборд'!$C$53,'Данные'!L1537&lt;&gt;"Да"),"Да","Нет")</x:f>
        <x:v>Нет</x:v>
      </x:c>
      <x:c r="O1537" s="1" t="str">
        <x:f>'Данные'!L1537</x:f>
        <x:v>Нет</x:v>
      </x:c>
    </x:row>
    <x:row r="1538">
      <x:c r="A1538" s="1" t="str">
        <x:f>'Данные'!A1538</x:f>
        <x:v>150673980</x:v>
      </x:c>
      <x:c r="B1538" s="1" t="str">
        <x:f>'Данные'!B1538</x:f>
        <x:v>svitshotover/изумрудно-зеленый</x:v>
      </x:c>
      <x:c r="C1538" s="8" t="n">
        <x:f>'Данные'!G1538</x:f>
        <x:v>4421</x:v>
      </x:c>
      <x:c r="D1538" s="15" t="n">
        <x:f>C1538/SUM($C$5:$C$2477)</x:f>
        <x:v>0.0000051647166636964</x:v>
      </x:c>
      <x:c r="E1538" s="15" t="n">
        <x:f>SUM($D$5:D1538)</x:f>
        <x:v>0.9997385305238131</x:v>
      </x:c>
      <x:c r="F1538" s="1" t="str">
        <x:f>IF(C1538&lt;=0,"C",IF(E1538-D1538&lt;'Дашборд'!$C$49,"A",IF(E1538-D1538&lt;'Дашборд'!$C$50,"B","C")))</x:f>
        <x:v>C</x:v>
      </x:c>
      <x:c r="G1538" s="8" t="n">
        <x:f>'Данные'!F1538</x:f>
        <x:v>6</x:v>
      </x:c>
      <x:c r="H1538" s="8" t="n">
        <x:f>SUM('Данные'!H1538:I1538)</x:f>
        <x:v>26</x:v>
      </x:c>
      <x:c r="I1538" s="16" t="n">
        <x:f>IF(H1538&gt;0,G1538/H1538,"n.a.")</x:f>
        <x:v>0.23076923076923078</x:v>
      </x:c>
      <x:c r="J1538" s="10" t="n">
        <x:f>IF('Данные'!E1538&gt;0,G1538/'Данные'!E1538,"n.a.")</x:f>
        <x:v>0.006535947712418301</x:v>
      </x:c>
      <x:c r="K1538" s="1" t="str">
        <x:f>IF(G1538&gt;='Дашборд'!$C$51,"X","Z")</x:f>
        <x:v>Z</x:v>
      </x:c>
      <x:c r="L1538" s="1" t="str">
        <x:f>IF(H1538=0,IF(G1538&gt;0,"Нет остатка","Нет спроса"),IF(I1538&gt;='Дашборд'!$C$52,"Быстрый","Медленный"))</x:f>
        <x:v>Медленный</x:v>
      </x:c>
      <x:c r="M1538" s="1" t="str">
        <x:f>IF('Данные'!E1538&lt;'Дашборд'!$C$53,"Мало трафика",IF(J1538&lt;'Дашборд'!$C$9*'Дашборд'!$C$54,"Да","Нет"))</x:f>
        <x:v>Мало трафика</x:v>
      </x:c>
      <x:c r="N1538" s="1" t="str">
        <x:f>IF(AND('Данные'!D1538&gt;='Дашборд'!$C$55,D1538&lt;'Дашборд'!$C$56,'Данные'!E1538&gt;='Дашборд'!$C$53,'Данные'!L1538&lt;&gt;"Да"),"Да","Нет")</x:f>
        <x:v>Нет</x:v>
      </x:c>
      <x:c r="O1538" s="1" t="str">
        <x:f>'Данные'!L1538</x:f>
        <x:v>Нет</x:v>
      </x:c>
    </x:row>
    <x:row r="1539">
      <x:c r="A1539" s="1" t="str">
        <x:f>'Данные'!A1539</x:f>
        <x:v>229653005</x:v>
      </x:c>
      <x:c r="B1539" s="1" t="str">
        <x:f>'Данные'!B1539</x:f>
        <x:v>kostumgirl/темно-серый</x:v>
      </x:c>
      <x:c r="C1539" s="8" t="n">
        <x:f>'Данные'!G1539</x:f>
        <x:v>4296</x:v>
      </x:c>
      <x:c r="D1539" s="15" t="n">
        <x:f>C1539/SUM($C$5:$C$2477)</x:f>
        <x:v>0.000005018688710074584</x:v>
      </x:c>
      <x:c r="E1539" s="15" t="n">
        <x:f>SUM($D$5:D1539)</x:f>
        <x:v>0.9997435492125232</x:v>
      </x:c>
      <x:c r="F1539" s="1" t="str">
        <x:f>IF(C1539&lt;=0,"C",IF(E1539-D1539&lt;'Дашборд'!$C$49,"A",IF(E1539-D1539&lt;'Дашборд'!$C$50,"B","C")))</x:f>
        <x:v>C</x:v>
      </x:c>
      <x:c r="G1539" s="8" t="n">
        <x:f>'Данные'!F1539</x:f>
        <x:v>5</x:v>
      </x:c>
      <x:c r="H1539" s="8" t="n">
        <x:f>SUM('Данные'!H1539:I1539)</x:f>
        <x:v>4</x:v>
      </x:c>
      <x:c r="I1539" s="16" t="n">
        <x:f>IF(H1539&gt;0,G1539/H1539,"n.a.")</x:f>
        <x:v>1.25</x:v>
      </x:c>
      <x:c r="J1539" s="10" t="n">
        <x:f>IF('Данные'!E1539&gt;0,G1539/'Данные'!E1539,"n.a.")</x:f>
        <x:v>0.000962278675904542</x:v>
      </x:c>
      <x:c r="K1539" s="1" t="str">
        <x:f>IF(G1539&gt;='Дашборд'!$C$51,"X","Z")</x:f>
        <x:v>Z</x:v>
      </x:c>
      <x:c r="L1539" s="1" t="str">
        <x:f>IF(H1539=0,IF(G1539&gt;0,"Нет остатка","Нет спроса"),IF(I1539&gt;='Дашборд'!$C$52,"Быстрый","Медленный"))</x:f>
        <x:v>Быстрый</x:v>
      </x:c>
      <x:c r="M1539" s="1" t="str">
        <x:f>IF('Данные'!E1539&lt;'Дашборд'!$C$53,"Мало трафика",IF(J1539&lt;'Дашборд'!$C$9*'Дашборд'!$C$54,"Да","Нет"))</x:f>
        <x:v>Да</x:v>
      </x:c>
      <x:c r="N1539" s="1" t="str">
        <x:f>IF(AND('Данные'!D1539&gt;='Дашборд'!$C$55,D1539&lt;'Дашборд'!$C$56,'Данные'!E1539&gt;='Дашборд'!$C$53,'Данные'!L1539&lt;&gt;"Да"),"Да","Нет")</x:f>
        <x:v>Да</x:v>
      </x:c>
      <x:c r="O1539" s="1" t="str">
        <x:f>'Данные'!L1539</x:f>
        <x:v>Нет</x:v>
      </x:c>
    </x:row>
    <x:row r="1540">
      <x:c r="A1540" s="1" t="str">
        <x:f>'Данные'!A1540</x:f>
        <x:v>189114387</x:v>
      </x:c>
      <x:c r="B1540" s="1" t="str">
        <x:f>'Данные'!B1540</x:f>
        <x:v>WV1037-1518-2</x:v>
      </x:c>
      <x:c r="C1540" s="8" t="n">
        <x:f>'Данные'!G1540</x:f>
        <x:v>4260</x:v>
      </x:c>
      <x:c r="D1540" s="15" t="n">
        <x:f>C1540/SUM($C$5:$C$2477)</x:f>
        <x:v>0.0000049766326594315005</x:v>
      </x:c>
      <x:c r="E1540" s="15" t="n">
        <x:f>SUM($D$5:D1540)</x:f>
        <x:v>0.9997485258451826</x:v>
      </x:c>
      <x:c r="F1540" s="1" t="str">
        <x:f>IF(C1540&lt;=0,"C",IF(E1540-D1540&lt;'Дашборд'!$C$49,"A",IF(E1540-D1540&lt;'Дашборд'!$C$50,"B","C")))</x:f>
        <x:v>C</x:v>
      </x:c>
      <x:c r="G1540" s="8" t="n">
        <x:f>'Данные'!F1540</x:f>
        <x:v>3</x:v>
      </x:c>
      <x:c r="H1540" s="8" t="n">
        <x:f>SUM('Данные'!H1540:I1540)</x:f>
        <x:v>0</x:v>
      </x:c>
      <x:c r="I1540" s="16" t="str">
        <x:f>IF(H1540&gt;0,G1540/H1540,"n.a.")</x:f>
        <x:v>n.a.</x:v>
      </x:c>
      <x:c r="J1540" s="10" t="n">
        <x:f>IF('Данные'!E1540&gt;0,G1540/'Данные'!E1540,"n.a.")</x:f>
        <x:v>0.024</x:v>
      </x:c>
      <x:c r="K1540" s="1" t="str">
        <x:f>IF(G1540&gt;='Дашборд'!$C$51,"X","Z")</x:f>
        <x:v>Z</x:v>
      </x:c>
      <x:c r="L1540" s="1" t="str">
        <x:f>IF(H1540=0,IF(G1540&gt;0,"Нет остатка","Нет спроса"),IF(I1540&gt;='Дашборд'!$C$52,"Быстрый","Медленный"))</x:f>
        <x:v>Нет остатка</x:v>
      </x:c>
      <x:c r="M1540" s="1" t="str">
        <x:f>IF('Данные'!E1540&lt;'Дашборд'!$C$53,"Мало трафика",IF(J1540&lt;'Дашборд'!$C$9*'Дашборд'!$C$54,"Да","Нет"))</x:f>
        <x:v>Мало трафика</x:v>
      </x:c>
      <x:c r="N1540" s="1" t="str">
        <x:f>IF(AND('Данные'!D1540&gt;='Дашборд'!$C$55,D1540&lt;'Дашборд'!$C$56,'Данные'!E1540&gt;='Дашборд'!$C$53,'Данные'!L1540&lt;&gt;"Да"),"Да","Нет")</x:f>
        <x:v>Нет</x:v>
      </x:c>
      <x:c r="O1540" s="1" t="str">
        <x:f>'Данные'!L1540</x:f>
        <x:v>Нет</x:v>
      </x:c>
    </x:row>
    <x:row r="1541">
      <x:c r="A1541" s="1" t="str">
        <x:f>'Данные'!A1541</x:f>
        <x:v>256339621</x:v>
      </x:c>
      <x:c r="B1541" s="1" t="str">
        <x:f>'Данные'!B1541</x:f>
        <x:v>futbolkaoverhlop/темно-серый</x:v>
      </x:c>
      <x:c r="C1541" s="8" t="n">
        <x:f>'Данные'!G1541</x:f>
        <x:v>4144</x:v>
      </x:c>
      <x:c r="D1541" s="15" t="n">
        <x:f>C1541/SUM($C$5:$C$2477)</x:f>
        <x:v>0.0000048411187184704544</x:v>
      </x:c>
      <x:c r="E1541" s="15" t="n">
        <x:f>SUM($D$5:D1541)</x:f>
        <x:v>0.999753366963901</x:v>
      </x:c>
      <x:c r="F1541" s="1" t="str">
        <x:f>IF(C1541&lt;=0,"C",IF(E1541-D1541&lt;'Дашборд'!$C$49,"A",IF(E1541-D1541&lt;'Дашборд'!$C$50,"B","C")))</x:f>
        <x:v>C</x:v>
      </x:c>
      <x:c r="G1541" s="8" t="n">
        <x:f>'Данные'!F1541</x:f>
        <x:v>15</x:v>
      </x:c>
      <x:c r="H1541" s="8" t="n">
        <x:f>SUM('Данные'!H1541:I1541)</x:f>
        <x:v>0</x:v>
      </x:c>
      <x:c r="I1541" s="16" t="str">
        <x:f>IF(H1541&gt;0,G1541/H1541,"n.a.")</x:f>
        <x:v>n.a.</x:v>
      </x:c>
      <x:c r="J1541" s="10" t="n">
        <x:f>IF('Данные'!E1541&gt;0,G1541/'Данные'!E1541,"n.a.")</x:f>
        <x:v>0.003575685339690107</x:v>
      </x:c>
      <x:c r="K1541" s="1" t="str">
        <x:f>IF(G1541&gt;='Дашборд'!$C$51,"X","Z")</x:f>
        <x:v>Z</x:v>
      </x:c>
      <x:c r="L1541" s="1" t="str">
        <x:f>IF(H1541=0,IF(G1541&gt;0,"Нет остатка","Нет спроса"),IF(I1541&gt;='Дашборд'!$C$52,"Быстрый","Медленный"))</x:f>
        <x:v>Нет остатка</x:v>
      </x:c>
      <x:c r="M1541" s="1" t="str">
        <x:f>IF('Данные'!E1541&lt;'Дашборд'!$C$53,"Мало трафика",IF(J1541&lt;'Дашборд'!$C$9*'Дашборд'!$C$54,"Да","Нет"))</x:f>
        <x:v>Да</x:v>
      </x:c>
      <x:c r="N1541" s="1" t="str">
        <x:f>IF(AND('Данные'!D1541&gt;='Дашборд'!$C$55,D1541&lt;'Дашборд'!$C$56,'Данные'!E1541&gt;='Дашборд'!$C$53,'Данные'!L1541&lt;&gt;"Да"),"Да","Нет")</x:f>
        <x:v>Нет</x:v>
      </x:c>
      <x:c r="O1541" s="1" t="str">
        <x:f>'Данные'!L1541</x:f>
        <x:v>Нет</x:v>
      </x:c>
    </x:row>
    <x:row r="1542">
      <x:c r="A1542" s="1" t="str">
        <x:f>'Данные'!A1542</x:f>
        <x:v>357022579</x:v>
      </x:c>
      <x:c r="B1542" s="1" t="str">
        <x:f>'Данные'!B1542</x:f>
        <x:v>bazakulgirl/кофейный</x:v>
      </x:c>
      <x:c r="C1542" s="8" t="n">
        <x:f>'Данные'!G1542</x:f>
        <x:v>4004</x:v>
      </x:c>
      <x:c r="D1542" s="15" t="n">
        <x:f>C1542/SUM($C$5:$C$2477)</x:f>
        <x:v>0.0000046775674104140204</x:v>
      </x:c>
      <x:c r="E1542" s="15" t="n">
        <x:f>SUM($D$5:D1542)</x:f>
        <x:v>0.9997580445313115</x:v>
      </x:c>
      <x:c r="F1542" s="1" t="str">
        <x:f>IF(C1542&lt;=0,"C",IF(E1542-D1542&lt;'Дашборд'!$C$49,"A",IF(E1542-D1542&lt;'Дашборд'!$C$50,"B","C")))</x:f>
        <x:v>C</x:v>
      </x:c>
      <x:c r="G1542" s="8" t="n">
        <x:f>'Данные'!F1542</x:f>
        <x:v>11</x:v>
      </x:c>
      <x:c r="H1542" s="8" t="n">
        <x:f>SUM('Данные'!H1542:I1542)</x:f>
        <x:v>59</x:v>
      </x:c>
      <x:c r="I1542" s="16" t="n">
        <x:f>IF(H1542&gt;0,G1542/H1542,"n.a.")</x:f>
        <x:v>0.1864406779661017</x:v>
      </x:c>
      <x:c r="J1542" s="10" t="n">
        <x:f>IF('Данные'!E1542&gt;0,G1542/'Данные'!E1542,"n.a.")</x:f>
        <x:v>0.006909547738693468</x:v>
      </x:c>
      <x:c r="K1542" s="1" t="str">
        <x:f>IF(G1542&gt;='Дашборд'!$C$51,"X","Z")</x:f>
        <x:v>Z</x:v>
      </x:c>
      <x:c r="L1542" s="1" t="str">
        <x:f>IF(H1542=0,IF(G1542&gt;0,"Нет остатка","Нет спроса"),IF(I1542&gt;='Дашборд'!$C$52,"Быстрый","Медленный"))</x:f>
        <x:v>Медленный</x:v>
      </x:c>
      <x:c r="M1542" s="1" t="str">
        <x:f>IF('Данные'!E1542&lt;'Дашборд'!$C$53,"Мало трафика",IF(J1542&lt;'Дашборд'!$C$9*'Дашборд'!$C$54,"Да","Нет"))</x:f>
        <x:v>Да</x:v>
      </x:c>
      <x:c r="N1542" s="1" t="str">
        <x:f>IF(AND('Данные'!D1542&gt;='Дашборд'!$C$55,D1542&lt;'Дашборд'!$C$56,'Данные'!E1542&gt;='Дашборд'!$C$53,'Данные'!L1542&lt;&gt;"Да"),"Да","Нет")</x:f>
        <x:v>Да</x:v>
      </x:c>
      <x:c r="O1542" s="1" t="str">
        <x:f>'Данные'!L1542</x:f>
        <x:v>Нет</x:v>
      </x:c>
    </x:row>
    <x:row r="1543">
      <x:c r="A1543" s="1" t="str">
        <x:f>'Данные'!A1543</x:f>
        <x:v>335328112</x:v>
      </x:c>
      <x:c r="B1543" s="1" t="str">
        <x:f>'Данные'!B1543</x:f>
        <x:v>futbolkahlopboy/какао</x:v>
      </x:c>
      <x:c r="C1543" s="8" t="n">
        <x:f>'Данные'!G1543</x:f>
        <x:v>3940</x:v>
      </x:c>
      <x:c r="D1543" s="15" t="n">
        <x:f>C1543/SUM($C$5:$C$2477)</x:f>
        <x:v>0.00000460280109815965</x:v>
      </x:c>
      <x:c r="E1543" s="15" t="n">
        <x:f>SUM($D$5:D1543)</x:f>
        <x:v>0.9997626473324096</x:v>
      </x:c>
      <x:c r="F1543" s="1" t="str">
        <x:f>IF(C1543&lt;=0,"C",IF(E1543-D1543&lt;'Дашборд'!$C$49,"A",IF(E1543-D1543&lt;'Дашборд'!$C$50,"B","C")))</x:f>
        <x:v>C</x:v>
      </x:c>
      <x:c r="G1543" s="8" t="n">
        <x:f>'Данные'!F1543</x:f>
        <x:v>13</x:v>
      </x:c>
      <x:c r="H1543" s="8" t="n">
        <x:f>SUM('Данные'!H1543:I1543)</x:f>
        <x:v>0</x:v>
      </x:c>
      <x:c r="I1543" s="16" t="str">
        <x:f>IF(H1543&gt;0,G1543/H1543,"n.a.")</x:f>
        <x:v>n.a.</x:v>
      </x:c>
      <x:c r="J1543" s="10" t="n">
        <x:f>IF('Данные'!E1543&gt;0,G1543/'Данные'!E1543,"n.a.")</x:f>
        <x:v>0.0054575986565911</x:v>
      </x:c>
      <x:c r="K1543" s="1" t="str">
        <x:f>IF(G1543&gt;='Дашборд'!$C$51,"X","Z")</x:f>
        <x:v>Z</x:v>
      </x:c>
      <x:c r="L1543" s="1" t="str">
        <x:f>IF(H1543=0,IF(G1543&gt;0,"Нет остатка","Нет спроса"),IF(I1543&gt;='Дашборд'!$C$52,"Быстрый","Медленный"))</x:f>
        <x:v>Нет остатка</x:v>
      </x:c>
      <x:c r="M1543" s="1" t="str">
        <x:f>IF('Данные'!E1543&lt;'Дашборд'!$C$53,"Мало трафика",IF(J1543&lt;'Дашборд'!$C$9*'Дашборд'!$C$54,"Да","Нет"))</x:f>
        <x:v>Да</x:v>
      </x:c>
      <x:c r="N1543" s="1" t="str">
        <x:f>IF(AND('Данные'!D1543&gt;='Дашборд'!$C$55,D1543&lt;'Дашборд'!$C$56,'Данные'!E1543&gt;='Дашборд'!$C$53,'Данные'!L1543&lt;&gt;"Да"),"Да","Нет")</x:f>
        <x:v>Да</x:v>
      </x:c>
      <x:c r="O1543" s="1" t="str">
        <x:f>'Данные'!L1543</x:f>
        <x:v>Нет</x:v>
      </x:c>
    </x:row>
    <x:row r="1544">
      <x:c r="A1544" s="1" t="str">
        <x:f>'Данные'!A1544</x:f>
        <x:v>234287018</x:v>
      </x:c>
      <x:c r="B1544" s="1" t="str">
        <x:f>'Данные'!B1544</x:f>
        <x:v>svitshotpetl/розовый</x:v>
      </x:c>
      <x:c r="C1544" s="8" t="n">
        <x:f>'Данные'!G1544</x:f>
        <x:v>3900</x:v>
      </x:c>
      <x:c r="D1544" s="15" t="n">
        <x:f>C1544/SUM($C$5:$C$2477)</x:f>
        <x:v>0.0000045560721530006696</x:v>
      </x:c>
      <x:c r="E1544" s="15" t="n">
        <x:f>SUM($D$5:D1544)</x:f>
        <x:v>0.9997672034045626</x:v>
      </x:c>
      <x:c r="F1544" s="1" t="str">
        <x:f>IF(C1544&lt;=0,"C",IF(E1544-D1544&lt;'Дашборд'!$C$49,"A",IF(E1544-D1544&lt;'Дашборд'!$C$50,"B","C")))</x:f>
        <x:v>C</x:v>
      </x:c>
      <x:c r="G1544" s="8" t="n">
        <x:f>'Данные'!F1544</x:f>
        <x:v>6</x:v>
      </x:c>
      <x:c r="H1544" s="8" t="n">
        <x:f>SUM('Данные'!H1544:I1544)</x:f>
        <x:v>0</x:v>
      </x:c>
      <x:c r="I1544" s="16" t="str">
        <x:f>IF(H1544&gt;0,G1544/H1544,"n.a.")</x:f>
        <x:v>n.a.</x:v>
      </x:c>
      <x:c r="J1544" s="10" t="n">
        <x:f>IF('Данные'!E1544&gt;0,G1544/'Данные'!E1544,"n.a.")</x:f>
        <x:v>0.003992015968063872</x:v>
      </x:c>
      <x:c r="K1544" s="1" t="str">
        <x:f>IF(G1544&gt;='Дашборд'!$C$51,"X","Z")</x:f>
        <x:v>Z</x:v>
      </x:c>
      <x:c r="L1544" s="1" t="str">
        <x:f>IF(H1544=0,IF(G1544&gt;0,"Нет остатка","Нет спроса"),IF(I1544&gt;='Дашборд'!$C$52,"Быстрый","Медленный"))</x:f>
        <x:v>Нет остатка</x:v>
      </x:c>
      <x:c r="M1544" s="1" t="str">
        <x:f>IF('Данные'!E1544&lt;'Дашборд'!$C$53,"Мало трафика",IF(J1544&lt;'Дашборд'!$C$9*'Дашборд'!$C$54,"Да","Нет"))</x:f>
        <x:v>Да</x:v>
      </x:c>
      <x:c r="N1544" s="1" t="str">
        <x:f>IF(AND('Данные'!D1544&gt;='Дашборд'!$C$55,D1544&lt;'Дашборд'!$C$56,'Данные'!E1544&gt;='Дашборд'!$C$53,'Данные'!L1544&lt;&gt;"Да"),"Да","Нет")</x:f>
        <x:v>Нет</x:v>
      </x:c>
      <x:c r="O1544" s="1" t="str">
        <x:f>'Данные'!L1544</x:f>
        <x:v>Нет</x:v>
      </x:c>
    </x:row>
    <x:row r="1545">
      <x:c r="A1545" s="1" t="str">
        <x:f>'Данные'!A1545</x:f>
        <x:v>169362195</x:v>
      </x:c>
      <x:c r="B1545" s="1" t="str">
        <x:f>'Данные'!B1545</x:f>
        <x:v>longslivrukav/молочный</x:v>
      </x:c>
      <x:c r="C1545" s="8" t="n">
        <x:f>'Данные'!G1545</x:f>
        <x:v>3876</x:v>
      </x:c>
      <x:c r="D1545" s="15" t="n">
        <x:f>C1545/SUM($C$5:$C$2477)</x:f>
        <x:v>0.000004528034785905281</x:v>
      </x:c>
      <x:c r="E1545" s="15" t="n">
        <x:f>SUM($D$5:D1545)</x:f>
        <x:v>0.9997717314393485</x:v>
      </x:c>
      <x:c r="F1545" s="1" t="str">
        <x:f>IF(C1545&lt;=0,"C",IF(E1545-D1545&lt;'Дашборд'!$C$49,"A",IF(E1545-D1545&lt;'Дашборд'!$C$50,"B","C")))</x:f>
        <x:v>C</x:v>
      </x:c>
      <x:c r="G1545" s="8" t="n">
        <x:f>'Данные'!F1545</x:f>
        <x:v>13</x:v>
      </x:c>
      <x:c r="H1545" s="8" t="n">
        <x:f>SUM('Данные'!H1545:I1545)</x:f>
        <x:v>4</x:v>
      </x:c>
      <x:c r="I1545" s="16" t="n">
        <x:f>IF(H1545&gt;0,G1545/H1545,"n.a.")</x:f>
        <x:v>3.25</x:v>
      </x:c>
      <x:c r="J1545" s="10" t="n">
        <x:f>IF('Данные'!E1545&gt;0,G1545/'Данные'!E1545,"n.a.")</x:f>
        <x:v>0.007291082445316881</x:v>
      </x:c>
      <x:c r="K1545" s="1" t="str">
        <x:f>IF(G1545&gt;='Дашборд'!$C$51,"X","Z")</x:f>
        <x:v>Z</x:v>
      </x:c>
      <x:c r="L1545" s="1" t="str">
        <x:f>IF(H1545=0,IF(G1545&gt;0,"Нет остатка","Нет спроса"),IF(I1545&gt;='Дашборд'!$C$52,"Быстрый","Медленный"))</x:f>
        <x:v>Быстрый</x:v>
      </x:c>
      <x:c r="M1545" s="1" t="str">
        <x:f>IF('Данные'!E1545&lt;'Дашборд'!$C$53,"Мало трафика",IF(J1545&lt;'Дашборд'!$C$9*'Дашборд'!$C$54,"Да","Нет"))</x:f>
        <x:v>Да</x:v>
      </x:c>
      <x:c r="N1545" s="1" t="str">
        <x:f>IF(AND('Данные'!D1545&gt;='Дашборд'!$C$55,D1545&lt;'Дашборд'!$C$56,'Данные'!E1545&gt;='Дашборд'!$C$53,'Данные'!L1545&lt;&gt;"Да"),"Да","Нет")</x:f>
        <x:v>Нет</x:v>
      </x:c>
      <x:c r="O1545" s="1" t="str">
        <x:f>'Данные'!L1545</x:f>
        <x:v>Нет</x:v>
      </x:c>
    </x:row>
    <x:row r="1546">
      <x:c r="A1546" s="1" t="str">
        <x:f>'Данные'!A1546</x:f>
        <x:v>33399114</x:v>
      </x:c>
      <x:c r="B1546" s="1" t="str">
        <x:f>'Данные'!B1546</x:f>
        <x:v>futbolka/шалфей</x:v>
      </x:c>
      <x:c r="C1546" s="8" t="n">
        <x:f>'Данные'!G1546</x:f>
        <x:v>3762</x:v>
      </x:c>
      <x:c r="D1546" s="15" t="n">
        <x:f>C1546/SUM($C$5:$C$2477)</x:f>
        <x:v>0.000004394857292202184</x:v>
      </x:c>
      <x:c r="E1546" s="15" t="n">
        <x:f>SUM($D$5:D1546)</x:f>
        <x:v>0.9997761262966407</x:v>
      </x:c>
      <x:c r="F1546" s="1" t="str">
        <x:f>IF(C1546&lt;=0,"C",IF(E1546-D1546&lt;'Дашборд'!$C$49,"A",IF(E1546-D1546&lt;'Дашборд'!$C$50,"B","C")))</x:f>
        <x:v>C</x:v>
      </x:c>
      <x:c r="G1546" s="8" t="n">
        <x:f>'Данные'!F1546</x:f>
        <x:v>11</x:v>
      </x:c>
      <x:c r="H1546" s="8" t="n">
        <x:f>SUM('Данные'!H1546:I1546)</x:f>
        <x:v>0</x:v>
      </x:c>
      <x:c r="I1546" s="16" t="str">
        <x:f>IF(H1546&gt;0,G1546/H1546,"n.a.")</x:f>
        <x:v>n.a.</x:v>
      </x:c>
      <x:c r="J1546" s="10" t="n">
        <x:f>IF('Данные'!E1546&gt;0,G1546/'Данные'!E1546,"n.a.")</x:f>
        <x:v>0.008416220351951033</x:v>
      </x:c>
      <x:c r="K1546" s="1" t="str">
        <x:f>IF(G1546&gt;='Дашборд'!$C$51,"X","Z")</x:f>
        <x:v>Z</x:v>
      </x:c>
      <x:c r="L1546" s="1" t="str">
        <x:f>IF(H1546=0,IF(G1546&gt;0,"Нет остатка","Нет спроса"),IF(I1546&gt;='Дашборд'!$C$52,"Быстрый","Медленный"))</x:f>
        <x:v>Нет остатка</x:v>
      </x:c>
      <x:c r="M1546" s="1" t="str">
        <x:f>IF('Данные'!E1546&lt;'Дашборд'!$C$53,"Мало трафика",IF(J1546&lt;'Дашборд'!$C$9*'Дашборд'!$C$54,"Да","Нет"))</x:f>
        <x:v>Да</x:v>
      </x:c>
      <x:c r="N1546" s="1" t="str">
        <x:f>IF(AND('Данные'!D1546&gt;='Дашборд'!$C$55,D1546&lt;'Дашборд'!$C$56,'Данные'!E1546&gt;='Дашборд'!$C$53,'Данные'!L1546&lt;&gt;"Да"),"Да","Нет")</x:f>
        <x:v>Нет</x:v>
      </x:c>
      <x:c r="O1546" s="1" t="str">
        <x:f>'Данные'!L1546</x:f>
        <x:v>Нет</x:v>
      </x:c>
    </x:row>
    <x:row r="1547">
      <x:c r="A1547" s="1" t="str">
        <x:f>'Данные'!A1547</x:f>
        <x:v>202954966</x:v>
      </x:c>
      <x:c r="B1547" s="1" t="str">
        <x:f>'Данные'!B1547</x:f>
        <x:v>1sizeprint/LoveNever-45/темно-серый</x:v>
      </x:c>
      <x:c r="C1547" s="8" t="n">
        <x:f>'Данные'!G1547</x:f>
        <x:v>3740</x:v>
      </x:c>
      <x:c r="D1547" s="15" t="n">
        <x:f>C1547/SUM($C$5:$C$2477)</x:f>
        <x:v>0.000004369156372364744</x:v>
      </x:c>
      <x:c r="E1547" s="15" t="n">
        <x:f>SUM($D$5:D1547)</x:f>
        <x:v>0.9997804954530131</x:v>
      </x:c>
      <x:c r="F1547" s="1" t="str">
        <x:f>IF(C1547&lt;=0,"C",IF(E1547-D1547&lt;'Дашборд'!$C$49,"A",IF(E1547-D1547&lt;'Дашборд'!$C$50,"B","C")))</x:f>
        <x:v>C</x:v>
      </x:c>
      <x:c r="G1547" s="8" t="n">
        <x:f>'Данные'!F1547</x:f>
        <x:v>5</x:v>
      </x:c>
      <x:c r="H1547" s="8" t="n">
        <x:f>SUM('Данные'!H1547:I1547)</x:f>
        <x:v>0</x:v>
      </x:c>
      <x:c r="I1547" s="16" t="str">
        <x:f>IF(H1547&gt;0,G1547/H1547,"n.a.")</x:f>
        <x:v>n.a.</x:v>
      </x:c>
      <x:c r="J1547" s="10" t="n">
        <x:f>IF('Данные'!E1547&gt;0,G1547/'Данные'!E1547,"n.a.")</x:f>
        <x:v>0.028409090909090908</x:v>
      </x:c>
      <x:c r="K1547" s="1" t="str">
        <x:f>IF(G1547&gt;='Дашборд'!$C$51,"X","Z")</x:f>
        <x:v>Z</x:v>
      </x:c>
      <x:c r="L1547" s="1" t="str">
        <x:f>IF(H1547=0,IF(G1547&gt;0,"Нет остатка","Нет спроса"),IF(I1547&gt;='Дашборд'!$C$52,"Быстрый","Медленный"))</x:f>
        <x:v>Нет остатка</x:v>
      </x:c>
      <x:c r="M1547" s="1" t="str">
        <x:f>IF('Данные'!E1547&lt;'Дашборд'!$C$53,"Мало трафика",IF(J1547&lt;'Дашборд'!$C$9*'Дашборд'!$C$54,"Да","Нет"))</x:f>
        <x:v>Мало трафика</x:v>
      </x:c>
      <x:c r="N1547" s="1" t="str">
        <x:f>IF(AND('Данные'!D1547&gt;='Дашборд'!$C$55,D1547&lt;'Дашборд'!$C$56,'Данные'!E1547&gt;='Дашборд'!$C$53,'Данные'!L1547&lt;&gt;"Да"),"Да","Нет")</x:f>
        <x:v>Нет</x:v>
      </x:c>
      <x:c r="O1547" s="1" t="str">
        <x:f>'Данные'!L1547</x:f>
        <x:v>Нет</x:v>
      </x:c>
    </x:row>
    <x:row r="1548">
      <x:c r="A1548" s="1" t="str">
        <x:f>'Данные'!A1548</x:f>
        <x:v>189114417</x:v>
      </x:c>
      <x:c r="B1548" s="1" t="str">
        <x:f>'Данные'!B1548</x:f>
        <x:v>WV1037-7654-7</x:v>
      </x:c>
      <x:c r="C1548" s="8" t="n">
        <x:f>'Данные'!G1548</x:f>
        <x:v>3616</x:v>
      </x:c>
      <x:c r="D1548" s="15" t="n">
        <x:f>C1548/SUM($C$5:$C$2477)</x:f>
        <x:v>0.000004224296642371902</x:v>
      </x:c>
      <x:c r="E1548" s="15" t="n">
        <x:f>SUM($D$5:D1548)</x:f>
        <x:v>0.9997847197496554</x:v>
      </x:c>
      <x:c r="F1548" s="1" t="str">
        <x:f>IF(C1548&lt;=0,"C",IF(E1548-D1548&lt;'Дашборд'!$C$49,"A",IF(E1548-D1548&lt;'Дашборд'!$C$50,"B","C")))</x:f>
        <x:v>C</x:v>
      </x:c>
      <x:c r="G1548" s="8" t="n">
        <x:f>'Данные'!F1548</x:f>
        <x:v>3</x:v>
      </x:c>
      <x:c r="H1548" s="8" t="n">
        <x:f>SUM('Данные'!H1548:I1548)</x:f>
        <x:v>0</x:v>
      </x:c>
      <x:c r="I1548" s="16" t="str">
        <x:f>IF(H1548&gt;0,G1548/H1548,"n.a.")</x:f>
        <x:v>n.a.</x:v>
      </x:c>
      <x:c r="J1548" s="10" t="n">
        <x:f>IF('Данные'!E1548&gt;0,G1548/'Данные'!E1548,"n.a.")</x:f>
        <x:v>0.009287925696594427</x:v>
      </x:c>
      <x:c r="K1548" s="1" t="str">
        <x:f>IF(G1548&gt;='Дашборд'!$C$51,"X","Z")</x:f>
        <x:v>Z</x:v>
      </x:c>
      <x:c r="L1548" s="1" t="str">
        <x:f>IF(H1548=0,IF(G1548&gt;0,"Нет остатка","Нет спроса"),IF(I1548&gt;='Дашборд'!$C$52,"Быстрый","Медленный"))</x:f>
        <x:v>Нет остатка</x:v>
      </x:c>
      <x:c r="M1548" s="1" t="str">
        <x:f>IF('Данные'!E1548&lt;'Дашборд'!$C$53,"Мало трафика",IF(J1548&lt;'Дашборд'!$C$9*'Дашборд'!$C$54,"Да","Нет"))</x:f>
        <x:v>Мало трафика</x:v>
      </x:c>
      <x:c r="N1548" s="1" t="str">
        <x:f>IF(AND('Данные'!D1548&gt;='Дашборд'!$C$55,D1548&lt;'Дашборд'!$C$56,'Данные'!E1548&gt;='Дашборд'!$C$53,'Данные'!L1548&lt;&gt;"Да"),"Да","Нет")</x:f>
        <x:v>Нет</x:v>
      </x:c>
      <x:c r="O1548" s="1" t="str">
        <x:f>'Данные'!L1548</x:f>
        <x:v>Нет</x:v>
      </x:c>
    </x:row>
    <x:row r="1549">
      <x:c r="A1549" s="1" t="str">
        <x:f>'Данные'!A1549</x:f>
        <x:v>313770757</x:v>
      </x:c>
      <x:c r="B1549" s="1" t="str">
        <x:f>'Данные'!B1549</x:f>
        <x:v>futbolkaboy/эвкалипт</x:v>
      </x:c>
      <x:c r="C1549" s="8" t="n">
        <x:f>'Данные'!G1549</x:f>
        <x:v>3410</x:v>
      </x:c>
      <x:c r="D1549" s="15" t="n">
        <x:f>C1549/SUM($C$5:$C$2477)</x:f>
        <x:v>0.000003983642574803149</x:v>
      </x:c>
      <x:c r="E1549" s="15" t="n">
        <x:f>SUM($D$5:D1549)</x:f>
        <x:v>0.9997887033922302</x:v>
      </x:c>
      <x:c r="F1549" s="1" t="str">
        <x:f>IF(C1549&lt;=0,"C",IF(E1549-D1549&lt;'Дашборд'!$C$49,"A",IF(E1549-D1549&lt;'Дашборд'!$C$50,"B","C")))</x:f>
        <x:v>C</x:v>
      </x:c>
      <x:c r="G1549" s="8" t="n">
        <x:f>'Данные'!F1549</x:f>
        <x:v>10</x:v>
      </x:c>
      <x:c r="H1549" s="8" t="n">
        <x:f>SUM('Данные'!H1549:I1549)</x:f>
        <x:v>93</x:v>
      </x:c>
      <x:c r="I1549" s="16" t="n">
        <x:f>IF(H1549&gt;0,G1549/H1549,"n.a.")</x:f>
        <x:v>0.10752688172043011</x:v>
      </x:c>
      <x:c r="J1549" s="10" t="n">
        <x:f>IF('Данные'!E1549&gt;0,G1549/'Данные'!E1549,"n.a.")</x:f>
        <x:v>0.034722222222222224</x:v>
      </x:c>
      <x:c r="K1549" s="1" t="str">
        <x:f>IF(G1549&gt;='Дашборд'!$C$51,"X","Z")</x:f>
        <x:v>Z</x:v>
      </x:c>
      <x:c r="L1549" s="1" t="str">
        <x:f>IF(H1549=0,IF(G1549&gt;0,"Нет остатка","Нет спроса"),IF(I1549&gt;='Дашборд'!$C$52,"Быстрый","Медленный"))</x:f>
        <x:v>Медленный</x:v>
      </x:c>
      <x:c r="M1549" s="1" t="str">
        <x:f>IF('Данные'!E1549&lt;'Дашборд'!$C$53,"Мало трафика",IF(J1549&lt;'Дашборд'!$C$9*'Дашборд'!$C$54,"Да","Нет"))</x:f>
        <x:v>Мало трафика</x:v>
      </x:c>
      <x:c r="N1549" s="1" t="str">
        <x:f>IF(AND('Данные'!D1549&gt;='Дашборд'!$C$55,D1549&lt;'Дашборд'!$C$56,'Данные'!E1549&gt;='Дашборд'!$C$53,'Данные'!L1549&lt;&gt;"Да"),"Да","Нет")</x:f>
        <x:v>Нет</x:v>
      </x:c>
      <x:c r="O1549" s="1" t="str">
        <x:f>'Данные'!L1549</x:f>
        <x:v>Нет</x:v>
      </x:c>
    </x:row>
    <x:row r="1550">
      <x:c r="A1550" s="1" t="str">
        <x:f>'Данные'!A1550</x:f>
        <x:v>209915068</x:v>
      </x:c>
      <x:c r="B1550" s="1" t="str">
        <x:f>'Данные'!B1550</x:f>
        <x:v>longsvobod/банан</x:v>
      </x:c>
      <x:c r="C1550" s="8" t="n">
        <x:f>'Данные'!G1550</x:f>
        <x:v>3385</x:v>
      </x:c>
      <x:c r="D1550" s="15" t="n">
        <x:f>C1550/SUM($C$5:$C$2477)</x:f>
        <x:v>0.000003954436984078786</x:v>
      </x:c>
      <x:c r="E1550" s="15" t="n">
        <x:f>SUM($D$5:D1550)</x:f>
        <x:v>0.9997926578292143</x:v>
      </x:c>
      <x:c r="F1550" s="1" t="str">
        <x:f>IF(C1550&lt;=0,"C",IF(E1550-D1550&lt;'Дашборд'!$C$49,"A",IF(E1550-D1550&lt;'Дашборд'!$C$50,"B","C")))</x:f>
        <x:v>C</x:v>
      </x:c>
      <x:c r="G1550" s="8" t="n">
        <x:f>'Данные'!F1550</x:f>
        <x:v>9</x:v>
      </x:c>
      <x:c r="H1550" s="8" t="n">
        <x:f>SUM('Данные'!H1550:I1550)</x:f>
        <x:v>0</x:v>
      </x:c>
      <x:c r="I1550" s="16" t="str">
        <x:f>IF(H1550&gt;0,G1550/H1550,"n.a.")</x:f>
        <x:v>n.a.</x:v>
      </x:c>
      <x:c r="J1550" s="10" t="n">
        <x:f>IF('Данные'!E1550&gt;0,G1550/'Данные'!E1550,"n.a.")</x:f>
        <x:v>0.006093432633716994</x:v>
      </x:c>
      <x:c r="K1550" s="1" t="str">
        <x:f>IF(G1550&gt;='Дашборд'!$C$51,"X","Z")</x:f>
        <x:v>Z</x:v>
      </x:c>
      <x:c r="L1550" s="1" t="str">
        <x:f>IF(H1550=0,IF(G1550&gt;0,"Нет остатка","Нет спроса"),IF(I1550&gt;='Дашборд'!$C$52,"Быстрый","Медленный"))</x:f>
        <x:v>Нет остатка</x:v>
      </x:c>
      <x:c r="M1550" s="1" t="str">
        <x:f>IF('Данные'!E1550&lt;'Дашборд'!$C$53,"Мало трафика",IF(J1550&lt;'Дашборд'!$C$9*'Дашборд'!$C$54,"Да","Нет"))</x:f>
        <x:v>Да</x:v>
      </x:c>
      <x:c r="N1550" s="1" t="str">
        <x:f>IF(AND('Данные'!D1550&gt;='Дашборд'!$C$55,D1550&lt;'Дашборд'!$C$56,'Данные'!E1550&gt;='Дашборд'!$C$53,'Данные'!L1550&lt;&gt;"Да"),"Да","Нет")</x:f>
        <x:v>Нет</x:v>
      </x:c>
      <x:c r="O1550" s="1" t="str">
        <x:f>'Данные'!L1550</x:f>
        <x:v>Нет</x:v>
      </x:c>
    </x:row>
    <x:row r="1551">
      <x:c r="A1551" s="1" t="str">
        <x:f>'Данные'!A1551</x:f>
        <x:v>47870931</x:v>
      </x:c>
      <x:c r="B1551" s="1" t="str">
        <x:f>'Данные'!B1551</x:f>
        <x:v>longslivdlinna/банановый</x:v>
      </x:c>
      <x:c r="C1551" s="8" t="n">
        <x:f>'Данные'!G1551</x:f>
        <x:v>3348</x:v>
      </x:c>
      <x:c r="D1551" s="15" t="n">
        <x:f>C1551/SUM($C$5:$C$2477)</x:f>
        <x:v>0.000003911212709806729</x:v>
      </x:c>
      <x:c r="E1551" s="15" t="n">
        <x:f>SUM($D$5:D1551)</x:f>
        <x:v>0.9997965690419242</x:v>
      </x:c>
      <x:c r="F1551" s="1" t="str">
        <x:f>IF(C1551&lt;=0,"C",IF(E1551-D1551&lt;'Дашборд'!$C$49,"A",IF(E1551-D1551&lt;'Дашборд'!$C$50,"B","C")))</x:f>
        <x:v>C</x:v>
      </x:c>
      <x:c r="G1551" s="8" t="n">
        <x:f>'Данные'!F1551</x:f>
        <x:v>7</x:v>
      </x:c>
      <x:c r="H1551" s="8" t="n">
        <x:f>SUM('Данные'!H1551:I1551)</x:f>
        <x:v>31</x:v>
      </x:c>
      <x:c r="I1551" s="16" t="n">
        <x:f>IF(H1551&gt;0,G1551/H1551,"n.a.")</x:f>
        <x:v>0.22580645161290322</x:v>
      </x:c>
      <x:c r="J1551" s="10" t="n">
        <x:f>IF('Данные'!E1551&gt;0,G1551/'Данные'!E1551,"n.a.")</x:f>
        <x:v>0.0029585798816568047</x:v>
      </x:c>
      <x:c r="K1551" s="1" t="str">
        <x:f>IF(G1551&gt;='Дашборд'!$C$51,"X","Z")</x:f>
        <x:v>Z</x:v>
      </x:c>
      <x:c r="L1551" s="1" t="str">
        <x:f>IF(H1551=0,IF(G1551&gt;0,"Нет остатка","Нет спроса"),IF(I1551&gt;='Дашборд'!$C$52,"Быстрый","Медленный"))</x:f>
        <x:v>Медленный</x:v>
      </x:c>
      <x:c r="M1551" s="1" t="str">
        <x:f>IF('Данные'!E1551&lt;'Дашборд'!$C$53,"Мало трафика",IF(J1551&lt;'Дашборд'!$C$9*'Дашборд'!$C$54,"Да","Нет"))</x:f>
        <x:v>Да</x:v>
      </x:c>
      <x:c r="N1551" s="1" t="str">
        <x:f>IF(AND('Данные'!D1551&gt;='Дашборд'!$C$55,D1551&lt;'Дашборд'!$C$56,'Данные'!E1551&gt;='Дашборд'!$C$53,'Данные'!L1551&lt;&gt;"Да"),"Да","Нет")</x:f>
        <x:v>Нет</x:v>
      </x:c>
      <x:c r="O1551" s="1" t="str">
        <x:f>'Данные'!L1551</x:f>
        <x:v>Нет</x:v>
      </x:c>
    </x:row>
    <x:row r="1552">
      <x:c r="A1552" s="1" t="str">
        <x:f>'Данные'!A1552</x:f>
        <x:v>43409733</x:v>
      </x:c>
      <x:c r="B1552" s="1" t="str">
        <x:f>'Данные'!B1552</x:f>
        <x:v>longsliv/морскаяволна</x:v>
      </x:c>
      <x:c r="C1552" s="8" t="n">
        <x:f>'Данные'!G1552</x:f>
        <x:v>3176</x:v>
      </x:c>
      <x:c r="D1552" s="15" t="n">
        <x:f>C1552/SUM($C$5:$C$2477)</x:f>
        <x:v>0.0000037102782456231092</x:v>
      </x:c>
      <x:c r="E1552" s="15" t="n">
        <x:f>SUM($D$5:D1552)</x:f>
        <x:v>0.9998002793201698</x:v>
      </x:c>
      <x:c r="F1552" s="1" t="str">
        <x:f>IF(C1552&lt;=0,"C",IF(E1552-D1552&lt;'Дашборд'!$C$49,"A",IF(E1552-D1552&lt;'Дашборд'!$C$50,"B","C")))</x:f>
        <x:v>C</x:v>
      </x:c>
      <x:c r="G1552" s="8" t="n">
        <x:f>'Данные'!F1552</x:f>
        <x:v>8</x:v>
      </x:c>
      <x:c r="H1552" s="8" t="n">
        <x:f>SUM('Данные'!H1552:I1552)</x:f>
        <x:v>84</x:v>
      </x:c>
      <x:c r="I1552" s="16" t="n">
        <x:f>IF(H1552&gt;0,G1552/H1552,"n.a.")</x:f>
        <x:v>0.09523809523809523</x:v>
      </x:c>
      <x:c r="J1552" s="10" t="n">
        <x:f>IF('Данные'!E1552&gt;0,G1552/'Данные'!E1552,"n.a.")</x:f>
        <x:v>0.0033112582781456954</x:v>
      </x:c>
      <x:c r="K1552" s="1" t="str">
        <x:f>IF(G1552&gt;='Дашборд'!$C$51,"X","Z")</x:f>
        <x:v>Z</x:v>
      </x:c>
      <x:c r="L1552" s="1" t="str">
        <x:f>IF(H1552=0,IF(G1552&gt;0,"Нет остатка","Нет спроса"),IF(I1552&gt;='Дашборд'!$C$52,"Быстрый","Медленный"))</x:f>
        <x:v>Медленный</x:v>
      </x:c>
      <x:c r="M1552" s="1" t="str">
        <x:f>IF('Данные'!E1552&lt;'Дашборд'!$C$53,"Мало трафика",IF(J1552&lt;'Дашборд'!$C$9*'Дашборд'!$C$54,"Да","Нет"))</x:f>
        <x:v>Да</x:v>
      </x:c>
      <x:c r="N1552" s="1" t="str">
        <x:f>IF(AND('Данные'!D1552&gt;='Дашборд'!$C$55,D1552&lt;'Дашборд'!$C$56,'Данные'!E1552&gt;='Дашборд'!$C$53,'Данные'!L1552&lt;&gt;"Да"),"Да","Нет")</x:f>
        <x:v>Да</x:v>
      </x:c>
      <x:c r="O1552" s="1" t="str">
        <x:f>'Данные'!L1552</x:f>
        <x:v>Нет</x:v>
      </x:c>
    </x:row>
    <x:row r="1553">
      <x:c r="A1553" s="1" t="str">
        <x:f>'Данные'!A1553</x:f>
        <x:v>209915711</x:v>
      </x:c>
      <x:c r="B1553" s="1" t="str">
        <x:f>'Данные'!B1553</x:f>
        <x:v>shorty/кофейный</x:v>
      </x:c>
      <x:c r="C1553" s="8" t="n">
        <x:f>'Данные'!G1553</x:f>
        <x:v>3166</x:v>
      </x:c>
      <x:c r="D1553" s="15" t="n">
        <x:f>C1553/SUM($C$5:$C$2477)</x:f>
        <x:v>0.0000036985960093333637</x:v>
      </x:c>
      <x:c r="E1553" s="15" t="n">
        <x:f>SUM($D$5:D1553)</x:f>
        <x:v>0.9998039779161791</x:v>
      </x:c>
      <x:c r="F1553" s="1" t="str">
        <x:f>IF(C1553&lt;=0,"C",IF(E1553-D1553&lt;'Дашборд'!$C$49,"A",IF(E1553-D1553&lt;'Дашборд'!$C$50,"B","C")))</x:f>
        <x:v>C</x:v>
      </x:c>
      <x:c r="G1553" s="8" t="n">
        <x:f>'Данные'!F1553</x:f>
        <x:v>3</x:v>
      </x:c>
      <x:c r="H1553" s="8" t="n">
        <x:f>SUM('Данные'!H1553:I1553)</x:f>
        <x:v>239</x:v>
      </x:c>
      <x:c r="I1553" s="16" t="n">
        <x:f>IF(H1553&gt;0,G1553/H1553,"n.a.")</x:f>
        <x:v>0.012552301255230125</x:v>
      </x:c>
      <x:c r="J1553" s="10" t="n">
        <x:f>IF('Данные'!E1553&gt;0,G1553/'Данные'!E1553,"n.a.")</x:f>
        <x:v>0.0013134851138353765</x:v>
      </x:c>
      <x:c r="K1553" s="1" t="str">
        <x:f>IF(G1553&gt;='Дашборд'!$C$51,"X","Z")</x:f>
        <x:v>Z</x:v>
      </x:c>
      <x:c r="L1553" s="1" t="str">
        <x:f>IF(H1553=0,IF(G1553&gt;0,"Нет остатка","Нет спроса"),IF(I1553&gt;='Дашборд'!$C$52,"Быстрый","Медленный"))</x:f>
        <x:v>Медленный</x:v>
      </x:c>
      <x:c r="M1553" s="1" t="str">
        <x:f>IF('Данные'!E1553&lt;'Дашборд'!$C$53,"Мало трафика",IF(J1553&lt;'Дашборд'!$C$9*'Дашборд'!$C$54,"Да","Нет"))</x:f>
        <x:v>Да</x:v>
      </x:c>
      <x:c r="N1553" s="1" t="str">
        <x:f>IF(AND('Данные'!D1553&gt;='Дашборд'!$C$55,D1553&lt;'Дашборд'!$C$56,'Данные'!E1553&gt;='Дашборд'!$C$53,'Данные'!L1553&lt;&gt;"Да"),"Да","Нет")</x:f>
        <x:v>Нет</x:v>
      </x:c>
      <x:c r="O1553" s="1" t="str">
        <x:f>'Данные'!L1553</x:f>
        <x:v>Нет</x:v>
      </x:c>
    </x:row>
    <x:row r="1554">
      <x:c r="A1554" s="1" t="str">
        <x:f>'Данные'!A1554</x:f>
        <x:v>209923255</x:v>
      </x:c>
      <x:c r="B1554" s="1" t="str">
        <x:f>'Данные'!B1554</x:f>
        <x:v>shorty/банановый</x:v>
      </x:c>
      <x:c r="C1554" s="8" t="n">
        <x:f>'Данные'!G1554</x:f>
        <x:v>3154</x:v>
      </x:c>
      <x:c r="D1554" s="15" t="n">
        <x:f>C1554/SUM($C$5:$C$2477)</x:f>
        <x:v>0.0000036845773257856693</x:v>
      </x:c>
      <x:c r="E1554" s="15" t="n">
        <x:f>SUM($D$5:D1554)</x:f>
        <x:v>0.999807662493505</x:v>
      </x:c>
      <x:c r="F1554" s="1" t="str">
        <x:f>IF(C1554&lt;=0,"C",IF(E1554-D1554&lt;'Дашборд'!$C$49,"A",IF(E1554-D1554&lt;'Дашборд'!$C$50,"B","C")))</x:f>
        <x:v>C</x:v>
      </x:c>
      <x:c r="G1554" s="8" t="n">
        <x:f>'Данные'!F1554</x:f>
        <x:v>14</x:v>
      </x:c>
      <x:c r="H1554" s="8" t="n">
        <x:f>SUM('Данные'!H1554:I1554)</x:f>
        <x:v>48</x:v>
      </x:c>
      <x:c r="I1554" s="16" t="n">
        <x:f>IF(H1554&gt;0,G1554/H1554,"n.a.")</x:f>
        <x:v>0.2916666666666667</x:v>
      </x:c>
      <x:c r="J1554" s="10" t="n">
        <x:f>IF('Данные'!E1554&gt;0,G1554/'Данные'!E1554,"n.a.")</x:f>
        <x:v>0.0032243205895900505</x:v>
      </x:c>
      <x:c r="K1554" s="1" t="str">
        <x:f>IF(G1554&gt;='Дашборд'!$C$51,"X","Z")</x:f>
        <x:v>Z</x:v>
      </x:c>
      <x:c r="L1554" s="1" t="str">
        <x:f>IF(H1554=0,IF(G1554&gt;0,"Нет остатка","Нет спроса"),IF(I1554&gt;='Дашборд'!$C$52,"Быстрый","Медленный"))</x:f>
        <x:v>Медленный</x:v>
      </x:c>
      <x:c r="M1554" s="1" t="str">
        <x:f>IF('Данные'!E1554&lt;'Дашборд'!$C$53,"Мало трафика",IF(J1554&lt;'Дашборд'!$C$9*'Дашборд'!$C$54,"Да","Нет"))</x:f>
        <x:v>Да</x:v>
      </x:c>
      <x:c r="N1554" s="1" t="str">
        <x:f>IF(AND('Данные'!D1554&gt;='Дашборд'!$C$55,D1554&lt;'Дашборд'!$C$56,'Данные'!E1554&gt;='Дашборд'!$C$53,'Данные'!L1554&lt;&gt;"Да"),"Да","Нет")</x:f>
        <x:v>Нет</x:v>
      </x:c>
      <x:c r="O1554" s="1" t="str">
        <x:f>'Данные'!L1554</x:f>
        <x:v>Нет</x:v>
      </x:c>
    </x:row>
    <x:row r="1555">
      <x:c r="A1555" s="1" t="str">
        <x:f>'Данные'!A1555</x:f>
        <x:v>110513405</x:v>
      </x:c>
      <x:c r="B1555" s="1" t="str">
        <x:f>'Данные'!B1555</x:f>
        <x:v>futbolka/синеморской</x:v>
      </x:c>
      <x:c r="C1555" s="8" t="n">
        <x:f>'Данные'!G1555</x:f>
        <x:v>3077</x:v>
      </x:c>
      <x:c r="D1555" s="15" t="n">
        <x:f>C1555/SUM($C$5:$C$2477)</x:f>
        <x:v>0.0000035946241063546305</x:v>
      </x:c>
      <x:c r="E1555" s="15" t="n">
        <x:f>SUM($D$5:D1555)</x:f>
        <x:v>0.9998112571176113</x:v>
      </x:c>
      <x:c r="F1555" s="1" t="str">
        <x:f>IF(C1555&lt;=0,"C",IF(E1555-D1555&lt;'Дашборд'!$C$49,"A",IF(E1555-D1555&lt;'Дашборд'!$C$50,"B","C")))</x:f>
        <x:v>C</x:v>
      </x:c>
      <x:c r="G1555" s="8" t="n">
        <x:f>'Данные'!F1555</x:f>
        <x:v>7</x:v>
      </x:c>
      <x:c r="H1555" s="8" t="n">
        <x:f>SUM('Данные'!H1555:I1555)</x:f>
        <x:v>20</x:v>
      </x:c>
      <x:c r="I1555" s="16" t="n">
        <x:f>IF(H1555&gt;0,G1555/H1555,"n.a.")</x:f>
        <x:v>0.35</x:v>
      </x:c>
      <x:c r="J1555" s="10" t="n">
        <x:f>IF('Данные'!E1555&gt;0,G1555/'Данные'!E1555,"n.a.")</x:f>
        <x:v>0.00040266912103083296</x:v>
      </x:c>
      <x:c r="K1555" s="1" t="str">
        <x:f>IF(G1555&gt;='Дашборд'!$C$51,"X","Z")</x:f>
        <x:v>Z</x:v>
      </x:c>
      <x:c r="L1555" s="1" t="str">
        <x:f>IF(H1555=0,IF(G1555&gt;0,"Нет остатка","Нет спроса"),IF(I1555&gt;='Дашборд'!$C$52,"Быстрый","Медленный"))</x:f>
        <x:v>Медленный</x:v>
      </x:c>
      <x:c r="M1555" s="1" t="str">
        <x:f>IF('Данные'!E1555&lt;'Дашборд'!$C$53,"Мало трафика",IF(J1555&lt;'Дашборд'!$C$9*'Дашборд'!$C$54,"Да","Нет"))</x:f>
        <x:v>Да</x:v>
      </x:c>
      <x:c r="N1555" s="1" t="str">
        <x:f>IF(AND('Данные'!D1555&gt;='Дашборд'!$C$55,D1555&lt;'Дашборд'!$C$56,'Данные'!E1555&gt;='Дашборд'!$C$53,'Данные'!L1555&lt;&gt;"Да"),"Да","Нет")</x:f>
        <x:v>Да</x:v>
      </x:c>
      <x:c r="O1555" s="1" t="str">
        <x:f>'Данные'!L1555</x:f>
        <x:v>Нет</x:v>
      </x:c>
    </x:row>
    <x:row r="1556">
      <x:c r="A1556" s="1" t="str">
        <x:f>'Данные'!A1556</x:f>
        <x:v>79692514</x:v>
      </x:c>
      <x:c r="B1556" s="1" t="str">
        <x:f>'Данные'!B1556</x:f>
        <x:v>longsliv/банановый</x:v>
      </x:c>
      <x:c r="C1556" s="8" t="n">
        <x:f>'Данные'!G1556</x:f>
        <x:v>3069</x:v>
      </x:c>
      <x:c r="D1556" s="15" t="n">
        <x:f>C1556/SUM($C$5:$C$2477)</x:f>
        <x:v>0.000003585278317322834</x:v>
      </x:c>
      <x:c r="E1556" s="15" t="n">
        <x:f>SUM($D$5:D1556)</x:f>
        <x:v>0.9998148423959287</x:v>
      </x:c>
      <x:c r="F1556" s="1" t="str">
        <x:f>IF(C1556&lt;=0,"C",IF(E1556-D1556&lt;'Дашборд'!$C$49,"A",IF(E1556-D1556&lt;'Дашборд'!$C$50,"B","C")))</x:f>
        <x:v>C</x:v>
      </x:c>
      <x:c r="G1556" s="8" t="n">
        <x:f>'Данные'!F1556</x:f>
        <x:v>25</x:v>
      </x:c>
      <x:c r="H1556" s="8" t="n">
        <x:f>SUM('Данные'!H1556:I1556)</x:f>
        <x:v>137</x:v>
      </x:c>
      <x:c r="I1556" s="16" t="n">
        <x:f>IF(H1556&gt;0,G1556/H1556,"n.a.")</x:f>
        <x:v>0.18248175182481752</x:v>
      </x:c>
      <x:c r="J1556" s="10" t="n">
        <x:f>IF('Данные'!E1556&gt;0,G1556/'Данные'!E1556,"n.a.")</x:f>
        <x:v>0.007682851874615857</x:v>
      </x:c>
      <x:c r="K1556" s="1" t="str">
        <x:f>IF(G1556&gt;='Дашборд'!$C$51,"X","Z")</x:f>
        <x:v>Z</x:v>
      </x:c>
      <x:c r="L1556" s="1" t="str">
        <x:f>IF(H1556=0,IF(G1556&gt;0,"Нет остатка","Нет спроса"),IF(I1556&gt;='Дашборд'!$C$52,"Быстрый","Медленный"))</x:f>
        <x:v>Медленный</x:v>
      </x:c>
      <x:c r="M1556" s="1" t="str">
        <x:f>IF('Данные'!E1556&lt;'Дашборд'!$C$53,"Мало трафика",IF(J1556&lt;'Дашборд'!$C$9*'Дашборд'!$C$54,"Да","Нет"))</x:f>
        <x:v>Да</x:v>
      </x:c>
      <x:c r="N1556" s="1" t="str">
        <x:f>IF(AND('Данные'!D1556&gt;='Дашборд'!$C$55,D1556&lt;'Дашборд'!$C$56,'Данные'!E1556&gt;='Дашборд'!$C$53,'Данные'!L1556&lt;&gt;"Да"),"Да","Нет")</x:f>
        <x:v>Нет</x:v>
      </x:c>
      <x:c r="O1556" s="1" t="str">
        <x:f>'Данные'!L1556</x:f>
        <x:v>Нет</x:v>
      </x:c>
    </x:row>
    <x:row r="1557">
      <x:c r="A1557" s="1" t="str">
        <x:f>'Данные'!A1557</x:f>
        <x:v>51574131</x:v>
      </x:c>
      <x:c r="B1557" s="1" t="str">
        <x:f>'Данные'!B1557</x:f>
        <x:v>brukiman/светло-зеленый</x:v>
      </x:c>
      <x:c r="C1557" s="8" t="n">
        <x:f>'Данные'!G1557</x:f>
        <x:v>3030</x:v>
      </x:c>
      <x:c r="D1557" s="15" t="n">
        <x:f>C1557/SUM($C$5:$C$2477)</x:f>
        <x:v>0.0000035397175957928277</x:v>
      </x:c>
      <x:c r="E1557" s="15" t="n">
        <x:f>SUM($D$5:D1557)</x:f>
        <x:v>0.9998183821135245</x:v>
      </x:c>
      <x:c r="F1557" s="1" t="str">
        <x:f>IF(C1557&lt;=0,"C",IF(E1557-D1557&lt;'Дашборд'!$C$49,"A",IF(E1557-D1557&lt;'Дашборд'!$C$50,"B","C")))</x:f>
        <x:v>C</x:v>
      </x:c>
      <x:c r="G1557" s="8" t="n">
        <x:f>'Данные'!F1557</x:f>
        <x:v>1</x:v>
      </x:c>
      <x:c r="H1557" s="8" t="n">
        <x:f>SUM('Данные'!H1557:I1557)</x:f>
        <x:v>0</x:v>
      </x:c>
      <x:c r="I1557" s="16" t="str">
        <x:f>IF(H1557&gt;0,G1557/H1557,"n.a.")</x:f>
        <x:v>n.a.</x:v>
      </x:c>
      <x:c r="J1557" s="10" t="n">
        <x:f>IF('Данные'!E1557&gt;0,G1557/'Данные'!E1557,"n.a.")</x:f>
        <x:v>0.004310344827586207</x:v>
      </x:c>
      <x:c r="K1557" s="1" t="str">
        <x:f>IF(G1557&gt;='Дашборд'!$C$51,"X","Z")</x:f>
        <x:v>Z</x:v>
      </x:c>
      <x:c r="L1557" s="1" t="str">
        <x:f>IF(H1557=0,IF(G1557&gt;0,"Нет остатка","Нет спроса"),IF(I1557&gt;='Дашборд'!$C$52,"Быстрый","Медленный"))</x:f>
        <x:v>Нет остатка</x:v>
      </x:c>
      <x:c r="M1557" s="1" t="str">
        <x:f>IF('Данные'!E1557&lt;'Дашборд'!$C$53,"Мало трафика",IF(J1557&lt;'Дашборд'!$C$9*'Дашборд'!$C$54,"Да","Нет"))</x:f>
        <x:v>Мало трафика</x:v>
      </x:c>
      <x:c r="N1557" s="1" t="str">
        <x:f>IF(AND('Данные'!D1557&gt;='Дашборд'!$C$55,D1557&lt;'Дашборд'!$C$56,'Данные'!E1557&gt;='Дашборд'!$C$53,'Данные'!L1557&lt;&gt;"Да"),"Да","Нет")</x:f>
        <x:v>Нет</x:v>
      </x:c>
      <x:c r="O1557" s="1" t="str">
        <x:f>'Данные'!L1557</x:f>
        <x:v>Нет</x:v>
      </x:c>
    </x:row>
    <x:row r="1558">
      <x:c r="A1558" s="1" t="str">
        <x:f>'Данные'!A1558</x:f>
        <x:v>209915679</x:v>
      </x:c>
      <x:c r="B1558" s="1" t="str">
        <x:f>'Данные'!B1558</x:f>
        <x:v>shorty/деним</x:v>
      </x:c>
      <x:c r="C1558" s="8" t="n">
        <x:f>'Данные'!G1558</x:f>
        <x:v>2988</x:v>
      </x:c>
      <x:c r="D1558" s="15" t="n">
        <x:f>C1558/SUM($C$5:$C$2477)</x:f>
        <x:v>0.0000034906522033758974</x:v>
      </x:c>
      <x:c r="E1558" s="15" t="n">
        <x:f>SUM($D$5:D1558)</x:f>
        <x:v>0.9998218727657279</x:v>
      </x:c>
      <x:c r="F1558" s="1" t="str">
        <x:f>IF(C1558&lt;=0,"C",IF(E1558-D1558&lt;'Дашборд'!$C$49,"A",IF(E1558-D1558&lt;'Дашборд'!$C$50,"B","C")))</x:f>
        <x:v>C</x:v>
      </x:c>
      <x:c r="G1558" s="8" t="n">
        <x:f>'Данные'!F1558</x:f>
        <x:v>9</x:v>
      </x:c>
      <x:c r="H1558" s="8" t="n">
        <x:f>SUM('Данные'!H1558:I1558)</x:f>
        <x:v>3</x:v>
      </x:c>
      <x:c r="I1558" s="16" t="n">
        <x:f>IF(H1558&gt;0,G1558/H1558,"n.a.")</x:f>
        <x:v>3</x:v>
      </x:c>
      <x:c r="J1558" s="10" t="n">
        <x:f>IF('Данные'!E1558&gt;0,G1558/'Данные'!E1558,"n.a.")</x:f>
        <x:v>0.0018025235329461246</x:v>
      </x:c>
      <x:c r="K1558" s="1" t="str">
        <x:f>IF(G1558&gt;='Дашборд'!$C$51,"X","Z")</x:f>
        <x:v>Z</x:v>
      </x:c>
      <x:c r="L1558" s="1" t="str">
        <x:f>IF(H1558=0,IF(G1558&gt;0,"Нет остатка","Нет спроса"),IF(I1558&gt;='Дашборд'!$C$52,"Быстрый","Медленный"))</x:f>
        <x:v>Быстрый</x:v>
      </x:c>
      <x:c r="M1558" s="1" t="str">
        <x:f>IF('Данные'!E1558&lt;'Дашборд'!$C$53,"Мало трафика",IF(J1558&lt;'Дашборд'!$C$9*'Дашборд'!$C$54,"Да","Нет"))</x:f>
        <x:v>Да</x:v>
      </x:c>
      <x:c r="N1558" s="1" t="str">
        <x:f>IF(AND('Данные'!D1558&gt;='Дашборд'!$C$55,D1558&lt;'Дашборд'!$C$56,'Данные'!E1558&gt;='Дашборд'!$C$53,'Данные'!L1558&lt;&gt;"Да"),"Да","Нет")</x:f>
        <x:v>Нет</x:v>
      </x:c>
      <x:c r="O1558" s="1" t="str">
        <x:f>'Данные'!L1558</x:f>
        <x:v>Нет</x:v>
      </x:c>
    </x:row>
    <x:row r="1559">
      <x:c r="A1559" s="1" t="str">
        <x:f>'Данные'!A1559</x:f>
        <x:v>116725955</x:v>
      </x:c>
      <x:c r="B1559" s="1" t="str">
        <x:f>'Данные'!B1559</x:f>
        <x:v>longsliv/деним</x:v>
      </x:c>
      <x:c r="C1559" s="8" t="n">
        <x:f>'Данные'!G1559</x:f>
        <x:v>2925</x:v>
      </x:c>
      <x:c r="D1559" s="15" t="n">
        <x:f>C1559/SUM($C$5:$C$2477)</x:f>
        <x:v>0.0000034170541147505017</x:v>
      </x:c>
      <x:c r="E1559" s="15" t="n">
        <x:f>SUM($D$5:D1559)</x:f>
        <x:v>0.9998252898198426</x:v>
      </x:c>
      <x:c r="F1559" s="1" t="str">
        <x:f>IF(C1559&lt;=0,"C",IF(E1559-D1559&lt;'Дашборд'!$C$49,"A",IF(E1559-D1559&lt;'Дашборд'!$C$50,"B","C")))</x:f>
        <x:v>C</x:v>
      </x:c>
      <x:c r="G1559" s="8" t="n">
        <x:f>'Данные'!F1559</x:f>
        <x:v>18</x:v>
      </x:c>
      <x:c r="H1559" s="8" t="n">
        <x:f>SUM('Данные'!H1559:I1559)</x:f>
        <x:v>50</x:v>
      </x:c>
      <x:c r="I1559" s="16" t="n">
        <x:f>IF(H1559&gt;0,G1559/H1559,"n.a.")</x:f>
        <x:v>0.36</x:v>
      </x:c>
      <x:c r="J1559" s="10" t="n">
        <x:f>IF('Данные'!E1559&gt;0,G1559/'Данные'!E1559,"n.a.")</x:f>
        <x:v>0.0028076743097800653</x:v>
      </x:c>
      <x:c r="K1559" s="1" t="str">
        <x:f>IF(G1559&gt;='Дашборд'!$C$51,"X","Z")</x:f>
        <x:v>Z</x:v>
      </x:c>
      <x:c r="L1559" s="1" t="str">
        <x:f>IF(H1559=0,IF(G1559&gt;0,"Нет остатка","Нет спроса"),IF(I1559&gt;='Дашборд'!$C$52,"Быстрый","Медленный"))</x:f>
        <x:v>Медленный</x:v>
      </x:c>
      <x:c r="M1559" s="1" t="str">
        <x:f>IF('Данные'!E1559&lt;'Дашборд'!$C$53,"Мало трафика",IF(J1559&lt;'Дашборд'!$C$9*'Дашборд'!$C$54,"Да","Нет"))</x:f>
        <x:v>Да</x:v>
      </x:c>
      <x:c r="N1559" s="1" t="str">
        <x:f>IF(AND('Данные'!D1559&gt;='Дашборд'!$C$55,D1559&lt;'Дашборд'!$C$56,'Данные'!E1559&gt;='Дашборд'!$C$53,'Данные'!L1559&lt;&gt;"Да"),"Да","Нет")</x:f>
        <x:v>Да</x:v>
      </x:c>
      <x:c r="O1559" s="1" t="str">
        <x:f>'Данные'!L1559</x:f>
        <x:v>Нет</x:v>
      </x:c>
    </x:row>
    <x:row r="1560">
      <x:c r="A1560" s="1" t="str">
        <x:f>'Данные'!A1560</x:f>
        <x:v>168273523</x:v>
      </x:c>
      <x:c r="B1560" s="1" t="str">
        <x:f>'Данные'!B1560</x:f>
        <x:v>2xnitkaman/песочный</x:v>
      </x:c>
      <x:c r="C1560" s="8" t="n">
        <x:f>'Данные'!G1560</x:f>
        <x:v>2900</x:v>
      </x:c>
      <x:c r="D1560" s="15" t="n">
        <x:f>C1560/SUM($C$5:$C$2477)</x:f>
        <x:v>0.000003387848524026139</x:v>
      </x:c>
      <x:c r="E1560" s="15" t="n">
        <x:f>SUM($D$5:D1560)</x:f>
        <x:v>0.9998286776683667</x:v>
      </x:c>
      <x:c r="F1560" s="1" t="str">
        <x:f>IF(C1560&lt;=0,"C",IF(E1560-D1560&lt;'Дашборд'!$C$49,"A",IF(E1560-D1560&lt;'Дашборд'!$C$50,"B","C")))</x:f>
        <x:v>C</x:v>
      </x:c>
      <x:c r="G1560" s="8" t="n">
        <x:f>'Данные'!F1560</x:f>
        <x:v>3</x:v>
      </x:c>
      <x:c r="H1560" s="8" t="n">
        <x:f>SUM('Данные'!H1560:I1560)</x:f>
        <x:v>0</x:v>
      </x:c>
      <x:c r="I1560" s="16" t="str">
        <x:f>IF(H1560&gt;0,G1560/H1560,"n.a.")</x:f>
        <x:v>n.a.</x:v>
      </x:c>
      <x:c r="J1560" s="10" t="n">
        <x:f>IF('Данные'!E1560&gt;0,G1560/'Данные'!E1560,"n.a.")</x:f>
        <x:v>0.008982035928143712</x:v>
      </x:c>
      <x:c r="K1560" s="1" t="str">
        <x:f>IF(G1560&gt;='Дашборд'!$C$51,"X","Z")</x:f>
        <x:v>Z</x:v>
      </x:c>
      <x:c r="L1560" s="1" t="str">
        <x:f>IF(H1560=0,IF(G1560&gt;0,"Нет остатка","Нет спроса"),IF(I1560&gt;='Дашборд'!$C$52,"Быстрый","Медленный"))</x:f>
        <x:v>Нет остатка</x:v>
      </x:c>
      <x:c r="M1560" s="1" t="str">
        <x:f>IF('Данные'!E1560&lt;'Дашборд'!$C$53,"Мало трафика",IF(J1560&lt;'Дашборд'!$C$9*'Дашборд'!$C$54,"Да","Нет"))</x:f>
        <x:v>Мало трафика</x:v>
      </x:c>
      <x:c r="N1560" s="1" t="str">
        <x:f>IF(AND('Данные'!D1560&gt;='Дашборд'!$C$55,D1560&lt;'Дашборд'!$C$56,'Данные'!E1560&gt;='Дашборд'!$C$53,'Данные'!L1560&lt;&gt;"Да"),"Да","Нет")</x:f>
        <x:v>Нет</x:v>
      </x:c>
      <x:c r="O1560" s="1" t="str">
        <x:f>'Данные'!L1560</x:f>
        <x:v>Нет</x:v>
      </x:c>
    </x:row>
    <x:row r="1561">
      <x:c r="A1561" s="1" t="str">
        <x:f>'Данные'!A1561</x:f>
        <x:v>230839244</x:v>
      </x:c>
      <x:c r="B1561" s="1" t="str">
        <x:f>'Данные'!B1561</x:f>
        <x:v>hudivish/MoreSelf-9в/серый</x:v>
      </x:c>
      <x:c r="C1561" s="8" t="n">
        <x:f>'Данные'!G1561</x:f>
        <x:v>2850</x:v>
      </x:c>
      <x:c r="D1561" s="15" t="n">
        <x:f>C1561/SUM($C$5:$C$2477)</x:f>
        <x:v>0.000003329437342577412</x:v>
      </x:c>
      <x:c r="E1561" s="15" t="n">
        <x:f>SUM($D$5:D1561)</x:f>
        <x:v>0.9998320071057093</x:v>
      </x:c>
      <x:c r="F1561" s="1" t="str">
        <x:f>IF(C1561&lt;=0,"C",IF(E1561-D1561&lt;'Дашборд'!$C$49,"A",IF(E1561-D1561&lt;'Дашборд'!$C$50,"B","C")))</x:f>
        <x:v>C</x:v>
      </x:c>
      <x:c r="G1561" s="8" t="n">
        <x:f>'Данные'!F1561</x:f>
        <x:v>4</x:v>
      </x:c>
      <x:c r="H1561" s="8" t="n">
        <x:f>SUM('Данные'!H1561:I1561)</x:f>
        <x:v>132</x:v>
      </x:c>
      <x:c r="I1561" s="16" t="n">
        <x:f>IF(H1561&gt;0,G1561/H1561,"n.a.")</x:f>
        <x:v>0.030303030303030304</x:v>
      </x:c>
      <x:c r="J1561" s="10" t="n">
        <x:f>IF('Данные'!E1561&gt;0,G1561/'Данные'!E1561,"n.a.")</x:f>
        <x:v>0.005037783375314861</x:v>
      </x:c>
      <x:c r="K1561" s="1" t="str">
        <x:f>IF(G1561&gt;='Дашборд'!$C$51,"X","Z")</x:f>
        <x:v>Z</x:v>
      </x:c>
      <x:c r="L1561" s="1" t="str">
        <x:f>IF(H1561=0,IF(G1561&gt;0,"Нет остатка","Нет спроса"),IF(I1561&gt;='Дашборд'!$C$52,"Быстрый","Медленный"))</x:f>
        <x:v>Медленный</x:v>
      </x:c>
      <x:c r="M1561" s="1" t="str">
        <x:f>IF('Данные'!E1561&lt;'Дашборд'!$C$53,"Мало трафика",IF(J1561&lt;'Дашборд'!$C$9*'Дашборд'!$C$54,"Да","Нет"))</x:f>
        <x:v>Мало трафика</x:v>
      </x:c>
      <x:c r="N1561" s="1" t="str">
        <x:f>IF(AND('Данные'!D1561&gt;='Дашборд'!$C$55,D1561&lt;'Дашборд'!$C$56,'Данные'!E1561&gt;='Дашборд'!$C$53,'Данные'!L1561&lt;&gt;"Да"),"Да","Нет")</x:f>
        <x:v>Нет</x:v>
      </x:c>
      <x:c r="O1561" s="1" t="str">
        <x:f>'Данные'!L1561</x:f>
        <x:v>Нет</x:v>
      </x:c>
    </x:row>
    <x:row r="1562">
      <x:c r="A1562" s="1" t="str">
        <x:f>'Данные'!A1562</x:f>
        <x:v>335327575</x:v>
      </x:c>
      <x:c r="B1562" s="1" t="str">
        <x:f>'Данные'!B1562</x:f>
        <x:v>bazakulgirl/сероваторозовый</x:v>
      </x:c>
      <x:c r="C1562" s="8" t="n">
        <x:f>'Данные'!G1562</x:f>
        <x:v>2850</x:v>
      </x:c>
      <x:c r="D1562" s="15" t="n">
        <x:f>C1562/SUM($C$5:$C$2477)</x:f>
        <x:v>0.000003329437342577412</x:v>
      </x:c>
      <x:c r="E1562" s="15" t="n">
        <x:f>SUM($D$5:D1562)</x:f>
        <x:v>0.9998353365430519</x:v>
      </x:c>
      <x:c r="F1562" s="1" t="str">
        <x:f>IF(C1562&lt;=0,"C",IF(E1562-D1562&lt;'Дашборд'!$C$49,"A",IF(E1562-D1562&lt;'Дашборд'!$C$50,"B","C")))</x:f>
        <x:v>C</x:v>
      </x:c>
      <x:c r="G1562" s="8" t="n">
        <x:f>'Данные'!F1562</x:f>
        <x:v>7</x:v>
      </x:c>
      <x:c r="H1562" s="8" t="n">
        <x:f>SUM('Данные'!H1562:I1562)</x:f>
        <x:v>146</x:v>
      </x:c>
      <x:c r="I1562" s="16" t="n">
        <x:f>IF(H1562&gt;0,G1562/H1562,"n.a.")</x:f>
        <x:v>0.04794520547945205</x:v>
      </x:c>
      <x:c r="J1562" s="10" t="n">
        <x:f>IF('Данные'!E1562&gt;0,G1562/'Данные'!E1562,"n.a.")</x:f>
        <x:v>0.006416131989000917</x:v>
      </x:c>
      <x:c r="K1562" s="1" t="str">
        <x:f>IF(G1562&gt;='Дашборд'!$C$51,"X","Z")</x:f>
        <x:v>Z</x:v>
      </x:c>
      <x:c r="L1562" s="1" t="str">
        <x:f>IF(H1562=0,IF(G1562&gt;0,"Нет остатка","Нет спроса"),IF(I1562&gt;='Дашборд'!$C$52,"Быстрый","Медленный"))</x:f>
        <x:v>Медленный</x:v>
      </x:c>
      <x:c r="M1562" s="1" t="str">
        <x:f>IF('Данные'!E1562&lt;'Дашборд'!$C$53,"Мало трафика",IF(J1562&lt;'Дашборд'!$C$9*'Дашборд'!$C$54,"Да","Нет"))</x:f>
        <x:v>Да</x:v>
      </x:c>
      <x:c r="N1562" s="1" t="str">
        <x:f>IF(AND('Данные'!D1562&gt;='Дашборд'!$C$55,D1562&lt;'Дашборд'!$C$56,'Данные'!E1562&gt;='Дашборд'!$C$53,'Данные'!L1562&lt;&gt;"Да"),"Да","Нет")</x:f>
        <x:v>Да</x:v>
      </x:c>
      <x:c r="O1562" s="1" t="str">
        <x:f>'Данные'!L1562</x:f>
        <x:v>Нет</x:v>
      </x:c>
    </x:row>
    <x:row r="1563">
      <x:c r="A1563" s="1" t="str">
        <x:f>'Данные'!A1563</x:f>
        <x:v>116112369</x:v>
      </x:c>
      <x:c r="B1563" s="1" t="str">
        <x:f>'Данные'!B1563</x:f>
        <x:v>hudi/салатовый</x:v>
      </x:c>
      <x:c r="C1563" s="8" t="n">
        <x:f>'Данные'!G1563</x:f>
        <x:v>2767</x:v>
      </x:c>
      <x:c r="D1563" s="15" t="n">
        <x:f>C1563/SUM($C$5:$C$2477)</x:f>
        <x:v>0.0000032324747813725262</x:v>
      </x:c>
      <x:c r="E1563" s="15" t="n">
        <x:f>SUM($D$5:D1563)</x:f>
        <x:v>0.9998385690178333</x:v>
      </x:c>
      <x:c r="F1563" s="1" t="str">
        <x:f>IF(C1563&lt;=0,"C",IF(E1563-D1563&lt;'Дашборд'!$C$49,"A",IF(E1563-D1563&lt;'Дашборд'!$C$50,"B","C")))</x:f>
        <x:v>C</x:v>
      </x:c>
      <x:c r="G1563" s="8" t="n">
        <x:f>'Данные'!F1563</x:f>
        <x:v>1</x:v>
      </x:c>
      <x:c r="H1563" s="8" t="n">
        <x:f>SUM('Данные'!H1563:I1563)</x:f>
        <x:v>0</x:v>
      </x:c>
      <x:c r="I1563" s="16" t="str">
        <x:f>IF(H1563&gt;0,G1563/H1563,"n.a.")</x:f>
        <x:v>n.a.</x:v>
      </x:c>
      <x:c r="J1563" s="10" t="n">
        <x:f>IF('Данные'!E1563&gt;0,G1563/'Данные'!E1563,"n.a.")</x:f>
        <x:v>0.001</x:v>
      </x:c>
      <x:c r="K1563" s="1" t="str">
        <x:f>IF(G1563&gt;='Дашборд'!$C$51,"X","Z")</x:f>
        <x:v>Z</x:v>
      </x:c>
      <x:c r="L1563" s="1" t="str">
        <x:f>IF(H1563=0,IF(G1563&gt;0,"Нет остатка","Нет спроса"),IF(I1563&gt;='Дашборд'!$C$52,"Быстрый","Медленный"))</x:f>
        <x:v>Нет остатка</x:v>
      </x:c>
      <x:c r="M1563" s="1" t="str">
        <x:f>IF('Данные'!E1563&lt;'Дашборд'!$C$53,"Мало трафика",IF(J1563&lt;'Дашборд'!$C$9*'Дашборд'!$C$54,"Да","Нет"))</x:f>
        <x:v>Да</x:v>
      </x:c>
      <x:c r="N1563" s="1" t="str">
        <x:f>IF(AND('Данные'!D1563&gt;='Дашборд'!$C$55,D1563&lt;'Дашборд'!$C$56,'Данные'!E1563&gt;='Дашборд'!$C$53,'Данные'!L1563&lt;&gt;"Да"),"Да","Нет")</x:f>
        <x:v>Да</x:v>
      </x:c>
      <x:c r="O1563" s="1" t="str">
        <x:f>'Данные'!L1563</x:f>
        <x:v>Нет</x:v>
      </x:c>
    </x:row>
    <x:row r="1564">
      <x:c r="A1564" s="1" t="str">
        <x:f>'Данные'!A1564</x:f>
        <x:v>379285874</x:v>
      </x:c>
      <x:c r="B1564" s="1" t="str">
        <x:f>'Данные'!B1564</x:f>
        <x:v>polovyaz/молочный</x:v>
      </x:c>
      <x:c r="C1564" s="8" t="n">
        <x:f>'Данные'!G1564</x:f>
        <x:v>2700</x:v>
      </x:c>
      <x:c r="D1564" s="15" t="n">
        <x:f>C1564/SUM($C$5:$C$2477)</x:f>
        <x:v>0.0000031542037982312326</x:v>
      </x:c>
      <x:c r="E1564" s="15" t="n">
        <x:f>SUM($D$5:D1564)</x:f>
        <x:v>0.9998417232216316</x:v>
      </x:c>
      <x:c r="F1564" s="1" t="str">
        <x:f>IF(C1564&lt;=0,"C",IF(E1564-D1564&lt;'Дашборд'!$C$49,"A",IF(E1564-D1564&lt;'Дашборд'!$C$50,"B","C")))</x:f>
        <x:v>C</x:v>
      </x:c>
      <x:c r="G1564" s="8" t="n">
        <x:f>'Данные'!F1564</x:f>
        <x:v>6</x:v>
      </x:c>
      <x:c r="H1564" s="8" t="n">
        <x:f>SUM('Данные'!H1564:I1564)</x:f>
        <x:v>471</x:v>
      </x:c>
      <x:c r="I1564" s="16" t="n">
        <x:f>IF(H1564&gt;0,G1564/H1564,"n.a.")</x:f>
        <x:v>0.012738853503184714</x:v>
      </x:c>
      <x:c r="J1564" s="10" t="n">
        <x:f>IF('Данные'!E1564&gt;0,G1564/'Данные'!E1564,"n.a.")</x:f>
        <x:v>0.0012285012285012285</x:v>
      </x:c>
      <x:c r="K1564" s="1" t="str">
        <x:f>IF(G1564&gt;='Дашборд'!$C$51,"X","Z")</x:f>
        <x:v>Z</x:v>
      </x:c>
      <x:c r="L1564" s="1" t="str">
        <x:f>IF(H1564=0,IF(G1564&gt;0,"Нет остатка","Нет спроса"),IF(I1564&gt;='Дашборд'!$C$52,"Быстрый","Медленный"))</x:f>
        <x:v>Медленный</x:v>
      </x:c>
      <x:c r="M1564" s="1" t="str">
        <x:f>IF('Данные'!E1564&lt;'Дашборд'!$C$53,"Мало трафика",IF(J1564&lt;'Дашборд'!$C$9*'Дашборд'!$C$54,"Да","Нет"))</x:f>
        <x:v>Да</x:v>
      </x:c>
      <x:c r="N1564" s="1" t="str">
        <x:f>IF(AND('Данные'!D1564&gt;='Дашборд'!$C$55,D1564&lt;'Дашборд'!$C$56,'Данные'!E1564&gt;='Дашборд'!$C$53,'Данные'!L1564&lt;&gt;"Да"),"Да","Нет")</x:f>
        <x:v>Нет</x:v>
      </x:c>
      <x:c r="O1564" s="1" t="str">
        <x:f>'Данные'!L1564</x:f>
        <x:v>Нет</x:v>
      </x:c>
    </x:row>
    <x:row r="1565">
      <x:c r="A1565" s="1" t="str">
        <x:f>'Данные'!A1565</x:f>
        <x:v>150674005</x:v>
      </x:c>
      <x:c r="B1565" s="1" t="str">
        <x:f>'Данные'!B1565</x:f>
        <x:v>svitshotover/фиолетовый</x:v>
      </x:c>
      <x:c r="C1565" s="8" t="n">
        <x:f>'Данные'!G1565</x:f>
        <x:v>2695</x:v>
      </x:c>
      <x:c r="D1565" s="15" t="n">
        <x:f>C1565/SUM($C$5:$C$2477)</x:f>
        <x:v>0.00000314836268008636</x:v>
      </x:c>
      <x:c r="E1565" s="15" t="n">
        <x:f>SUM($D$5:D1565)</x:f>
        <x:v>0.9998448715843117</x:v>
      </x:c>
      <x:c r="F1565" s="1" t="str">
        <x:f>IF(C1565&lt;=0,"C",IF(E1565-D1565&lt;'Дашборд'!$C$49,"A",IF(E1565-D1565&lt;'Дашборд'!$C$50,"B","C")))</x:f>
        <x:v>C</x:v>
      </x:c>
      <x:c r="G1565" s="8" t="n">
        <x:f>'Данные'!F1565</x:f>
        <x:v>5</x:v>
      </x:c>
      <x:c r="H1565" s="8" t="n">
        <x:f>SUM('Данные'!H1565:I1565)</x:f>
        <x:v>35</x:v>
      </x:c>
      <x:c r="I1565" s="16" t="n">
        <x:f>IF(H1565&gt;0,G1565/H1565,"n.a.")</x:f>
        <x:v>0.14285714285714285</x:v>
      </x:c>
      <x:c r="J1565" s="10" t="n">
        <x:f>IF('Данные'!E1565&gt;0,G1565/'Данные'!E1565,"n.a.")</x:f>
        <x:v>0.006435006435006435</x:v>
      </x:c>
      <x:c r="K1565" s="1" t="str">
        <x:f>IF(G1565&gt;='Дашборд'!$C$51,"X","Z")</x:f>
        <x:v>Z</x:v>
      </x:c>
      <x:c r="L1565" s="1" t="str">
        <x:f>IF(H1565=0,IF(G1565&gt;0,"Нет остатка","Нет спроса"),IF(I1565&gt;='Дашборд'!$C$52,"Быстрый","Медленный"))</x:f>
        <x:v>Медленный</x:v>
      </x:c>
      <x:c r="M1565" s="1" t="str">
        <x:f>IF('Данные'!E1565&lt;'Дашборд'!$C$53,"Мало трафика",IF(J1565&lt;'Дашборд'!$C$9*'Дашборд'!$C$54,"Да","Нет"))</x:f>
        <x:v>Мало трафика</x:v>
      </x:c>
      <x:c r="N1565" s="1" t="str">
        <x:f>IF(AND('Данные'!D1565&gt;='Дашборд'!$C$55,D1565&lt;'Дашборд'!$C$56,'Данные'!E1565&gt;='Дашборд'!$C$53,'Данные'!L1565&lt;&gt;"Да"),"Да","Нет")</x:f>
        <x:v>Нет</x:v>
      </x:c>
      <x:c r="O1565" s="1" t="str">
        <x:f>'Данные'!L1565</x:f>
        <x:v>Нет</x:v>
      </x:c>
    </x:row>
    <x:row r="1566">
      <x:c r="A1566" s="1" t="str">
        <x:f>'Данные'!A1566</x:f>
        <x:v>209915725</x:v>
      </x:c>
      <x:c r="B1566" s="1" t="str">
        <x:f>'Данные'!B1566</x:f>
        <x:v>shorty/сине-морской</x:v>
      </x:c>
      <x:c r="C1566" s="8" t="n">
        <x:f>'Данные'!G1566</x:f>
        <x:v>2692</x:v>
      </x:c>
      <x:c r="D1566" s="15" t="n">
        <x:f>C1566/SUM($C$5:$C$2477)</x:f>
        <x:v>0.0000031448580091994362</x:v>
      </x:c>
      <x:c r="E1566" s="15" t="n">
        <x:f>SUM($D$5:D1566)</x:f>
        <x:v>0.9998480164423209</x:v>
      </x:c>
      <x:c r="F1566" s="1" t="str">
        <x:f>IF(C1566&lt;=0,"C",IF(E1566-D1566&lt;'Дашборд'!$C$49,"A",IF(E1566-D1566&lt;'Дашборд'!$C$50,"B","C")))</x:f>
        <x:v>C</x:v>
      </x:c>
      <x:c r="G1566" s="8" t="n">
        <x:f>'Данные'!F1566</x:f>
        <x:v>6</x:v>
      </x:c>
      <x:c r="H1566" s="8" t="n">
        <x:f>SUM('Данные'!H1566:I1566)</x:f>
        <x:v>34</x:v>
      </x:c>
      <x:c r="I1566" s="16" t="n">
        <x:f>IF(H1566&gt;0,G1566/H1566,"n.a.")</x:f>
        <x:v>0.17647058823529413</x:v>
      </x:c>
      <x:c r="J1566" s="10" t="n">
        <x:f>IF('Данные'!E1566&gt;0,G1566/'Данные'!E1566,"n.a.")</x:f>
        <x:v>0.0013204225352112676</x:v>
      </x:c>
      <x:c r="K1566" s="1" t="str">
        <x:f>IF(G1566&gt;='Дашборд'!$C$51,"X","Z")</x:f>
        <x:v>Z</x:v>
      </x:c>
      <x:c r="L1566" s="1" t="str">
        <x:f>IF(H1566=0,IF(G1566&gt;0,"Нет остатка","Нет спроса"),IF(I1566&gt;='Дашборд'!$C$52,"Быстрый","Медленный"))</x:f>
        <x:v>Медленный</x:v>
      </x:c>
      <x:c r="M1566" s="1" t="str">
        <x:f>IF('Данные'!E1566&lt;'Дашборд'!$C$53,"Мало трафика",IF(J1566&lt;'Дашборд'!$C$9*'Дашборд'!$C$54,"Да","Нет"))</x:f>
        <x:v>Да</x:v>
      </x:c>
      <x:c r="N1566" s="1" t="str">
        <x:f>IF(AND('Данные'!D1566&gt;='Дашборд'!$C$55,D1566&lt;'Дашборд'!$C$56,'Данные'!E1566&gt;='Дашборд'!$C$53,'Данные'!L1566&lt;&gt;"Да"),"Да","Нет")</x:f>
        <x:v>Нет</x:v>
      </x:c>
      <x:c r="O1566" s="1" t="str">
        <x:f>'Данные'!L1566</x:f>
        <x:v>Нет</x:v>
      </x:c>
    </x:row>
    <x:row r="1567">
      <x:c r="A1567" s="1" t="str">
        <x:f>'Данные'!A1567</x:f>
        <x:v>195715510</x:v>
      </x:c>
      <x:c r="B1567" s="1" t="str">
        <x:f>'Данные'!B1567</x:f>
        <x:v>hudi1size/сине-серый</x:v>
      </x:c>
      <x:c r="C1567" s="8" t="n">
        <x:f>'Данные'!G1567</x:f>
        <x:v>2660</x:v>
      </x:c>
      <x:c r="D1567" s="15" t="n">
        <x:f>C1567/SUM($C$5:$C$2477)</x:f>
        <x:v>0.0000031074748530722515</x:v>
      </x:c>
      <x:c r="E1567" s="15" t="n">
        <x:f>SUM($D$5:D1567)</x:f>
        <x:v>0.999851123917174</x:v>
      </x:c>
      <x:c r="F1567" s="1" t="str">
        <x:f>IF(C1567&lt;=0,"C",IF(E1567-D1567&lt;'Дашборд'!$C$49,"A",IF(E1567-D1567&lt;'Дашборд'!$C$50,"B","C")))</x:f>
        <x:v>C</x:v>
      </x:c>
      <x:c r="G1567" s="8" t="n">
        <x:f>'Данные'!F1567</x:f>
        <x:v>1</x:v>
      </x:c>
      <x:c r="H1567" s="8" t="n">
        <x:f>SUM('Данные'!H1567:I1567)</x:f>
        <x:v>0</x:v>
      </x:c>
      <x:c r="I1567" s="16" t="str">
        <x:f>IF(H1567&gt;0,G1567/H1567,"n.a.")</x:f>
        <x:v>n.a.</x:v>
      </x:c>
      <x:c r="J1567" s="10" t="n">
        <x:f>IF('Данные'!E1567&gt;0,G1567/'Данные'!E1567,"n.a.")</x:f>
        <x:v>0.008695652173913044</x:v>
      </x:c>
      <x:c r="K1567" s="1" t="str">
        <x:f>IF(G1567&gt;='Дашборд'!$C$51,"X","Z")</x:f>
        <x:v>Z</x:v>
      </x:c>
      <x:c r="L1567" s="1" t="str">
        <x:f>IF(H1567=0,IF(G1567&gt;0,"Нет остатка","Нет спроса"),IF(I1567&gt;='Дашборд'!$C$52,"Быстрый","Медленный"))</x:f>
        <x:v>Нет остатка</x:v>
      </x:c>
      <x:c r="M1567" s="1" t="str">
        <x:f>IF('Данные'!E1567&lt;'Дашборд'!$C$53,"Мало трафика",IF(J1567&lt;'Дашборд'!$C$9*'Дашборд'!$C$54,"Да","Нет"))</x:f>
        <x:v>Мало трафика</x:v>
      </x:c>
      <x:c r="N1567" s="1" t="str">
        <x:f>IF(AND('Данные'!D1567&gt;='Дашборд'!$C$55,D1567&lt;'Дашборд'!$C$56,'Данные'!E1567&gt;='Дашборд'!$C$53,'Данные'!L1567&lt;&gt;"Да"),"Да","Нет")</x:f>
        <x:v>Нет</x:v>
      </x:c>
      <x:c r="O1567" s="1" t="str">
        <x:f>'Данные'!L1567</x:f>
        <x:v>Нет</x:v>
      </x:c>
    </x:row>
    <x:row r="1568">
      <x:c r="A1568" s="1" t="str">
        <x:f>'Данные'!A1568</x:f>
        <x:v>51581851</x:v>
      </x:c>
      <x:c r="B1568" s="1" t="str">
        <x:f>'Данные'!B1568</x:f>
        <x:v>brukiman/светло-голубой</x:v>
      </x:c>
      <x:c r="C1568" s="8" t="n">
        <x:f>'Данные'!G1568</x:f>
        <x:v>2617</x:v>
      </x:c>
      <x:c r="D1568" s="15" t="n">
        <x:f>C1568/SUM($C$5:$C$2477)</x:f>
        <x:v>0.0000030572412370263467</x:v>
      </x:c>
      <x:c r="E1568" s="15" t="n">
        <x:f>SUM($D$5:D1568)</x:f>
        <x:v>0.9998541811584111</x:v>
      </x:c>
      <x:c r="F1568" s="1" t="str">
        <x:f>IF(C1568&lt;=0,"C",IF(E1568-D1568&lt;'Дашборд'!$C$49,"A",IF(E1568-D1568&lt;'Дашборд'!$C$50,"B","C")))</x:f>
        <x:v>C</x:v>
      </x:c>
      <x:c r="G1568" s="8" t="n">
        <x:f>'Данные'!F1568</x:f>
        <x:v>3</x:v>
      </x:c>
      <x:c r="H1568" s="8" t="n">
        <x:f>SUM('Данные'!H1568:I1568)</x:f>
        <x:v>1</x:v>
      </x:c>
      <x:c r="I1568" s="16" t="n">
        <x:f>IF(H1568&gt;0,G1568/H1568,"n.a.")</x:f>
        <x:v>3</x:v>
      </x:c>
      <x:c r="J1568" s="10" t="n">
        <x:f>IF('Данные'!E1568&gt;0,G1568/'Данные'!E1568,"n.a.")</x:f>
        <x:v>0.004043126684636119</x:v>
      </x:c>
      <x:c r="K1568" s="1" t="str">
        <x:f>IF(G1568&gt;='Дашборд'!$C$51,"X","Z")</x:f>
        <x:v>Z</x:v>
      </x:c>
      <x:c r="L1568" s="1" t="str">
        <x:f>IF(H1568=0,IF(G1568&gt;0,"Нет остатка","Нет спроса"),IF(I1568&gt;='Дашборд'!$C$52,"Быстрый","Медленный"))</x:f>
        <x:v>Быстрый</x:v>
      </x:c>
      <x:c r="M1568" s="1" t="str">
        <x:f>IF('Данные'!E1568&lt;'Дашборд'!$C$53,"Мало трафика",IF(J1568&lt;'Дашборд'!$C$9*'Дашборд'!$C$54,"Да","Нет"))</x:f>
        <x:v>Мало трафика</x:v>
      </x:c>
      <x:c r="N1568" s="1" t="str">
        <x:f>IF(AND('Данные'!D1568&gt;='Дашборд'!$C$55,D1568&lt;'Дашборд'!$C$56,'Данные'!E1568&gt;='Дашборд'!$C$53,'Данные'!L1568&lt;&gt;"Да"),"Да","Нет")</x:f>
        <x:v>Нет</x:v>
      </x:c>
      <x:c r="O1568" s="1" t="str">
        <x:f>'Данные'!L1568</x:f>
        <x:v>Нет</x:v>
      </x:c>
    </x:row>
    <x:row r="1569">
      <x:c r="A1569" s="1" t="str">
        <x:f>'Данные'!A1569</x:f>
        <x:v>117962477</x:v>
      </x:c>
      <x:c r="B1569" s="1" t="str">
        <x:f>'Данные'!B1569</x:f>
        <x:v>hudiman/салатовый</x:v>
      </x:c>
      <x:c r="C1569" s="8" t="n">
        <x:f>'Данные'!G1569</x:f>
        <x:v>2600</x:v>
      </x:c>
      <x:c r="D1569" s="15" t="n">
        <x:f>C1569/SUM($C$5:$C$2477)</x:f>
        <x:v>0.0000030373814353337797</x:v>
      </x:c>
      <x:c r="E1569" s="15" t="n">
        <x:f>SUM($D$5:D1569)</x:f>
        <x:v>0.9998572185398464</x:v>
      </x:c>
      <x:c r="F1569" s="1" t="str">
        <x:f>IF(C1569&lt;=0,"C",IF(E1569-D1569&lt;'Дашборд'!$C$49,"A",IF(E1569-D1569&lt;'Дашборд'!$C$50,"B","C")))</x:f>
        <x:v>C</x:v>
      </x:c>
      <x:c r="G1569" s="8" t="n">
        <x:f>'Данные'!F1569</x:f>
        <x:v>1</x:v>
      </x:c>
      <x:c r="H1569" s="8" t="n">
        <x:f>SUM('Данные'!H1569:I1569)</x:f>
        <x:v>0</x:v>
      </x:c>
      <x:c r="I1569" s="16" t="str">
        <x:f>IF(H1569&gt;0,G1569/H1569,"n.a.")</x:f>
        <x:v>n.a.</x:v>
      </x:c>
      <x:c r="J1569" s="10" t="n">
        <x:f>IF('Данные'!E1569&gt;0,G1569/'Данные'!E1569,"n.a.")</x:f>
        <x:v>0.0013531799729364006</x:v>
      </x:c>
      <x:c r="K1569" s="1" t="str">
        <x:f>IF(G1569&gt;='Дашборд'!$C$51,"X","Z")</x:f>
        <x:v>Z</x:v>
      </x:c>
      <x:c r="L1569" s="1" t="str">
        <x:f>IF(H1569=0,IF(G1569&gt;0,"Нет остатка","Нет спроса"),IF(I1569&gt;='Дашборд'!$C$52,"Быстрый","Медленный"))</x:f>
        <x:v>Нет остатка</x:v>
      </x:c>
      <x:c r="M1569" s="1" t="str">
        <x:f>IF('Данные'!E1569&lt;'Дашборд'!$C$53,"Мало трафика",IF(J1569&lt;'Дашборд'!$C$9*'Дашборд'!$C$54,"Да","Нет"))</x:f>
        <x:v>Мало трафика</x:v>
      </x:c>
      <x:c r="N1569" s="1" t="str">
        <x:f>IF(AND('Данные'!D1569&gt;='Дашборд'!$C$55,D1569&lt;'Дашборд'!$C$56,'Данные'!E1569&gt;='Дашборд'!$C$53,'Данные'!L1569&lt;&gt;"Да"),"Да","Нет")</x:f>
        <x:v>Нет</x:v>
      </x:c>
      <x:c r="O1569" s="1" t="str">
        <x:f>'Данные'!L1569</x:f>
        <x:v>Нет</x:v>
      </x:c>
    </x:row>
    <x:row r="1570">
      <x:c r="A1570" s="1" t="str">
        <x:f>'Данные'!A1570</x:f>
        <x:v>150673975</x:v>
      </x:c>
      <x:c r="B1570" s="1" t="str">
        <x:f>'Данные'!B1570</x:f>
        <x:v>svitshotover/коричневый</x:v>
      </x:c>
      <x:c r="C1570" s="8" t="n">
        <x:f>'Данные'!G1570</x:f>
        <x:v>2600</x:v>
      </x:c>
      <x:c r="D1570" s="15" t="n">
        <x:f>C1570/SUM($C$5:$C$2477)</x:f>
        <x:v>0.0000030373814353337797</x:v>
      </x:c>
      <x:c r="E1570" s="15" t="n">
        <x:f>SUM($D$5:D1570)</x:f>
        <x:v>0.9998602559212818</x:v>
      </x:c>
      <x:c r="F1570" s="1" t="str">
        <x:f>IF(C1570&lt;=0,"C",IF(E1570-D1570&lt;'Дашборд'!$C$49,"A",IF(E1570-D1570&lt;'Дашборд'!$C$50,"B","C")))</x:f>
        <x:v>C</x:v>
      </x:c>
      <x:c r="G1570" s="8" t="n">
        <x:f>'Данные'!F1570</x:f>
        <x:v>1</x:v>
      </x:c>
      <x:c r="H1570" s="8" t="n">
        <x:f>SUM('Данные'!H1570:I1570)</x:f>
        <x:v>0</x:v>
      </x:c>
      <x:c r="I1570" s="16" t="str">
        <x:f>IF(H1570&gt;0,G1570/H1570,"n.a.")</x:f>
        <x:v>n.a.</x:v>
      </x:c>
      <x:c r="J1570" s="10" t="n">
        <x:f>IF('Данные'!E1570&gt;0,G1570/'Данные'!E1570,"n.a.")</x:f>
        <x:v>0.002066115702479339</x:v>
      </x:c>
      <x:c r="K1570" s="1" t="str">
        <x:f>IF(G1570&gt;='Дашборд'!$C$51,"X","Z")</x:f>
        <x:v>Z</x:v>
      </x:c>
      <x:c r="L1570" s="1" t="str">
        <x:f>IF(H1570=0,IF(G1570&gt;0,"Нет остатка","Нет спроса"),IF(I1570&gt;='Дашборд'!$C$52,"Быстрый","Медленный"))</x:f>
        <x:v>Нет остатка</x:v>
      </x:c>
      <x:c r="M1570" s="1" t="str">
        <x:f>IF('Данные'!E1570&lt;'Дашборд'!$C$53,"Мало трафика",IF(J1570&lt;'Дашборд'!$C$9*'Дашборд'!$C$54,"Да","Нет"))</x:f>
        <x:v>Мало трафика</x:v>
      </x:c>
      <x:c r="N1570" s="1" t="str">
        <x:f>IF(AND('Данные'!D1570&gt;='Дашборд'!$C$55,D1570&lt;'Дашборд'!$C$56,'Данные'!E1570&gt;='Дашборд'!$C$53,'Данные'!L1570&lt;&gt;"Да"),"Да","Нет")</x:f>
        <x:v>Нет</x:v>
      </x:c>
      <x:c r="O1570" s="1" t="str">
        <x:f>'Данные'!L1570</x:f>
        <x:v>Нет</x:v>
      </x:c>
    </x:row>
    <x:row r="1571">
      <x:c r="A1571" s="1" t="str">
        <x:f>'Данные'!A1571</x:f>
        <x:v>168273526</x:v>
      </x:c>
      <x:c r="B1571" s="1" t="str">
        <x:f>'Данные'!B1571</x:f>
        <x:v>2xnitkaman/молочный</x:v>
      </x:c>
      <x:c r="C1571" s="8" t="n">
        <x:f>'Данные'!G1571</x:f>
        <x:v>2600</x:v>
      </x:c>
      <x:c r="D1571" s="15" t="n">
        <x:f>C1571/SUM($C$5:$C$2477)</x:f>
        <x:v>0.0000030373814353337797</x:v>
      </x:c>
      <x:c r="E1571" s="15" t="n">
        <x:f>SUM($D$5:D1571)</x:f>
        <x:v>0.9998632933027172</x:v>
      </x:c>
      <x:c r="F1571" s="1" t="str">
        <x:f>IF(C1571&lt;=0,"C",IF(E1571-D1571&lt;'Дашборд'!$C$49,"A",IF(E1571-D1571&lt;'Дашборд'!$C$50,"B","C")))</x:f>
        <x:v>C</x:v>
      </x:c>
      <x:c r="G1571" s="8" t="n">
        <x:f>'Данные'!F1571</x:f>
        <x:v>5</x:v>
      </x:c>
      <x:c r="H1571" s="8" t="n">
        <x:f>SUM('Данные'!H1571:I1571)</x:f>
        <x:v>1</x:v>
      </x:c>
      <x:c r="I1571" s="16" t="n">
        <x:f>IF(H1571&gt;0,G1571/H1571,"n.a.")</x:f>
        <x:v>5</x:v>
      </x:c>
      <x:c r="J1571" s="10" t="n">
        <x:f>IF('Данные'!E1571&gt;0,G1571/'Данные'!E1571,"n.a.")</x:f>
        <x:v>0.011037527593818985</x:v>
      </x:c>
      <x:c r="K1571" s="1" t="str">
        <x:f>IF(G1571&gt;='Дашборд'!$C$51,"X","Z")</x:f>
        <x:v>Z</x:v>
      </x:c>
      <x:c r="L1571" s="1" t="str">
        <x:f>IF(H1571=0,IF(G1571&gt;0,"Нет остатка","Нет спроса"),IF(I1571&gt;='Дашборд'!$C$52,"Быстрый","Медленный"))</x:f>
        <x:v>Быстрый</x:v>
      </x:c>
      <x:c r="M1571" s="1" t="str">
        <x:f>IF('Данные'!E1571&lt;'Дашборд'!$C$53,"Мало трафика",IF(J1571&lt;'Дашборд'!$C$9*'Дашборд'!$C$54,"Да","Нет"))</x:f>
        <x:v>Мало трафика</x:v>
      </x:c>
      <x:c r="N1571" s="1" t="str">
        <x:f>IF(AND('Данные'!D1571&gt;='Дашборд'!$C$55,D1571&lt;'Дашборд'!$C$56,'Данные'!E1571&gt;='Дашборд'!$C$53,'Данные'!L1571&lt;&gt;"Да"),"Да","Нет")</x:f>
        <x:v>Нет</x:v>
      </x:c>
      <x:c r="O1571" s="1" t="str">
        <x:f>'Данные'!L1571</x:f>
        <x:v>Нет</x:v>
      </x:c>
    </x:row>
    <x:row r="1572">
      <x:c r="A1572" s="1" t="str">
        <x:f>'Данные'!A1572</x:f>
        <x:v>169512643</x:v>
      </x:c>
      <x:c r="B1572" s="1" t="str">
        <x:f>'Данные'!B1572</x:f>
        <x:v>2xnitkacrop/салатовый</x:v>
      </x:c>
      <x:c r="C1572" s="8" t="n">
        <x:f>'Данные'!G1572</x:f>
        <x:v>2600</x:v>
      </x:c>
      <x:c r="D1572" s="15" t="n">
        <x:f>C1572/SUM($C$5:$C$2477)</x:f>
        <x:v>0.0000030373814353337797</x:v>
      </x:c>
      <x:c r="E1572" s="15" t="n">
        <x:f>SUM($D$5:D1572)</x:f>
        <x:v>0.9998663306841525</x:v>
      </x:c>
      <x:c r="F1572" s="1" t="str">
        <x:f>IF(C1572&lt;=0,"C",IF(E1572-D1572&lt;'Дашборд'!$C$49,"A",IF(E1572-D1572&lt;'Дашборд'!$C$50,"B","C")))</x:f>
        <x:v>C</x:v>
      </x:c>
      <x:c r="G1572" s="8" t="n">
        <x:f>'Данные'!F1572</x:f>
        <x:v>3</x:v>
      </x:c>
      <x:c r="H1572" s="8" t="n">
        <x:f>SUM('Данные'!H1572:I1572)</x:f>
        <x:v>0</x:v>
      </x:c>
      <x:c r="I1572" s="16" t="str">
        <x:f>IF(H1572&gt;0,G1572/H1572,"n.a.")</x:f>
        <x:v>n.a.</x:v>
      </x:c>
      <x:c r="J1572" s="10" t="n">
        <x:f>IF('Данные'!E1572&gt;0,G1572/'Данные'!E1572,"n.a.")</x:f>
        <x:v>0.0038809831824062097</x:v>
      </x:c>
      <x:c r="K1572" s="1" t="str">
        <x:f>IF(G1572&gt;='Дашборд'!$C$51,"X","Z")</x:f>
        <x:v>Z</x:v>
      </x:c>
      <x:c r="L1572" s="1" t="str">
        <x:f>IF(H1572=0,IF(G1572&gt;0,"Нет остатка","Нет спроса"),IF(I1572&gt;='Дашборд'!$C$52,"Быстрый","Медленный"))</x:f>
        <x:v>Нет остатка</x:v>
      </x:c>
      <x:c r="M1572" s="1" t="str">
        <x:f>IF('Данные'!E1572&lt;'Дашборд'!$C$53,"Мало трафика",IF(J1572&lt;'Дашборд'!$C$9*'Дашборд'!$C$54,"Да","Нет"))</x:f>
        <x:v>Мало трафика</x:v>
      </x:c>
      <x:c r="N1572" s="1" t="str">
        <x:f>IF(AND('Данные'!D1572&gt;='Дашборд'!$C$55,D1572&lt;'Дашборд'!$C$56,'Данные'!E1572&gt;='Дашборд'!$C$53,'Данные'!L1572&lt;&gt;"Да"),"Да","Нет")</x:f>
        <x:v>Нет</x:v>
      </x:c>
      <x:c r="O1572" s="1" t="str">
        <x:f>'Данные'!L1572</x:f>
        <x:v>Нет</x:v>
      </x:c>
    </x:row>
    <x:row r="1573">
      <x:c r="A1573" s="1" t="str">
        <x:f>'Данные'!A1573</x:f>
        <x:v>169512645</x:v>
      </x:c>
      <x:c r="B1573" s="1" t="str">
        <x:f>'Данные'!B1573</x:f>
        <x:v>2xnitkacrop/фуксия</x:v>
      </x:c>
      <x:c r="C1573" s="8" t="n">
        <x:f>'Данные'!G1573</x:f>
        <x:v>2600</x:v>
      </x:c>
      <x:c r="D1573" s="15" t="n">
        <x:f>C1573/SUM($C$5:$C$2477)</x:f>
        <x:v>0.0000030373814353337797</x:v>
      </x:c>
      <x:c r="E1573" s="15" t="n">
        <x:f>SUM($D$5:D1573)</x:f>
        <x:v>0.9998693680655879</x:v>
      </x:c>
      <x:c r="F1573" s="1" t="str">
        <x:f>IF(C1573&lt;=0,"C",IF(E1573-D1573&lt;'Дашборд'!$C$49,"A",IF(E1573-D1573&lt;'Дашборд'!$C$50,"B","C")))</x:f>
        <x:v>C</x:v>
      </x:c>
      <x:c r="G1573" s="8" t="n">
        <x:f>'Данные'!F1573</x:f>
        <x:v>5</x:v>
      </x:c>
      <x:c r="H1573" s="8" t="n">
        <x:f>SUM('Данные'!H1573:I1573)</x:f>
        <x:v>0</x:v>
      </x:c>
      <x:c r="I1573" s="16" t="str">
        <x:f>IF(H1573&gt;0,G1573/H1573,"n.a.")</x:f>
        <x:v>n.a.</x:v>
      </x:c>
      <x:c r="J1573" s="10" t="n">
        <x:f>IF('Данные'!E1573&gt;0,G1573/'Данные'!E1573,"n.a.")</x:f>
        <x:v>0.0044365572315882874</x:v>
      </x:c>
      <x:c r="K1573" s="1" t="str">
        <x:f>IF(G1573&gt;='Дашборд'!$C$51,"X","Z")</x:f>
        <x:v>Z</x:v>
      </x:c>
      <x:c r="L1573" s="1" t="str">
        <x:f>IF(H1573=0,IF(G1573&gt;0,"Нет остатка","Нет спроса"),IF(I1573&gt;='Дашборд'!$C$52,"Быстрый","Медленный"))</x:f>
        <x:v>Нет остатка</x:v>
      </x:c>
      <x:c r="M1573" s="1" t="str">
        <x:f>IF('Данные'!E1573&lt;'Дашборд'!$C$53,"Мало трафика",IF(J1573&lt;'Дашборд'!$C$9*'Дашборд'!$C$54,"Да","Нет"))</x:f>
        <x:v>Да</x:v>
      </x:c>
      <x:c r="N1573" s="1" t="str">
        <x:f>IF(AND('Данные'!D1573&gt;='Дашборд'!$C$55,D1573&lt;'Дашборд'!$C$56,'Данные'!E1573&gt;='Дашборд'!$C$53,'Данные'!L1573&lt;&gt;"Да"),"Да","Нет")</x:f>
        <x:v>Да</x:v>
      </x:c>
      <x:c r="O1573" s="1" t="str">
        <x:f>'Данные'!L1573</x:f>
        <x:v>Нет</x:v>
      </x:c>
    </x:row>
    <x:row r="1574">
      <x:c r="A1574" s="1" t="str">
        <x:f>'Данные'!A1574</x:f>
        <x:v>311049940</x:v>
      </x:c>
      <x:c r="B1574" s="1" t="str">
        <x:f>'Данные'!B1574</x:f>
        <x:v>hudimanpetl/коричневый</x:v>
      </x:c>
      <x:c r="C1574" s="8" t="n">
        <x:f>'Данные'!G1574</x:f>
        <x:v>2550</x:v>
      </x:c>
      <x:c r="D1574" s="15" t="n">
        <x:f>C1574/SUM($C$5:$C$2477)</x:f>
        <x:v>0.000002978970253885053</x:v>
      </x:c>
      <x:c r="E1574" s="15" t="n">
        <x:f>SUM($D$5:D1574)</x:f>
        <x:v>0.9998723470358418</x:v>
      </x:c>
      <x:c r="F1574" s="1" t="str">
        <x:f>IF(C1574&lt;=0,"C",IF(E1574-D1574&lt;'Дашборд'!$C$49,"A",IF(E1574-D1574&lt;'Дашборд'!$C$50,"B","C")))</x:f>
        <x:v>C</x:v>
      </x:c>
      <x:c r="G1574" s="8" t="n">
        <x:f>'Данные'!F1574</x:f>
        <x:v>11</x:v>
      </x:c>
      <x:c r="H1574" s="8" t="n">
        <x:f>SUM('Данные'!H1574:I1574)</x:f>
        <x:v>2</x:v>
      </x:c>
      <x:c r="I1574" s="16" t="n">
        <x:f>IF(H1574&gt;0,G1574/H1574,"n.a.")</x:f>
        <x:v>5.5</x:v>
      </x:c>
      <x:c r="J1574" s="10" t="n">
        <x:f>IF('Данные'!E1574&gt;0,G1574/'Данные'!E1574,"n.a.")</x:f>
        <x:v>0.0026359932901988976</x:v>
      </x:c>
      <x:c r="K1574" s="1" t="str">
        <x:f>IF(G1574&gt;='Дашборд'!$C$51,"X","Z")</x:f>
        <x:v>Z</x:v>
      </x:c>
      <x:c r="L1574" s="1" t="str">
        <x:f>IF(H1574=0,IF(G1574&gt;0,"Нет остатка","Нет спроса"),IF(I1574&gt;='Дашборд'!$C$52,"Быстрый","Медленный"))</x:f>
        <x:v>Быстрый</x:v>
      </x:c>
      <x:c r="M1574" s="1" t="str">
        <x:f>IF('Данные'!E1574&lt;'Дашборд'!$C$53,"Мало трафика",IF(J1574&lt;'Дашборд'!$C$9*'Дашборд'!$C$54,"Да","Нет"))</x:f>
        <x:v>Да</x:v>
      </x:c>
      <x:c r="N1574" s="1" t="str">
        <x:f>IF(AND('Данные'!D1574&gt;='Дашборд'!$C$55,D1574&lt;'Дашборд'!$C$56,'Данные'!E1574&gt;='Дашборд'!$C$53,'Данные'!L1574&lt;&gt;"Да"),"Да","Нет")</x:f>
        <x:v>Нет</x:v>
      </x:c>
      <x:c r="O1574" s="1" t="str">
        <x:f>'Данные'!L1574</x:f>
        <x:v>Нет</x:v>
      </x:c>
    </x:row>
    <x:row r="1575">
      <x:c r="A1575" s="1" t="str">
        <x:f>'Данные'!A1575</x:f>
        <x:v>321831820</x:v>
      </x:c>
      <x:c r="B1575" s="1" t="str">
        <x:f>'Данные'!B1575</x:f>
        <x:v>tophumo/белый</x:v>
      </x:c>
      <x:c r="C1575" s="8" t="n">
        <x:f>'Данные'!G1575</x:f>
        <x:v>2480</x:v>
      </x:c>
      <x:c r="D1575" s="15" t="n">
        <x:f>C1575/SUM($C$5:$C$2477)</x:f>
        <x:v>0.0000028971945998568356</x:v>
      </x:c>
      <x:c r="E1575" s="15" t="n">
        <x:f>SUM($D$5:D1575)</x:f>
        <x:v>0.9998752442304417</x:v>
      </x:c>
      <x:c r="F1575" s="1" t="str">
        <x:f>IF(C1575&lt;=0,"C",IF(E1575-D1575&lt;'Дашборд'!$C$49,"A",IF(E1575-D1575&lt;'Дашборд'!$C$50,"B","C")))</x:f>
        <x:v>C</x:v>
      </x:c>
      <x:c r="G1575" s="8" t="n">
        <x:f>'Данные'!F1575</x:f>
        <x:v>47</x:v>
      </x:c>
      <x:c r="H1575" s="8" t="n">
        <x:f>SUM('Данные'!H1575:I1575)</x:f>
        <x:v>307</x:v>
      </x:c>
      <x:c r="I1575" s="16" t="n">
        <x:f>IF(H1575&gt;0,G1575/H1575,"n.a.")</x:f>
        <x:v>0.15309446254071662</x:v>
      </x:c>
      <x:c r="J1575" s="10" t="n">
        <x:f>IF('Данные'!E1575&gt;0,G1575/'Данные'!E1575,"n.a.")</x:f>
        <x:v>0.006456043956043956</x:v>
      </x:c>
      <x:c r="K1575" s="1" t="str">
        <x:f>IF(G1575&gt;='Дашборд'!$C$51,"X","Z")</x:f>
        <x:v>Z</x:v>
      </x:c>
      <x:c r="L1575" s="1" t="str">
        <x:f>IF(H1575=0,IF(G1575&gt;0,"Нет остатка","Нет спроса"),IF(I1575&gt;='Дашборд'!$C$52,"Быстрый","Медленный"))</x:f>
        <x:v>Медленный</x:v>
      </x:c>
      <x:c r="M1575" s="1" t="str">
        <x:f>IF('Данные'!E1575&lt;'Дашборд'!$C$53,"Мало трафика",IF(J1575&lt;'Дашборд'!$C$9*'Дашборд'!$C$54,"Да","Нет"))</x:f>
        <x:v>Да</x:v>
      </x:c>
      <x:c r="N1575" s="1" t="str">
        <x:f>IF(AND('Данные'!D1575&gt;='Дашборд'!$C$55,D1575&lt;'Дашборд'!$C$56,'Данные'!E1575&gt;='Дашборд'!$C$53,'Данные'!L1575&lt;&gt;"Да"),"Да","Нет")</x:f>
        <x:v>Да</x:v>
      </x:c>
      <x:c r="O1575" s="1" t="str">
        <x:f>'Данные'!L1575</x:f>
        <x:v>Нет</x:v>
      </x:c>
    </x:row>
    <x:row r="1576">
      <x:c r="A1576" s="1" t="str">
        <x:f>'Данные'!A1576</x:f>
        <x:v>76641244</x:v>
      </x:c>
      <x:c r="B1576" s="1" t="str">
        <x:f>'Данные'!B1576</x:f>
        <x:v>futbolka/мандарин</x:v>
      </x:c>
      <x:c r="C1576" s="8" t="n">
        <x:f>'Данные'!G1576</x:f>
        <x:v>2475</x:v>
      </x:c>
      <x:c r="D1576" s="15" t="n">
        <x:f>C1576/SUM($C$5:$C$2477)</x:f>
        <x:v>0.000002891353481711963</x:v>
      </x:c>
      <x:c r="E1576" s="15" t="n">
        <x:f>SUM($D$5:D1576)</x:f>
        <x:v>0.9998781355839235</x:v>
      </x:c>
      <x:c r="F1576" s="1" t="str">
        <x:f>IF(C1576&lt;=0,"C",IF(E1576-D1576&lt;'Дашборд'!$C$49,"A",IF(E1576-D1576&lt;'Дашборд'!$C$50,"B","C")))</x:f>
        <x:v>C</x:v>
      </x:c>
      <x:c r="G1576" s="8" t="n">
        <x:f>'Данные'!F1576</x:f>
        <x:v>6</x:v>
      </x:c>
      <x:c r="H1576" s="8" t="n">
        <x:f>SUM('Данные'!H1576:I1576)</x:f>
        <x:v>0</x:v>
      </x:c>
      <x:c r="I1576" s="16" t="str">
        <x:f>IF(H1576&gt;0,G1576/H1576,"n.a.")</x:f>
        <x:v>n.a.</x:v>
      </x:c>
      <x:c r="J1576" s="10" t="n">
        <x:f>IF('Данные'!E1576&gt;0,G1576/'Данные'!E1576,"n.a.")</x:f>
        <x:v>0.07894736842105263</x:v>
      </x:c>
      <x:c r="K1576" s="1" t="str">
        <x:f>IF(G1576&gt;='Дашборд'!$C$51,"X","Z")</x:f>
        <x:v>Z</x:v>
      </x:c>
      <x:c r="L1576" s="1" t="str">
        <x:f>IF(H1576=0,IF(G1576&gt;0,"Нет остатка","Нет спроса"),IF(I1576&gt;='Дашборд'!$C$52,"Быстрый","Медленный"))</x:f>
        <x:v>Нет остатка</x:v>
      </x:c>
      <x:c r="M1576" s="1" t="str">
        <x:f>IF('Данные'!E1576&lt;'Дашборд'!$C$53,"Мало трафика",IF(J1576&lt;'Дашборд'!$C$9*'Дашборд'!$C$54,"Да","Нет"))</x:f>
        <x:v>Мало трафика</x:v>
      </x:c>
      <x:c r="N1576" s="1" t="str">
        <x:f>IF(AND('Данные'!D1576&gt;='Дашборд'!$C$55,D1576&lt;'Дашборд'!$C$56,'Данные'!E1576&gt;='Дашборд'!$C$53,'Данные'!L1576&lt;&gt;"Да"),"Да","Нет")</x:f>
        <x:v>Нет</x:v>
      </x:c>
      <x:c r="O1576" s="1" t="str">
        <x:f>'Данные'!L1576</x:f>
        <x:v>Нет</x:v>
      </x:c>
    </x:row>
    <x:row r="1577">
      <x:c r="A1577" s="1" t="str">
        <x:f>'Данные'!A1577</x:f>
        <x:v>51564033</x:v>
      </x:c>
      <x:c r="B1577" s="1" t="str">
        <x:f>'Данные'!B1577</x:f>
        <x:v>brukiman/бежевый</x:v>
      </x:c>
      <x:c r="C1577" s="8" t="n">
        <x:f>'Данные'!G1577</x:f>
        <x:v>2472</x:v>
      </x:c>
      <x:c r="D1577" s="15" t="n">
        <x:f>C1577/SUM($C$5:$C$2477)</x:f>
        <x:v>0.0000028878488108250397</x:v>
      </x:c>
      <x:c r="E1577" s="15" t="n">
        <x:f>SUM($D$5:D1577)</x:f>
        <x:v>0.9998810234327343</x:v>
      </x:c>
      <x:c r="F1577" s="1" t="str">
        <x:f>IF(C1577&lt;=0,"C",IF(E1577-D1577&lt;'Дашборд'!$C$49,"A",IF(E1577-D1577&lt;'Дашборд'!$C$50,"B","C")))</x:f>
        <x:v>C</x:v>
      </x:c>
      <x:c r="G1577" s="8" t="n">
        <x:f>'Данные'!F1577</x:f>
        <x:v>1</x:v>
      </x:c>
      <x:c r="H1577" s="8" t="n">
        <x:f>SUM('Данные'!H1577:I1577)</x:f>
        <x:v>0</x:v>
      </x:c>
      <x:c r="I1577" s="16" t="str">
        <x:f>IF(H1577&gt;0,G1577/H1577,"n.a.")</x:f>
        <x:v>n.a.</x:v>
      </x:c>
      <x:c r="J1577" s="10" t="n">
        <x:f>IF('Данные'!E1577&gt;0,G1577/'Данные'!E1577,"n.a.")</x:f>
        <x:v>0.0030864197530864196</x:v>
      </x:c>
      <x:c r="K1577" s="1" t="str">
        <x:f>IF(G1577&gt;='Дашборд'!$C$51,"X","Z")</x:f>
        <x:v>Z</x:v>
      </x:c>
      <x:c r="L1577" s="1" t="str">
        <x:f>IF(H1577=0,IF(G1577&gt;0,"Нет остатка","Нет спроса"),IF(I1577&gt;='Дашборд'!$C$52,"Быстрый","Медленный"))</x:f>
        <x:v>Нет остатка</x:v>
      </x:c>
      <x:c r="M1577" s="1" t="str">
        <x:f>IF('Данные'!E1577&lt;'Дашборд'!$C$53,"Мало трафика",IF(J1577&lt;'Дашборд'!$C$9*'Дашборд'!$C$54,"Да","Нет"))</x:f>
        <x:v>Мало трафика</x:v>
      </x:c>
      <x:c r="N1577" s="1" t="str">
        <x:f>IF(AND('Данные'!D1577&gt;='Дашборд'!$C$55,D1577&lt;'Дашборд'!$C$56,'Данные'!E1577&gt;='Дашборд'!$C$53,'Данные'!L1577&lt;&gt;"Да"),"Да","Нет")</x:f>
        <x:v>Нет</x:v>
      </x:c>
      <x:c r="O1577" s="1" t="str">
        <x:f>'Данные'!L1577</x:f>
        <x:v>Нет</x:v>
      </x:c>
    </x:row>
    <x:row r="1578">
      <x:c r="A1578" s="1" t="str">
        <x:f>'Данные'!A1578</x:f>
        <x:v>169512641</x:v>
      </x:c>
      <x:c r="B1578" s="1" t="str">
        <x:f>'Данные'!B1578</x:f>
        <x:v>2xnitkacrop/молочный</x:v>
      </x:c>
      <x:c r="C1578" s="8" t="n">
        <x:f>'Данные'!G1578</x:f>
        <x:v>2434</x:v>
      </x:c>
      <x:c r="D1578" s="15" t="n">
        <x:f>C1578/SUM($C$5:$C$2477)</x:f>
        <x:v>0.0000028434563129240074</x:v>
      </x:c>
      <x:c r="E1578" s="15" t="n">
        <x:f>SUM($D$5:D1578)</x:f>
        <x:v>0.9998838668890473</x:v>
      </x:c>
      <x:c r="F1578" s="1" t="str">
        <x:f>IF(C1578&lt;=0,"C",IF(E1578-D1578&lt;'Дашборд'!$C$49,"A",IF(E1578-D1578&lt;'Дашборд'!$C$50,"B","C")))</x:f>
        <x:v>C</x:v>
      </x:c>
      <x:c r="G1578" s="8" t="n">
        <x:f>'Данные'!F1578</x:f>
        <x:v>27</x:v>
      </x:c>
      <x:c r="H1578" s="8" t="n">
        <x:f>SUM('Данные'!H1578:I1578)</x:f>
        <x:v>29</x:v>
      </x:c>
      <x:c r="I1578" s="16" t="n">
        <x:f>IF(H1578&gt;0,G1578/H1578,"n.a.")</x:f>
        <x:v>0.9310344827586207</x:v>
      </x:c>
      <x:c r="J1578" s="10" t="n">
        <x:f>IF('Данные'!E1578&gt;0,G1578/'Данные'!E1578,"n.a.")</x:f>
        <x:v>0.004551584625758598</x:v>
      </x:c>
      <x:c r="K1578" s="1" t="str">
        <x:f>IF(G1578&gt;='Дашборд'!$C$51,"X","Z")</x:f>
        <x:v>Z</x:v>
      </x:c>
      <x:c r="L1578" s="1" t="str">
        <x:f>IF(H1578=0,IF(G1578&gt;0,"Нет остатка","Нет спроса"),IF(I1578&gt;='Дашборд'!$C$52,"Быстрый","Медленный"))</x:f>
        <x:v>Медленный</x:v>
      </x:c>
      <x:c r="M1578" s="1" t="str">
        <x:f>IF('Данные'!E1578&lt;'Дашборд'!$C$53,"Мало трафика",IF(J1578&lt;'Дашборд'!$C$9*'Дашборд'!$C$54,"Да","Нет"))</x:f>
        <x:v>Да</x:v>
      </x:c>
      <x:c r="N1578" s="1" t="str">
        <x:f>IF(AND('Данные'!D1578&gt;='Дашборд'!$C$55,D1578&lt;'Дашборд'!$C$56,'Данные'!E1578&gt;='Дашборд'!$C$53,'Данные'!L1578&lt;&gt;"Да"),"Да","Нет")</x:f>
        <x:v>Да</x:v>
      </x:c>
      <x:c r="O1578" s="1" t="str">
        <x:f>'Данные'!L1578</x:f>
        <x:v>Нет</x:v>
      </x:c>
    </x:row>
    <x:row r="1579">
      <x:c r="A1579" s="1" t="str">
        <x:f>'Данные'!A1579</x:f>
        <x:v>151132391</x:v>
      </x:c>
      <x:c r="B1579" s="1" t="str">
        <x:f>'Данные'!B1579</x:f>
        <x:v>svitshotover/морскаяволна</x:v>
      </x:c>
      <x:c r="C1579" s="8" t="n">
        <x:f>'Данные'!G1579</x:f>
        <x:v>2430</x:v>
      </x:c>
      <x:c r="D1579" s="15" t="n">
        <x:f>C1579/SUM($C$5:$C$2477)</x:f>
        <x:v>0.0000028387834184081094</x:v>
      </x:c>
      <x:c r="E1579" s="15" t="n">
        <x:f>SUM($D$5:D1579)</x:f>
        <x:v>0.9998867056724657</x:v>
      </x:c>
      <x:c r="F1579" s="1" t="str">
        <x:f>IF(C1579&lt;=0,"C",IF(E1579-D1579&lt;'Дашборд'!$C$49,"A",IF(E1579-D1579&lt;'Дашборд'!$C$50,"B","C")))</x:f>
        <x:v>C</x:v>
      </x:c>
      <x:c r="G1579" s="8" t="n">
        <x:f>'Данные'!F1579</x:f>
        <x:v>2</x:v>
      </x:c>
      <x:c r="H1579" s="8" t="n">
        <x:f>SUM('Данные'!H1579:I1579)</x:f>
        <x:v>54</x:v>
      </x:c>
      <x:c r="I1579" s="16" t="n">
        <x:f>IF(H1579&gt;0,G1579/H1579,"n.a.")</x:f>
        <x:v>0.037037037037037035</x:v>
      </x:c>
      <x:c r="J1579" s="10" t="n">
        <x:f>IF('Данные'!E1579&gt;0,G1579/'Данные'!E1579,"n.a.")</x:f>
        <x:v>0.0031746031746031746</x:v>
      </x:c>
      <x:c r="K1579" s="1" t="str">
        <x:f>IF(G1579&gt;='Дашборд'!$C$51,"X","Z")</x:f>
        <x:v>Z</x:v>
      </x:c>
      <x:c r="L1579" s="1" t="str">
        <x:f>IF(H1579=0,IF(G1579&gt;0,"Нет остатка","Нет спроса"),IF(I1579&gt;='Дашборд'!$C$52,"Быстрый","Медленный"))</x:f>
        <x:v>Медленный</x:v>
      </x:c>
      <x:c r="M1579" s="1" t="str">
        <x:f>IF('Данные'!E1579&lt;'Дашборд'!$C$53,"Мало трафика",IF(J1579&lt;'Дашборд'!$C$9*'Дашборд'!$C$54,"Да","Нет"))</x:f>
        <x:v>Мало трафика</x:v>
      </x:c>
      <x:c r="N1579" s="1" t="str">
        <x:f>IF(AND('Данные'!D1579&gt;='Дашборд'!$C$55,D1579&lt;'Дашборд'!$C$56,'Данные'!E1579&gt;='Дашборд'!$C$53,'Данные'!L1579&lt;&gt;"Да"),"Да","Нет")</x:f>
        <x:v>Нет</x:v>
      </x:c>
      <x:c r="O1579" s="1" t="str">
        <x:f>'Данные'!L1579</x:f>
        <x:v>Нет</x:v>
      </x:c>
    </x:row>
    <x:row r="1580">
      <x:c r="A1580" s="1" t="str">
        <x:f>'Данные'!A1580</x:f>
        <x:v>357022581</x:v>
      </x:c>
      <x:c r="B1580" s="1" t="str">
        <x:f>'Данные'!B1580</x:f>
        <x:v>bazakulgirl/эвкалипт</x:v>
      </x:c>
      <x:c r="C1580" s="8" t="n">
        <x:f>'Данные'!G1580</x:f>
        <x:v>2415</x:v>
      </x:c>
      <x:c r="D1580" s="15" t="n">
        <x:f>C1580/SUM($C$5:$C$2477)</x:f>
        <x:v>0.0000028212600639734912</x:v>
      </x:c>
      <x:c r="E1580" s="15" t="n">
        <x:f>SUM($D$5:D1580)</x:f>
        <x:v>0.9998895269325297</x:v>
      </x:c>
      <x:c r="F1580" s="1" t="str">
        <x:f>IF(C1580&lt;=0,"C",IF(E1580-D1580&lt;'Дашборд'!$C$49,"A",IF(E1580-D1580&lt;'Дашборд'!$C$50,"B","C")))</x:f>
        <x:v>C</x:v>
      </x:c>
      <x:c r="G1580" s="8" t="n">
        <x:f>'Данные'!F1580</x:f>
        <x:v>11</x:v>
      </x:c>
      <x:c r="H1580" s="8" t="n">
        <x:f>SUM('Данные'!H1580:I1580)</x:f>
        <x:v>118</x:v>
      </x:c>
      <x:c r="I1580" s="16" t="n">
        <x:f>IF(H1580&gt;0,G1580/H1580,"n.a.")</x:f>
        <x:v>0.09322033898305085</x:v>
      </x:c>
      <x:c r="J1580" s="10" t="n">
        <x:f>IF('Данные'!E1580&gt;0,G1580/'Данные'!E1580,"n.a.")</x:f>
        <x:v>0.011752136752136752</x:v>
      </x:c>
      <x:c r="K1580" s="1" t="str">
        <x:f>IF(G1580&gt;='Дашборд'!$C$51,"X","Z")</x:f>
        <x:v>Z</x:v>
      </x:c>
      <x:c r="L1580" s="1" t="str">
        <x:f>IF(H1580=0,IF(G1580&gt;0,"Нет остатка","Нет спроса"),IF(I1580&gt;='Дашборд'!$C$52,"Быстрый","Медленный"))</x:f>
        <x:v>Медленный</x:v>
      </x:c>
      <x:c r="M1580" s="1" t="str">
        <x:f>IF('Данные'!E1580&lt;'Дашборд'!$C$53,"Мало трафика",IF(J1580&lt;'Дашборд'!$C$9*'Дашборд'!$C$54,"Да","Нет"))</x:f>
        <x:v>Мало трафика</x:v>
      </x:c>
      <x:c r="N1580" s="1" t="str">
        <x:f>IF(AND('Данные'!D1580&gt;='Дашборд'!$C$55,D1580&lt;'Дашборд'!$C$56,'Данные'!E1580&gt;='Дашборд'!$C$53,'Данные'!L1580&lt;&gt;"Да"),"Да","Нет")</x:f>
        <x:v>Нет</x:v>
      </x:c>
      <x:c r="O1580" s="1" t="str">
        <x:f>'Данные'!L1580</x:f>
        <x:v>Нет</x:v>
      </x:c>
    </x:row>
    <x:row r="1581">
      <x:c r="A1581" s="1" t="str">
        <x:f>'Данные'!A1581</x:f>
        <x:v>145845800</x:v>
      </x:c>
      <x:c r="B1581" s="1" t="str">
        <x:f>'Данные'!B1581</x:f>
        <x:v>svitshotman/салатовый</x:v>
      </x:c>
      <x:c r="C1581" s="8" t="n">
        <x:f>'Данные'!G1581</x:f>
        <x:v>2414</x:v>
      </x:c>
      <x:c r="D1581" s="15" t="n">
        <x:f>C1581/SUM($C$5:$C$2477)</x:f>
        <x:v>0.0000028200918403445166</x:v>
      </x:c>
      <x:c r="E1581" s="15" t="n">
        <x:f>SUM($D$5:D1581)</x:f>
        <x:v>0.9998923470243701</x:v>
      </x:c>
      <x:c r="F1581" s="1" t="str">
        <x:f>IF(C1581&lt;=0,"C",IF(E1581-D1581&lt;'Дашборд'!$C$49,"A",IF(E1581-D1581&lt;'Дашборд'!$C$50,"B","C")))</x:f>
        <x:v>C</x:v>
      </x:c>
      <x:c r="G1581" s="8" t="n">
        <x:f>'Данные'!F1581</x:f>
        <x:v>6</x:v>
      </x:c>
      <x:c r="H1581" s="8" t="n">
        <x:f>SUM('Данные'!H1581:I1581)</x:f>
        <x:v>1</x:v>
      </x:c>
      <x:c r="I1581" s="16" t="n">
        <x:f>IF(H1581&gt;0,G1581/H1581,"n.a.")</x:f>
        <x:v>6</x:v>
      </x:c>
      <x:c r="J1581" s="10" t="n">
        <x:f>IF('Данные'!E1581&gt;0,G1581/'Данные'!E1581,"n.a.")</x:f>
        <x:v>0.017045454545454544</x:v>
      </x:c>
      <x:c r="K1581" s="1" t="str">
        <x:f>IF(G1581&gt;='Дашборд'!$C$51,"X","Z")</x:f>
        <x:v>Z</x:v>
      </x:c>
      <x:c r="L1581" s="1" t="str">
        <x:f>IF(H1581=0,IF(G1581&gt;0,"Нет остатка","Нет спроса"),IF(I1581&gt;='Дашборд'!$C$52,"Быстрый","Медленный"))</x:f>
        <x:v>Быстрый</x:v>
      </x:c>
      <x:c r="M1581" s="1" t="str">
        <x:f>IF('Данные'!E1581&lt;'Дашборд'!$C$53,"Мало трафика",IF(J1581&lt;'Дашборд'!$C$9*'Дашборд'!$C$54,"Да","Нет"))</x:f>
        <x:v>Мало трафика</x:v>
      </x:c>
      <x:c r="N1581" s="1" t="str">
        <x:f>IF(AND('Данные'!D1581&gt;='Дашборд'!$C$55,D1581&lt;'Дашборд'!$C$56,'Данные'!E1581&gt;='Дашборд'!$C$53,'Данные'!L1581&lt;&gt;"Да"),"Да","Нет")</x:f>
        <x:v>Нет</x:v>
      </x:c>
      <x:c r="O1581" s="1" t="str">
        <x:f>'Данные'!L1581</x:f>
        <x:v>Нет</x:v>
      </x:c>
    </x:row>
    <x:row r="1582">
      <x:c r="A1582" s="1" t="str">
        <x:f>'Данные'!A1582</x:f>
        <x:v>153792907</x:v>
      </x:c>
      <x:c r="B1582" s="1" t="str">
        <x:f>'Данные'!B1582</x:f>
        <x:v>hudiman/светло-фиолетовый</x:v>
      </x:c>
      <x:c r="C1582" s="8" t="n">
        <x:f>'Данные'!G1582</x:f>
        <x:v>2370</x:v>
      </x:c>
      <x:c r="D1582" s="15" t="n">
        <x:f>C1582/SUM($C$5:$C$2477)</x:f>
        <x:v>0.0000027686900006696376</x:v>
      </x:c>
      <x:c r="E1582" s="15" t="n">
        <x:f>SUM($D$5:D1582)</x:f>
        <x:v>0.9998951157143708</x:v>
      </x:c>
      <x:c r="F1582" s="1" t="str">
        <x:f>IF(C1582&lt;=0,"C",IF(E1582-D1582&lt;'Дашборд'!$C$49,"A",IF(E1582-D1582&lt;'Дашборд'!$C$50,"B","C")))</x:f>
        <x:v>C</x:v>
      </x:c>
      <x:c r="G1582" s="8" t="n">
        <x:f>'Данные'!F1582</x:f>
        <x:v>2</x:v>
      </x:c>
      <x:c r="H1582" s="8" t="n">
        <x:f>SUM('Данные'!H1582:I1582)</x:f>
        <x:v>0</x:v>
      </x:c>
      <x:c r="I1582" s="16" t="str">
        <x:f>IF(H1582&gt;0,G1582/H1582,"n.a.")</x:f>
        <x:v>n.a.</x:v>
      </x:c>
      <x:c r="J1582" s="10" t="n">
        <x:f>IF('Данные'!E1582&gt;0,G1582/'Данные'!E1582,"n.a.")</x:f>
        <x:v>0.0014641288433382138</x:v>
      </x:c>
      <x:c r="K1582" s="1" t="str">
        <x:f>IF(G1582&gt;='Дашборд'!$C$51,"X","Z")</x:f>
        <x:v>Z</x:v>
      </x:c>
      <x:c r="L1582" s="1" t="str">
        <x:f>IF(H1582=0,IF(G1582&gt;0,"Нет остатка","Нет спроса"),IF(I1582&gt;='Дашборд'!$C$52,"Быстрый","Медленный"))</x:f>
        <x:v>Нет остатка</x:v>
      </x:c>
      <x:c r="M1582" s="1" t="str">
        <x:f>IF('Данные'!E1582&lt;'Дашборд'!$C$53,"Мало трафика",IF(J1582&lt;'Дашборд'!$C$9*'Дашборд'!$C$54,"Да","Нет"))</x:f>
        <x:v>Да</x:v>
      </x:c>
      <x:c r="N1582" s="1" t="str">
        <x:f>IF(AND('Данные'!D1582&gt;='Дашборд'!$C$55,D1582&lt;'Дашборд'!$C$56,'Данные'!E1582&gt;='Дашборд'!$C$53,'Данные'!L1582&lt;&gt;"Да"),"Да","Нет")</x:f>
        <x:v>Да</x:v>
      </x:c>
      <x:c r="O1582" s="1" t="str">
        <x:f>'Данные'!L1582</x:f>
        <x:v>Нет</x:v>
      </x:c>
    </x:row>
    <x:row r="1583">
      <x:c r="A1583" s="1" t="str">
        <x:f>'Данные'!A1583</x:f>
        <x:v>216143246</x:v>
      </x:c>
      <x:c r="B1583" s="1" t="str">
        <x:f>'Данные'!B1583</x:f>
        <x:v>hudivish/MovesRock-96/черный</x:v>
      </x:c>
      <x:c r="C1583" s="8" t="n">
        <x:f>'Данные'!G1583</x:f>
        <x:v>2346</x:v>
      </x:c>
      <x:c r="D1583" s="15" t="n">
        <x:f>C1583/SUM($C$5:$C$2477)</x:f>
        <x:v>0.000002740652633574249</x:v>
      </x:c>
      <x:c r="E1583" s="15" t="n">
        <x:f>SUM($D$5:D1583)</x:f>
        <x:v>0.9998978563670045</x:v>
      </x:c>
      <x:c r="F1583" s="1" t="str">
        <x:f>IF(C1583&lt;=0,"C",IF(E1583-D1583&lt;'Дашборд'!$C$49,"A",IF(E1583-D1583&lt;'Дашборд'!$C$50,"B","C")))</x:f>
        <x:v>C</x:v>
      </x:c>
      <x:c r="G1583" s="8" t="n">
        <x:f>'Данные'!F1583</x:f>
        <x:v>2</x:v>
      </x:c>
      <x:c r="H1583" s="8" t="n">
        <x:f>SUM('Данные'!H1583:I1583)</x:f>
        <x:v>3</x:v>
      </x:c>
      <x:c r="I1583" s="16" t="n">
        <x:f>IF(H1583&gt;0,G1583/H1583,"n.a.")</x:f>
        <x:v>0.6666666666666666</x:v>
      </x:c>
      <x:c r="J1583" s="10" t="n">
        <x:f>IF('Данные'!E1583&gt;0,G1583/'Данные'!E1583,"n.a.")</x:f>
        <x:v>0.0005232862375719519</x:v>
      </x:c>
      <x:c r="K1583" s="1" t="str">
        <x:f>IF(G1583&gt;='Дашборд'!$C$51,"X","Z")</x:f>
        <x:v>Z</x:v>
      </x:c>
      <x:c r="L1583" s="1" t="str">
        <x:f>IF(H1583=0,IF(G1583&gt;0,"Нет остатка","Нет спроса"),IF(I1583&gt;='Дашборд'!$C$52,"Быстрый","Медленный"))</x:f>
        <x:v>Медленный</x:v>
      </x:c>
      <x:c r="M1583" s="1" t="str">
        <x:f>IF('Данные'!E1583&lt;'Дашборд'!$C$53,"Мало трафика",IF(J1583&lt;'Дашборд'!$C$9*'Дашборд'!$C$54,"Да","Нет"))</x:f>
        <x:v>Да</x:v>
      </x:c>
      <x:c r="N1583" s="1" t="str">
        <x:f>IF(AND('Данные'!D1583&gt;='Дашборд'!$C$55,D1583&lt;'Дашборд'!$C$56,'Данные'!E1583&gt;='Дашборд'!$C$53,'Данные'!L1583&lt;&gt;"Да"),"Да","Нет")</x:f>
        <x:v>Нет</x:v>
      </x:c>
      <x:c r="O1583" s="1" t="str">
        <x:f>'Данные'!L1583</x:f>
        <x:v>Нет</x:v>
      </x:c>
    </x:row>
    <x:row r="1584">
      <x:c r="A1584" s="1" t="str">
        <x:f>'Данные'!A1584</x:f>
        <x:v>43805535</x:v>
      </x:c>
      <x:c r="B1584" s="1" t="str">
        <x:f>'Данные'!B1584</x:f>
        <x:v>hudiman/серый-меланж</x:v>
      </x:c>
      <x:c r="C1584" s="8" t="n">
        <x:f>'Данные'!G1584</x:f>
        <x:v>2290</x:v>
      </x:c>
      <x:c r="D1584" s="15" t="n">
        <x:f>C1584/SUM($C$5:$C$2477)</x:f>
        <x:v>0.000002675232110351675</x:v>
      </x:c>
      <x:c r="E1584" s="15" t="n">
        <x:f>SUM($D$5:D1584)</x:f>
        <x:v>0.9999005315991149</x:v>
      </x:c>
      <x:c r="F1584" s="1" t="str">
        <x:f>IF(C1584&lt;=0,"C",IF(E1584-D1584&lt;'Дашборд'!$C$49,"A",IF(E1584-D1584&lt;'Дашборд'!$C$50,"B","C")))</x:f>
        <x:v>C</x:v>
      </x:c>
      <x:c r="G1584" s="8" t="n">
        <x:f>'Данные'!F1584</x:f>
        <x:v>5</x:v>
      </x:c>
      <x:c r="H1584" s="8" t="n">
        <x:f>SUM('Данные'!H1584:I1584)</x:f>
        <x:v>0</x:v>
      </x:c>
      <x:c r="I1584" s="16" t="str">
        <x:f>IF(H1584&gt;0,G1584/H1584,"n.a.")</x:f>
        <x:v>n.a.</x:v>
      </x:c>
      <x:c r="J1584" s="10" t="n">
        <x:f>IF('Данные'!E1584&gt;0,G1584/'Данные'!E1584,"n.a.")</x:f>
        <x:v>0.0046210720887245845</x:v>
      </x:c>
      <x:c r="K1584" s="1" t="str">
        <x:f>IF(G1584&gt;='Дашборд'!$C$51,"X","Z")</x:f>
        <x:v>Z</x:v>
      </x:c>
      <x:c r="L1584" s="1" t="str">
        <x:f>IF(H1584=0,IF(G1584&gt;0,"Нет остатка","Нет спроса"),IF(I1584&gt;='Дашборд'!$C$52,"Быстрый","Медленный"))</x:f>
        <x:v>Нет остатка</x:v>
      </x:c>
      <x:c r="M1584" s="1" t="str">
        <x:f>IF('Данные'!E1584&lt;'Дашборд'!$C$53,"Мало трафика",IF(J1584&lt;'Дашборд'!$C$9*'Дашборд'!$C$54,"Да","Нет"))</x:f>
        <x:v>Да</x:v>
      </x:c>
      <x:c r="N1584" s="1" t="str">
        <x:f>IF(AND('Данные'!D1584&gt;='Дашборд'!$C$55,D1584&lt;'Дашборд'!$C$56,'Данные'!E1584&gt;='Дашборд'!$C$53,'Данные'!L1584&lt;&gt;"Да"),"Да","Нет")</x:f>
        <x:v>Да</x:v>
      </x:c>
      <x:c r="O1584" s="1" t="str">
        <x:f>'Данные'!L1584</x:f>
        <x:v>Нет</x:v>
      </x:c>
    </x:row>
    <x:row r="1585">
      <x:c r="A1585" s="1" t="str">
        <x:f>'Данные'!A1585</x:f>
        <x:v>116725959</x:v>
      </x:c>
      <x:c r="B1585" s="1" t="str">
        <x:f>'Данные'!B1585</x:f>
        <x:v>longsliv/мандариновый</x:v>
      </x:c>
      <x:c r="C1585" s="8" t="n">
        <x:f>'Данные'!G1585</x:f>
        <x:v>2285</x:v>
      </x:c>
      <x:c r="D1585" s="15" t="n">
        <x:f>C1585/SUM($C$5:$C$2477)</x:f>
        <x:v>0.0000026693909922068024</x:v>
      </x:c>
      <x:c r="E1585" s="15" t="n">
        <x:f>SUM($D$5:D1585)</x:f>
        <x:v>0.9999032009901071</x:v>
      </x:c>
      <x:c r="F1585" s="1" t="str">
        <x:f>IF(C1585&lt;=0,"C",IF(E1585-D1585&lt;'Дашборд'!$C$49,"A",IF(E1585-D1585&lt;'Дашборд'!$C$50,"B","C")))</x:f>
        <x:v>C</x:v>
      </x:c>
      <x:c r="G1585" s="8" t="n">
        <x:f>'Данные'!F1585</x:f>
        <x:v>18</x:v>
      </x:c>
      <x:c r="H1585" s="8" t="n">
        <x:f>SUM('Данные'!H1585:I1585)</x:f>
        <x:v>32</x:v>
      </x:c>
      <x:c r="I1585" s="16" t="n">
        <x:f>IF(H1585&gt;0,G1585/H1585,"n.a.")</x:f>
        <x:v>0.5625</x:v>
      </x:c>
      <x:c r="J1585" s="10" t="n">
        <x:f>IF('Данные'!E1585&gt;0,G1585/'Данные'!E1585,"n.a.")</x:f>
        <x:v>0.0025725310847506074</x:v>
      </x:c>
      <x:c r="K1585" s="1" t="str">
        <x:f>IF(G1585&gt;='Дашборд'!$C$51,"X","Z")</x:f>
        <x:v>Z</x:v>
      </x:c>
      <x:c r="L1585" s="1" t="str">
        <x:f>IF(H1585=0,IF(G1585&gt;0,"Нет остатка","Нет спроса"),IF(I1585&gt;='Дашборд'!$C$52,"Быстрый","Медленный"))</x:f>
        <x:v>Медленный</x:v>
      </x:c>
      <x:c r="M1585" s="1" t="str">
        <x:f>IF('Данные'!E1585&lt;'Дашборд'!$C$53,"Мало трафика",IF(J1585&lt;'Дашборд'!$C$9*'Дашборд'!$C$54,"Да","Нет"))</x:f>
        <x:v>Да</x:v>
      </x:c>
      <x:c r="N1585" s="1" t="str">
        <x:f>IF(AND('Данные'!D1585&gt;='Дашборд'!$C$55,D1585&lt;'Дашборд'!$C$56,'Данные'!E1585&gt;='Дашборд'!$C$53,'Данные'!L1585&lt;&gt;"Да"),"Да","Нет")</x:f>
        <x:v>Да</x:v>
      </x:c>
      <x:c r="O1585" s="1" t="str">
        <x:f>'Данные'!L1585</x:f>
        <x:v>Нет</x:v>
      </x:c>
    </x:row>
    <x:row r="1586">
      <x:c r="A1586" s="1" t="str">
        <x:f>'Данные'!A1586</x:f>
        <x:v>165911121</x:v>
      </x:c>
      <x:c r="B1586" s="1" t="str">
        <x:f>'Данные'!B1586</x:f>
        <x:v>longman/эвкалипт</x:v>
      </x:c>
      <x:c r="C1586" s="8" t="n">
        <x:f>'Данные'!G1586</x:f>
        <x:v>2272</x:v>
      </x:c>
      <x:c r="D1586" s="15" t="n">
        <x:f>C1586/SUM($C$5:$C$2477)</x:f>
        <x:v>0.0000026542040850301334</x:v>
      </x:c>
      <x:c r="E1586" s="15" t="n">
        <x:f>SUM($D$5:D1586)</x:f>
        <x:v>0.9999058551941922</x:v>
      </x:c>
      <x:c r="F1586" s="1" t="str">
        <x:f>IF(C1586&lt;=0,"C",IF(E1586-D1586&lt;'Дашборд'!$C$49,"A",IF(E1586-D1586&lt;'Дашборд'!$C$50,"B","C")))</x:f>
        <x:v>C</x:v>
      </x:c>
      <x:c r="G1586" s="8" t="n">
        <x:f>'Данные'!F1586</x:f>
        <x:v>4</x:v>
      </x:c>
      <x:c r="H1586" s="8" t="n">
        <x:f>SUM('Данные'!H1586:I1586)</x:f>
        <x:v>0</x:v>
      </x:c>
      <x:c r="I1586" s="16" t="str">
        <x:f>IF(H1586&gt;0,G1586/H1586,"n.a.")</x:f>
        <x:v>n.a.</x:v>
      </x:c>
      <x:c r="J1586" s="10" t="n">
        <x:f>IF('Данные'!E1586&gt;0,G1586/'Данные'!E1586,"n.a.")</x:f>
        <x:v>0.007633587786259542</x:v>
      </x:c>
      <x:c r="K1586" s="1" t="str">
        <x:f>IF(G1586&gt;='Дашборд'!$C$51,"X","Z")</x:f>
        <x:v>Z</x:v>
      </x:c>
      <x:c r="L1586" s="1" t="str">
        <x:f>IF(H1586=0,IF(G1586&gt;0,"Нет остатка","Нет спроса"),IF(I1586&gt;='Дашборд'!$C$52,"Быстрый","Медленный"))</x:f>
        <x:v>Нет остатка</x:v>
      </x:c>
      <x:c r="M1586" s="1" t="str">
        <x:f>IF('Данные'!E1586&lt;'Дашборд'!$C$53,"Мало трафика",IF(J1586&lt;'Дашборд'!$C$9*'Дашборд'!$C$54,"Да","Нет"))</x:f>
        <x:v>Мало трафика</x:v>
      </x:c>
      <x:c r="N1586" s="1" t="str">
        <x:f>IF(AND('Данные'!D1586&gt;='Дашборд'!$C$55,D1586&lt;'Дашборд'!$C$56,'Данные'!E1586&gt;='Дашборд'!$C$53,'Данные'!L1586&lt;&gt;"Да"),"Да","Нет")</x:f>
        <x:v>Нет</x:v>
      </x:c>
      <x:c r="O1586" s="1" t="str">
        <x:f>'Данные'!L1586</x:f>
        <x:v>Нет</x:v>
      </x:c>
    </x:row>
    <x:row r="1587">
      <x:c r="A1587" s="1" t="str">
        <x:f>'Данные'!A1587</x:f>
        <x:v>202954958</x:v>
      </x:c>
      <x:c r="B1587" s="1" t="str">
        <x:f>'Данные'!B1587</x:f>
        <x:v>svitshotprint/MoreSelf-44/черный</x:v>
      </x:c>
      <x:c r="C1587" s="8" t="n">
        <x:f>'Данные'!G1587</x:f>
        <x:v>2245</x:v>
      </x:c>
      <x:c r="D1587" s="15" t="n">
        <x:f>C1587/SUM($C$5:$C$2477)</x:f>
        <x:v>0.0000026226620470478213</x:v>
      </x:c>
      <x:c r="E1587" s="15" t="n">
        <x:f>SUM($D$5:D1587)</x:f>
        <x:v>0.9999084778562393</x:v>
      </x:c>
      <x:c r="F1587" s="1" t="str">
        <x:f>IF(C1587&lt;=0,"C",IF(E1587-D1587&lt;'Дашборд'!$C$49,"A",IF(E1587-D1587&lt;'Дашборд'!$C$50,"B","C")))</x:f>
        <x:v>C</x:v>
      </x:c>
      <x:c r="G1587" s="8" t="n">
        <x:f>'Данные'!F1587</x:f>
        <x:v>1</x:v>
      </x:c>
      <x:c r="H1587" s="8" t="n">
        <x:f>SUM('Данные'!H1587:I1587)</x:f>
        <x:v>0</x:v>
      </x:c>
      <x:c r="I1587" s="16" t="str">
        <x:f>IF(H1587&gt;0,G1587/H1587,"n.a.")</x:f>
        <x:v>n.a.</x:v>
      </x:c>
      <x:c r="J1587" s="10" t="n">
        <x:f>IF('Данные'!E1587&gt;0,G1587/'Данные'!E1587,"n.a.")</x:f>
        <x:v>0.009345794392523364</x:v>
      </x:c>
      <x:c r="K1587" s="1" t="str">
        <x:f>IF(G1587&gt;='Дашборд'!$C$51,"X","Z")</x:f>
        <x:v>Z</x:v>
      </x:c>
      <x:c r="L1587" s="1" t="str">
        <x:f>IF(H1587=0,IF(G1587&gt;0,"Нет остатка","Нет спроса"),IF(I1587&gt;='Дашборд'!$C$52,"Быстрый","Медленный"))</x:f>
        <x:v>Нет остатка</x:v>
      </x:c>
      <x:c r="M1587" s="1" t="str">
        <x:f>IF('Данные'!E1587&lt;'Дашборд'!$C$53,"Мало трафика",IF(J1587&lt;'Дашборд'!$C$9*'Дашборд'!$C$54,"Да","Нет"))</x:f>
        <x:v>Мало трафика</x:v>
      </x:c>
      <x:c r="N1587" s="1" t="str">
        <x:f>IF(AND('Данные'!D1587&gt;='Дашборд'!$C$55,D1587&lt;'Дашборд'!$C$56,'Данные'!E1587&gt;='Дашборд'!$C$53,'Данные'!L1587&lt;&gt;"Да"),"Да","Нет")</x:f>
        <x:v>Нет</x:v>
      </x:c>
      <x:c r="O1587" s="1" t="str">
        <x:f>'Данные'!L1587</x:f>
        <x:v>Нет</x:v>
      </x:c>
    </x:row>
    <x:row r="1588">
      <x:c r="A1588" s="1" t="str">
        <x:f>'Данные'!A1588</x:f>
        <x:v>215440302</x:v>
      </x:c>
      <x:c r="B1588" s="1" t="str">
        <x:f>'Данные'!B1588</x:f>
        <x:v>2xnitkamanshort/молочный</x:v>
      </x:c>
      <x:c r="C1588" s="8" t="n">
        <x:f>'Данные'!G1588</x:f>
        <x:v>2230</x:v>
      </x:c>
      <x:c r="D1588" s="15" t="n">
        <x:f>C1588/SUM($C$5:$C$2477)</x:f>
        <x:v>0.000002605138692613203</x:v>
      </x:c>
      <x:c r="E1588" s="15" t="n">
        <x:f>SUM($D$5:D1588)</x:f>
        <x:v>0.9999110829949319</x:v>
      </x:c>
      <x:c r="F1588" s="1" t="str">
        <x:f>IF(C1588&lt;=0,"C",IF(E1588-D1588&lt;'Дашборд'!$C$49,"A",IF(E1588-D1588&lt;'Дашборд'!$C$50,"B","C")))</x:f>
        <x:v>C</x:v>
      </x:c>
      <x:c r="G1588" s="8" t="n">
        <x:f>'Данные'!F1588</x:f>
        <x:v>1</x:v>
      </x:c>
      <x:c r="H1588" s="8" t="n">
        <x:f>SUM('Данные'!H1588:I1588)</x:f>
        <x:v>0</x:v>
      </x:c>
      <x:c r="I1588" s="16" t="str">
        <x:f>IF(H1588&gt;0,G1588/H1588,"n.a.")</x:f>
        <x:v>n.a.</x:v>
      </x:c>
      <x:c r="J1588" s="10" t="n">
        <x:f>IF('Данные'!E1588&gt;0,G1588/'Данные'!E1588,"n.a.")</x:f>
        <x:v>0.0018450184501845018</x:v>
      </x:c>
      <x:c r="K1588" s="1" t="str">
        <x:f>IF(G1588&gt;='Дашборд'!$C$51,"X","Z")</x:f>
        <x:v>Z</x:v>
      </x:c>
      <x:c r="L1588" s="1" t="str">
        <x:f>IF(H1588=0,IF(G1588&gt;0,"Нет остатка","Нет спроса"),IF(I1588&gt;='Дашборд'!$C$52,"Быстрый","Медленный"))</x:f>
        <x:v>Нет остатка</x:v>
      </x:c>
      <x:c r="M1588" s="1" t="str">
        <x:f>IF('Данные'!E1588&lt;'Дашборд'!$C$53,"Мало трафика",IF(J1588&lt;'Дашборд'!$C$9*'Дашборд'!$C$54,"Да","Нет"))</x:f>
        <x:v>Мало трафика</x:v>
      </x:c>
      <x:c r="N1588" s="1" t="str">
        <x:f>IF(AND('Данные'!D1588&gt;='Дашборд'!$C$55,D1588&lt;'Дашборд'!$C$56,'Данные'!E1588&gt;='Дашборд'!$C$53,'Данные'!L1588&lt;&gt;"Да"),"Да","Нет")</x:f>
        <x:v>Нет</x:v>
      </x:c>
      <x:c r="O1588" s="1" t="str">
        <x:f>'Данные'!L1588</x:f>
        <x:v>Нет</x:v>
      </x:c>
    </x:row>
    <x:row r="1589">
      <x:c r="A1589" s="1" t="str">
        <x:f>'Данные'!A1589</x:f>
        <x:v>215460230</x:v>
      </x:c>
      <x:c r="B1589" s="1" t="str">
        <x:f>'Данные'!B1589</x:f>
        <x:v>2xnitkamanshort/кофейный</x:v>
      </x:c>
      <x:c r="C1589" s="8" t="n">
        <x:f>'Данные'!G1589</x:f>
        <x:v>2190</x:v>
      </x:c>
      <x:c r="D1589" s="15" t="n">
        <x:f>C1589/SUM($C$5:$C$2477)</x:f>
        <x:v>0.000002558409747454222</x:v>
      </x:c>
      <x:c r="E1589" s="15" t="n">
        <x:f>SUM($D$5:D1589)</x:f>
        <x:v>0.9999136414046794</x:v>
      </x:c>
      <x:c r="F1589" s="1" t="str">
        <x:f>IF(C1589&lt;=0,"C",IF(E1589-D1589&lt;'Дашборд'!$C$49,"A",IF(E1589-D1589&lt;'Дашборд'!$C$50,"B","C")))</x:f>
        <x:v>C</x:v>
      </x:c>
      <x:c r="G1589" s="8" t="n">
        <x:f>'Данные'!F1589</x:f>
        <x:v>1</x:v>
      </x:c>
      <x:c r="H1589" s="8" t="n">
        <x:f>SUM('Данные'!H1589:I1589)</x:f>
        <x:v>0</x:v>
      </x:c>
      <x:c r="I1589" s="16" t="str">
        <x:f>IF(H1589&gt;0,G1589/H1589,"n.a.")</x:f>
        <x:v>n.a.</x:v>
      </x:c>
      <x:c r="J1589" s="10" t="n">
        <x:f>IF('Данные'!E1589&gt;0,G1589/'Данные'!E1589,"n.a.")</x:f>
        <x:v>0.001697792869269949</x:v>
      </x:c>
      <x:c r="K1589" s="1" t="str">
        <x:f>IF(G1589&gt;='Дашборд'!$C$51,"X","Z")</x:f>
        <x:v>Z</x:v>
      </x:c>
      <x:c r="L1589" s="1" t="str">
        <x:f>IF(H1589=0,IF(G1589&gt;0,"Нет остатка","Нет спроса"),IF(I1589&gt;='Дашборд'!$C$52,"Быстрый","Медленный"))</x:f>
        <x:v>Нет остатка</x:v>
      </x:c>
      <x:c r="M1589" s="1" t="str">
        <x:f>IF('Данные'!E1589&lt;'Дашборд'!$C$53,"Мало трафика",IF(J1589&lt;'Дашборд'!$C$9*'Дашборд'!$C$54,"Да","Нет"))</x:f>
        <x:v>Мало трафика</x:v>
      </x:c>
      <x:c r="N1589" s="1" t="str">
        <x:f>IF(AND('Данные'!D1589&gt;='Дашборд'!$C$55,D1589&lt;'Дашборд'!$C$56,'Данные'!E1589&gt;='Дашборд'!$C$53,'Данные'!L1589&lt;&gt;"Да"),"Да","Нет")</x:f>
        <x:v>Нет</x:v>
      </x:c>
      <x:c r="O1589" s="1" t="str">
        <x:f>'Данные'!L1589</x:f>
        <x:v>Нет</x:v>
      </x:c>
    </x:row>
    <x:row r="1590">
      <x:c r="A1590" s="1" t="str">
        <x:f>'Данные'!A1590</x:f>
        <x:v>183660149</x:v>
      </x:c>
      <x:c r="B1590" s="1" t="str">
        <x:f>'Данные'!B1590</x:f>
        <x:v>1sizeprint/EPIC-22/черный</x:v>
      </x:c>
      <x:c r="C1590" s="8" t="n">
        <x:f>'Данные'!G1590</x:f>
        <x:v>2186</x:v>
      </x:c>
      <x:c r="D1590" s="15" t="n">
        <x:f>C1590/SUM($C$5:$C$2477)</x:f>
        <x:v>0.0000025537368529383237</x:v>
      </x:c>
      <x:c r="E1590" s="15" t="n">
        <x:f>SUM($D$5:D1590)</x:f>
        <x:v>0.9999161951415324</x:v>
      </x:c>
      <x:c r="F1590" s="1" t="str">
        <x:f>IF(C1590&lt;=0,"C",IF(E1590-D1590&lt;'Дашборд'!$C$49,"A",IF(E1590-D1590&lt;'Дашборд'!$C$50,"B","C")))</x:f>
        <x:v>C</x:v>
      </x:c>
      <x:c r="G1590" s="8" t="n">
        <x:f>'Данные'!F1590</x:f>
        <x:v>4</x:v>
      </x:c>
      <x:c r="H1590" s="8" t="n">
        <x:f>SUM('Данные'!H1590:I1590)</x:f>
        <x:v>8</x:v>
      </x:c>
      <x:c r="I1590" s="16" t="n">
        <x:f>IF(H1590&gt;0,G1590/H1590,"n.a.")</x:f>
        <x:v>0.5</x:v>
      </x:c>
      <x:c r="J1590" s="10" t="n">
        <x:f>IF('Данные'!E1590&gt;0,G1590/'Данные'!E1590,"n.a.")</x:f>
        <x:v>0.00535475234270415</x:v>
      </x:c>
      <x:c r="K1590" s="1" t="str">
        <x:f>IF(G1590&gt;='Дашборд'!$C$51,"X","Z")</x:f>
        <x:v>Z</x:v>
      </x:c>
      <x:c r="L1590" s="1" t="str">
        <x:f>IF(H1590=0,IF(G1590&gt;0,"Нет остатка","Нет спроса"),IF(I1590&gt;='Дашборд'!$C$52,"Быстрый","Медленный"))</x:f>
        <x:v>Медленный</x:v>
      </x:c>
      <x:c r="M1590" s="1" t="str">
        <x:f>IF('Данные'!E1590&lt;'Дашборд'!$C$53,"Мало трафика",IF(J1590&lt;'Дашборд'!$C$9*'Дашборд'!$C$54,"Да","Нет"))</x:f>
        <x:v>Мало трафика</x:v>
      </x:c>
      <x:c r="N1590" s="1" t="str">
        <x:f>IF(AND('Данные'!D1590&gt;='Дашборд'!$C$55,D1590&lt;'Дашборд'!$C$56,'Данные'!E1590&gt;='Дашборд'!$C$53,'Данные'!L1590&lt;&gt;"Да"),"Да","Нет")</x:f>
        <x:v>Нет</x:v>
      </x:c>
      <x:c r="O1590" s="1" t="str">
        <x:f>'Данные'!L1590</x:f>
        <x:v>Нет</x:v>
      </x:c>
    </x:row>
    <x:row r="1591">
      <x:c r="A1591" s="1" t="str">
        <x:f>'Данные'!A1591</x:f>
        <x:v>256323235</x:v>
      </x:c>
      <x:c r="B1591" s="1" t="str">
        <x:f>'Данные'!B1591</x:f>
        <x:v>futhlopmanover/какао</x:v>
      </x:c>
      <x:c r="C1591" s="8" t="n">
        <x:f>'Данные'!G1591</x:f>
        <x:v>2164</x:v>
      </x:c>
      <x:c r="D1591" s="15" t="n">
        <x:f>C1591/SUM($C$5:$C$2477)</x:f>
        <x:v>0.000002528035933100884</x:v>
      </x:c>
      <x:c r="E1591" s="15" t="n">
        <x:f>SUM($D$5:D1591)</x:f>
        <x:v>0.9999187231774656</x:v>
      </x:c>
      <x:c r="F1591" s="1" t="str">
        <x:f>IF(C1591&lt;=0,"C",IF(E1591-D1591&lt;'Дашборд'!$C$49,"A",IF(E1591-D1591&lt;'Дашборд'!$C$50,"B","C")))</x:f>
        <x:v>C</x:v>
      </x:c>
      <x:c r="G1591" s="8" t="n">
        <x:f>'Данные'!F1591</x:f>
        <x:v>11</x:v>
      </x:c>
      <x:c r="H1591" s="8" t="n">
        <x:f>SUM('Данные'!H1591:I1591)</x:f>
        <x:v>0</x:v>
      </x:c>
      <x:c r="I1591" s="16" t="str">
        <x:f>IF(H1591&gt;0,G1591/H1591,"n.a.")</x:f>
        <x:v>n.a.</x:v>
      </x:c>
      <x:c r="J1591" s="10" t="n">
        <x:f>IF('Данные'!E1591&gt;0,G1591/'Данные'!E1591,"n.a.")</x:f>
        <x:v>0.005844845908607864</x:v>
      </x:c>
      <x:c r="K1591" s="1" t="str">
        <x:f>IF(G1591&gt;='Дашборд'!$C$51,"X","Z")</x:f>
        <x:v>Z</x:v>
      </x:c>
      <x:c r="L1591" s="1" t="str">
        <x:f>IF(H1591=0,IF(G1591&gt;0,"Нет остатка","Нет спроса"),IF(I1591&gt;='Дашборд'!$C$52,"Быстрый","Медленный"))</x:f>
        <x:v>Нет остатка</x:v>
      </x:c>
      <x:c r="M1591" s="1" t="str">
        <x:f>IF('Данные'!E1591&lt;'Дашборд'!$C$53,"Мало трафика",IF(J1591&lt;'Дашборд'!$C$9*'Дашборд'!$C$54,"Да","Нет"))</x:f>
        <x:v>Да</x:v>
      </x:c>
      <x:c r="N1591" s="1" t="str">
        <x:f>IF(AND('Данные'!D1591&gt;='Дашборд'!$C$55,D1591&lt;'Дашборд'!$C$56,'Данные'!E1591&gt;='Дашборд'!$C$53,'Данные'!L1591&lt;&gt;"Да"),"Да","Нет")</x:f>
        <x:v>Нет</x:v>
      </x:c>
      <x:c r="O1591" s="1" t="str">
        <x:f>'Данные'!L1591</x:f>
        <x:v>Нет</x:v>
      </x:c>
    </x:row>
    <x:row r="1592">
      <x:c r="A1592" s="1" t="str">
        <x:f>'Данные'!A1592</x:f>
        <x:v>166248305</x:v>
      </x:c>
      <x:c r="B1592" s="1" t="str">
        <x:f>'Данные'!B1592</x:f>
        <x:v>svitshotman/синий</x:v>
      </x:c>
      <x:c r="C1592" s="8" t="n">
        <x:f>'Данные'!G1592</x:f>
        <x:v>2143</x:v>
      </x:c>
      <x:c r="D1592" s="15" t="n">
        <x:f>C1592/SUM($C$5:$C$2477)</x:f>
        <x:v>0.0000025035032368924192</x:v>
      </x:c>
      <x:c r="E1592" s="15" t="n">
        <x:f>SUM($D$5:D1592)</x:f>
        <x:v>0.9999212266807025</x:v>
      </x:c>
      <x:c r="F1592" s="1" t="str">
        <x:f>IF(C1592&lt;=0,"C",IF(E1592-D1592&lt;'Дашборд'!$C$49,"A",IF(E1592-D1592&lt;'Дашборд'!$C$50,"B","C")))</x:f>
        <x:v>C</x:v>
      </x:c>
      <x:c r="G1592" s="8" t="n">
        <x:f>'Данные'!F1592</x:f>
        <x:v>2</x:v>
      </x:c>
      <x:c r="H1592" s="8" t="n">
        <x:f>SUM('Данные'!H1592:I1592)</x:f>
        <x:v>0</x:v>
      </x:c>
      <x:c r="I1592" s="16" t="str">
        <x:f>IF(H1592&gt;0,G1592/H1592,"n.a.")</x:f>
        <x:v>n.a.</x:v>
      </x:c>
      <x:c r="J1592" s="10" t="n">
        <x:f>IF('Данные'!E1592&gt;0,G1592/'Данные'!E1592,"n.a.")</x:f>
        <x:v>0.016</x:v>
      </x:c>
      <x:c r="K1592" s="1" t="str">
        <x:f>IF(G1592&gt;='Дашборд'!$C$51,"X","Z")</x:f>
        <x:v>Z</x:v>
      </x:c>
      <x:c r="L1592" s="1" t="str">
        <x:f>IF(H1592=0,IF(G1592&gt;0,"Нет остатка","Нет спроса"),IF(I1592&gt;='Дашборд'!$C$52,"Быстрый","Медленный"))</x:f>
        <x:v>Нет остатка</x:v>
      </x:c>
      <x:c r="M1592" s="1" t="str">
        <x:f>IF('Данные'!E1592&lt;'Дашборд'!$C$53,"Мало трафика",IF(J1592&lt;'Дашборд'!$C$9*'Дашборд'!$C$54,"Да","Нет"))</x:f>
        <x:v>Мало трафика</x:v>
      </x:c>
      <x:c r="N1592" s="1" t="str">
        <x:f>IF(AND('Данные'!D1592&gt;='Дашборд'!$C$55,D1592&lt;'Дашборд'!$C$56,'Данные'!E1592&gt;='Дашборд'!$C$53,'Данные'!L1592&lt;&gt;"Да"),"Да","Нет")</x:f>
        <x:v>Нет</x:v>
      </x:c>
      <x:c r="O1592" s="1" t="str">
        <x:f>'Данные'!L1592</x:f>
        <x:v>Нет</x:v>
      </x:c>
    </x:row>
    <x:row r="1593">
      <x:c r="A1593" s="1" t="str">
        <x:f>'Данные'!A1593</x:f>
        <x:v>324987827</x:v>
      </x:c>
      <x:c r="B1593" s="1" t="str">
        <x:f>'Данные'!B1593</x:f>
        <x:v>brukiboy/бежевый</x:v>
      </x:c>
      <x:c r="C1593" s="8" t="n">
        <x:f>'Данные'!G1593</x:f>
        <x:v>2130</x:v>
      </x:c>
      <x:c r="D1593" s="15" t="n">
        <x:f>C1593/SUM($C$5:$C$2477)</x:f>
        <x:v>0.0000024883163297157503</x:v>
      </x:c>
      <x:c r="E1593" s="15" t="n">
        <x:f>SUM($D$5:D1593)</x:f>
        <x:v>0.9999237149970323</x:v>
      </x:c>
      <x:c r="F1593" s="1" t="str">
        <x:f>IF(C1593&lt;=0,"C",IF(E1593-D1593&lt;'Дашборд'!$C$49,"A",IF(E1593-D1593&lt;'Дашборд'!$C$50,"B","C")))</x:f>
        <x:v>C</x:v>
      </x:c>
      <x:c r="G1593" s="8" t="n">
        <x:f>'Данные'!F1593</x:f>
        <x:v>2</x:v>
      </x:c>
      <x:c r="H1593" s="8" t="n">
        <x:f>SUM('Данные'!H1593:I1593)</x:f>
        <x:v>80</x:v>
      </x:c>
      <x:c r="I1593" s="16" t="n">
        <x:f>IF(H1593&gt;0,G1593/H1593,"n.a.")</x:f>
        <x:v>0.025</x:v>
      </x:c>
      <x:c r="J1593" s="10" t="n">
        <x:f>IF('Данные'!E1593&gt;0,G1593/'Данные'!E1593,"n.a.")</x:f>
        <x:v>0.0006297229219143577</x:v>
      </x:c>
      <x:c r="K1593" s="1" t="str">
        <x:f>IF(G1593&gt;='Дашборд'!$C$51,"X","Z")</x:f>
        <x:v>Z</x:v>
      </x:c>
      <x:c r="L1593" s="1" t="str">
        <x:f>IF(H1593=0,IF(G1593&gt;0,"Нет остатка","Нет спроса"),IF(I1593&gt;='Дашборд'!$C$52,"Быстрый","Медленный"))</x:f>
        <x:v>Медленный</x:v>
      </x:c>
      <x:c r="M1593" s="1" t="str">
        <x:f>IF('Данные'!E1593&lt;'Дашборд'!$C$53,"Мало трафика",IF(J1593&lt;'Дашборд'!$C$9*'Дашборд'!$C$54,"Да","Нет"))</x:f>
        <x:v>Да</x:v>
      </x:c>
      <x:c r="N1593" s="1" t="str">
        <x:f>IF(AND('Данные'!D1593&gt;='Дашборд'!$C$55,D1593&lt;'Дашборд'!$C$56,'Данные'!E1593&gt;='Дашборд'!$C$53,'Данные'!L1593&lt;&gt;"Да"),"Да","Нет")</x:f>
        <x:v>Нет</x:v>
      </x:c>
      <x:c r="O1593" s="1" t="str">
        <x:f>'Данные'!L1593</x:f>
        <x:v>Нет</x:v>
      </x:c>
    </x:row>
    <x:row r="1594">
      <x:c r="A1594" s="1" t="str">
        <x:f>'Данные'!A1594</x:f>
        <x:v>240808482</x:v>
      </x:c>
      <x:c r="B1594" s="1" t="str">
        <x:f>'Данные'!B1594</x:f>
        <x:v>brukiboy/морскаяволна</x:v>
      </x:c>
      <x:c r="C1594" s="8" t="n">
        <x:f>'Данные'!G1594</x:f>
        <x:v>2051</x:v>
      </x:c>
      <x:c r="D1594" s="15" t="n">
        <x:f>C1594/SUM($C$5:$C$2477)</x:f>
        <x:v>0.0000023960266630267623</x:v>
      </x:c>
      <x:c r="E1594" s="15" t="n">
        <x:f>SUM($D$5:D1594)</x:f>
        <x:v>0.9999261110236953</x:v>
      </x:c>
      <x:c r="F1594" s="1" t="str">
        <x:f>IF(C1594&lt;=0,"C",IF(E1594-D1594&lt;'Дашборд'!$C$49,"A",IF(E1594-D1594&lt;'Дашборд'!$C$50,"B","C")))</x:f>
        <x:v>C</x:v>
      </x:c>
      <x:c r="G1594" s="8" t="n">
        <x:f>'Данные'!F1594</x:f>
        <x:v>4</x:v>
      </x:c>
      <x:c r="H1594" s="8" t="n">
        <x:f>SUM('Данные'!H1594:I1594)</x:f>
        <x:v>49</x:v>
      </x:c>
      <x:c r="I1594" s="16" t="n">
        <x:f>IF(H1594&gt;0,G1594/H1594,"n.a.")</x:f>
        <x:v>0.08163265306122448</x:v>
      </x:c>
      <x:c r="J1594" s="10" t="n">
        <x:f>IF('Данные'!E1594&gt;0,G1594/'Данные'!E1594,"n.a.")</x:f>
        <x:v>0.0011841326228537595</x:v>
      </x:c>
      <x:c r="K1594" s="1" t="str">
        <x:f>IF(G1594&gt;='Дашборд'!$C$51,"X","Z")</x:f>
        <x:v>Z</x:v>
      </x:c>
      <x:c r="L1594" s="1" t="str">
        <x:f>IF(H1594=0,IF(G1594&gt;0,"Нет остатка","Нет спроса"),IF(I1594&gt;='Дашборд'!$C$52,"Быстрый","Медленный"))</x:f>
        <x:v>Медленный</x:v>
      </x:c>
      <x:c r="M1594" s="1" t="str">
        <x:f>IF('Данные'!E1594&lt;'Дашборд'!$C$53,"Мало трафика",IF(J1594&lt;'Дашборд'!$C$9*'Дашборд'!$C$54,"Да","Нет"))</x:f>
        <x:v>Да</x:v>
      </x:c>
      <x:c r="N1594" s="1" t="str">
        <x:f>IF(AND('Данные'!D1594&gt;='Дашборд'!$C$55,D1594&lt;'Дашборд'!$C$56,'Данные'!E1594&gt;='Дашборд'!$C$53,'Данные'!L1594&lt;&gt;"Да"),"Да","Нет")</x:f>
        <x:v>Нет</x:v>
      </x:c>
      <x:c r="O1594" s="1" t="str">
        <x:f>'Данные'!L1594</x:f>
        <x:v>Нет</x:v>
      </x:c>
    </x:row>
    <x:row r="1595">
      <x:c r="A1595" s="1" t="str">
        <x:f>'Данные'!A1595</x:f>
        <x:v>229491822</x:v>
      </x:c>
      <x:c r="B1595" s="1" t="str">
        <x:f>'Данные'!B1595</x:f>
        <x:v>futbolkaoverX2/черный-белый</x:v>
      </x:c>
      <x:c r="C1595" s="8" t="n">
        <x:f>'Данные'!G1595</x:f>
        <x:v>2050</x:v>
      </x:c>
      <x:c r="D1595" s="15" t="n">
        <x:f>C1595/SUM($C$5:$C$2477)</x:f>
        <x:v>0.0000023948584393977877</x:v>
      </x:c>
      <x:c r="E1595" s="15" t="n">
        <x:f>SUM($D$5:D1595)</x:f>
        <x:v>0.9999285058821348</x:v>
      </x:c>
      <x:c r="F1595" s="1" t="str">
        <x:f>IF(C1595&lt;=0,"C",IF(E1595-D1595&lt;'Дашборд'!$C$49,"A",IF(E1595-D1595&lt;'Дашборд'!$C$50,"B","C")))</x:f>
        <x:v>C</x:v>
      </x:c>
      <x:c r="G1595" s="8" t="n">
        <x:f>'Данные'!F1595</x:f>
        <x:v>3</x:v>
      </x:c>
      <x:c r="H1595" s="8" t="n">
        <x:f>SUM('Данные'!H1595:I1595)</x:f>
        <x:v>0</x:v>
      </x:c>
      <x:c r="I1595" s="16" t="str">
        <x:f>IF(H1595&gt;0,G1595/H1595,"n.a.")</x:f>
        <x:v>n.a.</x:v>
      </x:c>
      <x:c r="J1595" s="10" t="n">
        <x:f>IF('Данные'!E1595&gt;0,G1595/'Данные'!E1595,"n.a.")</x:f>
        <x:v>0.0052173913043478265</x:v>
      </x:c>
      <x:c r="K1595" s="1" t="str">
        <x:f>IF(G1595&gt;='Дашборд'!$C$51,"X","Z")</x:f>
        <x:v>Z</x:v>
      </x:c>
      <x:c r="L1595" s="1" t="str">
        <x:f>IF(H1595=0,IF(G1595&gt;0,"Нет остатка","Нет спроса"),IF(I1595&gt;='Дашборд'!$C$52,"Быстрый","Медленный"))</x:f>
        <x:v>Нет остатка</x:v>
      </x:c>
      <x:c r="M1595" s="1" t="str">
        <x:f>IF('Данные'!E1595&lt;'Дашборд'!$C$53,"Мало трафика",IF(J1595&lt;'Дашборд'!$C$9*'Дашборд'!$C$54,"Да","Нет"))</x:f>
        <x:v>Мало трафика</x:v>
      </x:c>
      <x:c r="N1595" s="1" t="str">
        <x:f>IF(AND('Данные'!D1595&gt;='Дашборд'!$C$55,D1595&lt;'Дашборд'!$C$56,'Данные'!E1595&gt;='Дашборд'!$C$53,'Данные'!L1595&lt;&gt;"Да"),"Да","Нет")</x:f>
        <x:v>Нет</x:v>
      </x:c>
      <x:c r="O1595" s="1" t="str">
        <x:f>'Данные'!L1595</x:f>
        <x:v>Нет</x:v>
      </x:c>
    </x:row>
    <x:row r="1596">
      <x:c r="A1596" s="1" t="str">
        <x:f>'Данные'!A1596</x:f>
        <x:v>145845801</x:v>
      </x:c>
      <x:c r="B1596" s="1" t="str">
        <x:f>'Данные'!B1596</x:f>
        <x:v>svitshotman/зеленый</x:v>
      </x:c>
      <x:c r="C1596" s="8" t="n">
        <x:f>'Данные'!G1596</x:f>
        <x:v>2015</x:v>
      </x:c>
      <x:c r="D1596" s="15" t="n">
        <x:f>C1596/SUM($C$5:$C$2477)</x:f>
        <x:v>0.000002353970612383679</x:v>
      </x:c>
      <x:c r="E1596" s="15" t="n">
        <x:f>SUM($D$5:D1596)</x:f>
        <x:v>0.9999308598527472</x:v>
      </x:c>
      <x:c r="F1596" s="1" t="str">
        <x:f>IF(C1596&lt;=0,"C",IF(E1596-D1596&lt;'Дашборд'!$C$49,"A",IF(E1596-D1596&lt;'Дашборд'!$C$50,"B","C")))</x:f>
        <x:v>C</x:v>
      </x:c>
      <x:c r="G1596" s="8" t="n">
        <x:f>'Данные'!F1596</x:f>
        <x:v>2</x:v>
      </x:c>
      <x:c r="H1596" s="8" t="n">
        <x:f>SUM('Данные'!H1596:I1596)</x:f>
        <x:v>0</x:v>
      </x:c>
      <x:c r="I1596" s="16" t="str">
        <x:f>IF(H1596&gt;0,G1596/H1596,"n.a.")</x:f>
        <x:v>n.a.</x:v>
      </x:c>
      <x:c r="J1596" s="10" t="n">
        <x:f>IF('Данные'!E1596&gt;0,G1596/'Данные'!E1596,"n.a.")</x:f>
        <x:v>0.0058309037900874635</x:v>
      </x:c>
      <x:c r="K1596" s="1" t="str">
        <x:f>IF(G1596&gt;='Дашборд'!$C$51,"X","Z")</x:f>
        <x:v>Z</x:v>
      </x:c>
      <x:c r="L1596" s="1" t="str">
        <x:f>IF(H1596=0,IF(G1596&gt;0,"Нет остатка","Нет спроса"),IF(I1596&gt;='Дашборд'!$C$52,"Быстрый","Медленный"))</x:f>
        <x:v>Нет остатка</x:v>
      </x:c>
      <x:c r="M1596" s="1" t="str">
        <x:f>IF('Данные'!E1596&lt;'Дашборд'!$C$53,"Мало трафика",IF(J1596&lt;'Дашборд'!$C$9*'Дашборд'!$C$54,"Да","Нет"))</x:f>
        <x:v>Мало трафика</x:v>
      </x:c>
      <x:c r="N1596" s="1" t="str">
        <x:f>IF(AND('Данные'!D1596&gt;='Дашборд'!$C$55,D1596&lt;'Дашборд'!$C$56,'Данные'!E1596&gt;='Дашборд'!$C$53,'Данные'!L1596&lt;&gt;"Да"),"Да","Нет")</x:f>
        <x:v>Нет</x:v>
      </x:c>
      <x:c r="O1596" s="1" t="str">
        <x:f>'Данные'!L1596</x:f>
        <x:v>Нет</x:v>
      </x:c>
    </x:row>
    <x:row r="1597">
      <x:c r="A1597" s="1" t="str">
        <x:f>'Данные'!A1597</x:f>
        <x:v>235997594</x:v>
      </x:c>
      <x:c r="B1597" s="1" t="str">
        <x:f>'Данные'!B1597</x:f>
        <x:v>bazagirl/деним</x:v>
      </x:c>
      <x:c r="C1597" s="8" t="n">
        <x:f>'Данные'!G1597</x:f>
        <x:v>2007</x:v>
      </x:c>
      <x:c r="D1597" s="15" t="n">
        <x:f>C1597/SUM($C$5:$C$2477)</x:f>
        <x:v>0.000002344624823351883</x:v>
      </x:c>
      <x:c r="E1597" s="15" t="n">
        <x:f>SUM($D$5:D1597)</x:f>
        <x:v>0.9999332044775706</x:v>
      </x:c>
      <x:c r="F1597" s="1" t="str">
        <x:f>IF(C1597&lt;=0,"C",IF(E1597-D1597&lt;'Дашборд'!$C$49,"A",IF(E1597-D1597&lt;'Дашборд'!$C$50,"B","C")))</x:f>
        <x:v>C</x:v>
      </x:c>
      <x:c r="G1597" s="8" t="n">
        <x:f>'Данные'!F1597</x:f>
        <x:v>6</x:v>
      </x:c>
      <x:c r="H1597" s="8" t="n">
        <x:f>SUM('Данные'!H1597:I1597)</x:f>
        <x:v>77</x:v>
      </x:c>
      <x:c r="I1597" s="16" t="n">
        <x:f>IF(H1597&gt;0,G1597/H1597,"n.a.")</x:f>
        <x:v>0.07792207792207792</x:v>
      </x:c>
      <x:c r="J1597" s="10" t="n">
        <x:f>IF('Данные'!E1597&gt;0,G1597/'Данные'!E1597,"n.a.")</x:f>
        <x:v>0.01834862385321101</x:v>
      </x:c>
      <x:c r="K1597" s="1" t="str">
        <x:f>IF(G1597&gt;='Дашборд'!$C$51,"X","Z")</x:f>
        <x:v>Z</x:v>
      </x:c>
      <x:c r="L1597" s="1" t="str">
        <x:f>IF(H1597=0,IF(G1597&gt;0,"Нет остатка","Нет спроса"),IF(I1597&gt;='Дашборд'!$C$52,"Быстрый","Медленный"))</x:f>
        <x:v>Медленный</x:v>
      </x:c>
      <x:c r="M1597" s="1" t="str">
        <x:f>IF('Данные'!E1597&lt;'Дашборд'!$C$53,"Мало трафика",IF(J1597&lt;'Дашборд'!$C$9*'Дашборд'!$C$54,"Да","Нет"))</x:f>
        <x:v>Мало трафика</x:v>
      </x:c>
      <x:c r="N1597" s="1" t="str">
        <x:f>IF(AND('Данные'!D1597&gt;='Дашборд'!$C$55,D1597&lt;'Дашборд'!$C$56,'Данные'!E1597&gt;='Дашборд'!$C$53,'Данные'!L1597&lt;&gt;"Да"),"Да","Нет")</x:f>
        <x:v>Нет</x:v>
      </x:c>
      <x:c r="O1597" s="1" t="str">
        <x:f>'Данные'!L1597</x:f>
        <x:v>Нет</x:v>
      </x:c>
    </x:row>
    <x:row r="1598">
      <x:c r="A1598" s="1" t="str">
        <x:f>'Данные'!A1598</x:f>
        <x:v>169362185</x:v>
      </x:c>
      <x:c r="B1598" s="1" t="str">
        <x:f>'Данные'!B1598</x:f>
        <x:v>longslivrukav/белый</x:v>
      </x:c>
      <x:c r="C1598" s="8" t="n">
        <x:f>'Данные'!G1598</x:f>
        <x:v>2004</x:v>
      </x:c>
      <x:c r="D1598" s="15" t="n">
        <x:f>C1598/SUM($C$5:$C$2477)</x:f>
        <x:v>0.0000023411201524649594</x:v>
      </x:c>
      <x:c r="E1598" s="15" t="n">
        <x:f>SUM($D$5:D1598)</x:f>
        <x:v>0.9999355455977231</x:v>
      </x:c>
      <x:c r="F1598" s="1" t="str">
        <x:f>IF(C1598&lt;=0,"C",IF(E1598-D1598&lt;'Дашборд'!$C$49,"A",IF(E1598-D1598&lt;'Дашборд'!$C$50,"B","C")))</x:f>
        <x:v>C</x:v>
      </x:c>
      <x:c r="G1598" s="8" t="n">
        <x:f>'Данные'!F1598</x:f>
        <x:v>21</x:v>
      </x:c>
      <x:c r="H1598" s="8" t="n">
        <x:f>SUM('Данные'!H1598:I1598)</x:f>
        <x:v>6</x:v>
      </x:c>
      <x:c r="I1598" s="16" t="n">
        <x:f>IF(H1598&gt;0,G1598/H1598,"n.a.")</x:f>
        <x:v>3.5</x:v>
      </x:c>
      <x:c r="J1598" s="10" t="n">
        <x:f>IF('Данные'!E1598&gt;0,G1598/'Данные'!E1598,"n.a.")</x:f>
        <x:v>0.014423076923076924</x:v>
      </x:c>
      <x:c r="K1598" s="1" t="str">
        <x:f>IF(G1598&gt;='Дашборд'!$C$51,"X","Z")</x:f>
        <x:v>Z</x:v>
      </x:c>
      <x:c r="L1598" s="1" t="str">
        <x:f>IF(H1598=0,IF(G1598&gt;0,"Нет остатка","Нет спроса"),IF(I1598&gt;='Дашборд'!$C$52,"Быстрый","Медленный"))</x:f>
        <x:v>Быстрый</x:v>
      </x:c>
      <x:c r="M1598" s="1" t="str">
        <x:f>IF('Данные'!E1598&lt;'Дашборд'!$C$53,"Мало трафика",IF(J1598&lt;'Дашборд'!$C$9*'Дашборд'!$C$54,"Да","Нет"))</x:f>
        <x:v>Нет</x:v>
      </x:c>
      <x:c r="N1598" s="1" t="str">
        <x:f>IF(AND('Данные'!D1598&gt;='Дашборд'!$C$55,D1598&lt;'Дашборд'!$C$56,'Данные'!E1598&gt;='Дашборд'!$C$53,'Данные'!L1598&lt;&gt;"Да"),"Да","Нет")</x:f>
        <x:v>Нет</x:v>
      </x:c>
      <x:c r="O1598" s="1" t="str">
        <x:f>'Данные'!L1598</x:f>
        <x:v>Нет</x:v>
      </x:c>
    </x:row>
    <x:row r="1599">
      <x:c r="A1599" s="1" t="str">
        <x:f>'Данные'!A1599</x:f>
        <x:v>189114391</x:v>
      </x:c>
      <x:c r="B1599" s="1" t="str">
        <x:f>'Данные'!B1599</x:f>
        <x:v>WV1037-1518-3</x:v>
      </x:c>
      <x:c r="C1599" s="8" t="n">
        <x:f>'Данные'!G1599</x:f>
        <x:v>1950</x:v>
      </x:c>
      <x:c r="D1599" s="15" t="n">
        <x:f>C1599/SUM($C$5:$C$2477)</x:f>
        <x:v>0.0000022780360765003348</x:v>
      </x:c>
      <x:c r="E1599" s="15" t="n">
        <x:f>SUM($D$5:D1599)</x:f>
        <x:v>0.9999378236337997</x:v>
      </x:c>
      <x:c r="F1599" s="1" t="str">
        <x:f>IF(C1599&lt;=0,"C",IF(E1599-D1599&lt;'Дашборд'!$C$49,"A",IF(E1599-D1599&lt;'Дашборд'!$C$50,"B","C")))</x:f>
        <x:v>C</x:v>
      </x:c>
      <x:c r="G1599" s="8" t="n">
        <x:f>'Данные'!F1599</x:f>
        <x:v>1</x:v>
      </x:c>
      <x:c r="H1599" s="8" t="n">
        <x:f>SUM('Данные'!H1599:I1599)</x:f>
        <x:v>0</x:v>
      </x:c>
      <x:c r="I1599" s="16" t="str">
        <x:f>IF(H1599&gt;0,G1599/H1599,"n.a.")</x:f>
        <x:v>n.a.</x:v>
      </x:c>
      <x:c r="J1599" s="10" t="n">
        <x:f>IF('Данные'!E1599&gt;0,G1599/'Данные'!E1599,"n.a.")</x:f>
        <x:v>0.010869565217391304</x:v>
      </x:c>
      <x:c r="K1599" s="1" t="str">
        <x:f>IF(G1599&gt;='Дашборд'!$C$51,"X","Z")</x:f>
        <x:v>Z</x:v>
      </x:c>
      <x:c r="L1599" s="1" t="str">
        <x:f>IF(H1599=0,IF(G1599&gt;0,"Нет остатка","Нет спроса"),IF(I1599&gt;='Дашборд'!$C$52,"Быстрый","Медленный"))</x:f>
        <x:v>Нет остатка</x:v>
      </x:c>
      <x:c r="M1599" s="1" t="str">
        <x:f>IF('Данные'!E1599&lt;'Дашборд'!$C$53,"Мало трафика",IF(J1599&lt;'Дашборд'!$C$9*'Дашборд'!$C$54,"Да","Нет"))</x:f>
        <x:v>Мало трафика</x:v>
      </x:c>
      <x:c r="N1599" s="1" t="str">
        <x:f>IF(AND('Данные'!D1599&gt;='Дашборд'!$C$55,D1599&lt;'Дашборд'!$C$56,'Данные'!E1599&gt;='Дашборд'!$C$53,'Данные'!L1599&lt;&gt;"Да"),"Да","Нет")</x:f>
        <x:v>Нет</x:v>
      </x:c>
      <x:c r="O1599" s="1" t="str">
        <x:f>'Данные'!L1599</x:f>
        <x:v>Нет</x:v>
      </x:c>
    </x:row>
    <x:row r="1600">
      <x:c r="A1600" s="1" t="str">
        <x:f>'Данные'!A1600</x:f>
        <x:v>189114404</x:v>
      </x:c>
      <x:c r="B1600" s="1" t="str">
        <x:f>'Данные'!B1600</x:f>
        <x:v>AB572-52E-3</x:v>
      </x:c>
      <x:c r="C1600" s="8" t="n">
        <x:f>'Данные'!G1600</x:f>
        <x:v>1931</x:v>
      </x:c>
      <x:c r="D1600" s="15" t="n">
        <x:f>C1600/SUM($C$5:$C$2477)</x:f>
        <x:v>0.0000022558398275498186</x:v>
      </x:c>
      <x:c r="E1600" s="15" t="n">
        <x:f>SUM($D$5:D1600)</x:f>
        <x:v>0.9999400794736273</x:v>
      </x:c>
      <x:c r="F1600" s="1" t="str">
        <x:f>IF(C1600&lt;=0,"C",IF(E1600-D1600&lt;'Дашборд'!$C$49,"A",IF(E1600-D1600&lt;'Дашборд'!$C$50,"B","C")))</x:f>
        <x:v>C</x:v>
      </x:c>
      <x:c r="G1600" s="8" t="n">
        <x:f>'Данные'!F1600</x:f>
        <x:v>1</x:v>
      </x:c>
      <x:c r="H1600" s="8" t="n">
        <x:f>SUM('Данные'!H1600:I1600)</x:f>
        <x:v>0</x:v>
      </x:c>
      <x:c r="I1600" s="16" t="str">
        <x:f>IF(H1600&gt;0,G1600/H1600,"n.a.")</x:f>
        <x:v>n.a.</x:v>
      </x:c>
      <x:c r="J1600" s="10" t="n">
        <x:f>IF('Данные'!E1600&gt;0,G1600/'Данные'!E1600,"n.a.")</x:f>
        <x:v>0.01818181818181818</x:v>
      </x:c>
      <x:c r="K1600" s="1" t="str">
        <x:f>IF(G1600&gt;='Дашборд'!$C$51,"X","Z")</x:f>
        <x:v>Z</x:v>
      </x:c>
      <x:c r="L1600" s="1" t="str">
        <x:f>IF(H1600=0,IF(G1600&gt;0,"Нет остатка","Нет спроса"),IF(I1600&gt;='Дашборд'!$C$52,"Быстрый","Медленный"))</x:f>
        <x:v>Нет остатка</x:v>
      </x:c>
      <x:c r="M1600" s="1" t="str">
        <x:f>IF('Данные'!E1600&lt;'Дашборд'!$C$53,"Мало трафика",IF(J1600&lt;'Дашборд'!$C$9*'Дашборд'!$C$54,"Да","Нет"))</x:f>
        <x:v>Мало трафика</x:v>
      </x:c>
      <x:c r="N1600" s="1" t="str">
        <x:f>IF(AND('Данные'!D1600&gt;='Дашборд'!$C$55,D1600&lt;'Дашборд'!$C$56,'Данные'!E1600&gt;='Дашборд'!$C$53,'Данные'!L1600&lt;&gt;"Да"),"Да","Нет")</x:f>
        <x:v>Нет</x:v>
      </x:c>
      <x:c r="O1600" s="1" t="str">
        <x:f>'Данные'!L1600</x:f>
        <x:v>Нет</x:v>
      </x:c>
    </x:row>
    <x:row r="1601">
      <x:c r="A1601" s="1" t="str">
        <x:f>'Данные'!A1601</x:f>
        <x:v>209915746</x:v>
      </x:c>
      <x:c r="B1601" s="1" t="str">
        <x:f>'Данные'!B1601</x:f>
        <x:v>shorty/морскаяволна</x:v>
      </x:c>
      <x:c r="C1601" s="8" t="n">
        <x:f>'Данные'!G1601</x:f>
        <x:v>1912</x:v>
      </x:c>
      <x:c r="D1601" s="15" t="n">
        <x:f>C1601/SUM($C$5:$C$2477)</x:f>
        <x:v>0.0000022336435785993025</x:v>
      </x:c>
      <x:c r="E1601" s="15" t="n">
        <x:f>SUM($D$5:D1601)</x:f>
        <x:v>0.9999423131172059</x:v>
      </x:c>
      <x:c r="F1601" s="1" t="str">
        <x:f>IF(C1601&lt;=0,"C",IF(E1601-D1601&lt;'Дашборд'!$C$49,"A",IF(E1601-D1601&lt;'Дашборд'!$C$50,"B","C")))</x:f>
        <x:v>C</x:v>
      </x:c>
      <x:c r="G1601" s="8" t="n">
        <x:f>'Данные'!F1601</x:f>
        <x:v>8</x:v>
      </x:c>
      <x:c r="H1601" s="8" t="n">
        <x:f>SUM('Данные'!H1601:I1601)</x:f>
        <x:v>4</x:v>
      </x:c>
      <x:c r="I1601" s="16" t="n">
        <x:f>IF(H1601&gt;0,G1601/H1601,"n.a.")</x:f>
        <x:v>2</x:v>
      </x:c>
      <x:c r="J1601" s="10" t="n">
        <x:f>IF('Данные'!E1601&gt;0,G1601/'Данные'!E1601,"n.a.")</x:f>
        <x:v>0.0015567230978789648</x:v>
      </x:c>
      <x:c r="K1601" s="1" t="str">
        <x:f>IF(G1601&gt;='Дашборд'!$C$51,"X","Z")</x:f>
        <x:v>Z</x:v>
      </x:c>
      <x:c r="L1601" s="1" t="str">
        <x:f>IF(H1601=0,IF(G1601&gt;0,"Нет остатка","Нет спроса"),IF(I1601&gt;='Дашборд'!$C$52,"Быстрый","Медленный"))</x:f>
        <x:v>Быстрый</x:v>
      </x:c>
      <x:c r="M1601" s="1" t="str">
        <x:f>IF('Данные'!E1601&lt;'Дашборд'!$C$53,"Мало трафика",IF(J1601&lt;'Дашборд'!$C$9*'Дашборд'!$C$54,"Да","Нет"))</x:f>
        <x:v>Да</x:v>
      </x:c>
      <x:c r="N1601" s="1" t="str">
        <x:f>IF(AND('Данные'!D1601&gt;='Дашборд'!$C$55,D1601&lt;'Дашборд'!$C$56,'Данные'!E1601&gt;='Дашборд'!$C$53,'Данные'!L1601&lt;&gt;"Да"),"Да","Нет")</x:f>
        <x:v>Нет</x:v>
      </x:c>
      <x:c r="O1601" s="1" t="str">
        <x:f>'Данные'!L1601</x:f>
        <x:v>Нет</x:v>
      </x:c>
    </x:row>
    <x:row r="1602">
      <x:c r="A1602" s="1" t="str">
        <x:f>'Данные'!A1602</x:f>
        <x:v>179951218</x:v>
      </x:c>
      <x:c r="B1602" s="1" t="str">
        <x:f>'Данные'!B1602</x:f>
        <x:v>palazzo/коричневый</x:v>
      </x:c>
      <x:c r="C1602" s="8" t="n">
        <x:f>'Данные'!G1602</x:f>
        <x:v>1896</x:v>
      </x:c>
      <x:c r="D1602" s="15" t="n">
        <x:f>C1602/SUM($C$5:$C$2477)</x:f>
        <x:v>0.00000221495200053571</x:v>
      </x:c>
      <x:c r="E1602" s="15" t="n">
        <x:f>SUM($D$5:D1602)</x:f>
        <x:v>0.9999445280692065</x:v>
      </x:c>
      <x:c r="F1602" s="1" t="str">
        <x:f>IF(C1602&lt;=0,"C",IF(E1602-D1602&lt;'Дашборд'!$C$49,"A",IF(E1602-D1602&lt;'Дашборд'!$C$50,"B","C")))</x:f>
        <x:v>C</x:v>
      </x:c>
      <x:c r="G1602" s="8" t="n">
        <x:f>'Данные'!F1602</x:f>
        <x:v>12</x:v>
      </x:c>
      <x:c r="H1602" s="8" t="n">
        <x:f>SUM('Данные'!H1602:I1602)</x:f>
        <x:v>0</x:v>
      </x:c>
      <x:c r="I1602" s="16" t="str">
        <x:f>IF(H1602&gt;0,G1602/H1602,"n.a.")</x:f>
        <x:v>n.a.</x:v>
      </x:c>
      <x:c r="J1602" s="10" t="n">
        <x:f>IF('Данные'!E1602&gt;0,G1602/'Данные'!E1602,"n.a.")</x:f>
        <x:v>0.006795016987542469</x:v>
      </x:c>
      <x:c r="K1602" s="1" t="str">
        <x:f>IF(G1602&gt;='Дашборд'!$C$51,"X","Z")</x:f>
        <x:v>Z</x:v>
      </x:c>
      <x:c r="L1602" s="1" t="str">
        <x:f>IF(H1602=0,IF(G1602&gt;0,"Нет остатка","Нет спроса"),IF(I1602&gt;='Дашборд'!$C$52,"Быстрый","Медленный"))</x:f>
        <x:v>Нет остатка</x:v>
      </x:c>
      <x:c r="M1602" s="1" t="str">
        <x:f>IF('Данные'!E1602&lt;'Дашборд'!$C$53,"Мало трафика",IF(J1602&lt;'Дашборд'!$C$9*'Дашборд'!$C$54,"Да","Нет"))</x:f>
        <x:v>Да</x:v>
      </x:c>
      <x:c r="N1602" s="1" t="str">
        <x:f>IF(AND('Данные'!D1602&gt;='Дашборд'!$C$55,D1602&lt;'Дашборд'!$C$56,'Данные'!E1602&gt;='Дашборд'!$C$53,'Данные'!L1602&lt;&gt;"Да"),"Да","Нет")</x:f>
        <x:v>Да</x:v>
      </x:c>
      <x:c r="O1602" s="1" t="str">
        <x:f>'Данные'!L1602</x:f>
        <x:v>Нет</x:v>
      </x:c>
    </x:row>
    <x:row r="1603">
      <x:c r="A1603" s="1" t="str">
        <x:f>'Данные'!A1603</x:f>
        <x:v>243666001</x:v>
      </x:c>
      <x:c r="B1603" s="1" t="str">
        <x:f>'Данные'!B1603</x:f>
        <x:v>boxerX5/чер-тсер-ссерХ2-тсин</x:v>
      </x:c>
      <x:c r="C1603" s="8" t="n">
        <x:f>'Данные'!G1603</x:f>
        <x:v>1870</x:v>
      </x:c>
      <x:c r="D1603" s="15" t="n">
        <x:f>C1603/SUM($C$5:$C$2477)</x:f>
        <x:v>0.000002184578186182372</x:v>
      </x:c>
      <x:c r="E1603" s="15" t="n">
        <x:f>SUM($D$5:D1603)</x:f>
        <x:v>0.9999467126473928</x:v>
      </x:c>
      <x:c r="F1603" s="1" t="str">
        <x:f>IF(C1603&lt;=0,"C",IF(E1603-D1603&lt;'Дашборд'!$C$49,"A",IF(E1603-D1603&lt;'Дашборд'!$C$50,"B","C")))</x:f>
        <x:v>C</x:v>
      </x:c>
      <x:c r="G1603" s="8" t="n">
        <x:f>'Данные'!F1603</x:f>
        <x:v>1</x:v>
      </x:c>
      <x:c r="H1603" s="8" t="n">
        <x:f>SUM('Данные'!H1603:I1603)</x:f>
        <x:v>0</x:v>
      </x:c>
      <x:c r="I1603" s="16" t="str">
        <x:f>IF(H1603&gt;0,G1603/H1603,"n.a.")</x:f>
        <x:v>n.a.</x:v>
      </x:c>
      <x:c r="J1603" s="10" t="n">
        <x:f>IF('Данные'!E1603&gt;0,G1603/'Данные'!E1603,"n.a.")</x:f>
        <x:v>0.00411522633744856</x:v>
      </x:c>
      <x:c r="K1603" s="1" t="str">
        <x:f>IF(G1603&gt;='Дашборд'!$C$51,"X","Z")</x:f>
        <x:v>Z</x:v>
      </x:c>
      <x:c r="L1603" s="1" t="str">
        <x:f>IF(H1603=0,IF(G1603&gt;0,"Нет остатка","Нет спроса"),IF(I1603&gt;='Дашборд'!$C$52,"Быстрый","Медленный"))</x:f>
        <x:v>Нет остатка</x:v>
      </x:c>
      <x:c r="M1603" s="1" t="str">
        <x:f>IF('Данные'!E1603&lt;'Дашборд'!$C$53,"Мало трафика",IF(J1603&lt;'Дашборд'!$C$9*'Дашборд'!$C$54,"Да","Нет"))</x:f>
        <x:v>Мало трафика</x:v>
      </x:c>
      <x:c r="N1603" s="1" t="str">
        <x:f>IF(AND('Данные'!D1603&gt;='Дашборд'!$C$55,D1603&lt;'Дашборд'!$C$56,'Данные'!E1603&gt;='Дашборд'!$C$53,'Данные'!L1603&lt;&gt;"Да"),"Да","Нет")</x:f>
        <x:v>Нет</x:v>
      </x:c>
      <x:c r="O1603" s="1" t="str">
        <x:f>'Данные'!L1603</x:f>
        <x:v>Нет</x:v>
      </x:c>
    </x:row>
    <x:row r="1604">
      <x:c r="A1604" s="1" t="str">
        <x:f>'Данные'!A1604</x:f>
        <x:v>365801828</x:v>
      </x:c>
      <x:c r="B1604" s="1" t="str">
        <x:f>'Данные'!B1604</x:f>
        <x:v>bazakulgirl/зеленый</x:v>
      </x:c>
      <x:c r="C1604" s="8" t="n">
        <x:f>'Данные'!G1604</x:f>
        <x:v>1812</x:v>
      </x:c>
      <x:c r="D1604" s="15" t="n">
        <x:f>C1604/SUM($C$5:$C$2477)</x:f>
        <x:v>0.0000021168212157018496</x:v>
      </x:c>
      <x:c r="E1604" s="15" t="n">
        <x:f>SUM($D$5:D1604)</x:f>
        <x:v>0.9999488294686084</x:v>
      </x:c>
      <x:c r="F1604" s="1" t="str">
        <x:f>IF(C1604&lt;=0,"C",IF(E1604-D1604&lt;'Дашборд'!$C$49,"A",IF(E1604-D1604&lt;'Дашборд'!$C$50,"B","C")))</x:f>
        <x:v>C</x:v>
      </x:c>
      <x:c r="G1604" s="8" t="n">
        <x:f>'Данные'!F1604</x:f>
        <x:v>4</x:v>
      </x:c>
      <x:c r="H1604" s="8" t="n">
        <x:f>SUM('Данные'!H1604:I1604)</x:f>
        <x:v>119</x:v>
      </x:c>
      <x:c r="I1604" s="16" t="n">
        <x:f>IF(H1604&gt;0,G1604/H1604,"n.a.")</x:f>
        <x:v>0.03361344537815126</x:v>
      </x:c>
      <x:c r="J1604" s="10" t="n">
        <x:f>IF('Данные'!E1604&gt;0,G1604/'Данные'!E1604,"n.a.")</x:f>
        <x:v>0.004819277108433735</x:v>
      </x:c>
      <x:c r="K1604" s="1" t="str">
        <x:f>IF(G1604&gt;='Дашборд'!$C$51,"X","Z")</x:f>
        <x:v>Z</x:v>
      </x:c>
      <x:c r="L1604" s="1" t="str">
        <x:f>IF(H1604=0,IF(G1604&gt;0,"Нет остатка","Нет спроса"),IF(I1604&gt;='Дашборд'!$C$52,"Быстрый","Медленный"))</x:f>
        <x:v>Медленный</x:v>
      </x:c>
      <x:c r="M1604" s="1" t="str">
        <x:f>IF('Данные'!E1604&lt;'Дашборд'!$C$53,"Мало трафика",IF(J1604&lt;'Дашборд'!$C$9*'Дашборд'!$C$54,"Да","Нет"))</x:f>
        <x:v>Мало трафика</x:v>
      </x:c>
      <x:c r="N1604" s="1" t="str">
        <x:f>IF(AND('Данные'!D1604&gt;='Дашборд'!$C$55,D1604&lt;'Дашборд'!$C$56,'Данные'!E1604&gt;='Дашборд'!$C$53,'Данные'!L1604&lt;&gt;"Да"),"Да","Нет")</x:f>
        <x:v>Нет</x:v>
      </x:c>
      <x:c r="O1604" s="1" t="str">
        <x:f>'Данные'!L1604</x:f>
        <x:v>Нет</x:v>
      </x:c>
    </x:row>
    <x:row r="1605">
      <x:c r="A1605" s="1" t="str">
        <x:f>'Данные'!A1605</x:f>
        <x:v>167636444</x:v>
      </x:c>
      <x:c r="B1605" s="1" t="str">
        <x:f>'Данные'!B1605</x:f>
        <x:v>futbolka/молочный</x:v>
      </x:c>
      <x:c r="C1605" s="8" t="n">
        <x:f>'Данные'!G1605</x:f>
        <x:v>1790</x:v>
      </x:c>
      <x:c r="D1605" s="15" t="n">
        <x:f>C1605/SUM($C$5:$C$2477)</x:f>
        <x:v>0.0000020911202958644096</x:v>
      </x:c>
      <x:c r="E1605" s="15" t="n">
        <x:f>SUM($D$5:D1605)</x:f>
        <x:v>0.9999509205889042</x:v>
      </x:c>
      <x:c r="F1605" s="1" t="str">
        <x:f>IF(C1605&lt;=0,"C",IF(E1605-D1605&lt;'Дашборд'!$C$49,"A",IF(E1605-D1605&lt;'Дашборд'!$C$50,"B","C")))</x:f>
        <x:v>C</x:v>
      </x:c>
      <x:c r="G1605" s="8" t="n">
        <x:f>'Данные'!F1605</x:f>
        <x:v>2</x:v>
      </x:c>
      <x:c r="H1605" s="8" t="n">
        <x:f>SUM('Данные'!H1605:I1605)</x:f>
        <x:v>0</x:v>
      </x:c>
      <x:c r="I1605" s="16" t="str">
        <x:f>IF(H1605&gt;0,G1605/H1605,"n.a.")</x:f>
        <x:v>n.a.</x:v>
      </x:c>
      <x:c r="J1605" s="10" t="n">
        <x:f>IF('Данные'!E1605&gt;0,G1605/'Данные'!E1605,"n.a.")</x:f>
        <x:v>0.012422360248447204</x:v>
      </x:c>
      <x:c r="K1605" s="1" t="str">
        <x:f>IF(G1605&gt;='Дашборд'!$C$51,"X","Z")</x:f>
        <x:v>Z</x:v>
      </x:c>
      <x:c r="L1605" s="1" t="str">
        <x:f>IF(H1605=0,IF(G1605&gt;0,"Нет остатка","Нет спроса"),IF(I1605&gt;='Дашборд'!$C$52,"Быстрый","Медленный"))</x:f>
        <x:v>Нет остатка</x:v>
      </x:c>
      <x:c r="M1605" s="1" t="str">
        <x:f>IF('Данные'!E1605&lt;'Дашборд'!$C$53,"Мало трафика",IF(J1605&lt;'Дашборд'!$C$9*'Дашборд'!$C$54,"Да","Нет"))</x:f>
        <x:v>Мало трафика</x:v>
      </x:c>
      <x:c r="N1605" s="1" t="str">
        <x:f>IF(AND('Данные'!D1605&gt;='Дашборд'!$C$55,D1605&lt;'Дашборд'!$C$56,'Данные'!E1605&gt;='Дашборд'!$C$53,'Данные'!L1605&lt;&gt;"Да"),"Да","Нет")</x:f>
        <x:v>Нет</x:v>
      </x:c>
      <x:c r="O1605" s="1" t="str">
        <x:f>'Данные'!L1605</x:f>
        <x:v>Нет</x:v>
      </x:c>
    </x:row>
    <x:row r="1606">
      <x:c r="A1606" s="1" t="str">
        <x:f>'Данные'!A1606</x:f>
        <x:v>357022580</x:v>
      </x:c>
      <x:c r="B1606" s="1" t="str">
        <x:f>'Данные'!B1606</x:f>
        <x:v>bazakulgirl/деним</x:v>
      </x:c>
      <x:c r="C1606" s="8" t="n">
        <x:f>'Данные'!G1606</x:f>
        <x:v>1714</x:v>
      </x:c>
      <x:c r="D1606" s="15" t="n">
        <x:f>C1606/SUM($C$5:$C$2477)</x:f>
        <x:v>0.0000020023353000623455</x:v>
      </x:c>
      <x:c r="E1606" s="15" t="n">
        <x:f>SUM($D$5:D1606)</x:f>
        <x:v>0.9999529229242042</x:v>
      </x:c>
      <x:c r="F1606" s="1" t="str">
        <x:f>IF(C1606&lt;=0,"C",IF(E1606-D1606&lt;'Дашборд'!$C$49,"A",IF(E1606-D1606&lt;'Дашборд'!$C$50,"B","C")))</x:f>
        <x:v>C</x:v>
      </x:c>
      <x:c r="G1606" s="8" t="n">
        <x:f>'Данные'!F1606</x:f>
        <x:v>8</x:v>
      </x:c>
      <x:c r="H1606" s="8" t="n">
        <x:f>SUM('Данные'!H1606:I1606)</x:f>
        <x:v>89</x:v>
      </x:c>
      <x:c r="I1606" s="16" t="n">
        <x:f>IF(H1606&gt;0,G1606/H1606,"n.a.")</x:f>
        <x:v>0.0898876404494382</x:v>
      </x:c>
      <x:c r="J1606" s="10" t="n">
        <x:f>IF('Данные'!E1606&gt;0,G1606/'Данные'!E1606,"n.a.")</x:f>
        <x:v>0.008032128514056224</x:v>
      </x:c>
      <x:c r="K1606" s="1" t="str">
        <x:f>IF(G1606&gt;='Дашборд'!$C$51,"X","Z")</x:f>
        <x:v>Z</x:v>
      </x:c>
      <x:c r="L1606" s="1" t="str">
        <x:f>IF(H1606=0,IF(G1606&gt;0,"Нет остатка","Нет спроса"),IF(I1606&gt;='Дашборд'!$C$52,"Быстрый","Медленный"))</x:f>
        <x:v>Медленный</x:v>
      </x:c>
      <x:c r="M1606" s="1" t="str">
        <x:f>IF('Данные'!E1606&lt;'Дашборд'!$C$53,"Мало трафика",IF(J1606&lt;'Дашборд'!$C$9*'Дашборд'!$C$54,"Да","Нет"))</x:f>
        <x:v>Мало трафика</x:v>
      </x:c>
      <x:c r="N1606" s="1" t="str">
        <x:f>IF(AND('Данные'!D1606&gt;='Дашборд'!$C$55,D1606&lt;'Дашборд'!$C$56,'Данные'!E1606&gt;='Дашборд'!$C$53,'Данные'!L1606&lt;&gt;"Да"),"Да","Нет")</x:f>
        <x:v>Нет</x:v>
      </x:c>
      <x:c r="O1606" s="1" t="str">
        <x:f>'Данные'!L1606</x:f>
        <x:v>Нет</x:v>
      </x:c>
    </x:row>
    <x:row r="1607">
      <x:c r="A1607" s="1" t="str">
        <x:f>'Данные'!A1607</x:f>
        <x:v>29349121</x:v>
      </x:c>
      <x:c r="B1607" s="1" t="str">
        <x:f>'Данные'!B1607</x:f>
        <x:v>longsliv/хаки</x:v>
      </x:c>
      <x:c r="C1607" s="8" t="n">
        <x:f>'Данные'!G1607</x:f>
        <x:v>1587</x:v>
      </x:c>
      <x:c r="D1607" s="15" t="n">
        <x:f>C1607/SUM($C$5:$C$2477)</x:f>
        <x:v>0.00000185397089918258</x:v>
      </x:c>
      <x:c r="E1607" s="15" t="n">
        <x:f>SUM($D$5:D1607)</x:f>
        <x:v>0.9999547768951034</x:v>
      </x:c>
      <x:c r="F1607" s="1" t="str">
        <x:f>IF(C1607&lt;=0,"C",IF(E1607-D1607&lt;'Дашборд'!$C$49,"A",IF(E1607-D1607&lt;'Дашборд'!$C$50,"B","C")))</x:f>
        <x:v>C</x:v>
      </x:c>
      <x:c r="G1607" s="8" t="n">
        <x:f>'Данные'!F1607</x:f>
        <x:v>8</x:v>
      </x:c>
      <x:c r="H1607" s="8" t="n">
        <x:f>SUM('Данные'!H1607:I1607)</x:f>
        <x:v>16</x:v>
      </x:c>
      <x:c r="I1607" s="16" t="n">
        <x:f>IF(H1607&gt;0,G1607/H1607,"n.a.")</x:f>
        <x:v>0.5</x:v>
      </x:c>
      <x:c r="J1607" s="10" t="n">
        <x:f>IF('Данные'!E1607&gt;0,G1607/'Данные'!E1607,"n.a.")</x:f>
        <x:v>0.001401541695865452</x:v>
      </x:c>
      <x:c r="K1607" s="1" t="str">
        <x:f>IF(G1607&gt;='Дашборд'!$C$51,"X","Z")</x:f>
        <x:v>Z</x:v>
      </x:c>
      <x:c r="L1607" s="1" t="str">
        <x:f>IF(H1607=0,IF(G1607&gt;0,"Нет остатка","Нет спроса"),IF(I1607&gt;='Дашборд'!$C$52,"Быстрый","Медленный"))</x:f>
        <x:v>Медленный</x:v>
      </x:c>
      <x:c r="M1607" s="1" t="str">
        <x:f>IF('Данные'!E1607&lt;'Дашборд'!$C$53,"Мало трафика",IF(J1607&lt;'Дашборд'!$C$9*'Дашборд'!$C$54,"Да","Нет"))</x:f>
        <x:v>Да</x:v>
      </x:c>
      <x:c r="N1607" s="1" t="str">
        <x:f>IF(AND('Данные'!D1607&gt;='Дашборд'!$C$55,D1607&lt;'Дашборд'!$C$56,'Данные'!E1607&gt;='Дашборд'!$C$53,'Данные'!L1607&lt;&gt;"Да"),"Да","Нет")</x:f>
        <x:v>Нет</x:v>
      </x:c>
      <x:c r="O1607" s="1" t="str">
        <x:f>'Данные'!L1607</x:f>
        <x:v>Нет</x:v>
      </x:c>
    </x:row>
    <x:row r="1608">
      <x:c r="A1608" s="1" t="str">
        <x:f>'Данные'!A1608</x:f>
        <x:v>380676392</x:v>
      </x:c>
      <x:c r="B1608" s="1" t="str">
        <x:f>'Данные'!B1608</x:f>
        <x:v>futbolkaboy/серый</x:v>
      </x:c>
      <x:c r="C1608" s="8" t="n">
        <x:f>'Данные'!G1608</x:f>
        <x:v>1560</x:v>
      </x:c>
      <x:c r="D1608" s="15" t="n">
        <x:f>C1608/SUM($C$5:$C$2477)</x:f>
        <x:v>0.0000018224288612002677</x:v>
      </x:c>
      <x:c r="E1608" s="15" t="n">
        <x:f>SUM($D$5:D1608)</x:f>
        <x:v>0.9999565993239645</x:v>
      </x:c>
      <x:c r="F1608" s="1" t="str">
        <x:f>IF(C1608&lt;=0,"C",IF(E1608-D1608&lt;'Дашборд'!$C$49,"A",IF(E1608-D1608&lt;'Дашборд'!$C$50,"B","C")))</x:f>
        <x:v>C</x:v>
      </x:c>
      <x:c r="G1608" s="8" t="n">
        <x:f>'Данные'!F1608</x:f>
        <x:v>5</x:v>
      </x:c>
      <x:c r="H1608" s="8" t="n">
        <x:f>SUM('Данные'!H1608:I1608)</x:f>
        <x:v>80</x:v>
      </x:c>
      <x:c r="I1608" s="16" t="n">
        <x:f>IF(H1608&gt;0,G1608/H1608,"n.a.")</x:f>
        <x:v>0.0625</x:v>
      </x:c>
      <x:c r="J1608" s="10" t="n">
        <x:f>IF('Данные'!E1608&gt;0,G1608/'Данные'!E1608,"n.a.")</x:f>
        <x:v>0.0013027618551328818</x:v>
      </x:c>
      <x:c r="K1608" s="1" t="str">
        <x:f>IF(G1608&gt;='Дашборд'!$C$51,"X","Z")</x:f>
        <x:v>Z</x:v>
      </x:c>
      <x:c r="L1608" s="1" t="str">
        <x:f>IF(H1608=0,IF(G1608&gt;0,"Нет остатка","Нет спроса"),IF(I1608&gt;='Дашборд'!$C$52,"Быстрый","Медленный"))</x:f>
        <x:v>Медленный</x:v>
      </x:c>
      <x:c r="M1608" s="1" t="str">
        <x:f>IF('Данные'!E1608&lt;'Дашборд'!$C$53,"Мало трафика",IF(J1608&lt;'Дашборд'!$C$9*'Дашборд'!$C$54,"Да","Нет"))</x:f>
        <x:v>Да</x:v>
      </x:c>
      <x:c r="N1608" s="1" t="str">
        <x:f>IF(AND('Данные'!D1608&gt;='Дашборд'!$C$55,D1608&lt;'Дашборд'!$C$56,'Данные'!E1608&gt;='Дашборд'!$C$53,'Данные'!L1608&lt;&gt;"Да"),"Да","Нет")</x:f>
        <x:v>Да</x:v>
      </x:c>
      <x:c r="O1608" s="1" t="str">
        <x:f>'Данные'!L1608</x:f>
        <x:v>Нет</x:v>
      </x:c>
    </x:row>
    <x:row r="1609">
      <x:c r="A1609" s="1" t="str">
        <x:f>'Данные'!A1609</x:f>
        <x:v>75365743</x:v>
      </x:c>
      <x:c r="B1609" s="1" t="str">
        <x:f>'Данные'!B1609</x:f>
        <x:v>futbolka/фуксия</x:v>
      </x:c>
      <x:c r="C1609" s="8" t="n">
        <x:f>'Данные'!G1609</x:f>
        <x:v>1555</x:v>
      </x:c>
      <x:c r="D1609" s="15" t="n">
        <x:f>C1609/SUM($C$5:$C$2477)</x:f>
        <x:v>0.0000018165877430553951</x:v>
      </x:c>
      <x:c r="E1609" s="15" t="n">
        <x:f>SUM($D$5:D1609)</x:f>
        <x:v>0.9999584159117075</x:v>
      </x:c>
      <x:c r="F1609" s="1" t="str">
        <x:f>IF(C1609&lt;=0,"C",IF(E1609-D1609&lt;'Дашборд'!$C$49,"A",IF(E1609-D1609&lt;'Дашборд'!$C$50,"B","C")))</x:f>
        <x:v>C</x:v>
      </x:c>
      <x:c r="G1609" s="8" t="n">
        <x:f>'Данные'!F1609</x:f>
        <x:v>3</x:v>
      </x:c>
      <x:c r="H1609" s="8" t="n">
        <x:f>SUM('Данные'!H1609:I1609)</x:f>
        <x:v>0</x:v>
      </x:c>
      <x:c r="I1609" s="16" t="str">
        <x:f>IF(H1609&gt;0,G1609/H1609,"n.a.")</x:f>
        <x:v>n.a.</x:v>
      </x:c>
      <x:c r="J1609" s="10" t="n">
        <x:f>IF('Данные'!E1609&gt;0,G1609/'Данные'!E1609,"n.a.")</x:f>
        <x:v>0.00702576112412178</x:v>
      </x:c>
      <x:c r="K1609" s="1" t="str">
        <x:f>IF(G1609&gt;='Дашборд'!$C$51,"X","Z")</x:f>
        <x:v>Z</x:v>
      </x:c>
      <x:c r="L1609" s="1" t="str">
        <x:f>IF(H1609=0,IF(G1609&gt;0,"Нет остатка","Нет спроса"),IF(I1609&gt;='Дашборд'!$C$52,"Быстрый","Медленный"))</x:f>
        <x:v>Нет остатка</x:v>
      </x:c>
      <x:c r="M1609" s="1" t="str">
        <x:f>IF('Данные'!E1609&lt;'Дашборд'!$C$53,"Мало трафика",IF(J1609&lt;'Дашборд'!$C$9*'Дашборд'!$C$54,"Да","Нет"))</x:f>
        <x:v>Мало трафика</x:v>
      </x:c>
      <x:c r="N1609" s="1" t="str">
        <x:f>IF(AND('Данные'!D1609&gt;='Дашборд'!$C$55,D1609&lt;'Дашборд'!$C$56,'Данные'!E1609&gt;='Дашборд'!$C$53,'Данные'!L1609&lt;&gt;"Да"),"Да","Нет")</x:f>
        <x:v>Нет</x:v>
      </x:c>
      <x:c r="O1609" s="1" t="str">
        <x:f>'Данные'!L1609</x:f>
        <x:v>Нет</x:v>
      </x:c>
    </x:row>
    <x:row r="1610">
      <x:c r="A1610" s="1" t="str">
        <x:f>'Данные'!A1610</x:f>
        <x:v>233777187</x:v>
      </x:c>
      <x:c r="B1610" s="1" t="str">
        <x:f>'Данные'!B1610</x:f>
        <x:v>futbolkaboyX3/как-сер-чер</x:v>
      </x:c>
      <x:c r="C1610" s="8" t="n">
        <x:f>'Данные'!G1610</x:f>
        <x:v>1400</x:v>
      </x:c>
      <x:c r="D1610" s="15" t="n">
        <x:f>C1610/SUM($C$5:$C$2477)</x:f>
        <x:v>0.0000016355130805643428</x:v>
      </x:c>
      <x:c r="E1610" s="15" t="n">
        <x:f>SUM($D$5:D1610)</x:f>
        <x:v>0.999960051424788</x:v>
      </x:c>
      <x:c r="F1610" s="1" t="str">
        <x:f>IF(C1610&lt;=0,"C",IF(E1610-D1610&lt;'Дашборд'!$C$49,"A",IF(E1610-D1610&lt;'Дашборд'!$C$50,"B","C")))</x:f>
        <x:v>C</x:v>
      </x:c>
      <x:c r="G1610" s="8" t="n">
        <x:f>'Данные'!F1610</x:f>
        <x:v>1</x:v>
      </x:c>
      <x:c r="H1610" s="8" t="n">
        <x:f>SUM('Данные'!H1610:I1610)</x:f>
        <x:v>0</x:v>
      </x:c>
      <x:c r="I1610" s="16" t="str">
        <x:f>IF(H1610&gt;0,G1610/H1610,"n.a.")</x:f>
        <x:v>n.a.</x:v>
      </x:c>
      <x:c r="J1610" s="10" t="n">
        <x:f>IF('Данные'!E1610&gt;0,G1610/'Данные'!E1610,"n.a.")</x:f>
        <x:v>0.0037174721189591076</x:v>
      </x:c>
      <x:c r="K1610" s="1" t="str">
        <x:f>IF(G1610&gt;='Дашборд'!$C$51,"X","Z")</x:f>
        <x:v>Z</x:v>
      </x:c>
      <x:c r="L1610" s="1" t="str">
        <x:f>IF(H1610=0,IF(G1610&gt;0,"Нет остатка","Нет спроса"),IF(I1610&gt;='Дашборд'!$C$52,"Быстрый","Медленный"))</x:f>
        <x:v>Нет остатка</x:v>
      </x:c>
      <x:c r="M1610" s="1" t="str">
        <x:f>IF('Данные'!E1610&lt;'Дашборд'!$C$53,"Мало трафика",IF(J1610&lt;'Дашборд'!$C$9*'Дашборд'!$C$54,"Да","Нет"))</x:f>
        <x:v>Мало трафика</x:v>
      </x:c>
      <x:c r="N1610" s="1" t="str">
        <x:f>IF(AND('Данные'!D1610&gt;='Дашборд'!$C$55,D1610&lt;'Дашборд'!$C$56,'Данные'!E1610&gt;='Дашборд'!$C$53,'Данные'!L1610&lt;&gt;"Да"),"Да","Нет")</x:f>
        <x:v>Нет</x:v>
      </x:c>
      <x:c r="O1610" s="1" t="str">
        <x:f>'Данные'!L1610</x:f>
        <x:v>Нет</x:v>
      </x:c>
    </x:row>
    <x:row r="1611">
      <x:c r="A1611" s="1" t="str">
        <x:f>'Данные'!A1611</x:f>
        <x:v>40806201</x:v>
      </x:c>
      <x:c r="B1611" s="1" t="str">
        <x:f>'Данные'!B1611</x:f>
        <x:v>longslivdlinna/красный</x:v>
      </x:c>
      <x:c r="C1611" s="8" t="n">
        <x:f>'Данные'!G1611</x:f>
        <x:v>1325</x:v>
      </x:c>
      <x:c r="D1611" s="15" t="n">
        <x:f>C1611/SUM($C$5:$C$2477)</x:f>
        <x:v>0.000001547896308391253</x:v>
      </x:c>
      <x:c r="E1611" s="15" t="n">
        <x:f>SUM($D$5:D1611)</x:f>
        <x:v>0.9999615993210964</x:v>
      </x:c>
      <x:c r="F1611" s="1" t="str">
        <x:f>IF(C1611&lt;=0,"C",IF(E1611-D1611&lt;'Дашборд'!$C$49,"A",IF(E1611-D1611&lt;'Дашборд'!$C$50,"B","C")))</x:f>
        <x:v>C</x:v>
      </x:c>
      <x:c r="G1611" s="8" t="n">
        <x:f>'Данные'!F1611</x:f>
        <x:v>4</x:v>
      </x:c>
      <x:c r="H1611" s="8" t="n">
        <x:f>SUM('Данные'!H1611:I1611)</x:f>
        <x:v>0</x:v>
      </x:c>
      <x:c r="I1611" s="16" t="str">
        <x:f>IF(H1611&gt;0,G1611/H1611,"n.a.")</x:f>
        <x:v>n.a.</x:v>
      </x:c>
      <x:c r="J1611" s="10" t="n">
        <x:f>IF('Данные'!E1611&gt;0,G1611/'Данные'!E1611,"n.a.")</x:f>
        <x:v>0.006734006734006734</x:v>
      </x:c>
      <x:c r="K1611" s="1" t="str">
        <x:f>IF(G1611&gt;='Дашборд'!$C$51,"X","Z")</x:f>
        <x:v>Z</x:v>
      </x:c>
      <x:c r="L1611" s="1" t="str">
        <x:f>IF(H1611=0,IF(G1611&gt;0,"Нет остатка","Нет спроса"),IF(I1611&gt;='Дашборд'!$C$52,"Быстрый","Медленный"))</x:f>
        <x:v>Нет остатка</x:v>
      </x:c>
      <x:c r="M1611" s="1" t="str">
        <x:f>IF('Данные'!E1611&lt;'Дашборд'!$C$53,"Мало трафика",IF(J1611&lt;'Дашборд'!$C$9*'Дашборд'!$C$54,"Да","Нет"))</x:f>
        <x:v>Мало трафика</x:v>
      </x:c>
      <x:c r="N1611" s="1" t="str">
        <x:f>IF(AND('Данные'!D1611&gt;='Дашборд'!$C$55,D1611&lt;'Дашборд'!$C$56,'Данные'!E1611&gt;='Дашборд'!$C$53,'Данные'!L1611&lt;&gt;"Да"),"Да","Нет")</x:f>
        <x:v>Нет</x:v>
      </x:c>
      <x:c r="O1611" s="1" t="str">
        <x:f>'Данные'!L1611</x:f>
        <x:v>Нет</x:v>
      </x:c>
    </x:row>
    <x:row r="1612">
      <x:c r="A1612" s="1" t="str">
        <x:f>'Данные'!A1612</x:f>
        <x:v>175116977</x:v>
      </x:c>
      <x:c r="B1612" s="1" t="str">
        <x:f>'Данные'!B1612</x:f>
        <x:v>reglanman/эвкалипт</x:v>
      </x:c>
      <x:c r="C1612" s="8" t="n">
        <x:f>'Данные'!G1612</x:f>
        <x:v>1323</x:v>
      </x:c>
      <x:c r="D1612" s="15" t="n">
        <x:f>C1612/SUM($C$5:$C$2477)</x:f>
        <x:v>0.000001545559861133304</x:v>
      </x:c>
      <x:c r="E1612" s="15" t="n">
        <x:f>SUM($D$5:D1612)</x:f>
        <x:v>0.9999631448809575</x:v>
      </x:c>
      <x:c r="F1612" s="1" t="str">
        <x:f>IF(C1612&lt;=0,"C",IF(E1612-D1612&lt;'Дашборд'!$C$49,"A",IF(E1612-D1612&lt;'Дашборд'!$C$50,"B","C")))</x:f>
        <x:v>C</x:v>
      </x:c>
      <x:c r="G1612" s="8" t="n">
        <x:f>'Данные'!F1612</x:f>
        <x:v>1</x:v>
      </x:c>
      <x:c r="H1612" s="8" t="n">
        <x:f>SUM('Данные'!H1612:I1612)</x:f>
        <x:v>0</x:v>
      </x:c>
      <x:c r="I1612" s="16" t="str">
        <x:f>IF(H1612&gt;0,G1612/H1612,"n.a.")</x:f>
        <x:v>n.a.</x:v>
      </x:c>
      <x:c r="J1612" s="10" t="n">
        <x:f>IF('Данные'!E1612&gt;0,G1612/'Данные'!E1612,"n.a.")</x:f>
        <x:v>0.009615384615384616</x:v>
      </x:c>
      <x:c r="K1612" s="1" t="str">
        <x:f>IF(G1612&gt;='Дашборд'!$C$51,"X","Z")</x:f>
        <x:v>Z</x:v>
      </x:c>
      <x:c r="L1612" s="1" t="str">
        <x:f>IF(H1612=0,IF(G1612&gt;0,"Нет остатка","Нет спроса"),IF(I1612&gt;='Дашборд'!$C$52,"Быстрый","Медленный"))</x:f>
        <x:v>Нет остатка</x:v>
      </x:c>
      <x:c r="M1612" s="1" t="str">
        <x:f>IF('Данные'!E1612&lt;'Дашборд'!$C$53,"Мало трафика",IF(J1612&lt;'Дашборд'!$C$9*'Дашборд'!$C$54,"Да","Нет"))</x:f>
        <x:v>Мало трафика</x:v>
      </x:c>
      <x:c r="N1612" s="1" t="str">
        <x:f>IF(AND('Данные'!D1612&gt;='Дашборд'!$C$55,D1612&lt;'Дашборд'!$C$56,'Данные'!E1612&gt;='Дашборд'!$C$53,'Данные'!L1612&lt;&gt;"Да"),"Да","Нет")</x:f>
        <x:v>Нет</x:v>
      </x:c>
      <x:c r="O1612" s="1" t="str">
        <x:f>'Данные'!L1612</x:f>
        <x:v>Нет</x:v>
      </x:c>
    </x:row>
    <x:row r="1613">
      <x:c r="A1613" s="1" t="str">
        <x:f>'Данные'!A1613</x:f>
        <x:v>40806199</x:v>
      </x:c>
      <x:c r="B1613" s="1" t="str">
        <x:f>'Данные'!B1613</x:f>
        <x:v>longslivdlinna/черный</x:v>
      </x:c>
      <x:c r="C1613" s="8" t="n">
        <x:f>'Данные'!G1613</x:f>
        <x:v>1205</x:v>
      </x:c>
      <x:c r="D1613" s="15" t="n">
        <x:f>C1613/SUM($C$5:$C$2477)</x:f>
        <x:v>0.0000014077094729143093</x:v>
      </x:c>
      <x:c r="E1613" s="15" t="n">
        <x:f>SUM($D$5:D1613)</x:f>
        <x:v>0.9999645525904304</x:v>
      </x:c>
      <x:c r="F1613" s="1" t="str">
        <x:f>IF(C1613&lt;=0,"C",IF(E1613-D1613&lt;'Дашборд'!$C$49,"A",IF(E1613-D1613&lt;'Дашборд'!$C$50,"B","C")))</x:f>
        <x:v>C</x:v>
      </x:c>
      <x:c r="G1613" s="8" t="n">
        <x:f>'Данные'!F1613</x:f>
        <x:v>2</x:v>
      </x:c>
      <x:c r="H1613" s="8" t="n">
        <x:f>SUM('Данные'!H1613:I1613)</x:f>
        <x:v>0</x:v>
      </x:c>
      <x:c r="I1613" s="16" t="str">
        <x:f>IF(H1613&gt;0,G1613/H1613,"n.a.")</x:f>
        <x:v>n.a.</x:v>
      </x:c>
      <x:c r="J1613" s="10" t="n">
        <x:f>IF('Данные'!E1613&gt;0,G1613/'Данные'!E1613,"n.a.")</x:f>
        <x:v>0.006666666666666667</x:v>
      </x:c>
      <x:c r="K1613" s="1" t="str">
        <x:f>IF(G1613&gt;='Дашборд'!$C$51,"X","Z")</x:f>
        <x:v>Z</x:v>
      </x:c>
      <x:c r="L1613" s="1" t="str">
        <x:f>IF(H1613=0,IF(G1613&gt;0,"Нет остатка","Нет спроса"),IF(I1613&gt;='Дашборд'!$C$52,"Быстрый","Медленный"))</x:f>
        <x:v>Нет остатка</x:v>
      </x:c>
      <x:c r="M1613" s="1" t="str">
        <x:f>IF('Данные'!E1613&lt;'Дашборд'!$C$53,"Мало трафика",IF(J1613&lt;'Дашборд'!$C$9*'Дашборд'!$C$54,"Да","Нет"))</x:f>
        <x:v>Мало трафика</x:v>
      </x:c>
      <x:c r="N1613" s="1" t="str">
        <x:f>IF(AND('Данные'!D1613&gt;='Дашборд'!$C$55,D1613&lt;'Дашборд'!$C$56,'Данные'!E1613&gt;='Дашборд'!$C$53,'Данные'!L1613&lt;&gt;"Да"),"Да","Нет")</x:f>
        <x:v>Нет</x:v>
      </x:c>
      <x:c r="O1613" s="1" t="str">
        <x:f>'Данные'!L1613</x:f>
        <x:v>Нет</x:v>
      </x:c>
    </x:row>
    <x:row r="1614">
      <x:c r="A1614" s="1" t="str">
        <x:f>'Данные'!A1614</x:f>
        <x:v>316510760</x:v>
      </x:c>
      <x:c r="B1614" s="1" t="str">
        <x:f>'Данные'!B1614</x:f>
        <x:v>brukiboy/песочный</x:v>
      </x:c>
      <x:c r="C1614" s="8" t="n">
        <x:f>'Данные'!G1614</x:f>
        <x:v>1180</x:v>
      </x:c>
      <x:c r="D1614" s="15" t="n">
        <x:f>C1614/SUM($C$5:$C$2477)</x:f>
        <x:v>0.000001378503882189946</x:v>
      </x:c>
      <x:c r="E1614" s="15" t="n">
        <x:f>SUM($D$5:D1614)</x:f>
        <x:v>0.9999659310943125</x:v>
      </x:c>
      <x:c r="F1614" s="1" t="str">
        <x:f>IF(C1614&lt;=0,"C",IF(E1614-D1614&lt;'Дашборд'!$C$49,"A",IF(E1614-D1614&lt;'Дашборд'!$C$50,"B","C")))</x:f>
        <x:v>C</x:v>
      </x:c>
      <x:c r="G1614" s="8" t="n">
        <x:f>'Данные'!F1614</x:f>
        <x:v>2</x:v>
      </x:c>
      <x:c r="H1614" s="8" t="n">
        <x:f>SUM('Данные'!H1614:I1614)</x:f>
        <x:v>36</x:v>
      </x:c>
      <x:c r="I1614" s="16" t="n">
        <x:f>IF(H1614&gt;0,G1614/H1614,"n.a.")</x:f>
        <x:v>0.05555555555555555</x:v>
      </x:c>
      <x:c r="J1614" s="10" t="n">
        <x:f>IF('Данные'!E1614&gt;0,G1614/'Данные'!E1614,"n.a.")</x:f>
        <x:v>0.0008703220191470844</x:v>
      </x:c>
      <x:c r="K1614" s="1" t="str">
        <x:f>IF(G1614&gt;='Дашборд'!$C$51,"X","Z")</x:f>
        <x:v>Z</x:v>
      </x:c>
      <x:c r="L1614" s="1" t="str">
        <x:f>IF(H1614=0,IF(G1614&gt;0,"Нет остатка","Нет спроса"),IF(I1614&gt;='Дашборд'!$C$52,"Быстрый","Медленный"))</x:f>
        <x:v>Медленный</x:v>
      </x:c>
      <x:c r="M1614" s="1" t="str">
        <x:f>IF('Данные'!E1614&lt;'Дашборд'!$C$53,"Мало трафика",IF(J1614&lt;'Дашборд'!$C$9*'Дашборд'!$C$54,"Да","Нет"))</x:f>
        <x:v>Да</x:v>
      </x:c>
      <x:c r="N1614" s="1" t="str">
        <x:f>IF(AND('Данные'!D1614&gt;='Дашборд'!$C$55,D1614&lt;'Дашборд'!$C$56,'Данные'!E1614&gt;='Дашборд'!$C$53,'Данные'!L1614&lt;&gt;"Да"),"Да","Нет")</x:f>
        <x:v>Нет</x:v>
      </x:c>
      <x:c r="O1614" s="1" t="str">
        <x:f>'Данные'!L1614</x:f>
        <x:v>Нет</x:v>
      </x:c>
    </x:row>
    <x:row r="1615">
      <x:c r="A1615" s="1" t="str">
        <x:f>'Данные'!A1615</x:f>
        <x:v>209914841</x:v>
      </x:c>
      <x:c r="B1615" s="1" t="str">
        <x:f>'Данные'!B1615</x:f>
        <x:v>longsvobod/мятапыльная</x:v>
      </x:c>
      <x:c r="C1615" s="8" t="n">
        <x:f>'Данные'!G1615</x:f>
        <x:v>1160</x:v>
      </x:c>
      <x:c r="D1615" s="15" t="n">
        <x:f>C1615/SUM($C$5:$C$2477)</x:f>
        <x:v>0.0000013551394096104555</x:v>
      </x:c>
      <x:c r="E1615" s="15" t="n">
        <x:f>SUM($D$5:D1615)</x:f>
        <x:v>0.9999672862337221</x:v>
      </x:c>
      <x:c r="F1615" s="1" t="str">
        <x:f>IF(C1615&lt;=0,"C",IF(E1615-D1615&lt;'Дашборд'!$C$49,"A",IF(E1615-D1615&lt;'Дашборд'!$C$50,"B","C")))</x:f>
        <x:v>C</x:v>
      </x:c>
      <x:c r="G1615" s="8" t="n">
        <x:f>'Данные'!F1615</x:f>
        <x:v>1</x:v>
      </x:c>
      <x:c r="H1615" s="8" t="n">
        <x:f>SUM('Данные'!H1615:I1615)</x:f>
        <x:v>0</x:v>
      </x:c>
      <x:c r="I1615" s="16" t="str">
        <x:f>IF(H1615&gt;0,G1615/H1615,"n.a.")</x:f>
        <x:v>n.a.</x:v>
      </x:c>
      <x:c r="J1615" s="10" t="n">
        <x:f>IF('Данные'!E1615&gt;0,G1615/'Данные'!E1615,"n.a.")</x:f>
        <x:v>0.0017271157167530224</x:v>
      </x:c>
      <x:c r="K1615" s="1" t="str">
        <x:f>IF(G1615&gt;='Дашборд'!$C$51,"X","Z")</x:f>
        <x:v>Z</x:v>
      </x:c>
      <x:c r="L1615" s="1" t="str">
        <x:f>IF(H1615=0,IF(G1615&gt;0,"Нет остатка","Нет спроса"),IF(I1615&gt;='Дашборд'!$C$52,"Быстрый","Медленный"))</x:f>
        <x:v>Нет остатка</x:v>
      </x:c>
      <x:c r="M1615" s="1" t="str">
        <x:f>IF('Данные'!E1615&lt;'Дашборд'!$C$53,"Мало трафика",IF(J1615&lt;'Дашборд'!$C$9*'Дашборд'!$C$54,"Да","Нет"))</x:f>
        <x:v>Мало трафика</x:v>
      </x:c>
      <x:c r="N1615" s="1" t="str">
        <x:f>IF(AND('Данные'!D1615&gt;='Дашборд'!$C$55,D1615&lt;'Дашборд'!$C$56,'Данные'!E1615&gt;='Дашборд'!$C$53,'Данные'!L1615&lt;&gt;"Да"),"Да","Нет")</x:f>
        <x:v>Нет</x:v>
      </x:c>
      <x:c r="O1615" s="1" t="str">
        <x:f>'Данные'!L1615</x:f>
        <x:v>Нет</x:v>
      </x:c>
    </x:row>
    <x:row r="1616">
      <x:c r="A1616" s="1" t="str">
        <x:f>'Данные'!A1616</x:f>
        <x:v>209915088</x:v>
      </x:c>
      <x:c r="B1616" s="1" t="str">
        <x:f>'Данные'!B1616</x:f>
        <x:v>longsvobod/зеленый</x:v>
      </x:c>
      <x:c r="C1616" s="8" t="n">
        <x:f>'Данные'!G1616</x:f>
        <x:v>1140</x:v>
      </x:c>
      <x:c r="D1616" s="15" t="n">
        <x:f>C1616/SUM($C$5:$C$2477)</x:f>
        <x:v>0.000001331774937030965</x:v>
      </x:c>
      <x:c r="E1616" s="15" t="n">
        <x:f>SUM($D$5:D1616)</x:f>
        <x:v>0.9999686180086591</x:v>
      </x:c>
      <x:c r="F1616" s="1" t="str">
        <x:f>IF(C1616&lt;=0,"C",IF(E1616-D1616&lt;'Дашборд'!$C$49,"A",IF(E1616-D1616&lt;'Дашборд'!$C$50,"B","C")))</x:f>
        <x:v>C</x:v>
      </x:c>
      <x:c r="G1616" s="8" t="n">
        <x:f>'Данные'!F1616</x:f>
        <x:v>4</x:v>
      </x:c>
      <x:c r="H1616" s="8" t="n">
        <x:f>SUM('Данные'!H1616:I1616)</x:f>
        <x:v>56</x:v>
      </x:c>
      <x:c r="I1616" s="16" t="n">
        <x:f>IF(H1616&gt;0,G1616/H1616,"n.a.")</x:f>
        <x:v>0.07142857142857142</x:v>
      </x:c>
      <x:c r="J1616" s="10" t="n">
        <x:f>IF('Данные'!E1616&gt;0,G1616/'Данные'!E1616,"n.a.")</x:f>
        <x:v>0.0018424689083371719</x:v>
      </x:c>
      <x:c r="K1616" s="1" t="str">
        <x:f>IF(G1616&gt;='Дашборд'!$C$51,"X","Z")</x:f>
        <x:v>Z</x:v>
      </x:c>
      <x:c r="L1616" s="1" t="str">
        <x:f>IF(H1616=0,IF(G1616&gt;0,"Нет остатка","Нет спроса"),IF(I1616&gt;='Дашборд'!$C$52,"Быстрый","Медленный"))</x:f>
        <x:v>Медленный</x:v>
      </x:c>
      <x:c r="M1616" s="1" t="str">
        <x:f>IF('Данные'!E1616&lt;'Дашборд'!$C$53,"Мало трафика",IF(J1616&lt;'Дашборд'!$C$9*'Дашборд'!$C$54,"Да","Нет"))</x:f>
        <x:v>Да</x:v>
      </x:c>
      <x:c r="N1616" s="1" t="str">
        <x:f>IF(AND('Данные'!D1616&gt;='Дашборд'!$C$55,D1616&lt;'Дашборд'!$C$56,'Данные'!E1616&gt;='Дашборд'!$C$53,'Данные'!L1616&lt;&gt;"Да"),"Да","Нет")</x:f>
        <x:v>Нет</x:v>
      </x:c>
      <x:c r="O1616" s="1" t="str">
        <x:f>'Данные'!L1616</x:f>
        <x:v>Нет</x:v>
      </x:c>
    </x:row>
    <x:row r="1617">
      <x:c r="A1617" s="1" t="str">
        <x:f>'Данные'!A1617</x:f>
        <x:v>209915042</x:v>
      </x:c>
      <x:c r="B1617" s="1" t="str">
        <x:f>'Данные'!B1617</x:f>
        <x:v>longsvobod/зеленосерый</x:v>
      </x:c>
      <x:c r="C1617" s="8" t="n">
        <x:f>'Данные'!G1617</x:f>
        <x:v>1118</x:v>
      </x:c>
      <x:c r="D1617" s="15" t="n">
        <x:f>C1617/SUM($C$5:$C$2477)</x:f>
        <x:v>0.0000013060740171935252</x:v>
      </x:c>
      <x:c r="E1617" s="15" t="n">
        <x:f>SUM($D$5:D1617)</x:f>
        <x:v>0.9999699240826763</x:v>
      </x:c>
      <x:c r="F1617" s="1" t="str">
        <x:f>IF(C1617&lt;=0,"C",IF(E1617-D1617&lt;'Дашборд'!$C$49,"A",IF(E1617-D1617&lt;'Дашборд'!$C$50,"B","C")))</x:f>
        <x:v>C</x:v>
      </x:c>
      <x:c r="G1617" s="8" t="n">
        <x:f>'Данные'!F1617</x:f>
        <x:v>5</x:v>
      </x:c>
      <x:c r="H1617" s="8" t="n">
        <x:f>SUM('Данные'!H1617:I1617)</x:f>
        <x:v>21</x:v>
      </x:c>
      <x:c r="I1617" s="16" t="n">
        <x:f>IF(H1617&gt;0,G1617/H1617,"n.a.")</x:f>
        <x:v>0.23809523809523808</x:v>
      </x:c>
      <x:c r="J1617" s="10" t="n">
        <x:f>IF('Данные'!E1617&gt;0,G1617/'Данные'!E1617,"n.a.")</x:f>
        <x:v>0.0018315018315018315</x:v>
      </x:c>
      <x:c r="K1617" s="1" t="str">
        <x:f>IF(G1617&gt;='Дашборд'!$C$51,"X","Z")</x:f>
        <x:v>Z</x:v>
      </x:c>
      <x:c r="L1617" s="1" t="str">
        <x:f>IF(H1617=0,IF(G1617&gt;0,"Нет остатка","Нет спроса"),IF(I1617&gt;='Дашборд'!$C$52,"Быстрый","Медленный"))</x:f>
        <x:v>Медленный</x:v>
      </x:c>
      <x:c r="M1617" s="1" t="str">
        <x:f>IF('Данные'!E1617&lt;'Дашборд'!$C$53,"Мало трафика",IF(J1617&lt;'Дашборд'!$C$9*'Дашборд'!$C$54,"Да","Нет"))</x:f>
        <x:v>Да</x:v>
      </x:c>
      <x:c r="N1617" s="1" t="str">
        <x:f>IF(AND('Данные'!D1617&gt;='Дашборд'!$C$55,D1617&lt;'Дашборд'!$C$56,'Данные'!E1617&gt;='Дашборд'!$C$53,'Данные'!L1617&lt;&gt;"Да"),"Да","Нет")</x:f>
        <x:v>Нет</x:v>
      </x:c>
      <x:c r="O1617" s="1" t="str">
        <x:f>'Данные'!L1617</x:f>
        <x:v>Нет</x:v>
      </x:c>
    </x:row>
    <x:row r="1618">
      <x:c r="A1618" s="1" t="str">
        <x:f>'Данные'!A1618</x:f>
        <x:v>114587234</x:v>
      </x:c>
      <x:c r="B1618" s="1" t="str">
        <x:f>'Данные'!B1618</x:f>
        <x:v>longslivdlinna/мандариновый</x:v>
      </x:c>
      <x:c r="C1618" s="8" t="n">
        <x:f>'Данные'!G1618</x:f>
        <x:v>1115</x:v>
      </x:c>
      <x:c r="D1618" s="15" t="n">
        <x:f>C1618/SUM($C$5:$C$2477)</x:f>
        <x:v>0.0000013025693463066016</x:v>
      </x:c>
      <x:c r="E1618" s="15" t="n">
        <x:f>SUM($D$5:D1618)</x:f>
        <x:v>0.9999712266520225</x:v>
      </x:c>
      <x:c r="F1618" s="1" t="str">
        <x:f>IF(C1618&lt;=0,"C",IF(E1618-D1618&lt;'Дашборд'!$C$49,"A",IF(E1618-D1618&lt;'Дашборд'!$C$50,"B","C")))</x:f>
        <x:v>C</x:v>
      </x:c>
      <x:c r="G1618" s="8" t="n">
        <x:f>'Данные'!F1618</x:f>
        <x:v>6</x:v>
      </x:c>
      <x:c r="H1618" s="8" t="n">
        <x:f>SUM('Данные'!H1618:I1618)</x:f>
        <x:v>51</x:v>
      </x:c>
      <x:c r="I1618" s="16" t="n">
        <x:f>IF(H1618&gt;0,G1618/H1618,"n.a.")</x:f>
        <x:v>0.11764705882352941</x:v>
      </x:c>
      <x:c r="J1618" s="10" t="n">
        <x:f>IF('Данные'!E1618&gt;0,G1618/'Данные'!E1618,"n.a.")</x:f>
        <x:v>0.004373177842565598</x:v>
      </x:c>
      <x:c r="K1618" s="1" t="str">
        <x:f>IF(G1618&gt;='Дашборд'!$C$51,"X","Z")</x:f>
        <x:v>Z</x:v>
      </x:c>
      <x:c r="L1618" s="1" t="str">
        <x:f>IF(H1618=0,IF(G1618&gt;0,"Нет остатка","Нет спроса"),IF(I1618&gt;='Дашборд'!$C$52,"Быстрый","Медленный"))</x:f>
        <x:v>Медленный</x:v>
      </x:c>
      <x:c r="M1618" s="1" t="str">
        <x:f>IF('Данные'!E1618&lt;'Дашборд'!$C$53,"Мало трафика",IF(J1618&lt;'Дашборд'!$C$9*'Дашборд'!$C$54,"Да","Нет"))</x:f>
        <x:v>Да</x:v>
      </x:c>
      <x:c r="N1618" s="1" t="str">
        <x:f>IF(AND('Данные'!D1618&gt;='Дашборд'!$C$55,D1618&lt;'Дашборд'!$C$56,'Данные'!E1618&gt;='Дашборд'!$C$53,'Данные'!L1618&lt;&gt;"Да"),"Да","Нет")</x:f>
        <x:v>Нет</x:v>
      </x:c>
      <x:c r="O1618" s="1" t="str">
        <x:f>'Данные'!L1618</x:f>
        <x:v>Нет</x:v>
      </x:c>
    </x:row>
    <x:row r="1619">
      <x:c r="A1619" s="1" t="str">
        <x:f>'Данные'!A1619</x:f>
        <x:v>324987825</x:v>
      </x:c>
      <x:c r="B1619" s="1" t="str">
        <x:f>'Данные'!B1619</x:f>
        <x:v>brukiboy/голубой</x:v>
      </x:c>
      <x:c r="C1619" s="8" t="n">
        <x:f>'Данные'!G1619</x:f>
        <x:v>1075</x:v>
      </x:c>
      <x:c r="D1619" s="15" t="n">
        <x:f>C1619/SUM($C$5:$C$2477)</x:f>
        <x:v>0.0000012558404011476203</x:v>
      </x:c>
      <x:c r="E1619" s="15" t="n">
        <x:f>SUM($D$5:D1619)</x:f>
        <x:v>0.9999724824924237</x:v>
      </x:c>
      <x:c r="F1619" s="1" t="str">
        <x:f>IF(C1619&lt;=0,"C",IF(E1619-D1619&lt;'Дашборд'!$C$49,"A",IF(E1619-D1619&lt;'Дашборд'!$C$50,"B","C")))</x:f>
        <x:v>C</x:v>
      </x:c>
      <x:c r="G1619" s="8" t="n">
        <x:f>'Данные'!F1619</x:f>
        <x:v>2</x:v>
      </x:c>
      <x:c r="H1619" s="8" t="n">
        <x:f>SUM('Данные'!H1619:I1619)</x:f>
        <x:v>37</x:v>
      </x:c>
      <x:c r="I1619" s="16" t="n">
        <x:f>IF(H1619&gt;0,G1619/H1619,"n.a.")</x:f>
        <x:v>0.05405405405405406</x:v>
      </x:c>
      <x:c r="J1619" s="10" t="n">
        <x:f>IF('Данные'!E1619&gt;0,G1619/'Данные'!E1619,"n.a.")</x:f>
        <x:v>0.0007507507507507507</x:v>
      </x:c>
      <x:c r="K1619" s="1" t="str">
        <x:f>IF(G1619&gt;='Дашборд'!$C$51,"X","Z")</x:f>
        <x:v>Z</x:v>
      </x:c>
      <x:c r="L1619" s="1" t="str">
        <x:f>IF(H1619=0,IF(G1619&gt;0,"Нет остатка","Нет спроса"),IF(I1619&gt;='Дашборд'!$C$52,"Быстрый","Медленный"))</x:f>
        <x:v>Медленный</x:v>
      </x:c>
      <x:c r="M1619" s="1" t="str">
        <x:f>IF('Данные'!E1619&lt;'Дашборд'!$C$53,"Мало трафика",IF(J1619&lt;'Дашборд'!$C$9*'Дашборд'!$C$54,"Да","Нет"))</x:f>
        <x:v>Да</x:v>
      </x:c>
      <x:c r="N1619" s="1" t="str">
        <x:f>IF(AND('Данные'!D1619&gt;='Дашборд'!$C$55,D1619&lt;'Дашборд'!$C$56,'Данные'!E1619&gt;='Дашборд'!$C$53,'Данные'!L1619&lt;&gt;"Да"),"Да","Нет")</x:f>
        <x:v>Нет</x:v>
      </x:c>
      <x:c r="O1619" s="1" t="str">
        <x:f>'Данные'!L1619</x:f>
        <x:v>Нет</x:v>
      </x:c>
    </x:row>
    <x:row r="1620">
      <x:c r="A1620" s="1" t="str">
        <x:f>'Данные'!A1620</x:f>
        <x:v>324987831</x:v>
      </x:c>
      <x:c r="B1620" s="1" t="str">
        <x:f>'Данные'!B1620</x:f>
        <x:v>brukiboy/хаки</x:v>
      </x:c>
      <x:c r="C1620" s="8" t="n">
        <x:f>'Данные'!G1620</x:f>
        <x:v>1075</x:v>
      </x:c>
      <x:c r="D1620" s="15" t="n">
        <x:f>C1620/SUM($C$5:$C$2477)</x:f>
        <x:v>0.0000012558404011476203</x:v>
      </x:c>
      <x:c r="E1620" s="15" t="n">
        <x:f>SUM($D$5:D1620)</x:f>
        <x:v>0.9999737383328248</x:v>
      </x:c>
      <x:c r="F1620" s="1" t="str">
        <x:f>IF(C1620&lt;=0,"C",IF(E1620-D1620&lt;'Дашборд'!$C$49,"A",IF(E1620-D1620&lt;'Дашборд'!$C$50,"B","C")))</x:f>
        <x:v>C</x:v>
      </x:c>
      <x:c r="G1620" s="8" t="n">
        <x:f>'Данные'!F1620</x:f>
        <x:v>2</x:v>
      </x:c>
      <x:c r="H1620" s="8" t="n">
        <x:f>SUM('Данные'!H1620:I1620)</x:f>
        <x:v>8</x:v>
      </x:c>
      <x:c r="I1620" s="16" t="n">
        <x:f>IF(H1620&gt;0,G1620/H1620,"n.a.")</x:f>
        <x:v>0.25</x:v>
      </x:c>
      <x:c r="J1620" s="10" t="n">
        <x:f>IF('Данные'!E1620&gt;0,G1620/'Данные'!E1620,"n.a.")</x:f>
        <x:v>0.0005078720162519045</x:v>
      </x:c>
      <x:c r="K1620" s="1" t="str">
        <x:f>IF(G1620&gt;='Дашборд'!$C$51,"X","Z")</x:f>
        <x:v>Z</x:v>
      </x:c>
      <x:c r="L1620" s="1" t="str">
        <x:f>IF(H1620=0,IF(G1620&gt;0,"Нет остатка","Нет спроса"),IF(I1620&gt;='Дашборд'!$C$52,"Быстрый","Медленный"))</x:f>
        <x:v>Медленный</x:v>
      </x:c>
      <x:c r="M1620" s="1" t="str">
        <x:f>IF('Данные'!E1620&lt;'Дашборд'!$C$53,"Мало трафика",IF(J1620&lt;'Дашборд'!$C$9*'Дашборд'!$C$54,"Да","Нет"))</x:f>
        <x:v>Да</x:v>
      </x:c>
      <x:c r="N1620" s="1" t="str">
        <x:f>IF(AND('Данные'!D1620&gt;='Дашборд'!$C$55,D1620&lt;'Дашборд'!$C$56,'Данные'!E1620&gt;='Дашборд'!$C$53,'Данные'!L1620&lt;&gt;"Да"),"Да","Нет")</x:f>
        <x:v>Нет</x:v>
      </x:c>
      <x:c r="O1620" s="1" t="str">
        <x:f>'Данные'!L1620</x:f>
        <x:v>Нет</x:v>
      </x:c>
    </x:row>
    <x:row r="1621">
      <x:c r="A1621" s="1" t="str">
        <x:f>'Данные'!A1621</x:f>
        <x:v>333105271</x:v>
      </x:c>
      <x:c r="B1621" s="1" t="str">
        <x:f>'Данные'!B1621</x:f>
        <x:v>brukigirl/светло-розовый</x:v>
      </x:c>
      <x:c r="C1621" s="8" t="n">
        <x:f>'Данные'!G1621</x:f>
        <x:v>1075</x:v>
      </x:c>
      <x:c r="D1621" s="15" t="n">
        <x:f>C1621/SUM($C$5:$C$2477)</x:f>
        <x:v>0.0000012558404011476203</x:v>
      </x:c>
      <x:c r="E1621" s="15" t="n">
        <x:f>SUM($D$5:D1621)</x:f>
        <x:v>0.9999749941732259</x:v>
      </x:c>
      <x:c r="F1621" s="1" t="str">
        <x:f>IF(C1621&lt;=0,"C",IF(E1621-D1621&lt;'Дашборд'!$C$49,"A",IF(E1621-D1621&lt;'Дашборд'!$C$50,"B","C")))</x:f>
        <x:v>C</x:v>
      </x:c>
      <x:c r="G1621" s="8" t="n">
        <x:f>'Данные'!F1621</x:f>
        <x:v>4</x:v>
      </x:c>
      <x:c r="H1621" s="8" t="n">
        <x:f>SUM('Данные'!H1621:I1621)</x:f>
        <x:v>314</x:v>
      </x:c>
      <x:c r="I1621" s="16" t="n">
        <x:f>IF(H1621&gt;0,G1621/H1621,"n.a.")</x:f>
        <x:v>0.012738853503184714</x:v>
      </x:c>
      <x:c r="J1621" s="10" t="n">
        <x:f>IF('Данные'!E1621&gt;0,G1621/'Данные'!E1621,"n.a.")</x:f>
        <x:v>0.000959462700887503</x:v>
      </x:c>
      <x:c r="K1621" s="1" t="str">
        <x:f>IF(G1621&gt;='Дашборд'!$C$51,"X","Z")</x:f>
        <x:v>Z</x:v>
      </x:c>
      <x:c r="L1621" s="1" t="str">
        <x:f>IF(H1621=0,IF(G1621&gt;0,"Нет остатка","Нет спроса"),IF(I1621&gt;='Дашборд'!$C$52,"Быстрый","Медленный"))</x:f>
        <x:v>Медленный</x:v>
      </x:c>
      <x:c r="M1621" s="1" t="str">
        <x:f>IF('Данные'!E1621&lt;'Дашборд'!$C$53,"Мало трафика",IF(J1621&lt;'Дашборд'!$C$9*'Дашборд'!$C$54,"Да","Нет"))</x:f>
        <x:v>Да</x:v>
      </x:c>
      <x:c r="N1621" s="1" t="str">
        <x:f>IF(AND('Данные'!D1621&gt;='Дашборд'!$C$55,D1621&lt;'Дашборд'!$C$56,'Данные'!E1621&gt;='Дашборд'!$C$53,'Данные'!L1621&lt;&gt;"Да"),"Да","Нет")</x:f>
        <x:v>Нет</x:v>
      </x:c>
      <x:c r="O1621" s="1" t="str">
        <x:f>'Данные'!L1621</x:f>
        <x:v>Нет</x:v>
      </x:c>
    </x:row>
    <x:row r="1622">
      <x:c r="A1622" s="1" t="str">
        <x:f>'Данные'!A1622</x:f>
        <x:v>235612550</x:v>
      </x:c>
      <x:c r="B1622" s="1" t="str">
        <x:f>'Данные'!B1622</x:f>
        <x:v>futbolkaover/коричневый-дымчатый</x:v>
      </x:c>
      <x:c r="C1622" s="8" t="n">
        <x:f>'Данные'!G1622</x:f>
        <x:v>1070</x:v>
      </x:c>
      <x:c r="D1622" s="15" t="n">
        <x:f>C1622/SUM($C$5:$C$2477)</x:f>
        <x:v>0.0000012499992830027477</x:v>
      </x:c>
      <x:c r="E1622" s="15" t="n">
        <x:f>SUM($D$5:D1622)</x:f>
        <x:v>0.9999762441725089</x:v>
      </x:c>
      <x:c r="F1622" s="1" t="str">
        <x:f>IF(C1622&lt;=0,"C",IF(E1622-D1622&lt;'Дашборд'!$C$49,"A",IF(E1622-D1622&lt;'Дашборд'!$C$50,"B","C")))</x:f>
        <x:v>C</x:v>
      </x:c>
      <x:c r="G1622" s="8" t="n">
        <x:f>'Данные'!F1622</x:f>
        <x:v>1</x:v>
      </x:c>
      <x:c r="H1622" s="8" t="n">
        <x:f>SUM('Данные'!H1622:I1622)</x:f>
        <x:v>0</x:v>
      </x:c>
      <x:c r="I1622" s="16" t="str">
        <x:f>IF(H1622&gt;0,G1622/H1622,"n.a.")</x:f>
        <x:v>n.a.</x:v>
      </x:c>
      <x:c r="J1622" s="10" t="n">
        <x:f>IF('Данные'!E1622&gt;0,G1622/'Данные'!E1622,"n.a.")</x:f>
        <x:v>0.01818181818181818</x:v>
      </x:c>
      <x:c r="K1622" s="1" t="str">
        <x:f>IF(G1622&gt;='Дашборд'!$C$51,"X","Z")</x:f>
        <x:v>Z</x:v>
      </x:c>
      <x:c r="L1622" s="1" t="str">
        <x:f>IF(H1622=0,IF(G1622&gt;0,"Нет остатка","Нет спроса"),IF(I1622&gt;='Дашборд'!$C$52,"Быстрый","Медленный"))</x:f>
        <x:v>Нет остатка</x:v>
      </x:c>
      <x:c r="M1622" s="1" t="str">
        <x:f>IF('Данные'!E1622&lt;'Дашборд'!$C$53,"Мало трафика",IF(J1622&lt;'Дашборд'!$C$9*'Дашборд'!$C$54,"Да","Нет"))</x:f>
        <x:v>Мало трафика</x:v>
      </x:c>
      <x:c r="N1622" s="1" t="str">
        <x:f>IF(AND('Данные'!D1622&gt;='Дашборд'!$C$55,D1622&lt;'Дашборд'!$C$56,'Данные'!E1622&gt;='Дашборд'!$C$53,'Данные'!L1622&lt;&gt;"Да"),"Да","Нет")</x:f>
        <x:v>Нет</x:v>
      </x:c>
      <x:c r="O1622" s="1" t="str">
        <x:f>'Данные'!L1622</x:f>
        <x:v>Нет</x:v>
      </x:c>
    </x:row>
    <x:row r="1623">
      <x:c r="A1623" s="1" t="str">
        <x:f>'Данные'!A1623</x:f>
        <x:v>26238833</x:v>
      </x:c>
      <x:c r="B1623" s="1" t="str">
        <x:f>'Данные'!B1623</x:f>
        <x:v>futbolka_mary/хаки</x:v>
      </x:c>
      <x:c r="C1623" s="8" t="n">
        <x:f>'Данные'!G1623</x:f>
        <x:v>1060</x:v>
      </x:c>
      <x:c r="D1623" s="15" t="n">
        <x:f>C1623/SUM($C$5:$C$2477)</x:f>
        <x:v>0.0000012383170467130023</x:v>
      </x:c>
      <x:c r="E1623" s="15" t="n">
        <x:f>SUM($D$5:D1623)</x:f>
        <x:v>0.9999774824895555</x:v>
      </x:c>
      <x:c r="F1623" s="1" t="str">
        <x:f>IF(C1623&lt;=0,"C",IF(E1623-D1623&lt;'Дашборд'!$C$49,"A",IF(E1623-D1623&lt;'Дашборд'!$C$50,"B","C")))</x:f>
        <x:v>C</x:v>
      </x:c>
      <x:c r="G1623" s="8" t="n">
        <x:f>'Данные'!F1623</x:f>
        <x:v>2</x:v>
      </x:c>
      <x:c r="H1623" s="8" t="n">
        <x:f>SUM('Данные'!H1623:I1623)</x:f>
        <x:v>0</x:v>
      </x:c>
      <x:c r="I1623" s="16" t="str">
        <x:f>IF(H1623&gt;0,G1623/H1623,"n.a.")</x:f>
        <x:v>n.a.</x:v>
      </x:c>
      <x:c r="J1623" s="10" t="n">
        <x:f>IF('Данные'!E1623&gt;0,G1623/'Данные'!E1623,"n.a.")</x:f>
        <x:v>0.010416666666666666</x:v>
      </x:c>
      <x:c r="K1623" s="1" t="str">
        <x:f>IF(G1623&gt;='Дашборд'!$C$51,"X","Z")</x:f>
        <x:v>Z</x:v>
      </x:c>
      <x:c r="L1623" s="1" t="str">
        <x:f>IF(H1623=0,IF(G1623&gt;0,"Нет остатка","Нет спроса"),IF(I1623&gt;='Дашборд'!$C$52,"Быстрый","Медленный"))</x:f>
        <x:v>Нет остатка</x:v>
      </x:c>
      <x:c r="M1623" s="1" t="str">
        <x:f>IF('Данные'!E1623&lt;'Дашборд'!$C$53,"Мало трафика",IF(J1623&lt;'Дашборд'!$C$9*'Дашборд'!$C$54,"Да","Нет"))</x:f>
        <x:v>Мало трафика</x:v>
      </x:c>
      <x:c r="N1623" s="1" t="str">
        <x:f>IF(AND('Данные'!D1623&gt;='Дашборд'!$C$55,D1623&lt;'Дашборд'!$C$56,'Данные'!E1623&gt;='Дашборд'!$C$53,'Данные'!L1623&lt;&gt;"Да"),"Да","Нет")</x:f>
        <x:v>Нет</x:v>
      </x:c>
      <x:c r="O1623" s="1" t="str">
        <x:f>'Данные'!L1623</x:f>
        <x:v>Нет</x:v>
      </x:c>
    </x:row>
    <x:row r="1624">
      <x:c r="A1624" s="1" t="str">
        <x:f>'Данные'!A1624</x:f>
        <x:v>209914866</x:v>
      </x:c>
      <x:c r="B1624" s="1" t="str">
        <x:f>'Данные'!B1624</x:f>
        <x:v>longsvobod/синеморской</x:v>
      </x:c>
      <x:c r="C1624" s="8" t="n">
        <x:f>'Данные'!G1624</x:f>
        <x:v>1057</x:v>
      </x:c>
      <x:c r="D1624" s="15" t="n">
        <x:f>C1624/SUM($C$5:$C$2477)</x:f>
        <x:v>0.0000012348123758260787</x:v>
      </x:c>
      <x:c r="E1624" s="15" t="n">
        <x:f>SUM($D$5:D1624)</x:f>
        <x:v>0.9999787173019313</x:v>
      </x:c>
      <x:c r="F1624" s="1" t="str">
        <x:f>IF(C1624&lt;=0,"C",IF(E1624-D1624&lt;'Дашборд'!$C$49,"A",IF(E1624-D1624&lt;'Дашборд'!$C$50,"B","C")))</x:f>
        <x:v>C</x:v>
      </x:c>
      <x:c r="G1624" s="8" t="n">
        <x:f>'Данные'!F1624</x:f>
        <x:v>2</x:v>
      </x:c>
      <x:c r="H1624" s="8" t="n">
        <x:f>SUM('Данные'!H1624:I1624)</x:f>
        <x:v>9</x:v>
      </x:c>
      <x:c r="I1624" s="16" t="n">
        <x:f>IF(H1624&gt;0,G1624/H1624,"n.a.")</x:f>
        <x:v>0.2222222222222222</x:v>
      </x:c>
      <x:c r="J1624" s="10" t="n">
        <x:f>IF('Данные'!E1624&gt;0,G1624/'Данные'!E1624,"n.a.")</x:f>
        <x:v>0.000858000858000858</x:v>
      </x:c>
      <x:c r="K1624" s="1" t="str">
        <x:f>IF(G1624&gt;='Дашборд'!$C$51,"X","Z")</x:f>
        <x:v>Z</x:v>
      </x:c>
      <x:c r="L1624" s="1" t="str">
        <x:f>IF(H1624=0,IF(G1624&gt;0,"Нет остатка","Нет спроса"),IF(I1624&gt;='Дашборд'!$C$52,"Быстрый","Медленный"))</x:f>
        <x:v>Медленный</x:v>
      </x:c>
      <x:c r="M1624" s="1" t="str">
        <x:f>IF('Данные'!E1624&lt;'Дашборд'!$C$53,"Мало трафика",IF(J1624&lt;'Дашборд'!$C$9*'Дашборд'!$C$54,"Да","Нет"))</x:f>
        <x:v>Да</x:v>
      </x:c>
      <x:c r="N1624" s="1" t="str">
        <x:f>IF(AND('Данные'!D1624&gt;='Дашборд'!$C$55,D1624&lt;'Дашборд'!$C$56,'Данные'!E1624&gt;='Дашборд'!$C$53,'Данные'!L1624&lt;&gt;"Да"),"Да","Нет")</x:f>
        <x:v>Нет</x:v>
      </x:c>
      <x:c r="O1624" s="1" t="str">
        <x:f>'Данные'!L1624</x:f>
        <x:v>Нет</x:v>
      </x:c>
    </x:row>
    <x:row r="1625">
      <x:c r="A1625" s="1" t="str">
        <x:f>'Данные'!A1625</x:f>
        <x:v>209915680</x:v>
      </x:c>
      <x:c r="B1625" s="1" t="str">
        <x:f>'Данные'!B1625</x:f>
        <x:v>shorty/бордовый</x:v>
      </x:c>
      <x:c r="C1625" s="8" t="n">
        <x:f>'Данные'!G1625</x:f>
        <x:v>1050</x:v>
      </x:c>
      <x:c r="D1625" s="15" t="n">
        <x:f>C1625/SUM($C$5:$C$2477)</x:f>
        <x:v>0.0000012266348104232572</x:v>
      </x:c>
      <x:c r="E1625" s="15" t="n">
        <x:f>SUM($D$5:D1625)</x:f>
        <x:v>0.9999799439367417</x:v>
      </x:c>
      <x:c r="F1625" s="1" t="str">
        <x:f>IF(C1625&lt;=0,"C",IF(E1625-D1625&lt;'Дашборд'!$C$49,"A",IF(E1625-D1625&lt;'Дашборд'!$C$50,"B","C")))</x:f>
        <x:v>C</x:v>
      </x:c>
      <x:c r="G1625" s="8" t="n">
        <x:f>'Данные'!F1625</x:f>
        <x:v>3</x:v>
      </x:c>
      <x:c r="H1625" s="8" t="n">
        <x:f>SUM('Данные'!H1625:I1625)</x:f>
        <x:v>141</x:v>
      </x:c>
      <x:c r="I1625" s="16" t="n">
        <x:f>IF(H1625&gt;0,G1625/H1625,"n.a.")</x:f>
        <x:v>0.02127659574468085</x:v>
      </x:c>
      <x:c r="J1625" s="10" t="n">
        <x:f>IF('Данные'!E1625&gt;0,G1625/'Данные'!E1625,"n.a.")</x:f>
        <x:v>0.004629629629629629</x:v>
      </x:c>
      <x:c r="K1625" s="1" t="str">
        <x:f>IF(G1625&gt;='Дашборд'!$C$51,"X","Z")</x:f>
        <x:v>Z</x:v>
      </x:c>
      <x:c r="L1625" s="1" t="str">
        <x:f>IF(H1625=0,IF(G1625&gt;0,"Нет остатка","Нет спроса"),IF(I1625&gt;='Дашборд'!$C$52,"Быстрый","Медленный"))</x:f>
        <x:v>Медленный</x:v>
      </x:c>
      <x:c r="M1625" s="1" t="str">
        <x:f>IF('Данные'!E1625&lt;'Дашборд'!$C$53,"Мало трафика",IF(J1625&lt;'Дашборд'!$C$9*'Дашборд'!$C$54,"Да","Нет"))</x:f>
        <x:v>Мало трафика</x:v>
      </x:c>
      <x:c r="N1625" s="1" t="str">
        <x:f>IF(AND('Данные'!D1625&gt;='Дашборд'!$C$55,D1625&lt;'Дашборд'!$C$56,'Данные'!E1625&gt;='Дашборд'!$C$53,'Данные'!L1625&lt;&gt;"Да"),"Да","Нет")</x:f>
        <x:v>Нет</x:v>
      </x:c>
      <x:c r="O1625" s="1" t="str">
        <x:f>'Данные'!L1625</x:f>
        <x:v>Нет</x:v>
      </x:c>
    </x:row>
    <x:row r="1626">
      <x:c r="A1626" s="1" t="str">
        <x:f>'Данные'!A1626</x:f>
        <x:v>233262512</x:v>
      </x:c>
      <x:c r="B1626" s="1" t="str">
        <x:f>'Данные'!B1626</x:f>
        <x:v>2Nshortyman/серыймеланж</x:v>
      </x:c>
      <x:c r="C1626" s="8" t="n">
        <x:f>'Данные'!G1626</x:f>
        <x:v>1019</x:v>
      </x:c>
      <x:c r="D1626" s="15" t="n">
        <x:f>C1626/SUM($C$5:$C$2477)</x:f>
        <x:v>0.0000011904198779250467</x:v>
      </x:c>
      <x:c r="E1626" s="15" t="n">
        <x:f>SUM($D$5:D1626)</x:f>
        <x:v>0.9999811343566196</x:v>
      </x:c>
      <x:c r="F1626" s="1" t="str">
        <x:f>IF(C1626&lt;=0,"C",IF(E1626-D1626&lt;'Дашборд'!$C$49,"A",IF(E1626-D1626&lt;'Дашборд'!$C$50,"B","C")))</x:f>
        <x:v>C</x:v>
      </x:c>
      <x:c r="G1626" s="8" t="n">
        <x:f>'Данные'!F1626</x:f>
        <x:v>1</x:v>
      </x:c>
      <x:c r="H1626" s="8" t="n">
        <x:f>SUM('Данные'!H1626:I1626)</x:f>
        <x:v>0</x:v>
      </x:c>
      <x:c r="I1626" s="16" t="str">
        <x:f>IF(H1626&gt;0,G1626/H1626,"n.a.")</x:f>
        <x:v>n.a.</x:v>
      </x:c>
      <x:c r="J1626" s="10" t="n">
        <x:f>IF('Данные'!E1626&gt;0,G1626/'Данные'!E1626,"n.a.")</x:f>
        <x:v>0.006329113924050633</x:v>
      </x:c>
      <x:c r="K1626" s="1" t="str">
        <x:f>IF(G1626&gt;='Дашборд'!$C$51,"X","Z")</x:f>
        <x:v>Z</x:v>
      </x:c>
      <x:c r="L1626" s="1" t="str">
        <x:f>IF(H1626=0,IF(G1626&gt;0,"Нет остатка","Нет спроса"),IF(I1626&gt;='Дашборд'!$C$52,"Быстрый","Медленный"))</x:f>
        <x:v>Нет остатка</x:v>
      </x:c>
      <x:c r="M1626" s="1" t="str">
        <x:f>IF('Данные'!E1626&lt;'Дашборд'!$C$53,"Мало трафика",IF(J1626&lt;'Дашборд'!$C$9*'Дашборд'!$C$54,"Да","Нет"))</x:f>
        <x:v>Мало трафика</x:v>
      </x:c>
      <x:c r="N1626" s="1" t="str">
        <x:f>IF(AND('Данные'!D1626&gt;='Дашборд'!$C$55,D1626&lt;'Дашборд'!$C$56,'Данные'!E1626&gt;='Дашборд'!$C$53,'Данные'!L1626&lt;&gt;"Да"),"Да","Нет")</x:f>
        <x:v>Нет</x:v>
      </x:c>
      <x:c r="O1626" s="1" t="str">
        <x:f>'Данные'!L1626</x:f>
        <x:v>Нет</x:v>
      </x:c>
    </x:row>
    <x:row r="1627">
      <x:c r="A1627" s="1" t="str">
        <x:f>'Данные'!A1627</x:f>
        <x:v>74616790</x:v>
      </x:c>
      <x:c r="B1627" s="1" t="str">
        <x:f>'Данные'!B1627</x:f>
        <x:v>longslivdlinna/фуксия</x:v>
      </x:c>
      <x:c r="C1627" s="8" t="n">
        <x:f>'Данные'!G1627</x:f>
        <x:v>982</x:v>
      </x:c>
      <x:c r="D1627" s="15" t="n">
        <x:f>C1627/SUM($C$5:$C$2477)</x:f>
        <x:v>0.000001147195603652989</x:v>
      </x:c>
      <x:c r="E1627" s="15" t="n">
        <x:f>SUM($D$5:D1627)</x:f>
        <x:v>0.9999822815522232</x:v>
      </x:c>
      <x:c r="F1627" s="1" t="str">
        <x:f>IF(C1627&lt;=0,"C",IF(E1627-D1627&lt;'Дашборд'!$C$49,"A",IF(E1627-D1627&lt;'Дашборд'!$C$50,"B","C")))</x:f>
        <x:v>C</x:v>
      </x:c>
      <x:c r="G1627" s="8" t="n">
        <x:f>'Данные'!F1627</x:f>
        <x:v>4</x:v>
      </x:c>
      <x:c r="H1627" s="8" t="n">
        <x:f>SUM('Данные'!H1627:I1627)</x:f>
        <x:v>7</x:v>
      </x:c>
      <x:c r="I1627" s="16" t="n">
        <x:f>IF(H1627&gt;0,G1627/H1627,"n.a.")</x:f>
        <x:v>0.5714285714285714</x:v>
      </x:c>
      <x:c r="J1627" s="10" t="n">
        <x:f>IF('Данные'!E1627&gt;0,G1627/'Данные'!E1627,"n.a.")</x:f>
        <x:v>0.002779708130646282</x:v>
      </x:c>
      <x:c r="K1627" s="1" t="str">
        <x:f>IF(G1627&gt;='Дашборд'!$C$51,"X","Z")</x:f>
        <x:v>Z</x:v>
      </x:c>
      <x:c r="L1627" s="1" t="str">
        <x:f>IF(H1627=0,IF(G1627&gt;0,"Нет остатка","Нет спроса"),IF(I1627&gt;='Дашборд'!$C$52,"Быстрый","Медленный"))</x:f>
        <x:v>Медленный</x:v>
      </x:c>
      <x:c r="M1627" s="1" t="str">
        <x:f>IF('Данные'!E1627&lt;'Дашборд'!$C$53,"Мало трафика",IF(J1627&lt;'Дашборд'!$C$9*'Дашборд'!$C$54,"Да","Нет"))</x:f>
        <x:v>Да</x:v>
      </x:c>
      <x:c r="N1627" s="1" t="str">
        <x:f>IF(AND('Данные'!D1627&gt;='Дашборд'!$C$55,D1627&lt;'Дашборд'!$C$56,'Данные'!E1627&gt;='Дашборд'!$C$53,'Данные'!L1627&lt;&gt;"Да"),"Да","Нет")</x:f>
        <x:v>Нет</x:v>
      </x:c>
      <x:c r="O1627" s="1" t="str">
        <x:f>'Данные'!L1627</x:f>
        <x:v>Нет</x:v>
      </x:c>
    </x:row>
    <x:row r="1628">
      <x:c r="A1628" s="1" t="str">
        <x:f>'Данные'!A1628</x:f>
        <x:v>335328113</x:v>
      </x:c>
      <x:c r="B1628" s="1" t="str">
        <x:f>'Данные'!B1628</x:f>
        <x:v>futbolkahlopboy/коричневый</x:v>
      </x:c>
      <x:c r="C1628" s="8" t="n">
        <x:f>'Данные'!G1628</x:f>
        <x:v>980</x:v>
      </x:c>
      <x:c r="D1628" s="15" t="n">
        <x:f>C1628/SUM($C$5:$C$2477)</x:f>
        <x:v>0.00000114485915639504</x:v>
      </x:c>
      <x:c r="E1628" s="15" t="n">
        <x:f>SUM($D$5:D1628)</x:f>
        <x:v>0.9999834264113796</x:v>
      </x:c>
      <x:c r="F1628" s="1" t="str">
        <x:f>IF(C1628&lt;=0,"C",IF(E1628-D1628&lt;'Дашборд'!$C$49,"A",IF(E1628-D1628&lt;'Дашборд'!$C$50,"B","C")))</x:f>
        <x:v>C</x:v>
      </x:c>
      <x:c r="G1628" s="8" t="n">
        <x:f>'Данные'!F1628</x:f>
        <x:v>4</x:v>
      </x:c>
      <x:c r="H1628" s="8" t="n">
        <x:f>SUM('Данные'!H1628:I1628)</x:f>
        <x:v>0</x:v>
      </x:c>
      <x:c r="I1628" s="16" t="str">
        <x:f>IF(H1628&gt;0,G1628/H1628,"n.a.")</x:f>
        <x:v>n.a.</x:v>
      </x:c>
      <x:c r="J1628" s="10" t="n">
        <x:f>IF('Данные'!E1628&gt;0,G1628/'Данные'!E1628,"n.a.")</x:f>
        <x:v>0.017167381974248927</x:v>
      </x:c>
      <x:c r="K1628" s="1" t="str">
        <x:f>IF(G1628&gt;='Дашборд'!$C$51,"X","Z")</x:f>
        <x:v>Z</x:v>
      </x:c>
      <x:c r="L1628" s="1" t="str">
        <x:f>IF(H1628=0,IF(G1628&gt;0,"Нет остатка","Нет спроса"),IF(I1628&gt;='Дашборд'!$C$52,"Быстрый","Медленный"))</x:f>
        <x:v>Нет остатка</x:v>
      </x:c>
      <x:c r="M1628" s="1" t="str">
        <x:f>IF('Данные'!E1628&lt;'Дашборд'!$C$53,"Мало трафика",IF(J1628&lt;'Дашборд'!$C$9*'Дашборд'!$C$54,"Да","Нет"))</x:f>
        <x:v>Мало трафика</x:v>
      </x:c>
      <x:c r="N1628" s="1" t="str">
        <x:f>IF(AND('Данные'!D1628&gt;='Дашборд'!$C$55,D1628&lt;'Дашборд'!$C$56,'Данные'!E1628&gt;='Дашборд'!$C$53,'Данные'!L1628&lt;&gt;"Да"),"Да","Нет")</x:f>
        <x:v>Нет</x:v>
      </x:c>
      <x:c r="O1628" s="1" t="str">
        <x:f>'Данные'!L1628</x:f>
        <x:v>Нет</x:v>
      </x:c>
    </x:row>
    <x:row r="1629">
      <x:c r="A1629" s="1" t="str">
        <x:f>'Данные'!A1629</x:f>
        <x:v>335328114</x:v>
      </x:c>
      <x:c r="B1629" s="1" t="str">
        <x:f>'Данные'!B1629</x:f>
        <x:v>futbolkahlopboy/шалфей</x:v>
      </x:c>
      <x:c r="C1629" s="8" t="n">
        <x:f>'Данные'!G1629</x:f>
        <x:v>980</x:v>
      </x:c>
      <x:c r="D1629" s="15" t="n">
        <x:f>C1629/SUM($C$5:$C$2477)</x:f>
        <x:v>0.00000114485915639504</x:v>
      </x:c>
      <x:c r="E1629" s="15" t="n">
        <x:f>SUM($D$5:D1629)</x:f>
        <x:v>0.999984571270536</x:v>
      </x:c>
      <x:c r="F1629" s="1" t="str">
        <x:f>IF(C1629&lt;=0,"C",IF(E1629-D1629&lt;'Дашборд'!$C$49,"A",IF(E1629-D1629&lt;'Дашборд'!$C$50,"B","C")))</x:f>
        <x:v>C</x:v>
      </x:c>
      <x:c r="G1629" s="8" t="n">
        <x:f>'Данные'!F1629</x:f>
        <x:v>3</x:v>
      </x:c>
      <x:c r="H1629" s="8" t="n">
        <x:f>SUM('Данные'!H1629:I1629)</x:f>
        <x:v>1</x:v>
      </x:c>
      <x:c r="I1629" s="16" t="n">
        <x:f>IF(H1629&gt;0,G1629/H1629,"n.a.")</x:f>
        <x:v>3</x:v>
      </x:c>
      <x:c r="J1629" s="10" t="n">
        <x:f>IF('Данные'!E1629&gt;0,G1629/'Данные'!E1629,"n.a.")</x:f>
        <x:v>0.010101010101010102</x:v>
      </x:c>
      <x:c r="K1629" s="1" t="str">
        <x:f>IF(G1629&gt;='Дашборд'!$C$51,"X","Z")</x:f>
        <x:v>Z</x:v>
      </x:c>
      <x:c r="L1629" s="1" t="str">
        <x:f>IF(H1629=0,IF(G1629&gt;0,"Нет остатка","Нет спроса"),IF(I1629&gt;='Дашборд'!$C$52,"Быстрый","Медленный"))</x:f>
        <x:v>Быстрый</x:v>
      </x:c>
      <x:c r="M1629" s="1" t="str">
        <x:f>IF('Данные'!E1629&lt;'Дашборд'!$C$53,"Мало трафика",IF(J1629&lt;'Дашборд'!$C$9*'Дашборд'!$C$54,"Да","Нет"))</x:f>
        <x:v>Мало трафика</x:v>
      </x:c>
      <x:c r="N1629" s="1" t="str">
        <x:f>IF(AND('Данные'!D1629&gt;='Дашборд'!$C$55,D1629&lt;'Дашборд'!$C$56,'Данные'!E1629&gt;='Дашборд'!$C$53,'Данные'!L1629&lt;&gt;"Да"),"Да","Нет")</x:f>
        <x:v>Нет</x:v>
      </x:c>
      <x:c r="O1629" s="1" t="str">
        <x:f>'Данные'!L1629</x:f>
        <x:v>Нет</x:v>
      </x:c>
    </x:row>
    <x:row r="1630">
      <x:c r="A1630" s="1" t="str">
        <x:f>'Данные'!A1630</x:f>
        <x:v>209915109</x:v>
      </x:c>
      <x:c r="B1630" s="1" t="str">
        <x:f>'Данные'!B1630</x:f>
        <x:v>longsvobod/хаки</x:v>
      </x:c>
      <x:c r="C1630" s="8" t="n">
        <x:f>'Данные'!G1630</x:f>
        <x:v>976</x:v>
      </x:c>
      <x:c r="D1630" s="15" t="n">
        <x:f>C1630/SUM($C$5:$C$2477)</x:f>
        <x:v>0.0000011401862618791418</x:v>
      </x:c>
      <x:c r="E1630" s="15" t="n">
        <x:f>SUM($D$5:D1630)</x:f>
        <x:v>0.9999857114567978</x:v>
      </x:c>
      <x:c r="F1630" s="1" t="str">
        <x:f>IF(C1630&lt;=0,"C",IF(E1630-D1630&lt;'Дашборд'!$C$49,"A",IF(E1630-D1630&lt;'Дашборд'!$C$50,"B","C")))</x:f>
        <x:v>C</x:v>
      </x:c>
      <x:c r="G1630" s="8" t="n">
        <x:f>'Данные'!F1630</x:f>
        <x:v>9</x:v>
      </x:c>
      <x:c r="H1630" s="8" t="n">
        <x:f>SUM('Данные'!H1630:I1630)</x:f>
        <x:v>15</x:v>
      </x:c>
      <x:c r="I1630" s="16" t="n">
        <x:f>IF(H1630&gt;0,G1630/H1630,"n.a.")</x:f>
        <x:v>0.6</x:v>
      </x:c>
      <x:c r="J1630" s="10" t="n">
        <x:f>IF('Данные'!E1630&gt;0,G1630/'Данные'!E1630,"n.a.")</x:f>
        <x:v>0.002564833285836421</x:v>
      </x:c>
      <x:c r="K1630" s="1" t="str">
        <x:f>IF(G1630&gt;='Дашборд'!$C$51,"X","Z")</x:f>
        <x:v>Z</x:v>
      </x:c>
      <x:c r="L1630" s="1" t="str">
        <x:f>IF(H1630=0,IF(G1630&gt;0,"Нет остатка","Нет спроса"),IF(I1630&gt;='Дашборд'!$C$52,"Быстрый","Медленный"))</x:f>
        <x:v>Медленный</x:v>
      </x:c>
      <x:c r="M1630" s="1" t="str">
        <x:f>IF('Данные'!E1630&lt;'Дашборд'!$C$53,"Мало трафика",IF(J1630&lt;'Дашборд'!$C$9*'Дашборд'!$C$54,"Да","Нет"))</x:f>
        <x:v>Да</x:v>
      </x:c>
      <x:c r="N1630" s="1" t="str">
        <x:f>IF(AND('Данные'!D1630&gt;='Дашборд'!$C$55,D1630&lt;'Дашборд'!$C$56,'Данные'!E1630&gt;='Дашборд'!$C$53,'Данные'!L1630&lt;&gt;"Да"),"Да","Нет")</x:f>
        <x:v>Нет</x:v>
      </x:c>
      <x:c r="O1630" s="1" t="str">
        <x:f>'Данные'!L1630</x:f>
        <x:v>Нет</x:v>
      </x:c>
    </x:row>
    <x:row r="1631">
      <x:c r="A1631" s="1" t="str">
        <x:f>'Данные'!A1631</x:f>
        <x:v>209915708</x:v>
      </x:c>
      <x:c r="B1631" s="1" t="str">
        <x:f>'Данные'!B1631</x:f>
        <x:v>shorty/пыльнаяроза</x:v>
      </x:c>
      <x:c r="C1631" s="8" t="n">
        <x:f>'Данные'!G1631</x:f>
        <x:v>969</x:v>
      </x:c>
      <x:c r="D1631" s="15" t="n">
        <x:f>C1631/SUM($C$5:$C$2477)</x:f>
        <x:v>0.0000011320086964763202</x:v>
      </x:c>
      <x:c r="E1631" s="15" t="n">
        <x:f>SUM($D$5:D1631)</x:f>
        <x:v>0.9999868434654943</x:v>
      </x:c>
      <x:c r="F1631" s="1" t="str">
        <x:f>IF(C1631&lt;=0,"C",IF(E1631-D1631&lt;'Дашборд'!$C$49,"A",IF(E1631-D1631&lt;'Дашборд'!$C$50,"B","C")))</x:f>
        <x:v>C</x:v>
      </x:c>
      <x:c r="G1631" s="8" t="n">
        <x:f>'Данные'!F1631</x:f>
        <x:v>2</x:v>
      </x:c>
      <x:c r="H1631" s="8" t="n">
        <x:f>SUM('Данные'!H1631:I1631)</x:f>
        <x:v>0</x:v>
      </x:c>
      <x:c r="I1631" s="16" t="str">
        <x:f>IF(H1631&gt;0,G1631/H1631,"n.a.")</x:f>
        <x:v>n.a.</x:v>
      </x:c>
      <x:c r="J1631" s="10" t="n">
        <x:f>IF('Данные'!E1631&gt;0,G1631/'Данные'!E1631,"n.a.")</x:f>
        <x:v>0.0012202562538133007</x:v>
      </x:c>
      <x:c r="K1631" s="1" t="str">
        <x:f>IF(G1631&gt;='Дашборд'!$C$51,"X","Z")</x:f>
        <x:v>Z</x:v>
      </x:c>
      <x:c r="L1631" s="1" t="str">
        <x:f>IF(H1631=0,IF(G1631&gt;0,"Нет остатка","Нет спроса"),IF(I1631&gt;='Дашборд'!$C$52,"Быстрый","Медленный"))</x:f>
        <x:v>Нет остатка</x:v>
      </x:c>
      <x:c r="M1631" s="1" t="str">
        <x:f>IF('Данные'!E1631&lt;'Дашборд'!$C$53,"Мало трафика",IF(J1631&lt;'Дашборд'!$C$9*'Дашборд'!$C$54,"Да","Нет"))</x:f>
        <x:v>Да</x:v>
      </x:c>
      <x:c r="N1631" s="1" t="str">
        <x:f>IF(AND('Данные'!D1631&gt;='Дашборд'!$C$55,D1631&lt;'Дашборд'!$C$56,'Данные'!E1631&gt;='Дашборд'!$C$53,'Данные'!L1631&lt;&gt;"Да"),"Да","Нет")</x:f>
        <x:v>Нет</x:v>
      </x:c>
      <x:c r="O1631" s="1" t="str">
        <x:f>'Данные'!L1631</x:f>
        <x:v>Нет</x:v>
      </x:c>
    </x:row>
    <x:row r="1632">
      <x:c r="A1632" s="1" t="str">
        <x:f>'Данные'!A1632</x:f>
        <x:v>313770776</x:v>
      </x:c>
      <x:c r="B1632" s="1" t="str">
        <x:f>'Данные'!B1632</x:f>
        <x:v>futbolkagirl/персиковый</x:v>
      </x:c>
      <x:c r="C1632" s="8" t="n">
        <x:f>'Данные'!G1632</x:f>
        <x:v>960</x:v>
      </x:c>
      <x:c r="D1632" s="15" t="n">
        <x:f>C1632/SUM($C$5:$C$2477)</x:f>
        <x:v>0.0000011214946838155494</x:v>
      </x:c>
      <x:c r="E1632" s="15" t="n">
        <x:f>SUM($D$5:D1632)</x:f>
        <x:v>0.999987964960178</x:v>
      </x:c>
      <x:c r="F1632" s="1" t="str">
        <x:f>IF(C1632&lt;=0,"C",IF(E1632-D1632&lt;'Дашборд'!$C$49,"A",IF(E1632-D1632&lt;'Дашборд'!$C$50,"B","C")))</x:f>
        <x:v>C</x:v>
      </x:c>
      <x:c r="G1632" s="8" t="n">
        <x:f>'Данные'!F1632</x:f>
        <x:v>3</x:v>
      </x:c>
      <x:c r="H1632" s="8" t="n">
        <x:f>SUM('Данные'!H1632:I1632)</x:f>
        <x:v>0</x:v>
      </x:c>
      <x:c r="I1632" s="16" t="str">
        <x:f>IF(H1632&gt;0,G1632/H1632,"n.a.")</x:f>
        <x:v>n.a.</x:v>
      </x:c>
      <x:c r="J1632" s="10" t="n">
        <x:f>IF('Данные'!E1632&gt;0,G1632/'Данные'!E1632,"n.a.")</x:f>
        <x:v>0.0014619883040935672</x:v>
      </x:c>
      <x:c r="K1632" s="1" t="str">
        <x:f>IF(G1632&gt;='Дашборд'!$C$51,"X","Z")</x:f>
        <x:v>Z</x:v>
      </x:c>
      <x:c r="L1632" s="1" t="str">
        <x:f>IF(H1632=0,IF(G1632&gt;0,"Нет остатка","Нет спроса"),IF(I1632&gt;='Дашборд'!$C$52,"Быстрый","Медленный"))</x:f>
        <x:v>Нет остатка</x:v>
      </x:c>
      <x:c r="M1632" s="1" t="str">
        <x:f>IF('Данные'!E1632&lt;'Дашборд'!$C$53,"Мало трафика",IF(J1632&lt;'Дашборд'!$C$9*'Дашборд'!$C$54,"Да","Нет"))</x:f>
        <x:v>Да</x:v>
      </x:c>
      <x:c r="N1632" s="1" t="str">
        <x:f>IF(AND('Данные'!D1632&gt;='Дашборд'!$C$55,D1632&lt;'Дашборд'!$C$56,'Данные'!E1632&gt;='Дашборд'!$C$53,'Данные'!L1632&lt;&gt;"Да"),"Да","Нет")</x:f>
        <x:v>Да</x:v>
      </x:c>
      <x:c r="O1632" s="1" t="str">
        <x:f>'Данные'!L1632</x:f>
        <x:v>Нет</x:v>
      </x:c>
    </x:row>
    <x:row r="1633">
      <x:c r="A1633" s="1" t="str">
        <x:f>'Данные'!A1633</x:f>
        <x:v>344442466</x:v>
      </x:c>
      <x:c r="B1633" s="1" t="str">
        <x:f>'Данные'!B1633</x:f>
        <x:v>tophumo/светло-розовый</x:v>
      </x:c>
      <x:c r="C1633" s="8" t="n">
        <x:f>'Данные'!G1633</x:f>
        <x:v>930</x:v>
      </x:c>
      <x:c r="D1633" s="15" t="n">
        <x:f>C1633/SUM($C$5:$C$2477)</x:f>
        <x:v>0.0000010864479749463135</x:v>
      </x:c>
      <x:c r="E1633" s="15" t="n">
        <x:f>SUM($D$5:D1633)</x:f>
        <x:v>0.999989051408153</x:v>
      </x:c>
      <x:c r="F1633" s="1" t="str">
        <x:f>IF(C1633&lt;=0,"C",IF(E1633-D1633&lt;'Дашборд'!$C$49,"A",IF(E1633-D1633&lt;'Дашборд'!$C$50,"B","C")))</x:f>
        <x:v>C</x:v>
      </x:c>
      <x:c r="G1633" s="8" t="n">
        <x:f>'Данные'!F1633</x:f>
        <x:v>3</x:v>
      </x:c>
      <x:c r="H1633" s="8" t="n">
        <x:f>SUM('Данные'!H1633:I1633)</x:f>
        <x:v>854</x:v>
      </x:c>
      <x:c r="I1633" s="16" t="n">
        <x:f>IF(H1633&gt;0,G1633/H1633,"n.a.")</x:f>
        <x:v>0.00351288056206089</x:v>
      </x:c>
      <x:c r="J1633" s="10" t="n">
        <x:f>IF('Данные'!E1633&gt;0,G1633/'Данные'!E1633,"n.a.")</x:f>
        <x:v>0.0013245033112582781</x:v>
      </x:c>
      <x:c r="K1633" s="1" t="str">
        <x:f>IF(G1633&gt;='Дашборд'!$C$51,"X","Z")</x:f>
        <x:v>Z</x:v>
      </x:c>
      <x:c r="L1633" s="1" t="str">
        <x:f>IF(H1633=0,IF(G1633&gt;0,"Нет остатка","Нет спроса"),IF(I1633&gt;='Дашборд'!$C$52,"Быстрый","Медленный"))</x:f>
        <x:v>Медленный</x:v>
      </x:c>
      <x:c r="M1633" s="1" t="str">
        <x:f>IF('Данные'!E1633&lt;'Дашборд'!$C$53,"Мало трафика",IF(J1633&lt;'Дашборд'!$C$9*'Дашборд'!$C$54,"Да","Нет"))</x:f>
        <x:v>Да</x:v>
      </x:c>
      <x:c r="N1633" s="1" t="str">
        <x:f>IF(AND('Данные'!D1633&gt;='Дашборд'!$C$55,D1633&lt;'Дашборд'!$C$56,'Данные'!E1633&gt;='Дашборд'!$C$53,'Данные'!L1633&lt;&gt;"Да"),"Да","Нет")</x:f>
        <x:v>Да</x:v>
      </x:c>
      <x:c r="O1633" s="1" t="str">
        <x:f>'Данные'!L1633</x:f>
        <x:v>Нет</x:v>
      </x:c>
    </x:row>
    <x:row r="1634">
      <x:c r="A1634" s="1" t="str">
        <x:f>'Данные'!A1634</x:f>
        <x:v>24802642</x:v>
      </x:c>
      <x:c r="B1634" s="1" t="str">
        <x:f>'Данные'!B1634</x:f>
        <x:v>futbolka/белый</x:v>
      </x:c>
      <x:c r="C1634" s="8" t="n">
        <x:f>'Данные'!G1634</x:f>
        <x:v>905</x:v>
      </x:c>
      <x:c r="D1634" s="15" t="n">
        <x:f>C1634/SUM($C$5:$C$2477)</x:f>
        <x:v>0.0000010572423842219502</x:v>
      </x:c>
      <x:c r="E1634" s="15" t="n">
        <x:f>SUM($D$5:D1634)</x:f>
        <x:v>0.9999901086505372</x:v>
      </x:c>
      <x:c r="F1634" s="1" t="str">
        <x:f>IF(C1634&lt;=0,"C",IF(E1634-D1634&lt;'Дашборд'!$C$49,"A",IF(E1634-D1634&lt;'Дашборд'!$C$50,"B","C")))</x:f>
        <x:v>C</x:v>
      </x:c>
      <x:c r="G1634" s="8" t="n">
        <x:f>'Данные'!F1634</x:f>
        <x:v>1</x:v>
      </x:c>
      <x:c r="H1634" s="8" t="n">
        <x:f>SUM('Данные'!H1634:I1634)</x:f>
        <x:v>9</x:v>
      </x:c>
      <x:c r="I1634" s="16" t="n">
        <x:f>IF(H1634&gt;0,G1634/H1634,"n.a.")</x:f>
        <x:v>0.1111111111111111</x:v>
      </x:c>
      <x:c r="J1634" s="10" t="n">
        <x:f>IF('Данные'!E1634&gt;0,G1634/'Данные'!E1634,"n.a.")</x:f>
        <x:v>0.002183406113537118</x:v>
      </x:c>
      <x:c r="K1634" s="1" t="str">
        <x:f>IF(G1634&gt;='Дашборд'!$C$51,"X","Z")</x:f>
        <x:v>Z</x:v>
      </x:c>
      <x:c r="L1634" s="1" t="str">
        <x:f>IF(H1634=0,IF(G1634&gt;0,"Нет остатка","Нет спроса"),IF(I1634&gt;='Дашборд'!$C$52,"Быстрый","Медленный"))</x:f>
        <x:v>Медленный</x:v>
      </x:c>
      <x:c r="M1634" s="1" t="str">
        <x:f>IF('Данные'!E1634&lt;'Дашборд'!$C$53,"Мало трафика",IF(J1634&lt;'Дашборд'!$C$9*'Дашборд'!$C$54,"Да","Нет"))</x:f>
        <x:v>Мало трафика</x:v>
      </x:c>
      <x:c r="N1634" s="1" t="str">
        <x:f>IF(AND('Данные'!D1634&gt;='Дашборд'!$C$55,D1634&lt;'Дашборд'!$C$56,'Данные'!E1634&gt;='Дашборд'!$C$53,'Данные'!L1634&lt;&gt;"Да"),"Да","Нет")</x:f>
        <x:v>Нет</x:v>
      </x:c>
      <x:c r="O1634" s="1" t="str">
        <x:f>'Данные'!L1634</x:f>
        <x:v>Нет</x:v>
      </x:c>
    </x:row>
    <x:row r="1635">
      <x:c r="A1635" s="1" t="str">
        <x:f>'Данные'!A1635</x:f>
        <x:v>232435421</x:v>
      </x:c>
      <x:c r="B1635" s="1" t="str">
        <x:f>'Данные'!B1635</x:f>
        <x:v>futbolkaover/милка</x:v>
      </x:c>
      <x:c r="C1635" s="8" t="n">
        <x:f>'Данные'!G1635</x:f>
        <x:v>900</x:v>
      </x:c>
      <x:c r="D1635" s="15" t="n">
        <x:f>C1635/SUM($C$5:$C$2477)</x:f>
        <x:v>0.0000010514012660770776</x:v>
      </x:c>
      <x:c r="E1635" s="15" t="n">
        <x:f>SUM($D$5:D1635)</x:f>
        <x:v>0.9999911600518032</x:v>
      </x:c>
      <x:c r="F1635" s="1" t="str">
        <x:f>IF(C1635&lt;=0,"C",IF(E1635-D1635&lt;'Дашборд'!$C$49,"A",IF(E1635-D1635&lt;'Дашборд'!$C$50,"B","C")))</x:f>
        <x:v>C</x:v>
      </x:c>
      <x:c r="G1635" s="8" t="n">
        <x:f>'Данные'!F1635</x:f>
        <x:v>2</x:v>
      </x:c>
      <x:c r="H1635" s="8" t="n">
        <x:f>SUM('Данные'!H1635:I1635)</x:f>
        <x:v>0</x:v>
      </x:c>
      <x:c r="I1635" s="16" t="str">
        <x:f>IF(H1635&gt;0,G1635/H1635,"n.a.")</x:f>
        <x:v>n.a.</x:v>
      </x:c>
      <x:c r="J1635" s="10" t="n">
        <x:f>IF('Данные'!E1635&gt;0,G1635/'Данные'!E1635,"n.a.")</x:f>
        <x:v>0.0006842285323297981</x:v>
      </x:c>
      <x:c r="K1635" s="1" t="str">
        <x:f>IF(G1635&gt;='Дашборд'!$C$51,"X","Z")</x:f>
        <x:v>Z</x:v>
      </x:c>
      <x:c r="L1635" s="1" t="str">
        <x:f>IF(H1635=0,IF(G1635&gt;0,"Нет остатка","Нет спроса"),IF(I1635&gt;='Дашборд'!$C$52,"Быстрый","Медленный"))</x:f>
        <x:v>Нет остатка</x:v>
      </x:c>
      <x:c r="M1635" s="1" t="str">
        <x:f>IF('Данные'!E1635&lt;'Дашборд'!$C$53,"Мало трафика",IF(J1635&lt;'Дашборд'!$C$9*'Дашборд'!$C$54,"Да","Нет"))</x:f>
        <x:v>Да</x:v>
      </x:c>
      <x:c r="N1635" s="1" t="str">
        <x:f>IF(AND('Данные'!D1635&gt;='Дашборд'!$C$55,D1635&lt;'Дашборд'!$C$56,'Данные'!E1635&gt;='Дашборд'!$C$53,'Данные'!L1635&lt;&gt;"Да"),"Да","Нет")</x:f>
        <x:v>Да</x:v>
      </x:c>
      <x:c r="O1635" s="1" t="str">
        <x:f>'Данные'!L1635</x:f>
        <x:v>Нет</x:v>
      </x:c>
    </x:row>
    <x:row r="1636">
      <x:c r="A1636" s="1" t="str">
        <x:f>'Данные'!A1636</x:f>
        <x:v>79692906</x:v>
      </x:c>
      <x:c r="B1636" s="1" t="str">
        <x:f>'Данные'!B1636</x:f>
        <x:v>longsliv/светло-фиолетовый</x:v>
      </x:c>
      <x:c r="C1636" s="8" t="n">
        <x:f>'Данные'!G1636</x:f>
        <x:v>850</x:v>
      </x:c>
      <x:c r="D1636" s="15" t="n">
        <x:f>C1636/SUM($C$5:$C$2477)</x:f>
        <x:v>9.92990084628351e-7</x:v>
      </x:c>
      <x:c r="E1636" s="15" t="n">
        <x:f>SUM($D$5:D1636)</x:f>
        <x:v>0.9999921530418878</x:v>
      </x:c>
      <x:c r="F1636" s="1" t="str">
        <x:f>IF(C1636&lt;=0,"C",IF(E1636-D1636&lt;'Дашборд'!$C$49,"A",IF(E1636-D1636&lt;'Дашборд'!$C$50,"B","C")))</x:f>
        <x:v>C</x:v>
      </x:c>
      <x:c r="G1636" s="8" t="n">
        <x:f>'Данные'!F1636</x:f>
        <x:v>4</x:v>
      </x:c>
      <x:c r="H1636" s="8" t="n">
        <x:f>SUM('Данные'!H1636:I1636)</x:f>
        <x:v>0</x:v>
      </x:c>
      <x:c r="I1636" s="16" t="str">
        <x:f>IF(H1636&gt;0,G1636/H1636,"n.a.")</x:f>
        <x:v>n.a.</x:v>
      </x:c>
      <x:c r="J1636" s="10" t="n">
        <x:f>IF('Данные'!E1636&gt;0,G1636/'Данные'!E1636,"n.a.")</x:f>
        <x:v>0.0022766078542970974</x:v>
      </x:c>
      <x:c r="K1636" s="1" t="str">
        <x:f>IF(G1636&gt;='Дашборд'!$C$51,"X","Z")</x:f>
        <x:v>Z</x:v>
      </x:c>
      <x:c r="L1636" s="1" t="str">
        <x:f>IF(H1636=0,IF(G1636&gt;0,"Нет остатка","Нет спроса"),IF(I1636&gt;='Дашборд'!$C$52,"Быстрый","Медленный"))</x:f>
        <x:v>Нет остатка</x:v>
      </x:c>
      <x:c r="M1636" s="1" t="str">
        <x:f>IF('Данные'!E1636&lt;'Дашборд'!$C$53,"Мало трафика",IF(J1636&lt;'Дашборд'!$C$9*'Дашборд'!$C$54,"Да","Нет"))</x:f>
        <x:v>Да</x:v>
      </x:c>
      <x:c r="N1636" s="1" t="str">
        <x:f>IF(AND('Данные'!D1636&gt;='Дашборд'!$C$55,D1636&lt;'Дашборд'!$C$56,'Данные'!E1636&gt;='Дашборд'!$C$53,'Данные'!L1636&lt;&gt;"Да"),"Да","Нет")</x:f>
        <x:v>Да</x:v>
      </x:c>
      <x:c r="O1636" s="1" t="str">
        <x:f>'Данные'!L1636</x:f>
        <x:v>Нет</x:v>
      </x:c>
    </x:row>
    <x:row r="1637">
      <x:c r="A1637" s="1" t="str">
        <x:f>'Данные'!A1637</x:f>
        <x:v>238775095</x:v>
      </x:c>
      <x:c r="B1637" s="1" t="str">
        <x:f>'Данные'!B1637</x:f>
        <x:v>futbolkaprint/Daisies-174/белый</x:v>
      </x:c>
      <x:c r="C1637" s="8" t="n">
        <x:f>'Данные'!G1637</x:f>
        <x:v>829</x:v>
      </x:c>
      <x:c r="D1637" s="15" t="n">
        <x:f>C1637/SUM($C$5:$C$2477)</x:f>
        <x:v>9.684573884198858e-7</x:v>
      </x:c>
      <x:c r="E1637" s="15" t="n">
        <x:f>SUM($D$5:D1637)</x:f>
        <x:v>0.9999931214992762</x:v>
      </x:c>
      <x:c r="F1637" s="1" t="str">
        <x:f>IF(C1637&lt;=0,"C",IF(E1637-D1637&lt;'Дашборд'!$C$49,"A",IF(E1637-D1637&lt;'Дашборд'!$C$50,"B","C")))</x:f>
        <x:v>C</x:v>
      </x:c>
      <x:c r="G1637" s="8" t="n">
        <x:f>'Данные'!F1637</x:f>
        <x:v>1</x:v>
      </x:c>
      <x:c r="H1637" s="8" t="n">
        <x:f>SUM('Данные'!H1637:I1637)</x:f>
        <x:v>0</x:v>
      </x:c>
      <x:c r="I1637" s="16" t="str">
        <x:f>IF(H1637&gt;0,G1637/H1637,"n.a.")</x:f>
        <x:v>n.a.</x:v>
      </x:c>
      <x:c r="J1637" s="10" t="n">
        <x:f>IF('Данные'!E1637&gt;0,G1637/'Данные'!E1637,"n.a.")</x:f>
        <x:v>0.0007037297677691766</x:v>
      </x:c>
      <x:c r="K1637" s="1" t="str">
        <x:f>IF(G1637&gt;='Дашборд'!$C$51,"X","Z")</x:f>
        <x:v>Z</x:v>
      </x:c>
      <x:c r="L1637" s="1" t="str">
        <x:f>IF(H1637=0,IF(G1637&gt;0,"Нет остатка","Нет спроса"),IF(I1637&gt;='Дашборд'!$C$52,"Быстрый","Медленный"))</x:f>
        <x:v>Нет остатка</x:v>
      </x:c>
      <x:c r="M1637" s="1" t="str">
        <x:f>IF('Данные'!E1637&lt;'Дашборд'!$C$53,"Мало трафика",IF(J1637&lt;'Дашборд'!$C$9*'Дашборд'!$C$54,"Да","Нет"))</x:f>
        <x:v>Да</x:v>
      </x:c>
      <x:c r="N1637" s="1" t="str">
        <x:f>IF(AND('Данные'!D1637&gt;='Дашборд'!$C$55,D1637&lt;'Дашборд'!$C$56,'Данные'!E1637&gt;='Дашборд'!$C$53,'Данные'!L1637&lt;&gt;"Да"),"Да","Нет")</x:f>
        <x:v>Нет</x:v>
      </x:c>
      <x:c r="O1637" s="1" t="str">
        <x:f>'Данные'!L1637</x:f>
        <x:v>Нет</x:v>
      </x:c>
    </x:row>
    <x:row r="1638">
      <x:c r="A1638" s="1" t="str">
        <x:f>'Данные'!A1638</x:f>
        <x:v>361823571</x:v>
      </x:c>
      <x:c r="B1638" s="1" t="str">
        <x:f>'Данные'!B1638</x:f>
        <x:v>futhlopman/темно-синий</x:v>
      </x:c>
      <x:c r="C1638" s="8" t="n">
        <x:f>'Данные'!G1638</x:f>
        <x:v>780</x:v>
      </x:c>
      <x:c r="D1638" s="15" t="n">
        <x:f>C1638/SUM($C$5:$C$2477)</x:f>
        <x:v>9.112144306001338e-7</x:v>
      </x:c>
      <x:c r="E1638" s="15" t="n">
        <x:f>SUM($D$5:D1638)</x:f>
        <x:v>0.9999940327137068</x:v>
      </x:c>
      <x:c r="F1638" s="1" t="str">
        <x:f>IF(C1638&lt;=0,"C",IF(E1638-D1638&lt;'Дашборд'!$C$49,"A",IF(E1638-D1638&lt;'Дашборд'!$C$50,"B","C")))</x:f>
        <x:v>C</x:v>
      </x:c>
      <x:c r="G1638" s="8" t="n">
        <x:f>'Данные'!F1638</x:f>
        <x:v>1</x:v>
      </x:c>
      <x:c r="H1638" s="8" t="n">
        <x:f>SUM('Данные'!H1638:I1638)</x:f>
        <x:v>0</x:v>
      </x:c>
      <x:c r="I1638" s="16" t="str">
        <x:f>IF(H1638&gt;0,G1638/H1638,"n.a.")</x:f>
        <x:v>n.a.</x:v>
      </x:c>
      <x:c r="J1638" s="10" t="n">
        <x:f>IF('Данные'!E1638&gt;0,G1638/'Данные'!E1638,"n.a.")</x:f>
        <x:v>0.0021231422505307855</x:v>
      </x:c>
      <x:c r="K1638" s="1" t="str">
        <x:f>IF(G1638&gt;='Дашборд'!$C$51,"X","Z")</x:f>
        <x:v>Z</x:v>
      </x:c>
      <x:c r="L1638" s="1" t="str">
        <x:f>IF(H1638=0,IF(G1638&gt;0,"Нет остатка","Нет спроса"),IF(I1638&gt;='Дашборд'!$C$52,"Быстрый","Медленный"))</x:f>
        <x:v>Нет остатка</x:v>
      </x:c>
      <x:c r="M1638" s="1" t="str">
        <x:f>IF('Данные'!E1638&lt;'Дашборд'!$C$53,"Мало трафика",IF(J1638&lt;'Дашборд'!$C$9*'Дашборд'!$C$54,"Да","Нет"))</x:f>
        <x:v>Мало трафика</x:v>
      </x:c>
      <x:c r="N1638" s="1" t="str">
        <x:f>IF(AND('Данные'!D1638&gt;='Дашборд'!$C$55,D1638&lt;'Дашборд'!$C$56,'Данные'!E1638&gt;='Дашборд'!$C$53,'Данные'!L1638&lt;&gt;"Да"),"Да","Нет")</x:f>
        <x:v>Нет</x:v>
      </x:c>
      <x:c r="O1638" s="1" t="str">
        <x:f>'Данные'!L1638</x:f>
        <x:v>Нет</x:v>
      </x:c>
    </x:row>
    <x:row r="1639">
      <x:c r="A1639" s="1" t="str">
        <x:f>'Данные'!A1639</x:f>
        <x:v>209916477</x:v>
      </x:c>
      <x:c r="B1639" s="1" t="str">
        <x:f>'Данные'!B1639</x:f>
        <x:v>kroptopprint/Los-49/черный</x:v>
      </x:c>
      <x:c r="C1639" s="8" t="n">
        <x:f>'Данные'!G1639</x:f>
        <x:v>765</x:v>
      </x:c>
      <x:c r="D1639" s="15" t="n">
        <x:f>C1639/SUM($C$5:$C$2477)</x:f>
        <x:v>8.936910761655159e-7</x:v>
      </x:c>
      <x:c r="E1639" s="15" t="n">
        <x:f>SUM($D$5:D1639)</x:f>
        <x:v>0.9999949264047829</x:v>
      </x:c>
      <x:c r="F1639" s="1" t="str">
        <x:f>IF(C1639&lt;=0,"C",IF(E1639-D1639&lt;'Дашборд'!$C$49,"A",IF(E1639-D1639&lt;'Дашборд'!$C$50,"B","C")))</x:f>
        <x:v>C</x:v>
      </x:c>
      <x:c r="G1639" s="8" t="n">
        <x:f>'Данные'!F1639</x:f>
        <x:v>1</x:v>
      </x:c>
      <x:c r="H1639" s="8" t="n">
        <x:f>SUM('Данные'!H1639:I1639)</x:f>
        <x:v>0</x:v>
      </x:c>
      <x:c r="I1639" s="16" t="str">
        <x:f>IF(H1639&gt;0,G1639/H1639,"n.a.")</x:f>
        <x:v>n.a.</x:v>
      </x:c>
      <x:c r="J1639" s="10" t="n">
        <x:f>IF('Данные'!E1639&gt;0,G1639/'Данные'!E1639,"n.a.")</x:f>
        <x:v>0.0015873015873015873</x:v>
      </x:c>
      <x:c r="K1639" s="1" t="str">
        <x:f>IF(G1639&gt;='Дашборд'!$C$51,"X","Z")</x:f>
        <x:v>Z</x:v>
      </x:c>
      <x:c r="L1639" s="1" t="str">
        <x:f>IF(H1639=0,IF(G1639&gt;0,"Нет остатка","Нет спроса"),IF(I1639&gt;='Дашборд'!$C$52,"Быстрый","Медленный"))</x:f>
        <x:v>Нет остатка</x:v>
      </x:c>
      <x:c r="M1639" s="1" t="str">
        <x:f>IF('Данные'!E1639&lt;'Дашборд'!$C$53,"Мало трафика",IF(J1639&lt;'Дашборд'!$C$9*'Дашборд'!$C$54,"Да","Нет"))</x:f>
        <x:v>Мало трафика</x:v>
      </x:c>
      <x:c r="N1639" s="1" t="str">
        <x:f>IF(AND('Данные'!D1639&gt;='Дашборд'!$C$55,D1639&lt;'Дашборд'!$C$56,'Данные'!E1639&gt;='Дашборд'!$C$53,'Данные'!L1639&lt;&gt;"Да"),"Да","Нет")</x:f>
        <x:v>Нет</x:v>
      </x:c>
      <x:c r="O1639" s="1" t="str">
        <x:f>'Данные'!L1639</x:f>
        <x:v>Нет</x:v>
      </x:c>
    </x:row>
    <x:row r="1640">
      <x:c r="A1640" s="1" t="str">
        <x:f>'Данные'!A1640</x:f>
        <x:v>222269196</x:v>
      </x:c>
      <x:c r="B1640" s="1" t="str">
        <x:f>'Данные'!B1640</x:f>
        <x:v>kroptopV2print/CLFSF-87/черный</x:v>
      </x:c>
      <x:c r="C1640" s="8" t="n">
        <x:f>'Данные'!G1640</x:f>
        <x:v>747</x:v>
      </x:c>
      <x:c r="D1640" s="15" t="n">
        <x:f>C1640/SUM($C$5:$C$2477)</x:f>
        <x:v>8.726630508439743e-7</x:v>
      </x:c>
      <x:c r="E1640" s="15" t="n">
        <x:f>SUM($D$5:D1640)</x:f>
        <x:v>0.9999957990678338</x:v>
      </x:c>
      <x:c r="F1640" s="1" t="str">
        <x:f>IF(C1640&lt;=0,"C",IF(E1640-D1640&lt;'Дашборд'!$C$49,"A",IF(E1640-D1640&lt;'Дашборд'!$C$50,"B","C")))</x:f>
        <x:v>C</x:v>
      </x:c>
      <x:c r="G1640" s="8" t="n">
        <x:f>'Данные'!F1640</x:f>
        <x:v>2</x:v>
      </x:c>
      <x:c r="H1640" s="8" t="n">
        <x:f>SUM('Данные'!H1640:I1640)</x:f>
        <x:v>1</x:v>
      </x:c>
      <x:c r="I1640" s="16" t="n">
        <x:f>IF(H1640&gt;0,G1640/H1640,"n.a.")</x:f>
        <x:v>2</x:v>
      </x:c>
      <x:c r="J1640" s="10" t="n">
        <x:f>IF('Данные'!E1640&gt;0,G1640/'Данные'!E1640,"n.a.")</x:f>
        <x:v>0.0023228803716608595</x:v>
      </x:c>
      <x:c r="K1640" s="1" t="str">
        <x:f>IF(G1640&gt;='Дашборд'!$C$51,"X","Z")</x:f>
        <x:v>Z</x:v>
      </x:c>
      <x:c r="L1640" s="1" t="str">
        <x:f>IF(H1640=0,IF(G1640&gt;0,"Нет остатка","Нет спроса"),IF(I1640&gt;='Дашборд'!$C$52,"Быстрый","Медленный"))</x:f>
        <x:v>Быстрый</x:v>
      </x:c>
      <x:c r="M1640" s="1" t="str">
        <x:f>IF('Данные'!E1640&lt;'Дашборд'!$C$53,"Мало трафика",IF(J1640&lt;'Дашборд'!$C$9*'Дашборд'!$C$54,"Да","Нет"))</x:f>
        <x:v>Мало трафика</x:v>
      </x:c>
      <x:c r="N1640" s="1" t="str">
        <x:f>IF(AND('Данные'!D1640&gt;='Дашборд'!$C$55,D1640&lt;'Дашборд'!$C$56,'Данные'!E1640&gt;='Дашборд'!$C$53,'Данные'!L1640&lt;&gt;"Да"),"Да","Нет")</x:f>
        <x:v>Нет</x:v>
      </x:c>
      <x:c r="O1640" s="1" t="str">
        <x:f>'Данные'!L1640</x:f>
        <x:v>Нет</x:v>
      </x:c>
    </x:row>
    <x:row r="1641">
      <x:c r="A1641" s="1" t="str">
        <x:f>'Данные'!A1641</x:f>
        <x:v>220612044</x:v>
      </x:c>
      <x:c r="B1641" s="1" t="str">
        <x:f>'Данные'!B1641</x:f>
        <x:v>kroptopV2/кофейный</x:v>
      </x:c>
      <x:c r="C1641" s="8" t="n">
        <x:f>'Данные'!G1641</x:f>
        <x:v>660</x:v>
      </x:c>
      <x:c r="D1641" s="15" t="n">
        <x:f>C1641/SUM($C$5:$C$2477)</x:f>
        <x:v>7.710275951231902e-7</x:v>
      </x:c>
      <x:c r="E1641" s="15" t="n">
        <x:f>SUM($D$5:D1641)</x:f>
        <x:v>0.9999965700954289</x:v>
      </x:c>
      <x:c r="F1641" s="1" t="str">
        <x:f>IF(C1641&lt;=0,"C",IF(E1641-D1641&lt;'Дашборд'!$C$49,"A",IF(E1641-D1641&lt;'Дашборд'!$C$50,"B","C")))</x:f>
        <x:v>C</x:v>
      </x:c>
      <x:c r="G1641" s="8" t="n">
        <x:f>'Данные'!F1641</x:f>
        <x:v>1</x:v>
      </x:c>
      <x:c r="H1641" s="8" t="n">
        <x:f>SUM('Данные'!H1641:I1641)</x:f>
        <x:v>0</x:v>
      </x:c>
      <x:c r="I1641" s="16" t="str">
        <x:f>IF(H1641&gt;0,G1641/H1641,"n.a.")</x:f>
        <x:v>n.a.</x:v>
      </x:c>
      <x:c r="J1641" s="10" t="n">
        <x:f>IF('Данные'!E1641&gt;0,G1641/'Данные'!E1641,"n.a.")</x:f>
        <x:v>0.016666666666666666</x:v>
      </x:c>
      <x:c r="K1641" s="1" t="str">
        <x:f>IF(G1641&gt;='Дашборд'!$C$51,"X","Z")</x:f>
        <x:v>Z</x:v>
      </x:c>
      <x:c r="L1641" s="1" t="str">
        <x:f>IF(H1641=0,IF(G1641&gt;0,"Нет остатка","Нет спроса"),IF(I1641&gt;='Дашборд'!$C$52,"Быстрый","Медленный"))</x:f>
        <x:v>Нет остатка</x:v>
      </x:c>
      <x:c r="M1641" s="1" t="str">
        <x:f>IF('Данные'!E1641&lt;'Дашборд'!$C$53,"Мало трафика",IF(J1641&lt;'Дашборд'!$C$9*'Дашборд'!$C$54,"Да","Нет"))</x:f>
        <x:v>Мало трафика</x:v>
      </x:c>
      <x:c r="N1641" s="1" t="str">
        <x:f>IF(AND('Данные'!D1641&gt;='Дашборд'!$C$55,D1641&lt;'Дашборд'!$C$56,'Данные'!E1641&gt;='Дашборд'!$C$53,'Данные'!L1641&lt;&gt;"Да"),"Да","Нет")</x:f>
        <x:v>Нет</x:v>
      </x:c>
      <x:c r="O1641" s="1" t="str">
        <x:f>'Данные'!L1641</x:f>
        <x:v>Нет</x:v>
      </x:c>
    </x:row>
    <x:row r="1642">
      <x:c r="A1642" s="1" t="str">
        <x:f>'Данные'!A1642</x:f>
        <x:v>373989148</x:v>
      </x:c>
      <x:c r="B1642" s="1" t="str">
        <x:f>'Данные'!B1642</x:f>
        <x:v>bazakulgirl/каштановый</x:v>
      </x:c>
      <x:c r="C1642" s="8" t="n">
        <x:f>'Данные'!G1642</x:f>
        <x:v>650</x:v>
      </x:c>
      <x:c r="D1642" s="15" t="n">
        <x:f>C1642/SUM($C$5:$C$2477)</x:f>
        <x:v>7.593453588334449e-7</x:v>
      </x:c>
      <x:c r="E1642" s="15" t="n">
        <x:f>SUM($D$5:D1642)</x:f>
        <x:v>0.9999973294407877</x:v>
      </x:c>
      <x:c r="F1642" s="1" t="str">
        <x:f>IF(C1642&lt;=0,"C",IF(E1642-D1642&lt;'Дашборд'!$C$49,"A",IF(E1642-D1642&lt;'Дашборд'!$C$50,"B","C")))</x:f>
        <x:v>C</x:v>
      </x:c>
      <x:c r="G1642" s="8" t="n">
        <x:f>'Данные'!F1642</x:f>
        <x:v>1</x:v>
      </x:c>
      <x:c r="H1642" s="8" t="n">
        <x:f>SUM('Данные'!H1642:I1642)</x:f>
        <x:v>47</x:v>
      </x:c>
      <x:c r="I1642" s="16" t="n">
        <x:f>IF(H1642&gt;0,G1642/H1642,"n.a.")</x:f>
        <x:v>0.02127659574468085</x:v>
      </x:c>
      <x:c r="J1642" s="10" t="n">
        <x:f>IF('Данные'!E1642&gt;0,G1642/'Данные'!E1642,"n.a.")</x:f>
        <x:v>0.0010548523206751054</x:v>
      </x:c>
      <x:c r="K1642" s="1" t="str">
        <x:f>IF(G1642&gt;='Дашборд'!$C$51,"X","Z")</x:f>
        <x:v>Z</x:v>
      </x:c>
      <x:c r="L1642" s="1" t="str">
        <x:f>IF(H1642=0,IF(G1642&gt;0,"Нет остатка","Нет спроса"),IF(I1642&gt;='Дашборд'!$C$52,"Быстрый","Медленный"))</x:f>
        <x:v>Медленный</x:v>
      </x:c>
      <x:c r="M1642" s="1" t="str">
        <x:f>IF('Данные'!E1642&lt;'Дашборд'!$C$53,"Мало трафика",IF(J1642&lt;'Дашборд'!$C$9*'Дашборд'!$C$54,"Да","Нет"))</x:f>
        <x:v>Мало трафика</x:v>
      </x:c>
      <x:c r="N1642" s="1" t="str">
        <x:f>IF(AND('Данные'!D1642&gt;='Дашборд'!$C$55,D1642&lt;'Дашборд'!$C$56,'Данные'!E1642&gt;='Дашборд'!$C$53,'Данные'!L1642&lt;&gt;"Да"),"Да","Нет")</x:f>
        <x:v>Нет</x:v>
      </x:c>
      <x:c r="O1642" s="1" t="str">
        <x:f>'Данные'!L1642</x:f>
        <x:v>Нет</x:v>
      </x:c>
    </x:row>
    <x:row r="1643">
      <x:c r="A1643" s="1" t="str">
        <x:f>'Данные'!A1643</x:f>
        <x:v>79670776</x:v>
      </x:c>
      <x:c r="B1643" s="1" t="str">
        <x:f>'Данные'!B1643</x:f>
        <x:v>longslivdekoltekor/банановый</x:v>
      </x:c>
      <x:c r="C1643" s="8" t="n">
        <x:f>'Данные'!G1643</x:f>
        <x:v>603</x:v>
      </x:c>
      <x:c r="D1643" s="15" t="n">
        <x:f>C1643/SUM($C$5:$C$2477)</x:f>
        <x:v>7.04438848271642e-7</x:v>
      </x:c>
      <x:c r="E1643" s="15" t="n">
        <x:f>SUM($D$5:D1643)</x:f>
        <x:v>0.9999980338796359</x:v>
      </x:c>
      <x:c r="F1643" s="1" t="str">
        <x:f>IF(C1643&lt;=0,"C",IF(E1643-D1643&lt;'Дашборд'!$C$49,"A",IF(E1643-D1643&lt;'Дашборд'!$C$50,"B","C")))</x:f>
        <x:v>C</x:v>
      </x:c>
      <x:c r="G1643" s="8" t="n">
        <x:f>'Данные'!F1643</x:f>
        <x:v>3</x:v>
      </x:c>
      <x:c r="H1643" s="8" t="n">
        <x:f>SUM('Данные'!H1643:I1643)</x:f>
        <x:v>0</x:v>
      </x:c>
      <x:c r="I1643" s="16" t="str">
        <x:f>IF(H1643&gt;0,G1643/H1643,"n.a.")</x:f>
        <x:v>n.a.</x:v>
      </x:c>
      <x:c r="J1643" s="10" t="n">
        <x:f>IF('Данные'!E1643&gt;0,G1643/'Данные'!E1643,"n.a.")</x:f>
        <x:v>0.0032537960954446853</x:v>
      </x:c>
      <x:c r="K1643" s="1" t="str">
        <x:f>IF(G1643&gt;='Дашборд'!$C$51,"X","Z")</x:f>
        <x:v>Z</x:v>
      </x:c>
      <x:c r="L1643" s="1" t="str">
        <x:f>IF(H1643=0,IF(G1643&gt;0,"Нет остатка","Нет спроса"),IF(I1643&gt;='Дашборд'!$C$52,"Быстрый","Медленный"))</x:f>
        <x:v>Нет остатка</x:v>
      </x:c>
      <x:c r="M1643" s="1" t="str">
        <x:f>IF('Данные'!E1643&lt;'Дашборд'!$C$53,"Мало трафика",IF(J1643&lt;'Дашборд'!$C$9*'Дашборд'!$C$54,"Да","Нет"))</x:f>
        <x:v>Мало трафика</x:v>
      </x:c>
      <x:c r="N1643" s="1" t="str">
        <x:f>IF(AND('Данные'!D1643&gt;='Дашборд'!$C$55,D1643&lt;'Дашборд'!$C$56,'Данные'!E1643&gt;='Дашборд'!$C$53,'Данные'!L1643&lt;&gt;"Да"),"Да","Нет")</x:f>
        <x:v>Нет</x:v>
      </x:c>
      <x:c r="O1643" s="1" t="str">
        <x:f>'Данные'!L1643</x:f>
        <x:v>Нет</x:v>
      </x:c>
    </x:row>
    <x:row r="1644">
      <x:c r="A1644" s="1" t="str">
        <x:f>'Данные'!A1644</x:f>
        <x:v>117753600</x:v>
      </x:c>
      <x:c r="B1644" s="1" t="str">
        <x:f>'Данные'!B1644</x:f>
        <x:v>longslivdecolte/деним</x:v>
      </x:c>
      <x:c r="C1644" s="8" t="n">
        <x:f>'Данные'!G1644</x:f>
        <x:v>588</x:v>
      </x:c>
      <x:c r="D1644" s="15" t="n">
        <x:f>C1644/SUM($C$5:$C$2477)</x:f>
        <x:v>6.86915493837024e-7</x:v>
      </x:c>
      <x:c r="E1644" s="15" t="n">
        <x:f>SUM($D$5:D1644)</x:f>
        <x:v>0.9999987207951297</x:v>
      </x:c>
      <x:c r="F1644" s="1" t="str">
        <x:f>IF(C1644&lt;=0,"C",IF(E1644-D1644&lt;'Дашборд'!$C$49,"A",IF(E1644-D1644&lt;'Дашборд'!$C$50,"B","C")))</x:f>
        <x:v>C</x:v>
      </x:c>
      <x:c r="G1644" s="8" t="n">
        <x:f>'Данные'!F1644</x:f>
        <x:v>3</x:v>
      </x:c>
      <x:c r="H1644" s="8" t="n">
        <x:f>SUM('Данные'!H1644:I1644)</x:f>
        <x:v>0</x:v>
      </x:c>
      <x:c r="I1644" s="16" t="str">
        <x:f>IF(H1644&gt;0,G1644/H1644,"n.a.")</x:f>
        <x:v>n.a.</x:v>
      </x:c>
      <x:c r="J1644" s="10" t="n">
        <x:f>IF('Данные'!E1644&gt;0,G1644/'Данные'!E1644,"n.a.")</x:f>
        <x:v>0.0031446540880503146</x:v>
      </x:c>
      <x:c r="K1644" s="1" t="str">
        <x:f>IF(G1644&gt;='Дашборд'!$C$51,"X","Z")</x:f>
        <x:v>Z</x:v>
      </x:c>
      <x:c r="L1644" s="1" t="str">
        <x:f>IF(H1644=0,IF(G1644&gt;0,"Нет остатка","Нет спроса"),IF(I1644&gt;='Дашборд'!$C$52,"Быстрый","Медленный"))</x:f>
        <x:v>Нет остатка</x:v>
      </x:c>
      <x:c r="M1644" s="1" t="str">
        <x:f>IF('Данные'!E1644&lt;'Дашборд'!$C$53,"Мало трафика",IF(J1644&lt;'Дашборд'!$C$9*'Дашборд'!$C$54,"Да","Нет"))</x:f>
        <x:v>Мало трафика</x:v>
      </x:c>
      <x:c r="N1644" s="1" t="str">
        <x:f>IF(AND('Данные'!D1644&gt;='Дашборд'!$C$55,D1644&lt;'Дашборд'!$C$56,'Данные'!E1644&gt;='Дашборд'!$C$53,'Данные'!L1644&lt;&gt;"Да"),"Да","Нет")</x:f>
        <x:v>Нет</x:v>
      </x:c>
      <x:c r="O1644" s="1" t="str">
        <x:f>'Данные'!L1644</x:f>
        <x:v>Нет</x:v>
      </x:c>
    </x:row>
    <x:row r="1645">
      <x:c r="A1645" s="1" t="str">
        <x:f>'Данные'!A1645</x:f>
        <x:v>317227920</x:v>
      </x:c>
      <x:c r="B1645" s="1" t="str">
        <x:f>'Данные'!B1645</x:f>
        <x:v>bazakulgirl/мандариновый</x:v>
      </x:c>
      <x:c r="C1645" s="8" t="n">
        <x:f>'Данные'!G1645</x:f>
        <x:v>555</x:v>
      </x:c>
      <x:c r="D1645" s="15" t="n">
        <x:f>C1645/SUM($C$5:$C$2477)</x:f>
        <x:v>6.483641140808645e-7</x:v>
      </x:c>
      <x:c r="E1645" s="15" t="n">
        <x:f>SUM($D$5:D1645)</x:f>
        <x:v>0.9999993691592438</x:v>
      </x:c>
      <x:c r="F1645" s="1" t="str">
        <x:f>IF(C1645&lt;=0,"C",IF(E1645-D1645&lt;'Дашборд'!$C$49,"A",IF(E1645-D1645&lt;'Дашборд'!$C$50,"B","C")))</x:f>
        <x:v>C</x:v>
      </x:c>
      <x:c r="G1645" s="8" t="n">
        <x:f>'Данные'!F1645</x:f>
        <x:v>1</x:v>
      </x:c>
      <x:c r="H1645" s="8" t="n">
        <x:f>SUM('Данные'!H1645:I1645)</x:f>
        <x:v>211</x:v>
      </x:c>
      <x:c r="I1645" s="16" t="n">
        <x:f>IF(H1645&gt;0,G1645/H1645,"n.a.")</x:f>
        <x:v>0.004739336492890996</x:v>
      </x:c>
      <x:c r="J1645" s="10" t="n">
        <x:f>IF('Данные'!E1645&gt;0,G1645/'Данные'!E1645,"n.a.")</x:f>
        <x:v>0.0007598784194528875</x:v>
      </x:c>
      <x:c r="K1645" s="1" t="str">
        <x:f>IF(G1645&gt;='Дашборд'!$C$51,"X","Z")</x:f>
        <x:v>Z</x:v>
      </x:c>
      <x:c r="L1645" s="1" t="str">
        <x:f>IF(H1645=0,IF(G1645&gt;0,"Нет остатка","Нет спроса"),IF(I1645&gt;='Дашборд'!$C$52,"Быстрый","Медленный"))</x:f>
        <x:v>Медленный</x:v>
      </x:c>
      <x:c r="M1645" s="1" t="str">
        <x:f>IF('Данные'!E1645&lt;'Дашборд'!$C$53,"Мало трафика",IF(J1645&lt;'Дашборд'!$C$9*'Дашборд'!$C$54,"Да","Нет"))</x:f>
        <x:v>Да</x:v>
      </x:c>
      <x:c r="N1645" s="1" t="str">
        <x:f>IF(AND('Данные'!D1645&gt;='Дашборд'!$C$55,D1645&lt;'Дашборд'!$C$56,'Данные'!E1645&gt;='Дашборд'!$C$53,'Данные'!L1645&lt;&gt;"Да"),"Да","Нет")</x:f>
        <x:v>Да</x:v>
      </x:c>
      <x:c r="O1645" s="1" t="str">
        <x:f>'Данные'!L1645</x:f>
        <x:v>Нет</x:v>
      </x:c>
    </x:row>
    <x:row r="1646">
      <x:c r="A1646" s="1" t="str">
        <x:f>'Данные'!A1646</x:f>
        <x:v>31324093</x:v>
      </x:c>
      <x:c r="B1646" s="1" t="str">
        <x:f>'Данные'!B1646</x:f>
        <x:v>futbolka_mary/бежевый</x:v>
      </x:c>
      <x:c r="C1646" s="8" t="n">
        <x:f>'Данные'!G1646</x:f>
        <x:v>540</x:v>
      </x:c>
      <x:c r="D1646" s="15" t="n">
        <x:f>C1646/SUM($C$5:$C$2477)</x:f>
        <x:v>6.308407596462465e-7</x:v>
      </x:c>
      <x:c r="E1646" s="15" t="n">
        <x:f>SUM($D$5:D1646)</x:f>
        <x:v>1.0000000000000036</x:v>
      </x:c>
      <x:c r="F1646" s="1" t="str">
        <x:f>IF(C1646&lt;=0,"C",IF(E1646-D1646&lt;'Дашборд'!$C$49,"A",IF(E1646-D1646&lt;'Дашборд'!$C$50,"B","C")))</x:f>
        <x:v>C</x:v>
      </x:c>
      <x:c r="G1646" s="8" t="n">
        <x:f>'Данные'!F1646</x:f>
        <x:v>3</x:v>
      </x:c>
      <x:c r="H1646" s="8" t="n">
        <x:f>SUM('Данные'!H1646:I1646)</x:f>
        <x:v>0</x:v>
      </x:c>
      <x:c r="I1646" s="16" t="str">
        <x:f>IF(H1646&gt;0,G1646/H1646,"n.a.")</x:f>
        <x:v>n.a.</x:v>
      </x:c>
      <x:c r="J1646" s="10" t="n">
        <x:f>IF('Данные'!E1646&gt;0,G1646/'Данные'!E1646,"n.a.")</x:f>
        <x:v>0.0009727626459143969</x:v>
      </x:c>
      <x:c r="K1646" s="1" t="str">
        <x:f>IF(G1646&gt;='Дашборд'!$C$51,"X","Z")</x:f>
        <x:v>Z</x:v>
      </x:c>
      <x:c r="L1646" s="1" t="str">
        <x:f>IF(H1646=0,IF(G1646&gt;0,"Нет остатка","Нет спроса"),IF(I1646&gt;='Дашборд'!$C$52,"Быстрый","Медленный"))</x:f>
        <x:v>Нет остатка</x:v>
      </x:c>
      <x:c r="M1646" s="1" t="str">
        <x:f>IF('Данные'!E1646&lt;'Дашборд'!$C$53,"Мало трафика",IF(J1646&lt;'Дашборд'!$C$9*'Дашборд'!$C$54,"Да","Нет"))</x:f>
        <x:v>Да</x:v>
      </x:c>
      <x:c r="N1646" s="1" t="str">
        <x:f>IF(AND('Данные'!D1646&gt;='Дашборд'!$C$55,D1646&lt;'Дашборд'!$C$56,'Данные'!E1646&gt;='Дашборд'!$C$53,'Данные'!L1646&lt;&gt;"Да"),"Да","Нет")</x:f>
        <x:v>Нет</x:v>
      </x:c>
      <x:c r="O1646" s="1" t="str">
        <x:f>'Данные'!L1646</x:f>
        <x:v>Нет</x:v>
      </x:c>
    </x:row>
    <x:row r="1647">
      <x:c r="A1647" s="1" t="str">
        <x:f>'Данные'!A1647</x:f>
        <x:v>103404669</x:v>
      </x:c>
      <x:c r="B1647" s="1" t="str">
        <x:f>'Данные'!B1647</x:f>
        <x:v>futer250/темно-синий</x:v>
      </x:c>
      <x:c r="C1647" s="8" t="n">
        <x:f>'Данные'!G1647</x:f>
        <x:v>0</x:v>
      </x:c>
      <x:c r="D1647" s="15" t="n">
        <x:f>C1647/SUM($C$5:$C$2477)</x:f>
        <x:v>0</x:v>
      </x:c>
      <x:c r="E1647" s="15" t="n">
        <x:f>SUM($D$5:D1647)</x:f>
        <x:v>1.0000000000000036</x:v>
      </x:c>
      <x:c r="F1647" s="1" t="str">
        <x:f>IF(C1647&lt;=0,"C",IF(E1647-D1647&lt;'Дашборд'!$C$49,"A",IF(E1647-D1647&lt;'Дашборд'!$C$50,"B","C")))</x:f>
        <x:v>C</x:v>
      </x:c>
      <x:c r="G1647" s="8" t="n">
        <x:f>'Данные'!F1647</x:f>
        <x:v>0</x:v>
      </x:c>
      <x:c r="H1647" s="8" t="n">
        <x:f>SUM('Данные'!H1647:I1647)</x:f>
        <x:v>0</x:v>
      </x:c>
      <x:c r="I1647" s="16" t="str">
        <x:f>IF(H1647&gt;0,G1647/H1647,"n.a.")</x:f>
        <x:v>n.a.</x:v>
      </x:c>
      <x:c r="J1647" s="10" t="n">
        <x:f>IF('Данные'!E1647&gt;0,G1647/'Данные'!E1647,"n.a.")</x:f>
        <x:v>0</x:v>
      </x:c>
      <x:c r="K1647" s="1" t="str">
        <x:f>IF(G1647&gt;='Дашборд'!$C$51,"X","Z")</x:f>
        <x:v>Z</x:v>
      </x:c>
      <x:c r="L1647" s="1" t="str">
        <x:f>IF(H1647=0,IF(G1647&gt;0,"Нет остатка","Нет спроса"),IF(I1647&gt;='Дашборд'!$C$52,"Быстрый","Медленный"))</x:f>
        <x:v>Нет спроса</x:v>
      </x:c>
      <x:c r="M1647" s="1" t="str">
        <x:f>IF('Данные'!E1647&lt;'Дашборд'!$C$53,"Мало трафика",IF(J1647&lt;'Дашборд'!$C$9*'Дашборд'!$C$54,"Да","Нет"))</x:f>
        <x:v>Мало трафика</x:v>
      </x:c>
      <x:c r="N1647" s="1" t="str">
        <x:f>IF(AND('Данные'!D1647&gt;='Дашборд'!$C$55,D1647&lt;'Дашборд'!$C$56,'Данные'!E1647&gt;='Дашборд'!$C$53,'Данные'!L1647&lt;&gt;"Да"),"Да","Нет")</x:f>
        <x:v>Нет</x:v>
      </x:c>
      <x:c r="O1647" s="1" t="str">
        <x:f>'Данные'!L1647</x:f>
        <x:v>Нет</x:v>
      </x:c>
    </x:row>
    <x:row r="1648">
      <x:c r="A1648" s="1" t="str">
        <x:f>'Данные'!A1648</x:f>
        <x:v>106783369</x:v>
      </x:c>
      <x:c r="B1648" s="1" t="str">
        <x:f>'Данные'!B1648</x:f>
        <x:v>ziphudi1/черный</x:v>
      </x:c>
      <x:c r="C1648" s="8" t="n">
        <x:f>'Данные'!G1648</x:f>
        <x:v>0</x:v>
      </x:c>
      <x:c r="D1648" s="15" t="n">
        <x:f>C1648/SUM($C$5:$C$2477)</x:f>
        <x:v>0</x:v>
      </x:c>
      <x:c r="E1648" s="15" t="n">
        <x:f>SUM($D$5:D1648)</x:f>
        <x:v>1.0000000000000036</x:v>
      </x:c>
      <x:c r="F1648" s="1" t="str">
        <x:f>IF(C1648&lt;=0,"C",IF(E1648-D1648&lt;'Дашборд'!$C$49,"A",IF(E1648-D1648&lt;'Дашборд'!$C$50,"B","C")))</x:f>
        <x:v>C</x:v>
      </x:c>
      <x:c r="G1648" s="8" t="n">
        <x:f>'Данные'!F1648</x:f>
        <x:v>0</x:v>
      </x:c>
      <x:c r="H1648" s="8" t="n">
        <x:f>SUM('Данные'!H1648:I1648)</x:f>
        <x:v>0</x:v>
      </x:c>
      <x:c r="I1648" s="16" t="str">
        <x:f>IF(H1648&gt;0,G1648/H1648,"n.a.")</x:f>
        <x:v>n.a.</x:v>
      </x:c>
      <x:c r="J1648" s="10" t="n">
        <x:f>IF('Данные'!E1648&gt;0,G1648/'Данные'!E1648,"n.a.")</x:f>
        <x:v>0</x:v>
      </x:c>
      <x:c r="K1648" s="1" t="str">
        <x:f>IF(G1648&gt;='Дашборд'!$C$51,"X","Z")</x:f>
        <x:v>Z</x:v>
      </x:c>
      <x:c r="L1648" s="1" t="str">
        <x:f>IF(H1648=0,IF(G1648&gt;0,"Нет остатка","Нет спроса"),IF(I1648&gt;='Дашборд'!$C$52,"Быстрый","Медленный"))</x:f>
        <x:v>Нет спроса</x:v>
      </x:c>
      <x:c r="M1648" s="1" t="str">
        <x:f>IF('Данные'!E1648&lt;'Дашборд'!$C$53,"Мало трафика",IF(J1648&lt;'Дашборд'!$C$9*'Дашборд'!$C$54,"Да","Нет"))</x:f>
        <x:v>Мало трафика</x:v>
      </x:c>
      <x:c r="N1648" s="1" t="str">
        <x:f>IF(AND('Данные'!D1648&gt;='Дашборд'!$C$55,D1648&lt;'Дашборд'!$C$56,'Данные'!E1648&gt;='Дашборд'!$C$53,'Данные'!L1648&lt;&gt;"Да"),"Да","Нет")</x:f>
        <x:v>Нет</x:v>
      </x:c>
      <x:c r="O1648" s="1" t="str">
        <x:f>'Данные'!L1648</x:f>
        <x:v>Нет</x:v>
      </x:c>
    </x:row>
    <x:row r="1649">
      <x:c r="A1649" s="1" t="str">
        <x:f>'Данные'!A1649</x:f>
        <x:v>110531944</x:v>
      </x:c>
      <x:c r="B1649" s="1" t="str">
        <x:f>'Данные'!B1649</x:f>
        <x:v>futbolka/зелено-серый</x:v>
      </x:c>
      <x:c r="C1649" s="8" t="n">
        <x:f>'Данные'!G1649</x:f>
        <x:v>0</x:v>
      </x:c>
      <x:c r="D1649" s="15" t="n">
        <x:f>C1649/SUM($C$5:$C$2477)</x:f>
        <x:v>0</x:v>
      </x:c>
      <x:c r="E1649" s="15" t="n">
        <x:f>SUM($D$5:D1649)</x:f>
        <x:v>1.0000000000000036</x:v>
      </x:c>
      <x:c r="F1649" s="1" t="str">
        <x:f>IF(C1649&lt;=0,"C",IF(E1649-D1649&lt;'Дашборд'!$C$49,"A",IF(E1649-D1649&lt;'Дашборд'!$C$50,"B","C")))</x:f>
        <x:v>C</x:v>
      </x:c>
      <x:c r="G1649" s="8" t="n">
        <x:f>'Данные'!F1649</x:f>
        <x:v>0</x:v>
      </x:c>
      <x:c r="H1649" s="8" t="n">
        <x:f>SUM('Данные'!H1649:I1649)</x:f>
        <x:v>0</x:v>
      </x:c>
      <x:c r="I1649" s="16" t="str">
        <x:f>IF(H1649&gt;0,G1649/H1649,"n.a.")</x:f>
        <x:v>n.a.</x:v>
      </x:c>
      <x:c r="J1649" s="10" t="n">
        <x:f>IF('Данные'!E1649&gt;0,G1649/'Данные'!E1649,"n.a.")</x:f>
        <x:v>0</x:v>
      </x:c>
      <x:c r="K1649" s="1" t="str">
        <x:f>IF(G1649&gt;='Дашборд'!$C$51,"X","Z")</x:f>
        <x:v>Z</x:v>
      </x:c>
      <x:c r="L1649" s="1" t="str">
        <x:f>IF(H1649=0,IF(G1649&gt;0,"Нет остатка","Нет спроса"),IF(I1649&gt;='Дашборд'!$C$52,"Быстрый","Медленный"))</x:f>
        <x:v>Нет спроса</x:v>
      </x:c>
      <x:c r="M1649" s="1" t="str">
        <x:f>IF('Данные'!E1649&lt;'Дашборд'!$C$53,"Мало трафика",IF(J1649&lt;'Дашборд'!$C$9*'Дашборд'!$C$54,"Да","Нет"))</x:f>
        <x:v>Мало трафика</x:v>
      </x:c>
      <x:c r="N1649" s="1" t="str">
        <x:f>IF(AND('Данные'!D1649&gt;='Дашборд'!$C$55,D1649&lt;'Дашборд'!$C$56,'Данные'!E1649&gt;='Дашборд'!$C$53,'Данные'!L1649&lt;&gt;"Да"),"Да","Нет")</x:f>
        <x:v>Нет</x:v>
      </x:c>
      <x:c r="O1649" s="1" t="str">
        <x:f>'Данные'!L1649</x:f>
        <x:v>Нет</x:v>
      </x:c>
    </x:row>
    <x:row r="1650">
      <x:c r="A1650" s="1" t="str">
        <x:f>'Данные'!A1650</x:f>
        <x:v>110532385</x:v>
      </x:c>
      <x:c r="B1650" s="1" t="str">
        <x:f>'Данные'!B1650</x:f>
        <x:v>futbolka/деним</x:v>
      </x:c>
      <x:c r="C1650" s="8" t="n">
        <x:f>'Данные'!G1650</x:f>
        <x:v>0</x:v>
      </x:c>
      <x:c r="D1650" s="15" t="n">
        <x:f>C1650/SUM($C$5:$C$2477)</x:f>
        <x:v>0</x:v>
      </x:c>
      <x:c r="E1650" s="15" t="n">
        <x:f>SUM($D$5:D1650)</x:f>
        <x:v>1.0000000000000036</x:v>
      </x:c>
      <x:c r="F1650" s="1" t="str">
        <x:f>IF(C1650&lt;=0,"C",IF(E1650-D1650&lt;'Дашборд'!$C$49,"A",IF(E1650-D1650&lt;'Дашборд'!$C$50,"B","C")))</x:f>
        <x:v>C</x:v>
      </x:c>
      <x:c r="G1650" s="8" t="n">
        <x:f>'Данные'!F1650</x:f>
        <x:v>0</x:v>
      </x:c>
      <x:c r="H1650" s="8" t="n">
        <x:f>SUM('Данные'!H1650:I1650)</x:f>
        <x:v>0</x:v>
      </x:c>
      <x:c r="I1650" s="16" t="str">
        <x:f>IF(H1650&gt;0,G1650/H1650,"n.a.")</x:f>
        <x:v>n.a.</x:v>
      </x:c>
      <x:c r="J1650" s="10" t="n">
        <x:f>IF('Данные'!E1650&gt;0,G1650/'Данные'!E1650,"n.a.")</x:f>
        <x:v>0</x:v>
      </x:c>
      <x:c r="K1650" s="1" t="str">
        <x:f>IF(G1650&gt;='Дашборд'!$C$51,"X","Z")</x:f>
        <x:v>Z</x:v>
      </x:c>
      <x:c r="L1650" s="1" t="str">
        <x:f>IF(H1650=0,IF(G1650&gt;0,"Нет остатка","Нет спроса"),IF(I1650&gt;='Дашборд'!$C$52,"Быстрый","Медленный"))</x:f>
        <x:v>Нет спроса</x:v>
      </x:c>
      <x:c r="M1650" s="1" t="str">
        <x:f>IF('Данные'!E1650&lt;'Дашборд'!$C$53,"Мало трафика",IF(J1650&lt;'Дашборд'!$C$9*'Дашборд'!$C$54,"Да","Нет"))</x:f>
        <x:v>Мало трафика</x:v>
      </x:c>
      <x:c r="N1650" s="1" t="str">
        <x:f>IF(AND('Данные'!D1650&gt;='Дашборд'!$C$55,D1650&lt;'Дашборд'!$C$56,'Данные'!E1650&gt;='Дашборд'!$C$53,'Данные'!L1650&lt;&gt;"Да"),"Да","Нет")</x:f>
        <x:v>Нет</x:v>
      </x:c>
      <x:c r="O1650" s="1" t="str">
        <x:f>'Данные'!L1650</x:f>
        <x:v>Нет</x:v>
      </x:c>
    </x:row>
    <x:row r="1651">
      <x:c r="A1651" s="1" t="str">
        <x:f>'Данные'!A1651</x:f>
        <x:v>110533607</x:v>
      </x:c>
      <x:c r="B1651" s="1" t="str">
        <x:f>'Данные'!B1651</x:f>
        <x:v>futbolka_mary/зеленый</x:v>
      </x:c>
      <x:c r="C1651" s="8" t="n">
        <x:f>'Данные'!G1651</x:f>
        <x:v>0</x:v>
      </x:c>
      <x:c r="D1651" s="15" t="n">
        <x:f>C1651/SUM($C$5:$C$2477)</x:f>
        <x:v>0</x:v>
      </x:c>
      <x:c r="E1651" s="15" t="n">
        <x:f>SUM($D$5:D1651)</x:f>
        <x:v>1.0000000000000036</x:v>
      </x:c>
      <x:c r="F1651" s="1" t="str">
        <x:f>IF(C1651&lt;=0,"C",IF(E1651-D1651&lt;'Дашборд'!$C$49,"A",IF(E1651-D1651&lt;'Дашборд'!$C$50,"B","C")))</x:f>
        <x:v>C</x:v>
      </x:c>
      <x:c r="G1651" s="8" t="n">
        <x:f>'Данные'!F1651</x:f>
        <x:v>0</x:v>
      </x:c>
      <x:c r="H1651" s="8" t="n">
        <x:f>SUM('Данные'!H1651:I1651)</x:f>
        <x:v>0</x:v>
      </x:c>
      <x:c r="I1651" s="16" t="str">
        <x:f>IF(H1651&gt;0,G1651/H1651,"n.a.")</x:f>
        <x:v>n.a.</x:v>
      </x:c>
      <x:c r="J1651" s="10" t="n">
        <x:f>IF('Данные'!E1651&gt;0,G1651/'Данные'!E1651,"n.a.")</x:f>
        <x:v>0</x:v>
      </x:c>
      <x:c r="K1651" s="1" t="str">
        <x:f>IF(G1651&gt;='Дашборд'!$C$51,"X","Z")</x:f>
        <x:v>Z</x:v>
      </x:c>
      <x:c r="L1651" s="1" t="str">
        <x:f>IF(H1651=0,IF(G1651&gt;0,"Нет остатка","Нет спроса"),IF(I1651&gt;='Дашборд'!$C$52,"Быстрый","Медленный"))</x:f>
        <x:v>Нет спроса</x:v>
      </x:c>
      <x:c r="M1651" s="1" t="str">
        <x:f>IF('Данные'!E1651&lt;'Дашборд'!$C$53,"Мало трафика",IF(J1651&lt;'Дашборд'!$C$9*'Дашборд'!$C$54,"Да","Нет"))</x:f>
        <x:v>Мало трафика</x:v>
      </x:c>
      <x:c r="N1651" s="1" t="str">
        <x:f>IF(AND('Данные'!D1651&gt;='Дашборд'!$C$55,D1651&lt;'Дашборд'!$C$56,'Данные'!E1651&gt;='Дашборд'!$C$53,'Данные'!L1651&lt;&gt;"Да"),"Да","Нет")</x:f>
        <x:v>Нет</x:v>
      </x:c>
      <x:c r="O1651" s="1" t="str">
        <x:f>'Данные'!L1651</x:f>
        <x:v>Нет</x:v>
      </x:c>
    </x:row>
    <x:row r="1652">
      <x:c r="A1652" s="1" t="str">
        <x:f>'Данные'!A1652</x:f>
        <x:v>110533826</x:v>
      </x:c>
      <x:c r="B1652" s="1" t="str">
        <x:f>'Данные'!B1652</x:f>
        <x:v>futbolka_mary/деним</x:v>
      </x:c>
      <x:c r="C1652" s="8" t="n">
        <x:f>'Данные'!G1652</x:f>
        <x:v>0</x:v>
      </x:c>
      <x:c r="D1652" s="15" t="n">
        <x:f>C1652/SUM($C$5:$C$2477)</x:f>
        <x:v>0</x:v>
      </x:c>
      <x:c r="E1652" s="15" t="n">
        <x:f>SUM($D$5:D1652)</x:f>
        <x:v>1.0000000000000036</x:v>
      </x:c>
      <x:c r="F1652" s="1" t="str">
        <x:f>IF(C1652&lt;=0,"C",IF(E1652-D1652&lt;'Дашборд'!$C$49,"A",IF(E1652-D1652&lt;'Дашборд'!$C$50,"B","C")))</x:f>
        <x:v>C</x:v>
      </x:c>
      <x:c r="G1652" s="8" t="n">
        <x:f>'Данные'!F1652</x:f>
        <x:v>0</x:v>
      </x:c>
      <x:c r="H1652" s="8" t="n">
        <x:f>SUM('Данные'!H1652:I1652)</x:f>
        <x:v>0</x:v>
      </x:c>
      <x:c r="I1652" s="16" t="str">
        <x:f>IF(H1652&gt;0,G1652/H1652,"n.a.")</x:f>
        <x:v>n.a.</x:v>
      </x:c>
      <x:c r="J1652" s="10" t="n">
        <x:f>IF('Данные'!E1652&gt;0,G1652/'Данные'!E1652,"n.a.")</x:f>
        <x:v>0</x:v>
      </x:c>
      <x:c r="K1652" s="1" t="str">
        <x:f>IF(G1652&gt;='Дашборд'!$C$51,"X","Z")</x:f>
        <x:v>Z</x:v>
      </x:c>
      <x:c r="L1652" s="1" t="str">
        <x:f>IF(H1652=0,IF(G1652&gt;0,"Нет остатка","Нет спроса"),IF(I1652&gt;='Дашборд'!$C$52,"Быстрый","Медленный"))</x:f>
        <x:v>Нет спроса</x:v>
      </x:c>
      <x:c r="M1652" s="1" t="str">
        <x:f>IF('Данные'!E1652&lt;'Дашборд'!$C$53,"Мало трафика",IF(J1652&lt;'Дашборд'!$C$9*'Дашборд'!$C$54,"Да","Нет"))</x:f>
        <x:v>Мало трафика</x:v>
      </x:c>
      <x:c r="N1652" s="1" t="str">
        <x:f>IF(AND('Данные'!D1652&gt;='Дашборд'!$C$55,D1652&lt;'Дашборд'!$C$56,'Данные'!E1652&gt;='Дашборд'!$C$53,'Данные'!L1652&lt;&gt;"Да"),"Да","Нет")</x:f>
        <x:v>Нет</x:v>
      </x:c>
      <x:c r="O1652" s="1" t="str">
        <x:f>'Данные'!L1652</x:f>
        <x:v>Нет</x:v>
      </x:c>
    </x:row>
    <x:row r="1653">
      <x:c r="A1653" s="1" t="str">
        <x:f>'Данные'!A1653</x:f>
        <x:v>110534176</x:v>
      </x:c>
      <x:c r="B1653" s="1" t="str">
        <x:f>'Данные'!B1653</x:f>
        <x:v>futbolka_mary/сине-морской</x:v>
      </x:c>
      <x:c r="C1653" s="8" t="n">
        <x:f>'Данные'!G1653</x:f>
        <x:v>0</x:v>
      </x:c>
      <x:c r="D1653" s="15" t="n">
        <x:f>C1653/SUM($C$5:$C$2477)</x:f>
        <x:v>0</x:v>
      </x:c>
      <x:c r="E1653" s="15" t="n">
        <x:f>SUM($D$5:D1653)</x:f>
        <x:v>1.0000000000000036</x:v>
      </x:c>
      <x:c r="F1653" s="1" t="str">
        <x:f>IF(C1653&lt;=0,"C",IF(E1653-D1653&lt;'Дашборд'!$C$49,"A",IF(E1653-D1653&lt;'Дашборд'!$C$50,"B","C")))</x:f>
        <x:v>C</x:v>
      </x:c>
      <x:c r="G1653" s="8" t="n">
        <x:f>'Данные'!F1653</x:f>
        <x:v>0</x:v>
      </x:c>
      <x:c r="H1653" s="8" t="n">
        <x:f>SUM('Данные'!H1653:I1653)</x:f>
        <x:v>0</x:v>
      </x:c>
      <x:c r="I1653" s="16" t="str">
        <x:f>IF(H1653&gt;0,G1653/H1653,"n.a.")</x:f>
        <x:v>n.a.</x:v>
      </x:c>
      <x:c r="J1653" s="10" t="n">
        <x:f>IF('Данные'!E1653&gt;0,G1653/'Данные'!E1653,"n.a.")</x:f>
        <x:v>0</x:v>
      </x:c>
      <x:c r="K1653" s="1" t="str">
        <x:f>IF(G1653&gt;='Дашборд'!$C$51,"X","Z")</x:f>
        <x:v>Z</x:v>
      </x:c>
      <x:c r="L1653" s="1" t="str">
        <x:f>IF(H1653=0,IF(G1653&gt;0,"Нет остатка","Нет спроса"),IF(I1653&gt;='Дашборд'!$C$52,"Быстрый","Медленный"))</x:f>
        <x:v>Нет спроса</x:v>
      </x:c>
      <x:c r="M1653" s="1" t="str">
        <x:f>IF('Данные'!E1653&lt;'Дашборд'!$C$53,"Мало трафика",IF(J1653&lt;'Дашборд'!$C$9*'Дашборд'!$C$54,"Да","Нет"))</x:f>
        <x:v>Мало трафика</x:v>
      </x:c>
      <x:c r="N1653" s="1" t="str">
        <x:f>IF(AND('Данные'!D1653&gt;='Дашборд'!$C$55,D1653&lt;'Дашборд'!$C$56,'Данные'!E1653&gt;='Дашборд'!$C$53,'Данные'!L1653&lt;&gt;"Да"),"Да","Нет")</x:f>
        <x:v>Нет</x:v>
      </x:c>
      <x:c r="O1653" s="1" t="str">
        <x:f>'Данные'!L1653</x:f>
        <x:v>Нет</x:v>
      </x:c>
    </x:row>
    <x:row r="1654">
      <x:c r="A1654" s="1" t="str">
        <x:f>'Данные'!A1654</x:f>
        <x:v>114589456</x:v>
      </x:c>
      <x:c r="B1654" s="1" t="str">
        <x:f>'Данные'!B1654</x:f>
        <x:v>longslivdlinna/сине-морской</x:v>
      </x:c>
      <x:c r="C1654" s="8" t="n">
        <x:f>'Данные'!G1654</x:f>
        <x:v>0</x:v>
      </x:c>
      <x:c r="D1654" s="15" t="n">
        <x:f>C1654/SUM($C$5:$C$2477)</x:f>
        <x:v>0</x:v>
      </x:c>
      <x:c r="E1654" s="15" t="n">
        <x:f>SUM($D$5:D1654)</x:f>
        <x:v>1.0000000000000036</x:v>
      </x:c>
      <x:c r="F1654" s="1" t="str">
        <x:f>IF(C1654&lt;=0,"C",IF(E1654-D1654&lt;'Дашборд'!$C$49,"A",IF(E1654-D1654&lt;'Дашборд'!$C$50,"B","C")))</x:f>
        <x:v>C</x:v>
      </x:c>
      <x:c r="G1654" s="8" t="n">
        <x:f>'Данные'!F1654</x:f>
        <x:v>0</x:v>
      </x:c>
      <x:c r="H1654" s="8" t="n">
        <x:f>SUM('Данные'!H1654:I1654)</x:f>
        <x:v>4</x:v>
      </x:c>
      <x:c r="I1654" s="16" t="n">
        <x:f>IF(H1654&gt;0,G1654/H1654,"n.a.")</x:f>
        <x:v>0</x:v>
      </x:c>
      <x:c r="J1654" s="10" t="n">
        <x:f>IF('Данные'!E1654&gt;0,G1654/'Данные'!E1654,"n.a.")</x:f>
        <x:v>0</x:v>
      </x:c>
      <x:c r="K1654" s="1" t="str">
        <x:f>IF(G1654&gt;='Дашборд'!$C$51,"X","Z")</x:f>
        <x:v>Z</x:v>
      </x:c>
      <x:c r="L1654" s="1" t="str">
        <x:f>IF(H1654=0,IF(G1654&gt;0,"Нет остатка","Нет спроса"),IF(I1654&gt;='Дашборд'!$C$52,"Быстрый","Медленный"))</x:f>
        <x:v>Медленный</x:v>
      </x:c>
      <x:c r="M1654" s="1" t="str">
        <x:f>IF('Данные'!E1654&lt;'Дашборд'!$C$53,"Мало трафика",IF(J1654&lt;'Дашборд'!$C$9*'Дашборд'!$C$54,"Да","Нет"))</x:f>
        <x:v>Да</x:v>
      </x:c>
      <x:c r="N1654" s="1" t="str">
        <x:f>IF(AND('Данные'!D1654&gt;='Дашборд'!$C$55,D1654&lt;'Дашборд'!$C$56,'Данные'!E1654&gt;='Дашборд'!$C$53,'Данные'!L1654&lt;&gt;"Да"),"Да","Нет")</x:f>
        <x:v>Нет</x:v>
      </x:c>
      <x:c r="O1654" s="1" t="str">
        <x:f>'Данные'!L1654</x:f>
        <x:v>Нет</x:v>
      </x:c>
    </x:row>
    <x:row r="1655">
      <x:c r="A1655" s="1" t="str">
        <x:f>'Данные'!A1655</x:f>
        <x:v>114590566</x:v>
      </x:c>
      <x:c r="B1655" s="1" t="str">
        <x:f>'Данные'!B1655</x:f>
        <x:v>longslivdlinna/пыльнаяроза</x:v>
      </x:c>
      <x:c r="C1655" s="8" t="n">
        <x:f>'Данные'!G1655</x:f>
        <x:v>0</x:v>
      </x:c>
      <x:c r="D1655" s="15" t="n">
        <x:f>C1655/SUM($C$5:$C$2477)</x:f>
        <x:v>0</x:v>
      </x:c>
      <x:c r="E1655" s="15" t="n">
        <x:f>SUM($D$5:D1655)</x:f>
        <x:v>1.0000000000000036</x:v>
      </x:c>
      <x:c r="F1655" s="1" t="str">
        <x:f>IF(C1655&lt;=0,"C",IF(E1655-D1655&lt;'Дашборд'!$C$49,"A",IF(E1655-D1655&lt;'Дашборд'!$C$50,"B","C")))</x:f>
        <x:v>C</x:v>
      </x:c>
      <x:c r="G1655" s="8" t="n">
        <x:f>'Данные'!F1655</x:f>
        <x:v>0</x:v>
      </x:c>
      <x:c r="H1655" s="8" t="n">
        <x:f>SUM('Данные'!H1655:I1655)</x:f>
        <x:v>0</x:v>
      </x:c>
      <x:c r="I1655" s="16" t="str">
        <x:f>IF(H1655&gt;0,G1655/H1655,"n.a.")</x:f>
        <x:v>n.a.</x:v>
      </x:c>
      <x:c r="J1655" s="10" t="n">
        <x:f>IF('Данные'!E1655&gt;0,G1655/'Данные'!E1655,"n.a.")</x:f>
        <x:v>0</x:v>
      </x:c>
      <x:c r="K1655" s="1" t="str">
        <x:f>IF(G1655&gt;='Дашборд'!$C$51,"X","Z")</x:f>
        <x:v>Z</x:v>
      </x:c>
      <x:c r="L1655" s="1" t="str">
        <x:f>IF(H1655=0,IF(G1655&gt;0,"Нет остатка","Нет спроса"),IF(I1655&gt;='Дашборд'!$C$52,"Быстрый","Медленный"))</x:f>
        <x:v>Нет спроса</x:v>
      </x:c>
      <x:c r="M1655" s="1" t="str">
        <x:f>IF('Данные'!E1655&lt;'Дашборд'!$C$53,"Мало трафика",IF(J1655&lt;'Дашборд'!$C$9*'Дашборд'!$C$54,"Да","Нет"))</x:f>
        <x:v>Мало трафика</x:v>
      </x:c>
      <x:c r="N1655" s="1" t="str">
        <x:f>IF(AND('Данные'!D1655&gt;='Дашборд'!$C$55,D1655&lt;'Дашборд'!$C$56,'Данные'!E1655&gt;='Дашборд'!$C$53,'Данные'!L1655&lt;&gt;"Да"),"Да","Нет")</x:f>
        <x:v>Нет</x:v>
      </x:c>
      <x:c r="O1655" s="1" t="str">
        <x:f>'Данные'!L1655</x:f>
        <x:v>Нет</x:v>
      </x:c>
    </x:row>
    <x:row r="1656">
      <x:c r="A1656" s="1" t="str">
        <x:f>'Данные'!A1656</x:f>
        <x:v>114592161</x:v>
      </x:c>
      <x:c r="B1656" s="1" t="str">
        <x:f>'Данные'!B1656</x:f>
        <x:v>longslivdlinna/салатовый</x:v>
      </x:c>
      <x:c r="C1656" s="8" t="n">
        <x:f>'Данные'!G1656</x:f>
        <x:v>0</x:v>
      </x:c>
      <x:c r="D1656" s="15" t="n">
        <x:f>C1656/SUM($C$5:$C$2477)</x:f>
        <x:v>0</x:v>
      </x:c>
      <x:c r="E1656" s="15" t="n">
        <x:f>SUM($D$5:D1656)</x:f>
        <x:v>1.0000000000000036</x:v>
      </x:c>
      <x:c r="F1656" s="1" t="str">
        <x:f>IF(C1656&lt;=0,"C",IF(E1656-D1656&lt;'Дашборд'!$C$49,"A",IF(E1656-D1656&lt;'Дашборд'!$C$50,"B","C")))</x:f>
        <x:v>C</x:v>
      </x:c>
      <x:c r="G1656" s="8" t="n">
        <x:f>'Данные'!F1656</x:f>
        <x:v>0</x:v>
      </x:c>
      <x:c r="H1656" s="8" t="n">
        <x:f>SUM('Данные'!H1656:I1656)</x:f>
        <x:v>0</x:v>
      </x:c>
      <x:c r="I1656" s="16" t="str">
        <x:f>IF(H1656&gt;0,G1656/H1656,"n.a.")</x:f>
        <x:v>n.a.</x:v>
      </x:c>
      <x:c r="J1656" s="10" t="n">
        <x:f>IF('Данные'!E1656&gt;0,G1656/'Данные'!E1656,"n.a.")</x:f>
        <x:v>0</x:v>
      </x:c>
      <x:c r="K1656" s="1" t="str">
        <x:f>IF(G1656&gt;='Дашборд'!$C$51,"X","Z")</x:f>
        <x:v>Z</x:v>
      </x:c>
      <x:c r="L1656" s="1" t="str">
        <x:f>IF(H1656=0,IF(G1656&gt;0,"Нет остатка","Нет спроса"),IF(I1656&gt;='Дашборд'!$C$52,"Быстрый","Медленный"))</x:f>
        <x:v>Нет спроса</x:v>
      </x:c>
      <x:c r="M1656" s="1" t="str">
        <x:f>IF('Данные'!E1656&lt;'Дашборд'!$C$53,"Мало трафика",IF(J1656&lt;'Дашборд'!$C$9*'Дашборд'!$C$54,"Да","Нет"))</x:f>
        <x:v>Мало трафика</x:v>
      </x:c>
      <x:c r="N1656" s="1" t="str">
        <x:f>IF(AND('Данные'!D1656&gt;='Дашборд'!$C$55,D1656&lt;'Дашборд'!$C$56,'Данные'!E1656&gt;='Дашборд'!$C$53,'Данные'!L1656&lt;&gt;"Да"),"Да","Нет")</x:f>
        <x:v>Нет</x:v>
      </x:c>
      <x:c r="O1656" s="1" t="str">
        <x:f>'Данные'!L1656</x:f>
        <x:v>Нет</x:v>
      </x:c>
    </x:row>
    <x:row r="1657">
      <x:c r="A1657" s="1" t="str">
        <x:f>'Данные'!A1657</x:f>
        <x:v>114594237</x:v>
      </x:c>
      <x:c r="B1657" s="1" t="str">
        <x:f>'Данные'!B1657</x:f>
        <x:v>longslivdlinna/зеленый</x:v>
      </x:c>
      <x:c r="C1657" s="8" t="n">
        <x:f>'Данные'!G1657</x:f>
        <x:v>0</x:v>
      </x:c>
      <x:c r="D1657" s="15" t="n">
        <x:f>C1657/SUM($C$5:$C$2477)</x:f>
        <x:v>0</x:v>
      </x:c>
      <x:c r="E1657" s="15" t="n">
        <x:f>SUM($D$5:D1657)</x:f>
        <x:v>1.0000000000000036</x:v>
      </x:c>
      <x:c r="F1657" s="1" t="str">
        <x:f>IF(C1657&lt;=0,"C",IF(E1657-D1657&lt;'Дашборд'!$C$49,"A",IF(E1657-D1657&lt;'Дашборд'!$C$50,"B","C")))</x:f>
        <x:v>C</x:v>
      </x:c>
      <x:c r="G1657" s="8" t="n">
        <x:f>'Данные'!F1657</x:f>
        <x:v>0</x:v>
      </x:c>
      <x:c r="H1657" s="8" t="n">
        <x:f>SUM('Данные'!H1657:I1657)</x:f>
        <x:v>40</x:v>
      </x:c>
      <x:c r="I1657" s="16" t="n">
        <x:f>IF(H1657&gt;0,G1657/H1657,"n.a.")</x:f>
        <x:v>0</x:v>
      </x:c>
      <x:c r="J1657" s="10" t="n">
        <x:f>IF('Данные'!E1657&gt;0,G1657/'Данные'!E1657,"n.a.")</x:f>
        <x:v>0</x:v>
      </x:c>
      <x:c r="K1657" s="1" t="str">
        <x:f>IF(G1657&gt;='Дашборд'!$C$51,"X","Z")</x:f>
        <x:v>Z</x:v>
      </x:c>
      <x:c r="L1657" s="1" t="str">
        <x:f>IF(H1657=0,IF(G1657&gt;0,"Нет остатка","Нет спроса"),IF(I1657&gt;='Дашборд'!$C$52,"Быстрый","Медленный"))</x:f>
        <x:v>Медленный</x:v>
      </x:c>
      <x:c r="M1657" s="1" t="str">
        <x:f>IF('Данные'!E1657&lt;'Дашборд'!$C$53,"Мало трафика",IF(J1657&lt;'Дашборд'!$C$9*'Дашборд'!$C$54,"Да","Нет"))</x:f>
        <x:v>Да</x:v>
      </x:c>
      <x:c r="N1657" s="1" t="str">
        <x:f>IF(AND('Данные'!D1657&gt;='Дашборд'!$C$55,D1657&lt;'Дашборд'!$C$56,'Данные'!E1657&gt;='Дашборд'!$C$53,'Данные'!L1657&lt;&gt;"Да"),"Да","Нет")</x:f>
        <x:v>Нет</x:v>
      </x:c>
      <x:c r="O1657" s="1" t="str">
        <x:f>'Данные'!L1657</x:f>
        <x:v>Нет</x:v>
      </x:c>
    </x:row>
    <x:row r="1658">
      <x:c r="A1658" s="1" t="str">
        <x:f>'Данные'!A1658</x:f>
        <x:v>116402592</x:v>
      </x:c>
      <x:c r="B1658" s="1" t="str">
        <x:f>'Данные'!B1658</x:f>
        <x:v>longslivdlinna/зелено-серый</x:v>
      </x:c>
      <x:c r="C1658" s="8" t="n">
        <x:f>'Данные'!G1658</x:f>
        <x:v>0</x:v>
      </x:c>
      <x:c r="D1658" s="15" t="n">
        <x:f>C1658/SUM($C$5:$C$2477)</x:f>
        <x:v>0</x:v>
      </x:c>
      <x:c r="E1658" s="15" t="n">
        <x:f>SUM($D$5:D1658)</x:f>
        <x:v>1.0000000000000036</x:v>
      </x:c>
      <x:c r="F1658" s="1" t="str">
        <x:f>IF(C1658&lt;=0,"C",IF(E1658-D1658&lt;'Дашборд'!$C$49,"A",IF(E1658-D1658&lt;'Дашборд'!$C$50,"B","C")))</x:f>
        <x:v>C</x:v>
      </x:c>
      <x:c r="G1658" s="8" t="n">
        <x:f>'Данные'!F1658</x:f>
        <x:v>0</x:v>
      </x:c>
      <x:c r="H1658" s="8" t="n">
        <x:f>SUM('Данные'!H1658:I1658)</x:f>
        <x:v>0</x:v>
      </x:c>
      <x:c r="I1658" s="16" t="str">
        <x:f>IF(H1658&gt;0,G1658/H1658,"n.a.")</x:f>
        <x:v>n.a.</x:v>
      </x:c>
      <x:c r="J1658" s="10" t="n">
        <x:f>IF('Данные'!E1658&gt;0,G1658/'Данные'!E1658,"n.a.")</x:f>
        <x:v>0</x:v>
      </x:c>
      <x:c r="K1658" s="1" t="str">
        <x:f>IF(G1658&gt;='Дашборд'!$C$51,"X","Z")</x:f>
        <x:v>Z</x:v>
      </x:c>
      <x:c r="L1658" s="1" t="str">
        <x:f>IF(H1658=0,IF(G1658&gt;0,"Нет остатка","Нет спроса"),IF(I1658&gt;='Дашборд'!$C$52,"Быстрый","Медленный"))</x:f>
        <x:v>Нет спроса</x:v>
      </x:c>
      <x:c r="M1658" s="1" t="str">
        <x:f>IF('Данные'!E1658&lt;'Дашборд'!$C$53,"Мало трафика",IF(J1658&lt;'Дашборд'!$C$9*'Дашборд'!$C$54,"Да","Нет"))</x:f>
        <x:v>Мало трафика</x:v>
      </x:c>
      <x:c r="N1658" s="1" t="str">
        <x:f>IF(AND('Данные'!D1658&gt;='Дашборд'!$C$55,D1658&lt;'Дашборд'!$C$56,'Данные'!E1658&gt;='Дашборд'!$C$53,'Данные'!L1658&lt;&gt;"Да"),"Да","Нет")</x:f>
        <x:v>Нет</x:v>
      </x:c>
      <x:c r="O1658" s="1" t="str">
        <x:f>'Данные'!L1658</x:f>
        <x:v>Нет</x:v>
      </x:c>
    </x:row>
    <x:row r="1659">
      <x:c r="A1659" s="1" t="str">
        <x:f>'Данные'!A1659</x:f>
        <x:v>116404691</x:v>
      </x:c>
      <x:c r="B1659" s="1" t="str">
        <x:f>'Данные'!B1659</x:f>
        <x:v>longslivdlinna/кофейный</x:v>
      </x:c>
      <x:c r="C1659" s="8" t="n">
        <x:f>'Данные'!G1659</x:f>
        <x:v>0</x:v>
      </x:c>
      <x:c r="D1659" s="15" t="n">
        <x:f>C1659/SUM($C$5:$C$2477)</x:f>
        <x:v>0</x:v>
      </x:c>
      <x:c r="E1659" s="15" t="n">
        <x:f>SUM($D$5:D1659)</x:f>
        <x:v>1.0000000000000036</x:v>
      </x:c>
      <x:c r="F1659" s="1" t="str">
        <x:f>IF(C1659&lt;=0,"C",IF(E1659-D1659&lt;'Дашборд'!$C$49,"A",IF(E1659-D1659&lt;'Дашборд'!$C$50,"B","C")))</x:f>
        <x:v>C</x:v>
      </x:c>
      <x:c r="G1659" s="8" t="n">
        <x:f>'Данные'!F1659</x:f>
        <x:v>0</x:v>
      </x:c>
      <x:c r="H1659" s="8" t="n">
        <x:f>SUM('Данные'!H1659:I1659)</x:f>
        <x:v>0</x:v>
      </x:c>
      <x:c r="I1659" s="16" t="str">
        <x:f>IF(H1659&gt;0,G1659/H1659,"n.a.")</x:f>
        <x:v>n.a.</x:v>
      </x:c>
      <x:c r="J1659" s="10" t="n">
        <x:f>IF('Данные'!E1659&gt;0,G1659/'Данные'!E1659,"n.a.")</x:f>
        <x:v>0</x:v>
      </x:c>
      <x:c r="K1659" s="1" t="str">
        <x:f>IF(G1659&gt;='Дашборд'!$C$51,"X","Z")</x:f>
        <x:v>Z</x:v>
      </x:c>
      <x:c r="L1659" s="1" t="str">
        <x:f>IF(H1659=0,IF(G1659&gt;0,"Нет остатка","Нет спроса"),IF(I1659&gt;='Дашборд'!$C$52,"Быстрый","Медленный"))</x:f>
        <x:v>Нет спроса</x:v>
      </x:c>
      <x:c r="M1659" s="1" t="str">
        <x:f>IF('Данные'!E1659&lt;'Дашборд'!$C$53,"Мало трафика",IF(J1659&lt;'Дашборд'!$C$9*'Дашборд'!$C$54,"Да","Нет"))</x:f>
        <x:v>Мало трафика</x:v>
      </x:c>
      <x:c r="N1659" s="1" t="str">
        <x:f>IF(AND('Данные'!D1659&gt;='Дашборд'!$C$55,D1659&lt;'Дашборд'!$C$56,'Данные'!E1659&gt;='Дашборд'!$C$53,'Данные'!L1659&lt;&gt;"Да"),"Да","Нет")</x:f>
        <x:v>Нет</x:v>
      </x:c>
      <x:c r="O1659" s="1" t="str">
        <x:f>'Данные'!L1659</x:f>
        <x:v>Нет</x:v>
      </x:c>
    </x:row>
    <x:row r="1660">
      <x:c r="A1660" s="1" t="str">
        <x:f>'Данные'!A1660</x:f>
        <x:v>116725957</x:v>
      </x:c>
      <x:c r="B1660" s="1" t="str">
        <x:f>'Данные'!B1660</x:f>
        <x:v>longsliv/зеленый</x:v>
      </x:c>
      <x:c r="C1660" s="8" t="n">
        <x:f>'Данные'!G1660</x:f>
        <x:v>0</x:v>
      </x:c>
      <x:c r="D1660" s="15" t="n">
        <x:f>C1660/SUM($C$5:$C$2477)</x:f>
        <x:v>0</x:v>
      </x:c>
      <x:c r="E1660" s="15" t="n">
        <x:f>SUM($D$5:D1660)</x:f>
        <x:v>1.0000000000000036</x:v>
      </x:c>
      <x:c r="F1660" s="1" t="str">
        <x:f>IF(C1660&lt;=0,"C",IF(E1660-D1660&lt;'Дашборд'!$C$49,"A",IF(E1660-D1660&lt;'Дашборд'!$C$50,"B","C")))</x:f>
        <x:v>C</x:v>
      </x:c>
      <x:c r="G1660" s="8" t="n">
        <x:f>'Данные'!F1660</x:f>
        <x:v>0</x:v>
      </x:c>
      <x:c r="H1660" s="8" t="n">
        <x:f>SUM('Данные'!H1660:I1660)</x:f>
        <x:v>0</x:v>
      </x:c>
      <x:c r="I1660" s="16" t="str">
        <x:f>IF(H1660&gt;0,G1660/H1660,"n.a.")</x:f>
        <x:v>n.a.</x:v>
      </x:c>
      <x:c r="J1660" s="10" t="n">
        <x:f>IF('Данные'!E1660&gt;0,G1660/'Данные'!E1660,"n.a.")</x:f>
        <x:v>0</x:v>
      </x:c>
      <x:c r="K1660" s="1" t="str">
        <x:f>IF(G1660&gt;='Дашборд'!$C$51,"X","Z")</x:f>
        <x:v>Z</x:v>
      </x:c>
      <x:c r="L1660" s="1" t="str">
        <x:f>IF(H1660=0,IF(G1660&gt;0,"Нет остатка","Нет спроса"),IF(I1660&gt;='Дашборд'!$C$52,"Быстрый","Медленный"))</x:f>
        <x:v>Нет спроса</x:v>
      </x:c>
      <x:c r="M1660" s="1" t="str">
        <x:f>IF('Данные'!E1660&lt;'Дашборд'!$C$53,"Мало трафика",IF(J1660&lt;'Дашборд'!$C$9*'Дашборд'!$C$54,"Да","Нет"))</x:f>
        <x:v>Мало трафика</x:v>
      </x:c>
      <x:c r="N1660" s="1" t="str">
        <x:f>IF(AND('Данные'!D1660&gt;='Дашборд'!$C$55,D1660&lt;'Дашборд'!$C$56,'Данные'!E1660&gt;='Дашборд'!$C$53,'Данные'!L1660&lt;&gt;"Да"),"Да","Нет")</x:f>
        <x:v>Нет</x:v>
      </x:c>
      <x:c r="O1660" s="1" t="str">
        <x:f>'Данные'!L1660</x:f>
        <x:v>Нет</x:v>
      </x:c>
    </x:row>
    <x:row r="1661">
      <x:c r="A1661" s="1" t="str">
        <x:f>'Данные'!A1661</x:f>
        <x:v>116725961</x:v>
      </x:c>
      <x:c r="B1661" s="1" t="str">
        <x:f>'Данные'!B1661</x:f>
        <x:v>longsliv/салатовый</x:v>
      </x:c>
      <x:c r="C1661" s="8" t="n">
        <x:f>'Данные'!G1661</x:f>
        <x:v>0</x:v>
      </x:c>
      <x:c r="D1661" s="15" t="n">
        <x:f>C1661/SUM($C$5:$C$2477)</x:f>
        <x:v>0</x:v>
      </x:c>
      <x:c r="E1661" s="15" t="n">
        <x:f>SUM($D$5:D1661)</x:f>
        <x:v>1.0000000000000036</x:v>
      </x:c>
      <x:c r="F1661" s="1" t="str">
        <x:f>IF(C1661&lt;=0,"C",IF(E1661-D1661&lt;'Дашборд'!$C$49,"A",IF(E1661-D1661&lt;'Дашборд'!$C$50,"B","C")))</x:f>
        <x:v>C</x:v>
      </x:c>
      <x:c r="G1661" s="8" t="n">
        <x:f>'Данные'!F1661</x:f>
        <x:v>0</x:v>
      </x:c>
      <x:c r="H1661" s="8" t="n">
        <x:f>SUM('Данные'!H1661:I1661)</x:f>
        <x:v>0</x:v>
      </x:c>
      <x:c r="I1661" s="16" t="str">
        <x:f>IF(H1661&gt;0,G1661/H1661,"n.a.")</x:f>
        <x:v>n.a.</x:v>
      </x:c>
      <x:c r="J1661" s="10" t="n">
        <x:f>IF('Данные'!E1661&gt;0,G1661/'Данные'!E1661,"n.a.")</x:f>
        <x:v>0</x:v>
      </x:c>
      <x:c r="K1661" s="1" t="str">
        <x:f>IF(G1661&gt;='Дашборд'!$C$51,"X","Z")</x:f>
        <x:v>Z</x:v>
      </x:c>
      <x:c r="L1661" s="1" t="str">
        <x:f>IF(H1661=0,IF(G1661&gt;0,"Нет остатка","Нет спроса"),IF(I1661&gt;='Дашборд'!$C$52,"Быстрый","Медленный"))</x:f>
        <x:v>Нет спроса</x:v>
      </x:c>
      <x:c r="M1661" s="1" t="str">
        <x:f>IF('Данные'!E1661&lt;'Дашборд'!$C$53,"Мало трафика",IF(J1661&lt;'Дашборд'!$C$9*'Дашборд'!$C$54,"Да","Нет"))</x:f>
        <x:v>Мало трафика</x:v>
      </x:c>
      <x:c r="N1661" s="1" t="str">
        <x:f>IF(AND('Данные'!D1661&gt;='Дашборд'!$C$55,D1661&lt;'Дашборд'!$C$56,'Данные'!E1661&gt;='Дашборд'!$C$53,'Данные'!L1661&lt;&gt;"Да"),"Да","Нет")</x:f>
        <x:v>Нет</x:v>
      </x:c>
      <x:c r="O1661" s="1" t="str">
        <x:f>'Данные'!L1661</x:f>
        <x:v>Нет</x:v>
      </x:c>
    </x:row>
    <x:row r="1662">
      <x:c r="A1662" s="1" t="str">
        <x:f>'Данные'!A1662</x:f>
        <x:v>117752484</x:v>
      </x:c>
      <x:c r="B1662" s="1" t="str">
        <x:f>'Данные'!B1662</x:f>
        <x:v>longslivdecolte/пыльнаяроза</x:v>
      </x:c>
      <x:c r="C1662" s="8" t="n">
        <x:f>'Данные'!G1662</x:f>
        <x:v>0</x:v>
      </x:c>
      <x:c r="D1662" s="15" t="n">
        <x:f>C1662/SUM($C$5:$C$2477)</x:f>
        <x:v>0</x:v>
      </x:c>
      <x:c r="E1662" s="15" t="n">
        <x:f>SUM($D$5:D1662)</x:f>
        <x:v>1.0000000000000036</x:v>
      </x:c>
      <x:c r="F1662" s="1" t="str">
        <x:f>IF(C1662&lt;=0,"C",IF(E1662-D1662&lt;'Дашборд'!$C$49,"A",IF(E1662-D1662&lt;'Дашборд'!$C$50,"B","C")))</x:f>
        <x:v>C</x:v>
      </x:c>
      <x:c r="G1662" s="8" t="n">
        <x:f>'Данные'!F1662</x:f>
        <x:v>0</x:v>
      </x:c>
      <x:c r="H1662" s="8" t="n">
        <x:f>SUM('Данные'!H1662:I1662)</x:f>
        <x:v>0</x:v>
      </x:c>
      <x:c r="I1662" s="16" t="str">
        <x:f>IF(H1662&gt;0,G1662/H1662,"n.a.")</x:f>
        <x:v>n.a.</x:v>
      </x:c>
      <x:c r="J1662" s="10" t="n">
        <x:f>IF('Данные'!E1662&gt;0,G1662/'Данные'!E1662,"n.a.")</x:f>
        <x:v>0</x:v>
      </x:c>
      <x:c r="K1662" s="1" t="str">
        <x:f>IF(G1662&gt;='Дашборд'!$C$51,"X","Z")</x:f>
        <x:v>Z</x:v>
      </x:c>
      <x:c r="L1662" s="1" t="str">
        <x:f>IF(H1662=0,IF(G1662&gt;0,"Нет остатка","Нет спроса"),IF(I1662&gt;='Дашборд'!$C$52,"Быстрый","Медленный"))</x:f>
        <x:v>Нет спроса</x:v>
      </x:c>
      <x:c r="M1662" s="1" t="str">
        <x:f>IF('Данные'!E1662&lt;'Дашборд'!$C$53,"Мало трафика",IF(J1662&lt;'Дашборд'!$C$9*'Дашборд'!$C$54,"Да","Нет"))</x:f>
        <x:v>Мало трафика</x:v>
      </x:c>
      <x:c r="N1662" s="1" t="str">
        <x:f>IF(AND('Данные'!D1662&gt;='Дашборд'!$C$55,D1662&lt;'Дашборд'!$C$56,'Данные'!E1662&gt;='Дашборд'!$C$53,'Данные'!L1662&lt;&gt;"Да"),"Да","Нет")</x:f>
        <x:v>Нет</x:v>
      </x:c>
      <x:c r="O1662" s="1" t="str">
        <x:f>'Данные'!L1662</x:f>
        <x:v>Нет</x:v>
      </x:c>
    </x:row>
    <x:row r="1663">
      <x:c r="A1663" s="1" t="str">
        <x:f>'Данные'!A1663</x:f>
        <x:v>117752606</x:v>
      </x:c>
      <x:c r="B1663" s="1" t="str">
        <x:f>'Данные'!B1663</x:f>
        <x:v>longslivdecolte/банановый</x:v>
      </x:c>
      <x:c r="C1663" s="8" t="n">
        <x:f>'Данные'!G1663</x:f>
        <x:v>0</x:v>
      </x:c>
      <x:c r="D1663" s="15" t="n">
        <x:f>C1663/SUM($C$5:$C$2477)</x:f>
        <x:v>0</x:v>
      </x:c>
      <x:c r="E1663" s="15" t="n">
        <x:f>SUM($D$5:D1663)</x:f>
        <x:v>1.0000000000000036</x:v>
      </x:c>
      <x:c r="F1663" s="1" t="str">
        <x:f>IF(C1663&lt;=0,"C",IF(E1663-D1663&lt;'Дашборд'!$C$49,"A",IF(E1663-D1663&lt;'Дашборд'!$C$50,"B","C")))</x:f>
        <x:v>C</x:v>
      </x:c>
      <x:c r="G1663" s="8" t="n">
        <x:f>'Данные'!F1663</x:f>
        <x:v>0</x:v>
      </x:c>
      <x:c r="H1663" s="8" t="n">
        <x:f>SUM('Данные'!H1663:I1663)</x:f>
        <x:v>0</x:v>
      </x:c>
      <x:c r="I1663" s="16" t="str">
        <x:f>IF(H1663&gt;0,G1663/H1663,"n.a.")</x:f>
        <x:v>n.a.</x:v>
      </x:c>
      <x:c r="J1663" s="10" t="n">
        <x:f>IF('Данные'!E1663&gt;0,G1663/'Данные'!E1663,"n.a.")</x:f>
        <x:v>0</x:v>
      </x:c>
      <x:c r="K1663" s="1" t="str">
        <x:f>IF(G1663&gt;='Дашборд'!$C$51,"X","Z")</x:f>
        <x:v>Z</x:v>
      </x:c>
      <x:c r="L1663" s="1" t="str">
        <x:f>IF(H1663=0,IF(G1663&gt;0,"Нет остатка","Нет спроса"),IF(I1663&gt;='Дашборд'!$C$52,"Быстрый","Медленный"))</x:f>
        <x:v>Нет спроса</x:v>
      </x:c>
      <x:c r="M1663" s="1" t="str">
        <x:f>IF('Данные'!E1663&lt;'Дашборд'!$C$53,"Мало трафика",IF(J1663&lt;'Дашборд'!$C$9*'Дашборд'!$C$54,"Да","Нет"))</x:f>
        <x:v>Мало трафика</x:v>
      </x:c>
      <x:c r="N1663" s="1" t="str">
        <x:f>IF(AND('Данные'!D1663&gt;='Дашборд'!$C$55,D1663&lt;'Дашборд'!$C$56,'Данные'!E1663&gt;='Дашборд'!$C$53,'Данные'!L1663&lt;&gt;"Да"),"Да","Нет")</x:f>
        <x:v>Нет</x:v>
      </x:c>
      <x:c r="O1663" s="1" t="str">
        <x:f>'Данные'!L1663</x:f>
        <x:v>Нет</x:v>
      </x:c>
    </x:row>
    <x:row r="1664">
      <x:c r="A1664" s="1" t="str">
        <x:f>'Данные'!A1664</x:f>
        <x:v>117753235</x:v>
      </x:c>
      <x:c r="B1664" s="1" t="str">
        <x:f>'Данные'!B1664</x:f>
        <x:v>longslivdecolte/хаки</x:v>
      </x:c>
      <x:c r="C1664" s="8" t="n">
        <x:f>'Данные'!G1664</x:f>
        <x:v>0</x:v>
      </x:c>
      <x:c r="D1664" s="15" t="n">
        <x:f>C1664/SUM($C$5:$C$2477)</x:f>
        <x:v>0</x:v>
      </x:c>
      <x:c r="E1664" s="15" t="n">
        <x:f>SUM($D$5:D1664)</x:f>
        <x:v>1.0000000000000036</x:v>
      </x:c>
      <x:c r="F1664" s="1" t="str">
        <x:f>IF(C1664&lt;=0,"C",IF(E1664-D1664&lt;'Дашборд'!$C$49,"A",IF(E1664-D1664&lt;'Дашборд'!$C$50,"B","C")))</x:f>
        <x:v>C</x:v>
      </x:c>
      <x:c r="G1664" s="8" t="n">
        <x:f>'Данные'!F1664</x:f>
        <x:v>0</x:v>
      </x:c>
      <x:c r="H1664" s="8" t="n">
        <x:f>SUM('Данные'!H1664:I1664)</x:f>
        <x:v>0</x:v>
      </x:c>
      <x:c r="I1664" s="16" t="str">
        <x:f>IF(H1664&gt;0,G1664/H1664,"n.a.")</x:f>
        <x:v>n.a.</x:v>
      </x:c>
      <x:c r="J1664" s="10" t="n">
        <x:f>IF('Данные'!E1664&gt;0,G1664/'Данные'!E1664,"n.a.")</x:f>
        <x:v>0</x:v>
      </x:c>
      <x:c r="K1664" s="1" t="str">
        <x:f>IF(G1664&gt;='Дашборд'!$C$51,"X","Z")</x:f>
        <x:v>Z</x:v>
      </x:c>
      <x:c r="L1664" s="1" t="str">
        <x:f>IF(H1664=0,IF(G1664&gt;0,"Нет остатка","Нет спроса"),IF(I1664&gt;='Дашборд'!$C$52,"Быстрый","Медленный"))</x:f>
        <x:v>Нет спроса</x:v>
      </x:c>
      <x:c r="M1664" s="1" t="str">
        <x:f>IF('Данные'!E1664&lt;'Дашборд'!$C$53,"Мало трафика",IF(J1664&lt;'Дашборд'!$C$9*'Дашборд'!$C$54,"Да","Нет"))</x:f>
        <x:v>Мало трафика</x:v>
      </x:c>
      <x:c r="N1664" s="1" t="str">
        <x:f>IF(AND('Данные'!D1664&gt;='Дашборд'!$C$55,D1664&lt;'Дашборд'!$C$56,'Данные'!E1664&gt;='Дашборд'!$C$53,'Данные'!L1664&lt;&gt;"Да"),"Да","Нет")</x:f>
        <x:v>Нет</x:v>
      </x:c>
      <x:c r="O1664" s="1" t="str">
        <x:f>'Данные'!L1664</x:f>
        <x:v>Нет</x:v>
      </x:c>
    </x:row>
    <x:row r="1665">
      <x:c r="A1665" s="1" t="str">
        <x:f>'Данные'!A1665</x:f>
        <x:v>117753385</x:v>
      </x:c>
      <x:c r="B1665" s="1" t="str">
        <x:f>'Данные'!B1665</x:f>
        <x:v>longslivdecolte/шалфей</x:v>
      </x:c>
      <x:c r="C1665" s="8" t="n">
        <x:f>'Данные'!G1665</x:f>
        <x:v>0</x:v>
      </x:c>
      <x:c r="D1665" s="15" t="n">
        <x:f>C1665/SUM($C$5:$C$2477)</x:f>
        <x:v>0</x:v>
      </x:c>
      <x:c r="E1665" s="15" t="n">
        <x:f>SUM($D$5:D1665)</x:f>
        <x:v>1.0000000000000036</x:v>
      </x:c>
      <x:c r="F1665" s="1" t="str">
        <x:f>IF(C1665&lt;=0,"C",IF(E1665-D1665&lt;'Дашборд'!$C$49,"A",IF(E1665-D1665&lt;'Дашборд'!$C$50,"B","C")))</x:f>
        <x:v>C</x:v>
      </x:c>
      <x:c r="G1665" s="8" t="n">
        <x:f>'Данные'!F1665</x:f>
        <x:v>0</x:v>
      </x:c>
      <x:c r="H1665" s="8" t="n">
        <x:f>SUM('Данные'!H1665:I1665)</x:f>
        <x:v>0</x:v>
      </x:c>
      <x:c r="I1665" s="16" t="str">
        <x:f>IF(H1665&gt;0,G1665/H1665,"n.a.")</x:f>
        <x:v>n.a.</x:v>
      </x:c>
      <x:c r="J1665" s="10" t="n">
        <x:f>IF('Данные'!E1665&gt;0,G1665/'Данные'!E1665,"n.a.")</x:f>
        <x:v>0</x:v>
      </x:c>
      <x:c r="K1665" s="1" t="str">
        <x:f>IF(G1665&gt;='Дашборд'!$C$51,"X","Z")</x:f>
        <x:v>Z</x:v>
      </x:c>
      <x:c r="L1665" s="1" t="str">
        <x:f>IF(H1665=0,IF(G1665&gt;0,"Нет остатка","Нет спроса"),IF(I1665&gt;='Дашборд'!$C$52,"Быстрый","Медленный"))</x:f>
        <x:v>Нет спроса</x:v>
      </x:c>
      <x:c r="M1665" s="1" t="str">
        <x:f>IF('Данные'!E1665&lt;'Дашборд'!$C$53,"Мало трафика",IF(J1665&lt;'Дашборд'!$C$9*'Дашборд'!$C$54,"Да","Нет"))</x:f>
        <x:v>Мало трафика</x:v>
      </x:c>
      <x:c r="N1665" s="1" t="str">
        <x:f>IF(AND('Данные'!D1665&gt;='Дашборд'!$C$55,D1665&lt;'Дашборд'!$C$56,'Данные'!E1665&gt;='Дашборд'!$C$53,'Данные'!L1665&lt;&gt;"Да"),"Да","Нет")</x:f>
        <x:v>Нет</x:v>
      </x:c>
      <x:c r="O1665" s="1" t="str">
        <x:f>'Данные'!L1665</x:f>
        <x:v>Нет</x:v>
      </x:c>
    </x:row>
    <x:row r="1666">
      <x:c r="A1666" s="1" t="str">
        <x:f>'Данные'!A1666</x:f>
        <x:v>117755374</x:v>
      </x:c>
      <x:c r="B1666" s="1" t="str">
        <x:f>'Данные'!B1666</x:f>
        <x:v>longslivdecolte/зеленый</x:v>
      </x:c>
      <x:c r="C1666" s="8" t="n">
        <x:f>'Данные'!G1666</x:f>
        <x:v>0</x:v>
      </x:c>
      <x:c r="D1666" s="15" t="n">
        <x:f>C1666/SUM($C$5:$C$2477)</x:f>
        <x:v>0</x:v>
      </x:c>
      <x:c r="E1666" s="15" t="n">
        <x:f>SUM($D$5:D1666)</x:f>
        <x:v>1.0000000000000036</x:v>
      </x:c>
      <x:c r="F1666" s="1" t="str">
        <x:f>IF(C1666&lt;=0,"C",IF(E1666-D1666&lt;'Дашборд'!$C$49,"A",IF(E1666-D1666&lt;'Дашборд'!$C$50,"B","C")))</x:f>
        <x:v>C</x:v>
      </x:c>
      <x:c r="G1666" s="8" t="n">
        <x:f>'Данные'!F1666</x:f>
        <x:v>0</x:v>
      </x:c>
      <x:c r="H1666" s="8" t="n">
        <x:f>SUM('Данные'!H1666:I1666)</x:f>
        <x:v>0</x:v>
      </x:c>
      <x:c r="I1666" s="16" t="str">
        <x:f>IF(H1666&gt;0,G1666/H1666,"n.a.")</x:f>
        <x:v>n.a.</x:v>
      </x:c>
      <x:c r="J1666" s="10" t="n">
        <x:f>IF('Данные'!E1666&gt;0,G1666/'Данные'!E1666,"n.a.")</x:f>
        <x:v>0</x:v>
      </x:c>
      <x:c r="K1666" s="1" t="str">
        <x:f>IF(G1666&gt;='Дашборд'!$C$51,"X","Z")</x:f>
        <x:v>Z</x:v>
      </x:c>
      <x:c r="L1666" s="1" t="str">
        <x:f>IF(H1666=0,IF(G1666&gt;0,"Нет остатка","Нет спроса"),IF(I1666&gt;='Дашборд'!$C$52,"Быстрый","Медленный"))</x:f>
        <x:v>Нет спроса</x:v>
      </x:c>
      <x:c r="M1666" s="1" t="str">
        <x:f>IF('Данные'!E1666&lt;'Дашборд'!$C$53,"Мало трафика",IF(J1666&lt;'Дашборд'!$C$9*'Дашборд'!$C$54,"Да","Нет"))</x:f>
        <x:v>Мало трафика</x:v>
      </x:c>
      <x:c r="N1666" s="1" t="str">
        <x:f>IF(AND('Данные'!D1666&gt;='Дашборд'!$C$55,D1666&lt;'Дашборд'!$C$56,'Данные'!E1666&gt;='Дашборд'!$C$53,'Данные'!L1666&lt;&gt;"Да"),"Да","Нет")</x:f>
        <x:v>Нет</x:v>
      </x:c>
      <x:c r="O1666" s="1" t="str">
        <x:f>'Данные'!L1666</x:f>
        <x:v>Нет</x:v>
      </x:c>
    </x:row>
    <x:row r="1667">
      <x:c r="A1667" s="1" t="str">
        <x:f>'Данные'!A1667</x:f>
        <x:v>117756362</x:v>
      </x:c>
      <x:c r="B1667" s="1" t="str">
        <x:f>'Данные'!B1667</x:f>
        <x:v>longslivdecolte/сине-морской</x:v>
      </x:c>
      <x:c r="C1667" s="8" t="n">
        <x:f>'Данные'!G1667</x:f>
        <x:v>0</x:v>
      </x:c>
      <x:c r="D1667" s="15" t="n">
        <x:f>C1667/SUM($C$5:$C$2477)</x:f>
        <x:v>0</x:v>
      </x:c>
      <x:c r="E1667" s="15" t="n">
        <x:f>SUM($D$5:D1667)</x:f>
        <x:v>1.0000000000000036</x:v>
      </x:c>
      <x:c r="F1667" s="1" t="str">
        <x:f>IF(C1667&lt;=0,"C",IF(E1667-D1667&lt;'Дашборд'!$C$49,"A",IF(E1667-D1667&lt;'Дашборд'!$C$50,"B","C")))</x:f>
        <x:v>C</x:v>
      </x:c>
      <x:c r="G1667" s="8" t="n">
        <x:f>'Данные'!F1667</x:f>
        <x:v>0</x:v>
      </x:c>
      <x:c r="H1667" s="8" t="n">
        <x:f>SUM('Данные'!H1667:I1667)</x:f>
        <x:v>0</x:v>
      </x:c>
      <x:c r="I1667" s="16" t="str">
        <x:f>IF(H1667&gt;0,G1667/H1667,"n.a.")</x:f>
        <x:v>n.a.</x:v>
      </x:c>
      <x:c r="J1667" s="10" t="n">
        <x:f>IF('Данные'!E1667&gt;0,G1667/'Данные'!E1667,"n.a.")</x:f>
        <x:v>0</x:v>
      </x:c>
      <x:c r="K1667" s="1" t="str">
        <x:f>IF(G1667&gt;='Дашборд'!$C$51,"X","Z")</x:f>
        <x:v>Z</x:v>
      </x:c>
      <x:c r="L1667" s="1" t="str">
        <x:f>IF(H1667=0,IF(G1667&gt;0,"Нет остатка","Нет спроса"),IF(I1667&gt;='Дашборд'!$C$52,"Быстрый","Медленный"))</x:f>
        <x:v>Нет спроса</x:v>
      </x:c>
      <x:c r="M1667" s="1" t="str">
        <x:f>IF('Данные'!E1667&lt;'Дашборд'!$C$53,"Мало трафика",IF(J1667&lt;'Дашборд'!$C$9*'Дашборд'!$C$54,"Да","Нет"))</x:f>
        <x:v>Мало трафика</x:v>
      </x:c>
      <x:c r="N1667" s="1" t="str">
        <x:f>IF(AND('Данные'!D1667&gt;='Дашборд'!$C$55,D1667&lt;'Дашборд'!$C$56,'Данные'!E1667&gt;='Дашборд'!$C$53,'Данные'!L1667&lt;&gt;"Да"),"Да","Нет")</x:f>
        <x:v>Нет</x:v>
      </x:c>
      <x:c r="O1667" s="1" t="str">
        <x:f>'Данные'!L1667</x:f>
        <x:v>Нет</x:v>
      </x:c>
    </x:row>
    <x:row r="1668">
      <x:c r="A1668" s="1" t="str">
        <x:f>'Данные'!A1668</x:f>
        <x:v>117756997</x:v>
      </x:c>
      <x:c r="B1668" s="1" t="str">
        <x:f>'Данные'!B1668</x:f>
        <x:v>longslivdecolte/зелено-серый</x:v>
      </x:c>
      <x:c r="C1668" s="8" t="n">
        <x:f>'Данные'!G1668</x:f>
        <x:v>0</x:v>
      </x:c>
      <x:c r="D1668" s="15" t="n">
        <x:f>C1668/SUM($C$5:$C$2477)</x:f>
        <x:v>0</x:v>
      </x:c>
      <x:c r="E1668" s="15" t="n">
        <x:f>SUM($D$5:D1668)</x:f>
        <x:v>1.0000000000000036</x:v>
      </x:c>
      <x:c r="F1668" s="1" t="str">
        <x:f>IF(C1668&lt;=0,"C",IF(E1668-D1668&lt;'Дашборд'!$C$49,"A",IF(E1668-D1668&lt;'Дашборд'!$C$50,"B","C")))</x:f>
        <x:v>C</x:v>
      </x:c>
      <x:c r="G1668" s="8" t="n">
        <x:f>'Данные'!F1668</x:f>
        <x:v>0</x:v>
      </x:c>
      <x:c r="H1668" s="8" t="n">
        <x:f>SUM('Данные'!H1668:I1668)</x:f>
        <x:v>0</x:v>
      </x:c>
      <x:c r="I1668" s="16" t="str">
        <x:f>IF(H1668&gt;0,G1668/H1668,"n.a.")</x:f>
        <x:v>n.a.</x:v>
      </x:c>
      <x:c r="J1668" s="10" t="n">
        <x:f>IF('Данные'!E1668&gt;0,G1668/'Данные'!E1668,"n.a.")</x:f>
        <x:v>0</x:v>
      </x:c>
      <x:c r="K1668" s="1" t="str">
        <x:f>IF(G1668&gt;='Дашборд'!$C$51,"X","Z")</x:f>
        <x:v>Z</x:v>
      </x:c>
      <x:c r="L1668" s="1" t="str">
        <x:f>IF(H1668=0,IF(G1668&gt;0,"Нет остатка","Нет спроса"),IF(I1668&gt;='Дашборд'!$C$52,"Быстрый","Медленный"))</x:f>
        <x:v>Нет спроса</x:v>
      </x:c>
      <x:c r="M1668" s="1" t="str">
        <x:f>IF('Данные'!E1668&lt;'Дашборд'!$C$53,"Мало трафика",IF(J1668&lt;'Дашборд'!$C$9*'Дашборд'!$C$54,"Да","Нет"))</x:f>
        <x:v>Мало трафика</x:v>
      </x:c>
      <x:c r="N1668" s="1" t="str">
        <x:f>IF(AND('Данные'!D1668&gt;='Дашборд'!$C$55,D1668&lt;'Дашборд'!$C$56,'Данные'!E1668&gt;='Дашборд'!$C$53,'Данные'!L1668&lt;&gt;"Да"),"Да","Нет")</x:f>
        <x:v>Нет</x:v>
      </x:c>
      <x:c r="O1668" s="1" t="str">
        <x:f>'Данные'!L1668</x:f>
        <x:v>Нет</x:v>
      </x:c>
    </x:row>
    <x:row r="1669">
      <x:c r="A1669" s="1" t="str">
        <x:f>'Данные'!A1669</x:f>
        <x:v>117758045</x:v>
      </x:c>
      <x:c r="B1669" s="1" t="str">
        <x:f>'Данные'!B1669</x:f>
        <x:v>longslivdecolte/салатовый</x:v>
      </x:c>
      <x:c r="C1669" s="8" t="n">
        <x:f>'Данные'!G1669</x:f>
        <x:v>0</x:v>
      </x:c>
      <x:c r="D1669" s="15" t="n">
        <x:f>C1669/SUM($C$5:$C$2477)</x:f>
        <x:v>0</x:v>
      </x:c>
      <x:c r="E1669" s="15" t="n">
        <x:f>SUM($D$5:D1669)</x:f>
        <x:v>1.0000000000000036</x:v>
      </x:c>
      <x:c r="F1669" s="1" t="str">
        <x:f>IF(C1669&lt;=0,"C",IF(E1669-D1669&lt;'Дашборд'!$C$49,"A",IF(E1669-D1669&lt;'Дашборд'!$C$50,"B","C")))</x:f>
        <x:v>C</x:v>
      </x:c>
      <x:c r="G1669" s="8" t="n">
        <x:f>'Данные'!F1669</x:f>
        <x:v>0</x:v>
      </x:c>
      <x:c r="H1669" s="8" t="n">
        <x:f>SUM('Данные'!H1669:I1669)</x:f>
        <x:v>0</x:v>
      </x:c>
      <x:c r="I1669" s="16" t="str">
        <x:f>IF(H1669&gt;0,G1669/H1669,"n.a.")</x:f>
        <x:v>n.a.</x:v>
      </x:c>
      <x:c r="J1669" s="10" t="n">
        <x:f>IF('Данные'!E1669&gt;0,G1669/'Данные'!E1669,"n.a.")</x:f>
        <x:v>0</x:v>
      </x:c>
      <x:c r="K1669" s="1" t="str">
        <x:f>IF(G1669&gt;='Дашборд'!$C$51,"X","Z")</x:f>
        <x:v>Z</x:v>
      </x:c>
      <x:c r="L1669" s="1" t="str">
        <x:f>IF(H1669=0,IF(G1669&gt;0,"Нет остатка","Нет спроса"),IF(I1669&gt;='Дашборд'!$C$52,"Быстрый","Медленный"))</x:f>
        <x:v>Нет спроса</x:v>
      </x:c>
      <x:c r="M1669" s="1" t="str">
        <x:f>IF('Данные'!E1669&lt;'Дашборд'!$C$53,"Мало трафика",IF(J1669&lt;'Дашборд'!$C$9*'Дашборд'!$C$54,"Да","Нет"))</x:f>
        <x:v>Мало трафика</x:v>
      </x:c>
      <x:c r="N1669" s="1" t="str">
        <x:f>IF(AND('Данные'!D1669&gt;='Дашборд'!$C$55,D1669&lt;'Дашборд'!$C$56,'Данные'!E1669&gt;='Дашборд'!$C$53,'Данные'!L1669&lt;&gt;"Да"),"Да","Нет")</x:f>
        <x:v>Нет</x:v>
      </x:c>
      <x:c r="O1669" s="1" t="str">
        <x:f>'Данные'!L1669</x:f>
        <x:v>Нет</x:v>
      </x:c>
    </x:row>
    <x:row r="1670">
      <x:c r="A1670" s="1" t="str">
        <x:f>'Данные'!A1670</x:f>
        <x:v>117767696</x:v>
      </x:c>
      <x:c r="B1670" s="1" t="str">
        <x:f>'Данные'!B1670</x:f>
        <x:v>longslivdecolte/дымка</x:v>
      </x:c>
      <x:c r="C1670" s="8" t="n">
        <x:f>'Данные'!G1670</x:f>
        <x:v>0</x:v>
      </x:c>
      <x:c r="D1670" s="15" t="n">
        <x:f>C1670/SUM($C$5:$C$2477)</x:f>
        <x:v>0</x:v>
      </x:c>
      <x:c r="E1670" s="15" t="n">
        <x:f>SUM($D$5:D1670)</x:f>
        <x:v>1.0000000000000036</x:v>
      </x:c>
      <x:c r="F1670" s="1" t="str">
        <x:f>IF(C1670&lt;=0,"C",IF(E1670-D1670&lt;'Дашборд'!$C$49,"A",IF(E1670-D1670&lt;'Дашборд'!$C$50,"B","C")))</x:f>
        <x:v>C</x:v>
      </x:c>
      <x:c r="G1670" s="8" t="n">
        <x:f>'Данные'!F1670</x:f>
        <x:v>0</x:v>
      </x:c>
      <x:c r="H1670" s="8" t="n">
        <x:f>SUM('Данные'!H1670:I1670)</x:f>
        <x:v>0</x:v>
      </x:c>
      <x:c r="I1670" s="16" t="str">
        <x:f>IF(H1670&gt;0,G1670/H1670,"n.a.")</x:f>
        <x:v>n.a.</x:v>
      </x:c>
      <x:c r="J1670" s="10" t="n">
        <x:f>IF('Данные'!E1670&gt;0,G1670/'Данные'!E1670,"n.a.")</x:f>
        <x:v>0</x:v>
      </x:c>
      <x:c r="K1670" s="1" t="str">
        <x:f>IF(G1670&gt;='Дашборд'!$C$51,"X","Z")</x:f>
        <x:v>Z</x:v>
      </x:c>
      <x:c r="L1670" s="1" t="str">
        <x:f>IF(H1670=0,IF(G1670&gt;0,"Нет остатка","Нет спроса"),IF(I1670&gt;='Дашборд'!$C$52,"Быстрый","Медленный"))</x:f>
        <x:v>Нет спроса</x:v>
      </x:c>
      <x:c r="M1670" s="1" t="str">
        <x:f>IF('Данные'!E1670&lt;'Дашборд'!$C$53,"Мало трафика",IF(J1670&lt;'Дашборд'!$C$9*'Дашборд'!$C$54,"Да","Нет"))</x:f>
        <x:v>Мало трафика</x:v>
      </x:c>
      <x:c r="N1670" s="1" t="str">
        <x:f>IF(AND('Данные'!D1670&gt;='Дашборд'!$C$55,D1670&lt;'Дашборд'!$C$56,'Данные'!E1670&gt;='Дашборд'!$C$53,'Данные'!L1670&lt;&gt;"Да"),"Да","Нет")</x:f>
        <x:v>Нет</x:v>
      </x:c>
      <x:c r="O1670" s="1" t="str">
        <x:f>'Данные'!L1670</x:f>
        <x:v>Нет</x:v>
      </x:c>
    </x:row>
    <x:row r="1671">
      <x:c r="A1671" s="1" t="str">
        <x:f>'Данные'!A1671</x:f>
        <x:v>117768506</x:v>
      </x:c>
      <x:c r="B1671" s="1" t="str">
        <x:f>'Данные'!B1671</x:f>
        <x:v>longslivdecolte/коричневый</x:v>
      </x:c>
      <x:c r="C1671" s="8" t="n">
        <x:f>'Данные'!G1671</x:f>
        <x:v>0</x:v>
      </x:c>
      <x:c r="D1671" s="15" t="n">
        <x:f>C1671/SUM($C$5:$C$2477)</x:f>
        <x:v>0</x:v>
      </x:c>
      <x:c r="E1671" s="15" t="n">
        <x:f>SUM($D$5:D1671)</x:f>
        <x:v>1.0000000000000036</x:v>
      </x:c>
      <x:c r="F1671" s="1" t="str">
        <x:f>IF(C1671&lt;=0,"C",IF(E1671-D1671&lt;'Дашборд'!$C$49,"A",IF(E1671-D1671&lt;'Дашборд'!$C$50,"B","C")))</x:f>
        <x:v>C</x:v>
      </x:c>
      <x:c r="G1671" s="8" t="n">
        <x:f>'Данные'!F1671</x:f>
        <x:v>0</x:v>
      </x:c>
      <x:c r="H1671" s="8" t="n">
        <x:f>SUM('Данные'!H1671:I1671)</x:f>
        <x:v>0</x:v>
      </x:c>
      <x:c r="I1671" s="16" t="str">
        <x:f>IF(H1671&gt;0,G1671/H1671,"n.a.")</x:f>
        <x:v>n.a.</x:v>
      </x:c>
      <x:c r="J1671" s="10" t="n">
        <x:f>IF('Данные'!E1671&gt;0,G1671/'Данные'!E1671,"n.a.")</x:f>
        <x:v>0</x:v>
      </x:c>
      <x:c r="K1671" s="1" t="str">
        <x:f>IF(G1671&gt;='Дашборд'!$C$51,"X","Z")</x:f>
        <x:v>Z</x:v>
      </x:c>
      <x:c r="L1671" s="1" t="str">
        <x:f>IF(H1671=0,IF(G1671&gt;0,"Нет остатка","Нет спроса"),IF(I1671&gt;='Дашборд'!$C$52,"Быстрый","Медленный"))</x:f>
        <x:v>Нет спроса</x:v>
      </x:c>
      <x:c r="M1671" s="1" t="str">
        <x:f>IF('Данные'!E1671&lt;'Дашборд'!$C$53,"Мало трафика",IF(J1671&lt;'Дашборд'!$C$9*'Дашборд'!$C$54,"Да","Нет"))</x:f>
        <x:v>Мало трафика</x:v>
      </x:c>
      <x:c r="N1671" s="1" t="str">
        <x:f>IF(AND('Данные'!D1671&gt;='Дашборд'!$C$55,D1671&lt;'Дашборд'!$C$56,'Данные'!E1671&gt;='Дашборд'!$C$53,'Данные'!L1671&lt;&gt;"Да"),"Да","Нет")</x:f>
        <x:v>Нет</x:v>
      </x:c>
      <x:c r="O1671" s="1" t="str">
        <x:f>'Данные'!L1671</x:f>
        <x:v>Нет</x:v>
      </x:c>
    </x:row>
    <x:row r="1672">
      <x:c r="A1672" s="1" t="str">
        <x:f>'Данные'!A1672</x:f>
        <x:v>117769231</x:v>
      </x:c>
      <x:c r="B1672" s="1" t="str">
        <x:f>'Данные'!B1672</x:f>
        <x:v>longslivdecolte/кофейный</x:v>
      </x:c>
      <x:c r="C1672" s="8" t="n">
        <x:f>'Данные'!G1672</x:f>
        <x:v>0</x:v>
      </x:c>
      <x:c r="D1672" s="15" t="n">
        <x:f>C1672/SUM($C$5:$C$2477)</x:f>
        <x:v>0</x:v>
      </x:c>
      <x:c r="E1672" s="15" t="n">
        <x:f>SUM($D$5:D1672)</x:f>
        <x:v>1.0000000000000036</x:v>
      </x:c>
      <x:c r="F1672" s="1" t="str">
        <x:f>IF(C1672&lt;=0,"C",IF(E1672-D1672&lt;'Дашборд'!$C$49,"A",IF(E1672-D1672&lt;'Дашборд'!$C$50,"B","C")))</x:f>
        <x:v>C</x:v>
      </x:c>
      <x:c r="G1672" s="8" t="n">
        <x:f>'Данные'!F1672</x:f>
        <x:v>0</x:v>
      </x:c>
      <x:c r="H1672" s="8" t="n">
        <x:f>SUM('Данные'!H1672:I1672)</x:f>
        <x:v>0</x:v>
      </x:c>
      <x:c r="I1672" s="16" t="str">
        <x:f>IF(H1672&gt;0,G1672/H1672,"n.a.")</x:f>
        <x:v>n.a.</x:v>
      </x:c>
      <x:c r="J1672" s="10" t="n">
        <x:f>IF('Данные'!E1672&gt;0,G1672/'Данные'!E1672,"n.a.")</x:f>
        <x:v>0</x:v>
      </x:c>
      <x:c r="K1672" s="1" t="str">
        <x:f>IF(G1672&gt;='Дашборд'!$C$51,"X","Z")</x:f>
        <x:v>Z</x:v>
      </x:c>
      <x:c r="L1672" s="1" t="str">
        <x:f>IF(H1672=0,IF(G1672&gt;0,"Нет остатка","Нет спроса"),IF(I1672&gt;='Дашборд'!$C$52,"Быстрый","Медленный"))</x:f>
        <x:v>Нет спроса</x:v>
      </x:c>
      <x:c r="M1672" s="1" t="str">
        <x:f>IF('Данные'!E1672&lt;'Дашборд'!$C$53,"Мало трафика",IF(J1672&lt;'Дашборд'!$C$9*'Дашборд'!$C$54,"Да","Нет"))</x:f>
        <x:v>Мало трафика</x:v>
      </x:c>
      <x:c r="N1672" s="1" t="str">
        <x:f>IF(AND('Данные'!D1672&gt;='Дашборд'!$C$55,D1672&lt;'Дашборд'!$C$56,'Данные'!E1672&gt;='Дашборд'!$C$53,'Данные'!L1672&lt;&gt;"Да"),"Да","Нет")</x:f>
        <x:v>Нет</x:v>
      </x:c>
      <x:c r="O1672" s="1" t="str">
        <x:f>'Данные'!L1672</x:f>
        <x:v>Нет</x:v>
      </x:c>
    </x:row>
    <x:row r="1673">
      <x:c r="A1673" s="1" t="str">
        <x:f>'Данные'!A1673</x:f>
        <x:v>117772863</x:v>
      </x:c>
      <x:c r="B1673" s="1" t="str">
        <x:f>'Данные'!B1673</x:f>
        <x:v>longslivdlinna/деним</x:v>
      </x:c>
      <x:c r="C1673" s="8" t="n">
        <x:f>'Данные'!G1673</x:f>
        <x:v>0</x:v>
      </x:c>
      <x:c r="D1673" s="15" t="n">
        <x:f>C1673/SUM($C$5:$C$2477)</x:f>
        <x:v>0</x:v>
      </x:c>
      <x:c r="E1673" s="15" t="n">
        <x:f>SUM($D$5:D1673)</x:f>
        <x:v>1.0000000000000036</x:v>
      </x:c>
      <x:c r="F1673" s="1" t="str">
        <x:f>IF(C1673&lt;=0,"C",IF(E1673-D1673&lt;'Дашборд'!$C$49,"A",IF(E1673-D1673&lt;'Дашборд'!$C$50,"B","C")))</x:f>
        <x:v>C</x:v>
      </x:c>
      <x:c r="G1673" s="8" t="n">
        <x:f>'Данные'!F1673</x:f>
        <x:v>0</x:v>
      </x:c>
      <x:c r="H1673" s="8" t="n">
        <x:f>SUM('Данные'!H1673:I1673)</x:f>
        <x:v>0</x:v>
      </x:c>
      <x:c r="I1673" s="16" t="str">
        <x:f>IF(H1673&gt;0,G1673/H1673,"n.a.")</x:f>
        <x:v>n.a.</x:v>
      </x:c>
      <x:c r="J1673" s="10" t="n">
        <x:f>IF('Данные'!E1673&gt;0,G1673/'Данные'!E1673,"n.a.")</x:f>
        <x:v>0</x:v>
      </x:c>
      <x:c r="K1673" s="1" t="str">
        <x:f>IF(G1673&gt;='Дашборд'!$C$51,"X","Z")</x:f>
        <x:v>Z</x:v>
      </x:c>
      <x:c r="L1673" s="1" t="str">
        <x:f>IF(H1673=0,IF(G1673&gt;0,"Нет остатка","Нет спроса"),IF(I1673&gt;='Дашборд'!$C$52,"Быстрый","Медленный"))</x:f>
        <x:v>Нет спроса</x:v>
      </x:c>
      <x:c r="M1673" s="1" t="str">
        <x:f>IF('Данные'!E1673&lt;'Дашборд'!$C$53,"Мало трафика",IF(J1673&lt;'Дашборд'!$C$9*'Дашборд'!$C$54,"Да","Нет"))</x:f>
        <x:v>Мало трафика</x:v>
      </x:c>
      <x:c r="N1673" s="1" t="str">
        <x:f>IF(AND('Данные'!D1673&gt;='Дашборд'!$C$55,D1673&lt;'Дашборд'!$C$56,'Данные'!E1673&gt;='Дашборд'!$C$53,'Данные'!L1673&lt;&gt;"Да"),"Да","Нет")</x:f>
        <x:v>Нет</x:v>
      </x:c>
      <x:c r="O1673" s="1" t="str">
        <x:f>'Данные'!L1673</x:f>
        <x:v>Нет</x:v>
      </x:c>
    </x:row>
    <x:row r="1674">
      <x:c r="A1674" s="1" t="str">
        <x:f>'Данные'!A1674</x:f>
        <x:v>117951309</x:v>
      </x:c>
      <x:c r="B1674" s="1" t="str">
        <x:f>'Данные'!B1674</x:f>
        <x:v>hudiman/мандариновый</x:v>
      </x:c>
      <x:c r="C1674" s="8" t="n">
        <x:f>'Данные'!G1674</x:f>
        <x:v>0</x:v>
      </x:c>
      <x:c r="D1674" s="15" t="n">
        <x:f>C1674/SUM($C$5:$C$2477)</x:f>
        <x:v>0</x:v>
      </x:c>
      <x:c r="E1674" s="15" t="n">
        <x:f>SUM($D$5:D1674)</x:f>
        <x:v>1.0000000000000036</x:v>
      </x:c>
      <x:c r="F1674" s="1" t="str">
        <x:f>IF(C1674&lt;=0,"C",IF(E1674-D1674&lt;'Дашборд'!$C$49,"A",IF(E1674-D1674&lt;'Дашборд'!$C$50,"B","C")))</x:f>
        <x:v>C</x:v>
      </x:c>
      <x:c r="G1674" s="8" t="n">
        <x:f>'Данные'!F1674</x:f>
        <x:v>0</x:v>
      </x:c>
      <x:c r="H1674" s="8" t="n">
        <x:f>SUM('Данные'!H1674:I1674)</x:f>
        <x:v>0</x:v>
      </x:c>
      <x:c r="I1674" s="16" t="str">
        <x:f>IF(H1674&gt;0,G1674/H1674,"n.a.")</x:f>
        <x:v>n.a.</x:v>
      </x:c>
      <x:c r="J1674" s="10" t="n">
        <x:f>IF('Данные'!E1674&gt;0,G1674/'Данные'!E1674,"n.a.")</x:f>
        <x:v>0</x:v>
      </x:c>
      <x:c r="K1674" s="1" t="str">
        <x:f>IF(G1674&gt;='Дашборд'!$C$51,"X","Z")</x:f>
        <x:v>Z</x:v>
      </x:c>
      <x:c r="L1674" s="1" t="str">
        <x:f>IF(H1674=0,IF(G1674&gt;0,"Нет остатка","Нет спроса"),IF(I1674&gt;='Дашборд'!$C$52,"Быстрый","Медленный"))</x:f>
        <x:v>Нет спроса</x:v>
      </x:c>
      <x:c r="M1674" s="1" t="str">
        <x:f>IF('Данные'!E1674&lt;'Дашборд'!$C$53,"Мало трафика",IF(J1674&lt;'Дашборд'!$C$9*'Дашборд'!$C$54,"Да","Нет"))</x:f>
        <x:v>Мало трафика</x:v>
      </x:c>
      <x:c r="N1674" s="1" t="str">
        <x:f>IF(AND('Данные'!D1674&gt;='Дашборд'!$C$55,D1674&lt;'Дашборд'!$C$56,'Данные'!E1674&gt;='Дашборд'!$C$53,'Данные'!L1674&lt;&gt;"Да"),"Да","Нет")</x:f>
        <x:v>Нет</x:v>
      </x:c>
      <x:c r="O1674" s="1" t="str">
        <x:f>'Данные'!L1674</x:f>
        <x:v>Нет</x:v>
      </x:c>
    </x:row>
    <x:row r="1675">
      <x:c r="A1675" s="1" t="str">
        <x:f>'Данные'!A1675</x:f>
        <x:v>117957639</x:v>
      </x:c>
      <x:c r="B1675" s="1" t="str">
        <x:f>'Данные'!B1675</x:f>
        <x:v>hudiman/фиолетовый</x:v>
      </x:c>
      <x:c r="C1675" s="8" t="n">
        <x:f>'Данные'!G1675</x:f>
        <x:v>0</x:v>
      </x:c>
      <x:c r="D1675" s="15" t="n">
        <x:f>C1675/SUM($C$5:$C$2477)</x:f>
        <x:v>0</x:v>
      </x:c>
      <x:c r="E1675" s="15" t="n">
        <x:f>SUM($D$5:D1675)</x:f>
        <x:v>1.0000000000000036</x:v>
      </x:c>
      <x:c r="F1675" s="1" t="str">
        <x:f>IF(C1675&lt;=0,"C",IF(E1675-D1675&lt;'Дашборд'!$C$49,"A",IF(E1675-D1675&lt;'Дашборд'!$C$50,"B","C")))</x:f>
        <x:v>C</x:v>
      </x:c>
      <x:c r="G1675" s="8" t="n">
        <x:f>'Данные'!F1675</x:f>
        <x:v>0</x:v>
      </x:c>
      <x:c r="H1675" s="8" t="n">
        <x:f>SUM('Данные'!H1675:I1675)</x:f>
        <x:v>0</x:v>
      </x:c>
      <x:c r="I1675" s="16" t="str">
        <x:f>IF(H1675&gt;0,G1675/H1675,"n.a.")</x:f>
        <x:v>n.a.</x:v>
      </x:c>
      <x:c r="J1675" s="10" t="n">
        <x:f>IF('Данные'!E1675&gt;0,G1675/'Данные'!E1675,"n.a.")</x:f>
        <x:v>0</x:v>
      </x:c>
      <x:c r="K1675" s="1" t="str">
        <x:f>IF(G1675&gt;='Дашборд'!$C$51,"X","Z")</x:f>
        <x:v>Z</x:v>
      </x:c>
      <x:c r="L1675" s="1" t="str">
        <x:f>IF(H1675=0,IF(G1675&gt;0,"Нет остатка","Нет спроса"),IF(I1675&gt;='Дашборд'!$C$52,"Быстрый","Медленный"))</x:f>
        <x:v>Нет спроса</x:v>
      </x:c>
      <x:c r="M1675" s="1" t="str">
        <x:f>IF('Данные'!E1675&lt;'Дашборд'!$C$53,"Мало трафика",IF(J1675&lt;'Дашборд'!$C$9*'Дашборд'!$C$54,"Да","Нет"))</x:f>
        <x:v>Мало трафика</x:v>
      </x:c>
      <x:c r="N1675" s="1" t="str">
        <x:f>IF(AND('Данные'!D1675&gt;='Дашборд'!$C$55,D1675&lt;'Дашборд'!$C$56,'Данные'!E1675&gt;='Дашборд'!$C$53,'Данные'!L1675&lt;&gt;"Да"),"Да","Нет")</x:f>
        <x:v>Нет</x:v>
      </x:c>
      <x:c r="O1675" s="1" t="str">
        <x:f>'Данные'!L1675</x:f>
        <x:v>Нет</x:v>
      </x:c>
    </x:row>
    <x:row r="1676">
      <x:c r="A1676" s="1" t="str">
        <x:f>'Данные'!A1676</x:f>
        <x:v>118230053</x:v>
      </x:c>
      <x:c r="B1676" s="1" t="str">
        <x:f>'Данные'!B1676</x:f>
        <x:v>futbolka_mary/пыльная-роза</x:v>
      </x:c>
      <x:c r="C1676" s="8" t="n">
        <x:f>'Данные'!G1676</x:f>
        <x:v>0</x:v>
      </x:c>
      <x:c r="D1676" s="15" t="n">
        <x:f>C1676/SUM($C$5:$C$2477)</x:f>
        <x:v>0</x:v>
      </x:c>
      <x:c r="E1676" s="15" t="n">
        <x:f>SUM($D$5:D1676)</x:f>
        <x:v>1.0000000000000036</x:v>
      </x:c>
      <x:c r="F1676" s="1" t="str">
        <x:f>IF(C1676&lt;=0,"C",IF(E1676-D1676&lt;'Дашборд'!$C$49,"A",IF(E1676-D1676&lt;'Дашборд'!$C$50,"B","C")))</x:f>
        <x:v>C</x:v>
      </x:c>
      <x:c r="G1676" s="8" t="n">
        <x:f>'Данные'!F1676</x:f>
        <x:v>0</x:v>
      </x:c>
      <x:c r="H1676" s="8" t="n">
        <x:f>SUM('Данные'!H1676:I1676)</x:f>
        <x:v>0</x:v>
      </x:c>
      <x:c r="I1676" s="16" t="str">
        <x:f>IF(H1676&gt;0,G1676/H1676,"n.a.")</x:f>
        <x:v>n.a.</x:v>
      </x:c>
      <x:c r="J1676" s="10" t="n">
        <x:f>IF('Данные'!E1676&gt;0,G1676/'Данные'!E1676,"n.a.")</x:f>
        <x:v>0</x:v>
      </x:c>
      <x:c r="K1676" s="1" t="str">
        <x:f>IF(G1676&gt;='Дашборд'!$C$51,"X","Z")</x:f>
        <x:v>Z</x:v>
      </x:c>
      <x:c r="L1676" s="1" t="str">
        <x:f>IF(H1676=0,IF(G1676&gt;0,"Нет остатка","Нет спроса"),IF(I1676&gt;='Дашборд'!$C$52,"Быстрый","Медленный"))</x:f>
        <x:v>Нет спроса</x:v>
      </x:c>
      <x:c r="M1676" s="1" t="str">
        <x:f>IF('Данные'!E1676&lt;'Дашборд'!$C$53,"Мало трафика",IF(J1676&lt;'Дашборд'!$C$9*'Дашборд'!$C$54,"Да","Нет"))</x:f>
        <x:v>Мало трафика</x:v>
      </x:c>
      <x:c r="N1676" s="1" t="str">
        <x:f>IF(AND('Данные'!D1676&gt;='Дашборд'!$C$55,D1676&lt;'Дашборд'!$C$56,'Данные'!E1676&gt;='Дашборд'!$C$53,'Данные'!L1676&lt;&gt;"Да"),"Да","Нет")</x:f>
        <x:v>Нет</x:v>
      </x:c>
      <x:c r="O1676" s="1" t="str">
        <x:f>'Данные'!L1676</x:f>
        <x:v>Нет</x:v>
      </x:c>
    </x:row>
    <x:row r="1677">
      <x:c r="A1677" s="1" t="str">
        <x:f>'Данные'!A1677</x:f>
        <x:v>119482633</x:v>
      </x:c>
      <x:c r="B1677" s="1" t="str">
        <x:f>'Данные'!B1677</x:f>
        <x:v>longslivszavyazkami/черный</x:v>
      </x:c>
      <x:c r="C1677" s="8" t="n">
        <x:f>'Данные'!G1677</x:f>
        <x:v>0</x:v>
      </x:c>
      <x:c r="D1677" s="15" t="n">
        <x:f>C1677/SUM($C$5:$C$2477)</x:f>
        <x:v>0</x:v>
      </x:c>
      <x:c r="E1677" s="15" t="n">
        <x:f>SUM($D$5:D1677)</x:f>
        <x:v>1.0000000000000036</x:v>
      </x:c>
      <x:c r="F1677" s="1" t="str">
        <x:f>IF(C1677&lt;=0,"C",IF(E1677-D1677&lt;'Дашборд'!$C$49,"A",IF(E1677-D1677&lt;'Дашборд'!$C$50,"B","C")))</x:f>
        <x:v>C</x:v>
      </x:c>
      <x:c r="G1677" s="8" t="n">
        <x:f>'Данные'!F1677</x:f>
        <x:v>0</x:v>
      </x:c>
      <x:c r="H1677" s="8" t="n">
        <x:f>SUM('Данные'!H1677:I1677)</x:f>
        <x:v>0</x:v>
      </x:c>
      <x:c r="I1677" s="16" t="str">
        <x:f>IF(H1677&gt;0,G1677/H1677,"n.a.")</x:f>
        <x:v>n.a.</x:v>
      </x:c>
      <x:c r="J1677" s="10" t="n">
        <x:f>IF('Данные'!E1677&gt;0,G1677/'Данные'!E1677,"n.a.")</x:f>
        <x:v>0</x:v>
      </x:c>
      <x:c r="K1677" s="1" t="str">
        <x:f>IF(G1677&gt;='Дашборд'!$C$51,"X","Z")</x:f>
        <x:v>Z</x:v>
      </x:c>
      <x:c r="L1677" s="1" t="str">
        <x:f>IF(H1677=0,IF(G1677&gt;0,"Нет остатка","Нет спроса"),IF(I1677&gt;='Дашборд'!$C$52,"Быстрый","Медленный"))</x:f>
        <x:v>Нет спроса</x:v>
      </x:c>
      <x:c r="M1677" s="1" t="str">
        <x:f>IF('Данные'!E1677&lt;'Дашборд'!$C$53,"Мало трафика",IF(J1677&lt;'Дашборд'!$C$9*'Дашборд'!$C$54,"Да","Нет"))</x:f>
        <x:v>Мало трафика</x:v>
      </x:c>
      <x:c r="N1677" s="1" t="str">
        <x:f>IF(AND('Данные'!D1677&gt;='Дашборд'!$C$55,D1677&lt;'Дашборд'!$C$56,'Данные'!E1677&gt;='Дашборд'!$C$53,'Данные'!L1677&lt;&gt;"Да"),"Да","Нет")</x:f>
        <x:v>Нет</x:v>
      </x:c>
      <x:c r="O1677" s="1" t="str">
        <x:f>'Данные'!L1677</x:f>
        <x:v>Нет</x:v>
      </x:c>
    </x:row>
    <x:row r="1678">
      <x:c r="A1678" s="1" t="str">
        <x:f>'Данные'!A1678</x:f>
        <x:v>119483198</x:v>
      </x:c>
      <x:c r="B1678" s="1" t="str">
        <x:f>'Данные'!B1678</x:f>
        <x:v>longslivszavyazkami/голубой</x:v>
      </x:c>
      <x:c r="C1678" s="8" t="n">
        <x:f>'Данные'!G1678</x:f>
        <x:v>0</x:v>
      </x:c>
      <x:c r="D1678" s="15" t="n">
        <x:f>C1678/SUM($C$5:$C$2477)</x:f>
        <x:v>0</x:v>
      </x:c>
      <x:c r="E1678" s="15" t="n">
        <x:f>SUM($D$5:D1678)</x:f>
        <x:v>1.0000000000000036</x:v>
      </x:c>
      <x:c r="F1678" s="1" t="str">
        <x:f>IF(C1678&lt;=0,"C",IF(E1678-D1678&lt;'Дашборд'!$C$49,"A",IF(E1678-D1678&lt;'Дашборд'!$C$50,"B","C")))</x:f>
        <x:v>C</x:v>
      </x:c>
      <x:c r="G1678" s="8" t="n">
        <x:f>'Данные'!F1678</x:f>
        <x:v>0</x:v>
      </x:c>
      <x:c r="H1678" s="8" t="n">
        <x:f>SUM('Данные'!H1678:I1678)</x:f>
        <x:v>0</x:v>
      </x:c>
      <x:c r="I1678" s="16" t="str">
        <x:f>IF(H1678&gt;0,G1678/H1678,"n.a.")</x:f>
        <x:v>n.a.</x:v>
      </x:c>
      <x:c r="J1678" s="10" t="n">
        <x:f>IF('Данные'!E1678&gt;0,G1678/'Данные'!E1678,"n.a.")</x:f>
        <x:v>0</x:v>
      </x:c>
      <x:c r="K1678" s="1" t="str">
        <x:f>IF(G1678&gt;='Дашборд'!$C$51,"X","Z")</x:f>
        <x:v>Z</x:v>
      </x:c>
      <x:c r="L1678" s="1" t="str">
        <x:f>IF(H1678=0,IF(G1678&gt;0,"Нет остатка","Нет спроса"),IF(I1678&gt;='Дашборд'!$C$52,"Быстрый","Медленный"))</x:f>
        <x:v>Нет спроса</x:v>
      </x:c>
      <x:c r="M1678" s="1" t="str">
        <x:f>IF('Данные'!E1678&lt;'Дашборд'!$C$53,"Мало трафика",IF(J1678&lt;'Дашборд'!$C$9*'Дашборд'!$C$54,"Да","Нет"))</x:f>
        <x:v>Мало трафика</x:v>
      </x:c>
      <x:c r="N1678" s="1" t="str">
        <x:f>IF(AND('Данные'!D1678&gt;='Дашборд'!$C$55,D1678&lt;'Дашборд'!$C$56,'Данные'!E1678&gt;='Дашборд'!$C$53,'Данные'!L1678&lt;&gt;"Да"),"Да","Нет")</x:f>
        <x:v>Нет</x:v>
      </x:c>
      <x:c r="O1678" s="1" t="str">
        <x:f>'Данные'!L1678</x:f>
        <x:v>Нет</x:v>
      </x:c>
    </x:row>
    <x:row r="1679">
      <x:c r="A1679" s="1" t="str">
        <x:f>'Данные'!A1679</x:f>
        <x:v>119483653</x:v>
      </x:c>
      <x:c r="B1679" s="1" t="str">
        <x:f>'Данные'!B1679</x:f>
        <x:v>longslivszavyazkami/какао</x:v>
      </x:c>
      <x:c r="C1679" s="8" t="n">
        <x:f>'Данные'!G1679</x:f>
        <x:v>0</x:v>
      </x:c>
      <x:c r="D1679" s="15" t="n">
        <x:f>C1679/SUM($C$5:$C$2477)</x:f>
        <x:v>0</x:v>
      </x:c>
      <x:c r="E1679" s="15" t="n">
        <x:f>SUM($D$5:D1679)</x:f>
        <x:v>1.0000000000000036</x:v>
      </x:c>
      <x:c r="F1679" s="1" t="str">
        <x:f>IF(C1679&lt;=0,"C",IF(E1679-D1679&lt;'Дашборд'!$C$49,"A",IF(E1679-D1679&lt;'Дашборд'!$C$50,"B","C")))</x:f>
        <x:v>C</x:v>
      </x:c>
      <x:c r="G1679" s="8" t="n">
        <x:f>'Данные'!F1679</x:f>
        <x:v>0</x:v>
      </x:c>
      <x:c r="H1679" s="8" t="n">
        <x:f>SUM('Данные'!H1679:I1679)</x:f>
        <x:v>0</x:v>
      </x:c>
      <x:c r="I1679" s="16" t="str">
        <x:f>IF(H1679&gt;0,G1679/H1679,"n.a.")</x:f>
        <x:v>n.a.</x:v>
      </x:c>
      <x:c r="J1679" s="10" t="str">
        <x:f>IF('Данные'!E1679&gt;0,G1679/'Данные'!E1679,"n.a.")</x:f>
        <x:v>n.a.</x:v>
      </x:c>
      <x:c r="K1679" s="1" t="str">
        <x:f>IF(G1679&gt;='Дашборд'!$C$51,"X","Z")</x:f>
        <x:v>Z</x:v>
      </x:c>
      <x:c r="L1679" s="1" t="str">
        <x:f>IF(H1679=0,IF(G1679&gt;0,"Нет остатка","Нет спроса"),IF(I1679&gt;='Дашборд'!$C$52,"Быстрый","Медленный"))</x:f>
        <x:v>Нет спроса</x:v>
      </x:c>
      <x:c r="M1679" s="1" t="str">
        <x:f>IF('Данные'!E1679&lt;'Дашборд'!$C$53,"Мало трафика",IF(J1679&lt;'Дашборд'!$C$9*'Дашборд'!$C$54,"Да","Нет"))</x:f>
        <x:v>Мало трафика</x:v>
      </x:c>
      <x:c r="N1679" s="1" t="str">
        <x:f>IF(AND('Данные'!D1679&gt;='Дашборд'!$C$55,D1679&lt;'Дашборд'!$C$56,'Данные'!E1679&gt;='Дашборд'!$C$53,'Данные'!L1679&lt;&gt;"Да"),"Да","Нет")</x:f>
        <x:v>Нет</x:v>
      </x:c>
      <x:c r="O1679" s="1" t="str">
        <x:f>'Данные'!L1679</x:f>
        <x:v>Нет</x:v>
      </x:c>
    </x:row>
    <x:row r="1680">
      <x:c r="A1680" s="1" t="str">
        <x:f>'Данные'!A1680</x:f>
        <x:v>119483872</x:v>
      </x:c>
      <x:c r="B1680" s="1" t="str">
        <x:f>'Данные'!B1680</x:f>
        <x:v>longslivszavyazkami/пудровый</x:v>
      </x:c>
      <x:c r="C1680" s="8" t="n">
        <x:f>'Данные'!G1680</x:f>
        <x:v>0</x:v>
      </x:c>
      <x:c r="D1680" s="15" t="n">
        <x:f>C1680/SUM($C$5:$C$2477)</x:f>
        <x:v>0</x:v>
      </x:c>
      <x:c r="E1680" s="15" t="n">
        <x:f>SUM($D$5:D1680)</x:f>
        <x:v>1.0000000000000036</x:v>
      </x:c>
      <x:c r="F1680" s="1" t="str">
        <x:f>IF(C1680&lt;=0,"C",IF(E1680-D1680&lt;'Дашборд'!$C$49,"A",IF(E1680-D1680&lt;'Дашборд'!$C$50,"B","C")))</x:f>
        <x:v>C</x:v>
      </x:c>
      <x:c r="G1680" s="8" t="n">
        <x:f>'Данные'!F1680</x:f>
        <x:v>0</x:v>
      </x:c>
      <x:c r="H1680" s="8" t="n">
        <x:f>SUM('Данные'!H1680:I1680)</x:f>
        <x:v>0</x:v>
      </x:c>
      <x:c r="I1680" s="16" t="str">
        <x:f>IF(H1680&gt;0,G1680/H1680,"n.a.")</x:f>
        <x:v>n.a.</x:v>
      </x:c>
      <x:c r="J1680" s="10" t="n">
        <x:f>IF('Данные'!E1680&gt;0,G1680/'Данные'!E1680,"n.a.")</x:f>
        <x:v>0</x:v>
      </x:c>
      <x:c r="K1680" s="1" t="str">
        <x:f>IF(G1680&gt;='Дашборд'!$C$51,"X","Z")</x:f>
        <x:v>Z</x:v>
      </x:c>
      <x:c r="L1680" s="1" t="str">
        <x:f>IF(H1680=0,IF(G1680&gt;0,"Нет остатка","Нет спроса"),IF(I1680&gt;='Дашборд'!$C$52,"Быстрый","Медленный"))</x:f>
        <x:v>Нет спроса</x:v>
      </x:c>
      <x:c r="M1680" s="1" t="str">
        <x:f>IF('Данные'!E1680&lt;'Дашборд'!$C$53,"Мало трафика",IF(J1680&lt;'Дашборд'!$C$9*'Дашборд'!$C$54,"Да","Нет"))</x:f>
        <x:v>Мало трафика</x:v>
      </x:c>
      <x:c r="N1680" s="1" t="str">
        <x:f>IF(AND('Данные'!D1680&gt;='Дашборд'!$C$55,D1680&lt;'Дашборд'!$C$56,'Данные'!E1680&gt;='Дашборд'!$C$53,'Данные'!L1680&lt;&gt;"Да"),"Да","Нет")</x:f>
        <x:v>Нет</x:v>
      </x:c>
      <x:c r="O1680" s="1" t="str">
        <x:f>'Данные'!L1680</x:f>
        <x:v>Нет</x:v>
      </x:c>
    </x:row>
    <x:row r="1681">
      <x:c r="A1681" s="1" t="str">
        <x:f>'Данные'!A1681</x:f>
        <x:v>119484075</x:v>
      </x:c>
      <x:c r="B1681" s="1" t="str">
        <x:f>'Данные'!B1681</x:f>
        <x:v>longslivszavyazkami/красный</x:v>
      </x:c>
      <x:c r="C1681" s="8" t="n">
        <x:f>'Данные'!G1681</x:f>
        <x:v>0</x:v>
      </x:c>
      <x:c r="D1681" s="15" t="n">
        <x:f>C1681/SUM($C$5:$C$2477)</x:f>
        <x:v>0</x:v>
      </x:c>
      <x:c r="E1681" s="15" t="n">
        <x:f>SUM($D$5:D1681)</x:f>
        <x:v>1.0000000000000036</x:v>
      </x:c>
      <x:c r="F1681" s="1" t="str">
        <x:f>IF(C1681&lt;=0,"C",IF(E1681-D1681&lt;'Дашборд'!$C$49,"A",IF(E1681-D1681&lt;'Дашборд'!$C$50,"B","C")))</x:f>
        <x:v>C</x:v>
      </x:c>
      <x:c r="G1681" s="8" t="n">
        <x:f>'Данные'!F1681</x:f>
        <x:v>0</x:v>
      </x:c>
      <x:c r="H1681" s="8" t="n">
        <x:f>SUM('Данные'!H1681:I1681)</x:f>
        <x:v>0</x:v>
      </x:c>
      <x:c r="I1681" s="16" t="str">
        <x:f>IF(H1681&gt;0,G1681/H1681,"n.a.")</x:f>
        <x:v>n.a.</x:v>
      </x:c>
      <x:c r="J1681" s="10" t="str">
        <x:f>IF('Данные'!E1681&gt;0,G1681/'Данные'!E1681,"n.a.")</x:f>
        <x:v>n.a.</x:v>
      </x:c>
      <x:c r="K1681" s="1" t="str">
        <x:f>IF(G1681&gt;='Дашборд'!$C$51,"X","Z")</x:f>
        <x:v>Z</x:v>
      </x:c>
      <x:c r="L1681" s="1" t="str">
        <x:f>IF(H1681=0,IF(G1681&gt;0,"Нет остатка","Нет спроса"),IF(I1681&gt;='Дашборд'!$C$52,"Быстрый","Медленный"))</x:f>
        <x:v>Нет спроса</x:v>
      </x:c>
      <x:c r="M1681" s="1" t="str">
        <x:f>IF('Данные'!E1681&lt;'Дашборд'!$C$53,"Мало трафика",IF(J1681&lt;'Дашборд'!$C$9*'Дашборд'!$C$54,"Да","Нет"))</x:f>
        <x:v>Мало трафика</x:v>
      </x:c>
      <x:c r="N1681" s="1" t="str">
        <x:f>IF(AND('Данные'!D1681&gt;='Дашборд'!$C$55,D1681&lt;'Дашборд'!$C$56,'Данные'!E1681&gt;='Дашборд'!$C$53,'Данные'!L1681&lt;&gt;"Да"),"Да","Нет")</x:f>
        <x:v>Нет</x:v>
      </x:c>
      <x:c r="O1681" s="1" t="str">
        <x:f>'Данные'!L1681</x:f>
        <x:v>Нет</x:v>
      </x:c>
    </x:row>
    <x:row r="1682">
      <x:c r="A1682" s="1" t="str">
        <x:f>'Данные'!A1682</x:f>
        <x:v>119484226</x:v>
      </x:c>
      <x:c r="B1682" s="1" t="str">
        <x:f>'Данные'!B1682</x:f>
        <x:v>longslivszavyazkami/мандариновый</x:v>
      </x:c>
      <x:c r="C1682" s="8" t="n">
        <x:f>'Данные'!G1682</x:f>
        <x:v>0</x:v>
      </x:c>
      <x:c r="D1682" s="15" t="n">
        <x:f>C1682/SUM($C$5:$C$2477)</x:f>
        <x:v>0</x:v>
      </x:c>
      <x:c r="E1682" s="15" t="n">
        <x:f>SUM($D$5:D1682)</x:f>
        <x:v>1.0000000000000036</x:v>
      </x:c>
      <x:c r="F1682" s="1" t="str">
        <x:f>IF(C1682&lt;=0,"C",IF(E1682-D1682&lt;'Дашборд'!$C$49,"A",IF(E1682-D1682&lt;'Дашборд'!$C$50,"B","C")))</x:f>
        <x:v>C</x:v>
      </x:c>
      <x:c r="G1682" s="8" t="n">
        <x:f>'Данные'!F1682</x:f>
        <x:v>0</x:v>
      </x:c>
      <x:c r="H1682" s="8" t="n">
        <x:f>SUM('Данные'!H1682:I1682)</x:f>
        <x:v>0</x:v>
      </x:c>
      <x:c r="I1682" s="16" t="str">
        <x:f>IF(H1682&gt;0,G1682/H1682,"n.a.")</x:f>
        <x:v>n.a.</x:v>
      </x:c>
      <x:c r="J1682" s="10" t="n">
        <x:f>IF('Данные'!E1682&gt;0,G1682/'Данные'!E1682,"n.a.")</x:f>
        <x:v>0</x:v>
      </x:c>
      <x:c r="K1682" s="1" t="str">
        <x:f>IF(G1682&gt;='Дашборд'!$C$51,"X","Z")</x:f>
        <x:v>Z</x:v>
      </x:c>
      <x:c r="L1682" s="1" t="str">
        <x:f>IF(H1682=0,IF(G1682&gt;0,"Нет остатка","Нет спроса"),IF(I1682&gt;='Дашборд'!$C$52,"Быстрый","Медленный"))</x:f>
        <x:v>Нет спроса</x:v>
      </x:c>
      <x:c r="M1682" s="1" t="str">
        <x:f>IF('Данные'!E1682&lt;'Дашборд'!$C$53,"Мало трафика",IF(J1682&lt;'Дашборд'!$C$9*'Дашборд'!$C$54,"Да","Нет"))</x:f>
        <x:v>Мало трафика</x:v>
      </x:c>
      <x:c r="N1682" s="1" t="str">
        <x:f>IF(AND('Данные'!D1682&gt;='Дашборд'!$C$55,D1682&lt;'Дашборд'!$C$56,'Данные'!E1682&gt;='Дашборд'!$C$53,'Данные'!L1682&lt;&gt;"Да"),"Да","Нет")</x:f>
        <x:v>Нет</x:v>
      </x:c>
      <x:c r="O1682" s="1" t="str">
        <x:f>'Данные'!L1682</x:f>
        <x:v>Нет</x:v>
      </x:c>
    </x:row>
    <x:row r="1683">
      <x:c r="A1683" s="1" t="str">
        <x:f>'Данные'!A1683</x:f>
        <x:v>119484648</x:v>
      </x:c>
      <x:c r="B1683" s="1" t="str">
        <x:f>'Данные'!B1683</x:f>
        <x:v>longslivszavyazkami/молочный</x:v>
      </x:c>
      <x:c r="C1683" s="8" t="n">
        <x:f>'Данные'!G1683</x:f>
        <x:v>0</x:v>
      </x:c>
      <x:c r="D1683" s="15" t="n">
        <x:f>C1683/SUM($C$5:$C$2477)</x:f>
        <x:v>0</x:v>
      </x:c>
      <x:c r="E1683" s="15" t="n">
        <x:f>SUM($D$5:D1683)</x:f>
        <x:v>1.0000000000000036</x:v>
      </x:c>
      <x:c r="F1683" s="1" t="str">
        <x:f>IF(C1683&lt;=0,"C",IF(E1683-D1683&lt;'Дашборд'!$C$49,"A",IF(E1683-D1683&lt;'Дашборд'!$C$50,"B","C")))</x:f>
        <x:v>C</x:v>
      </x:c>
      <x:c r="G1683" s="8" t="n">
        <x:f>'Данные'!F1683</x:f>
        <x:v>0</x:v>
      </x:c>
      <x:c r="H1683" s="8" t="n">
        <x:f>SUM('Данные'!H1683:I1683)</x:f>
        <x:v>0</x:v>
      </x:c>
      <x:c r="I1683" s="16" t="str">
        <x:f>IF(H1683&gt;0,G1683/H1683,"n.a.")</x:f>
        <x:v>n.a.</x:v>
      </x:c>
      <x:c r="J1683" s="10" t="n">
        <x:f>IF('Данные'!E1683&gt;0,G1683/'Данные'!E1683,"n.a.")</x:f>
        <x:v>0</x:v>
      </x:c>
      <x:c r="K1683" s="1" t="str">
        <x:f>IF(G1683&gt;='Дашборд'!$C$51,"X","Z")</x:f>
        <x:v>Z</x:v>
      </x:c>
      <x:c r="L1683" s="1" t="str">
        <x:f>IF(H1683=0,IF(G1683&gt;0,"Нет остатка","Нет спроса"),IF(I1683&gt;='Дашборд'!$C$52,"Быстрый","Медленный"))</x:f>
        <x:v>Нет спроса</x:v>
      </x:c>
      <x:c r="M1683" s="1" t="str">
        <x:f>IF('Данные'!E1683&lt;'Дашборд'!$C$53,"Мало трафика",IF(J1683&lt;'Дашборд'!$C$9*'Дашборд'!$C$54,"Да","Нет"))</x:f>
        <x:v>Мало трафика</x:v>
      </x:c>
      <x:c r="N1683" s="1" t="str">
        <x:f>IF(AND('Данные'!D1683&gt;='Дашборд'!$C$55,D1683&lt;'Дашборд'!$C$56,'Данные'!E1683&gt;='Дашборд'!$C$53,'Данные'!L1683&lt;&gt;"Да"),"Да","Нет")</x:f>
        <x:v>Нет</x:v>
      </x:c>
      <x:c r="O1683" s="1" t="str">
        <x:f>'Данные'!L1683</x:f>
        <x:v>Нет</x:v>
      </x:c>
    </x:row>
    <x:row r="1684">
      <x:c r="A1684" s="1" t="str">
        <x:f>'Данные'!A1684</x:f>
        <x:v>119484945</x:v>
      </x:c>
      <x:c r="B1684" s="1" t="str">
        <x:f>'Данные'!B1684</x:f>
        <x:v>longslivszavyazkami/мятапыльная</x:v>
      </x:c>
      <x:c r="C1684" s="8" t="n">
        <x:f>'Данные'!G1684</x:f>
        <x:v>0</x:v>
      </x:c>
      <x:c r="D1684" s="15" t="n">
        <x:f>C1684/SUM($C$5:$C$2477)</x:f>
        <x:v>0</x:v>
      </x:c>
      <x:c r="E1684" s="15" t="n">
        <x:f>SUM($D$5:D1684)</x:f>
        <x:v>1.0000000000000036</x:v>
      </x:c>
      <x:c r="F1684" s="1" t="str">
        <x:f>IF(C1684&lt;=0,"C",IF(E1684-D1684&lt;'Дашборд'!$C$49,"A",IF(E1684-D1684&lt;'Дашборд'!$C$50,"B","C")))</x:f>
        <x:v>C</x:v>
      </x:c>
      <x:c r="G1684" s="8" t="n">
        <x:f>'Данные'!F1684</x:f>
        <x:v>0</x:v>
      </x:c>
      <x:c r="H1684" s="8" t="n">
        <x:f>SUM('Данные'!H1684:I1684)</x:f>
        <x:v>0</x:v>
      </x:c>
      <x:c r="I1684" s="16" t="str">
        <x:f>IF(H1684&gt;0,G1684/H1684,"n.a.")</x:f>
        <x:v>n.a.</x:v>
      </x:c>
      <x:c r="J1684" s="10" t="n">
        <x:f>IF('Данные'!E1684&gt;0,G1684/'Данные'!E1684,"n.a.")</x:f>
        <x:v>0</x:v>
      </x:c>
      <x:c r="K1684" s="1" t="str">
        <x:f>IF(G1684&gt;='Дашборд'!$C$51,"X","Z")</x:f>
        <x:v>Z</x:v>
      </x:c>
      <x:c r="L1684" s="1" t="str">
        <x:f>IF(H1684=0,IF(G1684&gt;0,"Нет остатка","Нет спроса"),IF(I1684&gt;='Дашборд'!$C$52,"Быстрый","Медленный"))</x:f>
        <x:v>Нет спроса</x:v>
      </x:c>
      <x:c r="M1684" s="1" t="str">
        <x:f>IF('Данные'!E1684&lt;'Дашборд'!$C$53,"Мало трафика",IF(J1684&lt;'Дашборд'!$C$9*'Дашборд'!$C$54,"Да","Нет"))</x:f>
        <x:v>Мало трафика</x:v>
      </x:c>
      <x:c r="N1684" s="1" t="str">
        <x:f>IF(AND('Данные'!D1684&gt;='Дашборд'!$C$55,D1684&lt;'Дашборд'!$C$56,'Данные'!E1684&gt;='Дашборд'!$C$53,'Данные'!L1684&lt;&gt;"Да"),"Да","Нет")</x:f>
        <x:v>Нет</x:v>
      </x:c>
      <x:c r="O1684" s="1" t="str">
        <x:f>'Данные'!L1684</x:f>
        <x:v>Нет</x:v>
      </x:c>
    </x:row>
    <x:row r="1685">
      <x:c r="A1685" s="1" t="str">
        <x:f>'Данные'!A1685</x:f>
        <x:v>119485090</x:v>
      </x:c>
      <x:c r="B1685" s="1" t="str">
        <x:f>'Данные'!B1685</x:f>
        <x:v>longslivszavyazkami/фуксия</x:v>
      </x:c>
      <x:c r="C1685" s="8" t="n">
        <x:f>'Данные'!G1685</x:f>
        <x:v>0</x:v>
      </x:c>
      <x:c r="D1685" s="15" t="n">
        <x:f>C1685/SUM($C$5:$C$2477)</x:f>
        <x:v>0</x:v>
      </x:c>
      <x:c r="E1685" s="15" t="n">
        <x:f>SUM($D$5:D1685)</x:f>
        <x:v>1.0000000000000036</x:v>
      </x:c>
      <x:c r="F1685" s="1" t="str">
        <x:f>IF(C1685&lt;=0,"C",IF(E1685-D1685&lt;'Дашборд'!$C$49,"A",IF(E1685-D1685&lt;'Дашборд'!$C$50,"B","C")))</x:f>
        <x:v>C</x:v>
      </x:c>
      <x:c r="G1685" s="8" t="n">
        <x:f>'Данные'!F1685</x:f>
        <x:v>0</x:v>
      </x:c>
      <x:c r="H1685" s="8" t="n">
        <x:f>SUM('Данные'!H1685:I1685)</x:f>
        <x:v>0</x:v>
      </x:c>
      <x:c r="I1685" s="16" t="str">
        <x:f>IF(H1685&gt;0,G1685/H1685,"n.a.")</x:f>
        <x:v>n.a.</x:v>
      </x:c>
      <x:c r="J1685" s="10" t="n">
        <x:f>IF('Данные'!E1685&gt;0,G1685/'Данные'!E1685,"n.a.")</x:f>
        <x:v>0</x:v>
      </x:c>
      <x:c r="K1685" s="1" t="str">
        <x:f>IF(G1685&gt;='Дашборд'!$C$51,"X","Z")</x:f>
        <x:v>Z</x:v>
      </x:c>
      <x:c r="L1685" s="1" t="str">
        <x:f>IF(H1685=0,IF(G1685&gt;0,"Нет остатка","Нет спроса"),IF(I1685&gt;='Дашборд'!$C$52,"Быстрый","Медленный"))</x:f>
        <x:v>Нет спроса</x:v>
      </x:c>
      <x:c r="M1685" s="1" t="str">
        <x:f>IF('Данные'!E1685&lt;'Дашборд'!$C$53,"Мало трафика",IF(J1685&lt;'Дашборд'!$C$9*'Дашборд'!$C$54,"Да","Нет"))</x:f>
        <x:v>Мало трафика</x:v>
      </x:c>
      <x:c r="N1685" s="1" t="str">
        <x:f>IF(AND('Данные'!D1685&gt;='Дашборд'!$C$55,D1685&lt;'Дашборд'!$C$56,'Данные'!E1685&gt;='Дашборд'!$C$53,'Данные'!L1685&lt;&gt;"Да"),"Да","Нет")</x:f>
        <x:v>Нет</x:v>
      </x:c>
      <x:c r="O1685" s="1" t="str">
        <x:f>'Данные'!L1685</x:f>
        <x:v>Нет</x:v>
      </x:c>
    </x:row>
    <x:row r="1686">
      <x:c r="A1686" s="1" t="str">
        <x:f>'Данные'!A1686</x:f>
        <x:v>119485207</x:v>
      </x:c>
      <x:c r="B1686" s="1" t="str">
        <x:f>'Данные'!B1686</x:f>
        <x:v>longslivszavyazkami/хаки</x:v>
      </x:c>
      <x:c r="C1686" s="8" t="n">
        <x:f>'Данные'!G1686</x:f>
        <x:v>0</x:v>
      </x:c>
      <x:c r="D1686" s="15" t="n">
        <x:f>C1686/SUM($C$5:$C$2477)</x:f>
        <x:v>0</x:v>
      </x:c>
      <x:c r="E1686" s="15" t="n">
        <x:f>SUM($D$5:D1686)</x:f>
        <x:v>1.0000000000000036</x:v>
      </x:c>
      <x:c r="F1686" s="1" t="str">
        <x:f>IF(C1686&lt;=0,"C",IF(E1686-D1686&lt;'Дашборд'!$C$49,"A",IF(E1686-D1686&lt;'Дашборд'!$C$50,"B","C")))</x:f>
        <x:v>C</x:v>
      </x:c>
      <x:c r="G1686" s="8" t="n">
        <x:f>'Данные'!F1686</x:f>
        <x:v>0</x:v>
      </x:c>
      <x:c r="H1686" s="8" t="n">
        <x:f>SUM('Данные'!H1686:I1686)</x:f>
        <x:v>0</x:v>
      </x:c>
      <x:c r="I1686" s="16" t="str">
        <x:f>IF(H1686&gt;0,G1686/H1686,"n.a.")</x:f>
        <x:v>n.a.</x:v>
      </x:c>
      <x:c r="J1686" s="10" t="str">
        <x:f>IF('Данные'!E1686&gt;0,G1686/'Данные'!E1686,"n.a.")</x:f>
        <x:v>n.a.</x:v>
      </x:c>
      <x:c r="K1686" s="1" t="str">
        <x:f>IF(G1686&gt;='Дашборд'!$C$51,"X","Z")</x:f>
        <x:v>Z</x:v>
      </x:c>
      <x:c r="L1686" s="1" t="str">
        <x:f>IF(H1686=0,IF(G1686&gt;0,"Нет остатка","Нет спроса"),IF(I1686&gt;='Дашборд'!$C$52,"Быстрый","Медленный"))</x:f>
        <x:v>Нет спроса</x:v>
      </x:c>
      <x:c r="M1686" s="1" t="str">
        <x:f>IF('Данные'!E1686&lt;'Дашборд'!$C$53,"Мало трафика",IF(J1686&lt;'Дашборд'!$C$9*'Дашборд'!$C$54,"Да","Нет"))</x:f>
        <x:v>Мало трафика</x:v>
      </x:c>
      <x:c r="N1686" s="1" t="str">
        <x:f>IF(AND('Данные'!D1686&gt;='Дашборд'!$C$55,D1686&lt;'Дашборд'!$C$56,'Данные'!E1686&gt;='Дашборд'!$C$53,'Данные'!L1686&lt;&gt;"Да"),"Да","Нет")</x:f>
        <x:v>Нет</x:v>
      </x:c>
      <x:c r="O1686" s="1" t="str">
        <x:f>'Данные'!L1686</x:f>
        <x:v>Нет</x:v>
      </x:c>
    </x:row>
    <x:row r="1687">
      <x:c r="A1687" s="1" t="str">
        <x:f>'Данные'!A1687</x:f>
        <x:v>138227979</x:v>
      </x:c>
      <x:c r="B1687" s="1" t="str">
        <x:f>'Данные'!B1687</x:f>
        <x:v>brukiman/фиолетовый</x:v>
      </x:c>
      <x:c r="C1687" s="8" t="n">
        <x:f>'Данные'!G1687</x:f>
        <x:v>0</x:v>
      </x:c>
      <x:c r="D1687" s="15" t="n">
        <x:f>C1687/SUM($C$5:$C$2477)</x:f>
        <x:v>0</x:v>
      </x:c>
      <x:c r="E1687" s="15" t="n">
        <x:f>SUM($D$5:D1687)</x:f>
        <x:v>1.0000000000000036</x:v>
      </x:c>
      <x:c r="F1687" s="1" t="str">
        <x:f>IF(C1687&lt;=0,"C",IF(E1687-D1687&lt;'Дашборд'!$C$49,"A",IF(E1687-D1687&lt;'Дашборд'!$C$50,"B","C")))</x:f>
        <x:v>C</x:v>
      </x:c>
      <x:c r="G1687" s="8" t="n">
        <x:f>'Данные'!F1687</x:f>
        <x:v>0</x:v>
      </x:c>
      <x:c r="H1687" s="8" t="n">
        <x:f>SUM('Данные'!H1687:I1687)</x:f>
        <x:v>0</x:v>
      </x:c>
      <x:c r="I1687" s="16" t="str">
        <x:f>IF(H1687&gt;0,G1687/H1687,"n.a.")</x:f>
        <x:v>n.a.</x:v>
      </x:c>
      <x:c r="J1687" s="10" t="n">
        <x:f>IF('Данные'!E1687&gt;0,G1687/'Данные'!E1687,"n.a.")</x:f>
        <x:v>0</x:v>
      </x:c>
      <x:c r="K1687" s="1" t="str">
        <x:f>IF(G1687&gt;='Дашборд'!$C$51,"X","Z")</x:f>
        <x:v>Z</x:v>
      </x:c>
      <x:c r="L1687" s="1" t="str">
        <x:f>IF(H1687=0,IF(G1687&gt;0,"Нет остатка","Нет спроса"),IF(I1687&gt;='Дашборд'!$C$52,"Быстрый","Медленный"))</x:f>
        <x:v>Нет спроса</x:v>
      </x:c>
      <x:c r="M1687" s="1" t="str">
        <x:f>IF('Данные'!E1687&lt;'Дашборд'!$C$53,"Мало трафика",IF(J1687&lt;'Дашборд'!$C$9*'Дашборд'!$C$54,"Да","Нет"))</x:f>
        <x:v>Мало трафика</x:v>
      </x:c>
      <x:c r="N1687" s="1" t="str">
        <x:f>IF(AND('Данные'!D1687&gt;='Дашборд'!$C$55,D1687&lt;'Дашборд'!$C$56,'Данные'!E1687&gt;='Дашборд'!$C$53,'Данные'!L1687&lt;&gt;"Да"),"Да","Нет")</x:f>
        <x:v>Нет</x:v>
      </x:c>
      <x:c r="O1687" s="1" t="str">
        <x:f>'Данные'!L1687</x:f>
        <x:v>Нет</x:v>
      </x:c>
    </x:row>
    <x:row r="1688">
      <x:c r="A1688" s="1" t="str">
        <x:f>'Данные'!A1688</x:f>
        <x:v>145845794</x:v>
      </x:c>
      <x:c r="B1688" s="1" t="str">
        <x:f>'Данные'!B1688</x:f>
        <x:v>svitshotman/деним</x:v>
      </x:c>
      <x:c r="C1688" s="8" t="n">
        <x:f>'Данные'!G1688</x:f>
        <x:v>0</x:v>
      </x:c>
      <x:c r="D1688" s="15" t="n">
        <x:f>C1688/SUM($C$5:$C$2477)</x:f>
        <x:v>0</x:v>
      </x:c>
      <x:c r="E1688" s="15" t="n">
        <x:f>SUM($D$5:D1688)</x:f>
        <x:v>1.0000000000000036</x:v>
      </x:c>
      <x:c r="F1688" s="1" t="str">
        <x:f>IF(C1688&lt;=0,"C",IF(E1688-D1688&lt;'Дашборд'!$C$49,"A",IF(E1688-D1688&lt;'Дашборд'!$C$50,"B","C")))</x:f>
        <x:v>C</x:v>
      </x:c>
      <x:c r="G1688" s="8" t="n">
        <x:f>'Данные'!F1688</x:f>
        <x:v>0</x:v>
      </x:c>
      <x:c r="H1688" s="8" t="n">
        <x:f>SUM('Данные'!H1688:I1688)</x:f>
        <x:v>0</x:v>
      </x:c>
      <x:c r="I1688" s="16" t="str">
        <x:f>IF(H1688&gt;0,G1688/H1688,"n.a.")</x:f>
        <x:v>n.a.</x:v>
      </x:c>
      <x:c r="J1688" s="10" t="n">
        <x:f>IF('Данные'!E1688&gt;0,G1688/'Данные'!E1688,"n.a.")</x:f>
        <x:v>0</x:v>
      </x:c>
      <x:c r="K1688" s="1" t="str">
        <x:f>IF(G1688&gt;='Дашборд'!$C$51,"X","Z")</x:f>
        <x:v>Z</x:v>
      </x:c>
      <x:c r="L1688" s="1" t="str">
        <x:f>IF(H1688=0,IF(G1688&gt;0,"Нет остатка","Нет спроса"),IF(I1688&gt;='Дашборд'!$C$52,"Быстрый","Медленный"))</x:f>
        <x:v>Нет спроса</x:v>
      </x:c>
      <x:c r="M1688" s="1" t="str">
        <x:f>IF('Данные'!E1688&lt;'Дашборд'!$C$53,"Мало трафика",IF(J1688&lt;'Дашборд'!$C$9*'Дашборд'!$C$54,"Да","Нет"))</x:f>
        <x:v>Мало трафика</x:v>
      </x:c>
      <x:c r="N1688" s="1" t="str">
        <x:f>IF(AND('Данные'!D1688&gt;='Дашборд'!$C$55,D1688&lt;'Дашборд'!$C$56,'Данные'!E1688&gt;='Дашборд'!$C$53,'Данные'!L1688&lt;&gt;"Да"),"Да","Нет")</x:f>
        <x:v>Нет</x:v>
      </x:c>
      <x:c r="O1688" s="1" t="str">
        <x:f>'Данные'!L1688</x:f>
        <x:v>Нет</x:v>
      </x:c>
    </x:row>
    <x:row r="1689">
      <x:c r="A1689" s="1" t="str">
        <x:f>'Данные'!A1689</x:f>
        <x:v>145845803</x:v>
      </x:c>
      <x:c r="B1689" s="1" t="str">
        <x:f>'Данные'!B1689</x:f>
        <x:v>svitshotman/фуксия</x:v>
      </x:c>
      <x:c r="C1689" s="8" t="n">
        <x:f>'Данные'!G1689</x:f>
        <x:v>0</x:v>
      </x:c>
      <x:c r="D1689" s="15" t="n">
        <x:f>C1689/SUM($C$5:$C$2477)</x:f>
        <x:v>0</x:v>
      </x:c>
      <x:c r="E1689" s="15" t="n">
        <x:f>SUM($D$5:D1689)</x:f>
        <x:v>1.0000000000000036</x:v>
      </x:c>
      <x:c r="F1689" s="1" t="str">
        <x:f>IF(C1689&lt;=0,"C",IF(E1689-D1689&lt;'Дашборд'!$C$49,"A",IF(E1689-D1689&lt;'Дашборд'!$C$50,"B","C")))</x:f>
        <x:v>C</x:v>
      </x:c>
      <x:c r="G1689" s="8" t="n">
        <x:f>'Данные'!F1689</x:f>
        <x:v>1</x:v>
      </x:c>
      <x:c r="H1689" s="8" t="n">
        <x:f>SUM('Данные'!H1689:I1689)</x:f>
        <x:v>0</x:v>
      </x:c>
      <x:c r="I1689" s="16" t="str">
        <x:f>IF(H1689&gt;0,G1689/H1689,"n.a.")</x:f>
        <x:v>n.a.</x:v>
      </x:c>
      <x:c r="J1689" s="10" t="n">
        <x:f>IF('Данные'!E1689&gt;0,G1689/'Данные'!E1689,"n.a.")</x:f>
        <x:v>0.0027548209366391185</x:v>
      </x:c>
      <x:c r="K1689" s="1" t="str">
        <x:f>IF(G1689&gt;='Дашборд'!$C$51,"X","Z")</x:f>
        <x:v>Z</x:v>
      </x:c>
      <x:c r="L1689" s="1" t="str">
        <x:f>IF(H1689=0,IF(G1689&gt;0,"Нет остатка","Нет спроса"),IF(I1689&gt;='Дашборд'!$C$52,"Быстрый","Медленный"))</x:f>
        <x:v>Нет остатка</x:v>
      </x:c>
      <x:c r="M1689" s="1" t="str">
        <x:f>IF('Данные'!E1689&lt;'Дашборд'!$C$53,"Мало трафика",IF(J1689&lt;'Дашборд'!$C$9*'Дашборд'!$C$54,"Да","Нет"))</x:f>
        <x:v>Мало трафика</x:v>
      </x:c>
      <x:c r="N1689" s="1" t="str">
        <x:f>IF(AND('Данные'!D1689&gt;='Дашборд'!$C$55,D1689&lt;'Дашборд'!$C$56,'Данные'!E1689&gt;='Дашборд'!$C$53,'Данные'!L1689&lt;&gt;"Да"),"Да","Нет")</x:f>
        <x:v>Нет</x:v>
      </x:c>
      <x:c r="O1689" s="1" t="str">
        <x:f>'Данные'!L1689</x:f>
        <x:v>Нет</x:v>
      </x:c>
    </x:row>
    <x:row r="1690">
      <x:c r="A1690" s="1" t="str">
        <x:f>'Данные'!A1690</x:f>
        <x:v>145845805</x:v>
      </x:c>
      <x:c r="B1690" s="1" t="str">
        <x:f>'Данные'!B1690</x:f>
        <x:v>svitshotman/светло-фиолетовый</x:v>
      </x:c>
      <x:c r="C1690" s="8" t="n">
        <x:f>'Данные'!G1690</x:f>
        <x:v>0</x:v>
      </x:c>
      <x:c r="D1690" s="15" t="n">
        <x:f>C1690/SUM($C$5:$C$2477)</x:f>
        <x:v>0</x:v>
      </x:c>
      <x:c r="E1690" s="15" t="n">
        <x:f>SUM($D$5:D1690)</x:f>
        <x:v>1.0000000000000036</x:v>
      </x:c>
      <x:c r="F1690" s="1" t="str">
        <x:f>IF(C1690&lt;=0,"C",IF(E1690-D1690&lt;'Дашборд'!$C$49,"A",IF(E1690-D1690&lt;'Дашборд'!$C$50,"B","C")))</x:f>
        <x:v>C</x:v>
      </x:c>
      <x:c r="G1690" s="8" t="n">
        <x:f>'Данные'!F1690</x:f>
        <x:v>0</x:v>
      </x:c>
      <x:c r="H1690" s="8" t="n">
        <x:f>SUM('Данные'!H1690:I1690)</x:f>
        <x:v>0</x:v>
      </x:c>
      <x:c r="I1690" s="16" t="str">
        <x:f>IF(H1690&gt;0,G1690/H1690,"n.a.")</x:f>
        <x:v>n.a.</x:v>
      </x:c>
      <x:c r="J1690" s="10" t="n">
        <x:f>IF('Данные'!E1690&gt;0,G1690/'Данные'!E1690,"n.a.")</x:f>
        <x:v>0</x:v>
      </x:c>
      <x:c r="K1690" s="1" t="str">
        <x:f>IF(G1690&gt;='Дашборд'!$C$51,"X","Z")</x:f>
        <x:v>Z</x:v>
      </x:c>
      <x:c r="L1690" s="1" t="str">
        <x:f>IF(H1690=0,IF(G1690&gt;0,"Нет остатка","Нет спроса"),IF(I1690&gt;='Дашборд'!$C$52,"Быстрый","Медленный"))</x:f>
        <x:v>Нет спроса</x:v>
      </x:c>
      <x:c r="M1690" s="1" t="str">
        <x:f>IF('Данные'!E1690&lt;'Дашборд'!$C$53,"Мало трафика",IF(J1690&lt;'Дашборд'!$C$9*'Дашборд'!$C$54,"Да","Нет"))</x:f>
        <x:v>Мало трафика</x:v>
      </x:c>
      <x:c r="N1690" s="1" t="str">
        <x:f>IF(AND('Данные'!D1690&gt;='Дашборд'!$C$55,D1690&lt;'Дашборд'!$C$56,'Данные'!E1690&gt;='Дашборд'!$C$53,'Данные'!L1690&lt;&gt;"Да"),"Да","Нет")</x:f>
        <x:v>Нет</x:v>
      </x:c>
      <x:c r="O1690" s="1" t="str">
        <x:f>'Данные'!L1690</x:f>
        <x:v>Нет</x:v>
      </x:c>
    </x:row>
    <x:row r="1691">
      <x:c r="A1691" s="1" t="str">
        <x:f>'Данные'!A1691</x:f>
        <x:v>145845809</x:v>
      </x:c>
      <x:c r="B1691" s="1" t="str">
        <x:f>'Данные'!B1691</x:f>
        <x:v>svitshotman/мандариновый</x:v>
      </x:c>
      <x:c r="C1691" s="8" t="n">
        <x:f>'Данные'!G1691</x:f>
        <x:v>0</x:v>
      </x:c>
      <x:c r="D1691" s="15" t="n">
        <x:f>C1691/SUM($C$5:$C$2477)</x:f>
        <x:v>0</x:v>
      </x:c>
      <x:c r="E1691" s="15" t="n">
        <x:f>SUM($D$5:D1691)</x:f>
        <x:v>1.0000000000000036</x:v>
      </x:c>
      <x:c r="F1691" s="1" t="str">
        <x:f>IF(C1691&lt;=0,"C",IF(E1691-D1691&lt;'Дашборд'!$C$49,"A",IF(E1691-D1691&lt;'Дашборд'!$C$50,"B","C")))</x:f>
        <x:v>C</x:v>
      </x:c>
      <x:c r="G1691" s="8" t="n">
        <x:f>'Данные'!F1691</x:f>
        <x:v>0</x:v>
      </x:c>
      <x:c r="H1691" s="8" t="n">
        <x:f>SUM('Данные'!H1691:I1691)</x:f>
        <x:v>0</x:v>
      </x:c>
      <x:c r="I1691" s="16" t="str">
        <x:f>IF(H1691&gt;0,G1691/H1691,"n.a.")</x:f>
        <x:v>n.a.</x:v>
      </x:c>
      <x:c r="J1691" s="10" t="n">
        <x:f>IF('Данные'!E1691&gt;0,G1691/'Данные'!E1691,"n.a.")</x:f>
        <x:v>0</x:v>
      </x:c>
      <x:c r="K1691" s="1" t="str">
        <x:f>IF(G1691&gt;='Дашборд'!$C$51,"X","Z")</x:f>
        <x:v>Z</x:v>
      </x:c>
      <x:c r="L1691" s="1" t="str">
        <x:f>IF(H1691=0,IF(G1691&gt;0,"Нет остатка","Нет спроса"),IF(I1691&gt;='Дашборд'!$C$52,"Быстрый","Медленный"))</x:f>
        <x:v>Нет спроса</x:v>
      </x:c>
      <x:c r="M1691" s="1" t="str">
        <x:f>IF('Данные'!E1691&lt;'Дашборд'!$C$53,"Мало трафика",IF(J1691&lt;'Дашборд'!$C$9*'Дашборд'!$C$54,"Да","Нет"))</x:f>
        <x:v>Мало трафика</x:v>
      </x:c>
      <x:c r="N1691" s="1" t="str">
        <x:f>IF(AND('Данные'!D1691&gt;='Дашборд'!$C$55,D1691&lt;'Дашборд'!$C$56,'Данные'!E1691&gt;='Дашборд'!$C$53,'Данные'!L1691&lt;&gt;"Да"),"Да","Нет")</x:f>
        <x:v>Нет</x:v>
      </x:c>
      <x:c r="O1691" s="1" t="str">
        <x:f>'Данные'!L1691</x:f>
        <x:v>Нет</x:v>
      </x:c>
    </x:row>
    <x:row r="1692">
      <x:c r="A1692" s="1" t="str">
        <x:f>'Данные'!A1692</x:f>
        <x:v>150673987</x:v>
      </x:c>
      <x:c r="B1692" s="1" t="str">
        <x:f>'Данные'!B1692</x:f>
        <x:v>svitshotover/зеленый</x:v>
      </x:c>
      <x:c r="C1692" s="8" t="n">
        <x:f>'Данные'!G1692</x:f>
        <x:v>0</x:v>
      </x:c>
      <x:c r="D1692" s="15" t="n">
        <x:f>C1692/SUM($C$5:$C$2477)</x:f>
        <x:v>0</x:v>
      </x:c>
      <x:c r="E1692" s="15" t="n">
        <x:f>SUM($D$5:D1692)</x:f>
        <x:v>1.0000000000000036</x:v>
      </x:c>
      <x:c r="F1692" s="1" t="str">
        <x:f>IF(C1692&lt;=0,"C",IF(E1692-D1692&lt;'Дашборд'!$C$49,"A",IF(E1692-D1692&lt;'Дашборд'!$C$50,"B","C")))</x:f>
        <x:v>C</x:v>
      </x:c>
      <x:c r="G1692" s="8" t="n">
        <x:f>'Данные'!F1692</x:f>
        <x:v>0</x:v>
      </x:c>
      <x:c r="H1692" s="8" t="n">
        <x:f>SUM('Данные'!H1692:I1692)</x:f>
        <x:v>0</x:v>
      </x:c>
      <x:c r="I1692" s="16" t="str">
        <x:f>IF(H1692&gt;0,G1692/H1692,"n.a.")</x:f>
        <x:v>n.a.</x:v>
      </x:c>
      <x:c r="J1692" s="10" t="n">
        <x:f>IF('Данные'!E1692&gt;0,G1692/'Данные'!E1692,"n.a.")</x:f>
        <x:v>0</x:v>
      </x:c>
      <x:c r="K1692" s="1" t="str">
        <x:f>IF(G1692&gt;='Дашборд'!$C$51,"X","Z")</x:f>
        <x:v>Z</x:v>
      </x:c>
      <x:c r="L1692" s="1" t="str">
        <x:f>IF(H1692=0,IF(G1692&gt;0,"Нет остатка","Нет спроса"),IF(I1692&gt;='Дашборд'!$C$52,"Быстрый","Медленный"))</x:f>
        <x:v>Нет спроса</x:v>
      </x:c>
      <x:c r="M1692" s="1" t="str">
        <x:f>IF('Данные'!E1692&lt;'Дашборд'!$C$53,"Мало трафика",IF(J1692&lt;'Дашборд'!$C$9*'Дашборд'!$C$54,"Да","Нет"))</x:f>
        <x:v>Мало трафика</x:v>
      </x:c>
      <x:c r="N1692" s="1" t="str">
        <x:f>IF(AND('Данные'!D1692&gt;='Дашборд'!$C$55,D1692&lt;'Дашборд'!$C$56,'Данные'!E1692&gt;='Дашборд'!$C$53,'Данные'!L1692&lt;&gt;"Да"),"Да","Нет")</x:f>
        <x:v>Нет</x:v>
      </x:c>
      <x:c r="O1692" s="1" t="str">
        <x:f>'Данные'!L1692</x:f>
        <x:v>Нет</x:v>
      </x:c>
    </x:row>
    <x:row r="1693">
      <x:c r="A1693" s="1" t="str">
        <x:f>'Данные'!A1693</x:f>
        <x:v>15445453</x:v>
      </x:c>
      <x:c r="B1693" s="1" t="str">
        <x:f>'Данные'!B1693</x:f>
        <x:v>hudi/пыльная-роза</x:v>
      </x:c>
      <x:c r="C1693" s="8" t="n">
        <x:f>'Данные'!G1693</x:f>
        <x:v>0</x:v>
      </x:c>
      <x:c r="D1693" s="15" t="n">
        <x:f>C1693/SUM($C$5:$C$2477)</x:f>
        <x:v>0</x:v>
      </x:c>
      <x:c r="E1693" s="15" t="n">
        <x:f>SUM($D$5:D1693)</x:f>
        <x:v>1.0000000000000036</x:v>
      </x:c>
      <x:c r="F1693" s="1" t="str">
        <x:f>IF(C1693&lt;=0,"C",IF(E1693-D1693&lt;'Дашборд'!$C$49,"A",IF(E1693-D1693&lt;'Дашборд'!$C$50,"B","C")))</x:f>
        <x:v>C</x:v>
      </x:c>
      <x:c r="G1693" s="8" t="n">
        <x:f>'Данные'!F1693</x:f>
        <x:v>0</x:v>
      </x:c>
      <x:c r="H1693" s="8" t="n">
        <x:f>SUM('Данные'!H1693:I1693)</x:f>
        <x:v>3</x:v>
      </x:c>
      <x:c r="I1693" s="16" t="n">
        <x:f>IF(H1693&gt;0,G1693/H1693,"n.a.")</x:f>
        <x:v>0</x:v>
      </x:c>
      <x:c r="J1693" s="10" t="n">
        <x:f>IF('Данные'!E1693&gt;0,G1693/'Данные'!E1693,"n.a.")</x:f>
        <x:v>0</x:v>
      </x:c>
      <x:c r="K1693" s="1" t="str">
        <x:f>IF(G1693&gt;='Дашборд'!$C$51,"X","Z")</x:f>
        <x:v>Z</x:v>
      </x:c>
      <x:c r="L1693" s="1" t="str">
        <x:f>IF(H1693=0,IF(G1693&gt;0,"Нет остатка","Нет спроса"),IF(I1693&gt;='Дашборд'!$C$52,"Быстрый","Медленный"))</x:f>
        <x:v>Медленный</x:v>
      </x:c>
      <x:c r="M1693" s="1" t="str">
        <x:f>IF('Данные'!E1693&lt;'Дашборд'!$C$53,"Мало трафика",IF(J1693&lt;'Дашборд'!$C$9*'Дашборд'!$C$54,"Да","Нет"))</x:f>
        <x:v>Мало трафика</x:v>
      </x:c>
      <x:c r="N1693" s="1" t="str">
        <x:f>IF(AND('Данные'!D1693&gt;='Дашборд'!$C$55,D1693&lt;'Дашборд'!$C$56,'Данные'!E1693&gt;='Дашборд'!$C$53,'Данные'!L1693&lt;&gt;"Да"),"Да","Нет")</x:f>
        <x:v>Нет</x:v>
      </x:c>
      <x:c r="O1693" s="1" t="str">
        <x:f>'Данные'!L1693</x:f>
        <x:v>Нет</x:v>
      </x:c>
    </x:row>
    <x:row r="1694">
      <x:c r="A1694" s="1" t="str">
        <x:f>'Данные'!A1694</x:f>
        <x:v>15445454</x:v>
      </x:c>
      <x:c r="B1694" s="1" t="str">
        <x:f>'Данные'!B1694</x:f>
        <x:v>hudi/банановый</x:v>
      </x:c>
      <x:c r="C1694" s="8" t="n">
        <x:f>'Данные'!G1694</x:f>
        <x:v>0</x:v>
      </x:c>
      <x:c r="D1694" s="15" t="n">
        <x:f>C1694/SUM($C$5:$C$2477)</x:f>
        <x:v>0</x:v>
      </x:c>
      <x:c r="E1694" s="15" t="n">
        <x:f>SUM($D$5:D1694)</x:f>
        <x:v>1.0000000000000036</x:v>
      </x:c>
      <x:c r="F1694" s="1" t="str">
        <x:f>IF(C1694&lt;=0,"C",IF(E1694-D1694&lt;'Дашборд'!$C$49,"A",IF(E1694-D1694&lt;'Дашборд'!$C$50,"B","C")))</x:f>
        <x:v>C</x:v>
      </x:c>
      <x:c r="G1694" s="8" t="n">
        <x:f>'Данные'!F1694</x:f>
        <x:v>0</x:v>
      </x:c>
      <x:c r="H1694" s="8" t="n">
        <x:f>SUM('Данные'!H1694:I1694)</x:f>
        <x:v>0</x:v>
      </x:c>
      <x:c r="I1694" s="16" t="str">
        <x:f>IF(H1694&gt;0,G1694/H1694,"n.a.")</x:f>
        <x:v>n.a.</x:v>
      </x:c>
      <x:c r="J1694" s="10" t="n">
        <x:f>IF('Данные'!E1694&gt;0,G1694/'Данные'!E1694,"n.a.")</x:f>
        <x:v>0</x:v>
      </x:c>
      <x:c r="K1694" s="1" t="str">
        <x:f>IF(G1694&gt;='Дашборд'!$C$51,"X","Z")</x:f>
        <x:v>Z</x:v>
      </x:c>
      <x:c r="L1694" s="1" t="str">
        <x:f>IF(H1694=0,IF(G1694&gt;0,"Нет остатка","Нет спроса"),IF(I1694&gt;='Дашборд'!$C$52,"Быстрый","Медленный"))</x:f>
        <x:v>Нет спроса</x:v>
      </x:c>
      <x:c r="M1694" s="1" t="str">
        <x:f>IF('Данные'!E1694&lt;'Дашборд'!$C$53,"Мало трафика",IF(J1694&lt;'Дашборд'!$C$9*'Дашборд'!$C$54,"Да","Нет"))</x:f>
        <x:v>Мало трафика</x:v>
      </x:c>
      <x:c r="N1694" s="1" t="str">
        <x:f>IF(AND('Данные'!D1694&gt;='Дашборд'!$C$55,D1694&lt;'Дашборд'!$C$56,'Данные'!E1694&gt;='Дашборд'!$C$53,'Данные'!L1694&lt;&gt;"Да"),"Да","Нет")</x:f>
        <x:v>Нет</x:v>
      </x:c>
      <x:c r="O1694" s="1" t="str">
        <x:f>'Данные'!L1694</x:f>
        <x:v>Нет</x:v>
      </x:c>
    </x:row>
    <x:row r="1695">
      <x:c r="A1695" s="1" t="str">
        <x:f>'Данные'!A1695</x:f>
        <x:v>15445456</x:v>
      </x:c>
      <x:c r="B1695" s="1" t="str">
        <x:f>'Данные'!B1695</x:f>
        <x:v>hudi/светло-бирюзовый</x:v>
      </x:c>
      <x:c r="C1695" s="8" t="n">
        <x:f>'Данные'!G1695</x:f>
        <x:v>0</x:v>
      </x:c>
      <x:c r="D1695" s="15" t="n">
        <x:f>C1695/SUM($C$5:$C$2477)</x:f>
        <x:v>0</x:v>
      </x:c>
      <x:c r="E1695" s="15" t="n">
        <x:f>SUM($D$5:D1695)</x:f>
        <x:v>1.0000000000000036</x:v>
      </x:c>
      <x:c r="F1695" s="1" t="str">
        <x:f>IF(C1695&lt;=0,"C",IF(E1695-D1695&lt;'Дашборд'!$C$49,"A",IF(E1695-D1695&lt;'Дашборд'!$C$50,"B","C")))</x:f>
        <x:v>C</x:v>
      </x:c>
      <x:c r="G1695" s="8" t="n">
        <x:f>'Данные'!F1695</x:f>
        <x:v>0</x:v>
      </x:c>
      <x:c r="H1695" s="8" t="n">
        <x:f>SUM('Данные'!H1695:I1695)</x:f>
        <x:v>0</x:v>
      </x:c>
      <x:c r="I1695" s="16" t="str">
        <x:f>IF(H1695&gt;0,G1695/H1695,"n.a.")</x:f>
        <x:v>n.a.</x:v>
      </x:c>
      <x:c r="J1695" s="10" t="n">
        <x:f>IF('Данные'!E1695&gt;0,G1695/'Данные'!E1695,"n.a.")</x:f>
        <x:v>0</x:v>
      </x:c>
      <x:c r="K1695" s="1" t="str">
        <x:f>IF(G1695&gt;='Дашборд'!$C$51,"X","Z")</x:f>
        <x:v>Z</x:v>
      </x:c>
      <x:c r="L1695" s="1" t="str">
        <x:f>IF(H1695=0,IF(G1695&gt;0,"Нет остатка","Нет спроса"),IF(I1695&gt;='Дашборд'!$C$52,"Быстрый","Медленный"))</x:f>
        <x:v>Нет спроса</x:v>
      </x:c>
      <x:c r="M1695" s="1" t="str">
        <x:f>IF('Данные'!E1695&lt;'Дашборд'!$C$53,"Мало трафика",IF(J1695&lt;'Дашборд'!$C$9*'Дашборд'!$C$54,"Да","Нет"))</x:f>
        <x:v>Мало трафика</x:v>
      </x:c>
      <x:c r="N1695" s="1" t="str">
        <x:f>IF(AND('Данные'!D1695&gt;='Дашборд'!$C$55,D1695&lt;'Дашборд'!$C$56,'Данные'!E1695&gt;='Дашборд'!$C$53,'Данные'!L1695&lt;&gt;"Да"),"Да","Нет")</x:f>
        <x:v>Нет</x:v>
      </x:c>
      <x:c r="O1695" s="1" t="str">
        <x:f>'Данные'!L1695</x:f>
        <x:v>Нет</x:v>
      </x:c>
    </x:row>
    <x:row r="1696">
      <x:c r="A1696" s="1" t="str">
        <x:f>'Данные'!A1696</x:f>
        <x:v>15665554</x:v>
      </x:c>
      <x:c r="B1696" s="1" t="str">
        <x:f>'Данные'!B1696</x:f>
        <x:v>hudi/голубой-берилл</x:v>
      </x:c>
      <x:c r="C1696" s="8" t="n">
        <x:f>'Данные'!G1696</x:f>
        <x:v>0</x:v>
      </x:c>
      <x:c r="D1696" s="15" t="n">
        <x:f>C1696/SUM($C$5:$C$2477)</x:f>
        <x:v>0</x:v>
      </x:c>
      <x:c r="E1696" s="15" t="n">
        <x:f>SUM($D$5:D1696)</x:f>
        <x:v>1.0000000000000036</x:v>
      </x:c>
      <x:c r="F1696" s="1" t="str">
        <x:f>IF(C1696&lt;=0,"C",IF(E1696-D1696&lt;'Дашборд'!$C$49,"A",IF(E1696-D1696&lt;'Дашборд'!$C$50,"B","C")))</x:f>
        <x:v>C</x:v>
      </x:c>
      <x:c r="G1696" s="8" t="n">
        <x:f>'Данные'!F1696</x:f>
        <x:v>0</x:v>
      </x:c>
      <x:c r="H1696" s="8" t="n">
        <x:f>SUM('Данные'!H1696:I1696)</x:f>
        <x:v>0</x:v>
      </x:c>
      <x:c r="I1696" s="16" t="str">
        <x:f>IF(H1696&gt;0,G1696/H1696,"n.a.")</x:f>
        <x:v>n.a.</x:v>
      </x:c>
      <x:c r="J1696" s="10" t="n">
        <x:f>IF('Данные'!E1696&gt;0,G1696/'Данные'!E1696,"n.a.")</x:f>
        <x:v>0</x:v>
      </x:c>
      <x:c r="K1696" s="1" t="str">
        <x:f>IF(G1696&gt;='Дашборд'!$C$51,"X","Z")</x:f>
        <x:v>Z</x:v>
      </x:c>
      <x:c r="L1696" s="1" t="str">
        <x:f>IF(H1696=0,IF(G1696&gt;0,"Нет остатка","Нет спроса"),IF(I1696&gt;='Дашборд'!$C$52,"Быстрый","Медленный"))</x:f>
        <x:v>Нет спроса</x:v>
      </x:c>
      <x:c r="M1696" s="1" t="str">
        <x:f>IF('Данные'!E1696&lt;'Дашборд'!$C$53,"Мало трафика",IF(J1696&lt;'Дашборд'!$C$9*'Дашборд'!$C$54,"Да","Нет"))</x:f>
        <x:v>Мало трафика</x:v>
      </x:c>
      <x:c r="N1696" s="1" t="str">
        <x:f>IF(AND('Данные'!D1696&gt;='Дашборд'!$C$55,D1696&lt;'Дашборд'!$C$56,'Данные'!E1696&gt;='Дашборд'!$C$53,'Данные'!L1696&lt;&gt;"Да"),"Да","Нет")</x:f>
        <x:v>Нет</x:v>
      </x:c>
      <x:c r="O1696" s="1" t="str">
        <x:f>'Данные'!L1696</x:f>
        <x:v>Нет</x:v>
      </x:c>
    </x:row>
    <x:row r="1697">
      <x:c r="A1697" s="1" t="str">
        <x:f>'Данные'!A1697</x:f>
        <x:v>15748479</x:v>
      </x:c>
      <x:c r="B1697" s="1" t="str">
        <x:f>'Данные'!B1697</x:f>
        <x:v>bruki/пыльнаяроза</x:v>
      </x:c>
      <x:c r="C1697" s="8" t="n">
        <x:f>'Данные'!G1697</x:f>
        <x:v>0</x:v>
      </x:c>
      <x:c r="D1697" s="15" t="n">
        <x:f>C1697/SUM($C$5:$C$2477)</x:f>
        <x:v>0</x:v>
      </x:c>
      <x:c r="E1697" s="15" t="n">
        <x:f>SUM($D$5:D1697)</x:f>
        <x:v>1.0000000000000036</x:v>
      </x:c>
      <x:c r="F1697" s="1" t="str">
        <x:f>IF(C1697&lt;=0,"C",IF(E1697-D1697&lt;'Дашборд'!$C$49,"A",IF(E1697-D1697&lt;'Дашборд'!$C$50,"B","C")))</x:f>
        <x:v>C</x:v>
      </x:c>
      <x:c r="G1697" s="8" t="n">
        <x:f>'Данные'!F1697</x:f>
        <x:v>0</x:v>
      </x:c>
      <x:c r="H1697" s="8" t="n">
        <x:f>SUM('Данные'!H1697:I1697)</x:f>
        <x:v>0</x:v>
      </x:c>
      <x:c r="I1697" s="16" t="str">
        <x:f>IF(H1697&gt;0,G1697/H1697,"n.a.")</x:f>
        <x:v>n.a.</x:v>
      </x:c>
      <x:c r="J1697" s="10" t="n">
        <x:f>IF('Данные'!E1697&gt;0,G1697/'Данные'!E1697,"n.a.")</x:f>
        <x:v>0</x:v>
      </x:c>
      <x:c r="K1697" s="1" t="str">
        <x:f>IF(G1697&gt;='Дашборд'!$C$51,"X","Z")</x:f>
        <x:v>Z</x:v>
      </x:c>
      <x:c r="L1697" s="1" t="str">
        <x:f>IF(H1697=0,IF(G1697&gt;0,"Нет остатка","Нет спроса"),IF(I1697&gt;='Дашборд'!$C$52,"Быстрый","Медленный"))</x:f>
        <x:v>Нет спроса</x:v>
      </x:c>
      <x:c r="M1697" s="1" t="str">
        <x:f>IF('Данные'!E1697&lt;'Дашборд'!$C$53,"Мало трафика",IF(J1697&lt;'Дашборд'!$C$9*'Дашборд'!$C$54,"Да","Нет"))</x:f>
        <x:v>Мало трафика</x:v>
      </x:c>
      <x:c r="N1697" s="1" t="str">
        <x:f>IF(AND('Данные'!D1697&gt;='Дашборд'!$C$55,D1697&lt;'Дашборд'!$C$56,'Данные'!E1697&gt;='Дашборд'!$C$53,'Данные'!L1697&lt;&gt;"Да"),"Да","Нет")</x:f>
        <x:v>Нет</x:v>
      </x:c>
      <x:c r="O1697" s="1" t="str">
        <x:f>'Данные'!L1697</x:f>
        <x:v>Да</x:v>
      </x:c>
    </x:row>
    <x:row r="1698">
      <x:c r="A1698" s="1" t="str">
        <x:f>'Данные'!A1698</x:f>
        <x:v>15748480</x:v>
      </x:c>
      <x:c r="B1698" s="1" t="str">
        <x:f>'Данные'!B1698</x:f>
        <x:v>bruki/банановый</x:v>
      </x:c>
      <x:c r="C1698" s="8" t="n">
        <x:f>'Данные'!G1698</x:f>
        <x:v>0</x:v>
      </x:c>
      <x:c r="D1698" s="15" t="n">
        <x:f>C1698/SUM($C$5:$C$2477)</x:f>
        <x:v>0</x:v>
      </x:c>
      <x:c r="E1698" s="15" t="n">
        <x:f>SUM($D$5:D1698)</x:f>
        <x:v>1.0000000000000036</x:v>
      </x:c>
      <x:c r="F1698" s="1" t="str">
        <x:f>IF(C1698&lt;=0,"C",IF(E1698-D1698&lt;'Дашборд'!$C$49,"A",IF(E1698-D1698&lt;'Дашборд'!$C$50,"B","C")))</x:f>
        <x:v>C</x:v>
      </x:c>
      <x:c r="G1698" s="8" t="n">
        <x:f>'Данные'!F1698</x:f>
        <x:v>0</x:v>
      </x:c>
      <x:c r="H1698" s="8" t="n">
        <x:f>SUM('Данные'!H1698:I1698)</x:f>
        <x:v>0</x:v>
      </x:c>
      <x:c r="I1698" s="16" t="str">
        <x:f>IF(H1698&gt;0,G1698/H1698,"n.a.")</x:f>
        <x:v>n.a.</x:v>
      </x:c>
      <x:c r="J1698" s="10" t="n">
        <x:f>IF('Данные'!E1698&gt;0,G1698/'Данные'!E1698,"n.a.")</x:f>
        <x:v>0</x:v>
      </x:c>
      <x:c r="K1698" s="1" t="str">
        <x:f>IF(G1698&gt;='Дашборд'!$C$51,"X","Z")</x:f>
        <x:v>Z</x:v>
      </x:c>
      <x:c r="L1698" s="1" t="str">
        <x:f>IF(H1698=0,IF(G1698&gt;0,"Нет остатка","Нет спроса"),IF(I1698&gt;='Дашборд'!$C$52,"Быстрый","Медленный"))</x:f>
        <x:v>Нет спроса</x:v>
      </x:c>
      <x:c r="M1698" s="1" t="str">
        <x:f>IF('Данные'!E1698&lt;'Дашборд'!$C$53,"Мало трафика",IF(J1698&lt;'Дашборд'!$C$9*'Дашборд'!$C$54,"Да","Нет"))</x:f>
        <x:v>Мало трафика</x:v>
      </x:c>
      <x:c r="N1698" s="1" t="str">
        <x:f>IF(AND('Данные'!D1698&gt;='Дашборд'!$C$55,D1698&lt;'Дашборд'!$C$56,'Данные'!E1698&gt;='Дашборд'!$C$53,'Данные'!L1698&lt;&gt;"Да"),"Да","Нет")</x:f>
        <x:v>Нет</x:v>
      </x:c>
      <x:c r="O1698" s="1" t="str">
        <x:f>'Данные'!L1698</x:f>
        <x:v>Да</x:v>
      </x:c>
    </x:row>
    <x:row r="1699">
      <x:c r="A1699" s="1" t="str">
        <x:f>'Данные'!A1699</x:f>
        <x:v>15748482</x:v>
      </x:c>
      <x:c r="B1699" s="1" t="str">
        <x:f>'Данные'!B1699</x:f>
        <x:v>bruki/светлобирюзовый</x:v>
      </x:c>
      <x:c r="C1699" s="8" t="n">
        <x:f>'Данные'!G1699</x:f>
        <x:v>0</x:v>
      </x:c>
      <x:c r="D1699" s="15" t="n">
        <x:f>C1699/SUM($C$5:$C$2477)</x:f>
        <x:v>0</x:v>
      </x:c>
      <x:c r="E1699" s="15" t="n">
        <x:f>SUM($D$5:D1699)</x:f>
        <x:v>1.0000000000000036</x:v>
      </x:c>
      <x:c r="F1699" s="1" t="str">
        <x:f>IF(C1699&lt;=0,"C",IF(E1699-D1699&lt;'Дашборд'!$C$49,"A",IF(E1699-D1699&lt;'Дашборд'!$C$50,"B","C")))</x:f>
        <x:v>C</x:v>
      </x:c>
      <x:c r="G1699" s="8" t="n">
        <x:f>'Данные'!F1699</x:f>
        <x:v>0</x:v>
      </x:c>
      <x:c r="H1699" s="8" t="n">
        <x:f>SUM('Данные'!H1699:I1699)</x:f>
        <x:v>0</x:v>
      </x:c>
      <x:c r="I1699" s="16" t="str">
        <x:f>IF(H1699&gt;0,G1699/H1699,"n.a.")</x:f>
        <x:v>n.a.</x:v>
      </x:c>
      <x:c r="J1699" s="10" t="n">
        <x:f>IF('Данные'!E1699&gt;0,G1699/'Данные'!E1699,"n.a.")</x:f>
        <x:v>0</x:v>
      </x:c>
      <x:c r="K1699" s="1" t="str">
        <x:f>IF(G1699&gt;='Дашборд'!$C$51,"X","Z")</x:f>
        <x:v>Z</x:v>
      </x:c>
      <x:c r="L1699" s="1" t="str">
        <x:f>IF(H1699=0,IF(G1699&gt;0,"Нет остатка","Нет спроса"),IF(I1699&gt;='Дашборд'!$C$52,"Быстрый","Медленный"))</x:f>
        <x:v>Нет спроса</x:v>
      </x:c>
      <x:c r="M1699" s="1" t="str">
        <x:f>IF('Данные'!E1699&lt;'Дашборд'!$C$53,"Мало трафика",IF(J1699&lt;'Дашборд'!$C$9*'Дашборд'!$C$54,"Да","Нет"))</x:f>
        <x:v>Мало трафика</x:v>
      </x:c>
      <x:c r="N1699" s="1" t="str">
        <x:f>IF(AND('Данные'!D1699&gt;='Дашборд'!$C$55,D1699&lt;'Дашборд'!$C$56,'Данные'!E1699&gt;='Дашборд'!$C$53,'Данные'!L1699&lt;&gt;"Да"),"Да","Нет")</x:f>
        <x:v>Нет</x:v>
      </x:c>
      <x:c r="O1699" s="1" t="str">
        <x:f>'Данные'!L1699</x:f>
        <x:v>Нет</x:v>
      </x:c>
    </x:row>
    <x:row r="1700">
      <x:c r="A1700" s="1" t="str">
        <x:f>'Данные'!A1700</x:f>
        <x:v>15748483</x:v>
      </x:c>
      <x:c r="B1700" s="1" t="str">
        <x:f>'Данные'!B1700</x:f>
        <x:v>bruki/голубойберилл</x:v>
      </x:c>
      <x:c r="C1700" s="8" t="n">
        <x:f>'Данные'!G1700</x:f>
        <x:v>0</x:v>
      </x:c>
      <x:c r="D1700" s="15" t="n">
        <x:f>C1700/SUM($C$5:$C$2477)</x:f>
        <x:v>0</x:v>
      </x:c>
      <x:c r="E1700" s="15" t="n">
        <x:f>SUM($D$5:D1700)</x:f>
        <x:v>1.0000000000000036</x:v>
      </x:c>
      <x:c r="F1700" s="1" t="str">
        <x:f>IF(C1700&lt;=0,"C",IF(E1700-D1700&lt;'Дашборд'!$C$49,"A",IF(E1700-D1700&lt;'Дашборд'!$C$50,"B","C")))</x:f>
        <x:v>C</x:v>
      </x:c>
      <x:c r="G1700" s="8" t="n">
        <x:f>'Данные'!F1700</x:f>
        <x:v>0</x:v>
      </x:c>
      <x:c r="H1700" s="8" t="n">
        <x:f>SUM('Данные'!H1700:I1700)</x:f>
        <x:v>0</x:v>
      </x:c>
      <x:c r="I1700" s="16" t="str">
        <x:f>IF(H1700&gt;0,G1700/H1700,"n.a.")</x:f>
        <x:v>n.a.</x:v>
      </x:c>
      <x:c r="J1700" s="10" t="n">
        <x:f>IF('Данные'!E1700&gt;0,G1700/'Данные'!E1700,"n.a.")</x:f>
        <x:v>0</x:v>
      </x:c>
      <x:c r="K1700" s="1" t="str">
        <x:f>IF(G1700&gt;='Дашборд'!$C$51,"X","Z")</x:f>
        <x:v>Z</x:v>
      </x:c>
      <x:c r="L1700" s="1" t="str">
        <x:f>IF(H1700=0,IF(G1700&gt;0,"Нет остатка","Нет спроса"),IF(I1700&gt;='Дашборд'!$C$52,"Быстрый","Медленный"))</x:f>
        <x:v>Нет спроса</x:v>
      </x:c>
      <x:c r="M1700" s="1" t="str">
        <x:f>IF('Данные'!E1700&lt;'Дашборд'!$C$53,"Мало трафика",IF(J1700&lt;'Дашборд'!$C$9*'Дашборд'!$C$54,"Да","Нет"))</x:f>
        <x:v>Мало трафика</x:v>
      </x:c>
      <x:c r="N1700" s="1" t="str">
        <x:f>IF(AND('Данные'!D1700&gt;='Дашборд'!$C$55,D1700&lt;'Дашборд'!$C$56,'Данные'!E1700&gt;='Дашборд'!$C$53,'Данные'!L1700&lt;&gt;"Да"),"Да","Нет")</x:f>
        <x:v>Нет</x:v>
      </x:c>
      <x:c r="O1700" s="1" t="str">
        <x:f>'Данные'!L1700</x:f>
        <x:v>Да</x:v>
      </x:c>
    </x:row>
    <x:row r="1701">
      <x:c r="A1701" s="1" t="str">
        <x:f>'Данные'!A1701</x:f>
        <x:v>158080269</x:v>
      </x:c>
      <x:c r="B1701" s="1" t="str">
        <x:f>'Данные'!B1701</x:f>
        <x:v>bruki/мандариновый</x:v>
      </x:c>
      <x:c r="C1701" s="8" t="n">
        <x:f>'Данные'!G1701</x:f>
        <x:v>0</x:v>
      </x:c>
      <x:c r="D1701" s="15" t="n">
        <x:f>C1701/SUM($C$5:$C$2477)</x:f>
        <x:v>0</x:v>
      </x:c>
      <x:c r="E1701" s="15" t="n">
        <x:f>SUM($D$5:D1701)</x:f>
        <x:v>1.0000000000000036</x:v>
      </x:c>
      <x:c r="F1701" s="1" t="str">
        <x:f>IF(C1701&lt;=0,"C",IF(E1701-D1701&lt;'Дашборд'!$C$49,"A",IF(E1701-D1701&lt;'Дашборд'!$C$50,"B","C")))</x:f>
        <x:v>C</x:v>
      </x:c>
      <x:c r="G1701" s="8" t="n">
        <x:f>'Данные'!F1701</x:f>
        <x:v>0</x:v>
      </x:c>
      <x:c r="H1701" s="8" t="n">
        <x:f>SUM('Данные'!H1701:I1701)</x:f>
        <x:v>0</x:v>
      </x:c>
      <x:c r="I1701" s="16" t="str">
        <x:f>IF(H1701&gt;0,G1701/H1701,"n.a.")</x:f>
        <x:v>n.a.</x:v>
      </x:c>
      <x:c r="J1701" s="10" t="n">
        <x:f>IF('Данные'!E1701&gt;0,G1701/'Данные'!E1701,"n.a.")</x:f>
        <x:v>0</x:v>
      </x:c>
      <x:c r="K1701" s="1" t="str">
        <x:f>IF(G1701&gt;='Дашборд'!$C$51,"X","Z")</x:f>
        <x:v>Z</x:v>
      </x:c>
      <x:c r="L1701" s="1" t="str">
        <x:f>IF(H1701=0,IF(G1701&gt;0,"Нет остатка","Нет спроса"),IF(I1701&gt;='Дашборд'!$C$52,"Быстрый","Медленный"))</x:f>
        <x:v>Нет спроса</x:v>
      </x:c>
      <x:c r="M1701" s="1" t="str">
        <x:f>IF('Данные'!E1701&lt;'Дашборд'!$C$53,"Мало трафика",IF(J1701&lt;'Дашборд'!$C$9*'Дашборд'!$C$54,"Да","Нет"))</x:f>
        <x:v>Мало трафика</x:v>
      </x:c>
      <x:c r="N1701" s="1" t="str">
        <x:f>IF(AND('Данные'!D1701&gt;='Дашборд'!$C$55,D1701&lt;'Дашборд'!$C$56,'Данные'!E1701&gt;='Дашборд'!$C$53,'Данные'!L1701&lt;&gt;"Да"),"Да","Нет")</x:f>
        <x:v>Нет</x:v>
      </x:c>
      <x:c r="O1701" s="1" t="str">
        <x:f>'Данные'!L1701</x:f>
        <x:v>Нет</x:v>
      </x:c>
    </x:row>
    <x:row r="1702">
      <x:c r="A1702" s="1" t="str">
        <x:f>'Данные'!A1702</x:f>
        <x:v>160478464</x:v>
      </x:c>
      <x:c r="B1702" s="1" t="str">
        <x:f>'Данные'!B1702</x:f>
        <x:v>shortyman/голубой</x:v>
      </x:c>
      <x:c r="C1702" s="8" t="n">
        <x:f>'Данные'!G1702</x:f>
        <x:v>0</x:v>
      </x:c>
      <x:c r="D1702" s="15" t="n">
        <x:f>C1702/SUM($C$5:$C$2477)</x:f>
        <x:v>0</x:v>
      </x:c>
      <x:c r="E1702" s="15" t="n">
        <x:f>SUM($D$5:D1702)</x:f>
        <x:v>1.0000000000000036</x:v>
      </x:c>
      <x:c r="F1702" s="1" t="str">
        <x:f>IF(C1702&lt;=0,"C",IF(E1702-D1702&lt;'Дашборд'!$C$49,"A",IF(E1702-D1702&lt;'Дашборд'!$C$50,"B","C")))</x:f>
        <x:v>C</x:v>
      </x:c>
      <x:c r="G1702" s="8" t="n">
        <x:f>'Данные'!F1702</x:f>
        <x:v>0</x:v>
      </x:c>
      <x:c r="H1702" s="8" t="n">
        <x:f>SUM('Данные'!H1702:I1702)</x:f>
        <x:v>0</x:v>
      </x:c>
      <x:c r="I1702" s="16" t="str">
        <x:f>IF(H1702&gt;0,G1702/H1702,"n.a.")</x:f>
        <x:v>n.a.</x:v>
      </x:c>
      <x:c r="J1702" s="10" t="n">
        <x:f>IF('Данные'!E1702&gt;0,G1702/'Данные'!E1702,"n.a.")</x:f>
        <x:v>0</x:v>
      </x:c>
      <x:c r="K1702" s="1" t="str">
        <x:f>IF(G1702&gt;='Дашборд'!$C$51,"X","Z")</x:f>
        <x:v>Z</x:v>
      </x:c>
      <x:c r="L1702" s="1" t="str">
        <x:f>IF(H1702=0,IF(G1702&gt;0,"Нет остатка","Нет спроса"),IF(I1702&gt;='Дашборд'!$C$52,"Быстрый","Медленный"))</x:f>
        <x:v>Нет спроса</x:v>
      </x:c>
      <x:c r="M1702" s="1" t="str">
        <x:f>IF('Данные'!E1702&lt;'Дашборд'!$C$53,"Мало трафика",IF(J1702&lt;'Дашборд'!$C$9*'Дашборд'!$C$54,"Да","Нет"))</x:f>
        <x:v>Мало трафика</x:v>
      </x:c>
      <x:c r="N1702" s="1" t="str">
        <x:f>IF(AND('Данные'!D1702&gt;='Дашборд'!$C$55,D1702&lt;'Дашборд'!$C$56,'Данные'!E1702&gt;='Дашборд'!$C$53,'Данные'!L1702&lt;&gt;"Да"),"Да","Нет")</x:f>
        <x:v>Нет</x:v>
      </x:c>
      <x:c r="O1702" s="1" t="str">
        <x:f>'Данные'!L1702</x:f>
        <x:v>Нет</x:v>
      </x:c>
    </x:row>
    <x:row r="1703">
      <x:c r="A1703" s="1" t="str">
        <x:f>'Данные'!A1703</x:f>
        <x:v>160478476</x:v>
      </x:c>
      <x:c r="B1703" s="1" t="str">
        <x:f>'Данные'!B1703</x:f>
        <x:v>shortyman/деним</x:v>
      </x:c>
      <x:c r="C1703" s="8" t="n">
        <x:f>'Данные'!G1703</x:f>
        <x:v>0</x:v>
      </x:c>
      <x:c r="D1703" s="15" t="n">
        <x:f>C1703/SUM($C$5:$C$2477)</x:f>
        <x:v>0</x:v>
      </x:c>
      <x:c r="E1703" s="15" t="n">
        <x:f>SUM($D$5:D1703)</x:f>
        <x:v>1.0000000000000036</x:v>
      </x:c>
      <x:c r="F1703" s="1" t="str">
        <x:f>IF(C1703&lt;=0,"C",IF(E1703-D1703&lt;'Дашборд'!$C$49,"A",IF(E1703-D1703&lt;'Дашборд'!$C$50,"B","C")))</x:f>
        <x:v>C</x:v>
      </x:c>
      <x:c r="G1703" s="8" t="n">
        <x:f>'Данные'!F1703</x:f>
        <x:v>0</x:v>
      </x:c>
      <x:c r="H1703" s="8" t="n">
        <x:f>SUM('Данные'!H1703:I1703)</x:f>
        <x:v>0</x:v>
      </x:c>
      <x:c r="I1703" s="16" t="str">
        <x:f>IF(H1703&gt;0,G1703/H1703,"n.a.")</x:f>
        <x:v>n.a.</x:v>
      </x:c>
      <x:c r="J1703" s="10" t="n">
        <x:f>IF('Данные'!E1703&gt;0,G1703/'Данные'!E1703,"n.a.")</x:f>
        <x:v>0</x:v>
      </x:c>
      <x:c r="K1703" s="1" t="str">
        <x:f>IF(G1703&gt;='Дашборд'!$C$51,"X","Z")</x:f>
        <x:v>Z</x:v>
      </x:c>
      <x:c r="L1703" s="1" t="str">
        <x:f>IF(H1703=0,IF(G1703&gt;0,"Нет остатка","Нет спроса"),IF(I1703&gt;='Дашборд'!$C$52,"Быстрый","Медленный"))</x:f>
        <x:v>Нет спроса</x:v>
      </x:c>
      <x:c r="M1703" s="1" t="str">
        <x:f>IF('Данные'!E1703&lt;'Дашборд'!$C$53,"Мало трафика",IF(J1703&lt;'Дашборд'!$C$9*'Дашборд'!$C$54,"Да","Нет"))</x:f>
        <x:v>Мало трафика</x:v>
      </x:c>
      <x:c r="N1703" s="1" t="str">
        <x:f>IF(AND('Данные'!D1703&gt;='Дашборд'!$C$55,D1703&lt;'Дашборд'!$C$56,'Данные'!E1703&gt;='Дашборд'!$C$53,'Данные'!L1703&lt;&gt;"Да"),"Да","Нет")</x:f>
        <x:v>Нет</x:v>
      </x:c>
      <x:c r="O1703" s="1" t="str">
        <x:f>'Данные'!L1703</x:f>
        <x:v>Нет</x:v>
      </x:c>
    </x:row>
    <x:row r="1704">
      <x:c r="A1704" s="1" t="str">
        <x:f>'Данные'!A1704</x:f>
        <x:v>160478477</x:v>
      </x:c>
      <x:c r="B1704" s="1" t="str">
        <x:f>'Данные'!B1704</x:f>
        <x:v>shortyman/кофейный</x:v>
      </x:c>
      <x:c r="C1704" s="8" t="n">
        <x:f>'Данные'!G1704</x:f>
        <x:v>0</x:v>
      </x:c>
      <x:c r="D1704" s="15" t="n">
        <x:f>C1704/SUM($C$5:$C$2477)</x:f>
        <x:v>0</x:v>
      </x:c>
      <x:c r="E1704" s="15" t="n">
        <x:f>SUM($D$5:D1704)</x:f>
        <x:v>1.0000000000000036</x:v>
      </x:c>
      <x:c r="F1704" s="1" t="str">
        <x:f>IF(C1704&lt;=0,"C",IF(E1704-D1704&lt;'Дашборд'!$C$49,"A",IF(E1704-D1704&lt;'Дашборд'!$C$50,"B","C")))</x:f>
        <x:v>C</x:v>
      </x:c>
      <x:c r="G1704" s="8" t="n">
        <x:f>'Данные'!F1704</x:f>
        <x:v>0</x:v>
      </x:c>
      <x:c r="H1704" s="8" t="n">
        <x:f>SUM('Данные'!H1704:I1704)</x:f>
        <x:v>0</x:v>
      </x:c>
      <x:c r="I1704" s="16" t="str">
        <x:f>IF(H1704&gt;0,G1704/H1704,"n.a.")</x:f>
        <x:v>n.a.</x:v>
      </x:c>
      <x:c r="J1704" s="10" t="n">
        <x:f>IF('Данные'!E1704&gt;0,G1704/'Данные'!E1704,"n.a.")</x:f>
        <x:v>0</x:v>
      </x:c>
      <x:c r="K1704" s="1" t="str">
        <x:f>IF(G1704&gt;='Дашборд'!$C$51,"X","Z")</x:f>
        <x:v>Z</x:v>
      </x:c>
      <x:c r="L1704" s="1" t="str">
        <x:f>IF(H1704=0,IF(G1704&gt;0,"Нет остатка","Нет спроса"),IF(I1704&gt;='Дашборд'!$C$52,"Быстрый","Медленный"))</x:f>
        <x:v>Нет спроса</x:v>
      </x:c>
      <x:c r="M1704" s="1" t="str">
        <x:f>IF('Данные'!E1704&lt;'Дашборд'!$C$53,"Мало трафика",IF(J1704&lt;'Дашборд'!$C$9*'Дашборд'!$C$54,"Да","Нет"))</x:f>
        <x:v>Мало трафика</x:v>
      </x:c>
      <x:c r="N1704" s="1" t="str">
        <x:f>IF(AND('Данные'!D1704&gt;='Дашборд'!$C$55,D1704&lt;'Дашборд'!$C$56,'Данные'!E1704&gt;='Дашборд'!$C$53,'Данные'!L1704&lt;&gt;"Да"),"Да","Нет")</x:f>
        <x:v>Нет</x:v>
      </x:c>
      <x:c r="O1704" s="1" t="str">
        <x:f>'Данные'!L1704</x:f>
        <x:v>Нет</x:v>
      </x:c>
    </x:row>
    <x:row r="1705">
      <x:c r="A1705" s="1" t="str">
        <x:f>'Данные'!A1705</x:f>
        <x:v>160478479</x:v>
      </x:c>
      <x:c r="B1705" s="1" t="str">
        <x:f>'Данные'!B1705</x:f>
        <x:v>shortyman/светло-зеленый</x:v>
      </x:c>
      <x:c r="C1705" s="8" t="n">
        <x:f>'Данные'!G1705</x:f>
        <x:v>0</x:v>
      </x:c>
      <x:c r="D1705" s="15" t="n">
        <x:f>C1705/SUM($C$5:$C$2477)</x:f>
        <x:v>0</x:v>
      </x:c>
      <x:c r="E1705" s="15" t="n">
        <x:f>SUM($D$5:D1705)</x:f>
        <x:v>1.0000000000000036</x:v>
      </x:c>
      <x:c r="F1705" s="1" t="str">
        <x:f>IF(C1705&lt;=0,"C",IF(E1705-D1705&lt;'Дашборд'!$C$49,"A",IF(E1705-D1705&lt;'Дашборд'!$C$50,"B","C")))</x:f>
        <x:v>C</x:v>
      </x:c>
      <x:c r="G1705" s="8" t="n">
        <x:f>'Данные'!F1705</x:f>
        <x:v>0</x:v>
      </x:c>
      <x:c r="H1705" s="8" t="n">
        <x:f>SUM('Данные'!H1705:I1705)</x:f>
        <x:v>0</x:v>
      </x:c>
      <x:c r="I1705" s="16" t="str">
        <x:f>IF(H1705&gt;0,G1705/H1705,"n.a.")</x:f>
        <x:v>n.a.</x:v>
      </x:c>
      <x:c r="J1705" s="10" t="n">
        <x:f>IF('Данные'!E1705&gt;0,G1705/'Данные'!E1705,"n.a.")</x:f>
        <x:v>0</x:v>
      </x:c>
      <x:c r="K1705" s="1" t="str">
        <x:f>IF(G1705&gt;='Дашборд'!$C$51,"X","Z")</x:f>
        <x:v>Z</x:v>
      </x:c>
      <x:c r="L1705" s="1" t="str">
        <x:f>IF(H1705=0,IF(G1705&gt;0,"Нет остатка","Нет спроса"),IF(I1705&gt;='Дашборд'!$C$52,"Быстрый","Медленный"))</x:f>
        <x:v>Нет спроса</x:v>
      </x:c>
      <x:c r="M1705" s="1" t="str">
        <x:f>IF('Данные'!E1705&lt;'Дашборд'!$C$53,"Мало трафика",IF(J1705&lt;'Дашборд'!$C$9*'Дашборд'!$C$54,"Да","Нет"))</x:f>
        <x:v>Мало трафика</x:v>
      </x:c>
      <x:c r="N1705" s="1" t="str">
        <x:f>IF(AND('Данные'!D1705&gt;='Дашборд'!$C$55,D1705&lt;'Дашборд'!$C$56,'Данные'!E1705&gt;='Дашборд'!$C$53,'Данные'!L1705&lt;&gt;"Да"),"Да","Нет")</x:f>
        <x:v>Нет</x:v>
      </x:c>
      <x:c r="O1705" s="1" t="str">
        <x:f>'Данные'!L1705</x:f>
        <x:v>Нет</x:v>
      </x:c>
    </x:row>
    <x:row r="1706">
      <x:c r="A1706" s="1" t="str">
        <x:f>'Данные'!A1706</x:f>
        <x:v>160478488</x:v>
      </x:c>
      <x:c r="B1706" s="1" t="str">
        <x:f>'Данные'!B1706</x:f>
        <x:v>shortyman/розовый</x:v>
      </x:c>
      <x:c r="C1706" s="8" t="n">
        <x:f>'Данные'!G1706</x:f>
        <x:v>0</x:v>
      </x:c>
      <x:c r="D1706" s="15" t="n">
        <x:f>C1706/SUM($C$5:$C$2477)</x:f>
        <x:v>0</x:v>
      </x:c>
      <x:c r="E1706" s="15" t="n">
        <x:f>SUM($D$5:D1706)</x:f>
        <x:v>1.0000000000000036</x:v>
      </x:c>
      <x:c r="F1706" s="1" t="str">
        <x:f>IF(C1706&lt;=0,"C",IF(E1706-D1706&lt;'Дашборд'!$C$49,"A",IF(E1706-D1706&lt;'Дашборд'!$C$50,"B","C")))</x:f>
        <x:v>C</x:v>
      </x:c>
      <x:c r="G1706" s="8" t="n">
        <x:f>'Данные'!F1706</x:f>
        <x:v>0</x:v>
      </x:c>
      <x:c r="H1706" s="8" t="n">
        <x:f>SUM('Данные'!H1706:I1706)</x:f>
        <x:v>0</x:v>
      </x:c>
      <x:c r="I1706" s="16" t="str">
        <x:f>IF(H1706&gt;0,G1706/H1706,"n.a.")</x:f>
        <x:v>n.a.</x:v>
      </x:c>
      <x:c r="J1706" s="10" t="n">
        <x:f>IF('Данные'!E1706&gt;0,G1706/'Данные'!E1706,"n.a.")</x:f>
        <x:v>0</x:v>
      </x:c>
      <x:c r="K1706" s="1" t="str">
        <x:f>IF(G1706&gt;='Дашборд'!$C$51,"X","Z")</x:f>
        <x:v>Z</x:v>
      </x:c>
      <x:c r="L1706" s="1" t="str">
        <x:f>IF(H1706=0,IF(G1706&gt;0,"Нет остатка","Нет спроса"),IF(I1706&gt;='Дашборд'!$C$52,"Быстрый","Медленный"))</x:f>
        <x:v>Нет спроса</x:v>
      </x:c>
      <x:c r="M1706" s="1" t="str">
        <x:f>IF('Данные'!E1706&lt;'Дашборд'!$C$53,"Мало трафика",IF(J1706&lt;'Дашборд'!$C$9*'Дашборд'!$C$54,"Да","Нет"))</x:f>
        <x:v>Мало трафика</x:v>
      </x:c>
      <x:c r="N1706" s="1" t="str">
        <x:f>IF(AND('Данные'!D1706&gt;='Дашборд'!$C$55,D1706&lt;'Дашборд'!$C$56,'Данные'!E1706&gt;='Дашборд'!$C$53,'Данные'!L1706&lt;&gt;"Да"),"Да","Нет")</x:f>
        <x:v>Нет</x:v>
      </x:c>
      <x:c r="O1706" s="1" t="str">
        <x:f>'Данные'!L1706</x:f>
        <x:v>Нет</x:v>
      </x:c>
    </x:row>
    <x:row r="1707">
      <x:c r="A1707" s="1" t="str">
        <x:f>'Данные'!A1707</x:f>
        <x:v>160478489</x:v>
      </x:c>
      <x:c r="B1707" s="1" t="str">
        <x:f>'Данные'!B1707</x:f>
        <x:v>shortyman/светло-фиолетовый</x:v>
      </x:c>
      <x:c r="C1707" s="8" t="n">
        <x:f>'Данные'!G1707</x:f>
        <x:v>0</x:v>
      </x:c>
      <x:c r="D1707" s="15" t="n">
        <x:f>C1707/SUM($C$5:$C$2477)</x:f>
        <x:v>0</x:v>
      </x:c>
      <x:c r="E1707" s="15" t="n">
        <x:f>SUM($D$5:D1707)</x:f>
        <x:v>1.0000000000000036</x:v>
      </x:c>
      <x:c r="F1707" s="1" t="str">
        <x:f>IF(C1707&lt;=0,"C",IF(E1707-D1707&lt;'Дашборд'!$C$49,"A",IF(E1707-D1707&lt;'Дашборд'!$C$50,"B","C")))</x:f>
        <x:v>C</x:v>
      </x:c>
      <x:c r="G1707" s="8" t="n">
        <x:f>'Данные'!F1707</x:f>
        <x:v>0</x:v>
      </x:c>
      <x:c r="H1707" s="8" t="n">
        <x:f>SUM('Данные'!H1707:I1707)</x:f>
        <x:v>0</x:v>
      </x:c>
      <x:c r="I1707" s="16" t="str">
        <x:f>IF(H1707&gt;0,G1707/H1707,"n.a.")</x:f>
        <x:v>n.a.</x:v>
      </x:c>
      <x:c r="J1707" s="10" t="n">
        <x:f>IF('Данные'!E1707&gt;0,G1707/'Данные'!E1707,"n.a.")</x:f>
        <x:v>0</x:v>
      </x:c>
      <x:c r="K1707" s="1" t="str">
        <x:f>IF(G1707&gt;='Дашборд'!$C$51,"X","Z")</x:f>
        <x:v>Z</x:v>
      </x:c>
      <x:c r="L1707" s="1" t="str">
        <x:f>IF(H1707=0,IF(G1707&gt;0,"Нет остатка","Нет спроса"),IF(I1707&gt;='Дашборд'!$C$52,"Быстрый","Медленный"))</x:f>
        <x:v>Нет спроса</x:v>
      </x:c>
      <x:c r="M1707" s="1" t="str">
        <x:f>IF('Данные'!E1707&lt;'Дашборд'!$C$53,"Мало трафика",IF(J1707&lt;'Дашборд'!$C$9*'Дашборд'!$C$54,"Да","Нет"))</x:f>
        <x:v>Мало трафика</x:v>
      </x:c>
      <x:c r="N1707" s="1" t="str">
        <x:f>IF(AND('Данные'!D1707&gt;='Дашборд'!$C$55,D1707&lt;'Дашборд'!$C$56,'Данные'!E1707&gt;='Дашборд'!$C$53,'Данные'!L1707&lt;&gt;"Да"),"Да","Нет")</x:f>
        <x:v>Нет</x:v>
      </x:c>
      <x:c r="O1707" s="1" t="str">
        <x:f>'Данные'!L1707</x:f>
        <x:v>Нет</x:v>
      </x:c>
    </x:row>
    <x:row r="1708">
      <x:c r="A1708" s="1" t="str">
        <x:f>'Данные'!A1708</x:f>
        <x:v>160478490</x:v>
      </x:c>
      <x:c r="B1708" s="1" t="str">
        <x:f>'Данные'!B1708</x:f>
        <x:v>shortyman/мандариновый</x:v>
      </x:c>
      <x:c r="C1708" s="8" t="n">
        <x:f>'Данные'!G1708</x:f>
        <x:v>0</x:v>
      </x:c>
      <x:c r="D1708" s="15" t="n">
        <x:f>C1708/SUM($C$5:$C$2477)</x:f>
        <x:v>0</x:v>
      </x:c>
      <x:c r="E1708" s="15" t="n">
        <x:f>SUM($D$5:D1708)</x:f>
        <x:v>1.0000000000000036</x:v>
      </x:c>
      <x:c r="F1708" s="1" t="str">
        <x:f>IF(C1708&lt;=0,"C",IF(E1708-D1708&lt;'Дашборд'!$C$49,"A",IF(E1708-D1708&lt;'Дашборд'!$C$50,"B","C")))</x:f>
        <x:v>C</x:v>
      </x:c>
      <x:c r="G1708" s="8" t="n">
        <x:f>'Данные'!F1708</x:f>
        <x:v>0</x:v>
      </x:c>
      <x:c r="H1708" s="8" t="n">
        <x:f>SUM('Данные'!H1708:I1708)</x:f>
        <x:v>0</x:v>
      </x:c>
      <x:c r="I1708" s="16" t="str">
        <x:f>IF(H1708&gt;0,G1708/H1708,"n.a.")</x:f>
        <x:v>n.a.</x:v>
      </x:c>
      <x:c r="J1708" s="10" t="n">
        <x:f>IF('Данные'!E1708&gt;0,G1708/'Данные'!E1708,"n.a.")</x:f>
        <x:v>0</x:v>
      </x:c>
      <x:c r="K1708" s="1" t="str">
        <x:f>IF(G1708&gt;='Дашборд'!$C$51,"X","Z")</x:f>
        <x:v>Z</x:v>
      </x:c>
      <x:c r="L1708" s="1" t="str">
        <x:f>IF(H1708=0,IF(G1708&gt;0,"Нет остатка","Нет спроса"),IF(I1708&gt;='Дашборд'!$C$52,"Быстрый","Медленный"))</x:f>
        <x:v>Нет спроса</x:v>
      </x:c>
      <x:c r="M1708" s="1" t="str">
        <x:f>IF('Данные'!E1708&lt;'Дашборд'!$C$53,"Мало трафика",IF(J1708&lt;'Дашборд'!$C$9*'Дашборд'!$C$54,"Да","Нет"))</x:f>
        <x:v>Мало трафика</x:v>
      </x:c>
      <x:c r="N1708" s="1" t="str">
        <x:f>IF(AND('Данные'!D1708&gt;='Дашборд'!$C$55,D1708&lt;'Дашборд'!$C$56,'Данные'!E1708&gt;='Дашборд'!$C$53,'Данные'!L1708&lt;&gt;"Да"),"Да","Нет")</x:f>
        <x:v>Нет</x:v>
      </x:c>
      <x:c r="O1708" s="1" t="str">
        <x:f>'Данные'!L1708</x:f>
        <x:v>Нет</x:v>
      </x:c>
    </x:row>
    <x:row r="1709">
      <x:c r="A1709" s="1" t="str">
        <x:f>'Данные'!A1709</x:f>
        <x:v>160478493</x:v>
      </x:c>
      <x:c r="B1709" s="1" t="str">
        <x:f>'Данные'!B1709</x:f>
        <x:v>shortyman/фуксия</x:v>
      </x:c>
      <x:c r="C1709" s="8" t="n">
        <x:f>'Данные'!G1709</x:f>
        <x:v>0</x:v>
      </x:c>
      <x:c r="D1709" s="15" t="n">
        <x:f>C1709/SUM($C$5:$C$2477)</x:f>
        <x:v>0</x:v>
      </x:c>
      <x:c r="E1709" s="15" t="n">
        <x:f>SUM($D$5:D1709)</x:f>
        <x:v>1.0000000000000036</x:v>
      </x:c>
      <x:c r="F1709" s="1" t="str">
        <x:f>IF(C1709&lt;=0,"C",IF(E1709-D1709&lt;'Дашборд'!$C$49,"A",IF(E1709-D1709&lt;'Дашборд'!$C$50,"B","C")))</x:f>
        <x:v>C</x:v>
      </x:c>
      <x:c r="G1709" s="8" t="n">
        <x:f>'Данные'!F1709</x:f>
        <x:v>0</x:v>
      </x:c>
      <x:c r="H1709" s="8" t="n">
        <x:f>SUM('Данные'!H1709:I1709)</x:f>
        <x:v>0</x:v>
      </x:c>
      <x:c r="I1709" s="16" t="str">
        <x:f>IF(H1709&gt;0,G1709/H1709,"n.a.")</x:f>
        <x:v>n.a.</x:v>
      </x:c>
      <x:c r="J1709" s="10" t="n">
        <x:f>IF('Данные'!E1709&gt;0,G1709/'Данные'!E1709,"n.a.")</x:f>
        <x:v>0</x:v>
      </x:c>
      <x:c r="K1709" s="1" t="str">
        <x:f>IF(G1709&gt;='Дашборд'!$C$51,"X","Z")</x:f>
        <x:v>Z</x:v>
      </x:c>
      <x:c r="L1709" s="1" t="str">
        <x:f>IF(H1709=0,IF(G1709&gt;0,"Нет остатка","Нет спроса"),IF(I1709&gt;='Дашборд'!$C$52,"Быстрый","Медленный"))</x:f>
        <x:v>Нет спроса</x:v>
      </x:c>
      <x:c r="M1709" s="1" t="str">
        <x:f>IF('Данные'!E1709&lt;'Дашборд'!$C$53,"Мало трафика",IF(J1709&lt;'Дашборд'!$C$9*'Дашборд'!$C$54,"Да","Нет"))</x:f>
        <x:v>Мало трафика</x:v>
      </x:c>
      <x:c r="N1709" s="1" t="str">
        <x:f>IF(AND('Данные'!D1709&gt;='Дашборд'!$C$55,D1709&lt;'Дашборд'!$C$56,'Данные'!E1709&gt;='Дашборд'!$C$53,'Данные'!L1709&lt;&gt;"Да"),"Да","Нет")</x:f>
        <x:v>Нет</x:v>
      </x:c>
      <x:c r="O1709" s="1" t="str">
        <x:f>'Данные'!L1709</x:f>
        <x:v>Нет</x:v>
      </x:c>
    </x:row>
    <x:row r="1710">
      <x:c r="A1710" s="1" t="str">
        <x:f>'Данные'!A1710</x:f>
        <x:v>165911088</x:v>
      </x:c>
      <x:c r="B1710" s="1" t="str">
        <x:f>'Данные'!B1710</x:f>
        <x:v>longman/сине-морской</x:v>
      </x:c>
      <x:c r="C1710" s="8" t="n">
        <x:f>'Данные'!G1710</x:f>
        <x:v>0</x:v>
      </x:c>
      <x:c r="D1710" s="15" t="n">
        <x:f>C1710/SUM($C$5:$C$2477)</x:f>
        <x:v>0</x:v>
      </x:c>
      <x:c r="E1710" s="15" t="n">
        <x:f>SUM($D$5:D1710)</x:f>
        <x:v>1.0000000000000036</x:v>
      </x:c>
      <x:c r="F1710" s="1" t="str">
        <x:f>IF(C1710&lt;=0,"C",IF(E1710-D1710&lt;'Дашборд'!$C$49,"A",IF(E1710-D1710&lt;'Дашборд'!$C$50,"B","C")))</x:f>
        <x:v>C</x:v>
      </x:c>
      <x:c r="G1710" s="8" t="n">
        <x:f>'Данные'!F1710</x:f>
        <x:v>1</x:v>
      </x:c>
      <x:c r="H1710" s="8" t="n">
        <x:f>SUM('Данные'!H1710:I1710)</x:f>
        <x:v>1</x:v>
      </x:c>
      <x:c r="I1710" s="16" t="n">
        <x:f>IF(H1710&gt;0,G1710/H1710,"n.a.")</x:f>
        <x:v>1</x:v>
      </x:c>
      <x:c r="J1710" s="10" t="n">
        <x:f>IF('Данные'!E1710&gt;0,G1710/'Данные'!E1710,"n.a.")</x:f>
        <x:v>0.0011614401858304297</x:v>
      </x:c>
      <x:c r="K1710" s="1" t="str">
        <x:f>IF(G1710&gt;='Дашборд'!$C$51,"X","Z")</x:f>
        <x:v>Z</x:v>
      </x:c>
      <x:c r="L1710" s="1" t="str">
        <x:f>IF(H1710=0,IF(G1710&gt;0,"Нет остатка","Нет спроса"),IF(I1710&gt;='Дашборд'!$C$52,"Быстрый","Медленный"))</x:f>
        <x:v>Быстрый</x:v>
      </x:c>
      <x:c r="M1710" s="1" t="str">
        <x:f>IF('Данные'!E1710&lt;'Дашборд'!$C$53,"Мало трафика",IF(J1710&lt;'Дашборд'!$C$9*'Дашборд'!$C$54,"Да","Нет"))</x:f>
        <x:v>Мало трафика</x:v>
      </x:c>
      <x:c r="N1710" s="1" t="str">
        <x:f>IF(AND('Данные'!D1710&gt;='Дашборд'!$C$55,D1710&lt;'Дашборд'!$C$56,'Данные'!E1710&gt;='Дашборд'!$C$53,'Данные'!L1710&lt;&gt;"Да"),"Да","Нет")</x:f>
        <x:v>Нет</x:v>
      </x:c>
      <x:c r="O1710" s="1" t="str">
        <x:f>'Данные'!L1710</x:f>
        <x:v>Нет</x:v>
      </x:c>
    </x:row>
    <x:row r="1711">
      <x:c r="A1711" s="1" t="str">
        <x:f>'Данные'!A1711</x:f>
        <x:v>165911122</x:v>
      </x:c>
      <x:c r="B1711" s="1" t="str">
        <x:f>'Данные'!B1711</x:f>
        <x:v>longman/шалфей</x:v>
      </x:c>
      <x:c r="C1711" s="8" t="n">
        <x:f>'Данные'!G1711</x:f>
        <x:v>0</x:v>
      </x:c>
      <x:c r="D1711" s="15" t="n">
        <x:f>C1711/SUM($C$5:$C$2477)</x:f>
        <x:v>0</x:v>
      </x:c>
      <x:c r="E1711" s="15" t="n">
        <x:f>SUM($D$5:D1711)</x:f>
        <x:v>1.0000000000000036</x:v>
      </x:c>
      <x:c r="F1711" s="1" t="str">
        <x:f>IF(C1711&lt;=0,"C",IF(E1711-D1711&lt;'Дашборд'!$C$49,"A",IF(E1711-D1711&lt;'Дашборд'!$C$50,"B","C")))</x:f>
        <x:v>C</x:v>
      </x:c>
      <x:c r="G1711" s="8" t="n">
        <x:f>'Данные'!F1711</x:f>
        <x:v>0</x:v>
      </x:c>
      <x:c r="H1711" s="8" t="n">
        <x:f>SUM('Данные'!H1711:I1711)</x:f>
        <x:v>0</x:v>
      </x:c>
      <x:c r="I1711" s="16" t="str">
        <x:f>IF(H1711&gt;0,G1711/H1711,"n.a.")</x:f>
        <x:v>n.a.</x:v>
      </x:c>
      <x:c r="J1711" s="10" t="n">
        <x:f>IF('Данные'!E1711&gt;0,G1711/'Данные'!E1711,"n.a.")</x:f>
        <x:v>0</x:v>
      </x:c>
      <x:c r="K1711" s="1" t="str">
        <x:f>IF(G1711&gt;='Дашборд'!$C$51,"X","Z")</x:f>
        <x:v>Z</x:v>
      </x:c>
      <x:c r="L1711" s="1" t="str">
        <x:f>IF(H1711=0,IF(G1711&gt;0,"Нет остатка","Нет спроса"),IF(I1711&gt;='Дашборд'!$C$52,"Быстрый","Медленный"))</x:f>
        <x:v>Нет спроса</x:v>
      </x:c>
      <x:c r="M1711" s="1" t="str">
        <x:f>IF('Данные'!E1711&lt;'Дашборд'!$C$53,"Мало трафика",IF(J1711&lt;'Дашборд'!$C$9*'Дашборд'!$C$54,"Да","Нет"))</x:f>
        <x:v>Мало трафика</x:v>
      </x:c>
      <x:c r="N1711" s="1" t="str">
        <x:f>IF(AND('Данные'!D1711&gt;='Дашборд'!$C$55,D1711&lt;'Дашборд'!$C$56,'Данные'!E1711&gt;='Дашборд'!$C$53,'Данные'!L1711&lt;&gt;"Да"),"Да","Нет")</x:f>
        <x:v>Нет</x:v>
      </x:c>
      <x:c r="O1711" s="1" t="str">
        <x:f>'Данные'!L1711</x:f>
        <x:v>Нет</x:v>
      </x:c>
    </x:row>
    <x:row r="1712">
      <x:c r="A1712" s="1" t="str">
        <x:f>'Данные'!A1712</x:f>
        <x:v>165911146</x:v>
      </x:c>
      <x:c r="B1712" s="1" t="str">
        <x:f>'Данные'!B1712</x:f>
        <x:v>longman/хаки</x:v>
      </x:c>
      <x:c r="C1712" s="8" t="n">
        <x:f>'Данные'!G1712</x:f>
        <x:v>0</x:v>
      </x:c>
      <x:c r="D1712" s="15" t="n">
        <x:f>C1712/SUM($C$5:$C$2477)</x:f>
        <x:v>0</x:v>
      </x:c>
      <x:c r="E1712" s="15" t="n">
        <x:f>SUM($D$5:D1712)</x:f>
        <x:v>1.0000000000000036</x:v>
      </x:c>
      <x:c r="F1712" s="1" t="str">
        <x:f>IF(C1712&lt;=0,"C",IF(E1712-D1712&lt;'Дашборд'!$C$49,"A",IF(E1712-D1712&lt;'Дашборд'!$C$50,"B","C")))</x:f>
        <x:v>C</x:v>
      </x:c>
      <x:c r="G1712" s="8" t="n">
        <x:f>'Данные'!F1712</x:f>
        <x:v>0</x:v>
      </x:c>
      <x:c r="H1712" s="8" t="n">
        <x:f>SUM('Данные'!H1712:I1712)</x:f>
        <x:v>0</x:v>
      </x:c>
      <x:c r="I1712" s="16" t="str">
        <x:f>IF(H1712&gt;0,G1712/H1712,"n.a.")</x:f>
        <x:v>n.a.</x:v>
      </x:c>
      <x:c r="J1712" s="10" t="n">
        <x:f>IF('Данные'!E1712&gt;0,G1712/'Данные'!E1712,"n.a.")</x:f>
        <x:v>0</x:v>
      </x:c>
      <x:c r="K1712" s="1" t="str">
        <x:f>IF(G1712&gt;='Дашборд'!$C$51,"X","Z")</x:f>
        <x:v>Z</x:v>
      </x:c>
      <x:c r="L1712" s="1" t="str">
        <x:f>IF(H1712=0,IF(G1712&gt;0,"Нет остатка","Нет спроса"),IF(I1712&gt;='Дашборд'!$C$52,"Быстрый","Медленный"))</x:f>
        <x:v>Нет спроса</x:v>
      </x:c>
      <x:c r="M1712" s="1" t="str">
        <x:f>IF('Данные'!E1712&lt;'Дашборд'!$C$53,"Мало трафика",IF(J1712&lt;'Дашборд'!$C$9*'Дашборд'!$C$54,"Да","Нет"))</x:f>
        <x:v>Мало трафика</x:v>
      </x:c>
      <x:c r="N1712" s="1" t="str">
        <x:f>IF(AND('Данные'!D1712&gt;='Дашборд'!$C$55,D1712&lt;'Дашборд'!$C$56,'Данные'!E1712&gt;='Дашборд'!$C$53,'Данные'!L1712&lt;&gt;"Да"),"Да","Нет")</x:f>
        <x:v>Нет</x:v>
      </x:c>
      <x:c r="O1712" s="1" t="str">
        <x:f>'Данные'!L1712</x:f>
        <x:v>Нет</x:v>
      </x:c>
    </x:row>
    <x:row r="1713">
      <x:c r="A1713" s="1" t="str">
        <x:f>'Данные'!A1713</x:f>
        <x:v>165911161</x:v>
      </x:c>
      <x:c r="B1713" s="1" t="str">
        <x:f>'Данные'!B1713</x:f>
        <x:v>longman/деним</x:v>
      </x:c>
      <x:c r="C1713" s="8" t="n">
        <x:f>'Данные'!G1713</x:f>
        <x:v>0</x:v>
      </x:c>
      <x:c r="D1713" s="15" t="n">
        <x:f>C1713/SUM($C$5:$C$2477)</x:f>
        <x:v>0</x:v>
      </x:c>
      <x:c r="E1713" s="15" t="n">
        <x:f>SUM($D$5:D1713)</x:f>
        <x:v>1.0000000000000036</x:v>
      </x:c>
      <x:c r="F1713" s="1" t="str">
        <x:f>IF(C1713&lt;=0,"C",IF(E1713-D1713&lt;'Дашборд'!$C$49,"A",IF(E1713-D1713&lt;'Дашборд'!$C$50,"B","C")))</x:f>
        <x:v>C</x:v>
      </x:c>
      <x:c r="G1713" s="8" t="n">
        <x:f>'Данные'!F1713</x:f>
        <x:v>0</x:v>
      </x:c>
      <x:c r="H1713" s="8" t="n">
        <x:f>SUM('Данные'!H1713:I1713)</x:f>
        <x:v>0</x:v>
      </x:c>
      <x:c r="I1713" s="16" t="str">
        <x:f>IF(H1713&gt;0,G1713/H1713,"n.a.")</x:f>
        <x:v>n.a.</x:v>
      </x:c>
      <x:c r="J1713" s="10" t="n">
        <x:f>IF('Данные'!E1713&gt;0,G1713/'Данные'!E1713,"n.a.")</x:f>
        <x:v>0</x:v>
      </x:c>
      <x:c r="K1713" s="1" t="str">
        <x:f>IF(G1713&gt;='Дашборд'!$C$51,"X","Z")</x:f>
        <x:v>Z</x:v>
      </x:c>
      <x:c r="L1713" s="1" t="str">
        <x:f>IF(H1713=0,IF(G1713&gt;0,"Нет остатка","Нет спроса"),IF(I1713&gt;='Дашборд'!$C$52,"Быстрый","Медленный"))</x:f>
        <x:v>Нет спроса</x:v>
      </x:c>
      <x:c r="M1713" s="1" t="str">
        <x:f>IF('Данные'!E1713&lt;'Дашборд'!$C$53,"Мало трафика",IF(J1713&lt;'Дашборд'!$C$9*'Дашборд'!$C$54,"Да","Нет"))</x:f>
        <x:v>Мало трафика</x:v>
      </x:c>
      <x:c r="N1713" s="1" t="str">
        <x:f>IF(AND('Данные'!D1713&gt;='Дашборд'!$C$55,D1713&lt;'Дашборд'!$C$56,'Данные'!E1713&gt;='Дашборд'!$C$53,'Данные'!L1713&lt;&gt;"Да"),"Да","Нет")</x:f>
        <x:v>Нет</x:v>
      </x:c>
      <x:c r="O1713" s="1" t="str">
        <x:f>'Данные'!L1713</x:f>
        <x:v>Нет</x:v>
      </x:c>
    </x:row>
    <x:row r="1714">
      <x:c r="A1714" s="1" t="str">
        <x:f>'Данные'!A1714</x:f>
        <x:v>166212255</x:v>
      </x:c>
      <x:c r="B1714" s="1" t="str">
        <x:f>'Данные'!B1714</x:f>
        <x:v>longman/пыльнаямята</x:v>
      </x:c>
      <x:c r="C1714" s="8" t="n">
        <x:f>'Данные'!G1714</x:f>
        <x:v>0</x:v>
      </x:c>
      <x:c r="D1714" s="15" t="n">
        <x:f>C1714/SUM($C$5:$C$2477)</x:f>
        <x:v>0</x:v>
      </x:c>
      <x:c r="E1714" s="15" t="n">
        <x:f>SUM($D$5:D1714)</x:f>
        <x:v>1.0000000000000036</x:v>
      </x:c>
      <x:c r="F1714" s="1" t="str">
        <x:f>IF(C1714&lt;=0,"C",IF(E1714-D1714&lt;'Дашборд'!$C$49,"A",IF(E1714-D1714&lt;'Дашборд'!$C$50,"B","C")))</x:f>
        <x:v>C</x:v>
      </x:c>
      <x:c r="G1714" s="8" t="n">
        <x:f>'Данные'!F1714</x:f>
        <x:v>0</x:v>
      </x:c>
      <x:c r="H1714" s="8" t="n">
        <x:f>SUM('Данные'!H1714:I1714)</x:f>
        <x:v>0</x:v>
      </x:c>
      <x:c r="I1714" s="16" t="str">
        <x:f>IF(H1714&gt;0,G1714/H1714,"n.a.")</x:f>
        <x:v>n.a.</x:v>
      </x:c>
      <x:c r="J1714" s="10" t="n">
        <x:f>IF('Данные'!E1714&gt;0,G1714/'Данные'!E1714,"n.a.")</x:f>
        <x:v>0</x:v>
      </x:c>
      <x:c r="K1714" s="1" t="str">
        <x:f>IF(G1714&gt;='Дашборд'!$C$51,"X","Z")</x:f>
        <x:v>Z</x:v>
      </x:c>
      <x:c r="L1714" s="1" t="str">
        <x:f>IF(H1714=0,IF(G1714&gt;0,"Нет остатка","Нет спроса"),IF(I1714&gt;='Дашборд'!$C$52,"Быстрый","Медленный"))</x:f>
        <x:v>Нет спроса</x:v>
      </x:c>
      <x:c r="M1714" s="1" t="str">
        <x:f>IF('Данные'!E1714&lt;'Дашборд'!$C$53,"Мало трафика",IF(J1714&lt;'Дашборд'!$C$9*'Дашборд'!$C$54,"Да","Нет"))</x:f>
        <x:v>Мало трафика</x:v>
      </x:c>
      <x:c r="N1714" s="1" t="str">
        <x:f>IF(AND('Данные'!D1714&gt;='Дашборд'!$C$55,D1714&lt;'Дашборд'!$C$56,'Данные'!E1714&gt;='Дашборд'!$C$53,'Данные'!L1714&lt;&gt;"Да"),"Да","Нет")</x:f>
        <x:v>Нет</x:v>
      </x:c>
      <x:c r="O1714" s="1" t="str">
        <x:f>'Данные'!L1714</x:f>
        <x:v>Нет</x:v>
      </x:c>
    </x:row>
    <x:row r="1715">
      <x:c r="A1715" s="1" t="str">
        <x:f>'Данные'!A1715</x:f>
        <x:v>166214980</x:v>
      </x:c>
      <x:c r="B1715" s="1" t="str">
        <x:f>'Данные'!B1715</x:f>
        <x:v>hudiman/розовый</x:v>
      </x:c>
      <x:c r="C1715" s="8" t="n">
        <x:f>'Данные'!G1715</x:f>
        <x:v>0</x:v>
      </x:c>
      <x:c r="D1715" s="15" t="n">
        <x:f>C1715/SUM($C$5:$C$2477)</x:f>
        <x:v>0</x:v>
      </x:c>
      <x:c r="E1715" s="15" t="n">
        <x:f>SUM($D$5:D1715)</x:f>
        <x:v>1.0000000000000036</x:v>
      </x:c>
      <x:c r="F1715" s="1" t="str">
        <x:f>IF(C1715&lt;=0,"C",IF(E1715-D1715&lt;'Дашборд'!$C$49,"A",IF(E1715-D1715&lt;'Дашборд'!$C$50,"B","C")))</x:f>
        <x:v>C</x:v>
      </x:c>
      <x:c r="G1715" s="8" t="n">
        <x:f>'Данные'!F1715</x:f>
        <x:v>0</x:v>
      </x:c>
      <x:c r="H1715" s="8" t="n">
        <x:f>SUM('Данные'!H1715:I1715)</x:f>
        <x:v>0</x:v>
      </x:c>
      <x:c r="I1715" s="16" t="str">
        <x:f>IF(H1715&gt;0,G1715/H1715,"n.a.")</x:f>
        <x:v>n.a.</x:v>
      </x:c>
      <x:c r="J1715" s="10" t="n">
        <x:f>IF('Данные'!E1715&gt;0,G1715/'Данные'!E1715,"n.a.")</x:f>
        <x:v>0</x:v>
      </x:c>
      <x:c r="K1715" s="1" t="str">
        <x:f>IF(G1715&gt;='Дашборд'!$C$51,"X","Z")</x:f>
        <x:v>Z</x:v>
      </x:c>
      <x:c r="L1715" s="1" t="str">
        <x:f>IF(H1715=0,IF(G1715&gt;0,"Нет остатка","Нет спроса"),IF(I1715&gt;='Дашборд'!$C$52,"Быстрый","Медленный"))</x:f>
        <x:v>Нет спроса</x:v>
      </x:c>
      <x:c r="M1715" s="1" t="str">
        <x:f>IF('Данные'!E1715&lt;'Дашборд'!$C$53,"Мало трафика",IF(J1715&lt;'Дашборд'!$C$9*'Дашборд'!$C$54,"Да","Нет"))</x:f>
        <x:v>Мало трафика</x:v>
      </x:c>
      <x:c r="N1715" s="1" t="str">
        <x:f>IF(AND('Данные'!D1715&gt;='Дашборд'!$C$55,D1715&lt;'Дашборд'!$C$56,'Данные'!E1715&gt;='Дашборд'!$C$53,'Данные'!L1715&lt;&gt;"Да"),"Да","Нет")</x:f>
        <x:v>Нет</x:v>
      </x:c>
      <x:c r="O1715" s="1" t="str">
        <x:f>'Данные'!L1715</x:f>
        <x:v>Нет</x:v>
      </x:c>
    </x:row>
    <x:row r="1716">
      <x:c r="A1716" s="1" t="str">
        <x:f>'Данные'!A1716</x:f>
        <x:v>166248302</x:v>
      </x:c>
      <x:c r="B1716" s="1" t="str">
        <x:f>'Данные'!B1716</x:f>
        <x:v>svitshotman/красный</x:v>
      </x:c>
      <x:c r="C1716" s="8" t="n">
        <x:f>'Данные'!G1716</x:f>
        <x:v>0</x:v>
      </x:c>
      <x:c r="D1716" s="15" t="n">
        <x:f>C1716/SUM($C$5:$C$2477)</x:f>
        <x:v>0</x:v>
      </x:c>
      <x:c r="E1716" s="15" t="n">
        <x:f>SUM($D$5:D1716)</x:f>
        <x:v>1.0000000000000036</x:v>
      </x:c>
      <x:c r="F1716" s="1" t="str">
        <x:f>IF(C1716&lt;=0,"C",IF(E1716-D1716&lt;'Дашборд'!$C$49,"A",IF(E1716-D1716&lt;'Дашборд'!$C$50,"B","C")))</x:f>
        <x:v>C</x:v>
      </x:c>
      <x:c r="G1716" s="8" t="n">
        <x:f>'Данные'!F1716</x:f>
        <x:v>0</x:v>
      </x:c>
      <x:c r="H1716" s="8" t="n">
        <x:f>SUM('Данные'!H1716:I1716)</x:f>
        <x:v>0</x:v>
      </x:c>
      <x:c r="I1716" s="16" t="str">
        <x:f>IF(H1716&gt;0,G1716/H1716,"n.a.")</x:f>
        <x:v>n.a.</x:v>
      </x:c>
      <x:c r="J1716" s="10" t="n">
        <x:f>IF('Данные'!E1716&gt;0,G1716/'Данные'!E1716,"n.a.")</x:f>
        <x:v>0</x:v>
      </x:c>
      <x:c r="K1716" s="1" t="str">
        <x:f>IF(G1716&gt;='Дашборд'!$C$51,"X","Z")</x:f>
        <x:v>Z</x:v>
      </x:c>
      <x:c r="L1716" s="1" t="str">
        <x:f>IF(H1716=0,IF(G1716&gt;0,"Нет остатка","Нет спроса"),IF(I1716&gt;='Дашборд'!$C$52,"Быстрый","Медленный"))</x:f>
        <x:v>Нет спроса</x:v>
      </x:c>
      <x:c r="M1716" s="1" t="str">
        <x:f>IF('Данные'!E1716&lt;'Дашборд'!$C$53,"Мало трафика",IF(J1716&lt;'Дашборд'!$C$9*'Дашборд'!$C$54,"Да","Нет"))</x:f>
        <x:v>Мало трафика</x:v>
      </x:c>
      <x:c r="N1716" s="1" t="str">
        <x:f>IF(AND('Данные'!D1716&gt;='Дашборд'!$C$55,D1716&lt;'Дашборд'!$C$56,'Данные'!E1716&gt;='Дашборд'!$C$53,'Данные'!L1716&lt;&gt;"Да"),"Да","Нет")</x:f>
        <x:v>Нет</x:v>
      </x:c>
      <x:c r="O1716" s="1" t="str">
        <x:f>'Данные'!L1716</x:f>
        <x:v>Нет</x:v>
      </x:c>
    </x:row>
    <x:row r="1717">
      <x:c r="A1717" s="1" t="str">
        <x:f>'Данные'!A1717</x:f>
        <x:v>166248307</x:v>
      </x:c>
      <x:c r="B1717" s="1" t="str">
        <x:f>'Данные'!B1717</x:f>
        <x:v>svitshotover/серыймеланж</x:v>
      </x:c>
      <x:c r="C1717" s="8" t="n">
        <x:f>'Данные'!G1717</x:f>
        <x:v>0</x:v>
      </x:c>
      <x:c r="D1717" s="15" t="n">
        <x:f>C1717/SUM($C$5:$C$2477)</x:f>
        <x:v>0</x:v>
      </x:c>
      <x:c r="E1717" s="15" t="n">
        <x:f>SUM($D$5:D1717)</x:f>
        <x:v>1.0000000000000036</x:v>
      </x:c>
      <x:c r="F1717" s="1" t="str">
        <x:f>IF(C1717&lt;=0,"C",IF(E1717-D1717&lt;'Дашборд'!$C$49,"A",IF(E1717-D1717&lt;'Дашборд'!$C$50,"B","C")))</x:f>
        <x:v>C</x:v>
      </x:c>
      <x:c r="G1717" s="8" t="n">
        <x:f>'Данные'!F1717</x:f>
        <x:v>0</x:v>
      </x:c>
      <x:c r="H1717" s="8" t="n">
        <x:f>SUM('Данные'!H1717:I1717)</x:f>
        <x:v>0</x:v>
      </x:c>
      <x:c r="I1717" s="16" t="str">
        <x:f>IF(H1717&gt;0,G1717/H1717,"n.a.")</x:f>
        <x:v>n.a.</x:v>
      </x:c>
      <x:c r="J1717" s="10" t="n">
        <x:f>IF('Данные'!E1717&gt;0,G1717/'Данные'!E1717,"n.a.")</x:f>
        <x:v>0</x:v>
      </x:c>
      <x:c r="K1717" s="1" t="str">
        <x:f>IF(G1717&gt;='Дашборд'!$C$51,"X","Z")</x:f>
        <x:v>Z</x:v>
      </x:c>
      <x:c r="L1717" s="1" t="str">
        <x:f>IF(H1717=0,IF(G1717&gt;0,"Нет остатка","Нет спроса"),IF(I1717&gt;='Дашборд'!$C$52,"Быстрый","Медленный"))</x:f>
        <x:v>Нет спроса</x:v>
      </x:c>
      <x:c r="M1717" s="1" t="str">
        <x:f>IF('Данные'!E1717&lt;'Дашборд'!$C$53,"Мало трафика",IF(J1717&lt;'Дашборд'!$C$9*'Дашборд'!$C$54,"Да","Нет"))</x:f>
        <x:v>Мало трафика</x:v>
      </x:c>
      <x:c r="N1717" s="1" t="str">
        <x:f>IF(AND('Данные'!D1717&gt;='Дашборд'!$C$55,D1717&lt;'Дашборд'!$C$56,'Данные'!E1717&gt;='Дашборд'!$C$53,'Данные'!L1717&lt;&gt;"Да"),"Да","Нет")</x:f>
        <x:v>Нет</x:v>
      </x:c>
      <x:c r="O1717" s="1" t="str">
        <x:f>'Данные'!L1717</x:f>
        <x:v>Нет</x:v>
      </x:c>
    </x:row>
    <x:row r="1718">
      <x:c r="A1718" s="1" t="str">
        <x:f>'Данные'!A1718</x:f>
        <x:v>166248310</x:v>
      </x:c>
      <x:c r="B1718" s="1" t="str">
        <x:f>'Данные'!B1718</x:f>
        <x:v>svitshotman/розовый</x:v>
      </x:c>
      <x:c r="C1718" s="8" t="n">
        <x:f>'Данные'!G1718</x:f>
        <x:v>0</x:v>
      </x:c>
      <x:c r="D1718" s="15" t="n">
        <x:f>C1718/SUM($C$5:$C$2477)</x:f>
        <x:v>0</x:v>
      </x:c>
      <x:c r="E1718" s="15" t="n">
        <x:f>SUM($D$5:D1718)</x:f>
        <x:v>1.0000000000000036</x:v>
      </x:c>
      <x:c r="F1718" s="1" t="str">
        <x:f>IF(C1718&lt;=0,"C",IF(E1718-D1718&lt;'Дашборд'!$C$49,"A",IF(E1718-D1718&lt;'Дашборд'!$C$50,"B","C")))</x:f>
        <x:v>C</x:v>
      </x:c>
      <x:c r="G1718" s="8" t="n">
        <x:f>'Данные'!F1718</x:f>
        <x:v>0</x:v>
      </x:c>
      <x:c r="H1718" s="8" t="n">
        <x:f>SUM('Данные'!H1718:I1718)</x:f>
        <x:v>0</x:v>
      </x:c>
      <x:c r="I1718" s="16" t="str">
        <x:f>IF(H1718&gt;0,G1718/H1718,"n.a.")</x:f>
        <x:v>n.a.</x:v>
      </x:c>
      <x:c r="J1718" s="10" t="n">
        <x:f>IF('Данные'!E1718&gt;0,G1718/'Данные'!E1718,"n.a.")</x:f>
        <x:v>0</x:v>
      </x:c>
      <x:c r="K1718" s="1" t="str">
        <x:f>IF(G1718&gt;='Дашборд'!$C$51,"X","Z")</x:f>
        <x:v>Z</x:v>
      </x:c>
      <x:c r="L1718" s="1" t="str">
        <x:f>IF(H1718=0,IF(G1718&gt;0,"Нет остатка","Нет спроса"),IF(I1718&gt;='Дашборд'!$C$52,"Быстрый","Медленный"))</x:f>
        <x:v>Нет спроса</x:v>
      </x:c>
      <x:c r="M1718" s="1" t="str">
        <x:f>IF('Данные'!E1718&lt;'Дашборд'!$C$53,"Мало трафика",IF(J1718&lt;'Дашборд'!$C$9*'Дашборд'!$C$54,"Да","Нет"))</x:f>
        <x:v>Мало трафика</x:v>
      </x:c>
      <x:c r="N1718" s="1" t="str">
        <x:f>IF(AND('Данные'!D1718&gt;='Дашборд'!$C$55,D1718&lt;'Дашборд'!$C$56,'Данные'!E1718&gt;='Дашборд'!$C$53,'Данные'!L1718&lt;&gt;"Да"),"Да","Нет")</x:f>
        <x:v>Нет</x:v>
      </x:c>
      <x:c r="O1718" s="1" t="str">
        <x:f>'Данные'!L1718</x:f>
        <x:v>Нет</x:v>
      </x:c>
    </x:row>
    <x:row r="1719">
      <x:c r="A1719" s="1" t="str">
        <x:f>'Данные'!A1719</x:f>
        <x:v>166248313</x:v>
      </x:c>
      <x:c r="B1719" s="1" t="str">
        <x:f>'Данные'!B1719</x:f>
        <x:v>svitshotman/серыймеланж</x:v>
      </x:c>
      <x:c r="C1719" s="8" t="n">
        <x:f>'Данные'!G1719</x:f>
        <x:v>0</x:v>
      </x:c>
      <x:c r="D1719" s="15" t="n">
        <x:f>C1719/SUM($C$5:$C$2477)</x:f>
        <x:v>0</x:v>
      </x:c>
      <x:c r="E1719" s="15" t="n">
        <x:f>SUM($D$5:D1719)</x:f>
        <x:v>1.0000000000000036</x:v>
      </x:c>
      <x:c r="F1719" s="1" t="str">
        <x:f>IF(C1719&lt;=0,"C",IF(E1719-D1719&lt;'Дашборд'!$C$49,"A",IF(E1719-D1719&lt;'Дашборд'!$C$50,"B","C")))</x:f>
        <x:v>C</x:v>
      </x:c>
      <x:c r="G1719" s="8" t="n">
        <x:f>'Данные'!F1719</x:f>
        <x:v>0</x:v>
      </x:c>
      <x:c r="H1719" s="8" t="n">
        <x:f>SUM('Данные'!H1719:I1719)</x:f>
        <x:v>0</x:v>
      </x:c>
      <x:c r="I1719" s="16" t="str">
        <x:f>IF(H1719&gt;0,G1719/H1719,"n.a.")</x:f>
        <x:v>n.a.</x:v>
      </x:c>
      <x:c r="J1719" s="10" t="n">
        <x:f>IF('Данные'!E1719&gt;0,G1719/'Данные'!E1719,"n.a.")</x:f>
        <x:v>0</x:v>
      </x:c>
      <x:c r="K1719" s="1" t="str">
        <x:f>IF(G1719&gt;='Дашборд'!$C$51,"X","Z")</x:f>
        <x:v>Z</x:v>
      </x:c>
      <x:c r="L1719" s="1" t="str">
        <x:f>IF(H1719=0,IF(G1719&gt;0,"Нет остатка","Нет спроса"),IF(I1719&gt;='Дашборд'!$C$52,"Быстрый","Медленный"))</x:f>
        <x:v>Нет спроса</x:v>
      </x:c>
      <x:c r="M1719" s="1" t="str">
        <x:f>IF('Данные'!E1719&lt;'Дашборд'!$C$53,"Мало трафика",IF(J1719&lt;'Дашборд'!$C$9*'Дашборд'!$C$54,"Да","Нет"))</x:f>
        <x:v>Мало трафика</x:v>
      </x:c>
      <x:c r="N1719" s="1" t="str">
        <x:f>IF(AND('Данные'!D1719&gt;='Дашборд'!$C$55,D1719&lt;'Дашборд'!$C$56,'Данные'!E1719&gt;='Дашборд'!$C$53,'Данные'!L1719&lt;&gt;"Да"),"Да","Нет")</x:f>
        <x:v>Нет</x:v>
      </x:c>
      <x:c r="O1719" s="1" t="str">
        <x:f>'Данные'!L1719</x:f>
        <x:v>Нет</x:v>
      </x:c>
    </x:row>
    <x:row r="1720">
      <x:c r="A1720" s="1" t="str">
        <x:f>'Данные'!A1720</x:f>
        <x:v>168141906</x:v>
      </x:c>
      <x:c r="B1720" s="1" t="str">
        <x:f>'Данные'!B1720</x:f>
        <x:v>bruki/серыймеланж</x:v>
      </x:c>
      <x:c r="C1720" s="8" t="n">
        <x:f>'Данные'!G1720</x:f>
        <x:v>0</x:v>
      </x:c>
      <x:c r="D1720" s="15" t="n">
        <x:f>C1720/SUM($C$5:$C$2477)</x:f>
        <x:v>0</x:v>
      </x:c>
      <x:c r="E1720" s="15" t="n">
        <x:f>SUM($D$5:D1720)</x:f>
        <x:v>1.0000000000000036</x:v>
      </x:c>
      <x:c r="F1720" s="1" t="str">
        <x:f>IF(C1720&lt;=0,"C",IF(E1720-D1720&lt;'Дашборд'!$C$49,"A",IF(E1720-D1720&lt;'Дашборд'!$C$50,"B","C")))</x:f>
        <x:v>C</x:v>
      </x:c>
      <x:c r="G1720" s="8" t="n">
        <x:f>'Данные'!F1720</x:f>
        <x:v>12</x:v>
      </x:c>
      <x:c r="H1720" s="8" t="n">
        <x:f>SUM('Данные'!H1720:I1720)</x:f>
        <x:v>3</x:v>
      </x:c>
      <x:c r="I1720" s="16" t="n">
        <x:f>IF(H1720&gt;0,G1720/H1720,"n.a.")</x:f>
        <x:v>4</x:v>
      </x:c>
      <x:c r="J1720" s="10" t="n">
        <x:f>IF('Данные'!E1720&gt;0,G1720/'Данные'!E1720,"n.a.")</x:f>
        <x:v>0.004819277108433735</x:v>
      </x:c>
      <x:c r="K1720" s="1" t="str">
        <x:f>IF(G1720&gt;='Дашборд'!$C$51,"X","Z")</x:f>
        <x:v>Z</x:v>
      </x:c>
      <x:c r="L1720" s="1" t="str">
        <x:f>IF(H1720=0,IF(G1720&gt;0,"Нет остатка","Нет спроса"),IF(I1720&gt;='Дашборд'!$C$52,"Быстрый","Медленный"))</x:f>
        <x:v>Быстрый</x:v>
      </x:c>
      <x:c r="M1720" s="1" t="str">
        <x:f>IF('Данные'!E1720&lt;'Дашборд'!$C$53,"Мало трафика",IF(J1720&lt;'Дашборд'!$C$9*'Дашборд'!$C$54,"Да","Нет"))</x:f>
        <x:v>Да</x:v>
      </x:c>
      <x:c r="N1720" s="1" t="str">
        <x:f>IF(AND('Данные'!D1720&gt;='Дашборд'!$C$55,D1720&lt;'Дашборд'!$C$56,'Данные'!E1720&gt;='Дашборд'!$C$53,'Данные'!L1720&lt;&gt;"Да"),"Да","Нет")</x:f>
        <x:v>Да</x:v>
      </x:c>
      <x:c r="O1720" s="1" t="str">
        <x:f>'Данные'!L1720</x:f>
        <x:v>Нет</x:v>
      </x:c>
    </x:row>
    <x:row r="1721">
      <x:c r="A1721" s="1" t="str">
        <x:f>'Данные'!A1721</x:f>
        <x:v>168141908</x:v>
      </x:c>
      <x:c r="B1721" s="1" t="str">
        <x:f>'Данные'!B1721</x:f>
        <x:v>bruki/фиолетовый</x:v>
      </x:c>
      <x:c r="C1721" s="8" t="n">
        <x:f>'Данные'!G1721</x:f>
        <x:v>0</x:v>
      </x:c>
      <x:c r="D1721" s="15" t="n">
        <x:f>C1721/SUM($C$5:$C$2477)</x:f>
        <x:v>0</x:v>
      </x:c>
      <x:c r="E1721" s="15" t="n">
        <x:f>SUM($D$5:D1721)</x:f>
        <x:v>1.0000000000000036</x:v>
      </x:c>
      <x:c r="F1721" s="1" t="str">
        <x:f>IF(C1721&lt;=0,"C",IF(E1721-D1721&lt;'Дашборд'!$C$49,"A",IF(E1721-D1721&lt;'Дашборд'!$C$50,"B","C")))</x:f>
        <x:v>C</x:v>
      </x:c>
      <x:c r="G1721" s="8" t="n">
        <x:f>'Данные'!F1721</x:f>
        <x:v>4</x:v>
      </x:c>
      <x:c r="H1721" s="8" t="n">
        <x:f>SUM('Данные'!H1721:I1721)</x:f>
        <x:v>1</x:v>
      </x:c>
      <x:c r="I1721" s="16" t="n">
        <x:f>IF(H1721&gt;0,G1721/H1721,"n.a.")</x:f>
        <x:v>4</x:v>
      </x:c>
      <x:c r="J1721" s="10" t="n">
        <x:f>IF('Данные'!E1721&gt;0,G1721/'Данные'!E1721,"n.a.")</x:f>
        <x:v>0.0019464720194647203</x:v>
      </x:c>
      <x:c r="K1721" s="1" t="str">
        <x:f>IF(G1721&gt;='Дашборд'!$C$51,"X","Z")</x:f>
        <x:v>Z</x:v>
      </x:c>
      <x:c r="L1721" s="1" t="str">
        <x:f>IF(H1721=0,IF(G1721&gt;0,"Нет остатка","Нет спроса"),IF(I1721&gt;='Дашборд'!$C$52,"Быстрый","Медленный"))</x:f>
        <x:v>Быстрый</x:v>
      </x:c>
      <x:c r="M1721" s="1" t="str">
        <x:f>IF('Данные'!E1721&lt;'Дашборд'!$C$53,"Мало трафика",IF(J1721&lt;'Дашборд'!$C$9*'Дашборд'!$C$54,"Да","Нет"))</x:f>
        <x:v>Да</x:v>
      </x:c>
      <x:c r="N1721" s="1" t="str">
        <x:f>IF(AND('Данные'!D1721&gt;='Дашборд'!$C$55,D1721&lt;'Дашборд'!$C$56,'Данные'!E1721&gt;='Дашборд'!$C$53,'Данные'!L1721&lt;&gt;"Да"),"Да","Нет")</x:f>
        <x:v>Да</x:v>
      </x:c>
      <x:c r="O1721" s="1" t="str">
        <x:f>'Данные'!L1721</x:f>
        <x:v>Нет</x:v>
      </x:c>
    </x:row>
    <x:row r="1722">
      <x:c r="A1722" s="1" t="str">
        <x:f>'Данные'!A1722</x:f>
        <x:v>168270028</x:v>
      </x:c>
      <x:c r="B1722" s="1" t="str">
        <x:f>'Данные'!B1722</x:f>
        <x:v>2xnitkaman/черный</x:v>
      </x:c>
      <x:c r="C1722" s="8" t="n">
        <x:f>'Данные'!G1722</x:f>
        <x:v>0</x:v>
      </x:c>
      <x:c r="D1722" s="15" t="n">
        <x:f>C1722/SUM($C$5:$C$2477)</x:f>
        <x:v>0</x:v>
      </x:c>
      <x:c r="E1722" s="15" t="n">
        <x:f>SUM($D$5:D1722)</x:f>
        <x:v>1.0000000000000036</x:v>
      </x:c>
      <x:c r="F1722" s="1" t="str">
        <x:f>IF(C1722&lt;=0,"C",IF(E1722-D1722&lt;'Дашборд'!$C$49,"A",IF(E1722-D1722&lt;'Дашборд'!$C$50,"B","C")))</x:f>
        <x:v>C</x:v>
      </x:c>
      <x:c r="G1722" s="8" t="n">
        <x:f>'Данные'!F1722</x:f>
        <x:v>0</x:v>
      </x:c>
      <x:c r="H1722" s="8" t="n">
        <x:f>SUM('Данные'!H1722:I1722)</x:f>
        <x:v>0</x:v>
      </x:c>
      <x:c r="I1722" s="16" t="str">
        <x:f>IF(H1722&gt;0,G1722/H1722,"n.a.")</x:f>
        <x:v>n.a.</x:v>
      </x:c>
      <x:c r="J1722" s="10" t="n">
        <x:f>IF('Данные'!E1722&gt;0,G1722/'Данные'!E1722,"n.a.")</x:f>
        <x:v>0</x:v>
      </x:c>
      <x:c r="K1722" s="1" t="str">
        <x:f>IF(G1722&gt;='Дашборд'!$C$51,"X","Z")</x:f>
        <x:v>Z</x:v>
      </x:c>
      <x:c r="L1722" s="1" t="str">
        <x:f>IF(H1722=0,IF(G1722&gt;0,"Нет остатка","Нет спроса"),IF(I1722&gt;='Дашборд'!$C$52,"Быстрый","Медленный"))</x:f>
        <x:v>Нет спроса</x:v>
      </x:c>
      <x:c r="M1722" s="1" t="str">
        <x:f>IF('Данные'!E1722&lt;'Дашборд'!$C$53,"Мало трафика",IF(J1722&lt;'Дашборд'!$C$9*'Дашборд'!$C$54,"Да","Нет"))</x:f>
        <x:v>Мало трафика</x:v>
      </x:c>
      <x:c r="N1722" s="1" t="str">
        <x:f>IF(AND('Данные'!D1722&gt;='Дашборд'!$C$55,D1722&lt;'Дашборд'!$C$56,'Данные'!E1722&gt;='Дашборд'!$C$53,'Данные'!L1722&lt;&gt;"Да"),"Да","Нет")</x:f>
        <x:v>Нет</x:v>
      </x:c>
      <x:c r="O1722" s="1" t="str">
        <x:f>'Данные'!L1722</x:f>
        <x:v>Нет</x:v>
      </x:c>
    </x:row>
    <x:row r="1723">
      <x:c r="A1723" s="1" t="str">
        <x:f>'Данные'!A1723</x:f>
        <x:v>168273528</x:v>
      </x:c>
      <x:c r="B1723" s="1" t="str">
        <x:f>'Данные'!B1723</x:f>
        <x:v>2xnitkaman/темно-синий</x:v>
      </x:c>
      <x:c r="C1723" s="8" t="n">
        <x:f>'Данные'!G1723</x:f>
        <x:v>0</x:v>
      </x:c>
      <x:c r="D1723" s="15" t="n">
        <x:f>C1723/SUM($C$5:$C$2477)</x:f>
        <x:v>0</x:v>
      </x:c>
      <x:c r="E1723" s="15" t="n">
        <x:f>SUM($D$5:D1723)</x:f>
        <x:v>1.0000000000000036</x:v>
      </x:c>
      <x:c r="F1723" s="1" t="str">
        <x:f>IF(C1723&lt;=0,"C",IF(E1723-D1723&lt;'Дашборд'!$C$49,"A",IF(E1723-D1723&lt;'Дашборд'!$C$50,"B","C")))</x:f>
        <x:v>C</x:v>
      </x:c>
      <x:c r="G1723" s="8" t="n">
        <x:f>'Данные'!F1723</x:f>
        <x:v>0</x:v>
      </x:c>
      <x:c r="H1723" s="8" t="n">
        <x:f>SUM('Данные'!H1723:I1723)</x:f>
        <x:v>0</x:v>
      </x:c>
      <x:c r="I1723" s="16" t="str">
        <x:f>IF(H1723&gt;0,G1723/H1723,"n.a.")</x:f>
        <x:v>n.a.</x:v>
      </x:c>
      <x:c r="J1723" s="10" t="n">
        <x:f>IF('Данные'!E1723&gt;0,G1723/'Данные'!E1723,"n.a.")</x:f>
        <x:v>0</x:v>
      </x:c>
      <x:c r="K1723" s="1" t="str">
        <x:f>IF(G1723&gt;='Дашборд'!$C$51,"X","Z")</x:f>
        <x:v>Z</x:v>
      </x:c>
      <x:c r="L1723" s="1" t="str">
        <x:f>IF(H1723=0,IF(G1723&gt;0,"Нет остатка","Нет спроса"),IF(I1723&gt;='Дашборд'!$C$52,"Быстрый","Медленный"))</x:f>
        <x:v>Нет спроса</x:v>
      </x:c>
      <x:c r="M1723" s="1" t="str">
        <x:f>IF('Данные'!E1723&lt;'Дашборд'!$C$53,"Мало трафика",IF(J1723&lt;'Дашборд'!$C$9*'Дашборд'!$C$54,"Да","Нет"))</x:f>
        <x:v>Мало трафика</x:v>
      </x:c>
      <x:c r="N1723" s="1" t="str">
        <x:f>IF(AND('Данные'!D1723&gt;='Дашборд'!$C$55,D1723&lt;'Дашборд'!$C$56,'Данные'!E1723&gt;='Дашборд'!$C$53,'Данные'!L1723&lt;&gt;"Да"),"Да","Нет")</x:f>
        <x:v>Нет</x:v>
      </x:c>
      <x:c r="O1723" s="1" t="str">
        <x:f>'Данные'!L1723</x:f>
        <x:v>Нет</x:v>
      </x:c>
    </x:row>
    <x:row r="1724">
      <x:c r="A1724" s="1" t="str">
        <x:f>'Данные'!A1724</x:f>
        <x:v>168273533</x:v>
      </x:c>
      <x:c r="B1724" s="1" t="str">
        <x:f>'Данные'!B1724</x:f>
        <x:v>2xnitkaman/серыймеланж</x:v>
      </x:c>
      <x:c r="C1724" s="8" t="n">
        <x:f>'Данные'!G1724</x:f>
        <x:v>0</x:v>
      </x:c>
      <x:c r="D1724" s="15" t="n">
        <x:f>C1724/SUM($C$5:$C$2477)</x:f>
        <x:v>0</x:v>
      </x:c>
      <x:c r="E1724" s="15" t="n">
        <x:f>SUM($D$5:D1724)</x:f>
        <x:v>1.0000000000000036</x:v>
      </x:c>
      <x:c r="F1724" s="1" t="str">
        <x:f>IF(C1724&lt;=0,"C",IF(E1724-D1724&lt;'Дашборд'!$C$49,"A",IF(E1724-D1724&lt;'Дашборд'!$C$50,"B","C")))</x:f>
        <x:v>C</x:v>
      </x:c>
      <x:c r="G1724" s="8" t="n">
        <x:f>'Данные'!F1724</x:f>
        <x:v>0</x:v>
      </x:c>
      <x:c r="H1724" s="8" t="n">
        <x:f>SUM('Данные'!H1724:I1724)</x:f>
        <x:v>0</x:v>
      </x:c>
      <x:c r="I1724" s="16" t="str">
        <x:f>IF(H1724&gt;0,G1724/H1724,"n.a.")</x:f>
        <x:v>n.a.</x:v>
      </x:c>
      <x:c r="J1724" s="10" t="n">
        <x:f>IF('Данные'!E1724&gt;0,G1724/'Данные'!E1724,"n.a.")</x:f>
        <x:v>0</x:v>
      </x:c>
      <x:c r="K1724" s="1" t="str">
        <x:f>IF(G1724&gt;='Дашборд'!$C$51,"X","Z")</x:f>
        <x:v>Z</x:v>
      </x:c>
      <x:c r="L1724" s="1" t="str">
        <x:f>IF(H1724=0,IF(G1724&gt;0,"Нет остатка","Нет спроса"),IF(I1724&gt;='Дашборд'!$C$52,"Быстрый","Медленный"))</x:f>
        <x:v>Нет спроса</x:v>
      </x:c>
      <x:c r="M1724" s="1" t="str">
        <x:f>IF('Данные'!E1724&lt;'Дашборд'!$C$53,"Мало трафика",IF(J1724&lt;'Дашборд'!$C$9*'Дашборд'!$C$54,"Да","Нет"))</x:f>
        <x:v>Мало трафика</x:v>
      </x:c>
      <x:c r="N1724" s="1" t="str">
        <x:f>IF(AND('Данные'!D1724&gt;='Дашборд'!$C$55,D1724&lt;'Дашборд'!$C$56,'Данные'!E1724&gt;='Дашборд'!$C$53,'Данные'!L1724&lt;&gt;"Да"),"Да","Нет")</x:f>
        <x:v>Нет</x:v>
      </x:c>
      <x:c r="O1724" s="1" t="str">
        <x:f>'Данные'!L1724</x:f>
        <x:v>Нет</x:v>
      </x:c>
    </x:row>
    <x:row r="1725">
      <x:c r="A1725" s="1" t="str">
        <x:f>'Данные'!A1725</x:f>
        <x:v>168273536</x:v>
      </x:c>
      <x:c r="B1725" s="1" t="str">
        <x:f>'Данные'!B1725</x:f>
        <x:v>2xnitkaman/кофейный</x:v>
      </x:c>
      <x:c r="C1725" s="8" t="n">
        <x:f>'Данные'!G1725</x:f>
        <x:v>0</x:v>
      </x:c>
      <x:c r="D1725" s="15" t="n">
        <x:f>C1725/SUM($C$5:$C$2477)</x:f>
        <x:v>0</x:v>
      </x:c>
      <x:c r="E1725" s="15" t="n">
        <x:f>SUM($D$5:D1725)</x:f>
        <x:v>1.0000000000000036</x:v>
      </x:c>
      <x:c r="F1725" s="1" t="str">
        <x:f>IF(C1725&lt;=0,"C",IF(E1725-D1725&lt;'Дашборд'!$C$49,"A",IF(E1725-D1725&lt;'Дашборд'!$C$50,"B","C")))</x:f>
        <x:v>C</x:v>
      </x:c>
      <x:c r="G1725" s="8" t="n">
        <x:f>'Данные'!F1725</x:f>
        <x:v>0</x:v>
      </x:c>
      <x:c r="H1725" s="8" t="n">
        <x:f>SUM('Данные'!H1725:I1725)</x:f>
        <x:v>0</x:v>
      </x:c>
      <x:c r="I1725" s="16" t="str">
        <x:f>IF(H1725&gt;0,G1725/H1725,"n.a.")</x:f>
        <x:v>n.a.</x:v>
      </x:c>
      <x:c r="J1725" s="10" t="n">
        <x:f>IF('Данные'!E1725&gt;0,G1725/'Данные'!E1725,"n.a.")</x:f>
        <x:v>0</x:v>
      </x:c>
      <x:c r="K1725" s="1" t="str">
        <x:f>IF(G1725&gt;='Дашборд'!$C$51,"X","Z")</x:f>
        <x:v>Z</x:v>
      </x:c>
      <x:c r="L1725" s="1" t="str">
        <x:f>IF(H1725=0,IF(G1725&gt;0,"Нет остатка","Нет спроса"),IF(I1725&gt;='Дашборд'!$C$52,"Быстрый","Медленный"))</x:f>
        <x:v>Нет спроса</x:v>
      </x:c>
      <x:c r="M1725" s="1" t="str">
        <x:f>IF('Данные'!E1725&lt;'Дашборд'!$C$53,"Мало трафика",IF(J1725&lt;'Дашборд'!$C$9*'Дашборд'!$C$54,"Да","Нет"))</x:f>
        <x:v>Мало трафика</x:v>
      </x:c>
      <x:c r="N1725" s="1" t="str">
        <x:f>IF(AND('Данные'!D1725&gt;='Дашборд'!$C$55,D1725&lt;'Дашборд'!$C$56,'Данные'!E1725&gt;='Дашборд'!$C$53,'Данные'!L1725&lt;&gt;"Да"),"Да","Нет")</x:f>
        <x:v>Нет</x:v>
      </x:c>
      <x:c r="O1725" s="1" t="str">
        <x:f>'Данные'!L1725</x:f>
        <x:v>Нет</x:v>
      </x:c>
    </x:row>
    <x:row r="1726">
      <x:c r="A1726" s="1" t="str">
        <x:f>'Данные'!A1726</x:f>
        <x:v>168273538</x:v>
      </x:c>
      <x:c r="B1726" s="1" t="str">
        <x:f>'Данные'!B1726</x:f>
        <x:v>2xnitkaman/морскаяволна</x:v>
      </x:c>
      <x:c r="C1726" s="8" t="n">
        <x:f>'Данные'!G1726</x:f>
        <x:v>0</x:v>
      </x:c>
      <x:c r="D1726" s="15" t="n">
        <x:f>C1726/SUM($C$5:$C$2477)</x:f>
        <x:v>0</x:v>
      </x:c>
      <x:c r="E1726" s="15" t="n">
        <x:f>SUM($D$5:D1726)</x:f>
        <x:v>1.0000000000000036</x:v>
      </x:c>
      <x:c r="F1726" s="1" t="str">
        <x:f>IF(C1726&lt;=0,"C",IF(E1726-D1726&lt;'Дашборд'!$C$49,"A",IF(E1726-D1726&lt;'Дашборд'!$C$50,"B","C")))</x:f>
        <x:v>C</x:v>
      </x:c>
      <x:c r="G1726" s="8" t="n">
        <x:f>'Данные'!F1726</x:f>
        <x:v>0</x:v>
      </x:c>
      <x:c r="H1726" s="8" t="n">
        <x:f>SUM('Данные'!H1726:I1726)</x:f>
        <x:v>0</x:v>
      </x:c>
      <x:c r="I1726" s="16" t="str">
        <x:f>IF(H1726&gt;0,G1726/H1726,"n.a.")</x:f>
        <x:v>n.a.</x:v>
      </x:c>
      <x:c r="J1726" s="10" t="n">
        <x:f>IF('Данные'!E1726&gt;0,G1726/'Данные'!E1726,"n.a.")</x:f>
        <x:v>0</x:v>
      </x:c>
      <x:c r="K1726" s="1" t="str">
        <x:f>IF(G1726&gt;='Дашборд'!$C$51,"X","Z")</x:f>
        <x:v>Z</x:v>
      </x:c>
      <x:c r="L1726" s="1" t="str">
        <x:f>IF(H1726=0,IF(G1726&gt;0,"Нет остатка","Нет спроса"),IF(I1726&gt;='Дашборд'!$C$52,"Быстрый","Медленный"))</x:f>
        <x:v>Нет спроса</x:v>
      </x:c>
      <x:c r="M1726" s="1" t="str">
        <x:f>IF('Данные'!E1726&lt;'Дашборд'!$C$53,"Мало трафика",IF(J1726&lt;'Дашборд'!$C$9*'Дашборд'!$C$54,"Да","Нет"))</x:f>
        <x:v>Мало трафика</x:v>
      </x:c>
      <x:c r="N1726" s="1" t="str">
        <x:f>IF(AND('Данные'!D1726&gt;='Дашборд'!$C$55,D1726&lt;'Дашборд'!$C$56,'Данные'!E1726&gt;='Дашборд'!$C$53,'Данные'!L1726&lt;&gt;"Да"),"Да","Нет")</x:f>
        <x:v>Нет</x:v>
      </x:c>
      <x:c r="O1726" s="1" t="str">
        <x:f>'Данные'!L1726</x:f>
        <x:v>Нет</x:v>
      </x:c>
    </x:row>
    <x:row r="1727">
      <x:c r="A1727" s="1" t="str">
        <x:f>'Данные'!A1727</x:f>
        <x:v>168273539</x:v>
      </x:c>
      <x:c r="B1727" s="1" t="str">
        <x:f>'Данные'!B1727</x:f>
        <x:v>2xnitkaman/коричневый</x:v>
      </x:c>
      <x:c r="C1727" s="8" t="n">
        <x:f>'Данные'!G1727</x:f>
        <x:v>0</x:v>
      </x:c>
      <x:c r="D1727" s="15" t="n">
        <x:f>C1727/SUM($C$5:$C$2477)</x:f>
        <x:v>0</x:v>
      </x:c>
      <x:c r="E1727" s="15" t="n">
        <x:f>SUM($D$5:D1727)</x:f>
        <x:v>1.0000000000000036</x:v>
      </x:c>
      <x:c r="F1727" s="1" t="str">
        <x:f>IF(C1727&lt;=0,"C",IF(E1727-D1727&lt;'Дашборд'!$C$49,"A",IF(E1727-D1727&lt;'Дашборд'!$C$50,"B","C")))</x:f>
        <x:v>C</x:v>
      </x:c>
      <x:c r="G1727" s="8" t="n">
        <x:f>'Данные'!F1727</x:f>
        <x:v>0</x:v>
      </x:c>
      <x:c r="H1727" s="8" t="n">
        <x:f>SUM('Данные'!H1727:I1727)</x:f>
        <x:v>0</x:v>
      </x:c>
      <x:c r="I1727" s="16" t="str">
        <x:f>IF(H1727&gt;0,G1727/H1727,"n.a.")</x:f>
        <x:v>n.a.</x:v>
      </x:c>
      <x:c r="J1727" s="10" t="n">
        <x:f>IF('Данные'!E1727&gt;0,G1727/'Данные'!E1727,"n.a.")</x:f>
        <x:v>0</x:v>
      </x:c>
      <x:c r="K1727" s="1" t="str">
        <x:f>IF(G1727&gt;='Дашборд'!$C$51,"X","Z")</x:f>
        <x:v>Z</x:v>
      </x:c>
      <x:c r="L1727" s="1" t="str">
        <x:f>IF(H1727=0,IF(G1727&gt;0,"Нет остатка","Нет спроса"),IF(I1727&gt;='Дашборд'!$C$52,"Быстрый","Медленный"))</x:f>
        <x:v>Нет спроса</x:v>
      </x:c>
      <x:c r="M1727" s="1" t="str">
        <x:f>IF('Данные'!E1727&lt;'Дашборд'!$C$53,"Мало трафика",IF(J1727&lt;'Дашборд'!$C$9*'Дашборд'!$C$54,"Да","Нет"))</x:f>
        <x:v>Мало трафика</x:v>
      </x:c>
      <x:c r="N1727" s="1" t="str">
        <x:f>IF(AND('Данные'!D1727&gt;='Дашборд'!$C$55,D1727&lt;'Дашборд'!$C$56,'Данные'!E1727&gt;='Дашборд'!$C$53,'Данные'!L1727&lt;&gt;"Да"),"Да","Нет")</x:f>
        <x:v>Нет</x:v>
      </x:c>
      <x:c r="O1727" s="1" t="str">
        <x:f>'Данные'!L1727</x:f>
        <x:v>Нет</x:v>
      </x:c>
    </x:row>
    <x:row r="1728">
      <x:c r="A1728" s="1" t="str">
        <x:f>'Данные'!A1728</x:f>
        <x:v>168681327</x:v>
      </x:c>
      <x:c r="B1728" s="1" t="str">
        <x:f>'Данные'!B1728</x:f>
        <x:v>2xnitkaman/светло-зеленый</x:v>
      </x:c>
      <x:c r="C1728" s="8" t="n">
        <x:f>'Данные'!G1728</x:f>
        <x:v>0</x:v>
      </x:c>
      <x:c r="D1728" s="15" t="n">
        <x:f>C1728/SUM($C$5:$C$2477)</x:f>
        <x:v>0</x:v>
      </x:c>
      <x:c r="E1728" s="15" t="n">
        <x:f>SUM($D$5:D1728)</x:f>
        <x:v>1.0000000000000036</x:v>
      </x:c>
      <x:c r="F1728" s="1" t="str">
        <x:f>IF(C1728&lt;=0,"C",IF(E1728-D1728&lt;'Дашборд'!$C$49,"A",IF(E1728-D1728&lt;'Дашборд'!$C$50,"B","C")))</x:f>
        <x:v>C</x:v>
      </x:c>
      <x:c r="G1728" s="8" t="n">
        <x:f>'Данные'!F1728</x:f>
        <x:v>4</x:v>
      </x:c>
      <x:c r="H1728" s="8" t="n">
        <x:f>SUM('Данные'!H1728:I1728)</x:f>
        <x:v>0</x:v>
      </x:c>
      <x:c r="I1728" s="16" t="str">
        <x:f>IF(H1728&gt;0,G1728/H1728,"n.a.")</x:f>
        <x:v>n.a.</x:v>
      </x:c>
      <x:c r="J1728" s="10" t="n">
        <x:f>IF('Данные'!E1728&gt;0,G1728/'Данные'!E1728,"n.a.")</x:f>
        <x:v>0.018518518518518517</x:v>
      </x:c>
      <x:c r="K1728" s="1" t="str">
        <x:f>IF(G1728&gt;='Дашборд'!$C$51,"X","Z")</x:f>
        <x:v>Z</x:v>
      </x:c>
      <x:c r="L1728" s="1" t="str">
        <x:f>IF(H1728=0,IF(G1728&gt;0,"Нет остатка","Нет спроса"),IF(I1728&gt;='Дашборд'!$C$52,"Быстрый","Медленный"))</x:f>
        <x:v>Нет остатка</x:v>
      </x:c>
      <x:c r="M1728" s="1" t="str">
        <x:f>IF('Данные'!E1728&lt;'Дашборд'!$C$53,"Мало трафика",IF(J1728&lt;'Дашборд'!$C$9*'Дашборд'!$C$54,"Да","Нет"))</x:f>
        <x:v>Мало трафика</x:v>
      </x:c>
      <x:c r="N1728" s="1" t="str">
        <x:f>IF(AND('Данные'!D1728&gt;='Дашборд'!$C$55,D1728&lt;'Дашборд'!$C$56,'Данные'!E1728&gt;='Дашборд'!$C$53,'Данные'!L1728&lt;&gt;"Да"),"Да","Нет")</x:f>
        <x:v>Нет</x:v>
      </x:c>
      <x:c r="O1728" s="1" t="str">
        <x:f>'Данные'!L1728</x:f>
        <x:v>Нет</x:v>
      </x:c>
    </x:row>
    <x:row r="1729">
      <x:c r="A1729" s="1" t="str">
        <x:f>'Данные'!A1729</x:f>
        <x:v>168681328</x:v>
      </x:c>
      <x:c r="B1729" s="1" t="str">
        <x:f>'Данные'!B1729</x:f>
        <x:v>2xnitkaman/серый</x:v>
      </x:c>
      <x:c r="C1729" s="8" t="n">
        <x:f>'Данные'!G1729</x:f>
        <x:v>0</x:v>
      </x:c>
      <x:c r="D1729" s="15" t="n">
        <x:f>C1729/SUM($C$5:$C$2477)</x:f>
        <x:v>0</x:v>
      </x:c>
      <x:c r="E1729" s="15" t="n">
        <x:f>SUM($D$5:D1729)</x:f>
        <x:v>1.0000000000000036</x:v>
      </x:c>
      <x:c r="F1729" s="1" t="str">
        <x:f>IF(C1729&lt;=0,"C",IF(E1729-D1729&lt;'Дашборд'!$C$49,"A",IF(E1729-D1729&lt;'Дашборд'!$C$50,"B","C")))</x:f>
        <x:v>C</x:v>
      </x:c>
      <x:c r="G1729" s="8" t="n">
        <x:f>'Данные'!F1729</x:f>
        <x:v>0</x:v>
      </x:c>
      <x:c r="H1729" s="8" t="n">
        <x:f>SUM('Данные'!H1729:I1729)</x:f>
        <x:v>0</x:v>
      </x:c>
      <x:c r="I1729" s="16" t="str">
        <x:f>IF(H1729&gt;0,G1729/H1729,"n.a.")</x:f>
        <x:v>n.a.</x:v>
      </x:c>
      <x:c r="J1729" s="10" t="n">
        <x:f>IF('Данные'!E1729&gt;0,G1729/'Данные'!E1729,"n.a.")</x:f>
        <x:v>0</x:v>
      </x:c>
      <x:c r="K1729" s="1" t="str">
        <x:f>IF(G1729&gt;='Дашборд'!$C$51,"X","Z")</x:f>
        <x:v>Z</x:v>
      </x:c>
      <x:c r="L1729" s="1" t="str">
        <x:f>IF(H1729=0,IF(G1729&gt;0,"Нет остатка","Нет спроса"),IF(I1729&gt;='Дашборд'!$C$52,"Быстрый","Медленный"))</x:f>
        <x:v>Нет спроса</x:v>
      </x:c>
      <x:c r="M1729" s="1" t="str">
        <x:f>IF('Данные'!E1729&lt;'Дашборд'!$C$53,"Мало трафика",IF(J1729&lt;'Дашборд'!$C$9*'Дашборд'!$C$54,"Да","Нет"))</x:f>
        <x:v>Мало трафика</x:v>
      </x:c>
      <x:c r="N1729" s="1" t="str">
        <x:f>IF(AND('Данные'!D1729&gt;='Дашборд'!$C$55,D1729&lt;'Дашборд'!$C$56,'Данные'!E1729&gt;='Дашборд'!$C$53,'Данные'!L1729&lt;&gt;"Да"),"Да","Нет")</x:f>
        <x:v>Нет</x:v>
      </x:c>
      <x:c r="O1729" s="1" t="str">
        <x:f>'Данные'!L1729</x:f>
        <x:v>Нет</x:v>
      </x:c>
    </x:row>
    <x:row r="1730">
      <x:c r="A1730" s="1" t="str">
        <x:f>'Данные'!A1730</x:f>
        <x:v>168681331</x:v>
      </x:c>
      <x:c r="B1730" s="1" t="str">
        <x:f>'Данные'!B1730</x:f>
        <x:v>2xnitkaman/зеленый</x:v>
      </x:c>
      <x:c r="C1730" s="8" t="n">
        <x:f>'Данные'!G1730</x:f>
        <x:v>0</x:v>
      </x:c>
      <x:c r="D1730" s="15" t="n">
        <x:f>C1730/SUM($C$5:$C$2477)</x:f>
        <x:v>0</x:v>
      </x:c>
      <x:c r="E1730" s="15" t="n">
        <x:f>SUM($D$5:D1730)</x:f>
        <x:v>1.0000000000000036</x:v>
      </x:c>
      <x:c r="F1730" s="1" t="str">
        <x:f>IF(C1730&lt;=0,"C",IF(E1730-D1730&lt;'Дашборд'!$C$49,"A",IF(E1730-D1730&lt;'Дашборд'!$C$50,"B","C")))</x:f>
        <x:v>C</x:v>
      </x:c>
      <x:c r="G1730" s="8" t="n">
        <x:f>'Данные'!F1730</x:f>
        <x:v>0</x:v>
      </x:c>
      <x:c r="H1730" s="8" t="n">
        <x:f>SUM('Данные'!H1730:I1730)</x:f>
        <x:v>0</x:v>
      </x:c>
      <x:c r="I1730" s="16" t="str">
        <x:f>IF(H1730&gt;0,G1730/H1730,"n.a.")</x:f>
        <x:v>n.a.</x:v>
      </x:c>
      <x:c r="J1730" s="10" t="n">
        <x:f>IF('Данные'!E1730&gt;0,G1730/'Данные'!E1730,"n.a.")</x:f>
        <x:v>0</x:v>
      </x:c>
      <x:c r="K1730" s="1" t="str">
        <x:f>IF(G1730&gt;='Дашборд'!$C$51,"X","Z")</x:f>
        <x:v>Z</x:v>
      </x:c>
      <x:c r="L1730" s="1" t="str">
        <x:f>IF(H1730=0,IF(G1730&gt;0,"Нет остатка","Нет спроса"),IF(I1730&gt;='Дашборд'!$C$52,"Быстрый","Медленный"))</x:f>
        <x:v>Нет спроса</x:v>
      </x:c>
      <x:c r="M1730" s="1" t="str">
        <x:f>IF('Данные'!E1730&lt;'Дашборд'!$C$53,"Мало трафика",IF(J1730&lt;'Дашборд'!$C$9*'Дашборд'!$C$54,"Да","Нет"))</x:f>
        <x:v>Мало трафика</x:v>
      </x:c>
      <x:c r="N1730" s="1" t="str">
        <x:f>IF(AND('Данные'!D1730&gt;='Дашборд'!$C$55,D1730&lt;'Дашборд'!$C$56,'Данные'!E1730&gt;='Дашборд'!$C$53,'Данные'!L1730&lt;&gt;"Да"),"Да","Нет")</x:f>
        <x:v>Нет</x:v>
      </x:c>
      <x:c r="O1730" s="1" t="str">
        <x:f>'Данные'!L1730</x:f>
        <x:v>Нет</x:v>
      </x:c>
    </x:row>
    <x:row r="1731">
      <x:c r="A1731" s="1" t="str">
        <x:f>'Данные'!A1731</x:f>
        <x:v>168681333</x:v>
      </x:c>
      <x:c r="B1731" s="1" t="str">
        <x:f>'Данные'!B1731</x:f>
        <x:v>2xnitkaman/салатовый</x:v>
      </x:c>
      <x:c r="C1731" s="8" t="n">
        <x:f>'Данные'!G1731</x:f>
        <x:v>0</x:v>
      </x:c>
      <x:c r="D1731" s="15" t="n">
        <x:f>C1731/SUM($C$5:$C$2477)</x:f>
        <x:v>0</x:v>
      </x:c>
      <x:c r="E1731" s="15" t="n">
        <x:f>SUM($D$5:D1731)</x:f>
        <x:v>1.0000000000000036</x:v>
      </x:c>
      <x:c r="F1731" s="1" t="str">
        <x:f>IF(C1731&lt;=0,"C",IF(E1731-D1731&lt;'Дашборд'!$C$49,"A",IF(E1731-D1731&lt;'Дашборд'!$C$50,"B","C")))</x:f>
        <x:v>C</x:v>
      </x:c>
      <x:c r="G1731" s="8" t="n">
        <x:f>'Данные'!F1731</x:f>
        <x:v>0</x:v>
      </x:c>
      <x:c r="H1731" s="8" t="n">
        <x:f>SUM('Данные'!H1731:I1731)</x:f>
        <x:v>0</x:v>
      </x:c>
      <x:c r="I1731" s="16" t="str">
        <x:f>IF(H1731&gt;0,G1731/H1731,"n.a.")</x:f>
        <x:v>n.a.</x:v>
      </x:c>
      <x:c r="J1731" s="10" t="n">
        <x:f>IF('Данные'!E1731&gt;0,G1731/'Данные'!E1731,"n.a.")</x:f>
        <x:v>0</x:v>
      </x:c>
      <x:c r="K1731" s="1" t="str">
        <x:f>IF(G1731&gt;='Дашборд'!$C$51,"X","Z")</x:f>
        <x:v>Z</x:v>
      </x:c>
      <x:c r="L1731" s="1" t="str">
        <x:f>IF(H1731=0,IF(G1731&gt;0,"Нет остатка","Нет спроса"),IF(I1731&gt;='Дашборд'!$C$52,"Быстрый","Медленный"))</x:f>
        <x:v>Нет спроса</x:v>
      </x:c>
      <x:c r="M1731" s="1" t="str">
        <x:f>IF('Данные'!E1731&lt;'Дашборд'!$C$53,"Мало трафика",IF(J1731&lt;'Дашборд'!$C$9*'Дашборд'!$C$54,"Да","Нет"))</x:f>
        <x:v>Мало трафика</x:v>
      </x:c>
      <x:c r="N1731" s="1" t="str">
        <x:f>IF(AND('Данные'!D1731&gt;='Дашборд'!$C$55,D1731&lt;'Дашборд'!$C$56,'Данные'!E1731&gt;='Дашборд'!$C$53,'Данные'!L1731&lt;&gt;"Да"),"Да","Нет")</x:f>
        <x:v>Нет</x:v>
      </x:c>
      <x:c r="O1731" s="1" t="str">
        <x:f>'Данные'!L1731</x:f>
        <x:v>Нет</x:v>
      </x:c>
    </x:row>
    <x:row r="1732">
      <x:c r="A1732" s="1" t="str">
        <x:f>'Данные'!A1732</x:f>
        <x:v>169362177</x:v>
      </x:c>
      <x:c r="B1732" s="1" t="str">
        <x:f>'Данные'!B1732</x:f>
        <x:v>longslivrukav/какао</x:v>
      </x:c>
      <x:c r="C1732" s="8" t="n">
        <x:f>'Данные'!G1732</x:f>
        <x:v>0</x:v>
      </x:c>
      <x:c r="D1732" s="15" t="n">
        <x:f>C1732/SUM($C$5:$C$2477)</x:f>
        <x:v>0</x:v>
      </x:c>
      <x:c r="E1732" s="15" t="n">
        <x:f>SUM($D$5:D1732)</x:f>
        <x:v>1.0000000000000036</x:v>
      </x:c>
      <x:c r="F1732" s="1" t="str">
        <x:f>IF(C1732&lt;=0,"C",IF(E1732-D1732&lt;'Дашборд'!$C$49,"A",IF(E1732-D1732&lt;'Дашборд'!$C$50,"B","C")))</x:f>
        <x:v>C</x:v>
      </x:c>
      <x:c r="G1732" s="8" t="n">
        <x:f>'Данные'!F1732</x:f>
        <x:v>0</x:v>
      </x:c>
      <x:c r="H1732" s="8" t="n">
        <x:f>SUM('Данные'!H1732:I1732)</x:f>
        <x:v>0</x:v>
      </x:c>
      <x:c r="I1732" s="16" t="str">
        <x:f>IF(H1732&gt;0,G1732/H1732,"n.a.")</x:f>
        <x:v>n.a.</x:v>
      </x:c>
      <x:c r="J1732" s="10" t="n">
        <x:f>IF('Данные'!E1732&gt;0,G1732/'Данные'!E1732,"n.a.")</x:f>
        <x:v>0</x:v>
      </x:c>
      <x:c r="K1732" s="1" t="str">
        <x:f>IF(G1732&gt;='Дашборд'!$C$51,"X","Z")</x:f>
        <x:v>Z</x:v>
      </x:c>
      <x:c r="L1732" s="1" t="str">
        <x:f>IF(H1732=0,IF(G1732&gt;0,"Нет остатка","Нет спроса"),IF(I1732&gt;='Дашборд'!$C$52,"Быстрый","Медленный"))</x:f>
        <x:v>Нет спроса</x:v>
      </x:c>
      <x:c r="M1732" s="1" t="str">
        <x:f>IF('Данные'!E1732&lt;'Дашборд'!$C$53,"Мало трафика",IF(J1732&lt;'Дашборд'!$C$9*'Дашборд'!$C$54,"Да","Нет"))</x:f>
        <x:v>Мало трафика</x:v>
      </x:c>
      <x:c r="N1732" s="1" t="str">
        <x:f>IF(AND('Данные'!D1732&gt;='Дашборд'!$C$55,D1732&lt;'Дашборд'!$C$56,'Данные'!E1732&gt;='Дашборд'!$C$53,'Данные'!L1732&lt;&gt;"Да"),"Да","Нет")</x:f>
        <x:v>Нет</x:v>
      </x:c>
      <x:c r="O1732" s="1" t="str">
        <x:f>'Данные'!L1732</x:f>
        <x:v>Нет</x:v>
      </x:c>
    </x:row>
    <x:row r="1733">
      <x:c r="A1733" s="1" t="str">
        <x:f>'Данные'!A1733</x:f>
        <x:v>169362200</x:v>
      </x:c>
      <x:c r="B1733" s="1" t="str">
        <x:f>'Данные'!B1733</x:f>
        <x:v>longslivrukav/черный</x:v>
      </x:c>
      <x:c r="C1733" s="8" t="n">
        <x:f>'Данные'!G1733</x:f>
        <x:v>0</x:v>
      </x:c>
      <x:c r="D1733" s="15" t="n">
        <x:f>C1733/SUM($C$5:$C$2477)</x:f>
        <x:v>0</x:v>
      </x:c>
      <x:c r="E1733" s="15" t="n">
        <x:f>SUM($D$5:D1733)</x:f>
        <x:v>1.0000000000000036</x:v>
      </x:c>
      <x:c r="F1733" s="1" t="str">
        <x:f>IF(C1733&lt;=0,"C",IF(E1733-D1733&lt;'Дашборд'!$C$49,"A",IF(E1733-D1733&lt;'Дашборд'!$C$50,"B","C")))</x:f>
        <x:v>C</x:v>
      </x:c>
      <x:c r="G1733" s="8" t="n">
        <x:f>'Данные'!F1733</x:f>
        <x:v>0</x:v>
      </x:c>
      <x:c r="H1733" s="8" t="n">
        <x:f>SUM('Данные'!H1733:I1733)</x:f>
        <x:v>0</x:v>
      </x:c>
      <x:c r="I1733" s="16" t="str">
        <x:f>IF(H1733&gt;0,G1733/H1733,"n.a.")</x:f>
        <x:v>n.a.</x:v>
      </x:c>
      <x:c r="J1733" s="10" t="n">
        <x:f>IF('Данные'!E1733&gt;0,G1733/'Данные'!E1733,"n.a.")</x:f>
        <x:v>0</x:v>
      </x:c>
      <x:c r="K1733" s="1" t="str">
        <x:f>IF(G1733&gt;='Дашборд'!$C$51,"X","Z")</x:f>
        <x:v>Z</x:v>
      </x:c>
      <x:c r="L1733" s="1" t="str">
        <x:f>IF(H1733=0,IF(G1733&gt;0,"Нет остатка","Нет спроса"),IF(I1733&gt;='Дашборд'!$C$52,"Быстрый","Медленный"))</x:f>
        <x:v>Нет спроса</x:v>
      </x:c>
      <x:c r="M1733" s="1" t="str">
        <x:f>IF('Данные'!E1733&lt;'Дашборд'!$C$53,"Мало трафика",IF(J1733&lt;'Дашборд'!$C$9*'Дашборд'!$C$54,"Да","Нет"))</x:f>
        <x:v>Мало трафика</x:v>
      </x:c>
      <x:c r="N1733" s="1" t="str">
        <x:f>IF(AND('Данные'!D1733&gt;='Дашборд'!$C$55,D1733&lt;'Дашборд'!$C$56,'Данные'!E1733&gt;='Дашборд'!$C$53,'Данные'!L1733&lt;&gt;"Да"),"Да","Нет")</x:f>
        <x:v>Нет</x:v>
      </x:c>
      <x:c r="O1733" s="1" t="str">
        <x:f>'Данные'!L1733</x:f>
        <x:v>Нет</x:v>
      </x:c>
    </x:row>
    <x:row r="1734">
      <x:c r="A1734" s="1" t="str">
        <x:f>'Данные'!A1734</x:f>
        <x:v>169499265</x:v>
      </x:c>
      <x:c r="B1734" s="1" t="str">
        <x:f>'Данные'!B1734</x:f>
        <x:v>2xnitka/черный</x:v>
      </x:c>
      <x:c r="C1734" s="8" t="n">
        <x:f>'Данные'!G1734</x:f>
        <x:v>0</x:v>
      </x:c>
      <x:c r="D1734" s="15" t="n">
        <x:f>C1734/SUM($C$5:$C$2477)</x:f>
        <x:v>0</x:v>
      </x:c>
      <x:c r="E1734" s="15" t="n">
        <x:f>SUM($D$5:D1734)</x:f>
        <x:v>1.0000000000000036</x:v>
      </x:c>
      <x:c r="F1734" s="1" t="str">
        <x:f>IF(C1734&lt;=0,"C",IF(E1734-D1734&lt;'Дашборд'!$C$49,"A",IF(E1734-D1734&lt;'Дашборд'!$C$50,"B","C")))</x:f>
        <x:v>C</x:v>
      </x:c>
      <x:c r="G1734" s="8" t="n">
        <x:f>'Данные'!F1734</x:f>
        <x:v>0</x:v>
      </x:c>
      <x:c r="H1734" s="8" t="n">
        <x:f>SUM('Данные'!H1734:I1734)</x:f>
        <x:v>0</x:v>
      </x:c>
      <x:c r="I1734" s="16" t="str">
        <x:f>IF(H1734&gt;0,G1734/H1734,"n.a.")</x:f>
        <x:v>n.a.</x:v>
      </x:c>
      <x:c r="J1734" s="10" t="n">
        <x:f>IF('Данные'!E1734&gt;0,G1734/'Данные'!E1734,"n.a.")</x:f>
        <x:v>0</x:v>
      </x:c>
      <x:c r="K1734" s="1" t="str">
        <x:f>IF(G1734&gt;='Дашборд'!$C$51,"X","Z")</x:f>
        <x:v>Z</x:v>
      </x:c>
      <x:c r="L1734" s="1" t="str">
        <x:f>IF(H1734=0,IF(G1734&gt;0,"Нет остатка","Нет спроса"),IF(I1734&gt;='Дашборд'!$C$52,"Быстрый","Медленный"))</x:f>
        <x:v>Нет спроса</x:v>
      </x:c>
      <x:c r="M1734" s="1" t="str">
        <x:f>IF('Данные'!E1734&lt;'Дашборд'!$C$53,"Мало трафика",IF(J1734&lt;'Дашборд'!$C$9*'Дашборд'!$C$54,"Да","Нет"))</x:f>
        <x:v>Мало трафика</x:v>
      </x:c>
      <x:c r="N1734" s="1" t="str">
        <x:f>IF(AND('Данные'!D1734&gt;='Дашборд'!$C$55,D1734&lt;'Дашборд'!$C$56,'Данные'!E1734&gt;='Дашборд'!$C$53,'Данные'!L1734&lt;&gt;"Да"),"Да","Нет")</x:f>
        <x:v>Нет</x:v>
      </x:c>
      <x:c r="O1734" s="1" t="str">
        <x:f>'Данные'!L1734</x:f>
        <x:v>Нет</x:v>
      </x:c>
    </x:row>
    <x:row r="1735">
      <x:c r="A1735" s="1" t="str">
        <x:f>'Данные'!A1735</x:f>
        <x:v>169505479</x:v>
      </x:c>
      <x:c r="B1735" s="1" t="str">
        <x:f>'Данные'!B1735</x:f>
        <x:v>2xnitka/коричневый</x:v>
      </x:c>
      <x:c r="C1735" s="8" t="n">
        <x:f>'Данные'!G1735</x:f>
        <x:v>0</x:v>
      </x:c>
      <x:c r="D1735" s="15" t="n">
        <x:f>C1735/SUM($C$5:$C$2477)</x:f>
        <x:v>0</x:v>
      </x:c>
      <x:c r="E1735" s="15" t="n">
        <x:f>SUM($D$5:D1735)</x:f>
        <x:v>1.0000000000000036</x:v>
      </x:c>
      <x:c r="F1735" s="1" t="str">
        <x:f>IF(C1735&lt;=0,"C",IF(E1735-D1735&lt;'Дашборд'!$C$49,"A",IF(E1735-D1735&lt;'Дашборд'!$C$50,"B","C")))</x:f>
        <x:v>C</x:v>
      </x:c>
      <x:c r="G1735" s="8" t="n">
        <x:f>'Данные'!F1735</x:f>
        <x:v>0</x:v>
      </x:c>
      <x:c r="H1735" s="8" t="n">
        <x:f>SUM('Данные'!H1735:I1735)</x:f>
        <x:v>0</x:v>
      </x:c>
      <x:c r="I1735" s="16" t="str">
        <x:f>IF(H1735&gt;0,G1735/H1735,"n.a.")</x:f>
        <x:v>n.a.</x:v>
      </x:c>
      <x:c r="J1735" s="10" t="n">
        <x:f>IF('Данные'!E1735&gt;0,G1735/'Данные'!E1735,"n.a.")</x:f>
        <x:v>0</x:v>
      </x:c>
      <x:c r="K1735" s="1" t="str">
        <x:f>IF(G1735&gt;='Дашборд'!$C$51,"X","Z")</x:f>
        <x:v>Z</x:v>
      </x:c>
      <x:c r="L1735" s="1" t="str">
        <x:f>IF(H1735=0,IF(G1735&gt;0,"Нет остатка","Нет спроса"),IF(I1735&gt;='Дашборд'!$C$52,"Быстрый","Медленный"))</x:f>
        <x:v>Нет спроса</x:v>
      </x:c>
      <x:c r="M1735" s="1" t="str">
        <x:f>IF('Данные'!E1735&lt;'Дашборд'!$C$53,"Мало трафика",IF(J1735&lt;'Дашборд'!$C$9*'Дашборд'!$C$54,"Да","Нет"))</x:f>
        <x:v>Мало трафика</x:v>
      </x:c>
      <x:c r="N1735" s="1" t="str">
        <x:f>IF(AND('Данные'!D1735&gt;='Дашборд'!$C$55,D1735&lt;'Дашборд'!$C$56,'Данные'!E1735&gt;='Дашборд'!$C$53,'Данные'!L1735&lt;&gt;"Да"),"Да","Нет")</x:f>
        <x:v>Нет</x:v>
      </x:c>
      <x:c r="O1735" s="1" t="str">
        <x:f>'Данные'!L1735</x:f>
        <x:v>Нет</x:v>
      </x:c>
    </x:row>
    <x:row r="1736">
      <x:c r="A1736" s="1" t="str">
        <x:f>'Данные'!A1736</x:f>
        <x:v>169505480</x:v>
      </x:c>
      <x:c r="B1736" s="1" t="str">
        <x:f>'Данные'!B1736</x:f>
        <x:v>2xnitka/песочный</x:v>
      </x:c>
      <x:c r="C1736" s="8" t="n">
        <x:f>'Данные'!G1736</x:f>
        <x:v>0</x:v>
      </x:c>
      <x:c r="D1736" s="15" t="n">
        <x:f>C1736/SUM($C$5:$C$2477)</x:f>
        <x:v>0</x:v>
      </x:c>
      <x:c r="E1736" s="15" t="n">
        <x:f>SUM($D$5:D1736)</x:f>
        <x:v>1.0000000000000036</x:v>
      </x:c>
      <x:c r="F1736" s="1" t="str">
        <x:f>IF(C1736&lt;=0,"C",IF(E1736-D1736&lt;'Дашборд'!$C$49,"A",IF(E1736-D1736&lt;'Дашборд'!$C$50,"B","C")))</x:f>
        <x:v>C</x:v>
      </x:c>
      <x:c r="G1736" s="8" t="n">
        <x:f>'Данные'!F1736</x:f>
        <x:v>0</x:v>
      </x:c>
      <x:c r="H1736" s="8" t="n">
        <x:f>SUM('Данные'!H1736:I1736)</x:f>
        <x:v>0</x:v>
      </x:c>
      <x:c r="I1736" s="16" t="str">
        <x:f>IF(H1736&gt;0,G1736/H1736,"n.a.")</x:f>
        <x:v>n.a.</x:v>
      </x:c>
      <x:c r="J1736" s="10" t="n">
        <x:f>IF('Данные'!E1736&gt;0,G1736/'Данные'!E1736,"n.a.")</x:f>
        <x:v>0</x:v>
      </x:c>
      <x:c r="K1736" s="1" t="str">
        <x:f>IF(G1736&gt;='Дашборд'!$C$51,"X","Z")</x:f>
        <x:v>Z</x:v>
      </x:c>
      <x:c r="L1736" s="1" t="str">
        <x:f>IF(H1736=0,IF(G1736&gt;0,"Нет остатка","Нет спроса"),IF(I1736&gt;='Дашборд'!$C$52,"Быстрый","Медленный"))</x:f>
        <x:v>Нет спроса</x:v>
      </x:c>
      <x:c r="M1736" s="1" t="str">
        <x:f>IF('Данные'!E1736&lt;'Дашборд'!$C$53,"Мало трафика",IF(J1736&lt;'Дашборд'!$C$9*'Дашборд'!$C$54,"Да","Нет"))</x:f>
        <x:v>Мало трафика</x:v>
      </x:c>
      <x:c r="N1736" s="1" t="str">
        <x:f>IF(AND('Данные'!D1736&gt;='Дашборд'!$C$55,D1736&lt;'Дашборд'!$C$56,'Данные'!E1736&gt;='Дашборд'!$C$53,'Данные'!L1736&lt;&gt;"Да"),"Да","Нет")</x:f>
        <x:v>Нет</x:v>
      </x:c>
      <x:c r="O1736" s="1" t="str">
        <x:f>'Данные'!L1736</x:f>
        <x:v>Нет</x:v>
      </x:c>
    </x:row>
    <x:row r="1737">
      <x:c r="A1737" s="1" t="str">
        <x:f>'Данные'!A1737</x:f>
        <x:v>169505482</x:v>
      </x:c>
      <x:c r="B1737" s="1" t="str">
        <x:f>'Данные'!B1737</x:f>
        <x:v>2xnitka/зеленый</x:v>
      </x:c>
      <x:c r="C1737" s="8" t="n">
        <x:f>'Данные'!G1737</x:f>
        <x:v>0</x:v>
      </x:c>
      <x:c r="D1737" s="15" t="n">
        <x:f>C1737/SUM($C$5:$C$2477)</x:f>
        <x:v>0</x:v>
      </x:c>
      <x:c r="E1737" s="15" t="n">
        <x:f>SUM($D$5:D1737)</x:f>
        <x:v>1.0000000000000036</x:v>
      </x:c>
      <x:c r="F1737" s="1" t="str">
        <x:f>IF(C1737&lt;=0,"C",IF(E1737-D1737&lt;'Дашборд'!$C$49,"A",IF(E1737-D1737&lt;'Дашборд'!$C$50,"B","C")))</x:f>
        <x:v>C</x:v>
      </x:c>
      <x:c r="G1737" s="8" t="n">
        <x:f>'Данные'!F1737</x:f>
        <x:v>0</x:v>
      </x:c>
      <x:c r="H1737" s="8" t="n">
        <x:f>SUM('Данные'!H1737:I1737)</x:f>
        <x:v>0</x:v>
      </x:c>
      <x:c r="I1737" s="16" t="str">
        <x:f>IF(H1737&gt;0,G1737/H1737,"n.a.")</x:f>
        <x:v>n.a.</x:v>
      </x:c>
      <x:c r="J1737" s="10" t="n">
        <x:f>IF('Данные'!E1737&gt;0,G1737/'Данные'!E1737,"n.a.")</x:f>
        <x:v>0</x:v>
      </x:c>
      <x:c r="K1737" s="1" t="str">
        <x:f>IF(G1737&gt;='Дашборд'!$C$51,"X","Z")</x:f>
        <x:v>Z</x:v>
      </x:c>
      <x:c r="L1737" s="1" t="str">
        <x:f>IF(H1737=0,IF(G1737&gt;0,"Нет остатка","Нет спроса"),IF(I1737&gt;='Дашборд'!$C$52,"Быстрый","Медленный"))</x:f>
        <x:v>Нет спроса</x:v>
      </x:c>
      <x:c r="M1737" s="1" t="str">
        <x:f>IF('Данные'!E1737&lt;'Дашборд'!$C$53,"Мало трафика",IF(J1737&lt;'Дашборд'!$C$9*'Дашборд'!$C$54,"Да","Нет"))</x:f>
        <x:v>Мало трафика</x:v>
      </x:c>
      <x:c r="N1737" s="1" t="str">
        <x:f>IF(AND('Данные'!D1737&gt;='Дашборд'!$C$55,D1737&lt;'Дашборд'!$C$56,'Данные'!E1737&gt;='Дашборд'!$C$53,'Данные'!L1737&lt;&gt;"Да"),"Да","Нет")</x:f>
        <x:v>Нет</x:v>
      </x:c>
      <x:c r="O1737" s="1" t="str">
        <x:f>'Данные'!L1737</x:f>
        <x:v>Нет</x:v>
      </x:c>
    </x:row>
    <x:row r="1738">
      <x:c r="A1738" s="1" t="str">
        <x:f>'Данные'!A1738</x:f>
        <x:v>169505483</x:v>
      </x:c>
      <x:c r="B1738" s="1" t="str">
        <x:f>'Данные'!B1738</x:f>
        <x:v>2xnitka/молочный</x:v>
      </x:c>
      <x:c r="C1738" s="8" t="n">
        <x:f>'Данные'!G1738</x:f>
        <x:v>0</x:v>
      </x:c>
      <x:c r="D1738" s="15" t="n">
        <x:f>C1738/SUM($C$5:$C$2477)</x:f>
        <x:v>0</x:v>
      </x:c>
      <x:c r="E1738" s="15" t="n">
        <x:f>SUM($D$5:D1738)</x:f>
        <x:v>1.0000000000000036</x:v>
      </x:c>
      <x:c r="F1738" s="1" t="str">
        <x:f>IF(C1738&lt;=0,"C",IF(E1738-D1738&lt;'Дашборд'!$C$49,"A",IF(E1738-D1738&lt;'Дашборд'!$C$50,"B","C")))</x:f>
        <x:v>C</x:v>
      </x:c>
      <x:c r="G1738" s="8" t="n">
        <x:f>'Данные'!F1738</x:f>
        <x:v>0</x:v>
      </x:c>
      <x:c r="H1738" s="8" t="n">
        <x:f>SUM('Данные'!H1738:I1738)</x:f>
        <x:v>0</x:v>
      </x:c>
      <x:c r="I1738" s="16" t="str">
        <x:f>IF(H1738&gt;0,G1738/H1738,"n.a.")</x:f>
        <x:v>n.a.</x:v>
      </x:c>
      <x:c r="J1738" s="10" t="n">
        <x:f>IF('Данные'!E1738&gt;0,G1738/'Данные'!E1738,"n.a.")</x:f>
        <x:v>0</x:v>
      </x:c>
      <x:c r="K1738" s="1" t="str">
        <x:f>IF(G1738&gt;='Дашборд'!$C$51,"X","Z")</x:f>
        <x:v>Z</x:v>
      </x:c>
      <x:c r="L1738" s="1" t="str">
        <x:f>IF(H1738=0,IF(G1738&gt;0,"Нет остатка","Нет спроса"),IF(I1738&gt;='Дашборд'!$C$52,"Быстрый","Медленный"))</x:f>
        <x:v>Нет спроса</x:v>
      </x:c>
      <x:c r="M1738" s="1" t="str">
        <x:f>IF('Данные'!E1738&lt;'Дашборд'!$C$53,"Мало трафика",IF(J1738&lt;'Дашборд'!$C$9*'Дашборд'!$C$54,"Да","Нет"))</x:f>
        <x:v>Мало трафика</x:v>
      </x:c>
      <x:c r="N1738" s="1" t="str">
        <x:f>IF(AND('Данные'!D1738&gt;='Дашборд'!$C$55,D1738&lt;'Дашборд'!$C$56,'Данные'!E1738&gt;='Дашборд'!$C$53,'Данные'!L1738&lt;&gt;"Да"),"Да","Нет")</x:f>
        <x:v>Нет</x:v>
      </x:c>
      <x:c r="O1738" s="1" t="str">
        <x:f>'Данные'!L1738</x:f>
        <x:v>Нет</x:v>
      </x:c>
    </x:row>
    <x:row r="1739">
      <x:c r="A1739" s="1" t="str">
        <x:f>'Данные'!A1739</x:f>
        <x:v>169505484</x:v>
      </x:c>
      <x:c r="B1739" s="1" t="str">
        <x:f>'Данные'!B1739</x:f>
        <x:v>2xnitka/салатовый</x:v>
      </x:c>
      <x:c r="C1739" s="8" t="n">
        <x:f>'Данные'!G1739</x:f>
        <x:v>0</x:v>
      </x:c>
      <x:c r="D1739" s="15" t="n">
        <x:f>C1739/SUM($C$5:$C$2477)</x:f>
        <x:v>0</x:v>
      </x:c>
      <x:c r="E1739" s="15" t="n">
        <x:f>SUM($D$5:D1739)</x:f>
        <x:v>1.0000000000000036</x:v>
      </x:c>
      <x:c r="F1739" s="1" t="str">
        <x:f>IF(C1739&lt;=0,"C",IF(E1739-D1739&lt;'Дашборд'!$C$49,"A",IF(E1739-D1739&lt;'Дашборд'!$C$50,"B","C")))</x:f>
        <x:v>C</x:v>
      </x:c>
      <x:c r="G1739" s="8" t="n">
        <x:f>'Данные'!F1739</x:f>
        <x:v>0</x:v>
      </x:c>
      <x:c r="H1739" s="8" t="n">
        <x:f>SUM('Данные'!H1739:I1739)</x:f>
        <x:v>0</x:v>
      </x:c>
      <x:c r="I1739" s="16" t="str">
        <x:f>IF(H1739&gt;0,G1739/H1739,"n.a.")</x:f>
        <x:v>n.a.</x:v>
      </x:c>
      <x:c r="J1739" s="10" t="n">
        <x:f>IF('Данные'!E1739&gt;0,G1739/'Данные'!E1739,"n.a.")</x:f>
        <x:v>0</x:v>
      </x:c>
      <x:c r="K1739" s="1" t="str">
        <x:f>IF(G1739&gt;='Дашборд'!$C$51,"X","Z")</x:f>
        <x:v>Z</x:v>
      </x:c>
      <x:c r="L1739" s="1" t="str">
        <x:f>IF(H1739=0,IF(G1739&gt;0,"Нет остатка","Нет спроса"),IF(I1739&gt;='Дашборд'!$C$52,"Быстрый","Медленный"))</x:f>
        <x:v>Нет спроса</x:v>
      </x:c>
      <x:c r="M1739" s="1" t="str">
        <x:f>IF('Данные'!E1739&lt;'Дашборд'!$C$53,"Мало трафика",IF(J1739&lt;'Дашборд'!$C$9*'Дашборд'!$C$54,"Да","Нет"))</x:f>
        <x:v>Мало трафика</x:v>
      </x:c>
      <x:c r="N1739" s="1" t="str">
        <x:f>IF(AND('Данные'!D1739&gt;='Дашборд'!$C$55,D1739&lt;'Дашборд'!$C$56,'Данные'!E1739&gt;='Дашборд'!$C$53,'Данные'!L1739&lt;&gt;"Да"),"Да","Нет")</x:f>
        <x:v>Нет</x:v>
      </x:c>
      <x:c r="O1739" s="1" t="str">
        <x:f>'Данные'!L1739</x:f>
        <x:v>Нет</x:v>
      </x:c>
    </x:row>
    <x:row r="1740">
      <x:c r="A1740" s="1" t="str">
        <x:f>'Данные'!A1740</x:f>
        <x:v>169505492</x:v>
      </x:c>
      <x:c r="B1740" s="1" t="str">
        <x:f>'Данные'!B1740</x:f>
        <x:v>2xnitka/кофейный</x:v>
      </x:c>
      <x:c r="C1740" s="8" t="n">
        <x:f>'Данные'!G1740</x:f>
        <x:v>0</x:v>
      </x:c>
      <x:c r="D1740" s="15" t="n">
        <x:f>C1740/SUM($C$5:$C$2477)</x:f>
        <x:v>0</x:v>
      </x:c>
      <x:c r="E1740" s="15" t="n">
        <x:f>SUM($D$5:D1740)</x:f>
        <x:v>1.0000000000000036</x:v>
      </x:c>
      <x:c r="F1740" s="1" t="str">
        <x:f>IF(C1740&lt;=0,"C",IF(E1740-D1740&lt;'Дашборд'!$C$49,"A",IF(E1740-D1740&lt;'Дашборд'!$C$50,"B","C")))</x:f>
        <x:v>C</x:v>
      </x:c>
      <x:c r="G1740" s="8" t="n">
        <x:f>'Данные'!F1740</x:f>
        <x:v>0</x:v>
      </x:c>
      <x:c r="H1740" s="8" t="n">
        <x:f>SUM('Данные'!H1740:I1740)</x:f>
        <x:v>0</x:v>
      </x:c>
      <x:c r="I1740" s="16" t="str">
        <x:f>IF(H1740&gt;0,G1740/H1740,"n.a.")</x:f>
        <x:v>n.a.</x:v>
      </x:c>
      <x:c r="J1740" s="10" t="n">
        <x:f>IF('Данные'!E1740&gt;0,G1740/'Данные'!E1740,"n.a.")</x:f>
        <x:v>0</x:v>
      </x:c>
      <x:c r="K1740" s="1" t="str">
        <x:f>IF(G1740&gt;='Дашборд'!$C$51,"X","Z")</x:f>
        <x:v>Z</x:v>
      </x:c>
      <x:c r="L1740" s="1" t="str">
        <x:f>IF(H1740=0,IF(G1740&gt;0,"Нет остатка","Нет спроса"),IF(I1740&gt;='Дашборд'!$C$52,"Быстрый","Медленный"))</x:f>
        <x:v>Нет спроса</x:v>
      </x:c>
      <x:c r="M1740" s="1" t="str">
        <x:f>IF('Данные'!E1740&lt;'Дашборд'!$C$53,"Мало трафика",IF(J1740&lt;'Дашборд'!$C$9*'Дашборд'!$C$54,"Да","Нет"))</x:f>
        <x:v>Мало трафика</x:v>
      </x:c>
      <x:c r="N1740" s="1" t="str">
        <x:f>IF(AND('Данные'!D1740&gt;='Дашборд'!$C$55,D1740&lt;'Дашборд'!$C$56,'Данные'!E1740&gt;='Дашборд'!$C$53,'Данные'!L1740&lt;&gt;"Да"),"Да","Нет")</x:f>
        <x:v>Нет</x:v>
      </x:c>
      <x:c r="O1740" s="1" t="str">
        <x:f>'Данные'!L1740</x:f>
        <x:v>Нет</x:v>
      </x:c>
    </x:row>
    <x:row r="1741">
      <x:c r="A1741" s="1" t="str">
        <x:f>'Данные'!A1741</x:f>
        <x:v>169505493</x:v>
      </x:c>
      <x:c r="B1741" s="1" t="str">
        <x:f>'Данные'!B1741</x:f>
        <x:v>2xnitka/красный</x:v>
      </x:c>
      <x:c r="C1741" s="8" t="n">
        <x:f>'Данные'!G1741</x:f>
        <x:v>0</x:v>
      </x:c>
      <x:c r="D1741" s="15" t="n">
        <x:f>C1741/SUM($C$5:$C$2477)</x:f>
        <x:v>0</x:v>
      </x:c>
      <x:c r="E1741" s="15" t="n">
        <x:f>SUM($D$5:D1741)</x:f>
        <x:v>1.0000000000000036</x:v>
      </x:c>
      <x:c r="F1741" s="1" t="str">
        <x:f>IF(C1741&lt;=0,"C",IF(E1741-D1741&lt;'Дашборд'!$C$49,"A",IF(E1741-D1741&lt;'Дашборд'!$C$50,"B","C")))</x:f>
        <x:v>C</x:v>
      </x:c>
      <x:c r="G1741" s="8" t="n">
        <x:f>'Данные'!F1741</x:f>
        <x:v>0</x:v>
      </x:c>
      <x:c r="H1741" s="8" t="n">
        <x:f>SUM('Данные'!H1741:I1741)</x:f>
        <x:v>0</x:v>
      </x:c>
      <x:c r="I1741" s="16" t="str">
        <x:f>IF(H1741&gt;0,G1741/H1741,"n.a.")</x:f>
        <x:v>n.a.</x:v>
      </x:c>
      <x:c r="J1741" s="10" t="n">
        <x:f>IF('Данные'!E1741&gt;0,G1741/'Данные'!E1741,"n.a.")</x:f>
        <x:v>0</x:v>
      </x:c>
      <x:c r="K1741" s="1" t="str">
        <x:f>IF(G1741&gt;='Дашборд'!$C$51,"X","Z")</x:f>
        <x:v>Z</x:v>
      </x:c>
      <x:c r="L1741" s="1" t="str">
        <x:f>IF(H1741=0,IF(G1741&gt;0,"Нет остатка","Нет спроса"),IF(I1741&gt;='Дашборд'!$C$52,"Быстрый","Медленный"))</x:f>
        <x:v>Нет спроса</x:v>
      </x:c>
      <x:c r="M1741" s="1" t="str">
        <x:f>IF('Данные'!E1741&lt;'Дашборд'!$C$53,"Мало трафика",IF(J1741&lt;'Дашборд'!$C$9*'Дашборд'!$C$54,"Да","Нет"))</x:f>
        <x:v>Мало трафика</x:v>
      </x:c>
      <x:c r="N1741" s="1" t="str">
        <x:f>IF(AND('Данные'!D1741&gt;='Дашборд'!$C$55,D1741&lt;'Дашборд'!$C$56,'Данные'!E1741&gt;='Дашборд'!$C$53,'Данные'!L1741&lt;&gt;"Да"),"Да","Нет")</x:f>
        <x:v>Нет</x:v>
      </x:c>
      <x:c r="O1741" s="1" t="str">
        <x:f>'Данные'!L1741</x:f>
        <x:v>Нет</x:v>
      </x:c>
    </x:row>
    <x:row r="1742">
      <x:c r="A1742" s="1" t="str">
        <x:f>'Данные'!A1742</x:f>
        <x:v>169505494</x:v>
      </x:c>
      <x:c r="B1742" s="1" t="str">
        <x:f>'Данные'!B1742</x:f>
        <x:v>2xnitka/фуксия</x:v>
      </x:c>
      <x:c r="C1742" s="8" t="n">
        <x:f>'Данные'!G1742</x:f>
        <x:v>0</x:v>
      </x:c>
      <x:c r="D1742" s="15" t="n">
        <x:f>C1742/SUM($C$5:$C$2477)</x:f>
        <x:v>0</x:v>
      </x:c>
      <x:c r="E1742" s="15" t="n">
        <x:f>SUM($D$5:D1742)</x:f>
        <x:v>1.0000000000000036</x:v>
      </x:c>
      <x:c r="F1742" s="1" t="str">
        <x:f>IF(C1742&lt;=0,"C",IF(E1742-D1742&lt;'Дашборд'!$C$49,"A",IF(E1742-D1742&lt;'Дашборд'!$C$50,"B","C")))</x:f>
        <x:v>C</x:v>
      </x:c>
      <x:c r="G1742" s="8" t="n">
        <x:f>'Данные'!F1742</x:f>
        <x:v>0</x:v>
      </x:c>
      <x:c r="H1742" s="8" t="n">
        <x:f>SUM('Данные'!H1742:I1742)</x:f>
        <x:v>0</x:v>
      </x:c>
      <x:c r="I1742" s="16" t="str">
        <x:f>IF(H1742&gt;0,G1742/H1742,"n.a.")</x:f>
        <x:v>n.a.</x:v>
      </x:c>
      <x:c r="J1742" s="10" t="n">
        <x:f>IF('Данные'!E1742&gt;0,G1742/'Данные'!E1742,"n.a.")</x:f>
        <x:v>0</x:v>
      </x:c>
      <x:c r="K1742" s="1" t="str">
        <x:f>IF(G1742&gt;='Дашборд'!$C$51,"X","Z")</x:f>
        <x:v>Z</x:v>
      </x:c>
      <x:c r="L1742" s="1" t="str">
        <x:f>IF(H1742=0,IF(G1742&gt;0,"Нет остатка","Нет спроса"),IF(I1742&gt;='Дашборд'!$C$52,"Быстрый","Медленный"))</x:f>
        <x:v>Нет спроса</x:v>
      </x:c>
      <x:c r="M1742" s="1" t="str">
        <x:f>IF('Данные'!E1742&lt;'Дашборд'!$C$53,"Мало трафика",IF(J1742&lt;'Дашборд'!$C$9*'Дашборд'!$C$54,"Да","Нет"))</x:f>
        <x:v>Мало трафика</x:v>
      </x:c>
      <x:c r="N1742" s="1" t="str">
        <x:f>IF(AND('Данные'!D1742&gt;='Дашборд'!$C$55,D1742&lt;'Дашборд'!$C$56,'Данные'!E1742&gt;='Дашборд'!$C$53,'Данные'!L1742&lt;&gt;"Да"),"Да","Нет")</x:f>
        <x:v>Нет</x:v>
      </x:c>
      <x:c r="O1742" s="1" t="str">
        <x:f>'Данные'!L1742</x:f>
        <x:v>Нет</x:v>
      </x:c>
    </x:row>
    <x:row r="1743">
      <x:c r="A1743" s="1" t="str">
        <x:f>'Данные'!A1743</x:f>
        <x:v>169505495</x:v>
      </x:c>
      <x:c r="B1743" s="1" t="str">
        <x:f>'Данные'!B1743</x:f>
        <x:v>2xnitka/светло-зеленый</x:v>
      </x:c>
      <x:c r="C1743" s="8" t="n">
        <x:f>'Данные'!G1743</x:f>
        <x:v>0</x:v>
      </x:c>
      <x:c r="D1743" s="15" t="n">
        <x:f>C1743/SUM($C$5:$C$2477)</x:f>
        <x:v>0</x:v>
      </x:c>
      <x:c r="E1743" s="15" t="n">
        <x:f>SUM($D$5:D1743)</x:f>
        <x:v>1.0000000000000036</x:v>
      </x:c>
      <x:c r="F1743" s="1" t="str">
        <x:f>IF(C1743&lt;=0,"C",IF(E1743-D1743&lt;'Дашборд'!$C$49,"A",IF(E1743-D1743&lt;'Дашборд'!$C$50,"B","C")))</x:f>
        <x:v>C</x:v>
      </x:c>
      <x:c r="G1743" s="8" t="n">
        <x:f>'Данные'!F1743</x:f>
        <x:v>0</x:v>
      </x:c>
      <x:c r="H1743" s="8" t="n">
        <x:f>SUM('Данные'!H1743:I1743)</x:f>
        <x:v>0</x:v>
      </x:c>
      <x:c r="I1743" s="16" t="str">
        <x:f>IF(H1743&gt;0,G1743/H1743,"n.a.")</x:f>
        <x:v>n.a.</x:v>
      </x:c>
      <x:c r="J1743" s="10" t="n">
        <x:f>IF('Данные'!E1743&gt;0,G1743/'Данные'!E1743,"n.a.")</x:f>
        <x:v>0</x:v>
      </x:c>
      <x:c r="K1743" s="1" t="str">
        <x:f>IF(G1743&gt;='Дашборд'!$C$51,"X","Z")</x:f>
        <x:v>Z</x:v>
      </x:c>
      <x:c r="L1743" s="1" t="str">
        <x:f>IF(H1743=0,IF(G1743&gt;0,"Нет остатка","Нет спроса"),IF(I1743&gt;='Дашборд'!$C$52,"Быстрый","Медленный"))</x:f>
        <x:v>Нет спроса</x:v>
      </x:c>
      <x:c r="M1743" s="1" t="str">
        <x:f>IF('Данные'!E1743&lt;'Дашборд'!$C$53,"Мало трафика",IF(J1743&lt;'Дашборд'!$C$9*'Дашборд'!$C$54,"Да","Нет"))</x:f>
        <x:v>Мало трафика</x:v>
      </x:c>
      <x:c r="N1743" s="1" t="str">
        <x:f>IF(AND('Данные'!D1743&gt;='Дашборд'!$C$55,D1743&lt;'Дашборд'!$C$56,'Данные'!E1743&gt;='Дашборд'!$C$53,'Данные'!L1743&lt;&gt;"Да"),"Да","Нет")</x:f>
        <x:v>Нет</x:v>
      </x:c>
      <x:c r="O1743" s="1" t="str">
        <x:f>'Данные'!L1743</x:f>
        <x:v>Нет</x:v>
      </x:c>
    </x:row>
    <x:row r="1744">
      <x:c r="A1744" s="1" t="str">
        <x:f>'Данные'!A1744</x:f>
        <x:v>169505499</x:v>
      </x:c>
      <x:c r="B1744" s="1" t="str">
        <x:f>'Данные'!B1744</x:f>
        <x:v>2xnitka/темно-синий</x:v>
      </x:c>
      <x:c r="C1744" s="8" t="n">
        <x:f>'Данные'!G1744</x:f>
        <x:v>0</x:v>
      </x:c>
      <x:c r="D1744" s="15" t="n">
        <x:f>C1744/SUM($C$5:$C$2477)</x:f>
        <x:v>0</x:v>
      </x:c>
      <x:c r="E1744" s="15" t="n">
        <x:f>SUM($D$5:D1744)</x:f>
        <x:v>1.0000000000000036</x:v>
      </x:c>
      <x:c r="F1744" s="1" t="str">
        <x:f>IF(C1744&lt;=0,"C",IF(E1744-D1744&lt;'Дашборд'!$C$49,"A",IF(E1744-D1744&lt;'Дашборд'!$C$50,"B","C")))</x:f>
        <x:v>C</x:v>
      </x:c>
      <x:c r="G1744" s="8" t="n">
        <x:f>'Данные'!F1744</x:f>
        <x:v>0</x:v>
      </x:c>
      <x:c r="H1744" s="8" t="n">
        <x:f>SUM('Данные'!H1744:I1744)</x:f>
        <x:v>0</x:v>
      </x:c>
      <x:c r="I1744" s="16" t="str">
        <x:f>IF(H1744&gt;0,G1744/H1744,"n.a.")</x:f>
        <x:v>n.a.</x:v>
      </x:c>
      <x:c r="J1744" s="10" t="n">
        <x:f>IF('Данные'!E1744&gt;0,G1744/'Данные'!E1744,"n.a.")</x:f>
        <x:v>0</x:v>
      </x:c>
      <x:c r="K1744" s="1" t="str">
        <x:f>IF(G1744&gt;='Дашборд'!$C$51,"X","Z")</x:f>
        <x:v>Z</x:v>
      </x:c>
      <x:c r="L1744" s="1" t="str">
        <x:f>IF(H1744=0,IF(G1744&gt;0,"Нет остатка","Нет спроса"),IF(I1744&gt;='Дашборд'!$C$52,"Быстрый","Медленный"))</x:f>
        <x:v>Нет спроса</x:v>
      </x:c>
      <x:c r="M1744" s="1" t="str">
        <x:f>IF('Данные'!E1744&lt;'Дашборд'!$C$53,"Мало трафика",IF(J1744&lt;'Дашборд'!$C$9*'Дашборд'!$C$54,"Да","Нет"))</x:f>
        <x:v>Мало трафика</x:v>
      </x:c>
      <x:c r="N1744" s="1" t="str">
        <x:f>IF(AND('Данные'!D1744&gt;='Дашборд'!$C$55,D1744&lt;'Дашборд'!$C$56,'Данные'!E1744&gt;='Дашборд'!$C$53,'Данные'!L1744&lt;&gt;"Да"),"Да","Нет")</x:f>
        <x:v>Нет</x:v>
      </x:c>
      <x:c r="O1744" s="1" t="str">
        <x:f>'Данные'!L1744</x:f>
        <x:v>Нет</x:v>
      </x:c>
    </x:row>
    <x:row r="1745">
      <x:c r="A1745" s="1" t="str">
        <x:f>'Данные'!A1745</x:f>
        <x:v>169505500</x:v>
      </x:c>
      <x:c r="B1745" s="1" t="str">
        <x:f>'Данные'!B1745</x:f>
        <x:v>2xnitka/серый</x:v>
      </x:c>
      <x:c r="C1745" s="8" t="n">
        <x:f>'Данные'!G1745</x:f>
        <x:v>0</x:v>
      </x:c>
      <x:c r="D1745" s="15" t="n">
        <x:f>C1745/SUM($C$5:$C$2477)</x:f>
        <x:v>0</x:v>
      </x:c>
      <x:c r="E1745" s="15" t="n">
        <x:f>SUM($D$5:D1745)</x:f>
        <x:v>1.0000000000000036</x:v>
      </x:c>
      <x:c r="F1745" s="1" t="str">
        <x:f>IF(C1745&lt;=0,"C",IF(E1745-D1745&lt;'Дашборд'!$C$49,"A",IF(E1745-D1745&lt;'Дашборд'!$C$50,"B","C")))</x:f>
        <x:v>C</x:v>
      </x:c>
      <x:c r="G1745" s="8" t="n">
        <x:f>'Данные'!F1745</x:f>
        <x:v>0</x:v>
      </x:c>
      <x:c r="H1745" s="8" t="n">
        <x:f>SUM('Данные'!H1745:I1745)</x:f>
        <x:v>0</x:v>
      </x:c>
      <x:c r="I1745" s="16" t="str">
        <x:f>IF(H1745&gt;0,G1745/H1745,"n.a.")</x:f>
        <x:v>n.a.</x:v>
      </x:c>
      <x:c r="J1745" s="10" t="n">
        <x:f>IF('Данные'!E1745&gt;0,G1745/'Данные'!E1745,"n.a.")</x:f>
        <x:v>0</x:v>
      </x:c>
      <x:c r="K1745" s="1" t="str">
        <x:f>IF(G1745&gt;='Дашборд'!$C$51,"X","Z")</x:f>
        <x:v>Z</x:v>
      </x:c>
      <x:c r="L1745" s="1" t="str">
        <x:f>IF(H1745=0,IF(G1745&gt;0,"Нет остатка","Нет спроса"),IF(I1745&gt;='Дашборд'!$C$52,"Быстрый","Медленный"))</x:f>
        <x:v>Нет спроса</x:v>
      </x:c>
      <x:c r="M1745" s="1" t="str">
        <x:f>IF('Данные'!E1745&lt;'Дашборд'!$C$53,"Мало трафика",IF(J1745&lt;'Дашборд'!$C$9*'Дашборд'!$C$54,"Да","Нет"))</x:f>
        <x:v>Мало трафика</x:v>
      </x:c>
      <x:c r="N1745" s="1" t="str">
        <x:f>IF(AND('Данные'!D1745&gt;='Дашборд'!$C$55,D1745&lt;'Дашборд'!$C$56,'Данные'!E1745&gt;='Дашборд'!$C$53,'Данные'!L1745&lt;&gt;"Да"),"Да","Нет")</x:f>
        <x:v>Нет</x:v>
      </x:c>
      <x:c r="O1745" s="1" t="str">
        <x:f>'Данные'!L1745</x:f>
        <x:v>Нет</x:v>
      </x:c>
    </x:row>
    <x:row r="1746">
      <x:c r="A1746" s="1" t="str">
        <x:f>'Данные'!A1746</x:f>
        <x:v>169505503</x:v>
      </x:c>
      <x:c r="B1746" s="1" t="str">
        <x:f>'Данные'!B1746</x:f>
        <x:v>2xnitka/серый меланж</x:v>
      </x:c>
      <x:c r="C1746" s="8" t="n">
        <x:f>'Данные'!G1746</x:f>
        <x:v>0</x:v>
      </x:c>
      <x:c r="D1746" s="15" t="n">
        <x:f>C1746/SUM($C$5:$C$2477)</x:f>
        <x:v>0</x:v>
      </x:c>
      <x:c r="E1746" s="15" t="n">
        <x:f>SUM($D$5:D1746)</x:f>
        <x:v>1.0000000000000036</x:v>
      </x:c>
      <x:c r="F1746" s="1" t="str">
        <x:f>IF(C1746&lt;=0,"C",IF(E1746-D1746&lt;'Дашборд'!$C$49,"A",IF(E1746-D1746&lt;'Дашборд'!$C$50,"B","C")))</x:f>
        <x:v>C</x:v>
      </x:c>
      <x:c r="G1746" s="8" t="n">
        <x:f>'Данные'!F1746</x:f>
        <x:v>0</x:v>
      </x:c>
      <x:c r="H1746" s="8" t="n">
        <x:f>SUM('Данные'!H1746:I1746)</x:f>
        <x:v>0</x:v>
      </x:c>
      <x:c r="I1746" s="16" t="str">
        <x:f>IF(H1746&gt;0,G1746/H1746,"n.a.")</x:f>
        <x:v>n.a.</x:v>
      </x:c>
      <x:c r="J1746" s="10" t="n">
        <x:f>IF('Данные'!E1746&gt;0,G1746/'Данные'!E1746,"n.a.")</x:f>
        <x:v>0</x:v>
      </x:c>
      <x:c r="K1746" s="1" t="str">
        <x:f>IF(G1746&gt;='Дашборд'!$C$51,"X","Z")</x:f>
        <x:v>Z</x:v>
      </x:c>
      <x:c r="L1746" s="1" t="str">
        <x:f>IF(H1746=0,IF(G1746&gt;0,"Нет остатка","Нет спроса"),IF(I1746&gt;='Дашборд'!$C$52,"Быстрый","Медленный"))</x:f>
        <x:v>Нет спроса</x:v>
      </x:c>
      <x:c r="M1746" s="1" t="str">
        <x:f>IF('Данные'!E1746&lt;'Дашборд'!$C$53,"Мало трафика",IF(J1746&lt;'Дашборд'!$C$9*'Дашборд'!$C$54,"Да","Нет"))</x:f>
        <x:v>Мало трафика</x:v>
      </x:c>
      <x:c r="N1746" s="1" t="str">
        <x:f>IF(AND('Данные'!D1746&gt;='Дашборд'!$C$55,D1746&lt;'Дашборд'!$C$56,'Данные'!E1746&gt;='Дашборд'!$C$53,'Данные'!L1746&lt;&gt;"Да"),"Да","Нет")</x:f>
        <x:v>Нет</x:v>
      </x:c>
      <x:c r="O1746" s="1" t="str">
        <x:f>'Данные'!L1746</x:f>
        <x:v>Нет</x:v>
      </x:c>
    </x:row>
    <x:row r="1747">
      <x:c r="A1747" s="1" t="str">
        <x:f>'Данные'!A1747</x:f>
        <x:v>169512563</x:v>
      </x:c>
      <x:c r="B1747" s="1" t="str">
        <x:f>'Данные'!B1747</x:f>
        <x:v>2xnitkacrop/черный</x:v>
      </x:c>
      <x:c r="C1747" s="8" t="n">
        <x:f>'Данные'!G1747</x:f>
        <x:v>0</x:v>
      </x:c>
      <x:c r="D1747" s="15" t="n">
        <x:f>C1747/SUM($C$5:$C$2477)</x:f>
        <x:v>0</x:v>
      </x:c>
      <x:c r="E1747" s="15" t="n">
        <x:f>SUM($D$5:D1747)</x:f>
        <x:v>1.0000000000000036</x:v>
      </x:c>
      <x:c r="F1747" s="1" t="str">
        <x:f>IF(C1747&lt;=0,"C",IF(E1747-D1747&lt;'Дашборд'!$C$49,"A",IF(E1747-D1747&lt;'Дашборд'!$C$50,"B","C")))</x:f>
        <x:v>C</x:v>
      </x:c>
      <x:c r="G1747" s="8" t="n">
        <x:f>'Данные'!F1747</x:f>
        <x:v>3</x:v>
      </x:c>
      <x:c r="H1747" s="8" t="n">
        <x:f>SUM('Данные'!H1747:I1747)</x:f>
        <x:v>1</x:v>
      </x:c>
      <x:c r="I1747" s="16" t="n">
        <x:f>IF(H1747&gt;0,G1747/H1747,"n.a.")</x:f>
        <x:v>3</x:v>
      </x:c>
      <x:c r="J1747" s="10" t="n">
        <x:f>IF('Данные'!E1747&gt;0,G1747/'Данные'!E1747,"n.a.")</x:f>
        <x:v>0.002105263157894737</x:v>
      </x:c>
      <x:c r="K1747" s="1" t="str">
        <x:f>IF(G1747&gt;='Дашборд'!$C$51,"X","Z")</x:f>
        <x:v>Z</x:v>
      </x:c>
      <x:c r="L1747" s="1" t="str">
        <x:f>IF(H1747=0,IF(G1747&gt;0,"Нет остатка","Нет спроса"),IF(I1747&gt;='Дашборд'!$C$52,"Быстрый","Медленный"))</x:f>
        <x:v>Быстрый</x:v>
      </x:c>
      <x:c r="M1747" s="1" t="str">
        <x:f>IF('Данные'!E1747&lt;'Дашборд'!$C$53,"Мало трафика",IF(J1747&lt;'Дашборд'!$C$9*'Дашборд'!$C$54,"Да","Нет"))</x:f>
        <x:v>Да</x:v>
      </x:c>
      <x:c r="N1747" s="1" t="str">
        <x:f>IF(AND('Данные'!D1747&gt;='Дашборд'!$C$55,D1747&lt;'Дашборд'!$C$56,'Данные'!E1747&gt;='Дашборд'!$C$53,'Данные'!L1747&lt;&gt;"Да"),"Да","Нет")</x:f>
        <x:v>Да</x:v>
      </x:c>
      <x:c r="O1747" s="1" t="str">
        <x:f>'Данные'!L1747</x:f>
        <x:v>Нет</x:v>
      </x:c>
    </x:row>
    <x:row r="1748">
      <x:c r="A1748" s="1" t="str">
        <x:f>'Данные'!A1748</x:f>
        <x:v>169512642</x:v>
      </x:c>
      <x:c r="B1748" s="1" t="str">
        <x:f>'Данные'!B1748</x:f>
        <x:v>2xnitkacrop/светло-зеленый</x:v>
      </x:c>
      <x:c r="C1748" s="8" t="n">
        <x:f>'Данные'!G1748</x:f>
        <x:v>0</x:v>
      </x:c>
      <x:c r="D1748" s="15" t="n">
        <x:f>C1748/SUM($C$5:$C$2477)</x:f>
        <x:v>0</x:v>
      </x:c>
      <x:c r="E1748" s="15" t="n">
        <x:f>SUM($D$5:D1748)</x:f>
        <x:v>1.0000000000000036</x:v>
      </x:c>
      <x:c r="F1748" s="1" t="str">
        <x:f>IF(C1748&lt;=0,"C",IF(E1748-D1748&lt;'Дашборд'!$C$49,"A",IF(E1748-D1748&lt;'Дашборд'!$C$50,"B","C")))</x:f>
        <x:v>C</x:v>
      </x:c>
      <x:c r="G1748" s="8" t="n">
        <x:f>'Данные'!F1748</x:f>
        <x:v>0</x:v>
      </x:c>
      <x:c r="H1748" s="8" t="n">
        <x:f>SUM('Данные'!H1748:I1748)</x:f>
        <x:v>0</x:v>
      </x:c>
      <x:c r="I1748" s="16" t="str">
        <x:f>IF(H1748&gt;0,G1748/H1748,"n.a.")</x:f>
        <x:v>n.a.</x:v>
      </x:c>
      <x:c r="J1748" s="10" t="n">
        <x:f>IF('Данные'!E1748&gt;0,G1748/'Данные'!E1748,"n.a.")</x:f>
        <x:v>0</x:v>
      </x:c>
      <x:c r="K1748" s="1" t="str">
        <x:f>IF(G1748&gt;='Дашборд'!$C$51,"X","Z")</x:f>
        <x:v>Z</x:v>
      </x:c>
      <x:c r="L1748" s="1" t="str">
        <x:f>IF(H1748=0,IF(G1748&gt;0,"Нет остатка","Нет спроса"),IF(I1748&gt;='Дашборд'!$C$52,"Быстрый","Медленный"))</x:f>
        <x:v>Нет спроса</x:v>
      </x:c>
      <x:c r="M1748" s="1" t="str">
        <x:f>IF('Данные'!E1748&lt;'Дашборд'!$C$53,"Мало трафика",IF(J1748&lt;'Дашборд'!$C$9*'Дашборд'!$C$54,"Да","Нет"))</x:f>
        <x:v>Мало трафика</x:v>
      </x:c>
      <x:c r="N1748" s="1" t="str">
        <x:f>IF(AND('Данные'!D1748&gt;='Дашборд'!$C$55,D1748&lt;'Дашборд'!$C$56,'Данные'!E1748&gt;='Дашборд'!$C$53,'Данные'!L1748&lt;&gt;"Да"),"Да","Нет")</x:f>
        <x:v>Нет</x:v>
      </x:c>
      <x:c r="O1748" s="1" t="str">
        <x:f>'Данные'!L1748</x:f>
        <x:v>Нет</x:v>
      </x:c>
    </x:row>
    <x:row r="1749">
      <x:c r="A1749" s="1" t="str">
        <x:f>'Данные'!A1749</x:f>
        <x:v>169512647</x:v>
      </x:c>
      <x:c r="B1749" s="1" t="str">
        <x:f>'Данные'!B1749</x:f>
        <x:v>2xnitkacrop/серый</x:v>
      </x:c>
      <x:c r="C1749" s="8" t="n">
        <x:f>'Данные'!G1749</x:f>
        <x:v>0</x:v>
      </x:c>
      <x:c r="D1749" s="15" t="n">
        <x:f>C1749/SUM($C$5:$C$2477)</x:f>
        <x:v>0</x:v>
      </x:c>
      <x:c r="E1749" s="15" t="n">
        <x:f>SUM($D$5:D1749)</x:f>
        <x:v>1.0000000000000036</x:v>
      </x:c>
      <x:c r="F1749" s="1" t="str">
        <x:f>IF(C1749&lt;=0,"C",IF(E1749-D1749&lt;'Дашборд'!$C$49,"A",IF(E1749-D1749&lt;'Дашборд'!$C$50,"B","C")))</x:f>
        <x:v>C</x:v>
      </x:c>
      <x:c r="G1749" s="8" t="n">
        <x:f>'Данные'!F1749</x:f>
        <x:v>0</x:v>
      </x:c>
      <x:c r="H1749" s="8" t="n">
        <x:f>SUM('Данные'!H1749:I1749)</x:f>
        <x:v>0</x:v>
      </x:c>
      <x:c r="I1749" s="16" t="str">
        <x:f>IF(H1749&gt;0,G1749/H1749,"n.a.")</x:f>
        <x:v>n.a.</x:v>
      </x:c>
      <x:c r="J1749" s="10" t="n">
        <x:f>IF('Данные'!E1749&gt;0,G1749/'Данные'!E1749,"n.a.")</x:f>
        <x:v>0</x:v>
      </x:c>
      <x:c r="K1749" s="1" t="str">
        <x:f>IF(G1749&gt;='Дашборд'!$C$51,"X","Z")</x:f>
        <x:v>Z</x:v>
      </x:c>
      <x:c r="L1749" s="1" t="str">
        <x:f>IF(H1749=0,IF(G1749&gt;0,"Нет остатка","Нет спроса"),IF(I1749&gt;='Дашборд'!$C$52,"Быстрый","Медленный"))</x:f>
        <x:v>Нет спроса</x:v>
      </x:c>
      <x:c r="M1749" s="1" t="str">
        <x:f>IF('Данные'!E1749&lt;'Дашборд'!$C$53,"Мало трафика",IF(J1749&lt;'Дашборд'!$C$9*'Дашборд'!$C$54,"Да","Нет"))</x:f>
        <x:v>Мало трафика</x:v>
      </x:c>
      <x:c r="N1749" s="1" t="str">
        <x:f>IF(AND('Данные'!D1749&gt;='Дашборд'!$C$55,D1749&lt;'Дашборд'!$C$56,'Данные'!E1749&gt;='Дашборд'!$C$53,'Данные'!L1749&lt;&gt;"Да"),"Да","Нет")</x:f>
        <x:v>Нет</x:v>
      </x:c>
      <x:c r="O1749" s="1" t="str">
        <x:f>'Данные'!L1749</x:f>
        <x:v>Нет</x:v>
      </x:c>
    </x:row>
    <x:row r="1750">
      <x:c r="A1750" s="1" t="str">
        <x:f>'Данные'!A1750</x:f>
        <x:v>169512648</x:v>
      </x:c>
      <x:c r="B1750" s="1" t="str">
        <x:f>'Данные'!B1750</x:f>
        <x:v>2xnitkacrop/серый меланж</x:v>
      </x:c>
      <x:c r="C1750" s="8" t="n">
        <x:f>'Данные'!G1750</x:f>
        <x:v>0</x:v>
      </x:c>
      <x:c r="D1750" s="15" t="n">
        <x:f>C1750/SUM($C$5:$C$2477)</x:f>
        <x:v>0</x:v>
      </x:c>
      <x:c r="E1750" s="15" t="n">
        <x:f>SUM($D$5:D1750)</x:f>
        <x:v>1.0000000000000036</x:v>
      </x:c>
      <x:c r="F1750" s="1" t="str">
        <x:f>IF(C1750&lt;=0,"C",IF(E1750-D1750&lt;'Дашборд'!$C$49,"A",IF(E1750-D1750&lt;'Дашборд'!$C$50,"B","C")))</x:f>
        <x:v>C</x:v>
      </x:c>
      <x:c r="G1750" s="8" t="n">
        <x:f>'Данные'!F1750</x:f>
        <x:v>0</x:v>
      </x:c>
      <x:c r="H1750" s="8" t="n">
        <x:f>SUM('Данные'!H1750:I1750)</x:f>
        <x:v>0</x:v>
      </x:c>
      <x:c r="I1750" s="16" t="str">
        <x:f>IF(H1750&gt;0,G1750/H1750,"n.a.")</x:f>
        <x:v>n.a.</x:v>
      </x:c>
      <x:c r="J1750" s="10" t="n">
        <x:f>IF('Данные'!E1750&gt;0,G1750/'Данные'!E1750,"n.a.")</x:f>
        <x:v>0</x:v>
      </x:c>
      <x:c r="K1750" s="1" t="str">
        <x:f>IF(G1750&gt;='Дашборд'!$C$51,"X","Z")</x:f>
        <x:v>Z</x:v>
      </x:c>
      <x:c r="L1750" s="1" t="str">
        <x:f>IF(H1750=0,IF(G1750&gt;0,"Нет остатка","Нет спроса"),IF(I1750&gt;='Дашборд'!$C$52,"Быстрый","Медленный"))</x:f>
        <x:v>Нет спроса</x:v>
      </x:c>
      <x:c r="M1750" s="1" t="str">
        <x:f>IF('Данные'!E1750&lt;'Дашборд'!$C$53,"Мало трафика",IF(J1750&lt;'Дашборд'!$C$9*'Дашборд'!$C$54,"Да","Нет"))</x:f>
        <x:v>Мало трафика</x:v>
      </x:c>
      <x:c r="N1750" s="1" t="str">
        <x:f>IF(AND('Данные'!D1750&gt;='Дашборд'!$C$55,D1750&lt;'Дашборд'!$C$56,'Данные'!E1750&gt;='Дашборд'!$C$53,'Данные'!L1750&lt;&gt;"Да"),"Да","Нет")</x:f>
        <x:v>Нет</x:v>
      </x:c>
      <x:c r="O1750" s="1" t="str">
        <x:f>'Данные'!L1750</x:f>
        <x:v>Нет</x:v>
      </x:c>
    </x:row>
    <x:row r="1751">
      <x:c r="A1751" s="1" t="str">
        <x:f>'Данные'!A1751</x:f>
        <x:v>169512650</x:v>
      </x:c>
      <x:c r="B1751" s="1" t="str">
        <x:f>'Данные'!B1751</x:f>
        <x:v>2xnitkacrop/красный</x:v>
      </x:c>
      <x:c r="C1751" s="8" t="n">
        <x:f>'Данные'!G1751</x:f>
        <x:v>0</x:v>
      </x:c>
      <x:c r="D1751" s="15" t="n">
        <x:f>C1751/SUM($C$5:$C$2477)</x:f>
        <x:v>0</x:v>
      </x:c>
      <x:c r="E1751" s="15" t="n">
        <x:f>SUM($D$5:D1751)</x:f>
        <x:v>1.0000000000000036</x:v>
      </x:c>
      <x:c r="F1751" s="1" t="str">
        <x:f>IF(C1751&lt;=0,"C",IF(E1751-D1751&lt;'Дашборд'!$C$49,"A",IF(E1751-D1751&lt;'Дашборд'!$C$50,"B","C")))</x:f>
        <x:v>C</x:v>
      </x:c>
      <x:c r="G1751" s="8" t="n">
        <x:f>'Данные'!F1751</x:f>
        <x:v>0</x:v>
      </x:c>
      <x:c r="H1751" s="8" t="n">
        <x:f>SUM('Данные'!H1751:I1751)</x:f>
        <x:v>0</x:v>
      </x:c>
      <x:c r="I1751" s="16" t="str">
        <x:f>IF(H1751&gt;0,G1751/H1751,"n.a.")</x:f>
        <x:v>n.a.</x:v>
      </x:c>
      <x:c r="J1751" s="10" t="n">
        <x:f>IF('Данные'!E1751&gt;0,G1751/'Данные'!E1751,"n.a.")</x:f>
        <x:v>0</x:v>
      </x:c>
      <x:c r="K1751" s="1" t="str">
        <x:f>IF(G1751&gt;='Дашборд'!$C$51,"X","Z")</x:f>
        <x:v>Z</x:v>
      </x:c>
      <x:c r="L1751" s="1" t="str">
        <x:f>IF(H1751=0,IF(G1751&gt;0,"Нет остатка","Нет спроса"),IF(I1751&gt;='Дашборд'!$C$52,"Быстрый","Медленный"))</x:f>
        <x:v>Нет спроса</x:v>
      </x:c>
      <x:c r="M1751" s="1" t="str">
        <x:f>IF('Данные'!E1751&lt;'Дашборд'!$C$53,"Мало трафика",IF(J1751&lt;'Дашборд'!$C$9*'Дашборд'!$C$54,"Да","Нет"))</x:f>
        <x:v>Мало трафика</x:v>
      </x:c>
      <x:c r="N1751" s="1" t="str">
        <x:f>IF(AND('Данные'!D1751&gt;='Дашборд'!$C$55,D1751&lt;'Дашборд'!$C$56,'Данные'!E1751&gt;='Дашборд'!$C$53,'Данные'!L1751&lt;&gt;"Да"),"Да","Нет")</x:f>
        <x:v>Нет</x:v>
      </x:c>
      <x:c r="O1751" s="1" t="str">
        <x:f>'Данные'!L1751</x:f>
        <x:v>Нет</x:v>
      </x:c>
    </x:row>
    <x:row r="1752">
      <x:c r="A1752" s="1" t="str">
        <x:f>'Данные'!A1752</x:f>
        <x:v>169512654</x:v>
      </x:c>
      <x:c r="B1752" s="1" t="str">
        <x:f>'Данные'!B1752</x:f>
        <x:v>2xnitkacrop/кофейный</x:v>
      </x:c>
      <x:c r="C1752" s="8" t="n">
        <x:f>'Данные'!G1752</x:f>
        <x:v>0</x:v>
      </x:c>
      <x:c r="D1752" s="15" t="n">
        <x:f>C1752/SUM($C$5:$C$2477)</x:f>
        <x:v>0</x:v>
      </x:c>
      <x:c r="E1752" s="15" t="n">
        <x:f>SUM($D$5:D1752)</x:f>
        <x:v>1.0000000000000036</x:v>
      </x:c>
      <x:c r="F1752" s="1" t="str">
        <x:f>IF(C1752&lt;=0,"C",IF(E1752-D1752&lt;'Дашборд'!$C$49,"A",IF(E1752-D1752&lt;'Дашборд'!$C$50,"B","C")))</x:f>
        <x:v>C</x:v>
      </x:c>
      <x:c r="G1752" s="8" t="n">
        <x:f>'Данные'!F1752</x:f>
        <x:v>8</x:v>
      </x:c>
      <x:c r="H1752" s="8" t="n">
        <x:f>SUM('Данные'!H1752:I1752)</x:f>
        <x:v>0</x:v>
      </x:c>
      <x:c r="I1752" s="16" t="str">
        <x:f>IF(H1752&gt;0,G1752/H1752,"n.a.")</x:f>
        <x:v>n.a.</x:v>
      </x:c>
      <x:c r="J1752" s="10" t="n">
        <x:f>IF('Данные'!E1752&gt;0,G1752/'Данные'!E1752,"n.a.")</x:f>
        <x:v>0.003911980440097799</x:v>
      </x:c>
      <x:c r="K1752" s="1" t="str">
        <x:f>IF(G1752&gt;='Дашборд'!$C$51,"X","Z")</x:f>
        <x:v>Z</x:v>
      </x:c>
      <x:c r="L1752" s="1" t="str">
        <x:f>IF(H1752=0,IF(G1752&gt;0,"Нет остатка","Нет спроса"),IF(I1752&gt;='Дашборд'!$C$52,"Быстрый","Медленный"))</x:f>
        <x:v>Нет остатка</x:v>
      </x:c>
      <x:c r="M1752" s="1" t="str">
        <x:f>IF('Данные'!E1752&lt;'Дашборд'!$C$53,"Мало трафика",IF(J1752&lt;'Дашборд'!$C$9*'Дашборд'!$C$54,"Да","Нет"))</x:f>
        <x:v>Да</x:v>
      </x:c>
      <x:c r="N1752" s="1" t="str">
        <x:f>IF(AND('Данные'!D1752&gt;='Дашборд'!$C$55,D1752&lt;'Дашборд'!$C$56,'Данные'!E1752&gt;='Дашборд'!$C$53,'Данные'!L1752&lt;&gt;"Да"),"Да","Нет")</x:f>
        <x:v>Да</x:v>
      </x:c>
      <x:c r="O1752" s="1" t="str">
        <x:f>'Данные'!L1752</x:f>
        <x:v>Нет</x:v>
      </x:c>
    </x:row>
    <x:row r="1753">
      <x:c r="A1753" s="1" t="str">
        <x:f>'Данные'!A1753</x:f>
        <x:v>169512657</x:v>
      </x:c>
      <x:c r="B1753" s="1" t="str">
        <x:f>'Данные'!B1753</x:f>
        <x:v>2xnitkacrop/зеленый</x:v>
      </x:c>
      <x:c r="C1753" s="8" t="n">
        <x:f>'Данные'!G1753</x:f>
        <x:v>0</x:v>
      </x:c>
      <x:c r="D1753" s="15" t="n">
        <x:f>C1753/SUM($C$5:$C$2477)</x:f>
        <x:v>0</x:v>
      </x:c>
      <x:c r="E1753" s="15" t="n">
        <x:f>SUM($D$5:D1753)</x:f>
        <x:v>1.0000000000000036</x:v>
      </x:c>
      <x:c r="F1753" s="1" t="str">
        <x:f>IF(C1753&lt;=0,"C",IF(E1753-D1753&lt;'Дашборд'!$C$49,"A",IF(E1753-D1753&lt;'Дашборд'!$C$50,"B","C")))</x:f>
        <x:v>C</x:v>
      </x:c>
      <x:c r="G1753" s="8" t="n">
        <x:f>'Данные'!F1753</x:f>
        <x:v>3</x:v>
      </x:c>
      <x:c r="H1753" s="8" t="n">
        <x:f>SUM('Данные'!H1753:I1753)</x:f>
        <x:v>0</x:v>
      </x:c>
      <x:c r="I1753" s="16" t="str">
        <x:f>IF(H1753&gt;0,G1753/H1753,"n.a.")</x:f>
        <x:v>n.a.</x:v>
      </x:c>
      <x:c r="J1753" s="10" t="n">
        <x:f>IF('Данные'!E1753&gt;0,G1753/'Данные'!E1753,"n.a.")</x:f>
        <x:v>0.0033407572383073497</x:v>
      </x:c>
      <x:c r="K1753" s="1" t="str">
        <x:f>IF(G1753&gt;='Дашборд'!$C$51,"X","Z")</x:f>
        <x:v>Z</x:v>
      </x:c>
      <x:c r="L1753" s="1" t="str">
        <x:f>IF(H1753=0,IF(G1753&gt;0,"Нет остатка","Нет спроса"),IF(I1753&gt;='Дашборд'!$C$52,"Быстрый","Медленный"))</x:f>
        <x:v>Нет остатка</x:v>
      </x:c>
      <x:c r="M1753" s="1" t="str">
        <x:f>IF('Данные'!E1753&lt;'Дашборд'!$C$53,"Мало трафика",IF(J1753&lt;'Дашборд'!$C$9*'Дашборд'!$C$54,"Да","Нет"))</x:f>
        <x:v>Мало трафика</x:v>
      </x:c>
      <x:c r="N1753" s="1" t="str">
        <x:f>IF(AND('Данные'!D1753&gt;='Дашборд'!$C$55,D1753&lt;'Дашборд'!$C$56,'Данные'!E1753&gt;='Дашборд'!$C$53,'Данные'!L1753&lt;&gt;"Да"),"Да","Нет")</x:f>
        <x:v>Нет</x:v>
      </x:c>
      <x:c r="O1753" s="1" t="str">
        <x:f>'Данные'!L1753</x:f>
        <x:v>Нет</x:v>
      </x:c>
    </x:row>
    <x:row r="1754">
      <x:c r="A1754" s="1" t="str">
        <x:f>'Данные'!A1754</x:f>
        <x:v>169512660</x:v>
      </x:c>
      <x:c r="B1754" s="1" t="str">
        <x:f>'Данные'!B1754</x:f>
        <x:v>2xnitkacrop/темно-синий</x:v>
      </x:c>
      <x:c r="C1754" s="8" t="n">
        <x:f>'Данные'!G1754</x:f>
        <x:v>0</x:v>
      </x:c>
      <x:c r="D1754" s="15" t="n">
        <x:f>C1754/SUM($C$5:$C$2477)</x:f>
        <x:v>0</x:v>
      </x:c>
      <x:c r="E1754" s="15" t="n">
        <x:f>SUM($D$5:D1754)</x:f>
        <x:v>1.0000000000000036</x:v>
      </x:c>
      <x:c r="F1754" s="1" t="str">
        <x:f>IF(C1754&lt;=0,"C",IF(E1754-D1754&lt;'Дашборд'!$C$49,"A",IF(E1754-D1754&lt;'Дашборд'!$C$50,"B","C")))</x:f>
        <x:v>C</x:v>
      </x:c>
      <x:c r="G1754" s="8" t="n">
        <x:f>'Данные'!F1754</x:f>
        <x:v>0</x:v>
      </x:c>
      <x:c r="H1754" s="8" t="n">
        <x:f>SUM('Данные'!H1754:I1754)</x:f>
        <x:v>0</x:v>
      </x:c>
      <x:c r="I1754" s="16" t="str">
        <x:f>IF(H1754&gt;0,G1754/H1754,"n.a.")</x:f>
        <x:v>n.a.</x:v>
      </x:c>
      <x:c r="J1754" s="10" t="n">
        <x:f>IF('Данные'!E1754&gt;0,G1754/'Данные'!E1754,"n.a.")</x:f>
        <x:v>0</x:v>
      </x:c>
      <x:c r="K1754" s="1" t="str">
        <x:f>IF(G1754&gt;='Дашборд'!$C$51,"X","Z")</x:f>
        <x:v>Z</x:v>
      </x:c>
      <x:c r="L1754" s="1" t="str">
        <x:f>IF(H1754=0,IF(G1754&gt;0,"Нет остатка","Нет спроса"),IF(I1754&gt;='Дашборд'!$C$52,"Быстрый","Медленный"))</x:f>
        <x:v>Нет спроса</x:v>
      </x:c>
      <x:c r="M1754" s="1" t="str">
        <x:f>IF('Данные'!E1754&lt;'Дашборд'!$C$53,"Мало трафика",IF(J1754&lt;'Дашборд'!$C$9*'Дашборд'!$C$54,"Да","Нет"))</x:f>
        <x:v>Мало трафика</x:v>
      </x:c>
      <x:c r="N1754" s="1" t="str">
        <x:f>IF(AND('Данные'!D1754&gt;='Дашборд'!$C$55,D1754&lt;'Дашборд'!$C$56,'Данные'!E1754&gt;='Дашборд'!$C$53,'Данные'!L1754&lt;&gt;"Да"),"Да","Нет")</x:f>
        <x:v>Нет</x:v>
      </x:c>
      <x:c r="O1754" s="1" t="str">
        <x:f>'Данные'!L1754</x:f>
        <x:v>Нет</x:v>
      </x:c>
    </x:row>
    <x:row r="1755">
      <x:c r="A1755" s="1" t="str">
        <x:f>'Данные'!A1755</x:f>
        <x:v>169512663</x:v>
      </x:c>
      <x:c r="B1755" s="1" t="str">
        <x:f>'Данные'!B1755</x:f>
        <x:v>2xnitkacrop/коричневый</x:v>
      </x:c>
      <x:c r="C1755" s="8" t="n">
        <x:f>'Данные'!G1755</x:f>
        <x:v>0</x:v>
      </x:c>
      <x:c r="D1755" s="15" t="n">
        <x:f>C1755/SUM($C$5:$C$2477)</x:f>
        <x:v>0</x:v>
      </x:c>
      <x:c r="E1755" s="15" t="n">
        <x:f>SUM($D$5:D1755)</x:f>
        <x:v>1.0000000000000036</x:v>
      </x:c>
      <x:c r="F1755" s="1" t="str">
        <x:f>IF(C1755&lt;=0,"C",IF(E1755-D1755&lt;'Дашборд'!$C$49,"A",IF(E1755-D1755&lt;'Дашборд'!$C$50,"B","C")))</x:f>
        <x:v>C</x:v>
      </x:c>
      <x:c r="G1755" s="8" t="n">
        <x:f>'Данные'!F1755</x:f>
        <x:v>3</x:v>
      </x:c>
      <x:c r="H1755" s="8" t="n">
        <x:f>SUM('Данные'!H1755:I1755)</x:f>
        <x:v>0</x:v>
      </x:c>
      <x:c r="I1755" s="16" t="str">
        <x:f>IF(H1755&gt;0,G1755/H1755,"n.a.")</x:f>
        <x:v>n.a.</x:v>
      </x:c>
      <x:c r="J1755" s="10" t="n">
        <x:f>IF('Данные'!E1755&gt;0,G1755/'Данные'!E1755,"n.a.")</x:f>
        <x:v>0.004511278195488722</x:v>
      </x:c>
      <x:c r="K1755" s="1" t="str">
        <x:f>IF(G1755&gt;='Дашборд'!$C$51,"X","Z")</x:f>
        <x:v>Z</x:v>
      </x:c>
      <x:c r="L1755" s="1" t="str">
        <x:f>IF(H1755=0,IF(G1755&gt;0,"Нет остатка","Нет спроса"),IF(I1755&gt;='Дашборд'!$C$52,"Быстрый","Медленный"))</x:f>
        <x:v>Нет остатка</x:v>
      </x:c>
      <x:c r="M1755" s="1" t="str">
        <x:f>IF('Данные'!E1755&lt;'Дашборд'!$C$53,"Мало трафика",IF(J1755&lt;'Дашборд'!$C$9*'Дашборд'!$C$54,"Да","Нет"))</x:f>
        <x:v>Мало трафика</x:v>
      </x:c>
      <x:c r="N1755" s="1" t="str">
        <x:f>IF(AND('Данные'!D1755&gt;='Дашборд'!$C$55,D1755&lt;'Дашборд'!$C$56,'Данные'!E1755&gt;='Дашборд'!$C$53,'Данные'!L1755&lt;&gt;"Да"),"Да","Нет")</x:f>
        <x:v>Нет</x:v>
      </x:c>
      <x:c r="O1755" s="1" t="str">
        <x:f>'Данные'!L1755</x:f>
        <x:v>Нет</x:v>
      </x:c>
    </x:row>
    <x:row r="1756">
      <x:c r="A1756" s="1" t="str">
        <x:f>'Данные'!A1756</x:f>
        <x:v>169518045</x:v>
      </x:c>
      <x:c r="B1756" s="1" t="str">
        <x:f>'Данные'!B1756</x:f>
        <x:v>2xnitkacrop/морская-волна</x:v>
      </x:c>
      <x:c r="C1756" s="8" t="n">
        <x:f>'Данные'!G1756</x:f>
        <x:v>0</x:v>
      </x:c>
      <x:c r="D1756" s="15" t="n">
        <x:f>C1756/SUM($C$5:$C$2477)</x:f>
        <x:v>0</x:v>
      </x:c>
      <x:c r="E1756" s="15" t="n">
        <x:f>SUM($D$5:D1756)</x:f>
        <x:v>1.0000000000000036</x:v>
      </x:c>
      <x:c r="F1756" s="1" t="str">
        <x:f>IF(C1756&lt;=0,"C",IF(E1756-D1756&lt;'Дашборд'!$C$49,"A",IF(E1756-D1756&lt;'Дашборд'!$C$50,"B","C")))</x:f>
        <x:v>C</x:v>
      </x:c>
      <x:c r="G1756" s="8" t="n">
        <x:f>'Данные'!F1756</x:f>
        <x:v>0</x:v>
      </x:c>
      <x:c r="H1756" s="8" t="n">
        <x:f>SUM('Данные'!H1756:I1756)</x:f>
        <x:v>0</x:v>
      </x:c>
      <x:c r="I1756" s="16" t="str">
        <x:f>IF(H1756&gt;0,G1756/H1756,"n.a.")</x:f>
        <x:v>n.a.</x:v>
      </x:c>
      <x:c r="J1756" s="10" t="n">
        <x:f>IF('Данные'!E1756&gt;0,G1756/'Данные'!E1756,"n.a.")</x:f>
        <x:v>0</x:v>
      </x:c>
      <x:c r="K1756" s="1" t="str">
        <x:f>IF(G1756&gt;='Дашборд'!$C$51,"X","Z")</x:f>
        <x:v>Z</x:v>
      </x:c>
      <x:c r="L1756" s="1" t="str">
        <x:f>IF(H1756=0,IF(G1756&gt;0,"Нет остатка","Нет спроса"),IF(I1756&gt;='Дашборд'!$C$52,"Быстрый","Медленный"))</x:f>
        <x:v>Нет спроса</x:v>
      </x:c>
      <x:c r="M1756" s="1" t="str">
        <x:f>IF('Данные'!E1756&lt;'Дашборд'!$C$53,"Мало трафика",IF(J1756&lt;'Дашборд'!$C$9*'Дашборд'!$C$54,"Да","Нет"))</x:f>
        <x:v>Мало трафика</x:v>
      </x:c>
      <x:c r="N1756" s="1" t="str">
        <x:f>IF(AND('Данные'!D1756&gt;='Дашборд'!$C$55,D1756&lt;'Дашборд'!$C$56,'Данные'!E1756&gt;='Дашборд'!$C$53,'Данные'!L1756&lt;&gt;"Да"),"Да","Нет")</x:f>
        <x:v>Нет</x:v>
      </x:c>
      <x:c r="O1756" s="1" t="str">
        <x:f>'Данные'!L1756</x:f>
        <x:v>Нет</x:v>
      </x:c>
    </x:row>
    <x:row r="1757">
      <x:c r="A1757" s="1" t="str">
        <x:f>'Данные'!A1757</x:f>
        <x:v>169518066</x:v>
      </x:c>
      <x:c r="B1757" s="1" t="str">
        <x:f>'Данные'!B1757</x:f>
        <x:v>2xnitka/морская-волна</x:v>
      </x:c>
      <x:c r="C1757" s="8" t="n">
        <x:f>'Данные'!G1757</x:f>
        <x:v>0</x:v>
      </x:c>
      <x:c r="D1757" s="15" t="n">
        <x:f>C1757/SUM($C$5:$C$2477)</x:f>
        <x:v>0</x:v>
      </x:c>
      <x:c r="E1757" s="15" t="n">
        <x:f>SUM($D$5:D1757)</x:f>
        <x:v>1.0000000000000036</x:v>
      </x:c>
      <x:c r="F1757" s="1" t="str">
        <x:f>IF(C1757&lt;=0,"C",IF(E1757-D1757&lt;'Дашборд'!$C$49,"A",IF(E1757-D1757&lt;'Дашборд'!$C$50,"B","C")))</x:f>
        <x:v>C</x:v>
      </x:c>
      <x:c r="G1757" s="8" t="n">
        <x:f>'Данные'!F1757</x:f>
        <x:v>0</x:v>
      </x:c>
      <x:c r="H1757" s="8" t="n">
        <x:f>SUM('Данные'!H1757:I1757)</x:f>
        <x:v>0</x:v>
      </x:c>
      <x:c r="I1757" s="16" t="str">
        <x:f>IF(H1757&gt;0,G1757/H1757,"n.a.")</x:f>
        <x:v>n.a.</x:v>
      </x:c>
      <x:c r="J1757" s="10" t="n">
        <x:f>IF('Данные'!E1757&gt;0,G1757/'Данные'!E1757,"n.a.")</x:f>
        <x:v>0</x:v>
      </x:c>
      <x:c r="K1757" s="1" t="str">
        <x:f>IF(G1757&gt;='Дашборд'!$C$51,"X","Z")</x:f>
        <x:v>Z</x:v>
      </x:c>
      <x:c r="L1757" s="1" t="str">
        <x:f>IF(H1757=0,IF(G1757&gt;0,"Нет остатка","Нет спроса"),IF(I1757&gt;='Дашборд'!$C$52,"Быстрый","Медленный"))</x:f>
        <x:v>Нет спроса</x:v>
      </x:c>
      <x:c r="M1757" s="1" t="str">
        <x:f>IF('Данные'!E1757&lt;'Дашборд'!$C$53,"Мало трафика",IF(J1757&lt;'Дашборд'!$C$9*'Дашборд'!$C$54,"Да","Нет"))</x:f>
        <x:v>Мало трафика</x:v>
      </x:c>
      <x:c r="N1757" s="1" t="str">
        <x:f>IF(AND('Данные'!D1757&gt;='Дашборд'!$C$55,D1757&lt;'Дашборд'!$C$56,'Данные'!E1757&gt;='Дашборд'!$C$53,'Данные'!L1757&lt;&gt;"Да"),"Да","Нет")</x:f>
        <x:v>Нет</x:v>
      </x:c>
      <x:c r="O1757" s="1" t="str">
        <x:f>'Данные'!L1757</x:f>
        <x:v>Нет</x:v>
      </x:c>
    </x:row>
    <x:row r="1758">
      <x:c r="A1758" s="1" t="str">
        <x:f>'Данные'!A1758</x:f>
        <x:v>169854761</x:v>
      </x:c>
      <x:c r="B1758" s="1" t="str">
        <x:f>'Данные'!B1758</x:f>
        <x:v>2xnitkaman/белый</x:v>
      </x:c>
      <x:c r="C1758" s="8" t="n">
        <x:f>'Данные'!G1758</x:f>
        <x:v>0</x:v>
      </x:c>
      <x:c r="D1758" s="15" t="n">
        <x:f>C1758/SUM($C$5:$C$2477)</x:f>
        <x:v>0</x:v>
      </x:c>
      <x:c r="E1758" s="15" t="n">
        <x:f>SUM($D$5:D1758)</x:f>
        <x:v>1.0000000000000036</x:v>
      </x:c>
      <x:c r="F1758" s="1" t="str">
        <x:f>IF(C1758&lt;=0,"C",IF(E1758-D1758&lt;'Дашборд'!$C$49,"A",IF(E1758-D1758&lt;'Дашборд'!$C$50,"B","C")))</x:f>
        <x:v>C</x:v>
      </x:c>
      <x:c r="G1758" s="8" t="n">
        <x:f>'Данные'!F1758</x:f>
        <x:v>0</x:v>
      </x:c>
      <x:c r="H1758" s="8" t="n">
        <x:f>SUM('Данные'!H1758:I1758)</x:f>
        <x:v>0</x:v>
      </x:c>
      <x:c r="I1758" s="16" t="str">
        <x:f>IF(H1758&gt;0,G1758/H1758,"n.a.")</x:f>
        <x:v>n.a.</x:v>
      </x:c>
      <x:c r="J1758" s="10" t="n">
        <x:f>IF('Данные'!E1758&gt;0,G1758/'Данные'!E1758,"n.a.")</x:f>
        <x:v>0</x:v>
      </x:c>
      <x:c r="K1758" s="1" t="str">
        <x:f>IF(G1758&gt;='Дашборд'!$C$51,"X","Z")</x:f>
        <x:v>Z</x:v>
      </x:c>
      <x:c r="L1758" s="1" t="str">
        <x:f>IF(H1758=0,IF(G1758&gt;0,"Нет остатка","Нет спроса"),IF(I1758&gt;='Дашборд'!$C$52,"Быстрый","Медленный"))</x:f>
        <x:v>Нет спроса</x:v>
      </x:c>
      <x:c r="M1758" s="1" t="str">
        <x:f>IF('Данные'!E1758&lt;'Дашборд'!$C$53,"Мало трафика",IF(J1758&lt;'Дашборд'!$C$9*'Дашборд'!$C$54,"Да","Нет"))</x:f>
        <x:v>Мало трафика</x:v>
      </x:c>
      <x:c r="N1758" s="1" t="str">
        <x:f>IF(AND('Данные'!D1758&gt;='Дашборд'!$C$55,D1758&lt;'Дашборд'!$C$56,'Данные'!E1758&gt;='Дашборд'!$C$53,'Данные'!L1758&lt;&gt;"Да"),"Да","Нет")</x:f>
        <x:v>Нет</x:v>
      </x:c>
      <x:c r="O1758" s="1" t="str">
        <x:f>'Данные'!L1758</x:f>
        <x:v>Нет</x:v>
      </x:c>
    </x:row>
    <x:row r="1759">
      <x:c r="A1759" s="1" t="str">
        <x:f>'Данные'!A1759</x:f>
        <x:v>169904492</x:v>
      </x:c>
      <x:c r="B1759" s="1" t="str">
        <x:f>'Данные'!B1759</x:f>
        <x:v>2xnitkaman/мятапыльная</x:v>
      </x:c>
      <x:c r="C1759" s="8" t="n">
        <x:f>'Данные'!G1759</x:f>
        <x:v>0</x:v>
      </x:c>
      <x:c r="D1759" s="15" t="n">
        <x:f>C1759/SUM($C$5:$C$2477)</x:f>
        <x:v>0</x:v>
      </x:c>
      <x:c r="E1759" s="15" t="n">
        <x:f>SUM($D$5:D1759)</x:f>
        <x:v>1.0000000000000036</x:v>
      </x:c>
      <x:c r="F1759" s="1" t="str">
        <x:f>IF(C1759&lt;=0,"C",IF(E1759-D1759&lt;'Дашборд'!$C$49,"A",IF(E1759-D1759&lt;'Дашборд'!$C$50,"B","C")))</x:f>
        <x:v>C</x:v>
      </x:c>
      <x:c r="G1759" s="8" t="n">
        <x:f>'Данные'!F1759</x:f>
        <x:v>0</x:v>
      </x:c>
      <x:c r="H1759" s="8" t="n">
        <x:f>SUM('Данные'!H1759:I1759)</x:f>
        <x:v>0</x:v>
      </x:c>
      <x:c r="I1759" s="16" t="str">
        <x:f>IF(H1759&gt;0,G1759/H1759,"n.a.")</x:f>
        <x:v>n.a.</x:v>
      </x:c>
      <x:c r="J1759" s="10" t="n">
        <x:f>IF('Данные'!E1759&gt;0,G1759/'Данные'!E1759,"n.a.")</x:f>
        <x:v>0</x:v>
      </x:c>
      <x:c r="K1759" s="1" t="str">
        <x:f>IF(G1759&gt;='Дашборд'!$C$51,"X","Z")</x:f>
        <x:v>Z</x:v>
      </x:c>
      <x:c r="L1759" s="1" t="str">
        <x:f>IF(H1759=0,IF(G1759&gt;0,"Нет остатка","Нет спроса"),IF(I1759&gt;='Дашборд'!$C$52,"Быстрый","Медленный"))</x:f>
        <x:v>Нет спроса</x:v>
      </x:c>
      <x:c r="M1759" s="1" t="str">
        <x:f>IF('Данные'!E1759&lt;'Дашборд'!$C$53,"Мало трафика",IF(J1759&lt;'Дашборд'!$C$9*'Дашборд'!$C$54,"Да","Нет"))</x:f>
        <x:v>Мало трафика</x:v>
      </x:c>
      <x:c r="N1759" s="1" t="str">
        <x:f>IF(AND('Данные'!D1759&gt;='Дашборд'!$C$55,D1759&lt;'Дашборд'!$C$56,'Данные'!E1759&gt;='Дашборд'!$C$53,'Данные'!L1759&lt;&gt;"Да"),"Да","Нет")</x:f>
        <x:v>Нет</x:v>
      </x:c>
      <x:c r="O1759" s="1" t="str">
        <x:f>'Данные'!L1759</x:f>
        <x:v>Нет</x:v>
      </x:c>
    </x:row>
    <x:row r="1760">
      <x:c r="A1760" s="1" t="str">
        <x:f>'Данные'!A1760</x:f>
        <x:v>170027512</x:v>
      </x:c>
      <x:c r="B1760" s="1" t="str">
        <x:f>'Данные'!B1760</x:f>
        <x:v>2xnitkaman/фуме</x:v>
      </x:c>
      <x:c r="C1760" s="8" t="n">
        <x:f>'Данные'!G1760</x:f>
        <x:v>0</x:v>
      </x:c>
      <x:c r="D1760" s="15" t="n">
        <x:f>C1760/SUM($C$5:$C$2477)</x:f>
        <x:v>0</x:v>
      </x:c>
      <x:c r="E1760" s="15" t="n">
        <x:f>SUM($D$5:D1760)</x:f>
        <x:v>1.0000000000000036</x:v>
      </x:c>
      <x:c r="F1760" s="1" t="str">
        <x:f>IF(C1760&lt;=0,"C",IF(E1760-D1760&lt;'Дашборд'!$C$49,"A",IF(E1760-D1760&lt;'Дашборд'!$C$50,"B","C")))</x:f>
        <x:v>C</x:v>
      </x:c>
      <x:c r="G1760" s="8" t="n">
        <x:f>'Данные'!F1760</x:f>
        <x:v>0</x:v>
      </x:c>
      <x:c r="H1760" s="8" t="n">
        <x:f>SUM('Данные'!H1760:I1760)</x:f>
        <x:v>0</x:v>
      </x:c>
      <x:c r="I1760" s="16" t="str">
        <x:f>IF(H1760&gt;0,G1760/H1760,"n.a.")</x:f>
        <x:v>n.a.</x:v>
      </x:c>
      <x:c r="J1760" s="10" t="n">
        <x:f>IF('Данные'!E1760&gt;0,G1760/'Данные'!E1760,"n.a.")</x:f>
        <x:v>0</x:v>
      </x:c>
      <x:c r="K1760" s="1" t="str">
        <x:f>IF(G1760&gt;='Дашборд'!$C$51,"X","Z")</x:f>
        <x:v>Z</x:v>
      </x:c>
      <x:c r="L1760" s="1" t="str">
        <x:f>IF(H1760=0,IF(G1760&gt;0,"Нет остатка","Нет спроса"),IF(I1760&gt;='Дашборд'!$C$52,"Быстрый","Медленный"))</x:f>
        <x:v>Нет спроса</x:v>
      </x:c>
      <x:c r="M1760" s="1" t="str">
        <x:f>IF('Данные'!E1760&lt;'Дашборд'!$C$53,"Мало трафика",IF(J1760&lt;'Дашборд'!$C$9*'Дашборд'!$C$54,"Да","Нет"))</x:f>
        <x:v>Мало трафика</x:v>
      </x:c>
      <x:c r="N1760" s="1" t="str">
        <x:f>IF(AND('Данные'!D1760&gt;='Дашборд'!$C$55,D1760&lt;'Дашборд'!$C$56,'Данные'!E1760&gt;='Дашборд'!$C$53,'Данные'!L1760&lt;&gt;"Да"),"Да","Нет")</x:f>
        <x:v>Нет</x:v>
      </x:c>
      <x:c r="O1760" s="1" t="str">
        <x:f>'Данные'!L1760</x:f>
        <x:v>Нет</x:v>
      </x:c>
    </x:row>
    <x:row r="1761">
      <x:c r="A1761" s="1" t="str">
        <x:f>'Данные'!A1761</x:f>
        <x:v>170169465</x:v>
      </x:c>
      <x:c r="B1761" s="1" t="str">
        <x:f>'Данные'!B1761</x:f>
        <x:v>brukiman/фуксия</x:v>
      </x:c>
      <x:c r="C1761" s="8" t="n">
        <x:f>'Данные'!G1761</x:f>
        <x:v>0</x:v>
      </x:c>
      <x:c r="D1761" s="15" t="n">
        <x:f>C1761/SUM($C$5:$C$2477)</x:f>
        <x:v>0</x:v>
      </x:c>
      <x:c r="E1761" s="15" t="n">
        <x:f>SUM($D$5:D1761)</x:f>
        <x:v>1.0000000000000036</x:v>
      </x:c>
      <x:c r="F1761" s="1" t="str">
        <x:f>IF(C1761&lt;=0,"C",IF(E1761-D1761&lt;'Дашборд'!$C$49,"A",IF(E1761-D1761&lt;'Дашборд'!$C$50,"B","C")))</x:f>
        <x:v>C</x:v>
      </x:c>
      <x:c r="G1761" s="8" t="n">
        <x:f>'Данные'!F1761</x:f>
        <x:v>0</x:v>
      </x:c>
      <x:c r="H1761" s="8" t="n">
        <x:f>SUM('Данные'!H1761:I1761)</x:f>
        <x:v>0</x:v>
      </x:c>
      <x:c r="I1761" s="16" t="str">
        <x:f>IF(H1761&gt;0,G1761/H1761,"n.a.")</x:f>
        <x:v>n.a.</x:v>
      </x:c>
      <x:c r="J1761" s="10" t="n">
        <x:f>IF('Данные'!E1761&gt;0,G1761/'Данные'!E1761,"n.a.")</x:f>
        <x:v>0</x:v>
      </x:c>
      <x:c r="K1761" s="1" t="str">
        <x:f>IF(G1761&gt;='Дашборд'!$C$51,"X","Z")</x:f>
        <x:v>Z</x:v>
      </x:c>
      <x:c r="L1761" s="1" t="str">
        <x:f>IF(H1761=0,IF(G1761&gt;0,"Нет остатка","Нет спроса"),IF(I1761&gt;='Дашборд'!$C$52,"Быстрый","Медленный"))</x:f>
        <x:v>Нет спроса</x:v>
      </x:c>
      <x:c r="M1761" s="1" t="str">
        <x:f>IF('Данные'!E1761&lt;'Дашборд'!$C$53,"Мало трафика",IF(J1761&lt;'Дашборд'!$C$9*'Дашборд'!$C$54,"Да","Нет"))</x:f>
        <x:v>Мало трафика</x:v>
      </x:c>
      <x:c r="N1761" s="1" t="str">
        <x:f>IF(AND('Данные'!D1761&gt;='Дашборд'!$C$55,D1761&lt;'Дашборд'!$C$56,'Данные'!E1761&gt;='Дашборд'!$C$53,'Данные'!L1761&lt;&gt;"Да"),"Да","Нет")</x:f>
        <x:v>Нет</x:v>
      </x:c>
      <x:c r="O1761" s="1" t="str">
        <x:f>'Данные'!L1761</x:f>
        <x:v>Нет</x:v>
      </x:c>
    </x:row>
    <x:row r="1762">
      <x:c r="A1762" s="1" t="str">
        <x:f>'Данные'!A1762</x:f>
        <x:v>170169471</x:v>
      </x:c>
      <x:c r="B1762" s="1" t="str">
        <x:f>'Данные'!B1762</x:f>
        <x:v>brukiman/серыймеланж</x:v>
      </x:c>
      <x:c r="C1762" s="8" t="n">
        <x:f>'Данные'!G1762</x:f>
        <x:v>0</x:v>
      </x:c>
      <x:c r="D1762" s="15" t="n">
        <x:f>C1762/SUM($C$5:$C$2477)</x:f>
        <x:v>0</x:v>
      </x:c>
      <x:c r="E1762" s="15" t="n">
        <x:f>SUM($D$5:D1762)</x:f>
        <x:v>1.0000000000000036</x:v>
      </x:c>
      <x:c r="F1762" s="1" t="str">
        <x:f>IF(C1762&lt;=0,"C",IF(E1762-D1762&lt;'Дашборд'!$C$49,"A",IF(E1762-D1762&lt;'Дашборд'!$C$50,"B","C")))</x:f>
        <x:v>C</x:v>
      </x:c>
      <x:c r="G1762" s="8" t="n">
        <x:f>'Данные'!F1762</x:f>
        <x:v>2</x:v>
      </x:c>
      <x:c r="H1762" s="8" t="n">
        <x:f>SUM('Данные'!H1762:I1762)</x:f>
        <x:v>11</x:v>
      </x:c>
      <x:c r="I1762" s="16" t="n">
        <x:f>IF(H1762&gt;0,G1762/H1762,"n.a.")</x:f>
        <x:v>0.18181818181818182</x:v>
      </x:c>
      <x:c r="J1762" s="10" t="n">
        <x:f>IF('Данные'!E1762&gt;0,G1762/'Данные'!E1762,"n.a.")</x:f>
        <x:v>0.0015625</x:v>
      </x:c>
      <x:c r="K1762" s="1" t="str">
        <x:f>IF(G1762&gt;='Дашборд'!$C$51,"X","Z")</x:f>
        <x:v>Z</x:v>
      </x:c>
      <x:c r="L1762" s="1" t="str">
        <x:f>IF(H1762=0,IF(G1762&gt;0,"Нет остатка","Нет спроса"),IF(I1762&gt;='Дашборд'!$C$52,"Быстрый","Медленный"))</x:f>
        <x:v>Медленный</x:v>
      </x:c>
      <x:c r="M1762" s="1" t="str">
        <x:f>IF('Данные'!E1762&lt;'Дашборд'!$C$53,"Мало трафика",IF(J1762&lt;'Дашборд'!$C$9*'Дашборд'!$C$54,"Да","Нет"))</x:f>
        <x:v>Да</x:v>
      </x:c>
      <x:c r="N1762" s="1" t="str">
        <x:f>IF(AND('Данные'!D1762&gt;='Дашборд'!$C$55,D1762&lt;'Дашборд'!$C$56,'Данные'!E1762&gt;='Дашборд'!$C$53,'Данные'!L1762&lt;&gt;"Да"),"Да","Нет")</x:f>
        <x:v>Да</x:v>
      </x:c>
      <x:c r="O1762" s="1" t="str">
        <x:f>'Данные'!L1762</x:f>
        <x:v>Нет</x:v>
      </x:c>
    </x:row>
    <x:row r="1763">
      <x:c r="A1763" s="1" t="str">
        <x:f>'Данные'!A1763</x:f>
        <x:v>170169478</x:v>
      </x:c>
      <x:c r="B1763" s="1" t="str">
        <x:f>'Данные'!B1763</x:f>
        <x:v>brukiman/салатовый</x:v>
      </x:c>
      <x:c r="C1763" s="8" t="n">
        <x:f>'Данные'!G1763</x:f>
        <x:v>0</x:v>
      </x:c>
      <x:c r="D1763" s="15" t="n">
        <x:f>C1763/SUM($C$5:$C$2477)</x:f>
        <x:v>0</x:v>
      </x:c>
      <x:c r="E1763" s="15" t="n">
        <x:f>SUM($D$5:D1763)</x:f>
        <x:v>1.0000000000000036</x:v>
      </x:c>
      <x:c r="F1763" s="1" t="str">
        <x:f>IF(C1763&lt;=0,"C",IF(E1763-D1763&lt;'Дашборд'!$C$49,"A",IF(E1763-D1763&lt;'Дашборд'!$C$50,"B","C")))</x:f>
        <x:v>C</x:v>
      </x:c>
      <x:c r="G1763" s="8" t="n">
        <x:f>'Данные'!F1763</x:f>
        <x:v>0</x:v>
      </x:c>
      <x:c r="H1763" s="8" t="n">
        <x:f>SUM('Данные'!H1763:I1763)</x:f>
        <x:v>0</x:v>
      </x:c>
      <x:c r="I1763" s="16" t="str">
        <x:f>IF(H1763&gt;0,G1763/H1763,"n.a.")</x:f>
        <x:v>n.a.</x:v>
      </x:c>
      <x:c r="J1763" s="10" t="n">
        <x:f>IF('Данные'!E1763&gt;0,G1763/'Данные'!E1763,"n.a.")</x:f>
        <x:v>0</x:v>
      </x:c>
      <x:c r="K1763" s="1" t="str">
        <x:f>IF(G1763&gt;='Дашборд'!$C$51,"X","Z")</x:f>
        <x:v>Z</x:v>
      </x:c>
      <x:c r="L1763" s="1" t="str">
        <x:f>IF(H1763=0,IF(G1763&gt;0,"Нет остатка","Нет спроса"),IF(I1763&gt;='Дашборд'!$C$52,"Быстрый","Медленный"))</x:f>
        <x:v>Нет спроса</x:v>
      </x:c>
      <x:c r="M1763" s="1" t="str">
        <x:f>IF('Данные'!E1763&lt;'Дашборд'!$C$53,"Мало трафика",IF(J1763&lt;'Дашборд'!$C$9*'Дашборд'!$C$54,"Да","Нет"))</x:f>
        <x:v>Мало трафика</x:v>
      </x:c>
      <x:c r="N1763" s="1" t="str">
        <x:f>IF(AND('Данные'!D1763&gt;='Дашборд'!$C$55,D1763&lt;'Дашборд'!$C$56,'Данные'!E1763&gt;='Дашборд'!$C$53,'Данные'!L1763&lt;&gt;"Да"),"Да","Нет")</x:f>
        <x:v>Нет</x:v>
      </x:c>
      <x:c r="O1763" s="1" t="str">
        <x:f>'Данные'!L1763</x:f>
        <x:v>Нет</x:v>
      </x:c>
    </x:row>
    <x:row r="1764">
      <x:c r="A1764" s="1" t="str">
        <x:f>'Данные'!A1764</x:f>
        <x:v>170169483</x:v>
      </x:c>
      <x:c r="B1764" s="1" t="str">
        <x:f>'Данные'!B1764</x:f>
        <x:v>brukiman/мандариновый</x:v>
      </x:c>
      <x:c r="C1764" s="8" t="n">
        <x:f>'Данные'!G1764</x:f>
        <x:v>0</x:v>
      </x:c>
      <x:c r="D1764" s="15" t="n">
        <x:f>C1764/SUM($C$5:$C$2477)</x:f>
        <x:v>0</x:v>
      </x:c>
      <x:c r="E1764" s="15" t="n">
        <x:f>SUM($D$5:D1764)</x:f>
        <x:v>1.0000000000000036</x:v>
      </x:c>
      <x:c r="F1764" s="1" t="str">
        <x:f>IF(C1764&lt;=0,"C",IF(E1764-D1764&lt;'Дашборд'!$C$49,"A",IF(E1764-D1764&lt;'Дашборд'!$C$50,"B","C")))</x:f>
        <x:v>C</x:v>
      </x:c>
      <x:c r="G1764" s="8" t="n">
        <x:f>'Данные'!F1764</x:f>
        <x:v>0</x:v>
      </x:c>
      <x:c r="H1764" s="8" t="n">
        <x:f>SUM('Данные'!H1764:I1764)</x:f>
        <x:v>0</x:v>
      </x:c>
      <x:c r="I1764" s="16" t="str">
        <x:f>IF(H1764&gt;0,G1764/H1764,"n.a.")</x:f>
        <x:v>n.a.</x:v>
      </x:c>
      <x:c r="J1764" s="10" t="n">
        <x:f>IF('Данные'!E1764&gt;0,G1764/'Данные'!E1764,"n.a.")</x:f>
        <x:v>0</x:v>
      </x:c>
      <x:c r="K1764" s="1" t="str">
        <x:f>IF(G1764&gt;='Дашборд'!$C$51,"X","Z")</x:f>
        <x:v>Z</x:v>
      </x:c>
      <x:c r="L1764" s="1" t="str">
        <x:f>IF(H1764=0,IF(G1764&gt;0,"Нет остатка","Нет спроса"),IF(I1764&gt;='Дашборд'!$C$52,"Быстрый","Медленный"))</x:f>
        <x:v>Нет спроса</x:v>
      </x:c>
      <x:c r="M1764" s="1" t="str">
        <x:f>IF('Данные'!E1764&lt;'Дашборд'!$C$53,"Мало трафика",IF(J1764&lt;'Дашборд'!$C$9*'Дашборд'!$C$54,"Да","Нет"))</x:f>
        <x:v>Мало трафика</x:v>
      </x:c>
      <x:c r="N1764" s="1" t="str">
        <x:f>IF(AND('Данные'!D1764&gt;='Дашборд'!$C$55,D1764&lt;'Дашборд'!$C$56,'Данные'!E1764&gt;='Дашборд'!$C$53,'Данные'!L1764&lt;&gt;"Да"),"Да","Нет")</x:f>
        <x:v>Нет</x:v>
      </x:c>
      <x:c r="O1764" s="1" t="str">
        <x:f>'Данные'!L1764</x:f>
        <x:v>Нет</x:v>
      </x:c>
    </x:row>
    <x:row r="1765">
      <x:c r="A1765" s="1" t="str">
        <x:f>'Данные'!A1765</x:f>
        <x:v>170169484</x:v>
      </x:c>
      <x:c r="B1765" s="1" t="str">
        <x:f>'Данные'!B1765</x:f>
        <x:v>brukiman/красный</x:v>
      </x:c>
      <x:c r="C1765" s="8" t="n">
        <x:f>'Данные'!G1765</x:f>
        <x:v>0</x:v>
      </x:c>
      <x:c r="D1765" s="15" t="n">
        <x:f>C1765/SUM($C$5:$C$2477)</x:f>
        <x:v>0</x:v>
      </x:c>
      <x:c r="E1765" s="15" t="n">
        <x:f>SUM($D$5:D1765)</x:f>
        <x:v>1.0000000000000036</x:v>
      </x:c>
      <x:c r="F1765" s="1" t="str">
        <x:f>IF(C1765&lt;=0,"C",IF(E1765-D1765&lt;'Дашборд'!$C$49,"A",IF(E1765-D1765&lt;'Дашборд'!$C$50,"B","C")))</x:f>
        <x:v>C</x:v>
      </x:c>
      <x:c r="G1765" s="8" t="n">
        <x:f>'Данные'!F1765</x:f>
        <x:v>0</x:v>
      </x:c>
      <x:c r="H1765" s="8" t="n">
        <x:f>SUM('Данные'!H1765:I1765)</x:f>
        <x:v>0</x:v>
      </x:c>
      <x:c r="I1765" s="16" t="str">
        <x:f>IF(H1765&gt;0,G1765/H1765,"n.a.")</x:f>
        <x:v>n.a.</x:v>
      </x:c>
      <x:c r="J1765" s="10" t="n">
        <x:f>IF('Данные'!E1765&gt;0,G1765/'Данные'!E1765,"n.a.")</x:f>
        <x:v>0</x:v>
      </x:c>
      <x:c r="K1765" s="1" t="str">
        <x:f>IF(G1765&gt;='Дашборд'!$C$51,"X","Z")</x:f>
        <x:v>Z</x:v>
      </x:c>
      <x:c r="L1765" s="1" t="str">
        <x:f>IF(H1765=0,IF(G1765&gt;0,"Нет остатка","Нет спроса"),IF(I1765&gt;='Дашборд'!$C$52,"Быстрый","Медленный"))</x:f>
        <x:v>Нет спроса</x:v>
      </x:c>
      <x:c r="M1765" s="1" t="str">
        <x:f>IF('Данные'!E1765&lt;'Дашборд'!$C$53,"Мало трафика",IF(J1765&lt;'Дашборд'!$C$9*'Дашборд'!$C$54,"Да","Нет"))</x:f>
        <x:v>Мало трафика</x:v>
      </x:c>
      <x:c r="N1765" s="1" t="str">
        <x:f>IF(AND('Данные'!D1765&gt;='Дашборд'!$C$55,D1765&lt;'Дашборд'!$C$56,'Данные'!E1765&gt;='Дашборд'!$C$53,'Данные'!L1765&lt;&gt;"Да"),"Да","Нет")</x:f>
        <x:v>Нет</x:v>
      </x:c>
      <x:c r="O1765" s="1" t="str">
        <x:f>'Данные'!L1765</x:f>
        <x:v>Нет</x:v>
      </x:c>
    </x:row>
    <x:row r="1766">
      <x:c r="A1766" s="1" t="str">
        <x:f>'Данные'!A1766</x:f>
        <x:v>170172036</x:v>
      </x:c>
      <x:c r="B1766" s="1" t="str">
        <x:f>'Данные'!B1766</x:f>
        <x:v>2xnitka/мятапыльная</x:v>
      </x:c>
      <x:c r="C1766" s="8" t="n">
        <x:f>'Данные'!G1766</x:f>
        <x:v>0</x:v>
      </x:c>
      <x:c r="D1766" s="15" t="n">
        <x:f>C1766/SUM($C$5:$C$2477)</x:f>
        <x:v>0</x:v>
      </x:c>
      <x:c r="E1766" s="15" t="n">
        <x:f>SUM($D$5:D1766)</x:f>
        <x:v>1.0000000000000036</x:v>
      </x:c>
      <x:c r="F1766" s="1" t="str">
        <x:f>IF(C1766&lt;=0,"C",IF(E1766-D1766&lt;'Дашборд'!$C$49,"A",IF(E1766-D1766&lt;'Дашборд'!$C$50,"B","C")))</x:f>
        <x:v>C</x:v>
      </x:c>
      <x:c r="G1766" s="8" t="n">
        <x:f>'Данные'!F1766</x:f>
        <x:v>0</x:v>
      </x:c>
      <x:c r="H1766" s="8" t="n">
        <x:f>SUM('Данные'!H1766:I1766)</x:f>
        <x:v>0</x:v>
      </x:c>
      <x:c r="I1766" s="16" t="str">
        <x:f>IF(H1766&gt;0,G1766/H1766,"n.a.")</x:f>
        <x:v>n.a.</x:v>
      </x:c>
      <x:c r="J1766" s="10" t="n">
        <x:f>IF('Данные'!E1766&gt;0,G1766/'Данные'!E1766,"n.a.")</x:f>
        <x:v>0</x:v>
      </x:c>
      <x:c r="K1766" s="1" t="str">
        <x:f>IF(G1766&gt;='Дашборд'!$C$51,"X","Z")</x:f>
        <x:v>Z</x:v>
      </x:c>
      <x:c r="L1766" s="1" t="str">
        <x:f>IF(H1766=0,IF(G1766&gt;0,"Нет остатка","Нет спроса"),IF(I1766&gt;='Дашборд'!$C$52,"Быстрый","Медленный"))</x:f>
        <x:v>Нет спроса</x:v>
      </x:c>
      <x:c r="M1766" s="1" t="str">
        <x:f>IF('Данные'!E1766&lt;'Дашборд'!$C$53,"Мало трафика",IF(J1766&lt;'Дашборд'!$C$9*'Дашборд'!$C$54,"Да","Нет"))</x:f>
        <x:v>Мало трафика</x:v>
      </x:c>
      <x:c r="N1766" s="1" t="str">
        <x:f>IF(AND('Данные'!D1766&gt;='Дашборд'!$C$55,D1766&lt;'Дашборд'!$C$56,'Данные'!E1766&gt;='Дашборд'!$C$53,'Данные'!L1766&lt;&gt;"Да"),"Да","Нет")</x:f>
        <x:v>Нет</x:v>
      </x:c>
      <x:c r="O1766" s="1" t="str">
        <x:f>'Данные'!L1766</x:f>
        <x:v>Нет</x:v>
      </x:c>
    </x:row>
    <x:row r="1767">
      <x:c r="A1767" s="1" t="str">
        <x:f>'Данные'!A1767</x:f>
        <x:v>170172039</x:v>
      </x:c>
      <x:c r="B1767" s="1" t="str">
        <x:f>'Данные'!B1767</x:f>
        <x:v>2xnitkacrop/мятапыльная</x:v>
      </x:c>
      <x:c r="C1767" s="8" t="n">
        <x:f>'Данные'!G1767</x:f>
        <x:v>0</x:v>
      </x:c>
      <x:c r="D1767" s="15" t="n">
        <x:f>C1767/SUM($C$5:$C$2477)</x:f>
        <x:v>0</x:v>
      </x:c>
      <x:c r="E1767" s="15" t="n">
        <x:f>SUM($D$5:D1767)</x:f>
        <x:v>1.0000000000000036</x:v>
      </x:c>
      <x:c r="F1767" s="1" t="str">
        <x:f>IF(C1767&lt;=0,"C",IF(E1767-D1767&lt;'Дашборд'!$C$49,"A",IF(E1767-D1767&lt;'Дашборд'!$C$50,"B","C")))</x:f>
        <x:v>C</x:v>
      </x:c>
      <x:c r="G1767" s="8" t="n">
        <x:f>'Данные'!F1767</x:f>
        <x:v>0</x:v>
      </x:c>
      <x:c r="H1767" s="8" t="n">
        <x:f>SUM('Данные'!H1767:I1767)</x:f>
        <x:v>0</x:v>
      </x:c>
      <x:c r="I1767" s="16" t="str">
        <x:f>IF(H1767&gt;0,G1767/H1767,"n.a.")</x:f>
        <x:v>n.a.</x:v>
      </x:c>
      <x:c r="J1767" s="10" t="n">
        <x:f>IF('Данные'!E1767&gt;0,G1767/'Данные'!E1767,"n.a.")</x:f>
        <x:v>0</x:v>
      </x:c>
      <x:c r="K1767" s="1" t="str">
        <x:f>IF(G1767&gt;='Дашборд'!$C$51,"X","Z")</x:f>
        <x:v>Z</x:v>
      </x:c>
      <x:c r="L1767" s="1" t="str">
        <x:f>IF(H1767=0,IF(G1767&gt;0,"Нет остатка","Нет спроса"),IF(I1767&gt;='Дашборд'!$C$52,"Быстрый","Медленный"))</x:f>
        <x:v>Нет спроса</x:v>
      </x:c>
      <x:c r="M1767" s="1" t="str">
        <x:f>IF('Данные'!E1767&lt;'Дашборд'!$C$53,"Мало трафика",IF(J1767&lt;'Дашборд'!$C$9*'Дашборд'!$C$54,"Да","Нет"))</x:f>
        <x:v>Мало трафика</x:v>
      </x:c>
      <x:c r="N1767" s="1" t="str">
        <x:f>IF(AND('Данные'!D1767&gt;='Дашборд'!$C$55,D1767&lt;'Дашборд'!$C$56,'Данные'!E1767&gt;='Дашборд'!$C$53,'Данные'!L1767&lt;&gt;"Да"),"Да","Нет")</x:f>
        <x:v>Нет</x:v>
      </x:c>
      <x:c r="O1767" s="1" t="str">
        <x:f>'Данные'!L1767</x:f>
        <x:v>Нет</x:v>
      </x:c>
    </x:row>
    <x:row r="1768">
      <x:c r="A1768" s="1" t="str">
        <x:f>'Данные'!A1768</x:f>
        <x:v>170172042</x:v>
      </x:c>
      <x:c r="B1768" s="1" t="str">
        <x:f>'Данные'!B1768</x:f>
        <x:v>2xnitka/белый</x:v>
      </x:c>
      <x:c r="C1768" s="8" t="n">
        <x:f>'Данные'!G1768</x:f>
        <x:v>0</x:v>
      </x:c>
      <x:c r="D1768" s="15" t="n">
        <x:f>C1768/SUM($C$5:$C$2477)</x:f>
        <x:v>0</x:v>
      </x:c>
      <x:c r="E1768" s="15" t="n">
        <x:f>SUM($D$5:D1768)</x:f>
        <x:v>1.0000000000000036</x:v>
      </x:c>
      <x:c r="F1768" s="1" t="str">
        <x:f>IF(C1768&lt;=0,"C",IF(E1768-D1768&lt;'Дашборд'!$C$49,"A",IF(E1768-D1768&lt;'Дашборд'!$C$50,"B","C")))</x:f>
        <x:v>C</x:v>
      </x:c>
      <x:c r="G1768" s="8" t="n">
        <x:f>'Данные'!F1768</x:f>
        <x:v>0</x:v>
      </x:c>
      <x:c r="H1768" s="8" t="n">
        <x:f>SUM('Данные'!H1768:I1768)</x:f>
        <x:v>0</x:v>
      </x:c>
      <x:c r="I1768" s="16" t="str">
        <x:f>IF(H1768&gt;0,G1768/H1768,"n.a.")</x:f>
        <x:v>n.a.</x:v>
      </x:c>
      <x:c r="J1768" s="10" t="n">
        <x:f>IF('Данные'!E1768&gt;0,G1768/'Данные'!E1768,"n.a.")</x:f>
        <x:v>0</x:v>
      </x:c>
      <x:c r="K1768" s="1" t="str">
        <x:f>IF(G1768&gt;='Дашборд'!$C$51,"X","Z")</x:f>
        <x:v>Z</x:v>
      </x:c>
      <x:c r="L1768" s="1" t="str">
        <x:f>IF(H1768=0,IF(G1768&gt;0,"Нет остатка","Нет спроса"),IF(I1768&gt;='Дашборд'!$C$52,"Быстрый","Медленный"))</x:f>
        <x:v>Нет спроса</x:v>
      </x:c>
      <x:c r="M1768" s="1" t="str">
        <x:f>IF('Данные'!E1768&lt;'Дашборд'!$C$53,"Мало трафика",IF(J1768&lt;'Дашборд'!$C$9*'Дашборд'!$C$54,"Да","Нет"))</x:f>
        <x:v>Мало трафика</x:v>
      </x:c>
      <x:c r="N1768" s="1" t="str">
        <x:f>IF(AND('Данные'!D1768&gt;='Дашборд'!$C$55,D1768&lt;'Дашборд'!$C$56,'Данные'!E1768&gt;='Дашборд'!$C$53,'Данные'!L1768&lt;&gt;"Да"),"Да","Нет")</x:f>
        <x:v>Нет</x:v>
      </x:c>
      <x:c r="O1768" s="1" t="str">
        <x:f>'Данные'!L1768</x:f>
        <x:v>Нет</x:v>
      </x:c>
    </x:row>
    <x:row r="1769">
      <x:c r="A1769" s="1" t="str">
        <x:f>'Данные'!A1769</x:f>
        <x:v>170172043</x:v>
      </x:c>
      <x:c r="B1769" s="1" t="str">
        <x:f>'Данные'!B1769</x:f>
        <x:v>2xnitkacrop/фуме</x:v>
      </x:c>
      <x:c r="C1769" s="8" t="n">
        <x:f>'Данные'!G1769</x:f>
        <x:v>0</x:v>
      </x:c>
      <x:c r="D1769" s="15" t="n">
        <x:f>C1769/SUM($C$5:$C$2477)</x:f>
        <x:v>0</x:v>
      </x:c>
      <x:c r="E1769" s="15" t="n">
        <x:f>SUM($D$5:D1769)</x:f>
        <x:v>1.0000000000000036</x:v>
      </x:c>
      <x:c r="F1769" s="1" t="str">
        <x:f>IF(C1769&lt;=0,"C",IF(E1769-D1769&lt;'Дашборд'!$C$49,"A",IF(E1769-D1769&lt;'Дашборд'!$C$50,"B","C")))</x:f>
        <x:v>C</x:v>
      </x:c>
      <x:c r="G1769" s="8" t="n">
        <x:f>'Данные'!F1769</x:f>
        <x:v>0</x:v>
      </x:c>
      <x:c r="H1769" s="8" t="n">
        <x:f>SUM('Данные'!H1769:I1769)</x:f>
        <x:v>0</x:v>
      </x:c>
      <x:c r="I1769" s="16" t="str">
        <x:f>IF(H1769&gt;0,G1769/H1769,"n.a.")</x:f>
        <x:v>n.a.</x:v>
      </x:c>
      <x:c r="J1769" s="10" t="n">
        <x:f>IF('Данные'!E1769&gt;0,G1769/'Данные'!E1769,"n.a.")</x:f>
        <x:v>0</x:v>
      </x:c>
      <x:c r="K1769" s="1" t="str">
        <x:f>IF(G1769&gt;='Дашборд'!$C$51,"X","Z")</x:f>
        <x:v>Z</x:v>
      </x:c>
      <x:c r="L1769" s="1" t="str">
        <x:f>IF(H1769=0,IF(G1769&gt;0,"Нет остатка","Нет спроса"),IF(I1769&gt;='Дашборд'!$C$52,"Быстрый","Медленный"))</x:f>
        <x:v>Нет спроса</x:v>
      </x:c>
      <x:c r="M1769" s="1" t="str">
        <x:f>IF('Данные'!E1769&lt;'Дашборд'!$C$53,"Мало трафика",IF(J1769&lt;'Дашборд'!$C$9*'Дашборд'!$C$54,"Да","Нет"))</x:f>
        <x:v>Мало трафика</x:v>
      </x:c>
      <x:c r="N1769" s="1" t="str">
        <x:f>IF(AND('Данные'!D1769&gt;='Дашборд'!$C$55,D1769&lt;'Дашборд'!$C$56,'Данные'!E1769&gt;='Дашборд'!$C$53,'Данные'!L1769&lt;&gt;"Да"),"Да","Нет")</x:f>
        <x:v>Нет</x:v>
      </x:c>
      <x:c r="O1769" s="1" t="str">
        <x:f>'Данные'!L1769</x:f>
        <x:v>Нет</x:v>
      </x:c>
    </x:row>
    <x:row r="1770">
      <x:c r="A1770" s="1" t="str">
        <x:f>'Данные'!A1770</x:f>
        <x:v>170172045</x:v>
      </x:c>
      <x:c r="B1770" s="1" t="str">
        <x:f>'Данные'!B1770</x:f>
        <x:v>2xnitka/фуме</x:v>
      </x:c>
      <x:c r="C1770" s="8" t="n">
        <x:f>'Данные'!G1770</x:f>
        <x:v>0</x:v>
      </x:c>
      <x:c r="D1770" s="15" t="n">
        <x:f>C1770/SUM($C$5:$C$2477)</x:f>
        <x:v>0</x:v>
      </x:c>
      <x:c r="E1770" s="15" t="n">
        <x:f>SUM($D$5:D1770)</x:f>
        <x:v>1.0000000000000036</x:v>
      </x:c>
      <x:c r="F1770" s="1" t="str">
        <x:f>IF(C1770&lt;=0,"C",IF(E1770-D1770&lt;'Дашборд'!$C$49,"A",IF(E1770-D1770&lt;'Дашборд'!$C$50,"B","C")))</x:f>
        <x:v>C</x:v>
      </x:c>
      <x:c r="G1770" s="8" t="n">
        <x:f>'Данные'!F1770</x:f>
        <x:v>0</x:v>
      </x:c>
      <x:c r="H1770" s="8" t="n">
        <x:f>SUM('Данные'!H1770:I1770)</x:f>
        <x:v>0</x:v>
      </x:c>
      <x:c r="I1770" s="16" t="str">
        <x:f>IF(H1770&gt;0,G1770/H1770,"n.a.")</x:f>
        <x:v>n.a.</x:v>
      </x:c>
      <x:c r="J1770" s="10" t="n">
        <x:f>IF('Данные'!E1770&gt;0,G1770/'Данные'!E1770,"n.a.")</x:f>
        <x:v>0</x:v>
      </x:c>
      <x:c r="K1770" s="1" t="str">
        <x:f>IF(G1770&gt;='Дашборд'!$C$51,"X","Z")</x:f>
        <x:v>Z</x:v>
      </x:c>
      <x:c r="L1770" s="1" t="str">
        <x:f>IF(H1770=0,IF(G1770&gt;0,"Нет остатка","Нет спроса"),IF(I1770&gt;='Дашборд'!$C$52,"Быстрый","Медленный"))</x:f>
        <x:v>Нет спроса</x:v>
      </x:c>
      <x:c r="M1770" s="1" t="str">
        <x:f>IF('Данные'!E1770&lt;'Дашборд'!$C$53,"Мало трафика",IF(J1770&lt;'Дашборд'!$C$9*'Дашборд'!$C$54,"Да","Нет"))</x:f>
        <x:v>Мало трафика</x:v>
      </x:c>
      <x:c r="N1770" s="1" t="str">
        <x:f>IF(AND('Данные'!D1770&gt;='Дашборд'!$C$55,D1770&lt;'Дашборд'!$C$56,'Данные'!E1770&gt;='Дашборд'!$C$53,'Данные'!L1770&lt;&gt;"Да"),"Да","Нет")</x:f>
        <x:v>Нет</x:v>
      </x:c>
      <x:c r="O1770" s="1" t="str">
        <x:f>'Данные'!L1770</x:f>
        <x:v>Нет</x:v>
      </x:c>
    </x:row>
    <x:row r="1771">
      <x:c r="A1771" s="1" t="str">
        <x:f>'Данные'!A1771</x:f>
        <x:v>171386726</x:v>
      </x:c>
      <x:c r="B1771" s="1" t="str">
        <x:f>'Данные'!B1771</x:f>
        <x:v>brukiman/белый</x:v>
      </x:c>
      <x:c r="C1771" s="8" t="n">
        <x:f>'Данные'!G1771</x:f>
        <x:v>0</x:v>
      </x:c>
      <x:c r="D1771" s="15" t="n">
        <x:f>C1771/SUM($C$5:$C$2477)</x:f>
        <x:v>0</x:v>
      </x:c>
      <x:c r="E1771" s="15" t="n">
        <x:f>SUM($D$5:D1771)</x:f>
        <x:v>1.0000000000000036</x:v>
      </x:c>
      <x:c r="F1771" s="1" t="str">
        <x:f>IF(C1771&lt;=0,"C",IF(E1771-D1771&lt;'Дашборд'!$C$49,"A",IF(E1771-D1771&lt;'Дашборд'!$C$50,"B","C")))</x:f>
        <x:v>C</x:v>
      </x:c>
      <x:c r="G1771" s="8" t="n">
        <x:f>'Данные'!F1771</x:f>
        <x:v>2</x:v>
      </x:c>
      <x:c r="H1771" s="8" t="n">
        <x:f>SUM('Данные'!H1771:I1771)</x:f>
        <x:v>0</x:v>
      </x:c>
      <x:c r="I1771" s="16" t="str">
        <x:f>IF(H1771&gt;0,G1771/H1771,"n.a.")</x:f>
        <x:v>n.a.</x:v>
      </x:c>
      <x:c r="J1771" s="10" t="n">
        <x:f>IF('Данные'!E1771&gt;0,G1771/'Данные'!E1771,"n.a.")</x:f>
        <x:v>0.006688963210702341</x:v>
      </x:c>
      <x:c r="K1771" s="1" t="str">
        <x:f>IF(G1771&gt;='Дашборд'!$C$51,"X","Z")</x:f>
        <x:v>Z</x:v>
      </x:c>
      <x:c r="L1771" s="1" t="str">
        <x:f>IF(H1771=0,IF(G1771&gt;0,"Нет остатка","Нет спроса"),IF(I1771&gt;='Дашборд'!$C$52,"Быстрый","Медленный"))</x:f>
        <x:v>Нет остатка</x:v>
      </x:c>
      <x:c r="M1771" s="1" t="str">
        <x:f>IF('Данные'!E1771&lt;'Дашборд'!$C$53,"Мало трафика",IF(J1771&lt;'Дашборд'!$C$9*'Дашборд'!$C$54,"Да","Нет"))</x:f>
        <x:v>Мало трафика</x:v>
      </x:c>
      <x:c r="N1771" s="1" t="str">
        <x:f>IF(AND('Данные'!D1771&gt;='Дашборд'!$C$55,D1771&lt;'Дашборд'!$C$56,'Данные'!E1771&gt;='Дашборд'!$C$53,'Данные'!L1771&lt;&gt;"Да"),"Да","Нет")</x:f>
        <x:v>Нет</x:v>
      </x:c>
      <x:c r="O1771" s="1" t="str">
        <x:f>'Данные'!L1771</x:f>
        <x:v>Нет</x:v>
      </x:c>
    </x:row>
    <x:row r="1772">
      <x:c r="A1772" s="1" t="str">
        <x:f>'Данные'!A1772</x:f>
        <x:v>175116985</x:v>
      </x:c>
      <x:c r="B1772" s="1" t="str">
        <x:f>'Данные'!B1772</x:f>
        <x:v>reglanman/зелено-серый</x:v>
      </x:c>
      <x:c r="C1772" s="8" t="n">
        <x:f>'Данные'!G1772</x:f>
        <x:v>0</x:v>
      </x:c>
      <x:c r="D1772" s="15" t="n">
        <x:f>C1772/SUM($C$5:$C$2477)</x:f>
        <x:v>0</x:v>
      </x:c>
      <x:c r="E1772" s="15" t="n">
        <x:f>SUM($D$5:D1772)</x:f>
        <x:v>1.0000000000000036</x:v>
      </x:c>
      <x:c r="F1772" s="1" t="str">
        <x:f>IF(C1772&lt;=0,"C",IF(E1772-D1772&lt;'Дашборд'!$C$49,"A",IF(E1772-D1772&lt;'Дашборд'!$C$50,"B","C")))</x:f>
        <x:v>C</x:v>
      </x:c>
      <x:c r="G1772" s="8" t="n">
        <x:f>'Данные'!F1772</x:f>
        <x:v>0</x:v>
      </x:c>
      <x:c r="H1772" s="8" t="n">
        <x:f>SUM('Данные'!H1772:I1772)</x:f>
        <x:v>0</x:v>
      </x:c>
      <x:c r="I1772" s="16" t="str">
        <x:f>IF(H1772&gt;0,G1772/H1772,"n.a.")</x:f>
        <x:v>n.a.</x:v>
      </x:c>
      <x:c r="J1772" s="10" t="n">
        <x:f>IF('Данные'!E1772&gt;0,G1772/'Данные'!E1772,"n.a.")</x:f>
        <x:v>0</x:v>
      </x:c>
      <x:c r="K1772" s="1" t="str">
        <x:f>IF(G1772&gt;='Дашборд'!$C$51,"X","Z")</x:f>
        <x:v>Z</x:v>
      </x:c>
      <x:c r="L1772" s="1" t="str">
        <x:f>IF(H1772=0,IF(G1772&gt;0,"Нет остатка","Нет спроса"),IF(I1772&gt;='Дашборд'!$C$52,"Быстрый","Медленный"))</x:f>
        <x:v>Нет спроса</x:v>
      </x:c>
      <x:c r="M1772" s="1" t="str">
        <x:f>IF('Данные'!E1772&lt;'Дашборд'!$C$53,"Мало трафика",IF(J1772&lt;'Дашборд'!$C$9*'Дашборд'!$C$54,"Да","Нет"))</x:f>
        <x:v>Мало трафика</x:v>
      </x:c>
      <x:c r="N1772" s="1" t="str">
        <x:f>IF(AND('Данные'!D1772&gt;='Дашборд'!$C$55,D1772&lt;'Дашборд'!$C$56,'Данные'!E1772&gt;='Дашборд'!$C$53,'Данные'!L1772&lt;&gt;"Да"),"Да","Нет")</x:f>
        <x:v>Нет</x:v>
      </x:c>
      <x:c r="O1772" s="1" t="str">
        <x:f>'Данные'!L1772</x:f>
        <x:v>Нет</x:v>
      </x:c>
    </x:row>
    <x:row r="1773">
      <x:c r="A1773" s="1" t="str">
        <x:f>'Данные'!A1773</x:f>
        <x:v>175116990</x:v>
      </x:c>
      <x:c r="B1773" s="1" t="str">
        <x:f>'Данные'!B1773</x:f>
        <x:v>reglanman/деним</x:v>
      </x:c>
      <x:c r="C1773" s="8" t="n">
        <x:f>'Данные'!G1773</x:f>
        <x:v>0</x:v>
      </x:c>
      <x:c r="D1773" s="15" t="n">
        <x:f>C1773/SUM($C$5:$C$2477)</x:f>
        <x:v>0</x:v>
      </x:c>
      <x:c r="E1773" s="15" t="n">
        <x:f>SUM($D$5:D1773)</x:f>
        <x:v>1.0000000000000036</x:v>
      </x:c>
      <x:c r="F1773" s="1" t="str">
        <x:f>IF(C1773&lt;=0,"C",IF(E1773-D1773&lt;'Дашборд'!$C$49,"A",IF(E1773-D1773&lt;'Дашборд'!$C$50,"B","C")))</x:f>
        <x:v>C</x:v>
      </x:c>
      <x:c r="G1773" s="8" t="n">
        <x:f>'Данные'!F1773</x:f>
        <x:v>0</x:v>
      </x:c>
      <x:c r="H1773" s="8" t="n">
        <x:f>SUM('Данные'!H1773:I1773)</x:f>
        <x:v>0</x:v>
      </x:c>
      <x:c r="I1773" s="16" t="str">
        <x:f>IF(H1773&gt;0,G1773/H1773,"n.a.")</x:f>
        <x:v>n.a.</x:v>
      </x:c>
      <x:c r="J1773" s="10" t="n">
        <x:f>IF('Данные'!E1773&gt;0,G1773/'Данные'!E1773,"n.a.")</x:f>
        <x:v>0</x:v>
      </x:c>
      <x:c r="K1773" s="1" t="str">
        <x:f>IF(G1773&gt;='Дашборд'!$C$51,"X","Z")</x:f>
        <x:v>Z</x:v>
      </x:c>
      <x:c r="L1773" s="1" t="str">
        <x:f>IF(H1773=0,IF(G1773&gt;0,"Нет остатка","Нет спроса"),IF(I1773&gt;='Дашборд'!$C$52,"Быстрый","Медленный"))</x:f>
        <x:v>Нет спроса</x:v>
      </x:c>
      <x:c r="M1773" s="1" t="str">
        <x:f>IF('Данные'!E1773&lt;'Дашборд'!$C$53,"Мало трафика",IF(J1773&lt;'Дашборд'!$C$9*'Дашборд'!$C$54,"Да","Нет"))</x:f>
        <x:v>Мало трафика</x:v>
      </x:c>
      <x:c r="N1773" s="1" t="str">
        <x:f>IF(AND('Данные'!D1773&gt;='Дашборд'!$C$55,D1773&lt;'Дашборд'!$C$56,'Данные'!E1773&gt;='Дашборд'!$C$53,'Данные'!L1773&lt;&gt;"Да"),"Да","Нет")</x:f>
        <x:v>Нет</x:v>
      </x:c>
      <x:c r="O1773" s="1" t="str">
        <x:f>'Данные'!L1773</x:f>
        <x:v>Нет</x:v>
      </x:c>
    </x:row>
    <x:row r="1774">
      <x:c r="A1774" s="1" t="str">
        <x:f>'Данные'!A1774</x:f>
        <x:v>175117630</x:v>
      </x:c>
      <x:c r="B1774" s="1" t="str">
        <x:f>'Данные'!B1774</x:f>
        <x:v>reglanman/сине-морской</x:v>
      </x:c>
      <x:c r="C1774" s="8" t="n">
        <x:f>'Данные'!G1774</x:f>
        <x:v>0</x:v>
      </x:c>
      <x:c r="D1774" s="15" t="n">
        <x:f>C1774/SUM($C$5:$C$2477)</x:f>
        <x:v>0</x:v>
      </x:c>
      <x:c r="E1774" s="15" t="n">
        <x:f>SUM($D$5:D1774)</x:f>
        <x:v>1.0000000000000036</x:v>
      </x:c>
      <x:c r="F1774" s="1" t="str">
        <x:f>IF(C1774&lt;=0,"C",IF(E1774-D1774&lt;'Дашборд'!$C$49,"A",IF(E1774-D1774&lt;'Дашборд'!$C$50,"B","C")))</x:f>
        <x:v>C</x:v>
      </x:c>
      <x:c r="G1774" s="8" t="n">
        <x:f>'Данные'!F1774</x:f>
        <x:v>1</x:v>
      </x:c>
      <x:c r="H1774" s="8" t="n">
        <x:f>SUM('Данные'!H1774:I1774)</x:f>
        <x:v>1</x:v>
      </x:c>
      <x:c r="I1774" s="16" t="n">
        <x:f>IF(H1774&gt;0,G1774/H1774,"n.a.")</x:f>
        <x:v>1</x:v>
      </x:c>
      <x:c r="J1774" s="10" t="n">
        <x:f>IF('Данные'!E1774&gt;0,G1774/'Данные'!E1774,"n.a.")</x:f>
        <x:v>0.001364256480218281</x:v>
      </x:c>
      <x:c r="K1774" s="1" t="str">
        <x:f>IF(G1774&gt;='Дашборд'!$C$51,"X","Z")</x:f>
        <x:v>Z</x:v>
      </x:c>
      <x:c r="L1774" s="1" t="str">
        <x:f>IF(H1774=0,IF(G1774&gt;0,"Нет остатка","Нет спроса"),IF(I1774&gt;='Дашборд'!$C$52,"Быстрый","Медленный"))</x:f>
        <x:v>Быстрый</x:v>
      </x:c>
      <x:c r="M1774" s="1" t="str">
        <x:f>IF('Данные'!E1774&lt;'Дашборд'!$C$53,"Мало трафика",IF(J1774&lt;'Дашборд'!$C$9*'Дашборд'!$C$54,"Да","Нет"))</x:f>
        <x:v>Мало трафика</x:v>
      </x:c>
      <x:c r="N1774" s="1" t="str">
        <x:f>IF(AND('Данные'!D1774&gt;='Дашборд'!$C$55,D1774&lt;'Дашборд'!$C$56,'Данные'!E1774&gt;='Дашборд'!$C$53,'Данные'!L1774&lt;&gt;"Да"),"Да","Нет")</x:f>
        <x:v>Нет</x:v>
      </x:c>
      <x:c r="O1774" s="1" t="str">
        <x:f>'Данные'!L1774</x:f>
        <x:v>Нет</x:v>
      </x:c>
    </x:row>
    <x:row r="1775">
      <x:c r="A1775" s="1" t="str">
        <x:f>'Данные'!A1775</x:f>
        <x:v>176176593</x:v>
      </x:c>
      <x:c r="B1775" s="1" t="str">
        <x:f>'Данные'!B1775</x:f>
        <x:v>bruki/хаки</x:v>
      </x:c>
      <x:c r="C1775" s="8" t="n">
        <x:f>'Данные'!G1775</x:f>
        <x:v>0</x:v>
      </x:c>
      <x:c r="D1775" s="15" t="n">
        <x:f>C1775/SUM($C$5:$C$2477)</x:f>
        <x:v>0</x:v>
      </x:c>
      <x:c r="E1775" s="15" t="n">
        <x:f>SUM($D$5:D1775)</x:f>
        <x:v>1.0000000000000036</x:v>
      </x:c>
      <x:c r="F1775" s="1" t="str">
        <x:f>IF(C1775&lt;=0,"C",IF(E1775-D1775&lt;'Дашборд'!$C$49,"A",IF(E1775-D1775&lt;'Дашборд'!$C$50,"B","C")))</x:f>
        <x:v>C</x:v>
      </x:c>
      <x:c r="G1775" s="8" t="n">
        <x:f>'Данные'!F1775</x:f>
        <x:v>0</x:v>
      </x:c>
      <x:c r="H1775" s="8" t="n">
        <x:f>SUM('Данные'!H1775:I1775)</x:f>
        <x:v>0</x:v>
      </x:c>
      <x:c r="I1775" s="16" t="str">
        <x:f>IF(H1775&gt;0,G1775/H1775,"n.a.")</x:f>
        <x:v>n.a.</x:v>
      </x:c>
      <x:c r="J1775" s="10" t="n">
        <x:f>IF('Данные'!E1775&gt;0,G1775/'Данные'!E1775,"n.a.")</x:f>
        <x:v>0</x:v>
      </x:c>
      <x:c r="K1775" s="1" t="str">
        <x:f>IF(G1775&gt;='Дашборд'!$C$51,"X","Z")</x:f>
        <x:v>Z</x:v>
      </x:c>
      <x:c r="L1775" s="1" t="str">
        <x:f>IF(H1775=0,IF(G1775&gt;0,"Нет остатка","Нет спроса"),IF(I1775&gt;='Дашборд'!$C$52,"Быстрый","Медленный"))</x:f>
        <x:v>Нет спроса</x:v>
      </x:c>
      <x:c r="M1775" s="1" t="str">
        <x:f>IF('Данные'!E1775&lt;'Дашборд'!$C$53,"Мало трафика",IF(J1775&lt;'Дашборд'!$C$9*'Дашборд'!$C$54,"Да","Нет"))</x:f>
        <x:v>Мало трафика</x:v>
      </x:c>
      <x:c r="N1775" s="1" t="str">
        <x:f>IF(AND('Данные'!D1775&gt;='Дашборд'!$C$55,D1775&lt;'Дашборд'!$C$56,'Данные'!E1775&gt;='Дашборд'!$C$53,'Данные'!L1775&lt;&gt;"Да"),"Да","Нет")</x:f>
        <x:v>Нет</x:v>
      </x:c>
      <x:c r="O1775" s="1" t="str">
        <x:f>'Данные'!L1775</x:f>
        <x:v>Нет</x:v>
      </x:c>
    </x:row>
    <x:row r="1776">
      <x:c r="A1776" s="1" t="str">
        <x:f>'Данные'!A1776</x:f>
        <x:v>176976175</x:v>
      </x:c>
      <x:c r="B1776" s="1" t="str">
        <x:f>'Данные'!B1776</x:f>
        <x:v>hudi1size/голубой</x:v>
      </x:c>
      <x:c r="C1776" s="8" t="n">
        <x:f>'Данные'!G1776</x:f>
        <x:v>0</x:v>
      </x:c>
      <x:c r="D1776" s="15" t="n">
        <x:f>C1776/SUM($C$5:$C$2477)</x:f>
        <x:v>0</x:v>
      </x:c>
      <x:c r="E1776" s="15" t="n">
        <x:f>SUM($D$5:D1776)</x:f>
        <x:v>1.0000000000000036</x:v>
      </x:c>
      <x:c r="F1776" s="1" t="str">
        <x:f>IF(C1776&lt;=0,"C",IF(E1776-D1776&lt;'Дашборд'!$C$49,"A",IF(E1776-D1776&lt;'Дашборд'!$C$50,"B","C")))</x:f>
        <x:v>C</x:v>
      </x:c>
      <x:c r="G1776" s="8" t="n">
        <x:f>'Данные'!F1776</x:f>
        <x:v>0</x:v>
      </x:c>
      <x:c r="H1776" s="8" t="n">
        <x:f>SUM('Данные'!H1776:I1776)</x:f>
        <x:v>0</x:v>
      </x:c>
      <x:c r="I1776" s="16" t="str">
        <x:f>IF(H1776&gt;0,G1776/H1776,"n.a.")</x:f>
        <x:v>n.a.</x:v>
      </x:c>
      <x:c r="J1776" s="10" t="n">
        <x:f>IF('Данные'!E1776&gt;0,G1776/'Данные'!E1776,"n.a.")</x:f>
        <x:v>0</x:v>
      </x:c>
      <x:c r="K1776" s="1" t="str">
        <x:f>IF(G1776&gt;='Дашборд'!$C$51,"X","Z")</x:f>
        <x:v>Z</x:v>
      </x:c>
      <x:c r="L1776" s="1" t="str">
        <x:f>IF(H1776=0,IF(G1776&gt;0,"Нет остатка","Нет спроса"),IF(I1776&gt;='Дашборд'!$C$52,"Быстрый","Медленный"))</x:f>
        <x:v>Нет спроса</x:v>
      </x:c>
      <x:c r="M1776" s="1" t="str">
        <x:f>IF('Данные'!E1776&lt;'Дашборд'!$C$53,"Мало трафика",IF(J1776&lt;'Дашборд'!$C$9*'Дашборд'!$C$54,"Да","Нет"))</x:f>
        <x:v>Мало трафика</x:v>
      </x:c>
      <x:c r="N1776" s="1" t="str">
        <x:f>IF(AND('Данные'!D1776&gt;='Дашборд'!$C$55,D1776&lt;'Дашборд'!$C$56,'Данные'!E1776&gt;='Дашборд'!$C$53,'Данные'!L1776&lt;&gt;"Да"),"Да","Нет")</x:f>
        <x:v>Нет</x:v>
      </x:c>
      <x:c r="O1776" s="1" t="str">
        <x:f>'Данные'!L1776</x:f>
        <x:v>Нет</x:v>
      </x:c>
    </x:row>
    <x:row r="1777">
      <x:c r="A1777" s="1" t="str">
        <x:f>'Данные'!A1777</x:f>
        <x:v>176995796</x:v>
      </x:c>
      <x:c r="B1777" s="1" t="str">
        <x:f>'Данные'!B1777</x:f>
        <x:v>hudi1size/серыймеланж</x:v>
      </x:c>
      <x:c r="C1777" s="8" t="n">
        <x:f>'Данные'!G1777</x:f>
        <x:v>0</x:v>
      </x:c>
      <x:c r="D1777" s="15" t="n">
        <x:f>C1777/SUM($C$5:$C$2477)</x:f>
        <x:v>0</x:v>
      </x:c>
      <x:c r="E1777" s="15" t="n">
        <x:f>SUM($D$5:D1777)</x:f>
        <x:v>1.0000000000000036</x:v>
      </x:c>
      <x:c r="F1777" s="1" t="str">
        <x:f>IF(C1777&lt;=0,"C",IF(E1777-D1777&lt;'Дашборд'!$C$49,"A",IF(E1777-D1777&lt;'Дашборд'!$C$50,"B","C")))</x:f>
        <x:v>C</x:v>
      </x:c>
      <x:c r="G1777" s="8" t="n">
        <x:f>'Данные'!F1777</x:f>
        <x:v>0</x:v>
      </x:c>
      <x:c r="H1777" s="8" t="n">
        <x:f>SUM('Данные'!H1777:I1777)</x:f>
        <x:v>0</x:v>
      </x:c>
      <x:c r="I1777" s="16" t="str">
        <x:f>IF(H1777&gt;0,G1777/H1777,"n.a.")</x:f>
        <x:v>n.a.</x:v>
      </x:c>
      <x:c r="J1777" s="10" t="n">
        <x:f>IF('Данные'!E1777&gt;0,G1777/'Данные'!E1777,"n.a.")</x:f>
        <x:v>0</x:v>
      </x:c>
      <x:c r="K1777" s="1" t="str">
        <x:f>IF(G1777&gt;='Дашборд'!$C$51,"X","Z")</x:f>
        <x:v>Z</x:v>
      </x:c>
      <x:c r="L1777" s="1" t="str">
        <x:f>IF(H1777=0,IF(G1777&gt;0,"Нет остатка","Нет спроса"),IF(I1777&gt;='Дашборд'!$C$52,"Быстрый","Медленный"))</x:f>
        <x:v>Нет спроса</x:v>
      </x:c>
      <x:c r="M1777" s="1" t="str">
        <x:f>IF('Данные'!E1777&lt;'Дашборд'!$C$53,"Мало трафика",IF(J1777&lt;'Дашборд'!$C$9*'Дашборд'!$C$54,"Да","Нет"))</x:f>
        <x:v>Мало трафика</x:v>
      </x:c>
      <x:c r="N1777" s="1" t="str">
        <x:f>IF(AND('Данные'!D1777&gt;='Дашборд'!$C$55,D1777&lt;'Дашборд'!$C$56,'Данные'!E1777&gt;='Дашборд'!$C$53,'Данные'!L1777&lt;&gt;"Да"),"Да","Нет")</x:f>
        <x:v>Нет</x:v>
      </x:c>
      <x:c r="O1777" s="1" t="str">
        <x:f>'Данные'!L1777</x:f>
        <x:v>Нет</x:v>
      </x:c>
    </x:row>
    <x:row r="1778">
      <x:c r="A1778" s="1" t="str">
        <x:f>'Данные'!A1778</x:f>
        <x:v>178309491</x:v>
      </x:c>
      <x:c r="B1778" s="1" t="str">
        <x:f>'Данные'!B1778</x:f>
        <x:v>svitcrop/песочный</x:v>
      </x:c>
      <x:c r="C1778" s="8" t="n">
        <x:f>'Данные'!G1778</x:f>
        <x:v>0</x:v>
      </x:c>
      <x:c r="D1778" s="15" t="n">
        <x:f>C1778/SUM($C$5:$C$2477)</x:f>
        <x:v>0</x:v>
      </x:c>
      <x:c r="E1778" s="15" t="n">
        <x:f>SUM($D$5:D1778)</x:f>
        <x:v>1.0000000000000036</x:v>
      </x:c>
      <x:c r="F1778" s="1" t="str">
        <x:f>IF(C1778&lt;=0,"C",IF(E1778-D1778&lt;'Дашборд'!$C$49,"A",IF(E1778-D1778&lt;'Дашборд'!$C$50,"B","C")))</x:f>
        <x:v>C</x:v>
      </x:c>
      <x:c r="G1778" s="8" t="n">
        <x:f>'Данные'!F1778</x:f>
        <x:v>0</x:v>
      </x:c>
      <x:c r="H1778" s="8" t="n">
        <x:f>SUM('Данные'!H1778:I1778)</x:f>
        <x:v>0</x:v>
      </x:c>
      <x:c r="I1778" s="16" t="str">
        <x:f>IF(H1778&gt;0,G1778/H1778,"n.a.")</x:f>
        <x:v>n.a.</x:v>
      </x:c>
      <x:c r="J1778" s="10" t="n">
        <x:f>IF('Данные'!E1778&gt;0,G1778/'Данные'!E1778,"n.a.")</x:f>
        <x:v>0</x:v>
      </x:c>
      <x:c r="K1778" s="1" t="str">
        <x:f>IF(G1778&gt;='Дашборд'!$C$51,"X","Z")</x:f>
        <x:v>Z</x:v>
      </x:c>
      <x:c r="L1778" s="1" t="str">
        <x:f>IF(H1778=0,IF(G1778&gt;0,"Нет остатка","Нет спроса"),IF(I1778&gt;='Дашборд'!$C$52,"Быстрый","Медленный"))</x:f>
        <x:v>Нет спроса</x:v>
      </x:c>
      <x:c r="M1778" s="1" t="str">
        <x:f>IF('Данные'!E1778&lt;'Дашборд'!$C$53,"Мало трафика",IF(J1778&lt;'Дашборд'!$C$9*'Дашборд'!$C$54,"Да","Нет"))</x:f>
        <x:v>Мало трафика</x:v>
      </x:c>
      <x:c r="N1778" s="1" t="str">
        <x:f>IF(AND('Данные'!D1778&gt;='Дашборд'!$C$55,D1778&lt;'Дашборд'!$C$56,'Данные'!E1778&gt;='Дашборд'!$C$53,'Данные'!L1778&lt;&gt;"Да"),"Да","Нет")</x:f>
        <x:v>Нет</x:v>
      </x:c>
      <x:c r="O1778" s="1" t="str">
        <x:f>'Данные'!L1778</x:f>
        <x:v>Нет</x:v>
      </x:c>
    </x:row>
    <x:row r="1779">
      <x:c r="A1779" s="1" t="str">
        <x:f>'Данные'!A1779</x:f>
        <x:v>178309492</x:v>
      </x:c>
      <x:c r="B1779" s="1" t="str">
        <x:f>'Данные'!B1779</x:f>
        <x:v>svitcrop/черный</x:v>
      </x:c>
      <x:c r="C1779" s="8" t="n">
        <x:f>'Данные'!G1779</x:f>
        <x:v>0</x:v>
      </x:c>
      <x:c r="D1779" s="15" t="n">
        <x:f>C1779/SUM($C$5:$C$2477)</x:f>
        <x:v>0</x:v>
      </x:c>
      <x:c r="E1779" s="15" t="n">
        <x:f>SUM($D$5:D1779)</x:f>
        <x:v>1.0000000000000036</x:v>
      </x:c>
      <x:c r="F1779" s="1" t="str">
        <x:f>IF(C1779&lt;=0,"C",IF(E1779-D1779&lt;'Дашборд'!$C$49,"A",IF(E1779-D1779&lt;'Дашборд'!$C$50,"B","C")))</x:f>
        <x:v>C</x:v>
      </x:c>
      <x:c r="G1779" s="8" t="n">
        <x:f>'Данные'!F1779</x:f>
        <x:v>0</x:v>
      </x:c>
      <x:c r="H1779" s="8" t="n">
        <x:f>SUM('Данные'!H1779:I1779)</x:f>
        <x:v>0</x:v>
      </x:c>
      <x:c r="I1779" s="16" t="str">
        <x:f>IF(H1779&gt;0,G1779/H1779,"n.a.")</x:f>
        <x:v>n.a.</x:v>
      </x:c>
      <x:c r="J1779" s="10" t="n">
        <x:f>IF('Данные'!E1779&gt;0,G1779/'Данные'!E1779,"n.a.")</x:f>
        <x:v>0</x:v>
      </x:c>
      <x:c r="K1779" s="1" t="str">
        <x:f>IF(G1779&gt;='Дашборд'!$C$51,"X","Z")</x:f>
        <x:v>Z</x:v>
      </x:c>
      <x:c r="L1779" s="1" t="str">
        <x:f>IF(H1779=0,IF(G1779&gt;0,"Нет остатка","Нет спроса"),IF(I1779&gt;='Дашборд'!$C$52,"Быстрый","Медленный"))</x:f>
        <x:v>Нет спроса</x:v>
      </x:c>
      <x:c r="M1779" s="1" t="str">
        <x:f>IF('Данные'!E1779&lt;'Дашборд'!$C$53,"Мало трафика",IF(J1779&lt;'Дашборд'!$C$9*'Дашборд'!$C$54,"Да","Нет"))</x:f>
        <x:v>Мало трафика</x:v>
      </x:c>
      <x:c r="N1779" s="1" t="str">
        <x:f>IF(AND('Данные'!D1779&gt;='Дашборд'!$C$55,D1779&lt;'Дашборд'!$C$56,'Данные'!E1779&gt;='Дашборд'!$C$53,'Данные'!L1779&lt;&gt;"Да"),"Да","Нет")</x:f>
        <x:v>Нет</x:v>
      </x:c>
      <x:c r="O1779" s="1" t="str">
        <x:f>'Данные'!L1779</x:f>
        <x:v>Нет</x:v>
      </x:c>
    </x:row>
    <x:row r="1780">
      <x:c r="A1780" s="1" t="str">
        <x:f>'Данные'!A1780</x:f>
        <x:v>178962337</x:v>
      </x:c>
      <x:c r="B1780" s="1" t="str">
        <x:f>'Данные'!B1780</x:f>
        <x:v>svitshotzip/черный</x:v>
      </x:c>
      <x:c r="C1780" s="8" t="n">
        <x:f>'Данные'!G1780</x:f>
        <x:v>0</x:v>
      </x:c>
      <x:c r="D1780" s="15" t="n">
        <x:f>C1780/SUM($C$5:$C$2477)</x:f>
        <x:v>0</x:v>
      </x:c>
      <x:c r="E1780" s="15" t="n">
        <x:f>SUM($D$5:D1780)</x:f>
        <x:v>1.0000000000000036</x:v>
      </x:c>
      <x:c r="F1780" s="1" t="str">
        <x:f>IF(C1780&lt;=0,"C",IF(E1780-D1780&lt;'Дашборд'!$C$49,"A",IF(E1780-D1780&lt;'Дашборд'!$C$50,"B","C")))</x:f>
        <x:v>C</x:v>
      </x:c>
      <x:c r="G1780" s="8" t="n">
        <x:f>'Данные'!F1780</x:f>
        <x:v>0</x:v>
      </x:c>
      <x:c r="H1780" s="8" t="n">
        <x:f>SUM('Данные'!H1780:I1780)</x:f>
        <x:v>0</x:v>
      </x:c>
      <x:c r="I1780" s="16" t="str">
        <x:f>IF(H1780&gt;0,G1780/H1780,"n.a.")</x:f>
        <x:v>n.a.</x:v>
      </x:c>
      <x:c r="J1780" s="10" t="n">
        <x:f>IF('Данные'!E1780&gt;0,G1780/'Данные'!E1780,"n.a.")</x:f>
        <x:v>0</x:v>
      </x:c>
      <x:c r="K1780" s="1" t="str">
        <x:f>IF(G1780&gt;='Дашборд'!$C$51,"X","Z")</x:f>
        <x:v>Z</x:v>
      </x:c>
      <x:c r="L1780" s="1" t="str">
        <x:f>IF(H1780=0,IF(G1780&gt;0,"Нет остатка","Нет спроса"),IF(I1780&gt;='Дашборд'!$C$52,"Быстрый","Медленный"))</x:f>
        <x:v>Нет спроса</x:v>
      </x:c>
      <x:c r="M1780" s="1" t="str">
        <x:f>IF('Данные'!E1780&lt;'Дашборд'!$C$53,"Мало трафика",IF(J1780&lt;'Дашборд'!$C$9*'Дашборд'!$C$54,"Да","Нет"))</x:f>
        <x:v>Мало трафика</x:v>
      </x:c>
      <x:c r="N1780" s="1" t="str">
        <x:f>IF(AND('Данные'!D1780&gt;='Дашборд'!$C$55,D1780&lt;'Дашборд'!$C$56,'Данные'!E1780&gt;='Дашборд'!$C$53,'Данные'!L1780&lt;&gt;"Да"),"Да","Нет")</x:f>
        <x:v>Нет</x:v>
      </x:c>
      <x:c r="O1780" s="1" t="str">
        <x:f>'Данные'!L1780</x:f>
        <x:v>Нет</x:v>
      </x:c>
    </x:row>
    <x:row r="1781">
      <x:c r="A1781" s="1" t="str">
        <x:f>'Данные'!A1781</x:f>
        <x:v>178965031</x:v>
      </x:c>
      <x:c r="B1781" s="1" t="str">
        <x:f>'Данные'!B1781</x:f>
        <x:v>svitshotzip/голубой</x:v>
      </x:c>
      <x:c r="C1781" s="8" t="n">
        <x:f>'Данные'!G1781</x:f>
        <x:v>0</x:v>
      </x:c>
      <x:c r="D1781" s="15" t="n">
        <x:f>C1781/SUM($C$5:$C$2477)</x:f>
        <x:v>0</x:v>
      </x:c>
      <x:c r="E1781" s="15" t="n">
        <x:f>SUM($D$5:D1781)</x:f>
        <x:v>1.0000000000000036</x:v>
      </x:c>
      <x:c r="F1781" s="1" t="str">
        <x:f>IF(C1781&lt;=0,"C",IF(E1781-D1781&lt;'Дашборд'!$C$49,"A",IF(E1781-D1781&lt;'Дашборд'!$C$50,"B","C")))</x:f>
        <x:v>C</x:v>
      </x:c>
      <x:c r="G1781" s="8" t="n">
        <x:f>'Данные'!F1781</x:f>
        <x:v>0</x:v>
      </x:c>
      <x:c r="H1781" s="8" t="n">
        <x:f>SUM('Данные'!H1781:I1781)</x:f>
        <x:v>0</x:v>
      </x:c>
      <x:c r="I1781" s="16" t="str">
        <x:f>IF(H1781&gt;0,G1781/H1781,"n.a.")</x:f>
        <x:v>n.a.</x:v>
      </x:c>
      <x:c r="J1781" s="10" t="n">
        <x:f>IF('Данные'!E1781&gt;0,G1781/'Данные'!E1781,"n.a.")</x:f>
        <x:v>0</x:v>
      </x:c>
      <x:c r="K1781" s="1" t="str">
        <x:f>IF(G1781&gt;='Дашборд'!$C$51,"X","Z")</x:f>
        <x:v>Z</x:v>
      </x:c>
      <x:c r="L1781" s="1" t="str">
        <x:f>IF(H1781=0,IF(G1781&gt;0,"Нет остатка","Нет спроса"),IF(I1781&gt;='Дашборд'!$C$52,"Быстрый","Медленный"))</x:f>
        <x:v>Нет спроса</x:v>
      </x:c>
      <x:c r="M1781" s="1" t="str">
        <x:f>IF('Данные'!E1781&lt;'Дашборд'!$C$53,"Мало трафика",IF(J1781&lt;'Дашборд'!$C$9*'Дашборд'!$C$54,"Да","Нет"))</x:f>
        <x:v>Мало трафика</x:v>
      </x:c>
      <x:c r="N1781" s="1" t="str">
        <x:f>IF(AND('Данные'!D1781&gt;='Дашборд'!$C$55,D1781&lt;'Дашборд'!$C$56,'Данные'!E1781&gt;='Дашборд'!$C$53,'Данные'!L1781&lt;&gt;"Да"),"Да","Нет")</x:f>
        <x:v>Нет</x:v>
      </x:c>
      <x:c r="O1781" s="1" t="str">
        <x:f>'Данные'!L1781</x:f>
        <x:v>Нет</x:v>
      </x:c>
    </x:row>
    <x:row r="1782">
      <x:c r="A1782" s="1" t="str">
        <x:f>'Данные'!A1782</x:f>
        <x:v>178965033</x:v>
      </x:c>
      <x:c r="B1782" s="1" t="str">
        <x:f>'Данные'!B1782</x:f>
        <x:v>svitshotzip/молочный</x:v>
      </x:c>
      <x:c r="C1782" s="8" t="n">
        <x:f>'Данные'!G1782</x:f>
        <x:v>0</x:v>
      </x:c>
      <x:c r="D1782" s="15" t="n">
        <x:f>C1782/SUM($C$5:$C$2477)</x:f>
        <x:v>0</x:v>
      </x:c>
      <x:c r="E1782" s="15" t="n">
        <x:f>SUM($D$5:D1782)</x:f>
        <x:v>1.0000000000000036</x:v>
      </x:c>
      <x:c r="F1782" s="1" t="str">
        <x:f>IF(C1782&lt;=0,"C",IF(E1782-D1782&lt;'Дашборд'!$C$49,"A",IF(E1782-D1782&lt;'Дашборд'!$C$50,"B","C")))</x:f>
        <x:v>C</x:v>
      </x:c>
      <x:c r="G1782" s="8" t="n">
        <x:f>'Данные'!F1782</x:f>
        <x:v>0</x:v>
      </x:c>
      <x:c r="H1782" s="8" t="n">
        <x:f>SUM('Данные'!H1782:I1782)</x:f>
        <x:v>0</x:v>
      </x:c>
      <x:c r="I1782" s="16" t="str">
        <x:f>IF(H1782&gt;0,G1782/H1782,"n.a.")</x:f>
        <x:v>n.a.</x:v>
      </x:c>
      <x:c r="J1782" s="10" t="n">
        <x:f>IF('Данные'!E1782&gt;0,G1782/'Данные'!E1782,"n.a.")</x:f>
        <x:v>0</x:v>
      </x:c>
      <x:c r="K1782" s="1" t="str">
        <x:f>IF(G1782&gt;='Дашборд'!$C$51,"X","Z")</x:f>
        <x:v>Z</x:v>
      </x:c>
      <x:c r="L1782" s="1" t="str">
        <x:f>IF(H1782=0,IF(G1782&gt;0,"Нет остатка","Нет спроса"),IF(I1782&gt;='Дашборд'!$C$52,"Быстрый","Медленный"))</x:f>
        <x:v>Нет спроса</x:v>
      </x:c>
      <x:c r="M1782" s="1" t="str">
        <x:f>IF('Данные'!E1782&lt;'Дашборд'!$C$53,"Мало трафика",IF(J1782&lt;'Дашборд'!$C$9*'Дашборд'!$C$54,"Да","Нет"))</x:f>
        <x:v>Мало трафика</x:v>
      </x:c>
      <x:c r="N1782" s="1" t="str">
        <x:f>IF(AND('Данные'!D1782&gt;='Дашборд'!$C$55,D1782&lt;'Дашборд'!$C$56,'Данные'!E1782&gt;='Дашборд'!$C$53,'Данные'!L1782&lt;&gt;"Да"),"Да","Нет")</x:f>
        <x:v>Нет</x:v>
      </x:c>
      <x:c r="O1782" s="1" t="str">
        <x:f>'Данные'!L1782</x:f>
        <x:v>Нет</x:v>
      </x:c>
    </x:row>
    <x:row r="1783">
      <x:c r="A1783" s="1" t="str">
        <x:f>'Данные'!A1783</x:f>
        <x:v>178965037</x:v>
      </x:c>
      <x:c r="B1783" s="1" t="str">
        <x:f>'Данные'!B1783</x:f>
        <x:v>svitshotzip/розовый</x:v>
      </x:c>
      <x:c r="C1783" s="8" t="n">
        <x:f>'Данные'!G1783</x:f>
        <x:v>0</x:v>
      </x:c>
      <x:c r="D1783" s="15" t="n">
        <x:f>C1783/SUM($C$5:$C$2477)</x:f>
        <x:v>0</x:v>
      </x:c>
      <x:c r="E1783" s="15" t="n">
        <x:f>SUM($D$5:D1783)</x:f>
        <x:v>1.0000000000000036</x:v>
      </x:c>
      <x:c r="F1783" s="1" t="str">
        <x:f>IF(C1783&lt;=0,"C",IF(E1783-D1783&lt;'Дашборд'!$C$49,"A",IF(E1783-D1783&lt;'Дашборд'!$C$50,"B","C")))</x:f>
        <x:v>C</x:v>
      </x:c>
      <x:c r="G1783" s="8" t="n">
        <x:f>'Данные'!F1783</x:f>
        <x:v>0</x:v>
      </x:c>
      <x:c r="H1783" s="8" t="n">
        <x:f>SUM('Данные'!H1783:I1783)</x:f>
        <x:v>0</x:v>
      </x:c>
      <x:c r="I1783" s="16" t="str">
        <x:f>IF(H1783&gt;0,G1783/H1783,"n.a.")</x:f>
        <x:v>n.a.</x:v>
      </x:c>
      <x:c r="J1783" s="10" t="n">
        <x:f>IF('Данные'!E1783&gt;0,G1783/'Данные'!E1783,"n.a.")</x:f>
        <x:v>0</x:v>
      </x:c>
      <x:c r="K1783" s="1" t="str">
        <x:f>IF(G1783&gt;='Дашборд'!$C$51,"X","Z")</x:f>
        <x:v>Z</x:v>
      </x:c>
      <x:c r="L1783" s="1" t="str">
        <x:f>IF(H1783=0,IF(G1783&gt;0,"Нет остатка","Нет спроса"),IF(I1783&gt;='Дашборд'!$C$52,"Быстрый","Медленный"))</x:f>
        <x:v>Нет спроса</x:v>
      </x:c>
      <x:c r="M1783" s="1" t="str">
        <x:f>IF('Данные'!E1783&lt;'Дашборд'!$C$53,"Мало трафика",IF(J1783&lt;'Дашборд'!$C$9*'Дашборд'!$C$54,"Да","Нет"))</x:f>
        <x:v>Мало трафика</x:v>
      </x:c>
      <x:c r="N1783" s="1" t="str">
        <x:f>IF(AND('Данные'!D1783&gt;='Дашборд'!$C$55,D1783&lt;'Дашборд'!$C$56,'Данные'!E1783&gt;='Дашборд'!$C$53,'Данные'!L1783&lt;&gt;"Да"),"Да","Нет")</x:f>
        <x:v>Нет</x:v>
      </x:c>
      <x:c r="O1783" s="1" t="str">
        <x:f>'Данные'!L1783</x:f>
        <x:v>Нет</x:v>
      </x:c>
    </x:row>
    <x:row r="1784">
      <x:c r="A1784" s="1" t="str">
        <x:f>'Данные'!A1784</x:f>
        <x:v>178965039</x:v>
      </x:c>
      <x:c r="B1784" s="1" t="str">
        <x:f>'Данные'!B1784</x:f>
        <x:v>svitshotzip/песочный</x:v>
      </x:c>
      <x:c r="C1784" s="8" t="n">
        <x:f>'Данные'!G1784</x:f>
        <x:v>0</x:v>
      </x:c>
      <x:c r="D1784" s="15" t="n">
        <x:f>C1784/SUM($C$5:$C$2477)</x:f>
        <x:v>0</x:v>
      </x:c>
      <x:c r="E1784" s="15" t="n">
        <x:f>SUM($D$5:D1784)</x:f>
        <x:v>1.0000000000000036</x:v>
      </x:c>
      <x:c r="F1784" s="1" t="str">
        <x:f>IF(C1784&lt;=0,"C",IF(E1784-D1784&lt;'Дашборд'!$C$49,"A",IF(E1784-D1784&lt;'Дашборд'!$C$50,"B","C")))</x:f>
        <x:v>C</x:v>
      </x:c>
      <x:c r="G1784" s="8" t="n">
        <x:f>'Данные'!F1784</x:f>
        <x:v>0</x:v>
      </x:c>
      <x:c r="H1784" s="8" t="n">
        <x:f>SUM('Данные'!H1784:I1784)</x:f>
        <x:v>0</x:v>
      </x:c>
      <x:c r="I1784" s="16" t="str">
        <x:f>IF(H1784&gt;0,G1784/H1784,"n.a.")</x:f>
        <x:v>n.a.</x:v>
      </x:c>
      <x:c r="J1784" s="10" t="n">
        <x:f>IF('Данные'!E1784&gt;0,G1784/'Данные'!E1784,"n.a.")</x:f>
        <x:v>0</x:v>
      </x:c>
      <x:c r="K1784" s="1" t="str">
        <x:f>IF(G1784&gt;='Дашборд'!$C$51,"X","Z")</x:f>
        <x:v>Z</x:v>
      </x:c>
      <x:c r="L1784" s="1" t="str">
        <x:f>IF(H1784=0,IF(G1784&gt;0,"Нет остатка","Нет спроса"),IF(I1784&gt;='Дашборд'!$C$52,"Быстрый","Медленный"))</x:f>
        <x:v>Нет спроса</x:v>
      </x:c>
      <x:c r="M1784" s="1" t="str">
        <x:f>IF('Данные'!E1784&lt;'Дашборд'!$C$53,"Мало трафика",IF(J1784&lt;'Дашборд'!$C$9*'Дашборд'!$C$54,"Да","Нет"))</x:f>
        <x:v>Мало трафика</x:v>
      </x:c>
      <x:c r="N1784" s="1" t="str">
        <x:f>IF(AND('Данные'!D1784&gt;='Дашборд'!$C$55,D1784&lt;'Дашборд'!$C$56,'Данные'!E1784&gt;='Дашборд'!$C$53,'Данные'!L1784&lt;&gt;"Да"),"Да","Нет")</x:f>
        <x:v>Нет</x:v>
      </x:c>
      <x:c r="O1784" s="1" t="str">
        <x:f>'Данные'!L1784</x:f>
        <x:v>Нет</x:v>
      </x:c>
    </x:row>
    <x:row r="1785">
      <x:c r="A1785" s="1" t="str">
        <x:f>'Данные'!A1785</x:f>
        <x:v>178965041</x:v>
      </x:c>
      <x:c r="B1785" s="1" t="str">
        <x:f>'Данные'!B1785</x:f>
        <x:v>svitshotzip/серый</x:v>
      </x:c>
      <x:c r="C1785" s="8" t="n">
        <x:f>'Данные'!G1785</x:f>
        <x:v>0</x:v>
      </x:c>
      <x:c r="D1785" s="15" t="n">
        <x:f>C1785/SUM($C$5:$C$2477)</x:f>
        <x:v>0</x:v>
      </x:c>
      <x:c r="E1785" s="15" t="n">
        <x:f>SUM($D$5:D1785)</x:f>
        <x:v>1.0000000000000036</x:v>
      </x:c>
      <x:c r="F1785" s="1" t="str">
        <x:f>IF(C1785&lt;=0,"C",IF(E1785-D1785&lt;'Дашборд'!$C$49,"A",IF(E1785-D1785&lt;'Дашборд'!$C$50,"B","C")))</x:f>
        <x:v>C</x:v>
      </x:c>
      <x:c r="G1785" s="8" t="n">
        <x:f>'Данные'!F1785</x:f>
        <x:v>0</x:v>
      </x:c>
      <x:c r="H1785" s="8" t="n">
        <x:f>SUM('Данные'!H1785:I1785)</x:f>
        <x:v>0</x:v>
      </x:c>
      <x:c r="I1785" s="16" t="str">
        <x:f>IF(H1785&gt;0,G1785/H1785,"n.a.")</x:f>
        <x:v>n.a.</x:v>
      </x:c>
      <x:c r="J1785" s="10" t="n">
        <x:f>IF('Данные'!E1785&gt;0,G1785/'Данные'!E1785,"n.a.")</x:f>
        <x:v>0</x:v>
      </x:c>
      <x:c r="K1785" s="1" t="str">
        <x:f>IF(G1785&gt;='Дашборд'!$C$51,"X","Z")</x:f>
        <x:v>Z</x:v>
      </x:c>
      <x:c r="L1785" s="1" t="str">
        <x:f>IF(H1785=0,IF(G1785&gt;0,"Нет остатка","Нет спроса"),IF(I1785&gt;='Дашборд'!$C$52,"Быстрый","Медленный"))</x:f>
        <x:v>Нет спроса</x:v>
      </x:c>
      <x:c r="M1785" s="1" t="str">
        <x:f>IF('Данные'!E1785&lt;'Дашборд'!$C$53,"Мало трафика",IF(J1785&lt;'Дашборд'!$C$9*'Дашборд'!$C$54,"Да","Нет"))</x:f>
        <x:v>Мало трафика</x:v>
      </x:c>
      <x:c r="N1785" s="1" t="str">
        <x:f>IF(AND('Данные'!D1785&gt;='Дашборд'!$C$55,D1785&lt;'Дашборд'!$C$56,'Данные'!E1785&gt;='Дашборд'!$C$53,'Данные'!L1785&lt;&gt;"Да"),"Да","Нет")</x:f>
        <x:v>Нет</x:v>
      </x:c>
      <x:c r="O1785" s="1" t="str">
        <x:f>'Данные'!L1785</x:f>
        <x:v>Нет</x:v>
      </x:c>
    </x:row>
    <x:row r="1786">
      <x:c r="A1786" s="1" t="str">
        <x:f>'Данные'!A1786</x:f>
        <x:v>178965044</x:v>
      </x:c>
      <x:c r="B1786" s="1" t="str">
        <x:f>'Данные'!B1786</x:f>
        <x:v>svitshotzip/синий</x:v>
      </x:c>
      <x:c r="C1786" s="8" t="n">
        <x:f>'Данные'!G1786</x:f>
        <x:v>0</x:v>
      </x:c>
      <x:c r="D1786" s="15" t="n">
        <x:f>C1786/SUM($C$5:$C$2477)</x:f>
        <x:v>0</x:v>
      </x:c>
      <x:c r="E1786" s="15" t="n">
        <x:f>SUM($D$5:D1786)</x:f>
        <x:v>1.0000000000000036</x:v>
      </x:c>
      <x:c r="F1786" s="1" t="str">
        <x:f>IF(C1786&lt;=0,"C",IF(E1786-D1786&lt;'Дашборд'!$C$49,"A",IF(E1786-D1786&lt;'Дашборд'!$C$50,"B","C")))</x:f>
        <x:v>C</x:v>
      </x:c>
      <x:c r="G1786" s="8" t="n">
        <x:f>'Данные'!F1786</x:f>
        <x:v>0</x:v>
      </x:c>
      <x:c r="H1786" s="8" t="n">
        <x:f>SUM('Данные'!H1786:I1786)</x:f>
        <x:v>0</x:v>
      </x:c>
      <x:c r="I1786" s="16" t="str">
        <x:f>IF(H1786&gt;0,G1786/H1786,"n.a.")</x:f>
        <x:v>n.a.</x:v>
      </x:c>
      <x:c r="J1786" s="10" t="n">
        <x:f>IF('Данные'!E1786&gt;0,G1786/'Данные'!E1786,"n.a.")</x:f>
        <x:v>0</x:v>
      </x:c>
      <x:c r="K1786" s="1" t="str">
        <x:f>IF(G1786&gt;='Дашборд'!$C$51,"X","Z")</x:f>
        <x:v>Z</x:v>
      </x:c>
      <x:c r="L1786" s="1" t="str">
        <x:f>IF(H1786=0,IF(G1786&gt;0,"Нет остатка","Нет спроса"),IF(I1786&gt;='Дашборд'!$C$52,"Быстрый","Медленный"))</x:f>
        <x:v>Нет спроса</x:v>
      </x:c>
      <x:c r="M1786" s="1" t="str">
        <x:f>IF('Данные'!E1786&lt;'Дашборд'!$C$53,"Мало трафика",IF(J1786&lt;'Дашборд'!$C$9*'Дашборд'!$C$54,"Да","Нет"))</x:f>
        <x:v>Мало трафика</x:v>
      </x:c>
      <x:c r="N1786" s="1" t="str">
        <x:f>IF(AND('Данные'!D1786&gt;='Дашборд'!$C$55,D1786&lt;'Дашборд'!$C$56,'Данные'!E1786&gt;='Дашборд'!$C$53,'Данные'!L1786&lt;&gt;"Да"),"Да","Нет")</x:f>
        <x:v>Нет</x:v>
      </x:c>
      <x:c r="O1786" s="1" t="str">
        <x:f>'Данные'!L1786</x:f>
        <x:v>Нет</x:v>
      </x:c>
    </x:row>
    <x:row r="1787">
      <x:c r="A1787" s="1" t="str">
        <x:f>'Данные'!A1787</x:f>
        <x:v>178965045</x:v>
      </x:c>
      <x:c r="B1787" s="1" t="str">
        <x:f>'Данные'!B1787</x:f>
        <x:v>svitshotzip/серыймеланж</x:v>
      </x:c>
      <x:c r="C1787" s="8" t="n">
        <x:f>'Данные'!G1787</x:f>
        <x:v>0</x:v>
      </x:c>
      <x:c r="D1787" s="15" t="n">
        <x:f>C1787/SUM($C$5:$C$2477)</x:f>
        <x:v>0</x:v>
      </x:c>
      <x:c r="E1787" s="15" t="n">
        <x:f>SUM($D$5:D1787)</x:f>
        <x:v>1.0000000000000036</x:v>
      </x:c>
      <x:c r="F1787" s="1" t="str">
        <x:f>IF(C1787&lt;=0,"C",IF(E1787-D1787&lt;'Дашборд'!$C$49,"A",IF(E1787-D1787&lt;'Дашборд'!$C$50,"B","C")))</x:f>
        <x:v>C</x:v>
      </x:c>
      <x:c r="G1787" s="8" t="n">
        <x:f>'Данные'!F1787</x:f>
        <x:v>0</x:v>
      </x:c>
      <x:c r="H1787" s="8" t="n">
        <x:f>SUM('Данные'!H1787:I1787)</x:f>
        <x:v>0</x:v>
      </x:c>
      <x:c r="I1787" s="16" t="str">
        <x:f>IF(H1787&gt;0,G1787/H1787,"n.a.")</x:f>
        <x:v>n.a.</x:v>
      </x:c>
      <x:c r="J1787" s="10" t="n">
        <x:f>IF('Данные'!E1787&gt;0,G1787/'Данные'!E1787,"n.a.")</x:f>
        <x:v>0</x:v>
      </x:c>
      <x:c r="K1787" s="1" t="str">
        <x:f>IF(G1787&gt;='Дашборд'!$C$51,"X","Z")</x:f>
        <x:v>Z</x:v>
      </x:c>
      <x:c r="L1787" s="1" t="str">
        <x:f>IF(H1787=0,IF(G1787&gt;0,"Нет остатка","Нет спроса"),IF(I1787&gt;='Дашборд'!$C$52,"Быстрый","Медленный"))</x:f>
        <x:v>Нет спроса</x:v>
      </x:c>
      <x:c r="M1787" s="1" t="str">
        <x:f>IF('Данные'!E1787&lt;'Дашборд'!$C$53,"Мало трафика",IF(J1787&lt;'Дашборд'!$C$9*'Дашборд'!$C$54,"Да","Нет"))</x:f>
        <x:v>Мало трафика</x:v>
      </x:c>
      <x:c r="N1787" s="1" t="str">
        <x:f>IF(AND('Данные'!D1787&gt;='Дашборд'!$C$55,D1787&lt;'Дашборд'!$C$56,'Данные'!E1787&gt;='Дашборд'!$C$53,'Данные'!L1787&lt;&gt;"Да"),"Да","Нет")</x:f>
        <x:v>Нет</x:v>
      </x:c>
      <x:c r="O1787" s="1" t="str">
        <x:f>'Данные'!L1787</x:f>
        <x:v>Нет</x:v>
      </x:c>
    </x:row>
    <x:row r="1788">
      <x:c r="A1788" s="1" t="str">
        <x:f>'Данные'!A1788</x:f>
        <x:v>178965046</x:v>
      </x:c>
      <x:c r="B1788" s="1" t="str">
        <x:f>'Данные'!B1788</x:f>
        <x:v>svitshotzip/темно-серый</x:v>
      </x:c>
      <x:c r="C1788" s="8" t="n">
        <x:f>'Данные'!G1788</x:f>
        <x:v>0</x:v>
      </x:c>
      <x:c r="D1788" s="15" t="n">
        <x:f>C1788/SUM($C$5:$C$2477)</x:f>
        <x:v>0</x:v>
      </x:c>
      <x:c r="E1788" s="15" t="n">
        <x:f>SUM($D$5:D1788)</x:f>
        <x:v>1.0000000000000036</x:v>
      </x:c>
      <x:c r="F1788" s="1" t="str">
        <x:f>IF(C1788&lt;=0,"C",IF(E1788-D1788&lt;'Дашборд'!$C$49,"A",IF(E1788-D1788&lt;'Дашборд'!$C$50,"B","C")))</x:f>
        <x:v>C</x:v>
      </x:c>
      <x:c r="G1788" s="8" t="n">
        <x:f>'Данные'!F1788</x:f>
        <x:v>0</x:v>
      </x:c>
      <x:c r="H1788" s="8" t="n">
        <x:f>SUM('Данные'!H1788:I1788)</x:f>
        <x:v>0</x:v>
      </x:c>
      <x:c r="I1788" s="16" t="str">
        <x:f>IF(H1788&gt;0,G1788/H1788,"n.a.")</x:f>
        <x:v>n.a.</x:v>
      </x:c>
      <x:c r="J1788" s="10" t="n">
        <x:f>IF('Данные'!E1788&gt;0,G1788/'Данные'!E1788,"n.a.")</x:f>
        <x:v>0</x:v>
      </x:c>
      <x:c r="K1788" s="1" t="str">
        <x:f>IF(G1788&gt;='Дашборд'!$C$51,"X","Z")</x:f>
        <x:v>Z</x:v>
      </x:c>
      <x:c r="L1788" s="1" t="str">
        <x:f>IF(H1788=0,IF(G1788&gt;0,"Нет остатка","Нет спроса"),IF(I1788&gt;='Дашборд'!$C$52,"Быстрый","Медленный"))</x:f>
        <x:v>Нет спроса</x:v>
      </x:c>
      <x:c r="M1788" s="1" t="str">
        <x:f>IF('Данные'!E1788&lt;'Дашборд'!$C$53,"Мало трафика",IF(J1788&lt;'Дашборд'!$C$9*'Дашборд'!$C$54,"Да","Нет"))</x:f>
        <x:v>Мало трафика</x:v>
      </x:c>
      <x:c r="N1788" s="1" t="str">
        <x:f>IF(AND('Данные'!D1788&gt;='Дашборд'!$C$55,D1788&lt;'Дашборд'!$C$56,'Данные'!E1788&gt;='Дашборд'!$C$53,'Данные'!L1788&lt;&gt;"Да"),"Да","Нет")</x:f>
        <x:v>Нет</x:v>
      </x:c>
      <x:c r="O1788" s="1" t="str">
        <x:f>'Данные'!L1788</x:f>
        <x:v>Нет</x:v>
      </x:c>
    </x:row>
    <x:row r="1789">
      <x:c r="A1789" s="1" t="str">
        <x:f>'Данные'!A1789</x:f>
        <x:v>178965053</x:v>
      </x:c>
      <x:c r="B1789" s="1" t="str">
        <x:f>'Данные'!B1789</x:f>
        <x:v>svitshotzip/белый</x:v>
      </x:c>
      <x:c r="C1789" s="8" t="n">
        <x:f>'Данные'!G1789</x:f>
        <x:v>0</x:v>
      </x:c>
      <x:c r="D1789" s="15" t="n">
        <x:f>C1789/SUM($C$5:$C$2477)</x:f>
        <x:v>0</x:v>
      </x:c>
      <x:c r="E1789" s="15" t="n">
        <x:f>SUM($D$5:D1789)</x:f>
        <x:v>1.0000000000000036</x:v>
      </x:c>
      <x:c r="F1789" s="1" t="str">
        <x:f>IF(C1789&lt;=0,"C",IF(E1789-D1789&lt;'Дашборд'!$C$49,"A",IF(E1789-D1789&lt;'Дашборд'!$C$50,"B","C")))</x:f>
        <x:v>C</x:v>
      </x:c>
      <x:c r="G1789" s="8" t="n">
        <x:f>'Данные'!F1789</x:f>
        <x:v>0</x:v>
      </x:c>
      <x:c r="H1789" s="8" t="n">
        <x:f>SUM('Данные'!H1789:I1789)</x:f>
        <x:v>0</x:v>
      </x:c>
      <x:c r="I1789" s="16" t="str">
        <x:f>IF(H1789&gt;0,G1789/H1789,"n.a.")</x:f>
        <x:v>n.a.</x:v>
      </x:c>
      <x:c r="J1789" s="10" t="n">
        <x:f>IF('Данные'!E1789&gt;0,G1789/'Данные'!E1789,"n.a.")</x:f>
        <x:v>0</x:v>
      </x:c>
      <x:c r="K1789" s="1" t="str">
        <x:f>IF(G1789&gt;='Дашборд'!$C$51,"X","Z")</x:f>
        <x:v>Z</x:v>
      </x:c>
      <x:c r="L1789" s="1" t="str">
        <x:f>IF(H1789=0,IF(G1789&gt;0,"Нет остатка","Нет спроса"),IF(I1789&gt;='Дашборд'!$C$52,"Быстрый","Медленный"))</x:f>
        <x:v>Нет спроса</x:v>
      </x:c>
      <x:c r="M1789" s="1" t="str">
        <x:f>IF('Данные'!E1789&lt;'Дашборд'!$C$53,"Мало трафика",IF(J1789&lt;'Дашборд'!$C$9*'Дашборд'!$C$54,"Да","Нет"))</x:f>
        <x:v>Мало трафика</x:v>
      </x:c>
      <x:c r="N1789" s="1" t="str">
        <x:f>IF(AND('Данные'!D1789&gt;='Дашборд'!$C$55,D1789&lt;'Дашборд'!$C$56,'Данные'!E1789&gt;='Дашборд'!$C$53,'Данные'!L1789&lt;&gt;"Да"),"Да","Нет")</x:f>
        <x:v>Нет</x:v>
      </x:c>
      <x:c r="O1789" s="1" t="str">
        <x:f>'Данные'!L1789</x:f>
        <x:v>Нет</x:v>
      </x:c>
    </x:row>
    <x:row r="1790">
      <x:c r="A1790" s="1" t="str">
        <x:f>'Данные'!A1790</x:f>
        <x:v>179342808</x:v>
      </x:c>
      <x:c r="B1790" s="1" t="str">
        <x:f>'Данные'!B1790</x:f>
        <x:v>1sizeprint/BRK/розовый</x:v>
      </x:c>
      <x:c r="C1790" s="8" t="n">
        <x:f>'Данные'!G1790</x:f>
        <x:v>0</x:v>
      </x:c>
      <x:c r="D1790" s="15" t="n">
        <x:f>C1790/SUM($C$5:$C$2477)</x:f>
        <x:v>0</x:v>
      </x:c>
      <x:c r="E1790" s="15" t="n">
        <x:f>SUM($D$5:D1790)</x:f>
        <x:v>1.0000000000000036</x:v>
      </x:c>
      <x:c r="F1790" s="1" t="str">
        <x:f>IF(C1790&lt;=0,"C",IF(E1790-D1790&lt;'Дашборд'!$C$49,"A",IF(E1790-D1790&lt;'Дашборд'!$C$50,"B","C")))</x:f>
        <x:v>C</x:v>
      </x:c>
      <x:c r="G1790" s="8" t="n">
        <x:f>'Данные'!F1790</x:f>
        <x:v>0</x:v>
      </x:c>
      <x:c r="H1790" s="8" t="n">
        <x:f>SUM('Данные'!H1790:I1790)</x:f>
        <x:v>0</x:v>
      </x:c>
      <x:c r="I1790" s="16" t="str">
        <x:f>IF(H1790&gt;0,G1790/H1790,"n.a.")</x:f>
        <x:v>n.a.</x:v>
      </x:c>
      <x:c r="J1790" s="10" t="n">
        <x:f>IF('Данные'!E1790&gt;0,G1790/'Данные'!E1790,"n.a.")</x:f>
        <x:v>0</x:v>
      </x:c>
      <x:c r="K1790" s="1" t="str">
        <x:f>IF(G1790&gt;='Дашборд'!$C$51,"X","Z")</x:f>
        <x:v>Z</x:v>
      </x:c>
      <x:c r="L1790" s="1" t="str">
        <x:f>IF(H1790=0,IF(G1790&gt;0,"Нет остатка","Нет спроса"),IF(I1790&gt;='Дашборд'!$C$52,"Быстрый","Медленный"))</x:f>
        <x:v>Нет спроса</x:v>
      </x:c>
      <x:c r="M1790" s="1" t="str">
        <x:f>IF('Данные'!E1790&lt;'Дашборд'!$C$53,"Мало трафика",IF(J1790&lt;'Дашборд'!$C$9*'Дашборд'!$C$54,"Да","Нет"))</x:f>
        <x:v>Мало трафика</x:v>
      </x:c>
      <x:c r="N1790" s="1" t="str">
        <x:f>IF(AND('Данные'!D1790&gt;='Дашборд'!$C$55,D1790&lt;'Дашборд'!$C$56,'Данные'!E1790&gt;='Дашборд'!$C$53,'Данные'!L1790&lt;&gt;"Да"),"Да","Нет")</x:f>
        <x:v>Нет</x:v>
      </x:c>
      <x:c r="O1790" s="1" t="str">
        <x:f>'Данные'!L1790</x:f>
        <x:v>Нет</x:v>
      </x:c>
    </x:row>
    <x:row r="1791">
      <x:c r="A1791" s="1" t="str">
        <x:f>'Данные'!A1791</x:f>
        <x:v>179342809</x:v>
      </x:c>
      <x:c r="B1791" s="1" t="str">
        <x:f>'Данные'!B1791</x:f>
        <x:v>1sizeprint/LA/молочный</x:v>
      </x:c>
      <x:c r="C1791" s="8" t="n">
        <x:f>'Данные'!G1791</x:f>
        <x:v>0</x:v>
      </x:c>
      <x:c r="D1791" s="15" t="n">
        <x:f>C1791/SUM($C$5:$C$2477)</x:f>
        <x:v>0</x:v>
      </x:c>
      <x:c r="E1791" s="15" t="n">
        <x:f>SUM($D$5:D1791)</x:f>
        <x:v>1.0000000000000036</x:v>
      </x:c>
      <x:c r="F1791" s="1" t="str">
        <x:f>IF(C1791&lt;=0,"C",IF(E1791-D1791&lt;'Дашборд'!$C$49,"A",IF(E1791-D1791&lt;'Дашборд'!$C$50,"B","C")))</x:f>
        <x:v>C</x:v>
      </x:c>
      <x:c r="G1791" s="8" t="n">
        <x:f>'Данные'!F1791</x:f>
        <x:v>0</x:v>
      </x:c>
      <x:c r="H1791" s="8" t="n">
        <x:f>SUM('Данные'!H1791:I1791)</x:f>
        <x:v>0</x:v>
      </x:c>
      <x:c r="I1791" s="16" t="str">
        <x:f>IF(H1791&gt;0,G1791/H1791,"n.a.")</x:f>
        <x:v>n.a.</x:v>
      </x:c>
      <x:c r="J1791" s="10" t="n">
        <x:f>IF('Данные'!E1791&gt;0,G1791/'Данные'!E1791,"n.a.")</x:f>
        <x:v>0</x:v>
      </x:c>
      <x:c r="K1791" s="1" t="str">
        <x:f>IF(G1791&gt;='Дашборд'!$C$51,"X","Z")</x:f>
        <x:v>Z</x:v>
      </x:c>
      <x:c r="L1791" s="1" t="str">
        <x:f>IF(H1791=0,IF(G1791&gt;0,"Нет остатка","Нет спроса"),IF(I1791&gt;='Дашборд'!$C$52,"Быстрый","Медленный"))</x:f>
        <x:v>Нет спроса</x:v>
      </x:c>
      <x:c r="M1791" s="1" t="str">
        <x:f>IF('Данные'!E1791&lt;'Дашборд'!$C$53,"Мало трафика",IF(J1791&lt;'Дашборд'!$C$9*'Дашборд'!$C$54,"Да","Нет"))</x:f>
        <x:v>Мало трафика</x:v>
      </x:c>
      <x:c r="N1791" s="1" t="str">
        <x:f>IF(AND('Данные'!D1791&gt;='Дашборд'!$C$55,D1791&lt;'Дашборд'!$C$56,'Данные'!E1791&gt;='Дашборд'!$C$53,'Данные'!L1791&lt;&gt;"Да"),"Да","Нет")</x:f>
        <x:v>Нет</x:v>
      </x:c>
      <x:c r="O1791" s="1" t="str">
        <x:f>'Данные'!L1791</x:f>
        <x:v>Нет</x:v>
      </x:c>
    </x:row>
    <x:row r="1792">
      <x:c r="A1792" s="1" t="str">
        <x:f>'Данные'!A1792</x:f>
        <x:v>179342810</x:v>
      </x:c>
      <x:c r="B1792" s="1" t="str">
        <x:f>'Данные'!B1792</x:f>
        <x:v>1sizeprint/MSC/темно-серый</x:v>
      </x:c>
      <x:c r="C1792" s="8" t="n">
        <x:f>'Данные'!G1792</x:f>
        <x:v>0</x:v>
      </x:c>
      <x:c r="D1792" s="15" t="n">
        <x:f>C1792/SUM($C$5:$C$2477)</x:f>
        <x:v>0</x:v>
      </x:c>
      <x:c r="E1792" s="15" t="n">
        <x:f>SUM($D$5:D1792)</x:f>
        <x:v>1.0000000000000036</x:v>
      </x:c>
      <x:c r="F1792" s="1" t="str">
        <x:f>IF(C1792&lt;=0,"C",IF(E1792-D1792&lt;'Дашборд'!$C$49,"A",IF(E1792-D1792&lt;'Дашборд'!$C$50,"B","C")))</x:f>
        <x:v>C</x:v>
      </x:c>
      <x:c r="G1792" s="8" t="n">
        <x:f>'Данные'!F1792</x:f>
        <x:v>0</x:v>
      </x:c>
      <x:c r="H1792" s="8" t="n">
        <x:f>SUM('Данные'!H1792:I1792)</x:f>
        <x:v>0</x:v>
      </x:c>
      <x:c r="I1792" s="16" t="str">
        <x:f>IF(H1792&gt;0,G1792/H1792,"n.a.")</x:f>
        <x:v>n.a.</x:v>
      </x:c>
      <x:c r="J1792" s="10" t="n">
        <x:f>IF('Данные'!E1792&gt;0,G1792/'Данные'!E1792,"n.a.")</x:f>
        <x:v>0</x:v>
      </x:c>
      <x:c r="K1792" s="1" t="str">
        <x:f>IF(G1792&gt;='Дашборд'!$C$51,"X","Z")</x:f>
        <x:v>Z</x:v>
      </x:c>
      <x:c r="L1792" s="1" t="str">
        <x:f>IF(H1792=0,IF(G1792&gt;0,"Нет остатка","Нет спроса"),IF(I1792&gt;='Дашборд'!$C$52,"Быстрый","Медленный"))</x:f>
        <x:v>Нет спроса</x:v>
      </x:c>
      <x:c r="M1792" s="1" t="str">
        <x:f>IF('Данные'!E1792&lt;'Дашборд'!$C$53,"Мало трафика",IF(J1792&lt;'Дашборд'!$C$9*'Дашборд'!$C$54,"Да","Нет"))</x:f>
        <x:v>Мало трафика</x:v>
      </x:c>
      <x:c r="N1792" s="1" t="str">
        <x:f>IF(AND('Данные'!D1792&gt;='Дашборд'!$C$55,D1792&lt;'Дашборд'!$C$56,'Данные'!E1792&gt;='Дашборд'!$C$53,'Данные'!L1792&lt;&gt;"Да"),"Да","Нет")</x:f>
        <x:v>Нет</x:v>
      </x:c>
      <x:c r="O1792" s="1" t="str">
        <x:f>'Данные'!L1792</x:f>
        <x:v>Нет</x:v>
      </x:c>
    </x:row>
    <x:row r="1793">
      <x:c r="A1793" s="1" t="str">
        <x:f>'Данные'!A1793</x:f>
        <x:v>179342811</x:v>
      </x:c>
      <x:c r="B1793" s="1" t="str">
        <x:f>'Данные'!B1793</x:f>
        <x:v>1sizeprint/LA/хаки</x:v>
      </x:c>
      <x:c r="C1793" s="8" t="n">
        <x:f>'Данные'!G1793</x:f>
        <x:v>0</x:v>
      </x:c>
      <x:c r="D1793" s="15" t="n">
        <x:f>C1793/SUM($C$5:$C$2477)</x:f>
        <x:v>0</x:v>
      </x:c>
      <x:c r="E1793" s="15" t="n">
        <x:f>SUM($D$5:D1793)</x:f>
        <x:v>1.0000000000000036</x:v>
      </x:c>
      <x:c r="F1793" s="1" t="str">
        <x:f>IF(C1793&lt;=0,"C",IF(E1793-D1793&lt;'Дашборд'!$C$49,"A",IF(E1793-D1793&lt;'Дашборд'!$C$50,"B","C")))</x:f>
        <x:v>C</x:v>
      </x:c>
      <x:c r="G1793" s="8" t="n">
        <x:f>'Данные'!F1793</x:f>
        <x:v>0</x:v>
      </x:c>
      <x:c r="H1793" s="8" t="n">
        <x:f>SUM('Данные'!H1793:I1793)</x:f>
        <x:v>0</x:v>
      </x:c>
      <x:c r="I1793" s="16" t="str">
        <x:f>IF(H1793&gt;0,G1793/H1793,"n.a.")</x:f>
        <x:v>n.a.</x:v>
      </x:c>
      <x:c r="J1793" s="10" t="n">
        <x:f>IF('Данные'!E1793&gt;0,G1793/'Данные'!E1793,"n.a.")</x:f>
        <x:v>0</x:v>
      </x:c>
      <x:c r="K1793" s="1" t="str">
        <x:f>IF(G1793&gt;='Дашборд'!$C$51,"X","Z")</x:f>
        <x:v>Z</x:v>
      </x:c>
      <x:c r="L1793" s="1" t="str">
        <x:f>IF(H1793=0,IF(G1793&gt;0,"Нет остатка","Нет спроса"),IF(I1793&gt;='Дашборд'!$C$52,"Быстрый","Медленный"))</x:f>
        <x:v>Нет спроса</x:v>
      </x:c>
      <x:c r="M1793" s="1" t="str">
        <x:f>IF('Данные'!E1793&lt;'Дашборд'!$C$53,"Мало трафика",IF(J1793&lt;'Дашборд'!$C$9*'Дашборд'!$C$54,"Да","Нет"))</x:f>
        <x:v>Мало трафика</x:v>
      </x:c>
      <x:c r="N1793" s="1" t="str">
        <x:f>IF(AND('Данные'!D1793&gt;='Дашборд'!$C$55,D1793&lt;'Дашборд'!$C$56,'Данные'!E1793&gt;='Дашборд'!$C$53,'Данные'!L1793&lt;&gt;"Да"),"Да","Нет")</x:f>
        <x:v>Нет</x:v>
      </x:c>
      <x:c r="O1793" s="1" t="str">
        <x:f>'Данные'!L1793</x:f>
        <x:v>Нет</x:v>
      </x:c>
    </x:row>
    <x:row r="1794">
      <x:c r="A1794" s="1" t="str">
        <x:f>'Данные'!A1794</x:f>
        <x:v>179342812</x:v>
      </x:c>
      <x:c r="B1794" s="1" t="str">
        <x:f>'Данные'!B1794</x:f>
        <x:v>1sizeprint/LA/розовый</x:v>
      </x:c>
      <x:c r="C1794" s="8" t="n">
        <x:f>'Данные'!G1794</x:f>
        <x:v>0</x:v>
      </x:c>
      <x:c r="D1794" s="15" t="n">
        <x:f>C1794/SUM($C$5:$C$2477)</x:f>
        <x:v>0</x:v>
      </x:c>
      <x:c r="E1794" s="15" t="n">
        <x:f>SUM($D$5:D1794)</x:f>
        <x:v>1.0000000000000036</x:v>
      </x:c>
      <x:c r="F1794" s="1" t="str">
        <x:f>IF(C1794&lt;=0,"C",IF(E1794-D1794&lt;'Дашборд'!$C$49,"A",IF(E1794-D1794&lt;'Дашборд'!$C$50,"B","C")))</x:f>
        <x:v>C</x:v>
      </x:c>
      <x:c r="G1794" s="8" t="n">
        <x:f>'Данные'!F1794</x:f>
        <x:v>0</x:v>
      </x:c>
      <x:c r="H1794" s="8" t="n">
        <x:f>SUM('Данные'!H1794:I1794)</x:f>
        <x:v>0</x:v>
      </x:c>
      <x:c r="I1794" s="16" t="str">
        <x:f>IF(H1794&gt;0,G1794/H1794,"n.a.")</x:f>
        <x:v>n.a.</x:v>
      </x:c>
      <x:c r="J1794" s="10" t="n">
        <x:f>IF('Данные'!E1794&gt;0,G1794/'Данные'!E1794,"n.a.")</x:f>
        <x:v>0</x:v>
      </x:c>
      <x:c r="K1794" s="1" t="str">
        <x:f>IF(G1794&gt;='Дашборд'!$C$51,"X","Z")</x:f>
        <x:v>Z</x:v>
      </x:c>
      <x:c r="L1794" s="1" t="str">
        <x:f>IF(H1794=0,IF(G1794&gt;0,"Нет остатка","Нет спроса"),IF(I1794&gt;='Дашборд'!$C$52,"Быстрый","Медленный"))</x:f>
        <x:v>Нет спроса</x:v>
      </x:c>
      <x:c r="M1794" s="1" t="str">
        <x:f>IF('Данные'!E1794&lt;'Дашборд'!$C$53,"Мало трафика",IF(J1794&lt;'Дашборд'!$C$9*'Дашборд'!$C$54,"Да","Нет"))</x:f>
        <x:v>Мало трафика</x:v>
      </x:c>
      <x:c r="N1794" s="1" t="str">
        <x:f>IF(AND('Данные'!D1794&gt;='Дашборд'!$C$55,D1794&lt;'Дашборд'!$C$56,'Данные'!E1794&gt;='Дашборд'!$C$53,'Данные'!L1794&lt;&gt;"Да"),"Да","Нет")</x:f>
        <x:v>Нет</x:v>
      </x:c>
      <x:c r="O1794" s="1" t="str">
        <x:f>'Данные'!L1794</x:f>
        <x:v>Нет</x:v>
      </x:c>
    </x:row>
    <x:row r="1795">
      <x:c r="A1795" s="1" t="str">
        <x:f>'Данные'!A1795</x:f>
        <x:v>179342813</x:v>
      </x:c>
      <x:c r="B1795" s="1" t="str">
        <x:f>'Данные'!B1795</x:f>
        <x:v>1sizeprint/LA/черный</x:v>
      </x:c>
      <x:c r="C1795" s="8" t="n">
        <x:f>'Данные'!G1795</x:f>
        <x:v>0</x:v>
      </x:c>
      <x:c r="D1795" s="15" t="n">
        <x:f>C1795/SUM($C$5:$C$2477)</x:f>
        <x:v>0</x:v>
      </x:c>
      <x:c r="E1795" s="15" t="n">
        <x:f>SUM($D$5:D1795)</x:f>
        <x:v>1.0000000000000036</x:v>
      </x:c>
      <x:c r="F1795" s="1" t="str">
        <x:f>IF(C1795&lt;=0,"C",IF(E1795-D1795&lt;'Дашборд'!$C$49,"A",IF(E1795-D1795&lt;'Дашборд'!$C$50,"B","C")))</x:f>
        <x:v>C</x:v>
      </x:c>
      <x:c r="G1795" s="8" t="n">
        <x:f>'Данные'!F1795</x:f>
        <x:v>0</x:v>
      </x:c>
      <x:c r="H1795" s="8" t="n">
        <x:f>SUM('Данные'!H1795:I1795)</x:f>
        <x:v>0</x:v>
      </x:c>
      <x:c r="I1795" s="16" t="str">
        <x:f>IF(H1795&gt;0,G1795/H1795,"n.a.")</x:f>
        <x:v>n.a.</x:v>
      </x:c>
      <x:c r="J1795" s="10" t="n">
        <x:f>IF('Данные'!E1795&gt;0,G1795/'Данные'!E1795,"n.a.")</x:f>
        <x:v>0</x:v>
      </x:c>
      <x:c r="K1795" s="1" t="str">
        <x:f>IF(G1795&gt;='Дашборд'!$C$51,"X","Z")</x:f>
        <x:v>Z</x:v>
      </x:c>
      <x:c r="L1795" s="1" t="str">
        <x:f>IF(H1795=0,IF(G1795&gt;0,"Нет остатка","Нет спроса"),IF(I1795&gt;='Дашборд'!$C$52,"Быстрый","Медленный"))</x:f>
        <x:v>Нет спроса</x:v>
      </x:c>
      <x:c r="M1795" s="1" t="str">
        <x:f>IF('Данные'!E1795&lt;'Дашборд'!$C$53,"Мало трафика",IF(J1795&lt;'Дашборд'!$C$9*'Дашборд'!$C$54,"Да","Нет"))</x:f>
        <x:v>Мало трафика</x:v>
      </x:c>
      <x:c r="N1795" s="1" t="str">
        <x:f>IF(AND('Данные'!D1795&gt;='Дашборд'!$C$55,D1795&lt;'Дашборд'!$C$56,'Данные'!E1795&gt;='Дашборд'!$C$53,'Данные'!L1795&lt;&gt;"Да"),"Да","Нет")</x:f>
        <x:v>Нет</x:v>
      </x:c>
      <x:c r="O1795" s="1" t="str">
        <x:f>'Данные'!L1795</x:f>
        <x:v>Нет</x:v>
      </x:c>
    </x:row>
    <x:row r="1796">
      <x:c r="A1796" s="1" t="str">
        <x:f>'Данные'!A1796</x:f>
        <x:v>179342814</x:v>
      </x:c>
      <x:c r="B1796" s="1" t="str">
        <x:f>'Данные'!B1796</x:f>
        <x:v>1sizeprint/LA/темно-серый</x:v>
      </x:c>
      <x:c r="C1796" s="8" t="n">
        <x:f>'Данные'!G1796</x:f>
        <x:v>0</x:v>
      </x:c>
      <x:c r="D1796" s="15" t="n">
        <x:f>C1796/SUM($C$5:$C$2477)</x:f>
        <x:v>0</x:v>
      </x:c>
      <x:c r="E1796" s="15" t="n">
        <x:f>SUM($D$5:D1796)</x:f>
        <x:v>1.0000000000000036</x:v>
      </x:c>
      <x:c r="F1796" s="1" t="str">
        <x:f>IF(C1796&lt;=0,"C",IF(E1796-D1796&lt;'Дашборд'!$C$49,"A",IF(E1796-D1796&lt;'Дашборд'!$C$50,"B","C")))</x:f>
        <x:v>C</x:v>
      </x:c>
      <x:c r="G1796" s="8" t="n">
        <x:f>'Данные'!F1796</x:f>
        <x:v>0</x:v>
      </x:c>
      <x:c r="H1796" s="8" t="n">
        <x:f>SUM('Данные'!H1796:I1796)</x:f>
        <x:v>0</x:v>
      </x:c>
      <x:c r="I1796" s="16" t="str">
        <x:f>IF(H1796&gt;0,G1796/H1796,"n.a.")</x:f>
        <x:v>n.a.</x:v>
      </x:c>
      <x:c r="J1796" s="10" t="n">
        <x:f>IF('Данные'!E1796&gt;0,G1796/'Данные'!E1796,"n.a.")</x:f>
        <x:v>0</x:v>
      </x:c>
      <x:c r="K1796" s="1" t="str">
        <x:f>IF(G1796&gt;='Дашборд'!$C$51,"X","Z")</x:f>
        <x:v>Z</x:v>
      </x:c>
      <x:c r="L1796" s="1" t="str">
        <x:f>IF(H1796=0,IF(G1796&gt;0,"Нет остатка","Нет спроса"),IF(I1796&gt;='Дашборд'!$C$52,"Быстрый","Медленный"))</x:f>
        <x:v>Нет спроса</x:v>
      </x:c>
      <x:c r="M1796" s="1" t="str">
        <x:f>IF('Данные'!E1796&lt;'Дашборд'!$C$53,"Мало трафика",IF(J1796&lt;'Дашборд'!$C$9*'Дашборд'!$C$54,"Да","Нет"))</x:f>
        <x:v>Мало трафика</x:v>
      </x:c>
      <x:c r="N1796" s="1" t="str">
        <x:f>IF(AND('Данные'!D1796&gt;='Дашборд'!$C$55,D1796&lt;'Дашборд'!$C$56,'Данные'!E1796&gt;='Дашборд'!$C$53,'Данные'!L1796&lt;&gt;"Да"),"Да","Нет")</x:f>
        <x:v>Нет</x:v>
      </x:c>
      <x:c r="O1796" s="1" t="str">
        <x:f>'Данные'!L1796</x:f>
        <x:v>Нет</x:v>
      </x:c>
    </x:row>
    <x:row r="1797">
      <x:c r="A1797" s="1" t="str">
        <x:f>'Данные'!A1797</x:f>
        <x:v>179342815</x:v>
      </x:c>
      <x:c r="B1797" s="1" t="str">
        <x:f>'Данные'!B1797</x:f>
        <x:v>1sizeprint/MSC/хаки</x:v>
      </x:c>
      <x:c r="C1797" s="8" t="n">
        <x:f>'Данные'!G1797</x:f>
        <x:v>0</x:v>
      </x:c>
      <x:c r="D1797" s="15" t="n">
        <x:f>C1797/SUM($C$5:$C$2477)</x:f>
        <x:v>0</x:v>
      </x:c>
      <x:c r="E1797" s="15" t="n">
        <x:f>SUM($D$5:D1797)</x:f>
        <x:v>1.0000000000000036</x:v>
      </x:c>
      <x:c r="F1797" s="1" t="str">
        <x:f>IF(C1797&lt;=0,"C",IF(E1797-D1797&lt;'Дашборд'!$C$49,"A",IF(E1797-D1797&lt;'Дашборд'!$C$50,"B","C")))</x:f>
        <x:v>C</x:v>
      </x:c>
      <x:c r="G1797" s="8" t="n">
        <x:f>'Данные'!F1797</x:f>
        <x:v>0</x:v>
      </x:c>
      <x:c r="H1797" s="8" t="n">
        <x:f>SUM('Данные'!H1797:I1797)</x:f>
        <x:v>0</x:v>
      </x:c>
      <x:c r="I1797" s="16" t="str">
        <x:f>IF(H1797&gt;0,G1797/H1797,"n.a.")</x:f>
        <x:v>n.a.</x:v>
      </x:c>
      <x:c r="J1797" s="10" t="n">
        <x:f>IF('Данные'!E1797&gt;0,G1797/'Данные'!E1797,"n.a.")</x:f>
        <x:v>0</x:v>
      </x:c>
      <x:c r="K1797" s="1" t="str">
        <x:f>IF(G1797&gt;='Дашборд'!$C$51,"X","Z")</x:f>
        <x:v>Z</x:v>
      </x:c>
      <x:c r="L1797" s="1" t="str">
        <x:f>IF(H1797=0,IF(G1797&gt;0,"Нет остатка","Нет спроса"),IF(I1797&gt;='Дашборд'!$C$52,"Быстрый","Медленный"))</x:f>
        <x:v>Нет спроса</x:v>
      </x:c>
      <x:c r="M1797" s="1" t="str">
        <x:f>IF('Данные'!E1797&lt;'Дашборд'!$C$53,"Мало трафика",IF(J1797&lt;'Дашборд'!$C$9*'Дашборд'!$C$54,"Да","Нет"))</x:f>
        <x:v>Мало трафика</x:v>
      </x:c>
      <x:c r="N1797" s="1" t="str">
        <x:f>IF(AND('Данные'!D1797&gt;='Дашборд'!$C$55,D1797&lt;'Дашборд'!$C$56,'Данные'!E1797&gt;='Дашборд'!$C$53,'Данные'!L1797&lt;&gt;"Да"),"Да","Нет")</x:f>
        <x:v>Нет</x:v>
      </x:c>
      <x:c r="O1797" s="1" t="str">
        <x:f>'Данные'!L1797</x:f>
        <x:v>Нет</x:v>
      </x:c>
    </x:row>
    <x:row r="1798">
      <x:c r="A1798" s="1" t="str">
        <x:f>'Данные'!A1798</x:f>
        <x:v>179342816</x:v>
      </x:c>
      <x:c r="B1798" s="1" t="str">
        <x:f>'Данные'!B1798</x:f>
        <x:v>1sizeprint/MSC/молочный</x:v>
      </x:c>
      <x:c r="C1798" s="8" t="n">
        <x:f>'Данные'!G1798</x:f>
        <x:v>0</x:v>
      </x:c>
      <x:c r="D1798" s="15" t="n">
        <x:f>C1798/SUM($C$5:$C$2477)</x:f>
        <x:v>0</x:v>
      </x:c>
      <x:c r="E1798" s="15" t="n">
        <x:f>SUM($D$5:D1798)</x:f>
        <x:v>1.0000000000000036</x:v>
      </x:c>
      <x:c r="F1798" s="1" t="str">
        <x:f>IF(C1798&lt;=0,"C",IF(E1798-D1798&lt;'Дашборд'!$C$49,"A",IF(E1798-D1798&lt;'Дашборд'!$C$50,"B","C")))</x:f>
        <x:v>C</x:v>
      </x:c>
      <x:c r="G1798" s="8" t="n">
        <x:f>'Данные'!F1798</x:f>
        <x:v>0</x:v>
      </x:c>
      <x:c r="H1798" s="8" t="n">
        <x:f>SUM('Данные'!H1798:I1798)</x:f>
        <x:v>0</x:v>
      </x:c>
      <x:c r="I1798" s="16" t="str">
        <x:f>IF(H1798&gt;0,G1798/H1798,"n.a.")</x:f>
        <x:v>n.a.</x:v>
      </x:c>
      <x:c r="J1798" s="10" t="n">
        <x:f>IF('Данные'!E1798&gt;0,G1798/'Данные'!E1798,"n.a.")</x:f>
        <x:v>0</x:v>
      </x:c>
      <x:c r="K1798" s="1" t="str">
        <x:f>IF(G1798&gt;='Дашборд'!$C$51,"X","Z")</x:f>
        <x:v>Z</x:v>
      </x:c>
      <x:c r="L1798" s="1" t="str">
        <x:f>IF(H1798=0,IF(G1798&gt;0,"Нет остатка","Нет спроса"),IF(I1798&gt;='Дашборд'!$C$52,"Быстрый","Медленный"))</x:f>
        <x:v>Нет спроса</x:v>
      </x:c>
      <x:c r="M1798" s="1" t="str">
        <x:f>IF('Данные'!E1798&lt;'Дашборд'!$C$53,"Мало трафика",IF(J1798&lt;'Дашборд'!$C$9*'Дашборд'!$C$54,"Да","Нет"))</x:f>
        <x:v>Мало трафика</x:v>
      </x:c>
      <x:c r="N1798" s="1" t="str">
        <x:f>IF(AND('Данные'!D1798&gt;='Дашборд'!$C$55,D1798&lt;'Дашборд'!$C$56,'Данные'!E1798&gt;='Дашборд'!$C$53,'Данные'!L1798&lt;&gt;"Да"),"Да","Нет")</x:f>
        <x:v>Нет</x:v>
      </x:c>
      <x:c r="O1798" s="1" t="str">
        <x:f>'Данные'!L1798</x:f>
        <x:v>Нет</x:v>
      </x:c>
    </x:row>
    <x:row r="1799">
      <x:c r="A1799" s="1" t="str">
        <x:f>'Данные'!A1799</x:f>
        <x:v>179342817</x:v>
      </x:c>
      <x:c r="B1799" s="1" t="str">
        <x:f>'Данные'!B1799</x:f>
        <x:v>1sizeprint/MSC/розовый</x:v>
      </x:c>
      <x:c r="C1799" s="8" t="n">
        <x:f>'Данные'!G1799</x:f>
        <x:v>0</x:v>
      </x:c>
      <x:c r="D1799" s="15" t="n">
        <x:f>C1799/SUM($C$5:$C$2477)</x:f>
        <x:v>0</x:v>
      </x:c>
      <x:c r="E1799" s="15" t="n">
        <x:f>SUM($D$5:D1799)</x:f>
        <x:v>1.0000000000000036</x:v>
      </x:c>
      <x:c r="F1799" s="1" t="str">
        <x:f>IF(C1799&lt;=0,"C",IF(E1799-D1799&lt;'Дашборд'!$C$49,"A",IF(E1799-D1799&lt;'Дашборд'!$C$50,"B","C")))</x:f>
        <x:v>C</x:v>
      </x:c>
      <x:c r="G1799" s="8" t="n">
        <x:f>'Данные'!F1799</x:f>
        <x:v>0</x:v>
      </x:c>
      <x:c r="H1799" s="8" t="n">
        <x:f>SUM('Данные'!H1799:I1799)</x:f>
        <x:v>0</x:v>
      </x:c>
      <x:c r="I1799" s="16" t="str">
        <x:f>IF(H1799&gt;0,G1799/H1799,"n.a.")</x:f>
        <x:v>n.a.</x:v>
      </x:c>
      <x:c r="J1799" s="10" t="n">
        <x:f>IF('Данные'!E1799&gt;0,G1799/'Данные'!E1799,"n.a.")</x:f>
        <x:v>0</x:v>
      </x:c>
      <x:c r="K1799" s="1" t="str">
        <x:f>IF(G1799&gt;='Дашборд'!$C$51,"X","Z")</x:f>
        <x:v>Z</x:v>
      </x:c>
      <x:c r="L1799" s="1" t="str">
        <x:f>IF(H1799=0,IF(G1799&gt;0,"Нет остатка","Нет спроса"),IF(I1799&gt;='Дашборд'!$C$52,"Быстрый","Медленный"))</x:f>
        <x:v>Нет спроса</x:v>
      </x:c>
      <x:c r="M1799" s="1" t="str">
        <x:f>IF('Данные'!E1799&lt;'Дашборд'!$C$53,"Мало трафика",IF(J1799&lt;'Дашборд'!$C$9*'Дашборд'!$C$54,"Да","Нет"))</x:f>
        <x:v>Мало трафика</x:v>
      </x:c>
      <x:c r="N1799" s="1" t="str">
        <x:f>IF(AND('Данные'!D1799&gt;='Дашборд'!$C$55,D1799&lt;'Дашборд'!$C$56,'Данные'!E1799&gt;='Дашборд'!$C$53,'Данные'!L1799&lt;&gt;"Да"),"Да","Нет")</x:f>
        <x:v>Нет</x:v>
      </x:c>
      <x:c r="O1799" s="1" t="str">
        <x:f>'Данные'!L1799</x:f>
        <x:v>Нет</x:v>
      </x:c>
    </x:row>
    <x:row r="1800">
      <x:c r="A1800" s="1" t="str">
        <x:f>'Данные'!A1800</x:f>
        <x:v>179342820</x:v>
      </x:c>
      <x:c r="B1800" s="1" t="str">
        <x:f>'Данные'!B1800</x:f>
        <x:v>1sizeprint/MSC/черный</x:v>
      </x:c>
      <x:c r="C1800" s="8" t="n">
        <x:f>'Данные'!G1800</x:f>
        <x:v>0</x:v>
      </x:c>
      <x:c r="D1800" s="15" t="n">
        <x:f>C1800/SUM($C$5:$C$2477)</x:f>
        <x:v>0</x:v>
      </x:c>
      <x:c r="E1800" s="15" t="n">
        <x:f>SUM($D$5:D1800)</x:f>
        <x:v>1.0000000000000036</x:v>
      </x:c>
      <x:c r="F1800" s="1" t="str">
        <x:f>IF(C1800&lt;=0,"C",IF(E1800-D1800&lt;'Дашборд'!$C$49,"A",IF(E1800-D1800&lt;'Дашборд'!$C$50,"B","C")))</x:f>
        <x:v>C</x:v>
      </x:c>
      <x:c r="G1800" s="8" t="n">
        <x:f>'Данные'!F1800</x:f>
        <x:v>0</x:v>
      </x:c>
      <x:c r="H1800" s="8" t="n">
        <x:f>SUM('Данные'!H1800:I1800)</x:f>
        <x:v>0</x:v>
      </x:c>
      <x:c r="I1800" s="16" t="str">
        <x:f>IF(H1800&gt;0,G1800/H1800,"n.a.")</x:f>
        <x:v>n.a.</x:v>
      </x:c>
      <x:c r="J1800" s="10" t="n">
        <x:f>IF('Данные'!E1800&gt;0,G1800/'Данные'!E1800,"n.a.")</x:f>
        <x:v>0</x:v>
      </x:c>
      <x:c r="K1800" s="1" t="str">
        <x:f>IF(G1800&gt;='Дашборд'!$C$51,"X","Z")</x:f>
        <x:v>Z</x:v>
      </x:c>
      <x:c r="L1800" s="1" t="str">
        <x:f>IF(H1800=0,IF(G1800&gt;0,"Нет остатка","Нет спроса"),IF(I1800&gt;='Дашборд'!$C$52,"Быстрый","Медленный"))</x:f>
        <x:v>Нет спроса</x:v>
      </x:c>
      <x:c r="M1800" s="1" t="str">
        <x:f>IF('Данные'!E1800&lt;'Дашборд'!$C$53,"Мало трафика",IF(J1800&lt;'Дашборд'!$C$9*'Дашборд'!$C$54,"Да","Нет"))</x:f>
        <x:v>Мало трафика</x:v>
      </x:c>
      <x:c r="N1800" s="1" t="str">
        <x:f>IF(AND('Данные'!D1800&gt;='Дашборд'!$C$55,D1800&lt;'Дашборд'!$C$56,'Данные'!E1800&gt;='Дашборд'!$C$53,'Данные'!L1800&lt;&gt;"Да"),"Да","Нет")</x:f>
        <x:v>Нет</x:v>
      </x:c>
      <x:c r="O1800" s="1" t="str">
        <x:f>'Данные'!L1800</x:f>
        <x:v>Нет</x:v>
      </x:c>
    </x:row>
    <x:row r="1801">
      <x:c r="A1801" s="1" t="str">
        <x:f>'Данные'!A1801</x:f>
        <x:v>179342821</x:v>
      </x:c>
      <x:c r="B1801" s="1" t="str">
        <x:f>'Данные'!B1801</x:f>
        <x:v>1sizeprint/BRK/молочный</x:v>
      </x:c>
      <x:c r="C1801" s="8" t="n">
        <x:f>'Данные'!G1801</x:f>
        <x:v>0</x:v>
      </x:c>
      <x:c r="D1801" s="15" t="n">
        <x:f>C1801/SUM($C$5:$C$2477)</x:f>
        <x:v>0</x:v>
      </x:c>
      <x:c r="E1801" s="15" t="n">
        <x:f>SUM($D$5:D1801)</x:f>
        <x:v>1.0000000000000036</x:v>
      </x:c>
      <x:c r="F1801" s="1" t="str">
        <x:f>IF(C1801&lt;=0,"C",IF(E1801-D1801&lt;'Дашборд'!$C$49,"A",IF(E1801-D1801&lt;'Дашборд'!$C$50,"B","C")))</x:f>
        <x:v>C</x:v>
      </x:c>
      <x:c r="G1801" s="8" t="n">
        <x:f>'Данные'!F1801</x:f>
        <x:v>0</x:v>
      </x:c>
      <x:c r="H1801" s="8" t="n">
        <x:f>SUM('Данные'!H1801:I1801)</x:f>
        <x:v>0</x:v>
      </x:c>
      <x:c r="I1801" s="16" t="str">
        <x:f>IF(H1801&gt;0,G1801/H1801,"n.a.")</x:f>
        <x:v>n.a.</x:v>
      </x:c>
      <x:c r="J1801" s="10" t="n">
        <x:f>IF('Данные'!E1801&gt;0,G1801/'Данные'!E1801,"n.a.")</x:f>
        <x:v>0</x:v>
      </x:c>
      <x:c r="K1801" s="1" t="str">
        <x:f>IF(G1801&gt;='Дашборд'!$C$51,"X","Z")</x:f>
        <x:v>Z</x:v>
      </x:c>
      <x:c r="L1801" s="1" t="str">
        <x:f>IF(H1801=0,IF(G1801&gt;0,"Нет остатка","Нет спроса"),IF(I1801&gt;='Дашборд'!$C$52,"Быстрый","Медленный"))</x:f>
        <x:v>Нет спроса</x:v>
      </x:c>
      <x:c r="M1801" s="1" t="str">
        <x:f>IF('Данные'!E1801&lt;'Дашборд'!$C$53,"Мало трафика",IF(J1801&lt;'Дашборд'!$C$9*'Дашборд'!$C$54,"Да","Нет"))</x:f>
        <x:v>Мало трафика</x:v>
      </x:c>
      <x:c r="N1801" s="1" t="str">
        <x:f>IF(AND('Данные'!D1801&gt;='Дашборд'!$C$55,D1801&lt;'Дашборд'!$C$56,'Данные'!E1801&gt;='Дашборд'!$C$53,'Данные'!L1801&lt;&gt;"Да"),"Да","Нет")</x:f>
        <x:v>Нет</x:v>
      </x:c>
      <x:c r="O1801" s="1" t="str">
        <x:f>'Данные'!L1801</x:f>
        <x:v>Нет</x:v>
      </x:c>
    </x:row>
    <x:row r="1802">
      <x:c r="A1802" s="1" t="str">
        <x:f>'Данные'!A1802</x:f>
        <x:v>179342822</x:v>
      </x:c>
      <x:c r="B1802" s="1" t="str">
        <x:f>'Данные'!B1802</x:f>
        <x:v>1sizeprint/BRK/темно-серый</x:v>
      </x:c>
      <x:c r="C1802" s="8" t="n">
        <x:f>'Данные'!G1802</x:f>
        <x:v>0</x:v>
      </x:c>
      <x:c r="D1802" s="15" t="n">
        <x:f>C1802/SUM($C$5:$C$2477)</x:f>
        <x:v>0</x:v>
      </x:c>
      <x:c r="E1802" s="15" t="n">
        <x:f>SUM($D$5:D1802)</x:f>
        <x:v>1.0000000000000036</x:v>
      </x:c>
      <x:c r="F1802" s="1" t="str">
        <x:f>IF(C1802&lt;=0,"C",IF(E1802-D1802&lt;'Дашборд'!$C$49,"A",IF(E1802-D1802&lt;'Дашборд'!$C$50,"B","C")))</x:f>
        <x:v>C</x:v>
      </x:c>
      <x:c r="G1802" s="8" t="n">
        <x:f>'Данные'!F1802</x:f>
        <x:v>0</x:v>
      </x:c>
      <x:c r="H1802" s="8" t="n">
        <x:f>SUM('Данные'!H1802:I1802)</x:f>
        <x:v>0</x:v>
      </x:c>
      <x:c r="I1802" s="16" t="str">
        <x:f>IF(H1802&gt;0,G1802/H1802,"n.a.")</x:f>
        <x:v>n.a.</x:v>
      </x:c>
      <x:c r="J1802" s="10" t="n">
        <x:f>IF('Данные'!E1802&gt;0,G1802/'Данные'!E1802,"n.a.")</x:f>
        <x:v>0</x:v>
      </x:c>
      <x:c r="K1802" s="1" t="str">
        <x:f>IF(G1802&gt;='Дашборд'!$C$51,"X","Z")</x:f>
        <x:v>Z</x:v>
      </x:c>
      <x:c r="L1802" s="1" t="str">
        <x:f>IF(H1802=0,IF(G1802&gt;0,"Нет остатка","Нет спроса"),IF(I1802&gt;='Дашборд'!$C$52,"Быстрый","Медленный"))</x:f>
        <x:v>Нет спроса</x:v>
      </x:c>
      <x:c r="M1802" s="1" t="str">
        <x:f>IF('Данные'!E1802&lt;'Дашборд'!$C$53,"Мало трафика",IF(J1802&lt;'Дашборд'!$C$9*'Дашборд'!$C$54,"Да","Нет"))</x:f>
        <x:v>Мало трафика</x:v>
      </x:c>
      <x:c r="N1802" s="1" t="str">
        <x:f>IF(AND('Данные'!D1802&gt;='Дашборд'!$C$55,D1802&lt;'Дашборд'!$C$56,'Данные'!E1802&gt;='Дашборд'!$C$53,'Данные'!L1802&lt;&gt;"Да"),"Да","Нет")</x:f>
        <x:v>Нет</x:v>
      </x:c>
      <x:c r="O1802" s="1" t="str">
        <x:f>'Данные'!L1802</x:f>
        <x:v>Нет</x:v>
      </x:c>
    </x:row>
    <x:row r="1803">
      <x:c r="A1803" s="1" t="str">
        <x:f>'Данные'!A1803</x:f>
        <x:v>179342823</x:v>
      </x:c>
      <x:c r="B1803" s="1" t="str">
        <x:f>'Данные'!B1803</x:f>
        <x:v>1sizeprint/BRK/хаки</x:v>
      </x:c>
      <x:c r="C1803" s="8" t="n">
        <x:f>'Данные'!G1803</x:f>
        <x:v>0</x:v>
      </x:c>
      <x:c r="D1803" s="15" t="n">
        <x:f>C1803/SUM($C$5:$C$2477)</x:f>
        <x:v>0</x:v>
      </x:c>
      <x:c r="E1803" s="15" t="n">
        <x:f>SUM($D$5:D1803)</x:f>
        <x:v>1.0000000000000036</x:v>
      </x:c>
      <x:c r="F1803" s="1" t="str">
        <x:f>IF(C1803&lt;=0,"C",IF(E1803-D1803&lt;'Дашборд'!$C$49,"A",IF(E1803-D1803&lt;'Дашборд'!$C$50,"B","C")))</x:f>
        <x:v>C</x:v>
      </x:c>
      <x:c r="G1803" s="8" t="n">
        <x:f>'Данные'!F1803</x:f>
        <x:v>0</x:v>
      </x:c>
      <x:c r="H1803" s="8" t="n">
        <x:f>SUM('Данные'!H1803:I1803)</x:f>
        <x:v>0</x:v>
      </x:c>
      <x:c r="I1803" s="16" t="str">
        <x:f>IF(H1803&gt;0,G1803/H1803,"n.a.")</x:f>
        <x:v>n.a.</x:v>
      </x:c>
      <x:c r="J1803" s="10" t="n">
        <x:f>IF('Данные'!E1803&gt;0,G1803/'Данные'!E1803,"n.a.")</x:f>
        <x:v>0</x:v>
      </x:c>
      <x:c r="K1803" s="1" t="str">
        <x:f>IF(G1803&gt;='Дашборд'!$C$51,"X","Z")</x:f>
        <x:v>Z</x:v>
      </x:c>
      <x:c r="L1803" s="1" t="str">
        <x:f>IF(H1803=0,IF(G1803&gt;0,"Нет остатка","Нет спроса"),IF(I1803&gt;='Дашборд'!$C$52,"Быстрый","Медленный"))</x:f>
        <x:v>Нет спроса</x:v>
      </x:c>
      <x:c r="M1803" s="1" t="str">
        <x:f>IF('Данные'!E1803&lt;'Дашборд'!$C$53,"Мало трафика",IF(J1803&lt;'Дашборд'!$C$9*'Дашборд'!$C$54,"Да","Нет"))</x:f>
        <x:v>Мало трафика</x:v>
      </x:c>
      <x:c r="N1803" s="1" t="str">
        <x:f>IF(AND('Данные'!D1803&gt;='Дашборд'!$C$55,D1803&lt;'Дашборд'!$C$56,'Данные'!E1803&gt;='Дашборд'!$C$53,'Данные'!L1803&lt;&gt;"Да"),"Да","Нет")</x:f>
        <x:v>Нет</x:v>
      </x:c>
      <x:c r="O1803" s="1" t="str">
        <x:f>'Данные'!L1803</x:f>
        <x:v>Нет</x:v>
      </x:c>
    </x:row>
    <x:row r="1804">
      <x:c r="A1804" s="1" t="str">
        <x:f>'Данные'!A1804</x:f>
        <x:v>179342825</x:v>
      </x:c>
      <x:c r="B1804" s="1" t="str">
        <x:f>'Данные'!B1804</x:f>
        <x:v>1sizeprint/BRK/черный</x:v>
      </x:c>
      <x:c r="C1804" s="8" t="n">
        <x:f>'Данные'!G1804</x:f>
        <x:v>0</x:v>
      </x:c>
      <x:c r="D1804" s="15" t="n">
        <x:f>C1804/SUM($C$5:$C$2477)</x:f>
        <x:v>0</x:v>
      </x:c>
      <x:c r="E1804" s="15" t="n">
        <x:f>SUM($D$5:D1804)</x:f>
        <x:v>1.0000000000000036</x:v>
      </x:c>
      <x:c r="F1804" s="1" t="str">
        <x:f>IF(C1804&lt;=0,"C",IF(E1804-D1804&lt;'Дашборд'!$C$49,"A",IF(E1804-D1804&lt;'Дашборд'!$C$50,"B","C")))</x:f>
        <x:v>C</x:v>
      </x:c>
      <x:c r="G1804" s="8" t="n">
        <x:f>'Данные'!F1804</x:f>
        <x:v>0</x:v>
      </x:c>
      <x:c r="H1804" s="8" t="n">
        <x:f>SUM('Данные'!H1804:I1804)</x:f>
        <x:v>0</x:v>
      </x:c>
      <x:c r="I1804" s="16" t="str">
        <x:f>IF(H1804&gt;0,G1804/H1804,"n.a.")</x:f>
        <x:v>n.a.</x:v>
      </x:c>
      <x:c r="J1804" s="10" t="n">
        <x:f>IF('Данные'!E1804&gt;0,G1804/'Данные'!E1804,"n.a.")</x:f>
        <x:v>0</x:v>
      </x:c>
      <x:c r="K1804" s="1" t="str">
        <x:f>IF(G1804&gt;='Дашборд'!$C$51,"X","Z")</x:f>
        <x:v>Z</x:v>
      </x:c>
      <x:c r="L1804" s="1" t="str">
        <x:f>IF(H1804=0,IF(G1804&gt;0,"Нет остатка","Нет спроса"),IF(I1804&gt;='Дашборд'!$C$52,"Быстрый","Медленный"))</x:f>
        <x:v>Нет спроса</x:v>
      </x:c>
      <x:c r="M1804" s="1" t="str">
        <x:f>IF('Данные'!E1804&lt;'Дашборд'!$C$53,"Мало трафика",IF(J1804&lt;'Дашборд'!$C$9*'Дашборд'!$C$54,"Да","Нет"))</x:f>
        <x:v>Мало трафика</x:v>
      </x:c>
      <x:c r="N1804" s="1" t="str">
        <x:f>IF(AND('Данные'!D1804&gt;='Дашборд'!$C$55,D1804&lt;'Дашборд'!$C$56,'Данные'!E1804&gt;='Дашборд'!$C$53,'Данные'!L1804&lt;&gt;"Да"),"Да","Нет")</x:f>
        <x:v>Нет</x:v>
      </x:c>
      <x:c r="O1804" s="1" t="str">
        <x:f>'Данные'!L1804</x:f>
        <x:v>Нет</x:v>
      </x:c>
    </x:row>
    <x:row r="1805">
      <x:c r="A1805" s="1" t="str">
        <x:f>'Данные'!A1805</x:f>
        <x:v>179369214</x:v>
      </x:c>
      <x:c r="B1805" s="1" t="str">
        <x:f>'Данные'!B1805</x:f>
        <x:v>ziphudi1/молочный</x:v>
      </x:c>
      <x:c r="C1805" s="8" t="n">
        <x:f>'Данные'!G1805</x:f>
        <x:v>0</x:v>
      </x:c>
      <x:c r="D1805" s="15" t="n">
        <x:f>C1805/SUM($C$5:$C$2477)</x:f>
        <x:v>0</x:v>
      </x:c>
      <x:c r="E1805" s="15" t="n">
        <x:f>SUM($D$5:D1805)</x:f>
        <x:v>1.0000000000000036</x:v>
      </x:c>
      <x:c r="F1805" s="1" t="str">
        <x:f>IF(C1805&lt;=0,"C",IF(E1805-D1805&lt;'Дашборд'!$C$49,"A",IF(E1805-D1805&lt;'Дашборд'!$C$50,"B","C")))</x:f>
        <x:v>C</x:v>
      </x:c>
      <x:c r="G1805" s="8" t="n">
        <x:f>'Данные'!F1805</x:f>
        <x:v>0</x:v>
      </x:c>
      <x:c r="H1805" s="8" t="n">
        <x:f>SUM('Данные'!H1805:I1805)</x:f>
        <x:v>0</x:v>
      </x:c>
      <x:c r="I1805" s="16" t="str">
        <x:f>IF(H1805&gt;0,G1805/H1805,"n.a.")</x:f>
        <x:v>n.a.</x:v>
      </x:c>
      <x:c r="J1805" s="10" t="n">
        <x:f>IF('Данные'!E1805&gt;0,G1805/'Данные'!E1805,"n.a.")</x:f>
        <x:v>0</x:v>
      </x:c>
      <x:c r="K1805" s="1" t="str">
        <x:f>IF(G1805&gt;='Дашборд'!$C$51,"X","Z")</x:f>
        <x:v>Z</x:v>
      </x:c>
      <x:c r="L1805" s="1" t="str">
        <x:f>IF(H1805=0,IF(G1805&gt;0,"Нет остатка","Нет спроса"),IF(I1805&gt;='Дашборд'!$C$52,"Быстрый","Медленный"))</x:f>
        <x:v>Нет спроса</x:v>
      </x:c>
      <x:c r="M1805" s="1" t="str">
        <x:f>IF('Данные'!E1805&lt;'Дашборд'!$C$53,"Мало трафика",IF(J1805&lt;'Дашборд'!$C$9*'Дашборд'!$C$54,"Да","Нет"))</x:f>
        <x:v>Мало трафика</x:v>
      </x:c>
      <x:c r="N1805" s="1" t="str">
        <x:f>IF(AND('Данные'!D1805&gt;='Дашборд'!$C$55,D1805&lt;'Дашборд'!$C$56,'Данные'!E1805&gt;='Дашборд'!$C$53,'Данные'!L1805&lt;&gt;"Да"),"Да","Нет")</x:f>
        <x:v>Нет</x:v>
      </x:c>
      <x:c r="O1805" s="1" t="str">
        <x:f>'Данные'!L1805</x:f>
        <x:v>Нет</x:v>
      </x:c>
    </x:row>
    <x:row r="1806">
      <x:c r="A1806" s="1" t="str">
        <x:f>'Данные'!A1806</x:f>
        <x:v>179376942</x:v>
      </x:c>
      <x:c r="B1806" s="1" t="str">
        <x:f>'Данные'!B1806</x:f>
        <x:v>1sizeprint/Barbie/розовый</x:v>
      </x:c>
      <x:c r="C1806" s="8" t="n">
        <x:f>'Данные'!G1806</x:f>
        <x:v>0</x:v>
      </x:c>
      <x:c r="D1806" s="15" t="n">
        <x:f>C1806/SUM($C$5:$C$2477)</x:f>
        <x:v>0</x:v>
      </x:c>
      <x:c r="E1806" s="15" t="n">
        <x:f>SUM($D$5:D1806)</x:f>
        <x:v>1.0000000000000036</x:v>
      </x:c>
      <x:c r="F1806" s="1" t="str">
        <x:f>IF(C1806&lt;=0,"C",IF(E1806-D1806&lt;'Дашборд'!$C$49,"A",IF(E1806-D1806&lt;'Дашборд'!$C$50,"B","C")))</x:f>
        <x:v>C</x:v>
      </x:c>
      <x:c r="G1806" s="8" t="n">
        <x:f>'Данные'!F1806</x:f>
        <x:v>0</x:v>
      </x:c>
      <x:c r="H1806" s="8" t="n">
        <x:f>SUM('Данные'!H1806:I1806)</x:f>
        <x:v>0</x:v>
      </x:c>
      <x:c r="I1806" s="16" t="str">
        <x:f>IF(H1806&gt;0,G1806/H1806,"n.a.")</x:f>
        <x:v>n.a.</x:v>
      </x:c>
      <x:c r="J1806" s="10" t="n">
        <x:f>IF('Данные'!E1806&gt;0,G1806/'Данные'!E1806,"n.a.")</x:f>
        <x:v>0</x:v>
      </x:c>
      <x:c r="K1806" s="1" t="str">
        <x:f>IF(G1806&gt;='Дашборд'!$C$51,"X","Z")</x:f>
        <x:v>Z</x:v>
      </x:c>
      <x:c r="L1806" s="1" t="str">
        <x:f>IF(H1806=0,IF(G1806&gt;0,"Нет остатка","Нет спроса"),IF(I1806&gt;='Дашборд'!$C$52,"Быстрый","Медленный"))</x:f>
        <x:v>Нет спроса</x:v>
      </x:c>
      <x:c r="M1806" s="1" t="str">
        <x:f>IF('Данные'!E1806&lt;'Дашборд'!$C$53,"Мало трафика",IF(J1806&lt;'Дашборд'!$C$9*'Дашборд'!$C$54,"Да","Нет"))</x:f>
        <x:v>Мало трафика</x:v>
      </x:c>
      <x:c r="N1806" s="1" t="str">
        <x:f>IF(AND('Данные'!D1806&gt;='Дашборд'!$C$55,D1806&lt;'Дашборд'!$C$56,'Данные'!E1806&gt;='Дашборд'!$C$53,'Данные'!L1806&lt;&gt;"Да"),"Да","Нет")</x:f>
        <x:v>Нет</x:v>
      </x:c>
      <x:c r="O1806" s="1" t="str">
        <x:f>'Данные'!L1806</x:f>
        <x:v>Нет</x:v>
      </x:c>
    </x:row>
    <x:row r="1807">
      <x:c r="A1807" s="1" t="str">
        <x:f>'Данные'!A1807</x:f>
        <x:v>179376944</x:v>
      </x:c>
      <x:c r="B1807" s="1" t="str">
        <x:f>'Данные'!B1807</x:f>
        <x:v>1sizeprint/Barbie/молочный</x:v>
      </x:c>
      <x:c r="C1807" s="8" t="n">
        <x:f>'Данные'!G1807</x:f>
        <x:v>0</x:v>
      </x:c>
      <x:c r="D1807" s="15" t="n">
        <x:f>C1807/SUM($C$5:$C$2477)</x:f>
        <x:v>0</x:v>
      </x:c>
      <x:c r="E1807" s="15" t="n">
        <x:f>SUM($D$5:D1807)</x:f>
        <x:v>1.0000000000000036</x:v>
      </x:c>
      <x:c r="F1807" s="1" t="str">
        <x:f>IF(C1807&lt;=0,"C",IF(E1807-D1807&lt;'Дашборд'!$C$49,"A",IF(E1807-D1807&lt;'Дашборд'!$C$50,"B","C")))</x:f>
        <x:v>C</x:v>
      </x:c>
      <x:c r="G1807" s="8" t="n">
        <x:f>'Данные'!F1807</x:f>
        <x:v>0</x:v>
      </x:c>
      <x:c r="H1807" s="8" t="n">
        <x:f>SUM('Данные'!H1807:I1807)</x:f>
        <x:v>0</x:v>
      </x:c>
      <x:c r="I1807" s="16" t="str">
        <x:f>IF(H1807&gt;0,G1807/H1807,"n.a.")</x:f>
        <x:v>n.a.</x:v>
      </x:c>
      <x:c r="J1807" s="10" t="n">
        <x:f>IF('Данные'!E1807&gt;0,G1807/'Данные'!E1807,"n.a.")</x:f>
        <x:v>0</x:v>
      </x:c>
      <x:c r="K1807" s="1" t="str">
        <x:f>IF(G1807&gt;='Дашборд'!$C$51,"X","Z")</x:f>
        <x:v>Z</x:v>
      </x:c>
      <x:c r="L1807" s="1" t="str">
        <x:f>IF(H1807=0,IF(G1807&gt;0,"Нет остатка","Нет спроса"),IF(I1807&gt;='Дашборд'!$C$52,"Быстрый","Медленный"))</x:f>
        <x:v>Нет спроса</x:v>
      </x:c>
      <x:c r="M1807" s="1" t="str">
        <x:f>IF('Данные'!E1807&lt;'Дашборд'!$C$53,"Мало трафика",IF(J1807&lt;'Дашборд'!$C$9*'Дашборд'!$C$54,"Да","Нет"))</x:f>
        <x:v>Мало трафика</x:v>
      </x:c>
      <x:c r="N1807" s="1" t="str">
        <x:f>IF(AND('Данные'!D1807&gt;='Дашборд'!$C$55,D1807&lt;'Дашборд'!$C$56,'Данные'!E1807&gt;='Дашборд'!$C$53,'Данные'!L1807&lt;&gt;"Да"),"Да","Нет")</x:f>
        <x:v>Нет</x:v>
      </x:c>
      <x:c r="O1807" s="1" t="str">
        <x:f>'Данные'!L1807</x:f>
        <x:v>Нет</x:v>
      </x:c>
    </x:row>
    <x:row r="1808">
      <x:c r="A1808" s="1" t="str">
        <x:f>'Данные'!A1808</x:f>
        <x:v>179948625</x:v>
      </x:c>
      <x:c r="B1808" s="1" t="str">
        <x:f>'Данные'!B1808</x:f>
        <x:v>palazzo/черный</x:v>
      </x:c>
      <x:c r="C1808" s="8" t="n">
        <x:f>'Данные'!G1808</x:f>
        <x:v>0</x:v>
      </x:c>
      <x:c r="D1808" s="15" t="n">
        <x:f>C1808/SUM($C$5:$C$2477)</x:f>
        <x:v>0</x:v>
      </x:c>
      <x:c r="E1808" s="15" t="n">
        <x:f>SUM($D$5:D1808)</x:f>
        <x:v>1.0000000000000036</x:v>
      </x:c>
      <x:c r="F1808" s="1" t="str">
        <x:f>IF(C1808&lt;=0,"C",IF(E1808-D1808&lt;'Дашборд'!$C$49,"A",IF(E1808-D1808&lt;'Дашборд'!$C$50,"B","C")))</x:f>
        <x:v>C</x:v>
      </x:c>
      <x:c r="G1808" s="8" t="n">
        <x:f>'Данные'!F1808</x:f>
        <x:v>2</x:v>
      </x:c>
      <x:c r="H1808" s="8" t="n">
        <x:f>SUM('Данные'!H1808:I1808)</x:f>
        <x:v>0</x:v>
      </x:c>
      <x:c r="I1808" s="16" t="str">
        <x:f>IF(H1808&gt;0,G1808/H1808,"n.a.")</x:f>
        <x:v>n.a.</x:v>
      </x:c>
      <x:c r="J1808" s="10" t="n">
        <x:f>IF('Данные'!E1808&gt;0,G1808/'Данные'!E1808,"n.a.")</x:f>
        <x:v>0.0035778175313059034</x:v>
      </x:c>
      <x:c r="K1808" s="1" t="str">
        <x:f>IF(G1808&gt;='Дашборд'!$C$51,"X","Z")</x:f>
        <x:v>Z</x:v>
      </x:c>
      <x:c r="L1808" s="1" t="str">
        <x:f>IF(H1808=0,IF(G1808&gt;0,"Нет остатка","Нет спроса"),IF(I1808&gt;='Дашборд'!$C$52,"Быстрый","Медленный"))</x:f>
        <x:v>Нет остатка</x:v>
      </x:c>
      <x:c r="M1808" s="1" t="str">
        <x:f>IF('Данные'!E1808&lt;'Дашборд'!$C$53,"Мало трафика",IF(J1808&lt;'Дашборд'!$C$9*'Дашборд'!$C$54,"Да","Нет"))</x:f>
        <x:v>Мало трафика</x:v>
      </x:c>
      <x:c r="N1808" s="1" t="str">
        <x:f>IF(AND('Данные'!D1808&gt;='Дашборд'!$C$55,D1808&lt;'Дашборд'!$C$56,'Данные'!E1808&gt;='Дашборд'!$C$53,'Данные'!L1808&lt;&gt;"Да"),"Да","Нет")</x:f>
        <x:v>Нет</x:v>
      </x:c>
      <x:c r="O1808" s="1" t="str">
        <x:f>'Данные'!L1808</x:f>
        <x:v>Нет</x:v>
      </x:c>
    </x:row>
    <x:row r="1809">
      <x:c r="A1809" s="1" t="str">
        <x:f>'Данные'!A1809</x:f>
        <x:v>179951204</x:v>
      </x:c>
      <x:c r="B1809" s="1" t="str">
        <x:f>'Данные'!B1809</x:f>
        <x:v>palazzo/темно-синий</x:v>
      </x:c>
      <x:c r="C1809" s="8" t="n">
        <x:f>'Данные'!G1809</x:f>
        <x:v>0</x:v>
      </x:c>
      <x:c r="D1809" s="15" t="n">
        <x:f>C1809/SUM($C$5:$C$2477)</x:f>
        <x:v>0</x:v>
      </x:c>
      <x:c r="E1809" s="15" t="n">
        <x:f>SUM($D$5:D1809)</x:f>
        <x:v>1.0000000000000036</x:v>
      </x:c>
      <x:c r="F1809" s="1" t="str">
        <x:f>IF(C1809&lt;=0,"C",IF(E1809-D1809&lt;'Дашборд'!$C$49,"A",IF(E1809-D1809&lt;'Дашборд'!$C$50,"B","C")))</x:f>
        <x:v>C</x:v>
      </x:c>
      <x:c r="G1809" s="8" t="n">
        <x:f>'Данные'!F1809</x:f>
        <x:v>0</x:v>
      </x:c>
      <x:c r="H1809" s="8" t="n">
        <x:f>SUM('Данные'!H1809:I1809)</x:f>
        <x:v>0</x:v>
      </x:c>
      <x:c r="I1809" s="16" t="str">
        <x:f>IF(H1809&gt;0,G1809/H1809,"n.a.")</x:f>
        <x:v>n.a.</x:v>
      </x:c>
      <x:c r="J1809" s="10" t="n">
        <x:f>IF('Данные'!E1809&gt;0,G1809/'Данные'!E1809,"n.a.")</x:f>
        <x:v>0</x:v>
      </x:c>
      <x:c r="K1809" s="1" t="str">
        <x:f>IF(G1809&gt;='Дашборд'!$C$51,"X","Z")</x:f>
        <x:v>Z</x:v>
      </x:c>
      <x:c r="L1809" s="1" t="str">
        <x:f>IF(H1809=0,IF(G1809&gt;0,"Нет остатка","Нет спроса"),IF(I1809&gt;='Дашборд'!$C$52,"Быстрый","Медленный"))</x:f>
        <x:v>Нет спроса</x:v>
      </x:c>
      <x:c r="M1809" s="1" t="str">
        <x:f>IF('Данные'!E1809&lt;'Дашборд'!$C$53,"Мало трафика",IF(J1809&lt;'Дашборд'!$C$9*'Дашборд'!$C$54,"Да","Нет"))</x:f>
        <x:v>Мало трафика</x:v>
      </x:c>
      <x:c r="N1809" s="1" t="str">
        <x:f>IF(AND('Данные'!D1809&gt;='Дашборд'!$C$55,D1809&lt;'Дашборд'!$C$56,'Данные'!E1809&gt;='Дашборд'!$C$53,'Данные'!L1809&lt;&gt;"Да"),"Да","Нет")</x:f>
        <x:v>Нет</x:v>
      </x:c>
      <x:c r="O1809" s="1" t="str">
        <x:f>'Данные'!L1809</x:f>
        <x:v>Нет</x:v>
      </x:c>
    </x:row>
    <x:row r="1810">
      <x:c r="A1810" s="1" t="str">
        <x:f>'Данные'!A1810</x:f>
        <x:v>179951211</x:v>
      </x:c>
      <x:c r="B1810" s="1" t="str">
        <x:f>'Данные'!B1810</x:f>
        <x:v>palazzo/кофейный</x:v>
      </x:c>
      <x:c r="C1810" s="8" t="n">
        <x:f>'Данные'!G1810</x:f>
        <x:v>0</x:v>
      </x:c>
      <x:c r="D1810" s="15" t="n">
        <x:f>C1810/SUM($C$5:$C$2477)</x:f>
        <x:v>0</x:v>
      </x:c>
      <x:c r="E1810" s="15" t="n">
        <x:f>SUM($D$5:D1810)</x:f>
        <x:v>1.0000000000000036</x:v>
      </x:c>
      <x:c r="F1810" s="1" t="str">
        <x:f>IF(C1810&lt;=0,"C",IF(E1810-D1810&lt;'Дашборд'!$C$49,"A",IF(E1810-D1810&lt;'Дашборд'!$C$50,"B","C")))</x:f>
        <x:v>C</x:v>
      </x:c>
      <x:c r="G1810" s="8" t="n">
        <x:f>'Данные'!F1810</x:f>
        <x:v>0</x:v>
      </x:c>
      <x:c r="H1810" s="8" t="n">
        <x:f>SUM('Данные'!H1810:I1810)</x:f>
        <x:v>0</x:v>
      </x:c>
      <x:c r="I1810" s="16" t="str">
        <x:f>IF(H1810&gt;0,G1810/H1810,"n.a.")</x:f>
        <x:v>n.a.</x:v>
      </x:c>
      <x:c r="J1810" s="10" t="n">
        <x:f>IF('Данные'!E1810&gt;0,G1810/'Данные'!E1810,"n.a.")</x:f>
        <x:v>0</x:v>
      </x:c>
      <x:c r="K1810" s="1" t="str">
        <x:f>IF(G1810&gt;='Дашборд'!$C$51,"X","Z")</x:f>
        <x:v>Z</x:v>
      </x:c>
      <x:c r="L1810" s="1" t="str">
        <x:f>IF(H1810=0,IF(G1810&gt;0,"Нет остатка","Нет спроса"),IF(I1810&gt;='Дашборд'!$C$52,"Быстрый","Медленный"))</x:f>
        <x:v>Нет спроса</x:v>
      </x:c>
      <x:c r="M1810" s="1" t="str">
        <x:f>IF('Данные'!E1810&lt;'Дашборд'!$C$53,"Мало трафика",IF(J1810&lt;'Дашборд'!$C$9*'Дашборд'!$C$54,"Да","Нет"))</x:f>
        <x:v>Мало трафика</x:v>
      </x:c>
      <x:c r="N1810" s="1" t="str">
        <x:f>IF(AND('Данные'!D1810&gt;='Дашборд'!$C$55,D1810&lt;'Дашборд'!$C$56,'Данные'!E1810&gt;='Дашборд'!$C$53,'Данные'!L1810&lt;&gt;"Да"),"Да","Нет")</x:f>
        <x:v>Нет</x:v>
      </x:c>
      <x:c r="O1810" s="1" t="str">
        <x:f>'Данные'!L1810</x:f>
        <x:v>Нет</x:v>
      </x:c>
    </x:row>
    <x:row r="1811">
      <x:c r="A1811" s="1" t="str">
        <x:f>'Данные'!A1811</x:f>
        <x:v>179951224</x:v>
      </x:c>
      <x:c r="B1811" s="1" t="str">
        <x:f>'Данные'!B1811</x:f>
        <x:v>palazzo/песочный</x:v>
      </x:c>
      <x:c r="C1811" s="8" t="n">
        <x:f>'Данные'!G1811</x:f>
        <x:v>0</x:v>
      </x:c>
      <x:c r="D1811" s="15" t="n">
        <x:f>C1811/SUM($C$5:$C$2477)</x:f>
        <x:v>0</x:v>
      </x:c>
      <x:c r="E1811" s="15" t="n">
        <x:f>SUM($D$5:D1811)</x:f>
        <x:v>1.0000000000000036</x:v>
      </x:c>
      <x:c r="F1811" s="1" t="str">
        <x:f>IF(C1811&lt;=0,"C",IF(E1811-D1811&lt;'Дашборд'!$C$49,"A",IF(E1811-D1811&lt;'Дашборд'!$C$50,"B","C")))</x:f>
        <x:v>C</x:v>
      </x:c>
      <x:c r="G1811" s="8" t="n">
        <x:f>'Данные'!F1811</x:f>
        <x:v>0</x:v>
      </x:c>
      <x:c r="H1811" s="8" t="n">
        <x:f>SUM('Данные'!H1811:I1811)</x:f>
        <x:v>0</x:v>
      </x:c>
      <x:c r="I1811" s="16" t="str">
        <x:f>IF(H1811&gt;0,G1811/H1811,"n.a.")</x:f>
        <x:v>n.a.</x:v>
      </x:c>
      <x:c r="J1811" s="10" t="n">
        <x:f>IF('Данные'!E1811&gt;0,G1811/'Данные'!E1811,"n.a.")</x:f>
        <x:v>0</x:v>
      </x:c>
      <x:c r="K1811" s="1" t="str">
        <x:f>IF(G1811&gt;='Дашборд'!$C$51,"X","Z")</x:f>
        <x:v>Z</x:v>
      </x:c>
      <x:c r="L1811" s="1" t="str">
        <x:f>IF(H1811=0,IF(G1811&gt;0,"Нет остатка","Нет спроса"),IF(I1811&gt;='Дашборд'!$C$52,"Быстрый","Медленный"))</x:f>
        <x:v>Нет спроса</x:v>
      </x:c>
      <x:c r="M1811" s="1" t="str">
        <x:f>IF('Данные'!E1811&lt;'Дашборд'!$C$53,"Мало трафика",IF(J1811&lt;'Дашборд'!$C$9*'Дашборд'!$C$54,"Да","Нет"))</x:f>
        <x:v>Мало трафика</x:v>
      </x:c>
      <x:c r="N1811" s="1" t="str">
        <x:f>IF(AND('Данные'!D1811&gt;='Дашборд'!$C$55,D1811&lt;'Дашборд'!$C$56,'Данные'!E1811&gt;='Дашборд'!$C$53,'Данные'!L1811&lt;&gt;"Да"),"Да","Нет")</x:f>
        <x:v>Нет</x:v>
      </x:c>
      <x:c r="O1811" s="1" t="str">
        <x:f>'Данные'!L1811</x:f>
        <x:v>Нет</x:v>
      </x:c>
    </x:row>
    <x:row r="1812">
      <x:c r="A1812" s="1" t="str">
        <x:f>'Данные'!A1812</x:f>
        <x:v>179977971</x:v>
      </x:c>
      <x:c r="B1812" s="1" t="str">
        <x:f>'Данные'!B1812</x:f>
        <x:v>palazzo/фуме</x:v>
      </x:c>
      <x:c r="C1812" s="8" t="n">
        <x:f>'Данные'!G1812</x:f>
        <x:v>0</x:v>
      </x:c>
      <x:c r="D1812" s="15" t="n">
        <x:f>C1812/SUM($C$5:$C$2477)</x:f>
        <x:v>0</x:v>
      </x:c>
      <x:c r="E1812" s="15" t="n">
        <x:f>SUM($D$5:D1812)</x:f>
        <x:v>1.0000000000000036</x:v>
      </x:c>
      <x:c r="F1812" s="1" t="str">
        <x:f>IF(C1812&lt;=0,"C",IF(E1812-D1812&lt;'Дашборд'!$C$49,"A",IF(E1812-D1812&lt;'Дашборд'!$C$50,"B","C")))</x:f>
        <x:v>C</x:v>
      </x:c>
      <x:c r="G1812" s="8" t="n">
        <x:f>'Данные'!F1812</x:f>
        <x:v>0</x:v>
      </x:c>
      <x:c r="H1812" s="8" t="n">
        <x:f>SUM('Данные'!H1812:I1812)</x:f>
        <x:v>0</x:v>
      </x:c>
      <x:c r="I1812" s="16" t="str">
        <x:f>IF(H1812&gt;0,G1812/H1812,"n.a.")</x:f>
        <x:v>n.a.</x:v>
      </x:c>
      <x:c r="J1812" s="10" t="n">
        <x:f>IF('Данные'!E1812&gt;0,G1812/'Данные'!E1812,"n.a.")</x:f>
        <x:v>0</x:v>
      </x:c>
      <x:c r="K1812" s="1" t="str">
        <x:f>IF(G1812&gt;='Дашборд'!$C$51,"X","Z")</x:f>
        <x:v>Z</x:v>
      </x:c>
      <x:c r="L1812" s="1" t="str">
        <x:f>IF(H1812=0,IF(G1812&gt;0,"Нет остатка","Нет спроса"),IF(I1812&gt;='Дашборд'!$C$52,"Быстрый","Медленный"))</x:f>
        <x:v>Нет спроса</x:v>
      </x:c>
      <x:c r="M1812" s="1" t="str">
        <x:f>IF('Данные'!E1812&lt;'Дашборд'!$C$53,"Мало трафика",IF(J1812&lt;'Дашборд'!$C$9*'Дашборд'!$C$54,"Да","Нет"))</x:f>
        <x:v>Мало трафика</x:v>
      </x:c>
      <x:c r="N1812" s="1" t="str">
        <x:f>IF(AND('Данные'!D1812&gt;='Дашборд'!$C$55,D1812&lt;'Дашборд'!$C$56,'Данные'!E1812&gt;='Дашборд'!$C$53,'Данные'!L1812&lt;&gt;"Да"),"Да","Нет")</x:f>
        <x:v>Нет</x:v>
      </x:c>
      <x:c r="O1812" s="1" t="str">
        <x:f>'Данные'!L1812</x:f>
        <x:v>Нет</x:v>
      </x:c>
    </x:row>
    <x:row r="1813">
      <x:c r="A1813" s="1" t="str">
        <x:f>'Данные'!A1813</x:f>
        <x:v>182333176</x:v>
      </x:c>
      <x:c r="B1813" s="1" t="str">
        <x:f>'Данные'!B1813</x:f>
        <x:v>1sizeprint/NY-7/чёрный</x:v>
      </x:c>
      <x:c r="C1813" s="8" t="n">
        <x:f>'Данные'!G1813</x:f>
        <x:v>0</x:v>
      </x:c>
      <x:c r="D1813" s="15" t="n">
        <x:f>C1813/SUM($C$5:$C$2477)</x:f>
        <x:v>0</x:v>
      </x:c>
      <x:c r="E1813" s="15" t="n">
        <x:f>SUM($D$5:D1813)</x:f>
        <x:v>1.0000000000000036</x:v>
      </x:c>
      <x:c r="F1813" s="1" t="str">
        <x:f>IF(C1813&lt;=0,"C",IF(E1813-D1813&lt;'Дашборд'!$C$49,"A",IF(E1813-D1813&lt;'Дашборд'!$C$50,"B","C")))</x:f>
        <x:v>C</x:v>
      </x:c>
      <x:c r="G1813" s="8" t="n">
        <x:f>'Данные'!F1813</x:f>
        <x:v>0</x:v>
      </x:c>
      <x:c r="H1813" s="8" t="n">
        <x:f>SUM('Данные'!H1813:I1813)</x:f>
        <x:v>0</x:v>
      </x:c>
      <x:c r="I1813" s="16" t="str">
        <x:f>IF(H1813&gt;0,G1813/H1813,"n.a.")</x:f>
        <x:v>n.a.</x:v>
      </x:c>
      <x:c r="J1813" s="10" t="n">
        <x:f>IF('Данные'!E1813&gt;0,G1813/'Данные'!E1813,"n.a.")</x:f>
        <x:v>0</x:v>
      </x:c>
      <x:c r="K1813" s="1" t="str">
        <x:f>IF(G1813&gt;='Дашборд'!$C$51,"X","Z")</x:f>
        <x:v>Z</x:v>
      </x:c>
      <x:c r="L1813" s="1" t="str">
        <x:f>IF(H1813=0,IF(G1813&gt;0,"Нет остатка","Нет спроса"),IF(I1813&gt;='Дашборд'!$C$52,"Быстрый","Медленный"))</x:f>
        <x:v>Нет спроса</x:v>
      </x:c>
      <x:c r="M1813" s="1" t="str">
        <x:f>IF('Данные'!E1813&lt;'Дашборд'!$C$53,"Мало трафика",IF(J1813&lt;'Дашборд'!$C$9*'Дашборд'!$C$54,"Да","Нет"))</x:f>
        <x:v>Мало трафика</x:v>
      </x:c>
      <x:c r="N1813" s="1" t="str">
        <x:f>IF(AND('Данные'!D1813&gt;='Дашборд'!$C$55,D1813&lt;'Дашборд'!$C$56,'Данные'!E1813&gt;='Дашборд'!$C$53,'Данные'!L1813&lt;&gt;"Да"),"Да","Нет")</x:f>
        <x:v>Нет</x:v>
      </x:c>
      <x:c r="O1813" s="1" t="str">
        <x:f>'Данные'!L1813</x:f>
        <x:v>Нет</x:v>
      </x:c>
    </x:row>
    <x:row r="1814">
      <x:c r="A1814" s="1" t="str">
        <x:f>'Данные'!A1814</x:f>
        <x:v>182333178</x:v>
      </x:c>
      <x:c r="B1814" s="1" t="str">
        <x:f>'Данные'!B1814</x:f>
        <x:v>1sizeprint/CLF-8/розовый</x:v>
      </x:c>
      <x:c r="C1814" s="8" t="n">
        <x:f>'Данные'!G1814</x:f>
        <x:v>0</x:v>
      </x:c>
      <x:c r="D1814" s="15" t="n">
        <x:f>C1814/SUM($C$5:$C$2477)</x:f>
        <x:v>0</x:v>
      </x:c>
      <x:c r="E1814" s="15" t="n">
        <x:f>SUM($D$5:D1814)</x:f>
        <x:v>1.0000000000000036</x:v>
      </x:c>
      <x:c r="F1814" s="1" t="str">
        <x:f>IF(C1814&lt;=0,"C",IF(E1814-D1814&lt;'Дашборд'!$C$49,"A",IF(E1814-D1814&lt;'Дашборд'!$C$50,"B","C")))</x:f>
        <x:v>C</x:v>
      </x:c>
      <x:c r="G1814" s="8" t="n">
        <x:f>'Данные'!F1814</x:f>
        <x:v>0</x:v>
      </x:c>
      <x:c r="H1814" s="8" t="n">
        <x:f>SUM('Данные'!H1814:I1814)</x:f>
        <x:v>2</x:v>
      </x:c>
      <x:c r="I1814" s="16" t="n">
        <x:f>IF(H1814&gt;0,G1814/H1814,"n.a.")</x:f>
        <x:v>0</x:v>
      </x:c>
      <x:c r="J1814" s="10" t="n">
        <x:f>IF('Данные'!E1814&gt;0,G1814/'Данные'!E1814,"n.a.")</x:f>
        <x:v>0</x:v>
      </x:c>
      <x:c r="K1814" s="1" t="str">
        <x:f>IF(G1814&gt;='Дашборд'!$C$51,"X","Z")</x:f>
        <x:v>Z</x:v>
      </x:c>
      <x:c r="L1814" s="1" t="str">
        <x:f>IF(H1814=0,IF(G1814&gt;0,"Нет остатка","Нет спроса"),IF(I1814&gt;='Дашборд'!$C$52,"Быстрый","Медленный"))</x:f>
        <x:v>Медленный</x:v>
      </x:c>
      <x:c r="M1814" s="1" t="str">
        <x:f>IF('Данные'!E1814&lt;'Дашборд'!$C$53,"Мало трафика",IF(J1814&lt;'Дашборд'!$C$9*'Дашборд'!$C$54,"Да","Нет"))</x:f>
        <x:v>Мало трафика</x:v>
      </x:c>
      <x:c r="N1814" s="1" t="str">
        <x:f>IF(AND('Данные'!D1814&gt;='Дашборд'!$C$55,D1814&lt;'Дашборд'!$C$56,'Данные'!E1814&gt;='Дашборд'!$C$53,'Данные'!L1814&lt;&gt;"Да"),"Да","Нет")</x:f>
        <x:v>Нет</x:v>
      </x:c>
      <x:c r="O1814" s="1" t="str">
        <x:f>'Данные'!L1814</x:f>
        <x:v>Нет</x:v>
      </x:c>
    </x:row>
    <x:row r="1815">
      <x:c r="A1815" s="1" t="str">
        <x:f>'Данные'!A1815</x:f>
        <x:v>182333179</x:v>
      </x:c>
      <x:c r="B1815" s="1" t="str">
        <x:f>'Данные'!B1815</x:f>
        <x:v>1sizeprint/CLF-8/чёрный</x:v>
      </x:c>
      <x:c r="C1815" s="8" t="n">
        <x:f>'Данные'!G1815</x:f>
        <x:v>0</x:v>
      </x:c>
      <x:c r="D1815" s="15" t="n">
        <x:f>C1815/SUM($C$5:$C$2477)</x:f>
        <x:v>0</x:v>
      </x:c>
      <x:c r="E1815" s="15" t="n">
        <x:f>SUM($D$5:D1815)</x:f>
        <x:v>1.0000000000000036</x:v>
      </x:c>
      <x:c r="F1815" s="1" t="str">
        <x:f>IF(C1815&lt;=0,"C",IF(E1815-D1815&lt;'Дашборд'!$C$49,"A",IF(E1815-D1815&lt;'Дашборд'!$C$50,"B","C")))</x:f>
        <x:v>C</x:v>
      </x:c>
      <x:c r="G1815" s="8" t="n">
        <x:f>'Данные'!F1815</x:f>
        <x:v>0</x:v>
      </x:c>
      <x:c r="H1815" s="8" t="n">
        <x:f>SUM('Данные'!H1815:I1815)</x:f>
        <x:v>0</x:v>
      </x:c>
      <x:c r="I1815" s="16" t="str">
        <x:f>IF(H1815&gt;0,G1815/H1815,"n.a.")</x:f>
        <x:v>n.a.</x:v>
      </x:c>
      <x:c r="J1815" s="10" t="n">
        <x:f>IF('Данные'!E1815&gt;0,G1815/'Данные'!E1815,"n.a.")</x:f>
        <x:v>0</x:v>
      </x:c>
      <x:c r="K1815" s="1" t="str">
        <x:f>IF(G1815&gt;='Дашборд'!$C$51,"X","Z")</x:f>
        <x:v>Z</x:v>
      </x:c>
      <x:c r="L1815" s="1" t="str">
        <x:f>IF(H1815=0,IF(G1815&gt;0,"Нет остатка","Нет спроса"),IF(I1815&gt;='Дашборд'!$C$52,"Быстрый","Медленный"))</x:f>
        <x:v>Нет спроса</x:v>
      </x:c>
      <x:c r="M1815" s="1" t="str">
        <x:f>IF('Данные'!E1815&lt;'Дашборд'!$C$53,"Мало трафика",IF(J1815&lt;'Дашборд'!$C$9*'Дашборд'!$C$54,"Да","Нет"))</x:f>
        <x:v>Мало трафика</x:v>
      </x:c>
      <x:c r="N1815" s="1" t="str">
        <x:f>IF(AND('Данные'!D1815&gt;='Дашборд'!$C$55,D1815&lt;'Дашборд'!$C$56,'Данные'!E1815&gt;='Дашборд'!$C$53,'Данные'!L1815&lt;&gt;"Да"),"Да","Нет")</x:f>
        <x:v>Нет</x:v>
      </x:c>
      <x:c r="O1815" s="1" t="str">
        <x:f>'Данные'!L1815</x:f>
        <x:v>Нет</x:v>
      </x:c>
    </x:row>
    <x:row r="1816">
      <x:c r="A1816" s="1" t="str">
        <x:f>'Данные'!A1816</x:f>
        <x:v>182333181</x:v>
      </x:c>
      <x:c r="B1816" s="1" t="str">
        <x:f>'Данные'!B1816</x:f>
        <x:v>1sizeprint/CLF-8/тёмно-серый</x:v>
      </x:c>
      <x:c r="C1816" s="8" t="n">
        <x:f>'Данные'!G1816</x:f>
        <x:v>0</x:v>
      </x:c>
      <x:c r="D1816" s="15" t="n">
        <x:f>C1816/SUM($C$5:$C$2477)</x:f>
        <x:v>0</x:v>
      </x:c>
      <x:c r="E1816" s="15" t="n">
        <x:f>SUM($D$5:D1816)</x:f>
        <x:v>1.0000000000000036</x:v>
      </x:c>
      <x:c r="F1816" s="1" t="str">
        <x:f>IF(C1816&lt;=0,"C",IF(E1816-D1816&lt;'Дашборд'!$C$49,"A",IF(E1816-D1816&lt;'Дашборд'!$C$50,"B","C")))</x:f>
        <x:v>C</x:v>
      </x:c>
      <x:c r="G1816" s="8" t="n">
        <x:f>'Данные'!F1816</x:f>
        <x:v>0</x:v>
      </x:c>
      <x:c r="H1816" s="8" t="n">
        <x:f>SUM('Данные'!H1816:I1816)</x:f>
        <x:v>0</x:v>
      </x:c>
      <x:c r="I1816" s="16" t="str">
        <x:f>IF(H1816&gt;0,G1816/H1816,"n.a.")</x:f>
        <x:v>n.a.</x:v>
      </x:c>
      <x:c r="J1816" s="10" t="n">
        <x:f>IF('Данные'!E1816&gt;0,G1816/'Данные'!E1816,"n.a.")</x:f>
        <x:v>0</x:v>
      </x:c>
      <x:c r="K1816" s="1" t="str">
        <x:f>IF(G1816&gt;='Дашборд'!$C$51,"X","Z")</x:f>
        <x:v>Z</x:v>
      </x:c>
      <x:c r="L1816" s="1" t="str">
        <x:f>IF(H1816=0,IF(G1816&gt;0,"Нет остатка","Нет спроса"),IF(I1816&gt;='Дашборд'!$C$52,"Быстрый","Медленный"))</x:f>
        <x:v>Нет спроса</x:v>
      </x:c>
      <x:c r="M1816" s="1" t="str">
        <x:f>IF('Данные'!E1816&lt;'Дашборд'!$C$53,"Мало трафика",IF(J1816&lt;'Дашборд'!$C$9*'Дашборд'!$C$54,"Да","Нет"))</x:f>
        <x:v>Мало трафика</x:v>
      </x:c>
      <x:c r="N1816" s="1" t="str">
        <x:f>IF(AND('Данные'!D1816&gt;='Дашборд'!$C$55,D1816&lt;'Дашборд'!$C$56,'Данные'!E1816&gt;='Дашборд'!$C$53,'Данные'!L1816&lt;&gt;"Да"),"Да","Нет")</x:f>
        <x:v>Нет</x:v>
      </x:c>
      <x:c r="O1816" s="1" t="str">
        <x:f>'Данные'!L1816</x:f>
        <x:v>Нет</x:v>
      </x:c>
    </x:row>
    <x:row r="1817">
      <x:c r="A1817" s="1" t="str">
        <x:f>'Данные'!A1817</x:f>
        <x:v>182333182</x:v>
      </x:c>
      <x:c r="B1817" s="1" t="str">
        <x:f>'Данные'!B1817</x:f>
        <x:v>1sizeprint/CLF-8/хаки</x:v>
      </x:c>
      <x:c r="C1817" s="8" t="n">
        <x:f>'Данные'!G1817</x:f>
        <x:v>0</x:v>
      </x:c>
      <x:c r="D1817" s="15" t="n">
        <x:f>C1817/SUM($C$5:$C$2477)</x:f>
        <x:v>0</x:v>
      </x:c>
      <x:c r="E1817" s="15" t="n">
        <x:f>SUM($D$5:D1817)</x:f>
        <x:v>1.0000000000000036</x:v>
      </x:c>
      <x:c r="F1817" s="1" t="str">
        <x:f>IF(C1817&lt;=0,"C",IF(E1817-D1817&lt;'Дашборд'!$C$49,"A",IF(E1817-D1817&lt;'Дашборд'!$C$50,"B","C")))</x:f>
        <x:v>C</x:v>
      </x:c>
      <x:c r="G1817" s="8" t="n">
        <x:f>'Данные'!F1817</x:f>
        <x:v>0</x:v>
      </x:c>
      <x:c r="H1817" s="8" t="n">
        <x:f>SUM('Данные'!H1817:I1817)</x:f>
        <x:v>0</x:v>
      </x:c>
      <x:c r="I1817" s="16" t="str">
        <x:f>IF(H1817&gt;0,G1817/H1817,"n.a.")</x:f>
        <x:v>n.a.</x:v>
      </x:c>
      <x:c r="J1817" s="10" t="n">
        <x:f>IF('Данные'!E1817&gt;0,G1817/'Данные'!E1817,"n.a.")</x:f>
        <x:v>0</x:v>
      </x:c>
      <x:c r="K1817" s="1" t="str">
        <x:f>IF(G1817&gt;='Дашборд'!$C$51,"X","Z")</x:f>
        <x:v>Z</x:v>
      </x:c>
      <x:c r="L1817" s="1" t="str">
        <x:f>IF(H1817=0,IF(G1817&gt;0,"Нет остатка","Нет спроса"),IF(I1817&gt;='Дашборд'!$C$52,"Быстрый","Медленный"))</x:f>
        <x:v>Нет спроса</x:v>
      </x:c>
      <x:c r="M1817" s="1" t="str">
        <x:f>IF('Данные'!E1817&lt;'Дашборд'!$C$53,"Мало трафика",IF(J1817&lt;'Дашборд'!$C$9*'Дашборд'!$C$54,"Да","Нет"))</x:f>
        <x:v>Мало трафика</x:v>
      </x:c>
      <x:c r="N1817" s="1" t="str">
        <x:f>IF(AND('Данные'!D1817&gt;='Дашборд'!$C$55,D1817&lt;'Дашборд'!$C$56,'Данные'!E1817&gt;='Дашборд'!$C$53,'Данные'!L1817&lt;&gt;"Да"),"Да","Нет")</x:f>
        <x:v>Нет</x:v>
      </x:c>
      <x:c r="O1817" s="1" t="str">
        <x:f>'Данные'!L1817</x:f>
        <x:v>Нет</x:v>
      </x:c>
    </x:row>
    <x:row r="1818">
      <x:c r="A1818" s="1" t="str">
        <x:f>'Данные'!A1818</x:f>
        <x:v>182333185</x:v>
      </x:c>
      <x:c r="B1818" s="1" t="str">
        <x:f>'Данные'!B1818</x:f>
        <x:v>1sizeprint/NY-7/розовый</x:v>
      </x:c>
      <x:c r="C1818" s="8" t="n">
        <x:f>'Данные'!G1818</x:f>
        <x:v>0</x:v>
      </x:c>
      <x:c r="D1818" s="15" t="n">
        <x:f>C1818/SUM($C$5:$C$2477)</x:f>
        <x:v>0</x:v>
      </x:c>
      <x:c r="E1818" s="15" t="n">
        <x:f>SUM($D$5:D1818)</x:f>
        <x:v>1.0000000000000036</x:v>
      </x:c>
      <x:c r="F1818" s="1" t="str">
        <x:f>IF(C1818&lt;=0,"C",IF(E1818-D1818&lt;'Дашборд'!$C$49,"A",IF(E1818-D1818&lt;'Дашборд'!$C$50,"B","C")))</x:f>
        <x:v>C</x:v>
      </x:c>
      <x:c r="G1818" s="8" t="n">
        <x:f>'Данные'!F1818</x:f>
        <x:v>0</x:v>
      </x:c>
      <x:c r="H1818" s="8" t="n">
        <x:f>SUM('Данные'!H1818:I1818)</x:f>
        <x:v>0</x:v>
      </x:c>
      <x:c r="I1818" s="16" t="str">
        <x:f>IF(H1818&gt;0,G1818/H1818,"n.a.")</x:f>
        <x:v>n.a.</x:v>
      </x:c>
      <x:c r="J1818" s="10" t="n">
        <x:f>IF('Данные'!E1818&gt;0,G1818/'Данные'!E1818,"n.a.")</x:f>
        <x:v>0</x:v>
      </x:c>
      <x:c r="K1818" s="1" t="str">
        <x:f>IF(G1818&gt;='Дашборд'!$C$51,"X","Z")</x:f>
        <x:v>Z</x:v>
      </x:c>
      <x:c r="L1818" s="1" t="str">
        <x:f>IF(H1818=0,IF(G1818&gt;0,"Нет остатка","Нет спроса"),IF(I1818&gt;='Дашборд'!$C$52,"Быстрый","Медленный"))</x:f>
        <x:v>Нет спроса</x:v>
      </x:c>
      <x:c r="M1818" s="1" t="str">
        <x:f>IF('Данные'!E1818&lt;'Дашборд'!$C$53,"Мало трафика",IF(J1818&lt;'Дашборд'!$C$9*'Дашборд'!$C$54,"Да","Нет"))</x:f>
        <x:v>Мало трафика</x:v>
      </x:c>
      <x:c r="N1818" s="1" t="str">
        <x:f>IF(AND('Данные'!D1818&gt;='Дашборд'!$C$55,D1818&lt;'Дашборд'!$C$56,'Данные'!E1818&gt;='Дашборд'!$C$53,'Данные'!L1818&lt;&gt;"Да"),"Да","Нет")</x:f>
        <x:v>Нет</x:v>
      </x:c>
      <x:c r="O1818" s="1" t="str">
        <x:f>'Данные'!L1818</x:f>
        <x:v>Нет</x:v>
      </x:c>
    </x:row>
    <x:row r="1819">
      <x:c r="A1819" s="1" t="str">
        <x:f>'Данные'!A1819</x:f>
        <x:v>182333186</x:v>
      </x:c>
      <x:c r="B1819" s="1" t="str">
        <x:f>'Данные'!B1819</x:f>
        <x:v>1sizeprint/NY-7/молочный</x:v>
      </x:c>
      <x:c r="C1819" s="8" t="n">
        <x:f>'Данные'!G1819</x:f>
        <x:v>0</x:v>
      </x:c>
      <x:c r="D1819" s="15" t="n">
        <x:f>C1819/SUM($C$5:$C$2477)</x:f>
        <x:v>0</x:v>
      </x:c>
      <x:c r="E1819" s="15" t="n">
        <x:f>SUM($D$5:D1819)</x:f>
        <x:v>1.0000000000000036</x:v>
      </x:c>
      <x:c r="F1819" s="1" t="str">
        <x:f>IF(C1819&lt;=0,"C",IF(E1819-D1819&lt;'Дашборд'!$C$49,"A",IF(E1819-D1819&lt;'Дашборд'!$C$50,"B","C")))</x:f>
        <x:v>C</x:v>
      </x:c>
      <x:c r="G1819" s="8" t="n">
        <x:f>'Данные'!F1819</x:f>
        <x:v>0</x:v>
      </x:c>
      <x:c r="H1819" s="8" t="n">
        <x:f>SUM('Данные'!H1819:I1819)</x:f>
        <x:v>0</x:v>
      </x:c>
      <x:c r="I1819" s="16" t="str">
        <x:f>IF(H1819&gt;0,G1819/H1819,"n.a.")</x:f>
        <x:v>n.a.</x:v>
      </x:c>
      <x:c r="J1819" s="10" t="n">
        <x:f>IF('Данные'!E1819&gt;0,G1819/'Данные'!E1819,"n.a.")</x:f>
        <x:v>0</x:v>
      </x:c>
      <x:c r="K1819" s="1" t="str">
        <x:f>IF(G1819&gt;='Дашборд'!$C$51,"X","Z")</x:f>
        <x:v>Z</x:v>
      </x:c>
      <x:c r="L1819" s="1" t="str">
        <x:f>IF(H1819=0,IF(G1819&gt;0,"Нет остатка","Нет спроса"),IF(I1819&gt;='Дашборд'!$C$52,"Быстрый","Медленный"))</x:f>
        <x:v>Нет спроса</x:v>
      </x:c>
      <x:c r="M1819" s="1" t="str">
        <x:f>IF('Данные'!E1819&lt;'Дашборд'!$C$53,"Мало трафика",IF(J1819&lt;'Дашборд'!$C$9*'Дашборд'!$C$54,"Да","Нет"))</x:f>
        <x:v>Мало трафика</x:v>
      </x:c>
      <x:c r="N1819" s="1" t="str">
        <x:f>IF(AND('Данные'!D1819&gt;='Дашборд'!$C$55,D1819&lt;'Дашборд'!$C$56,'Данные'!E1819&gt;='Дашборд'!$C$53,'Данные'!L1819&lt;&gt;"Да"),"Да","Нет")</x:f>
        <x:v>Нет</x:v>
      </x:c>
      <x:c r="O1819" s="1" t="str">
        <x:f>'Данные'!L1819</x:f>
        <x:v>Нет</x:v>
      </x:c>
    </x:row>
    <x:row r="1820">
      <x:c r="A1820" s="1" t="str">
        <x:f>'Данные'!A1820</x:f>
        <x:v>182333187</x:v>
      </x:c>
      <x:c r="B1820" s="1" t="str">
        <x:f>'Данные'!B1820</x:f>
        <x:v>1sizeprint/NY-7/хаки</x:v>
      </x:c>
      <x:c r="C1820" s="8" t="n">
        <x:f>'Данные'!G1820</x:f>
        <x:v>0</x:v>
      </x:c>
      <x:c r="D1820" s="15" t="n">
        <x:f>C1820/SUM($C$5:$C$2477)</x:f>
        <x:v>0</x:v>
      </x:c>
      <x:c r="E1820" s="15" t="n">
        <x:f>SUM($D$5:D1820)</x:f>
        <x:v>1.0000000000000036</x:v>
      </x:c>
      <x:c r="F1820" s="1" t="str">
        <x:f>IF(C1820&lt;=0,"C",IF(E1820-D1820&lt;'Дашборд'!$C$49,"A",IF(E1820-D1820&lt;'Дашборд'!$C$50,"B","C")))</x:f>
        <x:v>C</x:v>
      </x:c>
      <x:c r="G1820" s="8" t="n">
        <x:f>'Данные'!F1820</x:f>
        <x:v>0</x:v>
      </x:c>
      <x:c r="H1820" s="8" t="n">
        <x:f>SUM('Данные'!H1820:I1820)</x:f>
        <x:v>0</x:v>
      </x:c>
      <x:c r="I1820" s="16" t="str">
        <x:f>IF(H1820&gt;0,G1820/H1820,"n.a.")</x:f>
        <x:v>n.a.</x:v>
      </x:c>
      <x:c r="J1820" s="10" t="n">
        <x:f>IF('Данные'!E1820&gt;0,G1820/'Данные'!E1820,"n.a.")</x:f>
        <x:v>0</x:v>
      </x:c>
      <x:c r="K1820" s="1" t="str">
        <x:f>IF(G1820&gt;='Дашборд'!$C$51,"X","Z")</x:f>
        <x:v>Z</x:v>
      </x:c>
      <x:c r="L1820" s="1" t="str">
        <x:f>IF(H1820=0,IF(G1820&gt;0,"Нет остатка","Нет спроса"),IF(I1820&gt;='Дашборд'!$C$52,"Быстрый","Медленный"))</x:f>
        <x:v>Нет спроса</x:v>
      </x:c>
      <x:c r="M1820" s="1" t="str">
        <x:f>IF('Данные'!E1820&lt;'Дашборд'!$C$53,"Мало трафика",IF(J1820&lt;'Дашборд'!$C$9*'Дашборд'!$C$54,"Да","Нет"))</x:f>
        <x:v>Мало трафика</x:v>
      </x:c>
      <x:c r="N1820" s="1" t="str">
        <x:f>IF(AND('Данные'!D1820&gt;='Дашборд'!$C$55,D1820&lt;'Дашборд'!$C$56,'Данные'!E1820&gt;='Дашборд'!$C$53,'Данные'!L1820&lt;&gt;"Да"),"Да","Нет")</x:f>
        <x:v>Нет</x:v>
      </x:c>
      <x:c r="O1820" s="1" t="str">
        <x:f>'Данные'!L1820</x:f>
        <x:v>Нет</x:v>
      </x:c>
    </x:row>
    <x:row r="1821">
      <x:c r="A1821" s="1" t="str">
        <x:f>'Данные'!A1821</x:f>
        <x:v>182333188</x:v>
      </x:c>
      <x:c r="B1821" s="1" t="str">
        <x:f>'Данные'!B1821</x:f>
        <x:v>1sizeprint/NY-7/тёмно-серый</x:v>
      </x:c>
      <x:c r="C1821" s="8" t="n">
        <x:f>'Данные'!G1821</x:f>
        <x:v>0</x:v>
      </x:c>
      <x:c r="D1821" s="15" t="n">
        <x:f>C1821/SUM($C$5:$C$2477)</x:f>
        <x:v>0</x:v>
      </x:c>
      <x:c r="E1821" s="15" t="n">
        <x:f>SUM($D$5:D1821)</x:f>
        <x:v>1.0000000000000036</x:v>
      </x:c>
      <x:c r="F1821" s="1" t="str">
        <x:f>IF(C1821&lt;=0,"C",IF(E1821-D1821&lt;'Дашборд'!$C$49,"A",IF(E1821-D1821&lt;'Дашборд'!$C$50,"B","C")))</x:f>
        <x:v>C</x:v>
      </x:c>
      <x:c r="G1821" s="8" t="n">
        <x:f>'Данные'!F1821</x:f>
        <x:v>0</x:v>
      </x:c>
      <x:c r="H1821" s="8" t="n">
        <x:f>SUM('Данные'!H1821:I1821)</x:f>
        <x:v>0</x:v>
      </x:c>
      <x:c r="I1821" s="16" t="str">
        <x:f>IF(H1821&gt;0,G1821/H1821,"n.a.")</x:f>
        <x:v>n.a.</x:v>
      </x:c>
      <x:c r="J1821" s="10" t="n">
        <x:f>IF('Данные'!E1821&gt;0,G1821/'Данные'!E1821,"n.a.")</x:f>
        <x:v>0</x:v>
      </x:c>
      <x:c r="K1821" s="1" t="str">
        <x:f>IF(G1821&gt;='Дашборд'!$C$51,"X","Z")</x:f>
        <x:v>Z</x:v>
      </x:c>
      <x:c r="L1821" s="1" t="str">
        <x:f>IF(H1821=0,IF(G1821&gt;0,"Нет остатка","Нет спроса"),IF(I1821&gt;='Дашборд'!$C$52,"Быстрый","Медленный"))</x:f>
        <x:v>Нет спроса</x:v>
      </x:c>
      <x:c r="M1821" s="1" t="str">
        <x:f>IF('Данные'!E1821&lt;'Дашборд'!$C$53,"Мало трафика",IF(J1821&lt;'Дашборд'!$C$9*'Дашборд'!$C$54,"Да","Нет"))</x:f>
        <x:v>Мало трафика</x:v>
      </x:c>
      <x:c r="N1821" s="1" t="str">
        <x:f>IF(AND('Данные'!D1821&gt;='Дашборд'!$C$55,D1821&lt;'Дашборд'!$C$56,'Данные'!E1821&gt;='Дашборд'!$C$53,'Данные'!L1821&lt;&gt;"Да"),"Да","Нет")</x:f>
        <x:v>Нет</x:v>
      </x:c>
      <x:c r="O1821" s="1" t="str">
        <x:f>'Данные'!L1821</x:f>
        <x:v>Нет</x:v>
      </x:c>
    </x:row>
    <x:row r="1822">
      <x:c r="A1822" s="1" t="str">
        <x:f>'Данные'!A1822</x:f>
        <x:v>182333189</x:v>
      </x:c>
      <x:c r="B1822" s="1" t="str">
        <x:f>'Данные'!B1822</x:f>
        <x:v>1sizeprint/CLF-8/молочный</x:v>
      </x:c>
      <x:c r="C1822" s="8" t="n">
        <x:f>'Данные'!G1822</x:f>
        <x:v>0</x:v>
      </x:c>
      <x:c r="D1822" s="15" t="n">
        <x:f>C1822/SUM($C$5:$C$2477)</x:f>
        <x:v>0</x:v>
      </x:c>
      <x:c r="E1822" s="15" t="n">
        <x:f>SUM($D$5:D1822)</x:f>
        <x:v>1.0000000000000036</x:v>
      </x:c>
      <x:c r="F1822" s="1" t="str">
        <x:f>IF(C1822&lt;=0,"C",IF(E1822-D1822&lt;'Дашборд'!$C$49,"A",IF(E1822-D1822&lt;'Дашборд'!$C$50,"B","C")))</x:f>
        <x:v>C</x:v>
      </x:c>
      <x:c r="G1822" s="8" t="n">
        <x:f>'Данные'!F1822</x:f>
        <x:v>0</x:v>
      </x:c>
      <x:c r="H1822" s="8" t="n">
        <x:f>SUM('Данные'!H1822:I1822)</x:f>
        <x:v>0</x:v>
      </x:c>
      <x:c r="I1822" s="16" t="str">
        <x:f>IF(H1822&gt;0,G1822/H1822,"n.a.")</x:f>
        <x:v>n.a.</x:v>
      </x:c>
      <x:c r="J1822" s="10" t="n">
        <x:f>IF('Данные'!E1822&gt;0,G1822/'Данные'!E1822,"n.a.")</x:f>
        <x:v>0</x:v>
      </x:c>
      <x:c r="K1822" s="1" t="str">
        <x:f>IF(G1822&gt;='Дашборд'!$C$51,"X","Z")</x:f>
        <x:v>Z</x:v>
      </x:c>
      <x:c r="L1822" s="1" t="str">
        <x:f>IF(H1822=0,IF(G1822&gt;0,"Нет остатка","Нет спроса"),IF(I1822&gt;='Дашборд'!$C$52,"Быстрый","Медленный"))</x:f>
        <x:v>Нет спроса</x:v>
      </x:c>
      <x:c r="M1822" s="1" t="str">
        <x:f>IF('Данные'!E1822&lt;'Дашборд'!$C$53,"Мало трафика",IF(J1822&lt;'Дашборд'!$C$9*'Дашборд'!$C$54,"Да","Нет"))</x:f>
        <x:v>Мало трафика</x:v>
      </x:c>
      <x:c r="N1822" s="1" t="str">
        <x:f>IF(AND('Данные'!D1822&gt;='Дашборд'!$C$55,D1822&lt;'Дашборд'!$C$56,'Данные'!E1822&gt;='Дашборд'!$C$53,'Данные'!L1822&lt;&gt;"Да"),"Да","Нет")</x:f>
        <x:v>Нет</x:v>
      </x:c>
      <x:c r="O1822" s="1" t="str">
        <x:f>'Данные'!L1822</x:f>
        <x:v>Нет</x:v>
      </x:c>
    </x:row>
    <x:row r="1823">
      <x:c r="A1823" s="1" t="str">
        <x:f>'Данные'!A1823</x:f>
        <x:v>182968339</x:v>
      </x:c>
      <x:c r="B1823" s="1" t="str">
        <x:f>'Данные'!B1823</x:f>
        <x:v>sweater/серыймеланж</x:v>
      </x:c>
      <x:c r="C1823" s="8" t="n">
        <x:f>'Данные'!G1823</x:f>
        <x:v>0</x:v>
      </x:c>
      <x:c r="D1823" s="15" t="n">
        <x:f>C1823/SUM($C$5:$C$2477)</x:f>
        <x:v>0</x:v>
      </x:c>
      <x:c r="E1823" s="15" t="n">
        <x:f>SUM($D$5:D1823)</x:f>
        <x:v>1.0000000000000036</x:v>
      </x:c>
      <x:c r="F1823" s="1" t="str">
        <x:f>IF(C1823&lt;=0,"C",IF(E1823-D1823&lt;'Дашборд'!$C$49,"A",IF(E1823-D1823&lt;'Дашборд'!$C$50,"B","C")))</x:f>
        <x:v>C</x:v>
      </x:c>
      <x:c r="G1823" s="8" t="n">
        <x:f>'Данные'!F1823</x:f>
        <x:v>0</x:v>
      </x:c>
      <x:c r="H1823" s="8" t="n">
        <x:f>SUM('Данные'!H1823:I1823)</x:f>
        <x:v>0</x:v>
      </x:c>
      <x:c r="I1823" s="16" t="str">
        <x:f>IF(H1823&gt;0,G1823/H1823,"n.a.")</x:f>
        <x:v>n.a.</x:v>
      </x:c>
      <x:c r="J1823" s="10" t="n">
        <x:f>IF('Данные'!E1823&gt;0,G1823/'Данные'!E1823,"n.a.")</x:f>
        <x:v>0</x:v>
      </x:c>
      <x:c r="K1823" s="1" t="str">
        <x:f>IF(G1823&gt;='Дашборд'!$C$51,"X","Z")</x:f>
        <x:v>Z</x:v>
      </x:c>
      <x:c r="L1823" s="1" t="str">
        <x:f>IF(H1823=0,IF(G1823&gt;0,"Нет остатка","Нет спроса"),IF(I1823&gt;='Дашборд'!$C$52,"Быстрый","Медленный"))</x:f>
        <x:v>Нет спроса</x:v>
      </x:c>
      <x:c r="M1823" s="1" t="str">
        <x:f>IF('Данные'!E1823&lt;'Дашборд'!$C$53,"Мало трафика",IF(J1823&lt;'Дашборд'!$C$9*'Дашборд'!$C$54,"Да","Нет"))</x:f>
        <x:v>Мало трафика</x:v>
      </x:c>
      <x:c r="N1823" s="1" t="str">
        <x:f>IF(AND('Данные'!D1823&gt;='Дашборд'!$C$55,D1823&lt;'Дашборд'!$C$56,'Данные'!E1823&gt;='Дашборд'!$C$53,'Данные'!L1823&lt;&gt;"Да"),"Да","Нет")</x:f>
        <x:v>Нет</x:v>
      </x:c>
      <x:c r="O1823" s="1" t="str">
        <x:f>'Данные'!L1823</x:f>
        <x:v>Нет</x:v>
      </x:c>
    </x:row>
    <x:row r="1824">
      <x:c r="A1824" s="1" t="str">
        <x:f>'Данные'!A1824</x:f>
        <x:v>183634477</x:v>
      </x:c>
      <x:c r="B1824" s="1" t="str">
        <x:f>'Данные'!B1824</x:f>
        <x:v>longmanprint/TKY-9/чёрный</x:v>
      </x:c>
      <x:c r="C1824" s="8" t="n">
        <x:f>'Данные'!G1824</x:f>
        <x:v>0</x:v>
      </x:c>
      <x:c r="D1824" s="15" t="n">
        <x:f>C1824/SUM($C$5:$C$2477)</x:f>
        <x:v>0</x:v>
      </x:c>
      <x:c r="E1824" s="15" t="n">
        <x:f>SUM($D$5:D1824)</x:f>
        <x:v>1.0000000000000036</x:v>
      </x:c>
      <x:c r="F1824" s="1" t="str">
        <x:f>IF(C1824&lt;=0,"C",IF(E1824-D1824&lt;'Дашборд'!$C$49,"A",IF(E1824-D1824&lt;'Дашборд'!$C$50,"B","C")))</x:f>
        <x:v>C</x:v>
      </x:c>
      <x:c r="G1824" s="8" t="n">
        <x:f>'Данные'!F1824</x:f>
        <x:v>0</x:v>
      </x:c>
      <x:c r="H1824" s="8" t="n">
        <x:f>SUM('Данные'!H1824:I1824)</x:f>
        <x:v>0</x:v>
      </x:c>
      <x:c r="I1824" s="16" t="str">
        <x:f>IF(H1824&gt;0,G1824/H1824,"n.a.")</x:f>
        <x:v>n.a.</x:v>
      </x:c>
      <x:c r="J1824" s="10" t="n">
        <x:f>IF('Данные'!E1824&gt;0,G1824/'Данные'!E1824,"n.a.")</x:f>
        <x:v>0</x:v>
      </x:c>
      <x:c r="K1824" s="1" t="str">
        <x:f>IF(G1824&gt;='Дашборд'!$C$51,"X","Z")</x:f>
        <x:v>Z</x:v>
      </x:c>
      <x:c r="L1824" s="1" t="str">
        <x:f>IF(H1824=0,IF(G1824&gt;0,"Нет остатка","Нет спроса"),IF(I1824&gt;='Дашборд'!$C$52,"Быстрый","Медленный"))</x:f>
        <x:v>Нет спроса</x:v>
      </x:c>
      <x:c r="M1824" s="1" t="str">
        <x:f>IF('Данные'!E1824&lt;'Дашборд'!$C$53,"Мало трафика",IF(J1824&lt;'Дашборд'!$C$9*'Дашборд'!$C$54,"Да","Нет"))</x:f>
        <x:v>Мало трафика</x:v>
      </x:c>
      <x:c r="N1824" s="1" t="str">
        <x:f>IF(AND('Данные'!D1824&gt;='Дашборд'!$C$55,D1824&lt;'Дашборд'!$C$56,'Данные'!E1824&gt;='Дашборд'!$C$53,'Данные'!L1824&lt;&gt;"Да"),"Да","Нет")</x:f>
        <x:v>Нет</x:v>
      </x:c>
      <x:c r="O1824" s="1" t="str">
        <x:f>'Данные'!L1824</x:f>
        <x:v>Нет</x:v>
      </x:c>
    </x:row>
    <x:row r="1825">
      <x:c r="A1825" s="1" t="str">
        <x:f>'Данные'!A1825</x:f>
        <x:v>183635241</x:v>
      </x:c>
      <x:c r="B1825" s="1" t="str">
        <x:f>'Данные'!B1825</x:f>
        <x:v>longmanprint/MISHA-19/чёрный</x:v>
      </x:c>
      <x:c r="C1825" s="8" t="n">
        <x:f>'Данные'!G1825</x:f>
        <x:v>0</x:v>
      </x:c>
      <x:c r="D1825" s="15" t="n">
        <x:f>C1825/SUM($C$5:$C$2477)</x:f>
        <x:v>0</x:v>
      </x:c>
      <x:c r="E1825" s="15" t="n">
        <x:f>SUM($D$5:D1825)</x:f>
        <x:v>1.0000000000000036</x:v>
      </x:c>
      <x:c r="F1825" s="1" t="str">
        <x:f>IF(C1825&lt;=0,"C",IF(E1825-D1825&lt;'Дашборд'!$C$49,"A",IF(E1825-D1825&lt;'Дашборд'!$C$50,"B","C")))</x:f>
        <x:v>C</x:v>
      </x:c>
      <x:c r="G1825" s="8" t="n">
        <x:f>'Данные'!F1825</x:f>
        <x:v>0</x:v>
      </x:c>
      <x:c r="H1825" s="8" t="n">
        <x:f>SUM('Данные'!H1825:I1825)</x:f>
        <x:v>0</x:v>
      </x:c>
      <x:c r="I1825" s="16" t="str">
        <x:f>IF(H1825&gt;0,G1825/H1825,"n.a.")</x:f>
        <x:v>n.a.</x:v>
      </x:c>
      <x:c r="J1825" s="10" t="n">
        <x:f>IF('Данные'!E1825&gt;0,G1825/'Данные'!E1825,"n.a.")</x:f>
        <x:v>0</x:v>
      </x:c>
      <x:c r="K1825" s="1" t="str">
        <x:f>IF(G1825&gt;='Дашборд'!$C$51,"X","Z")</x:f>
        <x:v>Z</x:v>
      </x:c>
      <x:c r="L1825" s="1" t="str">
        <x:f>IF(H1825=0,IF(G1825&gt;0,"Нет остатка","Нет спроса"),IF(I1825&gt;='Дашборд'!$C$52,"Быстрый","Медленный"))</x:f>
        <x:v>Нет спроса</x:v>
      </x:c>
      <x:c r="M1825" s="1" t="str">
        <x:f>IF('Данные'!E1825&lt;'Дашборд'!$C$53,"Мало трафика",IF(J1825&lt;'Дашборд'!$C$9*'Дашборд'!$C$54,"Да","Нет"))</x:f>
        <x:v>Мало трафика</x:v>
      </x:c>
      <x:c r="N1825" s="1" t="str">
        <x:f>IF(AND('Данные'!D1825&gt;='Дашборд'!$C$55,D1825&lt;'Дашборд'!$C$56,'Данные'!E1825&gt;='Дашборд'!$C$53,'Данные'!L1825&lt;&gt;"Да"),"Да","Нет")</x:f>
        <x:v>Нет</x:v>
      </x:c>
      <x:c r="O1825" s="1" t="str">
        <x:f>'Данные'!L1825</x:f>
        <x:v>Нет</x:v>
      </x:c>
    </x:row>
    <x:row r="1826">
      <x:c r="A1826" s="1" t="str">
        <x:f>'Данные'!A1826</x:f>
        <x:v>183635243</x:v>
      </x:c>
      <x:c r="B1826" s="1" t="str">
        <x:f>'Данные'!B1826</x:f>
        <x:v>longmanprint/Cat-12/белый</x:v>
      </x:c>
      <x:c r="C1826" s="8" t="n">
        <x:f>'Данные'!G1826</x:f>
        <x:v>0</x:v>
      </x:c>
      <x:c r="D1826" s="15" t="n">
        <x:f>C1826/SUM($C$5:$C$2477)</x:f>
        <x:v>0</x:v>
      </x:c>
      <x:c r="E1826" s="15" t="n">
        <x:f>SUM($D$5:D1826)</x:f>
        <x:v>1.0000000000000036</x:v>
      </x:c>
      <x:c r="F1826" s="1" t="str">
        <x:f>IF(C1826&lt;=0,"C",IF(E1826-D1826&lt;'Дашборд'!$C$49,"A",IF(E1826-D1826&lt;'Дашборд'!$C$50,"B","C")))</x:f>
        <x:v>C</x:v>
      </x:c>
      <x:c r="G1826" s="8" t="n">
        <x:f>'Данные'!F1826</x:f>
        <x:v>0</x:v>
      </x:c>
      <x:c r="H1826" s="8" t="n">
        <x:f>SUM('Данные'!H1826:I1826)</x:f>
        <x:v>0</x:v>
      </x:c>
      <x:c r="I1826" s="16" t="str">
        <x:f>IF(H1826&gt;0,G1826/H1826,"n.a.")</x:f>
        <x:v>n.a.</x:v>
      </x:c>
      <x:c r="J1826" s="10" t="n">
        <x:f>IF('Данные'!E1826&gt;0,G1826/'Данные'!E1826,"n.a.")</x:f>
        <x:v>0</x:v>
      </x:c>
      <x:c r="K1826" s="1" t="str">
        <x:f>IF(G1826&gt;='Дашборд'!$C$51,"X","Z")</x:f>
        <x:v>Z</x:v>
      </x:c>
      <x:c r="L1826" s="1" t="str">
        <x:f>IF(H1826=0,IF(G1826&gt;0,"Нет остатка","Нет спроса"),IF(I1826&gt;='Дашборд'!$C$52,"Быстрый","Медленный"))</x:f>
        <x:v>Нет спроса</x:v>
      </x:c>
      <x:c r="M1826" s="1" t="str">
        <x:f>IF('Данные'!E1826&lt;'Дашборд'!$C$53,"Мало трафика",IF(J1826&lt;'Дашборд'!$C$9*'Дашборд'!$C$54,"Да","Нет"))</x:f>
        <x:v>Мало трафика</x:v>
      </x:c>
      <x:c r="N1826" s="1" t="str">
        <x:f>IF(AND('Данные'!D1826&gt;='Дашборд'!$C$55,D1826&lt;'Дашборд'!$C$56,'Данные'!E1826&gt;='Дашборд'!$C$53,'Данные'!L1826&lt;&gt;"Да"),"Да","Нет")</x:f>
        <x:v>Нет</x:v>
      </x:c>
      <x:c r="O1826" s="1" t="str">
        <x:f>'Данные'!L1826</x:f>
        <x:v>Нет</x:v>
      </x:c>
    </x:row>
    <x:row r="1827">
      <x:c r="A1827" s="1" t="str">
        <x:f>'Данные'!A1827</x:f>
        <x:v>183635244</x:v>
      </x:c>
      <x:c r="B1827" s="1" t="str">
        <x:f>'Данные'!B1827</x:f>
        <x:v>longmanprint/MISHA-19/белый</x:v>
      </x:c>
      <x:c r="C1827" s="8" t="n">
        <x:f>'Данные'!G1827</x:f>
        <x:v>0</x:v>
      </x:c>
      <x:c r="D1827" s="15" t="n">
        <x:f>C1827/SUM($C$5:$C$2477)</x:f>
        <x:v>0</x:v>
      </x:c>
      <x:c r="E1827" s="15" t="n">
        <x:f>SUM($D$5:D1827)</x:f>
        <x:v>1.0000000000000036</x:v>
      </x:c>
      <x:c r="F1827" s="1" t="str">
        <x:f>IF(C1827&lt;=0,"C",IF(E1827-D1827&lt;'Дашборд'!$C$49,"A",IF(E1827-D1827&lt;'Дашборд'!$C$50,"B","C")))</x:f>
        <x:v>C</x:v>
      </x:c>
      <x:c r="G1827" s="8" t="n">
        <x:f>'Данные'!F1827</x:f>
        <x:v>0</x:v>
      </x:c>
      <x:c r="H1827" s="8" t="n">
        <x:f>SUM('Данные'!H1827:I1827)</x:f>
        <x:v>0</x:v>
      </x:c>
      <x:c r="I1827" s="16" t="str">
        <x:f>IF(H1827&gt;0,G1827/H1827,"n.a.")</x:f>
        <x:v>n.a.</x:v>
      </x:c>
      <x:c r="J1827" s="10" t="n">
        <x:f>IF('Данные'!E1827&gt;0,G1827/'Данные'!E1827,"n.a.")</x:f>
        <x:v>0</x:v>
      </x:c>
      <x:c r="K1827" s="1" t="str">
        <x:f>IF(G1827&gt;='Дашборд'!$C$51,"X","Z")</x:f>
        <x:v>Z</x:v>
      </x:c>
      <x:c r="L1827" s="1" t="str">
        <x:f>IF(H1827=0,IF(G1827&gt;0,"Нет остатка","Нет спроса"),IF(I1827&gt;='Дашборд'!$C$52,"Быстрый","Медленный"))</x:f>
        <x:v>Нет спроса</x:v>
      </x:c>
      <x:c r="M1827" s="1" t="str">
        <x:f>IF('Данные'!E1827&lt;'Дашборд'!$C$53,"Мало трафика",IF(J1827&lt;'Дашборд'!$C$9*'Дашборд'!$C$54,"Да","Нет"))</x:f>
        <x:v>Мало трафика</x:v>
      </x:c>
      <x:c r="N1827" s="1" t="str">
        <x:f>IF(AND('Данные'!D1827&gt;='Дашборд'!$C$55,D1827&lt;'Дашборд'!$C$56,'Данные'!E1827&gt;='Дашборд'!$C$53,'Данные'!L1827&lt;&gt;"Да"),"Да","Нет")</x:f>
        <x:v>Нет</x:v>
      </x:c>
      <x:c r="O1827" s="1" t="str">
        <x:f>'Данные'!L1827</x:f>
        <x:v>Нет</x:v>
      </x:c>
    </x:row>
    <x:row r="1828">
      <x:c r="A1828" s="1" t="str">
        <x:f>'Данные'!A1828</x:f>
        <x:v>183635245</x:v>
      </x:c>
      <x:c r="B1828" s="1" t="str">
        <x:f>'Данные'!B1828</x:f>
        <x:v>longmanprint/PES-20/белый</x:v>
      </x:c>
      <x:c r="C1828" s="8" t="n">
        <x:f>'Данные'!G1828</x:f>
        <x:v>0</x:v>
      </x:c>
      <x:c r="D1828" s="15" t="n">
        <x:f>C1828/SUM($C$5:$C$2477)</x:f>
        <x:v>0</x:v>
      </x:c>
      <x:c r="E1828" s="15" t="n">
        <x:f>SUM($D$5:D1828)</x:f>
        <x:v>1.0000000000000036</x:v>
      </x:c>
      <x:c r="F1828" s="1" t="str">
        <x:f>IF(C1828&lt;=0,"C",IF(E1828-D1828&lt;'Дашборд'!$C$49,"A",IF(E1828-D1828&lt;'Дашборд'!$C$50,"B","C")))</x:f>
        <x:v>C</x:v>
      </x:c>
      <x:c r="G1828" s="8" t="n">
        <x:f>'Данные'!F1828</x:f>
        <x:v>0</x:v>
      </x:c>
      <x:c r="H1828" s="8" t="n">
        <x:f>SUM('Данные'!H1828:I1828)</x:f>
        <x:v>0</x:v>
      </x:c>
      <x:c r="I1828" s="16" t="str">
        <x:f>IF(H1828&gt;0,G1828/H1828,"n.a.")</x:f>
        <x:v>n.a.</x:v>
      </x:c>
      <x:c r="J1828" s="10" t="n">
        <x:f>IF('Данные'!E1828&gt;0,G1828/'Данные'!E1828,"n.a.")</x:f>
        <x:v>0</x:v>
      </x:c>
      <x:c r="K1828" s="1" t="str">
        <x:f>IF(G1828&gt;='Дашборд'!$C$51,"X","Z")</x:f>
        <x:v>Z</x:v>
      </x:c>
      <x:c r="L1828" s="1" t="str">
        <x:f>IF(H1828=0,IF(G1828&gt;0,"Нет остатка","Нет спроса"),IF(I1828&gt;='Дашборд'!$C$52,"Быстрый","Медленный"))</x:f>
        <x:v>Нет спроса</x:v>
      </x:c>
      <x:c r="M1828" s="1" t="str">
        <x:f>IF('Данные'!E1828&lt;'Дашборд'!$C$53,"Мало трафика",IF(J1828&lt;'Дашборд'!$C$9*'Дашборд'!$C$54,"Да","Нет"))</x:f>
        <x:v>Мало трафика</x:v>
      </x:c>
      <x:c r="N1828" s="1" t="str">
        <x:f>IF(AND('Данные'!D1828&gt;='Дашборд'!$C$55,D1828&lt;'Дашборд'!$C$56,'Данные'!E1828&gt;='Дашборд'!$C$53,'Данные'!L1828&lt;&gt;"Да"),"Да","Нет")</x:f>
        <x:v>Нет</x:v>
      </x:c>
      <x:c r="O1828" s="1" t="str">
        <x:f>'Данные'!L1828</x:f>
        <x:v>Нет</x:v>
      </x:c>
    </x:row>
    <x:row r="1829">
      <x:c r="A1829" s="1" t="str">
        <x:f>'Данные'!A1829</x:f>
        <x:v>183635247</x:v>
      </x:c>
      <x:c r="B1829" s="1" t="str">
        <x:f>'Данные'!B1829</x:f>
        <x:v>longmanprint/TKY-9/белый</x:v>
      </x:c>
      <x:c r="C1829" s="8" t="n">
        <x:f>'Данные'!G1829</x:f>
        <x:v>0</x:v>
      </x:c>
      <x:c r="D1829" s="15" t="n">
        <x:f>C1829/SUM($C$5:$C$2477)</x:f>
        <x:v>0</x:v>
      </x:c>
      <x:c r="E1829" s="15" t="n">
        <x:f>SUM($D$5:D1829)</x:f>
        <x:v>1.0000000000000036</x:v>
      </x:c>
      <x:c r="F1829" s="1" t="str">
        <x:f>IF(C1829&lt;=0,"C",IF(E1829-D1829&lt;'Дашборд'!$C$49,"A",IF(E1829-D1829&lt;'Дашборд'!$C$50,"B","C")))</x:f>
        <x:v>C</x:v>
      </x:c>
      <x:c r="G1829" s="8" t="n">
        <x:f>'Данные'!F1829</x:f>
        <x:v>0</x:v>
      </x:c>
      <x:c r="H1829" s="8" t="n">
        <x:f>SUM('Данные'!H1829:I1829)</x:f>
        <x:v>0</x:v>
      </x:c>
      <x:c r="I1829" s="16" t="str">
        <x:f>IF(H1829&gt;0,G1829/H1829,"n.a.")</x:f>
        <x:v>n.a.</x:v>
      </x:c>
      <x:c r="J1829" s="10" t="n">
        <x:f>IF('Данные'!E1829&gt;0,G1829/'Данные'!E1829,"n.a.")</x:f>
        <x:v>0</x:v>
      </x:c>
      <x:c r="K1829" s="1" t="str">
        <x:f>IF(G1829&gt;='Дашборд'!$C$51,"X","Z")</x:f>
        <x:v>Z</x:v>
      </x:c>
      <x:c r="L1829" s="1" t="str">
        <x:f>IF(H1829=0,IF(G1829&gt;0,"Нет остатка","Нет спроса"),IF(I1829&gt;='Дашборд'!$C$52,"Быстрый","Медленный"))</x:f>
        <x:v>Нет спроса</x:v>
      </x:c>
      <x:c r="M1829" s="1" t="str">
        <x:f>IF('Данные'!E1829&lt;'Дашборд'!$C$53,"Мало трафика",IF(J1829&lt;'Дашборд'!$C$9*'Дашборд'!$C$54,"Да","Нет"))</x:f>
        <x:v>Мало трафика</x:v>
      </x:c>
      <x:c r="N1829" s="1" t="str">
        <x:f>IF(AND('Данные'!D1829&gt;='Дашборд'!$C$55,D1829&lt;'Дашборд'!$C$56,'Данные'!E1829&gt;='Дашборд'!$C$53,'Данные'!L1829&lt;&gt;"Да"),"Да","Нет")</x:f>
        <x:v>Нет</x:v>
      </x:c>
      <x:c r="O1829" s="1" t="str">
        <x:f>'Данные'!L1829</x:f>
        <x:v>Нет</x:v>
      </x:c>
    </x:row>
    <x:row r="1830">
      <x:c r="A1830" s="1" t="str">
        <x:f>'Данные'!A1830</x:f>
        <x:v>183635248</x:v>
      </x:c>
      <x:c r="B1830" s="1" t="str">
        <x:f>'Данные'!B1830</x:f>
        <x:v>longmanprint/Cat-12/черный</x:v>
      </x:c>
      <x:c r="C1830" s="8" t="n">
        <x:f>'Данные'!G1830</x:f>
        <x:v>0</x:v>
      </x:c>
      <x:c r="D1830" s="15" t="n">
        <x:f>C1830/SUM($C$5:$C$2477)</x:f>
        <x:v>0</x:v>
      </x:c>
      <x:c r="E1830" s="15" t="n">
        <x:f>SUM($D$5:D1830)</x:f>
        <x:v>1.0000000000000036</x:v>
      </x:c>
      <x:c r="F1830" s="1" t="str">
        <x:f>IF(C1830&lt;=0,"C",IF(E1830-D1830&lt;'Дашборд'!$C$49,"A",IF(E1830-D1830&lt;'Дашборд'!$C$50,"B","C")))</x:f>
        <x:v>C</x:v>
      </x:c>
      <x:c r="G1830" s="8" t="n">
        <x:f>'Данные'!F1830</x:f>
        <x:v>0</x:v>
      </x:c>
      <x:c r="H1830" s="8" t="n">
        <x:f>SUM('Данные'!H1830:I1830)</x:f>
        <x:v>0</x:v>
      </x:c>
      <x:c r="I1830" s="16" t="str">
        <x:f>IF(H1830&gt;0,G1830/H1830,"n.a.")</x:f>
        <x:v>n.a.</x:v>
      </x:c>
      <x:c r="J1830" s="10" t="n">
        <x:f>IF('Данные'!E1830&gt;0,G1830/'Данные'!E1830,"n.a.")</x:f>
        <x:v>0</x:v>
      </x:c>
      <x:c r="K1830" s="1" t="str">
        <x:f>IF(G1830&gt;='Дашборд'!$C$51,"X","Z")</x:f>
        <x:v>Z</x:v>
      </x:c>
      <x:c r="L1830" s="1" t="str">
        <x:f>IF(H1830=0,IF(G1830&gt;0,"Нет остатка","Нет спроса"),IF(I1830&gt;='Дашборд'!$C$52,"Быстрый","Медленный"))</x:f>
        <x:v>Нет спроса</x:v>
      </x:c>
      <x:c r="M1830" s="1" t="str">
        <x:f>IF('Данные'!E1830&lt;'Дашборд'!$C$53,"Мало трафика",IF(J1830&lt;'Дашборд'!$C$9*'Дашборд'!$C$54,"Да","Нет"))</x:f>
        <x:v>Мало трафика</x:v>
      </x:c>
      <x:c r="N1830" s="1" t="str">
        <x:f>IF(AND('Данные'!D1830&gt;='Дашборд'!$C$55,D1830&lt;'Дашборд'!$C$56,'Данные'!E1830&gt;='Дашборд'!$C$53,'Данные'!L1830&lt;&gt;"Да"),"Да","Нет")</x:f>
        <x:v>Нет</x:v>
      </x:c>
      <x:c r="O1830" s="1" t="str">
        <x:f>'Данные'!L1830</x:f>
        <x:v>Нет</x:v>
      </x:c>
    </x:row>
    <x:row r="1831">
      <x:c r="A1831" s="1" t="str">
        <x:f>'Данные'!A1831</x:f>
        <x:v>183635252</x:v>
      </x:c>
      <x:c r="B1831" s="1" t="str">
        <x:f>'Данные'!B1831</x:f>
        <x:v>longmanprint/DEVA-13/белый</x:v>
      </x:c>
      <x:c r="C1831" s="8" t="n">
        <x:f>'Данные'!G1831</x:f>
        <x:v>0</x:v>
      </x:c>
      <x:c r="D1831" s="15" t="n">
        <x:f>C1831/SUM($C$5:$C$2477)</x:f>
        <x:v>0</x:v>
      </x:c>
      <x:c r="E1831" s="15" t="n">
        <x:f>SUM($D$5:D1831)</x:f>
        <x:v>1.0000000000000036</x:v>
      </x:c>
      <x:c r="F1831" s="1" t="str">
        <x:f>IF(C1831&lt;=0,"C",IF(E1831-D1831&lt;'Дашборд'!$C$49,"A",IF(E1831-D1831&lt;'Дашборд'!$C$50,"B","C")))</x:f>
        <x:v>C</x:v>
      </x:c>
      <x:c r="G1831" s="8" t="n">
        <x:f>'Данные'!F1831</x:f>
        <x:v>0</x:v>
      </x:c>
      <x:c r="H1831" s="8" t="n">
        <x:f>SUM('Данные'!H1831:I1831)</x:f>
        <x:v>0</x:v>
      </x:c>
      <x:c r="I1831" s="16" t="str">
        <x:f>IF(H1831&gt;0,G1831/H1831,"n.a.")</x:f>
        <x:v>n.a.</x:v>
      </x:c>
      <x:c r="J1831" s="10" t="n">
        <x:f>IF('Данные'!E1831&gt;0,G1831/'Данные'!E1831,"n.a.")</x:f>
        <x:v>0</x:v>
      </x:c>
      <x:c r="K1831" s="1" t="str">
        <x:f>IF(G1831&gt;='Дашборд'!$C$51,"X","Z")</x:f>
        <x:v>Z</x:v>
      </x:c>
      <x:c r="L1831" s="1" t="str">
        <x:f>IF(H1831=0,IF(G1831&gt;0,"Нет остатка","Нет спроса"),IF(I1831&gt;='Дашборд'!$C$52,"Быстрый","Медленный"))</x:f>
        <x:v>Нет спроса</x:v>
      </x:c>
      <x:c r="M1831" s="1" t="str">
        <x:f>IF('Данные'!E1831&lt;'Дашборд'!$C$53,"Мало трафика",IF(J1831&lt;'Дашборд'!$C$9*'Дашборд'!$C$54,"Да","Нет"))</x:f>
        <x:v>Мало трафика</x:v>
      </x:c>
      <x:c r="N1831" s="1" t="str">
        <x:f>IF(AND('Данные'!D1831&gt;='Дашборд'!$C$55,D1831&lt;'Дашборд'!$C$56,'Данные'!E1831&gt;='Дашборд'!$C$53,'Данные'!L1831&lt;&gt;"Да"),"Да","Нет")</x:f>
        <x:v>Нет</x:v>
      </x:c>
      <x:c r="O1831" s="1" t="str">
        <x:f>'Данные'!L1831</x:f>
        <x:v>Нет</x:v>
      </x:c>
    </x:row>
    <x:row r="1832">
      <x:c r="A1832" s="1" t="str">
        <x:f>'Данные'!A1832</x:f>
        <x:v>183635254</x:v>
      </x:c>
      <x:c r="B1832" s="1" t="str">
        <x:f>'Данные'!B1832</x:f>
        <x:v>longmanprint/PES-20/чёрный</x:v>
      </x:c>
      <x:c r="C1832" s="8" t="n">
        <x:f>'Данные'!G1832</x:f>
        <x:v>0</x:v>
      </x:c>
      <x:c r="D1832" s="15" t="n">
        <x:f>C1832/SUM($C$5:$C$2477)</x:f>
        <x:v>0</x:v>
      </x:c>
      <x:c r="E1832" s="15" t="n">
        <x:f>SUM($D$5:D1832)</x:f>
        <x:v>1.0000000000000036</x:v>
      </x:c>
      <x:c r="F1832" s="1" t="str">
        <x:f>IF(C1832&lt;=0,"C",IF(E1832-D1832&lt;'Дашборд'!$C$49,"A",IF(E1832-D1832&lt;'Дашборд'!$C$50,"B","C")))</x:f>
        <x:v>C</x:v>
      </x:c>
      <x:c r="G1832" s="8" t="n">
        <x:f>'Данные'!F1832</x:f>
        <x:v>0</x:v>
      </x:c>
      <x:c r="H1832" s="8" t="n">
        <x:f>SUM('Данные'!H1832:I1832)</x:f>
        <x:v>0</x:v>
      </x:c>
      <x:c r="I1832" s="16" t="str">
        <x:f>IF(H1832&gt;0,G1832/H1832,"n.a.")</x:f>
        <x:v>n.a.</x:v>
      </x:c>
      <x:c r="J1832" s="10" t="n">
        <x:f>IF('Данные'!E1832&gt;0,G1832/'Данные'!E1832,"n.a.")</x:f>
        <x:v>0</x:v>
      </x:c>
      <x:c r="K1832" s="1" t="str">
        <x:f>IF(G1832&gt;='Дашборд'!$C$51,"X","Z")</x:f>
        <x:v>Z</x:v>
      </x:c>
      <x:c r="L1832" s="1" t="str">
        <x:f>IF(H1832=0,IF(G1832&gt;0,"Нет остатка","Нет спроса"),IF(I1832&gt;='Дашборд'!$C$52,"Быстрый","Медленный"))</x:f>
        <x:v>Нет спроса</x:v>
      </x:c>
      <x:c r="M1832" s="1" t="str">
        <x:f>IF('Данные'!E1832&lt;'Дашборд'!$C$53,"Мало трафика",IF(J1832&lt;'Дашборд'!$C$9*'Дашборд'!$C$54,"Да","Нет"))</x:f>
        <x:v>Мало трафика</x:v>
      </x:c>
      <x:c r="N1832" s="1" t="str">
        <x:f>IF(AND('Данные'!D1832&gt;='Дашборд'!$C$55,D1832&lt;'Дашборд'!$C$56,'Данные'!E1832&gt;='Дашборд'!$C$53,'Данные'!L1832&lt;&gt;"Да"),"Да","Нет")</x:f>
        <x:v>Нет</x:v>
      </x:c>
      <x:c r="O1832" s="1" t="str">
        <x:f>'Данные'!L1832</x:f>
        <x:v>Нет</x:v>
      </x:c>
    </x:row>
    <x:row r="1833">
      <x:c r="A1833" s="1" t="str">
        <x:f>'Данные'!A1833</x:f>
        <x:v>183660147</x:v>
      </x:c>
      <x:c r="B1833" s="1" t="str">
        <x:f>'Данные'!B1833</x:f>
        <x:v>1sizeprint/ALI-21/черный</x:v>
      </x:c>
      <x:c r="C1833" s="8" t="n">
        <x:f>'Данные'!G1833</x:f>
        <x:v>0</x:v>
      </x:c>
      <x:c r="D1833" s="15" t="n">
        <x:f>C1833/SUM($C$5:$C$2477)</x:f>
        <x:v>0</x:v>
      </x:c>
      <x:c r="E1833" s="15" t="n">
        <x:f>SUM($D$5:D1833)</x:f>
        <x:v>1.0000000000000036</x:v>
      </x:c>
      <x:c r="F1833" s="1" t="str">
        <x:f>IF(C1833&lt;=0,"C",IF(E1833-D1833&lt;'Дашборд'!$C$49,"A",IF(E1833-D1833&lt;'Дашборд'!$C$50,"B","C")))</x:f>
        <x:v>C</x:v>
      </x:c>
      <x:c r="G1833" s="8" t="n">
        <x:f>'Данные'!F1833</x:f>
        <x:v>2</x:v>
      </x:c>
      <x:c r="H1833" s="8" t="n">
        <x:f>SUM('Данные'!H1833:I1833)</x:f>
        <x:v>1</x:v>
      </x:c>
      <x:c r="I1833" s="16" t="n">
        <x:f>IF(H1833&gt;0,G1833/H1833,"n.a.")</x:f>
        <x:v>2</x:v>
      </x:c>
      <x:c r="J1833" s="10" t="n">
        <x:f>IF('Данные'!E1833&gt;0,G1833/'Данные'!E1833,"n.a.")</x:f>
        <x:v>0.004728132387706856</x:v>
      </x:c>
      <x:c r="K1833" s="1" t="str">
        <x:f>IF(G1833&gt;='Дашборд'!$C$51,"X","Z")</x:f>
        <x:v>Z</x:v>
      </x:c>
      <x:c r="L1833" s="1" t="str">
        <x:f>IF(H1833=0,IF(G1833&gt;0,"Нет остатка","Нет спроса"),IF(I1833&gt;='Дашборд'!$C$52,"Быстрый","Медленный"))</x:f>
        <x:v>Быстрый</x:v>
      </x:c>
      <x:c r="M1833" s="1" t="str">
        <x:f>IF('Данные'!E1833&lt;'Дашборд'!$C$53,"Мало трафика",IF(J1833&lt;'Дашборд'!$C$9*'Дашборд'!$C$54,"Да","Нет"))</x:f>
        <x:v>Мало трафика</x:v>
      </x:c>
      <x:c r="N1833" s="1" t="str">
        <x:f>IF(AND('Данные'!D1833&gt;='Дашборд'!$C$55,D1833&lt;'Дашборд'!$C$56,'Данные'!E1833&gt;='Дашборд'!$C$53,'Данные'!L1833&lt;&gt;"Да"),"Да","Нет")</x:f>
        <x:v>Нет</x:v>
      </x:c>
      <x:c r="O1833" s="1" t="str">
        <x:f>'Данные'!L1833</x:f>
        <x:v>Нет</x:v>
      </x:c>
    </x:row>
    <x:row r="1834">
      <x:c r="A1834" s="1" t="str">
        <x:f>'Данные'!A1834</x:f>
        <x:v>183793823</x:v>
      </x:c>
      <x:c r="B1834" s="1" t="str">
        <x:f>'Данные'!B1834</x:f>
        <x:v>hudiprint/SVOBODA-14/изумрудно-зеленый</x:v>
      </x:c>
      <x:c r="C1834" s="8" t="n">
        <x:f>'Данные'!G1834</x:f>
        <x:v>0</x:v>
      </x:c>
      <x:c r="D1834" s="15" t="n">
        <x:f>C1834/SUM($C$5:$C$2477)</x:f>
        <x:v>0</x:v>
      </x:c>
      <x:c r="E1834" s="15" t="n">
        <x:f>SUM($D$5:D1834)</x:f>
        <x:v>1.0000000000000036</x:v>
      </x:c>
      <x:c r="F1834" s="1" t="str">
        <x:f>IF(C1834&lt;=0,"C",IF(E1834-D1834&lt;'Дашборд'!$C$49,"A",IF(E1834-D1834&lt;'Дашборд'!$C$50,"B","C")))</x:f>
        <x:v>C</x:v>
      </x:c>
      <x:c r="G1834" s="8" t="n">
        <x:f>'Данные'!F1834</x:f>
        <x:v>0</x:v>
      </x:c>
      <x:c r="H1834" s="8" t="n">
        <x:f>SUM('Данные'!H1834:I1834)</x:f>
        <x:v>0</x:v>
      </x:c>
      <x:c r="I1834" s="16" t="str">
        <x:f>IF(H1834&gt;0,G1834/H1834,"n.a.")</x:f>
        <x:v>n.a.</x:v>
      </x:c>
      <x:c r="J1834" s="10" t="n">
        <x:f>IF('Данные'!E1834&gt;0,G1834/'Данные'!E1834,"n.a.")</x:f>
        <x:v>0</x:v>
      </x:c>
      <x:c r="K1834" s="1" t="str">
        <x:f>IF(G1834&gt;='Дашборд'!$C$51,"X","Z")</x:f>
        <x:v>Z</x:v>
      </x:c>
      <x:c r="L1834" s="1" t="str">
        <x:f>IF(H1834=0,IF(G1834&gt;0,"Нет остатка","Нет спроса"),IF(I1834&gt;='Дашборд'!$C$52,"Быстрый","Медленный"))</x:f>
        <x:v>Нет спроса</x:v>
      </x:c>
      <x:c r="M1834" s="1" t="str">
        <x:f>IF('Данные'!E1834&lt;'Дашборд'!$C$53,"Мало трафика",IF(J1834&lt;'Дашборд'!$C$9*'Дашборд'!$C$54,"Да","Нет"))</x:f>
        <x:v>Мало трафика</x:v>
      </x:c>
      <x:c r="N1834" s="1" t="str">
        <x:f>IF(AND('Данные'!D1834&gt;='Дашборд'!$C$55,D1834&lt;'Дашборд'!$C$56,'Данные'!E1834&gt;='Дашборд'!$C$53,'Данные'!L1834&lt;&gt;"Да"),"Да","Нет")</x:f>
        <x:v>Нет</x:v>
      </x:c>
      <x:c r="O1834" s="1" t="str">
        <x:f>'Данные'!L1834</x:f>
        <x:v>Нет</x:v>
      </x:c>
    </x:row>
    <x:row r="1835">
      <x:c r="A1835" s="1" t="str">
        <x:f>'Данные'!A1835</x:f>
        <x:v>183793824</x:v>
      </x:c>
      <x:c r="B1835" s="1" t="str">
        <x:f>'Данные'!B1835</x:f>
        <x:v>hudiprint/SVOBODA-14/молочный</x:v>
      </x:c>
      <x:c r="C1835" s="8" t="n">
        <x:f>'Данные'!G1835</x:f>
        <x:v>0</x:v>
      </x:c>
      <x:c r="D1835" s="15" t="n">
        <x:f>C1835/SUM($C$5:$C$2477)</x:f>
        <x:v>0</x:v>
      </x:c>
      <x:c r="E1835" s="15" t="n">
        <x:f>SUM($D$5:D1835)</x:f>
        <x:v>1.0000000000000036</x:v>
      </x:c>
      <x:c r="F1835" s="1" t="str">
        <x:f>IF(C1835&lt;=0,"C",IF(E1835-D1835&lt;'Дашборд'!$C$49,"A",IF(E1835-D1835&lt;'Дашборд'!$C$50,"B","C")))</x:f>
        <x:v>C</x:v>
      </x:c>
      <x:c r="G1835" s="8" t="n">
        <x:f>'Данные'!F1835</x:f>
        <x:v>0</x:v>
      </x:c>
      <x:c r="H1835" s="8" t="n">
        <x:f>SUM('Данные'!H1835:I1835)</x:f>
        <x:v>0</x:v>
      </x:c>
      <x:c r="I1835" s="16" t="str">
        <x:f>IF(H1835&gt;0,G1835/H1835,"n.a.")</x:f>
        <x:v>n.a.</x:v>
      </x:c>
      <x:c r="J1835" s="10" t="n">
        <x:f>IF('Данные'!E1835&gt;0,G1835/'Данные'!E1835,"n.a.")</x:f>
        <x:v>0</x:v>
      </x:c>
      <x:c r="K1835" s="1" t="str">
        <x:f>IF(G1835&gt;='Дашборд'!$C$51,"X","Z")</x:f>
        <x:v>Z</x:v>
      </x:c>
      <x:c r="L1835" s="1" t="str">
        <x:f>IF(H1835=0,IF(G1835&gt;0,"Нет остатка","Нет спроса"),IF(I1835&gt;='Дашборд'!$C$52,"Быстрый","Медленный"))</x:f>
        <x:v>Нет спроса</x:v>
      </x:c>
      <x:c r="M1835" s="1" t="str">
        <x:f>IF('Данные'!E1835&lt;'Дашборд'!$C$53,"Мало трафика",IF(J1835&lt;'Дашборд'!$C$9*'Дашборд'!$C$54,"Да","Нет"))</x:f>
        <x:v>Мало трафика</x:v>
      </x:c>
      <x:c r="N1835" s="1" t="str">
        <x:f>IF(AND('Данные'!D1835&gt;='Дашборд'!$C$55,D1835&lt;'Дашборд'!$C$56,'Данные'!E1835&gt;='Дашборд'!$C$53,'Данные'!L1835&lt;&gt;"Да"),"Да","Нет")</x:f>
        <x:v>Нет</x:v>
      </x:c>
      <x:c r="O1835" s="1" t="str">
        <x:f>'Данные'!L1835</x:f>
        <x:v>Нет</x:v>
      </x:c>
    </x:row>
    <x:row r="1836">
      <x:c r="A1836" s="1" t="str">
        <x:f>'Данные'!A1836</x:f>
        <x:v>183793835</x:v>
      </x:c>
      <x:c r="B1836" s="1" t="str">
        <x:f>'Данные'!B1836</x:f>
        <x:v>hudiprint/68-11/черный</x:v>
      </x:c>
      <x:c r="C1836" s="8" t="n">
        <x:f>'Данные'!G1836</x:f>
        <x:v>0</x:v>
      </x:c>
      <x:c r="D1836" s="15" t="n">
        <x:f>C1836/SUM($C$5:$C$2477)</x:f>
        <x:v>0</x:v>
      </x:c>
      <x:c r="E1836" s="15" t="n">
        <x:f>SUM($D$5:D1836)</x:f>
        <x:v>1.0000000000000036</x:v>
      </x:c>
      <x:c r="F1836" s="1" t="str">
        <x:f>IF(C1836&lt;=0,"C",IF(E1836-D1836&lt;'Дашборд'!$C$49,"A",IF(E1836-D1836&lt;'Дашборд'!$C$50,"B","C")))</x:f>
        <x:v>C</x:v>
      </x:c>
      <x:c r="G1836" s="8" t="n">
        <x:f>'Данные'!F1836</x:f>
        <x:v>1</x:v>
      </x:c>
      <x:c r="H1836" s="8" t="n">
        <x:f>SUM('Данные'!H1836:I1836)</x:f>
        <x:v>0</x:v>
      </x:c>
      <x:c r="I1836" s="16" t="str">
        <x:f>IF(H1836&gt;0,G1836/H1836,"n.a.")</x:f>
        <x:v>n.a.</x:v>
      </x:c>
      <x:c r="J1836" s="10" t="n">
        <x:f>IF('Данные'!E1836&gt;0,G1836/'Данные'!E1836,"n.a.")</x:f>
        <x:v>0.0006993006993006993</x:v>
      </x:c>
      <x:c r="K1836" s="1" t="str">
        <x:f>IF(G1836&gt;='Дашборд'!$C$51,"X","Z")</x:f>
        <x:v>Z</x:v>
      </x:c>
      <x:c r="L1836" s="1" t="str">
        <x:f>IF(H1836=0,IF(G1836&gt;0,"Нет остатка","Нет спроса"),IF(I1836&gt;='Дашборд'!$C$52,"Быстрый","Медленный"))</x:f>
        <x:v>Нет остатка</x:v>
      </x:c>
      <x:c r="M1836" s="1" t="str">
        <x:f>IF('Данные'!E1836&lt;'Дашборд'!$C$53,"Мало трафика",IF(J1836&lt;'Дашборд'!$C$9*'Дашборд'!$C$54,"Да","Нет"))</x:f>
        <x:v>Да</x:v>
      </x:c>
      <x:c r="N1836" s="1" t="str">
        <x:f>IF(AND('Данные'!D1836&gt;='Дашборд'!$C$55,D1836&lt;'Дашборд'!$C$56,'Данные'!E1836&gt;='Дашборд'!$C$53,'Данные'!L1836&lt;&gt;"Да"),"Да","Нет")</x:f>
        <x:v>Да</x:v>
      </x:c>
      <x:c r="O1836" s="1" t="str">
        <x:f>'Данные'!L1836</x:f>
        <x:v>Нет</x:v>
      </x:c>
    </x:row>
    <x:row r="1837">
      <x:c r="A1837" s="1" t="str">
        <x:f>'Данные'!A1837</x:f>
        <x:v>183793837</x:v>
      </x:c>
      <x:c r="B1837" s="1" t="str">
        <x:f>'Данные'!B1837</x:f>
        <x:v>hudiprint/SVOBODA-14/черный</x:v>
      </x:c>
      <x:c r="C1837" s="8" t="n">
        <x:f>'Данные'!G1837</x:f>
        <x:v>0</x:v>
      </x:c>
      <x:c r="D1837" s="15" t="n">
        <x:f>C1837/SUM($C$5:$C$2477)</x:f>
        <x:v>0</x:v>
      </x:c>
      <x:c r="E1837" s="15" t="n">
        <x:f>SUM($D$5:D1837)</x:f>
        <x:v>1.0000000000000036</x:v>
      </x:c>
      <x:c r="F1837" s="1" t="str">
        <x:f>IF(C1837&lt;=0,"C",IF(E1837-D1837&lt;'Дашборд'!$C$49,"A",IF(E1837-D1837&lt;'Дашборд'!$C$50,"B","C")))</x:f>
        <x:v>C</x:v>
      </x:c>
      <x:c r="G1837" s="8" t="n">
        <x:f>'Данные'!F1837</x:f>
        <x:v>0</x:v>
      </x:c>
      <x:c r="H1837" s="8" t="n">
        <x:f>SUM('Данные'!H1837:I1837)</x:f>
        <x:v>0</x:v>
      </x:c>
      <x:c r="I1837" s="16" t="str">
        <x:f>IF(H1837&gt;0,G1837/H1837,"n.a.")</x:f>
        <x:v>n.a.</x:v>
      </x:c>
      <x:c r="J1837" s="10" t="n">
        <x:f>IF('Данные'!E1837&gt;0,G1837/'Данные'!E1837,"n.a.")</x:f>
        <x:v>0</x:v>
      </x:c>
      <x:c r="K1837" s="1" t="str">
        <x:f>IF(G1837&gt;='Дашборд'!$C$51,"X","Z")</x:f>
        <x:v>Z</x:v>
      </x:c>
      <x:c r="L1837" s="1" t="str">
        <x:f>IF(H1837=0,IF(G1837&gt;0,"Нет остатка","Нет спроса"),IF(I1837&gt;='Дашборд'!$C$52,"Быстрый","Медленный"))</x:f>
        <x:v>Нет спроса</x:v>
      </x:c>
      <x:c r="M1837" s="1" t="str">
        <x:f>IF('Данные'!E1837&lt;'Дашборд'!$C$53,"Мало трафика",IF(J1837&lt;'Дашборд'!$C$9*'Дашборд'!$C$54,"Да","Нет"))</x:f>
        <x:v>Мало трафика</x:v>
      </x:c>
      <x:c r="N1837" s="1" t="str">
        <x:f>IF(AND('Данные'!D1837&gt;='Дашборд'!$C$55,D1837&lt;'Дашборд'!$C$56,'Данные'!E1837&gt;='Дашборд'!$C$53,'Данные'!L1837&lt;&gt;"Да"),"Да","Нет")</x:f>
        <x:v>Нет</x:v>
      </x:c>
      <x:c r="O1837" s="1" t="str">
        <x:f>'Данные'!L1837</x:f>
        <x:v>Нет</x:v>
      </x:c>
    </x:row>
    <x:row r="1838">
      <x:c r="A1838" s="1" t="str">
        <x:f>'Данные'!A1838</x:f>
        <x:v>184459864</x:v>
      </x:c>
      <x:c r="B1838" s="1" t="str">
        <x:f>'Данные'!B1838</x:f>
        <x:v>petlyaprint/JERRY-29/черный</x:v>
      </x:c>
      <x:c r="C1838" s="8" t="n">
        <x:f>'Данные'!G1838</x:f>
        <x:v>0</x:v>
      </x:c>
      <x:c r="D1838" s="15" t="n">
        <x:f>C1838/SUM($C$5:$C$2477)</x:f>
        <x:v>0</x:v>
      </x:c>
      <x:c r="E1838" s="15" t="n">
        <x:f>SUM($D$5:D1838)</x:f>
        <x:v>1.0000000000000036</x:v>
      </x:c>
      <x:c r="F1838" s="1" t="str">
        <x:f>IF(C1838&lt;=0,"C",IF(E1838-D1838&lt;'Дашборд'!$C$49,"A",IF(E1838-D1838&lt;'Дашборд'!$C$50,"B","C")))</x:f>
        <x:v>C</x:v>
      </x:c>
      <x:c r="G1838" s="8" t="n">
        <x:f>'Данные'!F1838</x:f>
        <x:v>0</x:v>
      </x:c>
      <x:c r="H1838" s="8" t="n">
        <x:f>SUM('Данные'!H1838:I1838)</x:f>
        <x:v>0</x:v>
      </x:c>
      <x:c r="I1838" s="16" t="str">
        <x:f>IF(H1838&gt;0,G1838/H1838,"n.a.")</x:f>
        <x:v>n.a.</x:v>
      </x:c>
      <x:c r="J1838" s="10" t="n">
        <x:f>IF('Данные'!E1838&gt;0,G1838/'Данные'!E1838,"n.a.")</x:f>
        <x:v>0</x:v>
      </x:c>
      <x:c r="K1838" s="1" t="str">
        <x:f>IF(G1838&gt;='Дашборд'!$C$51,"X","Z")</x:f>
        <x:v>Z</x:v>
      </x:c>
      <x:c r="L1838" s="1" t="str">
        <x:f>IF(H1838=0,IF(G1838&gt;0,"Нет остатка","Нет спроса"),IF(I1838&gt;='Дашборд'!$C$52,"Быстрый","Медленный"))</x:f>
        <x:v>Нет спроса</x:v>
      </x:c>
      <x:c r="M1838" s="1" t="str">
        <x:f>IF('Данные'!E1838&lt;'Дашборд'!$C$53,"Мало трафика",IF(J1838&lt;'Дашборд'!$C$9*'Дашборд'!$C$54,"Да","Нет"))</x:f>
        <x:v>Мало трафика</x:v>
      </x:c>
      <x:c r="N1838" s="1" t="str">
        <x:f>IF(AND('Данные'!D1838&gt;='Дашборд'!$C$55,D1838&lt;'Дашборд'!$C$56,'Данные'!E1838&gt;='Дашборд'!$C$53,'Данные'!L1838&lt;&gt;"Да"),"Да","Нет")</x:f>
        <x:v>Нет</x:v>
      </x:c>
      <x:c r="O1838" s="1" t="str">
        <x:f>'Данные'!L1838</x:f>
        <x:v>Нет</x:v>
      </x:c>
    </x:row>
    <x:row r="1839">
      <x:c r="A1839" s="1" t="str">
        <x:f>'Данные'!A1839</x:f>
        <x:v>184463520</x:v>
      </x:c>
      <x:c r="B1839" s="1" t="str">
        <x:f>'Данные'!B1839</x:f>
        <x:v>petlyaprint/ANGEL-34/черный</x:v>
      </x:c>
      <x:c r="C1839" s="8" t="n">
        <x:f>'Данные'!G1839</x:f>
        <x:v>0</x:v>
      </x:c>
      <x:c r="D1839" s="15" t="n">
        <x:f>C1839/SUM($C$5:$C$2477)</x:f>
        <x:v>0</x:v>
      </x:c>
      <x:c r="E1839" s="15" t="n">
        <x:f>SUM($D$5:D1839)</x:f>
        <x:v>1.0000000000000036</x:v>
      </x:c>
      <x:c r="F1839" s="1" t="str">
        <x:f>IF(C1839&lt;=0,"C",IF(E1839-D1839&lt;'Дашборд'!$C$49,"A",IF(E1839-D1839&lt;'Дашборд'!$C$50,"B","C")))</x:f>
        <x:v>C</x:v>
      </x:c>
      <x:c r="G1839" s="8" t="n">
        <x:f>'Данные'!F1839</x:f>
        <x:v>0</x:v>
      </x:c>
      <x:c r="H1839" s="8" t="n">
        <x:f>SUM('Данные'!H1839:I1839)</x:f>
        <x:v>0</x:v>
      </x:c>
      <x:c r="I1839" s="16" t="str">
        <x:f>IF(H1839&gt;0,G1839/H1839,"n.a.")</x:f>
        <x:v>n.a.</x:v>
      </x:c>
      <x:c r="J1839" s="10" t="n">
        <x:f>IF('Данные'!E1839&gt;0,G1839/'Данные'!E1839,"n.a.")</x:f>
        <x:v>0</x:v>
      </x:c>
      <x:c r="K1839" s="1" t="str">
        <x:f>IF(G1839&gt;='Дашборд'!$C$51,"X","Z")</x:f>
        <x:v>Z</x:v>
      </x:c>
      <x:c r="L1839" s="1" t="str">
        <x:f>IF(H1839=0,IF(G1839&gt;0,"Нет остатка","Нет спроса"),IF(I1839&gt;='Дашборд'!$C$52,"Быстрый","Медленный"))</x:f>
        <x:v>Нет спроса</x:v>
      </x:c>
      <x:c r="M1839" s="1" t="str">
        <x:f>IF('Данные'!E1839&lt;'Дашборд'!$C$53,"Мало трафика",IF(J1839&lt;'Дашборд'!$C$9*'Дашборд'!$C$54,"Да","Нет"))</x:f>
        <x:v>Мало трафика</x:v>
      </x:c>
      <x:c r="N1839" s="1" t="str">
        <x:f>IF(AND('Данные'!D1839&gt;='Дашборд'!$C$55,D1839&lt;'Дашборд'!$C$56,'Данные'!E1839&gt;='Дашборд'!$C$53,'Данные'!L1839&lt;&gt;"Да"),"Да","Нет")</x:f>
        <x:v>Нет</x:v>
      </x:c>
      <x:c r="O1839" s="1" t="str">
        <x:f>'Данные'!L1839</x:f>
        <x:v>Нет</x:v>
      </x:c>
    </x:row>
    <x:row r="1840">
      <x:c r="A1840" s="1" t="str">
        <x:f>'Данные'!A1840</x:f>
        <x:v>184463522</x:v>
      </x:c>
      <x:c r="B1840" s="1" t="str">
        <x:f>'Данные'!B1840</x:f>
        <x:v>petlyaprint/JERRY-29/морскаяволна</x:v>
      </x:c>
      <x:c r="C1840" s="8" t="n">
        <x:f>'Данные'!G1840</x:f>
        <x:v>0</x:v>
      </x:c>
      <x:c r="D1840" s="15" t="n">
        <x:f>C1840/SUM($C$5:$C$2477)</x:f>
        <x:v>0</x:v>
      </x:c>
      <x:c r="E1840" s="15" t="n">
        <x:f>SUM($D$5:D1840)</x:f>
        <x:v>1.0000000000000036</x:v>
      </x:c>
      <x:c r="F1840" s="1" t="str">
        <x:f>IF(C1840&lt;=0,"C",IF(E1840-D1840&lt;'Дашборд'!$C$49,"A",IF(E1840-D1840&lt;'Дашборд'!$C$50,"B","C")))</x:f>
        <x:v>C</x:v>
      </x:c>
      <x:c r="G1840" s="8" t="n">
        <x:f>'Данные'!F1840</x:f>
        <x:v>0</x:v>
      </x:c>
      <x:c r="H1840" s="8" t="n">
        <x:f>SUM('Данные'!H1840:I1840)</x:f>
        <x:v>0</x:v>
      </x:c>
      <x:c r="I1840" s="16" t="str">
        <x:f>IF(H1840&gt;0,G1840/H1840,"n.a.")</x:f>
        <x:v>n.a.</x:v>
      </x:c>
      <x:c r="J1840" s="10" t="n">
        <x:f>IF('Данные'!E1840&gt;0,G1840/'Данные'!E1840,"n.a.")</x:f>
        <x:v>0</x:v>
      </x:c>
      <x:c r="K1840" s="1" t="str">
        <x:f>IF(G1840&gt;='Дашборд'!$C$51,"X","Z")</x:f>
        <x:v>Z</x:v>
      </x:c>
      <x:c r="L1840" s="1" t="str">
        <x:f>IF(H1840=0,IF(G1840&gt;0,"Нет остатка","Нет спроса"),IF(I1840&gt;='Дашборд'!$C$52,"Быстрый","Медленный"))</x:f>
        <x:v>Нет спроса</x:v>
      </x:c>
      <x:c r="M1840" s="1" t="str">
        <x:f>IF('Данные'!E1840&lt;'Дашборд'!$C$53,"Мало трафика",IF(J1840&lt;'Дашборд'!$C$9*'Дашборд'!$C$54,"Да","Нет"))</x:f>
        <x:v>Мало трафика</x:v>
      </x:c>
      <x:c r="N1840" s="1" t="str">
        <x:f>IF(AND('Данные'!D1840&gt;='Дашборд'!$C$55,D1840&lt;'Дашборд'!$C$56,'Данные'!E1840&gt;='Дашборд'!$C$53,'Данные'!L1840&lt;&gt;"Да"),"Да","Нет")</x:f>
        <x:v>Нет</x:v>
      </x:c>
      <x:c r="O1840" s="1" t="str">
        <x:f>'Данные'!L1840</x:f>
        <x:v>Нет</x:v>
      </x:c>
    </x:row>
    <x:row r="1841">
      <x:c r="A1841" s="1" t="str">
        <x:f>'Данные'!A1841</x:f>
        <x:v>184463524</x:v>
      </x:c>
      <x:c r="B1841" s="1" t="str">
        <x:f>'Данные'!B1841</x:f>
        <x:v>petlyaprint/GAME-30/черный</x:v>
      </x:c>
      <x:c r="C1841" s="8" t="n">
        <x:f>'Данные'!G1841</x:f>
        <x:v>0</x:v>
      </x:c>
      <x:c r="D1841" s="15" t="n">
        <x:f>C1841/SUM($C$5:$C$2477)</x:f>
        <x:v>0</x:v>
      </x:c>
      <x:c r="E1841" s="15" t="n">
        <x:f>SUM($D$5:D1841)</x:f>
        <x:v>1.0000000000000036</x:v>
      </x:c>
      <x:c r="F1841" s="1" t="str">
        <x:f>IF(C1841&lt;=0,"C",IF(E1841-D1841&lt;'Дашборд'!$C$49,"A",IF(E1841-D1841&lt;'Дашборд'!$C$50,"B","C")))</x:f>
        <x:v>C</x:v>
      </x:c>
      <x:c r="G1841" s="8" t="n">
        <x:f>'Данные'!F1841</x:f>
        <x:v>0</x:v>
      </x:c>
      <x:c r="H1841" s="8" t="n">
        <x:f>SUM('Данные'!H1841:I1841)</x:f>
        <x:v>0</x:v>
      </x:c>
      <x:c r="I1841" s="16" t="str">
        <x:f>IF(H1841&gt;0,G1841/H1841,"n.a.")</x:f>
        <x:v>n.a.</x:v>
      </x:c>
      <x:c r="J1841" s="10" t="n">
        <x:f>IF('Данные'!E1841&gt;0,G1841/'Данные'!E1841,"n.a.")</x:f>
        <x:v>0</x:v>
      </x:c>
      <x:c r="K1841" s="1" t="str">
        <x:f>IF(G1841&gt;='Дашборд'!$C$51,"X","Z")</x:f>
        <x:v>Z</x:v>
      </x:c>
      <x:c r="L1841" s="1" t="str">
        <x:f>IF(H1841=0,IF(G1841&gt;0,"Нет остатка","Нет спроса"),IF(I1841&gt;='Дашборд'!$C$52,"Быстрый","Медленный"))</x:f>
        <x:v>Нет спроса</x:v>
      </x:c>
      <x:c r="M1841" s="1" t="str">
        <x:f>IF('Данные'!E1841&lt;'Дашборд'!$C$53,"Мало трафика",IF(J1841&lt;'Дашборд'!$C$9*'Дашборд'!$C$54,"Да","Нет"))</x:f>
        <x:v>Мало трафика</x:v>
      </x:c>
      <x:c r="N1841" s="1" t="str">
        <x:f>IF(AND('Данные'!D1841&gt;='Дашборд'!$C$55,D1841&lt;'Дашборд'!$C$56,'Данные'!E1841&gt;='Дашборд'!$C$53,'Данные'!L1841&lt;&gt;"Да"),"Да","Нет")</x:f>
        <x:v>Нет</x:v>
      </x:c>
      <x:c r="O1841" s="1" t="str">
        <x:f>'Данные'!L1841</x:f>
        <x:v>Нет</x:v>
      </x:c>
    </x:row>
    <x:row r="1842">
      <x:c r="A1842" s="1" t="str">
        <x:f>'Данные'!A1842</x:f>
        <x:v>184463525</x:v>
      </x:c>
      <x:c r="B1842" s="1" t="str">
        <x:f>'Данные'!B1842</x:f>
        <x:v>petlyaprint/JERRY-29/красный</x:v>
      </x:c>
      <x:c r="C1842" s="8" t="n">
        <x:f>'Данные'!G1842</x:f>
        <x:v>0</x:v>
      </x:c>
      <x:c r="D1842" s="15" t="n">
        <x:f>C1842/SUM($C$5:$C$2477)</x:f>
        <x:v>0</x:v>
      </x:c>
      <x:c r="E1842" s="15" t="n">
        <x:f>SUM($D$5:D1842)</x:f>
        <x:v>1.0000000000000036</x:v>
      </x:c>
      <x:c r="F1842" s="1" t="str">
        <x:f>IF(C1842&lt;=0,"C",IF(E1842-D1842&lt;'Дашборд'!$C$49,"A",IF(E1842-D1842&lt;'Дашборд'!$C$50,"B","C")))</x:f>
        <x:v>C</x:v>
      </x:c>
      <x:c r="G1842" s="8" t="n">
        <x:f>'Данные'!F1842</x:f>
        <x:v>0</x:v>
      </x:c>
      <x:c r="H1842" s="8" t="n">
        <x:f>SUM('Данные'!H1842:I1842)</x:f>
        <x:v>0</x:v>
      </x:c>
      <x:c r="I1842" s="16" t="str">
        <x:f>IF(H1842&gt;0,G1842/H1842,"n.a.")</x:f>
        <x:v>n.a.</x:v>
      </x:c>
      <x:c r="J1842" s="10" t="n">
        <x:f>IF('Данные'!E1842&gt;0,G1842/'Данные'!E1842,"n.a.")</x:f>
        <x:v>0</x:v>
      </x:c>
      <x:c r="K1842" s="1" t="str">
        <x:f>IF(G1842&gt;='Дашборд'!$C$51,"X","Z")</x:f>
        <x:v>Z</x:v>
      </x:c>
      <x:c r="L1842" s="1" t="str">
        <x:f>IF(H1842=0,IF(G1842&gt;0,"Нет остатка","Нет спроса"),IF(I1842&gt;='Дашборд'!$C$52,"Быстрый","Медленный"))</x:f>
        <x:v>Нет спроса</x:v>
      </x:c>
      <x:c r="M1842" s="1" t="str">
        <x:f>IF('Данные'!E1842&lt;'Дашборд'!$C$53,"Мало трафика",IF(J1842&lt;'Дашборд'!$C$9*'Дашборд'!$C$54,"Да","Нет"))</x:f>
        <x:v>Мало трафика</x:v>
      </x:c>
      <x:c r="N1842" s="1" t="str">
        <x:f>IF(AND('Данные'!D1842&gt;='Дашборд'!$C$55,D1842&lt;'Дашборд'!$C$56,'Данные'!E1842&gt;='Дашборд'!$C$53,'Данные'!L1842&lt;&gt;"Да"),"Да","Нет")</x:f>
        <x:v>Нет</x:v>
      </x:c>
      <x:c r="O1842" s="1" t="str">
        <x:f>'Данные'!L1842</x:f>
        <x:v>Нет</x:v>
      </x:c>
    </x:row>
    <x:row r="1843">
      <x:c r="A1843" s="1" t="str">
        <x:f>'Данные'!A1843</x:f>
        <x:v>184463529</x:v>
      </x:c>
      <x:c r="B1843" s="1" t="str">
        <x:f>'Данные'!B1843</x:f>
        <x:v>petlyaprint/68-11/черный</x:v>
      </x:c>
      <x:c r="C1843" s="8" t="n">
        <x:f>'Данные'!G1843</x:f>
        <x:v>0</x:v>
      </x:c>
      <x:c r="D1843" s="15" t="n">
        <x:f>C1843/SUM($C$5:$C$2477)</x:f>
        <x:v>0</x:v>
      </x:c>
      <x:c r="E1843" s="15" t="n">
        <x:f>SUM($D$5:D1843)</x:f>
        <x:v>1.0000000000000036</x:v>
      </x:c>
      <x:c r="F1843" s="1" t="str">
        <x:f>IF(C1843&lt;=0,"C",IF(E1843-D1843&lt;'Дашборд'!$C$49,"A",IF(E1843-D1843&lt;'Дашборд'!$C$50,"B","C")))</x:f>
        <x:v>C</x:v>
      </x:c>
      <x:c r="G1843" s="8" t="n">
        <x:f>'Данные'!F1843</x:f>
        <x:v>0</x:v>
      </x:c>
      <x:c r="H1843" s="8" t="n">
        <x:f>SUM('Данные'!H1843:I1843)</x:f>
        <x:v>0</x:v>
      </x:c>
      <x:c r="I1843" s="16" t="str">
        <x:f>IF(H1843&gt;0,G1843/H1843,"n.a.")</x:f>
        <x:v>n.a.</x:v>
      </x:c>
      <x:c r="J1843" s="10" t="n">
        <x:f>IF('Данные'!E1843&gt;0,G1843/'Данные'!E1843,"n.a.")</x:f>
        <x:v>0</x:v>
      </x:c>
      <x:c r="K1843" s="1" t="str">
        <x:f>IF(G1843&gt;='Дашборд'!$C$51,"X","Z")</x:f>
        <x:v>Z</x:v>
      </x:c>
      <x:c r="L1843" s="1" t="str">
        <x:f>IF(H1843=0,IF(G1843&gt;0,"Нет остатка","Нет спроса"),IF(I1843&gt;='Дашборд'!$C$52,"Быстрый","Медленный"))</x:f>
        <x:v>Нет спроса</x:v>
      </x:c>
      <x:c r="M1843" s="1" t="str">
        <x:f>IF('Данные'!E1843&lt;'Дашборд'!$C$53,"Мало трафика",IF(J1843&lt;'Дашборд'!$C$9*'Дашборд'!$C$54,"Да","Нет"))</x:f>
        <x:v>Мало трафика</x:v>
      </x:c>
      <x:c r="N1843" s="1" t="str">
        <x:f>IF(AND('Данные'!D1843&gt;='Дашборд'!$C$55,D1843&lt;'Дашборд'!$C$56,'Данные'!E1843&gt;='Дашборд'!$C$53,'Данные'!L1843&lt;&gt;"Да"),"Да","Нет")</x:f>
        <x:v>Нет</x:v>
      </x:c>
      <x:c r="O1843" s="1" t="str">
        <x:f>'Данные'!L1843</x:f>
        <x:v>Нет</x:v>
      </x:c>
    </x:row>
    <x:row r="1844">
      <x:c r="A1844" s="1" t="str">
        <x:f>'Данные'!A1844</x:f>
        <x:v>184463532</x:v>
      </x:c>
      <x:c r="B1844" s="1" t="str">
        <x:f>'Данные'!B1844</x:f>
        <x:v>petlyaprint/68-11/изумрудно-зеленый</x:v>
      </x:c>
      <x:c r="C1844" s="8" t="n">
        <x:f>'Данные'!G1844</x:f>
        <x:v>0</x:v>
      </x:c>
      <x:c r="D1844" s="15" t="n">
        <x:f>C1844/SUM($C$5:$C$2477)</x:f>
        <x:v>0</x:v>
      </x:c>
      <x:c r="E1844" s="15" t="n">
        <x:f>SUM($D$5:D1844)</x:f>
        <x:v>1.0000000000000036</x:v>
      </x:c>
      <x:c r="F1844" s="1" t="str">
        <x:f>IF(C1844&lt;=0,"C",IF(E1844-D1844&lt;'Дашборд'!$C$49,"A",IF(E1844-D1844&lt;'Дашборд'!$C$50,"B","C")))</x:f>
        <x:v>C</x:v>
      </x:c>
      <x:c r="G1844" s="8" t="n">
        <x:f>'Данные'!F1844</x:f>
        <x:v>0</x:v>
      </x:c>
      <x:c r="H1844" s="8" t="n">
        <x:f>SUM('Данные'!H1844:I1844)</x:f>
        <x:v>0</x:v>
      </x:c>
      <x:c r="I1844" s="16" t="str">
        <x:f>IF(H1844&gt;0,G1844/H1844,"n.a.")</x:f>
        <x:v>n.a.</x:v>
      </x:c>
      <x:c r="J1844" s="10" t="n">
        <x:f>IF('Данные'!E1844&gt;0,G1844/'Данные'!E1844,"n.a.")</x:f>
        <x:v>0</x:v>
      </x:c>
      <x:c r="K1844" s="1" t="str">
        <x:f>IF(G1844&gt;='Дашборд'!$C$51,"X","Z")</x:f>
        <x:v>Z</x:v>
      </x:c>
      <x:c r="L1844" s="1" t="str">
        <x:f>IF(H1844=0,IF(G1844&gt;0,"Нет остатка","Нет спроса"),IF(I1844&gt;='Дашборд'!$C$52,"Быстрый","Медленный"))</x:f>
        <x:v>Нет спроса</x:v>
      </x:c>
      <x:c r="M1844" s="1" t="str">
        <x:f>IF('Данные'!E1844&lt;'Дашборд'!$C$53,"Мало трафика",IF(J1844&lt;'Дашборд'!$C$9*'Дашборд'!$C$54,"Да","Нет"))</x:f>
        <x:v>Мало трафика</x:v>
      </x:c>
      <x:c r="N1844" s="1" t="str">
        <x:f>IF(AND('Данные'!D1844&gt;='Дашборд'!$C$55,D1844&lt;'Дашборд'!$C$56,'Данные'!E1844&gt;='Дашборд'!$C$53,'Данные'!L1844&lt;&gt;"Да"),"Да","Нет")</x:f>
        <x:v>Нет</x:v>
      </x:c>
      <x:c r="O1844" s="1" t="str">
        <x:f>'Данные'!L1844</x:f>
        <x:v>Нет</x:v>
      </x:c>
    </x:row>
    <x:row r="1845">
      <x:c r="A1845" s="1" t="str">
        <x:f>'Данные'!A1845</x:f>
        <x:v>184476703</x:v>
      </x:c>
      <x:c r="B1845" s="1" t="str">
        <x:f>'Данные'!B1845</x:f>
        <x:v>futbolkaoverprint/GLAZA-27/белый</x:v>
      </x:c>
      <x:c r="C1845" s="8" t="n">
        <x:f>'Данные'!G1845</x:f>
        <x:v>0</x:v>
      </x:c>
      <x:c r="D1845" s="15" t="n">
        <x:f>C1845/SUM($C$5:$C$2477)</x:f>
        <x:v>0</x:v>
      </x:c>
      <x:c r="E1845" s="15" t="n">
        <x:f>SUM($D$5:D1845)</x:f>
        <x:v>1.0000000000000036</x:v>
      </x:c>
      <x:c r="F1845" s="1" t="str">
        <x:f>IF(C1845&lt;=0,"C",IF(E1845-D1845&lt;'Дашборд'!$C$49,"A",IF(E1845-D1845&lt;'Дашборд'!$C$50,"B","C")))</x:f>
        <x:v>C</x:v>
      </x:c>
      <x:c r="G1845" s="8" t="n">
        <x:f>'Данные'!F1845</x:f>
        <x:v>0</x:v>
      </x:c>
      <x:c r="H1845" s="8" t="n">
        <x:f>SUM('Данные'!H1845:I1845)</x:f>
        <x:v>0</x:v>
      </x:c>
      <x:c r="I1845" s="16" t="str">
        <x:f>IF(H1845&gt;0,G1845/H1845,"n.a.")</x:f>
        <x:v>n.a.</x:v>
      </x:c>
      <x:c r="J1845" s="10" t="n">
        <x:f>IF('Данные'!E1845&gt;0,G1845/'Данные'!E1845,"n.a.")</x:f>
        <x:v>0</x:v>
      </x:c>
      <x:c r="K1845" s="1" t="str">
        <x:f>IF(G1845&gt;='Дашборд'!$C$51,"X","Z")</x:f>
        <x:v>Z</x:v>
      </x:c>
      <x:c r="L1845" s="1" t="str">
        <x:f>IF(H1845=0,IF(G1845&gt;0,"Нет остатка","Нет спроса"),IF(I1845&gt;='Дашборд'!$C$52,"Быстрый","Медленный"))</x:f>
        <x:v>Нет спроса</x:v>
      </x:c>
      <x:c r="M1845" s="1" t="str">
        <x:f>IF('Данные'!E1845&lt;'Дашборд'!$C$53,"Мало трафика",IF(J1845&lt;'Дашборд'!$C$9*'Дашборд'!$C$54,"Да","Нет"))</x:f>
        <x:v>Мало трафика</x:v>
      </x:c>
      <x:c r="N1845" s="1" t="str">
        <x:f>IF(AND('Данные'!D1845&gt;='Дашборд'!$C$55,D1845&lt;'Дашборд'!$C$56,'Данные'!E1845&gt;='Дашборд'!$C$53,'Данные'!L1845&lt;&gt;"Да"),"Да","Нет")</x:f>
        <x:v>Нет</x:v>
      </x:c>
      <x:c r="O1845" s="1" t="str">
        <x:f>'Данные'!L1845</x:f>
        <x:v>Нет</x:v>
      </x:c>
    </x:row>
    <x:row r="1846">
      <x:c r="A1846" s="1" t="str">
        <x:f>'Данные'!A1846</x:f>
        <x:v>184479828</x:v>
      </x:c>
      <x:c r="B1846" s="1" t="str">
        <x:f>'Данные'!B1846</x:f>
        <x:v>futbolkaoverprint/DAVID-28/белый</x:v>
      </x:c>
      <x:c r="C1846" s="8" t="n">
        <x:f>'Данные'!G1846</x:f>
        <x:v>0</x:v>
      </x:c>
      <x:c r="D1846" s="15" t="n">
        <x:f>C1846/SUM($C$5:$C$2477)</x:f>
        <x:v>0</x:v>
      </x:c>
      <x:c r="E1846" s="15" t="n">
        <x:f>SUM($D$5:D1846)</x:f>
        <x:v>1.0000000000000036</x:v>
      </x:c>
      <x:c r="F1846" s="1" t="str">
        <x:f>IF(C1846&lt;=0,"C",IF(E1846-D1846&lt;'Дашборд'!$C$49,"A",IF(E1846-D1846&lt;'Дашборд'!$C$50,"B","C")))</x:f>
        <x:v>C</x:v>
      </x:c>
      <x:c r="G1846" s="8" t="n">
        <x:f>'Данные'!F1846</x:f>
        <x:v>0</x:v>
      </x:c>
      <x:c r="H1846" s="8" t="n">
        <x:f>SUM('Данные'!H1846:I1846)</x:f>
        <x:v>0</x:v>
      </x:c>
      <x:c r="I1846" s="16" t="str">
        <x:f>IF(H1846&gt;0,G1846/H1846,"n.a.")</x:f>
        <x:v>n.a.</x:v>
      </x:c>
      <x:c r="J1846" s="10" t="n">
        <x:f>IF('Данные'!E1846&gt;0,G1846/'Данные'!E1846,"n.a.")</x:f>
        <x:v>0</x:v>
      </x:c>
      <x:c r="K1846" s="1" t="str">
        <x:f>IF(G1846&gt;='Дашборд'!$C$51,"X","Z")</x:f>
        <x:v>Z</x:v>
      </x:c>
      <x:c r="L1846" s="1" t="str">
        <x:f>IF(H1846=0,IF(G1846&gt;0,"Нет остатка","Нет спроса"),IF(I1846&gt;='Дашборд'!$C$52,"Быстрый","Медленный"))</x:f>
        <x:v>Нет спроса</x:v>
      </x:c>
      <x:c r="M1846" s="1" t="str">
        <x:f>IF('Данные'!E1846&lt;'Дашборд'!$C$53,"Мало трафика",IF(J1846&lt;'Дашборд'!$C$9*'Дашборд'!$C$54,"Да","Нет"))</x:f>
        <x:v>Мало трафика</x:v>
      </x:c>
      <x:c r="N1846" s="1" t="str">
        <x:f>IF(AND('Данные'!D1846&gt;='Дашборд'!$C$55,D1846&lt;'Дашборд'!$C$56,'Данные'!E1846&gt;='Дашборд'!$C$53,'Данные'!L1846&lt;&gt;"Да"),"Да","Нет")</x:f>
        <x:v>Нет</x:v>
      </x:c>
      <x:c r="O1846" s="1" t="str">
        <x:f>'Данные'!L1846</x:f>
        <x:v>Нет</x:v>
      </x:c>
    </x:row>
    <x:row r="1847">
      <x:c r="A1847" s="1" t="str">
        <x:f>'Данные'!A1847</x:f>
        <x:v>184479830</x:v>
      </x:c>
      <x:c r="B1847" s="1" t="str">
        <x:f>'Данные'!B1847</x:f>
        <x:v>futbolkaoverprint/DAVID-28/черный</x:v>
      </x:c>
      <x:c r="C1847" s="8" t="n">
        <x:f>'Данные'!G1847</x:f>
        <x:v>0</x:v>
      </x:c>
      <x:c r="D1847" s="15" t="n">
        <x:f>C1847/SUM($C$5:$C$2477)</x:f>
        <x:v>0</x:v>
      </x:c>
      <x:c r="E1847" s="15" t="n">
        <x:f>SUM($D$5:D1847)</x:f>
        <x:v>1.0000000000000036</x:v>
      </x:c>
      <x:c r="F1847" s="1" t="str">
        <x:f>IF(C1847&lt;=0,"C",IF(E1847-D1847&lt;'Дашборд'!$C$49,"A",IF(E1847-D1847&lt;'Дашборд'!$C$50,"B","C")))</x:f>
        <x:v>C</x:v>
      </x:c>
      <x:c r="G1847" s="8" t="n">
        <x:f>'Данные'!F1847</x:f>
        <x:v>0</x:v>
      </x:c>
      <x:c r="H1847" s="8" t="n">
        <x:f>SUM('Данные'!H1847:I1847)</x:f>
        <x:v>0</x:v>
      </x:c>
      <x:c r="I1847" s="16" t="str">
        <x:f>IF(H1847&gt;0,G1847/H1847,"n.a.")</x:f>
        <x:v>n.a.</x:v>
      </x:c>
      <x:c r="J1847" s="10" t="n">
        <x:f>IF('Данные'!E1847&gt;0,G1847/'Данные'!E1847,"n.a.")</x:f>
        <x:v>0</x:v>
      </x:c>
      <x:c r="K1847" s="1" t="str">
        <x:f>IF(G1847&gt;='Дашборд'!$C$51,"X","Z")</x:f>
        <x:v>Z</x:v>
      </x:c>
      <x:c r="L1847" s="1" t="str">
        <x:f>IF(H1847=0,IF(G1847&gt;0,"Нет остатка","Нет спроса"),IF(I1847&gt;='Дашборд'!$C$52,"Быстрый","Медленный"))</x:f>
        <x:v>Нет спроса</x:v>
      </x:c>
      <x:c r="M1847" s="1" t="str">
        <x:f>IF('Данные'!E1847&lt;'Дашборд'!$C$53,"Мало трафика",IF(J1847&lt;'Дашборд'!$C$9*'Дашборд'!$C$54,"Да","Нет"))</x:f>
        <x:v>Мало трафика</x:v>
      </x:c>
      <x:c r="N1847" s="1" t="str">
        <x:f>IF(AND('Данные'!D1847&gt;='Дашборд'!$C$55,D1847&lt;'Дашборд'!$C$56,'Данные'!E1847&gt;='Дашборд'!$C$53,'Данные'!L1847&lt;&gt;"Да"),"Да","Нет")</x:f>
        <x:v>Нет</x:v>
      </x:c>
      <x:c r="O1847" s="1" t="str">
        <x:f>'Данные'!L1847</x:f>
        <x:v>Нет</x:v>
      </x:c>
    </x:row>
    <x:row r="1848">
      <x:c r="A1848" s="1" t="str">
        <x:f>'Данные'!A1848</x:f>
        <x:v>184479832</x:v>
      </x:c>
      <x:c r="B1848" s="1" t="str">
        <x:f>'Данные'!B1848</x:f>
        <x:v>futbolkaoverprint/HEART-25/черный</x:v>
      </x:c>
      <x:c r="C1848" s="8" t="n">
        <x:f>'Данные'!G1848</x:f>
        <x:v>0</x:v>
      </x:c>
      <x:c r="D1848" s="15" t="n">
        <x:f>C1848/SUM($C$5:$C$2477)</x:f>
        <x:v>0</x:v>
      </x:c>
      <x:c r="E1848" s="15" t="n">
        <x:f>SUM($D$5:D1848)</x:f>
        <x:v>1.0000000000000036</x:v>
      </x:c>
      <x:c r="F1848" s="1" t="str">
        <x:f>IF(C1848&lt;=0,"C",IF(E1848-D1848&lt;'Дашборд'!$C$49,"A",IF(E1848-D1848&lt;'Дашборд'!$C$50,"B","C")))</x:f>
        <x:v>C</x:v>
      </x:c>
      <x:c r="G1848" s="8" t="n">
        <x:f>'Данные'!F1848</x:f>
        <x:v>0</x:v>
      </x:c>
      <x:c r="H1848" s="8" t="n">
        <x:f>SUM('Данные'!H1848:I1848)</x:f>
        <x:v>0</x:v>
      </x:c>
      <x:c r="I1848" s="16" t="str">
        <x:f>IF(H1848&gt;0,G1848/H1848,"n.a.")</x:f>
        <x:v>n.a.</x:v>
      </x:c>
      <x:c r="J1848" s="10" t="n">
        <x:f>IF('Данные'!E1848&gt;0,G1848/'Данные'!E1848,"n.a.")</x:f>
        <x:v>0</x:v>
      </x:c>
      <x:c r="K1848" s="1" t="str">
        <x:f>IF(G1848&gt;='Дашборд'!$C$51,"X","Z")</x:f>
        <x:v>Z</x:v>
      </x:c>
      <x:c r="L1848" s="1" t="str">
        <x:f>IF(H1848=0,IF(G1848&gt;0,"Нет остатка","Нет спроса"),IF(I1848&gt;='Дашборд'!$C$52,"Быстрый","Медленный"))</x:f>
        <x:v>Нет спроса</x:v>
      </x:c>
      <x:c r="M1848" s="1" t="str">
        <x:f>IF('Данные'!E1848&lt;'Дашборд'!$C$53,"Мало трафика",IF(J1848&lt;'Дашборд'!$C$9*'Дашборд'!$C$54,"Да","Нет"))</x:f>
        <x:v>Мало трафика</x:v>
      </x:c>
      <x:c r="N1848" s="1" t="str">
        <x:f>IF(AND('Данные'!D1848&gt;='Дашборд'!$C$55,D1848&lt;'Дашборд'!$C$56,'Данные'!E1848&gt;='Дашборд'!$C$53,'Данные'!L1848&lt;&gt;"Да"),"Да","Нет")</x:f>
        <x:v>Нет</x:v>
      </x:c>
      <x:c r="O1848" s="1" t="str">
        <x:f>'Данные'!L1848</x:f>
        <x:v>Нет</x:v>
      </x:c>
    </x:row>
    <x:row r="1849">
      <x:c r="A1849" s="1" t="str">
        <x:f>'Данные'!A1849</x:f>
        <x:v>184479833</x:v>
      </x:c>
      <x:c r="B1849" s="1" t="str">
        <x:f>'Данные'!B1849</x:f>
        <x:v>futbolkaoverprint/GLAZA-27/дымка</x:v>
      </x:c>
      <x:c r="C1849" s="8" t="n">
        <x:f>'Данные'!G1849</x:f>
        <x:v>0</x:v>
      </x:c>
      <x:c r="D1849" s="15" t="n">
        <x:f>C1849/SUM($C$5:$C$2477)</x:f>
        <x:v>0</x:v>
      </x:c>
      <x:c r="E1849" s="15" t="n">
        <x:f>SUM($D$5:D1849)</x:f>
        <x:v>1.0000000000000036</x:v>
      </x:c>
      <x:c r="F1849" s="1" t="str">
        <x:f>IF(C1849&lt;=0,"C",IF(E1849-D1849&lt;'Дашборд'!$C$49,"A",IF(E1849-D1849&lt;'Дашборд'!$C$50,"B","C")))</x:f>
        <x:v>C</x:v>
      </x:c>
      <x:c r="G1849" s="8" t="n">
        <x:f>'Данные'!F1849</x:f>
        <x:v>0</x:v>
      </x:c>
      <x:c r="H1849" s="8" t="n">
        <x:f>SUM('Данные'!H1849:I1849)</x:f>
        <x:v>0</x:v>
      </x:c>
      <x:c r="I1849" s="16" t="str">
        <x:f>IF(H1849&gt;0,G1849/H1849,"n.a.")</x:f>
        <x:v>n.a.</x:v>
      </x:c>
      <x:c r="J1849" s="10" t="n">
        <x:f>IF('Данные'!E1849&gt;0,G1849/'Данные'!E1849,"n.a.")</x:f>
        <x:v>0</x:v>
      </x:c>
      <x:c r="K1849" s="1" t="str">
        <x:f>IF(G1849&gt;='Дашборд'!$C$51,"X","Z")</x:f>
        <x:v>Z</x:v>
      </x:c>
      <x:c r="L1849" s="1" t="str">
        <x:f>IF(H1849=0,IF(G1849&gt;0,"Нет остатка","Нет спроса"),IF(I1849&gt;='Дашборд'!$C$52,"Быстрый","Медленный"))</x:f>
        <x:v>Нет спроса</x:v>
      </x:c>
      <x:c r="M1849" s="1" t="str">
        <x:f>IF('Данные'!E1849&lt;'Дашборд'!$C$53,"Мало трафика",IF(J1849&lt;'Дашборд'!$C$9*'Дашборд'!$C$54,"Да","Нет"))</x:f>
        <x:v>Мало трафика</x:v>
      </x:c>
      <x:c r="N1849" s="1" t="str">
        <x:f>IF(AND('Данные'!D1849&gt;='Дашборд'!$C$55,D1849&lt;'Дашборд'!$C$56,'Данные'!E1849&gt;='Дашборд'!$C$53,'Данные'!L1849&lt;&gt;"Да"),"Да","Нет")</x:f>
        <x:v>Нет</x:v>
      </x:c>
      <x:c r="O1849" s="1" t="str">
        <x:f>'Данные'!L1849</x:f>
        <x:v>Нет</x:v>
      </x:c>
    </x:row>
    <x:row r="1850">
      <x:c r="A1850" s="1" t="str">
        <x:f>'Данные'!A1850</x:f>
        <x:v>184479834</x:v>
      </x:c>
      <x:c r="B1850" s="1" t="str">
        <x:f>'Данные'!B1850</x:f>
        <x:v>futbolkaoverprint/HEART-25/эвкалипт</x:v>
      </x:c>
      <x:c r="C1850" s="8" t="n">
        <x:f>'Данные'!G1850</x:f>
        <x:v>0</x:v>
      </x:c>
      <x:c r="D1850" s="15" t="n">
        <x:f>C1850/SUM($C$5:$C$2477)</x:f>
        <x:v>0</x:v>
      </x:c>
      <x:c r="E1850" s="15" t="n">
        <x:f>SUM($D$5:D1850)</x:f>
        <x:v>1.0000000000000036</x:v>
      </x:c>
      <x:c r="F1850" s="1" t="str">
        <x:f>IF(C1850&lt;=0,"C",IF(E1850-D1850&lt;'Дашборд'!$C$49,"A",IF(E1850-D1850&lt;'Дашборд'!$C$50,"B","C")))</x:f>
        <x:v>C</x:v>
      </x:c>
      <x:c r="G1850" s="8" t="n">
        <x:f>'Данные'!F1850</x:f>
        <x:v>0</x:v>
      </x:c>
      <x:c r="H1850" s="8" t="n">
        <x:f>SUM('Данные'!H1850:I1850)</x:f>
        <x:v>0</x:v>
      </x:c>
      <x:c r="I1850" s="16" t="str">
        <x:f>IF(H1850&gt;0,G1850/H1850,"n.a.")</x:f>
        <x:v>n.a.</x:v>
      </x:c>
      <x:c r="J1850" s="10" t="n">
        <x:f>IF('Данные'!E1850&gt;0,G1850/'Данные'!E1850,"n.a.")</x:f>
        <x:v>0</x:v>
      </x:c>
      <x:c r="K1850" s="1" t="str">
        <x:f>IF(G1850&gt;='Дашборд'!$C$51,"X","Z")</x:f>
        <x:v>Z</x:v>
      </x:c>
      <x:c r="L1850" s="1" t="str">
        <x:f>IF(H1850=0,IF(G1850&gt;0,"Нет остатка","Нет спроса"),IF(I1850&gt;='Дашборд'!$C$52,"Быстрый","Медленный"))</x:f>
        <x:v>Нет спроса</x:v>
      </x:c>
      <x:c r="M1850" s="1" t="str">
        <x:f>IF('Данные'!E1850&lt;'Дашборд'!$C$53,"Мало трафика",IF(J1850&lt;'Дашборд'!$C$9*'Дашборд'!$C$54,"Да","Нет"))</x:f>
        <x:v>Мало трафика</x:v>
      </x:c>
      <x:c r="N1850" s="1" t="str">
        <x:f>IF(AND('Данные'!D1850&gt;='Дашборд'!$C$55,D1850&lt;'Дашборд'!$C$56,'Данные'!E1850&gt;='Дашборд'!$C$53,'Данные'!L1850&lt;&gt;"Да"),"Да","Нет")</x:f>
        <x:v>Нет</x:v>
      </x:c>
      <x:c r="O1850" s="1" t="str">
        <x:f>'Данные'!L1850</x:f>
        <x:v>Нет</x:v>
      </x:c>
    </x:row>
    <x:row r="1851">
      <x:c r="A1851" s="1" t="str">
        <x:f>'Данные'!A1851</x:f>
        <x:v>184479835</x:v>
      </x:c>
      <x:c r="B1851" s="1" t="str">
        <x:f>'Данные'!B1851</x:f>
        <x:v>futbolkaoverprint/OGON-32/черный</x:v>
      </x:c>
      <x:c r="C1851" s="8" t="n">
        <x:f>'Данные'!G1851</x:f>
        <x:v>0</x:v>
      </x:c>
      <x:c r="D1851" s="15" t="n">
        <x:f>C1851/SUM($C$5:$C$2477)</x:f>
        <x:v>0</x:v>
      </x:c>
      <x:c r="E1851" s="15" t="n">
        <x:f>SUM($D$5:D1851)</x:f>
        <x:v>1.0000000000000036</x:v>
      </x:c>
      <x:c r="F1851" s="1" t="str">
        <x:f>IF(C1851&lt;=0,"C",IF(E1851-D1851&lt;'Дашборд'!$C$49,"A",IF(E1851-D1851&lt;'Дашборд'!$C$50,"B","C")))</x:f>
        <x:v>C</x:v>
      </x:c>
      <x:c r="G1851" s="8" t="n">
        <x:f>'Данные'!F1851</x:f>
        <x:v>0</x:v>
      </x:c>
      <x:c r="H1851" s="8" t="n">
        <x:f>SUM('Данные'!H1851:I1851)</x:f>
        <x:v>0</x:v>
      </x:c>
      <x:c r="I1851" s="16" t="str">
        <x:f>IF(H1851&gt;0,G1851/H1851,"n.a.")</x:f>
        <x:v>n.a.</x:v>
      </x:c>
      <x:c r="J1851" s="10" t="n">
        <x:f>IF('Данные'!E1851&gt;0,G1851/'Данные'!E1851,"n.a.")</x:f>
        <x:v>0</x:v>
      </x:c>
      <x:c r="K1851" s="1" t="str">
        <x:f>IF(G1851&gt;='Дашборд'!$C$51,"X","Z")</x:f>
        <x:v>Z</x:v>
      </x:c>
      <x:c r="L1851" s="1" t="str">
        <x:f>IF(H1851=0,IF(G1851&gt;0,"Нет остатка","Нет спроса"),IF(I1851&gt;='Дашборд'!$C$52,"Быстрый","Медленный"))</x:f>
        <x:v>Нет спроса</x:v>
      </x:c>
      <x:c r="M1851" s="1" t="str">
        <x:f>IF('Данные'!E1851&lt;'Дашборд'!$C$53,"Мало трафика",IF(J1851&lt;'Дашборд'!$C$9*'Дашборд'!$C$54,"Да","Нет"))</x:f>
        <x:v>Мало трафика</x:v>
      </x:c>
      <x:c r="N1851" s="1" t="str">
        <x:f>IF(AND('Данные'!D1851&gt;='Дашборд'!$C$55,D1851&lt;'Дашборд'!$C$56,'Данные'!E1851&gt;='Дашборд'!$C$53,'Данные'!L1851&lt;&gt;"Да"),"Да","Нет")</x:f>
        <x:v>Нет</x:v>
      </x:c>
      <x:c r="O1851" s="1" t="str">
        <x:f>'Данные'!L1851</x:f>
        <x:v>Нет</x:v>
      </x:c>
    </x:row>
    <x:row r="1852">
      <x:c r="A1852" s="1" t="str">
        <x:f>'Данные'!A1852</x:f>
        <x:v>184479836</x:v>
      </x:c>
      <x:c r="B1852" s="1" t="str">
        <x:f>'Данные'!B1852</x:f>
        <x:v>futbolkaoverprint/OGON-32/белый</x:v>
      </x:c>
      <x:c r="C1852" s="8" t="n">
        <x:f>'Данные'!G1852</x:f>
        <x:v>0</x:v>
      </x:c>
      <x:c r="D1852" s="15" t="n">
        <x:f>C1852/SUM($C$5:$C$2477)</x:f>
        <x:v>0</x:v>
      </x:c>
      <x:c r="E1852" s="15" t="n">
        <x:f>SUM($D$5:D1852)</x:f>
        <x:v>1.0000000000000036</x:v>
      </x:c>
      <x:c r="F1852" s="1" t="str">
        <x:f>IF(C1852&lt;=0,"C",IF(E1852-D1852&lt;'Дашборд'!$C$49,"A",IF(E1852-D1852&lt;'Дашборд'!$C$50,"B","C")))</x:f>
        <x:v>C</x:v>
      </x:c>
      <x:c r="G1852" s="8" t="n">
        <x:f>'Данные'!F1852</x:f>
        <x:v>0</x:v>
      </x:c>
      <x:c r="H1852" s="8" t="n">
        <x:f>SUM('Данные'!H1852:I1852)</x:f>
        <x:v>0</x:v>
      </x:c>
      <x:c r="I1852" s="16" t="str">
        <x:f>IF(H1852&gt;0,G1852/H1852,"n.a.")</x:f>
        <x:v>n.a.</x:v>
      </x:c>
      <x:c r="J1852" s="10" t="n">
        <x:f>IF('Данные'!E1852&gt;0,G1852/'Данные'!E1852,"n.a.")</x:f>
        <x:v>0</x:v>
      </x:c>
      <x:c r="K1852" s="1" t="str">
        <x:f>IF(G1852&gt;='Дашборд'!$C$51,"X","Z")</x:f>
        <x:v>Z</x:v>
      </x:c>
      <x:c r="L1852" s="1" t="str">
        <x:f>IF(H1852=0,IF(G1852&gt;0,"Нет остатка","Нет спроса"),IF(I1852&gt;='Дашборд'!$C$52,"Быстрый","Медленный"))</x:f>
        <x:v>Нет спроса</x:v>
      </x:c>
      <x:c r="M1852" s="1" t="str">
        <x:f>IF('Данные'!E1852&lt;'Дашборд'!$C$53,"Мало трафика",IF(J1852&lt;'Дашборд'!$C$9*'Дашборд'!$C$54,"Да","Нет"))</x:f>
        <x:v>Мало трафика</x:v>
      </x:c>
      <x:c r="N1852" s="1" t="str">
        <x:f>IF(AND('Данные'!D1852&gt;='Дашборд'!$C$55,D1852&lt;'Дашборд'!$C$56,'Данные'!E1852&gt;='Дашборд'!$C$53,'Данные'!L1852&lt;&gt;"Да"),"Да","Нет")</x:f>
        <x:v>Нет</x:v>
      </x:c>
      <x:c r="O1852" s="1" t="str">
        <x:f>'Данные'!L1852</x:f>
        <x:v>Нет</x:v>
      </x:c>
    </x:row>
    <x:row r="1853">
      <x:c r="A1853" s="1" t="str">
        <x:f>'Данные'!A1853</x:f>
        <x:v>184479845</x:v>
      </x:c>
      <x:c r="B1853" s="1" t="str">
        <x:f>'Данные'!B1853</x:f>
        <x:v>futbolkaoverprint/UTKA-26/черный</x:v>
      </x:c>
      <x:c r="C1853" s="8" t="n">
        <x:f>'Данные'!G1853</x:f>
        <x:v>0</x:v>
      </x:c>
      <x:c r="D1853" s="15" t="n">
        <x:f>C1853/SUM($C$5:$C$2477)</x:f>
        <x:v>0</x:v>
      </x:c>
      <x:c r="E1853" s="15" t="n">
        <x:f>SUM($D$5:D1853)</x:f>
        <x:v>1.0000000000000036</x:v>
      </x:c>
      <x:c r="F1853" s="1" t="str">
        <x:f>IF(C1853&lt;=0,"C",IF(E1853-D1853&lt;'Дашборд'!$C$49,"A",IF(E1853-D1853&lt;'Дашборд'!$C$50,"B","C")))</x:f>
        <x:v>C</x:v>
      </x:c>
      <x:c r="G1853" s="8" t="n">
        <x:f>'Данные'!F1853</x:f>
        <x:v>0</x:v>
      </x:c>
      <x:c r="H1853" s="8" t="n">
        <x:f>SUM('Данные'!H1853:I1853)</x:f>
        <x:v>0</x:v>
      </x:c>
      <x:c r="I1853" s="16" t="str">
        <x:f>IF(H1853&gt;0,G1853/H1853,"n.a.")</x:f>
        <x:v>n.a.</x:v>
      </x:c>
      <x:c r="J1853" s="10" t="n">
        <x:f>IF('Данные'!E1853&gt;0,G1853/'Данные'!E1853,"n.a.")</x:f>
        <x:v>0</x:v>
      </x:c>
      <x:c r="K1853" s="1" t="str">
        <x:f>IF(G1853&gt;='Дашборд'!$C$51,"X","Z")</x:f>
        <x:v>Z</x:v>
      </x:c>
      <x:c r="L1853" s="1" t="str">
        <x:f>IF(H1853=0,IF(G1853&gt;0,"Нет остатка","Нет спроса"),IF(I1853&gt;='Дашборд'!$C$52,"Быстрый","Медленный"))</x:f>
        <x:v>Нет спроса</x:v>
      </x:c>
      <x:c r="M1853" s="1" t="str">
        <x:f>IF('Данные'!E1853&lt;'Дашборд'!$C$53,"Мало трафика",IF(J1853&lt;'Дашборд'!$C$9*'Дашборд'!$C$54,"Да","Нет"))</x:f>
        <x:v>Мало трафика</x:v>
      </x:c>
      <x:c r="N1853" s="1" t="str">
        <x:f>IF(AND('Данные'!D1853&gt;='Дашборд'!$C$55,D1853&lt;'Дашборд'!$C$56,'Данные'!E1853&gt;='Дашборд'!$C$53,'Данные'!L1853&lt;&gt;"Да"),"Да","Нет")</x:f>
        <x:v>Нет</x:v>
      </x:c>
      <x:c r="O1853" s="1" t="str">
        <x:f>'Данные'!L1853</x:f>
        <x:v>Нет</x:v>
      </x:c>
    </x:row>
    <x:row r="1854">
      <x:c r="A1854" s="1" t="str">
        <x:f>'Данные'!A1854</x:f>
        <x:v>184479846</x:v>
      </x:c>
      <x:c r="B1854" s="1" t="str">
        <x:f>'Данные'!B1854</x:f>
        <x:v>futbolkaoverprint/GLAZA-27/черный</x:v>
      </x:c>
      <x:c r="C1854" s="8" t="n">
        <x:f>'Данные'!G1854</x:f>
        <x:v>0</x:v>
      </x:c>
      <x:c r="D1854" s="15" t="n">
        <x:f>C1854/SUM($C$5:$C$2477)</x:f>
        <x:v>0</x:v>
      </x:c>
      <x:c r="E1854" s="15" t="n">
        <x:f>SUM($D$5:D1854)</x:f>
        <x:v>1.0000000000000036</x:v>
      </x:c>
      <x:c r="F1854" s="1" t="str">
        <x:f>IF(C1854&lt;=0,"C",IF(E1854-D1854&lt;'Дашборд'!$C$49,"A",IF(E1854-D1854&lt;'Дашборд'!$C$50,"B","C")))</x:f>
        <x:v>C</x:v>
      </x:c>
      <x:c r="G1854" s="8" t="n">
        <x:f>'Данные'!F1854</x:f>
        <x:v>0</x:v>
      </x:c>
      <x:c r="H1854" s="8" t="n">
        <x:f>SUM('Данные'!H1854:I1854)</x:f>
        <x:v>0</x:v>
      </x:c>
      <x:c r="I1854" s="16" t="str">
        <x:f>IF(H1854&gt;0,G1854/H1854,"n.a.")</x:f>
        <x:v>n.a.</x:v>
      </x:c>
      <x:c r="J1854" s="10" t="n">
        <x:f>IF('Данные'!E1854&gt;0,G1854/'Данные'!E1854,"n.a.")</x:f>
        <x:v>0</x:v>
      </x:c>
      <x:c r="K1854" s="1" t="str">
        <x:f>IF(G1854&gt;='Дашборд'!$C$51,"X","Z")</x:f>
        <x:v>Z</x:v>
      </x:c>
      <x:c r="L1854" s="1" t="str">
        <x:f>IF(H1854=0,IF(G1854&gt;0,"Нет остатка","Нет спроса"),IF(I1854&gt;='Дашборд'!$C$52,"Быстрый","Медленный"))</x:f>
        <x:v>Нет спроса</x:v>
      </x:c>
      <x:c r="M1854" s="1" t="str">
        <x:f>IF('Данные'!E1854&lt;'Дашборд'!$C$53,"Мало трафика",IF(J1854&lt;'Дашборд'!$C$9*'Дашборд'!$C$54,"Да","Нет"))</x:f>
        <x:v>Мало трафика</x:v>
      </x:c>
      <x:c r="N1854" s="1" t="str">
        <x:f>IF(AND('Данные'!D1854&gt;='Дашборд'!$C$55,D1854&lt;'Дашборд'!$C$56,'Данные'!E1854&gt;='Дашборд'!$C$53,'Данные'!L1854&lt;&gt;"Да"),"Да","Нет")</x:f>
        <x:v>Нет</x:v>
      </x:c>
      <x:c r="O1854" s="1" t="str">
        <x:f>'Данные'!L1854</x:f>
        <x:v>Нет</x:v>
      </x:c>
    </x:row>
    <x:row r="1855">
      <x:c r="A1855" s="1" t="str">
        <x:f>'Данные'!A1855</x:f>
        <x:v>184479848</x:v>
      </x:c>
      <x:c r="B1855" s="1" t="str">
        <x:f>'Данные'!B1855</x:f>
        <x:v>futbolkaoverprint/HEART-25/белый</x:v>
      </x:c>
      <x:c r="C1855" s="8" t="n">
        <x:f>'Данные'!G1855</x:f>
        <x:v>0</x:v>
      </x:c>
      <x:c r="D1855" s="15" t="n">
        <x:f>C1855/SUM($C$5:$C$2477)</x:f>
        <x:v>0</x:v>
      </x:c>
      <x:c r="E1855" s="15" t="n">
        <x:f>SUM($D$5:D1855)</x:f>
        <x:v>1.0000000000000036</x:v>
      </x:c>
      <x:c r="F1855" s="1" t="str">
        <x:f>IF(C1855&lt;=0,"C",IF(E1855-D1855&lt;'Дашборд'!$C$49,"A",IF(E1855-D1855&lt;'Дашборд'!$C$50,"B","C")))</x:f>
        <x:v>C</x:v>
      </x:c>
      <x:c r="G1855" s="8" t="n">
        <x:f>'Данные'!F1855</x:f>
        <x:v>0</x:v>
      </x:c>
      <x:c r="H1855" s="8" t="n">
        <x:f>SUM('Данные'!H1855:I1855)</x:f>
        <x:v>0</x:v>
      </x:c>
      <x:c r="I1855" s="16" t="str">
        <x:f>IF(H1855&gt;0,G1855/H1855,"n.a.")</x:f>
        <x:v>n.a.</x:v>
      </x:c>
      <x:c r="J1855" s="10" t="n">
        <x:f>IF('Данные'!E1855&gt;0,G1855/'Данные'!E1855,"n.a.")</x:f>
        <x:v>0</x:v>
      </x:c>
      <x:c r="K1855" s="1" t="str">
        <x:f>IF(G1855&gt;='Дашборд'!$C$51,"X","Z")</x:f>
        <x:v>Z</x:v>
      </x:c>
      <x:c r="L1855" s="1" t="str">
        <x:f>IF(H1855=0,IF(G1855&gt;0,"Нет остатка","Нет спроса"),IF(I1855&gt;='Дашборд'!$C$52,"Быстрый","Медленный"))</x:f>
        <x:v>Нет спроса</x:v>
      </x:c>
      <x:c r="M1855" s="1" t="str">
        <x:f>IF('Данные'!E1855&lt;'Дашборд'!$C$53,"Мало трафика",IF(J1855&lt;'Дашборд'!$C$9*'Дашборд'!$C$54,"Да","Нет"))</x:f>
        <x:v>Мало трафика</x:v>
      </x:c>
      <x:c r="N1855" s="1" t="str">
        <x:f>IF(AND('Данные'!D1855&gt;='Дашборд'!$C$55,D1855&lt;'Дашборд'!$C$56,'Данные'!E1855&gt;='Дашборд'!$C$53,'Данные'!L1855&lt;&gt;"Да"),"Да","Нет")</x:f>
        <x:v>Нет</x:v>
      </x:c>
      <x:c r="O1855" s="1" t="str">
        <x:f>'Данные'!L1855</x:f>
        <x:v>Нет</x:v>
      </x:c>
    </x:row>
    <x:row r="1856">
      <x:c r="A1856" s="1" t="str">
        <x:f>'Данные'!A1856</x:f>
        <x:v>184479849</x:v>
      </x:c>
      <x:c r="B1856" s="1" t="str">
        <x:f>'Данные'!B1856</x:f>
        <x:v>futbolkaoverprint/DAVID-28/дымка</x:v>
      </x:c>
      <x:c r="C1856" s="8" t="n">
        <x:f>'Данные'!G1856</x:f>
        <x:v>0</x:v>
      </x:c>
      <x:c r="D1856" s="15" t="n">
        <x:f>C1856/SUM($C$5:$C$2477)</x:f>
        <x:v>0</x:v>
      </x:c>
      <x:c r="E1856" s="15" t="n">
        <x:f>SUM($D$5:D1856)</x:f>
        <x:v>1.0000000000000036</x:v>
      </x:c>
      <x:c r="F1856" s="1" t="str">
        <x:f>IF(C1856&lt;=0,"C",IF(E1856-D1856&lt;'Дашборд'!$C$49,"A",IF(E1856-D1856&lt;'Дашборд'!$C$50,"B","C")))</x:f>
        <x:v>C</x:v>
      </x:c>
      <x:c r="G1856" s="8" t="n">
        <x:f>'Данные'!F1856</x:f>
        <x:v>0</x:v>
      </x:c>
      <x:c r="H1856" s="8" t="n">
        <x:f>SUM('Данные'!H1856:I1856)</x:f>
        <x:v>0</x:v>
      </x:c>
      <x:c r="I1856" s="16" t="str">
        <x:f>IF(H1856&gt;0,G1856/H1856,"n.a.")</x:f>
        <x:v>n.a.</x:v>
      </x:c>
      <x:c r="J1856" s="10" t="n">
        <x:f>IF('Данные'!E1856&gt;0,G1856/'Данные'!E1856,"n.a.")</x:f>
        <x:v>0</x:v>
      </x:c>
      <x:c r="K1856" s="1" t="str">
        <x:f>IF(G1856&gt;='Дашборд'!$C$51,"X","Z")</x:f>
        <x:v>Z</x:v>
      </x:c>
      <x:c r="L1856" s="1" t="str">
        <x:f>IF(H1856=0,IF(G1856&gt;0,"Нет остатка","Нет спроса"),IF(I1856&gt;='Дашборд'!$C$52,"Быстрый","Медленный"))</x:f>
        <x:v>Нет спроса</x:v>
      </x:c>
      <x:c r="M1856" s="1" t="str">
        <x:f>IF('Данные'!E1856&lt;'Дашборд'!$C$53,"Мало трафика",IF(J1856&lt;'Дашборд'!$C$9*'Дашборд'!$C$54,"Да","Нет"))</x:f>
        <x:v>Мало трафика</x:v>
      </x:c>
      <x:c r="N1856" s="1" t="str">
        <x:f>IF(AND('Данные'!D1856&gt;='Дашборд'!$C$55,D1856&lt;'Дашборд'!$C$56,'Данные'!E1856&gt;='Дашборд'!$C$53,'Данные'!L1856&lt;&gt;"Да"),"Да","Нет")</x:f>
        <x:v>Нет</x:v>
      </x:c>
      <x:c r="O1856" s="1" t="str">
        <x:f>'Данные'!L1856</x:f>
        <x:v>Нет</x:v>
      </x:c>
    </x:row>
    <x:row r="1857">
      <x:c r="A1857" s="1" t="str">
        <x:f>'Данные'!A1857</x:f>
        <x:v>189114388</x:v>
      </x:c>
      <x:c r="B1857" s="1" t="str">
        <x:f>'Данные'!B1857</x:f>
        <x:v>WK1038-1518-2</x:v>
      </x:c>
      <x:c r="C1857" s="8" t="n">
        <x:f>'Данные'!G1857</x:f>
        <x:v>0</x:v>
      </x:c>
      <x:c r="D1857" s="15" t="n">
        <x:f>C1857/SUM($C$5:$C$2477)</x:f>
        <x:v>0</x:v>
      </x:c>
      <x:c r="E1857" s="15" t="n">
        <x:f>SUM($D$5:D1857)</x:f>
        <x:v>1.0000000000000036</x:v>
      </x:c>
      <x:c r="F1857" s="1" t="str">
        <x:f>IF(C1857&lt;=0,"C",IF(E1857-D1857&lt;'Дашборд'!$C$49,"A",IF(E1857-D1857&lt;'Дашборд'!$C$50,"B","C")))</x:f>
        <x:v>C</x:v>
      </x:c>
      <x:c r="G1857" s="8" t="n">
        <x:f>'Данные'!F1857</x:f>
        <x:v>1</x:v>
      </x:c>
      <x:c r="H1857" s="8" t="n">
        <x:f>SUM('Данные'!H1857:I1857)</x:f>
        <x:v>0</x:v>
      </x:c>
      <x:c r="I1857" s="16" t="str">
        <x:f>IF(H1857&gt;0,G1857/H1857,"n.a.")</x:f>
        <x:v>n.a.</x:v>
      </x:c>
      <x:c r="J1857" s="10" t="n">
        <x:f>IF('Данные'!E1857&gt;0,G1857/'Данные'!E1857,"n.a.")</x:f>
        <x:v>0.00398406374501992</x:v>
      </x:c>
      <x:c r="K1857" s="1" t="str">
        <x:f>IF(G1857&gt;='Дашборд'!$C$51,"X","Z")</x:f>
        <x:v>Z</x:v>
      </x:c>
      <x:c r="L1857" s="1" t="str">
        <x:f>IF(H1857=0,IF(G1857&gt;0,"Нет остатка","Нет спроса"),IF(I1857&gt;='Дашборд'!$C$52,"Быстрый","Медленный"))</x:f>
        <x:v>Нет остатка</x:v>
      </x:c>
      <x:c r="M1857" s="1" t="str">
        <x:f>IF('Данные'!E1857&lt;'Дашборд'!$C$53,"Мало трафика",IF(J1857&lt;'Дашборд'!$C$9*'Дашборд'!$C$54,"Да","Нет"))</x:f>
        <x:v>Мало трафика</x:v>
      </x:c>
      <x:c r="N1857" s="1" t="str">
        <x:f>IF(AND('Данные'!D1857&gt;='Дашборд'!$C$55,D1857&lt;'Дашборд'!$C$56,'Данные'!E1857&gt;='Дашборд'!$C$53,'Данные'!L1857&lt;&gt;"Да"),"Да","Нет")</x:f>
        <x:v>Нет</x:v>
      </x:c>
      <x:c r="O1857" s="1" t="str">
        <x:f>'Данные'!L1857</x:f>
        <x:v>Нет</x:v>
      </x:c>
    </x:row>
    <x:row r="1858">
      <x:c r="A1858" s="1" t="str">
        <x:f>'Данные'!A1858</x:f>
        <x:v>189114389</x:v>
      </x:c>
      <x:c r="B1858" s="1" t="str">
        <x:f>'Данные'!B1858</x:f>
        <x:v>AD573-2</x:v>
      </x:c>
      <x:c r="C1858" s="8" t="n">
        <x:f>'Данные'!G1858</x:f>
        <x:v>0</x:v>
      </x:c>
      <x:c r="D1858" s="15" t="n">
        <x:f>C1858/SUM($C$5:$C$2477)</x:f>
        <x:v>0</x:v>
      </x:c>
      <x:c r="E1858" s="15" t="n">
        <x:f>SUM($D$5:D1858)</x:f>
        <x:v>1.0000000000000036</x:v>
      </x:c>
      <x:c r="F1858" s="1" t="str">
        <x:f>IF(C1858&lt;=0,"C",IF(E1858-D1858&lt;'Дашборд'!$C$49,"A",IF(E1858-D1858&lt;'Дашборд'!$C$50,"B","C")))</x:f>
        <x:v>C</x:v>
      </x:c>
      <x:c r="G1858" s="8" t="n">
        <x:f>'Данные'!F1858</x:f>
        <x:v>0</x:v>
      </x:c>
      <x:c r="H1858" s="8" t="n">
        <x:f>SUM('Данные'!H1858:I1858)</x:f>
        <x:v>0</x:v>
      </x:c>
      <x:c r="I1858" s="16" t="str">
        <x:f>IF(H1858&gt;0,G1858/H1858,"n.a.")</x:f>
        <x:v>n.a.</x:v>
      </x:c>
      <x:c r="J1858" s="10" t="n">
        <x:f>IF('Данные'!E1858&gt;0,G1858/'Данные'!E1858,"n.a.")</x:f>
        <x:v>0</x:v>
      </x:c>
      <x:c r="K1858" s="1" t="str">
        <x:f>IF(G1858&gt;='Дашборд'!$C$51,"X","Z")</x:f>
        <x:v>Z</x:v>
      </x:c>
      <x:c r="L1858" s="1" t="str">
        <x:f>IF(H1858=0,IF(G1858&gt;0,"Нет остатка","Нет спроса"),IF(I1858&gt;='Дашборд'!$C$52,"Быстрый","Медленный"))</x:f>
        <x:v>Нет спроса</x:v>
      </x:c>
      <x:c r="M1858" s="1" t="str">
        <x:f>IF('Данные'!E1858&lt;'Дашборд'!$C$53,"Мало трафика",IF(J1858&lt;'Дашборд'!$C$9*'Дашборд'!$C$54,"Да","Нет"))</x:f>
        <x:v>Мало трафика</x:v>
      </x:c>
      <x:c r="N1858" s="1" t="str">
        <x:f>IF(AND('Данные'!D1858&gt;='Дашборд'!$C$55,D1858&lt;'Дашборд'!$C$56,'Данные'!E1858&gt;='Дашборд'!$C$53,'Данные'!L1858&lt;&gt;"Да"),"Да","Нет")</x:f>
        <x:v>Нет</x:v>
      </x:c>
      <x:c r="O1858" s="1" t="str">
        <x:f>'Данные'!L1858</x:f>
        <x:v>Нет</x:v>
      </x:c>
    </x:row>
    <x:row r="1859">
      <x:c r="A1859" s="1" t="str">
        <x:f>'Данные'!A1859</x:f>
        <x:v>189114390</x:v>
      </x:c>
      <x:c r="B1859" s="1" t="str">
        <x:f>'Данные'!B1859</x:f>
        <x:v>WK1038-1518-3</x:v>
      </x:c>
      <x:c r="C1859" s="8" t="n">
        <x:f>'Данные'!G1859</x:f>
        <x:v>0</x:v>
      </x:c>
      <x:c r="D1859" s="15" t="n">
        <x:f>C1859/SUM($C$5:$C$2477)</x:f>
        <x:v>0</x:v>
      </x:c>
      <x:c r="E1859" s="15" t="n">
        <x:f>SUM($D$5:D1859)</x:f>
        <x:v>1.0000000000000036</x:v>
      </x:c>
      <x:c r="F1859" s="1" t="str">
        <x:f>IF(C1859&lt;=0,"C",IF(E1859-D1859&lt;'Дашборд'!$C$49,"A",IF(E1859-D1859&lt;'Дашборд'!$C$50,"B","C")))</x:f>
        <x:v>C</x:v>
      </x:c>
      <x:c r="G1859" s="8" t="n">
        <x:f>'Данные'!F1859</x:f>
        <x:v>0</x:v>
      </x:c>
      <x:c r="H1859" s="8" t="n">
        <x:f>SUM('Данные'!H1859:I1859)</x:f>
        <x:v>0</x:v>
      </x:c>
      <x:c r="I1859" s="16" t="str">
        <x:f>IF(H1859&gt;0,G1859/H1859,"n.a.")</x:f>
        <x:v>n.a.</x:v>
      </x:c>
      <x:c r="J1859" s="10" t="n">
        <x:f>IF('Данные'!E1859&gt;0,G1859/'Данные'!E1859,"n.a.")</x:f>
        <x:v>0</x:v>
      </x:c>
      <x:c r="K1859" s="1" t="str">
        <x:f>IF(G1859&gt;='Дашборд'!$C$51,"X","Z")</x:f>
        <x:v>Z</x:v>
      </x:c>
      <x:c r="L1859" s="1" t="str">
        <x:f>IF(H1859=0,IF(G1859&gt;0,"Нет остатка","Нет спроса"),IF(I1859&gt;='Дашборд'!$C$52,"Быстрый","Медленный"))</x:f>
        <x:v>Нет спроса</x:v>
      </x:c>
      <x:c r="M1859" s="1" t="str">
        <x:f>IF('Данные'!E1859&lt;'Дашборд'!$C$53,"Мало трафика",IF(J1859&lt;'Дашборд'!$C$9*'Дашборд'!$C$54,"Да","Нет"))</x:f>
        <x:v>Мало трафика</x:v>
      </x:c>
      <x:c r="N1859" s="1" t="str">
        <x:f>IF(AND('Данные'!D1859&gt;='Дашборд'!$C$55,D1859&lt;'Дашборд'!$C$56,'Данные'!E1859&gt;='Дашборд'!$C$53,'Данные'!L1859&lt;&gt;"Да"),"Да","Нет")</x:f>
        <x:v>Нет</x:v>
      </x:c>
      <x:c r="O1859" s="1" t="str">
        <x:f>'Данные'!L1859</x:f>
        <x:v>Нет</x:v>
      </x:c>
    </x:row>
    <x:row r="1860">
      <x:c r="A1860" s="1" t="str">
        <x:f>'Данные'!A1860</x:f>
        <x:v>189114392</x:v>
      </x:c>
      <x:c r="B1860" s="1" t="str">
        <x:f>'Данные'!B1860</x:f>
        <x:v>WK1038-7654-6</x:v>
      </x:c>
      <x:c r="C1860" s="8" t="n">
        <x:f>'Данные'!G1860</x:f>
        <x:v>0</x:v>
      </x:c>
      <x:c r="D1860" s="15" t="n">
        <x:f>C1860/SUM($C$5:$C$2477)</x:f>
        <x:v>0</x:v>
      </x:c>
      <x:c r="E1860" s="15" t="n">
        <x:f>SUM($D$5:D1860)</x:f>
        <x:v>1.0000000000000036</x:v>
      </x:c>
      <x:c r="F1860" s="1" t="str">
        <x:f>IF(C1860&lt;=0,"C",IF(E1860-D1860&lt;'Дашборд'!$C$49,"A",IF(E1860-D1860&lt;'Дашборд'!$C$50,"B","C")))</x:f>
        <x:v>C</x:v>
      </x:c>
      <x:c r="G1860" s="8" t="n">
        <x:f>'Данные'!F1860</x:f>
        <x:v>0</x:v>
      </x:c>
      <x:c r="H1860" s="8" t="n">
        <x:f>SUM('Данные'!H1860:I1860)</x:f>
        <x:v>0</x:v>
      </x:c>
      <x:c r="I1860" s="16" t="str">
        <x:f>IF(H1860&gt;0,G1860/H1860,"n.a.")</x:f>
        <x:v>n.a.</x:v>
      </x:c>
      <x:c r="J1860" s="10" t="n">
        <x:f>IF('Данные'!E1860&gt;0,G1860/'Данные'!E1860,"n.a.")</x:f>
        <x:v>0</x:v>
      </x:c>
      <x:c r="K1860" s="1" t="str">
        <x:f>IF(G1860&gt;='Дашборд'!$C$51,"X","Z")</x:f>
        <x:v>Z</x:v>
      </x:c>
      <x:c r="L1860" s="1" t="str">
        <x:f>IF(H1860=0,IF(G1860&gt;0,"Нет остатка","Нет спроса"),IF(I1860&gt;='Дашборд'!$C$52,"Быстрый","Медленный"))</x:f>
        <x:v>Нет спроса</x:v>
      </x:c>
      <x:c r="M1860" s="1" t="str">
        <x:f>IF('Данные'!E1860&lt;'Дашборд'!$C$53,"Мало трафика",IF(J1860&lt;'Дашборд'!$C$9*'Дашборд'!$C$54,"Да","Нет"))</x:f>
        <x:v>Мало трафика</x:v>
      </x:c>
      <x:c r="N1860" s="1" t="str">
        <x:f>IF(AND('Данные'!D1860&gt;='Дашборд'!$C$55,D1860&lt;'Дашборд'!$C$56,'Данные'!E1860&gt;='Дашборд'!$C$53,'Данные'!L1860&lt;&gt;"Да"),"Да","Нет")</x:f>
        <x:v>Нет</x:v>
      </x:c>
      <x:c r="O1860" s="1" t="str">
        <x:f>'Данные'!L1860</x:f>
        <x:v>Нет</x:v>
      </x:c>
    </x:row>
    <x:row r="1861">
      <x:c r="A1861" s="1" t="str">
        <x:f>'Данные'!A1861</x:f>
        <x:v>189114394</x:v>
      </x:c>
      <x:c r="B1861" s="1" t="str">
        <x:f>'Данные'!B1861</x:f>
        <x:v>AB1076-52E-2</x:v>
      </x:c>
      <x:c r="C1861" s="8" t="n">
        <x:f>'Данные'!G1861</x:f>
        <x:v>0</x:v>
      </x:c>
      <x:c r="D1861" s="15" t="n">
        <x:f>C1861/SUM($C$5:$C$2477)</x:f>
        <x:v>0</x:v>
      </x:c>
      <x:c r="E1861" s="15" t="n">
        <x:f>SUM($D$5:D1861)</x:f>
        <x:v>1.0000000000000036</x:v>
      </x:c>
      <x:c r="F1861" s="1" t="str">
        <x:f>IF(C1861&lt;=0,"C",IF(E1861-D1861&lt;'Дашборд'!$C$49,"A",IF(E1861-D1861&lt;'Дашборд'!$C$50,"B","C")))</x:f>
        <x:v>C</x:v>
      </x:c>
      <x:c r="G1861" s="8" t="n">
        <x:f>'Данные'!F1861</x:f>
        <x:v>0</x:v>
      </x:c>
      <x:c r="H1861" s="8" t="n">
        <x:f>SUM('Данные'!H1861:I1861)</x:f>
        <x:v>0</x:v>
      </x:c>
      <x:c r="I1861" s="16" t="str">
        <x:f>IF(H1861&gt;0,G1861/H1861,"n.a.")</x:f>
        <x:v>n.a.</x:v>
      </x:c>
      <x:c r="J1861" s="10" t="n">
        <x:f>IF('Данные'!E1861&gt;0,G1861/'Данные'!E1861,"n.a.")</x:f>
        <x:v>0</x:v>
      </x:c>
      <x:c r="K1861" s="1" t="str">
        <x:f>IF(G1861&gt;='Дашборд'!$C$51,"X","Z")</x:f>
        <x:v>Z</x:v>
      </x:c>
      <x:c r="L1861" s="1" t="str">
        <x:f>IF(H1861=0,IF(G1861&gt;0,"Нет остатка","Нет спроса"),IF(I1861&gt;='Дашборд'!$C$52,"Быстрый","Медленный"))</x:f>
        <x:v>Нет спроса</x:v>
      </x:c>
      <x:c r="M1861" s="1" t="str">
        <x:f>IF('Данные'!E1861&lt;'Дашборд'!$C$53,"Мало трафика",IF(J1861&lt;'Дашборд'!$C$9*'Дашборд'!$C$54,"Да","Нет"))</x:f>
        <x:v>Мало трафика</x:v>
      </x:c>
      <x:c r="N1861" s="1" t="str">
        <x:f>IF(AND('Данные'!D1861&gt;='Дашборд'!$C$55,D1861&lt;'Дашборд'!$C$56,'Данные'!E1861&gt;='Дашборд'!$C$53,'Данные'!L1861&lt;&gt;"Да"),"Да","Нет")</x:f>
        <x:v>Нет</x:v>
      </x:c>
      <x:c r="O1861" s="1" t="str">
        <x:f>'Данные'!L1861</x:f>
        <x:v>Нет</x:v>
      </x:c>
    </x:row>
    <x:row r="1862">
      <x:c r="A1862" s="1" t="str">
        <x:f>'Данные'!A1862</x:f>
        <x:v>189114395</x:v>
      </x:c>
      <x:c r="B1862" s="1" t="str">
        <x:f>'Данные'!B1862</x:f>
        <x:v>WK1038-7654-7</x:v>
      </x:c>
      <x:c r="C1862" s="8" t="n">
        <x:f>'Данные'!G1862</x:f>
        <x:v>0</x:v>
      </x:c>
      <x:c r="D1862" s="15" t="n">
        <x:f>C1862/SUM($C$5:$C$2477)</x:f>
        <x:v>0</x:v>
      </x:c>
      <x:c r="E1862" s="15" t="n">
        <x:f>SUM($D$5:D1862)</x:f>
        <x:v>1.0000000000000036</x:v>
      </x:c>
      <x:c r="F1862" s="1" t="str">
        <x:f>IF(C1862&lt;=0,"C",IF(E1862-D1862&lt;'Дашборд'!$C$49,"A",IF(E1862-D1862&lt;'Дашборд'!$C$50,"B","C")))</x:f>
        <x:v>C</x:v>
      </x:c>
      <x:c r="G1862" s="8" t="n">
        <x:f>'Данные'!F1862</x:f>
        <x:v>2</x:v>
      </x:c>
      <x:c r="H1862" s="8" t="n">
        <x:f>SUM('Данные'!H1862:I1862)</x:f>
        <x:v>0</x:v>
      </x:c>
      <x:c r="I1862" s="16" t="str">
        <x:f>IF(H1862&gt;0,G1862/H1862,"n.a.")</x:f>
        <x:v>n.a.</x:v>
      </x:c>
      <x:c r="J1862" s="10" t="n">
        <x:f>IF('Данные'!E1862&gt;0,G1862/'Данные'!E1862,"n.a.")</x:f>
        <x:v>0.00554016620498615</x:v>
      </x:c>
      <x:c r="K1862" s="1" t="str">
        <x:f>IF(G1862&gt;='Дашборд'!$C$51,"X","Z")</x:f>
        <x:v>Z</x:v>
      </x:c>
      <x:c r="L1862" s="1" t="str">
        <x:f>IF(H1862=0,IF(G1862&gt;0,"Нет остатка","Нет спроса"),IF(I1862&gt;='Дашборд'!$C$52,"Быстрый","Медленный"))</x:f>
        <x:v>Нет остатка</x:v>
      </x:c>
      <x:c r="M1862" s="1" t="str">
        <x:f>IF('Данные'!E1862&lt;'Дашборд'!$C$53,"Мало трафика",IF(J1862&lt;'Дашборд'!$C$9*'Дашборд'!$C$54,"Да","Нет"))</x:f>
        <x:v>Мало трафика</x:v>
      </x:c>
      <x:c r="N1862" s="1" t="str">
        <x:f>IF(AND('Данные'!D1862&gt;='Дашборд'!$C$55,D1862&lt;'Дашборд'!$C$56,'Данные'!E1862&gt;='Дашборд'!$C$53,'Данные'!L1862&lt;&gt;"Да"),"Да","Нет")</x:f>
        <x:v>Нет</x:v>
      </x:c>
      <x:c r="O1862" s="1" t="str">
        <x:f>'Данные'!L1862</x:f>
        <x:v>Нет</x:v>
      </x:c>
    </x:row>
    <x:row r="1863">
      <x:c r="A1863" s="1" t="str">
        <x:f>'Данные'!A1863</x:f>
        <x:v>189114397</x:v>
      </x:c>
      <x:c r="B1863" s="1" t="str">
        <x:f>'Данные'!B1863</x:f>
        <x:v>MC/WK1054-7654-8</x:v>
      </x:c>
      <x:c r="C1863" s="8" t="n">
        <x:f>'Данные'!G1863</x:f>
        <x:v>0</x:v>
      </x:c>
      <x:c r="D1863" s="15" t="n">
        <x:f>C1863/SUM($C$5:$C$2477)</x:f>
        <x:v>0</x:v>
      </x:c>
      <x:c r="E1863" s="15" t="n">
        <x:f>SUM($D$5:D1863)</x:f>
        <x:v>1.0000000000000036</x:v>
      </x:c>
      <x:c r="F1863" s="1" t="str">
        <x:f>IF(C1863&lt;=0,"C",IF(E1863-D1863&lt;'Дашборд'!$C$49,"A",IF(E1863-D1863&lt;'Дашборд'!$C$50,"B","C")))</x:f>
        <x:v>C</x:v>
      </x:c>
      <x:c r="G1863" s="8" t="n">
        <x:f>'Данные'!F1863</x:f>
        <x:v>0</x:v>
      </x:c>
      <x:c r="H1863" s="8" t="n">
        <x:f>SUM('Данные'!H1863:I1863)</x:f>
        <x:v>0</x:v>
      </x:c>
      <x:c r="I1863" s="16" t="str">
        <x:f>IF(H1863&gt;0,G1863/H1863,"n.a.")</x:f>
        <x:v>n.a.</x:v>
      </x:c>
      <x:c r="J1863" s="10" t="n">
        <x:f>IF('Данные'!E1863&gt;0,G1863/'Данные'!E1863,"n.a.")</x:f>
        <x:v>0</x:v>
      </x:c>
      <x:c r="K1863" s="1" t="str">
        <x:f>IF(G1863&gt;='Дашборд'!$C$51,"X","Z")</x:f>
        <x:v>Z</x:v>
      </x:c>
      <x:c r="L1863" s="1" t="str">
        <x:f>IF(H1863=0,IF(G1863&gt;0,"Нет остатка","Нет спроса"),IF(I1863&gt;='Дашборд'!$C$52,"Быстрый","Медленный"))</x:f>
        <x:v>Нет спроса</x:v>
      </x:c>
      <x:c r="M1863" s="1" t="str">
        <x:f>IF('Данные'!E1863&lt;'Дашборд'!$C$53,"Мало трафика",IF(J1863&lt;'Дашборд'!$C$9*'Дашборд'!$C$54,"Да","Нет"))</x:f>
        <x:v>Мало трафика</x:v>
      </x:c>
      <x:c r="N1863" s="1" t="str">
        <x:f>IF(AND('Данные'!D1863&gt;='Дашборд'!$C$55,D1863&lt;'Дашборд'!$C$56,'Данные'!E1863&gt;='Дашборд'!$C$53,'Данные'!L1863&lt;&gt;"Да"),"Да","Нет")</x:f>
        <x:v>Нет</x:v>
      </x:c>
      <x:c r="O1863" s="1" t="str">
        <x:f>'Данные'!L1863</x:f>
        <x:v>Нет</x:v>
      </x:c>
    </x:row>
    <x:row r="1864">
      <x:c r="A1864" s="1" t="str">
        <x:f>'Данные'!A1864</x:f>
        <x:v>189114399</x:v>
      </x:c>
      <x:c r="B1864" s="1" t="str">
        <x:f>'Данные'!B1864</x:f>
        <x:v>WK1054-1518-11</x:v>
      </x:c>
      <x:c r="C1864" s="8" t="n">
        <x:f>'Данные'!G1864</x:f>
        <x:v>0</x:v>
      </x:c>
      <x:c r="D1864" s="15" t="n">
        <x:f>C1864/SUM($C$5:$C$2477)</x:f>
        <x:v>0</x:v>
      </x:c>
      <x:c r="E1864" s="15" t="n">
        <x:f>SUM($D$5:D1864)</x:f>
        <x:v>1.0000000000000036</x:v>
      </x:c>
      <x:c r="F1864" s="1" t="str">
        <x:f>IF(C1864&lt;=0,"C",IF(E1864-D1864&lt;'Дашборд'!$C$49,"A",IF(E1864-D1864&lt;'Дашборд'!$C$50,"B","C")))</x:f>
        <x:v>C</x:v>
      </x:c>
      <x:c r="G1864" s="8" t="n">
        <x:f>'Данные'!F1864</x:f>
        <x:v>0</x:v>
      </x:c>
      <x:c r="H1864" s="8" t="n">
        <x:f>SUM('Данные'!H1864:I1864)</x:f>
        <x:v>0</x:v>
      </x:c>
      <x:c r="I1864" s="16" t="str">
        <x:f>IF(H1864&gt;0,G1864/H1864,"n.a.")</x:f>
        <x:v>n.a.</x:v>
      </x:c>
      <x:c r="J1864" s="10" t="n">
        <x:f>IF('Данные'!E1864&gt;0,G1864/'Данные'!E1864,"n.a.")</x:f>
        <x:v>0</x:v>
      </x:c>
      <x:c r="K1864" s="1" t="str">
        <x:f>IF(G1864&gt;='Дашборд'!$C$51,"X","Z")</x:f>
        <x:v>Z</x:v>
      </x:c>
      <x:c r="L1864" s="1" t="str">
        <x:f>IF(H1864=0,IF(G1864&gt;0,"Нет остатка","Нет спроса"),IF(I1864&gt;='Дашборд'!$C$52,"Быстрый","Медленный"))</x:f>
        <x:v>Нет спроса</x:v>
      </x:c>
      <x:c r="M1864" s="1" t="str">
        <x:f>IF('Данные'!E1864&lt;'Дашборд'!$C$53,"Мало трафика",IF(J1864&lt;'Дашборд'!$C$9*'Дашборд'!$C$54,"Да","Нет"))</x:f>
        <x:v>Мало трафика</x:v>
      </x:c>
      <x:c r="N1864" s="1" t="str">
        <x:f>IF(AND('Данные'!D1864&gt;='Дашборд'!$C$55,D1864&lt;'Дашборд'!$C$56,'Данные'!E1864&gt;='Дашборд'!$C$53,'Данные'!L1864&lt;&gt;"Да"),"Да","Нет")</x:f>
        <x:v>Нет</x:v>
      </x:c>
      <x:c r="O1864" s="1" t="str">
        <x:f>'Данные'!L1864</x:f>
        <x:v>Нет</x:v>
      </x:c>
    </x:row>
    <x:row r="1865">
      <x:c r="A1865" s="1" t="str">
        <x:f>'Данные'!A1865</x:f>
        <x:v>189114401</x:v>
      </x:c>
      <x:c r="B1865" s="1" t="str">
        <x:f>'Данные'!B1865</x:f>
        <x:v>WK688-7654-7</x:v>
      </x:c>
      <x:c r="C1865" s="8" t="n">
        <x:f>'Данные'!G1865</x:f>
        <x:v>0</x:v>
      </x:c>
      <x:c r="D1865" s="15" t="n">
        <x:f>C1865/SUM($C$5:$C$2477)</x:f>
        <x:v>0</x:v>
      </x:c>
      <x:c r="E1865" s="15" t="n">
        <x:f>SUM($D$5:D1865)</x:f>
        <x:v>1.0000000000000036</x:v>
      </x:c>
      <x:c r="F1865" s="1" t="str">
        <x:f>IF(C1865&lt;=0,"C",IF(E1865-D1865&lt;'Дашборд'!$C$49,"A",IF(E1865-D1865&lt;'Дашборд'!$C$50,"B","C")))</x:f>
        <x:v>C</x:v>
      </x:c>
      <x:c r="G1865" s="8" t="n">
        <x:f>'Данные'!F1865</x:f>
        <x:v>0</x:v>
      </x:c>
      <x:c r="H1865" s="8" t="n">
        <x:f>SUM('Данные'!H1865:I1865)</x:f>
        <x:v>0</x:v>
      </x:c>
      <x:c r="I1865" s="16" t="str">
        <x:f>IF(H1865&gt;0,G1865/H1865,"n.a.")</x:f>
        <x:v>n.a.</x:v>
      </x:c>
      <x:c r="J1865" s="10" t="n">
        <x:f>IF('Данные'!E1865&gt;0,G1865/'Данные'!E1865,"n.a.")</x:f>
        <x:v>0</x:v>
      </x:c>
      <x:c r="K1865" s="1" t="str">
        <x:f>IF(G1865&gt;='Дашборд'!$C$51,"X","Z")</x:f>
        <x:v>Z</x:v>
      </x:c>
      <x:c r="L1865" s="1" t="str">
        <x:f>IF(H1865=0,IF(G1865&gt;0,"Нет остатка","Нет спроса"),IF(I1865&gt;='Дашборд'!$C$52,"Быстрый","Медленный"))</x:f>
        <x:v>Нет спроса</x:v>
      </x:c>
      <x:c r="M1865" s="1" t="str">
        <x:f>IF('Данные'!E1865&lt;'Дашборд'!$C$53,"Мало трафика",IF(J1865&lt;'Дашборд'!$C$9*'Дашборд'!$C$54,"Да","Нет"))</x:f>
        <x:v>Мало трафика</x:v>
      </x:c>
      <x:c r="N1865" s="1" t="str">
        <x:f>IF(AND('Данные'!D1865&gt;='Дашборд'!$C$55,D1865&lt;'Дашборд'!$C$56,'Данные'!E1865&gt;='Дашборд'!$C$53,'Данные'!L1865&lt;&gt;"Да"),"Да","Нет")</x:f>
        <x:v>Нет</x:v>
      </x:c>
      <x:c r="O1865" s="1" t="str">
        <x:f>'Данные'!L1865</x:f>
        <x:v>Нет</x:v>
      </x:c>
    </x:row>
    <x:row r="1866">
      <x:c r="A1866" s="1" t="str">
        <x:f>'Данные'!A1866</x:f>
        <x:v>189114403</x:v>
      </x:c>
      <x:c r="B1866" s="1" t="str">
        <x:f>'Данные'!B1866</x:f>
        <x:v>AB572-52E-6</x:v>
      </x:c>
      <x:c r="C1866" s="8" t="n">
        <x:f>'Данные'!G1866</x:f>
        <x:v>0</x:v>
      </x:c>
      <x:c r="D1866" s="15" t="n">
        <x:f>C1866/SUM($C$5:$C$2477)</x:f>
        <x:v>0</x:v>
      </x:c>
      <x:c r="E1866" s="15" t="n">
        <x:f>SUM($D$5:D1866)</x:f>
        <x:v>1.0000000000000036</x:v>
      </x:c>
      <x:c r="F1866" s="1" t="str">
        <x:f>IF(C1866&lt;=0,"C",IF(E1866-D1866&lt;'Дашборд'!$C$49,"A",IF(E1866-D1866&lt;'Дашборд'!$C$50,"B","C")))</x:f>
        <x:v>C</x:v>
      </x:c>
      <x:c r="G1866" s="8" t="n">
        <x:f>'Данные'!F1866</x:f>
        <x:v>0</x:v>
      </x:c>
      <x:c r="H1866" s="8" t="n">
        <x:f>SUM('Данные'!H1866:I1866)</x:f>
        <x:v>0</x:v>
      </x:c>
      <x:c r="I1866" s="16" t="str">
        <x:f>IF(H1866&gt;0,G1866/H1866,"n.a.")</x:f>
        <x:v>n.a.</x:v>
      </x:c>
      <x:c r="J1866" s="10" t="n">
        <x:f>IF('Данные'!E1866&gt;0,G1866/'Данные'!E1866,"n.a.")</x:f>
        <x:v>0</x:v>
      </x:c>
      <x:c r="K1866" s="1" t="str">
        <x:f>IF(G1866&gt;='Дашборд'!$C$51,"X","Z")</x:f>
        <x:v>Z</x:v>
      </x:c>
      <x:c r="L1866" s="1" t="str">
        <x:f>IF(H1866=0,IF(G1866&gt;0,"Нет остатка","Нет спроса"),IF(I1866&gt;='Дашборд'!$C$52,"Быстрый","Медленный"))</x:f>
        <x:v>Нет спроса</x:v>
      </x:c>
      <x:c r="M1866" s="1" t="str">
        <x:f>IF('Данные'!E1866&lt;'Дашборд'!$C$53,"Мало трафика",IF(J1866&lt;'Дашборд'!$C$9*'Дашборд'!$C$54,"Да","Нет"))</x:f>
        <x:v>Мало трафика</x:v>
      </x:c>
      <x:c r="N1866" s="1" t="str">
        <x:f>IF(AND('Данные'!D1866&gt;='Дашборд'!$C$55,D1866&lt;'Дашборд'!$C$56,'Данные'!E1866&gt;='Дашборд'!$C$53,'Данные'!L1866&lt;&gt;"Да"),"Да","Нет")</x:f>
        <x:v>Нет</x:v>
      </x:c>
      <x:c r="O1866" s="1" t="str">
        <x:f>'Данные'!L1866</x:f>
        <x:v>Нет</x:v>
      </x:c>
    </x:row>
    <x:row r="1867">
      <x:c r="A1867" s="1" t="str">
        <x:f>'Данные'!A1867</x:f>
        <x:v>189114406</x:v>
      </x:c>
      <x:c r="B1867" s="1" t="str">
        <x:f>'Данные'!B1867</x:f>
        <x:v>WV1037-7654-6</x:v>
      </x:c>
      <x:c r="C1867" s="8" t="n">
        <x:f>'Данные'!G1867</x:f>
        <x:v>0</x:v>
      </x:c>
      <x:c r="D1867" s="15" t="n">
        <x:f>C1867/SUM($C$5:$C$2477)</x:f>
        <x:v>0</x:v>
      </x:c>
      <x:c r="E1867" s="15" t="n">
        <x:f>SUM($D$5:D1867)</x:f>
        <x:v>1.0000000000000036</x:v>
      </x:c>
      <x:c r="F1867" s="1" t="str">
        <x:f>IF(C1867&lt;=0,"C",IF(E1867-D1867&lt;'Дашборд'!$C$49,"A",IF(E1867-D1867&lt;'Дашборд'!$C$50,"B","C")))</x:f>
        <x:v>C</x:v>
      </x:c>
      <x:c r="G1867" s="8" t="n">
        <x:f>'Данные'!F1867</x:f>
        <x:v>0</x:v>
      </x:c>
      <x:c r="H1867" s="8" t="n">
        <x:f>SUM('Данные'!H1867:I1867)</x:f>
        <x:v>0</x:v>
      </x:c>
      <x:c r="I1867" s="16" t="str">
        <x:f>IF(H1867&gt;0,G1867/H1867,"n.a.")</x:f>
        <x:v>n.a.</x:v>
      </x:c>
      <x:c r="J1867" s="10" t="n">
        <x:f>IF('Данные'!E1867&gt;0,G1867/'Данные'!E1867,"n.a.")</x:f>
        <x:v>0</x:v>
      </x:c>
      <x:c r="K1867" s="1" t="str">
        <x:f>IF(G1867&gt;='Дашборд'!$C$51,"X","Z")</x:f>
        <x:v>Z</x:v>
      </x:c>
      <x:c r="L1867" s="1" t="str">
        <x:f>IF(H1867=0,IF(G1867&gt;0,"Нет остатка","Нет спроса"),IF(I1867&gt;='Дашборд'!$C$52,"Быстрый","Медленный"))</x:f>
        <x:v>Нет спроса</x:v>
      </x:c>
      <x:c r="M1867" s="1" t="str">
        <x:f>IF('Данные'!E1867&lt;'Дашборд'!$C$53,"Мало трафика",IF(J1867&lt;'Дашборд'!$C$9*'Дашборд'!$C$54,"Да","Нет"))</x:f>
        <x:v>Мало трафика</x:v>
      </x:c>
      <x:c r="N1867" s="1" t="str">
        <x:f>IF(AND('Данные'!D1867&gt;='Дашборд'!$C$55,D1867&lt;'Дашборд'!$C$56,'Данные'!E1867&gt;='Дашборд'!$C$53,'Данные'!L1867&lt;&gt;"Да"),"Да","Нет")</x:f>
        <x:v>Нет</x:v>
      </x:c>
      <x:c r="O1867" s="1" t="str">
        <x:f>'Данные'!L1867</x:f>
        <x:v>Нет</x:v>
      </x:c>
    </x:row>
    <x:row r="1868">
      <x:c r="A1868" s="1" t="str">
        <x:f>'Данные'!A1868</x:f>
        <x:v>189114408</x:v>
      </x:c>
      <x:c r="B1868" s="1" t="str">
        <x:f>'Данные'!B1868</x:f>
        <x:v>WK688-7654-6</x:v>
      </x:c>
      <x:c r="C1868" s="8" t="n">
        <x:f>'Данные'!G1868</x:f>
        <x:v>0</x:v>
      </x:c>
      <x:c r="D1868" s="15" t="n">
        <x:f>C1868/SUM($C$5:$C$2477)</x:f>
        <x:v>0</x:v>
      </x:c>
      <x:c r="E1868" s="15" t="n">
        <x:f>SUM($D$5:D1868)</x:f>
        <x:v>1.0000000000000036</x:v>
      </x:c>
      <x:c r="F1868" s="1" t="str">
        <x:f>IF(C1868&lt;=0,"C",IF(E1868-D1868&lt;'Дашборд'!$C$49,"A",IF(E1868-D1868&lt;'Дашборд'!$C$50,"B","C")))</x:f>
        <x:v>C</x:v>
      </x:c>
      <x:c r="G1868" s="8" t="n">
        <x:f>'Данные'!F1868</x:f>
        <x:v>3</x:v>
      </x:c>
      <x:c r="H1868" s="8" t="n">
        <x:f>SUM('Данные'!H1868:I1868)</x:f>
        <x:v>0</x:v>
      </x:c>
      <x:c r="I1868" s="16" t="str">
        <x:f>IF(H1868&gt;0,G1868/H1868,"n.a.")</x:f>
        <x:v>n.a.</x:v>
      </x:c>
      <x:c r="J1868" s="10" t="n">
        <x:f>IF('Данные'!E1868&gt;0,G1868/'Данные'!E1868,"n.a.")</x:f>
        <x:v>0.016853932584269662</x:v>
      </x:c>
      <x:c r="K1868" s="1" t="str">
        <x:f>IF(G1868&gt;='Дашборд'!$C$51,"X","Z")</x:f>
        <x:v>Z</x:v>
      </x:c>
      <x:c r="L1868" s="1" t="str">
        <x:f>IF(H1868=0,IF(G1868&gt;0,"Нет остатка","Нет спроса"),IF(I1868&gt;='Дашборд'!$C$52,"Быстрый","Медленный"))</x:f>
        <x:v>Нет остатка</x:v>
      </x:c>
      <x:c r="M1868" s="1" t="str">
        <x:f>IF('Данные'!E1868&lt;'Дашборд'!$C$53,"Мало трафика",IF(J1868&lt;'Дашборд'!$C$9*'Дашборд'!$C$54,"Да","Нет"))</x:f>
        <x:v>Мало трафика</x:v>
      </x:c>
      <x:c r="N1868" s="1" t="str">
        <x:f>IF(AND('Данные'!D1868&gt;='Дашборд'!$C$55,D1868&lt;'Дашборд'!$C$56,'Данные'!E1868&gt;='Дашборд'!$C$53,'Данные'!L1868&lt;&gt;"Да"),"Да","Нет")</x:f>
        <x:v>Нет</x:v>
      </x:c>
      <x:c r="O1868" s="1" t="str">
        <x:f>'Данные'!L1868</x:f>
        <x:v>Нет</x:v>
      </x:c>
    </x:row>
    <x:row r="1869">
      <x:c r="A1869" s="1" t="str">
        <x:f>'Данные'!A1869</x:f>
        <x:v>189114409</x:v>
      </x:c>
      <x:c r="B1869" s="1" t="str">
        <x:f>'Данные'!B1869</x:f>
        <x:v>WK688-1518-3</x:v>
      </x:c>
      <x:c r="C1869" s="8" t="n">
        <x:f>'Данные'!G1869</x:f>
        <x:v>0</x:v>
      </x:c>
      <x:c r="D1869" s="15" t="n">
        <x:f>C1869/SUM($C$5:$C$2477)</x:f>
        <x:v>0</x:v>
      </x:c>
      <x:c r="E1869" s="15" t="n">
        <x:f>SUM($D$5:D1869)</x:f>
        <x:v>1.0000000000000036</x:v>
      </x:c>
      <x:c r="F1869" s="1" t="str">
        <x:f>IF(C1869&lt;=0,"C",IF(E1869-D1869&lt;'Дашборд'!$C$49,"A",IF(E1869-D1869&lt;'Дашборд'!$C$50,"B","C")))</x:f>
        <x:v>C</x:v>
      </x:c>
      <x:c r="G1869" s="8" t="n">
        <x:f>'Данные'!F1869</x:f>
        <x:v>0</x:v>
      </x:c>
      <x:c r="H1869" s="8" t="n">
        <x:f>SUM('Данные'!H1869:I1869)</x:f>
        <x:v>0</x:v>
      </x:c>
      <x:c r="I1869" s="16" t="str">
        <x:f>IF(H1869&gt;0,G1869/H1869,"n.a.")</x:f>
        <x:v>n.a.</x:v>
      </x:c>
      <x:c r="J1869" s="10" t="n">
        <x:f>IF('Данные'!E1869&gt;0,G1869/'Данные'!E1869,"n.a.")</x:f>
        <x:v>0</x:v>
      </x:c>
      <x:c r="K1869" s="1" t="str">
        <x:f>IF(G1869&gt;='Дашборд'!$C$51,"X","Z")</x:f>
        <x:v>Z</x:v>
      </x:c>
      <x:c r="L1869" s="1" t="str">
        <x:f>IF(H1869=0,IF(G1869&gt;0,"Нет остатка","Нет спроса"),IF(I1869&gt;='Дашборд'!$C$52,"Быстрый","Медленный"))</x:f>
        <x:v>Нет спроса</x:v>
      </x:c>
      <x:c r="M1869" s="1" t="str">
        <x:f>IF('Данные'!E1869&lt;'Дашборд'!$C$53,"Мало трафика",IF(J1869&lt;'Дашборд'!$C$9*'Дашборд'!$C$54,"Да","Нет"))</x:f>
        <x:v>Мало трафика</x:v>
      </x:c>
      <x:c r="N1869" s="1" t="str">
        <x:f>IF(AND('Данные'!D1869&gt;='Дашборд'!$C$55,D1869&lt;'Дашборд'!$C$56,'Данные'!E1869&gt;='Дашборд'!$C$53,'Данные'!L1869&lt;&gt;"Да"),"Да","Нет")</x:f>
        <x:v>Нет</x:v>
      </x:c>
      <x:c r="O1869" s="1" t="str">
        <x:f>'Данные'!L1869</x:f>
        <x:v>Нет</x:v>
      </x:c>
    </x:row>
    <x:row r="1870">
      <x:c r="A1870" s="1" t="str">
        <x:f>'Данные'!A1870</x:f>
        <x:v>189114414</x:v>
      </x:c>
      <x:c r="B1870" s="1" t="str">
        <x:f>'Данные'!B1870</x:f>
        <x:v>WV1037-7654-8</x:v>
      </x:c>
      <x:c r="C1870" s="8" t="n">
        <x:f>'Данные'!G1870</x:f>
        <x:v>0</x:v>
      </x:c>
      <x:c r="D1870" s="15" t="n">
        <x:f>C1870/SUM($C$5:$C$2477)</x:f>
        <x:v>0</x:v>
      </x:c>
      <x:c r="E1870" s="15" t="n">
        <x:f>SUM($D$5:D1870)</x:f>
        <x:v>1.0000000000000036</x:v>
      </x:c>
      <x:c r="F1870" s="1" t="str">
        <x:f>IF(C1870&lt;=0,"C",IF(E1870-D1870&lt;'Дашборд'!$C$49,"A",IF(E1870-D1870&lt;'Дашборд'!$C$50,"B","C")))</x:f>
        <x:v>C</x:v>
      </x:c>
      <x:c r="G1870" s="8" t="n">
        <x:f>'Данные'!F1870</x:f>
        <x:v>0</x:v>
      </x:c>
      <x:c r="H1870" s="8" t="n">
        <x:f>SUM('Данные'!H1870:I1870)</x:f>
        <x:v>0</x:v>
      </x:c>
      <x:c r="I1870" s="16" t="str">
        <x:f>IF(H1870&gt;0,G1870/H1870,"n.a.")</x:f>
        <x:v>n.a.</x:v>
      </x:c>
      <x:c r="J1870" s="10" t="n">
        <x:f>IF('Данные'!E1870&gt;0,G1870/'Данные'!E1870,"n.a.")</x:f>
        <x:v>0</x:v>
      </x:c>
      <x:c r="K1870" s="1" t="str">
        <x:f>IF(G1870&gt;='Дашборд'!$C$51,"X","Z")</x:f>
        <x:v>Z</x:v>
      </x:c>
      <x:c r="L1870" s="1" t="str">
        <x:f>IF(H1870=0,IF(G1870&gt;0,"Нет остатка","Нет спроса"),IF(I1870&gt;='Дашборд'!$C$52,"Быстрый","Медленный"))</x:f>
        <x:v>Нет спроса</x:v>
      </x:c>
      <x:c r="M1870" s="1" t="str">
        <x:f>IF('Данные'!E1870&lt;'Дашборд'!$C$53,"Мало трафика",IF(J1870&lt;'Дашборд'!$C$9*'Дашборд'!$C$54,"Да","Нет"))</x:f>
        <x:v>Мало трафика</x:v>
      </x:c>
      <x:c r="N1870" s="1" t="str">
        <x:f>IF(AND('Данные'!D1870&gt;='Дашборд'!$C$55,D1870&lt;'Дашборд'!$C$56,'Данные'!E1870&gt;='Дашборд'!$C$53,'Данные'!L1870&lt;&gt;"Да"),"Да","Нет")</x:f>
        <x:v>Нет</x:v>
      </x:c>
      <x:c r="O1870" s="1" t="str">
        <x:f>'Данные'!L1870</x:f>
        <x:v>Нет</x:v>
      </x:c>
    </x:row>
    <x:row r="1871">
      <x:c r="A1871" s="1" t="str">
        <x:f>'Данные'!A1871</x:f>
        <x:v>189114416</x:v>
      </x:c>
      <x:c r="B1871" s="1" t="str">
        <x:f>'Данные'!B1871</x:f>
        <x:v>M/AB1076-52E-10</x:v>
      </x:c>
      <x:c r="C1871" s="8" t="n">
        <x:f>'Данные'!G1871</x:f>
        <x:v>0</x:v>
      </x:c>
      <x:c r="D1871" s="15" t="n">
        <x:f>C1871/SUM($C$5:$C$2477)</x:f>
        <x:v>0</x:v>
      </x:c>
      <x:c r="E1871" s="15" t="n">
        <x:f>SUM($D$5:D1871)</x:f>
        <x:v>1.0000000000000036</x:v>
      </x:c>
      <x:c r="F1871" s="1" t="str">
        <x:f>IF(C1871&lt;=0,"C",IF(E1871-D1871&lt;'Дашборд'!$C$49,"A",IF(E1871-D1871&lt;'Дашборд'!$C$50,"B","C")))</x:f>
        <x:v>C</x:v>
      </x:c>
      <x:c r="G1871" s="8" t="n">
        <x:f>'Данные'!F1871</x:f>
        <x:v>3</x:v>
      </x:c>
      <x:c r="H1871" s="8" t="n">
        <x:f>SUM('Данные'!H1871:I1871)</x:f>
        <x:v>0</x:v>
      </x:c>
      <x:c r="I1871" s="16" t="str">
        <x:f>IF(H1871&gt;0,G1871/H1871,"n.a.")</x:f>
        <x:v>n.a.</x:v>
      </x:c>
      <x:c r="J1871" s="10" t="n">
        <x:f>IF('Данные'!E1871&gt;0,G1871/'Данные'!E1871,"n.a.")</x:f>
        <x:v>0.025210084033613446</x:v>
      </x:c>
      <x:c r="K1871" s="1" t="str">
        <x:f>IF(G1871&gt;='Дашборд'!$C$51,"X","Z")</x:f>
        <x:v>Z</x:v>
      </x:c>
      <x:c r="L1871" s="1" t="str">
        <x:f>IF(H1871=0,IF(G1871&gt;0,"Нет остатка","Нет спроса"),IF(I1871&gt;='Дашборд'!$C$52,"Быстрый","Медленный"))</x:f>
        <x:v>Нет остатка</x:v>
      </x:c>
      <x:c r="M1871" s="1" t="str">
        <x:f>IF('Данные'!E1871&lt;'Дашборд'!$C$53,"Мало трафика",IF(J1871&lt;'Дашборд'!$C$9*'Дашборд'!$C$54,"Да","Нет"))</x:f>
        <x:v>Мало трафика</x:v>
      </x:c>
      <x:c r="N1871" s="1" t="str">
        <x:f>IF(AND('Данные'!D1871&gt;='Дашборд'!$C$55,D1871&lt;'Дашборд'!$C$56,'Данные'!E1871&gt;='Дашборд'!$C$53,'Данные'!L1871&lt;&gt;"Да"),"Да","Нет")</x:f>
        <x:v>Нет</x:v>
      </x:c>
      <x:c r="O1871" s="1" t="str">
        <x:f>'Данные'!L1871</x:f>
        <x:v>Нет</x:v>
      </x:c>
    </x:row>
    <x:row r="1872">
      <x:c r="A1872" s="1" t="str">
        <x:f>'Данные'!A1872</x:f>
        <x:v>189114418</x:v>
      </x:c>
      <x:c r="B1872" s="1" t="str">
        <x:f>'Данные'!B1872</x:f>
        <x:v>AB996-52E-2</x:v>
      </x:c>
      <x:c r="C1872" s="8" t="n">
        <x:f>'Данные'!G1872</x:f>
        <x:v>0</x:v>
      </x:c>
      <x:c r="D1872" s="15" t="n">
        <x:f>C1872/SUM($C$5:$C$2477)</x:f>
        <x:v>0</x:v>
      </x:c>
      <x:c r="E1872" s="15" t="n">
        <x:f>SUM($D$5:D1872)</x:f>
        <x:v>1.0000000000000036</x:v>
      </x:c>
      <x:c r="F1872" s="1" t="str">
        <x:f>IF(C1872&lt;=0,"C",IF(E1872-D1872&lt;'Дашборд'!$C$49,"A",IF(E1872-D1872&lt;'Дашборд'!$C$50,"B","C")))</x:f>
        <x:v>C</x:v>
      </x:c>
      <x:c r="G1872" s="8" t="n">
        <x:f>'Данные'!F1872</x:f>
        <x:v>0</x:v>
      </x:c>
      <x:c r="H1872" s="8" t="n">
        <x:f>SUM('Данные'!H1872:I1872)</x:f>
        <x:v>0</x:v>
      </x:c>
      <x:c r="I1872" s="16" t="str">
        <x:f>IF(H1872&gt;0,G1872/H1872,"n.a.")</x:f>
        <x:v>n.a.</x:v>
      </x:c>
      <x:c r="J1872" s="10" t="n">
        <x:f>IF('Данные'!E1872&gt;0,G1872/'Данные'!E1872,"n.a.")</x:f>
        <x:v>0</x:v>
      </x:c>
      <x:c r="K1872" s="1" t="str">
        <x:f>IF(G1872&gt;='Дашборд'!$C$51,"X","Z")</x:f>
        <x:v>Z</x:v>
      </x:c>
      <x:c r="L1872" s="1" t="str">
        <x:f>IF(H1872=0,IF(G1872&gt;0,"Нет остатка","Нет спроса"),IF(I1872&gt;='Дашборд'!$C$52,"Быстрый","Медленный"))</x:f>
        <x:v>Нет спроса</x:v>
      </x:c>
      <x:c r="M1872" s="1" t="str">
        <x:f>IF('Данные'!E1872&lt;'Дашборд'!$C$53,"Мало трафика",IF(J1872&lt;'Дашборд'!$C$9*'Дашборд'!$C$54,"Да","Нет"))</x:f>
        <x:v>Мало трафика</x:v>
      </x:c>
      <x:c r="N1872" s="1" t="str">
        <x:f>IF(AND('Данные'!D1872&gt;='Дашборд'!$C$55,D1872&lt;'Дашборд'!$C$56,'Данные'!E1872&gt;='Дашборд'!$C$53,'Данные'!L1872&lt;&gt;"Да"),"Да","Нет")</x:f>
        <x:v>Нет</x:v>
      </x:c>
      <x:c r="O1872" s="1" t="str">
        <x:f>'Данные'!L1872</x:f>
        <x:v>Нет</x:v>
      </x:c>
    </x:row>
    <x:row r="1873">
      <x:c r="A1873" s="1" t="str">
        <x:f>'Данные'!A1873</x:f>
        <x:v>19042363</x:v>
      </x:c>
      <x:c r="B1873" s="1" t="str">
        <x:f>'Данные'!B1873</x:f>
        <x:v>tkan120/1</x:v>
      </x:c>
      <x:c r="C1873" s="8" t="n">
        <x:f>'Данные'!G1873</x:f>
        <x:v>0</x:v>
      </x:c>
      <x:c r="D1873" s="15" t="n">
        <x:f>C1873/SUM($C$5:$C$2477)</x:f>
        <x:v>0</x:v>
      </x:c>
      <x:c r="E1873" s="15" t="n">
        <x:f>SUM($D$5:D1873)</x:f>
        <x:v>1.0000000000000036</x:v>
      </x:c>
      <x:c r="F1873" s="1" t="str">
        <x:f>IF(C1873&lt;=0,"C",IF(E1873-D1873&lt;'Дашборд'!$C$49,"A",IF(E1873-D1873&lt;'Дашборд'!$C$50,"B","C")))</x:f>
        <x:v>C</x:v>
      </x:c>
      <x:c r="G1873" s="8" t="n">
        <x:f>'Данные'!F1873</x:f>
        <x:v>0</x:v>
      </x:c>
      <x:c r="H1873" s="8" t="n">
        <x:f>SUM('Данные'!H1873:I1873)</x:f>
        <x:v>0</x:v>
      </x:c>
      <x:c r="I1873" s="16" t="str">
        <x:f>IF(H1873&gt;0,G1873/H1873,"n.a.")</x:f>
        <x:v>n.a.</x:v>
      </x:c>
      <x:c r="J1873" s="10" t="str">
        <x:f>IF('Данные'!E1873&gt;0,G1873/'Данные'!E1873,"n.a.")</x:f>
        <x:v>n.a.</x:v>
      </x:c>
      <x:c r="K1873" s="1" t="str">
        <x:f>IF(G1873&gt;='Дашборд'!$C$51,"X","Z")</x:f>
        <x:v>Z</x:v>
      </x:c>
      <x:c r="L1873" s="1" t="str">
        <x:f>IF(H1873=0,IF(G1873&gt;0,"Нет остатка","Нет спроса"),IF(I1873&gt;='Дашборд'!$C$52,"Быстрый","Медленный"))</x:f>
        <x:v>Нет спроса</x:v>
      </x:c>
      <x:c r="M1873" s="1" t="str">
        <x:f>IF('Данные'!E1873&lt;'Дашборд'!$C$53,"Мало трафика",IF(J1873&lt;'Дашборд'!$C$9*'Дашборд'!$C$54,"Да","Нет"))</x:f>
        <x:v>Мало трафика</x:v>
      </x:c>
      <x:c r="N1873" s="1" t="str">
        <x:f>IF(AND('Данные'!D1873&gt;='Дашборд'!$C$55,D1873&lt;'Дашборд'!$C$56,'Данные'!E1873&gt;='Дашборд'!$C$53,'Данные'!L1873&lt;&gt;"Да"),"Да","Нет")</x:f>
        <x:v>Нет</x:v>
      </x:c>
      <x:c r="O1873" s="1" t="str">
        <x:f>'Данные'!L1873</x:f>
        <x:v>Нет</x:v>
      </x:c>
    </x:row>
    <x:row r="1874">
      <x:c r="A1874" s="1" t="str">
        <x:f>'Данные'!A1874</x:f>
        <x:v>19079977</x:v>
      </x:c>
      <x:c r="B1874" s="1" t="str">
        <x:f>'Данные'!B1874</x:f>
        <x:v>kostyum/черный</x:v>
      </x:c>
      <x:c r="C1874" s="8" t="n">
        <x:f>'Данные'!G1874</x:f>
        <x:v>0</x:v>
      </x:c>
      <x:c r="D1874" s="15" t="n">
        <x:f>C1874/SUM($C$5:$C$2477)</x:f>
        <x:v>0</x:v>
      </x:c>
      <x:c r="E1874" s="15" t="n">
        <x:f>SUM($D$5:D1874)</x:f>
        <x:v>1.0000000000000036</x:v>
      </x:c>
      <x:c r="F1874" s="1" t="str">
        <x:f>IF(C1874&lt;=0,"C",IF(E1874-D1874&lt;'Дашборд'!$C$49,"A",IF(E1874-D1874&lt;'Дашборд'!$C$50,"B","C")))</x:f>
        <x:v>C</x:v>
      </x:c>
      <x:c r="G1874" s="8" t="n">
        <x:f>'Данные'!F1874</x:f>
        <x:v>0</x:v>
      </x:c>
      <x:c r="H1874" s="8" t="n">
        <x:f>SUM('Данные'!H1874:I1874)</x:f>
        <x:v>0</x:v>
      </x:c>
      <x:c r="I1874" s="16" t="str">
        <x:f>IF(H1874&gt;0,G1874/H1874,"n.a.")</x:f>
        <x:v>n.a.</x:v>
      </x:c>
      <x:c r="J1874" s="10" t="n">
        <x:f>IF('Данные'!E1874&gt;0,G1874/'Данные'!E1874,"n.a.")</x:f>
        <x:v>0</x:v>
      </x:c>
      <x:c r="K1874" s="1" t="str">
        <x:f>IF(G1874&gt;='Дашборд'!$C$51,"X","Z")</x:f>
        <x:v>Z</x:v>
      </x:c>
      <x:c r="L1874" s="1" t="str">
        <x:f>IF(H1874=0,IF(G1874&gt;0,"Нет остатка","Нет спроса"),IF(I1874&gt;='Дашборд'!$C$52,"Быстрый","Медленный"))</x:f>
        <x:v>Нет спроса</x:v>
      </x:c>
      <x:c r="M1874" s="1" t="str">
        <x:f>IF('Данные'!E1874&lt;'Дашборд'!$C$53,"Мало трафика",IF(J1874&lt;'Дашборд'!$C$9*'Дашборд'!$C$54,"Да","Нет"))</x:f>
        <x:v>Мало трафика</x:v>
      </x:c>
      <x:c r="N1874" s="1" t="str">
        <x:f>IF(AND('Данные'!D1874&gt;='Дашборд'!$C$55,D1874&lt;'Дашборд'!$C$56,'Данные'!E1874&gt;='Дашборд'!$C$53,'Данные'!L1874&lt;&gt;"Да"),"Да","Нет")</x:f>
        <x:v>Нет</x:v>
      </x:c>
      <x:c r="O1874" s="1" t="str">
        <x:f>'Данные'!L1874</x:f>
        <x:v>Нет</x:v>
      </x:c>
    </x:row>
    <x:row r="1875">
      <x:c r="A1875" s="1" t="str">
        <x:f>'Данные'!A1875</x:f>
        <x:v>19079980</x:v>
      </x:c>
      <x:c r="B1875" s="1" t="str">
        <x:f>'Данные'!B1875</x:f>
        <x:v>kostyum/пыльнаяроза</x:v>
      </x:c>
      <x:c r="C1875" s="8" t="n">
        <x:f>'Данные'!G1875</x:f>
        <x:v>0</x:v>
      </x:c>
      <x:c r="D1875" s="15" t="n">
        <x:f>C1875/SUM($C$5:$C$2477)</x:f>
        <x:v>0</x:v>
      </x:c>
      <x:c r="E1875" s="15" t="n">
        <x:f>SUM($D$5:D1875)</x:f>
        <x:v>1.0000000000000036</x:v>
      </x:c>
      <x:c r="F1875" s="1" t="str">
        <x:f>IF(C1875&lt;=0,"C",IF(E1875-D1875&lt;'Дашборд'!$C$49,"A",IF(E1875-D1875&lt;'Дашборд'!$C$50,"B","C")))</x:f>
        <x:v>C</x:v>
      </x:c>
      <x:c r="G1875" s="8" t="n">
        <x:f>'Данные'!F1875</x:f>
        <x:v>1</x:v>
      </x:c>
      <x:c r="H1875" s="8" t="n">
        <x:f>SUM('Данные'!H1875:I1875)</x:f>
        <x:v>1</x:v>
      </x:c>
      <x:c r="I1875" s="16" t="n">
        <x:f>IF(H1875&gt;0,G1875/H1875,"n.a.")</x:f>
        <x:v>1</x:v>
      </x:c>
      <x:c r="J1875" s="10" t="n">
        <x:f>IF('Данные'!E1875&gt;0,G1875/'Данные'!E1875,"n.a.")</x:f>
        <x:v>0.0001923076923076923</x:v>
      </x:c>
      <x:c r="K1875" s="1" t="str">
        <x:f>IF(G1875&gt;='Дашборд'!$C$51,"X","Z")</x:f>
        <x:v>Z</x:v>
      </x:c>
      <x:c r="L1875" s="1" t="str">
        <x:f>IF(H1875=0,IF(G1875&gt;0,"Нет остатка","Нет спроса"),IF(I1875&gt;='Дашборд'!$C$52,"Быстрый","Медленный"))</x:f>
        <x:v>Быстрый</x:v>
      </x:c>
      <x:c r="M1875" s="1" t="str">
        <x:f>IF('Данные'!E1875&lt;'Дашборд'!$C$53,"Мало трафика",IF(J1875&lt;'Дашборд'!$C$9*'Дашборд'!$C$54,"Да","Нет"))</x:f>
        <x:v>Да</x:v>
      </x:c>
      <x:c r="N1875" s="1" t="str">
        <x:f>IF(AND('Данные'!D1875&gt;='Дашборд'!$C$55,D1875&lt;'Дашборд'!$C$56,'Данные'!E1875&gt;='Дашборд'!$C$53,'Данные'!L1875&lt;&gt;"Да"),"Да","Нет")</x:f>
        <x:v>Нет</x:v>
      </x:c>
      <x:c r="O1875" s="1" t="str">
        <x:f>'Данные'!L1875</x:f>
        <x:v>Нет</x:v>
      </x:c>
    </x:row>
    <x:row r="1876">
      <x:c r="A1876" s="1" t="str">
        <x:f>'Данные'!A1876</x:f>
        <x:v>19079981</x:v>
      </x:c>
      <x:c r="B1876" s="1" t="str">
        <x:f>'Данные'!B1876</x:f>
        <x:v>kostyum/банановый</x:v>
      </x:c>
      <x:c r="C1876" s="8" t="n">
        <x:f>'Данные'!G1876</x:f>
        <x:v>0</x:v>
      </x:c>
      <x:c r="D1876" s="15" t="n">
        <x:f>C1876/SUM($C$5:$C$2477)</x:f>
        <x:v>0</x:v>
      </x:c>
      <x:c r="E1876" s="15" t="n">
        <x:f>SUM($D$5:D1876)</x:f>
        <x:v>1.0000000000000036</x:v>
      </x:c>
      <x:c r="F1876" s="1" t="str">
        <x:f>IF(C1876&lt;=0,"C",IF(E1876-D1876&lt;'Дашборд'!$C$49,"A",IF(E1876-D1876&lt;'Дашборд'!$C$50,"B","C")))</x:f>
        <x:v>C</x:v>
      </x:c>
      <x:c r="G1876" s="8" t="n">
        <x:f>'Данные'!F1876</x:f>
        <x:v>0</x:v>
      </x:c>
      <x:c r="H1876" s="8" t="n">
        <x:f>SUM('Данные'!H1876:I1876)</x:f>
        <x:v>0</x:v>
      </x:c>
      <x:c r="I1876" s="16" t="str">
        <x:f>IF(H1876&gt;0,G1876/H1876,"n.a.")</x:f>
        <x:v>n.a.</x:v>
      </x:c>
      <x:c r="J1876" s="10" t="n">
        <x:f>IF('Данные'!E1876&gt;0,G1876/'Данные'!E1876,"n.a.")</x:f>
        <x:v>0</x:v>
      </x:c>
      <x:c r="K1876" s="1" t="str">
        <x:f>IF(G1876&gt;='Дашборд'!$C$51,"X","Z")</x:f>
        <x:v>Z</x:v>
      </x:c>
      <x:c r="L1876" s="1" t="str">
        <x:f>IF(H1876=0,IF(G1876&gt;0,"Нет остатка","Нет спроса"),IF(I1876&gt;='Дашборд'!$C$52,"Быстрый","Медленный"))</x:f>
        <x:v>Нет спроса</x:v>
      </x:c>
      <x:c r="M1876" s="1" t="str">
        <x:f>IF('Данные'!E1876&lt;'Дашборд'!$C$53,"Мало трафика",IF(J1876&lt;'Дашборд'!$C$9*'Дашборд'!$C$54,"Да","Нет"))</x:f>
        <x:v>Да</x:v>
      </x:c>
      <x:c r="N1876" s="1" t="str">
        <x:f>IF(AND('Данные'!D1876&gt;='Дашборд'!$C$55,D1876&lt;'Дашборд'!$C$56,'Данные'!E1876&gt;='Дашборд'!$C$53,'Данные'!L1876&lt;&gt;"Да"),"Да","Нет")</x:f>
        <x:v>Нет</x:v>
      </x:c>
      <x:c r="O1876" s="1" t="str">
        <x:f>'Данные'!L1876</x:f>
        <x:v>Нет</x:v>
      </x:c>
    </x:row>
    <x:row r="1877">
      <x:c r="A1877" s="1" t="str">
        <x:f>'Данные'!A1877</x:f>
        <x:v>19079982</x:v>
      </x:c>
      <x:c r="B1877" s="1" t="str">
        <x:f>'Данные'!B1877</x:f>
        <x:v>kostyum/светло-фиолетовый</x:v>
      </x:c>
      <x:c r="C1877" s="8" t="n">
        <x:f>'Данные'!G1877</x:f>
        <x:v>0</x:v>
      </x:c>
      <x:c r="D1877" s="15" t="n">
        <x:f>C1877/SUM($C$5:$C$2477)</x:f>
        <x:v>0</x:v>
      </x:c>
      <x:c r="E1877" s="15" t="n">
        <x:f>SUM($D$5:D1877)</x:f>
        <x:v>1.0000000000000036</x:v>
      </x:c>
      <x:c r="F1877" s="1" t="str">
        <x:f>IF(C1877&lt;=0,"C",IF(E1877-D1877&lt;'Дашборд'!$C$49,"A",IF(E1877-D1877&lt;'Дашборд'!$C$50,"B","C")))</x:f>
        <x:v>C</x:v>
      </x:c>
      <x:c r="G1877" s="8" t="n">
        <x:f>'Данные'!F1877</x:f>
        <x:v>0</x:v>
      </x:c>
      <x:c r="H1877" s="8" t="n">
        <x:f>SUM('Данные'!H1877:I1877)</x:f>
        <x:v>0</x:v>
      </x:c>
      <x:c r="I1877" s="16" t="str">
        <x:f>IF(H1877&gt;0,G1877/H1877,"n.a.")</x:f>
        <x:v>n.a.</x:v>
      </x:c>
      <x:c r="J1877" s="10" t="n">
        <x:f>IF('Данные'!E1877&gt;0,G1877/'Данные'!E1877,"n.a.")</x:f>
        <x:v>0</x:v>
      </x:c>
      <x:c r="K1877" s="1" t="str">
        <x:f>IF(G1877&gt;='Дашборд'!$C$51,"X","Z")</x:f>
        <x:v>Z</x:v>
      </x:c>
      <x:c r="L1877" s="1" t="str">
        <x:f>IF(H1877=0,IF(G1877&gt;0,"Нет остатка","Нет спроса"),IF(I1877&gt;='Дашборд'!$C$52,"Быстрый","Медленный"))</x:f>
        <x:v>Нет спроса</x:v>
      </x:c>
      <x:c r="M1877" s="1" t="str">
        <x:f>IF('Данные'!E1877&lt;'Дашборд'!$C$53,"Мало трафика",IF(J1877&lt;'Дашборд'!$C$9*'Дашборд'!$C$54,"Да","Нет"))</x:f>
        <x:v>Мало трафика</x:v>
      </x:c>
      <x:c r="N1877" s="1" t="str">
        <x:f>IF(AND('Данные'!D1877&gt;='Дашборд'!$C$55,D1877&lt;'Дашборд'!$C$56,'Данные'!E1877&gt;='Дашборд'!$C$53,'Данные'!L1877&lt;&gt;"Да"),"Да","Нет")</x:f>
        <x:v>Нет</x:v>
      </x:c>
      <x:c r="O1877" s="1" t="str">
        <x:f>'Данные'!L1877</x:f>
        <x:v>Нет</x:v>
      </x:c>
    </x:row>
    <x:row r="1878">
      <x:c r="A1878" s="1" t="str">
        <x:f>'Данные'!A1878</x:f>
        <x:v>19079983</x:v>
      </x:c>
      <x:c r="B1878" s="1" t="str">
        <x:f>'Данные'!B1878</x:f>
        <x:v>kostyum/светло-бирюзовый</x:v>
      </x:c>
      <x:c r="C1878" s="8" t="n">
        <x:f>'Данные'!G1878</x:f>
        <x:v>0</x:v>
      </x:c>
      <x:c r="D1878" s="15" t="n">
        <x:f>C1878/SUM($C$5:$C$2477)</x:f>
        <x:v>0</x:v>
      </x:c>
      <x:c r="E1878" s="15" t="n">
        <x:f>SUM($D$5:D1878)</x:f>
        <x:v>1.0000000000000036</x:v>
      </x:c>
      <x:c r="F1878" s="1" t="str">
        <x:f>IF(C1878&lt;=0,"C",IF(E1878-D1878&lt;'Дашборд'!$C$49,"A",IF(E1878-D1878&lt;'Дашборд'!$C$50,"B","C")))</x:f>
        <x:v>C</x:v>
      </x:c>
      <x:c r="G1878" s="8" t="n">
        <x:f>'Данные'!F1878</x:f>
        <x:v>0</x:v>
      </x:c>
      <x:c r="H1878" s="8" t="n">
        <x:f>SUM('Данные'!H1878:I1878)</x:f>
        <x:v>0</x:v>
      </x:c>
      <x:c r="I1878" s="16" t="str">
        <x:f>IF(H1878&gt;0,G1878/H1878,"n.a.")</x:f>
        <x:v>n.a.</x:v>
      </x:c>
      <x:c r="J1878" s="10" t="n">
        <x:f>IF('Данные'!E1878&gt;0,G1878/'Данные'!E1878,"n.a.")</x:f>
        <x:v>0</x:v>
      </x:c>
      <x:c r="K1878" s="1" t="str">
        <x:f>IF(G1878&gt;='Дашборд'!$C$51,"X","Z")</x:f>
        <x:v>Z</x:v>
      </x:c>
      <x:c r="L1878" s="1" t="str">
        <x:f>IF(H1878=0,IF(G1878&gt;0,"Нет остатка","Нет спроса"),IF(I1878&gt;='Дашборд'!$C$52,"Быстрый","Медленный"))</x:f>
        <x:v>Нет спроса</x:v>
      </x:c>
      <x:c r="M1878" s="1" t="str">
        <x:f>IF('Данные'!E1878&lt;'Дашборд'!$C$53,"Мало трафика",IF(J1878&lt;'Дашборд'!$C$9*'Дашборд'!$C$54,"Да","Нет"))</x:f>
        <x:v>Мало трафика</x:v>
      </x:c>
      <x:c r="N1878" s="1" t="str">
        <x:f>IF(AND('Данные'!D1878&gt;='Дашборд'!$C$55,D1878&lt;'Дашборд'!$C$56,'Данные'!E1878&gt;='Дашборд'!$C$53,'Данные'!L1878&lt;&gt;"Да"),"Да","Нет")</x:f>
        <x:v>Нет</x:v>
      </x:c>
      <x:c r="O1878" s="1" t="str">
        <x:f>'Данные'!L1878</x:f>
        <x:v>Нет</x:v>
      </x:c>
    </x:row>
    <x:row r="1879">
      <x:c r="A1879" s="1" t="str">
        <x:f>'Данные'!A1879</x:f>
        <x:v>19079984</x:v>
      </x:c>
      <x:c r="B1879" s="1" t="str">
        <x:f>'Данные'!B1879</x:f>
        <x:v>kostyum/голубойберилл</x:v>
      </x:c>
      <x:c r="C1879" s="8" t="n">
        <x:f>'Данные'!G1879</x:f>
        <x:v>0</x:v>
      </x:c>
      <x:c r="D1879" s="15" t="n">
        <x:f>C1879/SUM($C$5:$C$2477)</x:f>
        <x:v>0</x:v>
      </x:c>
      <x:c r="E1879" s="15" t="n">
        <x:f>SUM($D$5:D1879)</x:f>
        <x:v>1.0000000000000036</x:v>
      </x:c>
      <x:c r="F1879" s="1" t="str">
        <x:f>IF(C1879&lt;=0,"C",IF(E1879-D1879&lt;'Дашборд'!$C$49,"A",IF(E1879-D1879&lt;'Дашборд'!$C$50,"B","C")))</x:f>
        <x:v>C</x:v>
      </x:c>
      <x:c r="G1879" s="8" t="n">
        <x:f>'Данные'!F1879</x:f>
        <x:v>0</x:v>
      </x:c>
      <x:c r="H1879" s="8" t="n">
        <x:f>SUM('Данные'!H1879:I1879)</x:f>
        <x:v>0</x:v>
      </x:c>
      <x:c r="I1879" s="16" t="str">
        <x:f>IF(H1879&gt;0,G1879/H1879,"n.a.")</x:f>
        <x:v>n.a.</x:v>
      </x:c>
      <x:c r="J1879" s="10" t="n">
        <x:f>IF('Данные'!E1879&gt;0,G1879/'Данные'!E1879,"n.a.")</x:f>
        <x:v>0</x:v>
      </x:c>
      <x:c r="K1879" s="1" t="str">
        <x:f>IF(G1879&gt;='Дашборд'!$C$51,"X","Z")</x:f>
        <x:v>Z</x:v>
      </x:c>
      <x:c r="L1879" s="1" t="str">
        <x:f>IF(H1879=0,IF(G1879&gt;0,"Нет остатка","Нет спроса"),IF(I1879&gt;='Дашборд'!$C$52,"Быстрый","Медленный"))</x:f>
        <x:v>Нет спроса</x:v>
      </x:c>
      <x:c r="M1879" s="1" t="str">
        <x:f>IF('Данные'!E1879&lt;'Дашборд'!$C$53,"Мало трафика",IF(J1879&lt;'Дашборд'!$C$9*'Дашборд'!$C$54,"Да","Нет"))</x:f>
        <x:v>Мало трафика</x:v>
      </x:c>
      <x:c r="N1879" s="1" t="str">
        <x:f>IF(AND('Данные'!D1879&gt;='Дашборд'!$C$55,D1879&lt;'Дашборд'!$C$56,'Данные'!E1879&gt;='Дашборд'!$C$53,'Данные'!L1879&lt;&gt;"Да"),"Да","Нет")</x:f>
        <x:v>Нет</x:v>
      </x:c>
      <x:c r="O1879" s="1" t="str">
        <x:f>'Данные'!L1879</x:f>
        <x:v>Нет</x:v>
      </x:c>
    </x:row>
    <x:row r="1880">
      <x:c r="A1880" s="1" t="str">
        <x:f>'Данные'!A1880</x:f>
        <x:v>19079986</x:v>
      </x:c>
      <x:c r="B1880" s="1" t="str">
        <x:f>'Данные'!B1880</x:f>
        <x:v>kostyum/голубой</x:v>
      </x:c>
      <x:c r="C1880" s="8" t="n">
        <x:f>'Данные'!G1880</x:f>
        <x:v>0</x:v>
      </x:c>
      <x:c r="D1880" s="15" t="n">
        <x:f>C1880/SUM($C$5:$C$2477)</x:f>
        <x:v>0</x:v>
      </x:c>
      <x:c r="E1880" s="15" t="n">
        <x:f>SUM($D$5:D1880)</x:f>
        <x:v>1.0000000000000036</x:v>
      </x:c>
      <x:c r="F1880" s="1" t="str">
        <x:f>IF(C1880&lt;=0,"C",IF(E1880-D1880&lt;'Дашборд'!$C$49,"A",IF(E1880-D1880&lt;'Дашборд'!$C$50,"B","C")))</x:f>
        <x:v>C</x:v>
      </x:c>
      <x:c r="G1880" s="8" t="n">
        <x:f>'Данные'!F1880</x:f>
        <x:v>0</x:v>
      </x:c>
      <x:c r="H1880" s="8" t="n">
        <x:f>SUM('Данные'!H1880:I1880)</x:f>
        <x:v>0</x:v>
      </x:c>
      <x:c r="I1880" s="16" t="str">
        <x:f>IF(H1880&gt;0,G1880/H1880,"n.a.")</x:f>
        <x:v>n.a.</x:v>
      </x:c>
      <x:c r="J1880" s="10" t="n">
        <x:f>IF('Данные'!E1880&gt;0,G1880/'Данные'!E1880,"n.a.")</x:f>
        <x:v>0</x:v>
      </x:c>
      <x:c r="K1880" s="1" t="str">
        <x:f>IF(G1880&gt;='Дашборд'!$C$51,"X","Z")</x:f>
        <x:v>Z</x:v>
      </x:c>
      <x:c r="L1880" s="1" t="str">
        <x:f>IF(H1880=0,IF(G1880&gt;0,"Нет остатка","Нет спроса"),IF(I1880&gt;='Дашборд'!$C$52,"Быстрый","Медленный"))</x:f>
        <x:v>Нет спроса</x:v>
      </x:c>
      <x:c r="M1880" s="1" t="str">
        <x:f>IF('Данные'!E1880&lt;'Дашборд'!$C$53,"Мало трафика",IF(J1880&lt;'Дашборд'!$C$9*'Дашборд'!$C$54,"Да","Нет"))</x:f>
        <x:v>Мало трафика</x:v>
      </x:c>
      <x:c r="N1880" s="1" t="str">
        <x:f>IF(AND('Данные'!D1880&gt;='Дашборд'!$C$55,D1880&lt;'Дашборд'!$C$56,'Данные'!E1880&gt;='Дашборд'!$C$53,'Данные'!L1880&lt;&gt;"Да"),"Да","Нет")</x:f>
        <x:v>Нет</x:v>
      </x:c>
      <x:c r="O1880" s="1" t="str">
        <x:f>'Данные'!L1880</x:f>
        <x:v>Нет</x:v>
      </x:c>
    </x:row>
    <x:row r="1881">
      <x:c r="A1881" s="1" t="str">
        <x:f>'Данные'!A1881</x:f>
        <x:v>191900416</x:v>
      </x:c>
      <x:c r="B1881" s="1" t="str">
        <x:f>'Данные'!B1881</x:f>
        <x:v>hudiprint/TCLLCTN-41/черный</x:v>
      </x:c>
      <x:c r="C1881" s="8" t="n">
        <x:f>'Данные'!G1881</x:f>
        <x:v>0</x:v>
      </x:c>
      <x:c r="D1881" s="15" t="n">
        <x:f>C1881/SUM($C$5:$C$2477)</x:f>
        <x:v>0</x:v>
      </x:c>
      <x:c r="E1881" s="15" t="n">
        <x:f>SUM($D$5:D1881)</x:f>
        <x:v>1.0000000000000036</x:v>
      </x:c>
      <x:c r="F1881" s="1" t="str">
        <x:f>IF(C1881&lt;=0,"C",IF(E1881-D1881&lt;'Дашборд'!$C$49,"A",IF(E1881-D1881&lt;'Дашборд'!$C$50,"B","C")))</x:f>
        <x:v>C</x:v>
      </x:c>
      <x:c r="G1881" s="8" t="n">
        <x:f>'Данные'!F1881</x:f>
        <x:v>0</x:v>
      </x:c>
      <x:c r="H1881" s="8" t="n">
        <x:f>SUM('Данные'!H1881:I1881)</x:f>
        <x:v>0</x:v>
      </x:c>
      <x:c r="I1881" s="16" t="str">
        <x:f>IF(H1881&gt;0,G1881/H1881,"n.a.")</x:f>
        <x:v>n.a.</x:v>
      </x:c>
      <x:c r="J1881" s="10" t="n">
        <x:f>IF('Данные'!E1881&gt;0,G1881/'Данные'!E1881,"n.a.")</x:f>
        <x:v>0</x:v>
      </x:c>
      <x:c r="K1881" s="1" t="str">
        <x:f>IF(G1881&gt;='Дашборд'!$C$51,"X","Z")</x:f>
        <x:v>Z</x:v>
      </x:c>
      <x:c r="L1881" s="1" t="str">
        <x:f>IF(H1881=0,IF(G1881&gt;0,"Нет остатка","Нет спроса"),IF(I1881&gt;='Дашборд'!$C$52,"Быстрый","Медленный"))</x:f>
        <x:v>Нет спроса</x:v>
      </x:c>
      <x:c r="M1881" s="1" t="str">
        <x:f>IF('Данные'!E1881&lt;'Дашборд'!$C$53,"Мало трафика",IF(J1881&lt;'Дашборд'!$C$9*'Дашборд'!$C$54,"Да","Нет"))</x:f>
        <x:v>Мало трафика</x:v>
      </x:c>
      <x:c r="N1881" s="1" t="str">
        <x:f>IF(AND('Данные'!D1881&gt;='Дашборд'!$C$55,D1881&lt;'Дашборд'!$C$56,'Данные'!E1881&gt;='Дашборд'!$C$53,'Данные'!L1881&lt;&gt;"Да"),"Да","Нет")</x:f>
        <x:v>Нет</x:v>
      </x:c>
      <x:c r="O1881" s="1" t="str">
        <x:f>'Данные'!L1881</x:f>
        <x:v>Нет</x:v>
      </x:c>
    </x:row>
    <x:row r="1882">
      <x:c r="A1882" s="1" t="str">
        <x:f>'Данные'!A1882</x:f>
        <x:v>191900420</x:v>
      </x:c>
      <x:c r="B1882" s="1" t="str">
        <x:f>'Данные'!B1882</x:f>
        <x:v>hudiprint/TCLLCTN-41/серыймеланж</x:v>
      </x:c>
      <x:c r="C1882" s="8" t="n">
        <x:f>'Данные'!G1882</x:f>
        <x:v>0</x:v>
      </x:c>
      <x:c r="D1882" s="15" t="n">
        <x:f>C1882/SUM($C$5:$C$2477)</x:f>
        <x:v>0</x:v>
      </x:c>
      <x:c r="E1882" s="15" t="n">
        <x:f>SUM($D$5:D1882)</x:f>
        <x:v>1.0000000000000036</x:v>
      </x:c>
      <x:c r="F1882" s="1" t="str">
        <x:f>IF(C1882&lt;=0,"C",IF(E1882-D1882&lt;'Дашборд'!$C$49,"A",IF(E1882-D1882&lt;'Дашборд'!$C$50,"B","C")))</x:f>
        <x:v>C</x:v>
      </x:c>
      <x:c r="G1882" s="8" t="n">
        <x:f>'Данные'!F1882</x:f>
        <x:v>0</x:v>
      </x:c>
      <x:c r="H1882" s="8" t="n">
        <x:f>SUM('Данные'!H1882:I1882)</x:f>
        <x:v>0</x:v>
      </x:c>
      <x:c r="I1882" s="16" t="str">
        <x:f>IF(H1882&gt;0,G1882/H1882,"n.a.")</x:f>
        <x:v>n.a.</x:v>
      </x:c>
      <x:c r="J1882" s="10" t="n">
        <x:f>IF('Данные'!E1882&gt;0,G1882/'Данные'!E1882,"n.a.")</x:f>
        <x:v>0</x:v>
      </x:c>
      <x:c r="K1882" s="1" t="str">
        <x:f>IF(G1882&gt;='Дашборд'!$C$51,"X","Z")</x:f>
        <x:v>Z</x:v>
      </x:c>
      <x:c r="L1882" s="1" t="str">
        <x:f>IF(H1882=0,IF(G1882&gt;0,"Нет остатка","Нет спроса"),IF(I1882&gt;='Дашборд'!$C$52,"Быстрый","Медленный"))</x:f>
        <x:v>Нет спроса</x:v>
      </x:c>
      <x:c r="M1882" s="1" t="str">
        <x:f>IF('Данные'!E1882&lt;'Дашборд'!$C$53,"Мало трафика",IF(J1882&lt;'Дашборд'!$C$9*'Дашборд'!$C$54,"Да","Нет"))</x:f>
        <x:v>Мало трафика</x:v>
      </x:c>
      <x:c r="N1882" s="1" t="str">
        <x:f>IF(AND('Данные'!D1882&gt;='Дашборд'!$C$55,D1882&lt;'Дашборд'!$C$56,'Данные'!E1882&gt;='Дашборд'!$C$53,'Данные'!L1882&lt;&gt;"Да"),"Да","Нет")</x:f>
        <x:v>Нет</x:v>
      </x:c>
      <x:c r="O1882" s="1" t="str">
        <x:f>'Данные'!L1882</x:f>
        <x:v>Нет</x:v>
      </x:c>
    </x:row>
    <x:row r="1883">
      <x:c r="A1883" s="1" t="str">
        <x:f>'Данные'!A1883</x:f>
        <x:v>191900421</x:v>
      </x:c>
      <x:c r="B1883" s="1" t="str">
        <x:f>'Данные'!B1883</x:f>
        <x:v>hudiprint/TCLLCTN-41/молочный</x:v>
      </x:c>
      <x:c r="C1883" s="8" t="n">
        <x:f>'Данные'!G1883</x:f>
        <x:v>0</x:v>
      </x:c>
      <x:c r="D1883" s="15" t="n">
        <x:f>C1883/SUM($C$5:$C$2477)</x:f>
        <x:v>0</x:v>
      </x:c>
      <x:c r="E1883" s="15" t="n">
        <x:f>SUM($D$5:D1883)</x:f>
        <x:v>1.0000000000000036</x:v>
      </x:c>
      <x:c r="F1883" s="1" t="str">
        <x:f>IF(C1883&lt;=0,"C",IF(E1883-D1883&lt;'Дашборд'!$C$49,"A",IF(E1883-D1883&lt;'Дашборд'!$C$50,"B","C")))</x:f>
        <x:v>C</x:v>
      </x:c>
      <x:c r="G1883" s="8" t="n">
        <x:f>'Данные'!F1883</x:f>
        <x:v>0</x:v>
      </x:c>
      <x:c r="H1883" s="8" t="n">
        <x:f>SUM('Данные'!H1883:I1883)</x:f>
        <x:v>0</x:v>
      </x:c>
      <x:c r="I1883" s="16" t="str">
        <x:f>IF(H1883&gt;0,G1883/H1883,"n.a.")</x:f>
        <x:v>n.a.</x:v>
      </x:c>
      <x:c r="J1883" s="10" t="n">
        <x:f>IF('Данные'!E1883&gt;0,G1883/'Данные'!E1883,"n.a.")</x:f>
        <x:v>0</x:v>
      </x:c>
      <x:c r="K1883" s="1" t="str">
        <x:f>IF(G1883&gt;='Дашборд'!$C$51,"X","Z")</x:f>
        <x:v>Z</x:v>
      </x:c>
      <x:c r="L1883" s="1" t="str">
        <x:f>IF(H1883=0,IF(G1883&gt;0,"Нет остатка","Нет спроса"),IF(I1883&gt;='Дашборд'!$C$52,"Быстрый","Медленный"))</x:f>
        <x:v>Нет спроса</x:v>
      </x:c>
      <x:c r="M1883" s="1" t="str">
        <x:f>IF('Данные'!E1883&lt;'Дашборд'!$C$53,"Мало трафика",IF(J1883&lt;'Дашборд'!$C$9*'Дашборд'!$C$54,"Да","Нет"))</x:f>
        <x:v>Мало трафика</x:v>
      </x:c>
      <x:c r="N1883" s="1" t="str">
        <x:f>IF(AND('Данные'!D1883&gt;='Дашборд'!$C$55,D1883&lt;'Дашборд'!$C$56,'Данные'!E1883&gt;='Дашборд'!$C$53,'Данные'!L1883&lt;&gt;"Да"),"Да","Нет")</x:f>
        <x:v>Нет</x:v>
      </x:c>
      <x:c r="O1883" s="1" t="str">
        <x:f>'Данные'!L1883</x:f>
        <x:v>Нет</x:v>
      </x:c>
    </x:row>
    <x:row r="1884">
      <x:c r="A1884" s="1" t="str">
        <x:f>'Данные'!A1884</x:f>
        <x:v>191900422</x:v>
      </x:c>
      <x:c r="B1884" s="1" t="str">
        <x:f>'Данные'!B1884</x:f>
        <x:v>hudiprint/TCLLCTN-41/синий</x:v>
      </x:c>
      <x:c r="C1884" s="8" t="n">
        <x:f>'Данные'!G1884</x:f>
        <x:v>0</x:v>
      </x:c>
      <x:c r="D1884" s="15" t="n">
        <x:f>C1884/SUM($C$5:$C$2477)</x:f>
        <x:v>0</x:v>
      </x:c>
      <x:c r="E1884" s="15" t="n">
        <x:f>SUM($D$5:D1884)</x:f>
        <x:v>1.0000000000000036</x:v>
      </x:c>
      <x:c r="F1884" s="1" t="str">
        <x:f>IF(C1884&lt;=0,"C",IF(E1884-D1884&lt;'Дашборд'!$C$49,"A",IF(E1884-D1884&lt;'Дашборд'!$C$50,"B","C")))</x:f>
        <x:v>C</x:v>
      </x:c>
      <x:c r="G1884" s="8" t="n">
        <x:f>'Данные'!F1884</x:f>
        <x:v>0</x:v>
      </x:c>
      <x:c r="H1884" s="8" t="n">
        <x:f>SUM('Данные'!H1884:I1884)</x:f>
        <x:v>0</x:v>
      </x:c>
      <x:c r="I1884" s="16" t="str">
        <x:f>IF(H1884&gt;0,G1884/H1884,"n.a.")</x:f>
        <x:v>n.a.</x:v>
      </x:c>
      <x:c r="J1884" s="10" t="n">
        <x:f>IF('Данные'!E1884&gt;0,G1884/'Данные'!E1884,"n.a.")</x:f>
        <x:v>0</x:v>
      </x:c>
      <x:c r="K1884" s="1" t="str">
        <x:f>IF(G1884&gt;='Дашборд'!$C$51,"X","Z")</x:f>
        <x:v>Z</x:v>
      </x:c>
      <x:c r="L1884" s="1" t="str">
        <x:f>IF(H1884=0,IF(G1884&gt;0,"Нет остатка","Нет спроса"),IF(I1884&gt;='Дашборд'!$C$52,"Быстрый","Медленный"))</x:f>
        <x:v>Нет спроса</x:v>
      </x:c>
      <x:c r="M1884" s="1" t="str">
        <x:f>IF('Данные'!E1884&lt;'Дашборд'!$C$53,"Мало трафика",IF(J1884&lt;'Дашборд'!$C$9*'Дашборд'!$C$54,"Да","Нет"))</x:f>
        <x:v>Мало трафика</x:v>
      </x:c>
      <x:c r="N1884" s="1" t="str">
        <x:f>IF(AND('Данные'!D1884&gt;='Дашборд'!$C$55,D1884&lt;'Дашборд'!$C$56,'Данные'!E1884&gt;='Дашборд'!$C$53,'Данные'!L1884&lt;&gt;"Да"),"Да","Нет")</x:f>
        <x:v>Нет</x:v>
      </x:c>
      <x:c r="O1884" s="1" t="str">
        <x:f>'Данные'!L1884</x:f>
        <x:v>Нет</x:v>
      </x:c>
    </x:row>
    <x:row r="1885">
      <x:c r="A1885" s="1" t="str">
        <x:f>'Данные'!A1885</x:f>
        <x:v>192141473</x:v>
      </x:c>
      <x:c r="B1885" s="1" t="str">
        <x:f>'Данные'!B1885</x:f>
        <x:v>polopolosa/зеленый</x:v>
      </x:c>
      <x:c r="C1885" s="8" t="n">
        <x:f>'Данные'!G1885</x:f>
        <x:v>0</x:v>
      </x:c>
      <x:c r="D1885" s="15" t="n">
        <x:f>C1885/SUM($C$5:$C$2477)</x:f>
        <x:v>0</x:v>
      </x:c>
      <x:c r="E1885" s="15" t="n">
        <x:f>SUM($D$5:D1885)</x:f>
        <x:v>1.0000000000000036</x:v>
      </x:c>
      <x:c r="F1885" s="1" t="str">
        <x:f>IF(C1885&lt;=0,"C",IF(E1885-D1885&lt;'Дашборд'!$C$49,"A",IF(E1885-D1885&lt;'Дашборд'!$C$50,"B","C")))</x:f>
        <x:v>C</x:v>
      </x:c>
      <x:c r="G1885" s="8" t="n">
        <x:f>'Данные'!F1885</x:f>
        <x:v>0</x:v>
      </x:c>
      <x:c r="H1885" s="8" t="n">
        <x:f>SUM('Данные'!H1885:I1885)</x:f>
        <x:v>0</x:v>
      </x:c>
      <x:c r="I1885" s="16" t="str">
        <x:f>IF(H1885&gt;0,G1885/H1885,"n.a.")</x:f>
        <x:v>n.a.</x:v>
      </x:c>
      <x:c r="J1885" s="10" t="n">
        <x:f>IF('Данные'!E1885&gt;0,G1885/'Данные'!E1885,"n.a.")</x:f>
        <x:v>0</x:v>
      </x:c>
      <x:c r="K1885" s="1" t="str">
        <x:f>IF(G1885&gt;='Дашборд'!$C$51,"X","Z")</x:f>
        <x:v>Z</x:v>
      </x:c>
      <x:c r="L1885" s="1" t="str">
        <x:f>IF(H1885=0,IF(G1885&gt;0,"Нет остатка","Нет спроса"),IF(I1885&gt;='Дашборд'!$C$52,"Быстрый","Медленный"))</x:f>
        <x:v>Нет спроса</x:v>
      </x:c>
      <x:c r="M1885" s="1" t="str">
        <x:f>IF('Данные'!E1885&lt;'Дашборд'!$C$53,"Мало трафика",IF(J1885&lt;'Дашборд'!$C$9*'Дашборд'!$C$54,"Да","Нет"))</x:f>
        <x:v>Мало трафика</x:v>
      </x:c>
      <x:c r="N1885" s="1" t="str">
        <x:f>IF(AND('Данные'!D1885&gt;='Дашборд'!$C$55,D1885&lt;'Дашборд'!$C$56,'Данные'!E1885&gt;='Дашборд'!$C$53,'Данные'!L1885&lt;&gt;"Да"),"Да","Нет")</x:f>
        <x:v>Нет</x:v>
      </x:c>
      <x:c r="O1885" s="1" t="str">
        <x:f>'Данные'!L1885</x:f>
        <x:v>Нет</x:v>
      </x:c>
    </x:row>
    <x:row r="1886">
      <x:c r="A1886" s="1" t="str">
        <x:f>'Данные'!A1886</x:f>
        <x:v>192144322</x:v>
      </x:c>
      <x:c r="B1886" s="1" t="str">
        <x:f>'Данные'!B1886</x:f>
        <x:v>polopolosa/черный</x:v>
      </x:c>
      <x:c r="C1886" s="8" t="n">
        <x:f>'Данные'!G1886</x:f>
        <x:v>0</x:v>
      </x:c>
      <x:c r="D1886" s="15" t="n">
        <x:f>C1886/SUM($C$5:$C$2477)</x:f>
        <x:v>0</x:v>
      </x:c>
      <x:c r="E1886" s="15" t="n">
        <x:f>SUM($D$5:D1886)</x:f>
        <x:v>1.0000000000000036</x:v>
      </x:c>
      <x:c r="F1886" s="1" t="str">
        <x:f>IF(C1886&lt;=0,"C",IF(E1886-D1886&lt;'Дашборд'!$C$49,"A",IF(E1886-D1886&lt;'Дашборд'!$C$50,"B","C")))</x:f>
        <x:v>C</x:v>
      </x:c>
      <x:c r="G1886" s="8" t="n">
        <x:f>'Данные'!F1886</x:f>
        <x:v>0</x:v>
      </x:c>
      <x:c r="H1886" s="8" t="n">
        <x:f>SUM('Данные'!H1886:I1886)</x:f>
        <x:v>0</x:v>
      </x:c>
      <x:c r="I1886" s="16" t="str">
        <x:f>IF(H1886&gt;0,G1886/H1886,"n.a.")</x:f>
        <x:v>n.a.</x:v>
      </x:c>
      <x:c r="J1886" s="10" t="n">
        <x:f>IF('Данные'!E1886&gt;0,G1886/'Данные'!E1886,"n.a.")</x:f>
        <x:v>0</x:v>
      </x:c>
      <x:c r="K1886" s="1" t="str">
        <x:f>IF(G1886&gt;='Дашборд'!$C$51,"X","Z")</x:f>
        <x:v>Z</x:v>
      </x:c>
      <x:c r="L1886" s="1" t="str">
        <x:f>IF(H1886=0,IF(G1886&gt;0,"Нет остатка","Нет спроса"),IF(I1886&gt;='Дашборд'!$C$52,"Быстрый","Медленный"))</x:f>
        <x:v>Нет спроса</x:v>
      </x:c>
      <x:c r="M1886" s="1" t="str">
        <x:f>IF('Данные'!E1886&lt;'Дашборд'!$C$53,"Мало трафика",IF(J1886&lt;'Дашборд'!$C$9*'Дашборд'!$C$54,"Да","Нет"))</x:f>
        <x:v>Мало трафика</x:v>
      </x:c>
      <x:c r="N1886" s="1" t="str">
        <x:f>IF(AND('Данные'!D1886&gt;='Дашборд'!$C$55,D1886&lt;'Дашборд'!$C$56,'Данные'!E1886&gt;='Дашборд'!$C$53,'Данные'!L1886&lt;&gt;"Да"),"Да","Нет")</x:f>
        <x:v>Нет</x:v>
      </x:c>
      <x:c r="O1886" s="1" t="str">
        <x:f>'Данные'!L1886</x:f>
        <x:v>Нет</x:v>
      </x:c>
    </x:row>
    <x:row r="1887">
      <x:c r="A1887" s="1" t="str">
        <x:f>'Данные'!A1887</x:f>
        <x:v>192144325</x:v>
      </x:c>
      <x:c r="B1887" s="1" t="str">
        <x:f>'Данные'!B1887</x:f>
        <x:v>polopolosa/голубой</x:v>
      </x:c>
      <x:c r="C1887" s="8" t="n">
        <x:f>'Данные'!G1887</x:f>
        <x:v>0</x:v>
      </x:c>
      <x:c r="D1887" s="15" t="n">
        <x:f>C1887/SUM($C$5:$C$2477)</x:f>
        <x:v>0</x:v>
      </x:c>
      <x:c r="E1887" s="15" t="n">
        <x:f>SUM($D$5:D1887)</x:f>
        <x:v>1.0000000000000036</x:v>
      </x:c>
      <x:c r="F1887" s="1" t="str">
        <x:f>IF(C1887&lt;=0,"C",IF(E1887-D1887&lt;'Дашборд'!$C$49,"A",IF(E1887-D1887&lt;'Дашборд'!$C$50,"B","C")))</x:f>
        <x:v>C</x:v>
      </x:c>
      <x:c r="G1887" s="8" t="n">
        <x:f>'Данные'!F1887</x:f>
        <x:v>0</x:v>
      </x:c>
      <x:c r="H1887" s="8" t="n">
        <x:f>SUM('Данные'!H1887:I1887)</x:f>
        <x:v>0</x:v>
      </x:c>
      <x:c r="I1887" s="16" t="str">
        <x:f>IF(H1887&gt;0,G1887/H1887,"n.a.")</x:f>
        <x:v>n.a.</x:v>
      </x:c>
      <x:c r="J1887" s="10" t="n">
        <x:f>IF('Данные'!E1887&gt;0,G1887/'Данные'!E1887,"n.a.")</x:f>
        <x:v>0</x:v>
      </x:c>
      <x:c r="K1887" s="1" t="str">
        <x:f>IF(G1887&gt;='Дашборд'!$C$51,"X","Z")</x:f>
        <x:v>Z</x:v>
      </x:c>
      <x:c r="L1887" s="1" t="str">
        <x:f>IF(H1887=0,IF(G1887&gt;0,"Нет остатка","Нет спроса"),IF(I1887&gt;='Дашборд'!$C$52,"Быстрый","Медленный"))</x:f>
        <x:v>Нет спроса</x:v>
      </x:c>
      <x:c r="M1887" s="1" t="str">
        <x:f>IF('Данные'!E1887&lt;'Дашборд'!$C$53,"Мало трафика",IF(J1887&lt;'Дашборд'!$C$9*'Дашборд'!$C$54,"Да","Нет"))</x:f>
        <x:v>Мало трафика</x:v>
      </x:c>
      <x:c r="N1887" s="1" t="str">
        <x:f>IF(AND('Данные'!D1887&gt;='Дашборд'!$C$55,D1887&lt;'Дашборд'!$C$56,'Данные'!E1887&gt;='Дашборд'!$C$53,'Данные'!L1887&lt;&gt;"Да"),"Да","Нет")</x:f>
        <x:v>Нет</x:v>
      </x:c>
      <x:c r="O1887" s="1" t="str">
        <x:f>'Данные'!L1887</x:f>
        <x:v>Нет</x:v>
      </x:c>
    </x:row>
    <x:row r="1888">
      <x:c r="A1888" s="1" t="str">
        <x:f>'Данные'!A1888</x:f>
        <x:v>192144326</x:v>
      </x:c>
      <x:c r="B1888" s="1" t="str">
        <x:f>'Данные'!B1888</x:f>
        <x:v>polopolosa/серый</x:v>
      </x:c>
      <x:c r="C1888" s="8" t="n">
        <x:f>'Данные'!G1888</x:f>
        <x:v>0</x:v>
      </x:c>
      <x:c r="D1888" s="15" t="n">
        <x:f>C1888/SUM($C$5:$C$2477)</x:f>
        <x:v>0</x:v>
      </x:c>
      <x:c r="E1888" s="15" t="n">
        <x:f>SUM($D$5:D1888)</x:f>
        <x:v>1.0000000000000036</x:v>
      </x:c>
      <x:c r="F1888" s="1" t="str">
        <x:f>IF(C1888&lt;=0,"C",IF(E1888-D1888&lt;'Дашборд'!$C$49,"A",IF(E1888-D1888&lt;'Дашборд'!$C$50,"B","C")))</x:f>
        <x:v>C</x:v>
      </x:c>
      <x:c r="G1888" s="8" t="n">
        <x:f>'Данные'!F1888</x:f>
        <x:v>0</x:v>
      </x:c>
      <x:c r="H1888" s="8" t="n">
        <x:f>SUM('Данные'!H1888:I1888)</x:f>
        <x:v>0</x:v>
      </x:c>
      <x:c r="I1888" s="16" t="str">
        <x:f>IF(H1888&gt;0,G1888/H1888,"n.a.")</x:f>
        <x:v>n.a.</x:v>
      </x:c>
      <x:c r="J1888" s="10" t="n">
        <x:f>IF('Данные'!E1888&gt;0,G1888/'Данные'!E1888,"n.a.")</x:f>
        <x:v>0</x:v>
      </x:c>
      <x:c r="K1888" s="1" t="str">
        <x:f>IF(G1888&gt;='Дашборд'!$C$51,"X","Z")</x:f>
        <x:v>Z</x:v>
      </x:c>
      <x:c r="L1888" s="1" t="str">
        <x:f>IF(H1888=0,IF(G1888&gt;0,"Нет остатка","Нет спроса"),IF(I1888&gt;='Дашборд'!$C$52,"Быстрый","Медленный"))</x:f>
        <x:v>Нет спроса</x:v>
      </x:c>
      <x:c r="M1888" s="1" t="str">
        <x:f>IF('Данные'!E1888&lt;'Дашборд'!$C$53,"Мало трафика",IF(J1888&lt;'Дашборд'!$C$9*'Дашборд'!$C$54,"Да","Нет"))</x:f>
        <x:v>Мало трафика</x:v>
      </x:c>
      <x:c r="N1888" s="1" t="str">
        <x:f>IF(AND('Данные'!D1888&gt;='Дашборд'!$C$55,D1888&lt;'Дашборд'!$C$56,'Данные'!E1888&gt;='Дашборд'!$C$53,'Данные'!L1888&lt;&gt;"Да"),"Да","Нет")</x:f>
        <x:v>Нет</x:v>
      </x:c>
      <x:c r="O1888" s="1" t="str">
        <x:f>'Данные'!L1888</x:f>
        <x:v>Нет</x:v>
      </x:c>
    </x:row>
    <x:row r="1889">
      <x:c r="A1889" s="1" t="str">
        <x:f>'Данные'!A1889</x:f>
        <x:v>192144329</x:v>
      </x:c>
      <x:c r="B1889" s="1" t="str">
        <x:f>'Данные'!B1889</x:f>
        <x:v>polopolosa/бежевый</x:v>
      </x:c>
      <x:c r="C1889" s="8" t="n">
        <x:f>'Данные'!G1889</x:f>
        <x:v>0</x:v>
      </x:c>
      <x:c r="D1889" s="15" t="n">
        <x:f>C1889/SUM($C$5:$C$2477)</x:f>
        <x:v>0</x:v>
      </x:c>
      <x:c r="E1889" s="15" t="n">
        <x:f>SUM($D$5:D1889)</x:f>
        <x:v>1.0000000000000036</x:v>
      </x:c>
      <x:c r="F1889" s="1" t="str">
        <x:f>IF(C1889&lt;=0,"C",IF(E1889-D1889&lt;'Дашборд'!$C$49,"A",IF(E1889-D1889&lt;'Дашборд'!$C$50,"B","C")))</x:f>
        <x:v>C</x:v>
      </x:c>
      <x:c r="G1889" s="8" t="n">
        <x:f>'Данные'!F1889</x:f>
        <x:v>0</x:v>
      </x:c>
      <x:c r="H1889" s="8" t="n">
        <x:f>SUM('Данные'!H1889:I1889)</x:f>
        <x:v>0</x:v>
      </x:c>
      <x:c r="I1889" s="16" t="str">
        <x:f>IF(H1889&gt;0,G1889/H1889,"n.a.")</x:f>
        <x:v>n.a.</x:v>
      </x:c>
      <x:c r="J1889" s="10" t="n">
        <x:f>IF('Данные'!E1889&gt;0,G1889/'Данные'!E1889,"n.a.")</x:f>
        <x:v>0</x:v>
      </x:c>
      <x:c r="K1889" s="1" t="str">
        <x:f>IF(G1889&gt;='Дашборд'!$C$51,"X","Z")</x:f>
        <x:v>Z</x:v>
      </x:c>
      <x:c r="L1889" s="1" t="str">
        <x:f>IF(H1889=0,IF(G1889&gt;0,"Нет остатка","Нет спроса"),IF(I1889&gt;='Дашборд'!$C$52,"Быстрый","Медленный"))</x:f>
        <x:v>Нет спроса</x:v>
      </x:c>
      <x:c r="M1889" s="1" t="str">
        <x:f>IF('Данные'!E1889&lt;'Дашборд'!$C$53,"Мало трафика",IF(J1889&lt;'Дашборд'!$C$9*'Дашборд'!$C$54,"Да","Нет"))</x:f>
        <x:v>Мало трафика</x:v>
      </x:c>
      <x:c r="N1889" s="1" t="str">
        <x:f>IF(AND('Данные'!D1889&gt;='Дашборд'!$C$55,D1889&lt;'Дашборд'!$C$56,'Данные'!E1889&gt;='Дашборд'!$C$53,'Данные'!L1889&lt;&gt;"Да"),"Да","Нет")</x:f>
        <x:v>Нет</x:v>
      </x:c>
      <x:c r="O1889" s="1" t="str">
        <x:f>'Данные'!L1889</x:f>
        <x:v>Нет</x:v>
      </x:c>
    </x:row>
    <x:row r="1890">
      <x:c r="A1890" s="1" t="str">
        <x:f>'Данные'!A1890</x:f>
        <x:v>193100160</x:v>
      </x:c>
      <x:c r="B1890" s="1" t="str">
        <x:f>'Данные'!B1890</x:f>
        <x:v>svitshotzip1/серыймеланж</x:v>
      </x:c>
      <x:c r="C1890" s="8" t="n">
        <x:f>'Данные'!G1890</x:f>
        <x:v>0</x:v>
      </x:c>
      <x:c r="D1890" s="15" t="n">
        <x:f>C1890/SUM($C$5:$C$2477)</x:f>
        <x:v>0</x:v>
      </x:c>
      <x:c r="E1890" s="15" t="n">
        <x:f>SUM($D$5:D1890)</x:f>
        <x:v>1.0000000000000036</x:v>
      </x:c>
      <x:c r="F1890" s="1" t="str">
        <x:f>IF(C1890&lt;=0,"C",IF(E1890-D1890&lt;'Дашборд'!$C$49,"A",IF(E1890-D1890&lt;'Дашборд'!$C$50,"B","C")))</x:f>
        <x:v>C</x:v>
      </x:c>
      <x:c r="G1890" s="8" t="n">
        <x:f>'Данные'!F1890</x:f>
        <x:v>0</x:v>
      </x:c>
      <x:c r="H1890" s="8" t="n">
        <x:f>SUM('Данные'!H1890:I1890)</x:f>
        <x:v>0</x:v>
      </x:c>
      <x:c r="I1890" s="16" t="str">
        <x:f>IF(H1890&gt;0,G1890/H1890,"n.a.")</x:f>
        <x:v>n.a.</x:v>
      </x:c>
      <x:c r="J1890" s="10" t="n">
        <x:f>IF('Данные'!E1890&gt;0,G1890/'Данные'!E1890,"n.a.")</x:f>
        <x:v>0</x:v>
      </x:c>
      <x:c r="K1890" s="1" t="str">
        <x:f>IF(G1890&gt;='Дашборд'!$C$51,"X","Z")</x:f>
        <x:v>Z</x:v>
      </x:c>
      <x:c r="L1890" s="1" t="str">
        <x:f>IF(H1890=0,IF(G1890&gt;0,"Нет остатка","Нет спроса"),IF(I1890&gt;='Дашборд'!$C$52,"Быстрый","Медленный"))</x:f>
        <x:v>Нет спроса</x:v>
      </x:c>
      <x:c r="M1890" s="1" t="str">
        <x:f>IF('Данные'!E1890&lt;'Дашборд'!$C$53,"Мало трафика",IF(J1890&lt;'Дашборд'!$C$9*'Дашборд'!$C$54,"Да","Нет"))</x:f>
        <x:v>Мало трафика</x:v>
      </x:c>
      <x:c r="N1890" s="1" t="str">
        <x:f>IF(AND('Данные'!D1890&gt;='Дашборд'!$C$55,D1890&lt;'Дашборд'!$C$56,'Данные'!E1890&gt;='Дашборд'!$C$53,'Данные'!L1890&lt;&gt;"Да"),"Да","Нет")</x:f>
        <x:v>Нет</x:v>
      </x:c>
      <x:c r="O1890" s="1" t="str">
        <x:f>'Данные'!L1890</x:f>
        <x:v>Нет</x:v>
      </x:c>
    </x:row>
    <x:row r="1891">
      <x:c r="A1891" s="1" t="str">
        <x:f>'Данные'!A1891</x:f>
        <x:v>193111414</x:v>
      </x:c>
      <x:c r="B1891" s="1" t="str">
        <x:f>'Данные'!B1891</x:f>
        <x:v>svitshotzipman1/черный</x:v>
      </x:c>
      <x:c r="C1891" s="8" t="n">
        <x:f>'Данные'!G1891</x:f>
        <x:v>0</x:v>
      </x:c>
      <x:c r="D1891" s="15" t="n">
        <x:f>C1891/SUM($C$5:$C$2477)</x:f>
        <x:v>0</x:v>
      </x:c>
      <x:c r="E1891" s="15" t="n">
        <x:f>SUM($D$5:D1891)</x:f>
        <x:v>1.0000000000000036</x:v>
      </x:c>
      <x:c r="F1891" s="1" t="str">
        <x:f>IF(C1891&lt;=0,"C",IF(E1891-D1891&lt;'Дашборд'!$C$49,"A",IF(E1891-D1891&lt;'Дашборд'!$C$50,"B","C")))</x:f>
        <x:v>C</x:v>
      </x:c>
      <x:c r="G1891" s="8" t="n">
        <x:f>'Данные'!F1891</x:f>
        <x:v>0</x:v>
      </x:c>
      <x:c r="H1891" s="8" t="n">
        <x:f>SUM('Данные'!H1891:I1891)</x:f>
        <x:v>0</x:v>
      </x:c>
      <x:c r="I1891" s="16" t="str">
        <x:f>IF(H1891&gt;0,G1891/H1891,"n.a.")</x:f>
        <x:v>n.a.</x:v>
      </x:c>
      <x:c r="J1891" s="10" t="n">
        <x:f>IF('Данные'!E1891&gt;0,G1891/'Данные'!E1891,"n.a.")</x:f>
        <x:v>0</x:v>
      </x:c>
      <x:c r="K1891" s="1" t="str">
        <x:f>IF(G1891&gt;='Дашборд'!$C$51,"X","Z")</x:f>
        <x:v>Z</x:v>
      </x:c>
      <x:c r="L1891" s="1" t="str">
        <x:f>IF(H1891=0,IF(G1891&gt;0,"Нет остатка","Нет спроса"),IF(I1891&gt;='Дашборд'!$C$52,"Быстрый","Медленный"))</x:f>
        <x:v>Нет спроса</x:v>
      </x:c>
      <x:c r="M1891" s="1" t="str">
        <x:f>IF('Данные'!E1891&lt;'Дашборд'!$C$53,"Мало трафика",IF(J1891&lt;'Дашборд'!$C$9*'Дашборд'!$C$54,"Да","Нет"))</x:f>
        <x:v>Мало трафика</x:v>
      </x:c>
      <x:c r="N1891" s="1" t="str">
        <x:f>IF(AND('Данные'!D1891&gt;='Дашборд'!$C$55,D1891&lt;'Дашборд'!$C$56,'Данные'!E1891&gt;='Дашборд'!$C$53,'Данные'!L1891&lt;&gt;"Да"),"Да","Нет")</x:f>
        <x:v>Нет</x:v>
      </x:c>
      <x:c r="O1891" s="1" t="str">
        <x:f>'Данные'!L1891</x:f>
        <x:v>Нет</x:v>
      </x:c>
    </x:row>
    <x:row r="1892">
      <x:c r="A1892" s="1" t="str">
        <x:f>'Данные'!A1892</x:f>
        <x:v>193111418</x:v>
      </x:c>
      <x:c r="B1892" s="1" t="str">
        <x:f>'Данные'!B1892</x:f>
        <x:v>svitshotzipman1/молочный</x:v>
      </x:c>
      <x:c r="C1892" s="8" t="n">
        <x:f>'Данные'!G1892</x:f>
        <x:v>0</x:v>
      </x:c>
      <x:c r="D1892" s="15" t="n">
        <x:f>C1892/SUM($C$5:$C$2477)</x:f>
        <x:v>0</x:v>
      </x:c>
      <x:c r="E1892" s="15" t="n">
        <x:f>SUM($D$5:D1892)</x:f>
        <x:v>1.0000000000000036</x:v>
      </x:c>
      <x:c r="F1892" s="1" t="str">
        <x:f>IF(C1892&lt;=0,"C",IF(E1892-D1892&lt;'Дашборд'!$C$49,"A",IF(E1892-D1892&lt;'Дашборд'!$C$50,"B","C")))</x:f>
        <x:v>C</x:v>
      </x:c>
      <x:c r="G1892" s="8" t="n">
        <x:f>'Данные'!F1892</x:f>
        <x:v>0</x:v>
      </x:c>
      <x:c r="H1892" s="8" t="n">
        <x:f>SUM('Данные'!H1892:I1892)</x:f>
        <x:v>0</x:v>
      </x:c>
      <x:c r="I1892" s="16" t="str">
        <x:f>IF(H1892&gt;0,G1892/H1892,"n.a.")</x:f>
        <x:v>n.a.</x:v>
      </x:c>
      <x:c r="J1892" s="10" t="n">
        <x:f>IF('Данные'!E1892&gt;0,G1892/'Данные'!E1892,"n.a.")</x:f>
        <x:v>0</x:v>
      </x:c>
      <x:c r="K1892" s="1" t="str">
        <x:f>IF(G1892&gt;='Дашборд'!$C$51,"X","Z")</x:f>
        <x:v>Z</x:v>
      </x:c>
      <x:c r="L1892" s="1" t="str">
        <x:f>IF(H1892=0,IF(G1892&gt;0,"Нет остатка","Нет спроса"),IF(I1892&gt;='Дашборд'!$C$52,"Быстрый","Медленный"))</x:f>
        <x:v>Нет спроса</x:v>
      </x:c>
      <x:c r="M1892" s="1" t="str">
        <x:f>IF('Данные'!E1892&lt;'Дашборд'!$C$53,"Мало трафика",IF(J1892&lt;'Дашборд'!$C$9*'Дашборд'!$C$54,"Да","Нет"))</x:f>
        <x:v>Мало трафика</x:v>
      </x:c>
      <x:c r="N1892" s="1" t="str">
        <x:f>IF(AND('Данные'!D1892&gt;='Дашборд'!$C$55,D1892&lt;'Дашборд'!$C$56,'Данные'!E1892&gt;='Дашборд'!$C$53,'Данные'!L1892&lt;&gt;"Да"),"Да","Нет")</x:f>
        <x:v>Нет</x:v>
      </x:c>
      <x:c r="O1892" s="1" t="str">
        <x:f>'Данные'!L1892</x:f>
        <x:v>Нет</x:v>
      </x:c>
    </x:row>
    <x:row r="1893">
      <x:c r="A1893" s="1" t="str">
        <x:f>'Данные'!A1893</x:f>
        <x:v>193339868</x:v>
      </x:c>
      <x:c r="B1893" s="1" t="str">
        <x:f>'Данные'!B1893</x:f>
        <x:v>WK2315-1518-2</x:v>
      </x:c>
      <x:c r="C1893" s="8" t="n">
        <x:f>'Данные'!G1893</x:f>
        <x:v>0</x:v>
      </x:c>
      <x:c r="D1893" s="15" t="n">
        <x:f>C1893/SUM($C$5:$C$2477)</x:f>
        <x:v>0</x:v>
      </x:c>
      <x:c r="E1893" s="15" t="n">
        <x:f>SUM($D$5:D1893)</x:f>
        <x:v>1.0000000000000036</x:v>
      </x:c>
      <x:c r="F1893" s="1" t="str">
        <x:f>IF(C1893&lt;=0,"C",IF(E1893-D1893&lt;'Дашборд'!$C$49,"A",IF(E1893-D1893&lt;'Дашборд'!$C$50,"B","C")))</x:f>
        <x:v>C</x:v>
      </x:c>
      <x:c r="G1893" s="8" t="n">
        <x:f>'Данные'!F1893</x:f>
        <x:v>0</x:v>
      </x:c>
      <x:c r="H1893" s="8" t="n">
        <x:f>SUM('Данные'!H1893:I1893)</x:f>
        <x:v>0</x:v>
      </x:c>
      <x:c r="I1893" s="16" t="str">
        <x:f>IF(H1893&gt;0,G1893/H1893,"n.a.")</x:f>
        <x:v>n.a.</x:v>
      </x:c>
      <x:c r="J1893" s="10" t="n">
        <x:f>IF('Данные'!E1893&gt;0,G1893/'Данные'!E1893,"n.a.")</x:f>
        <x:v>0</x:v>
      </x:c>
      <x:c r="K1893" s="1" t="str">
        <x:f>IF(G1893&gt;='Дашборд'!$C$51,"X","Z")</x:f>
        <x:v>Z</x:v>
      </x:c>
      <x:c r="L1893" s="1" t="str">
        <x:f>IF(H1893=0,IF(G1893&gt;0,"Нет остатка","Нет спроса"),IF(I1893&gt;='Дашборд'!$C$52,"Быстрый","Медленный"))</x:f>
        <x:v>Нет спроса</x:v>
      </x:c>
      <x:c r="M1893" s="1" t="str">
        <x:f>IF('Данные'!E1893&lt;'Дашборд'!$C$53,"Мало трафика",IF(J1893&lt;'Дашборд'!$C$9*'Дашборд'!$C$54,"Да","Нет"))</x:f>
        <x:v>Мало трафика</x:v>
      </x:c>
      <x:c r="N1893" s="1" t="str">
        <x:f>IF(AND('Данные'!D1893&gt;='Дашборд'!$C$55,D1893&lt;'Дашборд'!$C$56,'Данные'!E1893&gt;='Дашборд'!$C$53,'Данные'!L1893&lt;&gt;"Да"),"Да","Нет")</x:f>
        <x:v>Нет</x:v>
      </x:c>
      <x:c r="O1893" s="1" t="str">
        <x:f>'Данные'!L1893</x:f>
        <x:v>Нет</x:v>
      </x:c>
    </x:row>
    <x:row r="1894">
      <x:c r="A1894" s="1" t="str">
        <x:f>'Данные'!A1894</x:f>
        <x:v>193733330</x:v>
      </x:c>
      <x:c r="B1894" s="1" t="str">
        <x:f>'Данные'!B1894</x:f>
        <x:v>hudi1size/бежевый</x:v>
      </x:c>
      <x:c r="C1894" s="8" t="n">
        <x:f>'Данные'!G1894</x:f>
        <x:v>0</x:v>
      </x:c>
      <x:c r="D1894" s="15" t="n">
        <x:f>C1894/SUM($C$5:$C$2477)</x:f>
        <x:v>0</x:v>
      </x:c>
      <x:c r="E1894" s="15" t="n">
        <x:f>SUM($D$5:D1894)</x:f>
        <x:v>1.0000000000000036</x:v>
      </x:c>
      <x:c r="F1894" s="1" t="str">
        <x:f>IF(C1894&lt;=0,"C",IF(E1894-D1894&lt;'Дашборд'!$C$49,"A",IF(E1894-D1894&lt;'Дашборд'!$C$50,"B","C")))</x:f>
        <x:v>C</x:v>
      </x:c>
      <x:c r="G1894" s="8" t="n">
        <x:f>'Данные'!F1894</x:f>
        <x:v>0</x:v>
      </x:c>
      <x:c r="H1894" s="8" t="n">
        <x:f>SUM('Данные'!H1894:I1894)</x:f>
        <x:v>0</x:v>
      </x:c>
      <x:c r="I1894" s="16" t="str">
        <x:f>IF(H1894&gt;0,G1894/H1894,"n.a.")</x:f>
        <x:v>n.a.</x:v>
      </x:c>
      <x:c r="J1894" s="10" t="n">
        <x:f>IF('Данные'!E1894&gt;0,G1894/'Данные'!E1894,"n.a.")</x:f>
        <x:v>0</x:v>
      </x:c>
      <x:c r="K1894" s="1" t="str">
        <x:f>IF(G1894&gt;='Дашборд'!$C$51,"X","Z")</x:f>
        <x:v>Z</x:v>
      </x:c>
      <x:c r="L1894" s="1" t="str">
        <x:f>IF(H1894=0,IF(G1894&gt;0,"Нет остатка","Нет спроса"),IF(I1894&gt;='Дашборд'!$C$52,"Быстрый","Медленный"))</x:f>
        <x:v>Нет спроса</x:v>
      </x:c>
      <x:c r="M1894" s="1" t="str">
        <x:f>IF('Данные'!E1894&lt;'Дашборд'!$C$53,"Мало трафика",IF(J1894&lt;'Дашборд'!$C$9*'Дашборд'!$C$54,"Да","Нет"))</x:f>
        <x:v>Мало трафика</x:v>
      </x:c>
      <x:c r="N1894" s="1" t="str">
        <x:f>IF(AND('Данные'!D1894&gt;='Дашборд'!$C$55,D1894&lt;'Дашборд'!$C$56,'Данные'!E1894&gt;='Дашборд'!$C$53,'Данные'!L1894&lt;&gt;"Да"),"Да","Нет")</x:f>
        <x:v>Нет</x:v>
      </x:c>
      <x:c r="O1894" s="1" t="str">
        <x:f>'Данные'!L1894</x:f>
        <x:v>Нет</x:v>
      </x:c>
    </x:row>
    <x:row r="1895">
      <x:c r="A1895" s="1" t="str">
        <x:f>'Данные'!A1895</x:f>
        <x:v>194922744</x:v>
      </x:c>
      <x:c r="B1895" s="1" t="str">
        <x:f>'Данные'!B1895</x:f>
        <x:v>svitshotzipman1/серый</x:v>
      </x:c>
      <x:c r="C1895" s="8" t="n">
        <x:f>'Данные'!G1895</x:f>
        <x:v>0</x:v>
      </x:c>
      <x:c r="D1895" s="15" t="n">
        <x:f>C1895/SUM($C$5:$C$2477)</x:f>
        <x:v>0</x:v>
      </x:c>
      <x:c r="E1895" s="15" t="n">
        <x:f>SUM($D$5:D1895)</x:f>
        <x:v>1.0000000000000036</x:v>
      </x:c>
      <x:c r="F1895" s="1" t="str">
        <x:f>IF(C1895&lt;=0,"C",IF(E1895-D1895&lt;'Дашборд'!$C$49,"A",IF(E1895-D1895&lt;'Дашборд'!$C$50,"B","C")))</x:f>
        <x:v>C</x:v>
      </x:c>
      <x:c r="G1895" s="8" t="n">
        <x:f>'Данные'!F1895</x:f>
        <x:v>0</x:v>
      </x:c>
      <x:c r="H1895" s="8" t="n">
        <x:f>SUM('Данные'!H1895:I1895)</x:f>
        <x:v>0</x:v>
      </x:c>
      <x:c r="I1895" s="16" t="str">
        <x:f>IF(H1895&gt;0,G1895/H1895,"n.a.")</x:f>
        <x:v>n.a.</x:v>
      </x:c>
      <x:c r="J1895" s="10" t="n">
        <x:f>IF('Данные'!E1895&gt;0,G1895/'Данные'!E1895,"n.a.")</x:f>
        <x:v>0</x:v>
      </x:c>
      <x:c r="K1895" s="1" t="str">
        <x:f>IF(G1895&gt;='Дашборд'!$C$51,"X","Z")</x:f>
        <x:v>Z</x:v>
      </x:c>
      <x:c r="L1895" s="1" t="str">
        <x:f>IF(H1895=0,IF(G1895&gt;0,"Нет остатка","Нет спроса"),IF(I1895&gt;='Дашборд'!$C$52,"Быстрый","Медленный"))</x:f>
        <x:v>Нет спроса</x:v>
      </x:c>
      <x:c r="M1895" s="1" t="str">
        <x:f>IF('Данные'!E1895&lt;'Дашборд'!$C$53,"Мало трафика",IF(J1895&lt;'Дашборд'!$C$9*'Дашборд'!$C$54,"Да","Нет"))</x:f>
        <x:v>Мало трафика</x:v>
      </x:c>
      <x:c r="N1895" s="1" t="str">
        <x:f>IF(AND('Данные'!D1895&gt;='Дашборд'!$C$55,D1895&lt;'Дашборд'!$C$56,'Данные'!E1895&gt;='Дашборд'!$C$53,'Данные'!L1895&lt;&gt;"Да"),"Да","Нет")</x:f>
        <x:v>Нет</x:v>
      </x:c>
      <x:c r="O1895" s="1" t="str">
        <x:f>'Данные'!L1895</x:f>
        <x:v>Нет</x:v>
      </x:c>
    </x:row>
    <x:row r="1896">
      <x:c r="A1896" s="1" t="str">
        <x:f>'Данные'!A1896</x:f>
        <x:v>194922746</x:v>
      </x:c>
      <x:c r="B1896" s="1" t="str">
        <x:f>'Данные'!B1896</x:f>
        <x:v>svitshotzipman1/темно-серый</x:v>
      </x:c>
      <x:c r="C1896" s="8" t="n">
        <x:f>'Данные'!G1896</x:f>
        <x:v>0</x:v>
      </x:c>
      <x:c r="D1896" s="15" t="n">
        <x:f>C1896/SUM($C$5:$C$2477)</x:f>
        <x:v>0</x:v>
      </x:c>
      <x:c r="E1896" s="15" t="n">
        <x:f>SUM($D$5:D1896)</x:f>
        <x:v>1.0000000000000036</x:v>
      </x:c>
      <x:c r="F1896" s="1" t="str">
        <x:f>IF(C1896&lt;=0,"C",IF(E1896-D1896&lt;'Дашборд'!$C$49,"A",IF(E1896-D1896&lt;'Дашборд'!$C$50,"B","C")))</x:f>
        <x:v>C</x:v>
      </x:c>
      <x:c r="G1896" s="8" t="n">
        <x:f>'Данные'!F1896</x:f>
        <x:v>0</x:v>
      </x:c>
      <x:c r="H1896" s="8" t="n">
        <x:f>SUM('Данные'!H1896:I1896)</x:f>
        <x:v>0</x:v>
      </x:c>
      <x:c r="I1896" s="16" t="str">
        <x:f>IF(H1896&gt;0,G1896/H1896,"n.a.")</x:f>
        <x:v>n.a.</x:v>
      </x:c>
      <x:c r="J1896" s="10" t="n">
        <x:f>IF('Данные'!E1896&gt;0,G1896/'Данные'!E1896,"n.a.")</x:f>
        <x:v>0</x:v>
      </x:c>
      <x:c r="K1896" s="1" t="str">
        <x:f>IF(G1896&gt;='Дашборд'!$C$51,"X","Z")</x:f>
        <x:v>Z</x:v>
      </x:c>
      <x:c r="L1896" s="1" t="str">
        <x:f>IF(H1896=0,IF(G1896&gt;0,"Нет остатка","Нет спроса"),IF(I1896&gt;='Дашборд'!$C$52,"Быстрый","Медленный"))</x:f>
        <x:v>Нет спроса</x:v>
      </x:c>
      <x:c r="M1896" s="1" t="str">
        <x:f>IF('Данные'!E1896&lt;'Дашборд'!$C$53,"Мало трафика",IF(J1896&lt;'Дашборд'!$C$9*'Дашборд'!$C$54,"Да","Нет"))</x:f>
        <x:v>Мало трафика</x:v>
      </x:c>
      <x:c r="N1896" s="1" t="str">
        <x:f>IF(AND('Данные'!D1896&gt;='Дашборд'!$C$55,D1896&lt;'Дашборд'!$C$56,'Данные'!E1896&gt;='Дашборд'!$C$53,'Данные'!L1896&lt;&gt;"Да"),"Да","Нет")</x:f>
        <x:v>Нет</x:v>
      </x:c>
      <x:c r="O1896" s="1" t="str">
        <x:f>'Данные'!L1896</x:f>
        <x:v>Нет</x:v>
      </x:c>
    </x:row>
    <x:row r="1897">
      <x:c r="A1897" s="1" t="str">
        <x:f>'Данные'!A1897</x:f>
        <x:v>194931700</x:v>
      </x:c>
      <x:c r="B1897" s="1" t="str">
        <x:f>'Данные'!B1897</x:f>
        <x:v>hudi1size/бордовый</x:v>
      </x:c>
      <x:c r="C1897" s="8" t="n">
        <x:f>'Данные'!G1897</x:f>
        <x:v>0</x:v>
      </x:c>
      <x:c r="D1897" s="15" t="n">
        <x:f>C1897/SUM($C$5:$C$2477)</x:f>
        <x:v>0</x:v>
      </x:c>
      <x:c r="E1897" s="15" t="n">
        <x:f>SUM($D$5:D1897)</x:f>
        <x:v>1.0000000000000036</x:v>
      </x:c>
      <x:c r="F1897" s="1" t="str">
        <x:f>IF(C1897&lt;=0,"C",IF(E1897-D1897&lt;'Дашборд'!$C$49,"A",IF(E1897-D1897&lt;'Дашборд'!$C$50,"B","C")))</x:f>
        <x:v>C</x:v>
      </x:c>
      <x:c r="G1897" s="8" t="n">
        <x:f>'Данные'!F1897</x:f>
        <x:v>0</x:v>
      </x:c>
      <x:c r="H1897" s="8" t="n">
        <x:f>SUM('Данные'!H1897:I1897)</x:f>
        <x:v>0</x:v>
      </x:c>
      <x:c r="I1897" s="16" t="str">
        <x:f>IF(H1897&gt;0,G1897/H1897,"n.a.")</x:f>
        <x:v>n.a.</x:v>
      </x:c>
      <x:c r="J1897" s="10" t="n">
        <x:f>IF('Данные'!E1897&gt;0,G1897/'Данные'!E1897,"n.a.")</x:f>
        <x:v>0</x:v>
      </x:c>
      <x:c r="K1897" s="1" t="str">
        <x:f>IF(G1897&gt;='Дашборд'!$C$51,"X","Z")</x:f>
        <x:v>Z</x:v>
      </x:c>
      <x:c r="L1897" s="1" t="str">
        <x:f>IF(H1897=0,IF(G1897&gt;0,"Нет остатка","Нет спроса"),IF(I1897&gt;='Дашборд'!$C$52,"Быстрый","Медленный"))</x:f>
        <x:v>Нет спроса</x:v>
      </x:c>
      <x:c r="M1897" s="1" t="str">
        <x:f>IF('Данные'!E1897&lt;'Дашборд'!$C$53,"Мало трафика",IF(J1897&lt;'Дашборд'!$C$9*'Дашборд'!$C$54,"Да","Нет"))</x:f>
        <x:v>Мало трафика</x:v>
      </x:c>
      <x:c r="N1897" s="1" t="str">
        <x:f>IF(AND('Данные'!D1897&gt;='Дашборд'!$C$55,D1897&lt;'Дашборд'!$C$56,'Данные'!E1897&gt;='Дашборд'!$C$53,'Данные'!L1897&lt;&gt;"Да"),"Да","Нет")</x:f>
        <x:v>Нет</x:v>
      </x:c>
      <x:c r="O1897" s="1" t="str">
        <x:f>'Данные'!L1897</x:f>
        <x:v>Нет</x:v>
      </x:c>
    </x:row>
    <x:row r="1898">
      <x:c r="A1898" s="1" t="str">
        <x:f>'Данные'!A1898</x:f>
        <x:v>194931714</x:v>
      </x:c>
      <x:c r="B1898" s="1" t="str">
        <x:f>'Данные'!B1898</x:f>
        <x:v>hudi1size/морскаяволна</x:v>
      </x:c>
      <x:c r="C1898" s="8" t="n">
        <x:f>'Данные'!G1898</x:f>
        <x:v>0</x:v>
      </x:c>
      <x:c r="D1898" s="15" t="n">
        <x:f>C1898/SUM($C$5:$C$2477)</x:f>
        <x:v>0</x:v>
      </x:c>
      <x:c r="E1898" s="15" t="n">
        <x:f>SUM($D$5:D1898)</x:f>
        <x:v>1.0000000000000036</x:v>
      </x:c>
      <x:c r="F1898" s="1" t="str">
        <x:f>IF(C1898&lt;=0,"C",IF(E1898-D1898&lt;'Дашборд'!$C$49,"A",IF(E1898-D1898&lt;'Дашборд'!$C$50,"B","C")))</x:f>
        <x:v>C</x:v>
      </x:c>
      <x:c r="G1898" s="8" t="n">
        <x:f>'Данные'!F1898</x:f>
        <x:v>0</x:v>
      </x:c>
      <x:c r="H1898" s="8" t="n">
        <x:f>SUM('Данные'!H1898:I1898)</x:f>
        <x:v>0</x:v>
      </x:c>
      <x:c r="I1898" s="16" t="str">
        <x:f>IF(H1898&gt;0,G1898/H1898,"n.a.")</x:f>
        <x:v>n.a.</x:v>
      </x:c>
      <x:c r="J1898" s="10" t="n">
        <x:f>IF('Данные'!E1898&gt;0,G1898/'Данные'!E1898,"n.a.")</x:f>
        <x:v>0</x:v>
      </x:c>
      <x:c r="K1898" s="1" t="str">
        <x:f>IF(G1898&gt;='Дашборд'!$C$51,"X","Z")</x:f>
        <x:v>Z</x:v>
      </x:c>
      <x:c r="L1898" s="1" t="str">
        <x:f>IF(H1898=0,IF(G1898&gt;0,"Нет остатка","Нет спроса"),IF(I1898&gt;='Дашборд'!$C$52,"Быстрый","Медленный"))</x:f>
        <x:v>Нет спроса</x:v>
      </x:c>
      <x:c r="M1898" s="1" t="str">
        <x:f>IF('Данные'!E1898&lt;'Дашборд'!$C$53,"Мало трафика",IF(J1898&lt;'Дашборд'!$C$9*'Дашборд'!$C$54,"Да","Нет"))</x:f>
        <x:v>Мало трафика</x:v>
      </x:c>
      <x:c r="N1898" s="1" t="str">
        <x:f>IF(AND('Данные'!D1898&gt;='Дашборд'!$C$55,D1898&lt;'Дашборд'!$C$56,'Данные'!E1898&gt;='Дашборд'!$C$53,'Данные'!L1898&lt;&gt;"Да"),"Да","Нет")</x:f>
        <x:v>Нет</x:v>
      </x:c>
      <x:c r="O1898" s="1" t="str">
        <x:f>'Данные'!L1898</x:f>
        <x:v>Нет</x:v>
      </x:c>
    </x:row>
    <x:row r="1899">
      <x:c r="A1899" s="1" t="str">
        <x:f>'Данные'!A1899</x:f>
        <x:v>194931726</x:v>
      </x:c>
      <x:c r="B1899" s="1" t="str">
        <x:f>'Данные'!B1899</x:f>
        <x:v>hudi1size/фуксия</x:v>
      </x:c>
      <x:c r="C1899" s="8" t="n">
        <x:f>'Данные'!G1899</x:f>
        <x:v>0</x:v>
      </x:c>
      <x:c r="D1899" s="15" t="n">
        <x:f>C1899/SUM($C$5:$C$2477)</x:f>
        <x:v>0</x:v>
      </x:c>
      <x:c r="E1899" s="15" t="n">
        <x:f>SUM($D$5:D1899)</x:f>
        <x:v>1.0000000000000036</x:v>
      </x:c>
      <x:c r="F1899" s="1" t="str">
        <x:f>IF(C1899&lt;=0,"C",IF(E1899-D1899&lt;'Дашборд'!$C$49,"A",IF(E1899-D1899&lt;'Дашборд'!$C$50,"B","C")))</x:f>
        <x:v>C</x:v>
      </x:c>
      <x:c r="G1899" s="8" t="n">
        <x:f>'Данные'!F1899</x:f>
        <x:v>0</x:v>
      </x:c>
      <x:c r="H1899" s="8" t="n">
        <x:f>SUM('Данные'!H1899:I1899)</x:f>
        <x:v>0</x:v>
      </x:c>
      <x:c r="I1899" s="16" t="str">
        <x:f>IF(H1899&gt;0,G1899/H1899,"n.a.")</x:f>
        <x:v>n.a.</x:v>
      </x:c>
      <x:c r="J1899" s="10" t="n">
        <x:f>IF('Данные'!E1899&gt;0,G1899/'Данные'!E1899,"n.a.")</x:f>
        <x:v>0</x:v>
      </x:c>
      <x:c r="K1899" s="1" t="str">
        <x:f>IF(G1899&gt;='Дашборд'!$C$51,"X","Z")</x:f>
        <x:v>Z</x:v>
      </x:c>
      <x:c r="L1899" s="1" t="str">
        <x:f>IF(H1899=0,IF(G1899&gt;0,"Нет остатка","Нет спроса"),IF(I1899&gt;='Дашборд'!$C$52,"Быстрый","Медленный"))</x:f>
        <x:v>Нет спроса</x:v>
      </x:c>
      <x:c r="M1899" s="1" t="str">
        <x:f>IF('Данные'!E1899&lt;'Дашборд'!$C$53,"Мало трафика",IF(J1899&lt;'Дашборд'!$C$9*'Дашборд'!$C$54,"Да","Нет"))</x:f>
        <x:v>Мало трафика</x:v>
      </x:c>
      <x:c r="N1899" s="1" t="str">
        <x:f>IF(AND('Данные'!D1899&gt;='Дашборд'!$C$55,D1899&lt;'Дашборд'!$C$56,'Данные'!E1899&gt;='Дашборд'!$C$53,'Данные'!L1899&lt;&gt;"Да"),"Да","Нет")</x:f>
        <x:v>Нет</x:v>
      </x:c>
      <x:c r="O1899" s="1" t="str">
        <x:f>'Данные'!L1899</x:f>
        <x:v>Нет</x:v>
      </x:c>
    </x:row>
    <x:row r="1900">
      <x:c r="A1900" s="1" t="str">
        <x:f>'Данные'!A1900</x:f>
        <x:v>194931729</x:v>
      </x:c>
      <x:c r="B1900" s="1" t="str">
        <x:f>'Данные'!B1900</x:f>
        <x:v>hudi1size/светло-фиолетовый</x:v>
      </x:c>
      <x:c r="C1900" s="8" t="n">
        <x:f>'Данные'!G1900</x:f>
        <x:v>0</x:v>
      </x:c>
      <x:c r="D1900" s="15" t="n">
        <x:f>C1900/SUM($C$5:$C$2477)</x:f>
        <x:v>0</x:v>
      </x:c>
      <x:c r="E1900" s="15" t="n">
        <x:f>SUM($D$5:D1900)</x:f>
        <x:v>1.0000000000000036</x:v>
      </x:c>
      <x:c r="F1900" s="1" t="str">
        <x:f>IF(C1900&lt;=0,"C",IF(E1900-D1900&lt;'Дашборд'!$C$49,"A",IF(E1900-D1900&lt;'Дашборд'!$C$50,"B","C")))</x:f>
        <x:v>C</x:v>
      </x:c>
      <x:c r="G1900" s="8" t="n">
        <x:f>'Данные'!F1900</x:f>
        <x:v>2</x:v>
      </x:c>
      <x:c r="H1900" s="8" t="n">
        <x:f>SUM('Данные'!H1900:I1900)</x:f>
        <x:v>0</x:v>
      </x:c>
      <x:c r="I1900" s="16" t="str">
        <x:f>IF(H1900&gt;0,G1900/H1900,"n.a.")</x:f>
        <x:v>n.a.</x:v>
      </x:c>
      <x:c r="J1900" s="10" t="n">
        <x:f>IF('Данные'!E1900&gt;0,G1900/'Данные'!E1900,"n.a.")</x:f>
        <x:v>0.008968609865470852</x:v>
      </x:c>
      <x:c r="K1900" s="1" t="str">
        <x:f>IF(G1900&gt;='Дашборд'!$C$51,"X","Z")</x:f>
        <x:v>Z</x:v>
      </x:c>
      <x:c r="L1900" s="1" t="str">
        <x:f>IF(H1900=0,IF(G1900&gt;0,"Нет остатка","Нет спроса"),IF(I1900&gt;='Дашборд'!$C$52,"Быстрый","Медленный"))</x:f>
        <x:v>Нет остатка</x:v>
      </x:c>
      <x:c r="M1900" s="1" t="str">
        <x:f>IF('Данные'!E1900&lt;'Дашборд'!$C$53,"Мало трафика",IF(J1900&lt;'Дашборд'!$C$9*'Дашборд'!$C$54,"Да","Нет"))</x:f>
        <x:v>Мало трафика</x:v>
      </x:c>
      <x:c r="N1900" s="1" t="str">
        <x:f>IF(AND('Данные'!D1900&gt;='Дашборд'!$C$55,D1900&lt;'Дашборд'!$C$56,'Данные'!E1900&gt;='Дашборд'!$C$53,'Данные'!L1900&lt;&gt;"Да"),"Да","Нет")</x:f>
        <x:v>Нет</x:v>
      </x:c>
      <x:c r="O1900" s="1" t="str">
        <x:f>'Данные'!L1900</x:f>
        <x:v>Нет</x:v>
      </x:c>
    </x:row>
    <x:row r="1901">
      <x:c r="A1901" s="1" t="str">
        <x:f>'Данные'!A1901</x:f>
        <x:v>194931730</x:v>
      </x:c>
      <x:c r="B1901" s="1" t="str">
        <x:f>'Данные'!B1901</x:f>
        <x:v>hudi1size/коричневый</x:v>
      </x:c>
      <x:c r="C1901" s="8" t="n">
        <x:f>'Данные'!G1901</x:f>
        <x:v>0</x:v>
      </x:c>
      <x:c r="D1901" s="15" t="n">
        <x:f>C1901/SUM($C$5:$C$2477)</x:f>
        <x:v>0</x:v>
      </x:c>
      <x:c r="E1901" s="15" t="n">
        <x:f>SUM($D$5:D1901)</x:f>
        <x:v>1.0000000000000036</x:v>
      </x:c>
      <x:c r="F1901" s="1" t="str">
        <x:f>IF(C1901&lt;=0,"C",IF(E1901-D1901&lt;'Дашборд'!$C$49,"A",IF(E1901-D1901&lt;'Дашборд'!$C$50,"B","C")))</x:f>
        <x:v>C</x:v>
      </x:c>
      <x:c r="G1901" s="8" t="n">
        <x:f>'Данные'!F1901</x:f>
        <x:v>0</x:v>
      </x:c>
      <x:c r="H1901" s="8" t="n">
        <x:f>SUM('Данные'!H1901:I1901)</x:f>
        <x:v>0</x:v>
      </x:c>
      <x:c r="I1901" s="16" t="str">
        <x:f>IF(H1901&gt;0,G1901/H1901,"n.a.")</x:f>
        <x:v>n.a.</x:v>
      </x:c>
      <x:c r="J1901" s="10" t="n">
        <x:f>IF('Данные'!E1901&gt;0,G1901/'Данные'!E1901,"n.a.")</x:f>
        <x:v>0</x:v>
      </x:c>
      <x:c r="K1901" s="1" t="str">
        <x:f>IF(G1901&gt;='Дашборд'!$C$51,"X","Z")</x:f>
        <x:v>Z</x:v>
      </x:c>
      <x:c r="L1901" s="1" t="str">
        <x:f>IF(H1901=0,IF(G1901&gt;0,"Нет остатка","Нет спроса"),IF(I1901&gt;='Дашборд'!$C$52,"Быстрый","Медленный"))</x:f>
        <x:v>Нет спроса</x:v>
      </x:c>
      <x:c r="M1901" s="1" t="str">
        <x:f>IF('Данные'!E1901&lt;'Дашборд'!$C$53,"Мало трафика",IF(J1901&lt;'Дашборд'!$C$9*'Дашборд'!$C$54,"Да","Нет"))</x:f>
        <x:v>Мало трафика</x:v>
      </x:c>
      <x:c r="N1901" s="1" t="str">
        <x:f>IF(AND('Данные'!D1901&gt;='Дашборд'!$C$55,D1901&lt;'Дашборд'!$C$56,'Данные'!E1901&gt;='Дашборд'!$C$53,'Данные'!L1901&lt;&gt;"Да"),"Да","Нет")</x:f>
        <x:v>Нет</x:v>
      </x:c>
      <x:c r="O1901" s="1" t="str">
        <x:f>'Данные'!L1901</x:f>
        <x:v>Нет</x:v>
      </x:c>
    </x:row>
    <x:row r="1902">
      <x:c r="A1902" s="1" t="str">
        <x:f>'Данные'!A1902</x:f>
        <x:v>195425922</x:v>
      </x:c>
      <x:c r="B1902" s="1" t="str">
        <x:f>'Данные'!B1902</x:f>
        <x:v>kroptop/молочный-темно-каштановый</x:v>
      </x:c>
      <x:c r="C1902" s="8" t="n">
        <x:f>'Данные'!G1902</x:f>
        <x:v>0</x:v>
      </x:c>
      <x:c r="D1902" s="15" t="n">
        <x:f>C1902/SUM($C$5:$C$2477)</x:f>
        <x:v>0</x:v>
      </x:c>
      <x:c r="E1902" s="15" t="n">
        <x:f>SUM($D$5:D1902)</x:f>
        <x:v>1.0000000000000036</x:v>
      </x:c>
      <x:c r="F1902" s="1" t="str">
        <x:f>IF(C1902&lt;=0,"C",IF(E1902-D1902&lt;'Дашборд'!$C$49,"A",IF(E1902-D1902&lt;'Дашборд'!$C$50,"B","C")))</x:f>
        <x:v>C</x:v>
      </x:c>
      <x:c r="G1902" s="8" t="n">
        <x:f>'Данные'!F1902</x:f>
        <x:v>1</x:v>
      </x:c>
      <x:c r="H1902" s="8" t="n">
        <x:f>SUM('Данные'!H1902:I1902)</x:f>
        <x:v>0</x:v>
      </x:c>
      <x:c r="I1902" s="16" t="str">
        <x:f>IF(H1902&gt;0,G1902/H1902,"n.a.")</x:f>
        <x:v>n.a.</x:v>
      </x:c>
      <x:c r="J1902" s="10" t="n">
        <x:f>IF('Данные'!E1902&gt;0,G1902/'Данные'!E1902,"n.a.")</x:f>
        <x:v>0.0024630541871921183</x:v>
      </x:c>
      <x:c r="K1902" s="1" t="str">
        <x:f>IF(G1902&gt;='Дашборд'!$C$51,"X","Z")</x:f>
        <x:v>Z</x:v>
      </x:c>
      <x:c r="L1902" s="1" t="str">
        <x:f>IF(H1902=0,IF(G1902&gt;0,"Нет остатка","Нет спроса"),IF(I1902&gt;='Дашборд'!$C$52,"Быстрый","Медленный"))</x:f>
        <x:v>Нет остатка</x:v>
      </x:c>
      <x:c r="M1902" s="1" t="str">
        <x:f>IF('Данные'!E1902&lt;'Дашборд'!$C$53,"Мало трафика",IF(J1902&lt;'Дашборд'!$C$9*'Дашборд'!$C$54,"Да","Нет"))</x:f>
        <x:v>Мало трафика</x:v>
      </x:c>
      <x:c r="N1902" s="1" t="str">
        <x:f>IF(AND('Данные'!D1902&gt;='Дашборд'!$C$55,D1902&lt;'Дашборд'!$C$56,'Данные'!E1902&gt;='Дашборд'!$C$53,'Данные'!L1902&lt;&gt;"Да"),"Да","Нет")</x:f>
        <x:v>Нет</x:v>
      </x:c>
      <x:c r="O1902" s="1" t="str">
        <x:f>'Данные'!L1902</x:f>
        <x:v>Нет</x:v>
      </x:c>
    </x:row>
    <x:row r="1903">
      <x:c r="A1903" s="1" t="str">
        <x:f>'Данные'!A1903</x:f>
        <x:v>195715499</x:v>
      </x:c>
      <x:c r="B1903" s="1" t="str">
        <x:f>'Данные'!B1903</x:f>
        <x:v>hudi1size/хаки</x:v>
      </x:c>
      <x:c r="C1903" s="8" t="n">
        <x:f>'Данные'!G1903</x:f>
        <x:v>0</x:v>
      </x:c>
      <x:c r="D1903" s="15" t="n">
        <x:f>C1903/SUM($C$5:$C$2477)</x:f>
        <x:v>0</x:v>
      </x:c>
      <x:c r="E1903" s="15" t="n">
        <x:f>SUM($D$5:D1903)</x:f>
        <x:v>1.0000000000000036</x:v>
      </x:c>
      <x:c r="F1903" s="1" t="str">
        <x:f>IF(C1903&lt;=0,"C",IF(E1903-D1903&lt;'Дашборд'!$C$49,"A",IF(E1903-D1903&lt;'Дашборд'!$C$50,"B","C")))</x:f>
        <x:v>C</x:v>
      </x:c>
      <x:c r="G1903" s="8" t="n">
        <x:f>'Данные'!F1903</x:f>
        <x:v>0</x:v>
      </x:c>
      <x:c r="H1903" s="8" t="n">
        <x:f>SUM('Данные'!H1903:I1903)</x:f>
        <x:v>0</x:v>
      </x:c>
      <x:c r="I1903" s="16" t="str">
        <x:f>IF(H1903&gt;0,G1903/H1903,"n.a.")</x:f>
        <x:v>n.a.</x:v>
      </x:c>
      <x:c r="J1903" s="10" t="n">
        <x:f>IF('Данные'!E1903&gt;0,G1903/'Данные'!E1903,"n.a.")</x:f>
        <x:v>0</x:v>
      </x:c>
      <x:c r="K1903" s="1" t="str">
        <x:f>IF(G1903&gt;='Дашборд'!$C$51,"X","Z")</x:f>
        <x:v>Z</x:v>
      </x:c>
      <x:c r="L1903" s="1" t="str">
        <x:f>IF(H1903=0,IF(G1903&gt;0,"Нет остатка","Нет спроса"),IF(I1903&gt;='Дашборд'!$C$52,"Быстрый","Медленный"))</x:f>
        <x:v>Нет спроса</x:v>
      </x:c>
      <x:c r="M1903" s="1" t="str">
        <x:f>IF('Данные'!E1903&lt;'Дашборд'!$C$53,"Мало трафика",IF(J1903&lt;'Дашборд'!$C$9*'Дашборд'!$C$54,"Да","Нет"))</x:f>
        <x:v>Мало трафика</x:v>
      </x:c>
      <x:c r="N1903" s="1" t="str">
        <x:f>IF(AND('Данные'!D1903&gt;='Дашборд'!$C$55,D1903&lt;'Дашборд'!$C$56,'Данные'!E1903&gt;='Дашборд'!$C$53,'Данные'!L1903&lt;&gt;"Да"),"Да","Нет")</x:f>
        <x:v>Нет</x:v>
      </x:c>
      <x:c r="O1903" s="1" t="str">
        <x:f>'Данные'!L1903</x:f>
        <x:v>Нет</x:v>
      </x:c>
    </x:row>
    <x:row r="1904">
      <x:c r="A1904" s="1" t="str">
        <x:f>'Данные'!A1904</x:f>
        <x:v>195715500</x:v>
      </x:c>
      <x:c r="B1904" s="1" t="str">
        <x:f>'Данные'!B1904</x:f>
        <x:v>hudi1size/белый</x:v>
      </x:c>
      <x:c r="C1904" s="8" t="n">
        <x:f>'Данные'!G1904</x:f>
        <x:v>0</x:v>
      </x:c>
      <x:c r="D1904" s="15" t="n">
        <x:f>C1904/SUM($C$5:$C$2477)</x:f>
        <x:v>0</x:v>
      </x:c>
      <x:c r="E1904" s="15" t="n">
        <x:f>SUM($D$5:D1904)</x:f>
        <x:v>1.0000000000000036</x:v>
      </x:c>
      <x:c r="F1904" s="1" t="str">
        <x:f>IF(C1904&lt;=0,"C",IF(E1904-D1904&lt;'Дашборд'!$C$49,"A",IF(E1904-D1904&lt;'Дашборд'!$C$50,"B","C")))</x:f>
        <x:v>C</x:v>
      </x:c>
      <x:c r="G1904" s="8" t="n">
        <x:f>'Данные'!F1904</x:f>
        <x:v>0</x:v>
      </x:c>
      <x:c r="H1904" s="8" t="n">
        <x:f>SUM('Данные'!H1904:I1904)</x:f>
        <x:v>0</x:v>
      </x:c>
      <x:c r="I1904" s="16" t="str">
        <x:f>IF(H1904&gt;0,G1904/H1904,"n.a.")</x:f>
        <x:v>n.a.</x:v>
      </x:c>
      <x:c r="J1904" s="10" t="n">
        <x:f>IF('Данные'!E1904&gt;0,G1904/'Данные'!E1904,"n.a.")</x:f>
        <x:v>0</x:v>
      </x:c>
      <x:c r="K1904" s="1" t="str">
        <x:f>IF(G1904&gt;='Дашборд'!$C$51,"X","Z")</x:f>
        <x:v>Z</x:v>
      </x:c>
      <x:c r="L1904" s="1" t="str">
        <x:f>IF(H1904=0,IF(G1904&gt;0,"Нет остатка","Нет спроса"),IF(I1904&gt;='Дашборд'!$C$52,"Быстрый","Медленный"))</x:f>
        <x:v>Нет спроса</x:v>
      </x:c>
      <x:c r="M1904" s="1" t="str">
        <x:f>IF('Данные'!E1904&lt;'Дашборд'!$C$53,"Мало трафика",IF(J1904&lt;'Дашборд'!$C$9*'Дашборд'!$C$54,"Да","Нет"))</x:f>
        <x:v>Мало трафика</x:v>
      </x:c>
      <x:c r="N1904" s="1" t="str">
        <x:f>IF(AND('Данные'!D1904&gt;='Дашборд'!$C$55,D1904&lt;'Дашборд'!$C$56,'Данные'!E1904&gt;='Дашборд'!$C$53,'Данные'!L1904&lt;&gt;"Да"),"Да","Нет")</x:f>
        <x:v>Нет</x:v>
      </x:c>
      <x:c r="O1904" s="1" t="str">
        <x:f>'Данные'!L1904</x:f>
        <x:v>Нет</x:v>
      </x:c>
    </x:row>
    <x:row r="1905">
      <x:c r="A1905" s="1" t="str">
        <x:f>'Данные'!A1905</x:f>
        <x:v>195715501</x:v>
      </x:c>
      <x:c r="B1905" s="1" t="str">
        <x:f>'Данные'!B1905</x:f>
        <x:v>hudi1size/деним</x:v>
      </x:c>
      <x:c r="C1905" s="8" t="n">
        <x:f>'Данные'!G1905</x:f>
        <x:v>0</x:v>
      </x:c>
      <x:c r="D1905" s="15" t="n">
        <x:f>C1905/SUM($C$5:$C$2477)</x:f>
        <x:v>0</x:v>
      </x:c>
      <x:c r="E1905" s="15" t="n">
        <x:f>SUM($D$5:D1905)</x:f>
        <x:v>1.0000000000000036</x:v>
      </x:c>
      <x:c r="F1905" s="1" t="str">
        <x:f>IF(C1905&lt;=0,"C",IF(E1905-D1905&lt;'Дашборд'!$C$49,"A",IF(E1905-D1905&lt;'Дашборд'!$C$50,"B","C")))</x:f>
        <x:v>C</x:v>
      </x:c>
      <x:c r="G1905" s="8" t="n">
        <x:f>'Данные'!F1905</x:f>
        <x:v>0</x:v>
      </x:c>
      <x:c r="H1905" s="8" t="n">
        <x:f>SUM('Данные'!H1905:I1905)</x:f>
        <x:v>0</x:v>
      </x:c>
      <x:c r="I1905" s="16" t="str">
        <x:f>IF(H1905&gt;0,G1905/H1905,"n.a.")</x:f>
        <x:v>n.a.</x:v>
      </x:c>
      <x:c r="J1905" s="10" t="n">
        <x:f>IF('Данные'!E1905&gt;0,G1905/'Данные'!E1905,"n.a.")</x:f>
        <x:v>0</x:v>
      </x:c>
      <x:c r="K1905" s="1" t="str">
        <x:f>IF(G1905&gt;='Дашборд'!$C$51,"X","Z")</x:f>
        <x:v>Z</x:v>
      </x:c>
      <x:c r="L1905" s="1" t="str">
        <x:f>IF(H1905=0,IF(G1905&gt;0,"Нет остатка","Нет спроса"),IF(I1905&gt;='Дашборд'!$C$52,"Быстрый","Медленный"))</x:f>
        <x:v>Нет спроса</x:v>
      </x:c>
      <x:c r="M1905" s="1" t="str">
        <x:f>IF('Данные'!E1905&lt;'Дашборд'!$C$53,"Мало трафика",IF(J1905&lt;'Дашборд'!$C$9*'Дашборд'!$C$54,"Да","Нет"))</x:f>
        <x:v>Мало трафика</x:v>
      </x:c>
      <x:c r="N1905" s="1" t="str">
        <x:f>IF(AND('Данные'!D1905&gt;='Дашборд'!$C$55,D1905&lt;'Дашборд'!$C$56,'Данные'!E1905&gt;='Дашборд'!$C$53,'Данные'!L1905&lt;&gt;"Да"),"Да","Нет")</x:f>
        <x:v>Нет</x:v>
      </x:c>
      <x:c r="O1905" s="1" t="str">
        <x:f>'Данные'!L1905</x:f>
        <x:v>Нет</x:v>
      </x:c>
    </x:row>
    <x:row r="1906">
      <x:c r="A1906" s="1" t="str">
        <x:f>'Данные'!A1906</x:f>
        <x:v>195715503</x:v>
      </x:c>
      <x:c r="B1906" s="1" t="str">
        <x:f>'Данные'!B1906</x:f>
        <x:v>hudi1size/красный</x:v>
      </x:c>
      <x:c r="C1906" s="8" t="n">
        <x:f>'Данные'!G1906</x:f>
        <x:v>0</x:v>
      </x:c>
      <x:c r="D1906" s="15" t="n">
        <x:f>C1906/SUM($C$5:$C$2477)</x:f>
        <x:v>0</x:v>
      </x:c>
      <x:c r="E1906" s="15" t="n">
        <x:f>SUM($D$5:D1906)</x:f>
        <x:v>1.0000000000000036</x:v>
      </x:c>
      <x:c r="F1906" s="1" t="str">
        <x:f>IF(C1906&lt;=0,"C",IF(E1906-D1906&lt;'Дашборд'!$C$49,"A",IF(E1906-D1906&lt;'Дашборд'!$C$50,"B","C")))</x:f>
        <x:v>C</x:v>
      </x:c>
      <x:c r="G1906" s="8" t="n">
        <x:f>'Данные'!F1906</x:f>
        <x:v>0</x:v>
      </x:c>
      <x:c r="H1906" s="8" t="n">
        <x:f>SUM('Данные'!H1906:I1906)</x:f>
        <x:v>0</x:v>
      </x:c>
      <x:c r="I1906" s="16" t="str">
        <x:f>IF(H1906&gt;0,G1906/H1906,"n.a.")</x:f>
        <x:v>n.a.</x:v>
      </x:c>
      <x:c r="J1906" s="10" t="n">
        <x:f>IF('Данные'!E1906&gt;0,G1906/'Данные'!E1906,"n.a.")</x:f>
        <x:v>0</x:v>
      </x:c>
      <x:c r="K1906" s="1" t="str">
        <x:f>IF(G1906&gt;='Дашборд'!$C$51,"X","Z")</x:f>
        <x:v>Z</x:v>
      </x:c>
      <x:c r="L1906" s="1" t="str">
        <x:f>IF(H1906=0,IF(G1906&gt;0,"Нет остатка","Нет спроса"),IF(I1906&gt;='Дашборд'!$C$52,"Быстрый","Медленный"))</x:f>
        <x:v>Нет спроса</x:v>
      </x:c>
      <x:c r="M1906" s="1" t="str">
        <x:f>IF('Данные'!E1906&lt;'Дашборд'!$C$53,"Мало трафика",IF(J1906&lt;'Дашборд'!$C$9*'Дашборд'!$C$54,"Да","Нет"))</x:f>
        <x:v>Мало трафика</x:v>
      </x:c>
      <x:c r="N1906" s="1" t="str">
        <x:f>IF(AND('Данные'!D1906&gt;='Дашборд'!$C$55,D1906&lt;'Дашборд'!$C$56,'Данные'!E1906&gt;='Дашборд'!$C$53,'Данные'!L1906&lt;&gt;"Да"),"Да","Нет")</x:f>
        <x:v>Нет</x:v>
      </x:c>
      <x:c r="O1906" s="1" t="str">
        <x:f>'Данные'!L1906</x:f>
        <x:v>Нет</x:v>
      </x:c>
    </x:row>
    <x:row r="1907">
      <x:c r="A1907" s="1" t="str">
        <x:f>'Данные'!A1907</x:f>
        <x:v>195715506</x:v>
      </x:c>
      <x:c r="B1907" s="1" t="str">
        <x:f>'Данные'!B1907</x:f>
        <x:v>hudi1size/светло-зеленый</x:v>
      </x:c>
      <x:c r="C1907" s="8" t="n">
        <x:f>'Данные'!G1907</x:f>
        <x:v>0</x:v>
      </x:c>
      <x:c r="D1907" s="15" t="n">
        <x:f>C1907/SUM($C$5:$C$2477)</x:f>
        <x:v>0</x:v>
      </x:c>
      <x:c r="E1907" s="15" t="n">
        <x:f>SUM($D$5:D1907)</x:f>
        <x:v>1.0000000000000036</x:v>
      </x:c>
      <x:c r="F1907" s="1" t="str">
        <x:f>IF(C1907&lt;=0,"C",IF(E1907-D1907&lt;'Дашборд'!$C$49,"A",IF(E1907-D1907&lt;'Дашборд'!$C$50,"B","C")))</x:f>
        <x:v>C</x:v>
      </x:c>
      <x:c r="G1907" s="8" t="n">
        <x:f>'Данные'!F1907</x:f>
        <x:v>0</x:v>
      </x:c>
      <x:c r="H1907" s="8" t="n">
        <x:f>SUM('Данные'!H1907:I1907)</x:f>
        <x:v>0</x:v>
      </x:c>
      <x:c r="I1907" s="16" t="str">
        <x:f>IF(H1907&gt;0,G1907/H1907,"n.a.")</x:f>
        <x:v>n.a.</x:v>
      </x:c>
      <x:c r="J1907" s="10" t="n">
        <x:f>IF('Данные'!E1907&gt;0,G1907/'Данные'!E1907,"n.a.")</x:f>
        <x:v>0</x:v>
      </x:c>
      <x:c r="K1907" s="1" t="str">
        <x:f>IF(G1907&gt;='Дашборд'!$C$51,"X","Z")</x:f>
        <x:v>Z</x:v>
      </x:c>
      <x:c r="L1907" s="1" t="str">
        <x:f>IF(H1907=0,IF(G1907&gt;0,"Нет остатка","Нет спроса"),IF(I1907&gt;='Дашборд'!$C$52,"Быстрый","Медленный"))</x:f>
        <x:v>Нет спроса</x:v>
      </x:c>
      <x:c r="M1907" s="1" t="str">
        <x:f>IF('Данные'!E1907&lt;'Дашборд'!$C$53,"Мало трафика",IF(J1907&lt;'Дашборд'!$C$9*'Дашборд'!$C$54,"Да","Нет"))</x:f>
        <x:v>Мало трафика</x:v>
      </x:c>
      <x:c r="N1907" s="1" t="str">
        <x:f>IF(AND('Данные'!D1907&gt;='Дашборд'!$C$55,D1907&lt;'Дашборд'!$C$56,'Данные'!E1907&gt;='Дашборд'!$C$53,'Данные'!L1907&lt;&gt;"Да"),"Да","Нет")</x:f>
        <x:v>Нет</x:v>
      </x:c>
      <x:c r="O1907" s="1" t="str">
        <x:f>'Данные'!L1907</x:f>
        <x:v>Нет</x:v>
      </x:c>
    </x:row>
    <x:row r="1908">
      <x:c r="A1908" s="1" t="str">
        <x:f>'Данные'!A1908</x:f>
        <x:v>195715507</x:v>
      </x:c>
      <x:c r="B1908" s="1" t="str">
        <x:f>'Данные'!B1908</x:f>
        <x:v>hudi1size/зеленый</x:v>
      </x:c>
      <x:c r="C1908" s="8" t="n">
        <x:f>'Данные'!G1908</x:f>
        <x:v>0</x:v>
      </x:c>
      <x:c r="D1908" s="15" t="n">
        <x:f>C1908/SUM($C$5:$C$2477)</x:f>
        <x:v>0</x:v>
      </x:c>
      <x:c r="E1908" s="15" t="n">
        <x:f>SUM($D$5:D1908)</x:f>
        <x:v>1.0000000000000036</x:v>
      </x:c>
      <x:c r="F1908" s="1" t="str">
        <x:f>IF(C1908&lt;=0,"C",IF(E1908-D1908&lt;'Дашборд'!$C$49,"A",IF(E1908-D1908&lt;'Дашборд'!$C$50,"B","C")))</x:f>
        <x:v>C</x:v>
      </x:c>
      <x:c r="G1908" s="8" t="n">
        <x:f>'Данные'!F1908</x:f>
        <x:v>3</x:v>
      </x:c>
      <x:c r="H1908" s="8" t="n">
        <x:f>SUM('Данные'!H1908:I1908)</x:f>
        <x:v>0</x:v>
      </x:c>
      <x:c r="I1908" s="16" t="str">
        <x:f>IF(H1908&gt;0,G1908/H1908,"n.a.")</x:f>
        <x:v>n.a.</x:v>
      </x:c>
      <x:c r="J1908" s="10" t="n">
        <x:f>IF('Данные'!E1908&gt;0,G1908/'Данные'!E1908,"n.a.")</x:f>
        <x:v>0.017964071856287425</x:v>
      </x:c>
      <x:c r="K1908" s="1" t="str">
        <x:f>IF(G1908&gt;='Дашборд'!$C$51,"X","Z")</x:f>
        <x:v>Z</x:v>
      </x:c>
      <x:c r="L1908" s="1" t="str">
        <x:f>IF(H1908=0,IF(G1908&gt;0,"Нет остатка","Нет спроса"),IF(I1908&gt;='Дашборд'!$C$52,"Быстрый","Медленный"))</x:f>
        <x:v>Нет остатка</x:v>
      </x:c>
      <x:c r="M1908" s="1" t="str">
        <x:f>IF('Данные'!E1908&lt;'Дашборд'!$C$53,"Мало трафика",IF(J1908&lt;'Дашборд'!$C$9*'Дашборд'!$C$54,"Да","Нет"))</x:f>
        <x:v>Мало трафика</x:v>
      </x:c>
      <x:c r="N1908" s="1" t="str">
        <x:f>IF(AND('Данные'!D1908&gt;='Дашборд'!$C$55,D1908&lt;'Дашборд'!$C$56,'Данные'!E1908&gt;='Дашборд'!$C$53,'Данные'!L1908&lt;&gt;"Да"),"Да","Нет")</x:f>
        <x:v>Нет</x:v>
      </x:c>
      <x:c r="O1908" s="1" t="str">
        <x:f>'Данные'!L1908</x:f>
        <x:v>Нет</x:v>
      </x:c>
    </x:row>
    <x:row r="1909">
      <x:c r="A1909" s="1" t="str">
        <x:f>'Данные'!A1909</x:f>
        <x:v>195715508</x:v>
      </x:c>
      <x:c r="B1909" s="1" t="str">
        <x:f>'Данные'!B1909</x:f>
        <x:v>hudi1size/изумрудно-зеленый</x:v>
      </x:c>
      <x:c r="C1909" s="8" t="n">
        <x:f>'Данные'!G1909</x:f>
        <x:v>0</x:v>
      </x:c>
      <x:c r="D1909" s="15" t="n">
        <x:f>C1909/SUM($C$5:$C$2477)</x:f>
        <x:v>0</x:v>
      </x:c>
      <x:c r="E1909" s="15" t="n">
        <x:f>SUM($D$5:D1909)</x:f>
        <x:v>1.0000000000000036</x:v>
      </x:c>
      <x:c r="F1909" s="1" t="str">
        <x:f>IF(C1909&lt;=0,"C",IF(E1909-D1909&lt;'Дашборд'!$C$49,"A",IF(E1909-D1909&lt;'Дашборд'!$C$50,"B","C")))</x:f>
        <x:v>C</x:v>
      </x:c>
      <x:c r="G1909" s="8" t="n">
        <x:f>'Данные'!F1909</x:f>
        <x:v>0</x:v>
      </x:c>
      <x:c r="H1909" s="8" t="n">
        <x:f>SUM('Данные'!H1909:I1909)</x:f>
        <x:v>0</x:v>
      </x:c>
      <x:c r="I1909" s="16" t="str">
        <x:f>IF(H1909&gt;0,G1909/H1909,"n.a.")</x:f>
        <x:v>n.a.</x:v>
      </x:c>
      <x:c r="J1909" s="10" t="n">
        <x:f>IF('Данные'!E1909&gt;0,G1909/'Данные'!E1909,"n.a.")</x:f>
        <x:v>0</x:v>
      </x:c>
      <x:c r="K1909" s="1" t="str">
        <x:f>IF(G1909&gt;='Дашборд'!$C$51,"X","Z")</x:f>
        <x:v>Z</x:v>
      </x:c>
      <x:c r="L1909" s="1" t="str">
        <x:f>IF(H1909=0,IF(G1909&gt;0,"Нет остатка","Нет спроса"),IF(I1909&gt;='Дашборд'!$C$52,"Быстрый","Медленный"))</x:f>
        <x:v>Нет спроса</x:v>
      </x:c>
      <x:c r="M1909" s="1" t="str">
        <x:f>IF('Данные'!E1909&lt;'Дашборд'!$C$53,"Мало трафика",IF(J1909&lt;'Дашборд'!$C$9*'Дашборд'!$C$54,"Да","Нет"))</x:f>
        <x:v>Мало трафика</x:v>
      </x:c>
      <x:c r="N1909" s="1" t="str">
        <x:f>IF(AND('Данные'!D1909&gt;='Дашборд'!$C$55,D1909&lt;'Дашборд'!$C$56,'Данные'!E1909&gt;='Дашборд'!$C$53,'Данные'!L1909&lt;&gt;"Да"),"Да","Нет")</x:f>
        <x:v>Нет</x:v>
      </x:c>
      <x:c r="O1909" s="1" t="str">
        <x:f>'Данные'!L1909</x:f>
        <x:v>Нет</x:v>
      </x:c>
    </x:row>
    <x:row r="1910">
      <x:c r="A1910" s="1" t="str">
        <x:f>'Данные'!A1910</x:f>
        <x:v>195715509</x:v>
      </x:c>
      <x:c r="B1910" s="1" t="str">
        <x:f>'Данные'!B1910</x:f>
        <x:v>hudi1size/салатовый</x:v>
      </x:c>
      <x:c r="C1910" s="8" t="n">
        <x:f>'Данные'!G1910</x:f>
        <x:v>0</x:v>
      </x:c>
      <x:c r="D1910" s="15" t="n">
        <x:f>C1910/SUM($C$5:$C$2477)</x:f>
        <x:v>0</x:v>
      </x:c>
      <x:c r="E1910" s="15" t="n">
        <x:f>SUM($D$5:D1910)</x:f>
        <x:v>1.0000000000000036</x:v>
      </x:c>
      <x:c r="F1910" s="1" t="str">
        <x:f>IF(C1910&lt;=0,"C",IF(E1910-D1910&lt;'Дашборд'!$C$49,"A",IF(E1910-D1910&lt;'Дашборд'!$C$50,"B","C")))</x:f>
        <x:v>C</x:v>
      </x:c>
      <x:c r="G1910" s="8" t="n">
        <x:f>'Данные'!F1910</x:f>
        <x:v>0</x:v>
      </x:c>
      <x:c r="H1910" s="8" t="n">
        <x:f>SUM('Данные'!H1910:I1910)</x:f>
        <x:v>0</x:v>
      </x:c>
      <x:c r="I1910" s="16" t="str">
        <x:f>IF(H1910&gt;0,G1910/H1910,"n.a.")</x:f>
        <x:v>n.a.</x:v>
      </x:c>
      <x:c r="J1910" s="10" t="n">
        <x:f>IF('Данные'!E1910&gt;0,G1910/'Данные'!E1910,"n.a.")</x:f>
        <x:v>0</x:v>
      </x:c>
      <x:c r="K1910" s="1" t="str">
        <x:f>IF(G1910&gt;='Дашборд'!$C$51,"X","Z")</x:f>
        <x:v>Z</x:v>
      </x:c>
      <x:c r="L1910" s="1" t="str">
        <x:f>IF(H1910=0,IF(G1910&gt;0,"Нет остатка","Нет спроса"),IF(I1910&gt;='Дашборд'!$C$52,"Быстрый","Медленный"))</x:f>
        <x:v>Нет спроса</x:v>
      </x:c>
      <x:c r="M1910" s="1" t="str">
        <x:f>IF('Данные'!E1910&lt;'Дашборд'!$C$53,"Мало трафика",IF(J1910&lt;'Дашборд'!$C$9*'Дашборд'!$C$54,"Да","Нет"))</x:f>
        <x:v>Мало трафика</x:v>
      </x:c>
      <x:c r="N1910" s="1" t="str">
        <x:f>IF(AND('Данные'!D1910&gt;='Дашборд'!$C$55,D1910&lt;'Дашборд'!$C$56,'Данные'!E1910&gt;='Дашборд'!$C$53,'Данные'!L1910&lt;&gt;"Да"),"Да","Нет")</x:f>
        <x:v>Нет</x:v>
      </x:c>
      <x:c r="O1910" s="1" t="str">
        <x:f>'Данные'!L1910</x:f>
        <x:v>Нет</x:v>
      </x:c>
    </x:row>
    <x:row r="1911">
      <x:c r="A1911" s="1" t="str">
        <x:f>'Данные'!A1911</x:f>
        <x:v>195715511</x:v>
      </x:c>
      <x:c r="B1911" s="1" t="str">
        <x:f>'Данные'!B1911</x:f>
        <x:v>hudi1size/темно-серый</x:v>
      </x:c>
      <x:c r="C1911" s="8" t="n">
        <x:f>'Данные'!G1911</x:f>
        <x:v>0</x:v>
      </x:c>
      <x:c r="D1911" s="15" t="n">
        <x:f>C1911/SUM($C$5:$C$2477)</x:f>
        <x:v>0</x:v>
      </x:c>
      <x:c r="E1911" s="15" t="n">
        <x:f>SUM($D$5:D1911)</x:f>
        <x:v>1.0000000000000036</x:v>
      </x:c>
      <x:c r="F1911" s="1" t="str">
        <x:f>IF(C1911&lt;=0,"C",IF(E1911-D1911&lt;'Дашборд'!$C$49,"A",IF(E1911-D1911&lt;'Дашборд'!$C$50,"B","C")))</x:f>
        <x:v>C</x:v>
      </x:c>
      <x:c r="G1911" s="8" t="n">
        <x:f>'Данные'!F1911</x:f>
        <x:v>0</x:v>
      </x:c>
      <x:c r="H1911" s="8" t="n">
        <x:f>SUM('Данные'!H1911:I1911)</x:f>
        <x:v>0</x:v>
      </x:c>
      <x:c r="I1911" s="16" t="str">
        <x:f>IF(H1911&gt;0,G1911/H1911,"n.a.")</x:f>
        <x:v>n.a.</x:v>
      </x:c>
      <x:c r="J1911" s="10" t="n">
        <x:f>IF('Данные'!E1911&gt;0,G1911/'Данные'!E1911,"n.a.")</x:f>
        <x:v>0</x:v>
      </x:c>
      <x:c r="K1911" s="1" t="str">
        <x:f>IF(G1911&gt;='Дашборд'!$C$51,"X","Z")</x:f>
        <x:v>Z</x:v>
      </x:c>
      <x:c r="L1911" s="1" t="str">
        <x:f>IF(H1911=0,IF(G1911&gt;0,"Нет остатка","Нет спроса"),IF(I1911&gt;='Дашборд'!$C$52,"Быстрый","Медленный"))</x:f>
        <x:v>Нет спроса</x:v>
      </x:c>
      <x:c r="M1911" s="1" t="str">
        <x:f>IF('Данные'!E1911&lt;'Дашборд'!$C$53,"Мало трафика",IF(J1911&lt;'Дашборд'!$C$9*'Дашборд'!$C$54,"Да","Нет"))</x:f>
        <x:v>Мало трафика</x:v>
      </x:c>
      <x:c r="N1911" s="1" t="str">
        <x:f>IF(AND('Данные'!D1911&gt;='Дашборд'!$C$55,D1911&lt;'Дашборд'!$C$56,'Данные'!E1911&gt;='Дашборд'!$C$53,'Данные'!L1911&lt;&gt;"Да"),"Да","Нет")</x:f>
        <x:v>Нет</x:v>
      </x:c>
      <x:c r="O1911" s="1" t="str">
        <x:f>'Данные'!L1911</x:f>
        <x:v>Нет</x:v>
      </x:c>
    </x:row>
    <x:row r="1912">
      <x:c r="A1912" s="1" t="str">
        <x:f>'Данные'!A1912</x:f>
        <x:v>195715512</x:v>
      </x:c>
      <x:c r="B1912" s="1" t="str">
        <x:f>'Данные'!B1912</x:f>
        <x:v>hudi1size/фиолетовый</x:v>
      </x:c>
      <x:c r="C1912" s="8" t="n">
        <x:f>'Данные'!G1912</x:f>
        <x:v>0</x:v>
      </x:c>
      <x:c r="D1912" s="15" t="n">
        <x:f>C1912/SUM($C$5:$C$2477)</x:f>
        <x:v>0</x:v>
      </x:c>
      <x:c r="E1912" s="15" t="n">
        <x:f>SUM($D$5:D1912)</x:f>
        <x:v>1.0000000000000036</x:v>
      </x:c>
      <x:c r="F1912" s="1" t="str">
        <x:f>IF(C1912&lt;=0,"C",IF(E1912-D1912&lt;'Дашборд'!$C$49,"A",IF(E1912-D1912&lt;'Дашборд'!$C$50,"B","C")))</x:f>
        <x:v>C</x:v>
      </x:c>
      <x:c r="G1912" s="8" t="n">
        <x:f>'Данные'!F1912</x:f>
        <x:v>0</x:v>
      </x:c>
      <x:c r="H1912" s="8" t="n">
        <x:f>SUM('Данные'!H1912:I1912)</x:f>
        <x:v>0</x:v>
      </x:c>
      <x:c r="I1912" s="16" t="str">
        <x:f>IF(H1912&gt;0,G1912/H1912,"n.a.")</x:f>
        <x:v>n.a.</x:v>
      </x:c>
      <x:c r="J1912" s="10" t="n">
        <x:f>IF('Данные'!E1912&gt;0,G1912/'Данные'!E1912,"n.a.")</x:f>
        <x:v>0</x:v>
      </x:c>
      <x:c r="K1912" s="1" t="str">
        <x:f>IF(G1912&gt;='Дашборд'!$C$51,"X","Z")</x:f>
        <x:v>Z</x:v>
      </x:c>
      <x:c r="L1912" s="1" t="str">
        <x:f>IF(H1912=0,IF(G1912&gt;0,"Нет остатка","Нет спроса"),IF(I1912&gt;='Дашборд'!$C$52,"Быстрый","Медленный"))</x:f>
        <x:v>Нет спроса</x:v>
      </x:c>
      <x:c r="M1912" s="1" t="str">
        <x:f>IF('Данные'!E1912&lt;'Дашборд'!$C$53,"Мало трафика",IF(J1912&lt;'Дашборд'!$C$9*'Дашборд'!$C$54,"Да","Нет"))</x:f>
        <x:v>Мало трафика</x:v>
      </x:c>
      <x:c r="N1912" s="1" t="str">
        <x:f>IF(AND('Данные'!D1912&gt;='Дашборд'!$C$55,D1912&lt;'Дашборд'!$C$56,'Данные'!E1912&gt;='Дашборд'!$C$53,'Данные'!L1912&lt;&gt;"Да"),"Да","Нет")</x:f>
        <x:v>Нет</x:v>
      </x:c>
      <x:c r="O1912" s="1" t="str">
        <x:f>'Данные'!L1912</x:f>
        <x:v>Нет</x:v>
      </x:c>
    </x:row>
    <x:row r="1913">
      <x:c r="A1913" s="1" t="str">
        <x:f>'Данные'!A1913</x:f>
        <x:v>19865737</x:v>
      </x:c>
      <x:c r="B1913" s="1" t="str">
        <x:f>'Данные'!B1913</x:f>
        <x:v>bruki/светлозеленый</x:v>
      </x:c>
      <x:c r="C1913" s="8" t="n">
        <x:f>'Данные'!G1913</x:f>
        <x:v>0</x:v>
      </x:c>
      <x:c r="D1913" s="15" t="n">
        <x:f>C1913/SUM($C$5:$C$2477)</x:f>
        <x:v>0</x:v>
      </x:c>
      <x:c r="E1913" s="15" t="n">
        <x:f>SUM($D$5:D1913)</x:f>
        <x:v>1.0000000000000036</x:v>
      </x:c>
      <x:c r="F1913" s="1" t="str">
        <x:f>IF(C1913&lt;=0,"C",IF(E1913-D1913&lt;'Дашборд'!$C$49,"A",IF(E1913-D1913&lt;'Дашборд'!$C$50,"B","C")))</x:f>
        <x:v>C</x:v>
      </x:c>
      <x:c r="G1913" s="8" t="n">
        <x:f>'Данные'!F1913</x:f>
        <x:v>0</x:v>
      </x:c>
      <x:c r="H1913" s="8" t="n">
        <x:f>SUM('Данные'!H1913:I1913)</x:f>
        <x:v>1</x:v>
      </x:c>
      <x:c r="I1913" s="16" t="n">
        <x:f>IF(H1913&gt;0,G1913/H1913,"n.a.")</x:f>
        <x:v>0</x:v>
      </x:c>
      <x:c r="J1913" s="10" t="n">
        <x:f>IF('Данные'!E1913&gt;0,G1913/'Данные'!E1913,"n.a.")</x:f>
        <x:v>0</x:v>
      </x:c>
      <x:c r="K1913" s="1" t="str">
        <x:f>IF(G1913&gt;='Дашборд'!$C$51,"X","Z")</x:f>
        <x:v>Z</x:v>
      </x:c>
      <x:c r="L1913" s="1" t="str">
        <x:f>IF(H1913=0,IF(G1913&gt;0,"Нет остатка","Нет спроса"),IF(I1913&gt;='Дашборд'!$C$52,"Быстрый","Медленный"))</x:f>
        <x:v>Медленный</x:v>
      </x:c>
      <x:c r="M1913" s="1" t="str">
        <x:f>IF('Данные'!E1913&lt;'Дашборд'!$C$53,"Мало трафика",IF(J1913&lt;'Дашборд'!$C$9*'Дашборд'!$C$54,"Да","Нет"))</x:f>
        <x:v>Мало трафика</x:v>
      </x:c>
      <x:c r="N1913" s="1" t="str">
        <x:f>IF(AND('Данные'!D1913&gt;='Дашборд'!$C$55,D1913&lt;'Дашборд'!$C$56,'Данные'!E1913&gt;='Дашборд'!$C$53,'Данные'!L1913&lt;&gt;"Да"),"Да","Нет")</x:f>
        <x:v>Нет</x:v>
      </x:c>
      <x:c r="O1913" s="1" t="str">
        <x:f>'Данные'!L1913</x:f>
        <x:v>Нет</x:v>
      </x:c>
    </x:row>
    <x:row r="1914">
      <x:c r="A1914" s="1" t="str">
        <x:f>'Данные'!A1914</x:f>
        <x:v>19897792</x:v>
      </x:c>
      <x:c r="B1914" s="1" t="str">
        <x:f>'Данные'!B1914</x:f>
        <x:v>hudi/бронзовый</x:v>
      </x:c>
      <x:c r="C1914" s="8" t="n">
        <x:f>'Данные'!G1914</x:f>
        <x:v>0</x:v>
      </x:c>
      <x:c r="D1914" s="15" t="n">
        <x:f>C1914/SUM($C$5:$C$2477)</x:f>
        <x:v>0</x:v>
      </x:c>
      <x:c r="E1914" s="15" t="n">
        <x:f>SUM($D$5:D1914)</x:f>
        <x:v>1.0000000000000036</x:v>
      </x:c>
      <x:c r="F1914" s="1" t="str">
        <x:f>IF(C1914&lt;=0,"C",IF(E1914-D1914&lt;'Дашборд'!$C$49,"A",IF(E1914-D1914&lt;'Дашборд'!$C$50,"B","C")))</x:f>
        <x:v>C</x:v>
      </x:c>
      <x:c r="G1914" s="8" t="n">
        <x:f>'Данные'!F1914</x:f>
        <x:v>0</x:v>
      </x:c>
      <x:c r="H1914" s="8" t="n">
        <x:f>SUM('Данные'!H1914:I1914)</x:f>
        <x:v>0</x:v>
      </x:c>
      <x:c r="I1914" s="16" t="str">
        <x:f>IF(H1914&gt;0,G1914/H1914,"n.a.")</x:f>
        <x:v>n.a.</x:v>
      </x:c>
      <x:c r="J1914" s="10" t="n">
        <x:f>IF('Данные'!E1914&gt;0,G1914/'Данные'!E1914,"n.a.")</x:f>
        <x:v>0</x:v>
      </x:c>
      <x:c r="K1914" s="1" t="str">
        <x:f>IF(G1914&gt;='Дашборд'!$C$51,"X","Z")</x:f>
        <x:v>Z</x:v>
      </x:c>
      <x:c r="L1914" s="1" t="str">
        <x:f>IF(H1914=0,IF(G1914&gt;0,"Нет остатка","Нет спроса"),IF(I1914&gt;='Дашборд'!$C$52,"Быстрый","Медленный"))</x:f>
        <x:v>Нет спроса</x:v>
      </x:c>
      <x:c r="M1914" s="1" t="str">
        <x:f>IF('Данные'!E1914&lt;'Дашборд'!$C$53,"Мало трафика",IF(J1914&lt;'Дашборд'!$C$9*'Дашборд'!$C$54,"Да","Нет"))</x:f>
        <x:v>Мало трафика</x:v>
      </x:c>
      <x:c r="N1914" s="1" t="str">
        <x:f>IF(AND('Данные'!D1914&gt;='Дашборд'!$C$55,D1914&lt;'Дашборд'!$C$56,'Данные'!E1914&gt;='Дашборд'!$C$53,'Данные'!L1914&lt;&gt;"Да"),"Да","Нет")</x:f>
        <x:v>Нет</x:v>
      </x:c>
      <x:c r="O1914" s="1" t="str">
        <x:f>'Данные'!L1914</x:f>
        <x:v>Нет</x:v>
      </x:c>
    </x:row>
    <x:row r="1915">
      <x:c r="A1915" s="1" t="str">
        <x:f>'Данные'!A1915</x:f>
        <x:v>201435745</x:v>
      </x:c>
      <x:c r="B1915" s="1" t="str">
        <x:f>'Данные'!B1915</x:f>
        <x:v>svitshotzipman1/серыймеланж2</x:v>
      </x:c>
      <x:c r="C1915" s="8" t="n">
        <x:f>'Данные'!G1915</x:f>
        <x:v>0</x:v>
      </x:c>
      <x:c r="D1915" s="15" t="n">
        <x:f>C1915/SUM($C$5:$C$2477)</x:f>
        <x:v>0</x:v>
      </x:c>
      <x:c r="E1915" s="15" t="n">
        <x:f>SUM($D$5:D1915)</x:f>
        <x:v>1.0000000000000036</x:v>
      </x:c>
      <x:c r="F1915" s="1" t="str">
        <x:f>IF(C1915&lt;=0,"C",IF(E1915-D1915&lt;'Дашборд'!$C$49,"A",IF(E1915-D1915&lt;'Дашборд'!$C$50,"B","C")))</x:f>
        <x:v>C</x:v>
      </x:c>
      <x:c r="G1915" s="8" t="n">
        <x:f>'Данные'!F1915</x:f>
        <x:v>0</x:v>
      </x:c>
      <x:c r="H1915" s="8" t="n">
        <x:f>SUM('Данные'!H1915:I1915)</x:f>
        <x:v>0</x:v>
      </x:c>
      <x:c r="I1915" s="16" t="str">
        <x:f>IF(H1915&gt;0,G1915/H1915,"n.a.")</x:f>
        <x:v>n.a.</x:v>
      </x:c>
      <x:c r="J1915" s="10" t="n">
        <x:f>IF('Данные'!E1915&gt;0,G1915/'Данные'!E1915,"n.a.")</x:f>
        <x:v>0</x:v>
      </x:c>
      <x:c r="K1915" s="1" t="str">
        <x:f>IF(G1915&gt;='Дашборд'!$C$51,"X","Z")</x:f>
        <x:v>Z</x:v>
      </x:c>
      <x:c r="L1915" s="1" t="str">
        <x:f>IF(H1915=0,IF(G1915&gt;0,"Нет остатка","Нет спроса"),IF(I1915&gt;='Дашборд'!$C$52,"Быстрый","Медленный"))</x:f>
        <x:v>Нет спроса</x:v>
      </x:c>
      <x:c r="M1915" s="1" t="str">
        <x:f>IF('Данные'!E1915&lt;'Дашборд'!$C$53,"Мало трафика",IF(J1915&lt;'Дашборд'!$C$9*'Дашборд'!$C$54,"Да","Нет"))</x:f>
        <x:v>Мало трафика</x:v>
      </x:c>
      <x:c r="N1915" s="1" t="str">
        <x:f>IF(AND('Данные'!D1915&gt;='Дашборд'!$C$55,D1915&lt;'Дашборд'!$C$56,'Данные'!E1915&gt;='Дашборд'!$C$53,'Данные'!L1915&lt;&gt;"Да"),"Да","Нет")</x:f>
        <x:v>Нет</x:v>
      </x:c>
      <x:c r="O1915" s="1" t="str">
        <x:f>'Данные'!L1915</x:f>
        <x:v>Нет</x:v>
      </x:c>
    </x:row>
    <x:row r="1916">
      <x:c r="A1916" s="1" t="str">
        <x:f>'Данные'!A1916</x:f>
        <x:v>201766197</x:v>
      </x:c>
      <x:c r="B1916" s="1" t="str">
        <x:f>'Данные'!B1916</x:f>
        <x:v>1sizeprint/MoreSelf-44/молочный</x:v>
      </x:c>
      <x:c r="C1916" s="8" t="n">
        <x:f>'Данные'!G1916</x:f>
        <x:v>0</x:v>
      </x:c>
      <x:c r="D1916" s="15" t="n">
        <x:f>C1916/SUM($C$5:$C$2477)</x:f>
        <x:v>0</x:v>
      </x:c>
      <x:c r="E1916" s="15" t="n">
        <x:f>SUM($D$5:D1916)</x:f>
        <x:v>1.0000000000000036</x:v>
      </x:c>
      <x:c r="F1916" s="1" t="str">
        <x:f>IF(C1916&lt;=0,"C",IF(E1916-D1916&lt;'Дашборд'!$C$49,"A",IF(E1916-D1916&lt;'Дашборд'!$C$50,"B","C")))</x:f>
        <x:v>C</x:v>
      </x:c>
      <x:c r="G1916" s="8" t="n">
        <x:f>'Данные'!F1916</x:f>
        <x:v>0</x:v>
      </x:c>
      <x:c r="H1916" s="8" t="n">
        <x:f>SUM('Данные'!H1916:I1916)</x:f>
        <x:v>0</x:v>
      </x:c>
      <x:c r="I1916" s="16" t="str">
        <x:f>IF(H1916&gt;0,G1916/H1916,"n.a.")</x:f>
        <x:v>n.a.</x:v>
      </x:c>
      <x:c r="J1916" s="10" t="n">
        <x:f>IF('Данные'!E1916&gt;0,G1916/'Данные'!E1916,"n.a.")</x:f>
        <x:v>0</x:v>
      </x:c>
      <x:c r="K1916" s="1" t="str">
        <x:f>IF(G1916&gt;='Дашборд'!$C$51,"X","Z")</x:f>
        <x:v>Z</x:v>
      </x:c>
      <x:c r="L1916" s="1" t="str">
        <x:f>IF(H1916=0,IF(G1916&gt;0,"Нет остатка","Нет спроса"),IF(I1916&gt;='Дашборд'!$C$52,"Быстрый","Медленный"))</x:f>
        <x:v>Нет спроса</x:v>
      </x:c>
      <x:c r="M1916" s="1" t="str">
        <x:f>IF('Данные'!E1916&lt;'Дашборд'!$C$53,"Мало трафика",IF(J1916&lt;'Дашборд'!$C$9*'Дашборд'!$C$54,"Да","Нет"))</x:f>
        <x:v>Мало трафика</x:v>
      </x:c>
      <x:c r="N1916" s="1" t="str">
        <x:f>IF(AND('Данные'!D1916&gt;='Дашборд'!$C$55,D1916&lt;'Дашборд'!$C$56,'Данные'!E1916&gt;='Дашборд'!$C$53,'Данные'!L1916&lt;&gt;"Да"),"Да","Нет")</x:f>
        <x:v>Нет</x:v>
      </x:c>
      <x:c r="O1916" s="1" t="str">
        <x:f>'Данные'!L1916</x:f>
        <x:v>Нет</x:v>
      </x:c>
    </x:row>
    <x:row r="1917">
      <x:c r="A1917" s="1" t="str">
        <x:f>'Данные'!A1917</x:f>
        <x:v>202779179</x:v>
      </x:c>
      <x:c r="B1917" s="1" t="str">
        <x:f>'Данные'!B1917</x:f>
        <x:v>hudiprint/90's-56/молочный</x:v>
      </x:c>
      <x:c r="C1917" s="8" t="n">
        <x:f>'Данные'!G1917</x:f>
        <x:v>0</x:v>
      </x:c>
      <x:c r="D1917" s="15" t="n">
        <x:f>C1917/SUM($C$5:$C$2477)</x:f>
        <x:v>0</x:v>
      </x:c>
      <x:c r="E1917" s="15" t="n">
        <x:f>SUM($D$5:D1917)</x:f>
        <x:v>1.0000000000000036</x:v>
      </x:c>
      <x:c r="F1917" s="1" t="str">
        <x:f>IF(C1917&lt;=0,"C",IF(E1917-D1917&lt;'Дашборд'!$C$49,"A",IF(E1917-D1917&lt;'Дашборд'!$C$50,"B","C")))</x:f>
        <x:v>C</x:v>
      </x:c>
      <x:c r="G1917" s="8" t="n">
        <x:f>'Данные'!F1917</x:f>
        <x:v>0</x:v>
      </x:c>
      <x:c r="H1917" s="8" t="n">
        <x:f>SUM('Данные'!H1917:I1917)</x:f>
        <x:v>0</x:v>
      </x:c>
      <x:c r="I1917" s="16" t="str">
        <x:f>IF(H1917&gt;0,G1917/H1917,"n.a.")</x:f>
        <x:v>n.a.</x:v>
      </x:c>
      <x:c r="J1917" s="10" t="n">
        <x:f>IF('Данные'!E1917&gt;0,G1917/'Данные'!E1917,"n.a.")</x:f>
        <x:v>0</x:v>
      </x:c>
      <x:c r="K1917" s="1" t="str">
        <x:f>IF(G1917&gt;='Дашборд'!$C$51,"X","Z")</x:f>
        <x:v>Z</x:v>
      </x:c>
      <x:c r="L1917" s="1" t="str">
        <x:f>IF(H1917=0,IF(G1917&gt;0,"Нет остатка","Нет спроса"),IF(I1917&gt;='Дашборд'!$C$52,"Быстрый","Медленный"))</x:f>
        <x:v>Нет спроса</x:v>
      </x:c>
      <x:c r="M1917" s="1" t="str">
        <x:f>IF('Данные'!E1917&lt;'Дашборд'!$C$53,"Мало трафика",IF(J1917&lt;'Дашборд'!$C$9*'Дашборд'!$C$54,"Да","Нет"))</x:f>
        <x:v>Мало трафика</x:v>
      </x:c>
      <x:c r="N1917" s="1" t="str">
        <x:f>IF(AND('Данные'!D1917&gt;='Дашборд'!$C$55,D1917&lt;'Дашборд'!$C$56,'Данные'!E1917&gt;='Дашборд'!$C$53,'Данные'!L1917&lt;&gt;"Да"),"Да","Нет")</x:f>
        <x:v>Нет</x:v>
      </x:c>
      <x:c r="O1917" s="1" t="str">
        <x:f>'Данные'!L1917</x:f>
        <x:v>Нет</x:v>
      </x:c>
    </x:row>
    <x:row r="1918">
      <x:c r="A1918" s="1" t="str">
        <x:f>'Данные'!A1918</x:f>
        <x:v>202779187</x:v>
      </x:c>
      <x:c r="B1918" s="1" t="str">
        <x:f>'Данные'!B1918</x:f>
        <x:v>hudiprint/Forever-60/морскаяволна</x:v>
      </x:c>
      <x:c r="C1918" s="8" t="n">
        <x:f>'Данные'!G1918</x:f>
        <x:v>0</x:v>
      </x:c>
      <x:c r="D1918" s="15" t="n">
        <x:f>C1918/SUM($C$5:$C$2477)</x:f>
        <x:v>0</x:v>
      </x:c>
      <x:c r="E1918" s="15" t="n">
        <x:f>SUM($D$5:D1918)</x:f>
        <x:v>1.0000000000000036</x:v>
      </x:c>
      <x:c r="F1918" s="1" t="str">
        <x:f>IF(C1918&lt;=0,"C",IF(E1918-D1918&lt;'Дашборд'!$C$49,"A",IF(E1918-D1918&lt;'Дашборд'!$C$50,"B","C")))</x:f>
        <x:v>C</x:v>
      </x:c>
      <x:c r="G1918" s="8" t="n">
        <x:f>'Данные'!F1918</x:f>
        <x:v>0</x:v>
      </x:c>
      <x:c r="H1918" s="8" t="n">
        <x:f>SUM('Данные'!H1918:I1918)</x:f>
        <x:v>0</x:v>
      </x:c>
      <x:c r="I1918" s="16" t="str">
        <x:f>IF(H1918&gt;0,G1918/H1918,"n.a.")</x:f>
        <x:v>n.a.</x:v>
      </x:c>
      <x:c r="J1918" s="10" t="n">
        <x:f>IF('Данные'!E1918&gt;0,G1918/'Данные'!E1918,"n.a.")</x:f>
        <x:v>0</x:v>
      </x:c>
      <x:c r="K1918" s="1" t="str">
        <x:f>IF(G1918&gt;='Дашборд'!$C$51,"X","Z")</x:f>
        <x:v>Z</x:v>
      </x:c>
      <x:c r="L1918" s="1" t="str">
        <x:f>IF(H1918=0,IF(G1918&gt;0,"Нет остатка","Нет спроса"),IF(I1918&gt;='Дашборд'!$C$52,"Быстрый","Медленный"))</x:f>
        <x:v>Нет спроса</x:v>
      </x:c>
      <x:c r="M1918" s="1" t="str">
        <x:f>IF('Данные'!E1918&lt;'Дашборд'!$C$53,"Мало трафика",IF(J1918&lt;'Дашборд'!$C$9*'Дашборд'!$C$54,"Да","Нет"))</x:f>
        <x:v>Мало трафика</x:v>
      </x:c>
      <x:c r="N1918" s="1" t="str">
        <x:f>IF(AND('Данные'!D1918&gt;='Дашборд'!$C$55,D1918&lt;'Дашборд'!$C$56,'Данные'!E1918&gt;='Дашборд'!$C$53,'Данные'!L1918&lt;&gt;"Да"),"Да","Нет")</x:f>
        <x:v>Нет</x:v>
      </x:c>
      <x:c r="O1918" s="1" t="str">
        <x:f>'Данные'!L1918</x:f>
        <x:v>Нет</x:v>
      </x:c>
    </x:row>
    <x:row r="1919">
      <x:c r="A1919" s="1" t="str">
        <x:f>'Данные'!A1919</x:f>
        <x:v>202779215</x:v>
      </x:c>
      <x:c r="B1919" s="1" t="str">
        <x:f>'Данные'!B1919</x:f>
        <x:v>hudiprint/GooD-58/черный</x:v>
      </x:c>
      <x:c r="C1919" s="8" t="n">
        <x:f>'Данные'!G1919</x:f>
        <x:v>0</x:v>
      </x:c>
      <x:c r="D1919" s="15" t="n">
        <x:f>C1919/SUM($C$5:$C$2477)</x:f>
        <x:v>0</x:v>
      </x:c>
      <x:c r="E1919" s="15" t="n">
        <x:f>SUM($D$5:D1919)</x:f>
        <x:v>1.0000000000000036</x:v>
      </x:c>
      <x:c r="F1919" s="1" t="str">
        <x:f>IF(C1919&lt;=0,"C",IF(E1919-D1919&lt;'Дашборд'!$C$49,"A",IF(E1919-D1919&lt;'Дашборд'!$C$50,"B","C")))</x:f>
        <x:v>C</x:v>
      </x:c>
      <x:c r="G1919" s="8" t="n">
        <x:f>'Данные'!F1919</x:f>
        <x:v>0</x:v>
      </x:c>
      <x:c r="H1919" s="8" t="n">
        <x:f>SUM('Данные'!H1919:I1919)</x:f>
        <x:v>0</x:v>
      </x:c>
      <x:c r="I1919" s="16" t="str">
        <x:f>IF(H1919&gt;0,G1919/H1919,"n.a.")</x:f>
        <x:v>n.a.</x:v>
      </x:c>
      <x:c r="J1919" s="10" t="n">
        <x:f>IF('Данные'!E1919&gt;0,G1919/'Данные'!E1919,"n.a.")</x:f>
        <x:v>0</x:v>
      </x:c>
      <x:c r="K1919" s="1" t="str">
        <x:f>IF(G1919&gt;='Дашборд'!$C$51,"X","Z")</x:f>
        <x:v>Z</x:v>
      </x:c>
      <x:c r="L1919" s="1" t="str">
        <x:f>IF(H1919=0,IF(G1919&gt;0,"Нет остатка","Нет спроса"),IF(I1919&gt;='Дашборд'!$C$52,"Быстрый","Медленный"))</x:f>
        <x:v>Нет спроса</x:v>
      </x:c>
      <x:c r="M1919" s="1" t="str">
        <x:f>IF('Данные'!E1919&lt;'Дашборд'!$C$53,"Мало трафика",IF(J1919&lt;'Дашборд'!$C$9*'Дашборд'!$C$54,"Да","Нет"))</x:f>
        <x:v>Мало трафика</x:v>
      </x:c>
      <x:c r="N1919" s="1" t="str">
        <x:f>IF(AND('Данные'!D1919&gt;='Дашборд'!$C$55,D1919&lt;'Дашборд'!$C$56,'Данные'!E1919&gt;='Дашборд'!$C$53,'Данные'!L1919&lt;&gt;"Да"),"Да","Нет")</x:f>
        <x:v>Нет</x:v>
      </x:c>
      <x:c r="O1919" s="1" t="str">
        <x:f>'Данные'!L1919</x:f>
        <x:v>Нет</x:v>
      </x:c>
    </x:row>
    <x:row r="1920">
      <x:c r="A1920" s="1" t="str">
        <x:f>'Данные'!A1920</x:f>
        <x:v>202779216</x:v>
      </x:c>
      <x:c r="B1920" s="1" t="str">
        <x:f>'Данные'!B1920</x:f>
        <x:v>hudiprint/90's-56/черный</x:v>
      </x:c>
      <x:c r="C1920" s="8" t="n">
        <x:f>'Данные'!G1920</x:f>
        <x:v>0</x:v>
      </x:c>
      <x:c r="D1920" s="15" t="n">
        <x:f>C1920/SUM($C$5:$C$2477)</x:f>
        <x:v>0</x:v>
      </x:c>
      <x:c r="E1920" s="15" t="n">
        <x:f>SUM($D$5:D1920)</x:f>
        <x:v>1.0000000000000036</x:v>
      </x:c>
      <x:c r="F1920" s="1" t="str">
        <x:f>IF(C1920&lt;=0,"C",IF(E1920-D1920&lt;'Дашборд'!$C$49,"A",IF(E1920-D1920&lt;'Дашборд'!$C$50,"B","C")))</x:f>
        <x:v>C</x:v>
      </x:c>
      <x:c r="G1920" s="8" t="n">
        <x:f>'Данные'!F1920</x:f>
        <x:v>0</x:v>
      </x:c>
      <x:c r="H1920" s="8" t="n">
        <x:f>SUM('Данные'!H1920:I1920)</x:f>
        <x:v>0</x:v>
      </x:c>
      <x:c r="I1920" s="16" t="str">
        <x:f>IF(H1920&gt;0,G1920/H1920,"n.a.")</x:f>
        <x:v>n.a.</x:v>
      </x:c>
      <x:c r="J1920" s="10" t="n">
        <x:f>IF('Данные'!E1920&gt;0,G1920/'Данные'!E1920,"n.a.")</x:f>
        <x:v>0</x:v>
      </x:c>
      <x:c r="K1920" s="1" t="str">
        <x:f>IF(G1920&gt;='Дашборд'!$C$51,"X","Z")</x:f>
        <x:v>Z</x:v>
      </x:c>
      <x:c r="L1920" s="1" t="str">
        <x:f>IF(H1920=0,IF(G1920&gt;0,"Нет остатка","Нет спроса"),IF(I1920&gt;='Дашборд'!$C$52,"Быстрый","Медленный"))</x:f>
        <x:v>Нет спроса</x:v>
      </x:c>
      <x:c r="M1920" s="1" t="str">
        <x:f>IF('Данные'!E1920&lt;'Дашборд'!$C$53,"Мало трафика",IF(J1920&lt;'Дашборд'!$C$9*'Дашборд'!$C$54,"Да","Нет"))</x:f>
        <x:v>Мало трафика</x:v>
      </x:c>
      <x:c r="N1920" s="1" t="str">
        <x:f>IF(AND('Данные'!D1920&gt;='Дашборд'!$C$55,D1920&lt;'Дашборд'!$C$56,'Данные'!E1920&gt;='Дашборд'!$C$53,'Данные'!L1920&lt;&gt;"Да"),"Да","Нет")</x:f>
        <x:v>Нет</x:v>
      </x:c>
      <x:c r="O1920" s="1" t="str">
        <x:f>'Данные'!L1920</x:f>
        <x:v>Нет</x:v>
      </x:c>
    </x:row>
    <x:row r="1921">
      <x:c r="A1921" s="1" t="str">
        <x:f>'Данные'!A1921</x:f>
        <x:v>202779232</x:v>
      </x:c>
      <x:c r="B1921" s="1" t="str">
        <x:f>'Данные'!B1921</x:f>
        <x:v>hudiprint/GooD-58/молочный</x:v>
      </x:c>
      <x:c r="C1921" s="8" t="n">
        <x:f>'Данные'!G1921</x:f>
        <x:v>0</x:v>
      </x:c>
      <x:c r="D1921" s="15" t="n">
        <x:f>C1921/SUM($C$5:$C$2477)</x:f>
        <x:v>0</x:v>
      </x:c>
      <x:c r="E1921" s="15" t="n">
        <x:f>SUM($D$5:D1921)</x:f>
        <x:v>1.0000000000000036</x:v>
      </x:c>
      <x:c r="F1921" s="1" t="str">
        <x:f>IF(C1921&lt;=0,"C",IF(E1921-D1921&lt;'Дашборд'!$C$49,"A",IF(E1921-D1921&lt;'Дашборд'!$C$50,"B","C")))</x:f>
        <x:v>C</x:v>
      </x:c>
      <x:c r="G1921" s="8" t="n">
        <x:f>'Данные'!F1921</x:f>
        <x:v>0</x:v>
      </x:c>
      <x:c r="H1921" s="8" t="n">
        <x:f>SUM('Данные'!H1921:I1921)</x:f>
        <x:v>0</x:v>
      </x:c>
      <x:c r="I1921" s="16" t="str">
        <x:f>IF(H1921&gt;0,G1921/H1921,"n.a.")</x:f>
        <x:v>n.a.</x:v>
      </x:c>
      <x:c r="J1921" s="10" t="n">
        <x:f>IF('Данные'!E1921&gt;0,G1921/'Данные'!E1921,"n.a.")</x:f>
        <x:v>0</x:v>
      </x:c>
      <x:c r="K1921" s="1" t="str">
        <x:f>IF(G1921&gt;='Дашборд'!$C$51,"X","Z")</x:f>
        <x:v>Z</x:v>
      </x:c>
      <x:c r="L1921" s="1" t="str">
        <x:f>IF(H1921=0,IF(G1921&gt;0,"Нет остатка","Нет спроса"),IF(I1921&gt;='Дашборд'!$C$52,"Быстрый","Медленный"))</x:f>
        <x:v>Нет спроса</x:v>
      </x:c>
      <x:c r="M1921" s="1" t="str">
        <x:f>IF('Данные'!E1921&lt;'Дашборд'!$C$53,"Мало трафика",IF(J1921&lt;'Дашборд'!$C$9*'Дашборд'!$C$54,"Да","Нет"))</x:f>
        <x:v>Мало трафика</x:v>
      </x:c>
      <x:c r="N1921" s="1" t="str">
        <x:f>IF(AND('Данные'!D1921&gt;='Дашборд'!$C$55,D1921&lt;'Дашборд'!$C$56,'Данные'!E1921&gt;='Дашборд'!$C$53,'Данные'!L1921&lt;&gt;"Да"),"Да","Нет")</x:f>
        <x:v>Нет</x:v>
      </x:c>
      <x:c r="O1921" s="1" t="str">
        <x:f>'Данные'!L1921</x:f>
        <x:v>Нет</x:v>
      </x:c>
    </x:row>
    <x:row r="1922">
      <x:c r="A1922" s="1" t="str">
        <x:f>'Данные'!A1922</x:f>
        <x:v>202954953</x:v>
      </x:c>
      <x:c r="B1922" s="1" t="str">
        <x:f>'Данные'!B1922</x:f>
        <x:v>1sizeprint/ZelMoreSelf-63/молочный</x:v>
      </x:c>
      <x:c r="C1922" s="8" t="n">
        <x:f>'Данные'!G1922</x:f>
        <x:v>0</x:v>
      </x:c>
      <x:c r="D1922" s="15" t="n">
        <x:f>C1922/SUM($C$5:$C$2477)</x:f>
        <x:v>0</x:v>
      </x:c>
      <x:c r="E1922" s="15" t="n">
        <x:f>SUM($D$5:D1922)</x:f>
        <x:v>1.0000000000000036</x:v>
      </x:c>
      <x:c r="F1922" s="1" t="str">
        <x:f>IF(C1922&lt;=0,"C",IF(E1922-D1922&lt;'Дашборд'!$C$49,"A",IF(E1922-D1922&lt;'Дашборд'!$C$50,"B","C")))</x:f>
        <x:v>C</x:v>
      </x:c>
      <x:c r="G1922" s="8" t="n">
        <x:f>'Данные'!F1922</x:f>
        <x:v>0</x:v>
      </x:c>
      <x:c r="H1922" s="8" t="n">
        <x:f>SUM('Данные'!H1922:I1922)</x:f>
        <x:v>0</x:v>
      </x:c>
      <x:c r="I1922" s="16" t="str">
        <x:f>IF(H1922&gt;0,G1922/H1922,"n.a.")</x:f>
        <x:v>n.a.</x:v>
      </x:c>
      <x:c r="J1922" s="10" t="n">
        <x:f>IF('Данные'!E1922&gt;0,G1922/'Данные'!E1922,"n.a.")</x:f>
        <x:v>0</x:v>
      </x:c>
      <x:c r="K1922" s="1" t="str">
        <x:f>IF(G1922&gt;='Дашборд'!$C$51,"X","Z")</x:f>
        <x:v>Z</x:v>
      </x:c>
      <x:c r="L1922" s="1" t="str">
        <x:f>IF(H1922=0,IF(G1922&gt;0,"Нет остатка","Нет спроса"),IF(I1922&gt;='Дашборд'!$C$52,"Быстрый","Медленный"))</x:f>
        <x:v>Нет спроса</x:v>
      </x:c>
      <x:c r="M1922" s="1" t="str">
        <x:f>IF('Данные'!E1922&lt;'Дашборд'!$C$53,"Мало трафика",IF(J1922&lt;'Дашборд'!$C$9*'Дашборд'!$C$54,"Да","Нет"))</x:f>
        <x:v>Мало трафика</x:v>
      </x:c>
      <x:c r="N1922" s="1" t="str">
        <x:f>IF(AND('Данные'!D1922&gt;='Дашборд'!$C$55,D1922&lt;'Дашборд'!$C$56,'Данные'!E1922&gt;='Дашборд'!$C$53,'Данные'!L1922&lt;&gt;"Да"),"Да","Нет")</x:f>
        <x:v>Нет</x:v>
      </x:c>
      <x:c r="O1922" s="1" t="str">
        <x:f>'Данные'!L1922</x:f>
        <x:v>Нет</x:v>
      </x:c>
    </x:row>
    <x:row r="1923">
      <x:c r="A1923" s="1" t="str">
        <x:f>'Данные'!A1923</x:f>
        <x:v>202954959</x:v>
      </x:c>
      <x:c r="B1923" s="1" t="str">
        <x:f>'Данные'!B1923</x:f>
        <x:v>1sizeprint/KRASLoveNever-64/молочный</x:v>
      </x:c>
      <x:c r="C1923" s="8" t="n">
        <x:f>'Данные'!G1923</x:f>
        <x:v>0</x:v>
      </x:c>
      <x:c r="D1923" s="15" t="n">
        <x:f>C1923/SUM($C$5:$C$2477)</x:f>
        <x:v>0</x:v>
      </x:c>
      <x:c r="E1923" s="15" t="n">
        <x:f>SUM($D$5:D1923)</x:f>
        <x:v>1.0000000000000036</x:v>
      </x:c>
      <x:c r="F1923" s="1" t="str">
        <x:f>IF(C1923&lt;=0,"C",IF(E1923-D1923&lt;'Дашборд'!$C$49,"A",IF(E1923-D1923&lt;'Дашборд'!$C$50,"B","C")))</x:f>
        <x:v>C</x:v>
      </x:c>
      <x:c r="G1923" s="8" t="n">
        <x:f>'Данные'!F1923</x:f>
        <x:v>0</x:v>
      </x:c>
      <x:c r="H1923" s="8" t="n">
        <x:f>SUM('Данные'!H1923:I1923)</x:f>
        <x:v>0</x:v>
      </x:c>
      <x:c r="I1923" s="16" t="str">
        <x:f>IF(H1923&gt;0,G1923/H1923,"n.a.")</x:f>
        <x:v>n.a.</x:v>
      </x:c>
      <x:c r="J1923" s="10" t="str">
        <x:f>IF('Данные'!E1923&gt;0,G1923/'Данные'!E1923,"n.a.")</x:f>
        <x:v>n.a.</x:v>
      </x:c>
      <x:c r="K1923" s="1" t="str">
        <x:f>IF(G1923&gt;='Дашборд'!$C$51,"X","Z")</x:f>
        <x:v>Z</x:v>
      </x:c>
      <x:c r="L1923" s="1" t="str">
        <x:f>IF(H1923=0,IF(G1923&gt;0,"Нет остатка","Нет спроса"),IF(I1923&gt;='Дашборд'!$C$52,"Быстрый","Медленный"))</x:f>
        <x:v>Нет спроса</x:v>
      </x:c>
      <x:c r="M1923" s="1" t="str">
        <x:f>IF('Данные'!E1923&lt;'Дашборд'!$C$53,"Мало трафика",IF(J1923&lt;'Дашборд'!$C$9*'Дашборд'!$C$54,"Да","Нет"))</x:f>
        <x:v>Мало трафика</x:v>
      </x:c>
      <x:c r="N1923" s="1" t="str">
        <x:f>IF(AND('Данные'!D1923&gt;='Дашборд'!$C$55,D1923&lt;'Дашборд'!$C$56,'Данные'!E1923&gt;='Дашборд'!$C$53,'Данные'!L1923&lt;&gt;"Да"),"Да","Нет")</x:f>
        <x:v>Нет</x:v>
      </x:c>
      <x:c r="O1923" s="1" t="str">
        <x:f>'Данные'!L1923</x:f>
        <x:v>Нет</x:v>
      </x:c>
    </x:row>
    <x:row r="1924">
      <x:c r="A1924" s="1" t="str">
        <x:f>'Данные'!A1924</x:f>
        <x:v>202954964</x:v>
      </x:c>
      <x:c r="B1924" s="1" t="str">
        <x:f>'Данные'!B1924</x:f>
        <x:v>svitshotprint/LoveNever-45/темно-серый</x:v>
      </x:c>
      <x:c r="C1924" s="8" t="n">
        <x:f>'Данные'!G1924</x:f>
        <x:v>0</x:v>
      </x:c>
      <x:c r="D1924" s="15" t="n">
        <x:f>C1924/SUM($C$5:$C$2477)</x:f>
        <x:v>0</x:v>
      </x:c>
      <x:c r="E1924" s="15" t="n">
        <x:f>SUM($D$5:D1924)</x:f>
        <x:v>1.0000000000000036</x:v>
      </x:c>
      <x:c r="F1924" s="1" t="str">
        <x:f>IF(C1924&lt;=0,"C",IF(E1924-D1924&lt;'Дашборд'!$C$49,"A",IF(E1924-D1924&lt;'Дашборд'!$C$50,"B","C")))</x:f>
        <x:v>C</x:v>
      </x:c>
      <x:c r="G1924" s="8" t="n">
        <x:f>'Данные'!F1924</x:f>
        <x:v>0</x:v>
      </x:c>
      <x:c r="H1924" s="8" t="n">
        <x:f>SUM('Данные'!H1924:I1924)</x:f>
        <x:v>0</x:v>
      </x:c>
      <x:c r="I1924" s="16" t="str">
        <x:f>IF(H1924&gt;0,G1924/H1924,"n.a.")</x:f>
        <x:v>n.a.</x:v>
      </x:c>
      <x:c r="J1924" s="10" t="n">
        <x:f>IF('Данные'!E1924&gt;0,G1924/'Данные'!E1924,"n.a.")</x:f>
        <x:v>0</x:v>
      </x:c>
      <x:c r="K1924" s="1" t="str">
        <x:f>IF(G1924&gt;='Дашборд'!$C$51,"X","Z")</x:f>
        <x:v>Z</x:v>
      </x:c>
      <x:c r="L1924" s="1" t="str">
        <x:f>IF(H1924=0,IF(G1924&gt;0,"Нет остатка","Нет спроса"),IF(I1924&gt;='Дашборд'!$C$52,"Быстрый","Медленный"))</x:f>
        <x:v>Нет спроса</x:v>
      </x:c>
      <x:c r="M1924" s="1" t="str">
        <x:f>IF('Данные'!E1924&lt;'Дашборд'!$C$53,"Мало трафика",IF(J1924&lt;'Дашборд'!$C$9*'Дашборд'!$C$54,"Да","Нет"))</x:f>
        <x:v>Мало трафика</x:v>
      </x:c>
      <x:c r="N1924" s="1" t="str">
        <x:f>IF(AND('Данные'!D1924&gt;='Дашборд'!$C$55,D1924&lt;'Дашборд'!$C$56,'Данные'!E1924&gt;='Дашборд'!$C$53,'Данные'!L1924&lt;&gt;"Да"),"Да","Нет")</x:f>
        <x:v>Нет</x:v>
      </x:c>
      <x:c r="O1924" s="1" t="str">
        <x:f>'Данные'!L1924</x:f>
        <x:v>Нет</x:v>
      </x:c>
    </x:row>
    <x:row r="1925">
      <x:c r="A1925" s="1" t="str">
        <x:f>'Данные'!A1925</x:f>
        <x:v>202954970</x:v>
      </x:c>
      <x:c r="B1925" s="1" t="str">
        <x:f>'Данные'!B1925</x:f>
        <x:v>1sizeprint/LoveNever-45/молочный</x:v>
      </x:c>
      <x:c r="C1925" s="8" t="n">
        <x:f>'Данные'!G1925</x:f>
        <x:v>0</x:v>
      </x:c>
      <x:c r="D1925" s="15" t="n">
        <x:f>C1925/SUM($C$5:$C$2477)</x:f>
        <x:v>0</x:v>
      </x:c>
      <x:c r="E1925" s="15" t="n">
        <x:f>SUM($D$5:D1925)</x:f>
        <x:v>1.0000000000000036</x:v>
      </x:c>
      <x:c r="F1925" s="1" t="str">
        <x:f>IF(C1925&lt;=0,"C",IF(E1925-D1925&lt;'Дашборд'!$C$49,"A",IF(E1925-D1925&lt;'Дашборд'!$C$50,"B","C")))</x:f>
        <x:v>C</x:v>
      </x:c>
      <x:c r="G1925" s="8" t="n">
        <x:f>'Данные'!F1925</x:f>
        <x:v>0</x:v>
      </x:c>
      <x:c r="H1925" s="8" t="n">
        <x:f>SUM('Данные'!H1925:I1925)</x:f>
        <x:v>0</x:v>
      </x:c>
      <x:c r="I1925" s="16" t="str">
        <x:f>IF(H1925&gt;0,G1925/H1925,"n.a.")</x:f>
        <x:v>n.a.</x:v>
      </x:c>
      <x:c r="J1925" s="10" t="n">
        <x:f>IF('Данные'!E1925&gt;0,G1925/'Данные'!E1925,"n.a.")</x:f>
        <x:v>0</x:v>
      </x:c>
      <x:c r="K1925" s="1" t="str">
        <x:f>IF(G1925&gt;='Дашборд'!$C$51,"X","Z")</x:f>
        <x:v>Z</x:v>
      </x:c>
      <x:c r="L1925" s="1" t="str">
        <x:f>IF(H1925=0,IF(G1925&gt;0,"Нет остатка","Нет спроса"),IF(I1925&gt;='Дашборд'!$C$52,"Быстрый","Медленный"))</x:f>
        <x:v>Нет спроса</x:v>
      </x:c>
      <x:c r="M1925" s="1" t="str">
        <x:f>IF('Данные'!E1925&lt;'Дашборд'!$C$53,"Мало трафика",IF(J1925&lt;'Дашборд'!$C$9*'Дашборд'!$C$54,"Да","Нет"))</x:f>
        <x:v>Мало трафика</x:v>
      </x:c>
      <x:c r="N1925" s="1" t="str">
        <x:f>IF(AND('Данные'!D1925&gt;='Дашборд'!$C$55,D1925&lt;'Дашборд'!$C$56,'Данные'!E1925&gt;='Дашборд'!$C$53,'Данные'!L1925&lt;&gt;"Да"),"Да","Нет")</x:f>
        <x:v>Нет</x:v>
      </x:c>
      <x:c r="O1925" s="1" t="str">
        <x:f>'Данные'!L1925</x:f>
        <x:v>Нет</x:v>
      </x:c>
    </x:row>
    <x:row r="1926">
      <x:c r="A1926" s="1" t="str">
        <x:f>'Данные'!A1926</x:f>
        <x:v>202954972</x:v>
      </x:c>
      <x:c r="B1926" s="1" t="str">
        <x:f>'Данные'!B1926</x:f>
        <x:v>svitshotprint/MoreSelf-44/темно-серый</x:v>
      </x:c>
      <x:c r="C1926" s="8" t="n">
        <x:f>'Данные'!G1926</x:f>
        <x:v>0</x:v>
      </x:c>
      <x:c r="D1926" s="15" t="n">
        <x:f>C1926/SUM($C$5:$C$2477)</x:f>
        <x:v>0</x:v>
      </x:c>
      <x:c r="E1926" s="15" t="n">
        <x:f>SUM($D$5:D1926)</x:f>
        <x:v>1.0000000000000036</x:v>
      </x:c>
      <x:c r="F1926" s="1" t="str">
        <x:f>IF(C1926&lt;=0,"C",IF(E1926-D1926&lt;'Дашборд'!$C$49,"A",IF(E1926-D1926&lt;'Дашборд'!$C$50,"B","C")))</x:f>
        <x:v>C</x:v>
      </x:c>
      <x:c r="G1926" s="8" t="n">
        <x:f>'Данные'!F1926</x:f>
        <x:v>0</x:v>
      </x:c>
      <x:c r="H1926" s="8" t="n">
        <x:f>SUM('Данные'!H1926:I1926)</x:f>
        <x:v>0</x:v>
      </x:c>
      <x:c r="I1926" s="16" t="str">
        <x:f>IF(H1926&gt;0,G1926/H1926,"n.a.")</x:f>
        <x:v>n.a.</x:v>
      </x:c>
      <x:c r="J1926" s="10" t="n">
        <x:f>IF('Данные'!E1926&gt;0,G1926/'Данные'!E1926,"n.a.")</x:f>
        <x:v>0</x:v>
      </x:c>
      <x:c r="K1926" s="1" t="str">
        <x:f>IF(G1926&gt;='Дашборд'!$C$51,"X","Z")</x:f>
        <x:v>Z</x:v>
      </x:c>
      <x:c r="L1926" s="1" t="str">
        <x:f>IF(H1926=0,IF(G1926&gt;0,"Нет остатка","Нет спроса"),IF(I1926&gt;='Дашборд'!$C$52,"Быстрый","Медленный"))</x:f>
        <x:v>Нет спроса</x:v>
      </x:c>
      <x:c r="M1926" s="1" t="str">
        <x:f>IF('Данные'!E1926&lt;'Дашборд'!$C$53,"Мало трафика",IF(J1926&lt;'Дашборд'!$C$9*'Дашборд'!$C$54,"Да","Нет"))</x:f>
        <x:v>Мало трафика</x:v>
      </x:c>
      <x:c r="N1926" s="1" t="str">
        <x:f>IF(AND('Данные'!D1926&gt;='Дашборд'!$C$55,D1926&lt;'Дашборд'!$C$56,'Данные'!E1926&gt;='Дашборд'!$C$53,'Данные'!L1926&lt;&gt;"Да"),"Да","Нет")</x:f>
        <x:v>Нет</x:v>
      </x:c>
      <x:c r="O1926" s="1" t="str">
        <x:f>'Данные'!L1926</x:f>
        <x:v>Нет</x:v>
      </x:c>
    </x:row>
    <x:row r="1927">
      <x:c r="A1927" s="1" t="str">
        <x:f>'Данные'!A1927</x:f>
        <x:v>202954975</x:v>
      </x:c>
      <x:c r="B1927" s="1" t="str">
        <x:f>'Данные'!B1927</x:f>
        <x:v>svitshotprint/LoveNever-45/черный</x:v>
      </x:c>
      <x:c r="C1927" s="8" t="n">
        <x:f>'Данные'!G1927</x:f>
        <x:v>0</x:v>
      </x:c>
      <x:c r="D1927" s="15" t="n">
        <x:f>C1927/SUM($C$5:$C$2477)</x:f>
        <x:v>0</x:v>
      </x:c>
      <x:c r="E1927" s="15" t="n">
        <x:f>SUM($D$5:D1927)</x:f>
        <x:v>1.0000000000000036</x:v>
      </x:c>
      <x:c r="F1927" s="1" t="str">
        <x:f>IF(C1927&lt;=0,"C",IF(E1927-D1927&lt;'Дашборд'!$C$49,"A",IF(E1927-D1927&lt;'Дашборд'!$C$50,"B","C")))</x:f>
        <x:v>C</x:v>
      </x:c>
      <x:c r="G1927" s="8" t="n">
        <x:f>'Данные'!F1927</x:f>
        <x:v>0</x:v>
      </x:c>
      <x:c r="H1927" s="8" t="n">
        <x:f>SUM('Данные'!H1927:I1927)</x:f>
        <x:v>0</x:v>
      </x:c>
      <x:c r="I1927" s="16" t="str">
        <x:f>IF(H1927&gt;0,G1927/H1927,"n.a.")</x:f>
        <x:v>n.a.</x:v>
      </x:c>
      <x:c r="J1927" s="10" t="n">
        <x:f>IF('Данные'!E1927&gt;0,G1927/'Данные'!E1927,"n.a.")</x:f>
        <x:v>0</x:v>
      </x:c>
      <x:c r="K1927" s="1" t="str">
        <x:f>IF(G1927&gt;='Дашборд'!$C$51,"X","Z")</x:f>
        <x:v>Z</x:v>
      </x:c>
      <x:c r="L1927" s="1" t="str">
        <x:f>IF(H1927=0,IF(G1927&gt;0,"Нет остатка","Нет спроса"),IF(I1927&gt;='Дашборд'!$C$52,"Быстрый","Медленный"))</x:f>
        <x:v>Нет спроса</x:v>
      </x:c>
      <x:c r="M1927" s="1" t="str">
        <x:f>IF('Данные'!E1927&lt;'Дашборд'!$C$53,"Мало трафика",IF(J1927&lt;'Дашборд'!$C$9*'Дашборд'!$C$54,"Да","Нет"))</x:f>
        <x:v>Мало трафика</x:v>
      </x:c>
      <x:c r="N1927" s="1" t="str">
        <x:f>IF(AND('Данные'!D1927&gt;='Дашборд'!$C$55,D1927&lt;'Дашборд'!$C$56,'Данные'!E1927&gt;='Дашборд'!$C$53,'Данные'!L1927&lt;&gt;"Да"),"Да","Нет")</x:f>
        <x:v>Нет</x:v>
      </x:c>
      <x:c r="O1927" s="1" t="str">
        <x:f>'Данные'!L1927</x:f>
        <x:v>Нет</x:v>
      </x:c>
    </x:row>
    <x:row r="1928">
      <x:c r="A1928" s="1" t="str">
        <x:f>'Данные'!A1928</x:f>
        <x:v>202954978</x:v>
      </x:c>
      <x:c r="B1928" s="1" t="str">
        <x:f>'Данные'!B1928</x:f>
        <x:v>1sizeprint/LoveNever-45/черный</x:v>
      </x:c>
      <x:c r="C1928" s="8" t="n">
        <x:f>'Данные'!G1928</x:f>
        <x:v>0</x:v>
      </x:c>
      <x:c r="D1928" s="15" t="n">
        <x:f>C1928/SUM($C$5:$C$2477)</x:f>
        <x:v>0</x:v>
      </x:c>
      <x:c r="E1928" s="15" t="n">
        <x:f>SUM($D$5:D1928)</x:f>
        <x:v>1.0000000000000036</x:v>
      </x:c>
      <x:c r="F1928" s="1" t="str">
        <x:f>IF(C1928&lt;=0,"C",IF(E1928-D1928&lt;'Дашборд'!$C$49,"A",IF(E1928-D1928&lt;'Дашборд'!$C$50,"B","C")))</x:f>
        <x:v>C</x:v>
      </x:c>
      <x:c r="G1928" s="8" t="n">
        <x:f>'Данные'!F1928</x:f>
        <x:v>0</x:v>
      </x:c>
      <x:c r="H1928" s="8" t="n">
        <x:f>SUM('Данные'!H1928:I1928)</x:f>
        <x:v>0</x:v>
      </x:c>
      <x:c r="I1928" s="16" t="str">
        <x:f>IF(H1928&gt;0,G1928/H1928,"n.a.")</x:f>
        <x:v>n.a.</x:v>
      </x:c>
      <x:c r="J1928" s="10" t="n">
        <x:f>IF('Данные'!E1928&gt;0,G1928/'Данные'!E1928,"n.a.")</x:f>
        <x:v>0</x:v>
      </x:c>
      <x:c r="K1928" s="1" t="str">
        <x:f>IF(G1928&gt;='Дашборд'!$C$51,"X","Z")</x:f>
        <x:v>Z</x:v>
      </x:c>
      <x:c r="L1928" s="1" t="str">
        <x:f>IF(H1928=0,IF(G1928&gt;0,"Нет остатка","Нет спроса"),IF(I1928&gt;='Дашборд'!$C$52,"Быстрый","Медленный"))</x:f>
        <x:v>Нет спроса</x:v>
      </x:c>
      <x:c r="M1928" s="1" t="str">
        <x:f>IF('Данные'!E1928&lt;'Дашборд'!$C$53,"Мало трафика",IF(J1928&lt;'Дашборд'!$C$9*'Дашборд'!$C$54,"Да","Нет"))</x:f>
        <x:v>Мало трафика</x:v>
      </x:c>
      <x:c r="N1928" s="1" t="str">
        <x:f>IF(AND('Данные'!D1928&gt;='Дашборд'!$C$55,D1928&lt;'Дашборд'!$C$56,'Данные'!E1928&gt;='Дашборд'!$C$53,'Данные'!L1928&lt;&gt;"Да"),"Да","Нет")</x:f>
        <x:v>Нет</x:v>
      </x:c>
      <x:c r="O1928" s="1" t="str">
        <x:f>'Данные'!L1928</x:f>
        <x:v>Нет</x:v>
      </x:c>
    </x:row>
    <x:row r="1929">
      <x:c r="A1929" s="1" t="str">
        <x:f>'Данные'!A1929</x:f>
        <x:v>207178440</x:v>
      </x:c>
      <x:c r="B1929" s="1" t="str">
        <x:f>'Данные'!B1929</x:f>
        <x:v>svitshotprint/Chic-55/молочный</x:v>
      </x:c>
      <x:c r="C1929" s="8" t="n">
        <x:f>'Данные'!G1929</x:f>
        <x:v>0</x:v>
      </x:c>
      <x:c r="D1929" s="15" t="n">
        <x:f>C1929/SUM($C$5:$C$2477)</x:f>
        <x:v>0</x:v>
      </x:c>
      <x:c r="E1929" s="15" t="n">
        <x:f>SUM($D$5:D1929)</x:f>
        <x:v>1.0000000000000036</x:v>
      </x:c>
      <x:c r="F1929" s="1" t="str">
        <x:f>IF(C1929&lt;=0,"C",IF(E1929-D1929&lt;'Дашборд'!$C$49,"A",IF(E1929-D1929&lt;'Дашборд'!$C$50,"B","C")))</x:f>
        <x:v>C</x:v>
      </x:c>
      <x:c r="G1929" s="8" t="n">
        <x:f>'Данные'!F1929</x:f>
        <x:v>0</x:v>
      </x:c>
      <x:c r="H1929" s="8" t="n">
        <x:f>SUM('Данные'!H1929:I1929)</x:f>
        <x:v>0</x:v>
      </x:c>
      <x:c r="I1929" s="16" t="str">
        <x:f>IF(H1929&gt;0,G1929/H1929,"n.a.")</x:f>
        <x:v>n.a.</x:v>
      </x:c>
      <x:c r="J1929" s="10" t="n">
        <x:f>IF('Данные'!E1929&gt;0,G1929/'Данные'!E1929,"n.a.")</x:f>
        <x:v>0</x:v>
      </x:c>
      <x:c r="K1929" s="1" t="str">
        <x:f>IF(G1929&gt;='Дашборд'!$C$51,"X","Z")</x:f>
        <x:v>Z</x:v>
      </x:c>
      <x:c r="L1929" s="1" t="str">
        <x:f>IF(H1929=0,IF(G1929&gt;0,"Нет остатка","Нет спроса"),IF(I1929&gt;='Дашборд'!$C$52,"Быстрый","Медленный"))</x:f>
        <x:v>Нет спроса</x:v>
      </x:c>
      <x:c r="M1929" s="1" t="str">
        <x:f>IF('Данные'!E1929&lt;'Дашборд'!$C$53,"Мало трафика",IF(J1929&lt;'Дашборд'!$C$9*'Дашборд'!$C$54,"Да","Нет"))</x:f>
        <x:v>Мало трафика</x:v>
      </x:c>
      <x:c r="N1929" s="1" t="str">
        <x:f>IF(AND('Данные'!D1929&gt;='Дашборд'!$C$55,D1929&lt;'Дашборд'!$C$56,'Данные'!E1929&gt;='Дашборд'!$C$53,'Данные'!L1929&lt;&gt;"Да"),"Да","Нет")</x:f>
        <x:v>Нет</x:v>
      </x:c>
      <x:c r="O1929" s="1" t="str">
        <x:f>'Данные'!L1929</x:f>
        <x:v>Нет</x:v>
      </x:c>
    </x:row>
    <x:row r="1930">
      <x:c r="A1930" s="1" t="str">
        <x:f>'Данные'!A1930</x:f>
        <x:v>207481105</x:v>
      </x:c>
      <x:c r="B1930" s="1" t="str">
        <x:f>'Данные'!B1930</x:f>
        <x:v>svitshotmanprint/Brukman-42/черный</x:v>
      </x:c>
      <x:c r="C1930" s="8" t="n">
        <x:f>'Данные'!G1930</x:f>
        <x:v>0</x:v>
      </x:c>
      <x:c r="D1930" s="15" t="n">
        <x:f>C1930/SUM($C$5:$C$2477)</x:f>
        <x:v>0</x:v>
      </x:c>
      <x:c r="E1930" s="15" t="n">
        <x:f>SUM($D$5:D1930)</x:f>
        <x:v>1.0000000000000036</x:v>
      </x:c>
      <x:c r="F1930" s="1" t="str">
        <x:f>IF(C1930&lt;=0,"C",IF(E1930-D1930&lt;'Дашборд'!$C$49,"A",IF(E1930-D1930&lt;'Дашборд'!$C$50,"B","C")))</x:f>
        <x:v>C</x:v>
      </x:c>
      <x:c r="G1930" s="8" t="n">
        <x:f>'Данные'!F1930</x:f>
        <x:v>0</x:v>
      </x:c>
      <x:c r="H1930" s="8" t="n">
        <x:f>SUM('Данные'!H1930:I1930)</x:f>
        <x:v>0</x:v>
      </x:c>
      <x:c r="I1930" s="16" t="str">
        <x:f>IF(H1930&gt;0,G1930/H1930,"n.a.")</x:f>
        <x:v>n.a.</x:v>
      </x:c>
      <x:c r="J1930" s="10" t="str">
        <x:f>IF('Данные'!E1930&gt;0,G1930/'Данные'!E1930,"n.a.")</x:f>
        <x:v>n.a.</x:v>
      </x:c>
      <x:c r="K1930" s="1" t="str">
        <x:f>IF(G1930&gt;='Дашборд'!$C$51,"X","Z")</x:f>
        <x:v>Z</x:v>
      </x:c>
      <x:c r="L1930" s="1" t="str">
        <x:f>IF(H1930=0,IF(G1930&gt;0,"Нет остатка","Нет спроса"),IF(I1930&gt;='Дашборд'!$C$52,"Быстрый","Медленный"))</x:f>
        <x:v>Нет спроса</x:v>
      </x:c>
      <x:c r="M1930" s="1" t="str">
        <x:f>IF('Данные'!E1930&lt;'Дашборд'!$C$53,"Мало трафика",IF(J1930&lt;'Дашборд'!$C$9*'Дашборд'!$C$54,"Да","Нет"))</x:f>
        <x:v>Мало трафика</x:v>
      </x:c>
      <x:c r="N1930" s="1" t="str">
        <x:f>IF(AND('Данные'!D1930&gt;='Дашборд'!$C$55,D1930&lt;'Дашборд'!$C$56,'Данные'!E1930&gt;='Дашборд'!$C$53,'Данные'!L1930&lt;&gt;"Да"),"Да","Нет")</x:f>
        <x:v>Нет</x:v>
      </x:c>
      <x:c r="O1930" s="1" t="str">
        <x:f>'Данные'!L1930</x:f>
        <x:v>Нет</x:v>
      </x:c>
    </x:row>
    <x:row r="1931">
      <x:c r="A1931" s="1" t="str">
        <x:f>'Данные'!A1931</x:f>
        <x:v>207481106</x:v>
      </x:c>
      <x:c r="B1931" s="1" t="str">
        <x:f>'Данные'!B1931</x:f>
        <x:v>svitshotmanprint/Brukman-42/молочный</x:v>
      </x:c>
      <x:c r="C1931" s="8" t="n">
        <x:f>'Данные'!G1931</x:f>
        <x:v>0</x:v>
      </x:c>
      <x:c r="D1931" s="15" t="n">
        <x:f>C1931/SUM($C$5:$C$2477)</x:f>
        <x:v>0</x:v>
      </x:c>
      <x:c r="E1931" s="15" t="n">
        <x:f>SUM($D$5:D1931)</x:f>
        <x:v>1.0000000000000036</x:v>
      </x:c>
      <x:c r="F1931" s="1" t="str">
        <x:f>IF(C1931&lt;=0,"C",IF(E1931-D1931&lt;'Дашборд'!$C$49,"A",IF(E1931-D1931&lt;'Дашборд'!$C$50,"B","C")))</x:f>
        <x:v>C</x:v>
      </x:c>
      <x:c r="G1931" s="8" t="n">
        <x:f>'Данные'!F1931</x:f>
        <x:v>0</x:v>
      </x:c>
      <x:c r="H1931" s="8" t="n">
        <x:f>SUM('Данные'!H1931:I1931)</x:f>
        <x:v>0</x:v>
      </x:c>
      <x:c r="I1931" s="16" t="str">
        <x:f>IF(H1931&gt;0,G1931/H1931,"n.a.")</x:f>
        <x:v>n.a.</x:v>
      </x:c>
      <x:c r="J1931" s="10" t="str">
        <x:f>IF('Данные'!E1931&gt;0,G1931/'Данные'!E1931,"n.a.")</x:f>
        <x:v>n.a.</x:v>
      </x:c>
      <x:c r="K1931" s="1" t="str">
        <x:f>IF(G1931&gt;='Дашборд'!$C$51,"X","Z")</x:f>
        <x:v>Z</x:v>
      </x:c>
      <x:c r="L1931" s="1" t="str">
        <x:f>IF(H1931=0,IF(G1931&gt;0,"Нет остатка","Нет спроса"),IF(I1931&gt;='Дашборд'!$C$52,"Быстрый","Медленный"))</x:f>
        <x:v>Нет спроса</x:v>
      </x:c>
      <x:c r="M1931" s="1" t="str">
        <x:f>IF('Данные'!E1931&lt;'Дашборд'!$C$53,"Мало трафика",IF(J1931&lt;'Дашборд'!$C$9*'Дашборд'!$C$54,"Да","Нет"))</x:f>
        <x:v>Мало трафика</x:v>
      </x:c>
      <x:c r="N1931" s="1" t="str">
        <x:f>IF(AND('Данные'!D1931&gt;='Дашборд'!$C$55,D1931&lt;'Дашборд'!$C$56,'Данные'!E1931&gt;='Дашборд'!$C$53,'Данные'!L1931&lt;&gt;"Да"),"Да","Нет")</x:f>
        <x:v>Нет</x:v>
      </x:c>
      <x:c r="O1931" s="1" t="str">
        <x:f>'Данные'!L1931</x:f>
        <x:v>Нет</x:v>
      </x:c>
    </x:row>
    <x:row r="1932">
      <x:c r="A1932" s="1" t="str">
        <x:f>'Данные'!A1932</x:f>
        <x:v>208734208</x:v>
      </x:c>
      <x:c r="B1932" s="1" t="str">
        <x:f>'Данные'!B1932</x:f>
        <x:v>svitshotzipman1/морскаяволна</x:v>
      </x:c>
      <x:c r="C1932" s="8" t="n">
        <x:f>'Данные'!G1932</x:f>
        <x:v>0</x:v>
      </x:c>
      <x:c r="D1932" s="15" t="n">
        <x:f>C1932/SUM($C$5:$C$2477)</x:f>
        <x:v>0</x:v>
      </x:c>
      <x:c r="E1932" s="15" t="n">
        <x:f>SUM($D$5:D1932)</x:f>
        <x:v>1.0000000000000036</x:v>
      </x:c>
      <x:c r="F1932" s="1" t="str">
        <x:f>IF(C1932&lt;=0,"C",IF(E1932-D1932&lt;'Дашборд'!$C$49,"A",IF(E1932-D1932&lt;'Дашборд'!$C$50,"B","C")))</x:f>
        <x:v>C</x:v>
      </x:c>
      <x:c r="G1932" s="8" t="n">
        <x:f>'Данные'!F1932</x:f>
        <x:v>0</x:v>
      </x:c>
      <x:c r="H1932" s="8" t="n">
        <x:f>SUM('Данные'!H1932:I1932)</x:f>
        <x:v>0</x:v>
      </x:c>
      <x:c r="I1932" s="16" t="str">
        <x:f>IF(H1932&gt;0,G1932/H1932,"n.a.")</x:f>
        <x:v>n.a.</x:v>
      </x:c>
      <x:c r="J1932" s="10" t="n">
        <x:f>IF('Данные'!E1932&gt;0,G1932/'Данные'!E1932,"n.a.")</x:f>
        <x:v>0</x:v>
      </x:c>
      <x:c r="K1932" s="1" t="str">
        <x:f>IF(G1932&gt;='Дашборд'!$C$51,"X","Z")</x:f>
        <x:v>Z</x:v>
      </x:c>
      <x:c r="L1932" s="1" t="str">
        <x:f>IF(H1932=0,IF(G1932&gt;0,"Нет остатка","Нет спроса"),IF(I1932&gt;='Дашборд'!$C$52,"Быстрый","Медленный"))</x:f>
        <x:v>Нет спроса</x:v>
      </x:c>
      <x:c r="M1932" s="1" t="str">
        <x:f>IF('Данные'!E1932&lt;'Дашборд'!$C$53,"Мало трафика",IF(J1932&lt;'Дашборд'!$C$9*'Дашборд'!$C$54,"Да","Нет"))</x:f>
        <x:v>Мало трафика</x:v>
      </x:c>
      <x:c r="N1932" s="1" t="str">
        <x:f>IF(AND('Данные'!D1932&gt;='Дашборд'!$C$55,D1932&lt;'Дашборд'!$C$56,'Данные'!E1932&gt;='Дашборд'!$C$53,'Данные'!L1932&lt;&gt;"Да"),"Да","Нет")</x:f>
        <x:v>Нет</x:v>
      </x:c>
      <x:c r="O1932" s="1" t="str">
        <x:f>'Данные'!L1932</x:f>
        <x:v>Нет</x:v>
      </x:c>
    </x:row>
    <x:row r="1933">
      <x:c r="A1933" s="1" t="str">
        <x:f>'Данные'!A1933</x:f>
        <x:v>209127480</x:v>
      </x:c>
      <x:c r="B1933" s="1" t="str">
        <x:f>'Данные'!B1933</x:f>
        <x:v>futbolkaover2/белый</x:v>
      </x:c>
      <x:c r="C1933" s="8" t="n">
        <x:f>'Данные'!G1933</x:f>
        <x:v>0</x:v>
      </x:c>
      <x:c r="D1933" s="15" t="n">
        <x:f>C1933/SUM($C$5:$C$2477)</x:f>
        <x:v>0</x:v>
      </x:c>
      <x:c r="E1933" s="15" t="n">
        <x:f>SUM($D$5:D1933)</x:f>
        <x:v>1.0000000000000036</x:v>
      </x:c>
      <x:c r="F1933" s="1" t="str">
        <x:f>IF(C1933&lt;=0,"C",IF(E1933-D1933&lt;'Дашборд'!$C$49,"A",IF(E1933-D1933&lt;'Дашборд'!$C$50,"B","C")))</x:f>
        <x:v>C</x:v>
      </x:c>
      <x:c r="G1933" s="8" t="n">
        <x:f>'Данные'!F1933</x:f>
        <x:v>0</x:v>
      </x:c>
      <x:c r="H1933" s="8" t="n">
        <x:f>SUM('Данные'!H1933:I1933)</x:f>
        <x:v>0</x:v>
      </x:c>
      <x:c r="I1933" s="16" t="str">
        <x:f>IF(H1933&gt;0,G1933/H1933,"n.a.")</x:f>
        <x:v>n.a.</x:v>
      </x:c>
      <x:c r="J1933" s="10" t="n">
        <x:f>IF('Данные'!E1933&gt;0,G1933/'Данные'!E1933,"n.a.")</x:f>
        <x:v>0</x:v>
      </x:c>
      <x:c r="K1933" s="1" t="str">
        <x:f>IF(G1933&gt;='Дашборд'!$C$51,"X","Z")</x:f>
        <x:v>Z</x:v>
      </x:c>
      <x:c r="L1933" s="1" t="str">
        <x:f>IF(H1933=0,IF(G1933&gt;0,"Нет остатка","Нет спроса"),IF(I1933&gt;='Дашборд'!$C$52,"Быстрый","Медленный"))</x:f>
        <x:v>Нет спроса</x:v>
      </x:c>
      <x:c r="M1933" s="1" t="str">
        <x:f>IF('Данные'!E1933&lt;'Дашборд'!$C$53,"Мало трафика",IF(J1933&lt;'Дашборд'!$C$9*'Дашборд'!$C$54,"Да","Нет"))</x:f>
        <x:v>Мало трафика</x:v>
      </x:c>
      <x:c r="N1933" s="1" t="str">
        <x:f>IF(AND('Данные'!D1933&gt;='Дашборд'!$C$55,D1933&lt;'Дашборд'!$C$56,'Данные'!E1933&gt;='Дашборд'!$C$53,'Данные'!L1933&lt;&gt;"Да"),"Да","Нет")</x:f>
        <x:v>Нет</x:v>
      </x:c>
      <x:c r="O1933" s="1" t="str">
        <x:f>'Данные'!L1933</x:f>
        <x:v>Нет</x:v>
      </x:c>
    </x:row>
    <x:row r="1934">
      <x:c r="A1934" s="1" t="str">
        <x:f>'Данные'!A1934</x:f>
        <x:v>209138777</x:v>
      </x:c>
      <x:c r="B1934" s="1" t="str">
        <x:f>'Данные'!B1934</x:f>
        <x:v>kulirkaman2/белый</x:v>
      </x:c>
      <x:c r="C1934" s="8" t="n">
        <x:f>'Данные'!G1934</x:f>
        <x:v>0</x:v>
      </x:c>
      <x:c r="D1934" s="15" t="n">
        <x:f>C1934/SUM($C$5:$C$2477)</x:f>
        <x:v>0</x:v>
      </x:c>
      <x:c r="E1934" s="15" t="n">
        <x:f>SUM($D$5:D1934)</x:f>
        <x:v>1.0000000000000036</x:v>
      </x:c>
      <x:c r="F1934" s="1" t="str">
        <x:f>IF(C1934&lt;=0,"C",IF(E1934-D1934&lt;'Дашборд'!$C$49,"A",IF(E1934-D1934&lt;'Дашборд'!$C$50,"B","C")))</x:f>
        <x:v>C</x:v>
      </x:c>
      <x:c r="G1934" s="8" t="n">
        <x:f>'Данные'!F1934</x:f>
        <x:v>0</x:v>
      </x:c>
      <x:c r="H1934" s="8" t="n">
        <x:f>SUM('Данные'!H1934:I1934)</x:f>
        <x:v>0</x:v>
      </x:c>
      <x:c r="I1934" s="16" t="str">
        <x:f>IF(H1934&gt;0,G1934/H1934,"n.a.")</x:f>
        <x:v>n.a.</x:v>
      </x:c>
      <x:c r="J1934" s="10" t="n">
        <x:f>IF('Данные'!E1934&gt;0,G1934/'Данные'!E1934,"n.a.")</x:f>
        <x:v>0</x:v>
      </x:c>
      <x:c r="K1934" s="1" t="str">
        <x:f>IF(G1934&gt;='Дашборд'!$C$51,"X","Z")</x:f>
        <x:v>Z</x:v>
      </x:c>
      <x:c r="L1934" s="1" t="str">
        <x:f>IF(H1934=0,IF(G1934&gt;0,"Нет остатка","Нет спроса"),IF(I1934&gt;='Дашборд'!$C$52,"Быстрый","Медленный"))</x:f>
        <x:v>Нет спроса</x:v>
      </x:c>
      <x:c r="M1934" s="1" t="str">
        <x:f>IF('Данные'!E1934&lt;'Дашборд'!$C$53,"Мало трафика",IF(J1934&lt;'Дашборд'!$C$9*'Дашборд'!$C$54,"Да","Нет"))</x:f>
        <x:v>Мало трафика</x:v>
      </x:c>
      <x:c r="N1934" s="1" t="str">
        <x:f>IF(AND('Данные'!D1934&gt;='Дашборд'!$C$55,D1934&lt;'Дашборд'!$C$56,'Данные'!E1934&gt;='Дашборд'!$C$53,'Данные'!L1934&lt;&gt;"Да"),"Да","Нет")</x:f>
        <x:v>Нет</x:v>
      </x:c>
      <x:c r="O1934" s="1" t="str">
        <x:f>'Данные'!L1934</x:f>
        <x:v>Нет</x:v>
      </x:c>
    </x:row>
    <x:row r="1935">
      <x:c r="A1935" s="1" t="str">
        <x:f>'Данные'!A1935</x:f>
        <x:v>209140306</x:v>
      </x:c>
      <x:c r="B1935" s="1" t="str">
        <x:f>'Данные'!B1935</x:f>
        <x:v>kulirkaman2/черный</x:v>
      </x:c>
      <x:c r="C1935" s="8" t="n">
        <x:f>'Данные'!G1935</x:f>
        <x:v>0</x:v>
      </x:c>
      <x:c r="D1935" s="15" t="n">
        <x:f>C1935/SUM($C$5:$C$2477)</x:f>
        <x:v>0</x:v>
      </x:c>
      <x:c r="E1935" s="15" t="n">
        <x:f>SUM($D$5:D1935)</x:f>
        <x:v>1.0000000000000036</x:v>
      </x:c>
      <x:c r="F1935" s="1" t="str">
        <x:f>IF(C1935&lt;=0,"C",IF(E1935-D1935&lt;'Дашборд'!$C$49,"A",IF(E1935-D1935&lt;'Дашборд'!$C$50,"B","C")))</x:f>
        <x:v>C</x:v>
      </x:c>
      <x:c r="G1935" s="8" t="n">
        <x:f>'Данные'!F1935</x:f>
        <x:v>0</x:v>
      </x:c>
      <x:c r="H1935" s="8" t="n">
        <x:f>SUM('Данные'!H1935:I1935)</x:f>
        <x:v>0</x:v>
      </x:c>
      <x:c r="I1935" s="16" t="str">
        <x:f>IF(H1935&gt;0,G1935/H1935,"n.a.")</x:f>
        <x:v>n.a.</x:v>
      </x:c>
      <x:c r="J1935" s="10" t="str">
        <x:f>IF('Данные'!E1935&gt;0,G1935/'Данные'!E1935,"n.a.")</x:f>
        <x:v>n.a.</x:v>
      </x:c>
      <x:c r="K1935" s="1" t="str">
        <x:f>IF(G1935&gt;='Дашборд'!$C$51,"X","Z")</x:f>
        <x:v>Z</x:v>
      </x:c>
      <x:c r="L1935" s="1" t="str">
        <x:f>IF(H1935=0,IF(G1935&gt;0,"Нет остатка","Нет спроса"),IF(I1935&gt;='Дашборд'!$C$52,"Быстрый","Медленный"))</x:f>
        <x:v>Нет спроса</x:v>
      </x:c>
      <x:c r="M1935" s="1" t="str">
        <x:f>IF('Данные'!E1935&lt;'Дашборд'!$C$53,"Мало трафика",IF(J1935&lt;'Дашборд'!$C$9*'Дашборд'!$C$54,"Да","Нет"))</x:f>
        <x:v>Мало трафика</x:v>
      </x:c>
      <x:c r="N1935" s="1" t="str">
        <x:f>IF(AND('Данные'!D1935&gt;='Дашборд'!$C$55,D1935&lt;'Дашборд'!$C$56,'Данные'!E1935&gt;='Дашборд'!$C$53,'Данные'!L1935&lt;&gt;"Да"),"Да","Нет")</x:f>
        <x:v>Нет</x:v>
      </x:c>
      <x:c r="O1935" s="1" t="str">
        <x:f>'Данные'!L1935</x:f>
        <x:v>Нет</x:v>
      </x:c>
    </x:row>
    <x:row r="1936">
      <x:c r="A1936" s="1" t="str">
        <x:f>'Данные'!A1936</x:f>
        <x:v>209143702</x:v>
      </x:c>
      <x:c r="B1936" s="1" t="str">
        <x:f>'Данные'!B1936</x:f>
        <x:v>kulirkamanprint/FREEDOM-67/черный</x:v>
      </x:c>
      <x:c r="C1936" s="8" t="n">
        <x:f>'Данные'!G1936</x:f>
        <x:v>0</x:v>
      </x:c>
      <x:c r="D1936" s="15" t="n">
        <x:f>C1936/SUM($C$5:$C$2477)</x:f>
        <x:v>0</x:v>
      </x:c>
      <x:c r="E1936" s="15" t="n">
        <x:f>SUM($D$5:D1936)</x:f>
        <x:v>1.0000000000000036</x:v>
      </x:c>
      <x:c r="F1936" s="1" t="str">
        <x:f>IF(C1936&lt;=0,"C",IF(E1936-D1936&lt;'Дашборд'!$C$49,"A",IF(E1936-D1936&lt;'Дашборд'!$C$50,"B","C")))</x:f>
        <x:v>C</x:v>
      </x:c>
      <x:c r="G1936" s="8" t="n">
        <x:f>'Данные'!F1936</x:f>
        <x:v>0</x:v>
      </x:c>
      <x:c r="H1936" s="8" t="n">
        <x:f>SUM('Данные'!H1936:I1936)</x:f>
        <x:v>0</x:v>
      </x:c>
      <x:c r="I1936" s="16" t="str">
        <x:f>IF(H1936&gt;0,G1936/H1936,"n.a.")</x:f>
        <x:v>n.a.</x:v>
      </x:c>
      <x:c r="J1936" s="10" t="n">
        <x:f>IF('Данные'!E1936&gt;0,G1936/'Данные'!E1936,"n.a.")</x:f>
        <x:v>0</x:v>
      </x:c>
      <x:c r="K1936" s="1" t="str">
        <x:f>IF(G1936&gt;='Дашборд'!$C$51,"X","Z")</x:f>
        <x:v>Z</x:v>
      </x:c>
      <x:c r="L1936" s="1" t="str">
        <x:f>IF(H1936=0,IF(G1936&gt;0,"Нет остатка","Нет спроса"),IF(I1936&gt;='Дашборд'!$C$52,"Быстрый","Медленный"))</x:f>
        <x:v>Нет спроса</x:v>
      </x:c>
      <x:c r="M1936" s="1" t="str">
        <x:f>IF('Данные'!E1936&lt;'Дашборд'!$C$53,"Мало трафика",IF(J1936&lt;'Дашборд'!$C$9*'Дашборд'!$C$54,"Да","Нет"))</x:f>
        <x:v>Мало трафика</x:v>
      </x:c>
      <x:c r="N1936" s="1" t="str">
        <x:f>IF(AND('Данные'!D1936&gt;='Дашборд'!$C$55,D1936&lt;'Дашборд'!$C$56,'Данные'!E1936&gt;='Дашборд'!$C$53,'Данные'!L1936&lt;&gt;"Да"),"Да","Нет")</x:f>
        <x:v>Нет</x:v>
      </x:c>
      <x:c r="O1936" s="1" t="str">
        <x:f>'Данные'!L1936</x:f>
        <x:v>Нет</x:v>
      </x:c>
    </x:row>
    <x:row r="1937">
      <x:c r="A1937" s="1" t="str">
        <x:f>'Данные'!A1937</x:f>
        <x:v>209143709</x:v>
      </x:c>
      <x:c r="B1937" s="1" t="str">
        <x:f>'Данные'!B1937</x:f>
        <x:v>kulirkamanprint/PLAY-68/молочный</x:v>
      </x:c>
      <x:c r="C1937" s="8" t="n">
        <x:f>'Данные'!G1937</x:f>
        <x:v>0</x:v>
      </x:c>
      <x:c r="D1937" s="15" t="n">
        <x:f>C1937/SUM($C$5:$C$2477)</x:f>
        <x:v>0</x:v>
      </x:c>
      <x:c r="E1937" s="15" t="n">
        <x:f>SUM($D$5:D1937)</x:f>
        <x:v>1.0000000000000036</x:v>
      </x:c>
      <x:c r="F1937" s="1" t="str">
        <x:f>IF(C1937&lt;=0,"C",IF(E1937-D1937&lt;'Дашборд'!$C$49,"A",IF(E1937-D1937&lt;'Дашборд'!$C$50,"B","C")))</x:f>
        <x:v>C</x:v>
      </x:c>
      <x:c r="G1937" s="8" t="n">
        <x:f>'Данные'!F1937</x:f>
        <x:v>0</x:v>
      </x:c>
      <x:c r="H1937" s="8" t="n">
        <x:f>SUM('Данные'!H1937:I1937)</x:f>
        <x:v>0</x:v>
      </x:c>
      <x:c r="I1937" s="16" t="str">
        <x:f>IF(H1937&gt;0,G1937/H1937,"n.a.")</x:f>
        <x:v>n.a.</x:v>
      </x:c>
      <x:c r="J1937" s="10" t="n">
        <x:f>IF('Данные'!E1937&gt;0,G1937/'Данные'!E1937,"n.a.")</x:f>
        <x:v>0</x:v>
      </x:c>
      <x:c r="K1937" s="1" t="str">
        <x:f>IF(G1937&gt;='Дашборд'!$C$51,"X","Z")</x:f>
        <x:v>Z</x:v>
      </x:c>
      <x:c r="L1937" s="1" t="str">
        <x:f>IF(H1937=0,IF(G1937&gt;0,"Нет остатка","Нет спроса"),IF(I1937&gt;='Дашборд'!$C$52,"Быстрый","Медленный"))</x:f>
        <x:v>Нет спроса</x:v>
      </x:c>
      <x:c r="M1937" s="1" t="str">
        <x:f>IF('Данные'!E1937&lt;'Дашборд'!$C$53,"Мало трафика",IF(J1937&lt;'Дашборд'!$C$9*'Дашборд'!$C$54,"Да","Нет"))</x:f>
        <x:v>Мало трафика</x:v>
      </x:c>
      <x:c r="N1937" s="1" t="str">
        <x:f>IF(AND('Данные'!D1937&gt;='Дашборд'!$C$55,D1937&lt;'Дашборд'!$C$56,'Данные'!E1937&gt;='Дашборд'!$C$53,'Данные'!L1937&lt;&gt;"Да"),"Да","Нет")</x:f>
        <x:v>Нет</x:v>
      </x:c>
      <x:c r="O1937" s="1" t="str">
        <x:f>'Данные'!L1937</x:f>
        <x:v>Нет</x:v>
      </x:c>
    </x:row>
    <x:row r="1938">
      <x:c r="A1938" s="1" t="str">
        <x:f>'Данные'!A1938</x:f>
        <x:v>209143715</x:v>
      </x:c>
      <x:c r="B1938" s="1" t="str">
        <x:f>'Данные'!B1938</x:f>
        <x:v>kulirkamanprint/PLAY-68/черный</x:v>
      </x:c>
      <x:c r="C1938" s="8" t="n">
        <x:f>'Данные'!G1938</x:f>
        <x:v>0</x:v>
      </x:c>
      <x:c r="D1938" s="15" t="n">
        <x:f>C1938/SUM($C$5:$C$2477)</x:f>
        <x:v>0</x:v>
      </x:c>
      <x:c r="E1938" s="15" t="n">
        <x:f>SUM($D$5:D1938)</x:f>
        <x:v>1.0000000000000036</x:v>
      </x:c>
      <x:c r="F1938" s="1" t="str">
        <x:f>IF(C1938&lt;=0,"C",IF(E1938-D1938&lt;'Дашборд'!$C$49,"A",IF(E1938-D1938&lt;'Дашборд'!$C$50,"B","C")))</x:f>
        <x:v>C</x:v>
      </x:c>
      <x:c r="G1938" s="8" t="n">
        <x:f>'Данные'!F1938</x:f>
        <x:v>0</x:v>
      </x:c>
      <x:c r="H1938" s="8" t="n">
        <x:f>SUM('Данные'!H1938:I1938)</x:f>
        <x:v>0</x:v>
      </x:c>
      <x:c r="I1938" s="16" t="str">
        <x:f>IF(H1938&gt;0,G1938/H1938,"n.a.")</x:f>
        <x:v>n.a.</x:v>
      </x:c>
      <x:c r="J1938" s="10" t="n">
        <x:f>IF('Данные'!E1938&gt;0,G1938/'Данные'!E1938,"n.a.")</x:f>
        <x:v>0</x:v>
      </x:c>
      <x:c r="K1938" s="1" t="str">
        <x:f>IF(G1938&gt;='Дашборд'!$C$51,"X","Z")</x:f>
        <x:v>Z</x:v>
      </x:c>
      <x:c r="L1938" s="1" t="str">
        <x:f>IF(H1938=0,IF(G1938&gt;0,"Нет остатка","Нет спроса"),IF(I1938&gt;='Дашборд'!$C$52,"Быстрый","Медленный"))</x:f>
        <x:v>Нет спроса</x:v>
      </x:c>
      <x:c r="M1938" s="1" t="str">
        <x:f>IF('Данные'!E1938&lt;'Дашборд'!$C$53,"Мало трафика",IF(J1938&lt;'Дашборд'!$C$9*'Дашборд'!$C$54,"Да","Нет"))</x:f>
        <x:v>Мало трафика</x:v>
      </x:c>
      <x:c r="N1938" s="1" t="str">
        <x:f>IF(AND('Данные'!D1938&gt;='Дашборд'!$C$55,D1938&lt;'Дашборд'!$C$56,'Данные'!E1938&gt;='Дашборд'!$C$53,'Данные'!L1938&lt;&gt;"Да"),"Да","Нет")</x:f>
        <x:v>Нет</x:v>
      </x:c>
      <x:c r="O1938" s="1" t="str">
        <x:f>'Данные'!L1938</x:f>
        <x:v>Нет</x:v>
      </x:c>
    </x:row>
    <x:row r="1939">
      <x:c r="A1939" s="1" t="str">
        <x:f>'Данные'!A1939</x:f>
        <x:v>209143719</x:v>
      </x:c>
      <x:c r="B1939" s="1" t="str">
        <x:f>'Данные'!B1939</x:f>
        <x:v>kulirkamanprint/TeloX6-69/черный</x:v>
      </x:c>
      <x:c r="C1939" s="8" t="n">
        <x:f>'Данные'!G1939</x:f>
        <x:v>0</x:v>
      </x:c>
      <x:c r="D1939" s="15" t="n">
        <x:f>C1939/SUM($C$5:$C$2477)</x:f>
        <x:v>0</x:v>
      </x:c>
      <x:c r="E1939" s="15" t="n">
        <x:f>SUM($D$5:D1939)</x:f>
        <x:v>1.0000000000000036</x:v>
      </x:c>
      <x:c r="F1939" s="1" t="str">
        <x:f>IF(C1939&lt;=0,"C",IF(E1939-D1939&lt;'Дашборд'!$C$49,"A",IF(E1939-D1939&lt;'Дашборд'!$C$50,"B","C")))</x:f>
        <x:v>C</x:v>
      </x:c>
      <x:c r="G1939" s="8" t="n">
        <x:f>'Данные'!F1939</x:f>
        <x:v>1</x:v>
      </x:c>
      <x:c r="H1939" s="8" t="n">
        <x:f>SUM('Данные'!H1939:I1939)</x:f>
        <x:v>0</x:v>
      </x:c>
      <x:c r="I1939" s="16" t="str">
        <x:f>IF(H1939&gt;0,G1939/H1939,"n.a.")</x:f>
        <x:v>n.a.</x:v>
      </x:c>
      <x:c r="J1939" s="10" t="n">
        <x:f>IF('Данные'!E1939&gt;0,G1939/'Данные'!E1939,"n.a.")</x:f>
        <x:v>0.0015527950310559005</x:v>
      </x:c>
      <x:c r="K1939" s="1" t="str">
        <x:f>IF(G1939&gt;='Дашборд'!$C$51,"X","Z")</x:f>
        <x:v>Z</x:v>
      </x:c>
      <x:c r="L1939" s="1" t="str">
        <x:f>IF(H1939=0,IF(G1939&gt;0,"Нет остатка","Нет спроса"),IF(I1939&gt;='Дашборд'!$C$52,"Быстрый","Медленный"))</x:f>
        <x:v>Нет остатка</x:v>
      </x:c>
      <x:c r="M1939" s="1" t="str">
        <x:f>IF('Данные'!E1939&lt;'Дашборд'!$C$53,"Мало трафика",IF(J1939&lt;'Дашборд'!$C$9*'Дашборд'!$C$54,"Да","Нет"))</x:f>
        <x:v>Мало трафика</x:v>
      </x:c>
      <x:c r="N1939" s="1" t="str">
        <x:f>IF(AND('Данные'!D1939&gt;='Дашборд'!$C$55,D1939&lt;'Дашборд'!$C$56,'Данные'!E1939&gt;='Дашборд'!$C$53,'Данные'!L1939&lt;&gt;"Да"),"Да","Нет")</x:f>
        <x:v>Нет</x:v>
      </x:c>
      <x:c r="O1939" s="1" t="str">
        <x:f>'Данные'!L1939</x:f>
        <x:v>Нет</x:v>
      </x:c>
    </x:row>
    <x:row r="1940">
      <x:c r="A1940" s="1" t="str">
        <x:f>'Данные'!A1940</x:f>
        <x:v>209187411</x:v>
      </x:c>
      <x:c r="B1940" s="1" t="str">
        <x:f>'Данные'!B1940</x:f>
        <x:v>futbolkaprint/COTTON-66/черный</x:v>
      </x:c>
      <x:c r="C1940" s="8" t="n">
        <x:f>'Данные'!G1940</x:f>
        <x:v>0</x:v>
      </x:c>
      <x:c r="D1940" s="15" t="n">
        <x:f>C1940/SUM($C$5:$C$2477)</x:f>
        <x:v>0</x:v>
      </x:c>
      <x:c r="E1940" s="15" t="n">
        <x:f>SUM($D$5:D1940)</x:f>
        <x:v>1.0000000000000036</x:v>
      </x:c>
      <x:c r="F1940" s="1" t="str">
        <x:f>IF(C1940&lt;=0,"C",IF(E1940-D1940&lt;'Дашборд'!$C$49,"A",IF(E1940-D1940&lt;'Дашборд'!$C$50,"B","C")))</x:f>
        <x:v>C</x:v>
      </x:c>
      <x:c r="G1940" s="8" t="n">
        <x:f>'Данные'!F1940</x:f>
        <x:v>0</x:v>
      </x:c>
      <x:c r="H1940" s="8" t="n">
        <x:f>SUM('Данные'!H1940:I1940)</x:f>
        <x:v>0</x:v>
      </x:c>
      <x:c r="I1940" s="16" t="str">
        <x:f>IF(H1940&gt;0,G1940/H1940,"n.a.")</x:f>
        <x:v>n.a.</x:v>
      </x:c>
      <x:c r="J1940" s="10" t="n">
        <x:f>IF('Данные'!E1940&gt;0,G1940/'Данные'!E1940,"n.a.")</x:f>
        <x:v>0</x:v>
      </x:c>
      <x:c r="K1940" s="1" t="str">
        <x:f>IF(G1940&gt;='Дашборд'!$C$51,"X","Z")</x:f>
        <x:v>Z</x:v>
      </x:c>
      <x:c r="L1940" s="1" t="str">
        <x:f>IF(H1940=0,IF(G1940&gt;0,"Нет остатка","Нет спроса"),IF(I1940&gt;='Дашборд'!$C$52,"Быстрый","Медленный"))</x:f>
        <x:v>Нет спроса</x:v>
      </x:c>
      <x:c r="M1940" s="1" t="str">
        <x:f>IF('Данные'!E1940&lt;'Дашборд'!$C$53,"Мало трафика",IF(J1940&lt;'Дашборд'!$C$9*'Дашборд'!$C$54,"Да","Нет"))</x:f>
        <x:v>Мало трафика</x:v>
      </x:c>
      <x:c r="N1940" s="1" t="str">
        <x:f>IF(AND('Данные'!D1940&gt;='Дашборд'!$C$55,D1940&lt;'Дашборд'!$C$56,'Данные'!E1940&gt;='Дашборд'!$C$53,'Данные'!L1940&lt;&gt;"Да"),"Да","Нет")</x:f>
        <x:v>Нет</x:v>
      </x:c>
      <x:c r="O1940" s="1" t="str">
        <x:f>'Данные'!L1940</x:f>
        <x:v>Нет</x:v>
      </x:c>
    </x:row>
    <x:row r="1941">
      <x:c r="A1941" s="1" t="str">
        <x:f>'Данные'!A1941</x:f>
        <x:v>209914873</x:v>
      </x:c>
      <x:c r="B1941" s="1" t="str">
        <x:f>'Данные'!B1941</x:f>
        <x:v>svitshotonesize/голубой</x:v>
      </x:c>
      <x:c r="C1941" s="8" t="n">
        <x:f>'Данные'!G1941</x:f>
        <x:v>0</x:v>
      </x:c>
      <x:c r="D1941" s="15" t="n">
        <x:f>C1941/SUM($C$5:$C$2477)</x:f>
        <x:v>0</x:v>
      </x:c>
      <x:c r="E1941" s="15" t="n">
        <x:f>SUM($D$5:D1941)</x:f>
        <x:v>1.0000000000000036</x:v>
      </x:c>
      <x:c r="F1941" s="1" t="str">
        <x:f>IF(C1941&lt;=0,"C",IF(E1941-D1941&lt;'Дашборд'!$C$49,"A",IF(E1941-D1941&lt;'Дашборд'!$C$50,"B","C")))</x:f>
        <x:v>C</x:v>
      </x:c>
      <x:c r="G1941" s="8" t="n">
        <x:f>'Данные'!F1941</x:f>
        <x:v>0</x:v>
      </x:c>
      <x:c r="H1941" s="8" t="n">
        <x:f>SUM('Данные'!H1941:I1941)</x:f>
        <x:v>0</x:v>
      </x:c>
      <x:c r="I1941" s="16" t="str">
        <x:f>IF(H1941&gt;0,G1941/H1941,"n.a.")</x:f>
        <x:v>n.a.</x:v>
      </x:c>
      <x:c r="J1941" s="10" t="n">
        <x:f>IF('Данные'!E1941&gt;0,G1941/'Данные'!E1941,"n.a.")</x:f>
        <x:v>0</x:v>
      </x:c>
      <x:c r="K1941" s="1" t="str">
        <x:f>IF(G1941&gt;='Дашборд'!$C$51,"X","Z")</x:f>
        <x:v>Z</x:v>
      </x:c>
      <x:c r="L1941" s="1" t="str">
        <x:f>IF(H1941=0,IF(G1941&gt;0,"Нет остатка","Нет спроса"),IF(I1941&gt;='Дашборд'!$C$52,"Быстрый","Медленный"))</x:f>
        <x:v>Нет спроса</x:v>
      </x:c>
      <x:c r="M1941" s="1" t="str">
        <x:f>IF('Данные'!E1941&lt;'Дашборд'!$C$53,"Мало трафика",IF(J1941&lt;'Дашборд'!$C$9*'Дашборд'!$C$54,"Да","Нет"))</x:f>
        <x:v>Мало трафика</x:v>
      </x:c>
      <x:c r="N1941" s="1" t="str">
        <x:f>IF(AND('Данные'!D1941&gt;='Дашборд'!$C$55,D1941&lt;'Дашборд'!$C$56,'Данные'!E1941&gt;='Дашборд'!$C$53,'Данные'!L1941&lt;&gt;"Да"),"Да","Нет")</x:f>
        <x:v>Нет</x:v>
      </x:c>
      <x:c r="O1941" s="1" t="str">
        <x:f>'Данные'!L1941</x:f>
        <x:v>Нет</x:v>
      </x:c>
    </x:row>
    <x:row r="1942">
      <x:c r="A1942" s="1" t="str">
        <x:f>'Данные'!A1942</x:f>
        <x:v>209914879</x:v>
      </x:c>
      <x:c r="B1942" s="1" t="str">
        <x:f>'Данные'!B1942</x:f>
        <x:v>svitshotonesize/синий</x:v>
      </x:c>
      <x:c r="C1942" s="8" t="n">
        <x:f>'Данные'!G1942</x:f>
        <x:v>0</x:v>
      </x:c>
      <x:c r="D1942" s="15" t="n">
        <x:f>C1942/SUM($C$5:$C$2477)</x:f>
        <x:v>0</x:v>
      </x:c>
      <x:c r="E1942" s="15" t="n">
        <x:f>SUM($D$5:D1942)</x:f>
        <x:v>1.0000000000000036</x:v>
      </x:c>
      <x:c r="F1942" s="1" t="str">
        <x:f>IF(C1942&lt;=0,"C",IF(E1942-D1942&lt;'Дашборд'!$C$49,"A",IF(E1942-D1942&lt;'Дашборд'!$C$50,"B","C")))</x:f>
        <x:v>C</x:v>
      </x:c>
      <x:c r="G1942" s="8" t="n">
        <x:f>'Данные'!F1942</x:f>
        <x:v>0</x:v>
      </x:c>
      <x:c r="H1942" s="8" t="n">
        <x:f>SUM('Данные'!H1942:I1942)</x:f>
        <x:v>0</x:v>
      </x:c>
      <x:c r="I1942" s="16" t="str">
        <x:f>IF(H1942&gt;0,G1942/H1942,"n.a.")</x:f>
        <x:v>n.a.</x:v>
      </x:c>
      <x:c r="J1942" s="10" t="n">
        <x:f>IF('Данные'!E1942&gt;0,G1942/'Данные'!E1942,"n.a.")</x:f>
        <x:v>0</x:v>
      </x:c>
      <x:c r="K1942" s="1" t="str">
        <x:f>IF(G1942&gt;='Дашборд'!$C$51,"X","Z")</x:f>
        <x:v>Z</x:v>
      </x:c>
      <x:c r="L1942" s="1" t="str">
        <x:f>IF(H1942=0,IF(G1942&gt;0,"Нет остатка","Нет спроса"),IF(I1942&gt;='Дашборд'!$C$52,"Быстрый","Медленный"))</x:f>
        <x:v>Нет спроса</x:v>
      </x:c>
      <x:c r="M1942" s="1" t="str">
        <x:f>IF('Данные'!E1942&lt;'Дашборд'!$C$53,"Мало трафика",IF(J1942&lt;'Дашборд'!$C$9*'Дашборд'!$C$54,"Да","Нет"))</x:f>
        <x:v>Мало трафика</x:v>
      </x:c>
      <x:c r="N1942" s="1" t="str">
        <x:f>IF(AND('Данные'!D1942&gt;='Дашборд'!$C$55,D1942&lt;'Дашборд'!$C$56,'Данные'!E1942&gt;='Дашборд'!$C$53,'Данные'!L1942&lt;&gt;"Да"),"Да","Нет")</x:f>
        <x:v>Нет</x:v>
      </x:c>
      <x:c r="O1942" s="1" t="str">
        <x:f>'Данные'!L1942</x:f>
        <x:v>Нет</x:v>
      </x:c>
    </x:row>
    <x:row r="1943">
      <x:c r="A1943" s="1" t="str">
        <x:f>'Данные'!A1943</x:f>
        <x:v>209914903</x:v>
      </x:c>
      <x:c r="B1943" s="1" t="str">
        <x:f>'Данные'!B1943</x:f>
        <x:v>svitshotonesize/серый</x:v>
      </x:c>
      <x:c r="C1943" s="8" t="n">
        <x:f>'Данные'!G1943</x:f>
        <x:v>0</x:v>
      </x:c>
      <x:c r="D1943" s="15" t="n">
        <x:f>C1943/SUM($C$5:$C$2477)</x:f>
        <x:v>0</x:v>
      </x:c>
      <x:c r="E1943" s="15" t="n">
        <x:f>SUM($D$5:D1943)</x:f>
        <x:v>1.0000000000000036</x:v>
      </x:c>
      <x:c r="F1943" s="1" t="str">
        <x:f>IF(C1943&lt;=0,"C",IF(E1943-D1943&lt;'Дашборд'!$C$49,"A",IF(E1943-D1943&lt;'Дашборд'!$C$50,"B","C")))</x:f>
        <x:v>C</x:v>
      </x:c>
      <x:c r="G1943" s="8" t="n">
        <x:f>'Данные'!F1943</x:f>
        <x:v>0</x:v>
      </x:c>
      <x:c r="H1943" s="8" t="n">
        <x:f>SUM('Данные'!H1943:I1943)</x:f>
        <x:v>0</x:v>
      </x:c>
      <x:c r="I1943" s="16" t="str">
        <x:f>IF(H1943&gt;0,G1943/H1943,"n.a.")</x:f>
        <x:v>n.a.</x:v>
      </x:c>
      <x:c r="J1943" s="10" t="n">
        <x:f>IF('Данные'!E1943&gt;0,G1943/'Данные'!E1943,"n.a.")</x:f>
        <x:v>0</x:v>
      </x:c>
      <x:c r="K1943" s="1" t="str">
        <x:f>IF(G1943&gt;='Дашборд'!$C$51,"X","Z")</x:f>
        <x:v>Z</x:v>
      </x:c>
      <x:c r="L1943" s="1" t="str">
        <x:f>IF(H1943=0,IF(G1943&gt;0,"Нет остатка","Нет спроса"),IF(I1943&gt;='Дашборд'!$C$52,"Быстрый","Медленный"))</x:f>
        <x:v>Нет спроса</x:v>
      </x:c>
      <x:c r="M1943" s="1" t="str">
        <x:f>IF('Данные'!E1943&lt;'Дашборд'!$C$53,"Мало трафика",IF(J1943&lt;'Дашборд'!$C$9*'Дашборд'!$C$54,"Да","Нет"))</x:f>
        <x:v>Мало трафика</x:v>
      </x:c>
      <x:c r="N1943" s="1" t="str">
        <x:f>IF(AND('Данные'!D1943&gt;='Дашборд'!$C$55,D1943&lt;'Дашборд'!$C$56,'Данные'!E1943&gt;='Дашборд'!$C$53,'Данные'!L1943&lt;&gt;"Да"),"Да","Нет")</x:f>
        <x:v>Нет</x:v>
      </x:c>
      <x:c r="O1943" s="1" t="str">
        <x:f>'Данные'!L1943</x:f>
        <x:v>Нет</x:v>
      </x:c>
    </x:row>
    <x:row r="1944">
      <x:c r="A1944" s="1" t="str">
        <x:f>'Данные'!A1944</x:f>
        <x:v>209914940</x:v>
      </x:c>
      <x:c r="B1944" s="1" t="str">
        <x:f>'Данные'!B1944</x:f>
        <x:v>svitshotonesize/мандариновый</x:v>
      </x:c>
      <x:c r="C1944" s="8" t="n">
        <x:f>'Данные'!G1944</x:f>
        <x:v>0</x:v>
      </x:c>
      <x:c r="D1944" s="15" t="n">
        <x:f>C1944/SUM($C$5:$C$2477)</x:f>
        <x:v>0</x:v>
      </x:c>
      <x:c r="E1944" s="15" t="n">
        <x:f>SUM($D$5:D1944)</x:f>
        <x:v>1.0000000000000036</x:v>
      </x:c>
      <x:c r="F1944" s="1" t="str">
        <x:f>IF(C1944&lt;=0,"C",IF(E1944-D1944&lt;'Дашборд'!$C$49,"A",IF(E1944-D1944&lt;'Дашборд'!$C$50,"B","C")))</x:f>
        <x:v>C</x:v>
      </x:c>
      <x:c r="G1944" s="8" t="n">
        <x:f>'Данные'!F1944</x:f>
        <x:v>0</x:v>
      </x:c>
      <x:c r="H1944" s="8" t="n">
        <x:f>SUM('Данные'!H1944:I1944)</x:f>
        <x:v>0</x:v>
      </x:c>
      <x:c r="I1944" s="16" t="str">
        <x:f>IF(H1944&gt;0,G1944/H1944,"n.a.")</x:f>
        <x:v>n.a.</x:v>
      </x:c>
      <x:c r="J1944" s="10" t="n">
        <x:f>IF('Данные'!E1944&gt;0,G1944/'Данные'!E1944,"n.a.")</x:f>
        <x:v>0</x:v>
      </x:c>
      <x:c r="K1944" s="1" t="str">
        <x:f>IF(G1944&gt;='Дашборд'!$C$51,"X","Z")</x:f>
        <x:v>Z</x:v>
      </x:c>
      <x:c r="L1944" s="1" t="str">
        <x:f>IF(H1944=0,IF(G1944&gt;0,"Нет остатка","Нет спроса"),IF(I1944&gt;='Дашборд'!$C$52,"Быстрый","Медленный"))</x:f>
        <x:v>Нет спроса</x:v>
      </x:c>
      <x:c r="M1944" s="1" t="str">
        <x:f>IF('Данные'!E1944&lt;'Дашборд'!$C$53,"Мало трафика",IF(J1944&lt;'Дашборд'!$C$9*'Дашборд'!$C$54,"Да","Нет"))</x:f>
        <x:v>Мало трафика</x:v>
      </x:c>
      <x:c r="N1944" s="1" t="str">
        <x:f>IF(AND('Данные'!D1944&gt;='Дашборд'!$C$55,D1944&lt;'Дашборд'!$C$56,'Данные'!E1944&gt;='Дашборд'!$C$53,'Данные'!L1944&lt;&gt;"Да"),"Да","Нет")</x:f>
        <x:v>Нет</x:v>
      </x:c>
      <x:c r="O1944" s="1" t="str">
        <x:f>'Данные'!L1944</x:f>
        <x:v>Нет</x:v>
      </x:c>
    </x:row>
    <x:row r="1945">
      <x:c r="A1945" s="1" t="str">
        <x:f>'Данные'!A1945</x:f>
        <x:v>209914946</x:v>
      </x:c>
      <x:c r="B1945" s="1" t="str">
        <x:f>'Данные'!B1945</x:f>
        <x:v>svitshotonesize/красный</x:v>
      </x:c>
      <x:c r="C1945" s="8" t="n">
        <x:f>'Данные'!G1945</x:f>
        <x:v>0</x:v>
      </x:c>
      <x:c r="D1945" s="15" t="n">
        <x:f>C1945/SUM($C$5:$C$2477)</x:f>
        <x:v>0</x:v>
      </x:c>
      <x:c r="E1945" s="15" t="n">
        <x:f>SUM($D$5:D1945)</x:f>
        <x:v>1.0000000000000036</x:v>
      </x:c>
      <x:c r="F1945" s="1" t="str">
        <x:f>IF(C1945&lt;=0,"C",IF(E1945-D1945&lt;'Дашборд'!$C$49,"A",IF(E1945-D1945&lt;'Дашборд'!$C$50,"B","C")))</x:f>
        <x:v>C</x:v>
      </x:c>
      <x:c r="G1945" s="8" t="n">
        <x:f>'Данные'!F1945</x:f>
        <x:v>0</x:v>
      </x:c>
      <x:c r="H1945" s="8" t="n">
        <x:f>SUM('Данные'!H1945:I1945)</x:f>
        <x:v>0</x:v>
      </x:c>
      <x:c r="I1945" s="16" t="str">
        <x:f>IF(H1945&gt;0,G1945/H1945,"n.a.")</x:f>
        <x:v>n.a.</x:v>
      </x:c>
      <x:c r="J1945" s="10" t="n">
        <x:f>IF('Данные'!E1945&gt;0,G1945/'Данные'!E1945,"n.a.")</x:f>
        <x:v>0</x:v>
      </x:c>
      <x:c r="K1945" s="1" t="str">
        <x:f>IF(G1945&gt;='Дашборд'!$C$51,"X","Z")</x:f>
        <x:v>Z</x:v>
      </x:c>
      <x:c r="L1945" s="1" t="str">
        <x:f>IF(H1945=0,IF(G1945&gt;0,"Нет остатка","Нет спроса"),IF(I1945&gt;='Дашборд'!$C$52,"Быстрый","Медленный"))</x:f>
        <x:v>Нет спроса</x:v>
      </x:c>
      <x:c r="M1945" s="1" t="str">
        <x:f>IF('Данные'!E1945&lt;'Дашборд'!$C$53,"Мало трафика",IF(J1945&lt;'Дашборд'!$C$9*'Дашборд'!$C$54,"Да","Нет"))</x:f>
        <x:v>Мало трафика</x:v>
      </x:c>
      <x:c r="N1945" s="1" t="str">
        <x:f>IF(AND('Данные'!D1945&gt;='Дашборд'!$C$55,D1945&lt;'Дашборд'!$C$56,'Данные'!E1945&gt;='Дашборд'!$C$53,'Данные'!L1945&lt;&gt;"Да"),"Да","Нет")</x:f>
        <x:v>Нет</x:v>
      </x:c>
      <x:c r="O1945" s="1" t="str">
        <x:f>'Данные'!L1945</x:f>
        <x:v>Нет</x:v>
      </x:c>
    </x:row>
    <x:row r="1946">
      <x:c r="A1946" s="1" t="str">
        <x:f>'Данные'!A1946</x:f>
        <x:v>209914977</x:v>
      </x:c>
      <x:c r="B1946" s="1" t="str">
        <x:f>'Данные'!B1946</x:f>
        <x:v>svitshotonesize/светло-зеленый</x:v>
      </x:c>
      <x:c r="C1946" s="8" t="n">
        <x:f>'Данные'!G1946</x:f>
        <x:v>0</x:v>
      </x:c>
      <x:c r="D1946" s="15" t="n">
        <x:f>C1946/SUM($C$5:$C$2477)</x:f>
        <x:v>0</x:v>
      </x:c>
      <x:c r="E1946" s="15" t="n">
        <x:f>SUM($D$5:D1946)</x:f>
        <x:v>1.0000000000000036</x:v>
      </x:c>
      <x:c r="F1946" s="1" t="str">
        <x:f>IF(C1946&lt;=0,"C",IF(E1946-D1946&lt;'Дашборд'!$C$49,"A",IF(E1946-D1946&lt;'Дашборд'!$C$50,"B","C")))</x:f>
        <x:v>C</x:v>
      </x:c>
      <x:c r="G1946" s="8" t="n">
        <x:f>'Данные'!F1946</x:f>
        <x:v>0</x:v>
      </x:c>
      <x:c r="H1946" s="8" t="n">
        <x:f>SUM('Данные'!H1946:I1946)</x:f>
        <x:v>0</x:v>
      </x:c>
      <x:c r="I1946" s="16" t="str">
        <x:f>IF(H1946&gt;0,G1946/H1946,"n.a.")</x:f>
        <x:v>n.a.</x:v>
      </x:c>
      <x:c r="J1946" s="10" t="n">
        <x:f>IF('Данные'!E1946&gt;0,G1946/'Данные'!E1946,"n.a.")</x:f>
        <x:v>0</x:v>
      </x:c>
      <x:c r="K1946" s="1" t="str">
        <x:f>IF(G1946&gt;='Дашборд'!$C$51,"X","Z")</x:f>
        <x:v>Z</x:v>
      </x:c>
      <x:c r="L1946" s="1" t="str">
        <x:f>IF(H1946=0,IF(G1946&gt;0,"Нет остатка","Нет спроса"),IF(I1946&gt;='Дашборд'!$C$52,"Быстрый","Медленный"))</x:f>
        <x:v>Нет спроса</x:v>
      </x:c>
      <x:c r="M1946" s="1" t="str">
        <x:f>IF('Данные'!E1946&lt;'Дашборд'!$C$53,"Мало трафика",IF(J1946&lt;'Дашборд'!$C$9*'Дашборд'!$C$54,"Да","Нет"))</x:f>
        <x:v>Мало трафика</x:v>
      </x:c>
      <x:c r="N1946" s="1" t="str">
        <x:f>IF(AND('Данные'!D1946&gt;='Дашборд'!$C$55,D1946&lt;'Дашборд'!$C$56,'Данные'!E1946&gt;='Дашборд'!$C$53,'Данные'!L1946&lt;&gt;"Да"),"Да","Нет")</x:f>
        <x:v>Нет</x:v>
      </x:c>
      <x:c r="O1946" s="1" t="str">
        <x:f>'Данные'!L1946</x:f>
        <x:v>Нет</x:v>
      </x:c>
    </x:row>
    <x:row r="1947">
      <x:c r="A1947" s="1" t="str">
        <x:f>'Данные'!A1947</x:f>
        <x:v>209914994</x:v>
      </x:c>
      <x:c r="B1947" s="1" t="str">
        <x:f>'Данные'!B1947</x:f>
        <x:v>svitshotonesize/салатовый</x:v>
      </x:c>
      <x:c r="C1947" s="8" t="n">
        <x:f>'Данные'!G1947</x:f>
        <x:v>0</x:v>
      </x:c>
      <x:c r="D1947" s="15" t="n">
        <x:f>C1947/SUM($C$5:$C$2477)</x:f>
        <x:v>0</x:v>
      </x:c>
      <x:c r="E1947" s="15" t="n">
        <x:f>SUM($D$5:D1947)</x:f>
        <x:v>1.0000000000000036</x:v>
      </x:c>
      <x:c r="F1947" s="1" t="str">
        <x:f>IF(C1947&lt;=0,"C",IF(E1947-D1947&lt;'Дашборд'!$C$49,"A",IF(E1947-D1947&lt;'Дашборд'!$C$50,"B","C")))</x:f>
        <x:v>C</x:v>
      </x:c>
      <x:c r="G1947" s="8" t="n">
        <x:f>'Данные'!F1947</x:f>
        <x:v>0</x:v>
      </x:c>
      <x:c r="H1947" s="8" t="n">
        <x:f>SUM('Данные'!H1947:I1947)</x:f>
        <x:v>0</x:v>
      </x:c>
      <x:c r="I1947" s="16" t="str">
        <x:f>IF(H1947&gt;0,G1947/H1947,"n.a.")</x:f>
        <x:v>n.a.</x:v>
      </x:c>
      <x:c r="J1947" s="10" t="n">
        <x:f>IF('Данные'!E1947&gt;0,G1947/'Данные'!E1947,"n.a.")</x:f>
        <x:v>0</x:v>
      </x:c>
      <x:c r="K1947" s="1" t="str">
        <x:f>IF(G1947&gt;='Дашборд'!$C$51,"X","Z")</x:f>
        <x:v>Z</x:v>
      </x:c>
      <x:c r="L1947" s="1" t="str">
        <x:f>IF(H1947=0,IF(G1947&gt;0,"Нет остатка","Нет спроса"),IF(I1947&gt;='Дашборд'!$C$52,"Быстрый","Медленный"))</x:f>
        <x:v>Нет спроса</x:v>
      </x:c>
      <x:c r="M1947" s="1" t="str">
        <x:f>IF('Данные'!E1947&lt;'Дашборд'!$C$53,"Мало трафика",IF(J1947&lt;'Дашборд'!$C$9*'Дашборд'!$C$54,"Да","Нет"))</x:f>
        <x:v>Мало трафика</x:v>
      </x:c>
      <x:c r="N1947" s="1" t="str">
        <x:f>IF(AND('Данные'!D1947&gt;='Дашборд'!$C$55,D1947&lt;'Дашборд'!$C$56,'Данные'!E1947&gt;='Дашборд'!$C$53,'Данные'!L1947&lt;&gt;"Да"),"Да","Нет")</x:f>
        <x:v>Нет</x:v>
      </x:c>
      <x:c r="O1947" s="1" t="str">
        <x:f>'Данные'!L1947</x:f>
        <x:v>Нет</x:v>
      </x:c>
    </x:row>
    <x:row r="1948">
      <x:c r="A1948" s="1" t="str">
        <x:f>'Данные'!A1948</x:f>
        <x:v>209915008</x:v>
      </x:c>
      <x:c r="B1948" s="1" t="str">
        <x:f>'Данные'!B1948</x:f>
        <x:v>svitshotonesize/морскаяволна</x:v>
      </x:c>
      <x:c r="C1948" s="8" t="n">
        <x:f>'Данные'!G1948</x:f>
        <x:v>0</x:v>
      </x:c>
      <x:c r="D1948" s="15" t="n">
        <x:f>C1948/SUM($C$5:$C$2477)</x:f>
        <x:v>0</x:v>
      </x:c>
      <x:c r="E1948" s="15" t="n">
        <x:f>SUM($D$5:D1948)</x:f>
        <x:v>1.0000000000000036</x:v>
      </x:c>
      <x:c r="F1948" s="1" t="str">
        <x:f>IF(C1948&lt;=0,"C",IF(E1948-D1948&lt;'Дашборд'!$C$49,"A",IF(E1948-D1948&lt;'Дашборд'!$C$50,"B","C")))</x:f>
        <x:v>C</x:v>
      </x:c>
      <x:c r="G1948" s="8" t="n">
        <x:f>'Данные'!F1948</x:f>
        <x:v>0</x:v>
      </x:c>
      <x:c r="H1948" s="8" t="n">
        <x:f>SUM('Данные'!H1948:I1948)</x:f>
        <x:v>0</x:v>
      </x:c>
      <x:c r="I1948" s="16" t="str">
        <x:f>IF(H1948&gt;0,G1948/H1948,"n.a.")</x:f>
        <x:v>n.a.</x:v>
      </x:c>
      <x:c r="J1948" s="10" t="n">
        <x:f>IF('Данные'!E1948&gt;0,G1948/'Данные'!E1948,"n.a.")</x:f>
        <x:v>0</x:v>
      </x:c>
      <x:c r="K1948" s="1" t="str">
        <x:f>IF(G1948&gt;='Дашборд'!$C$51,"X","Z")</x:f>
        <x:v>Z</x:v>
      </x:c>
      <x:c r="L1948" s="1" t="str">
        <x:f>IF(H1948=0,IF(G1948&gt;0,"Нет остатка","Нет спроса"),IF(I1948&gt;='Дашборд'!$C$52,"Быстрый","Медленный"))</x:f>
        <x:v>Нет спроса</x:v>
      </x:c>
      <x:c r="M1948" s="1" t="str">
        <x:f>IF('Данные'!E1948&lt;'Дашборд'!$C$53,"Мало трафика",IF(J1948&lt;'Дашборд'!$C$9*'Дашборд'!$C$54,"Да","Нет"))</x:f>
        <x:v>Мало трафика</x:v>
      </x:c>
      <x:c r="N1948" s="1" t="str">
        <x:f>IF(AND('Данные'!D1948&gt;='Дашборд'!$C$55,D1948&lt;'Дашборд'!$C$56,'Данные'!E1948&gt;='Дашборд'!$C$53,'Данные'!L1948&lt;&gt;"Да"),"Да","Нет")</x:f>
        <x:v>Нет</x:v>
      </x:c>
      <x:c r="O1948" s="1" t="str">
        <x:f>'Данные'!L1948</x:f>
        <x:v>Нет</x:v>
      </x:c>
    </x:row>
    <x:row r="1949">
      <x:c r="A1949" s="1" t="str">
        <x:f>'Данные'!A1949</x:f>
        <x:v>209915017</x:v>
      </x:c>
      <x:c r="B1949" s="1" t="str">
        <x:f>'Данные'!B1949</x:f>
        <x:v>longsvobod/светлофиолетовый</x:v>
      </x:c>
      <x:c r="C1949" s="8" t="n">
        <x:f>'Данные'!G1949</x:f>
        <x:v>0</x:v>
      </x:c>
      <x:c r="D1949" s="15" t="n">
        <x:f>C1949/SUM($C$5:$C$2477)</x:f>
        <x:v>0</x:v>
      </x:c>
      <x:c r="E1949" s="15" t="n">
        <x:f>SUM($D$5:D1949)</x:f>
        <x:v>1.0000000000000036</x:v>
      </x:c>
      <x:c r="F1949" s="1" t="str">
        <x:f>IF(C1949&lt;=0,"C",IF(E1949-D1949&lt;'Дашборд'!$C$49,"A",IF(E1949-D1949&lt;'Дашборд'!$C$50,"B","C")))</x:f>
        <x:v>C</x:v>
      </x:c>
      <x:c r="G1949" s="8" t="n">
        <x:f>'Данные'!F1949</x:f>
        <x:v>0</x:v>
      </x:c>
      <x:c r="H1949" s="8" t="n">
        <x:f>SUM('Данные'!H1949:I1949)</x:f>
        <x:v>0</x:v>
      </x:c>
      <x:c r="I1949" s="16" t="str">
        <x:f>IF(H1949&gt;0,G1949/H1949,"n.a.")</x:f>
        <x:v>n.a.</x:v>
      </x:c>
      <x:c r="J1949" s="10" t="n">
        <x:f>IF('Данные'!E1949&gt;0,G1949/'Данные'!E1949,"n.a.")</x:f>
        <x:v>0</x:v>
      </x:c>
      <x:c r="K1949" s="1" t="str">
        <x:f>IF(G1949&gt;='Дашборд'!$C$51,"X","Z")</x:f>
        <x:v>Z</x:v>
      </x:c>
      <x:c r="L1949" s="1" t="str">
        <x:f>IF(H1949=0,IF(G1949&gt;0,"Нет остатка","Нет спроса"),IF(I1949&gt;='Дашборд'!$C$52,"Быстрый","Медленный"))</x:f>
        <x:v>Нет спроса</x:v>
      </x:c>
      <x:c r="M1949" s="1" t="str">
        <x:f>IF('Данные'!E1949&lt;'Дашборд'!$C$53,"Мало трафика",IF(J1949&lt;'Дашборд'!$C$9*'Дашборд'!$C$54,"Да","Нет"))</x:f>
        <x:v>Мало трафика</x:v>
      </x:c>
      <x:c r="N1949" s="1" t="str">
        <x:f>IF(AND('Данные'!D1949&gt;='Дашборд'!$C$55,D1949&lt;'Дашборд'!$C$56,'Данные'!E1949&gt;='Дашборд'!$C$53,'Данные'!L1949&lt;&gt;"Да"),"Да","Нет")</x:f>
        <x:v>Нет</x:v>
      </x:c>
      <x:c r="O1949" s="1" t="str">
        <x:f>'Данные'!L1949</x:f>
        <x:v>Нет</x:v>
      </x:c>
    </x:row>
    <x:row r="1950">
      <x:c r="A1950" s="1" t="str">
        <x:f>'Данные'!A1950</x:f>
        <x:v>209915022</x:v>
      </x:c>
      <x:c r="B1950" s="1" t="str">
        <x:f>'Данные'!B1950</x:f>
        <x:v>longsvobod/морскаяволна</x:v>
      </x:c>
      <x:c r="C1950" s="8" t="n">
        <x:f>'Данные'!G1950</x:f>
        <x:v>0</x:v>
      </x:c>
      <x:c r="D1950" s="15" t="n">
        <x:f>C1950/SUM($C$5:$C$2477)</x:f>
        <x:v>0</x:v>
      </x:c>
      <x:c r="E1950" s="15" t="n">
        <x:f>SUM($D$5:D1950)</x:f>
        <x:v>1.0000000000000036</x:v>
      </x:c>
      <x:c r="F1950" s="1" t="str">
        <x:f>IF(C1950&lt;=0,"C",IF(E1950-D1950&lt;'Дашборд'!$C$49,"A",IF(E1950-D1950&lt;'Дашборд'!$C$50,"B","C")))</x:f>
        <x:v>C</x:v>
      </x:c>
      <x:c r="G1950" s="8" t="n">
        <x:f>'Данные'!F1950</x:f>
        <x:v>0</x:v>
      </x:c>
      <x:c r="H1950" s="8" t="n">
        <x:f>SUM('Данные'!H1950:I1950)</x:f>
        <x:v>0</x:v>
      </x:c>
      <x:c r="I1950" s="16" t="str">
        <x:f>IF(H1950&gt;0,G1950/H1950,"n.a.")</x:f>
        <x:v>n.a.</x:v>
      </x:c>
      <x:c r="J1950" s="10" t="n">
        <x:f>IF('Данные'!E1950&gt;0,G1950/'Данные'!E1950,"n.a.")</x:f>
        <x:v>0</x:v>
      </x:c>
      <x:c r="K1950" s="1" t="str">
        <x:f>IF(G1950&gt;='Дашборд'!$C$51,"X","Z")</x:f>
        <x:v>Z</x:v>
      </x:c>
      <x:c r="L1950" s="1" t="str">
        <x:f>IF(H1950=0,IF(G1950&gt;0,"Нет остатка","Нет спроса"),IF(I1950&gt;='Дашборд'!$C$52,"Быстрый","Медленный"))</x:f>
        <x:v>Нет спроса</x:v>
      </x:c>
      <x:c r="M1950" s="1" t="str">
        <x:f>IF('Данные'!E1950&lt;'Дашборд'!$C$53,"Мало трафика",IF(J1950&lt;'Дашборд'!$C$9*'Дашборд'!$C$54,"Да","Нет"))</x:f>
        <x:v>Мало трафика</x:v>
      </x:c>
      <x:c r="N1950" s="1" t="str">
        <x:f>IF(AND('Данные'!D1950&gt;='Дашборд'!$C$55,D1950&lt;'Дашборд'!$C$56,'Данные'!E1950&gt;='Дашборд'!$C$53,'Данные'!L1950&lt;&gt;"Да"),"Да","Нет")</x:f>
        <x:v>Нет</x:v>
      </x:c>
      <x:c r="O1950" s="1" t="str">
        <x:f>'Данные'!L1950</x:f>
        <x:v>Нет</x:v>
      </x:c>
    </x:row>
    <x:row r="1951">
      <x:c r="A1951" s="1" t="str">
        <x:f>'Данные'!A1951</x:f>
        <x:v>209915040</x:v>
      </x:c>
      <x:c r="B1951" s="1" t="str">
        <x:f>'Данные'!B1951</x:f>
        <x:v>svitshotonesize/песочный</x:v>
      </x:c>
      <x:c r="C1951" s="8" t="n">
        <x:f>'Данные'!G1951</x:f>
        <x:v>0</x:v>
      </x:c>
      <x:c r="D1951" s="15" t="n">
        <x:f>C1951/SUM($C$5:$C$2477)</x:f>
        <x:v>0</x:v>
      </x:c>
      <x:c r="E1951" s="15" t="n">
        <x:f>SUM($D$5:D1951)</x:f>
        <x:v>1.0000000000000036</x:v>
      </x:c>
      <x:c r="F1951" s="1" t="str">
        <x:f>IF(C1951&lt;=0,"C",IF(E1951-D1951&lt;'Дашборд'!$C$49,"A",IF(E1951-D1951&lt;'Дашборд'!$C$50,"B","C")))</x:f>
        <x:v>C</x:v>
      </x:c>
      <x:c r="G1951" s="8" t="n">
        <x:f>'Данные'!F1951</x:f>
        <x:v>3</x:v>
      </x:c>
      <x:c r="H1951" s="8" t="n">
        <x:f>SUM('Данные'!H1951:I1951)</x:f>
        <x:v>0</x:v>
      </x:c>
      <x:c r="I1951" s="16" t="str">
        <x:f>IF(H1951&gt;0,G1951/H1951,"n.a.")</x:f>
        <x:v>n.a.</x:v>
      </x:c>
      <x:c r="J1951" s="10" t="n">
        <x:f>IF('Данные'!E1951&gt;0,G1951/'Данные'!E1951,"n.a.")</x:f>
        <x:v>0.02857142857142857</x:v>
      </x:c>
      <x:c r="K1951" s="1" t="str">
        <x:f>IF(G1951&gt;='Дашборд'!$C$51,"X","Z")</x:f>
        <x:v>Z</x:v>
      </x:c>
      <x:c r="L1951" s="1" t="str">
        <x:f>IF(H1951=0,IF(G1951&gt;0,"Нет остатка","Нет спроса"),IF(I1951&gt;='Дашборд'!$C$52,"Быстрый","Медленный"))</x:f>
        <x:v>Нет остатка</x:v>
      </x:c>
      <x:c r="M1951" s="1" t="str">
        <x:f>IF('Данные'!E1951&lt;'Дашборд'!$C$53,"Мало трафика",IF(J1951&lt;'Дашборд'!$C$9*'Дашборд'!$C$54,"Да","Нет"))</x:f>
        <x:v>Мало трафика</x:v>
      </x:c>
      <x:c r="N1951" s="1" t="str">
        <x:f>IF(AND('Данные'!D1951&gt;='Дашборд'!$C$55,D1951&lt;'Дашборд'!$C$56,'Данные'!E1951&gt;='Дашборд'!$C$53,'Данные'!L1951&lt;&gt;"Да"),"Да","Нет")</x:f>
        <x:v>Нет</x:v>
      </x:c>
      <x:c r="O1951" s="1" t="str">
        <x:f>'Данные'!L1951</x:f>
        <x:v>Нет</x:v>
      </x:c>
    </x:row>
    <x:row r="1952">
      <x:c r="A1952" s="1" t="str">
        <x:f>'Данные'!A1952</x:f>
        <x:v>209915049</x:v>
      </x:c>
      <x:c r="B1952" s="1" t="str">
        <x:f>'Данные'!B1952</x:f>
        <x:v>longsvobod/красный</x:v>
      </x:c>
      <x:c r="C1952" s="8" t="n">
        <x:f>'Данные'!G1952</x:f>
        <x:v>0</x:v>
      </x:c>
      <x:c r="D1952" s="15" t="n">
        <x:f>C1952/SUM($C$5:$C$2477)</x:f>
        <x:v>0</x:v>
      </x:c>
      <x:c r="E1952" s="15" t="n">
        <x:f>SUM($D$5:D1952)</x:f>
        <x:v>1.0000000000000036</x:v>
      </x:c>
      <x:c r="F1952" s="1" t="str">
        <x:f>IF(C1952&lt;=0,"C",IF(E1952-D1952&lt;'Дашборд'!$C$49,"A",IF(E1952-D1952&lt;'Дашборд'!$C$50,"B","C")))</x:f>
        <x:v>C</x:v>
      </x:c>
      <x:c r="G1952" s="8" t="n">
        <x:f>'Данные'!F1952</x:f>
        <x:v>0</x:v>
      </x:c>
      <x:c r="H1952" s="8" t="n">
        <x:f>SUM('Данные'!H1952:I1952)</x:f>
        <x:v>0</x:v>
      </x:c>
      <x:c r="I1952" s="16" t="str">
        <x:f>IF(H1952&gt;0,G1952/H1952,"n.a.")</x:f>
        <x:v>n.a.</x:v>
      </x:c>
      <x:c r="J1952" s="10" t="n">
        <x:f>IF('Данные'!E1952&gt;0,G1952/'Данные'!E1952,"n.a.")</x:f>
        <x:v>0</x:v>
      </x:c>
      <x:c r="K1952" s="1" t="str">
        <x:f>IF(G1952&gt;='Дашборд'!$C$51,"X","Z")</x:f>
        <x:v>Z</x:v>
      </x:c>
      <x:c r="L1952" s="1" t="str">
        <x:f>IF(H1952=0,IF(G1952&gt;0,"Нет остатка","Нет спроса"),IF(I1952&gt;='Дашборд'!$C$52,"Быстрый","Медленный"))</x:f>
        <x:v>Нет спроса</x:v>
      </x:c>
      <x:c r="M1952" s="1" t="str">
        <x:f>IF('Данные'!E1952&lt;'Дашборд'!$C$53,"Мало трафика",IF(J1952&lt;'Дашборд'!$C$9*'Дашборд'!$C$54,"Да","Нет"))</x:f>
        <x:v>Мало трафика</x:v>
      </x:c>
      <x:c r="N1952" s="1" t="str">
        <x:f>IF(AND('Данные'!D1952&gt;='Дашборд'!$C$55,D1952&lt;'Дашборд'!$C$56,'Данные'!E1952&gt;='Дашборд'!$C$53,'Данные'!L1952&lt;&gt;"Да"),"Да","Нет")</x:f>
        <x:v>Нет</x:v>
      </x:c>
      <x:c r="O1952" s="1" t="str">
        <x:f>'Данные'!L1952</x:f>
        <x:v>Нет</x:v>
      </x:c>
    </x:row>
    <x:row r="1953">
      <x:c r="A1953" s="1" t="str">
        <x:f>'Данные'!A1953</x:f>
        <x:v>209915057</x:v>
      </x:c>
      <x:c r="B1953" s="1" t="str">
        <x:f>'Данные'!B1953</x:f>
        <x:v>longsvobod/шалфей</x:v>
      </x:c>
      <x:c r="C1953" s="8" t="n">
        <x:f>'Данные'!G1953</x:f>
        <x:v>0</x:v>
      </x:c>
      <x:c r="D1953" s="15" t="n">
        <x:f>C1953/SUM($C$5:$C$2477)</x:f>
        <x:v>0</x:v>
      </x:c>
      <x:c r="E1953" s="15" t="n">
        <x:f>SUM($D$5:D1953)</x:f>
        <x:v>1.0000000000000036</x:v>
      </x:c>
      <x:c r="F1953" s="1" t="str">
        <x:f>IF(C1953&lt;=0,"C",IF(E1953-D1953&lt;'Дашборд'!$C$49,"A",IF(E1953-D1953&lt;'Дашборд'!$C$50,"B","C")))</x:f>
        <x:v>C</x:v>
      </x:c>
      <x:c r="G1953" s="8" t="n">
        <x:f>'Данные'!F1953</x:f>
        <x:v>0</x:v>
      </x:c>
      <x:c r="H1953" s="8" t="n">
        <x:f>SUM('Данные'!H1953:I1953)</x:f>
        <x:v>0</x:v>
      </x:c>
      <x:c r="I1953" s="16" t="str">
        <x:f>IF(H1953&gt;0,G1953/H1953,"n.a.")</x:f>
        <x:v>n.a.</x:v>
      </x:c>
      <x:c r="J1953" s="10" t="n">
        <x:f>IF('Данные'!E1953&gt;0,G1953/'Данные'!E1953,"n.a.")</x:f>
        <x:v>0</x:v>
      </x:c>
      <x:c r="K1953" s="1" t="str">
        <x:f>IF(G1953&gt;='Дашборд'!$C$51,"X","Z")</x:f>
        <x:v>Z</x:v>
      </x:c>
      <x:c r="L1953" s="1" t="str">
        <x:f>IF(H1953=0,IF(G1953&gt;0,"Нет остатка","Нет спроса"),IF(I1953&gt;='Дашборд'!$C$52,"Быстрый","Медленный"))</x:f>
        <x:v>Нет спроса</x:v>
      </x:c>
      <x:c r="M1953" s="1" t="str">
        <x:f>IF('Данные'!E1953&lt;'Дашборд'!$C$53,"Мало трафика",IF(J1953&lt;'Дашборд'!$C$9*'Дашборд'!$C$54,"Да","Нет"))</x:f>
        <x:v>Мало трафика</x:v>
      </x:c>
      <x:c r="N1953" s="1" t="str">
        <x:f>IF(AND('Данные'!D1953&gt;='Дашборд'!$C$55,D1953&lt;'Дашборд'!$C$56,'Данные'!E1953&gt;='Дашборд'!$C$53,'Данные'!L1953&lt;&gt;"Да"),"Да","Нет")</x:f>
        <x:v>Нет</x:v>
      </x:c>
      <x:c r="O1953" s="1" t="str">
        <x:f>'Данные'!L1953</x:f>
        <x:v>Нет</x:v>
      </x:c>
    </x:row>
    <x:row r="1954">
      <x:c r="A1954" s="1" t="str">
        <x:f>'Данные'!A1954</x:f>
        <x:v>209915063</x:v>
      </x:c>
      <x:c r="B1954" s="1" t="str">
        <x:f>'Данные'!B1954</x:f>
        <x:v>svitshotonesize/розовый</x:v>
      </x:c>
      <x:c r="C1954" s="8" t="n">
        <x:f>'Данные'!G1954</x:f>
        <x:v>0</x:v>
      </x:c>
      <x:c r="D1954" s="15" t="n">
        <x:f>C1954/SUM($C$5:$C$2477)</x:f>
        <x:v>0</x:v>
      </x:c>
      <x:c r="E1954" s="15" t="n">
        <x:f>SUM($D$5:D1954)</x:f>
        <x:v>1.0000000000000036</x:v>
      </x:c>
      <x:c r="F1954" s="1" t="str">
        <x:f>IF(C1954&lt;=0,"C",IF(E1954-D1954&lt;'Дашборд'!$C$49,"A",IF(E1954-D1954&lt;'Дашборд'!$C$50,"B","C")))</x:f>
        <x:v>C</x:v>
      </x:c>
      <x:c r="G1954" s="8" t="n">
        <x:f>'Данные'!F1954</x:f>
        <x:v>0</x:v>
      </x:c>
      <x:c r="H1954" s="8" t="n">
        <x:f>SUM('Данные'!H1954:I1954)</x:f>
        <x:v>0</x:v>
      </x:c>
      <x:c r="I1954" s="16" t="str">
        <x:f>IF(H1954&gt;0,G1954/H1954,"n.a.")</x:f>
        <x:v>n.a.</x:v>
      </x:c>
      <x:c r="J1954" s="10" t="n">
        <x:f>IF('Данные'!E1954&gt;0,G1954/'Данные'!E1954,"n.a.")</x:f>
        <x:v>0</x:v>
      </x:c>
      <x:c r="K1954" s="1" t="str">
        <x:f>IF(G1954&gt;='Дашборд'!$C$51,"X","Z")</x:f>
        <x:v>Z</x:v>
      </x:c>
      <x:c r="L1954" s="1" t="str">
        <x:f>IF(H1954=0,IF(G1954&gt;0,"Нет остатка","Нет спроса"),IF(I1954&gt;='Дашборд'!$C$52,"Быстрый","Медленный"))</x:f>
        <x:v>Нет спроса</x:v>
      </x:c>
      <x:c r="M1954" s="1" t="str">
        <x:f>IF('Данные'!E1954&lt;'Дашборд'!$C$53,"Мало трафика",IF(J1954&lt;'Дашборд'!$C$9*'Дашборд'!$C$54,"Да","Нет"))</x:f>
        <x:v>Мало трафика</x:v>
      </x:c>
      <x:c r="N1954" s="1" t="str">
        <x:f>IF(AND('Данные'!D1954&gt;='Дашборд'!$C$55,D1954&lt;'Дашборд'!$C$56,'Данные'!E1954&gt;='Дашборд'!$C$53,'Данные'!L1954&lt;&gt;"Да"),"Да","Нет")</x:f>
        <x:v>Нет</x:v>
      </x:c>
      <x:c r="O1954" s="1" t="str">
        <x:f>'Данные'!L1954</x:f>
        <x:v>Нет</x:v>
      </x:c>
    </x:row>
    <x:row r="1955">
      <x:c r="A1955" s="1" t="str">
        <x:f>'Данные'!A1955</x:f>
        <x:v>209915064</x:v>
      </x:c>
      <x:c r="B1955" s="1" t="str">
        <x:f>'Данные'!B1955</x:f>
        <x:v>svitshotonesize/фиолетовый</x:v>
      </x:c>
      <x:c r="C1955" s="8" t="n">
        <x:f>'Данные'!G1955</x:f>
        <x:v>0</x:v>
      </x:c>
      <x:c r="D1955" s="15" t="n">
        <x:f>C1955/SUM($C$5:$C$2477)</x:f>
        <x:v>0</x:v>
      </x:c>
      <x:c r="E1955" s="15" t="n">
        <x:f>SUM($D$5:D1955)</x:f>
        <x:v>1.0000000000000036</x:v>
      </x:c>
      <x:c r="F1955" s="1" t="str">
        <x:f>IF(C1955&lt;=0,"C",IF(E1955-D1955&lt;'Дашборд'!$C$49,"A",IF(E1955-D1955&lt;'Дашборд'!$C$50,"B","C")))</x:f>
        <x:v>C</x:v>
      </x:c>
      <x:c r="G1955" s="8" t="n">
        <x:f>'Данные'!F1955</x:f>
        <x:v>0</x:v>
      </x:c>
      <x:c r="H1955" s="8" t="n">
        <x:f>SUM('Данные'!H1955:I1955)</x:f>
        <x:v>0</x:v>
      </x:c>
      <x:c r="I1955" s="16" t="str">
        <x:f>IF(H1955&gt;0,G1955/H1955,"n.a.")</x:f>
        <x:v>n.a.</x:v>
      </x:c>
      <x:c r="J1955" s="10" t="n">
        <x:f>IF('Данные'!E1955&gt;0,G1955/'Данные'!E1955,"n.a.")</x:f>
        <x:v>0</x:v>
      </x:c>
      <x:c r="K1955" s="1" t="str">
        <x:f>IF(G1955&gt;='Дашборд'!$C$51,"X","Z")</x:f>
        <x:v>Z</x:v>
      </x:c>
      <x:c r="L1955" s="1" t="str">
        <x:f>IF(H1955=0,IF(G1955&gt;0,"Нет остатка","Нет спроса"),IF(I1955&gt;='Дашборд'!$C$52,"Быстрый","Медленный"))</x:f>
        <x:v>Нет спроса</x:v>
      </x:c>
      <x:c r="M1955" s="1" t="str">
        <x:f>IF('Данные'!E1955&lt;'Дашборд'!$C$53,"Мало трафика",IF(J1955&lt;'Дашборд'!$C$9*'Дашборд'!$C$54,"Да","Нет"))</x:f>
        <x:v>Мало трафика</x:v>
      </x:c>
      <x:c r="N1955" s="1" t="str">
        <x:f>IF(AND('Данные'!D1955&gt;='Дашборд'!$C$55,D1955&lt;'Дашборд'!$C$56,'Данные'!E1955&gt;='Дашборд'!$C$53,'Данные'!L1955&lt;&gt;"Да"),"Да","Нет")</x:f>
        <x:v>Нет</x:v>
      </x:c>
      <x:c r="O1955" s="1" t="str">
        <x:f>'Данные'!L1955</x:f>
        <x:v>Нет</x:v>
      </x:c>
    </x:row>
    <x:row r="1956">
      <x:c r="A1956" s="1" t="str">
        <x:f>'Данные'!A1956</x:f>
        <x:v>209915065</x:v>
      </x:c>
      <x:c r="B1956" s="1" t="str">
        <x:f>'Данные'!B1956</x:f>
        <x:v>svitshotonesize/белый</x:v>
      </x:c>
      <x:c r="C1956" s="8" t="n">
        <x:f>'Данные'!G1956</x:f>
        <x:v>0</x:v>
      </x:c>
      <x:c r="D1956" s="15" t="n">
        <x:f>C1956/SUM($C$5:$C$2477)</x:f>
        <x:v>0</x:v>
      </x:c>
      <x:c r="E1956" s="15" t="n">
        <x:f>SUM($D$5:D1956)</x:f>
        <x:v>1.0000000000000036</x:v>
      </x:c>
      <x:c r="F1956" s="1" t="str">
        <x:f>IF(C1956&lt;=0,"C",IF(E1956-D1956&lt;'Дашборд'!$C$49,"A",IF(E1956-D1956&lt;'Дашборд'!$C$50,"B","C")))</x:f>
        <x:v>C</x:v>
      </x:c>
      <x:c r="G1956" s="8" t="n">
        <x:f>'Данные'!F1956</x:f>
        <x:v>3</x:v>
      </x:c>
      <x:c r="H1956" s="8" t="n">
        <x:f>SUM('Данные'!H1956:I1956)</x:f>
        <x:v>0</x:v>
      </x:c>
      <x:c r="I1956" s="16" t="str">
        <x:f>IF(H1956&gt;0,G1956/H1956,"n.a.")</x:f>
        <x:v>n.a.</x:v>
      </x:c>
      <x:c r="J1956" s="10" t="n">
        <x:f>IF('Данные'!E1956&gt;0,G1956/'Данные'!E1956,"n.a.")</x:f>
        <x:v>0.01507537688442211</x:v>
      </x:c>
      <x:c r="K1956" s="1" t="str">
        <x:f>IF(G1956&gt;='Дашборд'!$C$51,"X","Z")</x:f>
        <x:v>Z</x:v>
      </x:c>
      <x:c r="L1956" s="1" t="str">
        <x:f>IF(H1956=0,IF(G1956&gt;0,"Нет остатка","Нет спроса"),IF(I1956&gt;='Дашборд'!$C$52,"Быстрый","Медленный"))</x:f>
        <x:v>Нет остатка</x:v>
      </x:c>
      <x:c r="M1956" s="1" t="str">
        <x:f>IF('Данные'!E1956&lt;'Дашборд'!$C$53,"Мало трафика",IF(J1956&lt;'Дашборд'!$C$9*'Дашборд'!$C$54,"Да","Нет"))</x:f>
        <x:v>Мало трафика</x:v>
      </x:c>
      <x:c r="N1956" s="1" t="str">
        <x:f>IF(AND('Данные'!D1956&gt;='Дашборд'!$C$55,D1956&lt;'Дашборд'!$C$56,'Данные'!E1956&gt;='Дашборд'!$C$53,'Данные'!L1956&lt;&gt;"Да"),"Да","Нет")</x:f>
        <x:v>Нет</x:v>
      </x:c>
      <x:c r="O1956" s="1" t="str">
        <x:f>'Данные'!L1956</x:f>
        <x:v>Нет</x:v>
      </x:c>
    </x:row>
    <x:row r="1957">
      <x:c r="A1957" s="1" t="str">
        <x:f>'Данные'!A1957</x:f>
        <x:v>209915072</x:v>
      </x:c>
      <x:c r="B1957" s="1" t="str">
        <x:f>'Данные'!B1957</x:f>
        <x:v>svitshotonesize/серыймеланж2</x:v>
      </x:c>
      <x:c r="C1957" s="8" t="n">
        <x:f>'Данные'!G1957</x:f>
        <x:v>0</x:v>
      </x:c>
      <x:c r="D1957" s="15" t="n">
        <x:f>C1957/SUM($C$5:$C$2477)</x:f>
        <x:v>0</x:v>
      </x:c>
      <x:c r="E1957" s="15" t="n">
        <x:f>SUM($D$5:D1957)</x:f>
        <x:v>1.0000000000000036</x:v>
      </x:c>
      <x:c r="F1957" s="1" t="str">
        <x:f>IF(C1957&lt;=0,"C",IF(E1957-D1957&lt;'Дашборд'!$C$49,"A",IF(E1957-D1957&lt;'Дашборд'!$C$50,"B","C")))</x:f>
        <x:v>C</x:v>
      </x:c>
      <x:c r="G1957" s="8" t="n">
        <x:f>'Данные'!F1957</x:f>
        <x:v>0</x:v>
      </x:c>
      <x:c r="H1957" s="8" t="n">
        <x:f>SUM('Данные'!H1957:I1957)</x:f>
        <x:v>0</x:v>
      </x:c>
      <x:c r="I1957" s="16" t="str">
        <x:f>IF(H1957&gt;0,G1957/H1957,"n.a.")</x:f>
        <x:v>n.a.</x:v>
      </x:c>
      <x:c r="J1957" s="10" t="n">
        <x:f>IF('Данные'!E1957&gt;0,G1957/'Данные'!E1957,"n.a.")</x:f>
        <x:v>0</x:v>
      </x:c>
      <x:c r="K1957" s="1" t="str">
        <x:f>IF(G1957&gt;='Дашборд'!$C$51,"X","Z")</x:f>
        <x:v>Z</x:v>
      </x:c>
      <x:c r="L1957" s="1" t="str">
        <x:f>IF(H1957=0,IF(G1957&gt;0,"Нет остатка","Нет спроса"),IF(I1957&gt;='Дашборд'!$C$52,"Быстрый","Медленный"))</x:f>
        <x:v>Нет спроса</x:v>
      </x:c>
      <x:c r="M1957" s="1" t="str">
        <x:f>IF('Данные'!E1957&lt;'Дашборд'!$C$53,"Мало трафика",IF(J1957&lt;'Дашборд'!$C$9*'Дашборд'!$C$54,"Да","Нет"))</x:f>
        <x:v>Мало трафика</x:v>
      </x:c>
      <x:c r="N1957" s="1" t="str">
        <x:f>IF(AND('Данные'!D1957&gt;='Дашборд'!$C$55,D1957&lt;'Дашборд'!$C$56,'Данные'!E1957&gt;='Дашборд'!$C$53,'Данные'!L1957&lt;&gt;"Да"),"Да","Нет")</x:f>
        <x:v>Нет</x:v>
      </x:c>
      <x:c r="O1957" s="1" t="str">
        <x:f>'Данные'!L1957</x:f>
        <x:v>Нет</x:v>
      </x:c>
    </x:row>
    <x:row r="1958">
      <x:c r="A1958" s="1" t="str">
        <x:f>'Данные'!A1958</x:f>
        <x:v>209915073</x:v>
      </x:c>
      <x:c r="B1958" s="1" t="str">
        <x:f>'Данные'!B1958</x:f>
        <x:v>svitshotonesize/бордовый</x:v>
      </x:c>
      <x:c r="C1958" s="8" t="n">
        <x:f>'Данные'!G1958</x:f>
        <x:v>0</x:v>
      </x:c>
      <x:c r="D1958" s="15" t="n">
        <x:f>C1958/SUM($C$5:$C$2477)</x:f>
        <x:v>0</x:v>
      </x:c>
      <x:c r="E1958" s="15" t="n">
        <x:f>SUM($D$5:D1958)</x:f>
        <x:v>1.0000000000000036</x:v>
      </x:c>
      <x:c r="F1958" s="1" t="str">
        <x:f>IF(C1958&lt;=0,"C",IF(E1958-D1958&lt;'Дашборд'!$C$49,"A",IF(E1958-D1958&lt;'Дашборд'!$C$50,"B","C")))</x:f>
        <x:v>C</x:v>
      </x:c>
      <x:c r="G1958" s="8" t="n">
        <x:f>'Данные'!F1958</x:f>
        <x:v>0</x:v>
      </x:c>
      <x:c r="H1958" s="8" t="n">
        <x:f>SUM('Данные'!H1958:I1958)</x:f>
        <x:v>0</x:v>
      </x:c>
      <x:c r="I1958" s="16" t="str">
        <x:f>IF(H1958&gt;0,G1958/H1958,"n.a.")</x:f>
        <x:v>n.a.</x:v>
      </x:c>
      <x:c r="J1958" s="10" t="n">
        <x:f>IF('Данные'!E1958&gt;0,G1958/'Данные'!E1958,"n.a.")</x:f>
        <x:v>0</x:v>
      </x:c>
      <x:c r="K1958" s="1" t="str">
        <x:f>IF(G1958&gt;='Дашборд'!$C$51,"X","Z")</x:f>
        <x:v>Z</x:v>
      </x:c>
      <x:c r="L1958" s="1" t="str">
        <x:f>IF(H1958=0,IF(G1958&gt;0,"Нет остатка","Нет спроса"),IF(I1958&gt;='Дашборд'!$C$52,"Быстрый","Медленный"))</x:f>
        <x:v>Нет спроса</x:v>
      </x:c>
      <x:c r="M1958" s="1" t="str">
        <x:f>IF('Данные'!E1958&lt;'Дашборд'!$C$53,"Мало трафика",IF(J1958&lt;'Дашборд'!$C$9*'Дашборд'!$C$54,"Да","Нет"))</x:f>
        <x:v>Мало трафика</x:v>
      </x:c>
      <x:c r="N1958" s="1" t="str">
        <x:f>IF(AND('Данные'!D1958&gt;='Дашборд'!$C$55,D1958&lt;'Дашборд'!$C$56,'Данные'!E1958&gt;='Дашборд'!$C$53,'Данные'!L1958&lt;&gt;"Да"),"Да","Нет")</x:f>
        <x:v>Нет</x:v>
      </x:c>
      <x:c r="O1958" s="1" t="str">
        <x:f>'Данные'!L1958</x:f>
        <x:v>Нет</x:v>
      </x:c>
    </x:row>
    <x:row r="1959">
      <x:c r="A1959" s="1" t="str">
        <x:f>'Данные'!A1959</x:f>
        <x:v>209915075</x:v>
      </x:c>
      <x:c r="B1959" s="1" t="str">
        <x:f>'Данные'!B1959</x:f>
        <x:v>svitshotonesize/деним</x:v>
      </x:c>
      <x:c r="C1959" s="8" t="n">
        <x:f>'Данные'!G1959</x:f>
        <x:v>0</x:v>
      </x:c>
      <x:c r="D1959" s="15" t="n">
        <x:f>C1959/SUM($C$5:$C$2477)</x:f>
        <x:v>0</x:v>
      </x:c>
      <x:c r="E1959" s="15" t="n">
        <x:f>SUM($D$5:D1959)</x:f>
        <x:v>1.0000000000000036</x:v>
      </x:c>
      <x:c r="F1959" s="1" t="str">
        <x:f>IF(C1959&lt;=0,"C",IF(E1959-D1959&lt;'Дашборд'!$C$49,"A",IF(E1959-D1959&lt;'Дашборд'!$C$50,"B","C")))</x:f>
        <x:v>C</x:v>
      </x:c>
      <x:c r="G1959" s="8" t="n">
        <x:f>'Данные'!F1959</x:f>
        <x:v>0</x:v>
      </x:c>
      <x:c r="H1959" s="8" t="n">
        <x:f>SUM('Данные'!H1959:I1959)</x:f>
        <x:v>0</x:v>
      </x:c>
      <x:c r="I1959" s="16" t="str">
        <x:f>IF(H1959&gt;0,G1959/H1959,"n.a.")</x:f>
        <x:v>n.a.</x:v>
      </x:c>
      <x:c r="J1959" s="10" t="n">
        <x:f>IF('Данные'!E1959&gt;0,G1959/'Данные'!E1959,"n.a.")</x:f>
        <x:v>0</x:v>
      </x:c>
      <x:c r="K1959" s="1" t="str">
        <x:f>IF(G1959&gt;='Дашборд'!$C$51,"X","Z")</x:f>
        <x:v>Z</x:v>
      </x:c>
      <x:c r="L1959" s="1" t="str">
        <x:f>IF(H1959=0,IF(G1959&gt;0,"Нет остатка","Нет спроса"),IF(I1959&gt;='Дашборд'!$C$52,"Быстрый","Медленный"))</x:f>
        <x:v>Нет спроса</x:v>
      </x:c>
      <x:c r="M1959" s="1" t="str">
        <x:f>IF('Данные'!E1959&lt;'Дашборд'!$C$53,"Мало трафика",IF(J1959&lt;'Дашборд'!$C$9*'Дашборд'!$C$54,"Да","Нет"))</x:f>
        <x:v>Мало трафика</x:v>
      </x:c>
      <x:c r="N1959" s="1" t="str">
        <x:f>IF(AND('Данные'!D1959&gt;='Дашборд'!$C$55,D1959&lt;'Дашборд'!$C$56,'Данные'!E1959&gt;='Дашборд'!$C$53,'Данные'!L1959&lt;&gt;"Да"),"Да","Нет")</x:f>
        <x:v>Нет</x:v>
      </x:c>
      <x:c r="O1959" s="1" t="str">
        <x:f>'Данные'!L1959</x:f>
        <x:v>Нет</x:v>
      </x:c>
    </x:row>
    <x:row r="1960">
      <x:c r="A1960" s="1" t="str">
        <x:f>'Данные'!A1960</x:f>
        <x:v>209915077</x:v>
      </x:c>
      <x:c r="B1960" s="1" t="str">
        <x:f>'Данные'!B1960</x:f>
        <x:v>svitshotonesize/молочный</x:v>
      </x:c>
      <x:c r="C1960" s="8" t="n">
        <x:f>'Данные'!G1960</x:f>
        <x:v>0</x:v>
      </x:c>
      <x:c r="D1960" s="15" t="n">
        <x:f>C1960/SUM($C$5:$C$2477)</x:f>
        <x:v>0</x:v>
      </x:c>
      <x:c r="E1960" s="15" t="n">
        <x:f>SUM($D$5:D1960)</x:f>
        <x:v>1.0000000000000036</x:v>
      </x:c>
      <x:c r="F1960" s="1" t="str">
        <x:f>IF(C1960&lt;=0,"C",IF(E1960-D1960&lt;'Дашборд'!$C$49,"A",IF(E1960-D1960&lt;'Дашборд'!$C$50,"B","C")))</x:f>
        <x:v>C</x:v>
      </x:c>
      <x:c r="G1960" s="8" t="n">
        <x:f>'Данные'!F1960</x:f>
        <x:v>0</x:v>
      </x:c>
      <x:c r="H1960" s="8" t="n">
        <x:f>SUM('Данные'!H1960:I1960)</x:f>
        <x:v>0</x:v>
      </x:c>
      <x:c r="I1960" s="16" t="str">
        <x:f>IF(H1960&gt;0,G1960/H1960,"n.a.")</x:f>
        <x:v>n.a.</x:v>
      </x:c>
      <x:c r="J1960" s="10" t="n">
        <x:f>IF('Данные'!E1960&gt;0,G1960/'Данные'!E1960,"n.a.")</x:f>
        <x:v>0</x:v>
      </x:c>
      <x:c r="K1960" s="1" t="str">
        <x:f>IF(G1960&gt;='Дашборд'!$C$51,"X","Z")</x:f>
        <x:v>Z</x:v>
      </x:c>
      <x:c r="L1960" s="1" t="str">
        <x:f>IF(H1960=0,IF(G1960&gt;0,"Нет остатка","Нет спроса"),IF(I1960&gt;='Дашборд'!$C$52,"Быстрый","Медленный"))</x:f>
        <x:v>Нет спроса</x:v>
      </x:c>
      <x:c r="M1960" s="1" t="str">
        <x:f>IF('Данные'!E1960&lt;'Дашборд'!$C$53,"Мало трафика",IF(J1960&lt;'Дашборд'!$C$9*'Дашборд'!$C$54,"Да","Нет"))</x:f>
        <x:v>Мало трафика</x:v>
      </x:c>
      <x:c r="N1960" s="1" t="str">
        <x:f>IF(AND('Данные'!D1960&gt;='Дашборд'!$C$55,D1960&lt;'Дашборд'!$C$56,'Данные'!E1960&gt;='Дашборд'!$C$53,'Данные'!L1960&lt;&gt;"Да"),"Да","Нет")</x:f>
        <x:v>Нет</x:v>
      </x:c>
      <x:c r="O1960" s="1" t="str">
        <x:f>'Данные'!L1960</x:f>
        <x:v>Нет</x:v>
      </x:c>
    </x:row>
    <x:row r="1961">
      <x:c r="A1961" s="1" t="str">
        <x:f>'Данные'!A1961</x:f>
        <x:v>209915079</x:v>
      </x:c>
      <x:c r="B1961" s="1" t="str">
        <x:f>'Данные'!B1961</x:f>
        <x:v>longsvobod/деним</x:v>
      </x:c>
      <x:c r="C1961" s="8" t="n">
        <x:f>'Данные'!G1961</x:f>
        <x:v>0</x:v>
      </x:c>
      <x:c r="D1961" s="15" t="n">
        <x:f>C1961/SUM($C$5:$C$2477)</x:f>
        <x:v>0</x:v>
      </x:c>
      <x:c r="E1961" s="15" t="n">
        <x:f>SUM($D$5:D1961)</x:f>
        <x:v>1.0000000000000036</x:v>
      </x:c>
      <x:c r="F1961" s="1" t="str">
        <x:f>IF(C1961&lt;=0,"C",IF(E1961-D1961&lt;'Дашборд'!$C$49,"A",IF(E1961-D1961&lt;'Дашборд'!$C$50,"B","C")))</x:f>
        <x:v>C</x:v>
      </x:c>
      <x:c r="G1961" s="8" t="n">
        <x:f>'Данные'!F1961</x:f>
        <x:v>0</x:v>
      </x:c>
      <x:c r="H1961" s="8" t="n">
        <x:f>SUM('Данные'!H1961:I1961)</x:f>
        <x:v>0</x:v>
      </x:c>
      <x:c r="I1961" s="16" t="str">
        <x:f>IF(H1961&gt;0,G1961/H1961,"n.a.")</x:f>
        <x:v>n.a.</x:v>
      </x:c>
      <x:c r="J1961" s="10" t="n">
        <x:f>IF('Данные'!E1961&gt;0,G1961/'Данные'!E1961,"n.a.")</x:f>
        <x:v>0</x:v>
      </x:c>
      <x:c r="K1961" s="1" t="str">
        <x:f>IF(G1961&gt;='Дашборд'!$C$51,"X","Z")</x:f>
        <x:v>Z</x:v>
      </x:c>
      <x:c r="L1961" s="1" t="str">
        <x:f>IF(H1961=0,IF(G1961&gt;0,"Нет остатка","Нет спроса"),IF(I1961&gt;='Дашборд'!$C$52,"Быстрый","Медленный"))</x:f>
        <x:v>Нет спроса</x:v>
      </x:c>
      <x:c r="M1961" s="1" t="str">
        <x:f>IF('Данные'!E1961&lt;'Дашборд'!$C$53,"Мало трафика",IF(J1961&lt;'Дашборд'!$C$9*'Дашборд'!$C$54,"Да","Нет"))</x:f>
        <x:v>Мало трафика</x:v>
      </x:c>
      <x:c r="N1961" s="1" t="str">
        <x:f>IF(AND('Данные'!D1961&gt;='Дашборд'!$C$55,D1961&lt;'Дашборд'!$C$56,'Данные'!E1961&gt;='Дашборд'!$C$53,'Данные'!L1961&lt;&gt;"Да"),"Да","Нет")</x:f>
        <x:v>Нет</x:v>
      </x:c>
      <x:c r="O1961" s="1" t="str">
        <x:f>'Данные'!L1961</x:f>
        <x:v>Нет</x:v>
      </x:c>
    </x:row>
    <x:row r="1962">
      <x:c r="A1962" s="1" t="str">
        <x:f>'Данные'!A1962</x:f>
        <x:v>209915082</x:v>
      </x:c>
      <x:c r="B1962" s="1" t="str">
        <x:f>'Данные'!B1962</x:f>
        <x:v>longsvobod/салатовый</x:v>
      </x:c>
      <x:c r="C1962" s="8" t="n">
        <x:f>'Данные'!G1962</x:f>
        <x:v>0</x:v>
      </x:c>
      <x:c r="D1962" s="15" t="n">
        <x:f>C1962/SUM($C$5:$C$2477)</x:f>
        <x:v>0</x:v>
      </x:c>
      <x:c r="E1962" s="15" t="n">
        <x:f>SUM($D$5:D1962)</x:f>
        <x:v>1.0000000000000036</x:v>
      </x:c>
      <x:c r="F1962" s="1" t="str">
        <x:f>IF(C1962&lt;=0,"C",IF(E1962-D1962&lt;'Дашборд'!$C$49,"A",IF(E1962-D1962&lt;'Дашборд'!$C$50,"B","C")))</x:f>
        <x:v>C</x:v>
      </x:c>
      <x:c r="G1962" s="8" t="n">
        <x:f>'Данные'!F1962</x:f>
        <x:v>0</x:v>
      </x:c>
      <x:c r="H1962" s="8" t="n">
        <x:f>SUM('Данные'!H1962:I1962)</x:f>
        <x:v>0</x:v>
      </x:c>
      <x:c r="I1962" s="16" t="str">
        <x:f>IF(H1962&gt;0,G1962/H1962,"n.a.")</x:f>
        <x:v>n.a.</x:v>
      </x:c>
      <x:c r="J1962" s="10" t="n">
        <x:f>IF('Данные'!E1962&gt;0,G1962/'Данные'!E1962,"n.a.")</x:f>
        <x:v>0</x:v>
      </x:c>
      <x:c r="K1962" s="1" t="str">
        <x:f>IF(G1962&gt;='Дашборд'!$C$51,"X","Z")</x:f>
        <x:v>Z</x:v>
      </x:c>
      <x:c r="L1962" s="1" t="str">
        <x:f>IF(H1962=0,IF(G1962&gt;0,"Нет остатка","Нет спроса"),IF(I1962&gt;='Дашборд'!$C$52,"Быстрый","Медленный"))</x:f>
        <x:v>Нет спроса</x:v>
      </x:c>
      <x:c r="M1962" s="1" t="str">
        <x:f>IF('Данные'!E1962&lt;'Дашборд'!$C$53,"Мало трафика",IF(J1962&lt;'Дашборд'!$C$9*'Дашборд'!$C$54,"Да","Нет"))</x:f>
        <x:v>Мало трафика</x:v>
      </x:c>
      <x:c r="N1962" s="1" t="str">
        <x:f>IF(AND('Данные'!D1962&gt;='Дашборд'!$C$55,D1962&lt;'Дашборд'!$C$56,'Данные'!E1962&gt;='Дашборд'!$C$53,'Данные'!L1962&lt;&gt;"Да"),"Да","Нет")</x:f>
        <x:v>Нет</x:v>
      </x:c>
      <x:c r="O1962" s="1" t="str">
        <x:f>'Данные'!L1962</x:f>
        <x:v>Нет</x:v>
      </x:c>
    </x:row>
    <x:row r="1963">
      <x:c r="A1963" s="1" t="str">
        <x:f>'Данные'!A1963</x:f>
        <x:v>209915083</x:v>
      </x:c>
      <x:c r="B1963" s="1" t="str">
        <x:f>'Данные'!B1963</x:f>
        <x:v>svitshotonesize/хаки</x:v>
      </x:c>
      <x:c r="C1963" s="8" t="n">
        <x:f>'Данные'!G1963</x:f>
        <x:v>0</x:v>
      </x:c>
      <x:c r="D1963" s="15" t="n">
        <x:f>C1963/SUM($C$5:$C$2477)</x:f>
        <x:v>0</x:v>
      </x:c>
      <x:c r="E1963" s="15" t="n">
        <x:f>SUM($D$5:D1963)</x:f>
        <x:v>1.0000000000000036</x:v>
      </x:c>
      <x:c r="F1963" s="1" t="str">
        <x:f>IF(C1963&lt;=0,"C",IF(E1963-D1963&lt;'Дашборд'!$C$49,"A",IF(E1963-D1963&lt;'Дашборд'!$C$50,"B","C")))</x:f>
        <x:v>C</x:v>
      </x:c>
      <x:c r="G1963" s="8" t="n">
        <x:f>'Данные'!F1963</x:f>
        <x:v>0</x:v>
      </x:c>
      <x:c r="H1963" s="8" t="n">
        <x:f>SUM('Данные'!H1963:I1963)</x:f>
        <x:v>0</x:v>
      </x:c>
      <x:c r="I1963" s="16" t="str">
        <x:f>IF(H1963&gt;0,G1963/H1963,"n.a.")</x:f>
        <x:v>n.a.</x:v>
      </x:c>
      <x:c r="J1963" s="10" t="n">
        <x:f>IF('Данные'!E1963&gt;0,G1963/'Данные'!E1963,"n.a.")</x:f>
        <x:v>0</x:v>
      </x:c>
      <x:c r="K1963" s="1" t="str">
        <x:f>IF(G1963&gt;='Дашборд'!$C$51,"X","Z")</x:f>
        <x:v>Z</x:v>
      </x:c>
      <x:c r="L1963" s="1" t="str">
        <x:f>IF(H1963=0,IF(G1963&gt;0,"Нет остатка","Нет спроса"),IF(I1963&gt;='Дашборд'!$C$52,"Быстрый","Медленный"))</x:f>
        <x:v>Нет спроса</x:v>
      </x:c>
      <x:c r="M1963" s="1" t="str">
        <x:f>IF('Данные'!E1963&lt;'Дашборд'!$C$53,"Мало трафика",IF(J1963&lt;'Дашборд'!$C$9*'Дашборд'!$C$54,"Да","Нет"))</x:f>
        <x:v>Мало трафика</x:v>
      </x:c>
      <x:c r="N1963" s="1" t="str">
        <x:f>IF(AND('Данные'!D1963&gt;='Дашборд'!$C$55,D1963&lt;'Дашборд'!$C$56,'Данные'!E1963&gt;='Дашборд'!$C$53,'Данные'!L1963&lt;&gt;"Да"),"Да","Нет")</x:f>
        <x:v>Нет</x:v>
      </x:c>
      <x:c r="O1963" s="1" t="str">
        <x:f>'Данные'!L1963</x:f>
        <x:v>Нет</x:v>
      </x:c>
    </x:row>
    <x:row r="1964">
      <x:c r="A1964" s="1" t="str">
        <x:f>'Данные'!A1964</x:f>
        <x:v>209915084</x:v>
      </x:c>
      <x:c r="B1964" s="1" t="str">
        <x:f>'Данные'!B1964</x:f>
        <x:v>svitshotonesize/изумрудно-зеленый</x:v>
      </x:c>
      <x:c r="C1964" s="8" t="n">
        <x:f>'Данные'!G1964</x:f>
        <x:v>0</x:v>
      </x:c>
      <x:c r="D1964" s="15" t="n">
        <x:f>C1964/SUM($C$5:$C$2477)</x:f>
        <x:v>0</x:v>
      </x:c>
      <x:c r="E1964" s="15" t="n">
        <x:f>SUM($D$5:D1964)</x:f>
        <x:v>1.0000000000000036</x:v>
      </x:c>
      <x:c r="F1964" s="1" t="str">
        <x:f>IF(C1964&lt;=0,"C",IF(E1964-D1964&lt;'Дашборд'!$C$49,"A",IF(E1964-D1964&lt;'Дашборд'!$C$50,"B","C")))</x:f>
        <x:v>C</x:v>
      </x:c>
      <x:c r="G1964" s="8" t="n">
        <x:f>'Данные'!F1964</x:f>
        <x:v>0</x:v>
      </x:c>
      <x:c r="H1964" s="8" t="n">
        <x:f>SUM('Данные'!H1964:I1964)</x:f>
        <x:v>0</x:v>
      </x:c>
      <x:c r="I1964" s="16" t="str">
        <x:f>IF(H1964&gt;0,G1964/H1964,"n.a.")</x:f>
        <x:v>n.a.</x:v>
      </x:c>
      <x:c r="J1964" s="10" t="n">
        <x:f>IF('Данные'!E1964&gt;0,G1964/'Данные'!E1964,"n.a.")</x:f>
        <x:v>0</x:v>
      </x:c>
      <x:c r="K1964" s="1" t="str">
        <x:f>IF(G1964&gt;='Дашборд'!$C$51,"X","Z")</x:f>
        <x:v>Z</x:v>
      </x:c>
      <x:c r="L1964" s="1" t="str">
        <x:f>IF(H1964=0,IF(G1964&gt;0,"Нет остатка","Нет спроса"),IF(I1964&gt;='Дашборд'!$C$52,"Быстрый","Медленный"))</x:f>
        <x:v>Нет спроса</x:v>
      </x:c>
      <x:c r="M1964" s="1" t="str">
        <x:f>IF('Данные'!E1964&lt;'Дашборд'!$C$53,"Мало трафика",IF(J1964&lt;'Дашборд'!$C$9*'Дашборд'!$C$54,"Да","Нет"))</x:f>
        <x:v>Мало трафика</x:v>
      </x:c>
      <x:c r="N1964" s="1" t="str">
        <x:f>IF(AND('Данные'!D1964&gt;='Дашборд'!$C$55,D1964&lt;'Дашборд'!$C$56,'Данные'!E1964&gt;='Дашборд'!$C$53,'Данные'!L1964&lt;&gt;"Да"),"Да","Нет")</x:f>
        <x:v>Нет</x:v>
      </x:c>
      <x:c r="O1964" s="1" t="str">
        <x:f>'Данные'!L1964</x:f>
        <x:v>Нет</x:v>
      </x:c>
    </x:row>
    <x:row r="1965">
      <x:c r="A1965" s="1" t="str">
        <x:f>'Данные'!A1965</x:f>
        <x:v>209915085</x:v>
      </x:c>
      <x:c r="B1965" s="1" t="str">
        <x:f>'Данные'!B1965</x:f>
        <x:v>svitshotonesize/светло-фиолетовый</x:v>
      </x:c>
      <x:c r="C1965" s="8" t="n">
        <x:f>'Данные'!G1965</x:f>
        <x:v>0</x:v>
      </x:c>
      <x:c r="D1965" s="15" t="n">
        <x:f>C1965/SUM($C$5:$C$2477)</x:f>
        <x:v>0</x:v>
      </x:c>
      <x:c r="E1965" s="15" t="n">
        <x:f>SUM($D$5:D1965)</x:f>
        <x:v>1.0000000000000036</x:v>
      </x:c>
      <x:c r="F1965" s="1" t="str">
        <x:f>IF(C1965&lt;=0,"C",IF(E1965-D1965&lt;'Дашборд'!$C$49,"A",IF(E1965-D1965&lt;'Дашборд'!$C$50,"B","C")))</x:f>
        <x:v>C</x:v>
      </x:c>
      <x:c r="G1965" s="8" t="n">
        <x:f>'Данные'!F1965</x:f>
        <x:v>0</x:v>
      </x:c>
      <x:c r="H1965" s="8" t="n">
        <x:f>SUM('Данные'!H1965:I1965)</x:f>
        <x:v>0</x:v>
      </x:c>
      <x:c r="I1965" s="16" t="str">
        <x:f>IF(H1965&gt;0,G1965/H1965,"n.a.")</x:f>
        <x:v>n.a.</x:v>
      </x:c>
      <x:c r="J1965" s="10" t="n">
        <x:f>IF('Данные'!E1965&gt;0,G1965/'Данные'!E1965,"n.a.")</x:f>
        <x:v>0</x:v>
      </x:c>
      <x:c r="K1965" s="1" t="str">
        <x:f>IF(G1965&gt;='Дашборд'!$C$51,"X","Z")</x:f>
        <x:v>Z</x:v>
      </x:c>
      <x:c r="L1965" s="1" t="str">
        <x:f>IF(H1965=0,IF(G1965&gt;0,"Нет остатка","Нет спроса"),IF(I1965&gt;='Дашборд'!$C$52,"Быстрый","Медленный"))</x:f>
        <x:v>Нет спроса</x:v>
      </x:c>
      <x:c r="M1965" s="1" t="str">
        <x:f>IF('Данные'!E1965&lt;'Дашборд'!$C$53,"Мало трафика",IF(J1965&lt;'Дашборд'!$C$9*'Дашборд'!$C$54,"Да","Нет"))</x:f>
        <x:v>Мало трафика</x:v>
      </x:c>
      <x:c r="N1965" s="1" t="str">
        <x:f>IF(AND('Данные'!D1965&gt;='Дашборд'!$C$55,D1965&lt;'Дашборд'!$C$56,'Данные'!E1965&gt;='Дашборд'!$C$53,'Данные'!L1965&lt;&gt;"Да"),"Да","Нет")</x:f>
        <x:v>Нет</x:v>
      </x:c>
      <x:c r="O1965" s="1" t="str">
        <x:f>'Данные'!L1965</x:f>
        <x:v>Нет</x:v>
      </x:c>
    </x:row>
    <x:row r="1966">
      <x:c r="A1966" s="1" t="str">
        <x:f>'Данные'!A1966</x:f>
        <x:v>209915090</x:v>
      </x:c>
      <x:c r="B1966" s="1" t="str">
        <x:f>'Данные'!B1966</x:f>
        <x:v>svitshotonesize/зеленый</x:v>
      </x:c>
      <x:c r="C1966" s="8" t="n">
        <x:f>'Данные'!G1966</x:f>
        <x:v>0</x:v>
      </x:c>
      <x:c r="D1966" s="15" t="n">
        <x:f>C1966/SUM($C$5:$C$2477)</x:f>
        <x:v>0</x:v>
      </x:c>
      <x:c r="E1966" s="15" t="n">
        <x:f>SUM($D$5:D1966)</x:f>
        <x:v>1.0000000000000036</x:v>
      </x:c>
      <x:c r="F1966" s="1" t="str">
        <x:f>IF(C1966&lt;=0,"C",IF(E1966-D1966&lt;'Дашборд'!$C$49,"A",IF(E1966-D1966&lt;'Дашборд'!$C$50,"B","C")))</x:f>
        <x:v>C</x:v>
      </x:c>
      <x:c r="G1966" s="8" t="n">
        <x:f>'Данные'!F1966</x:f>
        <x:v>0</x:v>
      </x:c>
      <x:c r="H1966" s="8" t="n">
        <x:f>SUM('Данные'!H1966:I1966)</x:f>
        <x:v>0</x:v>
      </x:c>
      <x:c r="I1966" s="16" t="str">
        <x:f>IF(H1966&gt;0,G1966/H1966,"n.a.")</x:f>
        <x:v>n.a.</x:v>
      </x:c>
      <x:c r="J1966" s="10" t="n">
        <x:f>IF('Данные'!E1966&gt;0,G1966/'Данные'!E1966,"n.a.")</x:f>
        <x:v>0</x:v>
      </x:c>
      <x:c r="K1966" s="1" t="str">
        <x:f>IF(G1966&gt;='Дашборд'!$C$51,"X","Z")</x:f>
        <x:v>Z</x:v>
      </x:c>
      <x:c r="L1966" s="1" t="str">
        <x:f>IF(H1966=0,IF(G1966&gt;0,"Нет остатка","Нет спроса"),IF(I1966&gt;='Дашборд'!$C$52,"Быстрый","Медленный"))</x:f>
        <x:v>Нет спроса</x:v>
      </x:c>
      <x:c r="M1966" s="1" t="str">
        <x:f>IF('Данные'!E1966&lt;'Дашборд'!$C$53,"Мало трафика",IF(J1966&lt;'Дашборд'!$C$9*'Дашборд'!$C$54,"Да","Нет"))</x:f>
        <x:v>Мало трафика</x:v>
      </x:c>
      <x:c r="N1966" s="1" t="str">
        <x:f>IF(AND('Данные'!D1966&gt;='Дашборд'!$C$55,D1966&lt;'Дашборд'!$C$56,'Данные'!E1966&gt;='Дашборд'!$C$53,'Данные'!L1966&lt;&gt;"Да"),"Да","Нет")</x:f>
        <x:v>Нет</x:v>
      </x:c>
      <x:c r="O1966" s="1" t="str">
        <x:f>'Данные'!L1966</x:f>
        <x:v>Нет</x:v>
      </x:c>
    </x:row>
    <x:row r="1967">
      <x:c r="A1967" s="1" t="str">
        <x:f>'Данные'!A1967</x:f>
        <x:v>209915094</x:v>
      </x:c>
      <x:c r="B1967" s="1" t="str">
        <x:f>'Данные'!B1967</x:f>
        <x:v>svitshotonesize/темно-серый</x:v>
      </x:c>
      <x:c r="C1967" s="8" t="n">
        <x:f>'Данные'!G1967</x:f>
        <x:v>0</x:v>
      </x:c>
      <x:c r="D1967" s="15" t="n">
        <x:f>C1967/SUM($C$5:$C$2477)</x:f>
        <x:v>0</x:v>
      </x:c>
      <x:c r="E1967" s="15" t="n">
        <x:f>SUM($D$5:D1967)</x:f>
        <x:v>1.0000000000000036</x:v>
      </x:c>
      <x:c r="F1967" s="1" t="str">
        <x:f>IF(C1967&lt;=0,"C",IF(E1967-D1967&lt;'Дашборд'!$C$49,"A",IF(E1967-D1967&lt;'Дашборд'!$C$50,"B","C")))</x:f>
        <x:v>C</x:v>
      </x:c>
      <x:c r="G1967" s="8" t="n">
        <x:f>'Данные'!F1967</x:f>
        <x:v>0</x:v>
      </x:c>
      <x:c r="H1967" s="8" t="n">
        <x:f>SUM('Данные'!H1967:I1967)</x:f>
        <x:v>0</x:v>
      </x:c>
      <x:c r="I1967" s="16" t="str">
        <x:f>IF(H1967&gt;0,G1967/H1967,"n.a.")</x:f>
        <x:v>n.a.</x:v>
      </x:c>
      <x:c r="J1967" s="10" t="n">
        <x:f>IF('Данные'!E1967&gt;0,G1967/'Данные'!E1967,"n.a.")</x:f>
        <x:v>0</x:v>
      </x:c>
      <x:c r="K1967" s="1" t="str">
        <x:f>IF(G1967&gt;='Дашборд'!$C$51,"X","Z")</x:f>
        <x:v>Z</x:v>
      </x:c>
      <x:c r="L1967" s="1" t="str">
        <x:f>IF(H1967=0,IF(G1967&gt;0,"Нет остатка","Нет спроса"),IF(I1967&gt;='Дашборд'!$C$52,"Быстрый","Медленный"))</x:f>
        <x:v>Нет спроса</x:v>
      </x:c>
      <x:c r="M1967" s="1" t="str">
        <x:f>IF('Данные'!E1967&lt;'Дашборд'!$C$53,"Мало трафика",IF(J1967&lt;'Дашборд'!$C$9*'Дашборд'!$C$54,"Да","Нет"))</x:f>
        <x:v>Мало трафика</x:v>
      </x:c>
      <x:c r="N1967" s="1" t="str">
        <x:f>IF(AND('Данные'!D1967&gt;='Дашборд'!$C$55,D1967&lt;'Дашборд'!$C$56,'Данные'!E1967&gt;='Дашборд'!$C$53,'Данные'!L1967&lt;&gt;"Да"),"Да","Нет")</x:f>
        <x:v>Нет</x:v>
      </x:c>
      <x:c r="O1967" s="1" t="str">
        <x:f>'Данные'!L1967</x:f>
        <x:v>Нет</x:v>
      </x:c>
    </x:row>
    <x:row r="1968">
      <x:c r="A1968" s="1" t="str">
        <x:f>'Данные'!A1968</x:f>
        <x:v>209915096</x:v>
      </x:c>
      <x:c r="B1968" s="1" t="str">
        <x:f>'Данные'!B1968</x:f>
        <x:v>svitshotonesize/темно-синий</x:v>
      </x:c>
      <x:c r="C1968" s="8" t="n">
        <x:f>'Данные'!G1968</x:f>
        <x:v>0</x:v>
      </x:c>
      <x:c r="D1968" s="15" t="n">
        <x:f>C1968/SUM($C$5:$C$2477)</x:f>
        <x:v>0</x:v>
      </x:c>
      <x:c r="E1968" s="15" t="n">
        <x:f>SUM($D$5:D1968)</x:f>
        <x:v>1.0000000000000036</x:v>
      </x:c>
      <x:c r="F1968" s="1" t="str">
        <x:f>IF(C1968&lt;=0,"C",IF(E1968-D1968&lt;'Дашборд'!$C$49,"A",IF(E1968-D1968&lt;'Дашборд'!$C$50,"B","C")))</x:f>
        <x:v>C</x:v>
      </x:c>
      <x:c r="G1968" s="8" t="n">
        <x:f>'Данные'!F1968</x:f>
        <x:v>0</x:v>
      </x:c>
      <x:c r="H1968" s="8" t="n">
        <x:f>SUM('Данные'!H1968:I1968)</x:f>
        <x:v>0</x:v>
      </x:c>
      <x:c r="I1968" s="16" t="str">
        <x:f>IF(H1968&gt;0,G1968/H1968,"n.a.")</x:f>
        <x:v>n.a.</x:v>
      </x:c>
      <x:c r="J1968" s="10" t="n">
        <x:f>IF('Данные'!E1968&gt;0,G1968/'Данные'!E1968,"n.a.")</x:f>
        <x:v>0</x:v>
      </x:c>
      <x:c r="K1968" s="1" t="str">
        <x:f>IF(G1968&gt;='Дашборд'!$C$51,"X","Z")</x:f>
        <x:v>Z</x:v>
      </x:c>
      <x:c r="L1968" s="1" t="str">
        <x:f>IF(H1968=0,IF(G1968&gt;0,"Нет остатка","Нет спроса"),IF(I1968&gt;='Дашборд'!$C$52,"Быстрый","Медленный"))</x:f>
        <x:v>Нет спроса</x:v>
      </x:c>
      <x:c r="M1968" s="1" t="str">
        <x:f>IF('Данные'!E1968&lt;'Дашборд'!$C$53,"Мало трафика",IF(J1968&lt;'Дашборд'!$C$9*'Дашборд'!$C$54,"Да","Нет"))</x:f>
        <x:v>Мало трафика</x:v>
      </x:c>
      <x:c r="N1968" s="1" t="str">
        <x:f>IF(AND('Данные'!D1968&gt;='Дашборд'!$C$55,D1968&lt;'Дашборд'!$C$56,'Данные'!E1968&gt;='Дашборд'!$C$53,'Данные'!L1968&lt;&gt;"Да"),"Да","Нет")</x:f>
        <x:v>Нет</x:v>
      </x:c>
      <x:c r="O1968" s="1" t="str">
        <x:f>'Данные'!L1968</x:f>
        <x:v>Нет</x:v>
      </x:c>
    </x:row>
    <x:row r="1969">
      <x:c r="A1969" s="1" t="str">
        <x:f>'Данные'!A1969</x:f>
        <x:v>209915097</x:v>
      </x:c>
      <x:c r="B1969" s="1" t="str">
        <x:f>'Данные'!B1969</x:f>
        <x:v>svitshotonesize/коричневый</x:v>
      </x:c>
      <x:c r="C1969" s="8" t="n">
        <x:f>'Данные'!G1969</x:f>
        <x:v>0</x:v>
      </x:c>
      <x:c r="D1969" s="15" t="n">
        <x:f>C1969/SUM($C$5:$C$2477)</x:f>
        <x:v>0</x:v>
      </x:c>
      <x:c r="E1969" s="15" t="n">
        <x:f>SUM($D$5:D1969)</x:f>
        <x:v>1.0000000000000036</x:v>
      </x:c>
      <x:c r="F1969" s="1" t="str">
        <x:f>IF(C1969&lt;=0,"C",IF(E1969-D1969&lt;'Дашборд'!$C$49,"A",IF(E1969-D1969&lt;'Дашборд'!$C$50,"B","C")))</x:f>
        <x:v>C</x:v>
      </x:c>
      <x:c r="G1969" s="8" t="n">
        <x:f>'Данные'!F1969</x:f>
        <x:v>0</x:v>
      </x:c>
      <x:c r="H1969" s="8" t="n">
        <x:f>SUM('Данные'!H1969:I1969)</x:f>
        <x:v>0</x:v>
      </x:c>
      <x:c r="I1969" s="16" t="str">
        <x:f>IF(H1969&gt;0,G1969/H1969,"n.a.")</x:f>
        <x:v>n.a.</x:v>
      </x:c>
      <x:c r="J1969" s="10" t="n">
        <x:f>IF('Данные'!E1969&gt;0,G1969/'Данные'!E1969,"n.a.")</x:f>
        <x:v>0</x:v>
      </x:c>
      <x:c r="K1969" s="1" t="str">
        <x:f>IF(G1969&gt;='Дашборд'!$C$51,"X","Z")</x:f>
        <x:v>Z</x:v>
      </x:c>
      <x:c r="L1969" s="1" t="str">
        <x:f>IF(H1969=0,IF(G1969&gt;0,"Нет остатка","Нет спроса"),IF(I1969&gt;='Дашборд'!$C$52,"Быстрый","Медленный"))</x:f>
        <x:v>Нет спроса</x:v>
      </x:c>
      <x:c r="M1969" s="1" t="str">
        <x:f>IF('Данные'!E1969&lt;'Дашборд'!$C$53,"Мало трафика",IF(J1969&lt;'Дашборд'!$C$9*'Дашборд'!$C$54,"Да","Нет"))</x:f>
        <x:v>Мало трафика</x:v>
      </x:c>
      <x:c r="N1969" s="1" t="str">
        <x:f>IF(AND('Данные'!D1969&gt;='Дашборд'!$C$55,D1969&lt;'Дашборд'!$C$56,'Данные'!E1969&gt;='Дашборд'!$C$53,'Данные'!L1969&lt;&gt;"Да"),"Да","Нет")</x:f>
        <x:v>Нет</x:v>
      </x:c>
      <x:c r="O1969" s="1" t="str">
        <x:f>'Данные'!L1969</x:f>
        <x:v>Нет</x:v>
      </x:c>
    </x:row>
    <x:row r="1970">
      <x:c r="A1970" s="1" t="str">
        <x:f>'Данные'!A1970</x:f>
        <x:v>209915676</x:v>
      </x:c>
      <x:c r="B1970" s="1" t="str">
        <x:f>'Данные'!B1970</x:f>
        <x:v>shorty/шалфей</x:v>
      </x:c>
      <x:c r="C1970" s="8" t="n">
        <x:f>'Данные'!G1970</x:f>
        <x:v>0</x:v>
      </x:c>
      <x:c r="D1970" s="15" t="n">
        <x:f>C1970/SUM($C$5:$C$2477)</x:f>
        <x:v>0</x:v>
      </x:c>
      <x:c r="E1970" s="15" t="n">
        <x:f>SUM($D$5:D1970)</x:f>
        <x:v>1.0000000000000036</x:v>
      </x:c>
      <x:c r="F1970" s="1" t="str">
        <x:f>IF(C1970&lt;=0,"C",IF(E1970-D1970&lt;'Дашборд'!$C$49,"A",IF(E1970-D1970&lt;'Дашборд'!$C$50,"B","C")))</x:f>
        <x:v>C</x:v>
      </x:c>
      <x:c r="G1970" s="8" t="n">
        <x:f>'Данные'!F1970</x:f>
        <x:v>0</x:v>
      </x:c>
      <x:c r="H1970" s="8" t="n">
        <x:f>SUM('Данные'!H1970:I1970)</x:f>
        <x:v>150</x:v>
      </x:c>
      <x:c r="I1970" s="16" t="n">
        <x:f>IF(H1970&gt;0,G1970/H1970,"n.a.")</x:f>
        <x:v>0</x:v>
      </x:c>
      <x:c r="J1970" s="10" t="n">
        <x:f>IF('Данные'!E1970&gt;0,G1970/'Данные'!E1970,"n.a.")</x:f>
        <x:v>0</x:v>
      </x:c>
      <x:c r="K1970" s="1" t="str">
        <x:f>IF(G1970&gt;='Дашборд'!$C$51,"X","Z")</x:f>
        <x:v>Z</x:v>
      </x:c>
      <x:c r="L1970" s="1" t="str">
        <x:f>IF(H1970=0,IF(G1970&gt;0,"Нет остатка","Нет спроса"),IF(I1970&gt;='Дашборд'!$C$52,"Быстрый","Медленный"))</x:f>
        <x:v>Медленный</x:v>
      </x:c>
      <x:c r="M1970" s="1" t="str">
        <x:f>IF('Данные'!E1970&lt;'Дашборд'!$C$53,"Мало трафика",IF(J1970&lt;'Дашборд'!$C$9*'Дашборд'!$C$54,"Да","Нет"))</x:f>
        <x:v>Мало трафика</x:v>
      </x:c>
      <x:c r="N1970" s="1" t="str">
        <x:f>IF(AND('Данные'!D1970&gt;='Дашборд'!$C$55,D1970&lt;'Дашборд'!$C$56,'Данные'!E1970&gt;='Дашборд'!$C$53,'Данные'!L1970&lt;&gt;"Да"),"Да","Нет")</x:f>
        <x:v>Нет</x:v>
      </x:c>
      <x:c r="O1970" s="1" t="str">
        <x:f>'Данные'!L1970</x:f>
        <x:v>Нет</x:v>
      </x:c>
    </x:row>
    <x:row r="1971">
      <x:c r="A1971" s="1" t="str">
        <x:f>'Данные'!A1971</x:f>
        <x:v>209915683</x:v>
      </x:c>
      <x:c r="B1971" s="1" t="str">
        <x:f>'Данные'!B1971</x:f>
        <x:v>shorty/зеленый</x:v>
      </x:c>
      <x:c r="C1971" s="8" t="n">
        <x:f>'Данные'!G1971</x:f>
        <x:v>0</x:v>
      </x:c>
      <x:c r="D1971" s="15" t="n">
        <x:f>C1971/SUM($C$5:$C$2477)</x:f>
        <x:v>0</x:v>
      </x:c>
      <x:c r="E1971" s="15" t="n">
        <x:f>SUM($D$5:D1971)</x:f>
        <x:v>1.0000000000000036</x:v>
      </x:c>
      <x:c r="F1971" s="1" t="str">
        <x:f>IF(C1971&lt;=0,"C",IF(E1971-D1971&lt;'Дашборд'!$C$49,"A",IF(E1971-D1971&lt;'Дашборд'!$C$50,"B","C")))</x:f>
        <x:v>C</x:v>
      </x:c>
      <x:c r="G1971" s="8" t="n">
        <x:f>'Данные'!F1971</x:f>
        <x:v>1</x:v>
      </x:c>
      <x:c r="H1971" s="8" t="n">
        <x:f>SUM('Данные'!H1971:I1971)</x:f>
        <x:v>6</x:v>
      </x:c>
      <x:c r="I1971" s="16" t="n">
        <x:f>IF(H1971&gt;0,G1971/H1971,"n.a.")</x:f>
        <x:v>0.16666666666666666</x:v>
      </x:c>
      <x:c r="J1971" s="10" t="n">
        <x:f>IF('Данные'!E1971&gt;0,G1971/'Данные'!E1971,"n.a.")</x:f>
        <x:v>0.0006277463904582549</x:v>
      </x:c>
      <x:c r="K1971" s="1" t="str">
        <x:f>IF(G1971&gt;='Дашборд'!$C$51,"X","Z")</x:f>
        <x:v>Z</x:v>
      </x:c>
      <x:c r="L1971" s="1" t="str">
        <x:f>IF(H1971=0,IF(G1971&gt;0,"Нет остатка","Нет спроса"),IF(I1971&gt;='Дашборд'!$C$52,"Быстрый","Медленный"))</x:f>
        <x:v>Медленный</x:v>
      </x:c>
      <x:c r="M1971" s="1" t="str">
        <x:f>IF('Данные'!E1971&lt;'Дашборд'!$C$53,"Мало трафика",IF(J1971&lt;'Дашборд'!$C$9*'Дашборд'!$C$54,"Да","Нет"))</x:f>
        <x:v>Да</x:v>
      </x:c>
      <x:c r="N1971" s="1" t="str">
        <x:f>IF(AND('Данные'!D1971&gt;='Дашборд'!$C$55,D1971&lt;'Дашборд'!$C$56,'Данные'!E1971&gt;='Дашборд'!$C$53,'Данные'!L1971&lt;&gt;"Да"),"Да","Нет")</x:f>
        <x:v>Нет</x:v>
      </x:c>
      <x:c r="O1971" s="1" t="str">
        <x:f>'Данные'!L1971</x:f>
        <x:v>Нет</x:v>
      </x:c>
    </x:row>
    <x:row r="1972">
      <x:c r="A1972" s="1" t="str">
        <x:f>'Данные'!A1972</x:f>
        <x:v>209915686</x:v>
      </x:c>
      <x:c r="B1972" s="1" t="str">
        <x:f>'Данные'!B1972</x:f>
        <x:v>shorty/мятапыльная</x:v>
      </x:c>
      <x:c r="C1972" s="8" t="n">
        <x:f>'Данные'!G1972</x:f>
        <x:v>0</x:v>
      </x:c>
      <x:c r="D1972" s="15" t="n">
        <x:f>C1972/SUM($C$5:$C$2477)</x:f>
        <x:v>0</x:v>
      </x:c>
      <x:c r="E1972" s="15" t="n">
        <x:f>SUM($D$5:D1972)</x:f>
        <x:v>1.0000000000000036</x:v>
      </x:c>
      <x:c r="F1972" s="1" t="str">
        <x:f>IF(C1972&lt;=0,"C",IF(E1972-D1972&lt;'Дашборд'!$C$49,"A",IF(E1972-D1972&lt;'Дашборд'!$C$50,"B","C")))</x:f>
        <x:v>C</x:v>
      </x:c>
      <x:c r="G1972" s="8" t="n">
        <x:f>'Данные'!F1972</x:f>
        <x:v>0</x:v>
      </x:c>
      <x:c r="H1972" s="8" t="n">
        <x:f>SUM('Данные'!H1972:I1972)</x:f>
        <x:v>0</x:v>
      </x:c>
      <x:c r="I1972" s="16" t="str">
        <x:f>IF(H1972&gt;0,G1972/H1972,"n.a.")</x:f>
        <x:v>n.a.</x:v>
      </x:c>
      <x:c r="J1972" s="10" t="n">
        <x:f>IF('Данные'!E1972&gt;0,G1972/'Данные'!E1972,"n.a.")</x:f>
        <x:v>0</x:v>
      </x:c>
      <x:c r="K1972" s="1" t="str">
        <x:f>IF(G1972&gt;='Дашборд'!$C$51,"X","Z")</x:f>
        <x:v>Z</x:v>
      </x:c>
      <x:c r="L1972" s="1" t="str">
        <x:f>IF(H1972=0,IF(G1972&gt;0,"Нет остатка","Нет спроса"),IF(I1972&gt;='Дашборд'!$C$52,"Быстрый","Медленный"))</x:f>
        <x:v>Нет спроса</x:v>
      </x:c>
      <x:c r="M1972" s="1" t="str">
        <x:f>IF('Данные'!E1972&lt;'Дашборд'!$C$53,"Мало трафика",IF(J1972&lt;'Дашборд'!$C$9*'Дашборд'!$C$54,"Да","Нет"))</x:f>
        <x:v>Мало трафика</x:v>
      </x:c>
      <x:c r="N1972" s="1" t="str">
        <x:f>IF(AND('Данные'!D1972&gt;='Дашборд'!$C$55,D1972&lt;'Дашборд'!$C$56,'Данные'!E1972&gt;='Дашборд'!$C$53,'Данные'!L1972&lt;&gt;"Да"),"Да","Нет")</x:f>
        <x:v>Нет</x:v>
      </x:c>
      <x:c r="O1972" s="1" t="str">
        <x:f>'Данные'!L1972</x:f>
        <x:v>Нет</x:v>
      </x:c>
    </x:row>
    <x:row r="1973">
      <x:c r="A1973" s="1" t="str">
        <x:f>'Данные'!A1973</x:f>
        <x:v>209915709</x:v>
      </x:c>
      <x:c r="B1973" s="1" t="str">
        <x:f>'Данные'!B1973</x:f>
        <x:v>shorty/красный</x:v>
      </x:c>
      <x:c r="C1973" s="8" t="n">
        <x:f>'Данные'!G1973</x:f>
        <x:v>0</x:v>
      </x:c>
      <x:c r="D1973" s="15" t="n">
        <x:f>C1973/SUM($C$5:$C$2477)</x:f>
        <x:v>0</x:v>
      </x:c>
      <x:c r="E1973" s="15" t="n">
        <x:f>SUM($D$5:D1973)</x:f>
        <x:v>1.0000000000000036</x:v>
      </x:c>
      <x:c r="F1973" s="1" t="str">
        <x:f>IF(C1973&lt;=0,"C",IF(E1973-D1973&lt;'Дашборд'!$C$49,"A",IF(E1973-D1973&lt;'Дашборд'!$C$50,"B","C")))</x:f>
        <x:v>C</x:v>
      </x:c>
      <x:c r="G1973" s="8" t="n">
        <x:f>'Данные'!F1973</x:f>
        <x:v>0</x:v>
      </x:c>
      <x:c r="H1973" s="8" t="n">
        <x:f>SUM('Данные'!H1973:I1973)</x:f>
        <x:v>0</x:v>
      </x:c>
      <x:c r="I1973" s="16" t="str">
        <x:f>IF(H1973&gt;0,G1973/H1973,"n.a.")</x:f>
        <x:v>n.a.</x:v>
      </x:c>
      <x:c r="J1973" s="10" t="n">
        <x:f>IF('Данные'!E1973&gt;0,G1973/'Данные'!E1973,"n.a.")</x:f>
        <x:v>0</x:v>
      </x:c>
      <x:c r="K1973" s="1" t="str">
        <x:f>IF(G1973&gt;='Дашборд'!$C$51,"X","Z")</x:f>
        <x:v>Z</x:v>
      </x:c>
      <x:c r="L1973" s="1" t="str">
        <x:f>IF(H1973=0,IF(G1973&gt;0,"Нет остатка","Нет спроса"),IF(I1973&gt;='Дашборд'!$C$52,"Быстрый","Медленный"))</x:f>
        <x:v>Нет спроса</x:v>
      </x:c>
      <x:c r="M1973" s="1" t="str">
        <x:f>IF('Данные'!E1973&lt;'Дашборд'!$C$53,"Мало трафика",IF(J1973&lt;'Дашборд'!$C$9*'Дашборд'!$C$54,"Да","Нет"))</x:f>
        <x:v>Мало трафика</x:v>
      </x:c>
      <x:c r="N1973" s="1" t="str">
        <x:f>IF(AND('Данные'!D1973&gt;='Дашборд'!$C$55,D1973&lt;'Дашборд'!$C$56,'Данные'!E1973&gt;='Дашборд'!$C$53,'Данные'!L1973&lt;&gt;"Да"),"Да","Нет")</x:f>
        <x:v>Нет</x:v>
      </x:c>
      <x:c r="O1973" s="1" t="str">
        <x:f>'Данные'!L1973</x:f>
        <x:v>Нет</x:v>
      </x:c>
    </x:row>
    <x:row r="1974">
      <x:c r="A1974" s="1" t="str">
        <x:f>'Данные'!A1974</x:f>
        <x:v>209915720</x:v>
      </x:c>
      <x:c r="B1974" s="1" t="str">
        <x:f>'Данные'!B1974</x:f>
        <x:v>shorty/хаки</x:v>
      </x:c>
      <x:c r="C1974" s="8" t="n">
        <x:f>'Данные'!G1974</x:f>
        <x:v>0</x:v>
      </x:c>
      <x:c r="D1974" s="15" t="n">
        <x:f>C1974/SUM($C$5:$C$2477)</x:f>
        <x:v>0</x:v>
      </x:c>
      <x:c r="E1974" s="15" t="n">
        <x:f>SUM($D$5:D1974)</x:f>
        <x:v>1.0000000000000036</x:v>
      </x:c>
      <x:c r="F1974" s="1" t="str">
        <x:f>IF(C1974&lt;=0,"C",IF(E1974-D1974&lt;'Дашборд'!$C$49,"A",IF(E1974-D1974&lt;'Дашборд'!$C$50,"B","C")))</x:f>
        <x:v>C</x:v>
      </x:c>
      <x:c r="G1974" s="8" t="n">
        <x:f>'Данные'!F1974</x:f>
        <x:v>0</x:v>
      </x:c>
      <x:c r="H1974" s="8" t="n">
        <x:f>SUM('Данные'!H1974:I1974)</x:f>
        <x:v>0</x:v>
      </x:c>
      <x:c r="I1974" s="16" t="str">
        <x:f>IF(H1974&gt;0,G1974/H1974,"n.a.")</x:f>
        <x:v>n.a.</x:v>
      </x:c>
      <x:c r="J1974" s="10" t="n">
        <x:f>IF('Данные'!E1974&gt;0,G1974/'Данные'!E1974,"n.a.")</x:f>
        <x:v>0</x:v>
      </x:c>
      <x:c r="K1974" s="1" t="str">
        <x:f>IF(G1974&gt;='Дашборд'!$C$51,"X","Z")</x:f>
        <x:v>Z</x:v>
      </x:c>
      <x:c r="L1974" s="1" t="str">
        <x:f>IF(H1974=0,IF(G1974&gt;0,"Нет остатка","Нет спроса"),IF(I1974&gt;='Дашборд'!$C$52,"Быстрый","Медленный"))</x:f>
        <x:v>Нет спроса</x:v>
      </x:c>
      <x:c r="M1974" s="1" t="str">
        <x:f>IF('Данные'!E1974&lt;'Дашборд'!$C$53,"Мало трафика",IF(J1974&lt;'Дашборд'!$C$9*'Дашборд'!$C$54,"Да","Нет"))</x:f>
        <x:v>Мало трафика</x:v>
      </x:c>
      <x:c r="N1974" s="1" t="str">
        <x:f>IF(AND('Данные'!D1974&gt;='Дашборд'!$C$55,D1974&lt;'Дашборд'!$C$56,'Данные'!E1974&gt;='Дашборд'!$C$53,'Данные'!L1974&lt;&gt;"Да"),"Да","Нет")</x:f>
        <x:v>Нет</x:v>
      </x:c>
      <x:c r="O1974" s="1" t="str">
        <x:f>'Данные'!L1974</x:f>
        <x:v>Нет</x:v>
      </x:c>
    </x:row>
    <x:row r="1975">
      <x:c r="A1975" s="1" t="str">
        <x:f>'Данные'!A1975</x:f>
        <x:v>209915742</x:v>
      </x:c>
      <x:c r="B1975" s="1" t="str">
        <x:f>'Данные'!B1975</x:f>
        <x:v>shorty/салатовый</x:v>
      </x:c>
      <x:c r="C1975" s="8" t="n">
        <x:f>'Данные'!G1975</x:f>
        <x:v>0</x:v>
      </x:c>
      <x:c r="D1975" s="15" t="n">
        <x:f>C1975/SUM($C$5:$C$2477)</x:f>
        <x:v>0</x:v>
      </x:c>
      <x:c r="E1975" s="15" t="n">
        <x:f>SUM($D$5:D1975)</x:f>
        <x:v>1.0000000000000036</x:v>
      </x:c>
      <x:c r="F1975" s="1" t="str">
        <x:f>IF(C1975&lt;=0,"C",IF(E1975-D1975&lt;'Дашборд'!$C$49,"A",IF(E1975-D1975&lt;'Дашборд'!$C$50,"B","C")))</x:f>
        <x:v>C</x:v>
      </x:c>
      <x:c r="G1975" s="8" t="n">
        <x:f>'Данные'!F1975</x:f>
        <x:v>2</x:v>
      </x:c>
      <x:c r="H1975" s="8" t="n">
        <x:f>SUM('Данные'!H1975:I1975)</x:f>
        <x:v>3</x:v>
      </x:c>
      <x:c r="I1975" s="16" t="n">
        <x:f>IF(H1975&gt;0,G1975/H1975,"n.a.")</x:f>
        <x:v>0.6666666666666666</x:v>
      </x:c>
      <x:c r="J1975" s="10" t="n">
        <x:f>IF('Данные'!E1975&gt;0,G1975/'Данные'!E1975,"n.a.")</x:f>
        <x:v>0.0011785503830288745</x:v>
      </x:c>
      <x:c r="K1975" s="1" t="str">
        <x:f>IF(G1975&gt;='Дашборд'!$C$51,"X","Z")</x:f>
        <x:v>Z</x:v>
      </x:c>
      <x:c r="L1975" s="1" t="str">
        <x:f>IF(H1975=0,IF(G1975&gt;0,"Нет остатка","Нет спроса"),IF(I1975&gt;='Дашборд'!$C$52,"Быстрый","Медленный"))</x:f>
        <x:v>Медленный</x:v>
      </x:c>
      <x:c r="M1975" s="1" t="str">
        <x:f>IF('Данные'!E1975&lt;'Дашборд'!$C$53,"Мало трафика",IF(J1975&lt;'Дашборд'!$C$9*'Дашборд'!$C$54,"Да","Нет"))</x:f>
        <x:v>Да</x:v>
      </x:c>
      <x:c r="N1975" s="1" t="str">
        <x:f>IF(AND('Данные'!D1975&gt;='Дашборд'!$C$55,D1975&lt;'Дашборд'!$C$56,'Данные'!E1975&gt;='Дашборд'!$C$53,'Данные'!L1975&lt;&gt;"Да"),"Да","Нет")</x:f>
        <x:v>Нет</x:v>
      </x:c>
      <x:c r="O1975" s="1" t="str">
        <x:f>'Данные'!L1975</x:f>
        <x:v>Нет</x:v>
      </x:c>
    </x:row>
    <x:row r="1976">
      <x:c r="A1976" s="1" t="str">
        <x:f>'Данные'!A1976</x:f>
        <x:v>209915744</x:v>
      </x:c>
      <x:c r="B1976" s="1" t="str">
        <x:f>'Данные'!B1976</x:f>
        <x:v>shorty/эвкалипт</x:v>
      </x:c>
      <x:c r="C1976" s="8" t="n">
        <x:f>'Данные'!G1976</x:f>
        <x:v>0</x:v>
      </x:c>
      <x:c r="D1976" s="15" t="n">
        <x:f>C1976/SUM($C$5:$C$2477)</x:f>
        <x:v>0</x:v>
      </x:c>
      <x:c r="E1976" s="15" t="n">
        <x:f>SUM($D$5:D1976)</x:f>
        <x:v>1.0000000000000036</x:v>
      </x:c>
      <x:c r="F1976" s="1" t="str">
        <x:f>IF(C1976&lt;=0,"C",IF(E1976-D1976&lt;'Дашборд'!$C$49,"A",IF(E1976-D1976&lt;'Дашборд'!$C$50,"B","C")))</x:f>
        <x:v>C</x:v>
      </x:c>
      <x:c r="G1976" s="8" t="n">
        <x:f>'Данные'!F1976</x:f>
        <x:v>2</x:v>
      </x:c>
      <x:c r="H1976" s="8" t="n">
        <x:f>SUM('Данные'!H1976:I1976)</x:f>
        <x:v>60</x:v>
      </x:c>
      <x:c r="I1976" s="16" t="n">
        <x:f>IF(H1976&gt;0,G1976/H1976,"n.a.")</x:f>
        <x:v>0.03333333333333333</x:v>
      </x:c>
      <x:c r="J1976" s="10" t="n">
        <x:f>IF('Данные'!E1976&gt;0,G1976/'Данные'!E1976,"n.a.")</x:f>
        <x:v>0.017543859649122806</x:v>
      </x:c>
      <x:c r="K1976" s="1" t="str">
        <x:f>IF(G1976&gt;='Дашборд'!$C$51,"X","Z")</x:f>
        <x:v>Z</x:v>
      </x:c>
      <x:c r="L1976" s="1" t="str">
        <x:f>IF(H1976=0,IF(G1976&gt;0,"Нет остатка","Нет спроса"),IF(I1976&gt;='Дашборд'!$C$52,"Быстрый","Медленный"))</x:f>
        <x:v>Медленный</x:v>
      </x:c>
      <x:c r="M1976" s="1" t="str">
        <x:f>IF('Данные'!E1976&lt;'Дашборд'!$C$53,"Мало трафика",IF(J1976&lt;'Дашборд'!$C$9*'Дашборд'!$C$54,"Да","Нет"))</x:f>
        <x:v>Мало трафика</x:v>
      </x:c>
      <x:c r="N1976" s="1" t="str">
        <x:f>IF(AND('Данные'!D1976&gt;='Дашборд'!$C$55,D1976&lt;'Дашборд'!$C$56,'Данные'!E1976&gt;='Дашборд'!$C$53,'Данные'!L1976&lt;&gt;"Да"),"Да","Нет")</x:f>
        <x:v>Нет</x:v>
      </x:c>
      <x:c r="O1976" s="1" t="str">
        <x:f>'Данные'!L1976</x:f>
        <x:v>Нет</x:v>
      </x:c>
    </x:row>
    <x:row r="1977">
      <x:c r="A1977" s="1" t="str">
        <x:f>'Данные'!A1977</x:f>
        <x:v>209919693</x:v>
      </x:c>
      <x:c r="B1977" s="1" t="str">
        <x:f>'Данные'!B1977</x:f>
        <x:v>svitshotonesize/черный</x:v>
      </x:c>
      <x:c r="C1977" s="8" t="n">
        <x:f>'Данные'!G1977</x:f>
        <x:v>0</x:v>
      </x:c>
      <x:c r="D1977" s="15" t="n">
        <x:f>C1977/SUM($C$5:$C$2477)</x:f>
        <x:v>0</x:v>
      </x:c>
      <x:c r="E1977" s="15" t="n">
        <x:f>SUM($D$5:D1977)</x:f>
        <x:v>1.0000000000000036</x:v>
      </x:c>
      <x:c r="F1977" s="1" t="str">
        <x:f>IF(C1977&lt;=0,"C",IF(E1977-D1977&lt;'Дашборд'!$C$49,"A",IF(E1977-D1977&lt;'Дашборд'!$C$50,"B","C")))</x:f>
        <x:v>C</x:v>
      </x:c>
      <x:c r="G1977" s="8" t="n">
        <x:f>'Данные'!F1977</x:f>
        <x:v>0</x:v>
      </x:c>
      <x:c r="H1977" s="8" t="n">
        <x:f>SUM('Данные'!H1977:I1977)</x:f>
        <x:v>0</x:v>
      </x:c>
      <x:c r="I1977" s="16" t="str">
        <x:f>IF(H1977&gt;0,G1977/H1977,"n.a.")</x:f>
        <x:v>n.a.</x:v>
      </x:c>
      <x:c r="J1977" s="10" t="n">
        <x:f>IF('Данные'!E1977&gt;0,G1977/'Данные'!E1977,"n.a.")</x:f>
        <x:v>0</x:v>
      </x:c>
      <x:c r="K1977" s="1" t="str">
        <x:f>IF(G1977&gt;='Дашборд'!$C$51,"X","Z")</x:f>
        <x:v>Z</x:v>
      </x:c>
      <x:c r="L1977" s="1" t="str">
        <x:f>IF(H1977=0,IF(G1977&gt;0,"Нет остатка","Нет спроса"),IF(I1977&gt;='Дашборд'!$C$52,"Быстрый","Медленный"))</x:f>
        <x:v>Нет спроса</x:v>
      </x:c>
      <x:c r="M1977" s="1" t="str">
        <x:f>IF('Данные'!E1977&lt;'Дашборд'!$C$53,"Мало трафика",IF(J1977&lt;'Дашборд'!$C$9*'Дашборд'!$C$54,"Да","Нет"))</x:f>
        <x:v>Мало трафика</x:v>
      </x:c>
      <x:c r="N1977" s="1" t="str">
        <x:f>IF(AND('Данные'!D1977&gt;='Дашборд'!$C$55,D1977&lt;'Дашборд'!$C$56,'Данные'!E1977&gt;='Дашборд'!$C$53,'Данные'!L1977&lt;&gt;"Да"),"Да","Нет")</x:f>
        <x:v>Нет</x:v>
      </x:c>
      <x:c r="O1977" s="1" t="str">
        <x:f>'Данные'!L1977</x:f>
        <x:v>Нет</x:v>
      </x:c>
    </x:row>
    <x:row r="1978">
      <x:c r="A1978" s="1" t="str">
        <x:f>'Данные'!A1978</x:f>
        <x:v>210005527</x:v>
      </x:c>
      <x:c r="B1978" s="1" t="str">
        <x:f>'Данные'!B1978</x:f>
        <x:v>hudiman/черный-средне-серый</x:v>
      </x:c>
      <x:c r="C1978" s="8" t="n">
        <x:f>'Данные'!G1978</x:f>
        <x:v>0</x:v>
      </x:c>
      <x:c r="D1978" s="15" t="n">
        <x:f>C1978/SUM($C$5:$C$2477)</x:f>
        <x:v>0</x:v>
      </x:c>
      <x:c r="E1978" s="15" t="n">
        <x:f>SUM($D$5:D1978)</x:f>
        <x:v>1.0000000000000036</x:v>
      </x:c>
      <x:c r="F1978" s="1" t="str">
        <x:f>IF(C1978&lt;=0,"C",IF(E1978-D1978&lt;'Дашборд'!$C$49,"A",IF(E1978-D1978&lt;'Дашборд'!$C$50,"B","C")))</x:f>
        <x:v>C</x:v>
      </x:c>
      <x:c r="G1978" s="8" t="n">
        <x:f>'Данные'!F1978</x:f>
        <x:v>0</x:v>
      </x:c>
      <x:c r="H1978" s="8" t="n">
        <x:f>SUM('Данные'!H1978:I1978)</x:f>
        <x:v>0</x:v>
      </x:c>
      <x:c r="I1978" s="16" t="str">
        <x:f>IF(H1978&gt;0,G1978/H1978,"n.a.")</x:f>
        <x:v>n.a.</x:v>
      </x:c>
      <x:c r="J1978" s="10" t="n">
        <x:f>IF('Данные'!E1978&gt;0,G1978/'Данные'!E1978,"n.a.")</x:f>
        <x:v>0</x:v>
      </x:c>
      <x:c r="K1978" s="1" t="str">
        <x:f>IF(G1978&gt;='Дашборд'!$C$51,"X","Z")</x:f>
        <x:v>Z</x:v>
      </x:c>
      <x:c r="L1978" s="1" t="str">
        <x:f>IF(H1978=0,IF(G1978&gt;0,"Нет остатка","Нет спроса"),IF(I1978&gt;='Дашборд'!$C$52,"Быстрый","Медленный"))</x:f>
        <x:v>Нет спроса</x:v>
      </x:c>
      <x:c r="M1978" s="1" t="str">
        <x:f>IF('Данные'!E1978&lt;'Дашборд'!$C$53,"Мало трафика",IF(J1978&lt;'Дашборд'!$C$9*'Дашборд'!$C$54,"Да","Нет"))</x:f>
        <x:v>Мало трафика</x:v>
      </x:c>
      <x:c r="N1978" s="1" t="str">
        <x:f>IF(AND('Данные'!D1978&gt;='Дашборд'!$C$55,D1978&lt;'Дашборд'!$C$56,'Данные'!E1978&gt;='Дашборд'!$C$53,'Данные'!L1978&lt;&gt;"Да"),"Да","Нет")</x:f>
        <x:v>Нет</x:v>
      </x:c>
      <x:c r="O1978" s="1" t="str">
        <x:f>'Данные'!L1978</x:f>
        <x:v>Нет</x:v>
      </x:c>
    </x:row>
    <x:row r="1979">
      <x:c r="A1979" s="1" t="str">
        <x:f>'Данные'!A1979</x:f>
        <x:v>210248308</x:v>
      </x:c>
      <x:c r="B1979" s="1" t="str">
        <x:f>'Данные'!B1979</x:f>
        <x:v>kulirkamanprint/B_YN-48/черный</x:v>
      </x:c>
      <x:c r="C1979" s="8" t="n">
        <x:f>'Данные'!G1979</x:f>
        <x:v>0</x:v>
      </x:c>
      <x:c r="D1979" s="15" t="n">
        <x:f>C1979/SUM($C$5:$C$2477)</x:f>
        <x:v>0</x:v>
      </x:c>
      <x:c r="E1979" s="15" t="n">
        <x:f>SUM($D$5:D1979)</x:f>
        <x:v>1.0000000000000036</x:v>
      </x:c>
      <x:c r="F1979" s="1" t="str">
        <x:f>IF(C1979&lt;=0,"C",IF(E1979-D1979&lt;'Дашборд'!$C$49,"A",IF(E1979-D1979&lt;'Дашборд'!$C$50,"B","C")))</x:f>
        <x:v>C</x:v>
      </x:c>
      <x:c r="G1979" s="8" t="n">
        <x:f>'Данные'!F1979</x:f>
        <x:v>0</x:v>
      </x:c>
      <x:c r="H1979" s="8" t="n">
        <x:f>SUM('Данные'!H1979:I1979)</x:f>
        <x:v>0</x:v>
      </x:c>
      <x:c r="I1979" s="16" t="str">
        <x:f>IF(H1979&gt;0,G1979/H1979,"n.a.")</x:f>
        <x:v>n.a.</x:v>
      </x:c>
      <x:c r="J1979" s="10" t="n">
        <x:f>IF('Данные'!E1979&gt;0,G1979/'Данные'!E1979,"n.a.")</x:f>
        <x:v>0</x:v>
      </x:c>
      <x:c r="K1979" s="1" t="str">
        <x:f>IF(G1979&gt;='Дашборд'!$C$51,"X","Z")</x:f>
        <x:v>Z</x:v>
      </x:c>
      <x:c r="L1979" s="1" t="str">
        <x:f>IF(H1979=0,IF(G1979&gt;0,"Нет остатка","Нет спроса"),IF(I1979&gt;='Дашборд'!$C$52,"Быстрый","Медленный"))</x:f>
        <x:v>Нет спроса</x:v>
      </x:c>
      <x:c r="M1979" s="1" t="str">
        <x:f>IF('Данные'!E1979&lt;'Дашборд'!$C$53,"Мало трафика",IF(J1979&lt;'Дашборд'!$C$9*'Дашборд'!$C$54,"Да","Нет"))</x:f>
        <x:v>Мало трафика</x:v>
      </x:c>
      <x:c r="N1979" s="1" t="str">
        <x:f>IF(AND('Данные'!D1979&gt;='Дашборд'!$C$55,D1979&lt;'Дашборд'!$C$56,'Данные'!E1979&gt;='Дашборд'!$C$53,'Данные'!L1979&lt;&gt;"Да"),"Да","Нет")</x:f>
        <x:v>Нет</x:v>
      </x:c>
      <x:c r="O1979" s="1" t="str">
        <x:f>'Данные'!L1979</x:f>
        <x:v>Нет</x:v>
      </x:c>
    </x:row>
    <x:row r="1980">
      <x:c r="A1980" s="1" t="str">
        <x:f>'Данные'!A1980</x:f>
        <x:v>210248328</x:v>
      </x:c>
      <x:c r="B1980" s="1" t="str">
        <x:f>'Данные'!B1980</x:f>
        <x:v>kulirkamanprint/MovesY2K-71/черный</x:v>
      </x:c>
      <x:c r="C1980" s="8" t="n">
        <x:f>'Данные'!G1980</x:f>
        <x:v>0</x:v>
      </x:c>
      <x:c r="D1980" s="15" t="n">
        <x:f>C1980/SUM($C$5:$C$2477)</x:f>
        <x:v>0</x:v>
      </x:c>
      <x:c r="E1980" s="15" t="n">
        <x:f>SUM($D$5:D1980)</x:f>
        <x:v>1.0000000000000036</x:v>
      </x:c>
      <x:c r="F1980" s="1" t="str">
        <x:f>IF(C1980&lt;=0,"C",IF(E1980-D1980&lt;'Дашборд'!$C$49,"A",IF(E1980-D1980&lt;'Дашборд'!$C$50,"B","C")))</x:f>
        <x:v>C</x:v>
      </x:c>
      <x:c r="G1980" s="8" t="n">
        <x:f>'Данные'!F1980</x:f>
        <x:v>0</x:v>
      </x:c>
      <x:c r="H1980" s="8" t="n">
        <x:f>SUM('Данные'!H1980:I1980)</x:f>
        <x:v>0</x:v>
      </x:c>
      <x:c r="I1980" s="16" t="str">
        <x:f>IF(H1980&gt;0,G1980/H1980,"n.a.")</x:f>
        <x:v>n.a.</x:v>
      </x:c>
      <x:c r="J1980" s="10" t="n">
        <x:f>IF('Данные'!E1980&gt;0,G1980/'Данные'!E1980,"n.a.")</x:f>
        <x:v>0</x:v>
      </x:c>
      <x:c r="K1980" s="1" t="str">
        <x:f>IF(G1980&gt;='Дашборд'!$C$51,"X","Z")</x:f>
        <x:v>Z</x:v>
      </x:c>
      <x:c r="L1980" s="1" t="str">
        <x:f>IF(H1980=0,IF(G1980&gt;0,"Нет остатка","Нет спроса"),IF(I1980&gt;='Дашборд'!$C$52,"Быстрый","Медленный"))</x:f>
        <x:v>Нет спроса</x:v>
      </x:c>
      <x:c r="M1980" s="1" t="str">
        <x:f>IF('Данные'!E1980&lt;'Дашборд'!$C$53,"Мало трафика",IF(J1980&lt;'Дашборд'!$C$9*'Дашборд'!$C$54,"Да","Нет"))</x:f>
        <x:v>Мало трафика</x:v>
      </x:c>
      <x:c r="N1980" s="1" t="str">
        <x:f>IF(AND('Данные'!D1980&gt;='Дашборд'!$C$55,D1980&lt;'Дашборд'!$C$56,'Данные'!E1980&gt;='Дашборд'!$C$53,'Данные'!L1980&lt;&gt;"Да"),"Да","Нет")</x:f>
        <x:v>Нет</x:v>
      </x:c>
      <x:c r="O1980" s="1" t="str">
        <x:f>'Данные'!L1980</x:f>
        <x:v>Нет</x:v>
      </x:c>
    </x:row>
    <x:row r="1981">
      <x:c r="A1981" s="1" t="str">
        <x:f>'Данные'!A1981</x:f>
        <x:v>210248357</x:v>
      </x:c>
      <x:c r="B1981" s="1" t="str">
        <x:f>'Данные'!B1981</x:f>
        <x:v>kulirkamanprint/Colorado-72/черный</x:v>
      </x:c>
      <x:c r="C1981" s="8" t="n">
        <x:f>'Данные'!G1981</x:f>
        <x:v>0</x:v>
      </x:c>
      <x:c r="D1981" s="15" t="n">
        <x:f>C1981/SUM($C$5:$C$2477)</x:f>
        <x:v>0</x:v>
      </x:c>
      <x:c r="E1981" s="15" t="n">
        <x:f>SUM($D$5:D1981)</x:f>
        <x:v>1.0000000000000036</x:v>
      </x:c>
      <x:c r="F1981" s="1" t="str">
        <x:f>IF(C1981&lt;=0,"C",IF(E1981-D1981&lt;'Дашборд'!$C$49,"A",IF(E1981-D1981&lt;'Дашборд'!$C$50,"B","C")))</x:f>
        <x:v>C</x:v>
      </x:c>
      <x:c r="G1981" s="8" t="n">
        <x:f>'Данные'!F1981</x:f>
        <x:v>0</x:v>
      </x:c>
      <x:c r="H1981" s="8" t="n">
        <x:f>SUM('Данные'!H1981:I1981)</x:f>
        <x:v>0</x:v>
      </x:c>
      <x:c r="I1981" s="16" t="str">
        <x:f>IF(H1981&gt;0,G1981/H1981,"n.a.")</x:f>
        <x:v>n.a.</x:v>
      </x:c>
      <x:c r="J1981" s="10" t="n">
        <x:f>IF('Данные'!E1981&gt;0,G1981/'Данные'!E1981,"n.a.")</x:f>
        <x:v>0</x:v>
      </x:c>
      <x:c r="K1981" s="1" t="str">
        <x:f>IF(G1981&gt;='Дашборд'!$C$51,"X","Z")</x:f>
        <x:v>Z</x:v>
      </x:c>
      <x:c r="L1981" s="1" t="str">
        <x:f>IF(H1981=0,IF(G1981&gt;0,"Нет остатка","Нет спроса"),IF(I1981&gt;='Дашборд'!$C$52,"Быстрый","Медленный"))</x:f>
        <x:v>Нет спроса</x:v>
      </x:c>
      <x:c r="M1981" s="1" t="str">
        <x:f>IF('Данные'!E1981&lt;'Дашборд'!$C$53,"Мало трафика",IF(J1981&lt;'Дашборд'!$C$9*'Дашборд'!$C$54,"Да","Нет"))</x:f>
        <x:v>Мало трафика</x:v>
      </x:c>
      <x:c r="N1981" s="1" t="str">
        <x:f>IF(AND('Данные'!D1981&gt;='Дашборд'!$C$55,D1981&lt;'Дашборд'!$C$56,'Данные'!E1981&gt;='Дашборд'!$C$53,'Данные'!L1981&lt;&gt;"Да"),"Да","Нет")</x:f>
        <x:v>Нет</x:v>
      </x:c>
      <x:c r="O1981" s="1" t="str">
        <x:f>'Данные'!L1981</x:f>
        <x:v>Нет</x:v>
      </x:c>
    </x:row>
    <x:row r="1982">
      <x:c r="A1982" s="1" t="str">
        <x:f>'Данные'!A1982</x:f>
        <x:v>210318845</x:v>
      </x:c>
      <x:c r="B1982" s="1" t="str">
        <x:f>'Данные'!B1982</x:f>
        <x:v>kostumman/кофейный_</x:v>
      </x:c>
      <x:c r="C1982" s="8" t="n">
        <x:f>'Данные'!G1982</x:f>
        <x:v>0</x:v>
      </x:c>
      <x:c r="D1982" s="15" t="n">
        <x:f>C1982/SUM($C$5:$C$2477)</x:f>
        <x:v>0</x:v>
      </x:c>
      <x:c r="E1982" s="15" t="n">
        <x:f>SUM($D$5:D1982)</x:f>
        <x:v>1.0000000000000036</x:v>
      </x:c>
      <x:c r="F1982" s="1" t="str">
        <x:f>IF(C1982&lt;=0,"C",IF(E1982-D1982&lt;'Дашборд'!$C$49,"A",IF(E1982-D1982&lt;'Дашборд'!$C$50,"B","C")))</x:f>
        <x:v>C</x:v>
      </x:c>
      <x:c r="G1982" s="8" t="n">
        <x:f>'Данные'!F1982</x:f>
        <x:v>0</x:v>
      </x:c>
      <x:c r="H1982" s="8" t="n">
        <x:f>SUM('Данные'!H1982:I1982)</x:f>
        <x:v>0</x:v>
      </x:c>
      <x:c r="I1982" s="16" t="str">
        <x:f>IF(H1982&gt;0,G1982/H1982,"n.a.")</x:f>
        <x:v>n.a.</x:v>
      </x:c>
      <x:c r="J1982" s="10" t="n">
        <x:f>IF('Данные'!E1982&gt;0,G1982/'Данные'!E1982,"n.a.")</x:f>
        <x:v>0</x:v>
      </x:c>
      <x:c r="K1982" s="1" t="str">
        <x:f>IF(G1982&gt;='Дашборд'!$C$51,"X","Z")</x:f>
        <x:v>Z</x:v>
      </x:c>
      <x:c r="L1982" s="1" t="str">
        <x:f>IF(H1982=0,IF(G1982&gt;0,"Нет остатка","Нет спроса"),IF(I1982&gt;='Дашборд'!$C$52,"Быстрый","Медленный"))</x:f>
        <x:v>Нет спроса</x:v>
      </x:c>
      <x:c r="M1982" s="1" t="str">
        <x:f>IF('Данные'!E1982&lt;'Дашборд'!$C$53,"Мало трафика",IF(J1982&lt;'Дашборд'!$C$9*'Дашборд'!$C$54,"Да","Нет"))</x:f>
        <x:v>Мало трафика</x:v>
      </x:c>
      <x:c r="N1982" s="1" t="str">
        <x:f>IF(AND('Данные'!D1982&gt;='Дашборд'!$C$55,D1982&lt;'Дашборд'!$C$56,'Данные'!E1982&gt;='Дашборд'!$C$53,'Данные'!L1982&lt;&gt;"Да"),"Да","Нет")</x:f>
        <x:v>Нет</x:v>
      </x:c>
      <x:c r="O1982" s="1" t="str">
        <x:f>'Данные'!L1982</x:f>
        <x:v>Нет</x:v>
      </x:c>
    </x:row>
    <x:row r="1983">
      <x:c r="A1983" s="1" t="str">
        <x:f>'Данные'!A1983</x:f>
        <x:v>210618397</x:v>
      </x:c>
      <x:c r="B1983" s="1" t="str">
        <x:f>'Данные'!B1983</x:f>
        <x:v>kostkulirkaover/какао</x:v>
      </x:c>
      <x:c r="C1983" s="8" t="n">
        <x:f>'Данные'!G1983</x:f>
        <x:v>0</x:v>
      </x:c>
      <x:c r="D1983" s="15" t="n">
        <x:f>C1983/SUM($C$5:$C$2477)</x:f>
        <x:v>0</x:v>
      </x:c>
      <x:c r="E1983" s="15" t="n">
        <x:f>SUM($D$5:D1983)</x:f>
        <x:v>1.0000000000000036</x:v>
      </x:c>
      <x:c r="F1983" s="1" t="str">
        <x:f>IF(C1983&lt;=0,"C",IF(E1983-D1983&lt;'Дашборд'!$C$49,"A",IF(E1983-D1983&lt;'Дашборд'!$C$50,"B","C")))</x:f>
        <x:v>C</x:v>
      </x:c>
      <x:c r="G1983" s="8" t="n">
        <x:f>'Данные'!F1983</x:f>
        <x:v>0</x:v>
      </x:c>
      <x:c r="H1983" s="8" t="n">
        <x:f>SUM('Данные'!H1983:I1983)</x:f>
        <x:v>0</x:v>
      </x:c>
      <x:c r="I1983" s="16" t="str">
        <x:f>IF(H1983&gt;0,G1983/H1983,"n.a.")</x:f>
        <x:v>n.a.</x:v>
      </x:c>
      <x:c r="J1983" s="10" t="n">
        <x:f>IF('Данные'!E1983&gt;0,G1983/'Данные'!E1983,"n.a.")</x:f>
        <x:v>0</x:v>
      </x:c>
      <x:c r="K1983" s="1" t="str">
        <x:f>IF(G1983&gt;='Дашборд'!$C$51,"X","Z")</x:f>
        <x:v>Z</x:v>
      </x:c>
      <x:c r="L1983" s="1" t="str">
        <x:f>IF(H1983=0,IF(G1983&gt;0,"Нет остатка","Нет спроса"),IF(I1983&gt;='Дашборд'!$C$52,"Быстрый","Медленный"))</x:f>
        <x:v>Нет спроса</x:v>
      </x:c>
      <x:c r="M1983" s="1" t="str">
        <x:f>IF('Данные'!E1983&lt;'Дашборд'!$C$53,"Мало трафика",IF(J1983&lt;'Дашборд'!$C$9*'Дашборд'!$C$54,"Да","Нет"))</x:f>
        <x:v>Да</x:v>
      </x:c>
      <x:c r="N1983" s="1" t="str">
        <x:f>IF(AND('Данные'!D1983&gt;='Дашборд'!$C$55,D1983&lt;'Дашборд'!$C$56,'Данные'!E1983&gt;='Дашборд'!$C$53,'Данные'!L1983&lt;&gt;"Да"),"Да","Нет")</x:f>
        <x:v>Нет</x:v>
      </x:c>
      <x:c r="O1983" s="1" t="str">
        <x:f>'Данные'!L1983</x:f>
        <x:v>Нет</x:v>
      </x:c>
    </x:row>
    <x:row r="1984">
      <x:c r="A1984" s="1" t="str">
        <x:f>'Данные'!A1984</x:f>
        <x:v>210674289</x:v>
      </x:c>
      <x:c r="B1984" s="1" t="str">
        <x:f>'Данные'!B1984</x:f>
        <x:v>svitshotzipman1/темно-синий</x:v>
      </x:c>
      <x:c r="C1984" s="8" t="n">
        <x:f>'Данные'!G1984</x:f>
        <x:v>0</x:v>
      </x:c>
      <x:c r="D1984" s="15" t="n">
        <x:f>C1984/SUM($C$5:$C$2477)</x:f>
        <x:v>0</x:v>
      </x:c>
      <x:c r="E1984" s="15" t="n">
        <x:f>SUM($D$5:D1984)</x:f>
        <x:v>1.0000000000000036</x:v>
      </x:c>
      <x:c r="F1984" s="1" t="str">
        <x:f>IF(C1984&lt;=0,"C",IF(E1984-D1984&lt;'Дашборд'!$C$49,"A",IF(E1984-D1984&lt;'Дашборд'!$C$50,"B","C")))</x:f>
        <x:v>C</x:v>
      </x:c>
      <x:c r="G1984" s="8" t="n">
        <x:f>'Данные'!F1984</x:f>
        <x:v>0</x:v>
      </x:c>
      <x:c r="H1984" s="8" t="n">
        <x:f>SUM('Данные'!H1984:I1984)</x:f>
        <x:v>0</x:v>
      </x:c>
      <x:c r="I1984" s="16" t="str">
        <x:f>IF(H1984&gt;0,G1984/H1984,"n.a.")</x:f>
        <x:v>n.a.</x:v>
      </x:c>
      <x:c r="J1984" s="10" t="n">
        <x:f>IF('Данные'!E1984&gt;0,G1984/'Данные'!E1984,"n.a.")</x:f>
        <x:v>0</x:v>
      </x:c>
      <x:c r="K1984" s="1" t="str">
        <x:f>IF(G1984&gt;='Дашборд'!$C$51,"X","Z")</x:f>
        <x:v>Z</x:v>
      </x:c>
      <x:c r="L1984" s="1" t="str">
        <x:f>IF(H1984=0,IF(G1984&gt;0,"Нет остатка","Нет спроса"),IF(I1984&gt;='Дашборд'!$C$52,"Быстрый","Медленный"))</x:f>
        <x:v>Нет спроса</x:v>
      </x:c>
      <x:c r="M1984" s="1" t="str">
        <x:f>IF('Данные'!E1984&lt;'Дашборд'!$C$53,"Мало трафика",IF(J1984&lt;'Дашборд'!$C$9*'Дашборд'!$C$54,"Да","Нет"))</x:f>
        <x:v>Мало трафика</x:v>
      </x:c>
      <x:c r="N1984" s="1" t="str">
        <x:f>IF(AND('Данные'!D1984&gt;='Дашборд'!$C$55,D1984&lt;'Дашборд'!$C$56,'Данные'!E1984&gt;='Дашборд'!$C$53,'Данные'!L1984&lt;&gt;"Да"),"Да","Нет")</x:f>
        <x:v>Нет</x:v>
      </x:c>
      <x:c r="O1984" s="1" t="str">
        <x:f>'Данные'!L1984</x:f>
        <x:v>Нет</x:v>
      </x:c>
    </x:row>
    <x:row r="1985">
      <x:c r="A1985" s="1" t="str">
        <x:f>'Данные'!A1985</x:f>
        <x:v>210827360</x:v>
      </x:c>
      <x:c r="B1985" s="1" t="str">
        <x:f>'Данные'!B1985</x:f>
        <x:v>longsvobod/эвкалипт</x:v>
      </x:c>
      <x:c r="C1985" s="8" t="n">
        <x:f>'Данные'!G1985</x:f>
        <x:v>0</x:v>
      </x:c>
      <x:c r="D1985" s="15" t="n">
        <x:f>C1985/SUM($C$5:$C$2477)</x:f>
        <x:v>0</x:v>
      </x:c>
      <x:c r="E1985" s="15" t="n">
        <x:f>SUM($D$5:D1985)</x:f>
        <x:v>1.0000000000000036</x:v>
      </x:c>
      <x:c r="F1985" s="1" t="str">
        <x:f>IF(C1985&lt;=0,"C",IF(E1985-D1985&lt;'Дашборд'!$C$49,"A",IF(E1985-D1985&lt;'Дашборд'!$C$50,"B","C")))</x:f>
        <x:v>C</x:v>
      </x:c>
      <x:c r="G1985" s="8" t="n">
        <x:f>'Данные'!F1985</x:f>
        <x:v>0</x:v>
      </x:c>
      <x:c r="H1985" s="8" t="n">
        <x:f>SUM('Данные'!H1985:I1985)</x:f>
        <x:v>0</x:v>
      </x:c>
      <x:c r="I1985" s="16" t="str">
        <x:f>IF(H1985&gt;0,G1985/H1985,"n.a.")</x:f>
        <x:v>n.a.</x:v>
      </x:c>
      <x:c r="J1985" s="10" t="n">
        <x:f>IF('Данные'!E1985&gt;0,G1985/'Данные'!E1985,"n.a.")</x:f>
        <x:v>0</x:v>
      </x:c>
      <x:c r="K1985" s="1" t="str">
        <x:f>IF(G1985&gt;='Дашборд'!$C$51,"X","Z")</x:f>
        <x:v>Z</x:v>
      </x:c>
      <x:c r="L1985" s="1" t="str">
        <x:f>IF(H1985=0,IF(G1985&gt;0,"Нет остатка","Нет спроса"),IF(I1985&gt;='Дашборд'!$C$52,"Быстрый","Медленный"))</x:f>
        <x:v>Нет спроса</x:v>
      </x:c>
      <x:c r="M1985" s="1" t="str">
        <x:f>IF('Данные'!E1985&lt;'Дашборд'!$C$53,"Мало трафика",IF(J1985&lt;'Дашборд'!$C$9*'Дашборд'!$C$54,"Да","Нет"))</x:f>
        <x:v>Мало трафика</x:v>
      </x:c>
      <x:c r="N1985" s="1" t="str">
        <x:f>IF(AND('Данные'!D1985&gt;='Дашборд'!$C$55,D1985&lt;'Дашборд'!$C$56,'Данные'!E1985&gt;='Дашборд'!$C$53,'Данные'!L1985&lt;&gt;"Да"),"Да","Нет")</x:f>
        <x:v>Нет</x:v>
      </x:c>
      <x:c r="O1985" s="1" t="str">
        <x:f>'Данные'!L1985</x:f>
        <x:v>Нет</x:v>
      </x:c>
    </x:row>
    <x:row r="1986">
      <x:c r="A1986" s="1" t="str">
        <x:f>'Данные'!A1986</x:f>
        <x:v>211596872</x:v>
      </x:c>
      <x:c r="B1986" s="1" t="str">
        <x:f>'Данные'!B1986</x:f>
        <x:v>kulirkamanprint/CHICAGO-84/черный</x:v>
      </x:c>
      <x:c r="C1986" s="8" t="n">
        <x:f>'Данные'!G1986</x:f>
        <x:v>0</x:v>
      </x:c>
      <x:c r="D1986" s="15" t="n">
        <x:f>C1986/SUM($C$5:$C$2477)</x:f>
        <x:v>0</x:v>
      </x:c>
      <x:c r="E1986" s="15" t="n">
        <x:f>SUM($D$5:D1986)</x:f>
        <x:v>1.0000000000000036</x:v>
      </x:c>
      <x:c r="F1986" s="1" t="str">
        <x:f>IF(C1986&lt;=0,"C",IF(E1986-D1986&lt;'Дашборд'!$C$49,"A",IF(E1986-D1986&lt;'Дашборд'!$C$50,"B","C")))</x:f>
        <x:v>C</x:v>
      </x:c>
      <x:c r="G1986" s="8" t="n">
        <x:f>'Данные'!F1986</x:f>
        <x:v>0</x:v>
      </x:c>
      <x:c r="H1986" s="8" t="n">
        <x:f>SUM('Данные'!H1986:I1986)</x:f>
        <x:v>0</x:v>
      </x:c>
      <x:c r="I1986" s="16" t="str">
        <x:f>IF(H1986&gt;0,G1986/H1986,"n.a.")</x:f>
        <x:v>n.a.</x:v>
      </x:c>
      <x:c r="J1986" s="10" t="n">
        <x:f>IF('Данные'!E1986&gt;0,G1986/'Данные'!E1986,"n.a.")</x:f>
        <x:v>0</x:v>
      </x:c>
      <x:c r="K1986" s="1" t="str">
        <x:f>IF(G1986&gt;='Дашборд'!$C$51,"X","Z")</x:f>
        <x:v>Z</x:v>
      </x:c>
      <x:c r="L1986" s="1" t="str">
        <x:f>IF(H1986=0,IF(G1986&gt;0,"Нет остатка","Нет спроса"),IF(I1986&gt;='Дашборд'!$C$52,"Быстрый","Медленный"))</x:f>
        <x:v>Нет спроса</x:v>
      </x:c>
      <x:c r="M1986" s="1" t="str">
        <x:f>IF('Данные'!E1986&lt;'Дашборд'!$C$53,"Мало трафика",IF(J1986&lt;'Дашборд'!$C$9*'Дашборд'!$C$54,"Да","Нет"))</x:f>
        <x:v>Мало трафика</x:v>
      </x:c>
      <x:c r="N1986" s="1" t="str">
        <x:f>IF(AND('Данные'!D1986&gt;='Дашборд'!$C$55,D1986&lt;'Дашборд'!$C$56,'Данные'!E1986&gt;='Дашборд'!$C$53,'Данные'!L1986&lt;&gt;"Да"),"Да","Нет")</x:f>
        <x:v>Нет</x:v>
      </x:c>
      <x:c r="O1986" s="1" t="str">
        <x:f>'Данные'!L1986</x:f>
        <x:v>Нет</x:v>
      </x:c>
    </x:row>
    <x:row r="1987">
      <x:c r="A1987" s="1" t="str">
        <x:f>'Данные'!A1987</x:f>
        <x:v>211596878</x:v>
      </x:c>
      <x:c r="B1987" s="1" t="str">
        <x:f>'Данные'!B1987</x:f>
        <x:v>kulirkamanprint/MovesY2K-71/молочный</x:v>
      </x:c>
      <x:c r="C1987" s="8" t="n">
        <x:f>'Данные'!G1987</x:f>
        <x:v>0</x:v>
      </x:c>
      <x:c r="D1987" s="15" t="n">
        <x:f>C1987/SUM($C$5:$C$2477)</x:f>
        <x:v>0</x:v>
      </x:c>
      <x:c r="E1987" s="15" t="n">
        <x:f>SUM($D$5:D1987)</x:f>
        <x:v>1.0000000000000036</x:v>
      </x:c>
      <x:c r="F1987" s="1" t="str">
        <x:f>IF(C1987&lt;=0,"C",IF(E1987-D1987&lt;'Дашборд'!$C$49,"A",IF(E1987-D1987&lt;'Дашборд'!$C$50,"B","C")))</x:f>
        <x:v>C</x:v>
      </x:c>
      <x:c r="G1987" s="8" t="n">
        <x:f>'Данные'!F1987</x:f>
        <x:v>0</x:v>
      </x:c>
      <x:c r="H1987" s="8" t="n">
        <x:f>SUM('Данные'!H1987:I1987)</x:f>
        <x:v>0</x:v>
      </x:c>
      <x:c r="I1987" s="16" t="str">
        <x:f>IF(H1987&gt;0,G1987/H1987,"n.a.")</x:f>
        <x:v>n.a.</x:v>
      </x:c>
      <x:c r="J1987" s="10" t="n">
        <x:f>IF('Данные'!E1987&gt;0,G1987/'Данные'!E1987,"n.a.")</x:f>
        <x:v>0</x:v>
      </x:c>
      <x:c r="K1987" s="1" t="str">
        <x:f>IF(G1987&gt;='Дашборд'!$C$51,"X","Z")</x:f>
        <x:v>Z</x:v>
      </x:c>
      <x:c r="L1987" s="1" t="str">
        <x:f>IF(H1987=0,IF(G1987&gt;0,"Нет остатка","Нет спроса"),IF(I1987&gt;='Дашборд'!$C$52,"Быстрый","Медленный"))</x:f>
        <x:v>Нет спроса</x:v>
      </x:c>
      <x:c r="M1987" s="1" t="str">
        <x:f>IF('Данные'!E1987&lt;'Дашборд'!$C$53,"Мало трафика",IF(J1987&lt;'Дашборд'!$C$9*'Дашборд'!$C$54,"Да","Нет"))</x:f>
        <x:v>Мало трафика</x:v>
      </x:c>
      <x:c r="N1987" s="1" t="str">
        <x:f>IF(AND('Данные'!D1987&gt;='Дашборд'!$C$55,D1987&lt;'Дашборд'!$C$56,'Данные'!E1987&gt;='Дашборд'!$C$53,'Данные'!L1987&lt;&gt;"Да"),"Да","Нет")</x:f>
        <x:v>Нет</x:v>
      </x:c>
      <x:c r="O1987" s="1" t="str">
        <x:f>'Данные'!L1987</x:f>
        <x:v>Нет</x:v>
      </x:c>
    </x:row>
    <x:row r="1988">
      <x:c r="A1988" s="1" t="str">
        <x:f>'Данные'!A1988</x:f>
        <x:v>211596882</x:v>
      </x:c>
      <x:c r="B1988" s="1" t="str">
        <x:f>'Данные'!B1988</x:f>
        <x:v>kulirkamanprint/RIVERDALE-83/молочный</x:v>
      </x:c>
      <x:c r="C1988" s="8" t="n">
        <x:f>'Данные'!G1988</x:f>
        <x:v>0</x:v>
      </x:c>
      <x:c r="D1988" s="15" t="n">
        <x:f>C1988/SUM($C$5:$C$2477)</x:f>
        <x:v>0</x:v>
      </x:c>
      <x:c r="E1988" s="15" t="n">
        <x:f>SUM($D$5:D1988)</x:f>
        <x:v>1.0000000000000036</x:v>
      </x:c>
      <x:c r="F1988" s="1" t="str">
        <x:f>IF(C1988&lt;=0,"C",IF(E1988-D1988&lt;'Дашборд'!$C$49,"A",IF(E1988-D1988&lt;'Дашборд'!$C$50,"B","C")))</x:f>
        <x:v>C</x:v>
      </x:c>
      <x:c r="G1988" s="8" t="n">
        <x:f>'Данные'!F1988</x:f>
        <x:v>0</x:v>
      </x:c>
      <x:c r="H1988" s="8" t="n">
        <x:f>SUM('Данные'!H1988:I1988)</x:f>
        <x:v>0</x:v>
      </x:c>
      <x:c r="I1988" s="16" t="str">
        <x:f>IF(H1988&gt;0,G1988/H1988,"n.a.")</x:f>
        <x:v>n.a.</x:v>
      </x:c>
      <x:c r="J1988" s="10" t="n">
        <x:f>IF('Данные'!E1988&gt;0,G1988/'Данные'!E1988,"n.a.")</x:f>
        <x:v>0</x:v>
      </x:c>
      <x:c r="K1988" s="1" t="str">
        <x:f>IF(G1988&gt;='Дашборд'!$C$51,"X","Z")</x:f>
        <x:v>Z</x:v>
      </x:c>
      <x:c r="L1988" s="1" t="str">
        <x:f>IF(H1988=0,IF(G1988&gt;0,"Нет остатка","Нет спроса"),IF(I1988&gt;='Дашборд'!$C$52,"Быстрый","Медленный"))</x:f>
        <x:v>Нет спроса</x:v>
      </x:c>
      <x:c r="M1988" s="1" t="str">
        <x:f>IF('Данные'!E1988&lt;'Дашборд'!$C$53,"Мало трафика",IF(J1988&lt;'Дашборд'!$C$9*'Дашборд'!$C$54,"Да","Нет"))</x:f>
        <x:v>Мало трафика</x:v>
      </x:c>
      <x:c r="N1988" s="1" t="str">
        <x:f>IF(AND('Данные'!D1988&gt;='Дашборд'!$C$55,D1988&lt;'Дашборд'!$C$56,'Данные'!E1988&gt;='Дашборд'!$C$53,'Данные'!L1988&lt;&gt;"Да"),"Да","Нет")</x:f>
        <x:v>Нет</x:v>
      </x:c>
      <x:c r="O1988" s="1" t="str">
        <x:f>'Данные'!L1988</x:f>
        <x:v>Нет</x:v>
      </x:c>
    </x:row>
    <x:row r="1989">
      <x:c r="A1989" s="1" t="str">
        <x:f>'Данные'!A1989</x:f>
        <x:v>211855712</x:v>
      </x:c>
      <x:c r="B1989" s="1" t="str">
        <x:f>'Данные'!B1989</x:f>
        <x:v>futbolkaprint/CLFSF-87/черный</x:v>
      </x:c>
      <x:c r="C1989" s="8" t="n">
        <x:f>'Данные'!G1989</x:f>
        <x:v>0</x:v>
      </x:c>
      <x:c r="D1989" s="15" t="n">
        <x:f>C1989/SUM($C$5:$C$2477)</x:f>
        <x:v>0</x:v>
      </x:c>
      <x:c r="E1989" s="15" t="n">
        <x:f>SUM($D$5:D1989)</x:f>
        <x:v>1.0000000000000036</x:v>
      </x:c>
      <x:c r="F1989" s="1" t="str">
        <x:f>IF(C1989&lt;=0,"C",IF(E1989-D1989&lt;'Дашборд'!$C$49,"A",IF(E1989-D1989&lt;'Дашборд'!$C$50,"B","C")))</x:f>
        <x:v>C</x:v>
      </x:c>
      <x:c r="G1989" s="8" t="n">
        <x:f>'Данные'!F1989</x:f>
        <x:v>0</x:v>
      </x:c>
      <x:c r="H1989" s="8" t="n">
        <x:f>SUM('Данные'!H1989:I1989)</x:f>
        <x:v>0</x:v>
      </x:c>
      <x:c r="I1989" s="16" t="str">
        <x:f>IF(H1989&gt;0,G1989/H1989,"n.a.")</x:f>
        <x:v>n.a.</x:v>
      </x:c>
      <x:c r="J1989" s="10" t="n">
        <x:f>IF('Данные'!E1989&gt;0,G1989/'Данные'!E1989,"n.a.")</x:f>
        <x:v>0</x:v>
      </x:c>
      <x:c r="K1989" s="1" t="str">
        <x:f>IF(G1989&gt;='Дашборд'!$C$51,"X","Z")</x:f>
        <x:v>Z</x:v>
      </x:c>
      <x:c r="L1989" s="1" t="str">
        <x:f>IF(H1989=0,IF(G1989&gt;0,"Нет остатка","Нет спроса"),IF(I1989&gt;='Дашборд'!$C$52,"Быстрый","Медленный"))</x:f>
        <x:v>Нет спроса</x:v>
      </x:c>
      <x:c r="M1989" s="1" t="str">
        <x:f>IF('Данные'!E1989&lt;'Дашборд'!$C$53,"Мало трафика",IF(J1989&lt;'Дашборд'!$C$9*'Дашборд'!$C$54,"Да","Нет"))</x:f>
        <x:v>Мало трафика</x:v>
      </x:c>
      <x:c r="N1989" s="1" t="str">
        <x:f>IF(AND('Данные'!D1989&gt;='Дашборд'!$C$55,D1989&lt;'Дашборд'!$C$56,'Данные'!E1989&gt;='Дашборд'!$C$53,'Данные'!L1989&lt;&gt;"Да"),"Да","Нет")</x:f>
        <x:v>Нет</x:v>
      </x:c>
      <x:c r="O1989" s="1" t="str">
        <x:f>'Данные'!L1989</x:f>
        <x:v>Нет</x:v>
      </x:c>
    </x:row>
    <x:row r="1990">
      <x:c r="A1990" s="1" t="str">
        <x:f>'Данные'!A1990</x:f>
        <x:v>211855713</x:v>
      </x:c>
      <x:c r="B1990" s="1" t="str">
        <x:f>'Данные'!B1990</x:f>
        <x:v>futbolkaprint/SelfLove-88/черный</x:v>
      </x:c>
      <x:c r="C1990" s="8" t="n">
        <x:f>'Данные'!G1990</x:f>
        <x:v>0</x:v>
      </x:c>
      <x:c r="D1990" s="15" t="n">
        <x:f>C1990/SUM($C$5:$C$2477)</x:f>
        <x:v>0</x:v>
      </x:c>
      <x:c r="E1990" s="15" t="n">
        <x:f>SUM($D$5:D1990)</x:f>
        <x:v>1.0000000000000036</x:v>
      </x:c>
      <x:c r="F1990" s="1" t="str">
        <x:f>IF(C1990&lt;=0,"C",IF(E1990-D1990&lt;'Дашборд'!$C$49,"A",IF(E1990-D1990&lt;'Дашборд'!$C$50,"B","C")))</x:f>
        <x:v>C</x:v>
      </x:c>
      <x:c r="G1990" s="8" t="n">
        <x:f>'Данные'!F1990</x:f>
        <x:v>0</x:v>
      </x:c>
      <x:c r="H1990" s="8" t="n">
        <x:f>SUM('Данные'!H1990:I1990)</x:f>
        <x:v>0</x:v>
      </x:c>
      <x:c r="I1990" s="16" t="str">
        <x:f>IF(H1990&gt;0,G1990/H1990,"n.a.")</x:f>
        <x:v>n.a.</x:v>
      </x:c>
      <x:c r="J1990" s="10" t="n">
        <x:f>IF('Данные'!E1990&gt;0,G1990/'Данные'!E1990,"n.a.")</x:f>
        <x:v>0</x:v>
      </x:c>
      <x:c r="K1990" s="1" t="str">
        <x:f>IF(G1990&gt;='Дашборд'!$C$51,"X","Z")</x:f>
        <x:v>Z</x:v>
      </x:c>
      <x:c r="L1990" s="1" t="str">
        <x:f>IF(H1990=0,IF(G1990&gt;0,"Нет остатка","Нет спроса"),IF(I1990&gt;='Дашборд'!$C$52,"Быстрый","Медленный"))</x:f>
        <x:v>Нет спроса</x:v>
      </x:c>
      <x:c r="M1990" s="1" t="str">
        <x:f>IF('Данные'!E1990&lt;'Дашборд'!$C$53,"Мало трафика",IF(J1990&lt;'Дашборд'!$C$9*'Дашборд'!$C$54,"Да","Нет"))</x:f>
        <x:v>Мало трафика</x:v>
      </x:c>
      <x:c r="N1990" s="1" t="str">
        <x:f>IF(AND('Данные'!D1990&gt;='Дашборд'!$C$55,D1990&lt;'Дашборд'!$C$56,'Данные'!E1990&gt;='Дашборд'!$C$53,'Данные'!L1990&lt;&gt;"Да"),"Да","Нет")</x:f>
        <x:v>Нет</x:v>
      </x:c>
      <x:c r="O1990" s="1" t="str">
        <x:f>'Данные'!L1990</x:f>
        <x:v>Нет</x:v>
      </x:c>
    </x:row>
    <x:row r="1991">
      <x:c r="A1991" s="1" t="str">
        <x:f>'Данные'!A1991</x:f>
        <x:v>211855717</x:v>
      </x:c>
      <x:c r="B1991" s="1" t="str">
        <x:f>'Данные'!B1991</x:f>
        <x:v>kulirkamanprint/Racing-78/черный</x:v>
      </x:c>
      <x:c r="C1991" s="8" t="n">
        <x:f>'Данные'!G1991</x:f>
        <x:v>0</x:v>
      </x:c>
      <x:c r="D1991" s="15" t="n">
        <x:f>C1991/SUM($C$5:$C$2477)</x:f>
        <x:v>0</x:v>
      </x:c>
      <x:c r="E1991" s="15" t="n">
        <x:f>SUM($D$5:D1991)</x:f>
        <x:v>1.0000000000000036</x:v>
      </x:c>
      <x:c r="F1991" s="1" t="str">
        <x:f>IF(C1991&lt;=0,"C",IF(E1991-D1991&lt;'Дашборд'!$C$49,"A",IF(E1991-D1991&lt;'Дашборд'!$C$50,"B","C")))</x:f>
        <x:v>C</x:v>
      </x:c>
      <x:c r="G1991" s="8" t="n">
        <x:f>'Данные'!F1991</x:f>
        <x:v>0</x:v>
      </x:c>
      <x:c r="H1991" s="8" t="n">
        <x:f>SUM('Данные'!H1991:I1991)</x:f>
        <x:v>0</x:v>
      </x:c>
      <x:c r="I1991" s="16" t="str">
        <x:f>IF(H1991&gt;0,G1991/H1991,"n.a.")</x:f>
        <x:v>n.a.</x:v>
      </x:c>
      <x:c r="J1991" s="10" t="n">
        <x:f>IF('Данные'!E1991&gt;0,G1991/'Данные'!E1991,"n.a.")</x:f>
        <x:v>0</x:v>
      </x:c>
      <x:c r="K1991" s="1" t="str">
        <x:f>IF(G1991&gt;='Дашборд'!$C$51,"X","Z")</x:f>
        <x:v>Z</x:v>
      </x:c>
      <x:c r="L1991" s="1" t="str">
        <x:f>IF(H1991=0,IF(G1991&gt;0,"Нет остатка","Нет спроса"),IF(I1991&gt;='Дашборд'!$C$52,"Быстрый","Медленный"))</x:f>
        <x:v>Нет спроса</x:v>
      </x:c>
      <x:c r="M1991" s="1" t="str">
        <x:f>IF('Данные'!E1991&lt;'Дашборд'!$C$53,"Мало трафика",IF(J1991&lt;'Дашборд'!$C$9*'Дашборд'!$C$54,"Да","Нет"))</x:f>
        <x:v>Мало трафика</x:v>
      </x:c>
      <x:c r="N1991" s="1" t="str">
        <x:f>IF(AND('Данные'!D1991&gt;='Дашборд'!$C$55,D1991&lt;'Дашборд'!$C$56,'Данные'!E1991&gt;='Дашборд'!$C$53,'Данные'!L1991&lt;&gt;"Да"),"Да","Нет")</x:f>
        <x:v>Нет</x:v>
      </x:c>
      <x:c r="O1991" s="1" t="str">
        <x:f>'Данные'!L1991</x:f>
        <x:v>Нет</x:v>
      </x:c>
    </x:row>
    <x:row r="1992">
      <x:c r="A1992" s="1" t="str">
        <x:f>'Данные'!A1992</x:f>
        <x:v>212391542</x:v>
      </x:c>
      <x:c r="B1992" s="1" t="str">
        <x:f>'Данные'!B1992</x:f>
        <x:v>hudiman/серый-слоновая кость</x:v>
      </x:c>
      <x:c r="C1992" s="8" t="n">
        <x:f>'Данные'!G1992</x:f>
        <x:v>0</x:v>
      </x:c>
      <x:c r="D1992" s="15" t="n">
        <x:f>C1992/SUM($C$5:$C$2477)</x:f>
        <x:v>0</x:v>
      </x:c>
      <x:c r="E1992" s="15" t="n">
        <x:f>SUM($D$5:D1992)</x:f>
        <x:v>1.0000000000000036</x:v>
      </x:c>
      <x:c r="F1992" s="1" t="str">
        <x:f>IF(C1992&lt;=0,"C",IF(E1992-D1992&lt;'Дашборд'!$C$49,"A",IF(E1992-D1992&lt;'Дашборд'!$C$50,"B","C")))</x:f>
        <x:v>C</x:v>
      </x:c>
      <x:c r="G1992" s="8" t="n">
        <x:f>'Данные'!F1992</x:f>
        <x:v>0</x:v>
      </x:c>
      <x:c r="H1992" s="8" t="n">
        <x:f>SUM('Данные'!H1992:I1992)</x:f>
        <x:v>0</x:v>
      </x:c>
      <x:c r="I1992" s="16" t="str">
        <x:f>IF(H1992&gt;0,G1992/H1992,"n.a.")</x:f>
        <x:v>n.a.</x:v>
      </x:c>
      <x:c r="J1992" s="10" t="n">
        <x:f>IF('Данные'!E1992&gt;0,G1992/'Данные'!E1992,"n.a.")</x:f>
        <x:v>0</x:v>
      </x:c>
      <x:c r="K1992" s="1" t="str">
        <x:f>IF(G1992&gt;='Дашборд'!$C$51,"X","Z")</x:f>
        <x:v>Z</x:v>
      </x:c>
      <x:c r="L1992" s="1" t="str">
        <x:f>IF(H1992=0,IF(G1992&gt;0,"Нет остатка","Нет спроса"),IF(I1992&gt;='Дашборд'!$C$52,"Быстрый","Медленный"))</x:f>
        <x:v>Нет спроса</x:v>
      </x:c>
      <x:c r="M1992" s="1" t="str">
        <x:f>IF('Данные'!E1992&lt;'Дашборд'!$C$53,"Мало трафика",IF(J1992&lt;'Дашборд'!$C$9*'Дашборд'!$C$54,"Да","Нет"))</x:f>
        <x:v>Мало трафика</x:v>
      </x:c>
      <x:c r="N1992" s="1" t="str">
        <x:f>IF(AND('Данные'!D1992&gt;='Дашборд'!$C$55,D1992&lt;'Дашборд'!$C$56,'Данные'!E1992&gt;='Дашборд'!$C$53,'Данные'!L1992&lt;&gt;"Да"),"Да","Нет")</x:f>
        <x:v>Нет</x:v>
      </x:c>
      <x:c r="O1992" s="1" t="str">
        <x:f>'Данные'!L1992</x:f>
        <x:v>Нет</x:v>
      </x:c>
    </x:row>
    <x:row r="1993">
      <x:c r="A1993" s="1" t="str">
        <x:f>'Данные'!A1993</x:f>
        <x:v>212442213</x:v>
      </x:c>
      <x:c r="B1993" s="1" t="str">
        <x:f>'Данные'!B1993</x:f>
        <x:v>hudi/серыймеланж-теплый белый</x:v>
      </x:c>
      <x:c r="C1993" s="8" t="n">
        <x:f>'Данные'!G1993</x:f>
        <x:v>0</x:v>
      </x:c>
      <x:c r="D1993" s="15" t="n">
        <x:f>C1993/SUM($C$5:$C$2477)</x:f>
        <x:v>0</x:v>
      </x:c>
      <x:c r="E1993" s="15" t="n">
        <x:f>SUM($D$5:D1993)</x:f>
        <x:v>1.0000000000000036</x:v>
      </x:c>
      <x:c r="F1993" s="1" t="str">
        <x:f>IF(C1993&lt;=0,"C",IF(E1993-D1993&lt;'Дашборд'!$C$49,"A",IF(E1993-D1993&lt;'Дашборд'!$C$50,"B","C")))</x:f>
        <x:v>C</x:v>
      </x:c>
      <x:c r="G1993" s="8" t="n">
        <x:f>'Данные'!F1993</x:f>
        <x:v>0</x:v>
      </x:c>
      <x:c r="H1993" s="8" t="n">
        <x:f>SUM('Данные'!H1993:I1993)</x:f>
        <x:v>0</x:v>
      </x:c>
      <x:c r="I1993" s="16" t="str">
        <x:f>IF(H1993&gt;0,G1993/H1993,"n.a.")</x:f>
        <x:v>n.a.</x:v>
      </x:c>
      <x:c r="J1993" s="10" t="n">
        <x:f>IF('Данные'!E1993&gt;0,G1993/'Данные'!E1993,"n.a.")</x:f>
        <x:v>0</x:v>
      </x:c>
      <x:c r="K1993" s="1" t="str">
        <x:f>IF(G1993&gt;='Дашборд'!$C$51,"X","Z")</x:f>
        <x:v>Z</x:v>
      </x:c>
      <x:c r="L1993" s="1" t="str">
        <x:f>IF(H1993=0,IF(G1993&gt;0,"Нет остатка","Нет спроса"),IF(I1993&gt;='Дашборд'!$C$52,"Быстрый","Медленный"))</x:f>
        <x:v>Нет спроса</x:v>
      </x:c>
      <x:c r="M1993" s="1" t="str">
        <x:f>IF('Данные'!E1993&lt;'Дашборд'!$C$53,"Мало трафика",IF(J1993&lt;'Дашборд'!$C$9*'Дашборд'!$C$54,"Да","Нет"))</x:f>
        <x:v>Мало трафика</x:v>
      </x:c>
      <x:c r="N1993" s="1" t="str">
        <x:f>IF(AND('Данные'!D1993&gt;='Дашборд'!$C$55,D1993&lt;'Дашборд'!$C$56,'Данные'!E1993&gt;='Дашборд'!$C$53,'Данные'!L1993&lt;&gt;"Да"),"Да","Нет")</x:f>
        <x:v>Нет</x:v>
      </x:c>
      <x:c r="O1993" s="1" t="str">
        <x:f>'Данные'!L1993</x:f>
        <x:v>Нет</x:v>
      </x:c>
    </x:row>
    <x:row r="1994">
      <x:c r="A1994" s="1" t="str">
        <x:f>'Данные'!A1994</x:f>
        <x:v>212947235</x:v>
      </x:c>
      <x:c r="B1994" s="1" t="str">
        <x:f>'Данные'!B1994</x:f>
        <x:v>futbolkaprint/MoreSelf-44/серовато-розовый</x:v>
      </x:c>
      <x:c r="C1994" s="8" t="n">
        <x:f>'Данные'!G1994</x:f>
        <x:v>0</x:v>
      </x:c>
      <x:c r="D1994" s="15" t="n">
        <x:f>C1994/SUM($C$5:$C$2477)</x:f>
        <x:v>0</x:v>
      </x:c>
      <x:c r="E1994" s="15" t="n">
        <x:f>SUM($D$5:D1994)</x:f>
        <x:v>1.0000000000000036</x:v>
      </x:c>
      <x:c r="F1994" s="1" t="str">
        <x:f>IF(C1994&lt;=0,"C",IF(E1994-D1994&lt;'Дашборд'!$C$49,"A",IF(E1994-D1994&lt;'Дашборд'!$C$50,"B","C")))</x:f>
        <x:v>C</x:v>
      </x:c>
      <x:c r="G1994" s="8" t="n">
        <x:f>'Данные'!F1994</x:f>
        <x:v>0</x:v>
      </x:c>
      <x:c r="H1994" s="8" t="n">
        <x:f>SUM('Данные'!H1994:I1994)</x:f>
        <x:v>0</x:v>
      </x:c>
      <x:c r="I1994" s="16" t="str">
        <x:f>IF(H1994&gt;0,G1994/H1994,"n.a.")</x:f>
        <x:v>n.a.</x:v>
      </x:c>
      <x:c r="J1994" s="10" t="str">
        <x:f>IF('Данные'!E1994&gt;0,G1994/'Данные'!E1994,"n.a.")</x:f>
        <x:v>n.a.</x:v>
      </x:c>
      <x:c r="K1994" s="1" t="str">
        <x:f>IF(G1994&gt;='Дашборд'!$C$51,"X","Z")</x:f>
        <x:v>Z</x:v>
      </x:c>
      <x:c r="L1994" s="1" t="str">
        <x:f>IF(H1994=0,IF(G1994&gt;0,"Нет остатка","Нет спроса"),IF(I1994&gt;='Дашборд'!$C$52,"Быстрый","Медленный"))</x:f>
        <x:v>Нет спроса</x:v>
      </x:c>
      <x:c r="M1994" s="1" t="str">
        <x:f>IF('Данные'!E1994&lt;'Дашборд'!$C$53,"Мало трафика",IF(J1994&lt;'Дашборд'!$C$9*'Дашборд'!$C$54,"Да","Нет"))</x:f>
        <x:v>Мало трафика</x:v>
      </x:c>
      <x:c r="N1994" s="1" t="str">
        <x:f>IF(AND('Данные'!D1994&gt;='Дашборд'!$C$55,D1994&lt;'Дашборд'!$C$56,'Данные'!E1994&gt;='Дашборд'!$C$53,'Данные'!L1994&lt;&gt;"Да"),"Да","Нет")</x:f>
        <x:v>Нет</x:v>
      </x:c>
      <x:c r="O1994" s="1" t="str">
        <x:f>'Данные'!L1994</x:f>
        <x:v>Нет</x:v>
      </x:c>
    </x:row>
    <x:row r="1995">
      <x:c r="A1995" s="1" t="str">
        <x:f>'Данные'!A1995</x:f>
        <x:v>213001470</x:v>
      </x:c>
      <x:c r="B1995" s="1" t="str">
        <x:f>'Данные'!B1995</x:f>
        <x:v>hudi/серыймеланж-оникс</x:v>
      </x:c>
      <x:c r="C1995" s="8" t="n">
        <x:f>'Данные'!G1995</x:f>
        <x:v>0</x:v>
      </x:c>
      <x:c r="D1995" s="15" t="n">
        <x:f>C1995/SUM($C$5:$C$2477)</x:f>
        <x:v>0</x:v>
      </x:c>
      <x:c r="E1995" s="15" t="n">
        <x:f>SUM($D$5:D1995)</x:f>
        <x:v>1.0000000000000036</x:v>
      </x:c>
      <x:c r="F1995" s="1" t="str">
        <x:f>IF(C1995&lt;=0,"C",IF(E1995-D1995&lt;'Дашборд'!$C$49,"A",IF(E1995-D1995&lt;'Дашборд'!$C$50,"B","C")))</x:f>
        <x:v>C</x:v>
      </x:c>
      <x:c r="G1995" s="8" t="n">
        <x:f>'Данные'!F1995</x:f>
        <x:v>0</x:v>
      </x:c>
      <x:c r="H1995" s="8" t="n">
        <x:f>SUM('Данные'!H1995:I1995)</x:f>
        <x:v>0</x:v>
      </x:c>
      <x:c r="I1995" s="16" t="str">
        <x:f>IF(H1995&gt;0,G1995/H1995,"n.a.")</x:f>
        <x:v>n.a.</x:v>
      </x:c>
      <x:c r="J1995" s="10" t="n">
        <x:f>IF('Данные'!E1995&gt;0,G1995/'Данные'!E1995,"n.a.")</x:f>
        <x:v>0</x:v>
      </x:c>
      <x:c r="K1995" s="1" t="str">
        <x:f>IF(G1995&gt;='Дашборд'!$C$51,"X","Z")</x:f>
        <x:v>Z</x:v>
      </x:c>
      <x:c r="L1995" s="1" t="str">
        <x:f>IF(H1995=0,IF(G1995&gt;0,"Нет остатка","Нет спроса"),IF(I1995&gt;='Дашборд'!$C$52,"Быстрый","Медленный"))</x:f>
        <x:v>Нет спроса</x:v>
      </x:c>
      <x:c r="M1995" s="1" t="str">
        <x:f>IF('Данные'!E1995&lt;'Дашборд'!$C$53,"Мало трафика",IF(J1995&lt;'Дашборд'!$C$9*'Дашборд'!$C$54,"Да","Нет"))</x:f>
        <x:v>Мало трафика</x:v>
      </x:c>
      <x:c r="N1995" s="1" t="str">
        <x:f>IF(AND('Данные'!D1995&gt;='Дашборд'!$C$55,D1995&lt;'Дашборд'!$C$56,'Данные'!E1995&gt;='Дашборд'!$C$53,'Данные'!L1995&lt;&gt;"Да"),"Да","Нет")</x:f>
        <x:v>Нет</x:v>
      </x:c>
      <x:c r="O1995" s="1" t="str">
        <x:f>'Данные'!L1995</x:f>
        <x:v>Нет</x:v>
      </x:c>
    </x:row>
    <x:row r="1996">
      <x:c r="A1996" s="1" t="str">
        <x:f>'Данные'!A1996</x:f>
        <x:v>214088384</x:v>
      </x:c>
      <x:c r="B1996" s="1" t="str">
        <x:f>'Данные'!B1996</x:f>
        <x:v>futbolkaprint/Movement-98/зелено-серый</x:v>
      </x:c>
      <x:c r="C1996" s="8" t="n">
        <x:f>'Данные'!G1996</x:f>
        <x:v>0</x:v>
      </x:c>
      <x:c r="D1996" s="15" t="n">
        <x:f>C1996/SUM($C$5:$C$2477)</x:f>
        <x:v>0</x:v>
      </x:c>
      <x:c r="E1996" s="15" t="n">
        <x:f>SUM($D$5:D1996)</x:f>
        <x:v>1.0000000000000036</x:v>
      </x:c>
      <x:c r="F1996" s="1" t="str">
        <x:f>IF(C1996&lt;=0,"C",IF(E1996-D1996&lt;'Дашборд'!$C$49,"A",IF(E1996-D1996&lt;'Дашборд'!$C$50,"B","C")))</x:f>
        <x:v>C</x:v>
      </x:c>
      <x:c r="G1996" s="8" t="n">
        <x:f>'Данные'!F1996</x:f>
        <x:v>0</x:v>
      </x:c>
      <x:c r="H1996" s="8" t="n">
        <x:f>SUM('Данные'!H1996:I1996)</x:f>
        <x:v>0</x:v>
      </x:c>
      <x:c r="I1996" s="16" t="str">
        <x:f>IF(H1996&gt;0,G1996/H1996,"n.a.")</x:f>
        <x:v>n.a.</x:v>
      </x:c>
      <x:c r="J1996" s="10" t="str">
        <x:f>IF('Данные'!E1996&gt;0,G1996/'Данные'!E1996,"n.a.")</x:f>
        <x:v>n.a.</x:v>
      </x:c>
      <x:c r="K1996" s="1" t="str">
        <x:f>IF(G1996&gt;='Дашборд'!$C$51,"X","Z")</x:f>
        <x:v>Z</x:v>
      </x:c>
      <x:c r="L1996" s="1" t="str">
        <x:f>IF(H1996=0,IF(G1996&gt;0,"Нет остатка","Нет спроса"),IF(I1996&gt;='Дашборд'!$C$52,"Быстрый","Медленный"))</x:f>
        <x:v>Нет спроса</x:v>
      </x:c>
      <x:c r="M1996" s="1" t="str">
        <x:f>IF('Данные'!E1996&lt;'Дашборд'!$C$53,"Мало трафика",IF(J1996&lt;'Дашборд'!$C$9*'Дашборд'!$C$54,"Да","Нет"))</x:f>
        <x:v>Мало трафика</x:v>
      </x:c>
      <x:c r="N1996" s="1" t="str">
        <x:f>IF(AND('Данные'!D1996&gt;='Дашборд'!$C$55,D1996&lt;'Дашборд'!$C$56,'Данные'!E1996&gt;='Дашборд'!$C$53,'Данные'!L1996&lt;&gt;"Да"),"Да","Нет")</x:f>
        <x:v>Нет</x:v>
      </x:c>
      <x:c r="O1996" s="1" t="str">
        <x:f>'Данные'!L1996</x:f>
        <x:v>Нет</x:v>
      </x:c>
    </x:row>
    <x:row r="1997">
      <x:c r="A1997" s="1" t="str">
        <x:f>'Данные'!A1997</x:f>
        <x:v>215422728</x:v>
      </x:c>
      <x:c r="B1997" s="1" t="str">
        <x:f>'Данные'!B1997</x:f>
        <x:v>kulirkamanprint/CALIFORNIA-100/черный</x:v>
      </x:c>
      <x:c r="C1997" s="8" t="n">
        <x:f>'Данные'!G1997</x:f>
        <x:v>0</x:v>
      </x:c>
      <x:c r="D1997" s="15" t="n">
        <x:f>C1997/SUM($C$5:$C$2477)</x:f>
        <x:v>0</x:v>
      </x:c>
      <x:c r="E1997" s="15" t="n">
        <x:f>SUM($D$5:D1997)</x:f>
        <x:v>1.0000000000000036</x:v>
      </x:c>
      <x:c r="F1997" s="1" t="str">
        <x:f>IF(C1997&lt;=0,"C",IF(E1997-D1997&lt;'Дашборд'!$C$49,"A",IF(E1997-D1997&lt;'Дашборд'!$C$50,"B","C")))</x:f>
        <x:v>C</x:v>
      </x:c>
      <x:c r="G1997" s="8" t="n">
        <x:f>'Данные'!F1997</x:f>
        <x:v>0</x:v>
      </x:c>
      <x:c r="H1997" s="8" t="n">
        <x:f>SUM('Данные'!H1997:I1997)</x:f>
        <x:v>0</x:v>
      </x:c>
      <x:c r="I1997" s="16" t="str">
        <x:f>IF(H1997&gt;0,G1997/H1997,"n.a.")</x:f>
        <x:v>n.a.</x:v>
      </x:c>
      <x:c r="J1997" s="10" t="n">
        <x:f>IF('Данные'!E1997&gt;0,G1997/'Данные'!E1997,"n.a.")</x:f>
        <x:v>0</x:v>
      </x:c>
      <x:c r="K1997" s="1" t="str">
        <x:f>IF(G1997&gt;='Дашборд'!$C$51,"X","Z")</x:f>
        <x:v>Z</x:v>
      </x:c>
      <x:c r="L1997" s="1" t="str">
        <x:f>IF(H1997=0,IF(G1997&gt;0,"Нет остатка","Нет спроса"),IF(I1997&gt;='Дашборд'!$C$52,"Быстрый","Медленный"))</x:f>
        <x:v>Нет спроса</x:v>
      </x:c>
      <x:c r="M1997" s="1" t="str">
        <x:f>IF('Данные'!E1997&lt;'Дашборд'!$C$53,"Мало трафика",IF(J1997&lt;'Дашборд'!$C$9*'Дашборд'!$C$54,"Да","Нет"))</x:f>
        <x:v>Мало трафика</x:v>
      </x:c>
      <x:c r="N1997" s="1" t="str">
        <x:f>IF(AND('Данные'!D1997&gt;='Дашборд'!$C$55,D1997&lt;'Дашборд'!$C$56,'Данные'!E1997&gt;='Дашборд'!$C$53,'Данные'!L1997&lt;&gt;"Да"),"Да","Нет")</x:f>
        <x:v>Нет</x:v>
      </x:c>
      <x:c r="O1997" s="1" t="str">
        <x:f>'Данные'!L1997</x:f>
        <x:v>Нет</x:v>
      </x:c>
    </x:row>
    <x:row r="1998">
      <x:c r="A1998" s="1" t="str">
        <x:f>'Данные'!A1998</x:f>
        <x:v>215422733</x:v>
      </x:c>
      <x:c r="B1998" s="1" t="str">
        <x:f>'Данные'!B1998</x:f>
        <x:v>kulirkamanprint/Champion-101/черный</x:v>
      </x:c>
      <x:c r="C1998" s="8" t="n">
        <x:f>'Данные'!G1998</x:f>
        <x:v>0</x:v>
      </x:c>
      <x:c r="D1998" s="15" t="n">
        <x:f>C1998/SUM($C$5:$C$2477)</x:f>
        <x:v>0</x:v>
      </x:c>
      <x:c r="E1998" s="15" t="n">
        <x:f>SUM($D$5:D1998)</x:f>
        <x:v>1.0000000000000036</x:v>
      </x:c>
      <x:c r="F1998" s="1" t="str">
        <x:f>IF(C1998&lt;=0,"C",IF(E1998-D1998&lt;'Дашборд'!$C$49,"A",IF(E1998-D1998&lt;'Дашборд'!$C$50,"B","C")))</x:f>
        <x:v>C</x:v>
      </x:c>
      <x:c r="G1998" s="8" t="n">
        <x:f>'Данные'!F1998</x:f>
        <x:v>0</x:v>
      </x:c>
      <x:c r="H1998" s="8" t="n">
        <x:f>SUM('Данные'!H1998:I1998)</x:f>
        <x:v>0</x:v>
      </x:c>
      <x:c r="I1998" s="16" t="str">
        <x:f>IF(H1998&gt;0,G1998/H1998,"n.a.")</x:f>
        <x:v>n.a.</x:v>
      </x:c>
      <x:c r="J1998" s="10" t="n">
        <x:f>IF('Данные'!E1998&gt;0,G1998/'Данные'!E1998,"n.a.")</x:f>
        <x:v>0</x:v>
      </x:c>
      <x:c r="K1998" s="1" t="str">
        <x:f>IF(G1998&gt;='Дашборд'!$C$51,"X","Z")</x:f>
        <x:v>Z</x:v>
      </x:c>
      <x:c r="L1998" s="1" t="str">
        <x:f>IF(H1998=0,IF(G1998&gt;0,"Нет остатка","Нет спроса"),IF(I1998&gt;='Дашборд'!$C$52,"Быстрый","Медленный"))</x:f>
        <x:v>Нет спроса</x:v>
      </x:c>
      <x:c r="M1998" s="1" t="str">
        <x:f>IF('Данные'!E1998&lt;'Дашборд'!$C$53,"Мало трафика",IF(J1998&lt;'Дашборд'!$C$9*'Дашборд'!$C$54,"Да","Нет"))</x:f>
        <x:v>Мало трафика</x:v>
      </x:c>
      <x:c r="N1998" s="1" t="str">
        <x:f>IF(AND('Данные'!D1998&gt;='Дашборд'!$C$55,D1998&lt;'Дашборд'!$C$56,'Данные'!E1998&gt;='Дашборд'!$C$53,'Данные'!L1998&lt;&gt;"Да"),"Да","Нет")</x:f>
        <x:v>Нет</x:v>
      </x:c>
      <x:c r="O1998" s="1" t="str">
        <x:f>'Данные'!L1998</x:f>
        <x:v>Нет</x:v>
      </x:c>
    </x:row>
    <x:row r="1999">
      <x:c r="A1999" s="1" t="str">
        <x:f>'Данные'!A1999</x:f>
        <x:v>215422734</x:v>
      </x:c>
      <x:c r="B1999" s="1" t="str">
        <x:f>'Данные'!B1999</x:f>
        <x:v>futbolkaprint/ISTANBUL-107/бежевый</x:v>
      </x:c>
      <x:c r="C1999" s="8" t="n">
        <x:f>'Данные'!G1999</x:f>
        <x:v>0</x:v>
      </x:c>
      <x:c r="D1999" s="15" t="n">
        <x:f>C1999/SUM($C$5:$C$2477)</x:f>
        <x:v>0</x:v>
      </x:c>
      <x:c r="E1999" s="15" t="n">
        <x:f>SUM($D$5:D1999)</x:f>
        <x:v>1.0000000000000036</x:v>
      </x:c>
      <x:c r="F1999" s="1" t="str">
        <x:f>IF(C1999&lt;=0,"C",IF(E1999-D1999&lt;'Дашборд'!$C$49,"A",IF(E1999-D1999&lt;'Дашборд'!$C$50,"B","C")))</x:f>
        <x:v>C</x:v>
      </x:c>
      <x:c r="G1999" s="8" t="n">
        <x:f>'Данные'!F1999</x:f>
        <x:v>0</x:v>
      </x:c>
      <x:c r="H1999" s="8" t="n">
        <x:f>SUM('Данные'!H1999:I1999)</x:f>
        <x:v>0</x:v>
      </x:c>
      <x:c r="I1999" s="16" t="str">
        <x:f>IF(H1999&gt;0,G1999/H1999,"n.a.")</x:f>
        <x:v>n.a.</x:v>
      </x:c>
      <x:c r="J1999" s="10" t="n">
        <x:f>IF('Данные'!E1999&gt;0,G1999/'Данные'!E1999,"n.a.")</x:f>
        <x:v>0</x:v>
      </x:c>
      <x:c r="K1999" s="1" t="str">
        <x:f>IF(G1999&gt;='Дашборд'!$C$51,"X","Z")</x:f>
        <x:v>Z</x:v>
      </x:c>
      <x:c r="L1999" s="1" t="str">
        <x:f>IF(H1999=0,IF(G1999&gt;0,"Нет остатка","Нет спроса"),IF(I1999&gt;='Дашборд'!$C$52,"Быстрый","Медленный"))</x:f>
        <x:v>Нет спроса</x:v>
      </x:c>
      <x:c r="M1999" s="1" t="str">
        <x:f>IF('Данные'!E1999&lt;'Дашборд'!$C$53,"Мало трафика",IF(J1999&lt;'Дашборд'!$C$9*'Дашборд'!$C$54,"Да","Нет"))</x:f>
        <x:v>Мало трафика</x:v>
      </x:c>
      <x:c r="N1999" s="1" t="str">
        <x:f>IF(AND('Данные'!D1999&gt;='Дашборд'!$C$55,D1999&lt;'Дашборд'!$C$56,'Данные'!E1999&gt;='Дашборд'!$C$53,'Данные'!L1999&lt;&gt;"Да"),"Да","Нет")</x:f>
        <x:v>Нет</x:v>
      </x:c>
      <x:c r="O1999" s="1" t="str">
        <x:f>'Данные'!L1999</x:f>
        <x:v>Нет</x:v>
      </x:c>
    </x:row>
    <x:row r="2000">
      <x:c r="A2000" s="1" t="str">
        <x:f>'Данные'!A2000</x:f>
        <x:v>215422758</x:v>
      </x:c>
      <x:c r="B2000" s="1" t="str">
        <x:f>'Данные'!B2000</x:f>
        <x:v>futbolkaprint/PARIS-99/молочный</x:v>
      </x:c>
      <x:c r="C2000" s="8" t="n">
        <x:f>'Данные'!G2000</x:f>
        <x:v>0</x:v>
      </x:c>
      <x:c r="D2000" s="15" t="n">
        <x:f>C2000/SUM($C$5:$C$2477)</x:f>
        <x:v>0</x:v>
      </x:c>
      <x:c r="E2000" s="15" t="n">
        <x:f>SUM($D$5:D2000)</x:f>
        <x:v>1.0000000000000036</x:v>
      </x:c>
      <x:c r="F2000" s="1" t="str">
        <x:f>IF(C2000&lt;=0,"C",IF(E2000-D2000&lt;'Дашборд'!$C$49,"A",IF(E2000-D2000&lt;'Дашборд'!$C$50,"B","C")))</x:f>
        <x:v>C</x:v>
      </x:c>
      <x:c r="G2000" s="8" t="n">
        <x:f>'Данные'!F2000</x:f>
        <x:v>0</x:v>
      </x:c>
      <x:c r="H2000" s="8" t="n">
        <x:f>SUM('Данные'!H2000:I2000)</x:f>
        <x:v>0</x:v>
      </x:c>
      <x:c r="I2000" s="16" t="str">
        <x:f>IF(H2000&gt;0,G2000/H2000,"n.a.")</x:f>
        <x:v>n.a.</x:v>
      </x:c>
      <x:c r="J2000" s="10" t="n">
        <x:f>IF('Данные'!E2000&gt;0,G2000/'Данные'!E2000,"n.a.")</x:f>
        <x:v>0</x:v>
      </x:c>
      <x:c r="K2000" s="1" t="str">
        <x:f>IF(G2000&gt;='Дашборд'!$C$51,"X","Z")</x:f>
        <x:v>Z</x:v>
      </x:c>
      <x:c r="L2000" s="1" t="str">
        <x:f>IF(H2000=0,IF(G2000&gt;0,"Нет остатка","Нет спроса"),IF(I2000&gt;='Дашборд'!$C$52,"Быстрый","Медленный"))</x:f>
        <x:v>Нет спроса</x:v>
      </x:c>
      <x:c r="M2000" s="1" t="str">
        <x:f>IF('Данные'!E2000&lt;'Дашборд'!$C$53,"Мало трафика",IF(J2000&lt;'Дашборд'!$C$9*'Дашборд'!$C$54,"Да","Нет"))</x:f>
        <x:v>Мало трафика</x:v>
      </x:c>
      <x:c r="N2000" s="1" t="str">
        <x:f>IF(AND('Данные'!D2000&gt;='Дашборд'!$C$55,D2000&lt;'Дашборд'!$C$56,'Данные'!E2000&gt;='Дашборд'!$C$53,'Данные'!L2000&lt;&gt;"Да"),"Да","Нет")</x:f>
        <x:v>Нет</x:v>
      </x:c>
      <x:c r="O2000" s="1" t="str">
        <x:f>'Данные'!L2000</x:f>
        <x:v>Нет</x:v>
      </x:c>
    </x:row>
    <x:row r="2001">
      <x:c r="A2001" s="1" t="str">
        <x:f>'Данные'!A2001</x:f>
        <x:v>215460015</x:v>
      </x:c>
      <x:c r="B2001" s="1" t="str">
        <x:f>'Данные'!B2001</x:f>
        <x:v>2xnitkamanshort/светло-зеленый</x:v>
      </x:c>
      <x:c r="C2001" s="8" t="n">
        <x:f>'Данные'!G2001</x:f>
        <x:v>0</x:v>
      </x:c>
      <x:c r="D2001" s="15" t="n">
        <x:f>C2001/SUM($C$5:$C$2477)</x:f>
        <x:v>0</x:v>
      </x:c>
      <x:c r="E2001" s="15" t="n">
        <x:f>SUM($D$5:D2001)</x:f>
        <x:v>1.0000000000000036</x:v>
      </x:c>
      <x:c r="F2001" s="1" t="str">
        <x:f>IF(C2001&lt;=0,"C",IF(E2001-D2001&lt;'Дашборд'!$C$49,"A",IF(E2001-D2001&lt;'Дашборд'!$C$50,"B","C")))</x:f>
        <x:v>C</x:v>
      </x:c>
      <x:c r="G2001" s="8" t="n">
        <x:f>'Данные'!F2001</x:f>
        <x:v>0</x:v>
      </x:c>
      <x:c r="H2001" s="8" t="n">
        <x:f>SUM('Данные'!H2001:I2001)</x:f>
        <x:v>0</x:v>
      </x:c>
      <x:c r="I2001" s="16" t="str">
        <x:f>IF(H2001&gt;0,G2001/H2001,"n.a.")</x:f>
        <x:v>n.a.</x:v>
      </x:c>
      <x:c r="J2001" s="10" t="n">
        <x:f>IF('Данные'!E2001&gt;0,G2001/'Данные'!E2001,"n.a.")</x:f>
        <x:v>0</x:v>
      </x:c>
      <x:c r="K2001" s="1" t="str">
        <x:f>IF(G2001&gt;='Дашборд'!$C$51,"X","Z")</x:f>
        <x:v>Z</x:v>
      </x:c>
      <x:c r="L2001" s="1" t="str">
        <x:f>IF(H2001=0,IF(G2001&gt;0,"Нет остатка","Нет спроса"),IF(I2001&gt;='Дашборд'!$C$52,"Быстрый","Медленный"))</x:f>
        <x:v>Нет спроса</x:v>
      </x:c>
      <x:c r="M2001" s="1" t="str">
        <x:f>IF('Данные'!E2001&lt;'Дашборд'!$C$53,"Мало трафика",IF(J2001&lt;'Дашборд'!$C$9*'Дашборд'!$C$54,"Да","Нет"))</x:f>
        <x:v>Мало трафика</x:v>
      </x:c>
      <x:c r="N2001" s="1" t="str">
        <x:f>IF(AND('Данные'!D2001&gt;='Дашборд'!$C$55,D2001&lt;'Дашборд'!$C$56,'Данные'!E2001&gt;='Дашборд'!$C$53,'Данные'!L2001&lt;&gt;"Да"),"Да","Нет")</x:f>
        <x:v>Нет</x:v>
      </x:c>
      <x:c r="O2001" s="1" t="str">
        <x:f>'Данные'!L2001</x:f>
        <x:v>Нет</x:v>
      </x:c>
    </x:row>
    <x:row r="2002">
      <x:c r="A2002" s="1" t="str">
        <x:f>'Данные'!A2002</x:f>
        <x:v>215460068</x:v>
      </x:c>
      <x:c r="B2002" s="1" t="str">
        <x:f>'Данные'!B2002</x:f>
        <x:v>2xnitkamanshort/серыймеланж</x:v>
      </x:c>
      <x:c r="C2002" s="8" t="n">
        <x:f>'Данные'!G2002</x:f>
        <x:v>0</x:v>
      </x:c>
      <x:c r="D2002" s="15" t="n">
        <x:f>C2002/SUM($C$5:$C$2477)</x:f>
        <x:v>0</x:v>
      </x:c>
      <x:c r="E2002" s="15" t="n">
        <x:f>SUM($D$5:D2002)</x:f>
        <x:v>1.0000000000000036</x:v>
      </x:c>
      <x:c r="F2002" s="1" t="str">
        <x:f>IF(C2002&lt;=0,"C",IF(E2002-D2002&lt;'Дашборд'!$C$49,"A",IF(E2002-D2002&lt;'Дашборд'!$C$50,"B","C")))</x:f>
        <x:v>C</x:v>
      </x:c>
      <x:c r="G2002" s="8" t="n">
        <x:f>'Данные'!F2002</x:f>
        <x:v>0</x:v>
      </x:c>
      <x:c r="H2002" s="8" t="n">
        <x:f>SUM('Данные'!H2002:I2002)</x:f>
        <x:v>2</x:v>
      </x:c>
      <x:c r="I2002" s="16" t="n">
        <x:f>IF(H2002&gt;0,G2002/H2002,"n.a.")</x:f>
        <x:v>0</x:v>
      </x:c>
      <x:c r="J2002" s="10" t="n">
        <x:f>IF('Данные'!E2002&gt;0,G2002/'Данные'!E2002,"n.a.")</x:f>
        <x:v>0</x:v>
      </x:c>
      <x:c r="K2002" s="1" t="str">
        <x:f>IF(G2002&gt;='Дашборд'!$C$51,"X","Z")</x:f>
        <x:v>Z</x:v>
      </x:c>
      <x:c r="L2002" s="1" t="str">
        <x:f>IF(H2002=0,IF(G2002&gt;0,"Нет остатка","Нет спроса"),IF(I2002&gt;='Дашборд'!$C$52,"Быстрый","Медленный"))</x:f>
        <x:v>Медленный</x:v>
      </x:c>
      <x:c r="M2002" s="1" t="str">
        <x:f>IF('Данные'!E2002&lt;'Дашборд'!$C$53,"Мало трафика",IF(J2002&lt;'Дашборд'!$C$9*'Дашборд'!$C$54,"Да","Нет"))</x:f>
        <x:v>Мало трафика</x:v>
      </x:c>
      <x:c r="N2002" s="1" t="str">
        <x:f>IF(AND('Данные'!D2002&gt;='Дашборд'!$C$55,D2002&lt;'Дашборд'!$C$56,'Данные'!E2002&gt;='Дашборд'!$C$53,'Данные'!L2002&lt;&gt;"Да"),"Да","Нет")</x:f>
        <x:v>Нет</x:v>
      </x:c>
      <x:c r="O2002" s="1" t="str">
        <x:f>'Данные'!L2002</x:f>
        <x:v>Нет</x:v>
      </x:c>
    </x:row>
    <x:row r="2003">
      <x:c r="A2003" s="1" t="str">
        <x:f>'Данные'!A2003</x:f>
        <x:v>215639730</x:v>
      </x:c>
      <x:c r="B2003" s="1" t="str">
        <x:f>'Данные'!B2003</x:f>
        <x:v>2xnitkaman/молочный-белый шоколад</x:v>
      </x:c>
      <x:c r="C2003" s="8" t="n">
        <x:f>'Данные'!G2003</x:f>
        <x:v>0</x:v>
      </x:c>
      <x:c r="D2003" s="15" t="n">
        <x:f>C2003/SUM($C$5:$C$2477)</x:f>
        <x:v>0</x:v>
      </x:c>
      <x:c r="E2003" s="15" t="n">
        <x:f>SUM($D$5:D2003)</x:f>
        <x:v>1.0000000000000036</x:v>
      </x:c>
      <x:c r="F2003" s="1" t="str">
        <x:f>IF(C2003&lt;=0,"C",IF(E2003-D2003&lt;'Дашборд'!$C$49,"A",IF(E2003-D2003&lt;'Дашборд'!$C$50,"B","C")))</x:f>
        <x:v>C</x:v>
      </x:c>
      <x:c r="G2003" s="8" t="n">
        <x:f>'Данные'!F2003</x:f>
        <x:v>0</x:v>
      </x:c>
      <x:c r="H2003" s="8" t="n">
        <x:f>SUM('Данные'!H2003:I2003)</x:f>
        <x:v>0</x:v>
      </x:c>
      <x:c r="I2003" s="16" t="str">
        <x:f>IF(H2003&gt;0,G2003/H2003,"n.a.")</x:f>
        <x:v>n.a.</x:v>
      </x:c>
      <x:c r="J2003" s="10" t="n">
        <x:f>IF('Данные'!E2003&gt;0,G2003/'Данные'!E2003,"n.a.")</x:f>
        <x:v>0</x:v>
      </x:c>
      <x:c r="K2003" s="1" t="str">
        <x:f>IF(G2003&gt;='Дашборд'!$C$51,"X","Z")</x:f>
        <x:v>Z</x:v>
      </x:c>
      <x:c r="L2003" s="1" t="str">
        <x:f>IF(H2003=0,IF(G2003&gt;0,"Нет остатка","Нет спроса"),IF(I2003&gt;='Дашборд'!$C$52,"Быстрый","Медленный"))</x:f>
        <x:v>Нет спроса</x:v>
      </x:c>
      <x:c r="M2003" s="1" t="str">
        <x:f>IF('Данные'!E2003&lt;'Дашборд'!$C$53,"Мало трафика",IF(J2003&lt;'Дашборд'!$C$9*'Дашборд'!$C$54,"Да","Нет"))</x:f>
        <x:v>Мало трафика</x:v>
      </x:c>
      <x:c r="N2003" s="1" t="str">
        <x:f>IF(AND('Данные'!D2003&gt;='Дашборд'!$C$55,D2003&lt;'Дашборд'!$C$56,'Данные'!E2003&gt;='Дашборд'!$C$53,'Данные'!L2003&lt;&gt;"Да"),"Да","Нет")</x:f>
        <x:v>Нет</x:v>
      </x:c>
      <x:c r="O2003" s="1" t="str">
        <x:f>'Данные'!L2003</x:f>
        <x:v>Нет</x:v>
      </x:c>
    </x:row>
    <x:row r="2004">
      <x:c r="A2004" s="1" t="str">
        <x:f>'Данные'!A2004</x:f>
        <x:v>216135568</x:v>
      </x:c>
      <x:c r="B2004" s="1" t="str">
        <x:f>'Данные'!B2004</x:f>
        <x:v>2xnitkamanshort/темно-серый</x:v>
      </x:c>
      <x:c r="C2004" s="8" t="n">
        <x:f>'Данные'!G2004</x:f>
        <x:v>0</x:v>
      </x:c>
      <x:c r="D2004" s="15" t="n">
        <x:f>C2004/SUM($C$5:$C$2477)</x:f>
        <x:v>0</x:v>
      </x:c>
      <x:c r="E2004" s="15" t="n">
        <x:f>SUM($D$5:D2004)</x:f>
        <x:v>1.0000000000000036</x:v>
      </x:c>
      <x:c r="F2004" s="1" t="str">
        <x:f>IF(C2004&lt;=0,"C",IF(E2004-D2004&lt;'Дашборд'!$C$49,"A",IF(E2004-D2004&lt;'Дашборд'!$C$50,"B","C")))</x:f>
        <x:v>C</x:v>
      </x:c>
      <x:c r="G2004" s="8" t="n">
        <x:f>'Данные'!F2004</x:f>
        <x:v>0</x:v>
      </x:c>
      <x:c r="H2004" s="8" t="n">
        <x:f>SUM('Данные'!H2004:I2004)</x:f>
        <x:v>0</x:v>
      </x:c>
      <x:c r="I2004" s="16" t="str">
        <x:f>IF(H2004&gt;0,G2004/H2004,"n.a.")</x:f>
        <x:v>n.a.</x:v>
      </x:c>
      <x:c r="J2004" s="10" t="n">
        <x:f>IF('Данные'!E2004&gt;0,G2004/'Данные'!E2004,"n.a.")</x:f>
        <x:v>0</x:v>
      </x:c>
      <x:c r="K2004" s="1" t="str">
        <x:f>IF(G2004&gt;='Дашборд'!$C$51,"X","Z")</x:f>
        <x:v>Z</x:v>
      </x:c>
      <x:c r="L2004" s="1" t="str">
        <x:f>IF(H2004=0,IF(G2004&gt;0,"Нет остатка","Нет спроса"),IF(I2004&gt;='Дашборд'!$C$52,"Быстрый","Медленный"))</x:f>
        <x:v>Нет спроса</x:v>
      </x:c>
      <x:c r="M2004" s="1" t="str">
        <x:f>IF('Данные'!E2004&lt;'Дашборд'!$C$53,"Мало трафика",IF(J2004&lt;'Дашборд'!$C$9*'Дашборд'!$C$54,"Да","Нет"))</x:f>
        <x:v>Мало трафика</x:v>
      </x:c>
      <x:c r="N2004" s="1" t="str">
        <x:f>IF(AND('Данные'!D2004&gt;='Дашборд'!$C$55,D2004&lt;'Дашборд'!$C$56,'Данные'!E2004&gt;='Дашборд'!$C$53,'Данные'!L2004&lt;&gt;"Да"),"Да","Нет")</x:f>
        <x:v>Нет</x:v>
      </x:c>
      <x:c r="O2004" s="1" t="str">
        <x:f>'Данные'!L2004</x:f>
        <x:v>Нет</x:v>
      </x:c>
    </x:row>
    <x:row r="2005">
      <x:c r="A2005" s="1" t="str">
        <x:f>'Данные'!A2005</x:f>
        <x:v>21665638</x:v>
      </x:c>
      <x:c r="B2005" s="1" t="str">
        <x:f>'Данные'!B2005</x:f>
        <x:v>hudipetlyaaa/черный</x:v>
      </x:c>
      <x:c r="C2005" s="8" t="n">
        <x:f>'Данные'!G2005</x:f>
        <x:v>0</x:v>
      </x:c>
      <x:c r="D2005" s="15" t="n">
        <x:f>C2005/SUM($C$5:$C$2477)</x:f>
        <x:v>0</x:v>
      </x:c>
      <x:c r="E2005" s="15" t="n">
        <x:f>SUM($D$5:D2005)</x:f>
        <x:v>1.0000000000000036</x:v>
      </x:c>
      <x:c r="F2005" s="1" t="str">
        <x:f>IF(C2005&lt;=0,"C",IF(E2005-D2005&lt;'Дашборд'!$C$49,"A",IF(E2005-D2005&lt;'Дашборд'!$C$50,"B","C")))</x:f>
        <x:v>C</x:v>
      </x:c>
      <x:c r="G2005" s="8" t="n">
        <x:f>'Данные'!F2005</x:f>
        <x:v>0</x:v>
      </x:c>
      <x:c r="H2005" s="8" t="n">
        <x:f>SUM('Данные'!H2005:I2005)</x:f>
        <x:v>0</x:v>
      </x:c>
      <x:c r="I2005" s="16" t="str">
        <x:f>IF(H2005&gt;0,G2005/H2005,"n.a.")</x:f>
        <x:v>n.a.</x:v>
      </x:c>
      <x:c r="J2005" s="10" t="n">
        <x:f>IF('Данные'!E2005&gt;0,G2005/'Данные'!E2005,"n.a.")</x:f>
        <x:v>0</x:v>
      </x:c>
      <x:c r="K2005" s="1" t="str">
        <x:f>IF(G2005&gt;='Дашборд'!$C$51,"X","Z")</x:f>
        <x:v>Z</x:v>
      </x:c>
      <x:c r="L2005" s="1" t="str">
        <x:f>IF(H2005=0,IF(G2005&gt;0,"Нет остатка","Нет спроса"),IF(I2005&gt;='Дашборд'!$C$52,"Быстрый","Медленный"))</x:f>
        <x:v>Нет спроса</x:v>
      </x:c>
      <x:c r="M2005" s="1" t="str">
        <x:f>IF('Данные'!E2005&lt;'Дашборд'!$C$53,"Мало трафика",IF(J2005&lt;'Дашборд'!$C$9*'Дашборд'!$C$54,"Да","Нет"))</x:f>
        <x:v>Мало трафика</x:v>
      </x:c>
      <x:c r="N2005" s="1" t="str">
        <x:f>IF(AND('Данные'!D2005&gt;='Дашборд'!$C$55,D2005&lt;'Дашборд'!$C$56,'Данные'!E2005&gt;='Дашборд'!$C$53,'Данные'!L2005&lt;&gt;"Да"),"Да","Нет")</x:f>
        <x:v>Нет</x:v>
      </x:c>
      <x:c r="O2005" s="1" t="str">
        <x:f>'Данные'!L2005</x:f>
        <x:v>Нет</x:v>
      </x:c>
    </x:row>
    <x:row r="2006">
      <x:c r="A2006" s="1" t="str">
        <x:f>'Данные'!A2006</x:f>
        <x:v>216665883</x:v>
      </x:c>
      <x:c r="B2006" s="1" t="str">
        <x:f>'Данные'!B2006</x:f>
        <x:v>2Nfutbolkaman/серыймеланж</x:v>
      </x:c>
      <x:c r="C2006" s="8" t="n">
        <x:f>'Данные'!G2006</x:f>
        <x:v>0</x:v>
      </x:c>
      <x:c r="D2006" s="15" t="n">
        <x:f>C2006/SUM($C$5:$C$2477)</x:f>
        <x:v>0</x:v>
      </x:c>
      <x:c r="E2006" s="15" t="n">
        <x:f>SUM($D$5:D2006)</x:f>
        <x:v>1.0000000000000036</x:v>
      </x:c>
      <x:c r="F2006" s="1" t="str">
        <x:f>IF(C2006&lt;=0,"C",IF(E2006-D2006&lt;'Дашборд'!$C$49,"A",IF(E2006-D2006&lt;'Дашборд'!$C$50,"B","C")))</x:f>
        <x:v>C</x:v>
      </x:c>
      <x:c r="G2006" s="8" t="n">
        <x:f>'Данные'!F2006</x:f>
        <x:v>0</x:v>
      </x:c>
      <x:c r="H2006" s="8" t="n">
        <x:f>SUM('Данные'!H2006:I2006)</x:f>
        <x:v>0</x:v>
      </x:c>
      <x:c r="I2006" s="16" t="str">
        <x:f>IF(H2006&gt;0,G2006/H2006,"n.a.")</x:f>
        <x:v>n.a.</x:v>
      </x:c>
      <x:c r="J2006" s="10" t="n">
        <x:f>IF('Данные'!E2006&gt;0,G2006/'Данные'!E2006,"n.a.")</x:f>
        <x:v>0</x:v>
      </x:c>
      <x:c r="K2006" s="1" t="str">
        <x:f>IF(G2006&gt;='Дашборд'!$C$51,"X","Z")</x:f>
        <x:v>Z</x:v>
      </x:c>
      <x:c r="L2006" s="1" t="str">
        <x:f>IF(H2006=0,IF(G2006&gt;0,"Нет остатка","Нет спроса"),IF(I2006&gt;='Дашборд'!$C$52,"Быстрый","Медленный"))</x:f>
        <x:v>Нет спроса</x:v>
      </x:c>
      <x:c r="M2006" s="1" t="str">
        <x:f>IF('Данные'!E2006&lt;'Дашборд'!$C$53,"Мало трафика",IF(J2006&lt;'Дашборд'!$C$9*'Дашборд'!$C$54,"Да","Нет"))</x:f>
        <x:v>Мало трафика</x:v>
      </x:c>
      <x:c r="N2006" s="1" t="str">
        <x:f>IF(AND('Данные'!D2006&gt;='Дашборд'!$C$55,D2006&lt;'Дашборд'!$C$56,'Данные'!E2006&gt;='Дашборд'!$C$53,'Данные'!L2006&lt;&gt;"Да"),"Да","Нет")</x:f>
        <x:v>Нет</x:v>
      </x:c>
      <x:c r="O2006" s="1" t="str">
        <x:f>'Данные'!L2006</x:f>
        <x:v>Нет</x:v>
      </x:c>
    </x:row>
    <x:row r="2007">
      <x:c r="A2007" s="1" t="str">
        <x:f>'Данные'!A2007</x:f>
        <x:v>216665884</x:v>
      </x:c>
      <x:c r="B2007" s="1" t="str">
        <x:f>'Данные'!B2007</x:f>
        <x:v>2Nfutbolkaman/синий</x:v>
      </x:c>
      <x:c r="C2007" s="8" t="n">
        <x:f>'Данные'!G2007</x:f>
        <x:v>0</x:v>
      </x:c>
      <x:c r="D2007" s="15" t="n">
        <x:f>C2007/SUM($C$5:$C$2477)</x:f>
        <x:v>0</x:v>
      </x:c>
      <x:c r="E2007" s="15" t="n">
        <x:f>SUM($D$5:D2007)</x:f>
        <x:v>1.0000000000000036</x:v>
      </x:c>
      <x:c r="F2007" s="1" t="str">
        <x:f>IF(C2007&lt;=0,"C",IF(E2007-D2007&lt;'Дашборд'!$C$49,"A",IF(E2007-D2007&lt;'Дашборд'!$C$50,"B","C")))</x:f>
        <x:v>C</x:v>
      </x:c>
      <x:c r="G2007" s="8" t="n">
        <x:f>'Данные'!F2007</x:f>
        <x:v>1</x:v>
      </x:c>
      <x:c r="H2007" s="8" t="n">
        <x:f>SUM('Данные'!H2007:I2007)</x:f>
        <x:v>1</x:v>
      </x:c>
      <x:c r="I2007" s="16" t="n">
        <x:f>IF(H2007&gt;0,G2007/H2007,"n.a.")</x:f>
        <x:v>1</x:v>
      </x:c>
      <x:c r="J2007" s="10" t="n">
        <x:f>IF('Данные'!E2007&gt;0,G2007/'Данные'!E2007,"n.a.")</x:f>
        <x:v>0.0010559662090813093</x:v>
      </x:c>
      <x:c r="K2007" s="1" t="str">
        <x:f>IF(G2007&gt;='Дашборд'!$C$51,"X","Z")</x:f>
        <x:v>Z</x:v>
      </x:c>
      <x:c r="L2007" s="1" t="str">
        <x:f>IF(H2007=0,IF(G2007&gt;0,"Нет остатка","Нет спроса"),IF(I2007&gt;='Дашборд'!$C$52,"Быстрый","Медленный"))</x:f>
        <x:v>Быстрый</x:v>
      </x:c>
      <x:c r="M2007" s="1" t="str">
        <x:f>IF('Данные'!E2007&lt;'Дашборд'!$C$53,"Мало трафика",IF(J2007&lt;'Дашборд'!$C$9*'Дашборд'!$C$54,"Да","Нет"))</x:f>
        <x:v>Мало трафика</x:v>
      </x:c>
      <x:c r="N2007" s="1" t="str">
        <x:f>IF(AND('Данные'!D2007&gt;='Дашборд'!$C$55,D2007&lt;'Дашборд'!$C$56,'Данные'!E2007&gt;='Дашборд'!$C$53,'Данные'!L2007&lt;&gt;"Да"),"Да","Нет")</x:f>
        <x:v>Нет</x:v>
      </x:c>
      <x:c r="O2007" s="1" t="str">
        <x:f>'Данные'!L2007</x:f>
        <x:v>Нет</x:v>
      </x:c>
    </x:row>
    <x:row r="2008">
      <x:c r="A2008" s="1" t="str">
        <x:f>'Данные'!A2008</x:f>
        <x:v>217879611</x:v>
      </x:c>
      <x:c r="B2008" s="1" t="str">
        <x:f>'Данные'!B2008</x:f>
        <x:v>2NshortymanX2/чер-син</x:v>
      </x:c>
      <x:c r="C2008" s="8" t="n">
        <x:f>'Данные'!G2008</x:f>
        <x:v>0</x:v>
      </x:c>
      <x:c r="D2008" s="15" t="n">
        <x:f>C2008/SUM($C$5:$C$2477)</x:f>
        <x:v>0</x:v>
      </x:c>
      <x:c r="E2008" s="15" t="n">
        <x:f>SUM($D$5:D2008)</x:f>
        <x:v>1.0000000000000036</x:v>
      </x:c>
      <x:c r="F2008" s="1" t="str">
        <x:f>IF(C2008&lt;=0,"C",IF(E2008-D2008&lt;'Дашборд'!$C$49,"A",IF(E2008-D2008&lt;'Дашборд'!$C$50,"B","C")))</x:f>
        <x:v>C</x:v>
      </x:c>
      <x:c r="G2008" s="8" t="n">
        <x:f>'Данные'!F2008</x:f>
        <x:v>0</x:v>
      </x:c>
      <x:c r="H2008" s="8" t="n">
        <x:f>SUM('Данные'!H2008:I2008)</x:f>
        <x:v>0</x:v>
      </x:c>
      <x:c r="I2008" s="16" t="str">
        <x:f>IF(H2008&gt;0,G2008/H2008,"n.a.")</x:f>
        <x:v>n.a.</x:v>
      </x:c>
      <x:c r="J2008" s="10" t="n">
        <x:f>IF('Данные'!E2008&gt;0,G2008/'Данные'!E2008,"n.a.")</x:f>
        <x:v>0</x:v>
      </x:c>
      <x:c r="K2008" s="1" t="str">
        <x:f>IF(G2008&gt;='Дашборд'!$C$51,"X","Z")</x:f>
        <x:v>Z</x:v>
      </x:c>
      <x:c r="L2008" s="1" t="str">
        <x:f>IF(H2008=0,IF(G2008&gt;0,"Нет остатка","Нет спроса"),IF(I2008&gt;='Дашборд'!$C$52,"Быстрый","Медленный"))</x:f>
        <x:v>Нет спроса</x:v>
      </x:c>
      <x:c r="M2008" s="1" t="str">
        <x:f>IF('Данные'!E2008&lt;'Дашборд'!$C$53,"Мало трафика",IF(J2008&lt;'Дашборд'!$C$9*'Дашборд'!$C$54,"Да","Нет"))</x:f>
        <x:v>Мало трафика</x:v>
      </x:c>
      <x:c r="N2008" s="1" t="str">
        <x:f>IF(AND('Данные'!D2008&gt;='Дашборд'!$C$55,D2008&lt;'Дашборд'!$C$56,'Данные'!E2008&gt;='Дашборд'!$C$53,'Данные'!L2008&lt;&gt;"Да"),"Да","Нет")</x:f>
        <x:v>Нет</x:v>
      </x:c>
      <x:c r="O2008" s="1" t="str">
        <x:f>'Данные'!L2008</x:f>
        <x:v>Нет</x:v>
      </x:c>
    </x:row>
    <x:row r="2009">
      <x:c r="A2009" s="1" t="str">
        <x:f>'Данные'!A2009</x:f>
        <x:v>217879619</x:v>
      </x:c>
      <x:c r="B2009" s="1" t="str">
        <x:f>'Данные'!B2009</x:f>
        <x:v>2NshortymanX2/чер-сзел</x:v>
      </x:c>
      <x:c r="C2009" s="8" t="n">
        <x:f>'Данные'!G2009</x:f>
        <x:v>0</x:v>
      </x:c>
      <x:c r="D2009" s="15" t="n">
        <x:f>C2009/SUM($C$5:$C$2477)</x:f>
        <x:v>0</x:v>
      </x:c>
      <x:c r="E2009" s="15" t="n">
        <x:f>SUM($D$5:D2009)</x:f>
        <x:v>1.0000000000000036</x:v>
      </x:c>
      <x:c r="F2009" s="1" t="str">
        <x:f>IF(C2009&lt;=0,"C",IF(E2009-D2009&lt;'Дашборд'!$C$49,"A",IF(E2009-D2009&lt;'Дашборд'!$C$50,"B","C")))</x:f>
        <x:v>C</x:v>
      </x:c>
      <x:c r="G2009" s="8" t="n">
        <x:f>'Данные'!F2009</x:f>
        <x:v>0</x:v>
      </x:c>
      <x:c r="H2009" s="8" t="n">
        <x:f>SUM('Данные'!H2009:I2009)</x:f>
        <x:v>0</x:v>
      </x:c>
      <x:c r="I2009" s="16" t="str">
        <x:f>IF(H2009&gt;0,G2009/H2009,"n.a.")</x:f>
        <x:v>n.a.</x:v>
      </x:c>
      <x:c r="J2009" s="10" t="n">
        <x:f>IF('Данные'!E2009&gt;0,G2009/'Данные'!E2009,"n.a.")</x:f>
        <x:v>0</x:v>
      </x:c>
      <x:c r="K2009" s="1" t="str">
        <x:f>IF(G2009&gt;='Дашборд'!$C$51,"X","Z")</x:f>
        <x:v>Z</x:v>
      </x:c>
      <x:c r="L2009" s="1" t="str">
        <x:f>IF(H2009=0,IF(G2009&gt;0,"Нет остатка","Нет спроса"),IF(I2009&gt;='Дашборд'!$C$52,"Быстрый","Медленный"))</x:f>
        <x:v>Нет спроса</x:v>
      </x:c>
      <x:c r="M2009" s="1" t="str">
        <x:f>IF('Данные'!E2009&lt;'Дашборд'!$C$53,"Мало трафика",IF(J2009&lt;'Дашборд'!$C$9*'Дашборд'!$C$54,"Да","Нет"))</x:f>
        <x:v>Мало трафика</x:v>
      </x:c>
      <x:c r="N2009" s="1" t="str">
        <x:f>IF(AND('Данные'!D2009&gt;='Дашборд'!$C$55,D2009&lt;'Дашборд'!$C$56,'Данные'!E2009&gt;='Дашборд'!$C$53,'Данные'!L2009&lt;&gt;"Да"),"Да","Нет")</x:f>
        <x:v>Нет</x:v>
      </x:c>
      <x:c r="O2009" s="1" t="str">
        <x:f>'Данные'!L2009</x:f>
        <x:v>Нет</x:v>
      </x:c>
    </x:row>
    <x:row r="2010">
      <x:c r="A2010" s="1" t="str">
        <x:f>'Данные'!A2010</x:f>
        <x:v>218017366</x:v>
      </x:c>
      <x:c r="B2010" s="1" t="str">
        <x:f>'Данные'!B2010</x:f>
        <x:v>svitshotzip1/темно-серый-серо-черный</x:v>
      </x:c>
      <x:c r="C2010" s="8" t="n">
        <x:f>'Данные'!G2010</x:f>
        <x:v>0</x:v>
      </x:c>
      <x:c r="D2010" s="15" t="n">
        <x:f>C2010/SUM($C$5:$C$2477)</x:f>
        <x:v>0</x:v>
      </x:c>
      <x:c r="E2010" s="15" t="n">
        <x:f>SUM($D$5:D2010)</x:f>
        <x:v>1.0000000000000036</x:v>
      </x:c>
      <x:c r="F2010" s="1" t="str">
        <x:f>IF(C2010&lt;=0,"C",IF(E2010-D2010&lt;'Дашборд'!$C$49,"A",IF(E2010-D2010&lt;'Дашборд'!$C$50,"B","C")))</x:f>
        <x:v>C</x:v>
      </x:c>
      <x:c r="G2010" s="8" t="n">
        <x:f>'Данные'!F2010</x:f>
        <x:v>0</x:v>
      </x:c>
      <x:c r="H2010" s="8" t="n">
        <x:f>SUM('Данные'!H2010:I2010)</x:f>
        <x:v>0</x:v>
      </x:c>
      <x:c r="I2010" s="16" t="str">
        <x:f>IF(H2010&gt;0,G2010/H2010,"n.a.")</x:f>
        <x:v>n.a.</x:v>
      </x:c>
      <x:c r="J2010" s="10" t="n">
        <x:f>IF('Данные'!E2010&gt;0,G2010/'Данные'!E2010,"n.a.")</x:f>
        <x:v>0</x:v>
      </x:c>
      <x:c r="K2010" s="1" t="str">
        <x:f>IF(G2010&gt;='Дашборд'!$C$51,"X","Z")</x:f>
        <x:v>Z</x:v>
      </x:c>
      <x:c r="L2010" s="1" t="str">
        <x:f>IF(H2010=0,IF(G2010&gt;0,"Нет остатка","Нет спроса"),IF(I2010&gt;='Дашборд'!$C$52,"Быстрый","Медленный"))</x:f>
        <x:v>Нет спроса</x:v>
      </x:c>
      <x:c r="M2010" s="1" t="str">
        <x:f>IF('Данные'!E2010&lt;'Дашборд'!$C$53,"Мало трафика",IF(J2010&lt;'Дашборд'!$C$9*'Дашборд'!$C$54,"Да","Нет"))</x:f>
        <x:v>Мало трафика</x:v>
      </x:c>
      <x:c r="N2010" s="1" t="str">
        <x:f>IF(AND('Данные'!D2010&gt;='Дашборд'!$C$55,D2010&lt;'Дашборд'!$C$56,'Данные'!E2010&gt;='Дашборд'!$C$53,'Данные'!L2010&lt;&gt;"Да"),"Да","Нет")</x:f>
        <x:v>Нет</x:v>
      </x:c>
      <x:c r="O2010" s="1" t="str">
        <x:f>'Данные'!L2010</x:f>
        <x:v>Нет</x:v>
      </x:c>
    </x:row>
    <x:row r="2011">
      <x:c r="A2011" s="1" t="str">
        <x:f>'Данные'!A2011</x:f>
        <x:v>218733338</x:v>
      </x:c>
      <x:c r="B2011" s="1" t="str">
        <x:f>'Данные'!B2011</x:f>
        <x:v>shortycrop/белый</x:v>
      </x:c>
      <x:c r="C2011" s="8" t="n">
        <x:f>'Данные'!G2011</x:f>
        <x:v>0</x:v>
      </x:c>
      <x:c r="D2011" s="15" t="n">
        <x:f>C2011/SUM($C$5:$C$2477)</x:f>
        <x:v>0</x:v>
      </x:c>
      <x:c r="E2011" s="15" t="n">
        <x:f>SUM($D$5:D2011)</x:f>
        <x:v>1.0000000000000036</x:v>
      </x:c>
      <x:c r="F2011" s="1" t="str">
        <x:f>IF(C2011&lt;=0,"C",IF(E2011-D2011&lt;'Дашборд'!$C$49,"A",IF(E2011-D2011&lt;'Дашборд'!$C$50,"B","C")))</x:f>
        <x:v>C</x:v>
      </x:c>
      <x:c r="G2011" s="8" t="n">
        <x:f>'Данные'!F2011</x:f>
        <x:v>0</x:v>
      </x:c>
      <x:c r="H2011" s="8" t="n">
        <x:f>SUM('Данные'!H2011:I2011)</x:f>
        <x:v>0</x:v>
      </x:c>
      <x:c r="I2011" s="16" t="str">
        <x:f>IF(H2011&gt;0,G2011/H2011,"n.a.")</x:f>
        <x:v>n.a.</x:v>
      </x:c>
      <x:c r="J2011" s="10" t="n">
        <x:f>IF('Данные'!E2011&gt;0,G2011/'Данные'!E2011,"n.a.")</x:f>
        <x:v>0</x:v>
      </x:c>
      <x:c r="K2011" s="1" t="str">
        <x:f>IF(G2011&gt;='Дашборд'!$C$51,"X","Z")</x:f>
        <x:v>Z</x:v>
      </x:c>
      <x:c r="L2011" s="1" t="str">
        <x:f>IF(H2011=0,IF(G2011&gt;0,"Нет остатка","Нет спроса"),IF(I2011&gt;='Дашборд'!$C$52,"Быстрый","Медленный"))</x:f>
        <x:v>Нет спроса</x:v>
      </x:c>
      <x:c r="M2011" s="1" t="str">
        <x:f>IF('Данные'!E2011&lt;'Дашборд'!$C$53,"Мало трафика",IF(J2011&lt;'Дашборд'!$C$9*'Дашборд'!$C$54,"Да","Нет"))</x:f>
        <x:v>Мало трафика</x:v>
      </x:c>
      <x:c r="N2011" s="1" t="str">
        <x:f>IF(AND('Данные'!D2011&gt;='Дашборд'!$C$55,D2011&lt;'Дашборд'!$C$56,'Данные'!E2011&gt;='Дашборд'!$C$53,'Данные'!L2011&lt;&gt;"Да"),"Да","Нет")</x:f>
        <x:v>Нет</x:v>
      </x:c>
      <x:c r="O2011" s="1" t="str">
        <x:f>'Данные'!L2011</x:f>
        <x:v>Нет</x:v>
      </x:c>
    </x:row>
    <x:row r="2012">
      <x:c r="A2012" s="1" t="str">
        <x:f>'Данные'!A2012</x:f>
        <x:v>218743053</x:v>
      </x:c>
      <x:c r="B2012" s="1" t="str">
        <x:f>'Данные'!B2012</x:f>
        <x:v>shortycrop/голубой</x:v>
      </x:c>
      <x:c r="C2012" s="8" t="n">
        <x:f>'Данные'!G2012</x:f>
        <x:v>0</x:v>
      </x:c>
      <x:c r="D2012" s="15" t="n">
        <x:f>C2012/SUM($C$5:$C$2477)</x:f>
        <x:v>0</x:v>
      </x:c>
      <x:c r="E2012" s="15" t="n">
        <x:f>SUM($D$5:D2012)</x:f>
        <x:v>1.0000000000000036</x:v>
      </x:c>
      <x:c r="F2012" s="1" t="str">
        <x:f>IF(C2012&lt;=0,"C",IF(E2012-D2012&lt;'Дашборд'!$C$49,"A",IF(E2012-D2012&lt;'Дашборд'!$C$50,"B","C")))</x:f>
        <x:v>C</x:v>
      </x:c>
      <x:c r="G2012" s="8" t="n">
        <x:f>'Данные'!F2012</x:f>
        <x:v>1</x:v>
      </x:c>
      <x:c r="H2012" s="8" t="n">
        <x:f>SUM('Данные'!H2012:I2012)</x:f>
        <x:v>0</x:v>
      </x:c>
      <x:c r="I2012" s="16" t="str">
        <x:f>IF(H2012&gt;0,G2012/H2012,"n.a.")</x:f>
        <x:v>n.a.</x:v>
      </x:c>
      <x:c r="J2012" s="10" t="n">
        <x:f>IF('Данные'!E2012&gt;0,G2012/'Данные'!E2012,"n.a.")</x:f>
        <x:v>0.008771929824561403</x:v>
      </x:c>
      <x:c r="K2012" s="1" t="str">
        <x:f>IF(G2012&gt;='Дашборд'!$C$51,"X","Z")</x:f>
        <x:v>Z</x:v>
      </x:c>
      <x:c r="L2012" s="1" t="str">
        <x:f>IF(H2012=0,IF(G2012&gt;0,"Нет остатка","Нет спроса"),IF(I2012&gt;='Дашборд'!$C$52,"Быстрый","Медленный"))</x:f>
        <x:v>Нет остатка</x:v>
      </x:c>
      <x:c r="M2012" s="1" t="str">
        <x:f>IF('Данные'!E2012&lt;'Дашборд'!$C$53,"Мало трафика",IF(J2012&lt;'Дашборд'!$C$9*'Дашборд'!$C$54,"Да","Нет"))</x:f>
        <x:v>Мало трафика</x:v>
      </x:c>
      <x:c r="N2012" s="1" t="str">
        <x:f>IF(AND('Данные'!D2012&gt;='Дашборд'!$C$55,D2012&lt;'Дашборд'!$C$56,'Данные'!E2012&gt;='Дашборд'!$C$53,'Данные'!L2012&lt;&gt;"Да"),"Да","Нет")</x:f>
        <x:v>Нет</x:v>
      </x:c>
      <x:c r="O2012" s="1" t="str">
        <x:f>'Данные'!L2012</x:f>
        <x:v>Нет</x:v>
      </x:c>
    </x:row>
    <x:row r="2013">
      <x:c r="A2013" s="1" t="str">
        <x:f>'Данные'!A2013</x:f>
        <x:v>218743054</x:v>
      </x:c>
      <x:c r="B2013" s="1" t="str">
        <x:f>'Данные'!B2013</x:f>
        <x:v>shortycrop/какао</x:v>
      </x:c>
      <x:c r="C2013" s="8" t="n">
        <x:f>'Данные'!G2013</x:f>
        <x:v>0</x:v>
      </x:c>
      <x:c r="D2013" s="15" t="n">
        <x:f>C2013/SUM($C$5:$C$2477)</x:f>
        <x:v>0</x:v>
      </x:c>
      <x:c r="E2013" s="15" t="n">
        <x:f>SUM($D$5:D2013)</x:f>
        <x:v>1.0000000000000036</x:v>
      </x:c>
      <x:c r="F2013" s="1" t="str">
        <x:f>IF(C2013&lt;=0,"C",IF(E2013-D2013&lt;'Дашборд'!$C$49,"A",IF(E2013-D2013&lt;'Дашборд'!$C$50,"B","C")))</x:f>
        <x:v>C</x:v>
      </x:c>
      <x:c r="G2013" s="8" t="n">
        <x:f>'Данные'!F2013</x:f>
        <x:v>0</x:v>
      </x:c>
      <x:c r="H2013" s="8" t="n">
        <x:f>SUM('Данные'!H2013:I2013)</x:f>
        <x:v>0</x:v>
      </x:c>
      <x:c r="I2013" s="16" t="str">
        <x:f>IF(H2013&gt;0,G2013/H2013,"n.a.")</x:f>
        <x:v>n.a.</x:v>
      </x:c>
      <x:c r="J2013" s="10" t="n">
        <x:f>IF('Данные'!E2013&gt;0,G2013/'Данные'!E2013,"n.a.")</x:f>
        <x:v>0</x:v>
      </x:c>
      <x:c r="K2013" s="1" t="str">
        <x:f>IF(G2013&gt;='Дашборд'!$C$51,"X","Z")</x:f>
        <x:v>Z</x:v>
      </x:c>
      <x:c r="L2013" s="1" t="str">
        <x:f>IF(H2013=0,IF(G2013&gt;0,"Нет остатка","Нет спроса"),IF(I2013&gt;='Дашборд'!$C$52,"Быстрый","Медленный"))</x:f>
        <x:v>Нет спроса</x:v>
      </x:c>
      <x:c r="M2013" s="1" t="str">
        <x:f>IF('Данные'!E2013&lt;'Дашборд'!$C$53,"Мало трафика",IF(J2013&lt;'Дашборд'!$C$9*'Дашборд'!$C$54,"Да","Нет"))</x:f>
        <x:v>Мало трафика</x:v>
      </x:c>
      <x:c r="N2013" s="1" t="str">
        <x:f>IF(AND('Данные'!D2013&gt;='Дашборд'!$C$55,D2013&lt;'Дашборд'!$C$56,'Данные'!E2013&gt;='Дашборд'!$C$53,'Данные'!L2013&lt;&gt;"Да"),"Да","Нет")</x:f>
        <x:v>Нет</x:v>
      </x:c>
      <x:c r="O2013" s="1" t="str">
        <x:f>'Данные'!L2013</x:f>
        <x:v>Нет</x:v>
      </x:c>
    </x:row>
    <x:row r="2014">
      <x:c r="A2014" s="1" t="str">
        <x:f>'Данные'!A2014</x:f>
        <x:v>218743055</x:v>
      </x:c>
      <x:c r="B2014" s="1" t="str">
        <x:f>'Данные'!B2014</x:f>
        <x:v>shortycrop/дымка</x:v>
      </x:c>
      <x:c r="C2014" s="8" t="n">
        <x:f>'Данные'!G2014</x:f>
        <x:v>0</x:v>
      </x:c>
      <x:c r="D2014" s="15" t="n">
        <x:f>C2014/SUM($C$5:$C$2477)</x:f>
        <x:v>0</x:v>
      </x:c>
      <x:c r="E2014" s="15" t="n">
        <x:f>SUM($D$5:D2014)</x:f>
        <x:v>1.0000000000000036</x:v>
      </x:c>
      <x:c r="F2014" s="1" t="str">
        <x:f>IF(C2014&lt;=0,"C",IF(E2014-D2014&lt;'Дашборд'!$C$49,"A",IF(E2014-D2014&lt;'Дашборд'!$C$50,"B","C")))</x:f>
        <x:v>C</x:v>
      </x:c>
      <x:c r="G2014" s="8" t="n">
        <x:f>'Данные'!F2014</x:f>
        <x:v>0</x:v>
      </x:c>
      <x:c r="H2014" s="8" t="n">
        <x:f>SUM('Данные'!H2014:I2014)</x:f>
        <x:v>0</x:v>
      </x:c>
      <x:c r="I2014" s="16" t="str">
        <x:f>IF(H2014&gt;0,G2014/H2014,"n.a.")</x:f>
        <x:v>n.a.</x:v>
      </x:c>
      <x:c r="J2014" s="10" t="n">
        <x:f>IF('Данные'!E2014&gt;0,G2014/'Данные'!E2014,"n.a.")</x:f>
        <x:v>0</x:v>
      </x:c>
      <x:c r="K2014" s="1" t="str">
        <x:f>IF(G2014&gt;='Дашборд'!$C$51,"X","Z")</x:f>
        <x:v>Z</x:v>
      </x:c>
      <x:c r="L2014" s="1" t="str">
        <x:f>IF(H2014=0,IF(G2014&gt;0,"Нет остатка","Нет спроса"),IF(I2014&gt;='Дашборд'!$C$52,"Быстрый","Медленный"))</x:f>
        <x:v>Нет спроса</x:v>
      </x:c>
      <x:c r="M2014" s="1" t="str">
        <x:f>IF('Данные'!E2014&lt;'Дашборд'!$C$53,"Мало трафика",IF(J2014&lt;'Дашборд'!$C$9*'Дашборд'!$C$54,"Да","Нет"))</x:f>
        <x:v>Мало трафика</x:v>
      </x:c>
      <x:c r="N2014" s="1" t="str">
        <x:f>IF(AND('Данные'!D2014&gt;='Дашборд'!$C$55,D2014&lt;'Дашборд'!$C$56,'Данные'!E2014&gt;='Дашборд'!$C$53,'Данные'!L2014&lt;&gt;"Да"),"Да","Нет")</x:f>
        <x:v>Нет</x:v>
      </x:c>
      <x:c r="O2014" s="1" t="str">
        <x:f>'Данные'!L2014</x:f>
        <x:v>Нет</x:v>
      </x:c>
    </x:row>
    <x:row r="2015">
      <x:c r="A2015" s="1" t="str">
        <x:f>'Данные'!A2015</x:f>
        <x:v>218743056</x:v>
      </x:c>
      <x:c r="B2015" s="1" t="str">
        <x:f>'Данные'!B2015</x:f>
        <x:v>shortycrop/черный</x:v>
      </x:c>
      <x:c r="C2015" s="8" t="n">
        <x:f>'Данные'!G2015</x:f>
        <x:v>0</x:v>
      </x:c>
      <x:c r="D2015" s="15" t="n">
        <x:f>C2015/SUM($C$5:$C$2477)</x:f>
        <x:v>0</x:v>
      </x:c>
      <x:c r="E2015" s="15" t="n">
        <x:f>SUM($D$5:D2015)</x:f>
        <x:v>1.0000000000000036</x:v>
      </x:c>
      <x:c r="F2015" s="1" t="str">
        <x:f>IF(C2015&lt;=0,"C",IF(E2015-D2015&lt;'Дашборд'!$C$49,"A",IF(E2015-D2015&lt;'Дашборд'!$C$50,"B","C")))</x:f>
        <x:v>C</x:v>
      </x:c>
      <x:c r="G2015" s="8" t="n">
        <x:f>'Данные'!F2015</x:f>
        <x:v>0</x:v>
      </x:c>
      <x:c r="H2015" s="8" t="n">
        <x:f>SUM('Данные'!H2015:I2015)</x:f>
        <x:v>0</x:v>
      </x:c>
      <x:c r="I2015" s="16" t="str">
        <x:f>IF(H2015&gt;0,G2015/H2015,"n.a.")</x:f>
        <x:v>n.a.</x:v>
      </x:c>
      <x:c r="J2015" s="10" t="n">
        <x:f>IF('Данные'!E2015&gt;0,G2015/'Данные'!E2015,"n.a.")</x:f>
        <x:v>0</x:v>
      </x:c>
      <x:c r="K2015" s="1" t="str">
        <x:f>IF(G2015&gt;='Дашборд'!$C$51,"X","Z")</x:f>
        <x:v>Z</x:v>
      </x:c>
      <x:c r="L2015" s="1" t="str">
        <x:f>IF(H2015=0,IF(G2015&gt;0,"Нет остатка","Нет спроса"),IF(I2015&gt;='Дашборд'!$C$52,"Быстрый","Медленный"))</x:f>
        <x:v>Нет спроса</x:v>
      </x:c>
      <x:c r="M2015" s="1" t="str">
        <x:f>IF('Данные'!E2015&lt;'Дашборд'!$C$53,"Мало трафика",IF(J2015&lt;'Дашборд'!$C$9*'Дашборд'!$C$54,"Да","Нет"))</x:f>
        <x:v>Мало трафика</x:v>
      </x:c>
      <x:c r="N2015" s="1" t="str">
        <x:f>IF(AND('Данные'!D2015&gt;='Дашборд'!$C$55,D2015&lt;'Дашборд'!$C$56,'Данные'!E2015&gt;='Дашборд'!$C$53,'Данные'!L2015&lt;&gt;"Да"),"Да","Нет")</x:f>
        <x:v>Нет</x:v>
      </x:c>
      <x:c r="O2015" s="1" t="str">
        <x:f>'Данные'!L2015</x:f>
        <x:v>Нет</x:v>
      </x:c>
    </x:row>
    <x:row r="2016">
      <x:c r="A2016" s="1" t="str">
        <x:f>'Данные'!A2016</x:f>
        <x:v>218743058</x:v>
      </x:c>
      <x:c r="B2016" s="1" t="str">
        <x:f>'Данные'!B2016</x:f>
        <x:v>shortycrop/фуксия</x:v>
      </x:c>
      <x:c r="C2016" s="8" t="n">
        <x:f>'Данные'!G2016</x:f>
        <x:v>0</x:v>
      </x:c>
      <x:c r="D2016" s="15" t="n">
        <x:f>C2016/SUM($C$5:$C$2477)</x:f>
        <x:v>0</x:v>
      </x:c>
      <x:c r="E2016" s="15" t="n">
        <x:f>SUM($D$5:D2016)</x:f>
        <x:v>1.0000000000000036</x:v>
      </x:c>
      <x:c r="F2016" s="1" t="str">
        <x:f>IF(C2016&lt;=0,"C",IF(E2016-D2016&lt;'Дашборд'!$C$49,"A",IF(E2016-D2016&lt;'Дашборд'!$C$50,"B","C")))</x:f>
        <x:v>C</x:v>
      </x:c>
      <x:c r="G2016" s="8" t="n">
        <x:f>'Данные'!F2016</x:f>
        <x:v>0</x:v>
      </x:c>
      <x:c r="H2016" s="8" t="n">
        <x:f>SUM('Данные'!H2016:I2016)</x:f>
        <x:v>0</x:v>
      </x:c>
      <x:c r="I2016" s="16" t="str">
        <x:f>IF(H2016&gt;0,G2016/H2016,"n.a.")</x:f>
        <x:v>n.a.</x:v>
      </x:c>
      <x:c r="J2016" s="10" t="n">
        <x:f>IF('Данные'!E2016&gt;0,G2016/'Данные'!E2016,"n.a.")</x:f>
        <x:v>0</x:v>
      </x:c>
      <x:c r="K2016" s="1" t="str">
        <x:f>IF(G2016&gt;='Дашборд'!$C$51,"X","Z")</x:f>
        <x:v>Z</x:v>
      </x:c>
      <x:c r="L2016" s="1" t="str">
        <x:f>IF(H2016=0,IF(G2016&gt;0,"Нет остатка","Нет спроса"),IF(I2016&gt;='Дашборд'!$C$52,"Быстрый","Медленный"))</x:f>
        <x:v>Нет спроса</x:v>
      </x:c>
      <x:c r="M2016" s="1" t="str">
        <x:f>IF('Данные'!E2016&lt;'Дашборд'!$C$53,"Мало трафика",IF(J2016&lt;'Дашборд'!$C$9*'Дашборд'!$C$54,"Да","Нет"))</x:f>
        <x:v>Мало трафика</x:v>
      </x:c>
      <x:c r="N2016" s="1" t="str">
        <x:f>IF(AND('Данные'!D2016&gt;='Дашборд'!$C$55,D2016&lt;'Дашборд'!$C$56,'Данные'!E2016&gt;='Дашборд'!$C$53,'Данные'!L2016&lt;&gt;"Да"),"Да","Нет")</x:f>
        <x:v>Нет</x:v>
      </x:c>
      <x:c r="O2016" s="1" t="str">
        <x:f>'Данные'!L2016</x:f>
        <x:v>Нет</x:v>
      </x:c>
    </x:row>
    <x:row r="2017">
      <x:c r="A2017" s="1" t="str">
        <x:f>'Данные'!A2017</x:f>
        <x:v>218743059</x:v>
      </x:c>
      <x:c r="B2017" s="1" t="str">
        <x:f>'Данные'!B2017</x:f>
        <x:v>shortycrop/молочный</x:v>
      </x:c>
      <x:c r="C2017" s="8" t="n">
        <x:f>'Данные'!G2017</x:f>
        <x:v>0</x:v>
      </x:c>
      <x:c r="D2017" s="15" t="n">
        <x:f>C2017/SUM($C$5:$C$2477)</x:f>
        <x:v>0</x:v>
      </x:c>
      <x:c r="E2017" s="15" t="n">
        <x:f>SUM($D$5:D2017)</x:f>
        <x:v>1.0000000000000036</x:v>
      </x:c>
      <x:c r="F2017" s="1" t="str">
        <x:f>IF(C2017&lt;=0,"C",IF(E2017-D2017&lt;'Дашборд'!$C$49,"A",IF(E2017-D2017&lt;'Дашборд'!$C$50,"B","C")))</x:f>
        <x:v>C</x:v>
      </x:c>
      <x:c r="G2017" s="8" t="n">
        <x:f>'Данные'!F2017</x:f>
        <x:v>0</x:v>
      </x:c>
      <x:c r="H2017" s="8" t="n">
        <x:f>SUM('Данные'!H2017:I2017)</x:f>
        <x:v>0</x:v>
      </x:c>
      <x:c r="I2017" s="16" t="str">
        <x:f>IF(H2017&gt;0,G2017/H2017,"n.a.")</x:f>
        <x:v>n.a.</x:v>
      </x:c>
      <x:c r="J2017" s="10" t="n">
        <x:f>IF('Данные'!E2017&gt;0,G2017/'Данные'!E2017,"n.a.")</x:f>
        <x:v>0</x:v>
      </x:c>
      <x:c r="K2017" s="1" t="str">
        <x:f>IF(G2017&gt;='Дашборд'!$C$51,"X","Z")</x:f>
        <x:v>Z</x:v>
      </x:c>
      <x:c r="L2017" s="1" t="str">
        <x:f>IF(H2017=0,IF(G2017&gt;0,"Нет остатка","Нет спроса"),IF(I2017&gt;='Дашборд'!$C$52,"Быстрый","Медленный"))</x:f>
        <x:v>Нет спроса</x:v>
      </x:c>
      <x:c r="M2017" s="1" t="str">
        <x:f>IF('Данные'!E2017&lt;'Дашборд'!$C$53,"Мало трафика",IF(J2017&lt;'Дашборд'!$C$9*'Дашборд'!$C$54,"Да","Нет"))</x:f>
        <x:v>Мало трафика</x:v>
      </x:c>
      <x:c r="N2017" s="1" t="str">
        <x:f>IF(AND('Данные'!D2017&gt;='Дашборд'!$C$55,D2017&lt;'Дашборд'!$C$56,'Данные'!E2017&gt;='Дашборд'!$C$53,'Данные'!L2017&lt;&gt;"Да"),"Да","Нет")</x:f>
        <x:v>Нет</x:v>
      </x:c>
      <x:c r="O2017" s="1" t="str">
        <x:f>'Данные'!L2017</x:f>
        <x:v>Нет</x:v>
      </x:c>
    </x:row>
    <x:row r="2018">
      <x:c r="A2018" s="1" t="str">
        <x:f>'Данные'!A2018</x:f>
        <x:v>219490909</x:v>
      </x:c>
      <x:c r="B2018" s="1" t="str">
        <x:f>'Данные'!B2018</x:f>
        <x:v>futbolkaprint/BROOKLYN-77/черный</x:v>
      </x:c>
      <x:c r="C2018" s="8" t="n">
        <x:f>'Данные'!G2018</x:f>
        <x:v>0</x:v>
      </x:c>
      <x:c r="D2018" s="15" t="n">
        <x:f>C2018/SUM($C$5:$C$2477)</x:f>
        <x:v>0</x:v>
      </x:c>
      <x:c r="E2018" s="15" t="n">
        <x:f>SUM($D$5:D2018)</x:f>
        <x:v>1.0000000000000036</x:v>
      </x:c>
      <x:c r="F2018" s="1" t="str">
        <x:f>IF(C2018&lt;=0,"C",IF(E2018-D2018&lt;'Дашборд'!$C$49,"A",IF(E2018-D2018&lt;'Дашборд'!$C$50,"B","C")))</x:f>
        <x:v>C</x:v>
      </x:c>
      <x:c r="G2018" s="8" t="n">
        <x:f>'Данные'!F2018</x:f>
        <x:v>0</x:v>
      </x:c>
      <x:c r="H2018" s="8" t="n">
        <x:f>SUM('Данные'!H2018:I2018)</x:f>
        <x:v>0</x:v>
      </x:c>
      <x:c r="I2018" s="16" t="str">
        <x:f>IF(H2018&gt;0,G2018/H2018,"n.a.")</x:f>
        <x:v>n.a.</x:v>
      </x:c>
      <x:c r="J2018" s="10" t="n">
        <x:f>IF('Данные'!E2018&gt;0,G2018/'Данные'!E2018,"n.a.")</x:f>
        <x:v>0</x:v>
      </x:c>
      <x:c r="K2018" s="1" t="str">
        <x:f>IF(G2018&gt;='Дашборд'!$C$51,"X","Z")</x:f>
        <x:v>Z</x:v>
      </x:c>
      <x:c r="L2018" s="1" t="str">
        <x:f>IF(H2018=0,IF(G2018&gt;0,"Нет остатка","Нет спроса"),IF(I2018&gt;='Дашборд'!$C$52,"Быстрый","Медленный"))</x:f>
        <x:v>Нет спроса</x:v>
      </x:c>
      <x:c r="M2018" s="1" t="str">
        <x:f>IF('Данные'!E2018&lt;'Дашборд'!$C$53,"Мало трафика",IF(J2018&lt;'Дашборд'!$C$9*'Дашборд'!$C$54,"Да","Нет"))</x:f>
        <x:v>Мало трафика</x:v>
      </x:c>
      <x:c r="N2018" s="1" t="str">
        <x:f>IF(AND('Данные'!D2018&gt;='Дашборд'!$C$55,D2018&lt;'Дашборд'!$C$56,'Данные'!E2018&gt;='Дашборд'!$C$53,'Данные'!L2018&lt;&gt;"Да"),"Да","Нет")</x:f>
        <x:v>Нет</x:v>
      </x:c>
      <x:c r="O2018" s="1" t="str">
        <x:f>'Данные'!L2018</x:f>
        <x:v>Нет</x:v>
      </x:c>
    </x:row>
    <x:row r="2019">
      <x:c r="A2019" s="1" t="str">
        <x:f>'Данные'!A2019</x:f>
        <x:v>219490953</x:v>
      </x:c>
      <x:c r="B2019" s="1" t="str">
        <x:f>'Данные'!B2019</x:f>
        <x:v>futbolkaprint/MovesBrand-97/черный</x:v>
      </x:c>
      <x:c r="C2019" s="8" t="n">
        <x:f>'Данные'!G2019</x:f>
        <x:v>0</x:v>
      </x:c>
      <x:c r="D2019" s="15" t="n">
        <x:f>C2019/SUM($C$5:$C$2477)</x:f>
        <x:v>0</x:v>
      </x:c>
      <x:c r="E2019" s="15" t="n">
        <x:f>SUM($D$5:D2019)</x:f>
        <x:v>1.0000000000000036</x:v>
      </x:c>
      <x:c r="F2019" s="1" t="str">
        <x:f>IF(C2019&lt;=0,"C",IF(E2019-D2019&lt;'Дашборд'!$C$49,"A",IF(E2019-D2019&lt;'Дашборд'!$C$50,"B","C")))</x:f>
        <x:v>C</x:v>
      </x:c>
      <x:c r="G2019" s="8" t="n">
        <x:f>'Данные'!F2019</x:f>
        <x:v>0</x:v>
      </x:c>
      <x:c r="H2019" s="8" t="n">
        <x:f>SUM('Данные'!H2019:I2019)</x:f>
        <x:v>0</x:v>
      </x:c>
      <x:c r="I2019" s="16" t="str">
        <x:f>IF(H2019&gt;0,G2019/H2019,"n.a.")</x:f>
        <x:v>n.a.</x:v>
      </x:c>
      <x:c r="J2019" s="10" t="str">
        <x:f>IF('Данные'!E2019&gt;0,G2019/'Данные'!E2019,"n.a.")</x:f>
        <x:v>n.a.</x:v>
      </x:c>
      <x:c r="K2019" s="1" t="str">
        <x:f>IF(G2019&gt;='Дашборд'!$C$51,"X","Z")</x:f>
        <x:v>Z</x:v>
      </x:c>
      <x:c r="L2019" s="1" t="str">
        <x:f>IF(H2019=0,IF(G2019&gt;0,"Нет остатка","Нет спроса"),IF(I2019&gt;='Дашборд'!$C$52,"Быстрый","Медленный"))</x:f>
        <x:v>Нет спроса</x:v>
      </x:c>
      <x:c r="M2019" s="1" t="str">
        <x:f>IF('Данные'!E2019&lt;'Дашборд'!$C$53,"Мало трафика",IF(J2019&lt;'Дашборд'!$C$9*'Дашборд'!$C$54,"Да","Нет"))</x:f>
        <x:v>Мало трафика</x:v>
      </x:c>
      <x:c r="N2019" s="1" t="str">
        <x:f>IF(AND('Данные'!D2019&gt;='Дашборд'!$C$55,D2019&lt;'Дашборд'!$C$56,'Данные'!E2019&gt;='Дашборд'!$C$53,'Данные'!L2019&lt;&gt;"Да"),"Да","Нет")</x:f>
        <x:v>Нет</x:v>
      </x:c>
      <x:c r="O2019" s="1" t="str">
        <x:f>'Данные'!L2019</x:f>
        <x:v>Нет</x:v>
      </x:c>
    </x:row>
    <x:row r="2020">
      <x:c r="A2020" s="1" t="str">
        <x:f>'Данные'!A2020</x:f>
        <x:v>219575644</x:v>
      </x:c>
      <x:c r="B2020" s="1" t="str">
        <x:f>'Данные'!B2020</x:f>
        <x:v>bazaprint/Prosecco2-112/молочный</x:v>
      </x:c>
      <x:c r="C2020" s="8" t="n">
        <x:f>'Данные'!G2020</x:f>
        <x:v>0</x:v>
      </x:c>
      <x:c r="D2020" s="15" t="n">
        <x:f>C2020/SUM($C$5:$C$2477)</x:f>
        <x:v>0</x:v>
      </x:c>
      <x:c r="E2020" s="15" t="n">
        <x:f>SUM($D$5:D2020)</x:f>
        <x:v>1.0000000000000036</x:v>
      </x:c>
      <x:c r="F2020" s="1" t="str">
        <x:f>IF(C2020&lt;=0,"C",IF(E2020-D2020&lt;'Дашборд'!$C$49,"A",IF(E2020-D2020&lt;'Дашборд'!$C$50,"B","C")))</x:f>
        <x:v>C</x:v>
      </x:c>
      <x:c r="G2020" s="8" t="n">
        <x:f>'Данные'!F2020</x:f>
        <x:v>0</x:v>
      </x:c>
      <x:c r="H2020" s="8" t="n">
        <x:f>SUM('Данные'!H2020:I2020)</x:f>
        <x:v>0</x:v>
      </x:c>
      <x:c r="I2020" s="16" t="str">
        <x:f>IF(H2020&gt;0,G2020/H2020,"n.a.")</x:f>
        <x:v>n.a.</x:v>
      </x:c>
      <x:c r="J2020" s="10" t="n">
        <x:f>IF('Данные'!E2020&gt;0,G2020/'Данные'!E2020,"n.a.")</x:f>
        <x:v>0</x:v>
      </x:c>
      <x:c r="K2020" s="1" t="str">
        <x:f>IF(G2020&gt;='Дашборд'!$C$51,"X","Z")</x:f>
        <x:v>Z</x:v>
      </x:c>
      <x:c r="L2020" s="1" t="str">
        <x:f>IF(H2020=0,IF(G2020&gt;0,"Нет остатка","Нет спроса"),IF(I2020&gt;='Дашборд'!$C$52,"Быстрый","Медленный"))</x:f>
        <x:v>Нет спроса</x:v>
      </x:c>
      <x:c r="M2020" s="1" t="str">
        <x:f>IF('Данные'!E2020&lt;'Дашборд'!$C$53,"Мало трафика",IF(J2020&lt;'Дашборд'!$C$9*'Дашборд'!$C$54,"Да","Нет"))</x:f>
        <x:v>Мало трафика</x:v>
      </x:c>
      <x:c r="N2020" s="1" t="str">
        <x:f>IF(AND('Данные'!D2020&gt;='Дашборд'!$C$55,D2020&lt;'Дашборд'!$C$56,'Данные'!E2020&gt;='Дашборд'!$C$53,'Данные'!L2020&lt;&gt;"Да"),"Да","Нет")</x:f>
        <x:v>Нет</x:v>
      </x:c>
      <x:c r="O2020" s="1" t="str">
        <x:f>'Данные'!L2020</x:f>
        <x:v>Нет</x:v>
      </x:c>
    </x:row>
    <x:row r="2021">
      <x:c r="A2021" s="1" t="str">
        <x:f>'Данные'!A2021</x:f>
        <x:v>219576891</x:v>
      </x:c>
      <x:c r="B2021" s="1" t="str">
        <x:f>'Данные'!B2021</x:f>
        <x:v>futbolkaprint/Prosecco1-111/молочный</x:v>
      </x:c>
      <x:c r="C2021" s="8" t="n">
        <x:f>'Данные'!G2021</x:f>
        <x:v>0</x:v>
      </x:c>
      <x:c r="D2021" s="15" t="n">
        <x:f>C2021/SUM($C$5:$C$2477)</x:f>
        <x:v>0</x:v>
      </x:c>
      <x:c r="E2021" s="15" t="n">
        <x:f>SUM($D$5:D2021)</x:f>
        <x:v>1.0000000000000036</x:v>
      </x:c>
      <x:c r="F2021" s="1" t="str">
        <x:f>IF(C2021&lt;=0,"C",IF(E2021-D2021&lt;'Дашборд'!$C$49,"A",IF(E2021-D2021&lt;'Дашборд'!$C$50,"B","C")))</x:f>
        <x:v>C</x:v>
      </x:c>
      <x:c r="G2021" s="8" t="n">
        <x:f>'Данные'!F2021</x:f>
        <x:v>0</x:v>
      </x:c>
      <x:c r="H2021" s="8" t="n">
        <x:f>SUM('Данные'!H2021:I2021)</x:f>
        <x:v>0</x:v>
      </x:c>
      <x:c r="I2021" s="16" t="str">
        <x:f>IF(H2021&gt;0,G2021/H2021,"n.a.")</x:f>
        <x:v>n.a.</x:v>
      </x:c>
      <x:c r="J2021" s="10" t="n">
        <x:f>IF('Данные'!E2021&gt;0,G2021/'Данные'!E2021,"n.a.")</x:f>
        <x:v>0</x:v>
      </x:c>
      <x:c r="K2021" s="1" t="str">
        <x:f>IF(G2021&gt;='Дашборд'!$C$51,"X","Z")</x:f>
        <x:v>Z</x:v>
      </x:c>
      <x:c r="L2021" s="1" t="str">
        <x:f>IF(H2021=0,IF(G2021&gt;0,"Нет остатка","Нет спроса"),IF(I2021&gt;='Дашборд'!$C$52,"Быстрый","Медленный"))</x:f>
        <x:v>Нет спроса</x:v>
      </x:c>
      <x:c r="M2021" s="1" t="str">
        <x:f>IF('Данные'!E2021&lt;'Дашборд'!$C$53,"Мало трафика",IF(J2021&lt;'Дашборд'!$C$9*'Дашборд'!$C$54,"Да","Нет"))</x:f>
        <x:v>Мало трафика</x:v>
      </x:c>
      <x:c r="N2021" s="1" t="str">
        <x:f>IF(AND('Данные'!D2021&gt;='Дашборд'!$C$55,D2021&lt;'Дашборд'!$C$56,'Данные'!E2021&gt;='Дашборд'!$C$53,'Данные'!L2021&lt;&gt;"Да"),"Да","Нет")</x:f>
        <x:v>Нет</x:v>
      </x:c>
      <x:c r="O2021" s="1" t="str">
        <x:f>'Данные'!L2021</x:f>
        <x:v>Нет</x:v>
      </x:c>
    </x:row>
    <x:row r="2022">
      <x:c r="A2022" s="1" t="str">
        <x:f>'Данные'!A2022</x:f>
        <x:v>219796823</x:v>
      </x:c>
      <x:c r="B2022" s="1" t="str">
        <x:f>'Данные'!B2022</x:f>
        <x:v>kulirkamanprint/Colorado-72/дымка</x:v>
      </x:c>
      <x:c r="C2022" s="8" t="n">
        <x:f>'Данные'!G2022</x:f>
        <x:v>0</x:v>
      </x:c>
      <x:c r="D2022" s="15" t="n">
        <x:f>C2022/SUM($C$5:$C$2477)</x:f>
        <x:v>0</x:v>
      </x:c>
      <x:c r="E2022" s="15" t="n">
        <x:f>SUM($D$5:D2022)</x:f>
        <x:v>1.0000000000000036</x:v>
      </x:c>
      <x:c r="F2022" s="1" t="str">
        <x:f>IF(C2022&lt;=0,"C",IF(E2022-D2022&lt;'Дашборд'!$C$49,"A",IF(E2022-D2022&lt;'Дашборд'!$C$50,"B","C")))</x:f>
        <x:v>C</x:v>
      </x:c>
      <x:c r="G2022" s="8" t="n">
        <x:f>'Данные'!F2022</x:f>
        <x:v>0</x:v>
      </x:c>
      <x:c r="H2022" s="8" t="n">
        <x:f>SUM('Данные'!H2022:I2022)</x:f>
        <x:v>0</x:v>
      </x:c>
      <x:c r="I2022" s="16" t="str">
        <x:f>IF(H2022&gt;0,G2022/H2022,"n.a.")</x:f>
        <x:v>n.a.</x:v>
      </x:c>
      <x:c r="J2022" s="10" t="n">
        <x:f>IF('Данные'!E2022&gt;0,G2022/'Данные'!E2022,"n.a.")</x:f>
        <x:v>0</x:v>
      </x:c>
      <x:c r="K2022" s="1" t="str">
        <x:f>IF(G2022&gt;='Дашборд'!$C$51,"X","Z")</x:f>
        <x:v>Z</x:v>
      </x:c>
      <x:c r="L2022" s="1" t="str">
        <x:f>IF(H2022=0,IF(G2022&gt;0,"Нет остатка","Нет спроса"),IF(I2022&gt;='Дашборд'!$C$52,"Быстрый","Медленный"))</x:f>
        <x:v>Нет спроса</x:v>
      </x:c>
      <x:c r="M2022" s="1" t="str">
        <x:f>IF('Данные'!E2022&lt;'Дашборд'!$C$53,"Мало трафика",IF(J2022&lt;'Дашборд'!$C$9*'Дашборд'!$C$54,"Да","Нет"))</x:f>
        <x:v>Мало трафика</x:v>
      </x:c>
      <x:c r="N2022" s="1" t="str">
        <x:f>IF(AND('Данные'!D2022&gt;='Дашборд'!$C$55,D2022&lt;'Дашборд'!$C$56,'Данные'!E2022&gt;='Дашборд'!$C$53,'Данные'!L2022&lt;&gt;"Да"),"Да","Нет")</x:f>
        <x:v>Нет</x:v>
      </x:c>
      <x:c r="O2022" s="1" t="str">
        <x:f>'Данные'!L2022</x:f>
        <x:v>Нет</x:v>
      </x:c>
    </x:row>
    <x:row r="2023">
      <x:c r="A2023" s="1" t="str">
        <x:f>'Данные'!A2023</x:f>
        <x:v>219796825</x:v>
      </x:c>
      <x:c r="B2023" s="1" t="str">
        <x:f>'Данные'!B2023</x:f>
        <x:v>kulirkamanprint/Colorado-72/молочный</x:v>
      </x:c>
      <x:c r="C2023" s="8" t="n">
        <x:f>'Данные'!G2023</x:f>
        <x:v>0</x:v>
      </x:c>
      <x:c r="D2023" s="15" t="n">
        <x:f>C2023/SUM($C$5:$C$2477)</x:f>
        <x:v>0</x:v>
      </x:c>
      <x:c r="E2023" s="15" t="n">
        <x:f>SUM($D$5:D2023)</x:f>
        <x:v>1.0000000000000036</x:v>
      </x:c>
      <x:c r="F2023" s="1" t="str">
        <x:f>IF(C2023&lt;=0,"C",IF(E2023-D2023&lt;'Дашборд'!$C$49,"A",IF(E2023-D2023&lt;'Дашборд'!$C$50,"B","C")))</x:f>
        <x:v>C</x:v>
      </x:c>
      <x:c r="G2023" s="8" t="n">
        <x:f>'Данные'!F2023</x:f>
        <x:v>0</x:v>
      </x:c>
      <x:c r="H2023" s="8" t="n">
        <x:f>SUM('Данные'!H2023:I2023)</x:f>
        <x:v>0</x:v>
      </x:c>
      <x:c r="I2023" s="16" t="str">
        <x:f>IF(H2023&gt;0,G2023/H2023,"n.a.")</x:f>
        <x:v>n.a.</x:v>
      </x:c>
      <x:c r="J2023" s="10" t="n">
        <x:f>IF('Данные'!E2023&gt;0,G2023/'Данные'!E2023,"n.a.")</x:f>
        <x:v>0</x:v>
      </x:c>
      <x:c r="K2023" s="1" t="str">
        <x:f>IF(G2023&gt;='Дашборд'!$C$51,"X","Z")</x:f>
        <x:v>Z</x:v>
      </x:c>
      <x:c r="L2023" s="1" t="str">
        <x:f>IF(H2023=0,IF(G2023&gt;0,"Нет остатка","Нет спроса"),IF(I2023&gt;='Дашборд'!$C$52,"Быстрый","Медленный"))</x:f>
        <x:v>Нет спроса</x:v>
      </x:c>
      <x:c r="M2023" s="1" t="str">
        <x:f>IF('Данные'!E2023&lt;'Дашборд'!$C$53,"Мало трафика",IF(J2023&lt;'Дашборд'!$C$9*'Дашборд'!$C$54,"Да","Нет"))</x:f>
        <x:v>Мало трафика</x:v>
      </x:c>
      <x:c r="N2023" s="1" t="str">
        <x:f>IF(AND('Данные'!D2023&gt;='Дашборд'!$C$55,D2023&lt;'Дашборд'!$C$56,'Данные'!E2023&gt;='Дашборд'!$C$53,'Данные'!L2023&lt;&gt;"Да"),"Да","Нет")</x:f>
        <x:v>Нет</x:v>
      </x:c>
      <x:c r="O2023" s="1" t="str">
        <x:f>'Данные'!L2023</x:f>
        <x:v>Нет</x:v>
      </x:c>
    </x:row>
    <x:row r="2024">
      <x:c r="A2024" s="1" t="str">
        <x:f>'Данные'!A2024</x:f>
        <x:v>220118007</x:v>
      </x:c>
      <x:c r="B2024" s="1" t="str">
        <x:f>'Данные'!B2024</x:f>
        <x:v>futbolkaprint/MCollection-103/дымка</x:v>
      </x:c>
      <x:c r="C2024" s="8" t="n">
        <x:f>'Данные'!G2024</x:f>
        <x:v>0</x:v>
      </x:c>
      <x:c r="D2024" s="15" t="n">
        <x:f>C2024/SUM($C$5:$C$2477)</x:f>
        <x:v>0</x:v>
      </x:c>
      <x:c r="E2024" s="15" t="n">
        <x:f>SUM($D$5:D2024)</x:f>
        <x:v>1.0000000000000036</x:v>
      </x:c>
      <x:c r="F2024" s="1" t="str">
        <x:f>IF(C2024&lt;=0,"C",IF(E2024-D2024&lt;'Дашборд'!$C$49,"A",IF(E2024-D2024&lt;'Дашборд'!$C$50,"B","C")))</x:f>
        <x:v>C</x:v>
      </x:c>
      <x:c r="G2024" s="8" t="n">
        <x:f>'Данные'!F2024</x:f>
        <x:v>0</x:v>
      </x:c>
      <x:c r="H2024" s="8" t="n">
        <x:f>SUM('Данные'!H2024:I2024)</x:f>
        <x:v>0</x:v>
      </x:c>
      <x:c r="I2024" s="16" t="str">
        <x:f>IF(H2024&gt;0,G2024/H2024,"n.a.")</x:f>
        <x:v>n.a.</x:v>
      </x:c>
      <x:c r="J2024" s="10" t="n">
        <x:f>IF('Данные'!E2024&gt;0,G2024/'Данные'!E2024,"n.a.")</x:f>
        <x:v>0</x:v>
      </x:c>
      <x:c r="K2024" s="1" t="str">
        <x:f>IF(G2024&gt;='Дашборд'!$C$51,"X","Z")</x:f>
        <x:v>Z</x:v>
      </x:c>
      <x:c r="L2024" s="1" t="str">
        <x:f>IF(H2024=0,IF(G2024&gt;0,"Нет остатка","Нет спроса"),IF(I2024&gt;='Дашборд'!$C$52,"Быстрый","Медленный"))</x:f>
        <x:v>Нет спроса</x:v>
      </x:c>
      <x:c r="M2024" s="1" t="str">
        <x:f>IF('Данные'!E2024&lt;'Дашборд'!$C$53,"Мало трафика",IF(J2024&lt;'Дашборд'!$C$9*'Дашборд'!$C$54,"Да","Нет"))</x:f>
        <x:v>Мало трафика</x:v>
      </x:c>
      <x:c r="N2024" s="1" t="str">
        <x:f>IF(AND('Данные'!D2024&gt;='Дашборд'!$C$55,D2024&lt;'Дашборд'!$C$56,'Данные'!E2024&gt;='Дашборд'!$C$53,'Данные'!L2024&lt;&gt;"Да"),"Да","Нет")</x:f>
        <x:v>Нет</x:v>
      </x:c>
      <x:c r="O2024" s="1" t="str">
        <x:f>'Данные'!L2024</x:f>
        <x:v>Нет</x:v>
      </x:c>
    </x:row>
    <x:row r="2025">
      <x:c r="A2025" s="1" t="str">
        <x:f>'Данные'!A2025</x:f>
        <x:v>220157442</x:v>
      </x:c>
      <x:c r="B2025" s="1" t="str">
        <x:f>'Данные'!B2025</x:f>
        <x:v>futbolkaprint/BRKcursive-123/коричневый</x:v>
      </x:c>
      <x:c r="C2025" s="8" t="n">
        <x:f>'Данные'!G2025</x:f>
        <x:v>0</x:v>
      </x:c>
      <x:c r="D2025" s="15" t="n">
        <x:f>C2025/SUM($C$5:$C$2477)</x:f>
        <x:v>0</x:v>
      </x:c>
      <x:c r="E2025" s="15" t="n">
        <x:f>SUM($D$5:D2025)</x:f>
        <x:v>1.0000000000000036</x:v>
      </x:c>
      <x:c r="F2025" s="1" t="str">
        <x:f>IF(C2025&lt;=0,"C",IF(E2025-D2025&lt;'Дашборд'!$C$49,"A",IF(E2025-D2025&lt;'Дашборд'!$C$50,"B","C")))</x:f>
        <x:v>C</x:v>
      </x:c>
      <x:c r="G2025" s="8" t="n">
        <x:f>'Данные'!F2025</x:f>
        <x:v>0</x:v>
      </x:c>
      <x:c r="H2025" s="8" t="n">
        <x:f>SUM('Данные'!H2025:I2025)</x:f>
        <x:v>0</x:v>
      </x:c>
      <x:c r="I2025" s="16" t="str">
        <x:f>IF(H2025&gt;0,G2025/H2025,"n.a.")</x:f>
        <x:v>n.a.</x:v>
      </x:c>
      <x:c r="J2025" s="10" t="n">
        <x:f>IF('Данные'!E2025&gt;0,G2025/'Данные'!E2025,"n.a.")</x:f>
        <x:v>0</x:v>
      </x:c>
      <x:c r="K2025" s="1" t="str">
        <x:f>IF(G2025&gt;='Дашборд'!$C$51,"X","Z")</x:f>
        <x:v>Z</x:v>
      </x:c>
      <x:c r="L2025" s="1" t="str">
        <x:f>IF(H2025=0,IF(G2025&gt;0,"Нет остатка","Нет спроса"),IF(I2025&gt;='Дашборд'!$C$52,"Быстрый","Медленный"))</x:f>
        <x:v>Нет спроса</x:v>
      </x:c>
      <x:c r="M2025" s="1" t="str">
        <x:f>IF('Данные'!E2025&lt;'Дашборд'!$C$53,"Мало трафика",IF(J2025&lt;'Дашборд'!$C$9*'Дашборд'!$C$54,"Да","Нет"))</x:f>
        <x:v>Мало трафика</x:v>
      </x:c>
      <x:c r="N2025" s="1" t="str">
        <x:f>IF(AND('Данные'!D2025&gt;='Дашборд'!$C$55,D2025&lt;'Дашборд'!$C$56,'Данные'!E2025&gt;='Дашборд'!$C$53,'Данные'!L2025&lt;&gt;"Да"),"Да","Нет")</x:f>
        <x:v>Нет</x:v>
      </x:c>
      <x:c r="O2025" s="1" t="str">
        <x:f>'Данные'!L2025</x:f>
        <x:v>Нет</x:v>
      </x:c>
    </x:row>
    <x:row r="2026">
      <x:c r="A2026" s="1" t="str">
        <x:f>'Данные'!A2026</x:f>
        <x:v>220157446</x:v>
      </x:c>
      <x:c r="B2026" s="1" t="str">
        <x:f>'Данные'!B2026</x:f>
        <x:v>futbolkaprint/Miami-122/фуксия</x:v>
      </x:c>
      <x:c r="C2026" s="8" t="n">
        <x:f>'Данные'!G2026</x:f>
        <x:v>0</x:v>
      </x:c>
      <x:c r="D2026" s="15" t="n">
        <x:f>C2026/SUM($C$5:$C$2477)</x:f>
        <x:v>0</x:v>
      </x:c>
      <x:c r="E2026" s="15" t="n">
        <x:f>SUM($D$5:D2026)</x:f>
        <x:v>1.0000000000000036</x:v>
      </x:c>
      <x:c r="F2026" s="1" t="str">
        <x:f>IF(C2026&lt;=0,"C",IF(E2026-D2026&lt;'Дашборд'!$C$49,"A",IF(E2026-D2026&lt;'Дашборд'!$C$50,"B","C")))</x:f>
        <x:v>C</x:v>
      </x:c>
      <x:c r="G2026" s="8" t="n">
        <x:f>'Данные'!F2026</x:f>
        <x:v>0</x:v>
      </x:c>
      <x:c r="H2026" s="8" t="n">
        <x:f>SUM('Данные'!H2026:I2026)</x:f>
        <x:v>0</x:v>
      </x:c>
      <x:c r="I2026" s="16" t="str">
        <x:f>IF(H2026&gt;0,G2026/H2026,"n.a.")</x:f>
        <x:v>n.a.</x:v>
      </x:c>
      <x:c r="J2026" s="10" t="n">
        <x:f>IF('Данные'!E2026&gt;0,G2026/'Данные'!E2026,"n.a.")</x:f>
        <x:v>0</x:v>
      </x:c>
      <x:c r="K2026" s="1" t="str">
        <x:f>IF(G2026&gt;='Дашборд'!$C$51,"X","Z")</x:f>
        <x:v>Z</x:v>
      </x:c>
      <x:c r="L2026" s="1" t="str">
        <x:f>IF(H2026=0,IF(G2026&gt;0,"Нет остатка","Нет спроса"),IF(I2026&gt;='Дашборд'!$C$52,"Быстрый","Медленный"))</x:f>
        <x:v>Нет спроса</x:v>
      </x:c>
      <x:c r="M2026" s="1" t="str">
        <x:f>IF('Данные'!E2026&lt;'Дашборд'!$C$53,"Мало трафика",IF(J2026&lt;'Дашборд'!$C$9*'Дашборд'!$C$54,"Да","Нет"))</x:f>
        <x:v>Мало трафика</x:v>
      </x:c>
      <x:c r="N2026" s="1" t="str">
        <x:f>IF(AND('Данные'!D2026&gt;='Дашборд'!$C$55,D2026&lt;'Дашборд'!$C$56,'Данные'!E2026&gt;='Дашборд'!$C$53,'Данные'!L2026&lt;&gt;"Да"),"Да","Нет")</x:f>
        <x:v>Нет</x:v>
      </x:c>
      <x:c r="O2026" s="1" t="str">
        <x:f>'Данные'!L2026</x:f>
        <x:v>Нет</x:v>
      </x:c>
    </x:row>
    <x:row r="2027">
      <x:c r="A2027" s="1" t="str">
        <x:f>'Данные'!A2027</x:f>
        <x:v>220157460</x:v>
      </x:c>
      <x:c r="B2027" s="1" t="str">
        <x:f>'Данные'!B2027</x:f>
        <x:v>futbolkaprint/BRKcursive-123/молочный</x:v>
      </x:c>
      <x:c r="C2027" s="8" t="n">
        <x:f>'Данные'!G2027</x:f>
        <x:v>0</x:v>
      </x:c>
      <x:c r="D2027" s="15" t="n">
        <x:f>C2027/SUM($C$5:$C$2477)</x:f>
        <x:v>0</x:v>
      </x:c>
      <x:c r="E2027" s="15" t="n">
        <x:f>SUM($D$5:D2027)</x:f>
        <x:v>1.0000000000000036</x:v>
      </x:c>
      <x:c r="F2027" s="1" t="str">
        <x:f>IF(C2027&lt;=0,"C",IF(E2027-D2027&lt;'Дашборд'!$C$49,"A",IF(E2027-D2027&lt;'Дашборд'!$C$50,"B","C")))</x:f>
        <x:v>C</x:v>
      </x:c>
      <x:c r="G2027" s="8" t="n">
        <x:f>'Данные'!F2027</x:f>
        <x:v>0</x:v>
      </x:c>
      <x:c r="H2027" s="8" t="n">
        <x:f>SUM('Данные'!H2027:I2027)</x:f>
        <x:v>0</x:v>
      </x:c>
      <x:c r="I2027" s="16" t="str">
        <x:f>IF(H2027&gt;0,G2027/H2027,"n.a.")</x:f>
        <x:v>n.a.</x:v>
      </x:c>
      <x:c r="J2027" s="10" t="n">
        <x:f>IF('Данные'!E2027&gt;0,G2027/'Данные'!E2027,"n.a.")</x:f>
        <x:v>0</x:v>
      </x:c>
      <x:c r="K2027" s="1" t="str">
        <x:f>IF(G2027&gt;='Дашборд'!$C$51,"X","Z")</x:f>
        <x:v>Z</x:v>
      </x:c>
      <x:c r="L2027" s="1" t="str">
        <x:f>IF(H2027=0,IF(G2027&gt;0,"Нет остатка","Нет спроса"),IF(I2027&gt;='Дашборд'!$C$52,"Быстрый","Медленный"))</x:f>
        <x:v>Нет спроса</x:v>
      </x:c>
      <x:c r="M2027" s="1" t="str">
        <x:f>IF('Данные'!E2027&lt;'Дашборд'!$C$53,"Мало трафика",IF(J2027&lt;'Дашборд'!$C$9*'Дашборд'!$C$54,"Да","Нет"))</x:f>
        <x:v>Мало трафика</x:v>
      </x:c>
      <x:c r="N2027" s="1" t="str">
        <x:f>IF(AND('Данные'!D2027&gt;='Дашборд'!$C$55,D2027&lt;'Дашборд'!$C$56,'Данные'!E2027&gt;='Дашборд'!$C$53,'Данные'!L2027&lt;&gt;"Да"),"Да","Нет")</x:f>
        <x:v>Нет</x:v>
      </x:c>
      <x:c r="O2027" s="1" t="str">
        <x:f>'Данные'!L2027</x:f>
        <x:v>Нет</x:v>
      </x:c>
    </x:row>
    <x:row r="2028">
      <x:c r="A2028" s="1" t="str">
        <x:f>'Данные'!A2028</x:f>
        <x:v>220157472</x:v>
      </x:c>
      <x:c r="B2028" s="1" t="str">
        <x:f>'Данные'!B2028</x:f>
        <x:v>kulirkamanprint/OffRecord-121/зелено-серый</x:v>
      </x:c>
      <x:c r="C2028" s="8" t="n">
        <x:f>'Данные'!G2028</x:f>
        <x:v>0</x:v>
      </x:c>
      <x:c r="D2028" s="15" t="n">
        <x:f>C2028/SUM($C$5:$C$2477)</x:f>
        <x:v>0</x:v>
      </x:c>
      <x:c r="E2028" s="15" t="n">
        <x:f>SUM($D$5:D2028)</x:f>
        <x:v>1.0000000000000036</x:v>
      </x:c>
      <x:c r="F2028" s="1" t="str">
        <x:f>IF(C2028&lt;=0,"C",IF(E2028-D2028&lt;'Дашборд'!$C$49,"A",IF(E2028-D2028&lt;'Дашборд'!$C$50,"B","C")))</x:f>
        <x:v>C</x:v>
      </x:c>
      <x:c r="G2028" s="8" t="n">
        <x:f>'Данные'!F2028</x:f>
        <x:v>0</x:v>
      </x:c>
      <x:c r="H2028" s="8" t="n">
        <x:f>SUM('Данные'!H2028:I2028)</x:f>
        <x:v>0</x:v>
      </x:c>
      <x:c r="I2028" s="16" t="str">
        <x:f>IF(H2028&gt;0,G2028/H2028,"n.a.")</x:f>
        <x:v>n.a.</x:v>
      </x:c>
      <x:c r="J2028" s="10" t="n">
        <x:f>IF('Данные'!E2028&gt;0,G2028/'Данные'!E2028,"n.a.")</x:f>
        <x:v>0</x:v>
      </x:c>
      <x:c r="K2028" s="1" t="str">
        <x:f>IF(G2028&gt;='Дашборд'!$C$51,"X","Z")</x:f>
        <x:v>Z</x:v>
      </x:c>
      <x:c r="L2028" s="1" t="str">
        <x:f>IF(H2028=0,IF(G2028&gt;0,"Нет остатка","Нет спроса"),IF(I2028&gt;='Дашборд'!$C$52,"Быстрый","Медленный"))</x:f>
        <x:v>Нет спроса</x:v>
      </x:c>
      <x:c r="M2028" s="1" t="str">
        <x:f>IF('Данные'!E2028&lt;'Дашборд'!$C$53,"Мало трафика",IF(J2028&lt;'Дашборд'!$C$9*'Дашборд'!$C$54,"Да","Нет"))</x:f>
        <x:v>Мало трафика</x:v>
      </x:c>
      <x:c r="N2028" s="1" t="str">
        <x:f>IF(AND('Данные'!D2028&gt;='Дашборд'!$C$55,D2028&lt;'Дашборд'!$C$56,'Данные'!E2028&gt;='Дашборд'!$C$53,'Данные'!L2028&lt;&gt;"Да"),"Да","Нет")</x:f>
        <x:v>Нет</x:v>
      </x:c>
      <x:c r="O2028" s="1" t="str">
        <x:f>'Данные'!L2028</x:f>
        <x:v>Нет</x:v>
      </x:c>
    </x:row>
    <x:row r="2029">
      <x:c r="A2029" s="1" t="str">
        <x:f>'Данные'!A2029</x:f>
        <x:v>220157488</x:v>
      </x:c>
      <x:c r="B2029" s="1" t="str">
        <x:f>'Данные'!B2029</x:f>
        <x:v>kulirkamanprint/OffRecord-121/черный</x:v>
      </x:c>
      <x:c r="C2029" s="8" t="n">
        <x:f>'Данные'!G2029</x:f>
        <x:v>0</x:v>
      </x:c>
      <x:c r="D2029" s="15" t="n">
        <x:f>C2029/SUM($C$5:$C$2477)</x:f>
        <x:v>0</x:v>
      </x:c>
      <x:c r="E2029" s="15" t="n">
        <x:f>SUM($D$5:D2029)</x:f>
        <x:v>1.0000000000000036</x:v>
      </x:c>
      <x:c r="F2029" s="1" t="str">
        <x:f>IF(C2029&lt;=0,"C",IF(E2029-D2029&lt;'Дашборд'!$C$49,"A",IF(E2029-D2029&lt;'Дашборд'!$C$50,"B","C")))</x:f>
        <x:v>C</x:v>
      </x:c>
      <x:c r="G2029" s="8" t="n">
        <x:f>'Данные'!F2029</x:f>
        <x:v>0</x:v>
      </x:c>
      <x:c r="H2029" s="8" t="n">
        <x:f>SUM('Данные'!H2029:I2029)</x:f>
        <x:v>0</x:v>
      </x:c>
      <x:c r="I2029" s="16" t="str">
        <x:f>IF(H2029&gt;0,G2029/H2029,"n.a.")</x:f>
        <x:v>n.a.</x:v>
      </x:c>
      <x:c r="J2029" s="10" t="n">
        <x:f>IF('Данные'!E2029&gt;0,G2029/'Данные'!E2029,"n.a.")</x:f>
        <x:v>0</x:v>
      </x:c>
      <x:c r="K2029" s="1" t="str">
        <x:f>IF(G2029&gt;='Дашборд'!$C$51,"X","Z")</x:f>
        <x:v>Z</x:v>
      </x:c>
      <x:c r="L2029" s="1" t="str">
        <x:f>IF(H2029=0,IF(G2029&gt;0,"Нет остатка","Нет спроса"),IF(I2029&gt;='Дашборд'!$C$52,"Быстрый","Медленный"))</x:f>
        <x:v>Нет спроса</x:v>
      </x:c>
      <x:c r="M2029" s="1" t="str">
        <x:f>IF('Данные'!E2029&lt;'Дашборд'!$C$53,"Мало трафика",IF(J2029&lt;'Дашборд'!$C$9*'Дашборд'!$C$54,"Да","Нет"))</x:f>
        <x:v>Мало трафика</x:v>
      </x:c>
      <x:c r="N2029" s="1" t="str">
        <x:f>IF(AND('Данные'!D2029&gt;='Дашборд'!$C$55,D2029&lt;'Дашборд'!$C$56,'Данные'!E2029&gt;='Дашборд'!$C$53,'Данные'!L2029&lt;&gt;"Да"),"Да","Нет")</x:f>
        <x:v>Нет</x:v>
      </x:c>
      <x:c r="O2029" s="1" t="str">
        <x:f>'Данные'!L2029</x:f>
        <x:v>Нет</x:v>
      </x:c>
    </x:row>
    <x:row r="2030">
      <x:c r="A2030" s="1" t="str">
        <x:f>'Данные'!A2030</x:f>
        <x:v>220379655</x:v>
      </x:c>
      <x:c r="B2030" s="1" t="str">
        <x:f>'Данные'!B2030</x:f>
        <x:v>svitshotzipprint/SaintLouis-76/молочный</x:v>
      </x:c>
      <x:c r="C2030" s="8" t="n">
        <x:f>'Данные'!G2030</x:f>
        <x:v>0</x:v>
      </x:c>
      <x:c r="D2030" s="15" t="n">
        <x:f>C2030/SUM($C$5:$C$2477)</x:f>
        <x:v>0</x:v>
      </x:c>
      <x:c r="E2030" s="15" t="n">
        <x:f>SUM($D$5:D2030)</x:f>
        <x:v>1.0000000000000036</x:v>
      </x:c>
      <x:c r="F2030" s="1" t="str">
        <x:f>IF(C2030&lt;=0,"C",IF(E2030-D2030&lt;'Дашборд'!$C$49,"A",IF(E2030-D2030&lt;'Дашборд'!$C$50,"B","C")))</x:f>
        <x:v>C</x:v>
      </x:c>
      <x:c r="G2030" s="8" t="n">
        <x:f>'Данные'!F2030</x:f>
        <x:v>0</x:v>
      </x:c>
      <x:c r="H2030" s="8" t="n">
        <x:f>SUM('Данные'!H2030:I2030)</x:f>
        <x:v>0</x:v>
      </x:c>
      <x:c r="I2030" s="16" t="str">
        <x:f>IF(H2030&gt;0,G2030/H2030,"n.a.")</x:f>
        <x:v>n.a.</x:v>
      </x:c>
      <x:c r="J2030" s="10" t="n">
        <x:f>IF('Данные'!E2030&gt;0,G2030/'Данные'!E2030,"n.a.")</x:f>
        <x:v>0</x:v>
      </x:c>
      <x:c r="K2030" s="1" t="str">
        <x:f>IF(G2030&gt;='Дашборд'!$C$51,"X","Z")</x:f>
        <x:v>Z</x:v>
      </x:c>
      <x:c r="L2030" s="1" t="str">
        <x:f>IF(H2030=0,IF(G2030&gt;0,"Нет остатка","Нет спроса"),IF(I2030&gt;='Дашборд'!$C$52,"Быстрый","Медленный"))</x:f>
        <x:v>Нет спроса</x:v>
      </x:c>
      <x:c r="M2030" s="1" t="str">
        <x:f>IF('Данные'!E2030&lt;'Дашборд'!$C$53,"Мало трафика",IF(J2030&lt;'Дашборд'!$C$9*'Дашборд'!$C$54,"Да","Нет"))</x:f>
        <x:v>Мало трафика</x:v>
      </x:c>
      <x:c r="N2030" s="1" t="str">
        <x:f>IF(AND('Данные'!D2030&gt;='Дашборд'!$C$55,D2030&lt;'Дашборд'!$C$56,'Данные'!E2030&gt;='Дашборд'!$C$53,'Данные'!L2030&lt;&gt;"Да"),"Да","Нет")</x:f>
        <x:v>Нет</x:v>
      </x:c>
      <x:c r="O2030" s="1" t="str">
        <x:f>'Данные'!L2030</x:f>
        <x:v>Нет</x:v>
      </x:c>
    </x:row>
    <x:row r="2031">
      <x:c r="A2031" s="1" t="str">
        <x:f>'Данные'!A2031</x:f>
        <x:v>220610217</x:v>
      </x:c>
      <x:c r="B2031" s="1" t="str">
        <x:f>'Данные'!B2031</x:f>
        <x:v>kroptopV2/белый</x:v>
      </x:c>
      <x:c r="C2031" s="8" t="n">
        <x:f>'Данные'!G2031</x:f>
        <x:v>0</x:v>
      </x:c>
      <x:c r="D2031" s="15" t="n">
        <x:f>C2031/SUM($C$5:$C$2477)</x:f>
        <x:v>0</x:v>
      </x:c>
      <x:c r="E2031" s="15" t="n">
        <x:f>SUM($D$5:D2031)</x:f>
        <x:v>1.0000000000000036</x:v>
      </x:c>
      <x:c r="F2031" s="1" t="str">
        <x:f>IF(C2031&lt;=0,"C",IF(E2031-D2031&lt;'Дашборд'!$C$49,"A",IF(E2031-D2031&lt;'Дашборд'!$C$50,"B","C")))</x:f>
        <x:v>C</x:v>
      </x:c>
      <x:c r="G2031" s="8" t="n">
        <x:f>'Данные'!F2031</x:f>
        <x:v>0</x:v>
      </x:c>
      <x:c r="H2031" s="8" t="n">
        <x:f>SUM('Данные'!H2031:I2031)</x:f>
        <x:v>0</x:v>
      </x:c>
      <x:c r="I2031" s="16" t="str">
        <x:f>IF(H2031&gt;0,G2031/H2031,"n.a.")</x:f>
        <x:v>n.a.</x:v>
      </x:c>
      <x:c r="J2031" s="10" t="n">
        <x:f>IF('Данные'!E2031&gt;0,G2031/'Данные'!E2031,"n.a.")</x:f>
        <x:v>0</x:v>
      </x:c>
      <x:c r="K2031" s="1" t="str">
        <x:f>IF(G2031&gt;='Дашборд'!$C$51,"X","Z")</x:f>
        <x:v>Z</x:v>
      </x:c>
      <x:c r="L2031" s="1" t="str">
        <x:f>IF(H2031=0,IF(G2031&gt;0,"Нет остатка","Нет спроса"),IF(I2031&gt;='Дашборд'!$C$52,"Быстрый","Медленный"))</x:f>
        <x:v>Нет спроса</x:v>
      </x:c>
      <x:c r="M2031" s="1" t="str">
        <x:f>IF('Данные'!E2031&lt;'Дашборд'!$C$53,"Мало трафика",IF(J2031&lt;'Дашборд'!$C$9*'Дашборд'!$C$54,"Да","Нет"))</x:f>
        <x:v>Мало трафика</x:v>
      </x:c>
      <x:c r="N2031" s="1" t="str">
        <x:f>IF(AND('Данные'!D2031&gt;='Дашборд'!$C$55,D2031&lt;'Дашборд'!$C$56,'Данные'!E2031&gt;='Дашборд'!$C$53,'Данные'!L2031&lt;&gt;"Да"),"Да","Нет")</x:f>
        <x:v>Нет</x:v>
      </x:c>
      <x:c r="O2031" s="1" t="str">
        <x:f>'Данные'!L2031</x:f>
        <x:v>Нет</x:v>
      </x:c>
    </x:row>
    <x:row r="2032">
      <x:c r="A2032" s="1" t="str">
        <x:f>'Данные'!A2032</x:f>
        <x:v>220612006</x:v>
      </x:c>
      <x:c r="B2032" s="1" t="str">
        <x:f>'Данные'!B2032</x:f>
        <x:v>kroptopV2/голубой</x:v>
      </x:c>
      <x:c r="C2032" s="8" t="n">
        <x:f>'Данные'!G2032</x:f>
        <x:v>0</x:v>
      </x:c>
      <x:c r="D2032" s="15" t="n">
        <x:f>C2032/SUM($C$5:$C$2477)</x:f>
        <x:v>0</x:v>
      </x:c>
      <x:c r="E2032" s="15" t="n">
        <x:f>SUM($D$5:D2032)</x:f>
        <x:v>1.0000000000000036</x:v>
      </x:c>
      <x:c r="F2032" s="1" t="str">
        <x:f>IF(C2032&lt;=0,"C",IF(E2032-D2032&lt;'Дашборд'!$C$49,"A",IF(E2032-D2032&lt;'Дашборд'!$C$50,"B","C")))</x:f>
        <x:v>C</x:v>
      </x:c>
      <x:c r="G2032" s="8" t="n">
        <x:f>'Данные'!F2032</x:f>
        <x:v>0</x:v>
      </x:c>
      <x:c r="H2032" s="8" t="n">
        <x:f>SUM('Данные'!H2032:I2032)</x:f>
        <x:v>0</x:v>
      </x:c>
      <x:c r="I2032" s="16" t="str">
        <x:f>IF(H2032&gt;0,G2032/H2032,"n.a.")</x:f>
        <x:v>n.a.</x:v>
      </x:c>
      <x:c r="J2032" s="10" t="n">
        <x:f>IF('Данные'!E2032&gt;0,G2032/'Данные'!E2032,"n.a.")</x:f>
        <x:v>0</x:v>
      </x:c>
      <x:c r="K2032" s="1" t="str">
        <x:f>IF(G2032&gt;='Дашборд'!$C$51,"X","Z")</x:f>
        <x:v>Z</x:v>
      </x:c>
      <x:c r="L2032" s="1" t="str">
        <x:f>IF(H2032=0,IF(G2032&gt;0,"Нет остатка","Нет спроса"),IF(I2032&gt;='Дашборд'!$C$52,"Быстрый","Медленный"))</x:f>
        <x:v>Нет спроса</x:v>
      </x:c>
      <x:c r="M2032" s="1" t="str">
        <x:f>IF('Данные'!E2032&lt;'Дашборд'!$C$53,"Мало трафика",IF(J2032&lt;'Дашборд'!$C$9*'Дашборд'!$C$54,"Да","Нет"))</x:f>
        <x:v>Мало трафика</x:v>
      </x:c>
      <x:c r="N2032" s="1" t="str">
        <x:f>IF(AND('Данные'!D2032&gt;='Дашборд'!$C$55,D2032&lt;'Дашборд'!$C$56,'Данные'!E2032&gt;='Дашборд'!$C$53,'Данные'!L2032&lt;&gt;"Да"),"Да","Нет")</x:f>
        <x:v>Нет</x:v>
      </x:c>
      <x:c r="O2032" s="1" t="str">
        <x:f>'Данные'!L2032</x:f>
        <x:v>Нет</x:v>
      </x:c>
    </x:row>
    <x:row r="2033">
      <x:c r="A2033" s="1" t="str">
        <x:f>'Данные'!A2033</x:f>
        <x:v>220612008</x:v>
      </x:c>
      <x:c r="B2033" s="1" t="str">
        <x:f>'Данные'!B2033</x:f>
        <x:v>kroptopV2/сине-морской</x:v>
      </x:c>
      <x:c r="C2033" s="8" t="n">
        <x:f>'Данные'!G2033</x:f>
        <x:v>0</x:v>
      </x:c>
      <x:c r="D2033" s="15" t="n">
        <x:f>C2033/SUM($C$5:$C$2477)</x:f>
        <x:v>0</x:v>
      </x:c>
      <x:c r="E2033" s="15" t="n">
        <x:f>SUM($D$5:D2033)</x:f>
        <x:v>1.0000000000000036</x:v>
      </x:c>
      <x:c r="F2033" s="1" t="str">
        <x:f>IF(C2033&lt;=0,"C",IF(E2033-D2033&lt;'Дашборд'!$C$49,"A",IF(E2033-D2033&lt;'Дашборд'!$C$50,"B","C")))</x:f>
        <x:v>C</x:v>
      </x:c>
      <x:c r="G2033" s="8" t="n">
        <x:f>'Данные'!F2033</x:f>
        <x:v>0</x:v>
      </x:c>
      <x:c r="H2033" s="8" t="n">
        <x:f>SUM('Данные'!H2033:I2033)</x:f>
        <x:v>0</x:v>
      </x:c>
      <x:c r="I2033" s="16" t="str">
        <x:f>IF(H2033&gt;0,G2033/H2033,"n.a.")</x:f>
        <x:v>n.a.</x:v>
      </x:c>
      <x:c r="J2033" s="10" t="n">
        <x:f>IF('Данные'!E2033&gt;0,G2033/'Данные'!E2033,"n.a.")</x:f>
        <x:v>0</x:v>
      </x:c>
      <x:c r="K2033" s="1" t="str">
        <x:f>IF(G2033&gt;='Дашборд'!$C$51,"X","Z")</x:f>
        <x:v>Z</x:v>
      </x:c>
      <x:c r="L2033" s="1" t="str">
        <x:f>IF(H2033=0,IF(G2033&gt;0,"Нет остатка","Нет спроса"),IF(I2033&gt;='Дашборд'!$C$52,"Быстрый","Медленный"))</x:f>
        <x:v>Нет спроса</x:v>
      </x:c>
      <x:c r="M2033" s="1" t="str">
        <x:f>IF('Данные'!E2033&lt;'Дашборд'!$C$53,"Мало трафика",IF(J2033&lt;'Дашборд'!$C$9*'Дашборд'!$C$54,"Да","Нет"))</x:f>
        <x:v>Мало трафика</x:v>
      </x:c>
      <x:c r="N2033" s="1" t="str">
        <x:f>IF(AND('Данные'!D2033&gt;='Дашборд'!$C$55,D2033&lt;'Дашборд'!$C$56,'Данные'!E2033&gt;='Дашборд'!$C$53,'Данные'!L2033&lt;&gt;"Да"),"Да","Нет")</x:f>
        <x:v>Нет</x:v>
      </x:c>
      <x:c r="O2033" s="1" t="str">
        <x:f>'Данные'!L2033</x:f>
        <x:v>Нет</x:v>
      </x:c>
    </x:row>
    <x:row r="2034">
      <x:c r="A2034" s="1" t="str">
        <x:f>'Данные'!A2034</x:f>
        <x:v>220612010</x:v>
      </x:c>
      <x:c r="B2034" s="1" t="str">
        <x:f>'Данные'!B2034</x:f>
        <x:v>kroptopV2/черный</x:v>
      </x:c>
      <x:c r="C2034" s="8" t="n">
        <x:f>'Данные'!G2034</x:f>
        <x:v>0</x:v>
      </x:c>
      <x:c r="D2034" s="15" t="n">
        <x:f>C2034/SUM($C$5:$C$2477)</x:f>
        <x:v>0</x:v>
      </x:c>
      <x:c r="E2034" s="15" t="n">
        <x:f>SUM($D$5:D2034)</x:f>
        <x:v>1.0000000000000036</x:v>
      </x:c>
      <x:c r="F2034" s="1" t="str">
        <x:f>IF(C2034&lt;=0,"C",IF(E2034-D2034&lt;'Дашборд'!$C$49,"A",IF(E2034-D2034&lt;'Дашборд'!$C$50,"B","C")))</x:f>
        <x:v>C</x:v>
      </x:c>
      <x:c r="G2034" s="8" t="n">
        <x:f>'Данные'!F2034</x:f>
        <x:v>0</x:v>
      </x:c>
      <x:c r="H2034" s="8" t="n">
        <x:f>SUM('Данные'!H2034:I2034)</x:f>
        <x:v>0</x:v>
      </x:c>
      <x:c r="I2034" s="16" t="str">
        <x:f>IF(H2034&gt;0,G2034/H2034,"n.a.")</x:f>
        <x:v>n.a.</x:v>
      </x:c>
      <x:c r="J2034" s="10" t="n">
        <x:f>IF('Данные'!E2034&gt;0,G2034/'Данные'!E2034,"n.a.")</x:f>
        <x:v>0</x:v>
      </x:c>
      <x:c r="K2034" s="1" t="str">
        <x:f>IF(G2034&gt;='Дашборд'!$C$51,"X","Z")</x:f>
        <x:v>Z</x:v>
      </x:c>
      <x:c r="L2034" s="1" t="str">
        <x:f>IF(H2034=0,IF(G2034&gt;0,"Нет остатка","Нет спроса"),IF(I2034&gt;='Дашборд'!$C$52,"Быстрый","Медленный"))</x:f>
        <x:v>Нет спроса</x:v>
      </x:c>
      <x:c r="M2034" s="1" t="str">
        <x:f>IF('Данные'!E2034&lt;'Дашборд'!$C$53,"Мало трафика",IF(J2034&lt;'Дашборд'!$C$9*'Дашборд'!$C$54,"Да","Нет"))</x:f>
        <x:v>Мало трафика</x:v>
      </x:c>
      <x:c r="N2034" s="1" t="str">
        <x:f>IF(AND('Данные'!D2034&gt;='Дашборд'!$C$55,D2034&lt;'Дашборд'!$C$56,'Данные'!E2034&gt;='Дашборд'!$C$53,'Данные'!L2034&lt;&gt;"Да"),"Да","Нет")</x:f>
        <x:v>Нет</x:v>
      </x:c>
      <x:c r="O2034" s="1" t="str">
        <x:f>'Данные'!L2034</x:f>
        <x:v>Нет</x:v>
      </x:c>
    </x:row>
    <x:row r="2035">
      <x:c r="A2035" s="1" t="str">
        <x:f>'Данные'!A2035</x:f>
        <x:v>220612011</x:v>
      </x:c>
      <x:c r="B2035" s="1" t="str">
        <x:f>'Данные'!B2035</x:f>
        <x:v>kroptopV2/эвкалипт</x:v>
      </x:c>
      <x:c r="C2035" s="8" t="n">
        <x:f>'Данные'!G2035</x:f>
        <x:v>0</x:v>
      </x:c>
      <x:c r="D2035" s="15" t="n">
        <x:f>C2035/SUM($C$5:$C$2477)</x:f>
        <x:v>0</x:v>
      </x:c>
      <x:c r="E2035" s="15" t="n">
        <x:f>SUM($D$5:D2035)</x:f>
        <x:v>1.0000000000000036</x:v>
      </x:c>
      <x:c r="F2035" s="1" t="str">
        <x:f>IF(C2035&lt;=0,"C",IF(E2035-D2035&lt;'Дашборд'!$C$49,"A",IF(E2035-D2035&lt;'Дашборд'!$C$50,"B","C")))</x:f>
        <x:v>C</x:v>
      </x:c>
      <x:c r="G2035" s="8" t="n">
        <x:f>'Данные'!F2035</x:f>
        <x:v>0</x:v>
      </x:c>
      <x:c r="H2035" s="8" t="n">
        <x:f>SUM('Данные'!H2035:I2035)</x:f>
        <x:v>0</x:v>
      </x:c>
      <x:c r="I2035" s="16" t="str">
        <x:f>IF(H2035&gt;0,G2035/H2035,"n.a.")</x:f>
        <x:v>n.a.</x:v>
      </x:c>
      <x:c r="J2035" s="10" t="n">
        <x:f>IF('Данные'!E2035&gt;0,G2035/'Данные'!E2035,"n.a.")</x:f>
        <x:v>0</x:v>
      </x:c>
      <x:c r="K2035" s="1" t="str">
        <x:f>IF(G2035&gt;='Дашборд'!$C$51,"X","Z")</x:f>
        <x:v>Z</x:v>
      </x:c>
      <x:c r="L2035" s="1" t="str">
        <x:f>IF(H2035=0,IF(G2035&gt;0,"Нет остатка","Нет спроса"),IF(I2035&gt;='Дашборд'!$C$52,"Быстрый","Медленный"))</x:f>
        <x:v>Нет спроса</x:v>
      </x:c>
      <x:c r="M2035" s="1" t="str">
        <x:f>IF('Данные'!E2035&lt;'Дашборд'!$C$53,"Мало трафика",IF(J2035&lt;'Дашборд'!$C$9*'Дашборд'!$C$54,"Да","Нет"))</x:f>
        <x:v>Мало трафика</x:v>
      </x:c>
      <x:c r="N2035" s="1" t="str">
        <x:f>IF(AND('Данные'!D2035&gt;='Дашборд'!$C$55,D2035&lt;'Дашборд'!$C$56,'Данные'!E2035&gt;='Дашборд'!$C$53,'Данные'!L2035&lt;&gt;"Да"),"Да","Нет")</x:f>
        <x:v>Нет</x:v>
      </x:c>
      <x:c r="O2035" s="1" t="str">
        <x:f>'Данные'!L2035</x:f>
        <x:v>Нет</x:v>
      </x:c>
    </x:row>
    <x:row r="2036">
      <x:c r="A2036" s="1" t="str">
        <x:f>'Данные'!A2036</x:f>
        <x:v>220612014</x:v>
      </x:c>
      <x:c r="B2036" s="1" t="str">
        <x:f>'Данные'!B2036</x:f>
        <x:v>kroptopV2/шалфей</x:v>
      </x:c>
      <x:c r="C2036" s="8" t="n">
        <x:f>'Данные'!G2036</x:f>
        <x:v>0</x:v>
      </x:c>
      <x:c r="D2036" s="15" t="n">
        <x:f>C2036/SUM($C$5:$C$2477)</x:f>
        <x:v>0</x:v>
      </x:c>
      <x:c r="E2036" s="15" t="n">
        <x:f>SUM($D$5:D2036)</x:f>
        <x:v>1.0000000000000036</x:v>
      </x:c>
      <x:c r="F2036" s="1" t="str">
        <x:f>IF(C2036&lt;=0,"C",IF(E2036-D2036&lt;'Дашборд'!$C$49,"A",IF(E2036-D2036&lt;'Дашборд'!$C$50,"B","C")))</x:f>
        <x:v>C</x:v>
      </x:c>
      <x:c r="G2036" s="8" t="n">
        <x:f>'Данные'!F2036</x:f>
        <x:v>0</x:v>
      </x:c>
      <x:c r="H2036" s="8" t="n">
        <x:f>SUM('Данные'!H2036:I2036)</x:f>
        <x:v>0</x:v>
      </x:c>
      <x:c r="I2036" s="16" t="str">
        <x:f>IF(H2036&gt;0,G2036/H2036,"n.a.")</x:f>
        <x:v>n.a.</x:v>
      </x:c>
      <x:c r="J2036" s="10" t="n">
        <x:f>IF('Данные'!E2036&gt;0,G2036/'Данные'!E2036,"n.a.")</x:f>
        <x:v>0</x:v>
      </x:c>
      <x:c r="K2036" s="1" t="str">
        <x:f>IF(G2036&gt;='Дашборд'!$C$51,"X","Z")</x:f>
        <x:v>Z</x:v>
      </x:c>
      <x:c r="L2036" s="1" t="str">
        <x:f>IF(H2036=0,IF(G2036&gt;0,"Нет остатка","Нет спроса"),IF(I2036&gt;='Дашборд'!$C$52,"Быстрый","Медленный"))</x:f>
        <x:v>Нет спроса</x:v>
      </x:c>
      <x:c r="M2036" s="1" t="str">
        <x:f>IF('Данные'!E2036&lt;'Дашборд'!$C$53,"Мало трафика",IF(J2036&lt;'Дашборд'!$C$9*'Дашборд'!$C$54,"Да","Нет"))</x:f>
        <x:v>Мало трафика</x:v>
      </x:c>
      <x:c r="N2036" s="1" t="str">
        <x:f>IF(AND('Данные'!D2036&gt;='Дашборд'!$C$55,D2036&lt;'Дашборд'!$C$56,'Данные'!E2036&gt;='Дашборд'!$C$53,'Данные'!L2036&lt;&gt;"Да"),"Да","Нет")</x:f>
        <x:v>Нет</x:v>
      </x:c>
      <x:c r="O2036" s="1" t="str">
        <x:f>'Данные'!L2036</x:f>
        <x:v>Нет</x:v>
      </x:c>
    </x:row>
    <x:row r="2037">
      <x:c r="A2037" s="1" t="str">
        <x:f>'Данные'!A2037</x:f>
        <x:v>220612015</x:v>
      </x:c>
      <x:c r="B2037" s="1" t="str">
        <x:f>'Данные'!B2037</x:f>
        <x:v>kroptopV2/зеленый</x:v>
      </x:c>
      <x:c r="C2037" s="8" t="n">
        <x:f>'Данные'!G2037</x:f>
        <x:v>0</x:v>
      </x:c>
      <x:c r="D2037" s="15" t="n">
        <x:f>C2037/SUM($C$5:$C$2477)</x:f>
        <x:v>0</x:v>
      </x:c>
      <x:c r="E2037" s="15" t="n">
        <x:f>SUM($D$5:D2037)</x:f>
        <x:v>1.0000000000000036</x:v>
      </x:c>
      <x:c r="F2037" s="1" t="str">
        <x:f>IF(C2037&lt;=0,"C",IF(E2037-D2037&lt;'Дашборд'!$C$49,"A",IF(E2037-D2037&lt;'Дашборд'!$C$50,"B","C")))</x:f>
        <x:v>C</x:v>
      </x:c>
      <x:c r="G2037" s="8" t="n">
        <x:f>'Данные'!F2037</x:f>
        <x:v>0</x:v>
      </x:c>
      <x:c r="H2037" s="8" t="n">
        <x:f>SUM('Данные'!H2037:I2037)</x:f>
        <x:v>0</x:v>
      </x:c>
      <x:c r="I2037" s="16" t="str">
        <x:f>IF(H2037&gt;0,G2037/H2037,"n.a.")</x:f>
        <x:v>n.a.</x:v>
      </x:c>
      <x:c r="J2037" s="10" t="n">
        <x:f>IF('Данные'!E2037&gt;0,G2037/'Данные'!E2037,"n.a.")</x:f>
        <x:v>0</x:v>
      </x:c>
      <x:c r="K2037" s="1" t="str">
        <x:f>IF(G2037&gt;='Дашборд'!$C$51,"X","Z")</x:f>
        <x:v>Z</x:v>
      </x:c>
      <x:c r="L2037" s="1" t="str">
        <x:f>IF(H2037=0,IF(G2037&gt;0,"Нет остатка","Нет спроса"),IF(I2037&gt;='Дашборд'!$C$52,"Быстрый","Медленный"))</x:f>
        <x:v>Нет спроса</x:v>
      </x:c>
      <x:c r="M2037" s="1" t="str">
        <x:f>IF('Данные'!E2037&lt;'Дашборд'!$C$53,"Мало трафика",IF(J2037&lt;'Дашборд'!$C$9*'Дашборд'!$C$54,"Да","Нет"))</x:f>
        <x:v>Мало трафика</x:v>
      </x:c>
      <x:c r="N2037" s="1" t="str">
        <x:f>IF(AND('Данные'!D2037&gt;='Дашборд'!$C$55,D2037&lt;'Дашборд'!$C$56,'Данные'!E2037&gt;='Дашборд'!$C$53,'Данные'!L2037&lt;&gt;"Да"),"Да","Нет")</x:f>
        <x:v>Нет</x:v>
      </x:c>
      <x:c r="O2037" s="1" t="str">
        <x:f>'Данные'!L2037</x:f>
        <x:v>Нет</x:v>
      </x:c>
    </x:row>
    <x:row r="2038">
      <x:c r="A2038" s="1" t="str">
        <x:f>'Данные'!A2038</x:f>
        <x:v>220612017</x:v>
      </x:c>
      <x:c r="B2038" s="1" t="str">
        <x:f>'Данные'!B2038</x:f>
        <x:v>kroptopV2/пудровый</x:v>
      </x:c>
      <x:c r="C2038" s="8" t="n">
        <x:f>'Данные'!G2038</x:f>
        <x:v>0</x:v>
      </x:c>
      <x:c r="D2038" s="15" t="n">
        <x:f>C2038/SUM($C$5:$C$2477)</x:f>
        <x:v>0</x:v>
      </x:c>
      <x:c r="E2038" s="15" t="n">
        <x:f>SUM($D$5:D2038)</x:f>
        <x:v>1.0000000000000036</x:v>
      </x:c>
      <x:c r="F2038" s="1" t="str">
        <x:f>IF(C2038&lt;=0,"C",IF(E2038-D2038&lt;'Дашборд'!$C$49,"A",IF(E2038-D2038&lt;'Дашборд'!$C$50,"B","C")))</x:f>
        <x:v>C</x:v>
      </x:c>
      <x:c r="G2038" s="8" t="n">
        <x:f>'Данные'!F2038</x:f>
        <x:v>0</x:v>
      </x:c>
      <x:c r="H2038" s="8" t="n">
        <x:f>SUM('Данные'!H2038:I2038)</x:f>
        <x:v>0</x:v>
      </x:c>
      <x:c r="I2038" s="16" t="str">
        <x:f>IF(H2038&gt;0,G2038/H2038,"n.a.")</x:f>
        <x:v>n.a.</x:v>
      </x:c>
      <x:c r="J2038" s="10" t="n">
        <x:f>IF('Данные'!E2038&gt;0,G2038/'Данные'!E2038,"n.a.")</x:f>
        <x:v>0</x:v>
      </x:c>
      <x:c r="K2038" s="1" t="str">
        <x:f>IF(G2038&gt;='Дашборд'!$C$51,"X","Z")</x:f>
        <x:v>Z</x:v>
      </x:c>
      <x:c r="L2038" s="1" t="str">
        <x:f>IF(H2038=0,IF(G2038&gt;0,"Нет остатка","Нет спроса"),IF(I2038&gt;='Дашборд'!$C$52,"Быстрый","Медленный"))</x:f>
        <x:v>Нет спроса</x:v>
      </x:c>
      <x:c r="M2038" s="1" t="str">
        <x:f>IF('Данные'!E2038&lt;'Дашборд'!$C$53,"Мало трафика",IF(J2038&lt;'Дашборд'!$C$9*'Дашборд'!$C$54,"Да","Нет"))</x:f>
        <x:v>Мало трафика</x:v>
      </x:c>
      <x:c r="N2038" s="1" t="str">
        <x:f>IF(AND('Данные'!D2038&gt;='Дашборд'!$C$55,D2038&lt;'Дашборд'!$C$56,'Данные'!E2038&gt;='Дашборд'!$C$53,'Данные'!L2038&lt;&gt;"Да"),"Да","Нет")</x:f>
        <x:v>Нет</x:v>
      </x:c>
      <x:c r="O2038" s="1" t="str">
        <x:f>'Данные'!L2038</x:f>
        <x:v>Нет</x:v>
      </x:c>
    </x:row>
    <x:row r="2039">
      <x:c r="A2039" s="1" t="str">
        <x:f>'Данные'!A2039</x:f>
        <x:v>220612019</x:v>
      </x:c>
      <x:c r="B2039" s="1" t="str">
        <x:f>'Данные'!B2039</x:f>
        <x:v>kroptopV2/мятапыльная</x:v>
      </x:c>
      <x:c r="C2039" s="8" t="n">
        <x:f>'Данные'!G2039</x:f>
        <x:v>0</x:v>
      </x:c>
      <x:c r="D2039" s="15" t="n">
        <x:f>C2039/SUM($C$5:$C$2477)</x:f>
        <x:v>0</x:v>
      </x:c>
      <x:c r="E2039" s="15" t="n">
        <x:f>SUM($D$5:D2039)</x:f>
        <x:v>1.0000000000000036</x:v>
      </x:c>
      <x:c r="F2039" s="1" t="str">
        <x:f>IF(C2039&lt;=0,"C",IF(E2039-D2039&lt;'Дашборд'!$C$49,"A",IF(E2039-D2039&lt;'Дашборд'!$C$50,"B","C")))</x:f>
        <x:v>C</x:v>
      </x:c>
      <x:c r="G2039" s="8" t="n">
        <x:f>'Данные'!F2039</x:f>
        <x:v>0</x:v>
      </x:c>
      <x:c r="H2039" s="8" t="n">
        <x:f>SUM('Данные'!H2039:I2039)</x:f>
        <x:v>0</x:v>
      </x:c>
      <x:c r="I2039" s="16" t="str">
        <x:f>IF(H2039&gt;0,G2039/H2039,"n.a.")</x:f>
        <x:v>n.a.</x:v>
      </x:c>
      <x:c r="J2039" s="10" t="n">
        <x:f>IF('Данные'!E2039&gt;0,G2039/'Данные'!E2039,"n.a.")</x:f>
        <x:v>0</x:v>
      </x:c>
      <x:c r="K2039" s="1" t="str">
        <x:f>IF(G2039&gt;='Дашборд'!$C$51,"X","Z")</x:f>
        <x:v>Z</x:v>
      </x:c>
      <x:c r="L2039" s="1" t="str">
        <x:f>IF(H2039=0,IF(G2039&gt;0,"Нет остатка","Нет спроса"),IF(I2039&gt;='Дашборд'!$C$52,"Быстрый","Медленный"))</x:f>
        <x:v>Нет спроса</x:v>
      </x:c>
      <x:c r="M2039" s="1" t="str">
        <x:f>IF('Данные'!E2039&lt;'Дашборд'!$C$53,"Мало трафика",IF(J2039&lt;'Дашборд'!$C$9*'Дашборд'!$C$54,"Да","Нет"))</x:f>
        <x:v>Мало трафика</x:v>
      </x:c>
      <x:c r="N2039" s="1" t="str">
        <x:f>IF(AND('Данные'!D2039&gt;='Дашборд'!$C$55,D2039&lt;'Дашборд'!$C$56,'Данные'!E2039&gt;='Дашборд'!$C$53,'Данные'!L2039&lt;&gt;"Да"),"Да","Нет")</x:f>
        <x:v>Нет</x:v>
      </x:c>
      <x:c r="O2039" s="1" t="str">
        <x:f>'Данные'!L2039</x:f>
        <x:v>Нет</x:v>
      </x:c>
    </x:row>
    <x:row r="2040">
      <x:c r="A2040" s="1" t="str">
        <x:f>'Данные'!A2040</x:f>
        <x:v>220612023</x:v>
      </x:c>
      <x:c r="B2040" s="1" t="str">
        <x:f>'Данные'!B2040</x:f>
        <x:v>kroptopV2/дымка</x:v>
      </x:c>
      <x:c r="C2040" s="8" t="n">
        <x:f>'Данные'!G2040</x:f>
        <x:v>0</x:v>
      </x:c>
      <x:c r="D2040" s="15" t="n">
        <x:f>C2040/SUM($C$5:$C$2477)</x:f>
        <x:v>0</x:v>
      </x:c>
      <x:c r="E2040" s="15" t="n">
        <x:f>SUM($D$5:D2040)</x:f>
        <x:v>1.0000000000000036</x:v>
      </x:c>
      <x:c r="F2040" s="1" t="str">
        <x:f>IF(C2040&lt;=0,"C",IF(E2040-D2040&lt;'Дашборд'!$C$49,"A",IF(E2040-D2040&lt;'Дашборд'!$C$50,"B","C")))</x:f>
        <x:v>C</x:v>
      </x:c>
      <x:c r="G2040" s="8" t="n">
        <x:f>'Данные'!F2040</x:f>
        <x:v>0</x:v>
      </x:c>
      <x:c r="H2040" s="8" t="n">
        <x:f>SUM('Данные'!H2040:I2040)</x:f>
        <x:v>0</x:v>
      </x:c>
      <x:c r="I2040" s="16" t="str">
        <x:f>IF(H2040&gt;0,G2040/H2040,"n.a.")</x:f>
        <x:v>n.a.</x:v>
      </x:c>
      <x:c r="J2040" s="10" t="n">
        <x:f>IF('Данные'!E2040&gt;0,G2040/'Данные'!E2040,"n.a.")</x:f>
        <x:v>0</x:v>
      </x:c>
      <x:c r="K2040" s="1" t="str">
        <x:f>IF(G2040&gt;='Дашборд'!$C$51,"X","Z")</x:f>
        <x:v>Z</x:v>
      </x:c>
      <x:c r="L2040" s="1" t="str">
        <x:f>IF(H2040=0,IF(G2040&gt;0,"Нет остатка","Нет спроса"),IF(I2040&gt;='Дашборд'!$C$52,"Быстрый","Медленный"))</x:f>
        <x:v>Нет спроса</x:v>
      </x:c>
      <x:c r="M2040" s="1" t="str">
        <x:f>IF('Данные'!E2040&lt;'Дашборд'!$C$53,"Мало трафика",IF(J2040&lt;'Дашборд'!$C$9*'Дашборд'!$C$54,"Да","Нет"))</x:f>
        <x:v>Мало трафика</x:v>
      </x:c>
      <x:c r="N2040" s="1" t="str">
        <x:f>IF(AND('Данные'!D2040&gt;='Дашборд'!$C$55,D2040&lt;'Дашборд'!$C$56,'Данные'!E2040&gt;='Дашборд'!$C$53,'Данные'!L2040&lt;&gt;"Да"),"Да","Нет")</x:f>
        <x:v>Нет</x:v>
      </x:c>
      <x:c r="O2040" s="1" t="str">
        <x:f>'Данные'!L2040</x:f>
        <x:v>Нет</x:v>
      </x:c>
    </x:row>
    <x:row r="2041">
      <x:c r="A2041" s="1" t="str">
        <x:f>'Данные'!A2041</x:f>
        <x:v>220612025</x:v>
      </x:c>
      <x:c r="B2041" s="1" t="str">
        <x:f>'Данные'!B2041</x:f>
        <x:v>kroptopV2/бежевый</x:v>
      </x:c>
      <x:c r="C2041" s="8" t="n">
        <x:f>'Данные'!G2041</x:f>
        <x:v>0</x:v>
      </x:c>
      <x:c r="D2041" s="15" t="n">
        <x:f>C2041/SUM($C$5:$C$2477)</x:f>
        <x:v>0</x:v>
      </x:c>
      <x:c r="E2041" s="15" t="n">
        <x:f>SUM($D$5:D2041)</x:f>
        <x:v>1.0000000000000036</x:v>
      </x:c>
      <x:c r="F2041" s="1" t="str">
        <x:f>IF(C2041&lt;=0,"C",IF(E2041-D2041&lt;'Дашборд'!$C$49,"A",IF(E2041-D2041&lt;'Дашборд'!$C$50,"B","C")))</x:f>
        <x:v>C</x:v>
      </x:c>
      <x:c r="G2041" s="8" t="n">
        <x:f>'Данные'!F2041</x:f>
        <x:v>0</x:v>
      </x:c>
      <x:c r="H2041" s="8" t="n">
        <x:f>SUM('Данные'!H2041:I2041)</x:f>
        <x:v>0</x:v>
      </x:c>
      <x:c r="I2041" s="16" t="str">
        <x:f>IF(H2041&gt;0,G2041/H2041,"n.a.")</x:f>
        <x:v>n.a.</x:v>
      </x:c>
      <x:c r="J2041" s="10" t="n">
        <x:f>IF('Данные'!E2041&gt;0,G2041/'Данные'!E2041,"n.a.")</x:f>
        <x:v>0</x:v>
      </x:c>
      <x:c r="K2041" s="1" t="str">
        <x:f>IF(G2041&gt;='Дашборд'!$C$51,"X","Z")</x:f>
        <x:v>Z</x:v>
      </x:c>
      <x:c r="L2041" s="1" t="str">
        <x:f>IF(H2041=0,IF(G2041&gt;0,"Нет остатка","Нет спроса"),IF(I2041&gt;='Дашборд'!$C$52,"Быстрый","Медленный"))</x:f>
        <x:v>Нет спроса</x:v>
      </x:c>
      <x:c r="M2041" s="1" t="str">
        <x:f>IF('Данные'!E2041&lt;'Дашборд'!$C$53,"Мало трафика",IF(J2041&lt;'Дашборд'!$C$9*'Дашборд'!$C$54,"Да","Нет"))</x:f>
        <x:v>Мало трафика</x:v>
      </x:c>
      <x:c r="N2041" s="1" t="str">
        <x:f>IF(AND('Данные'!D2041&gt;='Дашборд'!$C$55,D2041&lt;'Дашборд'!$C$56,'Данные'!E2041&gt;='Дашборд'!$C$53,'Данные'!L2041&lt;&gt;"Да"),"Да","Нет")</x:f>
        <x:v>Нет</x:v>
      </x:c>
      <x:c r="O2041" s="1" t="str">
        <x:f>'Данные'!L2041</x:f>
        <x:v>Нет</x:v>
      </x:c>
    </x:row>
    <x:row r="2042">
      <x:c r="A2042" s="1" t="str">
        <x:f>'Данные'!A2042</x:f>
        <x:v>220612027</x:v>
      </x:c>
      <x:c r="B2042" s="1" t="str">
        <x:f>'Данные'!B2042</x:f>
        <x:v>kroptopV2/коричневый</x:v>
      </x:c>
      <x:c r="C2042" s="8" t="n">
        <x:f>'Данные'!G2042</x:f>
        <x:v>0</x:v>
      </x:c>
      <x:c r="D2042" s="15" t="n">
        <x:f>C2042/SUM($C$5:$C$2477)</x:f>
        <x:v>0</x:v>
      </x:c>
      <x:c r="E2042" s="15" t="n">
        <x:f>SUM($D$5:D2042)</x:f>
        <x:v>1.0000000000000036</x:v>
      </x:c>
      <x:c r="F2042" s="1" t="str">
        <x:f>IF(C2042&lt;=0,"C",IF(E2042-D2042&lt;'Дашборд'!$C$49,"A",IF(E2042-D2042&lt;'Дашборд'!$C$50,"B","C")))</x:f>
        <x:v>C</x:v>
      </x:c>
      <x:c r="G2042" s="8" t="n">
        <x:f>'Данные'!F2042</x:f>
        <x:v>0</x:v>
      </x:c>
      <x:c r="H2042" s="8" t="n">
        <x:f>SUM('Данные'!H2042:I2042)</x:f>
        <x:v>0</x:v>
      </x:c>
      <x:c r="I2042" s="16" t="str">
        <x:f>IF(H2042&gt;0,G2042/H2042,"n.a.")</x:f>
        <x:v>n.a.</x:v>
      </x:c>
      <x:c r="J2042" s="10" t="n">
        <x:f>IF('Данные'!E2042&gt;0,G2042/'Данные'!E2042,"n.a.")</x:f>
        <x:v>0</x:v>
      </x:c>
      <x:c r="K2042" s="1" t="str">
        <x:f>IF(G2042&gt;='Дашборд'!$C$51,"X","Z")</x:f>
        <x:v>Z</x:v>
      </x:c>
      <x:c r="L2042" s="1" t="str">
        <x:f>IF(H2042=0,IF(G2042&gt;0,"Нет остатка","Нет спроса"),IF(I2042&gt;='Дашборд'!$C$52,"Быстрый","Медленный"))</x:f>
        <x:v>Нет спроса</x:v>
      </x:c>
      <x:c r="M2042" s="1" t="str">
        <x:f>IF('Данные'!E2042&lt;'Дашборд'!$C$53,"Мало трафика",IF(J2042&lt;'Дашборд'!$C$9*'Дашборд'!$C$54,"Да","Нет"))</x:f>
        <x:v>Мало трафика</x:v>
      </x:c>
      <x:c r="N2042" s="1" t="str">
        <x:f>IF(AND('Данные'!D2042&gt;='Дашборд'!$C$55,D2042&lt;'Дашборд'!$C$56,'Данные'!E2042&gt;='Дашборд'!$C$53,'Данные'!L2042&lt;&gt;"Да"),"Да","Нет")</x:f>
        <x:v>Нет</x:v>
      </x:c>
      <x:c r="O2042" s="1" t="str">
        <x:f>'Данные'!L2042</x:f>
        <x:v>Нет</x:v>
      </x:c>
    </x:row>
    <x:row r="2043">
      <x:c r="A2043" s="1" t="str">
        <x:f>'Данные'!A2043</x:f>
        <x:v>220612030</x:v>
      </x:c>
      <x:c r="B2043" s="1" t="str">
        <x:f>'Данные'!B2043</x:f>
        <x:v>kroptopV2/зелено-серый</x:v>
      </x:c>
      <x:c r="C2043" s="8" t="n">
        <x:f>'Данные'!G2043</x:f>
        <x:v>0</x:v>
      </x:c>
      <x:c r="D2043" s="15" t="n">
        <x:f>C2043/SUM($C$5:$C$2477)</x:f>
        <x:v>0</x:v>
      </x:c>
      <x:c r="E2043" s="15" t="n">
        <x:f>SUM($D$5:D2043)</x:f>
        <x:v>1.0000000000000036</x:v>
      </x:c>
      <x:c r="F2043" s="1" t="str">
        <x:f>IF(C2043&lt;=0,"C",IF(E2043-D2043&lt;'Дашборд'!$C$49,"A",IF(E2043-D2043&lt;'Дашборд'!$C$50,"B","C")))</x:f>
        <x:v>C</x:v>
      </x:c>
      <x:c r="G2043" s="8" t="n">
        <x:f>'Данные'!F2043</x:f>
        <x:v>0</x:v>
      </x:c>
      <x:c r="H2043" s="8" t="n">
        <x:f>SUM('Данные'!H2043:I2043)</x:f>
        <x:v>0</x:v>
      </x:c>
      <x:c r="I2043" s="16" t="str">
        <x:f>IF(H2043&gt;0,G2043/H2043,"n.a.")</x:f>
        <x:v>n.a.</x:v>
      </x:c>
      <x:c r="J2043" s="10" t="n">
        <x:f>IF('Данные'!E2043&gt;0,G2043/'Данные'!E2043,"n.a.")</x:f>
        <x:v>0</x:v>
      </x:c>
      <x:c r="K2043" s="1" t="str">
        <x:f>IF(G2043&gt;='Дашборд'!$C$51,"X","Z")</x:f>
        <x:v>Z</x:v>
      </x:c>
      <x:c r="L2043" s="1" t="str">
        <x:f>IF(H2043=0,IF(G2043&gt;0,"Нет остатка","Нет спроса"),IF(I2043&gt;='Дашборд'!$C$52,"Быстрый","Медленный"))</x:f>
        <x:v>Нет спроса</x:v>
      </x:c>
      <x:c r="M2043" s="1" t="str">
        <x:f>IF('Данные'!E2043&lt;'Дашборд'!$C$53,"Мало трафика",IF(J2043&lt;'Дашборд'!$C$9*'Дашборд'!$C$54,"Да","Нет"))</x:f>
        <x:v>Мало трафика</x:v>
      </x:c>
      <x:c r="N2043" s="1" t="str">
        <x:f>IF(AND('Данные'!D2043&gt;='Дашборд'!$C$55,D2043&lt;'Дашборд'!$C$56,'Данные'!E2043&gt;='Дашборд'!$C$53,'Данные'!L2043&lt;&gt;"Да"),"Да","Нет")</x:f>
        <x:v>Нет</x:v>
      </x:c>
      <x:c r="O2043" s="1" t="str">
        <x:f>'Данные'!L2043</x:f>
        <x:v>Нет</x:v>
      </x:c>
    </x:row>
    <x:row r="2044">
      <x:c r="A2044" s="1" t="str">
        <x:f>'Данные'!A2044</x:f>
        <x:v>220612033</x:v>
      </x:c>
      <x:c r="B2044" s="1" t="str">
        <x:f>'Данные'!B2044</x:f>
        <x:v>kroptopV2/мандариновый</x:v>
      </x:c>
      <x:c r="C2044" s="8" t="n">
        <x:f>'Данные'!G2044</x:f>
        <x:v>0</x:v>
      </x:c>
      <x:c r="D2044" s="15" t="n">
        <x:f>C2044/SUM($C$5:$C$2477)</x:f>
        <x:v>0</x:v>
      </x:c>
      <x:c r="E2044" s="15" t="n">
        <x:f>SUM($D$5:D2044)</x:f>
        <x:v>1.0000000000000036</x:v>
      </x:c>
      <x:c r="F2044" s="1" t="str">
        <x:f>IF(C2044&lt;=0,"C",IF(E2044-D2044&lt;'Дашборд'!$C$49,"A",IF(E2044-D2044&lt;'Дашборд'!$C$50,"B","C")))</x:f>
        <x:v>C</x:v>
      </x:c>
      <x:c r="G2044" s="8" t="n">
        <x:f>'Данные'!F2044</x:f>
        <x:v>0</x:v>
      </x:c>
      <x:c r="H2044" s="8" t="n">
        <x:f>SUM('Данные'!H2044:I2044)</x:f>
        <x:v>0</x:v>
      </x:c>
      <x:c r="I2044" s="16" t="str">
        <x:f>IF(H2044&gt;0,G2044/H2044,"n.a.")</x:f>
        <x:v>n.a.</x:v>
      </x:c>
      <x:c r="J2044" s="10" t="n">
        <x:f>IF('Данные'!E2044&gt;0,G2044/'Данные'!E2044,"n.a.")</x:f>
        <x:v>0</x:v>
      </x:c>
      <x:c r="K2044" s="1" t="str">
        <x:f>IF(G2044&gt;='Дашборд'!$C$51,"X","Z")</x:f>
        <x:v>Z</x:v>
      </x:c>
      <x:c r="L2044" s="1" t="str">
        <x:f>IF(H2044=0,IF(G2044&gt;0,"Нет остатка","Нет спроса"),IF(I2044&gt;='Дашборд'!$C$52,"Быстрый","Медленный"))</x:f>
        <x:v>Нет спроса</x:v>
      </x:c>
      <x:c r="M2044" s="1" t="str">
        <x:f>IF('Данные'!E2044&lt;'Дашборд'!$C$53,"Мало трафика",IF(J2044&lt;'Дашборд'!$C$9*'Дашборд'!$C$54,"Да","Нет"))</x:f>
        <x:v>Мало трафика</x:v>
      </x:c>
      <x:c r="N2044" s="1" t="str">
        <x:f>IF(AND('Данные'!D2044&gt;='Дашборд'!$C$55,D2044&lt;'Дашборд'!$C$56,'Данные'!E2044&gt;='Дашборд'!$C$53,'Данные'!L2044&lt;&gt;"Да"),"Да","Нет")</x:f>
        <x:v>Нет</x:v>
      </x:c>
      <x:c r="O2044" s="1" t="str">
        <x:f>'Данные'!L2044</x:f>
        <x:v>Нет</x:v>
      </x:c>
    </x:row>
    <x:row r="2045">
      <x:c r="A2045" s="1" t="str">
        <x:f>'Данные'!A2045</x:f>
        <x:v>220612035</x:v>
      </x:c>
      <x:c r="B2045" s="1" t="str">
        <x:f>'Данные'!B2045</x:f>
        <x:v>kroptopV2/хаки</x:v>
      </x:c>
      <x:c r="C2045" s="8" t="n">
        <x:f>'Данные'!G2045</x:f>
        <x:v>0</x:v>
      </x:c>
      <x:c r="D2045" s="15" t="n">
        <x:f>C2045/SUM($C$5:$C$2477)</x:f>
        <x:v>0</x:v>
      </x:c>
      <x:c r="E2045" s="15" t="n">
        <x:f>SUM($D$5:D2045)</x:f>
        <x:v>1.0000000000000036</x:v>
      </x:c>
      <x:c r="F2045" s="1" t="str">
        <x:f>IF(C2045&lt;=0,"C",IF(E2045-D2045&lt;'Дашборд'!$C$49,"A",IF(E2045-D2045&lt;'Дашборд'!$C$50,"B","C")))</x:f>
        <x:v>C</x:v>
      </x:c>
      <x:c r="G2045" s="8" t="n">
        <x:f>'Данные'!F2045</x:f>
        <x:v>0</x:v>
      </x:c>
      <x:c r="H2045" s="8" t="n">
        <x:f>SUM('Данные'!H2045:I2045)</x:f>
        <x:v>0</x:v>
      </x:c>
      <x:c r="I2045" s="16" t="str">
        <x:f>IF(H2045&gt;0,G2045/H2045,"n.a.")</x:f>
        <x:v>n.a.</x:v>
      </x:c>
      <x:c r="J2045" s="10" t="n">
        <x:f>IF('Данные'!E2045&gt;0,G2045/'Данные'!E2045,"n.a.")</x:f>
        <x:v>0</x:v>
      </x:c>
      <x:c r="K2045" s="1" t="str">
        <x:f>IF(G2045&gt;='Дашборд'!$C$51,"X","Z")</x:f>
        <x:v>Z</x:v>
      </x:c>
      <x:c r="L2045" s="1" t="str">
        <x:f>IF(H2045=0,IF(G2045&gt;0,"Нет остатка","Нет спроса"),IF(I2045&gt;='Дашборд'!$C$52,"Быстрый","Медленный"))</x:f>
        <x:v>Нет спроса</x:v>
      </x:c>
      <x:c r="M2045" s="1" t="str">
        <x:f>IF('Данные'!E2045&lt;'Дашборд'!$C$53,"Мало трафика",IF(J2045&lt;'Дашборд'!$C$9*'Дашборд'!$C$54,"Да","Нет"))</x:f>
        <x:v>Мало трафика</x:v>
      </x:c>
      <x:c r="N2045" s="1" t="str">
        <x:f>IF(AND('Данные'!D2045&gt;='Дашборд'!$C$55,D2045&lt;'Дашборд'!$C$56,'Данные'!E2045&gt;='Дашборд'!$C$53,'Данные'!L2045&lt;&gt;"Да"),"Да","Нет")</x:f>
        <x:v>Нет</x:v>
      </x:c>
      <x:c r="O2045" s="1" t="str">
        <x:f>'Данные'!L2045</x:f>
        <x:v>Нет</x:v>
      </x:c>
    </x:row>
    <x:row r="2046">
      <x:c r="A2046" s="1" t="str">
        <x:f>'Данные'!A2046</x:f>
        <x:v>220612036</x:v>
      </x:c>
      <x:c r="B2046" s="1" t="str">
        <x:f>'Данные'!B2046</x:f>
        <x:v>kroptopV2/морскаяволна</x:v>
      </x:c>
      <x:c r="C2046" s="8" t="n">
        <x:f>'Данные'!G2046</x:f>
        <x:v>0</x:v>
      </x:c>
      <x:c r="D2046" s="15" t="n">
        <x:f>C2046/SUM($C$5:$C$2477)</x:f>
        <x:v>0</x:v>
      </x:c>
      <x:c r="E2046" s="15" t="n">
        <x:f>SUM($D$5:D2046)</x:f>
        <x:v>1.0000000000000036</x:v>
      </x:c>
      <x:c r="F2046" s="1" t="str">
        <x:f>IF(C2046&lt;=0,"C",IF(E2046-D2046&lt;'Дашборд'!$C$49,"A",IF(E2046-D2046&lt;'Дашборд'!$C$50,"B","C")))</x:f>
        <x:v>C</x:v>
      </x:c>
      <x:c r="G2046" s="8" t="n">
        <x:f>'Данные'!F2046</x:f>
        <x:v>0</x:v>
      </x:c>
      <x:c r="H2046" s="8" t="n">
        <x:f>SUM('Данные'!H2046:I2046)</x:f>
        <x:v>0</x:v>
      </x:c>
      <x:c r="I2046" s="16" t="str">
        <x:f>IF(H2046&gt;0,G2046/H2046,"n.a.")</x:f>
        <x:v>n.a.</x:v>
      </x:c>
      <x:c r="J2046" s="10" t="n">
        <x:f>IF('Данные'!E2046&gt;0,G2046/'Данные'!E2046,"n.a.")</x:f>
        <x:v>0</x:v>
      </x:c>
      <x:c r="K2046" s="1" t="str">
        <x:f>IF(G2046&gt;='Дашборд'!$C$51,"X","Z")</x:f>
        <x:v>Z</x:v>
      </x:c>
      <x:c r="L2046" s="1" t="str">
        <x:f>IF(H2046=0,IF(G2046&gt;0,"Нет остатка","Нет спроса"),IF(I2046&gt;='Дашборд'!$C$52,"Быстрый","Медленный"))</x:f>
        <x:v>Нет спроса</x:v>
      </x:c>
      <x:c r="M2046" s="1" t="str">
        <x:f>IF('Данные'!E2046&lt;'Дашборд'!$C$53,"Мало трафика",IF(J2046&lt;'Дашборд'!$C$9*'Дашборд'!$C$54,"Да","Нет"))</x:f>
        <x:v>Мало трафика</x:v>
      </x:c>
      <x:c r="N2046" s="1" t="str">
        <x:f>IF(AND('Данные'!D2046&gt;='Дашборд'!$C$55,D2046&lt;'Дашборд'!$C$56,'Данные'!E2046&gt;='Дашборд'!$C$53,'Данные'!L2046&lt;&gt;"Да"),"Да","Нет")</x:f>
        <x:v>Нет</x:v>
      </x:c>
      <x:c r="O2046" s="1" t="str">
        <x:f>'Данные'!L2046</x:f>
        <x:v>Нет</x:v>
      </x:c>
    </x:row>
    <x:row r="2047">
      <x:c r="A2047" s="1" t="str">
        <x:f>'Данные'!A2047</x:f>
        <x:v>220612038</x:v>
      </x:c>
      <x:c r="B2047" s="1" t="str">
        <x:f>'Данные'!B2047</x:f>
        <x:v>kroptopV2/бордовый</x:v>
      </x:c>
      <x:c r="C2047" s="8" t="n">
        <x:f>'Данные'!G2047</x:f>
        <x:v>0</x:v>
      </x:c>
      <x:c r="D2047" s="15" t="n">
        <x:f>C2047/SUM($C$5:$C$2477)</x:f>
        <x:v>0</x:v>
      </x:c>
      <x:c r="E2047" s="15" t="n">
        <x:f>SUM($D$5:D2047)</x:f>
        <x:v>1.0000000000000036</x:v>
      </x:c>
      <x:c r="F2047" s="1" t="str">
        <x:f>IF(C2047&lt;=0,"C",IF(E2047-D2047&lt;'Дашборд'!$C$49,"A",IF(E2047-D2047&lt;'Дашборд'!$C$50,"B","C")))</x:f>
        <x:v>C</x:v>
      </x:c>
      <x:c r="G2047" s="8" t="n">
        <x:f>'Данные'!F2047</x:f>
        <x:v>0</x:v>
      </x:c>
      <x:c r="H2047" s="8" t="n">
        <x:f>SUM('Данные'!H2047:I2047)</x:f>
        <x:v>0</x:v>
      </x:c>
      <x:c r="I2047" s="16" t="str">
        <x:f>IF(H2047&gt;0,G2047/H2047,"n.a.")</x:f>
        <x:v>n.a.</x:v>
      </x:c>
      <x:c r="J2047" s="10" t="n">
        <x:f>IF('Данные'!E2047&gt;0,G2047/'Данные'!E2047,"n.a.")</x:f>
        <x:v>0</x:v>
      </x:c>
      <x:c r="K2047" s="1" t="str">
        <x:f>IF(G2047&gt;='Дашборд'!$C$51,"X","Z")</x:f>
        <x:v>Z</x:v>
      </x:c>
      <x:c r="L2047" s="1" t="str">
        <x:f>IF(H2047=0,IF(G2047&gt;0,"Нет остатка","Нет спроса"),IF(I2047&gt;='Дашборд'!$C$52,"Быстрый","Медленный"))</x:f>
        <x:v>Нет спроса</x:v>
      </x:c>
      <x:c r="M2047" s="1" t="str">
        <x:f>IF('Данные'!E2047&lt;'Дашборд'!$C$53,"Мало трафика",IF(J2047&lt;'Дашборд'!$C$9*'Дашборд'!$C$54,"Да","Нет"))</x:f>
        <x:v>Мало трафика</x:v>
      </x:c>
      <x:c r="N2047" s="1" t="str">
        <x:f>IF(AND('Данные'!D2047&gt;='Дашборд'!$C$55,D2047&lt;'Дашборд'!$C$56,'Данные'!E2047&gt;='Дашборд'!$C$53,'Данные'!L2047&lt;&gt;"Да"),"Да","Нет")</x:f>
        <x:v>Нет</x:v>
      </x:c>
      <x:c r="O2047" s="1" t="str">
        <x:f>'Данные'!L2047</x:f>
        <x:v>Нет</x:v>
      </x:c>
    </x:row>
    <x:row r="2048">
      <x:c r="A2048" s="1" t="str">
        <x:f>'Данные'!A2048</x:f>
        <x:v>220612039</x:v>
      </x:c>
      <x:c r="B2048" s="1" t="str">
        <x:f>'Данные'!B2048</x:f>
        <x:v>kroptopV2/фуксия</x:v>
      </x:c>
      <x:c r="C2048" s="8" t="n">
        <x:f>'Данные'!G2048</x:f>
        <x:v>0</x:v>
      </x:c>
      <x:c r="D2048" s="15" t="n">
        <x:f>C2048/SUM($C$5:$C$2477)</x:f>
        <x:v>0</x:v>
      </x:c>
      <x:c r="E2048" s="15" t="n">
        <x:f>SUM($D$5:D2048)</x:f>
        <x:v>1.0000000000000036</x:v>
      </x:c>
      <x:c r="F2048" s="1" t="str">
        <x:f>IF(C2048&lt;=0,"C",IF(E2048-D2048&lt;'Дашборд'!$C$49,"A",IF(E2048-D2048&lt;'Дашборд'!$C$50,"B","C")))</x:f>
        <x:v>C</x:v>
      </x:c>
      <x:c r="G2048" s="8" t="n">
        <x:f>'Данные'!F2048</x:f>
        <x:v>0</x:v>
      </x:c>
      <x:c r="H2048" s="8" t="n">
        <x:f>SUM('Данные'!H2048:I2048)</x:f>
        <x:v>0</x:v>
      </x:c>
      <x:c r="I2048" s="16" t="str">
        <x:f>IF(H2048&gt;0,G2048/H2048,"n.a.")</x:f>
        <x:v>n.a.</x:v>
      </x:c>
      <x:c r="J2048" s="10" t="n">
        <x:f>IF('Данные'!E2048&gt;0,G2048/'Данные'!E2048,"n.a.")</x:f>
        <x:v>0</x:v>
      </x:c>
      <x:c r="K2048" s="1" t="str">
        <x:f>IF(G2048&gt;='Дашборд'!$C$51,"X","Z")</x:f>
        <x:v>Z</x:v>
      </x:c>
      <x:c r="L2048" s="1" t="str">
        <x:f>IF(H2048=0,IF(G2048&gt;0,"Нет остатка","Нет спроса"),IF(I2048&gt;='Дашборд'!$C$52,"Быстрый","Медленный"))</x:f>
        <x:v>Нет спроса</x:v>
      </x:c>
      <x:c r="M2048" s="1" t="str">
        <x:f>IF('Данные'!E2048&lt;'Дашборд'!$C$53,"Мало трафика",IF(J2048&lt;'Дашборд'!$C$9*'Дашборд'!$C$54,"Да","Нет"))</x:f>
        <x:v>Мало трафика</x:v>
      </x:c>
      <x:c r="N2048" s="1" t="str">
        <x:f>IF(AND('Данные'!D2048&gt;='Дашборд'!$C$55,D2048&lt;'Дашборд'!$C$56,'Данные'!E2048&gt;='Дашборд'!$C$53,'Данные'!L2048&lt;&gt;"Да"),"Да","Нет")</x:f>
        <x:v>Нет</x:v>
      </x:c>
      <x:c r="O2048" s="1" t="str">
        <x:f>'Данные'!L2048</x:f>
        <x:v>Нет</x:v>
      </x:c>
    </x:row>
    <x:row r="2049">
      <x:c r="A2049" s="1" t="str">
        <x:f>'Данные'!A2049</x:f>
        <x:v>220612041</x:v>
      </x:c>
      <x:c r="B2049" s="1" t="str">
        <x:f>'Данные'!B2049</x:f>
        <x:v>kroptopV2/какао</x:v>
      </x:c>
      <x:c r="C2049" s="8" t="n">
        <x:f>'Данные'!G2049</x:f>
        <x:v>0</x:v>
      </x:c>
      <x:c r="D2049" s="15" t="n">
        <x:f>C2049/SUM($C$5:$C$2477)</x:f>
        <x:v>0</x:v>
      </x:c>
      <x:c r="E2049" s="15" t="n">
        <x:f>SUM($D$5:D2049)</x:f>
        <x:v>1.0000000000000036</x:v>
      </x:c>
      <x:c r="F2049" s="1" t="str">
        <x:f>IF(C2049&lt;=0,"C",IF(E2049-D2049&lt;'Дашборд'!$C$49,"A",IF(E2049-D2049&lt;'Дашборд'!$C$50,"B","C")))</x:f>
        <x:v>C</x:v>
      </x:c>
      <x:c r="G2049" s="8" t="n">
        <x:f>'Данные'!F2049</x:f>
        <x:v>0</x:v>
      </x:c>
      <x:c r="H2049" s="8" t="n">
        <x:f>SUM('Данные'!H2049:I2049)</x:f>
        <x:v>0</x:v>
      </x:c>
      <x:c r="I2049" s="16" t="str">
        <x:f>IF(H2049&gt;0,G2049/H2049,"n.a.")</x:f>
        <x:v>n.a.</x:v>
      </x:c>
      <x:c r="J2049" s="10" t="n">
        <x:f>IF('Данные'!E2049&gt;0,G2049/'Данные'!E2049,"n.a.")</x:f>
        <x:v>0</x:v>
      </x:c>
      <x:c r="K2049" s="1" t="str">
        <x:f>IF(G2049&gt;='Дашборд'!$C$51,"X","Z")</x:f>
        <x:v>Z</x:v>
      </x:c>
      <x:c r="L2049" s="1" t="str">
        <x:f>IF(H2049=0,IF(G2049&gt;0,"Нет остатка","Нет спроса"),IF(I2049&gt;='Дашборд'!$C$52,"Быстрый","Медленный"))</x:f>
        <x:v>Нет спроса</x:v>
      </x:c>
      <x:c r="M2049" s="1" t="str">
        <x:f>IF('Данные'!E2049&lt;'Дашборд'!$C$53,"Мало трафика",IF(J2049&lt;'Дашборд'!$C$9*'Дашборд'!$C$54,"Да","Нет"))</x:f>
        <x:v>Мало трафика</x:v>
      </x:c>
      <x:c r="N2049" s="1" t="str">
        <x:f>IF(AND('Данные'!D2049&gt;='Дашборд'!$C$55,D2049&lt;'Дашборд'!$C$56,'Данные'!E2049&gt;='Дашборд'!$C$53,'Данные'!L2049&lt;&gt;"Да"),"Да","Нет")</x:f>
        <x:v>Нет</x:v>
      </x:c>
      <x:c r="O2049" s="1" t="str">
        <x:f>'Данные'!L2049</x:f>
        <x:v>Нет</x:v>
      </x:c>
    </x:row>
    <x:row r="2050">
      <x:c r="A2050" s="1" t="str">
        <x:f>'Данные'!A2050</x:f>
        <x:v>220612043</x:v>
      </x:c>
      <x:c r="B2050" s="1" t="str">
        <x:f>'Данные'!B2050</x:f>
        <x:v>kroptopV2/банановый</x:v>
      </x:c>
      <x:c r="C2050" s="8" t="n">
        <x:f>'Данные'!G2050</x:f>
        <x:v>0</x:v>
      </x:c>
      <x:c r="D2050" s="15" t="n">
        <x:f>C2050/SUM($C$5:$C$2477)</x:f>
        <x:v>0</x:v>
      </x:c>
      <x:c r="E2050" s="15" t="n">
        <x:f>SUM($D$5:D2050)</x:f>
        <x:v>1.0000000000000036</x:v>
      </x:c>
      <x:c r="F2050" s="1" t="str">
        <x:f>IF(C2050&lt;=0,"C",IF(E2050-D2050&lt;'Дашборд'!$C$49,"A",IF(E2050-D2050&lt;'Дашборд'!$C$50,"B","C")))</x:f>
        <x:v>C</x:v>
      </x:c>
      <x:c r="G2050" s="8" t="n">
        <x:f>'Данные'!F2050</x:f>
        <x:v>0</x:v>
      </x:c>
      <x:c r="H2050" s="8" t="n">
        <x:f>SUM('Данные'!H2050:I2050)</x:f>
        <x:v>0</x:v>
      </x:c>
      <x:c r="I2050" s="16" t="str">
        <x:f>IF(H2050&gt;0,G2050/H2050,"n.a.")</x:f>
        <x:v>n.a.</x:v>
      </x:c>
      <x:c r="J2050" s="10" t="n">
        <x:f>IF('Данные'!E2050&gt;0,G2050/'Данные'!E2050,"n.a.")</x:f>
        <x:v>0</x:v>
      </x:c>
      <x:c r="K2050" s="1" t="str">
        <x:f>IF(G2050&gt;='Дашборд'!$C$51,"X","Z")</x:f>
        <x:v>Z</x:v>
      </x:c>
      <x:c r="L2050" s="1" t="str">
        <x:f>IF(H2050=0,IF(G2050&gt;0,"Нет остатка","Нет спроса"),IF(I2050&gt;='Дашборд'!$C$52,"Быстрый","Медленный"))</x:f>
        <x:v>Нет спроса</x:v>
      </x:c>
      <x:c r="M2050" s="1" t="str">
        <x:f>IF('Данные'!E2050&lt;'Дашборд'!$C$53,"Мало трафика",IF(J2050&lt;'Дашборд'!$C$9*'Дашборд'!$C$54,"Да","Нет"))</x:f>
        <x:v>Мало трафика</x:v>
      </x:c>
      <x:c r="N2050" s="1" t="str">
        <x:f>IF(AND('Данные'!D2050&gt;='Дашборд'!$C$55,D2050&lt;'Дашборд'!$C$56,'Данные'!E2050&gt;='Дашборд'!$C$53,'Данные'!L2050&lt;&gt;"Да"),"Да","Нет")</x:f>
        <x:v>Нет</x:v>
      </x:c>
      <x:c r="O2050" s="1" t="str">
        <x:f>'Данные'!L2050</x:f>
        <x:v>Нет</x:v>
      </x:c>
    </x:row>
    <x:row r="2051">
      <x:c r="A2051" s="1" t="str">
        <x:f>'Данные'!A2051</x:f>
        <x:v>220612046</x:v>
      </x:c>
      <x:c r="B2051" s="1" t="str">
        <x:f>'Данные'!B2051</x:f>
        <x:v>kroptopV2/красный</x:v>
      </x:c>
      <x:c r="C2051" s="8" t="n">
        <x:f>'Данные'!G2051</x:f>
        <x:v>0</x:v>
      </x:c>
      <x:c r="D2051" s="15" t="n">
        <x:f>C2051/SUM($C$5:$C$2477)</x:f>
        <x:v>0</x:v>
      </x:c>
      <x:c r="E2051" s="15" t="n">
        <x:f>SUM($D$5:D2051)</x:f>
        <x:v>1.0000000000000036</x:v>
      </x:c>
      <x:c r="F2051" s="1" t="str">
        <x:f>IF(C2051&lt;=0,"C",IF(E2051-D2051&lt;'Дашборд'!$C$49,"A",IF(E2051-D2051&lt;'Дашборд'!$C$50,"B","C")))</x:f>
        <x:v>C</x:v>
      </x:c>
      <x:c r="G2051" s="8" t="n">
        <x:f>'Данные'!F2051</x:f>
        <x:v>0</x:v>
      </x:c>
      <x:c r="H2051" s="8" t="n">
        <x:f>SUM('Данные'!H2051:I2051)</x:f>
        <x:v>0</x:v>
      </x:c>
      <x:c r="I2051" s="16" t="str">
        <x:f>IF(H2051&gt;0,G2051/H2051,"n.a.")</x:f>
        <x:v>n.a.</x:v>
      </x:c>
      <x:c r="J2051" s="10" t="n">
        <x:f>IF('Данные'!E2051&gt;0,G2051/'Данные'!E2051,"n.a.")</x:f>
        <x:v>0</x:v>
      </x:c>
      <x:c r="K2051" s="1" t="str">
        <x:f>IF(G2051&gt;='Дашборд'!$C$51,"X","Z")</x:f>
        <x:v>Z</x:v>
      </x:c>
      <x:c r="L2051" s="1" t="str">
        <x:f>IF(H2051=0,IF(G2051&gt;0,"Нет остатка","Нет спроса"),IF(I2051&gt;='Дашборд'!$C$52,"Быстрый","Медленный"))</x:f>
        <x:v>Нет спроса</x:v>
      </x:c>
      <x:c r="M2051" s="1" t="str">
        <x:f>IF('Данные'!E2051&lt;'Дашборд'!$C$53,"Мало трафика",IF(J2051&lt;'Дашборд'!$C$9*'Дашборд'!$C$54,"Да","Нет"))</x:f>
        <x:v>Мало трафика</x:v>
      </x:c>
      <x:c r="N2051" s="1" t="str">
        <x:f>IF(AND('Данные'!D2051&gt;='Дашборд'!$C$55,D2051&lt;'Дашборд'!$C$56,'Данные'!E2051&gt;='Дашборд'!$C$53,'Данные'!L2051&lt;&gt;"Да"),"Да","Нет")</x:f>
        <x:v>Нет</x:v>
      </x:c>
      <x:c r="O2051" s="1" t="str">
        <x:f>'Данные'!L2051</x:f>
        <x:v>Нет</x:v>
      </x:c>
    </x:row>
    <x:row r="2052">
      <x:c r="A2052" s="1" t="str">
        <x:f>'Данные'!A2052</x:f>
        <x:v>220612048</x:v>
      </x:c>
      <x:c r="B2052" s="1" t="str">
        <x:f>'Данные'!B2052</x:f>
        <x:v>kroptopV2/серовато-розовый</x:v>
      </x:c>
      <x:c r="C2052" s="8" t="n">
        <x:f>'Данные'!G2052</x:f>
        <x:v>0</x:v>
      </x:c>
      <x:c r="D2052" s="15" t="n">
        <x:f>C2052/SUM($C$5:$C$2477)</x:f>
        <x:v>0</x:v>
      </x:c>
      <x:c r="E2052" s="15" t="n">
        <x:f>SUM($D$5:D2052)</x:f>
        <x:v>1.0000000000000036</x:v>
      </x:c>
      <x:c r="F2052" s="1" t="str">
        <x:f>IF(C2052&lt;=0,"C",IF(E2052-D2052&lt;'Дашборд'!$C$49,"A",IF(E2052-D2052&lt;'Дашборд'!$C$50,"B","C")))</x:f>
        <x:v>C</x:v>
      </x:c>
      <x:c r="G2052" s="8" t="n">
        <x:f>'Данные'!F2052</x:f>
        <x:v>0</x:v>
      </x:c>
      <x:c r="H2052" s="8" t="n">
        <x:f>SUM('Данные'!H2052:I2052)</x:f>
        <x:v>0</x:v>
      </x:c>
      <x:c r="I2052" s="16" t="str">
        <x:f>IF(H2052&gt;0,G2052/H2052,"n.a.")</x:f>
        <x:v>n.a.</x:v>
      </x:c>
      <x:c r="J2052" s="10" t="n">
        <x:f>IF('Данные'!E2052&gt;0,G2052/'Данные'!E2052,"n.a.")</x:f>
        <x:v>0</x:v>
      </x:c>
      <x:c r="K2052" s="1" t="str">
        <x:f>IF(G2052&gt;='Дашборд'!$C$51,"X","Z")</x:f>
        <x:v>Z</x:v>
      </x:c>
      <x:c r="L2052" s="1" t="str">
        <x:f>IF(H2052=0,IF(G2052&gt;0,"Нет остатка","Нет спроса"),IF(I2052&gt;='Дашборд'!$C$52,"Быстрый","Медленный"))</x:f>
        <x:v>Нет спроса</x:v>
      </x:c>
      <x:c r="M2052" s="1" t="str">
        <x:f>IF('Данные'!E2052&lt;'Дашборд'!$C$53,"Мало трафика",IF(J2052&lt;'Дашборд'!$C$9*'Дашборд'!$C$54,"Да","Нет"))</x:f>
        <x:v>Мало трафика</x:v>
      </x:c>
      <x:c r="N2052" s="1" t="str">
        <x:f>IF(AND('Данные'!D2052&gt;='Дашборд'!$C$55,D2052&lt;'Дашборд'!$C$56,'Данные'!E2052&gt;='Дашборд'!$C$53,'Данные'!L2052&lt;&gt;"Да"),"Да","Нет")</x:f>
        <x:v>Нет</x:v>
      </x:c>
      <x:c r="O2052" s="1" t="str">
        <x:f>'Данные'!L2052</x:f>
        <x:v>Нет</x:v>
      </x:c>
    </x:row>
    <x:row r="2053">
      <x:c r="A2053" s="1" t="str">
        <x:f>'Данные'!A2053</x:f>
        <x:v>220612050</x:v>
      </x:c>
      <x:c r="B2053" s="1" t="str">
        <x:f>'Данные'!B2053</x:f>
        <x:v>kroptopV2/деним</x:v>
      </x:c>
      <x:c r="C2053" s="8" t="n">
        <x:f>'Данные'!G2053</x:f>
        <x:v>0</x:v>
      </x:c>
      <x:c r="D2053" s="15" t="n">
        <x:f>C2053/SUM($C$5:$C$2477)</x:f>
        <x:v>0</x:v>
      </x:c>
      <x:c r="E2053" s="15" t="n">
        <x:f>SUM($D$5:D2053)</x:f>
        <x:v>1.0000000000000036</x:v>
      </x:c>
      <x:c r="F2053" s="1" t="str">
        <x:f>IF(C2053&lt;=0,"C",IF(E2053-D2053&lt;'Дашборд'!$C$49,"A",IF(E2053-D2053&lt;'Дашборд'!$C$50,"B","C")))</x:f>
        <x:v>C</x:v>
      </x:c>
      <x:c r="G2053" s="8" t="n">
        <x:f>'Данные'!F2053</x:f>
        <x:v>0</x:v>
      </x:c>
      <x:c r="H2053" s="8" t="n">
        <x:f>SUM('Данные'!H2053:I2053)</x:f>
        <x:v>0</x:v>
      </x:c>
      <x:c r="I2053" s="16" t="str">
        <x:f>IF(H2053&gt;0,G2053/H2053,"n.a.")</x:f>
        <x:v>n.a.</x:v>
      </x:c>
      <x:c r="J2053" s="10" t="n">
        <x:f>IF('Данные'!E2053&gt;0,G2053/'Данные'!E2053,"n.a.")</x:f>
        <x:v>0</x:v>
      </x:c>
      <x:c r="K2053" s="1" t="str">
        <x:f>IF(G2053&gt;='Дашборд'!$C$51,"X","Z")</x:f>
        <x:v>Z</x:v>
      </x:c>
      <x:c r="L2053" s="1" t="str">
        <x:f>IF(H2053=0,IF(G2053&gt;0,"Нет остатка","Нет спроса"),IF(I2053&gt;='Дашборд'!$C$52,"Быстрый","Медленный"))</x:f>
        <x:v>Нет спроса</x:v>
      </x:c>
      <x:c r="M2053" s="1" t="str">
        <x:f>IF('Данные'!E2053&lt;'Дашборд'!$C$53,"Мало трафика",IF(J2053&lt;'Дашборд'!$C$9*'Дашборд'!$C$54,"Да","Нет"))</x:f>
        <x:v>Мало трафика</x:v>
      </x:c>
      <x:c r="N2053" s="1" t="str">
        <x:f>IF(AND('Данные'!D2053&gt;='Дашборд'!$C$55,D2053&lt;'Дашборд'!$C$56,'Данные'!E2053&gt;='Дашборд'!$C$53,'Данные'!L2053&lt;&gt;"Да"),"Да","Нет")</x:f>
        <x:v>Нет</x:v>
      </x:c>
      <x:c r="O2053" s="1" t="str">
        <x:f>'Данные'!L2053</x:f>
        <x:v>Нет</x:v>
      </x:c>
    </x:row>
    <x:row r="2054">
      <x:c r="A2054" s="1" t="str">
        <x:f>'Данные'!A2054</x:f>
        <x:v>220612053</x:v>
      </x:c>
      <x:c r="B2054" s="1" t="str">
        <x:f>'Данные'!B2054</x:f>
        <x:v>kroptopV2/пыльнаяроза</x:v>
      </x:c>
      <x:c r="C2054" s="8" t="n">
        <x:f>'Данные'!G2054</x:f>
        <x:v>0</x:v>
      </x:c>
      <x:c r="D2054" s="15" t="n">
        <x:f>C2054/SUM($C$5:$C$2477)</x:f>
        <x:v>0</x:v>
      </x:c>
      <x:c r="E2054" s="15" t="n">
        <x:f>SUM($D$5:D2054)</x:f>
        <x:v>1.0000000000000036</x:v>
      </x:c>
      <x:c r="F2054" s="1" t="str">
        <x:f>IF(C2054&lt;=0,"C",IF(E2054-D2054&lt;'Дашборд'!$C$49,"A",IF(E2054-D2054&lt;'Дашборд'!$C$50,"B","C")))</x:f>
        <x:v>C</x:v>
      </x:c>
      <x:c r="G2054" s="8" t="n">
        <x:f>'Данные'!F2054</x:f>
        <x:v>0</x:v>
      </x:c>
      <x:c r="H2054" s="8" t="n">
        <x:f>SUM('Данные'!H2054:I2054)</x:f>
        <x:v>0</x:v>
      </x:c>
      <x:c r="I2054" s="16" t="str">
        <x:f>IF(H2054&gt;0,G2054/H2054,"n.a.")</x:f>
        <x:v>n.a.</x:v>
      </x:c>
      <x:c r="J2054" s="10" t="n">
        <x:f>IF('Данные'!E2054&gt;0,G2054/'Данные'!E2054,"n.a.")</x:f>
        <x:v>0</x:v>
      </x:c>
      <x:c r="K2054" s="1" t="str">
        <x:f>IF(G2054&gt;='Дашборд'!$C$51,"X","Z")</x:f>
        <x:v>Z</x:v>
      </x:c>
      <x:c r="L2054" s="1" t="str">
        <x:f>IF(H2054=0,IF(G2054&gt;0,"Нет остатка","Нет спроса"),IF(I2054&gt;='Дашборд'!$C$52,"Быстрый","Медленный"))</x:f>
        <x:v>Нет спроса</x:v>
      </x:c>
      <x:c r="M2054" s="1" t="str">
        <x:f>IF('Данные'!E2054&lt;'Дашборд'!$C$53,"Мало трафика",IF(J2054&lt;'Дашборд'!$C$9*'Дашборд'!$C$54,"Да","Нет"))</x:f>
        <x:v>Мало трафика</x:v>
      </x:c>
      <x:c r="N2054" s="1" t="str">
        <x:f>IF(AND('Данные'!D2054&gt;='Дашборд'!$C$55,D2054&lt;'Дашборд'!$C$56,'Данные'!E2054&gt;='Дашборд'!$C$53,'Данные'!L2054&lt;&gt;"Да"),"Да","Нет")</x:f>
        <x:v>Нет</x:v>
      </x:c>
      <x:c r="O2054" s="1" t="str">
        <x:f>'Данные'!L2054</x:f>
        <x:v>Нет</x:v>
      </x:c>
    </x:row>
    <x:row r="2055">
      <x:c r="A2055" s="1" t="str">
        <x:f>'Данные'!A2055</x:f>
        <x:v>220612055</x:v>
      </x:c>
      <x:c r="B2055" s="1" t="str">
        <x:f>'Данные'!B2055</x:f>
        <x:v>kroptopV2/светло-фиолетовый</x:v>
      </x:c>
      <x:c r="C2055" s="8" t="n">
        <x:f>'Данные'!G2055</x:f>
        <x:v>0</x:v>
      </x:c>
      <x:c r="D2055" s="15" t="n">
        <x:f>C2055/SUM($C$5:$C$2477)</x:f>
        <x:v>0</x:v>
      </x:c>
      <x:c r="E2055" s="15" t="n">
        <x:f>SUM($D$5:D2055)</x:f>
        <x:v>1.0000000000000036</x:v>
      </x:c>
      <x:c r="F2055" s="1" t="str">
        <x:f>IF(C2055&lt;=0,"C",IF(E2055-D2055&lt;'Дашборд'!$C$49,"A",IF(E2055-D2055&lt;'Дашборд'!$C$50,"B","C")))</x:f>
        <x:v>C</x:v>
      </x:c>
      <x:c r="G2055" s="8" t="n">
        <x:f>'Данные'!F2055</x:f>
        <x:v>0</x:v>
      </x:c>
      <x:c r="H2055" s="8" t="n">
        <x:f>SUM('Данные'!H2055:I2055)</x:f>
        <x:v>0</x:v>
      </x:c>
      <x:c r="I2055" s="16" t="str">
        <x:f>IF(H2055&gt;0,G2055/H2055,"n.a.")</x:f>
        <x:v>n.a.</x:v>
      </x:c>
      <x:c r="J2055" s="10" t="n">
        <x:f>IF('Данные'!E2055&gt;0,G2055/'Данные'!E2055,"n.a.")</x:f>
        <x:v>0</x:v>
      </x:c>
      <x:c r="K2055" s="1" t="str">
        <x:f>IF(G2055&gt;='Дашборд'!$C$51,"X","Z")</x:f>
        <x:v>Z</x:v>
      </x:c>
      <x:c r="L2055" s="1" t="str">
        <x:f>IF(H2055=0,IF(G2055&gt;0,"Нет остатка","Нет спроса"),IF(I2055&gt;='Дашборд'!$C$52,"Быстрый","Медленный"))</x:f>
        <x:v>Нет спроса</x:v>
      </x:c>
      <x:c r="M2055" s="1" t="str">
        <x:f>IF('Данные'!E2055&lt;'Дашборд'!$C$53,"Мало трафика",IF(J2055&lt;'Дашборд'!$C$9*'Дашборд'!$C$54,"Да","Нет"))</x:f>
        <x:v>Мало трафика</x:v>
      </x:c>
      <x:c r="N2055" s="1" t="str">
        <x:f>IF(AND('Данные'!D2055&gt;='Дашборд'!$C$55,D2055&lt;'Дашборд'!$C$56,'Данные'!E2055&gt;='Дашборд'!$C$53,'Данные'!L2055&lt;&gt;"Да"),"Да","Нет")</x:f>
        <x:v>Нет</x:v>
      </x:c>
      <x:c r="O2055" s="1" t="str">
        <x:f>'Данные'!L2055</x:f>
        <x:v>Нет</x:v>
      </x:c>
    </x:row>
    <x:row r="2056">
      <x:c r="A2056" s="1" t="str">
        <x:f>'Данные'!A2056</x:f>
        <x:v>220612057</x:v>
      </x:c>
      <x:c r="B2056" s="1" t="str">
        <x:f>'Данные'!B2056</x:f>
        <x:v>kroptopV2/салатовый</x:v>
      </x:c>
      <x:c r="C2056" s="8" t="n">
        <x:f>'Данные'!G2056</x:f>
        <x:v>0</x:v>
      </x:c>
      <x:c r="D2056" s="15" t="n">
        <x:f>C2056/SUM($C$5:$C$2477)</x:f>
        <x:v>0</x:v>
      </x:c>
      <x:c r="E2056" s="15" t="n">
        <x:f>SUM($D$5:D2056)</x:f>
        <x:v>1.0000000000000036</x:v>
      </x:c>
      <x:c r="F2056" s="1" t="str">
        <x:f>IF(C2056&lt;=0,"C",IF(E2056-D2056&lt;'Дашборд'!$C$49,"A",IF(E2056-D2056&lt;'Дашборд'!$C$50,"B","C")))</x:f>
        <x:v>C</x:v>
      </x:c>
      <x:c r="G2056" s="8" t="n">
        <x:f>'Данные'!F2056</x:f>
        <x:v>0</x:v>
      </x:c>
      <x:c r="H2056" s="8" t="n">
        <x:f>SUM('Данные'!H2056:I2056)</x:f>
        <x:v>0</x:v>
      </x:c>
      <x:c r="I2056" s="16" t="str">
        <x:f>IF(H2056&gt;0,G2056/H2056,"n.a.")</x:f>
        <x:v>n.a.</x:v>
      </x:c>
      <x:c r="J2056" s="10" t="n">
        <x:f>IF('Данные'!E2056&gt;0,G2056/'Данные'!E2056,"n.a.")</x:f>
        <x:v>0</x:v>
      </x:c>
      <x:c r="K2056" s="1" t="str">
        <x:f>IF(G2056&gt;='Дашборд'!$C$51,"X","Z")</x:f>
        <x:v>Z</x:v>
      </x:c>
      <x:c r="L2056" s="1" t="str">
        <x:f>IF(H2056=0,IF(G2056&gt;0,"Нет остатка","Нет спроса"),IF(I2056&gt;='Дашборд'!$C$52,"Быстрый","Медленный"))</x:f>
        <x:v>Нет спроса</x:v>
      </x:c>
      <x:c r="M2056" s="1" t="str">
        <x:f>IF('Данные'!E2056&lt;'Дашборд'!$C$53,"Мало трафика",IF(J2056&lt;'Дашборд'!$C$9*'Дашборд'!$C$54,"Да","Нет"))</x:f>
        <x:v>Мало трафика</x:v>
      </x:c>
      <x:c r="N2056" s="1" t="str">
        <x:f>IF(AND('Данные'!D2056&gt;='Дашборд'!$C$55,D2056&lt;'Дашборд'!$C$56,'Данные'!E2056&gt;='Дашборд'!$C$53,'Данные'!L2056&lt;&gt;"Да"),"Да","Нет")</x:f>
        <x:v>Нет</x:v>
      </x:c>
      <x:c r="O2056" s="1" t="str">
        <x:f>'Данные'!L2056</x:f>
        <x:v>Нет</x:v>
      </x:c>
    </x:row>
    <x:row r="2057">
      <x:c r="A2057" s="1" t="str">
        <x:f>'Данные'!A2057</x:f>
        <x:v>220612189</x:v>
      </x:c>
      <x:c r="B2057" s="1" t="str">
        <x:f>'Данные'!B2057</x:f>
        <x:v>kroptopV2/молочный</x:v>
      </x:c>
      <x:c r="C2057" s="8" t="n">
        <x:f>'Данные'!G2057</x:f>
        <x:v>0</x:v>
      </x:c>
      <x:c r="D2057" s="15" t="n">
        <x:f>C2057/SUM($C$5:$C$2477)</x:f>
        <x:v>0</x:v>
      </x:c>
      <x:c r="E2057" s="15" t="n">
        <x:f>SUM($D$5:D2057)</x:f>
        <x:v>1.0000000000000036</x:v>
      </x:c>
      <x:c r="F2057" s="1" t="str">
        <x:f>IF(C2057&lt;=0,"C",IF(E2057-D2057&lt;'Дашборд'!$C$49,"A",IF(E2057-D2057&lt;'Дашборд'!$C$50,"B","C")))</x:f>
        <x:v>C</x:v>
      </x:c>
      <x:c r="G2057" s="8" t="n">
        <x:f>'Данные'!F2057</x:f>
        <x:v>0</x:v>
      </x:c>
      <x:c r="H2057" s="8" t="n">
        <x:f>SUM('Данные'!H2057:I2057)</x:f>
        <x:v>0</x:v>
      </x:c>
      <x:c r="I2057" s="16" t="str">
        <x:f>IF(H2057&gt;0,G2057/H2057,"n.a.")</x:f>
        <x:v>n.a.</x:v>
      </x:c>
      <x:c r="J2057" s="10" t="n">
        <x:f>IF('Данные'!E2057&gt;0,G2057/'Данные'!E2057,"n.a.")</x:f>
        <x:v>0</x:v>
      </x:c>
      <x:c r="K2057" s="1" t="str">
        <x:f>IF(G2057&gt;='Дашборд'!$C$51,"X","Z")</x:f>
        <x:v>Z</x:v>
      </x:c>
      <x:c r="L2057" s="1" t="str">
        <x:f>IF(H2057=0,IF(G2057&gt;0,"Нет остатка","Нет спроса"),IF(I2057&gt;='Дашборд'!$C$52,"Быстрый","Медленный"))</x:f>
        <x:v>Нет спроса</x:v>
      </x:c>
      <x:c r="M2057" s="1" t="str">
        <x:f>IF('Данные'!E2057&lt;'Дашборд'!$C$53,"Мало трафика",IF(J2057&lt;'Дашборд'!$C$9*'Дашборд'!$C$54,"Да","Нет"))</x:f>
        <x:v>Мало трафика</x:v>
      </x:c>
      <x:c r="N2057" s="1" t="str">
        <x:f>IF(AND('Данные'!D2057&gt;='Дашборд'!$C$55,D2057&lt;'Дашборд'!$C$56,'Данные'!E2057&gt;='Дашборд'!$C$53,'Данные'!L2057&lt;&gt;"Да"),"Да","Нет")</x:f>
        <x:v>Нет</x:v>
      </x:c>
      <x:c r="O2057" s="1" t="str">
        <x:f>'Данные'!L2057</x:f>
        <x:v>Нет</x:v>
      </x:c>
    </x:row>
    <x:row r="2058">
      <x:c r="A2058" s="1" t="str">
        <x:f>'Данные'!A2058</x:f>
        <x:v>22069118</x:v>
      </x:c>
      <x:c r="B2058" s="1" t="str">
        <x:f>'Данные'!B2058</x:f>
        <x:v>tolstovkaman/черный</x:v>
      </x:c>
      <x:c r="C2058" s="8" t="n">
        <x:f>'Данные'!G2058</x:f>
        <x:v>0</x:v>
      </x:c>
      <x:c r="D2058" s="15" t="n">
        <x:f>C2058/SUM($C$5:$C$2477)</x:f>
        <x:v>0</x:v>
      </x:c>
      <x:c r="E2058" s="15" t="n">
        <x:f>SUM($D$5:D2058)</x:f>
        <x:v>1.0000000000000036</x:v>
      </x:c>
      <x:c r="F2058" s="1" t="str">
        <x:f>IF(C2058&lt;=0,"C",IF(E2058-D2058&lt;'Дашборд'!$C$49,"A",IF(E2058-D2058&lt;'Дашборд'!$C$50,"B","C")))</x:f>
        <x:v>C</x:v>
      </x:c>
      <x:c r="G2058" s="8" t="n">
        <x:f>'Данные'!F2058</x:f>
        <x:v>0</x:v>
      </x:c>
      <x:c r="H2058" s="8" t="n">
        <x:f>SUM('Данные'!H2058:I2058)</x:f>
        <x:v>0</x:v>
      </x:c>
      <x:c r="I2058" s="16" t="str">
        <x:f>IF(H2058&gt;0,G2058/H2058,"n.a.")</x:f>
        <x:v>n.a.</x:v>
      </x:c>
      <x:c r="J2058" s="10" t="n">
        <x:f>IF('Данные'!E2058&gt;0,G2058/'Данные'!E2058,"n.a.")</x:f>
        <x:v>0</x:v>
      </x:c>
      <x:c r="K2058" s="1" t="str">
        <x:f>IF(G2058&gt;='Дашборд'!$C$51,"X","Z")</x:f>
        <x:v>Z</x:v>
      </x:c>
      <x:c r="L2058" s="1" t="str">
        <x:f>IF(H2058=0,IF(G2058&gt;0,"Нет остатка","Нет спроса"),IF(I2058&gt;='Дашборд'!$C$52,"Быстрый","Медленный"))</x:f>
        <x:v>Нет спроса</x:v>
      </x:c>
      <x:c r="M2058" s="1" t="str">
        <x:f>IF('Данные'!E2058&lt;'Дашборд'!$C$53,"Мало трафика",IF(J2058&lt;'Дашборд'!$C$9*'Дашборд'!$C$54,"Да","Нет"))</x:f>
        <x:v>Мало трафика</x:v>
      </x:c>
      <x:c r="N2058" s="1" t="str">
        <x:f>IF(AND('Данные'!D2058&gt;='Дашборд'!$C$55,D2058&lt;'Дашборд'!$C$56,'Данные'!E2058&gt;='Дашборд'!$C$53,'Данные'!L2058&lt;&gt;"Да"),"Да","Нет")</x:f>
        <x:v>Нет</x:v>
      </x:c>
      <x:c r="O2058" s="1" t="str">
        <x:f>'Данные'!L2058</x:f>
        <x:v>Нет</x:v>
      </x:c>
    </x:row>
    <x:row r="2059">
      <x:c r="A2059" s="1" t="str">
        <x:f>'Данные'!A2059</x:f>
        <x:v>221221345</x:v>
      </x:c>
      <x:c r="B2059" s="1" t="str">
        <x:f>'Данные'!B2059</x:f>
        <x:v>svitshotzipvish/Community-95/розовый</x:v>
      </x:c>
      <x:c r="C2059" s="8" t="n">
        <x:f>'Данные'!G2059</x:f>
        <x:v>0</x:v>
      </x:c>
      <x:c r="D2059" s="15" t="n">
        <x:f>C2059/SUM($C$5:$C$2477)</x:f>
        <x:v>0</x:v>
      </x:c>
      <x:c r="E2059" s="15" t="n">
        <x:f>SUM($D$5:D2059)</x:f>
        <x:v>1.0000000000000036</x:v>
      </x:c>
      <x:c r="F2059" s="1" t="str">
        <x:f>IF(C2059&lt;=0,"C",IF(E2059-D2059&lt;'Дашборд'!$C$49,"A",IF(E2059-D2059&lt;'Дашборд'!$C$50,"B","C")))</x:f>
        <x:v>C</x:v>
      </x:c>
      <x:c r="G2059" s="8" t="n">
        <x:f>'Данные'!F2059</x:f>
        <x:v>0</x:v>
      </x:c>
      <x:c r="H2059" s="8" t="n">
        <x:f>SUM('Данные'!H2059:I2059)</x:f>
        <x:v>0</x:v>
      </x:c>
      <x:c r="I2059" s="16" t="str">
        <x:f>IF(H2059&gt;0,G2059/H2059,"n.a.")</x:f>
        <x:v>n.a.</x:v>
      </x:c>
      <x:c r="J2059" s="10" t="n">
        <x:f>IF('Данные'!E2059&gt;0,G2059/'Данные'!E2059,"n.a.")</x:f>
        <x:v>0</x:v>
      </x:c>
      <x:c r="K2059" s="1" t="str">
        <x:f>IF(G2059&gt;='Дашборд'!$C$51,"X","Z")</x:f>
        <x:v>Z</x:v>
      </x:c>
      <x:c r="L2059" s="1" t="str">
        <x:f>IF(H2059=0,IF(G2059&gt;0,"Нет остатка","Нет спроса"),IF(I2059&gt;='Дашборд'!$C$52,"Быстрый","Медленный"))</x:f>
        <x:v>Нет спроса</x:v>
      </x:c>
      <x:c r="M2059" s="1" t="str">
        <x:f>IF('Данные'!E2059&lt;'Дашборд'!$C$53,"Мало трафика",IF(J2059&lt;'Дашборд'!$C$9*'Дашборд'!$C$54,"Да","Нет"))</x:f>
        <x:v>Мало трафика</x:v>
      </x:c>
      <x:c r="N2059" s="1" t="str">
        <x:f>IF(AND('Данные'!D2059&gt;='Дашборд'!$C$55,D2059&lt;'Дашборд'!$C$56,'Данные'!E2059&gt;='Дашборд'!$C$53,'Данные'!L2059&lt;&gt;"Да"),"Да","Нет")</x:f>
        <x:v>Нет</x:v>
      </x:c>
      <x:c r="O2059" s="1" t="str">
        <x:f>'Данные'!L2059</x:f>
        <x:v>Нет</x:v>
      </x:c>
    </x:row>
    <x:row r="2060">
      <x:c r="A2060" s="1" t="str">
        <x:f>'Данные'!A2060</x:f>
        <x:v>221280527</x:v>
      </x:c>
      <x:c r="B2060" s="1" t="str">
        <x:f>'Данные'!B2060</x:f>
        <x:v>futbolkaprint/NeverFails-120/голубой</x:v>
      </x:c>
      <x:c r="C2060" s="8" t="n">
        <x:f>'Данные'!G2060</x:f>
        <x:v>0</x:v>
      </x:c>
      <x:c r="D2060" s="15" t="n">
        <x:f>C2060/SUM($C$5:$C$2477)</x:f>
        <x:v>0</x:v>
      </x:c>
      <x:c r="E2060" s="15" t="n">
        <x:f>SUM($D$5:D2060)</x:f>
        <x:v>1.0000000000000036</x:v>
      </x:c>
      <x:c r="F2060" s="1" t="str">
        <x:f>IF(C2060&lt;=0,"C",IF(E2060-D2060&lt;'Дашборд'!$C$49,"A",IF(E2060-D2060&lt;'Дашборд'!$C$50,"B","C")))</x:f>
        <x:v>C</x:v>
      </x:c>
      <x:c r="G2060" s="8" t="n">
        <x:f>'Данные'!F2060</x:f>
        <x:v>2</x:v>
      </x:c>
      <x:c r="H2060" s="8" t="n">
        <x:f>SUM('Данные'!H2060:I2060)</x:f>
        <x:v>0</x:v>
      </x:c>
      <x:c r="I2060" s="16" t="str">
        <x:f>IF(H2060&gt;0,G2060/H2060,"n.a.")</x:f>
        <x:v>n.a.</x:v>
      </x:c>
      <x:c r="J2060" s="10" t="n">
        <x:f>IF('Данные'!E2060&gt;0,G2060/'Данные'!E2060,"n.a.")</x:f>
        <x:v>0.001692047377326565</x:v>
      </x:c>
      <x:c r="K2060" s="1" t="str">
        <x:f>IF(G2060&gt;='Дашборд'!$C$51,"X","Z")</x:f>
        <x:v>Z</x:v>
      </x:c>
      <x:c r="L2060" s="1" t="str">
        <x:f>IF(H2060=0,IF(G2060&gt;0,"Нет остатка","Нет спроса"),IF(I2060&gt;='Дашборд'!$C$52,"Быстрый","Медленный"))</x:f>
        <x:v>Нет остатка</x:v>
      </x:c>
      <x:c r="M2060" s="1" t="str">
        <x:f>IF('Данные'!E2060&lt;'Дашборд'!$C$53,"Мало трафика",IF(J2060&lt;'Дашборд'!$C$9*'Дашборд'!$C$54,"Да","Нет"))</x:f>
        <x:v>Да</x:v>
      </x:c>
      <x:c r="N2060" s="1" t="str">
        <x:f>IF(AND('Данные'!D2060&gt;='Дашборд'!$C$55,D2060&lt;'Дашборд'!$C$56,'Данные'!E2060&gt;='Дашборд'!$C$53,'Данные'!L2060&lt;&gt;"Да"),"Да","Нет")</x:f>
        <x:v>Да</x:v>
      </x:c>
      <x:c r="O2060" s="1" t="str">
        <x:f>'Данные'!L2060</x:f>
        <x:v>Нет</x:v>
      </x:c>
    </x:row>
    <x:row r="2061">
      <x:c r="A2061" s="1" t="str">
        <x:f>'Данные'!A2061</x:f>
        <x:v>221280531</x:v>
      </x:c>
      <x:c r="B2061" s="1" t="str">
        <x:f>'Данные'!B2061</x:f>
        <x:v>futbolkaprint/SaintLouis-76/молочный</x:v>
      </x:c>
      <x:c r="C2061" s="8" t="n">
        <x:f>'Данные'!G2061</x:f>
        <x:v>0</x:v>
      </x:c>
      <x:c r="D2061" s="15" t="n">
        <x:f>C2061/SUM($C$5:$C$2477)</x:f>
        <x:v>0</x:v>
      </x:c>
      <x:c r="E2061" s="15" t="n">
        <x:f>SUM($D$5:D2061)</x:f>
        <x:v>1.0000000000000036</x:v>
      </x:c>
      <x:c r="F2061" s="1" t="str">
        <x:f>IF(C2061&lt;=0,"C",IF(E2061-D2061&lt;'Дашборд'!$C$49,"A",IF(E2061-D2061&lt;'Дашборд'!$C$50,"B","C")))</x:f>
        <x:v>C</x:v>
      </x:c>
      <x:c r="G2061" s="8" t="n">
        <x:f>'Данные'!F2061</x:f>
        <x:v>1</x:v>
      </x:c>
      <x:c r="H2061" s="8" t="n">
        <x:f>SUM('Данные'!H2061:I2061)</x:f>
        <x:v>0</x:v>
      </x:c>
      <x:c r="I2061" s="16" t="str">
        <x:f>IF(H2061&gt;0,G2061/H2061,"n.a.")</x:f>
        <x:v>n.a.</x:v>
      </x:c>
      <x:c r="J2061" s="10" t="n">
        <x:f>IF('Данные'!E2061&gt;0,G2061/'Данные'!E2061,"n.a.")</x:f>
        <x:v>0.002583979328165375</x:v>
      </x:c>
      <x:c r="K2061" s="1" t="str">
        <x:f>IF(G2061&gt;='Дашборд'!$C$51,"X","Z")</x:f>
        <x:v>Z</x:v>
      </x:c>
      <x:c r="L2061" s="1" t="str">
        <x:f>IF(H2061=0,IF(G2061&gt;0,"Нет остатка","Нет спроса"),IF(I2061&gt;='Дашборд'!$C$52,"Быстрый","Медленный"))</x:f>
        <x:v>Нет остатка</x:v>
      </x:c>
      <x:c r="M2061" s="1" t="str">
        <x:f>IF('Данные'!E2061&lt;'Дашборд'!$C$53,"Мало трафика",IF(J2061&lt;'Дашборд'!$C$9*'Дашборд'!$C$54,"Да","Нет"))</x:f>
        <x:v>Мало трафика</x:v>
      </x:c>
      <x:c r="N2061" s="1" t="str">
        <x:f>IF(AND('Данные'!D2061&gt;='Дашборд'!$C$55,D2061&lt;'Дашборд'!$C$56,'Данные'!E2061&gt;='Дашборд'!$C$53,'Данные'!L2061&lt;&gt;"Да"),"Да","Нет")</x:f>
        <x:v>Нет</x:v>
      </x:c>
      <x:c r="O2061" s="1" t="str">
        <x:f>'Данные'!L2061</x:f>
        <x:v>Нет</x:v>
      </x:c>
    </x:row>
    <x:row r="2062">
      <x:c r="A2062" s="1" t="str">
        <x:f>'Данные'!A2062</x:f>
        <x:v>222267678</x:v>
      </x:c>
      <x:c r="B2062" s="1" t="str">
        <x:f>'Данные'!B2062</x:f>
        <x:v>kroptopV2print/BROOKLYN-77/черный</x:v>
      </x:c>
      <x:c r="C2062" s="8" t="n">
        <x:f>'Данные'!G2062</x:f>
        <x:v>0</x:v>
      </x:c>
      <x:c r="D2062" s="15" t="n">
        <x:f>C2062/SUM($C$5:$C$2477)</x:f>
        <x:v>0</x:v>
      </x:c>
      <x:c r="E2062" s="15" t="n">
        <x:f>SUM($D$5:D2062)</x:f>
        <x:v>1.0000000000000036</x:v>
      </x:c>
      <x:c r="F2062" s="1" t="str">
        <x:f>IF(C2062&lt;=0,"C",IF(E2062-D2062&lt;'Дашборд'!$C$49,"A",IF(E2062-D2062&lt;'Дашборд'!$C$50,"B","C")))</x:f>
        <x:v>C</x:v>
      </x:c>
      <x:c r="G2062" s="8" t="n">
        <x:f>'Данные'!F2062</x:f>
        <x:v>0</x:v>
      </x:c>
      <x:c r="H2062" s="8" t="n">
        <x:f>SUM('Данные'!H2062:I2062)</x:f>
        <x:v>0</x:v>
      </x:c>
      <x:c r="I2062" s="16" t="str">
        <x:f>IF(H2062&gt;0,G2062/H2062,"n.a.")</x:f>
        <x:v>n.a.</x:v>
      </x:c>
      <x:c r="J2062" s="10" t="n">
        <x:f>IF('Данные'!E2062&gt;0,G2062/'Данные'!E2062,"n.a.")</x:f>
        <x:v>0</x:v>
      </x:c>
      <x:c r="K2062" s="1" t="str">
        <x:f>IF(G2062&gt;='Дашборд'!$C$51,"X","Z")</x:f>
        <x:v>Z</x:v>
      </x:c>
      <x:c r="L2062" s="1" t="str">
        <x:f>IF(H2062=0,IF(G2062&gt;0,"Нет остатка","Нет спроса"),IF(I2062&gt;='Дашборд'!$C$52,"Быстрый","Медленный"))</x:f>
        <x:v>Нет спроса</x:v>
      </x:c>
      <x:c r="M2062" s="1" t="str">
        <x:f>IF('Данные'!E2062&lt;'Дашборд'!$C$53,"Мало трафика",IF(J2062&lt;'Дашборд'!$C$9*'Дашборд'!$C$54,"Да","Нет"))</x:f>
        <x:v>Мало трафика</x:v>
      </x:c>
      <x:c r="N2062" s="1" t="str">
        <x:f>IF(AND('Данные'!D2062&gt;='Дашборд'!$C$55,D2062&lt;'Дашборд'!$C$56,'Данные'!E2062&gt;='Дашборд'!$C$53,'Данные'!L2062&lt;&gt;"Да"),"Да","Нет")</x:f>
        <x:v>Нет</x:v>
      </x:c>
      <x:c r="O2062" s="1" t="str">
        <x:f>'Данные'!L2062</x:f>
        <x:v>Нет</x:v>
      </x:c>
    </x:row>
    <x:row r="2063">
      <x:c r="A2063" s="1" t="str">
        <x:f>'Данные'!A2063</x:f>
        <x:v>222269191</x:v>
      </x:c>
      <x:c r="B2063" s="1" t="str">
        <x:f>'Данные'!B2063</x:f>
        <x:v>kroptopV2print/BROOKLYN-77/молочный</x:v>
      </x:c>
      <x:c r="C2063" s="8" t="n">
        <x:f>'Данные'!G2063</x:f>
        <x:v>0</x:v>
      </x:c>
      <x:c r="D2063" s="15" t="n">
        <x:f>C2063/SUM($C$5:$C$2477)</x:f>
        <x:v>0</x:v>
      </x:c>
      <x:c r="E2063" s="15" t="n">
        <x:f>SUM($D$5:D2063)</x:f>
        <x:v>1.0000000000000036</x:v>
      </x:c>
      <x:c r="F2063" s="1" t="str">
        <x:f>IF(C2063&lt;=0,"C",IF(E2063-D2063&lt;'Дашборд'!$C$49,"A",IF(E2063-D2063&lt;'Дашборд'!$C$50,"B","C")))</x:f>
        <x:v>C</x:v>
      </x:c>
      <x:c r="G2063" s="8" t="n">
        <x:f>'Данные'!F2063</x:f>
        <x:v>0</x:v>
      </x:c>
      <x:c r="H2063" s="8" t="n">
        <x:f>SUM('Данные'!H2063:I2063)</x:f>
        <x:v>0</x:v>
      </x:c>
      <x:c r="I2063" s="16" t="str">
        <x:f>IF(H2063&gt;0,G2063/H2063,"n.a.")</x:f>
        <x:v>n.a.</x:v>
      </x:c>
      <x:c r="J2063" s="10" t="n">
        <x:f>IF('Данные'!E2063&gt;0,G2063/'Данные'!E2063,"n.a.")</x:f>
        <x:v>0</x:v>
      </x:c>
      <x:c r="K2063" s="1" t="str">
        <x:f>IF(G2063&gt;='Дашборд'!$C$51,"X","Z")</x:f>
        <x:v>Z</x:v>
      </x:c>
      <x:c r="L2063" s="1" t="str">
        <x:f>IF(H2063=0,IF(G2063&gt;0,"Нет остатка","Нет спроса"),IF(I2063&gt;='Дашборд'!$C$52,"Быстрый","Медленный"))</x:f>
        <x:v>Нет спроса</x:v>
      </x:c>
      <x:c r="M2063" s="1" t="str">
        <x:f>IF('Данные'!E2063&lt;'Дашборд'!$C$53,"Мало трафика",IF(J2063&lt;'Дашборд'!$C$9*'Дашборд'!$C$54,"Да","Нет"))</x:f>
        <x:v>Мало трафика</x:v>
      </x:c>
      <x:c r="N2063" s="1" t="str">
        <x:f>IF(AND('Данные'!D2063&gt;='Дашборд'!$C$55,D2063&lt;'Дашборд'!$C$56,'Данные'!E2063&gt;='Дашборд'!$C$53,'Данные'!L2063&lt;&gt;"Да"),"Да","Нет")</x:f>
        <x:v>Нет</x:v>
      </x:c>
      <x:c r="O2063" s="1" t="str">
        <x:f>'Данные'!L2063</x:f>
        <x:v>Нет</x:v>
      </x:c>
    </x:row>
    <x:row r="2064">
      <x:c r="A2064" s="1" t="str">
        <x:f>'Данные'!A2064</x:f>
        <x:v>222269193</x:v>
      </x:c>
      <x:c r="B2064" s="1" t="str">
        <x:f>'Данные'!B2064</x:f>
        <x:v>kroptopV2print/Chic-55/молочный</x:v>
      </x:c>
      <x:c r="C2064" s="8" t="n">
        <x:f>'Данные'!G2064</x:f>
        <x:v>0</x:v>
      </x:c>
      <x:c r="D2064" s="15" t="n">
        <x:f>C2064/SUM($C$5:$C$2477)</x:f>
        <x:v>0</x:v>
      </x:c>
      <x:c r="E2064" s="15" t="n">
        <x:f>SUM($D$5:D2064)</x:f>
        <x:v>1.0000000000000036</x:v>
      </x:c>
      <x:c r="F2064" s="1" t="str">
        <x:f>IF(C2064&lt;=0,"C",IF(E2064-D2064&lt;'Дашборд'!$C$49,"A",IF(E2064-D2064&lt;'Дашборд'!$C$50,"B","C")))</x:f>
        <x:v>C</x:v>
      </x:c>
      <x:c r="G2064" s="8" t="n">
        <x:f>'Данные'!F2064</x:f>
        <x:v>0</x:v>
      </x:c>
      <x:c r="H2064" s="8" t="n">
        <x:f>SUM('Данные'!H2064:I2064)</x:f>
        <x:v>0</x:v>
      </x:c>
      <x:c r="I2064" s="16" t="str">
        <x:f>IF(H2064&gt;0,G2064/H2064,"n.a.")</x:f>
        <x:v>n.a.</x:v>
      </x:c>
      <x:c r="J2064" s="10" t="n">
        <x:f>IF('Данные'!E2064&gt;0,G2064/'Данные'!E2064,"n.a.")</x:f>
        <x:v>0</x:v>
      </x:c>
      <x:c r="K2064" s="1" t="str">
        <x:f>IF(G2064&gt;='Дашборд'!$C$51,"X","Z")</x:f>
        <x:v>Z</x:v>
      </x:c>
      <x:c r="L2064" s="1" t="str">
        <x:f>IF(H2064=0,IF(G2064&gt;0,"Нет остатка","Нет спроса"),IF(I2064&gt;='Дашборд'!$C$52,"Быстрый","Медленный"))</x:f>
        <x:v>Нет спроса</x:v>
      </x:c>
      <x:c r="M2064" s="1" t="str">
        <x:f>IF('Данные'!E2064&lt;'Дашборд'!$C$53,"Мало трафика",IF(J2064&lt;'Дашборд'!$C$9*'Дашборд'!$C$54,"Да","Нет"))</x:f>
        <x:v>Мало трафика</x:v>
      </x:c>
      <x:c r="N2064" s="1" t="str">
        <x:f>IF(AND('Данные'!D2064&gt;='Дашборд'!$C$55,D2064&lt;'Дашборд'!$C$56,'Данные'!E2064&gt;='Дашборд'!$C$53,'Данные'!L2064&lt;&gt;"Да"),"Да","Нет")</x:f>
        <x:v>Нет</x:v>
      </x:c>
      <x:c r="O2064" s="1" t="str">
        <x:f>'Данные'!L2064</x:f>
        <x:v>Нет</x:v>
      </x:c>
    </x:row>
    <x:row r="2065">
      <x:c r="A2065" s="1" t="str">
        <x:f>'Данные'!A2065</x:f>
        <x:v>222269197</x:v>
      </x:c>
      <x:c r="B2065" s="1" t="str">
        <x:f>'Данные'!B2065</x:f>
        <x:v>kroptopV2print/FLORIDA-85/молочный</x:v>
      </x:c>
      <x:c r="C2065" s="8" t="n">
        <x:f>'Данные'!G2065</x:f>
        <x:v>0</x:v>
      </x:c>
      <x:c r="D2065" s="15" t="n">
        <x:f>C2065/SUM($C$5:$C$2477)</x:f>
        <x:v>0</x:v>
      </x:c>
      <x:c r="E2065" s="15" t="n">
        <x:f>SUM($D$5:D2065)</x:f>
        <x:v>1.0000000000000036</x:v>
      </x:c>
      <x:c r="F2065" s="1" t="str">
        <x:f>IF(C2065&lt;=0,"C",IF(E2065-D2065&lt;'Дашборд'!$C$49,"A",IF(E2065-D2065&lt;'Дашборд'!$C$50,"B","C")))</x:f>
        <x:v>C</x:v>
      </x:c>
      <x:c r="G2065" s="8" t="n">
        <x:f>'Данные'!F2065</x:f>
        <x:v>0</x:v>
      </x:c>
      <x:c r="H2065" s="8" t="n">
        <x:f>SUM('Данные'!H2065:I2065)</x:f>
        <x:v>0</x:v>
      </x:c>
      <x:c r="I2065" s="16" t="str">
        <x:f>IF(H2065&gt;0,G2065/H2065,"n.a.")</x:f>
        <x:v>n.a.</x:v>
      </x:c>
      <x:c r="J2065" s="10" t="n">
        <x:f>IF('Данные'!E2065&gt;0,G2065/'Данные'!E2065,"n.a.")</x:f>
        <x:v>0</x:v>
      </x:c>
      <x:c r="K2065" s="1" t="str">
        <x:f>IF(G2065&gt;='Дашборд'!$C$51,"X","Z")</x:f>
        <x:v>Z</x:v>
      </x:c>
      <x:c r="L2065" s="1" t="str">
        <x:f>IF(H2065=0,IF(G2065&gt;0,"Нет остатка","Нет спроса"),IF(I2065&gt;='Дашборд'!$C$52,"Быстрый","Медленный"))</x:f>
        <x:v>Нет спроса</x:v>
      </x:c>
      <x:c r="M2065" s="1" t="str">
        <x:f>IF('Данные'!E2065&lt;'Дашборд'!$C$53,"Мало трафика",IF(J2065&lt;'Дашборд'!$C$9*'Дашборд'!$C$54,"Да","Нет"))</x:f>
        <x:v>Мало трафика</x:v>
      </x:c>
      <x:c r="N2065" s="1" t="str">
        <x:f>IF(AND('Данные'!D2065&gt;='Дашборд'!$C$55,D2065&lt;'Дашборд'!$C$56,'Данные'!E2065&gt;='Дашборд'!$C$53,'Данные'!L2065&lt;&gt;"Да"),"Да","Нет")</x:f>
        <x:v>Нет</x:v>
      </x:c>
      <x:c r="O2065" s="1" t="str">
        <x:f>'Данные'!L2065</x:f>
        <x:v>Нет</x:v>
      </x:c>
    </x:row>
    <x:row r="2066">
      <x:c r="A2066" s="1" t="str">
        <x:f>'Данные'!A2066</x:f>
        <x:v>222293178</x:v>
      </x:c>
      <x:c r="B2066" s="1" t="str">
        <x:f>'Данные'!B2066</x:f>
        <x:v>bazaprint/Heart-126/белый</x:v>
      </x:c>
      <x:c r="C2066" s="8" t="n">
        <x:f>'Данные'!G2066</x:f>
        <x:v>0</x:v>
      </x:c>
      <x:c r="D2066" s="15" t="n">
        <x:f>C2066/SUM($C$5:$C$2477)</x:f>
        <x:v>0</x:v>
      </x:c>
      <x:c r="E2066" s="15" t="n">
        <x:f>SUM($D$5:D2066)</x:f>
        <x:v>1.0000000000000036</x:v>
      </x:c>
      <x:c r="F2066" s="1" t="str">
        <x:f>IF(C2066&lt;=0,"C",IF(E2066-D2066&lt;'Дашборд'!$C$49,"A",IF(E2066-D2066&lt;'Дашборд'!$C$50,"B","C")))</x:f>
        <x:v>C</x:v>
      </x:c>
      <x:c r="G2066" s="8" t="n">
        <x:f>'Данные'!F2066</x:f>
        <x:v>0</x:v>
      </x:c>
      <x:c r="H2066" s="8" t="n">
        <x:f>SUM('Данные'!H2066:I2066)</x:f>
        <x:v>0</x:v>
      </x:c>
      <x:c r="I2066" s="16" t="str">
        <x:f>IF(H2066&gt;0,G2066/H2066,"n.a.")</x:f>
        <x:v>n.a.</x:v>
      </x:c>
      <x:c r="J2066" s="10" t="n">
        <x:f>IF('Данные'!E2066&gt;0,G2066/'Данные'!E2066,"n.a.")</x:f>
        <x:v>0</x:v>
      </x:c>
      <x:c r="K2066" s="1" t="str">
        <x:f>IF(G2066&gt;='Дашборд'!$C$51,"X","Z")</x:f>
        <x:v>Z</x:v>
      </x:c>
      <x:c r="L2066" s="1" t="str">
        <x:f>IF(H2066=0,IF(G2066&gt;0,"Нет остатка","Нет спроса"),IF(I2066&gt;='Дашборд'!$C$52,"Быстрый","Медленный"))</x:f>
        <x:v>Нет спроса</x:v>
      </x:c>
      <x:c r="M2066" s="1" t="str">
        <x:f>IF('Данные'!E2066&lt;'Дашборд'!$C$53,"Мало трафика",IF(J2066&lt;'Дашборд'!$C$9*'Дашборд'!$C$54,"Да","Нет"))</x:f>
        <x:v>Мало трафика</x:v>
      </x:c>
      <x:c r="N2066" s="1" t="str">
        <x:f>IF(AND('Данные'!D2066&gt;='Дашборд'!$C$55,D2066&lt;'Дашборд'!$C$56,'Данные'!E2066&gt;='Дашборд'!$C$53,'Данные'!L2066&lt;&gt;"Да"),"Да","Нет")</x:f>
        <x:v>Нет</x:v>
      </x:c>
      <x:c r="O2066" s="1" t="str">
        <x:f>'Данные'!L2066</x:f>
        <x:v>Нет</x:v>
      </x:c>
    </x:row>
    <x:row r="2067">
      <x:c r="A2067" s="1" t="str">
        <x:f>'Данные'!A2067</x:f>
        <x:v>222293192</x:v>
      </x:c>
      <x:c r="B2067" s="1" t="str">
        <x:f>'Данные'!B2067</x:f>
        <x:v>kulirkamanprint/BeDifferent-128/черный</x:v>
      </x:c>
      <x:c r="C2067" s="8" t="n">
        <x:f>'Данные'!G2067</x:f>
        <x:v>0</x:v>
      </x:c>
      <x:c r="D2067" s="15" t="n">
        <x:f>C2067/SUM($C$5:$C$2477)</x:f>
        <x:v>0</x:v>
      </x:c>
      <x:c r="E2067" s="15" t="n">
        <x:f>SUM($D$5:D2067)</x:f>
        <x:v>1.0000000000000036</x:v>
      </x:c>
      <x:c r="F2067" s="1" t="str">
        <x:f>IF(C2067&lt;=0,"C",IF(E2067-D2067&lt;'Дашборд'!$C$49,"A",IF(E2067-D2067&lt;'Дашборд'!$C$50,"B","C")))</x:f>
        <x:v>C</x:v>
      </x:c>
      <x:c r="G2067" s="8" t="n">
        <x:f>'Данные'!F2067</x:f>
        <x:v>0</x:v>
      </x:c>
      <x:c r="H2067" s="8" t="n">
        <x:f>SUM('Данные'!H2067:I2067)</x:f>
        <x:v>0</x:v>
      </x:c>
      <x:c r="I2067" s="16" t="str">
        <x:f>IF(H2067&gt;0,G2067/H2067,"n.a.")</x:f>
        <x:v>n.a.</x:v>
      </x:c>
      <x:c r="J2067" s="10" t="n">
        <x:f>IF('Данные'!E2067&gt;0,G2067/'Данные'!E2067,"n.a.")</x:f>
        <x:v>0</x:v>
      </x:c>
      <x:c r="K2067" s="1" t="str">
        <x:f>IF(G2067&gt;='Дашборд'!$C$51,"X","Z")</x:f>
        <x:v>Z</x:v>
      </x:c>
      <x:c r="L2067" s="1" t="str">
        <x:f>IF(H2067=0,IF(G2067&gt;0,"Нет остатка","Нет спроса"),IF(I2067&gt;='Дашборд'!$C$52,"Быстрый","Медленный"))</x:f>
        <x:v>Нет спроса</x:v>
      </x:c>
      <x:c r="M2067" s="1" t="str">
        <x:f>IF('Данные'!E2067&lt;'Дашборд'!$C$53,"Мало трафика",IF(J2067&lt;'Дашборд'!$C$9*'Дашборд'!$C$54,"Да","Нет"))</x:f>
        <x:v>Мало трафика</x:v>
      </x:c>
      <x:c r="N2067" s="1" t="str">
        <x:f>IF(AND('Данные'!D2067&gt;='Дашборд'!$C$55,D2067&lt;'Дашборд'!$C$56,'Данные'!E2067&gt;='Дашборд'!$C$53,'Данные'!L2067&lt;&gt;"Да"),"Да","Нет")</x:f>
        <x:v>Нет</x:v>
      </x:c>
      <x:c r="O2067" s="1" t="str">
        <x:f>'Данные'!L2067</x:f>
        <x:v>Нет</x:v>
      </x:c>
    </x:row>
    <x:row r="2068">
      <x:c r="A2068" s="1" t="str">
        <x:f>'Данные'!A2068</x:f>
        <x:v>222293198</x:v>
      </x:c>
      <x:c r="B2068" s="1" t="str">
        <x:f>'Данные'!B2068</x:f>
        <x:v>bazaprint/YouMe-132/белый</x:v>
      </x:c>
      <x:c r="C2068" s="8" t="n">
        <x:f>'Данные'!G2068</x:f>
        <x:v>0</x:v>
      </x:c>
      <x:c r="D2068" s="15" t="n">
        <x:f>C2068/SUM($C$5:$C$2477)</x:f>
        <x:v>0</x:v>
      </x:c>
      <x:c r="E2068" s="15" t="n">
        <x:f>SUM($D$5:D2068)</x:f>
        <x:v>1.0000000000000036</x:v>
      </x:c>
      <x:c r="F2068" s="1" t="str">
        <x:f>IF(C2068&lt;=0,"C",IF(E2068-D2068&lt;'Дашборд'!$C$49,"A",IF(E2068-D2068&lt;'Дашборд'!$C$50,"B","C")))</x:f>
        <x:v>C</x:v>
      </x:c>
      <x:c r="G2068" s="8" t="n">
        <x:f>'Данные'!F2068</x:f>
        <x:v>0</x:v>
      </x:c>
      <x:c r="H2068" s="8" t="n">
        <x:f>SUM('Данные'!H2068:I2068)</x:f>
        <x:v>0</x:v>
      </x:c>
      <x:c r="I2068" s="16" t="str">
        <x:f>IF(H2068&gt;0,G2068/H2068,"n.a.")</x:f>
        <x:v>n.a.</x:v>
      </x:c>
      <x:c r="J2068" s="10" t="n">
        <x:f>IF('Данные'!E2068&gt;0,G2068/'Данные'!E2068,"n.a.")</x:f>
        <x:v>0</x:v>
      </x:c>
      <x:c r="K2068" s="1" t="str">
        <x:f>IF(G2068&gt;='Дашборд'!$C$51,"X","Z")</x:f>
        <x:v>Z</x:v>
      </x:c>
      <x:c r="L2068" s="1" t="str">
        <x:f>IF(H2068=0,IF(G2068&gt;0,"Нет остатка","Нет спроса"),IF(I2068&gt;='Дашборд'!$C$52,"Быстрый","Медленный"))</x:f>
        <x:v>Нет спроса</x:v>
      </x:c>
      <x:c r="M2068" s="1" t="str">
        <x:f>IF('Данные'!E2068&lt;'Дашборд'!$C$53,"Мало трафика",IF(J2068&lt;'Дашборд'!$C$9*'Дашборд'!$C$54,"Да","Нет"))</x:f>
        <x:v>Мало трафика</x:v>
      </x:c>
      <x:c r="N2068" s="1" t="str">
        <x:f>IF(AND('Данные'!D2068&gt;='Дашборд'!$C$55,D2068&lt;'Дашборд'!$C$56,'Данные'!E2068&gt;='Дашборд'!$C$53,'Данные'!L2068&lt;&gt;"Да"),"Да","Нет")</x:f>
        <x:v>Нет</x:v>
      </x:c>
      <x:c r="O2068" s="1" t="str">
        <x:f>'Данные'!L2068</x:f>
        <x:v>Нет</x:v>
      </x:c>
    </x:row>
    <x:row r="2069">
      <x:c r="A2069" s="1" t="str">
        <x:f>'Данные'!A2069</x:f>
        <x:v>222293202</x:v>
      </x:c>
      <x:c r="B2069" s="1" t="str">
        <x:f>'Данные'!B2069</x:f>
        <x:v>bazaprint/Samolet-131/белый</x:v>
      </x:c>
      <x:c r="C2069" s="8" t="n">
        <x:f>'Данные'!G2069</x:f>
        <x:v>0</x:v>
      </x:c>
      <x:c r="D2069" s="15" t="n">
        <x:f>C2069/SUM($C$5:$C$2477)</x:f>
        <x:v>0</x:v>
      </x:c>
      <x:c r="E2069" s="15" t="n">
        <x:f>SUM($D$5:D2069)</x:f>
        <x:v>1.0000000000000036</x:v>
      </x:c>
      <x:c r="F2069" s="1" t="str">
        <x:f>IF(C2069&lt;=0,"C",IF(E2069-D2069&lt;'Дашборд'!$C$49,"A",IF(E2069-D2069&lt;'Дашборд'!$C$50,"B","C")))</x:f>
        <x:v>C</x:v>
      </x:c>
      <x:c r="G2069" s="8" t="n">
        <x:f>'Данные'!F2069</x:f>
        <x:v>0</x:v>
      </x:c>
      <x:c r="H2069" s="8" t="n">
        <x:f>SUM('Данные'!H2069:I2069)</x:f>
        <x:v>0</x:v>
      </x:c>
      <x:c r="I2069" s="16" t="str">
        <x:f>IF(H2069&gt;0,G2069/H2069,"n.a.")</x:f>
        <x:v>n.a.</x:v>
      </x:c>
      <x:c r="J2069" s="10" t="n">
        <x:f>IF('Данные'!E2069&gt;0,G2069/'Данные'!E2069,"n.a.")</x:f>
        <x:v>0</x:v>
      </x:c>
      <x:c r="K2069" s="1" t="str">
        <x:f>IF(G2069&gt;='Дашборд'!$C$51,"X","Z")</x:f>
        <x:v>Z</x:v>
      </x:c>
      <x:c r="L2069" s="1" t="str">
        <x:f>IF(H2069=0,IF(G2069&gt;0,"Нет остатка","Нет спроса"),IF(I2069&gt;='Дашборд'!$C$52,"Быстрый","Медленный"))</x:f>
        <x:v>Нет спроса</x:v>
      </x:c>
      <x:c r="M2069" s="1" t="str">
        <x:f>IF('Данные'!E2069&lt;'Дашборд'!$C$53,"Мало трафика",IF(J2069&lt;'Дашборд'!$C$9*'Дашборд'!$C$54,"Да","Нет"))</x:f>
        <x:v>Мало трафика</x:v>
      </x:c>
      <x:c r="N2069" s="1" t="str">
        <x:f>IF(AND('Данные'!D2069&gt;='Дашборд'!$C$55,D2069&lt;'Дашборд'!$C$56,'Данные'!E2069&gt;='Дашборд'!$C$53,'Данные'!L2069&lt;&gt;"Да"),"Да","Нет")</x:f>
        <x:v>Нет</x:v>
      </x:c>
      <x:c r="O2069" s="1" t="str">
        <x:f>'Данные'!L2069</x:f>
        <x:v>Нет</x:v>
      </x:c>
    </x:row>
    <x:row r="2070">
      <x:c r="A2070" s="1" t="str">
        <x:f>'Данные'!A2070</x:f>
        <x:v>222293203</x:v>
      </x:c>
      <x:c r="B2070" s="1" t="str">
        <x:f>'Данные'!B2070</x:f>
        <x:v>bazaprint/Samolet-131/черный</x:v>
      </x:c>
      <x:c r="C2070" s="8" t="n">
        <x:f>'Данные'!G2070</x:f>
        <x:v>0</x:v>
      </x:c>
      <x:c r="D2070" s="15" t="n">
        <x:f>C2070/SUM($C$5:$C$2477)</x:f>
        <x:v>0</x:v>
      </x:c>
      <x:c r="E2070" s="15" t="n">
        <x:f>SUM($D$5:D2070)</x:f>
        <x:v>1.0000000000000036</x:v>
      </x:c>
      <x:c r="F2070" s="1" t="str">
        <x:f>IF(C2070&lt;=0,"C",IF(E2070-D2070&lt;'Дашборд'!$C$49,"A",IF(E2070-D2070&lt;'Дашборд'!$C$50,"B","C")))</x:f>
        <x:v>C</x:v>
      </x:c>
      <x:c r="G2070" s="8" t="n">
        <x:f>'Данные'!F2070</x:f>
        <x:v>0</x:v>
      </x:c>
      <x:c r="H2070" s="8" t="n">
        <x:f>SUM('Данные'!H2070:I2070)</x:f>
        <x:v>0</x:v>
      </x:c>
      <x:c r="I2070" s="16" t="str">
        <x:f>IF(H2070&gt;0,G2070/H2070,"n.a.")</x:f>
        <x:v>n.a.</x:v>
      </x:c>
      <x:c r="J2070" s="10" t="n">
        <x:f>IF('Данные'!E2070&gt;0,G2070/'Данные'!E2070,"n.a.")</x:f>
        <x:v>0</x:v>
      </x:c>
      <x:c r="K2070" s="1" t="str">
        <x:f>IF(G2070&gt;='Дашборд'!$C$51,"X","Z")</x:f>
        <x:v>Z</x:v>
      </x:c>
      <x:c r="L2070" s="1" t="str">
        <x:f>IF(H2070=0,IF(G2070&gt;0,"Нет остатка","Нет спроса"),IF(I2070&gt;='Дашборд'!$C$52,"Быстрый","Медленный"))</x:f>
        <x:v>Нет спроса</x:v>
      </x:c>
      <x:c r="M2070" s="1" t="str">
        <x:f>IF('Данные'!E2070&lt;'Дашборд'!$C$53,"Мало трафика",IF(J2070&lt;'Дашборд'!$C$9*'Дашборд'!$C$54,"Да","Нет"))</x:f>
        <x:v>Мало трафика</x:v>
      </x:c>
      <x:c r="N2070" s="1" t="str">
        <x:f>IF(AND('Данные'!D2070&gt;='Дашборд'!$C$55,D2070&lt;'Дашборд'!$C$56,'Данные'!E2070&gt;='Дашборд'!$C$53,'Данные'!L2070&lt;&gt;"Да"),"Да","Нет")</x:f>
        <x:v>Нет</x:v>
      </x:c>
      <x:c r="O2070" s="1" t="str">
        <x:f>'Данные'!L2070</x:f>
        <x:v>Нет</x:v>
      </x:c>
    </x:row>
    <x:row r="2071">
      <x:c r="A2071" s="1" t="str">
        <x:f>'Данные'!A2071</x:f>
        <x:v>222293205</x:v>
      </x:c>
      <x:c r="B2071" s="1" t="str">
        <x:f>'Данные'!B2071</x:f>
        <x:v>bazaprint/Heart-126/черный</x:v>
      </x:c>
      <x:c r="C2071" s="8" t="n">
        <x:f>'Данные'!G2071</x:f>
        <x:v>0</x:v>
      </x:c>
      <x:c r="D2071" s="15" t="n">
        <x:f>C2071/SUM($C$5:$C$2477)</x:f>
        <x:v>0</x:v>
      </x:c>
      <x:c r="E2071" s="15" t="n">
        <x:f>SUM($D$5:D2071)</x:f>
        <x:v>1.0000000000000036</x:v>
      </x:c>
      <x:c r="F2071" s="1" t="str">
        <x:f>IF(C2071&lt;=0,"C",IF(E2071-D2071&lt;'Дашборд'!$C$49,"A",IF(E2071-D2071&lt;'Дашборд'!$C$50,"B","C")))</x:f>
        <x:v>C</x:v>
      </x:c>
      <x:c r="G2071" s="8" t="n">
        <x:f>'Данные'!F2071</x:f>
        <x:v>0</x:v>
      </x:c>
      <x:c r="H2071" s="8" t="n">
        <x:f>SUM('Данные'!H2071:I2071)</x:f>
        <x:v>0</x:v>
      </x:c>
      <x:c r="I2071" s="16" t="str">
        <x:f>IF(H2071&gt;0,G2071/H2071,"n.a.")</x:f>
        <x:v>n.a.</x:v>
      </x:c>
      <x:c r="J2071" s="10" t="n">
        <x:f>IF('Данные'!E2071&gt;0,G2071/'Данные'!E2071,"n.a.")</x:f>
        <x:v>0</x:v>
      </x:c>
      <x:c r="K2071" s="1" t="str">
        <x:f>IF(G2071&gt;='Дашборд'!$C$51,"X","Z")</x:f>
        <x:v>Z</x:v>
      </x:c>
      <x:c r="L2071" s="1" t="str">
        <x:f>IF(H2071=0,IF(G2071&gt;0,"Нет остатка","Нет спроса"),IF(I2071&gt;='Дашборд'!$C$52,"Быстрый","Медленный"))</x:f>
        <x:v>Нет спроса</x:v>
      </x:c>
      <x:c r="M2071" s="1" t="str">
        <x:f>IF('Данные'!E2071&lt;'Дашборд'!$C$53,"Мало трафика",IF(J2071&lt;'Дашборд'!$C$9*'Дашборд'!$C$54,"Да","Нет"))</x:f>
        <x:v>Мало трафика</x:v>
      </x:c>
      <x:c r="N2071" s="1" t="str">
        <x:f>IF(AND('Данные'!D2071&gt;='Дашборд'!$C$55,D2071&lt;'Дашборд'!$C$56,'Данные'!E2071&gt;='Дашборд'!$C$53,'Данные'!L2071&lt;&gt;"Да"),"Да","Нет")</x:f>
        <x:v>Нет</x:v>
      </x:c>
      <x:c r="O2071" s="1" t="str">
        <x:f>'Данные'!L2071</x:f>
        <x:v>Нет</x:v>
      </x:c>
    </x:row>
    <x:row r="2072">
      <x:c r="A2072" s="1" t="str">
        <x:f>'Данные'!A2072</x:f>
        <x:v>222347132</x:v>
      </x:c>
      <x:c r="B2072" s="1" t="str">
        <x:f>'Данные'!B2072</x:f>
        <x:v>2xnitkamanshort/черный</x:v>
      </x:c>
      <x:c r="C2072" s="8" t="n">
        <x:f>'Данные'!G2072</x:f>
        <x:v>0</x:v>
      </x:c>
      <x:c r="D2072" s="15" t="n">
        <x:f>C2072/SUM($C$5:$C$2477)</x:f>
        <x:v>0</x:v>
      </x:c>
      <x:c r="E2072" s="15" t="n">
        <x:f>SUM($D$5:D2072)</x:f>
        <x:v>1.0000000000000036</x:v>
      </x:c>
      <x:c r="F2072" s="1" t="str">
        <x:f>IF(C2072&lt;=0,"C",IF(E2072-D2072&lt;'Дашборд'!$C$49,"A",IF(E2072-D2072&lt;'Дашборд'!$C$50,"B","C")))</x:f>
        <x:v>C</x:v>
      </x:c>
      <x:c r="G2072" s="8" t="n">
        <x:f>'Данные'!F2072</x:f>
        <x:v>0</x:v>
      </x:c>
      <x:c r="H2072" s="8" t="n">
        <x:f>SUM('Данные'!H2072:I2072)</x:f>
        <x:v>0</x:v>
      </x:c>
      <x:c r="I2072" s="16" t="str">
        <x:f>IF(H2072&gt;0,G2072/H2072,"n.a.")</x:f>
        <x:v>n.a.</x:v>
      </x:c>
      <x:c r="J2072" s="10" t="n">
        <x:f>IF('Данные'!E2072&gt;0,G2072/'Данные'!E2072,"n.a.")</x:f>
        <x:v>0</x:v>
      </x:c>
      <x:c r="K2072" s="1" t="str">
        <x:f>IF(G2072&gt;='Дашборд'!$C$51,"X","Z")</x:f>
        <x:v>Z</x:v>
      </x:c>
      <x:c r="L2072" s="1" t="str">
        <x:f>IF(H2072=0,IF(G2072&gt;0,"Нет остатка","Нет спроса"),IF(I2072&gt;='Дашборд'!$C$52,"Быстрый","Медленный"))</x:f>
        <x:v>Нет спроса</x:v>
      </x:c>
      <x:c r="M2072" s="1" t="str">
        <x:f>IF('Данные'!E2072&lt;'Дашборд'!$C$53,"Мало трафика",IF(J2072&lt;'Дашборд'!$C$9*'Дашборд'!$C$54,"Да","Нет"))</x:f>
        <x:v>Мало трафика</x:v>
      </x:c>
      <x:c r="N2072" s="1" t="str">
        <x:f>IF(AND('Данные'!D2072&gt;='Дашборд'!$C$55,D2072&lt;'Дашборд'!$C$56,'Данные'!E2072&gt;='Дашборд'!$C$53,'Данные'!L2072&lt;&gt;"Да"),"Да","Нет")</x:f>
        <x:v>Нет</x:v>
      </x:c>
      <x:c r="O2072" s="1" t="str">
        <x:f>'Данные'!L2072</x:f>
        <x:v>Нет</x:v>
      </x:c>
    </x:row>
    <x:row r="2073">
      <x:c r="A2073" s="1" t="str">
        <x:f>'Данные'!A2073</x:f>
        <x:v>223042373</x:v>
      </x:c>
      <x:c r="B2073" s="1" t="str">
        <x:f>'Данные'!B2073</x:f>
        <x:v>kulirkamanprint/League-127/дымка</x:v>
      </x:c>
      <x:c r="C2073" s="8" t="n">
        <x:f>'Данные'!G2073</x:f>
        <x:v>0</x:v>
      </x:c>
      <x:c r="D2073" s="15" t="n">
        <x:f>C2073/SUM($C$5:$C$2477)</x:f>
        <x:v>0</x:v>
      </x:c>
      <x:c r="E2073" s="15" t="n">
        <x:f>SUM($D$5:D2073)</x:f>
        <x:v>1.0000000000000036</x:v>
      </x:c>
      <x:c r="F2073" s="1" t="str">
        <x:f>IF(C2073&lt;=0,"C",IF(E2073-D2073&lt;'Дашборд'!$C$49,"A",IF(E2073-D2073&lt;'Дашборд'!$C$50,"B","C")))</x:f>
        <x:v>C</x:v>
      </x:c>
      <x:c r="G2073" s="8" t="n">
        <x:f>'Данные'!F2073</x:f>
        <x:v>0</x:v>
      </x:c>
      <x:c r="H2073" s="8" t="n">
        <x:f>SUM('Данные'!H2073:I2073)</x:f>
        <x:v>0</x:v>
      </x:c>
      <x:c r="I2073" s="16" t="str">
        <x:f>IF(H2073&gt;0,G2073/H2073,"n.a.")</x:f>
        <x:v>n.a.</x:v>
      </x:c>
      <x:c r="J2073" s="10" t="n">
        <x:f>IF('Данные'!E2073&gt;0,G2073/'Данные'!E2073,"n.a.")</x:f>
        <x:v>0</x:v>
      </x:c>
      <x:c r="K2073" s="1" t="str">
        <x:f>IF(G2073&gt;='Дашборд'!$C$51,"X","Z")</x:f>
        <x:v>Z</x:v>
      </x:c>
      <x:c r="L2073" s="1" t="str">
        <x:f>IF(H2073=0,IF(G2073&gt;0,"Нет остатка","Нет спроса"),IF(I2073&gt;='Дашборд'!$C$52,"Быстрый","Медленный"))</x:f>
        <x:v>Нет спроса</x:v>
      </x:c>
      <x:c r="M2073" s="1" t="str">
        <x:f>IF('Данные'!E2073&lt;'Дашборд'!$C$53,"Мало трафика",IF(J2073&lt;'Дашборд'!$C$9*'Дашборд'!$C$54,"Да","Нет"))</x:f>
        <x:v>Мало трафика</x:v>
      </x:c>
      <x:c r="N2073" s="1" t="str">
        <x:f>IF(AND('Данные'!D2073&gt;='Дашборд'!$C$55,D2073&lt;'Дашборд'!$C$56,'Данные'!E2073&gt;='Дашборд'!$C$53,'Данные'!L2073&lt;&gt;"Да"),"Да","Нет")</x:f>
        <x:v>Нет</x:v>
      </x:c>
      <x:c r="O2073" s="1" t="str">
        <x:f>'Данные'!L2073</x:f>
        <x:v>Нет</x:v>
      </x:c>
    </x:row>
    <x:row r="2074">
      <x:c r="A2074" s="1" t="str">
        <x:f>'Данные'!A2074</x:f>
        <x:v>223042375</x:v>
      </x:c>
      <x:c r="B2074" s="1" t="str">
        <x:f>'Данные'!B2074</x:f>
        <x:v>kulirkamanprint/League-127/темно-синий</x:v>
      </x:c>
      <x:c r="C2074" s="8" t="n">
        <x:f>'Данные'!G2074</x:f>
        <x:v>0</x:v>
      </x:c>
      <x:c r="D2074" s="15" t="n">
        <x:f>C2074/SUM($C$5:$C$2477)</x:f>
        <x:v>0</x:v>
      </x:c>
      <x:c r="E2074" s="15" t="n">
        <x:f>SUM($D$5:D2074)</x:f>
        <x:v>1.0000000000000036</x:v>
      </x:c>
      <x:c r="F2074" s="1" t="str">
        <x:f>IF(C2074&lt;=0,"C",IF(E2074-D2074&lt;'Дашборд'!$C$49,"A",IF(E2074-D2074&lt;'Дашборд'!$C$50,"B","C")))</x:f>
        <x:v>C</x:v>
      </x:c>
      <x:c r="G2074" s="8" t="n">
        <x:f>'Данные'!F2074</x:f>
        <x:v>0</x:v>
      </x:c>
      <x:c r="H2074" s="8" t="n">
        <x:f>SUM('Данные'!H2074:I2074)</x:f>
        <x:v>0</x:v>
      </x:c>
      <x:c r="I2074" s="16" t="str">
        <x:f>IF(H2074&gt;0,G2074/H2074,"n.a.")</x:f>
        <x:v>n.a.</x:v>
      </x:c>
      <x:c r="J2074" s="10" t="n">
        <x:f>IF('Данные'!E2074&gt;0,G2074/'Данные'!E2074,"n.a.")</x:f>
        <x:v>0</x:v>
      </x:c>
      <x:c r="K2074" s="1" t="str">
        <x:f>IF(G2074&gt;='Дашборд'!$C$51,"X","Z")</x:f>
        <x:v>Z</x:v>
      </x:c>
      <x:c r="L2074" s="1" t="str">
        <x:f>IF(H2074=0,IF(G2074&gt;0,"Нет остатка","Нет спроса"),IF(I2074&gt;='Дашборд'!$C$52,"Быстрый","Медленный"))</x:f>
        <x:v>Нет спроса</x:v>
      </x:c>
      <x:c r="M2074" s="1" t="str">
        <x:f>IF('Данные'!E2074&lt;'Дашборд'!$C$53,"Мало трафика",IF(J2074&lt;'Дашборд'!$C$9*'Дашборд'!$C$54,"Да","Нет"))</x:f>
        <x:v>Мало трафика</x:v>
      </x:c>
      <x:c r="N2074" s="1" t="str">
        <x:f>IF(AND('Данные'!D2074&gt;='Дашборд'!$C$55,D2074&lt;'Дашборд'!$C$56,'Данные'!E2074&gt;='Дашборд'!$C$53,'Данные'!L2074&lt;&gt;"Да"),"Да","Нет")</x:f>
        <x:v>Нет</x:v>
      </x:c>
      <x:c r="O2074" s="1" t="str">
        <x:f>'Данные'!L2074</x:f>
        <x:v>Нет</x:v>
      </x:c>
    </x:row>
    <x:row r="2075">
      <x:c r="A2075" s="1" t="str">
        <x:f>'Данные'!A2075</x:f>
        <x:v>223042377</x:v>
      </x:c>
      <x:c r="B2075" s="1" t="str">
        <x:f>'Данные'!B2075</x:f>
        <x:v>kulirkamanprint/League-127/черный</x:v>
      </x:c>
      <x:c r="C2075" s="8" t="n">
        <x:f>'Данные'!G2075</x:f>
        <x:v>0</x:v>
      </x:c>
      <x:c r="D2075" s="15" t="n">
        <x:f>C2075/SUM($C$5:$C$2477)</x:f>
        <x:v>0</x:v>
      </x:c>
      <x:c r="E2075" s="15" t="n">
        <x:f>SUM($D$5:D2075)</x:f>
        <x:v>1.0000000000000036</x:v>
      </x:c>
      <x:c r="F2075" s="1" t="str">
        <x:f>IF(C2075&lt;=0,"C",IF(E2075-D2075&lt;'Дашборд'!$C$49,"A",IF(E2075-D2075&lt;'Дашборд'!$C$50,"B","C")))</x:f>
        <x:v>C</x:v>
      </x:c>
      <x:c r="G2075" s="8" t="n">
        <x:f>'Данные'!F2075</x:f>
        <x:v>2</x:v>
      </x:c>
      <x:c r="H2075" s="8" t="n">
        <x:f>SUM('Данные'!H2075:I2075)</x:f>
        <x:v>0</x:v>
      </x:c>
      <x:c r="I2075" s="16" t="str">
        <x:f>IF(H2075&gt;0,G2075/H2075,"n.a.")</x:f>
        <x:v>n.a.</x:v>
      </x:c>
      <x:c r="J2075" s="10" t="n">
        <x:f>IF('Данные'!E2075&gt;0,G2075/'Данные'!E2075,"n.a.")</x:f>
        <x:v>0.0006821282401091405</x:v>
      </x:c>
      <x:c r="K2075" s="1" t="str">
        <x:f>IF(G2075&gt;='Дашборд'!$C$51,"X","Z")</x:f>
        <x:v>Z</x:v>
      </x:c>
      <x:c r="L2075" s="1" t="str">
        <x:f>IF(H2075=0,IF(G2075&gt;0,"Нет остатка","Нет спроса"),IF(I2075&gt;='Дашборд'!$C$52,"Быстрый","Медленный"))</x:f>
        <x:v>Нет остатка</x:v>
      </x:c>
      <x:c r="M2075" s="1" t="str">
        <x:f>IF('Данные'!E2075&lt;'Дашборд'!$C$53,"Мало трафика",IF(J2075&lt;'Дашборд'!$C$9*'Дашборд'!$C$54,"Да","Нет"))</x:f>
        <x:v>Да</x:v>
      </x:c>
      <x:c r="N2075" s="1" t="str">
        <x:f>IF(AND('Данные'!D2075&gt;='Дашборд'!$C$55,D2075&lt;'Дашборд'!$C$56,'Данные'!E2075&gt;='Дашборд'!$C$53,'Данные'!L2075&lt;&gt;"Да"),"Да","Нет")</x:f>
        <x:v>Да</x:v>
      </x:c>
      <x:c r="O2075" s="1" t="str">
        <x:f>'Данные'!L2075</x:f>
        <x:v>Нет</x:v>
      </x:c>
    </x:row>
    <x:row r="2076">
      <x:c r="A2076" s="1" t="str">
        <x:f>'Данные'!A2076</x:f>
        <x:v>223328132</x:v>
      </x:c>
      <x:c r="B2076" s="1" t="str">
        <x:f>'Данные'!B2076</x:f>
        <x:v>povyazkaX2/черный-белый</x:v>
      </x:c>
      <x:c r="C2076" s="8" t="n">
        <x:f>'Данные'!G2076</x:f>
        <x:v>0</x:v>
      </x:c>
      <x:c r="D2076" s="15" t="n">
        <x:f>C2076/SUM($C$5:$C$2477)</x:f>
        <x:v>0</x:v>
      </x:c>
      <x:c r="E2076" s="15" t="n">
        <x:f>SUM($D$5:D2076)</x:f>
        <x:v>1.0000000000000036</x:v>
      </x:c>
      <x:c r="F2076" s="1" t="str">
        <x:f>IF(C2076&lt;=0,"C",IF(E2076-D2076&lt;'Дашборд'!$C$49,"A",IF(E2076-D2076&lt;'Дашборд'!$C$50,"B","C")))</x:f>
        <x:v>C</x:v>
      </x:c>
      <x:c r="G2076" s="8" t="n">
        <x:f>'Данные'!F2076</x:f>
        <x:v>0</x:v>
      </x:c>
      <x:c r="H2076" s="8" t="n">
        <x:f>SUM('Данные'!H2076:I2076)</x:f>
        <x:v>0</x:v>
      </x:c>
      <x:c r="I2076" s="16" t="str">
        <x:f>IF(H2076&gt;0,G2076/H2076,"n.a.")</x:f>
        <x:v>n.a.</x:v>
      </x:c>
      <x:c r="J2076" s="10" t="n">
        <x:f>IF('Данные'!E2076&gt;0,G2076/'Данные'!E2076,"n.a.")</x:f>
        <x:v>0</x:v>
      </x:c>
      <x:c r="K2076" s="1" t="str">
        <x:f>IF(G2076&gt;='Дашборд'!$C$51,"X","Z")</x:f>
        <x:v>Z</x:v>
      </x:c>
      <x:c r="L2076" s="1" t="str">
        <x:f>IF(H2076=0,IF(G2076&gt;0,"Нет остатка","Нет спроса"),IF(I2076&gt;='Дашборд'!$C$52,"Быстрый","Медленный"))</x:f>
        <x:v>Нет спроса</x:v>
      </x:c>
      <x:c r="M2076" s="1" t="str">
        <x:f>IF('Данные'!E2076&lt;'Дашборд'!$C$53,"Мало трафика",IF(J2076&lt;'Дашборд'!$C$9*'Дашборд'!$C$54,"Да","Нет"))</x:f>
        <x:v>Мало трафика</x:v>
      </x:c>
      <x:c r="N2076" s="1" t="str">
        <x:f>IF(AND('Данные'!D2076&gt;='Дашборд'!$C$55,D2076&lt;'Дашборд'!$C$56,'Данные'!E2076&gt;='Дашборд'!$C$53,'Данные'!L2076&lt;&gt;"Да"),"Да","Нет")</x:f>
        <x:v>Нет</x:v>
      </x:c>
      <x:c r="O2076" s="1" t="str">
        <x:f>'Данные'!L2076</x:f>
        <x:v>Нет</x:v>
      </x:c>
    </x:row>
    <x:row r="2077">
      <x:c r="A2077" s="1" t="str">
        <x:f>'Данные'!A2077</x:f>
        <x:v>224386316</x:v>
      </x:c>
      <x:c r="B2077" s="1" t="str">
        <x:f>'Данные'!B2077</x:f>
        <x:v>futbolkaprint/Feature-136/молочный</x:v>
      </x:c>
      <x:c r="C2077" s="8" t="n">
        <x:f>'Данные'!G2077</x:f>
        <x:v>0</x:v>
      </x:c>
      <x:c r="D2077" s="15" t="n">
        <x:f>C2077/SUM($C$5:$C$2477)</x:f>
        <x:v>0</x:v>
      </x:c>
      <x:c r="E2077" s="15" t="n">
        <x:f>SUM($D$5:D2077)</x:f>
        <x:v>1.0000000000000036</x:v>
      </x:c>
      <x:c r="F2077" s="1" t="str">
        <x:f>IF(C2077&lt;=0,"C",IF(E2077-D2077&lt;'Дашборд'!$C$49,"A",IF(E2077-D2077&lt;'Дашборд'!$C$50,"B","C")))</x:f>
        <x:v>C</x:v>
      </x:c>
      <x:c r="G2077" s="8" t="n">
        <x:f>'Данные'!F2077</x:f>
        <x:v>0</x:v>
      </x:c>
      <x:c r="H2077" s="8" t="n">
        <x:f>SUM('Данные'!H2077:I2077)</x:f>
        <x:v>0</x:v>
      </x:c>
      <x:c r="I2077" s="16" t="str">
        <x:f>IF(H2077&gt;0,G2077/H2077,"n.a.")</x:f>
        <x:v>n.a.</x:v>
      </x:c>
      <x:c r="J2077" s="10" t="n">
        <x:f>IF('Данные'!E2077&gt;0,G2077/'Данные'!E2077,"n.a.")</x:f>
        <x:v>0</x:v>
      </x:c>
      <x:c r="K2077" s="1" t="str">
        <x:f>IF(G2077&gt;='Дашборд'!$C$51,"X","Z")</x:f>
        <x:v>Z</x:v>
      </x:c>
      <x:c r="L2077" s="1" t="str">
        <x:f>IF(H2077=0,IF(G2077&gt;0,"Нет остатка","Нет спроса"),IF(I2077&gt;='Дашборд'!$C$52,"Быстрый","Медленный"))</x:f>
        <x:v>Нет спроса</x:v>
      </x:c>
      <x:c r="M2077" s="1" t="str">
        <x:f>IF('Данные'!E2077&lt;'Дашборд'!$C$53,"Мало трафика",IF(J2077&lt;'Дашборд'!$C$9*'Дашборд'!$C$54,"Да","Нет"))</x:f>
        <x:v>Мало трафика</x:v>
      </x:c>
      <x:c r="N2077" s="1" t="str">
        <x:f>IF(AND('Данные'!D2077&gt;='Дашборд'!$C$55,D2077&lt;'Дашборд'!$C$56,'Данные'!E2077&gt;='Дашборд'!$C$53,'Данные'!L2077&lt;&gt;"Да"),"Да","Нет")</x:f>
        <x:v>Нет</x:v>
      </x:c>
      <x:c r="O2077" s="1" t="str">
        <x:f>'Данные'!L2077</x:f>
        <x:v>Нет</x:v>
      </x:c>
    </x:row>
    <x:row r="2078">
      <x:c r="A2078" s="1" t="str">
        <x:f>'Данные'!A2078</x:f>
        <x:v>224416602</x:v>
      </x:c>
      <x:c r="B2078" s="1" t="str">
        <x:f>'Данные'!B2078</x:f>
        <x:v>bazaX2/черный-белый</x:v>
      </x:c>
      <x:c r="C2078" s="8" t="n">
        <x:f>'Данные'!G2078</x:f>
        <x:v>0</x:v>
      </x:c>
      <x:c r="D2078" s="15" t="n">
        <x:f>C2078/SUM($C$5:$C$2477)</x:f>
        <x:v>0</x:v>
      </x:c>
      <x:c r="E2078" s="15" t="n">
        <x:f>SUM($D$5:D2078)</x:f>
        <x:v>1.0000000000000036</x:v>
      </x:c>
      <x:c r="F2078" s="1" t="str">
        <x:f>IF(C2078&lt;=0,"C",IF(E2078-D2078&lt;'Дашборд'!$C$49,"A",IF(E2078-D2078&lt;'Дашборд'!$C$50,"B","C")))</x:f>
        <x:v>C</x:v>
      </x:c>
      <x:c r="G2078" s="8" t="n">
        <x:f>'Данные'!F2078</x:f>
        <x:v>0</x:v>
      </x:c>
      <x:c r="H2078" s="8" t="n">
        <x:f>SUM('Данные'!H2078:I2078)</x:f>
        <x:v>0</x:v>
      </x:c>
      <x:c r="I2078" s="16" t="str">
        <x:f>IF(H2078&gt;0,G2078/H2078,"n.a.")</x:f>
        <x:v>n.a.</x:v>
      </x:c>
      <x:c r="J2078" s="10" t="n">
        <x:f>IF('Данные'!E2078&gt;0,G2078/'Данные'!E2078,"n.a.")</x:f>
        <x:v>0</x:v>
      </x:c>
      <x:c r="K2078" s="1" t="str">
        <x:f>IF(G2078&gt;='Дашборд'!$C$51,"X","Z")</x:f>
        <x:v>Z</x:v>
      </x:c>
      <x:c r="L2078" s="1" t="str">
        <x:f>IF(H2078=0,IF(G2078&gt;0,"Нет остатка","Нет спроса"),IF(I2078&gt;='Дашборд'!$C$52,"Быстрый","Медленный"))</x:f>
        <x:v>Нет спроса</x:v>
      </x:c>
      <x:c r="M2078" s="1" t="str">
        <x:f>IF('Данные'!E2078&lt;'Дашборд'!$C$53,"Мало трафика",IF(J2078&lt;'Дашборд'!$C$9*'Дашборд'!$C$54,"Да","Нет"))</x:f>
        <x:v>Мало трафика</x:v>
      </x:c>
      <x:c r="N2078" s="1" t="str">
        <x:f>IF(AND('Данные'!D2078&gt;='Дашборд'!$C$55,D2078&lt;'Дашборд'!$C$56,'Данные'!E2078&gt;='Дашборд'!$C$53,'Данные'!L2078&lt;&gt;"Да"),"Да","Нет")</x:f>
        <x:v>Нет</x:v>
      </x:c>
      <x:c r="O2078" s="1" t="str">
        <x:f>'Данные'!L2078</x:f>
        <x:v>Нет</x:v>
      </x:c>
    </x:row>
    <x:row r="2079">
      <x:c r="A2079" s="1" t="str">
        <x:f>'Данные'!A2079</x:f>
        <x:v>224420733</x:v>
      </x:c>
      <x:c r="B2079" s="1" t="str">
        <x:f>'Данные'!B2079</x:f>
        <x:v>bazaX3/чер-как-тсер</x:v>
      </x:c>
      <x:c r="C2079" s="8" t="n">
        <x:f>'Данные'!G2079</x:f>
        <x:v>0</x:v>
      </x:c>
      <x:c r="D2079" s="15" t="n">
        <x:f>C2079/SUM($C$5:$C$2477)</x:f>
        <x:v>0</x:v>
      </x:c>
      <x:c r="E2079" s="15" t="n">
        <x:f>SUM($D$5:D2079)</x:f>
        <x:v>1.0000000000000036</x:v>
      </x:c>
      <x:c r="F2079" s="1" t="str">
        <x:f>IF(C2079&lt;=0,"C",IF(E2079-D2079&lt;'Дашборд'!$C$49,"A",IF(E2079-D2079&lt;'Дашборд'!$C$50,"B","C")))</x:f>
        <x:v>C</x:v>
      </x:c>
      <x:c r="G2079" s="8" t="n">
        <x:f>'Данные'!F2079</x:f>
        <x:v>0</x:v>
      </x:c>
      <x:c r="H2079" s="8" t="n">
        <x:f>SUM('Данные'!H2079:I2079)</x:f>
        <x:v>0</x:v>
      </x:c>
      <x:c r="I2079" s="16" t="str">
        <x:f>IF(H2079&gt;0,G2079/H2079,"n.a.")</x:f>
        <x:v>n.a.</x:v>
      </x:c>
      <x:c r="J2079" s="10" t="n">
        <x:f>IF('Данные'!E2079&gt;0,G2079/'Данные'!E2079,"n.a.")</x:f>
        <x:v>0</x:v>
      </x:c>
      <x:c r="K2079" s="1" t="str">
        <x:f>IF(G2079&gt;='Дашборд'!$C$51,"X","Z")</x:f>
        <x:v>Z</x:v>
      </x:c>
      <x:c r="L2079" s="1" t="str">
        <x:f>IF(H2079=0,IF(G2079&gt;0,"Нет остатка","Нет спроса"),IF(I2079&gt;='Дашборд'!$C$52,"Быстрый","Медленный"))</x:f>
        <x:v>Нет спроса</x:v>
      </x:c>
      <x:c r="M2079" s="1" t="str">
        <x:f>IF('Данные'!E2079&lt;'Дашборд'!$C$53,"Мало трафика",IF(J2079&lt;'Дашборд'!$C$9*'Дашборд'!$C$54,"Да","Нет"))</x:f>
        <x:v>Мало трафика</x:v>
      </x:c>
      <x:c r="N2079" s="1" t="str">
        <x:f>IF(AND('Данные'!D2079&gt;='Дашборд'!$C$55,D2079&lt;'Дашборд'!$C$56,'Данные'!E2079&gt;='Дашборд'!$C$53,'Данные'!L2079&lt;&gt;"Да"),"Да","Нет")</x:f>
        <x:v>Нет</x:v>
      </x:c>
      <x:c r="O2079" s="1" t="str">
        <x:f>'Данные'!L2079</x:f>
        <x:v>Нет</x:v>
      </x:c>
    </x:row>
    <x:row r="2080">
      <x:c r="A2080" s="1" t="str">
        <x:f>'Данные'!A2080</x:f>
        <x:v>224420743</x:v>
      </x:c>
      <x:c r="B2080" s="1" t="str">
        <x:f>'Данные'!B2080</x:f>
        <x:v>bazaX3/чер-бел-тсер</x:v>
      </x:c>
      <x:c r="C2080" s="8" t="n">
        <x:f>'Данные'!G2080</x:f>
        <x:v>0</x:v>
      </x:c>
      <x:c r="D2080" s="15" t="n">
        <x:f>C2080/SUM($C$5:$C$2477)</x:f>
        <x:v>0</x:v>
      </x:c>
      <x:c r="E2080" s="15" t="n">
        <x:f>SUM($D$5:D2080)</x:f>
        <x:v>1.0000000000000036</x:v>
      </x:c>
      <x:c r="F2080" s="1" t="str">
        <x:f>IF(C2080&lt;=0,"C",IF(E2080-D2080&lt;'Дашборд'!$C$49,"A",IF(E2080-D2080&lt;'Дашборд'!$C$50,"B","C")))</x:f>
        <x:v>C</x:v>
      </x:c>
      <x:c r="G2080" s="8" t="n">
        <x:f>'Данные'!F2080</x:f>
        <x:v>0</x:v>
      </x:c>
      <x:c r="H2080" s="8" t="n">
        <x:f>SUM('Данные'!H2080:I2080)</x:f>
        <x:v>0</x:v>
      </x:c>
      <x:c r="I2080" s="16" t="str">
        <x:f>IF(H2080&gt;0,G2080/H2080,"n.a.")</x:f>
        <x:v>n.a.</x:v>
      </x:c>
      <x:c r="J2080" s="10" t="n">
        <x:f>IF('Данные'!E2080&gt;0,G2080/'Данные'!E2080,"n.a.")</x:f>
        <x:v>0</x:v>
      </x:c>
      <x:c r="K2080" s="1" t="str">
        <x:f>IF(G2080&gt;='Дашборд'!$C$51,"X","Z")</x:f>
        <x:v>Z</x:v>
      </x:c>
      <x:c r="L2080" s="1" t="str">
        <x:f>IF(H2080=0,IF(G2080&gt;0,"Нет остатка","Нет спроса"),IF(I2080&gt;='Дашборд'!$C$52,"Быстрый","Медленный"))</x:f>
        <x:v>Нет спроса</x:v>
      </x:c>
      <x:c r="M2080" s="1" t="str">
        <x:f>IF('Данные'!E2080&lt;'Дашборд'!$C$53,"Мало трафика",IF(J2080&lt;'Дашборд'!$C$9*'Дашборд'!$C$54,"Да","Нет"))</x:f>
        <x:v>Мало трафика</x:v>
      </x:c>
      <x:c r="N2080" s="1" t="str">
        <x:f>IF(AND('Данные'!D2080&gt;='Дашборд'!$C$55,D2080&lt;'Дашборд'!$C$56,'Данные'!E2080&gt;='Дашборд'!$C$53,'Данные'!L2080&lt;&gt;"Да"),"Да","Нет")</x:f>
        <x:v>Нет</x:v>
      </x:c>
      <x:c r="O2080" s="1" t="str">
        <x:f>'Данные'!L2080</x:f>
        <x:v>Нет</x:v>
      </x:c>
    </x:row>
    <x:row r="2081">
      <x:c r="A2081" s="1" t="str">
        <x:f>'Данные'!A2081</x:f>
        <x:v>224420781</x:v>
      </x:c>
      <x:c r="B2081" s="1" t="str">
        <x:f>'Данные'!B2081</x:f>
        <x:v>bazaX3/чер-роз-тсер</x:v>
      </x:c>
      <x:c r="C2081" s="8" t="n">
        <x:f>'Данные'!G2081</x:f>
        <x:v>0</x:v>
      </x:c>
      <x:c r="D2081" s="15" t="n">
        <x:f>C2081/SUM($C$5:$C$2477)</x:f>
        <x:v>0</x:v>
      </x:c>
      <x:c r="E2081" s="15" t="n">
        <x:f>SUM($D$5:D2081)</x:f>
        <x:v>1.0000000000000036</x:v>
      </x:c>
      <x:c r="F2081" s="1" t="str">
        <x:f>IF(C2081&lt;=0,"C",IF(E2081-D2081&lt;'Дашборд'!$C$49,"A",IF(E2081-D2081&lt;'Дашборд'!$C$50,"B","C")))</x:f>
        <x:v>C</x:v>
      </x:c>
      <x:c r="G2081" s="8" t="n">
        <x:f>'Данные'!F2081</x:f>
        <x:v>0</x:v>
      </x:c>
      <x:c r="H2081" s="8" t="n">
        <x:f>SUM('Данные'!H2081:I2081)</x:f>
        <x:v>0</x:v>
      </x:c>
      <x:c r="I2081" s="16" t="str">
        <x:f>IF(H2081&gt;0,G2081/H2081,"n.a.")</x:f>
        <x:v>n.a.</x:v>
      </x:c>
      <x:c r="J2081" s="10" t="n">
        <x:f>IF('Данные'!E2081&gt;0,G2081/'Данные'!E2081,"n.a.")</x:f>
        <x:v>0</x:v>
      </x:c>
      <x:c r="K2081" s="1" t="str">
        <x:f>IF(G2081&gt;='Дашборд'!$C$51,"X","Z")</x:f>
        <x:v>Z</x:v>
      </x:c>
      <x:c r="L2081" s="1" t="str">
        <x:f>IF(H2081=0,IF(G2081&gt;0,"Нет остатка","Нет спроса"),IF(I2081&gt;='Дашборд'!$C$52,"Быстрый","Медленный"))</x:f>
        <x:v>Нет спроса</x:v>
      </x:c>
      <x:c r="M2081" s="1" t="str">
        <x:f>IF('Данные'!E2081&lt;'Дашборд'!$C$53,"Мало трафика",IF(J2081&lt;'Дашборд'!$C$9*'Дашборд'!$C$54,"Да","Нет"))</x:f>
        <x:v>Мало трафика</x:v>
      </x:c>
      <x:c r="N2081" s="1" t="str">
        <x:f>IF(AND('Данные'!D2081&gt;='Дашборд'!$C$55,D2081&lt;'Дашборд'!$C$56,'Данные'!E2081&gt;='Дашборд'!$C$53,'Данные'!L2081&lt;&gt;"Да"),"Да","Нет")</x:f>
        <x:v>Нет</x:v>
      </x:c>
      <x:c r="O2081" s="1" t="str">
        <x:f>'Данные'!L2081</x:f>
        <x:v>Нет</x:v>
      </x:c>
    </x:row>
    <x:row r="2082">
      <x:c r="A2082" s="1" t="str">
        <x:f>'Данные'!A2082</x:f>
        <x:v>224422276</x:v>
      </x:c>
      <x:c r="B2082" s="1" t="str">
        <x:f>'Данные'!B2082</x:f>
        <x:v>bazaX3/чер-бел-как</x:v>
      </x:c>
      <x:c r="C2082" s="8" t="n">
        <x:f>'Данные'!G2082</x:f>
        <x:v>0</x:v>
      </x:c>
      <x:c r="D2082" s="15" t="n">
        <x:f>C2082/SUM($C$5:$C$2477)</x:f>
        <x:v>0</x:v>
      </x:c>
      <x:c r="E2082" s="15" t="n">
        <x:f>SUM($D$5:D2082)</x:f>
        <x:v>1.0000000000000036</x:v>
      </x:c>
      <x:c r="F2082" s="1" t="str">
        <x:f>IF(C2082&lt;=0,"C",IF(E2082-D2082&lt;'Дашборд'!$C$49,"A",IF(E2082-D2082&lt;'Дашборд'!$C$50,"B","C")))</x:f>
        <x:v>C</x:v>
      </x:c>
      <x:c r="G2082" s="8" t="n">
        <x:f>'Данные'!F2082</x:f>
        <x:v>0</x:v>
      </x:c>
      <x:c r="H2082" s="8" t="n">
        <x:f>SUM('Данные'!H2082:I2082)</x:f>
        <x:v>0</x:v>
      </x:c>
      <x:c r="I2082" s="16" t="str">
        <x:f>IF(H2082&gt;0,G2082/H2082,"n.a.")</x:f>
        <x:v>n.a.</x:v>
      </x:c>
      <x:c r="J2082" s="10" t="n">
        <x:f>IF('Данные'!E2082&gt;0,G2082/'Данные'!E2082,"n.a.")</x:f>
        <x:v>0</x:v>
      </x:c>
      <x:c r="K2082" s="1" t="str">
        <x:f>IF(G2082&gt;='Дашборд'!$C$51,"X","Z")</x:f>
        <x:v>Z</x:v>
      </x:c>
      <x:c r="L2082" s="1" t="str">
        <x:f>IF(H2082=0,IF(G2082&gt;0,"Нет остатка","Нет спроса"),IF(I2082&gt;='Дашборд'!$C$52,"Быстрый","Медленный"))</x:f>
        <x:v>Нет спроса</x:v>
      </x:c>
      <x:c r="M2082" s="1" t="str">
        <x:f>IF('Данные'!E2082&lt;'Дашборд'!$C$53,"Мало трафика",IF(J2082&lt;'Дашборд'!$C$9*'Дашборд'!$C$54,"Да","Нет"))</x:f>
        <x:v>Мало трафика</x:v>
      </x:c>
      <x:c r="N2082" s="1" t="str">
        <x:f>IF(AND('Данные'!D2082&gt;='Дашборд'!$C$55,D2082&lt;'Дашборд'!$C$56,'Данные'!E2082&gt;='Дашборд'!$C$53,'Данные'!L2082&lt;&gt;"Да"),"Да","Нет")</x:f>
        <x:v>Нет</x:v>
      </x:c>
      <x:c r="O2082" s="1" t="str">
        <x:f>'Данные'!L2082</x:f>
        <x:v>Нет</x:v>
      </x:c>
    </x:row>
    <x:row r="2083">
      <x:c r="A2083" s="1" t="str">
        <x:f>'Данные'!A2083</x:f>
        <x:v>226527735</x:v>
      </x:c>
      <x:c r="B2083" s="1" t="str">
        <x:f>'Данные'!B2083</x:f>
        <x:v>kulirkamanprint/California-139/дымка</x:v>
      </x:c>
      <x:c r="C2083" s="8" t="n">
        <x:f>'Данные'!G2083</x:f>
        <x:v>0</x:v>
      </x:c>
      <x:c r="D2083" s="15" t="n">
        <x:f>C2083/SUM($C$5:$C$2477)</x:f>
        <x:v>0</x:v>
      </x:c>
      <x:c r="E2083" s="15" t="n">
        <x:f>SUM($D$5:D2083)</x:f>
        <x:v>1.0000000000000036</x:v>
      </x:c>
      <x:c r="F2083" s="1" t="str">
        <x:f>IF(C2083&lt;=0,"C",IF(E2083-D2083&lt;'Дашборд'!$C$49,"A",IF(E2083-D2083&lt;'Дашборд'!$C$50,"B","C")))</x:f>
        <x:v>C</x:v>
      </x:c>
      <x:c r="G2083" s="8" t="n">
        <x:f>'Данные'!F2083</x:f>
        <x:v>0</x:v>
      </x:c>
      <x:c r="H2083" s="8" t="n">
        <x:f>SUM('Данные'!H2083:I2083)</x:f>
        <x:v>0</x:v>
      </x:c>
      <x:c r="I2083" s="16" t="str">
        <x:f>IF(H2083&gt;0,G2083/H2083,"n.a.")</x:f>
        <x:v>n.a.</x:v>
      </x:c>
      <x:c r="J2083" s="10" t="n">
        <x:f>IF('Данные'!E2083&gt;0,G2083/'Данные'!E2083,"n.a.")</x:f>
        <x:v>0</x:v>
      </x:c>
      <x:c r="K2083" s="1" t="str">
        <x:f>IF(G2083&gt;='Дашборд'!$C$51,"X","Z")</x:f>
        <x:v>Z</x:v>
      </x:c>
      <x:c r="L2083" s="1" t="str">
        <x:f>IF(H2083=0,IF(G2083&gt;0,"Нет остатка","Нет спроса"),IF(I2083&gt;='Дашборд'!$C$52,"Быстрый","Медленный"))</x:f>
        <x:v>Нет спроса</x:v>
      </x:c>
      <x:c r="M2083" s="1" t="str">
        <x:f>IF('Данные'!E2083&lt;'Дашборд'!$C$53,"Мало трафика",IF(J2083&lt;'Дашборд'!$C$9*'Дашборд'!$C$54,"Да","Нет"))</x:f>
        <x:v>Мало трафика</x:v>
      </x:c>
      <x:c r="N2083" s="1" t="str">
        <x:f>IF(AND('Данные'!D2083&gt;='Дашборд'!$C$55,D2083&lt;'Дашборд'!$C$56,'Данные'!E2083&gt;='Дашборд'!$C$53,'Данные'!L2083&lt;&gt;"Да"),"Да","Нет")</x:f>
        <x:v>Нет</x:v>
      </x:c>
      <x:c r="O2083" s="1" t="str">
        <x:f>'Данные'!L2083</x:f>
        <x:v>Нет</x:v>
      </x:c>
    </x:row>
    <x:row r="2084">
      <x:c r="A2084" s="1" t="str">
        <x:f>'Данные'!A2084</x:f>
        <x:v>226527740</x:v>
      </x:c>
      <x:c r="B2084" s="1" t="str">
        <x:f>'Данные'!B2084</x:f>
        <x:v>kulirkamanprint/California-139/какао</x:v>
      </x:c>
      <x:c r="C2084" s="8" t="n">
        <x:f>'Данные'!G2084</x:f>
        <x:v>0</x:v>
      </x:c>
      <x:c r="D2084" s="15" t="n">
        <x:f>C2084/SUM($C$5:$C$2477)</x:f>
        <x:v>0</x:v>
      </x:c>
      <x:c r="E2084" s="15" t="n">
        <x:f>SUM($D$5:D2084)</x:f>
        <x:v>1.0000000000000036</x:v>
      </x:c>
      <x:c r="F2084" s="1" t="str">
        <x:f>IF(C2084&lt;=0,"C",IF(E2084-D2084&lt;'Дашборд'!$C$49,"A",IF(E2084-D2084&lt;'Дашборд'!$C$50,"B","C")))</x:f>
        <x:v>C</x:v>
      </x:c>
      <x:c r="G2084" s="8" t="n">
        <x:f>'Данные'!F2084</x:f>
        <x:v>0</x:v>
      </x:c>
      <x:c r="H2084" s="8" t="n">
        <x:f>SUM('Данные'!H2084:I2084)</x:f>
        <x:v>0</x:v>
      </x:c>
      <x:c r="I2084" s="16" t="str">
        <x:f>IF(H2084&gt;0,G2084/H2084,"n.a.")</x:f>
        <x:v>n.a.</x:v>
      </x:c>
      <x:c r="J2084" s="10" t="n">
        <x:f>IF('Данные'!E2084&gt;0,G2084/'Данные'!E2084,"n.a.")</x:f>
        <x:v>0</x:v>
      </x:c>
      <x:c r="K2084" s="1" t="str">
        <x:f>IF(G2084&gt;='Дашборд'!$C$51,"X","Z")</x:f>
        <x:v>Z</x:v>
      </x:c>
      <x:c r="L2084" s="1" t="str">
        <x:f>IF(H2084=0,IF(G2084&gt;0,"Нет остатка","Нет спроса"),IF(I2084&gt;='Дашборд'!$C$52,"Быстрый","Медленный"))</x:f>
        <x:v>Нет спроса</x:v>
      </x:c>
      <x:c r="M2084" s="1" t="str">
        <x:f>IF('Данные'!E2084&lt;'Дашборд'!$C$53,"Мало трафика",IF(J2084&lt;'Дашборд'!$C$9*'Дашборд'!$C$54,"Да","Нет"))</x:f>
        <x:v>Мало трафика</x:v>
      </x:c>
      <x:c r="N2084" s="1" t="str">
        <x:f>IF(AND('Данные'!D2084&gt;='Дашборд'!$C$55,D2084&lt;'Дашборд'!$C$56,'Данные'!E2084&gt;='Дашборд'!$C$53,'Данные'!L2084&lt;&gt;"Да"),"Да","Нет")</x:f>
        <x:v>Нет</x:v>
      </x:c>
      <x:c r="O2084" s="1" t="str">
        <x:f>'Данные'!L2084</x:f>
        <x:v>Нет</x:v>
      </x:c>
    </x:row>
    <x:row r="2085">
      <x:c r="A2085" s="1" t="str">
        <x:f>'Данные'!A2085</x:f>
        <x:v>226527743</x:v>
      </x:c>
      <x:c r="B2085" s="1" t="str">
        <x:f>'Данные'!B2085</x:f>
        <x:v>hudivish/Venice-7в/морскаяволна</x:v>
      </x:c>
      <x:c r="C2085" s="8" t="n">
        <x:f>'Данные'!G2085</x:f>
        <x:v>0</x:v>
      </x:c>
      <x:c r="D2085" s="15" t="n">
        <x:f>C2085/SUM($C$5:$C$2477)</x:f>
        <x:v>0</x:v>
      </x:c>
      <x:c r="E2085" s="15" t="n">
        <x:f>SUM($D$5:D2085)</x:f>
        <x:v>1.0000000000000036</x:v>
      </x:c>
      <x:c r="F2085" s="1" t="str">
        <x:f>IF(C2085&lt;=0,"C",IF(E2085-D2085&lt;'Дашборд'!$C$49,"A",IF(E2085-D2085&lt;'Дашборд'!$C$50,"B","C")))</x:f>
        <x:v>C</x:v>
      </x:c>
      <x:c r="G2085" s="8" t="n">
        <x:f>'Данные'!F2085</x:f>
        <x:v>0</x:v>
      </x:c>
      <x:c r="H2085" s="8" t="n">
        <x:f>SUM('Данные'!H2085:I2085)</x:f>
        <x:v>1</x:v>
      </x:c>
      <x:c r="I2085" s="16" t="n">
        <x:f>IF(H2085&gt;0,G2085/H2085,"n.a.")</x:f>
        <x:v>0</x:v>
      </x:c>
      <x:c r="J2085" s="10" t="n">
        <x:f>IF('Данные'!E2085&gt;0,G2085/'Данные'!E2085,"n.a.")</x:f>
        <x:v>0</x:v>
      </x:c>
      <x:c r="K2085" s="1" t="str">
        <x:f>IF(G2085&gt;='Дашборд'!$C$51,"X","Z")</x:f>
        <x:v>Z</x:v>
      </x:c>
      <x:c r="L2085" s="1" t="str">
        <x:f>IF(H2085=0,IF(G2085&gt;0,"Нет остатка","Нет спроса"),IF(I2085&gt;='Дашборд'!$C$52,"Быстрый","Медленный"))</x:f>
        <x:v>Медленный</x:v>
      </x:c>
      <x:c r="M2085" s="1" t="str">
        <x:f>IF('Данные'!E2085&lt;'Дашборд'!$C$53,"Мало трафика",IF(J2085&lt;'Дашборд'!$C$9*'Дашборд'!$C$54,"Да","Нет"))</x:f>
        <x:v>Мало трафика</x:v>
      </x:c>
      <x:c r="N2085" s="1" t="str">
        <x:f>IF(AND('Данные'!D2085&gt;='Дашборд'!$C$55,D2085&lt;'Дашборд'!$C$56,'Данные'!E2085&gt;='Дашборд'!$C$53,'Данные'!L2085&lt;&gt;"Да"),"Да","Нет")</x:f>
        <x:v>Нет</x:v>
      </x:c>
      <x:c r="O2085" s="1" t="str">
        <x:f>'Данные'!L2085</x:f>
        <x:v>Нет</x:v>
      </x:c>
    </x:row>
    <x:row r="2086">
      <x:c r="A2086" s="1" t="str">
        <x:f>'Данные'!A2086</x:f>
        <x:v>227747159</x:v>
      </x:c>
      <x:c r="B2086" s="1" t="str">
        <x:f>'Данные'!B2086</x:f>
        <x:v>futbolkaover/бежевый-антрацитовый</x:v>
      </x:c>
      <x:c r="C2086" s="8" t="n">
        <x:f>'Данные'!G2086</x:f>
        <x:v>0</x:v>
      </x:c>
      <x:c r="D2086" s="15" t="n">
        <x:f>C2086/SUM($C$5:$C$2477)</x:f>
        <x:v>0</x:v>
      </x:c>
      <x:c r="E2086" s="15" t="n">
        <x:f>SUM($D$5:D2086)</x:f>
        <x:v>1.0000000000000036</x:v>
      </x:c>
      <x:c r="F2086" s="1" t="str">
        <x:f>IF(C2086&lt;=0,"C",IF(E2086-D2086&lt;'Дашборд'!$C$49,"A",IF(E2086-D2086&lt;'Дашборд'!$C$50,"B","C")))</x:f>
        <x:v>C</x:v>
      </x:c>
      <x:c r="G2086" s="8" t="n">
        <x:f>'Данные'!F2086</x:f>
        <x:v>0</x:v>
      </x:c>
      <x:c r="H2086" s="8" t="n">
        <x:f>SUM('Данные'!H2086:I2086)</x:f>
        <x:v>0</x:v>
      </x:c>
      <x:c r="I2086" s="16" t="str">
        <x:f>IF(H2086&gt;0,G2086/H2086,"n.a.")</x:f>
        <x:v>n.a.</x:v>
      </x:c>
      <x:c r="J2086" s="10" t="n">
        <x:f>IF('Данные'!E2086&gt;0,G2086/'Данные'!E2086,"n.a.")</x:f>
        <x:v>0</x:v>
      </x:c>
      <x:c r="K2086" s="1" t="str">
        <x:f>IF(G2086&gt;='Дашборд'!$C$51,"X","Z")</x:f>
        <x:v>Z</x:v>
      </x:c>
      <x:c r="L2086" s="1" t="str">
        <x:f>IF(H2086=0,IF(G2086&gt;0,"Нет остатка","Нет спроса"),IF(I2086&gt;='Дашборд'!$C$52,"Быстрый","Медленный"))</x:f>
        <x:v>Нет спроса</x:v>
      </x:c>
      <x:c r="M2086" s="1" t="str">
        <x:f>IF('Данные'!E2086&lt;'Дашборд'!$C$53,"Мало трафика",IF(J2086&lt;'Дашборд'!$C$9*'Дашборд'!$C$54,"Да","Нет"))</x:f>
        <x:v>Мало трафика</x:v>
      </x:c>
      <x:c r="N2086" s="1" t="str">
        <x:f>IF(AND('Данные'!D2086&gt;='Дашборд'!$C$55,D2086&lt;'Дашборд'!$C$56,'Данные'!E2086&gt;='Дашборд'!$C$53,'Данные'!L2086&lt;&gt;"Да"),"Да","Нет")</x:f>
        <x:v>Нет</x:v>
      </x:c>
      <x:c r="O2086" s="1" t="str">
        <x:f>'Данные'!L2086</x:f>
        <x:v>Нет</x:v>
      </x:c>
    </x:row>
    <x:row r="2087">
      <x:c r="A2087" s="1" t="str">
        <x:f>'Данные'!A2087</x:f>
        <x:v>228287357</x:v>
      </x:c>
      <x:c r="B2087" s="1" t="str">
        <x:f>'Данные'!B2087</x:f>
        <x:v>kulirkaman/белый-фуксия</x:v>
      </x:c>
      <x:c r="C2087" s="8" t="n">
        <x:f>'Данные'!G2087</x:f>
        <x:v>0</x:v>
      </x:c>
      <x:c r="D2087" s="15" t="n">
        <x:f>C2087/SUM($C$5:$C$2477)</x:f>
        <x:v>0</x:v>
      </x:c>
      <x:c r="E2087" s="15" t="n">
        <x:f>SUM($D$5:D2087)</x:f>
        <x:v>1.0000000000000036</x:v>
      </x:c>
      <x:c r="F2087" s="1" t="str">
        <x:f>IF(C2087&lt;=0,"C",IF(E2087-D2087&lt;'Дашборд'!$C$49,"A",IF(E2087-D2087&lt;'Дашборд'!$C$50,"B","C")))</x:f>
        <x:v>C</x:v>
      </x:c>
      <x:c r="G2087" s="8" t="n">
        <x:f>'Данные'!F2087</x:f>
        <x:v>0</x:v>
      </x:c>
      <x:c r="H2087" s="8" t="n">
        <x:f>SUM('Данные'!H2087:I2087)</x:f>
        <x:v>0</x:v>
      </x:c>
      <x:c r="I2087" s="16" t="str">
        <x:f>IF(H2087&gt;0,G2087/H2087,"n.a.")</x:f>
        <x:v>n.a.</x:v>
      </x:c>
      <x:c r="J2087" s="10" t="n">
        <x:f>IF('Данные'!E2087&gt;0,G2087/'Данные'!E2087,"n.a.")</x:f>
        <x:v>0</x:v>
      </x:c>
      <x:c r="K2087" s="1" t="str">
        <x:f>IF(G2087&gt;='Дашборд'!$C$51,"X","Z")</x:f>
        <x:v>Z</x:v>
      </x:c>
      <x:c r="L2087" s="1" t="str">
        <x:f>IF(H2087=0,IF(G2087&gt;0,"Нет остатка","Нет спроса"),IF(I2087&gt;='Дашборд'!$C$52,"Быстрый","Медленный"))</x:f>
        <x:v>Нет спроса</x:v>
      </x:c>
      <x:c r="M2087" s="1" t="str">
        <x:f>IF('Данные'!E2087&lt;'Дашборд'!$C$53,"Мало трафика",IF(J2087&lt;'Дашборд'!$C$9*'Дашборд'!$C$54,"Да","Нет"))</x:f>
        <x:v>Мало трафика</x:v>
      </x:c>
      <x:c r="N2087" s="1" t="str">
        <x:f>IF(AND('Данные'!D2087&gt;='Дашборд'!$C$55,D2087&lt;'Дашборд'!$C$56,'Данные'!E2087&gt;='Дашборд'!$C$53,'Данные'!L2087&lt;&gt;"Да"),"Да","Нет")</x:f>
        <x:v>Нет</x:v>
      </x:c>
      <x:c r="O2087" s="1" t="str">
        <x:f>'Данные'!L2087</x:f>
        <x:v>Нет</x:v>
      </x:c>
    </x:row>
    <x:row r="2088">
      <x:c r="A2088" s="1" t="str">
        <x:f>'Данные'!A2088</x:f>
        <x:v>228407593</x:v>
      </x:c>
      <x:c r="B2088" s="1" t="str">
        <x:f>'Данные'!B2088</x:f>
        <x:v>futbolkaprint/CoffeeCup-145/белый</x:v>
      </x:c>
      <x:c r="C2088" s="8" t="n">
        <x:f>'Данные'!G2088</x:f>
        <x:v>0</x:v>
      </x:c>
      <x:c r="D2088" s="15" t="n">
        <x:f>C2088/SUM($C$5:$C$2477)</x:f>
        <x:v>0</x:v>
      </x:c>
      <x:c r="E2088" s="15" t="n">
        <x:f>SUM($D$5:D2088)</x:f>
        <x:v>1.0000000000000036</x:v>
      </x:c>
      <x:c r="F2088" s="1" t="str">
        <x:f>IF(C2088&lt;=0,"C",IF(E2088-D2088&lt;'Дашборд'!$C$49,"A",IF(E2088-D2088&lt;'Дашборд'!$C$50,"B","C")))</x:f>
        <x:v>C</x:v>
      </x:c>
      <x:c r="G2088" s="8" t="n">
        <x:f>'Данные'!F2088</x:f>
        <x:v>0</x:v>
      </x:c>
      <x:c r="H2088" s="8" t="n">
        <x:f>SUM('Данные'!H2088:I2088)</x:f>
        <x:v>0</x:v>
      </x:c>
      <x:c r="I2088" s="16" t="str">
        <x:f>IF(H2088&gt;0,G2088/H2088,"n.a.")</x:f>
        <x:v>n.a.</x:v>
      </x:c>
      <x:c r="J2088" s="10" t="n">
        <x:f>IF('Данные'!E2088&gt;0,G2088/'Данные'!E2088,"n.a.")</x:f>
        <x:v>0</x:v>
      </x:c>
      <x:c r="K2088" s="1" t="str">
        <x:f>IF(G2088&gt;='Дашборд'!$C$51,"X","Z")</x:f>
        <x:v>Z</x:v>
      </x:c>
      <x:c r="L2088" s="1" t="str">
        <x:f>IF(H2088=0,IF(G2088&gt;0,"Нет остатка","Нет спроса"),IF(I2088&gt;='Дашборд'!$C$52,"Быстрый","Медленный"))</x:f>
        <x:v>Нет спроса</x:v>
      </x:c>
      <x:c r="M2088" s="1" t="str">
        <x:f>IF('Данные'!E2088&lt;'Дашборд'!$C$53,"Мало трафика",IF(J2088&lt;'Дашборд'!$C$9*'Дашборд'!$C$54,"Да","Нет"))</x:f>
        <x:v>Мало трафика</x:v>
      </x:c>
      <x:c r="N2088" s="1" t="str">
        <x:f>IF(AND('Данные'!D2088&gt;='Дашборд'!$C$55,D2088&lt;'Дашборд'!$C$56,'Данные'!E2088&gt;='Дашборд'!$C$53,'Данные'!L2088&lt;&gt;"Да"),"Да","Нет")</x:f>
        <x:v>Нет</x:v>
      </x:c>
      <x:c r="O2088" s="1" t="str">
        <x:f>'Данные'!L2088</x:f>
        <x:v>Нет</x:v>
      </x:c>
    </x:row>
    <x:row r="2089">
      <x:c r="A2089" s="1" t="str">
        <x:f>'Данные'!A2089</x:f>
        <x:v>228407596</x:v>
      </x:c>
      <x:c r="B2089" s="1" t="str">
        <x:f>'Данные'!B2089</x:f>
        <x:v>futbolkaprint/TryNew-146/белый</x:v>
      </x:c>
      <x:c r="C2089" s="8" t="n">
        <x:f>'Данные'!G2089</x:f>
        <x:v>0</x:v>
      </x:c>
      <x:c r="D2089" s="15" t="n">
        <x:f>C2089/SUM($C$5:$C$2477)</x:f>
        <x:v>0</x:v>
      </x:c>
      <x:c r="E2089" s="15" t="n">
        <x:f>SUM($D$5:D2089)</x:f>
        <x:v>1.0000000000000036</x:v>
      </x:c>
      <x:c r="F2089" s="1" t="str">
        <x:f>IF(C2089&lt;=0,"C",IF(E2089-D2089&lt;'Дашборд'!$C$49,"A",IF(E2089-D2089&lt;'Дашборд'!$C$50,"B","C")))</x:f>
        <x:v>C</x:v>
      </x:c>
      <x:c r="G2089" s="8" t="n">
        <x:f>'Данные'!F2089</x:f>
        <x:v>0</x:v>
      </x:c>
      <x:c r="H2089" s="8" t="n">
        <x:f>SUM('Данные'!H2089:I2089)</x:f>
        <x:v>0</x:v>
      </x:c>
      <x:c r="I2089" s="16" t="str">
        <x:f>IF(H2089&gt;0,G2089/H2089,"n.a.")</x:f>
        <x:v>n.a.</x:v>
      </x:c>
      <x:c r="J2089" s="10" t="n">
        <x:f>IF('Данные'!E2089&gt;0,G2089/'Данные'!E2089,"n.a.")</x:f>
        <x:v>0</x:v>
      </x:c>
      <x:c r="K2089" s="1" t="str">
        <x:f>IF(G2089&gt;='Дашборд'!$C$51,"X","Z")</x:f>
        <x:v>Z</x:v>
      </x:c>
      <x:c r="L2089" s="1" t="str">
        <x:f>IF(H2089=0,IF(G2089&gt;0,"Нет остатка","Нет спроса"),IF(I2089&gt;='Дашборд'!$C$52,"Быстрый","Медленный"))</x:f>
        <x:v>Нет спроса</x:v>
      </x:c>
      <x:c r="M2089" s="1" t="str">
        <x:f>IF('Данные'!E2089&lt;'Дашборд'!$C$53,"Мало трафика",IF(J2089&lt;'Дашборд'!$C$9*'Дашборд'!$C$54,"Да","Нет"))</x:f>
        <x:v>Мало трафика</x:v>
      </x:c>
      <x:c r="N2089" s="1" t="str">
        <x:f>IF(AND('Данные'!D2089&gt;='Дашборд'!$C$55,D2089&lt;'Дашборд'!$C$56,'Данные'!E2089&gt;='Дашборд'!$C$53,'Данные'!L2089&lt;&gt;"Да"),"Да","Нет")</x:f>
        <x:v>Нет</x:v>
      </x:c>
      <x:c r="O2089" s="1" t="str">
        <x:f>'Данные'!L2089</x:f>
        <x:v>Нет</x:v>
      </x:c>
    </x:row>
    <x:row r="2090">
      <x:c r="A2090" s="1" t="str">
        <x:f>'Данные'!A2090</x:f>
        <x:v>228407597</x:v>
      </x:c>
      <x:c r="B2090" s="1" t="str">
        <x:f>'Данные'!B2090</x:f>
        <x:v>futbolkaprint/TryNew-146/голубой</x:v>
      </x:c>
      <x:c r="C2090" s="8" t="n">
        <x:f>'Данные'!G2090</x:f>
        <x:v>0</x:v>
      </x:c>
      <x:c r="D2090" s="15" t="n">
        <x:f>C2090/SUM($C$5:$C$2477)</x:f>
        <x:v>0</x:v>
      </x:c>
      <x:c r="E2090" s="15" t="n">
        <x:f>SUM($D$5:D2090)</x:f>
        <x:v>1.0000000000000036</x:v>
      </x:c>
      <x:c r="F2090" s="1" t="str">
        <x:f>IF(C2090&lt;=0,"C",IF(E2090-D2090&lt;'Дашборд'!$C$49,"A",IF(E2090-D2090&lt;'Дашборд'!$C$50,"B","C")))</x:f>
        <x:v>C</x:v>
      </x:c>
      <x:c r="G2090" s="8" t="n">
        <x:f>'Данные'!F2090</x:f>
        <x:v>0</x:v>
      </x:c>
      <x:c r="H2090" s="8" t="n">
        <x:f>SUM('Данные'!H2090:I2090)</x:f>
        <x:v>0</x:v>
      </x:c>
      <x:c r="I2090" s="16" t="str">
        <x:f>IF(H2090&gt;0,G2090/H2090,"n.a.")</x:f>
        <x:v>n.a.</x:v>
      </x:c>
      <x:c r="J2090" s="10" t="n">
        <x:f>IF('Данные'!E2090&gt;0,G2090/'Данные'!E2090,"n.a.")</x:f>
        <x:v>0</x:v>
      </x:c>
      <x:c r="K2090" s="1" t="str">
        <x:f>IF(G2090&gt;='Дашборд'!$C$51,"X","Z")</x:f>
        <x:v>Z</x:v>
      </x:c>
      <x:c r="L2090" s="1" t="str">
        <x:f>IF(H2090=0,IF(G2090&gt;0,"Нет остатка","Нет спроса"),IF(I2090&gt;='Дашборд'!$C$52,"Быстрый","Медленный"))</x:f>
        <x:v>Нет спроса</x:v>
      </x:c>
      <x:c r="M2090" s="1" t="str">
        <x:f>IF('Данные'!E2090&lt;'Дашборд'!$C$53,"Мало трафика",IF(J2090&lt;'Дашборд'!$C$9*'Дашборд'!$C$54,"Да","Нет"))</x:f>
        <x:v>Мало трафика</x:v>
      </x:c>
      <x:c r="N2090" s="1" t="str">
        <x:f>IF(AND('Данные'!D2090&gt;='Дашборд'!$C$55,D2090&lt;'Дашборд'!$C$56,'Данные'!E2090&gt;='Дашборд'!$C$53,'Данные'!L2090&lt;&gt;"Да"),"Да","Нет")</x:f>
        <x:v>Нет</x:v>
      </x:c>
      <x:c r="O2090" s="1" t="str">
        <x:f>'Данные'!L2090</x:f>
        <x:v>Нет</x:v>
      </x:c>
    </x:row>
    <x:row r="2091">
      <x:c r="A2091" s="1" t="str">
        <x:f>'Данные'!A2091</x:f>
        <x:v>228407598</x:v>
      </x:c>
      <x:c r="B2091" s="1" t="str">
        <x:f>'Данные'!B2091</x:f>
        <x:v>futbolkaprint/LastToast-142/белый</x:v>
      </x:c>
      <x:c r="C2091" s="8" t="n">
        <x:f>'Данные'!G2091</x:f>
        <x:v>0</x:v>
      </x:c>
      <x:c r="D2091" s="15" t="n">
        <x:f>C2091/SUM($C$5:$C$2477)</x:f>
        <x:v>0</x:v>
      </x:c>
      <x:c r="E2091" s="15" t="n">
        <x:f>SUM($D$5:D2091)</x:f>
        <x:v>1.0000000000000036</x:v>
      </x:c>
      <x:c r="F2091" s="1" t="str">
        <x:f>IF(C2091&lt;=0,"C",IF(E2091-D2091&lt;'Дашборд'!$C$49,"A",IF(E2091-D2091&lt;'Дашборд'!$C$50,"B","C")))</x:f>
        <x:v>C</x:v>
      </x:c>
      <x:c r="G2091" s="8" t="n">
        <x:f>'Данные'!F2091</x:f>
        <x:v>0</x:v>
      </x:c>
      <x:c r="H2091" s="8" t="n">
        <x:f>SUM('Данные'!H2091:I2091)</x:f>
        <x:v>0</x:v>
      </x:c>
      <x:c r="I2091" s="16" t="str">
        <x:f>IF(H2091&gt;0,G2091/H2091,"n.a.")</x:f>
        <x:v>n.a.</x:v>
      </x:c>
      <x:c r="J2091" s="10" t="n">
        <x:f>IF('Данные'!E2091&gt;0,G2091/'Данные'!E2091,"n.a.")</x:f>
        <x:v>0</x:v>
      </x:c>
      <x:c r="K2091" s="1" t="str">
        <x:f>IF(G2091&gt;='Дашборд'!$C$51,"X","Z")</x:f>
        <x:v>Z</x:v>
      </x:c>
      <x:c r="L2091" s="1" t="str">
        <x:f>IF(H2091=0,IF(G2091&gt;0,"Нет остатка","Нет спроса"),IF(I2091&gt;='Дашборд'!$C$52,"Быстрый","Медленный"))</x:f>
        <x:v>Нет спроса</x:v>
      </x:c>
      <x:c r="M2091" s="1" t="str">
        <x:f>IF('Данные'!E2091&lt;'Дашборд'!$C$53,"Мало трафика",IF(J2091&lt;'Дашборд'!$C$9*'Дашборд'!$C$54,"Да","Нет"))</x:f>
        <x:v>Мало трафика</x:v>
      </x:c>
      <x:c r="N2091" s="1" t="str">
        <x:f>IF(AND('Данные'!D2091&gt;='Дашборд'!$C$55,D2091&lt;'Дашборд'!$C$56,'Данные'!E2091&gt;='Дашборд'!$C$53,'Данные'!L2091&lt;&gt;"Да"),"Да","Нет")</x:f>
        <x:v>Нет</x:v>
      </x:c>
      <x:c r="O2091" s="1" t="str">
        <x:f>'Данные'!L2091</x:f>
        <x:v>Нет</x:v>
      </x:c>
    </x:row>
    <x:row r="2092">
      <x:c r="A2092" s="1" t="str">
        <x:f>'Данные'!A2092</x:f>
        <x:v>228460357</x:v>
      </x:c>
      <x:c r="B2092" s="1" t="str">
        <x:f>'Данные'!B2092</x:f>
        <x:v>kulirkamanprint/CLFSD-79/молочный-ясень белый</x:v>
      </x:c>
      <x:c r="C2092" s="8" t="n">
        <x:f>'Данные'!G2092</x:f>
        <x:v>0</x:v>
      </x:c>
      <x:c r="D2092" s="15" t="n">
        <x:f>C2092/SUM($C$5:$C$2477)</x:f>
        <x:v>0</x:v>
      </x:c>
      <x:c r="E2092" s="15" t="n">
        <x:f>SUM($D$5:D2092)</x:f>
        <x:v>1.0000000000000036</x:v>
      </x:c>
      <x:c r="F2092" s="1" t="str">
        <x:f>IF(C2092&lt;=0,"C",IF(E2092-D2092&lt;'Дашборд'!$C$49,"A",IF(E2092-D2092&lt;'Дашборд'!$C$50,"B","C")))</x:f>
        <x:v>C</x:v>
      </x:c>
      <x:c r="G2092" s="8" t="n">
        <x:f>'Данные'!F2092</x:f>
        <x:v>0</x:v>
      </x:c>
      <x:c r="H2092" s="8" t="n">
        <x:f>SUM('Данные'!H2092:I2092)</x:f>
        <x:v>0</x:v>
      </x:c>
      <x:c r="I2092" s="16" t="str">
        <x:f>IF(H2092&gt;0,G2092/H2092,"n.a.")</x:f>
        <x:v>n.a.</x:v>
      </x:c>
      <x:c r="J2092" s="10" t="n">
        <x:f>IF('Данные'!E2092&gt;0,G2092/'Данные'!E2092,"n.a.")</x:f>
        <x:v>0</x:v>
      </x:c>
      <x:c r="K2092" s="1" t="str">
        <x:f>IF(G2092&gt;='Дашборд'!$C$51,"X","Z")</x:f>
        <x:v>Z</x:v>
      </x:c>
      <x:c r="L2092" s="1" t="str">
        <x:f>IF(H2092=0,IF(G2092&gt;0,"Нет остатка","Нет спроса"),IF(I2092&gt;='Дашборд'!$C$52,"Быстрый","Медленный"))</x:f>
        <x:v>Нет спроса</x:v>
      </x:c>
      <x:c r="M2092" s="1" t="str">
        <x:f>IF('Данные'!E2092&lt;'Дашборд'!$C$53,"Мало трафика",IF(J2092&lt;'Дашборд'!$C$9*'Дашборд'!$C$54,"Да","Нет"))</x:f>
        <x:v>Мало трафика</x:v>
      </x:c>
      <x:c r="N2092" s="1" t="str">
        <x:f>IF(AND('Данные'!D2092&gt;='Дашборд'!$C$55,D2092&lt;'Дашборд'!$C$56,'Данные'!E2092&gt;='Дашборд'!$C$53,'Данные'!L2092&lt;&gt;"Да"),"Да","Нет")</x:f>
        <x:v>Нет</x:v>
      </x:c>
      <x:c r="O2092" s="1" t="str">
        <x:f>'Данные'!L2092</x:f>
        <x:v>Нет</x:v>
      </x:c>
    </x:row>
    <x:row r="2093">
      <x:c r="A2093" s="1" t="str">
        <x:f>'Данные'!A2093</x:f>
        <x:v>22897319</x:v>
      </x:c>
      <x:c r="B2093" s="1" t="str">
        <x:f>'Данные'!B2093</x:f>
        <x:v>futbolkaman/белый</x:v>
      </x:c>
      <x:c r="C2093" s="8" t="n">
        <x:f>'Данные'!G2093</x:f>
        <x:v>0</x:v>
      </x:c>
      <x:c r="D2093" s="15" t="n">
        <x:f>C2093/SUM($C$5:$C$2477)</x:f>
        <x:v>0</x:v>
      </x:c>
      <x:c r="E2093" s="15" t="n">
        <x:f>SUM($D$5:D2093)</x:f>
        <x:v>1.0000000000000036</x:v>
      </x:c>
      <x:c r="F2093" s="1" t="str">
        <x:f>IF(C2093&lt;=0,"C",IF(E2093-D2093&lt;'Дашборд'!$C$49,"A",IF(E2093-D2093&lt;'Дашборд'!$C$50,"B","C")))</x:f>
        <x:v>C</x:v>
      </x:c>
      <x:c r="G2093" s="8" t="n">
        <x:f>'Данные'!F2093</x:f>
        <x:v>0</x:v>
      </x:c>
      <x:c r="H2093" s="8" t="n">
        <x:f>SUM('Данные'!H2093:I2093)</x:f>
        <x:v>0</x:v>
      </x:c>
      <x:c r="I2093" s="16" t="str">
        <x:f>IF(H2093&gt;0,G2093/H2093,"n.a.")</x:f>
        <x:v>n.a.</x:v>
      </x:c>
      <x:c r="J2093" s="10" t="n">
        <x:f>IF('Данные'!E2093&gt;0,G2093/'Данные'!E2093,"n.a.")</x:f>
        <x:v>0</x:v>
      </x:c>
      <x:c r="K2093" s="1" t="str">
        <x:f>IF(G2093&gt;='Дашборд'!$C$51,"X","Z")</x:f>
        <x:v>Z</x:v>
      </x:c>
      <x:c r="L2093" s="1" t="str">
        <x:f>IF(H2093=0,IF(G2093&gt;0,"Нет остатка","Нет спроса"),IF(I2093&gt;='Дашборд'!$C$52,"Быстрый","Медленный"))</x:f>
        <x:v>Нет спроса</x:v>
      </x:c>
      <x:c r="M2093" s="1" t="str">
        <x:f>IF('Данные'!E2093&lt;'Дашборд'!$C$53,"Мало трафика",IF(J2093&lt;'Дашборд'!$C$9*'Дашборд'!$C$54,"Да","Нет"))</x:f>
        <x:v>Мало трафика</x:v>
      </x:c>
      <x:c r="N2093" s="1" t="str">
        <x:f>IF(AND('Данные'!D2093&gt;='Дашборд'!$C$55,D2093&lt;'Дашборд'!$C$56,'Данные'!E2093&gt;='Дашборд'!$C$53,'Данные'!L2093&lt;&gt;"Да"),"Да","Нет")</x:f>
        <x:v>Нет</x:v>
      </x:c>
      <x:c r="O2093" s="1" t="str">
        <x:f>'Данные'!L2093</x:f>
        <x:v>Нет</x:v>
      </x:c>
    </x:row>
    <x:row r="2094">
      <x:c r="A2094" s="1" t="str">
        <x:f>'Данные'!A2094</x:f>
        <x:v>229154433</x:v>
      </x:c>
      <x:c r="B2094" s="1" t="str">
        <x:f>'Данные'!B2094</x:f>
        <x:v>futbolkamanX3/чер-бел-шал</x:v>
      </x:c>
      <x:c r="C2094" s="8" t="n">
        <x:f>'Данные'!G2094</x:f>
        <x:v>0</x:v>
      </x:c>
      <x:c r="D2094" s="15" t="n">
        <x:f>C2094/SUM($C$5:$C$2477)</x:f>
        <x:v>0</x:v>
      </x:c>
      <x:c r="E2094" s="15" t="n">
        <x:f>SUM($D$5:D2094)</x:f>
        <x:v>1.0000000000000036</x:v>
      </x:c>
      <x:c r="F2094" s="1" t="str">
        <x:f>IF(C2094&lt;=0,"C",IF(E2094-D2094&lt;'Дашборд'!$C$49,"A",IF(E2094-D2094&lt;'Дашборд'!$C$50,"B","C")))</x:f>
        <x:v>C</x:v>
      </x:c>
      <x:c r="G2094" s="8" t="n">
        <x:f>'Данные'!F2094</x:f>
        <x:v>0</x:v>
      </x:c>
      <x:c r="H2094" s="8" t="n">
        <x:f>SUM('Данные'!H2094:I2094)</x:f>
        <x:v>0</x:v>
      </x:c>
      <x:c r="I2094" s="16" t="str">
        <x:f>IF(H2094&gt;0,G2094/H2094,"n.a.")</x:f>
        <x:v>n.a.</x:v>
      </x:c>
      <x:c r="J2094" s="10" t="n">
        <x:f>IF('Данные'!E2094&gt;0,G2094/'Данные'!E2094,"n.a.")</x:f>
        <x:v>0</x:v>
      </x:c>
      <x:c r="K2094" s="1" t="str">
        <x:f>IF(G2094&gt;='Дашборд'!$C$51,"X","Z")</x:f>
        <x:v>Z</x:v>
      </x:c>
      <x:c r="L2094" s="1" t="str">
        <x:f>IF(H2094=0,IF(G2094&gt;0,"Нет остатка","Нет спроса"),IF(I2094&gt;='Дашборд'!$C$52,"Быстрый","Медленный"))</x:f>
        <x:v>Нет спроса</x:v>
      </x:c>
      <x:c r="M2094" s="1" t="str">
        <x:f>IF('Данные'!E2094&lt;'Дашборд'!$C$53,"Мало трафика",IF(J2094&lt;'Дашборд'!$C$9*'Дашборд'!$C$54,"Да","Нет"))</x:f>
        <x:v>Да</x:v>
      </x:c>
      <x:c r="N2094" s="1" t="str">
        <x:f>IF(AND('Данные'!D2094&gt;='Дашборд'!$C$55,D2094&lt;'Дашборд'!$C$56,'Данные'!E2094&gt;='Дашборд'!$C$53,'Данные'!L2094&lt;&gt;"Да"),"Да","Нет")</x:f>
        <x:v>Нет</x:v>
      </x:c>
      <x:c r="O2094" s="1" t="str">
        <x:f>'Данные'!L2094</x:f>
        <x:v>Нет</x:v>
      </x:c>
    </x:row>
    <x:row r="2095">
      <x:c r="A2095" s="1" t="str">
        <x:f>'Данные'!A2095</x:f>
        <x:v>229154434</x:v>
      </x:c>
      <x:c r="B2095" s="1" t="str">
        <x:f>'Данные'!B2095</x:f>
        <x:v>futbolkamanoverX3/чер-бел-ден</x:v>
      </x:c>
      <x:c r="C2095" s="8" t="n">
        <x:f>'Данные'!G2095</x:f>
        <x:v>0</x:v>
      </x:c>
      <x:c r="D2095" s="15" t="n">
        <x:f>C2095/SUM($C$5:$C$2477)</x:f>
        <x:v>0</x:v>
      </x:c>
      <x:c r="E2095" s="15" t="n">
        <x:f>SUM($D$5:D2095)</x:f>
        <x:v>1.0000000000000036</x:v>
      </x:c>
      <x:c r="F2095" s="1" t="str">
        <x:f>IF(C2095&lt;=0,"C",IF(E2095-D2095&lt;'Дашборд'!$C$49,"A",IF(E2095-D2095&lt;'Дашборд'!$C$50,"B","C")))</x:f>
        <x:v>C</x:v>
      </x:c>
      <x:c r="G2095" s="8" t="n">
        <x:f>'Данные'!F2095</x:f>
        <x:v>0</x:v>
      </x:c>
      <x:c r="H2095" s="8" t="n">
        <x:f>SUM('Данные'!H2095:I2095)</x:f>
        <x:v>0</x:v>
      </x:c>
      <x:c r="I2095" s="16" t="str">
        <x:f>IF(H2095&gt;0,G2095/H2095,"n.a.")</x:f>
        <x:v>n.a.</x:v>
      </x:c>
      <x:c r="J2095" s="10" t="n">
        <x:f>IF('Данные'!E2095&gt;0,G2095/'Данные'!E2095,"n.a.")</x:f>
        <x:v>0</x:v>
      </x:c>
      <x:c r="K2095" s="1" t="str">
        <x:f>IF(G2095&gt;='Дашборд'!$C$51,"X","Z")</x:f>
        <x:v>Z</x:v>
      </x:c>
      <x:c r="L2095" s="1" t="str">
        <x:f>IF(H2095=0,IF(G2095&gt;0,"Нет остатка","Нет спроса"),IF(I2095&gt;='Дашборд'!$C$52,"Быстрый","Медленный"))</x:f>
        <x:v>Нет спроса</x:v>
      </x:c>
      <x:c r="M2095" s="1" t="str">
        <x:f>IF('Данные'!E2095&lt;'Дашборд'!$C$53,"Мало трафика",IF(J2095&lt;'Дашборд'!$C$9*'Дашборд'!$C$54,"Да","Нет"))</x:f>
        <x:v>Да</x:v>
      </x:c>
      <x:c r="N2095" s="1" t="str">
        <x:f>IF(AND('Данные'!D2095&gt;='Дашборд'!$C$55,D2095&lt;'Дашборд'!$C$56,'Данные'!E2095&gt;='Дашборд'!$C$53,'Данные'!L2095&lt;&gt;"Да"),"Да","Нет")</x:f>
        <x:v>Нет</x:v>
      </x:c>
      <x:c r="O2095" s="1" t="str">
        <x:f>'Данные'!L2095</x:f>
        <x:v>Нет</x:v>
      </x:c>
    </x:row>
    <x:row r="2096">
      <x:c r="A2096" s="1" t="str">
        <x:f>'Данные'!A2096</x:f>
        <x:v>229166780</x:v>
      </x:c>
      <x:c r="B2096" s="1" t="str">
        <x:f>'Данные'!B2096</x:f>
        <x:v>futbolkaprint/MILK-118/милка</x:v>
      </x:c>
      <x:c r="C2096" s="8" t="n">
        <x:f>'Данные'!G2096</x:f>
        <x:v>0</x:v>
      </x:c>
      <x:c r="D2096" s="15" t="n">
        <x:f>C2096/SUM($C$5:$C$2477)</x:f>
        <x:v>0</x:v>
      </x:c>
      <x:c r="E2096" s="15" t="n">
        <x:f>SUM($D$5:D2096)</x:f>
        <x:v>1.0000000000000036</x:v>
      </x:c>
      <x:c r="F2096" s="1" t="str">
        <x:f>IF(C2096&lt;=0,"C",IF(E2096-D2096&lt;'Дашборд'!$C$49,"A",IF(E2096-D2096&lt;'Дашборд'!$C$50,"B","C")))</x:f>
        <x:v>C</x:v>
      </x:c>
      <x:c r="G2096" s="8" t="n">
        <x:f>'Данные'!F2096</x:f>
        <x:v>0</x:v>
      </x:c>
      <x:c r="H2096" s="8" t="n">
        <x:f>SUM('Данные'!H2096:I2096)</x:f>
        <x:v>0</x:v>
      </x:c>
      <x:c r="I2096" s="16" t="str">
        <x:f>IF(H2096&gt;0,G2096/H2096,"n.a.")</x:f>
        <x:v>n.a.</x:v>
      </x:c>
      <x:c r="J2096" s="10" t="n">
        <x:f>IF('Данные'!E2096&gt;0,G2096/'Данные'!E2096,"n.a.")</x:f>
        <x:v>0</x:v>
      </x:c>
      <x:c r="K2096" s="1" t="str">
        <x:f>IF(G2096&gt;='Дашборд'!$C$51,"X","Z")</x:f>
        <x:v>Z</x:v>
      </x:c>
      <x:c r="L2096" s="1" t="str">
        <x:f>IF(H2096=0,IF(G2096&gt;0,"Нет остатка","Нет спроса"),IF(I2096&gt;='Дашборд'!$C$52,"Быстрый","Медленный"))</x:f>
        <x:v>Нет спроса</x:v>
      </x:c>
      <x:c r="M2096" s="1" t="str">
        <x:f>IF('Данные'!E2096&lt;'Дашборд'!$C$53,"Мало трафика",IF(J2096&lt;'Дашборд'!$C$9*'Дашборд'!$C$54,"Да","Нет"))</x:f>
        <x:v>Мало трафика</x:v>
      </x:c>
      <x:c r="N2096" s="1" t="str">
        <x:f>IF(AND('Данные'!D2096&gt;='Дашборд'!$C$55,D2096&lt;'Дашборд'!$C$56,'Данные'!E2096&gt;='Дашборд'!$C$53,'Данные'!L2096&lt;&gt;"Да"),"Да","Нет")</x:f>
        <x:v>Нет</x:v>
      </x:c>
      <x:c r="O2096" s="1" t="str">
        <x:f>'Данные'!L2096</x:f>
        <x:v>Нет</x:v>
      </x:c>
    </x:row>
    <x:row r="2097">
      <x:c r="A2097" s="1" t="str">
        <x:f>'Данные'!A2097</x:f>
        <x:v>229166799</x:v>
      </x:c>
      <x:c r="B2097" s="1" t="str">
        <x:f>'Данные'!B2097</x:f>
        <x:v>baza/милка</x:v>
      </x:c>
      <x:c r="C2097" s="8" t="n">
        <x:f>'Данные'!G2097</x:f>
        <x:v>0</x:v>
      </x:c>
      <x:c r="D2097" s="15" t="n">
        <x:f>C2097/SUM($C$5:$C$2477)</x:f>
        <x:v>0</x:v>
      </x:c>
      <x:c r="E2097" s="15" t="n">
        <x:f>SUM($D$5:D2097)</x:f>
        <x:v>1.0000000000000036</x:v>
      </x:c>
      <x:c r="F2097" s="1" t="str">
        <x:f>IF(C2097&lt;=0,"C",IF(E2097-D2097&lt;'Дашборд'!$C$49,"A",IF(E2097-D2097&lt;'Дашборд'!$C$50,"B","C")))</x:f>
        <x:v>C</x:v>
      </x:c>
      <x:c r="G2097" s="8" t="n">
        <x:f>'Данные'!F2097</x:f>
        <x:v>0</x:v>
      </x:c>
      <x:c r="H2097" s="8" t="n">
        <x:f>SUM('Данные'!H2097:I2097)</x:f>
        <x:v>0</x:v>
      </x:c>
      <x:c r="I2097" s="16" t="str">
        <x:f>IF(H2097&gt;0,G2097/H2097,"n.a.")</x:f>
        <x:v>n.a.</x:v>
      </x:c>
      <x:c r="J2097" s="10" t="n">
        <x:f>IF('Данные'!E2097&gt;0,G2097/'Данные'!E2097,"n.a.")</x:f>
        <x:v>0</x:v>
      </x:c>
      <x:c r="K2097" s="1" t="str">
        <x:f>IF(G2097&gt;='Дашборд'!$C$51,"X","Z")</x:f>
        <x:v>Z</x:v>
      </x:c>
      <x:c r="L2097" s="1" t="str">
        <x:f>IF(H2097=0,IF(G2097&gt;0,"Нет остатка","Нет спроса"),IF(I2097&gt;='Дашборд'!$C$52,"Быстрый","Медленный"))</x:f>
        <x:v>Нет спроса</x:v>
      </x:c>
      <x:c r="M2097" s="1" t="str">
        <x:f>IF('Данные'!E2097&lt;'Дашборд'!$C$53,"Мало трафика",IF(J2097&lt;'Дашборд'!$C$9*'Дашборд'!$C$54,"Да","Нет"))</x:f>
        <x:v>Да</x:v>
      </x:c>
      <x:c r="N2097" s="1" t="str">
        <x:f>IF(AND('Данные'!D2097&gt;='Дашборд'!$C$55,D2097&lt;'Дашборд'!$C$56,'Данные'!E2097&gt;='Дашборд'!$C$53,'Данные'!L2097&lt;&gt;"Да"),"Да","Нет")</x:f>
        <x:v>Нет</x:v>
      </x:c>
      <x:c r="O2097" s="1" t="str">
        <x:f>'Данные'!L2097</x:f>
        <x:v>Нет</x:v>
      </x:c>
    </x:row>
    <x:row r="2098">
      <x:c r="A2098" s="1" t="str">
        <x:f>'Данные'!A2098</x:f>
        <x:v>229493092</x:v>
      </x:c>
      <x:c r="B2098" s="1" t="str">
        <x:f>'Данные'!B2098</x:f>
        <x:v>futbolkaoverX3/чер-роз-тсер</x:v>
      </x:c>
      <x:c r="C2098" s="8" t="n">
        <x:f>'Данные'!G2098</x:f>
        <x:v>0</x:v>
      </x:c>
      <x:c r="D2098" s="15" t="n">
        <x:f>C2098/SUM($C$5:$C$2477)</x:f>
        <x:v>0</x:v>
      </x:c>
      <x:c r="E2098" s="15" t="n">
        <x:f>SUM($D$5:D2098)</x:f>
        <x:v>1.0000000000000036</x:v>
      </x:c>
      <x:c r="F2098" s="1" t="str">
        <x:f>IF(C2098&lt;=0,"C",IF(E2098-D2098&lt;'Дашборд'!$C$49,"A",IF(E2098-D2098&lt;'Дашборд'!$C$50,"B","C")))</x:f>
        <x:v>C</x:v>
      </x:c>
      <x:c r="G2098" s="8" t="n">
        <x:f>'Данные'!F2098</x:f>
        <x:v>0</x:v>
      </x:c>
      <x:c r="H2098" s="8" t="n">
        <x:f>SUM('Данные'!H2098:I2098)</x:f>
        <x:v>0</x:v>
      </x:c>
      <x:c r="I2098" s="16" t="str">
        <x:f>IF(H2098&gt;0,G2098/H2098,"n.a.")</x:f>
        <x:v>n.a.</x:v>
      </x:c>
      <x:c r="J2098" s="10" t="n">
        <x:f>IF('Данные'!E2098&gt;0,G2098/'Данные'!E2098,"n.a.")</x:f>
        <x:v>0</x:v>
      </x:c>
      <x:c r="K2098" s="1" t="str">
        <x:f>IF(G2098&gt;='Дашборд'!$C$51,"X","Z")</x:f>
        <x:v>Z</x:v>
      </x:c>
      <x:c r="L2098" s="1" t="str">
        <x:f>IF(H2098=0,IF(G2098&gt;0,"Нет остатка","Нет спроса"),IF(I2098&gt;='Дашборд'!$C$52,"Быстрый","Медленный"))</x:f>
        <x:v>Нет спроса</x:v>
      </x:c>
      <x:c r="M2098" s="1" t="str">
        <x:f>IF('Данные'!E2098&lt;'Дашборд'!$C$53,"Мало трафика",IF(J2098&lt;'Дашборд'!$C$9*'Дашборд'!$C$54,"Да","Нет"))</x:f>
        <x:v>Мало трафика</x:v>
      </x:c>
      <x:c r="N2098" s="1" t="str">
        <x:f>IF(AND('Данные'!D2098&gt;='Дашборд'!$C$55,D2098&lt;'Дашборд'!$C$56,'Данные'!E2098&gt;='Дашборд'!$C$53,'Данные'!L2098&lt;&gt;"Да"),"Да","Нет")</x:f>
        <x:v>Нет</x:v>
      </x:c>
      <x:c r="O2098" s="1" t="str">
        <x:f>'Данные'!L2098</x:f>
        <x:v>Нет</x:v>
      </x:c>
    </x:row>
    <x:row r="2099">
      <x:c r="A2099" s="1" t="str">
        <x:f>'Данные'!A2099</x:f>
        <x:v>229493093</x:v>
      </x:c>
      <x:c r="B2099" s="1" t="str">
        <x:f>'Данные'!B2099</x:f>
        <x:v>futbolkaoverX3/чер-бел-как</x:v>
      </x:c>
      <x:c r="C2099" s="8" t="n">
        <x:f>'Данные'!G2099</x:f>
        <x:v>0</x:v>
      </x:c>
      <x:c r="D2099" s="15" t="n">
        <x:f>C2099/SUM($C$5:$C$2477)</x:f>
        <x:v>0</x:v>
      </x:c>
      <x:c r="E2099" s="15" t="n">
        <x:f>SUM($D$5:D2099)</x:f>
        <x:v>1.0000000000000036</x:v>
      </x:c>
      <x:c r="F2099" s="1" t="str">
        <x:f>IF(C2099&lt;=0,"C",IF(E2099-D2099&lt;'Дашборд'!$C$49,"A",IF(E2099-D2099&lt;'Дашборд'!$C$50,"B","C")))</x:f>
        <x:v>C</x:v>
      </x:c>
      <x:c r="G2099" s="8" t="n">
        <x:f>'Данные'!F2099</x:f>
        <x:v>0</x:v>
      </x:c>
      <x:c r="H2099" s="8" t="n">
        <x:f>SUM('Данные'!H2099:I2099)</x:f>
        <x:v>0</x:v>
      </x:c>
      <x:c r="I2099" s="16" t="str">
        <x:f>IF(H2099&gt;0,G2099/H2099,"n.a.")</x:f>
        <x:v>n.a.</x:v>
      </x:c>
      <x:c r="J2099" s="10" t="n">
        <x:f>IF('Данные'!E2099&gt;0,G2099/'Данные'!E2099,"n.a.")</x:f>
        <x:v>0</x:v>
      </x:c>
      <x:c r="K2099" s="1" t="str">
        <x:f>IF(G2099&gt;='Дашборд'!$C$51,"X","Z")</x:f>
        <x:v>Z</x:v>
      </x:c>
      <x:c r="L2099" s="1" t="str">
        <x:f>IF(H2099=0,IF(G2099&gt;0,"Нет остатка","Нет спроса"),IF(I2099&gt;='Дашборд'!$C$52,"Быстрый","Медленный"))</x:f>
        <x:v>Нет спроса</x:v>
      </x:c>
      <x:c r="M2099" s="1" t="str">
        <x:f>IF('Данные'!E2099&lt;'Дашборд'!$C$53,"Мало трафика",IF(J2099&lt;'Дашборд'!$C$9*'Дашборд'!$C$54,"Да","Нет"))</x:f>
        <x:v>Мало трафика</x:v>
      </x:c>
      <x:c r="N2099" s="1" t="str">
        <x:f>IF(AND('Данные'!D2099&gt;='Дашборд'!$C$55,D2099&lt;'Дашборд'!$C$56,'Данные'!E2099&gt;='Дашборд'!$C$53,'Данные'!L2099&lt;&gt;"Да"),"Да","Нет")</x:f>
        <x:v>Нет</x:v>
      </x:c>
      <x:c r="O2099" s="1" t="str">
        <x:f>'Данные'!L2099</x:f>
        <x:v>Нет</x:v>
      </x:c>
    </x:row>
    <x:row r="2100">
      <x:c r="A2100" s="1" t="str">
        <x:f>'Данные'!A2100</x:f>
        <x:v>229493095</x:v>
      </x:c>
      <x:c r="B2100" s="1" t="str">
        <x:f>'Данные'!B2100</x:f>
        <x:v>futbolkaoverX3/чер-бел-тсер</x:v>
      </x:c>
      <x:c r="C2100" s="8" t="n">
        <x:f>'Данные'!G2100</x:f>
        <x:v>0</x:v>
      </x:c>
      <x:c r="D2100" s="15" t="n">
        <x:f>C2100/SUM($C$5:$C$2477)</x:f>
        <x:v>0</x:v>
      </x:c>
      <x:c r="E2100" s="15" t="n">
        <x:f>SUM($D$5:D2100)</x:f>
        <x:v>1.0000000000000036</x:v>
      </x:c>
      <x:c r="F2100" s="1" t="str">
        <x:f>IF(C2100&lt;=0,"C",IF(E2100-D2100&lt;'Дашборд'!$C$49,"A",IF(E2100-D2100&lt;'Дашборд'!$C$50,"B","C")))</x:f>
        <x:v>C</x:v>
      </x:c>
      <x:c r="G2100" s="8" t="n">
        <x:f>'Данные'!F2100</x:f>
        <x:v>0</x:v>
      </x:c>
      <x:c r="H2100" s="8" t="n">
        <x:f>SUM('Данные'!H2100:I2100)</x:f>
        <x:v>0</x:v>
      </x:c>
      <x:c r="I2100" s="16" t="str">
        <x:f>IF(H2100&gt;0,G2100/H2100,"n.a.")</x:f>
        <x:v>n.a.</x:v>
      </x:c>
      <x:c r="J2100" s="10" t="n">
        <x:f>IF('Данные'!E2100&gt;0,G2100/'Данные'!E2100,"n.a.")</x:f>
        <x:v>0</x:v>
      </x:c>
      <x:c r="K2100" s="1" t="str">
        <x:f>IF(G2100&gt;='Дашборд'!$C$51,"X","Z")</x:f>
        <x:v>Z</x:v>
      </x:c>
      <x:c r="L2100" s="1" t="str">
        <x:f>IF(H2100=0,IF(G2100&gt;0,"Нет остатка","Нет спроса"),IF(I2100&gt;='Дашборд'!$C$52,"Быстрый","Медленный"))</x:f>
        <x:v>Нет спроса</x:v>
      </x:c>
      <x:c r="M2100" s="1" t="str">
        <x:f>IF('Данные'!E2100&lt;'Дашборд'!$C$53,"Мало трафика",IF(J2100&lt;'Дашборд'!$C$9*'Дашборд'!$C$54,"Да","Нет"))</x:f>
        <x:v>Мало трафика</x:v>
      </x:c>
      <x:c r="N2100" s="1" t="str">
        <x:f>IF(AND('Данные'!D2100&gt;='Дашборд'!$C$55,D2100&lt;'Дашборд'!$C$56,'Данные'!E2100&gt;='Дашборд'!$C$53,'Данные'!L2100&lt;&gt;"Да"),"Да","Нет")</x:f>
        <x:v>Нет</x:v>
      </x:c>
      <x:c r="O2100" s="1" t="str">
        <x:f>'Данные'!L2100</x:f>
        <x:v>Нет</x:v>
      </x:c>
    </x:row>
    <x:row r="2101">
      <x:c r="A2101" s="1" t="str">
        <x:f>'Данные'!A2101</x:f>
        <x:v>229493096</x:v>
      </x:c>
      <x:c r="B2101" s="1" t="str">
        <x:f>'Данные'!B2101</x:f>
        <x:v>futbolkaoverX3/чер-как-тсер</x:v>
      </x:c>
      <x:c r="C2101" s="8" t="n">
        <x:f>'Данные'!G2101</x:f>
        <x:v>0</x:v>
      </x:c>
      <x:c r="D2101" s="15" t="n">
        <x:f>C2101/SUM($C$5:$C$2477)</x:f>
        <x:v>0</x:v>
      </x:c>
      <x:c r="E2101" s="15" t="n">
        <x:f>SUM($D$5:D2101)</x:f>
        <x:v>1.0000000000000036</x:v>
      </x:c>
      <x:c r="F2101" s="1" t="str">
        <x:f>IF(C2101&lt;=0,"C",IF(E2101-D2101&lt;'Дашборд'!$C$49,"A",IF(E2101-D2101&lt;'Дашборд'!$C$50,"B","C")))</x:f>
        <x:v>C</x:v>
      </x:c>
      <x:c r="G2101" s="8" t="n">
        <x:f>'Данные'!F2101</x:f>
        <x:v>0</x:v>
      </x:c>
      <x:c r="H2101" s="8" t="n">
        <x:f>SUM('Данные'!H2101:I2101)</x:f>
        <x:v>0</x:v>
      </x:c>
      <x:c r="I2101" s="16" t="str">
        <x:f>IF(H2101&gt;0,G2101/H2101,"n.a.")</x:f>
        <x:v>n.a.</x:v>
      </x:c>
      <x:c r="J2101" s="10" t="n">
        <x:f>IF('Данные'!E2101&gt;0,G2101/'Данные'!E2101,"n.a.")</x:f>
        <x:v>0</x:v>
      </x:c>
      <x:c r="K2101" s="1" t="str">
        <x:f>IF(G2101&gt;='Дашборд'!$C$51,"X","Z")</x:f>
        <x:v>Z</x:v>
      </x:c>
      <x:c r="L2101" s="1" t="str">
        <x:f>IF(H2101=0,IF(G2101&gt;0,"Нет остатка","Нет спроса"),IF(I2101&gt;='Дашборд'!$C$52,"Быстрый","Медленный"))</x:f>
        <x:v>Нет спроса</x:v>
      </x:c>
      <x:c r="M2101" s="1" t="str">
        <x:f>IF('Данные'!E2101&lt;'Дашборд'!$C$53,"Мало трафика",IF(J2101&lt;'Дашборд'!$C$9*'Дашборд'!$C$54,"Да","Нет"))</x:f>
        <x:v>Мало трафика</x:v>
      </x:c>
      <x:c r="N2101" s="1" t="str">
        <x:f>IF(AND('Данные'!D2101&gt;='Дашборд'!$C$55,D2101&lt;'Дашборд'!$C$56,'Данные'!E2101&gt;='Дашборд'!$C$53,'Данные'!L2101&lt;&gt;"Да"),"Да","Нет")</x:f>
        <x:v>Нет</x:v>
      </x:c>
      <x:c r="O2101" s="1" t="str">
        <x:f>'Данные'!L2101</x:f>
        <x:v>Нет</x:v>
      </x:c>
    </x:row>
    <x:row r="2102">
      <x:c r="A2102" s="1" t="str">
        <x:f>'Данные'!A2102</x:f>
        <x:v>229653008</x:v>
      </x:c>
      <x:c r="B2102" s="1" t="str">
        <x:f>'Данные'!B2102</x:f>
        <x:v>kostumboy/морскаяволна</x:v>
      </x:c>
      <x:c r="C2102" s="8" t="n">
        <x:f>'Данные'!G2102</x:f>
        <x:v>0</x:v>
      </x:c>
      <x:c r="D2102" s="15" t="n">
        <x:f>C2102/SUM($C$5:$C$2477)</x:f>
        <x:v>0</x:v>
      </x:c>
      <x:c r="E2102" s="15" t="n">
        <x:f>SUM($D$5:D2102)</x:f>
        <x:v>1.0000000000000036</x:v>
      </x:c>
      <x:c r="F2102" s="1" t="str">
        <x:f>IF(C2102&lt;=0,"C",IF(E2102-D2102&lt;'Дашборд'!$C$49,"A",IF(E2102-D2102&lt;'Дашборд'!$C$50,"B","C")))</x:f>
        <x:v>C</x:v>
      </x:c>
      <x:c r="G2102" s="8" t="n">
        <x:f>'Данные'!F2102</x:f>
        <x:v>0</x:v>
      </x:c>
      <x:c r="H2102" s="8" t="n">
        <x:f>SUM('Данные'!H2102:I2102)</x:f>
        <x:v>0</x:v>
      </x:c>
      <x:c r="I2102" s="16" t="str">
        <x:f>IF(H2102&gt;0,G2102/H2102,"n.a.")</x:f>
        <x:v>n.a.</x:v>
      </x:c>
      <x:c r="J2102" s="10" t="n">
        <x:f>IF('Данные'!E2102&gt;0,G2102/'Данные'!E2102,"n.a.")</x:f>
        <x:v>0</x:v>
      </x:c>
      <x:c r="K2102" s="1" t="str">
        <x:f>IF(G2102&gt;='Дашборд'!$C$51,"X","Z")</x:f>
        <x:v>Z</x:v>
      </x:c>
      <x:c r="L2102" s="1" t="str">
        <x:f>IF(H2102=0,IF(G2102&gt;0,"Нет остатка","Нет спроса"),IF(I2102&gt;='Дашборд'!$C$52,"Быстрый","Медленный"))</x:f>
        <x:v>Нет спроса</x:v>
      </x:c>
      <x:c r="M2102" s="1" t="str">
        <x:f>IF('Данные'!E2102&lt;'Дашборд'!$C$53,"Мало трафика",IF(J2102&lt;'Дашборд'!$C$9*'Дашборд'!$C$54,"Да","Нет"))</x:f>
        <x:v>Мало трафика</x:v>
      </x:c>
      <x:c r="N2102" s="1" t="str">
        <x:f>IF(AND('Данные'!D2102&gt;='Дашборд'!$C$55,D2102&lt;'Дашборд'!$C$56,'Данные'!E2102&gt;='Дашборд'!$C$53,'Данные'!L2102&lt;&gt;"Да"),"Да","Нет")</x:f>
        <x:v>Нет</x:v>
      </x:c>
      <x:c r="O2102" s="1" t="str">
        <x:f>'Данные'!L2102</x:f>
        <x:v>Нет</x:v>
      </x:c>
    </x:row>
    <x:row r="2103">
      <x:c r="A2103" s="1" t="str">
        <x:f>'Данные'!A2103</x:f>
        <x:v>229653009</x:v>
      </x:c>
      <x:c r="B2103" s="1" t="str">
        <x:f>'Данные'!B2103</x:f>
        <x:v>kostumboy/темно-серый</x:v>
      </x:c>
      <x:c r="C2103" s="8" t="n">
        <x:f>'Данные'!G2103</x:f>
        <x:v>0</x:v>
      </x:c>
      <x:c r="D2103" s="15" t="n">
        <x:f>C2103/SUM($C$5:$C$2477)</x:f>
        <x:v>0</x:v>
      </x:c>
      <x:c r="E2103" s="15" t="n">
        <x:f>SUM($D$5:D2103)</x:f>
        <x:v>1.0000000000000036</x:v>
      </x:c>
      <x:c r="F2103" s="1" t="str">
        <x:f>IF(C2103&lt;=0,"C",IF(E2103-D2103&lt;'Дашборд'!$C$49,"A",IF(E2103-D2103&lt;'Дашборд'!$C$50,"B","C")))</x:f>
        <x:v>C</x:v>
      </x:c>
      <x:c r="G2103" s="8" t="n">
        <x:f>'Данные'!F2103</x:f>
        <x:v>0</x:v>
      </x:c>
      <x:c r="H2103" s="8" t="n">
        <x:f>SUM('Данные'!H2103:I2103)</x:f>
        <x:v>0</x:v>
      </x:c>
      <x:c r="I2103" s="16" t="str">
        <x:f>IF(H2103&gt;0,G2103/H2103,"n.a.")</x:f>
        <x:v>n.a.</x:v>
      </x:c>
      <x:c r="J2103" s="10" t="n">
        <x:f>IF('Данные'!E2103&gt;0,G2103/'Данные'!E2103,"n.a.")</x:f>
        <x:v>0</x:v>
      </x:c>
      <x:c r="K2103" s="1" t="str">
        <x:f>IF(G2103&gt;='Дашборд'!$C$51,"X","Z")</x:f>
        <x:v>Z</x:v>
      </x:c>
      <x:c r="L2103" s="1" t="str">
        <x:f>IF(H2103=0,IF(G2103&gt;0,"Нет остатка","Нет спроса"),IF(I2103&gt;='Дашборд'!$C$52,"Быстрый","Медленный"))</x:f>
        <x:v>Нет спроса</x:v>
      </x:c>
      <x:c r="M2103" s="1" t="str">
        <x:f>IF('Данные'!E2103&lt;'Дашборд'!$C$53,"Мало трафика",IF(J2103&lt;'Дашборд'!$C$9*'Дашборд'!$C$54,"Да","Нет"))</x:f>
        <x:v>Мало трафика</x:v>
      </x:c>
      <x:c r="N2103" s="1" t="str">
        <x:f>IF(AND('Данные'!D2103&gt;='Дашборд'!$C$55,D2103&lt;'Дашборд'!$C$56,'Данные'!E2103&gt;='Дашборд'!$C$53,'Данные'!L2103&lt;&gt;"Да"),"Да","Нет")</x:f>
        <x:v>Нет</x:v>
      </x:c>
      <x:c r="O2103" s="1" t="str">
        <x:f>'Данные'!L2103</x:f>
        <x:v>Нет</x:v>
      </x:c>
    </x:row>
    <x:row r="2104">
      <x:c r="A2104" s="1" t="str">
        <x:f>'Данные'!A2104</x:f>
        <x:v>229787651</x:v>
      </x:c>
      <x:c r="B2104" s="1" t="str">
        <x:f>'Данные'!B2104</x:f>
        <x:v>futbolkaprint/Sorrento-149/белый</x:v>
      </x:c>
      <x:c r="C2104" s="8" t="n">
        <x:f>'Данные'!G2104</x:f>
        <x:v>0</x:v>
      </x:c>
      <x:c r="D2104" s="15" t="n">
        <x:f>C2104/SUM($C$5:$C$2477)</x:f>
        <x:v>0</x:v>
      </x:c>
      <x:c r="E2104" s="15" t="n">
        <x:f>SUM($D$5:D2104)</x:f>
        <x:v>1.0000000000000036</x:v>
      </x:c>
      <x:c r="F2104" s="1" t="str">
        <x:f>IF(C2104&lt;=0,"C",IF(E2104-D2104&lt;'Дашборд'!$C$49,"A",IF(E2104-D2104&lt;'Дашборд'!$C$50,"B","C")))</x:f>
        <x:v>C</x:v>
      </x:c>
      <x:c r="G2104" s="8" t="n">
        <x:f>'Данные'!F2104</x:f>
        <x:v>0</x:v>
      </x:c>
      <x:c r="H2104" s="8" t="n">
        <x:f>SUM('Данные'!H2104:I2104)</x:f>
        <x:v>0</x:v>
      </x:c>
      <x:c r="I2104" s="16" t="str">
        <x:f>IF(H2104&gt;0,G2104/H2104,"n.a.")</x:f>
        <x:v>n.a.</x:v>
      </x:c>
      <x:c r="J2104" s="10" t="n">
        <x:f>IF('Данные'!E2104&gt;0,G2104/'Данные'!E2104,"n.a.")</x:f>
        <x:v>0</x:v>
      </x:c>
      <x:c r="K2104" s="1" t="str">
        <x:f>IF(G2104&gt;='Дашборд'!$C$51,"X","Z")</x:f>
        <x:v>Z</x:v>
      </x:c>
      <x:c r="L2104" s="1" t="str">
        <x:f>IF(H2104=0,IF(G2104&gt;0,"Нет остатка","Нет спроса"),IF(I2104&gt;='Дашборд'!$C$52,"Быстрый","Медленный"))</x:f>
        <x:v>Нет спроса</x:v>
      </x:c>
      <x:c r="M2104" s="1" t="str">
        <x:f>IF('Данные'!E2104&lt;'Дашборд'!$C$53,"Мало трафика",IF(J2104&lt;'Дашборд'!$C$9*'Дашборд'!$C$54,"Да","Нет"))</x:f>
        <x:v>Мало трафика</x:v>
      </x:c>
      <x:c r="N2104" s="1" t="str">
        <x:f>IF(AND('Данные'!D2104&gt;='Дашборд'!$C$55,D2104&lt;'Дашборд'!$C$56,'Данные'!E2104&gt;='Дашборд'!$C$53,'Данные'!L2104&lt;&gt;"Да"),"Да","Нет")</x:f>
        <x:v>Нет</x:v>
      </x:c>
      <x:c r="O2104" s="1" t="str">
        <x:f>'Данные'!L2104</x:f>
        <x:v>Нет</x:v>
      </x:c>
    </x:row>
    <x:row r="2105">
      <x:c r="A2105" s="1" t="str">
        <x:f>'Данные'!A2105</x:f>
        <x:v>229787653</x:v>
      </x:c>
      <x:c r="B2105" s="1" t="str">
        <x:f>'Данные'!B2105</x:f>
        <x:v>futbolkaprint/Mos-150/молочный</x:v>
      </x:c>
      <x:c r="C2105" s="8" t="n">
        <x:f>'Данные'!G2105</x:f>
        <x:v>0</x:v>
      </x:c>
      <x:c r="D2105" s="15" t="n">
        <x:f>C2105/SUM($C$5:$C$2477)</x:f>
        <x:v>0</x:v>
      </x:c>
      <x:c r="E2105" s="15" t="n">
        <x:f>SUM($D$5:D2105)</x:f>
        <x:v>1.0000000000000036</x:v>
      </x:c>
      <x:c r="F2105" s="1" t="str">
        <x:f>IF(C2105&lt;=0,"C",IF(E2105-D2105&lt;'Дашборд'!$C$49,"A",IF(E2105-D2105&lt;'Дашборд'!$C$50,"B","C")))</x:f>
        <x:v>C</x:v>
      </x:c>
      <x:c r="G2105" s="8" t="n">
        <x:f>'Данные'!F2105</x:f>
        <x:v>0</x:v>
      </x:c>
      <x:c r="H2105" s="8" t="n">
        <x:f>SUM('Данные'!H2105:I2105)</x:f>
        <x:v>0</x:v>
      </x:c>
      <x:c r="I2105" s="16" t="str">
        <x:f>IF(H2105&gt;0,G2105/H2105,"n.a.")</x:f>
        <x:v>n.a.</x:v>
      </x:c>
      <x:c r="J2105" s="10" t="str">
        <x:f>IF('Данные'!E2105&gt;0,G2105/'Данные'!E2105,"n.a.")</x:f>
        <x:v>n.a.</x:v>
      </x:c>
      <x:c r="K2105" s="1" t="str">
        <x:f>IF(G2105&gt;='Дашборд'!$C$51,"X","Z")</x:f>
        <x:v>Z</x:v>
      </x:c>
      <x:c r="L2105" s="1" t="str">
        <x:f>IF(H2105=0,IF(G2105&gt;0,"Нет остатка","Нет спроса"),IF(I2105&gt;='Дашборд'!$C$52,"Быстрый","Медленный"))</x:f>
        <x:v>Нет спроса</x:v>
      </x:c>
      <x:c r="M2105" s="1" t="str">
        <x:f>IF('Данные'!E2105&lt;'Дашборд'!$C$53,"Мало трафика",IF(J2105&lt;'Дашборд'!$C$9*'Дашборд'!$C$54,"Да","Нет"))</x:f>
        <x:v>Мало трафика</x:v>
      </x:c>
      <x:c r="N2105" s="1" t="str">
        <x:f>IF(AND('Данные'!D2105&gt;='Дашборд'!$C$55,D2105&lt;'Дашборд'!$C$56,'Данные'!E2105&gt;='Дашборд'!$C$53,'Данные'!L2105&lt;&gt;"Да"),"Да","Нет")</x:f>
        <x:v>Нет</x:v>
      </x:c>
      <x:c r="O2105" s="1" t="str">
        <x:f>'Данные'!L2105</x:f>
        <x:v>Нет</x:v>
      </x:c>
    </x:row>
    <x:row r="2106">
      <x:c r="A2106" s="1" t="str">
        <x:f>'Данные'!A2106</x:f>
        <x:v>230236233</x:v>
      </x:c>
      <x:c r="B2106" s="1" t="str">
        <x:f>'Данные'!B2106</x:f>
        <x:v>shorty/морскаяволна-синий лист</x:v>
      </x:c>
      <x:c r="C2106" s="8" t="n">
        <x:f>'Данные'!G2106</x:f>
        <x:v>0</x:v>
      </x:c>
      <x:c r="D2106" s="15" t="n">
        <x:f>C2106/SUM($C$5:$C$2477)</x:f>
        <x:v>0</x:v>
      </x:c>
      <x:c r="E2106" s="15" t="n">
        <x:f>SUM($D$5:D2106)</x:f>
        <x:v>1.0000000000000036</x:v>
      </x:c>
      <x:c r="F2106" s="1" t="str">
        <x:f>IF(C2106&lt;=0,"C",IF(E2106-D2106&lt;'Дашборд'!$C$49,"A",IF(E2106-D2106&lt;'Дашборд'!$C$50,"B","C")))</x:f>
        <x:v>C</x:v>
      </x:c>
      <x:c r="G2106" s="8" t="n">
        <x:f>'Данные'!F2106</x:f>
        <x:v>0</x:v>
      </x:c>
      <x:c r="H2106" s="8" t="n">
        <x:f>SUM('Данные'!H2106:I2106)</x:f>
        <x:v>0</x:v>
      </x:c>
      <x:c r="I2106" s="16" t="str">
        <x:f>IF(H2106&gt;0,G2106/H2106,"n.a.")</x:f>
        <x:v>n.a.</x:v>
      </x:c>
      <x:c r="J2106" s="10" t="n">
        <x:f>IF('Данные'!E2106&gt;0,G2106/'Данные'!E2106,"n.a.")</x:f>
        <x:v>0</x:v>
      </x:c>
      <x:c r="K2106" s="1" t="str">
        <x:f>IF(G2106&gt;='Дашборд'!$C$51,"X","Z")</x:f>
        <x:v>Z</x:v>
      </x:c>
      <x:c r="L2106" s="1" t="str">
        <x:f>IF(H2106=0,IF(G2106&gt;0,"Нет остатка","Нет спроса"),IF(I2106&gt;='Дашборд'!$C$52,"Быстрый","Медленный"))</x:f>
        <x:v>Нет спроса</x:v>
      </x:c>
      <x:c r="M2106" s="1" t="str">
        <x:f>IF('Данные'!E2106&lt;'Дашборд'!$C$53,"Мало трафика",IF(J2106&lt;'Дашборд'!$C$9*'Дашборд'!$C$54,"Да","Нет"))</x:f>
        <x:v>Мало трафика</x:v>
      </x:c>
      <x:c r="N2106" s="1" t="str">
        <x:f>IF(AND('Данные'!D2106&gt;='Дашборд'!$C$55,D2106&lt;'Дашборд'!$C$56,'Данные'!E2106&gt;='Дашборд'!$C$53,'Данные'!L2106&lt;&gt;"Да"),"Да","Нет")</x:f>
        <x:v>Нет</x:v>
      </x:c>
      <x:c r="O2106" s="1" t="str">
        <x:f>'Данные'!L2106</x:f>
        <x:v>Нет</x:v>
      </x:c>
    </x:row>
    <x:row r="2107">
      <x:c r="A2107" s="1" t="str">
        <x:f>'Данные'!A2107</x:f>
        <x:v>231458811</x:v>
      </x:c>
      <x:c r="B2107" s="1" t="str">
        <x:f>'Данные'!B2107</x:f>
        <x:v>futbolkaboy/салатовый</x:v>
      </x:c>
      <x:c r="C2107" s="8" t="n">
        <x:f>'Данные'!G2107</x:f>
        <x:v>0</x:v>
      </x:c>
      <x:c r="D2107" s="15" t="n">
        <x:f>C2107/SUM($C$5:$C$2477)</x:f>
        <x:v>0</x:v>
      </x:c>
      <x:c r="E2107" s="15" t="n">
        <x:f>SUM($D$5:D2107)</x:f>
        <x:v>1.0000000000000036</x:v>
      </x:c>
      <x:c r="F2107" s="1" t="str">
        <x:f>IF(C2107&lt;=0,"C",IF(E2107-D2107&lt;'Дашборд'!$C$49,"A",IF(E2107-D2107&lt;'Дашборд'!$C$50,"B","C")))</x:f>
        <x:v>C</x:v>
      </x:c>
      <x:c r="G2107" s="8" t="n">
        <x:f>'Данные'!F2107</x:f>
        <x:v>0</x:v>
      </x:c>
      <x:c r="H2107" s="8" t="n">
        <x:f>SUM('Данные'!H2107:I2107)</x:f>
        <x:v>0</x:v>
      </x:c>
      <x:c r="I2107" s="16" t="str">
        <x:f>IF(H2107&gt;0,G2107/H2107,"n.a.")</x:f>
        <x:v>n.a.</x:v>
      </x:c>
      <x:c r="J2107" s="10" t="n">
        <x:f>IF('Данные'!E2107&gt;0,G2107/'Данные'!E2107,"n.a.")</x:f>
        <x:v>0</x:v>
      </x:c>
      <x:c r="K2107" s="1" t="str">
        <x:f>IF(G2107&gt;='Дашборд'!$C$51,"X","Z")</x:f>
        <x:v>Z</x:v>
      </x:c>
      <x:c r="L2107" s="1" t="str">
        <x:f>IF(H2107=0,IF(G2107&gt;0,"Нет остатка","Нет спроса"),IF(I2107&gt;='Дашборд'!$C$52,"Быстрый","Медленный"))</x:f>
        <x:v>Нет спроса</x:v>
      </x:c>
      <x:c r="M2107" s="1" t="str">
        <x:f>IF('Данные'!E2107&lt;'Дашборд'!$C$53,"Мало трафика",IF(J2107&lt;'Дашборд'!$C$9*'Дашборд'!$C$54,"Да","Нет"))</x:f>
        <x:v>Мало трафика</x:v>
      </x:c>
      <x:c r="N2107" s="1" t="str">
        <x:f>IF(AND('Данные'!D2107&gt;='Дашборд'!$C$55,D2107&lt;'Дашборд'!$C$56,'Данные'!E2107&gt;='Дашборд'!$C$53,'Данные'!L2107&lt;&gt;"Да"),"Да","Нет")</x:f>
        <x:v>Нет</x:v>
      </x:c>
      <x:c r="O2107" s="1" t="str">
        <x:f>'Данные'!L2107</x:f>
        <x:v>Нет</x:v>
      </x:c>
    </x:row>
    <x:row r="2108">
      <x:c r="A2108" s="1" t="str">
        <x:f>'Данные'!A2108</x:f>
        <x:v>231458812</x:v>
      </x:c>
      <x:c r="B2108" s="1" t="str">
        <x:f>'Данные'!B2108</x:f>
        <x:v>futbolkaboy/зеленый</x:v>
      </x:c>
      <x:c r="C2108" s="8" t="n">
        <x:f>'Данные'!G2108</x:f>
        <x:v>0</x:v>
      </x:c>
      <x:c r="D2108" s="15" t="n">
        <x:f>C2108/SUM($C$5:$C$2477)</x:f>
        <x:v>0</x:v>
      </x:c>
      <x:c r="E2108" s="15" t="n">
        <x:f>SUM($D$5:D2108)</x:f>
        <x:v>1.0000000000000036</x:v>
      </x:c>
      <x:c r="F2108" s="1" t="str">
        <x:f>IF(C2108&lt;=0,"C",IF(E2108-D2108&lt;'Дашборд'!$C$49,"A",IF(E2108-D2108&lt;'Дашборд'!$C$50,"B","C")))</x:f>
        <x:v>C</x:v>
      </x:c>
      <x:c r="G2108" s="8" t="n">
        <x:f>'Данные'!F2108</x:f>
        <x:v>0</x:v>
      </x:c>
      <x:c r="H2108" s="8" t="n">
        <x:f>SUM('Данные'!H2108:I2108)</x:f>
        <x:v>100</x:v>
      </x:c>
      <x:c r="I2108" s="16" t="n">
        <x:f>IF(H2108&gt;0,G2108/H2108,"n.a.")</x:f>
        <x:v>0</x:v>
      </x:c>
      <x:c r="J2108" s="10" t="n">
        <x:f>IF('Данные'!E2108&gt;0,G2108/'Данные'!E2108,"n.a.")</x:f>
        <x:v>0</x:v>
      </x:c>
      <x:c r="K2108" s="1" t="str">
        <x:f>IF(G2108&gt;='Дашборд'!$C$51,"X","Z")</x:f>
        <x:v>Z</x:v>
      </x:c>
      <x:c r="L2108" s="1" t="str">
        <x:f>IF(H2108=0,IF(G2108&gt;0,"Нет остатка","Нет спроса"),IF(I2108&gt;='Дашборд'!$C$52,"Быстрый","Медленный"))</x:f>
        <x:v>Медленный</x:v>
      </x:c>
      <x:c r="M2108" s="1" t="str">
        <x:f>IF('Данные'!E2108&lt;'Дашборд'!$C$53,"Мало трафика",IF(J2108&lt;'Дашборд'!$C$9*'Дашборд'!$C$54,"Да","Нет"))</x:f>
        <x:v>Мало трафика</x:v>
      </x:c>
      <x:c r="N2108" s="1" t="str">
        <x:f>IF(AND('Данные'!D2108&gt;='Дашборд'!$C$55,D2108&lt;'Дашборд'!$C$56,'Данные'!E2108&gt;='Дашборд'!$C$53,'Данные'!L2108&lt;&gt;"Да"),"Да","Нет")</x:f>
        <x:v>Нет</x:v>
      </x:c>
      <x:c r="O2108" s="1" t="str">
        <x:f>'Данные'!L2108</x:f>
        <x:v>Нет</x:v>
      </x:c>
    </x:row>
    <x:row r="2109">
      <x:c r="A2109" s="1" t="str">
        <x:f>'Данные'!A2109</x:f>
        <x:v>231993779</x:v>
      </x:c>
      <x:c r="B2109" s="1" t="str">
        <x:f>'Данные'!B2109</x:f>
        <x:v>kroptop/банановый-светло-розовый</x:v>
      </x:c>
      <x:c r="C2109" s="8" t="n">
        <x:f>'Данные'!G2109</x:f>
        <x:v>0</x:v>
      </x:c>
      <x:c r="D2109" s="15" t="n">
        <x:f>C2109/SUM($C$5:$C$2477)</x:f>
        <x:v>0</x:v>
      </x:c>
      <x:c r="E2109" s="15" t="n">
        <x:f>SUM($D$5:D2109)</x:f>
        <x:v>1.0000000000000036</x:v>
      </x:c>
      <x:c r="F2109" s="1" t="str">
        <x:f>IF(C2109&lt;=0,"C",IF(E2109-D2109&lt;'Дашборд'!$C$49,"A",IF(E2109-D2109&lt;'Дашборд'!$C$50,"B","C")))</x:f>
        <x:v>C</x:v>
      </x:c>
      <x:c r="G2109" s="8" t="n">
        <x:f>'Данные'!F2109</x:f>
        <x:v>0</x:v>
      </x:c>
      <x:c r="H2109" s="8" t="n">
        <x:f>SUM('Данные'!H2109:I2109)</x:f>
        <x:v>0</x:v>
      </x:c>
      <x:c r="I2109" s="16" t="str">
        <x:f>IF(H2109&gt;0,G2109/H2109,"n.a.")</x:f>
        <x:v>n.a.</x:v>
      </x:c>
      <x:c r="J2109" s="10" t="n">
        <x:f>IF('Данные'!E2109&gt;0,G2109/'Данные'!E2109,"n.a.")</x:f>
        <x:v>0</x:v>
      </x:c>
      <x:c r="K2109" s="1" t="str">
        <x:f>IF(G2109&gt;='Дашборд'!$C$51,"X","Z")</x:f>
        <x:v>Z</x:v>
      </x:c>
      <x:c r="L2109" s="1" t="str">
        <x:f>IF(H2109=0,IF(G2109&gt;0,"Нет остатка","Нет спроса"),IF(I2109&gt;='Дашборд'!$C$52,"Быстрый","Медленный"))</x:f>
        <x:v>Нет спроса</x:v>
      </x:c>
      <x:c r="M2109" s="1" t="str">
        <x:f>IF('Данные'!E2109&lt;'Дашборд'!$C$53,"Мало трафика",IF(J2109&lt;'Дашборд'!$C$9*'Дашборд'!$C$54,"Да","Нет"))</x:f>
        <x:v>Мало трафика</x:v>
      </x:c>
      <x:c r="N2109" s="1" t="str">
        <x:f>IF(AND('Данные'!D2109&gt;='Дашборд'!$C$55,D2109&lt;'Дашборд'!$C$56,'Данные'!E2109&gt;='Дашборд'!$C$53,'Данные'!L2109&lt;&gt;"Да"),"Да","Нет")</x:f>
        <x:v>Нет</x:v>
      </x:c>
      <x:c r="O2109" s="1" t="str">
        <x:f>'Данные'!L2109</x:f>
        <x:v>Нет</x:v>
      </x:c>
    </x:row>
    <x:row r="2110">
      <x:c r="A2110" s="1" t="str">
        <x:f>'Данные'!A2110</x:f>
        <x:v>232033090</x:v>
      </x:c>
      <x:c r="B2110" s="1" t="str">
        <x:f>'Данные'!B2110</x:f>
        <x:v>futbolkaprint/FukBROOKLYN-116/молочный-жемчужно-белый</x:v>
      </x:c>
      <x:c r="C2110" s="8" t="n">
        <x:f>'Данные'!G2110</x:f>
        <x:v>0</x:v>
      </x:c>
      <x:c r="D2110" s="15" t="n">
        <x:f>C2110/SUM($C$5:$C$2477)</x:f>
        <x:v>0</x:v>
      </x:c>
      <x:c r="E2110" s="15" t="n">
        <x:f>SUM($D$5:D2110)</x:f>
        <x:v>1.0000000000000036</x:v>
      </x:c>
      <x:c r="F2110" s="1" t="str">
        <x:f>IF(C2110&lt;=0,"C",IF(E2110-D2110&lt;'Дашборд'!$C$49,"A",IF(E2110-D2110&lt;'Дашборд'!$C$50,"B","C")))</x:f>
        <x:v>C</x:v>
      </x:c>
      <x:c r="G2110" s="8" t="n">
        <x:f>'Данные'!F2110</x:f>
        <x:v>0</x:v>
      </x:c>
      <x:c r="H2110" s="8" t="n">
        <x:f>SUM('Данные'!H2110:I2110)</x:f>
        <x:v>0</x:v>
      </x:c>
      <x:c r="I2110" s="16" t="str">
        <x:f>IF(H2110&gt;0,G2110/H2110,"n.a.")</x:f>
        <x:v>n.a.</x:v>
      </x:c>
      <x:c r="J2110" s="10" t="n">
        <x:f>IF('Данные'!E2110&gt;0,G2110/'Данные'!E2110,"n.a.")</x:f>
        <x:v>0</x:v>
      </x:c>
      <x:c r="K2110" s="1" t="str">
        <x:f>IF(G2110&gt;='Дашборд'!$C$51,"X","Z")</x:f>
        <x:v>Z</x:v>
      </x:c>
      <x:c r="L2110" s="1" t="str">
        <x:f>IF(H2110=0,IF(G2110&gt;0,"Нет остатка","Нет спроса"),IF(I2110&gt;='Дашборд'!$C$52,"Быстрый","Медленный"))</x:f>
        <x:v>Нет спроса</x:v>
      </x:c>
      <x:c r="M2110" s="1" t="str">
        <x:f>IF('Данные'!E2110&lt;'Дашборд'!$C$53,"Мало трафика",IF(J2110&lt;'Дашборд'!$C$9*'Дашборд'!$C$54,"Да","Нет"))</x:f>
        <x:v>Мало трафика</x:v>
      </x:c>
      <x:c r="N2110" s="1" t="str">
        <x:f>IF(AND('Данные'!D2110&gt;='Дашборд'!$C$55,D2110&lt;'Дашборд'!$C$56,'Данные'!E2110&gt;='Дашборд'!$C$53,'Данные'!L2110&lt;&gt;"Да"),"Да","Нет")</x:f>
        <x:v>Нет</x:v>
      </x:c>
      <x:c r="O2110" s="1" t="str">
        <x:f>'Данные'!L2110</x:f>
        <x:v>Нет</x:v>
      </x:c>
    </x:row>
    <x:row r="2111">
      <x:c r="A2111" s="1" t="str">
        <x:f>'Данные'!A2111</x:f>
        <x:v>232140451</x:v>
      </x:c>
      <x:c r="B2111" s="1" t="str">
        <x:f>'Данные'!B2111</x:f>
        <x:v>hudiman/графит-салатовый</x:v>
      </x:c>
      <x:c r="C2111" s="8" t="n">
        <x:f>'Данные'!G2111</x:f>
        <x:v>0</x:v>
      </x:c>
      <x:c r="D2111" s="15" t="n">
        <x:f>C2111/SUM($C$5:$C$2477)</x:f>
        <x:v>0</x:v>
      </x:c>
      <x:c r="E2111" s="15" t="n">
        <x:f>SUM($D$5:D2111)</x:f>
        <x:v>1.0000000000000036</x:v>
      </x:c>
      <x:c r="F2111" s="1" t="str">
        <x:f>IF(C2111&lt;=0,"C",IF(E2111-D2111&lt;'Дашборд'!$C$49,"A",IF(E2111-D2111&lt;'Дашборд'!$C$50,"B","C")))</x:f>
        <x:v>C</x:v>
      </x:c>
      <x:c r="G2111" s="8" t="n">
        <x:f>'Данные'!F2111</x:f>
        <x:v>0</x:v>
      </x:c>
      <x:c r="H2111" s="8" t="n">
        <x:f>SUM('Данные'!H2111:I2111)</x:f>
        <x:v>0</x:v>
      </x:c>
      <x:c r="I2111" s="16" t="str">
        <x:f>IF(H2111&gt;0,G2111/H2111,"n.a.")</x:f>
        <x:v>n.a.</x:v>
      </x:c>
      <x:c r="J2111" s="10" t="n">
        <x:f>IF('Данные'!E2111&gt;0,G2111/'Данные'!E2111,"n.a.")</x:f>
        <x:v>0</x:v>
      </x:c>
      <x:c r="K2111" s="1" t="str">
        <x:f>IF(G2111&gt;='Дашборд'!$C$51,"X","Z")</x:f>
        <x:v>Z</x:v>
      </x:c>
      <x:c r="L2111" s="1" t="str">
        <x:f>IF(H2111=0,IF(G2111&gt;0,"Нет остатка","Нет спроса"),IF(I2111&gt;='Дашборд'!$C$52,"Быстрый","Медленный"))</x:f>
        <x:v>Нет спроса</x:v>
      </x:c>
      <x:c r="M2111" s="1" t="str">
        <x:f>IF('Данные'!E2111&lt;'Дашборд'!$C$53,"Мало трафика",IF(J2111&lt;'Дашборд'!$C$9*'Дашборд'!$C$54,"Да","Нет"))</x:f>
        <x:v>Мало трафика</x:v>
      </x:c>
      <x:c r="N2111" s="1" t="str">
        <x:f>IF(AND('Данные'!D2111&gt;='Дашборд'!$C$55,D2111&lt;'Дашборд'!$C$56,'Данные'!E2111&gt;='Дашборд'!$C$53,'Данные'!L2111&lt;&gt;"Да"),"Да","Нет")</x:f>
        <x:v>Нет</x:v>
      </x:c>
      <x:c r="O2111" s="1" t="str">
        <x:f>'Данные'!L2111</x:f>
        <x:v>Нет</x:v>
      </x:c>
    </x:row>
    <x:row r="2112">
      <x:c r="A2112" s="1" t="str">
        <x:f>'Данные'!A2112</x:f>
        <x:v>232188155</x:v>
      </x:c>
      <x:c r="B2112" s="1" t="str">
        <x:f>'Данные'!B2112</x:f>
        <x:v>kroptop/банановый-дымчатая роза</x:v>
      </x:c>
      <x:c r="C2112" s="8" t="n">
        <x:f>'Данные'!G2112</x:f>
        <x:v>0</x:v>
      </x:c>
      <x:c r="D2112" s="15" t="n">
        <x:f>C2112/SUM($C$5:$C$2477)</x:f>
        <x:v>0</x:v>
      </x:c>
      <x:c r="E2112" s="15" t="n">
        <x:f>SUM($D$5:D2112)</x:f>
        <x:v>1.0000000000000036</x:v>
      </x:c>
      <x:c r="F2112" s="1" t="str">
        <x:f>IF(C2112&lt;=0,"C",IF(E2112-D2112&lt;'Дашборд'!$C$49,"A",IF(E2112-D2112&lt;'Дашборд'!$C$50,"B","C")))</x:f>
        <x:v>C</x:v>
      </x:c>
      <x:c r="G2112" s="8" t="n">
        <x:f>'Данные'!F2112</x:f>
        <x:v>0</x:v>
      </x:c>
      <x:c r="H2112" s="8" t="n">
        <x:f>SUM('Данные'!H2112:I2112)</x:f>
        <x:v>0</x:v>
      </x:c>
      <x:c r="I2112" s="16" t="str">
        <x:f>IF(H2112&gt;0,G2112/H2112,"n.a.")</x:f>
        <x:v>n.a.</x:v>
      </x:c>
      <x:c r="J2112" s="10" t="n">
        <x:f>IF('Данные'!E2112&gt;0,G2112/'Данные'!E2112,"n.a.")</x:f>
        <x:v>0</x:v>
      </x:c>
      <x:c r="K2112" s="1" t="str">
        <x:f>IF(G2112&gt;='Дашборд'!$C$51,"X","Z")</x:f>
        <x:v>Z</x:v>
      </x:c>
      <x:c r="L2112" s="1" t="str">
        <x:f>IF(H2112=0,IF(G2112&gt;0,"Нет остатка","Нет спроса"),IF(I2112&gt;='Дашборд'!$C$52,"Быстрый","Медленный"))</x:f>
        <x:v>Нет спроса</x:v>
      </x:c>
      <x:c r="M2112" s="1" t="str">
        <x:f>IF('Данные'!E2112&lt;'Дашборд'!$C$53,"Мало трафика",IF(J2112&lt;'Дашборд'!$C$9*'Дашборд'!$C$54,"Да","Нет"))</x:f>
        <x:v>Мало трафика</x:v>
      </x:c>
      <x:c r="N2112" s="1" t="str">
        <x:f>IF(AND('Данные'!D2112&gt;='Дашборд'!$C$55,D2112&lt;'Дашборд'!$C$56,'Данные'!E2112&gt;='Дашборд'!$C$53,'Данные'!L2112&lt;&gt;"Да"),"Да","Нет")</x:f>
        <x:v>Нет</x:v>
      </x:c>
      <x:c r="O2112" s="1" t="str">
        <x:f>'Данные'!L2112</x:f>
        <x:v>Нет</x:v>
      </x:c>
    </x:row>
    <x:row r="2113">
      <x:c r="A2113" s="1" t="str">
        <x:f>'Данные'!A2113</x:f>
        <x:v>232234752</x:v>
      </x:c>
      <x:c r="B2113" s="1" t="str">
        <x:f>'Данные'!B2113</x:f>
        <x:v>futbolkaprint/Future-154/белый</x:v>
      </x:c>
      <x:c r="C2113" s="8" t="n">
        <x:f>'Данные'!G2113</x:f>
        <x:v>0</x:v>
      </x:c>
      <x:c r="D2113" s="15" t="n">
        <x:f>C2113/SUM($C$5:$C$2477)</x:f>
        <x:v>0</x:v>
      </x:c>
      <x:c r="E2113" s="15" t="n">
        <x:f>SUM($D$5:D2113)</x:f>
        <x:v>1.0000000000000036</x:v>
      </x:c>
      <x:c r="F2113" s="1" t="str">
        <x:f>IF(C2113&lt;=0,"C",IF(E2113-D2113&lt;'Дашборд'!$C$49,"A",IF(E2113-D2113&lt;'Дашборд'!$C$50,"B","C")))</x:f>
        <x:v>C</x:v>
      </x:c>
      <x:c r="G2113" s="8" t="n">
        <x:f>'Данные'!F2113</x:f>
        <x:v>0</x:v>
      </x:c>
      <x:c r="H2113" s="8" t="n">
        <x:f>SUM('Данные'!H2113:I2113)</x:f>
        <x:v>0</x:v>
      </x:c>
      <x:c r="I2113" s="16" t="str">
        <x:f>IF(H2113&gt;0,G2113/H2113,"n.a.")</x:f>
        <x:v>n.a.</x:v>
      </x:c>
      <x:c r="J2113" s="10" t="n">
        <x:f>IF('Данные'!E2113&gt;0,G2113/'Данные'!E2113,"n.a.")</x:f>
        <x:v>0</x:v>
      </x:c>
      <x:c r="K2113" s="1" t="str">
        <x:f>IF(G2113&gt;='Дашборд'!$C$51,"X","Z")</x:f>
        <x:v>Z</x:v>
      </x:c>
      <x:c r="L2113" s="1" t="str">
        <x:f>IF(H2113=0,IF(G2113&gt;0,"Нет остатка","Нет спроса"),IF(I2113&gt;='Дашборд'!$C$52,"Быстрый","Медленный"))</x:f>
        <x:v>Нет спроса</x:v>
      </x:c>
      <x:c r="M2113" s="1" t="str">
        <x:f>IF('Данные'!E2113&lt;'Дашборд'!$C$53,"Мало трафика",IF(J2113&lt;'Дашборд'!$C$9*'Дашборд'!$C$54,"Да","Нет"))</x:f>
        <x:v>Мало трафика</x:v>
      </x:c>
      <x:c r="N2113" s="1" t="str">
        <x:f>IF(AND('Данные'!D2113&gt;='Дашборд'!$C$55,D2113&lt;'Дашборд'!$C$56,'Данные'!E2113&gt;='Дашборд'!$C$53,'Данные'!L2113&lt;&gt;"Да"),"Да","Нет")</x:f>
        <x:v>Нет</x:v>
      </x:c>
      <x:c r="O2113" s="1" t="str">
        <x:f>'Данные'!L2113</x:f>
        <x:v>Нет</x:v>
      </x:c>
    </x:row>
    <x:row r="2114">
      <x:c r="A2114" s="1" t="str">
        <x:f>'Данные'!A2114</x:f>
        <x:v>232234773</x:v>
      </x:c>
      <x:c r="B2114" s="1" t="str">
        <x:f>'Данные'!B2114</x:f>
        <x:v>futbolkaprint/BodyMovement-158/белый</x:v>
      </x:c>
      <x:c r="C2114" s="8" t="n">
        <x:f>'Данные'!G2114</x:f>
        <x:v>0</x:v>
      </x:c>
      <x:c r="D2114" s="15" t="n">
        <x:f>C2114/SUM($C$5:$C$2477)</x:f>
        <x:v>0</x:v>
      </x:c>
      <x:c r="E2114" s="15" t="n">
        <x:f>SUM($D$5:D2114)</x:f>
        <x:v>1.0000000000000036</x:v>
      </x:c>
      <x:c r="F2114" s="1" t="str">
        <x:f>IF(C2114&lt;=0,"C",IF(E2114-D2114&lt;'Дашборд'!$C$49,"A",IF(E2114-D2114&lt;'Дашборд'!$C$50,"B","C")))</x:f>
        <x:v>C</x:v>
      </x:c>
      <x:c r="G2114" s="8" t="n">
        <x:f>'Данные'!F2114</x:f>
        <x:v>0</x:v>
      </x:c>
      <x:c r="H2114" s="8" t="n">
        <x:f>SUM('Данные'!H2114:I2114)</x:f>
        <x:v>0</x:v>
      </x:c>
      <x:c r="I2114" s="16" t="str">
        <x:f>IF(H2114&gt;0,G2114/H2114,"n.a.")</x:f>
        <x:v>n.a.</x:v>
      </x:c>
      <x:c r="J2114" s="10" t="n">
        <x:f>IF('Данные'!E2114&gt;0,G2114/'Данные'!E2114,"n.a.")</x:f>
        <x:v>0</x:v>
      </x:c>
      <x:c r="K2114" s="1" t="str">
        <x:f>IF(G2114&gt;='Дашборд'!$C$51,"X","Z")</x:f>
        <x:v>Z</x:v>
      </x:c>
      <x:c r="L2114" s="1" t="str">
        <x:f>IF(H2114=0,IF(G2114&gt;0,"Нет остатка","Нет спроса"),IF(I2114&gt;='Дашборд'!$C$52,"Быстрый","Медленный"))</x:f>
        <x:v>Нет спроса</x:v>
      </x:c>
      <x:c r="M2114" s="1" t="str">
        <x:f>IF('Данные'!E2114&lt;'Дашборд'!$C$53,"Мало трафика",IF(J2114&lt;'Дашборд'!$C$9*'Дашборд'!$C$54,"Да","Нет"))</x:f>
        <x:v>Мало трафика</x:v>
      </x:c>
      <x:c r="N2114" s="1" t="str">
        <x:f>IF(AND('Данные'!D2114&gt;='Дашборд'!$C$55,D2114&lt;'Дашборд'!$C$56,'Данные'!E2114&gt;='Дашборд'!$C$53,'Данные'!L2114&lt;&gt;"Да"),"Да","Нет")</x:f>
        <x:v>Нет</x:v>
      </x:c>
      <x:c r="O2114" s="1" t="str">
        <x:f>'Данные'!L2114</x:f>
        <x:v>Нет</x:v>
      </x:c>
    </x:row>
    <x:row r="2115">
      <x:c r="A2115" s="1" t="str">
        <x:f>'Данные'!A2115</x:f>
        <x:v>232234798</x:v>
      </x:c>
      <x:c r="B2115" s="1" t="str">
        <x:f>'Данные'!B2115</x:f>
        <x:v>futbolkaprint/NewFlorida-157/серыймеланж</x:v>
      </x:c>
      <x:c r="C2115" s="8" t="n">
        <x:f>'Данные'!G2115</x:f>
        <x:v>0</x:v>
      </x:c>
      <x:c r="D2115" s="15" t="n">
        <x:f>C2115/SUM($C$5:$C$2477)</x:f>
        <x:v>0</x:v>
      </x:c>
      <x:c r="E2115" s="15" t="n">
        <x:f>SUM($D$5:D2115)</x:f>
        <x:v>1.0000000000000036</x:v>
      </x:c>
      <x:c r="F2115" s="1" t="str">
        <x:f>IF(C2115&lt;=0,"C",IF(E2115-D2115&lt;'Дашборд'!$C$49,"A",IF(E2115-D2115&lt;'Дашборд'!$C$50,"B","C")))</x:f>
        <x:v>C</x:v>
      </x:c>
      <x:c r="G2115" s="8" t="n">
        <x:f>'Данные'!F2115</x:f>
        <x:v>0</x:v>
      </x:c>
      <x:c r="H2115" s="8" t="n">
        <x:f>SUM('Данные'!H2115:I2115)</x:f>
        <x:v>0</x:v>
      </x:c>
      <x:c r="I2115" s="16" t="str">
        <x:f>IF(H2115&gt;0,G2115/H2115,"n.a.")</x:f>
        <x:v>n.a.</x:v>
      </x:c>
      <x:c r="J2115" s="10" t="n">
        <x:f>IF('Данные'!E2115&gt;0,G2115/'Данные'!E2115,"n.a.")</x:f>
        <x:v>0</x:v>
      </x:c>
      <x:c r="K2115" s="1" t="str">
        <x:f>IF(G2115&gt;='Дашборд'!$C$51,"X","Z")</x:f>
        <x:v>Z</x:v>
      </x:c>
      <x:c r="L2115" s="1" t="str">
        <x:f>IF(H2115=0,IF(G2115&gt;0,"Нет остатка","Нет спроса"),IF(I2115&gt;='Дашборд'!$C$52,"Быстрый","Медленный"))</x:f>
        <x:v>Нет спроса</x:v>
      </x:c>
      <x:c r="M2115" s="1" t="str">
        <x:f>IF('Данные'!E2115&lt;'Дашборд'!$C$53,"Мало трафика",IF(J2115&lt;'Дашборд'!$C$9*'Дашборд'!$C$54,"Да","Нет"))</x:f>
        <x:v>Мало трафика</x:v>
      </x:c>
      <x:c r="N2115" s="1" t="str">
        <x:f>IF(AND('Данные'!D2115&gt;='Дашборд'!$C$55,D2115&lt;'Дашборд'!$C$56,'Данные'!E2115&gt;='Дашборд'!$C$53,'Данные'!L2115&lt;&gt;"Да"),"Да","Нет")</x:f>
        <x:v>Нет</x:v>
      </x:c>
      <x:c r="O2115" s="1" t="str">
        <x:f>'Данные'!L2115</x:f>
        <x:v>Нет</x:v>
      </x:c>
    </x:row>
    <x:row r="2116">
      <x:c r="A2116" s="1" t="str">
        <x:f>'Данные'!A2116</x:f>
        <x:v>232234808</x:v>
      </x:c>
      <x:c r="B2116" s="1" t="str">
        <x:f>'Данные'!B2116</x:f>
        <x:v>futbolkaprint/Lotus-160/белый</x:v>
      </x:c>
      <x:c r="C2116" s="8" t="n">
        <x:f>'Данные'!G2116</x:f>
        <x:v>0</x:v>
      </x:c>
      <x:c r="D2116" s="15" t="n">
        <x:f>C2116/SUM($C$5:$C$2477)</x:f>
        <x:v>0</x:v>
      </x:c>
      <x:c r="E2116" s="15" t="n">
        <x:f>SUM($D$5:D2116)</x:f>
        <x:v>1.0000000000000036</x:v>
      </x:c>
      <x:c r="F2116" s="1" t="str">
        <x:f>IF(C2116&lt;=0,"C",IF(E2116-D2116&lt;'Дашборд'!$C$49,"A",IF(E2116-D2116&lt;'Дашборд'!$C$50,"B","C")))</x:f>
        <x:v>C</x:v>
      </x:c>
      <x:c r="G2116" s="8" t="n">
        <x:f>'Данные'!F2116</x:f>
        <x:v>0</x:v>
      </x:c>
      <x:c r="H2116" s="8" t="n">
        <x:f>SUM('Данные'!H2116:I2116)</x:f>
        <x:v>0</x:v>
      </x:c>
      <x:c r="I2116" s="16" t="str">
        <x:f>IF(H2116&gt;0,G2116/H2116,"n.a.")</x:f>
        <x:v>n.a.</x:v>
      </x:c>
      <x:c r="J2116" s="10" t="n">
        <x:f>IF('Данные'!E2116&gt;0,G2116/'Данные'!E2116,"n.a.")</x:f>
        <x:v>0</x:v>
      </x:c>
      <x:c r="K2116" s="1" t="str">
        <x:f>IF(G2116&gt;='Дашборд'!$C$51,"X","Z")</x:f>
        <x:v>Z</x:v>
      </x:c>
      <x:c r="L2116" s="1" t="str">
        <x:f>IF(H2116=0,IF(G2116&gt;0,"Нет остатка","Нет спроса"),IF(I2116&gt;='Дашборд'!$C$52,"Быстрый","Медленный"))</x:f>
        <x:v>Нет спроса</x:v>
      </x:c>
      <x:c r="M2116" s="1" t="str">
        <x:f>IF('Данные'!E2116&lt;'Дашборд'!$C$53,"Мало трафика",IF(J2116&lt;'Дашборд'!$C$9*'Дашборд'!$C$54,"Да","Нет"))</x:f>
        <x:v>Мало трафика</x:v>
      </x:c>
      <x:c r="N2116" s="1" t="str">
        <x:f>IF(AND('Данные'!D2116&gt;='Дашборд'!$C$55,D2116&lt;'Дашборд'!$C$56,'Данные'!E2116&gt;='Дашборд'!$C$53,'Данные'!L2116&lt;&gt;"Да"),"Да","Нет")</x:f>
        <x:v>Нет</x:v>
      </x:c>
      <x:c r="O2116" s="1" t="str">
        <x:f>'Данные'!L2116</x:f>
        <x:v>Нет</x:v>
      </x:c>
    </x:row>
    <x:row r="2117">
      <x:c r="A2117" s="1" t="str">
        <x:f>'Данные'!A2117</x:f>
        <x:v>232234810</x:v>
      </x:c>
      <x:c r="B2117" s="1" t="str">
        <x:f>'Данные'!B2117</x:f>
        <x:v>hudivish/VillaGarden-13в/белый</x:v>
      </x:c>
      <x:c r="C2117" s="8" t="n">
        <x:f>'Данные'!G2117</x:f>
        <x:v>0</x:v>
      </x:c>
      <x:c r="D2117" s="15" t="n">
        <x:f>C2117/SUM($C$5:$C$2477)</x:f>
        <x:v>0</x:v>
      </x:c>
      <x:c r="E2117" s="15" t="n">
        <x:f>SUM($D$5:D2117)</x:f>
        <x:v>1.0000000000000036</x:v>
      </x:c>
      <x:c r="F2117" s="1" t="str">
        <x:f>IF(C2117&lt;=0,"C",IF(E2117-D2117&lt;'Дашборд'!$C$49,"A",IF(E2117-D2117&lt;'Дашборд'!$C$50,"B","C")))</x:f>
        <x:v>C</x:v>
      </x:c>
      <x:c r="G2117" s="8" t="n">
        <x:f>'Данные'!F2117</x:f>
        <x:v>0</x:v>
      </x:c>
      <x:c r="H2117" s="8" t="n">
        <x:f>SUM('Данные'!H2117:I2117)</x:f>
        <x:v>0</x:v>
      </x:c>
      <x:c r="I2117" s="16" t="str">
        <x:f>IF(H2117&gt;0,G2117/H2117,"n.a.")</x:f>
        <x:v>n.a.</x:v>
      </x:c>
      <x:c r="J2117" s="10" t="n">
        <x:f>IF('Данные'!E2117&gt;0,G2117/'Данные'!E2117,"n.a.")</x:f>
        <x:v>0</x:v>
      </x:c>
      <x:c r="K2117" s="1" t="str">
        <x:f>IF(G2117&gt;='Дашборд'!$C$51,"X","Z")</x:f>
        <x:v>Z</x:v>
      </x:c>
      <x:c r="L2117" s="1" t="str">
        <x:f>IF(H2117=0,IF(G2117&gt;0,"Нет остатка","Нет спроса"),IF(I2117&gt;='Дашборд'!$C$52,"Быстрый","Медленный"))</x:f>
        <x:v>Нет спроса</x:v>
      </x:c>
      <x:c r="M2117" s="1" t="str">
        <x:f>IF('Данные'!E2117&lt;'Дашборд'!$C$53,"Мало трафика",IF(J2117&lt;'Дашборд'!$C$9*'Дашборд'!$C$54,"Да","Нет"))</x:f>
        <x:v>Мало трафика</x:v>
      </x:c>
      <x:c r="N2117" s="1" t="str">
        <x:f>IF(AND('Данные'!D2117&gt;='Дашборд'!$C$55,D2117&lt;'Дашборд'!$C$56,'Данные'!E2117&gt;='Дашборд'!$C$53,'Данные'!L2117&lt;&gt;"Да"),"Да","Нет")</x:f>
        <x:v>Нет</x:v>
      </x:c>
      <x:c r="O2117" s="1" t="str">
        <x:f>'Данные'!L2117</x:f>
        <x:v>Нет</x:v>
      </x:c>
    </x:row>
    <x:row r="2118">
      <x:c r="A2118" s="1" t="str">
        <x:f>'Данные'!A2118</x:f>
        <x:v>233210150</x:v>
      </x:c>
      <x:c r="B2118" s="1" t="str">
        <x:f>'Данные'!B2118</x:f>
        <x:v>longsliv/мандариновый-сафари</x:v>
      </x:c>
      <x:c r="C2118" s="8" t="n">
        <x:f>'Данные'!G2118</x:f>
        <x:v>0</x:v>
      </x:c>
      <x:c r="D2118" s="15" t="n">
        <x:f>C2118/SUM($C$5:$C$2477)</x:f>
        <x:v>0</x:v>
      </x:c>
      <x:c r="E2118" s="15" t="n">
        <x:f>SUM($D$5:D2118)</x:f>
        <x:v>1.0000000000000036</x:v>
      </x:c>
      <x:c r="F2118" s="1" t="str">
        <x:f>IF(C2118&lt;=0,"C",IF(E2118-D2118&lt;'Дашборд'!$C$49,"A",IF(E2118-D2118&lt;'Дашборд'!$C$50,"B","C")))</x:f>
        <x:v>C</x:v>
      </x:c>
      <x:c r="G2118" s="8" t="n">
        <x:f>'Данные'!F2118</x:f>
        <x:v>1</x:v>
      </x:c>
      <x:c r="H2118" s="8" t="n">
        <x:f>SUM('Данные'!H2118:I2118)</x:f>
        <x:v>1</x:v>
      </x:c>
      <x:c r="I2118" s="16" t="n">
        <x:f>IF(H2118&gt;0,G2118/H2118,"n.a.")</x:f>
        <x:v>1</x:v>
      </x:c>
      <x:c r="J2118" s="10" t="n">
        <x:f>IF('Данные'!E2118&gt;0,G2118/'Данные'!E2118,"n.a.")</x:f>
        <x:v>0.0026109660574412533</x:v>
      </x:c>
      <x:c r="K2118" s="1" t="str">
        <x:f>IF(G2118&gt;='Дашборд'!$C$51,"X","Z")</x:f>
        <x:v>Z</x:v>
      </x:c>
      <x:c r="L2118" s="1" t="str">
        <x:f>IF(H2118=0,IF(G2118&gt;0,"Нет остатка","Нет спроса"),IF(I2118&gt;='Дашборд'!$C$52,"Быстрый","Медленный"))</x:f>
        <x:v>Быстрый</x:v>
      </x:c>
      <x:c r="M2118" s="1" t="str">
        <x:f>IF('Данные'!E2118&lt;'Дашборд'!$C$53,"Мало трафика",IF(J2118&lt;'Дашборд'!$C$9*'Дашборд'!$C$54,"Да","Нет"))</x:f>
        <x:v>Мало трафика</x:v>
      </x:c>
      <x:c r="N2118" s="1" t="str">
        <x:f>IF(AND('Данные'!D2118&gt;='Дашборд'!$C$55,D2118&lt;'Дашборд'!$C$56,'Данные'!E2118&gt;='Дашборд'!$C$53,'Данные'!L2118&lt;&gt;"Да"),"Да","Нет")</x:f>
        <x:v>Нет</x:v>
      </x:c>
      <x:c r="O2118" s="1" t="str">
        <x:f>'Данные'!L2118</x:f>
        <x:v>Нет</x:v>
      </x:c>
    </x:row>
    <x:row r="2119">
      <x:c r="A2119" s="1" t="str">
        <x:f>'Данные'!A2119</x:f>
        <x:v>233262517</x:v>
      </x:c>
      <x:c r="B2119" s="1" t="str">
        <x:f>'Данные'!B2119</x:f>
        <x:v>2Nshortyman/светло-зеленый</x:v>
      </x:c>
      <x:c r="C2119" s="8" t="n">
        <x:f>'Данные'!G2119</x:f>
        <x:v>0</x:v>
      </x:c>
      <x:c r="D2119" s="15" t="n">
        <x:f>C2119/SUM($C$5:$C$2477)</x:f>
        <x:v>0</x:v>
      </x:c>
      <x:c r="E2119" s="15" t="n">
        <x:f>SUM($D$5:D2119)</x:f>
        <x:v>1.0000000000000036</x:v>
      </x:c>
      <x:c r="F2119" s="1" t="str">
        <x:f>IF(C2119&lt;=0,"C",IF(E2119-D2119&lt;'Дашборд'!$C$49,"A",IF(E2119-D2119&lt;'Дашборд'!$C$50,"B","C")))</x:f>
        <x:v>C</x:v>
      </x:c>
      <x:c r="G2119" s="8" t="n">
        <x:f>'Данные'!F2119</x:f>
        <x:v>0</x:v>
      </x:c>
      <x:c r="H2119" s="8" t="n">
        <x:f>SUM('Данные'!H2119:I2119)</x:f>
        <x:v>0</x:v>
      </x:c>
      <x:c r="I2119" s="16" t="str">
        <x:f>IF(H2119&gt;0,G2119/H2119,"n.a.")</x:f>
        <x:v>n.a.</x:v>
      </x:c>
      <x:c r="J2119" s="10" t="n">
        <x:f>IF('Данные'!E2119&gt;0,G2119/'Данные'!E2119,"n.a.")</x:f>
        <x:v>0</x:v>
      </x:c>
      <x:c r="K2119" s="1" t="str">
        <x:f>IF(G2119&gt;='Дашборд'!$C$51,"X","Z")</x:f>
        <x:v>Z</x:v>
      </x:c>
      <x:c r="L2119" s="1" t="str">
        <x:f>IF(H2119=0,IF(G2119&gt;0,"Нет остатка","Нет спроса"),IF(I2119&gt;='Дашборд'!$C$52,"Быстрый","Медленный"))</x:f>
        <x:v>Нет спроса</x:v>
      </x:c>
      <x:c r="M2119" s="1" t="str">
        <x:f>IF('Данные'!E2119&lt;'Дашборд'!$C$53,"Мало трафика",IF(J2119&lt;'Дашборд'!$C$9*'Дашборд'!$C$54,"Да","Нет"))</x:f>
        <x:v>Мало трафика</x:v>
      </x:c>
      <x:c r="N2119" s="1" t="str">
        <x:f>IF(AND('Данные'!D2119&gt;='Дашборд'!$C$55,D2119&lt;'Дашборд'!$C$56,'Данные'!E2119&gt;='Дашборд'!$C$53,'Данные'!L2119&lt;&gt;"Да"),"Да","Нет")</x:f>
        <x:v>Нет</x:v>
      </x:c>
      <x:c r="O2119" s="1" t="str">
        <x:f>'Данные'!L2119</x:f>
        <x:v>Нет</x:v>
      </x:c>
    </x:row>
    <x:row r="2120">
      <x:c r="A2120" s="1" t="str">
        <x:f>'Данные'!A2120</x:f>
        <x:v>233262518</x:v>
      </x:c>
      <x:c r="B2120" s="1" t="str">
        <x:f>'Данные'!B2120</x:f>
        <x:v>2Nshortyman/синий</x:v>
      </x:c>
      <x:c r="C2120" s="8" t="n">
        <x:f>'Данные'!G2120</x:f>
        <x:v>0</x:v>
      </x:c>
      <x:c r="D2120" s="15" t="n">
        <x:f>C2120/SUM($C$5:$C$2477)</x:f>
        <x:v>0</x:v>
      </x:c>
      <x:c r="E2120" s="15" t="n">
        <x:f>SUM($D$5:D2120)</x:f>
        <x:v>1.0000000000000036</x:v>
      </x:c>
      <x:c r="F2120" s="1" t="str">
        <x:f>IF(C2120&lt;=0,"C",IF(E2120-D2120&lt;'Дашборд'!$C$49,"A",IF(E2120-D2120&lt;'Дашборд'!$C$50,"B","C")))</x:f>
        <x:v>C</x:v>
      </x:c>
      <x:c r="G2120" s="8" t="n">
        <x:f>'Данные'!F2120</x:f>
        <x:v>0</x:v>
      </x:c>
      <x:c r="H2120" s="8" t="n">
        <x:f>SUM('Данные'!H2120:I2120)</x:f>
        <x:v>0</x:v>
      </x:c>
      <x:c r="I2120" s="16" t="str">
        <x:f>IF(H2120&gt;0,G2120/H2120,"n.a.")</x:f>
        <x:v>n.a.</x:v>
      </x:c>
      <x:c r="J2120" s="10" t="n">
        <x:f>IF('Данные'!E2120&gt;0,G2120/'Данные'!E2120,"n.a.")</x:f>
        <x:v>0</x:v>
      </x:c>
      <x:c r="K2120" s="1" t="str">
        <x:f>IF(G2120&gt;='Дашборд'!$C$51,"X","Z")</x:f>
        <x:v>Z</x:v>
      </x:c>
      <x:c r="L2120" s="1" t="str">
        <x:f>IF(H2120=0,IF(G2120&gt;0,"Нет остатка","Нет спроса"),IF(I2120&gt;='Дашборд'!$C$52,"Быстрый","Медленный"))</x:f>
        <x:v>Нет спроса</x:v>
      </x:c>
      <x:c r="M2120" s="1" t="str">
        <x:f>IF('Данные'!E2120&lt;'Дашборд'!$C$53,"Мало трафика",IF(J2120&lt;'Дашборд'!$C$9*'Дашборд'!$C$54,"Да","Нет"))</x:f>
        <x:v>Мало трафика</x:v>
      </x:c>
      <x:c r="N2120" s="1" t="str">
        <x:f>IF(AND('Данные'!D2120&gt;='Дашборд'!$C$55,D2120&lt;'Дашборд'!$C$56,'Данные'!E2120&gt;='Дашборд'!$C$53,'Данные'!L2120&lt;&gt;"Да"),"Да","Нет")</x:f>
        <x:v>Нет</x:v>
      </x:c>
      <x:c r="O2120" s="1" t="str">
        <x:f>'Данные'!L2120</x:f>
        <x:v>Нет</x:v>
      </x:c>
    </x:row>
    <x:row r="2121">
      <x:c r="A2121" s="1" t="str">
        <x:f>'Данные'!A2121</x:f>
        <x:v>233262519</x:v>
      </x:c>
      <x:c r="B2121" s="1" t="str">
        <x:f>'Данные'!B2121</x:f>
        <x:v>2Nshortyman/темно-серый</x:v>
      </x:c>
      <x:c r="C2121" s="8" t="n">
        <x:f>'Данные'!G2121</x:f>
        <x:v>0</x:v>
      </x:c>
      <x:c r="D2121" s="15" t="n">
        <x:f>C2121/SUM($C$5:$C$2477)</x:f>
        <x:v>0</x:v>
      </x:c>
      <x:c r="E2121" s="15" t="n">
        <x:f>SUM($D$5:D2121)</x:f>
        <x:v>1.0000000000000036</x:v>
      </x:c>
      <x:c r="F2121" s="1" t="str">
        <x:f>IF(C2121&lt;=0,"C",IF(E2121-D2121&lt;'Дашборд'!$C$49,"A",IF(E2121-D2121&lt;'Дашборд'!$C$50,"B","C")))</x:f>
        <x:v>C</x:v>
      </x:c>
      <x:c r="G2121" s="8" t="n">
        <x:f>'Данные'!F2121</x:f>
        <x:v>0</x:v>
      </x:c>
      <x:c r="H2121" s="8" t="n">
        <x:f>SUM('Данные'!H2121:I2121)</x:f>
        <x:v>0</x:v>
      </x:c>
      <x:c r="I2121" s="16" t="str">
        <x:f>IF(H2121&gt;0,G2121/H2121,"n.a.")</x:f>
        <x:v>n.a.</x:v>
      </x:c>
      <x:c r="J2121" s="10" t="n">
        <x:f>IF('Данные'!E2121&gt;0,G2121/'Данные'!E2121,"n.a.")</x:f>
        <x:v>0</x:v>
      </x:c>
      <x:c r="K2121" s="1" t="str">
        <x:f>IF(G2121&gt;='Дашборд'!$C$51,"X","Z")</x:f>
        <x:v>Z</x:v>
      </x:c>
      <x:c r="L2121" s="1" t="str">
        <x:f>IF(H2121=0,IF(G2121&gt;0,"Нет остатка","Нет спроса"),IF(I2121&gt;='Дашборд'!$C$52,"Быстрый","Медленный"))</x:f>
        <x:v>Нет спроса</x:v>
      </x:c>
      <x:c r="M2121" s="1" t="str">
        <x:f>IF('Данные'!E2121&lt;'Дашборд'!$C$53,"Мало трафика",IF(J2121&lt;'Дашборд'!$C$9*'Дашборд'!$C$54,"Да","Нет"))</x:f>
        <x:v>Мало трафика</x:v>
      </x:c>
      <x:c r="N2121" s="1" t="str">
        <x:f>IF(AND('Данные'!D2121&gt;='Дашборд'!$C$55,D2121&lt;'Дашборд'!$C$56,'Данные'!E2121&gt;='Дашборд'!$C$53,'Данные'!L2121&lt;&gt;"Да"),"Да","Нет")</x:f>
        <x:v>Нет</x:v>
      </x:c>
      <x:c r="O2121" s="1" t="str">
        <x:f>'Данные'!L2121</x:f>
        <x:v>Нет</x:v>
      </x:c>
    </x:row>
    <x:row r="2122">
      <x:c r="A2122" s="1" t="str">
        <x:f>'Данные'!A2122</x:f>
        <x:v>233550922</x:v>
      </x:c>
      <x:c r="B2122" s="1" t="str">
        <x:f>'Данные'!B2122</x:f>
        <x:v>kulirkaman/зеленый-теплый белый</x:v>
      </x:c>
      <x:c r="C2122" s="8" t="n">
        <x:f>'Данные'!G2122</x:f>
        <x:v>0</x:v>
      </x:c>
      <x:c r="D2122" s="15" t="n">
        <x:f>C2122/SUM($C$5:$C$2477)</x:f>
        <x:v>0</x:v>
      </x:c>
      <x:c r="E2122" s="15" t="n">
        <x:f>SUM($D$5:D2122)</x:f>
        <x:v>1.0000000000000036</x:v>
      </x:c>
      <x:c r="F2122" s="1" t="str">
        <x:f>IF(C2122&lt;=0,"C",IF(E2122-D2122&lt;'Дашборд'!$C$49,"A",IF(E2122-D2122&lt;'Дашборд'!$C$50,"B","C")))</x:f>
        <x:v>C</x:v>
      </x:c>
      <x:c r="G2122" s="8" t="n">
        <x:f>'Данные'!F2122</x:f>
        <x:v>1</x:v>
      </x:c>
      <x:c r="H2122" s="8" t="n">
        <x:f>SUM('Данные'!H2122:I2122)</x:f>
        <x:v>1</x:v>
      </x:c>
      <x:c r="I2122" s="16" t="n">
        <x:f>IF(H2122&gt;0,G2122/H2122,"n.a.")</x:f>
        <x:v>1</x:v>
      </x:c>
      <x:c r="J2122" s="10" t="n">
        <x:f>IF('Данные'!E2122&gt;0,G2122/'Данные'!E2122,"n.a.")</x:f>
        <x:v>0.0005675368898978433</x:v>
      </x:c>
      <x:c r="K2122" s="1" t="str">
        <x:f>IF(G2122&gt;='Дашборд'!$C$51,"X","Z")</x:f>
        <x:v>Z</x:v>
      </x:c>
      <x:c r="L2122" s="1" t="str">
        <x:f>IF(H2122=0,IF(G2122&gt;0,"Нет остатка","Нет спроса"),IF(I2122&gt;='Дашборд'!$C$52,"Быстрый","Медленный"))</x:f>
        <x:v>Быстрый</x:v>
      </x:c>
      <x:c r="M2122" s="1" t="str">
        <x:f>IF('Данные'!E2122&lt;'Дашборд'!$C$53,"Мало трафика",IF(J2122&lt;'Дашборд'!$C$9*'Дашборд'!$C$54,"Да","Нет"))</x:f>
        <x:v>Да</x:v>
      </x:c>
      <x:c r="N2122" s="1" t="str">
        <x:f>IF(AND('Данные'!D2122&gt;='Дашборд'!$C$55,D2122&lt;'Дашборд'!$C$56,'Данные'!E2122&gt;='Дашборд'!$C$53,'Данные'!L2122&lt;&gt;"Да"),"Да","Нет")</x:f>
        <x:v>Нет</x:v>
      </x:c>
      <x:c r="O2122" s="1" t="str">
        <x:f>'Данные'!L2122</x:f>
        <x:v>Нет</x:v>
      </x:c>
    </x:row>
    <x:row r="2123">
      <x:c r="A2123" s="1" t="str">
        <x:f>'Данные'!A2123</x:f>
        <x:v>233762312</x:v>
      </x:c>
      <x:c r="B2123" s="1" t="str">
        <x:f>'Данные'!B2123</x:f>
        <x:v>bazaboyX3/бел-ден-тсер</x:v>
      </x:c>
      <x:c r="C2123" s="8" t="n">
        <x:f>'Данные'!G2123</x:f>
        <x:v>0</x:v>
      </x:c>
      <x:c r="D2123" s="15" t="n">
        <x:f>C2123/SUM($C$5:$C$2477)</x:f>
        <x:v>0</x:v>
      </x:c>
      <x:c r="E2123" s="15" t="n">
        <x:f>SUM($D$5:D2123)</x:f>
        <x:v>1.0000000000000036</x:v>
      </x:c>
      <x:c r="F2123" s="1" t="str">
        <x:f>IF(C2123&lt;=0,"C",IF(E2123-D2123&lt;'Дашборд'!$C$49,"A",IF(E2123-D2123&lt;'Дашборд'!$C$50,"B","C")))</x:f>
        <x:v>C</x:v>
      </x:c>
      <x:c r="G2123" s="8" t="n">
        <x:f>'Данные'!F2123</x:f>
        <x:v>0</x:v>
      </x:c>
      <x:c r="H2123" s="8" t="n">
        <x:f>SUM('Данные'!H2123:I2123)</x:f>
        <x:v>0</x:v>
      </x:c>
      <x:c r="I2123" s="16" t="str">
        <x:f>IF(H2123&gt;0,G2123/H2123,"n.a.")</x:f>
        <x:v>n.a.</x:v>
      </x:c>
      <x:c r="J2123" s="10" t="n">
        <x:f>IF('Данные'!E2123&gt;0,G2123/'Данные'!E2123,"n.a.")</x:f>
        <x:v>0</x:v>
      </x:c>
      <x:c r="K2123" s="1" t="str">
        <x:f>IF(G2123&gt;='Дашборд'!$C$51,"X","Z")</x:f>
        <x:v>Z</x:v>
      </x:c>
      <x:c r="L2123" s="1" t="str">
        <x:f>IF(H2123=0,IF(G2123&gt;0,"Нет остатка","Нет спроса"),IF(I2123&gt;='Дашборд'!$C$52,"Быстрый","Медленный"))</x:f>
        <x:v>Нет спроса</x:v>
      </x:c>
      <x:c r="M2123" s="1" t="str">
        <x:f>IF('Данные'!E2123&lt;'Дашборд'!$C$53,"Мало трафика",IF(J2123&lt;'Дашборд'!$C$9*'Дашборд'!$C$54,"Да","Нет"))</x:f>
        <x:v>Мало трафика</x:v>
      </x:c>
      <x:c r="N2123" s="1" t="str">
        <x:f>IF(AND('Данные'!D2123&gt;='Дашборд'!$C$55,D2123&lt;'Дашборд'!$C$56,'Данные'!E2123&gt;='Дашборд'!$C$53,'Данные'!L2123&lt;&gt;"Да"),"Да","Нет")</x:f>
        <x:v>Нет</x:v>
      </x:c>
      <x:c r="O2123" s="1" t="str">
        <x:f>'Данные'!L2123</x:f>
        <x:v>Нет</x:v>
      </x:c>
    </x:row>
    <x:row r="2124">
      <x:c r="A2124" s="1" t="str">
        <x:f>'Данные'!A2124</x:f>
        <x:v>233776438</x:v>
      </x:c>
      <x:c r="B2124" s="1" t="str">
        <x:f>'Данные'!B2124</x:f>
        <x:v>futbolkaboyX3/бел-ден-тсер</x:v>
      </x:c>
      <x:c r="C2124" s="8" t="n">
        <x:f>'Данные'!G2124</x:f>
        <x:v>0</x:v>
      </x:c>
      <x:c r="D2124" s="15" t="n">
        <x:f>C2124/SUM($C$5:$C$2477)</x:f>
        <x:v>0</x:v>
      </x:c>
      <x:c r="E2124" s="15" t="n">
        <x:f>SUM($D$5:D2124)</x:f>
        <x:v>1.0000000000000036</x:v>
      </x:c>
      <x:c r="F2124" s="1" t="str">
        <x:f>IF(C2124&lt;=0,"C",IF(E2124-D2124&lt;'Дашборд'!$C$49,"A",IF(E2124-D2124&lt;'Дашборд'!$C$50,"B","C")))</x:f>
        <x:v>C</x:v>
      </x:c>
      <x:c r="G2124" s="8" t="n">
        <x:f>'Данные'!F2124</x:f>
        <x:v>0</x:v>
      </x:c>
      <x:c r="H2124" s="8" t="n">
        <x:f>SUM('Данные'!H2124:I2124)</x:f>
        <x:v>0</x:v>
      </x:c>
      <x:c r="I2124" s="16" t="str">
        <x:f>IF(H2124&gt;0,G2124/H2124,"n.a.")</x:f>
        <x:v>n.a.</x:v>
      </x:c>
      <x:c r="J2124" s="10" t="n">
        <x:f>IF('Данные'!E2124&gt;0,G2124/'Данные'!E2124,"n.a.")</x:f>
        <x:v>0</x:v>
      </x:c>
      <x:c r="K2124" s="1" t="str">
        <x:f>IF(G2124&gt;='Дашборд'!$C$51,"X","Z")</x:f>
        <x:v>Z</x:v>
      </x:c>
      <x:c r="L2124" s="1" t="str">
        <x:f>IF(H2124=0,IF(G2124&gt;0,"Нет остатка","Нет спроса"),IF(I2124&gt;='Дашборд'!$C$52,"Быстрый","Медленный"))</x:f>
        <x:v>Нет спроса</x:v>
      </x:c>
      <x:c r="M2124" s="1" t="str">
        <x:f>IF('Данные'!E2124&lt;'Дашборд'!$C$53,"Мало трафика",IF(J2124&lt;'Дашборд'!$C$9*'Дашборд'!$C$54,"Да","Нет"))</x:f>
        <x:v>Мало трафика</x:v>
      </x:c>
      <x:c r="N2124" s="1" t="str">
        <x:f>IF(AND('Данные'!D2124&gt;='Дашборд'!$C$55,D2124&lt;'Дашборд'!$C$56,'Данные'!E2124&gt;='Дашборд'!$C$53,'Данные'!L2124&lt;&gt;"Да"),"Да","Нет")</x:f>
        <x:v>Нет</x:v>
      </x:c>
      <x:c r="O2124" s="1" t="str">
        <x:f>'Данные'!L2124</x:f>
        <x:v>Нет</x:v>
      </x:c>
    </x:row>
    <x:row r="2125">
      <x:c r="A2125" s="1" t="str">
        <x:f>'Данные'!A2125</x:f>
        <x:v>233777160</x:v>
      </x:c>
      <x:c r="B2125" s="1" t="str">
        <x:f>'Данные'!B2125</x:f>
        <x:v>bazaboyX3/ден-син-чер</x:v>
      </x:c>
      <x:c r="C2125" s="8" t="n">
        <x:f>'Данные'!G2125</x:f>
        <x:v>0</x:v>
      </x:c>
      <x:c r="D2125" s="15" t="n">
        <x:f>C2125/SUM($C$5:$C$2477)</x:f>
        <x:v>0</x:v>
      </x:c>
      <x:c r="E2125" s="15" t="n">
        <x:f>SUM($D$5:D2125)</x:f>
        <x:v>1.0000000000000036</x:v>
      </x:c>
      <x:c r="F2125" s="1" t="str">
        <x:f>IF(C2125&lt;=0,"C",IF(E2125-D2125&lt;'Дашборд'!$C$49,"A",IF(E2125-D2125&lt;'Дашборд'!$C$50,"B","C")))</x:f>
        <x:v>C</x:v>
      </x:c>
      <x:c r="G2125" s="8" t="n">
        <x:f>'Данные'!F2125</x:f>
        <x:v>0</x:v>
      </x:c>
      <x:c r="H2125" s="8" t="n">
        <x:f>SUM('Данные'!H2125:I2125)</x:f>
        <x:v>0</x:v>
      </x:c>
      <x:c r="I2125" s="16" t="str">
        <x:f>IF(H2125&gt;0,G2125/H2125,"n.a.")</x:f>
        <x:v>n.a.</x:v>
      </x:c>
      <x:c r="J2125" s="10" t="n">
        <x:f>IF('Данные'!E2125&gt;0,G2125/'Данные'!E2125,"n.a.")</x:f>
        <x:v>0</x:v>
      </x:c>
      <x:c r="K2125" s="1" t="str">
        <x:f>IF(G2125&gt;='Дашборд'!$C$51,"X","Z")</x:f>
        <x:v>Z</x:v>
      </x:c>
      <x:c r="L2125" s="1" t="str">
        <x:f>IF(H2125=0,IF(G2125&gt;0,"Нет остатка","Нет спроса"),IF(I2125&gt;='Дашборд'!$C$52,"Быстрый","Медленный"))</x:f>
        <x:v>Нет спроса</x:v>
      </x:c>
      <x:c r="M2125" s="1" t="str">
        <x:f>IF('Данные'!E2125&lt;'Дашборд'!$C$53,"Мало трафика",IF(J2125&lt;'Дашборд'!$C$9*'Дашборд'!$C$54,"Да","Нет"))</x:f>
        <x:v>Мало трафика</x:v>
      </x:c>
      <x:c r="N2125" s="1" t="str">
        <x:f>IF(AND('Данные'!D2125&gt;='Дашборд'!$C$55,D2125&lt;'Дашборд'!$C$56,'Данные'!E2125&gt;='Дашборд'!$C$53,'Данные'!L2125&lt;&gt;"Да"),"Да","Нет")</x:f>
        <x:v>Нет</x:v>
      </x:c>
      <x:c r="O2125" s="1" t="str">
        <x:f>'Данные'!L2125</x:f>
        <x:v>Нет</x:v>
      </x:c>
    </x:row>
    <x:row r="2126">
      <x:c r="A2126" s="1" t="str">
        <x:f>'Данные'!A2126</x:f>
        <x:v>233777166</x:v>
      </x:c>
      <x:c r="B2126" s="1" t="str">
        <x:f>'Данные'!B2126</x:f>
        <x:v>bazaboyX3/бел-кор-шал</x:v>
      </x:c>
      <x:c r="C2126" s="8" t="n">
        <x:f>'Данные'!G2126</x:f>
        <x:v>0</x:v>
      </x:c>
      <x:c r="D2126" s="15" t="n">
        <x:f>C2126/SUM($C$5:$C$2477)</x:f>
        <x:v>0</x:v>
      </x:c>
      <x:c r="E2126" s="15" t="n">
        <x:f>SUM($D$5:D2126)</x:f>
        <x:v>1.0000000000000036</x:v>
      </x:c>
      <x:c r="F2126" s="1" t="str">
        <x:f>IF(C2126&lt;=0,"C",IF(E2126-D2126&lt;'Дашборд'!$C$49,"A",IF(E2126-D2126&lt;'Дашборд'!$C$50,"B","C")))</x:f>
        <x:v>C</x:v>
      </x:c>
      <x:c r="G2126" s="8" t="n">
        <x:f>'Данные'!F2126</x:f>
        <x:v>0</x:v>
      </x:c>
      <x:c r="H2126" s="8" t="n">
        <x:f>SUM('Данные'!H2126:I2126)</x:f>
        <x:v>0</x:v>
      </x:c>
      <x:c r="I2126" s="16" t="str">
        <x:f>IF(H2126&gt;0,G2126/H2126,"n.a.")</x:f>
        <x:v>n.a.</x:v>
      </x:c>
      <x:c r="J2126" s="10" t="n">
        <x:f>IF('Данные'!E2126&gt;0,G2126/'Данные'!E2126,"n.a.")</x:f>
        <x:v>0</x:v>
      </x:c>
      <x:c r="K2126" s="1" t="str">
        <x:f>IF(G2126&gt;='Дашборд'!$C$51,"X","Z")</x:f>
        <x:v>Z</x:v>
      </x:c>
      <x:c r="L2126" s="1" t="str">
        <x:f>IF(H2126=0,IF(G2126&gt;0,"Нет остатка","Нет спроса"),IF(I2126&gt;='Дашборд'!$C$52,"Быстрый","Медленный"))</x:f>
        <x:v>Нет спроса</x:v>
      </x:c>
      <x:c r="M2126" s="1" t="str">
        <x:f>IF('Данные'!E2126&lt;'Дашборд'!$C$53,"Мало трафика",IF(J2126&lt;'Дашборд'!$C$9*'Дашборд'!$C$54,"Да","Нет"))</x:f>
        <x:v>Мало трафика</x:v>
      </x:c>
      <x:c r="N2126" s="1" t="str">
        <x:f>IF(AND('Данные'!D2126&gt;='Дашборд'!$C$55,D2126&lt;'Дашборд'!$C$56,'Данные'!E2126&gt;='Дашборд'!$C$53,'Данные'!L2126&lt;&gt;"Да"),"Да","Нет")</x:f>
        <x:v>Нет</x:v>
      </x:c>
      <x:c r="O2126" s="1" t="str">
        <x:f>'Данные'!L2126</x:f>
        <x:v>Нет</x:v>
      </x:c>
    </x:row>
    <x:row r="2127">
      <x:c r="A2127" s="1" t="str">
        <x:f>'Данные'!A2127</x:f>
        <x:v>233777167</x:v>
      </x:c>
      <x:c r="B2127" s="1" t="str">
        <x:f>'Данные'!B2127</x:f>
        <x:v>bazagirlX3/бел-сер-роз</x:v>
      </x:c>
      <x:c r="C2127" s="8" t="n">
        <x:f>'Данные'!G2127</x:f>
        <x:v>0</x:v>
      </x:c>
      <x:c r="D2127" s="15" t="n">
        <x:f>C2127/SUM($C$5:$C$2477)</x:f>
        <x:v>0</x:v>
      </x:c>
      <x:c r="E2127" s="15" t="n">
        <x:f>SUM($D$5:D2127)</x:f>
        <x:v>1.0000000000000036</x:v>
      </x:c>
      <x:c r="F2127" s="1" t="str">
        <x:f>IF(C2127&lt;=0,"C",IF(E2127-D2127&lt;'Дашборд'!$C$49,"A",IF(E2127-D2127&lt;'Дашборд'!$C$50,"B","C")))</x:f>
        <x:v>C</x:v>
      </x:c>
      <x:c r="G2127" s="8" t="n">
        <x:f>'Данные'!F2127</x:f>
        <x:v>0</x:v>
      </x:c>
      <x:c r="H2127" s="8" t="n">
        <x:f>SUM('Данные'!H2127:I2127)</x:f>
        <x:v>0</x:v>
      </x:c>
      <x:c r="I2127" s="16" t="str">
        <x:f>IF(H2127&gt;0,G2127/H2127,"n.a.")</x:f>
        <x:v>n.a.</x:v>
      </x:c>
      <x:c r="J2127" s="10" t="n">
        <x:f>IF('Данные'!E2127&gt;0,G2127/'Данные'!E2127,"n.a.")</x:f>
        <x:v>0</x:v>
      </x:c>
      <x:c r="K2127" s="1" t="str">
        <x:f>IF(G2127&gt;='Дашборд'!$C$51,"X","Z")</x:f>
        <x:v>Z</x:v>
      </x:c>
      <x:c r="L2127" s="1" t="str">
        <x:f>IF(H2127=0,IF(G2127&gt;0,"Нет остатка","Нет спроса"),IF(I2127&gt;='Дашборд'!$C$52,"Быстрый","Медленный"))</x:f>
        <x:v>Нет спроса</x:v>
      </x:c>
      <x:c r="M2127" s="1" t="str">
        <x:f>IF('Данные'!E2127&lt;'Дашборд'!$C$53,"Мало трафика",IF(J2127&lt;'Дашборд'!$C$9*'Дашборд'!$C$54,"Да","Нет"))</x:f>
        <x:v>Мало трафика</x:v>
      </x:c>
      <x:c r="N2127" s="1" t="str">
        <x:f>IF(AND('Данные'!D2127&gt;='Дашборд'!$C$55,D2127&lt;'Дашборд'!$C$56,'Данные'!E2127&gt;='Дашборд'!$C$53,'Данные'!L2127&lt;&gt;"Да"),"Да","Нет")</x:f>
        <x:v>Нет</x:v>
      </x:c>
      <x:c r="O2127" s="1" t="str">
        <x:f>'Данные'!L2127</x:f>
        <x:v>Нет</x:v>
      </x:c>
    </x:row>
    <x:row r="2128">
      <x:c r="A2128" s="1" t="str">
        <x:f>'Данные'!A2128</x:f>
        <x:v>233777169</x:v>
      </x:c>
      <x:c r="B2128" s="1" t="str">
        <x:f>'Данные'!B2128</x:f>
        <x:v>bazaboyX3/как-сер-чер</x:v>
      </x:c>
      <x:c r="C2128" s="8" t="n">
        <x:f>'Данные'!G2128</x:f>
        <x:v>0</x:v>
      </x:c>
      <x:c r="D2128" s="15" t="n">
        <x:f>C2128/SUM($C$5:$C$2477)</x:f>
        <x:v>0</x:v>
      </x:c>
      <x:c r="E2128" s="15" t="n">
        <x:f>SUM($D$5:D2128)</x:f>
        <x:v>1.0000000000000036</x:v>
      </x:c>
      <x:c r="F2128" s="1" t="str">
        <x:f>IF(C2128&lt;=0,"C",IF(E2128-D2128&lt;'Дашборд'!$C$49,"A",IF(E2128-D2128&lt;'Дашборд'!$C$50,"B","C")))</x:f>
        <x:v>C</x:v>
      </x:c>
      <x:c r="G2128" s="8" t="n">
        <x:f>'Данные'!F2128</x:f>
        <x:v>0</x:v>
      </x:c>
      <x:c r="H2128" s="8" t="n">
        <x:f>SUM('Данные'!H2128:I2128)</x:f>
        <x:v>0</x:v>
      </x:c>
      <x:c r="I2128" s="16" t="str">
        <x:f>IF(H2128&gt;0,G2128/H2128,"n.a.")</x:f>
        <x:v>n.a.</x:v>
      </x:c>
      <x:c r="J2128" s="10" t="n">
        <x:f>IF('Данные'!E2128&gt;0,G2128/'Данные'!E2128,"n.a.")</x:f>
        <x:v>0</x:v>
      </x:c>
      <x:c r="K2128" s="1" t="str">
        <x:f>IF(G2128&gt;='Дашборд'!$C$51,"X","Z")</x:f>
        <x:v>Z</x:v>
      </x:c>
      <x:c r="L2128" s="1" t="str">
        <x:f>IF(H2128=0,IF(G2128&gt;0,"Нет остатка","Нет спроса"),IF(I2128&gt;='Дашборд'!$C$52,"Быстрый","Медленный"))</x:f>
        <x:v>Нет спроса</x:v>
      </x:c>
      <x:c r="M2128" s="1" t="str">
        <x:f>IF('Данные'!E2128&lt;'Дашборд'!$C$53,"Мало трафика",IF(J2128&lt;'Дашборд'!$C$9*'Дашборд'!$C$54,"Да","Нет"))</x:f>
        <x:v>Мало трафика</x:v>
      </x:c>
      <x:c r="N2128" s="1" t="str">
        <x:f>IF(AND('Данные'!D2128&gt;='Дашборд'!$C$55,D2128&lt;'Дашборд'!$C$56,'Данные'!E2128&gt;='Дашборд'!$C$53,'Данные'!L2128&lt;&gt;"Да"),"Да","Нет")</x:f>
        <x:v>Нет</x:v>
      </x:c>
      <x:c r="O2128" s="1" t="str">
        <x:f>'Данные'!L2128</x:f>
        <x:v>Нет</x:v>
      </x:c>
    </x:row>
    <x:row r="2129">
      <x:c r="A2129" s="1" t="str">
        <x:f>'Данные'!A2129</x:f>
        <x:v>233777170</x:v>
      </x:c>
      <x:c r="B2129" s="1" t="str">
        <x:f>'Данные'!B2129</x:f>
        <x:v>bazaboyX3/шал-чер-бел</x:v>
      </x:c>
      <x:c r="C2129" s="8" t="n">
        <x:f>'Данные'!G2129</x:f>
        <x:v>0</x:v>
      </x:c>
      <x:c r="D2129" s="15" t="n">
        <x:f>C2129/SUM($C$5:$C$2477)</x:f>
        <x:v>0</x:v>
      </x:c>
      <x:c r="E2129" s="15" t="n">
        <x:f>SUM($D$5:D2129)</x:f>
        <x:v>1.0000000000000036</x:v>
      </x:c>
      <x:c r="F2129" s="1" t="str">
        <x:f>IF(C2129&lt;=0,"C",IF(E2129-D2129&lt;'Дашборд'!$C$49,"A",IF(E2129-D2129&lt;'Дашборд'!$C$50,"B","C")))</x:f>
        <x:v>C</x:v>
      </x:c>
      <x:c r="G2129" s="8" t="n">
        <x:f>'Данные'!F2129</x:f>
        <x:v>0</x:v>
      </x:c>
      <x:c r="H2129" s="8" t="n">
        <x:f>SUM('Данные'!H2129:I2129)</x:f>
        <x:v>0</x:v>
      </x:c>
      <x:c r="I2129" s="16" t="str">
        <x:f>IF(H2129&gt;0,G2129/H2129,"n.a.")</x:f>
        <x:v>n.a.</x:v>
      </x:c>
      <x:c r="J2129" s="10" t="n">
        <x:f>IF('Данные'!E2129&gt;0,G2129/'Данные'!E2129,"n.a.")</x:f>
        <x:v>0</x:v>
      </x:c>
      <x:c r="K2129" s="1" t="str">
        <x:f>IF(G2129&gt;='Дашборд'!$C$51,"X","Z")</x:f>
        <x:v>Z</x:v>
      </x:c>
      <x:c r="L2129" s="1" t="str">
        <x:f>IF(H2129=0,IF(G2129&gt;0,"Нет остатка","Нет спроса"),IF(I2129&gt;='Дашборд'!$C$52,"Быстрый","Медленный"))</x:f>
        <x:v>Нет спроса</x:v>
      </x:c>
      <x:c r="M2129" s="1" t="str">
        <x:f>IF('Данные'!E2129&lt;'Дашборд'!$C$53,"Мало трафика",IF(J2129&lt;'Дашборд'!$C$9*'Дашборд'!$C$54,"Да","Нет"))</x:f>
        <x:v>Мало трафика</x:v>
      </x:c>
      <x:c r="N2129" s="1" t="str">
        <x:f>IF(AND('Данные'!D2129&gt;='Дашборд'!$C$55,D2129&lt;'Дашборд'!$C$56,'Данные'!E2129&gt;='Дашборд'!$C$53,'Данные'!L2129&lt;&gt;"Да"),"Да","Нет")</x:f>
        <x:v>Нет</x:v>
      </x:c>
      <x:c r="O2129" s="1" t="str">
        <x:f>'Данные'!L2129</x:f>
        <x:v>Нет</x:v>
      </x:c>
    </x:row>
    <x:row r="2130">
      <x:c r="A2130" s="1" t="str">
        <x:f>'Данные'!A2130</x:f>
        <x:v>233777171</x:v>
      </x:c>
      <x:c r="B2130" s="1" t="str">
        <x:f>'Данные'!B2130</x:f>
        <x:v>bazagirlX3/бел-тсер-роз</x:v>
      </x:c>
      <x:c r="C2130" s="8" t="n">
        <x:f>'Данные'!G2130</x:f>
        <x:v>0</x:v>
      </x:c>
      <x:c r="D2130" s="15" t="n">
        <x:f>C2130/SUM($C$5:$C$2477)</x:f>
        <x:v>0</x:v>
      </x:c>
      <x:c r="E2130" s="15" t="n">
        <x:f>SUM($D$5:D2130)</x:f>
        <x:v>1.0000000000000036</x:v>
      </x:c>
      <x:c r="F2130" s="1" t="str">
        <x:f>IF(C2130&lt;=0,"C",IF(E2130-D2130&lt;'Дашборд'!$C$49,"A",IF(E2130-D2130&lt;'Дашборд'!$C$50,"B","C")))</x:f>
        <x:v>C</x:v>
      </x:c>
      <x:c r="G2130" s="8" t="n">
        <x:f>'Данные'!F2130</x:f>
        <x:v>0</x:v>
      </x:c>
      <x:c r="H2130" s="8" t="n">
        <x:f>SUM('Данные'!H2130:I2130)</x:f>
        <x:v>0</x:v>
      </x:c>
      <x:c r="I2130" s="16" t="str">
        <x:f>IF(H2130&gt;0,G2130/H2130,"n.a.")</x:f>
        <x:v>n.a.</x:v>
      </x:c>
      <x:c r="J2130" s="10" t="n">
        <x:f>IF('Данные'!E2130&gt;0,G2130/'Данные'!E2130,"n.a.")</x:f>
        <x:v>0</x:v>
      </x:c>
      <x:c r="K2130" s="1" t="str">
        <x:f>IF(G2130&gt;='Дашборд'!$C$51,"X","Z")</x:f>
        <x:v>Z</x:v>
      </x:c>
      <x:c r="L2130" s="1" t="str">
        <x:f>IF(H2130=0,IF(G2130&gt;0,"Нет остатка","Нет спроса"),IF(I2130&gt;='Дашборд'!$C$52,"Быстрый","Медленный"))</x:f>
        <x:v>Нет спроса</x:v>
      </x:c>
      <x:c r="M2130" s="1" t="str">
        <x:f>IF('Данные'!E2130&lt;'Дашборд'!$C$53,"Мало трафика",IF(J2130&lt;'Дашборд'!$C$9*'Дашборд'!$C$54,"Да","Нет"))</x:f>
        <x:v>Мало трафика</x:v>
      </x:c>
      <x:c r="N2130" s="1" t="str">
        <x:f>IF(AND('Данные'!D2130&gt;='Дашборд'!$C$55,D2130&lt;'Дашборд'!$C$56,'Данные'!E2130&gt;='Дашборд'!$C$53,'Данные'!L2130&lt;&gt;"Да"),"Да","Нет")</x:f>
        <x:v>Нет</x:v>
      </x:c>
      <x:c r="O2130" s="1" t="str">
        <x:f>'Данные'!L2130</x:f>
        <x:v>Нет</x:v>
      </x:c>
    </x:row>
    <x:row r="2131">
      <x:c r="A2131" s="1" t="str">
        <x:f>'Данные'!A2131</x:f>
        <x:v>233777174</x:v>
      </x:c>
      <x:c r="B2131" s="1" t="str">
        <x:f>'Данные'!B2131</x:f>
        <x:v>futbolkaboyX3/ден-син-чер</x:v>
      </x:c>
      <x:c r="C2131" s="8" t="n">
        <x:f>'Данные'!G2131</x:f>
        <x:v>0</x:v>
      </x:c>
      <x:c r="D2131" s="15" t="n">
        <x:f>C2131/SUM($C$5:$C$2477)</x:f>
        <x:v>0</x:v>
      </x:c>
      <x:c r="E2131" s="15" t="n">
        <x:f>SUM($D$5:D2131)</x:f>
        <x:v>1.0000000000000036</x:v>
      </x:c>
      <x:c r="F2131" s="1" t="str">
        <x:f>IF(C2131&lt;=0,"C",IF(E2131-D2131&lt;'Дашборд'!$C$49,"A",IF(E2131-D2131&lt;'Дашборд'!$C$50,"B","C")))</x:f>
        <x:v>C</x:v>
      </x:c>
      <x:c r="G2131" s="8" t="n">
        <x:f>'Данные'!F2131</x:f>
        <x:v>0</x:v>
      </x:c>
      <x:c r="H2131" s="8" t="n">
        <x:f>SUM('Данные'!H2131:I2131)</x:f>
        <x:v>0</x:v>
      </x:c>
      <x:c r="I2131" s="16" t="str">
        <x:f>IF(H2131&gt;0,G2131/H2131,"n.a.")</x:f>
        <x:v>n.a.</x:v>
      </x:c>
      <x:c r="J2131" s="10" t="n">
        <x:f>IF('Данные'!E2131&gt;0,G2131/'Данные'!E2131,"n.a.")</x:f>
        <x:v>0</x:v>
      </x:c>
      <x:c r="K2131" s="1" t="str">
        <x:f>IF(G2131&gt;='Дашборд'!$C$51,"X","Z")</x:f>
        <x:v>Z</x:v>
      </x:c>
      <x:c r="L2131" s="1" t="str">
        <x:f>IF(H2131=0,IF(G2131&gt;0,"Нет остатка","Нет спроса"),IF(I2131&gt;='Дашборд'!$C$52,"Быстрый","Медленный"))</x:f>
        <x:v>Нет спроса</x:v>
      </x:c>
      <x:c r="M2131" s="1" t="str">
        <x:f>IF('Данные'!E2131&lt;'Дашборд'!$C$53,"Мало трафика",IF(J2131&lt;'Дашборд'!$C$9*'Дашборд'!$C$54,"Да","Нет"))</x:f>
        <x:v>Мало трафика</x:v>
      </x:c>
      <x:c r="N2131" s="1" t="str">
        <x:f>IF(AND('Данные'!D2131&gt;='Дашборд'!$C$55,D2131&lt;'Дашборд'!$C$56,'Данные'!E2131&gt;='Дашборд'!$C$53,'Данные'!L2131&lt;&gt;"Да"),"Да","Нет")</x:f>
        <x:v>Нет</x:v>
      </x:c>
      <x:c r="O2131" s="1" t="str">
        <x:f>'Данные'!L2131</x:f>
        <x:v>Нет</x:v>
      </x:c>
    </x:row>
    <x:row r="2132">
      <x:c r="A2132" s="1" t="str">
        <x:f>'Данные'!A2132</x:f>
        <x:v>233777176</x:v>
      </x:c>
      <x:c r="B2132" s="1" t="str">
        <x:f>'Данные'!B2132</x:f>
        <x:v>futbolkaboyX3/бел-чер-тсер</x:v>
      </x:c>
      <x:c r="C2132" s="8" t="n">
        <x:f>'Данные'!G2132</x:f>
        <x:v>0</x:v>
      </x:c>
      <x:c r="D2132" s="15" t="n">
        <x:f>C2132/SUM($C$5:$C$2477)</x:f>
        <x:v>0</x:v>
      </x:c>
      <x:c r="E2132" s="15" t="n">
        <x:f>SUM($D$5:D2132)</x:f>
        <x:v>1.0000000000000036</x:v>
      </x:c>
      <x:c r="F2132" s="1" t="str">
        <x:f>IF(C2132&lt;=0,"C",IF(E2132-D2132&lt;'Дашборд'!$C$49,"A",IF(E2132-D2132&lt;'Дашборд'!$C$50,"B","C")))</x:f>
        <x:v>C</x:v>
      </x:c>
      <x:c r="G2132" s="8" t="n">
        <x:f>'Данные'!F2132</x:f>
        <x:v>0</x:v>
      </x:c>
      <x:c r="H2132" s="8" t="n">
        <x:f>SUM('Данные'!H2132:I2132)</x:f>
        <x:v>0</x:v>
      </x:c>
      <x:c r="I2132" s="16" t="str">
        <x:f>IF(H2132&gt;0,G2132/H2132,"n.a.")</x:f>
        <x:v>n.a.</x:v>
      </x:c>
      <x:c r="J2132" s="10" t="n">
        <x:f>IF('Данные'!E2132&gt;0,G2132/'Данные'!E2132,"n.a.")</x:f>
        <x:v>0</x:v>
      </x:c>
      <x:c r="K2132" s="1" t="str">
        <x:f>IF(G2132&gt;='Дашборд'!$C$51,"X","Z")</x:f>
        <x:v>Z</x:v>
      </x:c>
      <x:c r="L2132" s="1" t="str">
        <x:f>IF(H2132=0,IF(G2132&gt;0,"Нет остатка","Нет спроса"),IF(I2132&gt;='Дашборд'!$C$52,"Быстрый","Медленный"))</x:f>
        <x:v>Нет спроса</x:v>
      </x:c>
      <x:c r="M2132" s="1" t="str">
        <x:f>IF('Данные'!E2132&lt;'Дашборд'!$C$53,"Мало трафика",IF(J2132&lt;'Дашборд'!$C$9*'Дашборд'!$C$54,"Да","Нет"))</x:f>
        <x:v>Мало трафика</x:v>
      </x:c>
      <x:c r="N2132" s="1" t="str">
        <x:f>IF(AND('Данные'!D2132&gt;='Дашборд'!$C$55,D2132&lt;'Дашборд'!$C$56,'Данные'!E2132&gt;='Дашборд'!$C$53,'Данные'!L2132&lt;&gt;"Да"),"Да","Нет")</x:f>
        <x:v>Нет</x:v>
      </x:c>
      <x:c r="O2132" s="1" t="str">
        <x:f>'Данные'!L2132</x:f>
        <x:v>Нет</x:v>
      </x:c>
    </x:row>
    <x:row r="2133">
      <x:c r="A2133" s="1" t="str">
        <x:f>'Данные'!A2133</x:f>
        <x:v>233777177</x:v>
      </x:c>
      <x:c r="B2133" s="1" t="str">
        <x:f>'Данные'!B2133</x:f>
        <x:v>bazagirlX3/сер-шал-бел</x:v>
      </x:c>
      <x:c r="C2133" s="8" t="n">
        <x:f>'Данные'!G2133</x:f>
        <x:v>0</x:v>
      </x:c>
      <x:c r="D2133" s="15" t="n">
        <x:f>C2133/SUM($C$5:$C$2477)</x:f>
        <x:v>0</x:v>
      </x:c>
      <x:c r="E2133" s="15" t="n">
        <x:f>SUM($D$5:D2133)</x:f>
        <x:v>1.0000000000000036</x:v>
      </x:c>
      <x:c r="F2133" s="1" t="str">
        <x:f>IF(C2133&lt;=0,"C",IF(E2133-D2133&lt;'Дашборд'!$C$49,"A",IF(E2133-D2133&lt;'Дашборд'!$C$50,"B","C")))</x:f>
        <x:v>C</x:v>
      </x:c>
      <x:c r="G2133" s="8" t="n">
        <x:f>'Данные'!F2133</x:f>
        <x:v>0</x:v>
      </x:c>
      <x:c r="H2133" s="8" t="n">
        <x:f>SUM('Данные'!H2133:I2133)</x:f>
        <x:v>0</x:v>
      </x:c>
      <x:c r="I2133" s="16" t="str">
        <x:f>IF(H2133&gt;0,G2133/H2133,"n.a.")</x:f>
        <x:v>n.a.</x:v>
      </x:c>
      <x:c r="J2133" s="10" t="n">
        <x:f>IF('Данные'!E2133&gt;0,G2133/'Данные'!E2133,"n.a.")</x:f>
        <x:v>0</x:v>
      </x:c>
      <x:c r="K2133" s="1" t="str">
        <x:f>IF(G2133&gt;='Дашборд'!$C$51,"X","Z")</x:f>
        <x:v>Z</x:v>
      </x:c>
      <x:c r="L2133" s="1" t="str">
        <x:f>IF(H2133=0,IF(G2133&gt;0,"Нет остатка","Нет спроса"),IF(I2133&gt;='Дашборд'!$C$52,"Быстрый","Медленный"))</x:f>
        <x:v>Нет спроса</x:v>
      </x:c>
      <x:c r="M2133" s="1" t="str">
        <x:f>IF('Данные'!E2133&lt;'Дашборд'!$C$53,"Мало трафика",IF(J2133&lt;'Дашборд'!$C$9*'Дашборд'!$C$54,"Да","Нет"))</x:f>
        <x:v>Мало трафика</x:v>
      </x:c>
      <x:c r="N2133" s="1" t="str">
        <x:f>IF(AND('Данные'!D2133&gt;='Дашборд'!$C$55,D2133&lt;'Дашборд'!$C$56,'Данные'!E2133&gt;='Дашборд'!$C$53,'Данные'!L2133&lt;&gt;"Да"),"Да","Нет")</x:f>
        <x:v>Нет</x:v>
      </x:c>
      <x:c r="O2133" s="1" t="str">
        <x:f>'Данные'!L2133</x:f>
        <x:v>Нет</x:v>
      </x:c>
    </x:row>
    <x:row r="2134">
      <x:c r="A2134" s="1" t="str">
        <x:f>'Данные'!A2134</x:f>
        <x:v>233777178</x:v>
      </x:c>
      <x:c r="B2134" s="1" t="str">
        <x:f>'Данные'!B2134</x:f>
        <x:v>futbolkagirlX3/бел-сер-роз</x:v>
      </x:c>
      <x:c r="C2134" s="8" t="n">
        <x:f>'Данные'!G2134</x:f>
        <x:v>0</x:v>
      </x:c>
      <x:c r="D2134" s="15" t="n">
        <x:f>C2134/SUM($C$5:$C$2477)</x:f>
        <x:v>0</x:v>
      </x:c>
      <x:c r="E2134" s="15" t="n">
        <x:f>SUM($D$5:D2134)</x:f>
        <x:v>1.0000000000000036</x:v>
      </x:c>
      <x:c r="F2134" s="1" t="str">
        <x:f>IF(C2134&lt;=0,"C",IF(E2134-D2134&lt;'Дашборд'!$C$49,"A",IF(E2134-D2134&lt;'Дашборд'!$C$50,"B","C")))</x:f>
        <x:v>C</x:v>
      </x:c>
      <x:c r="G2134" s="8" t="n">
        <x:f>'Данные'!F2134</x:f>
        <x:v>0</x:v>
      </x:c>
      <x:c r="H2134" s="8" t="n">
        <x:f>SUM('Данные'!H2134:I2134)</x:f>
        <x:v>0</x:v>
      </x:c>
      <x:c r="I2134" s="16" t="str">
        <x:f>IF(H2134&gt;0,G2134/H2134,"n.a.")</x:f>
        <x:v>n.a.</x:v>
      </x:c>
      <x:c r="J2134" s="10" t="n">
        <x:f>IF('Данные'!E2134&gt;0,G2134/'Данные'!E2134,"n.a.")</x:f>
        <x:v>0</x:v>
      </x:c>
      <x:c r="K2134" s="1" t="str">
        <x:f>IF(G2134&gt;='Дашборд'!$C$51,"X","Z")</x:f>
        <x:v>Z</x:v>
      </x:c>
      <x:c r="L2134" s="1" t="str">
        <x:f>IF(H2134=0,IF(G2134&gt;0,"Нет остатка","Нет спроса"),IF(I2134&gt;='Дашборд'!$C$52,"Быстрый","Медленный"))</x:f>
        <x:v>Нет спроса</x:v>
      </x:c>
      <x:c r="M2134" s="1" t="str">
        <x:f>IF('Данные'!E2134&lt;'Дашборд'!$C$53,"Мало трафика",IF(J2134&lt;'Дашборд'!$C$9*'Дашборд'!$C$54,"Да","Нет"))</x:f>
        <x:v>Мало трафика</x:v>
      </x:c>
      <x:c r="N2134" s="1" t="str">
        <x:f>IF(AND('Данные'!D2134&gt;='Дашборд'!$C$55,D2134&lt;'Дашборд'!$C$56,'Данные'!E2134&gt;='Дашборд'!$C$53,'Данные'!L2134&lt;&gt;"Да"),"Да","Нет")</x:f>
        <x:v>Нет</x:v>
      </x:c>
      <x:c r="O2134" s="1" t="str">
        <x:f>'Данные'!L2134</x:f>
        <x:v>Нет</x:v>
      </x:c>
    </x:row>
    <x:row r="2135">
      <x:c r="A2135" s="1" t="str">
        <x:f>'Данные'!A2135</x:f>
        <x:v>233777179</x:v>
      </x:c>
      <x:c r="B2135" s="1" t="str">
        <x:f>'Данные'!B2135</x:f>
        <x:v>futbolkagirlX3/бел-ден-роз</x:v>
      </x:c>
      <x:c r="C2135" s="8" t="n">
        <x:f>'Данные'!G2135</x:f>
        <x:v>0</x:v>
      </x:c>
      <x:c r="D2135" s="15" t="n">
        <x:f>C2135/SUM($C$5:$C$2477)</x:f>
        <x:v>0</x:v>
      </x:c>
      <x:c r="E2135" s="15" t="n">
        <x:f>SUM($D$5:D2135)</x:f>
        <x:v>1.0000000000000036</x:v>
      </x:c>
      <x:c r="F2135" s="1" t="str">
        <x:f>IF(C2135&lt;=0,"C",IF(E2135-D2135&lt;'Дашборд'!$C$49,"A",IF(E2135-D2135&lt;'Дашборд'!$C$50,"B","C")))</x:f>
        <x:v>C</x:v>
      </x:c>
      <x:c r="G2135" s="8" t="n">
        <x:f>'Данные'!F2135</x:f>
        <x:v>0</x:v>
      </x:c>
      <x:c r="H2135" s="8" t="n">
        <x:f>SUM('Данные'!H2135:I2135)</x:f>
        <x:v>0</x:v>
      </x:c>
      <x:c r="I2135" s="16" t="str">
        <x:f>IF(H2135&gt;0,G2135/H2135,"n.a.")</x:f>
        <x:v>n.a.</x:v>
      </x:c>
      <x:c r="J2135" s="10" t="n">
        <x:f>IF('Данные'!E2135&gt;0,G2135/'Данные'!E2135,"n.a.")</x:f>
        <x:v>0</x:v>
      </x:c>
      <x:c r="K2135" s="1" t="str">
        <x:f>IF(G2135&gt;='Дашборд'!$C$51,"X","Z")</x:f>
        <x:v>Z</x:v>
      </x:c>
      <x:c r="L2135" s="1" t="str">
        <x:f>IF(H2135=0,IF(G2135&gt;0,"Нет остатка","Нет спроса"),IF(I2135&gt;='Дашборд'!$C$52,"Быстрый","Медленный"))</x:f>
        <x:v>Нет спроса</x:v>
      </x:c>
      <x:c r="M2135" s="1" t="str">
        <x:f>IF('Данные'!E2135&lt;'Дашборд'!$C$53,"Мало трафика",IF(J2135&lt;'Дашборд'!$C$9*'Дашборд'!$C$54,"Да","Нет"))</x:f>
        <x:v>Мало трафика</x:v>
      </x:c>
      <x:c r="N2135" s="1" t="str">
        <x:f>IF(AND('Данные'!D2135&gt;='Дашборд'!$C$55,D2135&lt;'Дашборд'!$C$56,'Данные'!E2135&gt;='Дашборд'!$C$53,'Данные'!L2135&lt;&gt;"Да"),"Да","Нет")</x:f>
        <x:v>Нет</x:v>
      </x:c>
      <x:c r="O2135" s="1" t="str">
        <x:f>'Данные'!L2135</x:f>
        <x:v>Нет</x:v>
      </x:c>
    </x:row>
    <x:row r="2136">
      <x:c r="A2136" s="1" t="str">
        <x:f>'Данные'!A2136</x:f>
        <x:v>233777182</x:v>
      </x:c>
      <x:c r="B2136" s="1" t="str">
        <x:f>'Данные'!B2136</x:f>
        <x:v>futbolkaboyX3/чер-тсер-син</x:v>
      </x:c>
      <x:c r="C2136" s="8" t="n">
        <x:f>'Данные'!G2136</x:f>
        <x:v>0</x:v>
      </x:c>
      <x:c r="D2136" s="15" t="n">
        <x:f>C2136/SUM($C$5:$C$2477)</x:f>
        <x:v>0</x:v>
      </x:c>
      <x:c r="E2136" s="15" t="n">
        <x:f>SUM($D$5:D2136)</x:f>
        <x:v>1.0000000000000036</x:v>
      </x:c>
      <x:c r="F2136" s="1" t="str">
        <x:f>IF(C2136&lt;=0,"C",IF(E2136-D2136&lt;'Дашборд'!$C$49,"A",IF(E2136-D2136&lt;'Дашборд'!$C$50,"B","C")))</x:f>
        <x:v>C</x:v>
      </x:c>
      <x:c r="G2136" s="8" t="n">
        <x:f>'Данные'!F2136</x:f>
        <x:v>0</x:v>
      </x:c>
      <x:c r="H2136" s="8" t="n">
        <x:f>SUM('Данные'!H2136:I2136)</x:f>
        <x:v>0</x:v>
      </x:c>
      <x:c r="I2136" s="16" t="str">
        <x:f>IF(H2136&gt;0,G2136/H2136,"n.a.")</x:f>
        <x:v>n.a.</x:v>
      </x:c>
      <x:c r="J2136" s="10" t="n">
        <x:f>IF('Данные'!E2136&gt;0,G2136/'Данные'!E2136,"n.a.")</x:f>
        <x:v>0</x:v>
      </x:c>
      <x:c r="K2136" s="1" t="str">
        <x:f>IF(G2136&gt;='Дашборд'!$C$51,"X","Z")</x:f>
        <x:v>Z</x:v>
      </x:c>
      <x:c r="L2136" s="1" t="str">
        <x:f>IF(H2136=0,IF(G2136&gt;0,"Нет остатка","Нет спроса"),IF(I2136&gt;='Дашборд'!$C$52,"Быстрый","Медленный"))</x:f>
        <x:v>Нет спроса</x:v>
      </x:c>
      <x:c r="M2136" s="1" t="str">
        <x:f>IF('Данные'!E2136&lt;'Дашборд'!$C$53,"Мало трафика",IF(J2136&lt;'Дашборд'!$C$9*'Дашборд'!$C$54,"Да","Нет"))</x:f>
        <x:v>Мало трафика</x:v>
      </x:c>
      <x:c r="N2136" s="1" t="str">
        <x:f>IF(AND('Данные'!D2136&gt;='Дашборд'!$C$55,D2136&lt;'Дашборд'!$C$56,'Данные'!E2136&gt;='Дашборд'!$C$53,'Данные'!L2136&lt;&gt;"Да"),"Да","Нет")</x:f>
        <x:v>Нет</x:v>
      </x:c>
      <x:c r="O2136" s="1" t="str">
        <x:f>'Данные'!L2136</x:f>
        <x:v>Нет</x:v>
      </x:c>
    </x:row>
    <x:row r="2137">
      <x:c r="A2137" s="1" t="str">
        <x:f>'Данные'!A2137</x:f>
        <x:v>233777184</x:v>
      </x:c>
      <x:c r="B2137" s="1" t="str">
        <x:f>'Данные'!B2137</x:f>
        <x:v>futbolkagirlX3/сер-шал-бел</x:v>
      </x:c>
      <x:c r="C2137" s="8" t="n">
        <x:f>'Данные'!G2137</x:f>
        <x:v>0</x:v>
      </x:c>
      <x:c r="D2137" s="15" t="n">
        <x:f>C2137/SUM($C$5:$C$2477)</x:f>
        <x:v>0</x:v>
      </x:c>
      <x:c r="E2137" s="15" t="n">
        <x:f>SUM($D$5:D2137)</x:f>
        <x:v>1.0000000000000036</x:v>
      </x:c>
      <x:c r="F2137" s="1" t="str">
        <x:f>IF(C2137&lt;=0,"C",IF(E2137-D2137&lt;'Дашборд'!$C$49,"A",IF(E2137-D2137&lt;'Дашборд'!$C$50,"B","C")))</x:f>
        <x:v>C</x:v>
      </x:c>
      <x:c r="G2137" s="8" t="n">
        <x:f>'Данные'!F2137</x:f>
        <x:v>0</x:v>
      </x:c>
      <x:c r="H2137" s="8" t="n">
        <x:f>SUM('Данные'!H2137:I2137)</x:f>
        <x:v>0</x:v>
      </x:c>
      <x:c r="I2137" s="16" t="str">
        <x:f>IF(H2137&gt;0,G2137/H2137,"n.a.")</x:f>
        <x:v>n.a.</x:v>
      </x:c>
      <x:c r="J2137" s="10" t="n">
        <x:f>IF('Данные'!E2137&gt;0,G2137/'Данные'!E2137,"n.a.")</x:f>
        <x:v>0</x:v>
      </x:c>
      <x:c r="K2137" s="1" t="str">
        <x:f>IF(G2137&gt;='Дашборд'!$C$51,"X","Z")</x:f>
        <x:v>Z</x:v>
      </x:c>
      <x:c r="L2137" s="1" t="str">
        <x:f>IF(H2137=0,IF(G2137&gt;0,"Нет остатка","Нет спроса"),IF(I2137&gt;='Дашборд'!$C$52,"Быстрый","Медленный"))</x:f>
        <x:v>Нет спроса</x:v>
      </x:c>
      <x:c r="M2137" s="1" t="str">
        <x:f>IF('Данные'!E2137&lt;'Дашборд'!$C$53,"Мало трафика",IF(J2137&lt;'Дашборд'!$C$9*'Дашборд'!$C$54,"Да","Нет"))</x:f>
        <x:v>Мало трафика</x:v>
      </x:c>
      <x:c r="N2137" s="1" t="str">
        <x:f>IF(AND('Данные'!D2137&gt;='Дашборд'!$C$55,D2137&lt;'Дашборд'!$C$56,'Данные'!E2137&gt;='Дашборд'!$C$53,'Данные'!L2137&lt;&gt;"Да"),"Да","Нет")</x:f>
        <x:v>Нет</x:v>
      </x:c>
      <x:c r="O2137" s="1" t="str">
        <x:f>'Данные'!L2137</x:f>
        <x:v>Нет</x:v>
      </x:c>
    </x:row>
    <x:row r="2138">
      <x:c r="A2138" s="1" t="str">
        <x:f>'Данные'!A2138</x:f>
        <x:v>233777185</x:v>
      </x:c>
      <x:c r="B2138" s="1" t="str">
        <x:f>'Данные'!B2138</x:f>
        <x:v>futbolkaboyX3/ден-сер-шал</x:v>
      </x:c>
      <x:c r="C2138" s="8" t="n">
        <x:f>'Данные'!G2138</x:f>
        <x:v>0</x:v>
      </x:c>
      <x:c r="D2138" s="15" t="n">
        <x:f>C2138/SUM($C$5:$C$2477)</x:f>
        <x:v>0</x:v>
      </x:c>
      <x:c r="E2138" s="15" t="n">
        <x:f>SUM($D$5:D2138)</x:f>
        <x:v>1.0000000000000036</x:v>
      </x:c>
      <x:c r="F2138" s="1" t="str">
        <x:f>IF(C2138&lt;=0,"C",IF(E2138-D2138&lt;'Дашборд'!$C$49,"A",IF(E2138-D2138&lt;'Дашборд'!$C$50,"B","C")))</x:f>
        <x:v>C</x:v>
      </x:c>
      <x:c r="G2138" s="8" t="n">
        <x:f>'Данные'!F2138</x:f>
        <x:v>0</x:v>
      </x:c>
      <x:c r="H2138" s="8" t="n">
        <x:f>SUM('Данные'!H2138:I2138)</x:f>
        <x:v>0</x:v>
      </x:c>
      <x:c r="I2138" s="16" t="str">
        <x:f>IF(H2138&gt;0,G2138/H2138,"n.a.")</x:f>
        <x:v>n.a.</x:v>
      </x:c>
      <x:c r="J2138" s="10" t="n">
        <x:f>IF('Данные'!E2138&gt;0,G2138/'Данные'!E2138,"n.a.")</x:f>
        <x:v>0</x:v>
      </x:c>
      <x:c r="K2138" s="1" t="str">
        <x:f>IF(G2138&gt;='Дашборд'!$C$51,"X","Z")</x:f>
        <x:v>Z</x:v>
      </x:c>
      <x:c r="L2138" s="1" t="str">
        <x:f>IF(H2138=0,IF(G2138&gt;0,"Нет остатка","Нет спроса"),IF(I2138&gt;='Дашборд'!$C$52,"Быстрый","Медленный"))</x:f>
        <x:v>Нет спроса</x:v>
      </x:c>
      <x:c r="M2138" s="1" t="str">
        <x:f>IF('Данные'!E2138&lt;'Дашборд'!$C$53,"Мало трафика",IF(J2138&lt;'Дашборд'!$C$9*'Дашборд'!$C$54,"Да","Нет"))</x:f>
        <x:v>Мало трафика</x:v>
      </x:c>
      <x:c r="N2138" s="1" t="str">
        <x:f>IF(AND('Данные'!D2138&gt;='Дашборд'!$C$55,D2138&lt;'Дашборд'!$C$56,'Данные'!E2138&gt;='Дашборд'!$C$53,'Данные'!L2138&lt;&gt;"Да"),"Да","Нет")</x:f>
        <x:v>Нет</x:v>
      </x:c>
      <x:c r="O2138" s="1" t="str">
        <x:f>'Данные'!L2138</x:f>
        <x:v>Нет</x:v>
      </x:c>
    </x:row>
    <x:row r="2139">
      <x:c r="A2139" s="1" t="str">
        <x:f>'Данные'!A2139</x:f>
        <x:v>233777186</x:v>
      </x:c>
      <x:c r="B2139" s="1" t="str">
        <x:f>'Данные'!B2139</x:f>
        <x:v>futbolkaboyX3/бел-сер-син</x:v>
      </x:c>
      <x:c r="C2139" s="8" t="n">
        <x:f>'Данные'!G2139</x:f>
        <x:v>0</x:v>
      </x:c>
      <x:c r="D2139" s="15" t="n">
        <x:f>C2139/SUM($C$5:$C$2477)</x:f>
        <x:v>0</x:v>
      </x:c>
      <x:c r="E2139" s="15" t="n">
        <x:f>SUM($D$5:D2139)</x:f>
        <x:v>1.0000000000000036</x:v>
      </x:c>
      <x:c r="F2139" s="1" t="str">
        <x:f>IF(C2139&lt;=0,"C",IF(E2139-D2139&lt;'Дашборд'!$C$49,"A",IF(E2139-D2139&lt;'Дашборд'!$C$50,"B","C")))</x:f>
        <x:v>C</x:v>
      </x:c>
      <x:c r="G2139" s="8" t="n">
        <x:f>'Данные'!F2139</x:f>
        <x:v>0</x:v>
      </x:c>
      <x:c r="H2139" s="8" t="n">
        <x:f>SUM('Данные'!H2139:I2139)</x:f>
        <x:v>0</x:v>
      </x:c>
      <x:c r="I2139" s="16" t="str">
        <x:f>IF(H2139&gt;0,G2139/H2139,"n.a.")</x:f>
        <x:v>n.a.</x:v>
      </x:c>
      <x:c r="J2139" s="10" t="n">
        <x:f>IF('Данные'!E2139&gt;0,G2139/'Данные'!E2139,"n.a.")</x:f>
        <x:v>0</x:v>
      </x:c>
      <x:c r="K2139" s="1" t="str">
        <x:f>IF(G2139&gt;='Дашборд'!$C$51,"X","Z")</x:f>
        <x:v>Z</x:v>
      </x:c>
      <x:c r="L2139" s="1" t="str">
        <x:f>IF(H2139=0,IF(G2139&gt;0,"Нет остатка","Нет спроса"),IF(I2139&gt;='Дашборд'!$C$52,"Быстрый","Медленный"))</x:f>
        <x:v>Нет спроса</x:v>
      </x:c>
      <x:c r="M2139" s="1" t="str">
        <x:f>IF('Данные'!E2139&lt;'Дашборд'!$C$53,"Мало трафика",IF(J2139&lt;'Дашборд'!$C$9*'Дашборд'!$C$54,"Да","Нет"))</x:f>
        <x:v>Мало трафика</x:v>
      </x:c>
      <x:c r="N2139" s="1" t="str">
        <x:f>IF(AND('Данные'!D2139&gt;='Дашборд'!$C$55,D2139&lt;'Дашборд'!$C$56,'Данные'!E2139&gt;='Дашборд'!$C$53,'Данные'!L2139&lt;&gt;"Да"),"Да","Нет")</x:f>
        <x:v>Нет</x:v>
      </x:c>
      <x:c r="O2139" s="1" t="str">
        <x:f>'Данные'!L2139</x:f>
        <x:v>Нет</x:v>
      </x:c>
    </x:row>
    <x:row r="2140">
      <x:c r="A2140" s="1" t="str">
        <x:f>'Данные'!A2140</x:f>
        <x:v>233777188</x:v>
      </x:c>
      <x:c r="B2140" s="1" t="str">
        <x:f>'Данные'!B2140</x:f>
        <x:v>futbolkagirlX3/бел-тсер-роз</x:v>
      </x:c>
      <x:c r="C2140" s="8" t="n">
        <x:f>'Данные'!G2140</x:f>
        <x:v>0</x:v>
      </x:c>
      <x:c r="D2140" s="15" t="n">
        <x:f>C2140/SUM($C$5:$C$2477)</x:f>
        <x:v>0</x:v>
      </x:c>
      <x:c r="E2140" s="15" t="n">
        <x:f>SUM($D$5:D2140)</x:f>
        <x:v>1.0000000000000036</x:v>
      </x:c>
      <x:c r="F2140" s="1" t="str">
        <x:f>IF(C2140&lt;=0,"C",IF(E2140-D2140&lt;'Дашборд'!$C$49,"A",IF(E2140-D2140&lt;'Дашборд'!$C$50,"B","C")))</x:f>
        <x:v>C</x:v>
      </x:c>
      <x:c r="G2140" s="8" t="n">
        <x:f>'Данные'!F2140</x:f>
        <x:v>0</x:v>
      </x:c>
      <x:c r="H2140" s="8" t="n">
        <x:f>SUM('Данные'!H2140:I2140)</x:f>
        <x:v>0</x:v>
      </x:c>
      <x:c r="I2140" s="16" t="str">
        <x:f>IF(H2140&gt;0,G2140/H2140,"n.a.")</x:f>
        <x:v>n.a.</x:v>
      </x:c>
      <x:c r="J2140" s="10" t="n">
        <x:f>IF('Данные'!E2140&gt;0,G2140/'Данные'!E2140,"n.a.")</x:f>
        <x:v>0</x:v>
      </x:c>
      <x:c r="K2140" s="1" t="str">
        <x:f>IF(G2140&gt;='Дашборд'!$C$51,"X","Z")</x:f>
        <x:v>Z</x:v>
      </x:c>
      <x:c r="L2140" s="1" t="str">
        <x:f>IF(H2140=0,IF(G2140&gt;0,"Нет остатка","Нет спроса"),IF(I2140&gt;='Дашборд'!$C$52,"Быстрый","Медленный"))</x:f>
        <x:v>Нет спроса</x:v>
      </x:c>
      <x:c r="M2140" s="1" t="str">
        <x:f>IF('Данные'!E2140&lt;'Дашборд'!$C$53,"Мало трафика",IF(J2140&lt;'Дашборд'!$C$9*'Дашборд'!$C$54,"Да","Нет"))</x:f>
        <x:v>Мало трафика</x:v>
      </x:c>
      <x:c r="N2140" s="1" t="str">
        <x:f>IF(AND('Данные'!D2140&gt;='Дашборд'!$C$55,D2140&lt;'Дашборд'!$C$56,'Данные'!E2140&gt;='Дашборд'!$C$53,'Данные'!L2140&lt;&gt;"Да"),"Да","Нет")</x:f>
        <x:v>Нет</x:v>
      </x:c>
      <x:c r="O2140" s="1" t="str">
        <x:f>'Данные'!L2140</x:f>
        <x:v>Нет</x:v>
      </x:c>
    </x:row>
    <x:row r="2141">
      <x:c r="A2141" s="1" t="str">
        <x:f>'Данные'!A2141</x:f>
        <x:v>233777189</x:v>
      </x:c>
      <x:c r="B2141" s="1" t="str">
        <x:f>'Данные'!B2141</x:f>
        <x:v>bazaboyX3/чер-тсер-син</x:v>
      </x:c>
      <x:c r="C2141" s="8" t="n">
        <x:f>'Данные'!G2141</x:f>
        <x:v>0</x:v>
      </x:c>
      <x:c r="D2141" s="15" t="n">
        <x:f>C2141/SUM($C$5:$C$2477)</x:f>
        <x:v>0</x:v>
      </x:c>
      <x:c r="E2141" s="15" t="n">
        <x:f>SUM($D$5:D2141)</x:f>
        <x:v>1.0000000000000036</x:v>
      </x:c>
      <x:c r="F2141" s="1" t="str">
        <x:f>IF(C2141&lt;=0,"C",IF(E2141-D2141&lt;'Дашборд'!$C$49,"A",IF(E2141-D2141&lt;'Дашборд'!$C$50,"B","C")))</x:f>
        <x:v>C</x:v>
      </x:c>
      <x:c r="G2141" s="8" t="n">
        <x:f>'Данные'!F2141</x:f>
        <x:v>0</x:v>
      </x:c>
      <x:c r="H2141" s="8" t="n">
        <x:f>SUM('Данные'!H2141:I2141)</x:f>
        <x:v>0</x:v>
      </x:c>
      <x:c r="I2141" s="16" t="str">
        <x:f>IF(H2141&gt;0,G2141/H2141,"n.a.")</x:f>
        <x:v>n.a.</x:v>
      </x:c>
      <x:c r="J2141" s="10" t="n">
        <x:f>IF('Данные'!E2141&gt;0,G2141/'Данные'!E2141,"n.a.")</x:f>
        <x:v>0</x:v>
      </x:c>
      <x:c r="K2141" s="1" t="str">
        <x:f>IF(G2141&gt;='Дашборд'!$C$51,"X","Z")</x:f>
        <x:v>Z</x:v>
      </x:c>
      <x:c r="L2141" s="1" t="str">
        <x:f>IF(H2141=0,IF(G2141&gt;0,"Нет остатка","Нет спроса"),IF(I2141&gt;='Дашборд'!$C$52,"Быстрый","Медленный"))</x:f>
        <x:v>Нет спроса</x:v>
      </x:c>
      <x:c r="M2141" s="1" t="str">
        <x:f>IF('Данные'!E2141&lt;'Дашборд'!$C$53,"Мало трафика",IF(J2141&lt;'Дашборд'!$C$9*'Дашборд'!$C$54,"Да","Нет"))</x:f>
        <x:v>Мало трафика</x:v>
      </x:c>
      <x:c r="N2141" s="1" t="str">
        <x:f>IF(AND('Данные'!D2141&gt;='Дашборд'!$C$55,D2141&lt;'Дашборд'!$C$56,'Данные'!E2141&gt;='Дашборд'!$C$53,'Данные'!L2141&lt;&gt;"Да"),"Да","Нет")</x:f>
        <x:v>Нет</x:v>
      </x:c>
      <x:c r="O2141" s="1" t="str">
        <x:f>'Данные'!L2141</x:f>
        <x:v>Нет</x:v>
      </x:c>
    </x:row>
    <x:row r="2142">
      <x:c r="A2142" s="1" t="str">
        <x:f>'Данные'!A2142</x:f>
        <x:v>233777191</x:v>
      </x:c>
      <x:c r="B2142" s="1" t="str">
        <x:f>'Данные'!B2142</x:f>
        <x:v>bazaboyX3/бел-сер-син</x:v>
      </x:c>
      <x:c r="C2142" s="8" t="n">
        <x:f>'Данные'!G2142</x:f>
        <x:v>0</x:v>
      </x:c>
      <x:c r="D2142" s="15" t="n">
        <x:f>C2142/SUM($C$5:$C$2477)</x:f>
        <x:v>0</x:v>
      </x:c>
      <x:c r="E2142" s="15" t="n">
        <x:f>SUM($D$5:D2142)</x:f>
        <x:v>1.0000000000000036</x:v>
      </x:c>
      <x:c r="F2142" s="1" t="str">
        <x:f>IF(C2142&lt;=0,"C",IF(E2142-D2142&lt;'Дашборд'!$C$49,"A",IF(E2142-D2142&lt;'Дашборд'!$C$50,"B","C")))</x:f>
        <x:v>C</x:v>
      </x:c>
      <x:c r="G2142" s="8" t="n">
        <x:f>'Данные'!F2142</x:f>
        <x:v>0</x:v>
      </x:c>
      <x:c r="H2142" s="8" t="n">
        <x:f>SUM('Данные'!H2142:I2142)</x:f>
        <x:v>0</x:v>
      </x:c>
      <x:c r="I2142" s="16" t="str">
        <x:f>IF(H2142&gt;0,G2142/H2142,"n.a.")</x:f>
        <x:v>n.a.</x:v>
      </x:c>
      <x:c r="J2142" s="10" t="n">
        <x:f>IF('Данные'!E2142&gt;0,G2142/'Данные'!E2142,"n.a.")</x:f>
        <x:v>0</x:v>
      </x:c>
      <x:c r="K2142" s="1" t="str">
        <x:f>IF(G2142&gt;='Дашборд'!$C$51,"X","Z")</x:f>
        <x:v>Z</x:v>
      </x:c>
      <x:c r="L2142" s="1" t="str">
        <x:f>IF(H2142=0,IF(G2142&gt;0,"Нет остатка","Нет спроса"),IF(I2142&gt;='Дашборд'!$C$52,"Быстрый","Медленный"))</x:f>
        <x:v>Нет спроса</x:v>
      </x:c>
      <x:c r="M2142" s="1" t="str">
        <x:f>IF('Данные'!E2142&lt;'Дашборд'!$C$53,"Мало трафика",IF(J2142&lt;'Дашборд'!$C$9*'Дашборд'!$C$54,"Да","Нет"))</x:f>
        <x:v>Мало трафика</x:v>
      </x:c>
      <x:c r="N2142" s="1" t="str">
        <x:f>IF(AND('Данные'!D2142&gt;='Дашборд'!$C$55,D2142&lt;'Дашборд'!$C$56,'Данные'!E2142&gt;='Дашборд'!$C$53,'Данные'!L2142&lt;&gt;"Да"),"Да","Нет")</x:f>
        <x:v>Нет</x:v>
      </x:c>
      <x:c r="O2142" s="1" t="str">
        <x:f>'Данные'!L2142</x:f>
        <x:v>Нет</x:v>
      </x:c>
    </x:row>
    <x:row r="2143">
      <x:c r="A2143" s="1" t="str">
        <x:f>'Данные'!A2143</x:f>
        <x:v>233777192</x:v>
      </x:c>
      <x:c r="B2143" s="1" t="str">
        <x:f>'Данные'!B2143</x:f>
        <x:v>futbolkaboyX3/бел-кор-шал</x:v>
      </x:c>
      <x:c r="C2143" s="8" t="n">
        <x:f>'Данные'!G2143</x:f>
        <x:v>0</x:v>
      </x:c>
      <x:c r="D2143" s="15" t="n">
        <x:f>C2143/SUM($C$5:$C$2477)</x:f>
        <x:v>0</x:v>
      </x:c>
      <x:c r="E2143" s="15" t="n">
        <x:f>SUM($D$5:D2143)</x:f>
        <x:v>1.0000000000000036</x:v>
      </x:c>
      <x:c r="F2143" s="1" t="str">
        <x:f>IF(C2143&lt;=0,"C",IF(E2143-D2143&lt;'Дашборд'!$C$49,"A",IF(E2143-D2143&lt;'Дашборд'!$C$50,"B","C")))</x:f>
        <x:v>C</x:v>
      </x:c>
      <x:c r="G2143" s="8" t="n">
        <x:f>'Данные'!F2143</x:f>
        <x:v>0</x:v>
      </x:c>
      <x:c r="H2143" s="8" t="n">
        <x:f>SUM('Данные'!H2143:I2143)</x:f>
        <x:v>0</x:v>
      </x:c>
      <x:c r="I2143" s="16" t="str">
        <x:f>IF(H2143&gt;0,G2143/H2143,"n.a.")</x:f>
        <x:v>n.a.</x:v>
      </x:c>
      <x:c r="J2143" s="10" t="n">
        <x:f>IF('Данные'!E2143&gt;0,G2143/'Данные'!E2143,"n.a.")</x:f>
        <x:v>0</x:v>
      </x:c>
      <x:c r="K2143" s="1" t="str">
        <x:f>IF(G2143&gt;='Дашборд'!$C$51,"X","Z")</x:f>
        <x:v>Z</x:v>
      </x:c>
      <x:c r="L2143" s="1" t="str">
        <x:f>IF(H2143=0,IF(G2143&gt;0,"Нет остатка","Нет спроса"),IF(I2143&gt;='Дашборд'!$C$52,"Быстрый","Медленный"))</x:f>
        <x:v>Нет спроса</x:v>
      </x:c>
      <x:c r="M2143" s="1" t="str">
        <x:f>IF('Данные'!E2143&lt;'Дашборд'!$C$53,"Мало трафика",IF(J2143&lt;'Дашборд'!$C$9*'Дашборд'!$C$54,"Да","Нет"))</x:f>
        <x:v>Мало трафика</x:v>
      </x:c>
      <x:c r="N2143" s="1" t="str">
        <x:f>IF(AND('Данные'!D2143&gt;='Дашборд'!$C$55,D2143&lt;'Дашборд'!$C$56,'Данные'!E2143&gt;='Дашборд'!$C$53,'Данные'!L2143&lt;&gt;"Да"),"Да","Нет")</x:f>
        <x:v>Нет</x:v>
      </x:c>
      <x:c r="O2143" s="1" t="str">
        <x:f>'Данные'!L2143</x:f>
        <x:v>Нет</x:v>
      </x:c>
    </x:row>
    <x:row r="2144">
      <x:c r="A2144" s="1" t="str">
        <x:f>'Данные'!A2144</x:f>
        <x:v>233777193</x:v>
      </x:c>
      <x:c r="B2144" s="1" t="str">
        <x:f>'Данные'!B2144</x:f>
        <x:v>bazagirlX3/бел-ден-роз</x:v>
      </x:c>
      <x:c r="C2144" s="8" t="n">
        <x:f>'Данные'!G2144</x:f>
        <x:v>0</x:v>
      </x:c>
      <x:c r="D2144" s="15" t="n">
        <x:f>C2144/SUM($C$5:$C$2477)</x:f>
        <x:v>0</x:v>
      </x:c>
      <x:c r="E2144" s="15" t="n">
        <x:f>SUM($D$5:D2144)</x:f>
        <x:v>1.0000000000000036</x:v>
      </x:c>
      <x:c r="F2144" s="1" t="str">
        <x:f>IF(C2144&lt;=0,"C",IF(E2144-D2144&lt;'Дашборд'!$C$49,"A",IF(E2144-D2144&lt;'Дашборд'!$C$50,"B","C")))</x:f>
        <x:v>C</x:v>
      </x:c>
      <x:c r="G2144" s="8" t="n">
        <x:f>'Данные'!F2144</x:f>
        <x:v>0</x:v>
      </x:c>
      <x:c r="H2144" s="8" t="n">
        <x:f>SUM('Данные'!H2144:I2144)</x:f>
        <x:v>0</x:v>
      </x:c>
      <x:c r="I2144" s="16" t="str">
        <x:f>IF(H2144&gt;0,G2144/H2144,"n.a.")</x:f>
        <x:v>n.a.</x:v>
      </x:c>
      <x:c r="J2144" s="10" t="n">
        <x:f>IF('Данные'!E2144&gt;0,G2144/'Данные'!E2144,"n.a.")</x:f>
        <x:v>0</x:v>
      </x:c>
      <x:c r="K2144" s="1" t="str">
        <x:f>IF(G2144&gt;='Дашборд'!$C$51,"X","Z")</x:f>
        <x:v>Z</x:v>
      </x:c>
      <x:c r="L2144" s="1" t="str">
        <x:f>IF(H2144=0,IF(G2144&gt;0,"Нет остатка","Нет спроса"),IF(I2144&gt;='Дашборд'!$C$52,"Быстрый","Медленный"))</x:f>
        <x:v>Нет спроса</x:v>
      </x:c>
      <x:c r="M2144" s="1" t="str">
        <x:f>IF('Данные'!E2144&lt;'Дашборд'!$C$53,"Мало трафика",IF(J2144&lt;'Дашборд'!$C$9*'Дашборд'!$C$54,"Да","Нет"))</x:f>
        <x:v>Мало трафика</x:v>
      </x:c>
      <x:c r="N2144" s="1" t="str">
        <x:f>IF(AND('Данные'!D2144&gt;='Дашборд'!$C$55,D2144&lt;'Дашборд'!$C$56,'Данные'!E2144&gt;='Дашборд'!$C$53,'Данные'!L2144&lt;&gt;"Да"),"Да","Нет")</x:f>
        <x:v>Нет</x:v>
      </x:c>
      <x:c r="O2144" s="1" t="str">
        <x:f>'Данные'!L2144</x:f>
        <x:v>Нет</x:v>
      </x:c>
    </x:row>
    <x:row r="2145">
      <x:c r="A2145" s="1" t="str">
        <x:f>'Данные'!A2145</x:f>
        <x:v>233777194</x:v>
      </x:c>
      <x:c r="B2145" s="1" t="str">
        <x:f>'Данные'!B2145</x:f>
        <x:v>bazaboyX3/бел-чер-тсер</x:v>
      </x:c>
      <x:c r="C2145" s="8" t="n">
        <x:f>'Данные'!G2145</x:f>
        <x:v>0</x:v>
      </x:c>
      <x:c r="D2145" s="15" t="n">
        <x:f>C2145/SUM($C$5:$C$2477)</x:f>
        <x:v>0</x:v>
      </x:c>
      <x:c r="E2145" s="15" t="n">
        <x:f>SUM($D$5:D2145)</x:f>
        <x:v>1.0000000000000036</x:v>
      </x:c>
      <x:c r="F2145" s="1" t="str">
        <x:f>IF(C2145&lt;=0,"C",IF(E2145-D2145&lt;'Дашборд'!$C$49,"A",IF(E2145-D2145&lt;'Дашборд'!$C$50,"B","C")))</x:f>
        <x:v>C</x:v>
      </x:c>
      <x:c r="G2145" s="8" t="n">
        <x:f>'Данные'!F2145</x:f>
        <x:v>0</x:v>
      </x:c>
      <x:c r="H2145" s="8" t="n">
        <x:f>SUM('Данные'!H2145:I2145)</x:f>
        <x:v>0</x:v>
      </x:c>
      <x:c r="I2145" s="16" t="str">
        <x:f>IF(H2145&gt;0,G2145/H2145,"n.a.")</x:f>
        <x:v>n.a.</x:v>
      </x:c>
      <x:c r="J2145" s="10" t="n">
        <x:f>IF('Данные'!E2145&gt;0,G2145/'Данные'!E2145,"n.a.")</x:f>
        <x:v>0</x:v>
      </x:c>
      <x:c r="K2145" s="1" t="str">
        <x:f>IF(G2145&gt;='Дашборд'!$C$51,"X","Z")</x:f>
        <x:v>Z</x:v>
      </x:c>
      <x:c r="L2145" s="1" t="str">
        <x:f>IF(H2145=0,IF(G2145&gt;0,"Нет остатка","Нет спроса"),IF(I2145&gt;='Дашборд'!$C$52,"Быстрый","Медленный"))</x:f>
        <x:v>Нет спроса</x:v>
      </x:c>
      <x:c r="M2145" s="1" t="str">
        <x:f>IF('Данные'!E2145&lt;'Дашборд'!$C$53,"Мало трафика",IF(J2145&lt;'Дашборд'!$C$9*'Дашборд'!$C$54,"Да","Нет"))</x:f>
        <x:v>Мало трафика</x:v>
      </x:c>
      <x:c r="N2145" s="1" t="str">
        <x:f>IF(AND('Данные'!D2145&gt;='Дашборд'!$C$55,D2145&lt;'Дашборд'!$C$56,'Данные'!E2145&gt;='Дашборд'!$C$53,'Данные'!L2145&lt;&gt;"Да"),"Да","Нет")</x:f>
        <x:v>Нет</x:v>
      </x:c>
      <x:c r="O2145" s="1" t="str">
        <x:f>'Данные'!L2145</x:f>
        <x:v>Нет</x:v>
      </x:c>
    </x:row>
    <x:row r="2146">
      <x:c r="A2146" s="1" t="str">
        <x:f>'Данные'!A2146</x:f>
        <x:v>233777196</x:v>
      </x:c>
      <x:c r="B2146" s="1" t="str">
        <x:f>'Данные'!B2146</x:f>
        <x:v>futbolkaboyX3/шал-чер-бел</x:v>
      </x:c>
      <x:c r="C2146" s="8" t="n">
        <x:f>'Данные'!G2146</x:f>
        <x:v>0</x:v>
      </x:c>
      <x:c r="D2146" s="15" t="n">
        <x:f>C2146/SUM($C$5:$C$2477)</x:f>
        <x:v>0</x:v>
      </x:c>
      <x:c r="E2146" s="15" t="n">
        <x:f>SUM($D$5:D2146)</x:f>
        <x:v>1.0000000000000036</x:v>
      </x:c>
      <x:c r="F2146" s="1" t="str">
        <x:f>IF(C2146&lt;=0,"C",IF(E2146-D2146&lt;'Дашборд'!$C$49,"A",IF(E2146-D2146&lt;'Дашборд'!$C$50,"B","C")))</x:f>
        <x:v>C</x:v>
      </x:c>
      <x:c r="G2146" s="8" t="n">
        <x:f>'Данные'!F2146</x:f>
        <x:v>0</x:v>
      </x:c>
      <x:c r="H2146" s="8" t="n">
        <x:f>SUM('Данные'!H2146:I2146)</x:f>
        <x:v>0</x:v>
      </x:c>
      <x:c r="I2146" s="16" t="str">
        <x:f>IF(H2146&gt;0,G2146/H2146,"n.a.")</x:f>
        <x:v>n.a.</x:v>
      </x:c>
      <x:c r="J2146" s="10" t="n">
        <x:f>IF('Данные'!E2146&gt;0,G2146/'Данные'!E2146,"n.a.")</x:f>
        <x:v>0</x:v>
      </x:c>
      <x:c r="K2146" s="1" t="str">
        <x:f>IF(G2146&gt;='Дашборд'!$C$51,"X","Z")</x:f>
        <x:v>Z</x:v>
      </x:c>
      <x:c r="L2146" s="1" t="str">
        <x:f>IF(H2146=0,IF(G2146&gt;0,"Нет остатка","Нет спроса"),IF(I2146&gt;='Дашборд'!$C$52,"Быстрый","Медленный"))</x:f>
        <x:v>Нет спроса</x:v>
      </x:c>
      <x:c r="M2146" s="1" t="str">
        <x:f>IF('Данные'!E2146&lt;'Дашборд'!$C$53,"Мало трафика",IF(J2146&lt;'Дашборд'!$C$9*'Дашборд'!$C$54,"Да","Нет"))</x:f>
        <x:v>Мало трафика</x:v>
      </x:c>
      <x:c r="N2146" s="1" t="str">
        <x:f>IF(AND('Данные'!D2146&gt;='Дашборд'!$C$55,D2146&lt;'Дашборд'!$C$56,'Данные'!E2146&gt;='Дашборд'!$C$53,'Данные'!L2146&lt;&gt;"Да"),"Да","Нет")</x:f>
        <x:v>Нет</x:v>
      </x:c>
      <x:c r="O2146" s="1" t="str">
        <x:f>'Данные'!L2146</x:f>
        <x:v>Нет</x:v>
      </x:c>
    </x:row>
    <x:row r="2147">
      <x:c r="A2147" s="1" t="str">
        <x:f>'Данные'!A2147</x:f>
        <x:v>233777198</x:v>
      </x:c>
      <x:c r="B2147" s="1" t="str">
        <x:f>'Данные'!B2147</x:f>
        <x:v>futbolkaboyX3/сер-хак-тсер</x:v>
      </x:c>
      <x:c r="C2147" s="8" t="n">
        <x:f>'Данные'!G2147</x:f>
        <x:v>0</x:v>
      </x:c>
      <x:c r="D2147" s="15" t="n">
        <x:f>C2147/SUM($C$5:$C$2477)</x:f>
        <x:v>0</x:v>
      </x:c>
      <x:c r="E2147" s="15" t="n">
        <x:f>SUM($D$5:D2147)</x:f>
        <x:v>1.0000000000000036</x:v>
      </x:c>
      <x:c r="F2147" s="1" t="str">
        <x:f>IF(C2147&lt;=0,"C",IF(E2147-D2147&lt;'Дашборд'!$C$49,"A",IF(E2147-D2147&lt;'Дашборд'!$C$50,"B","C")))</x:f>
        <x:v>C</x:v>
      </x:c>
      <x:c r="G2147" s="8" t="n">
        <x:f>'Данные'!F2147</x:f>
        <x:v>0</x:v>
      </x:c>
      <x:c r="H2147" s="8" t="n">
        <x:f>SUM('Данные'!H2147:I2147)</x:f>
        <x:v>0</x:v>
      </x:c>
      <x:c r="I2147" s="16" t="str">
        <x:f>IF(H2147&gt;0,G2147/H2147,"n.a.")</x:f>
        <x:v>n.a.</x:v>
      </x:c>
      <x:c r="J2147" s="10" t="n">
        <x:f>IF('Данные'!E2147&gt;0,G2147/'Данные'!E2147,"n.a.")</x:f>
        <x:v>0</x:v>
      </x:c>
      <x:c r="K2147" s="1" t="str">
        <x:f>IF(G2147&gt;='Дашборд'!$C$51,"X","Z")</x:f>
        <x:v>Z</x:v>
      </x:c>
      <x:c r="L2147" s="1" t="str">
        <x:f>IF(H2147=0,IF(G2147&gt;0,"Нет остатка","Нет спроса"),IF(I2147&gt;='Дашборд'!$C$52,"Быстрый","Медленный"))</x:f>
        <x:v>Нет спроса</x:v>
      </x:c>
      <x:c r="M2147" s="1" t="str">
        <x:f>IF('Данные'!E2147&lt;'Дашборд'!$C$53,"Мало трафика",IF(J2147&lt;'Дашборд'!$C$9*'Дашборд'!$C$54,"Да","Нет"))</x:f>
        <x:v>Мало трафика</x:v>
      </x:c>
      <x:c r="N2147" s="1" t="str">
        <x:f>IF(AND('Данные'!D2147&gt;='Дашборд'!$C$55,D2147&lt;'Дашборд'!$C$56,'Данные'!E2147&gt;='Дашборд'!$C$53,'Данные'!L2147&lt;&gt;"Да"),"Да","Нет")</x:f>
        <x:v>Нет</x:v>
      </x:c>
      <x:c r="O2147" s="1" t="str">
        <x:f>'Данные'!L2147</x:f>
        <x:v>Нет</x:v>
      </x:c>
    </x:row>
    <x:row r="2148">
      <x:c r="A2148" s="1" t="str">
        <x:f>'Данные'!A2148</x:f>
        <x:v>233777201</x:v>
      </x:c>
      <x:c r="B2148" s="1" t="str">
        <x:f>'Данные'!B2148</x:f>
        <x:v>bazaboyX3/сер-хак-тсер</x:v>
      </x:c>
      <x:c r="C2148" s="8" t="n">
        <x:f>'Данные'!G2148</x:f>
        <x:v>0</x:v>
      </x:c>
      <x:c r="D2148" s="15" t="n">
        <x:f>C2148/SUM($C$5:$C$2477)</x:f>
        <x:v>0</x:v>
      </x:c>
      <x:c r="E2148" s="15" t="n">
        <x:f>SUM($D$5:D2148)</x:f>
        <x:v>1.0000000000000036</x:v>
      </x:c>
      <x:c r="F2148" s="1" t="str">
        <x:f>IF(C2148&lt;=0,"C",IF(E2148-D2148&lt;'Дашборд'!$C$49,"A",IF(E2148-D2148&lt;'Дашборд'!$C$50,"B","C")))</x:f>
        <x:v>C</x:v>
      </x:c>
      <x:c r="G2148" s="8" t="n">
        <x:f>'Данные'!F2148</x:f>
        <x:v>0</x:v>
      </x:c>
      <x:c r="H2148" s="8" t="n">
        <x:f>SUM('Данные'!H2148:I2148)</x:f>
        <x:v>0</x:v>
      </x:c>
      <x:c r="I2148" s="16" t="str">
        <x:f>IF(H2148&gt;0,G2148/H2148,"n.a.")</x:f>
        <x:v>n.a.</x:v>
      </x:c>
      <x:c r="J2148" s="10" t="n">
        <x:f>IF('Данные'!E2148&gt;0,G2148/'Данные'!E2148,"n.a.")</x:f>
        <x:v>0</x:v>
      </x:c>
      <x:c r="K2148" s="1" t="str">
        <x:f>IF(G2148&gt;='Дашборд'!$C$51,"X","Z")</x:f>
        <x:v>Z</x:v>
      </x:c>
      <x:c r="L2148" s="1" t="str">
        <x:f>IF(H2148=0,IF(G2148&gt;0,"Нет остатка","Нет спроса"),IF(I2148&gt;='Дашборд'!$C$52,"Быстрый","Медленный"))</x:f>
        <x:v>Нет спроса</x:v>
      </x:c>
      <x:c r="M2148" s="1" t="str">
        <x:f>IF('Данные'!E2148&lt;'Дашборд'!$C$53,"Мало трафика",IF(J2148&lt;'Дашборд'!$C$9*'Дашборд'!$C$54,"Да","Нет"))</x:f>
        <x:v>Мало трафика</x:v>
      </x:c>
      <x:c r="N2148" s="1" t="str">
        <x:f>IF(AND('Данные'!D2148&gt;='Дашборд'!$C$55,D2148&lt;'Дашборд'!$C$56,'Данные'!E2148&gt;='Дашборд'!$C$53,'Данные'!L2148&lt;&gt;"Да"),"Да","Нет")</x:f>
        <x:v>Нет</x:v>
      </x:c>
      <x:c r="O2148" s="1" t="str">
        <x:f>'Данные'!L2148</x:f>
        <x:v>Нет</x:v>
      </x:c>
    </x:row>
    <x:row r="2149">
      <x:c r="A2149" s="1" t="str">
        <x:f>'Данные'!A2149</x:f>
        <x:v>233979545</x:v>
      </x:c>
      <x:c r="B2149" s="1" t="str">
        <x:f>'Данные'!B2149</x:f>
        <x:v>futbolkamanX3/белый</x:v>
      </x:c>
      <x:c r="C2149" s="8" t="n">
        <x:f>'Данные'!G2149</x:f>
        <x:v>0</x:v>
      </x:c>
      <x:c r="D2149" s="15" t="n">
        <x:f>C2149/SUM($C$5:$C$2477)</x:f>
        <x:v>0</x:v>
      </x:c>
      <x:c r="E2149" s="15" t="n">
        <x:f>SUM($D$5:D2149)</x:f>
        <x:v>1.0000000000000036</x:v>
      </x:c>
      <x:c r="F2149" s="1" t="str">
        <x:f>IF(C2149&lt;=0,"C",IF(E2149-D2149&lt;'Дашборд'!$C$49,"A",IF(E2149-D2149&lt;'Дашборд'!$C$50,"B","C")))</x:f>
        <x:v>C</x:v>
      </x:c>
      <x:c r="G2149" s="8" t="n">
        <x:f>'Данные'!F2149</x:f>
        <x:v>0</x:v>
      </x:c>
      <x:c r="H2149" s="8" t="n">
        <x:f>SUM('Данные'!H2149:I2149)</x:f>
        <x:v>0</x:v>
      </x:c>
      <x:c r="I2149" s="16" t="str">
        <x:f>IF(H2149&gt;0,G2149/H2149,"n.a.")</x:f>
        <x:v>n.a.</x:v>
      </x:c>
      <x:c r="J2149" s="10" t="n">
        <x:f>IF('Данные'!E2149&gt;0,G2149/'Данные'!E2149,"n.a.")</x:f>
        <x:v>0</x:v>
      </x:c>
      <x:c r="K2149" s="1" t="str">
        <x:f>IF(G2149&gt;='Дашборд'!$C$51,"X","Z")</x:f>
        <x:v>Z</x:v>
      </x:c>
      <x:c r="L2149" s="1" t="str">
        <x:f>IF(H2149=0,IF(G2149&gt;0,"Нет остатка","Нет спроса"),IF(I2149&gt;='Дашборд'!$C$52,"Быстрый","Медленный"))</x:f>
        <x:v>Нет спроса</x:v>
      </x:c>
      <x:c r="M2149" s="1" t="str">
        <x:f>IF('Данные'!E2149&lt;'Дашборд'!$C$53,"Мало трафика",IF(J2149&lt;'Дашборд'!$C$9*'Дашборд'!$C$54,"Да","Нет"))</x:f>
        <x:v>Да</x:v>
      </x:c>
      <x:c r="N2149" s="1" t="str">
        <x:f>IF(AND('Данные'!D2149&gt;='Дашборд'!$C$55,D2149&lt;'Дашборд'!$C$56,'Данные'!E2149&gt;='Дашборд'!$C$53,'Данные'!L2149&lt;&gt;"Да"),"Да","Нет")</x:f>
        <x:v>Нет</x:v>
      </x:c>
      <x:c r="O2149" s="1" t="str">
        <x:f>'Данные'!L2149</x:f>
        <x:v>Нет</x:v>
      </x:c>
    </x:row>
    <x:row r="2150">
      <x:c r="A2150" s="1" t="str">
        <x:f>'Данные'!A2150</x:f>
        <x:v>234287040</x:v>
      </x:c>
      <x:c r="B2150" s="1" t="str">
        <x:f>'Данные'!B2150</x:f>
        <x:v>svitshotpetl/серыймеланж2</x:v>
      </x:c>
      <x:c r="C2150" s="8" t="n">
        <x:f>'Данные'!G2150</x:f>
        <x:v>0</x:v>
      </x:c>
      <x:c r="D2150" s="15" t="n">
        <x:f>C2150/SUM($C$5:$C$2477)</x:f>
        <x:v>0</x:v>
      </x:c>
      <x:c r="E2150" s="15" t="n">
        <x:f>SUM($D$5:D2150)</x:f>
        <x:v>1.0000000000000036</x:v>
      </x:c>
      <x:c r="F2150" s="1" t="str">
        <x:f>IF(C2150&lt;=0,"C",IF(E2150-D2150&lt;'Дашборд'!$C$49,"A",IF(E2150-D2150&lt;'Дашборд'!$C$50,"B","C")))</x:f>
        <x:v>C</x:v>
      </x:c>
      <x:c r="G2150" s="8" t="n">
        <x:f>'Данные'!F2150</x:f>
        <x:v>0</x:v>
      </x:c>
      <x:c r="H2150" s="8" t="n">
        <x:f>SUM('Данные'!H2150:I2150)</x:f>
        <x:v>0</x:v>
      </x:c>
      <x:c r="I2150" s="16" t="str">
        <x:f>IF(H2150&gt;0,G2150/H2150,"n.a.")</x:f>
        <x:v>n.a.</x:v>
      </x:c>
      <x:c r="J2150" s="10" t="n">
        <x:f>IF('Данные'!E2150&gt;0,G2150/'Данные'!E2150,"n.a.")</x:f>
        <x:v>0</x:v>
      </x:c>
      <x:c r="K2150" s="1" t="str">
        <x:f>IF(G2150&gt;='Дашборд'!$C$51,"X","Z")</x:f>
        <x:v>Z</x:v>
      </x:c>
      <x:c r="L2150" s="1" t="str">
        <x:f>IF(H2150=0,IF(G2150&gt;0,"Нет остатка","Нет спроса"),IF(I2150&gt;='Дашборд'!$C$52,"Быстрый","Медленный"))</x:f>
        <x:v>Нет спроса</x:v>
      </x:c>
      <x:c r="M2150" s="1" t="str">
        <x:f>IF('Данные'!E2150&lt;'Дашборд'!$C$53,"Мало трафика",IF(J2150&lt;'Дашборд'!$C$9*'Дашборд'!$C$54,"Да","Нет"))</x:f>
        <x:v>Мало трафика</x:v>
      </x:c>
      <x:c r="N2150" s="1" t="str">
        <x:f>IF(AND('Данные'!D2150&gt;='Дашборд'!$C$55,D2150&lt;'Дашборд'!$C$56,'Данные'!E2150&gt;='Дашборд'!$C$53,'Данные'!L2150&lt;&gt;"Да"),"Да","Нет")</x:f>
        <x:v>Нет</x:v>
      </x:c>
      <x:c r="O2150" s="1" t="str">
        <x:f>'Данные'!L2150</x:f>
        <x:v>Нет</x:v>
      </x:c>
    </x:row>
    <x:row r="2151">
      <x:c r="A2151" s="1" t="str">
        <x:f>'Данные'!A2151</x:f>
        <x:v>23453278</x:v>
      </x:c>
      <x:c r="B2151" s="1" t="str">
        <x:f>'Данные'!B2151</x:f>
        <x:v>brukipetlyaa/черный</x:v>
      </x:c>
      <x:c r="C2151" s="8" t="n">
        <x:f>'Данные'!G2151</x:f>
        <x:v>0</x:v>
      </x:c>
      <x:c r="D2151" s="15" t="n">
        <x:f>C2151/SUM($C$5:$C$2477)</x:f>
        <x:v>0</x:v>
      </x:c>
      <x:c r="E2151" s="15" t="n">
        <x:f>SUM($D$5:D2151)</x:f>
        <x:v>1.0000000000000036</x:v>
      </x:c>
      <x:c r="F2151" s="1" t="str">
        <x:f>IF(C2151&lt;=0,"C",IF(E2151-D2151&lt;'Дашборд'!$C$49,"A",IF(E2151-D2151&lt;'Дашборд'!$C$50,"B","C")))</x:f>
        <x:v>C</x:v>
      </x:c>
      <x:c r="G2151" s="8" t="n">
        <x:f>'Данные'!F2151</x:f>
        <x:v>0</x:v>
      </x:c>
      <x:c r="H2151" s="8" t="n">
        <x:f>SUM('Данные'!H2151:I2151)</x:f>
        <x:v>0</x:v>
      </x:c>
      <x:c r="I2151" s="16" t="str">
        <x:f>IF(H2151&gt;0,G2151/H2151,"n.a.")</x:f>
        <x:v>n.a.</x:v>
      </x:c>
      <x:c r="J2151" s="10" t="n">
        <x:f>IF('Данные'!E2151&gt;0,G2151/'Данные'!E2151,"n.a.")</x:f>
        <x:v>0</x:v>
      </x:c>
      <x:c r="K2151" s="1" t="str">
        <x:f>IF(G2151&gt;='Дашборд'!$C$51,"X","Z")</x:f>
        <x:v>Z</x:v>
      </x:c>
      <x:c r="L2151" s="1" t="str">
        <x:f>IF(H2151=0,IF(G2151&gt;0,"Нет остатка","Нет спроса"),IF(I2151&gt;='Дашборд'!$C$52,"Быстрый","Медленный"))</x:f>
        <x:v>Нет спроса</x:v>
      </x:c>
      <x:c r="M2151" s="1" t="str">
        <x:f>IF('Данные'!E2151&lt;'Дашборд'!$C$53,"Мало трафика",IF(J2151&lt;'Дашборд'!$C$9*'Дашборд'!$C$54,"Да","Нет"))</x:f>
        <x:v>Мало трафика</x:v>
      </x:c>
      <x:c r="N2151" s="1" t="str">
        <x:f>IF(AND('Данные'!D2151&gt;='Дашборд'!$C$55,D2151&lt;'Дашборд'!$C$56,'Данные'!E2151&gt;='Дашборд'!$C$53,'Данные'!L2151&lt;&gt;"Да"),"Да","Нет")</x:f>
        <x:v>Нет</x:v>
      </x:c>
      <x:c r="O2151" s="1" t="str">
        <x:f>'Данные'!L2151</x:f>
        <x:v>Нет</x:v>
      </x:c>
    </x:row>
    <x:row r="2152">
      <x:c r="A2152" s="1" t="str">
        <x:f>'Данные'!A2152</x:f>
        <x:v>235362413</x:v>
      </x:c>
      <x:c r="B2152" s="1" t="str">
        <x:f>'Данные'!B2152</x:f>
        <x:v>tolstovkazip/серый-табачный</x:v>
      </x:c>
      <x:c r="C2152" s="8" t="n">
        <x:f>'Данные'!G2152</x:f>
        <x:v>0</x:v>
      </x:c>
      <x:c r="D2152" s="15" t="n">
        <x:f>C2152/SUM($C$5:$C$2477)</x:f>
        <x:v>0</x:v>
      </x:c>
      <x:c r="E2152" s="15" t="n">
        <x:f>SUM($D$5:D2152)</x:f>
        <x:v>1.0000000000000036</x:v>
      </x:c>
      <x:c r="F2152" s="1" t="str">
        <x:f>IF(C2152&lt;=0,"C",IF(E2152-D2152&lt;'Дашборд'!$C$49,"A",IF(E2152-D2152&lt;'Дашборд'!$C$50,"B","C")))</x:f>
        <x:v>C</x:v>
      </x:c>
      <x:c r="G2152" s="8" t="n">
        <x:f>'Данные'!F2152</x:f>
        <x:v>0</x:v>
      </x:c>
      <x:c r="H2152" s="8" t="n">
        <x:f>SUM('Данные'!H2152:I2152)</x:f>
        <x:v>0</x:v>
      </x:c>
      <x:c r="I2152" s="16" t="str">
        <x:f>IF(H2152&gt;0,G2152/H2152,"n.a.")</x:f>
        <x:v>n.a.</x:v>
      </x:c>
      <x:c r="J2152" s="10" t="str">
        <x:f>IF('Данные'!E2152&gt;0,G2152/'Данные'!E2152,"n.a.")</x:f>
        <x:v>n.a.</x:v>
      </x:c>
      <x:c r="K2152" s="1" t="str">
        <x:f>IF(G2152&gt;='Дашборд'!$C$51,"X","Z")</x:f>
        <x:v>Z</x:v>
      </x:c>
      <x:c r="L2152" s="1" t="str">
        <x:f>IF(H2152=0,IF(G2152&gt;0,"Нет остатка","Нет спроса"),IF(I2152&gt;='Дашборд'!$C$52,"Быстрый","Медленный"))</x:f>
        <x:v>Нет спроса</x:v>
      </x:c>
      <x:c r="M2152" s="1" t="str">
        <x:f>IF('Данные'!E2152&lt;'Дашборд'!$C$53,"Мало трафика",IF(J2152&lt;'Дашборд'!$C$9*'Дашборд'!$C$54,"Да","Нет"))</x:f>
        <x:v>Мало трафика</x:v>
      </x:c>
      <x:c r="N2152" s="1" t="str">
        <x:f>IF(AND('Данные'!D2152&gt;='Дашборд'!$C$55,D2152&lt;'Дашборд'!$C$56,'Данные'!E2152&gt;='Дашборд'!$C$53,'Данные'!L2152&lt;&gt;"Да"),"Да","Нет")</x:f>
        <x:v>Нет</x:v>
      </x:c>
      <x:c r="O2152" s="1" t="str">
        <x:f>'Данные'!L2152</x:f>
        <x:v>Нет</x:v>
      </x:c>
    </x:row>
    <x:row r="2153">
      <x:c r="A2153" s="1" t="str">
        <x:f>'Данные'!A2153</x:f>
        <x:v>235613728</x:v>
      </x:c>
      <x:c r="B2153" s="1" t="str">
        <x:f>'Данные'!B2153</x:f>
        <x:v>hudicrop/серыймеланж2</x:v>
      </x:c>
      <x:c r="C2153" s="8" t="n">
        <x:f>'Данные'!G2153</x:f>
        <x:v>0</x:v>
      </x:c>
      <x:c r="D2153" s="15" t="n">
        <x:f>C2153/SUM($C$5:$C$2477)</x:f>
        <x:v>0</x:v>
      </x:c>
      <x:c r="E2153" s="15" t="n">
        <x:f>SUM($D$5:D2153)</x:f>
        <x:v>1.0000000000000036</x:v>
      </x:c>
      <x:c r="F2153" s="1" t="str">
        <x:f>IF(C2153&lt;=0,"C",IF(E2153-D2153&lt;'Дашборд'!$C$49,"A",IF(E2153-D2153&lt;'Дашборд'!$C$50,"B","C")))</x:f>
        <x:v>C</x:v>
      </x:c>
      <x:c r="G2153" s="8" t="n">
        <x:f>'Данные'!F2153</x:f>
        <x:v>0</x:v>
      </x:c>
      <x:c r="H2153" s="8" t="n">
        <x:f>SUM('Данные'!H2153:I2153)</x:f>
        <x:v>0</x:v>
      </x:c>
      <x:c r="I2153" s="16" t="str">
        <x:f>IF(H2153&gt;0,G2153/H2153,"n.a.")</x:f>
        <x:v>n.a.</x:v>
      </x:c>
      <x:c r="J2153" s="10" t="n">
        <x:f>IF('Данные'!E2153&gt;0,G2153/'Данные'!E2153,"n.a.")</x:f>
        <x:v>0</x:v>
      </x:c>
      <x:c r="K2153" s="1" t="str">
        <x:f>IF(G2153&gt;='Дашборд'!$C$51,"X","Z")</x:f>
        <x:v>Z</x:v>
      </x:c>
      <x:c r="L2153" s="1" t="str">
        <x:f>IF(H2153=0,IF(G2153&gt;0,"Нет остатка","Нет спроса"),IF(I2153&gt;='Дашборд'!$C$52,"Быстрый","Медленный"))</x:f>
        <x:v>Нет спроса</x:v>
      </x:c>
      <x:c r="M2153" s="1" t="str">
        <x:f>IF('Данные'!E2153&lt;'Дашборд'!$C$53,"Мало трафика",IF(J2153&lt;'Дашборд'!$C$9*'Дашборд'!$C$54,"Да","Нет"))</x:f>
        <x:v>Мало трафика</x:v>
      </x:c>
      <x:c r="N2153" s="1" t="str">
        <x:f>IF(AND('Данные'!D2153&gt;='Дашборд'!$C$55,D2153&lt;'Дашборд'!$C$56,'Данные'!E2153&gt;='Дашборд'!$C$53,'Данные'!L2153&lt;&gt;"Да"),"Да","Нет")</x:f>
        <x:v>Нет</x:v>
      </x:c>
      <x:c r="O2153" s="1" t="str">
        <x:f>'Данные'!L2153</x:f>
        <x:v>Нет</x:v>
      </x:c>
    </x:row>
    <x:row r="2154">
      <x:c r="A2154" s="1" t="str">
        <x:f>'Данные'!A2154</x:f>
        <x:v>235613729</x:v>
      </x:c>
      <x:c r="B2154" s="1" t="str">
        <x:f>'Данные'!B2154</x:f>
        <x:v>hudicrop/песочный</x:v>
      </x:c>
      <x:c r="C2154" s="8" t="n">
        <x:f>'Данные'!G2154</x:f>
        <x:v>0</x:v>
      </x:c>
      <x:c r="D2154" s="15" t="n">
        <x:f>C2154/SUM($C$5:$C$2477)</x:f>
        <x:v>0</x:v>
      </x:c>
      <x:c r="E2154" s="15" t="n">
        <x:f>SUM($D$5:D2154)</x:f>
        <x:v>1.0000000000000036</x:v>
      </x:c>
      <x:c r="F2154" s="1" t="str">
        <x:f>IF(C2154&lt;=0,"C",IF(E2154-D2154&lt;'Дашборд'!$C$49,"A",IF(E2154-D2154&lt;'Дашборд'!$C$50,"B","C")))</x:f>
        <x:v>C</x:v>
      </x:c>
      <x:c r="G2154" s="8" t="n">
        <x:f>'Данные'!F2154</x:f>
        <x:v>0</x:v>
      </x:c>
      <x:c r="H2154" s="8" t="n">
        <x:f>SUM('Данные'!H2154:I2154)</x:f>
        <x:v>0</x:v>
      </x:c>
      <x:c r="I2154" s="16" t="str">
        <x:f>IF(H2154&gt;0,G2154/H2154,"n.a.")</x:f>
        <x:v>n.a.</x:v>
      </x:c>
      <x:c r="J2154" s="10" t="n">
        <x:f>IF('Данные'!E2154&gt;0,G2154/'Данные'!E2154,"n.a.")</x:f>
        <x:v>0</x:v>
      </x:c>
      <x:c r="K2154" s="1" t="str">
        <x:f>IF(G2154&gt;='Дашборд'!$C$51,"X","Z")</x:f>
        <x:v>Z</x:v>
      </x:c>
      <x:c r="L2154" s="1" t="str">
        <x:f>IF(H2154=0,IF(G2154&gt;0,"Нет остатка","Нет спроса"),IF(I2154&gt;='Дашборд'!$C$52,"Быстрый","Медленный"))</x:f>
        <x:v>Нет спроса</x:v>
      </x:c>
      <x:c r="M2154" s="1" t="str">
        <x:f>IF('Данные'!E2154&lt;'Дашборд'!$C$53,"Мало трафика",IF(J2154&lt;'Дашборд'!$C$9*'Дашборд'!$C$54,"Да","Нет"))</x:f>
        <x:v>Мало трафика</x:v>
      </x:c>
      <x:c r="N2154" s="1" t="str">
        <x:f>IF(AND('Данные'!D2154&gt;='Дашборд'!$C$55,D2154&lt;'Дашборд'!$C$56,'Данные'!E2154&gt;='Дашборд'!$C$53,'Данные'!L2154&lt;&gt;"Да"),"Да","Нет")</x:f>
        <x:v>Нет</x:v>
      </x:c>
      <x:c r="O2154" s="1" t="str">
        <x:f>'Данные'!L2154</x:f>
        <x:v>Нет</x:v>
      </x:c>
    </x:row>
    <x:row r="2155">
      <x:c r="A2155" s="1" t="str">
        <x:f>'Данные'!A2155</x:f>
        <x:v>235613730</x:v>
      </x:c>
      <x:c r="B2155" s="1" t="str">
        <x:f>'Данные'!B2155</x:f>
        <x:v>hudicrop/голубой</x:v>
      </x:c>
      <x:c r="C2155" s="8" t="n">
        <x:f>'Данные'!G2155</x:f>
        <x:v>0</x:v>
      </x:c>
      <x:c r="D2155" s="15" t="n">
        <x:f>C2155/SUM($C$5:$C$2477)</x:f>
        <x:v>0</x:v>
      </x:c>
      <x:c r="E2155" s="15" t="n">
        <x:f>SUM($D$5:D2155)</x:f>
        <x:v>1.0000000000000036</x:v>
      </x:c>
      <x:c r="F2155" s="1" t="str">
        <x:f>IF(C2155&lt;=0,"C",IF(E2155-D2155&lt;'Дашборд'!$C$49,"A",IF(E2155-D2155&lt;'Дашборд'!$C$50,"B","C")))</x:f>
        <x:v>C</x:v>
      </x:c>
      <x:c r="G2155" s="8" t="n">
        <x:f>'Данные'!F2155</x:f>
        <x:v>0</x:v>
      </x:c>
      <x:c r="H2155" s="8" t="n">
        <x:f>SUM('Данные'!H2155:I2155)</x:f>
        <x:v>0</x:v>
      </x:c>
      <x:c r="I2155" s="16" t="str">
        <x:f>IF(H2155&gt;0,G2155/H2155,"n.a.")</x:f>
        <x:v>n.a.</x:v>
      </x:c>
      <x:c r="J2155" s="10" t="n">
        <x:f>IF('Данные'!E2155&gt;0,G2155/'Данные'!E2155,"n.a.")</x:f>
        <x:v>0</x:v>
      </x:c>
      <x:c r="K2155" s="1" t="str">
        <x:f>IF(G2155&gt;='Дашборд'!$C$51,"X","Z")</x:f>
        <x:v>Z</x:v>
      </x:c>
      <x:c r="L2155" s="1" t="str">
        <x:f>IF(H2155=0,IF(G2155&gt;0,"Нет остатка","Нет спроса"),IF(I2155&gt;='Дашборд'!$C$52,"Быстрый","Медленный"))</x:f>
        <x:v>Нет спроса</x:v>
      </x:c>
      <x:c r="M2155" s="1" t="str">
        <x:f>IF('Данные'!E2155&lt;'Дашборд'!$C$53,"Мало трафика",IF(J2155&lt;'Дашборд'!$C$9*'Дашборд'!$C$54,"Да","Нет"))</x:f>
        <x:v>Мало трафика</x:v>
      </x:c>
      <x:c r="N2155" s="1" t="str">
        <x:f>IF(AND('Данные'!D2155&gt;='Дашборд'!$C$55,D2155&lt;'Дашборд'!$C$56,'Данные'!E2155&gt;='Дашборд'!$C$53,'Данные'!L2155&lt;&gt;"Да"),"Да","Нет")</x:f>
        <x:v>Нет</x:v>
      </x:c>
      <x:c r="O2155" s="1" t="str">
        <x:f>'Данные'!L2155</x:f>
        <x:v>Нет</x:v>
      </x:c>
    </x:row>
    <x:row r="2156">
      <x:c r="A2156" s="1" t="str">
        <x:f>'Данные'!A2156</x:f>
        <x:v>235613731</x:v>
      </x:c>
      <x:c r="B2156" s="1" t="str">
        <x:f>'Данные'!B2156</x:f>
        <x:v>hudicrop/темно-серый</x:v>
      </x:c>
      <x:c r="C2156" s="8" t="n">
        <x:f>'Данные'!G2156</x:f>
        <x:v>0</x:v>
      </x:c>
      <x:c r="D2156" s="15" t="n">
        <x:f>C2156/SUM($C$5:$C$2477)</x:f>
        <x:v>0</x:v>
      </x:c>
      <x:c r="E2156" s="15" t="n">
        <x:f>SUM($D$5:D2156)</x:f>
        <x:v>1.0000000000000036</x:v>
      </x:c>
      <x:c r="F2156" s="1" t="str">
        <x:f>IF(C2156&lt;=0,"C",IF(E2156-D2156&lt;'Дашборд'!$C$49,"A",IF(E2156-D2156&lt;'Дашборд'!$C$50,"B","C")))</x:f>
        <x:v>C</x:v>
      </x:c>
      <x:c r="G2156" s="8" t="n">
        <x:f>'Данные'!F2156</x:f>
        <x:v>0</x:v>
      </x:c>
      <x:c r="H2156" s="8" t="n">
        <x:f>SUM('Данные'!H2156:I2156)</x:f>
        <x:v>0</x:v>
      </x:c>
      <x:c r="I2156" s="16" t="str">
        <x:f>IF(H2156&gt;0,G2156/H2156,"n.a.")</x:f>
        <x:v>n.a.</x:v>
      </x:c>
      <x:c r="J2156" s="10" t="n">
        <x:f>IF('Данные'!E2156&gt;0,G2156/'Данные'!E2156,"n.a.")</x:f>
        <x:v>0</x:v>
      </x:c>
      <x:c r="K2156" s="1" t="str">
        <x:f>IF(G2156&gt;='Дашборд'!$C$51,"X","Z")</x:f>
        <x:v>Z</x:v>
      </x:c>
      <x:c r="L2156" s="1" t="str">
        <x:f>IF(H2156=0,IF(G2156&gt;0,"Нет остатка","Нет спроса"),IF(I2156&gt;='Дашборд'!$C$52,"Быстрый","Медленный"))</x:f>
        <x:v>Нет спроса</x:v>
      </x:c>
      <x:c r="M2156" s="1" t="str">
        <x:f>IF('Данные'!E2156&lt;'Дашборд'!$C$53,"Мало трафика",IF(J2156&lt;'Дашборд'!$C$9*'Дашборд'!$C$54,"Да","Нет"))</x:f>
        <x:v>Да</x:v>
      </x:c>
      <x:c r="N2156" s="1" t="str">
        <x:f>IF(AND('Данные'!D2156&gt;='Дашборд'!$C$55,D2156&lt;'Дашборд'!$C$56,'Данные'!E2156&gt;='Дашборд'!$C$53,'Данные'!L2156&lt;&gt;"Да"),"Да","Нет")</x:f>
        <x:v>Нет</x:v>
      </x:c>
      <x:c r="O2156" s="1" t="str">
        <x:f>'Данные'!L2156</x:f>
        <x:v>Нет</x:v>
      </x:c>
    </x:row>
    <x:row r="2157">
      <x:c r="A2157" s="1" t="str">
        <x:f>'Данные'!A2157</x:f>
        <x:v>235613733</x:v>
      </x:c>
      <x:c r="B2157" s="1" t="str">
        <x:f>'Данные'!B2157</x:f>
        <x:v>hudicrop/розовый</x:v>
      </x:c>
      <x:c r="C2157" s="8" t="n">
        <x:f>'Данные'!G2157</x:f>
        <x:v>0</x:v>
      </x:c>
      <x:c r="D2157" s="15" t="n">
        <x:f>C2157/SUM($C$5:$C$2477)</x:f>
        <x:v>0</x:v>
      </x:c>
      <x:c r="E2157" s="15" t="n">
        <x:f>SUM($D$5:D2157)</x:f>
        <x:v>1.0000000000000036</x:v>
      </x:c>
      <x:c r="F2157" s="1" t="str">
        <x:f>IF(C2157&lt;=0,"C",IF(E2157-D2157&lt;'Дашборд'!$C$49,"A",IF(E2157-D2157&lt;'Дашборд'!$C$50,"B","C")))</x:f>
        <x:v>C</x:v>
      </x:c>
      <x:c r="G2157" s="8" t="n">
        <x:f>'Данные'!F2157</x:f>
        <x:v>0</x:v>
      </x:c>
      <x:c r="H2157" s="8" t="n">
        <x:f>SUM('Данные'!H2157:I2157)</x:f>
        <x:v>0</x:v>
      </x:c>
      <x:c r="I2157" s="16" t="str">
        <x:f>IF(H2157&gt;0,G2157/H2157,"n.a.")</x:f>
        <x:v>n.a.</x:v>
      </x:c>
      <x:c r="J2157" s="10" t="n">
        <x:f>IF('Данные'!E2157&gt;0,G2157/'Данные'!E2157,"n.a.")</x:f>
        <x:v>0</x:v>
      </x:c>
      <x:c r="K2157" s="1" t="str">
        <x:f>IF(G2157&gt;='Дашборд'!$C$51,"X","Z")</x:f>
        <x:v>Z</x:v>
      </x:c>
      <x:c r="L2157" s="1" t="str">
        <x:f>IF(H2157=0,IF(G2157&gt;0,"Нет остатка","Нет спроса"),IF(I2157&gt;='Дашборд'!$C$52,"Быстрый","Медленный"))</x:f>
        <x:v>Нет спроса</x:v>
      </x:c>
      <x:c r="M2157" s="1" t="str">
        <x:f>IF('Данные'!E2157&lt;'Дашборд'!$C$53,"Мало трафика",IF(J2157&lt;'Дашборд'!$C$9*'Дашборд'!$C$54,"Да","Нет"))</x:f>
        <x:v>Мало трафика</x:v>
      </x:c>
      <x:c r="N2157" s="1" t="str">
        <x:f>IF(AND('Данные'!D2157&gt;='Дашборд'!$C$55,D2157&lt;'Дашборд'!$C$56,'Данные'!E2157&gt;='Дашборд'!$C$53,'Данные'!L2157&lt;&gt;"Да"),"Да","Нет")</x:f>
        <x:v>Нет</x:v>
      </x:c>
      <x:c r="O2157" s="1" t="str">
        <x:f>'Данные'!L2157</x:f>
        <x:v>Нет</x:v>
      </x:c>
    </x:row>
    <x:row r="2158">
      <x:c r="A2158" s="1" t="str">
        <x:f>'Данные'!A2158</x:f>
        <x:v>235613734</x:v>
      </x:c>
      <x:c r="B2158" s="1" t="str">
        <x:f>'Данные'!B2158</x:f>
        <x:v>hudicrop/черный</x:v>
      </x:c>
      <x:c r="C2158" s="8" t="n">
        <x:f>'Данные'!G2158</x:f>
        <x:v>0</x:v>
      </x:c>
      <x:c r="D2158" s="15" t="n">
        <x:f>C2158/SUM($C$5:$C$2477)</x:f>
        <x:v>0</x:v>
      </x:c>
      <x:c r="E2158" s="15" t="n">
        <x:f>SUM($D$5:D2158)</x:f>
        <x:v>1.0000000000000036</x:v>
      </x:c>
      <x:c r="F2158" s="1" t="str">
        <x:f>IF(C2158&lt;=0,"C",IF(E2158-D2158&lt;'Дашборд'!$C$49,"A",IF(E2158-D2158&lt;'Дашборд'!$C$50,"B","C")))</x:f>
        <x:v>C</x:v>
      </x:c>
      <x:c r="G2158" s="8" t="n">
        <x:f>'Данные'!F2158</x:f>
        <x:v>0</x:v>
      </x:c>
      <x:c r="H2158" s="8" t="n">
        <x:f>SUM('Данные'!H2158:I2158)</x:f>
        <x:v>0</x:v>
      </x:c>
      <x:c r="I2158" s="16" t="str">
        <x:f>IF(H2158&gt;0,G2158/H2158,"n.a.")</x:f>
        <x:v>n.a.</x:v>
      </x:c>
      <x:c r="J2158" s="10" t="n">
        <x:f>IF('Данные'!E2158&gt;0,G2158/'Данные'!E2158,"n.a.")</x:f>
        <x:v>0</x:v>
      </x:c>
      <x:c r="K2158" s="1" t="str">
        <x:f>IF(G2158&gt;='Дашборд'!$C$51,"X","Z")</x:f>
        <x:v>Z</x:v>
      </x:c>
      <x:c r="L2158" s="1" t="str">
        <x:f>IF(H2158=0,IF(G2158&gt;0,"Нет остатка","Нет спроса"),IF(I2158&gt;='Дашборд'!$C$52,"Быстрый","Медленный"))</x:f>
        <x:v>Нет спроса</x:v>
      </x:c>
      <x:c r="M2158" s="1" t="str">
        <x:f>IF('Данные'!E2158&lt;'Дашборд'!$C$53,"Мало трафика",IF(J2158&lt;'Дашборд'!$C$9*'Дашборд'!$C$54,"Да","Нет"))</x:f>
        <x:v>Да</x:v>
      </x:c>
      <x:c r="N2158" s="1" t="str">
        <x:f>IF(AND('Данные'!D2158&gt;='Дашборд'!$C$55,D2158&lt;'Дашборд'!$C$56,'Данные'!E2158&gt;='Дашборд'!$C$53,'Данные'!L2158&lt;&gt;"Да"),"Да","Нет")</x:f>
        <x:v>Нет</x:v>
      </x:c>
      <x:c r="O2158" s="1" t="str">
        <x:f>'Данные'!L2158</x:f>
        <x:v>Нет</x:v>
      </x:c>
    </x:row>
    <x:row r="2159">
      <x:c r="A2159" s="1" t="str">
        <x:f>'Данные'!A2159</x:f>
        <x:v>235613735</x:v>
      </x:c>
      <x:c r="B2159" s="1" t="str">
        <x:f>'Данные'!B2159</x:f>
        <x:v>hudicrop/графит</x:v>
      </x:c>
      <x:c r="C2159" s="8" t="n">
        <x:f>'Данные'!G2159</x:f>
        <x:v>0</x:v>
      </x:c>
      <x:c r="D2159" s="15" t="n">
        <x:f>C2159/SUM($C$5:$C$2477)</x:f>
        <x:v>0</x:v>
      </x:c>
      <x:c r="E2159" s="15" t="n">
        <x:f>SUM($D$5:D2159)</x:f>
        <x:v>1.0000000000000036</x:v>
      </x:c>
      <x:c r="F2159" s="1" t="str">
        <x:f>IF(C2159&lt;=0,"C",IF(E2159-D2159&lt;'Дашборд'!$C$49,"A",IF(E2159-D2159&lt;'Дашборд'!$C$50,"B","C")))</x:f>
        <x:v>C</x:v>
      </x:c>
      <x:c r="G2159" s="8" t="n">
        <x:f>'Данные'!F2159</x:f>
        <x:v>0</x:v>
      </x:c>
      <x:c r="H2159" s="8" t="n">
        <x:f>SUM('Данные'!H2159:I2159)</x:f>
        <x:v>0</x:v>
      </x:c>
      <x:c r="I2159" s="16" t="str">
        <x:f>IF(H2159&gt;0,G2159/H2159,"n.a.")</x:f>
        <x:v>n.a.</x:v>
      </x:c>
      <x:c r="J2159" s="10" t="n">
        <x:f>IF('Данные'!E2159&gt;0,G2159/'Данные'!E2159,"n.a.")</x:f>
        <x:v>0</x:v>
      </x:c>
      <x:c r="K2159" s="1" t="str">
        <x:f>IF(G2159&gt;='Дашборд'!$C$51,"X","Z")</x:f>
        <x:v>Z</x:v>
      </x:c>
      <x:c r="L2159" s="1" t="str">
        <x:f>IF(H2159=0,IF(G2159&gt;0,"Нет остатка","Нет спроса"),IF(I2159&gt;='Дашборд'!$C$52,"Быстрый","Медленный"))</x:f>
        <x:v>Нет спроса</x:v>
      </x:c>
      <x:c r="M2159" s="1" t="str">
        <x:f>IF('Данные'!E2159&lt;'Дашборд'!$C$53,"Мало трафика",IF(J2159&lt;'Дашборд'!$C$9*'Дашборд'!$C$54,"Да","Нет"))</x:f>
        <x:v>Мало трафика</x:v>
      </x:c>
      <x:c r="N2159" s="1" t="str">
        <x:f>IF(AND('Данные'!D2159&gt;='Дашборд'!$C$55,D2159&lt;'Дашборд'!$C$56,'Данные'!E2159&gt;='Дашборд'!$C$53,'Данные'!L2159&lt;&gt;"Да"),"Да","Нет")</x:f>
        <x:v>Нет</x:v>
      </x:c>
      <x:c r="O2159" s="1" t="str">
        <x:f>'Данные'!L2159</x:f>
        <x:v>Нет</x:v>
      </x:c>
    </x:row>
    <x:row r="2160">
      <x:c r="A2160" s="1" t="str">
        <x:f>'Данные'!A2160</x:f>
        <x:v>235639905</x:v>
      </x:c>
      <x:c r="B2160" s="1" t="str">
        <x:f>'Данные'!B2160</x:f>
        <x:v>futbolkaboyprint/3_kids/молочный</x:v>
      </x:c>
      <x:c r="C2160" s="8" t="n">
        <x:f>'Данные'!G2160</x:f>
        <x:v>0</x:v>
      </x:c>
      <x:c r="D2160" s="15" t="n">
        <x:f>C2160/SUM($C$5:$C$2477)</x:f>
        <x:v>0</x:v>
      </x:c>
      <x:c r="E2160" s="15" t="n">
        <x:f>SUM($D$5:D2160)</x:f>
        <x:v>1.0000000000000036</x:v>
      </x:c>
      <x:c r="F2160" s="1" t="str">
        <x:f>IF(C2160&lt;=0,"C",IF(E2160-D2160&lt;'Дашборд'!$C$49,"A",IF(E2160-D2160&lt;'Дашборд'!$C$50,"B","C")))</x:f>
        <x:v>C</x:v>
      </x:c>
      <x:c r="G2160" s="8" t="n">
        <x:f>'Данные'!F2160</x:f>
        <x:v>0</x:v>
      </x:c>
      <x:c r="H2160" s="8" t="n">
        <x:f>SUM('Данные'!H2160:I2160)</x:f>
        <x:v>0</x:v>
      </x:c>
      <x:c r="I2160" s="16" t="str">
        <x:f>IF(H2160&gt;0,G2160/H2160,"n.a.")</x:f>
        <x:v>n.a.</x:v>
      </x:c>
      <x:c r="J2160" s="10" t="n">
        <x:f>IF('Данные'!E2160&gt;0,G2160/'Данные'!E2160,"n.a.")</x:f>
        <x:v>0</x:v>
      </x:c>
      <x:c r="K2160" s="1" t="str">
        <x:f>IF(G2160&gt;='Дашборд'!$C$51,"X","Z")</x:f>
        <x:v>Z</x:v>
      </x:c>
      <x:c r="L2160" s="1" t="str">
        <x:f>IF(H2160=0,IF(G2160&gt;0,"Нет остатка","Нет спроса"),IF(I2160&gt;='Дашборд'!$C$52,"Быстрый","Медленный"))</x:f>
        <x:v>Нет спроса</x:v>
      </x:c>
      <x:c r="M2160" s="1" t="str">
        <x:f>IF('Данные'!E2160&lt;'Дашборд'!$C$53,"Мало трафика",IF(J2160&lt;'Дашборд'!$C$9*'Дашборд'!$C$54,"Да","Нет"))</x:f>
        <x:v>Мало трафика</x:v>
      </x:c>
      <x:c r="N2160" s="1" t="str">
        <x:f>IF(AND('Данные'!D2160&gt;='Дашборд'!$C$55,D2160&lt;'Дашборд'!$C$56,'Данные'!E2160&gt;='Дашборд'!$C$53,'Данные'!L2160&lt;&gt;"Да"),"Да","Нет")</x:f>
        <x:v>Нет</x:v>
      </x:c>
      <x:c r="O2160" s="1" t="str">
        <x:f>'Данные'!L2160</x:f>
        <x:v>Нет</x:v>
      </x:c>
    </x:row>
    <x:row r="2161">
      <x:c r="A2161" s="1" t="str">
        <x:f>'Данные'!A2161</x:f>
        <x:v>235657944</x:v>
      </x:c>
      <x:c r="B2161" s="1" t="str">
        <x:f>'Данные'!B2161</x:f>
        <x:v>futbolkagirlprint/1_kids/молочный</x:v>
      </x:c>
      <x:c r="C2161" s="8" t="n">
        <x:f>'Данные'!G2161</x:f>
        <x:v>0</x:v>
      </x:c>
      <x:c r="D2161" s="15" t="n">
        <x:f>C2161/SUM($C$5:$C$2477)</x:f>
        <x:v>0</x:v>
      </x:c>
      <x:c r="E2161" s="15" t="n">
        <x:f>SUM($D$5:D2161)</x:f>
        <x:v>1.0000000000000036</x:v>
      </x:c>
      <x:c r="F2161" s="1" t="str">
        <x:f>IF(C2161&lt;=0,"C",IF(E2161-D2161&lt;'Дашборд'!$C$49,"A",IF(E2161-D2161&lt;'Дашборд'!$C$50,"B","C")))</x:f>
        <x:v>C</x:v>
      </x:c>
      <x:c r="G2161" s="8" t="n">
        <x:f>'Данные'!F2161</x:f>
        <x:v>0</x:v>
      </x:c>
      <x:c r="H2161" s="8" t="n">
        <x:f>SUM('Данные'!H2161:I2161)</x:f>
        <x:v>0</x:v>
      </x:c>
      <x:c r="I2161" s="16" t="str">
        <x:f>IF(H2161&gt;0,G2161/H2161,"n.a.")</x:f>
        <x:v>n.a.</x:v>
      </x:c>
      <x:c r="J2161" s="10" t="n">
        <x:f>IF('Данные'!E2161&gt;0,G2161/'Данные'!E2161,"n.a.")</x:f>
        <x:v>0</x:v>
      </x:c>
      <x:c r="K2161" s="1" t="str">
        <x:f>IF(G2161&gt;='Дашборд'!$C$51,"X","Z")</x:f>
        <x:v>Z</x:v>
      </x:c>
      <x:c r="L2161" s="1" t="str">
        <x:f>IF(H2161=0,IF(G2161&gt;0,"Нет остатка","Нет спроса"),IF(I2161&gt;='Дашборд'!$C$52,"Быстрый","Медленный"))</x:f>
        <x:v>Нет спроса</x:v>
      </x:c>
      <x:c r="M2161" s="1" t="str">
        <x:f>IF('Данные'!E2161&lt;'Дашборд'!$C$53,"Мало трафика",IF(J2161&lt;'Дашборд'!$C$9*'Дашборд'!$C$54,"Да","Нет"))</x:f>
        <x:v>Мало трафика</x:v>
      </x:c>
      <x:c r="N2161" s="1" t="str">
        <x:f>IF(AND('Данные'!D2161&gt;='Дашборд'!$C$55,D2161&lt;'Дашборд'!$C$56,'Данные'!E2161&gt;='Дашборд'!$C$53,'Данные'!L2161&lt;&gt;"Да"),"Да","Нет")</x:f>
        <x:v>Нет</x:v>
      </x:c>
      <x:c r="O2161" s="1" t="str">
        <x:f>'Данные'!L2161</x:f>
        <x:v>Нет</x:v>
      </x:c>
    </x:row>
    <x:row r="2162">
      <x:c r="A2162" s="1" t="str">
        <x:f>'Данные'!A2162</x:f>
        <x:v>235659374</x:v>
      </x:c>
      <x:c r="B2162" s="1" t="str">
        <x:f>'Данные'!B2162</x:f>
        <x:v>futbolkaboyprint/4_kids/черный</x:v>
      </x:c>
      <x:c r="C2162" s="8" t="n">
        <x:f>'Данные'!G2162</x:f>
        <x:v>0</x:v>
      </x:c>
      <x:c r="D2162" s="15" t="n">
        <x:f>C2162/SUM($C$5:$C$2477)</x:f>
        <x:v>0</x:v>
      </x:c>
      <x:c r="E2162" s="15" t="n">
        <x:f>SUM($D$5:D2162)</x:f>
        <x:v>1.0000000000000036</x:v>
      </x:c>
      <x:c r="F2162" s="1" t="str">
        <x:f>IF(C2162&lt;=0,"C",IF(E2162-D2162&lt;'Дашборд'!$C$49,"A",IF(E2162-D2162&lt;'Дашборд'!$C$50,"B","C")))</x:f>
        <x:v>C</x:v>
      </x:c>
      <x:c r="G2162" s="8" t="n">
        <x:f>'Данные'!F2162</x:f>
        <x:v>0</x:v>
      </x:c>
      <x:c r="H2162" s="8" t="n">
        <x:f>SUM('Данные'!H2162:I2162)</x:f>
        <x:v>0</x:v>
      </x:c>
      <x:c r="I2162" s="16" t="str">
        <x:f>IF(H2162&gt;0,G2162/H2162,"n.a.")</x:f>
        <x:v>n.a.</x:v>
      </x:c>
      <x:c r="J2162" s="10" t="n">
        <x:f>IF('Данные'!E2162&gt;0,G2162/'Данные'!E2162,"n.a.")</x:f>
        <x:v>0</x:v>
      </x:c>
      <x:c r="K2162" s="1" t="str">
        <x:f>IF(G2162&gt;='Дашборд'!$C$51,"X","Z")</x:f>
        <x:v>Z</x:v>
      </x:c>
      <x:c r="L2162" s="1" t="str">
        <x:f>IF(H2162=0,IF(G2162&gt;0,"Нет остатка","Нет спроса"),IF(I2162&gt;='Дашборд'!$C$52,"Быстрый","Медленный"))</x:f>
        <x:v>Нет спроса</x:v>
      </x:c>
      <x:c r="M2162" s="1" t="str">
        <x:f>IF('Данные'!E2162&lt;'Дашборд'!$C$53,"Мало трафика",IF(J2162&lt;'Дашборд'!$C$9*'Дашборд'!$C$54,"Да","Нет"))</x:f>
        <x:v>Мало трафика</x:v>
      </x:c>
      <x:c r="N2162" s="1" t="str">
        <x:f>IF(AND('Данные'!D2162&gt;='Дашборд'!$C$55,D2162&lt;'Дашборд'!$C$56,'Данные'!E2162&gt;='Дашборд'!$C$53,'Данные'!L2162&lt;&gt;"Да"),"Да","Нет")</x:f>
        <x:v>Нет</x:v>
      </x:c>
      <x:c r="O2162" s="1" t="str">
        <x:f>'Данные'!L2162</x:f>
        <x:v>Нет</x:v>
      </x:c>
    </x:row>
    <x:row r="2163">
      <x:c r="A2163" s="1" t="str">
        <x:f>'Данные'!A2163</x:f>
        <x:v>235679575</x:v>
      </x:c>
      <x:c r="B2163" s="1" t="str">
        <x:f>'Данные'!B2163</x:f>
        <x:v>futbolkagirlprint/2_kids/молочный</x:v>
      </x:c>
      <x:c r="C2163" s="8" t="n">
        <x:f>'Данные'!G2163</x:f>
        <x:v>0</x:v>
      </x:c>
      <x:c r="D2163" s="15" t="n">
        <x:f>C2163/SUM($C$5:$C$2477)</x:f>
        <x:v>0</x:v>
      </x:c>
      <x:c r="E2163" s="15" t="n">
        <x:f>SUM($D$5:D2163)</x:f>
        <x:v>1.0000000000000036</x:v>
      </x:c>
      <x:c r="F2163" s="1" t="str">
        <x:f>IF(C2163&lt;=0,"C",IF(E2163-D2163&lt;'Дашборд'!$C$49,"A",IF(E2163-D2163&lt;'Дашборд'!$C$50,"B","C")))</x:f>
        <x:v>C</x:v>
      </x:c>
      <x:c r="G2163" s="8" t="n">
        <x:f>'Данные'!F2163</x:f>
        <x:v>0</x:v>
      </x:c>
      <x:c r="H2163" s="8" t="n">
        <x:f>SUM('Данные'!H2163:I2163)</x:f>
        <x:v>0</x:v>
      </x:c>
      <x:c r="I2163" s="16" t="str">
        <x:f>IF(H2163&gt;0,G2163/H2163,"n.a.")</x:f>
        <x:v>n.a.</x:v>
      </x:c>
      <x:c r="J2163" s="10" t="n">
        <x:f>IF('Данные'!E2163&gt;0,G2163/'Данные'!E2163,"n.a.")</x:f>
        <x:v>0</x:v>
      </x:c>
      <x:c r="K2163" s="1" t="str">
        <x:f>IF(G2163&gt;='Дашборд'!$C$51,"X","Z")</x:f>
        <x:v>Z</x:v>
      </x:c>
      <x:c r="L2163" s="1" t="str">
        <x:f>IF(H2163=0,IF(G2163&gt;0,"Нет остатка","Нет спроса"),IF(I2163&gt;='Дашборд'!$C$52,"Быстрый","Медленный"))</x:f>
        <x:v>Нет спроса</x:v>
      </x:c>
      <x:c r="M2163" s="1" t="str">
        <x:f>IF('Данные'!E2163&lt;'Дашборд'!$C$53,"Мало трафика",IF(J2163&lt;'Дашборд'!$C$9*'Дашборд'!$C$54,"Да","Нет"))</x:f>
        <x:v>Мало трафика</x:v>
      </x:c>
      <x:c r="N2163" s="1" t="str">
        <x:f>IF(AND('Данные'!D2163&gt;='Дашборд'!$C$55,D2163&lt;'Дашборд'!$C$56,'Данные'!E2163&gt;='Дашборд'!$C$53,'Данные'!L2163&lt;&gt;"Да"),"Да","Нет")</x:f>
        <x:v>Нет</x:v>
      </x:c>
      <x:c r="O2163" s="1" t="str">
        <x:f>'Данные'!L2163</x:f>
        <x:v>Нет</x:v>
      </x:c>
    </x:row>
    <x:row r="2164">
      <x:c r="A2164" s="1" t="str">
        <x:f>'Данные'!A2164</x:f>
        <x:v>235997577</x:v>
      </x:c>
      <x:c r="B2164" s="1" t="str">
        <x:f>'Данные'!B2164</x:f>
        <x:v>bazagirl/шалфей</x:v>
      </x:c>
      <x:c r="C2164" s="8" t="n">
        <x:f>'Данные'!G2164</x:f>
        <x:v>0</x:v>
      </x:c>
      <x:c r="D2164" s="15" t="n">
        <x:f>C2164/SUM($C$5:$C$2477)</x:f>
        <x:v>0</x:v>
      </x:c>
      <x:c r="E2164" s="15" t="n">
        <x:f>SUM($D$5:D2164)</x:f>
        <x:v>1.0000000000000036</x:v>
      </x:c>
      <x:c r="F2164" s="1" t="str">
        <x:f>IF(C2164&lt;=0,"C",IF(E2164-D2164&lt;'Дашборд'!$C$49,"A",IF(E2164-D2164&lt;'Дашборд'!$C$50,"B","C")))</x:f>
        <x:v>C</x:v>
      </x:c>
      <x:c r="G2164" s="8" t="n">
        <x:f>'Данные'!F2164</x:f>
        <x:v>3</x:v>
      </x:c>
      <x:c r="H2164" s="8" t="n">
        <x:f>SUM('Данные'!H2164:I2164)</x:f>
        <x:v>0</x:v>
      </x:c>
      <x:c r="I2164" s="16" t="str">
        <x:f>IF(H2164&gt;0,G2164/H2164,"n.a.")</x:f>
        <x:v>n.a.</x:v>
      </x:c>
      <x:c r="J2164" s="10" t="n">
        <x:f>IF('Данные'!E2164&gt;0,G2164/'Данные'!E2164,"n.a.")</x:f>
        <x:v>0.006289308176100629</x:v>
      </x:c>
      <x:c r="K2164" s="1" t="str">
        <x:f>IF(G2164&gt;='Дашборд'!$C$51,"X","Z")</x:f>
        <x:v>Z</x:v>
      </x:c>
      <x:c r="L2164" s="1" t="str">
        <x:f>IF(H2164=0,IF(G2164&gt;0,"Нет остатка","Нет спроса"),IF(I2164&gt;='Дашборд'!$C$52,"Быстрый","Медленный"))</x:f>
        <x:v>Нет остатка</x:v>
      </x:c>
      <x:c r="M2164" s="1" t="str">
        <x:f>IF('Данные'!E2164&lt;'Дашборд'!$C$53,"Мало трафика",IF(J2164&lt;'Дашборд'!$C$9*'Дашборд'!$C$54,"Да","Нет"))</x:f>
        <x:v>Мало трафика</x:v>
      </x:c>
      <x:c r="N2164" s="1" t="str">
        <x:f>IF(AND('Данные'!D2164&gt;='Дашборд'!$C$55,D2164&lt;'Дашборд'!$C$56,'Данные'!E2164&gt;='Дашборд'!$C$53,'Данные'!L2164&lt;&gt;"Да"),"Да","Нет")</x:f>
        <x:v>Нет</x:v>
      </x:c>
      <x:c r="O2164" s="1" t="str">
        <x:f>'Данные'!L2164</x:f>
        <x:v>Нет</x:v>
      </x:c>
    </x:row>
    <x:row r="2165">
      <x:c r="A2165" s="1" t="str">
        <x:f>'Данные'!A2165</x:f>
        <x:v>235997587</x:v>
      </x:c>
      <x:c r="B2165" s="1" t="str">
        <x:f>'Данные'!B2165</x:f>
        <x:v>bazaboy/шалфей</x:v>
      </x:c>
      <x:c r="C2165" s="8" t="n">
        <x:f>'Данные'!G2165</x:f>
        <x:v>0</x:v>
      </x:c>
      <x:c r="D2165" s="15" t="n">
        <x:f>C2165/SUM($C$5:$C$2477)</x:f>
        <x:v>0</x:v>
      </x:c>
      <x:c r="E2165" s="15" t="n">
        <x:f>SUM($D$5:D2165)</x:f>
        <x:v>1.0000000000000036</x:v>
      </x:c>
      <x:c r="F2165" s="1" t="str">
        <x:f>IF(C2165&lt;=0,"C",IF(E2165-D2165&lt;'Дашборд'!$C$49,"A",IF(E2165-D2165&lt;'Дашборд'!$C$50,"B","C")))</x:f>
        <x:v>C</x:v>
      </x:c>
      <x:c r="G2165" s="8" t="n">
        <x:f>'Данные'!F2165</x:f>
        <x:v>0</x:v>
      </x:c>
      <x:c r="H2165" s="8" t="n">
        <x:f>SUM('Данные'!H2165:I2165)</x:f>
        <x:v>0</x:v>
      </x:c>
      <x:c r="I2165" s="16" t="str">
        <x:f>IF(H2165&gt;0,G2165/H2165,"n.a.")</x:f>
        <x:v>n.a.</x:v>
      </x:c>
      <x:c r="J2165" s="10" t="n">
        <x:f>IF('Данные'!E2165&gt;0,G2165/'Данные'!E2165,"n.a.")</x:f>
        <x:v>0</x:v>
      </x:c>
      <x:c r="K2165" s="1" t="str">
        <x:f>IF(G2165&gt;='Дашборд'!$C$51,"X","Z")</x:f>
        <x:v>Z</x:v>
      </x:c>
      <x:c r="L2165" s="1" t="str">
        <x:f>IF(H2165=0,IF(G2165&gt;0,"Нет остатка","Нет спроса"),IF(I2165&gt;='Дашборд'!$C$52,"Быстрый","Медленный"))</x:f>
        <x:v>Нет спроса</x:v>
      </x:c>
      <x:c r="M2165" s="1" t="str">
        <x:f>IF('Данные'!E2165&lt;'Дашборд'!$C$53,"Мало трафика",IF(J2165&lt;'Дашборд'!$C$9*'Дашборд'!$C$54,"Да","Нет"))</x:f>
        <x:v>Мало трафика</x:v>
      </x:c>
      <x:c r="N2165" s="1" t="str">
        <x:f>IF(AND('Данные'!D2165&gt;='Дашборд'!$C$55,D2165&lt;'Дашборд'!$C$56,'Данные'!E2165&gt;='Дашборд'!$C$53,'Данные'!L2165&lt;&gt;"Да"),"Да","Нет")</x:f>
        <x:v>Нет</x:v>
      </x:c>
      <x:c r="O2165" s="1" t="str">
        <x:f>'Данные'!L2165</x:f>
        <x:v>Нет</x:v>
      </x:c>
    </x:row>
    <x:row r="2166">
      <x:c r="A2166" s="1" t="str">
        <x:f>'Данные'!A2166</x:f>
        <x:v>236026598</x:v>
      </x:c>
      <x:c r="B2166" s="1" t="str">
        <x:f>'Данные'!B2166</x:f>
        <x:v>futbolkaprint/Oops-161/деним</x:v>
      </x:c>
      <x:c r="C2166" s="8" t="n">
        <x:f>'Данные'!G2166</x:f>
        <x:v>0</x:v>
      </x:c>
      <x:c r="D2166" s="15" t="n">
        <x:f>C2166/SUM($C$5:$C$2477)</x:f>
        <x:v>0</x:v>
      </x:c>
      <x:c r="E2166" s="15" t="n">
        <x:f>SUM($D$5:D2166)</x:f>
        <x:v>1.0000000000000036</x:v>
      </x:c>
      <x:c r="F2166" s="1" t="str">
        <x:f>IF(C2166&lt;=0,"C",IF(E2166-D2166&lt;'Дашборд'!$C$49,"A",IF(E2166-D2166&lt;'Дашборд'!$C$50,"B","C")))</x:f>
        <x:v>C</x:v>
      </x:c>
      <x:c r="G2166" s="8" t="n">
        <x:f>'Данные'!F2166</x:f>
        <x:v>0</x:v>
      </x:c>
      <x:c r="H2166" s="8" t="n">
        <x:f>SUM('Данные'!H2166:I2166)</x:f>
        <x:v>0</x:v>
      </x:c>
      <x:c r="I2166" s="16" t="str">
        <x:f>IF(H2166&gt;0,G2166/H2166,"n.a.")</x:f>
        <x:v>n.a.</x:v>
      </x:c>
      <x:c r="J2166" s="10" t="n">
        <x:f>IF('Данные'!E2166&gt;0,G2166/'Данные'!E2166,"n.a.")</x:f>
        <x:v>0</x:v>
      </x:c>
      <x:c r="K2166" s="1" t="str">
        <x:f>IF(G2166&gt;='Дашборд'!$C$51,"X","Z")</x:f>
        <x:v>Z</x:v>
      </x:c>
      <x:c r="L2166" s="1" t="str">
        <x:f>IF(H2166=0,IF(G2166&gt;0,"Нет остатка","Нет спроса"),IF(I2166&gt;='Дашборд'!$C$52,"Быстрый","Медленный"))</x:f>
        <x:v>Нет спроса</x:v>
      </x:c>
      <x:c r="M2166" s="1" t="str">
        <x:f>IF('Данные'!E2166&lt;'Дашборд'!$C$53,"Мало трафика",IF(J2166&lt;'Дашборд'!$C$9*'Дашборд'!$C$54,"Да","Нет"))</x:f>
        <x:v>Мало трафика</x:v>
      </x:c>
      <x:c r="N2166" s="1" t="str">
        <x:f>IF(AND('Данные'!D2166&gt;='Дашборд'!$C$55,D2166&lt;'Дашборд'!$C$56,'Данные'!E2166&gt;='Дашборд'!$C$53,'Данные'!L2166&lt;&gt;"Да"),"Да","Нет")</x:f>
        <x:v>Нет</x:v>
      </x:c>
      <x:c r="O2166" s="1" t="str">
        <x:f>'Данные'!L2166</x:f>
        <x:v>Нет</x:v>
      </x:c>
    </x:row>
    <x:row r="2167">
      <x:c r="A2167" s="1" t="str">
        <x:f>'Данные'!A2167</x:f>
        <x:v>236026619</x:v>
      </x:c>
      <x:c r="B2167" s="1" t="str">
        <x:f>'Данные'!B2167</x:f>
        <x:v>futbolkaprint/Power-163/белый</x:v>
      </x:c>
      <x:c r="C2167" s="8" t="n">
        <x:f>'Данные'!G2167</x:f>
        <x:v>0</x:v>
      </x:c>
      <x:c r="D2167" s="15" t="n">
        <x:f>C2167/SUM($C$5:$C$2477)</x:f>
        <x:v>0</x:v>
      </x:c>
      <x:c r="E2167" s="15" t="n">
        <x:f>SUM($D$5:D2167)</x:f>
        <x:v>1.0000000000000036</x:v>
      </x:c>
      <x:c r="F2167" s="1" t="str">
        <x:f>IF(C2167&lt;=0,"C",IF(E2167-D2167&lt;'Дашборд'!$C$49,"A",IF(E2167-D2167&lt;'Дашборд'!$C$50,"B","C")))</x:f>
        <x:v>C</x:v>
      </x:c>
      <x:c r="G2167" s="8" t="n">
        <x:f>'Данные'!F2167</x:f>
        <x:v>0</x:v>
      </x:c>
      <x:c r="H2167" s="8" t="n">
        <x:f>SUM('Данные'!H2167:I2167)</x:f>
        <x:v>1</x:v>
      </x:c>
      <x:c r="I2167" s="16" t="n">
        <x:f>IF(H2167&gt;0,G2167/H2167,"n.a.")</x:f>
        <x:v>0</x:v>
      </x:c>
      <x:c r="J2167" s="10" t="n">
        <x:f>IF('Данные'!E2167&gt;0,G2167/'Данные'!E2167,"n.a.")</x:f>
        <x:v>0</x:v>
      </x:c>
      <x:c r="K2167" s="1" t="str">
        <x:f>IF(G2167&gt;='Дашборд'!$C$51,"X","Z")</x:f>
        <x:v>Z</x:v>
      </x:c>
      <x:c r="L2167" s="1" t="str">
        <x:f>IF(H2167=0,IF(G2167&gt;0,"Нет остатка","Нет спроса"),IF(I2167&gt;='Дашборд'!$C$52,"Быстрый","Медленный"))</x:f>
        <x:v>Медленный</x:v>
      </x:c>
      <x:c r="M2167" s="1" t="str">
        <x:f>IF('Данные'!E2167&lt;'Дашборд'!$C$53,"Мало трафика",IF(J2167&lt;'Дашборд'!$C$9*'Дашборд'!$C$54,"Да","Нет"))</x:f>
        <x:v>Да</x:v>
      </x:c>
      <x:c r="N2167" s="1" t="str">
        <x:f>IF(AND('Данные'!D2167&gt;='Дашборд'!$C$55,D2167&lt;'Дашборд'!$C$56,'Данные'!E2167&gt;='Дашборд'!$C$53,'Данные'!L2167&lt;&gt;"Да"),"Да","Нет")</x:f>
        <x:v>Нет</x:v>
      </x:c>
      <x:c r="O2167" s="1" t="str">
        <x:f>'Данные'!L2167</x:f>
        <x:v>Нет</x:v>
      </x:c>
    </x:row>
    <x:row r="2168">
      <x:c r="A2168" s="1" t="str">
        <x:f>'Данные'!A2168</x:f>
        <x:v>236190474</x:v>
      </x:c>
      <x:c r="B2168" s="1" t="str">
        <x:f>'Данные'!B2168</x:f>
        <x:v>futbolkaprint/BlueLoveNever-165/темно-синий</x:v>
      </x:c>
      <x:c r="C2168" s="8" t="n">
        <x:f>'Данные'!G2168</x:f>
        <x:v>0</x:v>
      </x:c>
      <x:c r="D2168" s="15" t="n">
        <x:f>C2168/SUM($C$5:$C$2477)</x:f>
        <x:v>0</x:v>
      </x:c>
      <x:c r="E2168" s="15" t="n">
        <x:f>SUM($D$5:D2168)</x:f>
        <x:v>1.0000000000000036</x:v>
      </x:c>
      <x:c r="F2168" s="1" t="str">
        <x:f>IF(C2168&lt;=0,"C",IF(E2168-D2168&lt;'Дашборд'!$C$49,"A",IF(E2168-D2168&lt;'Дашборд'!$C$50,"B","C")))</x:f>
        <x:v>C</x:v>
      </x:c>
      <x:c r="G2168" s="8" t="n">
        <x:f>'Данные'!F2168</x:f>
        <x:v>0</x:v>
      </x:c>
      <x:c r="H2168" s="8" t="n">
        <x:f>SUM('Данные'!H2168:I2168)</x:f>
        <x:v>0</x:v>
      </x:c>
      <x:c r="I2168" s="16" t="str">
        <x:f>IF(H2168&gt;0,G2168/H2168,"n.a.")</x:f>
        <x:v>n.a.</x:v>
      </x:c>
      <x:c r="J2168" s="10" t="n">
        <x:f>IF('Данные'!E2168&gt;0,G2168/'Данные'!E2168,"n.a.")</x:f>
        <x:v>0</x:v>
      </x:c>
      <x:c r="K2168" s="1" t="str">
        <x:f>IF(G2168&gt;='Дашборд'!$C$51,"X","Z")</x:f>
        <x:v>Z</x:v>
      </x:c>
      <x:c r="L2168" s="1" t="str">
        <x:f>IF(H2168=0,IF(G2168&gt;0,"Нет остатка","Нет спроса"),IF(I2168&gt;='Дашборд'!$C$52,"Быстрый","Медленный"))</x:f>
        <x:v>Нет спроса</x:v>
      </x:c>
      <x:c r="M2168" s="1" t="str">
        <x:f>IF('Данные'!E2168&lt;'Дашборд'!$C$53,"Мало трафика",IF(J2168&lt;'Дашборд'!$C$9*'Дашборд'!$C$54,"Да","Нет"))</x:f>
        <x:v>Мало трафика</x:v>
      </x:c>
      <x:c r="N2168" s="1" t="str">
        <x:f>IF(AND('Данные'!D2168&gt;='Дашборд'!$C$55,D2168&lt;'Дашборд'!$C$56,'Данные'!E2168&gt;='Дашборд'!$C$53,'Данные'!L2168&lt;&gt;"Да"),"Да","Нет")</x:f>
        <x:v>Нет</x:v>
      </x:c>
      <x:c r="O2168" s="1" t="str">
        <x:f>'Данные'!L2168</x:f>
        <x:v>Нет</x:v>
      </x:c>
    </x:row>
    <x:row r="2169">
      <x:c r="A2169" s="1" t="str">
        <x:f>'Данные'!A2169</x:f>
        <x:v>236190475</x:v>
      </x:c>
      <x:c r="B2169" s="1" t="str">
        <x:f>'Данные'!B2169</x:f>
        <x:v>futbolkaprint/Never-155/серый</x:v>
      </x:c>
      <x:c r="C2169" s="8" t="n">
        <x:f>'Данные'!G2169</x:f>
        <x:v>0</x:v>
      </x:c>
      <x:c r="D2169" s="15" t="n">
        <x:f>C2169/SUM($C$5:$C$2477)</x:f>
        <x:v>0</x:v>
      </x:c>
      <x:c r="E2169" s="15" t="n">
        <x:f>SUM($D$5:D2169)</x:f>
        <x:v>1.0000000000000036</x:v>
      </x:c>
      <x:c r="F2169" s="1" t="str">
        <x:f>IF(C2169&lt;=0,"C",IF(E2169-D2169&lt;'Дашборд'!$C$49,"A",IF(E2169-D2169&lt;'Дашборд'!$C$50,"B","C")))</x:f>
        <x:v>C</x:v>
      </x:c>
      <x:c r="G2169" s="8" t="n">
        <x:f>'Данные'!F2169</x:f>
        <x:v>0</x:v>
      </x:c>
      <x:c r="H2169" s="8" t="n">
        <x:f>SUM('Данные'!H2169:I2169)</x:f>
        <x:v>0</x:v>
      </x:c>
      <x:c r="I2169" s="16" t="str">
        <x:f>IF(H2169&gt;0,G2169/H2169,"n.a.")</x:f>
        <x:v>n.a.</x:v>
      </x:c>
      <x:c r="J2169" s="10" t="n">
        <x:f>IF('Данные'!E2169&gt;0,G2169/'Данные'!E2169,"n.a.")</x:f>
        <x:v>0</x:v>
      </x:c>
      <x:c r="K2169" s="1" t="str">
        <x:f>IF(G2169&gt;='Дашборд'!$C$51,"X","Z")</x:f>
        <x:v>Z</x:v>
      </x:c>
      <x:c r="L2169" s="1" t="str">
        <x:f>IF(H2169=0,IF(G2169&gt;0,"Нет остатка","Нет спроса"),IF(I2169&gt;='Дашборд'!$C$52,"Быстрый","Медленный"))</x:f>
        <x:v>Нет спроса</x:v>
      </x:c>
      <x:c r="M2169" s="1" t="str">
        <x:f>IF('Данные'!E2169&lt;'Дашборд'!$C$53,"Мало трафика",IF(J2169&lt;'Дашборд'!$C$9*'Дашборд'!$C$54,"Да","Нет"))</x:f>
        <x:v>Мало трафика</x:v>
      </x:c>
      <x:c r="N2169" s="1" t="str">
        <x:f>IF(AND('Данные'!D2169&gt;='Дашборд'!$C$55,D2169&lt;'Дашборд'!$C$56,'Данные'!E2169&gt;='Дашборд'!$C$53,'Данные'!L2169&lt;&gt;"Да"),"Да","Нет")</x:f>
        <x:v>Нет</x:v>
      </x:c>
      <x:c r="O2169" s="1" t="str">
        <x:f>'Данные'!L2169</x:f>
        <x:v>Нет</x:v>
      </x:c>
    </x:row>
    <x:row r="2170">
      <x:c r="A2170" s="1" t="str">
        <x:f>'Данные'!A2170</x:f>
        <x:v>236190477</x:v>
      </x:c>
      <x:c r="B2170" s="1" t="str">
        <x:f>'Данные'!B2170</x:f>
        <x:v>futbolkaprint100/SaintGod-130/вареныйсерый</x:v>
      </x:c>
      <x:c r="C2170" s="8" t="n">
        <x:f>'Данные'!G2170</x:f>
        <x:v>0</x:v>
      </x:c>
      <x:c r="D2170" s="15" t="n">
        <x:f>C2170/SUM($C$5:$C$2477)</x:f>
        <x:v>0</x:v>
      </x:c>
      <x:c r="E2170" s="15" t="n">
        <x:f>SUM($D$5:D2170)</x:f>
        <x:v>1.0000000000000036</x:v>
      </x:c>
      <x:c r="F2170" s="1" t="str">
        <x:f>IF(C2170&lt;=0,"C",IF(E2170-D2170&lt;'Дашборд'!$C$49,"A",IF(E2170-D2170&lt;'Дашборд'!$C$50,"B","C")))</x:f>
        <x:v>C</x:v>
      </x:c>
      <x:c r="G2170" s="8" t="n">
        <x:f>'Данные'!F2170</x:f>
        <x:v>0</x:v>
      </x:c>
      <x:c r="H2170" s="8" t="n">
        <x:f>SUM('Данные'!H2170:I2170)</x:f>
        <x:v>250</x:v>
      </x:c>
      <x:c r="I2170" s="16" t="n">
        <x:f>IF(H2170&gt;0,G2170/H2170,"n.a.")</x:f>
        <x:v>0</x:v>
      </x:c>
      <x:c r="J2170" s="10" t="str">
        <x:f>IF('Данные'!E2170&gt;0,G2170/'Данные'!E2170,"n.a.")</x:f>
        <x:v>n.a.</x:v>
      </x:c>
      <x:c r="K2170" s="1" t="str">
        <x:f>IF(G2170&gt;='Дашборд'!$C$51,"X","Z")</x:f>
        <x:v>Z</x:v>
      </x:c>
      <x:c r="L2170" s="1" t="str">
        <x:f>IF(H2170=0,IF(G2170&gt;0,"Нет остатка","Нет спроса"),IF(I2170&gt;='Дашборд'!$C$52,"Быстрый","Медленный"))</x:f>
        <x:v>Медленный</x:v>
      </x:c>
      <x:c r="M2170" s="1" t="str">
        <x:f>IF('Данные'!E2170&lt;'Дашборд'!$C$53,"Мало трафика",IF(J2170&lt;'Дашборд'!$C$9*'Дашборд'!$C$54,"Да","Нет"))</x:f>
        <x:v>Мало трафика</x:v>
      </x:c>
      <x:c r="N2170" s="1" t="str">
        <x:f>IF(AND('Данные'!D2170&gt;='Дашборд'!$C$55,D2170&lt;'Дашборд'!$C$56,'Данные'!E2170&gt;='Дашборд'!$C$53,'Данные'!L2170&lt;&gt;"Да"),"Да","Нет")</x:f>
        <x:v>Нет</x:v>
      </x:c>
      <x:c r="O2170" s="1" t="str">
        <x:f>'Данные'!L2170</x:f>
        <x:v>Нет</x:v>
      </x:c>
    </x:row>
    <x:row r="2171">
      <x:c r="A2171" s="1" t="str">
        <x:f>'Данные'!A2171</x:f>
        <x:v>236190478</x:v>
      </x:c>
      <x:c r="B2171" s="1" t="str">
        <x:f>'Данные'!B2171</x:f>
        <x:v>futbolkaprint/MovesWithLove-135/милка</x:v>
      </x:c>
      <x:c r="C2171" s="8" t="n">
        <x:f>'Данные'!G2171</x:f>
        <x:v>0</x:v>
      </x:c>
      <x:c r="D2171" s="15" t="n">
        <x:f>C2171/SUM($C$5:$C$2477)</x:f>
        <x:v>0</x:v>
      </x:c>
      <x:c r="E2171" s="15" t="n">
        <x:f>SUM($D$5:D2171)</x:f>
        <x:v>1.0000000000000036</x:v>
      </x:c>
      <x:c r="F2171" s="1" t="str">
        <x:f>IF(C2171&lt;=0,"C",IF(E2171-D2171&lt;'Дашборд'!$C$49,"A",IF(E2171-D2171&lt;'Дашборд'!$C$50,"B","C")))</x:f>
        <x:v>C</x:v>
      </x:c>
      <x:c r="G2171" s="8" t="n">
        <x:f>'Данные'!F2171</x:f>
        <x:v>0</x:v>
      </x:c>
      <x:c r="H2171" s="8" t="n">
        <x:f>SUM('Данные'!H2171:I2171)</x:f>
        <x:v>0</x:v>
      </x:c>
      <x:c r="I2171" s="16" t="str">
        <x:f>IF(H2171&gt;0,G2171/H2171,"n.a.")</x:f>
        <x:v>n.a.</x:v>
      </x:c>
      <x:c r="J2171" s="10" t="n">
        <x:f>IF('Данные'!E2171&gt;0,G2171/'Данные'!E2171,"n.a.")</x:f>
        <x:v>0</x:v>
      </x:c>
      <x:c r="K2171" s="1" t="str">
        <x:f>IF(G2171&gt;='Дашборд'!$C$51,"X","Z")</x:f>
        <x:v>Z</x:v>
      </x:c>
      <x:c r="L2171" s="1" t="str">
        <x:f>IF(H2171=0,IF(G2171&gt;0,"Нет остатка","Нет спроса"),IF(I2171&gt;='Дашборд'!$C$52,"Быстрый","Медленный"))</x:f>
        <x:v>Нет спроса</x:v>
      </x:c>
      <x:c r="M2171" s="1" t="str">
        <x:f>IF('Данные'!E2171&lt;'Дашборд'!$C$53,"Мало трафика",IF(J2171&lt;'Дашборд'!$C$9*'Дашборд'!$C$54,"Да","Нет"))</x:f>
        <x:v>Мало трафика</x:v>
      </x:c>
      <x:c r="N2171" s="1" t="str">
        <x:f>IF(AND('Данные'!D2171&gt;='Дашборд'!$C$55,D2171&lt;'Дашборд'!$C$56,'Данные'!E2171&gt;='Дашборд'!$C$53,'Данные'!L2171&lt;&gt;"Да"),"Да","Нет")</x:f>
        <x:v>Нет</x:v>
      </x:c>
      <x:c r="O2171" s="1" t="str">
        <x:f>'Данные'!L2171</x:f>
        <x:v>Нет</x:v>
      </x:c>
    </x:row>
    <x:row r="2172">
      <x:c r="A2172" s="1" t="str">
        <x:f>'Данные'!A2172</x:f>
        <x:v>236190479</x:v>
      </x:c>
      <x:c r="B2172" s="1" t="str">
        <x:f>'Данные'!B2172</x:f>
        <x:v>futbolkaprint/CoffeeCup-145/дымка</x:v>
      </x:c>
      <x:c r="C2172" s="8" t="n">
        <x:f>'Данные'!G2172</x:f>
        <x:v>0</x:v>
      </x:c>
      <x:c r="D2172" s="15" t="n">
        <x:f>C2172/SUM($C$5:$C$2477)</x:f>
        <x:v>0</x:v>
      </x:c>
      <x:c r="E2172" s="15" t="n">
        <x:f>SUM($D$5:D2172)</x:f>
        <x:v>1.0000000000000036</x:v>
      </x:c>
      <x:c r="F2172" s="1" t="str">
        <x:f>IF(C2172&lt;=0,"C",IF(E2172-D2172&lt;'Дашборд'!$C$49,"A",IF(E2172-D2172&lt;'Дашборд'!$C$50,"B","C")))</x:f>
        <x:v>C</x:v>
      </x:c>
      <x:c r="G2172" s="8" t="n">
        <x:f>'Данные'!F2172</x:f>
        <x:v>0</x:v>
      </x:c>
      <x:c r="H2172" s="8" t="n">
        <x:f>SUM('Данные'!H2172:I2172)</x:f>
        <x:v>0</x:v>
      </x:c>
      <x:c r="I2172" s="16" t="str">
        <x:f>IF(H2172&gt;0,G2172/H2172,"n.a.")</x:f>
        <x:v>n.a.</x:v>
      </x:c>
      <x:c r="J2172" s="10" t="n">
        <x:f>IF('Данные'!E2172&gt;0,G2172/'Данные'!E2172,"n.a.")</x:f>
        <x:v>0</x:v>
      </x:c>
      <x:c r="K2172" s="1" t="str">
        <x:f>IF(G2172&gt;='Дашборд'!$C$51,"X","Z")</x:f>
        <x:v>Z</x:v>
      </x:c>
      <x:c r="L2172" s="1" t="str">
        <x:f>IF(H2172=0,IF(G2172&gt;0,"Нет остатка","Нет спроса"),IF(I2172&gt;='Дашборд'!$C$52,"Быстрый","Медленный"))</x:f>
        <x:v>Нет спроса</x:v>
      </x:c>
      <x:c r="M2172" s="1" t="str">
        <x:f>IF('Данные'!E2172&lt;'Дашборд'!$C$53,"Мало трафика",IF(J2172&lt;'Дашборд'!$C$9*'Дашборд'!$C$54,"Да","Нет"))</x:f>
        <x:v>Мало трафика</x:v>
      </x:c>
      <x:c r="N2172" s="1" t="str">
        <x:f>IF(AND('Данные'!D2172&gt;='Дашборд'!$C$55,D2172&lt;'Дашборд'!$C$56,'Данные'!E2172&gt;='Дашборд'!$C$53,'Данные'!L2172&lt;&gt;"Да"),"Да","Нет")</x:f>
        <x:v>Нет</x:v>
      </x:c>
      <x:c r="O2172" s="1" t="str">
        <x:f>'Данные'!L2172</x:f>
        <x:v>Нет</x:v>
      </x:c>
    </x:row>
    <x:row r="2173">
      <x:c r="A2173" s="1" t="str">
        <x:f>'Данные'!A2173</x:f>
        <x:v>236190502</x:v>
      </x:c>
      <x:c r="B2173" s="1" t="str">
        <x:f>'Данные'!B2173</x:f>
        <x:v>futbolkaprint/Forever-60/темно-синий</x:v>
      </x:c>
      <x:c r="C2173" s="8" t="n">
        <x:f>'Данные'!G2173</x:f>
        <x:v>0</x:v>
      </x:c>
      <x:c r="D2173" s="15" t="n">
        <x:f>C2173/SUM($C$5:$C$2477)</x:f>
        <x:v>0</x:v>
      </x:c>
      <x:c r="E2173" s="15" t="n">
        <x:f>SUM($D$5:D2173)</x:f>
        <x:v>1.0000000000000036</x:v>
      </x:c>
      <x:c r="F2173" s="1" t="str">
        <x:f>IF(C2173&lt;=0,"C",IF(E2173-D2173&lt;'Дашборд'!$C$49,"A",IF(E2173-D2173&lt;'Дашборд'!$C$50,"B","C")))</x:f>
        <x:v>C</x:v>
      </x:c>
      <x:c r="G2173" s="8" t="n">
        <x:f>'Данные'!F2173</x:f>
        <x:v>0</x:v>
      </x:c>
      <x:c r="H2173" s="8" t="n">
        <x:f>SUM('Данные'!H2173:I2173)</x:f>
        <x:v>0</x:v>
      </x:c>
      <x:c r="I2173" s="16" t="str">
        <x:f>IF(H2173&gt;0,G2173/H2173,"n.a.")</x:f>
        <x:v>n.a.</x:v>
      </x:c>
      <x:c r="J2173" s="10" t="n">
        <x:f>IF('Данные'!E2173&gt;0,G2173/'Данные'!E2173,"n.a.")</x:f>
        <x:v>0</x:v>
      </x:c>
      <x:c r="K2173" s="1" t="str">
        <x:f>IF(G2173&gt;='Дашборд'!$C$51,"X","Z")</x:f>
        <x:v>Z</x:v>
      </x:c>
      <x:c r="L2173" s="1" t="str">
        <x:f>IF(H2173=0,IF(G2173&gt;0,"Нет остатка","Нет спроса"),IF(I2173&gt;='Дашборд'!$C$52,"Быстрый","Медленный"))</x:f>
        <x:v>Нет спроса</x:v>
      </x:c>
      <x:c r="M2173" s="1" t="str">
        <x:f>IF('Данные'!E2173&lt;'Дашборд'!$C$53,"Мало трафика",IF(J2173&lt;'Дашборд'!$C$9*'Дашборд'!$C$54,"Да","Нет"))</x:f>
        <x:v>Мало трафика</x:v>
      </x:c>
      <x:c r="N2173" s="1" t="str">
        <x:f>IF(AND('Данные'!D2173&gt;='Дашборд'!$C$55,D2173&lt;'Дашборд'!$C$56,'Данные'!E2173&gt;='Дашборд'!$C$53,'Данные'!L2173&lt;&gt;"Да"),"Да","Нет")</x:f>
        <x:v>Нет</x:v>
      </x:c>
      <x:c r="O2173" s="1" t="str">
        <x:f>'Данные'!L2173</x:f>
        <x:v>Нет</x:v>
      </x:c>
    </x:row>
    <x:row r="2174">
      <x:c r="A2174" s="1" t="str">
        <x:f>'Данные'!A2174</x:f>
        <x:v>236190510</x:v>
      </x:c>
      <x:c r="B2174" s="1" t="str">
        <x:f>'Данные'!B2174</x:f>
        <x:v>futbolkaprint/AquaMoreSelf-164/милка</x:v>
      </x:c>
      <x:c r="C2174" s="8" t="n">
        <x:f>'Данные'!G2174</x:f>
        <x:v>0</x:v>
      </x:c>
      <x:c r="D2174" s="15" t="n">
        <x:f>C2174/SUM($C$5:$C$2477)</x:f>
        <x:v>0</x:v>
      </x:c>
      <x:c r="E2174" s="15" t="n">
        <x:f>SUM($D$5:D2174)</x:f>
        <x:v>1.0000000000000036</x:v>
      </x:c>
      <x:c r="F2174" s="1" t="str">
        <x:f>IF(C2174&lt;=0,"C",IF(E2174-D2174&lt;'Дашборд'!$C$49,"A",IF(E2174-D2174&lt;'Дашборд'!$C$50,"B","C")))</x:f>
        <x:v>C</x:v>
      </x:c>
      <x:c r="G2174" s="8" t="n">
        <x:f>'Данные'!F2174</x:f>
        <x:v>0</x:v>
      </x:c>
      <x:c r="H2174" s="8" t="n">
        <x:f>SUM('Данные'!H2174:I2174)</x:f>
        <x:v>0</x:v>
      </x:c>
      <x:c r="I2174" s="16" t="str">
        <x:f>IF(H2174&gt;0,G2174/H2174,"n.a.")</x:f>
        <x:v>n.a.</x:v>
      </x:c>
      <x:c r="J2174" s="10" t="n">
        <x:f>IF('Данные'!E2174&gt;0,G2174/'Данные'!E2174,"n.a.")</x:f>
        <x:v>0</x:v>
      </x:c>
      <x:c r="K2174" s="1" t="str">
        <x:f>IF(G2174&gt;='Дашборд'!$C$51,"X","Z")</x:f>
        <x:v>Z</x:v>
      </x:c>
      <x:c r="L2174" s="1" t="str">
        <x:f>IF(H2174=0,IF(G2174&gt;0,"Нет остатка","Нет спроса"),IF(I2174&gt;='Дашборд'!$C$52,"Быстрый","Медленный"))</x:f>
        <x:v>Нет спроса</x:v>
      </x:c>
      <x:c r="M2174" s="1" t="str">
        <x:f>IF('Данные'!E2174&lt;'Дашборд'!$C$53,"Мало трафика",IF(J2174&lt;'Дашборд'!$C$9*'Дашборд'!$C$54,"Да","Нет"))</x:f>
        <x:v>Мало трафика</x:v>
      </x:c>
      <x:c r="N2174" s="1" t="str">
        <x:f>IF(AND('Данные'!D2174&gt;='Дашборд'!$C$55,D2174&lt;'Дашборд'!$C$56,'Данные'!E2174&gt;='Дашборд'!$C$53,'Данные'!L2174&lt;&gt;"Да"),"Да","Нет")</x:f>
        <x:v>Нет</x:v>
      </x:c>
      <x:c r="O2174" s="1" t="str">
        <x:f>'Данные'!L2174</x:f>
        <x:v>Нет</x:v>
      </x:c>
    </x:row>
    <x:row r="2175">
      <x:c r="A2175" s="1" t="str">
        <x:f>'Данные'!A2175</x:f>
        <x:v>236190516</x:v>
      </x:c>
      <x:c r="B2175" s="1" t="str">
        <x:f>'Данные'!B2175</x:f>
        <x:v>futbolkaprint/MovesWithLove-135/персиковый</x:v>
      </x:c>
      <x:c r="C2175" s="8" t="n">
        <x:f>'Данные'!G2175</x:f>
        <x:v>0</x:v>
      </x:c>
      <x:c r="D2175" s="15" t="n">
        <x:f>C2175/SUM($C$5:$C$2477)</x:f>
        <x:v>0</x:v>
      </x:c>
      <x:c r="E2175" s="15" t="n">
        <x:f>SUM($D$5:D2175)</x:f>
        <x:v>1.0000000000000036</x:v>
      </x:c>
      <x:c r="F2175" s="1" t="str">
        <x:f>IF(C2175&lt;=0,"C",IF(E2175-D2175&lt;'Дашборд'!$C$49,"A",IF(E2175-D2175&lt;'Дашборд'!$C$50,"B","C")))</x:f>
        <x:v>C</x:v>
      </x:c>
      <x:c r="G2175" s="8" t="n">
        <x:f>'Данные'!F2175</x:f>
        <x:v>0</x:v>
      </x:c>
      <x:c r="H2175" s="8" t="n">
        <x:f>SUM('Данные'!H2175:I2175)</x:f>
        <x:v>0</x:v>
      </x:c>
      <x:c r="I2175" s="16" t="str">
        <x:f>IF(H2175&gt;0,G2175/H2175,"n.a.")</x:f>
        <x:v>n.a.</x:v>
      </x:c>
      <x:c r="J2175" s="10" t="n">
        <x:f>IF('Данные'!E2175&gt;0,G2175/'Данные'!E2175,"n.a.")</x:f>
        <x:v>0</x:v>
      </x:c>
      <x:c r="K2175" s="1" t="str">
        <x:f>IF(G2175&gt;='Дашборд'!$C$51,"X","Z")</x:f>
        <x:v>Z</x:v>
      </x:c>
      <x:c r="L2175" s="1" t="str">
        <x:f>IF(H2175=0,IF(G2175&gt;0,"Нет остатка","Нет спроса"),IF(I2175&gt;='Дашборд'!$C$52,"Быстрый","Медленный"))</x:f>
        <x:v>Нет спроса</x:v>
      </x:c>
      <x:c r="M2175" s="1" t="str">
        <x:f>IF('Данные'!E2175&lt;'Дашборд'!$C$53,"Мало трафика",IF(J2175&lt;'Дашборд'!$C$9*'Дашборд'!$C$54,"Да","Нет"))</x:f>
        <x:v>Мало трафика</x:v>
      </x:c>
      <x:c r="N2175" s="1" t="str">
        <x:f>IF(AND('Данные'!D2175&gt;='Дашборд'!$C$55,D2175&lt;'Дашборд'!$C$56,'Данные'!E2175&gt;='Дашборд'!$C$53,'Данные'!L2175&lt;&gt;"Да"),"Да","Нет")</x:f>
        <x:v>Нет</x:v>
      </x:c>
      <x:c r="O2175" s="1" t="str">
        <x:f>'Данные'!L2175</x:f>
        <x:v>Нет</x:v>
      </x:c>
    </x:row>
    <x:row r="2176">
      <x:c r="A2176" s="1" t="str">
        <x:f>'Данные'!A2176</x:f>
        <x:v>236190518</x:v>
      </x:c>
      <x:c r="B2176" s="1" t="str">
        <x:f>'Данные'!B2176</x:f>
        <x:v>futbolkaprint/HAPPY-105/серый</x:v>
      </x:c>
      <x:c r="C2176" s="8" t="n">
        <x:f>'Данные'!G2176</x:f>
        <x:v>0</x:v>
      </x:c>
      <x:c r="D2176" s="15" t="n">
        <x:f>C2176/SUM($C$5:$C$2477)</x:f>
        <x:v>0</x:v>
      </x:c>
      <x:c r="E2176" s="15" t="n">
        <x:f>SUM($D$5:D2176)</x:f>
        <x:v>1.0000000000000036</x:v>
      </x:c>
      <x:c r="F2176" s="1" t="str">
        <x:f>IF(C2176&lt;=0,"C",IF(E2176-D2176&lt;'Дашборд'!$C$49,"A",IF(E2176-D2176&lt;'Дашборд'!$C$50,"B","C")))</x:f>
        <x:v>C</x:v>
      </x:c>
      <x:c r="G2176" s="8" t="n">
        <x:f>'Данные'!F2176</x:f>
        <x:v>0</x:v>
      </x:c>
      <x:c r="H2176" s="8" t="n">
        <x:f>SUM('Данные'!H2176:I2176)</x:f>
        <x:v>0</x:v>
      </x:c>
      <x:c r="I2176" s="16" t="str">
        <x:f>IF(H2176&gt;0,G2176/H2176,"n.a.")</x:f>
        <x:v>n.a.</x:v>
      </x:c>
      <x:c r="J2176" s="10" t="n">
        <x:f>IF('Данные'!E2176&gt;0,G2176/'Данные'!E2176,"n.a.")</x:f>
        <x:v>0</x:v>
      </x:c>
      <x:c r="K2176" s="1" t="str">
        <x:f>IF(G2176&gt;='Дашборд'!$C$51,"X","Z")</x:f>
        <x:v>Z</x:v>
      </x:c>
      <x:c r="L2176" s="1" t="str">
        <x:f>IF(H2176=0,IF(G2176&gt;0,"Нет остатка","Нет спроса"),IF(I2176&gt;='Дашборд'!$C$52,"Быстрый","Медленный"))</x:f>
        <x:v>Нет спроса</x:v>
      </x:c>
      <x:c r="M2176" s="1" t="str">
        <x:f>IF('Данные'!E2176&lt;'Дашборд'!$C$53,"Мало трафика",IF(J2176&lt;'Дашборд'!$C$9*'Дашборд'!$C$54,"Да","Нет"))</x:f>
        <x:v>Мало трафика</x:v>
      </x:c>
      <x:c r="N2176" s="1" t="str">
        <x:f>IF(AND('Данные'!D2176&gt;='Дашборд'!$C$55,D2176&lt;'Дашборд'!$C$56,'Данные'!E2176&gt;='Дашборд'!$C$53,'Данные'!L2176&lt;&gt;"Да"),"Да","Нет")</x:f>
        <x:v>Нет</x:v>
      </x:c>
      <x:c r="O2176" s="1" t="str">
        <x:f>'Данные'!L2176</x:f>
        <x:v>Нет</x:v>
      </x:c>
    </x:row>
    <x:row r="2177">
      <x:c r="A2177" s="1" t="str">
        <x:f>'Данные'!A2177</x:f>
        <x:v>236500527</x:v>
      </x:c>
      <x:c r="B2177" s="1" t="str">
        <x:f>'Данные'!B2177</x:f>
        <x:v>futbolkaprint/Oops-161/дымка</x:v>
      </x:c>
      <x:c r="C2177" s="8" t="n">
        <x:f>'Данные'!G2177</x:f>
        <x:v>0</x:v>
      </x:c>
      <x:c r="D2177" s="15" t="n">
        <x:f>C2177/SUM($C$5:$C$2477)</x:f>
        <x:v>0</x:v>
      </x:c>
      <x:c r="E2177" s="15" t="n">
        <x:f>SUM($D$5:D2177)</x:f>
        <x:v>1.0000000000000036</x:v>
      </x:c>
      <x:c r="F2177" s="1" t="str">
        <x:f>IF(C2177&lt;=0,"C",IF(E2177-D2177&lt;'Дашборд'!$C$49,"A",IF(E2177-D2177&lt;'Дашборд'!$C$50,"B","C")))</x:f>
        <x:v>C</x:v>
      </x:c>
      <x:c r="G2177" s="8" t="n">
        <x:f>'Данные'!F2177</x:f>
        <x:v>0</x:v>
      </x:c>
      <x:c r="H2177" s="8" t="n">
        <x:f>SUM('Данные'!H2177:I2177)</x:f>
        <x:v>0</x:v>
      </x:c>
      <x:c r="I2177" s="16" t="str">
        <x:f>IF(H2177&gt;0,G2177/H2177,"n.a.")</x:f>
        <x:v>n.a.</x:v>
      </x:c>
      <x:c r="J2177" s="10" t="n">
        <x:f>IF('Данные'!E2177&gt;0,G2177/'Данные'!E2177,"n.a.")</x:f>
        <x:v>0</x:v>
      </x:c>
      <x:c r="K2177" s="1" t="str">
        <x:f>IF(G2177&gt;='Дашборд'!$C$51,"X","Z")</x:f>
        <x:v>Z</x:v>
      </x:c>
      <x:c r="L2177" s="1" t="str">
        <x:f>IF(H2177=0,IF(G2177&gt;0,"Нет остатка","Нет спроса"),IF(I2177&gt;='Дашборд'!$C$52,"Быстрый","Медленный"))</x:f>
        <x:v>Нет спроса</x:v>
      </x:c>
      <x:c r="M2177" s="1" t="str">
        <x:f>IF('Данные'!E2177&lt;'Дашборд'!$C$53,"Мало трафика",IF(J2177&lt;'Дашборд'!$C$9*'Дашборд'!$C$54,"Да","Нет"))</x:f>
        <x:v>Мало трафика</x:v>
      </x:c>
      <x:c r="N2177" s="1" t="str">
        <x:f>IF(AND('Данные'!D2177&gt;='Дашборд'!$C$55,D2177&lt;'Дашборд'!$C$56,'Данные'!E2177&gt;='Дашборд'!$C$53,'Данные'!L2177&lt;&gt;"Да"),"Да","Нет")</x:f>
        <x:v>Нет</x:v>
      </x:c>
      <x:c r="O2177" s="1" t="str">
        <x:f>'Данные'!L2177</x:f>
        <x:v>Нет</x:v>
      </x:c>
    </x:row>
    <x:row r="2178">
      <x:c r="A2178" s="1" t="str">
        <x:f>'Данные'!A2178</x:f>
        <x:v>237007525</x:v>
      </x:c>
      <x:c r="B2178" s="1" t="str">
        <x:f>'Данные'!B2178</x:f>
        <x:v>futbolkaprint/MEDUSA-17/молочный-теплыйбелый</x:v>
      </x:c>
      <x:c r="C2178" s="8" t="n">
        <x:f>'Данные'!G2178</x:f>
        <x:v>0</x:v>
      </x:c>
      <x:c r="D2178" s="15" t="n">
        <x:f>C2178/SUM($C$5:$C$2477)</x:f>
        <x:v>0</x:v>
      </x:c>
      <x:c r="E2178" s="15" t="n">
        <x:f>SUM($D$5:D2178)</x:f>
        <x:v>1.0000000000000036</x:v>
      </x:c>
      <x:c r="F2178" s="1" t="str">
        <x:f>IF(C2178&lt;=0,"C",IF(E2178-D2178&lt;'Дашборд'!$C$49,"A",IF(E2178-D2178&lt;'Дашборд'!$C$50,"B","C")))</x:f>
        <x:v>C</x:v>
      </x:c>
      <x:c r="G2178" s="8" t="n">
        <x:f>'Данные'!F2178</x:f>
        <x:v>0</x:v>
      </x:c>
      <x:c r="H2178" s="8" t="n">
        <x:f>SUM('Данные'!H2178:I2178)</x:f>
        <x:v>0</x:v>
      </x:c>
      <x:c r="I2178" s="16" t="str">
        <x:f>IF(H2178&gt;0,G2178/H2178,"n.a.")</x:f>
        <x:v>n.a.</x:v>
      </x:c>
      <x:c r="J2178" s="10" t="n">
        <x:f>IF('Данные'!E2178&gt;0,G2178/'Данные'!E2178,"n.a.")</x:f>
        <x:v>0</x:v>
      </x:c>
      <x:c r="K2178" s="1" t="str">
        <x:f>IF(G2178&gt;='Дашборд'!$C$51,"X","Z")</x:f>
        <x:v>Z</x:v>
      </x:c>
      <x:c r="L2178" s="1" t="str">
        <x:f>IF(H2178=0,IF(G2178&gt;0,"Нет остатка","Нет спроса"),IF(I2178&gt;='Дашборд'!$C$52,"Быстрый","Медленный"))</x:f>
        <x:v>Нет спроса</x:v>
      </x:c>
      <x:c r="M2178" s="1" t="str">
        <x:f>IF('Данные'!E2178&lt;'Дашборд'!$C$53,"Мало трафика",IF(J2178&lt;'Дашборд'!$C$9*'Дашборд'!$C$54,"Да","Нет"))</x:f>
        <x:v>Мало трафика</x:v>
      </x:c>
      <x:c r="N2178" s="1" t="str">
        <x:f>IF(AND('Данные'!D2178&gt;='Дашборд'!$C$55,D2178&lt;'Дашборд'!$C$56,'Данные'!E2178&gt;='Дашборд'!$C$53,'Данные'!L2178&lt;&gt;"Да"),"Да","Нет")</x:f>
        <x:v>Нет</x:v>
      </x:c>
      <x:c r="O2178" s="1" t="str">
        <x:f>'Данные'!L2178</x:f>
        <x:v>Нет</x:v>
      </x:c>
    </x:row>
    <x:row r="2179">
      <x:c r="A2179" s="1" t="str">
        <x:f>'Данные'!A2179</x:f>
        <x:v>237023118</x:v>
      </x:c>
      <x:c r="B2179" s="1" t="str">
        <x:f>'Данные'!B2179</x:f>
        <x:v>futbolkaboyprint/15_kids/белый</x:v>
      </x:c>
      <x:c r="C2179" s="8" t="n">
        <x:f>'Данные'!G2179</x:f>
        <x:v>0</x:v>
      </x:c>
      <x:c r="D2179" s="15" t="n">
        <x:f>C2179/SUM($C$5:$C$2477)</x:f>
        <x:v>0</x:v>
      </x:c>
      <x:c r="E2179" s="15" t="n">
        <x:f>SUM($D$5:D2179)</x:f>
        <x:v>1.0000000000000036</x:v>
      </x:c>
      <x:c r="F2179" s="1" t="str">
        <x:f>IF(C2179&lt;=0,"C",IF(E2179-D2179&lt;'Дашборд'!$C$49,"A",IF(E2179-D2179&lt;'Дашборд'!$C$50,"B","C")))</x:f>
        <x:v>C</x:v>
      </x:c>
      <x:c r="G2179" s="8" t="n">
        <x:f>'Данные'!F2179</x:f>
        <x:v>0</x:v>
      </x:c>
      <x:c r="H2179" s="8" t="n">
        <x:f>SUM('Данные'!H2179:I2179)</x:f>
        <x:v>0</x:v>
      </x:c>
      <x:c r="I2179" s="16" t="str">
        <x:f>IF(H2179&gt;0,G2179/H2179,"n.a.")</x:f>
        <x:v>n.a.</x:v>
      </x:c>
      <x:c r="J2179" s="10" t="n">
        <x:f>IF('Данные'!E2179&gt;0,G2179/'Данные'!E2179,"n.a.")</x:f>
        <x:v>0</x:v>
      </x:c>
      <x:c r="K2179" s="1" t="str">
        <x:f>IF(G2179&gt;='Дашборд'!$C$51,"X","Z")</x:f>
        <x:v>Z</x:v>
      </x:c>
      <x:c r="L2179" s="1" t="str">
        <x:f>IF(H2179=0,IF(G2179&gt;0,"Нет остатка","Нет спроса"),IF(I2179&gt;='Дашборд'!$C$52,"Быстрый","Медленный"))</x:f>
        <x:v>Нет спроса</x:v>
      </x:c>
      <x:c r="M2179" s="1" t="str">
        <x:f>IF('Данные'!E2179&lt;'Дашборд'!$C$53,"Мало трафика",IF(J2179&lt;'Дашборд'!$C$9*'Дашборд'!$C$54,"Да","Нет"))</x:f>
        <x:v>Мало трафика</x:v>
      </x:c>
      <x:c r="N2179" s="1" t="str">
        <x:f>IF(AND('Данные'!D2179&gt;='Дашборд'!$C$55,D2179&lt;'Дашборд'!$C$56,'Данные'!E2179&gt;='Дашборд'!$C$53,'Данные'!L2179&lt;&gt;"Да"),"Да","Нет")</x:f>
        <x:v>Нет</x:v>
      </x:c>
      <x:c r="O2179" s="1" t="str">
        <x:f>'Данные'!L2179</x:f>
        <x:v>Нет</x:v>
      </x:c>
    </x:row>
    <x:row r="2180">
      <x:c r="A2180" s="1" t="str">
        <x:f>'Данные'!A2180</x:f>
        <x:v>237039028</x:v>
      </x:c>
      <x:c r="B2180" s="1" t="str">
        <x:f>'Данные'!B2180</x:f>
        <x:v>futbolkagirlprint/17_kids/милка</x:v>
      </x:c>
      <x:c r="C2180" s="8" t="n">
        <x:f>'Данные'!G2180</x:f>
        <x:v>0</x:v>
      </x:c>
      <x:c r="D2180" s="15" t="n">
        <x:f>C2180/SUM($C$5:$C$2477)</x:f>
        <x:v>0</x:v>
      </x:c>
      <x:c r="E2180" s="15" t="n">
        <x:f>SUM($D$5:D2180)</x:f>
        <x:v>1.0000000000000036</x:v>
      </x:c>
      <x:c r="F2180" s="1" t="str">
        <x:f>IF(C2180&lt;=0,"C",IF(E2180-D2180&lt;'Дашборд'!$C$49,"A",IF(E2180-D2180&lt;'Дашборд'!$C$50,"B","C")))</x:f>
        <x:v>C</x:v>
      </x:c>
      <x:c r="G2180" s="8" t="n">
        <x:f>'Данные'!F2180</x:f>
        <x:v>0</x:v>
      </x:c>
      <x:c r="H2180" s="8" t="n">
        <x:f>SUM('Данные'!H2180:I2180)</x:f>
        <x:v>0</x:v>
      </x:c>
      <x:c r="I2180" s="16" t="str">
        <x:f>IF(H2180&gt;0,G2180/H2180,"n.a.")</x:f>
        <x:v>n.a.</x:v>
      </x:c>
      <x:c r="J2180" s="10" t="n">
        <x:f>IF('Данные'!E2180&gt;0,G2180/'Данные'!E2180,"n.a.")</x:f>
        <x:v>0</x:v>
      </x:c>
      <x:c r="K2180" s="1" t="str">
        <x:f>IF(G2180&gt;='Дашборд'!$C$51,"X","Z")</x:f>
        <x:v>Z</x:v>
      </x:c>
      <x:c r="L2180" s="1" t="str">
        <x:f>IF(H2180=0,IF(G2180&gt;0,"Нет остатка","Нет спроса"),IF(I2180&gt;='Дашборд'!$C$52,"Быстрый","Медленный"))</x:f>
        <x:v>Нет спроса</x:v>
      </x:c>
      <x:c r="M2180" s="1" t="str">
        <x:f>IF('Данные'!E2180&lt;'Дашборд'!$C$53,"Мало трафика",IF(J2180&lt;'Дашборд'!$C$9*'Дашборд'!$C$54,"Да","Нет"))</x:f>
        <x:v>Мало трафика</x:v>
      </x:c>
      <x:c r="N2180" s="1" t="str">
        <x:f>IF(AND('Данные'!D2180&gt;='Дашборд'!$C$55,D2180&lt;'Дашборд'!$C$56,'Данные'!E2180&gt;='Дашборд'!$C$53,'Данные'!L2180&lt;&gt;"Да"),"Да","Нет")</x:f>
        <x:v>Нет</x:v>
      </x:c>
      <x:c r="O2180" s="1" t="str">
        <x:f>'Данные'!L2180</x:f>
        <x:v>Нет</x:v>
      </x:c>
    </x:row>
    <x:row r="2181">
      <x:c r="A2181" s="1" t="str">
        <x:f>'Данные'!A2181</x:f>
        <x:v>237042280</x:v>
      </x:c>
      <x:c r="B2181" s="1" t="str">
        <x:f>'Данные'!B2181</x:f>
        <x:v>futbolkaboyprint/16_kids/сине-морской</x:v>
      </x:c>
      <x:c r="C2181" s="8" t="n">
        <x:f>'Данные'!G2181</x:f>
        <x:v>0</x:v>
      </x:c>
      <x:c r="D2181" s="15" t="n">
        <x:f>C2181/SUM($C$5:$C$2477)</x:f>
        <x:v>0</x:v>
      </x:c>
      <x:c r="E2181" s="15" t="n">
        <x:f>SUM($D$5:D2181)</x:f>
        <x:v>1.0000000000000036</x:v>
      </x:c>
      <x:c r="F2181" s="1" t="str">
        <x:f>IF(C2181&lt;=0,"C",IF(E2181-D2181&lt;'Дашборд'!$C$49,"A",IF(E2181-D2181&lt;'Дашборд'!$C$50,"B","C")))</x:f>
        <x:v>C</x:v>
      </x:c>
      <x:c r="G2181" s="8" t="n">
        <x:f>'Данные'!F2181</x:f>
        <x:v>0</x:v>
      </x:c>
      <x:c r="H2181" s="8" t="n">
        <x:f>SUM('Данные'!H2181:I2181)</x:f>
        <x:v>0</x:v>
      </x:c>
      <x:c r="I2181" s="16" t="str">
        <x:f>IF(H2181&gt;0,G2181/H2181,"n.a.")</x:f>
        <x:v>n.a.</x:v>
      </x:c>
      <x:c r="J2181" s="10" t="n">
        <x:f>IF('Данные'!E2181&gt;0,G2181/'Данные'!E2181,"n.a.")</x:f>
        <x:v>0</x:v>
      </x:c>
      <x:c r="K2181" s="1" t="str">
        <x:f>IF(G2181&gt;='Дашборд'!$C$51,"X","Z")</x:f>
        <x:v>Z</x:v>
      </x:c>
      <x:c r="L2181" s="1" t="str">
        <x:f>IF(H2181=0,IF(G2181&gt;0,"Нет остатка","Нет спроса"),IF(I2181&gt;='Дашборд'!$C$52,"Быстрый","Медленный"))</x:f>
        <x:v>Нет спроса</x:v>
      </x:c>
      <x:c r="M2181" s="1" t="str">
        <x:f>IF('Данные'!E2181&lt;'Дашборд'!$C$53,"Мало трафика",IF(J2181&lt;'Дашборд'!$C$9*'Дашборд'!$C$54,"Да","Нет"))</x:f>
        <x:v>Мало трафика</x:v>
      </x:c>
      <x:c r="N2181" s="1" t="str">
        <x:f>IF(AND('Данные'!D2181&gt;='Дашборд'!$C$55,D2181&lt;'Дашборд'!$C$56,'Данные'!E2181&gt;='Дашборд'!$C$53,'Данные'!L2181&lt;&gt;"Да"),"Да","Нет")</x:f>
        <x:v>Нет</x:v>
      </x:c>
      <x:c r="O2181" s="1" t="str">
        <x:f>'Данные'!L2181</x:f>
        <x:v>Нет</x:v>
      </x:c>
    </x:row>
    <x:row r="2182">
      <x:c r="A2182" s="1" t="str">
        <x:f>'Данные'!A2182</x:f>
        <x:v>237093219</x:v>
      </x:c>
      <x:c r="B2182" s="1" t="str">
        <x:f>'Данные'!B2182</x:f>
        <x:v>futbolkaprint/VIBES-168/белый</x:v>
      </x:c>
      <x:c r="C2182" s="8" t="n">
        <x:f>'Данные'!G2182</x:f>
        <x:v>0</x:v>
      </x:c>
      <x:c r="D2182" s="15" t="n">
        <x:f>C2182/SUM($C$5:$C$2477)</x:f>
        <x:v>0</x:v>
      </x:c>
      <x:c r="E2182" s="15" t="n">
        <x:f>SUM($D$5:D2182)</x:f>
        <x:v>1.0000000000000036</x:v>
      </x:c>
      <x:c r="F2182" s="1" t="str">
        <x:f>IF(C2182&lt;=0,"C",IF(E2182-D2182&lt;'Дашборд'!$C$49,"A",IF(E2182-D2182&lt;'Дашборд'!$C$50,"B","C")))</x:f>
        <x:v>C</x:v>
      </x:c>
      <x:c r="G2182" s="8" t="n">
        <x:f>'Данные'!F2182</x:f>
        <x:v>0</x:v>
      </x:c>
      <x:c r="H2182" s="8" t="n">
        <x:f>SUM('Данные'!H2182:I2182)</x:f>
        <x:v>0</x:v>
      </x:c>
      <x:c r="I2182" s="16" t="str">
        <x:f>IF(H2182&gt;0,G2182/H2182,"n.a.")</x:f>
        <x:v>n.a.</x:v>
      </x:c>
      <x:c r="J2182" s="10" t="n">
        <x:f>IF('Данные'!E2182&gt;0,G2182/'Данные'!E2182,"n.a.")</x:f>
        <x:v>0</x:v>
      </x:c>
      <x:c r="K2182" s="1" t="str">
        <x:f>IF(G2182&gt;='Дашборд'!$C$51,"X","Z")</x:f>
        <x:v>Z</x:v>
      </x:c>
      <x:c r="L2182" s="1" t="str">
        <x:f>IF(H2182=0,IF(G2182&gt;0,"Нет остатка","Нет спроса"),IF(I2182&gt;='Дашборд'!$C$52,"Быстрый","Медленный"))</x:f>
        <x:v>Нет спроса</x:v>
      </x:c>
      <x:c r="M2182" s="1" t="str">
        <x:f>IF('Данные'!E2182&lt;'Дашборд'!$C$53,"Мало трафика",IF(J2182&lt;'Дашборд'!$C$9*'Дашборд'!$C$54,"Да","Нет"))</x:f>
        <x:v>Мало трафика</x:v>
      </x:c>
      <x:c r="N2182" s="1" t="str">
        <x:f>IF(AND('Данные'!D2182&gt;='Дашборд'!$C$55,D2182&lt;'Дашборд'!$C$56,'Данные'!E2182&gt;='Дашборд'!$C$53,'Данные'!L2182&lt;&gt;"Да"),"Да","Нет")</x:f>
        <x:v>Нет</x:v>
      </x:c>
      <x:c r="O2182" s="1" t="str">
        <x:f>'Данные'!L2182</x:f>
        <x:v>Нет</x:v>
      </x:c>
    </x:row>
    <x:row r="2183">
      <x:c r="A2183" s="1" t="str">
        <x:f>'Данные'!A2183</x:f>
        <x:v>237300998</x:v>
      </x:c>
      <x:c r="B2183" s="1" t="str">
        <x:f>'Данные'!B2183</x:f>
        <x:v>longoverprint/MILK-118/милка</x:v>
      </x:c>
      <x:c r="C2183" s="8" t="n">
        <x:f>'Данные'!G2183</x:f>
        <x:v>0</x:v>
      </x:c>
      <x:c r="D2183" s="15" t="n">
        <x:f>C2183/SUM($C$5:$C$2477)</x:f>
        <x:v>0</x:v>
      </x:c>
      <x:c r="E2183" s="15" t="n">
        <x:f>SUM($D$5:D2183)</x:f>
        <x:v>1.0000000000000036</x:v>
      </x:c>
      <x:c r="F2183" s="1" t="str">
        <x:f>IF(C2183&lt;=0,"C",IF(E2183-D2183&lt;'Дашборд'!$C$49,"A",IF(E2183-D2183&lt;'Дашборд'!$C$50,"B","C")))</x:f>
        <x:v>C</x:v>
      </x:c>
      <x:c r="G2183" s="8" t="n">
        <x:f>'Данные'!F2183</x:f>
        <x:v>0</x:v>
      </x:c>
      <x:c r="H2183" s="8" t="n">
        <x:f>SUM('Данные'!H2183:I2183)</x:f>
        <x:v>0</x:v>
      </x:c>
      <x:c r="I2183" s="16" t="str">
        <x:f>IF(H2183&gt;0,G2183/H2183,"n.a.")</x:f>
        <x:v>n.a.</x:v>
      </x:c>
      <x:c r="J2183" s="10" t="n">
        <x:f>IF('Данные'!E2183&gt;0,G2183/'Данные'!E2183,"n.a.")</x:f>
        <x:v>0</x:v>
      </x:c>
      <x:c r="K2183" s="1" t="str">
        <x:f>IF(G2183&gt;='Дашборд'!$C$51,"X","Z")</x:f>
        <x:v>Z</x:v>
      </x:c>
      <x:c r="L2183" s="1" t="str">
        <x:f>IF(H2183=0,IF(G2183&gt;0,"Нет остатка","Нет спроса"),IF(I2183&gt;='Дашборд'!$C$52,"Быстрый","Медленный"))</x:f>
        <x:v>Нет спроса</x:v>
      </x:c>
      <x:c r="M2183" s="1" t="str">
        <x:f>IF('Данные'!E2183&lt;'Дашборд'!$C$53,"Мало трафика",IF(J2183&lt;'Дашборд'!$C$9*'Дашборд'!$C$54,"Да","Нет"))</x:f>
        <x:v>Мало трафика</x:v>
      </x:c>
      <x:c r="N2183" s="1" t="str">
        <x:f>IF(AND('Данные'!D2183&gt;='Дашборд'!$C$55,D2183&lt;'Дашборд'!$C$56,'Данные'!E2183&gt;='Дашборд'!$C$53,'Данные'!L2183&lt;&gt;"Да"),"Да","Нет")</x:f>
        <x:v>Нет</x:v>
      </x:c>
      <x:c r="O2183" s="1" t="str">
        <x:f>'Данные'!L2183</x:f>
        <x:v>Нет</x:v>
      </x:c>
    </x:row>
    <x:row r="2184">
      <x:c r="A2184" s="1" t="str">
        <x:f>'Данные'!A2184</x:f>
        <x:v>237301009</x:v>
      </x:c>
      <x:c r="B2184" s="1" t="str">
        <x:f>'Данные'!B2184</x:f>
        <x:v>futbolkaprint/FioLoveNever-167/милка</x:v>
      </x:c>
      <x:c r="C2184" s="8" t="n">
        <x:f>'Данные'!G2184</x:f>
        <x:v>0</x:v>
      </x:c>
      <x:c r="D2184" s="15" t="n">
        <x:f>C2184/SUM($C$5:$C$2477)</x:f>
        <x:v>0</x:v>
      </x:c>
      <x:c r="E2184" s="15" t="n">
        <x:f>SUM($D$5:D2184)</x:f>
        <x:v>1.0000000000000036</x:v>
      </x:c>
      <x:c r="F2184" s="1" t="str">
        <x:f>IF(C2184&lt;=0,"C",IF(E2184-D2184&lt;'Дашборд'!$C$49,"A",IF(E2184-D2184&lt;'Дашборд'!$C$50,"B","C")))</x:f>
        <x:v>C</x:v>
      </x:c>
      <x:c r="G2184" s="8" t="n">
        <x:f>'Данные'!F2184</x:f>
        <x:v>0</x:v>
      </x:c>
      <x:c r="H2184" s="8" t="n">
        <x:f>SUM('Данные'!H2184:I2184)</x:f>
        <x:v>0</x:v>
      </x:c>
      <x:c r="I2184" s="16" t="str">
        <x:f>IF(H2184&gt;0,G2184/H2184,"n.a.")</x:f>
        <x:v>n.a.</x:v>
      </x:c>
      <x:c r="J2184" s="10" t="n">
        <x:f>IF('Данные'!E2184&gt;0,G2184/'Данные'!E2184,"n.a.")</x:f>
        <x:v>0</x:v>
      </x:c>
      <x:c r="K2184" s="1" t="str">
        <x:f>IF(G2184&gt;='Дашборд'!$C$51,"X","Z")</x:f>
        <x:v>Z</x:v>
      </x:c>
      <x:c r="L2184" s="1" t="str">
        <x:f>IF(H2184=0,IF(G2184&gt;0,"Нет остатка","Нет спроса"),IF(I2184&gt;='Дашборд'!$C$52,"Быстрый","Медленный"))</x:f>
        <x:v>Нет спроса</x:v>
      </x:c>
      <x:c r="M2184" s="1" t="str">
        <x:f>IF('Данные'!E2184&lt;'Дашборд'!$C$53,"Мало трафика",IF(J2184&lt;'Дашборд'!$C$9*'Дашборд'!$C$54,"Да","Нет"))</x:f>
        <x:v>Мало трафика</x:v>
      </x:c>
      <x:c r="N2184" s="1" t="str">
        <x:f>IF(AND('Данные'!D2184&gt;='Дашборд'!$C$55,D2184&lt;'Дашборд'!$C$56,'Данные'!E2184&gt;='Дашборд'!$C$53,'Данные'!L2184&lt;&gt;"Да"),"Да","Нет")</x:f>
        <x:v>Нет</x:v>
      </x:c>
      <x:c r="O2184" s="1" t="str">
        <x:f>'Данные'!L2184</x:f>
        <x:v>Нет</x:v>
      </x:c>
    </x:row>
    <x:row r="2185">
      <x:c r="A2185" s="1" t="str">
        <x:f>'Данные'!A2185</x:f>
        <x:v>237301015</x:v>
      </x:c>
      <x:c r="B2185" s="1" t="str">
        <x:f>'Данные'!B2185</x:f>
        <x:v>longoverprint/FioLoveNever-167/милка</x:v>
      </x:c>
      <x:c r="C2185" s="8" t="n">
        <x:f>'Данные'!G2185</x:f>
        <x:v>0</x:v>
      </x:c>
      <x:c r="D2185" s="15" t="n">
        <x:f>C2185/SUM($C$5:$C$2477)</x:f>
        <x:v>0</x:v>
      </x:c>
      <x:c r="E2185" s="15" t="n">
        <x:f>SUM($D$5:D2185)</x:f>
        <x:v>1.0000000000000036</x:v>
      </x:c>
      <x:c r="F2185" s="1" t="str">
        <x:f>IF(C2185&lt;=0,"C",IF(E2185-D2185&lt;'Дашборд'!$C$49,"A",IF(E2185-D2185&lt;'Дашборд'!$C$50,"B","C")))</x:f>
        <x:v>C</x:v>
      </x:c>
      <x:c r="G2185" s="8" t="n">
        <x:f>'Данные'!F2185</x:f>
        <x:v>0</x:v>
      </x:c>
      <x:c r="H2185" s="8" t="n">
        <x:f>SUM('Данные'!H2185:I2185)</x:f>
        <x:v>0</x:v>
      </x:c>
      <x:c r="I2185" s="16" t="str">
        <x:f>IF(H2185&gt;0,G2185/H2185,"n.a.")</x:f>
        <x:v>n.a.</x:v>
      </x:c>
      <x:c r="J2185" s="10" t="n">
        <x:f>IF('Данные'!E2185&gt;0,G2185/'Данные'!E2185,"n.a.")</x:f>
        <x:v>0</x:v>
      </x:c>
      <x:c r="K2185" s="1" t="str">
        <x:f>IF(G2185&gt;='Дашборд'!$C$51,"X","Z")</x:f>
        <x:v>Z</x:v>
      </x:c>
      <x:c r="L2185" s="1" t="str">
        <x:f>IF(H2185=0,IF(G2185&gt;0,"Нет остатка","Нет спроса"),IF(I2185&gt;='Дашборд'!$C$52,"Быстрый","Медленный"))</x:f>
        <x:v>Нет спроса</x:v>
      </x:c>
      <x:c r="M2185" s="1" t="str">
        <x:f>IF('Данные'!E2185&lt;'Дашборд'!$C$53,"Мало трафика",IF(J2185&lt;'Дашборд'!$C$9*'Дашборд'!$C$54,"Да","Нет"))</x:f>
        <x:v>Мало трафика</x:v>
      </x:c>
      <x:c r="N2185" s="1" t="str">
        <x:f>IF(AND('Данные'!D2185&gt;='Дашборд'!$C$55,D2185&lt;'Дашборд'!$C$56,'Данные'!E2185&gt;='Дашборд'!$C$53,'Данные'!L2185&lt;&gt;"Да"),"Да","Нет")</x:f>
        <x:v>Нет</x:v>
      </x:c>
      <x:c r="O2185" s="1" t="str">
        <x:f>'Данные'!L2185</x:f>
        <x:v>Нет</x:v>
      </x:c>
    </x:row>
    <x:row r="2186">
      <x:c r="A2186" s="1" t="str">
        <x:f>'Данные'!A2186</x:f>
        <x:v>237935270</x:v>
      </x:c>
      <x:c r="B2186" s="1" t="str">
        <x:f>'Данные'!B2186</x:f>
        <x:v>kroptop/молочный-капучино</x:v>
      </x:c>
      <x:c r="C2186" s="8" t="n">
        <x:f>'Данные'!G2186</x:f>
        <x:v>0</x:v>
      </x:c>
      <x:c r="D2186" s="15" t="n">
        <x:f>C2186/SUM($C$5:$C$2477)</x:f>
        <x:v>0</x:v>
      </x:c>
      <x:c r="E2186" s="15" t="n">
        <x:f>SUM($D$5:D2186)</x:f>
        <x:v>1.0000000000000036</x:v>
      </x:c>
      <x:c r="F2186" s="1" t="str">
        <x:f>IF(C2186&lt;=0,"C",IF(E2186-D2186&lt;'Дашборд'!$C$49,"A",IF(E2186-D2186&lt;'Дашборд'!$C$50,"B","C")))</x:f>
        <x:v>C</x:v>
      </x:c>
      <x:c r="G2186" s="8" t="n">
        <x:f>'Данные'!F2186</x:f>
        <x:v>1</x:v>
      </x:c>
      <x:c r="H2186" s="8" t="n">
        <x:f>SUM('Данные'!H2186:I2186)</x:f>
        <x:v>1</x:v>
      </x:c>
      <x:c r="I2186" s="16" t="n">
        <x:f>IF(H2186&gt;0,G2186/H2186,"n.a.")</x:f>
        <x:v>1</x:v>
      </x:c>
      <x:c r="J2186" s="10" t="n">
        <x:f>IF('Данные'!E2186&gt;0,G2186/'Данные'!E2186,"n.a.")</x:f>
        <x:v>0.008403361344537815</x:v>
      </x:c>
      <x:c r="K2186" s="1" t="str">
        <x:f>IF(G2186&gt;='Дашборд'!$C$51,"X","Z")</x:f>
        <x:v>Z</x:v>
      </x:c>
      <x:c r="L2186" s="1" t="str">
        <x:f>IF(H2186=0,IF(G2186&gt;0,"Нет остатка","Нет спроса"),IF(I2186&gt;='Дашборд'!$C$52,"Быстрый","Медленный"))</x:f>
        <x:v>Быстрый</x:v>
      </x:c>
      <x:c r="M2186" s="1" t="str">
        <x:f>IF('Данные'!E2186&lt;'Дашборд'!$C$53,"Мало трафика",IF(J2186&lt;'Дашборд'!$C$9*'Дашборд'!$C$54,"Да","Нет"))</x:f>
        <x:v>Мало трафика</x:v>
      </x:c>
      <x:c r="N2186" s="1" t="str">
        <x:f>IF(AND('Данные'!D2186&gt;='Дашборд'!$C$55,D2186&lt;'Дашборд'!$C$56,'Данные'!E2186&gt;='Дашборд'!$C$53,'Данные'!L2186&lt;&gt;"Да"),"Да","Нет")</x:f>
        <x:v>Нет</x:v>
      </x:c>
      <x:c r="O2186" s="1" t="str">
        <x:f>'Данные'!L2186</x:f>
        <x:v>Нет</x:v>
      </x:c>
    </x:row>
    <x:row r="2187">
      <x:c r="A2187" s="1" t="str">
        <x:f>'Данные'!A2187</x:f>
        <x:v>238775094</x:v>
      </x:c>
      <x:c r="B2187" s="1" t="str">
        <x:f>'Данные'!B2187</x:f>
        <x:v>futbolkaprint/Fresh-173/сине-морской</x:v>
      </x:c>
      <x:c r="C2187" s="8" t="n">
        <x:f>'Данные'!G2187</x:f>
        <x:v>0</x:v>
      </x:c>
      <x:c r="D2187" s="15" t="n">
        <x:f>C2187/SUM($C$5:$C$2477)</x:f>
        <x:v>0</x:v>
      </x:c>
      <x:c r="E2187" s="15" t="n">
        <x:f>SUM($D$5:D2187)</x:f>
        <x:v>1.0000000000000036</x:v>
      </x:c>
      <x:c r="F2187" s="1" t="str">
        <x:f>IF(C2187&lt;=0,"C",IF(E2187-D2187&lt;'Дашборд'!$C$49,"A",IF(E2187-D2187&lt;'Дашборд'!$C$50,"B","C")))</x:f>
        <x:v>C</x:v>
      </x:c>
      <x:c r="G2187" s="8" t="n">
        <x:f>'Данные'!F2187</x:f>
        <x:v>0</x:v>
      </x:c>
      <x:c r="H2187" s="8" t="n">
        <x:f>SUM('Данные'!H2187:I2187)</x:f>
        <x:v>0</x:v>
      </x:c>
      <x:c r="I2187" s="16" t="str">
        <x:f>IF(H2187&gt;0,G2187/H2187,"n.a.")</x:f>
        <x:v>n.a.</x:v>
      </x:c>
      <x:c r="J2187" s="10" t="n">
        <x:f>IF('Данные'!E2187&gt;0,G2187/'Данные'!E2187,"n.a.")</x:f>
        <x:v>0</x:v>
      </x:c>
      <x:c r="K2187" s="1" t="str">
        <x:f>IF(G2187&gt;='Дашборд'!$C$51,"X","Z")</x:f>
        <x:v>Z</x:v>
      </x:c>
      <x:c r="L2187" s="1" t="str">
        <x:f>IF(H2187=0,IF(G2187&gt;0,"Нет остатка","Нет спроса"),IF(I2187&gt;='Дашборд'!$C$52,"Быстрый","Медленный"))</x:f>
        <x:v>Нет спроса</x:v>
      </x:c>
      <x:c r="M2187" s="1" t="str">
        <x:f>IF('Данные'!E2187&lt;'Дашборд'!$C$53,"Мало трафика",IF(J2187&lt;'Дашборд'!$C$9*'Дашборд'!$C$54,"Да","Нет"))</x:f>
        <x:v>Мало трафика</x:v>
      </x:c>
      <x:c r="N2187" s="1" t="str">
        <x:f>IF(AND('Данные'!D2187&gt;='Дашборд'!$C$55,D2187&lt;'Дашборд'!$C$56,'Данные'!E2187&gt;='Дашборд'!$C$53,'Данные'!L2187&lt;&gt;"Да"),"Да","Нет")</x:f>
        <x:v>Нет</x:v>
      </x:c>
      <x:c r="O2187" s="1" t="str">
        <x:f>'Данные'!L2187</x:f>
        <x:v>Нет</x:v>
      </x:c>
    </x:row>
    <x:row r="2188">
      <x:c r="A2188" s="1" t="str">
        <x:f>'Данные'!A2188</x:f>
        <x:v>238777767</x:v>
      </x:c>
      <x:c r="B2188" s="1" t="str">
        <x:f>'Данные'!B2188</x:f>
        <x:v>futbreglangirlprint/Upd-170/черно-белый</x:v>
      </x:c>
      <x:c r="C2188" s="8" t="n">
        <x:f>'Данные'!G2188</x:f>
        <x:v>0</x:v>
      </x:c>
      <x:c r="D2188" s="15" t="n">
        <x:f>C2188/SUM($C$5:$C$2477)</x:f>
        <x:v>0</x:v>
      </x:c>
      <x:c r="E2188" s="15" t="n">
        <x:f>SUM($D$5:D2188)</x:f>
        <x:v>1.0000000000000036</x:v>
      </x:c>
      <x:c r="F2188" s="1" t="str">
        <x:f>IF(C2188&lt;=0,"C",IF(E2188-D2188&lt;'Дашборд'!$C$49,"A",IF(E2188-D2188&lt;'Дашборд'!$C$50,"B","C")))</x:f>
        <x:v>C</x:v>
      </x:c>
      <x:c r="G2188" s="8" t="n">
        <x:f>'Данные'!F2188</x:f>
        <x:v>0</x:v>
      </x:c>
      <x:c r="H2188" s="8" t="n">
        <x:f>SUM('Данные'!H2188:I2188)</x:f>
        <x:v>0</x:v>
      </x:c>
      <x:c r="I2188" s="16" t="str">
        <x:f>IF(H2188&gt;0,G2188/H2188,"n.a.")</x:f>
        <x:v>n.a.</x:v>
      </x:c>
      <x:c r="J2188" s="10" t="n">
        <x:f>IF('Данные'!E2188&gt;0,G2188/'Данные'!E2188,"n.a.")</x:f>
        <x:v>0</x:v>
      </x:c>
      <x:c r="K2188" s="1" t="str">
        <x:f>IF(G2188&gt;='Дашборд'!$C$51,"X","Z")</x:f>
        <x:v>Z</x:v>
      </x:c>
      <x:c r="L2188" s="1" t="str">
        <x:f>IF(H2188=0,IF(G2188&gt;0,"Нет остатка","Нет спроса"),IF(I2188&gt;='Дашборд'!$C$52,"Быстрый","Медленный"))</x:f>
        <x:v>Нет спроса</x:v>
      </x:c>
      <x:c r="M2188" s="1" t="str">
        <x:f>IF('Данные'!E2188&lt;'Дашборд'!$C$53,"Мало трафика",IF(J2188&lt;'Дашборд'!$C$9*'Дашборд'!$C$54,"Да","Нет"))</x:f>
        <x:v>Мало трафика</x:v>
      </x:c>
      <x:c r="N2188" s="1" t="str">
        <x:f>IF(AND('Данные'!D2188&gt;='Дашборд'!$C$55,D2188&lt;'Дашборд'!$C$56,'Данные'!E2188&gt;='Дашборд'!$C$53,'Данные'!L2188&lt;&gt;"Да"),"Да","Нет")</x:f>
        <x:v>Нет</x:v>
      </x:c>
      <x:c r="O2188" s="1" t="str">
        <x:f>'Данные'!L2188</x:f>
        <x:v>Нет</x:v>
      </x:c>
    </x:row>
    <x:row r="2189">
      <x:c r="A2189" s="1" t="str">
        <x:f>'Данные'!A2189</x:f>
        <x:v>238822435</x:v>
      </x:c>
      <x:c r="B2189" s="1" t="str">
        <x:f>'Данные'!B2189</x:f>
        <x:v>futbolkaprint/BelEnds-172/темно-синий</x:v>
      </x:c>
      <x:c r="C2189" s="8" t="n">
        <x:f>'Данные'!G2189</x:f>
        <x:v>0</x:v>
      </x:c>
      <x:c r="D2189" s="15" t="n">
        <x:f>C2189/SUM($C$5:$C$2477)</x:f>
        <x:v>0</x:v>
      </x:c>
      <x:c r="E2189" s="15" t="n">
        <x:f>SUM($D$5:D2189)</x:f>
        <x:v>1.0000000000000036</x:v>
      </x:c>
      <x:c r="F2189" s="1" t="str">
        <x:f>IF(C2189&lt;=0,"C",IF(E2189-D2189&lt;'Дашборд'!$C$49,"A",IF(E2189-D2189&lt;'Дашборд'!$C$50,"B","C")))</x:f>
        <x:v>C</x:v>
      </x:c>
      <x:c r="G2189" s="8" t="n">
        <x:f>'Данные'!F2189</x:f>
        <x:v>0</x:v>
      </x:c>
      <x:c r="H2189" s="8" t="n">
        <x:f>SUM('Данные'!H2189:I2189)</x:f>
        <x:v>0</x:v>
      </x:c>
      <x:c r="I2189" s="16" t="str">
        <x:f>IF(H2189&gt;0,G2189/H2189,"n.a.")</x:f>
        <x:v>n.a.</x:v>
      </x:c>
      <x:c r="J2189" s="10" t="n">
        <x:f>IF('Данные'!E2189&gt;0,G2189/'Данные'!E2189,"n.a.")</x:f>
        <x:v>0</x:v>
      </x:c>
      <x:c r="K2189" s="1" t="str">
        <x:f>IF(G2189&gt;='Дашборд'!$C$51,"X","Z")</x:f>
        <x:v>Z</x:v>
      </x:c>
      <x:c r="L2189" s="1" t="str">
        <x:f>IF(H2189=0,IF(G2189&gt;0,"Нет остатка","Нет спроса"),IF(I2189&gt;='Дашборд'!$C$52,"Быстрый","Медленный"))</x:f>
        <x:v>Нет спроса</x:v>
      </x:c>
      <x:c r="M2189" s="1" t="str">
        <x:f>IF('Данные'!E2189&lt;'Дашборд'!$C$53,"Мало трафика",IF(J2189&lt;'Дашборд'!$C$9*'Дашборд'!$C$54,"Да","Нет"))</x:f>
        <x:v>Мало трафика</x:v>
      </x:c>
      <x:c r="N2189" s="1" t="str">
        <x:f>IF(AND('Данные'!D2189&gt;='Дашборд'!$C$55,D2189&lt;'Дашборд'!$C$56,'Данные'!E2189&gt;='Дашборд'!$C$53,'Данные'!L2189&lt;&gt;"Да"),"Да","Нет")</x:f>
        <x:v>Нет</x:v>
      </x:c>
      <x:c r="O2189" s="1" t="str">
        <x:f>'Данные'!L2189</x:f>
        <x:v>Нет</x:v>
      </x:c>
    </x:row>
    <x:row r="2190">
      <x:c r="A2190" s="1" t="str">
        <x:f>'Данные'!A2190</x:f>
        <x:v>238830117</x:v>
      </x:c>
      <x:c r="B2190" s="1" t="str">
        <x:f>'Данные'!B2190</x:f>
        <x:v>kulirkamanprint/ComeOn-176/какао</x:v>
      </x:c>
      <x:c r="C2190" s="8" t="n">
        <x:f>'Данные'!G2190</x:f>
        <x:v>0</x:v>
      </x:c>
      <x:c r="D2190" s="15" t="n">
        <x:f>C2190/SUM($C$5:$C$2477)</x:f>
        <x:v>0</x:v>
      </x:c>
      <x:c r="E2190" s="15" t="n">
        <x:f>SUM($D$5:D2190)</x:f>
        <x:v>1.0000000000000036</x:v>
      </x:c>
      <x:c r="F2190" s="1" t="str">
        <x:f>IF(C2190&lt;=0,"C",IF(E2190-D2190&lt;'Дашборд'!$C$49,"A",IF(E2190-D2190&lt;'Дашборд'!$C$50,"B","C")))</x:f>
        <x:v>C</x:v>
      </x:c>
      <x:c r="G2190" s="8" t="n">
        <x:f>'Данные'!F2190</x:f>
        <x:v>0</x:v>
      </x:c>
      <x:c r="H2190" s="8" t="n">
        <x:f>SUM('Данные'!H2190:I2190)</x:f>
        <x:v>0</x:v>
      </x:c>
      <x:c r="I2190" s="16" t="str">
        <x:f>IF(H2190&gt;0,G2190/H2190,"n.a.")</x:f>
        <x:v>n.a.</x:v>
      </x:c>
      <x:c r="J2190" s="10" t="n">
        <x:f>IF('Данные'!E2190&gt;0,G2190/'Данные'!E2190,"n.a.")</x:f>
        <x:v>0</x:v>
      </x:c>
      <x:c r="K2190" s="1" t="str">
        <x:f>IF(G2190&gt;='Дашборд'!$C$51,"X","Z")</x:f>
        <x:v>Z</x:v>
      </x:c>
      <x:c r="L2190" s="1" t="str">
        <x:f>IF(H2190=0,IF(G2190&gt;0,"Нет остатка","Нет спроса"),IF(I2190&gt;='Дашборд'!$C$52,"Быстрый","Медленный"))</x:f>
        <x:v>Нет спроса</x:v>
      </x:c>
      <x:c r="M2190" s="1" t="str">
        <x:f>IF('Данные'!E2190&lt;'Дашборд'!$C$53,"Мало трафика",IF(J2190&lt;'Дашборд'!$C$9*'Дашборд'!$C$54,"Да","Нет"))</x:f>
        <x:v>Мало трафика</x:v>
      </x:c>
      <x:c r="N2190" s="1" t="str">
        <x:f>IF(AND('Данные'!D2190&gt;='Дашборд'!$C$55,D2190&lt;'Дашборд'!$C$56,'Данные'!E2190&gt;='Дашборд'!$C$53,'Данные'!L2190&lt;&gt;"Да"),"Да","Нет")</x:f>
        <x:v>Нет</x:v>
      </x:c>
      <x:c r="O2190" s="1" t="str">
        <x:f>'Данные'!L2190</x:f>
        <x:v>Нет</x:v>
      </x:c>
    </x:row>
    <x:row r="2191">
      <x:c r="A2191" s="1" t="str">
        <x:f>'Данные'!A2191</x:f>
        <x:v>239852089</x:v>
      </x:c>
      <x:c r="B2191" s="1" t="str">
        <x:f>'Данные'!B2191</x:f>
        <x:v>svitshotrukpetl/голубой</x:v>
      </x:c>
      <x:c r="C2191" s="8" t="n">
        <x:f>'Данные'!G2191</x:f>
        <x:v>0</x:v>
      </x:c>
      <x:c r="D2191" s="15" t="n">
        <x:f>C2191/SUM($C$5:$C$2477)</x:f>
        <x:v>0</x:v>
      </x:c>
      <x:c r="E2191" s="15" t="n">
        <x:f>SUM($D$5:D2191)</x:f>
        <x:v>1.0000000000000036</x:v>
      </x:c>
      <x:c r="F2191" s="1" t="str">
        <x:f>IF(C2191&lt;=0,"C",IF(E2191-D2191&lt;'Дашборд'!$C$49,"A",IF(E2191-D2191&lt;'Дашборд'!$C$50,"B","C")))</x:f>
        <x:v>C</x:v>
      </x:c>
      <x:c r="G2191" s="8" t="n">
        <x:f>'Данные'!F2191</x:f>
        <x:v>0</x:v>
      </x:c>
      <x:c r="H2191" s="8" t="n">
        <x:f>SUM('Данные'!H2191:I2191)</x:f>
        <x:v>0</x:v>
      </x:c>
      <x:c r="I2191" s="16" t="str">
        <x:f>IF(H2191&gt;0,G2191/H2191,"n.a.")</x:f>
        <x:v>n.a.</x:v>
      </x:c>
      <x:c r="J2191" s="10" t="n">
        <x:f>IF('Данные'!E2191&gt;0,G2191/'Данные'!E2191,"n.a.")</x:f>
        <x:v>0</x:v>
      </x:c>
      <x:c r="K2191" s="1" t="str">
        <x:f>IF(G2191&gt;='Дашборд'!$C$51,"X","Z")</x:f>
        <x:v>Z</x:v>
      </x:c>
      <x:c r="L2191" s="1" t="str">
        <x:f>IF(H2191=0,IF(G2191&gt;0,"Нет остатка","Нет спроса"),IF(I2191&gt;='Дашборд'!$C$52,"Быстрый","Медленный"))</x:f>
        <x:v>Нет спроса</x:v>
      </x:c>
      <x:c r="M2191" s="1" t="str">
        <x:f>IF('Данные'!E2191&lt;'Дашборд'!$C$53,"Мало трафика",IF(J2191&lt;'Дашборд'!$C$9*'Дашборд'!$C$54,"Да","Нет"))</x:f>
        <x:v>Да</x:v>
      </x:c>
      <x:c r="N2191" s="1" t="str">
        <x:f>IF(AND('Данные'!D2191&gt;='Дашборд'!$C$55,D2191&lt;'Дашборд'!$C$56,'Данные'!E2191&gt;='Дашборд'!$C$53,'Данные'!L2191&lt;&gt;"Да"),"Да","Нет")</x:f>
        <x:v>Нет</x:v>
      </x:c>
      <x:c r="O2191" s="1" t="str">
        <x:f>'Данные'!L2191</x:f>
        <x:v>Нет</x:v>
      </x:c>
    </x:row>
    <x:row r="2192">
      <x:c r="A2192" s="1" t="str">
        <x:f>'Данные'!A2192</x:f>
        <x:v>239853070</x:v>
      </x:c>
      <x:c r="B2192" s="1" t="str">
        <x:f>'Данные'!B2192</x:f>
        <x:v>futbolkaprint/Couture-108/сине-морской</x:v>
      </x:c>
      <x:c r="C2192" s="8" t="n">
        <x:f>'Данные'!G2192</x:f>
        <x:v>0</x:v>
      </x:c>
      <x:c r="D2192" s="15" t="n">
        <x:f>C2192/SUM($C$5:$C$2477)</x:f>
        <x:v>0</x:v>
      </x:c>
      <x:c r="E2192" s="15" t="n">
        <x:f>SUM($D$5:D2192)</x:f>
        <x:v>1.0000000000000036</x:v>
      </x:c>
      <x:c r="F2192" s="1" t="str">
        <x:f>IF(C2192&lt;=0,"C",IF(E2192-D2192&lt;'Дашборд'!$C$49,"A",IF(E2192-D2192&lt;'Дашборд'!$C$50,"B","C")))</x:f>
        <x:v>C</x:v>
      </x:c>
      <x:c r="G2192" s="8" t="n">
        <x:f>'Данные'!F2192</x:f>
        <x:v>0</x:v>
      </x:c>
      <x:c r="H2192" s="8" t="n">
        <x:f>SUM('Данные'!H2192:I2192)</x:f>
        <x:v>0</x:v>
      </x:c>
      <x:c r="I2192" s="16" t="str">
        <x:f>IF(H2192&gt;0,G2192/H2192,"n.a.")</x:f>
        <x:v>n.a.</x:v>
      </x:c>
      <x:c r="J2192" s="10" t="n">
        <x:f>IF('Данные'!E2192&gt;0,G2192/'Данные'!E2192,"n.a.")</x:f>
        <x:v>0</x:v>
      </x:c>
      <x:c r="K2192" s="1" t="str">
        <x:f>IF(G2192&gt;='Дашборд'!$C$51,"X","Z")</x:f>
        <x:v>Z</x:v>
      </x:c>
      <x:c r="L2192" s="1" t="str">
        <x:f>IF(H2192=0,IF(G2192&gt;0,"Нет остатка","Нет спроса"),IF(I2192&gt;='Дашборд'!$C$52,"Быстрый","Медленный"))</x:f>
        <x:v>Нет спроса</x:v>
      </x:c>
      <x:c r="M2192" s="1" t="str">
        <x:f>IF('Данные'!E2192&lt;'Дашборд'!$C$53,"Мало трафика",IF(J2192&lt;'Дашборд'!$C$9*'Дашборд'!$C$54,"Да","Нет"))</x:f>
        <x:v>Мало трафика</x:v>
      </x:c>
      <x:c r="N2192" s="1" t="str">
        <x:f>IF(AND('Данные'!D2192&gt;='Дашборд'!$C$55,D2192&lt;'Дашборд'!$C$56,'Данные'!E2192&gt;='Дашборд'!$C$53,'Данные'!L2192&lt;&gt;"Да"),"Да","Нет")</x:f>
        <x:v>Нет</x:v>
      </x:c>
      <x:c r="O2192" s="1" t="str">
        <x:f>'Данные'!L2192</x:f>
        <x:v>Нет</x:v>
      </x:c>
    </x:row>
    <x:row r="2193">
      <x:c r="A2193" s="1" t="str">
        <x:f>'Данные'!A2193</x:f>
        <x:v>240083943</x:v>
      </x:c>
      <x:c r="B2193" s="1" t="str">
        <x:f>'Данные'!B2193</x:f>
        <x:v>kroptop/милка</x:v>
      </x:c>
      <x:c r="C2193" s="8" t="n">
        <x:f>'Данные'!G2193</x:f>
        <x:v>0</x:v>
      </x:c>
      <x:c r="D2193" s="15" t="n">
        <x:f>C2193/SUM($C$5:$C$2477)</x:f>
        <x:v>0</x:v>
      </x:c>
      <x:c r="E2193" s="15" t="n">
        <x:f>SUM($D$5:D2193)</x:f>
        <x:v>1.0000000000000036</x:v>
      </x:c>
      <x:c r="F2193" s="1" t="str">
        <x:f>IF(C2193&lt;=0,"C",IF(E2193-D2193&lt;'Дашборд'!$C$49,"A",IF(E2193-D2193&lt;'Дашборд'!$C$50,"B","C")))</x:f>
        <x:v>C</x:v>
      </x:c>
      <x:c r="G2193" s="8" t="n">
        <x:f>'Данные'!F2193</x:f>
        <x:v>0</x:v>
      </x:c>
      <x:c r="H2193" s="8" t="n">
        <x:f>SUM('Данные'!H2193:I2193)</x:f>
        <x:v>0</x:v>
      </x:c>
      <x:c r="I2193" s="16" t="str">
        <x:f>IF(H2193&gt;0,G2193/H2193,"n.a.")</x:f>
        <x:v>n.a.</x:v>
      </x:c>
      <x:c r="J2193" s="10" t="n">
        <x:f>IF('Данные'!E2193&gt;0,G2193/'Данные'!E2193,"n.a.")</x:f>
        <x:v>0</x:v>
      </x:c>
      <x:c r="K2193" s="1" t="str">
        <x:f>IF(G2193&gt;='Дашборд'!$C$51,"X","Z")</x:f>
        <x:v>Z</x:v>
      </x:c>
      <x:c r="L2193" s="1" t="str">
        <x:f>IF(H2193=0,IF(G2193&gt;0,"Нет остатка","Нет спроса"),IF(I2193&gt;='Дашборд'!$C$52,"Быстрый","Медленный"))</x:f>
        <x:v>Нет спроса</x:v>
      </x:c>
      <x:c r="M2193" s="1" t="str">
        <x:f>IF('Данные'!E2193&lt;'Дашборд'!$C$53,"Мало трафика",IF(J2193&lt;'Дашборд'!$C$9*'Дашборд'!$C$54,"Да","Нет"))</x:f>
        <x:v>Мало трафика</x:v>
      </x:c>
      <x:c r="N2193" s="1" t="str">
        <x:f>IF(AND('Данные'!D2193&gt;='Дашборд'!$C$55,D2193&lt;'Дашборд'!$C$56,'Данные'!E2193&gt;='Дашборд'!$C$53,'Данные'!L2193&lt;&gt;"Да"),"Да","Нет")</x:f>
        <x:v>Нет</x:v>
      </x:c>
      <x:c r="O2193" s="1" t="str">
        <x:f>'Данные'!L2193</x:f>
        <x:v>Нет</x:v>
      </x:c>
    </x:row>
    <x:row r="2194">
      <x:c r="A2194" s="1" t="str">
        <x:f>'Данные'!A2194</x:f>
        <x:v>240808489</x:v>
      </x:c>
      <x:c r="B2194" s="1" t="str">
        <x:f>'Данные'!B2194</x:f>
        <x:v>brukigirl/темно-серый</x:v>
      </x:c>
      <x:c r="C2194" s="8" t="n">
        <x:f>'Данные'!G2194</x:f>
        <x:v>0</x:v>
      </x:c>
      <x:c r="D2194" s="15" t="n">
        <x:f>C2194/SUM($C$5:$C$2477)</x:f>
        <x:v>0</x:v>
      </x:c>
      <x:c r="E2194" s="15" t="n">
        <x:f>SUM($D$5:D2194)</x:f>
        <x:v>1.0000000000000036</x:v>
      </x:c>
      <x:c r="F2194" s="1" t="str">
        <x:f>IF(C2194&lt;=0,"C",IF(E2194-D2194&lt;'Дашборд'!$C$49,"A",IF(E2194-D2194&lt;'Дашборд'!$C$50,"B","C")))</x:f>
        <x:v>C</x:v>
      </x:c>
      <x:c r="G2194" s="8" t="n">
        <x:f>'Данные'!F2194</x:f>
        <x:v>0</x:v>
      </x:c>
      <x:c r="H2194" s="8" t="n">
        <x:f>SUM('Данные'!H2194:I2194)</x:f>
        <x:v>0</x:v>
      </x:c>
      <x:c r="I2194" s="16" t="str">
        <x:f>IF(H2194&gt;0,G2194/H2194,"n.a.")</x:f>
        <x:v>n.a.</x:v>
      </x:c>
      <x:c r="J2194" s="10" t="n">
        <x:f>IF('Данные'!E2194&gt;0,G2194/'Данные'!E2194,"n.a.")</x:f>
        <x:v>0</x:v>
      </x:c>
      <x:c r="K2194" s="1" t="str">
        <x:f>IF(G2194&gt;='Дашборд'!$C$51,"X","Z")</x:f>
        <x:v>Z</x:v>
      </x:c>
      <x:c r="L2194" s="1" t="str">
        <x:f>IF(H2194=0,IF(G2194&gt;0,"Нет остатка","Нет спроса"),IF(I2194&gt;='Дашборд'!$C$52,"Быстрый","Медленный"))</x:f>
        <x:v>Нет спроса</x:v>
      </x:c>
      <x:c r="M2194" s="1" t="str">
        <x:f>IF('Данные'!E2194&lt;'Дашборд'!$C$53,"Мало трафика",IF(J2194&lt;'Дашборд'!$C$9*'Дашборд'!$C$54,"Да","Нет"))</x:f>
        <x:v>Мало трафика</x:v>
      </x:c>
      <x:c r="N2194" s="1" t="str">
        <x:f>IF(AND('Данные'!D2194&gt;='Дашборд'!$C$55,D2194&lt;'Дашборд'!$C$56,'Данные'!E2194&gt;='Дашборд'!$C$53,'Данные'!L2194&lt;&gt;"Да"),"Да","Нет")</x:f>
        <x:v>Нет</x:v>
      </x:c>
      <x:c r="O2194" s="1" t="str">
        <x:f>'Данные'!L2194</x:f>
        <x:v>Нет</x:v>
      </x:c>
    </x:row>
    <x:row r="2195">
      <x:c r="A2195" s="1" t="str">
        <x:f>'Данные'!A2195</x:f>
        <x:v>242720575</x:v>
      </x:c>
      <x:c r="B2195" s="1" t="str">
        <x:f>'Данные'!B2195</x:f>
        <x:v>hudiman/графит-светло-коричневый</x:v>
      </x:c>
      <x:c r="C2195" s="8" t="n">
        <x:f>'Данные'!G2195</x:f>
        <x:v>0</x:v>
      </x:c>
      <x:c r="D2195" s="15" t="n">
        <x:f>C2195/SUM($C$5:$C$2477)</x:f>
        <x:v>0</x:v>
      </x:c>
      <x:c r="E2195" s="15" t="n">
        <x:f>SUM($D$5:D2195)</x:f>
        <x:v>1.0000000000000036</x:v>
      </x:c>
      <x:c r="F2195" s="1" t="str">
        <x:f>IF(C2195&lt;=0,"C",IF(E2195-D2195&lt;'Дашборд'!$C$49,"A",IF(E2195-D2195&lt;'Дашборд'!$C$50,"B","C")))</x:f>
        <x:v>C</x:v>
      </x:c>
      <x:c r="G2195" s="8" t="n">
        <x:f>'Данные'!F2195</x:f>
        <x:v>0</x:v>
      </x:c>
      <x:c r="H2195" s="8" t="n">
        <x:f>SUM('Данные'!H2195:I2195)</x:f>
        <x:v>0</x:v>
      </x:c>
      <x:c r="I2195" s="16" t="str">
        <x:f>IF(H2195&gt;0,G2195/H2195,"n.a.")</x:f>
        <x:v>n.a.</x:v>
      </x:c>
      <x:c r="J2195" s="10" t="n">
        <x:f>IF('Данные'!E2195&gt;0,G2195/'Данные'!E2195,"n.a.")</x:f>
        <x:v>0</x:v>
      </x:c>
      <x:c r="K2195" s="1" t="str">
        <x:f>IF(G2195&gt;='Дашборд'!$C$51,"X","Z")</x:f>
        <x:v>Z</x:v>
      </x:c>
      <x:c r="L2195" s="1" t="str">
        <x:f>IF(H2195=0,IF(G2195&gt;0,"Нет остатка","Нет спроса"),IF(I2195&gt;='Дашборд'!$C$52,"Быстрый","Медленный"))</x:f>
        <x:v>Нет спроса</x:v>
      </x:c>
      <x:c r="M2195" s="1" t="str">
        <x:f>IF('Данные'!E2195&lt;'Дашборд'!$C$53,"Мало трафика",IF(J2195&lt;'Дашборд'!$C$9*'Дашборд'!$C$54,"Да","Нет"))</x:f>
        <x:v>Мало трафика</x:v>
      </x:c>
      <x:c r="N2195" s="1" t="str">
        <x:f>IF(AND('Данные'!D2195&gt;='Дашборд'!$C$55,D2195&lt;'Дашборд'!$C$56,'Данные'!E2195&gt;='Дашборд'!$C$53,'Данные'!L2195&lt;&gt;"Да"),"Да","Нет")</x:f>
        <x:v>Нет</x:v>
      </x:c>
      <x:c r="O2195" s="1" t="str">
        <x:f>'Данные'!L2195</x:f>
        <x:v>Нет</x:v>
      </x:c>
    </x:row>
    <x:row r="2196">
      <x:c r="A2196" s="1" t="str">
        <x:f>'Данные'!A2196</x:f>
        <x:v>243665995</x:v>
      </x:c>
      <x:c r="B2196" s="1" t="str">
        <x:f>'Данные'!B2196</x:f>
        <x:v>boxerX5/черХ2-тсер-ссер-тсин</x:v>
      </x:c>
      <x:c r="C2196" s="8" t="n">
        <x:f>'Данные'!G2196</x:f>
        <x:v>0</x:v>
      </x:c>
      <x:c r="D2196" s="15" t="n">
        <x:f>C2196/SUM($C$5:$C$2477)</x:f>
        <x:v>0</x:v>
      </x:c>
      <x:c r="E2196" s="15" t="n">
        <x:f>SUM($D$5:D2196)</x:f>
        <x:v>1.0000000000000036</x:v>
      </x:c>
      <x:c r="F2196" s="1" t="str">
        <x:f>IF(C2196&lt;=0,"C",IF(E2196-D2196&lt;'Дашборд'!$C$49,"A",IF(E2196-D2196&lt;'Дашборд'!$C$50,"B","C")))</x:f>
        <x:v>C</x:v>
      </x:c>
      <x:c r="G2196" s="8" t="n">
        <x:f>'Данные'!F2196</x:f>
        <x:v>0</x:v>
      </x:c>
      <x:c r="H2196" s="8" t="n">
        <x:f>SUM('Данные'!H2196:I2196)</x:f>
        <x:v>0</x:v>
      </x:c>
      <x:c r="I2196" s="16" t="str">
        <x:f>IF(H2196&gt;0,G2196/H2196,"n.a.")</x:f>
        <x:v>n.a.</x:v>
      </x:c>
      <x:c r="J2196" s="10" t="n">
        <x:f>IF('Данные'!E2196&gt;0,G2196/'Данные'!E2196,"n.a.")</x:f>
        <x:v>0</x:v>
      </x:c>
      <x:c r="K2196" s="1" t="str">
        <x:f>IF(G2196&gt;='Дашборд'!$C$51,"X","Z")</x:f>
        <x:v>Z</x:v>
      </x:c>
      <x:c r="L2196" s="1" t="str">
        <x:f>IF(H2196=0,IF(G2196&gt;0,"Нет остатка","Нет спроса"),IF(I2196&gt;='Дашборд'!$C$52,"Быстрый","Медленный"))</x:f>
        <x:v>Нет спроса</x:v>
      </x:c>
      <x:c r="M2196" s="1" t="str">
        <x:f>IF('Данные'!E2196&lt;'Дашборд'!$C$53,"Мало трафика",IF(J2196&lt;'Дашборд'!$C$9*'Дашборд'!$C$54,"Да","Нет"))</x:f>
        <x:v>Мало трафика</x:v>
      </x:c>
      <x:c r="N2196" s="1" t="str">
        <x:f>IF(AND('Данные'!D2196&gt;='Дашборд'!$C$55,D2196&lt;'Дашборд'!$C$56,'Данные'!E2196&gt;='Дашборд'!$C$53,'Данные'!L2196&lt;&gt;"Да"),"Да","Нет")</x:f>
        <x:v>Нет</x:v>
      </x:c>
      <x:c r="O2196" s="1" t="str">
        <x:f>'Данные'!L2196</x:f>
        <x:v>Нет</x:v>
      </x:c>
    </x:row>
    <x:row r="2197">
      <x:c r="A2197" s="1" t="str">
        <x:f>'Данные'!A2197</x:f>
        <x:v>243665997</x:v>
      </x:c>
      <x:c r="B2197" s="1" t="str">
        <x:f>'Данные'!B2197</x:f>
        <x:v>boxerX5/чер-тсер-ссер-тсинХ2</x:v>
      </x:c>
      <x:c r="C2197" s="8" t="n">
        <x:f>'Данные'!G2197</x:f>
        <x:v>0</x:v>
      </x:c>
      <x:c r="D2197" s="15" t="n">
        <x:f>C2197/SUM($C$5:$C$2477)</x:f>
        <x:v>0</x:v>
      </x:c>
      <x:c r="E2197" s="15" t="n">
        <x:f>SUM($D$5:D2197)</x:f>
        <x:v>1.0000000000000036</x:v>
      </x:c>
      <x:c r="F2197" s="1" t="str">
        <x:f>IF(C2197&lt;=0,"C",IF(E2197-D2197&lt;'Дашборд'!$C$49,"A",IF(E2197-D2197&lt;'Дашборд'!$C$50,"B","C")))</x:f>
        <x:v>C</x:v>
      </x:c>
      <x:c r="G2197" s="8" t="n">
        <x:f>'Данные'!F2197</x:f>
        <x:v>0</x:v>
      </x:c>
      <x:c r="H2197" s="8" t="n">
        <x:f>SUM('Данные'!H2197:I2197)</x:f>
        <x:v>0</x:v>
      </x:c>
      <x:c r="I2197" s="16" t="str">
        <x:f>IF(H2197&gt;0,G2197/H2197,"n.a.")</x:f>
        <x:v>n.a.</x:v>
      </x:c>
      <x:c r="J2197" s="10" t="n">
        <x:f>IF('Данные'!E2197&gt;0,G2197/'Данные'!E2197,"n.a.")</x:f>
        <x:v>0</x:v>
      </x:c>
      <x:c r="K2197" s="1" t="str">
        <x:f>IF(G2197&gt;='Дашборд'!$C$51,"X","Z")</x:f>
        <x:v>Z</x:v>
      </x:c>
      <x:c r="L2197" s="1" t="str">
        <x:f>IF(H2197=0,IF(G2197&gt;0,"Нет остатка","Нет спроса"),IF(I2197&gt;='Дашборд'!$C$52,"Быстрый","Медленный"))</x:f>
        <x:v>Нет спроса</x:v>
      </x:c>
      <x:c r="M2197" s="1" t="str">
        <x:f>IF('Данные'!E2197&lt;'Дашборд'!$C$53,"Мало трафика",IF(J2197&lt;'Дашборд'!$C$9*'Дашборд'!$C$54,"Да","Нет"))</x:f>
        <x:v>Мало трафика</x:v>
      </x:c>
      <x:c r="N2197" s="1" t="str">
        <x:f>IF(AND('Данные'!D2197&gt;='Дашборд'!$C$55,D2197&lt;'Дашборд'!$C$56,'Данные'!E2197&gt;='Дашборд'!$C$53,'Данные'!L2197&lt;&gt;"Да"),"Да","Нет")</x:f>
        <x:v>Нет</x:v>
      </x:c>
      <x:c r="O2197" s="1" t="str">
        <x:f>'Данные'!L2197</x:f>
        <x:v>Нет</x:v>
      </x:c>
    </x:row>
    <x:row r="2198">
      <x:c r="A2198" s="1" t="str">
        <x:f>'Данные'!A2198</x:f>
        <x:v>243666004</x:v>
      </x:c>
      <x:c r="B2198" s="1" t="str">
        <x:f>'Данные'!B2198</x:f>
        <x:v>boxerX3/чер-тсер-тсин</x:v>
      </x:c>
      <x:c r="C2198" s="8" t="n">
        <x:f>'Данные'!G2198</x:f>
        <x:v>0</x:v>
      </x:c>
      <x:c r="D2198" s="15" t="n">
        <x:f>C2198/SUM($C$5:$C$2477)</x:f>
        <x:v>0</x:v>
      </x:c>
      <x:c r="E2198" s="15" t="n">
        <x:f>SUM($D$5:D2198)</x:f>
        <x:v>1.0000000000000036</x:v>
      </x:c>
      <x:c r="F2198" s="1" t="str">
        <x:f>IF(C2198&lt;=0,"C",IF(E2198-D2198&lt;'Дашборд'!$C$49,"A",IF(E2198-D2198&lt;'Дашборд'!$C$50,"B","C")))</x:f>
        <x:v>C</x:v>
      </x:c>
      <x:c r="G2198" s="8" t="n">
        <x:f>'Данные'!F2198</x:f>
        <x:v>0</x:v>
      </x:c>
      <x:c r="H2198" s="8" t="n">
        <x:f>SUM('Данные'!H2198:I2198)</x:f>
        <x:v>0</x:v>
      </x:c>
      <x:c r="I2198" s="16" t="str">
        <x:f>IF(H2198&gt;0,G2198/H2198,"n.a.")</x:f>
        <x:v>n.a.</x:v>
      </x:c>
      <x:c r="J2198" s="10" t="n">
        <x:f>IF('Данные'!E2198&gt;0,G2198/'Данные'!E2198,"n.a.")</x:f>
        <x:v>0</x:v>
      </x:c>
      <x:c r="K2198" s="1" t="str">
        <x:f>IF(G2198&gt;='Дашборд'!$C$51,"X","Z")</x:f>
        <x:v>Z</x:v>
      </x:c>
      <x:c r="L2198" s="1" t="str">
        <x:f>IF(H2198=0,IF(G2198&gt;0,"Нет остатка","Нет спроса"),IF(I2198&gt;='Дашборд'!$C$52,"Быстрый","Медленный"))</x:f>
        <x:v>Нет спроса</x:v>
      </x:c>
      <x:c r="M2198" s="1" t="str">
        <x:f>IF('Данные'!E2198&lt;'Дашборд'!$C$53,"Мало трафика",IF(J2198&lt;'Дашборд'!$C$9*'Дашборд'!$C$54,"Да","Нет"))</x:f>
        <x:v>Мало трафика</x:v>
      </x:c>
      <x:c r="N2198" s="1" t="str">
        <x:f>IF(AND('Данные'!D2198&gt;='Дашборд'!$C$55,D2198&lt;'Дашборд'!$C$56,'Данные'!E2198&gt;='Дашборд'!$C$53,'Данные'!L2198&lt;&gt;"Да"),"Да","Нет")</x:f>
        <x:v>Нет</x:v>
      </x:c>
      <x:c r="O2198" s="1" t="str">
        <x:f>'Данные'!L2198</x:f>
        <x:v>Нет</x:v>
      </x:c>
    </x:row>
    <x:row r="2199">
      <x:c r="A2199" s="1" t="str">
        <x:f>'Данные'!A2199</x:f>
        <x:v>243666006</x:v>
      </x:c>
      <x:c r="B2199" s="1" t="str">
        <x:f>'Данные'!B2199</x:f>
        <x:v>boxerX5/черХ2-тсер-ссерХ2</x:v>
      </x:c>
      <x:c r="C2199" s="8" t="n">
        <x:f>'Данные'!G2199</x:f>
        <x:v>0</x:v>
      </x:c>
      <x:c r="D2199" s="15" t="n">
        <x:f>C2199/SUM($C$5:$C$2477)</x:f>
        <x:v>0</x:v>
      </x:c>
      <x:c r="E2199" s="15" t="n">
        <x:f>SUM($D$5:D2199)</x:f>
        <x:v>1.0000000000000036</x:v>
      </x:c>
      <x:c r="F2199" s="1" t="str">
        <x:f>IF(C2199&lt;=0,"C",IF(E2199-D2199&lt;'Дашборд'!$C$49,"A",IF(E2199-D2199&lt;'Дашборд'!$C$50,"B","C")))</x:f>
        <x:v>C</x:v>
      </x:c>
      <x:c r="G2199" s="8" t="n">
        <x:f>'Данные'!F2199</x:f>
        <x:v>0</x:v>
      </x:c>
      <x:c r="H2199" s="8" t="n">
        <x:f>SUM('Данные'!H2199:I2199)</x:f>
        <x:v>0</x:v>
      </x:c>
      <x:c r="I2199" s="16" t="str">
        <x:f>IF(H2199&gt;0,G2199/H2199,"n.a.")</x:f>
        <x:v>n.a.</x:v>
      </x:c>
      <x:c r="J2199" s="10" t="n">
        <x:f>IF('Данные'!E2199&gt;0,G2199/'Данные'!E2199,"n.a.")</x:f>
        <x:v>0</x:v>
      </x:c>
      <x:c r="K2199" s="1" t="str">
        <x:f>IF(G2199&gt;='Дашборд'!$C$51,"X","Z")</x:f>
        <x:v>Z</x:v>
      </x:c>
      <x:c r="L2199" s="1" t="str">
        <x:f>IF(H2199=0,IF(G2199&gt;0,"Нет остатка","Нет спроса"),IF(I2199&gt;='Дашборд'!$C$52,"Быстрый","Медленный"))</x:f>
        <x:v>Нет спроса</x:v>
      </x:c>
      <x:c r="M2199" s="1" t="str">
        <x:f>IF('Данные'!E2199&lt;'Дашборд'!$C$53,"Мало трафика",IF(J2199&lt;'Дашборд'!$C$9*'Дашборд'!$C$54,"Да","Нет"))</x:f>
        <x:v>Мало трафика</x:v>
      </x:c>
      <x:c r="N2199" s="1" t="str">
        <x:f>IF(AND('Данные'!D2199&gt;='Дашборд'!$C$55,D2199&lt;'Дашборд'!$C$56,'Данные'!E2199&gt;='Дашборд'!$C$53,'Данные'!L2199&lt;&gt;"Да"),"Да","Нет")</x:f>
        <x:v>Нет</x:v>
      </x:c>
      <x:c r="O2199" s="1" t="str">
        <x:f>'Данные'!L2199</x:f>
        <x:v>Нет</x:v>
      </x:c>
    </x:row>
    <x:row r="2200">
      <x:c r="A2200" s="1" t="str">
        <x:f>'Данные'!A2200</x:f>
        <x:v>243666012</x:v>
      </x:c>
      <x:c r="B2200" s="1" t="str">
        <x:f>'Данные'!B2200</x:f>
        <x:v>boxerX10/черХ3-тсерХ3-ссерХ3-тсин</x:v>
      </x:c>
      <x:c r="C2200" s="8" t="n">
        <x:f>'Данные'!G2200</x:f>
        <x:v>0</x:v>
      </x:c>
      <x:c r="D2200" s="15" t="n">
        <x:f>C2200/SUM($C$5:$C$2477)</x:f>
        <x:v>0</x:v>
      </x:c>
      <x:c r="E2200" s="15" t="n">
        <x:f>SUM($D$5:D2200)</x:f>
        <x:v>1.0000000000000036</x:v>
      </x:c>
      <x:c r="F2200" s="1" t="str">
        <x:f>IF(C2200&lt;=0,"C",IF(E2200-D2200&lt;'Дашборд'!$C$49,"A",IF(E2200-D2200&lt;'Дашборд'!$C$50,"B","C")))</x:f>
        <x:v>C</x:v>
      </x:c>
      <x:c r="G2200" s="8" t="n">
        <x:f>'Данные'!F2200</x:f>
        <x:v>0</x:v>
      </x:c>
      <x:c r="H2200" s="8" t="n">
        <x:f>SUM('Данные'!H2200:I2200)</x:f>
        <x:v>0</x:v>
      </x:c>
      <x:c r="I2200" s="16" t="str">
        <x:f>IF(H2200&gt;0,G2200/H2200,"n.a.")</x:f>
        <x:v>n.a.</x:v>
      </x:c>
      <x:c r="J2200" s="10" t="n">
        <x:f>IF('Данные'!E2200&gt;0,G2200/'Данные'!E2200,"n.a.")</x:f>
        <x:v>0</x:v>
      </x:c>
      <x:c r="K2200" s="1" t="str">
        <x:f>IF(G2200&gt;='Дашборд'!$C$51,"X","Z")</x:f>
        <x:v>Z</x:v>
      </x:c>
      <x:c r="L2200" s="1" t="str">
        <x:f>IF(H2200=0,IF(G2200&gt;0,"Нет остатка","Нет спроса"),IF(I2200&gt;='Дашборд'!$C$52,"Быстрый","Медленный"))</x:f>
        <x:v>Нет спроса</x:v>
      </x:c>
      <x:c r="M2200" s="1" t="str">
        <x:f>IF('Данные'!E2200&lt;'Дашборд'!$C$53,"Мало трафика",IF(J2200&lt;'Дашборд'!$C$9*'Дашборд'!$C$54,"Да","Нет"))</x:f>
        <x:v>Мало трафика</x:v>
      </x:c>
      <x:c r="N2200" s="1" t="str">
        <x:f>IF(AND('Данные'!D2200&gt;='Дашборд'!$C$55,D2200&lt;'Дашборд'!$C$56,'Данные'!E2200&gt;='Дашборд'!$C$53,'Данные'!L2200&lt;&gt;"Да"),"Да","Нет")</x:f>
        <x:v>Нет</x:v>
      </x:c>
      <x:c r="O2200" s="1" t="str">
        <x:f>'Данные'!L2200</x:f>
        <x:v>Нет</x:v>
      </x:c>
    </x:row>
    <x:row r="2201">
      <x:c r="A2201" s="1" t="str">
        <x:f>'Данные'!A2201</x:f>
        <x:v>243666013</x:v>
      </x:c>
      <x:c r="B2201" s="1" t="str">
        <x:f>'Данные'!B2201</x:f>
        <x:v>boxerX3/чер-тсер-ссер</x:v>
      </x:c>
      <x:c r="C2201" s="8" t="n">
        <x:f>'Данные'!G2201</x:f>
        <x:v>0</x:v>
      </x:c>
      <x:c r="D2201" s="15" t="n">
        <x:f>C2201/SUM($C$5:$C$2477)</x:f>
        <x:v>0</x:v>
      </x:c>
      <x:c r="E2201" s="15" t="n">
        <x:f>SUM($D$5:D2201)</x:f>
        <x:v>1.0000000000000036</x:v>
      </x:c>
      <x:c r="F2201" s="1" t="str">
        <x:f>IF(C2201&lt;=0,"C",IF(E2201-D2201&lt;'Дашборд'!$C$49,"A",IF(E2201-D2201&lt;'Дашборд'!$C$50,"B","C")))</x:f>
        <x:v>C</x:v>
      </x:c>
      <x:c r="G2201" s="8" t="n">
        <x:f>'Данные'!F2201</x:f>
        <x:v>0</x:v>
      </x:c>
      <x:c r="H2201" s="8" t="n">
        <x:f>SUM('Данные'!H2201:I2201)</x:f>
        <x:v>0</x:v>
      </x:c>
      <x:c r="I2201" s="16" t="str">
        <x:f>IF(H2201&gt;0,G2201/H2201,"n.a.")</x:f>
        <x:v>n.a.</x:v>
      </x:c>
      <x:c r="J2201" s="10" t="n">
        <x:f>IF('Данные'!E2201&gt;0,G2201/'Данные'!E2201,"n.a.")</x:f>
        <x:v>0</x:v>
      </x:c>
      <x:c r="K2201" s="1" t="str">
        <x:f>IF(G2201&gt;='Дашборд'!$C$51,"X","Z")</x:f>
        <x:v>Z</x:v>
      </x:c>
      <x:c r="L2201" s="1" t="str">
        <x:f>IF(H2201=0,IF(G2201&gt;0,"Нет остатка","Нет спроса"),IF(I2201&gt;='Дашборд'!$C$52,"Быстрый","Медленный"))</x:f>
        <x:v>Нет спроса</x:v>
      </x:c>
      <x:c r="M2201" s="1" t="str">
        <x:f>IF('Данные'!E2201&lt;'Дашборд'!$C$53,"Мало трафика",IF(J2201&lt;'Дашборд'!$C$9*'Дашборд'!$C$54,"Да","Нет"))</x:f>
        <x:v>Да</x:v>
      </x:c>
      <x:c r="N2201" s="1" t="str">
        <x:f>IF(AND('Данные'!D2201&gt;='Дашборд'!$C$55,D2201&lt;'Дашборд'!$C$56,'Данные'!E2201&gt;='Дашборд'!$C$53,'Данные'!L2201&lt;&gt;"Да"),"Да","Нет")</x:f>
        <x:v>Нет</x:v>
      </x:c>
      <x:c r="O2201" s="1" t="str">
        <x:f>'Данные'!L2201</x:f>
        <x:v>Нет</x:v>
      </x:c>
    </x:row>
    <x:row r="2202">
      <x:c r="A2202" s="1" t="str">
        <x:f>'Данные'!A2202</x:f>
        <x:v>243666014</x:v>
      </x:c>
      <x:c r="B2202" s="1" t="str">
        <x:f>'Данные'!B2202</x:f>
        <x:v>boxerX7/черХ2-тсерХ2-ссер-тсинХ2</x:v>
      </x:c>
      <x:c r="C2202" s="8" t="n">
        <x:f>'Данные'!G2202</x:f>
        <x:v>0</x:v>
      </x:c>
      <x:c r="D2202" s="15" t="n">
        <x:f>C2202/SUM($C$5:$C$2477)</x:f>
        <x:v>0</x:v>
      </x:c>
      <x:c r="E2202" s="15" t="n">
        <x:f>SUM($D$5:D2202)</x:f>
        <x:v>1.0000000000000036</x:v>
      </x:c>
      <x:c r="F2202" s="1" t="str">
        <x:f>IF(C2202&lt;=0,"C",IF(E2202-D2202&lt;'Дашборд'!$C$49,"A",IF(E2202-D2202&lt;'Дашборд'!$C$50,"B","C")))</x:f>
        <x:v>C</x:v>
      </x:c>
      <x:c r="G2202" s="8" t="n">
        <x:f>'Данные'!F2202</x:f>
        <x:v>0</x:v>
      </x:c>
      <x:c r="H2202" s="8" t="n">
        <x:f>SUM('Данные'!H2202:I2202)</x:f>
        <x:v>0</x:v>
      </x:c>
      <x:c r="I2202" s="16" t="str">
        <x:f>IF(H2202&gt;0,G2202/H2202,"n.a.")</x:f>
        <x:v>n.a.</x:v>
      </x:c>
      <x:c r="J2202" s="10" t="n">
        <x:f>IF('Данные'!E2202&gt;0,G2202/'Данные'!E2202,"n.a.")</x:f>
        <x:v>0</x:v>
      </x:c>
      <x:c r="K2202" s="1" t="str">
        <x:f>IF(G2202&gt;='Дашборд'!$C$51,"X","Z")</x:f>
        <x:v>Z</x:v>
      </x:c>
      <x:c r="L2202" s="1" t="str">
        <x:f>IF(H2202=0,IF(G2202&gt;0,"Нет остатка","Нет спроса"),IF(I2202&gt;='Дашборд'!$C$52,"Быстрый","Медленный"))</x:f>
        <x:v>Нет спроса</x:v>
      </x:c>
      <x:c r="M2202" s="1" t="str">
        <x:f>IF('Данные'!E2202&lt;'Дашборд'!$C$53,"Мало трафика",IF(J2202&lt;'Дашборд'!$C$9*'Дашборд'!$C$54,"Да","Нет"))</x:f>
        <x:v>Мало трафика</x:v>
      </x:c>
      <x:c r="N2202" s="1" t="str">
        <x:f>IF(AND('Данные'!D2202&gt;='Дашборд'!$C$55,D2202&lt;'Дашборд'!$C$56,'Данные'!E2202&gt;='Дашборд'!$C$53,'Данные'!L2202&lt;&gt;"Да"),"Да","Нет")</x:f>
        <x:v>Нет</x:v>
      </x:c>
      <x:c r="O2202" s="1" t="str">
        <x:f>'Данные'!L2202</x:f>
        <x:v>Нет</x:v>
      </x:c>
    </x:row>
    <x:row r="2203">
      <x:c r="A2203" s="1" t="str">
        <x:f>'Данные'!A2203</x:f>
        <x:v>243666017</x:v>
      </x:c>
      <x:c r="B2203" s="1" t="str">
        <x:f>'Данные'!B2203</x:f>
        <x:v>boxerX5/черный</x:v>
      </x:c>
      <x:c r="C2203" s="8" t="n">
        <x:f>'Данные'!G2203</x:f>
        <x:v>0</x:v>
      </x:c>
      <x:c r="D2203" s="15" t="n">
        <x:f>C2203/SUM($C$5:$C$2477)</x:f>
        <x:v>0</x:v>
      </x:c>
      <x:c r="E2203" s="15" t="n">
        <x:f>SUM($D$5:D2203)</x:f>
        <x:v>1.0000000000000036</x:v>
      </x:c>
      <x:c r="F2203" s="1" t="str">
        <x:f>IF(C2203&lt;=0,"C",IF(E2203-D2203&lt;'Дашборд'!$C$49,"A",IF(E2203-D2203&lt;'Дашборд'!$C$50,"B","C")))</x:f>
        <x:v>C</x:v>
      </x:c>
      <x:c r="G2203" s="8" t="n">
        <x:f>'Данные'!F2203</x:f>
        <x:v>0</x:v>
      </x:c>
      <x:c r="H2203" s="8" t="n">
        <x:f>SUM('Данные'!H2203:I2203)</x:f>
        <x:v>0</x:v>
      </x:c>
      <x:c r="I2203" s="16" t="str">
        <x:f>IF(H2203&gt;0,G2203/H2203,"n.a.")</x:f>
        <x:v>n.a.</x:v>
      </x:c>
      <x:c r="J2203" s="10" t="n">
        <x:f>IF('Данные'!E2203&gt;0,G2203/'Данные'!E2203,"n.a.")</x:f>
        <x:v>0</x:v>
      </x:c>
      <x:c r="K2203" s="1" t="str">
        <x:f>IF(G2203&gt;='Дашборд'!$C$51,"X","Z")</x:f>
        <x:v>Z</x:v>
      </x:c>
      <x:c r="L2203" s="1" t="str">
        <x:f>IF(H2203=0,IF(G2203&gt;0,"Нет остатка","Нет спроса"),IF(I2203&gt;='Дашборд'!$C$52,"Быстрый","Медленный"))</x:f>
        <x:v>Нет спроса</x:v>
      </x:c>
      <x:c r="M2203" s="1" t="str">
        <x:f>IF('Данные'!E2203&lt;'Дашборд'!$C$53,"Мало трафика",IF(J2203&lt;'Дашборд'!$C$9*'Дашборд'!$C$54,"Да","Нет"))</x:f>
        <x:v>Мало трафика</x:v>
      </x:c>
      <x:c r="N2203" s="1" t="str">
        <x:f>IF(AND('Данные'!D2203&gt;='Дашборд'!$C$55,D2203&lt;'Дашборд'!$C$56,'Данные'!E2203&gt;='Дашборд'!$C$53,'Данные'!L2203&lt;&gt;"Да"),"Да","Нет")</x:f>
        <x:v>Нет</x:v>
      </x:c>
      <x:c r="O2203" s="1" t="str">
        <x:f>'Данные'!L2203</x:f>
        <x:v>Нет</x:v>
      </x:c>
    </x:row>
    <x:row r="2204">
      <x:c r="A2204" s="1" t="str">
        <x:f>'Данные'!A2204</x:f>
        <x:v>243666020</x:v>
      </x:c>
      <x:c r="B2204" s="1" t="str">
        <x:f>'Данные'!B2204</x:f>
        <x:v>boxerX5/чер-тсерХ2-ссер-тсин</x:v>
      </x:c>
      <x:c r="C2204" s="8" t="n">
        <x:f>'Данные'!G2204</x:f>
        <x:v>0</x:v>
      </x:c>
      <x:c r="D2204" s="15" t="n">
        <x:f>C2204/SUM($C$5:$C$2477)</x:f>
        <x:v>0</x:v>
      </x:c>
      <x:c r="E2204" s="15" t="n">
        <x:f>SUM($D$5:D2204)</x:f>
        <x:v>1.0000000000000036</x:v>
      </x:c>
      <x:c r="F2204" s="1" t="str">
        <x:f>IF(C2204&lt;=0,"C",IF(E2204-D2204&lt;'Дашборд'!$C$49,"A",IF(E2204-D2204&lt;'Дашборд'!$C$50,"B","C")))</x:f>
        <x:v>C</x:v>
      </x:c>
      <x:c r="G2204" s="8" t="n">
        <x:f>'Данные'!F2204</x:f>
        <x:v>0</x:v>
      </x:c>
      <x:c r="H2204" s="8" t="n">
        <x:f>SUM('Данные'!H2204:I2204)</x:f>
        <x:v>0</x:v>
      </x:c>
      <x:c r="I2204" s="16" t="str">
        <x:f>IF(H2204&gt;0,G2204/H2204,"n.a.")</x:f>
        <x:v>n.a.</x:v>
      </x:c>
      <x:c r="J2204" s="10" t="n">
        <x:f>IF('Данные'!E2204&gt;0,G2204/'Данные'!E2204,"n.a.")</x:f>
        <x:v>0</x:v>
      </x:c>
      <x:c r="K2204" s="1" t="str">
        <x:f>IF(G2204&gt;='Дашборд'!$C$51,"X","Z")</x:f>
        <x:v>Z</x:v>
      </x:c>
      <x:c r="L2204" s="1" t="str">
        <x:f>IF(H2204=0,IF(G2204&gt;0,"Нет остатка","Нет спроса"),IF(I2204&gt;='Дашборд'!$C$52,"Быстрый","Медленный"))</x:f>
        <x:v>Нет спроса</x:v>
      </x:c>
      <x:c r="M2204" s="1" t="str">
        <x:f>IF('Данные'!E2204&lt;'Дашборд'!$C$53,"Мало трафика",IF(J2204&lt;'Дашборд'!$C$9*'Дашборд'!$C$54,"Да","Нет"))</x:f>
        <x:v>Мало трафика</x:v>
      </x:c>
      <x:c r="N2204" s="1" t="str">
        <x:f>IF(AND('Данные'!D2204&gt;='Дашборд'!$C$55,D2204&lt;'Дашборд'!$C$56,'Данные'!E2204&gt;='Дашборд'!$C$53,'Данные'!L2204&lt;&gt;"Да"),"Да","Нет")</x:f>
        <x:v>Нет</x:v>
      </x:c>
      <x:c r="O2204" s="1" t="str">
        <x:f>'Данные'!L2204</x:f>
        <x:v>Нет</x:v>
      </x:c>
    </x:row>
    <x:row r="2205">
      <x:c r="A2205" s="1" t="str">
        <x:f>'Данные'!A2205</x:f>
        <x:v>243666038</x:v>
      </x:c>
      <x:c r="B2205" s="1" t="str">
        <x:f>'Данные'!B2205</x:f>
        <x:v>boxerX3/тсер-тсин-ссер</x:v>
      </x:c>
      <x:c r="C2205" s="8" t="n">
        <x:f>'Данные'!G2205</x:f>
        <x:v>0</x:v>
      </x:c>
      <x:c r="D2205" s="15" t="n">
        <x:f>C2205/SUM($C$5:$C$2477)</x:f>
        <x:v>0</x:v>
      </x:c>
      <x:c r="E2205" s="15" t="n">
        <x:f>SUM($D$5:D2205)</x:f>
        <x:v>1.0000000000000036</x:v>
      </x:c>
      <x:c r="F2205" s="1" t="str">
        <x:f>IF(C2205&lt;=0,"C",IF(E2205-D2205&lt;'Дашборд'!$C$49,"A",IF(E2205-D2205&lt;'Дашборд'!$C$50,"B","C")))</x:f>
        <x:v>C</x:v>
      </x:c>
      <x:c r="G2205" s="8" t="n">
        <x:f>'Данные'!F2205</x:f>
        <x:v>0</x:v>
      </x:c>
      <x:c r="H2205" s="8" t="n">
        <x:f>SUM('Данные'!H2205:I2205)</x:f>
        <x:v>0</x:v>
      </x:c>
      <x:c r="I2205" s="16" t="str">
        <x:f>IF(H2205&gt;0,G2205/H2205,"n.a.")</x:f>
        <x:v>n.a.</x:v>
      </x:c>
      <x:c r="J2205" s="10" t="n">
        <x:f>IF('Данные'!E2205&gt;0,G2205/'Данные'!E2205,"n.a.")</x:f>
        <x:v>0</x:v>
      </x:c>
      <x:c r="K2205" s="1" t="str">
        <x:f>IF(G2205&gt;='Дашборд'!$C$51,"X","Z")</x:f>
        <x:v>Z</x:v>
      </x:c>
      <x:c r="L2205" s="1" t="str">
        <x:f>IF(H2205=0,IF(G2205&gt;0,"Нет остатка","Нет спроса"),IF(I2205&gt;='Дашборд'!$C$52,"Быстрый","Медленный"))</x:f>
        <x:v>Нет спроса</x:v>
      </x:c>
      <x:c r="M2205" s="1" t="str">
        <x:f>IF('Данные'!E2205&lt;'Дашборд'!$C$53,"Мало трафика",IF(J2205&lt;'Дашборд'!$C$9*'Дашборд'!$C$54,"Да","Нет"))</x:f>
        <x:v>Мало трафика</x:v>
      </x:c>
      <x:c r="N2205" s="1" t="str">
        <x:f>IF(AND('Данные'!D2205&gt;='Дашборд'!$C$55,D2205&lt;'Дашборд'!$C$56,'Данные'!E2205&gt;='Дашборд'!$C$53,'Данные'!L2205&lt;&gt;"Да"),"Да","Нет")</x:f>
        <x:v>Нет</x:v>
      </x:c>
      <x:c r="O2205" s="1" t="str">
        <x:f>'Данные'!L2205</x:f>
        <x:v>Нет</x:v>
      </x:c>
    </x:row>
    <x:row r="2206">
      <x:c r="A2206" s="1" t="str">
        <x:f>'Данные'!A2206</x:f>
        <x:v>245745662</x:v>
      </x:c>
      <x:c r="B2206" s="1" t="str">
        <x:f>'Данные'!B2206</x:f>
        <x:v>kulirkaman/пыльнаяроза-серый гранит</x:v>
      </x:c>
      <x:c r="C2206" s="8" t="n">
        <x:f>'Данные'!G2206</x:f>
        <x:v>0</x:v>
      </x:c>
      <x:c r="D2206" s="15" t="n">
        <x:f>C2206/SUM($C$5:$C$2477)</x:f>
        <x:v>0</x:v>
      </x:c>
      <x:c r="E2206" s="15" t="n">
        <x:f>SUM($D$5:D2206)</x:f>
        <x:v>1.0000000000000036</x:v>
      </x:c>
      <x:c r="F2206" s="1" t="str">
        <x:f>IF(C2206&lt;=0,"C",IF(E2206-D2206&lt;'Дашборд'!$C$49,"A",IF(E2206-D2206&lt;'Дашборд'!$C$50,"B","C")))</x:f>
        <x:v>C</x:v>
      </x:c>
      <x:c r="G2206" s="8" t="n">
        <x:f>'Данные'!F2206</x:f>
        <x:v>0</x:v>
      </x:c>
      <x:c r="H2206" s="8" t="n">
        <x:f>SUM('Данные'!H2206:I2206)</x:f>
        <x:v>0</x:v>
      </x:c>
      <x:c r="I2206" s="16" t="str">
        <x:f>IF(H2206&gt;0,G2206/H2206,"n.a.")</x:f>
        <x:v>n.a.</x:v>
      </x:c>
      <x:c r="J2206" s="10" t="n">
        <x:f>IF('Данные'!E2206&gt;0,G2206/'Данные'!E2206,"n.a.")</x:f>
        <x:v>0</x:v>
      </x:c>
      <x:c r="K2206" s="1" t="str">
        <x:f>IF(G2206&gt;='Дашборд'!$C$51,"X","Z")</x:f>
        <x:v>Z</x:v>
      </x:c>
      <x:c r="L2206" s="1" t="str">
        <x:f>IF(H2206=0,IF(G2206&gt;0,"Нет остатка","Нет спроса"),IF(I2206&gt;='Дашборд'!$C$52,"Быстрый","Медленный"))</x:f>
        <x:v>Нет спроса</x:v>
      </x:c>
      <x:c r="M2206" s="1" t="str">
        <x:f>IF('Данные'!E2206&lt;'Дашборд'!$C$53,"Мало трафика",IF(J2206&lt;'Дашборд'!$C$9*'Дашборд'!$C$54,"Да","Нет"))</x:f>
        <x:v>Мало трафика</x:v>
      </x:c>
      <x:c r="N2206" s="1" t="str">
        <x:f>IF(AND('Данные'!D2206&gt;='Дашборд'!$C$55,D2206&lt;'Дашборд'!$C$56,'Данные'!E2206&gt;='Дашборд'!$C$53,'Данные'!L2206&lt;&gt;"Да"),"Да","Нет")</x:f>
        <x:v>Нет</x:v>
      </x:c>
      <x:c r="O2206" s="1" t="str">
        <x:f>'Данные'!L2206</x:f>
        <x:v>Нет</x:v>
      </x:c>
    </x:row>
    <x:row r="2207">
      <x:c r="A2207" s="1" t="str">
        <x:f>'Данные'!A2207</x:f>
        <x:v>246059752</x:v>
      </x:c>
      <x:c r="B2207" s="1" t="str">
        <x:f>'Данные'!B2207</x:f>
        <x:v>bomberman/черный</x:v>
      </x:c>
      <x:c r="C2207" s="8" t="n">
        <x:f>'Данные'!G2207</x:f>
        <x:v>0</x:v>
      </x:c>
      <x:c r="D2207" s="15" t="n">
        <x:f>C2207/SUM($C$5:$C$2477)</x:f>
        <x:v>0</x:v>
      </x:c>
      <x:c r="E2207" s="15" t="n">
        <x:f>SUM($D$5:D2207)</x:f>
        <x:v>1.0000000000000036</x:v>
      </x:c>
      <x:c r="F2207" s="1" t="str">
        <x:f>IF(C2207&lt;=0,"C",IF(E2207-D2207&lt;'Дашборд'!$C$49,"A",IF(E2207-D2207&lt;'Дашборд'!$C$50,"B","C")))</x:f>
        <x:v>C</x:v>
      </x:c>
      <x:c r="G2207" s="8" t="n">
        <x:f>'Данные'!F2207</x:f>
        <x:v>0</x:v>
      </x:c>
      <x:c r="H2207" s="8" t="n">
        <x:f>SUM('Данные'!H2207:I2207)</x:f>
        <x:v>0</x:v>
      </x:c>
      <x:c r="I2207" s="16" t="str">
        <x:f>IF(H2207&gt;0,G2207/H2207,"n.a.")</x:f>
        <x:v>n.a.</x:v>
      </x:c>
      <x:c r="J2207" s="10" t="n">
        <x:f>IF('Данные'!E2207&gt;0,G2207/'Данные'!E2207,"n.a.")</x:f>
        <x:v>0</x:v>
      </x:c>
      <x:c r="K2207" s="1" t="str">
        <x:f>IF(G2207&gt;='Дашборд'!$C$51,"X","Z")</x:f>
        <x:v>Z</x:v>
      </x:c>
      <x:c r="L2207" s="1" t="str">
        <x:f>IF(H2207=0,IF(G2207&gt;0,"Нет остатка","Нет спроса"),IF(I2207&gt;='Дашборд'!$C$52,"Быстрый","Медленный"))</x:f>
        <x:v>Нет спроса</x:v>
      </x:c>
      <x:c r="M2207" s="1" t="str">
        <x:f>IF('Данные'!E2207&lt;'Дашборд'!$C$53,"Мало трафика",IF(J2207&lt;'Дашборд'!$C$9*'Дашборд'!$C$54,"Да","Нет"))</x:f>
        <x:v>Мало трафика</x:v>
      </x:c>
      <x:c r="N2207" s="1" t="str">
        <x:f>IF(AND('Данные'!D2207&gt;='Дашборд'!$C$55,D2207&lt;'Дашборд'!$C$56,'Данные'!E2207&gt;='Дашборд'!$C$53,'Данные'!L2207&lt;&gt;"Да"),"Да","Нет")</x:f>
        <x:v>Нет</x:v>
      </x:c>
      <x:c r="O2207" s="1" t="str">
        <x:f>'Данные'!L2207</x:f>
        <x:v>Нет</x:v>
      </x:c>
    </x:row>
    <x:row r="2208">
      <x:c r="A2208" s="1" t="str">
        <x:f>'Данные'!A2208</x:f>
        <x:v>246157036</x:v>
      </x:c>
      <x:c r="B2208" s="1" t="str">
        <x:f>'Данные'!B2208</x:f>
        <x:v>svitzipcroppetlvish/MoveClub-93/серыймеланж2</x:v>
      </x:c>
      <x:c r="C2208" s="8" t="n">
        <x:f>'Данные'!G2208</x:f>
        <x:v>0</x:v>
      </x:c>
      <x:c r="D2208" s="15" t="n">
        <x:f>C2208/SUM($C$5:$C$2477)</x:f>
        <x:v>0</x:v>
      </x:c>
      <x:c r="E2208" s="15" t="n">
        <x:f>SUM($D$5:D2208)</x:f>
        <x:v>1.0000000000000036</x:v>
      </x:c>
      <x:c r="F2208" s="1" t="str">
        <x:f>IF(C2208&lt;=0,"C",IF(E2208-D2208&lt;'Дашборд'!$C$49,"A",IF(E2208-D2208&lt;'Дашборд'!$C$50,"B","C")))</x:f>
        <x:v>C</x:v>
      </x:c>
      <x:c r="G2208" s="8" t="n">
        <x:f>'Данные'!F2208</x:f>
        <x:v>0</x:v>
      </x:c>
      <x:c r="H2208" s="8" t="n">
        <x:f>SUM('Данные'!H2208:I2208)</x:f>
        <x:v>0</x:v>
      </x:c>
      <x:c r="I2208" s="16" t="str">
        <x:f>IF(H2208&gt;0,G2208/H2208,"n.a.")</x:f>
        <x:v>n.a.</x:v>
      </x:c>
      <x:c r="J2208" s="10" t="n">
        <x:f>IF('Данные'!E2208&gt;0,G2208/'Данные'!E2208,"n.a.")</x:f>
        <x:v>0</x:v>
      </x:c>
      <x:c r="K2208" s="1" t="str">
        <x:f>IF(G2208&gt;='Дашборд'!$C$51,"X","Z")</x:f>
        <x:v>Z</x:v>
      </x:c>
      <x:c r="L2208" s="1" t="str">
        <x:f>IF(H2208=0,IF(G2208&gt;0,"Нет остатка","Нет спроса"),IF(I2208&gt;='Дашборд'!$C$52,"Быстрый","Медленный"))</x:f>
        <x:v>Нет спроса</x:v>
      </x:c>
      <x:c r="M2208" s="1" t="str">
        <x:f>IF('Данные'!E2208&lt;'Дашборд'!$C$53,"Мало трафика",IF(J2208&lt;'Дашборд'!$C$9*'Дашборд'!$C$54,"Да","Нет"))</x:f>
        <x:v>Мало трафика</x:v>
      </x:c>
      <x:c r="N2208" s="1" t="str">
        <x:f>IF(AND('Данные'!D2208&gt;='Дашборд'!$C$55,D2208&lt;'Дашборд'!$C$56,'Данные'!E2208&gt;='Дашборд'!$C$53,'Данные'!L2208&lt;&gt;"Да"),"Да","Нет")</x:f>
        <x:v>Нет</x:v>
      </x:c>
      <x:c r="O2208" s="1" t="str">
        <x:f>'Данные'!L2208</x:f>
        <x:v>Нет</x:v>
      </x:c>
    </x:row>
    <x:row r="2209">
      <x:c r="A2209" s="1" t="str">
        <x:f>'Данные'!A2209</x:f>
        <x:v>247145313</x:v>
      </x:c>
      <x:c r="B2209" s="1" t="str">
        <x:f>'Данные'!B2209</x:f>
        <x:v>noskilongman/белый</x:v>
      </x:c>
      <x:c r="C2209" s="8" t="n">
        <x:f>'Данные'!G2209</x:f>
        <x:v>0</x:v>
      </x:c>
      <x:c r="D2209" s="15" t="n">
        <x:f>C2209/SUM($C$5:$C$2477)</x:f>
        <x:v>0</x:v>
      </x:c>
      <x:c r="E2209" s="15" t="n">
        <x:f>SUM($D$5:D2209)</x:f>
        <x:v>1.0000000000000036</x:v>
      </x:c>
      <x:c r="F2209" s="1" t="str">
        <x:f>IF(C2209&lt;=0,"C",IF(E2209-D2209&lt;'Дашборд'!$C$49,"A",IF(E2209-D2209&lt;'Дашборд'!$C$50,"B","C")))</x:f>
        <x:v>C</x:v>
      </x:c>
      <x:c r="G2209" s="8" t="n">
        <x:f>'Данные'!F2209</x:f>
        <x:v>0</x:v>
      </x:c>
      <x:c r="H2209" s="8" t="n">
        <x:f>SUM('Данные'!H2209:I2209)</x:f>
        <x:v>0</x:v>
      </x:c>
      <x:c r="I2209" s="16" t="str">
        <x:f>IF(H2209&gt;0,G2209/H2209,"n.a.")</x:f>
        <x:v>n.a.</x:v>
      </x:c>
      <x:c r="J2209" s="10" t="n">
        <x:f>IF('Данные'!E2209&gt;0,G2209/'Данные'!E2209,"n.a.")</x:f>
        <x:v>0</x:v>
      </x:c>
      <x:c r="K2209" s="1" t="str">
        <x:f>IF(G2209&gt;='Дашборд'!$C$51,"X","Z")</x:f>
        <x:v>Z</x:v>
      </x:c>
      <x:c r="L2209" s="1" t="str">
        <x:f>IF(H2209=0,IF(G2209&gt;0,"Нет остатка","Нет спроса"),IF(I2209&gt;='Дашборд'!$C$52,"Быстрый","Медленный"))</x:f>
        <x:v>Нет спроса</x:v>
      </x:c>
      <x:c r="M2209" s="1" t="str">
        <x:f>IF('Данные'!E2209&lt;'Дашборд'!$C$53,"Мало трафика",IF(J2209&lt;'Дашборд'!$C$9*'Дашборд'!$C$54,"Да","Нет"))</x:f>
        <x:v>Мало трафика</x:v>
      </x:c>
      <x:c r="N2209" s="1" t="str">
        <x:f>IF(AND('Данные'!D2209&gt;='Дашборд'!$C$55,D2209&lt;'Дашборд'!$C$56,'Данные'!E2209&gt;='Дашборд'!$C$53,'Данные'!L2209&lt;&gt;"Да"),"Да","Нет")</x:f>
        <x:v>Нет</x:v>
      </x:c>
      <x:c r="O2209" s="1" t="str">
        <x:f>'Данные'!L2209</x:f>
        <x:v>Нет</x:v>
      </x:c>
    </x:row>
    <x:row r="2210">
      <x:c r="A2210" s="1" t="str">
        <x:f>'Данные'!A2210</x:f>
        <x:v>247179367</x:v>
      </x:c>
      <x:c r="B2210" s="1" t="str">
        <x:f>'Данные'!B2210</x:f>
        <x:v>noskishortman/белый</x:v>
      </x:c>
      <x:c r="C2210" s="8" t="n">
        <x:f>'Данные'!G2210</x:f>
        <x:v>0</x:v>
      </x:c>
      <x:c r="D2210" s="15" t="n">
        <x:f>C2210/SUM($C$5:$C$2477)</x:f>
        <x:v>0</x:v>
      </x:c>
      <x:c r="E2210" s="15" t="n">
        <x:f>SUM($D$5:D2210)</x:f>
        <x:v>1.0000000000000036</x:v>
      </x:c>
      <x:c r="F2210" s="1" t="str">
        <x:f>IF(C2210&lt;=0,"C",IF(E2210-D2210&lt;'Дашборд'!$C$49,"A",IF(E2210-D2210&lt;'Дашборд'!$C$50,"B","C")))</x:f>
        <x:v>C</x:v>
      </x:c>
      <x:c r="G2210" s="8" t="n">
        <x:f>'Данные'!F2210</x:f>
        <x:v>0</x:v>
      </x:c>
      <x:c r="H2210" s="8" t="n">
        <x:f>SUM('Данные'!H2210:I2210)</x:f>
        <x:v>0</x:v>
      </x:c>
      <x:c r="I2210" s="16" t="str">
        <x:f>IF(H2210&gt;0,G2210/H2210,"n.a.")</x:f>
        <x:v>n.a.</x:v>
      </x:c>
      <x:c r="J2210" s="10" t="n">
        <x:f>IF('Данные'!E2210&gt;0,G2210/'Данные'!E2210,"n.a.")</x:f>
        <x:v>0</x:v>
      </x:c>
      <x:c r="K2210" s="1" t="str">
        <x:f>IF(G2210&gt;='Дашборд'!$C$51,"X","Z")</x:f>
        <x:v>Z</x:v>
      </x:c>
      <x:c r="L2210" s="1" t="str">
        <x:f>IF(H2210=0,IF(G2210&gt;0,"Нет остатка","Нет спроса"),IF(I2210&gt;='Дашборд'!$C$52,"Быстрый","Медленный"))</x:f>
        <x:v>Нет спроса</x:v>
      </x:c>
      <x:c r="M2210" s="1" t="str">
        <x:f>IF('Данные'!E2210&lt;'Дашборд'!$C$53,"Мало трафика",IF(J2210&lt;'Дашборд'!$C$9*'Дашборд'!$C$54,"Да","Нет"))</x:f>
        <x:v>Мало трафика</x:v>
      </x:c>
      <x:c r="N2210" s="1" t="str">
        <x:f>IF(AND('Данные'!D2210&gt;='Дашборд'!$C$55,D2210&lt;'Дашборд'!$C$56,'Данные'!E2210&gt;='Дашборд'!$C$53,'Данные'!L2210&lt;&gt;"Да"),"Да","Нет")</x:f>
        <x:v>Нет</x:v>
      </x:c>
      <x:c r="O2210" s="1" t="str">
        <x:f>'Данные'!L2210</x:f>
        <x:v>Нет</x:v>
      </x:c>
    </x:row>
    <x:row r="2211">
      <x:c r="A2211" s="1" t="str">
        <x:f>'Данные'!A2211</x:f>
        <x:v>247188244</x:v>
      </x:c>
      <x:c r="B2211" s="1" t="str">
        <x:f>'Данные'!B2211</x:f>
        <x:v>noskilong/черный</x:v>
      </x:c>
      <x:c r="C2211" s="8" t="n">
        <x:f>'Данные'!G2211</x:f>
        <x:v>0</x:v>
      </x:c>
      <x:c r="D2211" s="15" t="n">
        <x:f>C2211/SUM($C$5:$C$2477)</x:f>
        <x:v>0</x:v>
      </x:c>
      <x:c r="E2211" s="15" t="n">
        <x:f>SUM($D$5:D2211)</x:f>
        <x:v>1.0000000000000036</x:v>
      </x:c>
      <x:c r="F2211" s="1" t="str">
        <x:f>IF(C2211&lt;=0,"C",IF(E2211-D2211&lt;'Дашборд'!$C$49,"A",IF(E2211-D2211&lt;'Дашборд'!$C$50,"B","C")))</x:f>
        <x:v>C</x:v>
      </x:c>
      <x:c r="G2211" s="8" t="n">
        <x:f>'Данные'!F2211</x:f>
        <x:v>0</x:v>
      </x:c>
      <x:c r="H2211" s="8" t="n">
        <x:f>SUM('Данные'!H2211:I2211)</x:f>
        <x:v>0</x:v>
      </x:c>
      <x:c r="I2211" s="16" t="str">
        <x:f>IF(H2211&gt;0,G2211/H2211,"n.a.")</x:f>
        <x:v>n.a.</x:v>
      </x:c>
      <x:c r="J2211" s="10" t="n">
        <x:f>IF('Данные'!E2211&gt;0,G2211/'Данные'!E2211,"n.a.")</x:f>
        <x:v>0</x:v>
      </x:c>
      <x:c r="K2211" s="1" t="str">
        <x:f>IF(G2211&gt;='Дашборд'!$C$51,"X","Z")</x:f>
        <x:v>Z</x:v>
      </x:c>
      <x:c r="L2211" s="1" t="str">
        <x:f>IF(H2211=0,IF(G2211&gt;0,"Нет остатка","Нет спроса"),IF(I2211&gt;='Дашборд'!$C$52,"Быстрый","Медленный"))</x:f>
        <x:v>Нет спроса</x:v>
      </x:c>
      <x:c r="M2211" s="1" t="str">
        <x:f>IF('Данные'!E2211&lt;'Дашборд'!$C$53,"Мало трафика",IF(J2211&lt;'Дашборд'!$C$9*'Дашборд'!$C$54,"Да","Нет"))</x:f>
        <x:v>Мало трафика</x:v>
      </x:c>
      <x:c r="N2211" s="1" t="str">
        <x:f>IF(AND('Данные'!D2211&gt;='Дашборд'!$C$55,D2211&lt;'Дашборд'!$C$56,'Данные'!E2211&gt;='Дашборд'!$C$53,'Данные'!L2211&lt;&gt;"Да"),"Да","Нет")</x:f>
        <x:v>Нет</x:v>
      </x:c>
      <x:c r="O2211" s="1" t="str">
        <x:f>'Данные'!L2211</x:f>
        <x:v>Нет</x:v>
      </x:c>
    </x:row>
    <x:row r="2212">
      <x:c r="A2212" s="1" t="str">
        <x:f>'Данные'!A2212</x:f>
        <x:v>247189760</x:v>
      </x:c>
      <x:c r="B2212" s="1" t="str">
        <x:f>'Данные'!B2212</x:f>
        <x:v>noskishort/черный</x:v>
      </x:c>
      <x:c r="C2212" s="8" t="n">
        <x:f>'Данные'!G2212</x:f>
        <x:v>0</x:v>
      </x:c>
      <x:c r="D2212" s="15" t="n">
        <x:f>C2212/SUM($C$5:$C$2477)</x:f>
        <x:v>0</x:v>
      </x:c>
      <x:c r="E2212" s="15" t="n">
        <x:f>SUM($D$5:D2212)</x:f>
        <x:v>1.0000000000000036</x:v>
      </x:c>
      <x:c r="F2212" s="1" t="str">
        <x:f>IF(C2212&lt;=0,"C",IF(E2212-D2212&lt;'Дашборд'!$C$49,"A",IF(E2212-D2212&lt;'Дашборд'!$C$50,"B","C")))</x:f>
        <x:v>C</x:v>
      </x:c>
      <x:c r="G2212" s="8" t="n">
        <x:f>'Данные'!F2212</x:f>
        <x:v>0</x:v>
      </x:c>
      <x:c r="H2212" s="8" t="n">
        <x:f>SUM('Данные'!H2212:I2212)</x:f>
        <x:v>0</x:v>
      </x:c>
      <x:c r="I2212" s="16" t="str">
        <x:f>IF(H2212&gt;0,G2212/H2212,"n.a.")</x:f>
        <x:v>n.a.</x:v>
      </x:c>
      <x:c r="J2212" s="10" t="n">
        <x:f>IF('Данные'!E2212&gt;0,G2212/'Данные'!E2212,"n.a.")</x:f>
        <x:v>0</x:v>
      </x:c>
      <x:c r="K2212" s="1" t="str">
        <x:f>IF(G2212&gt;='Дашборд'!$C$51,"X","Z")</x:f>
        <x:v>Z</x:v>
      </x:c>
      <x:c r="L2212" s="1" t="str">
        <x:f>IF(H2212=0,IF(G2212&gt;0,"Нет остатка","Нет спроса"),IF(I2212&gt;='Дашборд'!$C$52,"Быстрый","Медленный"))</x:f>
        <x:v>Нет спроса</x:v>
      </x:c>
      <x:c r="M2212" s="1" t="str">
        <x:f>IF('Данные'!E2212&lt;'Дашборд'!$C$53,"Мало трафика",IF(J2212&lt;'Дашборд'!$C$9*'Дашборд'!$C$54,"Да","Нет"))</x:f>
        <x:v>Мало трафика</x:v>
      </x:c>
      <x:c r="N2212" s="1" t="str">
        <x:f>IF(AND('Данные'!D2212&gt;='Дашборд'!$C$55,D2212&lt;'Дашборд'!$C$56,'Данные'!E2212&gt;='Дашборд'!$C$53,'Данные'!L2212&lt;&gt;"Да"),"Да","Нет")</x:f>
        <x:v>Нет</x:v>
      </x:c>
      <x:c r="O2212" s="1" t="str">
        <x:f>'Данные'!L2212</x:f>
        <x:v>Нет</x:v>
      </x:c>
    </x:row>
    <x:row r="2213">
      <x:c r="A2213" s="1" t="str">
        <x:f>'Данные'!A2213</x:f>
        <x:v>24721429</x:v>
      </x:c>
      <x:c r="B2213" s="1" t="str">
        <x:f>'Данные'!B2213</x:f>
        <x:v>bodi/черный</x:v>
      </x:c>
      <x:c r="C2213" s="8" t="n">
        <x:f>'Данные'!G2213</x:f>
        <x:v>0</x:v>
      </x:c>
      <x:c r="D2213" s="15" t="n">
        <x:f>C2213/SUM($C$5:$C$2477)</x:f>
        <x:v>0</x:v>
      </x:c>
      <x:c r="E2213" s="15" t="n">
        <x:f>SUM($D$5:D2213)</x:f>
        <x:v>1.0000000000000036</x:v>
      </x:c>
      <x:c r="F2213" s="1" t="str">
        <x:f>IF(C2213&lt;=0,"C",IF(E2213-D2213&lt;'Дашборд'!$C$49,"A",IF(E2213-D2213&lt;'Дашборд'!$C$50,"B","C")))</x:f>
        <x:v>C</x:v>
      </x:c>
      <x:c r="G2213" s="8" t="n">
        <x:f>'Данные'!F2213</x:f>
        <x:v>0</x:v>
      </x:c>
      <x:c r="H2213" s="8" t="n">
        <x:f>SUM('Данные'!H2213:I2213)</x:f>
        <x:v>0</x:v>
      </x:c>
      <x:c r="I2213" s="16" t="str">
        <x:f>IF(H2213&gt;0,G2213/H2213,"n.a.")</x:f>
        <x:v>n.a.</x:v>
      </x:c>
      <x:c r="J2213" s="10" t="n">
        <x:f>IF('Данные'!E2213&gt;0,G2213/'Данные'!E2213,"n.a.")</x:f>
        <x:v>0</x:v>
      </x:c>
      <x:c r="K2213" s="1" t="str">
        <x:f>IF(G2213&gt;='Дашборд'!$C$51,"X","Z")</x:f>
        <x:v>Z</x:v>
      </x:c>
      <x:c r="L2213" s="1" t="str">
        <x:f>IF(H2213=0,IF(G2213&gt;0,"Нет остатка","Нет спроса"),IF(I2213&gt;='Дашборд'!$C$52,"Быстрый","Медленный"))</x:f>
        <x:v>Нет спроса</x:v>
      </x:c>
      <x:c r="M2213" s="1" t="str">
        <x:f>IF('Данные'!E2213&lt;'Дашборд'!$C$53,"Мало трафика",IF(J2213&lt;'Дашборд'!$C$9*'Дашборд'!$C$54,"Да","Нет"))</x:f>
        <x:v>Да</x:v>
      </x:c>
      <x:c r="N2213" s="1" t="str">
        <x:f>IF(AND('Данные'!D2213&gt;='Дашборд'!$C$55,D2213&lt;'Дашборд'!$C$56,'Данные'!E2213&gt;='Дашборд'!$C$53,'Данные'!L2213&lt;&gt;"Да"),"Да","Нет")</x:f>
        <x:v>Нет</x:v>
      </x:c>
      <x:c r="O2213" s="1" t="str">
        <x:f>'Данные'!L2213</x:f>
        <x:v>Нет</x:v>
      </x:c>
    </x:row>
    <x:row r="2214">
      <x:c r="A2214" s="1" t="str">
        <x:f>'Данные'!A2214</x:f>
        <x:v>247689626</x:v>
      </x:c>
      <x:c r="B2214" s="1" t="str">
        <x:f>'Данные'!B2214</x:f>
        <x:v>noskishortman/черный</x:v>
      </x:c>
      <x:c r="C2214" s="8" t="n">
        <x:f>'Данные'!G2214</x:f>
        <x:v>0</x:v>
      </x:c>
      <x:c r="D2214" s="15" t="n">
        <x:f>C2214/SUM($C$5:$C$2477)</x:f>
        <x:v>0</x:v>
      </x:c>
      <x:c r="E2214" s="15" t="n">
        <x:f>SUM($D$5:D2214)</x:f>
        <x:v>1.0000000000000036</x:v>
      </x:c>
      <x:c r="F2214" s="1" t="str">
        <x:f>IF(C2214&lt;=0,"C",IF(E2214-D2214&lt;'Дашборд'!$C$49,"A",IF(E2214-D2214&lt;'Дашборд'!$C$50,"B","C")))</x:f>
        <x:v>C</x:v>
      </x:c>
      <x:c r="G2214" s="8" t="n">
        <x:f>'Данные'!F2214</x:f>
        <x:v>0</x:v>
      </x:c>
      <x:c r="H2214" s="8" t="n">
        <x:f>SUM('Данные'!H2214:I2214)</x:f>
        <x:v>0</x:v>
      </x:c>
      <x:c r="I2214" s="16" t="str">
        <x:f>IF(H2214&gt;0,G2214/H2214,"n.a.")</x:f>
        <x:v>n.a.</x:v>
      </x:c>
      <x:c r="J2214" s="10" t="n">
        <x:f>IF('Данные'!E2214&gt;0,G2214/'Данные'!E2214,"n.a.")</x:f>
        <x:v>0</x:v>
      </x:c>
      <x:c r="K2214" s="1" t="str">
        <x:f>IF(G2214&gt;='Дашборд'!$C$51,"X","Z")</x:f>
        <x:v>Z</x:v>
      </x:c>
      <x:c r="L2214" s="1" t="str">
        <x:f>IF(H2214=0,IF(G2214&gt;0,"Нет остатка","Нет спроса"),IF(I2214&gt;='Дашборд'!$C$52,"Быстрый","Медленный"))</x:f>
        <x:v>Нет спроса</x:v>
      </x:c>
      <x:c r="M2214" s="1" t="str">
        <x:f>IF('Данные'!E2214&lt;'Дашборд'!$C$53,"Мало трафика",IF(J2214&lt;'Дашборд'!$C$9*'Дашборд'!$C$54,"Да","Нет"))</x:f>
        <x:v>Мало трафика</x:v>
      </x:c>
      <x:c r="N2214" s="1" t="str">
        <x:f>IF(AND('Данные'!D2214&gt;='Дашборд'!$C$55,D2214&lt;'Дашборд'!$C$56,'Данные'!E2214&gt;='Дашборд'!$C$53,'Данные'!L2214&lt;&gt;"Да"),"Да","Нет")</x:f>
        <x:v>Нет</x:v>
      </x:c>
      <x:c r="O2214" s="1" t="str">
        <x:f>'Данные'!L2214</x:f>
        <x:v>Нет</x:v>
      </x:c>
    </x:row>
    <x:row r="2215">
      <x:c r="A2215" s="1" t="str">
        <x:f>'Данные'!A2215</x:f>
        <x:v>247689701</x:v>
      </x:c>
      <x:c r="B2215" s="1" t="str">
        <x:f>'Данные'!B2215</x:f>
        <x:v>noskilongman/черный</x:v>
      </x:c>
      <x:c r="C2215" s="8" t="n">
        <x:f>'Данные'!G2215</x:f>
        <x:v>0</x:v>
      </x:c>
      <x:c r="D2215" s="15" t="n">
        <x:f>C2215/SUM($C$5:$C$2477)</x:f>
        <x:v>0</x:v>
      </x:c>
      <x:c r="E2215" s="15" t="n">
        <x:f>SUM($D$5:D2215)</x:f>
        <x:v>1.0000000000000036</x:v>
      </x:c>
      <x:c r="F2215" s="1" t="str">
        <x:f>IF(C2215&lt;=0,"C",IF(E2215-D2215&lt;'Дашборд'!$C$49,"A",IF(E2215-D2215&lt;'Дашборд'!$C$50,"B","C")))</x:f>
        <x:v>C</x:v>
      </x:c>
      <x:c r="G2215" s="8" t="n">
        <x:f>'Данные'!F2215</x:f>
        <x:v>0</x:v>
      </x:c>
      <x:c r="H2215" s="8" t="n">
        <x:f>SUM('Данные'!H2215:I2215)</x:f>
        <x:v>0</x:v>
      </x:c>
      <x:c r="I2215" s="16" t="str">
        <x:f>IF(H2215&gt;0,G2215/H2215,"n.a.")</x:f>
        <x:v>n.a.</x:v>
      </x:c>
      <x:c r="J2215" s="10" t="n">
        <x:f>IF('Данные'!E2215&gt;0,G2215/'Данные'!E2215,"n.a.")</x:f>
        <x:v>0</x:v>
      </x:c>
      <x:c r="K2215" s="1" t="str">
        <x:f>IF(G2215&gt;='Дашборд'!$C$51,"X","Z")</x:f>
        <x:v>Z</x:v>
      </x:c>
      <x:c r="L2215" s="1" t="str">
        <x:f>IF(H2215=0,IF(G2215&gt;0,"Нет остатка","Нет спроса"),IF(I2215&gt;='Дашборд'!$C$52,"Быстрый","Медленный"))</x:f>
        <x:v>Нет спроса</x:v>
      </x:c>
      <x:c r="M2215" s="1" t="str">
        <x:f>IF('Данные'!E2215&lt;'Дашборд'!$C$53,"Мало трафика",IF(J2215&lt;'Дашборд'!$C$9*'Дашборд'!$C$54,"Да","Нет"))</x:f>
        <x:v>Мало трафика</x:v>
      </x:c>
      <x:c r="N2215" s="1" t="str">
        <x:f>IF(AND('Данные'!D2215&gt;='Дашборд'!$C$55,D2215&lt;'Дашборд'!$C$56,'Данные'!E2215&gt;='Дашборд'!$C$53,'Данные'!L2215&lt;&gt;"Да"),"Да","Нет")</x:f>
        <x:v>Нет</x:v>
      </x:c>
      <x:c r="O2215" s="1" t="str">
        <x:f>'Данные'!L2215</x:f>
        <x:v>Нет</x:v>
      </x:c>
    </x:row>
    <x:row r="2216">
      <x:c r="A2216" s="1" t="str">
        <x:f>'Данные'!A2216</x:f>
        <x:v>247689868</x:v>
      </x:c>
      <x:c r="B2216" s="1" t="str">
        <x:f>'Данные'!B2216</x:f>
        <x:v>noskilong/белый</x:v>
      </x:c>
      <x:c r="C2216" s="8" t="n">
        <x:f>'Данные'!G2216</x:f>
        <x:v>0</x:v>
      </x:c>
      <x:c r="D2216" s="15" t="n">
        <x:f>C2216/SUM($C$5:$C$2477)</x:f>
        <x:v>0</x:v>
      </x:c>
      <x:c r="E2216" s="15" t="n">
        <x:f>SUM($D$5:D2216)</x:f>
        <x:v>1.0000000000000036</x:v>
      </x:c>
      <x:c r="F2216" s="1" t="str">
        <x:f>IF(C2216&lt;=0,"C",IF(E2216-D2216&lt;'Дашборд'!$C$49,"A",IF(E2216-D2216&lt;'Дашборд'!$C$50,"B","C")))</x:f>
        <x:v>C</x:v>
      </x:c>
      <x:c r="G2216" s="8" t="n">
        <x:f>'Данные'!F2216</x:f>
        <x:v>0</x:v>
      </x:c>
      <x:c r="H2216" s="8" t="n">
        <x:f>SUM('Данные'!H2216:I2216)</x:f>
        <x:v>0</x:v>
      </x:c>
      <x:c r="I2216" s="16" t="str">
        <x:f>IF(H2216&gt;0,G2216/H2216,"n.a.")</x:f>
        <x:v>n.a.</x:v>
      </x:c>
      <x:c r="J2216" s="10" t="n">
        <x:f>IF('Данные'!E2216&gt;0,G2216/'Данные'!E2216,"n.a.")</x:f>
        <x:v>0</x:v>
      </x:c>
      <x:c r="K2216" s="1" t="str">
        <x:f>IF(G2216&gt;='Дашборд'!$C$51,"X","Z")</x:f>
        <x:v>Z</x:v>
      </x:c>
      <x:c r="L2216" s="1" t="str">
        <x:f>IF(H2216=0,IF(G2216&gt;0,"Нет остатка","Нет спроса"),IF(I2216&gt;='Дашборд'!$C$52,"Быстрый","Медленный"))</x:f>
        <x:v>Нет спроса</x:v>
      </x:c>
      <x:c r="M2216" s="1" t="str">
        <x:f>IF('Данные'!E2216&lt;'Дашборд'!$C$53,"Мало трафика",IF(J2216&lt;'Дашборд'!$C$9*'Дашборд'!$C$54,"Да","Нет"))</x:f>
        <x:v>Мало трафика</x:v>
      </x:c>
      <x:c r="N2216" s="1" t="str">
        <x:f>IF(AND('Данные'!D2216&gt;='Дашборд'!$C$55,D2216&lt;'Дашборд'!$C$56,'Данные'!E2216&gt;='Дашборд'!$C$53,'Данные'!L2216&lt;&gt;"Да"),"Да","Нет")</x:f>
        <x:v>Нет</x:v>
      </x:c>
      <x:c r="O2216" s="1" t="str">
        <x:f>'Данные'!L2216</x:f>
        <x:v>Нет</x:v>
      </x:c>
    </x:row>
    <x:row r="2217">
      <x:c r="A2217" s="1" t="str">
        <x:f>'Данные'!A2217</x:f>
        <x:v>247689894</x:v>
      </x:c>
      <x:c r="B2217" s="1" t="str">
        <x:f>'Данные'!B2217</x:f>
        <x:v>noskishort/белый</x:v>
      </x:c>
      <x:c r="C2217" s="8" t="n">
        <x:f>'Данные'!G2217</x:f>
        <x:v>0</x:v>
      </x:c>
      <x:c r="D2217" s="15" t="n">
        <x:f>C2217/SUM($C$5:$C$2477)</x:f>
        <x:v>0</x:v>
      </x:c>
      <x:c r="E2217" s="15" t="n">
        <x:f>SUM($D$5:D2217)</x:f>
        <x:v>1.0000000000000036</x:v>
      </x:c>
      <x:c r="F2217" s="1" t="str">
        <x:f>IF(C2217&lt;=0,"C",IF(E2217-D2217&lt;'Дашборд'!$C$49,"A",IF(E2217-D2217&lt;'Дашборд'!$C$50,"B","C")))</x:f>
        <x:v>C</x:v>
      </x:c>
      <x:c r="G2217" s="8" t="n">
        <x:f>'Данные'!F2217</x:f>
        <x:v>0</x:v>
      </x:c>
      <x:c r="H2217" s="8" t="n">
        <x:f>SUM('Данные'!H2217:I2217)</x:f>
        <x:v>0</x:v>
      </x:c>
      <x:c r="I2217" s="16" t="str">
        <x:f>IF(H2217&gt;0,G2217/H2217,"n.a.")</x:f>
        <x:v>n.a.</x:v>
      </x:c>
      <x:c r="J2217" s="10" t="n">
        <x:f>IF('Данные'!E2217&gt;0,G2217/'Данные'!E2217,"n.a.")</x:f>
        <x:v>0</x:v>
      </x:c>
      <x:c r="K2217" s="1" t="str">
        <x:f>IF(G2217&gt;='Дашборд'!$C$51,"X","Z")</x:f>
        <x:v>Z</x:v>
      </x:c>
      <x:c r="L2217" s="1" t="str">
        <x:f>IF(H2217=0,IF(G2217&gt;0,"Нет остатка","Нет спроса"),IF(I2217&gt;='Дашборд'!$C$52,"Быстрый","Медленный"))</x:f>
        <x:v>Нет спроса</x:v>
      </x:c>
      <x:c r="M2217" s="1" t="str">
        <x:f>IF('Данные'!E2217&lt;'Дашборд'!$C$53,"Мало трафика",IF(J2217&lt;'Дашборд'!$C$9*'Дашборд'!$C$54,"Да","Нет"))</x:f>
        <x:v>Мало трафика</x:v>
      </x:c>
      <x:c r="N2217" s="1" t="str">
        <x:f>IF(AND('Данные'!D2217&gt;='Дашборд'!$C$55,D2217&lt;'Дашборд'!$C$56,'Данные'!E2217&gt;='Дашборд'!$C$53,'Данные'!L2217&lt;&gt;"Да"),"Да","Нет")</x:f>
        <x:v>Нет</x:v>
      </x:c>
      <x:c r="O2217" s="1" t="str">
        <x:f>'Данные'!L2217</x:f>
        <x:v>Нет</x:v>
      </x:c>
    </x:row>
    <x:row r="2218">
      <x:c r="A2218" s="1" t="str">
        <x:f>'Данные'!A2218</x:f>
        <x:v>24987324</x:v>
      </x:c>
      <x:c r="B2218" s="1" t="str">
        <x:f>'Данные'!B2218</x:f>
        <x:v>futbolka/коричневый</x:v>
      </x:c>
      <x:c r="C2218" s="8" t="n">
        <x:f>'Данные'!G2218</x:f>
        <x:v>0</x:v>
      </x:c>
      <x:c r="D2218" s="15" t="n">
        <x:f>C2218/SUM($C$5:$C$2477)</x:f>
        <x:v>0</x:v>
      </x:c>
      <x:c r="E2218" s="15" t="n">
        <x:f>SUM($D$5:D2218)</x:f>
        <x:v>1.0000000000000036</x:v>
      </x:c>
      <x:c r="F2218" s="1" t="str">
        <x:f>IF(C2218&lt;=0,"C",IF(E2218-D2218&lt;'Дашборд'!$C$49,"A",IF(E2218-D2218&lt;'Дашборд'!$C$50,"B","C")))</x:f>
        <x:v>C</x:v>
      </x:c>
      <x:c r="G2218" s="8" t="n">
        <x:f>'Данные'!F2218</x:f>
        <x:v>0</x:v>
      </x:c>
      <x:c r="H2218" s="8" t="n">
        <x:f>SUM('Данные'!H2218:I2218)</x:f>
        <x:v>0</x:v>
      </x:c>
      <x:c r="I2218" s="16" t="str">
        <x:f>IF(H2218&gt;0,G2218/H2218,"n.a.")</x:f>
        <x:v>n.a.</x:v>
      </x:c>
      <x:c r="J2218" s="10" t="n">
        <x:f>IF('Данные'!E2218&gt;0,G2218/'Данные'!E2218,"n.a.")</x:f>
        <x:v>0</x:v>
      </x:c>
      <x:c r="K2218" s="1" t="str">
        <x:f>IF(G2218&gt;='Дашборд'!$C$51,"X","Z")</x:f>
        <x:v>Z</x:v>
      </x:c>
      <x:c r="L2218" s="1" t="str">
        <x:f>IF(H2218=0,IF(G2218&gt;0,"Нет остатка","Нет спроса"),IF(I2218&gt;='Дашборд'!$C$52,"Быстрый","Медленный"))</x:f>
        <x:v>Нет спроса</x:v>
      </x:c>
      <x:c r="M2218" s="1" t="str">
        <x:f>IF('Данные'!E2218&lt;'Дашборд'!$C$53,"Мало трафика",IF(J2218&lt;'Дашборд'!$C$9*'Дашборд'!$C$54,"Да","Нет"))</x:f>
        <x:v>Мало трафика</x:v>
      </x:c>
      <x:c r="N2218" s="1" t="str">
        <x:f>IF(AND('Данные'!D2218&gt;='Дашборд'!$C$55,D2218&lt;'Дашборд'!$C$56,'Данные'!E2218&gt;='Дашборд'!$C$53,'Данные'!L2218&lt;&gt;"Да"),"Да","Нет")</x:f>
        <x:v>Нет</x:v>
      </x:c>
      <x:c r="O2218" s="1" t="str">
        <x:f>'Данные'!L2218</x:f>
        <x:v>Нет</x:v>
      </x:c>
    </x:row>
    <x:row r="2219">
      <x:c r="A2219" s="1" t="str">
        <x:f>'Данные'!A2219</x:f>
        <x:v>25016282</x:v>
      </x:c>
      <x:c r="B2219" s="1" t="str">
        <x:f>'Данные'!B2219</x:f>
        <x:v>futbolka_mary/коричневый</x:v>
      </x:c>
      <x:c r="C2219" s="8" t="n">
        <x:f>'Данные'!G2219</x:f>
        <x:v>0</x:v>
      </x:c>
      <x:c r="D2219" s="15" t="n">
        <x:f>C2219/SUM($C$5:$C$2477)</x:f>
        <x:v>0</x:v>
      </x:c>
      <x:c r="E2219" s="15" t="n">
        <x:f>SUM($D$5:D2219)</x:f>
        <x:v>1.0000000000000036</x:v>
      </x:c>
      <x:c r="F2219" s="1" t="str">
        <x:f>IF(C2219&lt;=0,"C",IF(E2219-D2219&lt;'Дашборд'!$C$49,"A",IF(E2219-D2219&lt;'Дашборд'!$C$50,"B","C")))</x:f>
        <x:v>C</x:v>
      </x:c>
      <x:c r="G2219" s="8" t="n">
        <x:f>'Данные'!F2219</x:f>
        <x:v>0</x:v>
      </x:c>
      <x:c r="H2219" s="8" t="n">
        <x:f>SUM('Данные'!H2219:I2219)</x:f>
        <x:v>19</x:v>
      </x:c>
      <x:c r="I2219" s="16" t="n">
        <x:f>IF(H2219&gt;0,G2219/H2219,"n.a.")</x:f>
        <x:v>0</x:v>
      </x:c>
      <x:c r="J2219" s="10" t="n">
        <x:f>IF('Данные'!E2219&gt;0,G2219/'Данные'!E2219,"n.a.")</x:f>
        <x:v>0</x:v>
      </x:c>
      <x:c r="K2219" s="1" t="str">
        <x:f>IF(G2219&gt;='Дашборд'!$C$51,"X","Z")</x:f>
        <x:v>Z</x:v>
      </x:c>
      <x:c r="L2219" s="1" t="str">
        <x:f>IF(H2219=0,IF(G2219&gt;0,"Нет остатка","Нет спроса"),IF(I2219&gt;='Дашборд'!$C$52,"Быстрый","Медленный"))</x:f>
        <x:v>Медленный</x:v>
      </x:c>
      <x:c r="M2219" s="1" t="str">
        <x:f>IF('Данные'!E2219&lt;'Дашборд'!$C$53,"Мало трафика",IF(J2219&lt;'Дашборд'!$C$9*'Дашборд'!$C$54,"Да","Нет"))</x:f>
        <x:v>Мало трафика</x:v>
      </x:c>
      <x:c r="N2219" s="1" t="str">
        <x:f>IF(AND('Данные'!D2219&gt;='Дашборд'!$C$55,D2219&lt;'Дашборд'!$C$56,'Данные'!E2219&gt;='Дашборд'!$C$53,'Данные'!L2219&lt;&gt;"Да"),"Да","Нет")</x:f>
        <x:v>Нет</x:v>
      </x:c>
      <x:c r="O2219" s="1" t="str">
        <x:f>'Данные'!L2219</x:f>
        <x:v>Нет</x:v>
      </x:c>
    </x:row>
    <x:row r="2220">
      <x:c r="A2220" s="1" t="str">
        <x:f>'Данные'!A2220</x:f>
        <x:v>250793281</x:v>
      </x:c>
      <x:c r="B2220" s="1" t="str">
        <x:f>'Данные'!B2220</x:f>
        <x:v>svitshotgirl/темно-синий</x:v>
      </x:c>
      <x:c r="C2220" s="8" t="n">
        <x:f>'Данные'!G2220</x:f>
        <x:v>0</x:v>
      </x:c>
      <x:c r="D2220" s="15" t="n">
        <x:f>C2220/SUM($C$5:$C$2477)</x:f>
        <x:v>0</x:v>
      </x:c>
      <x:c r="E2220" s="15" t="n">
        <x:f>SUM($D$5:D2220)</x:f>
        <x:v>1.0000000000000036</x:v>
      </x:c>
      <x:c r="F2220" s="1" t="str">
        <x:f>IF(C2220&lt;=0,"C",IF(E2220-D2220&lt;'Дашборд'!$C$49,"A",IF(E2220-D2220&lt;'Дашборд'!$C$50,"B","C")))</x:f>
        <x:v>C</x:v>
      </x:c>
      <x:c r="G2220" s="8" t="n">
        <x:f>'Данные'!F2220</x:f>
        <x:v>0</x:v>
      </x:c>
      <x:c r="H2220" s="8" t="n">
        <x:f>SUM('Данные'!H2220:I2220)</x:f>
        <x:v>0</x:v>
      </x:c>
      <x:c r="I2220" s="16" t="str">
        <x:f>IF(H2220&gt;0,G2220/H2220,"n.a.")</x:f>
        <x:v>n.a.</x:v>
      </x:c>
      <x:c r="J2220" s="10" t="n">
        <x:f>IF('Данные'!E2220&gt;0,G2220/'Данные'!E2220,"n.a.")</x:f>
        <x:v>0</x:v>
      </x:c>
      <x:c r="K2220" s="1" t="str">
        <x:f>IF(G2220&gt;='Дашборд'!$C$51,"X","Z")</x:f>
        <x:v>Z</x:v>
      </x:c>
      <x:c r="L2220" s="1" t="str">
        <x:f>IF(H2220=0,IF(G2220&gt;0,"Нет остатка","Нет спроса"),IF(I2220&gt;='Дашборд'!$C$52,"Быстрый","Медленный"))</x:f>
        <x:v>Нет спроса</x:v>
      </x:c>
      <x:c r="M2220" s="1" t="str">
        <x:f>IF('Данные'!E2220&lt;'Дашборд'!$C$53,"Мало трафика",IF(J2220&lt;'Дашборд'!$C$9*'Дашборд'!$C$54,"Да","Нет"))</x:f>
        <x:v>Мало трафика</x:v>
      </x:c>
      <x:c r="N2220" s="1" t="str">
        <x:f>IF(AND('Данные'!D2220&gt;='Дашборд'!$C$55,D2220&lt;'Дашборд'!$C$56,'Данные'!E2220&gt;='Дашборд'!$C$53,'Данные'!L2220&lt;&gt;"Да"),"Да","Нет")</x:f>
        <x:v>Нет</x:v>
      </x:c>
      <x:c r="O2220" s="1" t="str">
        <x:f>'Данные'!L2220</x:f>
        <x:v>Нет</x:v>
      </x:c>
    </x:row>
    <x:row r="2221">
      <x:c r="A2221" s="1" t="str">
        <x:f>'Данные'!A2221</x:f>
        <x:v>250793301</x:v>
      </x:c>
      <x:c r="B2221" s="1" t="str">
        <x:f>'Данные'!B2221</x:f>
        <x:v>svitshotgirl/розовый</x:v>
      </x:c>
      <x:c r="C2221" s="8" t="n">
        <x:f>'Данные'!G2221</x:f>
        <x:v>0</x:v>
      </x:c>
      <x:c r="D2221" s="15" t="n">
        <x:f>C2221/SUM($C$5:$C$2477)</x:f>
        <x:v>0</x:v>
      </x:c>
      <x:c r="E2221" s="15" t="n">
        <x:f>SUM($D$5:D2221)</x:f>
        <x:v>1.0000000000000036</x:v>
      </x:c>
      <x:c r="F2221" s="1" t="str">
        <x:f>IF(C2221&lt;=0,"C",IF(E2221-D2221&lt;'Дашборд'!$C$49,"A",IF(E2221-D2221&lt;'Дашборд'!$C$50,"B","C")))</x:f>
        <x:v>C</x:v>
      </x:c>
      <x:c r="G2221" s="8" t="n">
        <x:f>'Данные'!F2221</x:f>
        <x:v>0</x:v>
      </x:c>
      <x:c r="H2221" s="8" t="n">
        <x:f>SUM('Данные'!H2221:I2221)</x:f>
        <x:v>0</x:v>
      </x:c>
      <x:c r="I2221" s="16" t="str">
        <x:f>IF(H2221&gt;0,G2221/H2221,"n.a.")</x:f>
        <x:v>n.a.</x:v>
      </x:c>
      <x:c r="J2221" s="10" t="n">
        <x:f>IF('Данные'!E2221&gt;0,G2221/'Данные'!E2221,"n.a.")</x:f>
        <x:v>0</x:v>
      </x:c>
      <x:c r="K2221" s="1" t="str">
        <x:f>IF(G2221&gt;='Дашборд'!$C$51,"X","Z")</x:f>
        <x:v>Z</x:v>
      </x:c>
      <x:c r="L2221" s="1" t="str">
        <x:f>IF(H2221=0,IF(G2221&gt;0,"Нет остатка","Нет спроса"),IF(I2221&gt;='Дашборд'!$C$52,"Быстрый","Медленный"))</x:f>
        <x:v>Нет спроса</x:v>
      </x:c>
      <x:c r="M2221" s="1" t="str">
        <x:f>IF('Данные'!E2221&lt;'Дашборд'!$C$53,"Мало трафика",IF(J2221&lt;'Дашборд'!$C$9*'Дашборд'!$C$54,"Да","Нет"))</x:f>
        <x:v>Мало трафика</x:v>
      </x:c>
      <x:c r="N2221" s="1" t="str">
        <x:f>IF(AND('Данные'!D2221&gt;='Дашборд'!$C$55,D2221&lt;'Дашборд'!$C$56,'Данные'!E2221&gt;='Дашборд'!$C$53,'Данные'!L2221&lt;&gt;"Да"),"Да","Нет")</x:f>
        <x:v>Нет</x:v>
      </x:c>
      <x:c r="O2221" s="1" t="str">
        <x:f>'Данные'!L2221</x:f>
        <x:v>Нет</x:v>
      </x:c>
    </x:row>
    <x:row r="2222">
      <x:c r="A2222" s="1" t="str">
        <x:f>'Данные'!A2222</x:f>
        <x:v>250793337</x:v>
      </x:c>
      <x:c r="B2222" s="1" t="str">
        <x:f>'Данные'!B2222</x:f>
        <x:v>svitshotgirl/черный</x:v>
      </x:c>
      <x:c r="C2222" s="8" t="n">
        <x:f>'Данные'!G2222</x:f>
        <x:v>0</x:v>
      </x:c>
      <x:c r="D2222" s="15" t="n">
        <x:f>C2222/SUM($C$5:$C$2477)</x:f>
        <x:v>0</x:v>
      </x:c>
      <x:c r="E2222" s="15" t="n">
        <x:f>SUM($D$5:D2222)</x:f>
        <x:v>1.0000000000000036</x:v>
      </x:c>
      <x:c r="F2222" s="1" t="str">
        <x:f>IF(C2222&lt;=0,"C",IF(E2222-D2222&lt;'Дашборд'!$C$49,"A",IF(E2222-D2222&lt;'Дашборд'!$C$50,"B","C")))</x:f>
        <x:v>C</x:v>
      </x:c>
      <x:c r="G2222" s="8" t="n">
        <x:f>'Данные'!F2222</x:f>
        <x:v>0</x:v>
      </x:c>
      <x:c r="H2222" s="8" t="n">
        <x:f>SUM('Данные'!H2222:I2222)</x:f>
        <x:v>0</x:v>
      </x:c>
      <x:c r="I2222" s="16" t="str">
        <x:f>IF(H2222&gt;0,G2222/H2222,"n.a.")</x:f>
        <x:v>n.a.</x:v>
      </x:c>
      <x:c r="J2222" s="10" t="n">
        <x:f>IF('Данные'!E2222&gt;0,G2222/'Данные'!E2222,"n.a.")</x:f>
        <x:v>0</x:v>
      </x:c>
      <x:c r="K2222" s="1" t="str">
        <x:f>IF(G2222&gt;='Дашборд'!$C$51,"X","Z")</x:f>
        <x:v>Z</x:v>
      </x:c>
      <x:c r="L2222" s="1" t="str">
        <x:f>IF(H2222=0,IF(G2222&gt;0,"Нет остатка","Нет спроса"),IF(I2222&gt;='Дашборд'!$C$52,"Быстрый","Медленный"))</x:f>
        <x:v>Нет спроса</x:v>
      </x:c>
      <x:c r="M2222" s="1" t="str">
        <x:f>IF('Данные'!E2222&lt;'Дашборд'!$C$53,"Мало трафика",IF(J2222&lt;'Дашборд'!$C$9*'Дашборд'!$C$54,"Да","Нет"))</x:f>
        <x:v>Мало трафика</x:v>
      </x:c>
      <x:c r="N2222" s="1" t="str">
        <x:f>IF(AND('Данные'!D2222&gt;='Дашборд'!$C$55,D2222&lt;'Дашборд'!$C$56,'Данные'!E2222&gt;='Дашборд'!$C$53,'Данные'!L2222&lt;&gt;"Да"),"Да","Нет")</x:f>
        <x:v>Нет</x:v>
      </x:c>
      <x:c r="O2222" s="1" t="str">
        <x:f>'Данные'!L2222</x:f>
        <x:v>Нет</x:v>
      </x:c>
    </x:row>
    <x:row r="2223">
      <x:c r="A2223" s="1" t="str">
        <x:f>'Данные'!A2223</x:f>
        <x:v>250793379</x:v>
      </x:c>
      <x:c r="B2223" s="1" t="str">
        <x:f>'Данные'!B2223</x:f>
        <x:v>svitshotgirl/темно-серый</x:v>
      </x:c>
      <x:c r="C2223" s="8" t="n">
        <x:f>'Данные'!G2223</x:f>
        <x:v>0</x:v>
      </x:c>
      <x:c r="D2223" s="15" t="n">
        <x:f>C2223/SUM($C$5:$C$2477)</x:f>
        <x:v>0</x:v>
      </x:c>
      <x:c r="E2223" s="15" t="n">
        <x:f>SUM($D$5:D2223)</x:f>
        <x:v>1.0000000000000036</x:v>
      </x:c>
      <x:c r="F2223" s="1" t="str">
        <x:f>IF(C2223&lt;=0,"C",IF(E2223-D2223&lt;'Дашборд'!$C$49,"A",IF(E2223-D2223&lt;'Дашборд'!$C$50,"B","C")))</x:f>
        <x:v>C</x:v>
      </x:c>
      <x:c r="G2223" s="8" t="n">
        <x:f>'Данные'!F2223</x:f>
        <x:v>0</x:v>
      </x:c>
      <x:c r="H2223" s="8" t="n">
        <x:f>SUM('Данные'!H2223:I2223)</x:f>
        <x:v>0</x:v>
      </x:c>
      <x:c r="I2223" s="16" t="str">
        <x:f>IF(H2223&gt;0,G2223/H2223,"n.a.")</x:f>
        <x:v>n.a.</x:v>
      </x:c>
      <x:c r="J2223" s="10" t="n">
        <x:f>IF('Данные'!E2223&gt;0,G2223/'Данные'!E2223,"n.a.")</x:f>
        <x:v>0</x:v>
      </x:c>
      <x:c r="K2223" s="1" t="str">
        <x:f>IF(G2223&gt;='Дашборд'!$C$51,"X","Z")</x:f>
        <x:v>Z</x:v>
      </x:c>
      <x:c r="L2223" s="1" t="str">
        <x:f>IF(H2223=0,IF(G2223&gt;0,"Нет остатка","Нет спроса"),IF(I2223&gt;='Дашборд'!$C$52,"Быстрый","Медленный"))</x:f>
        <x:v>Нет спроса</x:v>
      </x:c>
      <x:c r="M2223" s="1" t="str">
        <x:f>IF('Данные'!E2223&lt;'Дашборд'!$C$53,"Мало трафика",IF(J2223&lt;'Дашборд'!$C$9*'Дашборд'!$C$54,"Да","Нет"))</x:f>
        <x:v>Мало трафика</x:v>
      </x:c>
      <x:c r="N2223" s="1" t="str">
        <x:f>IF(AND('Данные'!D2223&gt;='Дашборд'!$C$55,D2223&lt;'Дашборд'!$C$56,'Данные'!E2223&gt;='Дашборд'!$C$53,'Данные'!L2223&lt;&gt;"Да"),"Да","Нет")</x:f>
        <x:v>Нет</x:v>
      </x:c>
      <x:c r="O2223" s="1" t="str">
        <x:f>'Данные'!L2223</x:f>
        <x:v>Нет</x:v>
      </x:c>
    </x:row>
    <x:row r="2224">
      <x:c r="A2224" s="1" t="str">
        <x:f>'Данные'!A2224</x:f>
        <x:v>250793394</x:v>
      </x:c>
      <x:c r="B2224" s="1" t="str">
        <x:f>'Данные'!B2224</x:f>
        <x:v>svitshotgirl/молочный</x:v>
      </x:c>
      <x:c r="C2224" s="8" t="n">
        <x:f>'Данные'!G2224</x:f>
        <x:v>0</x:v>
      </x:c>
      <x:c r="D2224" s="15" t="n">
        <x:f>C2224/SUM($C$5:$C$2477)</x:f>
        <x:v>0</x:v>
      </x:c>
      <x:c r="E2224" s="15" t="n">
        <x:f>SUM($D$5:D2224)</x:f>
        <x:v>1.0000000000000036</x:v>
      </x:c>
      <x:c r="F2224" s="1" t="str">
        <x:f>IF(C2224&lt;=0,"C",IF(E2224-D2224&lt;'Дашборд'!$C$49,"A",IF(E2224-D2224&lt;'Дашборд'!$C$50,"B","C")))</x:f>
        <x:v>C</x:v>
      </x:c>
      <x:c r="G2224" s="8" t="n">
        <x:f>'Данные'!F2224</x:f>
        <x:v>0</x:v>
      </x:c>
      <x:c r="H2224" s="8" t="n">
        <x:f>SUM('Данные'!H2224:I2224)</x:f>
        <x:v>0</x:v>
      </x:c>
      <x:c r="I2224" s="16" t="str">
        <x:f>IF(H2224&gt;0,G2224/H2224,"n.a.")</x:f>
        <x:v>n.a.</x:v>
      </x:c>
      <x:c r="J2224" s="10" t="n">
        <x:f>IF('Данные'!E2224&gt;0,G2224/'Данные'!E2224,"n.a.")</x:f>
        <x:v>0</x:v>
      </x:c>
      <x:c r="K2224" s="1" t="str">
        <x:f>IF(G2224&gt;='Дашборд'!$C$51,"X","Z")</x:f>
        <x:v>Z</x:v>
      </x:c>
      <x:c r="L2224" s="1" t="str">
        <x:f>IF(H2224=0,IF(G2224&gt;0,"Нет остатка","Нет спроса"),IF(I2224&gt;='Дашборд'!$C$52,"Быстрый","Медленный"))</x:f>
        <x:v>Нет спроса</x:v>
      </x:c>
      <x:c r="M2224" s="1" t="str">
        <x:f>IF('Данные'!E2224&lt;'Дашборд'!$C$53,"Мало трафика",IF(J2224&lt;'Дашборд'!$C$9*'Дашборд'!$C$54,"Да","Нет"))</x:f>
        <x:v>Мало трафика</x:v>
      </x:c>
      <x:c r="N2224" s="1" t="str">
        <x:f>IF(AND('Данные'!D2224&gt;='Дашборд'!$C$55,D2224&lt;'Дашборд'!$C$56,'Данные'!E2224&gt;='Дашборд'!$C$53,'Данные'!L2224&lt;&gt;"Да"),"Да","Нет")</x:f>
        <x:v>Нет</x:v>
      </x:c>
      <x:c r="O2224" s="1" t="str">
        <x:f>'Данные'!L2224</x:f>
        <x:v>Нет</x:v>
      </x:c>
    </x:row>
    <x:row r="2225">
      <x:c r="A2225" s="1" t="str">
        <x:f>'Данные'!A2225</x:f>
        <x:v>250793399</x:v>
      </x:c>
      <x:c r="B2225" s="1" t="str">
        <x:f>'Данные'!B2225</x:f>
        <x:v>svitshotboy/темно-синий</x:v>
      </x:c>
      <x:c r="C2225" s="8" t="n">
        <x:f>'Данные'!G2225</x:f>
        <x:v>0</x:v>
      </x:c>
      <x:c r="D2225" s="15" t="n">
        <x:f>C2225/SUM($C$5:$C$2477)</x:f>
        <x:v>0</x:v>
      </x:c>
      <x:c r="E2225" s="15" t="n">
        <x:f>SUM($D$5:D2225)</x:f>
        <x:v>1.0000000000000036</x:v>
      </x:c>
      <x:c r="F2225" s="1" t="str">
        <x:f>IF(C2225&lt;=0,"C",IF(E2225-D2225&lt;'Дашборд'!$C$49,"A",IF(E2225-D2225&lt;'Дашборд'!$C$50,"B","C")))</x:f>
        <x:v>C</x:v>
      </x:c>
      <x:c r="G2225" s="8" t="n">
        <x:f>'Данные'!F2225</x:f>
        <x:v>0</x:v>
      </x:c>
      <x:c r="H2225" s="8" t="n">
        <x:f>SUM('Данные'!H2225:I2225)</x:f>
        <x:v>0</x:v>
      </x:c>
      <x:c r="I2225" s="16" t="str">
        <x:f>IF(H2225&gt;0,G2225/H2225,"n.a.")</x:f>
        <x:v>n.a.</x:v>
      </x:c>
      <x:c r="J2225" s="10" t="n">
        <x:f>IF('Данные'!E2225&gt;0,G2225/'Данные'!E2225,"n.a.")</x:f>
        <x:v>0</x:v>
      </x:c>
      <x:c r="K2225" s="1" t="str">
        <x:f>IF(G2225&gt;='Дашборд'!$C$51,"X","Z")</x:f>
        <x:v>Z</x:v>
      </x:c>
      <x:c r="L2225" s="1" t="str">
        <x:f>IF(H2225=0,IF(G2225&gt;0,"Нет остатка","Нет спроса"),IF(I2225&gt;='Дашборд'!$C$52,"Быстрый","Медленный"))</x:f>
        <x:v>Нет спроса</x:v>
      </x:c>
      <x:c r="M2225" s="1" t="str">
        <x:f>IF('Данные'!E2225&lt;'Дашборд'!$C$53,"Мало трафика",IF(J2225&lt;'Дашборд'!$C$9*'Дашборд'!$C$54,"Да","Нет"))</x:f>
        <x:v>Мало трафика</x:v>
      </x:c>
      <x:c r="N2225" s="1" t="str">
        <x:f>IF(AND('Данные'!D2225&gt;='Дашборд'!$C$55,D2225&lt;'Дашборд'!$C$56,'Данные'!E2225&gt;='Дашборд'!$C$53,'Данные'!L2225&lt;&gt;"Да"),"Да","Нет")</x:f>
        <x:v>Нет</x:v>
      </x:c>
      <x:c r="O2225" s="1" t="str">
        <x:f>'Данные'!L2225</x:f>
        <x:v>Нет</x:v>
      </x:c>
    </x:row>
    <x:row r="2226">
      <x:c r="A2226" s="1" t="str">
        <x:f>'Данные'!A2226</x:f>
        <x:v>251325339</x:v>
      </x:c>
      <x:c r="B2226" s="1" t="str">
        <x:f>'Данные'!B2226</x:f>
        <x:v>hudicrop/темно-синий</x:v>
      </x:c>
      <x:c r="C2226" s="8" t="n">
        <x:f>'Данные'!G2226</x:f>
        <x:v>0</x:v>
      </x:c>
      <x:c r="D2226" s="15" t="n">
        <x:f>C2226/SUM($C$5:$C$2477)</x:f>
        <x:v>0</x:v>
      </x:c>
      <x:c r="E2226" s="15" t="n">
        <x:f>SUM($D$5:D2226)</x:f>
        <x:v>1.0000000000000036</x:v>
      </x:c>
      <x:c r="F2226" s="1" t="str">
        <x:f>IF(C2226&lt;=0,"C",IF(E2226-D2226&lt;'Дашборд'!$C$49,"A",IF(E2226-D2226&lt;'Дашборд'!$C$50,"B","C")))</x:f>
        <x:v>C</x:v>
      </x:c>
      <x:c r="G2226" s="8" t="n">
        <x:f>'Данные'!F2226</x:f>
        <x:v>0</x:v>
      </x:c>
      <x:c r="H2226" s="8" t="n">
        <x:f>SUM('Данные'!H2226:I2226)</x:f>
        <x:v>0</x:v>
      </x:c>
      <x:c r="I2226" s="16" t="str">
        <x:f>IF(H2226&gt;0,G2226/H2226,"n.a.")</x:f>
        <x:v>n.a.</x:v>
      </x:c>
      <x:c r="J2226" s="10" t="n">
        <x:f>IF('Данные'!E2226&gt;0,G2226/'Данные'!E2226,"n.a.")</x:f>
        <x:v>0</x:v>
      </x:c>
      <x:c r="K2226" s="1" t="str">
        <x:f>IF(G2226&gt;='Дашборд'!$C$51,"X","Z")</x:f>
        <x:v>Z</x:v>
      </x:c>
      <x:c r="L2226" s="1" t="str">
        <x:f>IF(H2226=0,IF(G2226&gt;0,"Нет остатка","Нет спроса"),IF(I2226&gt;='Дашборд'!$C$52,"Быстрый","Медленный"))</x:f>
        <x:v>Нет спроса</x:v>
      </x:c>
      <x:c r="M2226" s="1" t="str">
        <x:f>IF('Данные'!E2226&lt;'Дашборд'!$C$53,"Мало трафика",IF(J2226&lt;'Дашборд'!$C$9*'Дашборд'!$C$54,"Да","Нет"))</x:f>
        <x:v>Мало трафика</x:v>
      </x:c>
      <x:c r="N2226" s="1" t="str">
        <x:f>IF(AND('Данные'!D2226&gt;='Дашборд'!$C$55,D2226&lt;'Дашборд'!$C$56,'Данные'!E2226&gt;='Дашборд'!$C$53,'Данные'!L2226&lt;&gt;"Да"),"Да","Нет")</x:f>
        <x:v>Нет</x:v>
      </x:c>
      <x:c r="O2226" s="1" t="str">
        <x:f>'Данные'!L2226</x:f>
        <x:v>Нет</x:v>
      </x:c>
    </x:row>
    <x:row r="2227">
      <x:c r="A2227" s="1" t="str">
        <x:f>'Данные'!A2227</x:f>
        <x:v>251774343</x:v>
      </x:c>
      <x:c r="B2227" s="1" t="str">
        <x:f>'Данные'!B2227</x:f>
        <x:v>hudicrop/серый</x:v>
      </x:c>
      <x:c r="C2227" s="8" t="n">
        <x:f>'Данные'!G2227</x:f>
        <x:v>0</x:v>
      </x:c>
      <x:c r="D2227" s="15" t="n">
        <x:f>C2227/SUM($C$5:$C$2477)</x:f>
        <x:v>0</x:v>
      </x:c>
      <x:c r="E2227" s="15" t="n">
        <x:f>SUM($D$5:D2227)</x:f>
        <x:v>1.0000000000000036</x:v>
      </x:c>
      <x:c r="F2227" s="1" t="str">
        <x:f>IF(C2227&lt;=0,"C",IF(E2227-D2227&lt;'Дашборд'!$C$49,"A",IF(E2227-D2227&lt;'Дашборд'!$C$50,"B","C")))</x:f>
        <x:v>C</x:v>
      </x:c>
      <x:c r="G2227" s="8" t="n">
        <x:f>'Данные'!F2227</x:f>
        <x:v>0</x:v>
      </x:c>
      <x:c r="H2227" s="8" t="n">
        <x:f>SUM('Данные'!H2227:I2227)</x:f>
        <x:v>0</x:v>
      </x:c>
      <x:c r="I2227" s="16" t="str">
        <x:f>IF(H2227&gt;0,G2227/H2227,"n.a.")</x:f>
        <x:v>n.a.</x:v>
      </x:c>
      <x:c r="J2227" s="10" t="n">
        <x:f>IF('Данные'!E2227&gt;0,G2227/'Данные'!E2227,"n.a.")</x:f>
        <x:v>0</x:v>
      </x:c>
      <x:c r="K2227" s="1" t="str">
        <x:f>IF(G2227&gt;='Дашборд'!$C$51,"X","Z")</x:f>
        <x:v>Z</x:v>
      </x:c>
      <x:c r="L2227" s="1" t="str">
        <x:f>IF(H2227=0,IF(G2227&gt;0,"Нет остатка","Нет спроса"),IF(I2227&gt;='Дашборд'!$C$52,"Быстрый","Медленный"))</x:f>
        <x:v>Нет спроса</x:v>
      </x:c>
      <x:c r="M2227" s="1" t="str">
        <x:f>IF('Данные'!E2227&lt;'Дашборд'!$C$53,"Мало трафика",IF(J2227&lt;'Дашборд'!$C$9*'Дашборд'!$C$54,"Да","Нет"))</x:f>
        <x:v>Мало трафика</x:v>
      </x:c>
      <x:c r="N2227" s="1" t="str">
        <x:f>IF(AND('Данные'!D2227&gt;='Дашборд'!$C$55,D2227&lt;'Дашборд'!$C$56,'Данные'!E2227&gt;='Дашборд'!$C$53,'Данные'!L2227&lt;&gt;"Да"),"Да","Нет")</x:f>
        <x:v>Нет</x:v>
      </x:c>
      <x:c r="O2227" s="1" t="str">
        <x:f>'Данные'!L2227</x:f>
        <x:v>Нет</x:v>
      </x:c>
    </x:row>
    <x:row r="2228">
      <x:c r="A2228" s="1" t="str">
        <x:f>'Данные'!A2228</x:f>
        <x:v>253281926</x:v>
      </x:c>
      <x:c r="B2228" s="1" t="str">
        <x:f>'Данные'!B2228</x:f>
        <x:v>hudiprint/Tokyo-198/молочный</x:v>
      </x:c>
      <x:c r="C2228" s="8" t="n">
        <x:f>'Данные'!G2228</x:f>
        <x:v>0</x:v>
      </x:c>
      <x:c r="D2228" s="15" t="n">
        <x:f>C2228/SUM($C$5:$C$2477)</x:f>
        <x:v>0</x:v>
      </x:c>
      <x:c r="E2228" s="15" t="n">
        <x:f>SUM($D$5:D2228)</x:f>
        <x:v>1.0000000000000036</x:v>
      </x:c>
      <x:c r="F2228" s="1" t="str">
        <x:f>IF(C2228&lt;=0,"C",IF(E2228-D2228&lt;'Дашборд'!$C$49,"A",IF(E2228-D2228&lt;'Дашборд'!$C$50,"B","C")))</x:f>
        <x:v>C</x:v>
      </x:c>
      <x:c r="G2228" s="8" t="n">
        <x:f>'Данные'!F2228</x:f>
        <x:v>0</x:v>
      </x:c>
      <x:c r="H2228" s="8" t="n">
        <x:f>SUM('Данные'!H2228:I2228)</x:f>
        <x:v>0</x:v>
      </x:c>
      <x:c r="I2228" s="16" t="str">
        <x:f>IF(H2228&gt;0,G2228/H2228,"n.a.")</x:f>
        <x:v>n.a.</x:v>
      </x:c>
      <x:c r="J2228" s="10" t="n">
        <x:f>IF('Данные'!E2228&gt;0,G2228/'Данные'!E2228,"n.a.")</x:f>
        <x:v>0</x:v>
      </x:c>
      <x:c r="K2228" s="1" t="str">
        <x:f>IF(G2228&gt;='Дашборд'!$C$51,"X","Z")</x:f>
        <x:v>Z</x:v>
      </x:c>
      <x:c r="L2228" s="1" t="str">
        <x:f>IF(H2228=0,IF(G2228&gt;0,"Нет остатка","Нет спроса"),IF(I2228&gt;='Дашборд'!$C$52,"Быстрый","Медленный"))</x:f>
        <x:v>Нет спроса</x:v>
      </x:c>
      <x:c r="M2228" s="1" t="str">
        <x:f>IF('Данные'!E2228&lt;'Дашборд'!$C$53,"Мало трафика",IF(J2228&lt;'Дашборд'!$C$9*'Дашборд'!$C$54,"Да","Нет"))</x:f>
        <x:v>Мало трафика</x:v>
      </x:c>
      <x:c r="N2228" s="1" t="str">
        <x:f>IF(AND('Данные'!D2228&gt;='Дашборд'!$C$55,D2228&lt;'Дашборд'!$C$56,'Данные'!E2228&gt;='Дашборд'!$C$53,'Данные'!L2228&lt;&gt;"Да"),"Да","Нет")</x:f>
        <x:v>Нет</x:v>
      </x:c>
      <x:c r="O2228" s="1" t="str">
        <x:f>'Данные'!L2228</x:f>
        <x:v>Нет</x:v>
      </x:c>
    </x:row>
    <x:row r="2229">
      <x:c r="A2229" s="1" t="str">
        <x:f>'Данные'!A2229</x:f>
        <x:v>253890257</x:v>
      </x:c>
      <x:c r="B2229" s="1" t="str">
        <x:f>'Данные'!B2229</x:f>
        <x:v>hudiprint/Клянусь-204/серыймеланж2</x:v>
      </x:c>
      <x:c r="C2229" s="8" t="n">
        <x:f>'Данные'!G2229</x:f>
        <x:v>0</x:v>
      </x:c>
      <x:c r="D2229" s="15" t="n">
        <x:f>C2229/SUM($C$5:$C$2477)</x:f>
        <x:v>0</x:v>
      </x:c>
      <x:c r="E2229" s="15" t="n">
        <x:f>SUM($D$5:D2229)</x:f>
        <x:v>1.0000000000000036</x:v>
      </x:c>
      <x:c r="F2229" s="1" t="str">
        <x:f>IF(C2229&lt;=0,"C",IF(E2229-D2229&lt;'Дашборд'!$C$49,"A",IF(E2229-D2229&lt;'Дашборд'!$C$50,"B","C")))</x:f>
        <x:v>C</x:v>
      </x:c>
      <x:c r="G2229" s="8" t="n">
        <x:f>'Данные'!F2229</x:f>
        <x:v>0</x:v>
      </x:c>
      <x:c r="H2229" s="8" t="n">
        <x:f>SUM('Данные'!H2229:I2229)</x:f>
        <x:v>0</x:v>
      </x:c>
      <x:c r="I2229" s="16" t="str">
        <x:f>IF(H2229&gt;0,G2229/H2229,"n.a.")</x:f>
        <x:v>n.a.</x:v>
      </x:c>
      <x:c r="J2229" s="10" t="n">
        <x:f>IF('Данные'!E2229&gt;0,G2229/'Данные'!E2229,"n.a.")</x:f>
        <x:v>0</x:v>
      </x:c>
      <x:c r="K2229" s="1" t="str">
        <x:f>IF(G2229&gt;='Дашборд'!$C$51,"X","Z")</x:f>
        <x:v>Z</x:v>
      </x:c>
      <x:c r="L2229" s="1" t="str">
        <x:f>IF(H2229=0,IF(G2229&gt;0,"Нет остатка","Нет спроса"),IF(I2229&gt;='Дашборд'!$C$52,"Быстрый","Медленный"))</x:f>
        <x:v>Нет спроса</x:v>
      </x:c>
      <x:c r="M2229" s="1" t="str">
        <x:f>IF('Данные'!E2229&lt;'Дашборд'!$C$53,"Мало трафика",IF(J2229&lt;'Дашборд'!$C$9*'Дашборд'!$C$54,"Да","Нет"))</x:f>
        <x:v>Мало трафика</x:v>
      </x:c>
      <x:c r="N2229" s="1" t="str">
        <x:f>IF(AND('Данные'!D2229&gt;='Дашборд'!$C$55,D2229&lt;'Дашборд'!$C$56,'Данные'!E2229&gt;='Дашборд'!$C$53,'Данные'!L2229&lt;&gt;"Да"),"Да","Нет")</x:f>
        <x:v>Нет</x:v>
      </x:c>
      <x:c r="O2229" s="1" t="str">
        <x:f>'Данные'!L2229</x:f>
        <x:v>Нет</x:v>
      </x:c>
    </x:row>
    <x:row r="2230">
      <x:c r="A2230" s="1" t="str">
        <x:f>'Данные'!A2230</x:f>
        <x:v>255445099</x:v>
      </x:c>
      <x:c r="B2230" s="1" t="str">
        <x:f>'Данные'!B2230</x:f>
        <x:v>svitshotprint/Curve-197/голубой</x:v>
      </x:c>
      <x:c r="C2230" s="8" t="n">
        <x:f>'Данные'!G2230</x:f>
        <x:v>0</x:v>
      </x:c>
      <x:c r="D2230" s="15" t="n">
        <x:f>C2230/SUM($C$5:$C$2477)</x:f>
        <x:v>0</x:v>
      </x:c>
      <x:c r="E2230" s="15" t="n">
        <x:f>SUM($D$5:D2230)</x:f>
        <x:v>1.0000000000000036</x:v>
      </x:c>
      <x:c r="F2230" s="1" t="str">
        <x:f>IF(C2230&lt;=0,"C",IF(E2230-D2230&lt;'Дашборд'!$C$49,"A",IF(E2230-D2230&lt;'Дашборд'!$C$50,"B","C")))</x:f>
        <x:v>C</x:v>
      </x:c>
      <x:c r="G2230" s="8" t="n">
        <x:f>'Данные'!F2230</x:f>
        <x:v>0</x:v>
      </x:c>
      <x:c r="H2230" s="8" t="n">
        <x:f>SUM('Данные'!H2230:I2230)</x:f>
        <x:v>0</x:v>
      </x:c>
      <x:c r="I2230" s="16" t="str">
        <x:f>IF(H2230&gt;0,G2230/H2230,"n.a.")</x:f>
        <x:v>n.a.</x:v>
      </x:c>
      <x:c r="J2230" s="10" t="n">
        <x:f>IF('Данные'!E2230&gt;0,G2230/'Данные'!E2230,"n.a.")</x:f>
        <x:v>0</x:v>
      </x:c>
      <x:c r="K2230" s="1" t="str">
        <x:f>IF(G2230&gt;='Дашборд'!$C$51,"X","Z")</x:f>
        <x:v>Z</x:v>
      </x:c>
      <x:c r="L2230" s="1" t="str">
        <x:f>IF(H2230=0,IF(G2230&gt;0,"Нет остатка","Нет спроса"),IF(I2230&gt;='Дашборд'!$C$52,"Быстрый","Медленный"))</x:f>
        <x:v>Нет спроса</x:v>
      </x:c>
      <x:c r="M2230" s="1" t="str">
        <x:f>IF('Данные'!E2230&lt;'Дашборд'!$C$53,"Мало трафика",IF(J2230&lt;'Дашборд'!$C$9*'Дашборд'!$C$54,"Да","Нет"))</x:f>
        <x:v>Мало трафика</x:v>
      </x:c>
      <x:c r="N2230" s="1" t="str">
        <x:f>IF(AND('Данные'!D2230&gt;='Дашборд'!$C$55,D2230&lt;'Дашборд'!$C$56,'Данные'!E2230&gt;='Дашборд'!$C$53,'Данные'!L2230&lt;&gt;"Да"),"Да","Нет")</x:f>
        <x:v>Нет</x:v>
      </x:c>
      <x:c r="O2230" s="1" t="str">
        <x:f>'Данные'!L2230</x:f>
        <x:v>Нет</x:v>
      </x:c>
    </x:row>
    <x:row r="2231">
      <x:c r="A2231" s="1" t="str">
        <x:f>'Данные'!A2231</x:f>
        <x:v>256315189</x:v>
      </x:c>
      <x:c r="B2231" s="1" t="str">
        <x:f>'Данные'!B2231</x:f>
        <x:v>bazahlop/какао</x:v>
      </x:c>
      <x:c r="C2231" s="8" t="n">
        <x:f>'Данные'!G2231</x:f>
        <x:v>0</x:v>
      </x:c>
      <x:c r="D2231" s="15" t="n">
        <x:f>C2231/SUM($C$5:$C$2477)</x:f>
        <x:v>0</x:v>
      </x:c>
      <x:c r="E2231" s="15" t="n">
        <x:f>SUM($D$5:D2231)</x:f>
        <x:v>1.0000000000000036</x:v>
      </x:c>
      <x:c r="F2231" s="1" t="str">
        <x:f>IF(C2231&lt;=0,"C",IF(E2231-D2231&lt;'Дашборд'!$C$49,"A",IF(E2231-D2231&lt;'Дашборд'!$C$50,"B","C")))</x:f>
        <x:v>C</x:v>
      </x:c>
      <x:c r="G2231" s="8" t="n">
        <x:f>'Данные'!F2231</x:f>
        <x:v>0</x:v>
      </x:c>
      <x:c r="H2231" s="8" t="n">
        <x:f>SUM('Данные'!H2231:I2231)</x:f>
        <x:v>219</x:v>
      </x:c>
      <x:c r="I2231" s="16" t="n">
        <x:f>IF(H2231&gt;0,G2231/H2231,"n.a.")</x:f>
        <x:v>0</x:v>
      </x:c>
      <x:c r="J2231" s="10" t="n">
        <x:f>IF('Данные'!E2231&gt;0,G2231/'Данные'!E2231,"n.a.")</x:f>
        <x:v>0</x:v>
      </x:c>
      <x:c r="K2231" s="1" t="str">
        <x:f>IF(G2231&gt;='Дашборд'!$C$51,"X","Z")</x:f>
        <x:v>Z</x:v>
      </x:c>
      <x:c r="L2231" s="1" t="str">
        <x:f>IF(H2231=0,IF(G2231&gt;0,"Нет остатка","Нет спроса"),IF(I2231&gt;='Дашборд'!$C$52,"Быстрый","Медленный"))</x:f>
        <x:v>Медленный</x:v>
      </x:c>
      <x:c r="M2231" s="1" t="str">
        <x:f>IF('Данные'!E2231&lt;'Дашборд'!$C$53,"Мало трафика",IF(J2231&lt;'Дашборд'!$C$9*'Дашборд'!$C$54,"Да","Нет"))</x:f>
        <x:v>Да</x:v>
      </x:c>
      <x:c r="N2231" s="1" t="str">
        <x:f>IF(AND('Данные'!D2231&gt;='Дашборд'!$C$55,D2231&lt;'Дашборд'!$C$56,'Данные'!E2231&gt;='Дашборд'!$C$53,'Данные'!L2231&lt;&gt;"Да"),"Да","Нет")</x:f>
        <x:v>Нет</x:v>
      </x:c>
      <x:c r="O2231" s="1" t="str">
        <x:f>'Данные'!L2231</x:f>
        <x:v>Нет</x:v>
      </x:c>
    </x:row>
    <x:row r="2232">
      <x:c r="A2232" s="1" t="str">
        <x:f>'Данные'!A2232</x:f>
        <x:v>256323214</x:v>
      </x:c>
      <x:c r="B2232" s="1" t="str">
        <x:f>'Данные'!B2232</x:f>
        <x:v>futhlopmanover/синий</x:v>
      </x:c>
      <x:c r="C2232" s="8" t="n">
        <x:f>'Данные'!G2232</x:f>
        <x:v>0</x:v>
      </x:c>
      <x:c r="D2232" s="15" t="n">
        <x:f>C2232/SUM($C$5:$C$2477)</x:f>
        <x:v>0</x:v>
      </x:c>
      <x:c r="E2232" s="15" t="n">
        <x:f>SUM($D$5:D2232)</x:f>
        <x:v>1.0000000000000036</x:v>
      </x:c>
      <x:c r="F2232" s="1" t="str">
        <x:f>IF(C2232&lt;=0,"C",IF(E2232-D2232&lt;'Дашборд'!$C$49,"A",IF(E2232-D2232&lt;'Дашборд'!$C$50,"B","C")))</x:f>
        <x:v>C</x:v>
      </x:c>
      <x:c r="G2232" s="8" t="n">
        <x:f>'Данные'!F2232</x:f>
        <x:v>1</x:v>
      </x:c>
      <x:c r="H2232" s="8" t="n">
        <x:f>SUM('Данные'!H2232:I2232)</x:f>
        <x:v>0</x:v>
      </x:c>
      <x:c r="I2232" s="16" t="str">
        <x:f>IF(H2232&gt;0,G2232/H2232,"n.a.")</x:f>
        <x:v>n.a.</x:v>
      </x:c>
      <x:c r="J2232" s="10" t="n">
        <x:f>IF('Данные'!E2232&gt;0,G2232/'Данные'!E2232,"n.a.")</x:f>
        <x:v>0.00018096272167933406</x:v>
      </x:c>
      <x:c r="K2232" s="1" t="str">
        <x:f>IF(G2232&gt;='Дашборд'!$C$51,"X","Z")</x:f>
        <x:v>Z</x:v>
      </x:c>
      <x:c r="L2232" s="1" t="str">
        <x:f>IF(H2232=0,IF(G2232&gt;0,"Нет остатка","Нет спроса"),IF(I2232&gt;='Дашборд'!$C$52,"Быстрый","Медленный"))</x:f>
        <x:v>Нет остатка</x:v>
      </x:c>
      <x:c r="M2232" s="1" t="str">
        <x:f>IF('Данные'!E2232&lt;'Дашборд'!$C$53,"Мало трафика",IF(J2232&lt;'Дашборд'!$C$9*'Дашборд'!$C$54,"Да","Нет"))</x:f>
        <x:v>Да</x:v>
      </x:c>
      <x:c r="N2232" s="1" t="str">
        <x:f>IF(AND('Данные'!D2232&gt;='Дашборд'!$C$55,D2232&lt;'Дашборд'!$C$56,'Данные'!E2232&gt;='Дашборд'!$C$53,'Данные'!L2232&lt;&gt;"Да"),"Да","Нет")</x:f>
        <x:v>Нет</x:v>
      </x:c>
      <x:c r="O2232" s="1" t="str">
        <x:f>'Данные'!L2232</x:f>
        <x:v>Нет</x:v>
      </x:c>
    </x:row>
    <x:row r="2233">
      <x:c r="A2233" s="1" t="str">
        <x:f>'Данные'!A2233</x:f>
        <x:v>259016532</x:v>
      </x:c>
      <x:c r="B2233" s="1" t="str">
        <x:f>'Данные'!B2233</x:f>
        <x:v>hudicrop/фиолетовый</x:v>
      </x:c>
      <x:c r="C2233" s="8" t="n">
        <x:f>'Данные'!G2233</x:f>
        <x:v>0</x:v>
      </x:c>
      <x:c r="D2233" s="15" t="n">
        <x:f>C2233/SUM($C$5:$C$2477)</x:f>
        <x:v>0</x:v>
      </x:c>
      <x:c r="E2233" s="15" t="n">
        <x:f>SUM($D$5:D2233)</x:f>
        <x:v>1.0000000000000036</x:v>
      </x:c>
      <x:c r="F2233" s="1" t="str">
        <x:f>IF(C2233&lt;=0,"C",IF(E2233-D2233&lt;'Дашборд'!$C$49,"A",IF(E2233-D2233&lt;'Дашборд'!$C$50,"B","C")))</x:f>
        <x:v>C</x:v>
      </x:c>
      <x:c r="G2233" s="8" t="n">
        <x:f>'Данные'!F2233</x:f>
        <x:v>0</x:v>
      </x:c>
      <x:c r="H2233" s="8" t="n">
        <x:f>SUM('Данные'!H2233:I2233)</x:f>
        <x:v>0</x:v>
      </x:c>
      <x:c r="I2233" s="16" t="str">
        <x:f>IF(H2233&gt;0,G2233/H2233,"n.a.")</x:f>
        <x:v>n.a.</x:v>
      </x:c>
      <x:c r="J2233" s="10" t="n">
        <x:f>IF('Данные'!E2233&gt;0,G2233/'Данные'!E2233,"n.a.")</x:f>
        <x:v>0</x:v>
      </x:c>
      <x:c r="K2233" s="1" t="str">
        <x:f>IF(G2233&gt;='Дашборд'!$C$51,"X","Z")</x:f>
        <x:v>Z</x:v>
      </x:c>
      <x:c r="L2233" s="1" t="str">
        <x:f>IF(H2233=0,IF(G2233&gt;0,"Нет остатка","Нет спроса"),IF(I2233&gt;='Дашборд'!$C$52,"Быстрый","Медленный"))</x:f>
        <x:v>Нет спроса</x:v>
      </x:c>
      <x:c r="M2233" s="1" t="str">
        <x:f>IF('Данные'!E2233&lt;'Дашборд'!$C$53,"Мало трафика",IF(J2233&lt;'Дашборд'!$C$9*'Дашборд'!$C$54,"Да","Нет"))</x:f>
        <x:v>Мало трафика</x:v>
      </x:c>
      <x:c r="N2233" s="1" t="str">
        <x:f>IF(AND('Данные'!D2233&gt;='Дашборд'!$C$55,D2233&lt;'Дашборд'!$C$56,'Данные'!E2233&gt;='Дашборд'!$C$53,'Данные'!L2233&lt;&gt;"Да"),"Да","Нет")</x:f>
        <x:v>Нет</x:v>
      </x:c>
      <x:c r="O2233" s="1" t="str">
        <x:f>'Данные'!L2233</x:f>
        <x:v>Нет</x:v>
      </x:c>
    </x:row>
    <x:row r="2234">
      <x:c r="A2234" s="1" t="str">
        <x:f>'Данные'!A2234</x:f>
        <x:v>26129348</x:v>
      </x:c>
      <x:c r="B2234" s="1" t="str">
        <x:f>'Данные'!B2234</x:f>
        <x:v>futbolka/дымка</x:v>
      </x:c>
      <x:c r="C2234" s="8" t="n">
        <x:f>'Данные'!G2234</x:f>
        <x:v>0</x:v>
      </x:c>
      <x:c r="D2234" s="15" t="n">
        <x:f>C2234/SUM($C$5:$C$2477)</x:f>
        <x:v>0</x:v>
      </x:c>
      <x:c r="E2234" s="15" t="n">
        <x:f>SUM($D$5:D2234)</x:f>
        <x:v>1.0000000000000036</x:v>
      </x:c>
      <x:c r="F2234" s="1" t="str">
        <x:f>IF(C2234&lt;=0,"C",IF(E2234-D2234&lt;'Дашборд'!$C$49,"A",IF(E2234-D2234&lt;'Дашборд'!$C$50,"B","C")))</x:f>
        <x:v>C</x:v>
      </x:c>
      <x:c r="G2234" s="8" t="n">
        <x:f>'Данные'!F2234</x:f>
        <x:v>0</x:v>
      </x:c>
      <x:c r="H2234" s="8" t="n">
        <x:f>SUM('Данные'!H2234:I2234)</x:f>
        <x:v>0</x:v>
      </x:c>
      <x:c r="I2234" s="16" t="str">
        <x:f>IF(H2234&gt;0,G2234/H2234,"n.a.")</x:f>
        <x:v>n.a.</x:v>
      </x:c>
      <x:c r="J2234" s="10" t="n">
        <x:f>IF('Данные'!E2234&gt;0,G2234/'Данные'!E2234,"n.a.")</x:f>
        <x:v>0</x:v>
      </x:c>
      <x:c r="K2234" s="1" t="str">
        <x:f>IF(G2234&gt;='Дашборд'!$C$51,"X","Z")</x:f>
        <x:v>Z</x:v>
      </x:c>
      <x:c r="L2234" s="1" t="str">
        <x:f>IF(H2234=0,IF(G2234&gt;0,"Нет остатка","Нет спроса"),IF(I2234&gt;='Дашборд'!$C$52,"Быстрый","Медленный"))</x:f>
        <x:v>Нет спроса</x:v>
      </x:c>
      <x:c r="M2234" s="1" t="str">
        <x:f>IF('Данные'!E2234&lt;'Дашборд'!$C$53,"Мало трафика",IF(J2234&lt;'Дашборд'!$C$9*'Дашборд'!$C$54,"Да","Нет"))</x:f>
        <x:v>Мало трафика</x:v>
      </x:c>
      <x:c r="N2234" s="1" t="str">
        <x:f>IF(AND('Данные'!D2234&gt;='Дашборд'!$C$55,D2234&lt;'Дашборд'!$C$56,'Данные'!E2234&gt;='Дашборд'!$C$53,'Данные'!L2234&lt;&gt;"Да"),"Да","Нет")</x:f>
        <x:v>Нет</x:v>
      </x:c>
      <x:c r="O2234" s="1" t="str">
        <x:f>'Данные'!L2234</x:f>
        <x:v>Нет</x:v>
      </x:c>
    </x:row>
    <x:row r="2235">
      <x:c r="A2235" s="1" t="str">
        <x:f>'Данные'!A2235</x:f>
        <x:v>26236916</x:v>
      </x:c>
      <x:c r="B2235" s="1" t="str">
        <x:f>'Данные'!B2235</x:f>
        <x:v>futbolka_mary/эвкалипт</x:v>
      </x:c>
      <x:c r="C2235" s="8" t="n">
        <x:f>'Данные'!G2235</x:f>
        <x:v>0</x:v>
      </x:c>
      <x:c r="D2235" s="15" t="n">
        <x:f>C2235/SUM($C$5:$C$2477)</x:f>
        <x:v>0</x:v>
      </x:c>
      <x:c r="E2235" s="15" t="n">
        <x:f>SUM($D$5:D2235)</x:f>
        <x:v>1.0000000000000036</x:v>
      </x:c>
      <x:c r="F2235" s="1" t="str">
        <x:f>IF(C2235&lt;=0,"C",IF(E2235-D2235&lt;'Дашборд'!$C$49,"A",IF(E2235-D2235&lt;'Дашборд'!$C$50,"B","C")))</x:f>
        <x:v>C</x:v>
      </x:c>
      <x:c r="G2235" s="8" t="n">
        <x:f>'Данные'!F2235</x:f>
        <x:v>0</x:v>
      </x:c>
      <x:c r="H2235" s="8" t="n">
        <x:f>SUM('Данные'!H2235:I2235)</x:f>
        <x:v>0</x:v>
      </x:c>
      <x:c r="I2235" s="16" t="str">
        <x:f>IF(H2235&gt;0,G2235/H2235,"n.a.")</x:f>
        <x:v>n.a.</x:v>
      </x:c>
      <x:c r="J2235" s="10" t="n">
        <x:f>IF('Данные'!E2235&gt;0,G2235/'Данные'!E2235,"n.a.")</x:f>
        <x:v>0</x:v>
      </x:c>
      <x:c r="K2235" s="1" t="str">
        <x:f>IF(G2235&gt;='Дашборд'!$C$51,"X","Z")</x:f>
        <x:v>Z</x:v>
      </x:c>
      <x:c r="L2235" s="1" t="str">
        <x:f>IF(H2235=0,IF(G2235&gt;0,"Нет остатка","Нет спроса"),IF(I2235&gt;='Дашборд'!$C$52,"Быстрый","Медленный"))</x:f>
        <x:v>Нет спроса</x:v>
      </x:c>
      <x:c r="M2235" s="1" t="str">
        <x:f>IF('Данные'!E2235&lt;'Дашборд'!$C$53,"Мало трафика",IF(J2235&lt;'Дашборд'!$C$9*'Дашборд'!$C$54,"Да","Нет"))</x:f>
        <x:v>Мало трафика</x:v>
      </x:c>
      <x:c r="N2235" s="1" t="str">
        <x:f>IF(AND('Данные'!D2235&gt;='Дашборд'!$C$55,D2235&lt;'Дашборд'!$C$56,'Данные'!E2235&gt;='Дашборд'!$C$53,'Данные'!L2235&lt;&gt;"Да"),"Да","Нет")</x:f>
        <x:v>Нет</x:v>
      </x:c>
      <x:c r="O2235" s="1" t="str">
        <x:f>'Данные'!L2235</x:f>
        <x:v>Нет</x:v>
      </x:c>
    </x:row>
    <x:row r="2236">
      <x:c r="A2236" s="1" t="str">
        <x:f>'Данные'!A2236</x:f>
        <x:v>26238771</x:v>
      </x:c>
      <x:c r="B2236" s="1" t="str">
        <x:f>'Данные'!B2236</x:f>
        <x:v>futbolka_mary/пудра</x:v>
      </x:c>
      <x:c r="C2236" s="8" t="n">
        <x:f>'Данные'!G2236</x:f>
        <x:v>0</x:v>
      </x:c>
      <x:c r="D2236" s="15" t="n">
        <x:f>C2236/SUM($C$5:$C$2477)</x:f>
        <x:v>0</x:v>
      </x:c>
      <x:c r="E2236" s="15" t="n">
        <x:f>SUM($D$5:D2236)</x:f>
        <x:v>1.0000000000000036</x:v>
      </x:c>
      <x:c r="F2236" s="1" t="str">
        <x:f>IF(C2236&lt;=0,"C",IF(E2236-D2236&lt;'Дашборд'!$C$49,"A",IF(E2236-D2236&lt;'Дашборд'!$C$50,"B","C")))</x:f>
        <x:v>C</x:v>
      </x:c>
      <x:c r="G2236" s="8" t="n">
        <x:f>'Данные'!F2236</x:f>
        <x:v>0</x:v>
      </x:c>
      <x:c r="H2236" s="8" t="n">
        <x:f>SUM('Данные'!H2236:I2236)</x:f>
        <x:v>0</x:v>
      </x:c>
      <x:c r="I2236" s="16" t="str">
        <x:f>IF(H2236&gt;0,G2236/H2236,"n.a.")</x:f>
        <x:v>n.a.</x:v>
      </x:c>
      <x:c r="J2236" s="10" t="n">
        <x:f>IF('Данные'!E2236&gt;0,G2236/'Данные'!E2236,"n.a.")</x:f>
        <x:v>0</x:v>
      </x:c>
      <x:c r="K2236" s="1" t="str">
        <x:f>IF(G2236&gt;='Дашборд'!$C$51,"X","Z")</x:f>
        <x:v>Z</x:v>
      </x:c>
      <x:c r="L2236" s="1" t="str">
        <x:f>IF(H2236=0,IF(G2236&gt;0,"Нет остатка","Нет спроса"),IF(I2236&gt;='Дашборд'!$C$52,"Быстрый","Медленный"))</x:f>
        <x:v>Нет спроса</x:v>
      </x:c>
      <x:c r="M2236" s="1" t="str">
        <x:f>IF('Данные'!E2236&lt;'Дашборд'!$C$53,"Мало трафика",IF(J2236&lt;'Дашборд'!$C$9*'Дашборд'!$C$54,"Да","Нет"))</x:f>
        <x:v>Мало трафика</x:v>
      </x:c>
      <x:c r="N2236" s="1" t="str">
        <x:f>IF(AND('Данные'!D2236&gt;='Дашборд'!$C$55,D2236&lt;'Дашборд'!$C$56,'Данные'!E2236&gt;='Дашборд'!$C$53,'Данные'!L2236&lt;&gt;"Да"),"Да","Нет")</x:f>
        <x:v>Нет</x:v>
      </x:c>
      <x:c r="O2236" s="1" t="str">
        <x:f>'Данные'!L2236</x:f>
        <x:v>Нет</x:v>
      </x:c>
    </x:row>
    <x:row r="2237">
      <x:c r="A2237" s="1" t="str">
        <x:f>'Данные'!A2237</x:f>
        <x:v>26238987</x:v>
      </x:c>
      <x:c r="B2237" s="1" t="str">
        <x:f>'Данные'!B2237</x:f>
        <x:v>futbolka/эвкалипт</x:v>
      </x:c>
      <x:c r="C2237" s="8" t="n">
        <x:f>'Данные'!G2237</x:f>
        <x:v>0</x:v>
      </x:c>
      <x:c r="D2237" s="15" t="n">
        <x:f>C2237/SUM($C$5:$C$2477)</x:f>
        <x:v>0</x:v>
      </x:c>
      <x:c r="E2237" s="15" t="n">
        <x:f>SUM($D$5:D2237)</x:f>
        <x:v>1.0000000000000036</x:v>
      </x:c>
      <x:c r="F2237" s="1" t="str">
        <x:f>IF(C2237&lt;=0,"C",IF(E2237-D2237&lt;'Дашборд'!$C$49,"A",IF(E2237-D2237&lt;'Дашборд'!$C$50,"B","C")))</x:f>
        <x:v>C</x:v>
      </x:c>
      <x:c r="G2237" s="8" t="n">
        <x:f>'Данные'!F2237</x:f>
        <x:v>0</x:v>
      </x:c>
      <x:c r="H2237" s="8" t="n">
        <x:f>SUM('Данные'!H2237:I2237)</x:f>
        <x:v>1</x:v>
      </x:c>
      <x:c r="I2237" s="16" t="n">
        <x:f>IF(H2237&gt;0,G2237/H2237,"n.a.")</x:f>
        <x:v>0</x:v>
      </x:c>
      <x:c r="J2237" s="10" t="n">
        <x:f>IF('Данные'!E2237&gt;0,G2237/'Данные'!E2237,"n.a.")</x:f>
        <x:v>0</x:v>
      </x:c>
      <x:c r="K2237" s="1" t="str">
        <x:f>IF(G2237&gt;='Дашборд'!$C$51,"X","Z")</x:f>
        <x:v>Z</x:v>
      </x:c>
      <x:c r="L2237" s="1" t="str">
        <x:f>IF(H2237=0,IF(G2237&gt;0,"Нет остатка","Нет спроса"),IF(I2237&gt;='Дашборд'!$C$52,"Быстрый","Медленный"))</x:f>
        <x:v>Медленный</x:v>
      </x:c>
      <x:c r="M2237" s="1" t="str">
        <x:f>IF('Данные'!E2237&lt;'Дашборд'!$C$53,"Мало трафика",IF(J2237&lt;'Дашборд'!$C$9*'Дашборд'!$C$54,"Да","Нет"))</x:f>
        <x:v>Мало трафика</x:v>
      </x:c>
      <x:c r="N2237" s="1" t="str">
        <x:f>IF(AND('Данные'!D2237&gt;='Дашборд'!$C$55,D2237&lt;'Дашборд'!$C$56,'Данные'!E2237&gt;='Дашборд'!$C$53,'Данные'!L2237&lt;&gt;"Да"),"Да","Нет")</x:f>
        <x:v>Нет</x:v>
      </x:c>
      <x:c r="O2237" s="1" t="str">
        <x:f>'Данные'!L2237</x:f>
        <x:v>Нет</x:v>
      </x:c>
    </x:row>
    <x:row r="2238">
      <x:c r="A2238" s="1" t="str">
        <x:f>'Данные'!A2238</x:f>
        <x:v>26239119</x:v>
      </x:c>
      <x:c r="B2238" s="1" t="str">
        <x:f>'Данные'!B2238</x:f>
        <x:v>futbolka/пудровый</x:v>
      </x:c>
      <x:c r="C2238" s="8" t="n">
        <x:f>'Данные'!G2238</x:f>
        <x:v>0</x:v>
      </x:c>
      <x:c r="D2238" s="15" t="n">
        <x:f>C2238/SUM($C$5:$C$2477)</x:f>
        <x:v>0</x:v>
      </x:c>
      <x:c r="E2238" s="15" t="n">
        <x:f>SUM($D$5:D2238)</x:f>
        <x:v>1.0000000000000036</x:v>
      </x:c>
      <x:c r="F2238" s="1" t="str">
        <x:f>IF(C2238&lt;=0,"C",IF(E2238-D2238&lt;'Дашборд'!$C$49,"A",IF(E2238-D2238&lt;'Дашборд'!$C$50,"B","C")))</x:f>
        <x:v>C</x:v>
      </x:c>
      <x:c r="G2238" s="8" t="n">
        <x:f>'Данные'!F2238</x:f>
        <x:v>0</x:v>
      </x:c>
      <x:c r="H2238" s="8" t="n">
        <x:f>SUM('Данные'!H2238:I2238)</x:f>
        <x:v>0</x:v>
      </x:c>
      <x:c r="I2238" s="16" t="str">
        <x:f>IF(H2238&gt;0,G2238/H2238,"n.a.")</x:f>
        <x:v>n.a.</x:v>
      </x:c>
      <x:c r="J2238" s="10" t="n">
        <x:f>IF('Данные'!E2238&gt;0,G2238/'Данные'!E2238,"n.a.")</x:f>
        <x:v>0</x:v>
      </x:c>
      <x:c r="K2238" s="1" t="str">
        <x:f>IF(G2238&gt;='Дашборд'!$C$51,"X","Z")</x:f>
        <x:v>Z</x:v>
      </x:c>
      <x:c r="L2238" s="1" t="str">
        <x:f>IF(H2238=0,IF(G2238&gt;0,"Нет остатка","Нет спроса"),IF(I2238&gt;='Дашборд'!$C$52,"Быстрый","Медленный"))</x:f>
        <x:v>Нет спроса</x:v>
      </x:c>
      <x:c r="M2238" s="1" t="str">
        <x:f>IF('Данные'!E2238&lt;'Дашборд'!$C$53,"Мало трафика",IF(J2238&lt;'Дашборд'!$C$9*'Дашборд'!$C$54,"Да","Нет"))</x:f>
        <x:v>Мало трафика</x:v>
      </x:c>
      <x:c r="N2238" s="1" t="str">
        <x:f>IF(AND('Данные'!D2238&gt;='Дашборд'!$C$55,D2238&lt;'Дашборд'!$C$56,'Данные'!E2238&gt;='Дашборд'!$C$53,'Данные'!L2238&lt;&gt;"Да"),"Да","Нет")</x:f>
        <x:v>Нет</x:v>
      </x:c>
      <x:c r="O2238" s="1" t="str">
        <x:f>'Данные'!L2238</x:f>
        <x:v>Нет</x:v>
      </x:c>
    </x:row>
    <x:row r="2239">
      <x:c r="A2239" s="1" t="str">
        <x:f>'Данные'!A2239</x:f>
        <x:v>26239168</x:v>
      </x:c>
      <x:c r="B2239" s="1" t="str">
        <x:f>'Данные'!B2239</x:f>
        <x:v>futbolka/хаки</x:v>
      </x:c>
      <x:c r="C2239" s="8" t="n">
        <x:f>'Данные'!G2239</x:f>
        <x:v>0</x:v>
      </x:c>
      <x:c r="D2239" s="15" t="n">
        <x:f>C2239/SUM($C$5:$C$2477)</x:f>
        <x:v>0</x:v>
      </x:c>
      <x:c r="E2239" s="15" t="n">
        <x:f>SUM($D$5:D2239)</x:f>
        <x:v>1.0000000000000036</x:v>
      </x:c>
      <x:c r="F2239" s="1" t="str">
        <x:f>IF(C2239&lt;=0,"C",IF(E2239-D2239&lt;'Дашборд'!$C$49,"A",IF(E2239-D2239&lt;'Дашборд'!$C$50,"B","C")))</x:f>
        <x:v>C</x:v>
      </x:c>
      <x:c r="G2239" s="8" t="n">
        <x:f>'Данные'!F2239</x:f>
        <x:v>1</x:v>
      </x:c>
      <x:c r="H2239" s="8" t="n">
        <x:f>SUM('Данные'!H2239:I2239)</x:f>
        <x:v>1</x:v>
      </x:c>
      <x:c r="I2239" s="16" t="n">
        <x:f>IF(H2239&gt;0,G2239/H2239,"n.a.")</x:f>
        <x:v>1</x:v>
      </x:c>
      <x:c r="J2239" s="10" t="n">
        <x:f>IF('Данные'!E2239&gt;0,G2239/'Данные'!E2239,"n.a.")</x:f>
        <x:v>0.000462962962962963</x:v>
      </x:c>
      <x:c r="K2239" s="1" t="str">
        <x:f>IF(G2239&gt;='Дашборд'!$C$51,"X","Z")</x:f>
        <x:v>Z</x:v>
      </x:c>
      <x:c r="L2239" s="1" t="str">
        <x:f>IF(H2239=0,IF(G2239&gt;0,"Нет остатка","Нет спроса"),IF(I2239&gt;='Дашборд'!$C$52,"Быстрый","Медленный"))</x:f>
        <x:v>Быстрый</x:v>
      </x:c>
      <x:c r="M2239" s="1" t="str">
        <x:f>IF('Данные'!E2239&lt;'Дашборд'!$C$53,"Мало трафика",IF(J2239&lt;'Дашборд'!$C$9*'Дашборд'!$C$54,"Да","Нет"))</x:f>
        <x:v>Да</x:v>
      </x:c>
      <x:c r="N2239" s="1" t="str">
        <x:f>IF(AND('Данные'!D2239&gt;='Дашборд'!$C$55,D2239&lt;'Дашборд'!$C$56,'Данные'!E2239&gt;='Дашборд'!$C$53,'Данные'!L2239&lt;&gt;"Да"),"Да","Нет")</x:f>
        <x:v>Нет</x:v>
      </x:c>
      <x:c r="O2239" s="1" t="str">
        <x:f>'Данные'!L2239</x:f>
        <x:v>Нет</x:v>
      </x:c>
    </x:row>
    <x:row r="2240">
      <x:c r="A2240" s="1" t="str">
        <x:f>'Данные'!A2240</x:f>
        <x:v>26561968</x:v>
      </x:c>
      <x:c r="B2240" s="1" t="str">
        <x:f>'Данные'!B2240</x:f>
        <x:v>brukipetlyaa/светло-фиолетовый</x:v>
      </x:c>
      <x:c r="C2240" s="8" t="n">
        <x:f>'Данные'!G2240</x:f>
        <x:v>0</x:v>
      </x:c>
      <x:c r="D2240" s="15" t="n">
        <x:f>C2240/SUM($C$5:$C$2477)</x:f>
        <x:v>0</x:v>
      </x:c>
      <x:c r="E2240" s="15" t="n">
        <x:f>SUM($D$5:D2240)</x:f>
        <x:v>1.0000000000000036</x:v>
      </x:c>
      <x:c r="F2240" s="1" t="str">
        <x:f>IF(C2240&lt;=0,"C",IF(E2240-D2240&lt;'Дашборд'!$C$49,"A",IF(E2240-D2240&lt;'Дашборд'!$C$50,"B","C")))</x:f>
        <x:v>C</x:v>
      </x:c>
      <x:c r="G2240" s="8" t="n">
        <x:f>'Данные'!F2240</x:f>
        <x:v>0</x:v>
      </x:c>
      <x:c r="H2240" s="8" t="n">
        <x:f>SUM('Данные'!H2240:I2240)</x:f>
        <x:v>0</x:v>
      </x:c>
      <x:c r="I2240" s="16" t="str">
        <x:f>IF(H2240&gt;0,G2240/H2240,"n.a.")</x:f>
        <x:v>n.a.</x:v>
      </x:c>
      <x:c r="J2240" s="10" t="n">
        <x:f>IF('Данные'!E2240&gt;0,G2240/'Данные'!E2240,"n.a.")</x:f>
        <x:v>0</x:v>
      </x:c>
      <x:c r="K2240" s="1" t="str">
        <x:f>IF(G2240&gt;='Дашборд'!$C$51,"X","Z")</x:f>
        <x:v>Z</x:v>
      </x:c>
      <x:c r="L2240" s="1" t="str">
        <x:f>IF(H2240=0,IF(G2240&gt;0,"Нет остатка","Нет спроса"),IF(I2240&gt;='Дашборд'!$C$52,"Быстрый","Медленный"))</x:f>
        <x:v>Нет спроса</x:v>
      </x:c>
      <x:c r="M2240" s="1" t="str">
        <x:f>IF('Данные'!E2240&lt;'Дашборд'!$C$53,"Мало трафика",IF(J2240&lt;'Дашборд'!$C$9*'Дашборд'!$C$54,"Да","Нет"))</x:f>
        <x:v>Мало трафика</x:v>
      </x:c>
      <x:c r="N2240" s="1" t="str">
        <x:f>IF(AND('Данные'!D2240&gt;='Дашборд'!$C$55,D2240&lt;'Дашборд'!$C$56,'Данные'!E2240&gt;='Дашборд'!$C$53,'Данные'!L2240&lt;&gt;"Да"),"Да","Нет")</x:f>
        <x:v>Нет</x:v>
      </x:c>
      <x:c r="O2240" s="1" t="str">
        <x:f>'Данные'!L2240</x:f>
        <x:v>Нет</x:v>
      </x:c>
    </x:row>
    <x:row r="2241">
      <x:c r="A2241" s="1" t="str">
        <x:f>'Данные'!A2241</x:f>
        <x:v>26562196</x:v>
      </x:c>
      <x:c r="B2241" s="1" t="str">
        <x:f>'Данные'!B2241</x:f>
        <x:v>brukipetlyaa/голубой</x:v>
      </x:c>
      <x:c r="C2241" s="8" t="n">
        <x:f>'Данные'!G2241</x:f>
        <x:v>0</x:v>
      </x:c>
      <x:c r="D2241" s="15" t="n">
        <x:f>C2241/SUM($C$5:$C$2477)</x:f>
        <x:v>0</x:v>
      </x:c>
      <x:c r="E2241" s="15" t="n">
        <x:f>SUM($D$5:D2241)</x:f>
        <x:v>1.0000000000000036</x:v>
      </x:c>
      <x:c r="F2241" s="1" t="str">
        <x:f>IF(C2241&lt;=0,"C",IF(E2241-D2241&lt;'Дашборд'!$C$49,"A",IF(E2241-D2241&lt;'Дашборд'!$C$50,"B","C")))</x:f>
        <x:v>C</x:v>
      </x:c>
      <x:c r="G2241" s="8" t="n">
        <x:f>'Данные'!F2241</x:f>
        <x:v>0</x:v>
      </x:c>
      <x:c r="H2241" s="8" t="n">
        <x:f>SUM('Данные'!H2241:I2241)</x:f>
        <x:v>0</x:v>
      </x:c>
      <x:c r="I2241" s="16" t="str">
        <x:f>IF(H2241&gt;0,G2241/H2241,"n.a.")</x:f>
        <x:v>n.a.</x:v>
      </x:c>
      <x:c r="J2241" s="10" t="n">
        <x:f>IF('Данные'!E2241&gt;0,G2241/'Данные'!E2241,"n.a.")</x:f>
        <x:v>0</x:v>
      </x:c>
      <x:c r="K2241" s="1" t="str">
        <x:f>IF(G2241&gt;='Дашборд'!$C$51,"X","Z")</x:f>
        <x:v>Z</x:v>
      </x:c>
      <x:c r="L2241" s="1" t="str">
        <x:f>IF(H2241=0,IF(G2241&gt;0,"Нет остатка","Нет спроса"),IF(I2241&gt;='Дашборд'!$C$52,"Быстрый","Медленный"))</x:f>
        <x:v>Нет спроса</x:v>
      </x:c>
      <x:c r="M2241" s="1" t="str">
        <x:f>IF('Данные'!E2241&lt;'Дашборд'!$C$53,"Мало трафика",IF(J2241&lt;'Дашборд'!$C$9*'Дашборд'!$C$54,"Да","Нет"))</x:f>
        <x:v>Мало трафика</x:v>
      </x:c>
      <x:c r="N2241" s="1" t="str">
        <x:f>IF(AND('Данные'!D2241&gt;='Дашборд'!$C$55,D2241&lt;'Дашборд'!$C$56,'Данные'!E2241&gt;='Дашборд'!$C$53,'Данные'!L2241&lt;&gt;"Да"),"Да","Нет")</x:f>
        <x:v>Нет</x:v>
      </x:c>
      <x:c r="O2241" s="1" t="str">
        <x:f>'Данные'!L2241</x:f>
        <x:v>Да</x:v>
      </x:c>
    </x:row>
    <x:row r="2242">
      <x:c r="A2242" s="1" t="str">
        <x:f>'Данные'!A2242</x:f>
        <x:v>26562751</x:v>
      </x:c>
      <x:c r="B2242" s="1" t="str">
        <x:f>'Данные'!B2242</x:f>
        <x:v>brukipetlyaa/светло-зеленый</x:v>
      </x:c>
      <x:c r="C2242" s="8" t="n">
        <x:f>'Данные'!G2242</x:f>
        <x:v>0</x:v>
      </x:c>
      <x:c r="D2242" s="15" t="n">
        <x:f>C2242/SUM($C$5:$C$2477)</x:f>
        <x:v>0</x:v>
      </x:c>
      <x:c r="E2242" s="15" t="n">
        <x:f>SUM($D$5:D2242)</x:f>
        <x:v>1.0000000000000036</x:v>
      </x:c>
      <x:c r="F2242" s="1" t="str">
        <x:f>IF(C2242&lt;=0,"C",IF(E2242-D2242&lt;'Дашборд'!$C$49,"A",IF(E2242-D2242&lt;'Дашборд'!$C$50,"B","C")))</x:f>
        <x:v>C</x:v>
      </x:c>
      <x:c r="G2242" s="8" t="n">
        <x:f>'Данные'!F2242</x:f>
        <x:v>0</x:v>
      </x:c>
      <x:c r="H2242" s="8" t="n">
        <x:f>SUM('Данные'!H2242:I2242)</x:f>
        <x:v>0</x:v>
      </x:c>
      <x:c r="I2242" s="16" t="str">
        <x:f>IF(H2242&gt;0,G2242/H2242,"n.a.")</x:f>
        <x:v>n.a.</x:v>
      </x:c>
      <x:c r="J2242" s="10" t="n">
        <x:f>IF('Данные'!E2242&gt;0,G2242/'Данные'!E2242,"n.a.")</x:f>
        <x:v>0</x:v>
      </x:c>
      <x:c r="K2242" s="1" t="str">
        <x:f>IF(G2242&gt;='Дашборд'!$C$51,"X","Z")</x:f>
        <x:v>Z</x:v>
      </x:c>
      <x:c r="L2242" s="1" t="str">
        <x:f>IF(H2242=0,IF(G2242&gt;0,"Нет остатка","Нет спроса"),IF(I2242&gt;='Дашборд'!$C$52,"Быстрый","Медленный"))</x:f>
        <x:v>Нет спроса</x:v>
      </x:c>
      <x:c r="M2242" s="1" t="str">
        <x:f>IF('Данные'!E2242&lt;'Дашборд'!$C$53,"Мало трафика",IF(J2242&lt;'Дашборд'!$C$9*'Дашборд'!$C$54,"Да","Нет"))</x:f>
        <x:v>Мало трафика</x:v>
      </x:c>
      <x:c r="N2242" s="1" t="str">
        <x:f>IF(AND('Данные'!D2242&gt;='Дашборд'!$C$55,D2242&lt;'Дашборд'!$C$56,'Данные'!E2242&gt;='Дашборд'!$C$53,'Данные'!L2242&lt;&gt;"Да"),"Да","Нет")</x:f>
        <x:v>Нет</x:v>
      </x:c>
      <x:c r="O2242" s="1" t="str">
        <x:f>'Данные'!L2242</x:f>
        <x:v>Нет</x:v>
      </x:c>
    </x:row>
    <x:row r="2243">
      <x:c r="A2243" s="1" t="str">
        <x:f>'Данные'!A2243</x:f>
        <x:v>26578135</x:v>
      </x:c>
      <x:c r="B2243" s="1" t="str">
        <x:f>'Данные'!B2243</x:f>
        <x:v>hudipetlyaaa/банановый</x:v>
      </x:c>
      <x:c r="C2243" s="8" t="n">
        <x:f>'Данные'!G2243</x:f>
        <x:v>0</x:v>
      </x:c>
      <x:c r="D2243" s="15" t="n">
        <x:f>C2243/SUM($C$5:$C$2477)</x:f>
        <x:v>0</x:v>
      </x:c>
      <x:c r="E2243" s="15" t="n">
        <x:f>SUM($D$5:D2243)</x:f>
        <x:v>1.0000000000000036</x:v>
      </x:c>
      <x:c r="F2243" s="1" t="str">
        <x:f>IF(C2243&lt;=0,"C",IF(E2243-D2243&lt;'Дашборд'!$C$49,"A",IF(E2243-D2243&lt;'Дашборд'!$C$50,"B","C")))</x:f>
        <x:v>C</x:v>
      </x:c>
      <x:c r="G2243" s="8" t="n">
        <x:f>'Данные'!F2243</x:f>
        <x:v>0</x:v>
      </x:c>
      <x:c r="H2243" s="8" t="n">
        <x:f>SUM('Данные'!H2243:I2243)</x:f>
        <x:v>0</x:v>
      </x:c>
      <x:c r="I2243" s="16" t="str">
        <x:f>IF(H2243&gt;0,G2243/H2243,"n.a.")</x:f>
        <x:v>n.a.</x:v>
      </x:c>
      <x:c r="J2243" s="10" t="n">
        <x:f>IF('Данные'!E2243&gt;0,G2243/'Данные'!E2243,"n.a.")</x:f>
        <x:v>0</x:v>
      </x:c>
      <x:c r="K2243" s="1" t="str">
        <x:f>IF(G2243&gt;='Дашборд'!$C$51,"X","Z")</x:f>
        <x:v>Z</x:v>
      </x:c>
      <x:c r="L2243" s="1" t="str">
        <x:f>IF(H2243=0,IF(G2243&gt;0,"Нет остатка","Нет спроса"),IF(I2243&gt;='Дашборд'!$C$52,"Быстрый","Медленный"))</x:f>
        <x:v>Нет спроса</x:v>
      </x:c>
      <x:c r="M2243" s="1" t="str">
        <x:f>IF('Данные'!E2243&lt;'Дашборд'!$C$53,"Мало трафика",IF(J2243&lt;'Дашборд'!$C$9*'Дашборд'!$C$54,"Да","Нет"))</x:f>
        <x:v>Мало трафика</x:v>
      </x:c>
      <x:c r="N2243" s="1" t="str">
        <x:f>IF(AND('Данные'!D2243&gt;='Дашборд'!$C$55,D2243&lt;'Дашборд'!$C$56,'Данные'!E2243&gt;='Дашборд'!$C$53,'Данные'!L2243&lt;&gt;"Да"),"Да","Нет")</x:f>
        <x:v>Нет</x:v>
      </x:c>
      <x:c r="O2243" s="1" t="str">
        <x:f>'Данные'!L2243</x:f>
        <x:v>Нет</x:v>
      </x:c>
    </x:row>
    <x:row r="2244">
      <x:c r="A2244" s="1" t="str">
        <x:f>'Данные'!A2244</x:f>
        <x:v>266714310</x:v>
      </x:c>
      <x:c r="B2244" s="1" t="str">
        <x:f>'Данные'!B2244</x:f>
        <x:v>hudiprint/ENJOY-228/белый</x:v>
      </x:c>
      <x:c r="C2244" s="8" t="n">
        <x:f>'Данные'!G2244</x:f>
        <x:v>0</x:v>
      </x:c>
      <x:c r="D2244" s="15" t="n">
        <x:f>C2244/SUM($C$5:$C$2477)</x:f>
        <x:v>0</x:v>
      </x:c>
      <x:c r="E2244" s="15" t="n">
        <x:f>SUM($D$5:D2244)</x:f>
        <x:v>1.0000000000000036</x:v>
      </x:c>
      <x:c r="F2244" s="1" t="str">
        <x:f>IF(C2244&lt;=0,"C",IF(E2244-D2244&lt;'Дашборд'!$C$49,"A",IF(E2244-D2244&lt;'Дашборд'!$C$50,"B","C")))</x:f>
        <x:v>C</x:v>
      </x:c>
      <x:c r="G2244" s="8" t="n">
        <x:f>'Данные'!F2244</x:f>
        <x:v>0</x:v>
      </x:c>
      <x:c r="H2244" s="8" t="n">
        <x:f>SUM('Данные'!H2244:I2244)</x:f>
        <x:v>0</x:v>
      </x:c>
      <x:c r="I2244" s="16" t="str">
        <x:f>IF(H2244&gt;0,G2244/H2244,"n.a.")</x:f>
        <x:v>n.a.</x:v>
      </x:c>
      <x:c r="J2244" s="10" t="n">
        <x:f>IF('Данные'!E2244&gt;0,G2244/'Данные'!E2244,"n.a.")</x:f>
        <x:v>0</x:v>
      </x:c>
      <x:c r="K2244" s="1" t="str">
        <x:f>IF(G2244&gt;='Дашборд'!$C$51,"X","Z")</x:f>
        <x:v>Z</x:v>
      </x:c>
      <x:c r="L2244" s="1" t="str">
        <x:f>IF(H2244=0,IF(G2244&gt;0,"Нет остатка","Нет спроса"),IF(I2244&gt;='Дашборд'!$C$52,"Быстрый","Медленный"))</x:f>
        <x:v>Нет спроса</x:v>
      </x:c>
      <x:c r="M2244" s="1" t="str">
        <x:f>IF('Данные'!E2244&lt;'Дашборд'!$C$53,"Мало трафика",IF(J2244&lt;'Дашборд'!$C$9*'Дашборд'!$C$54,"Да","Нет"))</x:f>
        <x:v>Мало трафика</x:v>
      </x:c>
      <x:c r="N2244" s="1" t="str">
        <x:f>IF(AND('Данные'!D2244&gt;='Дашборд'!$C$55,D2244&lt;'Дашборд'!$C$56,'Данные'!E2244&gt;='Дашборд'!$C$53,'Данные'!L2244&lt;&gt;"Да"),"Да","Нет")</x:f>
        <x:v>Нет</x:v>
      </x:c>
      <x:c r="O2244" s="1" t="str">
        <x:f>'Данные'!L2244</x:f>
        <x:v>Нет</x:v>
      </x:c>
    </x:row>
    <x:row r="2245">
      <x:c r="A2245" s="1" t="str">
        <x:f>'Данные'!A2245</x:f>
        <x:v>26721341</x:v>
      </x:c>
      <x:c r="B2245" s="1" t="str">
        <x:f>'Данные'!B2245</x:f>
        <x:v>hudipetlyaaa/светло-фиолетовый</x:v>
      </x:c>
      <x:c r="C2245" s="8" t="n">
        <x:f>'Данные'!G2245</x:f>
        <x:v>0</x:v>
      </x:c>
      <x:c r="D2245" s="15" t="n">
        <x:f>C2245/SUM($C$5:$C$2477)</x:f>
        <x:v>0</x:v>
      </x:c>
      <x:c r="E2245" s="15" t="n">
        <x:f>SUM($D$5:D2245)</x:f>
        <x:v>1.0000000000000036</x:v>
      </x:c>
      <x:c r="F2245" s="1" t="str">
        <x:f>IF(C2245&lt;=0,"C",IF(E2245-D2245&lt;'Дашборд'!$C$49,"A",IF(E2245-D2245&lt;'Дашборд'!$C$50,"B","C")))</x:f>
        <x:v>C</x:v>
      </x:c>
      <x:c r="G2245" s="8" t="n">
        <x:f>'Данные'!F2245</x:f>
        <x:v>0</x:v>
      </x:c>
      <x:c r="H2245" s="8" t="n">
        <x:f>SUM('Данные'!H2245:I2245)</x:f>
        <x:v>0</x:v>
      </x:c>
      <x:c r="I2245" s="16" t="str">
        <x:f>IF(H2245&gt;0,G2245/H2245,"n.a.")</x:f>
        <x:v>n.a.</x:v>
      </x:c>
      <x:c r="J2245" s="10" t="n">
        <x:f>IF('Данные'!E2245&gt;0,G2245/'Данные'!E2245,"n.a.")</x:f>
        <x:v>0</x:v>
      </x:c>
      <x:c r="K2245" s="1" t="str">
        <x:f>IF(G2245&gt;='Дашборд'!$C$51,"X","Z")</x:f>
        <x:v>Z</x:v>
      </x:c>
      <x:c r="L2245" s="1" t="str">
        <x:f>IF(H2245=0,IF(G2245&gt;0,"Нет остатка","Нет спроса"),IF(I2245&gt;='Дашборд'!$C$52,"Быстрый","Медленный"))</x:f>
        <x:v>Нет спроса</x:v>
      </x:c>
      <x:c r="M2245" s="1" t="str">
        <x:f>IF('Данные'!E2245&lt;'Дашборд'!$C$53,"Мало трафика",IF(J2245&lt;'Дашборд'!$C$9*'Дашборд'!$C$54,"Да","Нет"))</x:f>
        <x:v>Мало трафика</x:v>
      </x:c>
      <x:c r="N2245" s="1" t="str">
        <x:f>IF(AND('Данные'!D2245&gt;='Дашборд'!$C$55,D2245&lt;'Дашборд'!$C$56,'Данные'!E2245&gt;='Дашборд'!$C$53,'Данные'!L2245&lt;&gt;"Да"),"Да","Нет")</x:f>
        <x:v>Нет</x:v>
      </x:c>
      <x:c r="O2245" s="1" t="str">
        <x:f>'Данные'!L2245</x:f>
        <x:v>Нет</x:v>
      </x:c>
    </x:row>
    <x:row r="2246">
      <x:c r="A2246" s="1" t="str">
        <x:f>'Данные'!A2246</x:f>
        <x:v>26721354</x:v>
      </x:c>
      <x:c r="B2246" s="1" t="str">
        <x:f>'Данные'!B2246</x:f>
        <x:v>hudipetlyaaa/голубой</x:v>
      </x:c>
      <x:c r="C2246" s="8" t="n">
        <x:f>'Данные'!G2246</x:f>
        <x:v>0</x:v>
      </x:c>
      <x:c r="D2246" s="15" t="n">
        <x:f>C2246/SUM($C$5:$C$2477)</x:f>
        <x:v>0</x:v>
      </x:c>
      <x:c r="E2246" s="15" t="n">
        <x:f>SUM($D$5:D2246)</x:f>
        <x:v>1.0000000000000036</x:v>
      </x:c>
      <x:c r="F2246" s="1" t="str">
        <x:f>IF(C2246&lt;=0,"C",IF(E2246-D2246&lt;'Дашборд'!$C$49,"A",IF(E2246-D2246&lt;'Дашборд'!$C$50,"B","C")))</x:f>
        <x:v>C</x:v>
      </x:c>
      <x:c r="G2246" s="8" t="n">
        <x:f>'Данные'!F2246</x:f>
        <x:v>0</x:v>
      </x:c>
      <x:c r="H2246" s="8" t="n">
        <x:f>SUM('Данные'!H2246:I2246)</x:f>
        <x:v>0</x:v>
      </x:c>
      <x:c r="I2246" s="16" t="str">
        <x:f>IF(H2246&gt;0,G2246/H2246,"n.a.")</x:f>
        <x:v>n.a.</x:v>
      </x:c>
      <x:c r="J2246" s="10" t="n">
        <x:f>IF('Данные'!E2246&gt;0,G2246/'Данные'!E2246,"n.a.")</x:f>
        <x:v>0</x:v>
      </x:c>
      <x:c r="K2246" s="1" t="str">
        <x:f>IF(G2246&gt;='Дашборд'!$C$51,"X","Z")</x:f>
        <x:v>Z</x:v>
      </x:c>
      <x:c r="L2246" s="1" t="str">
        <x:f>IF(H2246=0,IF(G2246&gt;0,"Нет остатка","Нет спроса"),IF(I2246&gt;='Дашборд'!$C$52,"Быстрый","Медленный"))</x:f>
        <x:v>Нет спроса</x:v>
      </x:c>
      <x:c r="M2246" s="1" t="str">
        <x:f>IF('Данные'!E2246&lt;'Дашборд'!$C$53,"Мало трафика",IF(J2246&lt;'Дашборд'!$C$9*'Дашборд'!$C$54,"Да","Нет"))</x:f>
        <x:v>Мало трафика</x:v>
      </x:c>
      <x:c r="N2246" s="1" t="str">
        <x:f>IF(AND('Данные'!D2246&gt;='Дашборд'!$C$55,D2246&lt;'Дашборд'!$C$56,'Данные'!E2246&gt;='Дашборд'!$C$53,'Данные'!L2246&lt;&gt;"Да"),"Да","Нет")</x:f>
        <x:v>Нет</x:v>
      </x:c>
      <x:c r="O2246" s="1" t="str">
        <x:f>'Данные'!L2246</x:f>
        <x:v>Нет</x:v>
      </x:c>
    </x:row>
    <x:row r="2247">
      <x:c r="A2247" s="1" t="str">
        <x:f>'Данные'!A2247</x:f>
        <x:v>26721364</x:v>
      </x:c>
      <x:c r="B2247" s="1" t="str">
        <x:f>'Данные'!B2247</x:f>
        <x:v>hudipetlyaaa/светло-зеленый</x:v>
      </x:c>
      <x:c r="C2247" s="8" t="n">
        <x:f>'Данные'!G2247</x:f>
        <x:v>0</x:v>
      </x:c>
      <x:c r="D2247" s="15" t="n">
        <x:f>C2247/SUM($C$5:$C$2477)</x:f>
        <x:v>0</x:v>
      </x:c>
      <x:c r="E2247" s="15" t="n">
        <x:f>SUM($D$5:D2247)</x:f>
        <x:v>1.0000000000000036</x:v>
      </x:c>
      <x:c r="F2247" s="1" t="str">
        <x:f>IF(C2247&lt;=0,"C",IF(E2247-D2247&lt;'Дашборд'!$C$49,"A",IF(E2247-D2247&lt;'Дашборд'!$C$50,"B","C")))</x:f>
        <x:v>C</x:v>
      </x:c>
      <x:c r="G2247" s="8" t="n">
        <x:f>'Данные'!F2247</x:f>
        <x:v>0</x:v>
      </x:c>
      <x:c r="H2247" s="8" t="n">
        <x:f>SUM('Данные'!H2247:I2247)</x:f>
        <x:v>0</x:v>
      </x:c>
      <x:c r="I2247" s="16" t="str">
        <x:f>IF(H2247&gt;0,G2247/H2247,"n.a.")</x:f>
        <x:v>n.a.</x:v>
      </x:c>
      <x:c r="J2247" s="10" t="n">
        <x:f>IF('Данные'!E2247&gt;0,G2247/'Данные'!E2247,"n.a.")</x:f>
        <x:v>0</x:v>
      </x:c>
      <x:c r="K2247" s="1" t="str">
        <x:f>IF(G2247&gt;='Дашборд'!$C$51,"X","Z")</x:f>
        <x:v>Z</x:v>
      </x:c>
      <x:c r="L2247" s="1" t="str">
        <x:f>IF(H2247=0,IF(G2247&gt;0,"Нет остатка","Нет спроса"),IF(I2247&gt;='Дашборд'!$C$52,"Быстрый","Медленный"))</x:f>
        <x:v>Нет спроса</x:v>
      </x:c>
      <x:c r="M2247" s="1" t="str">
        <x:f>IF('Данные'!E2247&lt;'Дашборд'!$C$53,"Мало трафика",IF(J2247&lt;'Дашборд'!$C$9*'Дашборд'!$C$54,"Да","Нет"))</x:f>
        <x:v>Мало трафика</x:v>
      </x:c>
      <x:c r="N2247" s="1" t="str">
        <x:f>IF(AND('Данные'!D2247&gt;='Дашборд'!$C$55,D2247&lt;'Дашборд'!$C$56,'Данные'!E2247&gt;='Дашборд'!$C$53,'Данные'!L2247&lt;&gt;"Да"),"Да","Нет")</x:f>
        <x:v>Нет</x:v>
      </x:c>
      <x:c r="O2247" s="1" t="str">
        <x:f>'Данные'!L2247</x:f>
        <x:v>Нет</x:v>
      </x:c>
    </x:row>
    <x:row r="2248">
      <x:c r="A2248" s="1" t="str">
        <x:f>'Данные'!A2248</x:f>
        <x:v>268416523</x:v>
      </x:c>
      <x:c r="B2248" s="1" t="str">
        <x:f>'Данные'!B2248</x:f>
        <x:v>longoverprint/CRAVE-230/дымка</x:v>
      </x:c>
      <x:c r="C2248" s="8" t="n">
        <x:f>'Данные'!G2248</x:f>
        <x:v>0</x:v>
      </x:c>
      <x:c r="D2248" s="15" t="n">
        <x:f>C2248/SUM($C$5:$C$2477)</x:f>
        <x:v>0</x:v>
      </x:c>
      <x:c r="E2248" s="15" t="n">
        <x:f>SUM($D$5:D2248)</x:f>
        <x:v>1.0000000000000036</x:v>
      </x:c>
      <x:c r="F2248" s="1" t="str">
        <x:f>IF(C2248&lt;=0,"C",IF(E2248-D2248&lt;'Дашборд'!$C$49,"A",IF(E2248-D2248&lt;'Дашборд'!$C$50,"B","C")))</x:f>
        <x:v>C</x:v>
      </x:c>
      <x:c r="G2248" s="8" t="n">
        <x:f>'Данные'!F2248</x:f>
        <x:v>1</x:v>
      </x:c>
      <x:c r="H2248" s="8" t="n">
        <x:f>SUM('Данные'!H2248:I2248)</x:f>
        <x:v>0</x:v>
      </x:c>
      <x:c r="I2248" s="16" t="str">
        <x:f>IF(H2248&gt;0,G2248/H2248,"n.a.")</x:f>
        <x:v>n.a.</x:v>
      </x:c>
      <x:c r="J2248" s="10" t="n">
        <x:f>IF('Данные'!E2248&gt;0,G2248/'Данные'!E2248,"n.a.")</x:f>
        <x:v>0.002976190476190476</x:v>
      </x:c>
      <x:c r="K2248" s="1" t="str">
        <x:f>IF(G2248&gt;='Дашборд'!$C$51,"X","Z")</x:f>
        <x:v>Z</x:v>
      </x:c>
      <x:c r="L2248" s="1" t="str">
        <x:f>IF(H2248=0,IF(G2248&gt;0,"Нет остатка","Нет спроса"),IF(I2248&gt;='Дашборд'!$C$52,"Быстрый","Медленный"))</x:f>
        <x:v>Нет остатка</x:v>
      </x:c>
      <x:c r="M2248" s="1" t="str">
        <x:f>IF('Данные'!E2248&lt;'Дашборд'!$C$53,"Мало трафика",IF(J2248&lt;'Дашборд'!$C$9*'Дашборд'!$C$54,"Да","Нет"))</x:f>
        <x:v>Мало трафика</x:v>
      </x:c>
      <x:c r="N2248" s="1" t="str">
        <x:f>IF(AND('Данные'!D2248&gt;='Дашборд'!$C$55,D2248&lt;'Дашборд'!$C$56,'Данные'!E2248&gt;='Дашборд'!$C$53,'Данные'!L2248&lt;&gt;"Да"),"Да","Нет")</x:f>
        <x:v>Нет</x:v>
      </x:c>
      <x:c r="O2248" s="1" t="str">
        <x:f>'Данные'!L2248</x:f>
        <x:v>Нет</x:v>
      </x:c>
    </x:row>
    <x:row r="2249">
      <x:c r="A2249" s="1" t="str">
        <x:f>'Данные'!A2249</x:f>
        <x:v>271218592</x:v>
      </x:c>
      <x:c r="B2249" s="1" t="str">
        <x:f>'Данные'!B2249</x:f>
        <x:v>boxerX3/чер-чер-чер</x:v>
      </x:c>
      <x:c r="C2249" s="8" t="n">
        <x:f>'Данные'!G2249</x:f>
        <x:v>0</x:v>
      </x:c>
      <x:c r="D2249" s="15" t="n">
        <x:f>C2249/SUM($C$5:$C$2477)</x:f>
        <x:v>0</x:v>
      </x:c>
      <x:c r="E2249" s="15" t="n">
        <x:f>SUM($D$5:D2249)</x:f>
        <x:v>1.0000000000000036</x:v>
      </x:c>
      <x:c r="F2249" s="1" t="str">
        <x:f>IF(C2249&lt;=0,"C",IF(E2249-D2249&lt;'Дашборд'!$C$49,"A",IF(E2249-D2249&lt;'Дашборд'!$C$50,"B","C")))</x:f>
        <x:v>C</x:v>
      </x:c>
      <x:c r="G2249" s="8" t="n">
        <x:f>'Данные'!F2249</x:f>
        <x:v>0</x:v>
      </x:c>
      <x:c r="H2249" s="8" t="n">
        <x:f>SUM('Данные'!H2249:I2249)</x:f>
        <x:v>0</x:v>
      </x:c>
      <x:c r="I2249" s="16" t="str">
        <x:f>IF(H2249&gt;0,G2249/H2249,"n.a.")</x:f>
        <x:v>n.a.</x:v>
      </x:c>
      <x:c r="J2249" s="10" t="n">
        <x:f>IF('Данные'!E2249&gt;0,G2249/'Данные'!E2249,"n.a.")</x:f>
        <x:v>0</x:v>
      </x:c>
      <x:c r="K2249" s="1" t="str">
        <x:f>IF(G2249&gt;='Дашборд'!$C$51,"X","Z")</x:f>
        <x:v>Z</x:v>
      </x:c>
      <x:c r="L2249" s="1" t="str">
        <x:f>IF(H2249=0,IF(G2249&gt;0,"Нет остатка","Нет спроса"),IF(I2249&gt;='Дашборд'!$C$52,"Быстрый","Медленный"))</x:f>
        <x:v>Нет спроса</x:v>
      </x:c>
      <x:c r="M2249" s="1" t="str">
        <x:f>IF('Данные'!E2249&lt;'Дашборд'!$C$53,"Мало трафика",IF(J2249&lt;'Дашборд'!$C$9*'Дашборд'!$C$54,"Да","Нет"))</x:f>
        <x:v>Мало трафика</x:v>
      </x:c>
      <x:c r="N2249" s="1" t="str">
        <x:f>IF(AND('Данные'!D2249&gt;='Дашборд'!$C$55,D2249&lt;'Дашборд'!$C$56,'Данные'!E2249&gt;='Дашборд'!$C$53,'Данные'!L2249&lt;&gt;"Да"),"Да","Нет")</x:f>
        <x:v>Нет</x:v>
      </x:c>
      <x:c r="O2249" s="1" t="str">
        <x:f>'Данные'!L2249</x:f>
        <x:v>Нет</x:v>
      </x:c>
    </x:row>
    <x:row r="2250">
      <x:c r="A2250" s="1" t="str">
        <x:f>'Данные'!A2250</x:f>
        <x:v>27993498</x:v>
      </x:c>
      <x:c r="B2250" s="1" t="str">
        <x:f>'Данные'!B2250</x:f>
        <x:v>obez/черный</x:v>
      </x:c>
      <x:c r="C2250" s="8" t="n">
        <x:f>'Данные'!G2250</x:f>
        <x:v>0</x:v>
      </x:c>
      <x:c r="D2250" s="15" t="n">
        <x:f>C2250/SUM($C$5:$C$2477)</x:f>
        <x:v>0</x:v>
      </x:c>
      <x:c r="E2250" s="15" t="n">
        <x:f>SUM($D$5:D2250)</x:f>
        <x:v>1.0000000000000036</x:v>
      </x:c>
      <x:c r="F2250" s="1" t="str">
        <x:f>IF(C2250&lt;=0,"C",IF(E2250-D2250&lt;'Дашборд'!$C$49,"A",IF(E2250-D2250&lt;'Дашборд'!$C$50,"B","C")))</x:f>
        <x:v>C</x:v>
      </x:c>
      <x:c r="G2250" s="8" t="n">
        <x:f>'Данные'!F2250</x:f>
        <x:v>0</x:v>
      </x:c>
      <x:c r="H2250" s="8" t="n">
        <x:f>SUM('Данные'!H2250:I2250)</x:f>
        <x:v>0</x:v>
      </x:c>
      <x:c r="I2250" s="16" t="str">
        <x:f>IF(H2250&gt;0,G2250/H2250,"n.a.")</x:f>
        <x:v>n.a.</x:v>
      </x:c>
      <x:c r="J2250" s="10" t="n">
        <x:f>IF('Данные'!E2250&gt;0,G2250/'Данные'!E2250,"n.a.")</x:f>
        <x:v>0</x:v>
      </x:c>
      <x:c r="K2250" s="1" t="str">
        <x:f>IF(G2250&gt;='Дашборд'!$C$51,"X","Z")</x:f>
        <x:v>Z</x:v>
      </x:c>
      <x:c r="L2250" s="1" t="str">
        <x:f>IF(H2250=0,IF(G2250&gt;0,"Нет остатка","Нет спроса"),IF(I2250&gt;='Дашборд'!$C$52,"Быстрый","Медленный"))</x:f>
        <x:v>Нет спроса</x:v>
      </x:c>
      <x:c r="M2250" s="1" t="str">
        <x:f>IF('Данные'!E2250&lt;'Дашборд'!$C$53,"Мало трафика",IF(J2250&lt;'Дашборд'!$C$9*'Дашборд'!$C$54,"Да","Нет"))</x:f>
        <x:v>Мало трафика</x:v>
      </x:c>
      <x:c r="N2250" s="1" t="str">
        <x:f>IF(AND('Данные'!D2250&gt;='Дашборд'!$C$55,D2250&lt;'Дашборд'!$C$56,'Данные'!E2250&gt;='Дашборд'!$C$53,'Данные'!L2250&lt;&gt;"Да"),"Да","Нет")</x:f>
        <x:v>Нет</x:v>
      </x:c>
      <x:c r="O2250" s="1" t="str">
        <x:f>'Данные'!L2250</x:f>
        <x:v>Нет</x:v>
      </x:c>
    </x:row>
    <x:row r="2251">
      <x:c r="A2251" s="1" t="str">
        <x:f>'Данные'!A2251</x:f>
        <x:v>288627690</x:v>
      </x:c>
      <x:c r="B2251" s="1" t="str">
        <x:f>'Данные'!B2251</x:f>
        <x:v>kostyum/вареныйсерый</x:v>
      </x:c>
      <x:c r="C2251" s="8" t="n">
        <x:f>'Данные'!G2251</x:f>
        <x:v>0</x:v>
      </x:c>
      <x:c r="D2251" s="15" t="n">
        <x:f>C2251/SUM($C$5:$C$2477)</x:f>
        <x:v>0</x:v>
      </x:c>
      <x:c r="E2251" s="15" t="n">
        <x:f>SUM($D$5:D2251)</x:f>
        <x:v>1.0000000000000036</x:v>
      </x:c>
      <x:c r="F2251" s="1" t="str">
        <x:f>IF(C2251&lt;=0,"C",IF(E2251-D2251&lt;'Дашборд'!$C$49,"A",IF(E2251-D2251&lt;'Дашборд'!$C$50,"B","C")))</x:f>
        <x:v>C</x:v>
      </x:c>
      <x:c r="G2251" s="8" t="n">
        <x:f>'Данные'!F2251</x:f>
        <x:v>0</x:v>
      </x:c>
      <x:c r="H2251" s="8" t="n">
        <x:f>SUM('Данные'!H2251:I2251)</x:f>
        <x:v>0</x:v>
      </x:c>
      <x:c r="I2251" s="16" t="str">
        <x:f>IF(H2251&gt;0,G2251/H2251,"n.a.")</x:f>
        <x:v>n.a.</x:v>
      </x:c>
      <x:c r="J2251" s="10" t="n">
        <x:f>IF('Данные'!E2251&gt;0,G2251/'Данные'!E2251,"n.a.")</x:f>
        <x:v>0</x:v>
      </x:c>
      <x:c r="K2251" s="1" t="str">
        <x:f>IF(G2251&gt;='Дашборд'!$C$51,"X","Z")</x:f>
        <x:v>Z</x:v>
      </x:c>
      <x:c r="L2251" s="1" t="str">
        <x:f>IF(H2251=0,IF(G2251&gt;0,"Нет остатка","Нет спроса"),IF(I2251&gt;='Дашборд'!$C$52,"Быстрый","Медленный"))</x:f>
        <x:v>Нет спроса</x:v>
      </x:c>
      <x:c r="M2251" s="1" t="str">
        <x:f>IF('Данные'!E2251&lt;'Дашборд'!$C$53,"Мало трафика",IF(J2251&lt;'Дашборд'!$C$9*'Дашборд'!$C$54,"Да","Нет"))</x:f>
        <x:v>Да</x:v>
      </x:c>
      <x:c r="N2251" s="1" t="str">
        <x:f>IF(AND('Данные'!D2251&gt;='Дашборд'!$C$55,D2251&lt;'Дашборд'!$C$56,'Данные'!E2251&gt;='Дашборд'!$C$53,'Данные'!L2251&lt;&gt;"Да"),"Да","Нет")</x:f>
        <x:v>Нет</x:v>
      </x:c>
      <x:c r="O2251" s="1" t="str">
        <x:f>'Данные'!L2251</x:f>
        <x:v>Нет</x:v>
      </x:c>
    </x:row>
    <x:row r="2252">
      <x:c r="A2252" s="1" t="str">
        <x:f>'Данные'!A2252</x:f>
        <x:v>288633829</x:v>
      </x:c>
      <x:c r="B2252" s="1" t="str">
        <x:f>'Данные'!B2252</x:f>
        <x:v>kostumman/темно-синий</x:v>
      </x:c>
      <x:c r="C2252" s="8" t="n">
        <x:f>'Данные'!G2252</x:f>
        <x:v>0</x:v>
      </x:c>
      <x:c r="D2252" s="15" t="n">
        <x:f>C2252/SUM($C$5:$C$2477)</x:f>
        <x:v>0</x:v>
      </x:c>
      <x:c r="E2252" s="15" t="n">
        <x:f>SUM($D$5:D2252)</x:f>
        <x:v>1.0000000000000036</x:v>
      </x:c>
      <x:c r="F2252" s="1" t="str">
        <x:f>IF(C2252&lt;=0,"C",IF(E2252-D2252&lt;'Дашборд'!$C$49,"A",IF(E2252-D2252&lt;'Дашборд'!$C$50,"B","C")))</x:f>
        <x:v>C</x:v>
      </x:c>
      <x:c r="G2252" s="8" t="n">
        <x:f>'Данные'!F2252</x:f>
        <x:v>0</x:v>
      </x:c>
      <x:c r="H2252" s="8" t="n">
        <x:f>SUM('Данные'!H2252:I2252)</x:f>
        <x:v>0</x:v>
      </x:c>
      <x:c r="I2252" s="16" t="str">
        <x:f>IF(H2252&gt;0,G2252/H2252,"n.a.")</x:f>
        <x:v>n.a.</x:v>
      </x:c>
      <x:c r="J2252" s="10" t="n">
        <x:f>IF('Данные'!E2252&gt;0,G2252/'Данные'!E2252,"n.a.")</x:f>
        <x:v>0</x:v>
      </x:c>
      <x:c r="K2252" s="1" t="str">
        <x:f>IF(G2252&gt;='Дашборд'!$C$51,"X","Z")</x:f>
        <x:v>Z</x:v>
      </x:c>
      <x:c r="L2252" s="1" t="str">
        <x:f>IF(H2252=0,IF(G2252&gt;0,"Нет остатка","Нет спроса"),IF(I2252&gt;='Дашборд'!$C$52,"Быстрый","Медленный"))</x:f>
        <x:v>Нет спроса</x:v>
      </x:c>
      <x:c r="M2252" s="1" t="str">
        <x:f>IF('Данные'!E2252&lt;'Дашборд'!$C$53,"Мало трафика",IF(J2252&lt;'Дашборд'!$C$9*'Дашборд'!$C$54,"Да","Нет"))</x:f>
        <x:v>Мало трафика</x:v>
      </x:c>
      <x:c r="N2252" s="1" t="str">
        <x:f>IF(AND('Данные'!D2252&gt;='Дашборд'!$C$55,D2252&lt;'Дашборд'!$C$56,'Данные'!E2252&gt;='Дашборд'!$C$53,'Данные'!L2252&lt;&gt;"Да"),"Да","Нет")</x:f>
        <x:v>Нет</x:v>
      </x:c>
      <x:c r="O2252" s="1" t="str">
        <x:f>'Данные'!L2252</x:f>
        <x:v>Нет</x:v>
      </x:c>
    </x:row>
    <x:row r="2253">
      <x:c r="A2253" s="1" t="str">
        <x:f>'Данные'!A2253</x:f>
        <x:v>296186654</x:v>
      </x:c>
      <x:c r="B2253" s="1" t="str">
        <x:f>'Данные'!B2253</x:f>
        <x:v>shtanyman4P-79/графит</x:v>
      </x:c>
      <x:c r="C2253" s="8" t="n">
        <x:f>'Данные'!G2253</x:f>
        <x:v>0</x:v>
      </x:c>
      <x:c r="D2253" s="15" t="n">
        <x:f>C2253/SUM($C$5:$C$2477)</x:f>
        <x:v>0</x:v>
      </x:c>
      <x:c r="E2253" s="15" t="n">
        <x:f>SUM($D$5:D2253)</x:f>
        <x:v>1.0000000000000036</x:v>
      </x:c>
      <x:c r="F2253" s="1" t="str">
        <x:f>IF(C2253&lt;=0,"C",IF(E2253-D2253&lt;'Дашборд'!$C$49,"A",IF(E2253-D2253&lt;'Дашборд'!$C$50,"B","C")))</x:f>
        <x:v>C</x:v>
      </x:c>
      <x:c r="G2253" s="8" t="n">
        <x:f>'Данные'!F2253</x:f>
        <x:v>0</x:v>
      </x:c>
      <x:c r="H2253" s="8" t="n">
        <x:f>SUM('Данные'!H2253:I2253)</x:f>
        <x:v>0</x:v>
      </x:c>
      <x:c r="I2253" s="16" t="str">
        <x:f>IF(H2253&gt;0,G2253/H2253,"n.a.")</x:f>
        <x:v>n.a.</x:v>
      </x:c>
      <x:c r="J2253" s="10" t="n">
        <x:f>IF('Данные'!E2253&gt;0,G2253/'Данные'!E2253,"n.a.")</x:f>
        <x:v>0</x:v>
      </x:c>
      <x:c r="K2253" s="1" t="str">
        <x:f>IF(G2253&gt;='Дашборд'!$C$51,"X","Z")</x:f>
        <x:v>Z</x:v>
      </x:c>
      <x:c r="L2253" s="1" t="str">
        <x:f>IF(H2253=0,IF(G2253&gt;0,"Нет остатка","Нет спроса"),IF(I2253&gt;='Дашборд'!$C$52,"Быстрый","Медленный"))</x:f>
        <x:v>Нет спроса</x:v>
      </x:c>
      <x:c r="M2253" s="1" t="str">
        <x:f>IF('Данные'!E2253&lt;'Дашборд'!$C$53,"Мало трафика",IF(J2253&lt;'Дашборд'!$C$9*'Дашборд'!$C$54,"Да","Нет"))</x:f>
        <x:v>Мало трафика</x:v>
      </x:c>
      <x:c r="N2253" s="1" t="str">
        <x:f>IF(AND('Данные'!D2253&gt;='Дашборд'!$C$55,D2253&lt;'Дашборд'!$C$56,'Данные'!E2253&gt;='Дашборд'!$C$53,'Данные'!L2253&lt;&gt;"Да"),"Да","Нет")</x:f>
        <x:v>Нет</x:v>
      </x:c>
      <x:c r="O2253" s="1" t="str">
        <x:f>'Данные'!L2253</x:f>
        <x:v>Нет</x:v>
      </x:c>
    </x:row>
    <x:row r="2254">
      <x:c r="A2254" s="1" t="str">
        <x:f>'Данные'!A2254</x:f>
        <x:v>296192285</x:v>
      </x:c>
      <x:c r="B2254" s="1" t="str">
        <x:f>'Данные'!B2254</x:f>
        <x:v>fixman4F-78/темно-серый</x:v>
      </x:c>
      <x:c r="C2254" s="8" t="n">
        <x:f>'Данные'!G2254</x:f>
        <x:v>0</x:v>
      </x:c>
      <x:c r="D2254" s="15" t="n">
        <x:f>C2254/SUM($C$5:$C$2477)</x:f>
        <x:v>0</x:v>
      </x:c>
      <x:c r="E2254" s="15" t="n">
        <x:f>SUM($D$5:D2254)</x:f>
        <x:v>1.0000000000000036</x:v>
      </x:c>
      <x:c r="F2254" s="1" t="str">
        <x:f>IF(C2254&lt;=0,"C",IF(E2254-D2254&lt;'Дашборд'!$C$49,"A",IF(E2254-D2254&lt;'Дашборд'!$C$50,"B","C")))</x:f>
        <x:v>C</x:v>
      </x:c>
      <x:c r="G2254" s="8" t="n">
        <x:f>'Данные'!F2254</x:f>
        <x:v>0</x:v>
      </x:c>
      <x:c r="H2254" s="8" t="n">
        <x:f>SUM('Данные'!H2254:I2254)</x:f>
        <x:v>0</x:v>
      </x:c>
      <x:c r="I2254" s="16" t="str">
        <x:f>IF(H2254&gt;0,G2254/H2254,"n.a.")</x:f>
        <x:v>n.a.</x:v>
      </x:c>
      <x:c r="J2254" s="10" t="n">
        <x:f>IF('Данные'!E2254&gt;0,G2254/'Данные'!E2254,"n.a.")</x:f>
        <x:v>0</x:v>
      </x:c>
      <x:c r="K2254" s="1" t="str">
        <x:f>IF(G2254&gt;='Дашборд'!$C$51,"X","Z")</x:f>
        <x:v>Z</x:v>
      </x:c>
      <x:c r="L2254" s="1" t="str">
        <x:f>IF(H2254=0,IF(G2254&gt;0,"Нет остатка","Нет спроса"),IF(I2254&gt;='Дашборд'!$C$52,"Быстрый","Медленный"))</x:f>
        <x:v>Нет спроса</x:v>
      </x:c>
      <x:c r="M2254" s="1" t="str">
        <x:f>IF('Данные'!E2254&lt;'Дашборд'!$C$53,"Мало трафика",IF(J2254&lt;'Дашборд'!$C$9*'Дашборд'!$C$54,"Да","Нет"))</x:f>
        <x:v>Да</x:v>
      </x:c>
      <x:c r="N2254" s="1" t="str">
        <x:f>IF(AND('Данные'!D2254&gt;='Дашборд'!$C$55,D2254&lt;'Дашборд'!$C$56,'Данные'!E2254&gt;='Дашборд'!$C$53,'Данные'!L2254&lt;&gt;"Да"),"Да","Нет")</x:f>
        <x:v>Нет</x:v>
      </x:c>
      <x:c r="O2254" s="1" t="str">
        <x:f>'Данные'!L2254</x:f>
        <x:v>Нет</x:v>
      </x:c>
    </x:row>
    <x:row r="2255">
      <x:c r="A2255" s="1" t="str">
        <x:f>'Данные'!A2255</x:f>
        <x:v>296192286</x:v>
      </x:c>
      <x:c r="B2255" s="1" t="str">
        <x:f>'Данные'!B2255</x:f>
        <x:v>fixman4F-78/молочный</x:v>
      </x:c>
      <x:c r="C2255" s="8" t="n">
        <x:f>'Данные'!G2255</x:f>
        <x:v>0</x:v>
      </x:c>
      <x:c r="D2255" s="15" t="n">
        <x:f>C2255/SUM($C$5:$C$2477)</x:f>
        <x:v>0</x:v>
      </x:c>
      <x:c r="E2255" s="15" t="n">
        <x:f>SUM($D$5:D2255)</x:f>
        <x:v>1.0000000000000036</x:v>
      </x:c>
      <x:c r="F2255" s="1" t="str">
        <x:f>IF(C2255&lt;=0,"C",IF(E2255-D2255&lt;'Дашборд'!$C$49,"A",IF(E2255-D2255&lt;'Дашборд'!$C$50,"B","C")))</x:f>
        <x:v>C</x:v>
      </x:c>
      <x:c r="G2255" s="8" t="n">
        <x:f>'Данные'!F2255</x:f>
        <x:v>0</x:v>
      </x:c>
      <x:c r="H2255" s="8" t="n">
        <x:f>SUM('Данные'!H2255:I2255)</x:f>
        <x:v>0</x:v>
      </x:c>
      <x:c r="I2255" s="16" t="str">
        <x:f>IF(H2255&gt;0,G2255/H2255,"n.a.")</x:f>
        <x:v>n.a.</x:v>
      </x:c>
      <x:c r="J2255" s="10" t="n">
        <x:f>IF('Данные'!E2255&gt;0,G2255/'Данные'!E2255,"n.a.")</x:f>
        <x:v>0</x:v>
      </x:c>
      <x:c r="K2255" s="1" t="str">
        <x:f>IF(G2255&gt;='Дашборд'!$C$51,"X","Z")</x:f>
        <x:v>Z</x:v>
      </x:c>
      <x:c r="L2255" s="1" t="str">
        <x:f>IF(H2255=0,IF(G2255&gt;0,"Нет остатка","Нет спроса"),IF(I2255&gt;='Дашборд'!$C$52,"Быстрый","Медленный"))</x:f>
        <x:v>Нет спроса</x:v>
      </x:c>
      <x:c r="M2255" s="1" t="str">
        <x:f>IF('Данные'!E2255&lt;'Дашборд'!$C$53,"Мало трафика",IF(J2255&lt;'Дашборд'!$C$9*'Дашборд'!$C$54,"Да","Нет"))</x:f>
        <x:v>Мало трафика</x:v>
      </x:c>
      <x:c r="N2255" s="1" t="str">
        <x:f>IF(AND('Данные'!D2255&gt;='Дашборд'!$C$55,D2255&lt;'Дашборд'!$C$56,'Данные'!E2255&gt;='Дашборд'!$C$53,'Данные'!L2255&lt;&gt;"Да"),"Да","Нет")</x:f>
        <x:v>Нет</x:v>
      </x:c>
      <x:c r="O2255" s="1" t="str">
        <x:f>'Данные'!L2255</x:f>
        <x:v>Нет</x:v>
      </x:c>
    </x:row>
    <x:row r="2256">
      <x:c r="A2256" s="1" t="str">
        <x:f>'Данные'!A2256</x:f>
        <x:v>297336421</x:v>
      </x:c>
      <x:c r="B2256" s="1" t="str">
        <x:f>'Данные'!B2256</x:f>
        <x:v>kostumman/хаки</x:v>
      </x:c>
      <x:c r="C2256" s="8" t="n">
        <x:f>'Данные'!G2256</x:f>
        <x:v>0</x:v>
      </x:c>
      <x:c r="D2256" s="15" t="n">
        <x:f>C2256/SUM($C$5:$C$2477)</x:f>
        <x:v>0</x:v>
      </x:c>
      <x:c r="E2256" s="15" t="n">
        <x:f>SUM($D$5:D2256)</x:f>
        <x:v>1.0000000000000036</x:v>
      </x:c>
      <x:c r="F2256" s="1" t="str">
        <x:f>IF(C2256&lt;=0,"C",IF(E2256-D2256&lt;'Дашборд'!$C$49,"A",IF(E2256-D2256&lt;'Дашборд'!$C$50,"B","C")))</x:f>
        <x:v>C</x:v>
      </x:c>
      <x:c r="G2256" s="8" t="n">
        <x:f>'Данные'!F2256</x:f>
        <x:v>0</x:v>
      </x:c>
      <x:c r="H2256" s="8" t="n">
        <x:f>SUM('Данные'!H2256:I2256)</x:f>
        <x:v>0</x:v>
      </x:c>
      <x:c r="I2256" s="16" t="str">
        <x:f>IF(H2256&gt;0,G2256/H2256,"n.a.")</x:f>
        <x:v>n.a.</x:v>
      </x:c>
      <x:c r="J2256" s="10" t="str">
        <x:f>IF('Данные'!E2256&gt;0,G2256/'Данные'!E2256,"n.a.")</x:f>
        <x:v>n.a.</x:v>
      </x:c>
      <x:c r="K2256" s="1" t="str">
        <x:f>IF(G2256&gt;='Дашборд'!$C$51,"X","Z")</x:f>
        <x:v>Z</x:v>
      </x:c>
      <x:c r="L2256" s="1" t="str">
        <x:f>IF(H2256=0,IF(G2256&gt;0,"Нет остатка","Нет спроса"),IF(I2256&gt;='Дашборд'!$C$52,"Быстрый","Медленный"))</x:f>
        <x:v>Нет спроса</x:v>
      </x:c>
      <x:c r="M2256" s="1" t="str">
        <x:f>IF('Данные'!E2256&lt;'Дашборд'!$C$53,"Мало трафика",IF(J2256&lt;'Дашборд'!$C$9*'Дашборд'!$C$54,"Да","Нет"))</x:f>
        <x:v>Мало трафика</x:v>
      </x:c>
      <x:c r="N2256" s="1" t="str">
        <x:f>IF(AND('Данные'!D2256&gt;='Дашборд'!$C$55,D2256&lt;'Дашборд'!$C$56,'Данные'!E2256&gt;='Дашборд'!$C$53,'Данные'!L2256&lt;&gt;"Да"),"Да","Нет")</x:f>
        <x:v>Нет</x:v>
      </x:c>
      <x:c r="O2256" s="1" t="str">
        <x:f>'Данные'!L2256</x:f>
        <x:v>Нет</x:v>
      </x:c>
    </x:row>
    <x:row r="2257">
      <x:c r="A2257" s="1" t="str">
        <x:f>'Данные'!A2257</x:f>
        <x:v>297336423</x:v>
      </x:c>
      <x:c r="B2257" s="1" t="str">
        <x:f>'Данные'!B2257</x:f>
        <x:v>kostumman/синий</x:v>
      </x:c>
      <x:c r="C2257" s="8" t="n">
        <x:f>'Данные'!G2257</x:f>
        <x:v>0</x:v>
      </x:c>
      <x:c r="D2257" s="15" t="n">
        <x:f>C2257/SUM($C$5:$C$2477)</x:f>
        <x:v>0</x:v>
      </x:c>
      <x:c r="E2257" s="15" t="n">
        <x:f>SUM($D$5:D2257)</x:f>
        <x:v>1.0000000000000036</x:v>
      </x:c>
      <x:c r="F2257" s="1" t="str">
        <x:f>IF(C2257&lt;=0,"C",IF(E2257-D2257&lt;'Дашборд'!$C$49,"A",IF(E2257-D2257&lt;'Дашборд'!$C$50,"B","C")))</x:f>
        <x:v>C</x:v>
      </x:c>
      <x:c r="G2257" s="8" t="n">
        <x:f>'Данные'!F2257</x:f>
        <x:v>0</x:v>
      </x:c>
      <x:c r="H2257" s="8" t="n">
        <x:f>SUM('Данные'!H2257:I2257)</x:f>
        <x:v>0</x:v>
      </x:c>
      <x:c r="I2257" s="16" t="str">
        <x:f>IF(H2257&gt;0,G2257/H2257,"n.a.")</x:f>
        <x:v>n.a.</x:v>
      </x:c>
      <x:c r="J2257" s="10" t="n">
        <x:f>IF('Данные'!E2257&gt;0,G2257/'Данные'!E2257,"n.a.")</x:f>
        <x:v>0</x:v>
      </x:c>
      <x:c r="K2257" s="1" t="str">
        <x:f>IF(G2257&gt;='Дашборд'!$C$51,"X","Z")</x:f>
        <x:v>Z</x:v>
      </x:c>
      <x:c r="L2257" s="1" t="str">
        <x:f>IF(H2257=0,IF(G2257&gt;0,"Нет остатка","Нет спроса"),IF(I2257&gt;='Дашборд'!$C$52,"Быстрый","Медленный"))</x:f>
        <x:v>Нет спроса</x:v>
      </x:c>
      <x:c r="M2257" s="1" t="str">
        <x:f>IF('Данные'!E2257&lt;'Дашборд'!$C$53,"Мало трафика",IF(J2257&lt;'Дашборд'!$C$9*'Дашборд'!$C$54,"Да","Нет"))</x:f>
        <x:v>Мало трафика</x:v>
      </x:c>
      <x:c r="N2257" s="1" t="str">
        <x:f>IF(AND('Данные'!D2257&gt;='Дашборд'!$C$55,D2257&lt;'Дашборд'!$C$56,'Данные'!E2257&gt;='Дашборд'!$C$53,'Данные'!L2257&lt;&gt;"Да"),"Да","Нет")</x:f>
        <x:v>Нет</x:v>
      </x:c>
      <x:c r="O2257" s="1" t="str">
        <x:f>'Данные'!L2257</x:f>
        <x:v>Нет</x:v>
      </x:c>
    </x:row>
    <x:row r="2258">
      <x:c r="A2258" s="1" t="str">
        <x:f>'Данные'!A2258</x:f>
        <x:v>297720325</x:v>
      </x:c>
      <x:c r="B2258" s="1" t="str">
        <x:f>'Данные'!B2258</x:f>
        <x:v>hudicropprint/Cupid-251/вареныйсерый</x:v>
      </x:c>
      <x:c r="C2258" s="8" t="n">
        <x:f>'Данные'!G2258</x:f>
        <x:v>0</x:v>
      </x:c>
      <x:c r="D2258" s="15" t="n">
        <x:f>C2258/SUM($C$5:$C$2477)</x:f>
        <x:v>0</x:v>
      </x:c>
      <x:c r="E2258" s="15" t="n">
        <x:f>SUM($D$5:D2258)</x:f>
        <x:v>1.0000000000000036</x:v>
      </x:c>
      <x:c r="F2258" s="1" t="str">
        <x:f>IF(C2258&lt;=0,"C",IF(E2258-D2258&lt;'Дашборд'!$C$49,"A",IF(E2258-D2258&lt;'Дашборд'!$C$50,"B","C")))</x:f>
        <x:v>C</x:v>
      </x:c>
      <x:c r="G2258" s="8" t="n">
        <x:f>'Данные'!F2258</x:f>
        <x:v>0</x:v>
      </x:c>
      <x:c r="H2258" s="8" t="n">
        <x:f>SUM('Данные'!H2258:I2258)</x:f>
        <x:v>0</x:v>
      </x:c>
      <x:c r="I2258" s="16" t="str">
        <x:f>IF(H2258&gt;0,G2258/H2258,"n.a.")</x:f>
        <x:v>n.a.</x:v>
      </x:c>
      <x:c r="J2258" s="10" t="n">
        <x:f>IF('Данные'!E2258&gt;0,G2258/'Данные'!E2258,"n.a.")</x:f>
        <x:v>0</x:v>
      </x:c>
      <x:c r="K2258" s="1" t="str">
        <x:f>IF(G2258&gt;='Дашборд'!$C$51,"X","Z")</x:f>
        <x:v>Z</x:v>
      </x:c>
      <x:c r="L2258" s="1" t="str">
        <x:f>IF(H2258=0,IF(G2258&gt;0,"Нет остатка","Нет спроса"),IF(I2258&gt;='Дашборд'!$C$52,"Быстрый","Медленный"))</x:f>
        <x:v>Нет спроса</x:v>
      </x:c>
      <x:c r="M2258" s="1" t="str">
        <x:f>IF('Данные'!E2258&lt;'Дашборд'!$C$53,"Мало трафика",IF(J2258&lt;'Дашборд'!$C$9*'Дашборд'!$C$54,"Да","Нет"))</x:f>
        <x:v>Мало трафика</x:v>
      </x:c>
      <x:c r="N2258" s="1" t="str">
        <x:f>IF(AND('Данные'!D2258&gt;='Дашборд'!$C$55,D2258&lt;'Дашборд'!$C$56,'Данные'!E2258&gt;='Дашборд'!$C$53,'Данные'!L2258&lt;&gt;"Да"),"Да","Нет")</x:f>
        <x:v>Нет</x:v>
      </x:c>
      <x:c r="O2258" s="1" t="str">
        <x:f>'Данные'!L2258</x:f>
        <x:v>Нет</x:v>
      </x:c>
    </x:row>
    <x:row r="2259">
      <x:c r="A2259" s="1" t="str">
        <x:f>'Данные'!A2259</x:f>
        <x:v>306156815</x:v>
      </x:c>
      <x:c r="B2259" s="1" t="str">
        <x:f>'Данные'!B2259</x:f>
        <x:v>svitman4F-S-7/черный</x:v>
      </x:c>
      <x:c r="C2259" s="8" t="n">
        <x:f>'Данные'!G2259</x:f>
        <x:v>0</x:v>
      </x:c>
      <x:c r="D2259" s="15" t="n">
        <x:f>C2259/SUM($C$5:$C$2477)</x:f>
        <x:v>0</x:v>
      </x:c>
      <x:c r="E2259" s="15" t="n">
        <x:f>SUM($D$5:D2259)</x:f>
        <x:v>1.0000000000000036</x:v>
      </x:c>
      <x:c r="F2259" s="1" t="str">
        <x:f>IF(C2259&lt;=0,"C",IF(E2259-D2259&lt;'Дашборд'!$C$49,"A",IF(E2259-D2259&lt;'Дашборд'!$C$50,"B","C")))</x:f>
        <x:v>C</x:v>
      </x:c>
      <x:c r="G2259" s="8" t="n">
        <x:f>'Данные'!F2259</x:f>
        <x:v>0</x:v>
      </x:c>
      <x:c r="H2259" s="8" t="n">
        <x:f>SUM('Данные'!H2259:I2259)</x:f>
        <x:v>0</x:v>
      </x:c>
      <x:c r="I2259" s="16" t="str">
        <x:f>IF(H2259&gt;0,G2259/H2259,"n.a.")</x:f>
        <x:v>n.a.</x:v>
      </x:c>
      <x:c r="J2259" s="10" t="str">
        <x:f>IF('Данные'!E2259&gt;0,G2259/'Данные'!E2259,"n.a.")</x:f>
        <x:v>n.a.</x:v>
      </x:c>
      <x:c r="K2259" s="1" t="str">
        <x:f>IF(G2259&gt;='Дашборд'!$C$51,"X","Z")</x:f>
        <x:v>Z</x:v>
      </x:c>
      <x:c r="L2259" s="1" t="str">
        <x:f>IF(H2259=0,IF(G2259&gt;0,"Нет остатка","Нет спроса"),IF(I2259&gt;='Дашборд'!$C$52,"Быстрый","Медленный"))</x:f>
        <x:v>Нет спроса</x:v>
      </x:c>
      <x:c r="M2259" s="1" t="str">
        <x:f>IF('Данные'!E2259&lt;'Дашборд'!$C$53,"Мало трафика",IF(J2259&lt;'Дашборд'!$C$9*'Дашборд'!$C$54,"Да","Нет"))</x:f>
        <x:v>Мало трафика</x:v>
      </x:c>
      <x:c r="N2259" s="1" t="str">
        <x:f>IF(AND('Данные'!D2259&gt;='Дашборд'!$C$55,D2259&lt;'Дашборд'!$C$56,'Данные'!E2259&gt;='Дашборд'!$C$53,'Данные'!L2259&lt;&gt;"Да"),"Да","Нет")</x:f>
        <x:v>Нет</x:v>
      </x:c>
      <x:c r="O2259" s="1" t="str">
        <x:f>'Данные'!L2259</x:f>
        <x:v>Нет</x:v>
      </x:c>
    </x:row>
    <x:row r="2260">
      <x:c r="A2260" s="1" t="str">
        <x:f>'Данные'!A2260</x:f>
        <x:v>306156817</x:v>
      </x:c>
      <x:c r="B2260" s="1" t="str">
        <x:f>'Данные'!B2260</x:f>
        <x:v>svitman4F-S-7/бежевый</x:v>
      </x:c>
      <x:c r="C2260" s="8" t="n">
        <x:f>'Данные'!G2260</x:f>
        <x:v>0</x:v>
      </x:c>
      <x:c r="D2260" s="15" t="n">
        <x:f>C2260/SUM($C$5:$C$2477)</x:f>
        <x:v>0</x:v>
      </x:c>
      <x:c r="E2260" s="15" t="n">
        <x:f>SUM($D$5:D2260)</x:f>
        <x:v>1.0000000000000036</x:v>
      </x:c>
      <x:c r="F2260" s="1" t="str">
        <x:f>IF(C2260&lt;=0,"C",IF(E2260-D2260&lt;'Дашборд'!$C$49,"A",IF(E2260-D2260&lt;'Дашборд'!$C$50,"B","C")))</x:f>
        <x:v>C</x:v>
      </x:c>
      <x:c r="G2260" s="8" t="n">
        <x:f>'Данные'!F2260</x:f>
        <x:v>0</x:v>
      </x:c>
      <x:c r="H2260" s="8" t="n">
        <x:f>SUM('Данные'!H2260:I2260)</x:f>
        <x:v>0</x:v>
      </x:c>
      <x:c r="I2260" s="16" t="str">
        <x:f>IF(H2260&gt;0,G2260/H2260,"n.a.")</x:f>
        <x:v>n.a.</x:v>
      </x:c>
      <x:c r="J2260" s="10" t="str">
        <x:f>IF('Данные'!E2260&gt;0,G2260/'Данные'!E2260,"n.a.")</x:f>
        <x:v>n.a.</x:v>
      </x:c>
      <x:c r="K2260" s="1" t="str">
        <x:f>IF(G2260&gt;='Дашборд'!$C$51,"X","Z")</x:f>
        <x:v>Z</x:v>
      </x:c>
      <x:c r="L2260" s="1" t="str">
        <x:f>IF(H2260=0,IF(G2260&gt;0,"Нет остатка","Нет спроса"),IF(I2260&gt;='Дашборд'!$C$52,"Быстрый","Медленный"))</x:f>
        <x:v>Нет спроса</x:v>
      </x:c>
      <x:c r="M2260" s="1" t="str">
        <x:f>IF('Данные'!E2260&lt;'Дашборд'!$C$53,"Мало трафика",IF(J2260&lt;'Дашборд'!$C$9*'Дашборд'!$C$54,"Да","Нет"))</x:f>
        <x:v>Мало трафика</x:v>
      </x:c>
      <x:c r="N2260" s="1" t="str">
        <x:f>IF(AND('Данные'!D2260&gt;='Дашборд'!$C$55,D2260&lt;'Дашборд'!$C$56,'Данные'!E2260&gt;='Дашборд'!$C$53,'Данные'!L2260&lt;&gt;"Да"),"Да","Нет")</x:f>
        <x:v>Нет</x:v>
      </x:c>
      <x:c r="O2260" s="1" t="str">
        <x:f>'Данные'!L2260</x:f>
        <x:v>Нет</x:v>
      </x:c>
    </x:row>
    <x:row r="2261">
      <x:c r="A2261" s="1" t="str">
        <x:f>'Данные'!A2261</x:f>
        <x:v>306156818</x:v>
      </x:c>
      <x:c r="B2261" s="1" t="str">
        <x:f>'Данные'!B2261</x:f>
        <x:v>svitman4F-S-7/графит</x:v>
      </x:c>
      <x:c r="C2261" s="8" t="n">
        <x:f>'Данные'!G2261</x:f>
        <x:v>0</x:v>
      </x:c>
      <x:c r="D2261" s="15" t="n">
        <x:f>C2261/SUM($C$5:$C$2477)</x:f>
        <x:v>0</x:v>
      </x:c>
      <x:c r="E2261" s="15" t="n">
        <x:f>SUM($D$5:D2261)</x:f>
        <x:v>1.0000000000000036</x:v>
      </x:c>
      <x:c r="F2261" s="1" t="str">
        <x:f>IF(C2261&lt;=0,"C",IF(E2261-D2261&lt;'Дашборд'!$C$49,"A",IF(E2261-D2261&lt;'Дашборд'!$C$50,"B","C")))</x:f>
        <x:v>C</x:v>
      </x:c>
      <x:c r="G2261" s="8" t="n">
        <x:f>'Данные'!F2261</x:f>
        <x:v>0</x:v>
      </x:c>
      <x:c r="H2261" s="8" t="n">
        <x:f>SUM('Данные'!H2261:I2261)</x:f>
        <x:v>0</x:v>
      </x:c>
      <x:c r="I2261" s="16" t="str">
        <x:f>IF(H2261&gt;0,G2261/H2261,"n.a.")</x:f>
        <x:v>n.a.</x:v>
      </x:c>
      <x:c r="J2261" s="10" t="str">
        <x:f>IF('Данные'!E2261&gt;0,G2261/'Данные'!E2261,"n.a.")</x:f>
        <x:v>n.a.</x:v>
      </x:c>
      <x:c r="K2261" s="1" t="str">
        <x:f>IF(G2261&gt;='Дашборд'!$C$51,"X","Z")</x:f>
        <x:v>Z</x:v>
      </x:c>
      <x:c r="L2261" s="1" t="str">
        <x:f>IF(H2261=0,IF(G2261&gt;0,"Нет остатка","Нет спроса"),IF(I2261&gt;='Дашборд'!$C$52,"Быстрый","Медленный"))</x:f>
        <x:v>Нет спроса</x:v>
      </x:c>
      <x:c r="M2261" s="1" t="str">
        <x:f>IF('Данные'!E2261&lt;'Дашборд'!$C$53,"Мало трафика",IF(J2261&lt;'Дашборд'!$C$9*'Дашборд'!$C$54,"Да","Нет"))</x:f>
        <x:v>Мало трафика</x:v>
      </x:c>
      <x:c r="N2261" s="1" t="str">
        <x:f>IF(AND('Данные'!D2261&gt;='Дашборд'!$C$55,D2261&lt;'Дашборд'!$C$56,'Данные'!E2261&gt;='Дашборд'!$C$53,'Данные'!L2261&lt;&gt;"Да"),"Да","Нет")</x:f>
        <x:v>Нет</x:v>
      </x:c>
      <x:c r="O2261" s="1" t="str">
        <x:f>'Данные'!L2261</x:f>
        <x:v>Нет</x:v>
      </x:c>
    </x:row>
    <x:row r="2262">
      <x:c r="A2262" s="1" t="str">
        <x:f>'Данные'!A2262</x:f>
        <x:v>311045252</x:v>
      </x:c>
      <x:c r="B2262" s="1" t="str">
        <x:f>'Данные'!B2262</x:f>
        <x:v>hudipetl/вареныйсерый</x:v>
      </x:c>
      <x:c r="C2262" s="8" t="n">
        <x:f>'Данные'!G2262</x:f>
        <x:v>0</x:v>
      </x:c>
      <x:c r="D2262" s="15" t="n">
        <x:f>C2262/SUM($C$5:$C$2477)</x:f>
        <x:v>0</x:v>
      </x:c>
      <x:c r="E2262" s="15" t="n">
        <x:f>SUM($D$5:D2262)</x:f>
        <x:v>1.0000000000000036</x:v>
      </x:c>
      <x:c r="F2262" s="1" t="str">
        <x:f>IF(C2262&lt;=0,"C",IF(E2262-D2262&lt;'Дашборд'!$C$49,"A",IF(E2262-D2262&lt;'Дашборд'!$C$50,"B","C")))</x:f>
        <x:v>C</x:v>
      </x:c>
      <x:c r="G2262" s="8" t="n">
        <x:f>'Данные'!F2262</x:f>
        <x:v>0</x:v>
      </x:c>
      <x:c r="H2262" s="8" t="n">
        <x:f>SUM('Данные'!H2262:I2262)</x:f>
        <x:v>0</x:v>
      </x:c>
      <x:c r="I2262" s="16" t="str">
        <x:f>IF(H2262&gt;0,G2262/H2262,"n.a.")</x:f>
        <x:v>n.a.</x:v>
      </x:c>
      <x:c r="J2262" s="10" t="n">
        <x:f>IF('Данные'!E2262&gt;0,G2262/'Данные'!E2262,"n.a.")</x:f>
        <x:v>0</x:v>
      </x:c>
      <x:c r="K2262" s="1" t="str">
        <x:f>IF(G2262&gt;='Дашборд'!$C$51,"X","Z")</x:f>
        <x:v>Z</x:v>
      </x:c>
      <x:c r="L2262" s="1" t="str">
        <x:f>IF(H2262=0,IF(G2262&gt;0,"Нет остатка","Нет спроса"),IF(I2262&gt;='Дашборд'!$C$52,"Быстрый","Медленный"))</x:f>
        <x:v>Нет спроса</x:v>
      </x:c>
      <x:c r="M2262" s="1" t="str">
        <x:f>IF('Данные'!E2262&lt;'Дашборд'!$C$53,"Мало трафика",IF(J2262&lt;'Дашборд'!$C$9*'Дашборд'!$C$54,"Да","Нет"))</x:f>
        <x:v>Мало трафика</x:v>
      </x:c>
      <x:c r="N2262" s="1" t="str">
        <x:f>IF(AND('Данные'!D2262&gt;='Дашборд'!$C$55,D2262&lt;'Дашборд'!$C$56,'Данные'!E2262&gt;='Дашборд'!$C$53,'Данные'!L2262&lt;&gt;"Да"),"Да","Нет")</x:f>
        <x:v>Нет</x:v>
      </x:c>
      <x:c r="O2262" s="1" t="str">
        <x:f>'Данные'!L2262</x:f>
        <x:v>Нет</x:v>
      </x:c>
    </x:row>
    <x:row r="2263">
      <x:c r="A2263" s="1" t="str">
        <x:f>'Данные'!A2263</x:f>
        <x:v>311045256</x:v>
      </x:c>
      <x:c r="B2263" s="1" t="str">
        <x:f>'Данные'!B2263</x:f>
        <x:v>hudipetl/красный</x:v>
      </x:c>
      <x:c r="C2263" s="8" t="n">
        <x:f>'Данные'!G2263</x:f>
        <x:v>0</x:v>
      </x:c>
      <x:c r="D2263" s="15" t="n">
        <x:f>C2263/SUM($C$5:$C$2477)</x:f>
        <x:v>0</x:v>
      </x:c>
      <x:c r="E2263" s="15" t="n">
        <x:f>SUM($D$5:D2263)</x:f>
        <x:v>1.0000000000000036</x:v>
      </x:c>
      <x:c r="F2263" s="1" t="str">
        <x:f>IF(C2263&lt;=0,"C",IF(E2263-D2263&lt;'Дашборд'!$C$49,"A",IF(E2263-D2263&lt;'Дашборд'!$C$50,"B","C")))</x:f>
        <x:v>C</x:v>
      </x:c>
      <x:c r="G2263" s="8" t="n">
        <x:f>'Данные'!F2263</x:f>
        <x:v>0</x:v>
      </x:c>
      <x:c r="H2263" s="8" t="n">
        <x:f>SUM('Данные'!H2263:I2263)</x:f>
        <x:v>0</x:v>
      </x:c>
      <x:c r="I2263" s="16" t="str">
        <x:f>IF(H2263&gt;0,G2263/H2263,"n.a.")</x:f>
        <x:v>n.a.</x:v>
      </x:c>
      <x:c r="J2263" s="10" t="n">
        <x:f>IF('Данные'!E2263&gt;0,G2263/'Данные'!E2263,"n.a.")</x:f>
        <x:v>0</x:v>
      </x:c>
      <x:c r="K2263" s="1" t="str">
        <x:f>IF(G2263&gt;='Дашборд'!$C$51,"X","Z")</x:f>
        <x:v>Z</x:v>
      </x:c>
      <x:c r="L2263" s="1" t="str">
        <x:f>IF(H2263=0,IF(G2263&gt;0,"Нет остатка","Нет спроса"),IF(I2263&gt;='Дашборд'!$C$52,"Быстрый","Медленный"))</x:f>
        <x:v>Нет спроса</x:v>
      </x:c>
      <x:c r="M2263" s="1" t="str">
        <x:f>IF('Данные'!E2263&lt;'Дашборд'!$C$53,"Мало трафика",IF(J2263&lt;'Дашборд'!$C$9*'Дашборд'!$C$54,"Да","Нет"))</x:f>
        <x:v>Мало трафика</x:v>
      </x:c>
      <x:c r="N2263" s="1" t="str">
        <x:f>IF(AND('Данные'!D2263&gt;='Дашборд'!$C$55,D2263&lt;'Дашборд'!$C$56,'Данные'!E2263&gt;='Дашборд'!$C$53,'Данные'!L2263&lt;&gt;"Да"),"Да","Нет")</x:f>
        <x:v>Нет</x:v>
      </x:c>
      <x:c r="O2263" s="1" t="str">
        <x:f>'Данные'!L2263</x:f>
        <x:v>Нет</x:v>
      </x:c>
    </x:row>
    <x:row r="2264">
      <x:c r="A2264" s="1" t="str">
        <x:f>'Данные'!A2264</x:f>
        <x:v>311045259</x:v>
      </x:c>
      <x:c r="B2264" s="1" t="str">
        <x:f>'Данные'!B2264</x:f>
        <x:v>hudipetl/кофейный</x:v>
      </x:c>
      <x:c r="C2264" s="8" t="n">
        <x:f>'Данные'!G2264</x:f>
        <x:v>0</x:v>
      </x:c>
      <x:c r="D2264" s="15" t="n">
        <x:f>C2264/SUM($C$5:$C$2477)</x:f>
        <x:v>0</x:v>
      </x:c>
      <x:c r="E2264" s="15" t="n">
        <x:f>SUM($D$5:D2264)</x:f>
        <x:v>1.0000000000000036</x:v>
      </x:c>
      <x:c r="F2264" s="1" t="str">
        <x:f>IF(C2264&lt;=0,"C",IF(E2264-D2264&lt;'Дашборд'!$C$49,"A",IF(E2264-D2264&lt;'Дашборд'!$C$50,"B","C")))</x:f>
        <x:v>C</x:v>
      </x:c>
      <x:c r="G2264" s="8" t="n">
        <x:f>'Данные'!F2264</x:f>
        <x:v>0</x:v>
      </x:c>
      <x:c r="H2264" s="8" t="n">
        <x:f>SUM('Данные'!H2264:I2264)</x:f>
        <x:v>0</x:v>
      </x:c>
      <x:c r="I2264" s="16" t="str">
        <x:f>IF(H2264&gt;0,G2264/H2264,"n.a.")</x:f>
        <x:v>n.a.</x:v>
      </x:c>
      <x:c r="J2264" s="10" t="n">
        <x:f>IF('Данные'!E2264&gt;0,G2264/'Данные'!E2264,"n.a.")</x:f>
        <x:v>0</x:v>
      </x:c>
      <x:c r="K2264" s="1" t="str">
        <x:f>IF(G2264&gt;='Дашборд'!$C$51,"X","Z")</x:f>
        <x:v>Z</x:v>
      </x:c>
      <x:c r="L2264" s="1" t="str">
        <x:f>IF(H2264=0,IF(G2264&gt;0,"Нет остатка","Нет спроса"),IF(I2264&gt;='Дашборд'!$C$52,"Быстрый","Медленный"))</x:f>
        <x:v>Нет спроса</x:v>
      </x:c>
      <x:c r="M2264" s="1" t="str">
        <x:f>IF('Данные'!E2264&lt;'Дашборд'!$C$53,"Мало трафика",IF(J2264&lt;'Дашборд'!$C$9*'Дашборд'!$C$54,"Да","Нет"))</x:f>
        <x:v>Мало трафика</x:v>
      </x:c>
      <x:c r="N2264" s="1" t="str">
        <x:f>IF(AND('Данные'!D2264&gt;='Дашборд'!$C$55,D2264&lt;'Дашборд'!$C$56,'Данные'!E2264&gt;='Дашборд'!$C$53,'Данные'!L2264&lt;&gt;"Да"),"Да","Нет")</x:f>
        <x:v>Нет</x:v>
      </x:c>
      <x:c r="O2264" s="1" t="str">
        <x:f>'Данные'!L2264</x:f>
        <x:v>Нет</x:v>
      </x:c>
    </x:row>
    <x:row r="2265">
      <x:c r="A2265" s="1" t="str">
        <x:f>'Данные'!A2265</x:f>
        <x:v>311049941</x:v>
      </x:c>
      <x:c r="B2265" s="1" t="str">
        <x:f>'Данные'!B2265</x:f>
        <x:v>hudimanpetl/кофейный</x:v>
      </x:c>
      <x:c r="C2265" s="8" t="n">
        <x:f>'Данные'!G2265</x:f>
        <x:v>0</x:v>
      </x:c>
      <x:c r="D2265" s="15" t="n">
        <x:f>C2265/SUM($C$5:$C$2477)</x:f>
        <x:v>0</x:v>
      </x:c>
      <x:c r="E2265" s="15" t="n">
        <x:f>SUM($D$5:D2265)</x:f>
        <x:v>1.0000000000000036</x:v>
      </x:c>
      <x:c r="F2265" s="1" t="str">
        <x:f>IF(C2265&lt;=0,"C",IF(E2265-D2265&lt;'Дашборд'!$C$49,"A",IF(E2265-D2265&lt;'Дашборд'!$C$50,"B","C")))</x:f>
        <x:v>C</x:v>
      </x:c>
      <x:c r="G2265" s="8" t="n">
        <x:f>'Данные'!F2265</x:f>
        <x:v>0</x:v>
      </x:c>
      <x:c r="H2265" s="8" t="n">
        <x:f>SUM('Данные'!H2265:I2265)</x:f>
        <x:v>0</x:v>
      </x:c>
      <x:c r="I2265" s="16" t="str">
        <x:f>IF(H2265&gt;0,G2265/H2265,"n.a.")</x:f>
        <x:v>n.a.</x:v>
      </x:c>
      <x:c r="J2265" s="10" t="n">
        <x:f>IF('Данные'!E2265&gt;0,G2265/'Данные'!E2265,"n.a.")</x:f>
        <x:v>0</x:v>
      </x:c>
      <x:c r="K2265" s="1" t="str">
        <x:f>IF(G2265&gt;='Дашборд'!$C$51,"X","Z")</x:f>
        <x:v>Z</x:v>
      </x:c>
      <x:c r="L2265" s="1" t="str">
        <x:f>IF(H2265=0,IF(G2265&gt;0,"Нет остатка","Нет спроса"),IF(I2265&gt;='Дашборд'!$C$52,"Быстрый","Медленный"))</x:f>
        <x:v>Нет спроса</x:v>
      </x:c>
      <x:c r="M2265" s="1" t="str">
        <x:f>IF('Данные'!E2265&lt;'Дашборд'!$C$53,"Мало трафика",IF(J2265&lt;'Дашборд'!$C$9*'Дашборд'!$C$54,"Да","Нет"))</x:f>
        <x:v>Мало трафика</x:v>
      </x:c>
      <x:c r="N2265" s="1" t="str">
        <x:f>IF(AND('Данные'!D2265&gt;='Дашборд'!$C$55,D2265&lt;'Дашборд'!$C$56,'Данные'!E2265&gt;='Дашборд'!$C$53,'Данные'!L2265&lt;&gt;"Да"),"Да","Нет")</x:f>
        <x:v>Нет</x:v>
      </x:c>
      <x:c r="O2265" s="1" t="str">
        <x:f>'Данные'!L2265</x:f>
        <x:v>Нет</x:v>
      </x:c>
    </x:row>
    <x:row r="2266">
      <x:c r="A2266" s="1" t="str">
        <x:f>'Данные'!A2266</x:f>
        <x:v>311071835</x:v>
      </x:c>
      <x:c r="B2266" s="1" t="str">
        <x:f>'Данные'!B2266</x:f>
        <x:v>brukipetl/красный</x:v>
      </x:c>
      <x:c r="C2266" s="8" t="n">
        <x:f>'Данные'!G2266</x:f>
        <x:v>0</x:v>
      </x:c>
      <x:c r="D2266" s="15" t="n">
        <x:f>C2266/SUM($C$5:$C$2477)</x:f>
        <x:v>0</x:v>
      </x:c>
      <x:c r="E2266" s="15" t="n">
        <x:f>SUM($D$5:D2266)</x:f>
        <x:v>1.0000000000000036</x:v>
      </x:c>
      <x:c r="F2266" s="1" t="str">
        <x:f>IF(C2266&lt;=0,"C",IF(E2266-D2266&lt;'Дашборд'!$C$49,"A",IF(E2266-D2266&lt;'Дашборд'!$C$50,"B","C")))</x:f>
        <x:v>C</x:v>
      </x:c>
      <x:c r="G2266" s="8" t="n">
        <x:f>'Данные'!F2266</x:f>
        <x:v>0</x:v>
      </x:c>
      <x:c r="H2266" s="8" t="n">
        <x:f>SUM('Данные'!H2266:I2266)</x:f>
        <x:v>0</x:v>
      </x:c>
      <x:c r="I2266" s="16" t="str">
        <x:f>IF(H2266&gt;0,G2266/H2266,"n.a.")</x:f>
        <x:v>n.a.</x:v>
      </x:c>
      <x:c r="J2266" s="10" t="n">
        <x:f>IF('Данные'!E2266&gt;0,G2266/'Данные'!E2266,"n.a.")</x:f>
        <x:v>0</x:v>
      </x:c>
      <x:c r="K2266" s="1" t="str">
        <x:f>IF(G2266&gt;='Дашборд'!$C$51,"X","Z")</x:f>
        <x:v>Z</x:v>
      </x:c>
      <x:c r="L2266" s="1" t="str">
        <x:f>IF(H2266=0,IF(G2266&gt;0,"Нет остатка","Нет спроса"),IF(I2266&gt;='Дашборд'!$C$52,"Быстрый","Медленный"))</x:f>
        <x:v>Нет спроса</x:v>
      </x:c>
      <x:c r="M2266" s="1" t="str">
        <x:f>IF('Данные'!E2266&lt;'Дашборд'!$C$53,"Мало трафика",IF(J2266&lt;'Дашборд'!$C$9*'Дашборд'!$C$54,"Да","Нет"))</x:f>
        <x:v>Мало трафика</x:v>
      </x:c>
      <x:c r="N2266" s="1" t="str">
        <x:f>IF(AND('Данные'!D2266&gt;='Дашборд'!$C$55,D2266&lt;'Дашборд'!$C$56,'Данные'!E2266&gt;='Дашборд'!$C$53,'Данные'!L2266&lt;&gt;"Да"),"Да","Нет")</x:f>
        <x:v>Нет</x:v>
      </x:c>
      <x:c r="O2266" s="1" t="str">
        <x:f>'Данные'!L2266</x:f>
        <x:v>Нет</x:v>
      </x:c>
    </x:row>
    <x:row r="2267">
      <x:c r="A2267" s="1" t="str">
        <x:f>'Данные'!A2267</x:f>
        <x:v>311071839</x:v>
      </x:c>
      <x:c r="B2267" s="1" t="str">
        <x:f>'Данные'!B2267</x:f>
        <x:v>brukipetl/кофейный</x:v>
      </x:c>
      <x:c r="C2267" s="8" t="n">
        <x:f>'Данные'!G2267</x:f>
        <x:v>0</x:v>
      </x:c>
      <x:c r="D2267" s="15" t="n">
        <x:f>C2267/SUM($C$5:$C$2477)</x:f>
        <x:v>0</x:v>
      </x:c>
      <x:c r="E2267" s="15" t="n">
        <x:f>SUM($D$5:D2267)</x:f>
        <x:v>1.0000000000000036</x:v>
      </x:c>
      <x:c r="F2267" s="1" t="str">
        <x:f>IF(C2267&lt;=0,"C",IF(E2267-D2267&lt;'Дашборд'!$C$49,"A",IF(E2267-D2267&lt;'Дашборд'!$C$50,"B","C")))</x:f>
        <x:v>C</x:v>
      </x:c>
      <x:c r="G2267" s="8" t="n">
        <x:f>'Данные'!F2267</x:f>
        <x:v>0</x:v>
      </x:c>
      <x:c r="H2267" s="8" t="n">
        <x:f>SUM('Данные'!H2267:I2267)</x:f>
        <x:v>0</x:v>
      </x:c>
      <x:c r="I2267" s="16" t="str">
        <x:f>IF(H2267&gt;0,G2267/H2267,"n.a.")</x:f>
        <x:v>n.a.</x:v>
      </x:c>
      <x:c r="J2267" s="10" t="n">
        <x:f>IF('Данные'!E2267&gt;0,G2267/'Данные'!E2267,"n.a.")</x:f>
        <x:v>0</x:v>
      </x:c>
      <x:c r="K2267" s="1" t="str">
        <x:f>IF(G2267&gt;='Дашборд'!$C$51,"X","Z")</x:f>
        <x:v>Z</x:v>
      </x:c>
      <x:c r="L2267" s="1" t="str">
        <x:f>IF(H2267=0,IF(G2267&gt;0,"Нет остатка","Нет спроса"),IF(I2267&gt;='Дашборд'!$C$52,"Быстрый","Медленный"))</x:f>
        <x:v>Нет спроса</x:v>
      </x:c>
      <x:c r="M2267" s="1" t="str">
        <x:f>IF('Данные'!E2267&lt;'Дашборд'!$C$53,"Мало трафика",IF(J2267&lt;'Дашборд'!$C$9*'Дашборд'!$C$54,"Да","Нет"))</x:f>
        <x:v>Мало трафика</x:v>
      </x:c>
      <x:c r="N2267" s="1" t="str">
        <x:f>IF(AND('Данные'!D2267&gt;='Дашборд'!$C$55,D2267&lt;'Дашборд'!$C$56,'Данные'!E2267&gt;='Дашборд'!$C$53,'Данные'!L2267&lt;&gt;"Да"),"Да","Нет")</x:f>
        <x:v>Нет</x:v>
      </x:c>
      <x:c r="O2267" s="1" t="str">
        <x:f>'Данные'!L2267</x:f>
        <x:v>Нет</x:v>
      </x:c>
    </x:row>
    <x:row r="2268">
      <x:c r="A2268" s="1" t="str">
        <x:f>'Данные'!A2268</x:f>
        <x:v>311071841</x:v>
      </x:c>
      <x:c r="B2268" s="1" t="str">
        <x:f>'Данные'!B2268</x:f>
        <x:v>brukipetl/морскаяволна</x:v>
      </x:c>
      <x:c r="C2268" s="8" t="n">
        <x:f>'Данные'!G2268</x:f>
        <x:v>0</x:v>
      </x:c>
      <x:c r="D2268" s="15" t="n">
        <x:f>C2268/SUM($C$5:$C$2477)</x:f>
        <x:v>0</x:v>
      </x:c>
      <x:c r="E2268" s="15" t="n">
        <x:f>SUM($D$5:D2268)</x:f>
        <x:v>1.0000000000000036</x:v>
      </x:c>
      <x:c r="F2268" s="1" t="str">
        <x:f>IF(C2268&lt;=0,"C",IF(E2268-D2268&lt;'Дашборд'!$C$49,"A",IF(E2268-D2268&lt;'Дашборд'!$C$50,"B","C")))</x:f>
        <x:v>C</x:v>
      </x:c>
      <x:c r="G2268" s="8" t="n">
        <x:f>'Данные'!F2268</x:f>
        <x:v>0</x:v>
      </x:c>
      <x:c r="H2268" s="8" t="n">
        <x:f>SUM('Данные'!H2268:I2268)</x:f>
        <x:v>0</x:v>
      </x:c>
      <x:c r="I2268" s="16" t="str">
        <x:f>IF(H2268&gt;0,G2268/H2268,"n.a.")</x:f>
        <x:v>n.a.</x:v>
      </x:c>
      <x:c r="J2268" s="10" t="n">
        <x:f>IF('Данные'!E2268&gt;0,G2268/'Данные'!E2268,"n.a.")</x:f>
        <x:v>0</x:v>
      </x:c>
      <x:c r="K2268" s="1" t="str">
        <x:f>IF(G2268&gt;='Дашборд'!$C$51,"X","Z")</x:f>
        <x:v>Z</x:v>
      </x:c>
      <x:c r="L2268" s="1" t="str">
        <x:f>IF(H2268=0,IF(G2268&gt;0,"Нет остатка","Нет спроса"),IF(I2268&gt;='Дашборд'!$C$52,"Быстрый","Медленный"))</x:f>
        <x:v>Нет спроса</x:v>
      </x:c>
      <x:c r="M2268" s="1" t="str">
        <x:f>IF('Данные'!E2268&lt;'Дашборд'!$C$53,"Мало трафика",IF(J2268&lt;'Дашборд'!$C$9*'Дашборд'!$C$54,"Да","Нет"))</x:f>
        <x:v>Мало трафика</x:v>
      </x:c>
      <x:c r="N2268" s="1" t="str">
        <x:f>IF(AND('Данные'!D2268&gt;='Дашборд'!$C$55,D2268&lt;'Дашборд'!$C$56,'Данные'!E2268&gt;='Дашборд'!$C$53,'Данные'!L2268&lt;&gt;"Да"),"Да","Нет")</x:f>
        <x:v>Нет</x:v>
      </x:c>
      <x:c r="O2268" s="1" t="str">
        <x:f>'Данные'!L2268</x:f>
        <x:v>Нет</x:v>
      </x:c>
    </x:row>
    <x:row r="2269">
      <x:c r="A2269" s="1" t="str">
        <x:f>'Данные'!A2269</x:f>
        <x:v>311462394</x:v>
      </x:c>
      <x:c r="B2269" s="1" t="str">
        <x:f>'Данные'!B2269</x:f>
        <x:v>brukimanpetl/вареныйсерый</x:v>
      </x:c>
      <x:c r="C2269" s="8" t="n">
        <x:f>'Данные'!G2269</x:f>
        <x:v>0</x:v>
      </x:c>
      <x:c r="D2269" s="15" t="n">
        <x:f>C2269/SUM($C$5:$C$2477)</x:f>
        <x:v>0</x:v>
      </x:c>
      <x:c r="E2269" s="15" t="n">
        <x:f>SUM($D$5:D2269)</x:f>
        <x:v>1.0000000000000036</x:v>
      </x:c>
      <x:c r="F2269" s="1" t="str">
        <x:f>IF(C2269&lt;=0,"C",IF(E2269-D2269&lt;'Дашборд'!$C$49,"A",IF(E2269-D2269&lt;'Дашборд'!$C$50,"B","C")))</x:f>
        <x:v>C</x:v>
      </x:c>
      <x:c r="G2269" s="8" t="n">
        <x:f>'Данные'!F2269</x:f>
        <x:v>0</x:v>
      </x:c>
      <x:c r="H2269" s="8" t="n">
        <x:f>SUM('Данные'!H2269:I2269)</x:f>
        <x:v>0</x:v>
      </x:c>
      <x:c r="I2269" s="16" t="str">
        <x:f>IF(H2269&gt;0,G2269/H2269,"n.a.")</x:f>
        <x:v>n.a.</x:v>
      </x:c>
      <x:c r="J2269" s="10" t="n">
        <x:f>IF('Данные'!E2269&gt;0,G2269/'Данные'!E2269,"n.a.")</x:f>
        <x:v>0</x:v>
      </x:c>
      <x:c r="K2269" s="1" t="str">
        <x:f>IF(G2269&gt;='Дашборд'!$C$51,"X","Z")</x:f>
        <x:v>Z</x:v>
      </x:c>
      <x:c r="L2269" s="1" t="str">
        <x:f>IF(H2269=0,IF(G2269&gt;0,"Нет остатка","Нет спроса"),IF(I2269&gt;='Дашборд'!$C$52,"Быстрый","Медленный"))</x:f>
        <x:v>Нет спроса</x:v>
      </x:c>
      <x:c r="M2269" s="1" t="str">
        <x:f>IF('Данные'!E2269&lt;'Дашборд'!$C$53,"Мало трафика",IF(J2269&lt;'Дашборд'!$C$9*'Дашборд'!$C$54,"Да","Нет"))</x:f>
        <x:v>Мало трафика</x:v>
      </x:c>
      <x:c r="N2269" s="1" t="str">
        <x:f>IF(AND('Данные'!D2269&gt;='Дашборд'!$C$55,D2269&lt;'Дашборд'!$C$56,'Данные'!E2269&gt;='Дашборд'!$C$53,'Данные'!L2269&lt;&gt;"Да"),"Да","Нет")</x:f>
        <x:v>Нет</x:v>
      </x:c>
      <x:c r="O2269" s="1" t="str">
        <x:f>'Данные'!L2269</x:f>
        <x:v>Нет</x:v>
      </x:c>
    </x:row>
    <x:row r="2270">
      <x:c r="A2270" s="1" t="str">
        <x:f>'Данные'!A2270</x:f>
        <x:v>311462402</x:v>
      </x:c>
      <x:c r="B2270" s="1" t="str">
        <x:f>'Данные'!B2270</x:f>
        <x:v>brukimanpetl/кофейный</x:v>
      </x:c>
      <x:c r="C2270" s="8" t="n">
        <x:f>'Данные'!G2270</x:f>
        <x:v>0</x:v>
      </x:c>
      <x:c r="D2270" s="15" t="n">
        <x:f>C2270/SUM($C$5:$C$2477)</x:f>
        <x:v>0</x:v>
      </x:c>
      <x:c r="E2270" s="15" t="n">
        <x:f>SUM($D$5:D2270)</x:f>
        <x:v>1.0000000000000036</x:v>
      </x:c>
      <x:c r="F2270" s="1" t="str">
        <x:f>IF(C2270&lt;=0,"C",IF(E2270-D2270&lt;'Дашборд'!$C$49,"A",IF(E2270-D2270&lt;'Дашборд'!$C$50,"B","C")))</x:f>
        <x:v>C</x:v>
      </x:c>
      <x:c r="G2270" s="8" t="n">
        <x:f>'Данные'!F2270</x:f>
        <x:v>0</x:v>
      </x:c>
      <x:c r="H2270" s="8" t="n">
        <x:f>SUM('Данные'!H2270:I2270)</x:f>
        <x:v>0</x:v>
      </x:c>
      <x:c r="I2270" s="16" t="str">
        <x:f>IF(H2270&gt;0,G2270/H2270,"n.a.")</x:f>
        <x:v>n.a.</x:v>
      </x:c>
      <x:c r="J2270" s="10" t="str">
        <x:f>IF('Данные'!E2270&gt;0,G2270/'Данные'!E2270,"n.a.")</x:f>
        <x:v>n.a.</x:v>
      </x:c>
      <x:c r="K2270" s="1" t="str">
        <x:f>IF(G2270&gt;='Дашборд'!$C$51,"X","Z")</x:f>
        <x:v>Z</x:v>
      </x:c>
      <x:c r="L2270" s="1" t="str">
        <x:f>IF(H2270=0,IF(G2270&gt;0,"Нет остатка","Нет спроса"),IF(I2270&gt;='Дашборд'!$C$52,"Быстрый","Медленный"))</x:f>
        <x:v>Нет спроса</x:v>
      </x:c>
      <x:c r="M2270" s="1" t="str">
        <x:f>IF('Данные'!E2270&lt;'Дашборд'!$C$53,"Мало трафика",IF(J2270&lt;'Дашборд'!$C$9*'Дашборд'!$C$54,"Да","Нет"))</x:f>
        <x:v>Мало трафика</x:v>
      </x:c>
      <x:c r="N2270" s="1" t="str">
        <x:f>IF(AND('Данные'!D2270&gt;='Дашборд'!$C$55,D2270&lt;'Дашборд'!$C$56,'Данные'!E2270&gt;='Дашборд'!$C$53,'Данные'!L2270&lt;&gt;"Да"),"Да","Нет")</x:f>
        <x:v>Нет</x:v>
      </x:c>
      <x:c r="O2270" s="1" t="str">
        <x:f>'Данные'!L2270</x:f>
        <x:v>Нет</x:v>
      </x:c>
    </x:row>
    <x:row r="2271">
      <x:c r="A2271" s="1" t="str">
        <x:f>'Данные'!A2271</x:f>
        <x:v>31318529</x:v>
      </x:c>
      <x:c r="B2271" s="1" t="str">
        <x:f>'Данные'!B2271</x:f>
        <x:v>futbolkamuzh/молочный</x:v>
      </x:c>
      <x:c r="C2271" s="8" t="n">
        <x:f>'Данные'!G2271</x:f>
        <x:v>0</x:v>
      </x:c>
      <x:c r="D2271" s="15" t="n">
        <x:f>C2271/SUM($C$5:$C$2477)</x:f>
        <x:v>0</x:v>
      </x:c>
      <x:c r="E2271" s="15" t="n">
        <x:f>SUM($D$5:D2271)</x:f>
        <x:v>1.0000000000000036</x:v>
      </x:c>
      <x:c r="F2271" s="1" t="str">
        <x:f>IF(C2271&lt;=0,"C",IF(E2271-D2271&lt;'Дашборд'!$C$49,"A",IF(E2271-D2271&lt;'Дашборд'!$C$50,"B","C")))</x:f>
        <x:v>C</x:v>
      </x:c>
      <x:c r="G2271" s="8" t="n">
        <x:f>'Данные'!F2271</x:f>
        <x:v>0</x:v>
      </x:c>
      <x:c r="H2271" s="8" t="n">
        <x:f>SUM('Данные'!H2271:I2271)</x:f>
        <x:v>0</x:v>
      </x:c>
      <x:c r="I2271" s="16" t="str">
        <x:f>IF(H2271&gt;0,G2271/H2271,"n.a.")</x:f>
        <x:v>n.a.</x:v>
      </x:c>
      <x:c r="J2271" s="10" t="n">
        <x:f>IF('Данные'!E2271&gt;0,G2271/'Данные'!E2271,"n.a.")</x:f>
        <x:v>0</x:v>
      </x:c>
      <x:c r="K2271" s="1" t="str">
        <x:f>IF(G2271&gt;='Дашборд'!$C$51,"X","Z")</x:f>
        <x:v>Z</x:v>
      </x:c>
      <x:c r="L2271" s="1" t="str">
        <x:f>IF(H2271=0,IF(G2271&gt;0,"Нет остатка","Нет спроса"),IF(I2271&gt;='Дашборд'!$C$52,"Быстрый","Медленный"))</x:f>
        <x:v>Нет спроса</x:v>
      </x:c>
      <x:c r="M2271" s="1" t="str">
        <x:f>IF('Данные'!E2271&lt;'Дашборд'!$C$53,"Мало трафика",IF(J2271&lt;'Дашборд'!$C$9*'Дашборд'!$C$54,"Да","Нет"))</x:f>
        <x:v>Мало трафика</x:v>
      </x:c>
      <x:c r="N2271" s="1" t="str">
        <x:f>IF(AND('Данные'!D2271&gt;='Дашборд'!$C$55,D2271&lt;'Дашборд'!$C$56,'Данные'!E2271&gt;='Дашборд'!$C$53,'Данные'!L2271&lt;&gt;"Да"),"Да","Нет")</x:f>
        <x:v>Нет</x:v>
      </x:c>
      <x:c r="O2271" s="1" t="str">
        <x:f>'Данные'!L2271</x:f>
        <x:v>Нет</x:v>
      </x:c>
    </x:row>
    <x:row r="2272">
      <x:c r="A2272" s="1" t="str">
        <x:f>'Данные'!A2272</x:f>
        <x:v>31324259</x:v>
      </x:c>
      <x:c r="B2272" s="1" t="str">
        <x:f>'Данные'!B2272</x:f>
        <x:v>futbolka/какао</x:v>
      </x:c>
      <x:c r="C2272" s="8" t="n">
        <x:f>'Данные'!G2272</x:f>
        <x:v>0</x:v>
      </x:c>
      <x:c r="D2272" s="15" t="n">
        <x:f>C2272/SUM($C$5:$C$2477)</x:f>
        <x:v>0</x:v>
      </x:c>
      <x:c r="E2272" s="15" t="n">
        <x:f>SUM($D$5:D2272)</x:f>
        <x:v>1.0000000000000036</x:v>
      </x:c>
      <x:c r="F2272" s="1" t="str">
        <x:f>IF(C2272&lt;=0,"C",IF(E2272-D2272&lt;'Дашборд'!$C$49,"A",IF(E2272-D2272&lt;'Дашборд'!$C$50,"B","C")))</x:f>
        <x:v>C</x:v>
      </x:c>
      <x:c r="G2272" s="8" t="n">
        <x:f>'Данные'!F2272</x:f>
        <x:v>0</x:v>
      </x:c>
      <x:c r="H2272" s="8" t="n">
        <x:f>SUM('Данные'!H2272:I2272)</x:f>
        <x:v>0</x:v>
      </x:c>
      <x:c r="I2272" s="16" t="str">
        <x:f>IF(H2272&gt;0,G2272/H2272,"n.a.")</x:f>
        <x:v>n.a.</x:v>
      </x:c>
      <x:c r="J2272" s="10" t="n">
        <x:f>IF('Данные'!E2272&gt;0,G2272/'Данные'!E2272,"n.a.")</x:f>
        <x:v>0</x:v>
      </x:c>
      <x:c r="K2272" s="1" t="str">
        <x:f>IF(G2272&gt;='Дашборд'!$C$51,"X","Z")</x:f>
        <x:v>Z</x:v>
      </x:c>
      <x:c r="L2272" s="1" t="str">
        <x:f>IF(H2272=0,IF(G2272&gt;0,"Нет остатка","Нет спроса"),IF(I2272&gt;='Дашборд'!$C$52,"Быстрый","Медленный"))</x:f>
        <x:v>Нет спроса</x:v>
      </x:c>
      <x:c r="M2272" s="1" t="str">
        <x:f>IF('Данные'!E2272&lt;'Дашборд'!$C$53,"Мало трафика",IF(J2272&lt;'Дашборд'!$C$9*'Дашборд'!$C$54,"Да","Нет"))</x:f>
        <x:v>Мало трафика</x:v>
      </x:c>
      <x:c r="N2272" s="1" t="str">
        <x:f>IF(AND('Данные'!D2272&gt;='Дашборд'!$C$55,D2272&lt;'Дашборд'!$C$56,'Данные'!E2272&gt;='Дашборд'!$C$53,'Данные'!L2272&lt;&gt;"Да"),"Да","Нет")</x:f>
        <x:v>Нет</x:v>
      </x:c>
      <x:c r="O2272" s="1" t="str">
        <x:f>'Данные'!L2272</x:f>
        <x:v>Нет</x:v>
      </x:c>
    </x:row>
    <x:row r="2273">
      <x:c r="A2273" s="1" t="str">
        <x:f>'Данные'!A2273</x:f>
        <x:v>313770749</x:v>
      </x:c>
      <x:c r="B2273" s="1" t="str">
        <x:f>'Данные'!B2273</x:f>
        <x:v>futbolkaboy/шалфей</x:v>
      </x:c>
      <x:c r="C2273" s="8" t="n">
        <x:f>'Данные'!G2273</x:f>
        <x:v>0</x:v>
      </x:c>
      <x:c r="D2273" s="15" t="n">
        <x:f>C2273/SUM($C$5:$C$2477)</x:f>
        <x:v>0</x:v>
      </x:c>
      <x:c r="E2273" s="15" t="n">
        <x:f>SUM($D$5:D2273)</x:f>
        <x:v>1.0000000000000036</x:v>
      </x:c>
      <x:c r="F2273" s="1" t="str">
        <x:f>IF(C2273&lt;=0,"C",IF(E2273-D2273&lt;'Дашборд'!$C$49,"A",IF(E2273-D2273&lt;'Дашборд'!$C$50,"B","C")))</x:f>
        <x:v>C</x:v>
      </x:c>
      <x:c r="G2273" s="8" t="n">
        <x:f>'Данные'!F2273</x:f>
        <x:v>0</x:v>
      </x:c>
      <x:c r="H2273" s="8" t="n">
        <x:f>SUM('Данные'!H2273:I2273)</x:f>
        <x:v>0</x:v>
      </x:c>
      <x:c r="I2273" s="16" t="str">
        <x:f>IF(H2273&gt;0,G2273/H2273,"n.a.")</x:f>
        <x:v>n.a.</x:v>
      </x:c>
      <x:c r="J2273" s="10" t="n">
        <x:f>IF('Данные'!E2273&gt;0,G2273/'Данные'!E2273,"n.a.")</x:f>
        <x:v>0</x:v>
      </x:c>
      <x:c r="K2273" s="1" t="str">
        <x:f>IF(G2273&gt;='Дашборд'!$C$51,"X","Z")</x:f>
        <x:v>Z</x:v>
      </x:c>
      <x:c r="L2273" s="1" t="str">
        <x:f>IF(H2273=0,IF(G2273&gt;0,"Нет остатка","Нет спроса"),IF(I2273&gt;='Дашборд'!$C$52,"Быстрый","Медленный"))</x:f>
        <x:v>Нет спроса</x:v>
      </x:c>
      <x:c r="M2273" s="1" t="str">
        <x:f>IF('Данные'!E2273&lt;'Дашборд'!$C$53,"Мало трафика",IF(J2273&lt;'Дашборд'!$C$9*'Дашборд'!$C$54,"Да","Нет"))</x:f>
        <x:v>Мало трафика</x:v>
      </x:c>
      <x:c r="N2273" s="1" t="str">
        <x:f>IF(AND('Данные'!D2273&gt;='Дашборд'!$C$55,D2273&lt;'Дашборд'!$C$56,'Данные'!E2273&gt;='Дашборд'!$C$53,'Данные'!L2273&lt;&gt;"Да"),"Да","Нет")</x:f>
        <x:v>Нет</x:v>
      </x:c>
      <x:c r="O2273" s="1" t="str">
        <x:f>'Данные'!L2273</x:f>
        <x:v>Нет</x:v>
      </x:c>
    </x:row>
    <x:row r="2274">
      <x:c r="A2274" s="1" t="str">
        <x:f>'Данные'!A2274</x:f>
        <x:v>313770756</x:v>
      </x:c>
      <x:c r="B2274" s="1" t="str">
        <x:f>'Данные'!B2274</x:f>
        <x:v>futbolkaboy/серовато-розовый</x:v>
      </x:c>
      <x:c r="C2274" s="8" t="n">
        <x:f>'Данные'!G2274</x:f>
        <x:v>0</x:v>
      </x:c>
      <x:c r="D2274" s="15" t="n">
        <x:f>C2274/SUM($C$5:$C$2477)</x:f>
        <x:v>0</x:v>
      </x:c>
      <x:c r="E2274" s="15" t="n">
        <x:f>SUM($D$5:D2274)</x:f>
        <x:v>1.0000000000000036</x:v>
      </x:c>
      <x:c r="F2274" s="1" t="str">
        <x:f>IF(C2274&lt;=0,"C",IF(E2274-D2274&lt;'Дашборд'!$C$49,"A",IF(E2274-D2274&lt;'Дашборд'!$C$50,"B","C")))</x:f>
        <x:v>C</x:v>
      </x:c>
      <x:c r="G2274" s="8" t="n">
        <x:f>'Данные'!F2274</x:f>
        <x:v>0</x:v>
      </x:c>
      <x:c r="H2274" s="8" t="n">
        <x:f>SUM('Данные'!H2274:I2274)</x:f>
        <x:v>0</x:v>
      </x:c>
      <x:c r="I2274" s="16" t="str">
        <x:f>IF(H2274&gt;0,G2274/H2274,"n.a.")</x:f>
        <x:v>n.a.</x:v>
      </x:c>
      <x:c r="J2274" s="10" t="n">
        <x:f>IF('Данные'!E2274&gt;0,G2274/'Данные'!E2274,"n.a.")</x:f>
        <x:v>0</x:v>
      </x:c>
      <x:c r="K2274" s="1" t="str">
        <x:f>IF(G2274&gt;='Дашборд'!$C$51,"X","Z")</x:f>
        <x:v>Z</x:v>
      </x:c>
      <x:c r="L2274" s="1" t="str">
        <x:f>IF(H2274=0,IF(G2274&gt;0,"Нет остатка","Нет спроса"),IF(I2274&gt;='Дашборд'!$C$52,"Быстрый","Медленный"))</x:f>
        <x:v>Нет спроса</x:v>
      </x:c>
      <x:c r="M2274" s="1" t="str">
        <x:f>IF('Данные'!E2274&lt;'Дашборд'!$C$53,"Мало трафика",IF(J2274&lt;'Дашборд'!$C$9*'Дашборд'!$C$54,"Да","Нет"))</x:f>
        <x:v>Мало трафика</x:v>
      </x:c>
      <x:c r="N2274" s="1" t="str">
        <x:f>IF(AND('Данные'!D2274&gt;='Дашборд'!$C$55,D2274&lt;'Дашборд'!$C$56,'Данные'!E2274&gt;='Дашборд'!$C$53,'Данные'!L2274&lt;&gt;"Да"),"Да","Нет")</x:f>
        <x:v>Нет</x:v>
      </x:c>
      <x:c r="O2274" s="1" t="str">
        <x:f>'Данные'!L2274</x:f>
        <x:v>Нет</x:v>
      </x:c>
    </x:row>
    <x:row r="2275">
      <x:c r="A2275" s="1" t="str">
        <x:f>'Данные'!A2275</x:f>
        <x:v>313770758</x:v>
      </x:c>
      <x:c r="B2275" s="1" t="str">
        <x:f>'Данные'!B2275</x:f>
        <x:v>futbolkaboy/пудровый</x:v>
      </x:c>
      <x:c r="C2275" s="8" t="n">
        <x:f>'Данные'!G2275</x:f>
        <x:v>0</x:v>
      </x:c>
      <x:c r="D2275" s="15" t="n">
        <x:f>C2275/SUM($C$5:$C$2477)</x:f>
        <x:v>0</x:v>
      </x:c>
      <x:c r="E2275" s="15" t="n">
        <x:f>SUM($D$5:D2275)</x:f>
        <x:v>1.0000000000000036</x:v>
      </x:c>
      <x:c r="F2275" s="1" t="str">
        <x:f>IF(C2275&lt;=0,"C",IF(E2275-D2275&lt;'Дашборд'!$C$49,"A",IF(E2275-D2275&lt;'Дашборд'!$C$50,"B","C")))</x:f>
        <x:v>C</x:v>
      </x:c>
      <x:c r="G2275" s="8" t="n">
        <x:f>'Данные'!F2275</x:f>
        <x:v>0</x:v>
      </x:c>
      <x:c r="H2275" s="8" t="n">
        <x:f>SUM('Данные'!H2275:I2275)</x:f>
        <x:v>0</x:v>
      </x:c>
      <x:c r="I2275" s="16" t="str">
        <x:f>IF(H2275&gt;0,G2275/H2275,"n.a.")</x:f>
        <x:v>n.a.</x:v>
      </x:c>
      <x:c r="J2275" s="10" t="n">
        <x:f>IF('Данные'!E2275&gt;0,G2275/'Данные'!E2275,"n.a.")</x:f>
        <x:v>0</x:v>
      </x:c>
      <x:c r="K2275" s="1" t="str">
        <x:f>IF(G2275&gt;='Дашборд'!$C$51,"X","Z")</x:f>
        <x:v>Z</x:v>
      </x:c>
      <x:c r="L2275" s="1" t="str">
        <x:f>IF(H2275=0,IF(G2275&gt;0,"Нет остатка","Нет спроса"),IF(I2275&gt;='Дашборд'!$C$52,"Быстрый","Медленный"))</x:f>
        <x:v>Нет спроса</x:v>
      </x:c>
      <x:c r="M2275" s="1" t="str">
        <x:f>IF('Данные'!E2275&lt;'Дашборд'!$C$53,"Мало трафика",IF(J2275&lt;'Дашборд'!$C$9*'Дашборд'!$C$54,"Да","Нет"))</x:f>
        <x:v>Мало трафика</x:v>
      </x:c>
      <x:c r="N2275" s="1" t="str">
        <x:f>IF(AND('Данные'!D2275&gt;='Дашборд'!$C$55,D2275&lt;'Дашборд'!$C$56,'Данные'!E2275&gt;='Дашборд'!$C$53,'Данные'!L2275&lt;&gt;"Да"),"Да","Нет")</x:f>
        <x:v>Нет</x:v>
      </x:c>
      <x:c r="O2275" s="1" t="str">
        <x:f>'Данные'!L2275</x:f>
        <x:v>Нет</x:v>
      </x:c>
    </x:row>
    <x:row r="2276">
      <x:c r="A2276" s="1" t="str">
        <x:f>'Данные'!A2276</x:f>
        <x:v>313770761</x:v>
      </x:c>
      <x:c r="B2276" s="1" t="str">
        <x:f>'Данные'!B2276</x:f>
        <x:v>futbolkaboy/красный</x:v>
      </x:c>
      <x:c r="C2276" s="8" t="n">
        <x:f>'Данные'!G2276</x:f>
        <x:v>0</x:v>
      </x:c>
      <x:c r="D2276" s="15" t="n">
        <x:f>C2276/SUM($C$5:$C$2477)</x:f>
        <x:v>0</x:v>
      </x:c>
      <x:c r="E2276" s="15" t="n">
        <x:f>SUM($D$5:D2276)</x:f>
        <x:v>1.0000000000000036</x:v>
      </x:c>
      <x:c r="F2276" s="1" t="str">
        <x:f>IF(C2276&lt;=0,"C",IF(E2276-D2276&lt;'Дашборд'!$C$49,"A",IF(E2276-D2276&lt;'Дашборд'!$C$50,"B","C")))</x:f>
        <x:v>C</x:v>
      </x:c>
      <x:c r="G2276" s="8" t="n">
        <x:f>'Данные'!F2276</x:f>
        <x:v>0</x:v>
      </x:c>
      <x:c r="H2276" s="8" t="n">
        <x:f>SUM('Данные'!H2276:I2276)</x:f>
        <x:v>0</x:v>
      </x:c>
      <x:c r="I2276" s="16" t="str">
        <x:f>IF(H2276&gt;0,G2276/H2276,"n.a.")</x:f>
        <x:v>n.a.</x:v>
      </x:c>
      <x:c r="J2276" s="10" t="n">
        <x:f>IF('Данные'!E2276&gt;0,G2276/'Данные'!E2276,"n.a.")</x:f>
        <x:v>0</x:v>
      </x:c>
      <x:c r="K2276" s="1" t="str">
        <x:f>IF(G2276&gt;='Дашборд'!$C$51,"X","Z")</x:f>
        <x:v>Z</x:v>
      </x:c>
      <x:c r="L2276" s="1" t="str">
        <x:f>IF(H2276=0,IF(G2276&gt;0,"Нет остатка","Нет спроса"),IF(I2276&gt;='Дашборд'!$C$52,"Быстрый","Медленный"))</x:f>
        <x:v>Нет спроса</x:v>
      </x:c>
      <x:c r="M2276" s="1" t="str">
        <x:f>IF('Данные'!E2276&lt;'Дашборд'!$C$53,"Мало трафика",IF(J2276&lt;'Дашборд'!$C$9*'Дашборд'!$C$54,"Да","Нет"))</x:f>
        <x:v>Мало трафика</x:v>
      </x:c>
      <x:c r="N2276" s="1" t="str">
        <x:f>IF(AND('Данные'!D2276&gt;='Дашборд'!$C$55,D2276&lt;'Дашборд'!$C$56,'Данные'!E2276&gt;='Дашборд'!$C$53,'Данные'!L2276&lt;&gt;"Да"),"Да","Нет")</x:f>
        <x:v>Нет</x:v>
      </x:c>
      <x:c r="O2276" s="1" t="str">
        <x:f>'Данные'!L2276</x:f>
        <x:v>Нет</x:v>
      </x:c>
    </x:row>
    <x:row r="2277">
      <x:c r="A2277" s="1" t="str">
        <x:f>'Данные'!A2277</x:f>
        <x:v>313770767</x:v>
      </x:c>
      <x:c r="B2277" s="1" t="str">
        <x:f>'Данные'!B2277</x:f>
        <x:v>futbolkaboy/милка</x:v>
      </x:c>
      <x:c r="C2277" s="8" t="n">
        <x:f>'Данные'!G2277</x:f>
        <x:v>0</x:v>
      </x:c>
      <x:c r="D2277" s="15" t="n">
        <x:f>C2277/SUM($C$5:$C$2477)</x:f>
        <x:v>0</x:v>
      </x:c>
      <x:c r="E2277" s="15" t="n">
        <x:f>SUM($D$5:D2277)</x:f>
        <x:v>1.0000000000000036</x:v>
      </x:c>
      <x:c r="F2277" s="1" t="str">
        <x:f>IF(C2277&lt;=0,"C",IF(E2277-D2277&lt;'Дашборд'!$C$49,"A",IF(E2277-D2277&lt;'Дашборд'!$C$50,"B","C")))</x:f>
        <x:v>C</x:v>
      </x:c>
      <x:c r="G2277" s="8" t="n">
        <x:f>'Данные'!F2277</x:f>
        <x:v>0</x:v>
      </x:c>
      <x:c r="H2277" s="8" t="n">
        <x:f>SUM('Данные'!H2277:I2277)</x:f>
        <x:v>0</x:v>
      </x:c>
      <x:c r="I2277" s="16" t="str">
        <x:f>IF(H2277&gt;0,G2277/H2277,"n.a.")</x:f>
        <x:v>n.a.</x:v>
      </x:c>
      <x:c r="J2277" s="10" t="n">
        <x:f>IF('Данные'!E2277&gt;0,G2277/'Данные'!E2277,"n.a.")</x:f>
        <x:v>0</x:v>
      </x:c>
      <x:c r="K2277" s="1" t="str">
        <x:f>IF(G2277&gt;='Дашборд'!$C$51,"X","Z")</x:f>
        <x:v>Z</x:v>
      </x:c>
      <x:c r="L2277" s="1" t="str">
        <x:f>IF(H2277=0,IF(G2277&gt;0,"Нет остатка","Нет спроса"),IF(I2277&gt;='Дашборд'!$C$52,"Быстрый","Медленный"))</x:f>
        <x:v>Нет спроса</x:v>
      </x:c>
      <x:c r="M2277" s="1" t="str">
        <x:f>IF('Данные'!E2277&lt;'Дашборд'!$C$53,"Мало трафика",IF(J2277&lt;'Дашборд'!$C$9*'Дашборд'!$C$54,"Да","Нет"))</x:f>
        <x:v>Мало трафика</x:v>
      </x:c>
      <x:c r="N2277" s="1" t="str">
        <x:f>IF(AND('Данные'!D2277&gt;='Дашборд'!$C$55,D2277&lt;'Дашборд'!$C$56,'Данные'!E2277&gt;='Дашборд'!$C$53,'Данные'!L2277&lt;&gt;"Да"),"Да","Нет")</x:f>
        <x:v>Нет</x:v>
      </x:c>
      <x:c r="O2277" s="1" t="str">
        <x:f>'Данные'!L2277</x:f>
        <x:v>Нет</x:v>
      </x:c>
    </x:row>
    <x:row r="2278">
      <x:c r="A2278" s="1" t="str">
        <x:f>'Данные'!A2278</x:f>
        <x:v>313770774</x:v>
      </x:c>
      <x:c r="B2278" s="1" t="str">
        <x:f>'Данные'!B2278</x:f>
        <x:v>futbolkaboy/пыльнаяроза</x:v>
      </x:c>
      <x:c r="C2278" s="8" t="n">
        <x:f>'Данные'!G2278</x:f>
        <x:v>0</x:v>
      </x:c>
      <x:c r="D2278" s="15" t="n">
        <x:f>C2278/SUM($C$5:$C$2477)</x:f>
        <x:v>0</x:v>
      </x:c>
      <x:c r="E2278" s="15" t="n">
        <x:f>SUM($D$5:D2278)</x:f>
        <x:v>1.0000000000000036</x:v>
      </x:c>
      <x:c r="F2278" s="1" t="str">
        <x:f>IF(C2278&lt;=0,"C",IF(E2278-D2278&lt;'Дашборд'!$C$49,"A",IF(E2278-D2278&lt;'Дашборд'!$C$50,"B","C")))</x:f>
        <x:v>C</x:v>
      </x:c>
      <x:c r="G2278" s="8" t="n">
        <x:f>'Данные'!F2278</x:f>
        <x:v>0</x:v>
      </x:c>
      <x:c r="H2278" s="8" t="n">
        <x:f>SUM('Данные'!H2278:I2278)</x:f>
        <x:v>0</x:v>
      </x:c>
      <x:c r="I2278" s="16" t="str">
        <x:f>IF(H2278&gt;0,G2278/H2278,"n.a.")</x:f>
        <x:v>n.a.</x:v>
      </x:c>
      <x:c r="J2278" s="10" t="n">
        <x:f>IF('Данные'!E2278&gt;0,G2278/'Данные'!E2278,"n.a.")</x:f>
        <x:v>0</x:v>
      </x:c>
      <x:c r="K2278" s="1" t="str">
        <x:f>IF(G2278&gt;='Дашборд'!$C$51,"X","Z")</x:f>
        <x:v>Z</x:v>
      </x:c>
      <x:c r="L2278" s="1" t="str">
        <x:f>IF(H2278=0,IF(G2278&gt;0,"Нет остатка","Нет спроса"),IF(I2278&gt;='Дашборд'!$C$52,"Быстрый","Медленный"))</x:f>
        <x:v>Нет спроса</x:v>
      </x:c>
      <x:c r="M2278" s="1" t="str">
        <x:f>IF('Данные'!E2278&lt;'Дашборд'!$C$53,"Мало трафика",IF(J2278&lt;'Дашборд'!$C$9*'Дашборд'!$C$54,"Да","Нет"))</x:f>
        <x:v>Мало трафика</x:v>
      </x:c>
      <x:c r="N2278" s="1" t="str">
        <x:f>IF(AND('Данные'!D2278&gt;='Дашборд'!$C$55,D2278&lt;'Дашборд'!$C$56,'Данные'!E2278&gt;='Дашборд'!$C$53,'Данные'!L2278&lt;&gt;"Да"),"Да","Нет")</x:f>
        <x:v>Нет</x:v>
      </x:c>
      <x:c r="O2278" s="1" t="str">
        <x:f>'Данные'!L2278</x:f>
        <x:v>Нет</x:v>
      </x:c>
    </x:row>
    <x:row r="2279">
      <x:c r="A2279" s="1" t="str">
        <x:f>'Данные'!A2279</x:f>
        <x:v>313770779</x:v>
      </x:c>
      <x:c r="B2279" s="1" t="str">
        <x:f>'Данные'!B2279</x:f>
        <x:v>futbolkaboy/морскаяволна</x:v>
      </x:c>
      <x:c r="C2279" s="8" t="n">
        <x:f>'Данные'!G2279</x:f>
        <x:v>0</x:v>
      </x:c>
      <x:c r="D2279" s="15" t="n">
        <x:f>C2279/SUM($C$5:$C$2477)</x:f>
        <x:v>0</x:v>
      </x:c>
      <x:c r="E2279" s="15" t="n">
        <x:f>SUM($D$5:D2279)</x:f>
        <x:v>1.0000000000000036</x:v>
      </x:c>
      <x:c r="F2279" s="1" t="str">
        <x:f>IF(C2279&lt;=0,"C",IF(E2279-D2279&lt;'Дашборд'!$C$49,"A",IF(E2279-D2279&lt;'Дашборд'!$C$50,"B","C")))</x:f>
        <x:v>C</x:v>
      </x:c>
      <x:c r="G2279" s="8" t="n">
        <x:f>'Данные'!F2279</x:f>
        <x:v>0</x:v>
      </x:c>
      <x:c r="H2279" s="8" t="n">
        <x:f>SUM('Данные'!H2279:I2279)</x:f>
        <x:v>0</x:v>
      </x:c>
      <x:c r="I2279" s="16" t="str">
        <x:f>IF(H2279&gt;0,G2279/H2279,"n.a.")</x:f>
        <x:v>n.a.</x:v>
      </x:c>
      <x:c r="J2279" s="10" t="n">
        <x:f>IF('Данные'!E2279&gt;0,G2279/'Данные'!E2279,"n.a.")</x:f>
        <x:v>0</x:v>
      </x:c>
      <x:c r="K2279" s="1" t="str">
        <x:f>IF(G2279&gt;='Дашборд'!$C$51,"X","Z")</x:f>
        <x:v>Z</x:v>
      </x:c>
      <x:c r="L2279" s="1" t="str">
        <x:f>IF(H2279=0,IF(G2279&gt;0,"Нет остатка","Нет спроса"),IF(I2279&gt;='Дашборд'!$C$52,"Быстрый","Медленный"))</x:f>
        <x:v>Нет спроса</x:v>
      </x:c>
      <x:c r="M2279" s="1" t="str">
        <x:f>IF('Данные'!E2279&lt;'Дашборд'!$C$53,"Мало трафика",IF(J2279&lt;'Дашборд'!$C$9*'Дашборд'!$C$54,"Да","Нет"))</x:f>
        <x:v>Мало трафика</x:v>
      </x:c>
      <x:c r="N2279" s="1" t="str">
        <x:f>IF(AND('Данные'!D2279&gt;='Дашборд'!$C$55,D2279&lt;'Дашборд'!$C$56,'Данные'!E2279&gt;='Дашборд'!$C$53,'Данные'!L2279&lt;&gt;"Да"),"Да","Нет")</x:f>
        <x:v>Нет</x:v>
      </x:c>
      <x:c r="O2279" s="1" t="str">
        <x:f>'Данные'!L2279</x:f>
        <x:v>Нет</x:v>
      </x:c>
    </x:row>
    <x:row r="2280">
      <x:c r="A2280" s="1" t="str">
        <x:f>'Данные'!A2280</x:f>
        <x:v>313770785</x:v>
      </x:c>
      <x:c r="B2280" s="1" t="str">
        <x:f>'Данные'!B2280</x:f>
        <x:v>futbolkaboy/сине-морской</x:v>
      </x:c>
      <x:c r="C2280" s="8" t="n">
        <x:f>'Данные'!G2280</x:f>
        <x:v>0</x:v>
      </x:c>
      <x:c r="D2280" s="15" t="n">
        <x:f>C2280/SUM($C$5:$C$2477)</x:f>
        <x:v>0</x:v>
      </x:c>
      <x:c r="E2280" s="15" t="n">
        <x:f>SUM($D$5:D2280)</x:f>
        <x:v>1.0000000000000036</x:v>
      </x:c>
      <x:c r="F2280" s="1" t="str">
        <x:f>IF(C2280&lt;=0,"C",IF(E2280-D2280&lt;'Дашборд'!$C$49,"A",IF(E2280-D2280&lt;'Дашборд'!$C$50,"B","C")))</x:f>
        <x:v>C</x:v>
      </x:c>
      <x:c r="G2280" s="8" t="n">
        <x:f>'Данные'!F2280</x:f>
        <x:v>0</x:v>
      </x:c>
      <x:c r="H2280" s="8" t="n">
        <x:f>SUM('Данные'!H2280:I2280)</x:f>
        <x:v>0</x:v>
      </x:c>
      <x:c r="I2280" s="16" t="str">
        <x:f>IF(H2280&gt;0,G2280/H2280,"n.a.")</x:f>
        <x:v>n.a.</x:v>
      </x:c>
      <x:c r="J2280" s="10" t="n">
        <x:f>IF('Данные'!E2280&gt;0,G2280/'Данные'!E2280,"n.a.")</x:f>
        <x:v>0</x:v>
      </x:c>
      <x:c r="K2280" s="1" t="str">
        <x:f>IF(G2280&gt;='Дашборд'!$C$51,"X","Z")</x:f>
        <x:v>Z</x:v>
      </x:c>
      <x:c r="L2280" s="1" t="str">
        <x:f>IF(H2280=0,IF(G2280&gt;0,"Нет остатка","Нет спроса"),IF(I2280&gt;='Дашборд'!$C$52,"Быстрый","Медленный"))</x:f>
        <x:v>Нет спроса</x:v>
      </x:c>
      <x:c r="M2280" s="1" t="str">
        <x:f>IF('Данные'!E2280&lt;'Дашборд'!$C$53,"Мало трафика",IF(J2280&lt;'Дашборд'!$C$9*'Дашборд'!$C$54,"Да","Нет"))</x:f>
        <x:v>Мало трафика</x:v>
      </x:c>
      <x:c r="N2280" s="1" t="str">
        <x:f>IF(AND('Данные'!D2280&gt;='Дашборд'!$C$55,D2280&lt;'Дашборд'!$C$56,'Данные'!E2280&gt;='Дашборд'!$C$53,'Данные'!L2280&lt;&gt;"Да"),"Да","Нет")</x:f>
        <x:v>Нет</x:v>
      </x:c>
      <x:c r="O2280" s="1" t="str">
        <x:f>'Данные'!L2280</x:f>
        <x:v>Нет</x:v>
      </x:c>
    </x:row>
    <x:row r="2281">
      <x:c r="A2281" s="1" t="str">
        <x:f>'Данные'!A2281</x:f>
        <x:v>313770786</x:v>
      </x:c>
      <x:c r="B2281" s="1" t="str">
        <x:f>'Данные'!B2281</x:f>
        <x:v>futbolkagirl/милка</x:v>
      </x:c>
      <x:c r="C2281" s="8" t="n">
        <x:f>'Данные'!G2281</x:f>
        <x:v>0</x:v>
      </x:c>
      <x:c r="D2281" s="15" t="n">
        <x:f>C2281/SUM($C$5:$C$2477)</x:f>
        <x:v>0</x:v>
      </x:c>
      <x:c r="E2281" s="15" t="n">
        <x:f>SUM($D$5:D2281)</x:f>
        <x:v>1.0000000000000036</x:v>
      </x:c>
      <x:c r="F2281" s="1" t="str">
        <x:f>IF(C2281&lt;=0,"C",IF(E2281-D2281&lt;'Дашборд'!$C$49,"A",IF(E2281-D2281&lt;'Дашборд'!$C$50,"B","C")))</x:f>
        <x:v>C</x:v>
      </x:c>
      <x:c r="G2281" s="8" t="n">
        <x:f>'Данные'!F2281</x:f>
        <x:v>0</x:v>
      </x:c>
      <x:c r="H2281" s="8" t="n">
        <x:f>SUM('Данные'!H2281:I2281)</x:f>
        <x:v>0</x:v>
      </x:c>
      <x:c r="I2281" s="16" t="str">
        <x:f>IF(H2281&gt;0,G2281/H2281,"n.a.")</x:f>
        <x:v>n.a.</x:v>
      </x:c>
      <x:c r="J2281" s="10" t="n">
        <x:f>IF('Данные'!E2281&gt;0,G2281/'Данные'!E2281,"n.a.")</x:f>
        <x:v>0</x:v>
      </x:c>
      <x:c r="K2281" s="1" t="str">
        <x:f>IF(G2281&gt;='Дашборд'!$C$51,"X","Z")</x:f>
        <x:v>Z</x:v>
      </x:c>
      <x:c r="L2281" s="1" t="str">
        <x:f>IF(H2281=0,IF(G2281&gt;0,"Нет остатка","Нет спроса"),IF(I2281&gt;='Дашборд'!$C$52,"Быстрый","Медленный"))</x:f>
        <x:v>Нет спроса</x:v>
      </x:c>
      <x:c r="M2281" s="1" t="str">
        <x:f>IF('Данные'!E2281&lt;'Дашборд'!$C$53,"Мало трафика",IF(J2281&lt;'Дашборд'!$C$9*'Дашборд'!$C$54,"Да","Нет"))</x:f>
        <x:v>Мало трафика</x:v>
      </x:c>
      <x:c r="N2281" s="1" t="str">
        <x:f>IF(AND('Данные'!D2281&gt;='Дашборд'!$C$55,D2281&lt;'Дашборд'!$C$56,'Данные'!E2281&gt;='Дашборд'!$C$53,'Данные'!L2281&lt;&gt;"Да"),"Да","Нет")</x:f>
        <x:v>Нет</x:v>
      </x:c>
      <x:c r="O2281" s="1" t="str">
        <x:f>'Данные'!L2281</x:f>
        <x:v>Нет</x:v>
      </x:c>
    </x:row>
    <x:row r="2282">
      <x:c r="A2282" s="1" t="str">
        <x:f>'Данные'!A2282</x:f>
        <x:v>317224611</x:v>
      </x:c>
      <x:c r="B2282" s="1" t="str">
        <x:f>'Данные'!B2282</x:f>
        <x:v>bazagirl/коричневый</x:v>
      </x:c>
      <x:c r="C2282" s="8" t="n">
        <x:f>'Данные'!G2282</x:f>
        <x:v>0</x:v>
      </x:c>
      <x:c r="D2282" s="15" t="n">
        <x:f>C2282/SUM($C$5:$C$2477)</x:f>
        <x:v>0</x:v>
      </x:c>
      <x:c r="E2282" s="15" t="n">
        <x:f>SUM($D$5:D2282)</x:f>
        <x:v>1.0000000000000036</x:v>
      </x:c>
      <x:c r="F2282" s="1" t="str">
        <x:f>IF(C2282&lt;=0,"C",IF(E2282-D2282&lt;'Дашборд'!$C$49,"A",IF(E2282-D2282&lt;'Дашборд'!$C$50,"B","C")))</x:f>
        <x:v>C</x:v>
      </x:c>
      <x:c r="G2282" s="8" t="n">
        <x:f>'Данные'!F2282</x:f>
        <x:v>0</x:v>
      </x:c>
      <x:c r="H2282" s="8" t="n">
        <x:f>SUM('Данные'!H2282:I2282)</x:f>
        <x:v>0</x:v>
      </x:c>
      <x:c r="I2282" s="16" t="str">
        <x:f>IF(H2282&gt;0,G2282/H2282,"n.a.")</x:f>
        <x:v>n.a.</x:v>
      </x:c>
      <x:c r="J2282" s="10" t="n">
        <x:f>IF('Данные'!E2282&gt;0,G2282/'Данные'!E2282,"n.a.")</x:f>
        <x:v>0</x:v>
      </x:c>
      <x:c r="K2282" s="1" t="str">
        <x:f>IF(G2282&gt;='Дашборд'!$C$51,"X","Z")</x:f>
        <x:v>Z</x:v>
      </x:c>
      <x:c r="L2282" s="1" t="str">
        <x:f>IF(H2282=0,IF(G2282&gt;0,"Нет остатка","Нет спроса"),IF(I2282&gt;='Дашборд'!$C$52,"Быстрый","Медленный"))</x:f>
        <x:v>Нет спроса</x:v>
      </x:c>
      <x:c r="M2282" s="1" t="str">
        <x:f>IF('Данные'!E2282&lt;'Дашборд'!$C$53,"Мало трафика",IF(J2282&lt;'Дашборд'!$C$9*'Дашборд'!$C$54,"Да","Нет"))</x:f>
        <x:v>Мало трафика</x:v>
      </x:c>
      <x:c r="N2282" s="1" t="str">
        <x:f>IF(AND('Данные'!D2282&gt;='Дашборд'!$C$55,D2282&lt;'Дашборд'!$C$56,'Данные'!E2282&gt;='Дашборд'!$C$53,'Данные'!L2282&lt;&gt;"Да"),"Да","Нет")</x:f>
        <x:v>Нет</x:v>
      </x:c>
      <x:c r="O2282" s="1" t="str">
        <x:f>'Данные'!L2282</x:f>
        <x:v>Нет</x:v>
      </x:c>
    </x:row>
    <x:row r="2283">
      <x:c r="A2283" s="1" t="str">
        <x:f>'Данные'!A2283</x:f>
        <x:v>318405032</x:v>
      </x:c>
      <x:c r="B2283" s="1" t="str">
        <x:f>'Данные'!B2283</x:f>
        <x:v>futbolkaboy/мандариновый</x:v>
      </x:c>
      <x:c r="C2283" s="8" t="n">
        <x:f>'Данные'!G2283</x:f>
        <x:v>0</x:v>
      </x:c>
      <x:c r="D2283" s="15" t="n">
        <x:f>C2283/SUM($C$5:$C$2477)</x:f>
        <x:v>0</x:v>
      </x:c>
      <x:c r="E2283" s="15" t="n">
        <x:f>SUM($D$5:D2283)</x:f>
        <x:v>1.0000000000000036</x:v>
      </x:c>
      <x:c r="F2283" s="1" t="str">
        <x:f>IF(C2283&lt;=0,"C",IF(E2283-D2283&lt;'Дашборд'!$C$49,"A",IF(E2283-D2283&lt;'Дашборд'!$C$50,"B","C")))</x:f>
        <x:v>C</x:v>
      </x:c>
      <x:c r="G2283" s="8" t="n">
        <x:f>'Данные'!F2283</x:f>
        <x:v>0</x:v>
      </x:c>
      <x:c r="H2283" s="8" t="n">
        <x:f>SUM('Данные'!H2283:I2283)</x:f>
        <x:v>0</x:v>
      </x:c>
      <x:c r="I2283" s="16" t="str">
        <x:f>IF(H2283&gt;0,G2283/H2283,"n.a.")</x:f>
        <x:v>n.a.</x:v>
      </x:c>
      <x:c r="J2283" s="10" t="n">
        <x:f>IF('Данные'!E2283&gt;0,G2283/'Данные'!E2283,"n.a.")</x:f>
        <x:v>0</x:v>
      </x:c>
      <x:c r="K2283" s="1" t="str">
        <x:f>IF(G2283&gt;='Дашборд'!$C$51,"X","Z")</x:f>
        <x:v>Z</x:v>
      </x:c>
      <x:c r="L2283" s="1" t="str">
        <x:f>IF(H2283=0,IF(G2283&gt;0,"Нет остатка","Нет спроса"),IF(I2283&gt;='Дашборд'!$C$52,"Быстрый","Медленный"))</x:f>
        <x:v>Нет спроса</x:v>
      </x:c>
      <x:c r="M2283" s="1" t="str">
        <x:f>IF('Данные'!E2283&lt;'Дашборд'!$C$53,"Мало трафика",IF(J2283&lt;'Дашборд'!$C$9*'Дашборд'!$C$54,"Да","Нет"))</x:f>
        <x:v>Мало трафика</x:v>
      </x:c>
      <x:c r="N2283" s="1" t="str">
        <x:f>IF(AND('Данные'!D2283&gt;='Дашборд'!$C$55,D2283&lt;'Дашборд'!$C$56,'Данные'!E2283&gt;='Дашборд'!$C$53,'Данные'!L2283&lt;&gt;"Да"),"Да","Нет")</x:f>
        <x:v>Нет</x:v>
      </x:c>
      <x:c r="O2283" s="1" t="str">
        <x:f>'Данные'!L2283</x:f>
        <x:v>Нет</x:v>
      </x:c>
    </x:row>
    <x:row r="2284">
      <x:c r="A2284" s="1" t="str">
        <x:f>'Данные'!A2284</x:f>
        <x:v>320258151</x:v>
      </x:c>
      <x:c r="B2284" s="1" t="str">
        <x:f>'Данные'!B2284</x:f>
        <x:v>svitpal/бордовый</x:v>
      </x:c>
      <x:c r="C2284" s="8" t="n">
        <x:f>'Данные'!G2284</x:f>
        <x:v>0</x:v>
      </x:c>
      <x:c r="D2284" s="15" t="n">
        <x:f>C2284/SUM($C$5:$C$2477)</x:f>
        <x:v>0</x:v>
      </x:c>
      <x:c r="E2284" s="15" t="n">
        <x:f>SUM($D$5:D2284)</x:f>
        <x:v>1.0000000000000036</x:v>
      </x:c>
      <x:c r="F2284" s="1" t="str">
        <x:f>IF(C2284&lt;=0,"C",IF(E2284-D2284&lt;'Дашборд'!$C$49,"A",IF(E2284-D2284&lt;'Дашборд'!$C$50,"B","C")))</x:f>
        <x:v>C</x:v>
      </x:c>
      <x:c r="G2284" s="8" t="n">
        <x:f>'Данные'!F2284</x:f>
        <x:v>0</x:v>
      </x:c>
      <x:c r="H2284" s="8" t="n">
        <x:f>SUM('Данные'!H2284:I2284)</x:f>
        <x:v>399</x:v>
      </x:c>
      <x:c r="I2284" s="16" t="n">
        <x:f>IF(H2284&gt;0,G2284/H2284,"n.a.")</x:f>
        <x:v>0</x:v>
      </x:c>
      <x:c r="J2284" s="10" t="str">
        <x:f>IF('Данные'!E2284&gt;0,G2284/'Данные'!E2284,"n.a.")</x:f>
        <x:v>n.a.</x:v>
      </x:c>
      <x:c r="K2284" s="1" t="str">
        <x:f>IF(G2284&gt;='Дашборд'!$C$51,"X","Z")</x:f>
        <x:v>Z</x:v>
      </x:c>
      <x:c r="L2284" s="1" t="str">
        <x:f>IF(H2284=0,IF(G2284&gt;0,"Нет остатка","Нет спроса"),IF(I2284&gt;='Дашборд'!$C$52,"Быстрый","Медленный"))</x:f>
        <x:v>Медленный</x:v>
      </x:c>
      <x:c r="M2284" s="1" t="str">
        <x:f>IF('Данные'!E2284&lt;'Дашборд'!$C$53,"Мало трафика",IF(J2284&lt;'Дашборд'!$C$9*'Дашборд'!$C$54,"Да","Нет"))</x:f>
        <x:v>Мало трафика</x:v>
      </x:c>
      <x:c r="N2284" s="1" t="str">
        <x:f>IF(AND('Данные'!D2284&gt;='Дашборд'!$C$55,D2284&lt;'Дашборд'!$C$56,'Данные'!E2284&gt;='Дашборд'!$C$53,'Данные'!L2284&lt;&gt;"Да"),"Да","Нет")</x:f>
        <x:v>Нет</x:v>
      </x:c>
      <x:c r="O2284" s="1" t="str">
        <x:f>'Данные'!L2284</x:f>
        <x:v>Нет</x:v>
      </x:c>
    </x:row>
    <x:row r="2285">
      <x:c r="A2285" s="1" t="str">
        <x:f>'Данные'!A2285</x:f>
        <x:v>320258152</x:v>
      </x:c>
      <x:c r="B2285" s="1" t="str">
        <x:f>'Данные'!B2285</x:f>
        <x:v>svitpal/молочный</x:v>
      </x:c>
      <x:c r="C2285" s="8" t="n">
        <x:f>'Данные'!G2285</x:f>
        <x:v>0</x:v>
      </x:c>
      <x:c r="D2285" s="15" t="n">
        <x:f>C2285/SUM($C$5:$C$2477)</x:f>
        <x:v>0</x:v>
      </x:c>
      <x:c r="E2285" s="15" t="n">
        <x:f>SUM($D$5:D2285)</x:f>
        <x:v>1.0000000000000036</x:v>
      </x:c>
      <x:c r="F2285" s="1" t="str">
        <x:f>IF(C2285&lt;=0,"C",IF(E2285-D2285&lt;'Дашборд'!$C$49,"A",IF(E2285-D2285&lt;'Дашборд'!$C$50,"B","C")))</x:f>
        <x:v>C</x:v>
      </x:c>
      <x:c r="G2285" s="8" t="n">
        <x:f>'Данные'!F2285</x:f>
        <x:v>0</x:v>
      </x:c>
      <x:c r="H2285" s="8" t="n">
        <x:f>SUM('Данные'!H2285:I2285)</x:f>
        <x:v>31</x:v>
      </x:c>
      <x:c r="I2285" s="16" t="n">
        <x:f>IF(H2285&gt;0,G2285/H2285,"n.a.")</x:f>
        <x:v>0</x:v>
      </x:c>
      <x:c r="J2285" s="10" t="str">
        <x:f>IF('Данные'!E2285&gt;0,G2285/'Данные'!E2285,"n.a.")</x:f>
        <x:v>n.a.</x:v>
      </x:c>
      <x:c r="K2285" s="1" t="str">
        <x:f>IF(G2285&gt;='Дашборд'!$C$51,"X","Z")</x:f>
        <x:v>Z</x:v>
      </x:c>
      <x:c r="L2285" s="1" t="str">
        <x:f>IF(H2285=0,IF(G2285&gt;0,"Нет остатка","Нет спроса"),IF(I2285&gt;='Дашборд'!$C$52,"Быстрый","Медленный"))</x:f>
        <x:v>Медленный</x:v>
      </x:c>
      <x:c r="M2285" s="1" t="str">
        <x:f>IF('Данные'!E2285&lt;'Дашборд'!$C$53,"Мало трафика",IF(J2285&lt;'Дашборд'!$C$9*'Дашборд'!$C$54,"Да","Нет"))</x:f>
        <x:v>Мало трафика</x:v>
      </x:c>
      <x:c r="N2285" s="1" t="str">
        <x:f>IF(AND('Данные'!D2285&gt;='Дашборд'!$C$55,D2285&lt;'Дашборд'!$C$56,'Данные'!E2285&gt;='Дашборд'!$C$53,'Данные'!L2285&lt;&gt;"Да"),"Да","Нет")</x:f>
        <x:v>Нет</x:v>
      </x:c>
      <x:c r="O2285" s="1" t="str">
        <x:f>'Данные'!L2285</x:f>
        <x:v>Нет</x:v>
      </x:c>
    </x:row>
    <x:row r="2286">
      <x:c r="A2286" s="1" t="str">
        <x:f>'Данные'!A2286</x:f>
        <x:v>320258153</x:v>
      </x:c>
      <x:c r="B2286" s="1" t="str">
        <x:f>'Данные'!B2286</x:f>
        <x:v>svitpal/светлорозовый</x:v>
      </x:c>
      <x:c r="C2286" s="8" t="n">
        <x:f>'Данные'!G2286</x:f>
        <x:v>0</x:v>
      </x:c>
      <x:c r="D2286" s="15" t="n">
        <x:f>C2286/SUM($C$5:$C$2477)</x:f>
        <x:v>0</x:v>
      </x:c>
      <x:c r="E2286" s="15" t="n">
        <x:f>SUM($D$5:D2286)</x:f>
        <x:v>1.0000000000000036</x:v>
      </x:c>
      <x:c r="F2286" s="1" t="str">
        <x:f>IF(C2286&lt;=0,"C",IF(E2286-D2286&lt;'Дашборд'!$C$49,"A",IF(E2286-D2286&lt;'Дашборд'!$C$50,"B","C")))</x:f>
        <x:v>C</x:v>
      </x:c>
      <x:c r="G2286" s="8" t="n">
        <x:f>'Данные'!F2286</x:f>
        <x:v>0</x:v>
      </x:c>
      <x:c r="H2286" s="8" t="n">
        <x:f>SUM('Данные'!H2286:I2286)</x:f>
        <x:v>274</x:v>
      </x:c>
      <x:c r="I2286" s="16" t="n">
        <x:f>IF(H2286&gt;0,G2286/H2286,"n.a.")</x:f>
        <x:v>0</x:v>
      </x:c>
      <x:c r="J2286" s="10" t="str">
        <x:f>IF('Данные'!E2286&gt;0,G2286/'Данные'!E2286,"n.a.")</x:f>
        <x:v>n.a.</x:v>
      </x:c>
      <x:c r="K2286" s="1" t="str">
        <x:f>IF(G2286&gt;='Дашборд'!$C$51,"X","Z")</x:f>
        <x:v>Z</x:v>
      </x:c>
      <x:c r="L2286" s="1" t="str">
        <x:f>IF(H2286=0,IF(G2286&gt;0,"Нет остатка","Нет спроса"),IF(I2286&gt;='Дашборд'!$C$52,"Быстрый","Медленный"))</x:f>
        <x:v>Медленный</x:v>
      </x:c>
      <x:c r="M2286" s="1" t="str">
        <x:f>IF('Данные'!E2286&lt;'Дашборд'!$C$53,"Мало трафика",IF(J2286&lt;'Дашборд'!$C$9*'Дашборд'!$C$54,"Да","Нет"))</x:f>
        <x:v>Мало трафика</x:v>
      </x:c>
      <x:c r="N2286" s="1" t="str">
        <x:f>IF(AND('Данные'!D2286&gt;='Дашборд'!$C$55,D2286&lt;'Дашборд'!$C$56,'Данные'!E2286&gt;='Дашборд'!$C$53,'Данные'!L2286&lt;&gt;"Да"),"Да","Нет")</x:f>
        <x:v>Нет</x:v>
      </x:c>
      <x:c r="O2286" s="1" t="str">
        <x:f>'Данные'!L2286</x:f>
        <x:v>Нет</x:v>
      </x:c>
    </x:row>
    <x:row r="2287">
      <x:c r="A2287" s="1" t="str">
        <x:f>'Данные'!A2287</x:f>
        <x:v>320422441</x:v>
      </x:c>
      <x:c r="B2287" s="1" t="str">
        <x:f>'Данные'!B2287</x:f>
        <x:v>shtanyfix/красный</x:v>
      </x:c>
      <x:c r="C2287" s="8" t="n">
        <x:f>'Данные'!G2287</x:f>
        <x:v>0</x:v>
      </x:c>
      <x:c r="D2287" s="15" t="n">
        <x:f>C2287/SUM($C$5:$C$2477)</x:f>
        <x:v>0</x:v>
      </x:c>
      <x:c r="E2287" s="15" t="n">
        <x:f>SUM($D$5:D2287)</x:f>
        <x:v>1.0000000000000036</x:v>
      </x:c>
      <x:c r="F2287" s="1" t="str">
        <x:f>IF(C2287&lt;=0,"C",IF(E2287-D2287&lt;'Дашборд'!$C$49,"A",IF(E2287-D2287&lt;'Дашборд'!$C$50,"B","C")))</x:f>
        <x:v>C</x:v>
      </x:c>
      <x:c r="G2287" s="8" t="n">
        <x:f>'Данные'!F2287</x:f>
        <x:v>0</x:v>
      </x:c>
      <x:c r="H2287" s="8" t="n">
        <x:f>SUM('Данные'!H2287:I2287)</x:f>
        <x:v>0</x:v>
      </x:c>
      <x:c r="I2287" s="16" t="str">
        <x:f>IF(H2287&gt;0,G2287/H2287,"n.a.")</x:f>
        <x:v>n.a.</x:v>
      </x:c>
      <x:c r="J2287" s="10" t="n">
        <x:f>IF('Данные'!E2287&gt;0,G2287/'Данные'!E2287,"n.a.")</x:f>
        <x:v>0</x:v>
      </x:c>
      <x:c r="K2287" s="1" t="str">
        <x:f>IF(G2287&gt;='Дашборд'!$C$51,"X","Z")</x:f>
        <x:v>Z</x:v>
      </x:c>
      <x:c r="L2287" s="1" t="str">
        <x:f>IF(H2287=0,IF(G2287&gt;0,"Нет остатка","Нет спроса"),IF(I2287&gt;='Дашборд'!$C$52,"Быстрый","Медленный"))</x:f>
        <x:v>Нет спроса</x:v>
      </x:c>
      <x:c r="M2287" s="1" t="str">
        <x:f>IF('Данные'!E2287&lt;'Дашборд'!$C$53,"Мало трафика",IF(J2287&lt;'Дашборд'!$C$9*'Дашборд'!$C$54,"Да","Нет"))</x:f>
        <x:v>Да</x:v>
      </x:c>
      <x:c r="N2287" s="1" t="str">
        <x:f>IF(AND('Данные'!D2287&gt;='Дашборд'!$C$55,D2287&lt;'Дашборд'!$C$56,'Данные'!E2287&gt;='Дашборд'!$C$53,'Данные'!L2287&lt;&gt;"Да"),"Да","Нет")</x:f>
        <x:v>Нет</x:v>
      </x:c>
      <x:c r="O2287" s="1" t="str">
        <x:f>'Данные'!L2287</x:f>
        <x:v>Нет</x:v>
      </x:c>
    </x:row>
    <x:row r="2288">
      <x:c r="A2288" s="1" t="str">
        <x:f>'Данные'!A2288</x:f>
        <x:v>320423132</x:v>
      </x:c>
      <x:c r="B2288" s="1" t="str">
        <x:f>'Данные'!B2288</x:f>
        <x:v>shtanyfix/кофейный</x:v>
      </x:c>
      <x:c r="C2288" s="8" t="n">
        <x:f>'Данные'!G2288</x:f>
        <x:v>0</x:v>
      </x:c>
      <x:c r="D2288" s="15" t="n">
        <x:f>C2288/SUM($C$5:$C$2477)</x:f>
        <x:v>0</x:v>
      </x:c>
      <x:c r="E2288" s="15" t="n">
        <x:f>SUM($D$5:D2288)</x:f>
        <x:v>1.0000000000000036</x:v>
      </x:c>
      <x:c r="F2288" s="1" t="str">
        <x:f>IF(C2288&lt;=0,"C",IF(E2288-D2288&lt;'Дашборд'!$C$49,"A",IF(E2288-D2288&lt;'Дашборд'!$C$50,"B","C")))</x:f>
        <x:v>C</x:v>
      </x:c>
      <x:c r="G2288" s="8" t="n">
        <x:f>'Данные'!F2288</x:f>
        <x:v>0</x:v>
      </x:c>
      <x:c r="H2288" s="8" t="n">
        <x:f>SUM('Данные'!H2288:I2288)</x:f>
        <x:v>0</x:v>
      </x:c>
      <x:c r="I2288" s="16" t="str">
        <x:f>IF(H2288&gt;0,G2288/H2288,"n.a.")</x:f>
        <x:v>n.a.</x:v>
      </x:c>
      <x:c r="J2288" s="10" t="n">
        <x:f>IF('Данные'!E2288&gt;0,G2288/'Данные'!E2288,"n.a.")</x:f>
        <x:v>0</x:v>
      </x:c>
      <x:c r="K2288" s="1" t="str">
        <x:f>IF(G2288&gt;='Дашборд'!$C$51,"X","Z")</x:f>
        <x:v>Z</x:v>
      </x:c>
      <x:c r="L2288" s="1" t="str">
        <x:f>IF(H2288=0,IF(G2288&gt;0,"Нет остатка","Нет спроса"),IF(I2288&gt;='Дашборд'!$C$52,"Быстрый","Медленный"))</x:f>
        <x:v>Нет спроса</x:v>
      </x:c>
      <x:c r="M2288" s="1" t="str">
        <x:f>IF('Данные'!E2288&lt;'Дашборд'!$C$53,"Мало трафика",IF(J2288&lt;'Дашборд'!$C$9*'Дашборд'!$C$54,"Да","Нет"))</x:f>
        <x:v>Да</x:v>
      </x:c>
      <x:c r="N2288" s="1" t="str">
        <x:f>IF(AND('Данные'!D2288&gt;='Дашборд'!$C$55,D2288&lt;'Дашборд'!$C$56,'Данные'!E2288&gt;='Дашборд'!$C$53,'Данные'!L2288&lt;&gt;"Да"),"Да","Нет")</x:f>
        <x:v>Нет</x:v>
      </x:c>
      <x:c r="O2288" s="1" t="str">
        <x:f>'Данные'!L2288</x:f>
        <x:v>Нет</x:v>
      </x:c>
    </x:row>
    <x:row r="2289">
      <x:c r="A2289" s="1" t="str">
        <x:f>'Данные'!A2289</x:f>
        <x:v>321748992</x:v>
      </x:c>
      <x:c r="B2289" s="1" t="str">
        <x:f>'Данные'!B2289</x:f>
        <x:v>ubkamaxi3P-S14/черный</x:v>
      </x:c>
      <x:c r="C2289" s="8" t="n">
        <x:f>'Данные'!G2289</x:f>
        <x:v>0</x:v>
      </x:c>
      <x:c r="D2289" s="15" t="n">
        <x:f>C2289/SUM($C$5:$C$2477)</x:f>
        <x:v>0</x:v>
      </x:c>
      <x:c r="E2289" s="15" t="n">
        <x:f>SUM($D$5:D2289)</x:f>
        <x:v>1.0000000000000036</x:v>
      </x:c>
      <x:c r="F2289" s="1" t="str">
        <x:f>IF(C2289&lt;=0,"C",IF(E2289-D2289&lt;'Дашборд'!$C$49,"A",IF(E2289-D2289&lt;'Дашборд'!$C$50,"B","C")))</x:f>
        <x:v>C</x:v>
      </x:c>
      <x:c r="G2289" s="8" t="n">
        <x:f>'Данные'!F2289</x:f>
        <x:v>0</x:v>
      </x:c>
      <x:c r="H2289" s="8" t="n">
        <x:f>SUM('Данные'!H2289:I2289)</x:f>
        <x:v>0</x:v>
      </x:c>
      <x:c r="I2289" s="16" t="str">
        <x:f>IF(H2289&gt;0,G2289/H2289,"n.a.")</x:f>
        <x:v>n.a.</x:v>
      </x:c>
      <x:c r="J2289" s="10" t="n">
        <x:f>IF('Данные'!E2289&gt;0,G2289/'Данные'!E2289,"n.a.")</x:f>
        <x:v>0</x:v>
      </x:c>
      <x:c r="K2289" s="1" t="str">
        <x:f>IF(G2289&gt;='Дашборд'!$C$51,"X","Z")</x:f>
        <x:v>Z</x:v>
      </x:c>
      <x:c r="L2289" s="1" t="str">
        <x:f>IF(H2289=0,IF(G2289&gt;0,"Нет остатка","Нет спроса"),IF(I2289&gt;='Дашборд'!$C$52,"Быстрый","Медленный"))</x:f>
        <x:v>Нет спроса</x:v>
      </x:c>
      <x:c r="M2289" s="1" t="str">
        <x:f>IF('Данные'!E2289&lt;'Дашборд'!$C$53,"Мало трафика",IF(J2289&lt;'Дашборд'!$C$9*'Дашборд'!$C$54,"Да","Нет"))</x:f>
        <x:v>Да</x:v>
      </x:c>
      <x:c r="N2289" s="1" t="str">
        <x:f>IF(AND('Данные'!D2289&gt;='Дашборд'!$C$55,D2289&lt;'Дашборд'!$C$56,'Данные'!E2289&gt;='Дашборд'!$C$53,'Данные'!L2289&lt;&gt;"Да"),"Да","Нет")</x:f>
        <x:v>Нет</x:v>
      </x:c>
      <x:c r="O2289" s="1" t="str">
        <x:f>'Данные'!L2289</x:f>
        <x:v>Нет</x:v>
      </x:c>
    </x:row>
    <x:row r="2290">
      <x:c r="A2290" s="1" t="str">
        <x:f>'Данные'!A2290</x:f>
        <x:v>321831821</x:v>
      </x:c>
      <x:c r="B2290" s="1" t="str">
        <x:f>'Данные'!B2290</x:f>
        <x:v>tophumo/черный</x:v>
      </x:c>
      <x:c r="C2290" s="8" t="n">
        <x:f>'Данные'!G2290</x:f>
        <x:v>0</x:v>
      </x:c>
      <x:c r="D2290" s="15" t="n">
        <x:f>C2290/SUM($C$5:$C$2477)</x:f>
        <x:v>0</x:v>
      </x:c>
      <x:c r="E2290" s="15" t="n">
        <x:f>SUM($D$5:D2290)</x:f>
        <x:v>1.0000000000000036</x:v>
      </x:c>
      <x:c r="F2290" s="1" t="str">
        <x:f>IF(C2290&lt;=0,"C",IF(E2290-D2290&lt;'Дашборд'!$C$49,"A",IF(E2290-D2290&lt;'Дашборд'!$C$50,"B","C")))</x:f>
        <x:v>C</x:v>
      </x:c>
      <x:c r="G2290" s="8" t="n">
        <x:f>'Данные'!F2290</x:f>
        <x:v>0</x:v>
      </x:c>
      <x:c r="H2290" s="8" t="n">
        <x:f>SUM('Данные'!H2290:I2290)</x:f>
        <x:v>376</x:v>
      </x:c>
      <x:c r="I2290" s="16" t="n">
        <x:f>IF(H2290&gt;0,G2290/H2290,"n.a.")</x:f>
        <x:v>0</x:v>
      </x:c>
      <x:c r="J2290" s="10" t="str">
        <x:f>IF('Данные'!E2290&gt;0,G2290/'Данные'!E2290,"n.a.")</x:f>
        <x:v>n.a.</x:v>
      </x:c>
      <x:c r="K2290" s="1" t="str">
        <x:f>IF(G2290&gt;='Дашборд'!$C$51,"X","Z")</x:f>
        <x:v>Z</x:v>
      </x:c>
      <x:c r="L2290" s="1" t="str">
        <x:f>IF(H2290=0,IF(G2290&gt;0,"Нет остатка","Нет спроса"),IF(I2290&gt;='Дашборд'!$C$52,"Быстрый","Медленный"))</x:f>
        <x:v>Медленный</x:v>
      </x:c>
      <x:c r="M2290" s="1" t="str">
        <x:f>IF('Данные'!E2290&lt;'Дашборд'!$C$53,"Мало трафика",IF(J2290&lt;'Дашборд'!$C$9*'Дашборд'!$C$54,"Да","Нет"))</x:f>
        <x:v>Мало трафика</x:v>
      </x:c>
      <x:c r="N2290" s="1" t="str">
        <x:f>IF(AND('Данные'!D2290&gt;='Дашборд'!$C$55,D2290&lt;'Дашборд'!$C$56,'Данные'!E2290&gt;='Дашборд'!$C$53,'Данные'!L2290&lt;&gt;"Да"),"Да","Нет")</x:f>
        <x:v>Нет</x:v>
      </x:c>
      <x:c r="O2290" s="1" t="str">
        <x:f>'Данные'!L2290</x:f>
        <x:v>Нет</x:v>
      </x:c>
    </x:row>
    <x:row r="2291">
      <x:c r="A2291" s="1" t="str">
        <x:f>'Данные'!A2291</x:f>
        <x:v>321850394</x:v>
      </x:c>
      <x:c r="B2291" s="1" t="str">
        <x:f>'Данные'!B2291</x:f>
        <x:v>tankman4K-S12/темно-синий</x:v>
      </x:c>
      <x:c r="C2291" s="8" t="n">
        <x:f>'Данные'!G2291</x:f>
        <x:v>0</x:v>
      </x:c>
      <x:c r="D2291" s="15" t="n">
        <x:f>C2291/SUM($C$5:$C$2477)</x:f>
        <x:v>0</x:v>
      </x:c>
      <x:c r="E2291" s="15" t="n">
        <x:f>SUM($D$5:D2291)</x:f>
        <x:v>1.0000000000000036</x:v>
      </x:c>
      <x:c r="F2291" s="1" t="str">
        <x:f>IF(C2291&lt;=0,"C",IF(E2291-D2291&lt;'Дашборд'!$C$49,"A",IF(E2291-D2291&lt;'Дашборд'!$C$50,"B","C")))</x:f>
        <x:v>C</x:v>
      </x:c>
      <x:c r="G2291" s="8" t="n">
        <x:f>'Данные'!F2291</x:f>
        <x:v>0</x:v>
      </x:c>
      <x:c r="H2291" s="8" t="n">
        <x:f>SUM('Данные'!H2291:I2291)</x:f>
        <x:v>0</x:v>
      </x:c>
      <x:c r="I2291" s="16" t="str">
        <x:f>IF(H2291&gt;0,G2291/H2291,"n.a.")</x:f>
        <x:v>n.a.</x:v>
      </x:c>
      <x:c r="J2291" s="10" t="n">
        <x:f>IF('Данные'!E2291&gt;0,G2291/'Данные'!E2291,"n.a.")</x:f>
        <x:v>0</x:v>
      </x:c>
      <x:c r="K2291" s="1" t="str">
        <x:f>IF(G2291&gt;='Дашборд'!$C$51,"X","Z")</x:f>
        <x:v>Z</x:v>
      </x:c>
      <x:c r="L2291" s="1" t="str">
        <x:f>IF(H2291=0,IF(G2291&gt;0,"Нет остатка","Нет спроса"),IF(I2291&gt;='Дашборд'!$C$52,"Быстрый","Медленный"))</x:f>
        <x:v>Нет спроса</x:v>
      </x:c>
      <x:c r="M2291" s="1" t="str">
        <x:f>IF('Данные'!E2291&lt;'Дашборд'!$C$53,"Мало трафика",IF(J2291&lt;'Дашборд'!$C$9*'Дашборд'!$C$54,"Да","Нет"))</x:f>
        <x:v>Мало трафика</x:v>
      </x:c>
      <x:c r="N2291" s="1" t="str">
        <x:f>IF(AND('Данные'!D2291&gt;='Дашборд'!$C$55,D2291&lt;'Дашборд'!$C$56,'Данные'!E2291&gt;='Дашборд'!$C$53,'Данные'!L2291&lt;&gt;"Да"),"Да","Нет")</x:f>
        <x:v>Нет</x:v>
      </x:c>
      <x:c r="O2291" s="1" t="str">
        <x:f>'Данные'!L2291</x:f>
        <x:v>Нет</x:v>
      </x:c>
    </x:row>
    <x:row r="2292">
      <x:c r="A2292" s="1" t="str">
        <x:f>'Данные'!A2292</x:f>
        <x:v>322134918</x:v>
      </x:c>
      <x:c r="B2292" s="1" t="str">
        <x:f>'Данные'!B2292</x:f>
        <x:v>shtanygulf3P-S3/светло-розовый</x:v>
      </x:c>
      <x:c r="C2292" s="8" t="n">
        <x:f>'Данные'!G2292</x:f>
        <x:v>0</x:v>
      </x:c>
      <x:c r="D2292" s="15" t="n">
        <x:f>C2292/SUM($C$5:$C$2477)</x:f>
        <x:v>0</x:v>
      </x:c>
      <x:c r="E2292" s="15" t="n">
        <x:f>SUM($D$5:D2292)</x:f>
        <x:v>1.0000000000000036</x:v>
      </x:c>
      <x:c r="F2292" s="1" t="str">
        <x:f>IF(C2292&lt;=0,"C",IF(E2292-D2292&lt;'Дашборд'!$C$49,"A",IF(E2292-D2292&lt;'Дашборд'!$C$50,"B","C")))</x:f>
        <x:v>C</x:v>
      </x:c>
      <x:c r="G2292" s="8" t="n">
        <x:f>'Данные'!F2292</x:f>
        <x:v>0</x:v>
      </x:c>
      <x:c r="H2292" s="8" t="n">
        <x:f>SUM('Данные'!H2292:I2292)</x:f>
        <x:v>0</x:v>
      </x:c>
      <x:c r="I2292" s="16" t="str">
        <x:f>IF(H2292&gt;0,G2292/H2292,"n.a.")</x:f>
        <x:v>n.a.</x:v>
      </x:c>
      <x:c r="J2292" s="10" t="n">
        <x:f>IF('Данные'!E2292&gt;0,G2292/'Данные'!E2292,"n.a.")</x:f>
        <x:v>0</x:v>
      </x:c>
      <x:c r="K2292" s="1" t="str">
        <x:f>IF(G2292&gt;='Дашборд'!$C$51,"X","Z")</x:f>
        <x:v>Z</x:v>
      </x:c>
      <x:c r="L2292" s="1" t="str">
        <x:f>IF(H2292=0,IF(G2292&gt;0,"Нет остатка","Нет спроса"),IF(I2292&gt;='Дашборд'!$C$52,"Быстрый","Медленный"))</x:f>
        <x:v>Нет спроса</x:v>
      </x:c>
      <x:c r="M2292" s="1" t="str">
        <x:f>IF('Данные'!E2292&lt;'Дашборд'!$C$53,"Мало трафика",IF(J2292&lt;'Дашборд'!$C$9*'Дашборд'!$C$54,"Да","Нет"))</x:f>
        <x:v>Да</x:v>
      </x:c>
      <x:c r="N2292" s="1" t="str">
        <x:f>IF(AND('Данные'!D2292&gt;='Дашборд'!$C$55,D2292&lt;'Дашборд'!$C$56,'Данные'!E2292&gt;='Дашборд'!$C$53,'Данные'!L2292&lt;&gt;"Да"),"Да","Нет")</x:f>
        <x:v>Да</x:v>
      </x:c>
      <x:c r="O2292" s="1" t="str">
        <x:f>'Данные'!L2292</x:f>
        <x:v>Нет</x:v>
      </x:c>
    </x:row>
    <x:row r="2293">
      <x:c r="A2293" s="1" t="str">
        <x:f>'Данные'!A2293</x:f>
        <x:v>322137310</x:v>
      </x:c>
      <x:c r="B2293" s="1" t="str">
        <x:f>'Данные'!B2293</x:f>
        <x:v>longpolo3K-90/серый</x:v>
      </x:c>
      <x:c r="C2293" s="8" t="n">
        <x:f>'Данные'!G2293</x:f>
        <x:v>0</x:v>
      </x:c>
      <x:c r="D2293" s="15" t="n">
        <x:f>C2293/SUM($C$5:$C$2477)</x:f>
        <x:v>0</x:v>
      </x:c>
      <x:c r="E2293" s="15" t="n">
        <x:f>SUM($D$5:D2293)</x:f>
        <x:v>1.0000000000000036</x:v>
      </x:c>
      <x:c r="F2293" s="1" t="str">
        <x:f>IF(C2293&lt;=0,"C",IF(E2293-D2293&lt;'Дашборд'!$C$49,"A",IF(E2293-D2293&lt;'Дашборд'!$C$50,"B","C")))</x:f>
        <x:v>C</x:v>
      </x:c>
      <x:c r="G2293" s="8" t="n">
        <x:f>'Данные'!F2293</x:f>
        <x:v>12</x:v>
      </x:c>
      <x:c r="H2293" s="8" t="n">
        <x:f>SUM('Данные'!H2293:I2293)</x:f>
        <x:v>58</x:v>
      </x:c>
      <x:c r="I2293" s="16" t="n">
        <x:f>IF(H2293&gt;0,G2293/H2293,"n.a.")</x:f>
        <x:v>0.20689655172413793</x:v>
      </x:c>
      <x:c r="J2293" s="10" t="n">
        <x:f>IF('Данные'!E2293&gt;0,G2293/'Данные'!E2293,"n.a.")</x:f>
        <x:v>0.0008448324415657561</x:v>
      </x:c>
      <x:c r="K2293" s="1" t="str">
        <x:f>IF(G2293&gt;='Дашборд'!$C$51,"X","Z")</x:f>
        <x:v>Z</x:v>
      </x:c>
      <x:c r="L2293" s="1" t="str">
        <x:f>IF(H2293=0,IF(G2293&gt;0,"Нет остатка","Нет спроса"),IF(I2293&gt;='Дашборд'!$C$52,"Быстрый","Медленный"))</x:f>
        <x:v>Медленный</x:v>
      </x:c>
      <x:c r="M2293" s="1" t="str">
        <x:f>IF('Данные'!E2293&lt;'Дашборд'!$C$53,"Мало трафика",IF(J2293&lt;'Дашборд'!$C$9*'Дашборд'!$C$54,"Да","Нет"))</x:f>
        <x:v>Да</x:v>
      </x:c>
      <x:c r="N2293" s="1" t="str">
        <x:f>IF(AND('Данные'!D2293&gt;='Дашборд'!$C$55,D2293&lt;'Дашборд'!$C$56,'Данные'!E2293&gt;='Дашборд'!$C$53,'Данные'!L2293&lt;&gt;"Да"),"Да","Нет")</x:f>
        <x:v>Нет</x:v>
      </x:c>
      <x:c r="O2293" s="1" t="str">
        <x:f>'Данные'!L2293</x:f>
        <x:v>Нет</x:v>
      </x:c>
    </x:row>
    <x:row r="2294">
      <x:c r="A2294" s="1" t="str">
        <x:f>'Данные'!A2294</x:f>
        <x:v>322171752</x:v>
      </x:c>
      <x:c r="B2294" s="1" t="str">
        <x:f>'Данные'!B2294</x:f>
        <x:v>kulirkamanprint/Fight-272/дымка</x:v>
      </x:c>
      <x:c r="C2294" s="8" t="n">
        <x:f>'Данные'!G2294</x:f>
        <x:v>0</x:v>
      </x:c>
      <x:c r="D2294" s="15" t="n">
        <x:f>C2294/SUM($C$5:$C$2477)</x:f>
        <x:v>0</x:v>
      </x:c>
      <x:c r="E2294" s="15" t="n">
        <x:f>SUM($D$5:D2294)</x:f>
        <x:v>1.0000000000000036</x:v>
      </x:c>
      <x:c r="F2294" s="1" t="str">
        <x:f>IF(C2294&lt;=0,"C",IF(E2294-D2294&lt;'Дашборд'!$C$49,"A",IF(E2294-D2294&lt;'Дашборд'!$C$50,"B","C")))</x:f>
        <x:v>C</x:v>
      </x:c>
      <x:c r="G2294" s="8" t="n">
        <x:f>'Данные'!F2294</x:f>
        <x:v>0</x:v>
      </x:c>
      <x:c r="H2294" s="8" t="n">
        <x:f>SUM('Данные'!H2294:I2294)</x:f>
        <x:v>1108</x:v>
      </x:c>
      <x:c r="I2294" s="16" t="n">
        <x:f>IF(H2294&gt;0,G2294/H2294,"n.a.")</x:f>
        <x:v>0</x:v>
      </x:c>
      <x:c r="J2294" s="10" t="str">
        <x:f>IF('Данные'!E2294&gt;0,G2294/'Данные'!E2294,"n.a.")</x:f>
        <x:v>n.a.</x:v>
      </x:c>
      <x:c r="K2294" s="1" t="str">
        <x:f>IF(G2294&gt;='Дашборд'!$C$51,"X","Z")</x:f>
        <x:v>Z</x:v>
      </x:c>
      <x:c r="L2294" s="1" t="str">
        <x:f>IF(H2294=0,IF(G2294&gt;0,"Нет остатка","Нет спроса"),IF(I2294&gt;='Дашборд'!$C$52,"Быстрый","Медленный"))</x:f>
        <x:v>Медленный</x:v>
      </x:c>
      <x:c r="M2294" s="1" t="str">
        <x:f>IF('Данные'!E2294&lt;'Дашборд'!$C$53,"Мало трафика",IF(J2294&lt;'Дашборд'!$C$9*'Дашборд'!$C$54,"Да","Нет"))</x:f>
        <x:v>Мало трафика</x:v>
      </x:c>
      <x:c r="N2294" s="1" t="str">
        <x:f>IF(AND('Данные'!D2294&gt;='Дашборд'!$C$55,D2294&lt;'Дашборд'!$C$56,'Данные'!E2294&gt;='Дашборд'!$C$53,'Данные'!L2294&lt;&gt;"Да"),"Да","Нет")</x:f>
        <x:v>Нет</x:v>
      </x:c>
      <x:c r="O2294" s="1" t="str">
        <x:f>'Данные'!L2294</x:f>
        <x:v>Нет</x:v>
      </x:c>
    </x:row>
    <x:row r="2295">
      <x:c r="A2295" s="1" t="str">
        <x:f>'Данные'!A2295</x:f>
        <x:v>324987828</x:v>
      </x:c>
      <x:c r="B2295" s="1" t="str">
        <x:f>'Данные'!B2295</x:f>
        <x:v>brukiboy/деним</x:v>
      </x:c>
      <x:c r="C2295" s="8" t="n">
        <x:f>'Данные'!G2295</x:f>
        <x:v>0</x:v>
      </x:c>
      <x:c r="D2295" s="15" t="n">
        <x:f>C2295/SUM($C$5:$C$2477)</x:f>
        <x:v>0</x:v>
      </x:c>
      <x:c r="E2295" s="15" t="n">
        <x:f>SUM($D$5:D2295)</x:f>
        <x:v>1.0000000000000036</x:v>
      </x:c>
      <x:c r="F2295" s="1" t="str">
        <x:f>IF(C2295&lt;=0,"C",IF(E2295-D2295&lt;'Дашборд'!$C$49,"A",IF(E2295-D2295&lt;'Дашборд'!$C$50,"B","C")))</x:f>
        <x:v>C</x:v>
      </x:c>
      <x:c r="G2295" s="8" t="n">
        <x:f>'Данные'!F2295</x:f>
        <x:v>0</x:v>
      </x:c>
      <x:c r="H2295" s="8" t="n">
        <x:f>SUM('Данные'!H2295:I2295)</x:f>
        <x:v>10</x:v>
      </x:c>
      <x:c r="I2295" s="16" t="n">
        <x:f>IF(H2295&gt;0,G2295/H2295,"n.a.")</x:f>
        <x:v>0</x:v>
      </x:c>
      <x:c r="J2295" s="10" t="n">
        <x:f>IF('Данные'!E2295&gt;0,G2295/'Данные'!E2295,"n.a.")</x:f>
        <x:v>0</x:v>
      </x:c>
      <x:c r="K2295" s="1" t="str">
        <x:f>IF(G2295&gt;='Дашборд'!$C$51,"X","Z")</x:f>
        <x:v>Z</x:v>
      </x:c>
      <x:c r="L2295" s="1" t="str">
        <x:f>IF(H2295=0,IF(G2295&gt;0,"Нет остатка","Нет спроса"),IF(I2295&gt;='Дашборд'!$C$52,"Быстрый","Медленный"))</x:f>
        <x:v>Медленный</x:v>
      </x:c>
      <x:c r="M2295" s="1" t="str">
        <x:f>IF('Данные'!E2295&lt;'Дашборд'!$C$53,"Мало трафика",IF(J2295&lt;'Дашборд'!$C$9*'Дашборд'!$C$54,"Да","Нет"))</x:f>
        <x:v>Да</x:v>
      </x:c>
      <x:c r="N2295" s="1" t="str">
        <x:f>IF(AND('Данные'!D2295&gt;='Дашборд'!$C$55,D2295&lt;'Дашборд'!$C$56,'Данные'!E2295&gt;='Дашборд'!$C$53,'Данные'!L2295&lt;&gt;"Да"),"Да","Нет")</x:f>
        <x:v>Нет</x:v>
      </x:c>
      <x:c r="O2295" s="1" t="str">
        <x:f>'Данные'!L2295</x:f>
        <x:v>Нет</x:v>
      </x:c>
    </x:row>
    <x:row r="2296">
      <x:c r="A2296" s="1" t="str">
        <x:f>'Данные'!A2296</x:f>
        <x:v>324987829</x:v>
      </x:c>
      <x:c r="B2296" s="1" t="str">
        <x:f>'Данные'!B2296</x:f>
        <x:v>brukiboy/синий</x:v>
      </x:c>
      <x:c r="C2296" s="8" t="n">
        <x:f>'Данные'!G2296</x:f>
        <x:v>0</x:v>
      </x:c>
      <x:c r="D2296" s="15" t="n">
        <x:f>C2296/SUM($C$5:$C$2477)</x:f>
        <x:v>0</x:v>
      </x:c>
      <x:c r="E2296" s="15" t="n">
        <x:f>SUM($D$5:D2296)</x:f>
        <x:v>1.0000000000000036</x:v>
      </x:c>
      <x:c r="F2296" s="1" t="str">
        <x:f>IF(C2296&lt;=0,"C",IF(E2296-D2296&lt;'Дашборд'!$C$49,"A",IF(E2296-D2296&lt;'Дашборд'!$C$50,"B","C")))</x:f>
        <x:v>C</x:v>
      </x:c>
      <x:c r="G2296" s="8" t="n">
        <x:f>'Данные'!F2296</x:f>
        <x:v>2</x:v>
      </x:c>
      <x:c r="H2296" s="8" t="n">
        <x:f>SUM('Данные'!H2296:I2296)</x:f>
        <x:v>10</x:v>
      </x:c>
      <x:c r="I2296" s="16" t="n">
        <x:f>IF(H2296&gt;0,G2296/H2296,"n.a.")</x:f>
        <x:v>0.2</x:v>
      </x:c>
      <x:c r="J2296" s="10" t="n">
        <x:f>IF('Данные'!E2296&gt;0,G2296/'Данные'!E2296,"n.a.")</x:f>
        <x:v>0.000846740050804403</x:v>
      </x:c>
      <x:c r="K2296" s="1" t="str">
        <x:f>IF(G2296&gt;='Дашборд'!$C$51,"X","Z")</x:f>
        <x:v>Z</x:v>
      </x:c>
      <x:c r="L2296" s="1" t="str">
        <x:f>IF(H2296=0,IF(G2296&gt;0,"Нет остатка","Нет спроса"),IF(I2296&gt;='Дашборд'!$C$52,"Быстрый","Медленный"))</x:f>
        <x:v>Медленный</x:v>
      </x:c>
      <x:c r="M2296" s="1" t="str">
        <x:f>IF('Данные'!E2296&lt;'Дашборд'!$C$53,"Мало трафика",IF(J2296&lt;'Дашборд'!$C$9*'Дашборд'!$C$54,"Да","Нет"))</x:f>
        <x:v>Да</x:v>
      </x:c>
      <x:c r="N2296" s="1" t="str">
        <x:f>IF(AND('Данные'!D2296&gt;='Дашборд'!$C$55,D2296&lt;'Дашборд'!$C$56,'Данные'!E2296&gt;='Дашборд'!$C$53,'Данные'!L2296&lt;&gt;"Да"),"Да","Нет")</x:f>
        <x:v>Нет</x:v>
      </x:c>
      <x:c r="O2296" s="1" t="str">
        <x:f>'Данные'!L2296</x:f>
        <x:v>Нет</x:v>
      </x:c>
    </x:row>
    <x:row r="2297">
      <x:c r="A2297" s="1" t="str">
        <x:f>'Данные'!A2297</x:f>
        <x:v>324987830</x:v>
      </x:c>
      <x:c r="B2297" s="1" t="str">
        <x:f>'Данные'!B2297</x:f>
        <x:v>brukiboy/фиолетовый</x:v>
      </x:c>
      <x:c r="C2297" s="8" t="n">
        <x:f>'Данные'!G2297</x:f>
        <x:v>0</x:v>
      </x:c>
      <x:c r="D2297" s="15" t="n">
        <x:f>C2297/SUM($C$5:$C$2477)</x:f>
        <x:v>0</x:v>
      </x:c>
      <x:c r="E2297" s="15" t="n">
        <x:f>SUM($D$5:D2297)</x:f>
        <x:v>1.0000000000000036</x:v>
      </x:c>
      <x:c r="F2297" s="1" t="str">
        <x:f>IF(C2297&lt;=0,"C",IF(E2297-D2297&lt;'Дашборд'!$C$49,"A",IF(E2297-D2297&lt;'Дашборд'!$C$50,"B","C")))</x:f>
        <x:v>C</x:v>
      </x:c>
      <x:c r="G2297" s="8" t="n">
        <x:f>'Данные'!F2297</x:f>
        <x:v>3</x:v>
      </x:c>
      <x:c r="H2297" s="8" t="n">
        <x:f>SUM('Данные'!H2297:I2297)</x:f>
        <x:v>8</x:v>
      </x:c>
      <x:c r="I2297" s="16" t="n">
        <x:f>IF(H2297&gt;0,G2297/H2297,"n.a.")</x:f>
        <x:v>0.375</x:v>
      </x:c>
      <x:c r="J2297" s="10" t="n">
        <x:f>IF('Данные'!E2297&gt;0,G2297/'Данные'!E2297,"n.a.")</x:f>
        <x:v>0.0010737294201861132</x:v>
      </x:c>
      <x:c r="K2297" s="1" t="str">
        <x:f>IF(G2297&gt;='Дашборд'!$C$51,"X","Z")</x:f>
        <x:v>Z</x:v>
      </x:c>
      <x:c r="L2297" s="1" t="str">
        <x:f>IF(H2297=0,IF(G2297&gt;0,"Нет остатка","Нет спроса"),IF(I2297&gt;='Дашборд'!$C$52,"Быстрый","Медленный"))</x:f>
        <x:v>Медленный</x:v>
      </x:c>
      <x:c r="M2297" s="1" t="str">
        <x:f>IF('Данные'!E2297&lt;'Дашборд'!$C$53,"Мало трафика",IF(J2297&lt;'Дашборд'!$C$9*'Дашборд'!$C$54,"Да","Нет"))</x:f>
        <x:v>Да</x:v>
      </x:c>
      <x:c r="N2297" s="1" t="str">
        <x:f>IF(AND('Данные'!D2297&gt;='Дашборд'!$C$55,D2297&lt;'Дашборд'!$C$56,'Данные'!E2297&gt;='Дашборд'!$C$53,'Данные'!L2297&lt;&gt;"Да"),"Да","Нет")</x:f>
        <x:v>Нет</x:v>
      </x:c>
      <x:c r="O2297" s="1" t="str">
        <x:f>'Данные'!L2297</x:f>
        <x:v>Нет</x:v>
      </x:c>
    </x:row>
    <x:row r="2298">
      <x:c r="A2298" s="1" t="str">
        <x:f>'Данные'!A2298</x:f>
        <x:v>326809407</x:v>
      </x:c>
      <x:c r="B2298" s="1" t="str">
        <x:f>'Данные'!B2298</x:f>
        <x:v>hudimanpetl/бордовый</x:v>
      </x:c>
      <x:c r="C2298" s="8" t="n">
        <x:f>'Данные'!G2298</x:f>
        <x:v>0</x:v>
      </x:c>
      <x:c r="D2298" s="15" t="n">
        <x:f>C2298/SUM($C$5:$C$2477)</x:f>
        <x:v>0</x:v>
      </x:c>
      <x:c r="E2298" s="15" t="n">
        <x:f>SUM($D$5:D2298)</x:f>
        <x:v>1.0000000000000036</x:v>
      </x:c>
      <x:c r="F2298" s="1" t="str">
        <x:f>IF(C2298&lt;=0,"C",IF(E2298-D2298&lt;'Дашборд'!$C$49,"A",IF(E2298-D2298&lt;'Дашборд'!$C$50,"B","C")))</x:f>
        <x:v>C</x:v>
      </x:c>
      <x:c r="G2298" s="8" t="n">
        <x:f>'Данные'!F2298</x:f>
        <x:v>0</x:v>
      </x:c>
      <x:c r="H2298" s="8" t="n">
        <x:f>SUM('Данные'!H2298:I2298)</x:f>
        <x:v>0</x:v>
      </x:c>
      <x:c r="I2298" s="16" t="str">
        <x:f>IF(H2298&gt;0,G2298/H2298,"n.a.")</x:f>
        <x:v>n.a.</x:v>
      </x:c>
      <x:c r="J2298" s="10" t="n">
        <x:f>IF('Данные'!E2298&gt;0,G2298/'Данные'!E2298,"n.a.")</x:f>
        <x:v>0</x:v>
      </x:c>
      <x:c r="K2298" s="1" t="str">
        <x:f>IF(G2298&gt;='Дашборд'!$C$51,"X","Z")</x:f>
        <x:v>Z</x:v>
      </x:c>
      <x:c r="L2298" s="1" t="str">
        <x:f>IF(H2298=0,IF(G2298&gt;0,"Нет остатка","Нет спроса"),IF(I2298&gt;='Дашборд'!$C$52,"Быстрый","Медленный"))</x:f>
        <x:v>Нет спроса</x:v>
      </x:c>
      <x:c r="M2298" s="1" t="str">
        <x:f>IF('Данные'!E2298&lt;'Дашборд'!$C$53,"Мало трафика",IF(J2298&lt;'Дашборд'!$C$9*'Дашборд'!$C$54,"Да","Нет"))</x:f>
        <x:v>Мало трафика</x:v>
      </x:c>
      <x:c r="N2298" s="1" t="str">
        <x:f>IF(AND('Данные'!D2298&gt;='Дашборд'!$C$55,D2298&lt;'Дашборд'!$C$56,'Данные'!E2298&gt;='Дашборд'!$C$53,'Данные'!L2298&lt;&gt;"Да"),"Да","Нет")</x:f>
        <x:v>Нет</x:v>
      </x:c>
      <x:c r="O2298" s="1" t="str">
        <x:f>'Данные'!L2298</x:f>
        <x:v>Нет</x:v>
      </x:c>
    </x:row>
    <x:row r="2299">
      <x:c r="A2299" s="1" t="str">
        <x:f>'Данные'!A2299</x:f>
        <x:v>326812978</x:v>
      </x:c>
      <x:c r="B2299" s="1" t="str">
        <x:f>'Данные'!B2299</x:f>
        <x:v>shtanyman4P-79/коричневый</x:v>
      </x:c>
      <x:c r="C2299" s="8" t="n">
        <x:f>'Данные'!G2299</x:f>
        <x:v>0</x:v>
      </x:c>
      <x:c r="D2299" s="15" t="n">
        <x:f>C2299/SUM($C$5:$C$2477)</x:f>
        <x:v>0</x:v>
      </x:c>
      <x:c r="E2299" s="15" t="n">
        <x:f>SUM($D$5:D2299)</x:f>
        <x:v>1.0000000000000036</x:v>
      </x:c>
      <x:c r="F2299" s="1" t="str">
        <x:f>IF(C2299&lt;=0,"C",IF(E2299-D2299&lt;'Дашборд'!$C$49,"A",IF(E2299-D2299&lt;'Дашборд'!$C$50,"B","C")))</x:f>
        <x:v>C</x:v>
      </x:c>
      <x:c r="G2299" s="8" t="n">
        <x:f>'Данные'!F2299</x:f>
        <x:v>0</x:v>
      </x:c>
      <x:c r="H2299" s="8" t="n">
        <x:f>SUM('Данные'!H2299:I2299)</x:f>
        <x:v>0</x:v>
      </x:c>
      <x:c r="I2299" s="16" t="str">
        <x:f>IF(H2299&gt;0,G2299/H2299,"n.a.")</x:f>
        <x:v>n.a.</x:v>
      </x:c>
      <x:c r="J2299" s="10" t="str">
        <x:f>IF('Данные'!E2299&gt;0,G2299/'Данные'!E2299,"n.a.")</x:f>
        <x:v>n.a.</x:v>
      </x:c>
      <x:c r="K2299" s="1" t="str">
        <x:f>IF(G2299&gt;='Дашборд'!$C$51,"X","Z")</x:f>
        <x:v>Z</x:v>
      </x:c>
      <x:c r="L2299" s="1" t="str">
        <x:f>IF(H2299=0,IF(G2299&gt;0,"Нет остатка","Нет спроса"),IF(I2299&gt;='Дашборд'!$C$52,"Быстрый","Медленный"))</x:f>
        <x:v>Нет спроса</x:v>
      </x:c>
      <x:c r="M2299" s="1" t="str">
        <x:f>IF('Данные'!E2299&lt;'Дашборд'!$C$53,"Мало трафика",IF(J2299&lt;'Дашборд'!$C$9*'Дашборд'!$C$54,"Да","Нет"))</x:f>
        <x:v>Мало трафика</x:v>
      </x:c>
      <x:c r="N2299" s="1" t="str">
        <x:f>IF(AND('Данные'!D2299&gt;='Дашборд'!$C$55,D2299&lt;'Дашборд'!$C$56,'Данные'!E2299&gt;='Дашборд'!$C$53,'Данные'!L2299&lt;&gt;"Да"),"Да","Нет")</x:f>
        <x:v>Нет</x:v>
      </x:c>
      <x:c r="O2299" s="1" t="str">
        <x:f>'Данные'!L2299</x:f>
        <x:v>Нет</x:v>
      </x:c>
    </x:row>
    <x:row r="2300">
      <x:c r="A2300" s="1" t="str">
        <x:f>'Данные'!A2300</x:f>
        <x:v>326812979</x:v>
      </x:c>
      <x:c r="B2300" s="1" t="str">
        <x:f>'Данные'!B2300</x:f>
        <x:v>shtanyman4P-79/молочный</x:v>
      </x:c>
      <x:c r="C2300" s="8" t="n">
        <x:f>'Данные'!G2300</x:f>
        <x:v>0</x:v>
      </x:c>
      <x:c r="D2300" s="15" t="n">
        <x:f>C2300/SUM($C$5:$C$2477)</x:f>
        <x:v>0</x:v>
      </x:c>
      <x:c r="E2300" s="15" t="n">
        <x:f>SUM($D$5:D2300)</x:f>
        <x:v>1.0000000000000036</x:v>
      </x:c>
      <x:c r="F2300" s="1" t="str">
        <x:f>IF(C2300&lt;=0,"C",IF(E2300-D2300&lt;'Дашборд'!$C$49,"A",IF(E2300-D2300&lt;'Дашборд'!$C$50,"B","C")))</x:f>
        <x:v>C</x:v>
      </x:c>
      <x:c r="G2300" s="8" t="n">
        <x:f>'Данные'!F2300</x:f>
        <x:v>0</x:v>
      </x:c>
      <x:c r="H2300" s="8" t="n">
        <x:f>SUM('Данные'!H2300:I2300)</x:f>
        <x:v>0</x:v>
      </x:c>
      <x:c r="I2300" s="16" t="str">
        <x:f>IF(H2300&gt;0,G2300/H2300,"n.a.")</x:f>
        <x:v>n.a.</x:v>
      </x:c>
      <x:c r="J2300" s="10" t="n">
        <x:f>IF('Данные'!E2300&gt;0,G2300/'Данные'!E2300,"n.a.")</x:f>
        <x:v>0</x:v>
      </x:c>
      <x:c r="K2300" s="1" t="str">
        <x:f>IF(G2300&gt;='Дашборд'!$C$51,"X","Z")</x:f>
        <x:v>Z</x:v>
      </x:c>
      <x:c r="L2300" s="1" t="str">
        <x:f>IF(H2300=0,IF(G2300&gt;0,"Нет остатка","Нет спроса"),IF(I2300&gt;='Дашборд'!$C$52,"Быстрый","Медленный"))</x:f>
        <x:v>Нет спроса</x:v>
      </x:c>
      <x:c r="M2300" s="1" t="str">
        <x:f>IF('Данные'!E2300&lt;'Дашборд'!$C$53,"Мало трафика",IF(J2300&lt;'Дашборд'!$C$9*'Дашборд'!$C$54,"Да","Нет"))</x:f>
        <x:v>Мало трафика</x:v>
      </x:c>
      <x:c r="N2300" s="1" t="str">
        <x:f>IF(AND('Данные'!D2300&gt;='Дашборд'!$C$55,D2300&lt;'Дашборд'!$C$56,'Данные'!E2300&gt;='Дашборд'!$C$53,'Данные'!L2300&lt;&gt;"Да"),"Да","Нет")</x:f>
        <x:v>Нет</x:v>
      </x:c>
      <x:c r="O2300" s="1" t="str">
        <x:f>'Данные'!L2300</x:f>
        <x:v>Нет</x:v>
      </x:c>
    </x:row>
    <x:row r="2301">
      <x:c r="A2301" s="1" t="str">
        <x:f>'Данные'!A2301</x:f>
        <x:v>329562243</x:v>
      </x:c>
      <x:c r="B2301" s="1" t="str">
        <x:f>'Данные'!B2301</x:f>
        <x:v>brukiboy/изумрудно-зеленый</x:v>
      </x:c>
      <x:c r="C2301" s="8" t="n">
        <x:f>'Данные'!G2301</x:f>
        <x:v>0</x:v>
      </x:c>
      <x:c r="D2301" s="15" t="n">
        <x:f>C2301/SUM($C$5:$C$2477)</x:f>
        <x:v>0</x:v>
      </x:c>
      <x:c r="E2301" s="15" t="n">
        <x:f>SUM($D$5:D2301)</x:f>
        <x:v>1.0000000000000036</x:v>
      </x:c>
      <x:c r="F2301" s="1" t="str">
        <x:f>IF(C2301&lt;=0,"C",IF(E2301-D2301&lt;'Дашборд'!$C$49,"A",IF(E2301-D2301&lt;'Дашборд'!$C$50,"B","C")))</x:f>
        <x:v>C</x:v>
      </x:c>
      <x:c r="G2301" s="8" t="n">
        <x:f>'Данные'!F2301</x:f>
        <x:v>1</x:v>
      </x:c>
      <x:c r="H2301" s="8" t="n">
        <x:f>SUM('Данные'!H2301:I2301)</x:f>
        <x:v>60</x:v>
      </x:c>
      <x:c r="I2301" s="16" t="n">
        <x:f>IF(H2301&gt;0,G2301/H2301,"n.a.")</x:f>
        <x:v>0.016666666666666666</x:v>
      </x:c>
      <x:c r="J2301" s="10" t="n">
        <x:f>IF('Данные'!E2301&gt;0,G2301/'Данные'!E2301,"n.a.")</x:f>
        <x:v>0.00027808676307007786</x:v>
      </x:c>
      <x:c r="K2301" s="1" t="str">
        <x:f>IF(G2301&gt;='Дашборд'!$C$51,"X","Z")</x:f>
        <x:v>Z</x:v>
      </x:c>
      <x:c r="L2301" s="1" t="str">
        <x:f>IF(H2301=0,IF(G2301&gt;0,"Нет остатка","Нет спроса"),IF(I2301&gt;='Дашборд'!$C$52,"Быстрый","Медленный"))</x:f>
        <x:v>Медленный</x:v>
      </x:c>
      <x:c r="M2301" s="1" t="str">
        <x:f>IF('Данные'!E2301&lt;'Дашборд'!$C$53,"Мало трафика",IF(J2301&lt;'Дашборд'!$C$9*'Дашборд'!$C$54,"Да","Нет"))</x:f>
        <x:v>Да</x:v>
      </x:c>
      <x:c r="N2301" s="1" t="str">
        <x:f>IF(AND('Данные'!D2301&gt;='Дашборд'!$C$55,D2301&lt;'Дашборд'!$C$56,'Данные'!E2301&gt;='Дашборд'!$C$53,'Данные'!L2301&lt;&gt;"Да"),"Да","Нет")</x:f>
        <x:v>Нет</x:v>
      </x:c>
      <x:c r="O2301" s="1" t="str">
        <x:f>'Данные'!L2301</x:f>
        <x:v>Нет</x:v>
      </x:c>
    </x:row>
    <x:row r="2302">
      <x:c r="A2302" s="1" t="str">
        <x:f>'Данные'!A2302</x:f>
        <x:v>330774120</x:v>
      </x:c>
      <x:c r="B2302" s="1" t="str">
        <x:f>'Данные'!B2302</x:f>
        <x:v>shtanygulf3P-S3/темно-серый</x:v>
      </x:c>
      <x:c r="C2302" s="8" t="n">
        <x:f>'Данные'!G2302</x:f>
        <x:v>0</x:v>
      </x:c>
      <x:c r="D2302" s="15" t="n">
        <x:f>C2302/SUM($C$5:$C$2477)</x:f>
        <x:v>0</x:v>
      </x:c>
      <x:c r="E2302" s="15" t="n">
        <x:f>SUM($D$5:D2302)</x:f>
        <x:v>1.0000000000000036</x:v>
      </x:c>
      <x:c r="F2302" s="1" t="str">
        <x:f>IF(C2302&lt;=0,"C",IF(E2302-D2302&lt;'Дашборд'!$C$49,"A",IF(E2302-D2302&lt;'Дашборд'!$C$50,"B","C")))</x:f>
        <x:v>C</x:v>
      </x:c>
      <x:c r="G2302" s="8" t="n">
        <x:f>'Данные'!F2302</x:f>
        <x:v>0</x:v>
      </x:c>
      <x:c r="H2302" s="8" t="n">
        <x:f>SUM('Данные'!H2302:I2302)</x:f>
        <x:v>0</x:v>
      </x:c>
      <x:c r="I2302" s="16" t="str">
        <x:f>IF(H2302&gt;0,G2302/H2302,"n.a.")</x:f>
        <x:v>n.a.</x:v>
      </x:c>
      <x:c r="J2302" s="10" t="n">
        <x:f>IF('Данные'!E2302&gt;0,G2302/'Данные'!E2302,"n.a.")</x:f>
        <x:v>0</x:v>
      </x:c>
      <x:c r="K2302" s="1" t="str">
        <x:f>IF(G2302&gt;='Дашборд'!$C$51,"X","Z")</x:f>
        <x:v>Z</x:v>
      </x:c>
      <x:c r="L2302" s="1" t="str">
        <x:f>IF(H2302=0,IF(G2302&gt;0,"Нет остатка","Нет спроса"),IF(I2302&gt;='Дашборд'!$C$52,"Быстрый","Медленный"))</x:f>
        <x:v>Нет спроса</x:v>
      </x:c>
      <x:c r="M2302" s="1" t="str">
        <x:f>IF('Данные'!E2302&lt;'Дашборд'!$C$53,"Мало трафика",IF(J2302&lt;'Дашборд'!$C$9*'Дашборд'!$C$54,"Да","Нет"))</x:f>
        <x:v>Да</x:v>
      </x:c>
      <x:c r="N2302" s="1" t="str">
        <x:f>IF(AND('Данные'!D2302&gt;='Дашборд'!$C$55,D2302&lt;'Дашборд'!$C$56,'Данные'!E2302&gt;='Дашборд'!$C$53,'Данные'!L2302&lt;&gt;"Да"),"Да","Нет")</x:f>
        <x:v>Да</x:v>
      </x:c>
      <x:c r="O2302" s="1" t="str">
        <x:f>'Данные'!L2302</x:f>
        <x:v>Нет</x:v>
      </x:c>
    </x:row>
    <x:row r="2303">
      <x:c r="A2303" s="1" t="str">
        <x:f>'Данные'!A2303</x:f>
        <x:v>330863041</x:v>
      </x:c>
      <x:c r="B2303" s="1" t="str">
        <x:f>'Данные'!B2303</x:f>
        <x:v>futbolkaprint/Run-282/бордовый</x:v>
      </x:c>
      <x:c r="C2303" s="8" t="n">
        <x:f>'Данные'!G2303</x:f>
        <x:v>0</x:v>
      </x:c>
      <x:c r="D2303" s="15" t="n">
        <x:f>C2303/SUM($C$5:$C$2477)</x:f>
        <x:v>0</x:v>
      </x:c>
      <x:c r="E2303" s="15" t="n">
        <x:f>SUM($D$5:D2303)</x:f>
        <x:v>1.0000000000000036</x:v>
      </x:c>
      <x:c r="F2303" s="1" t="str">
        <x:f>IF(C2303&lt;=0,"C",IF(E2303-D2303&lt;'Дашборд'!$C$49,"A",IF(E2303-D2303&lt;'Дашборд'!$C$50,"B","C")))</x:f>
        <x:v>C</x:v>
      </x:c>
      <x:c r="G2303" s="8" t="n">
        <x:f>'Данные'!F2303</x:f>
        <x:v>0</x:v>
      </x:c>
      <x:c r="H2303" s="8" t="n">
        <x:f>SUM('Данные'!H2303:I2303)</x:f>
        <x:v>322</x:v>
      </x:c>
      <x:c r="I2303" s="16" t="n">
        <x:f>IF(H2303&gt;0,G2303/H2303,"n.a.")</x:f>
        <x:v>0</x:v>
      </x:c>
      <x:c r="J2303" s="10" t="str">
        <x:f>IF('Данные'!E2303&gt;0,G2303/'Данные'!E2303,"n.a.")</x:f>
        <x:v>n.a.</x:v>
      </x:c>
      <x:c r="K2303" s="1" t="str">
        <x:f>IF(G2303&gt;='Дашборд'!$C$51,"X","Z")</x:f>
        <x:v>Z</x:v>
      </x:c>
      <x:c r="L2303" s="1" t="str">
        <x:f>IF(H2303=0,IF(G2303&gt;0,"Нет остатка","Нет спроса"),IF(I2303&gt;='Дашборд'!$C$52,"Быстрый","Медленный"))</x:f>
        <x:v>Медленный</x:v>
      </x:c>
      <x:c r="M2303" s="1" t="str">
        <x:f>IF('Данные'!E2303&lt;'Дашборд'!$C$53,"Мало трафика",IF(J2303&lt;'Дашборд'!$C$9*'Дашборд'!$C$54,"Да","Нет"))</x:f>
        <x:v>Мало трафика</x:v>
      </x:c>
      <x:c r="N2303" s="1" t="str">
        <x:f>IF(AND('Данные'!D2303&gt;='Дашборд'!$C$55,D2303&lt;'Дашборд'!$C$56,'Данные'!E2303&gt;='Дашборд'!$C$53,'Данные'!L2303&lt;&gt;"Да"),"Да","Нет")</x:f>
        <x:v>Нет</x:v>
      </x:c>
      <x:c r="O2303" s="1" t="str">
        <x:f>'Данные'!L2303</x:f>
        <x:v>Нет</x:v>
      </x:c>
    </x:row>
    <x:row r="2304">
      <x:c r="A2304" s="1" t="str">
        <x:f>'Данные'!A2304</x:f>
        <x:v>330863043</x:v>
      </x:c>
      <x:c r="B2304" s="1" t="str">
        <x:f>'Данные'!B2304</x:f>
        <x:v>futbolkaprint/Charisma-284/молочный</x:v>
      </x:c>
      <x:c r="C2304" s="8" t="n">
        <x:f>'Данные'!G2304</x:f>
        <x:v>0</x:v>
      </x:c>
      <x:c r="D2304" s="15" t="n">
        <x:f>C2304/SUM($C$5:$C$2477)</x:f>
        <x:v>0</x:v>
      </x:c>
      <x:c r="E2304" s="15" t="n">
        <x:f>SUM($D$5:D2304)</x:f>
        <x:v>1.0000000000000036</x:v>
      </x:c>
      <x:c r="F2304" s="1" t="str">
        <x:f>IF(C2304&lt;=0,"C",IF(E2304-D2304&lt;'Дашборд'!$C$49,"A",IF(E2304-D2304&lt;'Дашборд'!$C$50,"B","C")))</x:f>
        <x:v>C</x:v>
      </x:c>
      <x:c r="G2304" s="8" t="n">
        <x:f>'Данные'!F2304</x:f>
        <x:v>0</x:v>
      </x:c>
      <x:c r="H2304" s="8" t="n">
        <x:f>SUM('Данные'!H2304:I2304)</x:f>
        <x:v>88</x:v>
      </x:c>
      <x:c r="I2304" s="16" t="n">
        <x:f>IF(H2304&gt;0,G2304/H2304,"n.a.")</x:f>
        <x:v>0</x:v>
      </x:c>
      <x:c r="J2304" s="10" t="str">
        <x:f>IF('Данные'!E2304&gt;0,G2304/'Данные'!E2304,"n.a.")</x:f>
        <x:v>n.a.</x:v>
      </x:c>
      <x:c r="K2304" s="1" t="str">
        <x:f>IF(G2304&gt;='Дашборд'!$C$51,"X","Z")</x:f>
        <x:v>Z</x:v>
      </x:c>
      <x:c r="L2304" s="1" t="str">
        <x:f>IF(H2304=0,IF(G2304&gt;0,"Нет остатка","Нет спроса"),IF(I2304&gt;='Дашборд'!$C$52,"Быстрый","Медленный"))</x:f>
        <x:v>Медленный</x:v>
      </x:c>
      <x:c r="M2304" s="1" t="str">
        <x:f>IF('Данные'!E2304&lt;'Дашборд'!$C$53,"Мало трафика",IF(J2304&lt;'Дашборд'!$C$9*'Дашборд'!$C$54,"Да","Нет"))</x:f>
        <x:v>Мало трафика</x:v>
      </x:c>
      <x:c r="N2304" s="1" t="str">
        <x:f>IF(AND('Данные'!D2304&gt;='Дашборд'!$C$55,D2304&lt;'Дашборд'!$C$56,'Данные'!E2304&gt;='Дашборд'!$C$53,'Данные'!L2304&lt;&gt;"Да"),"Да","Нет")</x:f>
        <x:v>Нет</x:v>
      </x:c>
      <x:c r="O2304" s="1" t="str">
        <x:f>'Данные'!L2304</x:f>
        <x:v>Нет</x:v>
      </x:c>
    </x:row>
    <x:row r="2305">
      <x:c r="A2305" s="1" t="str">
        <x:f>'Данные'!A2305</x:f>
        <x:v>331512941</x:v>
      </x:c>
      <x:c r="B2305" s="1" t="str">
        <x:f>'Данные'!B2305</x:f>
        <x:v>reglanmanover4K-E2/зел-сер-мол</x:v>
      </x:c>
      <x:c r="C2305" s="8" t="n">
        <x:f>'Данные'!G2305</x:f>
        <x:v>0</x:v>
      </x:c>
      <x:c r="D2305" s="15" t="n">
        <x:f>C2305/SUM($C$5:$C$2477)</x:f>
        <x:v>0</x:v>
      </x:c>
      <x:c r="E2305" s="15" t="n">
        <x:f>SUM($D$5:D2305)</x:f>
        <x:v>1.0000000000000036</x:v>
      </x:c>
      <x:c r="F2305" s="1" t="str">
        <x:f>IF(C2305&lt;=0,"C",IF(E2305-D2305&lt;'Дашборд'!$C$49,"A",IF(E2305-D2305&lt;'Дашборд'!$C$50,"B","C")))</x:f>
        <x:v>C</x:v>
      </x:c>
      <x:c r="G2305" s="8" t="n">
        <x:f>'Данные'!F2305</x:f>
        <x:v>0</x:v>
      </x:c>
      <x:c r="H2305" s="8" t="n">
        <x:f>SUM('Данные'!H2305:I2305)</x:f>
        <x:v>0</x:v>
      </x:c>
      <x:c r="I2305" s="16" t="str">
        <x:f>IF(H2305&gt;0,G2305/H2305,"n.a.")</x:f>
        <x:v>n.a.</x:v>
      </x:c>
      <x:c r="J2305" s="10" t="n">
        <x:f>IF('Данные'!E2305&gt;0,G2305/'Данные'!E2305,"n.a.")</x:f>
        <x:v>0</x:v>
      </x:c>
      <x:c r="K2305" s="1" t="str">
        <x:f>IF(G2305&gt;='Дашборд'!$C$51,"X","Z")</x:f>
        <x:v>Z</x:v>
      </x:c>
      <x:c r="L2305" s="1" t="str">
        <x:f>IF(H2305=0,IF(G2305&gt;0,"Нет остатка","Нет спроса"),IF(I2305&gt;='Дашборд'!$C$52,"Быстрый","Медленный"))</x:f>
        <x:v>Нет спроса</x:v>
      </x:c>
      <x:c r="M2305" s="1" t="str">
        <x:f>IF('Данные'!E2305&lt;'Дашборд'!$C$53,"Мало трафика",IF(J2305&lt;'Дашборд'!$C$9*'Дашборд'!$C$54,"Да","Нет"))</x:f>
        <x:v>Мало трафика</x:v>
      </x:c>
      <x:c r="N2305" s="1" t="str">
        <x:f>IF(AND('Данные'!D2305&gt;='Дашборд'!$C$55,D2305&lt;'Дашборд'!$C$56,'Данные'!E2305&gt;='Дашборд'!$C$53,'Данные'!L2305&lt;&gt;"Да"),"Да","Нет")</x:f>
        <x:v>Нет</x:v>
      </x:c>
      <x:c r="O2305" s="1" t="str">
        <x:f>'Данные'!L2305</x:f>
        <x:v>Нет</x:v>
      </x:c>
    </x:row>
    <x:row r="2306">
      <x:c r="A2306" s="1" t="str">
        <x:f>'Данные'!A2306</x:f>
        <x:v>331519127</x:v>
      </x:c>
      <x:c r="B2306" s="1" t="str">
        <x:f>'Данные'!B2306</x:f>
        <x:v>reglanmanover4K-E2/дым-бел</x:v>
      </x:c>
      <x:c r="C2306" s="8" t="n">
        <x:f>'Данные'!G2306</x:f>
        <x:v>0</x:v>
      </x:c>
      <x:c r="D2306" s="15" t="n">
        <x:f>C2306/SUM($C$5:$C$2477)</x:f>
        <x:v>0</x:v>
      </x:c>
      <x:c r="E2306" s="15" t="n">
        <x:f>SUM($D$5:D2306)</x:f>
        <x:v>1.0000000000000036</x:v>
      </x:c>
      <x:c r="F2306" s="1" t="str">
        <x:f>IF(C2306&lt;=0,"C",IF(E2306-D2306&lt;'Дашборд'!$C$49,"A",IF(E2306-D2306&lt;'Дашборд'!$C$50,"B","C")))</x:f>
        <x:v>C</x:v>
      </x:c>
      <x:c r="G2306" s="8" t="n">
        <x:f>'Данные'!F2306</x:f>
        <x:v>0</x:v>
      </x:c>
      <x:c r="H2306" s="8" t="n">
        <x:f>SUM('Данные'!H2306:I2306)</x:f>
        <x:v>0</x:v>
      </x:c>
      <x:c r="I2306" s="16" t="str">
        <x:f>IF(H2306&gt;0,G2306/H2306,"n.a.")</x:f>
        <x:v>n.a.</x:v>
      </x:c>
      <x:c r="J2306" s="10" t="n">
        <x:f>IF('Данные'!E2306&gt;0,G2306/'Данные'!E2306,"n.a.")</x:f>
        <x:v>0</x:v>
      </x:c>
      <x:c r="K2306" s="1" t="str">
        <x:f>IF(G2306&gt;='Дашборд'!$C$51,"X","Z")</x:f>
        <x:v>Z</x:v>
      </x:c>
      <x:c r="L2306" s="1" t="str">
        <x:f>IF(H2306=0,IF(G2306&gt;0,"Нет остатка","Нет спроса"),IF(I2306&gt;='Дашборд'!$C$52,"Быстрый","Медленный"))</x:f>
        <x:v>Нет спроса</x:v>
      </x:c>
      <x:c r="M2306" s="1" t="str">
        <x:f>IF('Данные'!E2306&lt;'Дашборд'!$C$53,"Мало трафика",IF(J2306&lt;'Дашборд'!$C$9*'Дашборд'!$C$54,"Да","Нет"))</x:f>
        <x:v>Мало трафика</x:v>
      </x:c>
      <x:c r="N2306" s="1" t="str">
        <x:f>IF(AND('Данные'!D2306&gt;='Дашборд'!$C$55,D2306&lt;'Дашборд'!$C$56,'Данные'!E2306&gt;='Дашборд'!$C$53,'Данные'!L2306&lt;&gt;"Да"),"Да","Нет")</x:f>
        <x:v>Нет</x:v>
      </x:c>
      <x:c r="O2306" s="1" t="str">
        <x:f>'Данные'!L2306</x:f>
        <x:v>Нет</x:v>
      </x:c>
    </x:row>
    <x:row r="2307">
      <x:c r="A2307" s="1" t="str">
        <x:f>'Данные'!A2307</x:f>
        <x:v>331519132</x:v>
      </x:c>
      <x:c r="B2307" s="1" t="str">
        <x:f>'Данные'!B2307</x:f>
        <x:v>reglanmanover4K-E2/мор-вол-мол</x:v>
      </x:c>
      <x:c r="C2307" s="8" t="n">
        <x:f>'Данные'!G2307</x:f>
        <x:v>0</x:v>
      </x:c>
      <x:c r="D2307" s="15" t="n">
        <x:f>C2307/SUM($C$5:$C$2477)</x:f>
        <x:v>0</x:v>
      </x:c>
      <x:c r="E2307" s="15" t="n">
        <x:f>SUM($D$5:D2307)</x:f>
        <x:v>1.0000000000000036</x:v>
      </x:c>
      <x:c r="F2307" s="1" t="str">
        <x:f>IF(C2307&lt;=0,"C",IF(E2307-D2307&lt;'Дашборд'!$C$49,"A",IF(E2307-D2307&lt;'Дашборд'!$C$50,"B","C")))</x:f>
        <x:v>C</x:v>
      </x:c>
      <x:c r="G2307" s="8" t="n">
        <x:f>'Данные'!F2307</x:f>
        <x:v>0</x:v>
      </x:c>
      <x:c r="H2307" s="8" t="n">
        <x:f>SUM('Данные'!H2307:I2307)</x:f>
        <x:v>0</x:v>
      </x:c>
      <x:c r="I2307" s="16" t="str">
        <x:f>IF(H2307&gt;0,G2307/H2307,"n.a.")</x:f>
        <x:v>n.a.</x:v>
      </x:c>
      <x:c r="J2307" s="10" t="n">
        <x:f>IF('Данные'!E2307&gt;0,G2307/'Данные'!E2307,"n.a.")</x:f>
        <x:v>0</x:v>
      </x:c>
      <x:c r="K2307" s="1" t="str">
        <x:f>IF(G2307&gt;='Дашборд'!$C$51,"X","Z")</x:f>
        <x:v>Z</x:v>
      </x:c>
      <x:c r="L2307" s="1" t="str">
        <x:f>IF(H2307=0,IF(G2307&gt;0,"Нет остатка","Нет спроса"),IF(I2307&gt;='Дашборд'!$C$52,"Быстрый","Медленный"))</x:f>
        <x:v>Нет спроса</x:v>
      </x:c>
      <x:c r="M2307" s="1" t="str">
        <x:f>IF('Данные'!E2307&lt;'Дашборд'!$C$53,"Мало трафика",IF(J2307&lt;'Дашборд'!$C$9*'Дашборд'!$C$54,"Да","Нет"))</x:f>
        <x:v>Мало трафика</x:v>
      </x:c>
      <x:c r="N2307" s="1" t="str">
        <x:f>IF(AND('Данные'!D2307&gt;='Дашборд'!$C$55,D2307&lt;'Дашборд'!$C$56,'Данные'!E2307&gt;='Дашборд'!$C$53,'Данные'!L2307&lt;&gt;"Да"),"Да","Нет")</x:f>
        <x:v>Нет</x:v>
      </x:c>
      <x:c r="O2307" s="1" t="str">
        <x:f>'Данные'!L2307</x:f>
        <x:v>Нет</x:v>
      </x:c>
    </x:row>
    <x:row r="2308">
      <x:c r="A2308" s="1" t="str">
        <x:f>'Данные'!A2308</x:f>
        <x:v>331519137</x:v>
      </x:c>
      <x:c r="B2308" s="1" t="str">
        <x:f>'Данные'!B2308</x:f>
        <x:v>reglanmanover4K-E2/кор-беж</x:v>
      </x:c>
      <x:c r="C2308" s="8" t="n">
        <x:f>'Данные'!G2308</x:f>
        <x:v>0</x:v>
      </x:c>
      <x:c r="D2308" s="15" t="n">
        <x:f>C2308/SUM($C$5:$C$2477)</x:f>
        <x:v>0</x:v>
      </x:c>
      <x:c r="E2308" s="15" t="n">
        <x:f>SUM($D$5:D2308)</x:f>
        <x:v>1.0000000000000036</x:v>
      </x:c>
      <x:c r="F2308" s="1" t="str">
        <x:f>IF(C2308&lt;=0,"C",IF(E2308-D2308&lt;'Дашборд'!$C$49,"A",IF(E2308-D2308&lt;'Дашборд'!$C$50,"B","C")))</x:f>
        <x:v>C</x:v>
      </x:c>
      <x:c r="G2308" s="8" t="n">
        <x:f>'Данные'!F2308</x:f>
        <x:v>0</x:v>
      </x:c>
      <x:c r="H2308" s="8" t="n">
        <x:f>SUM('Данные'!H2308:I2308)</x:f>
        <x:v>0</x:v>
      </x:c>
      <x:c r="I2308" s="16" t="str">
        <x:f>IF(H2308&gt;0,G2308/H2308,"n.a.")</x:f>
        <x:v>n.a.</x:v>
      </x:c>
      <x:c r="J2308" s="10" t="n">
        <x:f>IF('Данные'!E2308&gt;0,G2308/'Данные'!E2308,"n.a.")</x:f>
        <x:v>0</x:v>
      </x:c>
      <x:c r="K2308" s="1" t="str">
        <x:f>IF(G2308&gt;='Дашборд'!$C$51,"X","Z")</x:f>
        <x:v>Z</x:v>
      </x:c>
      <x:c r="L2308" s="1" t="str">
        <x:f>IF(H2308=0,IF(G2308&gt;0,"Нет остатка","Нет спроса"),IF(I2308&gt;='Дашборд'!$C$52,"Быстрый","Медленный"))</x:f>
        <x:v>Нет спроса</x:v>
      </x:c>
      <x:c r="M2308" s="1" t="str">
        <x:f>IF('Данные'!E2308&lt;'Дашборд'!$C$53,"Мало трафика",IF(J2308&lt;'Дашборд'!$C$9*'Дашборд'!$C$54,"Да","Нет"))</x:f>
        <x:v>Мало трафика</x:v>
      </x:c>
      <x:c r="N2308" s="1" t="str">
        <x:f>IF(AND('Данные'!D2308&gt;='Дашборд'!$C$55,D2308&lt;'Дашборд'!$C$56,'Данные'!E2308&gt;='Дашборд'!$C$53,'Данные'!L2308&lt;&gt;"Да"),"Да","Нет")</x:f>
        <x:v>Нет</x:v>
      </x:c>
      <x:c r="O2308" s="1" t="str">
        <x:f>'Данные'!L2308</x:f>
        <x:v>Нет</x:v>
      </x:c>
    </x:row>
    <x:row r="2309">
      <x:c r="A2309" s="1" t="str">
        <x:f>'Данные'!A2309</x:f>
        <x:v>331723397</x:v>
      </x:c>
      <x:c r="B2309" s="1" t="str">
        <x:f>'Данные'!B2309</x:f>
        <x:v>futkryl3K-101/графит</x:v>
      </x:c>
      <x:c r="C2309" s="8" t="n">
        <x:f>'Данные'!G2309</x:f>
        <x:v>0</x:v>
      </x:c>
      <x:c r="D2309" s="15" t="n">
        <x:f>C2309/SUM($C$5:$C$2477)</x:f>
        <x:v>0</x:v>
      </x:c>
      <x:c r="E2309" s="15" t="n">
        <x:f>SUM($D$5:D2309)</x:f>
        <x:v>1.0000000000000036</x:v>
      </x:c>
      <x:c r="F2309" s="1" t="str">
        <x:f>IF(C2309&lt;=0,"C",IF(E2309-D2309&lt;'Дашборд'!$C$49,"A",IF(E2309-D2309&lt;'Дашборд'!$C$50,"B","C")))</x:f>
        <x:v>C</x:v>
      </x:c>
      <x:c r="G2309" s="8" t="n">
        <x:f>'Данные'!F2309</x:f>
        <x:v>0</x:v>
      </x:c>
      <x:c r="H2309" s="8" t="n">
        <x:f>SUM('Данные'!H2309:I2309)</x:f>
        <x:v>338</x:v>
      </x:c>
      <x:c r="I2309" s="16" t="n">
        <x:f>IF(H2309&gt;0,G2309/H2309,"n.a.")</x:f>
        <x:v>0</x:v>
      </x:c>
      <x:c r="J2309" s="10" t="str">
        <x:f>IF('Данные'!E2309&gt;0,G2309/'Данные'!E2309,"n.a.")</x:f>
        <x:v>n.a.</x:v>
      </x:c>
      <x:c r="K2309" s="1" t="str">
        <x:f>IF(G2309&gt;='Дашборд'!$C$51,"X","Z")</x:f>
        <x:v>Z</x:v>
      </x:c>
      <x:c r="L2309" s="1" t="str">
        <x:f>IF(H2309=0,IF(G2309&gt;0,"Нет остатка","Нет спроса"),IF(I2309&gt;='Дашборд'!$C$52,"Быстрый","Медленный"))</x:f>
        <x:v>Медленный</x:v>
      </x:c>
      <x:c r="M2309" s="1" t="str">
        <x:f>IF('Данные'!E2309&lt;'Дашборд'!$C$53,"Мало трафика",IF(J2309&lt;'Дашборд'!$C$9*'Дашборд'!$C$54,"Да","Нет"))</x:f>
        <x:v>Мало трафика</x:v>
      </x:c>
      <x:c r="N2309" s="1" t="str">
        <x:f>IF(AND('Данные'!D2309&gt;='Дашборд'!$C$55,D2309&lt;'Дашборд'!$C$56,'Данные'!E2309&gt;='Дашборд'!$C$53,'Данные'!L2309&lt;&gt;"Да"),"Да","Нет")</x:f>
        <x:v>Нет</x:v>
      </x:c>
      <x:c r="O2309" s="1" t="str">
        <x:f>'Данные'!L2309</x:f>
        <x:v>Нет</x:v>
      </x:c>
    </x:row>
    <x:row r="2310">
      <x:c r="A2310" s="1" t="str">
        <x:f>'Данные'!A2310</x:f>
        <x:v>332605172</x:v>
      </x:c>
      <x:c r="B2310" s="1" t="str">
        <x:f>'Данные'!B2310</x:f>
        <x:v>svitzipprint3P-S-5/Trouble-285/черный</x:v>
      </x:c>
      <x:c r="C2310" s="8" t="n">
        <x:f>'Данные'!G2310</x:f>
        <x:v>0</x:v>
      </x:c>
      <x:c r="D2310" s="15" t="n">
        <x:f>C2310/SUM($C$5:$C$2477)</x:f>
        <x:v>0</x:v>
      </x:c>
      <x:c r="E2310" s="15" t="n">
        <x:f>SUM($D$5:D2310)</x:f>
        <x:v>1.0000000000000036</x:v>
      </x:c>
      <x:c r="F2310" s="1" t="str">
        <x:f>IF(C2310&lt;=0,"C",IF(E2310-D2310&lt;'Дашборд'!$C$49,"A",IF(E2310-D2310&lt;'Дашборд'!$C$50,"B","C")))</x:f>
        <x:v>C</x:v>
      </x:c>
      <x:c r="G2310" s="8" t="n">
        <x:f>'Данные'!F2310</x:f>
        <x:v>0</x:v>
      </x:c>
      <x:c r="H2310" s="8" t="n">
        <x:f>SUM('Данные'!H2310:I2310)</x:f>
        <x:v>0</x:v>
      </x:c>
      <x:c r="I2310" s="16" t="str">
        <x:f>IF(H2310&gt;0,G2310/H2310,"n.a.")</x:f>
        <x:v>n.a.</x:v>
      </x:c>
      <x:c r="J2310" s="10" t="n">
        <x:f>IF('Данные'!E2310&gt;0,G2310/'Данные'!E2310,"n.a.")</x:f>
        <x:v>0</x:v>
      </x:c>
      <x:c r="K2310" s="1" t="str">
        <x:f>IF(G2310&gt;='Дашборд'!$C$51,"X","Z")</x:f>
        <x:v>Z</x:v>
      </x:c>
      <x:c r="L2310" s="1" t="str">
        <x:f>IF(H2310=0,IF(G2310&gt;0,"Нет остатка","Нет спроса"),IF(I2310&gt;='Дашборд'!$C$52,"Быстрый","Медленный"))</x:f>
        <x:v>Нет спроса</x:v>
      </x:c>
      <x:c r="M2310" s="1" t="str">
        <x:f>IF('Данные'!E2310&lt;'Дашборд'!$C$53,"Мало трафика",IF(J2310&lt;'Дашборд'!$C$9*'Дашборд'!$C$54,"Да","Нет"))</x:f>
        <x:v>Мало трафика</x:v>
      </x:c>
      <x:c r="N2310" s="1" t="str">
        <x:f>IF(AND('Данные'!D2310&gt;='Дашборд'!$C$55,D2310&lt;'Дашборд'!$C$56,'Данные'!E2310&gt;='Дашборд'!$C$53,'Данные'!L2310&lt;&gt;"Да"),"Да","Нет")</x:f>
        <x:v>Нет</x:v>
      </x:c>
      <x:c r="O2310" s="1" t="str">
        <x:f>'Данные'!L2310</x:f>
        <x:v>Нет</x:v>
      </x:c>
    </x:row>
    <x:row r="2311">
      <x:c r="A2311" s="1" t="str">
        <x:f>'Данные'!A2311</x:f>
        <x:v>332615921</x:v>
      </x:c>
      <x:c r="B2311" s="1" t="str">
        <x:f>'Данные'!B2311</x:f>
        <x:v>svitshotzipmanprint/Napoli-290/черный</x:v>
      </x:c>
      <x:c r="C2311" s="8" t="n">
        <x:f>'Данные'!G2311</x:f>
        <x:v>0</x:v>
      </x:c>
      <x:c r="D2311" s="15" t="n">
        <x:f>C2311/SUM($C$5:$C$2477)</x:f>
        <x:v>0</x:v>
      </x:c>
      <x:c r="E2311" s="15" t="n">
        <x:f>SUM($D$5:D2311)</x:f>
        <x:v>1.0000000000000036</x:v>
      </x:c>
      <x:c r="F2311" s="1" t="str">
        <x:f>IF(C2311&lt;=0,"C",IF(E2311-D2311&lt;'Дашборд'!$C$49,"A",IF(E2311-D2311&lt;'Дашборд'!$C$50,"B","C")))</x:f>
        <x:v>C</x:v>
      </x:c>
      <x:c r="G2311" s="8" t="n">
        <x:f>'Данные'!F2311</x:f>
        <x:v>0</x:v>
      </x:c>
      <x:c r="H2311" s="8" t="n">
        <x:f>SUM('Данные'!H2311:I2311)</x:f>
        <x:v>0</x:v>
      </x:c>
      <x:c r="I2311" s="16" t="str">
        <x:f>IF(H2311&gt;0,G2311/H2311,"n.a.")</x:f>
        <x:v>n.a.</x:v>
      </x:c>
      <x:c r="J2311" s="10" t="str">
        <x:f>IF('Данные'!E2311&gt;0,G2311/'Данные'!E2311,"n.a.")</x:f>
        <x:v>n.a.</x:v>
      </x:c>
      <x:c r="K2311" s="1" t="str">
        <x:f>IF(G2311&gt;='Дашборд'!$C$51,"X","Z")</x:f>
        <x:v>Z</x:v>
      </x:c>
      <x:c r="L2311" s="1" t="str">
        <x:f>IF(H2311=0,IF(G2311&gt;0,"Нет остатка","Нет спроса"),IF(I2311&gt;='Дашборд'!$C$52,"Быстрый","Медленный"))</x:f>
        <x:v>Нет спроса</x:v>
      </x:c>
      <x:c r="M2311" s="1" t="str">
        <x:f>IF('Данные'!E2311&lt;'Дашборд'!$C$53,"Мало трафика",IF(J2311&lt;'Дашборд'!$C$9*'Дашборд'!$C$54,"Да","Нет"))</x:f>
        <x:v>Мало трафика</x:v>
      </x:c>
      <x:c r="N2311" s="1" t="str">
        <x:f>IF(AND('Данные'!D2311&gt;='Дашборд'!$C$55,D2311&lt;'Дашборд'!$C$56,'Данные'!E2311&gt;='Дашборд'!$C$53,'Данные'!L2311&lt;&gt;"Да"),"Да","Нет")</x:f>
        <x:v>Нет</x:v>
      </x:c>
      <x:c r="O2311" s="1" t="str">
        <x:f>'Данные'!L2311</x:f>
        <x:v>Нет</x:v>
      </x:c>
    </x:row>
    <x:row r="2312">
      <x:c r="A2312" s="1" t="str">
        <x:f>'Данные'!A2312</x:f>
        <x:v>333086491</x:v>
      </x:c>
      <x:c r="B2312" s="1" t="str">
        <x:f>'Данные'!B2312</x:f>
        <x:v>shtanyfix/винный</x:v>
      </x:c>
      <x:c r="C2312" s="8" t="n">
        <x:f>'Данные'!G2312</x:f>
        <x:v>0</x:v>
      </x:c>
      <x:c r="D2312" s="15" t="n">
        <x:f>C2312/SUM($C$5:$C$2477)</x:f>
        <x:v>0</x:v>
      </x:c>
      <x:c r="E2312" s="15" t="n">
        <x:f>SUM($D$5:D2312)</x:f>
        <x:v>1.0000000000000036</x:v>
      </x:c>
      <x:c r="F2312" s="1" t="str">
        <x:f>IF(C2312&lt;=0,"C",IF(E2312-D2312&lt;'Дашборд'!$C$49,"A",IF(E2312-D2312&lt;'Дашборд'!$C$50,"B","C")))</x:f>
        <x:v>C</x:v>
      </x:c>
      <x:c r="G2312" s="8" t="n">
        <x:f>'Данные'!F2312</x:f>
        <x:v>0</x:v>
      </x:c>
      <x:c r="H2312" s="8" t="n">
        <x:f>SUM('Данные'!H2312:I2312)</x:f>
        <x:v>0</x:v>
      </x:c>
      <x:c r="I2312" s="16" t="str">
        <x:f>IF(H2312&gt;0,G2312/H2312,"n.a.")</x:f>
        <x:v>n.a.</x:v>
      </x:c>
      <x:c r="J2312" s="10" t="n">
        <x:f>IF('Данные'!E2312&gt;0,G2312/'Данные'!E2312,"n.a.")</x:f>
        <x:v>0</x:v>
      </x:c>
      <x:c r="K2312" s="1" t="str">
        <x:f>IF(G2312&gt;='Дашборд'!$C$51,"X","Z")</x:f>
        <x:v>Z</x:v>
      </x:c>
      <x:c r="L2312" s="1" t="str">
        <x:f>IF(H2312=0,IF(G2312&gt;0,"Нет остатка","Нет спроса"),IF(I2312&gt;='Дашборд'!$C$52,"Быстрый","Медленный"))</x:f>
        <x:v>Нет спроса</x:v>
      </x:c>
      <x:c r="M2312" s="1" t="str">
        <x:f>IF('Данные'!E2312&lt;'Дашборд'!$C$53,"Мало трафика",IF(J2312&lt;'Дашборд'!$C$9*'Дашборд'!$C$54,"Да","Нет"))</x:f>
        <x:v>Да</x:v>
      </x:c>
      <x:c r="N2312" s="1" t="str">
        <x:f>IF(AND('Данные'!D2312&gt;='Дашборд'!$C$55,D2312&lt;'Дашборд'!$C$56,'Данные'!E2312&gt;='Дашборд'!$C$53,'Данные'!L2312&lt;&gt;"Да"),"Да","Нет")</x:f>
        <x:v>Нет</x:v>
      </x:c>
      <x:c r="O2312" s="1" t="str">
        <x:f>'Данные'!L2312</x:f>
        <x:v>Нет</x:v>
      </x:c>
    </x:row>
    <x:row r="2313">
      <x:c r="A2313" s="1" t="str">
        <x:f>'Данные'!A2313</x:f>
        <x:v>33334977</x:v>
      </x:c>
      <x:c r="B2313" s="1" t="str">
        <x:f>'Данные'!B2313</x:f>
        <x:v>futbolka/светлофиолетовый</x:v>
      </x:c>
      <x:c r="C2313" s="8" t="n">
        <x:f>'Данные'!G2313</x:f>
        <x:v>0</x:v>
      </x:c>
      <x:c r="D2313" s="15" t="n">
        <x:f>C2313/SUM($C$5:$C$2477)</x:f>
        <x:v>0</x:v>
      </x:c>
      <x:c r="E2313" s="15" t="n">
        <x:f>SUM($D$5:D2313)</x:f>
        <x:v>1.0000000000000036</x:v>
      </x:c>
      <x:c r="F2313" s="1" t="str">
        <x:f>IF(C2313&lt;=0,"C",IF(E2313-D2313&lt;'Дашборд'!$C$49,"A",IF(E2313-D2313&lt;'Дашборд'!$C$50,"B","C")))</x:f>
        <x:v>C</x:v>
      </x:c>
      <x:c r="G2313" s="8" t="n">
        <x:f>'Данные'!F2313</x:f>
        <x:v>0</x:v>
      </x:c>
      <x:c r="H2313" s="8" t="n">
        <x:f>SUM('Данные'!H2313:I2313)</x:f>
        <x:v>0</x:v>
      </x:c>
      <x:c r="I2313" s="16" t="str">
        <x:f>IF(H2313&gt;0,G2313/H2313,"n.a.")</x:f>
        <x:v>n.a.</x:v>
      </x:c>
      <x:c r="J2313" s="10" t="n">
        <x:f>IF('Данные'!E2313&gt;0,G2313/'Данные'!E2313,"n.a.")</x:f>
        <x:v>0</x:v>
      </x:c>
      <x:c r="K2313" s="1" t="str">
        <x:f>IF(G2313&gt;='Дашборд'!$C$51,"X","Z")</x:f>
        <x:v>Z</x:v>
      </x:c>
      <x:c r="L2313" s="1" t="str">
        <x:f>IF(H2313=0,IF(G2313&gt;0,"Нет остатка","Нет спроса"),IF(I2313&gt;='Дашборд'!$C$52,"Быстрый","Медленный"))</x:f>
        <x:v>Нет спроса</x:v>
      </x:c>
      <x:c r="M2313" s="1" t="str">
        <x:f>IF('Данные'!E2313&lt;'Дашборд'!$C$53,"Мало трафика",IF(J2313&lt;'Дашборд'!$C$9*'Дашборд'!$C$54,"Да","Нет"))</x:f>
        <x:v>Мало трафика</x:v>
      </x:c>
      <x:c r="N2313" s="1" t="str">
        <x:f>IF(AND('Данные'!D2313&gt;='Дашборд'!$C$55,D2313&lt;'Дашборд'!$C$56,'Данные'!E2313&gt;='Дашборд'!$C$53,'Данные'!L2313&lt;&gt;"Да"),"Да","Нет")</x:f>
        <x:v>Нет</x:v>
      </x:c>
      <x:c r="O2313" s="1" t="str">
        <x:f>'Данные'!L2313</x:f>
        <x:v>Нет</x:v>
      </x:c>
    </x:row>
    <x:row r="2314">
      <x:c r="A2314" s="1" t="str">
        <x:f>'Данные'!A2314</x:f>
        <x:v>33356515</x:v>
      </x:c>
      <x:c r="B2314" s="1" t="str">
        <x:f>'Данные'!B2314</x:f>
        <x:v>futbolkaman/черный</x:v>
      </x:c>
      <x:c r="C2314" s="8" t="n">
        <x:f>'Данные'!G2314</x:f>
        <x:v>0</x:v>
      </x:c>
      <x:c r="D2314" s="15" t="n">
        <x:f>C2314/SUM($C$5:$C$2477)</x:f>
        <x:v>0</x:v>
      </x:c>
      <x:c r="E2314" s="15" t="n">
        <x:f>SUM($D$5:D2314)</x:f>
        <x:v>1.0000000000000036</x:v>
      </x:c>
      <x:c r="F2314" s="1" t="str">
        <x:f>IF(C2314&lt;=0,"C",IF(E2314-D2314&lt;'Дашборд'!$C$49,"A",IF(E2314-D2314&lt;'Дашборд'!$C$50,"B","C")))</x:f>
        <x:v>C</x:v>
      </x:c>
      <x:c r="G2314" s="8" t="n">
        <x:f>'Данные'!F2314</x:f>
        <x:v>0</x:v>
      </x:c>
      <x:c r="H2314" s="8" t="n">
        <x:f>SUM('Данные'!H2314:I2314)</x:f>
        <x:v>0</x:v>
      </x:c>
      <x:c r="I2314" s="16" t="str">
        <x:f>IF(H2314&gt;0,G2314/H2314,"n.a.")</x:f>
        <x:v>n.a.</x:v>
      </x:c>
      <x:c r="J2314" s="10" t="n">
        <x:f>IF('Данные'!E2314&gt;0,G2314/'Данные'!E2314,"n.a.")</x:f>
        <x:v>0</x:v>
      </x:c>
      <x:c r="K2314" s="1" t="str">
        <x:f>IF(G2314&gt;='Дашборд'!$C$51,"X","Z")</x:f>
        <x:v>Z</x:v>
      </x:c>
      <x:c r="L2314" s="1" t="str">
        <x:f>IF(H2314=0,IF(G2314&gt;0,"Нет остатка","Нет спроса"),IF(I2314&gt;='Дашборд'!$C$52,"Быстрый","Медленный"))</x:f>
        <x:v>Нет спроса</x:v>
      </x:c>
      <x:c r="M2314" s="1" t="str">
        <x:f>IF('Данные'!E2314&lt;'Дашборд'!$C$53,"Мало трафика",IF(J2314&lt;'Дашборд'!$C$9*'Дашборд'!$C$54,"Да","Нет"))</x:f>
        <x:v>Мало трафика</x:v>
      </x:c>
      <x:c r="N2314" s="1" t="str">
        <x:f>IF(AND('Данные'!D2314&gt;='Дашборд'!$C$55,D2314&lt;'Дашборд'!$C$56,'Данные'!E2314&gt;='Дашборд'!$C$53,'Данные'!L2314&lt;&gt;"Да"),"Да","Нет")</x:f>
        <x:v>Нет</x:v>
      </x:c>
      <x:c r="O2314" s="1" t="str">
        <x:f>'Данные'!L2314</x:f>
        <x:v>Нет</x:v>
      </x:c>
    </x:row>
    <x:row r="2315">
      <x:c r="A2315" s="1" t="str">
        <x:f>'Данные'!A2315</x:f>
        <x:v>33398757</x:v>
      </x:c>
      <x:c r="B2315" s="1" t="str">
        <x:f>'Данные'!B2315</x:f>
        <x:v>futbolka/пыльнаямята</x:v>
      </x:c>
      <x:c r="C2315" s="8" t="n">
        <x:f>'Данные'!G2315</x:f>
        <x:v>0</x:v>
      </x:c>
      <x:c r="D2315" s="15" t="n">
        <x:f>C2315/SUM($C$5:$C$2477)</x:f>
        <x:v>0</x:v>
      </x:c>
      <x:c r="E2315" s="15" t="n">
        <x:f>SUM($D$5:D2315)</x:f>
        <x:v>1.0000000000000036</x:v>
      </x:c>
      <x:c r="F2315" s="1" t="str">
        <x:f>IF(C2315&lt;=0,"C",IF(E2315-D2315&lt;'Дашборд'!$C$49,"A",IF(E2315-D2315&lt;'Дашборд'!$C$50,"B","C")))</x:f>
        <x:v>C</x:v>
      </x:c>
      <x:c r="G2315" s="8" t="n">
        <x:f>'Данные'!F2315</x:f>
        <x:v>0</x:v>
      </x:c>
      <x:c r="H2315" s="8" t="n">
        <x:f>SUM('Данные'!H2315:I2315)</x:f>
        <x:v>0</x:v>
      </x:c>
      <x:c r="I2315" s="16" t="str">
        <x:f>IF(H2315&gt;0,G2315/H2315,"n.a.")</x:f>
        <x:v>n.a.</x:v>
      </x:c>
      <x:c r="J2315" s="10" t="n">
        <x:f>IF('Данные'!E2315&gt;0,G2315/'Данные'!E2315,"n.a.")</x:f>
        <x:v>0</x:v>
      </x:c>
      <x:c r="K2315" s="1" t="str">
        <x:f>IF(G2315&gt;='Дашборд'!$C$51,"X","Z")</x:f>
        <x:v>Z</x:v>
      </x:c>
      <x:c r="L2315" s="1" t="str">
        <x:f>IF(H2315=0,IF(G2315&gt;0,"Нет остатка","Нет спроса"),IF(I2315&gt;='Дашборд'!$C$52,"Быстрый","Медленный"))</x:f>
        <x:v>Нет спроса</x:v>
      </x:c>
      <x:c r="M2315" s="1" t="str">
        <x:f>IF('Данные'!E2315&lt;'Дашборд'!$C$53,"Мало трафика",IF(J2315&lt;'Дашборд'!$C$9*'Дашборд'!$C$54,"Да","Нет"))</x:f>
        <x:v>Мало трафика</x:v>
      </x:c>
      <x:c r="N2315" s="1" t="str">
        <x:f>IF(AND('Данные'!D2315&gt;='Дашборд'!$C$55,D2315&lt;'Дашборд'!$C$56,'Данные'!E2315&gt;='Дашборд'!$C$53,'Данные'!L2315&lt;&gt;"Да"),"Да","Нет")</x:f>
        <x:v>Нет</x:v>
      </x:c>
      <x:c r="O2315" s="1" t="str">
        <x:f>'Данные'!L2315</x:f>
        <x:v>Нет</x:v>
      </x:c>
    </x:row>
    <x:row r="2316">
      <x:c r="A2316" s="1" t="str">
        <x:f>'Данные'!A2316</x:f>
        <x:v>33399442</x:v>
      </x:c>
      <x:c r="B2316" s="1" t="str">
        <x:f>'Данные'!B2316</x:f>
        <x:v>futbolka/сероваторозовый</x:v>
      </x:c>
      <x:c r="C2316" s="8" t="n">
        <x:f>'Данные'!G2316</x:f>
        <x:v>0</x:v>
      </x:c>
      <x:c r="D2316" s="15" t="n">
        <x:f>C2316/SUM($C$5:$C$2477)</x:f>
        <x:v>0</x:v>
      </x:c>
      <x:c r="E2316" s="15" t="n">
        <x:f>SUM($D$5:D2316)</x:f>
        <x:v>1.0000000000000036</x:v>
      </x:c>
      <x:c r="F2316" s="1" t="str">
        <x:f>IF(C2316&lt;=0,"C",IF(E2316-D2316&lt;'Дашборд'!$C$49,"A",IF(E2316-D2316&lt;'Дашборд'!$C$50,"B","C")))</x:f>
        <x:v>C</x:v>
      </x:c>
      <x:c r="G2316" s="8" t="n">
        <x:f>'Данные'!F2316</x:f>
        <x:v>0</x:v>
      </x:c>
      <x:c r="H2316" s="8" t="n">
        <x:f>SUM('Данные'!H2316:I2316)</x:f>
        <x:v>0</x:v>
      </x:c>
      <x:c r="I2316" s="16" t="str">
        <x:f>IF(H2316&gt;0,G2316/H2316,"n.a.")</x:f>
        <x:v>n.a.</x:v>
      </x:c>
      <x:c r="J2316" s="10" t="n">
        <x:f>IF('Данные'!E2316&gt;0,G2316/'Данные'!E2316,"n.a.")</x:f>
        <x:v>0</x:v>
      </x:c>
      <x:c r="K2316" s="1" t="str">
        <x:f>IF(G2316&gt;='Дашборд'!$C$51,"X","Z")</x:f>
        <x:v>Z</x:v>
      </x:c>
      <x:c r="L2316" s="1" t="str">
        <x:f>IF(H2316=0,IF(G2316&gt;0,"Нет остатка","Нет спроса"),IF(I2316&gt;='Дашборд'!$C$52,"Быстрый","Медленный"))</x:f>
        <x:v>Нет спроса</x:v>
      </x:c>
      <x:c r="M2316" s="1" t="str">
        <x:f>IF('Данные'!E2316&lt;'Дашборд'!$C$53,"Мало трафика",IF(J2316&lt;'Дашборд'!$C$9*'Дашборд'!$C$54,"Да","Нет"))</x:f>
        <x:v>Мало трафика</x:v>
      </x:c>
      <x:c r="N2316" s="1" t="str">
        <x:f>IF(AND('Данные'!D2316&gt;='Дашборд'!$C$55,D2316&lt;'Дашборд'!$C$56,'Данные'!E2316&gt;='Дашборд'!$C$53,'Данные'!L2316&lt;&gt;"Да"),"Да","Нет")</x:f>
        <x:v>Нет</x:v>
      </x:c>
      <x:c r="O2316" s="1" t="str">
        <x:f>'Данные'!L2316</x:f>
        <x:v>Нет</x:v>
      </x:c>
    </x:row>
    <x:row r="2317">
      <x:c r="A2317" s="1" t="str">
        <x:f>'Данные'!A2317</x:f>
        <x:v>33404736</x:v>
      </x:c>
      <x:c r="B2317" s="1" t="str">
        <x:f>'Данные'!B2317</x:f>
        <x:v>futbolkaman/молочный</x:v>
      </x:c>
      <x:c r="C2317" s="8" t="n">
        <x:f>'Данные'!G2317</x:f>
        <x:v>0</x:v>
      </x:c>
      <x:c r="D2317" s="15" t="n">
        <x:f>C2317/SUM($C$5:$C$2477)</x:f>
        <x:v>0</x:v>
      </x:c>
      <x:c r="E2317" s="15" t="n">
        <x:f>SUM($D$5:D2317)</x:f>
        <x:v>1.0000000000000036</x:v>
      </x:c>
      <x:c r="F2317" s="1" t="str">
        <x:f>IF(C2317&lt;=0,"C",IF(E2317-D2317&lt;'Дашборд'!$C$49,"A",IF(E2317-D2317&lt;'Дашборд'!$C$50,"B","C")))</x:f>
        <x:v>C</x:v>
      </x:c>
      <x:c r="G2317" s="8" t="n">
        <x:f>'Данные'!F2317</x:f>
        <x:v>0</x:v>
      </x:c>
      <x:c r="H2317" s="8" t="n">
        <x:f>SUM('Данные'!H2317:I2317)</x:f>
        <x:v>0</x:v>
      </x:c>
      <x:c r="I2317" s="16" t="str">
        <x:f>IF(H2317&gt;0,G2317/H2317,"n.a.")</x:f>
        <x:v>n.a.</x:v>
      </x:c>
      <x:c r="J2317" s="10" t="str">
        <x:f>IF('Данные'!E2317&gt;0,G2317/'Данные'!E2317,"n.a.")</x:f>
        <x:v>n.a.</x:v>
      </x:c>
      <x:c r="K2317" s="1" t="str">
        <x:f>IF(G2317&gt;='Дашборд'!$C$51,"X","Z")</x:f>
        <x:v>Z</x:v>
      </x:c>
      <x:c r="L2317" s="1" t="str">
        <x:f>IF(H2317=0,IF(G2317&gt;0,"Нет остатка","Нет спроса"),IF(I2317&gt;='Дашборд'!$C$52,"Быстрый","Медленный"))</x:f>
        <x:v>Нет спроса</x:v>
      </x:c>
      <x:c r="M2317" s="1" t="str">
        <x:f>IF('Данные'!E2317&lt;'Дашборд'!$C$53,"Мало трафика",IF(J2317&lt;'Дашборд'!$C$9*'Дашборд'!$C$54,"Да","Нет"))</x:f>
        <x:v>Мало трафика</x:v>
      </x:c>
      <x:c r="N2317" s="1" t="str">
        <x:f>IF(AND('Данные'!D2317&gt;='Дашборд'!$C$55,D2317&lt;'Дашборд'!$C$56,'Данные'!E2317&gt;='Дашборд'!$C$53,'Данные'!L2317&lt;&gt;"Да"),"Да","Нет")</x:f>
        <x:v>Нет</x:v>
      </x:c>
      <x:c r="O2317" s="1" t="str">
        <x:f>'Данные'!L2317</x:f>
        <x:v>Нет</x:v>
      </x:c>
    </x:row>
    <x:row r="2318">
      <x:c r="A2318" s="1" t="str">
        <x:f>'Данные'!A2318</x:f>
        <x:v>336281827</x:v>
      </x:c>
      <x:c r="B2318" s="1" t="str">
        <x:f>'Данные'!B2318</x:f>
        <x:v>svitzipprint3P-S-5/PLabel-293/темно-серый</x:v>
      </x:c>
      <x:c r="C2318" s="8" t="n">
        <x:f>'Данные'!G2318</x:f>
        <x:v>0</x:v>
      </x:c>
      <x:c r="D2318" s="15" t="n">
        <x:f>C2318/SUM($C$5:$C$2477)</x:f>
        <x:v>0</x:v>
      </x:c>
      <x:c r="E2318" s="15" t="n">
        <x:f>SUM($D$5:D2318)</x:f>
        <x:v>1.0000000000000036</x:v>
      </x:c>
      <x:c r="F2318" s="1" t="str">
        <x:f>IF(C2318&lt;=0,"C",IF(E2318-D2318&lt;'Дашборд'!$C$49,"A",IF(E2318-D2318&lt;'Дашборд'!$C$50,"B","C")))</x:f>
        <x:v>C</x:v>
      </x:c>
      <x:c r="G2318" s="8" t="n">
        <x:f>'Данные'!F2318</x:f>
        <x:v>0</x:v>
      </x:c>
      <x:c r="H2318" s="8" t="n">
        <x:f>SUM('Данные'!H2318:I2318)</x:f>
        <x:v>0</x:v>
      </x:c>
      <x:c r="I2318" s="16" t="str">
        <x:f>IF(H2318&gt;0,G2318/H2318,"n.a.")</x:f>
        <x:v>n.a.</x:v>
      </x:c>
      <x:c r="J2318" s="10" t="n">
        <x:f>IF('Данные'!E2318&gt;0,G2318/'Данные'!E2318,"n.a.")</x:f>
        <x:v>0</x:v>
      </x:c>
      <x:c r="K2318" s="1" t="str">
        <x:f>IF(G2318&gt;='Дашборд'!$C$51,"X","Z")</x:f>
        <x:v>Z</x:v>
      </x:c>
      <x:c r="L2318" s="1" t="str">
        <x:f>IF(H2318=0,IF(G2318&gt;0,"Нет остатка","Нет спроса"),IF(I2318&gt;='Дашборд'!$C$52,"Быстрый","Медленный"))</x:f>
        <x:v>Нет спроса</x:v>
      </x:c>
      <x:c r="M2318" s="1" t="str">
        <x:f>IF('Данные'!E2318&lt;'Дашборд'!$C$53,"Мало трафика",IF(J2318&lt;'Дашборд'!$C$9*'Дашборд'!$C$54,"Да","Нет"))</x:f>
        <x:v>Мало трафика</x:v>
      </x:c>
      <x:c r="N2318" s="1" t="str">
        <x:f>IF(AND('Данные'!D2318&gt;='Дашборд'!$C$55,D2318&lt;'Дашборд'!$C$56,'Данные'!E2318&gt;='Дашборд'!$C$53,'Данные'!L2318&lt;&gt;"Да"),"Да","Нет")</x:f>
        <x:v>Нет</x:v>
      </x:c>
      <x:c r="O2318" s="1" t="str">
        <x:f>'Данные'!L2318</x:f>
        <x:v>Нет</x:v>
      </x:c>
    </x:row>
    <x:row r="2319">
      <x:c r="A2319" s="1" t="str">
        <x:f>'Данные'!A2319</x:f>
        <x:v>336293632</x:v>
      </x:c>
      <x:c r="B2319" s="1" t="str">
        <x:f>'Данные'!B2319</x:f>
        <x:v>shorty/графит</x:v>
      </x:c>
      <x:c r="C2319" s="8" t="n">
        <x:f>'Данные'!G2319</x:f>
        <x:v>0</x:v>
      </x:c>
      <x:c r="D2319" s="15" t="n">
        <x:f>C2319/SUM($C$5:$C$2477)</x:f>
        <x:v>0</x:v>
      </x:c>
      <x:c r="E2319" s="15" t="n">
        <x:f>SUM($D$5:D2319)</x:f>
        <x:v>1.0000000000000036</x:v>
      </x:c>
      <x:c r="F2319" s="1" t="str">
        <x:f>IF(C2319&lt;=0,"C",IF(E2319-D2319&lt;'Дашборд'!$C$49,"A",IF(E2319-D2319&lt;'Дашборд'!$C$50,"B","C")))</x:f>
        <x:v>C</x:v>
      </x:c>
      <x:c r="G2319" s="8" t="n">
        <x:f>'Данные'!F2319</x:f>
        <x:v>0</x:v>
      </x:c>
      <x:c r="H2319" s="8" t="n">
        <x:f>SUM('Данные'!H2319:I2319)</x:f>
        <x:v>190</x:v>
      </x:c>
      <x:c r="I2319" s="16" t="n">
        <x:f>IF(H2319&gt;0,G2319/H2319,"n.a.")</x:f>
        <x:v>0</x:v>
      </x:c>
      <x:c r="J2319" s="10" t="str">
        <x:f>IF('Данные'!E2319&gt;0,G2319/'Данные'!E2319,"n.a.")</x:f>
        <x:v>n.a.</x:v>
      </x:c>
      <x:c r="K2319" s="1" t="str">
        <x:f>IF(G2319&gt;='Дашборд'!$C$51,"X","Z")</x:f>
        <x:v>Z</x:v>
      </x:c>
      <x:c r="L2319" s="1" t="str">
        <x:f>IF(H2319=0,IF(G2319&gt;0,"Нет остатка","Нет спроса"),IF(I2319&gt;='Дашборд'!$C$52,"Быстрый","Медленный"))</x:f>
        <x:v>Медленный</x:v>
      </x:c>
      <x:c r="M2319" s="1" t="str">
        <x:f>IF('Данные'!E2319&lt;'Дашборд'!$C$53,"Мало трафика",IF(J2319&lt;'Дашборд'!$C$9*'Дашборд'!$C$54,"Да","Нет"))</x:f>
        <x:v>Мало трафика</x:v>
      </x:c>
      <x:c r="N2319" s="1" t="str">
        <x:f>IF(AND('Данные'!D2319&gt;='Дашборд'!$C$55,D2319&lt;'Дашборд'!$C$56,'Данные'!E2319&gt;='Дашборд'!$C$53,'Данные'!L2319&lt;&gt;"Да"),"Да","Нет")</x:f>
        <x:v>Нет</x:v>
      </x:c>
      <x:c r="O2319" s="1" t="str">
        <x:f>'Данные'!L2319</x:f>
        <x:v>Нет</x:v>
      </x:c>
    </x:row>
    <x:row r="2320">
      <x:c r="A2320" s="1" t="str">
        <x:f>'Данные'!A2320</x:f>
        <x:v>336303916</x:v>
      </x:c>
      <x:c r="B2320" s="1" t="str">
        <x:f>'Данные'!B2320</x:f>
        <x:v>futbolka_mary/графит</x:v>
      </x:c>
      <x:c r="C2320" s="8" t="n">
        <x:f>'Данные'!G2320</x:f>
        <x:v>0</x:v>
      </x:c>
      <x:c r="D2320" s="15" t="n">
        <x:f>C2320/SUM($C$5:$C$2477)</x:f>
        <x:v>0</x:v>
      </x:c>
      <x:c r="E2320" s="15" t="n">
        <x:f>SUM($D$5:D2320)</x:f>
        <x:v>1.0000000000000036</x:v>
      </x:c>
      <x:c r="F2320" s="1" t="str">
        <x:f>IF(C2320&lt;=0,"C",IF(E2320-D2320&lt;'Дашборд'!$C$49,"A",IF(E2320-D2320&lt;'Дашборд'!$C$50,"B","C")))</x:f>
        <x:v>C</x:v>
      </x:c>
      <x:c r="G2320" s="8" t="n">
        <x:f>'Данные'!F2320</x:f>
        <x:v>0</x:v>
      </x:c>
      <x:c r="H2320" s="8" t="n">
        <x:f>SUM('Данные'!H2320:I2320)</x:f>
        <x:v>3</x:v>
      </x:c>
      <x:c r="I2320" s="16" t="n">
        <x:f>IF(H2320&gt;0,G2320/H2320,"n.a.")</x:f>
        <x:v>0</x:v>
      </x:c>
      <x:c r="J2320" s="10" t="str">
        <x:f>IF('Данные'!E2320&gt;0,G2320/'Данные'!E2320,"n.a.")</x:f>
        <x:v>n.a.</x:v>
      </x:c>
      <x:c r="K2320" s="1" t="str">
        <x:f>IF(G2320&gt;='Дашборд'!$C$51,"X","Z")</x:f>
        <x:v>Z</x:v>
      </x:c>
      <x:c r="L2320" s="1" t="str">
        <x:f>IF(H2320=0,IF(G2320&gt;0,"Нет остатка","Нет спроса"),IF(I2320&gt;='Дашборд'!$C$52,"Быстрый","Медленный"))</x:f>
        <x:v>Медленный</x:v>
      </x:c>
      <x:c r="M2320" s="1" t="str">
        <x:f>IF('Данные'!E2320&lt;'Дашборд'!$C$53,"Мало трафика",IF(J2320&lt;'Дашборд'!$C$9*'Дашборд'!$C$54,"Да","Нет"))</x:f>
        <x:v>Мало трафика</x:v>
      </x:c>
      <x:c r="N2320" s="1" t="str">
        <x:f>IF(AND('Данные'!D2320&gt;='Дашборд'!$C$55,D2320&lt;'Дашборд'!$C$56,'Данные'!E2320&gt;='Дашборд'!$C$53,'Данные'!L2320&lt;&gt;"Да"),"Да","Нет")</x:f>
        <x:v>Нет</x:v>
      </x:c>
      <x:c r="O2320" s="1" t="str">
        <x:f>'Данные'!L2320</x:f>
        <x:v>Нет</x:v>
      </x:c>
    </x:row>
    <x:row r="2321">
      <x:c r="A2321" s="1" t="str">
        <x:f>'Данные'!A2321</x:f>
        <x:v>337538143</x:v>
      </x:c>
      <x:c r="B2321" s="1" t="str">
        <x:f>'Данные'!B2321</x:f>
        <x:v>tolstovkazippetl/светло-розовый</x:v>
      </x:c>
      <x:c r="C2321" s="8" t="n">
        <x:f>'Данные'!G2321</x:f>
        <x:v>0</x:v>
      </x:c>
      <x:c r="D2321" s="15" t="n">
        <x:f>C2321/SUM($C$5:$C$2477)</x:f>
        <x:v>0</x:v>
      </x:c>
      <x:c r="E2321" s="15" t="n">
        <x:f>SUM($D$5:D2321)</x:f>
        <x:v>1.0000000000000036</x:v>
      </x:c>
      <x:c r="F2321" s="1" t="str">
        <x:f>IF(C2321&lt;=0,"C",IF(E2321-D2321&lt;'Дашборд'!$C$49,"A",IF(E2321-D2321&lt;'Дашборд'!$C$50,"B","C")))</x:f>
        <x:v>C</x:v>
      </x:c>
      <x:c r="G2321" s="8" t="n">
        <x:f>'Данные'!F2321</x:f>
        <x:v>0</x:v>
      </x:c>
      <x:c r="H2321" s="8" t="n">
        <x:f>SUM('Данные'!H2321:I2321)</x:f>
        <x:v>1</x:v>
      </x:c>
      <x:c r="I2321" s="16" t="n">
        <x:f>IF(H2321&gt;0,G2321/H2321,"n.a.")</x:f>
        <x:v>0</x:v>
      </x:c>
      <x:c r="J2321" s="10" t="str">
        <x:f>IF('Данные'!E2321&gt;0,G2321/'Данные'!E2321,"n.a.")</x:f>
        <x:v>n.a.</x:v>
      </x:c>
      <x:c r="K2321" s="1" t="str">
        <x:f>IF(G2321&gt;='Дашборд'!$C$51,"X","Z")</x:f>
        <x:v>Z</x:v>
      </x:c>
      <x:c r="L2321" s="1" t="str">
        <x:f>IF(H2321=0,IF(G2321&gt;0,"Нет остатка","Нет спроса"),IF(I2321&gt;='Дашборд'!$C$52,"Быстрый","Медленный"))</x:f>
        <x:v>Медленный</x:v>
      </x:c>
      <x:c r="M2321" s="1" t="str">
        <x:f>IF('Данные'!E2321&lt;'Дашборд'!$C$53,"Мало трафика",IF(J2321&lt;'Дашборд'!$C$9*'Дашборд'!$C$54,"Да","Нет"))</x:f>
        <x:v>Мало трафика</x:v>
      </x:c>
      <x:c r="N2321" s="1" t="str">
        <x:f>IF(AND('Данные'!D2321&gt;='Дашборд'!$C$55,D2321&lt;'Дашборд'!$C$56,'Данные'!E2321&gt;='Дашборд'!$C$53,'Данные'!L2321&lt;&gt;"Да"),"Да","Нет")</x:f>
        <x:v>Нет</x:v>
      </x:c>
      <x:c r="O2321" s="1" t="str">
        <x:f>'Данные'!L2321</x:f>
        <x:v>Нет</x:v>
      </x:c>
    </x:row>
    <x:row r="2322">
      <x:c r="A2322" s="1" t="str">
        <x:f>'Данные'!A2322</x:f>
        <x:v>337538147</x:v>
      </x:c>
      <x:c r="B2322" s="1" t="str">
        <x:f>'Данные'!B2322</x:f>
        <x:v>tolstovkazippetl/молочный</x:v>
      </x:c>
      <x:c r="C2322" s="8" t="n">
        <x:f>'Данные'!G2322</x:f>
        <x:v>0</x:v>
      </x:c>
      <x:c r="D2322" s="15" t="n">
        <x:f>C2322/SUM($C$5:$C$2477)</x:f>
        <x:v>0</x:v>
      </x:c>
      <x:c r="E2322" s="15" t="n">
        <x:f>SUM($D$5:D2322)</x:f>
        <x:v>1.0000000000000036</x:v>
      </x:c>
      <x:c r="F2322" s="1" t="str">
        <x:f>IF(C2322&lt;=0,"C",IF(E2322-D2322&lt;'Дашборд'!$C$49,"A",IF(E2322-D2322&lt;'Дашборд'!$C$50,"B","C")))</x:f>
        <x:v>C</x:v>
      </x:c>
      <x:c r="G2322" s="8" t="n">
        <x:f>'Данные'!F2322</x:f>
        <x:v>0</x:v>
      </x:c>
      <x:c r="H2322" s="8" t="n">
        <x:f>SUM('Данные'!H2322:I2322)</x:f>
        <x:v>63</x:v>
      </x:c>
      <x:c r="I2322" s="16" t="n">
        <x:f>IF(H2322&gt;0,G2322/H2322,"n.a.")</x:f>
        <x:v>0</x:v>
      </x:c>
      <x:c r="J2322" s="10" t="str">
        <x:f>IF('Данные'!E2322&gt;0,G2322/'Данные'!E2322,"n.a.")</x:f>
        <x:v>n.a.</x:v>
      </x:c>
      <x:c r="K2322" s="1" t="str">
        <x:f>IF(G2322&gt;='Дашборд'!$C$51,"X","Z")</x:f>
        <x:v>Z</x:v>
      </x:c>
      <x:c r="L2322" s="1" t="str">
        <x:f>IF(H2322=0,IF(G2322&gt;0,"Нет остатка","Нет спроса"),IF(I2322&gt;='Дашборд'!$C$52,"Быстрый","Медленный"))</x:f>
        <x:v>Медленный</x:v>
      </x:c>
      <x:c r="M2322" s="1" t="str">
        <x:f>IF('Данные'!E2322&lt;'Дашборд'!$C$53,"Мало трафика",IF(J2322&lt;'Дашборд'!$C$9*'Дашборд'!$C$54,"Да","Нет"))</x:f>
        <x:v>Мало трафика</x:v>
      </x:c>
      <x:c r="N2322" s="1" t="str">
        <x:f>IF(AND('Данные'!D2322&gt;='Дашборд'!$C$55,D2322&lt;'Дашборд'!$C$56,'Данные'!E2322&gt;='Дашборд'!$C$53,'Данные'!L2322&lt;&gt;"Да"),"Да","Нет")</x:f>
        <x:v>Нет</x:v>
      </x:c>
      <x:c r="O2322" s="1" t="str">
        <x:f>'Данные'!L2322</x:f>
        <x:v>Нет</x:v>
      </x:c>
    </x:row>
    <x:row r="2323">
      <x:c r="A2323" s="1" t="str">
        <x:f>'Данные'!A2323</x:f>
        <x:v>337538148</x:v>
      </x:c>
      <x:c r="B2323" s="1" t="str">
        <x:f>'Данные'!B2323</x:f>
        <x:v>tolstovkazippetl/бордовый</x:v>
      </x:c>
      <x:c r="C2323" s="8" t="n">
        <x:f>'Данные'!G2323</x:f>
        <x:v>0</x:v>
      </x:c>
      <x:c r="D2323" s="15" t="n">
        <x:f>C2323/SUM($C$5:$C$2477)</x:f>
        <x:v>0</x:v>
      </x:c>
      <x:c r="E2323" s="15" t="n">
        <x:f>SUM($D$5:D2323)</x:f>
        <x:v>1.0000000000000036</x:v>
      </x:c>
      <x:c r="F2323" s="1" t="str">
        <x:f>IF(C2323&lt;=0,"C",IF(E2323-D2323&lt;'Дашборд'!$C$49,"A",IF(E2323-D2323&lt;'Дашборд'!$C$50,"B","C")))</x:f>
        <x:v>C</x:v>
      </x:c>
      <x:c r="G2323" s="8" t="n">
        <x:f>'Данные'!F2323</x:f>
        <x:v>0</x:v>
      </x:c>
      <x:c r="H2323" s="8" t="n">
        <x:f>SUM('Данные'!H2323:I2323)</x:f>
        <x:v>1</x:v>
      </x:c>
      <x:c r="I2323" s="16" t="n">
        <x:f>IF(H2323&gt;0,G2323/H2323,"n.a.")</x:f>
        <x:v>0</x:v>
      </x:c>
      <x:c r="J2323" s="10" t="str">
        <x:f>IF('Данные'!E2323&gt;0,G2323/'Данные'!E2323,"n.a.")</x:f>
        <x:v>n.a.</x:v>
      </x:c>
      <x:c r="K2323" s="1" t="str">
        <x:f>IF(G2323&gt;='Дашборд'!$C$51,"X","Z")</x:f>
        <x:v>Z</x:v>
      </x:c>
      <x:c r="L2323" s="1" t="str">
        <x:f>IF(H2323=0,IF(G2323&gt;0,"Нет остатка","Нет спроса"),IF(I2323&gt;='Дашборд'!$C$52,"Быстрый","Медленный"))</x:f>
        <x:v>Медленный</x:v>
      </x:c>
      <x:c r="M2323" s="1" t="str">
        <x:f>IF('Данные'!E2323&lt;'Дашборд'!$C$53,"Мало трафика",IF(J2323&lt;'Дашборд'!$C$9*'Дашборд'!$C$54,"Да","Нет"))</x:f>
        <x:v>Мало трафика</x:v>
      </x:c>
      <x:c r="N2323" s="1" t="str">
        <x:f>IF(AND('Данные'!D2323&gt;='Дашборд'!$C$55,D2323&lt;'Дашборд'!$C$56,'Данные'!E2323&gt;='Дашборд'!$C$53,'Данные'!L2323&lt;&gt;"Да"),"Да","Нет")</x:f>
        <x:v>Нет</x:v>
      </x:c>
      <x:c r="O2323" s="1" t="str">
        <x:f>'Данные'!L2323</x:f>
        <x:v>Нет</x:v>
      </x:c>
    </x:row>
    <x:row r="2324">
      <x:c r="A2324" s="1" t="str">
        <x:f>'Данные'!A2324</x:f>
        <x:v>337538149</x:v>
      </x:c>
      <x:c r="B2324" s="1" t="str">
        <x:f>'Данные'!B2324</x:f>
        <x:v>tolstovkazippetl/коричневый</x:v>
      </x:c>
      <x:c r="C2324" s="8" t="n">
        <x:f>'Данные'!G2324</x:f>
        <x:v>0</x:v>
      </x:c>
      <x:c r="D2324" s="15" t="n">
        <x:f>C2324/SUM($C$5:$C$2477)</x:f>
        <x:v>0</x:v>
      </x:c>
      <x:c r="E2324" s="15" t="n">
        <x:f>SUM($D$5:D2324)</x:f>
        <x:v>1.0000000000000036</x:v>
      </x:c>
      <x:c r="F2324" s="1" t="str">
        <x:f>IF(C2324&lt;=0,"C",IF(E2324-D2324&lt;'Дашборд'!$C$49,"A",IF(E2324-D2324&lt;'Дашборд'!$C$50,"B","C")))</x:f>
        <x:v>C</x:v>
      </x:c>
      <x:c r="G2324" s="8" t="n">
        <x:f>'Данные'!F2324</x:f>
        <x:v>0</x:v>
      </x:c>
      <x:c r="H2324" s="8" t="n">
        <x:f>SUM('Данные'!H2324:I2324)</x:f>
        <x:v>34</x:v>
      </x:c>
      <x:c r="I2324" s="16" t="n">
        <x:f>IF(H2324&gt;0,G2324/H2324,"n.a.")</x:f>
        <x:v>0</x:v>
      </x:c>
      <x:c r="J2324" s="10" t="str">
        <x:f>IF('Данные'!E2324&gt;0,G2324/'Данные'!E2324,"n.a.")</x:f>
        <x:v>n.a.</x:v>
      </x:c>
      <x:c r="K2324" s="1" t="str">
        <x:f>IF(G2324&gt;='Дашборд'!$C$51,"X","Z")</x:f>
        <x:v>Z</x:v>
      </x:c>
      <x:c r="L2324" s="1" t="str">
        <x:f>IF(H2324=0,IF(G2324&gt;0,"Нет остатка","Нет спроса"),IF(I2324&gt;='Дашборд'!$C$52,"Быстрый","Медленный"))</x:f>
        <x:v>Медленный</x:v>
      </x:c>
      <x:c r="M2324" s="1" t="str">
        <x:f>IF('Данные'!E2324&lt;'Дашборд'!$C$53,"Мало трафика",IF(J2324&lt;'Дашборд'!$C$9*'Дашборд'!$C$54,"Да","Нет"))</x:f>
        <x:v>Мало трафика</x:v>
      </x:c>
      <x:c r="N2324" s="1" t="str">
        <x:f>IF(AND('Данные'!D2324&gt;='Дашборд'!$C$55,D2324&lt;'Дашборд'!$C$56,'Данные'!E2324&gt;='Дашборд'!$C$53,'Данные'!L2324&lt;&gt;"Да"),"Да","Нет")</x:f>
        <x:v>Нет</x:v>
      </x:c>
      <x:c r="O2324" s="1" t="str">
        <x:f>'Данные'!L2324</x:f>
        <x:v>Нет</x:v>
      </x:c>
    </x:row>
    <x:row r="2325">
      <x:c r="A2325" s="1" t="str">
        <x:f>'Данные'!A2325</x:f>
        <x:v>337602416</x:v>
      </x:c>
      <x:c r="B2325" s="1" t="str">
        <x:f>'Данные'!B2325</x:f>
        <x:v>tolstovkazipmanpetl/дымка</x:v>
      </x:c>
      <x:c r="C2325" s="8" t="n">
        <x:f>'Данные'!G2325</x:f>
        <x:v>0</x:v>
      </x:c>
      <x:c r="D2325" s="15" t="n">
        <x:f>C2325/SUM($C$5:$C$2477)</x:f>
        <x:v>0</x:v>
      </x:c>
      <x:c r="E2325" s="15" t="n">
        <x:f>SUM($D$5:D2325)</x:f>
        <x:v>1.0000000000000036</x:v>
      </x:c>
      <x:c r="F2325" s="1" t="str">
        <x:f>IF(C2325&lt;=0,"C",IF(E2325-D2325&lt;'Дашборд'!$C$49,"A",IF(E2325-D2325&lt;'Дашборд'!$C$50,"B","C")))</x:f>
        <x:v>C</x:v>
      </x:c>
      <x:c r="G2325" s="8" t="n">
        <x:f>'Данные'!F2325</x:f>
        <x:v>0</x:v>
      </x:c>
      <x:c r="H2325" s="8" t="n">
        <x:f>SUM('Данные'!H2325:I2325)</x:f>
        <x:v>0</x:v>
      </x:c>
      <x:c r="I2325" s="16" t="str">
        <x:f>IF(H2325&gt;0,G2325/H2325,"n.a.")</x:f>
        <x:v>n.a.</x:v>
      </x:c>
      <x:c r="J2325" s="10" t="str">
        <x:f>IF('Данные'!E2325&gt;0,G2325/'Данные'!E2325,"n.a.")</x:f>
        <x:v>n.a.</x:v>
      </x:c>
      <x:c r="K2325" s="1" t="str">
        <x:f>IF(G2325&gt;='Дашборд'!$C$51,"X","Z")</x:f>
        <x:v>Z</x:v>
      </x:c>
      <x:c r="L2325" s="1" t="str">
        <x:f>IF(H2325=0,IF(G2325&gt;0,"Нет остатка","Нет спроса"),IF(I2325&gt;='Дашборд'!$C$52,"Быстрый","Медленный"))</x:f>
        <x:v>Нет спроса</x:v>
      </x:c>
      <x:c r="M2325" s="1" t="str">
        <x:f>IF('Данные'!E2325&lt;'Дашборд'!$C$53,"Мало трафика",IF(J2325&lt;'Дашборд'!$C$9*'Дашборд'!$C$54,"Да","Нет"))</x:f>
        <x:v>Мало трафика</x:v>
      </x:c>
      <x:c r="N2325" s="1" t="str">
        <x:f>IF(AND('Данные'!D2325&gt;='Дашборд'!$C$55,D2325&lt;'Дашборд'!$C$56,'Данные'!E2325&gt;='Дашборд'!$C$53,'Данные'!L2325&lt;&gt;"Да"),"Да","Нет")</x:f>
        <x:v>Нет</x:v>
      </x:c>
      <x:c r="O2325" s="1" t="str">
        <x:f>'Данные'!L2325</x:f>
        <x:v>Да</x:v>
      </x:c>
    </x:row>
    <x:row r="2326">
      <x:c r="A2326" s="1" t="str">
        <x:f>'Данные'!A2326</x:f>
        <x:v>338318198</x:v>
      </x:c>
      <x:c r="B2326" s="1" t="str">
        <x:f>'Данные'!B2326</x:f>
        <x:v>kulirkaman/темно-синий</x:v>
      </x:c>
      <x:c r="C2326" s="8" t="n">
        <x:f>'Данные'!G2326</x:f>
        <x:v>0</x:v>
      </x:c>
      <x:c r="D2326" s="15" t="n">
        <x:f>C2326/SUM($C$5:$C$2477)</x:f>
        <x:v>0</x:v>
      </x:c>
      <x:c r="E2326" s="15" t="n">
        <x:f>SUM($D$5:D2326)</x:f>
        <x:v>1.0000000000000036</x:v>
      </x:c>
      <x:c r="F2326" s="1" t="str">
        <x:f>IF(C2326&lt;=0,"C",IF(E2326-D2326&lt;'Дашборд'!$C$49,"A",IF(E2326-D2326&lt;'Дашборд'!$C$50,"B","C")))</x:f>
        <x:v>C</x:v>
      </x:c>
      <x:c r="G2326" s="8" t="n">
        <x:f>'Данные'!F2326</x:f>
        <x:v>0</x:v>
      </x:c>
      <x:c r="H2326" s="8" t="n">
        <x:f>SUM('Данные'!H2326:I2326)</x:f>
        <x:v>0</x:v>
      </x:c>
      <x:c r="I2326" s="16" t="str">
        <x:f>IF(H2326&gt;0,G2326/H2326,"n.a.")</x:f>
        <x:v>n.a.</x:v>
      </x:c>
      <x:c r="J2326" s="10" t="str">
        <x:f>IF('Данные'!E2326&gt;0,G2326/'Данные'!E2326,"n.a.")</x:f>
        <x:v>n.a.</x:v>
      </x:c>
      <x:c r="K2326" s="1" t="str">
        <x:f>IF(G2326&gt;='Дашборд'!$C$51,"X","Z")</x:f>
        <x:v>Z</x:v>
      </x:c>
      <x:c r="L2326" s="1" t="str">
        <x:f>IF(H2326=0,IF(G2326&gt;0,"Нет остатка","Нет спроса"),IF(I2326&gt;='Дашборд'!$C$52,"Быстрый","Медленный"))</x:f>
        <x:v>Нет спроса</x:v>
      </x:c>
      <x:c r="M2326" s="1" t="str">
        <x:f>IF('Данные'!E2326&lt;'Дашборд'!$C$53,"Мало трафика",IF(J2326&lt;'Дашборд'!$C$9*'Дашборд'!$C$54,"Да","Нет"))</x:f>
        <x:v>Мало трафика</x:v>
      </x:c>
      <x:c r="N2326" s="1" t="str">
        <x:f>IF(AND('Данные'!D2326&gt;='Дашборд'!$C$55,D2326&lt;'Дашборд'!$C$56,'Данные'!E2326&gt;='Дашборд'!$C$53,'Данные'!L2326&lt;&gt;"Да"),"Да","Нет")</x:f>
        <x:v>Нет</x:v>
      </x:c>
      <x:c r="O2326" s="1" t="str">
        <x:f>'Данные'!L2326</x:f>
        <x:v>Нет</x:v>
      </x:c>
    </x:row>
    <x:row r="2327">
      <x:c r="A2327" s="1" t="str">
        <x:f>'Данные'!A2327</x:f>
        <x:v>341352568</x:v>
      </x:c>
      <x:c r="B2327" s="1" t="str">
        <x:f>'Данные'!B2327</x:f>
        <x:v>kostyumfix3P-37-63/пыльно-синий</x:v>
      </x:c>
      <x:c r="C2327" s="8" t="n">
        <x:f>'Данные'!G2327</x:f>
        <x:v>0</x:v>
      </x:c>
      <x:c r="D2327" s="15" t="n">
        <x:f>C2327/SUM($C$5:$C$2477)</x:f>
        <x:v>0</x:v>
      </x:c>
      <x:c r="E2327" s="15" t="n">
        <x:f>SUM($D$5:D2327)</x:f>
        <x:v>1.0000000000000036</x:v>
      </x:c>
      <x:c r="F2327" s="1" t="str">
        <x:f>IF(C2327&lt;=0,"C",IF(E2327-D2327&lt;'Дашборд'!$C$49,"A",IF(E2327-D2327&lt;'Дашборд'!$C$50,"B","C")))</x:f>
        <x:v>C</x:v>
      </x:c>
      <x:c r="G2327" s="8" t="n">
        <x:f>'Данные'!F2327</x:f>
        <x:v>0</x:v>
      </x:c>
      <x:c r="H2327" s="8" t="n">
        <x:f>SUM('Данные'!H2327:I2327)</x:f>
        <x:v>1</x:v>
      </x:c>
      <x:c r="I2327" s="16" t="n">
        <x:f>IF(H2327&gt;0,G2327/H2327,"n.a.")</x:f>
        <x:v>0</x:v>
      </x:c>
      <x:c r="J2327" s="10" t="str">
        <x:f>IF('Данные'!E2327&gt;0,G2327/'Данные'!E2327,"n.a.")</x:f>
        <x:v>n.a.</x:v>
      </x:c>
      <x:c r="K2327" s="1" t="str">
        <x:f>IF(G2327&gt;='Дашборд'!$C$51,"X","Z")</x:f>
        <x:v>Z</x:v>
      </x:c>
      <x:c r="L2327" s="1" t="str">
        <x:f>IF(H2327=0,IF(G2327&gt;0,"Нет остатка","Нет спроса"),IF(I2327&gt;='Дашборд'!$C$52,"Быстрый","Медленный"))</x:f>
        <x:v>Медленный</x:v>
      </x:c>
      <x:c r="M2327" s="1" t="str">
        <x:f>IF('Данные'!E2327&lt;'Дашборд'!$C$53,"Мало трафика",IF(J2327&lt;'Дашборд'!$C$9*'Дашборд'!$C$54,"Да","Нет"))</x:f>
        <x:v>Мало трафика</x:v>
      </x:c>
      <x:c r="N2327" s="1" t="str">
        <x:f>IF(AND('Данные'!D2327&gt;='Дашборд'!$C$55,D2327&lt;'Дашборд'!$C$56,'Данные'!E2327&gt;='Дашборд'!$C$53,'Данные'!L2327&lt;&gt;"Да"),"Да","Нет")</x:f>
        <x:v>Нет</x:v>
      </x:c>
      <x:c r="O2327" s="1" t="str">
        <x:f>'Данные'!L2327</x:f>
        <x:v>Нет</x:v>
      </x:c>
    </x:row>
    <x:row r="2328">
      <x:c r="A2328" s="1" t="str">
        <x:f>'Данные'!A2328</x:f>
        <x:v>342471328</x:v>
      </x:c>
      <x:c r="B2328" s="1" t="str">
        <x:f>'Данные'!B2328</x:f>
        <x:v>futbolkaprint/Espresso-300/коричневый</x:v>
      </x:c>
      <x:c r="C2328" s="8" t="n">
        <x:f>'Данные'!G2328</x:f>
        <x:v>0</x:v>
      </x:c>
      <x:c r="D2328" s="15" t="n">
        <x:f>C2328/SUM($C$5:$C$2477)</x:f>
        <x:v>0</x:v>
      </x:c>
      <x:c r="E2328" s="15" t="n">
        <x:f>SUM($D$5:D2328)</x:f>
        <x:v>1.0000000000000036</x:v>
      </x:c>
      <x:c r="F2328" s="1" t="str">
        <x:f>IF(C2328&lt;=0,"C",IF(E2328-D2328&lt;'Дашборд'!$C$49,"A",IF(E2328-D2328&lt;'Дашборд'!$C$50,"B","C")))</x:f>
        <x:v>C</x:v>
      </x:c>
      <x:c r="G2328" s="8" t="n">
        <x:f>'Данные'!F2328</x:f>
        <x:v>0</x:v>
      </x:c>
      <x:c r="H2328" s="8" t="n">
        <x:f>SUM('Данные'!H2328:I2328)</x:f>
        <x:v>51</x:v>
      </x:c>
      <x:c r="I2328" s="16" t="n">
        <x:f>IF(H2328&gt;0,G2328/H2328,"n.a.")</x:f>
        <x:v>0</x:v>
      </x:c>
      <x:c r="J2328" s="10" t="str">
        <x:f>IF('Данные'!E2328&gt;0,G2328/'Данные'!E2328,"n.a.")</x:f>
        <x:v>n.a.</x:v>
      </x:c>
      <x:c r="K2328" s="1" t="str">
        <x:f>IF(G2328&gt;='Дашборд'!$C$51,"X","Z")</x:f>
        <x:v>Z</x:v>
      </x:c>
      <x:c r="L2328" s="1" t="str">
        <x:f>IF(H2328=0,IF(G2328&gt;0,"Нет остатка","Нет спроса"),IF(I2328&gt;='Дашборд'!$C$52,"Быстрый","Медленный"))</x:f>
        <x:v>Медленный</x:v>
      </x:c>
      <x:c r="M2328" s="1" t="str">
        <x:f>IF('Данные'!E2328&lt;'Дашборд'!$C$53,"Мало трафика",IF(J2328&lt;'Дашборд'!$C$9*'Дашборд'!$C$54,"Да","Нет"))</x:f>
        <x:v>Мало трафика</x:v>
      </x:c>
      <x:c r="N2328" s="1" t="str">
        <x:f>IF(AND('Данные'!D2328&gt;='Дашборд'!$C$55,D2328&lt;'Дашборд'!$C$56,'Данные'!E2328&gt;='Дашборд'!$C$53,'Данные'!L2328&lt;&gt;"Да"),"Да","Нет")</x:f>
        <x:v>Нет</x:v>
      </x:c>
      <x:c r="O2328" s="1" t="str">
        <x:f>'Данные'!L2328</x:f>
        <x:v>Нет</x:v>
      </x:c>
    </x:row>
    <x:row r="2329">
      <x:c r="A2329" s="1" t="str">
        <x:f>'Данные'!A2329</x:f>
        <x:v>34333255</x:v>
      </x:c>
      <x:c r="B2329" s="1" t="str">
        <x:f>'Данные'!B2329</x:f>
        <x:v>longslivkor/молочный</x:v>
      </x:c>
      <x:c r="C2329" s="8" t="n">
        <x:f>'Данные'!G2329</x:f>
        <x:v>0</x:v>
      </x:c>
      <x:c r="D2329" s="15" t="n">
        <x:f>C2329/SUM($C$5:$C$2477)</x:f>
        <x:v>0</x:v>
      </x:c>
      <x:c r="E2329" s="15" t="n">
        <x:f>SUM($D$5:D2329)</x:f>
        <x:v>1.0000000000000036</x:v>
      </x:c>
      <x:c r="F2329" s="1" t="str">
        <x:f>IF(C2329&lt;=0,"C",IF(E2329-D2329&lt;'Дашборд'!$C$49,"A",IF(E2329-D2329&lt;'Дашборд'!$C$50,"B","C")))</x:f>
        <x:v>C</x:v>
      </x:c>
      <x:c r="G2329" s="8" t="n">
        <x:f>'Данные'!F2329</x:f>
        <x:v>0</x:v>
      </x:c>
      <x:c r="H2329" s="8" t="n">
        <x:f>SUM('Данные'!H2329:I2329)</x:f>
        <x:v>0</x:v>
      </x:c>
      <x:c r="I2329" s="16" t="str">
        <x:f>IF(H2329&gt;0,G2329/H2329,"n.a.")</x:f>
        <x:v>n.a.</x:v>
      </x:c>
      <x:c r="J2329" s="10" t="str">
        <x:f>IF('Данные'!E2329&gt;0,G2329/'Данные'!E2329,"n.a.")</x:f>
        <x:v>n.a.</x:v>
      </x:c>
      <x:c r="K2329" s="1" t="str">
        <x:f>IF(G2329&gt;='Дашборд'!$C$51,"X","Z")</x:f>
        <x:v>Z</x:v>
      </x:c>
      <x:c r="L2329" s="1" t="str">
        <x:f>IF(H2329=0,IF(G2329&gt;0,"Нет остатка","Нет спроса"),IF(I2329&gt;='Дашборд'!$C$52,"Быстрый","Медленный"))</x:f>
        <x:v>Нет спроса</x:v>
      </x:c>
      <x:c r="M2329" s="1" t="str">
        <x:f>IF('Данные'!E2329&lt;'Дашборд'!$C$53,"Мало трафика",IF(J2329&lt;'Дашборд'!$C$9*'Дашборд'!$C$54,"Да","Нет"))</x:f>
        <x:v>Мало трафика</x:v>
      </x:c>
      <x:c r="N2329" s="1" t="str">
        <x:f>IF(AND('Данные'!D2329&gt;='Дашборд'!$C$55,D2329&lt;'Дашборд'!$C$56,'Данные'!E2329&gt;='Дашборд'!$C$53,'Данные'!L2329&lt;&gt;"Да"),"Да","Нет")</x:f>
        <x:v>Нет</x:v>
      </x:c>
      <x:c r="O2329" s="1" t="str">
        <x:f>'Данные'!L2329</x:f>
        <x:v>Нет</x:v>
      </x:c>
    </x:row>
    <x:row r="2330">
      <x:c r="A2330" s="1" t="str">
        <x:f>'Данные'!A2330</x:f>
        <x:v>34333843</x:v>
      </x:c>
      <x:c r="B2330" s="1" t="str">
        <x:f>'Данные'!B2330</x:f>
        <x:v>longslivkor/какао</x:v>
      </x:c>
      <x:c r="C2330" s="8" t="n">
        <x:f>'Данные'!G2330</x:f>
        <x:v>0</x:v>
      </x:c>
      <x:c r="D2330" s="15" t="n">
        <x:f>C2330/SUM($C$5:$C$2477)</x:f>
        <x:v>0</x:v>
      </x:c>
      <x:c r="E2330" s="15" t="n">
        <x:f>SUM($D$5:D2330)</x:f>
        <x:v>1.0000000000000036</x:v>
      </x:c>
      <x:c r="F2330" s="1" t="str">
        <x:f>IF(C2330&lt;=0,"C",IF(E2330-D2330&lt;'Дашборд'!$C$49,"A",IF(E2330-D2330&lt;'Дашборд'!$C$50,"B","C")))</x:f>
        <x:v>C</x:v>
      </x:c>
      <x:c r="G2330" s="8" t="n">
        <x:f>'Данные'!F2330</x:f>
        <x:v>0</x:v>
      </x:c>
      <x:c r="H2330" s="8" t="n">
        <x:f>SUM('Данные'!H2330:I2330)</x:f>
        <x:v>0</x:v>
      </x:c>
      <x:c r="I2330" s="16" t="str">
        <x:f>IF(H2330&gt;0,G2330/H2330,"n.a.")</x:f>
        <x:v>n.a.</x:v>
      </x:c>
      <x:c r="J2330" s="10" t="n">
        <x:f>IF('Данные'!E2330&gt;0,G2330/'Данные'!E2330,"n.a.")</x:f>
        <x:v>0</x:v>
      </x:c>
      <x:c r="K2330" s="1" t="str">
        <x:f>IF(G2330&gt;='Дашборд'!$C$51,"X","Z")</x:f>
        <x:v>Z</x:v>
      </x:c>
      <x:c r="L2330" s="1" t="str">
        <x:f>IF(H2330=0,IF(G2330&gt;0,"Нет остатка","Нет спроса"),IF(I2330&gt;='Дашборд'!$C$52,"Быстрый","Медленный"))</x:f>
        <x:v>Нет спроса</x:v>
      </x:c>
      <x:c r="M2330" s="1" t="str">
        <x:f>IF('Данные'!E2330&lt;'Дашборд'!$C$53,"Мало трафика",IF(J2330&lt;'Дашборд'!$C$9*'Дашборд'!$C$54,"Да","Нет"))</x:f>
        <x:v>Мало трафика</x:v>
      </x:c>
      <x:c r="N2330" s="1" t="str">
        <x:f>IF(AND('Данные'!D2330&gt;='Дашборд'!$C$55,D2330&lt;'Дашборд'!$C$56,'Данные'!E2330&gt;='Дашборд'!$C$53,'Данные'!L2330&lt;&gt;"Да"),"Да","Нет")</x:f>
        <x:v>Нет</x:v>
      </x:c>
      <x:c r="O2330" s="1" t="str">
        <x:f>'Данные'!L2330</x:f>
        <x:v>Нет</x:v>
      </x:c>
    </x:row>
    <x:row r="2331">
      <x:c r="A2331" s="1" t="str">
        <x:f>'Данные'!A2331</x:f>
        <x:v>344418952</x:v>
      </x:c>
      <x:c r="B2331" s="1" t="str">
        <x:f>'Данные'!B2331</x:f>
        <x:v>maykaman/хаки</x:v>
      </x:c>
      <x:c r="C2331" s="8" t="n">
        <x:f>'Данные'!G2331</x:f>
        <x:v>0</x:v>
      </x:c>
      <x:c r="D2331" s="15" t="n">
        <x:f>C2331/SUM($C$5:$C$2477)</x:f>
        <x:v>0</x:v>
      </x:c>
      <x:c r="E2331" s="15" t="n">
        <x:f>SUM($D$5:D2331)</x:f>
        <x:v>1.0000000000000036</x:v>
      </x:c>
      <x:c r="F2331" s="1" t="str">
        <x:f>IF(C2331&lt;=0,"C",IF(E2331-D2331&lt;'Дашборд'!$C$49,"A",IF(E2331-D2331&lt;'Дашборд'!$C$50,"B","C")))</x:f>
        <x:v>C</x:v>
      </x:c>
      <x:c r="G2331" s="8" t="n">
        <x:f>'Данные'!F2331</x:f>
        <x:v>0</x:v>
      </x:c>
      <x:c r="H2331" s="8" t="n">
        <x:f>SUM('Данные'!H2331:I2331)</x:f>
        <x:v>0</x:v>
      </x:c>
      <x:c r="I2331" s="16" t="str">
        <x:f>IF(H2331&gt;0,G2331/H2331,"n.a.")</x:f>
        <x:v>n.a.</x:v>
      </x:c>
      <x:c r="J2331" s="10" t="n">
        <x:f>IF('Данные'!E2331&gt;0,G2331/'Данные'!E2331,"n.a.")</x:f>
        <x:v>0</x:v>
      </x:c>
      <x:c r="K2331" s="1" t="str">
        <x:f>IF(G2331&gt;='Дашборд'!$C$51,"X","Z")</x:f>
        <x:v>Z</x:v>
      </x:c>
      <x:c r="L2331" s="1" t="str">
        <x:f>IF(H2331=0,IF(G2331&gt;0,"Нет остатка","Нет спроса"),IF(I2331&gt;='Дашборд'!$C$52,"Быстрый","Медленный"))</x:f>
        <x:v>Нет спроса</x:v>
      </x:c>
      <x:c r="M2331" s="1" t="str">
        <x:f>IF('Данные'!E2331&lt;'Дашборд'!$C$53,"Мало трафика",IF(J2331&lt;'Дашборд'!$C$9*'Дашборд'!$C$54,"Да","Нет"))</x:f>
        <x:v>Мало трафика</x:v>
      </x:c>
      <x:c r="N2331" s="1" t="str">
        <x:f>IF(AND('Данные'!D2331&gt;='Дашборд'!$C$55,D2331&lt;'Дашборд'!$C$56,'Данные'!E2331&gt;='Дашборд'!$C$53,'Данные'!L2331&lt;&gt;"Да"),"Да","Нет")</x:f>
        <x:v>Нет</x:v>
      </x:c>
      <x:c r="O2331" s="1" t="str">
        <x:f>'Данные'!L2331</x:f>
        <x:v>Нет</x:v>
      </x:c>
    </x:row>
    <x:row r="2332">
      <x:c r="A2332" s="1" t="str">
        <x:f>'Данные'!A2332</x:f>
        <x:v>344423843</x:v>
      </x:c>
      <x:c r="B2332" s="1" t="str">
        <x:f>'Данные'!B2332</x:f>
        <x:v>maykaman/дымка</x:v>
      </x:c>
      <x:c r="C2332" s="8" t="n">
        <x:f>'Данные'!G2332</x:f>
        <x:v>0</x:v>
      </x:c>
      <x:c r="D2332" s="15" t="n">
        <x:f>C2332/SUM($C$5:$C$2477)</x:f>
        <x:v>0</x:v>
      </x:c>
      <x:c r="E2332" s="15" t="n">
        <x:f>SUM($D$5:D2332)</x:f>
        <x:v>1.0000000000000036</x:v>
      </x:c>
      <x:c r="F2332" s="1" t="str">
        <x:f>IF(C2332&lt;=0,"C",IF(E2332-D2332&lt;'Дашборд'!$C$49,"A",IF(E2332-D2332&lt;'Дашборд'!$C$50,"B","C")))</x:f>
        <x:v>C</x:v>
      </x:c>
      <x:c r="G2332" s="8" t="n">
        <x:f>'Данные'!F2332</x:f>
        <x:v>0</x:v>
      </x:c>
      <x:c r="H2332" s="8" t="n">
        <x:f>SUM('Данные'!H2332:I2332)</x:f>
        <x:v>477</x:v>
      </x:c>
      <x:c r="I2332" s="16" t="n">
        <x:f>IF(H2332&gt;0,G2332/H2332,"n.a.")</x:f>
        <x:v>0</x:v>
      </x:c>
      <x:c r="J2332" s="10" t="n">
        <x:f>IF('Данные'!E2332&gt;0,G2332/'Данные'!E2332,"n.a.")</x:f>
        <x:v>0</x:v>
      </x:c>
      <x:c r="K2332" s="1" t="str">
        <x:f>IF(G2332&gt;='Дашборд'!$C$51,"X","Z")</x:f>
        <x:v>Z</x:v>
      </x:c>
      <x:c r="L2332" s="1" t="str">
        <x:f>IF(H2332=0,IF(G2332&gt;0,"Нет остатка","Нет спроса"),IF(I2332&gt;='Дашборд'!$C$52,"Быстрый","Медленный"))</x:f>
        <x:v>Медленный</x:v>
      </x:c>
      <x:c r="M2332" s="1" t="str">
        <x:f>IF('Данные'!E2332&lt;'Дашборд'!$C$53,"Мало трафика",IF(J2332&lt;'Дашборд'!$C$9*'Дашборд'!$C$54,"Да","Нет"))</x:f>
        <x:v>Мало трафика</x:v>
      </x:c>
      <x:c r="N2332" s="1" t="str">
        <x:f>IF(AND('Данные'!D2332&gt;='Дашборд'!$C$55,D2332&lt;'Дашборд'!$C$56,'Данные'!E2332&gt;='Дашборд'!$C$53,'Данные'!L2332&lt;&gt;"Да"),"Да","Нет")</x:f>
        <x:v>Нет</x:v>
      </x:c>
      <x:c r="O2332" s="1" t="str">
        <x:f>'Данные'!L2332</x:f>
        <x:v>Нет</x:v>
      </x:c>
    </x:row>
    <x:row r="2333">
      <x:c r="A2333" s="1" t="str">
        <x:f>'Данные'!A2333</x:f>
        <x:v>344427122</x:v>
      </x:c>
      <x:c r="B2333" s="1" t="str">
        <x:f>'Данные'!B2333</x:f>
        <x:v>tophumo/серый</x:v>
      </x:c>
      <x:c r="C2333" s="8" t="n">
        <x:f>'Данные'!G2333</x:f>
        <x:v>0</x:v>
      </x:c>
      <x:c r="D2333" s="15" t="n">
        <x:f>C2333/SUM($C$5:$C$2477)</x:f>
        <x:v>0</x:v>
      </x:c>
      <x:c r="E2333" s="15" t="n">
        <x:f>SUM($D$5:D2333)</x:f>
        <x:v>1.0000000000000036</x:v>
      </x:c>
      <x:c r="F2333" s="1" t="str">
        <x:f>IF(C2333&lt;=0,"C",IF(E2333-D2333&lt;'Дашборд'!$C$49,"A",IF(E2333-D2333&lt;'Дашборд'!$C$50,"B","C")))</x:f>
        <x:v>C</x:v>
      </x:c>
      <x:c r="G2333" s="8" t="n">
        <x:f>'Данные'!F2333</x:f>
        <x:v>0</x:v>
      </x:c>
      <x:c r="H2333" s="8" t="n">
        <x:f>SUM('Данные'!H2333:I2333)</x:f>
        <x:v>271</x:v>
      </x:c>
      <x:c r="I2333" s="16" t="n">
        <x:f>IF(H2333&gt;0,G2333/H2333,"n.a.")</x:f>
        <x:v>0</x:v>
      </x:c>
      <x:c r="J2333" s="10" t="str">
        <x:f>IF('Данные'!E2333&gt;0,G2333/'Данные'!E2333,"n.a.")</x:f>
        <x:v>n.a.</x:v>
      </x:c>
      <x:c r="K2333" s="1" t="str">
        <x:f>IF(G2333&gt;='Дашборд'!$C$51,"X","Z")</x:f>
        <x:v>Z</x:v>
      </x:c>
      <x:c r="L2333" s="1" t="str">
        <x:f>IF(H2333=0,IF(G2333&gt;0,"Нет остатка","Нет спроса"),IF(I2333&gt;='Дашборд'!$C$52,"Быстрый","Медленный"))</x:f>
        <x:v>Медленный</x:v>
      </x:c>
      <x:c r="M2333" s="1" t="str">
        <x:f>IF('Данные'!E2333&lt;'Дашборд'!$C$53,"Мало трафика",IF(J2333&lt;'Дашборд'!$C$9*'Дашборд'!$C$54,"Да","Нет"))</x:f>
        <x:v>Мало трафика</x:v>
      </x:c>
      <x:c r="N2333" s="1" t="str">
        <x:f>IF(AND('Данные'!D2333&gt;='Дашборд'!$C$55,D2333&lt;'Дашборд'!$C$56,'Данные'!E2333&gt;='Дашборд'!$C$53,'Данные'!L2333&lt;&gt;"Да"),"Да","Нет")</x:f>
        <x:v>Нет</x:v>
      </x:c>
      <x:c r="O2333" s="1" t="str">
        <x:f>'Данные'!L2333</x:f>
        <x:v>Нет</x:v>
      </x:c>
    </x:row>
    <x:row r="2334">
      <x:c r="A2334" s="1" t="str">
        <x:f>'Данные'!A2334</x:f>
        <x:v>344440744</x:v>
      </x:c>
      <x:c r="B2334" s="1" t="str">
        <x:f>'Данные'!B2334</x:f>
        <x:v>2Ntshirt/графит</x:v>
      </x:c>
      <x:c r="C2334" s="8" t="n">
        <x:f>'Данные'!G2334</x:f>
        <x:v>0</x:v>
      </x:c>
      <x:c r="D2334" s="15" t="n">
        <x:f>C2334/SUM($C$5:$C$2477)</x:f>
        <x:v>0</x:v>
      </x:c>
      <x:c r="E2334" s="15" t="n">
        <x:f>SUM($D$5:D2334)</x:f>
        <x:v>1.0000000000000036</x:v>
      </x:c>
      <x:c r="F2334" s="1" t="str">
        <x:f>IF(C2334&lt;=0,"C",IF(E2334-D2334&lt;'Дашборд'!$C$49,"A",IF(E2334-D2334&lt;'Дашборд'!$C$50,"B","C")))</x:f>
        <x:v>C</x:v>
      </x:c>
      <x:c r="G2334" s="8" t="n">
        <x:f>'Данные'!F2334</x:f>
        <x:v>0</x:v>
      </x:c>
      <x:c r="H2334" s="8" t="n">
        <x:f>SUM('Данные'!H2334:I2334)</x:f>
        <x:v>0</x:v>
      </x:c>
      <x:c r="I2334" s="16" t="str">
        <x:f>IF(H2334&gt;0,G2334/H2334,"n.a.")</x:f>
        <x:v>n.a.</x:v>
      </x:c>
      <x:c r="J2334" s="10" t="n">
        <x:f>IF('Данные'!E2334&gt;0,G2334/'Данные'!E2334,"n.a.")</x:f>
        <x:v>0</x:v>
      </x:c>
      <x:c r="K2334" s="1" t="str">
        <x:f>IF(G2334&gt;='Дашборд'!$C$51,"X","Z")</x:f>
        <x:v>Z</x:v>
      </x:c>
      <x:c r="L2334" s="1" t="str">
        <x:f>IF(H2334=0,IF(G2334&gt;0,"Нет остатка","Нет спроса"),IF(I2334&gt;='Дашборд'!$C$52,"Быстрый","Медленный"))</x:f>
        <x:v>Нет спроса</x:v>
      </x:c>
      <x:c r="M2334" s="1" t="str">
        <x:f>IF('Данные'!E2334&lt;'Дашборд'!$C$53,"Мало трафика",IF(J2334&lt;'Дашборд'!$C$9*'Дашборд'!$C$54,"Да","Нет"))</x:f>
        <x:v>Да</x:v>
      </x:c>
      <x:c r="N2334" s="1" t="str">
        <x:f>IF(AND('Данные'!D2334&gt;='Дашборд'!$C$55,D2334&lt;'Дашборд'!$C$56,'Данные'!E2334&gt;='Дашборд'!$C$53,'Данные'!L2334&lt;&gt;"Да"),"Да","Нет")</x:f>
        <x:v>Нет</x:v>
      </x:c>
      <x:c r="O2334" s="1" t="str">
        <x:f>'Данные'!L2334</x:f>
        <x:v>Нет</x:v>
      </x:c>
    </x:row>
    <x:row r="2335">
      <x:c r="A2335" s="1" t="str">
        <x:f>'Данные'!A2335</x:f>
        <x:v>344440777</x:v>
      </x:c>
      <x:c r="B2335" s="1" t="str">
        <x:f>'Данные'!B2335</x:f>
        <x:v>maykaman/пыльно-синий</x:v>
      </x:c>
      <x:c r="C2335" s="8" t="n">
        <x:f>'Данные'!G2335</x:f>
        <x:v>0</x:v>
      </x:c>
      <x:c r="D2335" s="15" t="n">
        <x:f>C2335/SUM($C$5:$C$2477)</x:f>
        <x:v>0</x:v>
      </x:c>
      <x:c r="E2335" s="15" t="n">
        <x:f>SUM($D$5:D2335)</x:f>
        <x:v>1.0000000000000036</x:v>
      </x:c>
      <x:c r="F2335" s="1" t="str">
        <x:f>IF(C2335&lt;=0,"C",IF(E2335-D2335&lt;'Дашборд'!$C$49,"A",IF(E2335-D2335&lt;'Дашборд'!$C$50,"B","C")))</x:f>
        <x:v>C</x:v>
      </x:c>
      <x:c r="G2335" s="8" t="n">
        <x:f>'Данные'!F2335</x:f>
        <x:v>0</x:v>
      </x:c>
      <x:c r="H2335" s="8" t="n">
        <x:f>SUM('Данные'!H2335:I2335)</x:f>
        <x:v>0</x:v>
      </x:c>
      <x:c r="I2335" s="16" t="str">
        <x:f>IF(H2335&gt;0,G2335/H2335,"n.a.")</x:f>
        <x:v>n.a.</x:v>
      </x:c>
      <x:c r="J2335" s="10" t="n">
        <x:f>IF('Данные'!E2335&gt;0,G2335/'Данные'!E2335,"n.a.")</x:f>
        <x:v>0</x:v>
      </x:c>
      <x:c r="K2335" s="1" t="str">
        <x:f>IF(G2335&gt;='Дашборд'!$C$51,"X","Z")</x:f>
        <x:v>Z</x:v>
      </x:c>
      <x:c r="L2335" s="1" t="str">
        <x:f>IF(H2335=0,IF(G2335&gt;0,"Нет остатка","Нет спроса"),IF(I2335&gt;='Дашборд'!$C$52,"Быстрый","Медленный"))</x:f>
        <x:v>Нет спроса</x:v>
      </x:c>
      <x:c r="M2335" s="1" t="str">
        <x:f>IF('Данные'!E2335&lt;'Дашборд'!$C$53,"Мало трафика",IF(J2335&lt;'Дашборд'!$C$9*'Дашборд'!$C$54,"Да","Нет"))</x:f>
        <x:v>Мало трафика</x:v>
      </x:c>
      <x:c r="N2335" s="1" t="str">
        <x:f>IF(AND('Данные'!D2335&gt;='Дашборд'!$C$55,D2335&lt;'Дашборд'!$C$56,'Данные'!E2335&gt;='Дашборд'!$C$53,'Данные'!L2335&lt;&gt;"Да"),"Да","Нет")</x:f>
        <x:v>Нет</x:v>
      </x:c>
      <x:c r="O2335" s="1" t="str">
        <x:f>'Данные'!L2335</x:f>
        <x:v>Нет</x:v>
      </x:c>
    </x:row>
    <x:row r="2336">
      <x:c r="A2336" s="1" t="str">
        <x:f>'Данные'!A2336</x:f>
        <x:v>344444042</x:v>
      </x:c>
      <x:c r="B2336" s="1" t="str">
        <x:f>'Данные'!B2336</x:f>
        <x:v>2Ntshirt/темно-серый</x:v>
      </x:c>
      <x:c r="C2336" s="8" t="n">
        <x:f>'Данные'!G2336</x:f>
        <x:v>0</x:v>
      </x:c>
      <x:c r="D2336" s="15" t="n">
        <x:f>C2336/SUM($C$5:$C$2477)</x:f>
        <x:v>0</x:v>
      </x:c>
      <x:c r="E2336" s="15" t="n">
        <x:f>SUM($D$5:D2336)</x:f>
        <x:v>1.0000000000000036</x:v>
      </x:c>
      <x:c r="F2336" s="1" t="str">
        <x:f>IF(C2336&lt;=0,"C",IF(E2336-D2336&lt;'Дашборд'!$C$49,"A",IF(E2336-D2336&lt;'Дашборд'!$C$50,"B","C")))</x:f>
        <x:v>C</x:v>
      </x:c>
      <x:c r="G2336" s="8" t="n">
        <x:f>'Данные'!F2336</x:f>
        <x:v>1</x:v>
      </x:c>
      <x:c r="H2336" s="8" t="n">
        <x:f>SUM('Данные'!H2336:I2336)</x:f>
        <x:v>0</x:v>
      </x:c>
      <x:c r="I2336" s="16" t="str">
        <x:f>IF(H2336&gt;0,G2336/H2336,"n.a.")</x:f>
        <x:v>n.a.</x:v>
      </x:c>
      <x:c r="J2336" s="10" t="n">
        <x:f>IF('Данные'!E2336&gt;0,G2336/'Данные'!E2336,"n.a.")</x:f>
        <x:v>0.00005732958780026372</x:v>
      </x:c>
      <x:c r="K2336" s="1" t="str">
        <x:f>IF(G2336&gt;='Дашборд'!$C$51,"X","Z")</x:f>
        <x:v>Z</x:v>
      </x:c>
      <x:c r="L2336" s="1" t="str">
        <x:f>IF(H2336=0,IF(G2336&gt;0,"Нет остатка","Нет спроса"),IF(I2336&gt;='Дашборд'!$C$52,"Быстрый","Медленный"))</x:f>
        <x:v>Нет остатка</x:v>
      </x:c>
      <x:c r="M2336" s="1" t="str">
        <x:f>IF('Данные'!E2336&lt;'Дашборд'!$C$53,"Мало трафика",IF(J2336&lt;'Дашборд'!$C$9*'Дашборд'!$C$54,"Да","Нет"))</x:f>
        <x:v>Да</x:v>
      </x:c>
      <x:c r="N2336" s="1" t="str">
        <x:f>IF(AND('Данные'!D2336&gt;='Дашборд'!$C$55,D2336&lt;'Дашборд'!$C$56,'Данные'!E2336&gt;='Дашборд'!$C$53,'Данные'!L2336&lt;&gt;"Да"),"Да","Нет")</x:f>
        <x:v>Нет</x:v>
      </x:c>
      <x:c r="O2336" s="1" t="str">
        <x:f>'Данные'!L2336</x:f>
        <x:v>Нет</x:v>
      </x:c>
    </x:row>
    <x:row r="2337">
      <x:c r="A2337" s="1" t="str">
        <x:f>'Данные'!A2337</x:f>
        <x:v>344447003</x:v>
      </x:c>
      <x:c r="B2337" s="1" t="str">
        <x:f>'Данные'!B2337</x:f>
        <x:v>tophumo/темно-серый</x:v>
      </x:c>
      <x:c r="C2337" s="8" t="n">
        <x:f>'Данные'!G2337</x:f>
        <x:v>0</x:v>
      </x:c>
      <x:c r="D2337" s="15" t="n">
        <x:f>C2337/SUM($C$5:$C$2477)</x:f>
        <x:v>0</x:v>
      </x:c>
      <x:c r="E2337" s="15" t="n">
        <x:f>SUM($D$5:D2337)</x:f>
        <x:v>1.0000000000000036</x:v>
      </x:c>
      <x:c r="F2337" s="1" t="str">
        <x:f>IF(C2337&lt;=0,"C",IF(E2337-D2337&lt;'Дашборд'!$C$49,"A",IF(E2337-D2337&lt;'Дашборд'!$C$50,"B","C")))</x:f>
        <x:v>C</x:v>
      </x:c>
      <x:c r="G2337" s="8" t="n">
        <x:f>'Данные'!F2337</x:f>
        <x:v>0</x:v>
      </x:c>
      <x:c r="H2337" s="8" t="n">
        <x:f>SUM('Данные'!H2337:I2337)</x:f>
        <x:v>268</x:v>
      </x:c>
      <x:c r="I2337" s="16" t="n">
        <x:f>IF(H2337&gt;0,G2337/H2337,"n.a.")</x:f>
        <x:v>0</x:v>
      </x:c>
      <x:c r="J2337" s="10" t="str">
        <x:f>IF('Данные'!E2337&gt;0,G2337/'Данные'!E2337,"n.a.")</x:f>
        <x:v>n.a.</x:v>
      </x:c>
      <x:c r="K2337" s="1" t="str">
        <x:f>IF(G2337&gt;='Дашборд'!$C$51,"X","Z")</x:f>
        <x:v>Z</x:v>
      </x:c>
      <x:c r="L2337" s="1" t="str">
        <x:f>IF(H2337=0,IF(G2337&gt;0,"Нет остатка","Нет спроса"),IF(I2337&gt;='Дашборд'!$C$52,"Быстрый","Медленный"))</x:f>
        <x:v>Медленный</x:v>
      </x:c>
      <x:c r="M2337" s="1" t="str">
        <x:f>IF('Данные'!E2337&lt;'Дашборд'!$C$53,"Мало трафика",IF(J2337&lt;'Дашборд'!$C$9*'Дашборд'!$C$54,"Да","Нет"))</x:f>
        <x:v>Мало трафика</x:v>
      </x:c>
      <x:c r="N2337" s="1" t="str">
        <x:f>IF(AND('Данные'!D2337&gt;='Дашборд'!$C$55,D2337&lt;'Дашборд'!$C$56,'Данные'!E2337&gt;='Дашборд'!$C$53,'Данные'!L2337&lt;&gt;"Да"),"Да","Нет")</x:f>
        <x:v>Нет</x:v>
      </x:c>
      <x:c r="O2337" s="1" t="str">
        <x:f>'Данные'!L2337</x:f>
        <x:v>Нет</x:v>
      </x:c>
    </x:row>
    <x:row r="2338">
      <x:c r="A2338" s="1" t="str">
        <x:f>'Данные'!A2338</x:f>
        <x:v>346811980</x:v>
      </x:c>
      <x:c r="B2338" s="1" t="str">
        <x:f>'Данные'!B2338</x:f>
        <x:v>longcrop3К-84/каштановый</x:v>
      </x:c>
      <x:c r="C2338" s="8" t="n">
        <x:f>'Данные'!G2338</x:f>
        <x:v>0</x:v>
      </x:c>
      <x:c r="D2338" s="15" t="n">
        <x:f>C2338/SUM($C$5:$C$2477)</x:f>
        <x:v>0</x:v>
      </x:c>
      <x:c r="E2338" s="15" t="n">
        <x:f>SUM($D$5:D2338)</x:f>
        <x:v>1.0000000000000036</x:v>
      </x:c>
      <x:c r="F2338" s="1" t="str">
        <x:f>IF(C2338&lt;=0,"C",IF(E2338-D2338&lt;'Дашборд'!$C$49,"A",IF(E2338-D2338&lt;'Дашборд'!$C$50,"B","C")))</x:f>
        <x:v>C</x:v>
      </x:c>
      <x:c r="G2338" s="8" t="n">
        <x:f>'Данные'!F2338</x:f>
        <x:v>0</x:v>
      </x:c>
      <x:c r="H2338" s="8" t="n">
        <x:f>SUM('Данные'!H2338:I2338)</x:f>
        <x:v>0</x:v>
      </x:c>
      <x:c r="I2338" s="16" t="str">
        <x:f>IF(H2338&gt;0,G2338/H2338,"n.a.")</x:f>
        <x:v>n.a.</x:v>
      </x:c>
      <x:c r="J2338" s="10" t="n">
        <x:f>IF('Данные'!E2338&gt;0,G2338/'Данные'!E2338,"n.a.")</x:f>
        <x:v>0</x:v>
      </x:c>
      <x:c r="K2338" s="1" t="str">
        <x:f>IF(G2338&gt;='Дашборд'!$C$51,"X","Z")</x:f>
        <x:v>Z</x:v>
      </x:c>
      <x:c r="L2338" s="1" t="str">
        <x:f>IF(H2338=0,IF(G2338&gt;0,"Нет остатка","Нет спроса"),IF(I2338&gt;='Дашборд'!$C$52,"Быстрый","Медленный"))</x:f>
        <x:v>Нет спроса</x:v>
      </x:c>
      <x:c r="M2338" s="1" t="str">
        <x:f>IF('Данные'!E2338&lt;'Дашборд'!$C$53,"Мало трафика",IF(J2338&lt;'Дашборд'!$C$9*'Дашборд'!$C$54,"Да","Нет"))</x:f>
        <x:v>Мало трафика</x:v>
      </x:c>
      <x:c r="N2338" s="1" t="str">
        <x:f>IF(AND('Данные'!D2338&gt;='Дашборд'!$C$55,D2338&lt;'Дашборд'!$C$56,'Данные'!E2338&gt;='Дашборд'!$C$53,'Данные'!L2338&lt;&gt;"Да"),"Да","Нет")</x:f>
        <x:v>Нет</x:v>
      </x:c>
      <x:c r="O2338" s="1" t="str">
        <x:f>'Данные'!L2338</x:f>
        <x:v>Нет</x:v>
      </x:c>
    </x:row>
    <x:row r="2339">
      <x:c r="A2339" s="1" t="str">
        <x:f>'Данные'!A2339</x:f>
        <x:v>346811983</x:v>
      </x:c>
      <x:c r="B2339" s="1" t="str">
        <x:f>'Данные'!B2339</x:f>
        <x:v>longcrop3К-84/какао</x:v>
      </x:c>
      <x:c r="C2339" s="8" t="n">
        <x:f>'Данные'!G2339</x:f>
        <x:v>0</x:v>
      </x:c>
      <x:c r="D2339" s="15" t="n">
        <x:f>C2339/SUM($C$5:$C$2477)</x:f>
        <x:v>0</x:v>
      </x:c>
      <x:c r="E2339" s="15" t="n">
        <x:f>SUM($D$5:D2339)</x:f>
        <x:v>1.0000000000000036</x:v>
      </x:c>
      <x:c r="F2339" s="1" t="str">
        <x:f>IF(C2339&lt;=0,"C",IF(E2339-D2339&lt;'Дашборд'!$C$49,"A",IF(E2339-D2339&lt;'Дашборд'!$C$50,"B","C")))</x:f>
        <x:v>C</x:v>
      </x:c>
      <x:c r="G2339" s="8" t="n">
        <x:f>'Данные'!F2339</x:f>
        <x:v>0</x:v>
      </x:c>
      <x:c r="H2339" s="8" t="n">
        <x:f>SUM('Данные'!H2339:I2339)</x:f>
        <x:v>0</x:v>
      </x:c>
      <x:c r="I2339" s="16" t="str">
        <x:f>IF(H2339&gt;0,G2339/H2339,"n.a.")</x:f>
        <x:v>n.a.</x:v>
      </x:c>
      <x:c r="J2339" s="10" t="n">
        <x:f>IF('Данные'!E2339&gt;0,G2339/'Данные'!E2339,"n.a.")</x:f>
        <x:v>0</x:v>
      </x:c>
      <x:c r="K2339" s="1" t="str">
        <x:f>IF(G2339&gt;='Дашборд'!$C$51,"X","Z")</x:f>
        <x:v>Z</x:v>
      </x:c>
      <x:c r="L2339" s="1" t="str">
        <x:f>IF(H2339=0,IF(G2339&gt;0,"Нет остатка","Нет спроса"),IF(I2339&gt;='Дашборд'!$C$52,"Быстрый","Медленный"))</x:f>
        <x:v>Нет спроса</x:v>
      </x:c>
      <x:c r="M2339" s="1" t="str">
        <x:f>IF('Данные'!E2339&lt;'Дашборд'!$C$53,"Мало трафика",IF(J2339&lt;'Дашборд'!$C$9*'Дашборд'!$C$54,"Да","Нет"))</x:f>
        <x:v>Мало трафика</x:v>
      </x:c>
      <x:c r="N2339" s="1" t="str">
        <x:f>IF(AND('Данные'!D2339&gt;='Дашборд'!$C$55,D2339&lt;'Дашборд'!$C$56,'Данные'!E2339&gt;='Дашборд'!$C$53,'Данные'!L2339&lt;&gt;"Да"),"Да","Нет")</x:f>
        <x:v>Нет</x:v>
      </x:c>
      <x:c r="O2339" s="1" t="str">
        <x:f>'Данные'!L2339</x:f>
        <x:v>Нет</x:v>
      </x:c>
    </x:row>
    <x:row r="2340">
      <x:c r="A2340" s="1" t="str">
        <x:f>'Данные'!A2340</x:f>
        <x:v>350775165</x:v>
      </x:c>
      <x:c r="B2340" s="1" t="str">
        <x:f>'Данные'!B2340</x:f>
        <x:v>malyshkabasic/белый</x:v>
      </x:c>
      <x:c r="C2340" s="8" t="n">
        <x:f>'Данные'!G2340</x:f>
        <x:v>0</x:v>
      </x:c>
      <x:c r="D2340" s="15" t="n">
        <x:f>C2340/SUM($C$5:$C$2477)</x:f>
        <x:v>0</x:v>
      </x:c>
      <x:c r="E2340" s="15" t="n">
        <x:f>SUM($D$5:D2340)</x:f>
        <x:v>1.0000000000000036</x:v>
      </x:c>
      <x:c r="F2340" s="1" t="str">
        <x:f>IF(C2340&lt;=0,"C",IF(E2340-D2340&lt;'Дашборд'!$C$49,"A",IF(E2340-D2340&lt;'Дашборд'!$C$50,"B","C")))</x:f>
        <x:v>C</x:v>
      </x:c>
      <x:c r="G2340" s="8" t="n">
        <x:f>'Данные'!F2340</x:f>
        <x:v>0</x:v>
      </x:c>
      <x:c r="H2340" s="8" t="n">
        <x:f>SUM('Данные'!H2340:I2340)</x:f>
        <x:v>0</x:v>
      </x:c>
      <x:c r="I2340" s="16" t="str">
        <x:f>IF(H2340&gt;0,G2340/H2340,"n.a.")</x:f>
        <x:v>n.a.</x:v>
      </x:c>
      <x:c r="J2340" s="10" t="n">
        <x:f>IF('Данные'!E2340&gt;0,G2340/'Данные'!E2340,"n.a.")</x:f>
        <x:v>0</x:v>
      </x:c>
      <x:c r="K2340" s="1" t="str">
        <x:f>IF(G2340&gt;='Дашборд'!$C$51,"X","Z")</x:f>
        <x:v>Z</x:v>
      </x:c>
      <x:c r="L2340" s="1" t="str">
        <x:f>IF(H2340=0,IF(G2340&gt;0,"Нет остатка","Нет спроса"),IF(I2340&gt;='Дашборд'!$C$52,"Быстрый","Медленный"))</x:f>
        <x:v>Нет спроса</x:v>
      </x:c>
      <x:c r="M2340" s="1" t="str">
        <x:f>IF('Данные'!E2340&lt;'Дашборд'!$C$53,"Мало трафика",IF(J2340&lt;'Дашборд'!$C$9*'Дашборд'!$C$54,"Да","Нет"))</x:f>
        <x:v>Мало трафика</x:v>
      </x:c>
      <x:c r="N2340" s="1" t="str">
        <x:f>IF(AND('Данные'!D2340&gt;='Дашборд'!$C$55,D2340&lt;'Дашборд'!$C$56,'Данные'!E2340&gt;='Дашборд'!$C$53,'Данные'!L2340&lt;&gt;"Да"),"Да","Нет")</x:f>
        <x:v>Нет</x:v>
      </x:c>
      <x:c r="O2340" s="1" t="str">
        <x:f>'Данные'!L2340</x:f>
        <x:v>Нет</x:v>
      </x:c>
    </x:row>
    <x:row r="2341">
      <x:c r="A2341" s="1" t="str">
        <x:f>'Данные'!A2341</x:f>
        <x:v>35272618</x:v>
      </x:c>
      <x:c r="B2341" s="1" t="str">
        <x:f>'Данные'!B2341</x:f>
        <x:v>futbolkaman/синийкосмос</x:v>
      </x:c>
      <x:c r="C2341" s="8" t="n">
        <x:f>'Данные'!G2341</x:f>
        <x:v>0</x:v>
      </x:c>
      <x:c r="D2341" s="15" t="n">
        <x:f>C2341/SUM($C$5:$C$2477)</x:f>
        <x:v>0</x:v>
      </x:c>
      <x:c r="E2341" s="15" t="n">
        <x:f>SUM($D$5:D2341)</x:f>
        <x:v>1.0000000000000036</x:v>
      </x:c>
      <x:c r="F2341" s="1" t="str">
        <x:f>IF(C2341&lt;=0,"C",IF(E2341-D2341&lt;'Дашборд'!$C$49,"A",IF(E2341-D2341&lt;'Дашборд'!$C$50,"B","C")))</x:f>
        <x:v>C</x:v>
      </x:c>
      <x:c r="G2341" s="8" t="n">
        <x:f>'Данные'!F2341</x:f>
        <x:v>0</x:v>
      </x:c>
      <x:c r="H2341" s="8" t="n">
        <x:f>SUM('Данные'!H2341:I2341)</x:f>
        <x:v>0</x:v>
      </x:c>
      <x:c r="I2341" s="16" t="str">
        <x:f>IF(H2341&gt;0,G2341/H2341,"n.a.")</x:f>
        <x:v>n.a.</x:v>
      </x:c>
      <x:c r="J2341" s="10" t="str">
        <x:f>IF('Данные'!E2341&gt;0,G2341/'Данные'!E2341,"n.a.")</x:f>
        <x:v>n.a.</x:v>
      </x:c>
      <x:c r="K2341" s="1" t="str">
        <x:f>IF(G2341&gt;='Дашборд'!$C$51,"X","Z")</x:f>
        <x:v>Z</x:v>
      </x:c>
      <x:c r="L2341" s="1" t="str">
        <x:f>IF(H2341=0,IF(G2341&gt;0,"Нет остатка","Нет спроса"),IF(I2341&gt;='Дашборд'!$C$52,"Быстрый","Медленный"))</x:f>
        <x:v>Нет спроса</x:v>
      </x:c>
      <x:c r="M2341" s="1" t="str">
        <x:f>IF('Данные'!E2341&lt;'Дашборд'!$C$53,"Мало трафика",IF(J2341&lt;'Дашборд'!$C$9*'Дашборд'!$C$54,"Да","Нет"))</x:f>
        <x:v>Мало трафика</x:v>
      </x:c>
      <x:c r="N2341" s="1" t="str">
        <x:f>IF(AND('Данные'!D2341&gt;='Дашборд'!$C$55,D2341&lt;'Дашборд'!$C$56,'Данные'!E2341&gt;='Дашборд'!$C$53,'Данные'!L2341&lt;&gt;"Да"),"Да","Нет")</x:f>
        <x:v>Нет</x:v>
      </x:c>
      <x:c r="O2341" s="1" t="str">
        <x:f>'Данные'!L2341</x:f>
        <x:v>Нет</x:v>
      </x:c>
    </x:row>
    <x:row r="2342">
      <x:c r="A2342" s="1" t="str">
        <x:f>'Данные'!A2342</x:f>
        <x:v>35272989</x:v>
      </x:c>
      <x:c r="B2342" s="1" t="str">
        <x:f>'Данные'!B2342</x:f>
        <x:v>futbolkaman/бежевый</x:v>
      </x:c>
      <x:c r="C2342" s="8" t="n">
        <x:f>'Данные'!G2342</x:f>
        <x:v>0</x:v>
      </x:c>
      <x:c r="D2342" s="15" t="n">
        <x:f>C2342/SUM($C$5:$C$2477)</x:f>
        <x:v>0</x:v>
      </x:c>
      <x:c r="E2342" s="15" t="n">
        <x:f>SUM($D$5:D2342)</x:f>
        <x:v>1.0000000000000036</x:v>
      </x:c>
      <x:c r="F2342" s="1" t="str">
        <x:f>IF(C2342&lt;=0,"C",IF(E2342-D2342&lt;'Дашборд'!$C$49,"A",IF(E2342-D2342&lt;'Дашборд'!$C$50,"B","C")))</x:f>
        <x:v>C</x:v>
      </x:c>
      <x:c r="G2342" s="8" t="n">
        <x:f>'Данные'!F2342</x:f>
        <x:v>0</x:v>
      </x:c>
      <x:c r="H2342" s="8" t="n">
        <x:f>SUM('Данные'!H2342:I2342)</x:f>
        <x:v>0</x:v>
      </x:c>
      <x:c r="I2342" s="16" t="str">
        <x:f>IF(H2342&gt;0,G2342/H2342,"n.a.")</x:f>
        <x:v>n.a.</x:v>
      </x:c>
      <x:c r="J2342" s="10" t="str">
        <x:f>IF('Данные'!E2342&gt;0,G2342/'Данные'!E2342,"n.a.")</x:f>
        <x:v>n.a.</x:v>
      </x:c>
      <x:c r="K2342" s="1" t="str">
        <x:f>IF(G2342&gt;='Дашборд'!$C$51,"X","Z")</x:f>
        <x:v>Z</x:v>
      </x:c>
      <x:c r="L2342" s="1" t="str">
        <x:f>IF(H2342=0,IF(G2342&gt;0,"Нет остатка","Нет спроса"),IF(I2342&gt;='Дашборд'!$C$52,"Быстрый","Медленный"))</x:f>
        <x:v>Нет спроса</x:v>
      </x:c>
      <x:c r="M2342" s="1" t="str">
        <x:f>IF('Данные'!E2342&lt;'Дашборд'!$C$53,"Мало трафика",IF(J2342&lt;'Дашборд'!$C$9*'Дашборд'!$C$54,"Да","Нет"))</x:f>
        <x:v>Мало трафика</x:v>
      </x:c>
      <x:c r="N2342" s="1" t="str">
        <x:f>IF(AND('Данные'!D2342&gt;='Дашборд'!$C$55,D2342&lt;'Дашборд'!$C$56,'Данные'!E2342&gt;='Дашборд'!$C$53,'Данные'!L2342&lt;&gt;"Да"),"Да","Нет")</x:f>
        <x:v>Нет</x:v>
      </x:c>
      <x:c r="O2342" s="1" t="str">
        <x:f>'Данные'!L2342</x:f>
        <x:v>Нет</x:v>
      </x:c>
    </x:row>
    <x:row r="2343">
      <x:c r="A2343" s="1" t="str">
        <x:f>'Данные'!A2343</x:f>
        <x:v>35273524</x:v>
      </x:c>
      <x:c r="B2343" s="1" t="str">
        <x:f>'Данные'!B2343</x:f>
        <x:v>futbolkaman/светло-зеленый</x:v>
      </x:c>
      <x:c r="C2343" s="8" t="n">
        <x:f>'Данные'!G2343</x:f>
        <x:v>0</x:v>
      </x:c>
      <x:c r="D2343" s="15" t="n">
        <x:f>C2343/SUM($C$5:$C$2477)</x:f>
        <x:v>0</x:v>
      </x:c>
      <x:c r="E2343" s="15" t="n">
        <x:f>SUM($D$5:D2343)</x:f>
        <x:v>1.0000000000000036</x:v>
      </x:c>
      <x:c r="F2343" s="1" t="str">
        <x:f>IF(C2343&lt;=0,"C",IF(E2343-D2343&lt;'Дашборд'!$C$49,"A",IF(E2343-D2343&lt;'Дашборд'!$C$50,"B","C")))</x:f>
        <x:v>C</x:v>
      </x:c>
      <x:c r="G2343" s="8" t="n">
        <x:f>'Данные'!F2343</x:f>
        <x:v>0</x:v>
      </x:c>
      <x:c r="H2343" s="8" t="n">
        <x:f>SUM('Данные'!H2343:I2343)</x:f>
        <x:v>0</x:v>
      </x:c>
      <x:c r="I2343" s="16" t="str">
        <x:f>IF(H2343&gt;0,G2343/H2343,"n.a.")</x:f>
        <x:v>n.a.</x:v>
      </x:c>
      <x:c r="J2343" s="10" t="n">
        <x:f>IF('Данные'!E2343&gt;0,G2343/'Данные'!E2343,"n.a.")</x:f>
        <x:v>0</x:v>
      </x:c>
      <x:c r="K2343" s="1" t="str">
        <x:f>IF(G2343&gt;='Дашборд'!$C$51,"X","Z")</x:f>
        <x:v>Z</x:v>
      </x:c>
      <x:c r="L2343" s="1" t="str">
        <x:f>IF(H2343=0,IF(G2343&gt;0,"Нет остатка","Нет спроса"),IF(I2343&gt;='Дашборд'!$C$52,"Быстрый","Медленный"))</x:f>
        <x:v>Нет спроса</x:v>
      </x:c>
      <x:c r="M2343" s="1" t="str">
        <x:f>IF('Данные'!E2343&lt;'Дашборд'!$C$53,"Мало трафика",IF(J2343&lt;'Дашборд'!$C$9*'Дашборд'!$C$54,"Да","Нет"))</x:f>
        <x:v>Мало трафика</x:v>
      </x:c>
      <x:c r="N2343" s="1" t="str">
        <x:f>IF(AND('Данные'!D2343&gt;='Дашборд'!$C$55,D2343&lt;'Дашборд'!$C$56,'Данные'!E2343&gt;='Дашборд'!$C$53,'Данные'!L2343&lt;&gt;"Да"),"Да","Нет")</x:f>
        <x:v>Нет</x:v>
      </x:c>
      <x:c r="O2343" s="1" t="str">
        <x:f>'Данные'!L2343</x:f>
        <x:v>Нет</x:v>
      </x:c>
    </x:row>
    <x:row r="2344">
      <x:c r="A2344" s="1" t="str">
        <x:f>'Данные'!A2344</x:f>
        <x:v>35273875</x:v>
      </x:c>
      <x:c r="B2344" s="1" t="str">
        <x:f>'Данные'!B2344</x:f>
        <x:v>futbolkaman/серый-меланж</x:v>
      </x:c>
      <x:c r="C2344" s="8" t="n">
        <x:f>'Данные'!G2344</x:f>
        <x:v>0</x:v>
      </x:c>
      <x:c r="D2344" s="15" t="n">
        <x:f>C2344/SUM($C$5:$C$2477)</x:f>
        <x:v>0</x:v>
      </x:c>
      <x:c r="E2344" s="15" t="n">
        <x:f>SUM($D$5:D2344)</x:f>
        <x:v>1.0000000000000036</x:v>
      </x:c>
      <x:c r="F2344" s="1" t="str">
        <x:f>IF(C2344&lt;=0,"C",IF(E2344-D2344&lt;'Дашборд'!$C$49,"A",IF(E2344-D2344&lt;'Дашборд'!$C$50,"B","C")))</x:f>
        <x:v>C</x:v>
      </x:c>
      <x:c r="G2344" s="8" t="n">
        <x:f>'Данные'!F2344</x:f>
        <x:v>0</x:v>
      </x:c>
      <x:c r="H2344" s="8" t="n">
        <x:f>SUM('Данные'!H2344:I2344)</x:f>
        <x:v>0</x:v>
      </x:c>
      <x:c r="I2344" s="16" t="str">
        <x:f>IF(H2344&gt;0,G2344/H2344,"n.a.")</x:f>
        <x:v>n.a.</x:v>
      </x:c>
      <x:c r="J2344" s="10" t="n">
        <x:f>IF('Данные'!E2344&gt;0,G2344/'Данные'!E2344,"n.a.")</x:f>
        <x:v>0</x:v>
      </x:c>
      <x:c r="K2344" s="1" t="str">
        <x:f>IF(G2344&gt;='Дашборд'!$C$51,"X","Z")</x:f>
        <x:v>Z</x:v>
      </x:c>
      <x:c r="L2344" s="1" t="str">
        <x:f>IF(H2344=0,IF(G2344&gt;0,"Нет остатка","Нет спроса"),IF(I2344&gt;='Дашборд'!$C$52,"Быстрый","Медленный"))</x:f>
        <x:v>Нет спроса</x:v>
      </x:c>
      <x:c r="M2344" s="1" t="str">
        <x:f>IF('Данные'!E2344&lt;'Дашборд'!$C$53,"Мало трафика",IF(J2344&lt;'Дашборд'!$C$9*'Дашборд'!$C$54,"Да","Нет"))</x:f>
        <x:v>Мало трафика</x:v>
      </x:c>
      <x:c r="N2344" s="1" t="str">
        <x:f>IF(AND('Данные'!D2344&gt;='Дашборд'!$C$55,D2344&lt;'Дашборд'!$C$56,'Данные'!E2344&gt;='Дашборд'!$C$53,'Данные'!L2344&lt;&gt;"Да"),"Да","Нет")</x:f>
        <x:v>Нет</x:v>
      </x:c>
      <x:c r="O2344" s="1" t="str">
        <x:f>'Данные'!L2344</x:f>
        <x:v>Нет</x:v>
      </x:c>
    </x:row>
    <x:row r="2345">
      <x:c r="A2345" s="1" t="str">
        <x:f>'Данные'!A2345</x:f>
        <x:v>35428612</x:v>
      </x:c>
      <x:c r="B2345" s="1" t="str">
        <x:f>'Данные'!B2345</x:f>
        <x:v>longslivkvadrat/черный</x:v>
      </x:c>
      <x:c r="C2345" s="8" t="n">
        <x:f>'Данные'!G2345</x:f>
        <x:v>0</x:v>
      </x:c>
      <x:c r="D2345" s="15" t="n">
        <x:f>C2345/SUM($C$5:$C$2477)</x:f>
        <x:v>0</x:v>
      </x:c>
      <x:c r="E2345" s="15" t="n">
        <x:f>SUM($D$5:D2345)</x:f>
        <x:v>1.0000000000000036</x:v>
      </x:c>
      <x:c r="F2345" s="1" t="str">
        <x:f>IF(C2345&lt;=0,"C",IF(E2345-D2345&lt;'Дашборд'!$C$49,"A",IF(E2345-D2345&lt;'Дашборд'!$C$50,"B","C")))</x:f>
        <x:v>C</x:v>
      </x:c>
      <x:c r="G2345" s="8" t="n">
        <x:f>'Данные'!F2345</x:f>
        <x:v>0</x:v>
      </x:c>
      <x:c r="H2345" s="8" t="n">
        <x:f>SUM('Данные'!H2345:I2345)</x:f>
        <x:v>0</x:v>
      </x:c>
      <x:c r="I2345" s="16" t="str">
        <x:f>IF(H2345&gt;0,G2345/H2345,"n.a.")</x:f>
        <x:v>n.a.</x:v>
      </x:c>
      <x:c r="J2345" s="10" t="n">
        <x:f>IF('Данные'!E2345&gt;0,G2345/'Данные'!E2345,"n.a.")</x:f>
        <x:v>0</x:v>
      </x:c>
      <x:c r="K2345" s="1" t="str">
        <x:f>IF(G2345&gt;='Дашборд'!$C$51,"X","Z")</x:f>
        <x:v>Z</x:v>
      </x:c>
      <x:c r="L2345" s="1" t="str">
        <x:f>IF(H2345=0,IF(G2345&gt;0,"Нет остатка","Нет спроса"),IF(I2345&gt;='Дашборд'!$C$52,"Быстрый","Медленный"))</x:f>
        <x:v>Нет спроса</x:v>
      </x:c>
      <x:c r="M2345" s="1" t="str">
        <x:f>IF('Данные'!E2345&lt;'Дашборд'!$C$53,"Мало трафика",IF(J2345&lt;'Дашборд'!$C$9*'Дашборд'!$C$54,"Да","Нет"))</x:f>
        <x:v>Мало трафика</x:v>
      </x:c>
      <x:c r="N2345" s="1" t="str">
        <x:f>IF(AND('Данные'!D2345&gt;='Дашборд'!$C$55,D2345&lt;'Дашборд'!$C$56,'Данные'!E2345&gt;='Дашборд'!$C$53,'Данные'!L2345&lt;&gt;"Да"),"Да","Нет")</x:f>
        <x:v>Нет</x:v>
      </x:c>
      <x:c r="O2345" s="1" t="str">
        <x:f>'Данные'!L2345</x:f>
        <x:v>Нет</x:v>
      </x:c>
    </x:row>
    <x:row r="2346">
      <x:c r="A2346" s="1" t="str">
        <x:f>'Данные'!A2346</x:f>
        <x:v>35428810</x:v>
      </x:c>
      <x:c r="B2346" s="1" t="str">
        <x:f>'Данные'!B2346</x:f>
        <x:v>longslivkvadratkorot/черный</x:v>
      </x:c>
      <x:c r="C2346" s="8" t="n">
        <x:f>'Данные'!G2346</x:f>
        <x:v>0</x:v>
      </x:c>
      <x:c r="D2346" s="15" t="n">
        <x:f>C2346/SUM($C$5:$C$2477)</x:f>
        <x:v>0</x:v>
      </x:c>
      <x:c r="E2346" s="15" t="n">
        <x:f>SUM($D$5:D2346)</x:f>
        <x:v>1.0000000000000036</x:v>
      </x:c>
      <x:c r="F2346" s="1" t="str">
        <x:f>IF(C2346&lt;=0,"C",IF(E2346-D2346&lt;'Дашборд'!$C$49,"A",IF(E2346-D2346&lt;'Дашборд'!$C$50,"B","C")))</x:f>
        <x:v>C</x:v>
      </x:c>
      <x:c r="G2346" s="8" t="n">
        <x:f>'Данные'!F2346</x:f>
        <x:v>0</x:v>
      </x:c>
      <x:c r="H2346" s="8" t="n">
        <x:f>SUM('Данные'!H2346:I2346)</x:f>
        <x:v>0</x:v>
      </x:c>
      <x:c r="I2346" s="16" t="str">
        <x:f>IF(H2346&gt;0,G2346/H2346,"n.a.")</x:f>
        <x:v>n.a.</x:v>
      </x:c>
      <x:c r="J2346" s="10" t="n">
        <x:f>IF('Данные'!E2346&gt;0,G2346/'Данные'!E2346,"n.a.")</x:f>
        <x:v>0</x:v>
      </x:c>
      <x:c r="K2346" s="1" t="str">
        <x:f>IF(G2346&gt;='Дашборд'!$C$51,"X","Z")</x:f>
        <x:v>Z</x:v>
      </x:c>
      <x:c r="L2346" s="1" t="str">
        <x:f>IF(H2346=0,IF(G2346&gt;0,"Нет остатка","Нет спроса"),IF(I2346&gt;='Дашборд'!$C$52,"Быстрый","Медленный"))</x:f>
        <x:v>Нет спроса</x:v>
      </x:c>
      <x:c r="M2346" s="1" t="str">
        <x:f>IF('Данные'!E2346&lt;'Дашборд'!$C$53,"Мало трафика",IF(J2346&lt;'Дашборд'!$C$9*'Дашборд'!$C$54,"Да","Нет"))</x:f>
        <x:v>Мало трафика</x:v>
      </x:c>
      <x:c r="N2346" s="1" t="str">
        <x:f>IF(AND('Данные'!D2346&gt;='Дашборд'!$C$55,D2346&lt;'Дашборд'!$C$56,'Данные'!E2346&gt;='Дашборд'!$C$53,'Данные'!L2346&lt;&gt;"Да"),"Да","Нет")</x:f>
        <x:v>Нет</x:v>
      </x:c>
      <x:c r="O2346" s="1" t="str">
        <x:f>'Данные'!L2346</x:f>
        <x:v>Нет</x:v>
      </x:c>
    </x:row>
    <x:row r="2347">
      <x:c r="A2347" s="1" t="str">
        <x:f>'Данные'!A2347</x:f>
        <x:v>35429165</x:v>
      </x:c>
      <x:c r="B2347" s="1" t="str">
        <x:f>'Данные'!B2347</x:f>
        <x:v>longslivdecolte/черный</x:v>
      </x:c>
      <x:c r="C2347" s="8" t="n">
        <x:f>'Данные'!G2347</x:f>
        <x:v>0</x:v>
      </x:c>
      <x:c r="D2347" s="15" t="n">
        <x:f>C2347/SUM($C$5:$C$2477)</x:f>
        <x:v>0</x:v>
      </x:c>
      <x:c r="E2347" s="15" t="n">
        <x:f>SUM($D$5:D2347)</x:f>
        <x:v>1.0000000000000036</x:v>
      </x:c>
      <x:c r="F2347" s="1" t="str">
        <x:f>IF(C2347&lt;=0,"C",IF(E2347-D2347&lt;'Дашборд'!$C$49,"A",IF(E2347-D2347&lt;'Дашборд'!$C$50,"B","C")))</x:f>
        <x:v>C</x:v>
      </x:c>
      <x:c r="G2347" s="8" t="n">
        <x:f>'Данные'!F2347</x:f>
        <x:v>0</x:v>
      </x:c>
      <x:c r="H2347" s="8" t="n">
        <x:f>SUM('Данные'!H2347:I2347)</x:f>
        <x:v>0</x:v>
      </x:c>
      <x:c r="I2347" s="16" t="str">
        <x:f>IF(H2347&gt;0,G2347/H2347,"n.a.")</x:f>
        <x:v>n.a.</x:v>
      </x:c>
      <x:c r="J2347" s="10" t="n">
        <x:f>IF('Данные'!E2347&gt;0,G2347/'Данные'!E2347,"n.a.")</x:f>
        <x:v>0</x:v>
      </x:c>
      <x:c r="K2347" s="1" t="str">
        <x:f>IF(G2347&gt;='Дашборд'!$C$51,"X","Z")</x:f>
        <x:v>Z</x:v>
      </x:c>
      <x:c r="L2347" s="1" t="str">
        <x:f>IF(H2347=0,IF(G2347&gt;0,"Нет остатка","Нет спроса"),IF(I2347&gt;='Дашборд'!$C$52,"Быстрый","Медленный"))</x:f>
        <x:v>Нет спроса</x:v>
      </x:c>
      <x:c r="M2347" s="1" t="str">
        <x:f>IF('Данные'!E2347&lt;'Дашборд'!$C$53,"Мало трафика",IF(J2347&lt;'Дашборд'!$C$9*'Дашборд'!$C$54,"Да","Нет"))</x:f>
        <x:v>Мало трафика</x:v>
      </x:c>
      <x:c r="N2347" s="1" t="str">
        <x:f>IF(AND('Данные'!D2347&gt;='Дашборд'!$C$55,D2347&lt;'Дашборд'!$C$56,'Данные'!E2347&gt;='Дашборд'!$C$53,'Данные'!L2347&lt;&gt;"Да"),"Да","Нет")</x:f>
        <x:v>Нет</x:v>
      </x:c>
      <x:c r="O2347" s="1" t="str">
        <x:f>'Данные'!L2347</x:f>
        <x:v>Нет</x:v>
      </x:c>
    </x:row>
    <x:row r="2348">
      <x:c r="A2348" s="1" t="str">
        <x:f>'Данные'!A2348</x:f>
        <x:v>35474071</x:v>
      </x:c>
      <x:c r="B2348" s="1" t="str">
        <x:f>'Данные'!B2348</x:f>
        <x:v>bodi/бежевый</x:v>
      </x:c>
      <x:c r="C2348" s="8" t="n">
        <x:f>'Данные'!G2348</x:f>
        <x:v>0</x:v>
      </x:c>
      <x:c r="D2348" s="15" t="n">
        <x:f>C2348/SUM($C$5:$C$2477)</x:f>
        <x:v>0</x:v>
      </x:c>
      <x:c r="E2348" s="15" t="n">
        <x:f>SUM($D$5:D2348)</x:f>
        <x:v>1.0000000000000036</x:v>
      </x:c>
      <x:c r="F2348" s="1" t="str">
        <x:f>IF(C2348&lt;=0,"C",IF(E2348-D2348&lt;'Дашборд'!$C$49,"A",IF(E2348-D2348&lt;'Дашборд'!$C$50,"B","C")))</x:f>
        <x:v>C</x:v>
      </x:c>
      <x:c r="G2348" s="8" t="n">
        <x:f>'Данные'!F2348</x:f>
        <x:v>0</x:v>
      </x:c>
      <x:c r="H2348" s="8" t="n">
        <x:f>SUM('Данные'!H2348:I2348)</x:f>
        <x:v>0</x:v>
      </x:c>
      <x:c r="I2348" s="16" t="str">
        <x:f>IF(H2348&gt;0,G2348/H2348,"n.a.")</x:f>
        <x:v>n.a.</x:v>
      </x:c>
      <x:c r="J2348" s="10" t="n">
        <x:f>IF('Данные'!E2348&gt;0,G2348/'Данные'!E2348,"n.a.")</x:f>
        <x:v>0</x:v>
      </x:c>
      <x:c r="K2348" s="1" t="str">
        <x:f>IF(G2348&gt;='Дашборд'!$C$51,"X","Z")</x:f>
        <x:v>Z</x:v>
      </x:c>
      <x:c r="L2348" s="1" t="str">
        <x:f>IF(H2348=0,IF(G2348&gt;0,"Нет остатка","Нет спроса"),IF(I2348&gt;='Дашборд'!$C$52,"Быстрый","Медленный"))</x:f>
        <x:v>Нет спроса</x:v>
      </x:c>
      <x:c r="M2348" s="1" t="str">
        <x:f>IF('Данные'!E2348&lt;'Дашборд'!$C$53,"Мало трафика",IF(J2348&lt;'Дашборд'!$C$9*'Дашборд'!$C$54,"Да","Нет"))</x:f>
        <x:v>Мало трафика</x:v>
      </x:c>
      <x:c r="N2348" s="1" t="str">
        <x:f>IF(AND('Данные'!D2348&gt;='Дашборд'!$C$55,D2348&lt;'Дашборд'!$C$56,'Данные'!E2348&gt;='Дашборд'!$C$53,'Данные'!L2348&lt;&gt;"Да"),"Да","Нет")</x:f>
        <x:v>Нет</x:v>
      </x:c>
      <x:c r="O2348" s="1" t="str">
        <x:f>'Данные'!L2348</x:f>
        <x:v>Нет</x:v>
      </x:c>
    </x:row>
    <x:row r="2349">
      <x:c r="A2349" s="1" t="str">
        <x:f>'Данные'!A2349</x:f>
        <x:v>35475721</x:v>
      </x:c>
      <x:c r="B2349" s="1" t="str">
        <x:f>'Данные'!B2349</x:f>
        <x:v>bodi/красный</x:v>
      </x:c>
      <x:c r="C2349" s="8" t="n">
        <x:f>'Данные'!G2349</x:f>
        <x:v>0</x:v>
      </x:c>
      <x:c r="D2349" s="15" t="n">
        <x:f>C2349/SUM($C$5:$C$2477)</x:f>
        <x:v>0</x:v>
      </x:c>
      <x:c r="E2349" s="15" t="n">
        <x:f>SUM($D$5:D2349)</x:f>
        <x:v>1.0000000000000036</x:v>
      </x:c>
      <x:c r="F2349" s="1" t="str">
        <x:f>IF(C2349&lt;=0,"C",IF(E2349-D2349&lt;'Дашборд'!$C$49,"A",IF(E2349-D2349&lt;'Дашборд'!$C$50,"B","C")))</x:f>
        <x:v>C</x:v>
      </x:c>
      <x:c r="G2349" s="8" t="n">
        <x:f>'Данные'!F2349</x:f>
        <x:v>0</x:v>
      </x:c>
      <x:c r="H2349" s="8" t="n">
        <x:f>SUM('Данные'!H2349:I2349)</x:f>
        <x:v>0</x:v>
      </x:c>
      <x:c r="I2349" s="16" t="str">
        <x:f>IF(H2349&gt;0,G2349/H2349,"n.a.")</x:f>
        <x:v>n.a.</x:v>
      </x:c>
      <x:c r="J2349" s="10" t="n">
        <x:f>IF('Данные'!E2349&gt;0,G2349/'Данные'!E2349,"n.a.")</x:f>
        <x:v>0</x:v>
      </x:c>
      <x:c r="K2349" s="1" t="str">
        <x:f>IF(G2349&gt;='Дашборд'!$C$51,"X","Z")</x:f>
        <x:v>Z</x:v>
      </x:c>
      <x:c r="L2349" s="1" t="str">
        <x:f>IF(H2349=0,IF(G2349&gt;0,"Нет остатка","Нет спроса"),IF(I2349&gt;='Дашборд'!$C$52,"Быстрый","Медленный"))</x:f>
        <x:v>Нет спроса</x:v>
      </x:c>
      <x:c r="M2349" s="1" t="str">
        <x:f>IF('Данные'!E2349&lt;'Дашборд'!$C$53,"Мало трафика",IF(J2349&lt;'Дашборд'!$C$9*'Дашборд'!$C$54,"Да","Нет"))</x:f>
        <x:v>Мало трафика</x:v>
      </x:c>
      <x:c r="N2349" s="1" t="str">
        <x:f>IF(AND('Данные'!D2349&gt;='Дашборд'!$C$55,D2349&lt;'Дашборд'!$C$56,'Данные'!E2349&gt;='Дашборд'!$C$53,'Данные'!L2349&lt;&gt;"Да"),"Да","Нет")</x:f>
        <x:v>Нет</x:v>
      </x:c>
      <x:c r="O2349" s="1" t="str">
        <x:f>'Данные'!L2349</x:f>
        <x:v>Нет</x:v>
      </x:c>
    </x:row>
    <x:row r="2350">
      <x:c r="A2350" s="1" t="str">
        <x:f>'Данные'!A2350</x:f>
        <x:v>35655427</x:v>
      </x:c>
      <x:c r="B2350" s="1" t="str">
        <x:f>'Данные'!B2350</x:f>
        <x:v>futbolka_mary/шалфей</x:v>
      </x:c>
      <x:c r="C2350" s="8" t="n">
        <x:f>'Данные'!G2350</x:f>
        <x:v>0</x:v>
      </x:c>
      <x:c r="D2350" s="15" t="n">
        <x:f>C2350/SUM($C$5:$C$2477)</x:f>
        <x:v>0</x:v>
      </x:c>
      <x:c r="E2350" s="15" t="n">
        <x:f>SUM($D$5:D2350)</x:f>
        <x:v>1.0000000000000036</x:v>
      </x:c>
      <x:c r="F2350" s="1" t="str">
        <x:f>IF(C2350&lt;=0,"C",IF(E2350-D2350&lt;'Дашборд'!$C$49,"A",IF(E2350-D2350&lt;'Дашборд'!$C$50,"B","C")))</x:f>
        <x:v>C</x:v>
      </x:c>
      <x:c r="G2350" s="8" t="n">
        <x:f>'Данные'!F2350</x:f>
        <x:v>0</x:v>
      </x:c>
      <x:c r="H2350" s="8" t="n">
        <x:f>SUM('Данные'!H2350:I2350)</x:f>
        <x:v>0</x:v>
      </x:c>
      <x:c r="I2350" s="16" t="str">
        <x:f>IF(H2350&gt;0,G2350/H2350,"n.a.")</x:f>
        <x:v>n.a.</x:v>
      </x:c>
      <x:c r="J2350" s="10" t="n">
        <x:f>IF('Данные'!E2350&gt;0,G2350/'Данные'!E2350,"n.a.")</x:f>
        <x:v>0</x:v>
      </x:c>
      <x:c r="K2350" s="1" t="str">
        <x:f>IF(G2350&gt;='Дашборд'!$C$51,"X","Z")</x:f>
        <x:v>Z</x:v>
      </x:c>
      <x:c r="L2350" s="1" t="str">
        <x:f>IF(H2350=0,IF(G2350&gt;0,"Нет остатка","Нет спроса"),IF(I2350&gt;='Дашборд'!$C$52,"Быстрый","Медленный"))</x:f>
        <x:v>Нет спроса</x:v>
      </x:c>
      <x:c r="M2350" s="1" t="str">
        <x:f>IF('Данные'!E2350&lt;'Дашборд'!$C$53,"Мало трафика",IF(J2350&lt;'Дашборд'!$C$9*'Дашборд'!$C$54,"Да","Нет"))</x:f>
        <x:v>Мало трафика</x:v>
      </x:c>
      <x:c r="N2350" s="1" t="str">
        <x:f>IF(AND('Данные'!D2350&gt;='Дашборд'!$C$55,D2350&lt;'Дашборд'!$C$56,'Данные'!E2350&gt;='Дашборд'!$C$53,'Данные'!L2350&lt;&gt;"Да"),"Да","Нет")</x:f>
        <x:v>Нет</x:v>
      </x:c>
      <x:c r="O2350" s="1" t="str">
        <x:f>'Данные'!L2350</x:f>
        <x:v>Нет</x:v>
      </x:c>
    </x:row>
    <x:row r="2351">
      <x:c r="A2351" s="1" t="str">
        <x:f>'Данные'!A2351</x:f>
        <x:v>35655853</x:v>
      </x:c>
      <x:c r="B2351" s="1" t="str">
        <x:f>'Данные'!B2351</x:f>
        <x:v>futbolka_mary/сероваторозовый</x:v>
      </x:c>
      <x:c r="C2351" s="8" t="n">
        <x:f>'Данные'!G2351</x:f>
        <x:v>0</x:v>
      </x:c>
      <x:c r="D2351" s="15" t="n">
        <x:f>C2351/SUM($C$5:$C$2477)</x:f>
        <x:v>0</x:v>
      </x:c>
      <x:c r="E2351" s="15" t="n">
        <x:f>SUM($D$5:D2351)</x:f>
        <x:v>1.0000000000000036</x:v>
      </x:c>
      <x:c r="F2351" s="1" t="str">
        <x:f>IF(C2351&lt;=0,"C",IF(E2351-D2351&lt;'Дашборд'!$C$49,"A",IF(E2351-D2351&lt;'Дашборд'!$C$50,"B","C")))</x:f>
        <x:v>C</x:v>
      </x:c>
      <x:c r="G2351" s="8" t="n">
        <x:f>'Данные'!F2351</x:f>
        <x:v>0</x:v>
      </x:c>
      <x:c r="H2351" s="8" t="n">
        <x:f>SUM('Данные'!H2351:I2351)</x:f>
        <x:v>0</x:v>
      </x:c>
      <x:c r="I2351" s="16" t="str">
        <x:f>IF(H2351&gt;0,G2351/H2351,"n.a.")</x:f>
        <x:v>n.a.</x:v>
      </x:c>
      <x:c r="J2351" s="10" t="n">
        <x:f>IF('Данные'!E2351&gt;0,G2351/'Данные'!E2351,"n.a.")</x:f>
        <x:v>0</x:v>
      </x:c>
      <x:c r="K2351" s="1" t="str">
        <x:f>IF(G2351&gt;='Дашборд'!$C$51,"X","Z")</x:f>
        <x:v>Z</x:v>
      </x:c>
      <x:c r="L2351" s="1" t="str">
        <x:f>IF(H2351=0,IF(G2351&gt;0,"Нет остатка","Нет спроса"),IF(I2351&gt;='Дашборд'!$C$52,"Быстрый","Медленный"))</x:f>
        <x:v>Нет спроса</x:v>
      </x:c>
      <x:c r="M2351" s="1" t="str">
        <x:f>IF('Данные'!E2351&lt;'Дашборд'!$C$53,"Мало трафика",IF(J2351&lt;'Дашборд'!$C$9*'Дашборд'!$C$54,"Да","Нет"))</x:f>
        <x:v>Мало трафика</x:v>
      </x:c>
      <x:c r="N2351" s="1" t="str">
        <x:f>IF(AND('Данные'!D2351&gt;='Дашборд'!$C$55,D2351&lt;'Дашборд'!$C$56,'Данные'!E2351&gt;='Дашборд'!$C$53,'Данные'!L2351&lt;&gt;"Да"),"Да","Нет")</x:f>
        <x:v>Нет</x:v>
      </x:c>
      <x:c r="O2351" s="1" t="str">
        <x:f>'Данные'!L2351</x:f>
        <x:v>Нет</x:v>
      </x:c>
    </x:row>
    <x:row r="2352">
      <x:c r="A2352" s="1" t="str">
        <x:f>'Данные'!A2352</x:f>
        <x:v>35656093</x:v>
      </x:c>
      <x:c r="B2352" s="1" t="str">
        <x:f>'Данные'!B2352</x:f>
        <x:v>futbolka_mary/пыльнаямята</x:v>
      </x:c>
      <x:c r="C2352" s="8" t="n">
        <x:f>'Данные'!G2352</x:f>
        <x:v>0</x:v>
      </x:c>
      <x:c r="D2352" s="15" t="n">
        <x:f>C2352/SUM($C$5:$C$2477)</x:f>
        <x:v>0</x:v>
      </x:c>
      <x:c r="E2352" s="15" t="n">
        <x:f>SUM($D$5:D2352)</x:f>
        <x:v>1.0000000000000036</x:v>
      </x:c>
      <x:c r="F2352" s="1" t="str">
        <x:f>IF(C2352&lt;=0,"C",IF(E2352-D2352&lt;'Дашборд'!$C$49,"A",IF(E2352-D2352&lt;'Дашборд'!$C$50,"B","C")))</x:f>
        <x:v>C</x:v>
      </x:c>
      <x:c r="G2352" s="8" t="n">
        <x:f>'Данные'!F2352</x:f>
        <x:v>0</x:v>
      </x:c>
      <x:c r="H2352" s="8" t="n">
        <x:f>SUM('Данные'!H2352:I2352)</x:f>
        <x:v>0</x:v>
      </x:c>
      <x:c r="I2352" s="16" t="str">
        <x:f>IF(H2352&gt;0,G2352/H2352,"n.a.")</x:f>
        <x:v>n.a.</x:v>
      </x:c>
      <x:c r="J2352" s="10" t="n">
        <x:f>IF('Данные'!E2352&gt;0,G2352/'Данные'!E2352,"n.a.")</x:f>
        <x:v>0</x:v>
      </x:c>
      <x:c r="K2352" s="1" t="str">
        <x:f>IF(G2352&gt;='Дашборд'!$C$51,"X","Z")</x:f>
        <x:v>Z</x:v>
      </x:c>
      <x:c r="L2352" s="1" t="str">
        <x:f>IF(H2352=0,IF(G2352&gt;0,"Нет остатка","Нет спроса"),IF(I2352&gt;='Дашборд'!$C$52,"Быстрый","Медленный"))</x:f>
        <x:v>Нет спроса</x:v>
      </x:c>
      <x:c r="M2352" s="1" t="str">
        <x:f>IF('Данные'!E2352&lt;'Дашборд'!$C$53,"Мало трафика",IF(J2352&lt;'Дашборд'!$C$9*'Дашборд'!$C$54,"Да","Нет"))</x:f>
        <x:v>Мало трафика</x:v>
      </x:c>
      <x:c r="N2352" s="1" t="str">
        <x:f>IF(AND('Данные'!D2352&gt;='Дашборд'!$C$55,D2352&lt;'Дашборд'!$C$56,'Данные'!E2352&gt;='Дашборд'!$C$53,'Данные'!L2352&lt;&gt;"Да"),"Да","Нет")</x:f>
        <x:v>Нет</x:v>
      </x:c>
      <x:c r="O2352" s="1" t="str">
        <x:f>'Данные'!L2352</x:f>
        <x:v>Нет</x:v>
      </x:c>
    </x:row>
    <x:row r="2353">
      <x:c r="A2353" s="1" t="str">
        <x:f>'Данные'!A2353</x:f>
        <x:v>357013183</x:v>
      </x:c>
      <x:c r="B2353" s="1" t="str">
        <x:f>'Данные'!B2353</x:f>
        <x:v>futhlopmanover/бордовый</x:v>
      </x:c>
      <x:c r="C2353" s="8" t="n">
        <x:f>'Данные'!G2353</x:f>
        <x:v>0</x:v>
      </x:c>
      <x:c r="D2353" s="15" t="n">
        <x:f>C2353/SUM($C$5:$C$2477)</x:f>
        <x:v>0</x:v>
      </x:c>
      <x:c r="E2353" s="15" t="n">
        <x:f>SUM($D$5:D2353)</x:f>
        <x:v>1.0000000000000036</x:v>
      </x:c>
      <x:c r="F2353" s="1" t="str">
        <x:f>IF(C2353&lt;=0,"C",IF(E2353-D2353&lt;'Дашборд'!$C$49,"A",IF(E2353-D2353&lt;'Дашборд'!$C$50,"B","C")))</x:f>
        <x:v>C</x:v>
      </x:c>
      <x:c r="G2353" s="8" t="n">
        <x:f>'Данные'!F2353</x:f>
        <x:v>1</x:v>
      </x:c>
      <x:c r="H2353" s="8" t="n">
        <x:f>SUM('Данные'!H2353:I2353)</x:f>
        <x:v>0</x:v>
      </x:c>
      <x:c r="I2353" s="16" t="str">
        <x:f>IF(H2353&gt;0,G2353/H2353,"n.a.")</x:f>
        <x:v>n.a.</x:v>
      </x:c>
      <x:c r="J2353" s="10" t="n">
        <x:f>IF('Данные'!E2353&gt;0,G2353/'Данные'!E2353,"n.a.")</x:f>
        <x:v>0.05263157894736842</x:v>
      </x:c>
      <x:c r="K2353" s="1" t="str">
        <x:f>IF(G2353&gt;='Дашборд'!$C$51,"X","Z")</x:f>
        <x:v>Z</x:v>
      </x:c>
      <x:c r="L2353" s="1" t="str">
        <x:f>IF(H2353=0,IF(G2353&gt;0,"Нет остатка","Нет спроса"),IF(I2353&gt;='Дашборд'!$C$52,"Быстрый","Медленный"))</x:f>
        <x:v>Нет остатка</x:v>
      </x:c>
      <x:c r="M2353" s="1" t="str">
        <x:f>IF('Данные'!E2353&lt;'Дашборд'!$C$53,"Мало трафика",IF(J2353&lt;'Дашборд'!$C$9*'Дашборд'!$C$54,"Да","Нет"))</x:f>
        <x:v>Мало трафика</x:v>
      </x:c>
      <x:c r="N2353" s="1" t="str">
        <x:f>IF(AND('Данные'!D2353&gt;='Дашборд'!$C$55,D2353&lt;'Дашборд'!$C$56,'Данные'!E2353&gt;='Дашборд'!$C$53,'Данные'!L2353&lt;&gt;"Да"),"Да","Нет")</x:f>
        <x:v>Нет</x:v>
      </x:c>
      <x:c r="O2353" s="1" t="str">
        <x:f>'Данные'!L2353</x:f>
        <x:v>Нет</x:v>
      </x:c>
    </x:row>
    <x:row r="2354">
      <x:c r="A2354" s="1" t="str">
        <x:f>'Данные'!A2354</x:f>
        <x:v>35868415</x:v>
      </x:c>
      <x:c r="B2354" s="1" t="str">
        <x:f>'Данные'!B2354</x:f>
        <x:v>velosipedki/черный</x:v>
      </x:c>
      <x:c r="C2354" s="8" t="n">
        <x:f>'Данные'!G2354</x:f>
        <x:v>0</x:v>
      </x:c>
      <x:c r="D2354" s="15" t="n">
        <x:f>C2354/SUM($C$5:$C$2477)</x:f>
        <x:v>0</x:v>
      </x:c>
      <x:c r="E2354" s="15" t="n">
        <x:f>SUM($D$5:D2354)</x:f>
        <x:v>1.0000000000000036</x:v>
      </x:c>
      <x:c r="F2354" s="1" t="str">
        <x:f>IF(C2354&lt;=0,"C",IF(E2354-D2354&lt;'Дашборд'!$C$49,"A",IF(E2354-D2354&lt;'Дашборд'!$C$50,"B","C")))</x:f>
        <x:v>C</x:v>
      </x:c>
      <x:c r="G2354" s="8" t="n">
        <x:f>'Данные'!F2354</x:f>
        <x:v>0</x:v>
      </x:c>
      <x:c r="H2354" s="8" t="n">
        <x:f>SUM('Данные'!H2354:I2354)</x:f>
        <x:v>0</x:v>
      </x:c>
      <x:c r="I2354" s="16" t="str">
        <x:f>IF(H2354&gt;0,G2354/H2354,"n.a.")</x:f>
        <x:v>n.a.</x:v>
      </x:c>
      <x:c r="J2354" s="10" t="str">
        <x:f>IF('Данные'!E2354&gt;0,G2354/'Данные'!E2354,"n.a.")</x:f>
        <x:v>n.a.</x:v>
      </x:c>
      <x:c r="K2354" s="1" t="str">
        <x:f>IF(G2354&gt;='Дашборд'!$C$51,"X","Z")</x:f>
        <x:v>Z</x:v>
      </x:c>
      <x:c r="L2354" s="1" t="str">
        <x:f>IF(H2354=0,IF(G2354&gt;0,"Нет остатка","Нет спроса"),IF(I2354&gt;='Дашборд'!$C$52,"Быстрый","Медленный"))</x:f>
        <x:v>Нет спроса</x:v>
      </x:c>
      <x:c r="M2354" s="1" t="str">
        <x:f>IF('Данные'!E2354&lt;'Дашборд'!$C$53,"Мало трафика",IF(J2354&lt;'Дашборд'!$C$9*'Дашборд'!$C$54,"Да","Нет"))</x:f>
        <x:v>Мало трафика</x:v>
      </x:c>
      <x:c r="N2354" s="1" t="str">
        <x:f>IF(AND('Данные'!D2354&gt;='Дашборд'!$C$55,D2354&lt;'Дашборд'!$C$56,'Данные'!E2354&gt;='Дашборд'!$C$53,'Данные'!L2354&lt;&gt;"Да"),"Да","Нет")</x:f>
        <x:v>Нет</x:v>
      </x:c>
      <x:c r="O2354" s="1" t="str">
        <x:f>'Данные'!L2354</x:f>
        <x:v>Да</x:v>
      </x:c>
    </x:row>
    <x:row r="2355">
      <x:c r="A2355" s="1" t="str">
        <x:f>'Данные'!A2355</x:f>
        <x:v>361823569</x:v>
      </x:c>
      <x:c r="B2355" s="1" t="str">
        <x:f>'Данные'!B2355</x:f>
        <x:v>futhlopman/молочный</x:v>
      </x:c>
      <x:c r="C2355" s="8" t="n">
        <x:f>'Данные'!G2355</x:f>
        <x:v>0</x:v>
      </x:c>
      <x:c r="D2355" s="15" t="n">
        <x:f>C2355/SUM($C$5:$C$2477)</x:f>
        <x:v>0</x:v>
      </x:c>
      <x:c r="E2355" s="15" t="n">
        <x:f>SUM($D$5:D2355)</x:f>
        <x:v>1.0000000000000036</x:v>
      </x:c>
      <x:c r="F2355" s="1" t="str">
        <x:f>IF(C2355&lt;=0,"C",IF(E2355-D2355&lt;'Дашборд'!$C$49,"A",IF(E2355-D2355&lt;'Дашборд'!$C$50,"B","C")))</x:f>
        <x:v>C</x:v>
      </x:c>
      <x:c r="G2355" s="8" t="n">
        <x:f>'Данные'!F2355</x:f>
        <x:v>0</x:v>
      </x:c>
      <x:c r="H2355" s="8" t="n">
        <x:f>SUM('Данные'!H2355:I2355)</x:f>
        <x:v>430</x:v>
      </x:c>
      <x:c r="I2355" s="16" t="n">
        <x:f>IF(H2355&gt;0,G2355/H2355,"n.a.")</x:f>
        <x:v>0</x:v>
      </x:c>
      <x:c r="J2355" s="10" t="str">
        <x:f>IF('Данные'!E2355&gt;0,G2355/'Данные'!E2355,"n.a.")</x:f>
        <x:v>n.a.</x:v>
      </x:c>
      <x:c r="K2355" s="1" t="str">
        <x:f>IF(G2355&gt;='Дашборд'!$C$51,"X","Z")</x:f>
        <x:v>Z</x:v>
      </x:c>
      <x:c r="L2355" s="1" t="str">
        <x:f>IF(H2355=0,IF(G2355&gt;0,"Нет остатка","Нет спроса"),IF(I2355&gt;='Дашборд'!$C$52,"Быстрый","Медленный"))</x:f>
        <x:v>Медленный</x:v>
      </x:c>
      <x:c r="M2355" s="1" t="str">
        <x:f>IF('Данные'!E2355&lt;'Дашборд'!$C$53,"Мало трафика",IF(J2355&lt;'Дашборд'!$C$9*'Дашборд'!$C$54,"Да","Нет"))</x:f>
        <x:v>Мало трафика</x:v>
      </x:c>
      <x:c r="N2355" s="1" t="str">
        <x:f>IF(AND('Данные'!D2355&gt;='Дашборд'!$C$55,D2355&lt;'Дашборд'!$C$56,'Данные'!E2355&gt;='Дашборд'!$C$53,'Данные'!L2355&lt;&gt;"Да"),"Да","Нет")</x:f>
        <x:v>Нет</x:v>
      </x:c>
      <x:c r="O2355" s="1" t="str">
        <x:f>'Данные'!L2355</x:f>
        <x:v>Нет</x:v>
      </x:c>
    </x:row>
    <x:row r="2356">
      <x:c r="A2356" s="1" t="str">
        <x:f>'Данные'!A2356</x:f>
        <x:v>361828242</x:v>
      </x:c>
      <x:c r="B2356" s="1" t="str">
        <x:f>'Данные'!B2356</x:f>
        <x:v>futbolkahlopboy/черный</x:v>
      </x:c>
      <x:c r="C2356" s="8" t="n">
        <x:f>'Данные'!G2356</x:f>
        <x:v>0</x:v>
      </x:c>
      <x:c r="D2356" s="15" t="n">
        <x:f>C2356/SUM($C$5:$C$2477)</x:f>
        <x:v>0</x:v>
      </x:c>
      <x:c r="E2356" s="15" t="n">
        <x:f>SUM($D$5:D2356)</x:f>
        <x:v>1.0000000000000036</x:v>
      </x:c>
      <x:c r="F2356" s="1" t="str">
        <x:f>IF(C2356&lt;=0,"C",IF(E2356-D2356&lt;'Дашборд'!$C$49,"A",IF(E2356-D2356&lt;'Дашборд'!$C$50,"B","C")))</x:f>
        <x:v>C</x:v>
      </x:c>
      <x:c r="G2356" s="8" t="n">
        <x:f>'Данные'!F2356</x:f>
        <x:v>0</x:v>
      </x:c>
      <x:c r="H2356" s="8" t="n">
        <x:f>SUM('Данные'!H2356:I2356)</x:f>
        <x:v>0</x:v>
      </x:c>
      <x:c r="I2356" s="16" t="str">
        <x:f>IF(H2356&gt;0,G2356/H2356,"n.a.")</x:f>
        <x:v>n.a.</x:v>
      </x:c>
      <x:c r="J2356" s="10" t="str">
        <x:f>IF('Данные'!E2356&gt;0,G2356/'Данные'!E2356,"n.a.")</x:f>
        <x:v>n.a.</x:v>
      </x:c>
      <x:c r="K2356" s="1" t="str">
        <x:f>IF(G2356&gt;='Дашборд'!$C$51,"X","Z")</x:f>
        <x:v>Z</x:v>
      </x:c>
      <x:c r="L2356" s="1" t="str">
        <x:f>IF(H2356=0,IF(G2356&gt;0,"Нет остатка","Нет спроса"),IF(I2356&gt;='Дашборд'!$C$52,"Быстрый","Медленный"))</x:f>
        <x:v>Нет спроса</x:v>
      </x:c>
      <x:c r="M2356" s="1" t="str">
        <x:f>IF('Данные'!E2356&lt;'Дашборд'!$C$53,"Мало трафика",IF(J2356&lt;'Дашборд'!$C$9*'Дашборд'!$C$54,"Да","Нет"))</x:f>
        <x:v>Мало трафика</x:v>
      </x:c>
      <x:c r="N2356" s="1" t="str">
        <x:f>IF(AND('Данные'!D2356&gt;='Дашборд'!$C$55,D2356&lt;'Дашборд'!$C$56,'Данные'!E2356&gt;='Дашборд'!$C$53,'Данные'!L2356&lt;&gt;"Да"),"Да","Нет")</x:f>
        <x:v>Нет</x:v>
      </x:c>
      <x:c r="O2356" s="1" t="str">
        <x:f>'Данные'!L2356</x:f>
        <x:v>Нет</x:v>
      </x:c>
    </x:row>
    <x:row r="2357">
      <x:c r="A2357" s="1" t="str">
        <x:f>'Данные'!A2357</x:f>
        <x:v>361844090</x:v>
      </x:c>
      <x:c r="B2357" s="1" t="str">
        <x:f>'Данные'!B2357</x:f>
        <x:v>svitzipprint3P-S-5/Riding-317/коричневый</x:v>
      </x:c>
      <x:c r="C2357" s="8" t="n">
        <x:f>'Данные'!G2357</x:f>
        <x:v>0</x:v>
      </x:c>
      <x:c r="D2357" s="15" t="n">
        <x:f>C2357/SUM($C$5:$C$2477)</x:f>
        <x:v>0</x:v>
      </x:c>
      <x:c r="E2357" s="15" t="n">
        <x:f>SUM($D$5:D2357)</x:f>
        <x:v>1.0000000000000036</x:v>
      </x:c>
      <x:c r="F2357" s="1" t="str">
        <x:f>IF(C2357&lt;=0,"C",IF(E2357-D2357&lt;'Дашборд'!$C$49,"A",IF(E2357-D2357&lt;'Дашборд'!$C$50,"B","C")))</x:f>
        <x:v>C</x:v>
      </x:c>
      <x:c r="G2357" s="8" t="n">
        <x:f>'Данные'!F2357</x:f>
        <x:v>0</x:v>
      </x:c>
      <x:c r="H2357" s="8" t="n">
        <x:f>SUM('Данные'!H2357:I2357)</x:f>
        <x:v>0</x:v>
      </x:c>
      <x:c r="I2357" s="16" t="str">
        <x:f>IF(H2357&gt;0,G2357/H2357,"n.a.")</x:f>
        <x:v>n.a.</x:v>
      </x:c>
      <x:c r="J2357" s="10" t="n">
        <x:f>IF('Данные'!E2357&gt;0,G2357/'Данные'!E2357,"n.a.")</x:f>
        <x:v>0</x:v>
      </x:c>
      <x:c r="K2357" s="1" t="str">
        <x:f>IF(G2357&gt;='Дашборд'!$C$51,"X","Z")</x:f>
        <x:v>Z</x:v>
      </x:c>
      <x:c r="L2357" s="1" t="str">
        <x:f>IF(H2357=0,IF(G2357&gt;0,"Нет остатка","Нет спроса"),IF(I2357&gt;='Дашборд'!$C$52,"Быстрый","Медленный"))</x:f>
        <x:v>Нет спроса</x:v>
      </x:c>
      <x:c r="M2357" s="1" t="str">
        <x:f>IF('Данные'!E2357&lt;'Дашборд'!$C$53,"Мало трафика",IF(J2357&lt;'Дашборд'!$C$9*'Дашборд'!$C$54,"Да","Нет"))</x:f>
        <x:v>Мало трафика</x:v>
      </x:c>
      <x:c r="N2357" s="1" t="str">
        <x:f>IF(AND('Данные'!D2357&gt;='Дашборд'!$C$55,D2357&lt;'Дашборд'!$C$56,'Данные'!E2357&gt;='Дашборд'!$C$53,'Данные'!L2357&lt;&gt;"Да"),"Да","Нет")</x:f>
        <x:v>Нет</x:v>
      </x:c>
      <x:c r="O2357" s="1" t="str">
        <x:f>'Данные'!L2357</x:f>
        <x:v>Нет</x:v>
      </x:c>
    </x:row>
    <x:row r="2358">
      <x:c r="A2358" s="1" t="str">
        <x:f>'Данные'!A2358</x:f>
        <x:v>361846364</x:v>
      </x:c>
      <x:c r="B2358" s="1" t="str">
        <x:f>'Данные'!B2358</x:f>
        <x:v>kulirkamanprint/Quiet-320/коричневый</x:v>
      </x:c>
      <x:c r="C2358" s="8" t="n">
        <x:f>'Данные'!G2358</x:f>
        <x:v>0</x:v>
      </x:c>
      <x:c r="D2358" s="15" t="n">
        <x:f>C2358/SUM($C$5:$C$2477)</x:f>
        <x:v>0</x:v>
      </x:c>
      <x:c r="E2358" s="15" t="n">
        <x:f>SUM($D$5:D2358)</x:f>
        <x:v>1.0000000000000036</x:v>
      </x:c>
      <x:c r="F2358" s="1" t="str">
        <x:f>IF(C2358&lt;=0,"C",IF(E2358-D2358&lt;'Дашборд'!$C$49,"A",IF(E2358-D2358&lt;'Дашборд'!$C$50,"B","C")))</x:f>
        <x:v>C</x:v>
      </x:c>
      <x:c r="G2358" s="8" t="n">
        <x:f>'Данные'!F2358</x:f>
        <x:v>0</x:v>
      </x:c>
      <x:c r="H2358" s="8" t="n">
        <x:f>SUM('Данные'!H2358:I2358)</x:f>
        <x:v>0</x:v>
      </x:c>
      <x:c r="I2358" s="16" t="str">
        <x:f>IF(H2358&gt;0,G2358/H2358,"n.a.")</x:f>
        <x:v>n.a.</x:v>
      </x:c>
      <x:c r="J2358" s="10" t="str">
        <x:f>IF('Данные'!E2358&gt;0,G2358/'Данные'!E2358,"n.a.")</x:f>
        <x:v>n.a.</x:v>
      </x:c>
      <x:c r="K2358" s="1" t="str">
        <x:f>IF(G2358&gt;='Дашборд'!$C$51,"X","Z")</x:f>
        <x:v>Z</x:v>
      </x:c>
      <x:c r="L2358" s="1" t="str">
        <x:f>IF(H2358=0,IF(G2358&gt;0,"Нет остатка","Нет спроса"),IF(I2358&gt;='Дашборд'!$C$52,"Быстрый","Медленный"))</x:f>
        <x:v>Нет спроса</x:v>
      </x:c>
      <x:c r="M2358" s="1" t="str">
        <x:f>IF('Данные'!E2358&lt;'Дашборд'!$C$53,"Мало трафика",IF(J2358&lt;'Дашборд'!$C$9*'Дашборд'!$C$54,"Да","Нет"))</x:f>
        <x:v>Мало трафика</x:v>
      </x:c>
      <x:c r="N2358" s="1" t="str">
        <x:f>IF(AND('Данные'!D2358&gt;='Дашборд'!$C$55,D2358&lt;'Дашборд'!$C$56,'Данные'!E2358&gt;='Дашборд'!$C$53,'Данные'!L2358&lt;&gt;"Да"),"Да","Нет")</x:f>
        <x:v>Нет</x:v>
      </x:c>
      <x:c r="O2358" s="1" t="str">
        <x:f>'Данные'!L2358</x:f>
        <x:v>Нет</x:v>
      </x:c>
    </x:row>
    <x:row r="2359">
      <x:c r="A2359" s="1" t="str">
        <x:f>'Данные'!A2359</x:f>
        <x:v>368704660</x:v>
      </x:c>
      <x:c r="B2359" s="1" t="str">
        <x:f>'Данные'!B2359</x:f>
        <x:v>futskimsX2/мол-бор</x:v>
      </x:c>
      <x:c r="C2359" s="8" t="n">
        <x:f>'Данные'!G2359</x:f>
        <x:v>0</x:v>
      </x:c>
      <x:c r="D2359" s="15" t="n">
        <x:f>C2359/SUM($C$5:$C$2477)</x:f>
        <x:v>0</x:v>
      </x:c>
      <x:c r="E2359" s="15" t="n">
        <x:f>SUM($D$5:D2359)</x:f>
        <x:v>1.0000000000000036</x:v>
      </x:c>
      <x:c r="F2359" s="1" t="str">
        <x:f>IF(C2359&lt;=0,"C",IF(E2359-D2359&lt;'Дашборд'!$C$49,"A",IF(E2359-D2359&lt;'Дашборд'!$C$50,"B","C")))</x:f>
        <x:v>C</x:v>
      </x:c>
      <x:c r="G2359" s="8" t="n">
        <x:f>'Данные'!F2359</x:f>
        <x:v>0</x:v>
      </x:c>
      <x:c r="H2359" s="8" t="n">
        <x:f>SUM('Данные'!H2359:I2359)</x:f>
        <x:v>0</x:v>
      </x:c>
      <x:c r="I2359" s="16" t="str">
        <x:f>IF(H2359&gt;0,G2359/H2359,"n.a.")</x:f>
        <x:v>n.a.</x:v>
      </x:c>
      <x:c r="J2359" s="10" t="n">
        <x:f>IF('Данные'!E2359&gt;0,G2359/'Данные'!E2359,"n.a.")</x:f>
        <x:v>0</x:v>
      </x:c>
      <x:c r="K2359" s="1" t="str">
        <x:f>IF(G2359&gt;='Дашборд'!$C$51,"X","Z")</x:f>
        <x:v>Z</x:v>
      </x:c>
      <x:c r="L2359" s="1" t="str">
        <x:f>IF(H2359=0,IF(G2359&gt;0,"Нет остатка","Нет спроса"),IF(I2359&gt;='Дашборд'!$C$52,"Быстрый","Медленный"))</x:f>
        <x:v>Нет спроса</x:v>
      </x:c>
      <x:c r="M2359" s="1" t="str">
        <x:f>IF('Данные'!E2359&lt;'Дашборд'!$C$53,"Мало трафика",IF(J2359&lt;'Дашборд'!$C$9*'Дашборд'!$C$54,"Да","Нет"))</x:f>
        <x:v>Мало трафика</x:v>
      </x:c>
      <x:c r="N2359" s="1" t="str">
        <x:f>IF(AND('Данные'!D2359&gt;='Дашборд'!$C$55,D2359&lt;'Дашборд'!$C$56,'Данные'!E2359&gt;='Дашборд'!$C$53,'Данные'!L2359&lt;&gt;"Да"),"Да","Нет")</x:f>
        <x:v>Нет</x:v>
      </x:c>
      <x:c r="O2359" s="1" t="str">
        <x:f>'Данные'!L2359</x:f>
        <x:v>Нет</x:v>
      </x:c>
    </x:row>
    <x:row r="2360">
      <x:c r="A2360" s="1" t="str">
        <x:f>'Данные'!A2360</x:f>
        <x:v>373723680</x:v>
      </x:c>
      <x:c r="B2360" s="1" t="str">
        <x:f>'Данные'!B2360</x:f>
        <x:v>bazakulgirl/графит</x:v>
      </x:c>
      <x:c r="C2360" s="8" t="n">
        <x:f>'Данные'!G2360</x:f>
        <x:v>0</x:v>
      </x:c>
      <x:c r="D2360" s="15" t="n">
        <x:f>C2360/SUM($C$5:$C$2477)</x:f>
        <x:v>0</x:v>
      </x:c>
      <x:c r="E2360" s="15" t="n">
        <x:f>SUM($D$5:D2360)</x:f>
        <x:v>1.0000000000000036</x:v>
      </x:c>
      <x:c r="F2360" s="1" t="str">
        <x:f>IF(C2360&lt;=0,"C",IF(E2360-D2360&lt;'Дашборд'!$C$49,"A",IF(E2360-D2360&lt;'Дашборд'!$C$50,"B","C")))</x:f>
        <x:v>C</x:v>
      </x:c>
      <x:c r="G2360" s="8" t="n">
        <x:f>'Данные'!F2360</x:f>
        <x:v>1</x:v>
      </x:c>
      <x:c r="H2360" s="8" t="n">
        <x:f>SUM('Данные'!H2360:I2360)</x:f>
        <x:v>50</x:v>
      </x:c>
      <x:c r="I2360" s="16" t="n">
        <x:f>IF(H2360&gt;0,G2360/H2360,"n.a.")</x:f>
        <x:v>0.02</x:v>
      </x:c>
      <x:c r="J2360" s="10" t="n">
        <x:f>IF('Данные'!E2360&gt;0,G2360/'Данные'!E2360,"n.a.")</x:f>
        <x:v>0.001072961373390558</x:v>
      </x:c>
      <x:c r="K2360" s="1" t="str">
        <x:f>IF(G2360&gt;='Дашборд'!$C$51,"X","Z")</x:f>
        <x:v>Z</x:v>
      </x:c>
      <x:c r="L2360" s="1" t="str">
        <x:f>IF(H2360=0,IF(G2360&gt;0,"Нет остатка","Нет спроса"),IF(I2360&gt;='Дашборд'!$C$52,"Быстрый","Медленный"))</x:f>
        <x:v>Медленный</x:v>
      </x:c>
      <x:c r="M2360" s="1" t="str">
        <x:f>IF('Данные'!E2360&lt;'Дашборд'!$C$53,"Мало трафика",IF(J2360&lt;'Дашборд'!$C$9*'Дашборд'!$C$54,"Да","Нет"))</x:f>
        <x:v>Мало трафика</x:v>
      </x:c>
      <x:c r="N2360" s="1" t="str">
        <x:f>IF(AND('Данные'!D2360&gt;='Дашборд'!$C$55,D2360&lt;'Дашборд'!$C$56,'Данные'!E2360&gt;='Дашборд'!$C$53,'Данные'!L2360&lt;&gt;"Да"),"Да","Нет")</x:f>
        <x:v>Нет</x:v>
      </x:c>
      <x:c r="O2360" s="1" t="str">
        <x:f>'Данные'!L2360</x:f>
        <x:v>Нет</x:v>
      </x:c>
    </x:row>
    <x:row r="2361">
      <x:c r="A2361" s="1" t="str">
        <x:f>'Данные'!A2361</x:f>
        <x:v>379285869</x:v>
      </x:c>
      <x:c r="B2361" s="1" t="str">
        <x:f>'Данные'!B2361</x:f>
        <x:v>polovyaz/темно-серый</x:v>
      </x:c>
      <x:c r="C2361" s="8" t="n">
        <x:f>'Данные'!G2361</x:f>
        <x:v>0</x:v>
      </x:c>
      <x:c r="D2361" s="15" t="n">
        <x:f>C2361/SUM($C$5:$C$2477)</x:f>
        <x:v>0</x:v>
      </x:c>
      <x:c r="E2361" s="15" t="n">
        <x:f>SUM($D$5:D2361)</x:f>
        <x:v>1.0000000000000036</x:v>
      </x:c>
      <x:c r="F2361" s="1" t="str">
        <x:f>IF(C2361&lt;=0,"C",IF(E2361-D2361&lt;'Дашборд'!$C$49,"A",IF(E2361-D2361&lt;'Дашборд'!$C$50,"B","C")))</x:f>
        <x:v>C</x:v>
      </x:c>
      <x:c r="G2361" s="8" t="n">
        <x:f>'Данные'!F2361</x:f>
        <x:v>0</x:v>
      </x:c>
      <x:c r="H2361" s="8" t="n">
        <x:f>SUM('Данные'!H2361:I2361)</x:f>
        <x:v>339</x:v>
      </x:c>
      <x:c r="I2361" s="16" t="n">
        <x:f>IF(H2361&gt;0,G2361/H2361,"n.a.")</x:f>
        <x:v>0</x:v>
      </x:c>
      <x:c r="J2361" s="10" t="n">
        <x:f>IF('Данные'!E2361&gt;0,G2361/'Данные'!E2361,"n.a.")</x:f>
        <x:v>0</x:v>
      </x:c>
      <x:c r="K2361" s="1" t="str">
        <x:f>IF(G2361&gt;='Дашборд'!$C$51,"X","Z")</x:f>
        <x:v>Z</x:v>
      </x:c>
      <x:c r="L2361" s="1" t="str">
        <x:f>IF(H2361=0,IF(G2361&gt;0,"Нет остатка","Нет спроса"),IF(I2361&gt;='Дашборд'!$C$52,"Быстрый","Медленный"))</x:f>
        <x:v>Медленный</x:v>
      </x:c>
      <x:c r="M2361" s="1" t="str">
        <x:f>IF('Данные'!E2361&lt;'Дашборд'!$C$53,"Мало трафика",IF(J2361&lt;'Дашборд'!$C$9*'Дашборд'!$C$54,"Да","Нет"))</x:f>
        <x:v>Да</x:v>
      </x:c>
      <x:c r="N2361" s="1" t="str">
        <x:f>IF(AND('Данные'!D2361&gt;='Дашборд'!$C$55,D2361&lt;'Дашборд'!$C$56,'Данные'!E2361&gt;='Дашборд'!$C$53,'Данные'!L2361&lt;&gt;"Да"),"Да","Нет")</x:f>
        <x:v>Нет</x:v>
      </x:c>
      <x:c r="O2361" s="1" t="str">
        <x:f>'Данные'!L2361</x:f>
        <x:v>Нет</x:v>
      </x:c>
    </x:row>
    <x:row r="2362">
      <x:c r="A2362" s="1" t="str">
        <x:f>'Данные'!A2362</x:f>
        <x:v>379285871</x:v>
      </x:c>
      <x:c r="B2362" s="1" t="str">
        <x:f>'Данные'!B2362</x:f>
        <x:v>polovyaz/черный</x:v>
      </x:c>
      <x:c r="C2362" s="8" t="n">
        <x:f>'Данные'!G2362</x:f>
        <x:v>0</x:v>
      </x:c>
      <x:c r="D2362" s="15" t="n">
        <x:f>C2362/SUM($C$5:$C$2477)</x:f>
        <x:v>0</x:v>
      </x:c>
      <x:c r="E2362" s="15" t="n">
        <x:f>SUM($D$5:D2362)</x:f>
        <x:v>1.0000000000000036</x:v>
      </x:c>
      <x:c r="F2362" s="1" t="str">
        <x:f>IF(C2362&lt;=0,"C",IF(E2362-D2362&lt;'Дашборд'!$C$49,"A",IF(E2362-D2362&lt;'Дашборд'!$C$50,"B","C")))</x:f>
        <x:v>C</x:v>
      </x:c>
      <x:c r="G2362" s="8" t="n">
        <x:f>'Данные'!F2362</x:f>
        <x:v>2</x:v>
      </x:c>
      <x:c r="H2362" s="8" t="n">
        <x:f>SUM('Данные'!H2362:I2362)</x:f>
        <x:v>492</x:v>
      </x:c>
      <x:c r="I2362" s="16" t="n">
        <x:f>IF(H2362&gt;0,G2362/H2362,"n.a.")</x:f>
        <x:v>0.0040650406504065045</x:v>
      </x:c>
      <x:c r="J2362" s="10" t="n">
        <x:f>IF('Данные'!E2362&gt;0,G2362/'Данные'!E2362,"n.a.")</x:f>
        <x:v>0.0007849293563579278</x:v>
      </x:c>
      <x:c r="K2362" s="1" t="str">
        <x:f>IF(G2362&gt;='Дашборд'!$C$51,"X","Z")</x:f>
        <x:v>Z</x:v>
      </x:c>
      <x:c r="L2362" s="1" t="str">
        <x:f>IF(H2362=0,IF(G2362&gt;0,"Нет остатка","Нет спроса"),IF(I2362&gt;='Дашборд'!$C$52,"Быстрый","Медленный"))</x:f>
        <x:v>Медленный</x:v>
      </x:c>
      <x:c r="M2362" s="1" t="str">
        <x:f>IF('Данные'!E2362&lt;'Дашборд'!$C$53,"Мало трафика",IF(J2362&lt;'Дашборд'!$C$9*'Дашборд'!$C$54,"Да","Нет"))</x:f>
        <x:v>Да</x:v>
      </x:c>
      <x:c r="N2362" s="1" t="str">
        <x:f>IF(AND('Данные'!D2362&gt;='Дашборд'!$C$55,D2362&lt;'Дашборд'!$C$56,'Данные'!E2362&gt;='Дашборд'!$C$53,'Данные'!L2362&lt;&gt;"Да"),"Да","Нет")</x:f>
        <x:v>Нет</x:v>
      </x:c>
      <x:c r="O2362" s="1" t="str">
        <x:f>'Данные'!L2362</x:f>
        <x:v>Нет</x:v>
      </x:c>
    </x:row>
    <x:row r="2363">
      <x:c r="A2363" s="1" t="str">
        <x:f>'Данные'!A2363</x:f>
        <x:v>379285873</x:v>
      </x:c>
      <x:c r="B2363" s="1" t="str">
        <x:f>'Данные'!B2363</x:f>
        <x:v>polovyaz/коричневый</x:v>
      </x:c>
      <x:c r="C2363" s="8" t="n">
        <x:f>'Данные'!G2363</x:f>
        <x:v>0</x:v>
      </x:c>
      <x:c r="D2363" s="15" t="n">
        <x:f>C2363/SUM($C$5:$C$2477)</x:f>
        <x:v>0</x:v>
      </x:c>
      <x:c r="E2363" s="15" t="n">
        <x:f>SUM($D$5:D2363)</x:f>
        <x:v>1.0000000000000036</x:v>
      </x:c>
      <x:c r="F2363" s="1" t="str">
        <x:f>IF(C2363&lt;=0,"C",IF(E2363-D2363&lt;'Дашборд'!$C$49,"A",IF(E2363-D2363&lt;'Дашборд'!$C$50,"B","C")))</x:f>
        <x:v>C</x:v>
      </x:c>
      <x:c r="G2363" s="8" t="n">
        <x:f>'Данные'!F2363</x:f>
        <x:v>0</x:v>
      </x:c>
      <x:c r="H2363" s="8" t="n">
        <x:f>SUM('Данные'!H2363:I2363)</x:f>
        <x:v>337</x:v>
      </x:c>
      <x:c r="I2363" s="16" t="n">
        <x:f>IF(H2363&gt;0,G2363/H2363,"n.a.")</x:f>
        <x:v>0</x:v>
      </x:c>
      <x:c r="J2363" s="10" t="n">
        <x:f>IF('Данные'!E2363&gt;0,G2363/'Данные'!E2363,"n.a.")</x:f>
        <x:v>0</x:v>
      </x:c>
      <x:c r="K2363" s="1" t="str">
        <x:f>IF(G2363&gt;='Дашборд'!$C$51,"X","Z")</x:f>
        <x:v>Z</x:v>
      </x:c>
      <x:c r="L2363" s="1" t="str">
        <x:f>IF(H2363=0,IF(G2363&gt;0,"Нет остатка","Нет спроса"),IF(I2363&gt;='Дашборд'!$C$52,"Быстрый","Медленный"))</x:f>
        <x:v>Медленный</x:v>
      </x:c>
      <x:c r="M2363" s="1" t="str">
        <x:f>IF('Данные'!E2363&lt;'Дашборд'!$C$53,"Мало трафика",IF(J2363&lt;'Дашборд'!$C$9*'Дашборд'!$C$54,"Да","Нет"))</x:f>
        <x:v>Да</x:v>
      </x:c>
      <x:c r="N2363" s="1" t="str">
        <x:f>IF(AND('Данные'!D2363&gt;='Дашборд'!$C$55,D2363&lt;'Дашборд'!$C$56,'Данные'!E2363&gt;='Дашборд'!$C$53,'Данные'!L2363&lt;&gt;"Да"),"Да","Нет")</x:f>
        <x:v>Нет</x:v>
      </x:c>
      <x:c r="O2363" s="1" t="str">
        <x:f>'Данные'!L2363</x:f>
        <x:v>Нет</x:v>
      </x:c>
    </x:row>
    <x:row r="2364">
      <x:c r="A2364" s="1" t="str">
        <x:f>'Данные'!A2364</x:f>
        <x:v>387341092</x:v>
      </x:c>
      <x:c r="B2364" s="1" t="str">
        <x:f>'Данные'!B2364</x:f>
        <x:v>futskims3K-102/серый</x:v>
      </x:c>
      <x:c r="C2364" s="8" t="n">
        <x:f>'Данные'!G2364</x:f>
        <x:v>0</x:v>
      </x:c>
      <x:c r="D2364" s="15" t="n">
        <x:f>C2364/SUM($C$5:$C$2477)</x:f>
        <x:v>0</x:v>
      </x:c>
      <x:c r="E2364" s="15" t="n">
        <x:f>SUM($D$5:D2364)</x:f>
        <x:v>1.0000000000000036</x:v>
      </x:c>
      <x:c r="F2364" s="1" t="str">
        <x:f>IF(C2364&lt;=0,"C",IF(E2364-D2364&lt;'Дашборд'!$C$49,"A",IF(E2364-D2364&lt;'Дашборд'!$C$50,"B","C")))</x:f>
        <x:v>C</x:v>
      </x:c>
      <x:c r="G2364" s="8" t="n">
        <x:f>'Данные'!F2364</x:f>
        <x:v>1</x:v>
      </x:c>
      <x:c r="H2364" s="8" t="n">
        <x:f>SUM('Данные'!H2364:I2364)</x:f>
        <x:v>0</x:v>
      </x:c>
      <x:c r="I2364" s="16" t="str">
        <x:f>IF(H2364&gt;0,G2364/H2364,"n.a.")</x:f>
        <x:v>n.a.</x:v>
      </x:c>
      <x:c r="J2364" s="10" t="n">
        <x:f>IF('Данные'!E2364&gt;0,G2364/'Данные'!E2364,"n.a.")</x:f>
        <x:v>0.00038095238095238096</x:v>
      </x:c>
      <x:c r="K2364" s="1" t="str">
        <x:f>IF(G2364&gt;='Дашборд'!$C$51,"X","Z")</x:f>
        <x:v>Z</x:v>
      </x:c>
      <x:c r="L2364" s="1" t="str">
        <x:f>IF(H2364=0,IF(G2364&gt;0,"Нет остатка","Нет спроса"),IF(I2364&gt;='Дашборд'!$C$52,"Быстрый","Медленный"))</x:f>
        <x:v>Нет остатка</x:v>
      </x:c>
      <x:c r="M2364" s="1" t="str">
        <x:f>IF('Данные'!E2364&lt;'Дашборд'!$C$53,"Мало трафика",IF(J2364&lt;'Дашборд'!$C$9*'Дашборд'!$C$54,"Да","Нет"))</x:f>
        <x:v>Да</x:v>
      </x:c>
      <x:c r="N2364" s="1" t="str">
        <x:f>IF(AND('Данные'!D2364&gt;='Дашборд'!$C$55,D2364&lt;'Дашборд'!$C$56,'Данные'!E2364&gt;='Дашборд'!$C$53,'Данные'!L2364&lt;&gt;"Да"),"Да","Нет")</x:f>
        <x:v>Нет</x:v>
      </x:c>
      <x:c r="O2364" s="1" t="str">
        <x:f>'Данные'!L2364</x:f>
        <x:v>Нет</x:v>
      </x:c>
    </x:row>
    <x:row r="2365">
      <x:c r="A2365" s="1" t="str">
        <x:f>'Данные'!A2365</x:f>
        <x:v>388856444</x:v>
      </x:c>
      <x:c r="B2365" s="1" t="str">
        <x:f>'Данные'!B2365</x:f>
        <x:v>svitshotdvoynoy/песочный</x:v>
      </x:c>
      <x:c r="C2365" s="8" t="n">
        <x:f>'Данные'!G2365</x:f>
        <x:v>0</x:v>
      </x:c>
      <x:c r="D2365" s="15" t="n">
        <x:f>C2365/SUM($C$5:$C$2477)</x:f>
        <x:v>0</x:v>
      </x:c>
      <x:c r="E2365" s="15" t="n">
        <x:f>SUM($D$5:D2365)</x:f>
        <x:v>1.0000000000000036</x:v>
      </x:c>
      <x:c r="F2365" s="1" t="str">
        <x:f>IF(C2365&lt;=0,"C",IF(E2365-D2365&lt;'Дашборд'!$C$49,"A",IF(E2365-D2365&lt;'Дашборд'!$C$50,"B","C")))</x:f>
        <x:v>C</x:v>
      </x:c>
      <x:c r="G2365" s="8" t="n">
        <x:f>'Данные'!F2365</x:f>
        <x:v>0</x:v>
      </x:c>
      <x:c r="H2365" s="8" t="n">
        <x:f>SUM('Данные'!H2365:I2365)</x:f>
        <x:v>13</x:v>
      </x:c>
      <x:c r="I2365" s="16" t="n">
        <x:f>IF(H2365&gt;0,G2365/H2365,"n.a.")</x:f>
        <x:v>0</x:v>
      </x:c>
      <x:c r="J2365" s="10" t="str">
        <x:f>IF('Данные'!E2365&gt;0,G2365/'Данные'!E2365,"n.a.")</x:f>
        <x:v>n.a.</x:v>
      </x:c>
      <x:c r="K2365" s="1" t="str">
        <x:f>IF(G2365&gt;='Дашборд'!$C$51,"X","Z")</x:f>
        <x:v>Z</x:v>
      </x:c>
      <x:c r="L2365" s="1" t="str">
        <x:f>IF(H2365=0,IF(G2365&gt;0,"Нет остатка","Нет спроса"),IF(I2365&gt;='Дашборд'!$C$52,"Быстрый","Медленный"))</x:f>
        <x:v>Медленный</x:v>
      </x:c>
      <x:c r="M2365" s="1" t="str">
        <x:f>IF('Данные'!E2365&lt;'Дашборд'!$C$53,"Мало трафика",IF(J2365&lt;'Дашборд'!$C$9*'Дашборд'!$C$54,"Да","Нет"))</x:f>
        <x:v>Мало трафика</x:v>
      </x:c>
      <x:c r="N2365" s="1" t="str">
        <x:f>IF(AND('Данные'!D2365&gt;='Дашборд'!$C$55,D2365&lt;'Дашборд'!$C$56,'Данные'!E2365&gt;='Дашборд'!$C$53,'Данные'!L2365&lt;&gt;"Да"),"Да","Нет")</x:f>
        <x:v>Нет</x:v>
      </x:c>
      <x:c r="O2365" s="1" t="str">
        <x:f>'Данные'!L2365</x:f>
        <x:v>Нет</x:v>
      </x:c>
    </x:row>
    <x:row r="2366">
      <x:c r="A2366" s="1" t="str">
        <x:f>'Данные'!A2366</x:f>
        <x:v>388856445</x:v>
      </x:c>
      <x:c r="B2366" s="1" t="str">
        <x:f>'Данные'!B2366</x:f>
        <x:v>svitshotdvoynoy/светло-розовый</x:v>
      </x:c>
      <x:c r="C2366" s="8" t="n">
        <x:f>'Данные'!G2366</x:f>
        <x:v>0</x:v>
      </x:c>
      <x:c r="D2366" s="15" t="n">
        <x:f>C2366/SUM($C$5:$C$2477)</x:f>
        <x:v>0</x:v>
      </x:c>
      <x:c r="E2366" s="15" t="n">
        <x:f>SUM($D$5:D2366)</x:f>
        <x:v>1.0000000000000036</x:v>
      </x:c>
      <x:c r="F2366" s="1" t="str">
        <x:f>IF(C2366&lt;=0,"C",IF(E2366-D2366&lt;'Дашборд'!$C$49,"A",IF(E2366-D2366&lt;'Дашборд'!$C$50,"B","C")))</x:f>
        <x:v>C</x:v>
      </x:c>
      <x:c r="G2366" s="8" t="n">
        <x:f>'Данные'!F2366</x:f>
        <x:v>0</x:v>
      </x:c>
      <x:c r="H2366" s="8" t="n">
        <x:f>SUM('Данные'!H2366:I2366)</x:f>
        <x:v>4</x:v>
      </x:c>
      <x:c r="I2366" s="16" t="n">
        <x:f>IF(H2366&gt;0,G2366/H2366,"n.a.")</x:f>
        <x:v>0</x:v>
      </x:c>
      <x:c r="J2366" s="10" t="str">
        <x:f>IF('Данные'!E2366&gt;0,G2366/'Данные'!E2366,"n.a.")</x:f>
        <x:v>n.a.</x:v>
      </x:c>
      <x:c r="K2366" s="1" t="str">
        <x:f>IF(G2366&gt;='Дашборд'!$C$51,"X","Z")</x:f>
        <x:v>Z</x:v>
      </x:c>
      <x:c r="L2366" s="1" t="str">
        <x:f>IF(H2366=0,IF(G2366&gt;0,"Нет остатка","Нет спроса"),IF(I2366&gt;='Дашборд'!$C$52,"Быстрый","Медленный"))</x:f>
        <x:v>Медленный</x:v>
      </x:c>
      <x:c r="M2366" s="1" t="str">
        <x:f>IF('Данные'!E2366&lt;'Дашборд'!$C$53,"Мало трафика",IF(J2366&lt;'Дашборд'!$C$9*'Дашборд'!$C$54,"Да","Нет"))</x:f>
        <x:v>Мало трафика</x:v>
      </x:c>
      <x:c r="N2366" s="1" t="str">
        <x:f>IF(AND('Данные'!D2366&gt;='Дашборд'!$C$55,D2366&lt;'Дашборд'!$C$56,'Данные'!E2366&gt;='Дашборд'!$C$53,'Данные'!L2366&lt;&gt;"Да"),"Да","Нет")</x:f>
        <x:v>Нет</x:v>
      </x:c>
      <x:c r="O2366" s="1" t="str">
        <x:f>'Данные'!L2366</x:f>
        <x:v>Нет</x:v>
      </x:c>
    </x:row>
    <x:row r="2367">
      <x:c r="A2367" s="1" t="str">
        <x:f>'Данные'!A2367</x:f>
        <x:v>391171534</x:v>
      </x:c>
      <x:c r="B2367" s="1" t="str">
        <x:f>'Данные'!B2367</x:f>
        <x:v>brukizshp3P-S-1bk/молочный</x:v>
      </x:c>
      <x:c r="C2367" s="8" t="n">
        <x:f>'Данные'!G2367</x:f>
        <x:v>0</x:v>
      </x:c>
      <x:c r="D2367" s="15" t="n">
        <x:f>C2367/SUM($C$5:$C$2477)</x:f>
        <x:v>0</x:v>
      </x:c>
      <x:c r="E2367" s="15" t="n">
        <x:f>SUM($D$5:D2367)</x:f>
        <x:v>1.0000000000000036</x:v>
      </x:c>
      <x:c r="F2367" s="1" t="str">
        <x:f>IF(C2367&lt;=0,"C",IF(E2367-D2367&lt;'Дашборд'!$C$49,"A",IF(E2367-D2367&lt;'Дашборд'!$C$50,"B","C")))</x:f>
        <x:v>C</x:v>
      </x:c>
      <x:c r="G2367" s="8" t="n">
        <x:f>'Данные'!F2367</x:f>
        <x:v>0</x:v>
      </x:c>
      <x:c r="H2367" s="8" t="n">
        <x:f>SUM('Данные'!H2367:I2367)</x:f>
        <x:v>66</x:v>
      </x:c>
      <x:c r="I2367" s="16" t="n">
        <x:f>IF(H2367&gt;0,G2367/H2367,"n.a.")</x:f>
        <x:v>0</x:v>
      </x:c>
      <x:c r="J2367" s="10" t="str">
        <x:f>IF('Данные'!E2367&gt;0,G2367/'Данные'!E2367,"n.a.")</x:f>
        <x:v>n.a.</x:v>
      </x:c>
      <x:c r="K2367" s="1" t="str">
        <x:f>IF(G2367&gt;='Дашборд'!$C$51,"X","Z")</x:f>
        <x:v>Z</x:v>
      </x:c>
      <x:c r="L2367" s="1" t="str">
        <x:f>IF(H2367=0,IF(G2367&gt;0,"Нет остатка","Нет спроса"),IF(I2367&gt;='Дашборд'!$C$52,"Быстрый","Медленный"))</x:f>
        <x:v>Медленный</x:v>
      </x:c>
      <x:c r="M2367" s="1" t="str">
        <x:f>IF('Данные'!E2367&lt;'Дашборд'!$C$53,"Мало трафика",IF(J2367&lt;'Дашборд'!$C$9*'Дашборд'!$C$54,"Да","Нет"))</x:f>
        <x:v>Мало трафика</x:v>
      </x:c>
      <x:c r="N2367" s="1" t="str">
        <x:f>IF(AND('Данные'!D2367&gt;='Дашборд'!$C$55,D2367&lt;'Дашборд'!$C$56,'Данные'!E2367&gt;='Дашборд'!$C$53,'Данные'!L2367&lt;&gt;"Да"),"Да","Нет")</x:f>
        <x:v>Нет</x:v>
      </x:c>
      <x:c r="O2367" s="1" t="str">
        <x:f>'Данные'!L2367</x:f>
        <x:v>Нет</x:v>
      </x:c>
    </x:row>
    <x:row r="2368">
      <x:c r="A2368" s="1" t="str">
        <x:f>'Данные'!A2368</x:f>
        <x:v>391171535</x:v>
      </x:c>
      <x:c r="B2368" s="1" t="str">
        <x:f>'Данные'!B2368</x:f>
        <x:v>brukizshp3P-S-1bk/коричневый</x:v>
      </x:c>
      <x:c r="C2368" s="8" t="n">
        <x:f>'Данные'!G2368</x:f>
        <x:v>0</x:v>
      </x:c>
      <x:c r="D2368" s="15" t="n">
        <x:f>C2368/SUM($C$5:$C$2477)</x:f>
        <x:v>0</x:v>
      </x:c>
      <x:c r="E2368" s="15" t="n">
        <x:f>SUM($D$5:D2368)</x:f>
        <x:v>1.0000000000000036</x:v>
      </x:c>
      <x:c r="F2368" s="1" t="str">
        <x:f>IF(C2368&lt;=0,"C",IF(E2368-D2368&lt;'Дашборд'!$C$49,"A",IF(E2368-D2368&lt;'Дашборд'!$C$50,"B","C")))</x:f>
        <x:v>C</x:v>
      </x:c>
      <x:c r="G2368" s="8" t="n">
        <x:f>'Данные'!F2368</x:f>
        <x:v>0</x:v>
      </x:c>
      <x:c r="H2368" s="8" t="n">
        <x:f>SUM('Данные'!H2368:I2368)</x:f>
        <x:v>34</x:v>
      </x:c>
      <x:c r="I2368" s="16" t="n">
        <x:f>IF(H2368&gt;0,G2368/H2368,"n.a.")</x:f>
        <x:v>0</x:v>
      </x:c>
      <x:c r="J2368" s="10" t="str">
        <x:f>IF('Данные'!E2368&gt;0,G2368/'Данные'!E2368,"n.a.")</x:f>
        <x:v>n.a.</x:v>
      </x:c>
      <x:c r="K2368" s="1" t="str">
        <x:f>IF(G2368&gt;='Дашборд'!$C$51,"X","Z")</x:f>
        <x:v>Z</x:v>
      </x:c>
      <x:c r="L2368" s="1" t="str">
        <x:f>IF(H2368=0,IF(G2368&gt;0,"Нет остатка","Нет спроса"),IF(I2368&gt;='Дашборд'!$C$52,"Быстрый","Медленный"))</x:f>
        <x:v>Медленный</x:v>
      </x:c>
      <x:c r="M2368" s="1" t="str">
        <x:f>IF('Данные'!E2368&lt;'Дашборд'!$C$53,"Мало трафика",IF(J2368&lt;'Дашборд'!$C$9*'Дашборд'!$C$54,"Да","Нет"))</x:f>
        <x:v>Мало трафика</x:v>
      </x:c>
      <x:c r="N2368" s="1" t="str">
        <x:f>IF(AND('Данные'!D2368&gt;='Дашборд'!$C$55,D2368&lt;'Дашборд'!$C$56,'Данные'!E2368&gt;='Дашборд'!$C$53,'Данные'!L2368&lt;&gt;"Да"),"Да","Нет")</x:f>
        <x:v>Нет</x:v>
      </x:c>
      <x:c r="O2368" s="1" t="str">
        <x:f>'Данные'!L2368</x:f>
        <x:v>Нет</x:v>
      </x:c>
    </x:row>
    <x:row r="2369">
      <x:c r="A2369" s="1" t="str">
        <x:f>'Данные'!A2369</x:f>
        <x:v>391548467</x:v>
      </x:c>
      <x:c r="B2369" s="1" t="str">
        <x:f>'Данные'!B2369</x:f>
        <x:v>shtanyfixbk/светло-розовый</x:v>
      </x:c>
      <x:c r="C2369" s="8" t="n">
        <x:f>'Данные'!G2369</x:f>
        <x:v>0</x:v>
      </x:c>
      <x:c r="D2369" s="15" t="n">
        <x:f>C2369/SUM($C$5:$C$2477)</x:f>
        <x:v>0</x:v>
      </x:c>
      <x:c r="E2369" s="15" t="n">
        <x:f>SUM($D$5:D2369)</x:f>
        <x:v>1.0000000000000036</x:v>
      </x:c>
      <x:c r="F2369" s="1" t="str">
        <x:f>IF(C2369&lt;=0,"C",IF(E2369-D2369&lt;'Дашборд'!$C$49,"A",IF(E2369-D2369&lt;'Дашборд'!$C$50,"B","C")))</x:f>
        <x:v>C</x:v>
      </x:c>
      <x:c r="G2369" s="8" t="n">
        <x:f>'Данные'!F2369</x:f>
        <x:v>0</x:v>
      </x:c>
      <x:c r="H2369" s="8" t="n">
        <x:f>SUM('Данные'!H2369:I2369)</x:f>
        <x:v>46</x:v>
      </x:c>
      <x:c r="I2369" s="16" t="n">
        <x:f>IF(H2369&gt;0,G2369/H2369,"n.a.")</x:f>
        <x:v>0</x:v>
      </x:c>
      <x:c r="J2369" s="10" t="str">
        <x:f>IF('Данные'!E2369&gt;0,G2369/'Данные'!E2369,"n.a.")</x:f>
        <x:v>n.a.</x:v>
      </x:c>
      <x:c r="K2369" s="1" t="str">
        <x:f>IF(G2369&gt;='Дашборд'!$C$51,"X","Z")</x:f>
        <x:v>Z</x:v>
      </x:c>
      <x:c r="L2369" s="1" t="str">
        <x:f>IF(H2369=0,IF(G2369&gt;0,"Нет остатка","Нет спроса"),IF(I2369&gt;='Дашборд'!$C$52,"Быстрый","Медленный"))</x:f>
        <x:v>Медленный</x:v>
      </x:c>
      <x:c r="M2369" s="1" t="str">
        <x:f>IF('Данные'!E2369&lt;'Дашборд'!$C$53,"Мало трафика",IF(J2369&lt;'Дашборд'!$C$9*'Дашборд'!$C$54,"Да","Нет"))</x:f>
        <x:v>Мало трафика</x:v>
      </x:c>
      <x:c r="N2369" s="1" t="str">
        <x:f>IF(AND('Данные'!D2369&gt;='Дашборд'!$C$55,D2369&lt;'Дашборд'!$C$56,'Данные'!E2369&gt;='Дашборд'!$C$53,'Данные'!L2369&lt;&gt;"Да"),"Да","Нет")</x:f>
        <x:v>Нет</x:v>
      </x:c>
      <x:c r="O2369" s="1" t="str">
        <x:f>'Данные'!L2369</x:f>
        <x:v>Нет</x:v>
      </x:c>
    </x:row>
    <x:row r="2370">
      <x:c r="A2370" s="1" t="str">
        <x:f>'Данные'!A2370</x:f>
        <x:v>391632067</x:v>
      </x:c>
      <x:c r="B2370" s="1" t="str">
        <x:f>'Данные'!B2370</x:f>
        <x:v>kostyumfix3P-37-63bk/черный</x:v>
      </x:c>
      <x:c r="C2370" s="8" t="n">
        <x:f>'Данные'!G2370</x:f>
        <x:v>0</x:v>
      </x:c>
      <x:c r="D2370" s="15" t="n">
        <x:f>C2370/SUM($C$5:$C$2477)</x:f>
        <x:v>0</x:v>
      </x:c>
      <x:c r="E2370" s="15" t="n">
        <x:f>SUM($D$5:D2370)</x:f>
        <x:v>1.0000000000000036</x:v>
      </x:c>
      <x:c r="F2370" s="1" t="str">
        <x:f>IF(C2370&lt;=0,"C",IF(E2370-D2370&lt;'Дашборд'!$C$49,"A",IF(E2370-D2370&lt;'Дашборд'!$C$50,"B","C")))</x:f>
        <x:v>C</x:v>
      </x:c>
      <x:c r="G2370" s="8" t="n">
        <x:f>'Данные'!F2370</x:f>
        <x:v>0</x:v>
      </x:c>
      <x:c r="H2370" s="8" t="n">
        <x:f>SUM('Данные'!H2370:I2370)</x:f>
        <x:v>172</x:v>
      </x:c>
      <x:c r="I2370" s="16" t="n">
        <x:f>IF(H2370&gt;0,G2370/H2370,"n.a.")</x:f>
        <x:v>0</x:v>
      </x:c>
      <x:c r="J2370" s="10" t="str">
        <x:f>IF('Данные'!E2370&gt;0,G2370/'Данные'!E2370,"n.a.")</x:f>
        <x:v>n.a.</x:v>
      </x:c>
      <x:c r="K2370" s="1" t="str">
        <x:f>IF(G2370&gt;='Дашборд'!$C$51,"X","Z")</x:f>
        <x:v>Z</x:v>
      </x:c>
      <x:c r="L2370" s="1" t="str">
        <x:f>IF(H2370=0,IF(G2370&gt;0,"Нет остатка","Нет спроса"),IF(I2370&gt;='Дашборд'!$C$52,"Быстрый","Медленный"))</x:f>
        <x:v>Медленный</x:v>
      </x:c>
      <x:c r="M2370" s="1" t="str">
        <x:f>IF('Данные'!E2370&lt;'Дашборд'!$C$53,"Мало трафика",IF(J2370&lt;'Дашборд'!$C$9*'Дашборд'!$C$54,"Да","Нет"))</x:f>
        <x:v>Мало трафика</x:v>
      </x:c>
      <x:c r="N2370" s="1" t="str">
        <x:f>IF(AND('Данные'!D2370&gt;='Дашборд'!$C$55,D2370&lt;'Дашборд'!$C$56,'Данные'!E2370&gt;='Дашборд'!$C$53,'Данные'!L2370&lt;&gt;"Да"),"Да","Нет")</x:f>
        <x:v>Нет</x:v>
      </x:c>
      <x:c r="O2370" s="1" t="str">
        <x:f>'Данные'!L2370</x:f>
        <x:v>Нет</x:v>
      </x:c>
    </x:row>
    <x:row r="2371">
      <x:c r="A2371" s="1" t="str">
        <x:f>'Данные'!A2371</x:f>
        <x:v>391637260</x:v>
      </x:c>
      <x:c r="B2371" s="1" t="str">
        <x:f>'Данные'!B2371</x:f>
        <x:v>kostyumfix3P-37-63bk/темно-серый</x:v>
      </x:c>
      <x:c r="C2371" s="8" t="n">
        <x:f>'Данные'!G2371</x:f>
        <x:v>0</x:v>
      </x:c>
      <x:c r="D2371" s="15" t="n">
        <x:f>C2371/SUM($C$5:$C$2477)</x:f>
        <x:v>0</x:v>
      </x:c>
      <x:c r="E2371" s="15" t="n">
        <x:f>SUM($D$5:D2371)</x:f>
        <x:v>1.0000000000000036</x:v>
      </x:c>
      <x:c r="F2371" s="1" t="str">
        <x:f>IF(C2371&lt;=0,"C",IF(E2371-D2371&lt;'Дашборд'!$C$49,"A",IF(E2371-D2371&lt;'Дашборд'!$C$50,"B","C")))</x:f>
        <x:v>C</x:v>
      </x:c>
      <x:c r="G2371" s="8" t="n">
        <x:f>'Данные'!F2371</x:f>
        <x:v>0</x:v>
      </x:c>
      <x:c r="H2371" s="8" t="n">
        <x:f>SUM('Данные'!H2371:I2371)</x:f>
        <x:v>8</x:v>
      </x:c>
      <x:c r="I2371" s="16" t="n">
        <x:f>IF(H2371&gt;0,G2371/H2371,"n.a.")</x:f>
        <x:v>0</x:v>
      </x:c>
      <x:c r="J2371" s="10" t="str">
        <x:f>IF('Данные'!E2371&gt;0,G2371/'Данные'!E2371,"n.a.")</x:f>
        <x:v>n.a.</x:v>
      </x:c>
      <x:c r="K2371" s="1" t="str">
        <x:f>IF(G2371&gt;='Дашборд'!$C$51,"X","Z")</x:f>
        <x:v>Z</x:v>
      </x:c>
      <x:c r="L2371" s="1" t="str">
        <x:f>IF(H2371=0,IF(G2371&gt;0,"Нет остатка","Нет спроса"),IF(I2371&gt;='Дашборд'!$C$52,"Быстрый","Медленный"))</x:f>
        <x:v>Медленный</x:v>
      </x:c>
      <x:c r="M2371" s="1" t="str">
        <x:f>IF('Данные'!E2371&lt;'Дашборд'!$C$53,"Мало трафика",IF(J2371&lt;'Дашборд'!$C$9*'Дашборд'!$C$54,"Да","Нет"))</x:f>
        <x:v>Мало трафика</x:v>
      </x:c>
      <x:c r="N2371" s="1" t="str">
        <x:f>IF(AND('Данные'!D2371&gt;='Дашборд'!$C$55,D2371&lt;'Дашборд'!$C$56,'Данные'!E2371&gt;='Дашборд'!$C$53,'Данные'!L2371&lt;&gt;"Да"),"Да","Нет")</x:f>
        <x:v>Нет</x:v>
      </x:c>
      <x:c r="O2371" s="1" t="str">
        <x:f>'Данные'!L2371</x:f>
        <x:v>Нет</x:v>
      </x:c>
    </x:row>
    <x:row r="2372">
      <x:c r="A2372" s="1" t="str">
        <x:f>'Данные'!A2372</x:f>
        <x:v>391637261</x:v>
      </x:c>
      <x:c r="B2372" s="1" t="str">
        <x:f>'Данные'!B2372</x:f>
        <x:v>kostyumfix3P-37-63bk/светло-розовый</x:v>
      </x:c>
      <x:c r="C2372" s="8" t="n">
        <x:f>'Данные'!G2372</x:f>
        <x:v>0</x:v>
      </x:c>
      <x:c r="D2372" s="15" t="n">
        <x:f>C2372/SUM($C$5:$C$2477)</x:f>
        <x:v>0</x:v>
      </x:c>
      <x:c r="E2372" s="15" t="n">
        <x:f>SUM($D$5:D2372)</x:f>
        <x:v>1.0000000000000036</x:v>
      </x:c>
      <x:c r="F2372" s="1" t="str">
        <x:f>IF(C2372&lt;=0,"C",IF(E2372-D2372&lt;'Дашборд'!$C$49,"A",IF(E2372-D2372&lt;'Дашборд'!$C$50,"B","C")))</x:f>
        <x:v>C</x:v>
      </x:c>
      <x:c r="G2372" s="8" t="n">
        <x:f>'Данные'!F2372</x:f>
        <x:v>1</x:v>
      </x:c>
      <x:c r="H2372" s="8" t="n">
        <x:f>SUM('Данные'!H2372:I2372)</x:f>
        <x:v>260</x:v>
      </x:c>
      <x:c r="I2372" s="16" t="n">
        <x:f>IF(H2372&gt;0,G2372/H2372,"n.a.")</x:f>
        <x:v>0.0038461538461538464</x:v>
      </x:c>
      <x:c r="J2372" s="10" t="n">
        <x:f>IF('Данные'!E2372&gt;0,G2372/'Данные'!E2372,"n.a.")</x:f>
        <x:v>0.0010787486515641855</x:v>
      </x:c>
      <x:c r="K2372" s="1" t="str">
        <x:f>IF(G2372&gt;='Дашборд'!$C$51,"X","Z")</x:f>
        <x:v>Z</x:v>
      </x:c>
      <x:c r="L2372" s="1" t="str">
        <x:f>IF(H2372=0,IF(G2372&gt;0,"Нет остатка","Нет спроса"),IF(I2372&gt;='Дашборд'!$C$52,"Быстрый","Медленный"))</x:f>
        <x:v>Медленный</x:v>
      </x:c>
      <x:c r="M2372" s="1" t="str">
        <x:f>IF('Данные'!E2372&lt;'Дашборд'!$C$53,"Мало трафика",IF(J2372&lt;'Дашборд'!$C$9*'Дашборд'!$C$54,"Да","Нет"))</x:f>
        <x:v>Мало трафика</x:v>
      </x:c>
      <x:c r="N2372" s="1" t="str">
        <x:f>IF(AND('Данные'!D2372&gt;='Дашборд'!$C$55,D2372&lt;'Дашборд'!$C$56,'Данные'!E2372&gt;='Дашборд'!$C$53,'Данные'!L2372&lt;&gt;"Да"),"Да","Нет")</x:f>
        <x:v>Нет</x:v>
      </x:c>
      <x:c r="O2372" s="1" t="str">
        <x:f>'Данные'!L2372</x:f>
        <x:v>Нет</x:v>
      </x:c>
    </x:row>
    <x:row r="2373">
      <x:c r="A2373" s="1" t="str">
        <x:f>'Данные'!A2373</x:f>
        <x:v>391637265</x:v>
      </x:c>
      <x:c r="B2373" s="1" t="str">
        <x:f>'Данные'!B2373</x:f>
        <x:v>kostyumfix3P-37-63bk/бордовый</x:v>
      </x:c>
      <x:c r="C2373" s="8" t="n">
        <x:f>'Данные'!G2373</x:f>
        <x:v>0</x:v>
      </x:c>
      <x:c r="D2373" s="15" t="n">
        <x:f>C2373/SUM($C$5:$C$2477)</x:f>
        <x:v>0</x:v>
      </x:c>
      <x:c r="E2373" s="15" t="n">
        <x:f>SUM($D$5:D2373)</x:f>
        <x:v>1.0000000000000036</x:v>
      </x:c>
      <x:c r="F2373" s="1" t="str">
        <x:f>IF(C2373&lt;=0,"C",IF(E2373-D2373&lt;'Дашборд'!$C$49,"A",IF(E2373-D2373&lt;'Дашборд'!$C$50,"B","C")))</x:f>
        <x:v>C</x:v>
      </x:c>
      <x:c r="G2373" s="8" t="n">
        <x:f>'Данные'!F2373</x:f>
        <x:v>0</x:v>
      </x:c>
      <x:c r="H2373" s="8" t="n">
        <x:f>SUM('Данные'!H2373:I2373)</x:f>
        <x:v>455</x:v>
      </x:c>
      <x:c r="I2373" s="16" t="n">
        <x:f>IF(H2373&gt;0,G2373/H2373,"n.a.")</x:f>
        <x:v>0</x:v>
      </x:c>
      <x:c r="J2373" s="10" t="str">
        <x:f>IF('Данные'!E2373&gt;0,G2373/'Данные'!E2373,"n.a.")</x:f>
        <x:v>n.a.</x:v>
      </x:c>
      <x:c r="K2373" s="1" t="str">
        <x:f>IF(G2373&gt;='Дашборд'!$C$51,"X","Z")</x:f>
        <x:v>Z</x:v>
      </x:c>
      <x:c r="L2373" s="1" t="str">
        <x:f>IF(H2373=0,IF(G2373&gt;0,"Нет остатка","Нет спроса"),IF(I2373&gt;='Дашборд'!$C$52,"Быстрый","Медленный"))</x:f>
        <x:v>Медленный</x:v>
      </x:c>
      <x:c r="M2373" s="1" t="str">
        <x:f>IF('Данные'!E2373&lt;'Дашборд'!$C$53,"Мало трафика",IF(J2373&lt;'Дашборд'!$C$9*'Дашборд'!$C$54,"Да","Нет"))</x:f>
        <x:v>Мало трафика</x:v>
      </x:c>
      <x:c r="N2373" s="1" t="str">
        <x:f>IF(AND('Данные'!D2373&gt;='Дашборд'!$C$55,D2373&lt;'Дашборд'!$C$56,'Данные'!E2373&gt;='Дашборд'!$C$53,'Данные'!L2373&lt;&gt;"Да"),"Да","Нет")</x:f>
        <x:v>Нет</x:v>
      </x:c>
      <x:c r="O2373" s="1" t="str">
        <x:f>'Данные'!L2373</x:f>
        <x:v>Нет</x:v>
      </x:c>
    </x:row>
    <x:row r="2374">
      <x:c r="A2374" s="1" t="str">
        <x:f>'Данные'!A2374</x:f>
        <x:v>391662210</x:v>
      </x:c>
      <x:c r="B2374" s="1" t="str">
        <x:f>'Данные'!B2374</x:f>
        <x:v>palazzoshnurokbk/светло-розовый</x:v>
      </x:c>
      <x:c r="C2374" s="8" t="n">
        <x:f>'Данные'!G2374</x:f>
        <x:v>0</x:v>
      </x:c>
      <x:c r="D2374" s="15" t="n">
        <x:f>C2374/SUM($C$5:$C$2477)</x:f>
        <x:v>0</x:v>
      </x:c>
      <x:c r="E2374" s="15" t="n">
        <x:f>SUM($D$5:D2374)</x:f>
        <x:v>1.0000000000000036</x:v>
      </x:c>
      <x:c r="F2374" s="1" t="str">
        <x:f>IF(C2374&lt;=0,"C",IF(E2374-D2374&lt;'Дашборд'!$C$49,"A",IF(E2374-D2374&lt;'Дашборд'!$C$50,"B","C")))</x:f>
        <x:v>C</x:v>
      </x:c>
      <x:c r="G2374" s="8" t="n">
        <x:f>'Данные'!F2374</x:f>
        <x:v>0</x:v>
      </x:c>
      <x:c r="H2374" s="8" t="n">
        <x:f>SUM('Данные'!H2374:I2374)</x:f>
        <x:v>145</x:v>
      </x:c>
      <x:c r="I2374" s="16" t="n">
        <x:f>IF(H2374&gt;0,G2374/H2374,"n.a.")</x:f>
        <x:v>0</x:v>
      </x:c>
      <x:c r="J2374" s="10" t="str">
        <x:f>IF('Данные'!E2374&gt;0,G2374/'Данные'!E2374,"n.a.")</x:f>
        <x:v>n.a.</x:v>
      </x:c>
      <x:c r="K2374" s="1" t="str">
        <x:f>IF(G2374&gt;='Дашборд'!$C$51,"X","Z")</x:f>
        <x:v>Z</x:v>
      </x:c>
      <x:c r="L2374" s="1" t="str">
        <x:f>IF(H2374=0,IF(G2374&gt;0,"Нет остатка","Нет спроса"),IF(I2374&gt;='Дашборд'!$C$52,"Быстрый","Медленный"))</x:f>
        <x:v>Медленный</x:v>
      </x:c>
      <x:c r="M2374" s="1" t="str">
        <x:f>IF('Данные'!E2374&lt;'Дашборд'!$C$53,"Мало трафика",IF(J2374&lt;'Дашборд'!$C$9*'Дашборд'!$C$54,"Да","Нет"))</x:f>
        <x:v>Мало трафика</x:v>
      </x:c>
      <x:c r="N2374" s="1" t="str">
        <x:f>IF(AND('Данные'!D2374&gt;='Дашборд'!$C$55,D2374&lt;'Дашборд'!$C$56,'Данные'!E2374&gt;='Дашборд'!$C$53,'Данные'!L2374&lt;&gt;"Да"),"Да","Нет")</x:f>
        <x:v>Нет</x:v>
      </x:c>
      <x:c r="O2374" s="1" t="str">
        <x:f>'Данные'!L2374</x:f>
        <x:v>Нет</x:v>
      </x:c>
    </x:row>
    <x:row r="2375">
      <x:c r="A2375" s="1" t="str">
        <x:f>'Данные'!A2375</x:f>
        <x:v>391830384</x:v>
      </x:c>
      <x:c r="B2375" s="1" t="str">
        <x:f>'Данные'!B2375</x:f>
        <x:v>shortymanbk/изумрудно-зеленый</x:v>
      </x:c>
      <x:c r="C2375" s="8" t="n">
        <x:f>'Данные'!G2375</x:f>
        <x:v>0</x:v>
      </x:c>
      <x:c r="D2375" s="15" t="n">
        <x:f>C2375/SUM($C$5:$C$2477)</x:f>
        <x:v>0</x:v>
      </x:c>
      <x:c r="E2375" s="15" t="n">
        <x:f>SUM($D$5:D2375)</x:f>
        <x:v>1.0000000000000036</x:v>
      </x:c>
      <x:c r="F2375" s="1" t="str">
        <x:f>IF(C2375&lt;=0,"C",IF(E2375-D2375&lt;'Дашборд'!$C$49,"A",IF(E2375-D2375&lt;'Дашборд'!$C$50,"B","C")))</x:f>
        <x:v>C</x:v>
      </x:c>
      <x:c r="G2375" s="8" t="n">
        <x:f>'Данные'!F2375</x:f>
        <x:v>0</x:v>
      </x:c>
      <x:c r="H2375" s="8" t="n">
        <x:f>SUM('Данные'!H2375:I2375)</x:f>
        <x:v>203</x:v>
      </x:c>
      <x:c r="I2375" s="16" t="n">
        <x:f>IF(H2375&gt;0,G2375/H2375,"n.a.")</x:f>
        <x:v>0</x:v>
      </x:c>
      <x:c r="J2375" s="10" t="str">
        <x:f>IF('Данные'!E2375&gt;0,G2375/'Данные'!E2375,"n.a.")</x:f>
        <x:v>n.a.</x:v>
      </x:c>
      <x:c r="K2375" s="1" t="str">
        <x:f>IF(G2375&gt;='Дашборд'!$C$51,"X","Z")</x:f>
        <x:v>Z</x:v>
      </x:c>
      <x:c r="L2375" s="1" t="str">
        <x:f>IF(H2375=0,IF(G2375&gt;0,"Нет остатка","Нет спроса"),IF(I2375&gt;='Дашборд'!$C$52,"Быстрый","Медленный"))</x:f>
        <x:v>Медленный</x:v>
      </x:c>
      <x:c r="M2375" s="1" t="str">
        <x:f>IF('Данные'!E2375&lt;'Дашборд'!$C$53,"Мало трафика",IF(J2375&lt;'Дашборд'!$C$9*'Дашборд'!$C$54,"Да","Нет"))</x:f>
        <x:v>Мало трафика</x:v>
      </x:c>
      <x:c r="N2375" s="1" t="str">
        <x:f>IF(AND('Данные'!D2375&gt;='Дашборд'!$C$55,D2375&lt;'Дашборд'!$C$56,'Данные'!E2375&gt;='Дашборд'!$C$53,'Данные'!L2375&lt;&gt;"Да"),"Да","Нет")</x:f>
        <x:v>Нет</x:v>
      </x:c>
      <x:c r="O2375" s="1" t="str">
        <x:f>'Данные'!L2375</x:f>
        <x:v>Нет</x:v>
      </x:c>
    </x:row>
    <x:row r="2376">
      <x:c r="A2376" s="1" t="str">
        <x:f>'Данные'!A2376</x:f>
        <x:v>391845492</x:v>
      </x:c>
      <x:c r="B2376" s="1" t="str">
        <x:f>'Данные'!B2376</x:f>
        <x:v>hudimanpetlbk/коричневый</x:v>
      </x:c>
      <x:c r="C2376" s="8" t="n">
        <x:f>'Данные'!G2376</x:f>
        <x:v>0</x:v>
      </x:c>
      <x:c r="D2376" s="15" t="n">
        <x:f>C2376/SUM($C$5:$C$2477)</x:f>
        <x:v>0</x:v>
      </x:c>
      <x:c r="E2376" s="15" t="n">
        <x:f>SUM($D$5:D2376)</x:f>
        <x:v>1.0000000000000036</x:v>
      </x:c>
      <x:c r="F2376" s="1" t="str">
        <x:f>IF(C2376&lt;=0,"C",IF(E2376-D2376&lt;'Дашборд'!$C$49,"A",IF(E2376-D2376&lt;'Дашборд'!$C$50,"B","C")))</x:f>
        <x:v>C</x:v>
      </x:c>
      <x:c r="G2376" s="8" t="n">
        <x:f>'Данные'!F2376</x:f>
        <x:v>0</x:v>
      </x:c>
      <x:c r="H2376" s="8" t="n">
        <x:f>SUM('Данные'!H2376:I2376)</x:f>
        <x:v>314</x:v>
      </x:c>
      <x:c r="I2376" s="16" t="n">
        <x:f>IF(H2376&gt;0,G2376/H2376,"n.a.")</x:f>
        <x:v>0</x:v>
      </x:c>
      <x:c r="J2376" s="10" t="str">
        <x:f>IF('Данные'!E2376&gt;0,G2376/'Данные'!E2376,"n.a.")</x:f>
        <x:v>n.a.</x:v>
      </x:c>
      <x:c r="K2376" s="1" t="str">
        <x:f>IF(G2376&gt;='Дашборд'!$C$51,"X","Z")</x:f>
        <x:v>Z</x:v>
      </x:c>
      <x:c r="L2376" s="1" t="str">
        <x:f>IF(H2376=0,IF(G2376&gt;0,"Нет остатка","Нет спроса"),IF(I2376&gt;='Дашборд'!$C$52,"Быстрый","Медленный"))</x:f>
        <x:v>Медленный</x:v>
      </x:c>
      <x:c r="M2376" s="1" t="str">
        <x:f>IF('Данные'!E2376&lt;'Дашборд'!$C$53,"Мало трафика",IF(J2376&lt;'Дашборд'!$C$9*'Дашборд'!$C$54,"Да","Нет"))</x:f>
        <x:v>Мало трафика</x:v>
      </x:c>
      <x:c r="N2376" s="1" t="str">
        <x:f>IF(AND('Данные'!D2376&gt;='Дашборд'!$C$55,D2376&lt;'Дашборд'!$C$56,'Данные'!E2376&gt;='Дашборд'!$C$53,'Данные'!L2376&lt;&gt;"Да"),"Да","Нет")</x:f>
        <x:v>Нет</x:v>
      </x:c>
      <x:c r="O2376" s="1" t="str">
        <x:f>'Данные'!L2376</x:f>
        <x:v>Нет</x:v>
      </x:c>
    </x:row>
    <x:row r="2377">
      <x:c r="A2377" s="1" t="str">
        <x:f>'Данные'!A2377</x:f>
        <x:v>391924031</x:v>
      </x:c>
      <x:c r="B2377" s="1" t="str">
        <x:f>'Данные'!B2377</x:f>
        <x:v>hudipetlbk/светло-розовый</x:v>
      </x:c>
      <x:c r="C2377" s="8" t="n">
        <x:f>'Данные'!G2377</x:f>
        <x:v>0</x:v>
      </x:c>
      <x:c r="D2377" s="15" t="n">
        <x:f>C2377/SUM($C$5:$C$2477)</x:f>
        <x:v>0</x:v>
      </x:c>
      <x:c r="E2377" s="15" t="n">
        <x:f>SUM($D$5:D2377)</x:f>
        <x:v>1.0000000000000036</x:v>
      </x:c>
      <x:c r="F2377" s="1" t="str">
        <x:f>IF(C2377&lt;=0,"C",IF(E2377-D2377&lt;'Дашборд'!$C$49,"A",IF(E2377-D2377&lt;'Дашборд'!$C$50,"B","C")))</x:f>
        <x:v>C</x:v>
      </x:c>
      <x:c r="G2377" s="8" t="n">
        <x:f>'Данные'!F2377</x:f>
        <x:v>0</x:v>
      </x:c>
      <x:c r="H2377" s="8" t="n">
        <x:f>SUM('Данные'!H2377:I2377)</x:f>
        <x:v>380</x:v>
      </x:c>
      <x:c r="I2377" s="16" t="n">
        <x:f>IF(H2377&gt;0,G2377/H2377,"n.a.")</x:f>
        <x:v>0</x:v>
      </x:c>
      <x:c r="J2377" s="10" t="str">
        <x:f>IF('Данные'!E2377&gt;0,G2377/'Данные'!E2377,"n.a.")</x:f>
        <x:v>n.a.</x:v>
      </x:c>
      <x:c r="K2377" s="1" t="str">
        <x:f>IF(G2377&gt;='Дашборд'!$C$51,"X","Z")</x:f>
        <x:v>Z</x:v>
      </x:c>
      <x:c r="L2377" s="1" t="str">
        <x:f>IF(H2377=0,IF(G2377&gt;0,"Нет остатка","Нет спроса"),IF(I2377&gt;='Дашборд'!$C$52,"Быстрый","Медленный"))</x:f>
        <x:v>Медленный</x:v>
      </x:c>
      <x:c r="M2377" s="1" t="str">
        <x:f>IF('Данные'!E2377&lt;'Дашборд'!$C$53,"Мало трафика",IF(J2377&lt;'Дашборд'!$C$9*'Дашборд'!$C$54,"Да","Нет"))</x:f>
        <x:v>Мало трафика</x:v>
      </x:c>
      <x:c r="N2377" s="1" t="str">
        <x:f>IF(AND('Данные'!D2377&gt;='Дашборд'!$C$55,D2377&lt;'Дашборд'!$C$56,'Данные'!E2377&gt;='Дашборд'!$C$53,'Данные'!L2377&lt;&gt;"Да"),"Да","Нет")</x:f>
        <x:v>Нет</x:v>
      </x:c>
      <x:c r="O2377" s="1" t="str">
        <x:f>'Данные'!L2377</x:f>
        <x:v>Нет</x:v>
      </x:c>
    </x:row>
    <x:row r="2378">
      <x:c r="A2378" s="1" t="str">
        <x:f>'Данные'!A2378</x:f>
        <x:v>391924049</x:v>
      </x:c>
      <x:c r="B2378" s="1" t="str">
        <x:f>'Данные'!B2378</x:f>
        <x:v>hudipetlbk/бордовый</x:v>
      </x:c>
      <x:c r="C2378" s="8" t="n">
        <x:f>'Данные'!G2378</x:f>
        <x:v>0</x:v>
      </x:c>
      <x:c r="D2378" s="15" t="n">
        <x:f>C2378/SUM($C$5:$C$2477)</x:f>
        <x:v>0</x:v>
      </x:c>
      <x:c r="E2378" s="15" t="n">
        <x:f>SUM($D$5:D2378)</x:f>
        <x:v>1.0000000000000036</x:v>
      </x:c>
      <x:c r="F2378" s="1" t="str">
        <x:f>IF(C2378&lt;=0,"C",IF(E2378-D2378&lt;'Дашборд'!$C$49,"A",IF(E2378-D2378&lt;'Дашборд'!$C$50,"B","C")))</x:f>
        <x:v>C</x:v>
      </x:c>
      <x:c r="G2378" s="8" t="n">
        <x:f>'Данные'!F2378</x:f>
        <x:v>0</x:v>
      </x:c>
      <x:c r="H2378" s="8" t="n">
        <x:f>SUM('Данные'!H2378:I2378)</x:f>
        <x:v>47</x:v>
      </x:c>
      <x:c r="I2378" s="16" t="n">
        <x:f>IF(H2378&gt;0,G2378/H2378,"n.a.")</x:f>
        <x:v>0</x:v>
      </x:c>
      <x:c r="J2378" s="10" t="str">
        <x:f>IF('Данные'!E2378&gt;0,G2378/'Данные'!E2378,"n.a.")</x:f>
        <x:v>n.a.</x:v>
      </x:c>
      <x:c r="K2378" s="1" t="str">
        <x:f>IF(G2378&gt;='Дашборд'!$C$51,"X","Z")</x:f>
        <x:v>Z</x:v>
      </x:c>
      <x:c r="L2378" s="1" t="str">
        <x:f>IF(H2378=0,IF(G2378&gt;0,"Нет остатка","Нет спроса"),IF(I2378&gt;='Дашборд'!$C$52,"Быстрый","Медленный"))</x:f>
        <x:v>Медленный</x:v>
      </x:c>
      <x:c r="M2378" s="1" t="str">
        <x:f>IF('Данные'!E2378&lt;'Дашборд'!$C$53,"Мало трафика",IF(J2378&lt;'Дашборд'!$C$9*'Дашборд'!$C$54,"Да","Нет"))</x:f>
        <x:v>Мало трафика</x:v>
      </x:c>
      <x:c r="N2378" s="1" t="str">
        <x:f>IF(AND('Данные'!D2378&gt;='Дашборд'!$C$55,D2378&lt;'Дашборд'!$C$56,'Данные'!E2378&gt;='Дашборд'!$C$53,'Данные'!L2378&lt;&gt;"Да"),"Да","Нет")</x:f>
        <x:v>Нет</x:v>
      </x:c>
      <x:c r="O2378" s="1" t="str">
        <x:f>'Данные'!L2378</x:f>
        <x:v>Нет</x:v>
      </x:c>
    </x:row>
    <x:row r="2379">
      <x:c r="A2379" s="1" t="str">
        <x:f>'Данные'!A2379</x:f>
        <x:v>397421106</x:v>
      </x:c>
      <x:c r="B2379" s="1" t="str">
        <x:f>'Данные'!B2379</x:f>
        <x:v>kostyumfix3P-37-63bk/сливочный</x:v>
      </x:c>
      <x:c r="C2379" s="8" t="n">
        <x:f>'Данные'!G2379</x:f>
        <x:v>0</x:v>
      </x:c>
      <x:c r="D2379" s="15" t="n">
        <x:f>C2379/SUM($C$5:$C$2477)</x:f>
        <x:v>0</x:v>
      </x:c>
      <x:c r="E2379" s="15" t="n">
        <x:f>SUM($D$5:D2379)</x:f>
        <x:v>1.0000000000000036</x:v>
      </x:c>
      <x:c r="F2379" s="1" t="str">
        <x:f>IF(C2379&lt;=0,"C",IF(E2379-D2379&lt;'Дашборд'!$C$49,"A",IF(E2379-D2379&lt;'Дашборд'!$C$50,"B","C")))</x:f>
        <x:v>C</x:v>
      </x:c>
      <x:c r="G2379" s="8" t="n">
        <x:f>'Данные'!F2379</x:f>
        <x:v>0</x:v>
      </x:c>
      <x:c r="H2379" s="8" t="n">
        <x:f>SUM('Данные'!H2379:I2379)</x:f>
        <x:v>0</x:v>
      </x:c>
      <x:c r="I2379" s="16" t="str">
        <x:f>IF(H2379&gt;0,G2379/H2379,"n.a.")</x:f>
        <x:v>n.a.</x:v>
      </x:c>
      <x:c r="J2379" s="10" t="n">
        <x:f>IF('Данные'!E2379&gt;0,G2379/'Данные'!E2379,"n.a.")</x:f>
        <x:v>0</x:v>
      </x:c>
      <x:c r="K2379" s="1" t="str">
        <x:f>IF(G2379&gt;='Дашборд'!$C$51,"X","Z")</x:f>
        <x:v>Z</x:v>
      </x:c>
      <x:c r="L2379" s="1" t="str">
        <x:f>IF(H2379=0,IF(G2379&gt;0,"Нет остатка","Нет спроса"),IF(I2379&gt;='Дашборд'!$C$52,"Быстрый","Медленный"))</x:f>
        <x:v>Нет спроса</x:v>
      </x:c>
      <x:c r="M2379" s="1" t="str">
        <x:f>IF('Данные'!E2379&lt;'Дашборд'!$C$53,"Мало трафика",IF(J2379&lt;'Дашборд'!$C$9*'Дашборд'!$C$54,"Да","Нет"))</x:f>
        <x:v>Мало трафика</x:v>
      </x:c>
      <x:c r="N2379" s="1" t="str">
        <x:f>IF(AND('Данные'!D2379&gt;='Дашборд'!$C$55,D2379&lt;'Дашборд'!$C$56,'Данные'!E2379&gt;='Дашборд'!$C$53,'Данные'!L2379&lt;&gt;"Да"),"Да","Нет")</x:f>
        <x:v>Нет</x:v>
      </x:c>
      <x:c r="O2379" s="1" t="str">
        <x:f>'Данные'!L2379</x:f>
        <x:v>Нет</x:v>
      </x:c>
    </x:row>
    <x:row r="2380">
      <x:c r="A2380" s="1" t="str">
        <x:f>'Данные'!A2380</x:f>
        <x:v>397426515</x:v>
      </x:c>
      <x:c r="B2380" s="1" t="str">
        <x:f>'Данные'!B2380</x:f>
        <x:v>tolstovkazip3P-70bk/сливочный</x:v>
      </x:c>
      <x:c r="C2380" s="8" t="n">
        <x:f>'Данные'!G2380</x:f>
        <x:v>0</x:v>
      </x:c>
      <x:c r="D2380" s="15" t="n">
        <x:f>C2380/SUM($C$5:$C$2477)</x:f>
        <x:v>0</x:v>
      </x:c>
      <x:c r="E2380" s="15" t="n">
        <x:f>SUM($D$5:D2380)</x:f>
        <x:v>1.0000000000000036</x:v>
      </x:c>
      <x:c r="F2380" s="1" t="str">
        <x:f>IF(C2380&lt;=0,"C",IF(E2380-D2380&lt;'Дашборд'!$C$49,"A",IF(E2380-D2380&lt;'Дашборд'!$C$50,"B","C")))</x:f>
        <x:v>C</x:v>
      </x:c>
      <x:c r="G2380" s="8" t="n">
        <x:f>'Данные'!F2380</x:f>
        <x:v>0</x:v>
      </x:c>
      <x:c r="H2380" s="8" t="n">
        <x:f>SUM('Данные'!H2380:I2380)</x:f>
        <x:v>0</x:v>
      </x:c>
      <x:c r="I2380" s="16" t="str">
        <x:f>IF(H2380&gt;0,G2380/H2380,"n.a.")</x:f>
        <x:v>n.a.</x:v>
      </x:c>
      <x:c r="J2380" s="10" t="n">
        <x:f>IF('Данные'!E2380&gt;0,G2380/'Данные'!E2380,"n.a.")</x:f>
        <x:v>0</x:v>
      </x:c>
      <x:c r="K2380" s="1" t="str">
        <x:f>IF(G2380&gt;='Дашборд'!$C$51,"X","Z")</x:f>
        <x:v>Z</x:v>
      </x:c>
      <x:c r="L2380" s="1" t="str">
        <x:f>IF(H2380=0,IF(G2380&gt;0,"Нет остатка","Нет спроса"),IF(I2380&gt;='Дашборд'!$C$52,"Быстрый","Медленный"))</x:f>
        <x:v>Нет спроса</x:v>
      </x:c>
      <x:c r="M2380" s="1" t="str">
        <x:f>IF('Данные'!E2380&lt;'Дашборд'!$C$53,"Мало трафика",IF(J2380&lt;'Дашборд'!$C$9*'Дашборд'!$C$54,"Да","Нет"))</x:f>
        <x:v>Мало трафика</x:v>
      </x:c>
      <x:c r="N2380" s="1" t="str">
        <x:f>IF(AND('Данные'!D2380&gt;='Дашборд'!$C$55,D2380&lt;'Дашборд'!$C$56,'Данные'!E2380&gt;='Дашборд'!$C$53,'Данные'!L2380&lt;&gt;"Да"),"Да","Нет")</x:f>
        <x:v>Нет</x:v>
      </x:c>
      <x:c r="O2380" s="1" t="str">
        <x:f>'Данные'!L2380</x:f>
        <x:v>Нет</x:v>
      </x:c>
    </x:row>
    <x:row r="2381">
      <x:c r="A2381" s="1" t="str">
        <x:f>'Данные'!A2381</x:f>
        <x:v>397458537</x:v>
      </x:c>
      <x:c r="B2381" s="1" t="str">
        <x:f>'Данные'!B2381</x:f>
        <x:v>bazakulboy/черный</x:v>
      </x:c>
      <x:c r="C2381" s="8" t="n">
        <x:f>'Данные'!G2381</x:f>
        <x:v>0</x:v>
      </x:c>
      <x:c r="D2381" s="15" t="n">
        <x:f>C2381/SUM($C$5:$C$2477)</x:f>
        <x:v>0</x:v>
      </x:c>
      <x:c r="E2381" s="15" t="n">
        <x:f>SUM($D$5:D2381)</x:f>
        <x:v>1.0000000000000036</x:v>
      </x:c>
      <x:c r="F2381" s="1" t="str">
        <x:f>IF(C2381&lt;=0,"C",IF(E2381-D2381&lt;'Дашборд'!$C$49,"A",IF(E2381-D2381&lt;'Дашборд'!$C$50,"B","C")))</x:f>
        <x:v>C</x:v>
      </x:c>
      <x:c r="G2381" s="8" t="n">
        <x:f>'Данные'!F2381</x:f>
        <x:v>0</x:v>
      </x:c>
      <x:c r="H2381" s="8" t="n">
        <x:f>SUM('Данные'!H2381:I2381)</x:f>
        <x:v>51</x:v>
      </x:c>
      <x:c r="I2381" s="16" t="n">
        <x:f>IF(H2381&gt;0,G2381/H2381,"n.a.")</x:f>
        <x:v>0</x:v>
      </x:c>
      <x:c r="J2381" s="10" t="str">
        <x:f>IF('Данные'!E2381&gt;0,G2381/'Данные'!E2381,"n.a.")</x:f>
        <x:v>n.a.</x:v>
      </x:c>
      <x:c r="K2381" s="1" t="str">
        <x:f>IF(G2381&gt;='Дашборд'!$C$51,"X","Z")</x:f>
        <x:v>Z</x:v>
      </x:c>
      <x:c r="L2381" s="1" t="str">
        <x:f>IF(H2381=0,IF(G2381&gt;0,"Нет остатка","Нет спроса"),IF(I2381&gt;='Дашборд'!$C$52,"Быстрый","Медленный"))</x:f>
        <x:v>Медленный</x:v>
      </x:c>
      <x:c r="M2381" s="1" t="str">
        <x:f>IF('Данные'!E2381&lt;'Дашборд'!$C$53,"Мало трафика",IF(J2381&lt;'Дашборд'!$C$9*'Дашборд'!$C$54,"Да","Нет"))</x:f>
        <x:v>Мало трафика</x:v>
      </x:c>
      <x:c r="N2381" s="1" t="str">
        <x:f>IF(AND('Данные'!D2381&gt;='Дашборд'!$C$55,D2381&lt;'Дашборд'!$C$56,'Данные'!E2381&gt;='Дашборд'!$C$53,'Данные'!L2381&lt;&gt;"Да"),"Да","Нет")</x:f>
        <x:v>Нет</x:v>
      </x:c>
      <x:c r="O2381" s="1" t="str">
        <x:f>'Данные'!L2381</x:f>
        <x:v>Нет</x:v>
      </x:c>
    </x:row>
    <x:row r="2382">
      <x:c r="A2382" s="1" t="str">
        <x:f>'Данные'!A2382</x:f>
        <x:v>400323887</x:v>
      </x:c>
      <x:c r="B2382" s="1" t="str">
        <x:f>'Данные'!B2382</x:f>
        <x:v>hudimanpetlbk/бордовый</x:v>
      </x:c>
      <x:c r="C2382" s="8" t="n">
        <x:f>'Данные'!G2382</x:f>
        <x:v>0</x:v>
      </x:c>
      <x:c r="D2382" s="15" t="n">
        <x:f>C2382/SUM($C$5:$C$2477)</x:f>
        <x:v>0</x:v>
      </x:c>
      <x:c r="E2382" s="15" t="n">
        <x:f>SUM($D$5:D2382)</x:f>
        <x:v>1.0000000000000036</x:v>
      </x:c>
      <x:c r="F2382" s="1" t="str">
        <x:f>IF(C2382&lt;=0,"C",IF(E2382-D2382&lt;'Дашборд'!$C$49,"A",IF(E2382-D2382&lt;'Дашборд'!$C$50,"B","C")))</x:f>
        <x:v>C</x:v>
      </x:c>
      <x:c r="G2382" s="8" t="n">
        <x:f>'Данные'!F2382</x:f>
        <x:v>0</x:v>
      </x:c>
      <x:c r="H2382" s="8" t="n">
        <x:f>SUM('Данные'!H2382:I2382)</x:f>
        <x:v>0</x:v>
      </x:c>
      <x:c r="I2382" s="16" t="str">
        <x:f>IF(H2382&gt;0,G2382/H2382,"n.a.")</x:f>
        <x:v>n.a.</x:v>
      </x:c>
      <x:c r="J2382" s="10" t="n">
        <x:f>IF('Данные'!E2382&gt;0,G2382/'Данные'!E2382,"n.a.")</x:f>
        <x:v>0</x:v>
      </x:c>
      <x:c r="K2382" s="1" t="str">
        <x:f>IF(G2382&gt;='Дашборд'!$C$51,"X","Z")</x:f>
        <x:v>Z</x:v>
      </x:c>
      <x:c r="L2382" s="1" t="str">
        <x:f>IF(H2382=0,IF(G2382&gt;0,"Нет остатка","Нет спроса"),IF(I2382&gt;='Дашборд'!$C$52,"Быстрый","Медленный"))</x:f>
        <x:v>Нет спроса</x:v>
      </x:c>
      <x:c r="M2382" s="1" t="str">
        <x:f>IF('Данные'!E2382&lt;'Дашборд'!$C$53,"Мало трафика",IF(J2382&lt;'Дашборд'!$C$9*'Дашборд'!$C$54,"Да","Нет"))</x:f>
        <x:v>Мало трафика</x:v>
      </x:c>
      <x:c r="N2382" s="1" t="str">
        <x:f>IF(AND('Данные'!D2382&gt;='Дашборд'!$C$55,D2382&lt;'Дашборд'!$C$56,'Данные'!E2382&gt;='Дашборд'!$C$53,'Данные'!L2382&lt;&gt;"Да"),"Да","Нет")</x:f>
        <x:v>Нет</x:v>
      </x:c>
      <x:c r="O2382" s="1" t="str">
        <x:f>'Данные'!L2382</x:f>
        <x:v>Нет</x:v>
      </x:c>
    </x:row>
    <x:row r="2383">
      <x:c r="A2383" s="1" t="str">
        <x:f>'Данные'!A2383</x:f>
        <x:v>400375600</x:v>
      </x:c>
      <x:c r="B2383" s="1" t="str">
        <x:f>'Данные'!B2383</x:f>
        <x:v>kostyumfix3P-37-63bk/серый</x:v>
      </x:c>
      <x:c r="C2383" s="8" t="n">
        <x:f>'Данные'!G2383</x:f>
        <x:v>0</x:v>
      </x:c>
      <x:c r="D2383" s="15" t="n">
        <x:f>C2383/SUM($C$5:$C$2477)</x:f>
        <x:v>0</x:v>
      </x:c>
      <x:c r="E2383" s="15" t="n">
        <x:f>SUM($D$5:D2383)</x:f>
        <x:v>1.0000000000000036</x:v>
      </x:c>
      <x:c r="F2383" s="1" t="str">
        <x:f>IF(C2383&lt;=0,"C",IF(E2383-D2383&lt;'Дашборд'!$C$49,"A",IF(E2383-D2383&lt;'Дашборд'!$C$50,"B","C")))</x:f>
        <x:v>C</x:v>
      </x:c>
      <x:c r="G2383" s="8" t="n">
        <x:f>'Данные'!F2383</x:f>
        <x:v>0</x:v>
      </x:c>
      <x:c r="H2383" s="8" t="n">
        <x:f>SUM('Данные'!H2383:I2383)</x:f>
        <x:v>362</x:v>
      </x:c>
      <x:c r="I2383" s="16" t="n">
        <x:f>IF(H2383&gt;0,G2383/H2383,"n.a.")</x:f>
        <x:v>0</x:v>
      </x:c>
      <x:c r="J2383" s="10" t="str">
        <x:f>IF('Данные'!E2383&gt;0,G2383/'Данные'!E2383,"n.a.")</x:f>
        <x:v>n.a.</x:v>
      </x:c>
      <x:c r="K2383" s="1" t="str">
        <x:f>IF(G2383&gt;='Дашборд'!$C$51,"X","Z")</x:f>
        <x:v>Z</x:v>
      </x:c>
      <x:c r="L2383" s="1" t="str">
        <x:f>IF(H2383=0,IF(G2383&gt;0,"Нет остатка","Нет спроса"),IF(I2383&gt;='Дашборд'!$C$52,"Быстрый","Медленный"))</x:f>
        <x:v>Медленный</x:v>
      </x:c>
      <x:c r="M2383" s="1" t="str">
        <x:f>IF('Данные'!E2383&lt;'Дашборд'!$C$53,"Мало трафика",IF(J2383&lt;'Дашборд'!$C$9*'Дашборд'!$C$54,"Да","Нет"))</x:f>
        <x:v>Мало трафика</x:v>
      </x:c>
      <x:c r="N2383" s="1" t="str">
        <x:f>IF(AND('Данные'!D2383&gt;='Дашборд'!$C$55,D2383&lt;'Дашборд'!$C$56,'Данные'!E2383&gt;='Дашборд'!$C$53,'Данные'!L2383&lt;&gt;"Да"),"Да","Нет")</x:f>
        <x:v>Нет</x:v>
      </x:c>
      <x:c r="O2383" s="1" t="str">
        <x:f>'Данные'!L2383</x:f>
        <x:v>Нет</x:v>
      </x:c>
    </x:row>
    <x:row r="2384">
      <x:c r="A2384" s="1" t="str">
        <x:f>'Данные'!A2384</x:f>
        <x:v>400375602</x:v>
      </x:c>
      <x:c r="B2384" s="1" t="str">
        <x:f>'Данные'!B2384</x:f>
        <x:v>kostyumfix3P-37-63bk/молочный</x:v>
      </x:c>
      <x:c r="C2384" s="8" t="n">
        <x:f>'Данные'!G2384</x:f>
        <x:v>0</x:v>
      </x:c>
      <x:c r="D2384" s="15" t="n">
        <x:f>C2384/SUM($C$5:$C$2477)</x:f>
        <x:v>0</x:v>
      </x:c>
      <x:c r="E2384" s="15" t="n">
        <x:f>SUM($D$5:D2384)</x:f>
        <x:v>1.0000000000000036</x:v>
      </x:c>
      <x:c r="F2384" s="1" t="str">
        <x:f>IF(C2384&lt;=0,"C",IF(E2384-D2384&lt;'Дашборд'!$C$49,"A",IF(E2384-D2384&lt;'Дашборд'!$C$50,"B","C")))</x:f>
        <x:v>C</x:v>
      </x:c>
      <x:c r="G2384" s="8" t="n">
        <x:f>'Данные'!F2384</x:f>
        <x:v>0</x:v>
      </x:c>
      <x:c r="H2384" s="8" t="n">
        <x:f>SUM('Данные'!H2384:I2384)</x:f>
        <x:v>1</x:v>
      </x:c>
      <x:c r="I2384" s="16" t="n">
        <x:f>IF(H2384&gt;0,G2384/H2384,"n.a.")</x:f>
        <x:v>0</x:v>
      </x:c>
      <x:c r="J2384" s="10" t="str">
        <x:f>IF('Данные'!E2384&gt;0,G2384/'Данные'!E2384,"n.a.")</x:f>
        <x:v>n.a.</x:v>
      </x:c>
      <x:c r="K2384" s="1" t="str">
        <x:f>IF(G2384&gt;='Дашборд'!$C$51,"X","Z")</x:f>
        <x:v>Z</x:v>
      </x:c>
      <x:c r="L2384" s="1" t="str">
        <x:f>IF(H2384=0,IF(G2384&gt;0,"Нет остатка","Нет спроса"),IF(I2384&gt;='Дашборд'!$C$52,"Быстрый","Медленный"))</x:f>
        <x:v>Медленный</x:v>
      </x:c>
      <x:c r="M2384" s="1" t="str">
        <x:f>IF('Данные'!E2384&lt;'Дашборд'!$C$53,"Мало трафика",IF(J2384&lt;'Дашборд'!$C$9*'Дашборд'!$C$54,"Да","Нет"))</x:f>
        <x:v>Мало трафика</x:v>
      </x:c>
      <x:c r="N2384" s="1" t="str">
        <x:f>IF(AND('Данные'!D2384&gt;='Дашборд'!$C$55,D2384&lt;'Дашборд'!$C$56,'Данные'!E2384&gt;='Дашборд'!$C$53,'Данные'!L2384&lt;&gt;"Да"),"Да","Нет")</x:f>
        <x:v>Нет</x:v>
      </x:c>
      <x:c r="O2384" s="1" t="str">
        <x:f>'Данные'!L2384</x:f>
        <x:v>Нет</x:v>
      </x:c>
    </x:row>
    <x:row r="2385">
      <x:c r="A2385" s="1" t="str">
        <x:f>'Данные'!A2385</x:f>
        <x:v>400478014</x:v>
      </x:c>
      <x:c r="B2385" s="1" t="str">
        <x:f>'Данные'!B2385</x:f>
        <x:v>tolstovkazip3P-70bk/сливочный</x:v>
      </x:c>
      <x:c r="C2385" s="8" t="n">
        <x:f>'Данные'!G2385</x:f>
        <x:v>0</x:v>
      </x:c>
      <x:c r="D2385" s="15" t="n">
        <x:f>C2385/SUM($C$5:$C$2477)</x:f>
        <x:v>0</x:v>
      </x:c>
      <x:c r="E2385" s="15" t="n">
        <x:f>SUM($D$5:D2385)</x:f>
        <x:v>1.0000000000000036</x:v>
      </x:c>
      <x:c r="F2385" s="1" t="str">
        <x:f>IF(C2385&lt;=0,"C",IF(E2385-D2385&lt;'Дашборд'!$C$49,"A",IF(E2385-D2385&lt;'Дашборд'!$C$50,"B","C")))</x:f>
        <x:v>C</x:v>
      </x:c>
      <x:c r="G2385" s="8" t="n">
        <x:f>'Данные'!F2385</x:f>
        <x:v>0</x:v>
      </x:c>
      <x:c r="H2385" s="8" t="n">
        <x:f>SUM('Данные'!H2385:I2385)</x:f>
        <x:v>0</x:v>
      </x:c>
      <x:c r="I2385" s="16" t="str">
        <x:f>IF(H2385&gt;0,G2385/H2385,"n.a.")</x:f>
        <x:v>n.a.</x:v>
      </x:c>
      <x:c r="J2385" s="10" t="n">
        <x:f>IF('Данные'!E2385&gt;0,G2385/'Данные'!E2385,"n.a.")</x:f>
        <x:v>0</x:v>
      </x:c>
      <x:c r="K2385" s="1" t="str">
        <x:f>IF(G2385&gt;='Дашборд'!$C$51,"X","Z")</x:f>
        <x:v>Z</x:v>
      </x:c>
      <x:c r="L2385" s="1" t="str">
        <x:f>IF(H2385=0,IF(G2385&gt;0,"Нет остатка","Нет спроса"),IF(I2385&gt;='Дашборд'!$C$52,"Быстрый","Медленный"))</x:f>
        <x:v>Нет спроса</x:v>
      </x:c>
      <x:c r="M2385" s="1" t="str">
        <x:f>IF('Данные'!E2385&lt;'Дашборд'!$C$53,"Мало трафика",IF(J2385&lt;'Дашборд'!$C$9*'Дашборд'!$C$54,"Да","Нет"))</x:f>
        <x:v>Мало трафика</x:v>
      </x:c>
      <x:c r="N2385" s="1" t="str">
        <x:f>IF(AND('Данные'!D2385&gt;='Дашборд'!$C$55,D2385&lt;'Дашборд'!$C$56,'Данные'!E2385&gt;='Дашборд'!$C$53,'Данные'!L2385&lt;&gt;"Да"),"Да","Нет")</x:f>
        <x:v>Нет</x:v>
      </x:c>
      <x:c r="O2385" s="1" t="str">
        <x:f>'Данные'!L2385</x:f>
        <x:v>Да</x:v>
      </x:c>
    </x:row>
    <x:row r="2386">
      <x:c r="A2386" s="1" t="str">
        <x:f>'Данные'!A2386</x:f>
        <x:v>402603181</x:v>
      </x:c>
      <x:c r="B2386" s="1" t="str">
        <x:f>'Данные'!B2386</x:f>
        <x:v>futbolka_mary/кофейный</x:v>
      </x:c>
      <x:c r="C2386" s="8" t="n">
        <x:f>'Данные'!G2386</x:f>
        <x:v>0</x:v>
      </x:c>
      <x:c r="D2386" s="15" t="n">
        <x:f>C2386/SUM($C$5:$C$2477)</x:f>
        <x:v>0</x:v>
      </x:c>
      <x:c r="E2386" s="15" t="n">
        <x:f>SUM($D$5:D2386)</x:f>
        <x:v>1.0000000000000036</x:v>
      </x:c>
      <x:c r="F2386" s="1" t="str">
        <x:f>IF(C2386&lt;=0,"C",IF(E2386-D2386&lt;'Дашборд'!$C$49,"A",IF(E2386-D2386&lt;'Дашборд'!$C$50,"B","C")))</x:f>
        <x:v>C</x:v>
      </x:c>
      <x:c r="G2386" s="8" t="n">
        <x:f>'Данные'!F2386</x:f>
        <x:v>0</x:v>
      </x:c>
      <x:c r="H2386" s="8" t="n">
        <x:f>SUM('Данные'!H2386:I2386)</x:f>
        <x:v>2</x:v>
      </x:c>
      <x:c r="I2386" s="16" t="n">
        <x:f>IF(H2386&gt;0,G2386/H2386,"n.a.")</x:f>
        <x:v>0</x:v>
      </x:c>
      <x:c r="J2386" s="10" t="str">
        <x:f>IF('Данные'!E2386&gt;0,G2386/'Данные'!E2386,"n.a.")</x:f>
        <x:v>n.a.</x:v>
      </x:c>
      <x:c r="K2386" s="1" t="str">
        <x:f>IF(G2386&gt;='Дашборд'!$C$51,"X","Z")</x:f>
        <x:v>Z</x:v>
      </x:c>
      <x:c r="L2386" s="1" t="str">
        <x:f>IF(H2386=0,IF(G2386&gt;0,"Нет остатка","Нет спроса"),IF(I2386&gt;='Дашборд'!$C$52,"Быстрый","Медленный"))</x:f>
        <x:v>Медленный</x:v>
      </x:c>
      <x:c r="M2386" s="1" t="str">
        <x:f>IF('Данные'!E2386&lt;'Дашборд'!$C$53,"Мало трафика",IF(J2386&lt;'Дашборд'!$C$9*'Дашборд'!$C$54,"Да","Нет"))</x:f>
        <x:v>Мало трафика</x:v>
      </x:c>
      <x:c r="N2386" s="1" t="str">
        <x:f>IF(AND('Данные'!D2386&gt;='Дашборд'!$C$55,D2386&lt;'Дашборд'!$C$56,'Данные'!E2386&gt;='Дашборд'!$C$53,'Данные'!L2386&lt;&gt;"Да"),"Да","Нет")</x:f>
        <x:v>Нет</x:v>
      </x:c>
      <x:c r="O2386" s="1" t="str">
        <x:f>'Данные'!L2386</x:f>
        <x:v>Нет</x:v>
      </x:c>
    </x:row>
    <x:row r="2387">
      <x:c r="A2387" s="1" t="str">
        <x:f>'Данные'!A2387</x:f>
        <x:v>40806200</x:v>
      </x:c>
      <x:c r="B2387" s="1" t="str">
        <x:f>'Данные'!B2387</x:f>
        <x:v>longslivdlinna/белый</x:v>
      </x:c>
      <x:c r="C2387" s="8" t="n">
        <x:f>'Данные'!G2387</x:f>
        <x:v>0</x:v>
      </x:c>
      <x:c r="D2387" s="15" t="n">
        <x:f>C2387/SUM($C$5:$C$2477)</x:f>
        <x:v>0</x:v>
      </x:c>
      <x:c r="E2387" s="15" t="n">
        <x:f>SUM($D$5:D2387)</x:f>
        <x:v>1.0000000000000036</x:v>
      </x:c>
      <x:c r="F2387" s="1" t="str">
        <x:f>IF(C2387&lt;=0,"C",IF(E2387-D2387&lt;'Дашборд'!$C$49,"A",IF(E2387-D2387&lt;'Дашборд'!$C$50,"B","C")))</x:f>
        <x:v>C</x:v>
      </x:c>
      <x:c r="G2387" s="8" t="n">
        <x:f>'Данные'!F2387</x:f>
        <x:v>0</x:v>
      </x:c>
      <x:c r="H2387" s="8" t="n">
        <x:f>SUM('Данные'!H2387:I2387)</x:f>
        <x:v>1</x:v>
      </x:c>
      <x:c r="I2387" s="16" t="n">
        <x:f>IF(H2387&gt;0,G2387/H2387,"n.a.")</x:f>
        <x:v>0</x:v>
      </x:c>
      <x:c r="J2387" s="10" t="n">
        <x:f>IF('Данные'!E2387&gt;0,G2387/'Данные'!E2387,"n.a.")</x:f>
        <x:v>0</x:v>
      </x:c>
      <x:c r="K2387" s="1" t="str">
        <x:f>IF(G2387&gt;='Дашборд'!$C$51,"X","Z")</x:f>
        <x:v>Z</x:v>
      </x:c>
      <x:c r="L2387" s="1" t="str">
        <x:f>IF(H2387=0,IF(G2387&gt;0,"Нет остатка","Нет спроса"),IF(I2387&gt;='Дашборд'!$C$52,"Быстрый","Медленный"))</x:f>
        <x:v>Медленный</x:v>
      </x:c>
      <x:c r="M2387" s="1" t="str">
        <x:f>IF('Данные'!E2387&lt;'Дашборд'!$C$53,"Мало трафика",IF(J2387&lt;'Дашборд'!$C$9*'Дашборд'!$C$54,"Да","Нет"))</x:f>
        <x:v>Мало трафика</x:v>
      </x:c>
      <x:c r="N2387" s="1" t="str">
        <x:f>IF(AND('Данные'!D2387&gt;='Дашборд'!$C$55,D2387&lt;'Дашборд'!$C$56,'Данные'!E2387&gt;='Дашборд'!$C$53,'Данные'!L2387&lt;&gt;"Да"),"Да","Нет")</x:f>
        <x:v>Нет</x:v>
      </x:c>
      <x:c r="O2387" s="1" t="str">
        <x:f>'Данные'!L2387</x:f>
        <x:v>Нет</x:v>
      </x:c>
    </x:row>
    <x:row r="2388">
      <x:c r="A2388" s="1" t="str">
        <x:f>'Данные'!A2388</x:f>
        <x:v>40806202</x:v>
      </x:c>
      <x:c r="B2388" s="1" t="str">
        <x:f>'Данные'!B2388</x:f>
        <x:v>longslivdlinna/бежевый</x:v>
      </x:c>
      <x:c r="C2388" s="8" t="n">
        <x:f>'Данные'!G2388</x:f>
        <x:v>0</x:v>
      </x:c>
      <x:c r="D2388" s="15" t="n">
        <x:f>C2388/SUM($C$5:$C$2477)</x:f>
        <x:v>0</x:v>
      </x:c>
      <x:c r="E2388" s="15" t="n">
        <x:f>SUM($D$5:D2388)</x:f>
        <x:v>1.0000000000000036</x:v>
      </x:c>
      <x:c r="F2388" s="1" t="str">
        <x:f>IF(C2388&lt;=0,"C",IF(E2388-D2388&lt;'Дашборд'!$C$49,"A",IF(E2388-D2388&lt;'Дашборд'!$C$50,"B","C")))</x:f>
        <x:v>C</x:v>
      </x:c>
      <x:c r="G2388" s="8" t="n">
        <x:f>'Данные'!F2388</x:f>
        <x:v>4</x:v>
      </x:c>
      <x:c r="H2388" s="8" t="n">
        <x:f>SUM('Данные'!H2388:I2388)</x:f>
        <x:v>1</x:v>
      </x:c>
      <x:c r="I2388" s="16" t="n">
        <x:f>IF(H2388&gt;0,G2388/H2388,"n.a.")</x:f>
        <x:v>4</x:v>
      </x:c>
      <x:c r="J2388" s="10" t="n">
        <x:f>IF('Данные'!E2388&gt;0,G2388/'Данные'!E2388,"n.a.")</x:f>
        <x:v>0.004464285714285714</x:v>
      </x:c>
      <x:c r="K2388" s="1" t="str">
        <x:f>IF(G2388&gt;='Дашборд'!$C$51,"X","Z")</x:f>
        <x:v>Z</x:v>
      </x:c>
      <x:c r="L2388" s="1" t="str">
        <x:f>IF(H2388=0,IF(G2388&gt;0,"Нет остатка","Нет спроса"),IF(I2388&gt;='Дашборд'!$C$52,"Быстрый","Медленный"))</x:f>
        <x:v>Быстрый</x:v>
      </x:c>
      <x:c r="M2388" s="1" t="str">
        <x:f>IF('Данные'!E2388&lt;'Дашборд'!$C$53,"Мало трафика",IF(J2388&lt;'Дашборд'!$C$9*'Дашборд'!$C$54,"Да","Нет"))</x:f>
        <x:v>Мало трафика</x:v>
      </x:c>
      <x:c r="N2388" s="1" t="str">
        <x:f>IF(AND('Данные'!D2388&gt;='Дашборд'!$C$55,D2388&lt;'Дашборд'!$C$56,'Данные'!E2388&gt;='Дашборд'!$C$53,'Данные'!L2388&lt;&gt;"Да"),"Да","Нет")</x:f>
        <x:v>Нет</x:v>
      </x:c>
      <x:c r="O2388" s="1" t="str">
        <x:f>'Данные'!L2388</x:f>
        <x:v>Нет</x:v>
      </x:c>
    </x:row>
    <x:row r="2389">
      <x:c r="A2389" s="1" t="str">
        <x:f>'Данные'!A2389</x:f>
        <x:v>41477883</x:v>
      </x:c>
      <x:c r="B2389" s="1" t="str">
        <x:f>'Данные'!B2389</x:f>
        <x:v>longslivkvadrat/бежевый</x:v>
      </x:c>
      <x:c r="C2389" s="8" t="n">
        <x:f>'Данные'!G2389</x:f>
        <x:v>0</x:v>
      </x:c>
      <x:c r="D2389" s="15" t="n">
        <x:f>C2389/SUM($C$5:$C$2477)</x:f>
        <x:v>0</x:v>
      </x:c>
      <x:c r="E2389" s="15" t="n">
        <x:f>SUM($D$5:D2389)</x:f>
        <x:v>1.0000000000000036</x:v>
      </x:c>
      <x:c r="F2389" s="1" t="str">
        <x:f>IF(C2389&lt;=0,"C",IF(E2389-D2389&lt;'Дашборд'!$C$49,"A",IF(E2389-D2389&lt;'Дашборд'!$C$50,"B","C")))</x:f>
        <x:v>C</x:v>
      </x:c>
      <x:c r="G2389" s="8" t="n">
        <x:f>'Данные'!F2389</x:f>
        <x:v>0</x:v>
      </x:c>
      <x:c r="H2389" s="8" t="n">
        <x:f>SUM('Данные'!H2389:I2389)</x:f>
        <x:v>0</x:v>
      </x:c>
      <x:c r="I2389" s="16" t="str">
        <x:f>IF(H2389&gt;0,G2389/H2389,"n.a.")</x:f>
        <x:v>n.a.</x:v>
      </x:c>
      <x:c r="J2389" s="10" t="n">
        <x:f>IF('Данные'!E2389&gt;0,G2389/'Данные'!E2389,"n.a.")</x:f>
        <x:v>0</x:v>
      </x:c>
      <x:c r="K2389" s="1" t="str">
        <x:f>IF(G2389&gt;='Дашборд'!$C$51,"X","Z")</x:f>
        <x:v>Z</x:v>
      </x:c>
      <x:c r="L2389" s="1" t="str">
        <x:f>IF(H2389=0,IF(G2389&gt;0,"Нет остатка","Нет спроса"),IF(I2389&gt;='Дашборд'!$C$52,"Быстрый","Медленный"))</x:f>
        <x:v>Нет спроса</x:v>
      </x:c>
      <x:c r="M2389" s="1" t="str">
        <x:f>IF('Данные'!E2389&lt;'Дашборд'!$C$53,"Мало трафика",IF(J2389&lt;'Дашборд'!$C$9*'Дашборд'!$C$54,"Да","Нет"))</x:f>
        <x:v>Мало трафика</x:v>
      </x:c>
      <x:c r="N2389" s="1" t="str">
        <x:f>IF(AND('Данные'!D2389&gt;='Дашборд'!$C$55,D2389&lt;'Дашборд'!$C$56,'Данные'!E2389&gt;='Дашборд'!$C$53,'Данные'!L2389&lt;&gt;"Да"),"Да","Нет")</x:f>
        <x:v>Нет</x:v>
      </x:c>
      <x:c r="O2389" s="1" t="str">
        <x:f>'Данные'!L2389</x:f>
        <x:v>Нет</x:v>
      </x:c>
    </x:row>
    <x:row r="2390">
      <x:c r="A2390" s="1" t="str">
        <x:f>'Данные'!A2390</x:f>
        <x:v>41478136</x:v>
      </x:c>
      <x:c r="B2390" s="1" t="str">
        <x:f>'Данные'!B2390</x:f>
        <x:v>longslivkvadrat/белый</x:v>
      </x:c>
      <x:c r="C2390" s="8" t="n">
        <x:f>'Данные'!G2390</x:f>
        <x:v>0</x:v>
      </x:c>
      <x:c r="D2390" s="15" t="n">
        <x:f>C2390/SUM($C$5:$C$2477)</x:f>
        <x:v>0</x:v>
      </x:c>
      <x:c r="E2390" s="15" t="n">
        <x:f>SUM($D$5:D2390)</x:f>
        <x:v>1.0000000000000036</x:v>
      </x:c>
      <x:c r="F2390" s="1" t="str">
        <x:f>IF(C2390&lt;=0,"C",IF(E2390-D2390&lt;'Дашборд'!$C$49,"A",IF(E2390-D2390&lt;'Дашборд'!$C$50,"B","C")))</x:f>
        <x:v>C</x:v>
      </x:c>
      <x:c r="G2390" s="8" t="n">
        <x:f>'Данные'!F2390</x:f>
        <x:v>0</x:v>
      </x:c>
      <x:c r="H2390" s="8" t="n">
        <x:f>SUM('Данные'!H2390:I2390)</x:f>
        <x:v>0</x:v>
      </x:c>
      <x:c r="I2390" s="16" t="str">
        <x:f>IF(H2390&gt;0,G2390/H2390,"n.a.")</x:f>
        <x:v>n.a.</x:v>
      </x:c>
      <x:c r="J2390" s="10" t="n">
        <x:f>IF('Данные'!E2390&gt;0,G2390/'Данные'!E2390,"n.a.")</x:f>
        <x:v>0</x:v>
      </x:c>
      <x:c r="K2390" s="1" t="str">
        <x:f>IF(G2390&gt;='Дашборд'!$C$51,"X","Z")</x:f>
        <x:v>Z</x:v>
      </x:c>
      <x:c r="L2390" s="1" t="str">
        <x:f>IF(H2390=0,IF(G2390&gt;0,"Нет остатка","Нет спроса"),IF(I2390&gt;='Дашборд'!$C$52,"Быстрый","Медленный"))</x:f>
        <x:v>Нет спроса</x:v>
      </x:c>
      <x:c r="M2390" s="1" t="str">
        <x:f>IF('Данные'!E2390&lt;'Дашборд'!$C$53,"Мало трафика",IF(J2390&lt;'Дашборд'!$C$9*'Дашборд'!$C$54,"Да","Нет"))</x:f>
        <x:v>Мало трафика</x:v>
      </x:c>
      <x:c r="N2390" s="1" t="str">
        <x:f>IF(AND('Данные'!D2390&gt;='Дашборд'!$C$55,D2390&lt;'Дашборд'!$C$56,'Данные'!E2390&gt;='Дашборд'!$C$53,'Данные'!L2390&lt;&gt;"Да"),"Да","Нет")</x:f>
        <x:v>Нет</x:v>
      </x:c>
      <x:c r="O2390" s="1" t="str">
        <x:f>'Данные'!L2390</x:f>
        <x:v>Нет</x:v>
      </x:c>
    </x:row>
    <x:row r="2391">
      <x:c r="A2391" s="1" t="str">
        <x:f>'Данные'!A2391</x:f>
        <x:v>41478631</x:v>
      </x:c>
      <x:c r="B2391" s="1" t="str">
        <x:f>'Данные'!B2391</x:f>
        <x:v>longslivkvadrat/красный</x:v>
      </x:c>
      <x:c r="C2391" s="8" t="n">
        <x:f>'Данные'!G2391</x:f>
        <x:v>0</x:v>
      </x:c>
      <x:c r="D2391" s="15" t="n">
        <x:f>C2391/SUM($C$5:$C$2477)</x:f>
        <x:v>0</x:v>
      </x:c>
      <x:c r="E2391" s="15" t="n">
        <x:f>SUM($D$5:D2391)</x:f>
        <x:v>1.0000000000000036</x:v>
      </x:c>
      <x:c r="F2391" s="1" t="str">
        <x:f>IF(C2391&lt;=0,"C",IF(E2391-D2391&lt;'Дашборд'!$C$49,"A",IF(E2391-D2391&lt;'Дашборд'!$C$50,"B","C")))</x:f>
        <x:v>C</x:v>
      </x:c>
      <x:c r="G2391" s="8" t="n">
        <x:f>'Данные'!F2391</x:f>
        <x:v>0</x:v>
      </x:c>
      <x:c r="H2391" s="8" t="n">
        <x:f>SUM('Данные'!H2391:I2391)</x:f>
        <x:v>0</x:v>
      </x:c>
      <x:c r="I2391" s="16" t="str">
        <x:f>IF(H2391&gt;0,G2391/H2391,"n.a.")</x:f>
        <x:v>n.a.</x:v>
      </x:c>
      <x:c r="J2391" s="10" t="n">
        <x:f>IF('Данные'!E2391&gt;0,G2391/'Данные'!E2391,"n.a.")</x:f>
        <x:v>0</x:v>
      </x:c>
      <x:c r="K2391" s="1" t="str">
        <x:f>IF(G2391&gt;='Дашборд'!$C$51,"X","Z")</x:f>
        <x:v>Z</x:v>
      </x:c>
      <x:c r="L2391" s="1" t="str">
        <x:f>IF(H2391=0,IF(G2391&gt;0,"Нет остатка","Нет спроса"),IF(I2391&gt;='Дашборд'!$C$52,"Быстрый","Медленный"))</x:f>
        <x:v>Нет спроса</x:v>
      </x:c>
      <x:c r="M2391" s="1" t="str">
        <x:f>IF('Данные'!E2391&lt;'Дашборд'!$C$53,"Мало трафика",IF(J2391&lt;'Дашборд'!$C$9*'Дашборд'!$C$54,"Да","Нет"))</x:f>
        <x:v>Мало трафика</x:v>
      </x:c>
      <x:c r="N2391" s="1" t="str">
        <x:f>IF(AND('Данные'!D2391&gt;='Дашборд'!$C$55,D2391&lt;'Дашборд'!$C$56,'Данные'!E2391&gt;='Дашборд'!$C$53,'Данные'!L2391&lt;&gt;"Да"),"Да","Нет")</x:f>
        <x:v>Нет</x:v>
      </x:c>
      <x:c r="O2391" s="1" t="str">
        <x:f>'Данные'!L2391</x:f>
        <x:v>Нет</x:v>
      </x:c>
    </x:row>
    <x:row r="2392">
      <x:c r="A2392" s="1" t="str">
        <x:f>'Данные'!A2392</x:f>
        <x:v>41479103</x:v>
      </x:c>
      <x:c r="B2392" s="1" t="str">
        <x:f>'Данные'!B2392</x:f>
        <x:v>longslivkvadrat/пудровый</x:v>
      </x:c>
      <x:c r="C2392" s="8" t="n">
        <x:f>'Данные'!G2392</x:f>
        <x:v>0</x:v>
      </x:c>
      <x:c r="D2392" s="15" t="n">
        <x:f>C2392/SUM($C$5:$C$2477)</x:f>
        <x:v>0</x:v>
      </x:c>
      <x:c r="E2392" s="15" t="n">
        <x:f>SUM($D$5:D2392)</x:f>
        <x:v>1.0000000000000036</x:v>
      </x:c>
      <x:c r="F2392" s="1" t="str">
        <x:f>IF(C2392&lt;=0,"C",IF(E2392-D2392&lt;'Дашборд'!$C$49,"A",IF(E2392-D2392&lt;'Дашборд'!$C$50,"B","C")))</x:f>
        <x:v>C</x:v>
      </x:c>
      <x:c r="G2392" s="8" t="n">
        <x:f>'Данные'!F2392</x:f>
        <x:v>3</x:v>
      </x:c>
      <x:c r="H2392" s="8" t="n">
        <x:f>SUM('Данные'!H2392:I2392)</x:f>
        <x:v>0</x:v>
      </x:c>
      <x:c r="I2392" s="16" t="str">
        <x:f>IF(H2392&gt;0,G2392/H2392,"n.a.")</x:f>
        <x:v>n.a.</x:v>
      </x:c>
      <x:c r="J2392" s="10" t="n">
        <x:f>IF('Данные'!E2392&gt;0,G2392/'Данные'!E2392,"n.a.")</x:f>
        <x:v>0.02459016393442623</x:v>
      </x:c>
      <x:c r="K2392" s="1" t="str">
        <x:f>IF(G2392&gt;='Дашборд'!$C$51,"X","Z")</x:f>
        <x:v>Z</x:v>
      </x:c>
      <x:c r="L2392" s="1" t="str">
        <x:f>IF(H2392=0,IF(G2392&gt;0,"Нет остатка","Нет спроса"),IF(I2392&gt;='Дашборд'!$C$52,"Быстрый","Медленный"))</x:f>
        <x:v>Нет остатка</x:v>
      </x:c>
      <x:c r="M2392" s="1" t="str">
        <x:f>IF('Данные'!E2392&lt;'Дашборд'!$C$53,"Мало трафика",IF(J2392&lt;'Дашборд'!$C$9*'Дашборд'!$C$54,"Да","Нет"))</x:f>
        <x:v>Мало трафика</x:v>
      </x:c>
      <x:c r="N2392" s="1" t="str">
        <x:f>IF(AND('Данные'!D2392&gt;='Дашборд'!$C$55,D2392&lt;'Дашборд'!$C$56,'Данные'!E2392&gt;='Дашборд'!$C$53,'Данные'!L2392&lt;&gt;"Да"),"Да","Нет")</x:f>
        <x:v>Нет</x:v>
      </x:c>
      <x:c r="O2392" s="1" t="str">
        <x:f>'Данные'!L2392</x:f>
        <x:v>Нет</x:v>
      </x:c>
    </x:row>
    <x:row r="2393">
      <x:c r="A2393" s="1" t="str">
        <x:f>'Данные'!A2393</x:f>
        <x:v>41482947</x:v>
      </x:c>
      <x:c r="B2393" s="1" t="str">
        <x:f>'Данные'!B2393</x:f>
        <x:v>longslivkvadratkorot/бежевый</x:v>
      </x:c>
      <x:c r="C2393" s="8" t="n">
        <x:f>'Данные'!G2393</x:f>
        <x:v>0</x:v>
      </x:c>
      <x:c r="D2393" s="15" t="n">
        <x:f>C2393/SUM($C$5:$C$2477)</x:f>
        <x:v>0</x:v>
      </x:c>
      <x:c r="E2393" s="15" t="n">
        <x:f>SUM($D$5:D2393)</x:f>
        <x:v>1.0000000000000036</x:v>
      </x:c>
      <x:c r="F2393" s="1" t="str">
        <x:f>IF(C2393&lt;=0,"C",IF(E2393-D2393&lt;'Дашборд'!$C$49,"A",IF(E2393-D2393&lt;'Дашборд'!$C$50,"B","C")))</x:f>
        <x:v>C</x:v>
      </x:c>
      <x:c r="G2393" s="8" t="n">
        <x:f>'Данные'!F2393</x:f>
        <x:v>0</x:v>
      </x:c>
      <x:c r="H2393" s="8" t="n">
        <x:f>SUM('Данные'!H2393:I2393)</x:f>
        <x:v>0</x:v>
      </x:c>
      <x:c r="I2393" s="16" t="str">
        <x:f>IF(H2393&gt;0,G2393/H2393,"n.a.")</x:f>
        <x:v>n.a.</x:v>
      </x:c>
      <x:c r="J2393" s="10" t="n">
        <x:f>IF('Данные'!E2393&gt;0,G2393/'Данные'!E2393,"n.a.")</x:f>
        <x:v>0</x:v>
      </x:c>
      <x:c r="K2393" s="1" t="str">
        <x:f>IF(G2393&gt;='Дашборд'!$C$51,"X","Z")</x:f>
        <x:v>Z</x:v>
      </x:c>
      <x:c r="L2393" s="1" t="str">
        <x:f>IF(H2393=0,IF(G2393&gt;0,"Нет остатка","Нет спроса"),IF(I2393&gt;='Дашборд'!$C$52,"Быстрый","Медленный"))</x:f>
        <x:v>Нет спроса</x:v>
      </x:c>
      <x:c r="M2393" s="1" t="str">
        <x:f>IF('Данные'!E2393&lt;'Дашборд'!$C$53,"Мало трафика",IF(J2393&lt;'Дашборд'!$C$9*'Дашборд'!$C$54,"Да","Нет"))</x:f>
        <x:v>Мало трафика</x:v>
      </x:c>
      <x:c r="N2393" s="1" t="str">
        <x:f>IF(AND('Данные'!D2393&gt;='Дашборд'!$C$55,D2393&lt;'Дашборд'!$C$56,'Данные'!E2393&gt;='Дашборд'!$C$53,'Данные'!L2393&lt;&gt;"Да"),"Да","Нет")</x:f>
        <x:v>Нет</x:v>
      </x:c>
      <x:c r="O2393" s="1" t="str">
        <x:f>'Данные'!L2393</x:f>
        <x:v>Нет</x:v>
      </x:c>
    </x:row>
    <x:row r="2394">
      <x:c r="A2394" s="1" t="str">
        <x:f>'Данные'!A2394</x:f>
        <x:v>41483320</x:v>
      </x:c>
      <x:c r="B2394" s="1" t="str">
        <x:f>'Данные'!B2394</x:f>
        <x:v>longslivkvadratkorot/белый</x:v>
      </x:c>
      <x:c r="C2394" s="8" t="n">
        <x:f>'Данные'!G2394</x:f>
        <x:v>0</x:v>
      </x:c>
      <x:c r="D2394" s="15" t="n">
        <x:f>C2394/SUM($C$5:$C$2477)</x:f>
        <x:v>0</x:v>
      </x:c>
      <x:c r="E2394" s="15" t="n">
        <x:f>SUM($D$5:D2394)</x:f>
        <x:v>1.0000000000000036</x:v>
      </x:c>
      <x:c r="F2394" s="1" t="str">
        <x:f>IF(C2394&lt;=0,"C",IF(E2394-D2394&lt;'Дашборд'!$C$49,"A",IF(E2394-D2394&lt;'Дашборд'!$C$50,"B","C")))</x:f>
        <x:v>C</x:v>
      </x:c>
      <x:c r="G2394" s="8" t="n">
        <x:f>'Данные'!F2394</x:f>
        <x:v>0</x:v>
      </x:c>
      <x:c r="H2394" s="8" t="n">
        <x:f>SUM('Данные'!H2394:I2394)</x:f>
        <x:v>0</x:v>
      </x:c>
      <x:c r="I2394" s="16" t="str">
        <x:f>IF(H2394&gt;0,G2394/H2394,"n.a.")</x:f>
        <x:v>n.a.</x:v>
      </x:c>
      <x:c r="J2394" s="10" t="n">
        <x:f>IF('Данные'!E2394&gt;0,G2394/'Данные'!E2394,"n.a.")</x:f>
        <x:v>0</x:v>
      </x:c>
      <x:c r="K2394" s="1" t="str">
        <x:f>IF(G2394&gt;='Дашборд'!$C$51,"X","Z")</x:f>
        <x:v>Z</x:v>
      </x:c>
      <x:c r="L2394" s="1" t="str">
        <x:f>IF(H2394=0,IF(G2394&gt;0,"Нет остатка","Нет спроса"),IF(I2394&gt;='Дашборд'!$C$52,"Быстрый","Медленный"))</x:f>
        <x:v>Нет спроса</x:v>
      </x:c>
      <x:c r="M2394" s="1" t="str">
        <x:f>IF('Данные'!E2394&lt;'Дашборд'!$C$53,"Мало трафика",IF(J2394&lt;'Дашборд'!$C$9*'Дашборд'!$C$54,"Да","Нет"))</x:f>
        <x:v>Мало трафика</x:v>
      </x:c>
      <x:c r="N2394" s="1" t="str">
        <x:f>IF(AND('Данные'!D2394&gt;='Дашборд'!$C$55,D2394&lt;'Дашборд'!$C$56,'Данные'!E2394&gt;='Дашборд'!$C$53,'Данные'!L2394&lt;&gt;"Да"),"Да","Нет")</x:f>
        <x:v>Нет</x:v>
      </x:c>
      <x:c r="O2394" s="1" t="str">
        <x:f>'Данные'!L2394</x:f>
        <x:v>Нет</x:v>
      </x:c>
    </x:row>
    <x:row r="2395">
      <x:c r="A2395" s="1" t="str">
        <x:f>'Данные'!A2395</x:f>
        <x:v>41484539</x:v>
      </x:c>
      <x:c r="B2395" s="1" t="str">
        <x:f>'Данные'!B2395</x:f>
        <x:v>longslivkvadratkorot/пудровый</x:v>
      </x:c>
      <x:c r="C2395" s="8" t="n">
        <x:f>'Данные'!G2395</x:f>
        <x:v>0</x:v>
      </x:c>
      <x:c r="D2395" s="15" t="n">
        <x:f>C2395/SUM($C$5:$C$2477)</x:f>
        <x:v>0</x:v>
      </x:c>
      <x:c r="E2395" s="15" t="n">
        <x:f>SUM($D$5:D2395)</x:f>
        <x:v>1.0000000000000036</x:v>
      </x:c>
      <x:c r="F2395" s="1" t="str">
        <x:f>IF(C2395&lt;=0,"C",IF(E2395-D2395&lt;'Дашборд'!$C$49,"A",IF(E2395-D2395&lt;'Дашборд'!$C$50,"B","C")))</x:f>
        <x:v>C</x:v>
      </x:c>
      <x:c r="G2395" s="8" t="n">
        <x:f>'Данные'!F2395</x:f>
        <x:v>0</x:v>
      </x:c>
      <x:c r="H2395" s="8" t="n">
        <x:f>SUM('Данные'!H2395:I2395)</x:f>
        <x:v>0</x:v>
      </x:c>
      <x:c r="I2395" s="16" t="str">
        <x:f>IF(H2395&gt;0,G2395/H2395,"n.a.")</x:f>
        <x:v>n.a.</x:v>
      </x:c>
      <x:c r="J2395" s="10" t="n">
        <x:f>IF('Данные'!E2395&gt;0,G2395/'Данные'!E2395,"n.a.")</x:f>
        <x:v>0</x:v>
      </x:c>
      <x:c r="K2395" s="1" t="str">
        <x:f>IF(G2395&gt;='Дашборд'!$C$51,"X","Z")</x:f>
        <x:v>Z</x:v>
      </x:c>
      <x:c r="L2395" s="1" t="str">
        <x:f>IF(H2395=0,IF(G2395&gt;0,"Нет остатка","Нет спроса"),IF(I2395&gt;='Дашборд'!$C$52,"Быстрый","Медленный"))</x:f>
        <x:v>Нет спроса</x:v>
      </x:c>
      <x:c r="M2395" s="1" t="str">
        <x:f>IF('Данные'!E2395&lt;'Дашборд'!$C$53,"Мало трафика",IF(J2395&lt;'Дашборд'!$C$9*'Дашборд'!$C$54,"Да","Нет"))</x:f>
        <x:v>Мало трафика</x:v>
      </x:c>
      <x:c r="N2395" s="1" t="str">
        <x:f>IF(AND('Данные'!D2395&gt;='Дашборд'!$C$55,D2395&lt;'Дашборд'!$C$56,'Данные'!E2395&gt;='Дашборд'!$C$53,'Данные'!L2395&lt;&gt;"Да"),"Да","Нет")</x:f>
        <x:v>Нет</x:v>
      </x:c>
      <x:c r="O2395" s="1" t="str">
        <x:f>'Данные'!L2395</x:f>
        <x:v>Нет</x:v>
      </x:c>
    </x:row>
    <x:row r="2396">
      <x:c r="A2396" s="1" t="str">
        <x:f>'Данные'!A2396</x:f>
        <x:v>41484880</x:v>
      </x:c>
      <x:c r="B2396" s="1" t="str">
        <x:f>'Данные'!B2396</x:f>
        <x:v>longslivkvadratkorot/какао</x:v>
      </x:c>
      <x:c r="C2396" s="8" t="n">
        <x:f>'Данные'!G2396</x:f>
        <x:v>0</x:v>
      </x:c>
      <x:c r="D2396" s="15" t="n">
        <x:f>C2396/SUM($C$5:$C$2477)</x:f>
        <x:v>0</x:v>
      </x:c>
      <x:c r="E2396" s="15" t="n">
        <x:f>SUM($D$5:D2396)</x:f>
        <x:v>1.0000000000000036</x:v>
      </x:c>
      <x:c r="F2396" s="1" t="str">
        <x:f>IF(C2396&lt;=0,"C",IF(E2396-D2396&lt;'Дашборд'!$C$49,"A",IF(E2396-D2396&lt;'Дашборд'!$C$50,"B","C")))</x:f>
        <x:v>C</x:v>
      </x:c>
      <x:c r="G2396" s="8" t="n">
        <x:f>'Данные'!F2396</x:f>
        <x:v>0</x:v>
      </x:c>
      <x:c r="H2396" s="8" t="n">
        <x:f>SUM('Данные'!H2396:I2396)</x:f>
        <x:v>0</x:v>
      </x:c>
      <x:c r="I2396" s="16" t="str">
        <x:f>IF(H2396&gt;0,G2396/H2396,"n.a.")</x:f>
        <x:v>n.a.</x:v>
      </x:c>
      <x:c r="J2396" s="10" t="n">
        <x:f>IF('Данные'!E2396&gt;0,G2396/'Данные'!E2396,"n.a.")</x:f>
        <x:v>0</x:v>
      </x:c>
      <x:c r="K2396" s="1" t="str">
        <x:f>IF(G2396&gt;='Дашборд'!$C$51,"X","Z")</x:f>
        <x:v>Z</x:v>
      </x:c>
      <x:c r="L2396" s="1" t="str">
        <x:f>IF(H2396=0,IF(G2396&gt;0,"Нет остатка","Нет спроса"),IF(I2396&gt;='Дашборд'!$C$52,"Быстрый","Медленный"))</x:f>
        <x:v>Нет спроса</x:v>
      </x:c>
      <x:c r="M2396" s="1" t="str">
        <x:f>IF('Данные'!E2396&lt;'Дашборд'!$C$53,"Мало трафика",IF(J2396&lt;'Дашборд'!$C$9*'Дашборд'!$C$54,"Да","Нет"))</x:f>
        <x:v>Мало трафика</x:v>
      </x:c>
      <x:c r="N2396" s="1" t="str">
        <x:f>IF(AND('Данные'!D2396&gt;='Дашборд'!$C$55,D2396&lt;'Дашборд'!$C$56,'Данные'!E2396&gt;='Дашборд'!$C$53,'Данные'!L2396&lt;&gt;"Да"),"Да","Нет")</x:f>
        <x:v>Нет</x:v>
      </x:c>
      <x:c r="O2396" s="1" t="str">
        <x:f>'Данные'!L2396</x:f>
        <x:v>Нет</x:v>
      </x:c>
    </x:row>
    <x:row r="2397">
      <x:c r="A2397" s="1" t="str">
        <x:f>'Данные'!A2397</x:f>
        <x:v>41485312</x:v>
      </x:c>
      <x:c r="B2397" s="1" t="str">
        <x:f>'Данные'!B2397</x:f>
        <x:v>longslivkvadratkorot/серовато-розовый</x:v>
      </x:c>
      <x:c r="C2397" s="8" t="n">
        <x:f>'Данные'!G2397</x:f>
        <x:v>0</x:v>
      </x:c>
      <x:c r="D2397" s="15" t="n">
        <x:f>C2397/SUM($C$5:$C$2477)</x:f>
        <x:v>0</x:v>
      </x:c>
      <x:c r="E2397" s="15" t="n">
        <x:f>SUM($D$5:D2397)</x:f>
        <x:v>1.0000000000000036</x:v>
      </x:c>
      <x:c r="F2397" s="1" t="str">
        <x:f>IF(C2397&lt;=0,"C",IF(E2397-D2397&lt;'Дашборд'!$C$49,"A",IF(E2397-D2397&lt;'Дашборд'!$C$50,"B","C")))</x:f>
        <x:v>C</x:v>
      </x:c>
      <x:c r="G2397" s="8" t="n">
        <x:f>'Данные'!F2397</x:f>
        <x:v>0</x:v>
      </x:c>
      <x:c r="H2397" s="8" t="n">
        <x:f>SUM('Данные'!H2397:I2397)</x:f>
        <x:v>0</x:v>
      </x:c>
      <x:c r="I2397" s="16" t="str">
        <x:f>IF(H2397&gt;0,G2397/H2397,"n.a.")</x:f>
        <x:v>n.a.</x:v>
      </x:c>
      <x:c r="J2397" s="10" t="n">
        <x:f>IF('Данные'!E2397&gt;0,G2397/'Данные'!E2397,"n.a.")</x:f>
        <x:v>0</x:v>
      </x:c>
      <x:c r="K2397" s="1" t="str">
        <x:f>IF(G2397&gt;='Дашборд'!$C$51,"X","Z")</x:f>
        <x:v>Z</x:v>
      </x:c>
      <x:c r="L2397" s="1" t="str">
        <x:f>IF(H2397=0,IF(G2397&gt;0,"Нет остатка","Нет спроса"),IF(I2397&gt;='Дашборд'!$C$52,"Быстрый","Медленный"))</x:f>
        <x:v>Нет спроса</x:v>
      </x:c>
      <x:c r="M2397" s="1" t="str">
        <x:f>IF('Данные'!E2397&lt;'Дашборд'!$C$53,"Мало трафика",IF(J2397&lt;'Дашборд'!$C$9*'Дашборд'!$C$54,"Да","Нет"))</x:f>
        <x:v>Мало трафика</x:v>
      </x:c>
      <x:c r="N2397" s="1" t="str">
        <x:f>IF(AND('Данные'!D2397&gt;='Дашборд'!$C$55,D2397&lt;'Дашборд'!$C$56,'Данные'!E2397&gt;='Дашборд'!$C$53,'Данные'!L2397&lt;&gt;"Да"),"Да","Нет")</x:f>
        <x:v>Нет</x:v>
      </x:c>
      <x:c r="O2397" s="1" t="str">
        <x:f>'Данные'!L2397</x:f>
        <x:v>Нет</x:v>
      </x:c>
    </x:row>
    <x:row r="2398">
      <x:c r="A2398" s="1" t="str">
        <x:f>'Данные'!A2398</x:f>
        <x:v>41491728</x:v>
      </x:c>
      <x:c r="B2398" s="1" t="str">
        <x:f>'Данные'!B2398</x:f>
        <x:v>longslivdecolte/светло-фиолетовый</x:v>
      </x:c>
      <x:c r="C2398" s="8" t="n">
        <x:f>'Данные'!G2398</x:f>
        <x:v>0</x:v>
      </x:c>
      <x:c r="D2398" s="15" t="n">
        <x:f>C2398/SUM($C$5:$C$2477)</x:f>
        <x:v>0</x:v>
      </x:c>
      <x:c r="E2398" s="15" t="n">
        <x:f>SUM($D$5:D2398)</x:f>
        <x:v>1.0000000000000036</x:v>
      </x:c>
      <x:c r="F2398" s="1" t="str">
        <x:f>IF(C2398&lt;=0,"C",IF(E2398-D2398&lt;'Дашборд'!$C$49,"A",IF(E2398-D2398&lt;'Дашборд'!$C$50,"B","C")))</x:f>
        <x:v>C</x:v>
      </x:c>
      <x:c r="G2398" s="8" t="n">
        <x:f>'Данные'!F2398</x:f>
        <x:v>0</x:v>
      </x:c>
      <x:c r="H2398" s="8" t="n">
        <x:f>SUM('Данные'!H2398:I2398)</x:f>
        <x:v>0</x:v>
      </x:c>
      <x:c r="I2398" s="16" t="str">
        <x:f>IF(H2398&gt;0,G2398/H2398,"n.a.")</x:f>
        <x:v>n.a.</x:v>
      </x:c>
      <x:c r="J2398" s="10" t="n">
        <x:f>IF('Данные'!E2398&gt;0,G2398/'Данные'!E2398,"n.a.")</x:f>
        <x:v>0</x:v>
      </x:c>
      <x:c r="K2398" s="1" t="str">
        <x:f>IF(G2398&gt;='Дашборд'!$C$51,"X","Z")</x:f>
        <x:v>Z</x:v>
      </x:c>
      <x:c r="L2398" s="1" t="str">
        <x:f>IF(H2398=0,IF(G2398&gt;0,"Нет остатка","Нет спроса"),IF(I2398&gt;='Дашборд'!$C$52,"Быстрый","Медленный"))</x:f>
        <x:v>Нет спроса</x:v>
      </x:c>
      <x:c r="M2398" s="1" t="str">
        <x:f>IF('Данные'!E2398&lt;'Дашборд'!$C$53,"Мало трафика",IF(J2398&lt;'Дашборд'!$C$9*'Дашборд'!$C$54,"Да","Нет"))</x:f>
        <x:v>Мало трафика</x:v>
      </x:c>
      <x:c r="N2398" s="1" t="str">
        <x:f>IF(AND('Данные'!D2398&gt;='Дашборд'!$C$55,D2398&lt;'Дашборд'!$C$56,'Данные'!E2398&gt;='Дашборд'!$C$53,'Данные'!L2398&lt;&gt;"Да"),"Да","Нет")</x:f>
        <x:v>Нет</x:v>
      </x:c>
      <x:c r="O2398" s="1" t="str">
        <x:f>'Данные'!L2398</x:f>
        <x:v>Нет</x:v>
      </x:c>
    </x:row>
    <x:row r="2399">
      <x:c r="A2399" s="1" t="str">
        <x:f>'Данные'!A2399</x:f>
        <x:v>41491860</x:v>
      </x:c>
      <x:c r="B2399" s="1" t="str">
        <x:f>'Данные'!B2399</x:f>
        <x:v>longslivdecolte/бежевый</x:v>
      </x:c>
      <x:c r="C2399" s="8" t="n">
        <x:f>'Данные'!G2399</x:f>
        <x:v>0</x:v>
      </x:c>
      <x:c r="D2399" s="15" t="n">
        <x:f>C2399/SUM($C$5:$C$2477)</x:f>
        <x:v>0</x:v>
      </x:c>
      <x:c r="E2399" s="15" t="n">
        <x:f>SUM($D$5:D2399)</x:f>
        <x:v>1.0000000000000036</x:v>
      </x:c>
      <x:c r="F2399" s="1" t="str">
        <x:f>IF(C2399&lt;=0,"C",IF(E2399-D2399&lt;'Дашборд'!$C$49,"A",IF(E2399-D2399&lt;'Дашборд'!$C$50,"B","C")))</x:f>
        <x:v>C</x:v>
      </x:c>
      <x:c r="G2399" s="8" t="n">
        <x:f>'Данные'!F2399</x:f>
        <x:v>0</x:v>
      </x:c>
      <x:c r="H2399" s="8" t="n">
        <x:f>SUM('Данные'!H2399:I2399)</x:f>
        <x:v>0</x:v>
      </x:c>
      <x:c r="I2399" s="16" t="str">
        <x:f>IF(H2399&gt;0,G2399/H2399,"n.a.")</x:f>
        <x:v>n.a.</x:v>
      </x:c>
      <x:c r="J2399" s="10" t="n">
        <x:f>IF('Данные'!E2399&gt;0,G2399/'Данные'!E2399,"n.a.")</x:f>
        <x:v>0</x:v>
      </x:c>
      <x:c r="K2399" s="1" t="str">
        <x:f>IF(G2399&gt;='Дашборд'!$C$51,"X","Z")</x:f>
        <x:v>Z</x:v>
      </x:c>
      <x:c r="L2399" s="1" t="str">
        <x:f>IF(H2399=0,IF(G2399&gt;0,"Нет остатка","Нет спроса"),IF(I2399&gt;='Дашборд'!$C$52,"Быстрый","Медленный"))</x:f>
        <x:v>Нет спроса</x:v>
      </x:c>
      <x:c r="M2399" s="1" t="str">
        <x:f>IF('Данные'!E2399&lt;'Дашборд'!$C$53,"Мало трафика",IF(J2399&lt;'Дашборд'!$C$9*'Дашборд'!$C$54,"Да","Нет"))</x:f>
        <x:v>Мало трафика</x:v>
      </x:c>
      <x:c r="N2399" s="1" t="str">
        <x:f>IF(AND('Данные'!D2399&gt;='Дашборд'!$C$55,D2399&lt;'Дашборд'!$C$56,'Данные'!E2399&gt;='Дашборд'!$C$53,'Данные'!L2399&lt;&gt;"Да"),"Да","Нет")</x:f>
        <x:v>Нет</x:v>
      </x:c>
      <x:c r="O2399" s="1" t="str">
        <x:f>'Данные'!L2399</x:f>
        <x:v>Нет</x:v>
      </x:c>
    </x:row>
    <x:row r="2400">
      <x:c r="A2400" s="1" t="str">
        <x:f>'Данные'!A2400</x:f>
        <x:v>41492468</x:v>
      </x:c>
      <x:c r="B2400" s="1" t="str">
        <x:f>'Данные'!B2400</x:f>
        <x:v>longslivdecolte/белый</x:v>
      </x:c>
      <x:c r="C2400" s="8" t="n">
        <x:f>'Данные'!G2400</x:f>
        <x:v>0</x:v>
      </x:c>
      <x:c r="D2400" s="15" t="n">
        <x:f>C2400/SUM($C$5:$C$2477)</x:f>
        <x:v>0</x:v>
      </x:c>
      <x:c r="E2400" s="15" t="n">
        <x:f>SUM($D$5:D2400)</x:f>
        <x:v>1.0000000000000036</x:v>
      </x:c>
      <x:c r="F2400" s="1" t="str">
        <x:f>IF(C2400&lt;=0,"C",IF(E2400-D2400&lt;'Дашборд'!$C$49,"A",IF(E2400-D2400&lt;'Дашборд'!$C$50,"B","C")))</x:f>
        <x:v>C</x:v>
      </x:c>
      <x:c r="G2400" s="8" t="n">
        <x:f>'Данные'!F2400</x:f>
        <x:v>0</x:v>
      </x:c>
      <x:c r="H2400" s="8" t="n">
        <x:f>SUM('Данные'!H2400:I2400)</x:f>
        <x:v>0</x:v>
      </x:c>
      <x:c r="I2400" s="16" t="str">
        <x:f>IF(H2400&gt;0,G2400/H2400,"n.a.")</x:f>
        <x:v>n.a.</x:v>
      </x:c>
      <x:c r="J2400" s="10" t="n">
        <x:f>IF('Данные'!E2400&gt;0,G2400/'Данные'!E2400,"n.a.")</x:f>
        <x:v>0</x:v>
      </x:c>
      <x:c r="K2400" s="1" t="str">
        <x:f>IF(G2400&gt;='Дашборд'!$C$51,"X","Z")</x:f>
        <x:v>Z</x:v>
      </x:c>
      <x:c r="L2400" s="1" t="str">
        <x:f>IF(H2400=0,IF(G2400&gt;0,"Нет остатка","Нет спроса"),IF(I2400&gt;='Дашборд'!$C$52,"Быстрый","Медленный"))</x:f>
        <x:v>Нет спроса</x:v>
      </x:c>
      <x:c r="M2400" s="1" t="str">
        <x:f>IF('Данные'!E2400&lt;'Дашборд'!$C$53,"Мало трафика",IF(J2400&lt;'Дашборд'!$C$9*'Дашборд'!$C$54,"Да","Нет"))</x:f>
        <x:v>Мало трафика</x:v>
      </x:c>
      <x:c r="N2400" s="1" t="str">
        <x:f>IF(AND('Данные'!D2400&gt;='Дашборд'!$C$55,D2400&lt;'Дашборд'!$C$56,'Данные'!E2400&gt;='Дашборд'!$C$53,'Данные'!L2400&lt;&gt;"Да"),"Да","Нет")</x:f>
        <x:v>Нет</x:v>
      </x:c>
      <x:c r="O2400" s="1" t="str">
        <x:f>'Данные'!L2400</x:f>
        <x:v>Нет</x:v>
      </x:c>
    </x:row>
    <x:row r="2401">
      <x:c r="A2401" s="1" t="str">
        <x:f>'Данные'!A2401</x:f>
        <x:v>41493414</x:v>
      </x:c>
      <x:c r="B2401" s="1" t="str">
        <x:f>'Данные'!B2401</x:f>
        <x:v>longslivdecolte/эвкалипт</x:v>
      </x:c>
      <x:c r="C2401" s="8" t="n">
        <x:f>'Данные'!G2401</x:f>
        <x:v>0</x:v>
      </x:c>
      <x:c r="D2401" s="15" t="n">
        <x:f>C2401/SUM($C$5:$C$2477)</x:f>
        <x:v>0</x:v>
      </x:c>
      <x:c r="E2401" s="15" t="n">
        <x:f>SUM($D$5:D2401)</x:f>
        <x:v>1.0000000000000036</x:v>
      </x:c>
      <x:c r="F2401" s="1" t="str">
        <x:f>IF(C2401&lt;=0,"C",IF(E2401-D2401&lt;'Дашборд'!$C$49,"A",IF(E2401-D2401&lt;'Дашборд'!$C$50,"B","C")))</x:f>
        <x:v>C</x:v>
      </x:c>
      <x:c r="G2401" s="8" t="n">
        <x:f>'Данные'!F2401</x:f>
        <x:v>0</x:v>
      </x:c>
      <x:c r="H2401" s="8" t="n">
        <x:f>SUM('Данные'!H2401:I2401)</x:f>
        <x:v>0</x:v>
      </x:c>
      <x:c r="I2401" s="16" t="str">
        <x:f>IF(H2401&gt;0,G2401/H2401,"n.a.")</x:f>
        <x:v>n.a.</x:v>
      </x:c>
      <x:c r="J2401" s="10" t="n">
        <x:f>IF('Данные'!E2401&gt;0,G2401/'Данные'!E2401,"n.a.")</x:f>
        <x:v>0</x:v>
      </x:c>
      <x:c r="K2401" s="1" t="str">
        <x:f>IF(G2401&gt;='Дашборд'!$C$51,"X","Z")</x:f>
        <x:v>Z</x:v>
      </x:c>
      <x:c r="L2401" s="1" t="str">
        <x:f>IF(H2401=0,IF(G2401&gt;0,"Нет остатка","Нет спроса"),IF(I2401&gt;='Дашборд'!$C$52,"Быстрый","Медленный"))</x:f>
        <x:v>Нет спроса</x:v>
      </x:c>
      <x:c r="M2401" s="1" t="str">
        <x:f>IF('Данные'!E2401&lt;'Дашборд'!$C$53,"Мало трафика",IF(J2401&lt;'Дашборд'!$C$9*'Дашборд'!$C$54,"Да","Нет"))</x:f>
        <x:v>Мало трафика</x:v>
      </x:c>
      <x:c r="N2401" s="1" t="str">
        <x:f>IF(AND('Данные'!D2401&gt;='Дашборд'!$C$55,D2401&lt;'Дашборд'!$C$56,'Данные'!E2401&gt;='Дашборд'!$C$53,'Данные'!L2401&lt;&gt;"Да"),"Да","Нет")</x:f>
        <x:v>Нет</x:v>
      </x:c>
      <x:c r="O2401" s="1" t="str">
        <x:f>'Данные'!L2401</x:f>
        <x:v>Нет</x:v>
      </x:c>
    </x:row>
    <x:row r="2402">
      <x:c r="A2402" s="1" t="str">
        <x:f>'Данные'!A2402</x:f>
        <x:v>41493800</x:v>
      </x:c>
      <x:c r="B2402" s="1" t="str">
        <x:f>'Данные'!B2402</x:f>
        <x:v>longslivdecolte/пудровый</x:v>
      </x:c>
      <x:c r="C2402" s="8" t="n">
        <x:f>'Данные'!G2402</x:f>
        <x:v>0</x:v>
      </x:c>
      <x:c r="D2402" s="15" t="n">
        <x:f>C2402/SUM($C$5:$C$2477)</x:f>
        <x:v>0</x:v>
      </x:c>
      <x:c r="E2402" s="15" t="n">
        <x:f>SUM($D$5:D2402)</x:f>
        <x:v>1.0000000000000036</x:v>
      </x:c>
      <x:c r="F2402" s="1" t="str">
        <x:f>IF(C2402&lt;=0,"C",IF(E2402-D2402&lt;'Дашборд'!$C$49,"A",IF(E2402-D2402&lt;'Дашборд'!$C$50,"B","C")))</x:f>
        <x:v>C</x:v>
      </x:c>
      <x:c r="G2402" s="8" t="n">
        <x:f>'Данные'!F2402</x:f>
        <x:v>0</x:v>
      </x:c>
      <x:c r="H2402" s="8" t="n">
        <x:f>SUM('Данные'!H2402:I2402)</x:f>
        <x:v>0</x:v>
      </x:c>
      <x:c r="I2402" s="16" t="str">
        <x:f>IF(H2402&gt;0,G2402/H2402,"n.a.")</x:f>
        <x:v>n.a.</x:v>
      </x:c>
      <x:c r="J2402" s="10" t="n">
        <x:f>IF('Данные'!E2402&gt;0,G2402/'Данные'!E2402,"n.a.")</x:f>
        <x:v>0</x:v>
      </x:c>
      <x:c r="K2402" s="1" t="str">
        <x:f>IF(G2402&gt;='Дашборд'!$C$51,"X","Z")</x:f>
        <x:v>Z</x:v>
      </x:c>
      <x:c r="L2402" s="1" t="str">
        <x:f>IF(H2402=0,IF(G2402&gt;0,"Нет остатка","Нет спроса"),IF(I2402&gt;='Дашборд'!$C$52,"Быстрый","Медленный"))</x:f>
        <x:v>Нет спроса</x:v>
      </x:c>
      <x:c r="M2402" s="1" t="str">
        <x:f>IF('Данные'!E2402&lt;'Дашборд'!$C$53,"Мало трафика",IF(J2402&lt;'Дашборд'!$C$9*'Дашборд'!$C$54,"Да","Нет"))</x:f>
        <x:v>Мало трафика</x:v>
      </x:c>
      <x:c r="N2402" s="1" t="str">
        <x:f>IF(AND('Данные'!D2402&gt;='Дашборд'!$C$55,D2402&lt;'Дашборд'!$C$56,'Данные'!E2402&gt;='Дашборд'!$C$53,'Данные'!L2402&lt;&gt;"Да"),"Да","Нет")</x:f>
        <x:v>Нет</x:v>
      </x:c>
      <x:c r="O2402" s="1" t="str">
        <x:f>'Данные'!L2402</x:f>
        <x:v>Нет</x:v>
      </x:c>
    </x:row>
    <x:row r="2403">
      <x:c r="A2403" s="1" t="str">
        <x:f>'Данные'!A2403</x:f>
        <x:v>41493980</x:v>
      </x:c>
      <x:c r="B2403" s="1" t="str">
        <x:f>'Данные'!B2403</x:f>
        <x:v>longslivdecolte/какао</x:v>
      </x:c>
      <x:c r="C2403" s="8" t="n">
        <x:f>'Данные'!G2403</x:f>
        <x:v>0</x:v>
      </x:c>
      <x:c r="D2403" s="15" t="n">
        <x:f>C2403/SUM($C$5:$C$2477)</x:f>
        <x:v>0</x:v>
      </x:c>
      <x:c r="E2403" s="15" t="n">
        <x:f>SUM($D$5:D2403)</x:f>
        <x:v>1.0000000000000036</x:v>
      </x:c>
      <x:c r="F2403" s="1" t="str">
        <x:f>IF(C2403&lt;=0,"C",IF(E2403-D2403&lt;'Дашборд'!$C$49,"A",IF(E2403-D2403&lt;'Дашборд'!$C$50,"B","C")))</x:f>
        <x:v>C</x:v>
      </x:c>
      <x:c r="G2403" s="8" t="n">
        <x:f>'Данные'!F2403</x:f>
        <x:v>0</x:v>
      </x:c>
      <x:c r="H2403" s="8" t="n">
        <x:f>SUM('Данные'!H2403:I2403)</x:f>
        <x:v>0</x:v>
      </x:c>
      <x:c r="I2403" s="16" t="str">
        <x:f>IF(H2403&gt;0,G2403/H2403,"n.a.")</x:f>
        <x:v>n.a.</x:v>
      </x:c>
      <x:c r="J2403" s="10" t="n">
        <x:f>IF('Данные'!E2403&gt;0,G2403/'Данные'!E2403,"n.a.")</x:f>
        <x:v>0</x:v>
      </x:c>
      <x:c r="K2403" s="1" t="str">
        <x:f>IF(G2403&gt;='Дашборд'!$C$51,"X","Z")</x:f>
        <x:v>Z</x:v>
      </x:c>
      <x:c r="L2403" s="1" t="str">
        <x:f>IF(H2403=0,IF(G2403&gt;0,"Нет остатка","Нет спроса"),IF(I2403&gt;='Дашборд'!$C$52,"Быстрый","Медленный"))</x:f>
        <x:v>Нет спроса</x:v>
      </x:c>
      <x:c r="M2403" s="1" t="str">
        <x:f>IF('Данные'!E2403&lt;'Дашборд'!$C$53,"Мало трафика",IF(J2403&lt;'Дашборд'!$C$9*'Дашборд'!$C$54,"Да","Нет"))</x:f>
        <x:v>Мало трафика</x:v>
      </x:c>
      <x:c r="N2403" s="1" t="str">
        <x:f>IF(AND('Данные'!D2403&gt;='Дашборд'!$C$55,D2403&lt;'Дашборд'!$C$56,'Данные'!E2403&gt;='Дашборд'!$C$53,'Данные'!L2403&lt;&gt;"Да"),"Да","Нет")</x:f>
        <x:v>Нет</x:v>
      </x:c>
      <x:c r="O2403" s="1" t="str">
        <x:f>'Данные'!L2403</x:f>
        <x:v>Нет</x:v>
      </x:c>
    </x:row>
    <x:row r="2404">
      <x:c r="A2404" s="1" t="str">
        <x:f>'Данные'!A2404</x:f>
        <x:v>41497071</x:v>
      </x:c>
      <x:c r="B2404" s="1" t="str">
        <x:f>'Данные'!B2404</x:f>
        <x:v>longslivdecolte/серовато-розовый</x:v>
      </x:c>
      <x:c r="C2404" s="8" t="n">
        <x:f>'Данные'!G2404</x:f>
        <x:v>0</x:v>
      </x:c>
      <x:c r="D2404" s="15" t="n">
        <x:f>C2404/SUM($C$5:$C$2477)</x:f>
        <x:v>0</x:v>
      </x:c>
      <x:c r="E2404" s="15" t="n">
        <x:f>SUM($D$5:D2404)</x:f>
        <x:v>1.0000000000000036</x:v>
      </x:c>
      <x:c r="F2404" s="1" t="str">
        <x:f>IF(C2404&lt;=0,"C",IF(E2404-D2404&lt;'Дашборд'!$C$49,"A",IF(E2404-D2404&lt;'Дашборд'!$C$50,"B","C")))</x:f>
        <x:v>C</x:v>
      </x:c>
      <x:c r="G2404" s="8" t="n">
        <x:f>'Данные'!F2404</x:f>
        <x:v>0</x:v>
      </x:c>
      <x:c r="H2404" s="8" t="n">
        <x:f>SUM('Данные'!H2404:I2404)</x:f>
        <x:v>0</x:v>
      </x:c>
      <x:c r="I2404" s="16" t="str">
        <x:f>IF(H2404&gt;0,G2404/H2404,"n.a.")</x:f>
        <x:v>n.a.</x:v>
      </x:c>
      <x:c r="J2404" s="10" t="n">
        <x:f>IF('Данные'!E2404&gt;0,G2404/'Данные'!E2404,"n.a.")</x:f>
        <x:v>0</x:v>
      </x:c>
      <x:c r="K2404" s="1" t="str">
        <x:f>IF(G2404&gt;='Дашборд'!$C$51,"X","Z")</x:f>
        <x:v>Z</x:v>
      </x:c>
      <x:c r="L2404" s="1" t="str">
        <x:f>IF(H2404=0,IF(G2404&gt;0,"Нет остатка","Нет спроса"),IF(I2404&gt;='Дашборд'!$C$52,"Быстрый","Медленный"))</x:f>
        <x:v>Нет спроса</x:v>
      </x:c>
      <x:c r="M2404" s="1" t="str">
        <x:f>IF('Данные'!E2404&lt;'Дашборд'!$C$53,"Мало трафика",IF(J2404&lt;'Дашборд'!$C$9*'Дашборд'!$C$54,"Да","Нет"))</x:f>
        <x:v>Мало трафика</x:v>
      </x:c>
      <x:c r="N2404" s="1" t="str">
        <x:f>IF(AND('Данные'!D2404&gt;='Дашборд'!$C$55,D2404&lt;'Дашборд'!$C$56,'Данные'!E2404&gt;='Дашборд'!$C$53,'Данные'!L2404&lt;&gt;"Да"),"Да","Нет")</x:f>
        <x:v>Нет</x:v>
      </x:c>
      <x:c r="O2404" s="1" t="str">
        <x:f>'Данные'!L2404</x:f>
        <x:v>Нет</x:v>
      </x:c>
    </x:row>
    <x:row r="2405">
      <x:c r="A2405" s="1" t="str">
        <x:f>'Данные'!A2405</x:f>
        <x:v>41631067</x:v>
      </x:c>
      <x:c r="B2405" s="1" t="str">
        <x:f>'Данные'!B2405</x:f>
        <x:v>kostyumman/черный</x:v>
      </x:c>
      <x:c r="C2405" s="8" t="n">
        <x:f>'Данные'!G2405</x:f>
        <x:v>0</x:v>
      </x:c>
      <x:c r="D2405" s="15" t="n">
        <x:f>C2405/SUM($C$5:$C$2477)</x:f>
        <x:v>0</x:v>
      </x:c>
      <x:c r="E2405" s="15" t="n">
        <x:f>SUM($D$5:D2405)</x:f>
        <x:v>1.0000000000000036</x:v>
      </x:c>
      <x:c r="F2405" s="1" t="str">
        <x:f>IF(C2405&lt;=0,"C",IF(E2405-D2405&lt;'Дашборд'!$C$49,"A",IF(E2405-D2405&lt;'Дашборд'!$C$50,"B","C")))</x:f>
        <x:v>C</x:v>
      </x:c>
      <x:c r="G2405" s="8" t="n">
        <x:f>'Данные'!F2405</x:f>
        <x:v>0</x:v>
      </x:c>
      <x:c r="H2405" s="8" t="n">
        <x:f>SUM('Данные'!H2405:I2405)</x:f>
        <x:v>1</x:v>
      </x:c>
      <x:c r="I2405" s="16" t="n">
        <x:f>IF(H2405&gt;0,G2405/H2405,"n.a.")</x:f>
        <x:v>0</x:v>
      </x:c>
      <x:c r="J2405" s="10" t="n">
        <x:f>IF('Данные'!E2405&gt;0,G2405/'Данные'!E2405,"n.a.")</x:f>
        <x:v>0</x:v>
      </x:c>
      <x:c r="K2405" s="1" t="str">
        <x:f>IF(G2405&gt;='Дашборд'!$C$51,"X","Z")</x:f>
        <x:v>Z</x:v>
      </x:c>
      <x:c r="L2405" s="1" t="str">
        <x:f>IF(H2405=0,IF(G2405&gt;0,"Нет остатка","Нет спроса"),IF(I2405&gt;='Дашборд'!$C$52,"Быстрый","Медленный"))</x:f>
        <x:v>Медленный</x:v>
      </x:c>
      <x:c r="M2405" s="1" t="str">
        <x:f>IF('Данные'!E2405&lt;'Дашборд'!$C$53,"Мало трафика",IF(J2405&lt;'Дашборд'!$C$9*'Дашборд'!$C$54,"Да","Нет"))</x:f>
        <x:v>Мало трафика</x:v>
      </x:c>
      <x:c r="N2405" s="1" t="str">
        <x:f>IF(AND('Данные'!D2405&gt;='Дашборд'!$C$55,D2405&lt;'Дашборд'!$C$56,'Данные'!E2405&gt;='Дашборд'!$C$53,'Данные'!L2405&lt;&gt;"Да"),"Да","Нет")</x:f>
        <x:v>Нет</x:v>
      </x:c>
      <x:c r="O2405" s="1" t="str">
        <x:f>'Данные'!L2405</x:f>
        <x:v>Нет</x:v>
      </x:c>
    </x:row>
    <x:row r="2406">
      <x:c r="A2406" s="1" t="str">
        <x:f>'Данные'!A2406</x:f>
        <x:v>42608646</x:v>
      </x:c>
      <x:c r="B2406" s="1" t="str">
        <x:f>'Данные'!B2406</x:f>
        <x:v>longslivdekoltekor/черный</x:v>
      </x:c>
      <x:c r="C2406" s="8" t="n">
        <x:f>'Данные'!G2406</x:f>
        <x:v>0</x:v>
      </x:c>
      <x:c r="D2406" s="15" t="n">
        <x:f>C2406/SUM($C$5:$C$2477)</x:f>
        <x:v>0</x:v>
      </x:c>
      <x:c r="E2406" s="15" t="n">
        <x:f>SUM($D$5:D2406)</x:f>
        <x:v>1.0000000000000036</x:v>
      </x:c>
      <x:c r="F2406" s="1" t="str">
        <x:f>IF(C2406&lt;=0,"C",IF(E2406-D2406&lt;'Дашборд'!$C$49,"A",IF(E2406-D2406&lt;'Дашборд'!$C$50,"B","C")))</x:f>
        <x:v>C</x:v>
      </x:c>
      <x:c r="G2406" s="8" t="n">
        <x:f>'Данные'!F2406</x:f>
        <x:v>0</x:v>
      </x:c>
      <x:c r="H2406" s="8" t="n">
        <x:f>SUM('Данные'!H2406:I2406)</x:f>
        <x:v>0</x:v>
      </x:c>
      <x:c r="I2406" s="16" t="str">
        <x:f>IF(H2406&gt;0,G2406/H2406,"n.a.")</x:f>
        <x:v>n.a.</x:v>
      </x:c>
      <x:c r="J2406" s="10" t="n">
        <x:f>IF('Данные'!E2406&gt;0,G2406/'Данные'!E2406,"n.a.")</x:f>
        <x:v>0</x:v>
      </x:c>
      <x:c r="K2406" s="1" t="str">
        <x:f>IF(G2406&gt;='Дашборд'!$C$51,"X","Z")</x:f>
        <x:v>Z</x:v>
      </x:c>
      <x:c r="L2406" s="1" t="str">
        <x:f>IF(H2406=0,IF(G2406&gt;0,"Нет остатка","Нет спроса"),IF(I2406&gt;='Дашборд'!$C$52,"Быстрый","Медленный"))</x:f>
        <x:v>Нет спроса</x:v>
      </x:c>
      <x:c r="M2406" s="1" t="str">
        <x:f>IF('Данные'!E2406&lt;'Дашборд'!$C$53,"Мало трафика",IF(J2406&lt;'Дашборд'!$C$9*'Дашборд'!$C$54,"Да","Нет"))</x:f>
        <x:v>Мало трафика</x:v>
      </x:c>
      <x:c r="N2406" s="1" t="str">
        <x:f>IF(AND('Данные'!D2406&gt;='Дашборд'!$C$55,D2406&lt;'Дашборд'!$C$56,'Данные'!E2406&gt;='Дашборд'!$C$53,'Данные'!L2406&lt;&gt;"Да"),"Да","Нет")</x:f>
        <x:v>Нет</x:v>
      </x:c>
      <x:c r="O2406" s="1" t="str">
        <x:f>'Данные'!L2406</x:f>
        <x:v>Нет</x:v>
      </x:c>
    </x:row>
    <x:row r="2407">
      <x:c r="A2407" s="1" t="str">
        <x:f>'Данные'!A2407</x:f>
        <x:v>44722600</x:v>
      </x:c>
      <x:c r="B2407" s="1" t="str">
        <x:f>'Данные'!B2407</x:f>
        <x:v>longslivdekoltekor/молочный</x:v>
      </x:c>
      <x:c r="C2407" s="8" t="n">
        <x:f>'Данные'!G2407</x:f>
        <x:v>0</x:v>
      </x:c>
      <x:c r="D2407" s="15" t="n">
        <x:f>C2407/SUM($C$5:$C$2477)</x:f>
        <x:v>0</x:v>
      </x:c>
      <x:c r="E2407" s="15" t="n">
        <x:f>SUM($D$5:D2407)</x:f>
        <x:v>1.0000000000000036</x:v>
      </x:c>
      <x:c r="F2407" s="1" t="str">
        <x:f>IF(C2407&lt;=0,"C",IF(E2407-D2407&lt;'Дашборд'!$C$49,"A",IF(E2407-D2407&lt;'Дашборд'!$C$50,"B","C")))</x:f>
        <x:v>C</x:v>
      </x:c>
      <x:c r="G2407" s="8" t="n">
        <x:f>'Данные'!F2407</x:f>
        <x:v>0</x:v>
      </x:c>
      <x:c r="H2407" s="8" t="n">
        <x:f>SUM('Данные'!H2407:I2407)</x:f>
        <x:v>0</x:v>
      </x:c>
      <x:c r="I2407" s="16" t="str">
        <x:f>IF(H2407&gt;0,G2407/H2407,"n.a.")</x:f>
        <x:v>n.a.</x:v>
      </x:c>
      <x:c r="J2407" s="10" t="n">
        <x:f>IF('Данные'!E2407&gt;0,G2407/'Данные'!E2407,"n.a.")</x:f>
        <x:v>0</x:v>
      </x:c>
      <x:c r="K2407" s="1" t="str">
        <x:f>IF(G2407&gt;='Дашборд'!$C$51,"X","Z")</x:f>
        <x:v>Z</x:v>
      </x:c>
      <x:c r="L2407" s="1" t="str">
        <x:f>IF(H2407=0,IF(G2407&gt;0,"Нет остатка","Нет спроса"),IF(I2407&gt;='Дашборд'!$C$52,"Быстрый","Медленный"))</x:f>
        <x:v>Нет спроса</x:v>
      </x:c>
      <x:c r="M2407" s="1" t="str">
        <x:f>IF('Данные'!E2407&lt;'Дашборд'!$C$53,"Мало трафика",IF(J2407&lt;'Дашборд'!$C$9*'Дашборд'!$C$54,"Да","Нет"))</x:f>
        <x:v>Мало трафика</x:v>
      </x:c>
      <x:c r="N2407" s="1" t="str">
        <x:f>IF(AND('Данные'!D2407&gt;='Дашборд'!$C$55,D2407&lt;'Дашборд'!$C$56,'Данные'!E2407&gt;='Дашборд'!$C$53,'Данные'!L2407&lt;&gt;"Да"),"Да","Нет")</x:f>
        <x:v>Нет</x:v>
      </x:c>
      <x:c r="O2407" s="1" t="str">
        <x:f>'Данные'!L2407</x:f>
        <x:v>Нет</x:v>
      </x:c>
    </x:row>
    <x:row r="2408">
      <x:c r="A2408" s="1" t="str">
        <x:f>'Данные'!A2408</x:f>
        <x:v>44722786</x:v>
      </x:c>
      <x:c r="B2408" s="1" t="str">
        <x:f>'Данные'!B2408</x:f>
        <x:v>longslivdecolte/молочный</x:v>
      </x:c>
      <x:c r="C2408" s="8" t="n">
        <x:f>'Данные'!G2408</x:f>
        <x:v>0</x:v>
      </x:c>
      <x:c r="D2408" s="15" t="n">
        <x:f>C2408/SUM($C$5:$C$2477)</x:f>
        <x:v>0</x:v>
      </x:c>
      <x:c r="E2408" s="15" t="n">
        <x:f>SUM($D$5:D2408)</x:f>
        <x:v>1.0000000000000036</x:v>
      </x:c>
      <x:c r="F2408" s="1" t="str">
        <x:f>IF(C2408&lt;=0,"C",IF(E2408-D2408&lt;'Дашборд'!$C$49,"A",IF(E2408-D2408&lt;'Дашборд'!$C$50,"B","C")))</x:f>
        <x:v>C</x:v>
      </x:c>
      <x:c r="G2408" s="8" t="n">
        <x:f>'Данные'!F2408</x:f>
        <x:v>0</x:v>
      </x:c>
      <x:c r="H2408" s="8" t="n">
        <x:f>SUM('Данные'!H2408:I2408)</x:f>
        <x:v>0</x:v>
      </x:c>
      <x:c r="I2408" s="16" t="str">
        <x:f>IF(H2408&gt;0,G2408/H2408,"n.a.")</x:f>
        <x:v>n.a.</x:v>
      </x:c>
      <x:c r="J2408" s="10" t="n">
        <x:f>IF('Данные'!E2408&gt;0,G2408/'Данные'!E2408,"n.a.")</x:f>
        <x:v>0</x:v>
      </x:c>
      <x:c r="K2408" s="1" t="str">
        <x:f>IF(G2408&gt;='Дашборд'!$C$51,"X","Z")</x:f>
        <x:v>Z</x:v>
      </x:c>
      <x:c r="L2408" s="1" t="str">
        <x:f>IF(H2408=0,IF(G2408&gt;0,"Нет остатка","Нет спроса"),IF(I2408&gt;='Дашборд'!$C$52,"Быстрый","Медленный"))</x:f>
        <x:v>Нет спроса</x:v>
      </x:c>
      <x:c r="M2408" s="1" t="str">
        <x:f>IF('Данные'!E2408&lt;'Дашборд'!$C$53,"Мало трафика",IF(J2408&lt;'Дашборд'!$C$9*'Дашборд'!$C$54,"Да","Нет"))</x:f>
        <x:v>Мало трафика</x:v>
      </x:c>
      <x:c r="N2408" s="1" t="str">
        <x:f>IF(AND('Данные'!D2408&gt;='Дашборд'!$C$55,D2408&lt;'Дашборд'!$C$56,'Данные'!E2408&gt;='Дашборд'!$C$53,'Данные'!L2408&lt;&gt;"Да"),"Да","Нет")</x:f>
        <x:v>Нет</x:v>
      </x:c>
      <x:c r="O2408" s="1" t="str">
        <x:f>'Данные'!L2408</x:f>
        <x:v>Нет</x:v>
      </x:c>
    </x:row>
    <x:row r="2409">
      <x:c r="A2409" s="1" t="str">
        <x:f>'Данные'!A2409</x:f>
        <x:v>44751677</x:v>
      </x:c>
      <x:c r="B2409" s="1" t="str">
        <x:f>'Данные'!B2409</x:f>
        <x:v>longslivdecolte/красный</x:v>
      </x:c>
      <x:c r="C2409" s="8" t="n">
        <x:f>'Данные'!G2409</x:f>
        <x:v>0</x:v>
      </x:c>
      <x:c r="D2409" s="15" t="n">
        <x:f>C2409/SUM($C$5:$C$2477)</x:f>
        <x:v>0</x:v>
      </x:c>
      <x:c r="E2409" s="15" t="n">
        <x:f>SUM($D$5:D2409)</x:f>
        <x:v>1.0000000000000036</x:v>
      </x:c>
      <x:c r="F2409" s="1" t="str">
        <x:f>IF(C2409&lt;=0,"C",IF(E2409-D2409&lt;'Дашборд'!$C$49,"A",IF(E2409-D2409&lt;'Дашборд'!$C$50,"B","C")))</x:f>
        <x:v>C</x:v>
      </x:c>
      <x:c r="G2409" s="8" t="n">
        <x:f>'Данные'!F2409</x:f>
        <x:v>0</x:v>
      </x:c>
      <x:c r="H2409" s="8" t="n">
        <x:f>SUM('Данные'!H2409:I2409)</x:f>
        <x:v>0</x:v>
      </x:c>
      <x:c r="I2409" s="16" t="str">
        <x:f>IF(H2409&gt;0,G2409/H2409,"n.a.")</x:f>
        <x:v>n.a.</x:v>
      </x:c>
      <x:c r="J2409" s="10" t="n">
        <x:f>IF('Данные'!E2409&gt;0,G2409/'Данные'!E2409,"n.a.")</x:f>
        <x:v>0</x:v>
      </x:c>
      <x:c r="K2409" s="1" t="str">
        <x:f>IF(G2409&gt;='Дашборд'!$C$51,"X","Z")</x:f>
        <x:v>Z</x:v>
      </x:c>
      <x:c r="L2409" s="1" t="str">
        <x:f>IF(H2409=0,IF(G2409&gt;0,"Нет остатка","Нет спроса"),IF(I2409&gt;='Дашборд'!$C$52,"Быстрый","Медленный"))</x:f>
        <x:v>Нет спроса</x:v>
      </x:c>
      <x:c r="M2409" s="1" t="str">
        <x:f>IF('Данные'!E2409&lt;'Дашборд'!$C$53,"Мало трафика",IF(J2409&lt;'Дашборд'!$C$9*'Дашборд'!$C$54,"Да","Нет"))</x:f>
        <x:v>Мало трафика</x:v>
      </x:c>
      <x:c r="N2409" s="1" t="str">
        <x:f>IF(AND('Данные'!D2409&gt;='Дашборд'!$C$55,D2409&lt;'Дашборд'!$C$56,'Данные'!E2409&gt;='Дашборд'!$C$53,'Данные'!L2409&lt;&gt;"Да"),"Да","Нет")</x:f>
        <x:v>Нет</x:v>
      </x:c>
      <x:c r="O2409" s="1" t="str">
        <x:f>'Данные'!L2409</x:f>
        <x:v>Нет</x:v>
      </x:c>
    </x:row>
    <x:row r="2410">
      <x:c r="A2410" s="1" t="str">
        <x:f>'Данные'!A2410</x:f>
        <x:v>44881155</x:v>
      </x:c>
      <x:c r="B2410" s="1" t="str">
        <x:f>'Данные'!B2410</x:f>
        <x:v>longslivdekoltekor/красный</x:v>
      </x:c>
      <x:c r="C2410" s="8" t="n">
        <x:f>'Данные'!G2410</x:f>
        <x:v>0</x:v>
      </x:c>
      <x:c r="D2410" s="15" t="n">
        <x:f>C2410/SUM($C$5:$C$2477)</x:f>
        <x:v>0</x:v>
      </x:c>
      <x:c r="E2410" s="15" t="n">
        <x:f>SUM($D$5:D2410)</x:f>
        <x:v>1.0000000000000036</x:v>
      </x:c>
      <x:c r="F2410" s="1" t="str">
        <x:f>IF(C2410&lt;=0,"C",IF(E2410-D2410&lt;'Дашборд'!$C$49,"A",IF(E2410-D2410&lt;'Дашборд'!$C$50,"B","C")))</x:f>
        <x:v>C</x:v>
      </x:c>
      <x:c r="G2410" s="8" t="n">
        <x:f>'Данные'!F2410</x:f>
        <x:v>0</x:v>
      </x:c>
      <x:c r="H2410" s="8" t="n">
        <x:f>SUM('Данные'!H2410:I2410)</x:f>
        <x:v>0</x:v>
      </x:c>
      <x:c r="I2410" s="16" t="str">
        <x:f>IF(H2410&gt;0,G2410/H2410,"n.a.")</x:f>
        <x:v>n.a.</x:v>
      </x:c>
      <x:c r="J2410" s="10" t="n">
        <x:f>IF('Данные'!E2410&gt;0,G2410/'Данные'!E2410,"n.a.")</x:f>
        <x:v>0</x:v>
      </x:c>
      <x:c r="K2410" s="1" t="str">
        <x:f>IF(G2410&gt;='Дашборд'!$C$51,"X","Z")</x:f>
        <x:v>Z</x:v>
      </x:c>
      <x:c r="L2410" s="1" t="str">
        <x:f>IF(H2410=0,IF(G2410&gt;0,"Нет остатка","Нет спроса"),IF(I2410&gt;='Дашборд'!$C$52,"Быстрый","Медленный"))</x:f>
        <x:v>Нет спроса</x:v>
      </x:c>
      <x:c r="M2410" s="1" t="str">
        <x:f>IF('Данные'!E2410&lt;'Дашборд'!$C$53,"Мало трафика",IF(J2410&lt;'Дашборд'!$C$9*'Дашборд'!$C$54,"Да","Нет"))</x:f>
        <x:v>Мало трафика</x:v>
      </x:c>
      <x:c r="N2410" s="1" t="str">
        <x:f>IF(AND('Данные'!D2410&gt;='Дашборд'!$C$55,D2410&lt;'Дашборд'!$C$56,'Данные'!E2410&gt;='Дашборд'!$C$53,'Данные'!L2410&lt;&gt;"Да"),"Да","Нет")</x:f>
        <x:v>Нет</x:v>
      </x:c>
      <x:c r="O2410" s="1" t="str">
        <x:f>'Данные'!L2410</x:f>
        <x:v>Нет</x:v>
      </x:c>
    </x:row>
    <x:row r="2411">
      <x:c r="A2411" s="1" t="str">
        <x:f>'Данные'!A2411</x:f>
        <x:v>44881554</x:v>
      </x:c>
      <x:c r="B2411" s="1" t="str">
        <x:f>'Данные'!B2411</x:f>
        <x:v>longslivdekoltekor/пудровый</x:v>
      </x:c>
      <x:c r="C2411" s="8" t="n">
        <x:f>'Данные'!G2411</x:f>
        <x:v>0</x:v>
      </x:c>
      <x:c r="D2411" s="15" t="n">
        <x:f>C2411/SUM($C$5:$C$2477)</x:f>
        <x:v>0</x:v>
      </x:c>
      <x:c r="E2411" s="15" t="n">
        <x:f>SUM($D$5:D2411)</x:f>
        <x:v>1.0000000000000036</x:v>
      </x:c>
      <x:c r="F2411" s="1" t="str">
        <x:f>IF(C2411&lt;=0,"C",IF(E2411-D2411&lt;'Дашборд'!$C$49,"A",IF(E2411-D2411&lt;'Дашборд'!$C$50,"B","C")))</x:f>
        <x:v>C</x:v>
      </x:c>
      <x:c r="G2411" s="8" t="n">
        <x:f>'Данные'!F2411</x:f>
        <x:v>0</x:v>
      </x:c>
      <x:c r="H2411" s="8" t="n">
        <x:f>SUM('Данные'!H2411:I2411)</x:f>
        <x:v>0</x:v>
      </x:c>
      <x:c r="I2411" s="16" t="str">
        <x:f>IF(H2411&gt;0,G2411/H2411,"n.a.")</x:f>
        <x:v>n.a.</x:v>
      </x:c>
      <x:c r="J2411" s="10" t="n">
        <x:f>IF('Данные'!E2411&gt;0,G2411/'Данные'!E2411,"n.a.")</x:f>
        <x:v>0</x:v>
      </x:c>
      <x:c r="K2411" s="1" t="str">
        <x:f>IF(G2411&gt;='Дашборд'!$C$51,"X","Z")</x:f>
        <x:v>Z</x:v>
      </x:c>
      <x:c r="L2411" s="1" t="str">
        <x:f>IF(H2411=0,IF(G2411&gt;0,"Нет остатка","Нет спроса"),IF(I2411&gt;='Дашборд'!$C$52,"Быстрый","Медленный"))</x:f>
        <x:v>Нет спроса</x:v>
      </x:c>
      <x:c r="M2411" s="1" t="str">
        <x:f>IF('Данные'!E2411&lt;'Дашборд'!$C$53,"Мало трафика",IF(J2411&lt;'Дашборд'!$C$9*'Дашборд'!$C$54,"Да","Нет"))</x:f>
        <x:v>Мало трафика</x:v>
      </x:c>
      <x:c r="N2411" s="1" t="str">
        <x:f>IF(AND('Данные'!D2411&gt;='Дашборд'!$C$55,D2411&lt;'Дашборд'!$C$56,'Данные'!E2411&gt;='Дашборд'!$C$53,'Данные'!L2411&lt;&gt;"Да"),"Да","Нет")</x:f>
        <x:v>Нет</x:v>
      </x:c>
      <x:c r="O2411" s="1" t="str">
        <x:f>'Данные'!L2411</x:f>
        <x:v>Нет</x:v>
      </x:c>
    </x:row>
    <x:row r="2412">
      <x:c r="A2412" s="1" t="str">
        <x:f>'Данные'!A2412</x:f>
        <x:v>44881894</x:v>
      </x:c>
      <x:c r="B2412" s="1" t="str">
        <x:f>'Данные'!B2412</x:f>
        <x:v>longslivdekoltekor/какао</x:v>
      </x:c>
      <x:c r="C2412" s="8" t="n">
        <x:f>'Данные'!G2412</x:f>
        <x:v>0</x:v>
      </x:c>
      <x:c r="D2412" s="15" t="n">
        <x:f>C2412/SUM($C$5:$C$2477)</x:f>
        <x:v>0</x:v>
      </x:c>
      <x:c r="E2412" s="15" t="n">
        <x:f>SUM($D$5:D2412)</x:f>
        <x:v>1.0000000000000036</x:v>
      </x:c>
      <x:c r="F2412" s="1" t="str">
        <x:f>IF(C2412&lt;=0,"C",IF(E2412-D2412&lt;'Дашборд'!$C$49,"A",IF(E2412-D2412&lt;'Дашборд'!$C$50,"B","C")))</x:f>
        <x:v>C</x:v>
      </x:c>
      <x:c r="G2412" s="8" t="n">
        <x:f>'Данные'!F2412</x:f>
        <x:v>0</x:v>
      </x:c>
      <x:c r="H2412" s="8" t="n">
        <x:f>SUM('Данные'!H2412:I2412)</x:f>
        <x:v>0</x:v>
      </x:c>
      <x:c r="I2412" s="16" t="str">
        <x:f>IF(H2412&gt;0,G2412/H2412,"n.a.")</x:f>
        <x:v>n.a.</x:v>
      </x:c>
      <x:c r="J2412" s="10" t="n">
        <x:f>IF('Данные'!E2412&gt;0,G2412/'Данные'!E2412,"n.a.")</x:f>
        <x:v>0</x:v>
      </x:c>
      <x:c r="K2412" s="1" t="str">
        <x:f>IF(G2412&gt;='Дашборд'!$C$51,"X","Z")</x:f>
        <x:v>Z</x:v>
      </x:c>
      <x:c r="L2412" s="1" t="str">
        <x:f>IF(H2412=0,IF(G2412&gt;0,"Нет остатка","Нет спроса"),IF(I2412&gt;='Дашборд'!$C$52,"Быстрый","Медленный"))</x:f>
        <x:v>Нет спроса</x:v>
      </x:c>
      <x:c r="M2412" s="1" t="str">
        <x:f>IF('Данные'!E2412&lt;'Дашборд'!$C$53,"Мало трафика",IF(J2412&lt;'Дашборд'!$C$9*'Дашборд'!$C$54,"Да","Нет"))</x:f>
        <x:v>Мало трафика</x:v>
      </x:c>
      <x:c r="N2412" s="1" t="str">
        <x:f>IF(AND('Данные'!D2412&gt;='Дашборд'!$C$55,D2412&lt;'Дашборд'!$C$56,'Данные'!E2412&gt;='Дашборд'!$C$53,'Данные'!L2412&lt;&gt;"Да"),"Да","Нет")</x:f>
        <x:v>Нет</x:v>
      </x:c>
      <x:c r="O2412" s="1" t="str">
        <x:f>'Данные'!L2412</x:f>
        <x:v>Нет</x:v>
      </x:c>
    </x:row>
    <x:row r="2413">
      <x:c r="A2413" s="1" t="str">
        <x:f>'Данные'!A2413</x:f>
        <x:v>44882126</x:v>
      </x:c>
      <x:c r="B2413" s="1" t="str">
        <x:f>'Данные'!B2413</x:f>
        <x:v>longslivdekoltekor/пыльнаямята</x:v>
      </x:c>
      <x:c r="C2413" s="8" t="n">
        <x:f>'Данные'!G2413</x:f>
        <x:v>0</x:v>
      </x:c>
      <x:c r="D2413" s="15" t="n">
        <x:f>C2413/SUM($C$5:$C$2477)</x:f>
        <x:v>0</x:v>
      </x:c>
      <x:c r="E2413" s="15" t="n">
        <x:f>SUM($D$5:D2413)</x:f>
        <x:v>1.0000000000000036</x:v>
      </x:c>
      <x:c r="F2413" s="1" t="str">
        <x:f>IF(C2413&lt;=0,"C",IF(E2413-D2413&lt;'Дашборд'!$C$49,"A",IF(E2413-D2413&lt;'Дашборд'!$C$50,"B","C")))</x:f>
        <x:v>C</x:v>
      </x:c>
      <x:c r="G2413" s="8" t="n">
        <x:f>'Данные'!F2413</x:f>
        <x:v>0</x:v>
      </x:c>
      <x:c r="H2413" s="8" t="n">
        <x:f>SUM('Данные'!H2413:I2413)</x:f>
        <x:v>0</x:v>
      </x:c>
      <x:c r="I2413" s="16" t="str">
        <x:f>IF(H2413&gt;0,G2413/H2413,"n.a.")</x:f>
        <x:v>n.a.</x:v>
      </x:c>
      <x:c r="J2413" s="10" t="n">
        <x:f>IF('Данные'!E2413&gt;0,G2413/'Данные'!E2413,"n.a.")</x:f>
        <x:v>0</x:v>
      </x:c>
      <x:c r="K2413" s="1" t="str">
        <x:f>IF(G2413&gt;='Дашборд'!$C$51,"X","Z")</x:f>
        <x:v>Z</x:v>
      </x:c>
      <x:c r="L2413" s="1" t="str">
        <x:f>IF(H2413=0,IF(G2413&gt;0,"Нет остатка","Нет спроса"),IF(I2413&gt;='Дашборд'!$C$52,"Быстрый","Медленный"))</x:f>
        <x:v>Нет спроса</x:v>
      </x:c>
      <x:c r="M2413" s="1" t="str">
        <x:f>IF('Данные'!E2413&lt;'Дашборд'!$C$53,"Мало трафика",IF(J2413&lt;'Дашборд'!$C$9*'Дашборд'!$C$54,"Да","Нет"))</x:f>
        <x:v>Мало трафика</x:v>
      </x:c>
      <x:c r="N2413" s="1" t="str">
        <x:f>IF(AND('Данные'!D2413&gt;='Дашборд'!$C$55,D2413&lt;'Дашборд'!$C$56,'Данные'!E2413&gt;='Дашборд'!$C$53,'Данные'!L2413&lt;&gt;"Да"),"Да","Нет")</x:f>
        <x:v>Нет</x:v>
      </x:c>
      <x:c r="O2413" s="1" t="str">
        <x:f>'Данные'!L2413</x:f>
        <x:v>Нет</x:v>
      </x:c>
    </x:row>
    <x:row r="2414">
      <x:c r="A2414" s="1" t="str">
        <x:f>'Данные'!A2414</x:f>
        <x:v>44883515</x:v>
      </x:c>
      <x:c r="B2414" s="1" t="str">
        <x:f>'Данные'!B2414</x:f>
        <x:v>longslivkvadrat/молочный</x:v>
      </x:c>
      <x:c r="C2414" s="8" t="n">
        <x:f>'Данные'!G2414</x:f>
        <x:v>0</x:v>
      </x:c>
      <x:c r="D2414" s="15" t="n">
        <x:f>C2414/SUM($C$5:$C$2477)</x:f>
        <x:v>0</x:v>
      </x:c>
      <x:c r="E2414" s="15" t="n">
        <x:f>SUM($D$5:D2414)</x:f>
        <x:v>1.0000000000000036</x:v>
      </x:c>
      <x:c r="F2414" s="1" t="str">
        <x:f>IF(C2414&lt;=0,"C",IF(E2414-D2414&lt;'Дашборд'!$C$49,"A",IF(E2414-D2414&lt;'Дашборд'!$C$50,"B","C")))</x:f>
        <x:v>C</x:v>
      </x:c>
      <x:c r="G2414" s="8" t="n">
        <x:f>'Данные'!F2414</x:f>
        <x:v>0</x:v>
      </x:c>
      <x:c r="H2414" s="8" t="n">
        <x:f>SUM('Данные'!H2414:I2414)</x:f>
        <x:v>0</x:v>
      </x:c>
      <x:c r="I2414" s="16" t="str">
        <x:f>IF(H2414&gt;0,G2414/H2414,"n.a.")</x:f>
        <x:v>n.a.</x:v>
      </x:c>
      <x:c r="J2414" s="10" t="n">
        <x:f>IF('Данные'!E2414&gt;0,G2414/'Данные'!E2414,"n.a.")</x:f>
        <x:v>0</x:v>
      </x:c>
      <x:c r="K2414" s="1" t="str">
        <x:f>IF(G2414&gt;='Дашборд'!$C$51,"X","Z")</x:f>
        <x:v>Z</x:v>
      </x:c>
      <x:c r="L2414" s="1" t="str">
        <x:f>IF(H2414=0,IF(G2414&gt;0,"Нет остатка","Нет спроса"),IF(I2414&gt;='Дашборд'!$C$52,"Быстрый","Медленный"))</x:f>
        <x:v>Нет спроса</x:v>
      </x:c>
      <x:c r="M2414" s="1" t="str">
        <x:f>IF('Данные'!E2414&lt;'Дашборд'!$C$53,"Мало трафика",IF(J2414&lt;'Дашборд'!$C$9*'Дашборд'!$C$54,"Да","Нет"))</x:f>
        <x:v>Мало трафика</x:v>
      </x:c>
      <x:c r="N2414" s="1" t="str">
        <x:f>IF(AND('Данные'!D2414&gt;='Дашборд'!$C$55,D2414&lt;'Дашборд'!$C$56,'Данные'!E2414&gt;='Дашборд'!$C$53,'Данные'!L2414&lt;&gt;"Да"),"Да","Нет")</x:f>
        <x:v>Нет</x:v>
      </x:c>
      <x:c r="O2414" s="1" t="str">
        <x:f>'Данные'!L2414</x:f>
        <x:v>Нет</x:v>
      </x:c>
    </x:row>
    <x:row r="2415">
      <x:c r="A2415" s="1" t="str">
        <x:f>'Данные'!A2415</x:f>
        <x:v>44886836</x:v>
      </x:c>
      <x:c r="B2415" s="1" t="str">
        <x:f>'Данные'!B2415</x:f>
        <x:v>longslivkvadrat/какао</x:v>
      </x:c>
      <x:c r="C2415" s="8" t="n">
        <x:f>'Данные'!G2415</x:f>
        <x:v>0</x:v>
      </x:c>
      <x:c r="D2415" s="15" t="n">
        <x:f>C2415/SUM($C$5:$C$2477)</x:f>
        <x:v>0</x:v>
      </x:c>
      <x:c r="E2415" s="15" t="n">
        <x:f>SUM($D$5:D2415)</x:f>
        <x:v>1.0000000000000036</x:v>
      </x:c>
      <x:c r="F2415" s="1" t="str">
        <x:f>IF(C2415&lt;=0,"C",IF(E2415-D2415&lt;'Дашборд'!$C$49,"A",IF(E2415-D2415&lt;'Дашборд'!$C$50,"B","C")))</x:f>
        <x:v>C</x:v>
      </x:c>
      <x:c r="G2415" s="8" t="n">
        <x:f>'Данные'!F2415</x:f>
        <x:v>0</x:v>
      </x:c>
      <x:c r="H2415" s="8" t="n">
        <x:f>SUM('Данные'!H2415:I2415)</x:f>
        <x:v>0</x:v>
      </x:c>
      <x:c r="I2415" s="16" t="str">
        <x:f>IF(H2415&gt;0,G2415/H2415,"n.a.")</x:f>
        <x:v>n.a.</x:v>
      </x:c>
      <x:c r="J2415" s="10" t="n">
        <x:f>IF('Данные'!E2415&gt;0,G2415/'Данные'!E2415,"n.a.")</x:f>
        <x:v>0</x:v>
      </x:c>
      <x:c r="K2415" s="1" t="str">
        <x:f>IF(G2415&gt;='Дашборд'!$C$51,"X","Z")</x:f>
        <x:v>Z</x:v>
      </x:c>
      <x:c r="L2415" s="1" t="str">
        <x:f>IF(H2415=0,IF(G2415&gt;0,"Нет остатка","Нет спроса"),IF(I2415&gt;='Дашборд'!$C$52,"Быстрый","Медленный"))</x:f>
        <x:v>Нет спроса</x:v>
      </x:c>
      <x:c r="M2415" s="1" t="str">
        <x:f>IF('Данные'!E2415&lt;'Дашборд'!$C$53,"Мало трафика",IF(J2415&lt;'Дашборд'!$C$9*'Дашборд'!$C$54,"Да","Нет"))</x:f>
        <x:v>Мало трафика</x:v>
      </x:c>
      <x:c r="N2415" s="1" t="str">
        <x:f>IF(AND('Данные'!D2415&gt;='Дашборд'!$C$55,D2415&lt;'Дашборд'!$C$56,'Данные'!E2415&gt;='Дашборд'!$C$53,'Данные'!L2415&lt;&gt;"Да"),"Да","Нет")</x:f>
        <x:v>Нет</x:v>
      </x:c>
      <x:c r="O2415" s="1" t="str">
        <x:f>'Данные'!L2415</x:f>
        <x:v>Нет</x:v>
      </x:c>
    </x:row>
    <x:row r="2416">
      <x:c r="A2416" s="1" t="str">
        <x:f>'Данные'!A2416</x:f>
        <x:v>44887178</x:v>
      </x:c>
      <x:c r="B2416" s="1" t="str">
        <x:f>'Данные'!B2416</x:f>
        <x:v>longslivkvadrat/мятапыльная</x:v>
      </x:c>
      <x:c r="C2416" s="8" t="n">
        <x:f>'Данные'!G2416</x:f>
        <x:v>0</x:v>
      </x:c>
      <x:c r="D2416" s="15" t="n">
        <x:f>C2416/SUM($C$5:$C$2477)</x:f>
        <x:v>0</x:v>
      </x:c>
      <x:c r="E2416" s="15" t="n">
        <x:f>SUM($D$5:D2416)</x:f>
        <x:v>1.0000000000000036</x:v>
      </x:c>
      <x:c r="F2416" s="1" t="str">
        <x:f>IF(C2416&lt;=0,"C",IF(E2416-D2416&lt;'Дашборд'!$C$49,"A",IF(E2416-D2416&lt;'Дашборд'!$C$50,"B","C")))</x:f>
        <x:v>C</x:v>
      </x:c>
      <x:c r="G2416" s="8" t="n">
        <x:f>'Данные'!F2416</x:f>
        <x:v>0</x:v>
      </x:c>
      <x:c r="H2416" s="8" t="n">
        <x:f>SUM('Данные'!H2416:I2416)</x:f>
        <x:v>0</x:v>
      </x:c>
      <x:c r="I2416" s="16" t="str">
        <x:f>IF(H2416&gt;0,G2416/H2416,"n.a.")</x:f>
        <x:v>n.a.</x:v>
      </x:c>
      <x:c r="J2416" s="10" t="n">
        <x:f>IF('Данные'!E2416&gt;0,G2416/'Данные'!E2416,"n.a.")</x:f>
        <x:v>0</x:v>
      </x:c>
      <x:c r="K2416" s="1" t="str">
        <x:f>IF(G2416&gt;='Дашборд'!$C$51,"X","Z")</x:f>
        <x:v>Z</x:v>
      </x:c>
      <x:c r="L2416" s="1" t="str">
        <x:f>IF(H2416=0,IF(G2416&gt;0,"Нет остатка","Нет спроса"),IF(I2416&gt;='Дашборд'!$C$52,"Быстрый","Медленный"))</x:f>
        <x:v>Нет спроса</x:v>
      </x:c>
      <x:c r="M2416" s="1" t="str">
        <x:f>IF('Данные'!E2416&lt;'Дашборд'!$C$53,"Мало трафика",IF(J2416&lt;'Дашборд'!$C$9*'Дашборд'!$C$54,"Да","Нет"))</x:f>
        <x:v>Мало трафика</x:v>
      </x:c>
      <x:c r="N2416" s="1" t="str">
        <x:f>IF(AND('Данные'!D2416&gt;='Дашборд'!$C$55,D2416&lt;'Дашборд'!$C$56,'Данные'!E2416&gt;='Дашборд'!$C$53,'Данные'!L2416&lt;&gt;"Да"),"Да","Нет")</x:f>
        <x:v>Нет</x:v>
      </x:c>
      <x:c r="O2416" s="1" t="str">
        <x:f>'Данные'!L2416</x:f>
        <x:v>Нет</x:v>
      </x:c>
    </x:row>
    <x:row r="2417">
      <x:c r="A2417" s="1" t="str">
        <x:f>'Данные'!A2417</x:f>
        <x:v>44890970</x:v>
      </x:c>
      <x:c r="B2417" s="1" t="str">
        <x:f>'Данные'!B2417</x:f>
        <x:v>longslivkvadratkorot/молочный</x:v>
      </x:c>
      <x:c r="C2417" s="8" t="n">
        <x:f>'Данные'!G2417</x:f>
        <x:v>0</x:v>
      </x:c>
      <x:c r="D2417" s="15" t="n">
        <x:f>C2417/SUM($C$5:$C$2477)</x:f>
        <x:v>0</x:v>
      </x:c>
      <x:c r="E2417" s="15" t="n">
        <x:f>SUM($D$5:D2417)</x:f>
        <x:v>1.0000000000000036</x:v>
      </x:c>
      <x:c r="F2417" s="1" t="str">
        <x:f>IF(C2417&lt;=0,"C",IF(E2417-D2417&lt;'Дашборд'!$C$49,"A",IF(E2417-D2417&lt;'Дашборд'!$C$50,"B","C")))</x:f>
        <x:v>C</x:v>
      </x:c>
      <x:c r="G2417" s="8" t="n">
        <x:f>'Данные'!F2417</x:f>
        <x:v>0</x:v>
      </x:c>
      <x:c r="H2417" s="8" t="n">
        <x:f>SUM('Данные'!H2417:I2417)</x:f>
        <x:v>0</x:v>
      </x:c>
      <x:c r="I2417" s="16" t="str">
        <x:f>IF(H2417&gt;0,G2417/H2417,"n.a.")</x:f>
        <x:v>n.a.</x:v>
      </x:c>
      <x:c r="J2417" s="10" t="n">
        <x:f>IF('Данные'!E2417&gt;0,G2417/'Данные'!E2417,"n.a.")</x:f>
        <x:v>0</x:v>
      </x:c>
      <x:c r="K2417" s="1" t="str">
        <x:f>IF(G2417&gt;='Дашборд'!$C$51,"X","Z")</x:f>
        <x:v>Z</x:v>
      </x:c>
      <x:c r="L2417" s="1" t="str">
        <x:f>IF(H2417=0,IF(G2417&gt;0,"Нет остатка","Нет спроса"),IF(I2417&gt;='Дашборд'!$C$52,"Быстрый","Медленный"))</x:f>
        <x:v>Нет спроса</x:v>
      </x:c>
      <x:c r="M2417" s="1" t="str">
        <x:f>IF('Данные'!E2417&lt;'Дашборд'!$C$53,"Мало трафика",IF(J2417&lt;'Дашборд'!$C$9*'Дашборд'!$C$54,"Да","Нет"))</x:f>
        <x:v>Мало трафика</x:v>
      </x:c>
      <x:c r="N2417" s="1" t="str">
        <x:f>IF(AND('Данные'!D2417&gt;='Дашборд'!$C$55,D2417&lt;'Дашборд'!$C$56,'Данные'!E2417&gt;='Дашборд'!$C$53,'Данные'!L2417&lt;&gt;"Да"),"Да","Нет")</x:f>
        <x:v>Нет</x:v>
      </x:c>
      <x:c r="O2417" s="1" t="str">
        <x:f>'Данные'!L2417</x:f>
        <x:v>Нет</x:v>
      </x:c>
    </x:row>
    <x:row r="2418">
      <x:c r="A2418" s="1" t="str">
        <x:f>'Данные'!A2418</x:f>
        <x:v>44891578</x:v>
      </x:c>
      <x:c r="B2418" s="1" t="str">
        <x:f>'Данные'!B2418</x:f>
        <x:v>longslivkvadratkorot/красный</x:v>
      </x:c>
      <x:c r="C2418" s="8" t="n">
        <x:f>'Данные'!G2418</x:f>
        <x:v>0</x:v>
      </x:c>
      <x:c r="D2418" s="15" t="n">
        <x:f>C2418/SUM($C$5:$C$2477)</x:f>
        <x:v>0</x:v>
      </x:c>
      <x:c r="E2418" s="15" t="n">
        <x:f>SUM($D$5:D2418)</x:f>
        <x:v>1.0000000000000036</x:v>
      </x:c>
      <x:c r="F2418" s="1" t="str">
        <x:f>IF(C2418&lt;=0,"C",IF(E2418-D2418&lt;'Дашборд'!$C$49,"A",IF(E2418-D2418&lt;'Дашборд'!$C$50,"B","C")))</x:f>
        <x:v>C</x:v>
      </x:c>
      <x:c r="G2418" s="8" t="n">
        <x:f>'Данные'!F2418</x:f>
        <x:v>0</x:v>
      </x:c>
      <x:c r="H2418" s="8" t="n">
        <x:f>SUM('Данные'!H2418:I2418)</x:f>
        <x:v>0</x:v>
      </x:c>
      <x:c r="I2418" s="16" t="str">
        <x:f>IF(H2418&gt;0,G2418/H2418,"n.a.")</x:f>
        <x:v>n.a.</x:v>
      </x:c>
      <x:c r="J2418" s="10" t="n">
        <x:f>IF('Данные'!E2418&gt;0,G2418/'Данные'!E2418,"n.a.")</x:f>
        <x:v>0</x:v>
      </x:c>
      <x:c r="K2418" s="1" t="str">
        <x:f>IF(G2418&gt;='Дашборд'!$C$51,"X","Z")</x:f>
        <x:v>Z</x:v>
      </x:c>
      <x:c r="L2418" s="1" t="str">
        <x:f>IF(H2418=0,IF(G2418&gt;0,"Нет остатка","Нет спроса"),IF(I2418&gt;='Дашборд'!$C$52,"Быстрый","Медленный"))</x:f>
        <x:v>Нет спроса</x:v>
      </x:c>
      <x:c r="M2418" s="1" t="str">
        <x:f>IF('Данные'!E2418&lt;'Дашборд'!$C$53,"Мало трафика",IF(J2418&lt;'Дашборд'!$C$9*'Дашборд'!$C$54,"Да","Нет"))</x:f>
        <x:v>Мало трафика</x:v>
      </x:c>
      <x:c r="N2418" s="1" t="str">
        <x:f>IF(AND('Данные'!D2418&gt;='Дашборд'!$C$55,D2418&lt;'Дашборд'!$C$56,'Данные'!E2418&gt;='Дашборд'!$C$53,'Данные'!L2418&lt;&gt;"Да"),"Да","Нет")</x:f>
        <x:v>Нет</x:v>
      </x:c>
      <x:c r="O2418" s="1" t="str">
        <x:f>'Данные'!L2418</x:f>
        <x:v>Нет</x:v>
      </x:c>
    </x:row>
    <x:row r="2419">
      <x:c r="A2419" s="1" t="str">
        <x:f>'Данные'!A2419</x:f>
        <x:v>44891973</x:v>
      </x:c>
      <x:c r="B2419" s="1" t="str">
        <x:f>'Данные'!B2419</x:f>
        <x:v>longslivkvadratkorot/пыльная-мята</x:v>
      </x:c>
      <x:c r="C2419" s="8" t="n">
        <x:f>'Данные'!G2419</x:f>
        <x:v>0</x:v>
      </x:c>
      <x:c r="D2419" s="15" t="n">
        <x:f>C2419/SUM($C$5:$C$2477)</x:f>
        <x:v>0</x:v>
      </x:c>
      <x:c r="E2419" s="15" t="n">
        <x:f>SUM($D$5:D2419)</x:f>
        <x:v>1.0000000000000036</x:v>
      </x:c>
      <x:c r="F2419" s="1" t="str">
        <x:f>IF(C2419&lt;=0,"C",IF(E2419-D2419&lt;'Дашборд'!$C$49,"A",IF(E2419-D2419&lt;'Дашборд'!$C$50,"B","C")))</x:f>
        <x:v>C</x:v>
      </x:c>
      <x:c r="G2419" s="8" t="n">
        <x:f>'Данные'!F2419</x:f>
        <x:v>0</x:v>
      </x:c>
      <x:c r="H2419" s="8" t="n">
        <x:f>SUM('Данные'!H2419:I2419)</x:f>
        <x:v>0</x:v>
      </x:c>
      <x:c r="I2419" s="16" t="str">
        <x:f>IF(H2419&gt;0,G2419/H2419,"n.a.")</x:f>
        <x:v>n.a.</x:v>
      </x:c>
      <x:c r="J2419" s="10" t="n">
        <x:f>IF('Данные'!E2419&gt;0,G2419/'Данные'!E2419,"n.a.")</x:f>
        <x:v>0</x:v>
      </x:c>
      <x:c r="K2419" s="1" t="str">
        <x:f>IF(G2419&gt;='Дашборд'!$C$51,"X","Z")</x:f>
        <x:v>Z</x:v>
      </x:c>
      <x:c r="L2419" s="1" t="str">
        <x:f>IF(H2419=0,IF(G2419&gt;0,"Нет остатка","Нет спроса"),IF(I2419&gt;='Дашборд'!$C$52,"Быстрый","Медленный"))</x:f>
        <x:v>Нет спроса</x:v>
      </x:c>
      <x:c r="M2419" s="1" t="str">
        <x:f>IF('Данные'!E2419&lt;'Дашборд'!$C$53,"Мало трафика",IF(J2419&lt;'Дашборд'!$C$9*'Дашборд'!$C$54,"Да","Нет"))</x:f>
        <x:v>Мало трафика</x:v>
      </x:c>
      <x:c r="N2419" s="1" t="str">
        <x:f>IF(AND('Данные'!D2419&gt;='Дашборд'!$C$55,D2419&lt;'Дашборд'!$C$56,'Данные'!E2419&gt;='Дашборд'!$C$53,'Данные'!L2419&lt;&gt;"Да"),"Да","Нет")</x:f>
        <x:v>Нет</x:v>
      </x:c>
      <x:c r="O2419" s="1" t="str">
        <x:f>'Данные'!L2419</x:f>
        <x:v>Нет</x:v>
      </x:c>
    </x:row>
    <x:row r="2420">
      <x:c r="A2420" s="1" t="str">
        <x:f>'Данные'!A2420</x:f>
        <x:v>45705733</x:v>
      </x:c>
      <x:c r="B2420" s="1" t="str">
        <x:f>'Данные'!B2420</x:f>
        <x:v>hudi/серый-меланж</x:v>
      </x:c>
      <x:c r="C2420" s="8" t="n">
        <x:f>'Данные'!G2420</x:f>
        <x:v>0</x:v>
      </x:c>
      <x:c r="D2420" s="15" t="n">
        <x:f>C2420/SUM($C$5:$C$2477)</x:f>
        <x:v>0</x:v>
      </x:c>
      <x:c r="E2420" s="15" t="n">
        <x:f>SUM($D$5:D2420)</x:f>
        <x:v>1.0000000000000036</x:v>
      </x:c>
      <x:c r="F2420" s="1" t="str">
        <x:f>IF(C2420&lt;=0,"C",IF(E2420-D2420&lt;'Дашборд'!$C$49,"A",IF(E2420-D2420&lt;'Дашборд'!$C$50,"B","C")))</x:f>
        <x:v>C</x:v>
      </x:c>
      <x:c r="G2420" s="8" t="n">
        <x:f>'Данные'!F2420</x:f>
        <x:v>0</x:v>
      </x:c>
      <x:c r="H2420" s="8" t="n">
        <x:f>SUM('Данные'!H2420:I2420)</x:f>
        <x:v>0</x:v>
      </x:c>
      <x:c r="I2420" s="16" t="str">
        <x:f>IF(H2420&gt;0,G2420/H2420,"n.a.")</x:f>
        <x:v>n.a.</x:v>
      </x:c>
      <x:c r="J2420" s="10" t="n">
        <x:f>IF('Данные'!E2420&gt;0,G2420/'Данные'!E2420,"n.a.")</x:f>
        <x:v>0</x:v>
      </x:c>
      <x:c r="K2420" s="1" t="str">
        <x:f>IF(G2420&gt;='Дашборд'!$C$51,"X","Z")</x:f>
        <x:v>Z</x:v>
      </x:c>
      <x:c r="L2420" s="1" t="str">
        <x:f>IF(H2420=0,IF(G2420&gt;0,"Нет остатка","Нет спроса"),IF(I2420&gt;='Дашборд'!$C$52,"Быстрый","Медленный"))</x:f>
        <x:v>Нет спроса</x:v>
      </x:c>
      <x:c r="M2420" s="1" t="str">
        <x:f>IF('Данные'!E2420&lt;'Дашборд'!$C$53,"Мало трафика",IF(J2420&lt;'Дашборд'!$C$9*'Дашборд'!$C$54,"Да","Нет"))</x:f>
        <x:v>Мало трафика</x:v>
      </x:c>
      <x:c r="N2420" s="1" t="str">
        <x:f>IF(AND('Данные'!D2420&gt;='Дашборд'!$C$55,D2420&lt;'Дашборд'!$C$56,'Данные'!E2420&gt;='Дашборд'!$C$53,'Данные'!L2420&lt;&gt;"Да"),"Да","Нет")</x:f>
        <x:v>Нет</x:v>
      </x:c>
      <x:c r="O2420" s="1" t="str">
        <x:f>'Данные'!L2420</x:f>
        <x:v>Да</x:v>
      </x:c>
    </x:row>
    <x:row r="2421">
      <x:c r="A2421" s="1" t="str">
        <x:f>'Данные'!A2421</x:f>
        <x:v>47495105</x:v>
      </x:c>
      <x:c r="B2421" s="1" t="str">
        <x:f>'Данные'!B2421</x:f>
        <x:v>longslivdlinna/хаки</x:v>
      </x:c>
      <x:c r="C2421" s="8" t="n">
        <x:f>'Данные'!G2421</x:f>
        <x:v>0</x:v>
      </x:c>
      <x:c r="D2421" s="15" t="n">
        <x:f>C2421/SUM($C$5:$C$2477)</x:f>
        <x:v>0</x:v>
      </x:c>
      <x:c r="E2421" s="15" t="n">
        <x:f>SUM($D$5:D2421)</x:f>
        <x:v>1.0000000000000036</x:v>
      </x:c>
      <x:c r="F2421" s="1" t="str">
        <x:f>IF(C2421&lt;=0,"C",IF(E2421-D2421&lt;'Дашборд'!$C$49,"A",IF(E2421-D2421&lt;'Дашборд'!$C$50,"B","C")))</x:f>
        <x:v>C</x:v>
      </x:c>
      <x:c r="G2421" s="8" t="n">
        <x:f>'Данные'!F2421</x:f>
        <x:v>0</x:v>
      </x:c>
      <x:c r="H2421" s="8" t="n">
        <x:f>SUM('Данные'!H2421:I2421)</x:f>
        <x:v>0</x:v>
      </x:c>
      <x:c r="I2421" s="16" t="str">
        <x:f>IF(H2421&gt;0,G2421/H2421,"n.a.")</x:f>
        <x:v>n.a.</x:v>
      </x:c>
      <x:c r="J2421" s="10" t="n">
        <x:f>IF('Данные'!E2421&gt;0,G2421/'Данные'!E2421,"n.a.")</x:f>
        <x:v>0</x:v>
      </x:c>
      <x:c r="K2421" s="1" t="str">
        <x:f>IF(G2421&gt;='Дашборд'!$C$51,"X","Z")</x:f>
        <x:v>Z</x:v>
      </x:c>
      <x:c r="L2421" s="1" t="str">
        <x:f>IF(H2421=0,IF(G2421&gt;0,"Нет остатка","Нет спроса"),IF(I2421&gt;='Дашборд'!$C$52,"Быстрый","Медленный"))</x:f>
        <x:v>Нет спроса</x:v>
      </x:c>
      <x:c r="M2421" s="1" t="str">
        <x:f>IF('Данные'!E2421&lt;'Дашборд'!$C$53,"Мало трафика",IF(J2421&lt;'Дашборд'!$C$9*'Дашборд'!$C$54,"Да","Нет"))</x:f>
        <x:v>Мало трафика</x:v>
      </x:c>
      <x:c r="N2421" s="1" t="str">
        <x:f>IF(AND('Данные'!D2421&gt;='Дашборд'!$C$55,D2421&lt;'Дашборд'!$C$56,'Данные'!E2421&gt;='Дашборд'!$C$53,'Данные'!L2421&lt;&gt;"Да"),"Да","Нет")</x:f>
        <x:v>Нет</x:v>
      </x:c>
      <x:c r="O2421" s="1" t="str">
        <x:f>'Данные'!L2421</x:f>
        <x:v>Нет</x:v>
      </x:c>
    </x:row>
    <x:row r="2422">
      <x:c r="A2422" s="1" t="str">
        <x:f>'Данные'!A2422</x:f>
        <x:v>47543950</x:v>
      </x:c>
      <x:c r="B2422" s="1" t="str">
        <x:f>'Данные'!B2422</x:f>
        <x:v>longslivdlinna/пудровый</x:v>
      </x:c>
      <x:c r="C2422" s="8" t="n">
        <x:f>'Данные'!G2422</x:f>
        <x:v>0</x:v>
      </x:c>
      <x:c r="D2422" s="15" t="n">
        <x:f>C2422/SUM($C$5:$C$2477)</x:f>
        <x:v>0</x:v>
      </x:c>
      <x:c r="E2422" s="15" t="n">
        <x:f>SUM($D$5:D2422)</x:f>
        <x:v>1.0000000000000036</x:v>
      </x:c>
      <x:c r="F2422" s="1" t="str">
        <x:f>IF(C2422&lt;=0,"C",IF(E2422-D2422&lt;'Дашборд'!$C$49,"A",IF(E2422-D2422&lt;'Дашборд'!$C$50,"B","C")))</x:f>
        <x:v>C</x:v>
      </x:c>
      <x:c r="G2422" s="8" t="n">
        <x:f>'Данные'!F2422</x:f>
        <x:v>6</x:v>
      </x:c>
      <x:c r="H2422" s="8" t="n">
        <x:f>SUM('Данные'!H2422:I2422)</x:f>
        <x:v>0</x:v>
      </x:c>
      <x:c r="I2422" s="16" t="str">
        <x:f>IF(H2422&gt;0,G2422/H2422,"n.a.")</x:f>
        <x:v>n.a.</x:v>
      </x:c>
      <x:c r="J2422" s="10" t="n">
        <x:f>IF('Данные'!E2422&gt;0,G2422/'Данные'!E2422,"n.a.")</x:f>
        <x:v>0.006825938566552901</x:v>
      </x:c>
      <x:c r="K2422" s="1" t="str">
        <x:f>IF(G2422&gt;='Дашборд'!$C$51,"X","Z")</x:f>
        <x:v>Z</x:v>
      </x:c>
      <x:c r="L2422" s="1" t="str">
        <x:f>IF(H2422=0,IF(G2422&gt;0,"Нет остатка","Нет спроса"),IF(I2422&gt;='Дашборд'!$C$52,"Быстрый","Медленный"))</x:f>
        <x:v>Нет остатка</x:v>
      </x:c>
      <x:c r="M2422" s="1" t="str">
        <x:f>IF('Данные'!E2422&lt;'Дашборд'!$C$53,"Мало трафика",IF(J2422&lt;'Дашборд'!$C$9*'Дашборд'!$C$54,"Да","Нет"))</x:f>
        <x:v>Мало трафика</x:v>
      </x:c>
      <x:c r="N2422" s="1" t="str">
        <x:f>IF(AND('Данные'!D2422&gt;='Дашборд'!$C$55,D2422&lt;'Дашборд'!$C$56,'Данные'!E2422&gt;='Дашборд'!$C$53,'Данные'!L2422&lt;&gt;"Да"),"Да","Нет")</x:f>
        <x:v>Нет</x:v>
      </x:c>
      <x:c r="O2422" s="1" t="str">
        <x:f>'Данные'!L2422</x:f>
        <x:v>Нет</x:v>
      </x:c>
    </x:row>
    <x:row r="2423">
      <x:c r="A2423" s="1" t="str">
        <x:f>'Данные'!A2423</x:f>
        <x:v>47545072</x:v>
      </x:c>
      <x:c r="B2423" s="1" t="str">
        <x:f>'Данные'!B2423</x:f>
        <x:v>longslivdlinna/голубой</x:v>
      </x:c>
      <x:c r="C2423" s="8" t="n">
        <x:f>'Данные'!G2423</x:f>
        <x:v>0</x:v>
      </x:c>
      <x:c r="D2423" s="15" t="n">
        <x:f>C2423/SUM($C$5:$C$2477)</x:f>
        <x:v>0</x:v>
      </x:c>
      <x:c r="E2423" s="15" t="n">
        <x:f>SUM($D$5:D2423)</x:f>
        <x:v>1.0000000000000036</x:v>
      </x:c>
      <x:c r="F2423" s="1" t="str">
        <x:f>IF(C2423&lt;=0,"C",IF(E2423-D2423&lt;'Дашборд'!$C$49,"A",IF(E2423-D2423&lt;'Дашборд'!$C$50,"B","C")))</x:f>
        <x:v>C</x:v>
      </x:c>
      <x:c r="G2423" s="8" t="n">
        <x:f>'Данные'!F2423</x:f>
        <x:v>0</x:v>
      </x:c>
      <x:c r="H2423" s="8" t="n">
        <x:f>SUM('Данные'!H2423:I2423)</x:f>
        <x:v>0</x:v>
      </x:c>
      <x:c r="I2423" s="16" t="str">
        <x:f>IF(H2423&gt;0,G2423/H2423,"n.a.")</x:f>
        <x:v>n.a.</x:v>
      </x:c>
      <x:c r="J2423" s="10" t="n">
        <x:f>IF('Данные'!E2423&gt;0,G2423/'Данные'!E2423,"n.a.")</x:f>
        <x:v>0</x:v>
      </x:c>
      <x:c r="K2423" s="1" t="str">
        <x:f>IF(G2423&gt;='Дашборд'!$C$51,"X","Z")</x:f>
        <x:v>Z</x:v>
      </x:c>
      <x:c r="L2423" s="1" t="str">
        <x:f>IF(H2423=0,IF(G2423&gt;0,"Нет остатка","Нет спроса"),IF(I2423&gt;='Дашборд'!$C$52,"Быстрый","Медленный"))</x:f>
        <x:v>Нет спроса</x:v>
      </x:c>
      <x:c r="M2423" s="1" t="str">
        <x:f>IF('Данные'!E2423&lt;'Дашборд'!$C$53,"Мало трафика",IF(J2423&lt;'Дашборд'!$C$9*'Дашборд'!$C$54,"Да","Нет"))</x:f>
        <x:v>Мало трафика</x:v>
      </x:c>
      <x:c r="N2423" s="1" t="str">
        <x:f>IF(AND('Данные'!D2423&gt;='Дашборд'!$C$55,D2423&lt;'Дашборд'!$C$56,'Данные'!E2423&gt;='Дашборд'!$C$53,'Данные'!L2423&lt;&gt;"Да"),"Да","Нет")</x:f>
        <x:v>Нет</x:v>
      </x:c>
      <x:c r="O2423" s="1" t="str">
        <x:f>'Данные'!L2423</x:f>
        <x:v>Нет</x:v>
      </x:c>
    </x:row>
    <x:row r="2424">
      <x:c r="A2424" s="1" t="str">
        <x:f>'Данные'!A2424</x:f>
        <x:v>47545369</x:v>
      </x:c>
      <x:c r="B2424" s="1" t="str">
        <x:f>'Данные'!B2424</x:f>
        <x:v>longslivdlinna/мятапыльная</x:v>
      </x:c>
      <x:c r="C2424" s="8" t="n">
        <x:f>'Данные'!G2424</x:f>
        <x:v>0</x:v>
      </x:c>
      <x:c r="D2424" s="15" t="n">
        <x:f>C2424/SUM($C$5:$C$2477)</x:f>
        <x:v>0</x:v>
      </x:c>
      <x:c r="E2424" s="15" t="n">
        <x:f>SUM($D$5:D2424)</x:f>
        <x:v>1.0000000000000036</x:v>
      </x:c>
      <x:c r="F2424" s="1" t="str">
        <x:f>IF(C2424&lt;=0,"C",IF(E2424-D2424&lt;'Дашборд'!$C$49,"A",IF(E2424-D2424&lt;'Дашборд'!$C$50,"B","C")))</x:f>
        <x:v>C</x:v>
      </x:c>
      <x:c r="G2424" s="8" t="n">
        <x:f>'Данные'!F2424</x:f>
        <x:v>1</x:v>
      </x:c>
      <x:c r="H2424" s="8" t="n">
        <x:f>SUM('Данные'!H2424:I2424)</x:f>
        <x:v>0</x:v>
      </x:c>
      <x:c r="I2424" s="16" t="str">
        <x:f>IF(H2424&gt;0,G2424/H2424,"n.a.")</x:f>
        <x:v>n.a.</x:v>
      </x:c>
      <x:c r="J2424" s="10" t="n">
        <x:f>IF('Данные'!E2424&gt;0,G2424/'Данные'!E2424,"n.a.")</x:f>
        <x:v>0.003663003663003663</x:v>
      </x:c>
      <x:c r="K2424" s="1" t="str">
        <x:f>IF(G2424&gt;='Дашборд'!$C$51,"X","Z")</x:f>
        <x:v>Z</x:v>
      </x:c>
      <x:c r="L2424" s="1" t="str">
        <x:f>IF(H2424=0,IF(G2424&gt;0,"Нет остатка","Нет спроса"),IF(I2424&gt;='Дашборд'!$C$52,"Быстрый","Медленный"))</x:f>
        <x:v>Нет остатка</x:v>
      </x:c>
      <x:c r="M2424" s="1" t="str">
        <x:f>IF('Данные'!E2424&lt;'Дашборд'!$C$53,"Мало трафика",IF(J2424&lt;'Дашборд'!$C$9*'Дашборд'!$C$54,"Да","Нет"))</x:f>
        <x:v>Мало трафика</x:v>
      </x:c>
      <x:c r="N2424" s="1" t="str">
        <x:f>IF(AND('Данные'!D2424&gt;='Дашборд'!$C$55,D2424&lt;'Дашборд'!$C$56,'Данные'!E2424&gt;='Дашборд'!$C$53,'Данные'!L2424&lt;&gt;"Да"),"Да","Нет")</x:f>
        <x:v>Нет</x:v>
      </x:c>
      <x:c r="O2424" s="1" t="str">
        <x:f>'Данные'!L2424</x:f>
        <x:v>Нет</x:v>
      </x:c>
    </x:row>
    <x:row r="2425">
      <x:c r="A2425" s="1" t="str">
        <x:f>'Данные'!A2425</x:f>
        <x:v>47549107</x:v>
      </x:c>
      <x:c r="B2425" s="1" t="str">
        <x:f>'Данные'!B2425</x:f>
        <x:v>longslivdlinna/шалфей</x:v>
      </x:c>
      <x:c r="C2425" s="8" t="n">
        <x:f>'Данные'!G2425</x:f>
        <x:v>0</x:v>
      </x:c>
      <x:c r="D2425" s="15" t="n">
        <x:f>C2425/SUM($C$5:$C$2477)</x:f>
        <x:v>0</x:v>
      </x:c>
      <x:c r="E2425" s="15" t="n">
        <x:f>SUM($D$5:D2425)</x:f>
        <x:v>1.0000000000000036</x:v>
      </x:c>
      <x:c r="F2425" s="1" t="str">
        <x:f>IF(C2425&lt;=0,"C",IF(E2425-D2425&lt;'Дашборд'!$C$49,"A",IF(E2425-D2425&lt;'Дашборд'!$C$50,"B","C")))</x:f>
        <x:v>C</x:v>
      </x:c>
      <x:c r="G2425" s="8" t="n">
        <x:f>'Данные'!F2425</x:f>
        <x:v>0</x:v>
      </x:c>
      <x:c r="H2425" s="8" t="n">
        <x:f>SUM('Данные'!H2425:I2425)</x:f>
        <x:v>0</x:v>
      </x:c>
      <x:c r="I2425" s="16" t="str">
        <x:f>IF(H2425&gt;0,G2425/H2425,"n.a.")</x:f>
        <x:v>n.a.</x:v>
      </x:c>
      <x:c r="J2425" s="10" t="n">
        <x:f>IF('Данные'!E2425&gt;0,G2425/'Данные'!E2425,"n.a.")</x:f>
        <x:v>0</x:v>
      </x:c>
      <x:c r="K2425" s="1" t="str">
        <x:f>IF(G2425&gt;='Дашборд'!$C$51,"X","Z")</x:f>
        <x:v>Z</x:v>
      </x:c>
      <x:c r="L2425" s="1" t="str">
        <x:f>IF(H2425=0,IF(G2425&gt;0,"Нет остатка","Нет спроса"),IF(I2425&gt;='Дашборд'!$C$52,"Быстрый","Медленный"))</x:f>
        <x:v>Нет спроса</x:v>
      </x:c>
      <x:c r="M2425" s="1" t="str">
        <x:f>IF('Данные'!E2425&lt;'Дашборд'!$C$53,"Мало трафика",IF(J2425&lt;'Дашборд'!$C$9*'Дашборд'!$C$54,"Да","Нет"))</x:f>
        <x:v>Мало трафика</x:v>
      </x:c>
      <x:c r="N2425" s="1" t="str">
        <x:f>IF(AND('Данные'!D2425&gt;='Дашборд'!$C$55,D2425&lt;'Дашборд'!$C$56,'Данные'!E2425&gt;='Дашборд'!$C$53,'Данные'!L2425&lt;&gt;"Да"),"Да","Нет")</x:f>
        <x:v>Нет</x:v>
      </x:c>
      <x:c r="O2425" s="1" t="str">
        <x:f>'Данные'!L2425</x:f>
        <x:v>Нет</x:v>
      </x:c>
    </x:row>
    <x:row r="2426">
      <x:c r="A2426" s="1" t="str">
        <x:f>'Данные'!A2426</x:f>
        <x:v>51787209</x:v>
      </x:c>
      <x:c r="B2426" s="1" t="str">
        <x:f>'Данные'!B2426</x:f>
        <x:v>longlapha/пыльнаяроза</x:v>
      </x:c>
      <x:c r="C2426" s="8" t="n">
        <x:f>'Данные'!G2426</x:f>
        <x:v>0</x:v>
      </x:c>
      <x:c r="D2426" s="15" t="n">
        <x:f>C2426/SUM($C$5:$C$2477)</x:f>
        <x:v>0</x:v>
      </x:c>
      <x:c r="E2426" s="15" t="n">
        <x:f>SUM($D$5:D2426)</x:f>
        <x:v>1.0000000000000036</x:v>
      </x:c>
      <x:c r="F2426" s="1" t="str">
        <x:f>IF(C2426&lt;=0,"C",IF(E2426-D2426&lt;'Дашборд'!$C$49,"A",IF(E2426-D2426&lt;'Дашборд'!$C$50,"B","C")))</x:f>
        <x:v>C</x:v>
      </x:c>
      <x:c r="G2426" s="8" t="n">
        <x:f>'Данные'!F2426</x:f>
        <x:v>0</x:v>
      </x:c>
      <x:c r="H2426" s="8" t="n">
        <x:f>SUM('Данные'!H2426:I2426)</x:f>
        <x:v>0</x:v>
      </x:c>
      <x:c r="I2426" s="16" t="str">
        <x:f>IF(H2426&gt;0,G2426/H2426,"n.a.")</x:f>
        <x:v>n.a.</x:v>
      </x:c>
      <x:c r="J2426" s="10" t="str">
        <x:f>IF('Данные'!E2426&gt;0,G2426/'Данные'!E2426,"n.a.")</x:f>
        <x:v>n.a.</x:v>
      </x:c>
      <x:c r="K2426" s="1" t="str">
        <x:f>IF(G2426&gt;='Дашборд'!$C$51,"X","Z")</x:f>
        <x:v>Z</x:v>
      </x:c>
      <x:c r="L2426" s="1" t="str">
        <x:f>IF(H2426=0,IF(G2426&gt;0,"Нет остатка","Нет спроса"),IF(I2426&gt;='Дашборд'!$C$52,"Быстрый","Медленный"))</x:f>
        <x:v>Нет спроса</x:v>
      </x:c>
      <x:c r="M2426" s="1" t="str">
        <x:f>IF('Данные'!E2426&lt;'Дашборд'!$C$53,"Мало трафика",IF(J2426&lt;'Дашборд'!$C$9*'Дашборд'!$C$54,"Да","Нет"))</x:f>
        <x:v>Мало трафика</x:v>
      </x:c>
      <x:c r="N2426" s="1" t="str">
        <x:f>IF(AND('Данные'!D2426&gt;='Дашборд'!$C$55,D2426&lt;'Дашборд'!$C$56,'Данные'!E2426&gt;='Дашборд'!$C$53,'Данные'!L2426&lt;&gt;"Да"),"Да","Нет")</x:f>
        <x:v>Нет</x:v>
      </x:c>
      <x:c r="O2426" s="1" t="str">
        <x:f>'Данные'!L2426</x:f>
        <x:v>Да</x:v>
      </x:c>
    </x:row>
    <x:row r="2427">
      <x:c r="A2427" s="1" t="str">
        <x:f>'Данные'!A2427</x:f>
        <x:v>51790753</x:v>
      </x:c>
      <x:c r="B2427" s="1" t="str">
        <x:f>'Данные'!B2427</x:f>
        <x:v>longlapha/голубойберилл</x:v>
      </x:c>
      <x:c r="C2427" s="8" t="n">
        <x:f>'Данные'!G2427</x:f>
        <x:v>0</x:v>
      </x:c>
      <x:c r="D2427" s="15" t="n">
        <x:f>C2427/SUM($C$5:$C$2477)</x:f>
        <x:v>0</x:v>
      </x:c>
      <x:c r="E2427" s="15" t="n">
        <x:f>SUM($D$5:D2427)</x:f>
        <x:v>1.0000000000000036</x:v>
      </x:c>
      <x:c r="F2427" s="1" t="str">
        <x:f>IF(C2427&lt;=0,"C",IF(E2427-D2427&lt;'Дашборд'!$C$49,"A",IF(E2427-D2427&lt;'Дашборд'!$C$50,"B","C")))</x:f>
        <x:v>C</x:v>
      </x:c>
      <x:c r="G2427" s="8" t="n">
        <x:f>'Данные'!F2427</x:f>
        <x:v>0</x:v>
      </x:c>
      <x:c r="H2427" s="8" t="n">
        <x:f>SUM('Данные'!H2427:I2427)</x:f>
        <x:v>0</x:v>
      </x:c>
      <x:c r="I2427" s="16" t="str">
        <x:f>IF(H2427&gt;0,G2427/H2427,"n.a.")</x:f>
        <x:v>n.a.</x:v>
      </x:c>
      <x:c r="J2427" s="10" t="str">
        <x:f>IF('Данные'!E2427&gt;0,G2427/'Данные'!E2427,"n.a.")</x:f>
        <x:v>n.a.</x:v>
      </x:c>
      <x:c r="K2427" s="1" t="str">
        <x:f>IF(G2427&gt;='Дашборд'!$C$51,"X","Z")</x:f>
        <x:v>Z</x:v>
      </x:c>
      <x:c r="L2427" s="1" t="str">
        <x:f>IF(H2427=0,IF(G2427&gt;0,"Нет остатка","Нет спроса"),IF(I2427&gt;='Дашборд'!$C$52,"Быстрый","Медленный"))</x:f>
        <x:v>Нет спроса</x:v>
      </x:c>
      <x:c r="M2427" s="1" t="str">
        <x:f>IF('Данные'!E2427&lt;'Дашборд'!$C$53,"Мало трафика",IF(J2427&lt;'Дашборд'!$C$9*'Дашборд'!$C$54,"Да","Нет"))</x:f>
        <x:v>Мало трафика</x:v>
      </x:c>
      <x:c r="N2427" s="1" t="str">
        <x:f>IF(AND('Данные'!D2427&gt;='Дашборд'!$C$55,D2427&lt;'Дашборд'!$C$56,'Данные'!E2427&gt;='Дашборд'!$C$53,'Данные'!L2427&lt;&gt;"Да"),"Да","Нет")</x:f>
        <x:v>Нет</x:v>
      </x:c>
      <x:c r="O2427" s="1" t="str">
        <x:f>'Данные'!L2427</x:f>
        <x:v>Да</x:v>
      </x:c>
    </x:row>
    <x:row r="2428">
      <x:c r="A2428" s="1" t="str">
        <x:f>'Данные'!A2428</x:f>
        <x:v>51797169</x:v>
      </x:c>
      <x:c r="B2428" s="1" t="str">
        <x:f>'Данные'!B2428</x:f>
        <x:v>longlapha/пепел</x:v>
      </x:c>
      <x:c r="C2428" s="8" t="n">
        <x:f>'Данные'!G2428</x:f>
        <x:v>0</x:v>
      </x:c>
      <x:c r="D2428" s="15" t="n">
        <x:f>C2428/SUM($C$5:$C$2477)</x:f>
        <x:v>0</x:v>
      </x:c>
      <x:c r="E2428" s="15" t="n">
        <x:f>SUM($D$5:D2428)</x:f>
        <x:v>1.0000000000000036</x:v>
      </x:c>
      <x:c r="F2428" s="1" t="str">
        <x:f>IF(C2428&lt;=0,"C",IF(E2428-D2428&lt;'Дашборд'!$C$49,"A",IF(E2428-D2428&lt;'Дашборд'!$C$50,"B","C")))</x:f>
        <x:v>C</x:v>
      </x:c>
      <x:c r="G2428" s="8" t="n">
        <x:f>'Данные'!F2428</x:f>
        <x:v>0</x:v>
      </x:c>
      <x:c r="H2428" s="8" t="n">
        <x:f>SUM('Данные'!H2428:I2428)</x:f>
        <x:v>0</x:v>
      </x:c>
      <x:c r="I2428" s="16" t="str">
        <x:f>IF(H2428&gt;0,G2428/H2428,"n.a.")</x:f>
        <x:v>n.a.</x:v>
      </x:c>
      <x:c r="J2428" s="10" t="str">
        <x:f>IF('Данные'!E2428&gt;0,G2428/'Данные'!E2428,"n.a.")</x:f>
        <x:v>n.a.</x:v>
      </x:c>
      <x:c r="K2428" s="1" t="str">
        <x:f>IF(G2428&gt;='Дашборд'!$C$51,"X","Z")</x:f>
        <x:v>Z</x:v>
      </x:c>
      <x:c r="L2428" s="1" t="str">
        <x:f>IF(H2428=0,IF(G2428&gt;0,"Нет остатка","Нет спроса"),IF(I2428&gt;='Дашборд'!$C$52,"Быстрый","Медленный"))</x:f>
        <x:v>Нет спроса</x:v>
      </x:c>
      <x:c r="M2428" s="1" t="str">
        <x:f>IF('Данные'!E2428&lt;'Дашборд'!$C$53,"Мало трафика",IF(J2428&lt;'Дашборд'!$C$9*'Дашборд'!$C$54,"Да","Нет"))</x:f>
        <x:v>Мало трафика</x:v>
      </x:c>
      <x:c r="N2428" s="1" t="str">
        <x:f>IF(AND('Данные'!D2428&gt;='Дашборд'!$C$55,D2428&lt;'Дашборд'!$C$56,'Данные'!E2428&gt;='Дашборд'!$C$53,'Данные'!L2428&lt;&gt;"Да"),"Да","Нет")</x:f>
        <x:v>Нет</x:v>
      </x:c>
      <x:c r="O2428" s="1" t="str">
        <x:f>'Данные'!L2428</x:f>
        <x:v>Нет</x:v>
      </x:c>
    </x:row>
    <x:row r="2429">
      <x:c r="A2429" s="1" t="str">
        <x:f>'Данные'!A2429</x:f>
        <x:v>54781880</x:v>
      </x:c>
      <x:c r="B2429" s="1" t="str">
        <x:f>'Данные'!B2429</x:f>
        <x:v>kostyumman/молочный</x:v>
      </x:c>
      <x:c r="C2429" s="8" t="n">
        <x:f>'Данные'!G2429</x:f>
        <x:v>0</x:v>
      </x:c>
      <x:c r="D2429" s="15" t="n">
        <x:f>C2429/SUM($C$5:$C$2477)</x:f>
        <x:v>0</x:v>
      </x:c>
      <x:c r="E2429" s="15" t="n">
        <x:f>SUM($D$5:D2429)</x:f>
        <x:v>1.0000000000000036</x:v>
      </x:c>
      <x:c r="F2429" s="1" t="str">
        <x:f>IF(C2429&lt;=0,"C",IF(E2429-D2429&lt;'Дашборд'!$C$49,"A",IF(E2429-D2429&lt;'Дашборд'!$C$50,"B","C")))</x:f>
        <x:v>C</x:v>
      </x:c>
      <x:c r="G2429" s="8" t="n">
        <x:f>'Данные'!F2429</x:f>
        <x:v>0</x:v>
      </x:c>
      <x:c r="H2429" s="8" t="n">
        <x:f>SUM('Данные'!H2429:I2429)</x:f>
        <x:v>0</x:v>
      </x:c>
      <x:c r="I2429" s="16" t="str">
        <x:f>IF(H2429&gt;0,G2429/H2429,"n.a.")</x:f>
        <x:v>n.a.</x:v>
      </x:c>
      <x:c r="J2429" s="10" t="n">
        <x:f>IF('Данные'!E2429&gt;0,G2429/'Данные'!E2429,"n.a.")</x:f>
        <x:v>0</x:v>
      </x:c>
      <x:c r="K2429" s="1" t="str">
        <x:f>IF(G2429&gt;='Дашборд'!$C$51,"X","Z")</x:f>
        <x:v>Z</x:v>
      </x:c>
      <x:c r="L2429" s="1" t="str">
        <x:f>IF(H2429=0,IF(G2429&gt;0,"Нет остатка","Нет спроса"),IF(I2429&gt;='Дашборд'!$C$52,"Быстрый","Медленный"))</x:f>
        <x:v>Нет спроса</x:v>
      </x:c>
      <x:c r="M2429" s="1" t="str">
        <x:f>IF('Данные'!E2429&lt;'Дашборд'!$C$53,"Мало трафика",IF(J2429&lt;'Дашборд'!$C$9*'Дашборд'!$C$54,"Да","Нет"))</x:f>
        <x:v>Мало трафика</x:v>
      </x:c>
      <x:c r="N2429" s="1" t="str">
        <x:f>IF(AND('Данные'!D2429&gt;='Дашборд'!$C$55,D2429&lt;'Дашборд'!$C$56,'Данные'!E2429&gt;='Дашборд'!$C$53,'Данные'!L2429&lt;&gt;"Да"),"Да","Нет")</x:f>
        <x:v>Нет</x:v>
      </x:c>
      <x:c r="O2429" s="1" t="str">
        <x:f>'Данные'!L2429</x:f>
        <x:v>Нет</x:v>
      </x:c>
    </x:row>
    <x:row r="2430">
      <x:c r="A2430" s="1" t="str">
        <x:f>'Данные'!A2430</x:f>
        <x:v>55213259</x:v>
      </x:c>
      <x:c r="B2430" s="1" t="str">
        <x:f>'Данные'!B2430</x:f>
        <x:v>kostyumman/бежевый</x:v>
      </x:c>
      <x:c r="C2430" s="8" t="n">
        <x:f>'Данные'!G2430</x:f>
        <x:v>0</x:v>
      </x:c>
      <x:c r="D2430" s="15" t="n">
        <x:f>C2430/SUM($C$5:$C$2477)</x:f>
        <x:v>0</x:v>
      </x:c>
      <x:c r="E2430" s="15" t="n">
        <x:f>SUM($D$5:D2430)</x:f>
        <x:v>1.0000000000000036</x:v>
      </x:c>
      <x:c r="F2430" s="1" t="str">
        <x:f>IF(C2430&lt;=0,"C",IF(E2430-D2430&lt;'Дашборд'!$C$49,"A",IF(E2430-D2430&lt;'Дашборд'!$C$50,"B","C")))</x:f>
        <x:v>C</x:v>
      </x:c>
      <x:c r="G2430" s="8" t="n">
        <x:f>'Данные'!F2430</x:f>
        <x:v>0</x:v>
      </x:c>
      <x:c r="H2430" s="8" t="n">
        <x:f>SUM('Данные'!H2430:I2430)</x:f>
        <x:v>0</x:v>
      </x:c>
      <x:c r="I2430" s="16" t="str">
        <x:f>IF(H2430&gt;0,G2430/H2430,"n.a.")</x:f>
        <x:v>n.a.</x:v>
      </x:c>
      <x:c r="J2430" s="10" t="n">
        <x:f>IF('Данные'!E2430&gt;0,G2430/'Данные'!E2430,"n.a.")</x:f>
        <x:v>0</x:v>
      </x:c>
      <x:c r="K2430" s="1" t="str">
        <x:f>IF(G2430&gt;='Дашборд'!$C$51,"X","Z")</x:f>
        <x:v>Z</x:v>
      </x:c>
      <x:c r="L2430" s="1" t="str">
        <x:f>IF(H2430=0,IF(G2430&gt;0,"Нет остатка","Нет спроса"),IF(I2430&gt;='Дашборд'!$C$52,"Быстрый","Медленный"))</x:f>
        <x:v>Нет спроса</x:v>
      </x:c>
      <x:c r="M2430" s="1" t="str">
        <x:f>IF('Данные'!E2430&lt;'Дашборд'!$C$53,"Мало трафика",IF(J2430&lt;'Дашборд'!$C$9*'Дашборд'!$C$54,"Да","Нет"))</x:f>
        <x:v>Мало трафика</x:v>
      </x:c>
      <x:c r="N2430" s="1" t="str">
        <x:f>IF(AND('Данные'!D2430&gt;='Дашборд'!$C$55,D2430&lt;'Дашборд'!$C$56,'Данные'!E2430&gt;='Дашборд'!$C$53,'Данные'!L2430&lt;&gt;"Да"),"Да","Нет")</x:f>
        <x:v>Нет</x:v>
      </x:c>
      <x:c r="O2430" s="1" t="str">
        <x:f>'Данные'!L2430</x:f>
        <x:v>Нет</x:v>
      </x:c>
    </x:row>
    <x:row r="2431">
      <x:c r="A2431" s="1" t="str">
        <x:f>'Данные'!A2431</x:f>
        <x:v>55215161</x:v>
      </x:c>
      <x:c r="B2431" s="1" t="str">
        <x:f>'Данные'!B2431</x:f>
        <x:v>kostyumman/графит</x:v>
      </x:c>
      <x:c r="C2431" s="8" t="n">
        <x:f>'Данные'!G2431</x:f>
        <x:v>0</x:v>
      </x:c>
      <x:c r="D2431" s="15" t="n">
        <x:f>C2431/SUM($C$5:$C$2477)</x:f>
        <x:v>0</x:v>
      </x:c>
      <x:c r="E2431" s="15" t="n">
        <x:f>SUM($D$5:D2431)</x:f>
        <x:v>1.0000000000000036</x:v>
      </x:c>
      <x:c r="F2431" s="1" t="str">
        <x:f>IF(C2431&lt;=0,"C",IF(E2431-D2431&lt;'Дашборд'!$C$49,"A",IF(E2431-D2431&lt;'Дашборд'!$C$50,"B","C")))</x:f>
        <x:v>C</x:v>
      </x:c>
      <x:c r="G2431" s="8" t="n">
        <x:f>'Данные'!F2431</x:f>
        <x:v>0</x:v>
      </x:c>
      <x:c r="H2431" s="8" t="n">
        <x:f>SUM('Данные'!H2431:I2431)</x:f>
        <x:v>0</x:v>
      </x:c>
      <x:c r="I2431" s="16" t="str">
        <x:f>IF(H2431&gt;0,G2431/H2431,"n.a.")</x:f>
        <x:v>n.a.</x:v>
      </x:c>
      <x:c r="J2431" s="10" t="n">
        <x:f>IF('Данные'!E2431&gt;0,G2431/'Данные'!E2431,"n.a.")</x:f>
        <x:v>0</x:v>
      </x:c>
      <x:c r="K2431" s="1" t="str">
        <x:f>IF(G2431&gt;='Дашборд'!$C$51,"X","Z")</x:f>
        <x:v>Z</x:v>
      </x:c>
      <x:c r="L2431" s="1" t="str">
        <x:f>IF(H2431=0,IF(G2431&gt;0,"Нет остатка","Нет спроса"),IF(I2431&gt;='Дашборд'!$C$52,"Быстрый","Медленный"))</x:f>
        <x:v>Нет спроса</x:v>
      </x:c>
      <x:c r="M2431" s="1" t="str">
        <x:f>IF('Данные'!E2431&lt;'Дашборд'!$C$53,"Мало трафика",IF(J2431&lt;'Дашборд'!$C$9*'Дашборд'!$C$54,"Да","Нет"))</x:f>
        <x:v>Мало трафика</x:v>
      </x:c>
      <x:c r="N2431" s="1" t="str">
        <x:f>IF(AND('Данные'!D2431&gt;='Дашборд'!$C$55,D2431&lt;'Дашборд'!$C$56,'Данные'!E2431&gt;='Дашборд'!$C$53,'Данные'!L2431&lt;&gt;"Да"),"Да","Нет")</x:f>
        <x:v>Нет</x:v>
      </x:c>
      <x:c r="O2431" s="1" t="str">
        <x:f>'Данные'!L2431</x:f>
        <x:v>Нет</x:v>
      </x:c>
    </x:row>
    <x:row r="2432">
      <x:c r="A2432" s="1" t="str">
        <x:f>'Данные'!A2432</x:f>
        <x:v>55220419</x:v>
      </x:c>
      <x:c r="B2432" s="1" t="str">
        <x:f>'Данные'!B2432</x:f>
        <x:v>kostyumman/бордовый</x:v>
      </x:c>
      <x:c r="C2432" s="8" t="n">
        <x:f>'Данные'!G2432</x:f>
        <x:v>0</x:v>
      </x:c>
      <x:c r="D2432" s="15" t="n">
        <x:f>C2432/SUM($C$5:$C$2477)</x:f>
        <x:v>0</x:v>
      </x:c>
      <x:c r="E2432" s="15" t="n">
        <x:f>SUM($D$5:D2432)</x:f>
        <x:v>1.0000000000000036</x:v>
      </x:c>
      <x:c r="F2432" s="1" t="str">
        <x:f>IF(C2432&lt;=0,"C",IF(E2432-D2432&lt;'Дашборд'!$C$49,"A",IF(E2432-D2432&lt;'Дашборд'!$C$50,"B","C")))</x:f>
        <x:v>C</x:v>
      </x:c>
      <x:c r="G2432" s="8" t="n">
        <x:f>'Данные'!F2432</x:f>
        <x:v>0</x:v>
      </x:c>
      <x:c r="H2432" s="8" t="n">
        <x:f>SUM('Данные'!H2432:I2432)</x:f>
        <x:v>0</x:v>
      </x:c>
      <x:c r="I2432" s="16" t="str">
        <x:f>IF(H2432&gt;0,G2432/H2432,"n.a.")</x:f>
        <x:v>n.a.</x:v>
      </x:c>
      <x:c r="J2432" s="10" t="str">
        <x:f>IF('Данные'!E2432&gt;0,G2432/'Данные'!E2432,"n.a.")</x:f>
        <x:v>n.a.</x:v>
      </x:c>
      <x:c r="K2432" s="1" t="str">
        <x:f>IF(G2432&gt;='Дашборд'!$C$51,"X","Z")</x:f>
        <x:v>Z</x:v>
      </x:c>
      <x:c r="L2432" s="1" t="str">
        <x:f>IF(H2432=0,IF(G2432&gt;0,"Нет остатка","Нет спроса"),IF(I2432&gt;='Дашборд'!$C$52,"Быстрый","Медленный"))</x:f>
        <x:v>Нет спроса</x:v>
      </x:c>
      <x:c r="M2432" s="1" t="str">
        <x:f>IF('Данные'!E2432&lt;'Дашборд'!$C$53,"Мало трафика",IF(J2432&lt;'Дашборд'!$C$9*'Дашборд'!$C$54,"Да","Нет"))</x:f>
        <x:v>Мало трафика</x:v>
      </x:c>
      <x:c r="N2432" s="1" t="str">
        <x:f>IF(AND('Данные'!D2432&gt;='Дашборд'!$C$55,D2432&lt;'Дашборд'!$C$56,'Данные'!E2432&gt;='Дашборд'!$C$53,'Данные'!L2432&lt;&gt;"Да"),"Да","Нет")</x:f>
        <x:v>Нет</x:v>
      </x:c>
      <x:c r="O2432" s="1" t="str">
        <x:f>'Данные'!L2432</x:f>
        <x:v>Нет</x:v>
      </x:c>
    </x:row>
    <x:row r="2433">
      <x:c r="A2433" s="1" t="str">
        <x:f>'Данные'!A2433</x:f>
        <x:v>55250659</x:v>
      </x:c>
      <x:c r="B2433" s="1" t="str">
        <x:f>'Данные'!B2433</x:f>
        <x:v>kostyumman/коричневый</x:v>
      </x:c>
      <x:c r="C2433" s="8" t="n">
        <x:f>'Данные'!G2433</x:f>
        <x:v>0</x:v>
      </x:c>
      <x:c r="D2433" s="15" t="n">
        <x:f>C2433/SUM($C$5:$C$2477)</x:f>
        <x:v>0</x:v>
      </x:c>
      <x:c r="E2433" s="15" t="n">
        <x:f>SUM($D$5:D2433)</x:f>
        <x:v>1.0000000000000036</x:v>
      </x:c>
      <x:c r="F2433" s="1" t="str">
        <x:f>IF(C2433&lt;=0,"C",IF(E2433-D2433&lt;'Дашборд'!$C$49,"A",IF(E2433-D2433&lt;'Дашборд'!$C$50,"B","C")))</x:f>
        <x:v>C</x:v>
      </x:c>
      <x:c r="G2433" s="8" t="n">
        <x:f>'Данные'!F2433</x:f>
        <x:v>0</x:v>
      </x:c>
      <x:c r="H2433" s="8" t="n">
        <x:f>SUM('Данные'!H2433:I2433)</x:f>
        <x:v>0</x:v>
      </x:c>
      <x:c r="I2433" s="16" t="str">
        <x:f>IF(H2433&gt;0,G2433/H2433,"n.a.")</x:f>
        <x:v>n.a.</x:v>
      </x:c>
      <x:c r="J2433" s="10" t="n">
        <x:f>IF('Данные'!E2433&gt;0,G2433/'Данные'!E2433,"n.a.")</x:f>
        <x:v>0</x:v>
      </x:c>
      <x:c r="K2433" s="1" t="str">
        <x:f>IF(G2433&gt;='Дашборд'!$C$51,"X","Z")</x:f>
        <x:v>Z</x:v>
      </x:c>
      <x:c r="L2433" s="1" t="str">
        <x:f>IF(H2433=0,IF(G2433&gt;0,"Нет остатка","Нет спроса"),IF(I2433&gt;='Дашборд'!$C$52,"Быстрый","Медленный"))</x:f>
        <x:v>Нет спроса</x:v>
      </x:c>
      <x:c r="M2433" s="1" t="str">
        <x:f>IF('Данные'!E2433&lt;'Дашборд'!$C$53,"Мало трафика",IF(J2433&lt;'Дашборд'!$C$9*'Дашборд'!$C$54,"Да","Нет"))</x:f>
        <x:v>Мало трафика</x:v>
      </x:c>
      <x:c r="N2433" s="1" t="str">
        <x:f>IF(AND('Данные'!D2433&gt;='Дашборд'!$C$55,D2433&lt;'Дашборд'!$C$56,'Данные'!E2433&gt;='Дашборд'!$C$53,'Данные'!L2433&lt;&gt;"Да"),"Да","Нет")</x:f>
        <x:v>Нет</x:v>
      </x:c>
      <x:c r="O2433" s="1" t="str">
        <x:f>'Данные'!L2433</x:f>
        <x:v>Нет</x:v>
      </x:c>
    </x:row>
    <x:row r="2434">
      <x:c r="A2434" s="1" t="str">
        <x:f>'Данные'!A2434</x:f>
        <x:v>55252698</x:v>
      </x:c>
      <x:c r="B2434" s="1" t="str">
        <x:f>'Данные'!B2434</x:f>
        <x:v>kostyumman/морскаяволна</x:v>
      </x:c>
      <x:c r="C2434" s="8" t="n">
        <x:f>'Данные'!G2434</x:f>
        <x:v>0</x:v>
      </x:c>
      <x:c r="D2434" s="15" t="n">
        <x:f>C2434/SUM($C$5:$C$2477)</x:f>
        <x:v>0</x:v>
      </x:c>
      <x:c r="E2434" s="15" t="n">
        <x:f>SUM($D$5:D2434)</x:f>
        <x:v>1.0000000000000036</x:v>
      </x:c>
      <x:c r="F2434" s="1" t="str">
        <x:f>IF(C2434&lt;=0,"C",IF(E2434-D2434&lt;'Дашборд'!$C$49,"A",IF(E2434-D2434&lt;'Дашборд'!$C$50,"B","C")))</x:f>
        <x:v>C</x:v>
      </x:c>
      <x:c r="G2434" s="8" t="n">
        <x:f>'Данные'!F2434</x:f>
        <x:v>0</x:v>
      </x:c>
      <x:c r="H2434" s="8" t="n">
        <x:f>SUM('Данные'!H2434:I2434)</x:f>
        <x:v>0</x:v>
      </x:c>
      <x:c r="I2434" s="16" t="str">
        <x:f>IF(H2434&gt;0,G2434/H2434,"n.a.")</x:f>
        <x:v>n.a.</x:v>
      </x:c>
      <x:c r="J2434" s="10" t="str">
        <x:f>IF('Данные'!E2434&gt;0,G2434/'Данные'!E2434,"n.a.")</x:f>
        <x:v>n.a.</x:v>
      </x:c>
      <x:c r="K2434" s="1" t="str">
        <x:f>IF(G2434&gt;='Дашборд'!$C$51,"X","Z")</x:f>
        <x:v>Z</x:v>
      </x:c>
      <x:c r="L2434" s="1" t="str">
        <x:f>IF(H2434=0,IF(G2434&gt;0,"Нет остатка","Нет спроса"),IF(I2434&gt;='Дашборд'!$C$52,"Быстрый","Медленный"))</x:f>
        <x:v>Нет спроса</x:v>
      </x:c>
      <x:c r="M2434" s="1" t="str">
        <x:f>IF('Данные'!E2434&lt;'Дашборд'!$C$53,"Мало трафика",IF(J2434&lt;'Дашборд'!$C$9*'Дашборд'!$C$54,"Да","Нет"))</x:f>
        <x:v>Мало трафика</x:v>
      </x:c>
      <x:c r="N2434" s="1" t="str">
        <x:f>IF(AND('Данные'!D2434&gt;='Дашборд'!$C$55,D2434&lt;'Дашборд'!$C$56,'Данные'!E2434&gt;='Дашборд'!$C$53,'Данные'!L2434&lt;&gt;"Да"),"Да","Нет")</x:f>
        <x:v>Нет</x:v>
      </x:c>
      <x:c r="O2434" s="1" t="str">
        <x:f>'Данные'!L2434</x:f>
        <x:v>Нет</x:v>
      </x:c>
    </x:row>
    <x:row r="2435">
      <x:c r="A2435" s="1" t="str">
        <x:f>'Данные'!A2435</x:f>
        <x:v>59288736</x:v>
      </x:c>
      <x:c r="B2435" s="1" t="str">
        <x:f>'Данные'!B2435</x:f>
        <x:v>kostyumman/песочный</x:v>
      </x:c>
      <x:c r="C2435" s="8" t="n">
        <x:f>'Данные'!G2435</x:f>
        <x:v>0</x:v>
      </x:c>
      <x:c r="D2435" s="15" t="n">
        <x:f>C2435/SUM($C$5:$C$2477)</x:f>
        <x:v>0</x:v>
      </x:c>
      <x:c r="E2435" s="15" t="n">
        <x:f>SUM($D$5:D2435)</x:f>
        <x:v>1.0000000000000036</x:v>
      </x:c>
      <x:c r="F2435" s="1" t="str">
        <x:f>IF(C2435&lt;=0,"C",IF(E2435-D2435&lt;'Дашборд'!$C$49,"A",IF(E2435-D2435&lt;'Дашборд'!$C$50,"B","C")))</x:f>
        <x:v>C</x:v>
      </x:c>
      <x:c r="G2435" s="8" t="n">
        <x:f>'Данные'!F2435</x:f>
        <x:v>0</x:v>
      </x:c>
      <x:c r="H2435" s="8" t="n">
        <x:f>SUM('Данные'!H2435:I2435)</x:f>
        <x:v>0</x:v>
      </x:c>
      <x:c r="I2435" s="16" t="str">
        <x:f>IF(H2435&gt;0,G2435/H2435,"n.a.")</x:f>
        <x:v>n.a.</x:v>
      </x:c>
      <x:c r="J2435" s="10" t="n">
        <x:f>IF('Данные'!E2435&gt;0,G2435/'Данные'!E2435,"n.a.")</x:f>
        <x:v>0</x:v>
      </x:c>
      <x:c r="K2435" s="1" t="str">
        <x:f>IF(G2435&gt;='Дашборд'!$C$51,"X","Z")</x:f>
        <x:v>Z</x:v>
      </x:c>
      <x:c r="L2435" s="1" t="str">
        <x:f>IF(H2435=0,IF(G2435&gt;0,"Нет остатка","Нет спроса"),IF(I2435&gt;='Дашборд'!$C$52,"Быстрый","Медленный"))</x:f>
        <x:v>Нет спроса</x:v>
      </x:c>
      <x:c r="M2435" s="1" t="str">
        <x:f>IF('Данные'!E2435&lt;'Дашборд'!$C$53,"Мало трафика",IF(J2435&lt;'Дашборд'!$C$9*'Дашборд'!$C$54,"Да","Нет"))</x:f>
        <x:v>Мало трафика</x:v>
      </x:c>
      <x:c r="N2435" s="1" t="str">
        <x:f>IF(AND('Данные'!D2435&gt;='Дашборд'!$C$55,D2435&lt;'Дашборд'!$C$56,'Данные'!E2435&gt;='Дашборд'!$C$53,'Данные'!L2435&lt;&gt;"Да"),"Да","Нет")</x:f>
        <x:v>Нет</x:v>
      </x:c>
      <x:c r="O2435" s="1" t="str">
        <x:f>'Данные'!L2435</x:f>
        <x:v>Нет</x:v>
      </x:c>
    </x:row>
    <x:row r="2436">
      <x:c r="A2436" s="1" t="str">
        <x:f>'Данные'!A2436</x:f>
        <x:v>59455105</x:v>
      </x:c>
      <x:c r="B2436" s="1" t="str">
        <x:f>'Данные'!B2436</x:f>
        <x:v>kostyumman/деним</x:v>
      </x:c>
      <x:c r="C2436" s="8" t="n">
        <x:f>'Данные'!G2436</x:f>
        <x:v>0</x:v>
      </x:c>
      <x:c r="D2436" s="15" t="n">
        <x:f>C2436/SUM($C$5:$C$2477)</x:f>
        <x:v>0</x:v>
      </x:c>
      <x:c r="E2436" s="15" t="n">
        <x:f>SUM($D$5:D2436)</x:f>
        <x:v>1.0000000000000036</x:v>
      </x:c>
      <x:c r="F2436" s="1" t="str">
        <x:f>IF(C2436&lt;=0,"C",IF(E2436-D2436&lt;'Дашборд'!$C$49,"A",IF(E2436-D2436&lt;'Дашборд'!$C$50,"B","C")))</x:f>
        <x:v>C</x:v>
      </x:c>
      <x:c r="G2436" s="8" t="n">
        <x:f>'Данные'!F2436</x:f>
        <x:v>0</x:v>
      </x:c>
      <x:c r="H2436" s="8" t="n">
        <x:f>SUM('Данные'!H2436:I2436)</x:f>
        <x:v>0</x:v>
      </x:c>
      <x:c r="I2436" s="16" t="str">
        <x:f>IF(H2436&gt;0,G2436/H2436,"n.a.")</x:f>
        <x:v>n.a.</x:v>
      </x:c>
      <x:c r="J2436" s="10" t="n">
        <x:f>IF('Данные'!E2436&gt;0,G2436/'Данные'!E2436,"n.a.")</x:f>
        <x:v>0</x:v>
      </x:c>
      <x:c r="K2436" s="1" t="str">
        <x:f>IF(G2436&gt;='Дашборд'!$C$51,"X","Z")</x:f>
        <x:v>Z</x:v>
      </x:c>
      <x:c r="L2436" s="1" t="str">
        <x:f>IF(H2436=0,IF(G2436&gt;0,"Нет остатка","Нет спроса"),IF(I2436&gt;='Дашборд'!$C$52,"Быстрый","Медленный"))</x:f>
        <x:v>Нет спроса</x:v>
      </x:c>
      <x:c r="M2436" s="1" t="str">
        <x:f>IF('Данные'!E2436&lt;'Дашборд'!$C$53,"Мало трафика",IF(J2436&lt;'Дашборд'!$C$9*'Дашборд'!$C$54,"Да","Нет"))</x:f>
        <x:v>Мало трафика</x:v>
      </x:c>
      <x:c r="N2436" s="1" t="str">
        <x:f>IF(AND('Данные'!D2436&gt;='Дашборд'!$C$55,D2436&lt;'Дашборд'!$C$56,'Данные'!E2436&gt;='Дашборд'!$C$53,'Данные'!L2436&lt;&gt;"Да"),"Да","Нет")</x:f>
        <x:v>Нет</x:v>
      </x:c>
      <x:c r="O2436" s="1" t="str">
        <x:f>'Данные'!L2436</x:f>
        <x:v>Нет</x:v>
      </x:c>
    </x:row>
    <x:row r="2437">
      <x:c r="A2437" s="1" t="str">
        <x:f>'Данные'!A2437</x:f>
        <x:v>62007561</x:v>
      </x:c>
      <x:c r="B2437" s="1" t="str">
        <x:f>'Данные'!B2437</x:f>
        <x:v>kostyumman/изумрудно-зеленый</x:v>
      </x:c>
      <x:c r="C2437" s="8" t="n">
        <x:f>'Данные'!G2437</x:f>
        <x:v>0</x:v>
      </x:c>
      <x:c r="D2437" s="15" t="n">
        <x:f>C2437/SUM($C$5:$C$2477)</x:f>
        <x:v>0</x:v>
      </x:c>
      <x:c r="E2437" s="15" t="n">
        <x:f>SUM($D$5:D2437)</x:f>
        <x:v>1.0000000000000036</x:v>
      </x:c>
      <x:c r="F2437" s="1" t="str">
        <x:f>IF(C2437&lt;=0,"C",IF(E2437-D2437&lt;'Дашборд'!$C$49,"A",IF(E2437-D2437&lt;'Дашборд'!$C$50,"B","C")))</x:f>
        <x:v>C</x:v>
      </x:c>
      <x:c r="G2437" s="8" t="n">
        <x:f>'Данные'!F2437</x:f>
        <x:v>0</x:v>
      </x:c>
      <x:c r="H2437" s="8" t="n">
        <x:f>SUM('Данные'!H2437:I2437)</x:f>
        <x:v>0</x:v>
      </x:c>
      <x:c r="I2437" s="16" t="str">
        <x:f>IF(H2437&gt;0,G2437/H2437,"n.a.")</x:f>
        <x:v>n.a.</x:v>
      </x:c>
      <x:c r="J2437" s="10" t="n">
        <x:f>IF('Данные'!E2437&gt;0,G2437/'Данные'!E2437,"n.a.")</x:f>
        <x:v>0</x:v>
      </x:c>
      <x:c r="K2437" s="1" t="str">
        <x:f>IF(G2437&gt;='Дашборд'!$C$51,"X","Z")</x:f>
        <x:v>Z</x:v>
      </x:c>
      <x:c r="L2437" s="1" t="str">
        <x:f>IF(H2437=0,IF(G2437&gt;0,"Нет остатка","Нет спроса"),IF(I2437&gt;='Дашборд'!$C$52,"Быстрый","Медленный"))</x:f>
        <x:v>Нет спроса</x:v>
      </x:c>
      <x:c r="M2437" s="1" t="str">
        <x:f>IF('Данные'!E2437&lt;'Дашборд'!$C$53,"Мало трафика",IF(J2437&lt;'Дашборд'!$C$9*'Дашборд'!$C$54,"Да","Нет"))</x:f>
        <x:v>Мало трафика</x:v>
      </x:c>
      <x:c r="N2437" s="1" t="str">
        <x:f>IF(AND('Данные'!D2437&gt;='Дашборд'!$C$55,D2437&lt;'Дашборд'!$C$56,'Данные'!E2437&gt;='Дашборд'!$C$53,'Данные'!L2437&lt;&gt;"Да"),"Да","Нет")</x:f>
        <x:v>Нет</x:v>
      </x:c>
      <x:c r="O2437" s="1" t="str">
        <x:f>'Данные'!L2437</x:f>
        <x:v>Нет</x:v>
      </x:c>
    </x:row>
    <x:row r="2438">
      <x:c r="A2438" s="1" t="str">
        <x:f>'Данные'!A2438</x:f>
        <x:v>63810056</x:v>
      </x:c>
      <x:c r="B2438" s="1" t="str">
        <x:f>'Данные'!B2438</x:f>
        <x:v>longslivdlinna/какао</x:v>
      </x:c>
      <x:c r="C2438" s="8" t="n">
        <x:f>'Данные'!G2438</x:f>
        <x:v>0</x:v>
      </x:c>
      <x:c r="D2438" s="15" t="n">
        <x:f>C2438/SUM($C$5:$C$2477)</x:f>
        <x:v>0</x:v>
      </x:c>
      <x:c r="E2438" s="15" t="n">
        <x:f>SUM($D$5:D2438)</x:f>
        <x:v>1.0000000000000036</x:v>
      </x:c>
      <x:c r="F2438" s="1" t="str">
        <x:f>IF(C2438&lt;=0,"C",IF(E2438-D2438&lt;'Дашборд'!$C$49,"A",IF(E2438-D2438&lt;'Дашборд'!$C$50,"B","C")))</x:f>
        <x:v>C</x:v>
      </x:c>
      <x:c r="G2438" s="8" t="n">
        <x:f>'Данные'!F2438</x:f>
        <x:v>0</x:v>
      </x:c>
      <x:c r="H2438" s="8" t="n">
        <x:f>SUM('Данные'!H2438:I2438)</x:f>
        <x:v>0</x:v>
      </x:c>
      <x:c r="I2438" s="16" t="str">
        <x:f>IF(H2438&gt;0,G2438/H2438,"n.a.")</x:f>
        <x:v>n.a.</x:v>
      </x:c>
      <x:c r="J2438" s="10" t="n">
        <x:f>IF('Данные'!E2438&gt;0,G2438/'Данные'!E2438,"n.a.")</x:f>
        <x:v>0</x:v>
      </x:c>
      <x:c r="K2438" s="1" t="str">
        <x:f>IF(G2438&gt;='Дашборд'!$C$51,"X","Z")</x:f>
        <x:v>Z</x:v>
      </x:c>
      <x:c r="L2438" s="1" t="str">
        <x:f>IF(H2438=0,IF(G2438&gt;0,"Нет остатка","Нет спроса"),IF(I2438&gt;='Дашборд'!$C$52,"Быстрый","Медленный"))</x:f>
        <x:v>Нет спроса</x:v>
      </x:c>
      <x:c r="M2438" s="1" t="str">
        <x:f>IF('Данные'!E2438&lt;'Дашборд'!$C$53,"Мало трафика",IF(J2438&lt;'Дашборд'!$C$9*'Дашборд'!$C$54,"Да","Нет"))</x:f>
        <x:v>Мало трафика</x:v>
      </x:c>
      <x:c r="N2438" s="1" t="str">
        <x:f>IF(AND('Данные'!D2438&gt;='Дашборд'!$C$55,D2438&lt;'Дашборд'!$C$56,'Данные'!E2438&gt;='Дашборд'!$C$53,'Данные'!L2438&lt;&gt;"Да"),"Да","Нет")</x:f>
        <x:v>Нет</x:v>
      </x:c>
      <x:c r="O2438" s="1" t="str">
        <x:f>'Данные'!L2438</x:f>
        <x:v>Нет</x:v>
      </x:c>
    </x:row>
    <x:row r="2439">
      <x:c r="A2439" s="1" t="str">
        <x:f>'Данные'!A2439</x:f>
        <x:v>65088964</x:v>
      </x:c>
      <x:c r="B2439" s="1" t="str">
        <x:f>'Данные'!B2439</x:f>
        <x:v>longslivdekoltekor/бежевый</x:v>
      </x:c>
      <x:c r="C2439" s="8" t="n">
        <x:f>'Данные'!G2439</x:f>
        <x:v>0</x:v>
      </x:c>
      <x:c r="D2439" s="15" t="n">
        <x:f>C2439/SUM($C$5:$C$2477)</x:f>
        <x:v>0</x:v>
      </x:c>
      <x:c r="E2439" s="15" t="n">
        <x:f>SUM($D$5:D2439)</x:f>
        <x:v>1.0000000000000036</x:v>
      </x:c>
      <x:c r="F2439" s="1" t="str">
        <x:f>IF(C2439&lt;=0,"C",IF(E2439-D2439&lt;'Дашборд'!$C$49,"A",IF(E2439-D2439&lt;'Дашборд'!$C$50,"B","C")))</x:f>
        <x:v>C</x:v>
      </x:c>
      <x:c r="G2439" s="8" t="n">
        <x:f>'Данные'!F2439</x:f>
        <x:v>0</x:v>
      </x:c>
      <x:c r="H2439" s="8" t="n">
        <x:f>SUM('Данные'!H2439:I2439)</x:f>
        <x:v>0</x:v>
      </x:c>
      <x:c r="I2439" s="16" t="str">
        <x:f>IF(H2439&gt;0,G2439/H2439,"n.a.")</x:f>
        <x:v>n.a.</x:v>
      </x:c>
      <x:c r="J2439" s="10" t="n">
        <x:f>IF('Данные'!E2439&gt;0,G2439/'Данные'!E2439,"n.a.")</x:f>
        <x:v>0</x:v>
      </x:c>
      <x:c r="K2439" s="1" t="str">
        <x:f>IF(G2439&gt;='Дашборд'!$C$51,"X","Z")</x:f>
        <x:v>Z</x:v>
      </x:c>
      <x:c r="L2439" s="1" t="str">
        <x:f>IF(H2439=0,IF(G2439&gt;0,"Нет остатка","Нет спроса"),IF(I2439&gt;='Дашборд'!$C$52,"Быстрый","Медленный"))</x:f>
        <x:v>Нет спроса</x:v>
      </x:c>
      <x:c r="M2439" s="1" t="str">
        <x:f>IF('Данные'!E2439&lt;'Дашборд'!$C$53,"Мало трафика",IF(J2439&lt;'Дашборд'!$C$9*'Дашборд'!$C$54,"Да","Нет"))</x:f>
        <x:v>Мало трафика</x:v>
      </x:c>
      <x:c r="N2439" s="1" t="str">
        <x:f>IF(AND('Данные'!D2439&gt;='Дашборд'!$C$55,D2439&lt;'Дашборд'!$C$56,'Данные'!E2439&gt;='Дашборд'!$C$53,'Данные'!L2439&lt;&gt;"Да"),"Да","Нет")</x:f>
        <x:v>Нет</x:v>
      </x:c>
      <x:c r="O2439" s="1" t="str">
        <x:f>'Данные'!L2439</x:f>
        <x:v>Нет</x:v>
      </x:c>
    </x:row>
    <x:row r="2440">
      <x:c r="A2440" s="1" t="str">
        <x:f>'Данные'!A2440</x:f>
        <x:v>67013514</x:v>
      </x:c>
      <x:c r="B2440" s="1" t="str">
        <x:f>'Данные'!B2440</x:f>
        <x:v>longslivdlinna/бордовый</x:v>
      </x:c>
      <x:c r="C2440" s="8" t="n">
        <x:f>'Данные'!G2440</x:f>
        <x:v>0</x:v>
      </x:c>
      <x:c r="D2440" s="15" t="n">
        <x:f>C2440/SUM($C$5:$C$2477)</x:f>
        <x:v>0</x:v>
      </x:c>
      <x:c r="E2440" s="15" t="n">
        <x:f>SUM($D$5:D2440)</x:f>
        <x:v>1.0000000000000036</x:v>
      </x:c>
      <x:c r="F2440" s="1" t="str">
        <x:f>IF(C2440&lt;=0,"C",IF(E2440-D2440&lt;'Дашборд'!$C$49,"A",IF(E2440-D2440&lt;'Дашборд'!$C$50,"B","C")))</x:f>
        <x:v>C</x:v>
      </x:c>
      <x:c r="G2440" s="8" t="n">
        <x:f>'Данные'!F2440</x:f>
        <x:v>0</x:v>
      </x:c>
      <x:c r="H2440" s="8" t="n">
        <x:f>SUM('Данные'!H2440:I2440)</x:f>
        <x:v>0</x:v>
      </x:c>
      <x:c r="I2440" s="16" t="str">
        <x:f>IF(H2440&gt;0,G2440/H2440,"n.a.")</x:f>
        <x:v>n.a.</x:v>
      </x:c>
      <x:c r="J2440" s="10" t="n">
        <x:f>IF('Данные'!E2440&gt;0,G2440/'Данные'!E2440,"n.a.")</x:f>
        <x:v>0</x:v>
      </x:c>
      <x:c r="K2440" s="1" t="str">
        <x:f>IF(G2440&gt;='Дашборд'!$C$51,"X","Z")</x:f>
        <x:v>Z</x:v>
      </x:c>
      <x:c r="L2440" s="1" t="str">
        <x:f>IF(H2440=0,IF(G2440&gt;0,"Нет остатка","Нет спроса"),IF(I2440&gt;='Дашборд'!$C$52,"Быстрый","Медленный"))</x:f>
        <x:v>Нет спроса</x:v>
      </x:c>
      <x:c r="M2440" s="1" t="str">
        <x:f>IF('Данные'!E2440&lt;'Дашборд'!$C$53,"Мало трафика",IF(J2440&lt;'Дашборд'!$C$9*'Дашборд'!$C$54,"Да","Нет"))</x:f>
        <x:v>Мало трафика</x:v>
      </x:c>
      <x:c r="N2440" s="1" t="str">
        <x:f>IF(AND('Данные'!D2440&gt;='Дашборд'!$C$55,D2440&lt;'Дашборд'!$C$56,'Данные'!E2440&gt;='Дашборд'!$C$53,'Данные'!L2440&lt;&gt;"Да"),"Да","Нет")</x:f>
        <x:v>Нет</x:v>
      </x:c>
      <x:c r="O2440" s="1" t="str">
        <x:f>'Данные'!L2440</x:f>
        <x:v>Нет</x:v>
      </x:c>
    </x:row>
    <x:row r="2441">
      <x:c r="A2441" s="1" t="str">
        <x:f>'Данные'!A2441</x:f>
        <x:v>67784783</x:v>
      </x:c>
      <x:c r="B2441" s="1" t="str">
        <x:f>'Данные'!B2441</x:f>
        <x:v>longslivdecolte/бордовый</x:v>
      </x:c>
      <x:c r="C2441" s="8" t="n">
        <x:f>'Данные'!G2441</x:f>
        <x:v>0</x:v>
      </x:c>
      <x:c r="D2441" s="15" t="n">
        <x:f>C2441/SUM($C$5:$C$2477)</x:f>
        <x:v>0</x:v>
      </x:c>
      <x:c r="E2441" s="15" t="n">
        <x:f>SUM($D$5:D2441)</x:f>
        <x:v>1.0000000000000036</x:v>
      </x:c>
      <x:c r="F2441" s="1" t="str">
        <x:f>IF(C2441&lt;=0,"C",IF(E2441-D2441&lt;'Дашборд'!$C$49,"A",IF(E2441-D2441&lt;'Дашборд'!$C$50,"B","C")))</x:f>
        <x:v>C</x:v>
      </x:c>
      <x:c r="G2441" s="8" t="n">
        <x:f>'Данные'!F2441</x:f>
        <x:v>0</x:v>
      </x:c>
      <x:c r="H2441" s="8" t="n">
        <x:f>SUM('Данные'!H2441:I2441)</x:f>
        <x:v>0</x:v>
      </x:c>
      <x:c r="I2441" s="16" t="str">
        <x:f>IF(H2441&gt;0,G2441/H2441,"n.a.")</x:f>
        <x:v>n.a.</x:v>
      </x:c>
      <x:c r="J2441" s="10" t="n">
        <x:f>IF('Данные'!E2441&gt;0,G2441/'Данные'!E2441,"n.a.")</x:f>
        <x:v>0</x:v>
      </x:c>
      <x:c r="K2441" s="1" t="str">
        <x:f>IF(G2441&gt;='Дашборд'!$C$51,"X","Z")</x:f>
        <x:v>Z</x:v>
      </x:c>
      <x:c r="L2441" s="1" t="str">
        <x:f>IF(H2441=0,IF(G2441&gt;0,"Нет остатка","Нет спроса"),IF(I2441&gt;='Дашборд'!$C$52,"Быстрый","Медленный"))</x:f>
        <x:v>Нет спроса</x:v>
      </x:c>
      <x:c r="M2441" s="1" t="str">
        <x:f>IF('Данные'!E2441&lt;'Дашборд'!$C$53,"Мало трафика",IF(J2441&lt;'Дашборд'!$C$9*'Дашборд'!$C$54,"Да","Нет"))</x:f>
        <x:v>Мало трафика</x:v>
      </x:c>
      <x:c r="N2441" s="1" t="str">
        <x:f>IF(AND('Данные'!D2441&gt;='Дашборд'!$C$55,D2441&lt;'Дашборд'!$C$56,'Данные'!E2441&gt;='Дашборд'!$C$53,'Данные'!L2441&lt;&gt;"Да"),"Да","Нет")</x:f>
        <x:v>Нет</x:v>
      </x:c>
      <x:c r="O2441" s="1" t="str">
        <x:f>'Данные'!L2441</x:f>
        <x:v>Нет</x:v>
      </x:c>
    </x:row>
    <x:row r="2442">
      <x:c r="A2442" s="1" t="str">
        <x:f>'Данные'!A2442</x:f>
        <x:v>68489509</x:v>
      </x:c>
      <x:c r="B2442" s="1" t="str">
        <x:f>'Данные'!B2442</x:f>
        <x:v>longslivdlinna/морскаяволна</x:v>
      </x:c>
      <x:c r="C2442" s="8" t="n">
        <x:f>'Данные'!G2442</x:f>
        <x:v>0</x:v>
      </x:c>
      <x:c r="D2442" s="15" t="n">
        <x:f>C2442/SUM($C$5:$C$2477)</x:f>
        <x:v>0</x:v>
      </x:c>
      <x:c r="E2442" s="15" t="n">
        <x:f>SUM($D$5:D2442)</x:f>
        <x:v>1.0000000000000036</x:v>
      </x:c>
      <x:c r="F2442" s="1" t="str">
        <x:f>IF(C2442&lt;=0,"C",IF(E2442-D2442&lt;'Дашборд'!$C$49,"A",IF(E2442-D2442&lt;'Дашборд'!$C$50,"B","C")))</x:f>
        <x:v>C</x:v>
      </x:c>
      <x:c r="G2442" s="8" t="n">
        <x:f>'Данные'!F2442</x:f>
        <x:v>1</x:v>
      </x:c>
      <x:c r="H2442" s="8" t="n">
        <x:f>SUM('Данные'!H2442:I2442)</x:f>
        <x:v>28</x:v>
      </x:c>
      <x:c r="I2442" s="16" t="n">
        <x:f>IF(H2442&gt;0,G2442/H2442,"n.a.")</x:f>
        <x:v>0.03571428571428571</x:v>
      </x:c>
      <x:c r="J2442" s="10" t="n">
        <x:f>IF('Данные'!E2442&gt;0,G2442/'Данные'!E2442,"n.a.")</x:f>
        <x:v>0.0005414185165132648</x:v>
      </x:c>
      <x:c r="K2442" s="1" t="str">
        <x:f>IF(G2442&gt;='Дашборд'!$C$51,"X","Z")</x:f>
        <x:v>Z</x:v>
      </x:c>
      <x:c r="L2442" s="1" t="str">
        <x:f>IF(H2442=0,IF(G2442&gt;0,"Нет остатка","Нет спроса"),IF(I2442&gt;='Дашборд'!$C$52,"Быстрый","Медленный"))</x:f>
        <x:v>Медленный</x:v>
      </x:c>
      <x:c r="M2442" s="1" t="str">
        <x:f>IF('Данные'!E2442&lt;'Дашборд'!$C$53,"Мало трафика",IF(J2442&lt;'Дашборд'!$C$9*'Дашборд'!$C$54,"Да","Нет"))</x:f>
        <x:v>Да</x:v>
      </x:c>
      <x:c r="N2442" s="1" t="str">
        <x:f>IF(AND('Данные'!D2442&gt;='Дашборд'!$C$55,D2442&lt;'Дашборд'!$C$56,'Данные'!E2442&gt;='Дашборд'!$C$53,'Данные'!L2442&lt;&gt;"Да"),"Да","Нет")</x:f>
        <x:v>Нет</x:v>
      </x:c>
      <x:c r="O2442" s="1" t="str">
        <x:f>'Данные'!L2442</x:f>
        <x:v>Нет</x:v>
      </x:c>
    </x:row>
    <x:row r="2443">
      <x:c r="A2443" s="1" t="str">
        <x:f>'Данные'!A2443</x:f>
        <x:v>70430688</x:v>
      </x:c>
      <x:c r="B2443" s="1" t="str">
        <x:f>'Данные'!B2443</x:f>
        <x:v>longslivdlinna/эвкалипт</x:v>
      </x:c>
      <x:c r="C2443" s="8" t="n">
        <x:f>'Данные'!G2443</x:f>
        <x:v>0</x:v>
      </x:c>
      <x:c r="D2443" s="15" t="n">
        <x:f>C2443/SUM($C$5:$C$2477)</x:f>
        <x:v>0</x:v>
      </x:c>
      <x:c r="E2443" s="15" t="n">
        <x:f>SUM($D$5:D2443)</x:f>
        <x:v>1.0000000000000036</x:v>
      </x:c>
      <x:c r="F2443" s="1" t="str">
        <x:f>IF(C2443&lt;=0,"C",IF(E2443-D2443&lt;'Дашборд'!$C$49,"A",IF(E2443-D2443&lt;'Дашборд'!$C$50,"B","C")))</x:f>
        <x:v>C</x:v>
      </x:c>
      <x:c r="G2443" s="8" t="n">
        <x:f>'Данные'!F2443</x:f>
        <x:v>0</x:v>
      </x:c>
      <x:c r="H2443" s="8" t="n">
        <x:f>SUM('Данные'!H2443:I2443)</x:f>
        <x:v>0</x:v>
      </x:c>
      <x:c r="I2443" s="16" t="str">
        <x:f>IF(H2443&gt;0,G2443/H2443,"n.a.")</x:f>
        <x:v>n.a.</x:v>
      </x:c>
      <x:c r="J2443" s="10" t="n">
        <x:f>IF('Данные'!E2443&gt;0,G2443/'Данные'!E2443,"n.a.")</x:f>
        <x:v>0</x:v>
      </x:c>
      <x:c r="K2443" s="1" t="str">
        <x:f>IF(G2443&gt;='Дашборд'!$C$51,"X","Z")</x:f>
        <x:v>Z</x:v>
      </x:c>
      <x:c r="L2443" s="1" t="str">
        <x:f>IF(H2443=0,IF(G2443&gt;0,"Нет остатка","Нет спроса"),IF(I2443&gt;='Дашборд'!$C$52,"Быстрый","Медленный"))</x:f>
        <x:v>Нет спроса</x:v>
      </x:c>
      <x:c r="M2443" s="1" t="str">
        <x:f>IF('Данные'!E2443&lt;'Дашборд'!$C$53,"Мало трафика",IF(J2443&lt;'Дашборд'!$C$9*'Дашборд'!$C$54,"Да","Нет"))</x:f>
        <x:v>Мало трафика</x:v>
      </x:c>
      <x:c r="N2443" s="1" t="str">
        <x:f>IF(AND('Данные'!D2443&gt;='Дашборд'!$C$55,D2443&lt;'Дашборд'!$C$56,'Данные'!E2443&gt;='Дашборд'!$C$53,'Данные'!L2443&lt;&gt;"Да"),"Да","Нет")</x:f>
        <x:v>Нет</x:v>
      </x:c>
      <x:c r="O2443" s="1" t="str">
        <x:f>'Данные'!L2443</x:f>
        <x:v>Нет</x:v>
      </x:c>
    </x:row>
    <x:row r="2444">
      <x:c r="A2444" s="1" t="str">
        <x:f>'Данные'!A2444</x:f>
        <x:v>70431454</x:v>
      </x:c>
      <x:c r="B2444" s="1" t="str">
        <x:f>'Данные'!B2444</x:f>
        <x:v>longslivdlinna/серовато-розовый</x:v>
      </x:c>
      <x:c r="C2444" s="8" t="n">
        <x:f>'Данные'!G2444</x:f>
        <x:v>0</x:v>
      </x:c>
      <x:c r="D2444" s="15" t="n">
        <x:f>C2444/SUM($C$5:$C$2477)</x:f>
        <x:v>0</x:v>
      </x:c>
      <x:c r="E2444" s="15" t="n">
        <x:f>SUM($D$5:D2444)</x:f>
        <x:v>1.0000000000000036</x:v>
      </x:c>
      <x:c r="F2444" s="1" t="str">
        <x:f>IF(C2444&lt;=0,"C",IF(E2444-D2444&lt;'Дашборд'!$C$49,"A",IF(E2444-D2444&lt;'Дашборд'!$C$50,"B","C")))</x:f>
        <x:v>C</x:v>
      </x:c>
      <x:c r="G2444" s="8" t="n">
        <x:f>'Данные'!F2444</x:f>
        <x:v>0</x:v>
      </x:c>
      <x:c r="H2444" s="8" t="n">
        <x:f>SUM('Данные'!H2444:I2444)</x:f>
        <x:v>0</x:v>
      </x:c>
      <x:c r="I2444" s="16" t="str">
        <x:f>IF(H2444&gt;0,G2444/H2444,"n.a.")</x:f>
        <x:v>n.a.</x:v>
      </x:c>
      <x:c r="J2444" s="10" t="n">
        <x:f>IF('Данные'!E2444&gt;0,G2444/'Данные'!E2444,"n.a.")</x:f>
        <x:v>0</x:v>
      </x:c>
      <x:c r="K2444" s="1" t="str">
        <x:f>IF(G2444&gt;='Дашборд'!$C$51,"X","Z")</x:f>
        <x:v>Z</x:v>
      </x:c>
      <x:c r="L2444" s="1" t="str">
        <x:f>IF(H2444=0,IF(G2444&gt;0,"Нет остатка","Нет спроса"),IF(I2444&gt;='Дашборд'!$C$52,"Быстрый","Медленный"))</x:f>
        <x:v>Нет спроса</x:v>
      </x:c>
      <x:c r="M2444" s="1" t="str">
        <x:f>IF('Данные'!E2444&lt;'Дашборд'!$C$53,"Мало трафика",IF(J2444&lt;'Дашборд'!$C$9*'Дашборд'!$C$54,"Да","Нет"))</x:f>
        <x:v>Мало трафика</x:v>
      </x:c>
      <x:c r="N2444" s="1" t="str">
        <x:f>IF(AND('Данные'!D2444&gt;='Дашборд'!$C$55,D2444&lt;'Дашборд'!$C$56,'Данные'!E2444&gt;='Дашборд'!$C$53,'Данные'!L2444&lt;&gt;"Да"),"Да","Нет")</x:f>
        <x:v>Нет</x:v>
      </x:c>
      <x:c r="O2444" s="1" t="str">
        <x:f>'Данные'!L2444</x:f>
        <x:v>Нет</x:v>
      </x:c>
    </x:row>
    <x:row r="2445">
      <x:c r="A2445" s="1" t="str">
        <x:f>'Данные'!A2445</x:f>
        <x:v>70433777</x:v>
      </x:c>
      <x:c r="B2445" s="1" t="str">
        <x:f>'Данные'!B2445</x:f>
        <x:v>longslivdecolte/голубой</x:v>
      </x:c>
      <x:c r="C2445" s="8" t="n">
        <x:f>'Данные'!G2445</x:f>
        <x:v>0</x:v>
      </x:c>
      <x:c r="D2445" s="15" t="n">
        <x:f>C2445/SUM($C$5:$C$2477)</x:f>
        <x:v>0</x:v>
      </x:c>
      <x:c r="E2445" s="15" t="n">
        <x:f>SUM($D$5:D2445)</x:f>
        <x:v>1.0000000000000036</x:v>
      </x:c>
      <x:c r="F2445" s="1" t="str">
        <x:f>IF(C2445&lt;=0,"C",IF(E2445-D2445&lt;'Дашборд'!$C$49,"A",IF(E2445-D2445&lt;'Дашборд'!$C$50,"B","C")))</x:f>
        <x:v>C</x:v>
      </x:c>
      <x:c r="G2445" s="8" t="n">
        <x:f>'Данные'!F2445</x:f>
        <x:v>0</x:v>
      </x:c>
      <x:c r="H2445" s="8" t="n">
        <x:f>SUM('Данные'!H2445:I2445)</x:f>
        <x:v>0</x:v>
      </x:c>
      <x:c r="I2445" s="16" t="str">
        <x:f>IF(H2445&gt;0,G2445/H2445,"n.a.")</x:f>
        <x:v>n.a.</x:v>
      </x:c>
      <x:c r="J2445" s="10" t="n">
        <x:f>IF('Данные'!E2445&gt;0,G2445/'Данные'!E2445,"n.a.")</x:f>
        <x:v>0</x:v>
      </x:c>
      <x:c r="K2445" s="1" t="str">
        <x:f>IF(G2445&gt;='Дашборд'!$C$51,"X","Z")</x:f>
        <x:v>Z</x:v>
      </x:c>
      <x:c r="L2445" s="1" t="str">
        <x:f>IF(H2445=0,IF(G2445&gt;0,"Нет остатка","Нет спроса"),IF(I2445&gt;='Дашборд'!$C$52,"Быстрый","Медленный"))</x:f>
        <x:v>Нет спроса</x:v>
      </x:c>
      <x:c r="M2445" s="1" t="str">
        <x:f>IF('Данные'!E2445&lt;'Дашборд'!$C$53,"Мало трафика",IF(J2445&lt;'Дашборд'!$C$9*'Дашборд'!$C$54,"Да","Нет"))</x:f>
        <x:v>Мало трафика</x:v>
      </x:c>
      <x:c r="N2445" s="1" t="str">
        <x:f>IF(AND('Данные'!D2445&gt;='Дашборд'!$C$55,D2445&lt;'Дашборд'!$C$56,'Данные'!E2445&gt;='Дашборд'!$C$53,'Данные'!L2445&lt;&gt;"Да"),"Да","Нет")</x:f>
        <x:v>Нет</x:v>
      </x:c>
      <x:c r="O2445" s="1" t="str">
        <x:f>'Данные'!L2445</x:f>
        <x:v>Нет</x:v>
      </x:c>
    </x:row>
    <x:row r="2446">
      <x:c r="A2446" s="1" t="str">
        <x:f>'Данные'!A2446</x:f>
        <x:v>70434433</x:v>
      </x:c>
      <x:c r="B2446" s="1" t="str">
        <x:f>'Данные'!B2446</x:f>
        <x:v>longslivdecolte/морскаяволна</x:v>
      </x:c>
      <x:c r="C2446" s="8" t="n">
        <x:f>'Данные'!G2446</x:f>
        <x:v>0</x:v>
      </x:c>
      <x:c r="D2446" s="15" t="n">
        <x:f>C2446/SUM($C$5:$C$2477)</x:f>
        <x:v>0</x:v>
      </x:c>
      <x:c r="E2446" s="15" t="n">
        <x:f>SUM($D$5:D2446)</x:f>
        <x:v>1.0000000000000036</x:v>
      </x:c>
      <x:c r="F2446" s="1" t="str">
        <x:f>IF(C2446&lt;=0,"C",IF(E2446-D2446&lt;'Дашборд'!$C$49,"A",IF(E2446-D2446&lt;'Дашборд'!$C$50,"B","C")))</x:f>
        <x:v>C</x:v>
      </x:c>
      <x:c r="G2446" s="8" t="n">
        <x:f>'Данные'!F2446</x:f>
        <x:v>0</x:v>
      </x:c>
      <x:c r="H2446" s="8" t="n">
        <x:f>SUM('Данные'!H2446:I2446)</x:f>
        <x:v>0</x:v>
      </x:c>
      <x:c r="I2446" s="16" t="str">
        <x:f>IF(H2446&gt;0,G2446/H2446,"n.a.")</x:f>
        <x:v>n.a.</x:v>
      </x:c>
      <x:c r="J2446" s="10" t="n">
        <x:f>IF('Данные'!E2446&gt;0,G2446/'Данные'!E2446,"n.a.")</x:f>
        <x:v>0</x:v>
      </x:c>
      <x:c r="K2446" s="1" t="str">
        <x:f>IF(G2446&gt;='Дашборд'!$C$51,"X","Z")</x:f>
        <x:v>Z</x:v>
      </x:c>
      <x:c r="L2446" s="1" t="str">
        <x:f>IF(H2446=0,IF(G2446&gt;0,"Нет остатка","Нет спроса"),IF(I2446&gt;='Дашборд'!$C$52,"Быстрый","Медленный"))</x:f>
        <x:v>Нет спроса</x:v>
      </x:c>
      <x:c r="M2446" s="1" t="str">
        <x:f>IF('Данные'!E2446&lt;'Дашборд'!$C$53,"Мало трафика",IF(J2446&lt;'Дашборд'!$C$9*'Дашборд'!$C$54,"Да","Нет"))</x:f>
        <x:v>Мало трафика</x:v>
      </x:c>
      <x:c r="N2446" s="1" t="str">
        <x:f>IF(AND('Данные'!D2446&gt;='Дашборд'!$C$55,D2446&lt;'Дашборд'!$C$56,'Данные'!E2446&gt;='Дашборд'!$C$53,'Данные'!L2446&lt;&gt;"Да"),"Да","Нет")</x:f>
        <x:v>Нет</x:v>
      </x:c>
      <x:c r="O2446" s="1" t="str">
        <x:f>'Данные'!L2446</x:f>
        <x:v>Нет</x:v>
      </x:c>
    </x:row>
    <x:row r="2447">
      <x:c r="A2447" s="1" t="str">
        <x:f>'Данные'!A2447</x:f>
        <x:v>71719989</x:v>
      </x:c>
      <x:c r="B2447" s="1" t="str">
        <x:f>'Данные'!B2447</x:f>
        <x:v>longslivkvadrat/голубой</x:v>
      </x:c>
      <x:c r="C2447" s="8" t="n">
        <x:f>'Данные'!G2447</x:f>
        <x:v>0</x:v>
      </x:c>
      <x:c r="D2447" s="15" t="n">
        <x:f>C2447/SUM($C$5:$C$2477)</x:f>
        <x:v>0</x:v>
      </x:c>
      <x:c r="E2447" s="15" t="n">
        <x:f>SUM($D$5:D2447)</x:f>
        <x:v>1.0000000000000036</x:v>
      </x:c>
      <x:c r="F2447" s="1" t="str">
        <x:f>IF(C2447&lt;=0,"C",IF(E2447-D2447&lt;'Дашборд'!$C$49,"A",IF(E2447-D2447&lt;'Дашборд'!$C$50,"B","C")))</x:f>
        <x:v>C</x:v>
      </x:c>
      <x:c r="G2447" s="8" t="n">
        <x:f>'Данные'!F2447</x:f>
        <x:v>0</x:v>
      </x:c>
      <x:c r="H2447" s="8" t="n">
        <x:f>SUM('Данные'!H2447:I2447)</x:f>
        <x:v>0</x:v>
      </x:c>
      <x:c r="I2447" s="16" t="str">
        <x:f>IF(H2447&gt;0,G2447/H2447,"n.a.")</x:f>
        <x:v>n.a.</x:v>
      </x:c>
      <x:c r="J2447" s="10" t="n">
        <x:f>IF('Данные'!E2447&gt;0,G2447/'Данные'!E2447,"n.a.")</x:f>
        <x:v>0</x:v>
      </x:c>
      <x:c r="K2447" s="1" t="str">
        <x:f>IF(G2447&gt;='Дашборд'!$C$51,"X","Z")</x:f>
        <x:v>Z</x:v>
      </x:c>
      <x:c r="L2447" s="1" t="str">
        <x:f>IF(H2447=0,IF(G2447&gt;0,"Нет остатка","Нет спроса"),IF(I2447&gt;='Дашборд'!$C$52,"Быстрый","Медленный"))</x:f>
        <x:v>Нет спроса</x:v>
      </x:c>
      <x:c r="M2447" s="1" t="str">
        <x:f>IF('Данные'!E2447&lt;'Дашборд'!$C$53,"Мало трафика",IF(J2447&lt;'Дашборд'!$C$9*'Дашборд'!$C$54,"Да","Нет"))</x:f>
        <x:v>Мало трафика</x:v>
      </x:c>
      <x:c r="N2447" s="1" t="str">
        <x:f>IF(AND('Данные'!D2447&gt;='Дашборд'!$C$55,D2447&lt;'Дашборд'!$C$56,'Данные'!E2447&gt;='Дашборд'!$C$53,'Данные'!L2447&lt;&gt;"Да"),"Да","Нет")</x:f>
        <x:v>Нет</x:v>
      </x:c>
      <x:c r="O2447" s="1" t="str">
        <x:f>'Данные'!L2447</x:f>
        <x:v>Нет</x:v>
      </x:c>
    </x:row>
    <x:row r="2448">
      <x:c r="A2448" s="1" t="str">
        <x:f>'Данные'!A2448</x:f>
        <x:v>71723514</x:v>
      </x:c>
      <x:c r="B2448" s="1" t="str">
        <x:f>'Данные'!B2448</x:f>
        <x:v>longslivkvadrat/фуксия</x:v>
      </x:c>
      <x:c r="C2448" s="8" t="n">
        <x:f>'Данные'!G2448</x:f>
        <x:v>0</x:v>
      </x:c>
      <x:c r="D2448" s="15" t="n">
        <x:f>C2448/SUM($C$5:$C$2477)</x:f>
        <x:v>0</x:v>
      </x:c>
      <x:c r="E2448" s="15" t="n">
        <x:f>SUM($D$5:D2448)</x:f>
        <x:v>1.0000000000000036</x:v>
      </x:c>
      <x:c r="F2448" s="1" t="str">
        <x:f>IF(C2448&lt;=0,"C",IF(E2448-D2448&lt;'Дашборд'!$C$49,"A",IF(E2448-D2448&lt;'Дашборд'!$C$50,"B","C")))</x:f>
        <x:v>C</x:v>
      </x:c>
      <x:c r="G2448" s="8" t="n">
        <x:f>'Данные'!F2448</x:f>
        <x:v>0</x:v>
      </x:c>
      <x:c r="H2448" s="8" t="n">
        <x:f>SUM('Данные'!H2448:I2448)</x:f>
        <x:v>0</x:v>
      </x:c>
      <x:c r="I2448" s="16" t="str">
        <x:f>IF(H2448&gt;0,G2448/H2448,"n.a.")</x:f>
        <x:v>n.a.</x:v>
      </x:c>
      <x:c r="J2448" s="10" t="n">
        <x:f>IF('Данные'!E2448&gt;0,G2448/'Данные'!E2448,"n.a.")</x:f>
        <x:v>0</x:v>
      </x:c>
      <x:c r="K2448" s="1" t="str">
        <x:f>IF(G2448&gt;='Дашборд'!$C$51,"X","Z")</x:f>
        <x:v>Z</x:v>
      </x:c>
      <x:c r="L2448" s="1" t="str">
        <x:f>IF(H2448=0,IF(G2448&gt;0,"Нет остатка","Нет спроса"),IF(I2448&gt;='Дашборд'!$C$52,"Быстрый","Медленный"))</x:f>
        <x:v>Нет спроса</x:v>
      </x:c>
      <x:c r="M2448" s="1" t="str">
        <x:f>IF('Данные'!E2448&lt;'Дашборд'!$C$53,"Мало трафика",IF(J2448&lt;'Дашборд'!$C$9*'Дашборд'!$C$54,"Да","Нет"))</x:f>
        <x:v>Мало трафика</x:v>
      </x:c>
      <x:c r="N2448" s="1" t="str">
        <x:f>IF(AND('Данные'!D2448&gt;='Дашборд'!$C$55,D2448&lt;'Дашборд'!$C$56,'Данные'!E2448&gt;='Дашборд'!$C$53,'Данные'!L2448&lt;&gt;"Да"),"Да","Нет")</x:f>
        <x:v>Нет</x:v>
      </x:c>
      <x:c r="O2448" s="1" t="str">
        <x:f>'Данные'!L2448</x:f>
        <x:v>Нет</x:v>
      </x:c>
    </x:row>
    <x:row r="2449">
      <x:c r="A2449" s="1" t="str">
        <x:f>'Данные'!A2449</x:f>
        <x:v>71891546</x:v>
      </x:c>
      <x:c r="B2449" s="1" t="str">
        <x:f>'Данные'!B2449</x:f>
        <x:v>longslivkvadrat/эвкалипт</x:v>
      </x:c>
      <x:c r="C2449" s="8" t="n">
        <x:f>'Данные'!G2449</x:f>
        <x:v>0</x:v>
      </x:c>
      <x:c r="D2449" s="15" t="n">
        <x:f>C2449/SUM($C$5:$C$2477)</x:f>
        <x:v>0</x:v>
      </x:c>
      <x:c r="E2449" s="15" t="n">
        <x:f>SUM($D$5:D2449)</x:f>
        <x:v>1.0000000000000036</x:v>
      </x:c>
      <x:c r="F2449" s="1" t="str">
        <x:f>IF(C2449&lt;=0,"C",IF(E2449-D2449&lt;'Дашборд'!$C$49,"A",IF(E2449-D2449&lt;'Дашборд'!$C$50,"B","C")))</x:f>
        <x:v>C</x:v>
      </x:c>
      <x:c r="G2449" s="8" t="n">
        <x:f>'Данные'!F2449</x:f>
        <x:v>0</x:v>
      </x:c>
      <x:c r="H2449" s="8" t="n">
        <x:f>SUM('Данные'!H2449:I2449)</x:f>
        <x:v>0</x:v>
      </x:c>
      <x:c r="I2449" s="16" t="str">
        <x:f>IF(H2449&gt;0,G2449/H2449,"n.a.")</x:f>
        <x:v>n.a.</x:v>
      </x:c>
      <x:c r="J2449" s="10" t="n">
        <x:f>IF('Данные'!E2449&gt;0,G2449/'Данные'!E2449,"n.a.")</x:f>
        <x:v>0</x:v>
      </x:c>
      <x:c r="K2449" s="1" t="str">
        <x:f>IF(G2449&gt;='Дашборд'!$C$51,"X","Z")</x:f>
        <x:v>Z</x:v>
      </x:c>
      <x:c r="L2449" s="1" t="str">
        <x:f>IF(H2449=0,IF(G2449&gt;0,"Нет остатка","Нет спроса"),IF(I2449&gt;='Дашборд'!$C$52,"Быстрый","Медленный"))</x:f>
        <x:v>Нет спроса</x:v>
      </x:c>
      <x:c r="M2449" s="1" t="str">
        <x:f>IF('Данные'!E2449&lt;'Дашборд'!$C$53,"Мало трафика",IF(J2449&lt;'Дашборд'!$C$9*'Дашборд'!$C$54,"Да","Нет"))</x:f>
        <x:v>Мало трафика</x:v>
      </x:c>
      <x:c r="N2449" s="1" t="str">
        <x:f>IF(AND('Данные'!D2449&gt;='Дашборд'!$C$55,D2449&lt;'Дашборд'!$C$56,'Данные'!E2449&gt;='Дашборд'!$C$53,'Данные'!L2449&lt;&gt;"Да"),"Да","Нет")</x:f>
        <x:v>Нет</x:v>
      </x:c>
      <x:c r="O2449" s="1" t="str">
        <x:f>'Данные'!L2449</x:f>
        <x:v>Нет</x:v>
      </x:c>
    </x:row>
    <x:row r="2450">
      <x:c r="A2450" s="1" t="str">
        <x:f>'Данные'!A2450</x:f>
        <x:v>71892257</x:v>
      </x:c>
      <x:c r="B2450" s="1" t="str">
        <x:f>'Данные'!B2450</x:f>
        <x:v>longslivkvadrat/бордовый</x:v>
      </x:c>
      <x:c r="C2450" s="8" t="n">
        <x:f>'Данные'!G2450</x:f>
        <x:v>0</x:v>
      </x:c>
      <x:c r="D2450" s="15" t="n">
        <x:f>C2450/SUM($C$5:$C$2477)</x:f>
        <x:v>0</x:v>
      </x:c>
      <x:c r="E2450" s="15" t="n">
        <x:f>SUM($D$5:D2450)</x:f>
        <x:v>1.0000000000000036</x:v>
      </x:c>
      <x:c r="F2450" s="1" t="str">
        <x:f>IF(C2450&lt;=0,"C",IF(E2450-D2450&lt;'Дашборд'!$C$49,"A",IF(E2450-D2450&lt;'Дашборд'!$C$50,"B","C")))</x:f>
        <x:v>C</x:v>
      </x:c>
      <x:c r="G2450" s="8" t="n">
        <x:f>'Данные'!F2450</x:f>
        <x:v>0</x:v>
      </x:c>
      <x:c r="H2450" s="8" t="n">
        <x:f>SUM('Данные'!H2450:I2450)</x:f>
        <x:v>0</x:v>
      </x:c>
      <x:c r="I2450" s="16" t="str">
        <x:f>IF(H2450&gt;0,G2450/H2450,"n.a.")</x:f>
        <x:v>n.a.</x:v>
      </x:c>
      <x:c r="J2450" s="10" t="n">
        <x:f>IF('Данные'!E2450&gt;0,G2450/'Данные'!E2450,"n.a.")</x:f>
        <x:v>0</x:v>
      </x:c>
      <x:c r="K2450" s="1" t="str">
        <x:f>IF(G2450&gt;='Дашборд'!$C$51,"X","Z")</x:f>
        <x:v>Z</x:v>
      </x:c>
      <x:c r="L2450" s="1" t="str">
        <x:f>IF(H2450=0,IF(G2450&gt;0,"Нет остатка","Нет спроса"),IF(I2450&gt;='Дашборд'!$C$52,"Быстрый","Медленный"))</x:f>
        <x:v>Нет спроса</x:v>
      </x:c>
      <x:c r="M2450" s="1" t="str">
        <x:f>IF('Данные'!E2450&lt;'Дашборд'!$C$53,"Мало трафика",IF(J2450&lt;'Дашборд'!$C$9*'Дашборд'!$C$54,"Да","Нет"))</x:f>
        <x:v>Мало трафика</x:v>
      </x:c>
      <x:c r="N2450" s="1" t="str">
        <x:f>IF(AND('Данные'!D2450&gt;='Дашборд'!$C$55,D2450&lt;'Дашборд'!$C$56,'Данные'!E2450&gt;='Дашборд'!$C$53,'Данные'!L2450&lt;&gt;"Да"),"Да","Нет")</x:f>
        <x:v>Нет</x:v>
      </x:c>
      <x:c r="O2450" s="1" t="str">
        <x:f>'Данные'!L2450</x:f>
        <x:v>Нет</x:v>
      </x:c>
    </x:row>
    <x:row r="2451">
      <x:c r="A2451" s="1" t="str">
        <x:f>'Данные'!A2451</x:f>
        <x:v>71892611</x:v>
      </x:c>
      <x:c r="B2451" s="1" t="str">
        <x:f>'Данные'!B2451</x:f>
        <x:v>longslivkvadrat/морскаяволна</x:v>
      </x:c>
      <x:c r="C2451" s="8" t="n">
        <x:f>'Данные'!G2451</x:f>
        <x:v>0</x:v>
      </x:c>
      <x:c r="D2451" s="15" t="n">
        <x:f>C2451/SUM($C$5:$C$2477)</x:f>
        <x:v>0</x:v>
      </x:c>
      <x:c r="E2451" s="15" t="n">
        <x:f>SUM($D$5:D2451)</x:f>
        <x:v>1.0000000000000036</x:v>
      </x:c>
      <x:c r="F2451" s="1" t="str">
        <x:f>IF(C2451&lt;=0,"C",IF(E2451-D2451&lt;'Дашборд'!$C$49,"A",IF(E2451-D2451&lt;'Дашборд'!$C$50,"B","C")))</x:f>
        <x:v>C</x:v>
      </x:c>
      <x:c r="G2451" s="8" t="n">
        <x:f>'Данные'!F2451</x:f>
        <x:v>0</x:v>
      </x:c>
      <x:c r="H2451" s="8" t="n">
        <x:f>SUM('Данные'!H2451:I2451)</x:f>
        <x:v>0</x:v>
      </x:c>
      <x:c r="I2451" s="16" t="str">
        <x:f>IF(H2451&gt;0,G2451/H2451,"n.a.")</x:f>
        <x:v>n.a.</x:v>
      </x:c>
      <x:c r="J2451" s="10" t="n">
        <x:f>IF('Данные'!E2451&gt;0,G2451/'Данные'!E2451,"n.a.")</x:f>
        <x:v>0</x:v>
      </x:c>
      <x:c r="K2451" s="1" t="str">
        <x:f>IF(G2451&gt;='Дашборд'!$C$51,"X","Z")</x:f>
        <x:v>Z</x:v>
      </x:c>
      <x:c r="L2451" s="1" t="str">
        <x:f>IF(H2451=0,IF(G2451&gt;0,"Нет остатка","Нет спроса"),IF(I2451&gt;='Дашборд'!$C$52,"Быстрый","Медленный"))</x:f>
        <x:v>Нет спроса</x:v>
      </x:c>
      <x:c r="M2451" s="1" t="str">
        <x:f>IF('Данные'!E2451&lt;'Дашборд'!$C$53,"Мало трафика",IF(J2451&lt;'Дашборд'!$C$9*'Дашборд'!$C$54,"Да","Нет"))</x:f>
        <x:v>Мало трафика</x:v>
      </x:c>
      <x:c r="N2451" s="1" t="str">
        <x:f>IF(AND('Данные'!D2451&gt;='Дашборд'!$C$55,D2451&lt;'Дашборд'!$C$56,'Данные'!E2451&gt;='Дашборд'!$C$53,'Данные'!L2451&lt;&gt;"Да"),"Да","Нет")</x:f>
        <x:v>Нет</x:v>
      </x:c>
      <x:c r="O2451" s="1" t="str">
        <x:f>'Данные'!L2451</x:f>
        <x:v>Нет</x:v>
      </x:c>
    </x:row>
    <x:row r="2452">
      <x:c r="A2452" s="1" t="str">
        <x:f>'Данные'!A2452</x:f>
        <x:v>71893006</x:v>
      </x:c>
      <x:c r="B2452" s="1" t="str">
        <x:f>'Данные'!B2452</x:f>
        <x:v>longslivkvadrat/сероваторозовый</x:v>
      </x:c>
      <x:c r="C2452" s="8" t="n">
        <x:f>'Данные'!G2452</x:f>
        <x:v>0</x:v>
      </x:c>
      <x:c r="D2452" s="15" t="n">
        <x:f>C2452/SUM($C$5:$C$2477)</x:f>
        <x:v>0</x:v>
      </x:c>
      <x:c r="E2452" s="15" t="n">
        <x:f>SUM($D$5:D2452)</x:f>
        <x:v>1.0000000000000036</x:v>
      </x:c>
      <x:c r="F2452" s="1" t="str">
        <x:f>IF(C2452&lt;=0,"C",IF(E2452-D2452&lt;'Дашборд'!$C$49,"A",IF(E2452-D2452&lt;'Дашборд'!$C$50,"B","C")))</x:f>
        <x:v>C</x:v>
      </x:c>
      <x:c r="G2452" s="8" t="n">
        <x:f>'Данные'!F2452</x:f>
        <x:v>0</x:v>
      </x:c>
      <x:c r="H2452" s="8" t="n">
        <x:f>SUM('Данные'!H2452:I2452)</x:f>
        <x:v>0</x:v>
      </x:c>
      <x:c r="I2452" s="16" t="str">
        <x:f>IF(H2452&gt;0,G2452/H2452,"n.a.")</x:f>
        <x:v>n.a.</x:v>
      </x:c>
      <x:c r="J2452" s="10" t="n">
        <x:f>IF('Данные'!E2452&gt;0,G2452/'Данные'!E2452,"n.a.")</x:f>
        <x:v>0</x:v>
      </x:c>
      <x:c r="K2452" s="1" t="str">
        <x:f>IF(G2452&gt;='Дашборд'!$C$51,"X","Z")</x:f>
        <x:v>Z</x:v>
      </x:c>
      <x:c r="L2452" s="1" t="str">
        <x:f>IF(H2452=0,IF(G2452&gt;0,"Нет остатка","Нет спроса"),IF(I2452&gt;='Дашборд'!$C$52,"Быстрый","Медленный"))</x:f>
        <x:v>Нет спроса</x:v>
      </x:c>
      <x:c r="M2452" s="1" t="str">
        <x:f>IF('Данные'!E2452&lt;'Дашборд'!$C$53,"Мало трафика",IF(J2452&lt;'Дашборд'!$C$9*'Дашборд'!$C$54,"Да","Нет"))</x:f>
        <x:v>Мало трафика</x:v>
      </x:c>
      <x:c r="N2452" s="1" t="str">
        <x:f>IF(AND('Данные'!D2452&gt;='Дашборд'!$C$55,D2452&lt;'Дашборд'!$C$56,'Данные'!E2452&gt;='Дашборд'!$C$53,'Данные'!L2452&lt;&gt;"Да"),"Да","Нет")</x:f>
        <x:v>Нет</x:v>
      </x:c>
      <x:c r="O2452" s="1" t="str">
        <x:f>'Данные'!L2452</x:f>
        <x:v>Нет</x:v>
      </x:c>
    </x:row>
    <x:row r="2453">
      <x:c r="A2453" s="1" t="str">
        <x:f>'Данные'!A2453</x:f>
        <x:v>71893287</x:v>
      </x:c>
      <x:c r="B2453" s="1" t="str">
        <x:f>'Данные'!B2453</x:f>
        <x:v>longslivkvadrat/хаки</x:v>
      </x:c>
      <x:c r="C2453" s="8" t="n">
        <x:f>'Данные'!G2453</x:f>
        <x:v>0</x:v>
      </x:c>
      <x:c r="D2453" s="15" t="n">
        <x:f>C2453/SUM($C$5:$C$2477)</x:f>
        <x:v>0</x:v>
      </x:c>
      <x:c r="E2453" s="15" t="n">
        <x:f>SUM($D$5:D2453)</x:f>
        <x:v>1.0000000000000036</x:v>
      </x:c>
      <x:c r="F2453" s="1" t="str">
        <x:f>IF(C2453&lt;=0,"C",IF(E2453-D2453&lt;'Дашборд'!$C$49,"A",IF(E2453-D2453&lt;'Дашборд'!$C$50,"B","C")))</x:f>
        <x:v>C</x:v>
      </x:c>
      <x:c r="G2453" s="8" t="n">
        <x:f>'Данные'!F2453</x:f>
        <x:v>0</x:v>
      </x:c>
      <x:c r="H2453" s="8" t="n">
        <x:f>SUM('Данные'!H2453:I2453)</x:f>
        <x:v>0</x:v>
      </x:c>
      <x:c r="I2453" s="16" t="str">
        <x:f>IF(H2453&gt;0,G2453/H2453,"n.a.")</x:f>
        <x:v>n.a.</x:v>
      </x:c>
      <x:c r="J2453" s="10" t="n">
        <x:f>IF('Данные'!E2453&gt;0,G2453/'Данные'!E2453,"n.a.")</x:f>
        <x:v>0</x:v>
      </x:c>
      <x:c r="K2453" s="1" t="str">
        <x:f>IF(G2453&gt;='Дашборд'!$C$51,"X","Z")</x:f>
        <x:v>Z</x:v>
      </x:c>
      <x:c r="L2453" s="1" t="str">
        <x:f>IF(H2453=0,IF(G2453&gt;0,"Нет остатка","Нет спроса"),IF(I2453&gt;='Дашборд'!$C$52,"Быстрый","Медленный"))</x:f>
        <x:v>Нет спроса</x:v>
      </x:c>
      <x:c r="M2453" s="1" t="str">
        <x:f>IF('Данные'!E2453&lt;'Дашборд'!$C$53,"Мало трафика",IF(J2453&lt;'Дашборд'!$C$9*'Дашборд'!$C$54,"Да","Нет"))</x:f>
        <x:v>Мало трафика</x:v>
      </x:c>
      <x:c r="N2453" s="1" t="str">
        <x:f>IF(AND('Данные'!D2453&gt;='Дашборд'!$C$55,D2453&lt;'Дашборд'!$C$56,'Данные'!E2453&gt;='Дашборд'!$C$53,'Данные'!L2453&lt;&gt;"Да"),"Да","Нет")</x:f>
        <x:v>Нет</x:v>
      </x:c>
      <x:c r="O2453" s="1" t="str">
        <x:f>'Данные'!L2453</x:f>
        <x:v>Нет</x:v>
      </x:c>
    </x:row>
    <x:row r="2454">
      <x:c r="A2454" s="1" t="str">
        <x:f>'Данные'!A2454</x:f>
        <x:v>71900909</x:v>
      </x:c>
      <x:c r="B2454" s="1" t="str">
        <x:f>'Данные'!B2454</x:f>
        <x:v>longslivkvadratkorot/голубой</x:v>
      </x:c>
      <x:c r="C2454" s="8" t="n">
        <x:f>'Данные'!G2454</x:f>
        <x:v>0</x:v>
      </x:c>
      <x:c r="D2454" s="15" t="n">
        <x:f>C2454/SUM($C$5:$C$2477)</x:f>
        <x:v>0</x:v>
      </x:c>
      <x:c r="E2454" s="15" t="n">
        <x:f>SUM($D$5:D2454)</x:f>
        <x:v>1.0000000000000036</x:v>
      </x:c>
      <x:c r="F2454" s="1" t="str">
        <x:f>IF(C2454&lt;=0,"C",IF(E2454-D2454&lt;'Дашборд'!$C$49,"A",IF(E2454-D2454&lt;'Дашборд'!$C$50,"B","C")))</x:f>
        <x:v>C</x:v>
      </x:c>
      <x:c r="G2454" s="8" t="n">
        <x:f>'Данные'!F2454</x:f>
        <x:v>0</x:v>
      </x:c>
      <x:c r="H2454" s="8" t="n">
        <x:f>SUM('Данные'!H2454:I2454)</x:f>
        <x:v>0</x:v>
      </x:c>
      <x:c r="I2454" s="16" t="str">
        <x:f>IF(H2454&gt;0,G2454/H2454,"n.a.")</x:f>
        <x:v>n.a.</x:v>
      </x:c>
      <x:c r="J2454" s="10" t="n">
        <x:f>IF('Данные'!E2454&gt;0,G2454/'Данные'!E2454,"n.a.")</x:f>
        <x:v>0</x:v>
      </x:c>
      <x:c r="K2454" s="1" t="str">
        <x:f>IF(G2454&gt;='Дашборд'!$C$51,"X","Z")</x:f>
        <x:v>Z</x:v>
      </x:c>
      <x:c r="L2454" s="1" t="str">
        <x:f>IF(H2454=0,IF(G2454&gt;0,"Нет остатка","Нет спроса"),IF(I2454&gt;='Дашборд'!$C$52,"Быстрый","Медленный"))</x:f>
        <x:v>Нет спроса</x:v>
      </x:c>
      <x:c r="M2454" s="1" t="str">
        <x:f>IF('Данные'!E2454&lt;'Дашборд'!$C$53,"Мало трафика",IF(J2454&lt;'Дашборд'!$C$9*'Дашборд'!$C$54,"Да","Нет"))</x:f>
        <x:v>Мало трафика</x:v>
      </x:c>
      <x:c r="N2454" s="1" t="str">
        <x:f>IF(AND('Данные'!D2454&gt;='Дашборд'!$C$55,D2454&lt;'Дашборд'!$C$56,'Данные'!E2454&gt;='Дашборд'!$C$53,'Данные'!L2454&lt;&gt;"Да"),"Да","Нет")</x:f>
        <x:v>Нет</x:v>
      </x:c>
      <x:c r="O2454" s="1" t="str">
        <x:f>'Данные'!L2454</x:f>
        <x:v>Нет</x:v>
      </x:c>
    </x:row>
    <x:row r="2455">
      <x:c r="A2455" s="1" t="str">
        <x:f>'Данные'!A2455</x:f>
        <x:v>71995357</x:v>
      </x:c>
      <x:c r="B2455" s="1" t="str">
        <x:f>'Данные'!B2455</x:f>
        <x:v>longslivkvadratkorot/фуксия</x:v>
      </x:c>
      <x:c r="C2455" s="8" t="n">
        <x:f>'Данные'!G2455</x:f>
        <x:v>0</x:v>
      </x:c>
      <x:c r="D2455" s="15" t="n">
        <x:f>C2455/SUM($C$5:$C$2477)</x:f>
        <x:v>0</x:v>
      </x:c>
      <x:c r="E2455" s="15" t="n">
        <x:f>SUM($D$5:D2455)</x:f>
        <x:v>1.0000000000000036</x:v>
      </x:c>
      <x:c r="F2455" s="1" t="str">
        <x:f>IF(C2455&lt;=0,"C",IF(E2455-D2455&lt;'Дашборд'!$C$49,"A",IF(E2455-D2455&lt;'Дашборд'!$C$50,"B","C")))</x:f>
        <x:v>C</x:v>
      </x:c>
      <x:c r="G2455" s="8" t="n">
        <x:f>'Данные'!F2455</x:f>
        <x:v>0</x:v>
      </x:c>
      <x:c r="H2455" s="8" t="n">
        <x:f>SUM('Данные'!H2455:I2455)</x:f>
        <x:v>0</x:v>
      </x:c>
      <x:c r="I2455" s="16" t="str">
        <x:f>IF(H2455&gt;0,G2455/H2455,"n.a.")</x:f>
        <x:v>n.a.</x:v>
      </x:c>
      <x:c r="J2455" s="10" t="n">
        <x:f>IF('Данные'!E2455&gt;0,G2455/'Данные'!E2455,"n.a.")</x:f>
        <x:v>0</x:v>
      </x:c>
      <x:c r="K2455" s="1" t="str">
        <x:f>IF(G2455&gt;='Дашборд'!$C$51,"X","Z")</x:f>
        <x:v>Z</x:v>
      </x:c>
      <x:c r="L2455" s="1" t="str">
        <x:f>IF(H2455=0,IF(G2455&gt;0,"Нет остатка","Нет спроса"),IF(I2455&gt;='Дашборд'!$C$52,"Быстрый","Медленный"))</x:f>
        <x:v>Нет спроса</x:v>
      </x:c>
      <x:c r="M2455" s="1" t="str">
        <x:f>IF('Данные'!E2455&lt;'Дашборд'!$C$53,"Мало трафика",IF(J2455&lt;'Дашборд'!$C$9*'Дашборд'!$C$54,"Да","Нет"))</x:f>
        <x:v>Мало трафика</x:v>
      </x:c>
      <x:c r="N2455" s="1" t="str">
        <x:f>IF(AND('Данные'!D2455&gt;='Дашборд'!$C$55,D2455&lt;'Дашборд'!$C$56,'Данные'!E2455&gt;='Дашборд'!$C$53,'Данные'!L2455&lt;&gt;"Да"),"Да","Нет")</x:f>
        <x:v>Нет</x:v>
      </x:c>
      <x:c r="O2455" s="1" t="str">
        <x:f>'Данные'!L2455</x:f>
        <x:v>Нет</x:v>
      </x:c>
    </x:row>
    <x:row r="2456">
      <x:c r="A2456" s="1" t="str">
        <x:f>'Данные'!A2456</x:f>
        <x:v>71995480</x:v>
      </x:c>
      <x:c r="B2456" s="1" t="str">
        <x:f>'Данные'!B2456</x:f>
        <x:v>longslivkvadratkorot/бордовый</x:v>
      </x:c>
      <x:c r="C2456" s="8" t="n">
        <x:f>'Данные'!G2456</x:f>
        <x:v>0</x:v>
      </x:c>
      <x:c r="D2456" s="15" t="n">
        <x:f>C2456/SUM($C$5:$C$2477)</x:f>
        <x:v>0</x:v>
      </x:c>
      <x:c r="E2456" s="15" t="n">
        <x:f>SUM($D$5:D2456)</x:f>
        <x:v>1.0000000000000036</x:v>
      </x:c>
      <x:c r="F2456" s="1" t="str">
        <x:f>IF(C2456&lt;=0,"C",IF(E2456-D2456&lt;'Дашборд'!$C$49,"A",IF(E2456-D2456&lt;'Дашборд'!$C$50,"B","C")))</x:f>
        <x:v>C</x:v>
      </x:c>
      <x:c r="G2456" s="8" t="n">
        <x:f>'Данные'!F2456</x:f>
        <x:v>0</x:v>
      </x:c>
      <x:c r="H2456" s="8" t="n">
        <x:f>SUM('Данные'!H2456:I2456)</x:f>
        <x:v>0</x:v>
      </x:c>
      <x:c r="I2456" s="16" t="str">
        <x:f>IF(H2456&gt;0,G2456/H2456,"n.a.")</x:f>
        <x:v>n.a.</x:v>
      </x:c>
      <x:c r="J2456" s="10" t="n">
        <x:f>IF('Данные'!E2456&gt;0,G2456/'Данные'!E2456,"n.a.")</x:f>
        <x:v>0</x:v>
      </x:c>
      <x:c r="K2456" s="1" t="str">
        <x:f>IF(G2456&gt;='Дашборд'!$C$51,"X","Z")</x:f>
        <x:v>Z</x:v>
      </x:c>
      <x:c r="L2456" s="1" t="str">
        <x:f>IF(H2456=0,IF(G2456&gt;0,"Нет остатка","Нет спроса"),IF(I2456&gt;='Дашборд'!$C$52,"Быстрый","Медленный"))</x:f>
        <x:v>Нет спроса</x:v>
      </x:c>
      <x:c r="M2456" s="1" t="str">
        <x:f>IF('Данные'!E2456&lt;'Дашборд'!$C$53,"Мало трафика",IF(J2456&lt;'Дашборд'!$C$9*'Дашборд'!$C$54,"Да","Нет"))</x:f>
        <x:v>Мало трафика</x:v>
      </x:c>
      <x:c r="N2456" s="1" t="str">
        <x:f>IF(AND('Данные'!D2456&gt;='Дашборд'!$C$55,D2456&lt;'Дашборд'!$C$56,'Данные'!E2456&gt;='Дашборд'!$C$53,'Данные'!L2456&lt;&gt;"Да"),"Да","Нет")</x:f>
        <x:v>Нет</x:v>
      </x:c>
      <x:c r="O2456" s="1" t="str">
        <x:f>'Данные'!L2456</x:f>
        <x:v>Нет</x:v>
      </x:c>
    </x:row>
    <x:row r="2457">
      <x:c r="A2457" s="1" t="str">
        <x:f>'Данные'!A2457</x:f>
        <x:v>71995566</x:v>
      </x:c>
      <x:c r="B2457" s="1" t="str">
        <x:f>'Данные'!B2457</x:f>
        <x:v>longslivkvadratkorot/морскаяволна</x:v>
      </x:c>
      <x:c r="C2457" s="8" t="n">
        <x:f>'Данные'!G2457</x:f>
        <x:v>0</x:v>
      </x:c>
      <x:c r="D2457" s="15" t="n">
        <x:f>C2457/SUM($C$5:$C$2477)</x:f>
        <x:v>0</x:v>
      </x:c>
      <x:c r="E2457" s="15" t="n">
        <x:f>SUM($D$5:D2457)</x:f>
        <x:v>1.0000000000000036</x:v>
      </x:c>
      <x:c r="F2457" s="1" t="str">
        <x:f>IF(C2457&lt;=0,"C",IF(E2457-D2457&lt;'Дашборд'!$C$49,"A",IF(E2457-D2457&lt;'Дашборд'!$C$50,"B","C")))</x:f>
        <x:v>C</x:v>
      </x:c>
      <x:c r="G2457" s="8" t="n">
        <x:f>'Данные'!F2457</x:f>
        <x:v>0</x:v>
      </x:c>
      <x:c r="H2457" s="8" t="n">
        <x:f>SUM('Данные'!H2457:I2457)</x:f>
        <x:v>0</x:v>
      </x:c>
      <x:c r="I2457" s="16" t="str">
        <x:f>IF(H2457&gt;0,G2457/H2457,"n.a.")</x:f>
        <x:v>n.a.</x:v>
      </x:c>
      <x:c r="J2457" s="10" t="n">
        <x:f>IF('Данные'!E2457&gt;0,G2457/'Данные'!E2457,"n.a.")</x:f>
        <x:v>0</x:v>
      </x:c>
      <x:c r="K2457" s="1" t="str">
        <x:f>IF(G2457&gt;='Дашборд'!$C$51,"X","Z")</x:f>
        <x:v>Z</x:v>
      </x:c>
      <x:c r="L2457" s="1" t="str">
        <x:f>IF(H2457=0,IF(G2457&gt;0,"Нет остатка","Нет спроса"),IF(I2457&gt;='Дашборд'!$C$52,"Быстрый","Медленный"))</x:f>
        <x:v>Нет спроса</x:v>
      </x:c>
      <x:c r="M2457" s="1" t="str">
        <x:f>IF('Данные'!E2457&lt;'Дашборд'!$C$53,"Мало трафика",IF(J2457&lt;'Дашборд'!$C$9*'Дашборд'!$C$54,"Да","Нет"))</x:f>
        <x:v>Мало трафика</x:v>
      </x:c>
      <x:c r="N2457" s="1" t="str">
        <x:f>IF(AND('Данные'!D2457&gt;='Дашборд'!$C$55,D2457&lt;'Дашборд'!$C$56,'Данные'!E2457&gt;='Дашборд'!$C$53,'Данные'!L2457&lt;&gt;"Да"),"Да","Нет")</x:f>
        <x:v>Нет</x:v>
      </x:c>
      <x:c r="O2457" s="1" t="str">
        <x:f>'Данные'!L2457</x:f>
        <x:v>Нет</x:v>
      </x:c>
    </x:row>
    <x:row r="2458">
      <x:c r="A2458" s="1" t="str">
        <x:f>'Данные'!A2458</x:f>
        <x:v>71995614</x:v>
      </x:c>
      <x:c r="B2458" s="1" t="str">
        <x:f>'Данные'!B2458</x:f>
        <x:v>longslivkvadratkorot/хаки</x:v>
      </x:c>
      <x:c r="C2458" s="8" t="n">
        <x:f>'Данные'!G2458</x:f>
        <x:v>0</x:v>
      </x:c>
      <x:c r="D2458" s="15" t="n">
        <x:f>C2458/SUM($C$5:$C$2477)</x:f>
        <x:v>0</x:v>
      </x:c>
      <x:c r="E2458" s="15" t="n">
        <x:f>SUM($D$5:D2458)</x:f>
        <x:v>1.0000000000000036</x:v>
      </x:c>
      <x:c r="F2458" s="1" t="str">
        <x:f>IF(C2458&lt;=0,"C",IF(E2458-D2458&lt;'Дашборд'!$C$49,"A",IF(E2458-D2458&lt;'Дашборд'!$C$50,"B","C")))</x:f>
        <x:v>C</x:v>
      </x:c>
      <x:c r="G2458" s="8" t="n">
        <x:f>'Данные'!F2458</x:f>
        <x:v>0</x:v>
      </x:c>
      <x:c r="H2458" s="8" t="n">
        <x:f>SUM('Данные'!H2458:I2458)</x:f>
        <x:v>0</x:v>
      </x:c>
      <x:c r="I2458" s="16" t="str">
        <x:f>IF(H2458&gt;0,G2458/H2458,"n.a.")</x:f>
        <x:v>n.a.</x:v>
      </x:c>
      <x:c r="J2458" s="10" t="n">
        <x:f>IF('Данные'!E2458&gt;0,G2458/'Данные'!E2458,"n.a.")</x:f>
        <x:v>0</x:v>
      </x:c>
      <x:c r="K2458" s="1" t="str">
        <x:f>IF(G2458&gt;='Дашборд'!$C$51,"X","Z")</x:f>
        <x:v>Z</x:v>
      </x:c>
      <x:c r="L2458" s="1" t="str">
        <x:f>IF(H2458=0,IF(G2458&gt;0,"Нет остатка","Нет спроса"),IF(I2458&gt;='Дашборд'!$C$52,"Быстрый","Медленный"))</x:f>
        <x:v>Нет спроса</x:v>
      </x:c>
      <x:c r="M2458" s="1" t="str">
        <x:f>IF('Данные'!E2458&lt;'Дашборд'!$C$53,"Мало трафика",IF(J2458&lt;'Дашборд'!$C$9*'Дашборд'!$C$54,"Да","Нет"))</x:f>
        <x:v>Мало трафика</x:v>
      </x:c>
      <x:c r="N2458" s="1" t="str">
        <x:f>IF(AND('Данные'!D2458&gt;='Дашборд'!$C$55,D2458&lt;'Дашборд'!$C$56,'Данные'!E2458&gt;='Дашборд'!$C$53,'Данные'!L2458&lt;&gt;"Да"),"Да","Нет")</x:f>
        <x:v>Нет</x:v>
      </x:c>
      <x:c r="O2458" s="1" t="str">
        <x:f>'Данные'!L2458</x:f>
        <x:v>Нет</x:v>
      </x:c>
    </x:row>
    <x:row r="2459">
      <x:c r="A2459" s="1" t="str">
        <x:f>'Данные'!A2459</x:f>
        <x:v>74618727</x:v>
      </x:c>
      <x:c r="B2459" s="1" t="str">
        <x:f>'Данные'!B2459</x:f>
        <x:v>longslivdecolte/фуксия</x:v>
      </x:c>
      <x:c r="C2459" s="8" t="n">
        <x:f>'Данные'!G2459</x:f>
        <x:v>0</x:v>
      </x:c>
      <x:c r="D2459" s="15" t="n">
        <x:f>C2459/SUM($C$5:$C$2477)</x:f>
        <x:v>0</x:v>
      </x:c>
      <x:c r="E2459" s="15" t="n">
        <x:f>SUM($D$5:D2459)</x:f>
        <x:v>1.0000000000000036</x:v>
      </x:c>
      <x:c r="F2459" s="1" t="str">
        <x:f>IF(C2459&lt;=0,"C",IF(E2459-D2459&lt;'Дашборд'!$C$49,"A",IF(E2459-D2459&lt;'Дашборд'!$C$50,"B","C")))</x:f>
        <x:v>C</x:v>
      </x:c>
      <x:c r="G2459" s="8" t="n">
        <x:f>'Данные'!F2459</x:f>
        <x:v>2</x:v>
      </x:c>
      <x:c r="H2459" s="8" t="n">
        <x:f>SUM('Данные'!H2459:I2459)</x:f>
        <x:v>0</x:v>
      </x:c>
      <x:c r="I2459" s="16" t="str">
        <x:f>IF(H2459&gt;0,G2459/H2459,"n.a.")</x:f>
        <x:v>n.a.</x:v>
      </x:c>
      <x:c r="J2459" s="10" t="n">
        <x:f>IF('Данные'!E2459&gt;0,G2459/'Данные'!E2459,"n.a.")</x:f>
        <x:v>0.005970149253731343</x:v>
      </x:c>
      <x:c r="K2459" s="1" t="str">
        <x:f>IF(G2459&gt;='Дашборд'!$C$51,"X","Z")</x:f>
        <x:v>Z</x:v>
      </x:c>
      <x:c r="L2459" s="1" t="str">
        <x:f>IF(H2459=0,IF(G2459&gt;0,"Нет остатка","Нет спроса"),IF(I2459&gt;='Дашборд'!$C$52,"Быстрый","Медленный"))</x:f>
        <x:v>Нет остатка</x:v>
      </x:c>
      <x:c r="M2459" s="1" t="str">
        <x:f>IF('Данные'!E2459&lt;'Дашборд'!$C$53,"Мало трафика",IF(J2459&lt;'Дашборд'!$C$9*'Дашборд'!$C$54,"Да","Нет"))</x:f>
        <x:v>Мало трафика</x:v>
      </x:c>
      <x:c r="N2459" s="1" t="str">
        <x:f>IF(AND('Данные'!D2459&gt;='Дашборд'!$C$55,D2459&lt;'Дашборд'!$C$56,'Данные'!E2459&gt;='Дашборд'!$C$53,'Данные'!L2459&lt;&gt;"Да"),"Да","Нет")</x:f>
        <x:v>Нет</x:v>
      </x:c>
      <x:c r="O2459" s="1" t="str">
        <x:f>'Данные'!L2459</x:f>
        <x:v>Нет</x:v>
      </x:c>
    </x:row>
    <x:row r="2460">
      <x:c r="A2460" s="1" t="str">
        <x:f>'Данные'!A2460</x:f>
        <x:v>75369407</x:v>
      </x:c>
      <x:c r="B2460" s="1" t="str">
        <x:f>'Данные'!B2460</x:f>
        <x:v>futbolka_mary/фуксия</x:v>
      </x:c>
      <x:c r="C2460" s="8" t="n">
        <x:f>'Данные'!G2460</x:f>
        <x:v>0</x:v>
      </x:c>
      <x:c r="D2460" s="15" t="n">
        <x:f>C2460/SUM($C$5:$C$2477)</x:f>
        <x:v>0</x:v>
      </x:c>
      <x:c r="E2460" s="15" t="n">
        <x:f>SUM($D$5:D2460)</x:f>
        <x:v>1.0000000000000036</x:v>
      </x:c>
      <x:c r="F2460" s="1" t="str">
        <x:f>IF(C2460&lt;=0,"C",IF(E2460-D2460&lt;'Дашборд'!$C$49,"A",IF(E2460-D2460&lt;'Дашборд'!$C$50,"B","C")))</x:f>
        <x:v>C</x:v>
      </x:c>
      <x:c r="G2460" s="8" t="n">
        <x:f>'Данные'!F2460</x:f>
        <x:v>0</x:v>
      </x:c>
      <x:c r="H2460" s="8" t="n">
        <x:f>SUM('Данные'!H2460:I2460)</x:f>
        <x:v>0</x:v>
      </x:c>
      <x:c r="I2460" s="16" t="str">
        <x:f>IF(H2460&gt;0,G2460/H2460,"n.a.")</x:f>
        <x:v>n.a.</x:v>
      </x:c>
      <x:c r="J2460" s="10" t="n">
        <x:f>IF('Данные'!E2460&gt;0,G2460/'Данные'!E2460,"n.a.")</x:f>
        <x:v>0</x:v>
      </x:c>
      <x:c r="K2460" s="1" t="str">
        <x:f>IF(G2460&gt;='Дашборд'!$C$51,"X","Z")</x:f>
        <x:v>Z</x:v>
      </x:c>
      <x:c r="L2460" s="1" t="str">
        <x:f>IF(H2460=0,IF(G2460&gt;0,"Нет остатка","Нет спроса"),IF(I2460&gt;='Дашборд'!$C$52,"Быстрый","Медленный"))</x:f>
        <x:v>Нет спроса</x:v>
      </x:c>
      <x:c r="M2460" s="1" t="str">
        <x:f>IF('Данные'!E2460&lt;'Дашборд'!$C$53,"Мало трафика",IF(J2460&lt;'Дашборд'!$C$9*'Дашборд'!$C$54,"Да","Нет"))</x:f>
        <x:v>Мало трафика</x:v>
      </x:c>
      <x:c r="N2460" s="1" t="str">
        <x:f>IF(AND('Данные'!D2460&gt;='Дашборд'!$C$55,D2460&lt;'Дашборд'!$C$56,'Данные'!E2460&gt;='Дашборд'!$C$53,'Данные'!L2460&lt;&gt;"Да"),"Да","Нет")</x:f>
        <x:v>Нет</x:v>
      </x:c>
      <x:c r="O2460" s="1" t="str">
        <x:f>'Данные'!L2460</x:f>
        <x:v>Нет</x:v>
      </x:c>
    </x:row>
    <x:row r="2461">
      <x:c r="A2461" s="1" t="str">
        <x:f>'Данные'!A2461</x:f>
        <x:v>76640088</x:v>
      </x:c>
      <x:c r="B2461" s="1" t="str">
        <x:f>'Данные'!B2461</x:f>
        <x:v>futbolka/голубой</x:v>
      </x:c>
      <x:c r="C2461" s="8" t="n">
        <x:f>'Данные'!G2461</x:f>
        <x:v>0</x:v>
      </x:c>
      <x:c r="D2461" s="15" t="n">
        <x:f>C2461/SUM($C$5:$C$2477)</x:f>
        <x:v>0</x:v>
      </x:c>
      <x:c r="E2461" s="15" t="n">
        <x:f>SUM($D$5:D2461)</x:f>
        <x:v>1.0000000000000036</x:v>
      </x:c>
      <x:c r="F2461" s="1" t="str">
        <x:f>IF(C2461&lt;=0,"C",IF(E2461-D2461&lt;'Дашборд'!$C$49,"A",IF(E2461-D2461&lt;'Дашборд'!$C$50,"B","C")))</x:f>
        <x:v>C</x:v>
      </x:c>
      <x:c r="G2461" s="8" t="n">
        <x:f>'Данные'!F2461</x:f>
        <x:v>2</x:v>
      </x:c>
      <x:c r="H2461" s="8" t="n">
        <x:f>SUM('Данные'!H2461:I2461)</x:f>
        <x:v>0</x:v>
      </x:c>
      <x:c r="I2461" s="16" t="str">
        <x:f>IF(H2461&gt;0,G2461/H2461,"n.a.")</x:f>
        <x:v>n.a.</x:v>
      </x:c>
      <x:c r="J2461" s="10" t="n">
        <x:f>IF('Данные'!E2461&gt;0,G2461/'Данные'!E2461,"n.a.")</x:f>
        <x:v>0.004672897196261682</x:v>
      </x:c>
      <x:c r="K2461" s="1" t="str">
        <x:f>IF(G2461&gt;='Дашборд'!$C$51,"X","Z")</x:f>
        <x:v>Z</x:v>
      </x:c>
      <x:c r="L2461" s="1" t="str">
        <x:f>IF(H2461=0,IF(G2461&gt;0,"Нет остатка","Нет спроса"),IF(I2461&gt;='Дашборд'!$C$52,"Быстрый","Медленный"))</x:f>
        <x:v>Нет остатка</x:v>
      </x:c>
      <x:c r="M2461" s="1" t="str">
        <x:f>IF('Данные'!E2461&lt;'Дашборд'!$C$53,"Мало трафика",IF(J2461&lt;'Дашборд'!$C$9*'Дашборд'!$C$54,"Да","Нет"))</x:f>
        <x:v>Мало трафика</x:v>
      </x:c>
      <x:c r="N2461" s="1" t="str">
        <x:f>IF(AND('Данные'!D2461&gt;='Дашборд'!$C$55,D2461&lt;'Дашборд'!$C$56,'Данные'!E2461&gt;='Дашборд'!$C$53,'Данные'!L2461&lt;&gt;"Да"),"Да","Нет")</x:f>
        <x:v>Нет</x:v>
      </x:c>
      <x:c r="O2461" s="1" t="str">
        <x:f>'Данные'!L2461</x:f>
        <x:v>Нет</x:v>
      </x:c>
    </x:row>
    <x:row r="2462">
      <x:c r="A2462" s="1" t="str">
        <x:f>'Данные'!A2462</x:f>
        <x:v>76642063</x:v>
      </x:c>
      <x:c r="B2462" s="1" t="str">
        <x:f>'Данные'!B2462</x:f>
        <x:v>futbolka/зеленый</x:v>
      </x:c>
      <x:c r="C2462" s="8" t="n">
        <x:f>'Данные'!G2462</x:f>
        <x:v>0</x:v>
      </x:c>
      <x:c r="D2462" s="15" t="n">
        <x:f>C2462/SUM($C$5:$C$2477)</x:f>
        <x:v>0</x:v>
      </x:c>
      <x:c r="E2462" s="15" t="n">
        <x:f>SUM($D$5:D2462)</x:f>
        <x:v>1.0000000000000036</x:v>
      </x:c>
      <x:c r="F2462" s="1" t="str">
        <x:f>IF(C2462&lt;=0,"C",IF(E2462-D2462&lt;'Дашборд'!$C$49,"A",IF(E2462-D2462&lt;'Дашборд'!$C$50,"B","C")))</x:f>
        <x:v>C</x:v>
      </x:c>
      <x:c r="G2462" s="8" t="n">
        <x:f>'Данные'!F2462</x:f>
        <x:v>0</x:v>
      </x:c>
      <x:c r="H2462" s="8" t="n">
        <x:f>SUM('Данные'!H2462:I2462)</x:f>
        <x:v>0</x:v>
      </x:c>
      <x:c r="I2462" s="16" t="str">
        <x:f>IF(H2462&gt;0,G2462/H2462,"n.a.")</x:f>
        <x:v>n.a.</x:v>
      </x:c>
      <x:c r="J2462" s="10" t="n">
        <x:f>IF('Данные'!E2462&gt;0,G2462/'Данные'!E2462,"n.a.")</x:f>
        <x:v>0</x:v>
      </x:c>
      <x:c r="K2462" s="1" t="str">
        <x:f>IF(G2462&gt;='Дашборд'!$C$51,"X","Z")</x:f>
        <x:v>Z</x:v>
      </x:c>
      <x:c r="L2462" s="1" t="str">
        <x:f>IF(H2462=0,IF(G2462&gt;0,"Нет остатка","Нет спроса"),IF(I2462&gt;='Дашборд'!$C$52,"Быстрый","Медленный"))</x:f>
        <x:v>Нет спроса</x:v>
      </x:c>
      <x:c r="M2462" s="1" t="str">
        <x:f>IF('Данные'!E2462&lt;'Дашборд'!$C$53,"Мало трафика",IF(J2462&lt;'Дашборд'!$C$9*'Дашборд'!$C$54,"Да","Нет"))</x:f>
        <x:v>Мало трафика</x:v>
      </x:c>
      <x:c r="N2462" s="1" t="str">
        <x:f>IF(AND('Данные'!D2462&gt;='Дашборд'!$C$55,D2462&lt;'Дашборд'!$C$56,'Данные'!E2462&gt;='Дашборд'!$C$53,'Данные'!L2462&lt;&gt;"Да"),"Да","Нет")</x:f>
        <x:v>Нет</x:v>
      </x:c>
      <x:c r="O2462" s="1" t="str">
        <x:f>'Данные'!L2462</x:f>
        <x:v>Нет</x:v>
      </x:c>
    </x:row>
    <x:row r="2463">
      <x:c r="A2463" s="1" t="str">
        <x:f>'Данные'!A2463</x:f>
        <x:v>79673738</x:v>
      </x:c>
      <x:c r="B2463" s="1" t="str">
        <x:f>'Данные'!B2463</x:f>
        <x:v>longslivdekoltekor/светло-фиолетовый</x:v>
      </x:c>
      <x:c r="C2463" s="8" t="n">
        <x:f>'Данные'!G2463</x:f>
        <x:v>0</x:v>
      </x:c>
      <x:c r="D2463" s="15" t="n">
        <x:f>C2463/SUM($C$5:$C$2477)</x:f>
        <x:v>0</x:v>
      </x:c>
      <x:c r="E2463" s="15" t="n">
        <x:f>SUM($D$5:D2463)</x:f>
        <x:v>1.0000000000000036</x:v>
      </x:c>
      <x:c r="F2463" s="1" t="str">
        <x:f>IF(C2463&lt;=0,"C",IF(E2463-D2463&lt;'Дашборд'!$C$49,"A",IF(E2463-D2463&lt;'Дашборд'!$C$50,"B","C")))</x:f>
        <x:v>C</x:v>
      </x:c>
      <x:c r="G2463" s="8" t="n">
        <x:f>'Данные'!F2463</x:f>
        <x:v>0</x:v>
      </x:c>
      <x:c r="H2463" s="8" t="n">
        <x:f>SUM('Данные'!H2463:I2463)</x:f>
        <x:v>0</x:v>
      </x:c>
      <x:c r="I2463" s="16" t="str">
        <x:f>IF(H2463&gt;0,G2463/H2463,"n.a.")</x:f>
        <x:v>n.a.</x:v>
      </x:c>
      <x:c r="J2463" s="10" t="n">
        <x:f>IF('Данные'!E2463&gt;0,G2463/'Данные'!E2463,"n.a.")</x:f>
        <x:v>0</x:v>
      </x:c>
      <x:c r="K2463" s="1" t="str">
        <x:f>IF(G2463&gt;='Дашборд'!$C$51,"X","Z")</x:f>
        <x:v>Z</x:v>
      </x:c>
      <x:c r="L2463" s="1" t="str">
        <x:f>IF(H2463=0,IF(G2463&gt;0,"Нет остатка","Нет спроса"),IF(I2463&gt;='Дашборд'!$C$52,"Быстрый","Медленный"))</x:f>
        <x:v>Нет спроса</x:v>
      </x:c>
      <x:c r="M2463" s="1" t="str">
        <x:f>IF('Данные'!E2463&lt;'Дашборд'!$C$53,"Мало трафика",IF(J2463&lt;'Дашборд'!$C$9*'Дашборд'!$C$54,"Да","Нет"))</x:f>
        <x:v>Мало трафика</x:v>
      </x:c>
      <x:c r="N2463" s="1" t="str">
        <x:f>IF(AND('Данные'!D2463&gt;='Дашборд'!$C$55,D2463&lt;'Дашборд'!$C$56,'Данные'!E2463&gt;='Дашборд'!$C$53,'Данные'!L2463&lt;&gt;"Да"),"Да","Нет")</x:f>
        <x:v>Нет</x:v>
      </x:c>
      <x:c r="O2463" s="1" t="str">
        <x:f>'Данные'!L2463</x:f>
        <x:v>Нет</x:v>
      </x:c>
    </x:row>
    <x:row r="2464">
      <x:c r="A2464" s="1" t="str">
        <x:f>'Данные'!A2464</x:f>
        <x:v>79678048</x:v>
      </x:c>
      <x:c r="B2464" s="1" t="str">
        <x:f>'Данные'!B2464</x:f>
        <x:v>longslivdekoltekor/белый</x:v>
      </x:c>
      <x:c r="C2464" s="8" t="n">
        <x:f>'Данные'!G2464</x:f>
        <x:v>0</x:v>
      </x:c>
      <x:c r="D2464" s="15" t="n">
        <x:f>C2464/SUM($C$5:$C$2477)</x:f>
        <x:v>0</x:v>
      </x:c>
      <x:c r="E2464" s="15" t="n">
        <x:f>SUM($D$5:D2464)</x:f>
        <x:v>1.0000000000000036</x:v>
      </x:c>
      <x:c r="F2464" s="1" t="str">
        <x:f>IF(C2464&lt;=0,"C",IF(E2464-D2464&lt;'Дашборд'!$C$49,"A",IF(E2464-D2464&lt;'Дашборд'!$C$50,"B","C")))</x:f>
        <x:v>C</x:v>
      </x:c>
      <x:c r="G2464" s="8" t="n">
        <x:f>'Данные'!F2464</x:f>
        <x:v>0</x:v>
      </x:c>
      <x:c r="H2464" s="8" t="n">
        <x:f>SUM('Данные'!H2464:I2464)</x:f>
        <x:v>0</x:v>
      </x:c>
      <x:c r="I2464" s="16" t="str">
        <x:f>IF(H2464&gt;0,G2464/H2464,"n.a.")</x:f>
        <x:v>n.a.</x:v>
      </x:c>
      <x:c r="J2464" s="10" t="n">
        <x:f>IF('Данные'!E2464&gt;0,G2464/'Данные'!E2464,"n.a.")</x:f>
        <x:v>0</x:v>
      </x:c>
      <x:c r="K2464" s="1" t="str">
        <x:f>IF(G2464&gt;='Дашборд'!$C$51,"X","Z")</x:f>
        <x:v>Z</x:v>
      </x:c>
      <x:c r="L2464" s="1" t="str">
        <x:f>IF(H2464=0,IF(G2464&gt;0,"Нет остатка","Нет спроса"),IF(I2464&gt;='Дашборд'!$C$52,"Быстрый","Медленный"))</x:f>
        <x:v>Нет спроса</x:v>
      </x:c>
      <x:c r="M2464" s="1" t="str">
        <x:f>IF('Данные'!E2464&lt;'Дашборд'!$C$53,"Мало трафика",IF(J2464&lt;'Дашборд'!$C$9*'Дашборд'!$C$54,"Да","Нет"))</x:f>
        <x:v>Мало трафика</x:v>
      </x:c>
      <x:c r="N2464" s="1" t="str">
        <x:f>IF(AND('Данные'!D2464&gt;='Дашборд'!$C$55,D2464&lt;'Дашборд'!$C$56,'Данные'!E2464&gt;='Дашборд'!$C$53,'Данные'!L2464&lt;&gt;"Да"),"Да","Нет")</x:f>
        <x:v>Нет</x:v>
      </x:c>
      <x:c r="O2464" s="1" t="str">
        <x:f>'Данные'!L2464</x:f>
        <x:v>Нет</x:v>
      </x:c>
    </x:row>
    <x:row r="2465">
      <x:c r="A2465" s="1" t="str">
        <x:f>'Данные'!A2465</x:f>
        <x:v>79685336</x:v>
      </x:c>
      <x:c r="B2465" s="1" t="str">
        <x:f>'Данные'!B2465</x:f>
        <x:v>longslivdekoltekor/бордовый</x:v>
      </x:c>
      <x:c r="C2465" s="8" t="n">
        <x:f>'Данные'!G2465</x:f>
        <x:v>0</x:v>
      </x:c>
      <x:c r="D2465" s="15" t="n">
        <x:f>C2465/SUM($C$5:$C$2477)</x:f>
        <x:v>0</x:v>
      </x:c>
      <x:c r="E2465" s="15" t="n">
        <x:f>SUM($D$5:D2465)</x:f>
        <x:v>1.0000000000000036</x:v>
      </x:c>
      <x:c r="F2465" s="1" t="str">
        <x:f>IF(C2465&lt;=0,"C",IF(E2465-D2465&lt;'Дашборд'!$C$49,"A",IF(E2465-D2465&lt;'Дашборд'!$C$50,"B","C")))</x:f>
        <x:v>C</x:v>
      </x:c>
      <x:c r="G2465" s="8" t="n">
        <x:f>'Данные'!F2465</x:f>
        <x:v>0</x:v>
      </x:c>
      <x:c r="H2465" s="8" t="n">
        <x:f>SUM('Данные'!H2465:I2465)</x:f>
        <x:v>0</x:v>
      </x:c>
      <x:c r="I2465" s="16" t="str">
        <x:f>IF(H2465&gt;0,G2465/H2465,"n.a.")</x:f>
        <x:v>n.a.</x:v>
      </x:c>
      <x:c r="J2465" s="10" t="n">
        <x:f>IF('Данные'!E2465&gt;0,G2465/'Данные'!E2465,"n.a.")</x:f>
        <x:v>0</x:v>
      </x:c>
      <x:c r="K2465" s="1" t="str">
        <x:f>IF(G2465&gt;='Дашборд'!$C$51,"X","Z")</x:f>
        <x:v>Z</x:v>
      </x:c>
      <x:c r="L2465" s="1" t="str">
        <x:f>IF(H2465=0,IF(G2465&gt;0,"Нет остатка","Нет спроса"),IF(I2465&gt;='Дашборд'!$C$52,"Быстрый","Медленный"))</x:f>
        <x:v>Нет спроса</x:v>
      </x:c>
      <x:c r="M2465" s="1" t="str">
        <x:f>IF('Данные'!E2465&lt;'Дашборд'!$C$53,"Мало трафика",IF(J2465&lt;'Дашборд'!$C$9*'Дашборд'!$C$54,"Да","Нет"))</x:f>
        <x:v>Мало трафика</x:v>
      </x:c>
      <x:c r="N2465" s="1" t="str">
        <x:f>IF(AND('Данные'!D2465&gt;='Дашборд'!$C$55,D2465&lt;'Дашборд'!$C$56,'Данные'!E2465&gt;='Дашборд'!$C$53,'Данные'!L2465&lt;&gt;"Да"),"Да","Нет")</x:f>
        <x:v>Нет</x:v>
      </x:c>
      <x:c r="O2465" s="1" t="str">
        <x:f>'Данные'!L2465</x:f>
        <x:v>Нет</x:v>
      </x:c>
    </x:row>
    <x:row r="2466">
      <x:c r="A2466" s="1" t="str">
        <x:f>'Данные'!A2466</x:f>
        <x:v>79688635</x:v>
      </x:c>
      <x:c r="B2466" s="1" t="str">
        <x:f>'Данные'!B2466</x:f>
        <x:v>longslivdekoltekor/морскаяволна</x:v>
      </x:c>
      <x:c r="C2466" s="8" t="n">
        <x:f>'Данные'!G2466</x:f>
        <x:v>0</x:v>
      </x:c>
      <x:c r="D2466" s="15" t="n">
        <x:f>C2466/SUM($C$5:$C$2477)</x:f>
        <x:v>0</x:v>
      </x:c>
      <x:c r="E2466" s="15" t="n">
        <x:f>SUM($D$5:D2466)</x:f>
        <x:v>1.0000000000000036</x:v>
      </x:c>
      <x:c r="F2466" s="1" t="str">
        <x:f>IF(C2466&lt;=0,"C",IF(E2466-D2466&lt;'Дашборд'!$C$49,"A",IF(E2466-D2466&lt;'Дашборд'!$C$50,"B","C")))</x:f>
        <x:v>C</x:v>
      </x:c>
      <x:c r="G2466" s="8" t="n">
        <x:f>'Данные'!F2466</x:f>
        <x:v>0</x:v>
      </x:c>
      <x:c r="H2466" s="8" t="n">
        <x:f>SUM('Данные'!H2466:I2466)</x:f>
        <x:v>0</x:v>
      </x:c>
      <x:c r="I2466" s="16" t="str">
        <x:f>IF(H2466&gt;0,G2466/H2466,"n.a.")</x:f>
        <x:v>n.a.</x:v>
      </x:c>
      <x:c r="J2466" s="10" t="n">
        <x:f>IF('Данные'!E2466&gt;0,G2466/'Данные'!E2466,"n.a.")</x:f>
        <x:v>0</x:v>
      </x:c>
      <x:c r="K2466" s="1" t="str">
        <x:f>IF(G2466&gt;='Дашборд'!$C$51,"X","Z")</x:f>
        <x:v>Z</x:v>
      </x:c>
      <x:c r="L2466" s="1" t="str">
        <x:f>IF(H2466=0,IF(G2466&gt;0,"Нет остатка","Нет спроса"),IF(I2466&gt;='Дашборд'!$C$52,"Быстрый","Медленный"))</x:f>
        <x:v>Нет спроса</x:v>
      </x:c>
      <x:c r="M2466" s="1" t="str">
        <x:f>IF('Данные'!E2466&lt;'Дашборд'!$C$53,"Мало трафика",IF(J2466&lt;'Дашборд'!$C$9*'Дашборд'!$C$54,"Да","Нет"))</x:f>
        <x:v>Мало трафика</x:v>
      </x:c>
      <x:c r="N2466" s="1" t="str">
        <x:f>IF(AND('Данные'!D2466&gt;='Дашборд'!$C$55,D2466&lt;'Дашборд'!$C$56,'Данные'!E2466&gt;='Дашборд'!$C$53,'Данные'!L2466&lt;&gt;"Да"),"Да","Нет")</x:f>
        <x:v>Нет</x:v>
      </x:c>
      <x:c r="O2466" s="1" t="str">
        <x:f>'Данные'!L2466</x:f>
        <x:v>Нет</x:v>
      </x:c>
    </x:row>
    <x:row r="2467">
      <x:c r="A2467" s="1" t="str">
        <x:f>'Данные'!A2467</x:f>
        <x:v>79696441</x:v>
      </x:c>
      <x:c r="B2467" s="1" t="str">
        <x:f>'Данные'!B2467</x:f>
        <x:v>longslivdlinna/светло-фиолетовый</x:v>
      </x:c>
      <x:c r="C2467" s="8" t="n">
        <x:f>'Данные'!G2467</x:f>
        <x:v>0</x:v>
      </x:c>
      <x:c r="D2467" s="15" t="n">
        <x:f>C2467/SUM($C$5:$C$2477)</x:f>
        <x:v>0</x:v>
      </x:c>
      <x:c r="E2467" s="15" t="n">
        <x:f>SUM($D$5:D2467)</x:f>
        <x:v>1.0000000000000036</x:v>
      </x:c>
      <x:c r="F2467" s="1" t="str">
        <x:f>IF(C2467&lt;=0,"C",IF(E2467-D2467&lt;'Дашборд'!$C$49,"A",IF(E2467-D2467&lt;'Дашборд'!$C$50,"B","C")))</x:f>
        <x:v>C</x:v>
      </x:c>
      <x:c r="G2467" s="8" t="n">
        <x:f>'Данные'!F2467</x:f>
        <x:v>0</x:v>
      </x:c>
      <x:c r="H2467" s="8" t="n">
        <x:f>SUM('Данные'!H2467:I2467)</x:f>
        <x:v>0</x:v>
      </x:c>
      <x:c r="I2467" s="16" t="str">
        <x:f>IF(H2467&gt;0,G2467/H2467,"n.a.")</x:f>
        <x:v>n.a.</x:v>
      </x:c>
      <x:c r="J2467" s="10" t="n">
        <x:f>IF('Данные'!E2467&gt;0,G2467/'Данные'!E2467,"n.a.")</x:f>
        <x:v>0</x:v>
      </x:c>
      <x:c r="K2467" s="1" t="str">
        <x:f>IF(G2467&gt;='Дашборд'!$C$51,"X","Z")</x:f>
        <x:v>Z</x:v>
      </x:c>
      <x:c r="L2467" s="1" t="str">
        <x:f>IF(H2467=0,IF(G2467&gt;0,"Нет остатка","Нет спроса"),IF(I2467&gt;='Дашборд'!$C$52,"Быстрый","Медленный"))</x:f>
        <x:v>Нет спроса</x:v>
      </x:c>
      <x:c r="M2467" s="1" t="str">
        <x:f>IF('Данные'!E2467&lt;'Дашборд'!$C$53,"Мало трафика",IF(J2467&lt;'Дашборд'!$C$9*'Дашборд'!$C$54,"Да","Нет"))</x:f>
        <x:v>Мало трафика</x:v>
      </x:c>
      <x:c r="N2467" s="1" t="str">
        <x:f>IF(AND('Данные'!D2467&gt;='Дашборд'!$C$55,D2467&lt;'Дашборд'!$C$56,'Данные'!E2467&gt;='Дашборд'!$C$53,'Данные'!L2467&lt;&gt;"Да"),"Да","Нет")</x:f>
        <x:v>Нет</x:v>
      </x:c>
      <x:c r="O2467" s="1" t="str">
        <x:f>'Данные'!L2467</x:f>
        <x:v>Нет</x:v>
      </x:c>
    </x:row>
    <x:row r="2468">
      <x:c r="A2468" s="1" t="str">
        <x:f>'Данные'!A2468</x:f>
        <x:v>79696785</x:v>
      </x:c>
      <x:c r="B2468" s="1" t="str">
        <x:f>'Данные'!B2468</x:f>
        <x:v>longslivdlinna/дымка</x:v>
      </x:c>
      <x:c r="C2468" s="8" t="n">
        <x:f>'Данные'!G2468</x:f>
        <x:v>0</x:v>
      </x:c>
      <x:c r="D2468" s="15" t="n">
        <x:f>C2468/SUM($C$5:$C$2477)</x:f>
        <x:v>0</x:v>
      </x:c>
      <x:c r="E2468" s="15" t="n">
        <x:f>SUM($D$5:D2468)</x:f>
        <x:v>1.0000000000000036</x:v>
      </x:c>
      <x:c r="F2468" s="1" t="str">
        <x:f>IF(C2468&lt;=0,"C",IF(E2468-D2468&lt;'Дашборд'!$C$49,"A",IF(E2468-D2468&lt;'Дашборд'!$C$50,"B","C")))</x:f>
        <x:v>C</x:v>
      </x:c>
      <x:c r="G2468" s="8" t="n">
        <x:f>'Данные'!F2468</x:f>
        <x:v>0</x:v>
      </x:c>
      <x:c r="H2468" s="8" t="n">
        <x:f>SUM('Данные'!H2468:I2468)</x:f>
        <x:v>0</x:v>
      </x:c>
      <x:c r="I2468" s="16" t="str">
        <x:f>IF(H2468&gt;0,G2468/H2468,"n.a.")</x:f>
        <x:v>n.a.</x:v>
      </x:c>
      <x:c r="J2468" s="10" t="n">
        <x:f>IF('Данные'!E2468&gt;0,G2468/'Данные'!E2468,"n.a.")</x:f>
        <x:v>0</x:v>
      </x:c>
      <x:c r="K2468" s="1" t="str">
        <x:f>IF(G2468&gt;='Дашборд'!$C$51,"X","Z")</x:f>
        <x:v>Z</x:v>
      </x:c>
      <x:c r="L2468" s="1" t="str">
        <x:f>IF(H2468=0,IF(G2468&gt;0,"Нет остатка","Нет спроса"),IF(I2468&gt;='Дашборд'!$C$52,"Быстрый","Медленный"))</x:f>
        <x:v>Нет спроса</x:v>
      </x:c>
      <x:c r="M2468" s="1" t="str">
        <x:f>IF('Данные'!E2468&lt;'Дашборд'!$C$53,"Мало трафика",IF(J2468&lt;'Дашборд'!$C$9*'Дашборд'!$C$54,"Да","Нет"))</x:f>
        <x:v>Мало трафика</x:v>
      </x:c>
      <x:c r="N2468" s="1" t="str">
        <x:f>IF(AND('Данные'!D2468&gt;='Дашборд'!$C$55,D2468&lt;'Дашборд'!$C$56,'Данные'!E2468&gt;='Дашборд'!$C$53,'Данные'!L2468&lt;&gt;"Да"),"Да","Нет")</x:f>
        <x:v>Нет</x:v>
      </x:c>
      <x:c r="O2468" s="1" t="str">
        <x:f>'Данные'!L2468</x:f>
        <x:v>Нет</x:v>
      </x:c>
    </x:row>
    <x:row r="2469">
      <x:c r="A2469" s="1" t="str">
        <x:f>'Данные'!A2469</x:f>
        <x:v>79698470</x:v>
      </x:c>
      <x:c r="B2469" s="1" t="str">
        <x:f>'Данные'!B2469</x:f>
        <x:v>longslivdlinna/коричневый</x:v>
      </x:c>
      <x:c r="C2469" s="8" t="n">
        <x:f>'Данные'!G2469</x:f>
        <x:v>0</x:v>
      </x:c>
      <x:c r="D2469" s="15" t="n">
        <x:f>C2469/SUM($C$5:$C$2477)</x:f>
        <x:v>0</x:v>
      </x:c>
      <x:c r="E2469" s="15" t="n">
        <x:f>SUM($D$5:D2469)</x:f>
        <x:v>1.0000000000000036</x:v>
      </x:c>
      <x:c r="F2469" s="1" t="str">
        <x:f>IF(C2469&lt;=0,"C",IF(E2469-D2469&lt;'Дашборд'!$C$49,"A",IF(E2469-D2469&lt;'Дашборд'!$C$50,"B","C")))</x:f>
        <x:v>C</x:v>
      </x:c>
      <x:c r="G2469" s="8" t="n">
        <x:f>'Данные'!F2469</x:f>
        <x:v>0</x:v>
      </x:c>
      <x:c r="H2469" s="8" t="n">
        <x:f>SUM('Данные'!H2469:I2469)</x:f>
        <x:v>0</x:v>
      </x:c>
      <x:c r="I2469" s="16" t="str">
        <x:f>IF(H2469&gt;0,G2469/H2469,"n.a.")</x:f>
        <x:v>n.a.</x:v>
      </x:c>
      <x:c r="J2469" s="10" t="n">
        <x:f>IF('Данные'!E2469&gt;0,G2469/'Данные'!E2469,"n.a.")</x:f>
        <x:v>0</x:v>
      </x:c>
      <x:c r="K2469" s="1" t="str">
        <x:f>IF(G2469&gt;='Дашборд'!$C$51,"X","Z")</x:f>
        <x:v>Z</x:v>
      </x:c>
      <x:c r="L2469" s="1" t="str">
        <x:f>IF(H2469=0,IF(G2469&gt;0,"Нет остатка","Нет спроса"),IF(I2469&gt;='Дашборд'!$C$52,"Быстрый","Медленный"))</x:f>
        <x:v>Нет спроса</x:v>
      </x:c>
      <x:c r="M2469" s="1" t="str">
        <x:f>IF('Данные'!E2469&lt;'Дашборд'!$C$53,"Мало трафика",IF(J2469&lt;'Дашборд'!$C$9*'Дашборд'!$C$54,"Да","Нет"))</x:f>
        <x:v>Мало трафика</x:v>
      </x:c>
      <x:c r="N2469" s="1" t="str">
        <x:f>IF(AND('Данные'!D2469&gt;='Дашборд'!$C$55,D2469&lt;'Дашборд'!$C$56,'Данные'!E2469&gt;='Дашборд'!$C$53,'Данные'!L2469&lt;&gt;"Да"),"Да","Нет")</x:f>
        <x:v>Нет</x:v>
      </x:c>
      <x:c r="O2469" s="1" t="str">
        <x:f>'Данные'!L2469</x:f>
        <x:v>Нет</x:v>
      </x:c>
    </x:row>
    <x:row r="2470">
      <x:c r="A2470" s="1" t="str">
        <x:f>'Данные'!A2470</x:f>
        <x:v>79900272</x:v>
      </x:c>
      <x:c r="B2470" s="1" t="str">
        <x:f>'Данные'!B2470</x:f>
        <x:v>futbolka/банановый</x:v>
      </x:c>
      <x:c r="C2470" s="8" t="n">
        <x:f>'Данные'!G2470</x:f>
        <x:v>0</x:v>
      </x:c>
      <x:c r="D2470" s="15" t="n">
        <x:f>C2470/SUM($C$5:$C$2477)</x:f>
        <x:v>0</x:v>
      </x:c>
      <x:c r="E2470" s="15" t="n">
        <x:f>SUM($D$5:D2470)</x:f>
        <x:v>1.0000000000000036</x:v>
      </x:c>
      <x:c r="F2470" s="1" t="str">
        <x:f>IF(C2470&lt;=0,"C",IF(E2470-D2470&lt;'Дашборд'!$C$49,"A",IF(E2470-D2470&lt;'Дашборд'!$C$50,"B","C")))</x:f>
        <x:v>C</x:v>
      </x:c>
      <x:c r="G2470" s="8" t="n">
        <x:f>'Данные'!F2470</x:f>
        <x:v>0</x:v>
      </x:c>
      <x:c r="H2470" s="8" t="n">
        <x:f>SUM('Данные'!H2470:I2470)</x:f>
        <x:v>0</x:v>
      </x:c>
      <x:c r="I2470" s="16" t="str">
        <x:f>IF(H2470&gt;0,G2470/H2470,"n.a.")</x:f>
        <x:v>n.a.</x:v>
      </x:c>
      <x:c r="J2470" s="10" t="n">
        <x:f>IF('Данные'!E2470&gt;0,G2470/'Данные'!E2470,"n.a.")</x:f>
        <x:v>0</x:v>
      </x:c>
      <x:c r="K2470" s="1" t="str">
        <x:f>IF(G2470&gt;='Дашборд'!$C$51,"X","Z")</x:f>
        <x:v>Z</x:v>
      </x:c>
      <x:c r="L2470" s="1" t="str">
        <x:f>IF(H2470=0,IF(G2470&gt;0,"Нет остатка","Нет спроса"),IF(I2470&gt;='Дашборд'!$C$52,"Быстрый","Медленный"))</x:f>
        <x:v>Нет спроса</x:v>
      </x:c>
      <x:c r="M2470" s="1" t="str">
        <x:f>IF('Данные'!E2470&lt;'Дашборд'!$C$53,"Мало трафика",IF(J2470&lt;'Дашборд'!$C$9*'Дашборд'!$C$54,"Да","Нет"))</x:f>
        <x:v>Мало трафика</x:v>
      </x:c>
      <x:c r="N2470" s="1" t="str">
        <x:f>IF(AND('Данные'!D2470&gt;='Дашборд'!$C$55,D2470&lt;'Дашборд'!$C$56,'Данные'!E2470&gt;='Дашборд'!$C$53,'Данные'!L2470&lt;&gt;"Да"),"Да","Нет")</x:f>
        <x:v>Нет</x:v>
      </x:c>
      <x:c r="O2470" s="1" t="str">
        <x:f>'Данные'!L2470</x:f>
        <x:v>Нет</x:v>
      </x:c>
    </x:row>
    <x:row r="2471">
      <x:c r="A2471" s="1" t="str">
        <x:f>'Данные'!A2471</x:f>
        <x:v>79906650</x:v>
      </x:c>
      <x:c r="B2471" s="1" t="str">
        <x:f>'Данные'!B2471</x:f>
        <x:v>futbolka/бордовый</x:v>
      </x:c>
      <x:c r="C2471" s="8" t="n">
        <x:f>'Данные'!G2471</x:f>
        <x:v>0</x:v>
      </x:c>
      <x:c r="D2471" s="15" t="n">
        <x:f>C2471/SUM($C$5:$C$2477)</x:f>
        <x:v>0</x:v>
      </x:c>
      <x:c r="E2471" s="15" t="n">
        <x:f>SUM($D$5:D2471)</x:f>
        <x:v>1.0000000000000036</x:v>
      </x:c>
      <x:c r="F2471" s="1" t="str">
        <x:f>IF(C2471&lt;=0,"C",IF(E2471-D2471&lt;'Дашборд'!$C$49,"A",IF(E2471-D2471&lt;'Дашборд'!$C$50,"B","C")))</x:f>
        <x:v>C</x:v>
      </x:c>
      <x:c r="G2471" s="8" t="n">
        <x:f>'Данные'!F2471</x:f>
        <x:v>0</x:v>
      </x:c>
      <x:c r="H2471" s="8" t="n">
        <x:f>SUM('Данные'!H2471:I2471)</x:f>
        <x:v>0</x:v>
      </x:c>
      <x:c r="I2471" s="16" t="str">
        <x:f>IF(H2471&gt;0,G2471/H2471,"n.a.")</x:f>
        <x:v>n.a.</x:v>
      </x:c>
      <x:c r="J2471" s="10" t="n">
        <x:f>IF('Данные'!E2471&gt;0,G2471/'Данные'!E2471,"n.a.")</x:f>
        <x:v>0</x:v>
      </x:c>
      <x:c r="K2471" s="1" t="str">
        <x:f>IF(G2471&gt;='Дашборд'!$C$51,"X","Z")</x:f>
        <x:v>Z</x:v>
      </x:c>
      <x:c r="L2471" s="1" t="str">
        <x:f>IF(H2471=0,IF(G2471&gt;0,"Нет остатка","Нет спроса"),IF(I2471&gt;='Дашборд'!$C$52,"Быстрый","Медленный"))</x:f>
        <x:v>Нет спроса</x:v>
      </x:c>
      <x:c r="M2471" s="1" t="str">
        <x:f>IF('Данные'!E2471&lt;'Дашборд'!$C$53,"Мало трафика",IF(J2471&lt;'Дашборд'!$C$9*'Дашборд'!$C$54,"Да","Нет"))</x:f>
        <x:v>Мало трафика</x:v>
      </x:c>
      <x:c r="N2471" s="1" t="str">
        <x:f>IF(AND('Данные'!D2471&gt;='Дашборд'!$C$55,D2471&lt;'Дашборд'!$C$56,'Данные'!E2471&gt;='Дашборд'!$C$53,'Данные'!L2471&lt;&gt;"Да"),"Да","Нет")</x:f>
        <x:v>Нет</x:v>
      </x:c>
      <x:c r="O2471" s="1" t="str">
        <x:f>'Данные'!L2471</x:f>
        <x:v>Нет</x:v>
      </x:c>
    </x:row>
    <x:row r="2472">
      <x:c r="A2472" s="1" t="str">
        <x:f>'Данные'!A2472</x:f>
        <x:v>79914884</x:v>
      </x:c>
      <x:c r="B2472" s="1" t="str">
        <x:f>'Данные'!B2472</x:f>
        <x:v>futbolka_mary/банановый</x:v>
      </x:c>
      <x:c r="C2472" s="8" t="n">
        <x:f>'Данные'!G2472</x:f>
        <x:v>0</x:v>
      </x:c>
      <x:c r="D2472" s="15" t="n">
        <x:f>C2472/SUM($C$5:$C$2477)</x:f>
        <x:v>0</x:v>
      </x:c>
      <x:c r="E2472" s="15" t="n">
        <x:f>SUM($D$5:D2472)</x:f>
        <x:v>1.0000000000000036</x:v>
      </x:c>
      <x:c r="F2472" s="1" t="str">
        <x:f>IF(C2472&lt;=0,"C",IF(E2472-D2472&lt;'Дашборд'!$C$49,"A",IF(E2472-D2472&lt;'Дашборд'!$C$50,"B","C")))</x:f>
        <x:v>C</x:v>
      </x:c>
      <x:c r="G2472" s="8" t="n">
        <x:f>'Данные'!F2472</x:f>
        <x:v>0</x:v>
      </x:c>
      <x:c r="H2472" s="8" t="n">
        <x:f>SUM('Данные'!H2472:I2472)</x:f>
        <x:v>0</x:v>
      </x:c>
      <x:c r="I2472" s="16" t="str">
        <x:f>IF(H2472&gt;0,G2472/H2472,"n.a.")</x:f>
        <x:v>n.a.</x:v>
      </x:c>
      <x:c r="J2472" s="10" t="n">
        <x:f>IF('Данные'!E2472&gt;0,G2472/'Данные'!E2472,"n.a.")</x:f>
        <x:v>0</x:v>
      </x:c>
      <x:c r="K2472" s="1" t="str">
        <x:f>IF(G2472&gt;='Дашборд'!$C$51,"X","Z")</x:f>
        <x:v>Z</x:v>
      </x:c>
      <x:c r="L2472" s="1" t="str">
        <x:f>IF(H2472=0,IF(G2472&gt;0,"Нет остатка","Нет спроса"),IF(I2472&gt;='Дашборд'!$C$52,"Быстрый","Медленный"))</x:f>
        <x:v>Нет спроса</x:v>
      </x:c>
      <x:c r="M2472" s="1" t="str">
        <x:f>IF('Данные'!E2472&lt;'Дашборд'!$C$53,"Мало трафика",IF(J2472&lt;'Дашборд'!$C$9*'Дашборд'!$C$54,"Да","Нет"))</x:f>
        <x:v>Мало трафика</x:v>
      </x:c>
      <x:c r="N2472" s="1" t="str">
        <x:f>IF(AND('Данные'!D2472&gt;='Дашборд'!$C$55,D2472&lt;'Дашборд'!$C$56,'Данные'!E2472&gt;='Дашборд'!$C$53,'Данные'!L2472&lt;&gt;"Да"),"Да","Нет")</x:f>
        <x:v>Нет</x:v>
      </x:c>
      <x:c r="O2472" s="1" t="str">
        <x:f>'Данные'!L2472</x:f>
        <x:v>Нет</x:v>
      </x:c>
    </x:row>
    <x:row r="2473">
      <x:c r="A2473" s="1" t="str">
        <x:f>'Данные'!A2473</x:f>
        <x:v>79926068</x:v>
      </x:c>
      <x:c r="B2473" s="1" t="str">
        <x:f>'Данные'!B2473</x:f>
        <x:v>futbolka_mary/голубой</x:v>
      </x:c>
      <x:c r="C2473" s="8" t="n">
        <x:f>'Данные'!G2473</x:f>
        <x:v>0</x:v>
      </x:c>
      <x:c r="D2473" s="15" t="n">
        <x:f>C2473/SUM($C$5:$C$2477)</x:f>
        <x:v>0</x:v>
      </x:c>
      <x:c r="E2473" s="15" t="n">
        <x:f>SUM($D$5:D2473)</x:f>
        <x:v>1.0000000000000036</x:v>
      </x:c>
      <x:c r="F2473" s="1" t="str">
        <x:f>IF(C2473&lt;=0,"C",IF(E2473-D2473&lt;'Дашборд'!$C$49,"A",IF(E2473-D2473&lt;'Дашборд'!$C$50,"B","C")))</x:f>
        <x:v>C</x:v>
      </x:c>
      <x:c r="G2473" s="8" t="n">
        <x:f>'Данные'!F2473</x:f>
        <x:v>0</x:v>
      </x:c>
      <x:c r="H2473" s="8" t="n">
        <x:f>SUM('Данные'!H2473:I2473)</x:f>
        <x:v>0</x:v>
      </x:c>
      <x:c r="I2473" s="16" t="str">
        <x:f>IF(H2473&gt;0,G2473/H2473,"n.a.")</x:f>
        <x:v>n.a.</x:v>
      </x:c>
      <x:c r="J2473" s="10" t="n">
        <x:f>IF('Данные'!E2473&gt;0,G2473/'Данные'!E2473,"n.a.")</x:f>
        <x:v>0</x:v>
      </x:c>
      <x:c r="K2473" s="1" t="str">
        <x:f>IF(G2473&gt;='Дашборд'!$C$51,"X","Z")</x:f>
        <x:v>Z</x:v>
      </x:c>
      <x:c r="L2473" s="1" t="str">
        <x:f>IF(H2473=0,IF(G2473&gt;0,"Нет остатка","Нет спроса"),IF(I2473&gt;='Дашборд'!$C$52,"Быстрый","Медленный"))</x:f>
        <x:v>Нет спроса</x:v>
      </x:c>
      <x:c r="M2473" s="1" t="str">
        <x:f>IF('Данные'!E2473&lt;'Дашборд'!$C$53,"Мало трафика",IF(J2473&lt;'Дашборд'!$C$9*'Дашборд'!$C$54,"Да","Нет"))</x:f>
        <x:v>Мало трафика</x:v>
      </x:c>
      <x:c r="N2473" s="1" t="str">
        <x:f>IF(AND('Данные'!D2473&gt;='Дашборд'!$C$55,D2473&lt;'Дашборд'!$C$56,'Данные'!E2473&gt;='Дашборд'!$C$53,'Данные'!L2473&lt;&gt;"Да"),"Да","Нет")</x:f>
        <x:v>Нет</x:v>
      </x:c>
      <x:c r="O2473" s="1" t="str">
        <x:f>'Данные'!L2473</x:f>
        <x:v>Нет</x:v>
      </x:c>
    </x:row>
    <x:row r="2474">
      <x:c r="A2474" s="1" t="str">
        <x:f>'Данные'!A2474</x:f>
        <x:v>79944797</x:v>
      </x:c>
      <x:c r="B2474" s="1" t="str">
        <x:f>'Данные'!B2474</x:f>
        <x:v>futbolka_mary/морскаяволна</x:v>
      </x:c>
      <x:c r="C2474" s="8" t="n">
        <x:f>'Данные'!G2474</x:f>
        <x:v>0</x:v>
      </x:c>
      <x:c r="D2474" s="15" t="n">
        <x:f>C2474/SUM($C$5:$C$2477)</x:f>
        <x:v>0</x:v>
      </x:c>
      <x:c r="E2474" s="15" t="n">
        <x:f>SUM($D$5:D2474)</x:f>
        <x:v>1.0000000000000036</x:v>
      </x:c>
      <x:c r="F2474" s="1" t="str">
        <x:f>IF(C2474&lt;=0,"C",IF(E2474-D2474&lt;'Дашборд'!$C$49,"A",IF(E2474-D2474&lt;'Дашборд'!$C$50,"B","C")))</x:f>
        <x:v>C</x:v>
      </x:c>
      <x:c r="G2474" s="8" t="n">
        <x:f>'Данные'!F2474</x:f>
        <x:v>0</x:v>
      </x:c>
      <x:c r="H2474" s="8" t="n">
        <x:f>SUM('Данные'!H2474:I2474)</x:f>
        <x:v>0</x:v>
      </x:c>
      <x:c r="I2474" s="16" t="str">
        <x:f>IF(H2474&gt;0,G2474/H2474,"n.a.")</x:f>
        <x:v>n.a.</x:v>
      </x:c>
      <x:c r="J2474" s="10" t="n">
        <x:f>IF('Данные'!E2474&gt;0,G2474/'Данные'!E2474,"n.a.")</x:f>
        <x:v>0</x:v>
      </x:c>
      <x:c r="K2474" s="1" t="str">
        <x:f>IF(G2474&gt;='Дашборд'!$C$51,"X","Z")</x:f>
        <x:v>Z</x:v>
      </x:c>
      <x:c r="L2474" s="1" t="str">
        <x:f>IF(H2474=0,IF(G2474&gt;0,"Нет остатка","Нет спроса"),IF(I2474&gt;='Дашборд'!$C$52,"Быстрый","Медленный"))</x:f>
        <x:v>Нет спроса</x:v>
      </x:c>
      <x:c r="M2474" s="1" t="str">
        <x:f>IF('Данные'!E2474&lt;'Дашборд'!$C$53,"Мало трафика",IF(J2474&lt;'Дашборд'!$C$9*'Дашборд'!$C$54,"Да","Нет"))</x:f>
        <x:v>Мало трафика</x:v>
      </x:c>
      <x:c r="N2474" s="1" t="str">
        <x:f>IF(AND('Данные'!D2474&gt;='Дашборд'!$C$55,D2474&lt;'Дашборд'!$C$56,'Данные'!E2474&gt;='Дашборд'!$C$53,'Данные'!L2474&lt;&gt;"Да"),"Да","Нет")</x:f>
        <x:v>Нет</x:v>
      </x:c>
      <x:c r="O2474" s="1" t="str">
        <x:f>'Данные'!L2474</x:f>
        <x:v>Нет</x:v>
      </x:c>
    </x:row>
    <x:row r="2475">
      <x:c r="A2475" s="1" t="str">
        <x:f>'Данные'!A2475</x:f>
        <x:v>80096466</x:v>
      </x:c>
      <x:c r="B2475" s="1" t="str">
        <x:f>'Данные'!B2475</x:f>
        <x:v>longslivdlinna/молочный</x:v>
      </x:c>
      <x:c r="C2475" s="8" t="n">
        <x:f>'Данные'!G2475</x:f>
        <x:v>0</x:v>
      </x:c>
      <x:c r="D2475" s="15" t="n">
        <x:f>C2475/SUM($C$5:$C$2477)</x:f>
        <x:v>0</x:v>
      </x:c>
      <x:c r="E2475" s="15" t="n">
        <x:f>SUM($D$5:D2475)</x:f>
        <x:v>1.0000000000000036</x:v>
      </x:c>
      <x:c r="F2475" s="1" t="str">
        <x:f>IF(C2475&lt;=0,"C",IF(E2475-D2475&lt;'Дашборд'!$C$49,"A",IF(E2475-D2475&lt;'Дашборд'!$C$50,"B","C")))</x:f>
        <x:v>C</x:v>
      </x:c>
      <x:c r="G2475" s="8" t="n">
        <x:f>'Данные'!F2475</x:f>
        <x:v>0</x:v>
      </x:c>
      <x:c r="H2475" s="8" t="n">
        <x:f>SUM('Данные'!H2475:I2475)</x:f>
        <x:v>0</x:v>
      </x:c>
      <x:c r="I2475" s="16" t="str">
        <x:f>IF(H2475&gt;0,G2475/H2475,"n.a.")</x:f>
        <x:v>n.a.</x:v>
      </x:c>
      <x:c r="J2475" s="10" t="n">
        <x:f>IF('Данные'!E2475&gt;0,G2475/'Данные'!E2475,"n.a.")</x:f>
        <x:v>0</x:v>
      </x:c>
      <x:c r="K2475" s="1" t="str">
        <x:f>IF(G2475&gt;='Дашборд'!$C$51,"X","Z")</x:f>
        <x:v>Z</x:v>
      </x:c>
      <x:c r="L2475" s="1" t="str">
        <x:f>IF(H2475=0,IF(G2475&gt;0,"Нет остатка","Нет спроса"),IF(I2475&gt;='Дашборд'!$C$52,"Быстрый","Медленный"))</x:f>
        <x:v>Нет спроса</x:v>
      </x:c>
      <x:c r="M2475" s="1" t="str">
        <x:f>IF('Данные'!E2475&lt;'Дашборд'!$C$53,"Мало трафика",IF(J2475&lt;'Дашборд'!$C$9*'Дашборд'!$C$54,"Да","Нет"))</x:f>
        <x:v>Мало трафика</x:v>
      </x:c>
      <x:c r="N2475" s="1" t="str">
        <x:f>IF(AND('Данные'!D2475&gt;='Дашборд'!$C$55,D2475&lt;'Дашборд'!$C$56,'Данные'!E2475&gt;='Дашборд'!$C$53,'Данные'!L2475&lt;&gt;"Да"),"Да","Нет")</x:f>
        <x:v>Нет</x:v>
      </x:c>
      <x:c r="O2475" s="1" t="str">
        <x:f>'Данные'!L2475</x:f>
        <x:v>Нет</x:v>
      </x:c>
    </x:row>
    <x:row r="2476">
      <x:c r="A2476" s="1" t="str">
        <x:f>'Данные'!A2476</x:f>
        <x:v>88805527</x:v>
      </x:c>
      <x:c r="B2476" s="1" t="str">
        <x:f>'Данные'!B2476</x:f>
        <x:v>futbolka/салатовый</x:v>
      </x:c>
      <x:c r="C2476" s="8" t="n">
        <x:f>'Данные'!G2476</x:f>
        <x:v>0</x:v>
      </x:c>
      <x:c r="D2476" s="15" t="n">
        <x:f>C2476/SUM($C$5:$C$2477)</x:f>
        <x:v>0</x:v>
      </x:c>
      <x:c r="E2476" s="15" t="n">
        <x:f>SUM($D$5:D2476)</x:f>
        <x:v>1.0000000000000036</x:v>
      </x:c>
      <x:c r="F2476" s="1" t="str">
        <x:f>IF(C2476&lt;=0,"C",IF(E2476-D2476&lt;'Дашборд'!$C$49,"A",IF(E2476-D2476&lt;'Дашборд'!$C$50,"B","C")))</x:f>
        <x:v>C</x:v>
      </x:c>
      <x:c r="G2476" s="8" t="n">
        <x:f>'Данные'!F2476</x:f>
        <x:v>0</x:v>
      </x:c>
      <x:c r="H2476" s="8" t="n">
        <x:f>SUM('Данные'!H2476:I2476)</x:f>
        <x:v>0</x:v>
      </x:c>
      <x:c r="I2476" s="16" t="str">
        <x:f>IF(H2476&gt;0,G2476/H2476,"n.a.")</x:f>
        <x:v>n.a.</x:v>
      </x:c>
      <x:c r="J2476" s="10" t="n">
        <x:f>IF('Данные'!E2476&gt;0,G2476/'Данные'!E2476,"n.a.")</x:f>
        <x:v>0</x:v>
      </x:c>
      <x:c r="K2476" s="1" t="str">
        <x:f>IF(G2476&gt;='Дашборд'!$C$51,"X","Z")</x:f>
        <x:v>Z</x:v>
      </x:c>
      <x:c r="L2476" s="1" t="str">
        <x:f>IF(H2476=0,IF(G2476&gt;0,"Нет остатка","Нет спроса"),IF(I2476&gt;='Дашборд'!$C$52,"Быстрый","Медленный"))</x:f>
        <x:v>Нет спроса</x:v>
      </x:c>
      <x:c r="M2476" s="1" t="str">
        <x:f>IF('Данные'!E2476&lt;'Дашборд'!$C$53,"Мало трафика",IF(J2476&lt;'Дашборд'!$C$9*'Дашборд'!$C$54,"Да","Нет"))</x:f>
        <x:v>Мало трафика</x:v>
      </x:c>
      <x:c r="N2476" s="1" t="str">
        <x:f>IF(AND('Данные'!D2476&gt;='Дашборд'!$C$55,D2476&lt;'Дашборд'!$C$56,'Данные'!E2476&gt;='Дашборд'!$C$53,'Данные'!L2476&lt;&gt;"Да"),"Да","Нет")</x:f>
        <x:v>Нет</x:v>
      </x:c>
      <x:c r="O2476" s="1" t="str">
        <x:f>'Данные'!L2476</x:f>
        <x:v>Нет</x:v>
      </x:c>
    </x:row>
    <x:row r="2477">
      <x:c r="A2477" s="1" t="str">
        <x:f>'Данные'!A2477</x:f>
        <x:v>88805849</x:v>
      </x:c>
      <x:c r="B2477" s="1" t="str">
        <x:f>'Данные'!B2477</x:f>
        <x:v>futbolka_mary/салатовый</x:v>
      </x:c>
      <x:c r="C2477" s="8" t="n">
        <x:f>'Данные'!G2477</x:f>
        <x:v>0</x:v>
      </x:c>
      <x:c r="D2477" s="15" t="n">
        <x:f>C2477/SUM($C$5:$C$2477)</x:f>
        <x:v>0</x:v>
      </x:c>
      <x:c r="E2477" s="15" t="n">
        <x:f>SUM($D$5:D2477)</x:f>
        <x:v>1.0000000000000036</x:v>
      </x:c>
      <x:c r="F2477" s="1" t="str">
        <x:f>IF(C2477&lt;=0,"C",IF(E2477-D2477&lt;'Дашборд'!$C$49,"A",IF(E2477-D2477&lt;'Дашборд'!$C$50,"B","C")))</x:f>
        <x:v>C</x:v>
      </x:c>
      <x:c r="G2477" s="8" t="n">
        <x:f>'Данные'!F2477</x:f>
        <x:v>0</x:v>
      </x:c>
      <x:c r="H2477" s="8" t="n">
        <x:f>SUM('Данные'!H2477:I2477)</x:f>
        <x:v>0</x:v>
      </x:c>
      <x:c r="I2477" s="16" t="str">
        <x:f>IF(H2477&gt;0,G2477/H2477,"n.a.")</x:f>
        <x:v>n.a.</x:v>
      </x:c>
      <x:c r="J2477" s="10" t="n">
        <x:f>IF('Данные'!E2477&gt;0,G2477/'Данные'!E2477,"n.a.")</x:f>
        <x:v>0</x:v>
      </x:c>
      <x:c r="K2477" s="1" t="str">
        <x:f>IF(G2477&gt;='Дашборд'!$C$51,"X","Z")</x:f>
        <x:v>Z</x:v>
      </x:c>
      <x:c r="L2477" s="1" t="str">
        <x:f>IF(H2477=0,IF(G2477&gt;0,"Нет остатка","Нет спроса"),IF(I2477&gt;='Дашборд'!$C$52,"Быстрый","Медленный"))</x:f>
        <x:v>Нет спроса</x:v>
      </x:c>
      <x:c r="M2477" s="1" t="str">
        <x:f>IF('Данные'!E2477&lt;'Дашборд'!$C$53,"Мало трафика",IF(J2477&lt;'Дашборд'!$C$9*'Дашборд'!$C$54,"Да","Нет"))</x:f>
        <x:v>Мало трафика</x:v>
      </x:c>
      <x:c r="N2477" s="1" t="str">
        <x:f>IF(AND('Данные'!D2477&gt;='Дашборд'!$C$55,D2477&lt;'Дашборд'!$C$56,'Данные'!E2477&gt;='Дашборд'!$C$53,'Данные'!L2477&lt;&gt;"Да"),"Да","Нет")</x:f>
        <x:v>Нет</x:v>
      </x:c>
      <x:c r="O2477" s="1" t="str">
        <x:f>'Данные'!L2477</x:f>
        <x:v>Нет</x:v>
      </x:c>
    </x:row>
    <x:row r="2478">
      <x:c r="A2478" s="1"/>
      <x:c r="B2478" s="1"/>
      <x:c r="C2478" s="1"/>
      <x:c r="D2478" s="1"/>
      <x:c r="E2478" s="1"/>
      <x:c r="F2478" s="1"/>
      <x:c r="G2478" s="1"/>
      <x:c r="H2478" s="1"/>
      <x:c r="I2478" s="1"/>
      <x:c r="J2478" s="1"/>
      <x:c r="K2478" s="1"/>
      <x:c r="L2478" s="1"/>
      <x:c r="M2478" s="1"/>
      <x:c r="N2478" s="1"/>
      <x:c r="O2478" s="1"/>
    </x:row>
  </x:sheetData>
  <x:conditionalFormatting sqref="M5:M2477">
    <x:cfRule type="containsText" dxfId="0" priority="1" operator="containsText" text="Да"/>
  </x:conditionalFormatting>
  <x:pageMargins left="0.7" right="0.7" top="0.75" bottom="0.75" header="0.3" footer="0.3"/>
  <x:tableParts count="1">
    <x:tablePart xmlns:r="http://schemas.openxmlformats.org/officeDocument/2006/relationships" r:id="Rcf40b0c59481462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0" hidden="0" customWidth="1"/>
    <x:col min="3" max="3" width="20" hidden="0" customWidth="1"/>
    <x:col min="4" max="4" width="20" hidden="0" customWidth="1"/>
    <x:col min="5" max="5" width="23" hidden="0" customWidth="1"/>
    <x:col min="6" max="6" width="26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Прогноз заказов на май 2025: TOP10 апреля</x:v>
      </x:c>
      <x:c r="B2" s="1"/>
      <x:c r="C2" s="1"/>
      <x:c r="D2" s="1"/>
      <x:c r="E2" s="1"/>
      <x:c r="F2" s="1"/>
    </x:row>
    <x:row r="3">
      <x:c r="A3" s="1" t="str">
        <x:v>MA2 = среднее двух месячных объёмов, округление вверх. Разная длина месяцев и сезонность не корректируются.</x:v>
      </x:c>
      <x:c r="B3" s="1"/>
      <x:c r="C3" s="1"/>
      <x:c r="D3" s="1"/>
      <x:c r="E3" s="1"/>
      <x:c r="F3" s="1"/>
    </x:row>
    <x:row r="4" ht="40" customHeight="1">
      <x:c r="A4" s="7" t="str">
        <x:v>Артикул WB</x:v>
      </x:c>
      <x:c r="B4" s="7" t="str">
        <x:v>Артикул ЦМ</x:v>
      </x:c>
      <x:c r="C4" s="7" t="str">
        <x:v>Март, шт</x:v>
      </x:c>
      <x:c r="D4" s="7" t="str">
        <x:v>Апрель, шт</x:v>
      </x:c>
      <x:c r="E4" s="7" t="str">
        <x:v>Май MA2, шт</x:v>
      </x:c>
      <x:c r="F4" s="7" t="str">
        <x:v>Выкупы апрель, ₽</x:v>
      </x:c>
    </x:row>
    <x:row r="5">
      <x:c r="A5" s="1" t="str">
        <x:f>'Данные'!A5</x:f>
        <x:v>165757789</x:v>
      </x:c>
      <x:c r="B5" s="1" t="str">
        <x:f>'Данные'!B5</x:f>
        <x:v>kulirkaman/черный</x:v>
      </x:c>
      <x:c r="C5" s="8" t="n">
        <x:f>IF(ISNUMBER('Данные'!J5),'Данные'!J5,"n.a.")</x:f>
        <x:v>17633</x:v>
      </x:c>
      <x:c r="D5" s="8" t="n">
        <x:f>'Данные'!F5</x:f>
        <x:v>27371</x:v>
      </x:c>
      <x:c r="E5" s="8" t="n">
        <x:f>IF(ISNUMBER(C5),ROUNDUP(AVERAGE(C5:D5),0),"n.a.")</x:f>
        <x:v>22502</x:v>
      </x:c>
      <x:c r="F5" s="8" t="n">
        <x:f>'Данные'!G5</x:f>
        <x:v>16596780</x:v>
      </x:c>
    </x:row>
    <x:row r="6">
      <x:c r="A6" s="1" t="str">
        <x:f>'Данные'!A6</x:f>
        <x:v>165757798</x:v>
      </x:c>
      <x:c r="B6" s="1" t="str">
        <x:f>'Данные'!B6</x:f>
        <x:v>kulirkaman/белый</x:v>
      </x:c>
      <x:c r="C6" s="8" t="n">
        <x:f>IF(ISNUMBER('Данные'!J6),'Данные'!J6,"n.a.")</x:f>
        <x:v>19446</x:v>
      </x:c>
      <x:c r="D6" s="8" t="n">
        <x:f>'Данные'!F6</x:f>
        <x:v>23689</x:v>
      </x:c>
      <x:c r="E6" s="8" t="n">
        <x:f>IF(ISNUMBER(C6),ROUNDUP(AVERAGE(C6:D6),0),"n.a.")</x:f>
        <x:v>21568</x:v>
      </x:c>
      <x:c r="F6" s="8" t="n">
        <x:f>'Данные'!G6</x:f>
        <x:v>13873240</x:v>
      </x:c>
    </x:row>
    <x:row r="7">
      <x:c r="A7" s="1" t="str">
        <x:f>'Данные'!A7</x:f>
        <x:v>221519619</x:v>
      </x:c>
      <x:c r="B7" s="1" t="str">
        <x:f>'Данные'!B7</x:f>
        <x:v>futbolkaover/розовый</x:v>
      </x:c>
      <x:c r="C7" s="8" t="n">
        <x:f>IF(ISNUMBER('Данные'!J7),'Данные'!J7,"n.a.")</x:f>
        <x:v>15600</x:v>
      </x:c>
      <x:c r="D7" s="8" t="n">
        <x:f>'Данные'!F7</x:f>
        <x:v>22931</x:v>
      </x:c>
      <x:c r="E7" s="8" t="n">
        <x:f>IF(ISNUMBER(C7),ROUNDUP(AVERAGE(C7:D7),0),"n.a.")</x:f>
        <x:v>19266</x:v>
      </x:c>
      <x:c r="F7" s="8" t="n">
        <x:f>'Данные'!G7</x:f>
        <x:v>13477107</x:v>
      </x:c>
    </x:row>
    <x:row r="8">
      <x:c r="A8" s="1" t="str">
        <x:f>'Данные'!A8</x:f>
        <x:v>30926516</x:v>
      </x:c>
      <x:c r="B8" s="1" t="str">
        <x:f>'Данные'!B8</x:f>
        <x:v>futbolkaover/черный</x:v>
      </x:c>
      <x:c r="C8" s="8" t="n">
        <x:f>IF(ISNUMBER('Данные'!J8),'Данные'!J8,"n.a.")</x:f>
        <x:v>16246</x:v>
      </x:c>
      <x:c r="D8" s="8" t="n">
        <x:f>'Данные'!F8</x:f>
        <x:v>25808</x:v>
      </x:c>
      <x:c r="E8" s="8" t="n">
        <x:f>IF(ISNUMBER(C8),ROUNDUP(AVERAGE(C8:D8),0),"n.a.")</x:f>
        <x:v>21027</x:v>
      </x:c>
      <x:c r="F8" s="8" t="n">
        <x:f>'Данные'!G8</x:f>
        <x:v>12719821</x:v>
      </x:c>
    </x:row>
    <x:row r="9">
      <x:c r="A9" s="1" t="str">
        <x:f>'Данные'!A9</x:f>
        <x:v>29360157</x:v>
      </x:c>
      <x:c r="B9" s="1" t="str">
        <x:f>'Данные'!B9</x:f>
        <x:v>futbolkaover/белый</x:v>
      </x:c>
      <x:c r="C9" s="8" t="n">
        <x:f>IF(ISNUMBER('Данные'!J9),'Данные'!J9,"n.a.")</x:f>
        <x:v>16533</x:v>
      </x:c>
      <x:c r="D9" s="8" t="n">
        <x:f>'Данные'!F9</x:f>
        <x:v>20712</x:v>
      </x:c>
      <x:c r="E9" s="8" t="n">
        <x:f>IF(ISNUMBER(C9),ROUNDUP(AVERAGE(C9:D9),0),"n.a.")</x:f>
        <x:v>18623</x:v>
      </x:c>
      <x:c r="F9" s="8" t="n">
        <x:f>'Данные'!G9</x:f>
        <x:v>11016644</x:v>
      </x:c>
    </x:row>
    <x:row r="10">
      <x:c r="A10" s="1" t="str">
        <x:f>'Данные'!A10</x:f>
        <x:v>221519598</x:v>
      </x:c>
      <x:c r="B10" s="1" t="str">
        <x:f>'Данные'!B10</x:f>
        <x:v>longover/розовый</x:v>
      </x:c>
      <x:c r="C10" s="8" t="n">
        <x:f>IF(ISNUMBER('Данные'!J10),'Данные'!J10,"n.a.")</x:f>
        <x:v>14634</x:v>
      </x:c>
      <x:c r="D10" s="8" t="n">
        <x:f>'Данные'!F10</x:f>
        <x:v>16719</x:v>
      </x:c>
      <x:c r="E10" s="8" t="n">
        <x:f>IF(ISNUMBER(C10),ROUNDUP(AVERAGE(C10:D10),0),"n.a.")</x:f>
        <x:v>15677</x:v>
      </x:c>
      <x:c r="F10" s="8" t="n">
        <x:f>'Данные'!G10</x:f>
        <x:v>10113899</x:v>
      </x:c>
    </x:row>
    <x:row r="11">
      <x:c r="A11" s="1" t="str">
        <x:f>'Данные'!A11</x:f>
        <x:v>323180742</x:v>
      </x:c>
      <x:c r="B11" s="1" t="str">
        <x:f>'Данные'!B11</x:f>
        <x:v>futskims3K-102/черный</x:v>
      </x:c>
      <x:c r="C11" s="8" t="n">
        <x:f>IF(ISNUMBER('Данные'!J11),'Данные'!J11,"n.a.")</x:f>
        <x:v>5109</x:v>
      </x:c>
      <x:c r="D11" s="8" t="n">
        <x:f>'Данные'!F11</x:f>
        <x:v>16706</x:v>
      </x:c>
      <x:c r="E11" s="8" t="n">
        <x:f>IF(ISNUMBER(C11),ROUNDUP(AVERAGE(C11:D11),0),"n.a.")</x:f>
        <x:v>10908</x:v>
      </x:c>
      <x:c r="F11" s="8" t="n">
        <x:f>'Данные'!G11</x:f>
        <x:v>9594388</x:v>
      </x:c>
    </x:row>
    <x:row r="12">
      <x:c r="A12" s="1" t="str">
        <x:f>'Данные'!A12</x:f>
        <x:v>314823259</x:v>
      </x:c>
      <x:c r="B12" s="1" t="str">
        <x:f>'Данные'!B12</x:f>
        <x:v>futbolkaprint/27в-259/бордовый</x:v>
      </x:c>
      <x:c r="C12" s="8" t="n">
        <x:f>IF(ISNUMBER('Данные'!J12),'Данные'!J12,"n.a.")</x:f>
        <x:v>2096</x:v>
      </x:c>
      <x:c r="D12" s="8" t="n">
        <x:f>'Данные'!F12</x:f>
        <x:v>13695</x:v>
      </x:c>
      <x:c r="E12" s="8" t="n">
        <x:f>IF(ISNUMBER(C12),ROUNDUP(AVERAGE(C12:D12),0),"n.a.")</x:f>
        <x:v>7896</x:v>
      </x:c>
      <x:c r="F12" s="8" t="n">
        <x:f>'Данные'!G12</x:f>
        <x:v>8995154</x:v>
      </x:c>
    </x:row>
    <x:row r="13">
      <x:c r="A13" s="1" t="str">
        <x:f>'Данные'!A13</x:f>
        <x:v>15445452</x:v>
      </x:c>
      <x:c r="B13" s="1" t="str">
        <x:f>'Данные'!B13</x:f>
        <x:v>hudi/черный</x:v>
      </x:c>
      <x:c r="C13" s="8" t="n">
        <x:f>IF(ISNUMBER('Данные'!J13),'Данные'!J13,"n.a.")</x:f>
        <x:v>11265</x:v>
      </x:c>
      <x:c r="D13" s="8" t="n">
        <x:f>'Данные'!F13</x:f>
        <x:v>8706</x:v>
      </x:c>
      <x:c r="E13" s="8" t="n">
        <x:f>IF(ISNUMBER(C13),ROUNDUP(AVERAGE(C13:D13),0),"n.a.")</x:f>
        <x:v>9986</x:v>
      </x:c>
      <x:c r="F13" s="8" t="n">
        <x:f>'Данные'!G13</x:f>
        <x:v>8984765</x:v>
      </x:c>
    </x:row>
    <x:row r="14">
      <x:c r="A14" s="1" t="str">
        <x:f>'Данные'!A14</x:f>
        <x:v>35236713</x:v>
      </x:c>
      <x:c r="B14" s="1" t="str">
        <x:f>'Данные'!B14</x:f>
        <x:v>futbolkaover/молочный</x:v>
      </x:c>
      <x:c r="C14" s="8" t="n">
        <x:f>IF(ISNUMBER('Данные'!J14),'Данные'!J14,"n.a.")</x:f>
        <x:v>16187</x:v>
      </x:c>
      <x:c r="D14" s="8" t="n">
        <x:f>'Данные'!F14</x:f>
        <x:v>18868</x:v>
      </x:c>
      <x:c r="E14" s="8" t="n">
        <x:f>IF(ISNUMBER(C14),ROUNDUP(AVERAGE(C14:D14),0),"n.a.")</x:f>
        <x:v>17528</x:v>
      </x:c>
      <x:c r="F14" s="8" t="n">
        <x:f>'Данные'!G14</x:f>
        <x:v>8885363</x:v>
      </x:c>
    </x:row>
    <x:row r="15">
      <x:c r="A15" s="1"/>
      <x:c r="B15" s="1"/>
      <x:c r="C15" s="8"/>
      <x:c r="D15" s="8"/>
      <x:c r="E15" s="8"/>
      <x:c r="F15" s="8"/>
    </x:row>
    <x:row r="16">
      <x:c r="A16" s="1"/>
      <x:c r="B16" s="1" t="str">
        <x:v>Всего</x:v>
      </x:c>
      <x:c r="C16" s="8"/>
      <x:c r="D16" s="8"/>
      <x:c r="E16" s="8" t="n">
        <x:f>SUM(E5:E14)</x:f>
        <x:v>164981</x:v>
      </x:c>
      <x:c r="F16" s="8"/>
    </x:row>
    <x:row r="17">
      <x:c r="A17" s="1"/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 t="str">
        <x:v>WAPE MA2 на прошлых месяцах</x:v>
      </x:c>
      <x:c r="B19" s="1"/>
      <x:c r="C19" s="15" t="n">
        <x:f>'Проверка прогноза'!L15</x:f>
        <x:v>0.4502503597261253</x:v>
      </x:c>
      <x:c r="D19" s="1"/>
      <x:c r="E19" s="1"/>
      <x:c r="F19" s="1"/>
    </x:row>
    <x:row r="20">
      <x:c r="A20" s="1" t="str">
        <x:v>WAPE наивного прогноза</x:v>
      </x:c>
      <x:c r="B20" s="1"/>
      <x:c r="C20" s="15" t="n">
        <x:f>'Проверка прогноза'!M15</x:f>
        <x:v>0.3765982462747825</x:v>
      </x:c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 t="str">
        <x:v>MA2 отстаёт при росте спроса. Для закупок сравнить с наивным прогнозом; майский факт отсутствует.</x:v>
      </x:c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  <x:row r="41">
      <x:c r="A41" s="1"/>
      <x:c r="B41" s="1"/>
      <x:c r="C41" s="1"/>
      <x:c r="D41" s="1"/>
      <x:c r="E41" s="1"/>
      <x:c r="F41" s="1"/>
    </x:row>
    <x:row r="42">
      <x:c r="A42" s="1"/>
      <x:c r="B42" s="1"/>
      <x:c r="C42" s="1"/>
      <x:c r="D42" s="1"/>
      <x:c r="E42" s="1"/>
      <x:c r="F42" s="1"/>
    </x:row>
    <x:row r="43">
      <x:c r="A43" s="1"/>
      <x:c r="B43" s="1"/>
      <x:c r="C43" s="1"/>
      <x:c r="D43" s="1"/>
      <x:c r="E43" s="1"/>
      <x:c r="F43" s="1"/>
    </x:row>
    <x:row r="44">
      <x:c r="A44" s="1"/>
      <x:c r="B44" s="1"/>
      <x:c r="C44" s="1"/>
      <x:c r="D44" s="1"/>
      <x:c r="E44" s="1"/>
      <x:c r="F44" s="1"/>
    </x:row>
    <x:row r="45">
      <x:c r="A45" s="1"/>
      <x:c r="B45" s="1"/>
      <x:c r="C45" s="1"/>
      <x:c r="D45" s="1"/>
      <x:c r="E45" s="1"/>
      <x:c r="F45" s="1"/>
    </x:row>
    <x:row r="46">
      <x:c r="A46" s="1"/>
      <x:c r="B46" s="1"/>
      <x:c r="C46" s="1"/>
      <x:c r="D46" s="1"/>
      <x:c r="E46" s="1"/>
      <x:c r="F46" s="1"/>
    </x:row>
    <x:row r="47">
      <x:c r="A47" s="1"/>
      <x:c r="B47" s="1"/>
      <x:c r="C47" s="1"/>
      <x:c r="D47" s="1"/>
      <x:c r="E47" s="1"/>
      <x:c r="F47" s="1"/>
    </x:row>
    <x:row r="48">
      <x:c r="A48" s="1"/>
      <x:c r="B48" s="1"/>
      <x:c r="C48" s="1"/>
      <x:c r="D48" s="1"/>
      <x:c r="E48" s="1"/>
      <x:c r="F48" s="1"/>
    </x:row>
    <x:row r="49">
      <x:c r="A49" s="1"/>
      <x:c r="B49" s="1"/>
      <x:c r="C49" s="1"/>
      <x:c r="D49" s="1"/>
      <x:c r="E49" s="1"/>
      <x:c r="F49" s="1"/>
    </x:row>
    <x:row r="50">
      <x:c r="A50" s="1"/>
      <x:c r="B50" s="1"/>
      <x:c r="C50" s="1"/>
      <x:c r="D50" s="1"/>
      <x:c r="E50" s="1"/>
      <x:c r="F50" s="1"/>
    </x:row>
    <x:row r="51">
      <x:c r="A51" s="1"/>
      <x:c r="B51" s="1"/>
      <x:c r="C51" s="1"/>
      <x:c r="D51" s="1"/>
      <x:c r="E51" s="1"/>
      <x:c r="F51" s="1"/>
    </x:row>
    <x:row r="52">
      <x:c r="A52" s="1"/>
      <x:c r="B52" s="1"/>
      <x:c r="C52" s="1"/>
      <x:c r="D52" s="1"/>
      <x:c r="E52" s="1"/>
      <x:c r="F52" s="1"/>
    </x:row>
    <x:row r="53">
      <x:c r="A53" s="1"/>
      <x:c r="B53" s="1"/>
      <x:c r="C53" s="1"/>
      <x:c r="D53" s="1"/>
      <x:c r="E53" s="1"/>
      <x:c r="F53" s="1"/>
    </x:row>
    <x:row r="54">
      <x:c r="A54" s="1"/>
      <x:c r="B54" s="1"/>
      <x:c r="C54" s="1"/>
      <x:c r="D54" s="1"/>
      <x:c r="E54" s="1"/>
      <x:c r="F54" s="1"/>
    </x:row>
    <x:row r="55">
      <x:c r="A55" s="1"/>
      <x:c r="B55" s="1"/>
      <x:c r="C55" s="1"/>
      <x:c r="D55" s="1"/>
      <x:c r="E55" s="1"/>
      <x:c r="F55" s="1"/>
    </x:row>
    <x:row r="56">
      <x:c r="A56" s="1"/>
      <x:c r="B56" s="1"/>
      <x:c r="C56" s="1"/>
      <x:c r="D56" s="1"/>
      <x:c r="E56" s="1"/>
      <x:c r="F56" s="1"/>
    </x:row>
    <x:row r="57">
      <x:c r="A57" s="1"/>
      <x:c r="B57" s="1"/>
      <x:c r="C57" s="1"/>
      <x:c r="D57" s="1"/>
      <x:c r="E57" s="1"/>
      <x:c r="F57" s="1"/>
    </x:row>
    <x:row r="58">
      <x:c r="A58" s="1"/>
      <x:c r="B58" s="1"/>
      <x:c r="C58" s="1"/>
      <x:c r="D58" s="1"/>
      <x:c r="E58" s="1"/>
      <x:c r="F58" s="1"/>
    </x:row>
    <x:row r="59">
      <x:c r="A59" s="1"/>
      <x:c r="B59" s="1"/>
      <x:c r="C59" s="1"/>
      <x:c r="D59" s="1"/>
      <x:c r="E59" s="1"/>
      <x:c r="F59" s="1"/>
    </x:row>
    <x:row r="60">
      <x:c r="A60" s="1"/>
      <x:c r="B60" s="1"/>
      <x:c r="C60" s="1"/>
      <x:c r="D60" s="1"/>
      <x:c r="E60" s="1"/>
      <x:c r="F60" s="1"/>
    </x:row>
    <x:row r="61">
      <x:c r="A61" s="1"/>
      <x:c r="B61" s="1"/>
      <x:c r="C61" s="1"/>
      <x:c r="D61" s="1"/>
      <x:c r="E61" s="1"/>
      <x:c r="F61" s="1"/>
    </x:row>
    <x:row r="62">
      <x:c r="A62" s="1"/>
      <x:c r="B62" s="1"/>
      <x:c r="C62" s="1"/>
      <x:c r="D62" s="1"/>
      <x:c r="E62" s="1"/>
      <x:c r="F62" s="1"/>
    </x:row>
    <x:row r="63">
      <x:c r="A63" s="1"/>
      <x:c r="B63" s="1"/>
      <x:c r="C63" s="1"/>
      <x:c r="D63" s="1"/>
      <x:c r="E63" s="1"/>
      <x:c r="F63" s="1"/>
    </x:row>
    <x:row r="64">
      <x:c r="A64" s="1"/>
      <x:c r="B64" s="1"/>
      <x:c r="C64" s="1"/>
      <x:c r="D64" s="1"/>
      <x:c r="E64" s="1"/>
      <x:c r="F64" s="1"/>
    </x:row>
    <x:row r="65">
      <x:c r="A65" s="1"/>
      <x:c r="B65" s="1"/>
      <x:c r="C65" s="1"/>
      <x:c r="D65" s="1"/>
      <x:c r="E65" s="1"/>
      <x:c r="F65" s="1"/>
    </x:row>
    <x:row r="66">
      <x:c r="A66" s="1"/>
      <x:c r="B66" s="1"/>
      <x:c r="C66" s="1"/>
      <x:c r="D66" s="1"/>
      <x:c r="E66" s="1"/>
      <x:c r="F66" s="1"/>
    </x:row>
    <x:row r="67">
      <x:c r="A67" s="1"/>
      <x:c r="B67" s="1"/>
      <x:c r="C67" s="1"/>
      <x:c r="D67" s="1"/>
      <x:c r="E67" s="1"/>
      <x:c r="F67" s="1"/>
    </x:row>
    <x:row r="68">
      <x:c r="A68" s="1"/>
      <x:c r="B68" s="1"/>
      <x:c r="C68" s="1"/>
      <x:c r="D68" s="1"/>
      <x:c r="E68" s="1"/>
      <x:c r="F68" s="1"/>
    </x:row>
    <x:row r="69">
      <x:c r="A69" s="1"/>
      <x:c r="B69" s="1"/>
      <x:c r="C69" s="1"/>
      <x:c r="D69" s="1"/>
      <x:c r="E69" s="1"/>
      <x:c r="F69" s="1"/>
    </x:row>
    <x:row r="70">
      <x:c r="A70" s="1"/>
      <x:c r="B70" s="1"/>
      <x:c r="C70" s="1"/>
      <x:c r="D70" s="1"/>
      <x:c r="E70" s="1"/>
      <x:c r="F70" s="1"/>
    </x:row>
    <x:row r="71">
      <x:c r="A71" s="1"/>
      <x:c r="B71" s="1"/>
      <x:c r="C71" s="1"/>
      <x:c r="D71" s="1"/>
      <x:c r="E71" s="1"/>
      <x:c r="F71" s="1"/>
    </x:row>
    <x:row r="72">
      <x:c r="A72" s="1"/>
      <x:c r="B72" s="1"/>
      <x:c r="C72" s="1"/>
      <x:c r="D72" s="1"/>
      <x:c r="E72" s="1"/>
      <x:c r="F72" s="1"/>
    </x:row>
    <x:row r="73">
      <x:c r="A73" s="1"/>
      <x:c r="B73" s="1"/>
      <x:c r="C73" s="1"/>
      <x:c r="D73" s="1"/>
      <x:c r="E73" s="1"/>
      <x:c r="F73" s="1"/>
    </x:row>
    <x:row r="74">
      <x:c r="A74" s="1"/>
      <x:c r="B74" s="1"/>
      <x:c r="C74" s="1"/>
      <x:c r="D74" s="1"/>
      <x:c r="E74" s="1"/>
      <x:c r="F74" s="1"/>
    </x:row>
    <x:row r="75">
      <x:c r="A75" s="1"/>
      <x:c r="B75" s="1"/>
      <x:c r="C75" s="1"/>
      <x:c r="D75" s="1"/>
      <x:c r="E75" s="1"/>
      <x:c r="F75" s="1"/>
    </x:row>
    <x:row r="76">
      <x:c r="A76" s="1"/>
      <x:c r="B76" s="1"/>
      <x:c r="C76" s="1"/>
      <x:c r="D76" s="1"/>
      <x:c r="E76" s="1"/>
      <x:c r="F76" s="1"/>
    </x:row>
    <x:row r="77">
      <x:c r="A77" s="1"/>
      <x:c r="B77" s="1"/>
      <x:c r="C77" s="1"/>
      <x:c r="D77" s="1"/>
      <x:c r="E77" s="1"/>
      <x:c r="F77" s="1"/>
    </x:row>
    <x:row r="78">
      <x:c r="A78" s="1"/>
      <x:c r="B78" s="1"/>
      <x:c r="C78" s="1"/>
      <x:c r="D78" s="1"/>
      <x:c r="E78" s="1"/>
      <x:c r="F78" s="1"/>
    </x:row>
    <x:row r="79">
      <x:c r="A79" s="1"/>
      <x:c r="B79" s="1"/>
      <x:c r="C79" s="1"/>
      <x:c r="D79" s="1"/>
      <x:c r="E79" s="1"/>
      <x:c r="F79" s="1"/>
    </x:row>
    <x:row r="80">
      <x:c r="A80" s="1"/>
      <x:c r="B80" s="1"/>
      <x:c r="C80" s="1"/>
      <x:c r="D80" s="1"/>
      <x:c r="E80" s="1"/>
      <x:c r="F80" s="1"/>
    </x:row>
    <x:row r="81">
      <x:c r="A81" s="1"/>
      <x:c r="B81" s="1"/>
      <x:c r="C81" s="1"/>
      <x:c r="D81" s="1"/>
      <x:c r="E81" s="1"/>
      <x:c r="F81" s="1"/>
    </x:row>
    <x:row r="82">
      <x:c r="A82" s="1"/>
      <x:c r="B82" s="1"/>
      <x:c r="C82" s="1"/>
      <x:c r="D82" s="1"/>
      <x:c r="E82" s="1"/>
      <x:c r="F82" s="1"/>
    </x:row>
    <x:row r="83">
      <x:c r="A83" s="1"/>
      <x:c r="B83" s="1"/>
      <x:c r="C83" s="1"/>
      <x:c r="D83" s="1"/>
      <x:c r="E83" s="1"/>
      <x:c r="F83" s="1"/>
    </x:row>
    <x:row r="84">
      <x:c r="A84" s="1"/>
      <x:c r="B84" s="1"/>
      <x:c r="C84" s="1"/>
      <x:c r="D84" s="1"/>
      <x:c r="E84" s="1"/>
      <x:c r="F84" s="1"/>
    </x:row>
    <x:row r="85">
      <x:c r="A85" s="1"/>
      <x:c r="B85" s="1"/>
      <x:c r="C85" s="1"/>
      <x:c r="D85" s="1"/>
      <x:c r="E85" s="1"/>
      <x:c r="F85" s="1"/>
    </x:row>
    <x:row r="86">
      <x:c r="A86" s="1"/>
      <x:c r="B86" s="1"/>
      <x:c r="C86" s="1"/>
      <x:c r="D86" s="1"/>
      <x:c r="E86" s="1"/>
      <x:c r="F86" s="1"/>
    </x:row>
    <x:row r="87">
      <x:c r="A87" s="1"/>
      <x:c r="B87" s="1"/>
      <x:c r="C87" s="1"/>
      <x:c r="D87" s="1"/>
      <x:c r="E87" s="1"/>
      <x:c r="F87" s="1"/>
    </x:row>
    <x:row r="88">
      <x:c r="A88" s="1"/>
      <x:c r="B88" s="1"/>
      <x:c r="C88" s="1"/>
      <x:c r="D88" s="1"/>
      <x:c r="E88" s="1"/>
      <x:c r="F88" s="1"/>
    </x:row>
    <x:row r="89">
      <x:c r="A89" s="1"/>
      <x:c r="B89" s="1"/>
      <x:c r="C89" s="1"/>
      <x:c r="D89" s="1"/>
      <x:c r="E89" s="1"/>
      <x:c r="F89" s="1"/>
    </x:row>
    <x:row r="90">
      <x:c r="A90" s="1"/>
      <x:c r="B90" s="1"/>
      <x:c r="C90" s="1"/>
      <x:c r="D90" s="1"/>
      <x:c r="E90" s="1"/>
      <x:c r="F90" s="1"/>
    </x:row>
    <x:row r="91">
      <x:c r="A91" s="1"/>
      <x:c r="B91" s="1"/>
      <x:c r="C91" s="1"/>
      <x:c r="D91" s="1"/>
      <x:c r="E91" s="1"/>
      <x:c r="F91" s="1"/>
    </x:row>
    <x:row r="92">
      <x:c r="A92" s="1"/>
      <x:c r="B92" s="1"/>
      <x:c r="C92" s="1"/>
      <x:c r="D92" s="1"/>
      <x:c r="E92" s="1"/>
      <x:c r="F92" s="1"/>
    </x:row>
    <x:row r="93">
      <x:c r="A93" s="1"/>
      <x:c r="B93" s="1"/>
      <x:c r="C93" s="1"/>
      <x:c r="D93" s="1"/>
      <x:c r="E93" s="1"/>
      <x:c r="F93" s="1"/>
    </x:row>
    <x:row r="94">
      <x:c r="A94" s="1"/>
      <x:c r="B94" s="1"/>
      <x:c r="C94" s="1"/>
      <x:c r="D94" s="1"/>
      <x:c r="E94" s="1"/>
      <x:c r="F94" s="1"/>
    </x:row>
    <x:row r="95">
      <x:c r="A95" s="1"/>
      <x:c r="B95" s="1"/>
      <x:c r="C95" s="1"/>
      <x:c r="D95" s="1"/>
      <x:c r="E95" s="1"/>
      <x:c r="F95" s="1"/>
    </x:row>
    <x:row r="96">
      <x:c r="A96" s="1"/>
      <x:c r="B96" s="1"/>
      <x:c r="C96" s="1"/>
      <x:c r="D96" s="1"/>
      <x:c r="E96" s="1"/>
      <x:c r="F96" s="1"/>
    </x:row>
    <x:row r="97">
      <x:c r="A97" s="1"/>
      <x:c r="B97" s="1"/>
      <x:c r="C97" s="1"/>
      <x:c r="D97" s="1"/>
      <x:c r="E97" s="1"/>
      <x:c r="F97" s="1"/>
    </x:row>
    <x:row r="98">
      <x:c r="A98" s="1"/>
      <x:c r="B98" s="1"/>
      <x:c r="C98" s="1"/>
      <x:c r="D98" s="1"/>
      <x:c r="E98" s="1"/>
      <x:c r="F98" s="1"/>
    </x:row>
    <x:row r="99">
      <x:c r="A99" s="1"/>
      <x:c r="B99" s="1"/>
      <x:c r="C99" s="1"/>
      <x:c r="D99" s="1"/>
      <x:c r="E99" s="1"/>
      <x:c r="F99" s="1"/>
    </x:row>
    <x:row r="100">
      <x:c r="A100" s="1"/>
      <x:c r="B100" s="1"/>
      <x:c r="C100" s="1"/>
      <x:c r="D100" s="1"/>
      <x:c r="E100" s="1"/>
      <x:c r="F100" s="1"/>
    </x:row>
    <x:row r="101">
      <x:c r="A101" s="1"/>
      <x:c r="B101" s="1"/>
      <x:c r="C101" s="1"/>
      <x:c r="D101" s="1"/>
      <x:c r="E101" s="1"/>
      <x:c r="F101" s="1"/>
    </x:row>
    <x:row r="102">
      <x:c r="A102" s="1"/>
      <x:c r="B102" s="1"/>
      <x:c r="C102" s="1"/>
      <x:c r="D102" s="1"/>
      <x:c r="E102" s="1"/>
      <x:c r="F102" s="1"/>
    </x:row>
    <x:row r="103">
      <x:c r="A103" s="1"/>
      <x:c r="B103" s="1"/>
      <x:c r="C103" s="1"/>
      <x:c r="D103" s="1"/>
      <x:c r="E103" s="1"/>
      <x:c r="F103" s="1"/>
    </x:row>
    <x:row r="104">
      <x:c r="A104" s="1"/>
      <x:c r="B104" s="1"/>
      <x:c r="C104" s="1"/>
      <x:c r="D104" s="1"/>
      <x:c r="E104" s="1"/>
      <x:c r="F104" s="1"/>
    </x:row>
    <x:row r="105">
      <x:c r="A105" s="1"/>
      <x:c r="B105" s="1"/>
      <x:c r="C105" s="1"/>
      <x:c r="D105" s="1"/>
      <x:c r="E105" s="1"/>
      <x:c r="F105" s="1"/>
    </x:row>
    <x:row r="106">
      <x:c r="A106" s="1"/>
      <x:c r="B106" s="1"/>
      <x:c r="C106" s="1"/>
      <x:c r="D106" s="1"/>
      <x:c r="E106" s="1"/>
      <x:c r="F106" s="1"/>
    </x:row>
    <x:row r="107">
      <x:c r="A107" s="1"/>
      <x:c r="B107" s="1"/>
      <x:c r="C107" s="1"/>
      <x:c r="D107" s="1"/>
      <x:c r="E107" s="1"/>
      <x:c r="F107" s="1"/>
    </x:row>
    <x:row r="108">
      <x:c r="A108" s="1"/>
      <x:c r="B108" s="1"/>
      <x:c r="C108" s="1"/>
      <x:c r="D108" s="1"/>
      <x:c r="E108" s="1"/>
      <x:c r="F108" s="1"/>
    </x:row>
    <x:row r="109">
      <x:c r="A109" s="1"/>
      <x:c r="B109" s="1"/>
      <x:c r="C109" s="1"/>
      <x:c r="D109" s="1"/>
      <x:c r="E109" s="1"/>
      <x:c r="F109" s="1"/>
    </x:row>
    <x:row r="110">
      <x:c r="A110" s="1"/>
      <x:c r="B110" s="1"/>
      <x:c r="C110" s="1"/>
      <x:c r="D110" s="1"/>
      <x:c r="E110" s="1"/>
      <x:c r="F110" s="1"/>
    </x:row>
    <x:row r="111">
      <x:c r="A111" s="1"/>
      <x:c r="B111" s="1"/>
      <x:c r="C111" s="1"/>
      <x:c r="D111" s="1"/>
      <x:c r="E111" s="1"/>
      <x:c r="F111" s="1"/>
    </x:row>
    <x:row r="112">
      <x:c r="A112" s="1"/>
      <x:c r="B112" s="1"/>
      <x:c r="C112" s="1"/>
      <x:c r="D112" s="1"/>
      <x:c r="E112" s="1"/>
      <x:c r="F112" s="1"/>
    </x:row>
    <x:row r="113">
      <x:c r="A113" s="1"/>
      <x:c r="B113" s="1"/>
      <x:c r="C113" s="1"/>
      <x:c r="D113" s="1"/>
      <x:c r="E113" s="1"/>
      <x:c r="F113" s="1"/>
    </x:row>
    <x:row r="114">
      <x:c r="A114" s="1"/>
      <x:c r="B114" s="1"/>
      <x:c r="C114" s="1"/>
      <x:c r="D114" s="1"/>
      <x:c r="E114" s="1"/>
      <x:c r="F114" s="1"/>
    </x:row>
    <x:row r="115">
      <x:c r="A115" s="1"/>
      <x:c r="B115" s="1"/>
      <x:c r="C115" s="1"/>
      <x:c r="D115" s="1"/>
      <x:c r="E115" s="1"/>
      <x:c r="F115" s="1"/>
    </x:row>
    <x:row r="116">
      <x:c r="A116" s="1"/>
      <x:c r="B116" s="1"/>
      <x:c r="C116" s="1"/>
      <x:c r="D116" s="1"/>
      <x:c r="E116" s="1"/>
      <x:c r="F116" s="1"/>
    </x:row>
    <x:row r="117">
      <x:c r="A117" s="1"/>
      <x:c r="B117" s="1"/>
      <x:c r="C117" s="1"/>
      <x:c r="D117" s="1"/>
      <x:c r="E117" s="1"/>
      <x:c r="F117" s="1"/>
    </x:row>
    <x:row r="118">
      <x:c r="A118" s="1"/>
      <x:c r="B118" s="1"/>
      <x:c r="C118" s="1"/>
      <x:c r="D118" s="1"/>
      <x:c r="E118" s="1"/>
      <x:c r="F118" s="1"/>
    </x:row>
    <x:row r="119">
      <x:c r="A119" s="1"/>
      <x:c r="B119" s="1"/>
      <x:c r="C119" s="1"/>
      <x:c r="D119" s="1"/>
      <x:c r="E119" s="1"/>
      <x:c r="F119" s="1"/>
    </x:row>
    <x:row r="120">
      <x:c r="A120" s="1"/>
      <x:c r="B120" s="1"/>
      <x:c r="C120" s="1"/>
      <x:c r="D120" s="1"/>
      <x:c r="E120" s="1"/>
      <x:c r="F120" s="1"/>
    </x:row>
    <x:row r="121">
      <x:c r="A121" s="1"/>
      <x:c r="B121" s="1"/>
      <x:c r="C121" s="1"/>
      <x:c r="D121" s="1"/>
      <x:c r="E121" s="1"/>
      <x:c r="F121" s="1"/>
    </x:row>
    <x:row r="122">
      <x:c r="A122" s="1"/>
      <x:c r="B122" s="1"/>
      <x:c r="C122" s="1"/>
      <x:c r="D122" s="1"/>
      <x:c r="E122" s="1"/>
      <x:c r="F122" s="1"/>
    </x:row>
    <x:row r="123">
      <x:c r="A123" s="1"/>
      <x:c r="B123" s="1"/>
      <x:c r="C123" s="1"/>
      <x:c r="D123" s="1"/>
      <x:c r="E123" s="1"/>
      <x:c r="F123" s="1"/>
    </x:row>
    <x:row r="124">
      <x:c r="A124" s="1"/>
      <x:c r="B124" s="1"/>
      <x:c r="C124" s="1"/>
      <x:c r="D124" s="1"/>
      <x:c r="E124" s="1"/>
      <x:c r="F124" s="1"/>
    </x:row>
    <x:row r="125">
      <x:c r="A125" s="1"/>
      <x:c r="B125" s="1"/>
      <x:c r="C125" s="1"/>
      <x:c r="D125" s="1"/>
      <x:c r="E125" s="1"/>
      <x:c r="F125" s="1"/>
    </x:row>
    <x:row r="126">
      <x:c r="A126" s="1"/>
      <x:c r="B126" s="1"/>
      <x:c r="C126" s="1"/>
      <x:c r="D126" s="1"/>
      <x:c r="E126" s="1"/>
      <x:c r="F126" s="1"/>
    </x:row>
    <x:row r="127">
      <x:c r="A127" s="1"/>
      <x:c r="B127" s="1"/>
      <x:c r="C127" s="1"/>
      <x:c r="D127" s="1"/>
      <x:c r="E127" s="1"/>
      <x:c r="F127" s="1"/>
    </x:row>
    <x:row r="128">
      <x:c r="A128" s="1"/>
      <x:c r="B128" s="1"/>
      <x:c r="C128" s="1"/>
      <x:c r="D128" s="1"/>
      <x:c r="E128" s="1"/>
      <x:c r="F128" s="1"/>
    </x:row>
    <x:row r="129">
      <x:c r="A129" s="1"/>
      <x:c r="B129" s="1"/>
      <x:c r="C129" s="1"/>
      <x:c r="D129" s="1"/>
      <x:c r="E129" s="1"/>
      <x:c r="F129" s="1"/>
    </x:row>
    <x:row r="130">
      <x:c r="A130" s="1"/>
      <x:c r="B130" s="1"/>
      <x:c r="C130" s="1"/>
      <x:c r="D130" s="1"/>
      <x:c r="E130" s="1"/>
      <x:c r="F130" s="1"/>
    </x:row>
    <x:row r="131">
      <x:c r="A131" s="1"/>
      <x:c r="B131" s="1"/>
      <x:c r="C131" s="1"/>
      <x:c r="D131" s="1"/>
      <x:c r="E131" s="1"/>
      <x:c r="F131" s="1"/>
    </x:row>
    <x:row r="132">
      <x:c r="A132" s="1"/>
      <x:c r="B132" s="1"/>
      <x:c r="C132" s="1"/>
      <x:c r="D132" s="1"/>
      <x:c r="E132" s="1"/>
      <x:c r="F132" s="1"/>
    </x:row>
    <x:row r="133">
      <x:c r="A133" s="1"/>
      <x:c r="B133" s="1"/>
      <x:c r="C133" s="1"/>
      <x:c r="D133" s="1"/>
      <x:c r="E133" s="1"/>
      <x:c r="F133" s="1"/>
    </x:row>
    <x:row r="134">
      <x:c r="A134" s="1"/>
      <x:c r="B134" s="1"/>
      <x:c r="C134" s="1"/>
      <x:c r="D134" s="1"/>
      <x:c r="E134" s="1"/>
      <x:c r="F134" s="1"/>
    </x:row>
    <x:row r="135">
      <x:c r="A135" s="1"/>
      <x:c r="B135" s="1"/>
      <x:c r="C135" s="1"/>
      <x:c r="D135" s="1"/>
      <x:c r="E135" s="1"/>
      <x:c r="F135" s="1"/>
    </x:row>
    <x:row r="136">
      <x:c r="A136" s="1"/>
      <x:c r="B136" s="1"/>
      <x:c r="C136" s="1"/>
      <x:c r="D136" s="1"/>
      <x:c r="E136" s="1"/>
      <x:c r="F136" s="1"/>
    </x:row>
    <x:row r="137">
      <x:c r="A137" s="1"/>
      <x:c r="B137" s="1"/>
      <x:c r="C137" s="1"/>
      <x:c r="D137" s="1"/>
      <x:c r="E137" s="1"/>
      <x:c r="F137" s="1"/>
    </x:row>
    <x:row r="138">
      <x:c r="A138" s="1"/>
      <x:c r="B138" s="1"/>
      <x:c r="C138" s="1"/>
      <x:c r="D138" s="1"/>
      <x:c r="E138" s="1"/>
      <x:c r="F138" s="1"/>
    </x:row>
    <x:row r="139">
      <x:c r="A139" s="1"/>
      <x:c r="B139" s="1"/>
      <x:c r="C139" s="1"/>
      <x:c r="D139" s="1"/>
      <x:c r="E139" s="1"/>
      <x:c r="F139" s="1"/>
    </x:row>
    <x:row r="140">
      <x:c r="A140" s="1"/>
      <x:c r="B140" s="1"/>
      <x:c r="C140" s="1"/>
      <x:c r="D140" s="1"/>
      <x:c r="E140" s="1"/>
      <x:c r="F140" s="1"/>
    </x:row>
    <x:row r="141">
      <x:c r="A141" s="1"/>
      <x:c r="B141" s="1"/>
      <x:c r="C141" s="1"/>
      <x:c r="D141" s="1"/>
      <x:c r="E141" s="1"/>
      <x:c r="F141" s="1"/>
    </x:row>
    <x:row r="142">
      <x:c r="A142" s="1"/>
      <x:c r="B142" s="1"/>
      <x:c r="C142" s="1"/>
      <x:c r="D142" s="1"/>
      <x:c r="E142" s="1"/>
      <x:c r="F142" s="1"/>
    </x:row>
    <x:row r="143">
      <x:c r="A143" s="1"/>
      <x:c r="B143" s="1"/>
      <x:c r="C143" s="1"/>
      <x:c r="D143" s="1"/>
      <x:c r="E143" s="1"/>
      <x:c r="F143" s="1"/>
    </x:row>
    <x:row r="144">
      <x:c r="A144" s="1"/>
      <x:c r="B144" s="1"/>
      <x:c r="C144" s="1"/>
      <x:c r="D144" s="1"/>
      <x:c r="E144" s="1"/>
      <x:c r="F144" s="1"/>
    </x:row>
    <x:row r="145">
      <x:c r="A145" s="1"/>
      <x:c r="B145" s="1"/>
      <x:c r="C145" s="1"/>
      <x:c r="D145" s="1"/>
      <x:c r="E145" s="1"/>
      <x:c r="F145" s="1"/>
    </x:row>
    <x:row r="146">
      <x:c r="A146" s="1"/>
      <x:c r="B146" s="1"/>
      <x:c r="C146" s="1"/>
      <x:c r="D146" s="1"/>
      <x:c r="E146" s="1"/>
      <x:c r="F146" s="1"/>
    </x:row>
    <x:row r="147">
      <x:c r="A147" s="1"/>
      <x:c r="B147" s="1"/>
      <x:c r="C147" s="1"/>
      <x:c r="D147" s="1"/>
      <x:c r="E147" s="1"/>
      <x:c r="F147" s="1"/>
    </x:row>
    <x:row r="148">
      <x:c r="A148" s="1"/>
      <x:c r="B148" s="1"/>
      <x:c r="C148" s="1"/>
      <x:c r="D148" s="1"/>
      <x:c r="E148" s="1"/>
      <x:c r="F148" s="1"/>
    </x:row>
    <x:row r="149">
      <x:c r="A149" s="1"/>
      <x:c r="B149" s="1"/>
      <x:c r="C149" s="1"/>
      <x:c r="D149" s="1"/>
      <x:c r="E149" s="1"/>
      <x:c r="F149" s="1"/>
    </x:row>
    <x:row r="150">
      <x:c r="A150" s="1"/>
      <x:c r="B150" s="1"/>
      <x:c r="C150" s="1"/>
      <x:c r="D150" s="1"/>
      <x:c r="E150" s="1"/>
      <x:c r="F150" s="1"/>
    </x:row>
    <x:row r="151">
      <x:c r="A151" s="1"/>
      <x:c r="B151" s="1"/>
      <x:c r="C151" s="1"/>
      <x:c r="D151" s="1"/>
      <x:c r="E151" s="1"/>
      <x:c r="F151" s="1"/>
    </x:row>
    <x:row r="152">
      <x:c r="A152" s="1"/>
      <x:c r="B152" s="1"/>
      <x:c r="C152" s="1"/>
      <x:c r="D152" s="1"/>
      <x:c r="E152" s="1"/>
      <x:c r="F152" s="1"/>
    </x:row>
    <x:row r="153">
      <x:c r="A153" s="1"/>
      <x:c r="B153" s="1"/>
      <x:c r="C153" s="1"/>
      <x:c r="D153" s="1"/>
      <x:c r="E153" s="1"/>
      <x:c r="F153" s="1"/>
    </x:row>
    <x:row r="154">
      <x:c r="A154" s="1"/>
      <x:c r="B154" s="1"/>
      <x:c r="C154" s="1"/>
      <x:c r="D154" s="1"/>
      <x:c r="E154" s="1"/>
      <x:c r="F154" s="1"/>
    </x:row>
    <x:row r="155">
      <x:c r="A155" s="1"/>
      <x:c r="B155" s="1"/>
      <x:c r="C155" s="1"/>
      <x:c r="D155" s="1"/>
      <x:c r="E155" s="1"/>
      <x:c r="F155" s="1"/>
    </x:row>
    <x:row r="156">
      <x:c r="A156" s="1"/>
      <x:c r="B156" s="1"/>
      <x:c r="C156" s="1"/>
      <x:c r="D156" s="1"/>
      <x:c r="E156" s="1"/>
      <x:c r="F156" s="1"/>
    </x:row>
    <x:row r="157">
      <x:c r="A157" s="1"/>
      <x:c r="B157" s="1"/>
      <x:c r="C157" s="1"/>
      <x:c r="D157" s="1"/>
      <x:c r="E157" s="1"/>
      <x:c r="F157" s="1"/>
    </x:row>
    <x:row r="158">
      <x:c r="A158" s="1"/>
      <x:c r="B158" s="1"/>
      <x:c r="C158" s="1"/>
      <x:c r="D158" s="1"/>
      <x:c r="E158" s="1"/>
      <x:c r="F158" s="1"/>
    </x:row>
    <x:row r="159">
      <x:c r="A159" s="1"/>
      <x:c r="B159" s="1"/>
      <x:c r="C159" s="1"/>
      <x:c r="D159" s="1"/>
      <x:c r="E159" s="1"/>
      <x:c r="F159" s="1"/>
    </x:row>
    <x:row r="160">
      <x:c r="A160" s="1"/>
      <x:c r="B160" s="1"/>
      <x:c r="C160" s="1"/>
      <x:c r="D160" s="1"/>
      <x:c r="E160" s="1"/>
      <x:c r="F160" s="1"/>
    </x:row>
    <x:row r="161">
      <x:c r="A161" s="1"/>
      <x:c r="B161" s="1"/>
      <x:c r="C161" s="1"/>
      <x:c r="D161" s="1"/>
      <x:c r="E161" s="1"/>
      <x:c r="F161" s="1"/>
    </x:row>
    <x:row r="162">
      <x:c r="A162" s="1"/>
      <x:c r="B162" s="1"/>
      <x:c r="C162" s="1"/>
      <x:c r="D162" s="1"/>
      <x:c r="E162" s="1"/>
      <x:c r="F162" s="1"/>
    </x:row>
    <x:row r="163">
      <x:c r="A163" s="1"/>
      <x:c r="B163" s="1"/>
      <x:c r="C163" s="1"/>
      <x:c r="D163" s="1"/>
      <x:c r="E163" s="1"/>
      <x:c r="F163" s="1"/>
    </x:row>
    <x:row r="164">
      <x:c r="A164" s="1"/>
      <x:c r="B164" s="1"/>
      <x:c r="C164" s="1"/>
      <x:c r="D164" s="1"/>
      <x:c r="E164" s="1"/>
      <x:c r="F164" s="1"/>
    </x:row>
    <x:row r="165">
      <x:c r="A165" s="1"/>
      <x:c r="B165" s="1"/>
      <x:c r="C165" s="1"/>
      <x:c r="D165" s="1"/>
      <x:c r="E165" s="1"/>
      <x:c r="F165" s="1"/>
    </x:row>
    <x:row r="166">
      <x:c r="A166" s="1"/>
      <x:c r="B166" s="1"/>
      <x:c r="C166" s="1"/>
      <x:c r="D166" s="1"/>
      <x:c r="E166" s="1"/>
      <x:c r="F166" s="1"/>
    </x:row>
    <x:row r="167">
      <x:c r="A167" s="1"/>
      <x:c r="B167" s="1"/>
      <x:c r="C167" s="1"/>
      <x:c r="D167" s="1"/>
      <x:c r="E167" s="1"/>
      <x:c r="F167" s="1"/>
    </x:row>
    <x:row r="168">
      <x:c r="A168" s="1"/>
      <x:c r="B168" s="1"/>
      <x:c r="C168" s="1"/>
      <x:c r="D168" s="1"/>
      <x:c r="E168" s="1"/>
      <x:c r="F168" s="1"/>
    </x:row>
    <x:row r="169">
      <x:c r="A169" s="1"/>
      <x:c r="B169" s="1"/>
      <x:c r="C169" s="1"/>
      <x:c r="D169" s="1"/>
      <x:c r="E169" s="1"/>
      <x:c r="F169" s="1"/>
    </x:row>
    <x:row r="170">
      <x:c r="A170" s="1"/>
      <x:c r="B170" s="1"/>
      <x:c r="C170" s="1"/>
      <x:c r="D170" s="1"/>
      <x:c r="E170" s="1"/>
      <x:c r="F170" s="1"/>
    </x:row>
    <x:row r="171">
      <x:c r="A171" s="1"/>
      <x:c r="B171" s="1"/>
      <x:c r="C171" s="1"/>
      <x:c r="D171" s="1"/>
      <x:c r="E171" s="1"/>
      <x:c r="F171" s="1"/>
    </x:row>
    <x:row r="172">
      <x:c r="A172" s="1"/>
      <x:c r="B172" s="1"/>
      <x:c r="C172" s="1"/>
      <x:c r="D172" s="1"/>
      <x:c r="E172" s="1"/>
      <x:c r="F172" s="1"/>
    </x:row>
    <x:row r="173">
      <x:c r="A173" s="1"/>
      <x:c r="B173" s="1"/>
      <x:c r="C173" s="1"/>
      <x:c r="D173" s="1"/>
      <x:c r="E173" s="1"/>
      <x:c r="F173" s="1"/>
    </x:row>
    <x:row r="174">
      <x:c r="A174" s="1"/>
      <x:c r="B174" s="1"/>
      <x:c r="C174" s="1"/>
      <x:c r="D174" s="1"/>
      <x:c r="E174" s="1"/>
      <x:c r="F174" s="1"/>
    </x:row>
    <x:row r="175">
      <x:c r="A175" s="1"/>
      <x:c r="B175" s="1"/>
      <x:c r="C175" s="1"/>
      <x:c r="D175" s="1"/>
      <x:c r="E175" s="1"/>
      <x:c r="F175" s="1"/>
    </x:row>
    <x:row r="176">
      <x:c r="A176" s="1"/>
      <x:c r="B176" s="1"/>
      <x:c r="C176" s="1"/>
      <x:c r="D176" s="1"/>
      <x:c r="E176" s="1"/>
      <x:c r="F176" s="1"/>
    </x:row>
    <x:row r="177">
      <x:c r="A177" s="1"/>
      <x:c r="B177" s="1"/>
      <x:c r="C177" s="1"/>
      <x:c r="D177" s="1"/>
      <x:c r="E177" s="1"/>
      <x:c r="F177" s="1"/>
    </x:row>
    <x:row r="178">
      <x:c r="A178" s="1"/>
      <x:c r="B178" s="1"/>
      <x:c r="C178" s="1"/>
      <x:c r="D178" s="1"/>
      <x:c r="E178" s="1"/>
      <x:c r="F178" s="1"/>
    </x:row>
    <x:row r="179">
      <x:c r="A179" s="1"/>
      <x:c r="B179" s="1"/>
      <x:c r="C179" s="1"/>
      <x:c r="D179" s="1"/>
      <x:c r="E179" s="1"/>
      <x:c r="F179" s="1"/>
    </x:row>
    <x:row r="180">
      <x:c r="A180" s="1"/>
      <x:c r="B180" s="1"/>
      <x:c r="C180" s="1"/>
      <x:c r="D180" s="1"/>
      <x:c r="E180" s="1"/>
      <x:c r="F180" s="1"/>
    </x:row>
    <x:row r="181">
      <x:c r="A181" s="1"/>
      <x:c r="B181" s="1"/>
      <x:c r="C181" s="1"/>
      <x:c r="D181" s="1"/>
      <x:c r="E181" s="1"/>
      <x:c r="F181" s="1"/>
    </x:row>
    <x:row r="182">
      <x:c r="A182" s="1"/>
      <x:c r="B182" s="1"/>
      <x:c r="C182" s="1"/>
      <x:c r="D182" s="1"/>
      <x:c r="E182" s="1"/>
      <x:c r="F182" s="1"/>
    </x:row>
    <x:row r="183">
      <x:c r="A183" s="1"/>
      <x:c r="B183" s="1"/>
      <x:c r="C183" s="1"/>
      <x:c r="D183" s="1"/>
      <x:c r="E183" s="1"/>
      <x:c r="F183" s="1"/>
    </x:row>
    <x:row r="184">
      <x:c r="A184" s="1"/>
      <x:c r="B184" s="1"/>
      <x:c r="C184" s="1"/>
      <x:c r="D184" s="1"/>
      <x:c r="E184" s="1"/>
      <x:c r="F184" s="1"/>
    </x:row>
    <x:row r="185">
      <x:c r="A185" s="1"/>
      <x:c r="B185" s="1"/>
      <x:c r="C185" s="1"/>
      <x:c r="D185" s="1"/>
      <x:c r="E185" s="1"/>
      <x:c r="F185" s="1"/>
    </x:row>
    <x:row r="186">
      <x:c r="A186" s="1"/>
      <x:c r="B186" s="1"/>
      <x:c r="C186" s="1"/>
      <x:c r="D186" s="1"/>
      <x:c r="E186" s="1"/>
      <x:c r="F186" s="1"/>
    </x:row>
    <x:row r="187">
      <x:c r="A187" s="1"/>
      <x:c r="B187" s="1"/>
      <x:c r="C187" s="1"/>
      <x:c r="D187" s="1"/>
      <x:c r="E187" s="1"/>
      <x:c r="F187" s="1"/>
    </x:row>
    <x:row r="188">
      <x:c r="A188" s="1"/>
      <x:c r="B188" s="1"/>
      <x:c r="C188" s="1"/>
      <x:c r="D188" s="1"/>
      <x:c r="E188" s="1"/>
      <x:c r="F188" s="1"/>
    </x:row>
    <x:row r="189">
      <x:c r="A189" s="1"/>
      <x:c r="B189" s="1"/>
      <x:c r="C189" s="1"/>
      <x:c r="D189" s="1"/>
      <x:c r="E189" s="1"/>
      <x:c r="F189" s="1"/>
    </x:row>
    <x:row r="190">
      <x:c r="A190" s="1"/>
      <x:c r="B190" s="1"/>
      <x:c r="C190" s="1"/>
      <x:c r="D190" s="1"/>
      <x:c r="E190" s="1"/>
      <x:c r="F190" s="1"/>
    </x:row>
    <x:row r="191">
      <x:c r="A191" s="1"/>
      <x:c r="B191" s="1"/>
      <x:c r="C191" s="1"/>
      <x:c r="D191" s="1"/>
      <x:c r="E191" s="1"/>
      <x:c r="F191" s="1"/>
    </x:row>
    <x:row r="192">
      <x:c r="A192" s="1"/>
      <x:c r="B192" s="1"/>
      <x:c r="C192" s="1"/>
      <x:c r="D192" s="1"/>
      <x:c r="E192" s="1"/>
      <x:c r="F192" s="1"/>
    </x:row>
    <x:row r="193">
      <x:c r="A193" s="1"/>
      <x:c r="B193" s="1"/>
      <x:c r="C193" s="1"/>
      <x:c r="D193" s="1"/>
      <x:c r="E193" s="1"/>
      <x:c r="F193" s="1"/>
    </x:row>
    <x:row r="194">
      <x:c r="A194" s="1"/>
      <x:c r="B194" s="1"/>
      <x:c r="C194" s="1"/>
      <x:c r="D194" s="1"/>
      <x:c r="E194" s="1"/>
      <x:c r="F194" s="1"/>
    </x:row>
    <x:row r="195">
      <x:c r="A195" s="1"/>
      <x:c r="B195" s="1"/>
      <x:c r="C195" s="1"/>
      <x:c r="D195" s="1"/>
      <x:c r="E195" s="1"/>
      <x:c r="F195" s="1"/>
    </x:row>
    <x:row r="196">
      <x:c r="A196" s="1"/>
      <x:c r="B196" s="1"/>
      <x:c r="C196" s="1"/>
      <x:c r="D196" s="1"/>
      <x:c r="E196" s="1"/>
      <x:c r="F196" s="1"/>
    </x:row>
    <x:row r="197">
      <x:c r="A197" s="1"/>
      <x:c r="B197" s="1"/>
      <x:c r="C197" s="1"/>
      <x:c r="D197" s="1"/>
      <x:c r="E197" s="1"/>
      <x:c r="F197" s="1"/>
    </x:row>
    <x:row r="198">
      <x:c r="A198" s="1"/>
      <x:c r="B198" s="1"/>
      <x:c r="C198" s="1"/>
      <x:c r="D198" s="1"/>
      <x:c r="E198" s="1"/>
      <x:c r="F198" s="1"/>
    </x:row>
    <x:row r="199">
      <x:c r="A199" s="1"/>
      <x:c r="B199" s="1"/>
      <x:c r="C199" s="1"/>
      <x:c r="D199" s="1"/>
      <x:c r="E199" s="1"/>
      <x:c r="F199" s="1"/>
    </x:row>
    <x:row r="200">
      <x:c r="A200" s="1"/>
      <x:c r="B200" s="1"/>
      <x:c r="C200" s="1"/>
      <x:c r="D200" s="1"/>
      <x:c r="E200" s="1"/>
      <x:c r="F200" s="1"/>
    </x:row>
    <x:row r="201">
      <x:c r="A201" s="1"/>
      <x:c r="B201" s="1"/>
      <x:c r="C201" s="1"/>
      <x:c r="D201" s="1"/>
      <x:c r="E201" s="1"/>
      <x:c r="F201" s="1"/>
    </x:row>
    <x:row r="202">
      <x:c r="A202" s="1"/>
      <x:c r="B202" s="1"/>
      <x:c r="C202" s="1"/>
      <x:c r="D202" s="1"/>
      <x:c r="E202" s="1"/>
      <x:c r="F202" s="1"/>
    </x:row>
    <x:row r="203">
      <x:c r="A203" s="1"/>
      <x:c r="B203" s="1"/>
      <x:c r="C203" s="1"/>
      <x:c r="D203" s="1"/>
      <x:c r="E203" s="1"/>
      <x:c r="F203" s="1"/>
    </x:row>
    <x:row r="204">
      <x:c r="A204" s="1"/>
      <x:c r="B204" s="1"/>
      <x:c r="C204" s="1"/>
      <x:c r="D204" s="1"/>
      <x:c r="E204" s="1"/>
      <x:c r="F204" s="1"/>
    </x:row>
    <x:row r="205">
      <x:c r="A205" s="1"/>
      <x:c r="B205" s="1"/>
      <x:c r="C205" s="1"/>
      <x:c r="D205" s="1"/>
      <x:c r="E205" s="1"/>
      <x:c r="F205" s="1"/>
    </x:row>
    <x:row r="206">
      <x:c r="A206" s="1"/>
      <x:c r="B206" s="1"/>
      <x:c r="C206" s="1"/>
      <x:c r="D206" s="1"/>
      <x:c r="E206" s="1"/>
      <x:c r="F206" s="1"/>
    </x:row>
    <x:row r="207">
      <x:c r="A207" s="1"/>
      <x:c r="B207" s="1"/>
      <x:c r="C207" s="1"/>
      <x:c r="D207" s="1"/>
      <x:c r="E207" s="1"/>
      <x:c r="F207" s="1"/>
    </x:row>
    <x:row r="208">
      <x:c r="A208" s="1"/>
      <x:c r="B208" s="1"/>
      <x:c r="C208" s="1"/>
      <x:c r="D208" s="1"/>
      <x:c r="E208" s="1"/>
      <x:c r="F208" s="1"/>
    </x:row>
    <x:row r="209">
      <x:c r="A209" s="1"/>
      <x:c r="B209" s="1"/>
      <x:c r="C209" s="1"/>
      <x:c r="D209" s="1"/>
      <x:c r="E209" s="1"/>
      <x:c r="F209" s="1"/>
    </x:row>
    <x:row r="210">
      <x:c r="A210" s="1"/>
      <x:c r="B210" s="1"/>
      <x:c r="C210" s="1"/>
      <x:c r="D210" s="1"/>
      <x:c r="E210" s="1"/>
      <x:c r="F210" s="1"/>
    </x:row>
    <x:row r="211">
      <x:c r="A211" s="1"/>
      <x:c r="B211" s="1"/>
      <x:c r="C211" s="1"/>
      <x:c r="D211" s="1"/>
      <x:c r="E211" s="1"/>
      <x:c r="F211" s="1"/>
    </x:row>
    <x:row r="212">
      <x:c r="A212" s="1"/>
      <x:c r="B212" s="1"/>
      <x:c r="C212" s="1"/>
      <x:c r="D212" s="1"/>
      <x:c r="E212" s="1"/>
      <x:c r="F212" s="1"/>
    </x:row>
    <x:row r="213">
      <x:c r="A213" s="1"/>
      <x:c r="B213" s="1"/>
      <x:c r="C213" s="1"/>
      <x:c r="D213" s="1"/>
      <x:c r="E213" s="1"/>
      <x:c r="F213" s="1"/>
    </x:row>
    <x:row r="214">
      <x:c r="A214" s="1"/>
      <x:c r="B214" s="1"/>
      <x:c r="C214" s="1"/>
      <x:c r="D214" s="1"/>
      <x:c r="E214" s="1"/>
      <x:c r="F214" s="1"/>
    </x:row>
    <x:row r="215">
      <x:c r="A215" s="1"/>
      <x:c r="B215" s="1"/>
      <x:c r="C215" s="1"/>
      <x:c r="D215" s="1"/>
      <x:c r="E215" s="1"/>
      <x:c r="F215" s="1"/>
    </x:row>
    <x:row r="216">
      <x:c r="A216" s="1"/>
      <x:c r="B216" s="1"/>
      <x:c r="C216" s="1"/>
      <x:c r="D216" s="1"/>
      <x:c r="E216" s="1"/>
      <x:c r="F216" s="1"/>
    </x:row>
    <x:row r="217">
      <x:c r="A217" s="1"/>
      <x:c r="B217" s="1"/>
      <x:c r="C217" s="1"/>
      <x:c r="D217" s="1"/>
      <x:c r="E217" s="1"/>
      <x:c r="F217" s="1"/>
    </x:row>
    <x:row r="218">
      <x:c r="A218" s="1"/>
      <x:c r="B218" s="1"/>
      <x:c r="C218" s="1"/>
      <x:c r="D218" s="1"/>
      <x:c r="E218" s="1"/>
      <x:c r="F218" s="1"/>
    </x:row>
    <x:row r="219">
      <x:c r="A219" s="1"/>
      <x:c r="B219" s="1"/>
      <x:c r="C219" s="1"/>
      <x:c r="D219" s="1"/>
      <x:c r="E219" s="1"/>
      <x:c r="F219" s="1"/>
    </x:row>
    <x:row r="220">
      <x:c r="A220" s="1"/>
      <x:c r="B220" s="1"/>
      <x:c r="C220" s="1"/>
      <x:c r="D220" s="1"/>
      <x:c r="E220" s="1"/>
      <x:c r="F220" s="1"/>
    </x:row>
    <x:row r="221">
      <x:c r="A221" s="1"/>
      <x:c r="B221" s="1"/>
      <x:c r="C221" s="1"/>
      <x:c r="D221" s="1"/>
      <x:c r="E221" s="1"/>
      <x:c r="F221" s="1"/>
    </x:row>
    <x:row r="222">
      <x:c r="A222" s="1"/>
      <x:c r="B222" s="1"/>
      <x:c r="C222" s="1"/>
      <x:c r="D222" s="1"/>
      <x:c r="E222" s="1"/>
      <x:c r="F222" s="1"/>
    </x:row>
    <x:row r="223">
      <x:c r="A223" s="1"/>
      <x:c r="B223" s="1"/>
      <x:c r="C223" s="1"/>
      <x:c r="D223" s="1"/>
      <x:c r="E223" s="1"/>
      <x:c r="F223" s="1"/>
    </x:row>
    <x:row r="224">
      <x:c r="A224" s="1"/>
      <x:c r="B224" s="1"/>
      <x:c r="C224" s="1"/>
      <x:c r="D224" s="1"/>
      <x:c r="E224" s="1"/>
      <x:c r="F224" s="1"/>
    </x:row>
    <x:row r="225">
      <x:c r="A225" s="1"/>
      <x:c r="B225" s="1"/>
      <x:c r="C225" s="1"/>
      <x:c r="D225" s="1"/>
      <x:c r="E225" s="1"/>
      <x:c r="F225" s="1"/>
    </x:row>
    <x:row r="226">
      <x:c r="A226" s="1"/>
      <x:c r="B226" s="1"/>
      <x:c r="C226" s="1"/>
      <x:c r="D226" s="1"/>
      <x:c r="E226" s="1"/>
      <x:c r="F226" s="1"/>
    </x:row>
    <x:row r="227">
      <x:c r="A227" s="1"/>
      <x:c r="B227" s="1"/>
      <x:c r="C227" s="1"/>
      <x:c r="D227" s="1"/>
      <x:c r="E227" s="1"/>
      <x:c r="F227" s="1"/>
    </x:row>
    <x:row r="228">
      <x:c r="A228" s="1"/>
      <x:c r="B228" s="1"/>
      <x:c r="C228" s="1"/>
      <x:c r="D228" s="1"/>
      <x:c r="E228" s="1"/>
      <x:c r="F228" s="1"/>
    </x:row>
    <x:row r="229">
      <x:c r="A229" s="1"/>
      <x:c r="B229" s="1"/>
      <x:c r="C229" s="1"/>
      <x:c r="D229" s="1"/>
      <x:c r="E229" s="1"/>
      <x:c r="F229" s="1"/>
    </x:row>
    <x:row r="230">
      <x:c r="A230" s="1"/>
      <x:c r="B230" s="1"/>
      <x:c r="C230" s="1"/>
      <x:c r="D230" s="1"/>
      <x:c r="E230" s="1"/>
      <x:c r="F230" s="1"/>
    </x:row>
    <x:row r="231">
      <x:c r="A231" s="1"/>
      <x:c r="B231" s="1"/>
      <x:c r="C231" s="1"/>
      <x:c r="D231" s="1"/>
      <x:c r="E231" s="1"/>
      <x:c r="F231" s="1"/>
    </x:row>
    <x:row r="232">
      <x:c r="A232" s="1"/>
      <x:c r="B232" s="1"/>
      <x:c r="C232" s="1"/>
      <x:c r="D232" s="1"/>
      <x:c r="E232" s="1"/>
      <x:c r="F232" s="1"/>
    </x:row>
    <x:row r="233">
      <x:c r="A233" s="1"/>
      <x:c r="B233" s="1"/>
      <x:c r="C233" s="1"/>
      <x:c r="D233" s="1"/>
      <x:c r="E233" s="1"/>
      <x:c r="F233" s="1"/>
    </x:row>
    <x:row r="234">
      <x:c r="A234" s="1"/>
      <x:c r="B234" s="1"/>
      <x:c r="C234" s="1"/>
      <x:c r="D234" s="1"/>
      <x:c r="E234" s="1"/>
      <x:c r="F234" s="1"/>
    </x:row>
    <x:row r="235">
      <x:c r="A235" s="1"/>
      <x:c r="B235" s="1"/>
      <x:c r="C235" s="1"/>
      <x:c r="D235" s="1"/>
      <x:c r="E235" s="1"/>
      <x:c r="F235" s="1"/>
    </x:row>
    <x:row r="236">
      <x:c r="A236" s="1"/>
      <x:c r="B236" s="1"/>
      <x:c r="C236" s="1"/>
      <x:c r="D236" s="1"/>
      <x:c r="E236" s="1"/>
      <x:c r="F236" s="1"/>
    </x:row>
    <x:row r="237">
      <x:c r="A237" s="1"/>
      <x:c r="B237" s="1"/>
      <x:c r="C237" s="1"/>
      <x:c r="D237" s="1"/>
      <x:c r="E237" s="1"/>
      <x:c r="F237" s="1"/>
    </x:row>
    <x:row r="238">
      <x:c r="A238" s="1"/>
      <x:c r="B238" s="1"/>
      <x:c r="C238" s="1"/>
      <x:c r="D238" s="1"/>
      <x:c r="E238" s="1"/>
      <x:c r="F238" s="1"/>
    </x:row>
    <x:row r="239">
      <x:c r="A239" s="1"/>
      <x:c r="B239" s="1"/>
      <x:c r="C239" s="1"/>
      <x:c r="D239" s="1"/>
      <x:c r="E239" s="1"/>
      <x:c r="F239" s="1"/>
    </x:row>
    <x:row r="240">
      <x:c r="A240" s="1"/>
      <x:c r="B240" s="1"/>
      <x:c r="C240" s="1"/>
      <x:c r="D240" s="1"/>
      <x:c r="E240" s="1"/>
      <x:c r="F240" s="1"/>
    </x:row>
    <x:row r="241">
      <x:c r="A241" s="1"/>
      <x:c r="B241" s="1"/>
      <x:c r="C241" s="1"/>
      <x:c r="D241" s="1"/>
      <x:c r="E241" s="1"/>
      <x:c r="F241" s="1"/>
    </x:row>
    <x:row r="242">
      <x:c r="A242" s="1"/>
      <x:c r="B242" s="1"/>
      <x:c r="C242" s="1"/>
      <x:c r="D242" s="1"/>
      <x:c r="E242" s="1"/>
      <x:c r="F242" s="1"/>
    </x:row>
    <x:row r="243">
      <x:c r="A243" s="1"/>
      <x:c r="B243" s="1"/>
      <x:c r="C243" s="1"/>
      <x:c r="D243" s="1"/>
      <x:c r="E243" s="1"/>
      <x:c r="F243" s="1"/>
    </x:row>
    <x:row r="244">
      <x:c r="A244" s="1"/>
      <x:c r="B244" s="1"/>
      <x:c r="C244" s="1"/>
      <x:c r="D244" s="1"/>
      <x:c r="E244" s="1"/>
      <x:c r="F244" s="1"/>
    </x:row>
    <x:row r="245">
      <x:c r="A245" s="1"/>
      <x:c r="B245" s="1"/>
      <x:c r="C245" s="1"/>
      <x:c r="D245" s="1"/>
      <x:c r="E245" s="1"/>
      <x:c r="F245" s="1"/>
    </x:row>
    <x:row r="246">
      <x:c r="A246" s="1"/>
      <x:c r="B246" s="1"/>
      <x:c r="C246" s="1"/>
      <x:c r="D246" s="1"/>
      <x:c r="E246" s="1"/>
      <x:c r="F246" s="1"/>
    </x:row>
    <x:row r="247">
      <x:c r="A247" s="1"/>
      <x:c r="B247" s="1"/>
      <x:c r="C247" s="1"/>
      <x:c r="D247" s="1"/>
      <x:c r="E247" s="1"/>
      <x:c r="F247" s="1"/>
    </x:row>
    <x:row r="248">
      <x:c r="A248" s="1"/>
      <x:c r="B248" s="1"/>
      <x:c r="C248" s="1"/>
      <x:c r="D248" s="1"/>
      <x:c r="E248" s="1"/>
      <x:c r="F248" s="1"/>
    </x:row>
    <x:row r="249">
      <x:c r="A249" s="1"/>
      <x:c r="B249" s="1"/>
      <x:c r="C249" s="1"/>
      <x:c r="D249" s="1"/>
      <x:c r="E249" s="1"/>
      <x:c r="F249" s="1"/>
    </x:row>
    <x:row r="250">
      <x:c r="A250" s="1"/>
      <x:c r="B250" s="1"/>
      <x:c r="C250" s="1"/>
      <x:c r="D250" s="1"/>
      <x:c r="E250" s="1"/>
      <x:c r="F250" s="1"/>
    </x:row>
    <x:row r="251">
      <x:c r="A251" s="1"/>
      <x:c r="B251" s="1"/>
      <x:c r="C251" s="1"/>
      <x:c r="D251" s="1"/>
      <x:c r="E251" s="1"/>
      <x:c r="F251" s="1"/>
    </x:row>
    <x:row r="252">
      <x:c r="A252" s="1"/>
      <x:c r="B252" s="1"/>
      <x:c r="C252" s="1"/>
      <x:c r="D252" s="1"/>
      <x:c r="E252" s="1"/>
      <x:c r="F252" s="1"/>
    </x:row>
    <x:row r="253">
      <x:c r="A253" s="1"/>
      <x:c r="B253" s="1"/>
      <x:c r="C253" s="1"/>
      <x:c r="D253" s="1"/>
      <x:c r="E253" s="1"/>
      <x:c r="F253" s="1"/>
    </x:row>
    <x:row r="254">
      <x:c r="A254" s="1"/>
      <x:c r="B254" s="1"/>
      <x:c r="C254" s="1"/>
      <x:c r="D254" s="1"/>
      <x:c r="E254" s="1"/>
      <x:c r="F254" s="1"/>
    </x:row>
    <x:row r="255">
      <x:c r="A255" s="1"/>
      <x:c r="B255" s="1"/>
      <x:c r="C255" s="1"/>
      <x:c r="D255" s="1"/>
      <x:c r="E255" s="1"/>
      <x:c r="F255" s="1"/>
    </x:row>
    <x:row r="256">
      <x:c r="A256" s="1"/>
      <x:c r="B256" s="1"/>
      <x:c r="C256" s="1"/>
      <x:c r="D256" s="1"/>
      <x:c r="E256" s="1"/>
      <x:c r="F256" s="1"/>
    </x:row>
    <x:row r="257">
      <x:c r="A257" s="1"/>
      <x:c r="B257" s="1"/>
      <x:c r="C257" s="1"/>
      <x:c r="D257" s="1"/>
      <x:c r="E257" s="1"/>
      <x:c r="F257" s="1"/>
    </x:row>
    <x:row r="258">
      <x:c r="A258" s="1"/>
      <x:c r="B258" s="1"/>
      <x:c r="C258" s="1"/>
      <x:c r="D258" s="1"/>
      <x:c r="E258" s="1"/>
      <x:c r="F258" s="1"/>
    </x:row>
    <x:row r="259">
      <x:c r="A259" s="1"/>
      <x:c r="B259" s="1"/>
      <x:c r="C259" s="1"/>
      <x:c r="D259" s="1"/>
      <x:c r="E259" s="1"/>
      <x:c r="F259" s="1"/>
    </x:row>
    <x:row r="260">
      <x:c r="A260" s="1"/>
      <x:c r="B260" s="1"/>
      <x:c r="C260" s="1"/>
      <x:c r="D260" s="1"/>
      <x:c r="E260" s="1"/>
      <x:c r="F260" s="1"/>
    </x:row>
    <x:row r="261">
      <x:c r="A261" s="1"/>
      <x:c r="B261" s="1"/>
      <x:c r="C261" s="1"/>
      <x:c r="D261" s="1"/>
      <x:c r="E261" s="1"/>
      <x:c r="F261" s="1"/>
    </x:row>
    <x:row r="262">
      <x:c r="A262" s="1"/>
      <x:c r="B262" s="1"/>
      <x:c r="C262" s="1"/>
      <x:c r="D262" s="1"/>
      <x:c r="E262" s="1"/>
      <x:c r="F262" s="1"/>
    </x:row>
    <x:row r="263">
      <x:c r="A263" s="1"/>
      <x:c r="B263" s="1"/>
      <x:c r="C263" s="1"/>
      <x:c r="D263" s="1"/>
      <x:c r="E263" s="1"/>
      <x:c r="F263" s="1"/>
    </x:row>
    <x:row r="264">
      <x:c r="A264" s="1"/>
      <x:c r="B264" s="1"/>
      <x:c r="C264" s="1"/>
      <x:c r="D264" s="1"/>
      <x:c r="E264" s="1"/>
      <x:c r="F264" s="1"/>
    </x:row>
    <x:row r="265">
      <x:c r="A265" s="1"/>
      <x:c r="B265" s="1"/>
      <x:c r="C265" s="1"/>
      <x:c r="D265" s="1"/>
      <x:c r="E265" s="1"/>
      <x:c r="F265" s="1"/>
    </x:row>
    <x:row r="266">
      <x:c r="A266" s="1"/>
      <x:c r="B266" s="1"/>
      <x:c r="C266" s="1"/>
      <x:c r="D266" s="1"/>
      <x:c r="E266" s="1"/>
      <x:c r="F266" s="1"/>
    </x:row>
    <x:row r="267">
      <x:c r="A267" s="1"/>
      <x:c r="B267" s="1"/>
      <x:c r="C267" s="1"/>
      <x:c r="D267" s="1"/>
      <x:c r="E267" s="1"/>
      <x:c r="F267" s="1"/>
    </x:row>
    <x:row r="268">
      <x:c r="A268" s="1"/>
      <x:c r="B268" s="1"/>
      <x:c r="C268" s="1"/>
      <x:c r="D268" s="1"/>
      <x:c r="E268" s="1"/>
      <x:c r="F268" s="1"/>
    </x:row>
    <x:row r="269">
      <x:c r="A269" s="1"/>
      <x:c r="B269" s="1"/>
      <x:c r="C269" s="1"/>
      <x:c r="D269" s="1"/>
      <x:c r="E269" s="1"/>
      <x:c r="F269" s="1"/>
    </x:row>
    <x:row r="270">
      <x:c r="A270" s="1"/>
      <x:c r="B270" s="1"/>
      <x:c r="C270" s="1"/>
      <x:c r="D270" s="1"/>
      <x:c r="E270" s="1"/>
      <x:c r="F270" s="1"/>
    </x:row>
    <x:row r="271">
      <x:c r="A271" s="1"/>
      <x:c r="B271" s="1"/>
      <x:c r="C271" s="1"/>
      <x:c r="D271" s="1"/>
      <x:c r="E271" s="1"/>
      <x:c r="F271" s="1"/>
    </x:row>
    <x:row r="272">
      <x:c r="A272" s="1"/>
      <x:c r="B272" s="1"/>
      <x:c r="C272" s="1"/>
      <x:c r="D272" s="1"/>
      <x:c r="E272" s="1"/>
      <x:c r="F272" s="1"/>
    </x:row>
    <x:row r="273">
      <x:c r="A273" s="1"/>
      <x:c r="B273" s="1"/>
      <x:c r="C273" s="1"/>
      <x:c r="D273" s="1"/>
      <x:c r="E273" s="1"/>
      <x:c r="F273" s="1"/>
    </x:row>
    <x:row r="274">
      <x:c r="A274" s="1"/>
      <x:c r="B274" s="1"/>
      <x:c r="C274" s="1"/>
      <x:c r="D274" s="1"/>
      <x:c r="E274" s="1"/>
      <x:c r="F274" s="1"/>
    </x:row>
    <x:row r="275">
      <x:c r="A275" s="1"/>
      <x:c r="B275" s="1"/>
      <x:c r="C275" s="1"/>
      <x:c r="D275" s="1"/>
      <x:c r="E275" s="1"/>
      <x:c r="F275" s="1"/>
    </x:row>
    <x:row r="276">
      <x:c r="A276" s="1"/>
      <x:c r="B276" s="1"/>
      <x:c r="C276" s="1"/>
      <x:c r="D276" s="1"/>
      <x:c r="E276" s="1"/>
      <x:c r="F276" s="1"/>
    </x:row>
    <x:row r="277">
      <x:c r="A277" s="1"/>
      <x:c r="B277" s="1"/>
      <x:c r="C277" s="1"/>
      <x:c r="D277" s="1"/>
      <x:c r="E277" s="1"/>
      <x:c r="F277" s="1"/>
    </x:row>
    <x:row r="278">
      <x:c r="A278" s="1"/>
      <x:c r="B278" s="1"/>
      <x:c r="C278" s="1"/>
      <x:c r="D278" s="1"/>
      <x:c r="E278" s="1"/>
      <x:c r="F278" s="1"/>
    </x:row>
    <x:row r="279">
      <x:c r="A279" s="1"/>
      <x:c r="B279" s="1"/>
      <x:c r="C279" s="1"/>
      <x:c r="D279" s="1"/>
      <x:c r="E279" s="1"/>
      <x:c r="F279" s="1"/>
    </x:row>
    <x:row r="280">
      <x:c r="A280" s="1"/>
      <x:c r="B280" s="1"/>
      <x:c r="C280" s="1"/>
      <x:c r="D280" s="1"/>
      <x:c r="E280" s="1"/>
      <x:c r="F280" s="1"/>
    </x:row>
    <x:row r="281">
      <x:c r="A281" s="1"/>
      <x:c r="B281" s="1"/>
      <x:c r="C281" s="1"/>
      <x:c r="D281" s="1"/>
      <x:c r="E281" s="1"/>
      <x:c r="F281" s="1"/>
    </x:row>
    <x:row r="282">
      <x:c r="A282" s="1"/>
      <x:c r="B282" s="1"/>
      <x:c r="C282" s="1"/>
      <x:c r="D282" s="1"/>
      <x:c r="E282" s="1"/>
      <x:c r="F282" s="1"/>
    </x:row>
    <x:row r="283">
      <x:c r="A283" s="1"/>
      <x:c r="B283" s="1"/>
      <x:c r="C283" s="1"/>
      <x:c r="D283" s="1"/>
      <x:c r="E283" s="1"/>
      <x:c r="F283" s="1"/>
    </x:row>
    <x:row r="284">
      <x:c r="A284" s="1"/>
      <x:c r="B284" s="1"/>
      <x:c r="C284" s="1"/>
      <x:c r="D284" s="1"/>
      <x:c r="E284" s="1"/>
      <x:c r="F284" s="1"/>
    </x:row>
    <x:row r="285">
      <x:c r="A285" s="1"/>
      <x:c r="B285" s="1"/>
      <x:c r="C285" s="1"/>
      <x:c r="D285" s="1"/>
      <x:c r="E285" s="1"/>
      <x:c r="F285" s="1"/>
    </x:row>
    <x:row r="286">
      <x:c r="A286" s="1"/>
      <x:c r="B286" s="1"/>
      <x:c r="C286" s="1"/>
      <x:c r="D286" s="1"/>
      <x:c r="E286" s="1"/>
      <x:c r="F286" s="1"/>
    </x:row>
    <x:row r="287">
      <x:c r="A287" s="1"/>
      <x:c r="B287" s="1"/>
      <x:c r="C287" s="1"/>
      <x:c r="D287" s="1"/>
      <x:c r="E287" s="1"/>
      <x:c r="F287" s="1"/>
    </x:row>
    <x:row r="288">
      <x:c r="A288" s="1"/>
      <x:c r="B288" s="1"/>
      <x:c r="C288" s="1"/>
      <x:c r="D288" s="1"/>
      <x:c r="E288" s="1"/>
      <x:c r="F288" s="1"/>
    </x:row>
    <x:row r="289">
      <x:c r="A289" s="1"/>
      <x:c r="B289" s="1"/>
      <x:c r="C289" s="1"/>
      <x:c r="D289" s="1"/>
      <x:c r="E289" s="1"/>
      <x:c r="F289" s="1"/>
    </x:row>
    <x:row r="290">
      <x:c r="A290" s="1"/>
      <x:c r="B290" s="1"/>
      <x:c r="C290" s="1"/>
      <x:c r="D290" s="1"/>
      <x:c r="E290" s="1"/>
      <x:c r="F290" s="1"/>
    </x:row>
    <x:row r="291">
      <x:c r="A291" s="1"/>
      <x:c r="B291" s="1"/>
      <x:c r="C291" s="1"/>
      <x:c r="D291" s="1"/>
      <x:c r="E291" s="1"/>
      <x:c r="F291" s="1"/>
    </x:row>
    <x:row r="292">
      <x:c r="A292" s="1"/>
      <x:c r="B292" s="1"/>
      <x:c r="C292" s="1"/>
      <x:c r="D292" s="1"/>
      <x:c r="E292" s="1"/>
      <x:c r="F292" s="1"/>
    </x:row>
    <x:row r="293">
      <x:c r="A293" s="1"/>
      <x:c r="B293" s="1"/>
      <x:c r="C293" s="1"/>
      <x:c r="D293" s="1"/>
      <x:c r="E293" s="1"/>
      <x:c r="F293" s="1"/>
    </x:row>
    <x:row r="294">
      <x:c r="A294" s="1"/>
      <x:c r="B294" s="1"/>
      <x:c r="C294" s="1"/>
      <x:c r="D294" s="1"/>
      <x:c r="E294" s="1"/>
      <x:c r="F294" s="1"/>
    </x:row>
    <x:row r="295">
      <x:c r="A295" s="1"/>
      <x:c r="B295" s="1"/>
      <x:c r="C295" s="1"/>
      <x:c r="D295" s="1"/>
      <x:c r="E295" s="1"/>
      <x:c r="F295" s="1"/>
    </x:row>
    <x:row r="296">
      <x:c r="A296" s="1"/>
      <x:c r="B296" s="1"/>
      <x:c r="C296" s="1"/>
      <x:c r="D296" s="1"/>
      <x:c r="E296" s="1"/>
      <x:c r="F296" s="1"/>
    </x:row>
    <x:row r="297">
      <x:c r="A297" s="1"/>
      <x:c r="B297" s="1"/>
      <x:c r="C297" s="1"/>
      <x:c r="D297" s="1"/>
      <x:c r="E297" s="1"/>
      <x:c r="F297" s="1"/>
    </x:row>
    <x:row r="298">
      <x:c r="A298" s="1"/>
      <x:c r="B298" s="1"/>
      <x:c r="C298" s="1"/>
      <x:c r="D298" s="1"/>
      <x:c r="E298" s="1"/>
      <x:c r="F298" s="1"/>
    </x:row>
    <x:row r="299">
      <x:c r="A299" s="1"/>
      <x:c r="B299" s="1"/>
      <x:c r="C299" s="1"/>
      <x:c r="D299" s="1"/>
      <x:c r="E299" s="1"/>
      <x:c r="F299" s="1"/>
    </x:row>
    <x:row r="300">
      <x:c r="A300" s="1"/>
      <x:c r="B300" s="1"/>
      <x:c r="C300" s="1"/>
      <x:c r="D300" s="1"/>
      <x:c r="E300" s="1"/>
      <x:c r="F300" s="1"/>
    </x:row>
    <x:row r="301">
      <x:c r="A301" s="1"/>
      <x:c r="B301" s="1"/>
      <x:c r="C301" s="1"/>
      <x:c r="D301" s="1"/>
      <x:c r="E301" s="1"/>
      <x:c r="F301" s="1"/>
    </x:row>
    <x:row r="302">
      <x:c r="A302" s="1"/>
      <x:c r="B302" s="1"/>
      <x:c r="C302" s="1"/>
      <x:c r="D302" s="1"/>
      <x:c r="E302" s="1"/>
      <x:c r="F302" s="1"/>
    </x:row>
    <x:row r="303">
      <x:c r="A303" s="1"/>
      <x:c r="B303" s="1"/>
      <x:c r="C303" s="1"/>
      <x:c r="D303" s="1"/>
      <x:c r="E303" s="1"/>
      <x:c r="F303" s="1"/>
    </x:row>
    <x:row r="304">
      <x:c r="A304" s="1"/>
      <x:c r="B304" s="1"/>
      <x:c r="C304" s="1"/>
      <x:c r="D304" s="1"/>
      <x:c r="E304" s="1"/>
      <x:c r="F304" s="1"/>
    </x:row>
    <x:row r="305">
      <x:c r="A305" s="1"/>
      <x:c r="B305" s="1"/>
      <x:c r="C305" s="1"/>
      <x:c r="D305" s="1"/>
      <x:c r="E305" s="1"/>
      <x:c r="F305" s="1"/>
    </x:row>
    <x:row r="306">
      <x:c r="A306" s="1"/>
      <x:c r="B306" s="1"/>
      <x:c r="C306" s="1"/>
      <x:c r="D306" s="1"/>
      <x:c r="E306" s="1"/>
      <x:c r="F306" s="1"/>
    </x:row>
    <x:row r="307">
      <x:c r="A307" s="1"/>
      <x:c r="B307" s="1"/>
      <x:c r="C307" s="1"/>
      <x:c r="D307" s="1"/>
      <x:c r="E307" s="1"/>
      <x:c r="F307" s="1"/>
    </x:row>
    <x:row r="308">
      <x:c r="A308" s="1"/>
      <x:c r="B308" s="1"/>
      <x:c r="C308" s="1"/>
      <x:c r="D308" s="1"/>
      <x:c r="E308" s="1"/>
      <x:c r="F308" s="1"/>
    </x:row>
    <x:row r="309">
      <x:c r="A309" s="1"/>
      <x:c r="B309" s="1"/>
      <x:c r="C309" s="1"/>
      <x:c r="D309" s="1"/>
      <x:c r="E309" s="1"/>
      <x:c r="F309" s="1"/>
    </x:row>
    <x:row r="310">
      <x:c r="A310" s="1"/>
      <x:c r="B310" s="1"/>
      <x:c r="C310" s="1"/>
      <x:c r="D310" s="1"/>
      <x:c r="E310" s="1"/>
      <x:c r="F310" s="1"/>
    </x:row>
    <x:row r="311">
      <x:c r="A311" s="1"/>
      <x:c r="B311" s="1"/>
      <x:c r="C311" s="1"/>
      <x:c r="D311" s="1"/>
      <x:c r="E311" s="1"/>
      <x:c r="F311" s="1"/>
    </x:row>
    <x:row r="312">
      <x:c r="A312" s="1"/>
      <x:c r="B312" s="1"/>
      <x:c r="C312" s="1"/>
      <x:c r="D312" s="1"/>
      <x:c r="E312" s="1"/>
      <x:c r="F312" s="1"/>
    </x:row>
    <x:row r="313">
      <x:c r="A313" s="1"/>
      <x:c r="B313" s="1"/>
      <x:c r="C313" s="1"/>
      <x:c r="D313" s="1"/>
      <x:c r="E313" s="1"/>
      <x:c r="F313" s="1"/>
    </x:row>
    <x:row r="314">
      <x:c r="A314" s="1"/>
      <x:c r="B314" s="1"/>
      <x:c r="C314" s="1"/>
      <x:c r="D314" s="1"/>
      <x:c r="E314" s="1"/>
      <x:c r="F314" s="1"/>
    </x:row>
    <x:row r="315">
      <x:c r="A315" s="1"/>
      <x:c r="B315" s="1"/>
      <x:c r="C315" s="1"/>
      <x:c r="D315" s="1"/>
      <x:c r="E315" s="1"/>
      <x:c r="F315" s="1"/>
    </x:row>
    <x:row r="316">
      <x:c r="A316" s="1"/>
      <x:c r="B316" s="1"/>
      <x:c r="C316" s="1"/>
      <x:c r="D316" s="1"/>
      <x:c r="E316" s="1"/>
      <x:c r="F316" s="1"/>
    </x:row>
    <x:row r="317">
      <x:c r="A317" s="1"/>
      <x:c r="B317" s="1"/>
      <x:c r="C317" s="1"/>
      <x:c r="D317" s="1"/>
      <x:c r="E317" s="1"/>
      <x:c r="F317" s="1"/>
    </x:row>
    <x:row r="318">
      <x:c r="A318" s="1"/>
      <x:c r="B318" s="1"/>
      <x:c r="C318" s="1"/>
      <x:c r="D318" s="1"/>
      <x:c r="E318" s="1"/>
      <x:c r="F318" s="1"/>
    </x:row>
    <x:row r="319">
      <x:c r="A319" s="1"/>
      <x:c r="B319" s="1"/>
      <x:c r="C319" s="1"/>
      <x:c r="D319" s="1"/>
      <x:c r="E319" s="1"/>
      <x:c r="F319" s="1"/>
    </x:row>
    <x:row r="320">
      <x:c r="A320" s="1"/>
      <x:c r="B320" s="1"/>
      <x:c r="C320" s="1"/>
      <x:c r="D320" s="1"/>
      <x:c r="E320" s="1"/>
      <x:c r="F320" s="1"/>
    </x:row>
    <x:row r="321">
      <x:c r="A321" s="1"/>
      <x:c r="B321" s="1"/>
      <x:c r="C321" s="1"/>
      <x:c r="D321" s="1"/>
      <x:c r="E321" s="1"/>
      <x:c r="F321" s="1"/>
    </x:row>
    <x:row r="322">
      <x:c r="A322" s="1"/>
      <x:c r="B322" s="1"/>
      <x:c r="C322" s="1"/>
      <x:c r="D322" s="1"/>
      <x:c r="E322" s="1"/>
      <x:c r="F322" s="1"/>
    </x:row>
    <x:row r="323">
      <x:c r="A323" s="1"/>
      <x:c r="B323" s="1"/>
      <x:c r="C323" s="1"/>
      <x:c r="D323" s="1"/>
      <x:c r="E323" s="1"/>
      <x:c r="F323" s="1"/>
    </x:row>
    <x:row r="324">
      <x:c r="A324" s="1"/>
      <x:c r="B324" s="1"/>
      <x:c r="C324" s="1"/>
      <x:c r="D324" s="1"/>
      <x:c r="E324" s="1"/>
      <x:c r="F324" s="1"/>
    </x:row>
    <x:row r="325">
      <x:c r="A325" s="1"/>
      <x:c r="B325" s="1"/>
      <x:c r="C325" s="1"/>
      <x:c r="D325" s="1"/>
      <x:c r="E325" s="1"/>
      <x:c r="F325" s="1"/>
    </x:row>
    <x:row r="326">
      <x:c r="A326" s="1"/>
      <x:c r="B326" s="1"/>
      <x:c r="C326" s="1"/>
      <x:c r="D326" s="1"/>
      <x:c r="E326" s="1"/>
      <x:c r="F326" s="1"/>
    </x:row>
    <x:row r="327">
      <x:c r="A327" s="1"/>
      <x:c r="B327" s="1"/>
      <x:c r="C327" s="1"/>
      <x:c r="D327" s="1"/>
      <x:c r="E327" s="1"/>
      <x:c r="F327" s="1"/>
    </x:row>
    <x:row r="328">
      <x:c r="A328" s="1"/>
      <x:c r="B328" s="1"/>
      <x:c r="C328" s="1"/>
      <x:c r="D328" s="1"/>
      <x:c r="E328" s="1"/>
      <x:c r="F328" s="1"/>
    </x:row>
    <x:row r="329">
      <x:c r="A329" s="1"/>
      <x:c r="B329" s="1"/>
      <x:c r="C329" s="1"/>
      <x:c r="D329" s="1"/>
      <x:c r="E329" s="1"/>
      <x:c r="F329" s="1"/>
    </x:row>
    <x:row r="330">
      <x:c r="A330" s="1"/>
      <x:c r="B330" s="1"/>
      <x:c r="C330" s="1"/>
      <x:c r="D330" s="1"/>
      <x:c r="E330" s="1"/>
      <x:c r="F330" s="1"/>
    </x:row>
    <x:row r="331">
      <x:c r="A331" s="1"/>
      <x:c r="B331" s="1"/>
      <x:c r="C331" s="1"/>
      <x:c r="D331" s="1"/>
      <x:c r="E331" s="1"/>
      <x:c r="F331" s="1"/>
    </x:row>
    <x:row r="332">
      <x:c r="A332" s="1"/>
      <x:c r="B332" s="1"/>
      <x:c r="C332" s="1"/>
      <x:c r="D332" s="1"/>
      <x:c r="E332" s="1"/>
      <x:c r="F332" s="1"/>
    </x:row>
    <x:row r="333">
      <x:c r="A333" s="1"/>
      <x:c r="B333" s="1"/>
      <x:c r="C333" s="1"/>
      <x:c r="D333" s="1"/>
      <x:c r="E333" s="1"/>
      <x:c r="F333" s="1"/>
    </x:row>
    <x:row r="334">
      <x:c r="A334" s="1"/>
      <x:c r="B334" s="1"/>
      <x:c r="C334" s="1"/>
      <x:c r="D334" s="1"/>
      <x:c r="E334" s="1"/>
      <x:c r="F334" s="1"/>
    </x:row>
    <x:row r="335">
      <x:c r="A335" s="1"/>
      <x:c r="B335" s="1"/>
      <x:c r="C335" s="1"/>
      <x:c r="D335" s="1"/>
      <x:c r="E335" s="1"/>
      <x:c r="F335" s="1"/>
    </x:row>
    <x:row r="336">
      <x:c r="A336" s="1"/>
      <x:c r="B336" s="1"/>
      <x:c r="C336" s="1"/>
      <x:c r="D336" s="1"/>
      <x:c r="E336" s="1"/>
      <x:c r="F336" s="1"/>
    </x:row>
    <x:row r="337">
      <x:c r="A337" s="1"/>
      <x:c r="B337" s="1"/>
      <x:c r="C337" s="1"/>
      <x:c r="D337" s="1"/>
      <x:c r="E337" s="1"/>
      <x:c r="F337" s="1"/>
    </x:row>
    <x:row r="338">
      <x:c r="A338" s="1"/>
      <x:c r="B338" s="1"/>
      <x:c r="C338" s="1"/>
      <x:c r="D338" s="1"/>
      <x:c r="E338" s="1"/>
      <x:c r="F338" s="1"/>
    </x:row>
    <x:row r="339">
      <x:c r="A339" s="1"/>
      <x:c r="B339" s="1"/>
      <x:c r="C339" s="1"/>
      <x:c r="D339" s="1"/>
      <x:c r="E339" s="1"/>
      <x:c r="F339" s="1"/>
    </x:row>
    <x:row r="340">
      <x:c r="A340" s="1"/>
      <x:c r="B340" s="1"/>
      <x:c r="C340" s="1"/>
      <x:c r="D340" s="1"/>
      <x:c r="E340" s="1"/>
      <x:c r="F340" s="1"/>
    </x:row>
    <x:row r="341">
      <x:c r="A341" s="1"/>
      <x:c r="B341" s="1"/>
      <x:c r="C341" s="1"/>
      <x:c r="D341" s="1"/>
      <x:c r="E341" s="1"/>
      <x:c r="F341" s="1"/>
    </x:row>
    <x:row r="342">
      <x:c r="A342" s="1"/>
      <x:c r="B342" s="1"/>
      <x:c r="C342" s="1"/>
      <x:c r="D342" s="1"/>
      <x:c r="E342" s="1"/>
      <x:c r="F342" s="1"/>
    </x:row>
    <x:row r="343">
      <x:c r="A343" s="1"/>
      <x:c r="B343" s="1"/>
      <x:c r="C343" s="1"/>
      <x:c r="D343" s="1"/>
      <x:c r="E343" s="1"/>
      <x:c r="F343" s="1"/>
    </x:row>
    <x:row r="344">
      <x:c r="A344" s="1"/>
      <x:c r="B344" s="1"/>
      <x:c r="C344" s="1"/>
      <x:c r="D344" s="1"/>
      <x:c r="E344" s="1"/>
      <x:c r="F344" s="1"/>
    </x:row>
    <x:row r="345">
      <x:c r="A345" s="1"/>
      <x:c r="B345" s="1"/>
      <x:c r="C345" s="1"/>
      <x:c r="D345" s="1"/>
      <x:c r="E345" s="1"/>
      <x:c r="F345" s="1"/>
    </x:row>
    <x:row r="346">
      <x:c r="A346" s="1"/>
      <x:c r="B346" s="1"/>
      <x:c r="C346" s="1"/>
      <x:c r="D346" s="1"/>
      <x:c r="E346" s="1"/>
      <x:c r="F346" s="1"/>
    </x:row>
    <x:row r="347">
      <x:c r="A347" s="1"/>
      <x:c r="B347" s="1"/>
      <x:c r="C347" s="1"/>
      <x:c r="D347" s="1"/>
      <x:c r="E347" s="1"/>
      <x:c r="F347" s="1"/>
    </x:row>
    <x:row r="348">
      <x:c r="A348" s="1"/>
      <x:c r="B348" s="1"/>
      <x:c r="C348" s="1"/>
      <x:c r="D348" s="1"/>
      <x:c r="E348" s="1"/>
      <x:c r="F348" s="1"/>
    </x:row>
    <x:row r="349">
      <x:c r="A349" s="1"/>
      <x:c r="B349" s="1"/>
      <x:c r="C349" s="1"/>
      <x:c r="D349" s="1"/>
      <x:c r="E349" s="1"/>
      <x:c r="F349" s="1"/>
    </x:row>
    <x:row r="350">
      <x:c r="A350" s="1"/>
      <x:c r="B350" s="1"/>
      <x:c r="C350" s="1"/>
      <x:c r="D350" s="1"/>
      <x:c r="E350" s="1"/>
      <x:c r="F350" s="1"/>
    </x:row>
    <x:row r="351">
      <x:c r="A351" s="1"/>
      <x:c r="B351" s="1"/>
      <x:c r="C351" s="1"/>
      <x:c r="D351" s="1"/>
      <x:c r="E351" s="1"/>
      <x:c r="F351" s="1"/>
    </x:row>
    <x:row r="352">
      <x:c r="A352" s="1"/>
      <x:c r="B352" s="1"/>
      <x:c r="C352" s="1"/>
      <x:c r="D352" s="1"/>
      <x:c r="E352" s="1"/>
      <x:c r="F352" s="1"/>
    </x:row>
    <x:row r="353">
      <x:c r="A353" s="1"/>
      <x:c r="B353" s="1"/>
      <x:c r="C353" s="1"/>
      <x:c r="D353" s="1"/>
      <x:c r="E353" s="1"/>
      <x:c r="F353" s="1"/>
    </x:row>
    <x:row r="354">
      <x:c r="A354" s="1"/>
      <x:c r="B354" s="1"/>
      <x:c r="C354" s="1"/>
      <x:c r="D354" s="1"/>
      <x:c r="E354" s="1"/>
      <x:c r="F354" s="1"/>
    </x:row>
    <x:row r="355">
      <x:c r="A355" s="1"/>
      <x:c r="B355" s="1"/>
      <x:c r="C355" s="1"/>
      <x:c r="D355" s="1"/>
      <x:c r="E355" s="1"/>
      <x:c r="F355" s="1"/>
    </x:row>
    <x:row r="356">
      <x:c r="A356" s="1"/>
      <x:c r="B356" s="1"/>
      <x:c r="C356" s="1"/>
      <x:c r="D356" s="1"/>
      <x:c r="E356" s="1"/>
      <x:c r="F356" s="1"/>
    </x:row>
    <x:row r="357">
      <x:c r="A357" s="1"/>
      <x:c r="B357" s="1"/>
      <x:c r="C357" s="1"/>
      <x:c r="D357" s="1"/>
      <x:c r="E357" s="1"/>
      <x:c r="F357" s="1"/>
    </x:row>
    <x:row r="358">
      <x:c r="A358" s="1"/>
      <x:c r="B358" s="1"/>
      <x:c r="C358" s="1"/>
      <x:c r="D358" s="1"/>
      <x:c r="E358" s="1"/>
      <x:c r="F358" s="1"/>
    </x:row>
    <x:row r="359">
      <x:c r="A359" s="1"/>
      <x:c r="B359" s="1"/>
      <x:c r="C359" s="1"/>
      <x:c r="D359" s="1"/>
      <x:c r="E359" s="1"/>
      <x:c r="F359" s="1"/>
    </x:row>
    <x:row r="360">
      <x:c r="A360" s="1"/>
      <x:c r="B360" s="1"/>
      <x:c r="C360" s="1"/>
      <x:c r="D360" s="1"/>
      <x:c r="E360" s="1"/>
      <x:c r="F360" s="1"/>
    </x:row>
    <x:row r="361">
      <x:c r="A361" s="1"/>
      <x:c r="B361" s="1"/>
      <x:c r="C361" s="1"/>
      <x:c r="D361" s="1"/>
      <x:c r="E361" s="1"/>
      <x:c r="F361" s="1"/>
    </x:row>
    <x:row r="362">
      <x:c r="A362" s="1"/>
      <x:c r="B362" s="1"/>
      <x:c r="C362" s="1"/>
      <x:c r="D362" s="1"/>
      <x:c r="E362" s="1"/>
      <x:c r="F362" s="1"/>
    </x:row>
    <x:row r="363">
      <x:c r="A363" s="1"/>
      <x:c r="B363" s="1"/>
      <x:c r="C363" s="1"/>
      <x:c r="D363" s="1"/>
      <x:c r="E363" s="1"/>
      <x:c r="F363" s="1"/>
    </x:row>
    <x:row r="364">
      <x:c r="A364" s="1"/>
      <x:c r="B364" s="1"/>
      <x:c r="C364" s="1"/>
      <x:c r="D364" s="1"/>
      <x:c r="E364" s="1"/>
      <x:c r="F364" s="1"/>
    </x:row>
    <x:row r="365">
      <x:c r="A365" s="1"/>
      <x:c r="B365" s="1"/>
      <x:c r="C365" s="1"/>
      <x:c r="D365" s="1"/>
      <x:c r="E365" s="1"/>
      <x:c r="F365" s="1"/>
    </x:row>
    <x:row r="366">
      <x:c r="A366" s="1"/>
      <x:c r="B366" s="1"/>
      <x:c r="C366" s="1"/>
      <x:c r="D366" s="1"/>
      <x:c r="E366" s="1"/>
      <x:c r="F366" s="1"/>
    </x:row>
    <x:row r="367">
      <x:c r="A367" s="1"/>
      <x:c r="B367" s="1"/>
      <x:c r="C367" s="1"/>
      <x:c r="D367" s="1"/>
      <x:c r="E367" s="1"/>
      <x:c r="F367" s="1"/>
    </x:row>
    <x:row r="368">
      <x:c r="A368" s="1"/>
      <x:c r="B368" s="1"/>
      <x:c r="C368" s="1"/>
      <x:c r="D368" s="1"/>
      <x:c r="E368" s="1"/>
      <x:c r="F368" s="1"/>
    </x:row>
    <x:row r="369">
      <x:c r="A369" s="1"/>
      <x:c r="B369" s="1"/>
      <x:c r="C369" s="1"/>
      <x:c r="D369" s="1"/>
      <x:c r="E369" s="1"/>
      <x:c r="F369" s="1"/>
    </x:row>
    <x:row r="370">
      <x:c r="A370" s="1"/>
      <x:c r="B370" s="1"/>
      <x:c r="C370" s="1"/>
      <x:c r="D370" s="1"/>
      <x:c r="E370" s="1"/>
      <x:c r="F370" s="1"/>
    </x:row>
    <x:row r="371">
      <x:c r="A371" s="1"/>
      <x:c r="B371" s="1"/>
      <x:c r="C371" s="1"/>
      <x:c r="D371" s="1"/>
      <x:c r="E371" s="1"/>
      <x:c r="F371" s="1"/>
    </x:row>
    <x:row r="372">
      <x:c r="A372" s="1"/>
      <x:c r="B372" s="1"/>
      <x:c r="C372" s="1"/>
      <x:c r="D372" s="1"/>
      <x:c r="E372" s="1"/>
      <x:c r="F372" s="1"/>
    </x:row>
    <x:row r="373">
      <x:c r="A373" s="1"/>
      <x:c r="B373" s="1"/>
      <x:c r="C373" s="1"/>
      <x:c r="D373" s="1"/>
      <x:c r="E373" s="1"/>
      <x:c r="F373" s="1"/>
    </x:row>
    <x:row r="374">
      <x:c r="A374" s="1"/>
      <x:c r="B374" s="1"/>
      <x:c r="C374" s="1"/>
      <x:c r="D374" s="1"/>
      <x:c r="E374" s="1"/>
      <x:c r="F374" s="1"/>
    </x:row>
    <x:row r="375">
      <x:c r="A375" s="1"/>
      <x:c r="B375" s="1"/>
      <x:c r="C375" s="1"/>
      <x:c r="D375" s="1"/>
      <x:c r="E375" s="1"/>
      <x:c r="F375" s="1"/>
    </x:row>
    <x:row r="376">
      <x:c r="A376" s="1"/>
      <x:c r="B376" s="1"/>
      <x:c r="C376" s="1"/>
      <x:c r="D376" s="1"/>
      <x:c r="E376" s="1"/>
      <x:c r="F376" s="1"/>
    </x:row>
    <x:row r="377">
      <x:c r="A377" s="1"/>
      <x:c r="B377" s="1"/>
      <x:c r="C377" s="1"/>
      <x:c r="D377" s="1"/>
      <x:c r="E377" s="1"/>
      <x:c r="F377" s="1"/>
    </x:row>
    <x:row r="378">
      <x:c r="A378" s="1"/>
      <x:c r="B378" s="1"/>
      <x:c r="C378" s="1"/>
      <x:c r="D378" s="1"/>
      <x:c r="E378" s="1"/>
      <x:c r="F378" s="1"/>
    </x:row>
    <x:row r="379">
      <x:c r="A379" s="1"/>
      <x:c r="B379" s="1"/>
      <x:c r="C379" s="1"/>
      <x:c r="D379" s="1"/>
      <x:c r="E379" s="1"/>
      <x:c r="F379" s="1"/>
    </x:row>
    <x:row r="380">
      <x:c r="A380" s="1"/>
      <x:c r="B380" s="1"/>
      <x:c r="C380" s="1"/>
      <x:c r="D380" s="1"/>
      <x:c r="E380" s="1"/>
      <x:c r="F380" s="1"/>
    </x:row>
    <x:row r="381">
      <x:c r="A381" s="1"/>
      <x:c r="B381" s="1"/>
      <x:c r="C381" s="1"/>
      <x:c r="D381" s="1"/>
      <x:c r="E381" s="1"/>
      <x:c r="F381" s="1"/>
    </x:row>
    <x:row r="382">
      <x:c r="A382" s="1"/>
      <x:c r="B382" s="1"/>
      <x:c r="C382" s="1"/>
      <x:c r="D382" s="1"/>
      <x:c r="E382" s="1"/>
      <x:c r="F382" s="1"/>
    </x:row>
    <x:row r="383">
      <x:c r="A383" s="1"/>
      <x:c r="B383" s="1"/>
      <x:c r="C383" s="1"/>
      <x:c r="D383" s="1"/>
      <x:c r="E383" s="1"/>
      <x:c r="F383" s="1"/>
    </x:row>
    <x:row r="384">
      <x:c r="A384" s="1"/>
      <x:c r="B384" s="1"/>
      <x:c r="C384" s="1"/>
      <x:c r="D384" s="1"/>
      <x:c r="E384" s="1"/>
      <x:c r="F384" s="1"/>
    </x:row>
    <x:row r="385">
      <x:c r="A385" s="1"/>
      <x:c r="B385" s="1"/>
      <x:c r="C385" s="1"/>
      <x:c r="D385" s="1"/>
      <x:c r="E385" s="1"/>
      <x:c r="F385" s="1"/>
    </x:row>
    <x:row r="386">
      <x:c r="A386" s="1"/>
      <x:c r="B386" s="1"/>
      <x:c r="C386" s="1"/>
      <x:c r="D386" s="1"/>
      <x:c r="E386" s="1"/>
      <x:c r="F386" s="1"/>
    </x:row>
    <x:row r="387">
      <x:c r="A387" s="1"/>
      <x:c r="B387" s="1"/>
      <x:c r="C387" s="1"/>
      <x:c r="D387" s="1"/>
      <x:c r="E387" s="1"/>
      <x:c r="F387" s="1"/>
    </x:row>
    <x:row r="388">
      <x:c r="A388" s="1"/>
      <x:c r="B388" s="1"/>
      <x:c r="C388" s="1"/>
      <x:c r="D388" s="1"/>
      <x:c r="E388" s="1"/>
      <x:c r="F388" s="1"/>
    </x:row>
    <x:row r="389">
      <x:c r="A389" s="1"/>
      <x:c r="B389" s="1"/>
      <x:c r="C389" s="1"/>
      <x:c r="D389" s="1"/>
      <x:c r="E389" s="1"/>
      <x:c r="F389" s="1"/>
    </x:row>
    <x:row r="390">
      <x:c r="A390" s="1"/>
      <x:c r="B390" s="1"/>
      <x:c r="C390" s="1"/>
      <x:c r="D390" s="1"/>
      <x:c r="E390" s="1"/>
      <x:c r="F390" s="1"/>
    </x:row>
    <x:row r="391">
      <x:c r="A391" s="1"/>
      <x:c r="B391" s="1"/>
      <x:c r="C391" s="1"/>
      <x:c r="D391" s="1"/>
      <x:c r="E391" s="1"/>
      <x:c r="F391" s="1"/>
    </x:row>
    <x:row r="392">
      <x:c r="A392" s="1"/>
      <x:c r="B392" s="1"/>
      <x:c r="C392" s="1"/>
      <x:c r="D392" s="1"/>
      <x:c r="E392" s="1"/>
      <x:c r="F392" s="1"/>
    </x:row>
    <x:row r="393">
      <x:c r="A393" s="1"/>
      <x:c r="B393" s="1"/>
      <x:c r="C393" s="1"/>
      <x:c r="D393" s="1"/>
      <x:c r="E393" s="1"/>
      <x:c r="F393" s="1"/>
    </x:row>
    <x:row r="394">
      <x:c r="A394" s="1"/>
      <x:c r="B394" s="1"/>
      <x:c r="C394" s="1"/>
      <x:c r="D394" s="1"/>
      <x:c r="E394" s="1"/>
      <x:c r="F394" s="1"/>
    </x:row>
    <x:row r="395">
      <x:c r="A395" s="1"/>
      <x:c r="B395" s="1"/>
      <x:c r="C395" s="1"/>
      <x:c r="D395" s="1"/>
      <x:c r="E395" s="1"/>
      <x:c r="F395" s="1"/>
    </x:row>
    <x:row r="396">
      <x:c r="A396" s="1"/>
      <x:c r="B396" s="1"/>
      <x:c r="C396" s="1"/>
      <x:c r="D396" s="1"/>
      <x:c r="E396" s="1"/>
      <x:c r="F396" s="1"/>
    </x:row>
    <x:row r="397">
      <x:c r="A397" s="1"/>
      <x:c r="B397" s="1"/>
      <x:c r="C397" s="1"/>
      <x:c r="D397" s="1"/>
      <x:c r="E397" s="1"/>
      <x:c r="F397" s="1"/>
    </x:row>
    <x:row r="398">
      <x:c r="A398" s="1"/>
      <x:c r="B398" s="1"/>
      <x:c r="C398" s="1"/>
      <x:c r="D398" s="1"/>
      <x:c r="E398" s="1"/>
      <x:c r="F398" s="1"/>
    </x:row>
    <x:row r="399">
      <x:c r="A399" s="1"/>
      <x:c r="B399" s="1"/>
      <x:c r="C399" s="1"/>
      <x:c r="D399" s="1"/>
      <x:c r="E399" s="1"/>
      <x:c r="F399" s="1"/>
    </x:row>
    <x:row r="400">
      <x:c r="A400" s="1"/>
      <x:c r="B400" s="1"/>
      <x:c r="C400" s="1"/>
      <x:c r="D400" s="1"/>
      <x:c r="E400" s="1"/>
      <x:c r="F400" s="1"/>
    </x:row>
    <x:row r="401">
      <x:c r="A401" s="1"/>
      <x:c r="B401" s="1"/>
      <x:c r="C401" s="1"/>
      <x:c r="D401" s="1"/>
      <x:c r="E401" s="1"/>
      <x:c r="F401" s="1"/>
    </x:row>
    <x:row r="402">
      <x:c r="A402" s="1"/>
      <x:c r="B402" s="1"/>
      <x:c r="C402" s="1"/>
      <x:c r="D402" s="1"/>
      <x:c r="E402" s="1"/>
      <x:c r="F402" s="1"/>
    </x:row>
    <x:row r="403">
      <x:c r="A403" s="1"/>
      <x:c r="B403" s="1"/>
      <x:c r="C403" s="1"/>
      <x:c r="D403" s="1"/>
      <x:c r="E403" s="1"/>
      <x:c r="F403" s="1"/>
    </x:row>
    <x:row r="404">
      <x:c r="A404" s="1"/>
      <x:c r="B404" s="1"/>
      <x:c r="C404" s="1"/>
      <x:c r="D404" s="1"/>
      <x:c r="E404" s="1"/>
      <x:c r="F404" s="1"/>
    </x:row>
    <x:row r="405">
      <x:c r="A405" s="1"/>
      <x:c r="B405" s="1"/>
      <x:c r="C405" s="1"/>
      <x:c r="D405" s="1"/>
      <x:c r="E405" s="1"/>
      <x:c r="F405" s="1"/>
    </x:row>
    <x:row r="406">
      <x:c r="A406" s="1"/>
      <x:c r="B406" s="1"/>
      <x:c r="C406" s="1"/>
      <x:c r="D406" s="1"/>
      <x:c r="E406" s="1"/>
      <x:c r="F406" s="1"/>
    </x:row>
    <x:row r="407">
      <x:c r="A407" s="1"/>
      <x:c r="B407" s="1"/>
      <x:c r="C407" s="1"/>
      <x:c r="D407" s="1"/>
      <x:c r="E407" s="1"/>
      <x:c r="F407" s="1"/>
    </x:row>
    <x:row r="408">
      <x:c r="A408" s="1"/>
      <x:c r="B408" s="1"/>
      <x:c r="C408" s="1"/>
      <x:c r="D408" s="1"/>
      <x:c r="E408" s="1"/>
      <x:c r="F408" s="1"/>
    </x:row>
    <x:row r="409">
      <x:c r="A409" s="1"/>
      <x:c r="B409" s="1"/>
      <x:c r="C409" s="1"/>
      <x:c r="D409" s="1"/>
      <x:c r="E409" s="1"/>
      <x:c r="F409" s="1"/>
    </x:row>
    <x:row r="410">
      <x:c r="A410" s="1"/>
      <x:c r="B410" s="1"/>
      <x:c r="C410" s="1"/>
      <x:c r="D410" s="1"/>
      <x:c r="E410" s="1"/>
      <x:c r="F410" s="1"/>
    </x:row>
    <x:row r="411">
      <x:c r="A411" s="1"/>
      <x:c r="B411" s="1"/>
      <x:c r="C411" s="1"/>
      <x:c r="D411" s="1"/>
      <x:c r="E411" s="1"/>
      <x:c r="F411" s="1"/>
    </x:row>
    <x:row r="412">
      <x:c r="A412" s="1"/>
      <x:c r="B412" s="1"/>
      <x:c r="C412" s="1"/>
      <x:c r="D412" s="1"/>
      <x:c r="E412" s="1"/>
      <x:c r="F412" s="1"/>
    </x:row>
    <x:row r="413">
      <x:c r="A413" s="1"/>
      <x:c r="B413" s="1"/>
      <x:c r="C413" s="1"/>
      <x:c r="D413" s="1"/>
      <x:c r="E413" s="1"/>
      <x:c r="F413" s="1"/>
    </x:row>
    <x:row r="414">
      <x:c r="A414" s="1"/>
      <x:c r="B414" s="1"/>
      <x:c r="C414" s="1"/>
      <x:c r="D414" s="1"/>
      <x:c r="E414" s="1"/>
      <x:c r="F414" s="1"/>
    </x:row>
    <x:row r="415">
      <x:c r="A415" s="1"/>
      <x:c r="B415" s="1"/>
      <x:c r="C415" s="1"/>
      <x:c r="D415" s="1"/>
      <x:c r="E415" s="1"/>
      <x:c r="F415" s="1"/>
    </x:row>
    <x:row r="416">
      <x:c r="A416" s="1"/>
      <x:c r="B416" s="1"/>
      <x:c r="C416" s="1"/>
      <x:c r="D416" s="1"/>
      <x:c r="E416" s="1"/>
      <x:c r="F416" s="1"/>
    </x:row>
    <x:row r="417">
      <x:c r="A417" s="1"/>
      <x:c r="B417" s="1"/>
      <x:c r="C417" s="1"/>
      <x:c r="D417" s="1"/>
      <x:c r="E417" s="1"/>
      <x:c r="F417" s="1"/>
    </x:row>
    <x:row r="418">
      <x:c r="A418" s="1"/>
      <x:c r="B418" s="1"/>
      <x:c r="C418" s="1"/>
      <x:c r="D418" s="1"/>
      <x:c r="E418" s="1"/>
      <x:c r="F418" s="1"/>
    </x:row>
    <x:row r="419">
      <x:c r="A419" s="1"/>
      <x:c r="B419" s="1"/>
      <x:c r="C419" s="1"/>
      <x:c r="D419" s="1"/>
      <x:c r="E419" s="1"/>
      <x:c r="F419" s="1"/>
    </x:row>
    <x:row r="420">
      <x:c r="A420" s="1"/>
      <x:c r="B420" s="1"/>
      <x:c r="C420" s="1"/>
      <x:c r="D420" s="1"/>
      <x:c r="E420" s="1"/>
      <x:c r="F420" s="1"/>
    </x:row>
    <x:row r="421">
      <x:c r="A421" s="1"/>
      <x:c r="B421" s="1"/>
      <x:c r="C421" s="1"/>
      <x:c r="D421" s="1"/>
      <x:c r="E421" s="1"/>
      <x:c r="F421" s="1"/>
    </x:row>
    <x:row r="422">
      <x:c r="A422" s="1"/>
      <x:c r="B422" s="1"/>
      <x:c r="C422" s="1"/>
      <x:c r="D422" s="1"/>
      <x:c r="E422" s="1"/>
      <x:c r="F422" s="1"/>
    </x:row>
    <x:row r="423">
      <x:c r="A423" s="1"/>
      <x:c r="B423" s="1"/>
      <x:c r="C423" s="1"/>
      <x:c r="D423" s="1"/>
      <x:c r="E423" s="1"/>
      <x:c r="F423" s="1"/>
    </x:row>
    <x:row r="424">
      <x:c r="A424" s="1"/>
      <x:c r="B424" s="1"/>
      <x:c r="C424" s="1"/>
      <x:c r="D424" s="1"/>
      <x:c r="E424" s="1"/>
      <x:c r="F424" s="1"/>
    </x:row>
    <x:row r="425">
      <x:c r="A425" s="1"/>
      <x:c r="B425" s="1"/>
      <x:c r="C425" s="1"/>
      <x:c r="D425" s="1"/>
      <x:c r="E425" s="1"/>
      <x:c r="F425" s="1"/>
    </x:row>
    <x:row r="426">
      <x:c r="A426" s="1"/>
      <x:c r="B426" s="1"/>
      <x:c r="C426" s="1"/>
      <x:c r="D426" s="1"/>
      <x:c r="E426" s="1"/>
      <x:c r="F426" s="1"/>
    </x:row>
    <x:row r="427">
      <x:c r="A427" s="1"/>
      <x:c r="B427" s="1"/>
      <x:c r="C427" s="1"/>
      <x:c r="D427" s="1"/>
      <x:c r="E427" s="1"/>
      <x:c r="F427" s="1"/>
    </x:row>
    <x:row r="428">
      <x:c r="A428" s="1"/>
      <x:c r="B428" s="1"/>
      <x:c r="C428" s="1"/>
      <x:c r="D428" s="1"/>
      <x:c r="E428" s="1"/>
      <x:c r="F428" s="1"/>
    </x:row>
    <x:row r="429">
      <x:c r="A429" s="1"/>
      <x:c r="B429" s="1"/>
      <x:c r="C429" s="1"/>
      <x:c r="D429" s="1"/>
      <x:c r="E429" s="1"/>
      <x:c r="F429" s="1"/>
    </x:row>
    <x:row r="430">
      <x:c r="A430" s="1"/>
      <x:c r="B430" s="1"/>
      <x:c r="C430" s="1"/>
      <x:c r="D430" s="1"/>
      <x:c r="E430" s="1"/>
      <x:c r="F430" s="1"/>
    </x:row>
    <x:row r="431">
      <x:c r="A431" s="1"/>
      <x:c r="B431" s="1"/>
      <x:c r="C431" s="1"/>
      <x:c r="D431" s="1"/>
      <x:c r="E431" s="1"/>
      <x:c r="F431" s="1"/>
    </x:row>
    <x:row r="432">
      <x:c r="A432" s="1"/>
      <x:c r="B432" s="1"/>
      <x:c r="C432" s="1"/>
      <x:c r="D432" s="1"/>
      <x:c r="E432" s="1"/>
      <x:c r="F432" s="1"/>
    </x:row>
    <x:row r="433">
      <x:c r="A433" s="1"/>
      <x:c r="B433" s="1"/>
      <x:c r="C433" s="1"/>
      <x:c r="D433" s="1"/>
      <x:c r="E433" s="1"/>
      <x:c r="F433" s="1"/>
    </x:row>
    <x:row r="434">
      <x:c r="A434" s="1"/>
      <x:c r="B434" s="1"/>
      <x:c r="C434" s="1"/>
      <x:c r="D434" s="1"/>
      <x:c r="E434" s="1"/>
      <x:c r="F434" s="1"/>
    </x:row>
    <x:row r="435">
      <x:c r="A435" s="1"/>
      <x:c r="B435" s="1"/>
      <x:c r="C435" s="1"/>
      <x:c r="D435" s="1"/>
      <x:c r="E435" s="1"/>
      <x:c r="F435" s="1"/>
    </x:row>
    <x:row r="436">
      <x:c r="A436" s="1"/>
      <x:c r="B436" s="1"/>
      <x:c r="C436" s="1"/>
      <x:c r="D436" s="1"/>
      <x:c r="E436" s="1"/>
      <x:c r="F436" s="1"/>
    </x:row>
    <x:row r="437">
      <x:c r="A437" s="1"/>
      <x:c r="B437" s="1"/>
      <x:c r="C437" s="1"/>
      <x:c r="D437" s="1"/>
      <x:c r="E437" s="1"/>
      <x:c r="F437" s="1"/>
    </x:row>
    <x:row r="438">
      <x:c r="A438" s="1"/>
      <x:c r="B438" s="1"/>
      <x:c r="C438" s="1"/>
      <x:c r="D438" s="1"/>
      <x:c r="E438" s="1"/>
      <x:c r="F438" s="1"/>
    </x:row>
    <x:row r="439">
      <x:c r="A439" s="1"/>
      <x:c r="B439" s="1"/>
      <x:c r="C439" s="1"/>
      <x:c r="D439" s="1"/>
      <x:c r="E439" s="1"/>
      <x:c r="F439" s="1"/>
    </x:row>
    <x:row r="440">
      <x:c r="A440" s="1"/>
      <x:c r="B440" s="1"/>
      <x:c r="C440" s="1"/>
      <x:c r="D440" s="1"/>
      <x:c r="E440" s="1"/>
      <x:c r="F440" s="1"/>
    </x:row>
    <x:row r="441">
      <x:c r="A441" s="1"/>
      <x:c r="B441" s="1"/>
      <x:c r="C441" s="1"/>
      <x:c r="D441" s="1"/>
      <x:c r="E441" s="1"/>
      <x:c r="F441" s="1"/>
    </x:row>
    <x:row r="442">
      <x:c r="A442" s="1"/>
      <x:c r="B442" s="1"/>
      <x:c r="C442" s="1"/>
      <x:c r="D442" s="1"/>
      <x:c r="E442" s="1"/>
      <x:c r="F442" s="1"/>
    </x:row>
    <x:row r="443">
      <x:c r="A443" s="1"/>
      <x:c r="B443" s="1"/>
      <x:c r="C443" s="1"/>
      <x:c r="D443" s="1"/>
      <x:c r="E443" s="1"/>
      <x:c r="F443" s="1"/>
    </x:row>
    <x:row r="444">
      <x:c r="A444" s="1"/>
      <x:c r="B444" s="1"/>
      <x:c r="C444" s="1"/>
      <x:c r="D444" s="1"/>
      <x:c r="E444" s="1"/>
      <x:c r="F444" s="1"/>
    </x:row>
    <x:row r="445">
      <x:c r="A445" s="1"/>
      <x:c r="B445" s="1"/>
      <x:c r="C445" s="1"/>
      <x:c r="D445" s="1"/>
      <x:c r="E445" s="1"/>
      <x:c r="F445" s="1"/>
    </x:row>
    <x:row r="446">
      <x:c r="A446" s="1"/>
      <x:c r="B446" s="1"/>
      <x:c r="C446" s="1"/>
      <x:c r="D446" s="1"/>
      <x:c r="E446" s="1"/>
      <x:c r="F446" s="1"/>
    </x:row>
    <x:row r="447">
      <x:c r="A447" s="1"/>
      <x:c r="B447" s="1"/>
      <x:c r="C447" s="1"/>
      <x:c r="D447" s="1"/>
      <x:c r="E447" s="1"/>
      <x:c r="F447" s="1"/>
    </x:row>
    <x:row r="448">
      <x:c r="A448" s="1"/>
      <x:c r="B448" s="1"/>
      <x:c r="C448" s="1"/>
      <x:c r="D448" s="1"/>
      <x:c r="E448" s="1"/>
      <x:c r="F448" s="1"/>
    </x:row>
    <x:row r="449">
      <x:c r="A449" s="1"/>
      <x:c r="B449" s="1"/>
      <x:c r="C449" s="1"/>
      <x:c r="D449" s="1"/>
      <x:c r="E449" s="1"/>
      <x:c r="F449" s="1"/>
    </x:row>
    <x:row r="450">
      <x:c r="A450" s="1"/>
      <x:c r="B450" s="1"/>
      <x:c r="C450" s="1"/>
      <x:c r="D450" s="1"/>
      <x:c r="E450" s="1"/>
      <x:c r="F450" s="1"/>
    </x:row>
    <x:row r="451">
      <x:c r="A451" s="1"/>
      <x:c r="B451" s="1"/>
      <x:c r="C451" s="1"/>
      <x:c r="D451" s="1"/>
      <x:c r="E451" s="1"/>
      <x:c r="F451" s="1"/>
    </x:row>
    <x:row r="452">
      <x:c r="A452" s="1"/>
      <x:c r="B452" s="1"/>
      <x:c r="C452" s="1"/>
      <x:c r="D452" s="1"/>
      <x:c r="E452" s="1"/>
      <x:c r="F452" s="1"/>
    </x:row>
    <x:row r="453">
      <x:c r="A453" s="1"/>
      <x:c r="B453" s="1"/>
      <x:c r="C453" s="1"/>
      <x:c r="D453" s="1"/>
      <x:c r="E453" s="1"/>
      <x:c r="F453" s="1"/>
    </x:row>
    <x:row r="454">
      <x:c r="A454" s="1"/>
      <x:c r="B454" s="1"/>
      <x:c r="C454" s="1"/>
      <x:c r="D454" s="1"/>
      <x:c r="E454" s="1"/>
      <x:c r="F454" s="1"/>
    </x:row>
    <x:row r="455">
      <x:c r="A455" s="1"/>
      <x:c r="B455" s="1"/>
      <x:c r="C455" s="1"/>
      <x:c r="D455" s="1"/>
      <x:c r="E455" s="1"/>
      <x:c r="F455" s="1"/>
    </x:row>
    <x:row r="456">
      <x:c r="A456" s="1"/>
      <x:c r="B456" s="1"/>
      <x:c r="C456" s="1"/>
      <x:c r="D456" s="1"/>
      <x:c r="E456" s="1"/>
      <x:c r="F456" s="1"/>
    </x:row>
    <x:row r="457">
      <x:c r="A457" s="1"/>
      <x:c r="B457" s="1"/>
      <x:c r="C457" s="1"/>
      <x:c r="D457" s="1"/>
      <x:c r="E457" s="1"/>
      <x:c r="F457" s="1"/>
    </x:row>
    <x:row r="458">
      <x:c r="A458" s="1"/>
      <x:c r="B458" s="1"/>
      <x:c r="C458" s="1"/>
      <x:c r="D458" s="1"/>
      <x:c r="E458" s="1"/>
      <x:c r="F458" s="1"/>
    </x:row>
    <x:row r="459">
      <x:c r="A459" s="1"/>
      <x:c r="B459" s="1"/>
      <x:c r="C459" s="1"/>
      <x:c r="D459" s="1"/>
      <x:c r="E459" s="1"/>
      <x:c r="F459" s="1"/>
    </x:row>
    <x:row r="460">
      <x:c r="A460" s="1"/>
      <x:c r="B460" s="1"/>
      <x:c r="C460" s="1"/>
      <x:c r="D460" s="1"/>
      <x:c r="E460" s="1"/>
      <x:c r="F460" s="1"/>
    </x:row>
    <x:row r="461">
      <x:c r="A461" s="1"/>
      <x:c r="B461" s="1"/>
      <x:c r="C461" s="1"/>
      <x:c r="D461" s="1"/>
      <x:c r="E461" s="1"/>
      <x:c r="F461" s="1"/>
    </x:row>
    <x:row r="462">
      <x:c r="A462" s="1"/>
      <x:c r="B462" s="1"/>
      <x:c r="C462" s="1"/>
      <x:c r="D462" s="1"/>
      <x:c r="E462" s="1"/>
      <x:c r="F462" s="1"/>
    </x:row>
    <x:row r="463">
      <x:c r="A463" s="1"/>
      <x:c r="B463" s="1"/>
      <x:c r="C463" s="1"/>
      <x:c r="D463" s="1"/>
      <x:c r="E463" s="1"/>
      <x:c r="F463" s="1"/>
    </x:row>
    <x:row r="464">
      <x:c r="A464" s="1"/>
      <x:c r="B464" s="1"/>
      <x:c r="C464" s="1"/>
      <x:c r="D464" s="1"/>
      <x:c r="E464" s="1"/>
      <x:c r="F464" s="1"/>
    </x:row>
    <x:row r="465">
      <x:c r="A465" s="1"/>
      <x:c r="B465" s="1"/>
      <x:c r="C465" s="1"/>
      <x:c r="D465" s="1"/>
      <x:c r="E465" s="1"/>
      <x:c r="F465" s="1"/>
    </x:row>
    <x:row r="466">
      <x:c r="A466" s="1"/>
      <x:c r="B466" s="1"/>
      <x:c r="C466" s="1"/>
      <x:c r="D466" s="1"/>
      <x:c r="E466" s="1"/>
      <x:c r="F466" s="1"/>
    </x:row>
    <x:row r="467">
      <x:c r="A467" s="1"/>
      <x:c r="B467" s="1"/>
      <x:c r="C467" s="1"/>
      <x:c r="D467" s="1"/>
      <x:c r="E467" s="1"/>
      <x:c r="F467" s="1"/>
    </x:row>
    <x:row r="468">
      <x:c r="A468" s="1"/>
      <x:c r="B468" s="1"/>
      <x:c r="C468" s="1"/>
      <x:c r="D468" s="1"/>
      <x:c r="E468" s="1"/>
      <x:c r="F468" s="1"/>
    </x:row>
    <x:row r="469">
      <x:c r="A469" s="1"/>
      <x:c r="B469" s="1"/>
      <x:c r="C469" s="1"/>
      <x:c r="D469" s="1"/>
      <x:c r="E469" s="1"/>
      <x:c r="F469" s="1"/>
    </x:row>
    <x:row r="470">
      <x:c r="A470" s="1"/>
      <x:c r="B470" s="1"/>
      <x:c r="C470" s="1"/>
      <x:c r="D470" s="1"/>
      <x:c r="E470" s="1"/>
      <x:c r="F470" s="1"/>
    </x:row>
    <x:row r="471">
      <x:c r="A471" s="1"/>
      <x:c r="B471" s="1"/>
      <x:c r="C471" s="1"/>
      <x:c r="D471" s="1"/>
      <x:c r="E471" s="1"/>
      <x:c r="F471" s="1"/>
    </x:row>
    <x:row r="472">
      <x:c r="A472" s="1"/>
      <x:c r="B472" s="1"/>
      <x:c r="C472" s="1"/>
      <x:c r="D472" s="1"/>
      <x:c r="E472" s="1"/>
      <x:c r="F472" s="1"/>
    </x:row>
    <x:row r="473">
      <x:c r="A473" s="1"/>
      <x:c r="B473" s="1"/>
      <x:c r="C473" s="1"/>
      <x:c r="D473" s="1"/>
      <x:c r="E473" s="1"/>
      <x:c r="F473" s="1"/>
    </x:row>
    <x:row r="474">
      <x:c r="A474" s="1"/>
      <x:c r="B474" s="1"/>
      <x:c r="C474" s="1"/>
      <x:c r="D474" s="1"/>
      <x:c r="E474" s="1"/>
      <x:c r="F474" s="1"/>
    </x:row>
    <x:row r="475">
      <x:c r="A475" s="1"/>
      <x:c r="B475" s="1"/>
      <x:c r="C475" s="1"/>
      <x:c r="D475" s="1"/>
      <x:c r="E475" s="1"/>
      <x:c r="F475" s="1"/>
    </x:row>
    <x:row r="476">
      <x:c r="A476" s="1"/>
      <x:c r="B476" s="1"/>
      <x:c r="C476" s="1"/>
      <x:c r="D476" s="1"/>
      <x:c r="E476" s="1"/>
      <x:c r="F476" s="1"/>
    </x:row>
    <x:row r="477">
      <x:c r="A477" s="1"/>
      <x:c r="B477" s="1"/>
      <x:c r="C477" s="1"/>
      <x:c r="D477" s="1"/>
      <x:c r="E477" s="1"/>
      <x:c r="F477" s="1"/>
    </x:row>
    <x:row r="478">
      <x:c r="A478" s="1"/>
      <x:c r="B478" s="1"/>
      <x:c r="C478" s="1"/>
      <x:c r="D478" s="1"/>
      <x:c r="E478" s="1"/>
      <x:c r="F478" s="1"/>
    </x:row>
    <x:row r="479">
      <x:c r="A479" s="1"/>
      <x:c r="B479" s="1"/>
      <x:c r="C479" s="1"/>
      <x:c r="D479" s="1"/>
      <x:c r="E479" s="1"/>
      <x:c r="F479" s="1"/>
    </x:row>
    <x:row r="480">
      <x:c r="A480" s="1"/>
      <x:c r="B480" s="1"/>
      <x:c r="C480" s="1"/>
      <x:c r="D480" s="1"/>
      <x:c r="E480" s="1"/>
      <x:c r="F480" s="1"/>
    </x:row>
    <x:row r="481">
      <x:c r="A481" s="1"/>
      <x:c r="B481" s="1"/>
      <x:c r="C481" s="1"/>
      <x:c r="D481" s="1"/>
      <x:c r="E481" s="1"/>
      <x:c r="F481" s="1"/>
    </x:row>
    <x:row r="482">
      <x:c r="A482" s="1"/>
      <x:c r="B482" s="1"/>
      <x:c r="C482" s="1"/>
      <x:c r="D482" s="1"/>
      <x:c r="E482" s="1"/>
      <x:c r="F482" s="1"/>
    </x:row>
    <x:row r="483">
      <x:c r="A483" s="1"/>
      <x:c r="B483" s="1"/>
      <x:c r="C483" s="1"/>
      <x:c r="D483" s="1"/>
      <x:c r="E483" s="1"/>
      <x:c r="F483" s="1"/>
    </x:row>
    <x:row r="484">
      <x:c r="A484" s="1"/>
      <x:c r="B484" s="1"/>
      <x:c r="C484" s="1"/>
      <x:c r="D484" s="1"/>
      <x:c r="E484" s="1"/>
      <x:c r="F484" s="1"/>
    </x:row>
    <x:row r="485">
      <x:c r="A485" s="1"/>
      <x:c r="B485" s="1"/>
      <x:c r="C485" s="1"/>
      <x:c r="D485" s="1"/>
      <x:c r="E485" s="1"/>
      <x:c r="F485" s="1"/>
    </x:row>
    <x:row r="486">
      <x:c r="A486" s="1"/>
      <x:c r="B486" s="1"/>
      <x:c r="C486" s="1"/>
      <x:c r="D486" s="1"/>
      <x:c r="E486" s="1"/>
      <x:c r="F486" s="1"/>
    </x:row>
    <x:row r="487">
      <x:c r="A487" s="1"/>
      <x:c r="B487" s="1"/>
      <x:c r="C487" s="1"/>
      <x:c r="D487" s="1"/>
      <x:c r="E487" s="1"/>
      <x:c r="F487" s="1"/>
    </x:row>
    <x:row r="488">
      <x:c r="A488" s="1"/>
      <x:c r="B488" s="1"/>
      <x:c r="C488" s="1"/>
      <x:c r="D488" s="1"/>
      <x:c r="E488" s="1"/>
      <x:c r="F488" s="1"/>
    </x:row>
    <x:row r="489">
      <x:c r="A489" s="1"/>
      <x:c r="B489" s="1"/>
      <x:c r="C489" s="1"/>
      <x:c r="D489" s="1"/>
      <x:c r="E489" s="1"/>
      <x:c r="F489" s="1"/>
    </x:row>
    <x:row r="490">
      <x:c r="A490" s="1"/>
      <x:c r="B490" s="1"/>
      <x:c r="C490" s="1"/>
      <x:c r="D490" s="1"/>
      <x:c r="E490" s="1"/>
      <x:c r="F490" s="1"/>
    </x:row>
    <x:row r="491">
      <x:c r="A491" s="1"/>
      <x:c r="B491" s="1"/>
      <x:c r="C491" s="1"/>
      <x:c r="D491" s="1"/>
      <x:c r="E491" s="1"/>
      <x:c r="F491" s="1"/>
    </x:row>
    <x:row r="492">
      <x:c r="A492" s="1"/>
      <x:c r="B492" s="1"/>
      <x:c r="C492" s="1"/>
      <x:c r="D492" s="1"/>
      <x:c r="E492" s="1"/>
      <x:c r="F492" s="1"/>
    </x:row>
    <x:row r="493">
      <x:c r="A493" s="1"/>
      <x:c r="B493" s="1"/>
      <x:c r="C493" s="1"/>
      <x:c r="D493" s="1"/>
      <x:c r="E493" s="1"/>
      <x:c r="F493" s="1"/>
    </x:row>
    <x:row r="494">
      <x:c r="A494" s="1"/>
      <x:c r="B494" s="1"/>
      <x:c r="C494" s="1"/>
      <x:c r="D494" s="1"/>
      <x:c r="E494" s="1"/>
      <x:c r="F494" s="1"/>
    </x:row>
    <x:row r="495">
      <x:c r="A495" s="1"/>
      <x:c r="B495" s="1"/>
      <x:c r="C495" s="1"/>
      <x:c r="D495" s="1"/>
      <x:c r="E495" s="1"/>
      <x:c r="F495" s="1"/>
    </x:row>
    <x:row r="496">
      <x:c r="A496" s="1"/>
      <x:c r="B496" s="1"/>
      <x:c r="C496" s="1"/>
      <x:c r="D496" s="1"/>
      <x:c r="E496" s="1"/>
      <x:c r="F496" s="1"/>
    </x:row>
    <x:row r="497">
      <x:c r="A497" s="1"/>
      <x:c r="B497" s="1"/>
      <x:c r="C497" s="1"/>
      <x:c r="D497" s="1"/>
      <x:c r="E497" s="1"/>
      <x:c r="F497" s="1"/>
    </x:row>
    <x:row r="498">
      <x:c r="A498" s="1"/>
      <x:c r="B498" s="1"/>
      <x:c r="C498" s="1"/>
      <x:c r="D498" s="1"/>
      <x:c r="E498" s="1"/>
      <x:c r="F498" s="1"/>
    </x:row>
    <x:row r="499">
      <x:c r="A499" s="1"/>
      <x:c r="B499" s="1"/>
      <x:c r="C499" s="1"/>
      <x:c r="D499" s="1"/>
      <x:c r="E499" s="1"/>
      <x:c r="F499" s="1"/>
    </x:row>
    <x:row r="500">
      <x:c r="A500" s="1"/>
      <x:c r="B500" s="1"/>
      <x:c r="C500" s="1"/>
      <x:c r="D500" s="1"/>
      <x:c r="E500" s="1"/>
      <x:c r="F500" s="1"/>
    </x:row>
    <x:row r="501">
      <x:c r="A501" s="1"/>
      <x:c r="B501" s="1"/>
      <x:c r="C501" s="1"/>
      <x:c r="D501" s="1"/>
      <x:c r="E501" s="1"/>
      <x:c r="F501" s="1"/>
    </x:row>
    <x:row r="502">
      <x:c r="A502" s="1"/>
      <x:c r="B502" s="1"/>
      <x:c r="C502" s="1"/>
      <x:c r="D502" s="1"/>
      <x:c r="E502" s="1"/>
      <x:c r="F502" s="1"/>
    </x:row>
    <x:row r="503">
      <x:c r="A503" s="1"/>
      <x:c r="B503" s="1"/>
      <x:c r="C503" s="1"/>
      <x:c r="D503" s="1"/>
      <x:c r="E503" s="1"/>
      <x:c r="F503" s="1"/>
    </x:row>
    <x:row r="504">
      <x:c r="A504" s="1"/>
      <x:c r="B504" s="1"/>
      <x:c r="C504" s="1"/>
      <x:c r="D504" s="1"/>
      <x:c r="E504" s="1"/>
      <x:c r="F504" s="1"/>
    </x:row>
    <x:row r="505">
      <x:c r="A505" s="1"/>
      <x:c r="B505" s="1"/>
      <x:c r="C505" s="1"/>
      <x:c r="D505" s="1"/>
      <x:c r="E505" s="1"/>
      <x:c r="F505" s="1"/>
    </x:row>
    <x:row r="506">
      <x:c r="A506" s="1"/>
      <x:c r="B506" s="1"/>
      <x:c r="C506" s="1"/>
      <x:c r="D506" s="1"/>
      <x:c r="E506" s="1"/>
      <x:c r="F506" s="1"/>
    </x:row>
    <x:row r="507">
      <x:c r="A507" s="1"/>
      <x:c r="B507" s="1"/>
      <x:c r="C507" s="1"/>
      <x:c r="D507" s="1"/>
      <x:c r="E507" s="1"/>
      <x:c r="F507" s="1"/>
    </x:row>
    <x:row r="508">
      <x:c r="A508" s="1"/>
      <x:c r="B508" s="1"/>
      <x:c r="C508" s="1"/>
      <x:c r="D508" s="1"/>
      <x:c r="E508" s="1"/>
      <x:c r="F508" s="1"/>
    </x:row>
    <x:row r="509">
      <x:c r="A509" s="1"/>
      <x:c r="B509" s="1"/>
      <x:c r="C509" s="1"/>
      <x:c r="D509" s="1"/>
      <x:c r="E509" s="1"/>
      <x:c r="F509" s="1"/>
    </x:row>
    <x:row r="510">
      <x:c r="A510" s="1"/>
      <x:c r="B510" s="1"/>
      <x:c r="C510" s="1"/>
      <x:c r="D510" s="1"/>
      <x:c r="E510" s="1"/>
      <x:c r="F510" s="1"/>
    </x:row>
    <x:row r="511">
      <x:c r="A511" s="1"/>
      <x:c r="B511" s="1"/>
      <x:c r="C511" s="1"/>
      <x:c r="D511" s="1"/>
      <x:c r="E511" s="1"/>
      <x:c r="F511" s="1"/>
    </x:row>
    <x:row r="512">
      <x:c r="A512" s="1"/>
      <x:c r="B512" s="1"/>
      <x:c r="C512" s="1"/>
      <x:c r="D512" s="1"/>
      <x:c r="E512" s="1"/>
      <x:c r="F512" s="1"/>
    </x:row>
    <x:row r="513">
      <x:c r="A513" s="1"/>
      <x:c r="B513" s="1"/>
      <x:c r="C513" s="1"/>
      <x:c r="D513" s="1"/>
      <x:c r="E513" s="1"/>
      <x:c r="F513" s="1"/>
    </x:row>
    <x:row r="514">
      <x:c r="A514" s="1"/>
      <x:c r="B514" s="1"/>
      <x:c r="C514" s="1"/>
      <x:c r="D514" s="1"/>
      <x:c r="E514" s="1"/>
      <x:c r="F514" s="1"/>
    </x:row>
    <x:row r="515">
      <x:c r="A515" s="1"/>
      <x:c r="B515" s="1"/>
      <x:c r="C515" s="1"/>
      <x:c r="D515" s="1"/>
      <x:c r="E515" s="1"/>
      <x:c r="F515" s="1"/>
    </x:row>
    <x:row r="516">
      <x:c r="A516" s="1"/>
      <x:c r="B516" s="1"/>
      <x:c r="C516" s="1"/>
      <x:c r="D516" s="1"/>
      <x:c r="E516" s="1"/>
      <x:c r="F516" s="1"/>
    </x:row>
    <x:row r="517">
      <x:c r="A517" s="1"/>
      <x:c r="B517" s="1"/>
      <x:c r="C517" s="1"/>
      <x:c r="D517" s="1"/>
      <x:c r="E517" s="1"/>
      <x:c r="F517" s="1"/>
    </x:row>
    <x:row r="518">
      <x:c r="A518" s="1"/>
      <x:c r="B518" s="1"/>
      <x:c r="C518" s="1"/>
      <x:c r="D518" s="1"/>
      <x:c r="E518" s="1"/>
      <x:c r="F518" s="1"/>
    </x:row>
    <x:row r="519">
      <x:c r="A519" s="1"/>
      <x:c r="B519" s="1"/>
      <x:c r="C519" s="1"/>
      <x:c r="D519" s="1"/>
      <x:c r="E519" s="1"/>
      <x:c r="F519" s="1"/>
    </x:row>
    <x:row r="520">
      <x:c r="A520" s="1"/>
      <x:c r="B520" s="1"/>
      <x:c r="C520" s="1"/>
      <x:c r="D520" s="1"/>
      <x:c r="E520" s="1"/>
      <x:c r="F520" s="1"/>
    </x:row>
    <x:row r="521">
      <x:c r="A521" s="1"/>
      <x:c r="B521" s="1"/>
      <x:c r="C521" s="1"/>
      <x:c r="D521" s="1"/>
      <x:c r="E521" s="1"/>
      <x:c r="F521" s="1"/>
    </x:row>
    <x:row r="522">
      <x:c r="A522" s="1"/>
      <x:c r="B522" s="1"/>
      <x:c r="C522" s="1"/>
      <x:c r="D522" s="1"/>
      <x:c r="E522" s="1"/>
      <x:c r="F522" s="1"/>
    </x:row>
    <x:row r="523">
      <x:c r="A523" s="1"/>
      <x:c r="B523" s="1"/>
      <x:c r="C523" s="1"/>
      <x:c r="D523" s="1"/>
      <x:c r="E523" s="1"/>
      <x:c r="F523" s="1"/>
    </x:row>
    <x:row r="524">
      <x:c r="A524" s="1"/>
      <x:c r="B524" s="1"/>
      <x:c r="C524" s="1"/>
      <x:c r="D524" s="1"/>
      <x:c r="E524" s="1"/>
      <x:c r="F524" s="1"/>
    </x:row>
    <x:row r="525">
      <x:c r="A525" s="1"/>
      <x:c r="B525" s="1"/>
      <x:c r="C525" s="1"/>
      <x:c r="D525" s="1"/>
      <x:c r="E525" s="1"/>
      <x:c r="F525" s="1"/>
    </x:row>
    <x:row r="526">
      <x:c r="A526" s="1"/>
      <x:c r="B526" s="1"/>
      <x:c r="C526" s="1"/>
      <x:c r="D526" s="1"/>
      <x:c r="E526" s="1"/>
      <x:c r="F526" s="1"/>
    </x:row>
    <x:row r="527">
      <x:c r="A527" s="1"/>
      <x:c r="B527" s="1"/>
      <x:c r="C527" s="1"/>
      <x:c r="D527" s="1"/>
      <x:c r="E527" s="1"/>
      <x:c r="F527" s="1"/>
    </x:row>
    <x:row r="528">
      <x:c r="A528" s="1"/>
      <x:c r="B528" s="1"/>
      <x:c r="C528" s="1"/>
      <x:c r="D528" s="1"/>
      <x:c r="E528" s="1"/>
      <x:c r="F528" s="1"/>
    </x:row>
    <x:row r="529">
      <x:c r="A529" s="1"/>
      <x:c r="B529" s="1"/>
      <x:c r="C529" s="1"/>
      <x:c r="D529" s="1"/>
      <x:c r="E529" s="1"/>
      <x:c r="F529" s="1"/>
    </x:row>
    <x:row r="530">
      <x:c r="A530" s="1"/>
      <x:c r="B530" s="1"/>
      <x:c r="C530" s="1"/>
      <x:c r="D530" s="1"/>
      <x:c r="E530" s="1"/>
      <x:c r="F530" s="1"/>
    </x:row>
    <x:row r="531">
      <x:c r="A531" s="1"/>
      <x:c r="B531" s="1"/>
      <x:c r="C531" s="1"/>
      <x:c r="D531" s="1"/>
      <x:c r="E531" s="1"/>
      <x:c r="F531" s="1"/>
    </x:row>
    <x:row r="532">
      <x:c r="A532" s="1"/>
      <x:c r="B532" s="1"/>
      <x:c r="C532" s="1"/>
      <x:c r="D532" s="1"/>
      <x:c r="E532" s="1"/>
      <x:c r="F532" s="1"/>
    </x:row>
    <x:row r="533">
      <x:c r="A533" s="1"/>
      <x:c r="B533" s="1"/>
      <x:c r="C533" s="1"/>
      <x:c r="D533" s="1"/>
      <x:c r="E533" s="1"/>
      <x:c r="F533" s="1"/>
    </x:row>
    <x:row r="534">
      <x:c r="A534" s="1"/>
      <x:c r="B534" s="1"/>
      <x:c r="C534" s="1"/>
      <x:c r="D534" s="1"/>
      <x:c r="E534" s="1"/>
      <x:c r="F534" s="1"/>
    </x:row>
    <x:row r="535">
      <x:c r="A535" s="1"/>
      <x:c r="B535" s="1"/>
      <x:c r="C535" s="1"/>
      <x:c r="D535" s="1"/>
      <x:c r="E535" s="1"/>
      <x:c r="F535" s="1"/>
    </x:row>
    <x:row r="536">
      <x:c r="A536" s="1"/>
      <x:c r="B536" s="1"/>
      <x:c r="C536" s="1"/>
      <x:c r="D536" s="1"/>
      <x:c r="E536" s="1"/>
      <x:c r="F536" s="1"/>
    </x:row>
    <x:row r="537">
      <x:c r="A537" s="1"/>
      <x:c r="B537" s="1"/>
      <x:c r="C537" s="1"/>
      <x:c r="D537" s="1"/>
      <x:c r="E537" s="1"/>
      <x:c r="F537" s="1"/>
    </x:row>
    <x:row r="538">
      <x:c r="A538" s="1"/>
      <x:c r="B538" s="1"/>
      <x:c r="C538" s="1"/>
      <x:c r="D538" s="1"/>
      <x:c r="E538" s="1"/>
      <x:c r="F538" s="1"/>
    </x:row>
    <x:row r="539">
      <x:c r="A539" s="1"/>
      <x:c r="B539" s="1"/>
      <x:c r="C539" s="1"/>
      <x:c r="D539" s="1"/>
      <x:c r="E539" s="1"/>
      <x:c r="F539" s="1"/>
    </x:row>
    <x:row r="540">
      <x:c r="A540" s="1"/>
      <x:c r="B540" s="1"/>
      <x:c r="C540" s="1"/>
      <x:c r="D540" s="1"/>
      <x:c r="E540" s="1"/>
      <x:c r="F540" s="1"/>
    </x:row>
    <x:row r="541">
      <x:c r="A541" s="1"/>
      <x:c r="B541" s="1"/>
      <x:c r="C541" s="1"/>
      <x:c r="D541" s="1"/>
      <x:c r="E541" s="1"/>
      <x:c r="F541" s="1"/>
    </x:row>
    <x:row r="542">
      <x:c r="A542" s="1"/>
      <x:c r="B542" s="1"/>
      <x:c r="C542" s="1"/>
      <x:c r="D542" s="1"/>
      <x:c r="E542" s="1"/>
      <x:c r="F542" s="1"/>
    </x:row>
    <x:row r="543">
      <x:c r="A543" s="1"/>
      <x:c r="B543" s="1"/>
      <x:c r="C543" s="1"/>
      <x:c r="D543" s="1"/>
      <x:c r="E543" s="1"/>
      <x:c r="F543" s="1"/>
    </x:row>
    <x:row r="544">
      <x:c r="A544" s="1"/>
      <x:c r="B544" s="1"/>
      <x:c r="C544" s="1"/>
      <x:c r="D544" s="1"/>
      <x:c r="E544" s="1"/>
      <x:c r="F544" s="1"/>
    </x:row>
    <x:row r="545">
      <x:c r="A545" s="1"/>
      <x:c r="B545" s="1"/>
      <x:c r="C545" s="1"/>
      <x:c r="D545" s="1"/>
      <x:c r="E545" s="1"/>
      <x:c r="F545" s="1"/>
    </x:row>
    <x:row r="546">
      <x:c r="A546" s="1"/>
      <x:c r="B546" s="1"/>
      <x:c r="C546" s="1"/>
      <x:c r="D546" s="1"/>
      <x:c r="E546" s="1"/>
      <x:c r="F546" s="1"/>
    </x:row>
    <x:row r="547">
      <x:c r="A547" s="1"/>
      <x:c r="B547" s="1"/>
      <x:c r="C547" s="1"/>
      <x:c r="D547" s="1"/>
      <x:c r="E547" s="1"/>
      <x:c r="F547" s="1"/>
    </x:row>
    <x:row r="548">
      <x:c r="A548" s="1"/>
      <x:c r="B548" s="1"/>
      <x:c r="C548" s="1"/>
      <x:c r="D548" s="1"/>
      <x:c r="E548" s="1"/>
      <x:c r="F548" s="1"/>
    </x:row>
    <x:row r="549">
      <x:c r="A549" s="1"/>
      <x:c r="B549" s="1"/>
      <x:c r="C549" s="1"/>
      <x:c r="D549" s="1"/>
      <x:c r="E549" s="1"/>
      <x:c r="F549" s="1"/>
    </x:row>
    <x:row r="550">
      <x:c r="A550" s="1"/>
      <x:c r="B550" s="1"/>
      <x:c r="C550" s="1"/>
      <x:c r="D550" s="1"/>
      <x:c r="E550" s="1"/>
      <x:c r="F550" s="1"/>
    </x:row>
    <x:row r="551">
      <x:c r="A551" s="1"/>
      <x:c r="B551" s="1"/>
      <x:c r="C551" s="1"/>
      <x:c r="D551" s="1"/>
      <x:c r="E551" s="1"/>
      <x:c r="F551" s="1"/>
    </x:row>
    <x:row r="552">
      <x:c r="A552" s="1"/>
      <x:c r="B552" s="1"/>
      <x:c r="C552" s="1"/>
      <x:c r="D552" s="1"/>
      <x:c r="E552" s="1"/>
      <x:c r="F552" s="1"/>
    </x:row>
    <x:row r="553">
      <x:c r="A553" s="1"/>
      <x:c r="B553" s="1"/>
      <x:c r="C553" s="1"/>
      <x:c r="D553" s="1"/>
      <x:c r="E553" s="1"/>
      <x:c r="F553" s="1"/>
    </x:row>
    <x:row r="554">
      <x:c r="A554" s="1"/>
      <x:c r="B554" s="1"/>
      <x:c r="C554" s="1"/>
      <x:c r="D554" s="1"/>
      <x:c r="E554" s="1"/>
      <x:c r="F554" s="1"/>
    </x:row>
    <x:row r="555">
      <x:c r="A555" s="1"/>
      <x:c r="B555" s="1"/>
      <x:c r="C555" s="1"/>
      <x:c r="D555" s="1"/>
      <x:c r="E555" s="1"/>
      <x:c r="F555" s="1"/>
    </x:row>
    <x:row r="556">
      <x:c r="A556" s="1"/>
      <x:c r="B556" s="1"/>
      <x:c r="C556" s="1"/>
      <x:c r="D556" s="1"/>
      <x:c r="E556" s="1"/>
      <x:c r="F556" s="1"/>
    </x:row>
    <x:row r="557">
      <x:c r="A557" s="1"/>
      <x:c r="B557" s="1"/>
      <x:c r="C557" s="1"/>
      <x:c r="D557" s="1"/>
      <x:c r="E557" s="1"/>
      <x:c r="F557" s="1"/>
    </x:row>
    <x:row r="558">
      <x:c r="A558" s="1"/>
      <x:c r="B558" s="1"/>
      <x:c r="C558" s="1"/>
      <x:c r="D558" s="1"/>
      <x:c r="E558" s="1"/>
      <x:c r="F558" s="1"/>
    </x:row>
    <x:row r="559">
      <x:c r="A559" s="1"/>
      <x:c r="B559" s="1"/>
      <x:c r="C559" s="1"/>
      <x:c r="D559" s="1"/>
      <x:c r="E559" s="1"/>
      <x:c r="F559" s="1"/>
    </x:row>
    <x:row r="560">
      <x:c r="A560" s="1"/>
      <x:c r="B560" s="1"/>
      <x:c r="C560" s="1"/>
      <x:c r="D560" s="1"/>
      <x:c r="E560" s="1"/>
      <x:c r="F560" s="1"/>
    </x:row>
    <x:row r="561">
      <x:c r="A561" s="1"/>
      <x:c r="B561" s="1"/>
      <x:c r="C561" s="1"/>
      <x:c r="D561" s="1"/>
      <x:c r="E561" s="1"/>
      <x:c r="F561" s="1"/>
    </x:row>
    <x:row r="562">
      <x:c r="A562" s="1"/>
      <x:c r="B562" s="1"/>
      <x:c r="C562" s="1"/>
      <x:c r="D562" s="1"/>
      <x:c r="E562" s="1"/>
      <x:c r="F562" s="1"/>
    </x:row>
    <x:row r="563">
      <x:c r="A563" s="1"/>
      <x:c r="B563" s="1"/>
      <x:c r="C563" s="1"/>
      <x:c r="D563" s="1"/>
      <x:c r="E563" s="1"/>
      <x:c r="F563" s="1"/>
    </x:row>
    <x:row r="564">
      <x:c r="A564" s="1"/>
      <x:c r="B564" s="1"/>
      <x:c r="C564" s="1"/>
      <x:c r="D564" s="1"/>
      <x:c r="E564" s="1"/>
      <x:c r="F564" s="1"/>
    </x:row>
    <x:row r="565">
      <x:c r="A565" s="1"/>
      <x:c r="B565" s="1"/>
      <x:c r="C565" s="1"/>
      <x:c r="D565" s="1"/>
      <x:c r="E565" s="1"/>
      <x:c r="F565" s="1"/>
    </x:row>
    <x:row r="566">
      <x:c r="A566" s="1"/>
      <x:c r="B566" s="1"/>
      <x:c r="C566" s="1"/>
      <x:c r="D566" s="1"/>
      <x:c r="E566" s="1"/>
      <x:c r="F566" s="1"/>
    </x:row>
    <x:row r="567">
      <x:c r="A567" s="1"/>
      <x:c r="B567" s="1"/>
      <x:c r="C567" s="1"/>
      <x:c r="D567" s="1"/>
      <x:c r="E567" s="1"/>
      <x:c r="F567" s="1"/>
    </x:row>
    <x:row r="568">
      <x:c r="A568" s="1"/>
      <x:c r="B568" s="1"/>
      <x:c r="C568" s="1"/>
      <x:c r="D568" s="1"/>
      <x:c r="E568" s="1"/>
      <x:c r="F568" s="1"/>
    </x:row>
    <x:row r="569">
      <x:c r="A569" s="1"/>
      <x:c r="B569" s="1"/>
      <x:c r="C569" s="1"/>
      <x:c r="D569" s="1"/>
      <x:c r="E569" s="1"/>
      <x:c r="F569" s="1"/>
    </x:row>
    <x:row r="570">
      <x:c r="A570" s="1"/>
      <x:c r="B570" s="1"/>
      <x:c r="C570" s="1"/>
      <x:c r="D570" s="1"/>
      <x:c r="E570" s="1"/>
      <x:c r="F570" s="1"/>
    </x:row>
    <x:row r="571">
      <x:c r="A571" s="1"/>
      <x:c r="B571" s="1"/>
      <x:c r="C571" s="1"/>
      <x:c r="D571" s="1"/>
      <x:c r="E571" s="1"/>
      <x:c r="F571" s="1"/>
    </x:row>
    <x:row r="572">
      <x:c r="A572" s="1"/>
      <x:c r="B572" s="1"/>
      <x:c r="C572" s="1"/>
      <x:c r="D572" s="1"/>
      <x:c r="E572" s="1"/>
      <x:c r="F572" s="1"/>
    </x:row>
    <x:row r="573">
      <x:c r="A573" s="1"/>
      <x:c r="B573" s="1"/>
      <x:c r="C573" s="1"/>
      <x:c r="D573" s="1"/>
      <x:c r="E573" s="1"/>
      <x:c r="F573" s="1"/>
    </x:row>
    <x:row r="574">
      <x:c r="A574" s="1"/>
      <x:c r="B574" s="1"/>
      <x:c r="C574" s="1"/>
      <x:c r="D574" s="1"/>
      <x:c r="E574" s="1"/>
      <x:c r="F574" s="1"/>
    </x:row>
    <x:row r="575">
      <x:c r="A575" s="1"/>
      <x:c r="B575" s="1"/>
      <x:c r="C575" s="1"/>
      <x:c r="D575" s="1"/>
      <x:c r="E575" s="1"/>
      <x:c r="F575" s="1"/>
    </x:row>
    <x:row r="576">
      <x:c r="A576" s="1"/>
      <x:c r="B576" s="1"/>
      <x:c r="C576" s="1"/>
      <x:c r="D576" s="1"/>
      <x:c r="E576" s="1"/>
      <x:c r="F576" s="1"/>
    </x:row>
    <x:row r="577">
      <x:c r="A577" s="1"/>
      <x:c r="B577" s="1"/>
      <x:c r="C577" s="1"/>
      <x:c r="D577" s="1"/>
      <x:c r="E577" s="1"/>
      <x:c r="F577" s="1"/>
    </x:row>
    <x:row r="578">
      <x:c r="A578" s="1"/>
      <x:c r="B578" s="1"/>
      <x:c r="C578" s="1"/>
      <x:c r="D578" s="1"/>
      <x:c r="E578" s="1"/>
      <x:c r="F578" s="1"/>
    </x:row>
    <x:row r="579">
      <x:c r="A579" s="1"/>
      <x:c r="B579" s="1"/>
      <x:c r="C579" s="1"/>
      <x:c r="D579" s="1"/>
      <x:c r="E579" s="1"/>
      <x:c r="F579" s="1"/>
    </x:row>
    <x:row r="580">
      <x:c r="A580" s="1"/>
      <x:c r="B580" s="1"/>
      <x:c r="C580" s="1"/>
      <x:c r="D580" s="1"/>
      <x:c r="E580" s="1"/>
      <x:c r="F580" s="1"/>
    </x:row>
    <x:row r="581">
      <x:c r="A581" s="1"/>
      <x:c r="B581" s="1"/>
      <x:c r="C581" s="1"/>
      <x:c r="D581" s="1"/>
      <x:c r="E581" s="1"/>
      <x:c r="F581" s="1"/>
    </x:row>
    <x:row r="582">
      <x:c r="A582" s="1"/>
      <x:c r="B582" s="1"/>
      <x:c r="C582" s="1"/>
      <x:c r="D582" s="1"/>
      <x:c r="E582" s="1"/>
      <x:c r="F582" s="1"/>
    </x:row>
    <x:row r="583">
      <x:c r="A583" s="1"/>
      <x:c r="B583" s="1"/>
      <x:c r="C583" s="1"/>
      <x:c r="D583" s="1"/>
      <x:c r="E583" s="1"/>
      <x:c r="F583" s="1"/>
    </x:row>
    <x:row r="584">
      <x:c r="A584" s="1"/>
      <x:c r="B584" s="1"/>
      <x:c r="C584" s="1"/>
      <x:c r="D584" s="1"/>
      <x:c r="E584" s="1"/>
      <x:c r="F584" s="1"/>
    </x:row>
    <x:row r="585">
      <x:c r="A585" s="1"/>
      <x:c r="B585" s="1"/>
      <x:c r="C585" s="1"/>
      <x:c r="D585" s="1"/>
      <x:c r="E585" s="1"/>
      <x:c r="F585" s="1"/>
    </x:row>
    <x:row r="586">
      <x:c r="A586" s="1"/>
      <x:c r="B586" s="1"/>
      <x:c r="C586" s="1"/>
      <x:c r="D586" s="1"/>
      <x:c r="E586" s="1"/>
      <x:c r="F586" s="1"/>
    </x:row>
    <x:row r="587">
      <x:c r="A587" s="1"/>
      <x:c r="B587" s="1"/>
      <x:c r="C587" s="1"/>
      <x:c r="D587" s="1"/>
      <x:c r="E587" s="1"/>
      <x:c r="F587" s="1"/>
    </x:row>
    <x:row r="588">
      <x:c r="A588" s="1"/>
      <x:c r="B588" s="1"/>
      <x:c r="C588" s="1"/>
      <x:c r="D588" s="1"/>
      <x:c r="E588" s="1"/>
      <x:c r="F588" s="1"/>
    </x:row>
    <x:row r="589">
      <x:c r="A589" s="1"/>
      <x:c r="B589" s="1"/>
      <x:c r="C589" s="1"/>
      <x:c r="D589" s="1"/>
      <x:c r="E589" s="1"/>
      <x:c r="F589" s="1"/>
    </x:row>
    <x:row r="590">
      <x:c r="A590" s="1"/>
      <x:c r="B590" s="1"/>
      <x:c r="C590" s="1"/>
      <x:c r="D590" s="1"/>
      <x:c r="E590" s="1"/>
      <x:c r="F590" s="1"/>
    </x:row>
    <x:row r="591">
      <x:c r="A591" s="1"/>
      <x:c r="B591" s="1"/>
      <x:c r="C591" s="1"/>
      <x:c r="D591" s="1"/>
      <x:c r="E591" s="1"/>
      <x:c r="F591" s="1"/>
    </x:row>
    <x:row r="592">
      <x:c r="A592" s="1"/>
      <x:c r="B592" s="1"/>
      <x:c r="C592" s="1"/>
      <x:c r="D592" s="1"/>
      <x:c r="E592" s="1"/>
      <x:c r="F592" s="1"/>
    </x:row>
    <x:row r="593">
      <x:c r="A593" s="1"/>
      <x:c r="B593" s="1"/>
      <x:c r="C593" s="1"/>
      <x:c r="D593" s="1"/>
      <x:c r="E593" s="1"/>
      <x:c r="F593" s="1"/>
    </x:row>
    <x:row r="594">
      <x:c r="A594" s="1"/>
      <x:c r="B594" s="1"/>
      <x:c r="C594" s="1"/>
      <x:c r="D594" s="1"/>
      <x:c r="E594" s="1"/>
      <x:c r="F594" s="1"/>
    </x:row>
    <x:row r="595">
      <x:c r="A595" s="1"/>
      <x:c r="B595" s="1"/>
      <x:c r="C595" s="1"/>
      <x:c r="D595" s="1"/>
      <x:c r="E595" s="1"/>
      <x:c r="F595" s="1"/>
    </x:row>
    <x:row r="596">
      <x:c r="A596" s="1"/>
      <x:c r="B596" s="1"/>
      <x:c r="C596" s="1"/>
      <x:c r="D596" s="1"/>
      <x:c r="E596" s="1"/>
      <x:c r="F596" s="1"/>
    </x:row>
    <x:row r="597">
      <x:c r="A597" s="1"/>
      <x:c r="B597" s="1"/>
      <x:c r="C597" s="1"/>
      <x:c r="D597" s="1"/>
      <x:c r="E597" s="1"/>
      <x:c r="F597" s="1"/>
    </x:row>
    <x:row r="598">
      <x:c r="A598" s="1"/>
      <x:c r="B598" s="1"/>
      <x:c r="C598" s="1"/>
      <x:c r="D598" s="1"/>
      <x:c r="E598" s="1"/>
      <x:c r="F598" s="1"/>
    </x:row>
    <x:row r="599">
      <x:c r="A599" s="1"/>
      <x:c r="B599" s="1"/>
      <x:c r="C599" s="1"/>
      <x:c r="D599" s="1"/>
      <x:c r="E599" s="1"/>
      <x:c r="F599" s="1"/>
    </x:row>
    <x:row r="600">
      <x:c r="A600" s="1"/>
      <x:c r="B600" s="1"/>
      <x:c r="C600" s="1"/>
      <x:c r="D600" s="1"/>
      <x:c r="E600" s="1"/>
      <x:c r="F600" s="1"/>
    </x:row>
    <x:row r="601">
      <x:c r="A601" s="1"/>
      <x:c r="B601" s="1"/>
      <x:c r="C601" s="1"/>
      <x:c r="D601" s="1"/>
      <x:c r="E601" s="1"/>
      <x:c r="F601" s="1"/>
    </x:row>
    <x:row r="602">
      <x:c r="A602" s="1"/>
      <x:c r="B602" s="1"/>
      <x:c r="C602" s="1"/>
      <x:c r="D602" s="1"/>
      <x:c r="E602" s="1"/>
      <x:c r="F602" s="1"/>
    </x:row>
    <x:row r="603">
      <x:c r="A603" s="1"/>
      <x:c r="B603" s="1"/>
      <x:c r="C603" s="1"/>
      <x:c r="D603" s="1"/>
      <x:c r="E603" s="1"/>
      <x:c r="F603" s="1"/>
    </x:row>
    <x:row r="604">
      <x:c r="A604" s="1"/>
      <x:c r="B604" s="1"/>
      <x:c r="C604" s="1"/>
      <x:c r="D604" s="1"/>
      <x:c r="E604" s="1"/>
      <x:c r="F604" s="1"/>
    </x:row>
    <x:row r="605">
      <x:c r="A605" s="1"/>
      <x:c r="B605" s="1"/>
      <x:c r="C605" s="1"/>
      <x:c r="D605" s="1"/>
      <x:c r="E605" s="1"/>
      <x:c r="F605" s="1"/>
    </x:row>
    <x:row r="606">
      <x:c r="A606" s="1"/>
      <x:c r="B606" s="1"/>
      <x:c r="C606" s="1"/>
      <x:c r="D606" s="1"/>
      <x:c r="E606" s="1"/>
      <x:c r="F606" s="1"/>
    </x:row>
    <x:row r="607">
      <x:c r="A607" s="1"/>
      <x:c r="B607" s="1"/>
      <x:c r="C607" s="1"/>
      <x:c r="D607" s="1"/>
      <x:c r="E607" s="1"/>
      <x:c r="F607" s="1"/>
    </x:row>
    <x:row r="608">
      <x:c r="A608" s="1"/>
      <x:c r="B608" s="1"/>
      <x:c r="C608" s="1"/>
      <x:c r="D608" s="1"/>
      <x:c r="E608" s="1"/>
      <x:c r="F608" s="1"/>
    </x:row>
    <x:row r="609">
      <x:c r="A609" s="1"/>
      <x:c r="B609" s="1"/>
      <x:c r="C609" s="1"/>
      <x:c r="D609" s="1"/>
      <x:c r="E609" s="1"/>
      <x:c r="F609" s="1"/>
    </x:row>
    <x:row r="610">
      <x:c r="A610" s="1"/>
      <x:c r="B610" s="1"/>
      <x:c r="C610" s="1"/>
      <x:c r="D610" s="1"/>
      <x:c r="E610" s="1"/>
      <x:c r="F610" s="1"/>
    </x:row>
    <x:row r="611">
      <x:c r="A611" s="1"/>
      <x:c r="B611" s="1"/>
      <x:c r="C611" s="1"/>
      <x:c r="D611" s="1"/>
      <x:c r="E611" s="1"/>
      <x:c r="F611" s="1"/>
    </x:row>
    <x:row r="612">
      <x:c r="A612" s="1"/>
      <x:c r="B612" s="1"/>
      <x:c r="C612" s="1"/>
      <x:c r="D612" s="1"/>
      <x:c r="E612" s="1"/>
      <x:c r="F612" s="1"/>
    </x:row>
    <x:row r="613">
      <x:c r="A613" s="1"/>
      <x:c r="B613" s="1"/>
      <x:c r="C613" s="1"/>
      <x:c r="D613" s="1"/>
      <x:c r="E613" s="1"/>
      <x:c r="F613" s="1"/>
    </x:row>
    <x:row r="614">
      <x:c r="A614" s="1"/>
      <x:c r="B614" s="1"/>
      <x:c r="C614" s="1"/>
      <x:c r="D614" s="1"/>
      <x:c r="E614" s="1"/>
      <x:c r="F614" s="1"/>
    </x:row>
    <x:row r="615">
      <x:c r="A615" s="1"/>
      <x:c r="B615" s="1"/>
      <x:c r="C615" s="1"/>
      <x:c r="D615" s="1"/>
      <x:c r="E615" s="1"/>
      <x:c r="F615" s="1"/>
    </x:row>
    <x:row r="616">
      <x:c r="A616" s="1"/>
      <x:c r="B616" s="1"/>
      <x:c r="C616" s="1"/>
      <x:c r="D616" s="1"/>
      <x:c r="E616" s="1"/>
      <x:c r="F616" s="1"/>
    </x:row>
    <x:row r="617">
      <x:c r="A617" s="1"/>
      <x:c r="B617" s="1"/>
      <x:c r="C617" s="1"/>
      <x:c r="D617" s="1"/>
      <x:c r="E617" s="1"/>
      <x:c r="F617" s="1"/>
    </x:row>
    <x:row r="618">
      <x:c r="A618" s="1"/>
      <x:c r="B618" s="1"/>
      <x:c r="C618" s="1"/>
      <x:c r="D618" s="1"/>
      <x:c r="E618" s="1"/>
      <x:c r="F618" s="1"/>
    </x:row>
    <x:row r="619">
      <x:c r="A619" s="1"/>
      <x:c r="B619" s="1"/>
      <x:c r="C619" s="1"/>
      <x:c r="D619" s="1"/>
      <x:c r="E619" s="1"/>
      <x:c r="F619" s="1"/>
    </x:row>
    <x:row r="620">
      <x:c r="A620" s="1"/>
      <x:c r="B620" s="1"/>
      <x:c r="C620" s="1"/>
      <x:c r="D620" s="1"/>
      <x:c r="E620" s="1"/>
      <x:c r="F620" s="1"/>
    </x:row>
    <x:row r="621">
      <x:c r="A621" s="1"/>
      <x:c r="B621" s="1"/>
      <x:c r="C621" s="1"/>
      <x:c r="D621" s="1"/>
      <x:c r="E621" s="1"/>
      <x:c r="F621" s="1"/>
    </x:row>
    <x:row r="622">
      <x:c r="A622" s="1"/>
      <x:c r="B622" s="1"/>
      <x:c r="C622" s="1"/>
      <x:c r="D622" s="1"/>
      <x:c r="E622" s="1"/>
      <x:c r="F622" s="1"/>
    </x:row>
    <x:row r="623">
      <x:c r="A623" s="1"/>
      <x:c r="B623" s="1"/>
      <x:c r="C623" s="1"/>
      <x:c r="D623" s="1"/>
      <x:c r="E623" s="1"/>
      <x:c r="F623" s="1"/>
    </x:row>
    <x:row r="624">
      <x:c r="A624" s="1"/>
      <x:c r="B624" s="1"/>
      <x:c r="C624" s="1"/>
      <x:c r="D624" s="1"/>
      <x:c r="E624" s="1"/>
      <x:c r="F624" s="1"/>
    </x:row>
    <x:row r="625">
      <x:c r="A625" s="1"/>
      <x:c r="B625" s="1"/>
      <x:c r="C625" s="1"/>
      <x:c r="D625" s="1"/>
      <x:c r="E625" s="1"/>
      <x:c r="F625" s="1"/>
    </x:row>
    <x:row r="626">
      <x:c r="A626" s="1"/>
      <x:c r="B626" s="1"/>
      <x:c r="C626" s="1"/>
      <x:c r="D626" s="1"/>
      <x:c r="E626" s="1"/>
      <x:c r="F626" s="1"/>
    </x:row>
    <x:row r="627">
      <x:c r="A627" s="1"/>
      <x:c r="B627" s="1"/>
      <x:c r="C627" s="1"/>
      <x:c r="D627" s="1"/>
      <x:c r="E627" s="1"/>
      <x:c r="F627" s="1"/>
    </x:row>
    <x:row r="628">
      <x:c r="A628" s="1"/>
      <x:c r="B628" s="1"/>
      <x:c r="C628" s="1"/>
      <x:c r="D628" s="1"/>
      <x:c r="E628" s="1"/>
      <x:c r="F628" s="1"/>
    </x:row>
    <x:row r="629">
      <x:c r="A629" s="1"/>
      <x:c r="B629" s="1"/>
      <x:c r="C629" s="1"/>
      <x:c r="D629" s="1"/>
      <x:c r="E629" s="1"/>
      <x:c r="F629" s="1"/>
    </x:row>
    <x:row r="630">
      <x:c r="A630" s="1"/>
      <x:c r="B630" s="1"/>
      <x:c r="C630" s="1"/>
      <x:c r="D630" s="1"/>
      <x:c r="E630" s="1"/>
      <x:c r="F630" s="1"/>
    </x:row>
    <x:row r="631">
      <x:c r="A631" s="1"/>
      <x:c r="B631" s="1"/>
      <x:c r="C631" s="1"/>
      <x:c r="D631" s="1"/>
      <x:c r="E631" s="1"/>
      <x:c r="F631" s="1"/>
    </x:row>
    <x:row r="632">
      <x:c r="A632" s="1"/>
      <x:c r="B632" s="1"/>
      <x:c r="C632" s="1"/>
      <x:c r="D632" s="1"/>
      <x:c r="E632" s="1"/>
      <x:c r="F632" s="1"/>
    </x:row>
    <x:row r="633">
      <x:c r="A633" s="1"/>
      <x:c r="B633" s="1"/>
      <x:c r="C633" s="1"/>
      <x:c r="D633" s="1"/>
      <x:c r="E633" s="1"/>
      <x:c r="F633" s="1"/>
    </x:row>
    <x:row r="634">
      <x:c r="A634" s="1"/>
      <x:c r="B634" s="1"/>
      <x:c r="C634" s="1"/>
      <x:c r="D634" s="1"/>
      <x:c r="E634" s="1"/>
      <x:c r="F634" s="1"/>
    </x:row>
    <x:row r="635">
      <x:c r="A635" s="1"/>
      <x:c r="B635" s="1"/>
      <x:c r="C635" s="1"/>
      <x:c r="D635" s="1"/>
      <x:c r="E635" s="1"/>
      <x:c r="F635" s="1"/>
    </x:row>
    <x:row r="636">
      <x:c r="A636" s="1"/>
      <x:c r="B636" s="1"/>
      <x:c r="C636" s="1"/>
      <x:c r="D636" s="1"/>
      <x:c r="E636" s="1"/>
      <x:c r="F636" s="1"/>
    </x:row>
    <x:row r="637">
      <x:c r="A637" s="1"/>
      <x:c r="B637" s="1"/>
      <x:c r="C637" s="1"/>
      <x:c r="D637" s="1"/>
      <x:c r="E637" s="1"/>
      <x:c r="F637" s="1"/>
    </x:row>
    <x:row r="638">
      <x:c r="A638" s="1"/>
      <x:c r="B638" s="1"/>
      <x:c r="C638" s="1"/>
      <x:c r="D638" s="1"/>
      <x:c r="E638" s="1"/>
      <x:c r="F638" s="1"/>
    </x:row>
    <x:row r="639">
      <x:c r="A639" s="1"/>
      <x:c r="B639" s="1"/>
      <x:c r="C639" s="1"/>
      <x:c r="D639" s="1"/>
      <x:c r="E639" s="1"/>
      <x:c r="F639" s="1"/>
    </x:row>
    <x:row r="640">
      <x:c r="A640" s="1"/>
      <x:c r="B640" s="1"/>
      <x:c r="C640" s="1"/>
      <x:c r="D640" s="1"/>
      <x:c r="E640" s="1"/>
      <x:c r="F640" s="1"/>
    </x:row>
    <x:row r="641">
      <x:c r="A641" s="1"/>
      <x:c r="B641" s="1"/>
      <x:c r="C641" s="1"/>
      <x:c r="D641" s="1"/>
      <x:c r="E641" s="1"/>
      <x:c r="F641" s="1"/>
    </x:row>
    <x:row r="642">
      <x:c r="A642" s="1"/>
      <x:c r="B642" s="1"/>
      <x:c r="C642" s="1"/>
      <x:c r="D642" s="1"/>
      <x:c r="E642" s="1"/>
      <x:c r="F642" s="1"/>
    </x:row>
    <x:row r="643">
      <x:c r="A643" s="1"/>
      <x:c r="B643" s="1"/>
      <x:c r="C643" s="1"/>
      <x:c r="D643" s="1"/>
      <x:c r="E643" s="1"/>
      <x:c r="F643" s="1"/>
    </x:row>
    <x:row r="644">
      <x:c r="A644" s="1"/>
      <x:c r="B644" s="1"/>
      <x:c r="C644" s="1"/>
      <x:c r="D644" s="1"/>
      <x:c r="E644" s="1"/>
      <x:c r="F644" s="1"/>
    </x:row>
    <x:row r="645">
      <x:c r="A645" s="1"/>
      <x:c r="B645" s="1"/>
      <x:c r="C645" s="1"/>
      <x:c r="D645" s="1"/>
      <x:c r="E645" s="1"/>
      <x:c r="F645" s="1"/>
    </x:row>
    <x:row r="646">
      <x:c r="A646" s="1"/>
      <x:c r="B646" s="1"/>
      <x:c r="C646" s="1"/>
      <x:c r="D646" s="1"/>
      <x:c r="E646" s="1"/>
      <x:c r="F646" s="1"/>
    </x:row>
    <x:row r="647">
      <x:c r="A647" s="1"/>
      <x:c r="B647" s="1"/>
      <x:c r="C647" s="1"/>
      <x:c r="D647" s="1"/>
      <x:c r="E647" s="1"/>
      <x:c r="F647" s="1"/>
    </x:row>
    <x:row r="648">
      <x:c r="A648" s="1"/>
      <x:c r="B648" s="1"/>
      <x:c r="C648" s="1"/>
      <x:c r="D648" s="1"/>
      <x:c r="E648" s="1"/>
      <x:c r="F648" s="1"/>
    </x:row>
    <x:row r="649">
      <x:c r="A649" s="1"/>
      <x:c r="B649" s="1"/>
      <x:c r="C649" s="1"/>
      <x:c r="D649" s="1"/>
      <x:c r="E649" s="1"/>
      <x:c r="F649" s="1"/>
    </x:row>
    <x:row r="650">
      <x:c r="A650" s="1"/>
      <x:c r="B650" s="1"/>
      <x:c r="C650" s="1"/>
      <x:c r="D650" s="1"/>
      <x:c r="E650" s="1"/>
      <x:c r="F650" s="1"/>
    </x:row>
    <x:row r="651">
      <x:c r="A651" s="1"/>
      <x:c r="B651" s="1"/>
      <x:c r="C651" s="1"/>
      <x:c r="D651" s="1"/>
      <x:c r="E651" s="1"/>
      <x:c r="F651" s="1"/>
    </x:row>
    <x:row r="652">
      <x:c r="A652" s="1"/>
      <x:c r="B652" s="1"/>
      <x:c r="C652" s="1"/>
      <x:c r="D652" s="1"/>
      <x:c r="E652" s="1"/>
      <x:c r="F652" s="1"/>
    </x:row>
    <x:row r="653">
      <x:c r="A653" s="1"/>
      <x:c r="B653" s="1"/>
      <x:c r="C653" s="1"/>
      <x:c r="D653" s="1"/>
      <x:c r="E653" s="1"/>
      <x:c r="F653" s="1"/>
    </x:row>
    <x:row r="654">
      <x:c r="A654" s="1"/>
      <x:c r="B654" s="1"/>
      <x:c r="C654" s="1"/>
      <x:c r="D654" s="1"/>
      <x:c r="E654" s="1"/>
      <x:c r="F654" s="1"/>
    </x:row>
    <x:row r="655">
      <x:c r="A655" s="1"/>
      <x:c r="B655" s="1"/>
      <x:c r="C655" s="1"/>
      <x:c r="D655" s="1"/>
      <x:c r="E655" s="1"/>
      <x:c r="F655" s="1"/>
    </x:row>
    <x:row r="656">
      <x:c r="A656" s="1"/>
      <x:c r="B656" s="1"/>
      <x:c r="C656" s="1"/>
      <x:c r="D656" s="1"/>
      <x:c r="E656" s="1"/>
      <x:c r="F656" s="1"/>
    </x:row>
    <x:row r="657">
      <x:c r="A657" s="1"/>
      <x:c r="B657" s="1"/>
      <x:c r="C657" s="1"/>
      <x:c r="D657" s="1"/>
      <x:c r="E657" s="1"/>
      <x:c r="F657" s="1"/>
    </x:row>
    <x:row r="658">
      <x:c r="A658" s="1"/>
      <x:c r="B658" s="1"/>
      <x:c r="C658" s="1"/>
      <x:c r="D658" s="1"/>
      <x:c r="E658" s="1"/>
      <x:c r="F658" s="1"/>
    </x:row>
    <x:row r="659">
      <x:c r="A659" s="1"/>
      <x:c r="B659" s="1"/>
      <x:c r="C659" s="1"/>
      <x:c r="D659" s="1"/>
      <x:c r="E659" s="1"/>
      <x:c r="F659" s="1"/>
    </x:row>
    <x:row r="660">
      <x:c r="A660" s="1"/>
      <x:c r="B660" s="1"/>
      <x:c r="C660" s="1"/>
      <x:c r="D660" s="1"/>
      <x:c r="E660" s="1"/>
      <x:c r="F660" s="1"/>
    </x:row>
    <x:row r="661">
      <x:c r="A661" s="1"/>
      <x:c r="B661" s="1"/>
      <x:c r="C661" s="1"/>
      <x:c r="D661" s="1"/>
      <x:c r="E661" s="1"/>
      <x:c r="F661" s="1"/>
    </x:row>
    <x:row r="662">
      <x:c r="A662" s="1"/>
      <x:c r="B662" s="1"/>
      <x:c r="C662" s="1"/>
      <x:c r="D662" s="1"/>
      <x:c r="E662" s="1"/>
      <x:c r="F662" s="1"/>
    </x:row>
    <x:row r="663">
      <x:c r="A663" s="1"/>
      <x:c r="B663" s="1"/>
      <x:c r="C663" s="1"/>
      <x:c r="D663" s="1"/>
      <x:c r="E663" s="1"/>
      <x:c r="F663" s="1"/>
    </x:row>
    <x:row r="664">
      <x:c r="A664" s="1"/>
      <x:c r="B664" s="1"/>
      <x:c r="C664" s="1"/>
      <x:c r="D664" s="1"/>
      <x:c r="E664" s="1"/>
      <x:c r="F664" s="1"/>
    </x:row>
    <x:row r="665">
      <x:c r="A665" s="1"/>
      <x:c r="B665" s="1"/>
      <x:c r="C665" s="1"/>
      <x:c r="D665" s="1"/>
      <x:c r="E665" s="1"/>
      <x:c r="F665" s="1"/>
    </x:row>
    <x:row r="666">
      <x:c r="A666" s="1"/>
      <x:c r="B666" s="1"/>
      <x:c r="C666" s="1"/>
      <x:c r="D666" s="1"/>
      <x:c r="E666" s="1"/>
      <x:c r="F666" s="1"/>
    </x:row>
    <x:row r="667">
      <x:c r="A667" s="1"/>
      <x:c r="B667" s="1"/>
      <x:c r="C667" s="1"/>
      <x:c r="D667" s="1"/>
      <x:c r="E667" s="1"/>
      <x:c r="F667" s="1"/>
    </x:row>
    <x:row r="668">
      <x:c r="A668" s="1"/>
      <x:c r="B668" s="1"/>
      <x:c r="C668" s="1"/>
      <x:c r="D668" s="1"/>
      <x:c r="E668" s="1"/>
      <x:c r="F668" s="1"/>
    </x:row>
    <x:row r="669">
      <x:c r="A669" s="1"/>
      <x:c r="B669" s="1"/>
      <x:c r="C669" s="1"/>
      <x:c r="D669" s="1"/>
      <x:c r="E669" s="1"/>
      <x:c r="F669" s="1"/>
    </x:row>
    <x:row r="670">
      <x:c r="A670" s="1"/>
      <x:c r="B670" s="1"/>
      <x:c r="C670" s="1"/>
      <x:c r="D670" s="1"/>
      <x:c r="E670" s="1"/>
      <x:c r="F670" s="1"/>
    </x:row>
    <x:row r="671">
      <x:c r="A671" s="1"/>
      <x:c r="B671" s="1"/>
      <x:c r="C671" s="1"/>
      <x:c r="D671" s="1"/>
      <x:c r="E671" s="1"/>
      <x:c r="F671" s="1"/>
    </x:row>
    <x:row r="672">
      <x:c r="A672" s="1"/>
      <x:c r="B672" s="1"/>
      <x:c r="C672" s="1"/>
      <x:c r="D672" s="1"/>
      <x:c r="E672" s="1"/>
      <x:c r="F672" s="1"/>
    </x:row>
    <x:row r="673">
      <x:c r="A673" s="1"/>
      <x:c r="B673" s="1"/>
      <x:c r="C673" s="1"/>
      <x:c r="D673" s="1"/>
      <x:c r="E673" s="1"/>
      <x:c r="F673" s="1"/>
    </x:row>
    <x:row r="674">
      <x:c r="A674" s="1"/>
      <x:c r="B674" s="1"/>
      <x:c r="C674" s="1"/>
      <x:c r="D674" s="1"/>
      <x:c r="E674" s="1"/>
      <x:c r="F674" s="1"/>
    </x:row>
    <x:row r="675">
      <x:c r="A675" s="1"/>
      <x:c r="B675" s="1"/>
      <x:c r="C675" s="1"/>
      <x:c r="D675" s="1"/>
      <x:c r="E675" s="1"/>
      <x:c r="F675" s="1"/>
    </x:row>
    <x:row r="676">
      <x:c r="A676" s="1"/>
      <x:c r="B676" s="1"/>
      <x:c r="C676" s="1"/>
      <x:c r="D676" s="1"/>
      <x:c r="E676" s="1"/>
      <x:c r="F676" s="1"/>
    </x:row>
    <x:row r="677">
      <x:c r="A677" s="1"/>
      <x:c r="B677" s="1"/>
      <x:c r="C677" s="1"/>
      <x:c r="D677" s="1"/>
      <x:c r="E677" s="1"/>
      <x:c r="F677" s="1"/>
    </x:row>
    <x:row r="678">
      <x:c r="A678" s="1"/>
      <x:c r="B678" s="1"/>
      <x:c r="C678" s="1"/>
      <x:c r="D678" s="1"/>
      <x:c r="E678" s="1"/>
      <x:c r="F678" s="1"/>
    </x:row>
    <x:row r="679">
      <x:c r="A679" s="1"/>
      <x:c r="B679" s="1"/>
      <x:c r="C679" s="1"/>
      <x:c r="D679" s="1"/>
      <x:c r="E679" s="1"/>
      <x:c r="F679" s="1"/>
    </x:row>
    <x:row r="680">
      <x:c r="A680" s="1"/>
      <x:c r="B680" s="1"/>
      <x:c r="C680" s="1"/>
      <x:c r="D680" s="1"/>
      <x:c r="E680" s="1"/>
      <x:c r="F680" s="1"/>
    </x:row>
    <x:row r="681">
      <x:c r="A681" s="1"/>
      <x:c r="B681" s="1"/>
      <x:c r="C681" s="1"/>
      <x:c r="D681" s="1"/>
      <x:c r="E681" s="1"/>
      <x:c r="F681" s="1"/>
    </x:row>
    <x:row r="682">
      <x:c r="A682" s="1"/>
      <x:c r="B682" s="1"/>
      <x:c r="C682" s="1"/>
      <x:c r="D682" s="1"/>
      <x:c r="E682" s="1"/>
      <x:c r="F682" s="1"/>
    </x:row>
    <x:row r="683">
      <x:c r="A683" s="1"/>
      <x:c r="B683" s="1"/>
      <x:c r="C683" s="1"/>
      <x:c r="D683" s="1"/>
      <x:c r="E683" s="1"/>
      <x:c r="F683" s="1"/>
    </x:row>
    <x:row r="684">
      <x:c r="A684" s="1"/>
      <x:c r="B684" s="1"/>
      <x:c r="C684" s="1"/>
      <x:c r="D684" s="1"/>
      <x:c r="E684" s="1"/>
      <x:c r="F684" s="1"/>
    </x:row>
    <x:row r="685">
      <x:c r="A685" s="1"/>
      <x:c r="B685" s="1"/>
      <x:c r="C685" s="1"/>
      <x:c r="D685" s="1"/>
      <x:c r="E685" s="1"/>
      <x:c r="F685" s="1"/>
    </x:row>
    <x:row r="686">
      <x:c r="A686" s="1"/>
      <x:c r="B686" s="1"/>
      <x:c r="C686" s="1"/>
      <x:c r="D686" s="1"/>
      <x:c r="E686" s="1"/>
      <x:c r="F686" s="1"/>
    </x:row>
    <x:row r="687">
      <x:c r="A687" s="1"/>
      <x:c r="B687" s="1"/>
      <x:c r="C687" s="1"/>
      <x:c r="D687" s="1"/>
      <x:c r="E687" s="1"/>
      <x:c r="F687" s="1"/>
    </x:row>
    <x:row r="688">
      <x:c r="A688" s="1"/>
      <x:c r="B688" s="1"/>
      <x:c r="C688" s="1"/>
      <x:c r="D688" s="1"/>
      <x:c r="E688" s="1"/>
      <x:c r="F688" s="1"/>
    </x:row>
    <x:row r="689">
      <x:c r="A689" s="1"/>
      <x:c r="B689" s="1"/>
      <x:c r="C689" s="1"/>
      <x:c r="D689" s="1"/>
      <x:c r="E689" s="1"/>
      <x:c r="F689" s="1"/>
    </x:row>
    <x:row r="690">
      <x:c r="A690" s="1"/>
      <x:c r="B690" s="1"/>
      <x:c r="C690" s="1"/>
      <x:c r="D690" s="1"/>
      <x:c r="E690" s="1"/>
      <x:c r="F690" s="1"/>
    </x:row>
    <x:row r="691">
      <x:c r="A691" s="1"/>
      <x:c r="B691" s="1"/>
      <x:c r="C691" s="1"/>
      <x:c r="D691" s="1"/>
      <x:c r="E691" s="1"/>
      <x:c r="F691" s="1"/>
    </x:row>
    <x:row r="692">
      <x:c r="A692" s="1"/>
      <x:c r="B692" s="1"/>
      <x:c r="C692" s="1"/>
      <x:c r="D692" s="1"/>
      <x:c r="E692" s="1"/>
      <x:c r="F692" s="1"/>
    </x:row>
    <x:row r="693">
      <x:c r="A693" s="1"/>
      <x:c r="B693" s="1"/>
      <x:c r="C693" s="1"/>
      <x:c r="D693" s="1"/>
      <x:c r="E693" s="1"/>
      <x:c r="F693" s="1"/>
    </x:row>
    <x:row r="694">
      <x:c r="A694" s="1"/>
      <x:c r="B694" s="1"/>
      <x:c r="C694" s="1"/>
      <x:c r="D694" s="1"/>
      <x:c r="E694" s="1"/>
      <x:c r="F694" s="1"/>
    </x:row>
    <x:row r="695">
      <x:c r="A695" s="1"/>
      <x:c r="B695" s="1"/>
      <x:c r="C695" s="1"/>
      <x:c r="D695" s="1"/>
      <x:c r="E695" s="1"/>
      <x:c r="F695" s="1"/>
    </x:row>
    <x:row r="696">
      <x:c r="A696" s="1"/>
      <x:c r="B696" s="1"/>
      <x:c r="C696" s="1"/>
      <x:c r="D696" s="1"/>
      <x:c r="E696" s="1"/>
      <x:c r="F696" s="1"/>
    </x:row>
    <x:row r="697">
      <x:c r="A697" s="1"/>
      <x:c r="B697" s="1"/>
      <x:c r="C697" s="1"/>
      <x:c r="D697" s="1"/>
      <x:c r="E697" s="1"/>
      <x:c r="F697" s="1"/>
    </x:row>
    <x:row r="698">
      <x:c r="A698" s="1"/>
      <x:c r="B698" s="1"/>
      <x:c r="C698" s="1"/>
      <x:c r="D698" s="1"/>
      <x:c r="E698" s="1"/>
      <x:c r="F698" s="1"/>
    </x:row>
    <x:row r="699">
      <x:c r="A699" s="1"/>
      <x:c r="B699" s="1"/>
      <x:c r="C699" s="1"/>
      <x:c r="D699" s="1"/>
      <x:c r="E699" s="1"/>
      <x:c r="F699" s="1"/>
    </x:row>
    <x:row r="700">
      <x:c r="A700" s="1"/>
      <x:c r="B700" s="1"/>
      <x:c r="C700" s="1"/>
      <x:c r="D700" s="1"/>
      <x:c r="E700" s="1"/>
      <x:c r="F700" s="1"/>
    </x:row>
    <x:row r="701">
      <x:c r="A701" s="1"/>
      <x:c r="B701" s="1"/>
      <x:c r="C701" s="1"/>
      <x:c r="D701" s="1"/>
      <x:c r="E701" s="1"/>
      <x:c r="F701" s="1"/>
    </x:row>
    <x:row r="702">
      <x:c r="A702" s="1"/>
      <x:c r="B702" s="1"/>
      <x:c r="C702" s="1"/>
      <x:c r="D702" s="1"/>
      <x:c r="E702" s="1"/>
      <x:c r="F702" s="1"/>
    </x:row>
    <x:row r="703">
      <x:c r="A703" s="1"/>
      <x:c r="B703" s="1"/>
      <x:c r="C703" s="1"/>
      <x:c r="D703" s="1"/>
      <x:c r="E703" s="1"/>
      <x:c r="F703" s="1"/>
    </x:row>
    <x:row r="704">
      <x:c r="A704" s="1"/>
      <x:c r="B704" s="1"/>
      <x:c r="C704" s="1"/>
      <x:c r="D704" s="1"/>
      <x:c r="E704" s="1"/>
      <x:c r="F704" s="1"/>
    </x:row>
    <x:row r="705">
      <x:c r="A705" s="1"/>
      <x:c r="B705" s="1"/>
      <x:c r="C705" s="1"/>
      <x:c r="D705" s="1"/>
      <x:c r="E705" s="1"/>
      <x:c r="F705" s="1"/>
    </x:row>
    <x:row r="706">
      <x:c r="A706" s="1"/>
      <x:c r="B706" s="1"/>
      <x:c r="C706" s="1"/>
      <x:c r="D706" s="1"/>
      <x:c r="E706" s="1"/>
      <x:c r="F706" s="1"/>
    </x:row>
    <x:row r="707">
      <x:c r="A707" s="1"/>
      <x:c r="B707" s="1"/>
      <x:c r="C707" s="1"/>
      <x:c r="D707" s="1"/>
      <x:c r="E707" s="1"/>
      <x:c r="F707" s="1"/>
    </x:row>
    <x:row r="708">
      <x:c r="A708" s="1"/>
      <x:c r="B708" s="1"/>
      <x:c r="C708" s="1"/>
      <x:c r="D708" s="1"/>
      <x:c r="E708" s="1"/>
      <x:c r="F708" s="1"/>
    </x:row>
    <x:row r="709">
      <x:c r="A709" s="1"/>
      <x:c r="B709" s="1"/>
      <x:c r="C709" s="1"/>
      <x:c r="D709" s="1"/>
      <x:c r="E709" s="1"/>
      <x:c r="F709" s="1"/>
    </x:row>
    <x:row r="710">
      <x:c r="A710" s="1"/>
      <x:c r="B710" s="1"/>
      <x:c r="C710" s="1"/>
      <x:c r="D710" s="1"/>
      <x:c r="E710" s="1"/>
      <x:c r="F710" s="1"/>
    </x:row>
    <x:row r="711">
      <x:c r="A711" s="1"/>
      <x:c r="B711" s="1"/>
      <x:c r="C711" s="1"/>
      <x:c r="D711" s="1"/>
      <x:c r="E711" s="1"/>
      <x:c r="F711" s="1"/>
    </x:row>
    <x:row r="712">
      <x:c r="A712" s="1"/>
      <x:c r="B712" s="1"/>
      <x:c r="C712" s="1"/>
      <x:c r="D712" s="1"/>
      <x:c r="E712" s="1"/>
      <x:c r="F712" s="1"/>
    </x:row>
    <x:row r="713">
      <x:c r="A713" s="1"/>
      <x:c r="B713" s="1"/>
      <x:c r="C713" s="1"/>
      <x:c r="D713" s="1"/>
      <x:c r="E713" s="1"/>
      <x:c r="F713" s="1"/>
    </x:row>
    <x:row r="714">
      <x:c r="A714" s="1"/>
      <x:c r="B714" s="1"/>
      <x:c r="C714" s="1"/>
      <x:c r="D714" s="1"/>
      <x:c r="E714" s="1"/>
      <x:c r="F714" s="1"/>
    </x:row>
    <x:row r="715">
      <x:c r="A715" s="1"/>
      <x:c r="B715" s="1"/>
      <x:c r="C715" s="1"/>
      <x:c r="D715" s="1"/>
      <x:c r="E715" s="1"/>
      <x:c r="F715" s="1"/>
    </x:row>
    <x:row r="716">
      <x:c r="A716" s="1"/>
      <x:c r="B716" s="1"/>
      <x:c r="C716" s="1"/>
      <x:c r="D716" s="1"/>
      <x:c r="E716" s="1"/>
      <x:c r="F716" s="1"/>
    </x:row>
    <x:row r="717">
      <x:c r="A717" s="1"/>
      <x:c r="B717" s="1"/>
      <x:c r="C717" s="1"/>
      <x:c r="D717" s="1"/>
      <x:c r="E717" s="1"/>
      <x:c r="F717" s="1"/>
    </x:row>
    <x:row r="718">
      <x:c r="A718" s="1"/>
      <x:c r="B718" s="1"/>
      <x:c r="C718" s="1"/>
      <x:c r="D718" s="1"/>
      <x:c r="E718" s="1"/>
      <x:c r="F718" s="1"/>
    </x:row>
    <x:row r="719">
      <x:c r="A719" s="1"/>
      <x:c r="B719" s="1"/>
      <x:c r="C719" s="1"/>
      <x:c r="D719" s="1"/>
      <x:c r="E719" s="1"/>
      <x:c r="F719" s="1"/>
    </x:row>
    <x:row r="720">
      <x:c r="A720" s="1"/>
      <x:c r="B720" s="1"/>
      <x:c r="C720" s="1"/>
      <x:c r="D720" s="1"/>
      <x:c r="E720" s="1"/>
      <x:c r="F720" s="1"/>
    </x:row>
    <x:row r="721">
      <x:c r="A721" s="1"/>
      <x:c r="B721" s="1"/>
      <x:c r="C721" s="1"/>
      <x:c r="D721" s="1"/>
      <x:c r="E721" s="1"/>
      <x:c r="F721" s="1"/>
    </x:row>
    <x:row r="722">
      <x:c r="A722" s="1"/>
      <x:c r="B722" s="1"/>
      <x:c r="C722" s="1"/>
      <x:c r="D722" s="1"/>
      <x:c r="E722" s="1"/>
      <x:c r="F722" s="1"/>
    </x:row>
    <x:row r="723">
      <x:c r="A723" s="1"/>
      <x:c r="B723" s="1"/>
      <x:c r="C723" s="1"/>
      <x:c r="D723" s="1"/>
      <x:c r="E723" s="1"/>
      <x:c r="F723" s="1"/>
    </x:row>
    <x:row r="724">
      <x:c r="A724" s="1"/>
      <x:c r="B724" s="1"/>
      <x:c r="C724" s="1"/>
      <x:c r="D724" s="1"/>
      <x:c r="E724" s="1"/>
      <x:c r="F724" s="1"/>
    </x:row>
    <x:row r="725">
      <x:c r="A725" s="1"/>
      <x:c r="B725" s="1"/>
      <x:c r="C725" s="1"/>
      <x:c r="D725" s="1"/>
      <x:c r="E725" s="1"/>
      <x:c r="F725" s="1"/>
    </x:row>
    <x:row r="726">
      <x:c r="A726" s="1"/>
      <x:c r="B726" s="1"/>
      <x:c r="C726" s="1"/>
      <x:c r="D726" s="1"/>
      <x:c r="E726" s="1"/>
      <x:c r="F726" s="1"/>
    </x:row>
    <x:row r="727">
      <x:c r="A727" s="1"/>
      <x:c r="B727" s="1"/>
      <x:c r="C727" s="1"/>
      <x:c r="D727" s="1"/>
      <x:c r="E727" s="1"/>
      <x:c r="F727" s="1"/>
    </x:row>
    <x:row r="728">
      <x:c r="A728" s="1"/>
      <x:c r="B728" s="1"/>
      <x:c r="C728" s="1"/>
      <x:c r="D728" s="1"/>
      <x:c r="E728" s="1"/>
      <x:c r="F728" s="1"/>
    </x:row>
    <x:row r="729">
      <x:c r="A729" s="1"/>
      <x:c r="B729" s="1"/>
      <x:c r="C729" s="1"/>
      <x:c r="D729" s="1"/>
      <x:c r="E729" s="1"/>
      <x:c r="F729" s="1"/>
    </x:row>
    <x:row r="730">
      <x:c r="A730" s="1"/>
      <x:c r="B730" s="1"/>
      <x:c r="C730" s="1"/>
      <x:c r="D730" s="1"/>
      <x:c r="E730" s="1"/>
      <x:c r="F730" s="1"/>
    </x:row>
    <x:row r="731">
      <x:c r="A731" s="1"/>
      <x:c r="B731" s="1"/>
      <x:c r="C731" s="1"/>
      <x:c r="D731" s="1"/>
      <x:c r="E731" s="1"/>
      <x:c r="F731" s="1"/>
    </x:row>
    <x:row r="732">
      <x:c r="A732" s="1"/>
      <x:c r="B732" s="1"/>
      <x:c r="C732" s="1"/>
      <x:c r="D732" s="1"/>
      <x:c r="E732" s="1"/>
      <x:c r="F732" s="1"/>
    </x:row>
    <x:row r="733">
      <x:c r="A733" s="1"/>
      <x:c r="B733" s="1"/>
      <x:c r="C733" s="1"/>
      <x:c r="D733" s="1"/>
      <x:c r="E733" s="1"/>
      <x:c r="F733" s="1"/>
    </x:row>
    <x:row r="734">
      <x:c r="A734" s="1"/>
      <x:c r="B734" s="1"/>
      <x:c r="C734" s="1"/>
      <x:c r="D734" s="1"/>
      <x:c r="E734" s="1"/>
      <x:c r="F734" s="1"/>
    </x:row>
    <x:row r="735">
      <x:c r="A735" s="1"/>
      <x:c r="B735" s="1"/>
      <x:c r="C735" s="1"/>
      <x:c r="D735" s="1"/>
      <x:c r="E735" s="1"/>
      <x:c r="F735" s="1"/>
    </x:row>
    <x:row r="736">
      <x:c r="A736" s="1"/>
      <x:c r="B736" s="1"/>
      <x:c r="C736" s="1"/>
      <x:c r="D736" s="1"/>
      <x:c r="E736" s="1"/>
      <x:c r="F736" s="1"/>
    </x:row>
    <x:row r="737">
      <x:c r="A737" s="1"/>
      <x:c r="B737" s="1"/>
      <x:c r="C737" s="1"/>
      <x:c r="D737" s="1"/>
      <x:c r="E737" s="1"/>
      <x:c r="F737" s="1"/>
    </x:row>
    <x:row r="738">
      <x:c r="A738" s="1"/>
      <x:c r="B738" s="1"/>
      <x:c r="C738" s="1"/>
      <x:c r="D738" s="1"/>
      <x:c r="E738" s="1"/>
      <x:c r="F738" s="1"/>
    </x:row>
    <x:row r="739">
      <x:c r="A739" s="1"/>
      <x:c r="B739" s="1"/>
      <x:c r="C739" s="1"/>
      <x:c r="D739" s="1"/>
      <x:c r="E739" s="1"/>
      <x:c r="F739" s="1"/>
    </x:row>
    <x:row r="740">
      <x:c r="A740" s="1"/>
      <x:c r="B740" s="1"/>
      <x:c r="C740" s="1"/>
      <x:c r="D740" s="1"/>
      <x:c r="E740" s="1"/>
      <x:c r="F740" s="1"/>
    </x:row>
    <x:row r="741">
      <x:c r="A741" s="1"/>
      <x:c r="B741" s="1"/>
      <x:c r="C741" s="1"/>
      <x:c r="D741" s="1"/>
      <x:c r="E741" s="1"/>
      <x:c r="F741" s="1"/>
    </x:row>
    <x:row r="742">
      <x:c r="A742" s="1"/>
      <x:c r="B742" s="1"/>
      <x:c r="C742" s="1"/>
      <x:c r="D742" s="1"/>
      <x:c r="E742" s="1"/>
      <x:c r="F742" s="1"/>
    </x:row>
    <x:row r="743">
      <x:c r="A743" s="1"/>
      <x:c r="B743" s="1"/>
      <x:c r="C743" s="1"/>
      <x:c r="D743" s="1"/>
      <x:c r="E743" s="1"/>
      <x:c r="F743" s="1"/>
    </x:row>
    <x:row r="744">
      <x:c r="A744" s="1"/>
      <x:c r="B744" s="1"/>
      <x:c r="C744" s="1"/>
      <x:c r="D744" s="1"/>
      <x:c r="E744" s="1"/>
      <x:c r="F744" s="1"/>
    </x:row>
    <x:row r="745">
      <x:c r="A745" s="1"/>
      <x:c r="B745" s="1"/>
      <x:c r="C745" s="1"/>
      <x:c r="D745" s="1"/>
      <x:c r="E745" s="1"/>
      <x:c r="F745" s="1"/>
    </x:row>
    <x:row r="746">
      <x:c r="A746" s="1"/>
      <x:c r="B746" s="1"/>
      <x:c r="C746" s="1"/>
      <x:c r="D746" s="1"/>
      <x:c r="E746" s="1"/>
      <x:c r="F746" s="1"/>
    </x:row>
    <x:row r="747">
      <x:c r="A747" s="1"/>
      <x:c r="B747" s="1"/>
      <x:c r="C747" s="1"/>
      <x:c r="D747" s="1"/>
      <x:c r="E747" s="1"/>
      <x:c r="F747" s="1"/>
    </x:row>
    <x:row r="748">
      <x:c r="A748" s="1"/>
      <x:c r="B748" s="1"/>
      <x:c r="C748" s="1"/>
      <x:c r="D748" s="1"/>
      <x:c r="E748" s="1"/>
      <x:c r="F748" s="1"/>
    </x:row>
    <x:row r="749">
      <x:c r="A749" s="1"/>
      <x:c r="B749" s="1"/>
      <x:c r="C749" s="1"/>
      <x:c r="D749" s="1"/>
      <x:c r="E749" s="1"/>
      <x:c r="F749" s="1"/>
    </x:row>
    <x:row r="750">
      <x:c r="A750" s="1"/>
      <x:c r="B750" s="1"/>
      <x:c r="C750" s="1"/>
      <x:c r="D750" s="1"/>
      <x:c r="E750" s="1"/>
      <x:c r="F750" s="1"/>
    </x:row>
    <x:row r="751">
      <x:c r="A751" s="1"/>
      <x:c r="B751" s="1"/>
      <x:c r="C751" s="1"/>
      <x:c r="D751" s="1"/>
      <x:c r="E751" s="1"/>
      <x:c r="F751" s="1"/>
    </x:row>
    <x:row r="752">
      <x:c r="A752" s="1"/>
      <x:c r="B752" s="1"/>
      <x:c r="C752" s="1"/>
      <x:c r="D752" s="1"/>
      <x:c r="E752" s="1"/>
      <x:c r="F752" s="1"/>
    </x:row>
    <x:row r="753">
      <x:c r="A753" s="1"/>
      <x:c r="B753" s="1"/>
      <x:c r="C753" s="1"/>
      <x:c r="D753" s="1"/>
      <x:c r="E753" s="1"/>
      <x:c r="F753" s="1"/>
    </x:row>
    <x:row r="754">
      <x:c r="A754" s="1"/>
      <x:c r="B754" s="1"/>
      <x:c r="C754" s="1"/>
      <x:c r="D754" s="1"/>
      <x:c r="E754" s="1"/>
      <x:c r="F754" s="1"/>
    </x:row>
    <x:row r="755">
      <x:c r="A755" s="1"/>
      <x:c r="B755" s="1"/>
      <x:c r="C755" s="1"/>
      <x:c r="D755" s="1"/>
      <x:c r="E755" s="1"/>
      <x:c r="F755" s="1"/>
    </x:row>
    <x:row r="756">
      <x:c r="A756" s="1"/>
      <x:c r="B756" s="1"/>
      <x:c r="C756" s="1"/>
      <x:c r="D756" s="1"/>
      <x:c r="E756" s="1"/>
      <x:c r="F756" s="1"/>
    </x:row>
    <x:row r="757">
      <x:c r="A757" s="1"/>
      <x:c r="B757" s="1"/>
      <x:c r="C757" s="1"/>
      <x:c r="D757" s="1"/>
      <x:c r="E757" s="1"/>
      <x:c r="F757" s="1"/>
    </x:row>
    <x:row r="758">
      <x:c r="A758" s="1"/>
      <x:c r="B758" s="1"/>
      <x:c r="C758" s="1"/>
      <x:c r="D758" s="1"/>
      <x:c r="E758" s="1"/>
      <x:c r="F758" s="1"/>
    </x:row>
    <x:row r="759">
      <x:c r="A759" s="1"/>
      <x:c r="B759" s="1"/>
      <x:c r="C759" s="1"/>
      <x:c r="D759" s="1"/>
      <x:c r="E759" s="1"/>
      <x:c r="F759" s="1"/>
    </x:row>
    <x:row r="760">
      <x:c r="A760" s="1"/>
      <x:c r="B760" s="1"/>
      <x:c r="C760" s="1"/>
      <x:c r="D760" s="1"/>
      <x:c r="E760" s="1"/>
      <x:c r="F760" s="1"/>
    </x:row>
    <x:row r="761">
      <x:c r="A761" s="1"/>
      <x:c r="B761" s="1"/>
      <x:c r="C761" s="1"/>
      <x:c r="D761" s="1"/>
      <x:c r="E761" s="1"/>
      <x:c r="F761" s="1"/>
    </x:row>
    <x:row r="762">
      <x:c r="A762" s="1"/>
      <x:c r="B762" s="1"/>
      <x:c r="C762" s="1"/>
      <x:c r="D762" s="1"/>
      <x:c r="E762" s="1"/>
      <x:c r="F762" s="1"/>
    </x:row>
    <x:row r="763">
      <x:c r="A763" s="1"/>
      <x:c r="B763" s="1"/>
      <x:c r="C763" s="1"/>
      <x:c r="D763" s="1"/>
      <x:c r="E763" s="1"/>
      <x:c r="F763" s="1"/>
    </x:row>
    <x:row r="764">
      <x:c r="A764" s="1"/>
      <x:c r="B764" s="1"/>
      <x:c r="C764" s="1"/>
      <x:c r="D764" s="1"/>
      <x:c r="E764" s="1"/>
      <x:c r="F764" s="1"/>
    </x:row>
    <x:row r="765">
      <x:c r="A765" s="1"/>
      <x:c r="B765" s="1"/>
      <x:c r="C765" s="1"/>
      <x:c r="D765" s="1"/>
      <x:c r="E765" s="1"/>
      <x:c r="F765" s="1"/>
    </x:row>
    <x:row r="766">
      <x:c r="A766" s="1"/>
      <x:c r="B766" s="1"/>
      <x:c r="C766" s="1"/>
      <x:c r="D766" s="1"/>
      <x:c r="E766" s="1"/>
      <x:c r="F766" s="1"/>
    </x:row>
    <x:row r="767">
      <x:c r="A767" s="1"/>
      <x:c r="B767" s="1"/>
      <x:c r="C767" s="1"/>
      <x:c r="D767" s="1"/>
      <x:c r="E767" s="1"/>
      <x:c r="F767" s="1"/>
    </x:row>
    <x:row r="768">
      <x:c r="A768" s="1"/>
      <x:c r="B768" s="1"/>
      <x:c r="C768" s="1"/>
      <x:c r="D768" s="1"/>
      <x:c r="E768" s="1"/>
      <x:c r="F768" s="1"/>
    </x:row>
    <x:row r="769">
      <x:c r="A769" s="1"/>
      <x:c r="B769" s="1"/>
      <x:c r="C769" s="1"/>
      <x:c r="D769" s="1"/>
      <x:c r="E769" s="1"/>
      <x:c r="F769" s="1"/>
    </x:row>
    <x:row r="770">
      <x:c r="A770" s="1"/>
      <x:c r="B770" s="1"/>
      <x:c r="C770" s="1"/>
      <x:c r="D770" s="1"/>
      <x:c r="E770" s="1"/>
      <x:c r="F770" s="1"/>
    </x:row>
    <x:row r="771">
      <x:c r="A771" s="1"/>
      <x:c r="B771" s="1"/>
      <x:c r="C771" s="1"/>
      <x:c r="D771" s="1"/>
      <x:c r="E771" s="1"/>
      <x:c r="F771" s="1"/>
    </x:row>
    <x:row r="772">
      <x:c r="A772" s="1"/>
      <x:c r="B772" s="1"/>
      <x:c r="C772" s="1"/>
      <x:c r="D772" s="1"/>
      <x:c r="E772" s="1"/>
      <x:c r="F772" s="1"/>
    </x:row>
    <x:row r="773">
      <x:c r="A773" s="1"/>
      <x:c r="B773" s="1"/>
      <x:c r="C773" s="1"/>
      <x:c r="D773" s="1"/>
      <x:c r="E773" s="1"/>
      <x:c r="F773" s="1"/>
    </x:row>
    <x:row r="774">
      <x:c r="A774" s="1"/>
      <x:c r="B774" s="1"/>
      <x:c r="C774" s="1"/>
      <x:c r="D774" s="1"/>
      <x:c r="E774" s="1"/>
      <x:c r="F774" s="1"/>
    </x:row>
    <x:row r="775">
      <x:c r="A775" s="1"/>
      <x:c r="B775" s="1"/>
      <x:c r="C775" s="1"/>
      <x:c r="D775" s="1"/>
      <x:c r="E775" s="1"/>
      <x:c r="F775" s="1"/>
    </x:row>
    <x:row r="776">
      <x:c r="A776" s="1"/>
      <x:c r="B776" s="1"/>
      <x:c r="C776" s="1"/>
      <x:c r="D776" s="1"/>
      <x:c r="E776" s="1"/>
      <x:c r="F776" s="1"/>
    </x:row>
    <x:row r="777">
      <x:c r="A777" s="1"/>
      <x:c r="B777" s="1"/>
      <x:c r="C777" s="1"/>
      <x:c r="D777" s="1"/>
      <x:c r="E777" s="1"/>
      <x:c r="F777" s="1"/>
    </x:row>
    <x:row r="778">
      <x:c r="A778" s="1"/>
      <x:c r="B778" s="1"/>
      <x:c r="C778" s="1"/>
      <x:c r="D778" s="1"/>
      <x:c r="E778" s="1"/>
      <x:c r="F778" s="1"/>
    </x:row>
    <x:row r="779">
      <x:c r="A779" s="1"/>
      <x:c r="B779" s="1"/>
      <x:c r="C779" s="1"/>
      <x:c r="D779" s="1"/>
      <x:c r="E779" s="1"/>
      <x:c r="F779" s="1"/>
    </x:row>
    <x:row r="780">
      <x:c r="A780" s="1"/>
      <x:c r="B780" s="1"/>
      <x:c r="C780" s="1"/>
      <x:c r="D780" s="1"/>
      <x:c r="E780" s="1"/>
      <x:c r="F780" s="1"/>
    </x:row>
    <x:row r="781">
      <x:c r="A781" s="1"/>
      <x:c r="B781" s="1"/>
      <x:c r="C781" s="1"/>
      <x:c r="D781" s="1"/>
      <x:c r="E781" s="1"/>
      <x:c r="F781" s="1"/>
    </x:row>
    <x:row r="782">
      <x:c r="A782" s="1"/>
      <x:c r="B782" s="1"/>
      <x:c r="C782" s="1"/>
      <x:c r="D782" s="1"/>
      <x:c r="E782" s="1"/>
      <x:c r="F782" s="1"/>
    </x:row>
    <x:row r="783">
      <x:c r="A783" s="1"/>
      <x:c r="B783" s="1"/>
      <x:c r="C783" s="1"/>
      <x:c r="D783" s="1"/>
      <x:c r="E783" s="1"/>
      <x:c r="F783" s="1"/>
    </x:row>
    <x:row r="784">
      <x:c r="A784" s="1"/>
      <x:c r="B784" s="1"/>
      <x:c r="C784" s="1"/>
      <x:c r="D784" s="1"/>
      <x:c r="E784" s="1"/>
      <x:c r="F784" s="1"/>
    </x:row>
    <x:row r="785">
      <x:c r="A785" s="1"/>
      <x:c r="B785" s="1"/>
      <x:c r="C785" s="1"/>
      <x:c r="D785" s="1"/>
      <x:c r="E785" s="1"/>
      <x:c r="F785" s="1"/>
    </x:row>
    <x:row r="786">
      <x:c r="A786" s="1"/>
      <x:c r="B786" s="1"/>
      <x:c r="C786" s="1"/>
      <x:c r="D786" s="1"/>
      <x:c r="E786" s="1"/>
      <x:c r="F786" s="1"/>
    </x:row>
    <x:row r="787">
      <x:c r="A787" s="1"/>
      <x:c r="B787" s="1"/>
      <x:c r="C787" s="1"/>
      <x:c r="D787" s="1"/>
      <x:c r="E787" s="1"/>
      <x:c r="F787" s="1"/>
    </x:row>
    <x:row r="788">
      <x:c r="A788" s="1"/>
      <x:c r="B788" s="1"/>
      <x:c r="C788" s="1"/>
      <x:c r="D788" s="1"/>
      <x:c r="E788" s="1"/>
      <x:c r="F788" s="1"/>
    </x:row>
    <x:row r="789">
      <x:c r="A789" s="1"/>
      <x:c r="B789" s="1"/>
      <x:c r="C789" s="1"/>
      <x:c r="D789" s="1"/>
      <x:c r="E789" s="1"/>
      <x:c r="F789" s="1"/>
    </x:row>
    <x:row r="790">
      <x:c r="A790" s="1"/>
      <x:c r="B790" s="1"/>
      <x:c r="C790" s="1"/>
      <x:c r="D790" s="1"/>
      <x:c r="E790" s="1"/>
      <x:c r="F790" s="1"/>
    </x:row>
    <x:row r="791">
      <x:c r="A791" s="1"/>
      <x:c r="B791" s="1"/>
      <x:c r="C791" s="1"/>
      <x:c r="D791" s="1"/>
      <x:c r="E791" s="1"/>
      <x:c r="F791" s="1"/>
    </x:row>
    <x:row r="792">
      <x:c r="A792" s="1"/>
      <x:c r="B792" s="1"/>
      <x:c r="C792" s="1"/>
      <x:c r="D792" s="1"/>
      <x:c r="E792" s="1"/>
      <x:c r="F792" s="1"/>
    </x:row>
    <x:row r="793">
      <x:c r="A793" s="1"/>
      <x:c r="B793" s="1"/>
      <x:c r="C793" s="1"/>
      <x:c r="D793" s="1"/>
      <x:c r="E793" s="1"/>
      <x:c r="F793" s="1"/>
    </x:row>
    <x:row r="794">
      <x:c r="A794" s="1"/>
      <x:c r="B794" s="1"/>
      <x:c r="C794" s="1"/>
      <x:c r="D794" s="1"/>
      <x:c r="E794" s="1"/>
      <x:c r="F794" s="1"/>
    </x:row>
    <x:row r="795">
      <x:c r="A795" s="1"/>
      <x:c r="B795" s="1"/>
      <x:c r="C795" s="1"/>
      <x:c r="D795" s="1"/>
      <x:c r="E795" s="1"/>
      <x:c r="F795" s="1"/>
    </x:row>
    <x:row r="796">
      <x:c r="A796" s="1"/>
      <x:c r="B796" s="1"/>
      <x:c r="C796" s="1"/>
      <x:c r="D796" s="1"/>
      <x:c r="E796" s="1"/>
      <x:c r="F796" s="1"/>
    </x:row>
    <x:row r="797">
      <x:c r="A797" s="1"/>
      <x:c r="B797" s="1"/>
      <x:c r="C797" s="1"/>
      <x:c r="D797" s="1"/>
      <x:c r="E797" s="1"/>
      <x:c r="F797" s="1"/>
    </x:row>
    <x:row r="798">
      <x:c r="A798" s="1"/>
      <x:c r="B798" s="1"/>
      <x:c r="C798" s="1"/>
      <x:c r="D798" s="1"/>
      <x:c r="E798" s="1"/>
      <x:c r="F798" s="1"/>
    </x:row>
    <x:row r="799">
      <x:c r="A799" s="1"/>
      <x:c r="B799" s="1"/>
      <x:c r="C799" s="1"/>
      <x:c r="D799" s="1"/>
      <x:c r="E799" s="1"/>
      <x:c r="F799" s="1"/>
    </x:row>
    <x:row r="800">
      <x:c r="A800" s="1"/>
      <x:c r="B800" s="1"/>
      <x:c r="C800" s="1"/>
      <x:c r="D800" s="1"/>
      <x:c r="E800" s="1"/>
      <x:c r="F800" s="1"/>
    </x:row>
    <x:row r="801">
      <x:c r="A801" s="1"/>
      <x:c r="B801" s="1"/>
      <x:c r="C801" s="1"/>
      <x:c r="D801" s="1"/>
      <x:c r="E801" s="1"/>
      <x:c r="F801" s="1"/>
    </x:row>
    <x:row r="802">
      <x:c r="A802" s="1"/>
      <x:c r="B802" s="1"/>
      <x:c r="C802" s="1"/>
      <x:c r="D802" s="1"/>
      <x:c r="E802" s="1"/>
      <x:c r="F802" s="1"/>
    </x:row>
    <x:row r="803">
      <x:c r="A803" s="1"/>
      <x:c r="B803" s="1"/>
      <x:c r="C803" s="1"/>
      <x:c r="D803" s="1"/>
      <x:c r="E803" s="1"/>
      <x:c r="F803" s="1"/>
    </x:row>
    <x:row r="804">
      <x:c r="A804" s="1"/>
      <x:c r="B804" s="1"/>
      <x:c r="C804" s="1"/>
      <x:c r="D804" s="1"/>
      <x:c r="E804" s="1"/>
      <x:c r="F804" s="1"/>
    </x:row>
    <x:row r="805">
      <x:c r="A805" s="1"/>
      <x:c r="B805" s="1"/>
      <x:c r="C805" s="1"/>
      <x:c r="D805" s="1"/>
      <x:c r="E805" s="1"/>
      <x:c r="F805" s="1"/>
    </x:row>
    <x:row r="806">
      <x:c r="A806" s="1"/>
      <x:c r="B806" s="1"/>
      <x:c r="C806" s="1"/>
      <x:c r="D806" s="1"/>
      <x:c r="E806" s="1"/>
      <x:c r="F806" s="1"/>
    </x:row>
    <x:row r="807">
      <x:c r="A807" s="1"/>
      <x:c r="B807" s="1"/>
      <x:c r="C807" s="1"/>
      <x:c r="D807" s="1"/>
      <x:c r="E807" s="1"/>
      <x:c r="F807" s="1"/>
    </x:row>
    <x:row r="808">
      <x:c r="A808" s="1"/>
      <x:c r="B808" s="1"/>
      <x:c r="C808" s="1"/>
      <x:c r="D808" s="1"/>
      <x:c r="E808" s="1"/>
      <x:c r="F808" s="1"/>
    </x:row>
    <x:row r="809">
      <x:c r="A809" s="1"/>
      <x:c r="B809" s="1"/>
      <x:c r="C809" s="1"/>
      <x:c r="D809" s="1"/>
      <x:c r="E809" s="1"/>
      <x:c r="F809" s="1"/>
    </x:row>
    <x:row r="810">
      <x:c r="A810" s="1"/>
      <x:c r="B810" s="1"/>
      <x:c r="C810" s="1"/>
      <x:c r="D810" s="1"/>
      <x:c r="E810" s="1"/>
      <x:c r="F810" s="1"/>
    </x:row>
    <x:row r="811">
      <x:c r="A811" s="1"/>
      <x:c r="B811" s="1"/>
      <x:c r="C811" s="1"/>
      <x:c r="D811" s="1"/>
      <x:c r="E811" s="1"/>
      <x:c r="F811" s="1"/>
    </x:row>
    <x:row r="812">
      <x:c r="A812" s="1"/>
      <x:c r="B812" s="1"/>
      <x:c r="C812" s="1"/>
      <x:c r="D812" s="1"/>
      <x:c r="E812" s="1"/>
      <x:c r="F812" s="1"/>
    </x:row>
    <x:row r="813">
      <x:c r="A813" s="1"/>
      <x:c r="B813" s="1"/>
      <x:c r="C813" s="1"/>
      <x:c r="D813" s="1"/>
      <x:c r="E813" s="1"/>
      <x:c r="F813" s="1"/>
    </x:row>
    <x:row r="814">
      <x:c r="A814" s="1"/>
      <x:c r="B814" s="1"/>
      <x:c r="C814" s="1"/>
      <x:c r="D814" s="1"/>
      <x:c r="E814" s="1"/>
      <x:c r="F814" s="1"/>
    </x:row>
    <x:row r="815">
      <x:c r="A815" s="1"/>
      <x:c r="B815" s="1"/>
      <x:c r="C815" s="1"/>
      <x:c r="D815" s="1"/>
      <x:c r="E815" s="1"/>
      <x:c r="F815" s="1"/>
    </x:row>
    <x:row r="816">
      <x:c r="A816" s="1"/>
      <x:c r="B816" s="1"/>
      <x:c r="C816" s="1"/>
      <x:c r="D816" s="1"/>
      <x:c r="E816" s="1"/>
      <x:c r="F816" s="1"/>
    </x:row>
    <x:row r="817">
      <x:c r="A817" s="1"/>
      <x:c r="B817" s="1"/>
      <x:c r="C817" s="1"/>
      <x:c r="D817" s="1"/>
      <x:c r="E817" s="1"/>
      <x:c r="F817" s="1"/>
    </x:row>
    <x:row r="818">
      <x:c r="A818" s="1"/>
      <x:c r="B818" s="1"/>
      <x:c r="C818" s="1"/>
      <x:c r="D818" s="1"/>
      <x:c r="E818" s="1"/>
      <x:c r="F818" s="1"/>
    </x:row>
    <x:row r="819">
      <x:c r="A819" s="1"/>
      <x:c r="B819" s="1"/>
      <x:c r="C819" s="1"/>
      <x:c r="D819" s="1"/>
      <x:c r="E819" s="1"/>
      <x:c r="F819" s="1"/>
    </x:row>
    <x:row r="820">
      <x:c r="A820" s="1"/>
      <x:c r="B820" s="1"/>
      <x:c r="C820" s="1"/>
      <x:c r="D820" s="1"/>
      <x:c r="E820" s="1"/>
      <x:c r="F820" s="1"/>
    </x:row>
    <x:row r="821">
      <x:c r="A821" s="1"/>
      <x:c r="B821" s="1"/>
      <x:c r="C821" s="1"/>
      <x:c r="D821" s="1"/>
      <x:c r="E821" s="1"/>
      <x:c r="F821" s="1"/>
    </x:row>
    <x:row r="822">
      <x:c r="A822" s="1"/>
      <x:c r="B822" s="1"/>
      <x:c r="C822" s="1"/>
      <x:c r="D822" s="1"/>
      <x:c r="E822" s="1"/>
      <x:c r="F822" s="1"/>
    </x:row>
    <x:row r="823">
      <x:c r="A823" s="1"/>
      <x:c r="B823" s="1"/>
      <x:c r="C823" s="1"/>
      <x:c r="D823" s="1"/>
      <x:c r="E823" s="1"/>
      <x:c r="F823" s="1"/>
    </x:row>
    <x:row r="824">
      <x:c r="A824" s="1"/>
      <x:c r="B824" s="1"/>
      <x:c r="C824" s="1"/>
      <x:c r="D824" s="1"/>
      <x:c r="E824" s="1"/>
      <x:c r="F824" s="1"/>
    </x:row>
    <x:row r="825">
      <x:c r="A825" s="1"/>
      <x:c r="B825" s="1"/>
      <x:c r="C825" s="1"/>
      <x:c r="D825" s="1"/>
      <x:c r="E825" s="1"/>
      <x:c r="F825" s="1"/>
    </x:row>
    <x:row r="826">
      <x:c r="A826" s="1"/>
      <x:c r="B826" s="1"/>
      <x:c r="C826" s="1"/>
      <x:c r="D826" s="1"/>
      <x:c r="E826" s="1"/>
      <x:c r="F826" s="1"/>
    </x:row>
    <x:row r="827">
      <x:c r="A827" s="1"/>
      <x:c r="B827" s="1"/>
      <x:c r="C827" s="1"/>
      <x:c r="D827" s="1"/>
      <x:c r="E827" s="1"/>
      <x:c r="F827" s="1"/>
    </x:row>
    <x:row r="828">
      <x:c r="A828" s="1"/>
      <x:c r="B828" s="1"/>
      <x:c r="C828" s="1"/>
      <x:c r="D828" s="1"/>
      <x:c r="E828" s="1"/>
      <x:c r="F828" s="1"/>
    </x:row>
    <x:row r="829">
      <x:c r="A829" s="1"/>
      <x:c r="B829" s="1"/>
      <x:c r="C829" s="1"/>
      <x:c r="D829" s="1"/>
      <x:c r="E829" s="1"/>
      <x:c r="F829" s="1"/>
    </x:row>
    <x:row r="830">
      <x:c r="A830" s="1"/>
      <x:c r="B830" s="1"/>
      <x:c r="C830" s="1"/>
      <x:c r="D830" s="1"/>
      <x:c r="E830" s="1"/>
      <x:c r="F830" s="1"/>
    </x:row>
    <x:row r="831">
      <x:c r="A831" s="1"/>
      <x:c r="B831" s="1"/>
      <x:c r="C831" s="1"/>
      <x:c r="D831" s="1"/>
      <x:c r="E831" s="1"/>
      <x:c r="F831" s="1"/>
    </x:row>
    <x:row r="832">
      <x:c r="A832" s="1"/>
      <x:c r="B832" s="1"/>
      <x:c r="C832" s="1"/>
      <x:c r="D832" s="1"/>
      <x:c r="E832" s="1"/>
      <x:c r="F832" s="1"/>
    </x:row>
    <x:row r="833">
      <x:c r="A833" s="1"/>
      <x:c r="B833" s="1"/>
      <x:c r="C833" s="1"/>
      <x:c r="D833" s="1"/>
      <x:c r="E833" s="1"/>
      <x:c r="F833" s="1"/>
    </x:row>
    <x:row r="834">
      <x:c r="A834" s="1"/>
      <x:c r="B834" s="1"/>
      <x:c r="C834" s="1"/>
      <x:c r="D834" s="1"/>
      <x:c r="E834" s="1"/>
      <x:c r="F834" s="1"/>
    </x:row>
    <x:row r="835">
      <x:c r="A835" s="1"/>
      <x:c r="B835" s="1"/>
      <x:c r="C835" s="1"/>
      <x:c r="D835" s="1"/>
      <x:c r="E835" s="1"/>
      <x:c r="F835" s="1"/>
    </x:row>
    <x:row r="836">
      <x:c r="A836" s="1"/>
      <x:c r="B836" s="1"/>
      <x:c r="C836" s="1"/>
      <x:c r="D836" s="1"/>
      <x:c r="E836" s="1"/>
      <x:c r="F836" s="1"/>
    </x:row>
    <x:row r="837">
      <x:c r="A837" s="1"/>
      <x:c r="B837" s="1"/>
      <x:c r="C837" s="1"/>
      <x:c r="D837" s="1"/>
      <x:c r="E837" s="1"/>
      <x:c r="F837" s="1"/>
    </x:row>
    <x:row r="838">
      <x:c r="A838" s="1"/>
      <x:c r="B838" s="1"/>
      <x:c r="C838" s="1"/>
      <x:c r="D838" s="1"/>
      <x:c r="E838" s="1"/>
      <x:c r="F838" s="1"/>
    </x:row>
    <x:row r="839">
      <x:c r="A839" s="1"/>
      <x:c r="B839" s="1"/>
      <x:c r="C839" s="1"/>
      <x:c r="D839" s="1"/>
      <x:c r="E839" s="1"/>
      <x:c r="F839" s="1"/>
    </x:row>
    <x:row r="840">
      <x:c r="A840" s="1"/>
      <x:c r="B840" s="1"/>
      <x:c r="C840" s="1"/>
      <x:c r="D840" s="1"/>
      <x:c r="E840" s="1"/>
      <x:c r="F840" s="1"/>
    </x:row>
    <x:row r="841">
      <x:c r="A841" s="1"/>
      <x:c r="B841" s="1"/>
      <x:c r="C841" s="1"/>
      <x:c r="D841" s="1"/>
      <x:c r="E841" s="1"/>
      <x:c r="F841" s="1"/>
    </x:row>
    <x:row r="842">
      <x:c r="A842" s="1"/>
      <x:c r="B842" s="1"/>
      <x:c r="C842" s="1"/>
      <x:c r="D842" s="1"/>
      <x:c r="E842" s="1"/>
      <x:c r="F842" s="1"/>
    </x:row>
    <x:row r="843">
      <x:c r="A843" s="1"/>
      <x:c r="B843" s="1"/>
      <x:c r="C843" s="1"/>
      <x:c r="D843" s="1"/>
      <x:c r="E843" s="1"/>
      <x:c r="F843" s="1"/>
    </x:row>
    <x:row r="844">
      <x:c r="A844" s="1"/>
      <x:c r="B844" s="1"/>
      <x:c r="C844" s="1"/>
      <x:c r="D844" s="1"/>
      <x:c r="E844" s="1"/>
      <x:c r="F844" s="1"/>
    </x:row>
    <x:row r="845">
      <x:c r="A845" s="1"/>
      <x:c r="B845" s="1"/>
      <x:c r="C845" s="1"/>
      <x:c r="D845" s="1"/>
      <x:c r="E845" s="1"/>
      <x:c r="F845" s="1"/>
    </x:row>
    <x:row r="846">
      <x:c r="A846" s="1"/>
      <x:c r="B846" s="1"/>
      <x:c r="C846" s="1"/>
      <x:c r="D846" s="1"/>
      <x:c r="E846" s="1"/>
      <x:c r="F846" s="1"/>
    </x:row>
    <x:row r="847">
      <x:c r="A847" s="1"/>
      <x:c r="B847" s="1"/>
      <x:c r="C847" s="1"/>
      <x:c r="D847" s="1"/>
      <x:c r="E847" s="1"/>
      <x:c r="F847" s="1"/>
    </x:row>
    <x:row r="848">
      <x:c r="A848" s="1"/>
      <x:c r="B848" s="1"/>
      <x:c r="C848" s="1"/>
      <x:c r="D848" s="1"/>
      <x:c r="E848" s="1"/>
      <x:c r="F848" s="1"/>
    </x:row>
    <x:row r="849">
      <x:c r="A849" s="1"/>
      <x:c r="B849" s="1"/>
      <x:c r="C849" s="1"/>
      <x:c r="D849" s="1"/>
      <x:c r="E849" s="1"/>
      <x:c r="F849" s="1"/>
    </x:row>
    <x:row r="850">
      <x:c r="A850" s="1"/>
      <x:c r="B850" s="1"/>
      <x:c r="C850" s="1"/>
      <x:c r="D850" s="1"/>
      <x:c r="E850" s="1"/>
      <x:c r="F850" s="1"/>
    </x:row>
    <x:row r="851">
      <x:c r="A851" s="1"/>
      <x:c r="B851" s="1"/>
      <x:c r="C851" s="1"/>
      <x:c r="D851" s="1"/>
      <x:c r="E851" s="1"/>
      <x:c r="F851" s="1"/>
    </x:row>
    <x:row r="852">
      <x:c r="A852" s="1"/>
      <x:c r="B852" s="1"/>
      <x:c r="C852" s="1"/>
      <x:c r="D852" s="1"/>
      <x:c r="E852" s="1"/>
      <x:c r="F852" s="1"/>
    </x:row>
    <x:row r="853">
      <x:c r="A853" s="1"/>
      <x:c r="B853" s="1"/>
      <x:c r="C853" s="1"/>
      <x:c r="D853" s="1"/>
      <x:c r="E853" s="1"/>
      <x:c r="F853" s="1"/>
    </x:row>
    <x:row r="854">
      <x:c r="A854" s="1"/>
      <x:c r="B854" s="1"/>
      <x:c r="C854" s="1"/>
      <x:c r="D854" s="1"/>
      <x:c r="E854" s="1"/>
      <x:c r="F854" s="1"/>
    </x:row>
    <x:row r="855">
      <x:c r="A855" s="1"/>
      <x:c r="B855" s="1"/>
      <x:c r="C855" s="1"/>
      <x:c r="D855" s="1"/>
      <x:c r="E855" s="1"/>
      <x:c r="F855" s="1"/>
    </x:row>
    <x:row r="856">
      <x:c r="A856" s="1"/>
      <x:c r="B856" s="1"/>
      <x:c r="C856" s="1"/>
      <x:c r="D856" s="1"/>
      <x:c r="E856" s="1"/>
      <x:c r="F856" s="1"/>
    </x:row>
    <x:row r="857">
      <x:c r="A857" s="1"/>
      <x:c r="B857" s="1"/>
      <x:c r="C857" s="1"/>
      <x:c r="D857" s="1"/>
      <x:c r="E857" s="1"/>
      <x:c r="F857" s="1"/>
    </x:row>
    <x:row r="858">
      <x:c r="A858" s="1"/>
      <x:c r="B858" s="1"/>
      <x:c r="C858" s="1"/>
      <x:c r="D858" s="1"/>
      <x:c r="E858" s="1"/>
      <x:c r="F858" s="1"/>
    </x:row>
    <x:row r="859">
      <x:c r="A859" s="1"/>
      <x:c r="B859" s="1"/>
      <x:c r="C859" s="1"/>
      <x:c r="D859" s="1"/>
      <x:c r="E859" s="1"/>
      <x:c r="F859" s="1"/>
    </x:row>
    <x:row r="860">
      <x:c r="A860" s="1"/>
      <x:c r="B860" s="1"/>
      <x:c r="C860" s="1"/>
      <x:c r="D860" s="1"/>
      <x:c r="E860" s="1"/>
      <x:c r="F860" s="1"/>
    </x:row>
    <x:row r="861">
      <x:c r="A861" s="1"/>
      <x:c r="B861" s="1"/>
      <x:c r="C861" s="1"/>
      <x:c r="D861" s="1"/>
      <x:c r="E861" s="1"/>
      <x:c r="F861" s="1"/>
    </x:row>
    <x:row r="862">
      <x:c r="A862" s="1"/>
      <x:c r="B862" s="1"/>
      <x:c r="C862" s="1"/>
      <x:c r="D862" s="1"/>
      <x:c r="E862" s="1"/>
      <x:c r="F862" s="1"/>
    </x:row>
    <x:row r="863">
      <x:c r="A863" s="1"/>
      <x:c r="B863" s="1"/>
      <x:c r="C863" s="1"/>
      <x:c r="D863" s="1"/>
      <x:c r="E863" s="1"/>
      <x:c r="F863" s="1"/>
    </x:row>
    <x:row r="864">
      <x:c r="A864" s="1"/>
      <x:c r="B864" s="1"/>
      <x:c r="C864" s="1"/>
      <x:c r="D864" s="1"/>
      <x:c r="E864" s="1"/>
      <x:c r="F864" s="1"/>
    </x:row>
    <x:row r="865">
      <x:c r="A865" s="1"/>
      <x:c r="B865" s="1"/>
      <x:c r="C865" s="1"/>
      <x:c r="D865" s="1"/>
      <x:c r="E865" s="1"/>
      <x:c r="F865" s="1"/>
    </x:row>
    <x:row r="866">
      <x:c r="A866" s="1"/>
      <x:c r="B866" s="1"/>
      <x:c r="C866" s="1"/>
      <x:c r="D866" s="1"/>
      <x:c r="E866" s="1"/>
      <x:c r="F866" s="1"/>
    </x:row>
    <x:row r="867">
      <x:c r="A867" s="1"/>
      <x:c r="B867" s="1"/>
      <x:c r="C867" s="1"/>
      <x:c r="D867" s="1"/>
      <x:c r="E867" s="1"/>
      <x:c r="F867" s="1"/>
    </x:row>
    <x:row r="868">
      <x:c r="A868" s="1"/>
      <x:c r="B868" s="1"/>
      <x:c r="C868" s="1"/>
      <x:c r="D868" s="1"/>
      <x:c r="E868" s="1"/>
      <x:c r="F868" s="1"/>
    </x:row>
    <x:row r="869">
      <x:c r="A869" s="1"/>
      <x:c r="B869" s="1"/>
      <x:c r="C869" s="1"/>
      <x:c r="D869" s="1"/>
      <x:c r="E869" s="1"/>
      <x:c r="F869" s="1"/>
    </x:row>
    <x:row r="870">
      <x:c r="A870" s="1"/>
      <x:c r="B870" s="1"/>
      <x:c r="C870" s="1"/>
      <x:c r="D870" s="1"/>
      <x:c r="E870" s="1"/>
      <x:c r="F870" s="1"/>
    </x:row>
    <x:row r="871">
      <x:c r="A871" s="1"/>
      <x:c r="B871" s="1"/>
      <x:c r="C871" s="1"/>
      <x:c r="D871" s="1"/>
      <x:c r="E871" s="1"/>
      <x:c r="F871" s="1"/>
    </x:row>
    <x:row r="872">
      <x:c r="A872" s="1"/>
      <x:c r="B872" s="1"/>
      <x:c r="C872" s="1"/>
      <x:c r="D872" s="1"/>
      <x:c r="E872" s="1"/>
      <x:c r="F872" s="1"/>
    </x:row>
    <x:row r="873">
      <x:c r="A873" s="1"/>
      <x:c r="B873" s="1"/>
      <x:c r="C873" s="1"/>
      <x:c r="D873" s="1"/>
      <x:c r="E873" s="1"/>
      <x:c r="F873" s="1"/>
    </x:row>
    <x:row r="874">
      <x:c r="A874" s="1"/>
      <x:c r="B874" s="1"/>
      <x:c r="C874" s="1"/>
      <x:c r="D874" s="1"/>
      <x:c r="E874" s="1"/>
      <x:c r="F874" s="1"/>
    </x:row>
    <x:row r="875">
      <x:c r="A875" s="1"/>
      <x:c r="B875" s="1"/>
      <x:c r="C875" s="1"/>
      <x:c r="D875" s="1"/>
      <x:c r="E875" s="1"/>
      <x:c r="F875" s="1"/>
    </x:row>
    <x:row r="876">
      <x:c r="A876" s="1"/>
      <x:c r="B876" s="1"/>
      <x:c r="C876" s="1"/>
      <x:c r="D876" s="1"/>
      <x:c r="E876" s="1"/>
      <x:c r="F876" s="1"/>
    </x:row>
    <x:row r="877">
      <x:c r="A877" s="1"/>
      <x:c r="B877" s="1"/>
      <x:c r="C877" s="1"/>
      <x:c r="D877" s="1"/>
      <x:c r="E877" s="1"/>
      <x:c r="F877" s="1"/>
    </x:row>
    <x:row r="878">
      <x:c r="A878" s="1"/>
      <x:c r="B878" s="1"/>
      <x:c r="C878" s="1"/>
      <x:c r="D878" s="1"/>
      <x:c r="E878" s="1"/>
      <x:c r="F878" s="1"/>
    </x:row>
    <x:row r="879">
      <x:c r="A879" s="1"/>
      <x:c r="B879" s="1"/>
      <x:c r="C879" s="1"/>
      <x:c r="D879" s="1"/>
      <x:c r="E879" s="1"/>
      <x:c r="F879" s="1"/>
    </x:row>
    <x:row r="880">
      <x:c r="A880" s="1"/>
      <x:c r="B880" s="1"/>
      <x:c r="C880" s="1"/>
      <x:c r="D880" s="1"/>
      <x:c r="E880" s="1"/>
      <x:c r="F880" s="1"/>
    </x:row>
    <x:row r="881">
      <x:c r="A881" s="1"/>
      <x:c r="B881" s="1"/>
      <x:c r="C881" s="1"/>
      <x:c r="D881" s="1"/>
      <x:c r="E881" s="1"/>
      <x:c r="F881" s="1"/>
    </x:row>
    <x:row r="882">
      <x:c r="A882" s="1"/>
      <x:c r="B882" s="1"/>
      <x:c r="C882" s="1"/>
      <x:c r="D882" s="1"/>
      <x:c r="E882" s="1"/>
      <x:c r="F882" s="1"/>
    </x:row>
    <x:row r="883">
      <x:c r="A883" s="1"/>
      <x:c r="B883" s="1"/>
      <x:c r="C883" s="1"/>
      <x:c r="D883" s="1"/>
      <x:c r="E883" s="1"/>
      <x:c r="F883" s="1"/>
    </x:row>
    <x:row r="884">
      <x:c r="A884" s="1"/>
      <x:c r="B884" s="1"/>
      <x:c r="C884" s="1"/>
      <x:c r="D884" s="1"/>
      <x:c r="E884" s="1"/>
      <x:c r="F884" s="1"/>
    </x:row>
    <x:row r="885">
      <x:c r="A885" s="1"/>
      <x:c r="B885" s="1"/>
      <x:c r="C885" s="1"/>
      <x:c r="D885" s="1"/>
      <x:c r="E885" s="1"/>
      <x:c r="F885" s="1"/>
    </x:row>
    <x:row r="886">
      <x:c r="A886" s="1"/>
      <x:c r="B886" s="1"/>
      <x:c r="C886" s="1"/>
      <x:c r="D886" s="1"/>
      <x:c r="E886" s="1"/>
      <x:c r="F886" s="1"/>
    </x:row>
    <x:row r="887">
      <x:c r="A887" s="1"/>
      <x:c r="B887" s="1"/>
      <x:c r="C887" s="1"/>
      <x:c r="D887" s="1"/>
      <x:c r="E887" s="1"/>
      <x:c r="F887" s="1"/>
    </x:row>
    <x:row r="888">
      <x:c r="A888" s="1"/>
      <x:c r="B888" s="1"/>
      <x:c r="C888" s="1"/>
      <x:c r="D888" s="1"/>
      <x:c r="E888" s="1"/>
      <x:c r="F888" s="1"/>
    </x:row>
    <x:row r="889">
      <x:c r="A889" s="1"/>
      <x:c r="B889" s="1"/>
      <x:c r="C889" s="1"/>
      <x:c r="D889" s="1"/>
      <x:c r="E889" s="1"/>
      <x:c r="F889" s="1"/>
    </x:row>
    <x:row r="890">
      <x:c r="A890" s="1"/>
      <x:c r="B890" s="1"/>
      <x:c r="C890" s="1"/>
      <x:c r="D890" s="1"/>
      <x:c r="E890" s="1"/>
      <x:c r="F890" s="1"/>
    </x:row>
    <x:row r="891">
      <x:c r="A891" s="1"/>
      <x:c r="B891" s="1"/>
      <x:c r="C891" s="1"/>
      <x:c r="D891" s="1"/>
      <x:c r="E891" s="1"/>
      <x:c r="F891" s="1"/>
    </x:row>
    <x:row r="892">
      <x:c r="A892" s="1"/>
      <x:c r="B892" s="1"/>
      <x:c r="C892" s="1"/>
      <x:c r="D892" s="1"/>
      <x:c r="E892" s="1"/>
      <x:c r="F892" s="1"/>
    </x:row>
    <x:row r="893">
      <x:c r="A893" s="1"/>
      <x:c r="B893" s="1"/>
      <x:c r="C893" s="1"/>
      <x:c r="D893" s="1"/>
      <x:c r="E893" s="1"/>
      <x:c r="F893" s="1"/>
    </x:row>
    <x:row r="894">
      <x:c r="A894" s="1"/>
      <x:c r="B894" s="1"/>
      <x:c r="C894" s="1"/>
      <x:c r="D894" s="1"/>
      <x:c r="E894" s="1"/>
      <x:c r="F894" s="1"/>
    </x:row>
    <x:row r="895">
      <x:c r="A895" s="1"/>
      <x:c r="B895" s="1"/>
      <x:c r="C895" s="1"/>
      <x:c r="D895" s="1"/>
      <x:c r="E895" s="1"/>
      <x:c r="F895" s="1"/>
    </x:row>
    <x:row r="896">
      <x:c r="A896" s="1"/>
      <x:c r="B896" s="1"/>
      <x:c r="C896" s="1"/>
      <x:c r="D896" s="1"/>
      <x:c r="E896" s="1"/>
      <x:c r="F896" s="1"/>
    </x:row>
    <x:row r="897">
      <x:c r="A897" s="1"/>
      <x:c r="B897" s="1"/>
      <x:c r="C897" s="1"/>
      <x:c r="D897" s="1"/>
      <x:c r="E897" s="1"/>
      <x:c r="F897" s="1"/>
    </x:row>
    <x:row r="898">
      <x:c r="A898" s="1"/>
      <x:c r="B898" s="1"/>
      <x:c r="C898" s="1"/>
      <x:c r="D898" s="1"/>
      <x:c r="E898" s="1"/>
      <x:c r="F898" s="1"/>
    </x:row>
    <x:row r="899">
      <x:c r="A899" s="1"/>
      <x:c r="B899" s="1"/>
      <x:c r="C899" s="1"/>
      <x:c r="D899" s="1"/>
      <x:c r="E899" s="1"/>
      <x:c r="F899" s="1"/>
    </x:row>
    <x:row r="900">
      <x:c r="A900" s="1"/>
      <x:c r="B900" s="1"/>
      <x:c r="C900" s="1"/>
      <x:c r="D900" s="1"/>
      <x:c r="E900" s="1"/>
      <x:c r="F900" s="1"/>
    </x:row>
    <x:row r="901">
      <x:c r="A901" s="1"/>
      <x:c r="B901" s="1"/>
      <x:c r="C901" s="1"/>
      <x:c r="D901" s="1"/>
      <x:c r="E901" s="1"/>
      <x:c r="F901" s="1"/>
    </x:row>
    <x:row r="902">
      <x:c r="A902" s="1"/>
      <x:c r="B902" s="1"/>
      <x:c r="C902" s="1"/>
      <x:c r="D902" s="1"/>
      <x:c r="E902" s="1"/>
      <x:c r="F902" s="1"/>
    </x:row>
    <x:row r="903">
      <x:c r="A903" s="1"/>
      <x:c r="B903" s="1"/>
      <x:c r="C903" s="1"/>
      <x:c r="D903" s="1"/>
      <x:c r="E903" s="1"/>
      <x:c r="F903" s="1"/>
    </x:row>
    <x:row r="904">
      <x:c r="A904" s="1"/>
      <x:c r="B904" s="1"/>
      <x:c r="C904" s="1"/>
      <x:c r="D904" s="1"/>
      <x:c r="E904" s="1"/>
      <x:c r="F904" s="1"/>
    </x:row>
    <x:row r="905">
      <x:c r="A905" s="1"/>
      <x:c r="B905" s="1"/>
      <x:c r="C905" s="1"/>
      <x:c r="D905" s="1"/>
      <x:c r="E905" s="1"/>
      <x:c r="F905" s="1"/>
    </x:row>
    <x:row r="906">
      <x:c r="A906" s="1"/>
      <x:c r="B906" s="1"/>
      <x:c r="C906" s="1"/>
      <x:c r="D906" s="1"/>
      <x:c r="E906" s="1"/>
      <x:c r="F906" s="1"/>
    </x:row>
    <x:row r="907">
      <x:c r="A907" s="1"/>
      <x:c r="B907" s="1"/>
      <x:c r="C907" s="1"/>
      <x:c r="D907" s="1"/>
      <x:c r="E907" s="1"/>
      <x:c r="F907" s="1"/>
    </x:row>
    <x:row r="908">
      <x:c r="A908" s="1"/>
      <x:c r="B908" s="1"/>
      <x:c r="C908" s="1"/>
      <x:c r="D908" s="1"/>
      <x:c r="E908" s="1"/>
      <x:c r="F908" s="1"/>
    </x:row>
    <x:row r="909">
      <x:c r="A909" s="1"/>
      <x:c r="B909" s="1"/>
      <x:c r="C909" s="1"/>
      <x:c r="D909" s="1"/>
      <x:c r="E909" s="1"/>
      <x:c r="F909" s="1"/>
    </x:row>
    <x:row r="910">
      <x:c r="A910" s="1"/>
      <x:c r="B910" s="1"/>
      <x:c r="C910" s="1"/>
      <x:c r="D910" s="1"/>
      <x:c r="E910" s="1"/>
      <x:c r="F910" s="1"/>
    </x:row>
    <x:row r="911">
      <x:c r="A911" s="1"/>
      <x:c r="B911" s="1"/>
      <x:c r="C911" s="1"/>
      <x:c r="D911" s="1"/>
      <x:c r="E911" s="1"/>
      <x:c r="F911" s="1"/>
    </x:row>
    <x:row r="912">
      <x:c r="A912" s="1"/>
      <x:c r="B912" s="1"/>
      <x:c r="C912" s="1"/>
      <x:c r="D912" s="1"/>
      <x:c r="E912" s="1"/>
      <x:c r="F912" s="1"/>
    </x:row>
    <x:row r="913">
      <x:c r="A913" s="1"/>
      <x:c r="B913" s="1"/>
      <x:c r="C913" s="1"/>
      <x:c r="D913" s="1"/>
      <x:c r="E913" s="1"/>
      <x:c r="F913" s="1"/>
    </x:row>
    <x:row r="914">
      <x:c r="A914" s="1"/>
      <x:c r="B914" s="1"/>
      <x:c r="C914" s="1"/>
      <x:c r="D914" s="1"/>
      <x:c r="E914" s="1"/>
      <x:c r="F914" s="1"/>
    </x:row>
    <x:row r="915">
      <x:c r="A915" s="1"/>
      <x:c r="B915" s="1"/>
      <x:c r="C915" s="1"/>
      <x:c r="D915" s="1"/>
      <x:c r="E915" s="1"/>
      <x:c r="F915" s="1"/>
    </x:row>
    <x:row r="916">
      <x:c r="A916" s="1"/>
      <x:c r="B916" s="1"/>
      <x:c r="C916" s="1"/>
      <x:c r="D916" s="1"/>
      <x:c r="E916" s="1"/>
      <x:c r="F916" s="1"/>
    </x:row>
    <x:row r="917">
      <x:c r="A917" s="1"/>
      <x:c r="B917" s="1"/>
      <x:c r="C917" s="1"/>
      <x:c r="D917" s="1"/>
      <x:c r="E917" s="1"/>
      <x:c r="F917" s="1"/>
    </x:row>
    <x:row r="918">
      <x:c r="A918" s="1"/>
      <x:c r="B918" s="1"/>
      <x:c r="C918" s="1"/>
      <x:c r="D918" s="1"/>
      <x:c r="E918" s="1"/>
      <x:c r="F918" s="1"/>
    </x:row>
    <x:row r="919">
      <x:c r="A919" s="1"/>
      <x:c r="B919" s="1"/>
      <x:c r="C919" s="1"/>
      <x:c r="D919" s="1"/>
      <x:c r="E919" s="1"/>
      <x:c r="F919" s="1"/>
    </x:row>
    <x:row r="920">
      <x:c r="A920" s="1"/>
      <x:c r="B920" s="1"/>
      <x:c r="C920" s="1"/>
      <x:c r="D920" s="1"/>
      <x:c r="E920" s="1"/>
      <x:c r="F920" s="1"/>
    </x:row>
    <x:row r="921">
      <x:c r="A921" s="1"/>
      <x:c r="B921" s="1"/>
      <x:c r="C921" s="1"/>
      <x:c r="D921" s="1"/>
      <x:c r="E921" s="1"/>
      <x:c r="F921" s="1"/>
    </x:row>
    <x:row r="922">
      <x:c r="A922" s="1"/>
      <x:c r="B922" s="1"/>
      <x:c r="C922" s="1"/>
      <x:c r="D922" s="1"/>
      <x:c r="E922" s="1"/>
      <x:c r="F922" s="1"/>
    </x:row>
    <x:row r="923">
      <x:c r="A923" s="1"/>
      <x:c r="B923" s="1"/>
      <x:c r="C923" s="1"/>
      <x:c r="D923" s="1"/>
      <x:c r="E923" s="1"/>
      <x:c r="F923" s="1"/>
    </x:row>
    <x:row r="924">
      <x:c r="A924" s="1"/>
      <x:c r="B924" s="1"/>
      <x:c r="C924" s="1"/>
      <x:c r="D924" s="1"/>
      <x:c r="E924" s="1"/>
      <x:c r="F924" s="1"/>
    </x:row>
    <x:row r="925">
      <x:c r="A925" s="1"/>
      <x:c r="B925" s="1"/>
      <x:c r="C925" s="1"/>
      <x:c r="D925" s="1"/>
      <x:c r="E925" s="1"/>
      <x:c r="F925" s="1"/>
    </x:row>
    <x:row r="926">
      <x:c r="A926" s="1"/>
      <x:c r="B926" s="1"/>
      <x:c r="C926" s="1"/>
      <x:c r="D926" s="1"/>
      <x:c r="E926" s="1"/>
      <x:c r="F926" s="1"/>
    </x:row>
    <x:row r="927">
      <x:c r="A927" s="1"/>
      <x:c r="B927" s="1"/>
      <x:c r="C927" s="1"/>
      <x:c r="D927" s="1"/>
      <x:c r="E927" s="1"/>
      <x:c r="F927" s="1"/>
    </x:row>
    <x:row r="928">
      <x:c r="A928" s="1"/>
      <x:c r="B928" s="1"/>
      <x:c r="C928" s="1"/>
      <x:c r="D928" s="1"/>
      <x:c r="E928" s="1"/>
      <x:c r="F928" s="1"/>
    </x:row>
    <x:row r="929">
      <x:c r="A929" s="1"/>
      <x:c r="B929" s="1"/>
      <x:c r="C929" s="1"/>
      <x:c r="D929" s="1"/>
      <x:c r="E929" s="1"/>
      <x:c r="F929" s="1"/>
    </x:row>
    <x:row r="930">
      <x:c r="A930" s="1"/>
      <x:c r="B930" s="1"/>
      <x:c r="C930" s="1"/>
      <x:c r="D930" s="1"/>
      <x:c r="E930" s="1"/>
      <x:c r="F930" s="1"/>
    </x:row>
    <x:row r="931">
      <x:c r="A931" s="1"/>
      <x:c r="B931" s="1"/>
      <x:c r="C931" s="1"/>
      <x:c r="D931" s="1"/>
      <x:c r="E931" s="1"/>
      <x:c r="F931" s="1"/>
    </x:row>
    <x:row r="932">
      <x:c r="A932" s="1"/>
      <x:c r="B932" s="1"/>
      <x:c r="C932" s="1"/>
      <x:c r="D932" s="1"/>
      <x:c r="E932" s="1"/>
      <x:c r="F932" s="1"/>
    </x:row>
    <x:row r="933">
      <x:c r="A933" s="1"/>
      <x:c r="B933" s="1"/>
      <x:c r="C933" s="1"/>
      <x:c r="D933" s="1"/>
      <x:c r="E933" s="1"/>
      <x:c r="F933" s="1"/>
    </x:row>
    <x:row r="934">
      <x:c r="A934" s="1"/>
      <x:c r="B934" s="1"/>
      <x:c r="C934" s="1"/>
      <x:c r="D934" s="1"/>
      <x:c r="E934" s="1"/>
      <x:c r="F934" s="1"/>
    </x:row>
    <x:row r="935">
      <x:c r="A935" s="1"/>
      <x:c r="B935" s="1"/>
      <x:c r="C935" s="1"/>
      <x:c r="D935" s="1"/>
      <x:c r="E935" s="1"/>
      <x:c r="F935" s="1"/>
    </x:row>
    <x:row r="936">
      <x:c r="A936" s="1"/>
      <x:c r="B936" s="1"/>
      <x:c r="C936" s="1"/>
      <x:c r="D936" s="1"/>
      <x:c r="E936" s="1"/>
      <x:c r="F936" s="1"/>
    </x:row>
    <x:row r="937">
      <x:c r="A937" s="1"/>
      <x:c r="B937" s="1"/>
      <x:c r="C937" s="1"/>
      <x:c r="D937" s="1"/>
      <x:c r="E937" s="1"/>
      <x:c r="F937" s="1"/>
    </x:row>
    <x:row r="938">
      <x:c r="A938" s="1"/>
      <x:c r="B938" s="1"/>
      <x:c r="C938" s="1"/>
      <x:c r="D938" s="1"/>
      <x:c r="E938" s="1"/>
      <x:c r="F938" s="1"/>
    </x:row>
    <x:row r="939">
      <x:c r="A939" s="1"/>
      <x:c r="B939" s="1"/>
      <x:c r="C939" s="1"/>
      <x:c r="D939" s="1"/>
      <x:c r="E939" s="1"/>
      <x:c r="F939" s="1"/>
    </x:row>
    <x:row r="940">
      <x:c r="A940" s="1"/>
      <x:c r="B940" s="1"/>
      <x:c r="C940" s="1"/>
      <x:c r="D940" s="1"/>
      <x:c r="E940" s="1"/>
      <x:c r="F940" s="1"/>
    </x:row>
    <x:row r="941">
      <x:c r="A941" s="1"/>
      <x:c r="B941" s="1"/>
      <x:c r="C941" s="1"/>
      <x:c r="D941" s="1"/>
      <x:c r="E941" s="1"/>
      <x:c r="F941" s="1"/>
    </x:row>
    <x:row r="942">
      <x:c r="A942" s="1"/>
      <x:c r="B942" s="1"/>
      <x:c r="C942" s="1"/>
      <x:c r="D942" s="1"/>
      <x:c r="E942" s="1"/>
      <x:c r="F942" s="1"/>
    </x:row>
    <x:row r="943">
      <x:c r="A943" s="1"/>
      <x:c r="B943" s="1"/>
      <x:c r="C943" s="1"/>
      <x:c r="D943" s="1"/>
      <x:c r="E943" s="1"/>
      <x:c r="F943" s="1"/>
    </x:row>
    <x:row r="944">
      <x:c r="A944" s="1"/>
      <x:c r="B944" s="1"/>
      <x:c r="C944" s="1"/>
      <x:c r="D944" s="1"/>
      <x:c r="E944" s="1"/>
      <x:c r="F944" s="1"/>
    </x:row>
    <x:row r="945">
      <x:c r="A945" s="1"/>
      <x:c r="B945" s="1"/>
      <x:c r="C945" s="1"/>
      <x:c r="D945" s="1"/>
      <x:c r="E945" s="1"/>
      <x:c r="F945" s="1"/>
    </x:row>
    <x:row r="946">
      <x:c r="A946" s="1"/>
      <x:c r="B946" s="1"/>
      <x:c r="C946" s="1"/>
      <x:c r="D946" s="1"/>
      <x:c r="E946" s="1"/>
      <x:c r="F946" s="1"/>
    </x:row>
    <x:row r="947">
      <x:c r="A947" s="1"/>
      <x:c r="B947" s="1"/>
      <x:c r="C947" s="1"/>
      <x:c r="D947" s="1"/>
      <x:c r="E947" s="1"/>
      <x:c r="F947" s="1"/>
    </x:row>
    <x:row r="948">
      <x:c r="A948" s="1"/>
      <x:c r="B948" s="1"/>
      <x:c r="C948" s="1"/>
      <x:c r="D948" s="1"/>
      <x:c r="E948" s="1"/>
      <x:c r="F948" s="1"/>
    </x:row>
    <x:row r="949">
      <x:c r="A949" s="1"/>
      <x:c r="B949" s="1"/>
      <x:c r="C949" s="1"/>
      <x:c r="D949" s="1"/>
      <x:c r="E949" s="1"/>
      <x:c r="F949" s="1"/>
    </x:row>
    <x:row r="950">
      <x:c r="A950" s="1"/>
      <x:c r="B950" s="1"/>
      <x:c r="C950" s="1"/>
      <x:c r="D950" s="1"/>
      <x:c r="E950" s="1"/>
      <x:c r="F950" s="1"/>
    </x:row>
    <x:row r="951">
      <x:c r="A951" s="1"/>
      <x:c r="B951" s="1"/>
      <x:c r="C951" s="1"/>
      <x:c r="D951" s="1"/>
      <x:c r="E951" s="1"/>
      <x:c r="F951" s="1"/>
    </x:row>
    <x:row r="952">
      <x:c r="A952" s="1"/>
      <x:c r="B952" s="1"/>
      <x:c r="C952" s="1"/>
      <x:c r="D952" s="1"/>
      <x:c r="E952" s="1"/>
      <x:c r="F952" s="1"/>
    </x:row>
    <x:row r="953">
      <x:c r="A953" s="1"/>
      <x:c r="B953" s="1"/>
      <x:c r="C953" s="1"/>
      <x:c r="D953" s="1"/>
      <x:c r="E953" s="1"/>
      <x:c r="F953" s="1"/>
    </x:row>
    <x:row r="954">
      <x:c r="A954" s="1"/>
      <x:c r="B954" s="1"/>
      <x:c r="C954" s="1"/>
      <x:c r="D954" s="1"/>
      <x:c r="E954" s="1"/>
      <x:c r="F954" s="1"/>
    </x:row>
    <x:row r="955">
      <x:c r="A955" s="1"/>
      <x:c r="B955" s="1"/>
      <x:c r="C955" s="1"/>
      <x:c r="D955" s="1"/>
      <x:c r="E955" s="1"/>
      <x:c r="F955" s="1"/>
    </x:row>
    <x:row r="956">
      <x:c r="A956" s="1"/>
      <x:c r="B956" s="1"/>
      <x:c r="C956" s="1"/>
      <x:c r="D956" s="1"/>
      <x:c r="E956" s="1"/>
      <x:c r="F956" s="1"/>
    </x:row>
    <x:row r="957">
      <x:c r="A957" s="1"/>
      <x:c r="B957" s="1"/>
      <x:c r="C957" s="1"/>
      <x:c r="D957" s="1"/>
      <x:c r="E957" s="1"/>
      <x:c r="F957" s="1"/>
    </x:row>
    <x:row r="958">
      <x:c r="A958" s="1"/>
      <x:c r="B958" s="1"/>
      <x:c r="C958" s="1"/>
      <x:c r="D958" s="1"/>
      <x:c r="E958" s="1"/>
      <x:c r="F958" s="1"/>
    </x:row>
    <x:row r="959">
      <x:c r="A959" s="1"/>
      <x:c r="B959" s="1"/>
      <x:c r="C959" s="1"/>
      <x:c r="D959" s="1"/>
      <x:c r="E959" s="1"/>
      <x:c r="F959" s="1"/>
    </x:row>
    <x:row r="960">
      <x:c r="A960" s="1"/>
      <x:c r="B960" s="1"/>
      <x:c r="C960" s="1"/>
      <x:c r="D960" s="1"/>
      <x:c r="E960" s="1"/>
      <x:c r="F960" s="1"/>
    </x:row>
    <x:row r="961">
      <x:c r="A961" s="1"/>
      <x:c r="B961" s="1"/>
      <x:c r="C961" s="1"/>
      <x:c r="D961" s="1"/>
      <x:c r="E961" s="1"/>
      <x:c r="F961" s="1"/>
    </x:row>
    <x:row r="962">
      <x:c r="A962" s="1"/>
      <x:c r="B962" s="1"/>
      <x:c r="C962" s="1"/>
      <x:c r="D962" s="1"/>
      <x:c r="E962" s="1"/>
      <x:c r="F962" s="1"/>
    </x:row>
    <x:row r="963">
      <x:c r="A963" s="1"/>
      <x:c r="B963" s="1"/>
      <x:c r="C963" s="1"/>
      <x:c r="D963" s="1"/>
      <x:c r="E963" s="1"/>
      <x:c r="F963" s="1"/>
    </x:row>
    <x:row r="964">
      <x:c r="A964" s="1"/>
      <x:c r="B964" s="1"/>
      <x:c r="C964" s="1"/>
      <x:c r="D964" s="1"/>
      <x:c r="E964" s="1"/>
      <x:c r="F964" s="1"/>
    </x:row>
    <x:row r="965">
      <x:c r="A965" s="1"/>
      <x:c r="B965" s="1"/>
      <x:c r="C965" s="1"/>
      <x:c r="D965" s="1"/>
      <x:c r="E965" s="1"/>
      <x:c r="F965" s="1"/>
    </x:row>
    <x:row r="966">
      <x:c r="A966" s="1"/>
      <x:c r="B966" s="1"/>
      <x:c r="C966" s="1"/>
      <x:c r="D966" s="1"/>
      <x:c r="E966" s="1"/>
      <x:c r="F966" s="1"/>
    </x:row>
    <x:row r="967">
      <x:c r="A967" s="1"/>
      <x:c r="B967" s="1"/>
      <x:c r="C967" s="1"/>
      <x:c r="D967" s="1"/>
      <x:c r="E967" s="1"/>
      <x:c r="F967" s="1"/>
    </x:row>
    <x:row r="968">
      <x:c r="A968" s="1"/>
      <x:c r="B968" s="1"/>
      <x:c r="C968" s="1"/>
      <x:c r="D968" s="1"/>
      <x:c r="E968" s="1"/>
      <x:c r="F968" s="1"/>
    </x:row>
    <x:row r="969">
      <x:c r="A969" s="1"/>
      <x:c r="B969" s="1"/>
      <x:c r="C969" s="1"/>
      <x:c r="D969" s="1"/>
      <x:c r="E969" s="1"/>
      <x:c r="F969" s="1"/>
    </x:row>
    <x:row r="970">
      <x:c r="A970" s="1"/>
      <x:c r="B970" s="1"/>
      <x:c r="C970" s="1"/>
      <x:c r="D970" s="1"/>
      <x:c r="E970" s="1"/>
      <x:c r="F970" s="1"/>
    </x:row>
    <x:row r="971">
      <x:c r="A971" s="1"/>
      <x:c r="B971" s="1"/>
      <x:c r="C971" s="1"/>
      <x:c r="D971" s="1"/>
      <x:c r="E971" s="1"/>
      <x:c r="F971" s="1"/>
    </x:row>
    <x:row r="972">
      <x:c r="A972" s="1"/>
      <x:c r="B972" s="1"/>
      <x:c r="C972" s="1"/>
      <x:c r="D972" s="1"/>
      <x:c r="E972" s="1"/>
      <x:c r="F972" s="1"/>
    </x:row>
    <x:row r="973">
      <x:c r="A973" s="1"/>
      <x:c r="B973" s="1"/>
      <x:c r="C973" s="1"/>
      <x:c r="D973" s="1"/>
      <x:c r="E973" s="1"/>
      <x:c r="F973" s="1"/>
    </x:row>
    <x:row r="974">
      <x:c r="A974" s="1"/>
      <x:c r="B974" s="1"/>
      <x:c r="C974" s="1"/>
      <x:c r="D974" s="1"/>
      <x:c r="E974" s="1"/>
      <x:c r="F974" s="1"/>
    </x:row>
    <x:row r="975">
      <x:c r="A975" s="1"/>
      <x:c r="B975" s="1"/>
      <x:c r="C975" s="1"/>
      <x:c r="D975" s="1"/>
      <x:c r="E975" s="1"/>
      <x:c r="F975" s="1"/>
    </x:row>
    <x:row r="976">
      <x:c r="A976" s="1"/>
      <x:c r="B976" s="1"/>
      <x:c r="C976" s="1"/>
      <x:c r="D976" s="1"/>
      <x:c r="E976" s="1"/>
      <x:c r="F976" s="1"/>
    </x:row>
    <x:row r="977">
      <x:c r="A977" s="1"/>
      <x:c r="B977" s="1"/>
      <x:c r="C977" s="1"/>
      <x:c r="D977" s="1"/>
      <x:c r="E977" s="1"/>
      <x:c r="F977" s="1"/>
    </x:row>
    <x:row r="978">
      <x:c r="A978" s="1"/>
      <x:c r="B978" s="1"/>
      <x:c r="C978" s="1"/>
      <x:c r="D978" s="1"/>
      <x:c r="E978" s="1"/>
      <x:c r="F978" s="1"/>
    </x:row>
    <x:row r="979">
      <x:c r="A979" s="1"/>
      <x:c r="B979" s="1"/>
      <x:c r="C979" s="1"/>
      <x:c r="D979" s="1"/>
      <x:c r="E979" s="1"/>
      <x:c r="F979" s="1"/>
    </x:row>
    <x:row r="980">
      <x:c r="A980" s="1"/>
      <x:c r="B980" s="1"/>
      <x:c r="C980" s="1"/>
      <x:c r="D980" s="1"/>
      <x:c r="E980" s="1"/>
      <x:c r="F980" s="1"/>
    </x:row>
    <x:row r="981">
      <x:c r="A981" s="1"/>
      <x:c r="B981" s="1"/>
      <x:c r="C981" s="1"/>
      <x:c r="D981" s="1"/>
      <x:c r="E981" s="1"/>
      <x:c r="F981" s="1"/>
    </x:row>
    <x:row r="982">
      <x:c r="A982" s="1"/>
      <x:c r="B982" s="1"/>
      <x:c r="C982" s="1"/>
      <x:c r="D982" s="1"/>
      <x:c r="E982" s="1"/>
      <x:c r="F982" s="1"/>
    </x:row>
    <x:row r="983">
      <x:c r="A983" s="1"/>
      <x:c r="B983" s="1"/>
      <x:c r="C983" s="1"/>
      <x:c r="D983" s="1"/>
      <x:c r="E983" s="1"/>
      <x:c r="F983" s="1"/>
    </x:row>
    <x:row r="984">
      <x:c r="A984" s="1"/>
      <x:c r="B984" s="1"/>
      <x:c r="C984" s="1"/>
      <x:c r="D984" s="1"/>
      <x:c r="E984" s="1"/>
      <x:c r="F984" s="1"/>
    </x:row>
    <x:row r="985">
      <x:c r="A985" s="1"/>
      <x:c r="B985" s="1"/>
      <x:c r="C985" s="1"/>
      <x:c r="D985" s="1"/>
      <x:c r="E985" s="1"/>
      <x:c r="F985" s="1"/>
    </x:row>
    <x:row r="986">
      <x:c r="A986" s="1"/>
      <x:c r="B986" s="1"/>
      <x:c r="C986" s="1"/>
      <x:c r="D986" s="1"/>
      <x:c r="E986" s="1"/>
      <x:c r="F986" s="1"/>
    </x:row>
    <x:row r="987">
      <x:c r="A987" s="1"/>
      <x:c r="B987" s="1"/>
      <x:c r="C987" s="1"/>
      <x:c r="D987" s="1"/>
      <x:c r="E987" s="1"/>
      <x:c r="F987" s="1"/>
    </x:row>
    <x:row r="988">
      <x:c r="A988" s="1"/>
      <x:c r="B988" s="1"/>
      <x:c r="C988" s="1"/>
      <x:c r="D988" s="1"/>
      <x:c r="E988" s="1"/>
      <x:c r="F988" s="1"/>
    </x:row>
    <x:row r="989">
      <x:c r="A989" s="1"/>
      <x:c r="B989" s="1"/>
      <x:c r="C989" s="1"/>
      <x:c r="D989" s="1"/>
      <x:c r="E989" s="1"/>
      <x:c r="F989" s="1"/>
    </x:row>
    <x:row r="990">
      <x:c r="A990" s="1"/>
      <x:c r="B990" s="1"/>
      <x:c r="C990" s="1"/>
      <x:c r="D990" s="1"/>
      <x:c r="E990" s="1"/>
      <x:c r="F990" s="1"/>
    </x:row>
    <x:row r="991">
      <x:c r="A991" s="1"/>
      <x:c r="B991" s="1"/>
      <x:c r="C991" s="1"/>
      <x:c r="D991" s="1"/>
      <x:c r="E991" s="1"/>
      <x:c r="F991" s="1"/>
    </x:row>
    <x:row r="992">
      <x:c r="A992" s="1"/>
      <x:c r="B992" s="1"/>
      <x:c r="C992" s="1"/>
      <x:c r="D992" s="1"/>
      <x:c r="E992" s="1"/>
      <x:c r="F992" s="1"/>
    </x:row>
    <x:row r="993">
      <x:c r="A993" s="1"/>
      <x:c r="B993" s="1"/>
      <x:c r="C993" s="1"/>
      <x:c r="D993" s="1"/>
      <x:c r="E993" s="1"/>
      <x:c r="F993" s="1"/>
    </x:row>
    <x:row r="994">
      <x:c r="A994" s="1"/>
      <x:c r="B994" s="1"/>
      <x:c r="C994" s="1"/>
      <x:c r="D994" s="1"/>
      <x:c r="E994" s="1"/>
      <x:c r="F994" s="1"/>
    </x:row>
    <x:row r="995">
      <x:c r="A995" s="1"/>
      <x:c r="B995" s="1"/>
      <x:c r="C995" s="1"/>
      <x:c r="D995" s="1"/>
      <x:c r="E995" s="1"/>
      <x:c r="F995" s="1"/>
    </x:row>
    <x:row r="996">
      <x:c r="A996" s="1"/>
      <x:c r="B996" s="1"/>
      <x:c r="C996" s="1"/>
      <x:c r="D996" s="1"/>
      <x:c r="E996" s="1"/>
      <x:c r="F996" s="1"/>
    </x:row>
    <x:row r="997">
      <x:c r="A997" s="1"/>
      <x:c r="B997" s="1"/>
      <x:c r="C997" s="1"/>
      <x:c r="D997" s="1"/>
      <x:c r="E997" s="1"/>
      <x:c r="F997" s="1"/>
    </x:row>
    <x:row r="998">
      <x:c r="A998" s="1"/>
      <x:c r="B998" s="1"/>
      <x:c r="C998" s="1"/>
      <x:c r="D998" s="1"/>
      <x:c r="E998" s="1"/>
      <x:c r="F998" s="1"/>
    </x:row>
    <x:row r="999">
      <x:c r="A999" s="1"/>
      <x:c r="B999" s="1"/>
      <x:c r="C999" s="1"/>
      <x:c r="D999" s="1"/>
      <x:c r="E999" s="1"/>
      <x:c r="F999" s="1"/>
    </x:row>
    <x:row r="1000">
      <x:c r="A1000" s="1"/>
      <x:c r="B1000" s="1"/>
      <x:c r="C1000" s="1"/>
      <x:c r="D1000" s="1"/>
      <x:c r="E1000" s="1"/>
      <x:c r="F1000" s="1"/>
    </x:row>
    <x:row r="1001">
      <x:c r="A1001" s="1"/>
      <x:c r="B1001" s="1"/>
      <x:c r="C1001" s="1"/>
      <x:c r="D1001" s="1"/>
      <x:c r="E1001" s="1"/>
      <x:c r="F1001" s="1"/>
    </x:row>
    <x:row r="1002">
      <x:c r="A1002" s="1"/>
      <x:c r="B1002" s="1"/>
      <x:c r="C1002" s="1"/>
      <x:c r="D1002" s="1"/>
      <x:c r="E1002" s="1"/>
      <x:c r="F1002" s="1"/>
    </x:row>
    <x:row r="1003">
      <x:c r="A1003" s="1"/>
      <x:c r="B1003" s="1"/>
      <x:c r="C1003" s="1"/>
      <x:c r="D1003" s="1"/>
      <x:c r="E1003" s="1"/>
      <x:c r="F1003" s="1"/>
    </x:row>
    <x:row r="1004">
      <x:c r="A1004" s="1"/>
      <x:c r="B1004" s="1"/>
      <x:c r="C1004" s="1"/>
      <x:c r="D1004" s="1"/>
      <x:c r="E1004" s="1"/>
      <x:c r="F1004" s="1"/>
    </x:row>
    <x:row r="1005">
      <x:c r="A1005" s="1"/>
      <x:c r="B1005" s="1"/>
      <x:c r="C1005" s="1"/>
      <x:c r="D1005" s="1"/>
      <x:c r="E1005" s="1"/>
      <x:c r="F1005" s="1"/>
    </x:row>
    <x:row r="1006">
      <x:c r="A1006" s="1"/>
      <x:c r="B1006" s="1"/>
      <x:c r="C1006" s="1"/>
      <x:c r="D1006" s="1"/>
      <x:c r="E1006" s="1"/>
      <x:c r="F1006" s="1"/>
    </x:row>
    <x:row r="1007">
      <x:c r="A1007" s="1"/>
      <x:c r="B1007" s="1"/>
      <x:c r="C1007" s="1"/>
      <x:c r="D1007" s="1"/>
      <x:c r="E1007" s="1"/>
      <x:c r="F1007" s="1"/>
    </x:row>
    <x:row r="1008">
      <x:c r="A1008" s="1"/>
      <x:c r="B1008" s="1"/>
      <x:c r="C1008" s="1"/>
      <x:c r="D1008" s="1"/>
      <x:c r="E1008" s="1"/>
      <x:c r="F1008" s="1"/>
    </x:row>
    <x:row r="1009">
      <x:c r="A1009" s="1"/>
      <x:c r="B1009" s="1"/>
      <x:c r="C1009" s="1"/>
      <x:c r="D1009" s="1"/>
      <x:c r="E1009" s="1"/>
      <x:c r="F1009" s="1"/>
    </x:row>
    <x:row r="1010">
      <x:c r="A1010" s="1"/>
      <x:c r="B1010" s="1"/>
      <x:c r="C1010" s="1"/>
      <x:c r="D1010" s="1"/>
      <x:c r="E1010" s="1"/>
      <x:c r="F1010" s="1"/>
    </x:row>
    <x:row r="1011">
      <x:c r="A1011" s="1"/>
      <x:c r="B1011" s="1"/>
      <x:c r="C1011" s="1"/>
      <x:c r="D1011" s="1"/>
      <x:c r="E1011" s="1"/>
      <x:c r="F1011" s="1"/>
    </x:row>
    <x:row r="1012">
      <x:c r="A1012" s="1"/>
      <x:c r="B1012" s="1"/>
      <x:c r="C1012" s="1"/>
      <x:c r="D1012" s="1"/>
      <x:c r="E1012" s="1"/>
      <x:c r="F1012" s="1"/>
    </x:row>
    <x:row r="1013">
      <x:c r="A1013" s="1"/>
      <x:c r="B1013" s="1"/>
      <x:c r="C1013" s="1"/>
      <x:c r="D1013" s="1"/>
      <x:c r="E1013" s="1"/>
      <x:c r="F1013" s="1"/>
    </x:row>
    <x:row r="1014">
      <x:c r="A1014" s="1"/>
      <x:c r="B1014" s="1"/>
      <x:c r="C1014" s="1"/>
      <x:c r="D1014" s="1"/>
      <x:c r="E1014" s="1"/>
      <x:c r="F1014" s="1"/>
    </x:row>
    <x:row r="1015">
      <x:c r="A1015" s="1"/>
      <x:c r="B1015" s="1"/>
      <x:c r="C1015" s="1"/>
      <x:c r="D1015" s="1"/>
      <x:c r="E1015" s="1"/>
      <x:c r="F1015" s="1"/>
    </x:row>
    <x:row r="1016">
      <x:c r="A1016" s="1"/>
      <x:c r="B1016" s="1"/>
      <x:c r="C1016" s="1"/>
      <x:c r="D1016" s="1"/>
      <x:c r="E1016" s="1"/>
      <x:c r="F1016" s="1"/>
    </x:row>
    <x:row r="1017">
      <x:c r="A1017" s="1"/>
      <x:c r="B1017" s="1"/>
      <x:c r="C1017" s="1"/>
      <x:c r="D1017" s="1"/>
      <x:c r="E1017" s="1"/>
      <x:c r="F1017" s="1"/>
    </x:row>
    <x:row r="1018">
      <x:c r="A1018" s="1"/>
      <x:c r="B1018" s="1"/>
      <x:c r="C1018" s="1"/>
      <x:c r="D1018" s="1"/>
      <x:c r="E1018" s="1"/>
      <x:c r="F1018" s="1"/>
    </x:row>
    <x:row r="1019">
      <x:c r="A1019" s="1"/>
      <x:c r="B1019" s="1"/>
      <x:c r="C1019" s="1"/>
      <x:c r="D1019" s="1"/>
      <x:c r="E1019" s="1"/>
      <x:c r="F1019" s="1"/>
    </x:row>
    <x:row r="1020">
      <x:c r="A1020" s="1"/>
      <x:c r="B1020" s="1"/>
      <x:c r="C1020" s="1"/>
      <x:c r="D1020" s="1"/>
      <x:c r="E1020" s="1"/>
      <x:c r="F1020" s="1"/>
    </x:row>
    <x:row r="1021">
      <x:c r="A1021" s="1"/>
      <x:c r="B1021" s="1"/>
      <x:c r="C1021" s="1"/>
      <x:c r="D1021" s="1"/>
      <x:c r="E1021" s="1"/>
      <x:c r="F1021" s="1"/>
    </x:row>
    <x:row r="1022">
      <x:c r="A1022" s="1"/>
      <x:c r="B1022" s="1"/>
      <x:c r="C1022" s="1"/>
      <x:c r="D1022" s="1"/>
      <x:c r="E1022" s="1"/>
      <x:c r="F1022" s="1"/>
    </x:row>
    <x:row r="1023">
      <x:c r="A1023" s="1"/>
      <x:c r="B1023" s="1"/>
      <x:c r="C1023" s="1"/>
      <x:c r="D1023" s="1"/>
      <x:c r="E1023" s="1"/>
      <x:c r="F1023" s="1"/>
    </x:row>
    <x:row r="1024">
      <x:c r="A1024" s="1"/>
      <x:c r="B1024" s="1"/>
      <x:c r="C1024" s="1"/>
      <x:c r="D1024" s="1"/>
      <x:c r="E1024" s="1"/>
      <x:c r="F1024" s="1"/>
    </x:row>
    <x:row r="1025">
      <x:c r="A1025" s="1"/>
      <x:c r="B1025" s="1"/>
      <x:c r="C1025" s="1"/>
      <x:c r="D1025" s="1"/>
      <x:c r="E1025" s="1"/>
      <x:c r="F1025" s="1"/>
    </x:row>
    <x:row r="1026">
      <x:c r="A1026" s="1"/>
      <x:c r="B1026" s="1"/>
      <x:c r="C1026" s="1"/>
      <x:c r="D1026" s="1"/>
      <x:c r="E1026" s="1"/>
      <x:c r="F1026" s="1"/>
    </x:row>
    <x:row r="1027">
      <x:c r="A1027" s="1"/>
      <x:c r="B1027" s="1"/>
      <x:c r="C1027" s="1"/>
      <x:c r="D1027" s="1"/>
      <x:c r="E1027" s="1"/>
      <x:c r="F1027" s="1"/>
    </x:row>
    <x:row r="1028">
      <x:c r="A1028" s="1"/>
      <x:c r="B1028" s="1"/>
      <x:c r="C1028" s="1"/>
      <x:c r="D1028" s="1"/>
      <x:c r="E1028" s="1"/>
      <x:c r="F1028" s="1"/>
    </x:row>
    <x:row r="1029">
      <x:c r="A1029" s="1"/>
      <x:c r="B1029" s="1"/>
      <x:c r="C1029" s="1"/>
      <x:c r="D1029" s="1"/>
      <x:c r="E1029" s="1"/>
      <x:c r="F1029" s="1"/>
    </x:row>
    <x:row r="1030">
      <x:c r="A1030" s="1"/>
      <x:c r="B1030" s="1"/>
      <x:c r="C1030" s="1"/>
      <x:c r="D1030" s="1"/>
      <x:c r="E1030" s="1"/>
      <x:c r="F1030" s="1"/>
    </x:row>
    <x:row r="1031">
      <x:c r="A1031" s="1"/>
      <x:c r="B1031" s="1"/>
      <x:c r="C1031" s="1"/>
      <x:c r="D1031" s="1"/>
      <x:c r="E1031" s="1"/>
      <x:c r="F1031" s="1"/>
    </x:row>
    <x:row r="1032">
      <x:c r="A1032" s="1"/>
      <x:c r="B1032" s="1"/>
      <x:c r="C1032" s="1"/>
      <x:c r="D1032" s="1"/>
      <x:c r="E1032" s="1"/>
      <x:c r="F1032" s="1"/>
    </x:row>
    <x:row r="1033">
      <x:c r="A1033" s="1"/>
      <x:c r="B1033" s="1"/>
      <x:c r="C1033" s="1"/>
      <x:c r="D1033" s="1"/>
      <x:c r="E1033" s="1"/>
      <x:c r="F1033" s="1"/>
    </x:row>
    <x:row r="1034">
      <x:c r="A1034" s="1"/>
      <x:c r="B1034" s="1"/>
      <x:c r="C1034" s="1"/>
      <x:c r="D1034" s="1"/>
      <x:c r="E1034" s="1"/>
      <x:c r="F1034" s="1"/>
    </x:row>
    <x:row r="1035">
      <x:c r="A1035" s="1"/>
      <x:c r="B1035" s="1"/>
      <x:c r="C1035" s="1"/>
      <x:c r="D1035" s="1"/>
      <x:c r="E1035" s="1"/>
      <x:c r="F1035" s="1"/>
    </x:row>
    <x:row r="1036">
      <x:c r="A1036" s="1"/>
      <x:c r="B1036" s="1"/>
      <x:c r="C1036" s="1"/>
      <x:c r="D1036" s="1"/>
      <x:c r="E1036" s="1"/>
      <x:c r="F1036" s="1"/>
    </x:row>
    <x:row r="1037">
      <x:c r="A1037" s="1"/>
      <x:c r="B1037" s="1"/>
      <x:c r="C1037" s="1"/>
      <x:c r="D1037" s="1"/>
      <x:c r="E1037" s="1"/>
      <x:c r="F1037" s="1"/>
    </x:row>
    <x:row r="1038">
      <x:c r="A1038" s="1"/>
      <x:c r="B1038" s="1"/>
      <x:c r="C1038" s="1"/>
      <x:c r="D1038" s="1"/>
      <x:c r="E1038" s="1"/>
      <x:c r="F1038" s="1"/>
    </x:row>
    <x:row r="1039">
      <x:c r="A1039" s="1"/>
      <x:c r="B1039" s="1"/>
      <x:c r="C1039" s="1"/>
      <x:c r="D1039" s="1"/>
      <x:c r="E1039" s="1"/>
      <x:c r="F1039" s="1"/>
    </x:row>
    <x:row r="1040">
      <x:c r="A1040" s="1"/>
      <x:c r="B1040" s="1"/>
      <x:c r="C1040" s="1"/>
      <x:c r="D1040" s="1"/>
      <x:c r="E1040" s="1"/>
      <x:c r="F1040" s="1"/>
    </x:row>
    <x:row r="1041">
      <x:c r="A1041" s="1"/>
      <x:c r="B1041" s="1"/>
      <x:c r="C1041" s="1"/>
      <x:c r="D1041" s="1"/>
      <x:c r="E1041" s="1"/>
      <x:c r="F1041" s="1"/>
    </x:row>
    <x:row r="1042">
      <x:c r="A1042" s="1"/>
      <x:c r="B1042" s="1"/>
      <x:c r="C1042" s="1"/>
      <x:c r="D1042" s="1"/>
      <x:c r="E1042" s="1"/>
      <x:c r="F1042" s="1"/>
    </x:row>
    <x:row r="1043">
      <x:c r="A1043" s="1"/>
      <x:c r="B1043" s="1"/>
      <x:c r="C1043" s="1"/>
      <x:c r="D1043" s="1"/>
      <x:c r="E1043" s="1"/>
      <x:c r="F1043" s="1"/>
    </x:row>
    <x:row r="1044">
      <x:c r="A1044" s="1"/>
      <x:c r="B1044" s="1"/>
      <x:c r="C1044" s="1"/>
      <x:c r="D1044" s="1"/>
      <x:c r="E1044" s="1"/>
      <x:c r="F1044" s="1"/>
    </x:row>
    <x:row r="1045">
      <x:c r="A1045" s="1"/>
      <x:c r="B1045" s="1"/>
      <x:c r="C1045" s="1"/>
      <x:c r="D1045" s="1"/>
      <x:c r="E1045" s="1"/>
      <x:c r="F1045" s="1"/>
    </x:row>
    <x:row r="1046">
      <x:c r="A1046" s="1"/>
      <x:c r="B1046" s="1"/>
      <x:c r="C1046" s="1"/>
      <x:c r="D1046" s="1"/>
      <x:c r="E1046" s="1"/>
      <x:c r="F1046" s="1"/>
    </x:row>
    <x:row r="1047">
      <x:c r="A1047" s="1"/>
      <x:c r="B1047" s="1"/>
      <x:c r="C1047" s="1"/>
      <x:c r="D1047" s="1"/>
      <x:c r="E1047" s="1"/>
      <x:c r="F1047" s="1"/>
    </x:row>
    <x:row r="1048">
      <x:c r="A1048" s="1"/>
      <x:c r="B1048" s="1"/>
      <x:c r="C1048" s="1"/>
      <x:c r="D1048" s="1"/>
      <x:c r="E1048" s="1"/>
      <x:c r="F1048" s="1"/>
    </x:row>
    <x:row r="1049">
      <x:c r="A1049" s="1"/>
      <x:c r="B1049" s="1"/>
      <x:c r="C1049" s="1"/>
      <x:c r="D1049" s="1"/>
      <x:c r="E1049" s="1"/>
      <x:c r="F1049" s="1"/>
    </x:row>
    <x:row r="1050">
      <x:c r="A1050" s="1"/>
      <x:c r="B1050" s="1"/>
      <x:c r="C1050" s="1"/>
      <x:c r="D1050" s="1"/>
      <x:c r="E1050" s="1"/>
      <x:c r="F1050" s="1"/>
    </x:row>
    <x:row r="1051">
      <x:c r="A1051" s="1"/>
      <x:c r="B1051" s="1"/>
      <x:c r="C1051" s="1"/>
      <x:c r="D1051" s="1"/>
      <x:c r="E1051" s="1"/>
      <x:c r="F1051" s="1"/>
    </x:row>
    <x:row r="1052">
      <x:c r="A1052" s="1"/>
      <x:c r="B1052" s="1"/>
      <x:c r="C1052" s="1"/>
      <x:c r="D1052" s="1"/>
      <x:c r="E1052" s="1"/>
      <x:c r="F1052" s="1"/>
    </x:row>
    <x:row r="1053">
      <x:c r="A1053" s="1"/>
      <x:c r="B1053" s="1"/>
      <x:c r="C1053" s="1"/>
      <x:c r="D1053" s="1"/>
      <x:c r="E1053" s="1"/>
      <x:c r="F1053" s="1"/>
    </x:row>
    <x:row r="1054">
      <x:c r="A1054" s="1"/>
      <x:c r="B1054" s="1"/>
      <x:c r="C1054" s="1"/>
      <x:c r="D1054" s="1"/>
      <x:c r="E1054" s="1"/>
      <x:c r="F1054" s="1"/>
    </x:row>
    <x:row r="1055">
      <x:c r="A1055" s="1"/>
      <x:c r="B1055" s="1"/>
      <x:c r="C1055" s="1"/>
      <x:c r="D1055" s="1"/>
      <x:c r="E1055" s="1"/>
      <x:c r="F1055" s="1"/>
    </x:row>
    <x:row r="1056">
      <x:c r="A1056" s="1"/>
      <x:c r="B1056" s="1"/>
      <x:c r="C1056" s="1"/>
      <x:c r="D1056" s="1"/>
      <x:c r="E1056" s="1"/>
      <x:c r="F1056" s="1"/>
    </x:row>
    <x:row r="1057">
      <x:c r="A1057" s="1"/>
      <x:c r="B1057" s="1"/>
      <x:c r="C1057" s="1"/>
      <x:c r="D1057" s="1"/>
      <x:c r="E1057" s="1"/>
      <x:c r="F1057" s="1"/>
    </x:row>
    <x:row r="1058">
      <x:c r="A1058" s="1"/>
      <x:c r="B1058" s="1"/>
      <x:c r="C1058" s="1"/>
      <x:c r="D1058" s="1"/>
      <x:c r="E1058" s="1"/>
      <x:c r="F1058" s="1"/>
    </x:row>
    <x:row r="1059">
      <x:c r="A1059" s="1"/>
      <x:c r="B1059" s="1"/>
      <x:c r="C1059" s="1"/>
      <x:c r="D1059" s="1"/>
      <x:c r="E1059" s="1"/>
      <x:c r="F1059" s="1"/>
    </x:row>
    <x:row r="1060">
      <x:c r="A1060" s="1"/>
      <x:c r="B1060" s="1"/>
      <x:c r="C1060" s="1"/>
      <x:c r="D1060" s="1"/>
      <x:c r="E1060" s="1"/>
      <x:c r="F1060" s="1"/>
    </x:row>
    <x:row r="1061">
      <x:c r="A1061" s="1"/>
      <x:c r="B1061" s="1"/>
      <x:c r="C1061" s="1"/>
      <x:c r="D1061" s="1"/>
      <x:c r="E1061" s="1"/>
      <x:c r="F1061" s="1"/>
    </x:row>
    <x:row r="1062">
      <x:c r="A1062" s="1"/>
      <x:c r="B1062" s="1"/>
      <x:c r="C1062" s="1"/>
      <x:c r="D1062" s="1"/>
      <x:c r="E1062" s="1"/>
      <x:c r="F1062" s="1"/>
    </x:row>
    <x:row r="1063">
      <x:c r="A1063" s="1"/>
      <x:c r="B1063" s="1"/>
      <x:c r="C1063" s="1"/>
      <x:c r="D1063" s="1"/>
      <x:c r="E1063" s="1"/>
      <x:c r="F1063" s="1"/>
    </x:row>
    <x:row r="1064">
      <x:c r="A1064" s="1"/>
      <x:c r="B1064" s="1"/>
      <x:c r="C1064" s="1"/>
      <x:c r="D1064" s="1"/>
      <x:c r="E1064" s="1"/>
      <x:c r="F1064" s="1"/>
    </x:row>
    <x:row r="1065">
      <x:c r="A1065" s="1"/>
      <x:c r="B1065" s="1"/>
      <x:c r="C1065" s="1"/>
      <x:c r="D1065" s="1"/>
      <x:c r="E1065" s="1"/>
      <x:c r="F1065" s="1"/>
    </x:row>
    <x:row r="1066">
      <x:c r="A1066" s="1"/>
      <x:c r="B1066" s="1"/>
      <x:c r="C1066" s="1"/>
      <x:c r="D1066" s="1"/>
      <x:c r="E1066" s="1"/>
      <x:c r="F1066" s="1"/>
    </x:row>
    <x:row r="1067">
      <x:c r="A1067" s="1"/>
      <x:c r="B1067" s="1"/>
      <x:c r="C1067" s="1"/>
      <x:c r="D1067" s="1"/>
      <x:c r="E1067" s="1"/>
      <x:c r="F1067" s="1"/>
    </x:row>
    <x:row r="1068">
      <x:c r="A1068" s="1"/>
      <x:c r="B1068" s="1"/>
      <x:c r="C1068" s="1"/>
      <x:c r="D1068" s="1"/>
      <x:c r="E1068" s="1"/>
      <x:c r="F1068" s="1"/>
    </x:row>
    <x:row r="1069">
      <x:c r="A1069" s="1"/>
      <x:c r="B1069" s="1"/>
      <x:c r="C1069" s="1"/>
      <x:c r="D1069" s="1"/>
      <x:c r="E1069" s="1"/>
      <x:c r="F1069" s="1"/>
    </x:row>
    <x:row r="1070">
      <x:c r="A1070" s="1"/>
      <x:c r="B1070" s="1"/>
      <x:c r="C1070" s="1"/>
      <x:c r="D1070" s="1"/>
      <x:c r="E1070" s="1"/>
      <x:c r="F1070" s="1"/>
    </x:row>
    <x:row r="1071">
      <x:c r="A1071" s="1"/>
      <x:c r="B1071" s="1"/>
      <x:c r="C1071" s="1"/>
      <x:c r="D1071" s="1"/>
      <x:c r="E1071" s="1"/>
      <x:c r="F1071" s="1"/>
    </x:row>
    <x:row r="1072">
      <x:c r="A1072" s="1"/>
      <x:c r="B1072" s="1"/>
      <x:c r="C1072" s="1"/>
      <x:c r="D1072" s="1"/>
      <x:c r="E1072" s="1"/>
      <x:c r="F1072" s="1"/>
    </x:row>
    <x:row r="1073">
      <x:c r="A1073" s="1"/>
      <x:c r="B1073" s="1"/>
      <x:c r="C1073" s="1"/>
      <x:c r="D1073" s="1"/>
      <x:c r="E1073" s="1"/>
      <x:c r="F1073" s="1"/>
    </x:row>
    <x:row r="1074">
      <x:c r="A1074" s="1"/>
      <x:c r="B1074" s="1"/>
      <x:c r="C1074" s="1"/>
      <x:c r="D1074" s="1"/>
      <x:c r="E1074" s="1"/>
      <x:c r="F1074" s="1"/>
    </x:row>
    <x:row r="1075">
      <x:c r="A1075" s="1"/>
      <x:c r="B1075" s="1"/>
      <x:c r="C1075" s="1"/>
      <x:c r="D1075" s="1"/>
      <x:c r="E1075" s="1"/>
      <x:c r="F1075" s="1"/>
    </x:row>
    <x:row r="1076">
      <x:c r="A1076" s="1"/>
      <x:c r="B1076" s="1"/>
      <x:c r="C1076" s="1"/>
      <x:c r="D1076" s="1"/>
      <x:c r="E1076" s="1"/>
      <x:c r="F1076" s="1"/>
    </x:row>
    <x:row r="1077">
      <x:c r="A1077" s="1"/>
      <x:c r="B1077" s="1"/>
      <x:c r="C1077" s="1"/>
      <x:c r="D1077" s="1"/>
      <x:c r="E1077" s="1"/>
      <x:c r="F1077" s="1"/>
    </x:row>
    <x:row r="1078">
      <x:c r="A1078" s="1"/>
      <x:c r="B1078" s="1"/>
      <x:c r="C1078" s="1"/>
      <x:c r="D1078" s="1"/>
      <x:c r="E1078" s="1"/>
      <x:c r="F1078" s="1"/>
    </x:row>
    <x:row r="1079">
      <x:c r="A1079" s="1"/>
      <x:c r="B1079" s="1"/>
      <x:c r="C1079" s="1"/>
      <x:c r="D1079" s="1"/>
      <x:c r="E1079" s="1"/>
      <x:c r="F1079" s="1"/>
    </x:row>
    <x:row r="1080">
      <x:c r="A1080" s="1"/>
      <x:c r="B1080" s="1"/>
      <x:c r="C1080" s="1"/>
      <x:c r="D1080" s="1"/>
      <x:c r="E1080" s="1"/>
      <x:c r="F1080" s="1"/>
    </x:row>
    <x:row r="1081">
      <x:c r="A1081" s="1"/>
      <x:c r="B1081" s="1"/>
      <x:c r="C1081" s="1"/>
      <x:c r="D1081" s="1"/>
      <x:c r="E1081" s="1"/>
      <x:c r="F1081" s="1"/>
    </x:row>
    <x:row r="1082">
      <x:c r="A1082" s="1"/>
      <x:c r="B1082" s="1"/>
      <x:c r="C1082" s="1"/>
      <x:c r="D1082" s="1"/>
      <x:c r="E1082" s="1"/>
      <x:c r="F1082" s="1"/>
    </x:row>
    <x:row r="1083">
      <x:c r="A1083" s="1"/>
      <x:c r="B1083" s="1"/>
      <x:c r="C1083" s="1"/>
      <x:c r="D1083" s="1"/>
      <x:c r="E1083" s="1"/>
      <x:c r="F1083" s="1"/>
    </x:row>
    <x:row r="1084">
      <x:c r="A1084" s="1"/>
      <x:c r="B1084" s="1"/>
      <x:c r="C1084" s="1"/>
      <x:c r="D1084" s="1"/>
      <x:c r="E1084" s="1"/>
      <x:c r="F1084" s="1"/>
    </x:row>
    <x:row r="1085">
      <x:c r="A1085" s="1"/>
      <x:c r="B1085" s="1"/>
      <x:c r="C1085" s="1"/>
      <x:c r="D1085" s="1"/>
      <x:c r="E1085" s="1"/>
      <x:c r="F1085" s="1"/>
    </x:row>
    <x:row r="1086">
      <x:c r="A1086" s="1"/>
      <x:c r="B1086" s="1"/>
      <x:c r="C1086" s="1"/>
      <x:c r="D1086" s="1"/>
      <x:c r="E1086" s="1"/>
      <x:c r="F1086" s="1"/>
    </x:row>
    <x:row r="1087">
      <x:c r="A1087" s="1"/>
      <x:c r="B1087" s="1"/>
      <x:c r="C1087" s="1"/>
      <x:c r="D1087" s="1"/>
      <x:c r="E1087" s="1"/>
      <x:c r="F1087" s="1"/>
    </x:row>
    <x:row r="1088">
      <x:c r="A1088" s="1"/>
      <x:c r="B1088" s="1"/>
      <x:c r="C1088" s="1"/>
      <x:c r="D1088" s="1"/>
      <x:c r="E1088" s="1"/>
      <x:c r="F1088" s="1"/>
    </x:row>
    <x:row r="1089">
      <x:c r="A1089" s="1"/>
      <x:c r="B1089" s="1"/>
      <x:c r="C1089" s="1"/>
      <x:c r="D1089" s="1"/>
      <x:c r="E1089" s="1"/>
      <x:c r="F1089" s="1"/>
    </x:row>
    <x:row r="1090">
      <x:c r="A1090" s="1"/>
      <x:c r="B1090" s="1"/>
      <x:c r="C1090" s="1"/>
      <x:c r="D1090" s="1"/>
      <x:c r="E1090" s="1"/>
      <x:c r="F1090" s="1"/>
    </x:row>
    <x:row r="1091">
      <x:c r="A1091" s="1"/>
      <x:c r="B1091" s="1"/>
      <x:c r="C1091" s="1"/>
      <x:c r="D1091" s="1"/>
      <x:c r="E1091" s="1"/>
      <x:c r="F1091" s="1"/>
    </x:row>
    <x:row r="1092">
      <x:c r="A1092" s="1"/>
      <x:c r="B1092" s="1"/>
      <x:c r="C1092" s="1"/>
      <x:c r="D1092" s="1"/>
      <x:c r="E1092" s="1"/>
      <x:c r="F1092" s="1"/>
    </x:row>
    <x:row r="1093">
      <x:c r="A1093" s="1"/>
      <x:c r="B1093" s="1"/>
      <x:c r="C1093" s="1"/>
      <x:c r="D1093" s="1"/>
      <x:c r="E1093" s="1"/>
      <x:c r="F1093" s="1"/>
    </x:row>
    <x:row r="1094">
      <x:c r="A1094" s="1"/>
      <x:c r="B1094" s="1"/>
      <x:c r="C1094" s="1"/>
      <x:c r="D1094" s="1"/>
      <x:c r="E1094" s="1"/>
      <x:c r="F1094" s="1"/>
    </x:row>
    <x:row r="1095">
      <x:c r="A1095" s="1"/>
      <x:c r="B1095" s="1"/>
      <x:c r="C1095" s="1"/>
      <x:c r="D1095" s="1"/>
      <x:c r="E1095" s="1"/>
      <x:c r="F1095" s="1"/>
    </x:row>
    <x:row r="1096">
      <x:c r="A1096" s="1"/>
      <x:c r="B1096" s="1"/>
      <x:c r="C1096" s="1"/>
      <x:c r="D1096" s="1"/>
      <x:c r="E1096" s="1"/>
      <x:c r="F1096" s="1"/>
    </x:row>
    <x:row r="1097">
      <x:c r="A1097" s="1"/>
      <x:c r="B1097" s="1"/>
      <x:c r="C1097" s="1"/>
      <x:c r="D1097" s="1"/>
      <x:c r="E1097" s="1"/>
      <x:c r="F1097" s="1"/>
    </x:row>
    <x:row r="1098">
      <x:c r="A1098" s="1"/>
      <x:c r="B1098" s="1"/>
      <x:c r="C1098" s="1"/>
      <x:c r="D1098" s="1"/>
      <x:c r="E1098" s="1"/>
      <x:c r="F1098" s="1"/>
    </x:row>
    <x:row r="1099">
      <x:c r="A1099" s="1"/>
      <x:c r="B1099" s="1"/>
      <x:c r="C1099" s="1"/>
      <x:c r="D1099" s="1"/>
      <x:c r="E1099" s="1"/>
      <x:c r="F1099" s="1"/>
    </x:row>
    <x:row r="1100">
      <x:c r="A1100" s="1"/>
      <x:c r="B1100" s="1"/>
      <x:c r="C1100" s="1"/>
      <x:c r="D1100" s="1"/>
      <x:c r="E1100" s="1"/>
      <x:c r="F1100" s="1"/>
    </x:row>
    <x:row r="1101">
      <x:c r="A1101" s="1"/>
      <x:c r="B1101" s="1"/>
      <x:c r="C1101" s="1"/>
      <x:c r="D1101" s="1"/>
      <x:c r="E1101" s="1"/>
      <x:c r="F1101" s="1"/>
    </x:row>
    <x:row r="1102">
      <x:c r="A1102" s="1"/>
      <x:c r="B1102" s="1"/>
      <x:c r="C1102" s="1"/>
      <x:c r="D1102" s="1"/>
      <x:c r="E1102" s="1"/>
      <x:c r="F1102" s="1"/>
    </x:row>
    <x:row r="1103">
      <x:c r="A1103" s="1"/>
      <x:c r="B1103" s="1"/>
      <x:c r="C1103" s="1"/>
      <x:c r="D1103" s="1"/>
      <x:c r="E1103" s="1"/>
      <x:c r="F1103" s="1"/>
    </x:row>
    <x:row r="1104">
      <x:c r="A1104" s="1"/>
      <x:c r="B1104" s="1"/>
      <x:c r="C1104" s="1"/>
      <x:c r="D1104" s="1"/>
      <x:c r="E1104" s="1"/>
      <x:c r="F1104" s="1"/>
    </x:row>
    <x:row r="1105">
      <x:c r="A1105" s="1"/>
      <x:c r="B1105" s="1"/>
      <x:c r="C1105" s="1"/>
      <x:c r="D1105" s="1"/>
      <x:c r="E1105" s="1"/>
      <x:c r="F1105" s="1"/>
    </x:row>
    <x:row r="1106">
      <x:c r="A1106" s="1"/>
      <x:c r="B1106" s="1"/>
      <x:c r="C1106" s="1"/>
      <x:c r="D1106" s="1"/>
      <x:c r="E1106" s="1"/>
      <x:c r="F1106" s="1"/>
    </x:row>
    <x:row r="1107">
      <x:c r="A1107" s="1"/>
      <x:c r="B1107" s="1"/>
      <x:c r="C1107" s="1"/>
      <x:c r="D1107" s="1"/>
      <x:c r="E1107" s="1"/>
      <x:c r="F1107" s="1"/>
    </x:row>
    <x:row r="1108">
      <x:c r="A1108" s="1"/>
      <x:c r="B1108" s="1"/>
      <x:c r="C1108" s="1"/>
      <x:c r="D1108" s="1"/>
      <x:c r="E1108" s="1"/>
      <x:c r="F1108" s="1"/>
    </x:row>
    <x:row r="1109">
      <x:c r="A1109" s="1"/>
      <x:c r="B1109" s="1"/>
      <x:c r="C1109" s="1"/>
      <x:c r="D1109" s="1"/>
      <x:c r="E1109" s="1"/>
      <x:c r="F1109" s="1"/>
    </x:row>
    <x:row r="1110">
      <x:c r="A1110" s="1"/>
      <x:c r="B1110" s="1"/>
      <x:c r="C1110" s="1"/>
      <x:c r="D1110" s="1"/>
      <x:c r="E1110" s="1"/>
      <x:c r="F1110" s="1"/>
    </x:row>
    <x:row r="1111">
      <x:c r="A1111" s="1"/>
      <x:c r="B1111" s="1"/>
      <x:c r="C1111" s="1"/>
      <x:c r="D1111" s="1"/>
      <x:c r="E1111" s="1"/>
      <x:c r="F1111" s="1"/>
    </x:row>
    <x:row r="1112">
      <x:c r="A1112" s="1"/>
      <x:c r="B1112" s="1"/>
      <x:c r="C1112" s="1"/>
      <x:c r="D1112" s="1"/>
      <x:c r="E1112" s="1"/>
      <x:c r="F1112" s="1"/>
    </x:row>
    <x:row r="1113">
      <x:c r="A1113" s="1"/>
      <x:c r="B1113" s="1"/>
      <x:c r="C1113" s="1"/>
      <x:c r="D1113" s="1"/>
      <x:c r="E1113" s="1"/>
      <x:c r="F1113" s="1"/>
    </x:row>
    <x:row r="1114">
      <x:c r="A1114" s="1"/>
      <x:c r="B1114" s="1"/>
      <x:c r="C1114" s="1"/>
      <x:c r="D1114" s="1"/>
      <x:c r="E1114" s="1"/>
      <x:c r="F1114" s="1"/>
    </x:row>
    <x:row r="1115">
      <x:c r="A1115" s="1"/>
      <x:c r="B1115" s="1"/>
      <x:c r="C1115" s="1"/>
      <x:c r="D1115" s="1"/>
      <x:c r="E1115" s="1"/>
      <x:c r="F1115" s="1"/>
    </x:row>
    <x:row r="1116">
      <x:c r="A1116" s="1"/>
      <x:c r="B1116" s="1"/>
      <x:c r="C1116" s="1"/>
      <x:c r="D1116" s="1"/>
      <x:c r="E1116" s="1"/>
      <x:c r="F1116" s="1"/>
    </x:row>
    <x:row r="1117">
      <x:c r="A1117" s="1"/>
      <x:c r="B1117" s="1"/>
      <x:c r="C1117" s="1"/>
      <x:c r="D1117" s="1"/>
      <x:c r="E1117" s="1"/>
      <x:c r="F1117" s="1"/>
    </x:row>
    <x:row r="1118">
      <x:c r="A1118" s="1"/>
      <x:c r="B1118" s="1"/>
      <x:c r="C1118" s="1"/>
      <x:c r="D1118" s="1"/>
      <x:c r="E1118" s="1"/>
      <x:c r="F1118" s="1"/>
    </x:row>
    <x:row r="1119">
      <x:c r="A1119" s="1"/>
      <x:c r="B1119" s="1"/>
      <x:c r="C1119" s="1"/>
      <x:c r="D1119" s="1"/>
      <x:c r="E1119" s="1"/>
      <x:c r="F1119" s="1"/>
    </x:row>
    <x:row r="1120">
      <x:c r="A1120" s="1"/>
      <x:c r="B1120" s="1"/>
      <x:c r="C1120" s="1"/>
      <x:c r="D1120" s="1"/>
      <x:c r="E1120" s="1"/>
      <x:c r="F1120" s="1"/>
    </x:row>
    <x:row r="1121">
      <x:c r="A1121" s="1"/>
      <x:c r="B1121" s="1"/>
      <x:c r="C1121" s="1"/>
      <x:c r="D1121" s="1"/>
      <x:c r="E1121" s="1"/>
      <x:c r="F1121" s="1"/>
    </x:row>
    <x:row r="1122">
      <x:c r="A1122" s="1"/>
      <x:c r="B1122" s="1"/>
      <x:c r="C1122" s="1"/>
      <x:c r="D1122" s="1"/>
      <x:c r="E1122" s="1"/>
      <x:c r="F1122" s="1"/>
    </x:row>
    <x:row r="1123">
      <x:c r="A1123" s="1"/>
      <x:c r="B1123" s="1"/>
      <x:c r="C1123" s="1"/>
      <x:c r="D1123" s="1"/>
      <x:c r="E1123" s="1"/>
      <x:c r="F1123" s="1"/>
    </x:row>
    <x:row r="1124">
      <x:c r="A1124" s="1"/>
      <x:c r="B1124" s="1"/>
      <x:c r="C1124" s="1"/>
      <x:c r="D1124" s="1"/>
      <x:c r="E1124" s="1"/>
      <x:c r="F1124" s="1"/>
    </x:row>
    <x:row r="1125">
      <x:c r="A1125" s="1"/>
      <x:c r="B1125" s="1"/>
      <x:c r="C1125" s="1"/>
      <x:c r="D1125" s="1"/>
      <x:c r="E1125" s="1"/>
      <x:c r="F1125" s="1"/>
    </x:row>
    <x:row r="1126">
      <x:c r="A1126" s="1"/>
      <x:c r="B1126" s="1"/>
      <x:c r="C1126" s="1"/>
      <x:c r="D1126" s="1"/>
      <x:c r="E1126" s="1"/>
      <x:c r="F1126" s="1"/>
    </x:row>
    <x:row r="1127">
      <x:c r="A1127" s="1"/>
      <x:c r="B1127" s="1"/>
      <x:c r="C1127" s="1"/>
      <x:c r="D1127" s="1"/>
      <x:c r="E1127" s="1"/>
      <x:c r="F1127" s="1"/>
    </x:row>
    <x:row r="1128">
      <x:c r="A1128" s="1"/>
      <x:c r="B1128" s="1"/>
      <x:c r="C1128" s="1"/>
      <x:c r="D1128" s="1"/>
      <x:c r="E1128" s="1"/>
      <x:c r="F1128" s="1"/>
    </x:row>
    <x:row r="1129">
      <x:c r="A1129" s="1"/>
      <x:c r="B1129" s="1"/>
      <x:c r="C1129" s="1"/>
      <x:c r="D1129" s="1"/>
      <x:c r="E1129" s="1"/>
      <x:c r="F1129" s="1"/>
    </x:row>
    <x:row r="1130">
      <x:c r="A1130" s="1"/>
      <x:c r="B1130" s="1"/>
      <x:c r="C1130" s="1"/>
      <x:c r="D1130" s="1"/>
      <x:c r="E1130" s="1"/>
      <x:c r="F1130" s="1"/>
    </x:row>
    <x:row r="1131">
      <x:c r="A1131" s="1"/>
      <x:c r="B1131" s="1"/>
      <x:c r="C1131" s="1"/>
      <x:c r="D1131" s="1"/>
      <x:c r="E1131" s="1"/>
      <x:c r="F1131" s="1"/>
    </x:row>
    <x:row r="1132">
      <x:c r="A1132" s="1"/>
      <x:c r="B1132" s="1"/>
      <x:c r="C1132" s="1"/>
      <x:c r="D1132" s="1"/>
      <x:c r="E1132" s="1"/>
      <x:c r="F1132" s="1"/>
    </x:row>
    <x:row r="1133">
      <x:c r="A1133" s="1"/>
      <x:c r="B1133" s="1"/>
      <x:c r="C1133" s="1"/>
      <x:c r="D1133" s="1"/>
      <x:c r="E1133" s="1"/>
      <x:c r="F1133" s="1"/>
    </x:row>
    <x:row r="1134">
      <x:c r="A1134" s="1"/>
      <x:c r="B1134" s="1"/>
      <x:c r="C1134" s="1"/>
      <x:c r="D1134" s="1"/>
      <x:c r="E1134" s="1"/>
      <x:c r="F1134" s="1"/>
    </x:row>
    <x:row r="1135">
      <x:c r="A1135" s="1"/>
      <x:c r="B1135" s="1"/>
      <x:c r="C1135" s="1"/>
      <x:c r="D1135" s="1"/>
      <x:c r="E1135" s="1"/>
      <x:c r="F1135" s="1"/>
    </x:row>
    <x:row r="1136">
      <x:c r="A1136" s="1"/>
      <x:c r="B1136" s="1"/>
      <x:c r="C1136" s="1"/>
      <x:c r="D1136" s="1"/>
      <x:c r="E1136" s="1"/>
      <x:c r="F1136" s="1"/>
    </x:row>
    <x:row r="1137">
      <x:c r="A1137" s="1"/>
      <x:c r="B1137" s="1"/>
      <x:c r="C1137" s="1"/>
      <x:c r="D1137" s="1"/>
      <x:c r="E1137" s="1"/>
      <x:c r="F1137" s="1"/>
    </x:row>
    <x:row r="1138">
      <x:c r="A1138" s="1"/>
      <x:c r="B1138" s="1"/>
      <x:c r="C1138" s="1"/>
      <x:c r="D1138" s="1"/>
      <x:c r="E1138" s="1"/>
      <x:c r="F1138" s="1"/>
    </x:row>
    <x:row r="1139">
      <x:c r="A1139" s="1"/>
      <x:c r="B1139" s="1"/>
      <x:c r="C1139" s="1"/>
      <x:c r="D1139" s="1"/>
      <x:c r="E1139" s="1"/>
      <x:c r="F1139" s="1"/>
    </x:row>
    <x:row r="1140">
      <x:c r="A1140" s="1"/>
      <x:c r="B1140" s="1"/>
      <x:c r="C1140" s="1"/>
      <x:c r="D1140" s="1"/>
      <x:c r="E1140" s="1"/>
      <x:c r="F1140" s="1"/>
    </x:row>
    <x:row r="1141">
      <x:c r="A1141" s="1"/>
      <x:c r="B1141" s="1"/>
      <x:c r="C1141" s="1"/>
      <x:c r="D1141" s="1"/>
      <x:c r="E1141" s="1"/>
      <x:c r="F1141" s="1"/>
    </x:row>
    <x:row r="1142">
      <x:c r="A1142" s="1"/>
      <x:c r="B1142" s="1"/>
      <x:c r="C1142" s="1"/>
      <x:c r="D1142" s="1"/>
      <x:c r="E1142" s="1"/>
      <x:c r="F1142" s="1"/>
    </x:row>
    <x:row r="1143">
      <x:c r="A1143" s="1"/>
      <x:c r="B1143" s="1"/>
      <x:c r="C1143" s="1"/>
      <x:c r="D1143" s="1"/>
      <x:c r="E1143" s="1"/>
      <x:c r="F1143" s="1"/>
    </x:row>
    <x:row r="1144">
      <x:c r="A1144" s="1"/>
      <x:c r="B1144" s="1"/>
      <x:c r="C1144" s="1"/>
      <x:c r="D1144" s="1"/>
      <x:c r="E1144" s="1"/>
      <x:c r="F1144" s="1"/>
    </x:row>
    <x:row r="1145">
      <x:c r="A1145" s="1"/>
      <x:c r="B1145" s="1"/>
      <x:c r="C1145" s="1"/>
      <x:c r="D1145" s="1"/>
      <x:c r="E1145" s="1"/>
      <x:c r="F1145" s="1"/>
    </x:row>
    <x:row r="1146">
      <x:c r="A1146" s="1"/>
      <x:c r="B1146" s="1"/>
      <x:c r="C1146" s="1"/>
      <x:c r="D1146" s="1"/>
      <x:c r="E1146" s="1"/>
      <x:c r="F1146" s="1"/>
    </x:row>
    <x:row r="1147">
      <x:c r="A1147" s="1"/>
      <x:c r="B1147" s="1"/>
      <x:c r="C1147" s="1"/>
      <x:c r="D1147" s="1"/>
      <x:c r="E1147" s="1"/>
      <x:c r="F1147" s="1"/>
    </x:row>
    <x:row r="1148">
      <x:c r="A1148" s="1"/>
      <x:c r="B1148" s="1"/>
      <x:c r="C1148" s="1"/>
      <x:c r="D1148" s="1"/>
      <x:c r="E1148" s="1"/>
      <x:c r="F1148" s="1"/>
    </x:row>
    <x:row r="1149">
      <x:c r="A1149" s="1"/>
      <x:c r="B1149" s="1"/>
      <x:c r="C1149" s="1"/>
      <x:c r="D1149" s="1"/>
      <x:c r="E1149" s="1"/>
      <x:c r="F1149" s="1"/>
    </x:row>
    <x:row r="1150">
      <x:c r="A1150" s="1"/>
      <x:c r="B1150" s="1"/>
      <x:c r="C1150" s="1"/>
      <x:c r="D1150" s="1"/>
      <x:c r="E1150" s="1"/>
      <x:c r="F1150" s="1"/>
    </x:row>
    <x:row r="1151">
      <x:c r="A1151" s="1"/>
      <x:c r="B1151" s="1"/>
      <x:c r="C1151" s="1"/>
      <x:c r="D1151" s="1"/>
      <x:c r="E1151" s="1"/>
      <x:c r="F1151" s="1"/>
    </x:row>
    <x:row r="1152">
      <x:c r="A1152" s="1"/>
      <x:c r="B1152" s="1"/>
      <x:c r="C1152" s="1"/>
      <x:c r="D1152" s="1"/>
      <x:c r="E1152" s="1"/>
      <x:c r="F1152" s="1"/>
    </x:row>
    <x:row r="1153">
      <x:c r="A1153" s="1"/>
      <x:c r="B1153" s="1"/>
      <x:c r="C1153" s="1"/>
      <x:c r="D1153" s="1"/>
      <x:c r="E1153" s="1"/>
      <x:c r="F1153" s="1"/>
    </x:row>
    <x:row r="1154">
      <x:c r="A1154" s="1"/>
      <x:c r="B1154" s="1"/>
      <x:c r="C1154" s="1"/>
      <x:c r="D1154" s="1"/>
      <x:c r="E1154" s="1"/>
      <x:c r="F1154" s="1"/>
    </x:row>
    <x:row r="1155">
      <x:c r="A1155" s="1"/>
      <x:c r="B1155" s="1"/>
      <x:c r="C1155" s="1"/>
      <x:c r="D1155" s="1"/>
      <x:c r="E1155" s="1"/>
      <x:c r="F1155" s="1"/>
    </x:row>
    <x:row r="1156">
      <x:c r="A1156" s="1"/>
      <x:c r="B1156" s="1"/>
      <x:c r="C1156" s="1"/>
      <x:c r="D1156" s="1"/>
      <x:c r="E1156" s="1"/>
      <x:c r="F1156" s="1"/>
    </x:row>
    <x:row r="1157">
      <x:c r="A1157" s="1"/>
      <x:c r="B1157" s="1"/>
      <x:c r="C1157" s="1"/>
      <x:c r="D1157" s="1"/>
      <x:c r="E1157" s="1"/>
      <x:c r="F1157" s="1"/>
    </x:row>
    <x:row r="1158">
      <x:c r="A1158" s="1"/>
      <x:c r="B1158" s="1"/>
      <x:c r="C1158" s="1"/>
      <x:c r="D1158" s="1"/>
      <x:c r="E1158" s="1"/>
      <x:c r="F1158" s="1"/>
    </x:row>
    <x:row r="1159">
      <x:c r="A1159" s="1"/>
      <x:c r="B1159" s="1"/>
      <x:c r="C1159" s="1"/>
      <x:c r="D1159" s="1"/>
      <x:c r="E1159" s="1"/>
      <x:c r="F1159" s="1"/>
    </x:row>
    <x:row r="1160">
      <x:c r="A1160" s="1"/>
      <x:c r="B1160" s="1"/>
      <x:c r="C1160" s="1"/>
      <x:c r="D1160" s="1"/>
      <x:c r="E1160" s="1"/>
      <x:c r="F1160" s="1"/>
    </x:row>
    <x:row r="1161">
      <x:c r="A1161" s="1"/>
      <x:c r="B1161" s="1"/>
      <x:c r="C1161" s="1"/>
      <x:c r="D1161" s="1"/>
      <x:c r="E1161" s="1"/>
      <x:c r="F1161" s="1"/>
    </x:row>
    <x:row r="1162">
      <x:c r="A1162" s="1"/>
      <x:c r="B1162" s="1"/>
      <x:c r="C1162" s="1"/>
      <x:c r="D1162" s="1"/>
      <x:c r="E1162" s="1"/>
      <x:c r="F1162" s="1"/>
    </x:row>
    <x:row r="1163">
      <x:c r="A1163" s="1"/>
      <x:c r="B1163" s="1"/>
      <x:c r="C1163" s="1"/>
      <x:c r="D1163" s="1"/>
      <x:c r="E1163" s="1"/>
      <x:c r="F1163" s="1"/>
    </x:row>
    <x:row r="1164">
      <x:c r="A1164" s="1"/>
      <x:c r="B1164" s="1"/>
      <x:c r="C1164" s="1"/>
      <x:c r="D1164" s="1"/>
      <x:c r="E1164" s="1"/>
      <x:c r="F1164" s="1"/>
    </x:row>
    <x:row r="1165">
      <x:c r="A1165" s="1"/>
      <x:c r="B1165" s="1"/>
      <x:c r="C1165" s="1"/>
      <x:c r="D1165" s="1"/>
      <x:c r="E1165" s="1"/>
      <x:c r="F1165" s="1"/>
    </x:row>
    <x:row r="1166">
      <x:c r="A1166" s="1"/>
      <x:c r="B1166" s="1"/>
      <x:c r="C1166" s="1"/>
      <x:c r="D1166" s="1"/>
      <x:c r="E1166" s="1"/>
      <x:c r="F1166" s="1"/>
    </x:row>
    <x:row r="1167">
      <x:c r="A1167" s="1"/>
      <x:c r="B1167" s="1"/>
      <x:c r="C1167" s="1"/>
      <x:c r="D1167" s="1"/>
      <x:c r="E1167" s="1"/>
      <x:c r="F1167" s="1"/>
    </x:row>
    <x:row r="1168">
      <x:c r="A1168" s="1"/>
      <x:c r="B1168" s="1"/>
      <x:c r="C1168" s="1"/>
      <x:c r="D1168" s="1"/>
      <x:c r="E1168" s="1"/>
      <x:c r="F1168" s="1"/>
    </x:row>
    <x:row r="1169">
      <x:c r="A1169" s="1"/>
      <x:c r="B1169" s="1"/>
      <x:c r="C1169" s="1"/>
      <x:c r="D1169" s="1"/>
      <x:c r="E1169" s="1"/>
      <x:c r="F1169" s="1"/>
    </x:row>
    <x:row r="1170">
      <x:c r="A1170" s="1"/>
      <x:c r="B1170" s="1"/>
      <x:c r="C1170" s="1"/>
      <x:c r="D1170" s="1"/>
      <x:c r="E1170" s="1"/>
      <x:c r="F1170" s="1"/>
    </x:row>
    <x:row r="1171">
      <x:c r="A1171" s="1"/>
      <x:c r="B1171" s="1"/>
      <x:c r="C1171" s="1"/>
      <x:c r="D1171" s="1"/>
      <x:c r="E1171" s="1"/>
      <x:c r="F1171" s="1"/>
    </x:row>
    <x:row r="1172">
      <x:c r="A1172" s="1"/>
      <x:c r="B1172" s="1"/>
      <x:c r="C1172" s="1"/>
      <x:c r="D1172" s="1"/>
      <x:c r="E1172" s="1"/>
      <x:c r="F1172" s="1"/>
    </x:row>
    <x:row r="1173">
      <x:c r="A1173" s="1"/>
      <x:c r="B1173" s="1"/>
      <x:c r="C1173" s="1"/>
      <x:c r="D1173" s="1"/>
      <x:c r="E1173" s="1"/>
      <x:c r="F1173" s="1"/>
    </x:row>
    <x:row r="1174">
      <x:c r="A1174" s="1"/>
      <x:c r="B1174" s="1"/>
      <x:c r="C1174" s="1"/>
      <x:c r="D1174" s="1"/>
      <x:c r="E1174" s="1"/>
      <x:c r="F1174" s="1"/>
    </x:row>
    <x:row r="1175">
      <x:c r="A1175" s="1"/>
      <x:c r="B1175" s="1"/>
      <x:c r="C1175" s="1"/>
      <x:c r="D1175" s="1"/>
      <x:c r="E1175" s="1"/>
      <x:c r="F1175" s="1"/>
    </x:row>
    <x:row r="1176">
      <x:c r="A1176" s="1"/>
      <x:c r="B1176" s="1"/>
      <x:c r="C1176" s="1"/>
      <x:c r="D1176" s="1"/>
      <x:c r="E1176" s="1"/>
      <x:c r="F1176" s="1"/>
    </x:row>
    <x:row r="1177">
      <x:c r="A1177" s="1"/>
      <x:c r="B1177" s="1"/>
      <x:c r="C1177" s="1"/>
      <x:c r="D1177" s="1"/>
      <x:c r="E1177" s="1"/>
      <x:c r="F1177" s="1"/>
    </x:row>
    <x:row r="1178">
      <x:c r="A1178" s="1"/>
      <x:c r="B1178" s="1"/>
      <x:c r="C1178" s="1"/>
      <x:c r="D1178" s="1"/>
      <x:c r="E1178" s="1"/>
      <x:c r="F1178" s="1"/>
    </x:row>
    <x:row r="1179">
      <x:c r="A1179" s="1"/>
      <x:c r="B1179" s="1"/>
      <x:c r="C1179" s="1"/>
      <x:c r="D1179" s="1"/>
      <x:c r="E1179" s="1"/>
      <x:c r="F1179" s="1"/>
    </x:row>
    <x:row r="1180">
      <x:c r="A1180" s="1"/>
      <x:c r="B1180" s="1"/>
      <x:c r="C1180" s="1"/>
      <x:c r="D1180" s="1"/>
      <x:c r="E1180" s="1"/>
      <x:c r="F1180" s="1"/>
    </x:row>
    <x:row r="1181">
      <x:c r="A1181" s="1"/>
      <x:c r="B1181" s="1"/>
      <x:c r="C1181" s="1"/>
      <x:c r="D1181" s="1"/>
      <x:c r="E1181" s="1"/>
      <x:c r="F1181" s="1"/>
    </x:row>
    <x:row r="1182">
      <x:c r="A1182" s="1"/>
      <x:c r="B1182" s="1"/>
      <x:c r="C1182" s="1"/>
      <x:c r="D1182" s="1"/>
      <x:c r="E1182" s="1"/>
      <x:c r="F1182" s="1"/>
    </x:row>
    <x:row r="1183">
      <x:c r="A1183" s="1"/>
      <x:c r="B1183" s="1"/>
      <x:c r="C1183" s="1"/>
      <x:c r="D1183" s="1"/>
      <x:c r="E1183" s="1"/>
      <x:c r="F1183" s="1"/>
    </x:row>
    <x:row r="1184">
      <x:c r="A1184" s="1"/>
      <x:c r="B1184" s="1"/>
      <x:c r="C1184" s="1"/>
      <x:c r="D1184" s="1"/>
      <x:c r="E1184" s="1"/>
      <x:c r="F1184" s="1"/>
    </x:row>
    <x:row r="1185">
      <x:c r="A1185" s="1"/>
      <x:c r="B1185" s="1"/>
      <x:c r="C1185" s="1"/>
      <x:c r="D1185" s="1"/>
      <x:c r="E1185" s="1"/>
      <x:c r="F1185" s="1"/>
    </x:row>
    <x:row r="1186">
      <x:c r="A1186" s="1"/>
      <x:c r="B1186" s="1"/>
      <x:c r="C1186" s="1"/>
      <x:c r="D1186" s="1"/>
      <x:c r="E1186" s="1"/>
      <x:c r="F1186" s="1"/>
    </x:row>
    <x:row r="1187">
      <x:c r="A1187" s="1"/>
      <x:c r="B1187" s="1"/>
      <x:c r="C1187" s="1"/>
      <x:c r="D1187" s="1"/>
      <x:c r="E1187" s="1"/>
      <x:c r="F1187" s="1"/>
    </x:row>
    <x:row r="1188">
      <x:c r="A1188" s="1"/>
      <x:c r="B1188" s="1"/>
      <x:c r="C1188" s="1"/>
      <x:c r="D1188" s="1"/>
      <x:c r="E1188" s="1"/>
      <x:c r="F1188" s="1"/>
    </x:row>
    <x:row r="1189">
      <x:c r="A1189" s="1"/>
      <x:c r="B1189" s="1"/>
      <x:c r="C1189" s="1"/>
      <x:c r="D1189" s="1"/>
      <x:c r="E1189" s="1"/>
      <x:c r="F1189" s="1"/>
    </x:row>
    <x:row r="1190">
      <x:c r="A1190" s="1"/>
      <x:c r="B1190" s="1"/>
      <x:c r="C1190" s="1"/>
      <x:c r="D1190" s="1"/>
      <x:c r="E1190" s="1"/>
      <x:c r="F1190" s="1"/>
    </x:row>
    <x:row r="1191">
      <x:c r="A1191" s="1"/>
      <x:c r="B1191" s="1"/>
      <x:c r="C1191" s="1"/>
      <x:c r="D1191" s="1"/>
      <x:c r="E1191" s="1"/>
      <x:c r="F1191" s="1"/>
    </x:row>
    <x:row r="1192">
      <x:c r="A1192" s="1"/>
      <x:c r="B1192" s="1"/>
      <x:c r="C1192" s="1"/>
      <x:c r="D1192" s="1"/>
      <x:c r="E1192" s="1"/>
      <x:c r="F1192" s="1"/>
    </x:row>
    <x:row r="1193">
      <x:c r="A1193" s="1"/>
      <x:c r="B1193" s="1"/>
      <x:c r="C1193" s="1"/>
      <x:c r="D1193" s="1"/>
      <x:c r="E1193" s="1"/>
      <x:c r="F1193" s="1"/>
    </x:row>
    <x:row r="1194">
      <x:c r="A1194" s="1"/>
      <x:c r="B1194" s="1"/>
      <x:c r="C1194" s="1"/>
      <x:c r="D1194" s="1"/>
      <x:c r="E1194" s="1"/>
      <x:c r="F1194" s="1"/>
    </x:row>
    <x:row r="1195">
      <x:c r="A1195" s="1"/>
      <x:c r="B1195" s="1"/>
      <x:c r="C1195" s="1"/>
      <x:c r="D1195" s="1"/>
      <x:c r="E1195" s="1"/>
      <x:c r="F1195" s="1"/>
    </x:row>
    <x:row r="1196">
      <x:c r="A1196" s="1"/>
      <x:c r="B1196" s="1"/>
      <x:c r="C1196" s="1"/>
      <x:c r="D1196" s="1"/>
      <x:c r="E1196" s="1"/>
      <x:c r="F1196" s="1"/>
    </x:row>
    <x:row r="1197">
      <x:c r="A1197" s="1"/>
      <x:c r="B1197" s="1"/>
      <x:c r="C1197" s="1"/>
      <x:c r="D1197" s="1"/>
      <x:c r="E1197" s="1"/>
      <x:c r="F1197" s="1"/>
    </x:row>
    <x:row r="1198">
      <x:c r="A1198" s="1"/>
      <x:c r="B1198" s="1"/>
      <x:c r="C1198" s="1"/>
      <x:c r="D1198" s="1"/>
      <x:c r="E1198" s="1"/>
      <x:c r="F1198" s="1"/>
    </x:row>
    <x:row r="1199">
      <x:c r="A1199" s="1"/>
      <x:c r="B1199" s="1"/>
      <x:c r="C1199" s="1"/>
      <x:c r="D1199" s="1"/>
      <x:c r="E1199" s="1"/>
      <x:c r="F1199" s="1"/>
    </x:row>
    <x:row r="1200">
      <x:c r="A1200" s="1"/>
      <x:c r="B1200" s="1"/>
      <x:c r="C1200" s="1"/>
      <x:c r="D1200" s="1"/>
      <x:c r="E1200" s="1"/>
      <x:c r="F1200" s="1"/>
    </x:row>
    <x:row r="1201">
      <x:c r="A1201" s="1"/>
      <x:c r="B1201" s="1"/>
      <x:c r="C1201" s="1"/>
      <x:c r="D1201" s="1"/>
      <x:c r="E1201" s="1"/>
      <x:c r="F1201" s="1"/>
    </x:row>
    <x:row r="1202">
      <x:c r="A1202" s="1"/>
      <x:c r="B1202" s="1"/>
      <x:c r="C1202" s="1"/>
      <x:c r="D1202" s="1"/>
      <x:c r="E1202" s="1"/>
      <x:c r="F1202" s="1"/>
    </x:row>
    <x:row r="1203">
      <x:c r="A1203" s="1"/>
      <x:c r="B1203" s="1"/>
      <x:c r="C1203" s="1"/>
      <x:c r="D1203" s="1"/>
      <x:c r="E1203" s="1"/>
      <x:c r="F1203" s="1"/>
    </x:row>
    <x:row r="1204">
      <x:c r="A1204" s="1"/>
      <x:c r="B1204" s="1"/>
      <x:c r="C1204" s="1"/>
      <x:c r="D1204" s="1"/>
      <x:c r="E1204" s="1"/>
      <x:c r="F1204" s="1"/>
    </x:row>
    <x:row r="1205">
      <x:c r="A1205" s="1"/>
      <x:c r="B1205" s="1"/>
      <x:c r="C1205" s="1"/>
      <x:c r="D1205" s="1"/>
      <x:c r="E1205" s="1"/>
      <x:c r="F1205" s="1"/>
    </x:row>
    <x:row r="1206">
      <x:c r="A1206" s="1"/>
      <x:c r="B1206" s="1"/>
      <x:c r="C1206" s="1"/>
      <x:c r="D1206" s="1"/>
      <x:c r="E1206" s="1"/>
      <x:c r="F1206" s="1"/>
    </x:row>
    <x:row r="1207">
      <x:c r="A1207" s="1"/>
      <x:c r="B1207" s="1"/>
      <x:c r="C1207" s="1"/>
      <x:c r="D1207" s="1"/>
      <x:c r="E1207" s="1"/>
      <x:c r="F1207" s="1"/>
    </x:row>
    <x:row r="1208">
      <x:c r="A1208" s="1"/>
      <x:c r="B1208" s="1"/>
      <x:c r="C1208" s="1"/>
      <x:c r="D1208" s="1"/>
      <x:c r="E1208" s="1"/>
      <x:c r="F1208" s="1"/>
    </x:row>
    <x:row r="1209">
      <x:c r="A1209" s="1"/>
      <x:c r="B1209" s="1"/>
      <x:c r="C1209" s="1"/>
      <x:c r="D1209" s="1"/>
      <x:c r="E1209" s="1"/>
      <x:c r="F1209" s="1"/>
    </x:row>
    <x:row r="1210">
      <x:c r="A1210" s="1"/>
      <x:c r="B1210" s="1"/>
      <x:c r="C1210" s="1"/>
      <x:c r="D1210" s="1"/>
      <x:c r="E1210" s="1"/>
      <x:c r="F1210" s="1"/>
    </x:row>
    <x:row r="1211">
      <x:c r="A1211" s="1"/>
      <x:c r="B1211" s="1"/>
      <x:c r="C1211" s="1"/>
      <x:c r="D1211" s="1"/>
      <x:c r="E1211" s="1"/>
      <x:c r="F1211" s="1"/>
    </x:row>
    <x:row r="1212">
      <x:c r="A1212" s="1"/>
      <x:c r="B1212" s="1"/>
      <x:c r="C1212" s="1"/>
      <x:c r="D1212" s="1"/>
      <x:c r="E1212" s="1"/>
      <x:c r="F1212" s="1"/>
    </x:row>
    <x:row r="1213">
      <x:c r="A1213" s="1"/>
      <x:c r="B1213" s="1"/>
      <x:c r="C1213" s="1"/>
      <x:c r="D1213" s="1"/>
      <x:c r="E1213" s="1"/>
      <x:c r="F1213" s="1"/>
    </x:row>
    <x:row r="1214">
      <x:c r="A1214" s="1"/>
      <x:c r="B1214" s="1"/>
      <x:c r="C1214" s="1"/>
      <x:c r="D1214" s="1"/>
      <x:c r="E1214" s="1"/>
      <x:c r="F1214" s="1"/>
    </x:row>
    <x:row r="1215">
      <x:c r="A1215" s="1"/>
      <x:c r="B1215" s="1"/>
      <x:c r="C1215" s="1"/>
      <x:c r="D1215" s="1"/>
      <x:c r="E1215" s="1"/>
      <x:c r="F1215" s="1"/>
    </x:row>
    <x:row r="1216">
      <x:c r="A1216" s="1"/>
      <x:c r="B1216" s="1"/>
      <x:c r="C1216" s="1"/>
      <x:c r="D1216" s="1"/>
      <x:c r="E1216" s="1"/>
      <x:c r="F1216" s="1"/>
    </x:row>
    <x:row r="1217">
      <x:c r="A1217" s="1"/>
      <x:c r="B1217" s="1"/>
      <x:c r="C1217" s="1"/>
      <x:c r="D1217" s="1"/>
      <x:c r="E1217" s="1"/>
      <x:c r="F1217" s="1"/>
    </x:row>
    <x:row r="1218">
      <x:c r="A1218" s="1"/>
      <x:c r="B1218" s="1"/>
      <x:c r="C1218" s="1"/>
      <x:c r="D1218" s="1"/>
      <x:c r="E1218" s="1"/>
      <x:c r="F1218" s="1"/>
    </x:row>
    <x:row r="1219">
      <x:c r="A1219" s="1"/>
      <x:c r="B1219" s="1"/>
      <x:c r="C1219" s="1"/>
      <x:c r="D1219" s="1"/>
      <x:c r="E1219" s="1"/>
      <x:c r="F1219" s="1"/>
    </x:row>
    <x:row r="1220">
      <x:c r="A1220" s="1"/>
      <x:c r="B1220" s="1"/>
      <x:c r="C1220" s="1"/>
      <x:c r="D1220" s="1"/>
      <x:c r="E1220" s="1"/>
      <x:c r="F1220" s="1"/>
    </x:row>
    <x:row r="1221">
      <x:c r="A1221" s="1"/>
      <x:c r="B1221" s="1"/>
      <x:c r="C1221" s="1"/>
      <x:c r="D1221" s="1"/>
      <x:c r="E1221" s="1"/>
      <x:c r="F1221" s="1"/>
    </x:row>
    <x:row r="1222">
      <x:c r="A1222" s="1"/>
      <x:c r="B1222" s="1"/>
      <x:c r="C1222" s="1"/>
      <x:c r="D1222" s="1"/>
      <x:c r="E1222" s="1"/>
      <x:c r="F1222" s="1"/>
    </x:row>
    <x:row r="1223">
      <x:c r="A1223" s="1"/>
      <x:c r="B1223" s="1"/>
      <x:c r="C1223" s="1"/>
      <x:c r="D1223" s="1"/>
      <x:c r="E1223" s="1"/>
      <x:c r="F1223" s="1"/>
    </x:row>
    <x:row r="1224">
      <x:c r="A1224" s="1"/>
      <x:c r="B1224" s="1"/>
      <x:c r="C1224" s="1"/>
      <x:c r="D1224" s="1"/>
      <x:c r="E1224" s="1"/>
      <x:c r="F1224" s="1"/>
    </x:row>
    <x:row r="1225">
      <x:c r="A1225" s="1"/>
      <x:c r="B1225" s="1"/>
      <x:c r="C1225" s="1"/>
      <x:c r="D1225" s="1"/>
      <x:c r="E1225" s="1"/>
      <x:c r="F1225" s="1"/>
    </x:row>
    <x:row r="1226">
      <x:c r="A1226" s="1"/>
      <x:c r="B1226" s="1"/>
      <x:c r="C1226" s="1"/>
      <x:c r="D1226" s="1"/>
      <x:c r="E1226" s="1"/>
      <x:c r="F1226" s="1"/>
    </x:row>
    <x:row r="1227">
      <x:c r="A1227" s="1"/>
      <x:c r="B1227" s="1"/>
      <x:c r="C1227" s="1"/>
      <x:c r="D1227" s="1"/>
      <x:c r="E1227" s="1"/>
      <x:c r="F1227" s="1"/>
    </x:row>
    <x:row r="1228">
      <x:c r="A1228" s="1"/>
      <x:c r="B1228" s="1"/>
      <x:c r="C1228" s="1"/>
      <x:c r="D1228" s="1"/>
      <x:c r="E1228" s="1"/>
      <x:c r="F1228" s="1"/>
    </x:row>
    <x:row r="1229">
      <x:c r="A1229" s="1"/>
      <x:c r="B1229" s="1"/>
      <x:c r="C1229" s="1"/>
      <x:c r="D1229" s="1"/>
      <x:c r="E1229" s="1"/>
      <x:c r="F1229" s="1"/>
    </x:row>
    <x:row r="1230">
      <x:c r="A1230" s="1"/>
      <x:c r="B1230" s="1"/>
      <x:c r="C1230" s="1"/>
      <x:c r="D1230" s="1"/>
      <x:c r="E1230" s="1"/>
      <x:c r="F1230" s="1"/>
    </x:row>
    <x:row r="1231">
      <x:c r="A1231" s="1"/>
      <x:c r="B1231" s="1"/>
      <x:c r="C1231" s="1"/>
      <x:c r="D1231" s="1"/>
      <x:c r="E1231" s="1"/>
      <x:c r="F1231" s="1"/>
    </x:row>
    <x:row r="1232">
      <x:c r="A1232" s="1"/>
      <x:c r="B1232" s="1"/>
      <x:c r="C1232" s="1"/>
      <x:c r="D1232" s="1"/>
      <x:c r="E1232" s="1"/>
      <x:c r="F1232" s="1"/>
    </x:row>
    <x:row r="1233">
      <x:c r="A1233" s="1"/>
      <x:c r="B1233" s="1"/>
      <x:c r="C1233" s="1"/>
      <x:c r="D1233" s="1"/>
      <x:c r="E1233" s="1"/>
      <x:c r="F1233" s="1"/>
    </x:row>
    <x:row r="1234">
      <x:c r="A1234" s="1"/>
      <x:c r="B1234" s="1"/>
      <x:c r="C1234" s="1"/>
      <x:c r="D1234" s="1"/>
      <x:c r="E1234" s="1"/>
      <x:c r="F1234" s="1"/>
    </x:row>
    <x:row r="1235">
      <x:c r="A1235" s="1"/>
      <x:c r="B1235" s="1"/>
      <x:c r="C1235" s="1"/>
      <x:c r="D1235" s="1"/>
      <x:c r="E1235" s="1"/>
      <x:c r="F1235" s="1"/>
    </x:row>
    <x:row r="1236">
      <x:c r="A1236" s="1"/>
      <x:c r="B1236" s="1"/>
      <x:c r="C1236" s="1"/>
      <x:c r="D1236" s="1"/>
      <x:c r="E1236" s="1"/>
      <x:c r="F1236" s="1"/>
    </x:row>
    <x:row r="1237">
      <x:c r="A1237" s="1"/>
      <x:c r="B1237" s="1"/>
      <x:c r="C1237" s="1"/>
      <x:c r="D1237" s="1"/>
      <x:c r="E1237" s="1"/>
      <x:c r="F1237" s="1"/>
    </x:row>
    <x:row r="1238">
      <x:c r="A1238" s="1"/>
      <x:c r="B1238" s="1"/>
      <x:c r="C1238" s="1"/>
      <x:c r="D1238" s="1"/>
      <x:c r="E1238" s="1"/>
      <x:c r="F1238" s="1"/>
    </x:row>
    <x:row r="1239">
      <x:c r="A1239" s="1"/>
      <x:c r="B1239" s="1"/>
      <x:c r="C1239" s="1"/>
      <x:c r="D1239" s="1"/>
      <x:c r="E1239" s="1"/>
      <x:c r="F1239" s="1"/>
    </x:row>
    <x:row r="1240">
      <x:c r="A1240" s="1"/>
      <x:c r="B1240" s="1"/>
      <x:c r="C1240" s="1"/>
      <x:c r="D1240" s="1"/>
      <x:c r="E1240" s="1"/>
      <x:c r="F1240" s="1"/>
    </x:row>
    <x:row r="1241">
      <x:c r="A1241" s="1"/>
      <x:c r="B1241" s="1"/>
      <x:c r="C1241" s="1"/>
      <x:c r="D1241" s="1"/>
      <x:c r="E1241" s="1"/>
      <x:c r="F1241" s="1"/>
    </x:row>
    <x:row r="1242">
      <x:c r="A1242" s="1"/>
      <x:c r="B1242" s="1"/>
      <x:c r="C1242" s="1"/>
      <x:c r="D1242" s="1"/>
      <x:c r="E1242" s="1"/>
      <x:c r="F1242" s="1"/>
    </x:row>
    <x:row r="1243">
      <x:c r="A1243" s="1"/>
      <x:c r="B1243" s="1"/>
      <x:c r="C1243" s="1"/>
      <x:c r="D1243" s="1"/>
      <x:c r="E1243" s="1"/>
      <x:c r="F1243" s="1"/>
    </x:row>
    <x:row r="1244">
      <x:c r="A1244" s="1"/>
      <x:c r="B1244" s="1"/>
      <x:c r="C1244" s="1"/>
      <x:c r="D1244" s="1"/>
      <x:c r="E1244" s="1"/>
      <x:c r="F1244" s="1"/>
    </x:row>
    <x:row r="1245">
      <x:c r="A1245" s="1"/>
      <x:c r="B1245" s="1"/>
      <x:c r="C1245" s="1"/>
      <x:c r="D1245" s="1"/>
      <x:c r="E1245" s="1"/>
      <x:c r="F1245" s="1"/>
    </x:row>
    <x:row r="1246">
      <x:c r="A1246" s="1"/>
      <x:c r="B1246" s="1"/>
      <x:c r="C1246" s="1"/>
      <x:c r="D1246" s="1"/>
      <x:c r="E1246" s="1"/>
      <x:c r="F1246" s="1"/>
    </x:row>
    <x:row r="1247">
      <x:c r="A1247" s="1"/>
      <x:c r="B1247" s="1"/>
      <x:c r="C1247" s="1"/>
      <x:c r="D1247" s="1"/>
      <x:c r="E1247" s="1"/>
      <x:c r="F1247" s="1"/>
    </x:row>
    <x:row r="1248">
      <x:c r="A1248" s="1"/>
      <x:c r="B1248" s="1"/>
      <x:c r="C1248" s="1"/>
      <x:c r="D1248" s="1"/>
      <x:c r="E1248" s="1"/>
      <x:c r="F1248" s="1"/>
    </x:row>
    <x:row r="1249">
      <x:c r="A1249" s="1"/>
      <x:c r="B1249" s="1"/>
      <x:c r="C1249" s="1"/>
      <x:c r="D1249" s="1"/>
      <x:c r="E1249" s="1"/>
      <x:c r="F1249" s="1"/>
    </x:row>
    <x:row r="1250">
      <x:c r="A1250" s="1"/>
      <x:c r="B1250" s="1"/>
      <x:c r="C1250" s="1"/>
      <x:c r="D1250" s="1"/>
      <x:c r="E1250" s="1"/>
      <x:c r="F1250" s="1"/>
    </x:row>
    <x:row r="1251">
      <x:c r="A1251" s="1"/>
      <x:c r="B1251" s="1"/>
      <x:c r="C1251" s="1"/>
      <x:c r="D1251" s="1"/>
      <x:c r="E1251" s="1"/>
      <x:c r="F1251" s="1"/>
    </x:row>
    <x:row r="1252">
      <x:c r="A1252" s="1"/>
      <x:c r="B1252" s="1"/>
      <x:c r="C1252" s="1"/>
      <x:c r="D1252" s="1"/>
      <x:c r="E1252" s="1"/>
      <x:c r="F1252" s="1"/>
    </x:row>
    <x:row r="1253">
      <x:c r="A1253" s="1"/>
      <x:c r="B1253" s="1"/>
      <x:c r="C1253" s="1"/>
      <x:c r="D1253" s="1"/>
      <x:c r="E1253" s="1"/>
      <x:c r="F1253" s="1"/>
    </x:row>
    <x:row r="1254">
      <x:c r="A1254" s="1"/>
      <x:c r="B1254" s="1"/>
      <x:c r="C1254" s="1"/>
      <x:c r="D1254" s="1"/>
      <x:c r="E1254" s="1"/>
      <x:c r="F1254" s="1"/>
    </x:row>
    <x:row r="1255">
      <x:c r="A1255" s="1"/>
      <x:c r="B1255" s="1"/>
      <x:c r="C1255" s="1"/>
      <x:c r="D1255" s="1"/>
      <x:c r="E1255" s="1"/>
      <x:c r="F1255" s="1"/>
    </x:row>
    <x:row r="1256">
      <x:c r="A1256" s="1"/>
      <x:c r="B1256" s="1"/>
      <x:c r="C1256" s="1"/>
      <x:c r="D1256" s="1"/>
      <x:c r="E1256" s="1"/>
      <x:c r="F1256" s="1"/>
    </x:row>
    <x:row r="1257">
      <x:c r="A1257" s="1"/>
      <x:c r="B1257" s="1"/>
      <x:c r="C1257" s="1"/>
      <x:c r="D1257" s="1"/>
      <x:c r="E1257" s="1"/>
      <x:c r="F1257" s="1"/>
    </x:row>
    <x:row r="1258">
      <x:c r="A1258" s="1"/>
      <x:c r="B1258" s="1"/>
      <x:c r="C1258" s="1"/>
      <x:c r="D1258" s="1"/>
      <x:c r="E1258" s="1"/>
      <x:c r="F1258" s="1"/>
    </x:row>
    <x:row r="1259">
      <x:c r="A1259" s="1"/>
      <x:c r="B1259" s="1"/>
      <x:c r="C1259" s="1"/>
      <x:c r="D1259" s="1"/>
      <x:c r="E1259" s="1"/>
      <x:c r="F1259" s="1"/>
    </x:row>
    <x:row r="1260">
      <x:c r="A1260" s="1"/>
      <x:c r="B1260" s="1"/>
      <x:c r="C1260" s="1"/>
      <x:c r="D1260" s="1"/>
      <x:c r="E1260" s="1"/>
      <x:c r="F1260" s="1"/>
    </x:row>
    <x:row r="1261">
      <x:c r="A1261" s="1"/>
      <x:c r="B1261" s="1"/>
      <x:c r="C1261" s="1"/>
      <x:c r="D1261" s="1"/>
      <x:c r="E1261" s="1"/>
      <x:c r="F1261" s="1"/>
    </x:row>
    <x:row r="1262">
      <x:c r="A1262" s="1"/>
      <x:c r="B1262" s="1"/>
      <x:c r="C1262" s="1"/>
      <x:c r="D1262" s="1"/>
      <x:c r="E1262" s="1"/>
      <x:c r="F1262" s="1"/>
    </x:row>
    <x:row r="1263">
      <x:c r="A1263" s="1"/>
      <x:c r="B1263" s="1"/>
      <x:c r="C1263" s="1"/>
      <x:c r="D1263" s="1"/>
      <x:c r="E1263" s="1"/>
      <x:c r="F1263" s="1"/>
    </x:row>
    <x:row r="1264">
      <x:c r="A1264" s="1"/>
      <x:c r="B1264" s="1"/>
      <x:c r="C1264" s="1"/>
      <x:c r="D1264" s="1"/>
      <x:c r="E1264" s="1"/>
      <x:c r="F1264" s="1"/>
    </x:row>
    <x:row r="1265">
      <x:c r="A1265" s="1"/>
      <x:c r="B1265" s="1"/>
      <x:c r="C1265" s="1"/>
      <x:c r="D1265" s="1"/>
      <x:c r="E1265" s="1"/>
      <x:c r="F1265" s="1"/>
    </x:row>
    <x:row r="1266">
      <x:c r="A1266" s="1"/>
      <x:c r="B1266" s="1"/>
      <x:c r="C1266" s="1"/>
      <x:c r="D1266" s="1"/>
      <x:c r="E1266" s="1"/>
      <x:c r="F1266" s="1"/>
    </x:row>
    <x:row r="1267">
      <x:c r="A1267" s="1"/>
      <x:c r="B1267" s="1"/>
      <x:c r="C1267" s="1"/>
      <x:c r="D1267" s="1"/>
      <x:c r="E1267" s="1"/>
      <x:c r="F1267" s="1"/>
    </x:row>
    <x:row r="1268">
      <x:c r="A1268" s="1"/>
      <x:c r="B1268" s="1"/>
      <x:c r="C1268" s="1"/>
      <x:c r="D1268" s="1"/>
      <x:c r="E1268" s="1"/>
      <x:c r="F1268" s="1"/>
    </x:row>
    <x:row r="1269">
      <x:c r="A1269" s="1"/>
      <x:c r="B1269" s="1"/>
      <x:c r="C1269" s="1"/>
      <x:c r="D1269" s="1"/>
      <x:c r="E1269" s="1"/>
      <x:c r="F1269" s="1"/>
    </x:row>
    <x:row r="1270">
      <x:c r="A1270" s="1"/>
      <x:c r="B1270" s="1"/>
      <x:c r="C1270" s="1"/>
      <x:c r="D1270" s="1"/>
      <x:c r="E1270" s="1"/>
      <x:c r="F1270" s="1"/>
    </x:row>
    <x:row r="1271">
      <x:c r="A1271" s="1"/>
      <x:c r="B1271" s="1"/>
      <x:c r="C1271" s="1"/>
      <x:c r="D1271" s="1"/>
      <x:c r="E1271" s="1"/>
      <x:c r="F1271" s="1"/>
    </x:row>
    <x:row r="1272">
      <x:c r="A1272" s="1"/>
      <x:c r="B1272" s="1"/>
      <x:c r="C1272" s="1"/>
      <x:c r="D1272" s="1"/>
      <x:c r="E1272" s="1"/>
      <x:c r="F1272" s="1"/>
    </x:row>
    <x:row r="1273">
      <x:c r="A1273" s="1"/>
      <x:c r="B1273" s="1"/>
      <x:c r="C1273" s="1"/>
      <x:c r="D1273" s="1"/>
      <x:c r="E1273" s="1"/>
      <x:c r="F1273" s="1"/>
    </x:row>
    <x:row r="1274">
      <x:c r="A1274" s="1"/>
      <x:c r="B1274" s="1"/>
      <x:c r="C1274" s="1"/>
      <x:c r="D1274" s="1"/>
      <x:c r="E1274" s="1"/>
      <x:c r="F1274" s="1"/>
    </x:row>
    <x:row r="1275">
      <x:c r="A1275" s="1"/>
      <x:c r="B1275" s="1"/>
      <x:c r="C1275" s="1"/>
      <x:c r="D1275" s="1"/>
      <x:c r="E1275" s="1"/>
      <x:c r="F1275" s="1"/>
    </x:row>
    <x:row r="1276">
      <x:c r="A1276" s="1"/>
      <x:c r="B1276" s="1"/>
      <x:c r="C1276" s="1"/>
      <x:c r="D1276" s="1"/>
      <x:c r="E1276" s="1"/>
      <x:c r="F1276" s="1"/>
    </x:row>
    <x:row r="1277">
      <x:c r="A1277" s="1"/>
      <x:c r="B1277" s="1"/>
      <x:c r="C1277" s="1"/>
      <x:c r="D1277" s="1"/>
      <x:c r="E1277" s="1"/>
      <x:c r="F1277" s="1"/>
    </x:row>
    <x:row r="1278">
      <x:c r="A1278" s="1"/>
      <x:c r="B1278" s="1"/>
      <x:c r="C1278" s="1"/>
      <x:c r="D1278" s="1"/>
      <x:c r="E1278" s="1"/>
      <x:c r="F1278" s="1"/>
    </x:row>
    <x:row r="1279">
      <x:c r="A1279" s="1"/>
      <x:c r="B1279" s="1"/>
      <x:c r="C1279" s="1"/>
      <x:c r="D1279" s="1"/>
      <x:c r="E1279" s="1"/>
      <x:c r="F1279" s="1"/>
    </x:row>
    <x:row r="1280">
      <x:c r="A1280" s="1"/>
      <x:c r="B1280" s="1"/>
      <x:c r="C1280" s="1"/>
      <x:c r="D1280" s="1"/>
      <x:c r="E1280" s="1"/>
      <x:c r="F1280" s="1"/>
    </x:row>
    <x:row r="1281">
      <x:c r="A1281" s="1"/>
      <x:c r="B1281" s="1"/>
      <x:c r="C1281" s="1"/>
      <x:c r="D1281" s="1"/>
      <x:c r="E1281" s="1"/>
      <x:c r="F1281" s="1"/>
    </x:row>
    <x:row r="1282">
      <x:c r="A1282" s="1"/>
      <x:c r="B1282" s="1"/>
      <x:c r="C1282" s="1"/>
      <x:c r="D1282" s="1"/>
      <x:c r="E1282" s="1"/>
      <x:c r="F1282" s="1"/>
    </x:row>
    <x:row r="1283">
      <x:c r="A1283" s="1"/>
      <x:c r="B1283" s="1"/>
      <x:c r="C1283" s="1"/>
      <x:c r="D1283" s="1"/>
      <x:c r="E1283" s="1"/>
      <x:c r="F1283" s="1"/>
    </x:row>
    <x:row r="1284">
      <x:c r="A1284" s="1"/>
      <x:c r="B1284" s="1"/>
      <x:c r="C1284" s="1"/>
      <x:c r="D1284" s="1"/>
      <x:c r="E1284" s="1"/>
      <x:c r="F1284" s="1"/>
    </x:row>
    <x:row r="1285">
      <x:c r="A1285" s="1"/>
      <x:c r="B1285" s="1"/>
      <x:c r="C1285" s="1"/>
      <x:c r="D1285" s="1"/>
      <x:c r="E1285" s="1"/>
      <x:c r="F1285" s="1"/>
    </x:row>
    <x:row r="1286">
      <x:c r="A1286" s="1"/>
      <x:c r="B1286" s="1"/>
      <x:c r="C1286" s="1"/>
      <x:c r="D1286" s="1"/>
      <x:c r="E1286" s="1"/>
      <x:c r="F1286" s="1"/>
    </x:row>
    <x:row r="1287">
      <x:c r="A1287" s="1"/>
      <x:c r="B1287" s="1"/>
      <x:c r="C1287" s="1"/>
      <x:c r="D1287" s="1"/>
      <x:c r="E1287" s="1"/>
      <x:c r="F1287" s="1"/>
    </x:row>
    <x:row r="1288">
      <x:c r="A1288" s="1"/>
      <x:c r="B1288" s="1"/>
      <x:c r="C1288" s="1"/>
      <x:c r="D1288" s="1"/>
      <x:c r="E1288" s="1"/>
      <x:c r="F1288" s="1"/>
    </x:row>
    <x:row r="1289">
      <x:c r="A1289" s="1"/>
      <x:c r="B1289" s="1"/>
      <x:c r="C1289" s="1"/>
      <x:c r="D1289" s="1"/>
      <x:c r="E1289" s="1"/>
      <x:c r="F1289" s="1"/>
    </x:row>
    <x:row r="1290">
      <x:c r="A1290" s="1"/>
      <x:c r="B1290" s="1"/>
      <x:c r="C1290" s="1"/>
      <x:c r="D1290" s="1"/>
      <x:c r="E1290" s="1"/>
      <x:c r="F1290" s="1"/>
    </x:row>
    <x:row r="1291">
      <x:c r="A1291" s="1"/>
      <x:c r="B1291" s="1"/>
      <x:c r="C1291" s="1"/>
      <x:c r="D1291" s="1"/>
      <x:c r="E1291" s="1"/>
      <x:c r="F1291" s="1"/>
    </x:row>
    <x:row r="1292">
      <x:c r="A1292" s="1"/>
      <x:c r="B1292" s="1"/>
      <x:c r="C1292" s="1"/>
      <x:c r="D1292" s="1"/>
      <x:c r="E1292" s="1"/>
      <x:c r="F1292" s="1"/>
    </x:row>
    <x:row r="1293">
      <x:c r="A1293" s="1"/>
      <x:c r="B1293" s="1"/>
      <x:c r="C1293" s="1"/>
      <x:c r="D1293" s="1"/>
      <x:c r="E1293" s="1"/>
      <x:c r="F1293" s="1"/>
    </x:row>
    <x:row r="1294">
      <x:c r="A1294" s="1"/>
      <x:c r="B1294" s="1"/>
      <x:c r="C1294" s="1"/>
      <x:c r="D1294" s="1"/>
      <x:c r="E1294" s="1"/>
      <x:c r="F1294" s="1"/>
    </x:row>
    <x:row r="1295">
      <x:c r="A1295" s="1"/>
      <x:c r="B1295" s="1"/>
      <x:c r="C1295" s="1"/>
      <x:c r="D1295" s="1"/>
      <x:c r="E1295" s="1"/>
      <x:c r="F1295" s="1"/>
    </x:row>
    <x:row r="1296">
      <x:c r="A1296" s="1"/>
      <x:c r="B1296" s="1"/>
      <x:c r="C1296" s="1"/>
      <x:c r="D1296" s="1"/>
      <x:c r="E1296" s="1"/>
      <x:c r="F1296" s="1"/>
    </x:row>
    <x:row r="1297">
      <x:c r="A1297" s="1"/>
      <x:c r="B1297" s="1"/>
      <x:c r="C1297" s="1"/>
      <x:c r="D1297" s="1"/>
      <x:c r="E1297" s="1"/>
      <x:c r="F1297" s="1"/>
    </x:row>
    <x:row r="1298">
      <x:c r="A1298" s="1"/>
      <x:c r="B1298" s="1"/>
      <x:c r="C1298" s="1"/>
      <x:c r="D1298" s="1"/>
      <x:c r="E1298" s="1"/>
      <x:c r="F1298" s="1"/>
    </x:row>
    <x:row r="1299">
      <x:c r="A1299" s="1"/>
      <x:c r="B1299" s="1"/>
      <x:c r="C1299" s="1"/>
      <x:c r="D1299" s="1"/>
      <x:c r="E1299" s="1"/>
      <x:c r="F1299" s="1"/>
    </x:row>
    <x:row r="1300">
      <x:c r="A1300" s="1"/>
      <x:c r="B1300" s="1"/>
      <x:c r="C1300" s="1"/>
      <x:c r="D1300" s="1"/>
      <x:c r="E1300" s="1"/>
      <x:c r="F1300" s="1"/>
    </x:row>
    <x:row r="1301">
      <x:c r="A1301" s="1"/>
      <x:c r="B1301" s="1"/>
      <x:c r="C1301" s="1"/>
      <x:c r="D1301" s="1"/>
      <x:c r="E1301" s="1"/>
      <x:c r="F1301" s="1"/>
    </x:row>
    <x:row r="1302">
      <x:c r="A1302" s="1"/>
      <x:c r="B1302" s="1"/>
      <x:c r="C1302" s="1"/>
      <x:c r="D1302" s="1"/>
      <x:c r="E1302" s="1"/>
      <x:c r="F1302" s="1"/>
    </x:row>
    <x:row r="1303">
      <x:c r="A1303" s="1"/>
      <x:c r="B1303" s="1"/>
      <x:c r="C1303" s="1"/>
      <x:c r="D1303" s="1"/>
      <x:c r="E1303" s="1"/>
      <x:c r="F1303" s="1"/>
    </x:row>
    <x:row r="1304">
      <x:c r="A1304" s="1"/>
      <x:c r="B1304" s="1"/>
      <x:c r="C1304" s="1"/>
      <x:c r="D1304" s="1"/>
      <x:c r="E1304" s="1"/>
      <x:c r="F1304" s="1"/>
    </x:row>
    <x:row r="1305">
      <x:c r="A1305" s="1"/>
      <x:c r="B1305" s="1"/>
      <x:c r="C1305" s="1"/>
      <x:c r="D1305" s="1"/>
      <x:c r="E1305" s="1"/>
      <x:c r="F1305" s="1"/>
    </x:row>
    <x:row r="1306">
      <x:c r="A1306" s="1"/>
      <x:c r="B1306" s="1"/>
      <x:c r="C1306" s="1"/>
      <x:c r="D1306" s="1"/>
      <x:c r="E1306" s="1"/>
      <x:c r="F1306" s="1"/>
    </x:row>
    <x:row r="1307">
      <x:c r="A1307" s="1"/>
      <x:c r="B1307" s="1"/>
      <x:c r="C1307" s="1"/>
      <x:c r="D1307" s="1"/>
      <x:c r="E1307" s="1"/>
      <x:c r="F1307" s="1"/>
    </x:row>
    <x:row r="1308">
      <x:c r="A1308" s="1"/>
      <x:c r="B1308" s="1"/>
      <x:c r="C1308" s="1"/>
      <x:c r="D1308" s="1"/>
      <x:c r="E1308" s="1"/>
      <x:c r="F1308" s="1"/>
    </x:row>
    <x:row r="1309">
      <x:c r="A1309" s="1"/>
      <x:c r="B1309" s="1"/>
      <x:c r="C1309" s="1"/>
      <x:c r="D1309" s="1"/>
      <x:c r="E1309" s="1"/>
      <x:c r="F1309" s="1"/>
    </x:row>
    <x:row r="1310">
      <x:c r="A1310" s="1"/>
      <x:c r="B1310" s="1"/>
      <x:c r="C1310" s="1"/>
      <x:c r="D1310" s="1"/>
      <x:c r="E1310" s="1"/>
      <x:c r="F1310" s="1"/>
    </x:row>
    <x:row r="1311">
      <x:c r="A1311" s="1"/>
      <x:c r="B1311" s="1"/>
      <x:c r="C1311" s="1"/>
      <x:c r="D1311" s="1"/>
      <x:c r="E1311" s="1"/>
      <x:c r="F1311" s="1"/>
    </x:row>
    <x:row r="1312">
      <x:c r="A1312" s="1"/>
      <x:c r="B1312" s="1"/>
      <x:c r="C1312" s="1"/>
      <x:c r="D1312" s="1"/>
      <x:c r="E1312" s="1"/>
      <x:c r="F1312" s="1"/>
    </x:row>
    <x:row r="1313">
      <x:c r="A1313" s="1"/>
      <x:c r="B1313" s="1"/>
      <x:c r="C1313" s="1"/>
      <x:c r="D1313" s="1"/>
      <x:c r="E1313" s="1"/>
      <x:c r="F1313" s="1"/>
    </x:row>
    <x:row r="1314">
      <x:c r="A1314" s="1"/>
      <x:c r="B1314" s="1"/>
      <x:c r="C1314" s="1"/>
      <x:c r="D1314" s="1"/>
      <x:c r="E1314" s="1"/>
      <x:c r="F1314" s="1"/>
    </x:row>
    <x:row r="1315">
      <x:c r="A1315" s="1"/>
      <x:c r="B1315" s="1"/>
      <x:c r="C1315" s="1"/>
      <x:c r="D1315" s="1"/>
      <x:c r="E1315" s="1"/>
      <x:c r="F1315" s="1"/>
    </x:row>
    <x:row r="1316">
      <x:c r="A1316" s="1"/>
      <x:c r="B1316" s="1"/>
      <x:c r="C1316" s="1"/>
      <x:c r="D1316" s="1"/>
      <x:c r="E1316" s="1"/>
      <x:c r="F1316" s="1"/>
    </x:row>
    <x:row r="1317">
      <x:c r="A1317" s="1"/>
      <x:c r="B1317" s="1"/>
      <x:c r="C1317" s="1"/>
      <x:c r="D1317" s="1"/>
      <x:c r="E1317" s="1"/>
      <x:c r="F1317" s="1"/>
    </x:row>
    <x:row r="1318">
      <x:c r="A1318" s="1"/>
      <x:c r="B1318" s="1"/>
      <x:c r="C1318" s="1"/>
      <x:c r="D1318" s="1"/>
      <x:c r="E1318" s="1"/>
      <x:c r="F1318" s="1"/>
    </x:row>
    <x:row r="1319">
      <x:c r="A1319" s="1"/>
      <x:c r="B1319" s="1"/>
      <x:c r="C1319" s="1"/>
      <x:c r="D1319" s="1"/>
      <x:c r="E1319" s="1"/>
      <x:c r="F1319" s="1"/>
    </x:row>
    <x:row r="1320">
      <x:c r="A1320" s="1"/>
      <x:c r="B1320" s="1"/>
      <x:c r="C1320" s="1"/>
      <x:c r="D1320" s="1"/>
      <x:c r="E1320" s="1"/>
      <x:c r="F1320" s="1"/>
    </x:row>
    <x:row r="1321">
      <x:c r="A1321" s="1"/>
      <x:c r="B1321" s="1"/>
      <x:c r="C1321" s="1"/>
      <x:c r="D1321" s="1"/>
      <x:c r="E1321" s="1"/>
      <x:c r="F1321" s="1"/>
    </x:row>
    <x:row r="1322">
      <x:c r="A1322" s="1"/>
      <x:c r="B1322" s="1"/>
      <x:c r="C1322" s="1"/>
      <x:c r="D1322" s="1"/>
      <x:c r="E1322" s="1"/>
      <x:c r="F1322" s="1"/>
    </x:row>
    <x:row r="1323">
      <x:c r="A1323" s="1"/>
      <x:c r="B1323" s="1"/>
      <x:c r="C1323" s="1"/>
      <x:c r="D1323" s="1"/>
      <x:c r="E1323" s="1"/>
      <x:c r="F1323" s="1"/>
    </x:row>
    <x:row r="1324">
      <x:c r="A1324" s="1"/>
      <x:c r="B1324" s="1"/>
      <x:c r="C1324" s="1"/>
      <x:c r="D1324" s="1"/>
      <x:c r="E1324" s="1"/>
      <x:c r="F1324" s="1"/>
    </x:row>
    <x:row r="1325">
      <x:c r="A1325" s="1"/>
      <x:c r="B1325" s="1"/>
      <x:c r="C1325" s="1"/>
      <x:c r="D1325" s="1"/>
      <x:c r="E1325" s="1"/>
      <x:c r="F1325" s="1"/>
    </x:row>
    <x:row r="1326">
      <x:c r="A1326" s="1"/>
      <x:c r="B1326" s="1"/>
      <x:c r="C1326" s="1"/>
      <x:c r="D1326" s="1"/>
      <x:c r="E1326" s="1"/>
      <x:c r="F1326" s="1"/>
    </x:row>
    <x:row r="1327">
      <x:c r="A1327" s="1"/>
      <x:c r="B1327" s="1"/>
      <x:c r="C1327" s="1"/>
      <x:c r="D1327" s="1"/>
      <x:c r="E1327" s="1"/>
      <x:c r="F1327" s="1"/>
    </x:row>
    <x:row r="1328">
      <x:c r="A1328" s="1"/>
      <x:c r="B1328" s="1"/>
      <x:c r="C1328" s="1"/>
      <x:c r="D1328" s="1"/>
      <x:c r="E1328" s="1"/>
      <x:c r="F1328" s="1"/>
    </x:row>
    <x:row r="1329">
      <x:c r="A1329" s="1"/>
      <x:c r="B1329" s="1"/>
      <x:c r="C1329" s="1"/>
      <x:c r="D1329" s="1"/>
      <x:c r="E1329" s="1"/>
      <x:c r="F1329" s="1"/>
    </x:row>
    <x:row r="1330">
      <x:c r="A1330" s="1"/>
      <x:c r="B1330" s="1"/>
      <x:c r="C1330" s="1"/>
      <x:c r="D1330" s="1"/>
      <x:c r="E1330" s="1"/>
      <x:c r="F1330" s="1"/>
    </x:row>
    <x:row r="1331">
      <x:c r="A1331" s="1"/>
      <x:c r="B1331" s="1"/>
      <x:c r="C1331" s="1"/>
      <x:c r="D1331" s="1"/>
      <x:c r="E1331" s="1"/>
      <x:c r="F1331" s="1"/>
    </x:row>
    <x:row r="1332">
      <x:c r="A1332" s="1"/>
      <x:c r="B1332" s="1"/>
      <x:c r="C1332" s="1"/>
      <x:c r="D1332" s="1"/>
      <x:c r="E1332" s="1"/>
      <x:c r="F1332" s="1"/>
    </x:row>
    <x:row r="1333">
      <x:c r="A1333" s="1"/>
      <x:c r="B1333" s="1"/>
      <x:c r="C1333" s="1"/>
      <x:c r="D1333" s="1"/>
      <x:c r="E1333" s="1"/>
      <x:c r="F1333" s="1"/>
    </x:row>
    <x:row r="1334">
      <x:c r="A1334" s="1"/>
      <x:c r="B1334" s="1"/>
      <x:c r="C1334" s="1"/>
      <x:c r="D1334" s="1"/>
      <x:c r="E1334" s="1"/>
      <x:c r="F1334" s="1"/>
    </x:row>
    <x:row r="1335">
      <x:c r="A1335" s="1"/>
      <x:c r="B1335" s="1"/>
      <x:c r="C1335" s="1"/>
      <x:c r="D1335" s="1"/>
      <x:c r="E1335" s="1"/>
      <x:c r="F1335" s="1"/>
    </x:row>
    <x:row r="1336">
      <x:c r="A1336" s="1"/>
      <x:c r="B1336" s="1"/>
      <x:c r="C1336" s="1"/>
      <x:c r="D1336" s="1"/>
      <x:c r="E1336" s="1"/>
      <x:c r="F1336" s="1"/>
    </x:row>
    <x:row r="1337">
      <x:c r="A1337" s="1"/>
      <x:c r="B1337" s="1"/>
      <x:c r="C1337" s="1"/>
      <x:c r="D1337" s="1"/>
      <x:c r="E1337" s="1"/>
      <x:c r="F1337" s="1"/>
    </x:row>
    <x:row r="1338">
      <x:c r="A1338" s="1"/>
      <x:c r="B1338" s="1"/>
      <x:c r="C1338" s="1"/>
      <x:c r="D1338" s="1"/>
      <x:c r="E1338" s="1"/>
      <x:c r="F1338" s="1"/>
    </x:row>
    <x:row r="1339">
      <x:c r="A1339" s="1"/>
      <x:c r="B1339" s="1"/>
      <x:c r="C1339" s="1"/>
      <x:c r="D1339" s="1"/>
      <x:c r="E1339" s="1"/>
      <x:c r="F1339" s="1"/>
    </x:row>
    <x:row r="1340">
      <x:c r="A1340" s="1"/>
      <x:c r="B1340" s="1"/>
      <x:c r="C1340" s="1"/>
      <x:c r="D1340" s="1"/>
      <x:c r="E1340" s="1"/>
      <x:c r="F1340" s="1"/>
    </x:row>
    <x:row r="1341">
      <x:c r="A1341" s="1"/>
      <x:c r="B1341" s="1"/>
      <x:c r="C1341" s="1"/>
      <x:c r="D1341" s="1"/>
      <x:c r="E1341" s="1"/>
      <x:c r="F1341" s="1"/>
    </x:row>
    <x:row r="1342">
      <x:c r="A1342" s="1"/>
      <x:c r="B1342" s="1"/>
      <x:c r="C1342" s="1"/>
      <x:c r="D1342" s="1"/>
      <x:c r="E1342" s="1"/>
      <x:c r="F1342" s="1"/>
    </x:row>
    <x:row r="1343">
      <x:c r="A1343" s="1"/>
      <x:c r="B1343" s="1"/>
      <x:c r="C1343" s="1"/>
      <x:c r="D1343" s="1"/>
      <x:c r="E1343" s="1"/>
      <x:c r="F1343" s="1"/>
    </x:row>
    <x:row r="1344">
      <x:c r="A1344" s="1"/>
      <x:c r="B1344" s="1"/>
      <x:c r="C1344" s="1"/>
      <x:c r="D1344" s="1"/>
      <x:c r="E1344" s="1"/>
      <x:c r="F1344" s="1"/>
    </x:row>
    <x:row r="1345">
      <x:c r="A1345" s="1"/>
      <x:c r="B1345" s="1"/>
      <x:c r="C1345" s="1"/>
      <x:c r="D1345" s="1"/>
      <x:c r="E1345" s="1"/>
      <x:c r="F1345" s="1"/>
    </x:row>
    <x:row r="1346">
      <x:c r="A1346" s="1"/>
      <x:c r="B1346" s="1"/>
      <x:c r="C1346" s="1"/>
      <x:c r="D1346" s="1"/>
      <x:c r="E1346" s="1"/>
      <x:c r="F1346" s="1"/>
    </x:row>
    <x:row r="1347">
      <x:c r="A1347" s="1"/>
      <x:c r="B1347" s="1"/>
      <x:c r="C1347" s="1"/>
      <x:c r="D1347" s="1"/>
      <x:c r="E1347" s="1"/>
      <x:c r="F1347" s="1"/>
    </x:row>
    <x:row r="1348">
      <x:c r="A1348" s="1"/>
      <x:c r="B1348" s="1"/>
      <x:c r="C1348" s="1"/>
      <x:c r="D1348" s="1"/>
      <x:c r="E1348" s="1"/>
      <x:c r="F1348" s="1"/>
    </x:row>
    <x:row r="1349">
      <x:c r="A1349" s="1"/>
      <x:c r="B1349" s="1"/>
      <x:c r="C1349" s="1"/>
      <x:c r="D1349" s="1"/>
      <x:c r="E1349" s="1"/>
      <x:c r="F1349" s="1"/>
    </x:row>
    <x:row r="1350">
      <x:c r="A1350" s="1"/>
      <x:c r="B1350" s="1"/>
      <x:c r="C1350" s="1"/>
      <x:c r="D1350" s="1"/>
      <x:c r="E1350" s="1"/>
      <x:c r="F1350" s="1"/>
    </x:row>
    <x:row r="1351">
      <x:c r="A1351" s="1"/>
      <x:c r="B1351" s="1"/>
      <x:c r="C1351" s="1"/>
      <x:c r="D1351" s="1"/>
      <x:c r="E1351" s="1"/>
      <x:c r="F1351" s="1"/>
    </x:row>
    <x:row r="1352">
      <x:c r="A1352" s="1"/>
      <x:c r="B1352" s="1"/>
      <x:c r="C1352" s="1"/>
      <x:c r="D1352" s="1"/>
      <x:c r="E1352" s="1"/>
      <x:c r="F1352" s="1"/>
    </x:row>
    <x:row r="1353">
      <x:c r="A1353" s="1"/>
      <x:c r="B1353" s="1"/>
      <x:c r="C1353" s="1"/>
      <x:c r="D1353" s="1"/>
      <x:c r="E1353" s="1"/>
      <x:c r="F1353" s="1"/>
    </x:row>
    <x:row r="1354">
      <x:c r="A1354" s="1"/>
      <x:c r="B1354" s="1"/>
      <x:c r="C1354" s="1"/>
      <x:c r="D1354" s="1"/>
      <x:c r="E1354" s="1"/>
      <x:c r="F1354" s="1"/>
    </x:row>
    <x:row r="1355">
      <x:c r="A1355" s="1"/>
      <x:c r="B1355" s="1"/>
      <x:c r="C1355" s="1"/>
      <x:c r="D1355" s="1"/>
      <x:c r="E1355" s="1"/>
      <x:c r="F1355" s="1"/>
    </x:row>
    <x:row r="1356">
      <x:c r="A1356" s="1"/>
      <x:c r="B1356" s="1"/>
      <x:c r="C1356" s="1"/>
      <x:c r="D1356" s="1"/>
      <x:c r="E1356" s="1"/>
      <x:c r="F1356" s="1"/>
    </x:row>
    <x:row r="1357">
      <x:c r="A1357" s="1"/>
      <x:c r="B1357" s="1"/>
      <x:c r="C1357" s="1"/>
      <x:c r="D1357" s="1"/>
      <x:c r="E1357" s="1"/>
      <x:c r="F1357" s="1"/>
    </x:row>
    <x:row r="1358">
      <x:c r="A1358" s="1"/>
      <x:c r="B1358" s="1"/>
      <x:c r="C1358" s="1"/>
      <x:c r="D1358" s="1"/>
      <x:c r="E1358" s="1"/>
      <x:c r="F1358" s="1"/>
    </x:row>
    <x:row r="1359">
      <x:c r="A1359" s="1"/>
      <x:c r="B1359" s="1"/>
      <x:c r="C1359" s="1"/>
      <x:c r="D1359" s="1"/>
      <x:c r="E1359" s="1"/>
      <x:c r="F1359" s="1"/>
    </x:row>
    <x:row r="1360">
      <x:c r="A1360" s="1"/>
      <x:c r="B1360" s="1"/>
      <x:c r="C1360" s="1"/>
      <x:c r="D1360" s="1"/>
      <x:c r="E1360" s="1"/>
      <x:c r="F1360" s="1"/>
    </x:row>
    <x:row r="1361">
      <x:c r="A1361" s="1"/>
      <x:c r="B1361" s="1"/>
      <x:c r="C1361" s="1"/>
      <x:c r="D1361" s="1"/>
      <x:c r="E1361" s="1"/>
      <x:c r="F1361" s="1"/>
    </x:row>
    <x:row r="1362">
      <x:c r="A1362" s="1"/>
      <x:c r="B1362" s="1"/>
      <x:c r="C1362" s="1"/>
      <x:c r="D1362" s="1"/>
      <x:c r="E1362" s="1"/>
      <x:c r="F1362" s="1"/>
    </x:row>
    <x:row r="1363">
      <x:c r="A1363" s="1"/>
      <x:c r="B1363" s="1"/>
      <x:c r="C1363" s="1"/>
      <x:c r="D1363" s="1"/>
      <x:c r="E1363" s="1"/>
      <x:c r="F1363" s="1"/>
    </x:row>
    <x:row r="1364">
      <x:c r="A1364" s="1"/>
      <x:c r="B1364" s="1"/>
      <x:c r="C1364" s="1"/>
      <x:c r="D1364" s="1"/>
      <x:c r="E1364" s="1"/>
      <x:c r="F1364" s="1"/>
    </x:row>
    <x:row r="1365">
      <x:c r="A1365" s="1"/>
      <x:c r="B1365" s="1"/>
      <x:c r="C1365" s="1"/>
      <x:c r="D1365" s="1"/>
      <x:c r="E1365" s="1"/>
      <x:c r="F1365" s="1"/>
    </x:row>
    <x:row r="1366">
      <x:c r="A1366" s="1"/>
      <x:c r="B1366" s="1"/>
      <x:c r="C1366" s="1"/>
      <x:c r="D1366" s="1"/>
      <x:c r="E1366" s="1"/>
      <x:c r="F1366" s="1"/>
    </x:row>
    <x:row r="1367">
      <x:c r="A1367" s="1"/>
      <x:c r="B1367" s="1"/>
      <x:c r="C1367" s="1"/>
      <x:c r="D1367" s="1"/>
      <x:c r="E1367" s="1"/>
      <x:c r="F1367" s="1"/>
    </x:row>
    <x:row r="1368">
      <x:c r="A1368" s="1"/>
      <x:c r="B1368" s="1"/>
      <x:c r="C1368" s="1"/>
      <x:c r="D1368" s="1"/>
      <x:c r="E1368" s="1"/>
      <x:c r="F1368" s="1"/>
    </x:row>
    <x:row r="1369">
      <x:c r="A1369" s="1"/>
      <x:c r="B1369" s="1"/>
      <x:c r="C1369" s="1"/>
      <x:c r="D1369" s="1"/>
      <x:c r="E1369" s="1"/>
      <x:c r="F1369" s="1"/>
    </x:row>
    <x:row r="1370">
      <x:c r="A1370" s="1"/>
      <x:c r="B1370" s="1"/>
      <x:c r="C1370" s="1"/>
      <x:c r="D1370" s="1"/>
      <x:c r="E1370" s="1"/>
      <x:c r="F1370" s="1"/>
    </x:row>
    <x:row r="1371">
      <x:c r="A1371" s="1"/>
      <x:c r="B1371" s="1"/>
      <x:c r="C1371" s="1"/>
      <x:c r="D1371" s="1"/>
      <x:c r="E1371" s="1"/>
      <x:c r="F1371" s="1"/>
    </x:row>
    <x:row r="1372">
      <x:c r="A1372" s="1"/>
      <x:c r="B1372" s="1"/>
      <x:c r="C1372" s="1"/>
      <x:c r="D1372" s="1"/>
      <x:c r="E1372" s="1"/>
      <x:c r="F1372" s="1"/>
    </x:row>
    <x:row r="1373">
      <x:c r="A1373" s="1"/>
      <x:c r="B1373" s="1"/>
      <x:c r="C1373" s="1"/>
      <x:c r="D1373" s="1"/>
      <x:c r="E1373" s="1"/>
      <x:c r="F1373" s="1"/>
    </x:row>
    <x:row r="1374">
      <x:c r="A1374" s="1"/>
      <x:c r="B1374" s="1"/>
      <x:c r="C1374" s="1"/>
      <x:c r="D1374" s="1"/>
      <x:c r="E1374" s="1"/>
      <x:c r="F1374" s="1"/>
    </x:row>
    <x:row r="1375">
      <x:c r="A1375" s="1"/>
      <x:c r="B1375" s="1"/>
      <x:c r="C1375" s="1"/>
      <x:c r="D1375" s="1"/>
      <x:c r="E1375" s="1"/>
      <x:c r="F1375" s="1"/>
    </x:row>
    <x:row r="1376">
      <x:c r="A1376" s="1"/>
      <x:c r="B1376" s="1"/>
      <x:c r="C1376" s="1"/>
      <x:c r="D1376" s="1"/>
      <x:c r="E1376" s="1"/>
      <x:c r="F1376" s="1"/>
    </x:row>
    <x:row r="1377">
      <x:c r="A1377" s="1"/>
      <x:c r="B1377" s="1"/>
      <x:c r="C1377" s="1"/>
      <x:c r="D1377" s="1"/>
      <x:c r="E1377" s="1"/>
      <x:c r="F1377" s="1"/>
    </x:row>
    <x:row r="1378">
      <x:c r="A1378" s="1"/>
      <x:c r="B1378" s="1"/>
      <x:c r="C1378" s="1"/>
      <x:c r="D1378" s="1"/>
      <x:c r="E1378" s="1"/>
      <x:c r="F1378" s="1"/>
    </x:row>
    <x:row r="1379">
      <x:c r="A1379" s="1"/>
      <x:c r="B1379" s="1"/>
      <x:c r="C1379" s="1"/>
      <x:c r="D1379" s="1"/>
      <x:c r="E1379" s="1"/>
      <x:c r="F1379" s="1"/>
    </x:row>
    <x:row r="1380">
      <x:c r="A1380" s="1"/>
      <x:c r="B1380" s="1"/>
      <x:c r="C1380" s="1"/>
      <x:c r="D1380" s="1"/>
      <x:c r="E1380" s="1"/>
      <x:c r="F1380" s="1"/>
    </x:row>
    <x:row r="1381">
      <x:c r="A1381" s="1"/>
      <x:c r="B1381" s="1"/>
      <x:c r="C1381" s="1"/>
      <x:c r="D1381" s="1"/>
      <x:c r="E1381" s="1"/>
      <x:c r="F1381" s="1"/>
    </x:row>
    <x:row r="1382">
      <x:c r="A1382" s="1"/>
      <x:c r="B1382" s="1"/>
      <x:c r="C1382" s="1"/>
      <x:c r="D1382" s="1"/>
      <x:c r="E1382" s="1"/>
      <x:c r="F1382" s="1"/>
    </x:row>
    <x:row r="1383">
      <x:c r="A1383" s="1"/>
      <x:c r="B1383" s="1"/>
      <x:c r="C1383" s="1"/>
      <x:c r="D1383" s="1"/>
      <x:c r="E1383" s="1"/>
      <x:c r="F1383" s="1"/>
    </x:row>
    <x:row r="1384">
      <x:c r="A1384" s="1"/>
      <x:c r="B1384" s="1"/>
      <x:c r="C1384" s="1"/>
      <x:c r="D1384" s="1"/>
      <x:c r="E1384" s="1"/>
      <x:c r="F1384" s="1"/>
    </x:row>
    <x:row r="1385">
      <x:c r="A1385" s="1"/>
      <x:c r="B1385" s="1"/>
      <x:c r="C1385" s="1"/>
      <x:c r="D1385" s="1"/>
      <x:c r="E1385" s="1"/>
      <x:c r="F1385" s="1"/>
    </x:row>
    <x:row r="1386">
      <x:c r="A1386" s="1"/>
      <x:c r="B1386" s="1"/>
      <x:c r="C1386" s="1"/>
      <x:c r="D1386" s="1"/>
      <x:c r="E1386" s="1"/>
      <x:c r="F1386" s="1"/>
    </x:row>
    <x:row r="1387">
      <x:c r="A1387" s="1"/>
      <x:c r="B1387" s="1"/>
      <x:c r="C1387" s="1"/>
      <x:c r="D1387" s="1"/>
      <x:c r="E1387" s="1"/>
      <x:c r="F1387" s="1"/>
    </x:row>
    <x:row r="1388">
      <x:c r="A1388" s="1"/>
      <x:c r="B1388" s="1"/>
      <x:c r="C1388" s="1"/>
      <x:c r="D1388" s="1"/>
      <x:c r="E1388" s="1"/>
      <x:c r="F1388" s="1"/>
    </x:row>
    <x:row r="1389">
      <x:c r="A1389" s="1"/>
      <x:c r="B1389" s="1"/>
      <x:c r="C1389" s="1"/>
      <x:c r="D1389" s="1"/>
      <x:c r="E1389" s="1"/>
      <x:c r="F1389" s="1"/>
    </x:row>
    <x:row r="1390">
      <x:c r="A1390" s="1"/>
      <x:c r="B1390" s="1"/>
      <x:c r="C1390" s="1"/>
      <x:c r="D1390" s="1"/>
      <x:c r="E1390" s="1"/>
      <x:c r="F1390" s="1"/>
    </x:row>
    <x:row r="1391">
      <x:c r="A1391" s="1"/>
      <x:c r="B1391" s="1"/>
      <x:c r="C1391" s="1"/>
      <x:c r="D1391" s="1"/>
      <x:c r="E1391" s="1"/>
      <x:c r="F1391" s="1"/>
    </x:row>
    <x:row r="1392">
      <x:c r="A1392" s="1"/>
      <x:c r="B1392" s="1"/>
      <x:c r="C1392" s="1"/>
      <x:c r="D1392" s="1"/>
      <x:c r="E1392" s="1"/>
      <x:c r="F1392" s="1"/>
    </x:row>
    <x:row r="1393">
      <x:c r="A1393" s="1"/>
      <x:c r="B1393" s="1"/>
      <x:c r="C1393" s="1"/>
      <x:c r="D1393" s="1"/>
      <x:c r="E1393" s="1"/>
      <x:c r="F1393" s="1"/>
    </x:row>
    <x:row r="1394">
      <x:c r="A1394" s="1"/>
      <x:c r="B1394" s="1"/>
      <x:c r="C1394" s="1"/>
      <x:c r="D1394" s="1"/>
      <x:c r="E1394" s="1"/>
      <x:c r="F1394" s="1"/>
    </x:row>
    <x:row r="1395">
      <x:c r="A1395" s="1"/>
      <x:c r="B1395" s="1"/>
      <x:c r="C1395" s="1"/>
      <x:c r="D1395" s="1"/>
      <x:c r="E1395" s="1"/>
      <x:c r="F1395" s="1"/>
    </x:row>
    <x:row r="1396">
      <x:c r="A1396" s="1"/>
      <x:c r="B1396" s="1"/>
      <x:c r="C1396" s="1"/>
      <x:c r="D1396" s="1"/>
      <x:c r="E1396" s="1"/>
      <x:c r="F1396" s="1"/>
    </x:row>
    <x:row r="1397">
      <x:c r="A1397" s="1"/>
      <x:c r="B1397" s="1"/>
      <x:c r="C1397" s="1"/>
      <x:c r="D1397" s="1"/>
      <x:c r="E1397" s="1"/>
      <x:c r="F1397" s="1"/>
    </x:row>
    <x:row r="1398">
      <x:c r="A1398" s="1"/>
      <x:c r="B1398" s="1"/>
      <x:c r="C1398" s="1"/>
      <x:c r="D1398" s="1"/>
      <x:c r="E1398" s="1"/>
      <x:c r="F1398" s="1"/>
    </x:row>
    <x:row r="1399">
      <x:c r="A1399" s="1"/>
      <x:c r="B1399" s="1"/>
      <x:c r="C1399" s="1"/>
      <x:c r="D1399" s="1"/>
      <x:c r="E1399" s="1"/>
      <x:c r="F1399" s="1"/>
    </x:row>
    <x:row r="1400">
      <x:c r="A1400" s="1"/>
      <x:c r="B1400" s="1"/>
      <x:c r="C1400" s="1"/>
      <x:c r="D1400" s="1"/>
      <x:c r="E1400" s="1"/>
      <x:c r="F1400" s="1"/>
    </x:row>
    <x:row r="1401">
      <x:c r="A1401" s="1"/>
      <x:c r="B1401" s="1"/>
      <x:c r="C1401" s="1"/>
      <x:c r="D1401" s="1"/>
      <x:c r="E1401" s="1"/>
      <x:c r="F1401" s="1"/>
    </x:row>
    <x:row r="1402">
      <x:c r="A1402" s="1"/>
      <x:c r="B1402" s="1"/>
      <x:c r="C1402" s="1"/>
      <x:c r="D1402" s="1"/>
      <x:c r="E1402" s="1"/>
      <x:c r="F1402" s="1"/>
    </x:row>
    <x:row r="1403">
      <x:c r="A1403" s="1"/>
      <x:c r="B1403" s="1"/>
      <x:c r="C1403" s="1"/>
      <x:c r="D1403" s="1"/>
      <x:c r="E1403" s="1"/>
      <x:c r="F1403" s="1"/>
    </x:row>
    <x:row r="1404">
      <x:c r="A1404" s="1"/>
      <x:c r="B1404" s="1"/>
      <x:c r="C1404" s="1"/>
      <x:c r="D1404" s="1"/>
      <x:c r="E1404" s="1"/>
      <x:c r="F1404" s="1"/>
    </x:row>
    <x:row r="1405">
      <x:c r="A1405" s="1"/>
      <x:c r="B1405" s="1"/>
      <x:c r="C1405" s="1"/>
      <x:c r="D1405" s="1"/>
      <x:c r="E1405" s="1"/>
      <x:c r="F1405" s="1"/>
    </x:row>
    <x:row r="1406">
      <x:c r="A1406" s="1"/>
      <x:c r="B1406" s="1"/>
      <x:c r="C1406" s="1"/>
      <x:c r="D1406" s="1"/>
      <x:c r="E1406" s="1"/>
      <x:c r="F1406" s="1"/>
    </x:row>
    <x:row r="1407">
      <x:c r="A1407" s="1"/>
      <x:c r="B1407" s="1"/>
      <x:c r="C1407" s="1"/>
      <x:c r="D1407" s="1"/>
      <x:c r="E1407" s="1"/>
      <x:c r="F1407" s="1"/>
    </x:row>
    <x:row r="1408">
      <x:c r="A1408" s="1"/>
      <x:c r="B1408" s="1"/>
      <x:c r="C1408" s="1"/>
      <x:c r="D1408" s="1"/>
      <x:c r="E1408" s="1"/>
      <x:c r="F1408" s="1"/>
    </x:row>
    <x:row r="1409">
      <x:c r="A1409" s="1"/>
      <x:c r="B1409" s="1"/>
      <x:c r="C1409" s="1"/>
      <x:c r="D1409" s="1"/>
      <x:c r="E1409" s="1"/>
      <x:c r="F1409" s="1"/>
    </x:row>
    <x:row r="1410">
      <x:c r="A1410" s="1"/>
      <x:c r="B1410" s="1"/>
      <x:c r="C1410" s="1"/>
      <x:c r="D1410" s="1"/>
      <x:c r="E1410" s="1"/>
      <x:c r="F1410" s="1"/>
    </x:row>
    <x:row r="1411">
      <x:c r="A1411" s="1"/>
      <x:c r="B1411" s="1"/>
      <x:c r="C1411" s="1"/>
      <x:c r="D1411" s="1"/>
      <x:c r="E1411" s="1"/>
      <x:c r="F1411" s="1"/>
    </x:row>
    <x:row r="1412">
      <x:c r="A1412" s="1"/>
      <x:c r="B1412" s="1"/>
      <x:c r="C1412" s="1"/>
      <x:c r="D1412" s="1"/>
      <x:c r="E1412" s="1"/>
      <x:c r="F1412" s="1"/>
    </x:row>
    <x:row r="1413">
      <x:c r="A1413" s="1"/>
      <x:c r="B1413" s="1"/>
      <x:c r="C1413" s="1"/>
      <x:c r="D1413" s="1"/>
      <x:c r="E1413" s="1"/>
      <x:c r="F1413" s="1"/>
    </x:row>
    <x:row r="1414">
      <x:c r="A1414" s="1"/>
      <x:c r="B1414" s="1"/>
      <x:c r="C1414" s="1"/>
      <x:c r="D1414" s="1"/>
      <x:c r="E1414" s="1"/>
      <x:c r="F1414" s="1"/>
    </x:row>
    <x:row r="1415">
      <x:c r="A1415" s="1"/>
      <x:c r="B1415" s="1"/>
      <x:c r="C1415" s="1"/>
      <x:c r="D1415" s="1"/>
      <x:c r="E1415" s="1"/>
      <x:c r="F1415" s="1"/>
    </x:row>
    <x:row r="1416">
      <x:c r="A1416" s="1"/>
      <x:c r="B1416" s="1"/>
      <x:c r="C1416" s="1"/>
      <x:c r="D1416" s="1"/>
      <x:c r="E1416" s="1"/>
      <x:c r="F1416" s="1"/>
    </x:row>
    <x:row r="1417">
      <x:c r="A1417" s="1"/>
      <x:c r="B1417" s="1"/>
      <x:c r="C1417" s="1"/>
      <x:c r="D1417" s="1"/>
      <x:c r="E1417" s="1"/>
      <x:c r="F1417" s="1"/>
    </x:row>
    <x:row r="1418">
      <x:c r="A1418" s="1"/>
      <x:c r="B1418" s="1"/>
      <x:c r="C1418" s="1"/>
      <x:c r="D1418" s="1"/>
      <x:c r="E1418" s="1"/>
      <x:c r="F1418" s="1"/>
    </x:row>
    <x:row r="1419">
      <x:c r="A1419" s="1"/>
      <x:c r="B1419" s="1"/>
      <x:c r="C1419" s="1"/>
      <x:c r="D1419" s="1"/>
      <x:c r="E1419" s="1"/>
      <x:c r="F1419" s="1"/>
    </x:row>
    <x:row r="1420">
      <x:c r="A1420" s="1"/>
      <x:c r="B1420" s="1"/>
      <x:c r="C1420" s="1"/>
      <x:c r="D1420" s="1"/>
      <x:c r="E1420" s="1"/>
      <x:c r="F1420" s="1"/>
    </x:row>
    <x:row r="1421">
      <x:c r="A1421" s="1"/>
      <x:c r="B1421" s="1"/>
      <x:c r="C1421" s="1"/>
      <x:c r="D1421" s="1"/>
      <x:c r="E1421" s="1"/>
      <x:c r="F1421" s="1"/>
    </x:row>
    <x:row r="1422">
      <x:c r="A1422" s="1"/>
      <x:c r="B1422" s="1"/>
      <x:c r="C1422" s="1"/>
      <x:c r="D1422" s="1"/>
      <x:c r="E1422" s="1"/>
      <x:c r="F1422" s="1"/>
    </x:row>
    <x:row r="1423">
      <x:c r="A1423" s="1"/>
      <x:c r="B1423" s="1"/>
      <x:c r="C1423" s="1"/>
      <x:c r="D1423" s="1"/>
      <x:c r="E1423" s="1"/>
      <x:c r="F1423" s="1"/>
    </x:row>
    <x:row r="1424">
      <x:c r="A1424" s="1"/>
      <x:c r="B1424" s="1"/>
      <x:c r="C1424" s="1"/>
      <x:c r="D1424" s="1"/>
      <x:c r="E1424" s="1"/>
      <x:c r="F1424" s="1"/>
    </x:row>
    <x:row r="1425">
      <x:c r="A1425" s="1"/>
      <x:c r="B1425" s="1"/>
      <x:c r="C1425" s="1"/>
      <x:c r="D1425" s="1"/>
      <x:c r="E1425" s="1"/>
      <x:c r="F1425" s="1"/>
    </x:row>
    <x:row r="1426">
      <x:c r="A1426" s="1"/>
      <x:c r="B1426" s="1"/>
      <x:c r="C1426" s="1"/>
      <x:c r="D1426" s="1"/>
      <x:c r="E1426" s="1"/>
      <x:c r="F1426" s="1"/>
    </x:row>
    <x:row r="1427">
      <x:c r="A1427" s="1"/>
      <x:c r="B1427" s="1"/>
      <x:c r="C1427" s="1"/>
      <x:c r="D1427" s="1"/>
      <x:c r="E1427" s="1"/>
      <x:c r="F1427" s="1"/>
    </x:row>
    <x:row r="1428">
      <x:c r="A1428" s="1"/>
      <x:c r="B1428" s="1"/>
      <x:c r="C1428" s="1"/>
      <x:c r="D1428" s="1"/>
      <x:c r="E1428" s="1"/>
      <x:c r="F1428" s="1"/>
    </x:row>
    <x:row r="1429">
      <x:c r="A1429" s="1"/>
      <x:c r="B1429" s="1"/>
      <x:c r="C1429" s="1"/>
      <x:c r="D1429" s="1"/>
      <x:c r="E1429" s="1"/>
      <x:c r="F1429" s="1"/>
    </x:row>
    <x:row r="1430">
      <x:c r="A1430" s="1"/>
      <x:c r="B1430" s="1"/>
      <x:c r="C1430" s="1"/>
      <x:c r="D1430" s="1"/>
      <x:c r="E1430" s="1"/>
      <x:c r="F1430" s="1"/>
    </x:row>
    <x:row r="1431">
      <x:c r="A1431" s="1"/>
      <x:c r="B1431" s="1"/>
      <x:c r="C1431" s="1"/>
      <x:c r="D1431" s="1"/>
      <x:c r="E1431" s="1"/>
      <x:c r="F1431" s="1"/>
    </x:row>
    <x:row r="1432">
      <x:c r="A1432" s="1"/>
      <x:c r="B1432" s="1"/>
      <x:c r="C1432" s="1"/>
      <x:c r="D1432" s="1"/>
      <x:c r="E1432" s="1"/>
      <x:c r="F1432" s="1"/>
    </x:row>
    <x:row r="1433">
      <x:c r="A1433" s="1"/>
      <x:c r="B1433" s="1"/>
      <x:c r="C1433" s="1"/>
      <x:c r="D1433" s="1"/>
      <x:c r="E1433" s="1"/>
      <x:c r="F1433" s="1"/>
    </x:row>
    <x:row r="1434">
      <x:c r="A1434" s="1"/>
      <x:c r="B1434" s="1"/>
      <x:c r="C1434" s="1"/>
      <x:c r="D1434" s="1"/>
      <x:c r="E1434" s="1"/>
      <x:c r="F1434" s="1"/>
    </x:row>
    <x:row r="1435">
      <x:c r="A1435" s="1"/>
      <x:c r="B1435" s="1"/>
      <x:c r="C1435" s="1"/>
      <x:c r="D1435" s="1"/>
      <x:c r="E1435" s="1"/>
      <x:c r="F1435" s="1"/>
    </x:row>
    <x:row r="1436">
      <x:c r="A1436" s="1"/>
      <x:c r="B1436" s="1"/>
      <x:c r="C1436" s="1"/>
      <x:c r="D1436" s="1"/>
      <x:c r="E1436" s="1"/>
      <x:c r="F1436" s="1"/>
    </x:row>
    <x:row r="1437">
      <x:c r="A1437" s="1"/>
      <x:c r="B1437" s="1"/>
      <x:c r="C1437" s="1"/>
      <x:c r="D1437" s="1"/>
      <x:c r="E1437" s="1"/>
      <x:c r="F1437" s="1"/>
    </x:row>
    <x:row r="1438">
      <x:c r="A1438" s="1"/>
      <x:c r="B1438" s="1"/>
      <x:c r="C1438" s="1"/>
      <x:c r="D1438" s="1"/>
      <x:c r="E1438" s="1"/>
      <x:c r="F1438" s="1"/>
    </x:row>
    <x:row r="1439">
      <x:c r="A1439" s="1"/>
      <x:c r="B1439" s="1"/>
      <x:c r="C1439" s="1"/>
      <x:c r="D1439" s="1"/>
      <x:c r="E1439" s="1"/>
      <x:c r="F1439" s="1"/>
    </x:row>
    <x:row r="1440">
      <x:c r="A1440" s="1"/>
      <x:c r="B1440" s="1"/>
      <x:c r="C1440" s="1"/>
      <x:c r="D1440" s="1"/>
      <x:c r="E1440" s="1"/>
      <x:c r="F1440" s="1"/>
    </x:row>
    <x:row r="1441">
      <x:c r="A1441" s="1"/>
      <x:c r="B1441" s="1"/>
      <x:c r="C1441" s="1"/>
      <x:c r="D1441" s="1"/>
      <x:c r="E1441" s="1"/>
      <x:c r="F1441" s="1"/>
    </x:row>
    <x:row r="1442">
      <x:c r="A1442" s="1"/>
      <x:c r="B1442" s="1"/>
      <x:c r="C1442" s="1"/>
      <x:c r="D1442" s="1"/>
      <x:c r="E1442" s="1"/>
      <x:c r="F1442" s="1"/>
    </x:row>
    <x:row r="1443">
      <x:c r="A1443" s="1"/>
      <x:c r="B1443" s="1"/>
      <x:c r="C1443" s="1"/>
      <x:c r="D1443" s="1"/>
      <x:c r="E1443" s="1"/>
      <x:c r="F1443" s="1"/>
    </x:row>
    <x:row r="1444">
      <x:c r="A1444" s="1"/>
      <x:c r="B1444" s="1"/>
      <x:c r="C1444" s="1"/>
      <x:c r="D1444" s="1"/>
      <x:c r="E1444" s="1"/>
      <x:c r="F1444" s="1"/>
    </x:row>
    <x:row r="1445">
      <x:c r="A1445" s="1"/>
      <x:c r="B1445" s="1"/>
      <x:c r="C1445" s="1"/>
      <x:c r="D1445" s="1"/>
      <x:c r="E1445" s="1"/>
      <x:c r="F1445" s="1"/>
    </x:row>
    <x:row r="1446">
      <x:c r="A1446" s="1"/>
      <x:c r="B1446" s="1"/>
      <x:c r="C1446" s="1"/>
      <x:c r="D1446" s="1"/>
      <x:c r="E1446" s="1"/>
      <x:c r="F1446" s="1"/>
    </x:row>
    <x:row r="1447">
      <x:c r="A1447" s="1"/>
      <x:c r="B1447" s="1"/>
      <x:c r="C1447" s="1"/>
      <x:c r="D1447" s="1"/>
      <x:c r="E1447" s="1"/>
      <x:c r="F1447" s="1"/>
    </x:row>
    <x:row r="1448">
      <x:c r="A1448" s="1"/>
      <x:c r="B1448" s="1"/>
      <x:c r="C1448" s="1"/>
      <x:c r="D1448" s="1"/>
      <x:c r="E1448" s="1"/>
      <x:c r="F1448" s="1"/>
    </x:row>
    <x:row r="1449">
      <x:c r="A1449" s="1"/>
      <x:c r="B1449" s="1"/>
      <x:c r="C1449" s="1"/>
      <x:c r="D1449" s="1"/>
      <x:c r="E1449" s="1"/>
      <x:c r="F1449" s="1"/>
    </x:row>
    <x:row r="1450">
      <x:c r="A1450" s="1"/>
      <x:c r="B1450" s="1"/>
      <x:c r="C1450" s="1"/>
      <x:c r="D1450" s="1"/>
      <x:c r="E1450" s="1"/>
      <x:c r="F1450" s="1"/>
    </x:row>
    <x:row r="1451">
      <x:c r="A1451" s="1"/>
      <x:c r="B1451" s="1"/>
      <x:c r="C1451" s="1"/>
      <x:c r="D1451" s="1"/>
      <x:c r="E1451" s="1"/>
      <x:c r="F1451" s="1"/>
    </x:row>
    <x:row r="1452">
      <x:c r="A1452" s="1"/>
      <x:c r="B1452" s="1"/>
      <x:c r="C1452" s="1"/>
      <x:c r="D1452" s="1"/>
      <x:c r="E1452" s="1"/>
      <x:c r="F1452" s="1"/>
    </x:row>
    <x:row r="1453">
      <x:c r="A1453" s="1"/>
      <x:c r="B1453" s="1"/>
      <x:c r="C1453" s="1"/>
      <x:c r="D1453" s="1"/>
      <x:c r="E1453" s="1"/>
      <x:c r="F1453" s="1"/>
    </x:row>
    <x:row r="1454">
      <x:c r="A1454" s="1"/>
      <x:c r="B1454" s="1"/>
      <x:c r="C1454" s="1"/>
      <x:c r="D1454" s="1"/>
      <x:c r="E1454" s="1"/>
      <x:c r="F1454" s="1"/>
    </x:row>
    <x:row r="1455">
      <x:c r="A1455" s="1"/>
      <x:c r="B1455" s="1"/>
      <x:c r="C1455" s="1"/>
      <x:c r="D1455" s="1"/>
      <x:c r="E1455" s="1"/>
      <x:c r="F1455" s="1"/>
    </x:row>
    <x:row r="1456">
      <x:c r="A1456" s="1"/>
      <x:c r="B1456" s="1"/>
      <x:c r="C1456" s="1"/>
      <x:c r="D1456" s="1"/>
      <x:c r="E1456" s="1"/>
      <x:c r="F1456" s="1"/>
    </x:row>
    <x:row r="1457">
      <x:c r="A1457" s="1"/>
      <x:c r="B1457" s="1"/>
      <x:c r="C1457" s="1"/>
      <x:c r="D1457" s="1"/>
      <x:c r="E1457" s="1"/>
      <x:c r="F1457" s="1"/>
    </x:row>
    <x:row r="1458">
      <x:c r="A1458" s="1"/>
      <x:c r="B1458" s="1"/>
      <x:c r="C1458" s="1"/>
      <x:c r="D1458" s="1"/>
      <x:c r="E1458" s="1"/>
      <x:c r="F1458" s="1"/>
    </x:row>
    <x:row r="1459">
      <x:c r="A1459" s="1"/>
      <x:c r="B1459" s="1"/>
      <x:c r="C1459" s="1"/>
      <x:c r="D1459" s="1"/>
      <x:c r="E1459" s="1"/>
      <x:c r="F1459" s="1"/>
    </x:row>
    <x:row r="1460">
      <x:c r="A1460" s="1"/>
      <x:c r="B1460" s="1"/>
      <x:c r="C1460" s="1"/>
      <x:c r="D1460" s="1"/>
      <x:c r="E1460" s="1"/>
      <x:c r="F1460" s="1"/>
    </x:row>
    <x:row r="1461">
      <x:c r="A1461" s="1"/>
      <x:c r="B1461" s="1"/>
      <x:c r="C1461" s="1"/>
      <x:c r="D1461" s="1"/>
      <x:c r="E1461" s="1"/>
      <x:c r="F1461" s="1"/>
    </x:row>
    <x:row r="1462">
      <x:c r="A1462" s="1"/>
      <x:c r="B1462" s="1"/>
      <x:c r="C1462" s="1"/>
      <x:c r="D1462" s="1"/>
      <x:c r="E1462" s="1"/>
      <x:c r="F1462" s="1"/>
    </x:row>
    <x:row r="1463">
      <x:c r="A1463" s="1"/>
      <x:c r="B1463" s="1"/>
      <x:c r="C1463" s="1"/>
      <x:c r="D1463" s="1"/>
      <x:c r="E1463" s="1"/>
      <x:c r="F1463" s="1"/>
    </x:row>
    <x:row r="1464">
      <x:c r="A1464" s="1"/>
      <x:c r="B1464" s="1"/>
      <x:c r="C1464" s="1"/>
      <x:c r="D1464" s="1"/>
      <x:c r="E1464" s="1"/>
      <x:c r="F1464" s="1"/>
    </x:row>
    <x:row r="1465">
      <x:c r="A1465" s="1"/>
      <x:c r="B1465" s="1"/>
      <x:c r="C1465" s="1"/>
      <x:c r="D1465" s="1"/>
      <x:c r="E1465" s="1"/>
      <x:c r="F1465" s="1"/>
    </x:row>
    <x:row r="1466">
      <x:c r="A1466" s="1"/>
      <x:c r="B1466" s="1"/>
      <x:c r="C1466" s="1"/>
      <x:c r="D1466" s="1"/>
      <x:c r="E1466" s="1"/>
      <x:c r="F1466" s="1"/>
    </x:row>
    <x:row r="1467">
      <x:c r="A1467" s="1"/>
      <x:c r="B1467" s="1"/>
      <x:c r="C1467" s="1"/>
      <x:c r="D1467" s="1"/>
      <x:c r="E1467" s="1"/>
      <x:c r="F1467" s="1"/>
    </x:row>
    <x:row r="1468">
      <x:c r="A1468" s="1"/>
      <x:c r="B1468" s="1"/>
      <x:c r="C1468" s="1"/>
      <x:c r="D1468" s="1"/>
      <x:c r="E1468" s="1"/>
      <x:c r="F1468" s="1"/>
    </x:row>
    <x:row r="1469">
      <x:c r="A1469" s="1"/>
      <x:c r="B1469" s="1"/>
      <x:c r="C1469" s="1"/>
      <x:c r="D1469" s="1"/>
      <x:c r="E1469" s="1"/>
      <x:c r="F1469" s="1"/>
    </x:row>
    <x:row r="1470">
      <x:c r="A1470" s="1"/>
      <x:c r="B1470" s="1"/>
      <x:c r="C1470" s="1"/>
      <x:c r="D1470" s="1"/>
      <x:c r="E1470" s="1"/>
      <x:c r="F1470" s="1"/>
    </x:row>
    <x:row r="1471">
      <x:c r="A1471" s="1"/>
      <x:c r="B1471" s="1"/>
      <x:c r="C1471" s="1"/>
      <x:c r="D1471" s="1"/>
      <x:c r="E1471" s="1"/>
      <x:c r="F1471" s="1"/>
    </x:row>
    <x:row r="1472">
      <x:c r="A1472" s="1"/>
      <x:c r="B1472" s="1"/>
      <x:c r="C1472" s="1"/>
      <x:c r="D1472" s="1"/>
      <x:c r="E1472" s="1"/>
      <x:c r="F1472" s="1"/>
    </x:row>
    <x:row r="1473">
      <x:c r="A1473" s="1"/>
      <x:c r="B1473" s="1"/>
      <x:c r="C1473" s="1"/>
      <x:c r="D1473" s="1"/>
      <x:c r="E1473" s="1"/>
      <x:c r="F1473" s="1"/>
    </x:row>
    <x:row r="1474">
      <x:c r="A1474" s="1"/>
      <x:c r="B1474" s="1"/>
      <x:c r="C1474" s="1"/>
      <x:c r="D1474" s="1"/>
      <x:c r="E1474" s="1"/>
      <x:c r="F1474" s="1"/>
    </x:row>
    <x:row r="1475">
      <x:c r="A1475" s="1"/>
      <x:c r="B1475" s="1"/>
      <x:c r="C1475" s="1"/>
      <x:c r="D1475" s="1"/>
      <x:c r="E1475" s="1"/>
      <x:c r="F1475" s="1"/>
    </x:row>
    <x:row r="1476">
      <x:c r="A1476" s="1"/>
      <x:c r="B1476" s="1"/>
      <x:c r="C1476" s="1"/>
      <x:c r="D1476" s="1"/>
      <x:c r="E1476" s="1"/>
      <x:c r="F1476" s="1"/>
    </x:row>
    <x:row r="1477">
      <x:c r="A1477" s="1"/>
      <x:c r="B1477" s="1"/>
      <x:c r="C1477" s="1"/>
      <x:c r="D1477" s="1"/>
      <x:c r="E1477" s="1"/>
      <x:c r="F1477" s="1"/>
    </x:row>
    <x:row r="1478">
      <x:c r="A1478" s="1"/>
      <x:c r="B1478" s="1"/>
      <x:c r="C1478" s="1"/>
      <x:c r="D1478" s="1"/>
      <x:c r="E1478" s="1"/>
      <x:c r="F1478" s="1"/>
    </x:row>
    <x:row r="1479">
      <x:c r="A1479" s="1"/>
      <x:c r="B1479" s="1"/>
      <x:c r="C1479" s="1"/>
      <x:c r="D1479" s="1"/>
      <x:c r="E1479" s="1"/>
      <x:c r="F1479" s="1"/>
    </x:row>
    <x:row r="1480">
      <x:c r="A1480" s="1"/>
      <x:c r="B1480" s="1"/>
      <x:c r="C1480" s="1"/>
      <x:c r="D1480" s="1"/>
      <x:c r="E1480" s="1"/>
      <x:c r="F1480" s="1"/>
    </x:row>
    <x:row r="1481">
      <x:c r="A1481" s="1"/>
      <x:c r="B1481" s="1"/>
      <x:c r="C1481" s="1"/>
      <x:c r="D1481" s="1"/>
      <x:c r="E1481" s="1"/>
      <x:c r="F1481" s="1"/>
    </x:row>
    <x:row r="1482">
      <x:c r="A1482" s="1"/>
      <x:c r="B1482" s="1"/>
      <x:c r="C1482" s="1"/>
      <x:c r="D1482" s="1"/>
      <x:c r="E1482" s="1"/>
      <x:c r="F1482" s="1"/>
    </x:row>
    <x:row r="1483">
      <x:c r="A1483" s="1"/>
      <x:c r="B1483" s="1"/>
      <x:c r="C1483" s="1"/>
      <x:c r="D1483" s="1"/>
      <x:c r="E1483" s="1"/>
      <x:c r="F1483" s="1"/>
    </x:row>
    <x:row r="1484">
      <x:c r="A1484" s="1"/>
      <x:c r="B1484" s="1"/>
      <x:c r="C1484" s="1"/>
      <x:c r="D1484" s="1"/>
      <x:c r="E1484" s="1"/>
      <x:c r="F1484" s="1"/>
    </x:row>
    <x:row r="1485">
      <x:c r="A1485" s="1"/>
      <x:c r="B1485" s="1"/>
      <x:c r="C1485" s="1"/>
      <x:c r="D1485" s="1"/>
      <x:c r="E1485" s="1"/>
      <x:c r="F1485" s="1"/>
    </x:row>
    <x:row r="1486">
      <x:c r="A1486" s="1"/>
      <x:c r="B1486" s="1"/>
      <x:c r="C1486" s="1"/>
      <x:c r="D1486" s="1"/>
      <x:c r="E1486" s="1"/>
      <x:c r="F1486" s="1"/>
    </x:row>
    <x:row r="1487">
      <x:c r="A1487" s="1"/>
      <x:c r="B1487" s="1"/>
      <x:c r="C1487" s="1"/>
      <x:c r="D1487" s="1"/>
      <x:c r="E1487" s="1"/>
      <x:c r="F1487" s="1"/>
    </x:row>
    <x:row r="1488">
      <x:c r="A1488" s="1"/>
      <x:c r="B1488" s="1"/>
      <x:c r="C1488" s="1"/>
      <x:c r="D1488" s="1"/>
      <x:c r="E1488" s="1"/>
      <x:c r="F1488" s="1"/>
    </x:row>
    <x:row r="1489">
      <x:c r="A1489" s="1"/>
      <x:c r="B1489" s="1"/>
      <x:c r="C1489" s="1"/>
      <x:c r="D1489" s="1"/>
      <x:c r="E1489" s="1"/>
      <x:c r="F1489" s="1"/>
    </x:row>
    <x:row r="1490">
      <x:c r="A1490" s="1"/>
      <x:c r="B1490" s="1"/>
      <x:c r="C1490" s="1"/>
      <x:c r="D1490" s="1"/>
      <x:c r="E1490" s="1"/>
      <x:c r="F1490" s="1"/>
    </x:row>
    <x:row r="1491">
      <x:c r="A1491" s="1"/>
      <x:c r="B1491" s="1"/>
      <x:c r="C1491" s="1"/>
      <x:c r="D1491" s="1"/>
      <x:c r="E1491" s="1"/>
      <x:c r="F1491" s="1"/>
    </x:row>
    <x:row r="1492">
      <x:c r="A1492" s="1"/>
      <x:c r="B1492" s="1"/>
      <x:c r="C1492" s="1"/>
      <x:c r="D1492" s="1"/>
      <x:c r="E1492" s="1"/>
      <x:c r="F1492" s="1"/>
    </x:row>
    <x:row r="1493">
      <x:c r="A1493" s="1"/>
      <x:c r="B1493" s="1"/>
      <x:c r="C1493" s="1"/>
      <x:c r="D1493" s="1"/>
      <x:c r="E1493" s="1"/>
      <x:c r="F1493" s="1"/>
    </x:row>
    <x:row r="1494">
      <x:c r="A1494" s="1"/>
      <x:c r="B1494" s="1"/>
      <x:c r="C1494" s="1"/>
      <x:c r="D1494" s="1"/>
      <x:c r="E1494" s="1"/>
      <x:c r="F1494" s="1"/>
    </x:row>
    <x:row r="1495">
      <x:c r="A1495" s="1"/>
      <x:c r="B1495" s="1"/>
      <x:c r="C1495" s="1"/>
      <x:c r="D1495" s="1"/>
      <x:c r="E1495" s="1"/>
      <x:c r="F1495" s="1"/>
    </x:row>
    <x:row r="1496">
      <x:c r="A1496" s="1"/>
      <x:c r="B1496" s="1"/>
      <x:c r="C1496" s="1"/>
      <x:c r="D1496" s="1"/>
      <x:c r="E1496" s="1"/>
      <x:c r="F1496" s="1"/>
    </x:row>
    <x:row r="1497">
      <x:c r="A1497" s="1"/>
      <x:c r="B1497" s="1"/>
      <x:c r="C1497" s="1"/>
      <x:c r="D1497" s="1"/>
      <x:c r="E1497" s="1"/>
      <x:c r="F1497" s="1"/>
    </x:row>
    <x:row r="1498">
      <x:c r="A1498" s="1"/>
      <x:c r="B1498" s="1"/>
      <x:c r="C1498" s="1"/>
      <x:c r="D1498" s="1"/>
      <x:c r="E1498" s="1"/>
      <x:c r="F1498" s="1"/>
    </x:row>
    <x:row r="1499">
      <x:c r="A1499" s="1"/>
      <x:c r="B1499" s="1"/>
      <x:c r="C1499" s="1"/>
      <x:c r="D1499" s="1"/>
      <x:c r="E1499" s="1"/>
      <x:c r="F1499" s="1"/>
    </x:row>
    <x:row r="1500">
      <x:c r="A1500" s="1"/>
      <x:c r="B1500" s="1"/>
      <x:c r="C1500" s="1"/>
      <x:c r="D1500" s="1"/>
      <x:c r="E1500" s="1"/>
      <x:c r="F1500" s="1"/>
    </x:row>
    <x:row r="1501">
      <x:c r="A1501" s="1"/>
      <x:c r="B1501" s="1"/>
      <x:c r="C1501" s="1"/>
      <x:c r="D1501" s="1"/>
      <x:c r="E1501" s="1"/>
      <x:c r="F1501" s="1"/>
    </x:row>
    <x:row r="1502">
      <x:c r="A1502" s="1"/>
      <x:c r="B1502" s="1"/>
      <x:c r="C1502" s="1"/>
      <x:c r="D1502" s="1"/>
      <x:c r="E1502" s="1"/>
      <x:c r="F1502" s="1"/>
    </x:row>
    <x:row r="1503">
      <x:c r="A1503" s="1"/>
      <x:c r="B1503" s="1"/>
      <x:c r="C1503" s="1"/>
      <x:c r="D1503" s="1"/>
      <x:c r="E1503" s="1"/>
      <x:c r="F1503" s="1"/>
    </x:row>
    <x:row r="1504">
      <x:c r="A1504" s="1"/>
      <x:c r="B1504" s="1"/>
      <x:c r="C1504" s="1"/>
      <x:c r="D1504" s="1"/>
      <x:c r="E1504" s="1"/>
      <x:c r="F1504" s="1"/>
    </x:row>
    <x:row r="1505">
      <x:c r="A1505" s="1"/>
      <x:c r="B1505" s="1"/>
      <x:c r="C1505" s="1"/>
      <x:c r="D1505" s="1"/>
      <x:c r="E1505" s="1"/>
      <x:c r="F1505" s="1"/>
    </x:row>
    <x:row r="1506">
      <x:c r="A1506" s="1"/>
      <x:c r="B1506" s="1"/>
      <x:c r="C1506" s="1"/>
      <x:c r="D1506" s="1"/>
      <x:c r="E1506" s="1"/>
      <x:c r="F1506" s="1"/>
    </x:row>
    <x:row r="1507">
      <x:c r="A1507" s="1"/>
      <x:c r="B1507" s="1"/>
      <x:c r="C1507" s="1"/>
      <x:c r="D1507" s="1"/>
      <x:c r="E1507" s="1"/>
      <x:c r="F1507" s="1"/>
    </x:row>
    <x:row r="1508">
      <x:c r="A1508" s="1"/>
      <x:c r="B1508" s="1"/>
      <x:c r="C1508" s="1"/>
      <x:c r="D1508" s="1"/>
      <x:c r="E1508" s="1"/>
      <x:c r="F1508" s="1"/>
    </x:row>
    <x:row r="1509">
      <x:c r="A1509" s="1"/>
      <x:c r="B1509" s="1"/>
      <x:c r="C1509" s="1"/>
      <x:c r="D1509" s="1"/>
      <x:c r="E1509" s="1"/>
      <x:c r="F1509" s="1"/>
    </x:row>
    <x:row r="1510">
      <x:c r="A1510" s="1"/>
      <x:c r="B1510" s="1"/>
      <x:c r="C1510" s="1"/>
      <x:c r="D1510" s="1"/>
      <x:c r="E1510" s="1"/>
      <x:c r="F1510" s="1"/>
    </x:row>
    <x:row r="1511">
      <x:c r="A1511" s="1"/>
      <x:c r="B1511" s="1"/>
      <x:c r="C1511" s="1"/>
      <x:c r="D1511" s="1"/>
      <x:c r="E1511" s="1"/>
      <x:c r="F1511" s="1"/>
    </x:row>
    <x:row r="1512">
      <x:c r="A1512" s="1"/>
      <x:c r="B1512" s="1"/>
      <x:c r="C1512" s="1"/>
      <x:c r="D1512" s="1"/>
      <x:c r="E1512" s="1"/>
      <x:c r="F1512" s="1"/>
    </x:row>
    <x:row r="1513">
      <x:c r="A1513" s="1"/>
      <x:c r="B1513" s="1"/>
      <x:c r="C1513" s="1"/>
      <x:c r="D1513" s="1"/>
      <x:c r="E1513" s="1"/>
      <x:c r="F1513" s="1"/>
    </x:row>
    <x:row r="1514">
      <x:c r="A1514" s="1"/>
      <x:c r="B1514" s="1"/>
      <x:c r="C1514" s="1"/>
      <x:c r="D1514" s="1"/>
      <x:c r="E1514" s="1"/>
      <x:c r="F1514" s="1"/>
    </x:row>
    <x:row r="1515">
      <x:c r="A1515" s="1"/>
      <x:c r="B1515" s="1"/>
      <x:c r="C1515" s="1"/>
      <x:c r="D1515" s="1"/>
      <x:c r="E1515" s="1"/>
      <x:c r="F1515" s="1"/>
    </x:row>
    <x:row r="1516">
      <x:c r="A1516" s="1"/>
      <x:c r="B1516" s="1"/>
      <x:c r="C1516" s="1"/>
      <x:c r="D1516" s="1"/>
      <x:c r="E1516" s="1"/>
      <x:c r="F1516" s="1"/>
    </x:row>
    <x:row r="1517">
      <x:c r="A1517" s="1"/>
      <x:c r="B1517" s="1"/>
      <x:c r="C1517" s="1"/>
      <x:c r="D1517" s="1"/>
      <x:c r="E1517" s="1"/>
      <x:c r="F1517" s="1"/>
    </x:row>
    <x:row r="1518">
      <x:c r="A1518" s="1"/>
      <x:c r="B1518" s="1"/>
      <x:c r="C1518" s="1"/>
      <x:c r="D1518" s="1"/>
      <x:c r="E1518" s="1"/>
      <x:c r="F1518" s="1"/>
    </x:row>
    <x:row r="1519">
      <x:c r="A1519" s="1"/>
      <x:c r="B1519" s="1"/>
      <x:c r="C1519" s="1"/>
      <x:c r="D1519" s="1"/>
      <x:c r="E1519" s="1"/>
      <x:c r="F1519" s="1"/>
    </x:row>
    <x:row r="1520">
      <x:c r="A1520" s="1"/>
      <x:c r="B1520" s="1"/>
      <x:c r="C1520" s="1"/>
      <x:c r="D1520" s="1"/>
      <x:c r="E1520" s="1"/>
      <x:c r="F1520" s="1"/>
    </x:row>
    <x:row r="1521">
      <x:c r="A1521" s="1"/>
      <x:c r="B1521" s="1"/>
      <x:c r="C1521" s="1"/>
      <x:c r="D1521" s="1"/>
      <x:c r="E1521" s="1"/>
      <x:c r="F1521" s="1"/>
    </x:row>
    <x:row r="1522">
      <x:c r="A1522" s="1"/>
      <x:c r="B1522" s="1"/>
      <x:c r="C1522" s="1"/>
      <x:c r="D1522" s="1"/>
      <x:c r="E1522" s="1"/>
      <x:c r="F1522" s="1"/>
    </x:row>
    <x:row r="1523">
      <x:c r="A1523" s="1"/>
      <x:c r="B1523" s="1"/>
      <x:c r="C1523" s="1"/>
      <x:c r="D1523" s="1"/>
      <x:c r="E1523" s="1"/>
      <x:c r="F1523" s="1"/>
    </x:row>
    <x:row r="1524">
      <x:c r="A1524" s="1"/>
      <x:c r="B1524" s="1"/>
      <x:c r="C1524" s="1"/>
      <x:c r="D1524" s="1"/>
      <x:c r="E1524" s="1"/>
      <x:c r="F1524" s="1"/>
    </x:row>
    <x:row r="1525">
      <x:c r="A1525" s="1"/>
      <x:c r="B1525" s="1"/>
      <x:c r="C1525" s="1"/>
      <x:c r="D1525" s="1"/>
      <x:c r="E1525" s="1"/>
      <x:c r="F1525" s="1"/>
    </x:row>
    <x:row r="1526">
      <x:c r="A1526" s="1"/>
      <x:c r="B1526" s="1"/>
      <x:c r="C1526" s="1"/>
      <x:c r="D1526" s="1"/>
      <x:c r="E1526" s="1"/>
      <x:c r="F1526" s="1"/>
    </x:row>
    <x:row r="1527">
      <x:c r="A1527" s="1"/>
      <x:c r="B1527" s="1"/>
      <x:c r="C1527" s="1"/>
      <x:c r="D1527" s="1"/>
      <x:c r="E1527" s="1"/>
      <x:c r="F1527" s="1"/>
    </x:row>
    <x:row r="1528">
      <x:c r="A1528" s="1"/>
      <x:c r="B1528" s="1"/>
      <x:c r="C1528" s="1"/>
      <x:c r="D1528" s="1"/>
      <x:c r="E1528" s="1"/>
      <x:c r="F1528" s="1"/>
    </x:row>
    <x:row r="1529">
      <x:c r="A1529" s="1"/>
      <x:c r="B1529" s="1"/>
      <x:c r="C1529" s="1"/>
      <x:c r="D1529" s="1"/>
      <x:c r="E1529" s="1"/>
      <x:c r="F1529" s="1"/>
    </x:row>
    <x:row r="1530">
      <x:c r="A1530" s="1"/>
      <x:c r="B1530" s="1"/>
      <x:c r="C1530" s="1"/>
      <x:c r="D1530" s="1"/>
      <x:c r="E1530" s="1"/>
      <x:c r="F1530" s="1"/>
    </x:row>
    <x:row r="1531">
      <x:c r="A1531" s="1"/>
      <x:c r="B1531" s="1"/>
      <x:c r="C1531" s="1"/>
      <x:c r="D1531" s="1"/>
      <x:c r="E1531" s="1"/>
      <x:c r="F1531" s="1"/>
    </x:row>
    <x:row r="1532">
      <x:c r="A1532" s="1"/>
      <x:c r="B1532" s="1"/>
      <x:c r="C1532" s="1"/>
      <x:c r="D1532" s="1"/>
      <x:c r="E1532" s="1"/>
      <x:c r="F1532" s="1"/>
    </x:row>
    <x:row r="1533">
      <x:c r="A1533" s="1"/>
      <x:c r="B1533" s="1"/>
      <x:c r="C1533" s="1"/>
      <x:c r="D1533" s="1"/>
      <x:c r="E1533" s="1"/>
      <x:c r="F1533" s="1"/>
    </x:row>
    <x:row r="1534">
      <x:c r="A1534" s="1"/>
      <x:c r="B1534" s="1"/>
      <x:c r="C1534" s="1"/>
      <x:c r="D1534" s="1"/>
      <x:c r="E1534" s="1"/>
      <x:c r="F1534" s="1"/>
    </x:row>
    <x:row r="1535">
      <x:c r="A1535" s="1"/>
      <x:c r="B1535" s="1"/>
      <x:c r="C1535" s="1"/>
      <x:c r="D1535" s="1"/>
      <x:c r="E1535" s="1"/>
      <x:c r="F1535" s="1"/>
    </x:row>
    <x:row r="1536">
      <x:c r="A1536" s="1"/>
      <x:c r="B1536" s="1"/>
      <x:c r="C1536" s="1"/>
      <x:c r="D1536" s="1"/>
      <x:c r="E1536" s="1"/>
      <x:c r="F1536" s="1"/>
    </x:row>
    <x:row r="1537">
      <x:c r="A1537" s="1"/>
      <x:c r="B1537" s="1"/>
      <x:c r="C1537" s="1"/>
      <x:c r="D1537" s="1"/>
      <x:c r="E1537" s="1"/>
      <x:c r="F1537" s="1"/>
    </x:row>
    <x:row r="1538">
      <x:c r="A1538" s="1"/>
      <x:c r="B1538" s="1"/>
      <x:c r="C1538" s="1"/>
      <x:c r="D1538" s="1"/>
      <x:c r="E1538" s="1"/>
      <x:c r="F1538" s="1"/>
    </x:row>
    <x:row r="1539">
      <x:c r="A1539" s="1"/>
      <x:c r="B1539" s="1"/>
      <x:c r="C1539" s="1"/>
      <x:c r="D1539" s="1"/>
      <x:c r="E1539" s="1"/>
      <x:c r="F1539" s="1"/>
    </x:row>
    <x:row r="1540">
      <x:c r="A1540" s="1"/>
      <x:c r="B1540" s="1"/>
      <x:c r="C1540" s="1"/>
      <x:c r="D1540" s="1"/>
      <x:c r="E1540" s="1"/>
      <x:c r="F1540" s="1"/>
    </x:row>
    <x:row r="1541">
      <x:c r="A1541" s="1"/>
      <x:c r="B1541" s="1"/>
      <x:c r="C1541" s="1"/>
      <x:c r="D1541" s="1"/>
      <x:c r="E1541" s="1"/>
      <x:c r="F1541" s="1"/>
    </x:row>
    <x:row r="1542">
      <x:c r="A1542" s="1"/>
      <x:c r="B1542" s="1"/>
      <x:c r="C1542" s="1"/>
      <x:c r="D1542" s="1"/>
      <x:c r="E1542" s="1"/>
      <x:c r="F1542" s="1"/>
    </x:row>
    <x:row r="1543">
      <x:c r="A1543" s="1"/>
      <x:c r="B1543" s="1"/>
      <x:c r="C1543" s="1"/>
      <x:c r="D1543" s="1"/>
      <x:c r="E1543" s="1"/>
      <x:c r="F1543" s="1"/>
    </x:row>
    <x:row r="1544">
      <x:c r="A1544" s="1"/>
      <x:c r="B1544" s="1"/>
      <x:c r="C1544" s="1"/>
      <x:c r="D1544" s="1"/>
      <x:c r="E1544" s="1"/>
      <x:c r="F1544" s="1"/>
    </x:row>
    <x:row r="1545">
      <x:c r="A1545" s="1"/>
      <x:c r="B1545" s="1"/>
      <x:c r="C1545" s="1"/>
      <x:c r="D1545" s="1"/>
      <x:c r="E1545" s="1"/>
      <x:c r="F1545" s="1"/>
    </x:row>
    <x:row r="1546">
      <x:c r="A1546" s="1"/>
      <x:c r="B1546" s="1"/>
      <x:c r="C1546" s="1"/>
      <x:c r="D1546" s="1"/>
      <x:c r="E1546" s="1"/>
      <x:c r="F1546" s="1"/>
    </x:row>
    <x:row r="1547">
      <x:c r="A1547" s="1"/>
      <x:c r="B1547" s="1"/>
      <x:c r="C1547" s="1"/>
      <x:c r="D1547" s="1"/>
      <x:c r="E1547" s="1"/>
      <x:c r="F1547" s="1"/>
    </x:row>
    <x:row r="1548">
      <x:c r="A1548" s="1"/>
      <x:c r="B1548" s="1"/>
      <x:c r="C1548" s="1"/>
      <x:c r="D1548" s="1"/>
      <x:c r="E1548" s="1"/>
      <x:c r="F1548" s="1"/>
    </x:row>
    <x:row r="1549">
      <x:c r="A1549" s="1"/>
      <x:c r="B1549" s="1"/>
      <x:c r="C1549" s="1"/>
      <x:c r="D1549" s="1"/>
      <x:c r="E1549" s="1"/>
      <x:c r="F1549" s="1"/>
    </x:row>
    <x:row r="1550">
      <x:c r="A1550" s="1"/>
      <x:c r="B1550" s="1"/>
      <x:c r="C1550" s="1"/>
      <x:c r="D1550" s="1"/>
      <x:c r="E1550" s="1"/>
      <x:c r="F1550" s="1"/>
    </x:row>
    <x:row r="1551">
      <x:c r="A1551" s="1"/>
      <x:c r="B1551" s="1"/>
      <x:c r="C1551" s="1"/>
      <x:c r="D1551" s="1"/>
      <x:c r="E1551" s="1"/>
      <x:c r="F1551" s="1"/>
    </x:row>
    <x:row r="1552">
      <x:c r="A1552" s="1"/>
      <x:c r="B1552" s="1"/>
      <x:c r="C1552" s="1"/>
      <x:c r="D1552" s="1"/>
      <x:c r="E1552" s="1"/>
      <x:c r="F1552" s="1"/>
    </x:row>
    <x:row r="1553">
      <x:c r="A1553" s="1"/>
      <x:c r="B1553" s="1"/>
      <x:c r="C1553" s="1"/>
      <x:c r="D1553" s="1"/>
      <x:c r="E1553" s="1"/>
      <x:c r="F1553" s="1"/>
    </x:row>
    <x:row r="1554">
      <x:c r="A1554" s="1"/>
      <x:c r="B1554" s="1"/>
      <x:c r="C1554" s="1"/>
      <x:c r="D1554" s="1"/>
      <x:c r="E1554" s="1"/>
      <x:c r="F1554" s="1"/>
    </x:row>
    <x:row r="1555">
      <x:c r="A1555" s="1"/>
      <x:c r="B1555" s="1"/>
      <x:c r="C1555" s="1"/>
      <x:c r="D1555" s="1"/>
      <x:c r="E1555" s="1"/>
      <x:c r="F1555" s="1"/>
    </x:row>
    <x:row r="1556">
      <x:c r="A1556" s="1"/>
      <x:c r="B1556" s="1"/>
      <x:c r="C1556" s="1"/>
      <x:c r="D1556" s="1"/>
      <x:c r="E1556" s="1"/>
      <x:c r="F1556" s="1"/>
    </x:row>
    <x:row r="1557">
      <x:c r="A1557" s="1"/>
      <x:c r="B1557" s="1"/>
      <x:c r="C1557" s="1"/>
      <x:c r="D1557" s="1"/>
      <x:c r="E1557" s="1"/>
      <x:c r="F1557" s="1"/>
    </x:row>
    <x:row r="1558">
      <x:c r="A1558" s="1"/>
      <x:c r="B1558" s="1"/>
      <x:c r="C1558" s="1"/>
      <x:c r="D1558" s="1"/>
      <x:c r="E1558" s="1"/>
      <x:c r="F1558" s="1"/>
    </x:row>
    <x:row r="1559">
      <x:c r="A1559" s="1"/>
      <x:c r="B1559" s="1"/>
      <x:c r="C1559" s="1"/>
      <x:c r="D1559" s="1"/>
      <x:c r="E1559" s="1"/>
      <x:c r="F1559" s="1"/>
    </x:row>
    <x:row r="1560">
      <x:c r="A1560" s="1"/>
      <x:c r="B1560" s="1"/>
      <x:c r="C1560" s="1"/>
      <x:c r="D1560" s="1"/>
      <x:c r="E1560" s="1"/>
      <x:c r="F1560" s="1"/>
    </x:row>
    <x:row r="1561">
      <x:c r="A1561" s="1"/>
      <x:c r="B1561" s="1"/>
      <x:c r="C1561" s="1"/>
      <x:c r="D1561" s="1"/>
      <x:c r="E1561" s="1"/>
      <x:c r="F1561" s="1"/>
    </x:row>
    <x:row r="1562">
      <x:c r="A1562" s="1"/>
      <x:c r="B1562" s="1"/>
      <x:c r="C1562" s="1"/>
      <x:c r="D1562" s="1"/>
      <x:c r="E1562" s="1"/>
      <x:c r="F1562" s="1"/>
    </x:row>
    <x:row r="1563">
      <x:c r="A1563" s="1"/>
      <x:c r="B1563" s="1"/>
      <x:c r="C1563" s="1"/>
      <x:c r="D1563" s="1"/>
      <x:c r="E1563" s="1"/>
      <x:c r="F1563" s="1"/>
    </x:row>
    <x:row r="1564">
      <x:c r="A1564" s="1"/>
      <x:c r="B1564" s="1"/>
      <x:c r="C1564" s="1"/>
      <x:c r="D1564" s="1"/>
      <x:c r="E1564" s="1"/>
      <x:c r="F1564" s="1"/>
    </x:row>
    <x:row r="1565">
      <x:c r="A1565" s="1"/>
      <x:c r="B1565" s="1"/>
      <x:c r="C1565" s="1"/>
      <x:c r="D1565" s="1"/>
      <x:c r="E1565" s="1"/>
      <x:c r="F1565" s="1"/>
    </x:row>
    <x:row r="1566">
      <x:c r="A1566" s="1"/>
      <x:c r="B1566" s="1"/>
      <x:c r="C1566" s="1"/>
      <x:c r="D1566" s="1"/>
      <x:c r="E1566" s="1"/>
      <x:c r="F1566" s="1"/>
    </x:row>
    <x:row r="1567">
      <x:c r="A1567" s="1"/>
      <x:c r="B1567" s="1"/>
      <x:c r="C1567" s="1"/>
      <x:c r="D1567" s="1"/>
      <x:c r="E1567" s="1"/>
      <x:c r="F1567" s="1"/>
    </x:row>
    <x:row r="1568">
      <x:c r="A1568" s="1"/>
      <x:c r="B1568" s="1"/>
      <x:c r="C1568" s="1"/>
      <x:c r="D1568" s="1"/>
      <x:c r="E1568" s="1"/>
      <x:c r="F1568" s="1"/>
    </x:row>
    <x:row r="1569">
      <x:c r="A1569" s="1"/>
      <x:c r="B1569" s="1"/>
      <x:c r="C1569" s="1"/>
      <x:c r="D1569" s="1"/>
      <x:c r="E1569" s="1"/>
      <x:c r="F1569" s="1"/>
    </x:row>
    <x:row r="1570">
      <x:c r="A1570" s="1"/>
      <x:c r="B1570" s="1"/>
      <x:c r="C1570" s="1"/>
      <x:c r="D1570" s="1"/>
      <x:c r="E1570" s="1"/>
      <x:c r="F1570" s="1"/>
    </x:row>
    <x:row r="1571">
      <x:c r="A1571" s="1"/>
      <x:c r="B1571" s="1"/>
      <x:c r="C1571" s="1"/>
      <x:c r="D1571" s="1"/>
      <x:c r="E1571" s="1"/>
      <x:c r="F1571" s="1"/>
    </x:row>
    <x:row r="1572">
      <x:c r="A1572" s="1"/>
      <x:c r="B1572" s="1"/>
      <x:c r="C1572" s="1"/>
      <x:c r="D1572" s="1"/>
      <x:c r="E1572" s="1"/>
      <x:c r="F1572" s="1"/>
    </x:row>
    <x:row r="1573">
      <x:c r="A1573" s="1"/>
      <x:c r="B1573" s="1"/>
      <x:c r="C1573" s="1"/>
      <x:c r="D1573" s="1"/>
      <x:c r="E1573" s="1"/>
      <x:c r="F1573" s="1"/>
    </x:row>
    <x:row r="1574">
      <x:c r="A1574" s="1"/>
      <x:c r="B1574" s="1"/>
      <x:c r="C1574" s="1"/>
      <x:c r="D1574" s="1"/>
      <x:c r="E1574" s="1"/>
      <x:c r="F1574" s="1"/>
    </x:row>
    <x:row r="1575">
      <x:c r="A1575" s="1"/>
      <x:c r="B1575" s="1"/>
      <x:c r="C1575" s="1"/>
      <x:c r="D1575" s="1"/>
      <x:c r="E1575" s="1"/>
      <x:c r="F1575" s="1"/>
    </x:row>
    <x:row r="1576">
      <x:c r="A1576" s="1"/>
      <x:c r="B1576" s="1"/>
      <x:c r="C1576" s="1"/>
      <x:c r="D1576" s="1"/>
      <x:c r="E1576" s="1"/>
      <x:c r="F1576" s="1"/>
    </x:row>
    <x:row r="1577">
      <x:c r="A1577" s="1"/>
      <x:c r="B1577" s="1"/>
      <x:c r="C1577" s="1"/>
      <x:c r="D1577" s="1"/>
      <x:c r="E1577" s="1"/>
      <x:c r="F1577" s="1"/>
    </x:row>
    <x:row r="1578">
      <x:c r="A1578" s="1"/>
      <x:c r="B1578" s="1"/>
      <x:c r="C1578" s="1"/>
      <x:c r="D1578" s="1"/>
      <x:c r="E1578" s="1"/>
      <x:c r="F1578" s="1"/>
    </x:row>
    <x:row r="1579">
      <x:c r="A1579" s="1"/>
      <x:c r="B1579" s="1"/>
      <x:c r="C1579" s="1"/>
      <x:c r="D1579" s="1"/>
      <x:c r="E1579" s="1"/>
      <x:c r="F1579" s="1"/>
    </x:row>
    <x:row r="1580">
      <x:c r="A1580" s="1"/>
      <x:c r="B1580" s="1"/>
      <x:c r="C1580" s="1"/>
      <x:c r="D1580" s="1"/>
      <x:c r="E1580" s="1"/>
      <x:c r="F1580" s="1"/>
    </x:row>
    <x:row r="1581">
      <x:c r="A1581" s="1"/>
      <x:c r="B1581" s="1"/>
      <x:c r="C1581" s="1"/>
      <x:c r="D1581" s="1"/>
      <x:c r="E1581" s="1"/>
      <x:c r="F1581" s="1"/>
    </x:row>
    <x:row r="1582">
      <x:c r="A1582" s="1"/>
      <x:c r="B1582" s="1"/>
      <x:c r="C1582" s="1"/>
      <x:c r="D1582" s="1"/>
      <x:c r="E1582" s="1"/>
      <x:c r="F1582" s="1"/>
    </x:row>
    <x:row r="1583">
      <x:c r="A1583" s="1"/>
      <x:c r="B1583" s="1"/>
      <x:c r="C1583" s="1"/>
      <x:c r="D1583" s="1"/>
      <x:c r="E1583" s="1"/>
      <x:c r="F1583" s="1"/>
    </x:row>
    <x:row r="1584">
      <x:c r="A1584" s="1"/>
      <x:c r="B1584" s="1"/>
      <x:c r="C1584" s="1"/>
      <x:c r="D1584" s="1"/>
      <x:c r="E1584" s="1"/>
      <x:c r="F1584" s="1"/>
    </x:row>
    <x:row r="1585">
      <x:c r="A1585" s="1"/>
      <x:c r="B1585" s="1"/>
      <x:c r="C1585" s="1"/>
      <x:c r="D1585" s="1"/>
      <x:c r="E1585" s="1"/>
      <x:c r="F1585" s="1"/>
    </x:row>
    <x:row r="1586">
      <x:c r="A1586" s="1"/>
      <x:c r="B1586" s="1"/>
      <x:c r="C1586" s="1"/>
      <x:c r="D1586" s="1"/>
      <x:c r="E1586" s="1"/>
      <x:c r="F1586" s="1"/>
    </x:row>
    <x:row r="1587">
      <x:c r="A1587" s="1"/>
      <x:c r="B1587" s="1"/>
      <x:c r="C1587" s="1"/>
      <x:c r="D1587" s="1"/>
      <x:c r="E1587" s="1"/>
      <x:c r="F1587" s="1"/>
    </x:row>
    <x:row r="1588">
      <x:c r="A1588" s="1"/>
      <x:c r="B1588" s="1"/>
      <x:c r="C1588" s="1"/>
      <x:c r="D1588" s="1"/>
      <x:c r="E1588" s="1"/>
      <x:c r="F1588" s="1"/>
    </x:row>
    <x:row r="1589">
      <x:c r="A1589" s="1"/>
      <x:c r="B1589" s="1"/>
      <x:c r="C1589" s="1"/>
      <x:c r="D1589" s="1"/>
      <x:c r="E1589" s="1"/>
      <x:c r="F1589" s="1"/>
    </x:row>
    <x:row r="1590">
      <x:c r="A1590" s="1"/>
      <x:c r="B1590" s="1"/>
      <x:c r="C1590" s="1"/>
      <x:c r="D1590" s="1"/>
      <x:c r="E1590" s="1"/>
      <x:c r="F1590" s="1"/>
    </x:row>
    <x:row r="1591">
      <x:c r="A1591" s="1"/>
      <x:c r="B1591" s="1"/>
      <x:c r="C1591" s="1"/>
      <x:c r="D1591" s="1"/>
      <x:c r="E1591" s="1"/>
      <x:c r="F1591" s="1"/>
    </x:row>
    <x:row r="1592">
      <x:c r="A1592" s="1"/>
      <x:c r="B1592" s="1"/>
      <x:c r="C1592" s="1"/>
      <x:c r="D1592" s="1"/>
      <x:c r="E1592" s="1"/>
      <x:c r="F1592" s="1"/>
    </x:row>
    <x:row r="1593">
      <x:c r="A1593" s="1"/>
      <x:c r="B1593" s="1"/>
      <x:c r="C1593" s="1"/>
      <x:c r="D1593" s="1"/>
      <x:c r="E1593" s="1"/>
      <x:c r="F1593" s="1"/>
    </x:row>
    <x:row r="1594">
      <x:c r="A1594" s="1"/>
      <x:c r="B1594" s="1"/>
      <x:c r="C1594" s="1"/>
      <x:c r="D1594" s="1"/>
      <x:c r="E1594" s="1"/>
      <x:c r="F1594" s="1"/>
    </x:row>
    <x:row r="1595">
      <x:c r="A1595" s="1"/>
      <x:c r="B1595" s="1"/>
      <x:c r="C1595" s="1"/>
      <x:c r="D1595" s="1"/>
      <x:c r="E1595" s="1"/>
      <x:c r="F1595" s="1"/>
    </x:row>
    <x:row r="1596">
      <x:c r="A1596" s="1"/>
      <x:c r="B1596" s="1"/>
      <x:c r="C1596" s="1"/>
      <x:c r="D1596" s="1"/>
      <x:c r="E1596" s="1"/>
      <x:c r="F1596" s="1"/>
    </x:row>
    <x:row r="1597">
      <x:c r="A1597" s="1"/>
      <x:c r="B1597" s="1"/>
      <x:c r="C1597" s="1"/>
      <x:c r="D1597" s="1"/>
      <x:c r="E1597" s="1"/>
      <x:c r="F1597" s="1"/>
    </x:row>
    <x:row r="1598">
      <x:c r="A1598" s="1"/>
      <x:c r="B1598" s="1"/>
      <x:c r="C1598" s="1"/>
      <x:c r="D1598" s="1"/>
      <x:c r="E1598" s="1"/>
      <x:c r="F1598" s="1"/>
    </x:row>
    <x:row r="1599">
      <x:c r="A1599" s="1"/>
      <x:c r="B1599" s="1"/>
      <x:c r="C1599" s="1"/>
      <x:c r="D1599" s="1"/>
      <x:c r="E1599" s="1"/>
      <x:c r="F1599" s="1"/>
    </x:row>
    <x:row r="1600">
      <x:c r="A1600" s="1"/>
      <x:c r="B1600" s="1"/>
      <x:c r="C1600" s="1"/>
      <x:c r="D1600" s="1"/>
      <x:c r="E1600" s="1"/>
      <x:c r="F1600" s="1"/>
    </x:row>
    <x:row r="1601">
      <x:c r="A1601" s="1"/>
      <x:c r="B1601" s="1"/>
      <x:c r="C1601" s="1"/>
      <x:c r="D1601" s="1"/>
      <x:c r="E1601" s="1"/>
      <x:c r="F1601" s="1"/>
    </x:row>
    <x:row r="1602">
      <x:c r="A1602" s="1"/>
      <x:c r="B1602" s="1"/>
      <x:c r="C1602" s="1"/>
      <x:c r="D1602" s="1"/>
      <x:c r="E1602" s="1"/>
      <x:c r="F1602" s="1"/>
    </x:row>
    <x:row r="1603">
      <x:c r="A1603" s="1"/>
      <x:c r="B1603" s="1"/>
      <x:c r="C1603" s="1"/>
      <x:c r="D1603" s="1"/>
      <x:c r="E1603" s="1"/>
      <x:c r="F1603" s="1"/>
    </x:row>
    <x:row r="1604">
      <x:c r="A1604" s="1"/>
      <x:c r="B1604" s="1"/>
      <x:c r="C1604" s="1"/>
      <x:c r="D1604" s="1"/>
      <x:c r="E1604" s="1"/>
      <x:c r="F1604" s="1"/>
    </x:row>
    <x:row r="1605">
      <x:c r="A1605" s="1"/>
      <x:c r="B1605" s="1"/>
      <x:c r="C1605" s="1"/>
      <x:c r="D1605" s="1"/>
      <x:c r="E1605" s="1"/>
      <x:c r="F1605" s="1"/>
    </x:row>
    <x:row r="1606">
      <x:c r="A1606" s="1"/>
      <x:c r="B1606" s="1"/>
      <x:c r="C1606" s="1"/>
      <x:c r="D1606" s="1"/>
      <x:c r="E1606" s="1"/>
      <x:c r="F1606" s="1"/>
    </x:row>
    <x:row r="1607">
      <x:c r="A1607" s="1"/>
      <x:c r="B1607" s="1"/>
      <x:c r="C1607" s="1"/>
      <x:c r="D1607" s="1"/>
      <x:c r="E1607" s="1"/>
      <x:c r="F1607" s="1"/>
    </x:row>
    <x:row r="1608">
      <x:c r="A1608" s="1"/>
      <x:c r="B1608" s="1"/>
      <x:c r="C1608" s="1"/>
      <x:c r="D1608" s="1"/>
      <x:c r="E1608" s="1"/>
      <x:c r="F1608" s="1"/>
    </x:row>
    <x:row r="1609">
      <x:c r="A1609" s="1"/>
      <x:c r="B1609" s="1"/>
      <x:c r="C1609" s="1"/>
      <x:c r="D1609" s="1"/>
      <x:c r="E1609" s="1"/>
      <x:c r="F1609" s="1"/>
    </x:row>
    <x:row r="1610">
      <x:c r="A1610" s="1"/>
      <x:c r="B1610" s="1"/>
      <x:c r="C1610" s="1"/>
      <x:c r="D1610" s="1"/>
      <x:c r="E1610" s="1"/>
      <x:c r="F1610" s="1"/>
    </x:row>
    <x:row r="1611">
      <x:c r="A1611" s="1"/>
      <x:c r="B1611" s="1"/>
      <x:c r="C1611" s="1"/>
      <x:c r="D1611" s="1"/>
      <x:c r="E1611" s="1"/>
      <x:c r="F1611" s="1"/>
    </x:row>
    <x:row r="1612">
      <x:c r="A1612" s="1"/>
      <x:c r="B1612" s="1"/>
      <x:c r="C1612" s="1"/>
      <x:c r="D1612" s="1"/>
      <x:c r="E1612" s="1"/>
      <x:c r="F1612" s="1"/>
    </x:row>
    <x:row r="1613">
      <x:c r="A1613" s="1"/>
      <x:c r="B1613" s="1"/>
      <x:c r="C1613" s="1"/>
      <x:c r="D1613" s="1"/>
      <x:c r="E1613" s="1"/>
      <x:c r="F1613" s="1"/>
    </x:row>
    <x:row r="1614">
      <x:c r="A1614" s="1"/>
      <x:c r="B1614" s="1"/>
      <x:c r="C1614" s="1"/>
      <x:c r="D1614" s="1"/>
      <x:c r="E1614" s="1"/>
      <x:c r="F1614" s="1"/>
    </x:row>
    <x:row r="1615">
      <x:c r="A1615" s="1"/>
      <x:c r="B1615" s="1"/>
      <x:c r="C1615" s="1"/>
      <x:c r="D1615" s="1"/>
      <x:c r="E1615" s="1"/>
      <x:c r="F1615" s="1"/>
    </x:row>
    <x:row r="1616">
      <x:c r="A1616" s="1"/>
      <x:c r="B1616" s="1"/>
      <x:c r="C1616" s="1"/>
      <x:c r="D1616" s="1"/>
      <x:c r="E1616" s="1"/>
      <x:c r="F1616" s="1"/>
    </x:row>
    <x:row r="1617">
      <x:c r="A1617" s="1"/>
      <x:c r="B1617" s="1"/>
      <x:c r="C1617" s="1"/>
      <x:c r="D1617" s="1"/>
      <x:c r="E1617" s="1"/>
      <x:c r="F1617" s="1"/>
    </x:row>
    <x:row r="1618">
      <x:c r="A1618" s="1"/>
      <x:c r="B1618" s="1"/>
      <x:c r="C1618" s="1"/>
      <x:c r="D1618" s="1"/>
      <x:c r="E1618" s="1"/>
      <x:c r="F1618" s="1"/>
    </x:row>
    <x:row r="1619">
      <x:c r="A1619" s="1"/>
      <x:c r="B1619" s="1"/>
      <x:c r="C1619" s="1"/>
      <x:c r="D1619" s="1"/>
      <x:c r="E1619" s="1"/>
      <x:c r="F1619" s="1"/>
    </x:row>
    <x:row r="1620">
      <x:c r="A1620" s="1"/>
      <x:c r="B1620" s="1"/>
      <x:c r="C1620" s="1"/>
      <x:c r="D1620" s="1"/>
      <x:c r="E1620" s="1"/>
      <x:c r="F1620" s="1"/>
    </x:row>
    <x:row r="1621">
      <x:c r="A1621" s="1"/>
      <x:c r="B1621" s="1"/>
      <x:c r="C1621" s="1"/>
      <x:c r="D1621" s="1"/>
      <x:c r="E1621" s="1"/>
      <x:c r="F1621" s="1"/>
    </x:row>
    <x:row r="1622">
      <x:c r="A1622" s="1"/>
      <x:c r="B1622" s="1"/>
      <x:c r="C1622" s="1"/>
      <x:c r="D1622" s="1"/>
      <x:c r="E1622" s="1"/>
      <x:c r="F1622" s="1"/>
    </x:row>
    <x:row r="1623">
      <x:c r="A1623" s="1"/>
      <x:c r="B1623" s="1"/>
      <x:c r="C1623" s="1"/>
      <x:c r="D1623" s="1"/>
      <x:c r="E1623" s="1"/>
      <x:c r="F1623" s="1"/>
    </x:row>
    <x:row r="1624">
      <x:c r="A1624" s="1"/>
      <x:c r="B1624" s="1"/>
      <x:c r="C1624" s="1"/>
      <x:c r="D1624" s="1"/>
      <x:c r="E1624" s="1"/>
      <x:c r="F1624" s="1"/>
    </x:row>
    <x:row r="1625">
      <x:c r="A1625" s="1"/>
      <x:c r="B1625" s="1"/>
      <x:c r="C1625" s="1"/>
      <x:c r="D1625" s="1"/>
      <x:c r="E1625" s="1"/>
      <x:c r="F1625" s="1"/>
    </x:row>
    <x:row r="1626">
      <x:c r="A1626" s="1"/>
      <x:c r="B1626" s="1"/>
      <x:c r="C1626" s="1"/>
      <x:c r="D1626" s="1"/>
      <x:c r="E1626" s="1"/>
      <x:c r="F1626" s="1"/>
    </x:row>
    <x:row r="1627">
      <x:c r="A1627" s="1"/>
      <x:c r="B1627" s="1"/>
      <x:c r="C1627" s="1"/>
      <x:c r="D1627" s="1"/>
      <x:c r="E1627" s="1"/>
      <x:c r="F1627" s="1"/>
    </x:row>
    <x:row r="1628">
      <x:c r="A1628" s="1"/>
      <x:c r="B1628" s="1"/>
      <x:c r="C1628" s="1"/>
      <x:c r="D1628" s="1"/>
      <x:c r="E1628" s="1"/>
      <x:c r="F1628" s="1"/>
    </x:row>
    <x:row r="1629">
      <x:c r="A1629" s="1"/>
      <x:c r="B1629" s="1"/>
      <x:c r="C1629" s="1"/>
      <x:c r="D1629" s="1"/>
      <x:c r="E1629" s="1"/>
      <x:c r="F1629" s="1"/>
    </x:row>
    <x:row r="1630">
      <x:c r="A1630" s="1"/>
      <x:c r="B1630" s="1"/>
      <x:c r="C1630" s="1"/>
      <x:c r="D1630" s="1"/>
      <x:c r="E1630" s="1"/>
      <x:c r="F1630" s="1"/>
    </x:row>
    <x:row r="1631">
      <x:c r="A1631" s="1"/>
      <x:c r="B1631" s="1"/>
      <x:c r="C1631" s="1"/>
      <x:c r="D1631" s="1"/>
      <x:c r="E1631" s="1"/>
      <x:c r="F1631" s="1"/>
    </x:row>
    <x:row r="1632">
      <x:c r="A1632" s="1"/>
      <x:c r="B1632" s="1"/>
      <x:c r="C1632" s="1"/>
      <x:c r="D1632" s="1"/>
      <x:c r="E1632" s="1"/>
      <x:c r="F1632" s="1"/>
    </x:row>
    <x:row r="1633">
      <x:c r="A1633" s="1"/>
      <x:c r="B1633" s="1"/>
      <x:c r="C1633" s="1"/>
      <x:c r="D1633" s="1"/>
      <x:c r="E1633" s="1"/>
      <x:c r="F1633" s="1"/>
    </x:row>
    <x:row r="1634">
      <x:c r="A1634" s="1"/>
      <x:c r="B1634" s="1"/>
      <x:c r="C1634" s="1"/>
      <x:c r="D1634" s="1"/>
      <x:c r="E1634" s="1"/>
      <x:c r="F1634" s="1"/>
    </x:row>
    <x:row r="1635">
      <x:c r="A1635" s="1"/>
      <x:c r="B1635" s="1"/>
      <x:c r="C1635" s="1"/>
      <x:c r="D1635" s="1"/>
      <x:c r="E1635" s="1"/>
      <x:c r="F1635" s="1"/>
    </x:row>
    <x:row r="1636">
      <x:c r="A1636" s="1"/>
      <x:c r="B1636" s="1"/>
      <x:c r="C1636" s="1"/>
      <x:c r="D1636" s="1"/>
      <x:c r="E1636" s="1"/>
      <x:c r="F1636" s="1"/>
    </x:row>
    <x:row r="1637">
      <x:c r="A1637" s="1"/>
      <x:c r="B1637" s="1"/>
      <x:c r="C1637" s="1"/>
      <x:c r="D1637" s="1"/>
      <x:c r="E1637" s="1"/>
      <x:c r="F1637" s="1"/>
    </x:row>
    <x:row r="1638">
      <x:c r="A1638" s="1"/>
      <x:c r="B1638" s="1"/>
      <x:c r="C1638" s="1"/>
      <x:c r="D1638" s="1"/>
      <x:c r="E1638" s="1"/>
      <x:c r="F1638" s="1"/>
    </x:row>
    <x:row r="1639">
      <x:c r="A1639" s="1"/>
      <x:c r="B1639" s="1"/>
      <x:c r="C1639" s="1"/>
      <x:c r="D1639" s="1"/>
      <x:c r="E1639" s="1"/>
      <x:c r="F1639" s="1"/>
    </x:row>
    <x:row r="1640">
      <x:c r="A1640" s="1"/>
      <x:c r="B1640" s="1"/>
      <x:c r="C1640" s="1"/>
      <x:c r="D1640" s="1"/>
      <x:c r="E1640" s="1"/>
      <x:c r="F1640" s="1"/>
    </x:row>
    <x:row r="1641">
      <x:c r="A1641" s="1"/>
      <x:c r="B1641" s="1"/>
      <x:c r="C1641" s="1"/>
      <x:c r="D1641" s="1"/>
      <x:c r="E1641" s="1"/>
      <x:c r="F1641" s="1"/>
    </x:row>
    <x:row r="1642">
      <x:c r="A1642" s="1"/>
      <x:c r="B1642" s="1"/>
      <x:c r="C1642" s="1"/>
      <x:c r="D1642" s="1"/>
      <x:c r="E1642" s="1"/>
      <x:c r="F1642" s="1"/>
    </x:row>
    <x:row r="1643">
      <x:c r="A1643" s="1"/>
      <x:c r="B1643" s="1"/>
      <x:c r="C1643" s="1"/>
      <x:c r="D1643" s="1"/>
      <x:c r="E1643" s="1"/>
      <x:c r="F1643" s="1"/>
    </x:row>
    <x:row r="1644">
      <x:c r="A1644" s="1"/>
      <x:c r="B1644" s="1"/>
      <x:c r="C1644" s="1"/>
      <x:c r="D1644" s="1"/>
      <x:c r="E1644" s="1"/>
      <x:c r="F1644" s="1"/>
    </x:row>
    <x:row r="1645">
      <x:c r="A1645" s="1"/>
      <x:c r="B1645" s="1"/>
      <x:c r="C1645" s="1"/>
      <x:c r="D1645" s="1"/>
      <x:c r="E1645" s="1"/>
      <x:c r="F1645" s="1"/>
    </x:row>
    <x:row r="1646">
      <x:c r="A1646" s="1"/>
      <x:c r="B1646" s="1"/>
      <x:c r="C1646" s="1"/>
      <x:c r="D1646" s="1"/>
      <x:c r="E1646" s="1"/>
      <x:c r="F1646" s="1"/>
    </x:row>
    <x:row r="1647">
      <x:c r="A1647" s="1"/>
      <x:c r="B1647" s="1"/>
      <x:c r="C1647" s="1"/>
      <x:c r="D1647" s="1"/>
      <x:c r="E1647" s="1"/>
      <x:c r="F1647" s="1"/>
    </x:row>
    <x:row r="1648">
      <x:c r="A1648" s="1"/>
      <x:c r="B1648" s="1"/>
      <x:c r="C1648" s="1"/>
      <x:c r="D1648" s="1"/>
      <x:c r="E1648" s="1"/>
      <x:c r="F1648" s="1"/>
    </x:row>
    <x:row r="1649">
      <x:c r="A1649" s="1"/>
      <x:c r="B1649" s="1"/>
      <x:c r="C1649" s="1"/>
      <x:c r="D1649" s="1"/>
      <x:c r="E1649" s="1"/>
      <x:c r="F1649" s="1"/>
    </x:row>
    <x:row r="1650">
      <x:c r="A1650" s="1"/>
      <x:c r="B1650" s="1"/>
      <x:c r="C1650" s="1"/>
      <x:c r="D1650" s="1"/>
      <x:c r="E1650" s="1"/>
      <x:c r="F1650" s="1"/>
    </x:row>
    <x:row r="1651">
      <x:c r="A1651" s="1"/>
      <x:c r="B1651" s="1"/>
      <x:c r="C1651" s="1"/>
      <x:c r="D1651" s="1"/>
      <x:c r="E1651" s="1"/>
      <x:c r="F1651" s="1"/>
    </x:row>
    <x:row r="1652">
      <x:c r="A1652" s="1"/>
      <x:c r="B1652" s="1"/>
      <x:c r="C1652" s="1"/>
      <x:c r="D1652" s="1"/>
      <x:c r="E1652" s="1"/>
      <x:c r="F1652" s="1"/>
    </x:row>
    <x:row r="1653">
      <x:c r="A1653" s="1"/>
      <x:c r="B1653" s="1"/>
      <x:c r="C1653" s="1"/>
      <x:c r="D1653" s="1"/>
      <x:c r="E1653" s="1"/>
      <x:c r="F1653" s="1"/>
    </x:row>
    <x:row r="1654">
      <x:c r="A1654" s="1"/>
      <x:c r="B1654" s="1"/>
      <x:c r="C1654" s="1"/>
      <x:c r="D1654" s="1"/>
      <x:c r="E1654" s="1"/>
      <x:c r="F1654" s="1"/>
    </x:row>
    <x:row r="1655">
      <x:c r="A1655" s="1"/>
      <x:c r="B1655" s="1"/>
      <x:c r="C1655" s="1"/>
      <x:c r="D1655" s="1"/>
      <x:c r="E1655" s="1"/>
      <x:c r="F1655" s="1"/>
    </x:row>
    <x:row r="1656">
      <x:c r="A1656" s="1"/>
      <x:c r="B1656" s="1"/>
      <x:c r="C1656" s="1"/>
      <x:c r="D1656" s="1"/>
      <x:c r="E1656" s="1"/>
      <x:c r="F1656" s="1"/>
    </x:row>
    <x:row r="1657">
      <x:c r="A1657" s="1"/>
      <x:c r="B1657" s="1"/>
      <x:c r="C1657" s="1"/>
      <x:c r="D1657" s="1"/>
      <x:c r="E1657" s="1"/>
      <x:c r="F1657" s="1"/>
    </x:row>
    <x:row r="1658">
      <x:c r="A1658" s="1"/>
      <x:c r="B1658" s="1"/>
      <x:c r="C1658" s="1"/>
      <x:c r="D1658" s="1"/>
      <x:c r="E1658" s="1"/>
      <x:c r="F1658" s="1"/>
    </x:row>
    <x:row r="1659">
      <x:c r="A1659" s="1"/>
      <x:c r="B1659" s="1"/>
      <x:c r="C1659" s="1"/>
      <x:c r="D1659" s="1"/>
      <x:c r="E1659" s="1"/>
      <x:c r="F1659" s="1"/>
    </x:row>
    <x:row r="1660">
      <x:c r="A1660" s="1"/>
      <x:c r="B1660" s="1"/>
      <x:c r="C1660" s="1"/>
      <x:c r="D1660" s="1"/>
      <x:c r="E1660" s="1"/>
      <x:c r="F1660" s="1"/>
    </x:row>
    <x:row r="1661">
      <x:c r="A1661" s="1"/>
      <x:c r="B1661" s="1"/>
      <x:c r="C1661" s="1"/>
      <x:c r="D1661" s="1"/>
      <x:c r="E1661" s="1"/>
      <x:c r="F1661" s="1"/>
    </x:row>
    <x:row r="1662">
      <x:c r="A1662" s="1"/>
      <x:c r="B1662" s="1"/>
      <x:c r="C1662" s="1"/>
      <x:c r="D1662" s="1"/>
      <x:c r="E1662" s="1"/>
      <x:c r="F1662" s="1"/>
    </x:row>
    <x:row r="1663">
      <x:c r="A1663" s="1"/>
      <x:c r="B1663" s="1"/>
      <x:c r="C1663" s="1"/>
      <x:c r="D1663" s="1"/>
      <x:c r="E1663" s="1"/>
      <x:c r="F1663" s="1"/>
    </x:row>
    <x:row r="1664">
      <x:c r="A1664" s="1"/>
      <x:c r="B1664" s="1"/>
      <x:c r="C1664" s="1"/>
      <x:c r="D1664" s="1"/>
      <x:c r="E1664" s="1"/>
      <x:c r="F1664" s="1"/>
    </x:row>
    <x:row r="1665">
      <x:c r="A1665" s="1"/>
      <x:c r="B1665" s="1"/>
      <x:c r="C1665" s="1"/>
      <x:c r="D1665" s="1"/>
      <x:c r="E1665" s="1"/>
      <x:c r="F1665" s="1"/>
    </x:row>
    <x:row r="1666">
      <x:c r="A1666" s="1"/>
      <x:c r="B1666" s="1"/>
      <x:c r="C1666" s="1"/>
      <x:c r="D1666" s="1"/>
      <x:c r="E1666" s="1"/>
      <x:c r="F1666" s="1"/>
    </x:row>
    <x:row r="1667">
      <x:c r="A1667" s="1"/>
      <x:c r="B1667" s="1"/>
      <x:c r="C1667" s="1"/>
      <x:c r="D1667" s="1"/>
      <x:c r="E1667" s="1"/>
      <x:c r="F1667" s="1"/>
    </x:row>
    <x:row r="1668">
      <x:c r="A1668" s="1"/>
      <x:c r="B1668" s="1"/>
      <x:c r="C1668" s="1"/>
      <x:c r="D1668" s="1"/>
      <x:c r="E1668" s="1"/>
      <x:c r="F1668" s="1"/>
    </x:row>
    <x:row r="1669">
      <x:c r="A1669" s="1"/>
      <x:c r="B1669" s="1"/>
      <x:c r="C1669" s="1"/>
      <x:c r="D1669" s="1"/>
      <x:c r="E1669" s="1"/>
      <x:c r="F1669" s="1"/>
    </x:row>
    <x:row r="1670">
      <x:c r="A1670" s="1"/>
      <x:c r="B1670" s="1"/>
      <x:c r="C1670" s="1"/>
      <x:c r="D1670" s="1"/>
      <x:c r="E1670" s="1"/>
      <x:c r="F1670" s="1"/>
    </x:row>
    <x:row r="1671">
      <x:c r="A1671" s="1"/>
      <x:c r="B1671" s="1"/>
      <x:c r="C1671" s="1"/>
      <x:c r="D1671" s="1"/>
      <x:c r="E1671" s="1"/>
      <x:c r="F1671" s="1"/>
    </x:row>
    <x:row r="1672">
      <x:c r="A1672" s="1"/>
      <x:c r="B1672" s="1"/>
      <x:c r="C1672" s="1"/>
      <x:c r="D1672" s="1"/>
      <x:c r="E1672" s="1"/>
      <x:c r="F1672" s="1"/>
    </x:row>
    <x:row r="1673">
      <x:c r="A1673" s="1"/>
      <x:c r="B1673" s="1"/>
      <x:c r="C1673" s="1"/>
      <x:c r="D1673" s="1"/>
      <x:c r="E1673" s="1"/>
      <x:c r="F1673" s="1"/>
    </x:row>
    <x:row r="1674">
      <x:c r="A1674" s="1"/>
      <x:c r="B1674" s="1"/>
      <x:c r="C1674" s="1"/>
      <x:c r="D1674" s="1"/>
      <x:c r="E1674" s="1"/>
      <x:c r="F1674" s="1"/>
    </x:row>
    <x:row r="1675">
      <x:c r="A1675" s="1"/>
      <x:c r="B1675" s="1"/>
      <x:c r="C1675" s="1"/>
      <x:c r="D1675" s="1"/>
      <x:c r="E1675" s="1"/>
      <x:c r="F1675" s="1"/>
    </x:row>
    <x:row r="1676">
      <x:c r="A1676" s="1"/>
      <x:c r="B1676" s="1"/>
      <x:c r="C1676" s="1"/>
      <x:c r="D1676" s="1"/>
      <x:c r="E1676" s="1"/>
      <x:c r="F1676" s="1"/>
    </x:row>
    <x:row r="1677">
      <x:c r="A1677" s="1"/>
      <x:c r="B1677" s="1"/>
      <x:c r="C1677" s="1"/>
      <x:c r="D1677" s="1"/>
      <x:c r="E1677" s="1"/>
      <x:c r="F1677" s="1"/>
    </x:row>
    <x:row r="1678">
      <x:c r="A1678" s="1"/>
      <x:c r="B1678" s="1"/>
      <x:c r="C1678" s="1"/>
      <x:c r="D1678" s="1"/>
      <x:c r="E1678" s="1"/>
      <x:c r="F1678" s="1"/>
    </x:row>
    <x:row r="1679">
      <x:c r="A1679" s="1"/>
      <x:c r="B1679" s="1"/>
      <x:c r="C1679" s="1"/>
      <x:c r="D1679" s="1"/>
      <x:c r="E1679" s="1"/>
      <x:c r="F1679" s="1"/>
    </x:row>
    <x:row r="1680">
      <x:c r="A1680" s="1"/>
      <x:c r="B1680" s="1"/>
      <x:c r="C1680" s="1"/>
      <x:c r="D1680" s="1"/>
      <x:c r="E1680" s="1"/>
      <x:c r="F1680" s="1"/>
    </x:row>
    <x:row r="1681">
      <x:c r="A1681" s="1"/>
      <x:c r="B1681" s="1"/>
      <x:c r="C1681" s="1"/>
      <x:c r="D1681" s="1"/>
      <x:c r="E1681" s="1"/>
      <x:c r="F1681" s="1"/>
    </x:row>
    <x:row r="1682">
      <x:c r="A1682" s="1"/>
      <x:c r="B1682" s="1"/>
      <x:c r="C1682" s="1"/>
      <x:c r="D1682" s="1"/>
      <x:c r="E1682" s="1"/>
      <x:c r="F1682" s="1"/>
    </x:row>
    <x:row r="1683">
      <x:c r="A1683" s="1"/>
      <x:c r="B1683" s="1"/>
      <x:c r="C1683" s="1"/>
      <x:c r="D1683" s="1"/>
      <x:c r="E1683" s="1"/>
      <x:c r="F1683" s="1"/>
    </x:row>
    <x:row r="1684">
      <x:c r="A1684" s="1"/>
      <x:c r="B1684" s="1"/>
      <x:c r="C1684" s="1"/>
      <x:c r="D1684" s="1"/>
      <x:c r="E1684" s="1"/>
      <x:c r="F1684" s="1"/>
    </x:row>
    <x:row r="1685">
      <x:c r="A1685" s="1"/>
      <x:c r="B1685" s="1"/>
      <x:c r="C1685" s="1"/>
      <x:c r="D1685" s="1"/>
      <x:c r="E1685" s="1"/>
      <x:c r="F1685" s="1"/>
    </x:row>
    <x:row r="1686">
      <x:c r="A1686" s="1"/>
      <x:c r="B1686" s="1"/>
      <x:c r="C1686" s="1"/>
      <x:c r="D1686" s="1"/>
      <x:c r="E1686" s="1"/>
      <x:c r="F1686" s="1"/>
    </x:row>
    <x:row r="1687">
      <x:c r="A1687" s="1"/>
      <x:c r="B1687" s="1"/>
      <x:c r="C1687" s="1"/>
      <x:c r="D1687" s="1"/>
      <x:c r="E1687" s="1"/>
      <x:c r="F1687" s="1"/>
    </x:row>
    <x:row r="1688">
      <x:c r="A1688" s="1"/>
      <x:c r="B1688" s="1"/>
      <x:c r="C1688" s="1"/>
      <x:c r="D1688" s="1"/>
      <x:c r="E1688" s="1"/>
      <x:c r="F1688" s="1"/>
    </x:row>
    <x:row r="1689">
      <x:c r="A1689" s="1"/>
      <x:c r="B1689" s="1"/>
      <x:c r="C1689" s="1"/>
      <x:c r="D1689" s="1"/>
      <x:c r="E1689" s="1"/>
      <x:c r="F1689" s="1"/>
    </x:row>
    <x:row r="1690">
      <x:c r="A1690" s="1"/>
      <x:c r="B1690" s="1"/>
      <x:c r="C1690" s="1"/>
      <x:c r="D1690" s="1"/>
      <x:c r="E1690" s="1"/>
      <x:c r="F1690" s="1"/>
    </x:row>
    <x:row r="1691">
      <x:c r="A1691" s="1"/>
      <x:c r="B1691" s="1"/>
      <x:c r="C1691" s="1"/>
      <x:c r="D1691" s="1"/>
      <x:c r="E1691" s="1"/>
      <x:c r="F1691" s="1"/>
    </x:row>
    <x:row r="1692">
      <x:c r="A1692" s="1"/>
      <x:c r="B1692" s="1"/>
      <x:c r="C1692" s="1"/>
      <x:c r="D1692" s="1"/>
      <x:c r="E1692" s="1"/>
      <x:c r="F1692" s="1"/>
    </x:row>
    <x:row r="1693">
      <x:c r="A1693" s="1"/>
      <x:c r="B1693" s="1"/>
      <x:c r="C1693" s="1"/>
      <x:c r="D1693" s="1"/>
      <x:c r="E1693" s="1"/>
      <x:c r="F1693" s="1"/>
    </x:row>
    <x:row r="1694">
      <x:c r="A1694" s="1"/>
      <x:c r="B1694" s="1"/>
      <x:c r="C1694" s="1"/>
      <x:c r="D1694" s="1"/>
      <x:c r="E1694" s="1"/>
      <x:c r="F1694" s="1"/>
    </x:row>
    <x:row r="1695">
      <x:c r="A1695" s="1"/>
      <x:c r="B1695" s="1"/>
      <x:c r="C1695" s="1"/>
      <x:c r="D1695" s="1"/>
      <x:c r="E1695" s="1"/>
      <x:c r="F1695" s="1"/>
    </x:row>
    <x:row r="1696">
      <x:c r="A1696" s="1"/>
      <x:c r="B1696" s="1"/>
      <x:c r="C1696" s="1"/>
      <x:c r="D1696" s="1"/>
      <x:c r="E1696" s="1"/>
      <x:c r="F1696" s="1"/>
    </x:row>
    <x:row r="1697">
      <x:c r="A1697" s="1"/>
      <x:c r="B1697" s="1"/>
      <x:c r="C1697" s="1"/>
      <x:c r="D1697" s="1"/>
      <x:c r="E1697" s="1"/>
      <x:c r="F1697" s="1"/>
    </x:row>
    <x:row r="1698">
      <x:c r="A1698" s="1"/>
      <x:c r="B1698" s="1"/>
      <x:c r="C1698" s="1"/>
      <x:c r="D1698" s="1"/>
      <x:c r="E1698" s="1"/>
      <x:c r="F1698" s="1"/>
    </x:row>
    <x:row r="1699">
      <x:c r="A1699" s="1"/>
      <x:c r="B1699" s="1"/>
      <x:c r="C1699" s="1"/>
      <x:c r="D1699" s="1"/>
      <x:c r="E1699" s="1"/>
      <x:c r="F1699" s="1"/>
    </x:row>
    <x:row r="1700">
      <x:c r="A1700" s="1"/>
      <x:c r="B1700" s="1"/>
      <x:c r="C1700" s="1"/>
      <x:c r="D1700" s="1"/>
      <x:c r="E1700" s="1"/>
      <x:c r="F1700" s="1"/>
    </x:row>
    <x:row r="1701">
      <x:c r="A1701" s="1"/>
      <x:c r="B1701" s="1"/>
      <x:c r="C1701" s="1"/>
      <x:c r="D1701" s="1"/>
      <x:c r="E1701" s="1"/>
      <x:c r="F1701" s="1"/>
    </x:row>
    <x:row r="1702">
      <x:c r="A1702" s="1"/>
      <x:c r="B1702" s="1"/>
      <x:c r="C1702" s="1"/>
      <x:c r="D1702" s="1"/>
      <x:c r="E1702" s="1"/>
      <x:c r="F1702" s="1"/>
    </x:row>
    <x:row r="1703">
      <x:c r="A1703" s="1"/>
      <x:c r="B1703" s="1"/>
      <x:c r="C1703" s="1"/>
      <x:c r="D1703" s="1"/>
      <x:c r="E1703" s="1"/>
      <x:c r="F1703" s="1"/>
    </x:row>
    <x:row r="1704">
      <x:c r="A1704" s="1"/>
      <x:c r="B1704" s="1"/>
      <x:c r="C1704" s="1"/>
      <x:c r="D1704" s="1"/>
      <x:c r="E1704" s="1"/>
      <x:c r="F1704" s="1"/>
    </x:row>
    <x:row r="1705">
      <x:c r="A1705" s="1"/>
      <x:c r="B1705" s="1"/>
      <x:c r="C1705" s="1"/>
      <x:c r="D1705" s="1"/>
      <x:c r="E1705" s="1"/>
      <x:c r="F1705" s="1"/>
    </x:row>
    <x:row r="1706">
      <x:c r="A1706" s="1"/>
      <x:c r="B1706" s="1"/>
      <x:c r="C1706" s="1"/>
      <x:c r="D1706" s="1"/>
      <x:c r="E1706" s="1"/>
      <x:c r="F1706" s="1"/>
    </x:row>
    <x:row r="1707">
      <x:c r="A1707" s="1"/>
      <x:c r="B1707" s="1"/>
      <x:c r="C1707" s="1"/>
      <x:c r="D1707" s="1"/>
      <x:c r="E1707" s="1"/>
      <x:c r="F1707" s="1"/>
    </x:row>
    <x:row r="1708">
      <x:c r="A1708" s="1"/>
      <x:c r="B1708" s="1"/>
      <x:c r="C1708" s="1"/>
      <x:c r="D1708" s="1"/>
      <x:c r="E1708" s="1"/>
      <x:c r="F1708" s="1"/>
    </x:row>
    <x:row r="1709">
      <x:c r="A1709" s="1"/>
      <x:c r="B1709" s="1"/>
      <x:c r="C1709" s="1"/>
      <x:c r="D1709" s="1"/>
      <x:c r="E1709" s="1"/>
      <x:c r="F1709" s="1"/>
    </x:row>
    <x:row r="1710">
      <x:c r="A1710" s="1"/>
      <x:c r="B1710" s="1"/>
      <x:c r="C1710" s="1"/>
      <x:c r="D1710" s="1"/>
      <x:c r="E1710" s="1"/>
      <x:c r="F1710" s="1"/>
    </x:row>
    <x:row r="1711">
      <x:c r="A1711" s="1"/>
      <x:c r="B1711" s="1"/>
      <x:c r="C1711" s="1"/>
      <x:c r="D1711" s="1"/>
      <x:c r="E1711" s="1"/>
      <x:c r="F1711" s="1"/>
    </x:row>
    <x:row r="1712">
      <x:c r="A1712" s="1"/>
      <x:c r="B1712" s="1"/>
      <x:c r="C1712" s="1"/>
      <x:c r="D1712" s="1"/>
      <x:c r="E1712" s="1"/>
      <x:c r="F1712" s="1"/>
    </x:row>
    <x:row r="1713">
      <x:c r="A1713" s="1"/>
      <x:c r="B1713" s="1"/>
      <x:c r="C1713" s="1"/>
      <x:c r="D1713" s="1"/>
      <x:c r="E1713" s="1"/>
      <x:c r="F1713" s="1"/>
    </x:row>
    <x:row r="1714">
      <x:c r="A1714" s="1"/>
      <x:c r="B1714" s="1"/>
      <x:c r="C1714" s="1"/>
      <x:c r="D1714" s="1"/>
      <x:c r="E1714" s="1"/>
      <x:c r="F1714" s="1"/>
    </x:row>
    <x:row r="1715">
      <x:c r="A1715" s="1"/>
      <x:c r="B1715" s="1"/>
      <x:c r="C1715" s="1"/>
      <x:c r="D1715" s="1"/>
      <x:c r="E1715" s="1"/>
      <x:c r="F1715" s="1"/>
    </x:row>
    <x:row r="1716">
      <x:c r="A1716" s="1"/>
      <x:c r="B1716" s="1"/>
      <x:c r="C1716" s="1"/>
      <x:c r="D1716" s="1"/>
      <x:c r="E1716" s="1"/>
      <x:c r="F1716" s="1"/>
    </x:row>
    <x:row r="1717">
      <x:c r="A1717" s="1"/>
      <x:c r="B1717" s="1"/>
      <x:c r="C1717" s="1"/>
      <x:c r="D1717" s="1"/>
      <x:c r="E1717" s="1"/>
      <x:c r="F1717" s="1"/>
    </x:row>
    <x:row r="1718">
      <x:c r="A1718" s="1"/>
      <x:c r="B1718" s="1"/>
      <x:c r="C1718" s="1"/>
      <x:c r="D1718" s="1"/>
      <x:c r="E1718" s="1"/>
      <x:c r="F1718" s="1"/>
    </x:row>
    <x:row r="1719">
      <x:c r="A1719" s="1"/>
      <x:c r="B1719" s="1"/>
      <x:c r="C1719" s="1"/>
      <x:c r="D1719" s="1"/>
      <x:c r="E1719" s="1"/>
      <x:c r="F1719" s="1"/>
    </x:row>
    <x:row r="1720">
      <x:c r="A1720" s="1"/>
      <x:c r="B1720" s="1"/>
      <x:c r="C1720" s="1"/>
      <x:c r="D1720" s="1"/>
      <x:c r="E1720" s="1"/>
      <x:c r="F1720" s="1"/>
    </x:row>
    <x:row r="1721">
      <x:c r="A1721" s="1"/>
      <x:c r="B1721" s="1"/>
      <x:c r="C1721" s="1"/>
      <x:c r="D1721" s="1"/>
      <x:c r="E1721" s="1"/>
      <x:c r="F1721" s="1"/>
    </x:row>
    <x:row r="1722">
      <x:c r="A1722" s="1"/>
      <x:c r="B1722" s="1"/>
      <x:c r="C1722" s="1"/>
      <x:c r="D1722" s="1"/>
      <x:c r="E1722" s="1"/>
      <x:c r="F1722" s="1"/>
    </x:row>
    <x:row r="1723">
      <x:c r="A1723" s="1"/>
      <x:c r="B1723" s="1"/>
      <x:c r="C1723" s="1"/>
      <x:c r="D1723" s="1"/>
      <x:c r="E1723" s="1"/>
      <x:c r="F1723" s="1"/>
    </x:row>
    <x:row r="1724">
      <x:c r="A1724" s="1"/>
      <x:c r="B1724" s="1"/>
      <x:c r="C1724" s="1"/>
      <x:c r="D1724" s="1"/>
      <x:c r="E1724" s="1"/>
      <x:c r="F1724" s="1"/>
    </x:row>
    <x:row r="1725">
      <x:c r="A1725" s="1"/>
      <x:c r="B1725" s="1"/>
      <x:c r="C1725" s="1"/>
      <x:c r="D1725" s="1"/>
      <x:c r="E1725" s="1"/>
      <x:c r="F1725" s="1"/>
    </x:row>
    <x:row r="1726">
      <x:c r="A1726" s="1"/>
      <x:c r="B1726" s="1"/>
      <x:c r="C1726" s="1"/>
      <x:c r="D1726" s="1"/>
      <x:c r="E1726" s="1"/>
      <x:c r="F1726" s="1"/>
    </x:row>
    <x:row r="1727">
      <x:c r="A1727" s="1"/>
      <x:c r="B1727" s="1"/>
      <x:c r="C1727" s="1"/>
      <x:c r="D1727" s="1"/>
      <x:c r="E1727" s="1"/>
      <x:c r="F1727" s="1"/>
    </x:row>
    <x:row r="1728">
      <x:c r="A1728" s="1"/>
      <x:c r="B1728" s="1"/>
      <x:c r="C1728" s="1"/>
      <x:c r="D1728" s="1"/>
      <x:c r="E1728" s="1"/>
      <x:c r="F1728" s="1"/>
    </x:row>
    <x:row r="1729">
      <x:c r="A1729" s="1"/>
      <x:c r="B1729" s="1"/>
      <x:c r="C1729" s="1"/>
      <x:c r="D1729" s="1"/>
      <x:c r="E1729" s="1"/>
      <x:c r="F1729" s="1"/>
    </x:row>
    <x:row r="1730">
      <x:c r="A1730" s="1"/>
      <x:c r="B1730" s="1"/>
      <x:c r="C1730" s="1"/>
      <x:c r="D1730" s="1"/>
      <x:c r="E1730" s="1"/>
      <x:c r="F1730" s="1"/>
    </x:row>
    <x:row r="1731">
      <x:c r="A1731" s="1"/>
      <x:c r="B1731" s="1"/>
      <x:c r="C1731" s="1"/>
      <x:c r="D1731" s="1"/>
      <x:c r="E1731" s="1"/>
      <x:c r="F1731" s="1"/>
    </x:row>
    <x:row r="1732">
      <x:c r="A1732" s="1"/>
      <x:c r="B1732" s="1"/>
      <x:c r="C1732" s="1"/>
      <x:c r="D1732" s="1"/>
      <x:c r="E1732" s="1"/>
      <x:c r="F1732" s="1"/>
    </x:row>
    <x:row r="1733">
      <x:c r="A1733" s="1"/>
      <x:c r="B1733" s="1"/>
      <x:c r="C1733" s="1"/>
      <x:c r="D1733" s="1"/>
      <x:c r="E1733" s="1"/>
      <x:c r="F1733" s="1"/>
    </x:row>
    <x:row r="1734">
      <x:c r="A1734" s="1"/>
      <x:c r="B1734" s="1"/>
      <x:c r="C1734" s="1"/>
      <x:c r="D1734" s="1"/>
      <x:c r="E1734" s="1"/>
      <x:c r="F1734" s="1"/>
    </x:row>
    <x:row r="1735">
      <x:c r="A1735" s="1"/>
      <x:c r="B1735" s="1"/>
      <x:c r="C1735" s="1"/>
      <x:c r="D1735" s="1"/>
      <x:c r="E1735" s="1"/>
      <x:c r="F1735" s="1"/>
    </x:row>
    <x:row r="1736">
      <x:c r="A1736" s="1"/>
      <x:c r="B1736" s="1"/>
      <x:c r="C1736" s="1"/>
      <x:c r="D1736" s="1"/>
      <x:c r="E1736" s="1"/>
      <x:c r="F1736" s="1"/>
    </x:row>
    <x:row r="1737">
      <x:c r="A1737" s="1"/>
      <x:c r="B1737" s="1"/>
      <x:c r="C1737" s="1"/>
      <x:c r="D1737" s="1"/>
      <x:c r="E1737" s="1"/>
      <x:c r="F1737" s="1"/>
    </x:row>
    <x:row r="1738">
      <x:c r="A1738" s="1"/>
      <x:c r="B1738" s="1"/>
      <x:c r="C1738" s="1"/>
      <x:c r="D1738" s="1"/>
      <x:c r="E1738" s="1"/>
      <x:c r="F1738" s="1"/>
    </x:row>
    <x:row r="1739">
      <x:c r="A1739" s="1"/>
      <x:c r="B1739" s="1"/>
      <x:c r="C1739" s="1"/>
      <x:c r="D1739" s="1"/>
      <x:c r="E1739" s="1"/>
      <x:c r="F1739" s="1"/>
    </x:row>
    <x:row r="1740">
      <x:c r="A1740" s="1"/>
      <x:c r="B1740" s="1"/>
      <x:c r="C1740" s="1"/>
      <x:c r="D1740" s="1"/>
      <x:c r="E1740" s="1"/>
      <x:c r="F1740" s="1"/>
    </x:row>
    <x:row r="1741">
      <x:c r="A1741" s="1"/>
      <x:c r="B1741" s="1"/>
      <x:c r="C1741" s="1"/>
      <x:c r="D1741" s="1"/>
      <x:c r="E1741" s="1"/>
      <x:c r="F1741" s="1"/>
    </x:row>
    <x:row r="1742">
      <x:c r="A1742" s="1"/>
      <x:c r="B1742" s="1"/>
      <x:c r="C1742" s="1"/>
      <x:c r="D1742" s="1"/>
      <x:c r="E1742" s="1"/>
      <x:c r="F1742" s="1"/>
    </x:row>
    <x:row r="1743">
      <x:c r="A1743" s="1"/>
      <x:c r="B1743" s="1"/>
      <x:c r="C1743" s="1"/>
      <x:c r="D1743" s="1"/>
      <x:c r="E1743" s="1"/>
      <x:c r="F1743" s="1"/>
    </x:row>
    <x:row r="1744">
      <x:c r="A1744" s="1"/>
      <x:c r="B1744" s="1"/>
      <x:c r="C1744" s="1"/>
      <x:c r="D1744" s="1"/>
      <x:c r="E1744" s="1"/>
      <x:c r="F1744" s="1"/>
    </x:row>
    <x:row r="1745">
      <x:c r="A1745" s="1"/>
      <x:c r="B1745" s="1"/>
      <x:c r="C1745" s="1"/>
      <x:c r="D1745" s="1"/>
      <x:c r="E1745" s="1"/>
      <x:c r="F1745" s="1"/>
    </x:row>
    <x:row r="1746">
      <x:c r="A1746" s="1"/>
      <x:c r="B1746" s="1"/>
      <x:c r="C1746" s="1"/>
      <x:c r="D1746" s="1"/>
      <x:c r="E1746" s="1"/>
      <x:c r="F1746" s="1"/>
    </x:row>
    <x:row r="1747">
      <x:c r="A1747" s="1"/>
      <x:c r="B1747" s="1"/>
      <x:c r="C1747" s="1"/>
      <x:c r="D1747" s="1"/>
      <x:c r="E1747" s="1"/>
      <x:c r="F1747" s="1"/>
    </x:row>
    <x:row r="1748">
      <x:c r="A1748" s="1"/>
      <x:c r="B1748" s="1"/>
      <x:c r="C1748" s="1"/>
      <x:c r="D1748" s="1"/>
      <x:c r="E1748" s="1"/>
      <x:c r="F1748" s="1"/>
    </x:row>
    <x:row r="1749">
      <x:c r="A1749" s="1"/>
      <x:c r="B1749" s="1"/>
      <x:c r="C1749" s="1"/>
      <x:c r="D1749" s="1"/>
      <x:c r="E1749" s="1"/>
      <x:c r="F1749" s="1"/>
    </x:row>
    <x:row r="1750">
      <x:c r="A1750" s="1"/>
      <x:c r="B1750" s="1"/>
      <x:c r="C1750" s="1"/>
      <x:c r="D1750" s="1"/>
      <x:c r="E1750" s="1"/>
      <x:c r="F1750" s="1"/>
    </x:row>
    <x:row r="1751">
      <x:c r="A1751" s="1"/>
      <x:c r="B1751" s="1"/>
      <x:c r="C1751" s="1"/>
      <x:c r="D1751" s="1"/>
      <x:c r="E1751" s="1"/>
      <x:c r="F1751" s="1"/>
    </x:row>
    <x:row r="1752">
      <x:c r="A1752" s="1"/>
      <x:c r="B1752" s="1"/>
      <x:c r="C1752" s="1"/>
      <x:c r="D1752" s="1"/>
      <x:c r="E1752" s="1"/>
      <x:c r="F1752" s="1"/>
    </x:row>
    <x:row r="1753">
      <x:c r="A1753" s="1"/>
      <x:c r="B1753" s="1"/>
      <x:c r="C1753" s="1"/>
      <x:c r="D1753" s="1"/>
      <x:c r="E1753" s="1"/>
      <x:c r="F1753" s="1"/>
    </x:row>
    <x:row r="1754">
      <x:c r="A1754" s="1"/>
      <x:c r="B1754" s="1"/>
      <x:c r="C1754" s="1"/>
      <x:c r="D1754" s="1"/>
      <x:c r="E1754" s="1"/>
      <x:c r="F1754" s="1"/>
    </x:row>
    <x:row r="1755">
      <x:c r="A1755" s="1"/>
      <x:c r="B1755" s="1"/>
      <x:c r="C1755" s="1"/>
      <x:c r="D1755" s="1"/>
      <x:c r="E1755" s="1"/>
      <x:c r="F1755" s="1"/>
    </x:row>
    <x:row r="1756">
      <x:c r="A1756" s="1"/>
      <x:c r="B1756" s="1"/>
      <x:c r="C1756" s="1"/>
      <x:c r="D1756" s="1"/>
      <x:c r="E1756" s="1"/>
      <x:c r="F1756" s="1"/>
    </x:row>
    <x:row r="1757">
      <x:c r="A1757" s="1"/>
      <x:c r="B1757" s="1"/>
      <x:c r="C1757" s="1"/>
      <x:c r="D1757" s="1"/>
      <x:c r="E1757" s="1"/>
      <x:c r="F1757" s="1"/>
    </x:row>
    <x:row r="1758">
      <x:c r="A1758" s="1"/>
      <x:c r="B1758" s="1"/>
      <x:c r="C1758" s="1"/>
      <x:c r="D1758" s="1"/>
      <x:c r="E1758" s="1"/>
      <x:c r="F1758" s="1"/>
    </x:row>
    <x:row r="1759">
      <x:c r="A1759" s="1"/>
      <x:c r="B1759" s="1"/>
      <x:c r="C1759" s="1"/>
      <x:c r="D1759" s="1"/>
      <x:c r="E1759" s="1"/>
      <x:c r="F1759" s="1"/>
    </x:row>
    <x:row r="1760">
      <x:c r="A1760" s="1"/>
      <x:c r="B1760" s="1"/>
      <x:c r="C1760" s="1"/>
      <x:c r="D1760" s="1"/>
      <x:c r="E1760" s="1"/>
      <x:c r="F1760" s="1"/>
    </x:row>
    <x:row r="1761">
      <x:c r="A1761" s="1"/>
      <x:c r="B1761" s="1"/>
      <x:c r="C1761" s="1"/>
      <x:c r="D1761" s="1"/>
      <x:c r="E1761" s="1"/>
      <x:c r="F1761" s="1"/>
    </x:row>
    <x:row r="1762">
      <x:c r="A1762" s="1"/>
      <x:c r="B1762" s="1"/>
      <x:c r="C1762" s="1"/>
      <x:c r="D1762" s="1"/>
      <x:c r="E1762" s="1"/>
      <x:c r="F1762" s="1"/>
    </x:row>
    <x:row r="1763">
      <x:c r="A1763" s="1"/>
      <x:c r="B1763" s="1"/>
      <x:c r="C1763" s="1"/>
      <x:c r="D1763" s="1"/>
      <x:c r="E1763" s="1"/>
      <x:c r="F1763" s="1"/>
    </x:row>
    <x:row r="1764">
      <x:c r="A1764" s="1"/>
      <x:c r="B1764" s="1"/>
      <x:c r="C1764" s="1"/>
      <x:c r="D1764" s="1"/>
      <x:c r="E1764" s="1"/>
      <x:c r="F1764" s="1"/>
    </x:row>
    <x:row r="1765">
      <x:c r="A1765" s="1"/>
      <x:c r="B1765" s="1"/>
      <x:c r="C1765" s="1"/>
      <x:c r="D1765" s="1"/>
      <x:c r="E1765" s="1"/>
      <x:c r="F1765" s="1"/>
    </x:row>
    <x:row r="1766">
      <x:c r="A1766" s="1"/>
      <x:c r="B1766" s="1"/>
      <x:c r="C1766" s="1"/>
      <x:c r="D1766" s="1"/>
      <x:c r="E1766" s="1"/>
      <x:c r="F1766" s="1"/>
    </x:row>
    <x:row r="1767">
      <x:c r="A1767" s="1"/>
      <x:c r="B1767" s="1"/>
      <x:c r="C1767" s="1"/>
      <x:c r="D1767" s="1"/>
      <x:c r="E1767" s="1"/>
      <x:c r="F1767" s="1"/>
    </x:row>
    <x:row r="1768">
      <x:c r="A1768" s="1"/>
      <x:c r="B1768" s="1"/>
      <x:c r="C1768" s="1"/>
      <x:c r="D1768" s="1"/>
      <x:c r="E1768" s="1"/>
      <x:c r="F1768" s="1"/>
    </x:row>
    <x:row r="1769">
      <x:c r="A1769" s="1"/>
      <x:c r="B1769" s="1"/>
      <x:c r="C1769" s="1"/>
      <x:c r="D1769" s="1"/>
      <x:c r="E1769" s="1"/>
      <x:c r="F1769" s="1"/>
    </x:row>
    <x:row r="1770">
      <x:c r="A1770" s="1"/>
      <x:c r="B1770" s="1"/>
      <x:c r="C1770" s="1"/>
      <x:c r="D1770" s="1"/>
      <x:c r="E1770" s="1"/>
      <x:c r="F1770" s="1"/>
    </x:row>
    <x:row r="1771">
      <x:c r="A1771" s="1"/>
      <x:c r="B1771" s="1"/>
      <x:c r="C1771" s="1"/>
      <x:c r="D1771" s="1"/>
      <x:c r="E1771" s="1"/>
      <x:c r="F1771" s="1"/>
    </x:row>
    <x:row r="1772">
      <x:c r="A1772" s="1"/>
      <x:c r="B1772" s="1"/>
      <x:c r="C1772" s="1"/>
      <x:c r="D1772" s="1"/>
      <x:c r="E1772" s="1"/>
      <x:c r="F1772" s="1"/>
    </x:row>
    <x:row r="1773">
      <x:c r="A1773" s="1"/>
      <x:c r="B1773" s="1"/>
      <x:c r="C1773" s="1"/>
      <x:c r="D1773" s="1"/>
      <x:c r="E1773" s="1"/>
      <x:c r="F1773" s="1"/>
    </x:row>
    <x:row r="1774">
      <x:c r="A1774" s="1"/>
      <x:c r="B1774" s="1"/>
      <x:c r="C1774" s="1"/>
      <x:c r="D1774" s="1"/>
      <x:c r="E1774" s="1"/>
      <x:c r="F1774" s="1"/>
    </x:row>
    <x:row r="1775">
      <x:c r="A1775" s="1"/>
      <x:c r="B1775" s="1"/>
      <x:c r="C1775" s="1"/>
      <x:c r="D1775" s="1"/>
      <x:c r="E1775" s="1"/>
      <x:c r="F1775" s="1"/>
    </x:row>
    <x:row r="1776">
      <x:c r="A1776" s="1"/>
      <x:c r="B1776" s="1"/>
      <x:c r="C1776" s="1"/>
      <x:c r="D1776" s="1"/>
      <x:c r="E1776" s="1"/>
      <x:c r="F1776" s="1"/>
    </x:row>
    <x:row r="1777">
      <x:c r="A1777" s="1"/>
      <x:c r="B1777" s="1"/>
      <x:c r="C1777" s="1"/>
      <x:c r="D1777" s="1"/>
      <x:c r="E1777" s="1"/>
      <x:c r="F1777" s="1"/>
    </x:row>
    <x:row r="1778">
      <x:c r="A1778" s="1"/>
      <x:c r="B1778" s="1"/>
      <x:c r="C1778" s="1"/>
      <x:c r="D1778" s="1"/>
      <x:c r="E1778" s="1"/>
      <x:c r="F1778" s="1"/>
    </x:row>
    <x:row r="1779">
      <x:c r="A1779" s="1"/>
      <x:c r="B1779" s="1"/>
      <x:c r="C1779" s="1"/>
      <x:c r="D1779" s="1"/>
      <x:c r="E1779" s="1"/>
      <x:c r="F1779" s="1"/>
    </x:row>
    <x:row r="1780">
      <x:c r="A1780" s="1"/>
      <x:c r="B1780" s="1"/>
      <x:c r="C1780" s="1"/>
      <x:c r="D1780" s="1"/>
      <x:c r="E1780" s="1"/>
      <x:c r="F1780" s="1"/>
    </x:row>
    <x:row r="1781">
      <x:c r="A1781" s="1"/>
      <x:c r="B1781" s="1"/>
      <x:c r="C1781" s="1"/>
      <x:c r="D1781" s="1"/>
      <x:c r="E1781" s="1"/>
      <x:c r="F1781" s="1"/>
    </x:row>
    <x:row r="1782">
      <x:c r="A1782" s="1"/>
      <x:c r="B1782" s="1"/>
      <x:c r="C1782" s="1"/>
      <x:c r="D1782" s="1"/>
      <x:c r="E1782" s="1"/>
      <x:c r="F1782" s="1"/>
    </x:row>
    <x:row r="1783">
      <x:c r="A1783" s="1"/>
      <x:c r="B1783" s="1"/>
      <x:c r="C1783" s="1"/>
      <x:c r="D1783" s="1"/>
      <x:c r="E1783" s="1"/>
      <x:c r="F1783" s="1"/>
    </x:row>
    <x:row r="1784">
      <x:c r="A1784" s="1"/>
      <x:c r="B1784" s="1"/>
      <x:c r="C1784" s="1"/>
      <x:c r="D1784" s="1"/>
      <x:c r="E1784" s="1"/>
      <x:c r="F1784" s="1"/>
    </x:row>
    <x:row r="1785">
      <x:c r="A1785" s="1"/>
      <x:c r="B1785" s="1"/>
      <x:c r="C1785" s="1"/>
      <x:c r="D1785" s="1"/>
      <x:c r="E1785" s="1"/>
      <x:c r="F1785" s="1"/>
    </x:row>
    <x:row r="1786">
      <x:c r="A1786" s="1"/>
      <x:c r="B1786" s="1"/>
      <x:c r="C1786" s="1"/>
      <x:c r="D1786" s="1"/>
      <x:c r="E1786" s="1"/>
      <x:c r="F1786" s="1"/>
    </x:row>
    <x:row r="1787">
      <x:c r="A1787" s="1"/>
      <x:c r="B1787" s="1"/>
      <x:c r="C1787" s="1"/>
      <x:c r="D1787" s="1"/>
      <x:c r="E1787" s="1"/>
      <x:c r="F1787" s="1"/>
    </x:row>
    <x:row r="1788">
      <x:c r="A1788" s="1"/>
      <x:c r="B1788" s="1"/>
      <x:c r="C1788" s="1"/>
      <x:c r="D1788" s="1"/>
      <x:c r="E1788" s="1"/>
      <x:c r="F1788" s="1"/>
    </x:row>
    <x:row r="1789">
      <x:c r="A1789" s="1"/>
      <x:c r="B1789" s="1"/>
      <x:c r="C1789" s="1"/>
      <x:c r="D1789" s="1"/>
      <x:c r="E1789" s="1"/>
      <x:c r="F1789" s="1"/>
    </x:row>
    <x:row r="1790">
      <x:c r="A1790" s="1"/>
      <x:c r="B1790" s="1"/>
      <x:c r="C1790" s="1"/>
      <x:c r="D1790" s="1"/>
      <x:c r="E1790" s="1"/>
      <x:c r="F1790" s="1"/>
    </x:row>
    <x:row r="1791">
      <x:c r="A1791" s="1"/>
      <x:c r="B1791" s="1"/>
      <x:c r="C1791" s="1"/>
      <x:c r="D1791" s="1"/>
      <x:c r="E1791" s="1"/>
      <x:c r="F1791" s="1"/>
    </x:row>
    <x:row r="1792">
      <x:c r="A1792" s="1"/>
      <x:c r="B1792" s="1"/>
      <x:c r="C1792" s="1"/>
      <x:c r="D1792" s="1"/>
      <x:c r="E1792" s="1"/>
      <x:c r="F1792" s="1"/>
    </x:row>
    <x:row r="1793">
      <x:c r="A1793" s="1"/>
      <x:c r="B1793" s="1"/>
      <x:c r="C1793" s="1"/>
      <x:c r="D1793" s="1"/>
      <x:c r="E1793" s="1"/>
      <x:c r="F1793" s="1"/>
    </x:row>
    <x:row r="1794">
      <x:c r="A1794" s="1"/>
      <x:c r="B1794" s="1"/>
      <x:c r="C1794" s="1"/>
      <x:c r="D1794" s="1"/>
      <x:c r="E1794" s="1"/>
      <x:c r="F1794" s="1"/>
    </x:row>
    <x:row r="1795">
      <x:c r="A1795" s="1"/>
      <x:c r="B1795" s="1"/>
      <x:c r="C1795" s="1"/>
      <x:c r="D1795" s="1"/>
      <x:c r="E1795" s="1"/>
      <x:c r="F1795" s="1"/>
    </x:row>
    <x:row r="1796">
      <x:c r="A1796" s="1"/>
      <x:c r="B1796" s="1"/>
      <x:c r="C1796" s="1"/>
      <x:c r="D1796" s="1"/>
      <x:c r="E1796" s="1"/>
      <x:c r="F1796" s="1"/>
    </x:row>
    <x:row r="1797">
      <x:c r="A1797" s="1"/>
      <x:c r="B1797" s="1"/>
      <x:c r="C1797" s="1"/>
      <x:c r="D1797" s="1"/>
      <x:c r="E1797" s="1"/>
      <x:c r="F1797" s="1"/>
    </x:row>
    <x:row r="1798">
      <x:c r="A1798" s="1"/>
      <x:c r="B1798" s="1"/>
      <x:c r="C1798" s="1"/>
      <x:c r="D1798" s="1"/>
      <x:c r="E1798" s="1"/>
      <x:c r="F1798" s="1"/>
    </x:row>
    <x:row r="1799">
      <x:c r="A1799" s="1"/>
      <x:c r="B1799" s="1"/>
      <x:c r="C1799" s="1"/>
      <x:c r="D1799" s="1"/>
      <x:c r="E1799" s="1"/>
      <x:c r="F1799" s="1"/>
    </x:row>
    <x:row r="1800">
      <x:c r="A1800" s="1"/>
      <x:c r="B1800" s="1"/>
      <x:c r="C1800" s="1"/>
      <x:c r="D1800" s="1"/>
      <x:c r="E1800" s="1"/>
      <x:c r="F1800" s="1"/>
    </x:row>
    <x:row r="1801">
      <x:c r="A1801" s="1"/>
      <x:c r="B1801" s="1"/>
      <x:c r="C1801" s="1"/>
      <x:c r="D1801" s="1"/>
      <x:c r="E1801" s="1"/>
      <x:c r="F1801" s="1"/>
    </x:row>
    <x:row r="1802">
      <x:c r="A1802" s="1"/>
      <x:c r="B1802" s="1"/>
      <x:c r="C1802" s="1"/>
      <x:c r="D1802" s="1"/>
      <x:c r="E1802" s="1"/>
      <x:c r="F1802" s="1"/>
    </x:row>
    <x:row r="1803">
      <x:c r="A1803" s="1"/>
      <x:c r="B1803" s="1"/>
      <x:c r="C1803" s="1"/>
      <x:c r="D1803" s="1"/>
      <x:c r="E1803" s="1"/>
      <x:c r="F1803" s="1"/>
    </x:row>
    <x:row r="1804">
      <x:c r="A1804" s="1"/>
      <x:c r="B1804" s="1"/>
      <x:c r="C1804" s="1"/>
      <x:c r="D1804" s="1"/>
      <x:c r="E1804" s="1"/>
      <x:c r="F1804" s="1"/>
    </x:row>
    <x:row r="1805">
      <x:c r="A1805" s="1"/>
      <x:c r="B1805" s="1"/>
      <x:c r="C1805" s="1"/>
      <x:c r="D1805" s="1"/>
      <x:c r="E1805" s="1"/>
      <x:c r="F1805" s="1"/>
    </x:row>
    <x:row r="1806">
      <x:c r="A1806" s="1"/>
      <x:c r="B1806" s="1"/>
      <x:c r="C1806" s="1"/>
      <x:c r="D1806" s="1"/>
      <x:c r="E1806" s="1"/>
      <x:c r="F1806" s="1"/>
    </x:row>
    <x:row r="1807">
      <x:c r="A1807" s="1"/>
      <x:c r="B1807" s="1"/>
      <x:c r="C1807" s="1"/>
      <x:c r="D1807" s="1"/>
      <x:c r="E1807" s="1"/>
      <x:c r="F1807" s="1"/>
    </x:row>
    <x:row r="1808">
      <x:c r="A1808" s="1"/>
      <x:c r="B1808" s="1"/>
      <x:c r="C1808" s="1"/>
      <x:c r="D1808" s="1"/>
      <x:c r="E1808" s="1"/>
      <x:c r="F1808" s="1"/>
    </x:row>
    <x:row r="1809">
      <x:c r="A1809" s="1"/>
      <x:c r="B1809" s="1"/>
      <x:c r="C1809" s="1"/>
      <x:c r="D1809" s="1"/>
      <x:c r="E1809" s="1"/>
      <x:c r="F1809" s="1"/>
    </x:row>
    <x:row r="1810">
      <x:c r="A1810" s="1"/>
      <x:c r="B1810" s="1"/>
      <x:c r="C1810" s="1"/>
      <x:c r="D1810" s="1"/>
      <x:c r="E1810" s="1"/>
      <x:c r="F1810" s="1"/>
    </x:row>
    <x:row r="1811">
      <x:c r="A1811" s="1"/>
      <x:c r="B1811" s="1"/>
      <x:c r="C1811" s="1"/>
      <x:c r="D1811" s="1"/>
      <x:c r="E1811" s="1"/>
      <x:c r="F1811" s="1"/>
    </x:row>
    <x:row r="1812">
      <x:c r="A1812" s="1"/>
      <x:c r="B1812" s="1"/>
      <x:c r="C1812" s="1"/>
      <x:c r="D1812" s="1"/>
      <x:c r="E1812" s="1"/>
      <x:c r="F1812" s="1"/>
    </x:row>
    <x:row r="1813">
      <x:c r="A1813" s="1"/>
      <x:c r="B1813" s="1"/>
      <x:c r="C1813" s="1"/>
      <x:c r="D1813" s="1"/>
      <x:c r="E1813" s="1"/>
      <x:c r="F1813" s="1"/>
    </x:row>
    <x:row r="1814">
      <x:c r="A1814" s="1"/>
      <x:c r="B1814" s="1"/>
      <x:c r="C1814" s="1"/>
      <x:c r="D1814" s="1"/>
      <x:c r="E1814" s="1"/>
      <x:c r="F1814" s="1"/>
    </x:row>
    <x:row r="1815">
      <x:c r="A1815" s="1"/>
      <x:c r="B1815" s="1"/>
      <x:c r="C1815" s="1"/>
      <x:c r="D1815" s="1"/>
      <x:c r="E1815" s="1"/>
      <x:c r="F1815" s="1"/>
    </x:row>
    <x:row r="1816">
      <x:c r="A1816" s="1"/>
      <x:c r="B1816" s="1"/>
      <x:c r="C1816" s="1"/>
      <x:c r="D1816" s="1"/>
      <x:c r="E1816" s="1"/>
      <x:c r="F1816" s="1"/>
    </x:row>
    <x:row r="1817">
      <x:c r="A1817" s="1"/>
      <x:c r="B1817" s="1"/>
      <x:c r="C1817" s="1"/>
      <x:c r="D1817" s="1"/>
      <x:c r="E1817" s="1"/>
      <x:c r="F1817" s="1"/>
    </x:row>
    <x:row r="1818">
      <x:c r="A1818" s="1"/>
      <x:c r="B1818" s="1"/>
      <x:c r="C1818" s="1"/>
      <x:c r="D1818" s="1"/>
      <x:c r="E1818" s="1"/>
      <x:c r="F1818" s="1"/>
    </x:row>
    <x:row r="1819">
      <x:c r="A1819" s="1"/>
      <x:c r="B1819" s="1"/>
      <x:c r="C1819" s="1"/>
      <x:c r="D1819" s="1"/>
      <x:c r="E1819" s="1"/>
      <x:c r="F1819" s="1"/>
    </x:row>
    <x:row r="1820">
      <x:c r="A1820" s="1"/>
      <x:c r="B1820" s="1"/>
      <x:c r="C1820" s="1"/>
      <x:c r="D1820" s="1"/>
      <x:c r="E1820" s="1"/>
      <x:c r="F1820" s="1"/>
    </x:row>
    <x:row r="1821">
      <x:c r="A1821" s="1"/>
      <x:c r="B1821" s="1"/>
      <x:c r="C1821" s="1"/>
      <x:c r="D1821" s="1"/>
      <x:c r="E1821" s="1"/>
      <x:c r="F1821" s="1"/>
    </x:row>
    <x:row r="1822">
      <x:c r="A1822" s="1"/>
      <x:c r="B1822" s="1"/>
      <x:c r="C1822" s="1"/>
      <x:c r="D1822" s="1"/>
      <x:c r="E1822" s="1"/>
      <x:c r="F1822" s="1"/>
    </x:row>
    <x:row r="1823">
      <x:c r="A1823" s="1"/>
      <x:c r="B1823" s="1"/>
      <x:c r="C1823" s="1"/>
      <x:c r="D1823" s="1"/>
      <x:c r="E1823" s="1"/>
      <x:c r="F1823" s="1"/>
    </x:row>
    <x:row r="1824">
      <x:c r="A1824" s="1"/>
      <x:c r="B1824" s="1"/>
      <x:c r="C1824" s="1"/>
      <x:c r="D1824" s="1"/>
      <x:c r="E1824" s="1"/>
      <x:c r="F1824" s="1"/>
    </x:row>
    <x:row r="1825">
      <x:c r="A1825" s="1"/>
      <x:c r="B1825" s="1"/>
      <x:c r="C1825" s="1"/>
      <x:c r="D1825" s="1"/>
      <x:c r="E1825" s="1"/>
      <x:c r="F1825" s="1"/>
    </x:row>
    <x:row r="1826">
      <x:c r="A1826" s="1"/>
      <x:c r="B1826" s="1"/>
      <x:c r="C1826" s="1"/>
      <x:c r="D1826" s="1"/>
      <x:c r="E1826" s="1"/>
      <x:c r="F1826" s="1"/>
    </x:row>
    <x:row r="1827">
      <x:c r="A1827" s="1"/>
      <x:c r="B1827" s="1"/>
      <x:c r="C1827" s="1"/>
      <x:c r="D1827" s="1"/>
      <x:c r="E1827" s="1"/>
      <x:c r="F1827" s="1"/>
    </x:row>
    <x:row r="1828">
      <x:c r="A1828" s="1"/>
      <x:c r="B1828" s="1"/>
      <x:c r="C1828" s="1"/>
      <x:c r="D1828" s="1"/>
      <x:c r="E1828" s="1"/>
      <x:c r="F1828" s="1"/>
    </x:row>
    <x:row r="1829">
      <x:c r="A1829" s="1"/>
      <x:c r="B1829" s="1"/>
      <x:c r="C1829" s="1"/>
      <x:c r="D1829" s="1"/>
      <x:c r="E1829" s="1"/>
      <x:c r="F1829" s="1"/>
    </x:row>
    <x:row r="1830">
      <x:c r="A1830" s="1"/>
      <x:c r="B1830" s="1"/>
      <x:c r="C1830" s="1"/>
      <x:c r="D1830" s="1"/>
      <x:c r="E1830" s="1"/>
      <x:c r="F1830" s="1"/>
    </x:row>
    <x:row r="1831">
      <x:c r="A1831" s="1"/>
      <x:c r="B1831" s="1"/>
      <x:c r="C1831" s="1"/>
      <x:c r="D1831" s="1"/>
      <x:c r="E1831" s="1"/>
      <x:c r="F1831" s="1"/>
    </x:row>
    <x:row r="1832">
      <x:c r="A1832" s="1"/>
      <x:c r="B1832" s="1"/>
      <x:c r="C1832" s="1"/>
      <x:c r="D1832" s="1"/>
      <x:c r="E1832" s="1"/>
      <x:c r="F1832" s="1"/>
    </x:row>
    <x:row r="1833">
      <x:c r="A1833" s="1"/>
      <x:c r="B1833" s="1"/>
      <x:c r="C1833" s="1"/>
      <x:c r="D1833" s="1"/>
      <x:c r="E1833" s="1"/>
      <x:c r="F1833" s="1"/>
    </x:row>
    <x:row r="1834">
      <x:c r="A1834" s="1"/>
      <x:c r="B1834" s="1"/>
      <x:c r="C1834" s="1"/>
      <x:c r="D1834" s="1"/>
      <x:c r="E1834" s="1"/>
      <x:c r="F1834" s="1"/>
    </x:row>
    <x:row r="1835">
      <x:c r="A1835" s="1"/>
      <x:c r="B1835" s="1"/>
      <x:c r="C1835" s="1"/>
      <x:c r="D1835" s="1"/>
      <x:c r="E1835" s="1"/>
      <x:c r="F1835" s="1"/>
    </x:row>
    <x:row r="1836">
      <x:c r="A1836" s="1"/>
      <x:c r="B1836" s="1"/>
      <x:c r="C1836" s="1"/>
      <x:c r="D1836" s="1"/>
      <x:c r="E1836" s="1"/>
      <x:c r="F1836" s="1"/>
    </x:row>
    <x:row r="1837">
      <x:c r="A1837" s="1"/>
      <x:c r="B1837" s="1"/>
      <x:c r="C1837" s="1"/>
      <x:c r="D1837" s="1"/>
      <x:c r="E1837" s="1"/>
      <x:c r="F1837" s="1"/>
    </x:row>
    <x:row r="1838">
      <x:c r="A1838" s="1"/>
      <x:c r="B1838" s="1"/>
      <x:c r="C1838" s="1"/>
      <x:c r="D1838" s="1"/>
      <x:c r="E1838" s="1"/>
      <x:c r="F1838" s="1"/>
    </x:row>
    <x:row r="1839">
      <x:c r="A1839" s="1"/>
      <x:c r="B1839" s="1"/>
      <x:c r="C1839" s="1"/>
      <x:c r="D1839" s="1"/>
      <x:c r="E1839" s="1"/>
      <x:c r="F1839" s="1"/>
    </x:row>
    <x:row r="1840">
      <x:c r="A1840" s="1"/>
      <x:c r="B1840" s="1"/>
      <x:c r="C1840" s="1"/>
      <x:c r="D1840" s="1"/>
      <x:c r="E1840" s="1"/>
      <x:c r="F1840" s="1"/>
    </x:row>
    <x:row r="1841">
      <x:c r="A1841" s="1"/>
      <x:c r="B1841" s="1"/>
      <x:c r="C1841" s="1"/>
      <x:c r="D1841" s="1"/>
      <x:c r="E1841" s="1"/>
      <x:c r="F1841" s="1"/>
    </x:row>
    <x:row r="1842">
      <x:c r="A1842" s="1"/>
      <x:c r="B1842" s="1"/>
      <x:c r="C1842" s="1"/>
      <x:c r="D1842" s="1"/>
      <x:c r="E1842" s="1"/>
      <x:c r="F1842" s="1"/>
    </x:row>
    <x:row r="1843">
      <x:c r="A1843" s="1"/>
      <x:c r="B1843" s="1"/>
      <x:c r="C1843" s="1"/>
      <x:c r="D1843" s="1"/>
      <x:c r="E1843" s="1"/>
      <x:c r="F1843" s="1"/>
    </x:row>
    <x:row r="1844">
      <x:c r="A1844" s="1"/>
      <x:c r="B1844" s="1"/>
      <x:c r="C1844" s="1"/>
      <x:c r="D1844" s="1"/>
      <x:c r="E1844" s="1"/>
      <x:c r="F1844" s="1"/>
    </x:row>
    <x:row r="1845">
      <x:c r="A1845" s="1"/>
      <x:c r="B1845" s="1"/>
      <x:c r="C1845" s="1"/>
      <x:c r="D1845" s="1"/>
      <x:c r="E1845" s="1"/>
      <x:c r="F1845" s="1"/>
    </x:row>
    <x:row r="1846">
      <x:c r="A1846" s="1"/>
      <x:c r="B1846" s="1"/>
      <x:c r="C1846" s="1"/>
      <x:c r="D1846" s="1"/>
      <x:c r="E1846" s="1"/>
      <x:c r="F1846" s="1"/>
    </x:row>
    <x:row r="1847">
      <x:c r="A1847" s="1"/>
      <x:c r="B1847" s="1"/>
      <x:c r="C1847" s="1"/>
      <x:c r="D1847" s="1"/>
      <x:c r="E1847" s="1"/>
      <x:c r="F1847" s="1"/>
    </x:row>
    <x:row r="1848">
      <x:c r="A1848" s="1"/>
      <x:c r="B1848" s="1"/>
      <x:c r="C1848" s="1"/>
      <x:c r="D1848" s="1"/>
      <x:c r="E1848" s="1"/>
      <x:c r="F1848" s="1"/>
    </x:row>
    <x:row r="1849">
      <x:c r="A1849" s="1"/>
      <x:c r="B1849" s="1"/>
      <x:c r="C1849" s="1"/>
      <x:c r="D1849" s="1"/>
      <x:c r="E1849" s="1"/>
      <x:c r="F1849" s="1"/>
    </x:row>
    <x:row r="1850">
      <x:c r="A1850" s="1"/>
      <x:c r="B1850" s="1"/>
      <x:c r="C1850" s="1"/>
      <x:c r="D1850" s="1"/>
      <x:c r="E1850" s="1"/>
      <x:c r="F1850" s="1"/>
    </x:row>
    <x:row r="1851">
      <x:c r="A1851" s="1"/>
      <x:c r="B1851" s="1"/>
      <x:c r="C1851" s="1"/>
      <x:c r="D1851" s="1"/>
      <x:c r="E1851" s="1"/>
      <x:c r="F1851" s="1"/>
    </x:row>
    <x:row r="1852">
      <x:c r="A1852" s="1"/>
      <x:c r="B1852" s="1"/>
      <x:c r="C1852" s="1"/>
      <x:c r="D1852" s="1"/>
      <x:c r="E1852" s="1"/>
      <x:c r="F1852" s="1"/>
    </x:row>
    <x:row r="1853">
      <x:c r="A1853" s="1"/>
      <x:c r="B1853" s="1"/>
      <x:c r="C1853" s="1"/>
      <x:c r="D1853" s="1"/>
      <x:c r="E1853" s="1"/>
      <x:c r="F1853" s="1"/>
    </x:row>
    <x:row r="1854">
      <x:c r="A1854" s="1"/>
      <x:c r="B1854" s="1"/>
      <x:c r="C1854" s="1"/>
      <x:c r="D1854" s="1"/>
      <x:c r="E1854" s="1"/>
      <x:c r="F1854" s="1"/>
    </x:row>
    <x:row r="1855">
      <x:c r="A1855" s="1"/>
      <x:c r="B1855" s="1"/>
      <x:c r="C1855" s="1"/>
      <x:c r="D1855" s="1"/>
      <x:c r="E1855" s="1"/>
      <x:c r="F1855" s="1"/>
    </x:row>
    <x:row r="1856">
      <x:c r="A1856" s="1"/>
      <x:c r="B1856" s="1"/>
      <x:c r="C1856" s="1"/>
      <x:c r="D1856" s="1"/>
      <x:c r="E1856" s="1"/>
      <x:c r="F1856" s="1"/>
    </x:row>
    <x:row r="1857">
      <x:c r="A1857" s="1"/>
      <x:c r="B1857" s="1"/>
      <x:c r="C1857" s="1"/>
      <x:c r="D1857" s="1"/>
      <x:c r="E1857" s="1"/>
      <x:c r="F1857" s="1"/>
    </x:row>
    <x:row r="1858">
      <x:c r="A1858" s="1"/>
      <x:c r="B1858" s="1"/>
      <x:c r="C1858" s="1"/>
      <x:c r="D1858" s="1"/>
      <x:c r="E1858" s="1"/>
      <x:c r="F1858" s="1"/>
    </x:row>
    <x:row r="1859">
      <x:c r="A1859" s="1"/>
      <x:c r="B1859" s="1"/>
      <x:c r="C1859" s="1"/>
      <x:c r="D1859" s="1"/>
      <x:c r="E1859" s="1"/>
      <x:c r="F1859" s="1"/>
    </x:row>
    <x:row r="1860">
      <x:c r="A1860" s="1"/>
      <x:c r="B1860" s="1"/>
      <x:c r="C1860" s="1"/>
      <x:c r="D1860" s="1"/>
      <x:c r="E1860" s="1"/>
      <x:c r="F1860" s="1"/>
    </x:row>
    <x:row r="1861">
      <x:c r="A1861" s="1"/>
      <x:c r="B1861" s="1"/>
      <x:c r="C1861" s="1"/>
      <x:c r="D1861" s="1"/>
      <x:c r="E1861" s="1"/>
      <x:c r="F1861" s="1"/>
    </x:row>
    <x:row r="1862">
      <x:c r="A1862" s="1"/>
      <x:c r="B1862" s="1"/>
      <x:c r="C1862" s="1"/>
      <x:c r="D1862" s="1"/>
      <x:c r="E1862" s="1"/>
      <x:c r="F1862" s="1"/>
    </x:row>
    <x:row r="1863">
      <x:c r="A1863" s="1"/>
      <x:c r="B1863" s="1"/>
      <x:c r="C1863" s="1"/>
      <x:c r="D1863" s="1"/>
      <x:c r="E1863" s="1"/>
      <x:c r="F1863" s="1"/>
    </x:row>
    <x:row r="1864">
      <x:c r="A1864" s="1"/>
      <x:c r="B1864" s="1"/>
      <x:c r="C1864" s="1"/>
      <x:c r="D1864" s="1"/>
      <x:c r="E1864" s="1"/>
      <x:c r="F1864" s="1"/>
    </x:row>
    <x:row r="1865">
      <x:c r="A1865" s="1"/>
      <x:c r="B1865" s="1"/>
      <x:c r="C1865" s="1"/>
      <x:c r="D1865" s="1"/>
      <x:c r="E1865" s="1"/>
      <x:c r="F1865" s="1"/>
    </x:row>
    <x:row r="1866">
      <x:c r="A1866" s="1"/>
      <x:c r="B1866" s="1"/>
      <x:c r="C1866" s="1"/>
      <x:c r="D1866" s="1"/>
      <x:c r="E1866" s="1"/>
      <x:c r="F1866" s="1"/>
    </x:row>
    <x:row r="1867">
      <x:c r="A1867" s="1"/>
      <x:c r="B1867" s="1"/>
      <x:c r="C1867" s="1"/>
      <x:c r="D1867" s="1"/>
      <x:c r="E1867" s="1"/>
      <x:c r="F1867" s="1"/>
    </x:row>
    <x:row r="1868">
      <x:c r="A1868" s="1"/>
      <x:c r="B1868" s="1"/>
      <x:c r="C1868" s="1"/>
      <x:c r="D1868" s="1"/>
      <x:c r="E1868" s="1"/>
      <x:c r="F1868" s="1"/>
    </x:row>
    <x:row r="1869">
      <x:c r="A1869" s="1"/>
      <x:c r="B1869" s="1"/>
      <x:c r="C1869" s="1"/>
      <x:c r="D1869" s="1"/>
      <x:c r="E1869" s="1"/>
      <x:c r="F1869" s="1"/>
    </x:row>
    <x:row r="1870">
      <x:c r="A1870" s="1"/>
      <x:c r="B1870" s="1"/>
      <x:c r="C1870" s="1"/>
      <x:c r="D1870" s="1"/>
      <x:c r="E1870" s="1"/>
      <x:c r="F1870" s="1"/>
    </x:row>
    <x:row r="1871">
      <x:c r="A1871" s="1"/>
      <x:c r="B1871" s="1"/>
      <x:c r="C1871" s="1"/>
      <x:c r="D1871" s="1"/>
      <x:c r="E1871" s="1"/>
      <x:c r="F1871" s="1"/>
    </x:row>
    <x:row r="1872">
      <x:c r="A1872" s="1"/>
      <x:c r="B1872" s="1"/>
      <x:c r="C1872" s="1"/>
      <x:c r="D1872" s="1"/>
      <x:c r="E1872" s="1"/>
      <x:c r="F1872" s="1"/>
    </x:row>
    <x:row r="1873">
      <x:c r="A1873" s="1"/>
      <x:c r="B1873" s="1"/>
      <x:c r="C1873" s="1"/>
      <x:c r="D1873" s="1"/>
      <x:c r="E1873" s="1"/>
      <x:c r="F1873" s="1"/>
    </x:row>
    <x:row r="1874">
      <x:c r="A1874" s="1"/>
      <x:c r="B1874" s="1"/>
      <x:c r="C1874" s="1"/>
      <x:c r="D1874" s="1"/>
      <x:c r="E1874" s="1"/>
      <x:c r="F1874" s="1"/>
    </x:row>
    <x:row r="1875">
      <x:c r="A1875" s="1"/>
      <x:c r="B1875" s="1"/>
      <x:c r="C1875" s="1"/>
      <x:c r="D1875" s="1"/>
      <x:c r="E1875" s="1"/>
      <x:c r="F1875" s="1"/>
    </x:row>
    <x:row r="1876">
      <x:c r="A1876" s="1"/>
      <x:c r="B1876" s="1"/>
      <x:c r="C1876" s="1"/>
      <x:c r="D1876" s="1"/>
      <x:c r="E1876" s="1"/>
      <x:c r="F1876" s="1"/>
    </x:row>
    <x:row r="1877">
      <x:c r="A1877" s="1"/>
      <x:c r="B1877" s="1"/>
      <x:c r="C1877" s="1"/>
      <x:c r="D1877" s="1"/>
      <x:c r="E1877" s="1"/>
      <x:c r="F1877" s="1"/>
    </x:row>
    <x:row r="1878">
      <x:c r="A1878" s="1"/>
      <x:c r="B1878" s="1"/>
      <x:c r="C1878" s="1"/>
      <x:c r="D1878" s="1"/>
      <x:c r="E1878" s="1"/>
      <x:c r="F1878" s="1"/>
    </x:row>
    <x:row r="1879">
      <x:c r="A1879" s="1"/>
      <x:c r="B1879" s="1"/>
      <x:c r="C1879" s="1"/>
      <x:c r="D1879" s="1"/>
      <x:c r="E1879" s="1"/>
      <x:c r="F1879" s="1"/>
    </x:row>
    <x:row r="1880">
      <x:c r="A1880" s="1"/>
      <x:c r="B1880" s="1"/>
      <x:c r="C1880" s="1"/>
      <x:c r="D1880" s="1"/>
      <x:c r="E1880" s="1"/>
      <x:c r="F1880" s="1"/>
    </x:row>
    <x:row r="1881">
      <x:c r="A1881" s="1"/>
      <x:c r="B1881" s="1"/>
      <x:c r="C1881" s="1"/>
      <x:c r="D1881" s="1"/>
      <x:c r="E1881" s="1"/>
      <x:c r="F1881" s="1"/>
    </x:row>
    <x:row r="1882">
      <x:c r="A1882" s="1"/>
      <x:c r="B1882" s="1"/>
      <x:c r="C1882" s="1"/>
      <x:c r="D1882" s="1"/>
      <x:c r="E1882" s="1"/>
      <x:c r="F1882" s="1"/>
    </x:row>
    <x:row r="1883">
      <x:c r="A1883" s="1"/>
      <x:c r="B1883" s="1"/>
      <x:c r="C1883" s="1"/>
      <x:c r="D1883" s="1"/>
      <x:c r="E1883" s="1"/>
      <x:c r="F1883" s="1"/>
    </x:row>
    <x:row r="1884">
      <x:c r="A1884" s="1"/>
      <x:c r="B1884" s="1"/>
      <x:c r="C1884" s="1"/>
      <x:c r="D1884" s="1"/>
      <x:c r="E1884" s="1"/>
      <x:c r="F1884" s="1"/>
    </x:row>
    <x:row r="1885">
      <x:c r="A1885" s="1"/>
      <x:c r="B1885" s="1"/>
      <x:c r="C1885" s="1"/>
      <x:c r="D1885" s="1"/>
      <x:c r="E1885" s="1"/>
      <x:c r="F1885" s="1"/>
    </x:row>
    <x:row r="1886">
      <x:c r="A1886" s="1"/>
      <x:c r="B1886" s="1"/>
      <x:c r="C1886" s="1"/>
      <x:c r="D1886" s="1"/>
      <x:c r="E1886" s="1"/>
      <x:c r="F1886" s="1"/>
    </x:row>
    <x:row r="1887">
      <x:c r="A1887" s="1"/>
      <x:c r="B1887" s="1"/>
      <x:c r="C1887" s="1"/>
      <x:c r="D1887" s="1"/>
      <x:c r="E1887" s="1"/>
      <x:c r="F1887" s="1"/>
    </x:row>
    <x:row r="1888">
      <x:c r="A1888" s="1"/>
      <x:c r="B1888" s="1"/>
      <x:c r="C1888" s="1"/>
      <x:c r="D1888" s="1"/>
      <x:c r="E1888" s="1"/>
      <x:c r="F1888" s="1"/>
    </x:row>
    <x:row r="1889">
      <x:c r="A1889" s="1"/>
      <x:c r="B1889" s="1"/>
      <x:c r="C1889" s="1"/>
      <x:c r="D1889" s="1"/>
      <x:c r="E1889" s="1"/>
      <x:c r="F1889" s="1"/>
    </x:row>
    <x:row r="1890">
      <x:c r="A1890" s="1"/>
      <x:c r="B1890" s="1"/>
      <x:c r="C1890" s="1"/>
      <x:c r="D1890" s="1"/>
      <x:c r="E1890" s="1"/>
      <x:c r="F1890" s="1"/>
    </x:row>
    <x:row r="1891">
      <x:c r="A1891" s="1"/>
      <x:c r="B1891" s="1"/>
      <x:c r="C1891" s="1"/>
      <x:c r="D1891" s="1"/>
      <x:c r="E1891" s="1"/>
      <x:c r="F1891" s="1"/>
    </x:row>
    <x:row r="1892">
      <x:c r="A1892" s="1"/>
      <x:c r="B1892" s="1"/>
      <x:c r="C1892" s="1"/>
      <x:c r="D1892" s="1"/>
      <x:c r="E1892" s="1"/>
      <x:c r="F1892" s="1"/>
    </x:row>
    <x:row r="1893">
      <x:c r="A1893" s="1"/>
      <x:c r="B1893" s="1"/>
      <x:c r="C1893" s="1"/>
      <x:c r="D1893" s="1"/>
      <x:c r="E1893" s="1"/>
      <x:c r="F1893" s="1"/>
    </x:row>
    <x:row r="1894">
      <x:c r="A1894" s="1"/>
      <x:c r="B1894" s="1"/>
      <x:c r="C1894" s="1"/>
      <x:c r="D1894" s="1"/>
      <x:c r="E1894" s="1"/>
      <x:c r="F1894" s="1"/>
    </x:row>
    <x:row r="1895">
      <x:c r="A1895" s="1"/>
      <x:c r="B1895" s="1"/>
      <x:c r="C1895" s="1"/>
      <x:c r="D1895" s="1"/>
      <x:c r="E1895" s="1"/>
      <x:c r="F1895" s="1"/>
    </x:row>
    <x:row r="1896">
      <x:c r="A1896" s="1"/>
      <x:c r="B1896" s="1"/>
      <x:c r="C1896" s="1"/>
      <x:c r="D1896" s="1"/>
      <x:c r="E1896" s="1"/>
      <x:c r="F1896" s="1"/>
    </x:row>
    <x:row r="1897">
      <x:c r="A1897" s="1"/>
      <x:c r="B1897" s="1"/>
      <x:c r="C1897" s="1"/>
      <x:c r="D1897" s="1"/>
      <x:c r="E1897" s="1"/>
      <x:c r="F1897" s="1"/>
    </x:row>
    <x:row r="1898">
      <x:c r="A1898" s="1"/>
      <x:c r="B1898" s="1"/>
      <x:c r="C1898" s="1"/>
      <x:c r="D1898" s="1"/>
      <x:c r="E1898" s="1"/>
      <x:c r="F1898" s="1"/>
    </x:row>
    <x:row r="1899">
      <x:c r="A1899" s="1"/>
      <x:c r="B1899" s="1"/>
      <x:c r="C1899" s="1"/>
      <x:c r="D1899" s="1"/>
      <x:c r="E1899" s="1"/>
      <x:c r="F1899" s="1"/>
    </x:row>
    <x:row r="1900">
      <x:c r="A1900" s="1"/>
      <x:c r="B1900" s="1"/>
      <x:c r="C1900" s="1"/>
      <x:c r="D1900" s="1"/>
      <x:c r="E1900" s="1"/>
      <x:c r="F1900" s="1"/>
    </x:row>
    <x:row r="1901">
      <x:c r="A1901" s="1"/>
      <x:c r="B1901" s="1"/>
      <x:c r="C1901" s="1"/>
      <x:c r="D1901" s="1"/>
      <x:c r="E1901" s="1"/>
      <x:c r="F1901" s="1"/>
    </x:row>
    <x:row r="1902">
      <x:c r="A1902" s="1"/>
      <x:c r="B1902" s="1"/>
      <x:c r="C1902" s="1"/>
      <x:c r="D1902" s="1"/>
      <x:c r="E1902" s="1"/>
      <x:c r="F1902" s="1"/>
    </x:row>
    <x:row r="1903">
      <x:c r="A1903" s="1"/>
      <x:c r="B1903" s="1"/>
      <x:c r="C1903" s="1"/>
      <x:c r="D1903" s="1"/>
      <x:c r="E1903" s="1"/>
      <x:c r="F1903" s="1"/>
    </x:row>
    <x:row r="1904">
      <x:c r="A1904" s="1"/>
      <x:c r="B1904" s="1"/>
      <x:c r="C1904" s="1"/>
      <x:c r="D1904" s="1"/>
      <x:c r="E1904" s="1"/>
      <x:c r="F1904" s="1"/>
    </x:row>
    <x:row r="1905">
      <x:c r="A1905" s="1"/>
      <x:c r="B1905" s="1"/>
      <x:c r="C1905" s="1"/>
      <x:c r="D1905" s="1"/>
      <x:c r="E1905" s="1"/>
      <x:c r="F1905" s="1"/>
    </x:row>
    <x:row r="1906">
      <x:c r="A1906" s="1"/>
      <x:c r="B1906" s="1"/>
      <x:c r="C1906" s="1"/>
      <x:c r="D1906" s="1"/>
      <x:c r="E1906" s="1"/>
      <x:c r="F1906" s="1"/>
    </x:row>
    <x:row r="1907">
      <x:c r="A1907" s="1"/>
      <x:c r="B1907" s="1"/>
      <x:c r="C1907" s="1"/>
      <x:c r="D1907" s="1"/>
      <x:c r="E1907" s="1"/>
      <x:c r="F1907" s="1"/>
    </x:row>
    <x:row r="1908">
      <x:c r="A1908" s="1"/>
      <x:c r="B1908" s="1"/>
      <x:c r="C1908" s="1"/>
      <x:c r="D1908" s="1"/>
      <x:c r="E1908" s="1"/>
      <x:c r="F1908" s="1"/>
    </x:row>
    <x:row r="1909">
      <x:c r="A1909" s="1"/>
      <x:c r="B1909" s="1"/>
      <x:c r="C1909" s="1"/>
      <x:c r="D1909" s="1"/>
      <x:c r="E1909" s="1"/>
      <x:c r="F1909" s="1"/>
    </x:row>
    <x:row r="1910">
      <x:c r="A1910" s="1"/>
      <x:c r="B1910" s="1"/>
      <x:c r="C1910" s="1"/>
      <x:c r="D1910" s="1"/>
      <x:c r="E1910" s="1"/>
      <x:c r="F1910" s="1"/>
    </x:row>
    <x:row r="1911">
      <x:c r="A1911" s="1"/>
      <x:c r="B1911" s="1"/>
      <x:c r="C1911" s="1"/>
      <x:c r="D1911" s="1"/>
      <x:c r="E1911" s="1"/>
      <x:c r="F1911" s="1"/>
    </x:row>
    <x:row r="1912">
      <x:c r="A1912" s="1"/>
      <x:c r="B1912" s="1"/>
      <x:c r="C1912" s="1"/>
      <x:c r="D1912" s="1"/>
      <x:c r="E1912" s="1"/>
      <x:c r="F1912" s="1"/>
    </x:row>
    <x:row r="1913">
      <x:c r="A1913" s="1"/>
      <x:c r="B1913" s="1"/>
      <x:c r="C1913" s="1"/>
      <x:c r="D1913" s="1"/>
      <x:c r="E1913" s="1"/>
      <x:c r="F1913" s="1"/>
    </x:row>
    <x:row r="1914">
      <x:c r="A1914" s="1"/>
      <x:c r="B1914" s="1"/>
      <x:c r="C1914" s="1"/>
      <x:c r="D1914" s="1"/>
      <x:c r="E1914" s="1"/>
      <x:c r="F1914" s="1"/>
    </x:row>
    <x:row r="1915">
      <x:c r="A1915" s="1"/>
      <x:c r="B1915" s="1"/>
      <x:c r="C1915" s="1"/>
      <x:c r="D1915" s="1"/>
      <x:c r="E1915" s="1"/>
      <x:c r="F1915" s="1"/>
    </x:row>
    <x:row r="1916">
      <x:c r="A1916" s="1"/>
      <x:c r="B1916" s="1"/>
      <x:c r="C1916" s="1"/>
      <x:c r="D1916" s="1"/>
      <x:c r="E1916" s="1"/>
      <x:c r="F1916" s="1"/>
    </x:row>
    <x:row r="1917">
      <x:c r="A1917" s="1"/>
      <x:c r="B1917" s="1"/>
      <x:c r="C1917" s="1"/>
      <x:c r="D1917" s="1"/>
      <x:c r="E1917" s="1"/>
      <x:c r="F1917" s="1"/>
    </x:row>
    <x:row r="1918">
      <x:c r="A1918" s="1"/>
      <x:c r="B1918" s="1"/>
      <x:c r="C1918" s="1"/>
      <x:c r="D1918" s="1"/>
      <x:c r="E1918" s="1"/>
      <x:c r="F1918" s="1"/>
    </x:row>
    <x:row r="1919">
      <x:c r="A1919" s="1"/>
      <x:c r="B1919" s="1"/>
      <x:c r="C1919" s="1"/>
      <x:c r="D1919" s="1"/>
      <x:c r="E1919" s="1"/>
      <x:c r="F1919" s="1"/>
    </x:row>
    <x:row r="1920">
      <x:c r="A1920" s="1"/>
      <x:c r="B1920" s="1"/>
      <x:c r="C1920" s="1"/>
      <x:c r="D1920" s="1"/>
      <x:c r="E1920" s="1"/>
      <x:c r="F1920" s="1"/>
    </x:row>
    <x:row r="1921">
      <x:c r="A1921" s="1"/>
      <x:c r="B1921" s="1"/>
      <x:c r="C1921" s="1"/>
      <x:c r="D1921" s="1"/>
      <x:c r="E1921" s="1"/>
      <x:c r="F1921" s="1"/>
    </x:row>
    <x:row r="1922">
      <x:c r="A1922" s="1"/>
      <x:c r="B1922" s="1"/>
      <x:c r="C1922" s="1"/>
      <x:c r="D1922" s="1"/>
      <x:c r="E1922" s="1"/>
      <x:c r="F1922" s="1"/>
    </x:row>
    <x:row r="1923">
      <x:c r="A1923" s="1"/>
      <x:c r="B1923" s="1"/>
      <x:c r="C1923" s="1"/>
      <x:c r="D1923" s="1"/>
      <x:c r="E1923" s="1"/>
      <x:c r="F1923" s="1"/>
    </x:row>
    <x:row r="1924">
      <x:c r="A1924" s="1"/>
      <x:c r="B1924" s="1"/>
      <x:c r="C1924" s="1"/>
      <x:c r="D1924" s="1"/>
      <x:c r="E1924" s="1"/>
      <x:c r="F1924" s="1"/>
    </x:row>
    <x:row r="1925">
      <x:c r="A1925" s="1"/>
      <x:c r="B1925" s="1"/>
      <x:c r="C1925" s="1"/>
      <x:c r="D1925" s="1"/>
      <x:c r="E1925" s="1"/>
      <x:c r="F1925" s="1"/>
    </x:row>
    <x:row r="1926">
      <x:c r="A1926" s="1"/>
      <x:c r="B1926" s="1"/>
      <x:c r="C1926" s="1"/>
      <x:c r="D1926" s="1"/>
      <x:c r="E1926" s="1"/>
      <x:c r="F1926" s="1"/>
    </x:row>
    <x:row r="1927">
      <x:c r="A1927" s="1"/>
      <x:c r="B1927" s="1"/>
      <x:c r="C1927" s="1"/>
      <x:c r="D1927" s="1"/>
      <x:c r="E1927" s="1"/>
      <x:c r="F1927" s="1"/>
    </x:row>
    <x:row r="1928">
      <x:c r="A1928" s="1"/>
      <x:c r="B1928" s="1"/>
      <x:c r="C1928" s="1"/>
      <x:c r="D1928" s="1"/>
      <x:c r="E1928" s="1"/>
      <x:c r="F1928" s="1"/>
    </x:row>
    <x:row r="1929">
      <x:c r="A1929" s="1"/>
      <x:c r="B1929" s="1"/>
      <x:c r="C1929" s="1"/>
      <x:c r="D1929" s="1"/>
      <x:c r="E1929" s="1"/>
      <x:c r="F1929" s="1"/>
    </x:row>
    <x:row r="1930">
      <x:c r="A1930" s="1"/>
      <x:c r="B1930" s="1"/>
      <x:c r="C1930" s="1"/>
      <x:c r="D1930" s="1"/>
      <x:c r="E1930" s="1"/>
      <x:c r="F1930" s="1"/>
    </x:row>
    <x:row r="1931">
      <x:c r="A1931" s="1"/>
      <x:c r="B1931" s="1"/>
      <x:c r="C1931" s="1"/>
      <x:c r="D1931" s="1"/>
      <x:c r="E1931" s="1"/>
      <x:c r="F1931" s="1"/>
    </x:row>
    <x:row r="1932">
      <x:c r="A1932" s="1"/>
      <x:c r="B1932" s="1"/>
      <x:c r="C1932" s="1"/>
      <x:c r="D1932" s="1"/>
      <x:c r="E1932" s="1"/>
      <x:c r="F1932" s="1"/>
    </x:row>
    <x:row r="1933">
      <x:c r="A1933" s="1"/>
      <x:c r="B1933" s="1"/>
      <x:c r="C1933" s="1"/>
      <x:c r="D1933" s="1"/>
      <x:c r="E1933" s="1"/>
      <x:c r="F1933" s="1"/>
    </x:row>
    <x:row r="1934">
      <x:c r="A1934" s="1"/>
      <x:c r="B1934" s="1"/>
      <x:c r="C1934" s="1"/>
      <x:c r="D1934" s="1"/>
      <x:c r="E1934" s="1"/>
      <x:c r="F1934" s="1"/>
    </x:row>
    <x:row r="1935">
      <x:c r="A1935" s="1"/>
      <x:c r="B1935" s="1"/>
      <x:c r="C1935" s="1"/>
      <x:c r="D1935" s="1"/>
      <x:c r="E1935" s="1"/>
      <x:c r="F1935" s="1"/>
    </x:row>
    <x:row r="1936">
      <x:c r="A1936" s="1"/>
      <x:c r="B1936" s="1"/>
      <x:c r="C1936" s="1"/>
      <x:c r="D1936" s="1"/>
      <x:c r="E1936" s="1"/>
      <x:c r="F1936" s="1"/>
    </x:row>
    <x:row r="1937">
      <x:c r="A1937" s="1"/>
      <x:c r="B1937" s="1"/>
      <x:c r="C1937" s="1"/>
      <x:c r="D1937" s="1"/>
      <x:c r="E1937" s="1"/>
      <x:c r="F1937" s="1"/>
    </x:row>
    <x:row r="1938">
      <x:c r="A1938" s="1"/>
      <x:c r="B1938" s="1"/>
      <x:c r="C1938" s="1"/>
      <x:c r="D1938" s="1"/>
      <x:c r="E1938" s="1"/>
      <x:c r="F1938" s="1"/>
    </x:row>
    <x:row r="1939">
      <x:c r="A1939" s="1"/>
      <x:c r="B1939" s="1"/>
      <x:c r="C1939" s="1"/>
      <x:c r="D1939" s="1"/>
      <x:c r="E1939" s="1"/>
      <x:c r="F1939" s="1"/>
    </x:row>
    <x:row r="1940">
      <x:c r="A1940" s="1"/>
      <x:c r="B1940" s="1"/>
      <x:c r="C1940" s="1"/>
      <x:c r="D1940" s="1"/>
      <x:c r="E1940" s="1"/>
      <x:c r="F1940" s="1"/>
    </x:row>
    <x:row r="1941">
      <x:c r="A1941" s="1"/>
      <x:c r="B1941" s="1"/>
      <x:c r="C1941" s="1"/>
      <x:c r="D1941" s="1"/>
      <x:c r="E1941" s="1"/>
      <x:c r="F1941" s="1"/>
    </x:row>
    <x:row r="1942">
      <x:c r="A1942" s="1"/>
      <x:c r="B1942" s="1"/>
      <x:c r="C1942" s="1"/>
      <x:c r="D1942" s="1"/>
      <x:c r="E1942" s="1"/>
      <x:c r="F1942" s="1"/>
    </x:row>
    <x:row r="1943">
      <x:c r="A1943" s="1"/>
      <x:c r="B1943" s="1"/>
      <x:c r="C1943" s="1"/>
      <x:c r="D1943" s="1"/>
      <x:c r="E1943" s="1"/>
      <x:c r="F1943" s="1"/>
    </x:row>
    <x:row r="1944">
      <x:c r="A1944" s="1"/>
      <x:c r="B1944" s="1"/>
      <x:c r="C1944" s="1"/>
      <x:c r="D1944" s="1"/>
      <x:c r="E1944" s="1"/>
      <x:c r="F1944" s="1"/>
    </x:row>
    <x:row r="1945">
      <x:c r="A1945" s="1"/>
      <x:c r="B1945" s="1"/>
      <x:c r="C1945" s="1"/>
      <x:c r="D1945" s="1"/>
      <x:c r="E1945" s="1"/>
      <x:c r="F1945" s="1"/>
    </x:row>
    <x:row r="1946">
      <x:c r="A1946" s="1"/>
      <x:c r="B1946" s="1"/>
      <x:c r="C1946" s="1"/>
      <x:c r="D1946" s="1"/>
      <x:c r="E1946" s="1"/>
      <x:c r="F1946" s="1"/>
    </x:row>
    <x:row r="1947">
      <x:c r="A1947" s="1"/>
      <x:c r="B1947" s="1"/>
      <x:c r="C1947" s="1"/>
      <x:c r="D1947" s="1"/>
      <x:c r="E1947" s="1"/>
      <x:c r="F1947" s="1"/>
    </x:row>
    <x:row r="1948">
      <x:c r="A1948" s="1"/>
      <x:c r="B1948" s="1"/>
      <x:c r="C1948" s="1"/>
      <x:c r="D1948" s="1"/>
      <x:c r="E1948" s="1"/>
      <x:c r="F1948" s="1"/>
    </x:row>
    <x:row r="1949">
      <x:c r="A1949" s="1"/>
      <x:c r="B1949" s="1"/>
      <x:c r="C1949" s="1"/>
      <x:c r="D1949" s="1"/>
      <x:c r="E1949" s="1"/>
      <x:c r="F1949" s="1"/>
    </x:row>
    <x:row r="1950">
      <x:c r="A1950" s="1"/>
      <x:c r="B1950" s="1"/>
      <x:c r="C1950" s="1"/>
      <x:c r="D1950" s="1"/>
      <x:c r="E1950" s="1"/>
      <x:c r="F1950" s="1"/>
    </x:row>
    <x:row r="1951">
      <x:c r="A1951" s="1"/>
      <x:c r="B1951" s="1"/>
      <x:c r="C1951" s="1"/>
      <x:c r="D1951" s="1"/>
      <x:c r="E1951" s="1"/>
      <x:c r="F1951" s="1"/>
    </x:row>
    <x:row r="1952">
      <x:c r="A1952" s="1"/>
      <x:c r="B1952" s="1"/>
      <x:c r="C1952" s="1"/>
      <x:c r="D1952" s="1"/>
      <x:c r="E1952" s="1"/>
      <x:c r="F1952" s="1"/>
    </x:row>
    <x:row r="1953">
      <x:c r="A1953" s="1"/>
      <x:c r="B1953" s="1"/>
      <x:c r="C1953" s="1"/>
      <x:c r="D1953" s="1"/>
      <x:c r="E1953" s="1"/>
      <x:c r="F1953" s="1"/>
    </x:row>
    <x:row r="1954">
      <x:c r="A1954" s="1"/>
      <x:c r="B1954" s="1"/>
      <x:c r="C1954" s="1"/>
      <x:c r="D1954" s="1"/>
      <x:c r="E1954" s="1"/>
      <x:c r="F1954" s="1"/>
    </x:row>
    <x:row r="1955">
      <x:c r="A1955" s="1"/>
      <x:c r="B1955" s="1"/>
      <x:c r="C1955" s="1"/>
      <x:c r="D1955" s="1"/>
      <x:c r="E1955" s="1"/>
      <x:c r="F1955" s="1"/>
    </x:row>
    <x:row r="1956">
      <x:c r="A1956" s="1"/>
      <x:c r="B1956" s="1"/>
      <x:c r="C1956" s="1"/>
      <x:c r="D1956" s="1"/>
      <x:c r="E1956" s="1"/>
      <x:c r="F1956" s="1"/>
    </x:row>
    <x:row r="1957">
      <x:c r="A1957" s="1"/>
      <x:c r="B1957" s="1"/>
      <x:c r="C1957" s="1"/>
      <x:c r="D1957" s="1"/>
      <x:c r="E1957" s="1"/>
      <x:c r="F1957" s="1"/>
    </x:row>
    <x:row r="1958">
      <x:c r="A1958" s="1"/>
      <x:c r="B1958" s="1"/>
      <x:c r="C1958" s="1"/>
      <x:c r="D1958" s="1"/>
      <x:c r="E1958" s="1"/>
      <x:c r="F1958" s="1"/>
    </x:row>
    <x:row r="1959">
      <x:c r="A1959" s="1"/>
      <x:c r="B1959" s="1"/>
      <x:c r="C1959" s="1"/>
      <x:c r="D1959" s="1"/>
      <x:c r="E1959" s="1"/>
      <x:c r="F1959" s="1"/>
    </x:row>
    <x:row r="1960">
      <x:c r="A1960" s="1"/>
      <x:c r="B1960" s="1"/>
      <x:c r="C1960" s="1"/>
      <x:c r="D1960" s="1"/>
      <x:c r="E1960" s="1"/>
      <x:c r="F1960" s="1"/>
    </x:row>
    <x:row r="1961">
      <x:c r="A1961" s="1"/>
      <x:c r="B1961" s="1"/>
      <x:c r="C1961" s="1"/>
      <x:c r="D1961" s="1"/>
      <x:c r="E1961" s="1"/>
      <x:c r="F1961" s="1"/>
    </x:row>
    <x:row r="1962">
      <x:c r="A1962" s="1"/>
      <x:c r="B1962" s="1"/>
      <x:c r="C1962" s="1"/>
      <x:c r="D1962" s="1"/>
      <x:c r="E1962" s="1"/>
      <x:c r="F1962" s="1"/>
    </x:row>
    <x:row r="1963">
      <x:c r="A1963" s="1"/>
      <x:c r="B1963" s="1"/>
      <x:c r="C1963" s="1"/>
      <x:c r="D1963" s="1"/>
      <x:c r="E1963" s="1"/>
      <x:c r="F1963" s="1"/>
    </x:row>
    <x:row r="1964">
      <x:c r="A1964" s="1"/>
      <x:c r="B1964" s="1"/>
      <x:c r="C1964" s="1"/>
      <x:c r="D1964" s="1"/>
      <x:c r="E1964" s="1"/>
      <x:c r="F1964" s="1"/>
    </x:row>
    <x:row r="1965">
      <x:c r="A1965" s="1"/>
      <x:c r="B1965" s="1"/>
      <x:c r="C1965" s="1"/>
      <x:c r="D1965" s="1"/>
      <x:c r="E1965" s="1"/>
      <x:c r="F1965" s="1"/>
    </x:row>
    <x:row r="1966">
      <x:c r="A1966" s="1"/>
      <x:c r="B1966" s="1"/>
      <x:c r="C1966" s="1"/>
      <x:c r="D1966" s="1"/>
      <x:c r="E1966" s="1"/>
      <x:c r="F1966" s="1"/>
    </x:row>
    <x:row r="1967">
      <x:c r="A1967" s="1"/>
      <x:c r="B1967" s="1"/>
      <x:c r="C1967" s="1"/>
      <x:c r="D1967" s="1"/>
      <x:c r="E1967" s="1"/>
      <x:c r="F1967" s="1"/>
    </x:row>
    <x:row r="1968">
      <x:c r="A1968" s="1"/>
      <x:c r="B1968" s="1"/>
      <x:c r="C1968" s="1"/>
      <x:c r="D1968" s="1"/>
      <x:c r="E1968" s="1"/>
      <x:c r="F1968" s="1"/>
    </x:row>
    <x:row r="1969">
      <x:c r="A1969" s="1"/>
      <x:c r="B1969" s="1"/>
      <x:c r="C1969" s="1"/>
      <x:c r="D1969" s="1"/>
      <x:c r="E1969" s="1"/>
      <x:c r="F1969" s="1"/>
    </x:row>
    <x:row r="1970">
      <x:c r="A1970" s="1"/>
      <x:c r="B1970" s="1"/>
      <x:c r="C1970" s="1"/>
      <x:c r="D1970" s="1"/>
      <x:c r="E1970" s="1"/>
      <x:c r="F1970" s="1"/>
    </x:row>
    <x:row r="1971">
      <x:c r="A1971" s="1"/>
      <x:c r="B1971" s="1"/>
      <x:c r="C1971" s="1"/>
      <x:c r="D1971" s="1"/>
      <x:c r="E1971" s="1"/>
      <x:c r="F1971" s="1"/>
    </x:row>
    <x:row r="1972">
      <x:c r="A1972" s="1"/>
      <x:c r="B1972" s="1"/>
      <x:c r="C1972" s="1"/>
      <x:c r="D1972" s="1"/>
      <x:c r="E1972" s="1"/>
      <x:c r="F1972" s="1"/>
    </x:row>
    <x:row r="1973">
      <x:c r="A1973" s="1"/>
      <x:c r="B1973" s="1"/>
      <x:c r="C1973" s="1"/>
      <x:c r="D1973" s="1"/>
      <x:c r="E1973" s="1"/>
      <x:c r="F1973" s="1"/>
    </x:row>
    <x:row r="1974">
      <x:c r="A1974" s="1"/>
      <x:c r="B1974" s="1"/>
      <x:c r="C1974" s="1"/>
      <x:c r="D1974" s="1"/>
      <x:c r="E1974" s="1"/>
      <x:c r="F1974" s="1"/>
    </x:row>
    <x:row r="1975">
      <x:c r="A1975" s="1"/>
      <x:c r="B1975" s="1"/>
      <x:c r="C1975" s="1"/>
      <x:c r="D1975" s="1"/>
      <x:c r="E1975" s="1"/>
      <x:c r="F1975" s="1"/>
    </x:row>
    <x:row r="1976">
      <x:c r="A1976" s="1"/>
      <x:c r="B1976" s="1"/>
      <x:c r="C1976" s="1"/>
      <x:c r="D1976" s="1"/>
      <x:c r="E1976" s="1"/>
      <x:c r="F1976" s="1"/>
    </x:row>
    <x:row r="1977">
      <x:c r="A1977" s="1"/>
      <x:c r="B1977" s="1"/>
      <x:c r="C1977" s="1"/>
      <x:c r="D1977" s="1"/>
      <x:c r="E1977" s="1"/>
      <x:c r="F1977" s="1"/>
    </x:row>
    <x:row r="1978">
      <x:c r="A1978" s="1"/>
      <x:c r="B1978" s="1"/>
      <x:c r="C1978" s="1"/>
      <x:c r="D1978" s="1"/>
      <x:c r="E1978" s="1"/>
      <x:c r="F1978" s="1"/>
    </x:row>
    <x:row r="1979">
      <x:c r="A1979" s="1"/>
      <x:c r="B1979" s="1"/>
      <x:c r="C1979" s="1"/>
      <x:c r="D1979" s="1"/>
      <x:c r="E1979" s="1"/>
      <x:c r="F1979" s="1"/>
    </x:row>
    <x:row r="1980">
      <x:c r="A1980" s="1"/>
      <x:c r="B1980" s="1"/>
      <x:c r="C1980" s="1"/>
      <x:c r="D1980" s="1"/>
      <x:c r="E1980" s="1"/>
      <x:c r="F1980" s="1"/>
    </x:row>
    <x:row r="1981">
      <x:c r="A1981" s="1"/>
      <x:c r="B1981" s="1"/>
      <x:c r="C1981" s="1"/>
      <x:c r="D1981" s="1"/>
      <x:c r="E1981" s="1"/>
      <x:c r="F1981" s="1"/>
    </x:row>
    <x:row r="1982">
      <x:c r="A1982" s="1"/>
      <x:c r="B1982" s="1"/>
      <x:c r="C1982" s="1"/>
      <x:c r="D1982" s="1"/>
      <x:c r="E1982" s="1"/>
      <x:c r="F1982" s="1"/>
    </x:row>
    <x:row r="1983">
      <x:c r="A1983" s="1"/>
      <x:c r="B1983" s="1"/>
      <x:c r="C1983" s="1"/>
      <x:c r="D1983" s="1"/>
      <x:c r="E1983" s="1"/>
      <x:c r="F1983" s="1"/>
    </x:row>
    <x:row r="1984">
      <x:c r="A1984" s="1"/>
      <x:c r="B1984" s="1"/>
      <x:c r="C1984" s="1"/>
      <x:c r="D1984" s="1"/>
      <x:c r="E1984" s="1"/>
      <x:c r="F1984" s="1"/>
    </x:row>
    <x:row r="1985">
      <x:c r="A1985" s="1"/>
      <x:c r="B1985" s="1"/>
      <x:c r="C1985" s="1"/>
      <x:c r="D1985" s="1"/>
      <x:c r="E1985" s="1"/>
      <x:c r="F1985" s="1"/>
    </x:row>
    <x:row r="1986">
      <x:c r="A1986" s="1"/>
      <x:c r="B1986" s="1"/>
      <x:c r="C1986" s="1"/>
      <x:c r="D1986" s="1"/>
      <x:c r="E1986" s="1"/>
      <x:c r="F1986" s="1"/>
    </x:row>
    <x:row r="1987">
      <x:c r="A1987" s="1"/>
      <x:c r="B1987" s="1"/>
      <x:c r="C1987" s="1"/>
      <x:c r="D1987" s="1"/>
      <x:c r="E1987" s="1"/>
      <x:c r="F1987" s="1"/>
    </x:row>
    <x:row r="1988">
      <x:c r="A1988" s="1"/>
      <x:c r="B1988" s="1"/>
      <x:c r="C1988" s="1"/>
      <x:c r="D1988" s="1"/>
      <x:c r="E1988" s="1"/>
      <x:c r="F1988" s="1"/>
    </x:row>
    <x:row r="1989">
      <x:c r="A1989" s="1"/>
      <x:c r="B1989" s="1"/>
      <x:c r="C1989" s="1"/>
      <x:c r="D1989" s="1"/>
      <x:c r="E1989" s="1"/>
      <x:c r="F1989" s="1"/>
    </x:row>
    <x:row r="1990">
      <x:c r="A1990" s="1"/>
      <x:c r="B1990" s="1"/>
      <x:c r="C1990" s="1"/>
      <x:c r="D1990" s="1"/>
      <x:c r="E1990" s="1"/>
      <x:c r="F1990" s="1"/>
    </x:row>
    <x:row r="1991">
      <x:c r="A1991" s="1"/>
      <x:c r="B1991" s="1"/>
      <x:c r="C1991" s="1"/>
      <x:c r="D1991" s="1"/>
      <x:c r="E1991" s="1"/>
      <x:c r="F1991" s="1"/>
    </x:row>
    <x:row r="1992">
      <x:c r="A1992" s="1"/>
      <x:c r="B1992" s="1"/>
      <x:c r="C1992" s="1"/>
      <x:c r="D1992" s="1"/>
      <x:c r="E1992" s="1"/>
      <x:c r="F1992" s="1"/>
    </x:row>
    <x:row r="1993">
      <x:c r="A1993" s="1"/>
      <x:c r="B1993" s="1"/>
      <x:c r="C1993" s="1"/>
      <x:c r="D1993" s="1"/>
      <x:c r="E1993" s="1"/>
      <x:c r="F1993" s="1"/>
    </x:row>
    <x:row r="1994">
      <x:c r="A1994" s="1"/>
      <x:c r="B1994" s="1"/>
      <x:c r="C1994" s="1"/>
      <x:c r="D1994" s="1"/>
      <x:c r="E1994" s="1"/>
      <x:c r="F1994" s="1"/>
    </x:row>
    <x:row r="1995">
      <x:c r="A1995" s="1"/>
      <x:c r="B1995" s="1"/>
      <x:c r="C1995" s="1"/>
      <x:c r="D1995" s="1"/>
      <x:c r="E1995" s="1"/>
      <x:c r="F1995" s="1"/>
    </x:row>
    <x:row r="1996">
      <x:c r="A1996" s="1"/>
      <x:c r="B1996" s="1"/>
      <x:c r="C1996" s="1"/>
      <x:c r="D1996" s="1"/>
      <x:c r="E1996" s="1"/>
      <x:c r="F1996" s="1"/>
    </x:row>
    <x:row r="1997">
      <x:c r="A1997" s="1"/>
      <x:c r="B1997" s="1"/>
      <x:c r="C1997" s="1"/>
      <x:c r="D1997" s="1"/>
      <x:c r="E1997" s="1"/>
      <x:c r="F1997" s="1"/>
    </x:row>
    <x:row r="1998">
      <x:c r="A1998" s="1"/>
      <x:c r="B1998" s="1"/>
      <x:c r="C1998" s="1"/>
      <x:c r="D1998" s="1"/>
      <x:c r="E1998" s="1"/>
      <x:c r="F1998" s="1"/>
    </x:row>
    <x:row r="1999">
      <x:c r="A1999" s="1"/>
      <x:c r="B1999" s="1"/>
      <x:c r="C1999" s="1"/>
      <x:c r="D1999" s="1"/>
      <x:c r="E1999" s="1"/>
      <x:c r="F1999" s="1"/>
    </x:row>
    <x:row r="2000">
      <x:c r="A2000" s="1"/>
      <x:c r="B2000" s="1"/>
      <x:c r="C2000" s="1"/>
      <x:c r="D2000" s="1"/>
      <x:c r="E2000" s="1"/>
      <x:c r="F2000" s="1"/>
    </x:row>
    <x:row r="2001">
      <x:c r="A2001" s="1"/>
      <x:c r="B2001" s="1"/>
      <x:c r="C2001" s="1"/>
      <x:c r="D2001" s="1"/>
      <x:c r="E2001" s="1"/>
      <x:c r="F2001" s="1"/>
    </x:row>
    <x:row r="2002">
      <x:c r="A2002" s="1"/>
      <x:c r="B2002" s="1"/>
      <x:c r="C2002" s="1"/>
      <x:c r="D2002" s="1"/>
      <x:c r="E2002" s="1"/>
      <x:c r="F2002" s="1"/>
    </x:row>
    <x:row r="2003">
      <x:c r="A2003" s="1"/>
      <x:c r="B2003" s="1"/>
      <x:c r="C2003" s="1"/>
      <x:c r="D2003" s="1"/>
      <x:c r="E2003" s="1"/>
      <x:c r="F2003" s="1"/>
    </x:row>
    <x:row r="2004">
      <x:c r="A2004" s="1"/>
      <x:c r="B2004" s="1"/>
      <x:c r="C2004" s="1"/>
      <x:c r="D2004" s="1"/>
      <x:c r="E2004" s="1"/>
      <x:c r="F2004" s="1"/>
    </x:row>
    <x:row r="2005">
      <x:c r="A2005" s="1"/>
      <x:c r="B2005" s="1"/>
      <x:c r="C2005" s="1"/>
      <x:c r="D2005" s="1"/>
      <x:c r="E2005" s="1"/>
      <x:c r="F2005" s="1"/>
    </x:row>
    <x:row r="2006">
      <x:c r="A2006" s="1"/>
      <x:c r="B2006" s="1"/>
      <x:c r="C2006" s="1"/>
      <x:c r="D2006" s="1"/>
      <x:c r="E2006" s="1"/>
      <x:c r="F2006" s="1"/>
    </x:row>
    <x:row r="2007">
      <x:c r="A2007" s="1"/>
      <x:c r="B2007" s="1"/>
      <x:c r="C2007" s="1"/>
      <x:c r="D2007" s="1"/>
      <x:c r="E2007" s="1"/>
      <x:c r="F2007" s="1"/>
    </x:row>
    <x:row r="2008">
      <x:c r="A2008" s="1"/>
      <x:c r="B2008" s="1"/>
      <x:c r="C2008" s="1"/>
      <x:c r="D2008" s="1"/>
      <x:c r="E2008" s="1"/>
      <x:c r="F2008" s="1"/>
    </x:row>
    <x:row r="2009">
      <x:c r="A2009" s="1"/>
      <x:c r="B2009" s="1"/>
      <x:c r="C2009" s="1"/>
      <x:c r="D2009" s="1"/>
      <x:c r="E2009" s="1"/>
      <x:c r="F2009" s="1"/>
    </x:row>
    <x:row r="2010">
      <x:c r="A2010" s="1"/>
      <x:c r="B2010" s="1"/>
      <x:c r="C2010" s="1"/>
      <x:c r="D2010" s="1"/>
      <x:c r="E2010" s="1"/>
      <x:c r="F2010" s="1"/>
    </x:row>
    <x:row r="2011">
      <x:c r="A2011" s="1"/>
      <x:c r="B2011" s="1"/>
      <x:c r="C2011" s="1"/>
      <x:c r="D2011" s="1"/>
      <x:c r="E2011" s="1"/>
      <x:c r="F2011" s="1"/>
    </x:row>
    <x:row r="2012">
      <x:c r="A2012" s="1"/>
      <x:c r="B2012" s="1"/>
      <x:c r="C2012" s="1"/>
      <x:c r="D2012" s="1"/>
      <x:c r="E2012" s="1"/>
      <x:c r="F2012" s="1"/>
    </x:row>
    <x:row r="2013">
      <x:c r="A2013" s="1"/>
      <x:c r="B2013" s="1"/>
      <x:c r="C2013" s="1"/>
      <x:c r="D2013" s="1"/>
      <x:c r="E2013" s="1"/>
      <x:c r="F2013" s="1"/>
    </x:row>
    <x:row r="2014">
      <x:c r="A2014" s="1"/>
      <x:c r="B2014" s="1"/>
      <x:c r="C2014" s="1"/>
      <x:c r="D2014" s="1"/>
      <x:c r="E2014" s="1"/>
      <x:c r="F2014" s="1"/>
    </x:row>
    <x:row r="2015">
      <x:c r="A2015" s="1"/>
      <x:c r="B2015" s="1"/>
      <x:c r="C2015" s="1"/>
      <x:c r="D2015" s="1"/>
      <x:c r="E2015" s="1"/>
      <x:c r="F2015" s="1"/>
    </x:row>
    <x:row r="2016">
      <x:c r="A2016" s="1"/>
      <x:c r="B2016" s="1"/>
      <x:c r="C2016" s="1"/>
      <x:c r="D2016" s="1"/>
      <x:c r="E2016" s="1"/>
      <x:c r="F2016" s="1"/>
    </x:row>
    <x:row r="2017">
      <x:c r="A2017" s="1"/>
      <x:c r="B2017" s="1"/>
      <x:c r="C2017" s="1"/>
      <x:c r="D2017" s="1"/>
      <x:c r="E2017" s="1"/>
      <x:c r="F2017" s="1"/>
    </x:row>
    <x:row r="2018">
      <x:c r="A2018" s="1"/>
      <x:c r="B2018" s="1"/>
      <x:c r="C2018" s="1"/>
      <x:c r="D2018" s="1"/>
      <x:c r="E2018" s="1"/>
      <x:c r="F2018" s="1"/>
    </x:row>
    <x:row r="2019">
      <x:c r="A2019" s="1"/>
      <x:c r="B2019" s="1"/>
      <x:c r="C2019" s="1"/>
      <x:c r="D2019" s="1"/>
      <x:c r="E2019" s="1"/>
      <x:c r="F2019" s="1"/>
    </x:row>
    <x:row r="2020">
      <x:c r="A2020" s="1"/>
      <x:c r="B2020" s="1"/>
      <x:c r="C2020" s="1"/>
      <x:c r="D2020" s="1"/>
      <x:c r="E2020" s="1"/>
      <x:c r="F2020" s="1"/>
    </x:row>
    <x:row r="2021">
      <x:c r="A2021" s="1"/>
      <x:c r="B2021" s="1"/>
      <x:c r="C2021" s="1"/>
      <x:c r="D2021" s="1"/>
      <x:c r="E2021" s="1"/>
      <x:c r="F2021" s="1"/>
    </x:row>
    <x:row r="2022">
      <x:c r="A2022" s="1"/>
      <x:c r="B2022" s="1"/>
      <x:c r="C2022" s="1"/>
      <x:c r="D2022" s="1"/>
      <x:c r="E2022" s="1"/>
      <x:c r="F2022" s="1"/>
    </x:row>
    <x:row r="2023">
      <x:c r="A2023" s="1"/>
      <x:c r="B2023" s="1"/>
      <x:c r="C2023" s="1"/>
      <x:c r="D2023" s="1"/>
      <x:c r="E2023" s="1"/>
      <x:c r="F2023" s="1"/>
    </x:row>
    <x:row r="2024">
      <x:c r="A2024" s="1"/>
      <x:c r="B2024" s="1"/>
      <x:c r="C2024" s="1"/>
      <x:c r="D2024" s="1"/>
      <x:c r="E2024" s="1"/>
      <x:c r="F2024" s="1"/>
    </x:row>
    <x:row r="2025">
      <x:c r="A2025" s="1"/>
      <x:c r="B2025" s="1"/>
      <x:c r="C2025" s="1"/>
      <x:c r="D2025" s="1"/>
      <x:c r="E2025" s="1"/>
      <x:c r="F2025" s="1"/>
    </x:row>
    <x:row r="2026">
      <x:c r="A2026" s="1"/>
      <x:c r="B2026" s="1"/>
      <x:c r="C2026" s="1"/>
      <x:c r="D2026" s="1"/>
      <x:c r="E2026" s="1"/>
      <x:c r="F2026" s="1"/>
    </x:row>
    <x:row r="2027">
      <x:c r="A2027" s="1"/>
      <x:c r="B2027" s="1"/>
      <x:c r="C2027" s="1"/>
      <x:c r="D2027" s="1"/>
      <x:c r="E2027" s="1"/>
      <x:c r="F2027" s="1"/>
    </x:row>
    <x:row r="2028">
      <x:c r="A2028" s="1"/>
      <x:c r="B2028" s="1"/>
      <x:c r="C2028" s="1"/>
      <x:c r="D2028" s="1"/>
      <x:c r="E2028" s="1"/>
      <x:c r="F2028" s="1"/>
    </x:row>
    <x:row r="2029">
      <x:c r="A2029" s="1"/>
      <x:c r="B2029" s="1"/>
      <x:c r="C2029" s="1"/>
      <x:c r="D2029" s="1"/>
      <x:c r="E2029" s="1"/>
      <x:c r="F2029" s="1"/>
    </x:row>
    <x:row r="2030">
      <x:c r="A2030" s="1"/>
      <x:c r="B2030" s="1"/>
      <x:c r="C2030" s="1"/>
      <x:c r="D2030" s="1"/>
      <x:c r="E2030" s="1"/>
      <x:c r="F2030" s="1"/>
    </x:row>
    <x:row r="2031">
      <x:c r="A2031" s="1"/>
      <x:c r="B2031" s="1"/>
      <x:c r="C2031" s="1"/>
      <x:c r="D2031" s="1"/>
      <x:c r="E2031" s="1"/>
      <x:c r="F2031" s="1"/>
    </x:row>
    <x:row r="2032">
      <x:c r="A2032" s="1"/>
      <x:c r="B2032" s="1"/>
      <x:c r="C2032" s="1"/>
      <x:c r="D2032" s="1"/>
      <x:c r="E2032" s="1"/>
      <x:c r="F2032" s="1"/>
    </x:row>
    <x:row r="2033">
      <x:c r="A2033" s="1"/>
      <x:c r="B2033" s="1"/>
      <x:c r="C2033" s="1"/>
      <x:c r="D2033" s="1"/>
      <x:c r="E2033" s="1"/>
      <x:c r="F2033" s="1"/>
    </x:row>
    <x:row r="2034">
      <x:c r="A2034" s="1"/>
      <x:c r="B2034" s="1"/>
      <x:c r="C2034" s="1"/>
      <x:c r="D2034" s="1"/>
      <x:c r="E2034" s="1"/>
      <x:c r="F2034" s="1"/>
    </x:row>
    <x:row r="2035">
      <x:c r="A2035" s="1"/>
      <x:c r="B2035" s="1"/>
      <x:c r="C2035" s="1"/>
      <x:c r="D2035" s="1"/>
      <x:c r="E2035" s="1"/>
      <x:c r="F2035" s="1"/>
    </x:row>
    <x:row r="2036">
      <x:c r="A2036" s="1"/>
      <x:c r="B2036" s="1"/>
      <x:c r="C2036" s="1"/>
      <x:c r="D2036" s="1"/>
      <x:c r="E2036" s="1"/>
      <x:c r="F2036" s="1"/>
    </x:row>
    <x:row r="2037">
      <x:c r="A2037" s="1"/>
      <x:c r="B2037" s="1"/>
      <x:c r="C2037" s="1"/>
      <x:c r="D2037" s="1"/>
      <x:c r="E2037" s="1"/>
      <x:c r="F2037" s="1"/>
    </x:row>
    <x:row r="2038">
      <x:c r="A2038" s="1"/>
      <x:c r="B2038" s="1"/>
      <x:c r="C2038" s="1"/>
      <x:c r="D2038" s="1"/>
      <x:c r="E2038" s="1"/>
      <x:c r="F2038" s="1"/>
    </x:row>
    <x:row r="2039">
      <x:c r="A2039" s="1"/>
      <x:c r="B2039" s="1"/>
      <x:c r="C2039" s="1"/>
      <x:c r="D2039" s="1"/>
      <x:c r="E2039" s="1"/>
      <x:c r="F2039" s="1"/>
    </x:row>
    <x:row r="2040">
      <x:c r="A2040" s="1"/>
      <x:c r="B2040" s="1"/>
      <x:c r="C2040" s="1"/>
      <x:c r="D2040" s="1"/>
      <x:c r="E2040" s="1"/>
      <x:c r="F2040" s="1"/>
    </x:row>
    <x:row r="2041">
      <x:c r="A2041" s="1"/>
      <x:c r="B2041" s="1"/>
      <x:c r="C2041" s="1"/>
      <x:c r="D2041" s="1"/>
      <x:c r="E2041" s="1"/>
      <x:c r="F2041" s="1"/>
    </x:row>
    <x:row r="2042">
      <x:c r="A2042" s="1"/>
      <x:c r="B2042" s="1"/>
      <x:c r="C2042" s="1"/>
      <x:c r="D2042" s="1"/>
      <x:c r="E2042" s="1"/>
      <x:c r="F2042" s="1"/>
    </x:row>
    <x:row r="2043">
      <x:c r="A2043" s="1"/>
      <x:c r="B2043" s="1"/>
      <x:c r="C2043" s="1"/>
      <x:c r="D2043" s="1"/>
      <x:c r="E2043" s="1"/>
      <x:c r="F2043" s="1"/>
    </x:row>
    <x:row r="2044">
      <x:c r="A2044" s="1"/>
      <x:c r="B2044" s="1"/>
      <x:c r="C2044" s="1"/>
      <x:c r="D2044" s="1"/>
      <x:c r="E2044" s="1"/>
      <x:c r="F2044" s="1"/>
    </x:row>
    <x:row r="2045">
      <x:c r="A2045" s="1"/>
      <x:c r="B2045" s="1"/>
      <x:c r="C2045" s="1"/>
      <x:c r="D2045" s="1"/>
      <x:c r="E2045" s="1"/>
      <x:c r="F2045" s="1"/>
    </x:row>
    <x:row r="2046">
      <x:c r="A2046" s="1"/>
      <x:c r="B2046" s="1"/>
      <x:c r="C2046" s="1"/>
      <x:c r="D2046" s="1"/>
      <x:c r="E2046" s="1"/>
      <x:c r="F2046" s="1"/>
    </x:row>
    <x:row r="2047">
      <x:c r="A2047" s="1"/>
      <x:c r="B2047" s="1"/>
      <x:c r="C2047" s="1"/>
      <x:c r="D2047" s="1"/>
      <x:c r="E2047" s="1"/>
      <x:c r="F2047" s="1"/>
    </x:row>
    <x:row r="2048">
      <x:c r="A2048" s="1"/>
      <x:c r="B2048" s="1"/>
      <x:c r="C2048" s="1"/>
      <x:c r="D2048" s="1"/>
      <x:c r="E2048" s="1"/>
      <x:c r="F2048" s="1"/>
    </x:row>
    <x:row r="2049">
      <x:c r="A2049" s="1"/>
      <x:c r="B2049" s="1"/>
      <x:c r="C2049" s="1"/>
      <x:c r="D2049" s="1"/>
      <x:c r="E2049" s="1"/>
      <x:c r="F2049" s="1"/>
    </x:row>
    <x:row r="2050">
      <x:c r="A2050" s="1"/>
      <x:c r="B2050" s="1"/>
      <x:c r="C2050" s="1"/>
      <x:c r="D2050" s="1"/>
      <x:c r="E2050" s="1"/>
      <x:c r="F2050" s="1"/>
    </x:row>
    <x:row r="2051">
      <x:c r="A2051" s="1"/>
      <x:c r="B2051" s="1"/>
      <x:c r="C2051" s="1"/>
      <x:c r="D2051" s="1"/>
      <x:c r="E2051" s="1"/>
      <x:c r="F2051" s="1"/>
    </x:row>
    <x:row r="2052">
      <x:c r="A2052" s="1"/>
      <x:c r="B2052" s="1"/>
      <x:c r="C2052" s="1"/>
      <x:c r="D2052" s="1"/>
      <x:c r="E2052" s="1"/>
      <x:c r="F2052" s="1"/>
    </x:row>
    <x:row r="2053">
      <x:c r="A2053" s="1"/>
      <x:c r="B2053" s="1"/>
      <x:c r="C2053" s="1"/>
      <x:c r="D2053" s="1"/>
      <x:c r="E2053" s="1"/>
      <x:c r="F2053" s="1"/>
    </x:row>
    <x:row r="2054">
      <x:c r="A2054" s="1"/>
      <x:c r="B2054" s="1"/>
      <x:c r="C2054" s="1"/>
      <x:c r="D2054" s="1"/>
      <x:c r="E2054" s="1"/>
      <x:c r="F2054" s="1"/>
    </x:row>
    <x:row r="2055">
      <x:c r="A2055" s="1"/>
      <x:c r="B2055" s="1"/>
      <x:c r="C2055" s="1"/>
      <x:c r="D2055" s="1"/>
      <x:c r="E2055" s="1"/>
      <x:c r="F2055" s="1"/>
    </x:row>
    <x:row r="2056">
      <x:c r="A2056" s="1"/>
      <x:c r="B2056" s="1"/>
      <x:c r="C2056" s="1"/>
      <x:c r="D2056" s="1"/>
      <x:c r="E2056" s="1"/>
      <x:c r="F2056" s="1"/>
    </x:row>
    <x:row r="2057">
      <x:c r="A2057" s="1"/>
      <x:c r="B2057" s="1"/>
      <x:c r="C2057" s="1"/>
      <x:c r="D2057" s="1"/>
      <x:c r="E2057" s="1"/>
      <x:c r="F2057" s="1"/>
    </x:row>
    <x:row r="2058">
      <x:c r="A2058" s="1"/>
      <x:c r="B2058" s="1"/>
      <x:c r="C2058" s="1"/>
      <x:c r="D2058" s="1"/>
      <x:c r="E2058" s="1"/>
      <x:c r="F2058" s="1"/>
    </x:row>
    <x:row r="2059">
      <x:c r="A2059" s="1"/>
      <x:c r="B2059" s="1"/>
      <x:c r="C2059" s="1"/>
      <x:c r="D2059" s="1"/>
      <x:c r="E2059" s="1"/>
      <x:c r="F2059" s="1"/>
    </x:row>
    <x:row r="2060">
      <x:c r="A2060" s="1"/>
      <x:c r="B2060" s="1"/>
      <x:c r="C2060" s="1"/>
      <x:c r="D2060" s="1"/>
      <x:c r="E2060" s="1"/>
      <x:c r="F2060" s="1"/>
    </x:row>
    <x:row r="2061">
      <x:c r="A2061" s="1"/>
      <x:c r="B2061" s="1"/>
      <x:c r="C2061" s="1"/>
      <x:c r="D2061" s="1"/>
      <x:c r="E2061" s="1"/>
      <x:c r="F2061" s="1"/>
    </x:row>
    <x:row r="2062">
      <x:c r="A2062" s="1"/>
      <x:c r="B2062" s="1"/>
      <x:c r="C2062" s="1"/>
      <x:c r="D2062" s="1"/>
      <x:c r="E2062" s="1"/>
      <x:c r="F2062" s="1"/>
    </x:row>
    <x:row r="2063">
      <x:c r="A2063" s="1"/>
      <x:c r="B2063" s="1"/>
      <x:c r="C2063" s="1"/>
      <x:c r="D2063" s="1"/>
      <x:c r="E2063" s="1"/>
      <x:c r="F2063" s="1"/>
    </x:row>
    <x:row r="2064">
      <x:c r="A2064" s="1"/>
      <x:c r="B2064" s="1"/>
      <x:c r="C2064" s="1"/>
      <x:c r="D2064" s="1"/>
      <x:c r="E2064" s="1"/>
      <x:c r="F2064" s="1"/>
    </x:row>
    <x:row r="2065">
      <x:c r="A2065" s="1"/>
      <x:c r="B2065" s="1"/>
      <x:c r="C2065" s="1"/>
      <x:c r="D2065" s="1"/>
      <x:c r="E2065" s="1"/>
      <x:c r="F2065" s="1"/>
    </x:row>
    <x:row r="2066">
      <x:c r="A2066" s="1"/>
      <x:c r="B2066" s="1"/>
      <x:c r="C2066" s="1"/>
      <x:c r="D2066" s="1"/>
      <x:c r="E2066" s="1"/>
      <x:c r="F2066" s="1"/>
    </x:row>
    <x:row r="2067">
      <x:c r="A2067" s="1"/>
      <x:c r="B2067" s="1"/>
      <x:c r="C2067" s="1"/>
      <x:c r="D2067" s="1"/>
      <x:c r="E2067" s="1"/>
      <x:c r="F2067" s="1"/>
    </x:row>
    <x:row r="2068">
      <x:c r="A2068" s="1"/>
      <x:c r="B2068" s="1"/>
      <x:c r="C2068" s="1"/>
      <x:c r="D2068" s="1"/>
      <x:c r="E2068" s="1"/>
      <x:c r="F2068" s="1"/>
    </x:row>
    <x:row r="2069">
      <x:c r="A2069" s="1"/>
      <x:c r="B2069" s="1"/>
      <x:c r="C2069" s="1"/>
      <x:c r="D2069" s="1"/>
      <x:c r="E2069" s="1"/>
      <x:c r="F2069" s="1"/>
    </x:row>
    <x:row r="2070">
      <x:c r="A2070" s="1"/>
      <x:c r="B2070" s="1"/>
      <x:c r="C2070" s="1"/>
      <x:c r="D2070" s="1"/>
      <x:c r="E2070" s="1"/>
      <x:c r="F2070" s="1"/>
    </x:row>
    <x:row r="2071">
      <x:c r="A2071" s="1"/>
      <x:c r="B2071" s="1"/>
      <x:c r="C2071" s="1"/>
      <x:c r="D2071" s="1"/>
      <x:c r="E2071" s="1"/>
      <x:c r="F2071" s="1"/>
    </x:row>
    <x:row r="2072">
      <x:c r="A2072" s="1"/>
      <x:c r="B2072" s="1"/>
      <x:c r="C2072" s="1"/>
      <x:c r="D2072" s="1"/>
      <x:c r="E2072" s="1"/>
      <x:c r="F2072" s="1"/>
    </x:row>
    <x:row r="2073">
      <x:c r="A2073" s="1"/>
      <x:c r="B2073" s="1"/>
      <x:c r="C2073" s="1"/>
      <x:c r="D2073" s="1"/>
      <x:c r="E2073" s="1"/>
      <x:c r="F2073" s="1"/>
    </x:row>
    <x:row r="2074">
      <x:c r="A2074" s="1"/>
      <x:c r="B2074" s="1"/>
      <x:c r="C2074" s="1"/>
      <x:c r="D2074" s="1"/>
      <x:c r="E2074" s="1"/>
      <x:c r="F2074" s="1"/>
    </x:row>
    <x:row r="2075">
      <x:c r="A2075" s="1"/>
      <x:c r="B2075" s="1"/>
      <x:c r="C2075" s="1"/>
      <x:c r="D2075" s="1"/>
      <x:c r="E2075" s="1"/>
      <x:c r="F2075" s="1"/>
    </x:row>
    <x:row r="2076">
      <x:c r="A2076" s="1"/>
      <x:c r="B2076" s="1"/>
      <x:c r="C2076" s="1"/>
      <x:c r="D2076" s="1"/>
      <x:c r="E2076" s="1"/>
      <x:c r="F2076" s="1"/>
    </x:row>
    <x:row r="2077">
      <x:c r="A2077" s="1"/>
      <x:c r="B2077" s="1"/>
      <x:c r="C2077" s="1"/>
      <x:c r="D2077" s="1"/>
      <x:c r="E2077" s="1"/>
      <x:c r="F2077" s="1"/>
    </x:row>
    <x:row r="2078">
      <x:c r="A2078" s="1"/>
      <x:c r="B2078" s="1"/>
      <x:c r="C2078" s="1"/>
      <x:c r="D2078" s="1"/>
      <x:c r="E2078" s="1"/>
      <x:c r="F2078" s="1"/>
    </x:row>
    <x:row r="2079">
      <x:c r="A2079" s="1"/>
      <x:c r="B2079" s="1"/>
      <x:c r="C2079" s="1"/>
      <x:c r="D2079" s="1"/>
      <x:c r="E2079" s="1"/>
      <x:c r="F2079" s="1"/>
    </x:row>
    <x:row r="2080">
      <x:c r="A2080" s="1"/>
      <x:c r="B2080" s="1"/>
      <x:c r="C2080" s="1"/>
      <x:c r="D2080" s="1"/>
      <x:c r="E2080" s="1"/>
      <x:c r="F2080" s="1"/>
    </x:row>
    <x:row r="2081">
      <x:c r="A2081" s="1"/>
      <x:c r="B2081" s="1"/>
      <x:c r="C2081" s="1"/>
      <x:c r="D2081" s="1"/>
      <x:c r="E2081" s="1"/>
      <x:c r="F2081" s="1"/>
    </x:row>
    <x:row r="2082">
      <x:c r="A2082" s="1"/>
      <x:c r="B2082" s="1"/>
      <x:c r="C2082" s="1"/>
      <x:c r="D2082" s="1"/>
      <x:c r="E2082" s="1"/>
      <x:c r="F2082" s="1"/>
    </x:row>
    <x:row r="2083">
      <x:c r="A2083" s="1"/>
      <x:c r="B2083" s="1"/>
      <x:c r="C2083" s="1"/>
      <x:c r="D2083" s="1"/>
      <x:c r="E2083" s="1"/>
      <x:c r="F2083" s="1"/>
    </x:row>
    <x:row r="2084">
      <x:c r="A2084" s="1"/>
      <x:c r="B2084" s="1"/>
      <x:c r="C2084" s="1"/>
      <x:c r="D2084" s="1"/>
      <x:c r="E2084" s="1"/>
      <x:c r="F2084" s="1"/>
    </x:row>
    <x:row r="2085">
      <x:c r="A2085" s="1"/>
      <x:c r="B2085" s="1"/>
      <x:c r="C2085" s="1"/>
      <x:c r="D2085" s="1"/>
      <x:c r="E2085" s="1"/>
      <x:c r="F2085" s="1"/>
    </x:row>
    <x:row r="2086">
      <x:c r="A2086" s="1"/>
      <x:c r="B2086" s="1"/>
      <x:c r="C2086" s="1"/>
      <x:c r="D2086" s="1"/>
      <x:c r="E2086" s="1"/>
      <x:c r="F2086" s="1"/>
    </x:row>
    <x:row r="2087">
      <x:c r="A2087" s="1"/>
      <x:c r="B2087" s="1"/>
      <x:c r="C2087" s="1"/>
      <x:c r="D2087" s="1"/>
      <x:c r="E2087" s="1"/>
      <x:c r="F2087" s="1"/>
    </x:row>
    <x:row r="2088">
      <x:c r="A2088" s="1"/>
      <x:c r="B2088" s="1"/>
      <x:c r="C2088" s="1"/>
      <x:c r="D2088" s="1"/>
      <x:c r="E2088" s="1"/>
      <x:c r="F2088" s="1"/>
    </x:row>
    <x:row r="2089">
      <x:c r="A2089" s="1"/>
      <x:c r="B2089" s="1"/>
      <x:c r="C2089" s="1"/>
      <x:c r="D2089" s="1"/>
      <x:c r="E2089" s="1"/>
      <x:c r="F2089" s="1"/>
    </x:row>
    <x:row r="2090">
      <x:c r="A2090" s="1"/>
      <x:c r="B2090" s="1"/>
      <x:c r="C2090" s="1"/>
      <x:c r="D2090" s="1"/>
      <x:c r="E2090" s="1"/>
      <x:c r="F2090" s="1"/>
    </x:row>
    <x:row r="2091">
      <x:c r="A2091" s="1"/>
      <x:c r="B2091" s="1"/>
      <x:c r="C2091" s="1"/>
      <x:c r="D2091" s="1"/>
      <x:c r="E2091" s="1"/>
      <x:c r="F2091" s="1"/>
    </x:row>
    <x:row r="2092">
      <x:c r="A2092" s="1"/>
      <x:c r="B2092" s="1"/>
      <x:c r="C2092" s="1"/>
      <x:c r="D2092" s="1"/>
      <x:c r="E2092" s="1"/>
      <x:c r="F2092" s="1"/>
    </x:row>
    <x:row r="2093">
      <x:c r="A2093" s="1"/>
      <x:c r="B2093" s="1"/>
      <x:c r="C2093" s="1"/>
      <x:c r="D2093" s="1"/>
      <x:c r="E2093" s="1"/>
      <x:c r="F2093" s="1"/>
    </x:row>
    <x:row r="2094">
      <x:c r="A2094" s="1"/>
      <x:c r="B2094" s="1"/>
      <x:c r="C2094" s="1"/>
      <x:c r="D2094" s="1"/>
      <x:c r="E2094" s="1"/>
      <x:c r="F2094" s="1"/>
    </x:row>
    <x:row r="2095">
      <x:c r="A2095" s="1"/>
      <x:c r="B2095" s="1"/>
      <x:c r="C2095" s="1"/>
      <x:c r="D2095" s="1"/>
      <x:c r="E2095" s="1"/>
      <x:c r="F2095" s="1"/>
    </x:row>
    <x:row r="2096">
      <x:c r="A2096" s="1"/>
      <x:c r="B2096" s="1"/>
      <x:c r="C2096" s="1"/>
      <x:c r="D2096" s="1"/>
      <x:c r="E2096" s="1"/>
      <x:c r="F2096" s="1"/>
    </x:row>
    <x:row r="2097">
      <x:c r="A2097" s="1"/>
      <x:c r="B2097" s="1"/>
      <x:c r="C2097" s="1"/>
      <x:c r="D2097" s="1"/>
      <x:c r="E2097" s="1"/>
      <x:c r="F2097" s="1"/>
    </x:row>
    <x:row r="2098">
      <x:c r="A2098" s="1"/>
      <x:c r="B2098" s="1"/>
      <x:c r="C2098" s="1"/>
      <x:c r="D2098" s="1"/>
      <x:c r="E2098" s="1"/>
      <x:c r="F2098" s="1"/>
    </x:row>
    <x:row r="2099">
      <x:c r="A2099" s="1"/>
      <x:c r="B2099" s="1"/>
      <x:c r="C2099" s="1"/>
      <x:c r="D2099" s="1"/>
      <x:c r="E2099" s="1"/>
      <x:c r="F2099" s="1"/>
    </x:row>
    <x:row r="2100">
      <x:c r="A2100" s="1"/>
      <x:c r="B2100" s="1"/>
      <x:c r="C2100" s="1"/>
      <x:c r="D2100" s="1"/>
      <x:c r="E2100" s="1"/>
      <x:c r="F2100" s="1"/>
    </x:row>
    <x:row r="2101">
      <x:c r="A2101" s="1"/>
      <x:c r="B2101" s="1"/>
      <x:c r="C2101" s="1"/>
      <x:c r="D2101" s="1"/>
      <x:c r="E2101" s="1"/>
      <x:c r="F2101" s="1"/>
    </x:row>
    <x:row r="2102">
      <x:c r="A2102" s="1"/>
      <x:c r="B2102" s="1"/>
      <x:c r="C2102" s="1"/>
      <x:c r="D2102" s="1"/>
      <x:c r="E2102" s="1"/>
      <x:c r="F2102" s="1"/>
    </x:row>
    <x:row r="2103">
      <x:c r="A2103" s="1"/>
      <x:c r="B2103" s="1"/>
      <x:c r="C2103" s="1"/>
      <x:c r="D2103" s="1"/>
      <x:c r="E2103" s="1"/>
      <x:c r="F2103" s="1"/>
    </x:row>
    <x:row r="2104">
      <x:c r="A2104" s="1"/>
      <x:c r="B2104" s="1"/>
      <x:c r="C2104" s="1"/>
      <x:c r="D2104" s="1"/>
      <x:c r="E2104" s="1"/>
      <x:c r="F2104" s="1"/>
    </x:row>
    <x:row r="2105">
      <x:c r="A2105" s="1"/>
      <x:c r="B2105" s="1"/>
      <x:c r="C2105" s="1"/>
      <x:c r="D2105" s="1"/>
      <x:c r="E2105" s="1"/>
      <x:c r="F2105" s="1"/>
    </x:row>
    <x:row r="2106">
      <x:c r="A2106" s="1"/>
      <x:c r="B2106" s="1"/>
      <x:c r="C2106" s="1"/>
      <x:c r="D2106" s="1"/>
      <x:c r="E2106" s="1"/>
      <x:c r="F2106" s="1"/>
    </x:row>
    <x:row r="2107">
      <x:c r="A2107" s="1"/>
      <x:c r="B2107" s="1"/>
      <x:c r="C2107" s="1"/>
      <x:c r="D2107" s="1"/>
      <x:c r="E2107" s="1"/>
      <x:c r="F2107" s="1"/>
    </x:row>
    <x:row r="2108">
      <x:c r="A2108" s="1"/>
      <x:c r="B2108" s="1"/>
      <x:c r="C2108" s="1"/>
      <x:c r="D2108" s="1"/>
      <x:c r="E2108" s="1"/>
      <x:c r="F2108" s="1"/>
    </x:row>
    <x:row r="2109">
      <x:c r="A2109" s="1"/>
      <x:c r="B2109" s="1"/>
      <x:c r="C2109" s="1"/>
      <x:c r="D2109" s="1"/>
      <x:c r="E2109" s="1"/>
      <x:c r="F2109" s="1"/>
    </x:row>
    <x:row r="2110">
      <x:c r="A2110" s="1"/>
      <x:c r="B2110" s="1"/>
      <x:c r="C2110" s="1"/>
      <x:c r="D2110" s="1"/>
      <x:c r="E2110" s="1"/>
      <x:c r="F2110" s="1"/>
    </x:row>
    <x:row r="2111">
      <x:c r="A2111" s="1"/>
      <x:c r="B2111" s="1"/>
      <x:c r="C2111" s="1"/>
      <x:c r="D2111" s="1"/>
      <x:c r="E2111" s="1"/>
      <x:c r="F2111" s="1"/>
    </x:row>
    <x:row r="2112">
      <x:c r="A2112" s="1"/>
      <x:c r="B2112" s="1"/>
      <x:c r="C2112" s="1"/>
      <x:c r="D2112" s="1"/>
      <x:c r="E2112" s="1"/>
      <x:c r="F2112" s="1"/>
    </x:row>
    <x:row r="2113">
      <x:c r="A2113" s="1"/>
      <x:c r="B2113" s="1"/>
      <x:c r="C2113" s="1"/>
      <x:c r="D2113" s="1"/>
      <x:c r="E2113" s="1"/>
      <x:c r="F2113" s="1"/>
    </x:row>
    <x:row r="2114">
      <x:c r="A2114" s="1"/>
      <x:c r="B2114" s="1"/>
      <x:c r="C2114" s="1"/>
      <x:c r="D2114" s="1"/>
      <x:c r="E2114" s="1"/>
      <x:c r="F2114" s="1"/>
    </x:row>
    <x:row r="2115">
      <x:c r="A2115" s="1"/>
      <x:c r="B2115" s="1"/>
      <x:c r="C2115" s="1"/>
      <x:c r="D2115" s="1"/>
      <x:c r="E2115" s="1"/>
      <x:c r="F2115" s="1"/>
    </x:row>
    <x:row r="2116">
      <x:c r="A2116" s="1"/>
      <x:c r="B2116" s="1"/>
      <x:c r="C2116" s="1"/>
      <x:c r="D2116" s="1"/>
      <x:c r="E2116" s="1"/>
      <x:c r="F2116" s="1"/>
    </x:row>
    <x:row r="2117">
      <x:c r="A2117" s="1"/>
      <x:c r="B2117" s="1"/>
      <x:c r="C2117" s="1"/>
      <x:c r="D2117" s="1"/>
      <x:c r="E2117" s="1"/>
      <x:c r="F2117" s="1"/>
    </x:row>
    <x:row r="2118">
      <x:c r="A2118" s="1"/>
      <x:c r="B2118" s="1"/>
      <x:c r="C2118" s="1"/>
      <x:c r="D2118" s="1"/>
      <x:c r="E2118" s="1"/>
      <x:c r="F2118" s="1"/>
    </x:row>
    <x:row r="2119">
      <x:c r="A2119" s="1"/>
      <x:c r="B2119" s="1"/>
      <x:c r="C2119" s="1"/>
      <x:c r="D2119" s="1"/>
      <x:c r="E2119" s="1"/>
      <x:c r="F2119" s="1"/>
    </x:row>
    <x:row r="2120">
      <x:c r="A2120" s="1"/>
      <x:c r="B2120" s="1"/>
      <x:c r="C2120" s="1"/>
      <x:c r="D2120" s="1"/>
      <x:c r="E2120" s="1"/>
      <x:c r="F2120" s="1"/>
    </x:row>
    <x:row r="2121">
      <x:c r="A2121" s="1"/>
      <x:c r="B2121" s="1"/>
      <x:c r="C2121" s="1"/>
      <x:c r="D2121" s="1"/>
      <x:c r="E2121" s="1"/>
      <x:c r="F2121" s="1"/>
    </x:row>
    <x:row r="2122">
      <x:c r="A2122" s="1"/>
      <x:c r="B2122" s="1"/>
      <x:c r="C2122" s="1"/>
      <x:c r="D2122" s="1"/>
      <x:c r="E2122" s="1"/>
      <x:c r="F2122" s="1"/>
    </x:row>
    <x:row r="2123">
      <x:c r="A2123" s="1"/>
      <x:c r="B2123" s="1"/>
      <x:c r="C2123" s="1"/>
      <x:c r="D2123" s="1"/>
      <x:c r="E2123" s="1"/>
      <x:c r="F2123" s="1"/>
    </x:row>
    <x:row r="2124">
      <x:c r="A2124" s="1"/>
      <x:c r="B2124" s="1"/>
      <x:c r="C2124" s="1"/>
      <x:c r="D2124" s="1"/>
      <x:c r="E2124" s="1"/>
      <x:c r="F2124" s="1"/>
    </x:row>
    <x:row r="2125">
      <x:c r="A2125" s="1"/>
      <x:c r="B2125" s="1"/>
      <x:c r="C2125" s="1"/>
      <x:c r="D2125" s="1"/>
      <x:c r="E2125" s="1"/>
      <x:c r="F2125" s="1"/>
    </x:row>
    <x:row r="2126">
      <x:c r="A2126" s="1"/>
      <x:c r="B2126" s="1"/>
      <x:c r="C2126" s="1"/>
      <x:c r="D2126" s="1"/>
      <x:c r="E2126" s="1"/>
      <x:c r="F2126" s="1"/>
    </x:row>
    <x:row r="2127">
      <x:c r="A2127" s="1"/>
      <x:c r="B2127" s="1"/>
      <x:c r="C2127" s="1"/>
      <x:c r="D2127" s="1"/>
      <x:c r="E2127" s="1"/>
      <x:c r="F2127" s="1"/>
    </x:row>
    <x:row r="2128">
      <x:c r="A2128" s="1"/>
      <x:c r="B2128" s="1"/>
      <x:c r="C2128" s="1"/>
      <x:c r="D2128" s="1"/>
      <x:c r="E2128" s="1"/>
      <x:c r="F2128" s="1"/>
    </x:row>
    <x:row r="2129">
      <x:c r="A2129" s="1"/>
      <x:c r="B2129" s="1"/>
      <x:c r="C2129" s="1"/>
      <x:c r="D2129" s="1"/>
      <x:c r="E2129" s="1"/>
      <x:c r="F2129" s="1"/>
    </x:row>
    <x:row r="2130">
      <x:c r="A2130" s="1"/>
      <x:c r="B2130" s="1"/>
      <x:c r="C2130" s="1"/>
      <x:c r="D2130" s="1"/>
      <x:c r="E2130" s="1"/>
      <x:c r="F2130" s="1"/>
    </x:row>
    <x:row r="2131">
      <x:c r="A2131" s="1"/>
      <x:c r="B2131" s="1"/>
      <x:c r="C2131" s="1"/>
      <x:c r="D2131" s="1"/>
      <x:c r="E2131" s="1"/>
      <x:c r="F2131" s="1"/>
    </x:row>
    <x:row r="2132">
      <x:c r="A2132" s="1"/>
      <x:c r="B2132" s="1"/>
      <x:c r="C2132" s="1"/>
      <x:c r="D2132" s="1"/>
      <x:c r="E2132" s="1"/>
      <x:c r="F2132" s="1"/>
    </x:row>
    <x:row r="2133">
      <x:c r="A2133" s="1"/>
      <x:c r="B2133" s="1"/>
      <x:c r="C2133" s="1"/>
      <x:c r="D2133" s="1"/>
      <x:c r="E2133" s="1"/>
      <x:c r="F2133" s="1"/>
    </x:row>
    <x:row r="2134">
      <x:c r="A2134" s="1"/>
      <x:c r="B2134" s="1"/>
      <x:c r="C2134" s="1"/>
      <x:c r="D2134" s="1"/>
      <x:c r="E2134" s="1"/>
      <x:c r="F2134" s="1"/>
    </x:row>
    <x:row r="2135">
      <x:c r="A2135" s="1"/>
      <x:c r="B2135" s="1"/>
      <x:c r="C2135" s="1"/>
      <x:c r="D2135" s="1"/>
      <x:c r="E2135" s="1"/>
      <x:c r="F2135" s="1"/>
    </x:row>
    <x:row r="2136">
      <x:c r="A2136" s="1"/>
      <x:c r="B2136" s="1"/>
      <x:c r="C2136" s="1"/>
      <x:c r="D2136" s="1"/>
      <x:c r="E2136" s="1"/>
      <x:c r="F2136" s="1"/>
    </x:row>
    <x:row r="2137">
      <x:c r="A2137" s="1"/>
      <x:c r="B2137" s="1"/>
      <x:c r="C2137" s="1"/>
      <x:c r="D2137" s="1"/>
      <x:c r="E2137" s="1"/>
      <x:c r="F2137" s="1"/>
    </x:row>
    <x:row r="2138">
      <x:c r="A2138" s="1"/>
      <x:c r="B2138" s="1"/>
      <x:c r="C2138" s="1"/>
      <x:c r="D2138" s="1"/>
      <x:c r="E2138" s="1"/>
      <x:c r="F2138" s="1"/>
    </x:row>
    <x:row r="2139">
      <x:c r="A2139" s="1"/>
      <x:c r="B2139" s="1"/>
      <x:c r="C2139" s="1"/>
      <x:c r="D2139" s="1"/>
      <x:c r="E2139" s="1"/>
      <x:c r="F2139" s="1"/>
    </x:row>
    <x:row r="2140">
      <x:c r="A2140" s="1"/>
      <x:c r="B2140" s="1"/>
      <x:c r="C2140" s="1"/>
      <x:c r="D2140" s="1"/>
      <x:c r="E2140" s="1"/>
      <x:c r="F2140" s="1"/>
    </x:row>
    <x:row r="2141">
      <x:c r="A2141" s="1"/>
      <x:c r="B2141" s="1"/>
      <x:c r="C2141" s="1"/>
      <x:c r="D2141" s="1"/>
      <x:c r="E2141" s="1"/>
      <x:c r="F2141" s="1"/>
    </x:row>
    <x:row r="2142">
      <x:c r="A2142" s="1"/>
      <x:c r="B2142" s="1"/>
      <x:c r="C2142" s="1"/>
      <x:c r="D2142" s="1"/>
      <x:c r="E2142" s="1"/>
      <x:c r="F2142" s="1"/>
    </x:row>
    <x:row r="2143">
      <x:c r="A2143" s="1"/>
      <x:c r="B2143" s="1"/>
      <x:c r="C2143" s="1"/>
      <x:c r="D2143" s="1"/>
      <x:c r="E2143" s="1"/>
      <x:c r="F2143" s="1"/>
    </x:row>
    <x:row r="2144">
      <x:c r="A2144" s="1"/>
      <x:c r="B2144" s="1"/>
      <x:c r="C2144" s="1"/>
      <x:c r="D2144" s="1"/>
      <x:c r="E2144" s="1"/>
      <x:c r="F2144" s="1"/>
    </x:row>
    <x:row r="2145">
      <x:c r="A2145" s="1"/>
      <x:c r="B2145" s="1"/>
      <x:c r="C2145" s="1"/>
      <x:c r="D2145" s="1"/>
      <x:c r="E2145" s="1"/>
      <x:c r="F2145" s="1"/>
    </x:row>
    <x:row r="2146">
      <x:c r="A2146" s="1"/>
      <x:c r="B2146" s="1"/>
      <x:c r="C2146" s="1"/>
      <x:c r="D2146" s="1"/>
      <x:c r="E2146" s="1"/>
      <x:c r="F2146" s="1"/>
    </x:row>
    <x:row r="2147">
      <x:c r="A2147" s="1"/>
      <x:c r="B2147" s="1"/>
      <x:c r="C2147" s="1"/>
      <x:c r="D2147" s="1"/>
      <x:c r="E2147" s="1"/>
      <x:c r="F2147" s="1"/>
    </x:row>
    <x:row r="2148">
      <x:c r="A2148" s="1"/>
      <x:c r="B2148" s="1"/>
      <x:c r="C2148" s="1"/>
      <x:c r="D2148" s="1"/>
      <x:c r="E2148" s="1"/>
      <x:c r="F2148" s="1"/>
    </x:row>
    <x:row r="2149">
      <x:c r="A2149" s="1"/>
      <x:c r="B2149" s="1"/>
      <x:c r="C2149" s="1"/>
      <x:c r="D2149" s="1"/>
      <x:c r="E2149" s="1"/>
      <x:c r="F2149" s="1"/>
    </x:row>
    <x:row r="2150">
      <x:c r="A2150" s="1"/>
      <x:c r="B2150" s="1"/>
      <x:c r="C2150" s="1"/>
      <x:c r="D2150" s="1"/>
      <x:c r="E2150" s="1"/>
      <x:c r="F2150" s="1"/>
    </x:row>
    <x:row r="2151">
      <x:c r="A2151" s="1"/>
      <x:c r="B2151" s="1"/>
      <x:c r="C2151" s="1"/>
      <x:c r="D2151" s="1"/>
      <x:c r="E2151" s="1"/>
      <x:c r="F2151" s="1"/>
    </x:row>
    <x:row r="2152">
      <x:c r="A2152" s="1"/>
      <x:c r="B2152" s="1"/>
      <x:c r="C2152" s="1"/>
      <x:c r="D2152" s="1"/>
      <x:c r="E2152" s="1"/>
      <x:c r="F2152" s="1"/>
    </x:row>
    <x:row r="2153">
      <x:c r="A2153" s="1"/>
      <x:c r="B2153" s="1"/>
      <x:c r="C2153" s="1"/>
      <x:c r="D2153" s="1"/>
      <x:c r="E2153" s="1"/>
      <x:c r="F2153" s="1"/>
    </x:row>
    <x:row r="2154">
      <x:c r="A2154" s="1"/>
      <x:c r="B2154" s="1"/>
      <x:c r="C2154" s="1"/>
      <x:c r="D2154" s="1"/>
      <x:c r="E2154" s="1"/>
      <x:c r="F2154" s="1"/>
    </x:row>
    <x:row r="2155">
      <x:c r="A2155" s="1"/>
      <x:c r="B2155" s="1"/>
      <x:c r="C2155" s="1"/>
      <x:c r="D2155" s="1"/>
      <x:c r="E2155" s="1"/>
      <x:c r="F2155" s="1"/>
    </x:row>
    <x:row r="2156">
      <x:c r="A2156" s="1"/>
      <x:c r="B2156" s="1"/>
      <x:c r="C2156" s="1"/>
      <x:c r="D2156" s="1"/>
      <x:c r="E2156" s="1"/>
      <x:c r="F2156" s="1"/>
    </x:row>
    <x:row r="2157">
      <x:c r="A2157" s="1"/>
      <x:c r="B2157" s="1"/>
      <x:c r="C2157" s="1"/>
      <x:c r="D2157" s="1"/>
      <x:c r="E2157" s="1"/>
      <x:c r="F2157" s="1"/>
    </x:row>
    <x:row r="2158">
      <x:c r="A2158" s="1"/>
      <x:c r="B2158" s="1"/>
      <x:c r="C2158" s="1"/>
      <x:c r="D2158" s="1"/>
      <x:c r="E2158" s="1"/>
      <x:c r="F2158" s="1"/>
    </x:row>
    <x:row r="2159">
      <x:c r="A2159" s="1"/>
      <x:c r="B2159" s="1"/>
      <x:c r="C2159" s="1"/>
      <x:c r="D2159" s="1"/>
      <x:c r="E2159" s="1"/>
      <x:c r="F2159" s="1"/>
    </x:row>
    <x:row r="2160">
      <x:c r="A2160" s="1"/>
      <x:c r="B2160" s="1"/>
      <x:c r="C2160" s="1"/>
      <x:c r="D2160" s="1"/>
      <x:c r="E2160" s="1"/>
      <x:c r="F2160" s="1"/>
    </x:row>
    <x:row r="2161">
      <x:c r="A2161" s="1"/>
      <x:c r="B2161" s="1"/>
      <x:c r="C2161" s="1"/>
      <x:c r="D2161" s="1"/>
      <x:c r="E2161" s="1"/>
      <x:c r="F2161" s="1"/>
    </x:row>
    <x:row r="2162">
      <x:c r="A2162" s="1"/>
      <x:c r="B2162" s="1"/>
      <x:c r="C2162" s="1"/>
      <x:c r="D2162" s="1"/>
      <x:c r="E2162" s="1"/>
      <x:c r="F2162" s="1"/>
    </x:row>
    <x:row r="2163">
      <x:c r="A2163" s="1"/>
      <x:c r="B2163" s="1"/>
      <x:c r="C2163" s="1"/>
      <x:c r="D2163" s="1"/>
      <x:c r="E2163" s="1"/>
      <x:c r="F2163" s="1"/>
    </x:row>
    <x:row r="2164">
      <x:c r="A2164" s="1"/>
      <x:c r="B2164" s="1"/>
      <x:c r="C2164" s="1"/>
      <x:c r="D2164" s="1"/>
      <x:c r="E2164" s="1"/>
      <x:c r="F2164" s="1"/>
    </x:row>
    <x:row r="2165">
      <x:c r="A2165" s="1"/>
      <x:c r="B2165" s="1"/>
      <x:c r="C2165" s="1"/>
      <x:c r="D2165" s="1"/>
      <x:c r="E2165" s="1"/>
      <x:c r="F2165" s="1"/>
    </x:row>
    <x:row r="2166">
      <x:c r="A2166" s="1"/>
      <x:c r="B2166" s="1"/>
      <x:c r="C2166" s="1"/>
      <x:c r="D2166" s="1"/>
      <x:c r="E2166" s="1"/>
      <x:c r="F2166" s="1"/>
    </x:row>
    <x:row r="2167">
      <x:c r="A2167" s="1"/>
      <x:c r="B2167" s="1"/>
      <x:c r="C2167" s="1"/>
      <x:c r="D2167" s="1"/>
      <x:c r="E2167" s="1"/>
      <x:c r="F2167" s="1"/>
    </x:row>
    <x:row r="2168">
      <x:c r="A2168" s="1"/>
      <x:c r="B2168" s="1"/>
      <x:c r="C2168" s="1"/>
      <x:c r="D2168" s="1"/>
      <x:c r="E2168" s="1"/>
      <x:c r="F2168" s="1"/>
    </x:row>
    <x:row r="2169">
      <x:c r="A2169" s="1"/>
      <x:c r="B2169" s="1"/>
      <x:c r="C2169" s="1"/>
      <x:c r="D2169" s="1"/>
      <x:c r="E2169" s="1"/>
      <x:c r="F2169" s="1"/>
    </x:row>
    <x:row r="2170">
      <x:c r="A2170" s="1"/>
      <x:c r="B2170" s="1"/>
      <x:c r="C2170" s="1"/>
      <x:c r="D2170" s="1"/>
      <x:c r="E2170" s="1"/>
      <x:c r="F2170" s="1"/>
    </x:row>
    <x:row r="2171">
      <x:c r="A2171" s="1"/>
      <x:c r="B2171" s="1"/>
      <x:c r="C2171" s="1"/>
      <x:c r="D2171" s="1"/>
      <x:c r="E2171" s="1"/>
      <x:c r="F2171" s="1"/>
    </x:row>
    <x:row r="2172">
      <x:c r="A2172" s="1"/>
      <x:c r="B2172" s="1"/>
      <x:c r="C2172" s="1"/>
      <x:c r="D2172" s="1"/>
      <x:c r="E2172" s="1"/>
      <x:c r="F2172" s="1"/>
    </x:row>
    <x:row r="2173">
      <x:c r="A2173" s="1"/>
      <x:c r="B2173" s="1"/>
      <x:c r="C2173" s="1"/>
      <x:c r="D2173" s="1"/>
      <x:c r="E2173" s="1"/>
      <x:c r="F2173" s="1"/>
    </x:row>
    <x:row r="2174">
      <x:c r="A2174" s="1"/>
      <x:c r="B2174" s="1"/>
      <x:c r="C2174" s="1"/>
      <x:c r="D2174" s="1"/>
      <x:c r="E2174" s="1"/>
      <x:c r="F2174" s="1"/>
    </x:row>
    <x:row r="2175">
      <x:c r="A2175" s="1"/>
      <x:c r="B2175" s="1"/>
      <x:c r="C2175" s="1"/>
      <x:c r="D2175" s="1"/>
      <x:c r="E2175" s="1"/>
      <x:c r="F2175" s="1"/>
    </x:row>
    <x:row r="2176">
      <x:c r="A2176" s="1"/>
      <x:c r="B2176" s="1"/>
      <x:c r="C2176" s="1"/>
      <x:c r="D2176" s="1"/>
      <x:c r="E2176" s="1"/>
      <x:c r="F2176" s="1"/>
    </x:row>
    <x:row r="2177">
      <x:c r="A2177" s="1"/>
      <x:c r="B2177" s="1"/>
      <x:c r="C2177" s="1"/>
      <x:c r="D2177" s="1"/>
      <x:c r="E2177" s="1"/>
      <x:c r="F2177" s="1"/>
    </x:row>
    <x:row r="2178">
      <x:c r="A2178" s="1"/>
      <x:c r="B2178" s="1"/>
      <x:c r="C2178" s="1"/>
      <x:c r="D2178" s="1"/>
      <x:c r="E2178" s="1"/>
      <x:c r="F2178" s="1"/>
    </x:row>
    <x:row r="2179">
      <x:c r="A2179" s="1"/>
      <x:c r="B2179" s="1"/>
      <x:c r="C2179" s="1"/>
      <x:c r="D2179" s="1"/>
      <x:c r="E2179" s="1"/>
      <x:c r="F2179" s="1"/>
    </x:row>
    <x:row r="2180">
      <x:c r="A2180" s="1"/>
      <x:c r="B2180" s="1"/>
      <x:c r="C2180" s="1"/>
      <x:c r="D2180" s="1"/>
      <x:c r="E2180" s="1"/>
      <x:c r="F2180" s="1"/>
    </x:row>
    <x:row r="2181">
      <x:c r="A2181" s="1"/>
      <x:c r="B2181" s="1"/>
      <x:c r="C2181" s="1"/>
      <x:c r="D2181" s="1"/>
      <x:c r="E2181" s="1"/>
      <x:c r="F2181" s="1"/>
    </x:row>
    <x:row r="2182">
      <x:c r="A2182" s="1"/>
      <x:c r="B2182" s="1"/>
      <x:c r="C2182" s="1"/>
      <x:c r="D2182" s="1"/>
      <x:c r="E2182" s="1"/>
      <x:c r="F2182" s="1"/>
    </x:row>
    <x:row r="2183">
      <x:c r="A2183" s="1"/>
      <x:c r="B2183" s="1"/>
      <x:c r="C2183" s="1"/>
      <x:c r="D2183" s="1"/>
      <x:c r="E2183" s="1"/>
      <x:c r="F2183" s="1"/>
    </x:row>
    <x:row r="2184">
      <x:c r="A2184" s="1"/>
      <x:c r="B2184" s="1"/>
      <x:c r="C2184" s="1"/>
      <x:c r="D2184" s="1"/>
      <x:c r="E2184" s="1"/>
      <x:c r="F2184" s="1"/>
    </x:row>
    <x:row r="2185">
      <x:c r="A2185" s="1"/>
      <x:c r="B2185" s="1"/>
      <x:c r="C2185" s="1"/>
      <x:c r="D2185" s="1"/>
      <x:c r="E2185" s="1"/>
      <x:c r="F2185" s="1"/>
    </x:row>
    <x:row r="2186">
      <x:c r="A2186" s="1"/>
      <x:c r="B2186" s="1"/>
      <x:c r="C2186" s="1"/>
      <x:c r="D2186" s="1"/>
      <x:c r="E2186" s="1"/>
      <x:c r="F2186" s="1"/>
    </x:row>
    <x:row r="2187">
      <x:c r="A2187" s="1"/>
      <x:c r="B2187" s="1"/>
      <x:c r="C2187" s="1"/>
      <x:c r="D2187" s="1"/>
      <x:c r="E2187" s="1"/>
      <x:c r="F2187" s="1"/>
    </x:row>
    <x:row r="2188">
      <x:c r="A2188" s="1"/>
      <x:c r="B2188" s="1"/>
      <x:c r="C2188" s="1"/>
      <x:c r="D2188" s="1"/>
      <x:c r="E2188" s="1"/>
      <x:c r="F2188" s="1"/>
    </x:row>
    <x:row r="2189">
      <x:c r="A2189" s="1"/>
      <x:c r="B2189" s="1"/>
      <x:c r="C2189" s="1"/>
      <x:c r="D2189" s="1"/>
      <x:c r="E2189" s="1"/>
      <x:c r="F2189" s="1"/>
    </x:row>
    <x:row r="2190">
      <x:c r="A2190" s="1"/>
      <x:c r="B2190" s="1"/>
      <x:c r="C2190" s="1"/>
      <x:c r="D2190" s="1"/>
      <x:c r="E2190" s="1"/>
      <x:c r="F2190" s="1"/>
    </x:row>
    <x:row r="2191">
      <x:c r="A2191" s="1"/>
      <x:c r="B2191" s="1"/>
      <x:c r="C2191" s="1"/>
      <x:c r="D2191" s="1"/>
      <x:c r="E2191" s="1"/>
      <x:c r="F2191" s="1"/>
    </x:row>
    <x:row r="2192">
      <x:c r="A2192" s="1"/>
      <x:c r="B2192" s="1"/>
      <x:c r="C2192" s="1"/>
      <x:c r="D2192" s="1"/>
      <x:c r="E2192" s="1"/>
      <x:c r="F2192" s="1"/>
    </x:row>
    <x:row r="2193">
      <x:c r="A2193" s="1"/>
      <x:c r="B2193" s="1"/>
      <x:c r="C2193" s="1"/>
      <x:c r="D2193" s="1"/>
      <x:c r="E2193" s="1"/>
      <x:c r="F2193" s="1"/>
    </x:row>
    <x:row r="2194">
      <x:c r="A2194" s="1"/>
      <x:c r="B2194" s="1"/>
      <x:c r="C2194" s="1"/>
      <x:c r="D2194" s="1"/>
      <x:c r="E2194" s="1"/>
      <x:c r="F2194" s="1"/>
    </x:row>
    <x:row r="2195">
      <x:c r="A2195" s="1"/>
      <x:c r="B2195" s="1"/>
      <x:c r="C2195" s="1"/>
      <x:c r="D2195" s="1"/>
      <x:c r="E2195" s="1"/>
      <x:c r="F2195" s="1"/>
    </x:row>
    <x:row r="2196">
      <x:c r="A2196" s="1"/>
      <x:c r="B2196" s="1"/>
      <x:c r="C2196" s="1"/>
      <x:c r="D2196" s="1"/>
      <x:c r="E2196" s="1"/>
      <x:c r="F2196" s="1"/>
    </x:row>
    <x:row r="2197">
      <x:c r="A2197" s="1"/>
      <x:c r="B2197" s="1"/>
      <x:c r="C2197" s="1"/>
      <x:c r="D2197" s="1"/>
      <x:c r="E2197" s="1"/>
      <x:c r="F2197" s="1"/>
    </x:row>
    <x:row r="2198">
      <x:c r="A2198" s="1"/>
      <x:c r="B2198" s="1"/>
      <x:c r="C2198" s="1"/>
      <x:c r="D2198" s="1"/>
      <x:c r="E2198" s="1"/>
      <x:c r="F2198" s="1"/>
    </x:row>
    <x:row r="2199">
      <x:c r="A2199" s="1"/>
      <x:c r="B2199" s="1"/>
      <x:c r="C2199" s="1"/>
      <x:c r="D2199" s="1"/>
      <x:c r="E2199" s="1"/>
      <x:c r="F2199" s="1"/>
    </x:row>
    <x:row r="2200">
      <x:c r="A2200" s="1"/>
      <x:c r="B2200" s="1"/>
      <x:c r="C2200" s="1"/>
      <x:c r="D2200" s="1"/>
      <x:c r="E2200" s="1"/>
      <x:c r="F2200" s="1"/>
    </x:row>
    <x:row r="2201">
      <x:c r="A2201" s="1"/>
      <x:c r="B2201" s="1"/>
      <x:c r="C2201" s="1"/>
      <x:c r="D2201" s="1"/>
      <x:c r="E2201" s="1"/>
      <x:c r="F2201" s="1"/>
    </x:row>
    <x:row r="2202">
      <x:c r="A2202" s="1"/>
      <x:c r="B2202" s="1"/>
      <x:c r="C2202" s="1"/>
      <x:c r="D2202" s="1"/>
      <x:c r="E2202" s="1"/>
      <x:c r="F2202" s="1"/>
    </x:row>
    <x:row r="2203">
      <x:c r="A2203" s="1"/>
      <x:c r="B2203" s="1"/>
      <x:c r="C2203" s="1"/>
      <x:c r="D2203" s="1"/>
      <x:c r="E2203" s="1"/>
      <x:c r="F2203" s="1"/>
    </x:row>
    <x:row r="2204">
      <x:c r="A2204" s="1"/>
      <x:c r="B2204" s="1"/>
      <x:c r="C2204" s="1"/>
      <x:c r="D2204" s="1"/>
      <x:c r="E2204" s="1"/>
      <x:c r="F2204" s="1"/>
    </x:row>
    <x:row r="2205">
      <x:c r="A2205" s="1"/>
      <x:c r="B2205" s="1"/>
      <x:c r="C2205" s="1"/>
      <x:c r="D2205" s="1"/>
      <x:c r="E2205" s="1"/>
      <x:c r="F2205" s="1"/>
    </x:row>
    <x:row r="2206">
      <x:c r="A2206" s="1"/>
      <x:c r="B2206" s="1"/>
      <x:c r="C2206" s="1"/>
      <x:c r="D2206" s="1"/>
      <x:c r="E2206" s="1"/>
      <x:c r="F2206" s="1"/>
    </x:row>
    <x:row r="2207">
      <x:c r="A2207" s="1"/>
      <x:c r="B2207" s="1"/>
      <x:c r="C2207" s="1"/>
      <x:c r="D2207" s="1"/>
      <x:c r="E2207" s="1"/>
      <x:c r="F2207" s="1"/>
    </x:row>
    <x:row r="2208">
      <x:c r="A2208" s="1"/>
      <x:c r="B2208" s="1"/>
      <x:c r="C2208" s="1"/>
      <x:c r="D2208" s="1"/>
      <x:c r="E2208" s="1"/>
      <x:c r="F2208" s="1"/>
    </x:row>
    <x:row r="2209">
      <x:c r="A2209" s="1"/>
      <x:c r="B2209" s="1"/>
      <x:c r="C2209" s="1"/>
      <x:c r="D2209" s="1"/>
      <x:c r="E2209" s="1"/>
      <x:c r="F2209" s="1"/>
    </x:row>
    <x:row r="2210">
      <x:c r="A2210" s="1"/>
      <x:c r="B2210" s="1"/>
      <x:c r="C2210" s="1"/>
      <x:c r="D2210" s="1"/>
      <x:c r="E2210" s="1"/>
      <x:c r="F2210" s="1"/>
    </x:row>
    <x:row r="2211">
      <x:c r="A2211" s="1"/>
      <x:c r="B2211" s="1"/>
      <x:c r="C2211" s="1"/>
      <x:c r="D2211" s="1"/>
      <x:c r="E2211" s="1"/>
      <x:c r="F2211" s="1"/>
    </x:row>
    <x:row r="2212">
      <x:c r="A2212" s="1"/>
      <x:c r="B2212" s="1"/>
      <x:c r="C2212" s="1"/>
      <x:c r="D2212" s="1"/>
      <x:c r="E2212" s="1"/>
      <x:c r="F2212" s="1"/>
    </x:row>
    <x:row r="2213">
      <x:c r="A2213" s="1"/>
      <x:c r="B2213" s="1"/>
      <x:c r="C2213" s="1"/>
      <x:c r="D2213" s="1"/>
      <x:c r="E2213" s="1"/>
      <x:c r="F2213" s="1"/>
    </x:row>
    <x:row r="2214">
      <x:c r="A2214" s="1"/>
      <x:c r="B2214" s="1"/>
      <x:c r="C2214" s="1"/>
      <x:c r="D2214" s="1"/>
      <x:c r="E2214" s="1"/>
      <x:c r="F2214" s="1"/>
    </x:row>
    <x:row r="2215">
      <x:c r="A2215" s="1"/>
      <x:c r="B2215" s="1"/>
      <x:c r="C2215" s="1"/>
      <x:c r="D2215" s="1"/>
      <x:c r="E2215" s="1"/>
      <x:c r="F2215" s="1"/>
    </x:row>
    <x:row r="2216">
      <x:c r="A2216" s="1"/>
      <x:c r="B2216" s="1"/>
      <x:c r="C2216" s="1"/>
      <x:c r="D2216" s="1"/>
      <x:c r="E2216" s="1"/>
      <x:c r="F2216" s="1"/>
    </x:row>
    <x:row r="2217">
      <x:c r="A2217" s="1"/>
      <x:c r="B2217" s="1"/>
      <x:c r="C2217" s="1"/>
      <x:c r="D2217" s="1"/>
      <x:c r="E2217" s="1"/>
      <x:c r="F2217" s="1"/>
    </x:row>
    <x:row r="2218">
      <x:c r="A2218" s="1"/>
      <x:c r="B2218" s="1"/>
      <x:c r="C2218" s="1"/>
      <x:c r="D2218" s="1"/>
      <x:c r="E2218" s="1"/>
      <x:c r="F2218" s="1"/>
    </x:row>
    <x:row r="2219">
      <x:c r="A2219" s="1"/>
      <x:c r="B2219" s="1"/>
      <x:c r="C2219" s="1"/>
      <x:c r="D2219" s="1"/>
      <x:c r="E2219" s="1"/>
      <x:c r="F2219" s="1"/>
    </x:row>
    <x:row r="2220">
      <x:c r="A2220" s="1"/>
      <x:c r="B2220" s="1"/>
      <x:c r="C2220" s="1"/>
      <x:c r="D2220" s="1"/>
      <x:c r="E2220" s="1"/>
      <x:c r="F2220" s="1"/>
    </x:row>
    <x:row r="2221">
      <x:c r="A2221" s="1"/>
      <x:c r="B2221" s="1"/>
      <x:c r="C2221" s="1"/>
      <x:c r="D2221" s="1"/>
      <x:c r="E2221" s="1"/>
      <x:c r="F2221" s="1"/>
    </x:row>
    <x:row r="2222">
      <x:c r="A2222" s="1"/>
      <x:c r="B2222" s="1"/>
      <x:c r="C2222" s="1"/>
      <x:c r="D2222" s="1"/>
      <x:c r="E2222" s="1"/>
      <x:c r="F2222" s="1"/>
    </x:row>
    <x:row r="2223">
      <x:c r="A2223" s="1"/>
      <x:c r="B2223" s="1"/>
      <x:c r="C2223" s="1"/>
      <x:c r="D2223" s="1"/>
      <x:c r="E2223" s="1"/>
      <x:c r="F2223" s="1"/>
    </x:row>
    <x:row r="2224">
      <x:c r="A2224" s="1"/>
      <x:c r="B2224" s="1"/>
      <x:c r="C2224" s="1"/>
      <x:c r="D2224" s="1"/>
      <x:c r="E2224" s="1"/>
      <x:c r="F2224" s="1"/>
    </x:row>
    <x:row r="2225">
      <x:c r="A2225" s="1"/>
      <x:c r="B2225" s="1"/>
      <x:c r="C2225" s="1"/>
      <x:c r="D2225" s="1"/>
      <x:c r="E2225" s="1"/>
      <x:c r="F2225" s="1"/>
    </x:row>
    <x:row r="2226">
      <x:c r="A2226" s="1"/>
      <x:c r="B2226" s="1"/>
      <x:c r="C2226" s="1"/>
      <x:c r="D2226" s="1"/>
      <x:c r="E2226" s="1"/>
      <x:c r="F2226" s="1"/>
    </x:row>
    <x:row r="2227">
      <x:c r="A2227" s="1"/>
      <x:c r="B2227" s="1"/>
      <x:c r="C2227" s="1"/>
      <x:c r="D2227" s="1"/>
      <x:c r="E2227" s="1"/>
      <x:c r="F2227" s="1"/>
    </x:row>
    <x:row r="2228">
      <x:c r="A2228" s="1"/>
      <x:c r="B2228" s="1"/>
      <x:c r="C2228" s="1"/>
      <x:c r="D2228" s="1"/>
      <x:c r="E2228" s="1"/>
      <x:c r="F2228" s="1"/>
    </x:row>
    <x:row r="2229">
      <x:c r="A2229" s="1"/>
      <x:c r="B2229" s="1"/>
      <x:c r="C2229" s="1"/>
      <x:c r="D2229" s="1"/>
      <x:c r="E2229" s="1"/>
      <x:c r="F2229" s="1"/>
    </x:row>
    <x:row r="2230">
      <x:c r="A2230" s="1"/>
      <x:c r="B2230" s="1"/>
      <x:c r="C2230" s="1"/>
      <x:c r="D2230" s="1"/>
      <x:c r="E2230" s="1"/>
      <x:c r="F2230" s="1"/>
    </x:row>
    <x:row r="2231">
      <x:c r="A2231" s="1"/>
      <x:c r="B2231" s="1"/>
      <x:c r="C2231" s="1"/>
      <x:c r="D2231" s="1"/>
      <x:c r="E2231" s="1"/>
      <x:c r="F2231" s="1"/>
    </x:row>
    <x:row r="2232">
      <x:c r="A2232" s="1"/>
      <x:c r="B2232" s="1"/>
      <x:c r="C2232" s="1"/>
      <x:c r="D2232" s="1"/>
      <x:c r="E2232" s="1"/>
      <x:c r="F2232" s="1"/>
    </x:row>
    <x:row r="2233">
      <x:c r="A2233" s="1"/>
      <x:c r="B2233" s="1"/>
      <x:c r="C2233" s="1"/>
      <x:c r="D2233" s="1"/>
      <x:c r="E2233" s="1"/>
      <x:c r="F2233" s="1"/>
    </x:row>
    <x:row r="2234">
      <x:c r="A2234" s="1"/>
      <x:c r="B2234" s="1"/>
      <x:c r="C2234" s="1"/>
      <x:c r="D2234" s="1"/>
      <x:c r="E2234" s="1"/>
      <x:c r="F2234" s="1"/>
    </x:row>
    <x:row r="2235">
      <x:c r="A2235" s="1"/>
      <x:c r="B2235" s="1"/>
      <x:c r="C2235" s="1"/>
      <x:c r="D2235" s="1"/>
      <x:c r="E2235" s="1"/>
      <x:c r="F2235" s="1"/>
    </x:row>
    <x:row r="2236">
      <x:c r="A2236" s="1"/>
      <x:c r="B2236" s="1"/>
      <x:c r="C2236" s="1"/>
      <x:c r="D2236" s="1"/>
      <x:c r="E2236" s="1"/>
      <x:c r="F2236" s="1"/>
    </x:row>
    <x:row r="2237">
      <x:c r="A2237" s="1"/>
      <x:c r="B2237" s="1"/>
      <x:c r="C2237" s="1"/>
      <x:c r="D2237" s="1"/>
      <x:c r="E2237" s="1"/>
      <x:c r="F2237" s="1"/>
    </x:row>
    <x:row r="2238">
      <x:c r="A2238" s="1"/>
      <x:c r="B2238" s="1"/>
      <x:c r="C2238" s="1"/>
      <x:c r="D2238" s="1"/>
      <x:c r="E2238" s="1"/>
      <x:c r="F2238" s="1"/>
    </x:row>
    <x:row r="2239">
      <x:c r="A2239" s="1"/>
      <x:c r="B2239" s="1"/>
      <x:c r="C2239" s="1"/>
      <x:c r="D2239" s="1"/>
      <x:c r="E2239" s="1"/>
      <x:c r="F2239" s="1"/>
    </x:row>
    <x:row r="2240">
      <x:c r="A2240" s="1"/>
      <x:c r="B2240" s="1"/>
      <x:c r="C2240" s="1"/>
      <x:c r="D2240" s="1"/>
      <x:c r="E2240" s="1"/>
      <x:c r="F2240" s="1"/>
    </x:row>
    <x:row r="2241">
      <x:c r="A2241" s="1"/>
      <x:c r="B2241" s="1"/>
      <x:c r="C2241" s="1"/>
      <x:c r="D2241" s="1"/>
      <x:c r="E2241" s="1"/>
      <x:c r="F2241" s="1"/>
    </x:row>
    <x:row r="2242">
      <x:c r="A2242" s="1"/>
      <x:c r="B2242" s="1"/>
      <x:c r="C2242" s="1"/>
      <x:c r="D2242" s="1"/>
      <x:c r="E2242" s="1"/>
      <x:c r="F2242" s="1"/>
    </x:row>
    <x:row r="2243">
      <x:c r="A2243" s="1"/>
      <x:c r="B2243" s="1"/>
      <x:c r="C2243" s="1"/>
      <x:c r="D2243" s="1"/>
      <x:c r="E2243" s="1"/>
      <x:c r="F2243" s="1"/>
    </x:row>
    <x:row r="2244">
      <x:c r="A2244" s="1"/>
      <x:c r="B2244" s="1"/>
      <x:c r="C2244" s="1"/>
      <x:c r="D2244" s="1"/>
      <x:c r="E2244" s="1"/>
      <x:c r="F2244" s="1"/>
    </x:row>
    <x:row r="2245">
      <x:c r="A2245" s="1"/>
      <x:c r="B2245" s="1"/>
      <x:c r="C2245" s="1"/>
      <x:c r="D2245" s="1"/>
      <x:c r="E2245" s="1"/>
      <x:c r="F2245" s="1"/>
    </x:row>
    <x:row r="2246">
      <x:c r="A2246" s="1"/>
      <x:c r="B2246" s="1"/>
      <x:c r="C2246" s="1"/>
      <x:c r="D2246" s="1"/>
      <x:c r="E2246" s="1"/>
      <x:c r="F2246" s="1"/>
    </x:row>
    <x:row r="2247">
      <x:c r="A2247" s="1"/>
      <x:c r="B2247" s="1"/>
      <x:c r="C2247" s="1"/>
      <x:c r="D2247" s="1"/>
      <x:c r="E2247" s="1"/>
      <x:c r="F2247" s="1"/>
    </x:row>
    <x:row r="2248">
      <x:c r="A2248" s="1"/>
      <x:c r="B2248" s="1"/>
      <x:c r="C2248" s="1"/>
      <x:c r="D2248" s="1"/>
      <x:c r="E2248" s="1"/>
      <x:c r="F2248" s="1"/>
    </x:row>
    <x:row r="2249">
      <x:c r="A2249" s="1"/>
      <x:c r="B2249" s="1"/>
      <x:c r="C2249" s="1"/>
      <x:c r="D2249" s="1"/>
      <x:c r="E2249" s="1"/>
      <x:c r="F2249" s="1"/>
    </x:row>
    <x:row r="2250">
      <x:c r="A2250" s="1"/>
      <x:c r="B2250" s="1"/>
      <x:c r="C2250" s="1"/>
      <x:c r="D2250" s="1"/>
      <x:c r="E2250" s="1"/>
      <x:c r="F2250" s="1"/>
    </x:row>
    <x:row r="2251">
      <x:c r="A2251" s="1"/>
      <x:c r="B2251" s="1"/>
      <x:c r="C2251" s="1"/>
      <x:c r="D2251" s="1"/>
      <x:c r="E2251" s="1"/>
      <x:c r="F2251" s="1"/>
    </x:row>
    <x:row r="2252">
      <x:c r="A2252" s="1"/>
      <x:c r="B2252" s="1"/>
      <x:c r="C2252" s="1"/>
      <x:c r="D2252" s="1"/>
      <x:c r="E2252" s="1"/>
      <x:c r="F2252" s="1"/>
    </x:row>
    <x:row r="2253">
      <x:c r="A2253" s="1"/>
      <x:c r="B2253" s="1"/>
      <x:c r="C2253" s="1"/>
      <x:c r="D2253" s="1"/>
      <x:c r="E2253" s="1"/>
      <x:c r="F2253" s="1"/>
    </x:row>
    <x:row r="2254">
      <x:c r="A2254" s="1"/>
      <x:c r="B2254" s="1"/>
      <x:c r="C2254" s="1"/>
      <x:c r="D2254" s="1"/>
      <x:c r="E2254" s="1"/>
      <x:c r="F2254" s="1"/>
    </x:row>
    <x:row r="2255">
      <x:c r="A2255" s="1"/>
      <x:c r="B2255" s="1"/>
      <x:c r="C2255" s="1"/>
      <x:c r="D2255" s="1"/>
      <x:c r="E2255" s="1"/>
      <x:c r="F2255" s="1"/>
    </x:row>
    <x:row r="2256">
      <x:c r="A2256" s="1"/>
      <x:c r="B2256" s="1"/>
      <x:c r="C2256" s="1"/>
      <x:c r="D2256" s="1"/>
      <x:c r="E2256" s="1"/>
      <x:c r="F2256" s="1"/>
    </x:row>
    <x:row r="2257">
      <x:c r="A2257" s="1"/>
      <x:c r="B2257" s="1"/>
      <x:c r="C2257" s="1"/>
      <x:c r="D2257" s="1"/>
      <x:c r="E2257" s="1"/>
      <x:c r="F2257" s="1"/>
    </x:row>
    <x:row r="2258">
      <x:c r="A2258" s="1"/>
      <x:c r="B2258" s="1"/>
      <x:c r="C2258" s="1"/>
      <x:c r="D2258" s="1"/>
      <x:c r="E2258" s="1"/>
      <x:c r="F2258" s="1"/>
    </x:row>
    <x:row r="2259">
      <x:c r="A2259" s="1"/>
      <x:c r="B2259" s="1"/>
      <x:c r="C2259" s="1"/>
      <x:c r="D2259" s="1"/>
      <x:c r="E2259" s="1"/>
      <x:c r="F2259" s="1"/>
    </x:row>
    <x:row r="2260">
      <x:c r="A2260" s="1"/>
      <x:c r="B2260" s="1"/>
      <x:c r="C2260" s="1"/>
      <x:c r="D2260" s="1"/>
      <x:c r="E2260" s="1"/>
      <x:c r="F2260" s="1"/>
    </x:row>
    <x:row r="2261">
      <x:c r="A2261" s="1"/>
      <x:c r="B2261" s="1"/>
      <x:c r="C2261" s="1"/>
      <x:c r="D2261" s="1"/>
      <x:c r="E2261" s="1"/>
      <x:c r="F2261" s="1"/>
    </x:row>
    <x:row r="2262">
      <x:c r="A2262" s="1"/>
      <x:c r="B2262" s="1"/>
      <x:c r="C2262" s="1"/>
      <x:c r="D2262" s="1"/>
      <x:c r="E2262" s="1"/>
      <x:c r="F2262" s="1"/>
    </x:row>
    <x:row r="2263">
      <x:c r="A2263" s="1"/>
      <x:c r="B2263" s="1"/>
      <x:c r="C2263" s="1"/>
      <x:c r="D2263" s="1"/>
      <x:c r="E2263" s="1"/>
      <x:c r="F2263" s="1"/>
    </x:row>
    <x:row r="2264">
      <x:c r="A2264" s="1"/>
      <x:c r="B2264" s="1"/>
      <x:c r="C2264" s="1"/>
      <x:c r="D2264" s="1"/>
      <x:c r="E2264" s="1"/>
      <x:c r="F2264" s="1"/>
    </x:row>
    <x:row r="2265">
      <x:c r="A2265" s="1"/>
      <x:c r="B2265" s="1"/>
      <x:c r="C2265" s="1"/>
      <x:c r="D2265" s="1"/>
      <x:c r="E2265" s="1"/>
      <x:c r="F2265" s="1"/>
    </x:row>
    <x:row r="2266">
      <x:c r="A2266" s="1"/>
      <x:c r="B2266" s="1"/>
      <x:c r="C2266" s="1"/>
      <x:c r="D2266" s="1"/>
      <x:c r="E2266" s="1"/>
      <x:c r="F2266" s="1"/>
    </x:row>
    <x:row r="2267">
      <x:c r="A2267" s="1"/>
      <x:c r="B2267" s="1"/>
      <x:c r="C2267" s="1"/>
      <x:c r="D2267" s="1"/>
      <x:c r="E2267" s="1"/>
      <x:c r="F2267" s="1"/>
    </x:row>
    <x:row r="2268">
      <x:c r="A2268" s="1"/>
      <x:c r="B2268" s="1"/>
      <x:c r="C2268" s="1"/>
      <x:c r="D2268" s="1"/>
      <x:c r="E2268" s="1"/>
      <x:c r="F2268" s="1"/>
    </x:row>
    <x:row r="2269">
      <x:c r="A2269" s="1"/>
      <x:c r="B2269" s="1"/>
      <x:c r="C2269" s="1"/>
      <x:c r="D2269" s="1"/>
      <x:c r="E2269" s="1"/>
      <x:c r="F2269" s="1"/>
    </x:row>
    <x:row r="2270">
      <x:c r="A2270" s="1"/>
      <x:c r="B2270" s="1"/>
      <x:c r="C2270" s="1"/>
      <x:c r="D2270" s="1"/>
      <x:c r="E2270" s="1"/>
      <x:c r="F2270" s="1"/>
    </x:row>
    <x:row r="2271">
      <x:c r="A2271" s="1"/>
      <x:c r="B2271" s="1"/>
      <x:c r="C2271" s="1"/>
      <x:c r="D2271" s="1"/>
      <x:c r="E2271" s="1"/>
      <x:c r="F2271" s="1"/>
    </x:row>
    <x:row r="2272">
      <x:c r="A2272" s="1"/>
      <x:c r="B2272" s="1"/>
      <x:c r="C2272" s="1"/>
      <x:c r="D2272" s="1"/>
      <x:c r="E2272" s="1"/>
      <x:c r="F2272" s="1"/>
    </x:row>
    <x:row r="2273">
      <x:c r="A2273" s="1"/>
      <x:c r="B2273" s="1"/>
      <x:c r="C2273" s="1"/>
      <x:c r="D2273" s="1"/>
      <x:c r="E2273" s="1"/>
      <x:c r="F2273" s="1"/>
    </x:row>
    <x:row r="2274">
      <x:c r="A2274" s="1"/>
      <x:c r="B2274" s="1"/>
      <x:c r="C2274" s="1"/>
      <x:c r="D2274" s="1"/>
      <x:c r="E2274" s="1"/>
      <x:c r="F2274" s="1"/>
    </x:row>
    <x:row r="2275">
      <x:c r="A2275" s="1"/>
      <x:c r="B2275" s="1"/>
      <x:c r="C2275" s="1"/>
      <x:c r="D2275" s="1"/>
      <x:c r="E2275" s="1"/>
      <x:c r="F2275" s="1"/>
    </x:row>
    <x:row r="2276">
      <x:c r="A2276" s="1"/>
      <x:c r="B2276" s="1"/>
      <x:c r="C2276" s="1"/>
      <x:c r="D2276" s="1"/>
      <x:c r="E2276" s="1"/>
      <x:c r="F2276" s="1"/>
    </x:row>
    <x:row r="2277">
      <x:c r="A2277" s="1"/>
      <x:c r="B2277" s="1"/>
      <x:c r="C2277" s="1"/>
      <x:c r="D2277" s="1"/>
      <x:c r="E2277" s="1"/>
      <x:c r="F2277" s="1"/>
    </x:row>
    <x:row r="2278">
      <x:c r="A2278" s="1"/>
      <x:c r="B2278" s="1"/>
      <x:c r="C2278" s="1"/>
      <x:c r="D2278" s="1"/>
      <x:c r="E2278" s="1"/>
      <x:c r="F2278" s="1"/>
    </x:row>
    <x:row r="2279">
      <x:c r="A2279" s="1"/>
      <x:c r="B2279" s="1"/>
      <x:c r="C2279" s="1"/>
      <x:c r="D2279" s="1"/>
      <x:c r="E2279" s="1"/>
      <x:c r="F2279" s="1"/>
    </x:row>
    <x:row r="2280">
      <x:c r="A2280" s="1"/>
      <x:c r="B2280" s="1"/>
      <x:c r="C2280" s="1"/>
      <x:c r="D2280" s="1"/>
      <x:c r="E2280" s="1"/>
      <x:c r="F2280" s="1"/>
    </x:row>
    <x:row r="2281">
      <x:c r="A2281" s="1"/>
      <x:c r="B2281" s="1"/>
      <x:c r="C2281" s="1"/>
      <x:c r="D2281" s="1"/>
      <x:c r="E2281" s="1"/>
      <x:c r="F2281" s="1"/>
    </x:row>
    <x:row r="2282">
      <x:c r="A2282" s="1"/>
      <x:c r="B2282" s="1"/>
      <x:c r="C2282" s="1"/>
      <x:c r="D2282" s="1"/>
      <x:c r="E2282" s="1"/>
      <x:c r="F2282" s="1"/>
    </x:row>
    <x:row r="2283">
      <x:c r="A2283" s="1"/>
      <x:c r="B2283" s="1"/>
      <x:c r="C2283" s="1"/>
      <x:c r="D2283" s="1"/>
      <x:c r="E2283" s="1"/>
      <x:c r="F2283" s="1"/>
    </x:row>
    <x:row r="2284">
      <x:c r="A2284" s="1"/>
      <x:c r="B2284" s="1"/>
      <x:c r="C2284" s="1"/>
      <x:c r="D2284" s="1"/>
      <x:c r="E2284" s="1"/>
      <x:c r="F2284" s="1"/>
    </x:row>
    <x:row r="2285">
      <x:c r="A2285" s="1"/>
      <x:c r="B2285" s="1"/>
      <x:c r="C2285" s="1"/>
      <x:c r="D2285" s="1"/>
      <x:c r="E2285" s="1"/>
      <x:c r="F2285" s="1"/>
    </x:row>
    <x:row r="2286">
      <x:c r="A2286" s="1"/>
      <x:c r="B2286" s="1"/>
      <x:c r="C2286" s="1"/>
      <x:c r="D2286" s="1"/>
      <x:c r="E2286" s="1"/>
      <x:c r="F2286" s="1"/>
    </x:row>
    <x:row r="2287">
      <x:c r="A2287" s="1"/>
      <x:c r="B2287" s="1"/>
      <x:c r="C2287" s="1"/>
      <x:c r="D2287" s="1"/>
      <x:c r="E2287" s="1"/>
      <x:c r="F2287" s="1"/>
    </x:row>
    <x:row r="2288">
      <x:c r="A2288" s="1"/>
      <x:c r="B2288" s="1"/>
      <x:c r="C2288" s="1"/>
      <x:c r="D2288" s="1"/>
      <x:c r="E2288" s="1"/>
      <x:c r="F2288" s="1"/>
    </x:row>
    <x:row r="2289">
      <x:c r="A2289" s="1"/>
      <x:c r="B2289" s="1"/>
      <x:c r="C2289" s="1"/>
      <x:c r="D2289" s="1"/>
      <x:c r="E2289" s="1"/>
      <x:c r="F2289" s="1"/>
    </x:row>
    <x:row r="2290">
      <x:c r="A2290" s="1"/>
      <x:c r="B2290" s="1"/>
      <x:c r="C2290" s="1"/>
      <x:c r="D2290" s="1"/>
      <x:c r="E2290" s="1"/>
      <x:c r="F2290" s="1"/>
    </x:row>
    <x:row r="2291">
      <x:c r="A2291" s="1"/>
      <x:c r="B2291" s="1"/>
      <x:c r="C2291" s="1"/>
      <x:c r="D2291" s="1"/>
      <x:c r="E2291" s="1"/>
      <x:c r="F2291" s="1"/>
    </x:row>
    <x:row r="2292">
      <x:c r="A2292" s="1"/>
      <x:c r="B2292" s="1"/>
      <x:c r="C2292" s="1"/>
      <x:c r="D2292" s="1"/>
      <x:c r="E2292" s="1"/>
      <x:c r="F2292" s="1"/>
    </x:row>
    <x:row r="2293">
      <x:c r="A2293" s="1"/>
      <x:c r="B2293" s="1"/>
      <x:c r="C2293" s="1"/>
      <x:c r="D2293" s="1"/>
      <x:c r="E2293" s="1"/>
      <x:c r="F2293" s="1"/>
    </x:row>
    <x:row r="2294">
      <x:c r="A2294" s="1"/>
      <x:c r="B2294" s="1"/>
      <x:c r="C2294" s="1"/>
      <x:c r="D2294" s="1"/>
      <x:c r="E2294" s="1"/>
      <x:c r="F2294" s="1"/>
    </x:row>
    <x:row r="2295">
      <x:c r="A2295" s="1"/>
      <x:c r="B2295" s="1"/>
      <x:c r="C2295" s="1"/>
      <x:c r="D2295" s="1"/>
      <x:c r="E2295" s="1"/>
      <x:c r="F2295" s="1"/>
    </x:row>
    <x:row r="2296">
      <x:c r="A2296" s="1"/>
      <x:c r="B2296" s="1"/>
      <x:c r="C2296" s="1"/>
      <x:c r="D2296" s="1"/>
      <x:c r="E2296" s="1"/>
      <x:c r="F2296" s="1"/>
    </x:row>
    <x:row r="2297">
      <x:c r="A2297" s="1"/>
      <x:c r="B2297" s="1"/>
      <x:c r="C2297" s="1"/>
      <x:c r="D2297" s="1"/>
      <x:c r="E2297" s="1"/>
      <x:c r="F2297" s="1"/>
    </x:row>
    <x:row r="2298">
      <x:c r="A2298" s="1"/>
      <x:c r="B2298" s="1"/>
      <x:c r="C2298" s="1"/>
      <x:c r="D2298" s="1"/>
      <x:c r="E2298" s="1"/>
      <x:c r="F2298" s="1"/>
    </x:row>
    <x:row r="2299">
      <x:c r="A2299" s="1"/>
      <x:c r="B2299" s="1"/>
      <x:c r="C2299" s="1"/>
      <x:c r="D2299" s="1"/>
      <x:c r="E2299" s="1"/>
      <x:c r="F2299" s="1"/>
    </x:row>
    <x:row r="2300">
      <x:c r="A2300" s="1"/>
      <x:c r="B2300" s="1"/>
      <x:c r="C2300" s="1"/>
      <x:c r="D2300" s="1"/>
      <x:c r="E2300" s="1"/>
      <x:c r="F2300" s="1"/>
    </x:row>
    <x:row r="2301">
      <x:c r="A2301" s="1"/>
      <x:c r="B2301" s="1"/>
      <x:c r="C2301" s="1"/>
      <x:c r="D2301" s="1"/>
      <x:c r="E2301" s="1"/>
      <x:c r="F2301" s="1"/>
    </x:row>
    <x:row r="2302">
      <x:c r="A2302" s="1"/>
      <x:c r="B2302" s="1"/>
      <x:c r="C2302" s="1"/>
      <x:c r="D2302" s="1"/>
      <x:c r="E2302" s="1"/>
      <x:c r="F2302" s="1"/>
    </x:row>
    <x:row r="2303">
      <x:c r="A2303" s="1"/>
      <x:c r="B2303" s="1"/>
      <x:c r="C2303" s="1"/>
      <x:c r="D2303" s="1"/>
      <x:c r="E2303" s="1"/>
      <x:c r="F2303" s="1"/>
    </x:row>
    <x:row r="2304">
      <x:c r="A2304" s="1"/>
      <x:c r="B2304" s="1"/>
      <x:c r="C2304" s="1"/>
      <x:c r="D2304" s="1"/>
      <x:c r="E2304" s="1"/>
      <x:c r="F2304" s="1"/>
    </x:row>
    <x:row r="2305">
      <x:c r="A2305" s="1"/>
      <x:c r="B2305" s="1"/>
      <x:c r="C2305" s="1"/>
      <x:c r="D2305" s="1"/>
      <x:c r="E2305" s="1"/>
      <x:c r="F2305" s="1"/>
    </x:row>
    <x:row r="2306">
      <x:c r="A2306" s="1"/>
      <x:c r="B2306" s="1"/>
      <x:c r="C2306" s="1"/>
      <x:c r="D2306" s="1"/>
      <x:c r="E2306" s="1"/>
      <x:c r="F2306" s="1"/>
    </x:row>
    <x:row r="2307">
      <x:c r="A2307" s="1"/>
      <x:c r="B2307" s="1"/>
      <x:c r="C2307" s="1"/>
      <x:c r="D2307" s="1"/>
      <x:c r="E2307" s="1"/>
      <x:c r="F2307" s="1"/>
    </x:row>
    <x:row r="2308">
      <x:c r="A2308" s="1"/>
      <x:c r="B2308" s="1"/>
      <x:c r="C2308" s="1"/>
      <x:c r="D2308" s="1"/>
      <x:c r="E2308" s="1"/>
      <x:c r="F2308" s="1"/>
    </x:row>
    <x:row r="2309">
      <x:c r="A2309" s="1"/>
      <x:c r="B2309" s="1"/>
      <x:c r="C2309" s="1"/>
      <x:c r="D2309" s="1"/>
      <x:c r="E2309" s="1"/>
      <x:c r="F2309" s="1"/>
    </x:row>
    <x:row r="2310">
      <x:c r="A2310" s="1"/>
      <x:c r="B2310" s="1"/>
      <x:c r="C2310" s="1"/>
      <x:c r="D2310" s="1"/>
      <x:c r="E2310" s="1"/>
      <x:c r="F2310" s="1"/>
    </x:row>
    <x:row r="2311">
      <x:c r="A2311" s="1"/>
      <x:c r="B2311" s="1"/>
      <x:c r="C2311" s="1"/>
      <x:c r="D2311" s="1"/>
      <x:c r="E2311" s="1"/>
      <x:c r="F2311" s="1"/>
    </x:row>
    <x:row r="2312">
      <x:c r="A2312" s="1"/>
      <x:c r="B2312" s="1"/>
      <x:c r="C2312" s="1"/>
      <x:c r="D2312" s="1"/>
      <x:c r="E2312" s="1"/>
      <x:c r="F2312" s="1"/>
    </x:row>
    <x:row r="2313">
      <x:c r="A2313" s="1"/>
      <x:c r="B2313" s="1"/>
      <x:c r="C2313" s="1"/>
      <x:c r="D2313" s="1"/>
      <x:c r="E2313" s="1"/>
      <x:c r="F2313" s="1"/>
    </x:row>
    <x:row r="2314">
      <x:c r="A2314" s="1"/>
      <x:c r="B2314" s="1"/>
      <x:c r="C2314" s="1"/>
      <x:c r="D2314" s="1"/>
      <x:c r="E2314" s="1"/>
      <x:c r="F2314" s="1"/>
    </x:row>
    <x:row r="2315">
      <x:c r="A2315" s="1"/>
      <x:c r="B2315" s="1"/>
      <x:c r="C2315" s="1"/>
      <x:c r="D2315" s="1"/>
      <x:c r="E2315" s="1"/>
      <x:c r="F2315" s="1"/>
    </x:row>
    <x:row r="2316">
      <x:c r="A2316" s="1"/>
      <x:c r="B2316" s="1"/>
      <x:c r="C2316" s="1"/>
      <x:c r="D2316" s="1"/>
      <x:c r="E2316" s="1"/>
      <x:c r="F2316" s="1"/>
    </x:row>
    <x:row r="2317">
      <x:c r="A2317" s="1"/>
      <x:c r="B2317" s="1"/>
      <x:c r="C2317" s="1"/>
      <x:c r="D2317" s="1"/>
      <x:c r="E2317" s="1"/>
      <x:c r="F2317" s="1"/>
    </x:row>
    <x:row r="2318">
      <x:c r="A2318" s="1"/>
      <x:c r="B2318" s="1"/>
      <x:c r="C2318" s="1"/>
      <x:c r="D2318" s="1"/>
      <x:c r="E2318" s="1"/>
      <x:c r="F2318" s="1"/>
    </x:row>
    <x:row r="2319">
      <x:c r="A2319" s="1"/>
      <x:c r="B2319" s="1"/>
      <x:c r="C2319" s="1"/>
      <x:c r="D2319" s="1"/>
      <x:c r="E2319" s="1"/>
      <x:c r="F2319" s="1"/>
    </x:row>
    <x:row r="2320">
      <x:c r="A2320" s="1"/>
      <x:c r="B2320" s="1"/>
      <x:c r="C2320" s="1"/>
      <x:c r="D2320" s="1"/>
      <x:c r="E2320" s="1"/>
      <x:c r="F2320" s="1"/>
    </x:row>
    <x:row r="2321">
      <x:c r="A2321" s="1"/>
      <x:c r="B2321" s="1"/>
      <x:c r="C2321" s="1"/>
      <x:c r="D2321" s="1"/>
      <x:c r="E2321" s="1"/>
      <x:c r="F2321" s="1"/>
    </x:row>
    <x:row r="2322">
      <x:c r="A2322" s="1"/>
      <x:c r="B2322" s="1"/>
      <x:c r="C2322" s="1"/>
      <x:c r="D2322" s="1"/>
      <x:c r="E2322" s="1"/>
      <x:c r="F2322" s="1"/>
    </x:row>
    <x:row r="2323">
      <x:c r="A2323" s="1"/>
      <x:c r="B2323" s="1"/>
      <x:c r="C2323" s="1"/>
      <x:c r="D2323" s="1"/>
      <x:c r="E2323" s="1"/>
      <x:c r="F2323" s="1"/>
    </x:row>
    <x:row r="2324">
      <x:c r="A2324" s="1"/>
      <x:c r="B2324" s="1"/>
      <x:c r="C2324" s="1"/>
      <x:c r="D2324" s="1"/>
      <x:c r="E2324" s="1"/>
      <x:c r="F2324" s="1"/>
    </x:row>
    <x:row r="2325">
      <x:c r="A2325" s="1"/>
      <x:c r="B2325" s="1"/>
      <x:c r="C2325" s="1"/>
      <x:c r="D2325" s="1"/>
      <x:c r="E2325" s="1"/>
      <x:c r="F2325" s="1"/>
    </x:row>
    <x:row r="2326">
      <x:c r="A2326" s="1"/>
      <x:c r="B2326" s="1"/>
      <x:c r="C2326" s="1"/>
      <x:c r="D2326" s="1"/>
      <x:c r="E2326" s="1"/>
      <x:c r="F2326" s="1"/>
    </x:row>
    <x:row r="2327">
      <x:c r="A2327" s="1"/>
      <x:c r="B2327" s="1"/>
      <x:c r="C2327" s="1"/>
      <x:c r="D2327" s="1"/>
      <x:c r="E2327" s="1"/>
      <x:c r="F2327" s="1"/>
    </x:row>
    <x:row r="2328">
      <x:c r="A2328" s="1"/>
      <x:c r="B2328" s="1"/>
      <x:c r="C2328" s="1"/>
      <x:c r="D2328" s="1"/>
      <x:c r="E2328" s="1"/>
      <x:c r="F2328" s="1"/>
    </x:row>
    <x:row r="2329">
      <x:c r="A2329" s="1"/>
      <x:c r="B2329" s="1"/>
      <x:c r="C2329" s="1"/>
      <x:c r="D2329" s="1"/>
      <x:c r="E2329" s="1"/>
      <x:c r="F2329" s="1"/>
    </x:row>
    <x:row r="2330">
      <x:c r="A2330" s="1"/>
      <x:c r="B2330" s="1"/>
      <x:c r="C2330" s="1"/>
      <x:c r="D2330" s="1"/>
      <x:c r="E2330" s="1"/>
      <x:c r="F2330" s="1"/>
    </x:row>
    <x:row r="2331">
      <x:c r="A2331" s="1"/>
      <x:c r="B2331" s="1"/>
      <x:c r="C2331" s="1"/>
      <x:c r="D2331" s="1"/>
      <x:c r="E2331" s="1"/>
      <x:c r="F2331" s="1"/>
    </x:row>
    <x:row r="2332">
      <x:c r="A2332" s="1"/>
      <x:c r="B2332" s="1"/>
      <x:c r="C2332" s="1"/>
      <x:c r="D2332" s="1"/>
      <x:c r="E2332" s="1"/>
      <x:c r="F2332" s="1"/>
    </x:row>
    <x:row r="2333">
      <x:c r="A2333" s="1"/>
      <x:c r="B2333" s="1"/>
      <x:c r="C2333" s="1"/>
      <x:c r="D2333" s="1"/>
      <x:c r="E2333" s="1"/>
      <x:c r="F2333" s="1"/>
    </x:row>
    <x:row r="2334">
      <x:c r="A2334" s="1"/>
      <x:c r="B2334" s="1"/>
      <x:c r="C2334" s="1"/>
      <x:c r="D2334" s="1"/>
      <x:c r="E2334" s="1"/>
      <x:c r="F2334" s="1"/>
    </x:row>
    <x:row r="2335">
      <x:c r="A2335" s="1"/>
      <x:c r="B2335" s="1"/>
      <x:c r="C2335" s="1"/>
      <x:c r="D2335" s="1"/>
      <x:c r="E2335" s="1"/>
      <x:c r="F2335" s="1"/>
    </x:row>
    <x:row r="2336">
      <x:c r="A2336" s="1"/>
      <x:c r="B2336" s="1"/>
      <x:c r="C2336" s="1"/>
      <x:c r="D2336" s="1"/>
      <x:c r="E2336" s="1"/>
      <x:c r="F2336" s="1"/>
    </x:row>
    <x:row r="2337">
      <x:c r="A2337" s="1"/>
      <x:c r="B2337" s="1"/>
      <x:c r="C2337" s="1"/>
      <x:c r="D2337" s="1"/>
      <x:c r="E2337" s="1"/>
      <x:c r="F2337" s="1"/>
    </x:row>
    <x:row r="2338">
      <x:c r="A2338" s="1"/>
      <x:c r="B2338" s="1"/>
      <x:c r="C2338" s="1"/>
      <x:c r="D2338" s="1"/>
      <x:c r="E2338" s="1"/>
      <x:c r="F2338" s="1"/>
    </x:row>
    <x:row r="2339">
      <x:c r="A2339" s="1"/>
      <x:c r="B2339" s="1"/>
      <x:c r="C2339" s="1"/>
      <x:c r="D2339" s="1"/>
      <x:c r="E2339" s="1"/>
      <x:c r="F2339" s="1"/>
    </x:row>
    <x:row r="2340">
      <x:c r="A2340" s="1"/>
      <x:c r="B2340" s="1"/>
      <x:c r="C2340" s="1"/>
      <x:c r="D2340" s="1"/>
      <x:c r="E2340" s="1"/>
      <x:c r="F2340" s="1"/>
    </x:row>
    <x:row r="2341">
      <x:c r="A2341" s="1"/>
      <x:c r="B2341" s="1"/>
      <x:c r="C2341" s="1"/>
      <x:c r="D2341" s="1"/>
      <x:c r="E2341" s="1"/>
      <x:c r="F2341" s="1"/>
    </x:row>
    <x:row r="2342">
      <x:c r="A2342" s="1"/>
      <x:c r="B2342" s="1"/>
      <x:c r="C2342" s="1"/>
      <x:c r="D2342" s="1"/>
      <x:c r="E2342" s="1"/>
      <x:c r="F2342" s="1"/>
    </x:row>
    <x:row r="2343">
      <x:c r="A2343" s="1"/>
      <x:c r="B2343" s="1"/>
      <x:c r="C2343" s="1"/>
      <x:c r="D2343" s="1"/>
      <x:c r="E2343" s="1"/>
      <x:c r="F2343" s="1"/>
    </x:row>
    <x:row r="2344">
      <x:c r="A2344" s="1"/>
      <x:c r="B2344" s="1"/>
      <x:c r="C2344" s="1"/>
      <x:c r="D2344" s="1"/>
      <x:c r="E2344" s="1"/>
      <x:c r="F2344" s="1"/>
    </x:row>
    <x:row r="2345">
      <x:c r="A2345" s="1"/>
      <x:c r="B2345" s="1"/>
      <x:c r="C2345" s="1"/>
      <x:c r="D2345" s="1"/>
      <x:c r="E2345" s="1"/>
      <x:c r="F2345" s="1"/>
    </x:row>
    <x:row r="2346">
      <x:c r="A2346" s="1"/>
      <x:c r="B2346" s="1"/>
      <x:c r="C2346" s="1"/>
      <x:c r="D2346" s="1"/>
      <x:c r="E2346" s="1"/>
      <x:c r="F2346" s="1"/>
    </x:row>
    <x:row r="2347">
      <x:c r="A2347" s="1"/>
      <x:c r="B2347" s="1"/>
      <x:c r="C2347" s="1"/>
      <x:c r="D2347" s="1"/>
      <x:c r="E2347" s="1"/>
      <x:c r="F2347" s="1"/>
    </x:row>
    <x:row r="2348">
      <x:c r="A2348" s="1"/>
      <x:c r="B2348" s="1"/>
      <x:c r="C2348" s="1"/>
      <x:c r="D2348" s="1"/>
      <x:c r="E2348" s="1"/>
      <x:c r="F2348" s="1"/>
    </x:row>
    <x:row r="2349">
      <x:c r="A2349" s="1"/>
      <x:c r="B2349" s="1"/>
      <x:c r="C2349" s="1"/>
      <x:c r="D2349" s="1"/>
      <x:c r="E2349" s="1"/>
      <x:c r="F2349" s="1"/>
    </x:row>
    <x:row r="2350">
      <x:c r="A2350" s="1"/>
      <x:c r="B2350" s="1"/>
      <x:c r="C2350" s="1"/>
      <x:c r="D2350" s="1"/>
      <x:c r="E2350" s="1"/>
      <x:c r="F2350" s="1"/>
    </x:row>
    <x:row r="2351">
      <x:c r="A2351" s="1"/>
      <x:c r="B2351" s="1"/>
      <x:c r="C2351" s="1"/>
      <x:c r="D2351" s="1"/>
      <x:c r="E2351" s="1"/>
      <x:c r="F2351" s="1"/>
    </x:row>
    <x:row r="2352">
      <x:c r="A2352" s="1"/>
      <x:c r="B2352" s="1"/>
      <x:c r="C2352" s="1"/>
      <x:c r="D2352" s="1"/>
      <x:c r="E2352" s="1"/>
      <x:c r="F2352" s="1"/>
    </x:row>
    <x:row r="2353">
      <x:c r="A2353" s="1"/>
      <x:c r="B2353" s="1"/>
      <x:c r="C2353" s="1"/>
      <x:c r="D2353" s="1"/>
      <x:c r="E2353" s="1"/>
      <x:c r="F2353" s="1"/>
    </x:row>
    <x:row r="2354">
      <x:c r="A2354" s="1"/>
      <x:c r="B2354" s="1"/>
      <x:c r="C2354" s="1"/>
      <x:c r="D2354" s="1"/>
      <x:c r="E2354" s="1"/>
      <x:c r="F2354" s="1"/>
    </x:row>
    <x:row r="2355">
      <x:c r="A2355" s="1"/>
      <x:c r="B2355" s="1"/>
      <x:c r="C2355" s="1"/>
      <x:c r="D2355" s="1"/>
      <x:c r="E2355" s="1"/>
      <x:c r="F2355" s="1"/>
    </x:row>
    <x:row r="2356">
      <x:c r="A2356" s="1"/>
      <x:c r="B2356" s="1"/>
      <x:c r="C2356" s="1"/>
      <x:c r="D2356" s="1"/>
      <x:c r="E2356" s="1"/>
      <x:c r="F2356" s="1"/>
    </x:row>
    <x:row r="2357">
      <x:c r="A2357" s="1"/>
      <x:c r="B2357" s="1"/>
      <x:c r="C2357" s="1"/>
      <x:c r="D2357" s="1"/>
      <x:c r="E2357" s="1"/>
      <x:c r="F2357" s="1"/>
    </x:row>
    <x:row r="2358">
      <x:c r="A2358" s="1"/>
      <x:c r="B2358" s="1"/>
      <x:c r="C2358" s="1"/>
      <x:c r="D2358" s="1"/>
      <x:c r="E2358" s="1"/>
      <x:c r="F2358" s="1"/>
    </x:row>
    <x:row r="2359">
      <x:c r="A2359" s="1"/>
      <x:c r="B2359" s="1"/>
      <x:c r="C2359" s="1"/>
      <x:c r="D2359" s="1"/>
      <x:c r="E2359" s="1"/>
      <x:c r="F2359" s="1"/>
    </x:row>
    <x:row r="2360">
      <x:c r="A2360" s="1"/>
      <x:c r="B2360" s="1"/>
      <x:c r="C2360" s="1"/>
      <x:c r="D2360" s="1"/>
      <x:c r="E2360" s="1"/>
      <x:c r="F2360" s="1"/>
    </x:row>
    <x:row r="2361">
      <x:c r="A2361" s="1"/>
      <x:c r="B2361" s="1"/>
      <x:c r="C2361" s="1"/>
      <x:c r="D2361" s="1"/>
      <x:c r="E2361" s="1"/>
      <x:c r="F2361" s="1"/>
    </x:row>
    <x:row r="2362">
      <x:c r="A2362" s="1"/>
      <x:c r="B2362" s="1"/>
      <x:c r="C2362" s="1"/>
      <x:c r="D2362" s="1"/>
      <x:c r="E2362" s="1"/>
      <x:c r="F2362" s="1"/>
    </x:row>
    <x:row r="2363">
      <x:c r="A2363" s="1"/>
      <x:c r="B2363" s="1"/>
      <x:c r="C2363" s="1"/>
      <x:c r="D2363" s="1"/>
      <x:c r="E2363" s="1"/>
      <x:c r="F2363" s="1"/>
    </x:row>
    <x:row r="2364">
      <x:c r="A2364" s="1"/>
      <x:c r="B2364" s="1"/>
      <x:c r="C2364" s="1"/>
      <x:c r="D2364" s="1"/>
      <x:c r="E2364" s="1"/>
      <x:c r="F2364" s="1"/>
    </x:row>
    <x:row r="2365">
      <x:c r="A2365" s="1"/>
      <x:c r="B2365" s="1"/>
      <x:c r="C2365" s="1"/>
      <x:c r="D2365" s="1"/>
      <x:c r="E2365" s="1"/>
      <x:c r="F2365" s="1"/>
    </x:row>
    <x:row r="2366">
      <x:c r="A2366" s="1"/>
      <x:c r="B2366" s="1"/>
      <x:c r="C2366" s="1"/>
      <x:c r="D2366" s="1"/>
      <x:c r="E2366" s="1"/>
      <x:c r="F2366" s="1"/>
    </x:row>
    <x:row r="2367">
      <x:c r="A2367" s="1"/>
      <x:c r="B2367" s="1"/>
      <x:c r="C2367" s="1"/>
      <x:c r="D2367" s="1"/>
      <x:c r="E2367" s="1"/>
      <x:c r="F2367" s="1"/>
    </x:row>
    <x:row r="2368">
      <x:c r="A2368" s="1"/>
      <x:c r="B2368" s="1"/>
      <x:c r="C2368" s="1"/>
      <x:c r="D2368" s="1"/>
      <x:c r="E2368" s="1"/>
      <x:c r="F2368" s="1"/>
    </x:row>
    <x:row r="2369">
      <x:c r="A2369" s="1"/>
      <x:c r="B2369" s="1"/>
      <x:c r="C2369" s="1"/>
      <x:c r="D2369" s="1"/>
      <x:c r="E2369" s="1"/>
      <x:c r="F2369" s="1"/>
    </x:row>
    <x:row r="2370">
      <x:c r="A2370" s="1"/>
      <x:c r="B2370" s="1"/>
      <x:c r="C2370" s="1"/>
      <x:c r="D2370" s="1"/>
      <x:c r="E2370" s="1"/>
      <x:c r="F2370" s="1"/>
    </x:row>
    <x:row r="2371">
      <x:c r="A2371" s="1"/>
      <x:c r="B2371" s="1"/>
      <x:c r="C2371" s="1"/>
      <x:c r="D2371" s="1"/>
      <x:c r="E2371" s="1"/>
      <x:c r="F2371" s="1"/>
    </x:row>
    <x:row r="2372">
      <x:c r="A2372" s="1"/>
      <x:c r="B2372" s="1"/>
      <x:c r="C2372" s="1"/>
      <x:c r="D2372" s="1"/>
      <x:c r="E2372" s="1"/>
      <x:c r="F2372" s="1"/>
    </x:row>
    <x:row r="2373">
      <x:c r="A2373" s="1"/>
      <x:c r="B2373" s="1"/>
      <x:c r="C2373" s="1"/>
      <x:c r="D2373" s="1"/>
      <x:c r="E2373" s="1"/>
      <x:c r="F2373" s="1"/>
    </x:row>
    <x:row r="2374">
      <x:c r="A2374" s="1"/>
      <x:c r="B2374" s="1"/>
      <x:c r="C2374" s="1"/>
      <x:c r="D2374" s="1"/>
      <x:c r="E2374" s="1"/>
      <x:c r="F2374" s="1"/>
    </x:row>
    <x:row r="2375">
      <x:c r="A2375" s="1"/>
      <x:c r="B2375" s="1"/>
      <x:c r="C2375" s="1"/>
      <x:c r="D2375" s="1"/>
      <x:c r="E2375" s="1"/>
      <x:c r="F2375" s="1"/>
    </x:row>
    <x:row r="2376">
      <x:c r="A2376" s="1"/>
      <x:c r="B2376" s="1"/>
      <x:c r="C2376" s="1"/>
      <x:c r="D2376" s="1"/>
      <x:c r="E2376" s="1"/>
      <x:c r="F2376" s="1"/>
    </x:row>
    <x:row r="2377">
      <x:c r="A2377" s="1"/>
      <x:c r="B2377" s="1"/>
      <x:c r="C2377" s="1"/>
      <x:c r="D2377" s="1"/>
      <x:c r="E2377" s="1"/>
      <x:c r="F2377" s="1"/>
    </x:row>
    <x:row r="2378">
      <x:c r="A2378" s="1"/>
      <x:c r="B2378" s="1"/>
      <x:c r="C2378" s="1"/>
      <x:c r="D2378" s="1"/>
      <x:c r="E2378" s="1"/>
      <x:c r="F2378" s="1"/>
    </x:row>
    <x:row r="2379">
      <x:c r="A2379" s="1"/>
      <x:c r="B2379" s="1"/>
      <x:c r="C2379" s="1"/>
      <x:c r="D2379" s="1"/>
      <x:c r="E2379" s="1"/>
      <x:c r="F2379" s="1"/>
    </x:row>
    <x:row r="2380">
      <x:c r="A2380" s="1"/>
      <x:c r="B2380" s="1"/>
      <x:c r="C2380" s="1"/>
      <x:c r="D2380" s="1"/>
      <x:c r="E2380" s="1"/>
      <x:c r="F2380" s="1"/>
    </x:row>
    <x:row r="2381">
      <x:c r="A2381" s="1"/>
      <x:c r="B2381" s="1"/>
      <x:c r="C2381" s="1"/>
      <x:c r="D2381" s="1"/>
      <x:c r="E2381" s="1"/>
      <x:c r="F2381" s="1"/>
    </x:row>
    <x:row r="2382">
      <x:c r="A2382" s="1"/>
      <x:c r="B2382" s="1"/>
      <x:c r="C2382" s="1"/>
      <x:c r="D2382" s="1"/>
      <x:c r="E2382" s="1"/>
      <x:c r="F2382" s="1"/>
    </x:row>
    <x:row r="2383">
      <x:c r="A2383" s="1"/>
      <x:c r="B2383" s="1"/>
      <x:c r="C2383" s="1"/>
      <x:c r="D2383" s="1"/>
      <x:c r="E2383" s="1"/>
      <x:c r="F2383" s="1"/>
    </x:row>
    <x:row r="2384">
      <x:c r="A2384" s="1"/>
      <x:c r="B2384" s="1"/>
      <x:c r="C2384" s="1"/>
      <x:c r="D2384" s="1"/>
      <x:c r="E2384" s="1"/>
      <x:c r="F2384" s="1"/>
    </x:row>
    <x:row r="2385">
      <x:c r="A2385" s="1"/>
      <x:c r="B2385" s="1"/>
      <x:c r="C2385" s="1"/>
      <x:c r="D2385" s="1"/>
      <x:c r="E2385" s="1"/>
      <x:c r="F2385" s="1"/>
    </x:row>
    <x:row r="2386">
      <x:c r="A2386" s="1"/>
      <x:c r="B2386" s="1"/>
      <x:c r="C2386" s="1"/>
      <x:c r="D2386" s="1"/>
      <x:c r="E2386" s="1"/>
      <x:c r="F2386" s="1"/>
    </x:row>
    <x:row r="2387">
      <x:c r="A2387" s="1"/>
      <x:c r="B2387" s="1"/>
      <x:c r="C2387" s="1"/>
      <x:c r="D2387" s="1"/>
      <x:c r="E2387" s="1"/>
      <x:c r="F2387" s="1"/>
    </x:row>
    <x:row r="2388">
      <x:c r="A2388" s="1"/>
      <x:c r="B2388" s="1"/>
      <x:c r="C2388" s="1"/>
      <x:c r="D2388" s="1"/>
      <x:c r="E2388" s="1"/>
      <x:c r="F2388" s="1"/>
    </x:row>
    <x:row r="2389">
      <x:c r="A2389" s="1"/>
      <x:c r="B2389" s="1"/>
      <x:c r="C2389" s="1"/>
      <x:c r="D2389" s="1"/>
      <x:c r="E2389" s="1"/>
      <x:c r="F2389" s="1"/>
    </x:row>
    <x:row r="2390">
      <x:c r="A2390" s="1"/>
      <x:c r="B2390" s="1"/>
      <x:c r="C2390" s="1"/>
      <x:c r="D2390" s="1"/>
      <x:c r="E2390" s="1"/>
      <x:c r="F2390" s="1"/>
    </x:row>
    <x:row r="2391">
      <x:c r="A2391" s="1"/>
      <x:c r="B2391" s="1"/>
      <x:c r="C2391" s="1"/>
      <x:c r="D2391" s="1"/>
      <x:c r="E2391" s="1"/>
      <x:c r="F2391" s="1"/>
    </x:row>
    <x:row r="2392">
      <x:c r="A2392" s="1"/>
      <x:c r="B2392" s="1"/>
      <x:c r="C2392" s="1"/>
      <x:c r="D2392" s="1"/>
      <x:c r="E2392" s="1"/>
      <x:c r="F2392" s="1"/>
    </x:row>
    <x:row r="2393">
      <x:c r="A2393" s="1"/>
      <x:c r="B2393" s="1"/>
      <x:c r="C2393" s="1"/>
      <x:c r="D2393" s="1"/>
      <x:c r="E2393" s="1"/>
      <x:c r="F2393" s="1"/>
    </x:row>
    <x:row r="2394">
      <x:c r="A2394" s="1"/>
      <x:c r="B2394" s="1"/>
      <x:c r="C2394" s="1"/>
      <x:c r="D2394" s="1"/>
      <x:c r="E2394" s="1"/>
      <x:c r="F2394" s="1"/>
    </x:row>
    <x:row r="2395">
      <x:c r="A2395" s="1"/>
      <x:c r="B2395" s="1"/>
      <x:c r="C2395" s="1"/>
      <x:c r="D2395" s="1"/>
      <x:c r="E2395" s="1"/>
      <x:c r="F2395" s="1"/>
    </x:row>
    <x:row r="2396">
      <x:c r="A2396" s="1"/>
      <x:c r="B2396" s="1"/>
      <x:c r="C2396" s="1"/>
      <x:c r="D2396" s="1"/>
      <x:c r="E2396" s="1"/>
      <x:c r="F2396" s="1"/>
    </x:row>
    <x:row r="2397">
      <x:c r="A2397" s="1"/>
      <x:c r="B2397" s="1"/>
      <x:c r="C2397" s="1"/>
      <x:c r="D2397" s="1"/>
      <x:c r="E2397" s="1"/>
      <x:c r="F2397" s="1"/>
    </x:row>
    <x:row r="2398">
      <x:c r="A2398" s="1"/>
      <x:c r="B2398" s="1"/>
      <x:c r="C2398" s="1"/>
      <x:c r="D2398" s="1"/>
      <x:c r="E2398" s="1"/>
      <x:c r="F2398" s="1"/>
    </x:row>
    <x:row r="2399">
      <x:c r="A2399" s="1"/>
      <x:c r="B2399" s="1"/>
      <x:c r="C2399" s="1"/>
      <x:c r="D2399" s="1"/>
      <x:c r="E2399" s="1"/>
      <x:c r="F2399" s="1"/>
    </x:row>
    <x:row r="2400">
      <x:c r="A2400" s="1"/>
      <x:c r="B2400" s="1"/>
      <x:c r="C2400" s="1"/>
      <x:c r="D2400" s="1"/>
      <x:c r="E2400" s="1"/>
      <x:c r="F2400" s="1"/>
    </x:row>
    <x:row r="2401">
      <x:c r="A2401" s="1"/>
      <x:c r="B2401" s="1"/>
      <x:c r="C2401" s="1"/>
      <x:c r="D2401" s="1"/>
      <x:c r="E2401" s="1"/>
      <x:c r="F2401" s="1"/>
    </x:row>
    <x:row r="2402">
      <x:c r="A2402" s="1"/>
      <x:c r="B2402" s="1"/>
      <x:c r="C2402" s="1"/>
      <x:c r="D2402" s="1"/>
      <x:c r="E2402" s="1"/>
      <x:c r="F2402" s="1"/>
    </x:row>
    <x:row r="2403">
      <x:c r="A2403" s="1"/>
      <x:c r="B2403" s="1"/>
      <x:c r="C2403" s="1"/>
      <x:c r="D2403" s="1"/>
      <x:c r="E2403" s="1"/>
      <x:c r="F2403" s="1"/>
    </x:row>
    <x:row r="2404">
      <x:c r="A2404" s="1"/>
      <x:c r="B2404" s="1"/>
      <x:c r="C2404" s="1"/>
      <x:c r="D2404" s="1"/>
      <x:c r="E2404" s="1"/>
      <x:c r="F2404" s="1"/>
    </x:row>
    <x:row r="2405">
      <x:c r="A2405" s="1"/>
      <x:c r="B2405" s="1"/>
      <x:c r="C2405" s="1"/>
      <x:c r="D2405" s="1"/>
      <x:c r="E2405" s="1"/>
      <x:c r="F2405" s="1"/>
    </x:row>
    <x:row r="2406">
      <x:c r="A2406" s="1"/>
      <x:c r="B2406" s="1"/>
      <x:c r="C2406" s="1"/>
      <x:c r="D2406" s="1"/>
      <x:c r="E2406" s="1"/>
      <x:c r="F2406" s="1"/>
    </x:row>
    <x:row r="2407">
      <x:c r="A2407" s="1"/>
      <x:c r="B2407" s="1"/>
      <x:c r="C2407" s="1"/>
      <x:c r="D2407" s="1"/>
      <x:c r="E2407" s="1"/>
      <x:c r="F2407" s="1"/>
    </x:row>
    <x:row r="2408">
      <x:c r="A2408" s="1"/>
      <x:c r="B2408" s="1"/>
      <x:c r="C2408" s="1"/>
      <x:c r="D2408" s="1"/>
      <x:c r="E2408" s="1"/>
      <x:c r="F2408" s="1"/>
    </x:row>
    <x:row r="2409">
      <x:c r="A2409" s="1"/>
      <x:c r="B2409" s="1"/>
      <x:c r="C2409" s="1"/>
      <x:c r="D2409" s="1"/>
      <x:c r="E2409" s="1"/>
      <x:c r="F2409" s="1"/>
    </x:row>
    <x:row r="2410">
      <x:c r="A2410" s="1"/>
      <x:c r="B2410" s="1"/>
      <x:c r="C2410" s="1"/>
      <x:c r="D2410" s="1"/>
      <x:c r="E2410" s="1"/>
      <x:c r="F2410" s="1"/>
    </x:row>
    <x:row r="2411">
      <x:c r="A2411" s="1"/>
      <x:c r="B2411" s="1"/>
      <x:c r="C2411" s="1"/>
      <x:c r="D2411" s="1"/>
      <x:c r="E2411" s="1"/>
      <x:c r="F2411" s="1"/>
    </x:row>
    <x:row r="2412">
      <x:c r="A2412" s="1"/>
      <x:c r="B2412" s="1"/>
      <x:c r="C2412" s="1"/>
      <x:c r="D2412" s="1"/>
      <x:c r="E2412" s="1"/>
      <x:c r="F2412" s="1"/>
    </x:row>
    <x:row r="2413">
      <x:c r="A2413" s="1"/>
      <x:c r="B2413" s="1"/>
      <x:c r="C2413" s="1"/>
      <x:c r="D2413" s="1"/>
      <x:c r="E2413" s="1"/>
      <x:c r="F2413" s="1"/>
    </x:row>
    <x:row r="2414">
      <x:c r="A2414" s="1"/>
      <x:c r="B2414" s="1"/>
      <x:c r="C2414" s="1"/>
      <x:c r="D2414" s="1"/>
      <x:c r="E2414" s="1"/>
      <x:c r="F2414" s="1"/>
    </x:row>
    <x:row r="2415">
      <x:c r="A2415" s="1"/>
      <x:c r="B2415" s="1"/>
      <x:c r="C2415" s="1"/>
      <x:c r="D2415" s="1"/>
      <x:c r="E2415" s="1"/>
      <x:c r="F2415" s="1"/>
    </x:row>
    <x:row r="2416">
      <x:c r="A2416" s="1"/>
      <x:c r="B2416" s="1"/>
      <x:c r="C2416" s="1"/>
      <x:c r="D2416" s="1"/>
      <x:c r="E2416" s="1"/>
      <x:c r="F2416" s="1"/>
    </x:row>
    <x:row r="2417">
      <x:c r="A2417" s="1"/>
      <x:c r="B2417" s="1"/>
      <x:c r="C2417" s="1"/>
      <x:c r="D2417" s="1"/>
      <x:c r="E2417" s="1"/>
      <x:c r="F2417" s="1"/>
    </x:row>
    <x:row r="2418">
      <x:c r="A2418" s="1"/>
      <x:c r="B2418" s="1"/>
      <x:c r="C2418" s="1"/>
      <x:c r="D2418" s="1"/>
      <x:c r="E2418" s="1"/>
      <x:c r="F2418" s="1"/>
    </x:row>
    <x:row r="2419">
      <x:c r="A2419" s="1"/>
      <x:c r="B2419" s="1"/>
      <x:c r="C2419" s="1"/>
      <x:c r="D2419" s="1"/>
      <x:c r="E2419" s="1"/>
      <x:c r="F2419" s="1"/>
    </x:row>
    <x:row r="2420">
      <x:c r="A2420" s="1"/>
      <x:c r="B2420" s="1"/>
      <x:c r="C2420" s="1"/>
      <x:c r="D2420" s="1"/>
      <x:c r="E2420" s="1"/>
      <x:c r="F2420" s="1"/>
    </x:row>
    <x:row r="2421">
      <x:c r="A2421" s="1"/>
      <x:c r="B2421" s="1"/>
      <x:c r="C2421" s="1"/>
      <x:c r="D2421" s="1"/>
      <x:c r="E2421" s="1"/>
      <x:c r="F2421" s="1"/>
    </x:row>
    <x:row r="2422">
      <x:c r="A2422" s="1"/>
      <x:c r="B2422" s="1"/>
      <x:c r="C2422" s="1"/>
      <x:c r="D2422" s="1"/>
      <x:c r="E2422" s="1"/>
      <x:c r="F2422" s="1"/>
    </x:row>
    <x:row r="2423">
      <x:c r="A2423" s="1"/>
      <x:c r="B2423" s="1"/>
      <x:c r="C2423" s="1"/>
      <x:c r="D2423" s="1"/>
      <x:c r="E2423" s="1"/>
      <x:c r="F2423" s="1"/>
    </x:row>
    <x:row r="2424">
      <x:c r="A2424" s="1"/>
      <x:c r="B2424" s="1"/>
      <x:c r="C2424" s="1"/>
      <x:c r="D2424" s="1"/>
      <x:c r="E2424" s="1"/>
      <x:c r="F2424" s="1"/>
    </x:row>
    <x:row r="2425">
      <x:c r="A2425" s="1"/>
      <x:c r="B2425" s="1"/>
      <x:c r="C2425" s="1"/>
      <x:c r="D2425" s="1"/>
      <x:c r="E2425" s="1"/>
      <x:c r="F2425" s="1"/>
    </x:row>
    <x:row r="2426">
      <x:c r="A2426" s="1"/>
      <x:c r="B2426" s="1"/>
      <x:c r="C2426" s="1"/>
      <x:c r="D2426" s="1"/>
      <x:c r="E2426" s="1"/>
      <x:c r="F2426" s="1"/>
    </x:row>
    <x:row r="2427">
      <x:c r="A2427" s="1"/>
      <x:c r="B2427" s="1"/>
      <x:c r="C2427" s="1"/>
      <x:c r="D2427" s="1"/>
      <x:c r="E2427" s="1"/>
      <x:c r="F2427" s="1"/>
    </x:row>
    <x:row r="2428">
      <x:c r="A2428" s="1"/>
      <x:c r="B2428" s="1"/>
      <x:c r="C2428" s="1"/>
      <x:c r="D2428" s="1"/>
      <x:c r="E2428" s="1"/>
      <x:c r="F2428" s="1"/>
    </x:row>
    <x:row r="2429">
      <x:c r="A2429" s="1"/>
      <x:c r="B2429" s="1"/>
      <x:c r="C2429" s="1"/>
      <x:c r="D2429" s="1"/>
      <x:c r="E2429" s="1"/>
      <x:c r="F2429" s="1"/>
    </x:row>
    <x:row r="2430">
      <x:c r="A2430" s="1"/>
      <x:c r="B2430" s="1"/>
      <x:c r="C2430" s="1"/>
      <x:c r="D2430" s="1"/>
      <x:c r="E2430" s="1"/>
      <x:c r="F2430" s="1"/>
    </x:row>
    <x:row r="2431">
      <x:c r="A2431" s="1"/>
      <x:c r="B2431" s="1"/>
      <x:c r="C2431" s="1"/>
      <x:c r="D2431" s="1"/>
      <x:c r="E2431" s="1"/>
      <x:c r="F2431" s="1"/>
    </x:row>
    <x:row r="2432">
      <x:c r="A2432" s="1"/>
      <x:c r="B2432" s="1"/>
      <x:c r="C2432" s="1"/>
      <x:c r="D2432" s="1"/>
      <x:c r="E2432" s="1"/>
      <x:c r="F2432" s="1"/>
    </x:row>
    <x:row r="2433">
      <x:c r="A2433" s="1"/>
      <x:c r="B2433" s="1"/>
      <x:c r="C2433" s="1"/>
      <x:c r="D2433" s="1"/>
      <x:c r="E2433" s="1"/>
      <x:c r="F2433" s="1"/>
    </x:row>
    <x:row r="2434">
      <x:c r="A2434" s="1"/>
      <x:c r="B2434" s="1"/>
      <x:c r="C2434" s="1"/>
      <x:c r="D2434" s="1"/>
      <x:c r="E2434" s="1"/>
      <x:c r="F2434" s="1"/>
    </x:row>
    <x:row r="2435">
      <x:c r="A2435" s="1"/>
      <x:c r="B2435" s="1"/>
      <x:c r="C2435" s="1"/>
      <x:c r="D2435" s="1"/>
      <x:c r="E2435" s="1"/>
      <x:c r="F2435" s="1"/>
    </x:row>
    <x:row r="2436">
      <x:c r="A2436" s="1"/>
      <x:c r="B2436" s="1"/>
      <x:c r="C2436" s="1"/>
      <x:c r="D2436" s="1"/>
      <x:c r="E2436" s="1"/>
      <x:c r="F2436" s="1"/>
    </x:row>
    <x:row r="2437">
      <x:c r="A2437" s="1"/>
      <x:c r="B2437" s="1"/>
      <x:c r="C2437" s="1"/>
      <x:c r="D2437" s="1"/>
      <x:c r="E2437" s="1"/>
      <x:c r="F2437" s="1"/>
    </x:row>
    <x:row r="2438">
      <x:c r="A2438" s="1"/>
      <x:c r="B2438" s="1"/>
      <x:c r="C2438" s="1"/>
      <x:c r="D2438" s="1"/>
      <x:c r="E2438" s="1"/>
      <x:c r="F2438" s="1"/>
    </x:row>
    <x:row r="2439">
      <x:c r="A2439" s="1"/>
      <x:c r="B2439" s="1"/>
      <x:c r="C2439" s="1"/>
      <x:c r="D2439" s="1"/>
      <x:c r="E2439" s="1"/>
      <x:c r="F2439" s="1"/>
    </x:row>
    <x:row r="2440">
      <x:c r="A2440" s="1"/>
      <x:c r="B2440" s="1"/>
      <x:c r="C2440" s="1"/>
      <x:c r="D2440" s="1"/>
      <x:c r="E2440" s="1"/>
      <x:c r="F2440" s="1"/>
    </x:row>
    <x:row r="2441">
      <x:c r="A2441" s="1"/>
      <x:c r="B2441" s="1"/>
      <x:c r="C2441" s="1"/>
      <x:c r="D2441" s="1"/>
      <x:c r="E2441" s="1"/>
      <x:c r="F2441" s="1"/>
    </x:row>
    <x:row r="2442">
      <x:c r="A2442" s="1"/>
      <x:c r="B2442" s="1"/>
      <x:c r="C2442" s="1"/>
      <x:c r="D2442" s="1"/>
      <x:c r="E2442" s="1"/>
      <x:c r="F2442" s="1"/>
    </x:row>
    <x:row r="2443">
      <x:c r="A2443" s="1"/>
      <x:c r="B2443" s="1"/>
      <x:c r="C2443" s="1"/>
      <x:c r="D2443" s="1"/>
      <x:c r="E2443" s="1"/>
      <x:c r="F2443" s="1"/>
    </x:row>
    <x:row r="2444">
      <x:c r="A2444" s="1"/>
      <x:c r="B2444" s="1"/>
      <x:c r="C2444" s="1"/>
      <x:c r="D2444" s="1"/>
      <x:c r="E2444" s="1"/>
      <x:c r="F2444" s="1"/>
    </x:row>
    <x:row r="2445">
      <x:c r="A2445" s="1"/>
      <x:c r="B2445" s="1"/>
      <x:c r="C2445" s="1"/>
      <x:c r="D2445" s="1"/>
      <x:c r="E2445" s="1"/>
      <x:c r="F2445" s="1"/>
    </x:row>
    <x:row r="2446">
      <x:c r="A2446" s="1"/>
      <x:c r="B2446" s="1"/>
      <x:c r="C2446" s="1"/>
      <x:c r="D2446" s="1"/>
      <x:c r="E2446" s="1"/>
      <x:c r="F2446" s="1"/>
    </x:row>
    <x:row r="2447">
      <x:c r="A2447" s="1"/>
      <x:c r="B2447" s="1"/>
      <x:c r="C2447" s="1"/>
      <x:c r="D2447" s="1"/>
      <x:c r="E2447" s="1"/>
      <x:c r="F2447" s="1"/>
    </x:row>
    <x:row r="2448">
      <x:c r="A2448" s="1"/>
      <x:c r="B2448" s="1"/>
      <x:c r="C2448" s="1"/>
      <x:c r="D2448" s="1"/>
      <x:c r="E2448" s="1"/>
      <x:c r="F2448" s="1"/>
    </x:row>
    <x:row r="2449">
      <x:c r="A2449" s="1"/>
      <x:c r="B2449" s="1"/>
      <x:c r="C2449" s="1"/>
      <x:c r="D2449" s="1"/>
      <x:c r="E2449" s="1"/>
      <x:c r="F2449" s="1"/>
    </x:row>
    <x:row r="2450">
      <x:c r="A2450" s="1"/>
      <x:c r="B2450" s="1"/>
      <x:c r="C2450" s="1"/>
      <x:c r="D2450" s="1"/>
      <x:c r="E2450" s="1"/>
      <x:c r="F2450" s="1"/>
    </x:row>
    <x:row r="2451">
      <x:c r="A2451" s="1"/>
      <x:c r="B2451" s="1"/>
      <x:c r="C2451" s="1"/>
      <x:c r="D2451" s="1"/>
      <x:c r="E2451" s="1"/>
      <x:c r="F2451" s="1"/>
    </x:row>
    <x:row r="2452">
      <x:c r="A2452" s="1"/>
      <x:c r="B2452" s="1"/>
      <x:c r="C2452" s="1"/>
      <x:c r="D2452" s="1"/>
      <x:c r="E2452" s="1"/>
      <x:c r="F2452" s="1"/>
    </x:row>
    <x:row r="2453">
      <x:c r="A2453" s="1"/>
      <x:c r="B2453" s="1"/>
      <x:c r="C2453" s="1"/>
      <x:c r="D2453" s="1"/>
      <x:c r="E2453" s="1"/>
      <x:c r="F2453" s="1"/>
    </x:row>
    <x:row r="2454">
      <x:c r="A2454" s="1"/>
      <x:c r="B2454" s="1"/>
      <x:c r="C2454" s="1"/>
      <x:c r="D2454" s="1"/>
      <x:c r="E2454" s="1"/>
      <x:c r="F2454" s="1"/>
    </x:row>
    <x:row r="2455">
      <x:c r="A2455" s="1"/>
      <x:c r="B2455" s="1"/>
      <x:c r="C2455" s="1"/>
      <x:c r="D2455" s="1"/>
      <x:c r="E2455" s="1"/>
      <x:c r="F2455" s="1"/>
    </x:row>
    <x:row r="2456">
      <x:c r="A2456" s="1"/>
      <x:c r="B2456" s="1"/>
      <x:c r="C2456" s="1"/>
      <x:c r="D2456" s="1"/>
      <x:c r="E2456" s="1"/>
      <x:c r="F2456" s="1"/>
    </x:row>
    <x:row r="2457">
      <x:c r="A2457" s="1"/>
      <x:c r="B2457" s="1"/>
      <x:c r="C2457" s="1"/>
      <x:c r="D2457" s="1"/>
      <x:c r="E2457" s="1"/>
      <x:c r="F2457" s="1"/>
    </x:row>
    <x:row r="2458">
      <x:c r="A2458" s="1"/>
      <x:c r="B2458" s="1"/>
      <x:c r="C2458" s="1"/>
      <x:c r="D2458" s="1"/>
      <x:c r="E2458" s="1"/>
      <x:c r="F2458" s="1"/>
    </x:row>
    <x:row r="2459">
      <x:c r="A2459" s="1"/>
      <x:c r="B2459" s="1"/>
      <x:c r="C2459" s="1"/>
      <x:c r="D2459" s="1"/>
      <x:c r="E2459" s="1"/>
      <x:c r="F2459" s="1"/>
    </x:row>
    <x:row r="2460">
      <x:c r="A2460" s="1"/>
      <x:c r="B2460" s="1"/>
      <x:c r="C2460" s="1"/>
      <x:c r="D2460" s="1"/>
      <x:c r="E2460" s="1"/>
      <x:c r="F2460" s="1"/>
    </x:row>
    <x:row r="2461">
      <x:c r="A2461" s="1"/>
      <x:c r="B2461" s="1"/>
      <x:c r="C2461" s="1"/>
      <x:c r="D2461" s="1"/>
      <x:c r="E2461" s="1"/>
      <x:c r="F2461" s="1"/>
    </x:row>
    <x:row r="2462">
      <x:c r="A2462" s="1"/>
      <x:c r="B2462" s="1"/>
      <x:c r="C2462" s="1"/>
      <x:c r="D2462" s="1"/>
      <x:c r="E2462" s="1"/>
      <x:c r="F2462" s="1"/>
    </x:row>
    <x:row r="2463">
      <x:c r="A2463" s="1"/>
      <x:c r="B2463" s="1"/>
      <x:c r="C2463" s="1"/>
      <x:c r="D2463" s="1"/>
      <x:c r="E2463" s="1"/>
      <x:c r="F2463" s="1"/>
    </x:row>
    <x:row r="2464">
      <x:c r="A2464" s="1"/>
      <x:c r="B2464" s="1"/>
      <x:c r="C2464" s="1"/>
      <x:c r="D2464" s="1"/>
      <x:c r="E2464" s="1"/>
      <x:c r="F2464" s="1"/>
    </x:row>
    <x:row r="2465">
      <x:c r="A2465" s="1"/>
      <x:c r="B2465" s="1"/>
      <x:c r="C2465" s="1"/>
      <x:c r="D2465" s="1"/>
      <x:c r="E2465" s="1"/>
      <x:c r="F2465" s="1"/>
    </x:row>
    <x:row r="2466">
      <x:c r="A2466" s="1"/>
      <x:c r="B2466" s="1"/>
      <x:c r="C2466" s="1"/>
      <x:c r="D2466" s="1"/>
      <x:c r="E2466" s="1"/>
      <x:c r="F2466" s="1"/>
    </x:row>
    <x:row r="2467">
      <x:c r="A2467" s="1"/>
      <x:c r="B2467" s="1"/>
      <x:c r="C2467" s="1"/>
      <x:c r="D2467" s="1"/>
      <x:c r="E2467" s="1"/>
      <x:c r="F2467" s="1"/>
    </x:row>
    <x:row r="2468">
      <x:c r="A2468" s="1"/>
      <x:c r="B2468" s="1"/>
      <x:c r="C2468" s="1"/>
      <x:c r="D2468" s="1"/>
      <x:c r="E2468" s="1"/>
      <x:c r="F2468" s="1"/>
    </x:row>
    <x:row r="2469">
      <x:c r="A2469" s="1"/>
      <x:c r="B2469" s="1"/>
      <x:c r="C2469" s="1"/>
      <x:c r="D2469" s="1"/>
      <x:c r="E2469" s="1"/>
      <x:c r="F2469" s="1"/>
    </x:row>
    <x:row r="2470">
      <x:c r="A2470" s="1"/>
      <x:c r="B2470" s="1"/>
      <x:c r="C2470" s="1"/>
      <x:c r="D2470" s="1"/>
      <x:c r="E2470" s="1"/>
      <x:c r="F2470" s="1"/>
    </x:row>
    <x:row r="2471">
      <x:c r="A2471" s="1"/>
      <x:c r="B2471" s="1"/>
      <x:c r="C2471" s="1"/>
      <x:c r="D2471" s="1"/>
      <x:c r="E2471" s="1"/>
      <x:c r="F2471" s="1"/>
    </x:row>
    <x:row r="2472">
      <x:c r="A2472" s="1"/>
      <x:c r="B2472" s="1"/>
      <x:c r="C2472" s="1"/>
      <x:c r="D2472" s="1"/>
      <x:c r="E2472" s="1"/>
      <x:c r="F2472" s="1"/>
    </x:row>
    <x:row r="2473">
      <x:c r="A2473" s="1"/>
      <x:c r="B2473" s="1"/>
      <x:c r="C2473" s="1"/>
      <x:c r="D2473" s="1"/>
      <x:c r="E2473" s="1"/>
      <x:c r="F2473" s="1"/>
    </x:row>
    <x:row r="2474">
      <x:c r="A2474" s="1"/>
      <x:c r="B2474" s="1"/>
      <x:c r="C2474" s="1"/>
      <x:c r="D2474" s="1"/>
      <x:c r="E2474" s="1"/>
      <x:c r="F2474" s="1"/>
    </x:row>
    <x:row r="2475">
      <x:c r="A2475" s="1"/>
      <x:c r="B2475" s="1"/>
      <x:c r="C2475" s="1"/>
      <x:c r="D2475" s="1"/>
      <x:c r="E2475" s="1"/>
      <x:c r="F2475" s="1"/>
    </x:row>
    <x:row r="2476">
      <x:c r="A2476" s="1"/>
      <x:c r="B2476" s="1"/>
      <x:c r="C2476" s="1"/>
      <x:c r="D2476" s="1"/>
      <x:c r="E2476" s="1"/>
      <x:c r="F2476" s="1"/>
    </x:row>
    <x:row r="2477">
      <x:c r="A2477" s="1"/>
      <x:c r="B2477" s="1"/>
      <x:c r="C2477" s="1"/>
      <x:c r="D2477" s="1"/>
      <x:c r="E2477" s="1"/>
      <x:c r="F2477" s="1"/>
    </x:row>
    <x:row r="2478">
      <x:c r="A2478" s="1"/>
      <x:c r="B2478" s="1"/>
      <x:c r="C2478" s="1"/>
      <x:c r="D2478" s="1"/>
      <x:c r="E2478" s="1"/>
      <x:c r="F2478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49" hidden="0" customWidth="1"/>
    <x:col min="3" max="3" width="23" hidden="0" customWidth="1"/>
    <x:col min="4" max="4" width="19" hidden="0" customWidth="1"/>
    <x:col min="5" max="5" width="20" hidden="0" customWidth="1"/>
    <x:col min="6" max="6" width="20" hidden="0" customWidth="1"/>
    <x:col min="7" max="7" width="19" hidden="0" customWidth="1"/>
    <x:col min="8" max="8" width="19" hidden="0" customWidth="1"/>
    <x:col min="9" max="9" width="20" hidden="0" customWidth="1"/>
    <x:col min="10" max="10" width="20" hidden="0" customWidth="1"/>
    <x:col min="11" max="11" width="22" hidden="0" customWidth="1"/>
    <x:col min="12" max="12" width="22" hidden="0" customWidth="1"/>
    <x:col min="13" max="13" width="21" hidden="0" customWidth="1"/>
    <x:col min="14" max="14" width="25" hidden="0" customWidth="1"/>
    <x:col min="15" max="15" width="3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План запасов для TOP20 апреля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Условный план на 1 месяц + 20% буфер. Дата остатков не подтверждена; входящие поставки и сроки пополнения неизвестны.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40" customHeight="1">
      <x:c r="A4" s="7" t="str">
        <x:v>Артикул WB</x:v>
      </x:c>
      <x:c r="B4" s="7" t="str">
        <x:v>Артикул ЦМ</x:v>
      </x:c>
      <x:c r="C4" s="7" t="str">
        <x:v>Выкупы, ₽</x:v>
      </x:c>
      <x:c r="D4" s="7" t="str">
        <x:v>Март заказы</x:v>
      </x:c>
      <x:c r="E4" s="7" t="str">
        <x:v>Апрель заказы</x:v>
      </x:c>
      <x:c r="F4" s="7" t="str">
        <x:v>Май MA2, шт</x:v>
      </x:c>
      <x:c r="G4" s="7" t="str">
        <x:v>Остаток WB</x:v>
      </x:c>
      <x:c r="H4" s="7" t="str">
        <x:v>Остаток МП</x:v>
      </x:c>
      <x:c r="I4" s="7" t="str">
        <x:v>Всего остаток</x:v>
      </x:c>
      <x:c r="J4" s="7" t="str">
        <x:v>Покрытие, дни</x:v>
      </x:c>
      <x:c r="K4" s="7" t="str">
        <x:v>Цель с буфером</x:v>
      </x:c>
      <x:c r="L4" s="7" t="str">
        <x:v>Пополнить, шт</x:v>
      </x:c>
      <x:c r="M4" s="7" t="str">
        <x:v>Избыток, шт</x:v>
      </x:c>
      <x:c r="N4" s="7" t="str">
        <x:v>Решение</x:v>
      </x:c>
      <x:c r="O4" s="7" t="str">
        <x:v>Остатки</x:v>
      </x:c>
    </x:row>
    <x:row r="5">
      <x:c r="A5" s="1" t="str">
        <x:f>'Данные'!A5</x:f>
        <x:v>165757789</x:v>
      </x:c>
      <x:c r="B5" s="1" t="str">
        <x:f>'Данные'!B5</x:f>
        <x:v>kulirkaman/черный</x:v>
      </x:c>
      <x:c r="C5" s="8" t="n">
        <x:f>'Данные'!G5</x:f>
        <x:v>16596780</x:v>
      </x:c>
      <x:c r="D5" s="8" t="n">
        <x:f>IF(ISNUMBER('Данные'!J5),'Данные'!J5,"n.a.")</x:f>
        <x:v>17633</x:v>
      </x:c>
      <x:c r="E5" s="8" t="n">
        <x:f>'Данные'!F5</x:f>
        <x:v>27371</x:v>
      </x:c>
      <x:c r="F5" s="8" t="n">
        <x:f>IF(ISNUMBER(D5),ROUNDUP(AVERAGE(D5:E5),0),"n.a.")</x:f>
        <x:v>22502</x:v>
      </x:c>
      <x:c r="G5" s="8" t="n">
        <x:f>'Данные'!H5</x:f>
        <x:v>17655</x:v>
      </x:c>
      <x:c r="H5" s="8" t="n">
        <x:f>'Данные'!I5</x:f>
        <x:v>0</x:v>
      </x:c>
      <x:c r="I5" s="8" t="n">
        <x:f>SUM(G5:H5)</x:f>
        <x:v>17655</x:v>
      </x:c>
      <x:c r="J5" s="9" t="n">
        <x:f>IF(E5&gt;0,I5/(E5/'Дашборд'!$C$58),"n.a.")</x:f>
        <x:v>19.35077271564795</x:v>
      </x:c>
      <x:c r="K5" s="8" t="n">
        <x:f>IF(ISNUMBER(F5),ROUNDUP(F5*(1+'Дашборд'!$C$57),0),"n.a.")</x:f>
        <x:v>27003</x:v>
      </x:c>
      <x:c r="L5" s="8" t="n">
        <x:f>IF(ISNUMBER(K5),MAX(K5-I5,0),"n.a.")</x:f>
        <x:v>9348</x:v>
      </x:c>
      <x:c r="M5" s="8" t="n">
        <x:f>IF(ISNUMBER(K5),MAX(I5-K5,0),"n.a.")</x:f>
        <x:v>0</x:v>
      </x:c>
      <x:c r="N5" s="1" t="str">
        <x:f>IF('Данные'!L5="Да","Проверить удаление",IF(ISNUMBER(K5),IF(L5&gt;0,"Пополнить",IF(M5&gt;0,"Снизить закупку","Поддерживать")),"Проверить историю"))</x:f>
        <x:v>Пополнить</x:v>
      </x:c>
      <x:c r="O5" s="1" t="str">
        <x:v>Остаток неизменен за историю</x:v>
      </x:c>
    </x:row>
    <x:row r="6">
      <x:c r="A6" s="1" t="str">
        <x:f>'Данные'!A6</x:f>
        <x:v>165757798</x:v>
      </x:c>
      <x:c r="B6" s="1" t="str">
        <x:f>'Данные'!B6</x:f>
        <x:v>kulirkaman/белый</x:v>
      </x:c>
      <x:c r="C6" s="8" t="n">
        <x:f>'Данные'!G6</x:f>
        <x:v>13873240</x:v>
      </x:c>
      <x:c r="D6" s="8" t="n">
        <x:f>IF(ISNUMBER('Данные'!J6),'Данные'!J6,"n.a.")</x:f>
        <x:v>19446</x:v>
      </x:c>
      <x:c r="E6" s="8" t="n">
        <x:f>'Данные'!F6</x:f>
        <x:v>23689</x:v>
      </x:c>
      <x:c r="F6" s="8" t="n">
        <x:f>IF(ISNUMBER(D6),ROUNDUP(AVERAGE(D6:E6),0),"n.a.")</x:f>
        <x:v>21568</x:v>
      </x:c>
      <x:c r="G6" s="8" t="n">
        <x:f>'Данные'!H6</x:f>
        <x:v>6345</x:v>
      </x:c>
      <x:c r="H6" s="8" t="n">
        <x:f>'Данные'!I6</x:f>
        <x:v>0</x:v>
      </x:c>
      <x:c r="I6" s="8" t="n">
        <x:f>SUM(G6:H6)</x:f>
        <x:v>6345</x:v>
      </x:c>
      <x:c r="J6" s="9" t="n">
        <x:f>IF(E6&gt;0,I6/(E6/'Дашборд'!$C$58),"n.a.")</x:f>
        <x:v>8.03537506859724</x:v>
      </x:c>
      <x:c r="K6" s="8" t="n">
        <x:f>IF(ISNUMBER(F6),ROUNDUP(F6*(1+'Дашборд'!$C$57),0),"n.a.")</x:f>
        <x:v>25882</x:v>
      </x:c>
      <x:c r="L6" s="8" t="n">
        <x:f>IF(ISNUMBER(K6),MAX(K6-I6,0),"n.a.")</x:f>
        <x:v>19537</x:v>
      </x:c>
      <x:c r="M6" s="8" t="n">
        <x:f>IF(ISNUMBER(K6),MAX(I6-K6,0),"n.a.")</x:f>
        <x:v>0</x:v>
      </x:c>
      <x:c r="N6" s="1" t="str">
        <x:f>IF('Данные'!L6="Да","Проверить удаление",IF(ISNUMBER(K6),IF(L6&gt;0,"Пополнить",IF(M6&gt;0,"Снизить закупку","Поддерживать")),"Проверить историю"))</x:f>
        <x:v>Пополнить</x:v>
      </x:c>
      <x:c r="O6" s="1" t="str">
        <x:v>Проверить дату остатка</x:v>
      </x:c>
    </x:row>
    <x:row r="7">
      <x:c r="A7" s="1" t="str">
        <x:f>'Данные'!A7</x:f>
        <x:v>221519619</x:v>
      </x:c>
      <x:c r="B7" s="1" t="str">
        <x:f>'Данные'!B7</x:f>
        <x:v>futbolkaover/розовый</x:v>
      </x:c>
      <x:c r="C7" s="8" t="n">
        <x:f>'Данные'!G7</x:f>
        <x:v>13477107</x:v>
      </x:c>
      <x:c r="D7" s="8" t="n">
        <x:f>IF(ISNUMBER('Данные'!J7),'Данные'!J7,"n.a.")</x:f>
        <x:v>15600</x:v>
      </x:c>
      <x:c r="E7" s="8" t="n">
        <x:f>'Данные'!F7</x:f>
        <x:v>22931</x:v>
      </x:c>
      <x:c r="F7" s="8" t="n">
        <x:f>IF(ISNUMBER(D7),ROUNDUP(AVERAGE(D7:E7),0),"n.a.")</x:f>
        <x:v>19266</x:v>
      </x:c>
      <x:c r="G7" s="8" t="n">
        <x:f>'Данные'!H7</x:f>
        <x:v>6417</x:v>
      </x:c>
      <x:c r="H7" s="8" t="n">
        <x:f>'Данные'!I7</x:f>
        <x:v>0</x:v>
      </x:c>
      <x:c r="I7" s="8" t="n">
        <x:f>SUM(G7:H7)</x:f>
        <x:v>6417</x:v>
      </x:c>
      <x:c r="J7" s="9" t="n">
        <x:f>IF(E7&gt;0,I7/(E7/'Дашборд'!$C$58),"n.a.")</x:f>
        <x:v>8.39518555667001</x:v>
      </x:c>
      <x:c r="K7" s="8" t="n">
        <x:f>IF(ISNUMBER(F7),ROUNDUP(F7*(1+'Дашборд'!$C$57),0),"n.a.")</x:f>
        <x:v>23120</x:v>
      </x:c>
      <x:c r="L7" s="8" t="n">
        <x:f>IF(ISNUMBER(K7),MAX(K7-I7,0),"n.a.")</x:f>
        <x:v>16703</x:v>
      </x:c>
      <x:c r="M7" s="8" t="n">
        <x:f>IF(ISNUMBER(K7),MAX(I7-K7,0),"n.a.")</x:f>
        <x:v>0</x:v>
      </x:c>
      <x:c r="N7" s="1" t="str">
        <x:f>IF('Данные'!L7="Да","Проверить удаление",IF(ISNUMBER(K7),IF(L7&gt;0,"Пополнить",IF(M7&gt;0,"Снизить закупку","Поддерживать")),"Проверить историю"))</x:f>
        <x:v>Пополнить</x:v>
      </x:c>
      <x:c r="O7" s="1" t="str">
        <x:v>Остаток неизменен за историю</x:v>
      </x:c>
    </x:row>
    <x:row r="8">
      <x:c r="A8" s="1" t="str">
        <x:f>'Данные'!A8</x:f>
        <x:v>30926516</x:v>
      </x:c>
      <x:c r="B8" s="1" t="str">
        <x:f>'Данные'!B8</x:f>
        <x:v>futbolkaover/черный</x:v>
      </x:c>
      <x:c r="C8" s="8" t="n">
        <x:f>'Данные'!G8</x:f>
        <x:v>12719821</x:v>
      </x:c>
      <x:c r="D8" s="8" t="n">
        <x:f>IF(ISNUMBER('Данные'!J8),'Данные'!J8,"n.a.")</x:f>
        <x:v>16246</x:v>
      </x:c>
      <x:c r="E8" s="8" t="n">
        <x:f>'Данные'!F8</x:f>
        <x:v>25808</x:v>
      </x:c>
      <x:c r="F8" s="8" t="n">
        <x:f>IF(ISNUMBER(D8),ROUNDUP(AVERAGE(D8:E8),0),"n.a.")</x:f>
        <x:v>21027</x:v>
      </x:c>
      <x:c r="G8" s="8" t="n">
        <x:f>'Данные'!H8</x:f>
        <x:v>11587</x:v>
      </x:c>
      <x:c r="H8" s="8" t="n">
        <x:f>'Данные'!I8</x:f>
        <x:v>0</x:v>
      </x:c>
      <x:c r="I8" s="8" t="n">
        <x:f>SUM(G8:H8)</x:f>
        <x:v>11587</x:v>
      </x:c>
      <x:c r="J8" s="9" t="n">
        <x:f>IF(E8&gt;0,I8/(E8/'Дашборд'!$C$58),"n.a.")</x:f>
        <x:v>13.469079355238685</x:v>
      </x:c>
      <x:c r="K8" s="8" t="n">
        <x:f>IF(ISNUMBER(F8),ROUNDUP(F8*(1+'Дашборд'!$C$57),0),"n.a.")</x:f>
        <x:v>25233</x:v>
      </x:c>
      <x:c r="L8" s="8" t="n">
        <x:f>IF(ISNUMBER(K8),MAX(K8-I8,0),"n.a.")</x:f>
        <x:v>13646</x:v>
      </x:c>
      <x:c r="M8" s="8" t="n">
        <x:f>IF(ISNUMBER(K8),MAX(I8-K8,0),"n.a.")</x:f>
        <x:v>0</x:v>
      </x:c>
      <x:c r="N8" s="1" t="str">
        <x:f>IF('Данные'!L8="Да","Проверить удаление",IF(ISNUMBER(K8),IF(L8&gt;0,"Пополнить",IF(M8&gt;0,"Снизить закупку","Поддерживать")),"Проверить историю"))</x:f>
        <x:v>Пополнить</x:v>
      </x:c>
      <x:c r="O8" s="1" t="str">
        <x:v>Остаток неизменен за историю</x:v>
      </x:c>
    </x:row>
    <x:row r="9">
      <x:c r="A9" s="1" t="str">
        <x:f>'Данные'!A9</x:f>
        <x:v>29360157</x:v>
      </x:c>
      <x:c r="B9" s="1" t="str">
        <x:f>'Данные'!B9</x:f>
        <x:v>futbolkaover/белый</x:v>
      </x:c>
      <x:c r="C9" s="8" t="n">
        <x:f>'Данные'!G9</x:f>
        <x:v>11016644</x:v>
      </x:c>
      <x:c r="D9" s="8" t="n">
        <x:f>IF(ISNUMBER('Данные'!J9),'Данные'!J9,"n.a.")</x:f>
        <x:v>16533</x:v>
      </x:c>
      <x:c r="E9" s="8" t="n">
        <x:f>'Данные'!F9</x:f>
        <x:v>20712</x:v>
      </x:c>
      <x:c r="F9" s="8" t="n">
        <x:f>IF(ISNUMBER(D9),ROUNDUP(AVERAGE(D9:E9),0),"n.a.")</x:f>
        <x:v>18623</x:v>
      </x:c>
      <x:c r="G9" s="8" t="n">
        <x:f>'Данные'!H9</x:f>
        <x:v>3025</x:v>
      </x:c>
      <x:c r="H9" s="8" t="n">
        <x:f>'Данные'!I9</x:f>
        <x:v>0</x:v>
      </x:c>
      <x:c r="I9" s="8" t="n">
        <x:f>SUM(G9:H9)</x:f>
        <x:v>3025</x:v>
      </x:c>
      <x:c r="J9" s="9" t="n">
        <x:f>IF(E9&gt;0,I9/(E9/'Дашборд'!$C$58),"n.a.")</x:f>
        <x:v>4.381517960602549</x:v>
      </x:c>
      <x:c r="K9" s="8" t="n">
        <x:f>IF(ISNUMBER(F9),ROUNDUP(F9*(1+'Дашборд'!$C$57),0),"n.a.")</x:f>
        <x:v>22348</x:v>
      </x:c>
      <x:c r="L9" s="8" t="n">
        <x:f>IF(ISNUMBER(K9),MAX(K9-I9,0),"n.a.")</x:f>
        <x:v>19323</x:v>
      </x:c>
      <x:c r="M9" s="8" t="n">
        <x:f>IF(ISNUMBER(K9),MAX(I9-K9,0),"n.a.")</x:f>
        <x:v>0</x:v>
      </x:c>
      <x:c r="N9" s="1" t="str">
        <x:f>IF('Данные'!L9="Да","Проверить удаление",IF(ISNUMBER(K9),IF(L9&gt;0,"Пополнить",IF(M9&gt;0,"Снизить закупку","Поддерживать")),"Проверить историю"))</x:f>
        <x:v>Пополнить</x:v>
      </x:c>
      <x:c r="O9" s="1" t="str">
        <x:v>Остаток неизменен за историю</x:v>
      </x:c>
    </x:row>
    <x:row r="10">
      <x:c r="A10" s="1" t="str">
        <x:f>'Данные'!A10</x:f>
        <x:v>221519598</x:v>
      </x:c>
      <x:c r="B10" s="1" t="str">
        <x:f>'Данные'!B10</x:f>
        <x:v>longover/розовый</x:v>
      </x:c>
      <x:c r="C10" s="8" t="n">
        <x:f>'Данные'!G10</x:f>
        <x:v>10113899</x:v>
      </x:c>
      <x:c r="D10" s="8" t="n">
        <x:f>IF(ISNUMBER('Данные'!J10),'Данные'!J10,"n.a.")</x:f>
        <x:v>14634</x:v>
      </x:c>
      <x:c r="E10" s="8" t="n">
        <x:f>'Данные'!F10</x:f>
        <x:v>16719</x:v>
      </x:c>
      <x:c r="F10" s="8" t="n">
        <x:f>IF(ISNUMBER(D10),ROUNDUP(AVERAGE(D10:E10),0),"n.a.")</x:f>
        <x:v>15677</x:v>
      </x:c>
      <x:c r="G10" s="8" t="n">
        <x:f>'Данные'!H10</x:f>
        <x:v>6528</x:v>
      </x:c>
      <x:c r="H10" s="8" t="n">
        <x:f>'Данные'!I10</x:f>
        <x:v>0</x:v>
      </x:c>
      <x:c r="I10" s="8" t="n">
        <x:f>SUM(G10:H10)</x:f>
        <x:v>6528</x:v>
      </x:c>
      <x:c r="J10" s="9" t="n">
        <x:f>IF(E10&gt;0,I10/(E10/'Дашборд'!$C$58),"n.a.")</x:f>
        <x:v>11.713619235600216</x:v>
      </x:c>
      <x:c r="K10" s="8" t="n">
        <x:f>IF(ISNUMBER(F10),ROUNDUP(F10*(1+'Дашборд'!$C$57),0),"n.a.")</x:f>
        <x:v>18813</x:v>
      </x:c>
      <x:c r="L10" s="8" t="n">
        <x:f>IF(ISNUMBER(K10),MAX(K10-I10,0),"n.a.")</x:f>
        <x:v>12285</x:v>
      </x:c>
      <x:c r="M10" s="8" t="n">
        <x:f>IF(ISNUMBER(K10),MAX(I10-K10,0),"n.a.")</x:f>
        <x:v>0</x:v>
      </x:c>
      <x:c r="N10" s="1" t="str">
        <x:f>IF('Данные'!L10="Да","Проверить удаление",IF(ISNUMBER(K10),IF(L10&gt;0,"Пополнить",IF(M10&gt;0,"Снизить закупку","Поддерживать")),"Проверить историю"))</x:f>
        <x:v>Пополнить</x:v>
      </x:c>
      <x:c r="O10" s="1" t="str">
        <x:v>Проверить дату остатка</x:v>
      </x:c>
    </x:row>
    <x:row r="11">
      <x:c r="A11" s="1" t="str">
        <x:f>'Данные'!A11</x:f>
        <x:v>323180742</x:v>
      </x:c>
      <x:c r="B11" s="1" t="str">
        <x:f>'Данные'!B11</x:f>
        <x:v>futskims3K-102/черный</x:v>
      </x:c>
      <x:c r="C11" s="8" t="n">
        <x:f>'Данные'!G11</x:f>
        <x:v>9594388</x:v>
      </x:c>
      <x:c r="D11" s="8" t="n">
        <x:f>IF(ISNUMBER('Данные'!J11),'Данные'!J11,"n.a.")</x:f>
        <x:v>5109</x:v>
      </x:c>
      <x:c r="E11" s="8" t="n">
        <x:f>'Данные'!F11</x:f>
        <x:v>16706</x:v>
      </x:c>
      <x:c r="F11" s="8" t="n">
        <x:f>IF(ISNUMBER(D11),ROUNDUP(AVERAGE(D11:E11),0),"n.a.")</x:f>
        <x:v>10908</x:v>
      </x:c>
      <x:c r="G11" s="8" t="n">
        <x:f>'Данные'!H11</x:f>
        <x:v>10840</x:v>
      </x:c>
      <x:c r="H11" s="8" t="n">
        <x:f>'Данные'!I11</x:f>
        <x:v>0</x:v>
      </x:c>
      <x:c r="I11" s="8" t="n">
        <x:f>SUM(G11:H11)</x:f>
        <x:v>10840</x:v>
      </x:c>
      <x:c r="J11" s="9" t="n">
        <x:f>IF(E11&gt;0,I11/(E11/'Дашборд'!$C$58),"n.a.")</x:f>
        <x:v>19.466060098168324</x:v>
      </x:c>
      <x:c r="K11" s="8" t="n">
        <x:f>IF(ISNUMBER(F11),ROUNDUP(F11*(1+'Дашборд'!$C$57),0),"n.a.")</x:f>
        <x:v>13090</x:v>
      </x:c>
      <x:c r="L11" s="8" t="n">
        <x:f>IF(ISNUMBER(K11),MAX(K11-I11,0),"n.a.")</x:f>
        <x:v>2250</x:v>
      </x:c>
      <x:c r="M11" s="8" t="n">
        <x:f>IF(ISNUMBER(K11),MAX(I11-K11,0),"n.a.")</x:f>
        <x:v>0</x:v>
      </x:c>
      <x:c r="N11" s="1" t="str">
        <x:f>IF('Данные'!L11="Да","Проверить удаление",IF(ISNUMBER(K11),IF(L11&gt;0,"Пополнить",IF(M11&gt;0,"Снизить закупку","Поддерживать")),"Проверить историю"))</x:f>
        <x:v>Пополнить</x:v>
      </x:c>
      <x:c r="O11" s="1" t="str">
        <x:v>Остаток неизменен за историю</x:v>
      </x:c>
    </x:row>
    <x:row r="12">
      <x:c r="A12" s="1" t="str">
        <x:f>'Данные'!A12</x:f>
        <x:v>314823259</x:v>
      </x:c>
      <x:c r="B12" s="1" t="str">
        <x:f>'Данные'!B12</x:f>
        <x:v>futbolkaprint/27в-259/бордовый</x:v>
      </x:c>
      <x:c r="C12" s="8" t="n">
        <x:f>'Данные'!G12</x:f>
        <x:v>8995154</x:v>
      </x:c>
      <x:c r="D12" s="8" t="n">
        <x:f>IF(ISNUMBER('Данные'!J12),'Данные'!J12,"n.a.")</x:f>
        <x:v>2096</x:v>
      </x:c>
      <x:c r="E12" s="8" t="n">
        <x:f>'Данные'!F12</x:f>
        <x:v>13695</x:v>
      </x:c>
      <x:c r="F12" s="8" t="n">
        <x:f>IF(ISNUMBER(D12),ROUNDUP(AVERAGE(D12:E12),0),"n.a.")</x:f>
        <x:v>7896</x:v>
      </x:c>
      <x:c r="G12" s="8" t="n">
        <x:f>'Данные'!H12</x:f>
        <x:v>3269</x:v>
      </x:c>
      <x:c r="H12" s="8" t="n">
        <x:f>'Данные'!I12</x:f>
        <x:v>0</x:v>
      </x:c>
      <x:c r="I12" s="8" t="n">
        <x:f>SUM(G12:H12)</x:f>
        <x:v>3269</x:v>
      </x:c>
      <x:c r="J12" s="9" t="n">
        <x:f>IF(E12&gt;0,I12/(E12/'Дашборд'!$C$58),"n.a.")</x:f>
        <x:v>7.161007667031764</x:v>
      </x:c>
      <x:c r="K12" s="8" t="n">
        <x:f>IF(ISNUMBER(F12),ROUNDUP(F12*(1+'Дашборд'!$C$57),0),"n.a.")</x:f>
        <x:v>9476</x:v>
      </x:c>
      <x:c r="L12" s="8" t="n">
        <x:f>IF(ISNUMBER(K12),MAX(K12-I12,0),"n.a.")</x:f>
        <x:v>6207</x:v>
      </x:c>
      <x:c r="M12" s="8" t="n">
        <x:f>IF(ISNUMBER(K12),MAX(I12-K12,0),"n.a.")</x:f>
        <x:v>0</x:v>
      </x:c>
      <x:c r="N12" s="1" t="str">
        <x:f>IF('Данные'!L12="Да","Проверить удаление",IF(ISNUMBER(K12),IF(L12&gt;0,"Пополнить",IF(M12&gt;0,"Снизить закупку","Поддерживать")),"Проверить историю"))</x:f>
        <x:v>Пополнить</x:v>
      </x:c>
      <x:c r="O12" s="1" t="str">
        <x:v>Остаток неизменен за историю</x:v>
      </x:c>
    </x:row>
    <x:row r="13">
      <x:c r="A13" s="1" t="str">
        <x:f>'Данные'!A13</x:f>
        <x:v>15445452</x:v>
      </x:c>
      <x:c r="B13" s="1" t="str">
        <x:f>'Данные'!B13</x:f>
        <x:v>hudi/черный</x:v>
      </x:c>
      <x:c r="C13" s="8" t="n">
        <x:f>'Данные'!G13</x:f>
        <x:v>8984765</x:v>
      </x:c>
      <x:c r="D13" s="8" t="n">
        <x:f>IF(ISNUMBER('Данные'!J13),'Данные'!J13,"n.a.")</x:f>
        <x:v>11265</x:v>
      </x:c>
      <x:c r="E13" s="8" t="n">
        <x:f>'Данные'!F13</x:f>
        <x:v>8706</x:v>
      </x:c>
      <x:c r="F13" s="8" t="n">
        <x:f>IF(ISNUMBER(D13),ROUNDUP(AVERAGE(D13:E13),0),"n.a.")</x:f>
        <x:v>9986</x:v>
      </x:c>
      <x:c r="G13" s="8" t="n">
        <x:f>'Данные'!H13</x:f>
        <x:v>914</x:v>
      </x:c>
      <x:c r="H13" s="8" t="n">
        <x:f>'Данные'!I13</x:f>
        <x:v>0</x:v>
      </x:c>
      <x:c r="I13" s="8" t="n">
        <x:f>SUM(G13:H13)</x:f>
        <x:v>914</x:v>
      </x:c>
      <x:c r="J13" s="9" t="n">
        <x:f>IF(E13&gt;0,I13/(E13/'Дашборд'!$C$58),"n.a.")</x:f>
        <x:v>3.149552033080634</x:v>
      </x:c>
      <x:c r="K13" s="8" t="n">
        <x:f>IF(ISNUMBER(F13),ROUNDUP(F13*(1+'Дашборд'!$C$57),0),"n.a.")</x:f>
        <x:v>11984</x:v>
      </x:c>
      <x:c r="L13" s="8" t="n">
        <x:f>IF(ISNUMBER(K13),MAX(K13-I13,0),"n.a.")</x:f>
        <x:v>11070</x:v>
      </x:c>
      <x:c r="M13" s="8" t="n">
        <x:f>IF(ISNUMBER(K13),MAX(I13-K13,0),"n.a.")</x:f>
        <x:v>0</x:v>
      </x:c>
      <x:c r="N13" s="1" t="str">
        <x:f>IF('Данные'!L13="Да","Проверить удаление",IF(ISNUMBER(K13),IF(L13&gt;0,"Пополнить",IF(M13&gt;0,"Снизить закупку","Поддерживать")),"Проверить историю"))</x:f>
        <x:v>Пополнить</x:v>
      </x:c>
      <x:c r="O13" s="1" t="str">
        <x:v>Остаток неизменен за историю</x:v>
      </x:c>
    </x:row>
    <x:row r="14">
      <x:c r="A14" s="1" t="str">
        <x:f>'Данные'!A14</x:f>
        <x:v>35236713</x:v>
      </x:c>
      <x:c r="B14" s="1" t="str">
        <x:f>'Данные'!B14</x:f>
        <x:v>futbolkaover/молочный</x:v>
      </x:c>
      <x:c r="C14" s="8" t="n">
        <x:f>'Данные'!G14</x:f>
        <x:v>8885363</x:v>
      </x:c>
      <x:c r="D14" s="8" t="n">
        <x:f>IF(ISNUMBER('Данные'!J14),'Данные'!J14,"n.a.")</x:f>
        <x:v>16187</x:v>
      </x:c>
      <x:c r="E14" s="8" t="n">
        <x:f>'Данные'!F14</x:f>
        <x:v>18868</x:v>
      </x:c>
      <x:c r="F14" s="8" t="n">
        <x:f>IF(ISNUMBER(D14),ROUNDUP(AVERAGE(D14:E14),0),"n.a.")</x:f>
        <x:v>17528</x:v>
      </x:c>
      <x:c r="G14" s="8" t="n">
        <x:f>'Данные'!H14</x:f>
        <x:v>8859</x:v>
      </x:c>
      <x:c r="H14" s="8" t="n">
        <x:f>'Данные'!I14</x:f>
        <x:v>0</x:v>
      </x:c>
      <x:c r="I14" s="8" t="n">
        <x:f>SUM(G14:H14)</x:f>
        <x:v>8859</x:v>
      </x:c>
      <x:c r="J14" s="9" t="n">
        <x:f>IF(E14&gt;0,I14/(E14/'Дашборд'!$C$58),"n.a.")</x:f>
        <x:v>14.085753656985373</x:v>
      </x:c>
      <x:c r="K14" s="8" t="n">
        <x:f>IF(ISNUMBER(F14),ROUNDUP(F14*(1+'Дашборд'!$C$57),0),"n.a.")</x:f>
        <x:v>21034</x:v>
      </x:c>
      <x:c r="L14" s="8" t="n">
        <x:f>IF(ISNUMBER(K14),MAX(K14-I14,0),"n.a.")</x:f>
        <x:v>12175</x:v>
      </x:c>
      <x:c r="M14" s="8" t="n">
        <x:f>IF(ISNUMBER(K14),MAX(I14-K14,0),"n.a.")</x:f>
        <x:v>0</x:v>
      </x:c>
      <x:c r="N14" s="1" t="str">
        <x:f>IF('Данные'!L14="Да","Проверить удаление",IF(ISNUMBER(K14),IF(L14&gt;0,"Пополнить",IF(M14&gt;0,"Снизить закупку","Поддерживать")),"Проверить историю"))</x:f>
        <x:v>Пополнить</x:v>
      </x:c>
      <x:c r="O14" s="1" t="str">
        <x:v>Проверить дату остатка</x:v>
      </x:c>
    </x:row>
    <x:row r="15">
      <x:c r="A15" s="1" t="str">
        <x:f>'Данные'!A15</x:f>
        <x:v>18985539</x:v>
      </x:c>
      <x:c r="B15" s="1" t="str">
        <x:f>'Данные'!B15</x:f>
        <x:v>hudi/молочный</x:v>
      </x:c>
      <x:c r="C15" s="8" t="n">
        <x:f>'Данные'!G15</x:f>
        <x:v>8051651</x:v>
      </x:c>
      <x:c r="D15" s="8" t="n">
        <x:f>IF(ISNUMBER('Данные'!J15),'Данные'!J15,"n.a.")</x:f>
        <x:v>6127</x:v>
      </x:c>
      <x:c r="E15" s="8" t="n">
        <x:f>'Данные'!F15</x:f>
        <x:v>8318</x:v>
      </x:c>
      <x:c r="F15" s="8" t="n">
        <x:f>IF(ISNUMBER(D15),ROUNDUP(AVERAGE(D15:E15),0),"n.a.")</x:f>
        <x:v>7223</x:v>
      </x:c>
      <x:c r="G15" s="8" t="n">
        <x:f>'Данные'!H15</x:f>
        <x:v>8216</x:v>
      </x:c>
      <x:c r="H15" s="8" t="n">
        <x:f>'Данные'!I15</x:f>
        <x:v>0</x:v>
      </x:c>
      <x:c r="I15" s="8" t="n">
        <x:f>SUM(G15:H15)</x:f>
        <x:v>8216</x:v>
      </x:c>
      <x:c r="J15" s="9" t="n">
        <x:f>IF(E15&gt;0,I15/(E15/'Дашборд'!$C$58),"n.a.")</x:f>
        <x:v>29.63212310651599</x:v>
      </x:c>
      <x:c r="K15" s="8" t="n">
        <x:f>IF(ISNUMBER(F15),ROUNDUP(F15*(1+'Дашборд'!$C$57),0),"n.a.")</x:f>
        <x:v>8668</x:v>
      </x:c>
      <x:c r="L15" s="8" t="n">
        <x:f>IF(ISNUMBER(K15),MAX(K15-I15,0),"n.a.")</x:f>
        <x:v>452</x:v>
      </x:c>
      <x:c r="M15" s="8" t="n">
        <x:f>IF(ISNUMBER(K15),MAX(I15-K15,0),"n.a.")</x:f>
        <x:v>0</x:v>
      </x:c>
      <x:c r="N15" s="1" t="str">
        <x:f>IF('Данные'!L15="Да","Проверить удаление",IF(ISNUMBER(K15),IF(L15&gt;0,"Пополнить",IF(M15&gt;0,"Снизить закупку","Поддерживать")),"Проверить историю"))</x:f>
        <x:v>Пополнить</x:v>
      </x:c>
      <x:c r="O15" s="1" t="str">
        <x:v>Остаток неизменен за историю</x:v>
      </x:c>
    </x:row>
    <x:row r="16">
      <x:c r="A16" s="1" t="str">
        <x:f>'Данные'!A16</x:f>
        <x:v>31156679</x:v>
      </x:c>
      <x:c r="B16" s="1" t="str">
        <x:f>'Данные'!B16</x:f>
        <x:v>futbolkaover/какао</x:v>
      </x:c>
      <x:c r="C16" s="8" t="n">
        <x:f>'Данные'!G16</x:f>
        <x:v>7104990</x:v>
      </x:c>
      <x:c r="D16" s="8" t="n">
        <x:f>IF(ISNUMBER('Данные'!J16),'Данные'!J16,"n.a.")</x:f>
        <x:v>7515</x:v>
      </x:c>
      <x:c r="E16" s="8" t="n">
        <x:f>'Данные'!F16</x:f>
        <x:v>15277</x:v>
      </x:c>
      <x:c r="F16" s="8" t="n">
        <x:f>IF(ISNUMBER(D16),ROUNDUP(AVERAGE(D16:E16),0),"n.a.")</x:f>
        <x:v>11396</x:v>
      </x:c>
      <x:c r="G16" s="8" t="n">
        <x:f>'Данные'!H16</x:f>
        <x:v>10604</x:v>
      </x:c>
      <x:c r="H16" s="8" t="n">
        <x:f>'Данные'!I16</x:f>
        <x:v>0</x:v>
      </x:c>
      <x:c r="I16" s="8" t="n">
        <x:f>SUM(G16:H16)</x:f>
        <x:v>10604</x:v>
      </x:c>
      <x:c r="J16" s="9" t="n">
        <x:f>IF(E16&gt;0,I16/(E16/'Дашборд'!$C$58),"n.a.")</x:f>
        <x:v>20.823460103423447</x:v>
      </x:c>
      <x:c r="K16" s="8" t="n">
        <x:f>IF(ISNUMBER(F16),ROUNDUP(F16*(1+'Дашборд'!$C$57),0),"n.a.")</x:f>
        <x:v>13676</x:v>
      </x:c>
      <x:c r="L16" s="8" t="n">
        <x:f>IF(ISNUMBER(K16),MAX(K16-I16,0),"n.a.")</x:f>
        <x:v>3072</x:v>
      </x:c>
      <x:c r="M16" s="8" t="n">
        <x:f>IF(ISNUMBER(K16),MAX(I16-K16,0),"n.a.")</x:f>
        <x:v>0</x:v>
      </x:c>
      <x:c r="N16" s="1" t="str">
        <x:f>IF('Данные'!L16="Да","Проверить удаление",IF(ISNUMBER(K16),IF(L16&gt;0,"Пополнить",IF(M16&gt;0,"Снизить закупку","Поддерживать")),"Проверить историю"))</x:f>
        <x:v>Пополнить</x:v>
      </x:c>
      <x:c r="O16" s="1" t="str">
        <x:v>Остаток неизменен за историю</x:v>
      </x:c>
    </x:row>
    <x:row r="17">
      <x:c r="A17" s="1" t="str">
        <x:f>'Данные'!A17</x:f>
        <x:v>79576331</x:v>
      </x:c>
      <x:c r="B17" s="1" t="str">
        <x:f>'Данные'!B17</x:f>
        <x:v>futbolkaover/бордовый</x:v>
      </x:c>
      <x:c r="C17" s="8" t="n">
        <x:f>'Данные'!G17</x:f>
        <x:v>7081954</x:v>
      </x:c>
      <x:c r="D17" s="8" t="n">
        <x:f>IF(ISNUMBER('Данные'!J17),'Данные'!J17,"n.a.")</x:f>
        <x:v>6921</x:v>
      </x:c>
      <x:c r="E17" s="8" t="n">
        <x:f>'Данные'!F17</x:f>
        <x:v>15111</x:v>
      </x:c>
      <x:c r="F17" s="8" t="n">
        <x:f>IF(ISNUMBER(D17),ROUNDUP(AVERAGE(D17:E17),0),"n.a.")</x:f>
        <x:v>11016</x:v>
      </x:c>
      <x:c r="G17" s="8" t="n">
        <x:f>'Данные'!H17</x:f>
        <x:v>2805</x:v>
      </x:c>
      <x:c r="H17" s="8" t="n">
        <x:f>'Данные'!I17</x:f>
        <x:v>0</x:v>
      </x:c>
      <x:c r="I17" s="8" t="n">
        <x:f>SUM(G17:H17)</x:f>
        <x:v>2805</x:v>
      </x:c>
      <x:c r="J17" s="9" t="n">
        <x:f>IF(E17&gt;0,I17/(E17/'Дашборд'!$C$58),"n.a.")</x:f>
        <x:v>5.568790946992258</x:v>
      </x:c>
      <x:c r="K17" s="8" t="n">
        <x:f>IF(ISNUMBER(F17),ROUNDUP(F17*(1+'Дашборд'!$C$57),0),"n.a.")</x:f>
        <x:v>13220</x:v>
      </x:c>
      <x:c r="L17" s="8" t="n">
        <x:f>IF(ISNUMBER(K17),MAX(K17-I17,0),"n.a.")</x:f>
        <x:v>10415</x:v>
      </x:c>
      <x:c r="M17" s="8" t="n">
        <x:f>IF(ISNUMBER(K17),MAX(I17-K17,0),"n.a.")</x:f>
        <x:v>0</x:v>
      </x:c>
      <x:c r="N17" s="1" t="str">
        <x:f>IF('Данные'!L17="Да","Проверить удаление",IF(ISNUMBER(K17),IF(L17&gt;0,"Пополнить",IF(M17&gt;0,"Снизить закупку","Поддерживать")),"Проверить историю"))</x:f>
        <x:v>Пополнить</x:v>
      </x:c>
      <x:c r="O17" s="1" t="str">
        <x:v>Остаток неизменен за историю</x:v>
      </x:c>
    </x:row>
    <x:row r="18">
      <x:c r="A18" s="1" t="str">
        <x:f>'Данные'!A18</x:f>
        <x:v>226527745</x:v>
      </x:c>
      <x:c r="B18" s="1" t="str">
        <x:f>'Данные'!B18</x:f>
        <x:v>futbolkaprint/TheMovementClub-140/молочный</x:v>
      </x:c>
      <x:c r="C18" s="8" t="n">
        <x:f>'Данные'!G18</x:f>
        <x:v>6740304</x:v>
      </x:c>
      <x:c r="D18" s="8" t="n">
        <x:f>IF(ISNUMBER('Данные'!J18),'Данные'!J18,"n.a.")</x:f>
        <x:v>5164</x:v>
      </x:c>
      <x:c r="E18" s="8" t="n">
        <x:f>'Данные'!F18</x:f>
        <x:v>8310</x:v>
      </x:c>
      <x:c r="F18" s="8" t="n">
        <x:f>IF(ISNUMBER(D18),ROUNDUP(AVERAGE(D18:E18),0),"n.a.")</x:f>
        <x:v>6737</x:v>
      </x:c>
      <x:c r="G18" s="8" t="n">
        <x:f>'Данные'!H18</x:f>
        <x:v>855</x:v>
      </x:c>
      <x:c r="H18" s="8" t="n">
        <x:f>'Данные'!I18</x:f>
        <x:v>0</x:v>
      </x:c>
      <x:c r="I18" s="8" t="n">
        <x:f>SUM(G18:H18)</x:f>
        <x:v>855</x:v>
      </x:c>
      <x:c r="J18" s="9" t="n">
        <x:f>IF(E18&gt;0,I18/(E18/'Дашборд'!$C$58),"n.a.")</x:f>
        <x:v>3.0866425992779782</x:v>
      </x:c>
      <x:c r="K18" s="8" t="n">
        <x:f>IF(ISNUMBER(F18),ROUNDUP(F18*(1+'Дашборд'!$C$57),0),"n.a.")</x:f>
        <x:v>8085</x:v>
      </x:c>
      <x:c r="L18" s="8" t="n">
        <x:f>IF(ISNUMBER(K18),MAX(K18-I18,0),"n.a.")</x:f>
        <x:v>7230</x:v>
      </x:c>
      <x:c r="M18" s="8" t="n">
        <x:f>IF(ISNUMBER(K18),MAX(I18-K18,0),"n.a.")</x:f>
        <x:v>0</x:v>
      </x:c>
      <x:c r="N18" s="1" t="str">
        <x:f>IF('Данные'!L18="Да","Проверить удаление",IF(ISNUMBER(K18),IF(L18&gt;0,"Пополнить",IF(M18&gt;0,"Снизить закупку","Поддерживать")),"Проверить историю"))</x:f>
        <x:v>Пополнить</x:v>
      </x:c>
      <x:c r="O18" s="1" t="str">
        <x:v>Остаток неизменен за историю</x:v>
      </x:c>
    </x:row>
    <x:row r="19">
      <x:c r="A19" s="1" t="str">
        <x:f>'Данные'!A19</x:f>
        <x:v>114526548</x:v>
      </x:c>
      <x:c r="B19" s="1" t="str">
        <x:f>'Данные'!B19</x:f>
        <x:v>futbolkaover/коричневый</x:v>
      </x:c>
      <x:c r="C19" s="8" t="n">
        <x:f>'Данные'!G19</x:f>
        <x:v>6598229</x:v>
      </x:c>
      <x:c r="D19" s="8" t="n">
        <x:f>IF(ISNUMBER('Данные'!J19),'Данные'!J19,"n.a.")</x:f>
        <x:v>5905</x:v>
      </x:c>
      <x:c r="E19" s="8" t="n">
        <x:f>'Данные'!F19</x:f>
        <x:v>13274</x:v>
      </x:c>
      <x:c r="F19" s="8" t="n">
        <x:f>IF(ISNUMBER(D19),ROUNDUP(AVERAGE(D19:E19),0),"n.a.")</x:f>
        <x:v>9590</x:v>
      </x:c>
      <x:c r="G19" s="8" t="n">
        <x:f>'Данные'!H19</x:f>
        <x:v>2493</x:v>
      </x:c>
      <x:c r="H19" s="8" t="n">
        <x:f>'Данные'!I19</x:f>
        <x:v>0</x:v>
      </x:c>
      <x:c r="I19" s="8" t="n">
        <x:f>SUM(G19:H19)</x:f>
        <x:v>2493</x:v>
      </x:c>
      <x:c r="J19" s="9" t="n">
        <x:f>IF(E19&gt;0,I19/(E19/'Дашборд'!$C$58),"n.a.")</x:f>
        <x:v>5.634322736175983</x:v>
      </x:c>
      <x:c r="K19" s="8" t="n">
        <x:f>IF(ISNUMBER(F19),ROUNDUP(F19*(1+'Дашборд'!$C$57),0),"n.a.")</x:f>
        <x:v>11508</x:v>
      </x:c>
      <x:c r="L19" s="8" t="n">
        <x:f>IF(ISNUMBER(K19),MAX(K19-I19,0),"n.a.")</x:f>
        <x:v>9015</x:v>
      </x:c>
      <x:c r="M19" s="8" t="n">
        <x:f>IF(ISNUMBER(K19),MAX(I19-K19,0),"n.a.")</x:f>
        <x:v>0</x:v>
      </x:c>
      <x:c r="N19" s="1" t="str">
        <x:f>IF('Данные'!L19="Да","Проверить удаление",IF(ISNUMBER(K19),IF(L19&gt;0,"Пополнить",IF(M19&gt;0,"Снизить закупку","Поддерживать")),"Проверить историю"))</x:f>
        <x:v>Пополнить</x:v>
      </x:c>
      <x:c r="O19" s="1" t="str">
        <x:v>Проверить дату остатка</x:v>
      </x:c>
    </x:row>
    <x:row r="20">
      <x:c r="A20" s="1" t="str">
        <x:f>'Данные'!A20</x:f>
        <x:v>323186184</x:v>
      </x:c>
      <x:c r="B20" s="1" t="str">
        <x:f>'Данные'!B20</x:f>
        <x:v>futskims3K-102/белый</x:v>
      </x:c>
      <x:c r="C20" s="8" t="n">
        <x:f>'Данные'!G20</x:f>
        <x:v>6566616</x:v>
      </x:c>
      <x:c r="D20" s="8" t="n">
        <x:f>IF(ISNUMBER('Данные'!J20),'Данные'!J20,"n.a.")</x:f>
        <x:v>4907</x:v>
      </x:c>
      <x:c r="E20" s="8" t="n">
        <x:f>'Данные'!F20</x:f>
        <x:v>14927</x:v>
      </x:c>
      <x:c r="F20" s="8" t="n">
        <x:f>IF(ISNUMBER(D20),ROUNDUP(AVERAGE(D20:E20),0),"n.a.")</x:f>
        <x:v>9917</x:v>
      </x:c>
      <x:c r="G20" s="8" t="n">
        <x:f>'Данные'!H20</x:f>
        <x:v>14670</x:v>
      </x:c>
      <x:c r="H20" s="8" t="n">
        <x:f>'Данные'!I20</x:f>
        <x:v>0</x:v>
      </x:c>
      <x:c r="I20" s="8" t="n">
        <x:f>SUM(G20:H20)</x:f>
        <x:v>14670</x:v>
      </x:c>
      <x:c r="J20" s="9" t="n">
        <x:f>IF(E20&gt;0,I20/(E20/'Дашборд'!$C$58),"n.a.")</x:f>
        <x:v>29.483486299993302</x:v>
      </x:c>
      <x:c r="K20" s="8" t="n">
        <x:f>IF(ISNUMBER(F20),ROUNDUP(F20*(1+'Дашборд'!$C$57),0),"n.a.")</x:f>
        <x:v>11901</x:v>
      </x:c>
      <x:c r="L20" s="8" t="n">
        <x:f>IF(ISNUMBER(K20),MAX(K20-I20,0),"n.a.")</x:f>
        <x:v>0</x:v>
      </x:c>
      <x:c r="M20" s="8" t="n">
        <x:f>IF(ISNUMBER(K20),MAX(I20-K20,0),"n.a.")</x:f>
        <x:v>2769</x:v>
      </x:c>
      <x:c r="N20" s="1" t="str">
        <x:f>IF('Данные'!L20="Да","Проверить удаление",IF(ISNUMBER(K20),IF(L20&gt;0,"Пополнить",IF(M20&gt;0,"Снизить закупку","Поддерживать")),"Проверить историю"))</x:f>
        <x:v>Снизить закупку</x:v>
      </x:c>
      <x:c r="O20" s="1" t="str">
        <x:v>Остаток неизменен за историю</x:v>
      </x:c>
    </x:row>
    <x:row r="21">
      <x:c r="A21" s="1" t="str">
        <x:f>'Данные'!A21</x:f>
        <x:v>323186186</x:v>
      </x:c>
      <x:c r="B21" s="1" t="str">
        <x:f>'Данные'!B21</x:f>
        <x:v>futskims3K-102/бордовый</x:v>
      </x:c>
      <x:c r="C21" s="8" t="n">
        <x:f>'Данные'!G21</x:f>
        <x:v>6227841</x:v>
      </x:c>
      <x:c r="D21" s="8" t="n">
        <x:f>IF(ISNUMBER('Данные'!J21),'Данные'!J21,"n.a.")</x:f>
        <x:v>3490</x:v>
      </x:c>
      <x:c r="E21" s="8" t="n">
        <x:f>'Данные'!F21</x:f>
        <x:v>10893</x:v>
      </x:c>
      <x:c r="F21" s="8" t="n">
        <x:f>IF(ISNUMBER(D21),ROUNDUP(AVERAGE(D21:E21),0),"n.a.")</x:f>
        <x:v>7192</x:v>
      </x:c>
      <x:c r="G21" s="8" t="n">
        <x:f>'Данные'!H21</x:f>
        <x:v>2403</x:v>
      </x:c>
      <x:c r="H21" s="8" t="n">
        <x:f>'Данные'!I21</x:f>
        <x:v>0</x:v>
      </x:c>
      <x:c r="I21" s="8" t="n">
        <x:f>SUM(G21:H21)</x:f>
        <x:v>2403</x:v>
      </x:c>
      <x:c r="J21" s="9" t="n">
        <x:f>IF(E21&gt;0,I21/(E21/'Дашборд'!$C$58),"n.a.")</x:f>
        <x:v>6.618011567061415</x:v>
      </x:c>
      <x:c r="K21" s="8" t="n">
        <x:f>IF(ISNUMBER(F21),ROUNDUP(F21*(1+'Дашборд'!$C$57),0),"n.a.")</x:f>
        <x:v>8631</x:v>
      </x:c>
      <x:c r="L21" s="8" t="n">
        <x:f>IF(ISNUMBER(K21),MAX(K21-I21,0),"n.a.")</x:f>
        <x:v>6228</x:v>
      </x:c>
      <x:c r="M21" s="8" t="n">
        <x:f>IF(ISNUMBER(K21),MAX(I21-K21,0),"n.a.")</x:f>
        <x:v>0</x:v>
      </x:c>
      <x:c r="N21" s="1" t="str">
        <x:f>IF('Данные'!L21="Да","Проверить удаление",IF(ISNUMBER(K21),IF(L21&gt;0,"Пополнить",IF(M21&gt;0,"Снизить закупку","Поддерживать")),"Проверить историю"))</x:f>
        <x:v>Пополнить</x:v>
      </x:c>
      <x:c r="O21" s="1" t="str">
        <x:v>Остаток неизменен за историю</x:v>
      </x:c>
    </x:row>
    <x:row r="22">
      <x:c r="A22" s="1" t="str">
        <x:f>'Данные'!A22</x:f>
        <x:v>22893732</x:v>
      </x:c>
      <x:c r="B22" s="1" t="str">
        <x:f>'Данные'!B22</x:f>
        <x:v>hudiman/черный</x:v>
      </x:c>
      <x:c r="C22" s="8" t="n">
        <x:f>'Данные'!G22</x:f>
        <x:v>5965381</x:v>
      </x:c>
      <x:c r="D22" s="8" t="n">
        <x:f>IF(ISNUMBER('Данные'!J22),'Данные'!J22,"n.a.")</x:f>
        <x:v>4698</x:v>
      </x:c>
      <x:c r="E22" s="8" t="n">
        <x:f>'Данные'!F22</x:f>
        <x:v>4722</x:v>
      </x:c>
      <x:c r="F22" s="8" t="n">
        <x:f>IF(ISNUMBER(D22),ROUNDUP(AVERAGE(D22:E22),0),"n.a.")</x:f>
        <x:v>4710</x:v>
      </x:c>
      <x:c r="G22" s="8" t="n">
        <x:f>'Данные'!H22</x:f>
        <x:v>921</x:v>
      </x:c>
      <x:c r="H22" s="8" t="n">
        <x:f>'Данные'!I22</x:f>
        <x:v>0</x:v>
      </x:c>
      <x:c r="I22" s="8" t="n">
        <x:f>SUM(G22:H22)</x:f>
        <x:v>921</x:v>
      </x:c>
      <x:c r="J22" s="9" t="n">
        <x:f>IF(E22&gt;0,I22/(E22/'Дашборд'!$C$58),"n.a.")</x:f>
        <x:v>5.85133418043202</x:v>
      </x:c>
      <x:c r="K22" s="8" t="n">
        <x:f>IF(ISNUMBER(F22),ROUNDUP(F22*(1+'Дашборд'!$C$57),0),"n.a.")</x:f>
        <x:v>5652</x:v>
      </x:c>
      <x:c r="L22" s="8" t="n">
        <x:f>IF(ISNUMBER(K22),MAX(K22-I22,0),"n.a.")</x:f>
        <x:v>4731</x:v>
      </x:c>
      <x:c r="M22" s="8" t="n">
        <x:f>IF(ISNUMBER(K22),MAX(I22-K22,0),"n.a.")</x:f>
        <x:v>0</x:v>
      </x:c>
      <x:c r="N22" s="1" t="str">
        <x:f>IF('Данные'!L22="Да","Проверить удаление",IF(ISNUMBER(K22),IF(L22&gt;0,"Пополнить",IF(M22&gt;0,"Снизить закупку","Поддерживать")),"Проверить историю"))</x:f>
        <x:v>Пополнить</x:v>
      </x:c>
      <x:c r="O22" s="1" t="str">
        <x:v>Остаток неизменен за историю</x:v>
      </x:c>
    </x:row>
    <x:row r="23">
      <x:c r="A23" s="1" t="str">
        <x:f>'Данные'!A23</x:f>
        <x:v>295771244</x:v>
      </x:c>
      <x:c r="B23" s="1" t="str">
        <x:f>'Данные'!B23</x:f>
        <x:v>kostyumfix3P-37-63/серыймеланж2</x:v>
      </x:c>
      <x:c r="C23" s="8" t="n">
        <x:f>'Данные'!G23</x:f>
        <x:v>5799195</x:v>
      </x:c>
      <x:c r="D23" s="8" t="n">
        <x:f>IF(ISNUMBER('Данные'!J23),'Данные'!J23,"n.a.")</x:f>
        <x:v>1973</x:v>
      </x:c>
      <x:c r="E23" s="8" t="n">
        <x:f>'Данные'!F23</x:f>
        <x:v>3554</x:v>
      </x:c>
      <x:c r="F23" s="8" t="n">
        <x:f>IF(ISNUMBER(D23),ROUNDUP(AVERAGE(D23:E23),0),"n.a.")</x:f>
        <x:v>2764</x:v>
      </x:c>
      <x:c r="G23" s="8" t="n">
        <x:f>'Данные'!H23</x:f>
        <x:v>912</x:v>
      </x:c>
      <x:c r="H23" s="8" t="n">
        <x:f>'Данные'!I23</x:f>
        <x:v>0</x:v>
      </x:c>
      <x:c r="I23" s="8" t="n">
        <x:f>SUM(G23:H23)</x:f>
        <x:v>912</x:v>
      </x:c>
      <x:c r="J23" s="9" t="n">
        <x:f>IF(E23&gt;0,I23/(E23/'Дашборд'!$C$58),"n.a.")</x:f>
        <x:v>7.698368036015757</x:v>
      </x:c>
      <x:c r="K23" s="8" t="n">
        <x:f>IF(ISNUMBER(F23),ROUNDUP(F23*(1+'Дашборд'!$C$57),0),"n.a.")</x:f>
        <x:v>3317</x:v>
      </x:c>
      <x:c r="L23" s="8" t="n">
        <x:f>IF(ISNUMBER(K23),MAX(K23-I23,0),"n.a.")</x:f>
        <x:v>2405</x:v>
      </x:c>
      <x:c r="M23" s="8" t="n">
        <x:f>IF(ISNUMBER(K23),MAX(I23-K23,0),"n.a.")</x:f>
        <x:v>0</x:v>
      </x:c>
      <x:c r="N23" s="1" t="str">
        <x:f>IF('Данные'!L23="Да","Проверить удаление",IF(ISNUMBER(K23),IF(L23&gt;0,"Пополнить",IF(M23&gt;0,"Снизить закупку","Поддерживать")),"Проверить историю"))</x:f>
        <x:v>Пополнить</x:v>
      </x:c>
      <x:c r="O23" s="1" t="str">
        <x:v>Остаток неизменен за историю</x:v>
      </x:c>
    </x:row>
    <x:row r="24">
      <x:c r="A24" s="1" t="str">
        <x:f>'Данные'!A24</x:f>
        <x:v>165757816</x:v>
      </x:c>
      <x:c r="B24" s="1" t="str">
        <x:f>'Данные'!B24</x:f>
        <x:v>kulirkaman/молочный</x:v>
      </x:c>
      <x:c r="C24" s="8" t="n">
        <x:f>'Данные'!G24</x:f>
        <x:v>5482332</x:v>
      </x:c>
      <x:c r="D24" s="8" t="n">
        <x:f>IF(ISNUMBER('Данные'!J24),'Данные'!J24,"n.a.")</x:f>
        <x:v>10432</x:v>
      </x:c>
      <x:c r="E24" s="8" t="n">
        <x:f>'Данные'!F24</x:f>
        <x:v>11024</x:v>
      </x:c>
      <x:c r="F24" s="8" t="n">
        <x:f>IF(ISNUMBER(D24),ROUNDUP(AVERAGE(D24:E24),0),"n.a.")</x:f>
        <x:v>10728</x:v>
      </x:c>
      <x:c r="G24" s="8" t="n">
        <x:f>'Данные'!H24</x:f>
        <x:v>10104</x:v>
      </x:c>
      <x:c r="H24" s="8" t="n">
        <x:f>'Данные'!I24</x:f>
        <x:v>0</x:v>
      </x:c>
      <x:c r="I24" s="8" t="n">
        <x:f>SUM(G24:H24)</x:f>
        <x:v>10104</x:v>
      </x:c>
      <x:c r="J24" s="9" t="n">
        <x:f>IF(E24&gt;0,I24/(E24/'Дашборд'!$C$58),"n.a.")</x:f>
        <x:v>27.49637155297533</x:v>
      </x:c>
      <x:c r="K24" s="8" t="n">
        <x:f>IF(ISNUMBER(F24),ROUNDUP(F24*(1+'Дашборд'!$C$57),0),"n.a.")</x:f>
        <x:v>12874</x:v>
      </x:c>
      <x:c r="L24" s="8" t="n">
        <x:f>IF(ISNUMBER(K24),MAX(K24-I24,0),"n.a.")</x:f>
        <x:v>2770</x:v>
      </x:c>
      <x:c r="M24" s="8" t="n">
        <x:f>IF(ISNUMBER(K24),MAX(I24-K24,0),"n.a.")</x:f>
        <x:v>0</x:v>
      </x:c>
      <x:c r="N24" s="1" t="str">
        <x:f>IF('Данные'!L24="Да","Проверить удаление",IF(ISNUMBER(K24),IF(L24&gt;0,"Пополнить",IF(M24&gt;0,"Снизить закупку","Поддерживать")),"Проверить историю"))</x:f>
        <x:v>Пополнить</x:v>
      </x:c>
      <x:c r="O24" s="1" t="str">
        <x:v>Остаток неизменен за историю</x:v>
      </x:c>
    </x:row>
    <x:row r="25">
      <x:c r="A25" s="1"/>
      <x:c r="B25" s="1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1"/>
      <x:c r="O25" s="1"/>
    </x:row>
    <x:row r="26">
      <x:c r="A26" s="1"/>
      <x:c r="B26" s="1" t="str">
        <x:v>Всего</x:v>
      </x:c>
      <x:c r="C26" s="8"/>
      <x:c r="D26" s="8"/>
      <x:c r="E26" s="8"/>
      <x:c r="F26" s="8"/>
      <x:c r="G26" s="8"/>
      <x:c r="H26" s="8"/>
      <x:c r="I26" s="8"/>
      <x:c r="J26" s="8"/>
      <x:c r="K26" s="8"/>
      <x:c r="L26" s="8" t="n">
        <x:f>SUM(L5:L24)</x:f>
        <x:v>168862</x:v>
      </x:c>
      <x:c r="M26" s="8" t="n">
        <x:f>SUM(M5:M24)</x:f>
        <x:v>2769</x:v>
      </x:c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  <x:c r="J2050" s="1"/>
      <x:c r="K2050" s="1"/>
      <x:c r="L2050" s="1"/>
      <x:c r="M2050" s="1"/>
      <x:c r="N2050" s="1"/>
      <x:c r="O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  <x:c r="J2051" s="1"/>
      <x:c r="K2051" s="1"/>
      <x:c r="L2051" s="1"/>
      <x:c r="M2051" s="1"/>
      <x:c r="N2051" s="1"/>
      <x:c r="O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  <x:c r="J2052" s="1"/>
      <x:c r="K2052" s="1"/>
      <x:c r="L2052" s="1"/>
      <x:c r="M2052" s="1"/>
      <x:c r="N2052" s="1"/>
      <x:c r="O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  <x:c r="J2053" s="1"/>
      <x:c r="K2053" s="1"/>
      <x:c r="L2053" s="1"/>
      <x:c r="M2053" s="1"/>
      <x:c r="N2053" s="1"/>
      <x:c r="O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  <x:c r="J2054" s="1"/>
      <x:c r="K2054" s="1"/>
      <x:c r="L2054" s="1"/>
      <x:c r="M2054" s="1"/>
      <x:c r="N2054" s="1"/>
      <x:c r="O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  <x:c r="J2055" s="1"/>
      <x:c r="K2055" s="1"/>
      <x:c r="L2055" s="1"/>
      <x:c r="M2055" s="1"/>
      <x:c r="N2055" s="1"/>
      <x:c r="O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  <x:c r="J2056" s="1"/>
      <x:c r="K2056" s="1"/>
      <x:c r="L2056" s="1"/>
      <x:c r="M2056" s="1"/>
      <x:c r="N2056" s="1"/>
      <x:c r="O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  <x:c r="J2057" s="1"/>
      <x:c r="K2057" s="1"/>
      <x:c r="L2057" s="1"/>
      <x:c r="M2057" s="1"/>
      <x:c r="N2057" s="1"/>
      <x:c r="O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  <x:c r="J2058" s="1"/>
      <x:c r="K2058" s="1"/>
      <x:c r="L2058" s="1"/>
      <x:c r="M2058" s="1"/>
      <x:c r="N2058" s="1"/>
      <x:c r="O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  <x:c r="J2059" s="1"/>
      <x:c r="K2059" s="1"/>
      <x:c r="L2059" s="1"/>
      <x:c r="M2059" s="1"/>
      <x:c r="N2059" s="1"/>
      <x:c r="O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  <x:c r="J2060" s="1"/>
      <x:c r="K2060" s="1"/>
      <x:c r="L2060" s="1"/>
      <x:c r="M2060" s="1"/>
      <x:c r="N2060" s="1"/>
      <x:c r="O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  <x:c r="J2061" s="1"/>
      <x:c r="K2061" s="1"/>
      <x:c r="L2061" s="1"/>
      <x:c r="M2061" s="1"/>
      <x:c r="N2061" s="1"/>
      <x:c r="O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  <x:c r="J2062" s="1"/>
      <x:c r="K2062" s="1"/>
      <x:c r="L2062" s="1"/>
      <x:c r="M2062" s="1"/>
      <x:c r="N2062" s="1"/>
      <x:c r="O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  <x:c r="J2063" s="1"/>
      <x:c r="K2063" s="1"/>
      <x:c r="L2063" s="1"/>
      <x:c r="M2063" s="1"/>
      <x:c r="N2063" s="1"/>
      <x:c r="O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  <x:c r="J2064" s="1"/>
      <x:c r="K2064" s="1"/>
      <x:c r="L2064" s="1"/>
      <x:c r="M2064" s="1"/>
      <x:c r="N2064" s="1"/>
      <x:c r="O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  <x:c r="N2065" s="1"/>
      <x:c r="O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  <x:c r="N2066" s="1"/>
      <x:c r="O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  <x:c r="J2067" s="1"/>
      <x:c r="K2067" s="1"/>
      <x:c r="L2067" s="1"/>
      <x:c r="M2067" s="1"/>
      <x:c r="N2067" s="1"/>
      <x:c r="O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  <x:c r="J2068" s="1"/>
      <x:c r="K2068" s="1"/>
      <x:c r="L2068" s="1"/>
      <x:c r="M2068" s="1"/>
      <x:c r="N2068" s="1"/>
      <x:c r="O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  <x:c r="J2069" s="1"/>
      <x:c r="K2069" s="1"/>
      <x:c r="L2069" s="1"/>
      <x:c r="M2069" s="1"/>
      <x:c r="N2069" s="1"/>
      <x:c r="O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  <x:c r="J2070" s="1"/>
      <x:c r="K2070" s="1"/>
      <x:c r="L2070" s="1"/>
      <x:c r="M2070" s="1"/>
      <x:c r="N2070" s="1"/>
      <x:c r="O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  <x:c r="J2071" s="1"/>
      <x:c r="K2071" s="1"/>
      <x:c r="L2071" s="1"/>
      <x:c r="M2071" s="1"/>
      <x:c r="N2071" s="1"/>
      <x:c r="O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  <x:c r="J2072" s="1"/>
      <x:c r="K2072" s="1"/>
      <x:c r="L2072" s="1"/>
      <x:c r="M2072" s="1"/>
      <x:c r="N2072" s="1"/>
      <x:c r="O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  <x:c r="J2073" s="1"/>
      <x:c r="K2073" s="1"/>
      <x:c r="L2073" s="1"/>
      <x:c r="M2073" s="1"/>
      <x:c r="N2073" s="1"/>
      <x:c r="O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  <x:c r="J2074" s="1"/>
      <x:c r="K2074" s="1"/>
      <x:c r="L2074" s="1"/>
      <x:c r="M2074" s="1"/>
      <x:c r="N2074" s="1"/>
      <x:c r="O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  <x:c r="J2075" s="1"/>
      <x:c r="K2075" s="1"/>
      <x:c r="L2075" s="1"/>
      <x:c r="M2075" s="1"/>
      <x:c r="N2075" s="1"/>
      <x:c r="O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  <x:c r="J2076" s="1"/>
      <x:c r="K2076" s="1"/>
      <x:c r="L2076" s="1"/>
      <x:c r="M2076" s="1"/>
      <x:c r="N2076" s="1"/>
      <x:c r="O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  <x:c r="J2077" s="1"/>
      <x:c r="K2077" s="1"/>
      <x:c r="L2077" s="1"/>
      <x:c r="M2077" s="1"/>
      <x:c r="N2077" s="1"/>
      <x:c r="O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  <x:c r="J2078" s="1"/>
      <x:c r="K2078" s="1"/>
      <x:c r="L2078" s="1"/>
      <x:c r="M2078" s="1"/>
      <x:c r="N2078" s="1"/>
      <x:c r="O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  <x:c r="J2079" s="1"/>
      <x:c r="K2079" s="1"/>
      <x:c r="L2079" s="1"/>
      <x:c r="M2079" s="1"/>
      <x:c r="N2079" s="1"/>
      <x:c r="O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  <x:c r="J2080" s="1"/>
      <x:c r="K2080" s="1"/>
      <x:c r="L2080" s="1"/>
      <x:c r="M2080" s="1"/>
      <x:c r="N2080" s="1"/>
      <x:c r="O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  <x:c r="J2081" s="1"/>
      <x:c r="K2081" s="1"/>
      <x:c r="L2081" s="1"/>
      <x:c r="M2081" s="1"/>
      <x:c r="N2081" s="1"/>
      <x:c r="O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  <x:c r="J2082" s="1"/>
      <x:c r="K2082" s="1"/>
      <x:c r="L2082" s="1"/>
      <x:c r="M2082" s="1"/>
      <x:c r="N2082" s="1"/>
      <x:c r="O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  <x:c r="J2083" s="1"/>
      <x:c r="K2083" s="1"/>
      <x:c r="L2083" s="1"/>
      <x:c r="M2083" s="1"/>
      <x:c r="N2083" s="1"/>
      <x:c r="O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  <x:c r="J2084" s="1"/>
      <x:c r="K2084" s="1"/>
      <x:c r="L2084" s="1"/>
      <x:c r="M2084" s="1"/>
      <x:c r="N2084" s="1"/>
      <x:c r="O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  <x:c r="J2085" s="1"/>
      <x:c r="K2085" s="1"/>
      <x:c r="L2085" s="1"/>
      <x:c r="M2085" s="1"/>
      <x:c r="N2085" s="1"/>
      <x:c r="O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  <x:c r="J2086" s="1"/>
      <x:c r="K2086" s="1"/>
      <x:c r="L2086" s="1"/>
      <x:c r="M2086" s="1"/>
      <x:c r="N2086" s="1"/>
      <x:c r="O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  <x:c r="J2087" s="1"/>
      <x:c r="K2087" s="1"/>
      <x:c r="L2087" s="1"/>
      <x:c r="M2087" s="1"/>
      <x:c r="N2087" s="1"/>
      <x:c r="O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  <x:c r="J2088" s="1"/>
      <x:c r="K2088" s="1"/>
      <x:c r="L2088" s="1"/>
      <x:c r="M2088" s="1"/>
      <x:c r="N2088" s="1"/>
      <x:c r="O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  <x:c r="J2089" s="1"/>
      <x:c r="K2089" s="1"/>
      <x:c r="L2089" s="1"/>
      <x:c r="M2089" s="1"/>
      <x:c r="N2089" s="1"/>
      <x:c r="O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  <x:c r="J2090" s="1"/>
      <x:c r="K2090" s="1"/>
      <x:c r="L2090" s="1"/>
      <x:c r="M2090" s="1"/>
      <x:c r="N2090" s="1"/>
      <x:c r="O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  <x:c r="J2091" s="1"/>
      <x:c r="K2091" s="1"/>
      <x:c r="L2091" s="1"/>
      <x:c r="M2091" s="1"/>
      <x:c r="N2091" s="1"/>
      <x:c r="O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  <x:c r="J2092" s="1"/>
      <x:c r="K2092" s="1"/>
      <x:c r="L2092" s="1"/>
      <x:c r="M2092" s="1"/>
      <x:c r="N2092" s="1"/>
      <x:c r="O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  <x:c r="J2093" s="1"/>
      <x:c r="K2093" s="1"/>
      <x:c r="L2093" s="1"/>
      <x:c r="M2093" s="1"/>
      <x:c r="N2093" s="1"/>
      <x:c r="O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  <x:c r="J2094" s="1"/>
      <x:c r="K2094" s="1"/>
      <x:c r="L2094" s="1"/>
      <x:c r="M2094" s="1"/>
      <x:c r="N2094" s="1"/>
      <x:c r="O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  <x:c r="J2095" s="1"/>
      <x:c r="K2095" s="1"/>
      <x:c r="L2095" s="1"/>
      <x:c r="M2095" s="1"/>
      <x:c r="N2095" s="1"/>
      <x:c r="O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  <x:c r="J2096" s="1"/>
      <x:c r="K2096" s="1"/>
      <x:c r="L2096" s="1"/>
      <x:c r="M2096" s="1"/>
      <x:c r="N2096" s="1"/>
      <x:c r="O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  <x:c r="J2097" s="1"/>
      <x:c r="K2097" s="1"/>
      <x:c r="L2097" s="1"/>
      <x:c r="M2097" s="1"/>
      <x:c r="N2097" s="1"/>
      <x:c r="O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  <x:c r="J2098" s="1"/>
      <x:c r="K2098" s="1"/>
      <x:c r="L2098" s="1"/>
      <x:c r="M2098" s="1"/>
      <x:c r="N2098" s="1"/>
      <x:c r="O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  <x:c r="J2099" s="1"/>
      <x:c r="K2099" s="1"/>
      <x:c r="L2099" s="1"/>
      <x:c r="M2099" s="1"/>
      <x:c r="N2099" s="1"/>
      <x:c r="O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  <x:c r="J2100" s="1"/>
      <x:c r="K2100" s="1"/>
      <x:c r="L2100" s="1"/>
      <x:c r="M2100" s="1"/>
      <x:c r="N2100" s="1"/>
      <x:c r="O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  <x:c r="J2101" s="1"/>
      <x:c r="K2101" s="1"/>
      <x:c r="L2101" s="1"/>
      <x:c r="M2101" s="1"/>
      <x:c r="N2101" s="1"/>
      <x:c r="O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  <x:c r="J2102" s="1"/>
      <x:c r="K2102" s="1"/>
      <x:c r="L2102" s="1"/>
      <x:c r="M2102" s="1"/>
      <x:c r="N2102" s="1"/>
      <x:c r="O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  <x:c r="J2103" s="1"/>
      <x:c r="K2103" s="1"/>
      <x:c r="L2103" s="1"/>
      <x:c r="M2103" s="1"/>
      <x:c r="N2103" s="1"/>
      <x:c r="O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  <x:c r="J2104" s="1"/>
      <x:c r="K2104" s="1"/>
      <x:c r="L2104" s="1"/>
      <x:c r="M2104" s="1"/>
      <x:c r="N2104" s="1"/>
      <x:c r="O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  <x:c r="J2105" s="1"/>
      <x:c r="K2105" s="1"/>
      <x:c r="L2105" s="1"/>
      <x:c r="M2105" s="1"/>
      <x:c r="N2105" s="1"/>
      <x:c r="O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  <x:c r="J2106" s="1"/>
      <x:c r="K2106" s="1"/>
      <x:c r="L2106" s="1"/>
      <x:c r="M2106" s="1"/>
      <x:c r="N2106" s="1"/>
      <x:c r="O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  <x:c r="J2107" s="1"/>
      <x:c r="K2107" s="1"/>
      <x:c r="L2107" s="1"/>
      <x:c r="M2107" s="1"/>
      <x:c r="N2107" s="1"/>
      <x:c r="O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  <x:c r="J2108" s="1"/>
      <x:c r="K2108" s="1"/>
      <x:c r="L2108" s="1"/>
      <x:c r="M2108" s="1"/>
      <x:c r="N2108" s="1"/>
      <x:c r="O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  <x:c r="J2109" s="1"/>
      <x:c r="K2109" s="1"/>
      <x:c r="L2109" s="1"/>
      <x:c r="M2109" s="1"/>
      <x:c r="N2109" s="1"/>
      <x:c r="O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  <x:c r="J2110" s="1"/>
      <x:c r="K2110" s="1"/>
      <x:c r="L2110" s="1"/>
      <x:c r="M2110" s="1"/>
      <x:c r="N2110" s="1"/>
      <x:c r="O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  <x:c r="J2111" s="1"/>
      <x:c r="K2111" s="1"/>
      <x:c r="L2111" s="1"/>
      <x:c r="M2111" s="1"/>
      <x:c r="N2111" s="1"/>
      <x:c r="O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  <x:c r="J2112" s="1"/>
      <x:c r="K2112" s="1"/>
      <x:c r="L2112" s="1"/>
      <x:c r="M2112" s="1"/>
      <x:c r="N2112" s="1"/>
      <x:c r="O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  <x:c r="N2113" s="1"/>
      <x:c r="O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  <x:c r="N2114" s="1"/>
      <x:c r="O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  <x:c r="J2115" s="1"/>
      <x:c r="K2115" s="1"/>
      <x:c r="L2115" s="1"/>
      <x:c r="M2115" s="1"/>
      <x:c r="N2115" s="1"/>
      <x:c r="O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  <x:c r="J2116" s="1"/>
      <x:c r="K2116" s="1"/>
      <x:c r="L2116" s="1"/>
      <x:c r="M2116" s="1"/>
      <x:c r="N2116" s="1"/>
      <x:c r="O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  <x:c r="J2117" s="1"/>
      <x:c r="K2117" s="1"/>
      <x:c r="L2117" s="1"/>
      <x:c r="M2117" s="1"/>
      <x:c r="N2117" s="1"/>
      <x:c r="O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  <x:c r="J2118" s="1"/>
      <x:c r="K2118" s="1"/>
      <x:c r="L2118" s="1"/>
      <x:c r="M2118" s="1"/>
      <x:c r="N2118" s="1"/>
      <x:c r="O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  <x:c r="J2119" s="1"/>
      <x:c r="K2119" s="1"/>
      <x:c r="L2119" s="1"/>
      <x:c r="M2119" s="1"/>
      <x:c r="N2119" s="1"/>
      <x:c r="O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  <x:c r="J2120" s="1"/>
      <x:c r="K2120" s="1"/>
      <x:c r="L2120" s="1"/>
      <x:c r="M2120" s="1"/>
      <x:c r="N2120" s="1"/>
      <x:c r="O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  <x:c r="J2121" s="1"/>
      <x:c r="K2121" s="1"/>
      <x:c r="L2121" s="1"/>
      <x:c r="M2121" s="1"/>
      <x:c r="N2121" s="1"/>
      <x:c r="O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  <x:c r="J2122" s="1"/>
      <x:c r="K2122" s="1"/>
      <x:c r="L2122" s="1"/>
      <x:c r="M2122" s="1"/>
      <x:c r="N2122" s="1"/>
      <x:c r="O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  <x:c r="J2123" s="1"/>
      <x:c r="K2123" s="1"/>
      <x:c r="L2123" s="1"/>
      <x:c r="M2123" s="1"/>
      <x:c r="N2123" s="1"/>
      <x:c r="O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  <x:c r="J2124" s="1"/>
      <x:c r="K2124" s="1"/>
      <x:c r="L2124" s="1"/>
      <x:c r="M2124" s="1"/>
      <x:c r="N2124" s="1"/>
      <x:c r="O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  <x:c r="J2125" s="1"/>
      <x:c r="K2125" s="1"/>
      <x:c r="L2125" s="1"/>
      <x:c r="M2125" s="1"/>
      <x:c r="N2125" s="1"/>
      <x:c r="O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  <x:c r="J2126" s="1"/>
      <x:c r="K2126" s="1"/>
      <x:c r="L2126" s="1"/>
      <x:c r="M2126" s="1"/>
      <x:c r="N2126" s="1"/>
      <x:c r="O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  <x:c r="J2127" s="1"/>
      <x:c r="K2127" s="1"/>
      <x:c r="L2127" s="1"/>
      <x:c r="M2127" s="1"/>
      <x:c r="N2127" s="1"/>
      <x:c r="O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  <x:c r="J2128" s="1"/>
      <x:c r="K2128" s="1"/>
      <x:c r="L2128" s="1"/>
      <x:c r="M2128" s="1"/>
      <x:c r="N2128" s="1"/>
      <x:c r="O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  <x:c r="J2129" s="1"/>
      <x:c r="K2129" s="1"/>
      <x:c r="L2129" s="1"/>
      <x:c r="M2129" s="1"/>
      <x:c r="N2129" s="1"/>
      <x:c r="O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  <x:c r="J2130" s="1"/>
      <x:c r="K2130" s="1"/>
      <x:c r="L2130" s="1"/>
      <x:c r="M2130" s="1"/>
      <x:c r="N2130" s="1"/>
      <x:c r="O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  <x:c r="J2131" s="1"/>
      <x:c r="K2131" s="1"/>
      <x:c r="L2131" s="1"/>
      <x:c r="M2131" s="1"/>
      <x:c r="N2131" s="1"/>
      <x:c r="O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  <x:c r="J2132" s="1"/>
      <x:c r="K2132" s="1"/>
      <x:c r="L2132" s="1"/>
      <x:c r="M2132" s="1"/>
      <x:c r="N2132" s="1"/>
      <x:c r="O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  <x:c r="J2133" s="1"/>
      <x:c r="K2133" s="1"/>
      <x:c r="L2133" s="1"/>
      <x:c r="M2133" s="1"/>
      <x:c r="N2133" s="1"/>
      <x:c r="O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  <x:c r="J2134" s="1"/>
      <x:c r="K2134" s="1"/>
      <x:c r="L2134" s="1"/>
      <x:c r="M2134" s="1"/>
      <x:c r="N2134" s="1"/>
      <x:c r="O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  <x:c r="J2135" s="1"/>
      <x:c r="K2135" s="1"/>
      <x:c r="L2135" s="1"/>
      <x:c r="M2135" s="1"/>
      <x:c r="N2135" s="1"/>
      <x:c r="O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  <x:c r="J2136" s="1"/>
      <x:c r="K2136" s="1"/>
      <x:c r="L2136" s="1"/>
      <x:c r="M2136" s="1"/>
      <x:c r="N2136" s="1"/>
      <x:c r="O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  <x:c r="J2137" s="1"/>
      <x:c r="K2137" s="1"/>
      <x:c r="L2137" s="1"/>
      <x:c r="M2137" s="1"/>
      <x:c r="N2137" s="1"/>
      <x:c r="O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  <x:c r="J2138" s="1"/>
      <x:c r="K2138" s="1"/>
      <x:c r="L2138" s="1"/>
      <x:c r="M2138" s="1"/>
      <x:c r="N2138" s="1"/>
      <x:c r="O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  <x:c r="J2139" s="1"/>
      <x:c r="K2139" s="1"/>
      <x:c r="L2139" s="1"/>
      <x:c r="M2139" s="1"/>
      <x:c r="N2139" s="1"/>
      <x:c r="O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  <x:c r="J2140" s="1"/>
      <x:c r="K2140" s="1"/>
      <x:c r="L2140" s="1"/>
      <x:c r="M2140" s="1"/>
      <x:c r="N2140" s="1"/>
      <x:c r="O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  <x:c r="J2141" s="1"/>
      <x:c r="K2141" s="1"/>
      <x:c r="L2141" s="1"/>
      <x:c r="M2141" s="1"/>
      <x:c r="N2141" s="1"/>
      <x:c r="O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  <x:c r="J2142" s="1"/>
      <x:c r="K2142" s="1"/>
      <x:c r="L2142" s="1"/>
      <x:c r="M2142" s="1"/>
      <x:c r="N2142" s="1"/>
      <x:c r="O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  <x:c r="J2143" s="1"/>
      <x:c r="K2143" s="1"/>
      <x:c r="L2143" s="1"/>
      <x:c r="M2143" s="1"/>
      <x:c r="N2143" s="1"/>
      <x:c r="O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  <x:c r="J2144" s="1"/>
      <x:c r="K2144" s="1"/>
      <x:c r="L2144" s="1"/>
      <x:c r="M2144" s="1"/>
      <x:c r="N2144" s="1"/>
      <x:c r="O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  <x:c r="J2145" s="1"/>
      <x:c r="K2145" s="1"/>
      <x:c r="L2145" s="1"/>
      <x:c r="M2145" s="1"/>
      <x:c r="N2145" s="1"/>
      <x:c r="O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  <x:c r="J2146" s="1"/>
      <x:c r="K2146" s="1"/>
      <x:c r="L2146" s="1"/>
      <x:c r="M2146" s="1"/>
      <x:c r="N2146" s="1"/>
      <x:c r="O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  <x:c r="J2147" s="1"/>
      <x:c r="K2147" s="1"/>
      <x:c r="L2147" s="1"/>
      <x:c r="M2147" s="1"/>
      <x:c r="N2147" s="1"/>
      <x:c r="O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  <x:c r="J2148" s="1"/>
      <x:c r="K2148" s="1"/>
      <x:c r="L2148" s="1"/>
      <x:c r="M2148" s="1"/>
      <x:c r="N2148" s="1"/>
      <x:c r="O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  <x:c r="J2149" s="1"/>
      <x:c r="K2149" s="1"/>
      <x:c r="L2149" s="1"/>
      <x:c r="M2149" s="1"/>
      <x:c r="N2149" s="1"/>
      <x:c r="O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  <x:c r="J2150" s="1"/>
      <x:c r="K2150" s="1"/>
      <x:c r="L2150" s="1"/>
      <x:c r="M2150" s="1"/>
      <x:c r="N2150" s="1"/>
      <x:c r="O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  <x:c r="J2151" s="1"/>
      <x:c r="K2151" s="1"/>
      <x:c r="L2151" s="1"/>
      <x:c r="M2151" s="1"/>
      <x:c r="N2151" s="1"/>
      <x:c r="O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  <x:c r="J2152" s="1"/>
      <x:c r="K2152" s="1"/>
      <x:c r="L2152" s="1"/>
      <x:c r="M2152" s="1"/>
      <x:c r="N2152" s="1"/>
      <x:c r="O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  <x:c r="J2153" s="1"/>
      <x:c r="K2153" s="1"/>
      <x:c r="L2153" s="1"/>
      <x:c r="M2153" s="1"/>
      <x:c r="N2153" s="1"/>
      <x:c r="O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  <x:c r="J2154" s="1"/>
      <x:c r="K2154" s="1"/>
      <x:c r="L2154" s="1"/>
      <x:c r="M2154" s="1"/>
      <x:c r="N2154" s="1"/>
      <x:c r="O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  <x:c r="J2155" s="1"/>
      <x:c r="K2155" s="1"/>
      <x:c r="L2155" s="1"/>
      <x:c r="M2155" s="1"/>
      <x:c r="N2155" s="1"/>
      <x:c r="O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  <x:c r="J2156" s="1"/>
      <x:c r="K2156" s="1"/>
      <x:c r="L2156" s="1"/>
      <x:c r="M2156" s="1"/>
      <x:c r="N2156" s="1"/>
      <x:c r="O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  <x:c r="J2157" s="1"/>
      <x:c r="K2157" s="1"/>
      <x:c r="L2157" s="1"/>
      <x:c r="M2157" s="1"/>
      <x:c r="N2157" s="1"/>
      <x:c r="O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  <x:c r="J2158" s="1"/>
      <x:c r="K2158" s="1"/>
      <x:c r="L2158" s="1"/>
      <x:c r="M2158" s="1"/>
      <x:c r="N2158" s="1"/>
      <x:c r="O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  <x:c r="J2159" s="1"/>
      <x:c r="K2159" s="1"/>
      <x:c r="L2159" s="1"/>
      <x:c r="M2159" s="1"/>
      <x:c r="N2159" s="1"/>
      <x:c r="O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  <x:c r="J2160" s="1"/>
      <x:c r="K2160" s="1"/>
      <x:c r="L2160" s="1"/>
      <x:c r="M2160" s="1"/>
      <x:c r="N2160" s="1"/>
      <x:c r="O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  <x:c r="N2161" s="1"/>
      <x:c r="O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</x:row>
    <x:row r="2201">
      <x:c r="A2201" s="1"/>
      <x:c r="B2201" s="1"/>
      <x:c r="C2201" s="1"/>
      <x:c r="D2201" s="1"/>
      <x:c r="E2201" s="1"/>
      <x:c r="F2201" s="1"/>
      <x:c r="G2201" s="1"/>
      <x:c r="H2201" s="1"/>
      <x:c r="I2201" s="1"/>
      <x:c r="J2201" s="1"/>
      <x:c r="K2201" s="1"/>
      <x:c r="L2201" s="1"/>
      <x:c r="M2201" s="1"/>
      <x:c r="N2201" s="1"/>
      <x:c r="O2201" s="1"/>
    </x:row>
    <x:row r="2202">
      <x:c r="A2202" s="1"/>
      <x:c r="B2202" s="1"/>
      <x:c r="C2202" s="1"/>
      <x:c r="D2202" s="1"/>
      <x:c r="E2202" s="1"/>
      <x:c r="F2202" s="1"/>
      <x:c r="G2202" s="1"/>
      <x:c r="H2202" s="1"/>
      <x:c r="I2202" s="1"/>
      <x:c r="J2202" s="1"/>
      <x:c r="K2202" s="1"/>
      <x:c r="L2202" s="1"/>
      <x:c r="M2202" s="1"/>
      <x:c r="N2202" s="1"/>
      <x:c r="O2202" s="1"/>
    </x:row>
    <x:row r="2203">
      <x:c r="A2203" s="1"/>
      <x:c r="B2203" s="1"/>
      <x:c r="C2203" s="1"/>
      <x:c r="D2203" s="1"/>
      <x:c r="E2203" s="1"/>
      <x:c r="F2203" s="1"/>
      <x:c r="G2203" s="1"/>
      <x:c r="H2203" s="1"/>
      <x:c r="I2203" s="1"/>
      <x:c r="J2203" s="1"/>
      <x:c r="K2203" s="1"/>
      <x:c r="L2203" s="1"/>
      <x:c r="M2203" s="1"/>
      <x:c r="N2203" s="1"/>
      <x:c r="O2203" s="1"/>
    </x:row>
    <x:row r="2204">
      <x:c r="A2204" s="1"/>
      <x:c r="B2204" s="1"/>
      <x:c r="C2204" s="1"/>
      <x:c r="D2204" s="1"/>
      <x:c r="E2204" s="1"/>
      <x:c r="F2204" s="1"/>
      <x:c r="G2204" s="1"/>
      <x:c r="H2204" s="1"/>
      <x:c r="I2204" s="1"/>
      <x:c r="J2204" s="1"/>
      <x:c r="K2204" s="1"/>
      <x:c r="L2204" s="1"/>
      <x:c r="M2204" s="1"/>
      <x:c r="N2204" s="1"/>
      <x:c r="O2204" s="1"/>
    </x:row>
    <x:row r="2205">
      <x:c r="A2205" s="1"/>
      <x:c r="B2205" s="1"/>
      <x:c r="C2205" s="1"/>
      <x:c r="D2205" s="1"/>
      <x:c r="E2205" s="1"/>
      <x:c r="F2205" s="1"/>
      <x:c r="G2205" s="1"/>
      <x:c r="H2205" s="1"/>
      <x:c r="I2205" s="1"/>
      <x:c r="J2205" s="1"/>
      <x:c r="K2205" s="1"/>
      <x:c r="L2205" s="1"/>
      <x:c r="M2205" s="1"/>
      <x:c r="N2205" s="1"/>
      <x:c r="O2205" s="1"/>
    </x:row>
    <x:row r="2206">
      <x:c r="A2206" s="1"/>
      <x:c r="B2206" s="1"/>
      <x:c r="C2206" s="1"/>
      <x:c r="D2206" s="1"/>
      <x:c r="E2206" s="1"/>
      <x:c r="F2206" s="1"/>
      <x:c r="G2206" s="1"/>
      <x:c r="H2206" s="1"/>
      <x:c r="I2206" s="1"/>
      <x:c r="J2206" s="1"/>
      <x:c r="K2206" s="1"/>
      <x:c r="L2206" s="1"/>
      <x:c r="M2206" s="1"/>
      <x:c r="N2206" s="1"/>
      <x:c r="O2206" s="1"/>
    </x:row>
    <x:row r="2207">
      <x:c r="A2207" s="1"/>
      <x:c r="B2207" s="1"/>
      <x:c r="C2207" s="1"/>
      <x:c r="D2207" s="1"/>
      <x:c r="E2207" s="1"/>
      <x:c r="F2207" s="1"/>
      <x:c r="G2207" s="1"/>
      <x:c r="H2207" s="1"/>
      <x:c r="I2207" s="1"/>
      <x:c r="J2207" s="1"/>
      <x:c r="K2207" s="1"/>
      <x:c r="L2207" s="1"/>
      <x:c r="M2207" s="1"/>
      <x:c r="N2207" s="1"/>
      <x:c r="O2207" s="1"/>
    </x:row>
    <x:row r="2208">
      <x:c r="A2208" s="1"/>
      <x:c r="B2208" s="1"/>
      <x:c r="C2208" s="1"/>
      <x:c r="D2208" s="1"/>
      <x:c r="E2208" s="1"/>
      <x:c r="F2208" s="1"/>
      <x:c r="G2208" s="1"/>
      <x:c r="H2208" s="1"/>
      <x:c r="I2208" s="1"/>
      <x:c r="J2208" s="1"/>
      <x:c r="K2208" s="1"/>
      <x:c r="L2208" s="1"/>
      <x:c r="M2208" s="1"/>
      <x:c r="N2208" s="1"/>
      <x:c r="O2208" s="1"/>
    </x:row>
    <x:row r="2209">
      <x:c r="A2209" s="1"/>
      <x:c r="B2209" s="1"/>
      <x:c r="C2209" s="1"/>
      <x:c r="D2209" s="1"/>
      <x:c r="E2209" s="1"/>
      <x:c r="F2209" s="1"/>
      <x:c r="G2209" s="1"/>
      <x:c r="H2209" s="1"/>
      <x:c r="I2209" s="1"/>
      <x:c r="J2209" s="1"/>
      <x:c r="K2209" s="1"/>
      <x:c r="L2209" s="1"/>
      <x:c r="M2209" s="1"/>
      <x:c r="N2209" s="1"/>
      <x:c r="O2209" s="1"/>
    </x:row>
    <x:row r="2210">
      <x:c r="A2210" s="1"/>
      <x:c r="B2210" s="1"/>
      <x:c r="C2210" s="1"/>
      <x:c r="D2210" s="1"/>
      <x:c r="E2210" s="1"/>
      <x:c r="F2210" s="1"/>
      <x:c r="G2210" s="1"/>
      <x:c r="H2210" s="1"/>
      <x:c r="I2210" s="1"/>
      <x:c r="J2210" s="1"/>
      <x:c r="K2210" s="1"/>
      <x:c r="L2210" s="1"/>
      <x:c r="M2210" s="1"/>
      <x:c r="N2210" s="1"/>
      <x:c r="O2210" s="1"/>
    </x:row>
    <x:row r="2211">
      <x:c r="A2211" s="1"/>
      <x:c r="B2211" s="1"/>
      <x:c r="C2211" s="1"/>
      <x:c r="D2211" s="1"/>
      <x:c r="E2211" s="1"/>
      <x:c r="F2211" s="1"/>
      <x:c r="G2211" s="1"/>
      <x:c r="H2211" s="1"/>
      <x:c r="I2211" s="1"/>
      <x:c r="J2211" s="1"/>
      <x:c r="K2211" s="1"/>
      <x:c r="L2211" s="1"/>
      <x:c r="M2211" s="1"/>
      <x:c r="N2211" s="1"/>
      <x:c r="O2211" s="1"/>
    </x:row>
    <x:row r="2212">
      <x:c r="A2212" s="1"/>
      <x:c r="B2212" s="1"/>
      <x:c r="C2212" s="1"/>
      <x:c r="D2212" s="1"/>
      <x:c r="E2212" s="1"/>
      <x:c r="F2212" s="1"/>
      <x:c r="G2212" s="1"/>
      <x:c r="H2212" s="1"/>
      <x:c r="I2212" s="1"/>
      <x:c r="J2212" s="1"/>
      <x:c r="K2212" s="1"/>
      <x:c r="L2212" s="1"/>
      <x:c r="M2212" s="1"/>
      <x:c r="N2212" s="1"/>
      <x:c r="O2212" s="1"/>
    </x:row>
    <x:row r="2213">
      <x:c r="A2213" s="1"/>
      <x:c r="B2213" s="1"/>
      <x:c r="C2213" s="1"/>
      <x:c r="D2213" s="1"/>
      <x:c r="E2213" s="1"/>
      <x:c r="F2213" s="1"/>
      <x:c r="G2213" s="1"/>
      <x:c r="H2213" s="1"/>
      <x:c r="I2213" s="1"/>
      <x:c r="J2213" s="1"/>
      <x:c r="K2213" s="1"/>
      <x:c r="L2213" s="1"/>
      <x:c r="M2213" s="1"/>
      <x:c r="N2213" s="1"/>
      <x:c r="O2213" s="1"/>
    </x:row>
    <x:row r="2214">
      <x:c r="A2214" s="1"/>
      <x:c r="B2214" s="1"/>
      <x:c r="C2214" s="1"/>
      <x:c r="D2214" s="1"/>
      <x:c r="E2214" s="1"/>
      <x:c r="F2214" s="1"/>
      <x:c r="G2214" s="1"/>
      <x:c r="H2214" s="1"/>
      <x:c r="I2214" s="1"/>
      <x:c r="J2214" s="1"/>
      <x:c r="K2214" s="1"/>
      <x:c r="L2214" s="1"/>
      <x:c r="M2214" s="1"/>
      <x:c r="N2214" s="1"/>
      <x:c r="O2214" s="1"/>
    </x:row>
    <x:row r="2215">
      <x:c r="A2215" s="1"/>
      <x:c r="B2215" s="1"/>
      <x:c r="C2215" s="1"/>
      <x:c r="D2215" s="1"/>
      <x:c r="E2215" s="1"/>
      <x:c r="F2215" s="1"/>
      <x:c r="G2215" s="1"/>
      <x:c r="H2215" s="1"/>
      <x:c r="I2215" s="1"/>
      <x:c r="J2215" s="1"/>
      <x:c r="K2215" s="1"/>
      <x:c r="L2215" s="1"/>
      <x:c r="M2215" s="1"/>
      <x:c r="N2215" s="1"/>
      <x:c r="O2215" s="1"/>
    </x:row>
    <x:row r="2216">
      <x:c r="A2216" s="1"/>
      <x:c r="B2216" s="1"/>
      <x:c r="C2216" s="1"/>
      <x:c r="D2216" s="1"/>
      <x:c r="E2216" s="1"/>
      <x:c r="F2216" s="1"/>
      <x:c r="G2216" s="1"/>
      <x:c r="H2216" s="1"/>
      <x:c r="I2216" s="1"/>
      <x:c r="J2216" s="1"/>
      <x:c r="K2216" s="1"/>
      <x:c r="L2216" s="1"/>
      <x:c r="M2216" s="1"/>
      <x:c r="N2216" s="1"/>
      <x:c r="O2216" s="1"/>
    </x:row>
    <x:row r="2217">
      <x:c r="A2217" s="1"/>
      <x:c r="B2217" s="1"/>
      <x:c r="C2217" s="1"/>
      <x:c r="D2217" s="1"/>
      <x:c r="E2217" s="1"/>
      <x:c r="F2217" s="1"/>
      <x:c r="G2217" s="1"/>
      <x:c r="H2217" s="1"/>
      <x:c r="I2217" s="1"/>
      <x:c r="J2217" s="1"/>
      <x:c r="K2217" s="1"/>
      <x:c r="L2217" s="1"/>
      <x:c r="M2217" s="1"/>
      <x:c r="N2217" s="1"/>
      <x:c r="O2217" s="1"/>
    </x:row>
    <x:row r="2218">
      <x:c r="A2218" s="1"/>
      <x:c r="B2218" s="1"/>
      <x:c r="C2218" s="1"/>
      <x:c r="D2218" s="1"/>
      <x:c r="E2218" s="1"/>
      <x:c r="F2218" s="1"/>
      <x:c r="G2218" s="1"/>
      <x:c r="H2218" s="1"/>
      <x:c r="I2218" s="1"/>
      <x:c r="J2218" s="1"/>
      <x:c r="K2218" s="1"/>
      <x:c r="L2218" s="1"/>
      <x:c r="M2218" s="1"/>
      <x:c r="N2218" s="1"/>
      <x:c r="O2218" s="1"/>
    </x:row>
    <x:row r="2219">
      <x:c r="A2219" s="1"/>
      <x:c r="B2219" s="1"/>
      <x:c r="C2219" s="1"/>
      <x:c r="D2219" s="1"/>
      <x:c r="E2219" s="1"/>
      <x:c r="F2219" s="1"/>
      <x:c r="G2219" s="1"/>
      <x:c r="H2219" s="1"/>
      <x:c r="I2219" s="1"/>
      <x:c r="J2219" s="1"/>
      <x:c r="K2219" s="1"/>
      <x:c r="L2219" s="1"/>
      <x:c r="M2219" s="1"/>
      <x:c r="N2219" s="1"/>
      <x:c r="O2219" s="1"/>
    </x:row>
    <x:row r="2220">
      <x:c r="A2220" s="1"/>
      <x:c r="B2220" s="1"/>
      <x:c r="C2220" s="1"/>
      <x:c r="D2220" s="1"/>
      <x:c r="E2220" s="1"/>
      <x:c r="F2220" s="1"/>
      <x:c r="G2220" s="1"/>
      <x:c r="H2220" s="1"/>
      <x:c r="I2220" s="1"/>
      <x:c r="J2220" s="1"/>
      <x:c r="K2220" s="1"/>
      <x:c r="L2220" s="1"/>
      <x:c r="M2220" s="1"/>
      <x:c r="N2220" s="1"/>
      <x:c r="O2220" s="1"/>
    </x:row>
    <x:row r="2221">
      <x:c r="A2221" s="1"/>
      <x:c r="B2221" s="1"/>
      <x:c r="C2221" s="1"/>
      <x:c r="D2221" s="1"/>
      <x:c r="E2221" s="1"/>
      <x:c r="F2221" s="1"/>
      <x:c r="G2221" s="1"/>
      <x:c r="H2221" s="1"/>
      <x:c r="I2221" s="1"/>
      <x:c r="J2221" s="1"/>
      <x:c r="K2221" s="1"/>
      <x:c r="L2221" s="1"/>
      <x:c r="M2221" s="1"/>
      <x:c r="N2221" s="1"/>
      <x:c r="O2221" s="1"/>
    </x:row>
    <x:row r="2222">
      <x:c r="A2222" s="1"/>
      <x:c r="B2222" s="1"/>
      <x:c r="C2222" s="1"/>
      <x:c r="D2222" s="1"/>
      <x:c r="E2222" s="1"/>
      <x:c r="F2222" s="1"/>
      <x:c r="G2222" s="1"/>
      <x:c r="H2222" s="1"/>
      <x:c r="I2222" s="1"/>
      <x:c r="J2222" s="1"/>
      <x:c r="K2222" s="1"/>
      <x:c r="L2222" s="1"/>
      <x:c r="M2222" s="1"/>
      <x:c r="N2222" s="1"/>
      <x:c r="O2222" s="1"/>
    </x:row>
    <x:row r="2223">
      <x:c r="A2223" s="1"/>
      <x:c r="B2223" s="1"/>
      <x:c r="C2223" s="1"/>
      <x:c r="D2223" s="1"/>
      <x:c r="E2223" s="1"/>
      <x:c r="F2223" s="1"/>
      <x:c r="G2223" s="1"/>
      <x:c r="H2223" s="1"/>
      <x:c r="I2223" s="1"/>
      <x:c r="J2223" s="1"/>
      <x:c r="K2223" s="1"/>
      <x:c r="L2223" s="1"/>
      <x:c r="M2223" s="1"/>
      <x:c r="N2223" s="1"/>
      <x:c r="O2223" s="1"/>
    </x:row>
    <x:row r="2224">
      <x:c r="A2224" s="1"/>
      <x:c r="B2224" s="1"/>
      <x:c r="C2224" s="1"/>
      <x:c r="D2224" s="1"/>
      <x:c r="E2224" s="1"/>
      <x:c r="F2224" s="1"/>
      <x:c r="G2224" s="1"/>
      <x:c r="H2224" s="1"/>
      <x:c r="I2224" s="1"/>
      <x:c r="J2224" s="1"/>
      <x:c r="K2224" s="1"/>
      <x:c r="L2224" s="1"/>
      <x:c r="M2224" s="1"/>
      <x:c r="N2224" s="1"/>
      <x:c r="O2224" s="1"/>
    </x:row>
    <x:row r="2225">
      <x:c r="A2225" s="1"/>
      <x:c r="B2225" s="1"/>
      <x:c r="C2225" s="1"/>
      <x:c r="D2225" s="1"/>
      <x:c r="E2225" s="1"/>
      <x:c r="F2225" s="1"/>
      <x:c r="G2225" s="1"/>
      <x:c r="H2225" s="1"/>
      <x:c r="I2225" s="1"/>
      <x:c r="J2225" s="1"/>
      <x:c r="K2225" s="1"/>
      <x:c r="L2225" s="1"/>
      <x:c r="M2225" s="1"/>
      <x:c r="N2225" s="1"/>
      <x:c r="O2225" s="1"/>
    </x:row>
    <x:row r="2226">
      <x:c r="A2226" s="1"/>
      <x:c r="B2226" s="1"/>
      <x:c r="C2226" s="1"/>
      <x:c r="D2226" s="1"/>
      <x:c r="E2226" s="1"/>
      <x:c r="F2226" s="1"/>
      <x:c r="G2226" s="1"/>
      <x:c r="H2226" s="1"/>
      <x:c r="I2226" s="1"/>
      <x:c r="J2226" s="1"/>
      <x:c r="K2226" s="1"/>
      <x:c r="L2226" s="1"/>
      <x:c r="M2226" s="1"/>
      <x:c r="N2226" s="1"/>
      <x:c r="O2226" s="1"/>
    </x:row>
    <x:row r="2227">
      <x:c r="A2227" s="1"/>
      <x:c r="B2227" s="1"/>
      <x:c r="C2227" s="1"/>
      <x:c r="D2227" s="1"/>
      <x:c r="E2227" s="1"/>
      <x:c r="F2227" s="1"/>
      <x:c r="G2227" s="1"/>
      <x:c r="H2227" s="1"/>
      <x:c r="I2227" s="1"/>
      <x:c r="J2227" s="1"/>
      <x:c r="K2227" s="1"/>
      <x:c r="L2227" s="1"/>
      <x:c r="M2227" s="1"/>
      <x:c r="N2227" s="1"/>
      <x:c r="O2227" s="1"/>
    </x:row>
    <x:row r="2228">
      <x:c r="A2228" s="1"/>
      <x:c r="B2228" s="1"/>
      <x:c r="C2228" s="1"/>
      <x:c r="D2228" s="1"/>
      <x:c r="E2228" s="1"/>
      <x:c r="F2228" s="1"/>
      <x:c r="G2228" s="1"/>
      <x:c r="H2228" s="1"/>
      <x:c r="I2228" s="1"/>
      <x:c r="J2228" s="1"/>
      <x:c r="K2228" s="1"/>
      <x:c r="L2228" s="1"/>
      <x:c r="M2228" s="1"/>
      <x:c r="N2228" s="1"/>
      <x:c r="O2228" s="1"/>
    </x:row>
    <x:row r="2229">
      <x:c r="A2229" s="1"/>
      <x:c r="B2229" s="1"/>
      <x:c r="C2229" s="1"/>
      <x:c r="D2229" s="1"/>
      <x:c r="E2229" s="1"/>
      <x:c r="F2229" s="1"/>
      <x:c r="G2229" s="1"/>
      <x:c r="H2229" s="1"/>
      <x:c r="I2229" s="1"/>
      <x:c r="J2229" s="1"/>
      <x:c r="K2229" s="1"/>
      <x:c r="L2229" s="1"/>
      <x:c r="M2229" s="1"/>
      <x:c r="N2229" s="1"/>
      <x:c r="O2229" s="1"/>
    </x:row>
    <x:row r="2230">
      <x:c r="A2230" s="1"/>
      <x:c r="B2230" s="1"/>
      <x:c r="C2230" s="1"/>
      <x:c r="D2230" s="1"/>
      <x:c r="E2230" s="1"/>
      <x:c r="F2230" s="1"/>
      <x:c r="G2230" s="1"/>
      <x:c r="H2230" s="1"/>
      <x:c r="I2230" s="1"/>
      <x:c r="J2230" s="1"/>
      <x:c r="K2230" s="1"/>
      <x:c r="L2230" s="1"/>
      <x:c r="M2230" s="1"/>
      <x:c r="N2230" s="1"/>
      <x:c r="O2230" s="1"/>
    </x:row>
    <x:row r="2231">
      <x:c r="A2231" s="1"/>
      <x:c r="B2231" s="1"/>
      <x:c r="C2231" s="1"/>
      <x:c r="D2231" s="1"/>
      <x:c r="E2231" s="1"/>
      <x:c r="F2231" s="1"/>
      <x:c r="G2231" s="1"/>
      <x:c r="H2231" s="1"/>
      <x:c r="I2231" s="1"/>
      <x:c r="J2231" s="1"/>
      <x:c r="K2231" s="1"/>
      <x:c r="L2231" s="1"/>
      <x:c r="M2231" s="1"/>
      <x:c r="N2231" s="1"/>
      <x:c r="O2231" s="1"/>
    </x:row>
    <x:row r="2232">
      <x:c r="A2232" s="1"/>
      <x:c r="B2232" s="1"/>
      <x:c r="C2232" s="1"/>
      <x:c r="D2232" s="1"/>
      <x:c r="E2232" s="1"/>
      <x:c r="F2232" s="1"/>
      <x:c r="G2232" s="1"/>
      <x:c r="H2232" s="1"/>
      <x:c r="I2232" s="1"/>
      <x:c r="J2232" s="1"/>
      <x:c r="K2232" s="1"/>
      <x:c r="L2232" s="1"/>
      <x:c r="M2232" s="1"/>
      <x:c r="N2232" s="1"/>
      <x:c r="O2232" s="1"/>
    </x:row>
    <x:row r="2233">
      <x:c r="A2233" s="1"/>
      <x:c r="B2233" s="1"/>
      <x:c r="C2233" s="1"/>
      <x:c r="D2233" s="1"/>
      <x:c r="E2233" s="1"/>
      <x:c r="F2233" s="1"/>
      <x:c r="G2233" s="1"/>
      <x:c r="H2233" s="1"/>
      <x:c r="I2233" s="1"/>
      <x:c r="J2233" s="1"/>
      <x:c r="K2233" s="1"/>
      <x:c r="L2233" s="1"/>
      <x:c r="M2233" s="1"/>
      <x:c r="N2233" s="1"/>
      <x:c r="O2233" s="1"/>
    </x:row>
    <x:row r="2234">
      <x:c r="A2234" s="1"/>
      <x:c r="B2234" s="1"/>
      <x:c r="C2234" s="1"/>
      <x:c r="D2234" s="1"/>
      <x:c r="E2234" s="1"/>
      <x:c r="F2234" s="1"/>
      <x:c r="G2234" s="1"/>
      <x:c r="H2234" s="1"/>
      <x:c r="I2234" s="1"/>
      <x:c r="J2234" s="1"/>
      <x:c r="K2234" s="1"/>
      <x:c r="L2234" s="1"/>
      <x:c r="M2234" s="1"/>
      <x:c r="N2234" s="1"/>
      <x:c r="O2234" s="1"/>
    </x:row>
    <x:row r="2235">
      <x:c r="A2235" s="1"/>
      <x:c r="B2235" s="1"/>
      <x:c r="C2235" s="1"/>
      <x:c r="D2235" s="1"/>
      <x:c r="E2235" s="1"/>
      <x:c r="F2235" s="1"/>
      <x:c r="G2235" s="1"/>
      <x:c r="H2235" s="1"/>
      <x:c r="I2235" s="1"/>
      <x:c r="J2235" s="1"/>
      <x:c r="K2235" s="1"/>
      <x:c r="L2235" s="1"/>
      <x:c r="M2235" s="1"/>
      <x:c r="N2235" s="1"/>
      <x:c r="O2235" s="1"/>
    </x:row>
    <x:row r="2236">
      <x:c r="A2236" s="1"/>
      <x:c r="B2236" s="1"/>
      <x:c r="C2236" s="1"/>
      <x:c r="D2236" s="1"/>
      <x:c r="E2236" s="1"/>
      <x:c r="F2236" s="1"/>
      <x:c r="G2236" s="1"/>
      <x:c r="H2236" s="1"/>
      <x:c r="I2236" s="1"/>
      <x:c r="J2236" s="1"/>
      <x:c r="K2236" s="1"/>
      <x:c r="L2236" s="1"/>
      <x:c r="M2236" s="1"/>
      <x:c r="N2236" s="1"/>
      <x:c r="O2236" s="1"/>
    </x:row>
    <x:row r="2237">
      <x:c r="A2237" s="1"/>
      <x:c r="B2237" s="1"/>
      <x:c r="C2237" s="1"/>
      <x:c r="D2237" s="1"/>
      <x:c r="E2237" s="1"/>
      <x:c r="F2237" s="1"/>
      <x:c r="G2237" s="1"/>
      <x:c r="H2237" s="1"/>
      <x:c r="I2237" s="1"/>
      <x:c r="J2237" s="1"/>
      <x:c r="K2237" s="1"/>
      <x:c r="L2237" s="1"/>
      <x:c r="M2237" s="1"/>
      <x:c r="N2237" s="1"/>
      <x:c r="O2237" s="1"/>
    </x:row>
    <x:row r="2238">
      <x:c r="A2238" s="1"/>
      <x:c r="B2238" s="1"/>
      <x:c r="C2238" s="1"/>
      <x:c r="D2238" s="1"/>
      <x:c r="E2238" s="1"/>
      <x:c r="F2238" s="1"/>
      <x:c r="G2238" s="1"/>
      <x:c r="H2238" s="1"/>
      <x:c r="I2238" s="1"/>
      <x:c r="J2238" s="1"/>
      <x:c r="K2238" s="1"/>
      <x:c r="L2238" s="1"/>
      <x:c r="M2238" s="1"/>
      <x:c r="N2238" s="1"/>
      <x:c r="O2238" s="1"/>
    </x:row>
    <x:row r="2239">
      <x:c r="A2239" s="1"/>
      <x:c r="B2239" s="1"/>
      <x:c r="C2239" s="1"/>
      <x:c r="D2239" s="1"/>
      <x:c r="E2239" s="1"/>
      <x:c r="F2239" s="1"/>
      <x:c r="G2239" s="1"/>
      <x:c r="H2239" s="1"/>
      <x:c r="I2239" s="1"/>
      <x:c r="J2239" s="1"/>
      <x:c r="K2239" s="1"/>
      <x:c r="L2239" s="1"/>
      <x:c r="M2239" s="1"/>
      <x:c r="N2239" s="1"/>
      <x:c r="O2239" s="1"/>
    </x:row>
    <x:row r="2240">
      <x:c r="A2240" s="1"/>
      <x:c r="B2240" s="1"/>
      <x:c r="C2240" s="1"/>
      <x:c r="D2240" s="1"/>
      <x:c r="E2240" s="1"/>
      <x:c r="F2240" s="1"/>
      <x:c r="G2240" s="1"/>
      <x:c r="H2240" s="1"/>
      <x:c r="I2240" s="1"/>
      <x:c r="J2240" s="1"/>
      <x:c r="K2240" s="1"/>
      <x:c r="L2240" s="1"/>
      <x:c r="M2240" s="1"/>
      <x:c r="N2240" s="1"/>
      <x:c r="O2240" s="1"/>
    </x:row>
    <x:row r="2241">
      <x:c r="A2241" s="1"/>
      <x:c r="B2241" s="1"/>
      <x:c r="C2241" s="1"/>
      <x:c r="D2241" s="1"/>
      <x:c r="E2241" s="1"/>
      <x:c r="F2241" s="1"/>
      <x:c r="G2241" s="1"/>
      <x:c r="H2241" s="1"/>
      <x:c r="I2241" s="1"/>
      <x:c r="J2241" s="1"/>
      <x:c r="K2241" s="1"/>
      <x:c r="L2241" s="1"/>
      <x:c r="M2241" s="1"/>
      <x:c r="N2241" s="1"/>
      <x:c r="O2241" s="1"/>
    </x:row>
    <x:row r="2242">
      <x:c r="A2242" s="1"/>
      <x:c r="B2242" s="1"/>
      <x:c r="C2242" s="1"/>
      <x:c r="D2242" s="1"/>
      <x:c r="E2242" s="1"/>
      <x:c r="F2242" s="1"/>
      <x:c r="G2242" s="1"/>
      <x:c r="H2242" s="1"/>
      <x:c r="I2242" s="1"/>
      <x:c r="J2242" s="1"/>
      <x:c r="K2242" s="1"/>
      <x:c r="L2242" s="1"/>
      <x:c r="M2242" s="1"/>
      <x:c r="N2242" s="1"/>
      <x:c r="O2242" s="1"/>
    </x:row>
    <x:row r="2243">
      <x:c r="A2243" s="1"/>
      <x:c r="B2243" s="1"/>
      <x:c r="C2243" s="1"/>
      <x:c r="D2243" s="1"/>
      <x:c r="E2243" s="1"/>
      <x:c r="F2243" s="1"/>
      <x:c r="G2243" s="1"/>
      <x:c r="H2243" s="1"/>
      <x:c r="I2243" s="1"/>
      <x:c r="J2243" s="1"/>
      <x:c r="K2243" s="1"/>
      <x:c r="L2243" s="1"/>
      <x:c r="M2243" s="1"/>
      <x:c r="N2243" s="1"/>
      <x:c r="O2243" s="1"/>
    </x:row>
    <x:row r="2244">
      <x:c r="A2244" s="1"/>
      <x:c r="B2244" s="1"/>
      <x:c r="C2244" s="1"/>
      <x:c r="D2244" s="1"/>
      <x:c r="E2244" s="1"/>
      <x:c r="F2244" s="1"/>
      <x:c r="G2244" s="1"/>
      <x:c r="H2244" s="1"/>
      <x:c r="I2244" s="1"/>
      <x:c r="J2244" s="1"/>
      <x:c r="K2244" s="1"/>
      <x:c r="L2244" s="1"/>
      <x:c r="M2244" s="1"/>
      <x:c r="N2244" s="1"/>
      <x:c r="O2244" s="1"/>
    </x:row>
    <x:row r="2245">
      <x:c r="A2245" s="1"/>
      <x:c r="B2245" s="1"/>
      <x:c r="C2245" s="1"/>
      <x:c r="D2245" s="1"/>
      <x:c r="E2245" s="1"/>
      <x:c r="F2245" s="1"/>
      <x:c r="G2245" s="1"/>
      <x:c r="H2245" s="1"/>
      <x:c r="I2245" s="1"/>
      <x:c r="J2245" s="1"/>
      <x:c r="K2245" s="1"/>
      <x:c r="L2245" s="1"/>
      <x:c r="M2245" s="1"/>
      <x:c r="N2245" s="1"/>
      <x:c r="O2245" s="1"/>
    </x:row>
    <x:row r="2246">
      <x:c r="A2246" s="1"/>
      <x:c r="B2246" s="1"/>
      <x:c r="C2246" s="1"/>
      <x:c r="D2246" s="1"/>
      <x:c r="E2246" s="1"/>
      <x:c r="F2246" s="1"/>
      <x:c r="G2246" s="1"/>
      <x:c r="H2246" s="1"/>
      <x:c r="I2246" s="1"/>
      <x:c r="J2246" s="1"/>
      <x:c r="K2246" s="1"/>
      <x:c r="L2246" s="1"/>
      <x:c r="M2246" s="1"/>
      <x:c r="N2246" s="1"/>
      <x:c r="O2246" s="1"/>
    </x:row>
    <x:row r="2247">
      <x:c r="A2247" s="1"/>
      <x:c r="B2247" s="1"/>
      <x:c r="C2247" s="1"/>
      <x:c r="D2247" s="1"/>
      <x:c r="E2247" s="1"/>
      <x:c r="F2247" s="1"/>
      <x:c r="G2247" s="1"/>
      <x:c r="H2247" s="1"/>
      <x:c r="I2247" s="1"/>
      <x:c r="J2247" s="1"/>
      <x:c r="K2247" s="1"/>
      <x:c r="L2247" s="1"/>
      <x:c r="M2247" s="1"/>
      <x:c r="N2247" s="1"/>
      <x:c r="O2247" s="1"/>
    </x:row>
    <x:row r="2248">
      <x:c r="A2248" s="1"/>
      <x:c r="B2248" s="1"/>
      <x:c r="C2248" s="1"/>
      <x:c r="D2248" s="1"/>
      <x:c r="E2248" s="1"/>
      <x:c r="F2248" s="1"/>
      <x:c r="G2248" s="1"/>
      <x:c r="H2248" s="1"/>
      <x:c r="I2248" s="1"/>
      <x:c r="J2248" s="1"/>
      <x:c r="K2248" s="1"/>
      <x:c r="L2248" s="1"/>
      <x:c r="M2248" s="1"/>
      <x:c r="N2248" s="1"/>
      <x:c r="O2248" s="1"/>
    </x:row>
    <x:row r="2249">
      <x:c r="A2249" s="1"/>
      <x:c r="B2249" s="1"/>
      <x:c r="C2249" s="1"/>
      <x:c r="D2249" s="1"/>
      <x:c r="E2249" s="1"/>
      <x:c r="F2249" s="1"/>
      <x:c r="G2249" s="1"/>
      <x:c r="H2249" s="1"/>
      <x:c r="I2249" s="1"/>
      <x:c r="J2249" s="1"/>
      <x:c r="K2249" s="1"/>
      <x:c r="L2249" s="1"/>
      <x:c r="M2249" s="1"/>
      <x:c r="N2249" s="1"/>
      <x:c r="O2249" s="1"/>
    </x:row>
    <x:row r="2250">
      <x:c r="A2250" s="1"/>
      <x:c r="B2250" s="1"/>
      <x:c r="C2250" s="1"/>
      <x:c r="D2250" s="1"/>
      <x:c r="E2250" s="1"/>
      <x:c r="F2250" s="1"/>
      <x:c r="G2250" s="1"/>
      <x:c r="H2250" s="1"/>
      <x:c r="I2250" s="1"/>
      <x:c r="J2250" s="1"/>
      <x:c r="K2250" s="1"/>
      <x:c r="L2250" s="1"/>
      <x:c r="M2250" s="1"/>
      <x:c r="N2250" s="1"/>
      <x:c r="O2250" s="1"/>
    </x:row>
    <x:row r="2251">
      <x:c r="A2251" s="1"/>
      <x:c r="B2251" s="1"/>
      <x:c r="C2251" s="1"/>
      <x:c r="D2251" s="1"/>
      <x:c r="E2251" s="1"/>
      <x:c r="F2251" s="1"/>
      <x:c r="G2251" s="1"/>
      <x:c r="H2251" s="1"/>
      <x:c r="I2251" s="1"/>
      <x:c r="J2251" s="1"/>
      <x:c r="K2251" s="1"/>
      <x:c r="L2251" s="1"/>
      <x:c r="M2251" s="1"/>
      <x:c r="N2251" s="1"/>
      <x:c r="O2251" s="1"/>
    </x:row>
    <x:row r="2252">
      <x:c r="A2252" s="1"/>
      <x:c r="B2252" s="1"/>
      <x:c r="C2252" s="1"/>
      <x:c r="D2252" s="1"/>
      <x:c r="E2252" s="1"/>
      <x:c r="F2252" s="1"/>
      <x:c r="G2252" s="1"/>
      <x:c r="H2252" s="1"/>
      <x:c r="I2252" s="1"/>
      <x:c r="J2252" s="1"/>
      <x:c r="K2252" s="1"/>
      <x:c r="L2252" s="1"/>
      <x:c r="M2252" s="1"/>
      <x:c r="N2252" s="1"/>
      <x:c r="O2252" s="1"/>
    </x:row>
    <x:row r="2253">
      <x:c r="A2253" s="1"/>
      <x:c r="B2253" s="1"/>
      <x:c r="C2253" s="1"/>
      <x:c r="D2253" s="1"/>
      <x:c r="E2253" s="1"/>
      <x:c r="F2253" s="1"/>
      <x:c r="G2253" s="1"/>
      <x:c r="H2253" s="1"/>
      <x:c r="I2253" s="1"/>
      <x:c r="J2253" s="1"/>
      <x:c r="K2253" s="1"/>
      <x:c r="L2253" s="1"/>
      <x:c r="M2253" s="1"/>
      <x:c r="N2253" s="1"/>
      <x:c r="O2253" s="1"/>
    </x:row>
    <x:row r="2254">
      <x:c r="A2254" s="1"/>
      <x:c r="B2254" s="1"/>
      <x:c r="C2254" s="1"/>
      <x:c r="D2254" s="1"/>
      <x:c r="E2254" s="1"/>
      <x:c r="F2254" s="1"/>
      <x:c r="G2254" s="1"/>
      <x:c r="H2254" s="1"/>
      <x:c r="I2254" s="1"/>
      <x:c r="J2254" s="1"/>
      <x:c r="K2254" s="1"/>
      <x:c r="L2254" s="1"/>
      <x:c r="M2254" s="1"/>
      <x:c r="N2254" s="1"/>
      <x:c r="O2254" s="1"/>
    </x:row>
    <x:row r="2255">
      <x:c r="A2255" s="1"/>
      <x:c r="B2255" s="1"/>
      <x:c r="C2255" s="1"/>
      <x:c r="D2255" s="1"/>
      <x:c r="E2255" s="1"/>
      <x:c r="F2255" s="1"/>
      <x:c r="G2255" s="1"/>
      <x:c r="H2255" s="1"/>
      <x:c r="I2255" s="1"/>
      <x:c r="J2255" s="1"/>
      <x:c r="K2255" s="1"/>
      <x:c r="L2255" s="1"/>
      <x:c r="M2255" s="1"/>
      <x:c r="N2255" s="1"/>
      <x:c r="O2255" s="1"/>
    </x:row>
    <x:row r="2256">
      <x:c r="A2256" s="1"/>
      <x:c r="B2256" s="1"/>
      <x:c r="C2256" s="1"/>
      <x:c r="D2256" s="1"/>
      <x:c r="E2256" s="1"/>
      <x:c r="F2256" s="1"/>
      <x:c r="G2256" s="1"/>
      <x:c r="H2256" s="1"/>
      <x:c r="I2256" s="1"/>
      <x:c r="J2256" s="1"/>
      <x:c r="K2256" s="1"/>
      <x:c r="L2256" s="1"/>
      <x:c r="M2256" s="1"/>
      <x:c r="N2256" s="1"/>
      <x:c r="O2256" s="1"/>
    </x:row>
    <x:row r="2257">
      <x:c r="A2257" s="1"/>
      <x:c r="B2257" s="1"/>
      <x:c r="C2257" s="1"/>
      <x:c r="D2257" s="1"/>
      <x:c r="E2257" s="1"/>
      <x:c r="F2257" s="1"/>
      <x:c r="G2257" s="1"/>
      <x:c r="H2257" s="1"/>
      <x:c r="I2257" s="1"/>
      <x:c r="J2257" s="1"/>
      <x:c r="K2257" s="1"/>
      <x:c r="L2257" s="1"/>
      <x:c r="M2257" s="1"/>
      <x:c r="N2257" s="1"/>
      <x:c r="O2257" s="1"/>
    </x:row>
    <x:row r="2258">
      <x:c r="A2258" s="1"/>
      <x:c r="B2258" s="1"/>
      <x:c r="C2258" s="1"/>
      <x:c r="D2258" s="1"/>
      <x:c r="E2258" s="1"/>
      <x:c r="F2258" s="1"/>
      <x:c r="G2258" s="1"/>
      <x:c r="H2258" s="1"/>
      <x:c r="I2258" s="1"/>
      <x:c r="J2258" s="1"/>
      <x:c r="K2258" s="1"/>
      <x:c r="L2258" s="1"/>
      <x:c r="M2258" s="1"/>
      <x:c r="N2258" s="1"/>
      <x:c r="O2258" s="1"/>
    </x:row>
    <x:row r="2259">
      <x:c r="A2259" s="1"/>
      <x:c r="B2259" s="1"/>
      <x:c r="C2259" s="1"/>
      <x:c r="D2259" s="1"/>
      <x:c r="E2259" s="1"/>
      <x:c r="F2259" s="1"/>
      <x:c r="G2259" s="1"/>
      <x:c r="H2259" s="1"/>
      <x:c r="I2259" s="1"/>
      <x:c r="J2259" s="1"/>
      <x:c r="K2259" s="1"/>
      <x:c r="L2259" s="1"/>
      <x:c r="M2259" s="1"/>
      <x:c r="N2259" s="1"/>
      <x:c r="O2259" s="1"/>
    </x:row>
    <x:row r="2260">
      <x:c r="A2260" s="1"/>
      <x:c r="B2260" s="1"/>
      <x:c r="C2260" s="1"/>
      <x:c r="D2260" s="1"/>
      <x:c r="E2260" s="1"/>
      <x:c r="F2260" s="1"/>
      <x:c r="G2260" s="1"/>
      <x:c r="H2260" s="1"/>
      <x:c r="I2260" s="1"/>
      <x:c r="J2260" s="1"/>
      <x:c r="K2260" s="1"/>
      <x:c r="L2260" s="1"/>
      <x:c r="M2260" s="1"/>
      <x:c r="N2260" s="1"/>
      <x:c r="O2260" s="1"/>
    </x:row>
    <x:row r="2261">
      <x:c r="A2261" s="1"/>
      <x:c r="B2261" s="1"/>
      <x:c r="C2261" s="1"/>
      <x:c r="D2261" s="1"/>
      <x:c r="E2261" s="1"/>
      <x:c r="F2261" s="1"/>
      <x:c r="G2261" s="1"/>
      <x:c r="H2261" s="1"/>
      <x:c r="I2261" s="1"/>
      <x:c r="J2261" s="1"/>
      <x:c r="K2261" s="1"/>
      <x:c r="L2261" s="1"/>
      <x:c r="M2261" s="1"/>
      <x:c r="N2261" s="1"/>
      <x:c r="O2261" s="1"/>
    </x:row>
    <x:row r="2262">
      <x:c r="A2262" s="1"/>
      <x:c r="B2262" s="1"/>
      <x:c r="C2262" s="1"/>
      <x:c r="D2262" s="1"/>
      <x:c r="E2262" s="1"/>
      <x:c r="F2262" s="1"/>
      <x:c r="G2262" s="1"/>
      <x:c r="H2262" s="1"/>
      <x:c r="I2262" s="1"/>
      <x:c r="J2262" s="1"/>
      <x:c r="K2262" s="1"/>
      <x:c r="L2262" s="1"/>
      <x:c r="M2262" s="1"/>
      <x:c r="N2262" s="1"/>
      <x:c r="O2262" s="1"/>
    </x:row>
    <x:row r="2263">
      <x:c r="A2263" s="1"/>
      <x:c r="B2263" s="1"/>
      <x:c r="C2263" s="1"/>
      <x:c r="D2263" s="1"/>
      <x:c r="E2263" s="1"/>
      <x:c r="F2263" s="1"/>
      <x:c r="G2263" s="1"/>
      <x:c r="H2263" s="1"/>
      <x:c r="I2263" s="1"/>
      <x:c r="J2263" s="1"/>
      <x:c r="K2263" s="1"/>
      <x:c r="L2263" s="1"/>
      <x:c r="M2263" s="1"/>
      <x:c r="N2263" s="1"/>
      <x:c r="O2263" s="1"/>
    </x:row>
    <x:row r="2264">
      <x:c r="A2264" s="1"/>
      <x:c r="B2264" s="1"/>
      <x:c r="C2264" s="1"/>
      <x:c r="D2264" s="1"/>
      <x:c r="E2264" s="1"/>
      <x:c r="F2264" s="1"/>
      <x:c r="G2264" s="1"/>
      <x:c r="H2264" s="1"/>
      <x:c r="I2264" s="1"/>
      <x:c r="J2264" s="1"/>
      <x:c r="K2264" s="1"/>
      <x:c r="L2264" s="1"/>
      <x:c r="M2264" s="1"/>
      <x:c r="N2264" s="1"/>
      <x:c r="O2264" s="1"/>
    </x:row>
    <x:row r="2265">
      <x:c r="A2265" s="1"/>
      <x:c r="B2265" s="1"/>
      <x:c r="C2265" s="1"/>
      <x:c r="D2265" s="1"/>
      <x:c r="E2265" s="1"/>
      <x:c r="F2265" s="1"/>
      <x:c r="G2265" s="1"/>
      <x:c r="H2265" s="1"/>
      <x:c r="I2265" s="1"/>
      <x:c r="J2265" s="1"/>
      <x:c r="K2265" s="1"/>
      <x:c r="L2265" s="1"/>
      <x:c r="M2265" s="1"/>
      <x:c r="N2265" s="1"/>
      <x:c r="O2265" s="1"/>
    </x:row>
    <x:row r="2266">
      <x:c r="A2266" s="1"/>
      <x:c r="B2266" s="1"/>
      <x:c r="C2266" s="1"/>
      <x:c r="D2266" s="1"/>
      <x:c r="E2266" s="1"/>
      <x:c r="F2266" s="1"/>
      <x:c r="G2266" s="1"/>
      <x:c r="H2266" s="1"/>
      <x:c r="I2266" s="1"/>
      <x:c r="J2266" s="1"/>
      <x:c r="K2266" s="1"/>
      <x:c r="L2266" s="1"/>
      <x:c r="M2266" s="1"/>
      <x:c r="N2266" s="1"/>
      <x:c r="O2266" s="1"/>
    </x:row>
    <x:row r="2267">
      <x:c r="A2267" s="1"/>
      <x:c r="B2267" s="1"/>
      <x:c r="C2267" s="1"/>
      <x:c r="D2267" s="1"/>
      <x:c r="E2267" s="1"/>
      <x:c r="F2267" s="1"/>
      <x:c r="G2267" s="1"/>
      <x:c r="H2267" s="1"/>
      <x:c r="I2267" s="1"/>
      <x:c r="J2267" s="1"/>
      <x:c r="K2267" s="1"/>
      <x:c r="L2267" s="1"/>
      <x:c r="M2267" s="1"/>
      <x:c r="N2267" s="1"/>
      <x:c r="O2267" s="1"/>
    </x:row>
    <x:row r="2268">
      <x:c r="A2268" s="1"/>
      <x:c r="B2268" s="1"/>
      <x:c r="C2268" s="1"/>
      <x:c r="D2268" s="1"/>
      <x:c r="E2268" s="1"/>
      <x:c r="F2268" s="1"/>
      <x:c r="G2268" s="1"/>
      <x:c r="H2268" s="1"/>
      <x:c r="I2268" s="1"/>
      <x:c r="J2268" s="1"/>
      <x:c r="K2268" s="1"/>
      <x:c r="L2268" s="1"/>
      <x:c r="M2268" s="1"/>
      <x:c r="N2268" s="1"/>
      <x:c r="O2268" s="1"/>
    </x:row>
    <x:row r="2269">
      <x:c r="A2269" s="1"/>
      <x:c r="B2269" s="1"/>
      <x:c r="C2269" s="1"/>
      <x:c r="D2269" s="1"/>
      <x:c r="E2269" s="1"/>
      <x:c r="F2269" s="1"/>
      <x:c r="G2269" s="1"/>
      <x:c r="H2269" s="1"/>
      <x:c r="I2269" s="1"/>
      <x:c r="J2269" s="1"/>
      <x:c r="K2269" s="1"/>
      <x:c r="L2269" s="1"/>
      <x:c r="M2269" s="1"/>
      <x:c r="N2269" s="1"/>
      <x:c r="O2269" s="1"/>
    </x:row>
    <x:row r="2270">
      <x:c r="A2270" s="1"/>
      <x:c r="B2270" s="1"/>
      <x:c r="C2270" s="1"/>
      <x:c r="D2270" s="1"/>
      <x:c r="E2270" s="1"/>
      <x:c r="F2270" s="1"/>
      <x:c r="G2270" s="1"/>
      <x:c r="H2270" s="1"/>
      <x:c r="I2270" s="1"/>
      <x:c r="J2270" s="1"/>
      <x:c r="K2270" s="1"/>
      <x:c r="L2270" s="1"/>
      <x:c r="M2270" s="1"/>
      <x:c r="N2270" s="1"/>
      <x:c r="O2270" s="1"/>
    </x:row>
    <x:row r="2271">
      <x:c r="A2271" s="1"/>
      <x:c r="B2271" s="1"/>
      <x:c r="C2271" s="1"/>
      <x:c r="D2271" s="1"/>
      <x:c r="E2271" s="1"/>
      <x:c r="F2271" s="1"/>
      <x:c r="G2271" s="1"/>
      <x:c r="H2271" s="1"/>
      <x:c r="I2271" s="1"/>
      <x:c r="J2271" s="1"/>
      <x:c r="K2271" s="1"/>
      <x:c r="L2271" s="1"/>
      <x:c r="M2271" s="1"/>
      <x:c r="N2271" s="1"/>
      <x:c r="O2271" s="1"/>
    </x:row>
    <x:row r="2272">
      <x:c r="A2272" s="1"/>
      <x:c r="B2272" s="1"/>
      <x:c r="C2272" s="1"/>
      <x:c r="D2272" s="1"/>
      <x:c r="E2272" s="1"/>
      <x:c r="F2272" s="1"/>
      <x:c r="G2272" s="1"/>
      <x:c r="H2272" s="1"/>
      <x:c r="I2272" s="1"/>
      <x:c r="J2272" s="1"/>
      <x:c r="K2272" s="1"/>
      <x:c r="L2272" s="1"/>
      <x:c r="M2272" s="1"/>
      <x:c r="N2272" s="1"/>
      <x:c r="O2272" s="1"/>
    </x:row>
    <x:row r="2273">
      <x:c r="A2273" s="1"/>
      <x:c r="B2273" s="1"/>
      <x:c r="C2273" s="1"/>
      <x:c r="D2273" s="1"/>
      <x:c r="E2273" s="1"/>
      <x:c r="F2273" s="1"/>
      <x:c r="G2273" s="1"/>
      <x:c r="H2273" s="1"/>
      <x:c r="I2273" s="1"/>
      <x:c r="J2273" s="1"/>
      <x:c r="K2273" s="1"/>
      <x:c r="L2273" s="1"/>
      <x:c r="M2273" s="1"/>
      <x:c r="N2273" s="1"/>
      <x:c r="O2273" s="1"/>
    </x:row>
    <x:row r="2274">
      <x:c r="A2274" s="1"/>
      <x:c r="B2274" s="1"/>
      <x:c r="C2274" s="1"/>
      <x:c r="D2274" s="1"/>
      <x:c r="E2274" s="1"/>
      <x:c r="F2274" s="1"/>
      <x:c r="G2274" s="1"/>
      <x:c r="H2274" s="1"/>
      <x:c r="I2274" s="1"/>
      <x:c r="J2274" s="1"/>
      <x:c r="K2274" s="1"/>
      <x:c r="L2274" s="1"/>
      <x:c r="M2274" s="1"/>
      <x:c r="N2274" s="1"/>
      <x:c r="O2274" s="1"/>
    </x:row>
    <x:row r="2275">
      <x:c r="A2275" s="1"/>
      <x:c r="B2275" s="1"/>
      <x:c r="C2275" s="1"/>
      <x:c r="D2275" s="1"/>
      <x:c r="E2275" s="1"/>
      <x:c r="F2275" s="1"/>
      <x:c r="G2275" s="1"/>
      <x:c r="H2275" s="1"/>
      <x:c r="I2275" s="1"/>
      <x:c r="J2275" s="1"/>
      <x:c r="K2275" s="1"/>
      <x:c r="L2275" s="1"/>
      <x:c r="M2275" s="1"/>
      <x:c r="N2275" s="1"/>
      <x:c r="O2275" s="1"/>
    </x:row>
    <x:row r="2276">
      <x:c r="A2276" s="1"/>
      <x:c r="B2276" s="1"/>
      <x:c r="C2276" s="1"/>
      <x:c r="D2276" s="1"/>
      <x:c r="E2276" s="1"/>
      <x:c r="F2276" s="1"/>
      <x:c r="G2276" s="1"/>
      <x:c r="H2276" s="1"/>
      <x:c r="I2276" s="1"/>
      <x:c r="J2276" s="1"/>
      <x:c r="K2276" s="1"/>
      <x:c r="L2276" s="1"/>
      <x:c r="M2276" s="1"/>
      <x:c r="N2276" s="1"/>
      <x:c r="O2276" s="1"/>
    </x:row>
    <x:row r="2277">
      <x:c r="A2277" s="1"/>
      <x:c r="B2277" s="1"/>
      <x:c r="C2277" s="1"/>
      <x:c r="D2277" s="1"/>
      <x:c r="E2277" s="1"/>
      <x:c r="F2277" s="1"/>
      <x:c r="G2277" s="1"/>
      <x:c r="H2277" s="1"/>
      <x:c r="I2277" s="1"/>
      <x:c r="J2277" s="1"/>
      <x:c r="K2277" s="1"/>
      <x:c r="L2277" s="1"/>
      <x:c r="M2277" s="1"/>
      <x:c r="N2277" s="1"/>
      <x:c r="O2277" s="1"/>
    </x:row>
    <x:row r="2278">
      <x:c r="A2278" s="1"/>
      <x:c r="B2278" s="1"/>
      <x:c r="C2278" s="1"/>
      <x:c r="D2278" s="1"/>
      <x:c r="E2278" s="1"/>
      <x:c r="F2278" s="1"/>
      <x:c r="G2278" s="1"/>
      <x:c r="H2278" s="1"/>
      <x:c r="I2278" s="1"/>
      <x:c r="J2278" s="1"/>
      <x:c r="K2278" s="1"/>
      <x:c r="L2278" s="1"/>
      <x:c r="M2278" s="1"/>
      <x:c r="N2278" s="1"/>
      <x:c r="O2278" s="1"/>
    </x:row>
    <x:row r="2279">
      <x:c r="A2279" s="1"/>
      <x:c r="B2279" s="1"/>
      <x:c r="C2279" s="1"/>
      <x:c r="D2279" s="1"/>
      <x:c r="E2279" s="1"/>
      <x:c r="F2279" s="1"/>
      <x:c r="G2279" s="1"/>
      <x:c r="H2279" s="1"/>
      <x:c r="I2279" s="1"/>
      <x:c r="J2279" s="1"/>
      <x:c r="K2279" s="1"/>
      <x:c r="L2279" s="1"/>
      <x:c r="M2279" s="1"/>
      <x:c r="N2279" s="1"/>
      <x:c r="O2279" s="1"/>
    </x:row>
    <x:row r="2280">
      <x:c r="A2280" s="1"/>
      <x:c r="B2280" s="1"/>
      <x:c r="C2280" s="1"/>
      <x:c r="D2280" s="1"/>
      <x:c r="E2280" s="1"/>
      <x:c r="F2280" s="1"/>
      <x:c r="G2280" s="1"/>
      <x:c r="H2280" s="1"/>
      <x:c r="I2280" s="1"/>
      <x:c r="J2280" s="1"/>
      <x:c r="K2280" s="1"/>
      <x:c r="L2280" s="1"/>
      <x:c r="M2280" s="1"/>
      <x:c r="N2280" s="1"/>
      <x:c r="O2280" s="1"/>
    </x:row>
    <x:row r="2281">
      <x:c r="A2281" s="1"/>
      <x:c r="B2281" s="1"/>
      <x:c r="C2281" s="1"/>
      <x:c r="D2281" s="1"/>
      <x:c r="E2281" s="1"/>
      <x:c r="F2281" s="1"/>
      <x:c r="G2281" s="1"/>
      <x:c r="H2281" s="1"/>
      <x:c r="I2281" s="1"/>
      <x:c r="J2281" s="1"/>
      <x:c r="K2281" s="1"/>
      <x:c r="L2281" s="1"/>
      <x:c r="M2281" s="1"/>
      <x:c r="N2281" s="1"/>
      <x:c r="O2281" s="1"/>
    </x:row>
    <x:row r="2282">
      <x:c r="A2282" s="1"/>
      <x:c r="B2282" s="1"/>
      <x:c r="C2282" s="1"/>
      <x:c r="D2282" s="1"/>
      <x:c r="E2282" s="1"/>
      <x:c r="F2282" s="1"/>
      <x:c r="G2282" s="1"/>
      <x:c r="H2282" s="1"/>
      <x:c r="I2282" s="1"/>
      <x:c r="J2282" s="1"/>
      <x:c r="K2282" s="1"/>
      <x:c r="L2282" s="1"/>
      <x:c r="M2282" s="1"/>
      <x:c r="N2282" s="1"/>
      <x:c r="O2282" s="1"/>
    </x:row>
    <x:row r="2283">
      <x:c r="A2283" s="1"/>
      <x:c r="B2283" s="1"/>
      <x:c r="C2283" s="1"/>
      <x:c r="D2283" s="1"/>
      <x:c r="E2283" s="1"/>
      <x:c r="F2283" s="1"/>
      <x:c r="G2283" s="1"/>
      <x:c r="H2283" s="1"/>
      <x:c r="I2283" s="1"/>
      <x:c r="J2283" s="1"/>
      <x:c r="K2283" s="1"/>
      <x:c r="L2283" s="1"/>
      <x:c r="M2283" s="1"/>
      <x:c r="N2283" s="1"/>
      <x:c r="O2283" s="1"/>
    </x:row>
    <x:row r="2284">
      <x:c r="A2284" s="1"/>
      <x:c r="B2284" s="1"/>
      <x:c r="C2284" s="1"/>
      <x:c r="D2284" s="1"/>
      <x:c r="E2284" s="1"/>
      <x:c r="F2284" s="1"/>
      <x:c r="G2284" s="1"/>
      <x:c r="H2284" s="1"/>
      <x:c r="I2284" s="1"/>
      <x:c r="J2284" s="1"/>
      <x:c r="K2284" s="1"/>
      <x:c r="L2284" s="1"/>
      <x:c r="M2284" s="1"/>
      <x:c r="N2284" s="1"/>
      <x:c r="O2284" s="1"/>
    </x:row>
    <x:row r="2285">
      <x:c r="A2285" s="1"/>
      <x:c r="B2285" s="1"/>
      <x:c r="C2285" s="1"/>
      <x:c r="D2285" s="1"/>
      <x:c r="E2285" s="1"/>
      <x:c r="F2285" s="1"/>
      <x:c r="G2285" s="1"/>
      <x:c r="H2285" s="1"/>
      <x:c r="I2285" s="1"/>
      <x:c r="J2285" s="1"/>
      <x:c r="K2285" s="1"/>
      <x:c r="L2285" s="1"/>
      <x:c r="M2285" s="1"/>
      <x:c r="N2285" s="1"/>
      <x:c r="O2285" s="1"/>
    </x:row>
    <x:row r="2286">
      <x:c r="A2286" s="1"/>
      <x:c r="B2286" s="1"/>
      <x:c r="C2286" s="1"/>
      <x:c r="D2286" s="1"/>
      <x:c r="E2286" s="1"/>
      <x:c r="F2286" s="1"/>
      <x:c r="G2286" s="1"/>
      <x:c r="H2286" s="1"/>
      <x:c r="I2286" s="1"/>
      <x:c r="J2286" s="1"/>
      <x:c r="K2286" s="1"/>
      <x:c r="L2286" s="1"/>
      <x:c r="M2286" s="1"/>
      <x:c r="N2286" s="1"/>
      <x:c r="O2286" s="1"/>
    </x:row>
    <x:row r="2287">
      <x:c r="A2287" s="1"/>
      <x:c r="B2287" s="1"/>
      <x:c r="C2287" s="1"/>
      <x:c r="D2287" s="1"/>
      <x:c r="E2287" s="1"/>
      <x:c r="F2287" s="1"/>
      <x:c r="G2287" s="1"/>
      <x:c r="H2287" s="1"/>
      <x:c r="I2287" s="1"/>
      <x:c r="J2287" s="1"/>
      <x:c r="K2287" s="1"/>
      <x:c r="L2287" s="1"/>
      <x:c r="M2287" s="1"/>
      <x:c r="N2287" s="1"/>
      <x:c r="O2287" s="1"/>
    </x:row>
    <x:row r="2288">
      <x:c r="A2288" s="1"/>
      <x:c r="B2288" s="1"/>
      <x:c r="C2288" s="1"/>
      <x:c r="D2288" s="1"/>
      <x:c r="E2288" s="1"/>
      <x:c r="F2288" s="1"/>
      <x:c r="G2288" s="1"/>
      <x:c r="H2288" s="1"/>
      <x:c r="I2288" s="1"/>
      <x:c r="J2288" s="1"/>
      <x:c r="K2288" s="1"/>
      <x:c r="L2288" s="1"/>
      <x:c r="M2288" s="1"/>
      <x:c r="N2288" s="1"/>
      <x:c r="O2288" s="1"/>
    </x:row>
    <x:row r="2289">
      <x:c r="A2289" s="1"/>
      <x:c r="B2289" s="1"/>
      <x:c r="C2289" s="1"/>
      <x:c r="D2289" s="1"/>
      <x:c r="E2289" s="1"/>
      <x:c r="F2289" s="1"/>
      <x:c r="G2289" s="1"/>
      <x:c r="H2289" s="1"/>
      <x:c r="I2289" s="1"/>
      <x:c r="J2289" s="1"/>
      <x:c r="K2289" s="1"/>
      <x:c r="L2289" s="1"/>
      <x:c r="M2289" s="1"/>
      <x:c r="N2289" s="1"/>
      <x:c r="O2289" s="1"/>
    </x:row>
    <x:row r="2290">
      <x:c r="A2290" s="1"/>
      <x:c r="B2290" s="1"/>
      <x:c r="C2290" s="1"/>
      <x:c r="D2290" s="1"/>
      <x:c r="E2290" s="1"/>
      <x:c r="F2290" s="1"/>
      <x:c r="G2290" s="1"/>
      <x:c r="H2290" s="1"/>
      <x:c r="I2290" s="1"/>
      <x:c r="J2290" s="1"/>
      <x:c r="K2290" s="1"/>
      <x:c r="L2290" s="1"/>
      <x:c r="M2290" s="1"/>
      <x:c r="N2290" s="1"/>
      <x:c r="O2290" s="1"/>
    </x:row>
    <x:row r="2291">
      <x:c r="A2291" s="1"/>
      <x:c r="B2291" s="1"/>
      <x:c r="C2291" s="1"/>
      <x:c r="D2291" s="1"/>
      <x:c r="E2291" s="1"/>
      <x:c r="F2291" s="1"/>
      <x:c r="G2291" s="1"/>
      <x:c r="H2291" s="1"/>
      <x:c r="I2291" s="1"/>
      <x:c r="J2291" s="1"/>
      <x:c r="K2291" s="1"/>
      <x:c r="L2291" s="1"/>
      <x:c r="M2291" s="1"/>
      <x:c r="N2291" s="1"/>
      <x:c r="O2291" s="1"/>
    </x:row>
    <x:row r="2292">
      <x:c r="A2292" s="1"/>
      <x:c r="B2292" s="1"/>
      <x:c r="C2292" s="1"/>
      <x:c r="D2292" s="1"/>
      <x:c r="E2292" s="1"/>
      <x:c r="F2292" s="1"/>
      <x:c r="G2292" s="1"/>
      <x:c r="H2292" s="1"/>
      <x:c r="I2292" s="1"/>
      <x:c r="J2292" s="1"/>
      <x:c r="K2292" s="1"/>
      <x:c r="L2292" s="1"/>
      <x:c r="M2292" s="1"/>
      <x:c r="N2292" s="1"/>
      <x:c r="O2292" s="1"/>
    </x:row>
    <x:row r="2293">
      <x:c r="A2293" s="1"/>
      <x:c r="B2293" s="1"/>
      <x:c r="C2293" s="1"/>
      <x:c r="D2293" s="1"/>
      <x:c r="E2293" s="1"/>
      <x:c r="F2293" s="1"/>
      <x:c r="G2293" s="1"/>
      <x:c r="H2293" s="1"/>
      <x:c r="I2293" s="1"/>
      <x:c r="J2293" s="1"/>
      <x:c r="K2293" s="1"/>
      <x:c r="L2293" s="1"/>
      <x:c r="M2293" s="1"/>
      <x:c r="N2293" s="1"/>
      <x:c r="O2293" s="1"/>
    </x:row>
    <x:row r="2294">
      <x:c r="A2294" s="1"/>
      <x:c r="B2294" s="1"/>
      <x:c r="C2294" s="1"/>
      <x:c r="D2294" s="1"/>
      <x:c r="E2294" s="1"/>
      <x:c r="F2294" s="1"/>
      <x:c r="G2294" s="1"/>
      <x:c r="H2294" s="1"/>
      <x:c r="I2294" s="1"/>
      <x:c r="J2294" s="1"/>
      <x:c r="K2294" s="1"/>
      <x:c r="L2294" s="1"/>
      <x:c r="M2294" s="1"/>
      <x:c r="N2294" s="1"/>
      <x:c r="O2294" s="1"/>
    </x:row>
    <x:row r="2295">
      <x:c r="A2295" s="1"/>
      <x:c r="B2295" s="1"/>
      <x:c r="C2295" s="1"/>
      <x:c r="D2295" s="1"/>
      <x:c r="E2295" s="1"/>
      <x:c r="F2295" s="1"/>
      <x:c r="G2295" s="1"/>
      <x:c r="H2295" s="1"/>
      <x:c r="I2295" s="1"/>
      <x:c r="J2295" s="1"/>
      <x:c r="K2295" s="1"/>
      <x:c r="L2295" s="1"/>
      <x:c r="M2295" s="1"/>
      <x:c r="N2295" s="1"/>
      <x:c r="O2295" s="1"/>
    </x:row>
    <x:row r="2296">
      <x:c r="A2296" s="1"/>
      <x:c r="B2296" s="1"/>
      <x:c r="C2296" s="1"/>
      <x:c r="D2296" s="1"/>
      <x:c r="E2296" s="1"/>
      <x:c r="F2296" s="1"/>
      <x:c r="G2296" s="1"/>
      <x:c r="H2296" s="1"/>
      <x:c r="I2296" s="1"/>
      <x:c r="J2296" s="1"/>
      <x:c r="K2296" s="1"/>
      <x:c r="L2296" s="1"/>
      <x:c r="M2296" s="1"/>
      <x:c r="N2296" s="1"/>
      <x:c r="O2296" s="1"/>
    </x:row>
    <x:row r="2297">
      <x:c r="A2297" s="1"/>
      <x:c r="B2297" s="1"/>
      <x:c r="C2297" s="1"/>
      <x:c r="D2297" s="1"/>
      <x:c r="E2297" s="1"/>
      <x:c r="F2297" s="1"/>
      <x:c r="G2297" s="1"/>
      <x:c r="H2297" s="1"/>
      <x:c r="I2297" s="1"/>
      <x:c r="J2297" s="1"/>
      <x:c r="K2297" s="1"/>
      <x:c r="L2297" s="1"/>
      <x:c r="M2297" s="1"/>
      <x:c r="N2297" s="1"/>
      <x:c r="O2297" s="1"/>
    </x:row>
    <x:row r="2298">
      <x:c r="A2298" s="1"/>
      <x:c r="B2298" s="1"/>
      <x:c r="C2298" s="1"/>
      <x:c r="D2298" s="1"/>
      <x:c r="E2298" s="1"/>
      <x:c r="F2298" s="1"/>
      <x:c r="G2298" s="1"/>
      <x:c r="H2298" s="1"/>
      <x:c r="I2298" s="1"/>
      <x:c r="J2298" s="1"/>
      <x:c r="K2298" s="1"/>
      <x:c r="L2298" s="1"/>
      <x:c r="M2298" s="1"/>
      <x:c r="N2298" s="1"/>
      <x:c r="O2298" s="1"/>
    </x:row>
    <x:row r="2299">
      <x:c r="A2299" s="1"/>
      <x:c r="B2299" s="1"/>
      <x:c r="C2299" s="1"/>
      <x:c r="D2299" s="1"/>
      <x:c r="E2299" s="1"/>
      <x:c r="F2299" s="1"/>
      <x:c r="G2299" s="1"/>
      <x:c r="H2299" s="1"/>
      <x:c r="I2299" s="1"/>
      <x:c r="J2299" s="1"/>
      <x:c r="K2299" s="1"/>
      <x:c r="L2299" s="1"/>
      <x:c r="M2299" s="1"/>
      <x:c r="N2299" s="1"/>
      <x:c r="O2299" s="1"/>
    </x:row>
    <x:row r="2300">
      <x:c r="A2300" s="1"/>
      <x:c r="B2300" s="1"/>
      <x:c r="C2300" s="1"/>
      <x:c r="D2300" s="1"/>
      <x:c r="E2300" s="1"/>
      <x:c r="F2300" s="1"/>
      <x:c r="G2300" s="1"/>
      <x:c r="H2300" s="1"/>
      <x:c r="I2300" s="1"/>
      <x:c r="J2300" s="1"/>
      <x:c r="K2300" s="1"/>
      <x:c r="L2300" s="1"/>
      <x:c r="M2300" s="1"/>
      <x:c r="N2300" s="1"/>
      <x:c r="O2300" s="1"/>
    </x:row>
    <x:row r="2301">
      <x:c r="A2301" s="1"/>
      <x:c r="B2301" s="1"/>
      <x:c r="C2301" s="1"/>
      <x:c r="D2301" s="1"/>
      <x:c r="E2301" s="1"/>
      <x:c r="F2301" s="1"/>
      <x:c r="G2301" s="1"/>
      <x:c r="H2301" s="1"/>
      <x:c r="I2301" s="1"/>
      <x:c r="J2301" s="1"/>
      <x:c r="K2301" s="1"/>
      <x:c r="L2301" s="1"/>
      <x:c r="M2301" s="1"/>
      <x:c r="N2301" s="1"/>
      <x:c r="O2301" s="1"/>
    </x:row>
    <x:row r="2302">
      <x:c r="A2302" s="1"/>
      <x:c r="B2302" s="1"/>
      <x:c r="C2302" s="1"/>
      <x:c r="D2302" s="1"/>
      <x:c r="E2302" s="1"/>
      <x:c r="F2302" s="1"/>
      <x:c r="G2302" s="1"/>
      <x:c r="H2302" s="1"/>
      <x:c r="I2302" s="1"/>
      <x:c r="J2302" s="1"/>
      <x:c r="K2302" s="1"/>
      <x:c r="L2302" s="1"/>
      <x:c r="M2302" s="1"/>
      <x:c r="N2302" s="1"/>
      <x:c r="O2302" s="1"/>
    </x:row>
    <x:row r="2303">
      <x:c r="A2303" s="1"/>
      <x:c r="B2303" s="1"/>
      <x:c r="C2303" s="1"/>
      <x:c r="D2303" s="1"/>
      <x:c r="E2303" s="1"/>
      <x:c r="F2303" s="1"/>
      <x:c r="G2303" s="1"/>
      <x:c r="H2303" s="1"/>
      <x:c r="I2303" s="1"/>
      <x:c r="J2303" s="1"/>
      <x:c r="K2303" s="1"/>
      <x:c r="L2303" s="1"/>
      <x:c r="M2303" s="1"/>
      <x:c r="N2303" s="1"/>
      <x:c r="O2303" s="1"/>
    </x:row>
    <x:row r="2304">
      <x:c r="A2304" s="1"/>
      <x:c r="B2304" s="1"/>
      <x:c r="C2304" s="1"/>
      <x:c r="D2304" s="1"/>
      <x:c r="E2304" s="1"/>
      <x:c r="F2304" s="1"/>
      <x:c r="G2304" s="1"/>
      <x:c r="H2304" s="1"/>
      <x:c r="I2304" s="1"/>
      <x:c r="J2304" s="1"/>
      <x:c r="K2304" s="1"/>
      <x:c r="L2304" s="1"/>
      <x:c r="M2304" s="1"/>
      <x:c r="N2304" s="1"/>
      <x:c r="O2304" s="1"/>
    </x:row>
    <x:row r="2305">
      <x:c r="A2305" s="1"/>
      <x:c r="B2305" s="1"/>
      <x:c r="C2305" s="1"/>
      <x:c r="D2305" s="1"/>
      <x:c r="E2305" s="1"/>
      <x:c r="F2305" s="1"/>
      <x:c r="G2305" s="1"/>
      <x:c r="H2305" s="1"/>
      <x:c r="I2305" s="1"/>
      <x:c r="J2305" s="1"/>
      <x:c r="K2305" s="1"/>
      <x:c r="L2305" s="1"/>
      <x:c r="M2305" s="1"/>
      <x:c r="N2305" s="1"/>
      <x:c r="O2305" s="1"/>
    </x:row>
    <x:row r="2306">
      <x:c r="A2306" s="1"/>
      <x:c r="B2306" s="1"/>
      <x:c r="C2306" s="1"/>
      <x:c r="D2306" s="1"/>
      <x:c r="E2306" s="1"/>
      <x:c r="F2306" s="1"/>
      <x:c r="G2306" s="1"/>
      <x:c r="H2306" s="1"/>
      <x:c r="I2306" s="1"/>
      <x:c r="J2306" s="1"/>
      <x:c r="K2306" s="1"/>
      <x:c r="L2306" s="1"/>
      <x:c r="M2306" s="1"/>
      <x:c r="N2306" s="1"/>
      <x:c r="O2306" s="1"/>
    </x:row>
    <x:row r="2307">
      <x:c r="A2307" s="1"/>
      <x:c r="B2307" s="1"/>
      <x:c r="C2307" s="1"/>
      <x:c r="D2307" s="1"/>
      <x:c r="E2307" s="1"/>
      <x:c r="F2307" s="1"/>
      <x:c r="G2307" s="1"/>
      <x:c r="H2307" s="1"/>
      <x:c r="I2307" s="1"/>
      <x:c r="J2307" s="1"/>
      <x:c r="K2307" s="1"/>
      <x:c r="L2307" s="1"/>
      <x:c r="M2307" s="1"/>
      <x:c r="N2307" s="1"/>
      <x:c r="O2307" s="1"/>
    </x:row>
    <x:row r="2308">
      <x:c r="A2308" s="1"/>
      <x:c r="B2308" s="1"/>
      <x:c r="C2308" s="1"/>
      <x:c r="D2308" s="1"/>
      <x:c r="E2308" s="1"/>
      <x:c r="F2308" s="1"/>
      <x:c r="G2308" s="1"/>
      <x:c r="H2308" s="1"/>
      <x:c r="I2308" s="1"/>
      <x:c r="J2308" s="1"/>
      <x:c r="K2308" s="1"/>
      <x:c r="L2308" s="1"/>
      <x:c r="M2308" s="1"/>
      <x:c r="N2308" s="1"/>
      <x:c r="O2308" s="1"/>
    </x:row>
    <x:row r="2309">
      <x:c r="A2309" s="1"/>
      <x:c r="B2309" s="1"/>
      <x:c r="C2309" s="1"/>
      <x:c r="D2309" s="1"/>
      <x:c r="E2309" s="1"/>
      <x:c r="F2309" s="1"/>
      <x:c r="G2309" s="1"/>
      <x:c r="H2309" s="1"/>
      <x:c r="I2309" s="1"/>
      <x:c r="J2309" s="1"/>
      <x:c r="K2309" s="1"/>
      <x:c r="L2309" s="1"/>
      <x:c r="M2309" s="1"/>
      <x:c r="N2309" s="1"/>
      <x:c r="O2309" s="1"/>
    </x:row>
    <x:row r="2310">
      <x:c r="A2310" s="1"/>
      <x:c r="B2310" s="1"/>
      <x:c r="C2310" s="1"/>
      <x:c r="D2310" s="1"/>
      <x:c r="E2310" s="1"/>
      <x:c r="F2310" s="1"/>
      <x:c r="G2310" s="1"/>
      <x:c r="H2310" s="1"/>
      <x:c r="I2310" s="1"/>
      <x:c r="J2310" s="1"/>
      <x:c r="K2310" s="1"/>
      <x:c r="L2310" s="1"/>
      <x:c r="M2310" s="1"/>
      <x:c r="N2310" s="1"/>
      <x:c r="O2310" s="1"/>
    </x:row>
    <x:row r="2311">
      <x:c r="A2311" s="1"/>
      <x:c r="B2311" s="1"/>
      <x:c r="C2311" s="1"/>
      <x:c r="D2311" s="1"/>
      <x:c r="E2311" s="1"/>
      <x:c r="F2311" s="1"/>
      <x:c r="G2311" s="1"/>
      <x:c r="H2311" s="1"/>
      <x:c r="I2311" s="1"/>
      <x:c r="J2311" s="1"/>
      <x:c r="K2311" s="1"/>
      <x:c r="L2311" s="1"/>
      <x:c r="M2311" s="1"/>
      <x:c r="N2311" s="1"/>
      <x:c r="O2311" s="1"/>
    </x:row>
    <x:row r="2312">
      <x:c r="A2312" s="1"/>
      <x:c r="B2312" s="1"/>
      <x:c r="C2312" s="1"/>
      <x:c r="D2312" s="1"/>
      <x:c r="E2312" s="1"/>
      <x:c r="F2312" s="1"/>
      <x:c r="G2312" s="1"/>
      <x:c r="H2312" s="1"/>
      <x:c r="I2312" s="1"/>
      <x:c r="J2312" s="1"/>
      <x:c r="K2312" s="1"/>
      <x:c r="L2312" s="1"/>
      <x:c r="M2312" s="1"/>
      <x:c r="N2312" s="1"/>
      <x:c r="O2312" s="1"/>
    </x:row>
    <x:row r="2313">
      <x:c r="A2313" s="1"/>
      <x:c r="B2313" s="1"/>
      <x:c r="C2313" s="1"/>
      <x:c r="D2313" s="1"/>
      <x:c r="E2313" s="1"/>
      <x:c r="F2313" s="1"/>
      <x:c r="G2313" s="1"/>
      <x:c r="H2313" s="1"/>
      <x:c r="I2313" s="1"/>
      <x:c r="J2313" s="1"/>
      <x:c r="K2313" s="1"/>
      <x:c r="L2313" s="1"/>
      <x:c r="M2313" s="1"/>
      <x:c r="N2313" s="1"/>
      <x:c r="O2313" s="1"/>
    </x:row>
    <x:row r="2314">
      <x:c r="A2314" s="1"/>
      <x:c r="B2314" s="1"/>
      <x:c r="C2314" s="1"/>
      <x:c r="D2314" s="1"/>
      <x:c r="E2314" s="1"/>
      <x:c r="F2314" s="1"/>
      <x:c r="G2314" s="1"/>
      <x:c r="H2314" s="1"/>
      <x:c r="I2314" s="1"/>
      <x:c r="J2314" s="1"/>
      <x:c r="K2314" s="1"/>
      <x:c r="L2314" s="1"/>
      <x:c r="M2314" s="1"/>
      <x:c r="N2314" s="1"/>
      <x:c r="O2314" s="1"/>
    </x:row>
    <x:row r="2315">
      <x:c r="A2315" s="1"/>
      <x:c r="B2315" s="1"/>
      <x:c r="C2315" s="1"/>
      <x:c r="D2315" s="1"/>
      <x:c r="E2315" s="1"/>
      <x:c r="F2315" s="1"/>
      <x:c r="G2315" s="1"/>
      <x:c r="H2315" s="1"/>
      <x:c r="I2315" s="1"/>
      <x:c r="J2315" s="1"/>
      <x:c r="K2315" s="1"/>
      <x:c r="L2315" s="1"/>
      <x:c r="M2315" s="1"/>
      <x:c r="N2315" s="1"/>
      <x:c r="O2315" s="1"/>
    </x:row>
    <x:row r="2316">
      <x:c r="A2316" s="1"/>
      <x:c r="B2316" s="1"/>
      <x:c r="C2316" s="1"/>
      <x:c r="D2316" s="1"/>
      <x:c r="E2316" s="1"/>
      <x:c r="F2316" s="1"/>
      <x:c r="G2316" s="1"/>
      <x:c r="H2316" s="1"/>
      <x:c r="I2316" s="1"/>
      <x:c r="J2316" s="1"/>
      <x:c r="K2316" s="1"/>
      <x:c r="L2316" s="1"/>
      <x:c r="M2316" s="1"/>
      <x:c r="N2316" s="1"/>
      <x:c r="O2316" s="1"/>
    </x:row>
    <x:row r="2317">
      <x:c r="A2317" s="1"/>
      <x:c r="B2317" s="1"/>
      <x:c r="C2317" s="1"/>
      <x:c r="D2317" s="1"/>
      <x:c r="E2317" s="1"/>
      <x:c r="F2317" s="1"/>
      <x:c r="G2317" s="1"/>
      <x:c r="H2317" s="1"/>
      <x:c r="I2317" s="1"/>
      <x:c r="J2317" s="1"/>
      <x:c r="K2317" s="1"/>
      <x:c r="L2317" s="1"/>
      <x:c r="M2317" s="1"/>
      <x:c r="N2317" s="1"/>
      <x:c r="O2317" s="1"/>
    </x:row>
    <x:row r="2318">
      <x:c r="A2318" s="1"/>
      <x:c r="B2318" s="1"/>
      <x:c r="C2318" s="1"/>
      <x:c r="D2318" s="1"/>
      <x:c r="E2318" s="1"/>
      <x:c r="F2318" s="1"/>
      <x:c r="G2318" s="1"/>
      <x:c r="H2318" s="1"/>
      <x:c r="I2318" s="1"/>
      <x:c r="J2318" s="1"/>
      <x:c r="K2318" s="1"/>
      <x:c r="L2318" s="1"/>
      <x:c r="M2318" s="1"/>
      <x:c r="N2318" s="1"/>
      <x:c r="O2318" s="1"/>
    </x:row>
    <x:row r="2319">
      <x:c r="A2319" s="1"/>
      <x:c r="B2319" s="1"/>
      <x:c r="C2319" s="1"/>
      <x:c r="D2319" s="1"/>
      <x:c r="E2319" s="1"/>
      <x:c r="F2319" s="1"/>
      <x:c r="G2319" s="1"/>
      <x:c r="H2319" s="1"/>
      <x:c r="I2319" s="1"/>
      <x:c r="J2319" s="1"/>
      <x:c r="K2319" s="1"/>
      <x:c r="L2319" s="1"/>
      <x:c r="M2319" s="1"/>
      <x:c r="N2319" s="1"/>
      <x:c r="O2319" s="1"/>
    </x:row>
    <x:row r="2320">
      <x:c r="A2320" s="1"/>
      <x:c r="B2320" s="1"/>
      <x:c r="C2320" s="1"/>
      <x:c r="D2320" s="1"/>
      <x:c r="E2320" s="1"/>
      <x:c r="F2320" s="1"/>
      <x:c r="G2320" s="1"/>
      <x:c r="H2320" s="1"/>
      <x:c r="I2320" s="1"/>
      <x:c r="J2320" s="1"/>
      <x:c r="K2320" s="1"/>
      <x:c r="L2320" s="1"/>
      <x:c r="M2320" s="1"/>
      <x:c r="N2320" s="1"/>
      <x:c r="O2320" s="1"/>
    </x:row>
    <x:row r="2321">
      <x:c r="A2321" s="1"/>
      <x:c r="B2321" s="1"/>
      <x:c r="C2321" s="1"/>
      <x:c r="D2321" s="1"/>
      <x:c r="E2321" s="1"/>
      <x:c r="F2321" s="1"/>
      <x:c r="G2321" s="1"/>
      <x:c r="H2321" s="1"/>
      <x:c r="I2321" s="1"/>
      <x:c r="J2321" s="1"/>
      <x:c r="K2321" s="1"/>
      <x:c r="L2321" s="1"/>
      <x:c r="M2321" s="1"/>
      <x:c r="N2321" s="1"/>
      <x:c r="O2321" s="1"/>
    </x:row>
    <x:row r="2322">
      <x:c r="A2322" s="1"/>
      <x:c r="B2322" s="1"/>
      <x:c r="C2322" s="1"/>
      <x:c r="D2322" s="1"/>
      <x:c r="E2322" s="1"/>
      <x:c r="F2322" s="1"/>
      <x:c r="G2322" s="1"/>
      <x:c r="H2322" s="1"/>
      <x:c r="I2322" s="1"/>
      <x:c r="J2322" s="1"/>
      <x:c r="K2322" s="1"/>
      <x:c r="L2322" s="1"/>
      <x:c r="M2322" s="1"/>
      <x:c r="N2322" s="1"/>
      <x:c r="O2322" s="1"/>
    </x:row>
    <x:row r="2323">
      <x:c r="A2323" s="1"/>
      <x:c r="B2323" s="1"/>
      <x:c r="C2323" s="1"/>
      <x:c r="D2323" s="1"/>
      <x:c r="E2323" s="1"/>
      <x:c r="F2323" s="1"/>
      <x:c r="G2323" s="1"/>
      <x:c r="H2323" s="1"/>
      <x:c r="I2323" s="1"/>
      <x:c r="J2323" s="1"/>
      <x:c r="K2323" s="1"/>
      <x:c r="L2323" s="1"/>
      <x:c r="M2323" s="1"/>
      <x:c r="N2323" s="1"/>
      <x:c r="O2323" s="1"/>
    </x:row>
    <x:row r="2324">
      <x:c r="A2324" s="1"/>
      <x:c r="B2324" s="1"/>
      <x:c r="C2324" s="1"/>
      <x:c r="D2324" s="1"/>
      <x:c r="E2324" s="1"/>
      <x:c r="F2324" s="1"/>
      <x:c r="G2324" s="1"/>
      <x:c r="H2324" s="1"/>
      <x:c r="I2324" s="1"/>
      <x:c r="J2324" s="1"/>
      <x:c r="K2324" s="1"/>
      <x:c r="L2324" s="1"/>
      <x:c r="M2324" s="1"/>
      <x:c r="N2324" s="1"/>
      <x:c r="O2324" s="1"/>
    </x:row>
    <x:row r="2325">
      <x:c r="A2325" s="1"/>
      <x:c r="B2325" s="1"/>
      <x:c r="C2325" s="1"/>
      <x:c r="D2325" s="1"/>
      <x:c r="E2325" s="1"/>
      <x:c r="F2325" s="1"/>
      <x:c r="G2325" s="1"/>
      <x:c r="H2325" s="1"/>
      <x:c r="I2325" s="1"/>
      <x:c r="J2325" s="1"/>
      <x:c r="K2325" s="1"/>
      <x:c r="L2325" s="1"/>
      <x:c r="M2325" s="1"/>
      <x:c r="N2325" s="1"/>
      <x:c r="O2325" s="1"/>
    </x:row>
    <x:row r="2326">
      <x:c r="A2326" s="1"/>
      <x:c r="B2326" s="1"/>
      <x:c r="C2326" s="1"/>
      <x:c r="D2326" s="1"/>
      <x:c r="E2326" s="1"/>
      <x:c r="F2326" s="1"/>
      <x:c r="G2326" s="1"/>
      <x:c r="H2326" s="1"/>
      <x:c r="I2326" s="1"/>
      <x:c r="J2326" s="1"/>
      <x:c r="K2326" s="1"/>
      <x:c r="L2326" s="1"/>
      <x:c r="M2326" s="1"/>
      <x:c r="N2326" s="1"/>
      <x:c r="O2326" s="1"/>
    </x:row>
    <x:row r="2327">
      <x:c r="A2327" s="1"/>
      <x:c r="B2327" s="1"/>
      <x:c r="C2327" s="1"/>
      <x:c r="D2327" s="1"/>
      <x:c r="E2327" s="1"/>
      <x:c r="F2327" s="1"/>
      <x:c r="G2327" s="1"/>
      <x:c r="H2327" s="1"/>
      <x:c r="I2327" s="1"/>
      <x:c r="J2327" s="1"/>
      <x:c r="K2327" s="1"/>
      <x:c r="L2327" s="1"/>
      <x:c r="M2327" s="1"/>
      <x:c r="N2327" s="1"/>
      <x:c r="O2327" s="1"/>
    </x:row>
    <x:row r="2328">
      <x:c r="A2328" s="1"/>
      <x:c r="B2328" s="1"/>
      <x:c r="C2328" s="1"/>
      <x:c r="D2328" s="1"/>
      <x:c r="E2328" s="1"/>
      <x:c r="F2328" s="1"/>
      <x:c r="G2328" s="1"/>
      <x:c r="H2328" s="1"/>
      <x:c r="I2328" s="1"/>
      <x:c r="J2328" s="1"/>
      <x:c r="K2328" s="1"/>
      <x:c r="L2328" s="1"/>
      <x:c r="M2328" s="1"/>
      <x:c r="N2328" s="1"/>
      <x:c r="O2328" s="1"/>
    </x:row>
    <x:row r="2329">
      <x:c r="A2329" s="1"/>
      <x:c r="B2329" s="1"/>
      <x:c r="C2329" s="1"/>
      <x:c r="D2329" s="1"/>
      <x:c r="E2329" s="1"/>
      <x:c r="F2329" s="1"/>
      <x:c r="G2329" s="1"/>
      <x:c r="H2329" s="1"/>
      <x:c r="I2329" s="1"/>
      <x:c r="J2329" s="1"/>
      <x:c r="K2329" s="1"/>
      <x:c r="L2329" s="1"/>
      <x:c r="M2329" s="1"/>
      <x:c r="N2329" s="1"/>
      <x:c r="O2329" s="1"/>
    </x:row>
    <x:row r="2330">
      <x:c r="A2330" s="1"/>
      <x:c r="B2330" s="1"/>
      <x:c r="C2330" s="1"/>
      <x:c r="D2330" s="1"/>
      <x:c r="E2330" s="1"/>
      <x:c r="F2330" s="1"/>
      <x:c r="G2330" s="1"/>
      <x:c r="H2330" s="1"/>
      <x:c r="I2330" s="1"/>
      <x:c r="J2330" s="1"/>
      <x:c r="K2330" s="1"/>
      <x:c r="L2330" s="1"/>
      <x:c r="M2330" s="1"/>
      <x:c r="N2330" s="1"/>
      <x:c r="O2330" s="1"/>
    </x:row>
    <x:row r="2331">
      <x:c r="A2331" s="1"/>
      <x:c r="B2331" s="1"/>
      <x:c r="C2331" s="1"/>
      <x:c r="D2331" s="1"/>
      <x:c r="E2331" s="1"/>
      <x:c r="F2331" s="1"/>
      <x:c r="G2331" s="1"/>
      <x:c r="H2331" s="1"/>
      <x:c r="I2331" s="1"/>
      <x:c r="J2331" s="1"/>
      <x:c r="K2331" s="1"/>
      <x:c r="L2331" s="1"/>
      <x:c r="M2331" s="1"/>
      <x:c r="N2331" s="1"/>
      <x:c r="O2331" s="1"/>
    </x:row>
    <x:row r="2332">
      <x:c r="A2332" s="1"/>
      <x:c r="B2332" s="1"/>
      <x:c r="C2332" s="1"/>
      <x:c r="D2332" s="1"/>
      <x:c r="E2332" s="1"/>
      <x:c r="F2332" s="1"/>
      <x:c r="G2332" s="1"/>
      <x:c r="H2332" s="1"/>
      <x:c r="I2332" s="1"/>
      <x:c r="J2332" s="1"/>
      <x:c r="K2332" s="1"/>
      <x:c r="L2332" s="1"/>
      <x:c r="M2332" s="1"/>
      <x:c r="N2332" s="1"/>
      <x:c r="O2332" s="1"/>
    </x:row>
    <x:row r="2333">
      <x:c r="A2333" s="1"/>
      <x:c r="B2333" s="1"/>
      <x:c r="C2333" s="1"/>
      <x:c r="D2333" s="1"/>
      <x:c r="E2333" s="1"/>
      <x:c r="F2333" s="1"/>
      <x:c r="G2333" s="1"/>
      <x:c r="H2333" s="1"/>
      <x:c r="I2333" s="1"/>
      <x:c r="J2333" s="1"/>
      <x:c r="K2333" s="1"/>
      <x:c r="L2333" s="1"/>
      <x:c r="M2333" s="1"/>
      <x:c r="N2333" s="1"/>
      <x:c r="O2333" s="1"/>
    </x:row>
    <x:row r="2334">
      <x:c r="A2334" s="1"/>
      <x:c r="B2334" s="1"/>
      <x:c r="C2334" s="1"/>
      <x:c r="D2334" s="1"/>
      <x:c r="E2334" s="1"/>
      <x:c r="F2334" s="1"/>
      <x:c r="G2334" s="1"/>
      <x:c r="H2334" s="1"/>
      <x:c r="I2334" s="1"/>
      <x:c r="J2334" s="1"/>
      <x:c r="K2334" s="1"/>
      <x:c r="L2334" s="1"/>
      <x:c r="M2334" s="1"/>
      <x:c r="N2334" s="1"/>
      <x:c r="O2334" s="1"/>
    </x:row>
    <x:row r="2335">
      <x:c r="A2335" s="1"/>
      <x:c r="B2335" s="1"/>
      <x:c r="C2335" s="1"/>
      <x:c r="D2335" s="1"/>
      <x:c r="E2335" s="1"/>
      <x:c r="F2335" s="1"/>
      <x:c r="G2335" s="1"/>
      <x:c r="H2335" s="1"/>
      <x:c r="I2335" s="1"/>
      <x:c r="J2335" s="1"/>
      <x:c r="K2335" s="1"/>
      <x:c r="L2335" s="1"/>
      <x:c r="M2335" s="1"/>
      <x:c r="N2335" s="1"/>
      <x:c r="O2335" s="1"/>
    </x:row>
    <x:row r="2336">
      <x:c r="A2336" s="1"/>
      <x:c r="B2336" s="1"/>
      <x:c r="C2336" s="1"/>
      <x:c r="D2336" s="1"/>
      <x:c r="E2336" s="1"/>
      <x:c r="F2336" s="1"/>
      <x:c r="G2336" s="1"/>
      <x:c r="H2336" s="1"/>
      <x:c r="I2336" s="1"/>
      <x:c r="J2336" s="1"/>
      <x:c r="K2336" s="1"/>
      <x:c r="L2336" s="1"/>
      <x:c r="M2336" s="1"/>
      <x:c r="N2336" s="1"/>
      <x:c r="O2336" s="1"/>
    </x:row>
    <x:row r="2337">
      <x:c r="A2337" s="1"/>
      <x:c r="B2337" s="1"/>
      <x:c r="C2337" s="1"/>
      <x:c r="D2337" s="1"/>
      <x:c r="E2337" s="1"/>
      <x:c r="F2337" s="1"/>
      <x:c r="G2337" s="1"/>
      <x:c r="H2337" s="1"/>
      <x:c r="I2337" s="1"/>
      <x:c r="J2337" s="1"/>
      <x:c r="K2337" s="1"/>
      <x:c r="L2337" s="1"/>
      <x:c r="M2337" s="1"/>
      <x:c r="N2337" s="1"/>
      <x:c r="O2337" s="1"/>
    </x:row>
    <x:row r="2338">
      <x:c r="A2338" s="1"/>
      <x:c r="B2338" s="1"/>
      <x:c r="C2338" s="1"/>
      <x:c r="D2338" s="1"/>
      <x:c r="E2338" s="1"/>
      <x:c r="F2338" s="1"/>
      <x:c r="G2338" s="1"/>
      <x:c r="H2338" s="1"/>
      <x:c r="I2338" s="1"/>
      <x:c r="J2338" s="1"/>
      <x:c r="K2338" s="1"/>
      <x:c r="L2338" s="1"/>
      <x:c r="M2338" s="1"/>
      <x:c r="N2338" s="1"/>
      <x:c r="O2338" s="1"/>
    </x:row>
    <x:row r="2339">
      <x:c r="A2339" s="1"/>
      <x:c r="B2339" s="1"/>
      <x:c r="C2339" s="1"/>
      <x:c r="D2339" s="1"/>
      <x:c r="E2339" s="1"/>
      <x:c r="F2339" s="1"/>
      <x:c r="G2339" s="1"/>
      <x:c r="H2339" s="1"/>
      <x:c r="I2339" s="1"/>
      <x:c r="J2339" s="1"/>
      <x:c r="K2339" s="1"/>
      <x:c r="L2339" s="1"/>
      <x:c r="M2339" s="1"/>
      <x:c r="N2339" s="1"/>
      <x:c r="O2339" s="1"/>
    </x:row>
    <x:row r="2340">
      <x:c r="A2340" s="1"/>
      <x:c r="B2340" s="1"/>
      <x:c r="C2340" s="1"/>
      <x:c r="D2340" s="1"/>
      <x:c r="E2340" s="1"/>
      <x:c r="F2340" s="1"/>
      <x:c r="G2340" s="1"/>
      <x:c r="H2340" s="1"/>
      <x:c r="I2340" s="1"/>
      <x:c r="J2340" s="1"/>
      <x:c r="K2340" s="1"/>
      <x:c r="L2340" s="1"/>
      <x:c r="M2340" s="1"/>
      <x:c r="N2340" s="1"/>
      <x:c r="O2340" s="1"/>
    </x:row>
    <x:row r="2341">
      <x:c r="A2341" s="1"/>
      <x:c r="B2341" s="1"/>
      <x:c r="C2341" s="1"/>
      <x:c r="D2341" s="1"/>
      <x:c r="E2341" s="1"/>
      <x:c r="F2341" s="1"/>
      <x:c r="G2341" s="1"/>
      <x:c r="H2341" s="1"/>
      <x:c r="I2341" s="1"/>
      <x:c r="J2341" s="1"/>
      <x:c r="K2341" s="1"/>
      <x:c r="L2341" s="1"/>
      <x:c r="M2341" s="1"/>
      <x:c r="N2341" s="1"/>
      <x:c r="O2341" s="1"/>
    </x:row>
    <x:row r="2342">
      <x:c r="A2342" s="1"/>
      <x:c r="B2342" s="1"/>
      <x:c r="C2342" s="1"/>
      <x:c r="D2342" s="1"/>
      <x:c r="E2342" s="1"/>
      <x:c r="F2342" s="1"/>
      <x:c r="G2342" s="1"/>
      <x:c r="H2342" s="1"/>
      <x:c r="I2342" s="1"/>
      <x:c r="J2342" s="1"/>
      <x:c r="K2342" s="1"/>
      <x:c r="L2342" s="1"/>
      <x:c r="M2342" s="1"/>
      <x:c r="N2342" s="1"/>
      <x:c r="O2342" s="1"/>
    </x:row>
    <x:row r="2343">
      <x:c r="A2343" s="1"/>
      <x:c r="B2343" s="1"/>
      <x:c r="C2343" s="1"/>
      <x:c r="D2343" s="1"/>
      <x:c r="E2343" s="1"/>
      <x:c r="F2343" s="1"/>
      <x:c r="G2343" s="1"/>
      <x:c r="H2343" s="1"/>
      <x:c r="I2343" s="1"/>
      <x:c r="J2343" s="1"/>
      <x:c r="K2343" s="1"/>
      <x:c r="L2343" s="1"/>
      <x:c r="M2343" s="1"/>
      <x:c r="N2343" s="1"/>
      <x:c r="O2343" s="1"/>
    </x:row>
    <x:row r="2344">
      <x:c r="A2344" s="1"/>
      <x:c r="B2344" s="1"/>
      <x:c r="C2344" s="1"/>
      <x:c r="D2344" s="1"/>
      <x:c r="E2344" s="1"/>
      <x:c r="F2344" s="1"/>
      <x:c r="G2344" s="1"/>
      <x:c r="H2344" s="1"/>
      <x:c r="I2344" s="1"/>
      <x:c r="J2344" s="1"/>
      <x:c r="K2344" s="1"/>
      <x:c r="L2344" s="1"/>
      <x:c r="M2344" s="1"/>
      <x:c r="N2344" s="1"/>
      <x:c r="O2344" s="1"/>
    </x:row>
    <x:row r="2345">
      <x:c r="A2345" s="1"/>
      <x:c r="B2345" s="1"/>
      <x:c r="C2345" s="1"/>
      <x:c r="D2345" s="1"/>
      <x:c r="E2345" s="1"/>
      <x:c r="F2345" s="1"/>
      <x:c r="G2345" s="1"/>
      <x:c r="H2345" s="1"/>
      <x:c r="I2345" s="1"/>
      <x:c r="J2345" s="1"/>
      <x:c r="K2345" s="1"/>
      <x:c r="L2345" s="1"/>
      <x:c r="M2345" s="1"/>
      <x:c r="N2345" s="1"/>
      <x:c r="O2345" s="1"/>
    </x:row>
    <x:row r="2346">
      <x:c r="A2346" s="1"/>
      <x:c r="B2346" s="1"/>
      <x:c r="C2346" s="1"/>
      <x:c r="D2346" s="1"/>
      <x:c r="E2346" s="1"/>
      <x:c r="F2346" s="1"/>
      <x:c r="G2346" s="1"/>
      <x:c r="H2346" s="1"/>
      <x:c r="I2346" s="1"/>
      <x:c r="J2346" s="1"/>
      <x:c r="K2346" s="1"/>
      <x:c r="L2346" s="1"/>
      <x:c r="M2346" s="1"/>
      <x:c r="N2346" s="1"/>
      <x:c r="O2346" s="1"/>
    </x:row>
    <x:row r="2347">
      <x:c r="A2347" s="1"/>
      <x:c r="B2347" s="1"/>
      <x:c r="C2347" s="1"/>
      <x:c r="D2347" s="1"/>
      <x:c r="E2347" s="1"/>
      <x:c r="F2347" s="1"/>
      <x:c r="G2347" s="1"/>
      <x:c r="H2347" s="1"/>
      <x:c r="I2347" s="1"/>
      <x:c r="J2347" s="1"/>
      <x:c r="K2347" s="1"/>
      <x:c r="L2347" s="1"/>
      <x:c r="M2347" s="1"/>
      <x:c r="N2347" s="1"/>
      <x:c r="O2347" s="1"/>
    </x:row>
    <x:row r="2348">
      <x:c r="A2348" s="1"/>
      <x:c r="B2348" s="1"/>
      <x:c r="C2348" s="1"/>
      <x:c r="D2348" s="1"/>
      <x:c r="E2348" s="1"/>
      <x:c r="F2348" s="1"/>
      <x:c r="G2348" s="1"/>
      <x:c r="H2348" s="1"/>
      <x:c r="I2348" s="1"/>
      <x:c r="J2348" s="1"/>
      <x:c r="K2348" s="1"/>
      <x:c r="L2348" s="1"/>
      <x:c r="M2348" s="1"/>
      <x:c r="N2348" s="1"/>
      <x:c r="O2348" s="1"/>
    </x:row>
    <x:row r="2349">
      <x:c r="A2349" s="1"/>
      <x:c r="B2349" s="1"/>
      <x:c r="C2349" s="1"/>
      <x:c r="D2349" s="1"/>
      <x:c r="E2349" s="1"/>
      <x:c r="F2349" s="1"/>
      <x:c r="G2349" s="1"/>
      <x:c r="H2349" s="1"/>
      <x:c r="I2349" s="1"/>
      <x:c r="J2349" s="1"/>
      <x:c r="K2349" s="1"/>
      <x:c r="L2349" s="1"/>
      <x:c r="M2349" s="1"/>
      <x:c r="N2349" s="1"/>
      <x:c r="O2349" s="1"/>
    </x:row>
    <x:row r="2350">
      <x:c r="A2350" s="1"/>
      <x:c r="B2350" s="1"/>
      <x:c r="C2350" s="1"/>
      <x:c r="D2350" s="1"/>
      <x:c r="E2350" s="1"/>
      <x:c r="F2350" s="1"/>
      <x:c r="G2350" s="1"/>
      <x:c r="H2350" s="1"/>
      <x:c r="I2350" s="1"/>
      <x:c r="J2350" s="1"/>
      <x:c r="K2350" s="1"/>
      <x:c r="L2350" s="1"/>
      <x:c r="M2350" s="1"/>
      <x:c r="N2350" s="1"/>
      <x:c r="O2350" s="1"/>
    </x:row>
    <x:row r="2351">
      <x:c r="A2351" s="1"/>
      <x:c r="B2351" s="1"/>
      <x:c r="C2351" s="1"/>
      <x:c r="D2351" s="1"/>
      <x:c r="E2351" s="1"/>
      <x:c r="F2351" s="1"/>
      <x:c r="G2351" s="1"/>
      <x:c r="H2351" s="1"/>
      <x:c r="I2351" s="1"/>
      <x:c r="J2351" s="1"/>
      <x:c r="K2351" s="1"/>
      <x:c r="L2351" s="1"/>
      <x:c r="M2351" s="1"/>
      <x:c r="N2351" s="1"/>
      <x:c r="O2351" s="1"/>
    </x:row>
    <x:row r="2352">
      <x:c r="A2352" s="1"/>
      <x:c r="B2352" s="1"/>
      <x:c r="C2352" s="1"/>
      <x:c r="D2352" s="1"/>
      <x:c r="E2352" s="1"/>
      <x:c r="F2352" s="1"/>
      <x:c r="G2352" s="1"/>
      <x:c r="H2352" s="1"/>
      <x:c r="I2352" s="1"/>
      <x:c r="J2352" s="1"/>
      <x:c r="K2352" s="1"/>
      <x:c r="L2352" s="1"/>
      <x:c r="M2352" s="1"/>
      <x:c r="N2352" s="1"/>
      <x:c r="O2352" s="1"/>
    </x:row>
    <x:row r="2353">
      <x:c r="A2353" s="1"/>
      <x:c r="B2353" s="1"/>
      <x:c r="C2353" s="1"/>
      <x:c r="D2353" s="1"/>
      <x:c r="E2353" s="1"/>
      <x:c r="F2353" s="1"/>
      <x:c r="G2353" s="1"/>
      <x:c r="H2353" s="1"/>
      <x:c r="I2353" s="1"/>
      <x:c r="J2353" s="1"/>
      <x:c r="K2353" s="1"/>
      <x:c r="L2353" s="1"/>
      <x:c r="M2353" s="1"/>
      <x:c r="N2353" s="1"/>
      <x:c r="O2353" s="1"/>
    </x:row>
    <x:row r="2354">
      <x:c r="A2354" s="1"/>
      <x:c r="B2354" s="1"/>
      <x:c r="C2354" s="1"/>
      <x:c r="D2354" s="1"/>
      <x:c r="E2354" s="1"/>
      <x:c r="F2354" s="1"/>
      <x:c r="G2354" s="1"/>
      <x:c r="H2354" s="1"/>
      <x:c r="I2354" s="1"/>
      <x:c r="J2354" s="1"/>
      <x:c r="K2354" s="1"/>
      <x:c r="L2354" s="1"/>
      <x:c r="M2354" s="1"/>
      <x:c r="N2354" s="1"/>
      <x:c r="O2354" s="1"/>
    </x:row>
    <x:row r="2355">
      <x:c r="A2355" s="1"/>
      <x:c r="B2355" s="1"/>
      <x:c r="C2355" s="1"/>
      <x:c r="D2355" s="1"/>
      <x:c r="E2355" s="1"/>
      <x:c r="F2355" s="1"/>
      <x:c r="G2355" s="1"/>
      <x:c r="H2355" s="1"/>
      <x:c r="I2355" s="1"/>
      <x:c r="J2355" s="1"/>
      <x:c r="K2355" s="1"/>
      <x:c r="L2355" s="1"/>
      <x:c r="M2355" s="1"/>
      <x:c r="N2355" s="1"/>
      <x:c r="O2355" s="1"/>
    </x:row>
    <x:row r="2356">
      <x:c r="A2356" s="1"/>
      <x:c r="B2356" s="1"/>
      <x:c r="C2356" s="1"/>
      <x:c r="D2356" s="1"/>
      <x:c r="E2356" s="1"/>
      <x:c r="F2356" s="1"/>
      <x:c r="G2356" s="1"/>
      <x:c r="H2356" s="1"/>
      <x:c r="I2356" s="1"/>
      <x:c r="J2356" s="1"/>
      <x:c r="K2356" s="1"/>
      <x:c r="L2356" s="1"/>
      <x:c r="M2356" s="1"/>
      <x:c r="N2356" s="1"/>
      <x:c r="O2356" s="1"/>
    </x:row>
    <x:row r="2357">
      <x:c r="A2357" s="1"/>
      <x:c r="B2357" s="1"/>
      <x:c r="C2357" s="1"/>
      <x:c r="D2357" s="1"/>
      <x:c r="E2357" s="1"/>
      <x:c r="F2357" s="1"/>
      <x:c r="G2357" s="1"/>
      <x:c r="H2357" s="1"/>
      <x:c r="I2357" s="1"/>
      <x:c r="J2357" s="1"/>
      <x:c r="K2357" s="1"/>
      <x:c r="L2357" s="1"/>
      <x:c r="M2357" s="1"/>
      <x:c r="N2357" s="1"/>
      <x:c r="O2357" s="1"/>
    </x:row>
    <x:row r="2358">
      <x:c r="A2358" s="1"/>
      <x:c r="B2358" s="1"/>
      <x:c r="C2358" s="1"/>
      <x:c r="D2358" s="1"/>
      <x:c r="E2358" s="1"/>
      <x:c r="F2358" s="1"/>
      <x:c r="G2358" s="1"/>
      <x:c r="H2358" s="1"/>
      <x:c r="I2358" s="1"/>
      <x:c r="J2358" s="1"/>
      <x:c r="K2358" s="1"/>
      <x:c r="L2358" s="1"/>
      <x:c r="M2358" s="1"/>
      <x:c r="N2358" s="1"/>
      <x:c r="O2358" s="1"/>
    </x:row>
    <x:row r="2359">
      <x:c r="A2359" s="1"/>
      <x:c r="B2359" s="1"/>
      <x:c r="C2359" s="1"/>
      <x:c r="D2359" s="1"/>
      <x:c r="E2359" s="1"/>
      <x:c r="F2359" s="1"/>
      <x:c r="G2359" s="1"/>
      <x:c r="H2359" s="1"/>
      <x:c r="I2359" s="1"/>
      <x:c r="J2359" s="1"/>
      <x:c r="K2359" s="1"/>
      <x:c r="L2359" s="1"/>
      <x:c r="M2359" s="1"/>
      <x:c r="N2359" s="1"/>
      <x:c r="O2359" s="1"/>
    </x:row>
    <x:row r="2360">
      <x:c r="A2360" s="1"/>
      <x:c r="B2360" s="1"/>
      <x:c r="C2360" s="1"/>
      <x:c r="D2360" s="1"/>
      <x:c r="E2360" s="1"/>
      <x:c r="F2360" s="1"/>
      <x:c r="G2360" s="1"/>
      <x:c r="H2360" s="1"/>
      <x:c r="I2360" s="1"/>
      <x:c r="J2360" s="1"/>
      <x:c r="K2360" s="1"/>
      <x:c r="L2360" s="1"/>
      <x:c r="M2360" s="1"/>
      <x:c r="N2360" s="1"/>
      <x:c r="O2360" s="1"/>
    </x:row>
    <x:row r="2361">
      <x:c r="A2361" s="1"/>
      <x:c r="B2361" s="1"/>
      <x:c r="C2361" s="1"/>
      <x:c r="D2361" s="1"/>
      <x:c r="E2361" s="1"/>
      <x:c r="F2361" s="1"/>
      <x:c r="G2361" s="1"/>
      <x:c r="H2361" s="1"/>
      <x:c r="I2361" s="1"/>
      <x:c r="J2361" s="1"/>
      <x:c r="K2361" s="1"/>
      <x:c r="L2361" s="1"/>
      <x:c r="M2361" s="1"/>
      <x:c r="N2361" s="1"/>
      <x:c r="O2361" s="1"/>
    </x:row>
    <x:row r="2362">
      <x:c r="A2362" s="1"/>
      <x:c r="B2362" s="1"/>
      <x:c r="C2362" s="1"/>
      <x:c r="D2362" s="1"/>
      <x:c r="E2362" s="1"/>
      <x:c r="F2362" s="1"/>
      <x:c r="G2362" s="1"/>
      <x:c r="H2362" s="1"/>
      <x:c r="I2362" s="1"/>
      <x:c r="J2362" s="1"/>
      <x:c r="K2362" s="1"/>
      <x:c r="L2362" s="1"/>
      <x:c r="M2362" s="1"/>
      <x:c r="N2362" s="1"/>
      <x:c r="O2362" s="1"/>
    </x:row>
    <x:row r="2363">
      <x:c r="A2363" s="1"/>
      <x:c r="B2363" s="1"/>
      <x:c r="C2363" s="1"/>
      <x:c r="D2363" s="1"/>
      <x:c r="E2363" s="1"/>
      <x:c r="F2363" s="1"/>
      <x:c r="G2363" s="1"/>
      <x:c r="H2363" s="1"/>
      <x:c r="I2363" s="1"/>
      <x:c r="J2363" s="1"/>
      <x:c r="K2363" s="1"/>
      <x:c r="L2363" s="1"/>
      <x:c r="M2363" s="1"/>
      <x:c r="N2363" s="1"/>
      <x:c r="O2363" s="1"/>
    </x:row>
    <x:row r="2364">
      <x:c r="A2364" s="1"/>
      <x:c r="B2364" s="1"/>
      <x:c r="C2364" s="1"/>
      <x:c r="D2364" s="1"/>
      <x:c r="E2364" s="1"/>
      <x:c r="F2364" s="1"/>
      <x:c r="G2364" s="1"/>
      <x:c r="H2364" s="1"/>
      <x:c r="I2364" s="1"/>
      <x:c r="J2364" s="1"/>
      <x:c r="K2364" s="1"/>
      <x:c r="L2364" s="1"/>
      <x:c r="M2364" s="1"/>
      <x:c r="N2364" s="1"/>
      <x:c r="O2364" s="1"/>
    </x:row>
    <x:row r="2365">
      <x:c r="A2365" s="1"/>
      <x:c r="B2365" s="1"/>
      <x:c r="C2365" s="1"/>
      <x:c r="D2365" s="1"/>
      <x:c r="E2365" s="1"/>
      <x:c r="F2365" s="1"/>
      <x:c r="G2365" s="1"/>
      <x:c r="H2365" s="1"/>
      <x:c r="I2365" s="1"/>
      <x:c r="J2365" s="1"/>
      <x:c r="K2365" s="1"/>
      <x:c r="L2365" s="1"/>
      <x:c r="M2365" s="1"/>
      <x:c r="N2365" s="1"/>
      <x:c r="O2365" s="1"/>
    </x:row>
    <x:row r="2366">
      <x:c r="A2366" s="1"/>
      <x:c r="B2366" s="1"/>
      <x:c r="C2366" s="1"/>
      <x:c r="D2366" s="1"/>
      <x:c r="E2366" s="1"/>
      <x:c r="F2366" s="1"/>
      <x:c r="G2366" s="1"/>
      <x:c r="H2366" s="1"/>
      <x:c r="I2366" s="1"/>
      <x:c r="J2366" s="1"/>
      <x:c r="K2366" s="1"/>
      <x:c r="L2366" s="1"/>
      <x:c r="M2366" s="1"/>
      <x:c r="N2366" s="1"/>
      <x:c r="O2366" s="1"/>
    </x:row>
    <x:row r="2367">
      <x:c r="A2367" s="1"/>
      <x:c r="B2367" s="1"/>
      <x:c r="C2367" s="1"/>
      <x:c r="D2367" s="1"/>
      <x:c r="E2367" s="1"/>
      <x:c r="F2367" s="1"/>
      <x:c r="G2367" s="1"/>
      <x:c r="H2367" s="1"/>
      <x:c r="I2367" s="1"/>
      <x:c r="J2367" s="1"/>
      <x:c r="K2367" s="1"/>
      <x:c r="L2367" s="1"/>
      <x:c r="M2367" s="1"/>
      <x:c r="N2367" s="1"/>
      <x:c r="O2367" s="1"/>
    </x:row>
    <x:row r="2368">
      <x:c r="A2368" s="1"/>
      <x:c r="B2368" s="1"/>
      <x:c r="C2368" s="1"/>
      <x:c r="D2368" s="1"/>
      <x:c r="E2368" s="1"/>
      <x:c r="F2368" s="1"/>
      <x:c r="G2368" s="1"/>
      <x:c r="H2368" s="1"/>
      <x:c r="I2368" s="1"/>
      <x:c r="J2368" s="1"/>
      <x:c r="K2368" s="1"/>
      <x:c r="L2368" s="1"/>
      <x:c r="M2368" s="1"/>
      <x:c r="N2368" s="1"/>
      <x:c r="O2368" s="1"/>
    </x:row>
    <x:row r="2369">
      <x:c r="A2369" s="1"/>
      <x:c r="B2369" s="1"/>
      <x:c r="C2369" s="1"/>
      <x:c r="D2369" s="1"/>
      <x:c r="E2369" s="1"/>
      <x:c r="F2369" s="1"/>
      <x:c r="G2369" s="1"/>
      <x:c r="H2369" s="1"/>
      <x:c r="I2369" s="1"/>
      <x:c r="J2369" s="1"/>
      <x:c r="K2369" s="1"/>
      <x:c r="L2369" s="1"/>
      <x:c r="M2369" s="1"/>
      <x:c r="N2369" s="1"/>
      <x:c r="O2369" s="1"/>
    </x:row>
    <x:row r="2370">
      <x:c r="A2370" s="1"/>
      <x:c r="B2370" s="1"/>
      <x:c r="C2370" s="1"/>
      <x:c r="D2370" s="1"/>
      <x:c r="E2370" s="1"/>
      <x:c r="F2370" s="1"/>
      <x:c r="G2370" s="1"/>
      <x:c r="H2370" s="1"/>
      <x:c r="I2370" s="1"/>
      <x:c r="J2370" s="1"/>
      <x:c r="K2370" s="1"/>
      <x:c r="L2370" s="1"/>
      <x:c r="M2370" s="1"/>
      <x:c r="N2370" s="1"/>
      <x:c r="O2370" s="1"/>
    </x:row>
    <x:row r="2371">
      <x:c r="A2371" s="1"/>
      <x:c r="B2371" s="1"/>
      <x:c r="C2371" s="1"/>
      <x:c r="D2371" s="1"/>
      <x:c r="E2371" s="1"/>
      <x:c r="F2371" s="1"/>
      <x:c r="G2371" s="1"/>
      <x:c r="H2371" s="1"/>
      <x:c r="I2371" s="1"/>
      <x:c r="J2371" s="1"/>
      <x:c r="K2371" s="1"/>
      <x:c r="L2371" s="1"/>
      <x:c r="M2371" s="1"/>
      <x:c r="N2371" s="1"/>
      <x:c r="O2371" s="1"/>
    </x:row>
    <x:row r="2372">
      <x:c r="A2372" s="1"/>
      <x:c r="B2372" s="1"/>
      <x:c r="C2372" s="1"/>
      <x:c r="D2372" s="1"/>
      <x:c r="E2372" s="1"/>
      <x:c r="F2372" s="1"/>
      <x:c r="G2372" s="1"/>
      <x:c r="H2372" s="1"/>
      <x:c r="I2372" s="1"/>
      <x:c r="J2372" s="1"/>
      <x:c r="K2372" s="1"/>
      <x:c r="L2372" s="1"/>
      <x:c r="M2372" s="1"/>
      <x:c r="N2372" s="1"/>
      <x:c r="O2372" s="1"/>
    </x:row>
    <x:row r="2373">
      <x:c r="A2373" s="1"/>
      <x:c r="B2373" s="1"/>
      <x:c r="C2373" s="1"/>
      <x:c r="D2373" s="1"/>
      <x:c r="E2373" s="1"/>
      <x:c r="F2373" s="1"/>
      <x:c r="G2373" s="1"/>
      <x:c r="H2373" s="1"/>
      <x:c r="I2373" s="1"/>
      <x:c r="J2373" s="1"/>
      <x:c r="K2373" s="1"/>
      <x:c r="L2373" s="1"/>
      <x:c r="M2373" s="1"/>
      <x:c r="N2373" s="1"/>
      <x:c r="O2373" s="1"/>
    </x:row>
    <x:row r="2374">
      <x:c r="A2374" s="1"/>
      <x:c r="B2374" s="1"/>
      <x:c r="C2374" s="1"/>
      <x:c r="D2374" s="1"/>
      <x:c r="E2374" s="1"/>
      <x:c r="F2374" s="1"/>
      <x:c r="G2374" s="1"/>
      <x:c r="H2374" s="1"/>
      <x:c r="I2374" s="1"/>
      <x:c r="J2374" s="1"/>
      <x:c r="K2374" s="1"/>
      <x:c r="L2374" s="1"/>
      <x:c r="M2374" s="1"/>
      <x:c r="N2374" s="1"/>
      <x:c r="O2374" s="1"/>
    </x:row>
    <x:row r="2375">
      <x:c r="A2375" s="1"/>
      <x:c r="B2375" s="1"/>
      <x:c r="C2375" s="1"/>
      <x:c r="D2375" s="1"/>
      <x:c r="E2375" s="1"/>
      <x:c r="F2375" s="1"/>
      <x:c r="G2375" s="1"/>
      <x:c r="H2375" s="1"/>
      <x:c r="I2375" s="1"/>
      <x:c r="J2375" s="1"/>
      <x:c r="K2375" s="1"/>
      <x:c r="L2375" s="1"/>
      <x:c r="M2375" s="1"/>
      <x:c r="N2375" s="1"/>
      <x:c r="O2375" s="1"/>
    </x:row>
    <x:row r="2376">
      <x:c r="A2376" s="1"/>
      <x:c r="B2376" s="1"/>
      <x:c r="C2376" s="1"/>
      <x:c r="D2376" s="1"/>
      <x:c r="E2376" s="1"/>
      <x:c r="F2376" s="1"/>
      <x:c r="G2376" s="1"/>
      <x:c r="H2376" s="1"/>
      <x:c r="I2376" s="1"/>
      <x:c r="J2376" s="1"/>
      <x:c r="K2376" s="1"/>
      <x:c r="L2376" s="1"/>
      <x:c r="M2376" s="1"/>
      <x:c r="N2376" s="1"/>
      <x:c r="O2376" s="1"/>
    </x:row>
    <x:row r="2377">
      <x:c r="A2377" s="1"/>
      <x:c r="B2377" s="1"/>
      <x:c r="C2377" s="1"/>
      <x:c r="D2377" s="1"/>
      <x:c r="E2377" s="1"/>
      <x:c r="F2377" s="1"/>
      <x:c r="G2377" s="1"/>
      <x:c r="H2377" s="1"/>
      <x:c r="I2377" s="1"/>
      <x:c r="J2377" s="1"/>
      <x:c r="K2377" s="1"/>
      <x:c r="L2377" s="1"/>
      <x:c r="M2377" s="1"/>
      <x:c r="N2377" s="1"/>
      <x:c r="O2377" s="1"/>
    </x:row>
    <x:row r="2378">
      <x:c r="A2378" s="1"/>
      <x:c r="B2378" s="1"/>
      <x:c r="C2378" s="1"/>
      <x:c r="D2378" s="1"/>
      <x:c r="E2378" s="1"/>
      <x:c r="F2378" s="1"/>
      <x:c r="G2378" s="1"/>
      <x:c r="H2378" s="1"/>
      <x:c r="I2378" s="1"/>
      <x:c r="J2378" s="1"/>
      <x:c r="K2378" s="1"/>
      <x:c r="L2378" s="1"/>
      <x:c r="M2378" s="1"/>
      <x:c r="N2378" s="1"/>
      <x:c r="O2378" s="1"/>
    </x:row>
    <x:row r="2379">
      <x:c r="A2379" s="1"/>
      <x:c r="B2379" s="1"/>
      <x:c r="C2379" s="1"/>
      <x:c r="D2379" s="1"/>
      <x:c r="E2379" s="1"/>
      <x:c r="F2379" s="1"/>
      <x:c r="G2379" s="1"/>
      <x:c r="H2379" s="1"/>
      <x:c r="I2379" s="1"/>
      <x:c r="J2379" s="1"/>
      <x:c r="K2379" s="1"/>
      <x:c r="L2379" s="1"/>
      <x:c r="M2379" s="1"/>
      <x:c r="N2379" s="1"/>
      <x:c r="O2379" s="1"/>
    </x:row>
    <x:row r="2380">
      <x:c r="A2380" s="1"/>
      <x:c r="B2380" s="1"/>
      <x:c r="C2380" s="1"/>
      <x:c r="D2380" s="1"/>
      <x:c r="E2380" s="1"/>
      <x:c r="F2380" s="1"/>
      <x:c r="G2380" s="1"/>
      <x:c r="H2380" s="1"/>
      <x:c r="I2380" s="1"/>
      <x:c r="J2380" s="1"/>
      <x:c r="K2380" s="1"/>
      <x:c r="L2380" s="1"/>
      <x:c r="M2380" s="1"/>
      <x:c r="N2380" s="1"/>
      <x:c r="O2380" s="1"/>
    </x:row>
    <x:row r="2381">
      <x:c r="A2381" s="1"/>
      <x:c r="B2381" s="1"/>
      <x:c r="C2381" s="1"/>
      <x:c r="D2381" s="1"/>
      <x:c r="E2381" s="1"/>
      <x:c r="F2381" s="1"/>
      <x:c r="G2381" s="1"/>
      <x:c r="H2381" s="1"/>
      <x:c r="I2381" s="1"/>
      <x:c r="J2381" s="1"/>
      <x:c r="K2381" s="1"/>
      <x:c r="L2381" s="1"/>
      <x:c r="M2381" s="1"/>
      <x:c r="N2381" s="1"/>
      <x:c r="O2381" s="1"/>
    </x:row>
    <x:row r="2382">
      <x:c r="A2382" s="1"/>
      <x:c r="B2382" s="1"/>
      <x:c r="C2382" s="1"/>
      <x:c r="D2382" s="1"/>
      <x:c r="E2382" s="1"/>
      <x:c r="F2382" s="1"/>
      <x:c r="G2382" s="1"/>
      <x:c r="H2382" s="1"/>
      <x:c r="I2382" s="1"/>
      <x:c r="J2382" s="1"/>
      <x:c r="K2382" s="1"/>
      <x:c r="L2382" s="1"/>
      <x:c r="M2382" s="1"/>
      <x:c r="N2382" s="1"/>
      <x:c r="O2382" s="1"/>
    </x:row>
    <x:row r="2383">
      <x:c r="A2383" s="1"/>
      <x:c r="B2383" s="1"/>
      <x:c r="C2383" s="1"/>
      <x:c r="D2383" s="1"/>
      <x:c r="E2383" s="1"/>
      <x:c r="F2383" s="1"/>
      <x:c r="G2383" s="1"/>
      <x:c r="H2383" s="1"/>
      <x:c r="I2383" s="1"/>
      <x:c r="J2383" s="1"/>
      <x:c r="K2383" s="1"/>
      <x:c r="L2383" s="1"/>
      <x:c r="M2383" s="1"/>
      <x:c r="N2383" s="1"/>
      <x:c r="O2383" s="1"/>
    </x:row>
    <x:row r="2384">
      <x:c r="A2384" s="1"/>
      <x:c r="B2384" s="1"/>
      <x:c r="C2384" s="1"/>
      <x:c r="D2384" s="1"/>
      <x:c r="E2384" s="1"/>
      <x:c r="F2384" s="1"/>
      <x:c r="G2384" s="1"/>
      <x:c r="H2384" s="1"/>
      <x:c r="I2384" s="1"/>
      <x:c r="J2384" s="1"/>
      <x:c r="K2384" s="1"/>
      <x:c r="L2384" s="1"/>
      <x:c r="M2384" s="1"/>
      <x:c r="N2384" s="1"/>
      <x:c r="O2384" s="1"/>
    </x:row>
    <x:row r="2385">
      <x:c r="A2385" s="1"/>
      <x:c r="B2385" s="1"/>
      <x:c r="C2385" s="1"/>
      <x:c r="D2385" s="1"/>
      <x:c r="E2385" s="1"/>
      <x:c r="F2385" s="1"/>
      <x:c r="G2385" s="1"/>
      <x:c r="H2385" s="1"/>
      <x:c r="I2385" s="1"/>
      <x:c r="J2385" s="1"/>
      <x:c r="K2385" s="1"/>
      <x:c r="L2385" s="1"/>
      <x:c r="M2385" s="1"/>
      <x:c r="N2385" s="1"/>
      <x:c r="O2385" s="1"/>
    </x:row>
    <x:row r="2386">
      <x:c r="A2386" s="1"/>
      <x:c r="B2386" s="1"/>
      <x:c r="C2386" s="1"/>
      <x:c r="D2386" s="1"/>
      <x:c r="E2386" s="1"/>
      <x:c r="F2386" s="1"/>
      <x:c r="G2386" s="1"/>
      <x:c r="H2386" s="1"/>
      <x:c r="I2386" s="1"/>
      <x:c r="J2386" s="1"/>
      <x:c r="K2386" s="1"/>
      <x:c r="L2386" s="1"/>
      <x:c r="M2386" s="1"/>
      <x:c r="N2386" s="1"/>
      <x:c r="O2386" s="1"/>
    </x:row>
    <x:row r="2387">
      <x:c r="A2387" s="1"/>
      <x:c r="B2387" s="1"/>
      <x:c r="C2387" s="1"/>
      <x:c r="D2387" s="1"/>
      <x:c r="E2387" s="1"/>
      <x:c r="F2387" s="1"/>
      <x:c r="G2387" s="1"/>
      <x:c r="H2387" s="1"/>
      <x:c r="I2387" s="1"/>
      <x:c r="J2387" s="1"/>
      <x:c r="K2387" s="1"/>
      <x:c r="L2387" s="1"/>
      <x:c r="M2387" s="1"/>
      <x:c r="N2387" s="1"/>
      <x:c r="O2387" s="1"/>
    </x:row>
    <x:row r="2388">
      <x:c r="A2388" s="1"/>
      <x:c r="B2388" s="1"/>
      <x:c r="C2388" s="1"/>
      <x:c r="D2388" s="1"/>
      <x:c r="E2388" s="1"/>
      <x:c r="F2388" s="1"/>
      <x:c r="G2388" s="1"/>
      <x:c r="H2388" s="1"/>
      <x:c r="I2388" s="1"/>
      <x:c r="J2388" s="1"/>
      <x:c r="K2388" s="1"/>
      <x:c r="L2388" s="1"/>
      <x:c r="M2388" s="1"/>
      <x:c r="N2388" s="1"/>
      <x:c r="O2388" s="1"/>
    </x:row>
    <x:row r="2389">
      <x:c r="A2389" s="1"/>
      <x:c r="B2389" s="1"/>
      <x:c r="C2389" s="1"/>
      <x:c r="D2389" s="1"/>
      <x:c r="E2389" s="1"/>
      <x:c r="F2389" s="1"/>
      <x:c r="G2389" s="1"/>
      <x:c r="H2389" s="1"/>
      <x:c r="I2389" s="1"/>
      <x:c r="J2389" s="1"/>
      <x:c r="K2389" s="1"/>
      <x:c r="L2389" s="1"/>
      <x:c r="M2389" s="1"/>
      <x:c r="N2389" s="1"/>
      <x:c r="O2389" s="1"/>
    </x:row>
    <x:row r="2390">
      <x:c r="A2390" s="1"/>
      <x:c r="B2390" s="1"/>
      <x:c r="C2390" s="1"/>
      <x:c r="D2390" s="1"/>
      <x:c r="E2390" s="1"/>
      <x:c r="F2390" s="1"/>
      <x:c r="G2390" s="1"/>
      <x:c r="H2390" s="1"/>
      <x:c r="I2390" s="1"/>
      <x:c r="J2390" s="1"/>
      <x:c r="K2390" s="1"/>
      <x:c r="L2390" s="1"/>
      <x:c r="M2390" s="1"/>
      <x:c r="N2390" s="1"/>
      <x:c r="O2390" s="1"/>
    </x:row>
    <x:row r="2391">
      <x:c r="A2391" s="1"/>
      <x:c r="B2391" s="1"/>
      <x:c r="C2391" s="1"/>
      <x:c r="D2391" s="1"/>
      <x:c r="E2391" s="1"/>
      <x:c r="F2391" s="1"/>
      <x:c r="G2391" s="1"/>
      <x:c r="H2391" s="1"/>
      <x:c r="I2391" s="1"/>
      <x:c r="J2391" s="1"/>
      <x:c r="K2391" s="1"/>
      <x:c r="L2391" s="1"/>
      <x:c r="M2391" s="1"/>
      <x:c r="N2391" s="1"/>
      <x:c r="O2391" s="1"/>
    </x:row>
    <x:row r="2392">
      <x:c r="A2392" s="1"/>
      <x:c r="B2392" s="1"/>
      <x:c r="C2392" s="1"/>
      <x:c r="D2392" s="1"/>
      <x:c r="E2392" s="1"/>
      <x:c r="F2392" s="1"/>
      <x:c r="G2392" s="1"/>
      <x:c r="H2392" s="1"/>
      <x:c r="I2392" s="1"/>
      <x:c r="J2392" s="1"/>
      <x:c r="K2392" s="1"/>
      <x:c r="L2392" s="1"/>
      <x:c r="M2392" s="1"/>
      <x:c r="N2392" s="1"/>
      <x:c r="O2392" s="1"/>
    </x:row>
    <x:row r="2393">
      <x:c r="A2393" s="1"/>
      <x:c r="B2393" s="1"/>
      <x:c r="C2393" s="1"/>
      <x:c r="D2393" s="1"/>
      <x:c r="E2393" s="1"/>
      <x:c r="F2393" s="1"/>
      <x:c r="G2393" s="1"/>
      <x:c r="H2393" s="1"/>
      <x:c r="I2393" s="1"/>
      <x:c r="J2393" s="1"/>
      <x:c r="K2393" s="1"/>
      <x:c r="L2393" s="1"/>
      <x:c r="M2393" s="1"/>
      <x:c r="N2393" s="1"/>
      <x:c r="O2393" s="1"/>
    </x:row>
    <x:row r="2394">
      <x:c r="A2394" s="1"/>
      <x:c r="B2394" s="1"/>
      <x:c r="C2394" s="1"/>
      <x:c r="D2394" s="1"/>
      <x:c r="E2394" s="1"/>
      <x:c r="F2394" s="1"/>
      <x:c r="G2394" s="1"/>
      <x:c r="H2394" s="1"/>
      <x:c r="I2394" s="1"/>
      <x:c r="J2394" s="1"/>
      <x:c r="K2394" s="1"/>
      <x:c r="L2394" s="1"/>
      <x:c r="M2394" s="1"/>
      <x:c r="N2394" s="1"/>
      <x:c r="O2394" s="1"/>
    </x:row>
    <x:row r="2395">
      <x:c r="A2395" s="1"/>
      <x:c r="B2395" s="1"/>
      <x:c r="C2395" s="1"/>
      <x:c r="D2395" s="1"/>
      <x:c r="E2395" s="1"/>
      <x:c r="F2395" s="1"/>
      <x:c r="G2395" s="1"/>
      <x:c r="H2395" s="1"/>
      <x:c r="I2395" s="1"/>
      <x:c r="J2395" s="1"/>
      <x:c r="K2395" s="1"/>
      <x:c r="L2395" s="1"/>
      <x:c r="M2395" s="1"/>
      <x:c r="N2395" s="1"/>
      <x:c r="O2395" s="1"/>
    </x:row>
    <x:row r="2396">
      <x:c r="A2396" s="1"/>
      <x:c r="B2396" s="1"/>
      <x:c r="C2396" s="1"/>
      <x:c r="D2396" s="1"/>
      <x:c r="E2396" s="1"/>
      <x:c r="F2396" s="1"/>
      <x:c r="G2396" s="1"/>
      <x:c r="H2396" s="1"/>
      <x:c r="I2396" s="1"/>
      <x:c r="J2396" s="1"/>
      <x:c r="K2396" s="1"/>
      <x:c r="L2396" s="1"/>
      <x:c r="M2396" s="1"/>
      <x:c r="N2396" s="1"/>
      <x:c r="O2396" s="1"/>
    </x:row>
    <x:row r="2397">
      <x:c r="A2397" s="1"/>
      <x:c r="B2397" s="1"/>
      <x:c r="C2397" s="1"/>
      <x:c r="D2397" s="1"/>
      <x:c r="E2397" s="1"/>
      <x:c r="F2397" s="1"/>
      <x:c r="G2397" s="1"/>
      <x:c r="H2397" s="1"/>
      <x:c r="I2397" s="1"/>
      <x:c r="J2397" s="1"/>
      <x:c r="K2397" s="1"/>
      <x:c r="L2397" s="1"/>
      <x:c r="M2397" s="1"/>
      <x:c r="N2397" s="1"/>
      <x:c r="O2397" s="1"/>
    </x:row>
    <x:row r="2398">
      <x:c r="A2398" s="1"/>
      <x:c r="B2398" s="1"/>
      <x:c r="C2398" s="1"/>
      <x:c r="D2398" s="1"/>
      <x:c r="E2398" s="1"/>
      <x:c r="F2398" s="1"/>
      <x:c r="G2398" s="1"/>
      <x:c r="H2398" s="1"/>
      <x:c r="I2398" s="1"/>
      <x:c r="J2398" s="1"/>
      <x:c r="K2398" s="1"/>
      <x:c r="L2398" s="1"/>
      <x:c r="M2398" s="1"/>
      <x:c r="N2398" s="1"/>
      <x:c r="O2398" s="1"/>
    </x:row>
    <x:row r="2399">
      <x:c r="A2399" s="1"/>
      <x:c r="B2399" s="1"/>
      <x:c r="C2399" s="1"/>
      <x:c r="D2399" s="1"/>
      <x:c r="E2399" s="1"/>
      <x:c r="F2399" s="1"/>
      <x:c r="G2399" s="1"/>
      <x:c r="H2399" s="1"/>
      <x:c r="I2399" s="1"/>
      <x:c r="J2399" s="1"/>
      <x:c r="K2399" s="1"/>
      <x:c r="L2399" s="1"/>
      <x:c r="M2399" s="1"/>
      <x:c r="N2399" s="1"/>
      <x:c r="O2399" s="1"/>
    </x:row>
    <x:row r="2400">
      <x:c r="A2400" s="1"/>
      <x:c r="B2400" s="1"/>
      <x:c r="C2400" s="1"/>
      <x:c r="D2400" s="1"/>
      <x:c r="E2400" s="1"/>
      <x:c r="F2400" s="1"/>
      <x:c r="G2400" s="1"/>
      <x:c r="H2400" s="1"/>
      <x:c r="I2400" s="1"/>
      <x:c r="J2400" s="1"/>
      <x:c r="K2400" s="1"/>
      <x:c r="L2400" s="1"/>
      <x:c r="M2400" s="1"/>
      <x:c r="N2400" s="1"/>
      <x:c r="O2400" s="1"/>
    </x:row>
    <x:row r="2401">
      <x:c r="A2401" s="1"/>
      <x:c r="B2401" s="1"/>
      <x:c r="C2401" s="1"/>
      <x:c r="D2401" s="1"/>
      <x:c r="E2401" s="1"/>
      <x:c r="F2401" s="1"/>
      <x:c r="G2401" s="1"/>
      <x:c r="H2401" s="1"/>
      <x:c r="I2401" s="1"/>
      <x:c r="J2401" s="1"/>
      <x:c r="K2401" s="1"/>
      <x:c r="L2401" s="1"/>
      <x:c r="M2401" s="1"/>
      <x:c r="N2401" s="1"/>
      <x:c r="O2401" s="1"/>
    </x:row>
    <x:row r="2402">
      <x:c r="A2402" s="1"/>
      <x:c r="B2402" s="1"/>
      <x:c r="C2402" s="1"/>
      <x:c r="D2402" s="1"/>
      <x:c r="E2402" s="1"/>
      <x:c r="F2402" s="1"/>
      <x:c r="G2402" s="1"/>
      <x:c r="H2402" s="1"/>
      <x:c r="I2402" s="1"/>
      <x:c r="J2402" s="1"/>
      <x:c r="K2402" s="1"/>
      <x:c r="L2402" s="1"/>
      <x:c r="M2402" s="1"/>
      <x:c r="N2402" s="1"/>
      <x:c r="O2402" s="1"/>
    </x:row>
    <x:row r="2403">
      <x:c r="A2403" s="1"/>
      <x:c r="B2403" s="1"/>
      <x:c r="C2403" s="1"/>
      <x:c r="D2403" s="1"/>
      <x:c r="E2403" s="1"/>
      <x:c r="F2403" s="1"/>
      <x:c r="G2403" s="1"/>
      <x:c r="H2403" s="1"/>
      <x:c r="I2403" s="1"/>
      <x:c r="J2403" s="1"/>
      <x:c r="K2403" s="1"/>
      <x:c r="L2403" s="1"/>
      <x:c r="M2403" s="1"/>
      <x:c r="N2403" s="1"/>
      <x:c r="O2403" s="1"/>
    </x:row>
    <x:row r="2404">
      <x:c r="A2404" s="1"/>
      <x:c r="B2404" s="1"/>
      <x:c r="C2404" s="1"/>
      <x:c r="D2404" s="1"/>
      <x:c r="E2404" s="1"/>
      <x:c r="F2404" s="1"/>
      <x:c r="G2404" s="1"/>
      <x:c r="H2404" s="1"/>
      <x:c r="I2404" s="1"/>
      <x:c r="J2404" s="1"/>
      <x:c r="K2404" s="1"/>
      <x:c r="L2404" s="1"/>
      <x:c r="M2404" s="1"/>
      <x:c r="N2404" s="1"/>
      <x:c r="O2404" s="1"/>
    </x:row>
    <x:row r="2405">
      <x:c r="A2405" s="1"/>
      <x:c r="B2405" s="1"/>
      <x:c r="C2405" s="1"/>
      <x:c r="D2405" s="1"/>
      <x:c r="E2405" s="1"/>
      <x:c r="F2405" s="1"/>
      <x:c r="G2405" s="1"/>
      <x:c r="H2405" s="1"/>
      <x:c r="I2405" s="1"/>
      <x:c r="J2405" s="1"/>
      <x:c r="K2405" s="1"/>
      <x:c r="L2405" s="1"/>
      <x:c r="M2405" s="1"/>
      <x:c r="N2405" s="1"/>
      <x:c r="O2405" s="1"/>
    </x:row>
    <x:row r="2406">
      <x:c r="A2406" s="1"/>
      <x:c r="B2406" s="1"/>
      <x:c r="C2406" s="1"/>
      <x:c r="D2406" s="1"/>
      <x:c r="E2406" s="1"/>
      <x:c r="F2406" s="1"/>
      <x:c r="G2406" s="1"/>
      <x:c r="H2406" s="1"/>
      <x:c r="I2406" s="1"/>
      <x:c r="J2406" s="1"/>
      <x:c r="K2406" s="1"/>
      <x:c r="L2406" s="1"/>
      <x:c r="M2406" s="1"/>
      <x:c r="N2406" s="1"/>
      <x:c r="O2406" s="1"/>
    </x:row>
    <x:row r="2407">
      <x:c r="A2407" s="1"/>
      <x:c r="B2407" s="1"/>
      <x:c r="C2407" s="1"/>
      <x:c r="D2407" s="1"/>
      <x:c r="E2407" s="1"/>
      <x:c r="F2407" s="1"/>
      <x:c r="G2407" s="1"/>
      <x:c r="H2407" s="1"/>
      <x:c r="I2407" s="1"/>
      <x:c r="J2407" s="1"/>
      <x:c r="K2407" s="1"/>
      <x:c r="L2407" s="1"/>
      <x:c r="M2407" s="1"/>
      <x:c r="N2407" s="1"/>
      <x:c r="O2407" s="1"/>
    </x:row>
    <x:row r="2408">
      <x:c r="A2408" s="1"/>
      <x:c r="B2408" s="1"/>
      <x:c r="C2408" s="1"/>
      <x:c r="D2408" s="1"/>
      <x:c r="E2408" s="1"/>
      <x:c r="F2408" s="1"/>
      <x:c r="G2408" s="1"/>
      <x:c r="H2408" s="1"/>
      <x:c r="I2408" s="1"/>
      <x:c r="J2408" s="1"/>
      <x:c r="K2408" s="1"/>
      <x:c r="L2408" s="1"/>
      <x:c r="M2408" s="1"/>
      <x:c r="N2408" s="1"/>
      <x:c r="O2408" s="1"/>
    </x:row>
    <x:row r="2409">
      <x:c r="A2409" s="1"/>
      <x:c r="B2409" s="1"/>
      <x:c r="C2409" s="1"/>
      <x:c r="D2409" s="1"/>
      <x:c r="E2409" s="1"/>
      <x:c r="F2409" s="1"/>
      <x:c r="G2409" s="1"/>
      <x:c r="H2409" s="1"/>
      <x:c r="I2409" s="1"/>
      <x:c r="J2409" s="1"/>
      <x:c r="K2409" s="1"/>
      <x:c r="L2409" s="1"/>
      <x:c r="M2409" s="1"/>
      <x:c r="N2409" s="1"/>
      <x:c r="O2409" s="1"/>
    </x:row>
    <x:row r="2410">
      <x:c r="A2410" s="1"/>
      <x:c r="B2410" s="1"/>
      <x:c r="C2410" s="1"/>
      <x:c r="D2410" s="1"/>
      <x:c r="E2410" s="1"/>
      <x:c r="F2410" s="1"/>
      <x:c r="G2410" s="1"/>
      <x:c r="H2410" s="1"/>
      <x:c r="I2410" s="1"/>
      <x:c r="J2410" s="1"/>
      <x:c r="K2410" s="1"/>
      <x:c r="L2410" s="1"/>
      <x:c r="M2410" s="1"/>
      <x:c r="N2410" s="1"/>
      <x:c r="O2410" s="1"/>
    </x:row>
    <x:row r="2411">
      <x:c r="A2411" s="1"/>
      <x:c r="B2411" s="1"/>
      <x:c r="C2411" s="1"/>
      <x:c r="D2411" s="1"/>
      <x:c r="E2411" s="1"/>
      <x:c r="F2411" s="1"/>
      <x:c r="G2411" s="1"/>
      <x:c r="H2411" s="1"/>
      <x:c r="I2411" s="1"/>
      <x:c r="J2411" s="1"/>
      <x:c r="K2411" s="1"/>
      <x:c r="L2411" s="1"/>
      <x:c r="M2411" s="1"/>
      <x:c r="N2411" s="1"/>
      <x:c r="O2411" s="1"/>
    </x:row>
    <x:row r="2412">
      <x:c r="A2412" s="1"/>
      <x:c r="B2412" s="1"/>
      <x:c r="C2412" s="1"/>
      <x:c r="D2412" s="1"/>
      <x:c r="E2412" s="1"/>
      <x:c r="F2412" s="1"/>
      <x:c r="G2412" s="1"/>
      <x:c r="H2412" s="1"/>
      <x:c r="I2412" s="1"/>
      <x:c r="J2412" s="1"/>
      <x:c r="K2412" s="1"/>
      <x:c r="L2412" s="1"/>
      <x:c r="M2412" s="1"/>
      <x:c r="N2412" s="1"/>
      <x:c r="O2412" s="1"/>
    </x:row>
    <x:row r="2413">
      <x:c r="A2413" s="1"/>
      <x:c r="B2413" s="1"/>
      <x:c r="C2413" s="1"/>
      <x:c r="D2413" s="1"/>
      <x:c r="E2413" s="1"/>
      <x:c r="F2413" s="1"/>
      <x:c r="G2413" s="1"/>
      <x:c r="H2413" s="1"/>
      <x:c r="I2413" s="1"/>
      <x:c r="J2413" s="1"/>
      <x:c r="K2413" s="1"/>
      <x:c r="L2413" s="1"/>
      <x:c r="M2413" s="1"/>
      <x:c r="N2413" s="1"/>
      <x:c r="O2413" s="1"/>
    </x:row>
    <x:row r="2414">
      <x:c r="A2414" s="1"/>
      <x:c r="B2414" s="1"/>
      <x:c r="C2414" s="1"/>
      <x:c r="D2414" s="1"/>
      <x:c r="E2414" s="1"/>
      <x:c r="F2414" s="1"/>
      <x:c r="G2414" s="1"/>
      <x:c r="H2414" s="1"/>
      <x:c r="I2414" s="1"/>
      <x:c r="J2414" s="1"/>
      <x:c r="K2414" s="1"/>
      <x:c r="L2414" s="1"/>
      <x:c r="M2414" s="1"/>
      <x:c r="N2414" s="1"/>
      <x:c r="O2414" s="1"/>
    </x:row>
    <x:row r="2415">
      <x:c r="A2415" s="1"/>
      <x:c r="B2415" s="1"/>
      <x:c r="C2415" s="1"/>
      <x:c r="D2415" s="1"/>
      <x:c r="E2415" s="1"/>
      <x:c r="F2415" s="1"/>
      <x:c r="G2415" s="1"/>
      <x:c r="H2415" s="1"/>
      <x:c r="I2415" s="1"/>
      <x:c r="J2415" s="1"/>
      <x:c r="K2415" s="1"/>
      <x:c r="L2415" s="1"/>
      <x:c r="M2415" s="1"/>
      <x:c r="N2415" s="1"/>
      <x:c r="O2415" s="1"/>
    </x:row>
    <x:row r="2416">
      <x:c r="A2416" s="1"/>
      <x:c r="B2416" s="1"/>
      <x:c r="C2416" s="1"/>
      <x:c r="D2416" s="1"/>
      <x:c r="E2416" s="1"/>
      <x:c r="F2416" s="1"/>
      <x:c r="G2416" s="1"/>
      <x:c r="H2416" s="1"/>
      <x:c r="I2416" s="1"/>
      <x:c r="J2416" s="1"/>
      <x:c r="K2416" s="1"/>
      <x:c r="L2416" s="1"/>
      <x:c r="M2416" s="1"/>
      <x:c r="N2416" s="1"/>
      <x:c r="O2416" s="1"/>
    </x:row>
    <x:row r="2417">
      <x:c r="A2417" s="1"/>
      <x:c r="B2417" s="1"/>
      <x:c r="C2417" s="1"/>
      <x:c r="D2417" s="1"/>
      <x:c r="E2417" s="1"/>
      <x:c r="F2417" s="1"/>
      <x:c r="G2417" s="1"/>
      <x:c r="H2417" s="1"/>
      <x:c r="I2417" s="1"/>
      <x:c r="J2417" s="1"/>
      <x:c r="K2417" s="1"/>
      <x:c r="L2417" s="1"/>
      <x:c r="M2417" s="1"/>
      <x:c r="N2417" s="1"/>
      <x:c r="O2417" s="1"/>
    </x:row>
    <x:row r="2418">
      <x:c r="A2418" s="1"/>
      <x:c r="B2418" s="1"/>
      <x:c r="C2418" s="1"/>
      <x:c r="D2418" s="1"/>
      <x:c r="E2418" s="1"/>
      <x:c r="F2418" s="1"/>
      <x:c r="G2418" s="1"/>
      <x:c r="H2418" s="1"/>
      <x:c r="I2418" s="1"/>
      <x:c r="J2418" s="1"/>
      <x:c r="K2418" s="1"/>
      <x:c r="L2418" s="1"/>
      <x:c r="M2418" s="1"/>
      <x:c r="N2418" s="1"/>
      <x:c r="O2418" s="1"/>
    </x:row>
    <x:row r="2419">
      <x:c r="A2419" s="1"/>
      <x:c r="B2419" s="1"/>
      <x:c r="C2419" s="1"/>
      <x:c r="D2419" s="1"/>
      <x:c r="E2419" s="1"/>
      <x:c r="F2419" s="1"/>
      <x:c r="G2419" s="1"/>
      <x:c r="H2419" s="1"/>
      <x:c r="I2419" s="1"/>
      <x:c r="J2419" s="1"/>
      <x:c r="K2419" s="1"/>
      <x:c r="L2419" s="1"/>
      <x:c r="M2419" s="1"/>
      <x:c r="N2419" s="1"/>
      <x:c r="O2419" s="1"/>
    </x:row>
    <x:row r="2420">
      <x:c r="A2420" s="1"/>
      <x:c r="B2420" s="1"/>
      <x:c r="C2420" s="1"/>
      <x:c r="D2420" s="1"/>
      <x:c r="E2420" s="1"/>
      <x:c r="F2420" s="1"/>
      <x:c r="G2420" s="1"/>
      <x:c r="H2420" s="1"/>
      <x:c r="I2420" s="1"/>
      <x:c r="J2420" s="1"/>
      <x:c r="K2420" s="1"/>
      <x:c r="L2420" s="1"/>
      <x:c r="M2420" s="1"/>
      <x:c r="N2420" s="1"/>
      <x:c r="O2420" s="1"/>
    </x:row>
    <x:row r="2421">
      <x:c r="A2421" s="1"/>
      <x:c r="B2421" s="1"/>
      <x:c r="C2421" s="1"/>
      <x:c r="D2421" s="1"/>
      <x:c r="E2421" s="1"/>
      <x:c r="F2421" s="1"/>
      <x:c r="G2421" s="1"/>
      <x:c r="H2421" s="1"/>
      <x:c r="I2421" s="1"/>
      <x:c r="J2421" s="1"/>
      <x:c r="K2421" s="1"/>
      <x:c r="L2421" s="1"/>
      <x:c r="M2421" s="1"/>
      <x:c r="N2421" s="1"/>
      <x:c r="O2421" s="1"/>
    </x:row>
    <x:row r="2422">
      <x:c r="A2422" s="1"/>
      <x:c r="B2422" s="1"/>
      <x:c r="C2422" s="1"/>
      <x:c r="D2422" s="1"/>
      <x:c r="E2422" s="1"/>
      <x:c r="F2422" s="1"/>
      <x:c r="G2422" s="1"/>
      <x:c r="H2422" s="1"/>
      <x:c r="I2422" s="1"/>
      <x:c r="J2422" s="1"/>
      <x:c r="K2422" s="1"/>
      <x:c r="L2422" s="1"/>
      <x:c r="M2422" s="1"/>
      <x:c r="N2422" s="1"/>
      <x:c r="O2422" s="1"/>
    </x:row>
    <x:row r="2423">
      <x:c r="A2423" s="1"/>
      <x:c r="B2423" s="1"/>
      <x:c r="C2423" s="1"/>
      <x:c r="D2423" s="1"/>
      <x:c r="E2423" s="1"/>
      <x:c r="F2423" s="1"/>
      <x:c r="G2423" s="1"/>
      <x:c r="H2423" s="1"/>
      <x:c r="I2423" s="1"/>
      <x:c r="J2423" s="1"/>
      <x:c r="K2423" s="1"/>
      <x:c r="L2423" s="1"/>
      <x:c r="M2423" s="1"/>
      <x:c r="N2423" s="1"/>
      <x:c r="O2423" s="1"/>
    </x:row>
    <x:row r="2424">
      <x:c r="A2424" s="1"/>
      <x:c r="B2424" s="1"/>
      <x:c r="C2424" s="1"/>
      <x:c r="D2424" s="1"/>
      <x:c r="E2424" s="1"/>
      <x:c r="F2424" s="1"/>
      <x:c r="G2424" s="1"/>
      <x:c r="H2424" s="1"/>
      <x:c r="I2424" s="1"/>
      <x:c r="J2424" s="1"/>
      <x:c r="K2424" s="1"/>
      <x:c r="L2424" s="1"/>
      <x:c r="M2424" s="1"/>
      <x:c r="N2424" s="1"/>
      <x:c r="O2424" s="1"/>
    </x:row>
    <x:row r="2425">
      <x:c r="A2425" s="1"/>
      <x:c r="B2425" s="1"/>
      <x:c r="C2425" s="1"/>
      <x:c r="D2425" s="1"/>
      <x:c r="E2425" s="1"/>
      <x:c r="F2425" s="1"/>
      <x:c r="G2425" s="1"/>
      <x:c r="H2425" s="1"/>
      <x:c r="I2425" s="1"/>
      <x:c r="J2425" s="1"/>
      <x:c r="K2425" s="1"/>
      <x:c r="L2425" s="1"/>
      <x:c r="M2425" s="1"/>
      <x:c r="N2425" s="1"/>
      <x:c r="O2425" s="1"/>
    </x:row>
    <x:row r="2426">
      <x:c r="A2426" s="1"/>
      <x:c r="B2426" s="1"/>
      <x:c r="C2426" s="1"/>
      <x:c r="D2426" s="1"/>
      <x:c r="E2426" s="1"/>
      <x:c r="F2426" s="1"/>
      <x:c r="G2426" s="1"/>
      <x:c r="H2426" s="1"/>
      <x:c r="I2426" s="1"/>
      <x:c r="J2426" s="1"/>
      <x:c r="K2426" s="1"/>
      <x:c r="L2426" s="1"/>
      <x:c r="M2426" s="1"/>
      <x:c r="N2426" s="1"/>
      <x:c r="O2426" s="1"/>
    </x:row>
    <x:row r="2427">
      <x:c r="A2427" s="1"/>
      <x:c r="B2427" s="1"/>
      <x:c r="C2427" s="1"/>
      <x:c r="D2427" s="1"/>
      <x:c r="E2427" s="1"/>
      <x:c r="F2427" s="1"/>
      <x:c r="G2427" s="1"/>
      <x:c r="H2427" s="1"/>
      <x:c r="I2427" s="1"/>
      <x:c r="J2427" s="1"/>
      <x:c r="K2427" s="1"/>
      <x:c r="L2427" s="1"/>
      <x:c r="M2427" s="1"/>
      <x:c r="N2427" s="1"/>
      <x:c r="O2427" s="1"/>
    </x:row>
    <x:row r="2428">
      <x:c r="A2428" s="1"/>
      <x:c r="B2428" s="1"/>
      <x:c r="C2428" s="1"/>
      <x:c r="D2428" s="1"/>
      <x:c r="E2428" s="1"/>
      <x:c r="F2428" s="1"/>
      <x:c r="G2428" s="1"/>
      <x:c r="H2428" s="1"/>
      <x:c r="I2428" s="1"/>
      <x:c r="J2428" s="1"/>
      <x:c r="K2428" s="1"/>
      <x:c r="L2428" s="1"/>
      <x:c r="M2428" s="1"/>
      <x:c r="N2428" s="1"/>
      <x:c r="O2428" s="1"/>
    </x:row>
    <x:row r="2429">
      <x:c r="A2429" s="1"/>
      <x:c r="B2429" s="1"/>
      <x:c r="C2429" s="1"/>
      <x:c r="D2429" s="1"/>
      <x:c r="E2429" s="1"/>
      <x:c r="F2429" s="1"/>
      <x:c r="G2429" s="1"/>
      <x:c r="H2429" s="1"/>
      <x:c r="I2429" s="1"/>
      <x:c r="J2429" s="1"/>
      <x:c r="K2429" s="1"/>
      <x:c r="L2429" s="1"/>
      <x:c r="M2429" s="1"/>
      <x:c r="N2429" s="1"/>
      <x:c r="O2429" s="1"/>
    </x:row>
    <x:row r="2430">
      <x:c r="A2430" s="1"/>
      <x:c r="B2430" s="1"/>
      <x:c r="C2430" s="1"/>
      <x:c r="D2430" s="1"/>
      <x:c r="E2430" s="1"/>
      <x:c r="F2430" s="1"/>
      <x:c r="G2430" s="1"/>
      <x:c r="H2430" s="1"/>
      <x:c r="I2430" s="1"/>
      <x:c r="J2430" s="1"/>
      <x:c r="K2430" s="1"/>
      <x:c r="L2430" s="1"/>
      <x:c r="M2430" s="1"/>
      <x:c r="N2430" s="1"/>
      <x:c r="O2430" s="1"/>
    </x:row>
    <x:row r="2431">
      <x:c r="A2431" s="1"/>
      <x:c r="B2431" s="1"/>
      <x:c r="C2431" s="1"/>
      <x:c r="D2431" s="1"/>
      <x:c r="E2431" s="1"/>
      <x:c r="F2431" s="1"/>
      <x:c r="G2431" s="1"/>
      <x:c r="H2431" s="1"/>
      <x:c r="I2431" s="1"/>
      <x:c r="J2431" s="1"/>
      <x:c r="K2431" s="1"/>
      <x:c r="L2431" s="1"/>
      <x:c r="M2431" s="1"/>
      <x:c r="N2431" s="1"/>
      <x:c r="O2431" s="1"/>
    </x:row>
    <x:row r="2432">
      <x:c r="A2432" s="1"/>
      <x:c r="B2432" s="1"/>
      <x:c r="C2432" s="1"/>
      <x:c r="D2432" s="1"/>
      <x:c r="E2432" s="1"/>
      <x:c r="F2432" s="1"/>
      <x:c r="G2432" s="1"/>
      <x:c r="H2432" s="1"/>
      <x:c r="I2432" s="1"/>
      <x:c r="J2432" s="1"/>
      <x:c r="K2432" s="1"/>
      <x:c r="L2432" s="1"/>
      <x:c r="M2432" s="1"/>
      <x:c r="N2432" s="1"/>
      <x:c r="O2432" s="1"/>
    </x:row>
    <x:row r="2433">
      <x:c r="A2433" s="1"/>
      <x:c r="B2433" s="1"/>
      <x:c r="C2433" s="1"/>
      <x:c r="D2433" s="1"/>
      <x:c r="E2433" s="1"/>
      <x:c r="F2433" s="1"/>
      <x:c r="G2433" s="1"/>
      <x:c r="H2433" s="1"/>
      <x:c r="I2433" s="1"/>
      <x:c r="J2433" s="1"/>
      <x:c r="K2433" s="1"/>
      <x:c r="L2433" s="1"/>
      <x:c r="M2433" s="1"/>
      <x:c r="N2433" s="1"/>
      <x:c r="O2433" s="1"/>
    </x:row>
    <x:row r="2434">
      <x:c r="A2434" s="1"/>
      <x:c r="B2434" s="1"/>
      <x:c r="C2434" s="1"/>
      <x:c r="D2434" s="1"/>
      <x:c r="E2434" s="1"/>
      <x:c r="F2434" s="1"/>
      <x:c r="G2434" s="1"/>
      <x:c r="H2434" s="1"/>
      <x:c r="I2434" s="1"/>
      <x:c r="J2434" s="1"/>
      <x:c r="K2434" s="1"/>
      <x:c r="L2434" s="1"/>
      <x:c r="M2434" s="1"/>
      <x:c r="N2434" s="1"/>
      <x:c r="O2434" s="1"/>
    </x:row>
    <x:row r="2435">
      <x:c r="A2435" s="1"/>
      <x:c r="B2435" s="1"/>
      <x:c r="C2435" s="1"/>
      <x:c r="D2435" s="1"/>
      <x:c r="E2435" s="1"/>
      <x:c r="F2435" s="1"/>
      <x:c r="G2435" s="1"/>
      <x:c r="H2435" s="1"/>
      <x:c r="I2435" s="1"/>
      <x:c r="J2435" s="1"/>
      <x:c r="K2435" s="1"/>
      <x:c r="L2435" s="1"/>
      <x:c r="M2435" s="1"/>
      <x:c r="N2435" s="1"/>
      <x:c r="O2435" s="1"/>
    </x:row>
    <x:row r="2436">
      <x:c r="A2436" s="1"/>
      <x:c r="B2436" s="1"/>
      <x:c r="C2436" s="1"/>
      <x:c r="D2436" s="1"/>
      <x:c r="E2436" s="1"/>
      <x:c r="F2436" s="1"/>
      <x:c r="G2436" s="1"/>
      <x:c r="H2436" s="1"/>
      <x:c r="I2436" s="1"/>
      <x:c r="J2436" s="1"/>
      <x:c r="K2436" s="1"/>
      <x:c r="L2436" s="1"/>
      <x:c r="M2436" s="1"/>
      <x:c r="N2436" s="1"/>
      <x:c r="O2436" s="1"/>
    </x:row>
    <x:row r="2437">
      <x:c r="A2437" s="1"/>
      <x:c r="B2437" s="1"/>
      <x:c r="C2437" s="1"/>
      <x:c r="D2437" s="1"/>
      <x:c r="E2437" s="1"/>
      <x:c r="F2437" s="1"/>
      <x:c r="G2437" s="1"/>
      <x:c r="H2437" s="1"/>
      <x:c r="I2437" s="1"/>
      <x:c r="J2437" s="1"/>
      <x:c r="K2437" s="1"/>
      <x:c r="L2437" s="1"/>
      <x:c r="M2437" s="1"/>
      <x:c r="N2437" s="1"/>
      <x:c r="O2437" s="1"/>
    </x:row>
    <x:row r="2438">
      <x:c r="A2438" s="1"/>
      <x:c r="B2438" s="1"/>
      <x:c r="C2438" s="1"/>
      <x:c r="D2438" s="1"/>
      <x:c r="E2438" s="1"/>
      <x:c r="F2438" s="1"/>
      <x:c r="G2438" s="1"/>
      <x:c r="H2438" s="1"/>
      <x:c r="I2438" s="1"/>
      <x:c r="J2438" s="1"/>
      <x:c r="K2438" s="1"/>
      <x:c r="L2438" s="1"/>
      <x:c r="M2438" s="1"/>
      <x:c r="N2438" s="1"/>
      <x:c r="O2438" s="1"/>
    </x:row>
    <x:row r="2439">
      <x:c r="A2439" s="1"/>
      <x:c r="B2439" s="1"/>
      <x:c r="C2439" s="1"/>
      <x:c r="D2439" s="1"/>
      <x:c r="E2439" s="1"/>
      <x:c r="F2439" s="1"/>
      <x:c r="G2439" s="1"/>
      <x:c r="H2439" s="1"/>
      <x:c r="I2439" s="1"/>
      <x:c r="J2439" s="1"/>
      <x:c r="K2439" s="1"/>
      <x:c r="L2439" s="1"/>
      <x:c r="M2439" s="1"/>
      <x:c r="N2439" s="1"/>
      <x:c r="O2439" s="1"/>
    </x:row>
    <x:row r="2440">
      <x:c r="A2440" s="1"/>
      <x:c r="B2440" s="1"/>
      <x:c r="C2440" s="1"/>
      <x:c r="D2440" s="1"/>
      <x:c r="E2440" s="1"/>
      <x:c r="F2440" s="1"/>
      <x:c r="G2440" s="1"/>
      <x:c r="H2440" s="1"/>
      <x:c r="I2440" s="1"/>
      <x:c r="J2440" s="1"/>
      <x:c r="K2440" s="1"/>
      <x:c r="L2440" s="1"/>
      <x:c r="M2440" s="1"/>
      <x:c r="N2440" s="1"/>
      <x:c r="O2440" s="1"/>
    </x:row>
    <x:row r="2441">
      <x:c r="A2441" s="1"/>
      <x:c r="B2441" s="1"/>
      <x:c r="C2441" s="1"/>
      <x:c r="D2441" s="1"/>
      <x:c r="E2441" s="1"/>
      <x:c r="F2441" s="1"/>
      <x:c r="G2441" s="1"/>
      <x:c r="H2441" s="1"/>
      <x:c r="I2441" s="1"/>
      <x:c r="J2441" s="1"/>
      <x:c r="K2441" s="1"/>
      <x:c r="L2441" s="1"/>
      <x:c r="M2441" s="1"/>
      <x:c r="N2441" s="1"/>
      <x:c r="O2441" s="1"/>
    </x:row>
    <x:row r="2442">
      <x:c r="A2442" s="1"/>
      <x:c r="B2442" s="1"/>
      <x:c r="C2442" s="1"/>
      <x:c r="D2442" s="1"/>
      <x:c r="E2442" s="1"/>
      <x:c r="F2442" s="1"/>
      <x:c r="G2442" s="1"/>
      <x:c r="H2442" s="1"/>
      <x:c r="I2442" s="1"/>
      <x:c r="J2442" s="1"/>
      <x:c r="K2442" s="1"/>
      <x:c r="L2442" s="1"/>
      <x:c r="M2442" s="1"/>
      <x:c r="N2442" s="1"/>
      <x:c r="O2442" s="1"/>
    </x:row>
    <x:row r="2443">
      <x:c r="A2443" s="1"/>
      <x:c r="B2443" s="1"/>
      <x:c r="C2443" s="1"/>
      <x:c r="D2443" s="1"/>
      <x:c r="E2443" s="1"/>
      <x:c r="F2443" s="1"/>
      <x:c r="G2443" s="1"/>
      <x:c r="H2443" s="1"/>
      <x:c r="I2443" s="1"/>
      <x:c r="J2443" s="1"/>
      <x:c r="K2443" s="1"/>
      <x:c r="L2443" s="1"/>
      <x:c r="M2443" s="1"/>
      <x:c r="N2443" s="1"/>
      <x:c r="O2443" s="1"/>
    </x:row>
    <x:row r="2444">
      <x:c r="A2444" s="1"/>
      <x:c r="B2444" s="1"/>
      <x:c r="C2444" s="1"/>
      <x:c r="D2444" s="1"/>
      <x:c r="E2444" s="1"/>
      <x:c r="F2444" s="1"/>
      <x:c r="G2444" s="1"/>
      <x:c r="H2444" s="1"/>
      <x:c r="I2444" s="1"/>
      <x:c r="J2444" s="1"/>
      <x:c r="K2444" s="1"/>
      <x:c r="L2444" s="1"/>
      <x:c r="M2444" s="1"/>
      <x:c r="N2444" s="1"/>
      <x:c r="O2444" s="1"/>
    </x:row>
    <x:row r="2445">
      <x:c r="A2445" s="1"/>
      <x:c r="B2445" s="1"/>
      <x:c r="C2445" s="1"/>
      <x:c r="D2445" s="1"/>
      <x:c r="E2445" s="1"/>
      <x:c r="F2445" s="1"/>
      <x:c r="G2445" s="1"/>
      <x:c r="H2445" s="1"/>
      <x:c r="I2445" s="1"/>
      <x:c r="J2445" s="1"/>
      <x:c r="K2445" s="1"/>
      <x:c r="L2445" s="1"/>
      <x:c r="M2445" s="1"/>
      <x:c r="N2445" s="1"/>
      <x:c r="O2445" s="1"/>
    </x:row>
    <x:row r="2446">
      <x:c r="A2446" s="1"/>
      <x:c r="B2446" s="1"/>
      <x:c r="C2446" s="1"/>
      <x:c r="D2446" s="1"/>
      <x:c r="E2446" s="1"/>
      <x:c r="F2446" s="1"/>
      <x:c r="G2446" s="1"/>
      <x:c r="H2446" s="1"/>
      <x:c r="I2446" s="1"/>
      <x:c r="J2446" s="1"/>
      <x:c r="K2446" s="1"/>
      <x:c r="L2446" s="1"/>
      <x:c r="M2446" s="1"/>
      <x:c r="N2446" s="1"/>
      <x:c r="O2446" s="1"/>
    </x:row>
    <x:row r="2447">
      <x:c r="A2447" s="1"/>
      <x:c r="B2447" s="1"/>
      <x:c r="C2447" s="1"/>
      <x:c r="D2447" s="1"/>
      <x:c r="E2447" s="1"/>
      <x:c r="F2447" s="1"/>
      <x:c r="G2447" s="1"/>
      <x:c r="H2447" s="1"/>
      <x:c r="I2447" s="1"/>
      <x:c r="J2447" s="1"/>
      <x:c r="K2447" s="1"/>
      <x:c r="L2447" s="1"/>
      <x:c r="M2447" s="1"/>
      <x:c r="N2447" s="1"/>
      <x:c r="O2447" s="1"/>
    </x:row>
    <x:row r="2448">
      <x:c r="A2448" s="1"/>
      <x:c r="B2448" s="1"/>
      <x:c r="C2448" s="1"/>
      <x:c r="D2448" s="1"/>
      <x:c r="E2448" s="1"/>
      <x:c r="F2448" s="1"/>
      <x:c r="G2448" s="1"/>
      <x:c r="H2448" s="1"/>
      <x:c r="I2448" s="1"/>
      <x:c r="J2448" s="1"/>
      <x:c r="K2448" s="1"/>
      <x:c r="L2448" s="1"/>
      <x:c r="M2448" s="1"/>
      <x:c r="N2448" s="1"/>
      <x:c r="O2448" s="1"/>
    </x:row>
    <x:row r="2449">
      <x:c r="A2449" s="1"/>
      <x:c r="B2449" s="1"/>
      <x:c r="C2449" s="1"/>
      <x:c r="D2449" s="1"/>
      <x:c r="E2449" s="1"/>
      <x:c r="F2449" s="1"/>
      <x:c r="G2449" s="1"/>
      <x:c r="H2449" s="1"/>
      <x:c r="I2449" s="1"/>
      <x:c r="J2449" s="1"/>
      <x:c r="K2449" s="1"/>
      <x:c r="L2449" s="1"/>
      <x:c r="M2449" s="1"/>
      <x:c r="N2449" s="1"/>
      <x:c r="O2449" s="1"/>
    </x:row>
    <x:row r="2450">
      <x:c r="A2450" s="1"/>
      <x:c r="B2450" s="1"/>
      <x:c r="C2450" s="1"/>
      <x:c r="D2450" s="1"/>
      <x:c r="E2450" s="1"/>
      <x:c r="F2450" s="1"/>
      <x:c r="G2450" s="1"/>
      <x:c r="H2450" s="1"/>
      <x:c r="I2450" s="1"/>
      <x:c r="J2450" s="1"/>
      <x:c r="K2450" s="1"/>
      <x:c r="L2450" s="1"/>
      <x:c r="M2450" s="1"/>
      <x:c r="N2450" s="1"/>
      <x:c r="O2450" s="1"/>
    </x:row>
    <x:row r="2451">
      <x:c r="A2451" s="1"/>
      <x:c r="B2451" s="1"/>
      <x:c r="C2451" s="1"/>
      <x:c r="D2451" s="1"/>
      <x:c r="E2451" s="1"/>
      <x:c r="F2451" s="1"/>
      <x:c r="G2451" s="1"/>
      <x:c r="H2451" s="1"/>
      <x:c r="I2451" s="1"/>
      <x:c r="J2451" s="1"/>
      <x:c r="K2451" s="1"/>
      <x:c r="L2451" s="1"/>
      <x:c r="M2451" s="1"/>
      <x:c r="N2451" s="1"/>
      <x:c r="O2451" s="1"/>
    </x:row>
    <x:row r="2452">
      <x:c r="A2452" s="1"/>
      <x:c r="B2452" s="1"/>
      <x:c r="C2452" s="1"/>
      <x:c r="D2452" s="1"/>
      <x:c r="E2452" s="1"/>
      <x:c r="F2452" s="1"/>
      <x:c r="G2452" s="1"/>
      <x:c r="H2452" s="1"/>
      <x:c r="I2452" s="1"/>
      <x:c r="J2452" s="1"/>
      <x:c r="K2452" s="1"/>
      <x:c r="L2452" s="1"/>
      <x:c r="M2452" s="1"/>
      <x:c r="N2452" s="1"/>
      <x:c r="O2452" s="1"/>
    </x:row>
    <x:row r="2453">
      <x:c r="A2453" s="1"/>
      <x:c r="B2453" s="1"/>
      <x:c r="C2453" s="1"/>
      <x:c r="D2453" s="1"/>
      <x:c r="E2453" s="1"/>
      <x:c r="F2453" s="1"/>
      <x:c r="G2453" s="1"/>
      <x:c r="H2453" s="1"/>
      <x:c r="I2453" s="1"/>
      <x:c r="J2453" s="1"/>
      <x:c r="K2453" s="1"/>
      <x:c r="L2453" s="1"/>
      <x:c r="M2453" s="1"/>
      <x:c r="N2453" s="1"/>
      <x:c r="O2453" s="1"/>
    </x:row>
    <x:row r="2454">
      <x:c r="A2454" s="1"/>
      <x:c r="B2454" s="1"/>
      <x:c r="C2454" s="1"/>
      <x:c r="D2454" s="1"/>
      <x:c r="E2454" s="1"/>
      <x:c r="F2454" s="1"/>
      <x:c r="G2454" s="1"/>
      <x:c r="H2454" s="1"/>
      <x:c r="I2454" s="1"/>
      <x:c r="J2454" s="1"/>
      <x:c r="K2454" s="1"/>
      <x:c r="L2454" s="1"/>
      <x:c r="M2454" s="1"/>
      <x:c r="N2454" s="1"/>
      <x:c r="O2454" s="1"/>
    </x:row>
    <x:row r="2455">
      <x:c r="A2455" s="1"/>
      <x:c r="B2455" s="1"/>
      <x:c r="C2455" s="1"/>
      <x:c r="D2455" s="1"/>
      <x:c r="E2455" s="1"/>
      <x:c r="F2455" s="1"/>
      <x:c r="G2455" s="1"/>
      <x:c r="H2455" s="1"/>
      <x:c r="I2455" s="1"/>
      <x:c r="J2455" s="1"/>
      <x:c r="K2455" s="1"/>
      <x:c r="L2455" s="1"/>
      <x:c r="M2455" s="1"/>
      <x:c r="N2455" s="1"/>
      <x:c r="O2455" s="1"/>
    </x:row>
    <x:row r="2456">
      <x:c r="A2456" s="1"/>
      <x:c r="B2456" s="1"/>
      <x:c r="C2456" s="1"/>
      <x:c r="D2456" s="1"/>
      <x:c r="E2456" s="1"/>
      <x:c r="F2456" s="1"/>
      <x:c r="G2456" s="1"/>
      <x:c r="H2456" s="1"/>
      <x:c r="I2456" s="1"/>
      <x:c r="J2456" s="1"/>
      <x:c r="K2456" s="1"/>
      <x:c r="L2456" s="1"/>
      <x:c r="M2456" s="1"/>
      <x:c r="N2456" s="1"/>
      <x:c r="O2456" s="1"/>
    </x:row>
    <x:row r="2457">
      <x:c r="A2457" s="1"/>
      <x:c r="B2457" s="1"/>
      <x:c r="C2457" s="1"/>
      <x:c r="D2457" s="1"/>
      <x:c r="E2457" s="1"/>
      <x:c r="F2457" s="1"/>
      <x:c r="G2457" s="1"/>
      <x:c r="H2457" s="1"/>
      <x:c r="I2457" s="1"/>
      <x:c r="J2457" s="1"/>
      <x:c r="K2457" s="1"/>
      <x:c r="L2457" s="1"/>
      <x:c r="M2457" s="1"/>
      <x:c r="N2457" s="1"/>
      <x:c r="O2457" s="1"/>
    </x:row>
    <x:row r="2458">
      <x:c r="A2458" s="1"/>
      <x:c r="B2458" s="1"/>
      <x:c r="C2458" s="1"/>
      <x:c r="D2458" s="1"/>
      <x:c r="E2458" s="1"/>
      <x:c r="F2458" s="1"/>
      <x:c r="G2458" s="1"/>
      <x:c r="H2458" s="1"/>
      <x:c r="I2458" s="1"/>
      <x:c r="J2458" s="1"/>
      <x:c r="K2458" s="1"/>
      <x:c r="L2458" s="1"/>
      <x:c r="M2458" s="1"/>
      <x:c r="N2458" s="1"/>
      <x:c r="O2458" s="1"/>
    </x:row>
    <x:row r="2459">
      <x:c r="A2459" s="1"/>
      <x:c r="B2459" s="1"/>
      <x:c r="C2459" s="1"/>
      <x:c r="D2459" s="1"/>
      <x:c r="E2459" s="1"/>
      <x:c r="F2459" s="1"/>
      <x:c r="G2459" s="1"/>
      <x:c r="H2459" s="1"/>
      <x:c r="I2459" s="1"/>
      <x:c r="J2459" s="1"/>
      <x:c r="K2459" s="1"/>
      <x:c r="L2459" s="1"/>
      <x:c r="M2459" s="1"/>
      <x:c r="N2459" s="1"/>
      <x:c r="O2459" s="1"/>
    </x:row>
    <x:row r="2460">
      <x:c r="A2460" s="1"/>
      <x:c r="B2460" s="1"/>
      <x:c r="C2460" s="1"/>
      <x:c r="D2460" s="1"/>
      <x:c r="E2460" s="1"/>
      <x:c r="F2460" s="1"/>
      <x:c r="G2460" s="1"/>
      <x:c r="H2460" s="1"/>
      <x:c r="I2460" s="1"/>
      <x:c r="J2460" s="1"/>
      <x:c r="K2460" s="1"/>
      <x:c r="L2460" s="1"/>
      <x:c r="M2460" s="1"/>
      <x:c r="N2460" s="1"/>
      <x:c r="O2460" s="1"/>
    </x:row>
    <x:row r="2461">
      <x:c r="A2461" s="1"/>
      <x:c r="B2461" s="1"/>
      <x:c r="C2461" s="1"/>
      <x:c r="D2461" s="1"/>
      <x:c r="E2461" s="1"/>
      <x:c r="F2461" s="1"/>
      <x:c r="G2461" s="1"/>
      <x:c r="H2461" s="1"/>
      <x:c r="I2461" s="1"/>
      <x:c r="J2461" s="1"/>
      <x:c r="K2461" s="1"/>
      <x:c r="L2461" s="1"/>
      <x:c r="M2461" s="1"/>
      <x:c r="N2461" s="1"/>
      <x:c r="O2461" s="1"/>
    </x:row>
    <x:row r="2462">
      <x:c r="A2462" s="1"/>
      <x:c r="B2462" s="1"/>
      <x:c r="C2462" s="1"/>
      <x:c r="D2462" s="1"/>
      <x:c r="E2462" s="1"/>
      <x:c r="F2462" s="1"/>
      <x:c r="G2462" s="1"/>
      <x:c r="H2462" s="1"/>
      <x:c r="I2462" s="1"/>
      <x:c r="J2462" s="1"/>
      <x:c r="K2462" s="1"/>
      <x:c r="L2462" s="1"/>
      <x:c r="M2462" s="1"/>
      <x:c r="N2462" s="1"/>
      <x:c r="O2462" s="1"/>
    </x:row>
    <x:row r="2463">
      <x:c r="A2463" s="1"/>
      <x:c r="B2463" s="1"/>
      <x:c r="C2463" s="1"/>
      <x:c r="D2463" s="1"/>
      <x:c r="E2463" s="1"/>
      <x:c r="F2463" s="1"/>
      <x:c r="G2463" s="1"/>
      <x:c r="H2463" s="1"/>
      <x:c r="I2463" s="1"/>
      <x:c r="J2463" s="1"/>
      <x:c r="K2463" s="1"/>
      <x:c r="L2463" s="1"/>
      <x:c r="M2463" s="1"/>
      <x:c r="N2463" s="1"/>
      <x:c r="O2463" s="1"/>
    </x:row>
    <x:row r="2464">
      <x:c r="A2464" s="1"/>
      <x:c r="B2464" s="1"/>
      <x:c r="C2464" s="1"/>
      <x:c r="D2464" s="1"/>
      <x:c r="E2464" s="1"/>
      <x:c r="F2464" s="1"/>
      <x:c r="G2464" s="1"/>
      <x:c r="H2464" s="1"/>
      <x:c r="I2464" s="1"/>
      <x:c r="J2464" s="1"/>
      <x:c r="K2464" s="1"/>
      <x:c r="L2464" s="1"/>
      <x:c r="M2464" s="1"/>
      <x:c r="N2464" s="1"/>
      <x:c r="O2464" s="1"/>
    </x:row>
    <x:row r="2465">
      <x:c r="A2465" s="1"/>
      <x:c r="B2465" s="1"/>
      <x:c r="C2465" s="1"/>
      <x:c r="D2465" s="1"/>
      <x:c r="E2465" s="1"/>
      <x:c r="F2465" s="1"/>
      <x:c r="G2465" s="1"/>
      <x:c r="H2465" s="1"/>
      <x:c r="I2465" s="1"/>
      <x:c r="J2465" s="1"/>
      <x:c r="K2465" s="1"/>
      <x:c r="L2465" s="1"/>
      <x:c r="M2465" s="1"/>
      <x:c r="N2465" s="1"/>
      <x:c r="O2465" s="1"/>
    </x:row>
    <x:row r="2466">
      <x:c r="A2466" s="1"/>
      <x:c r="B2466" s="1"/>
      <x:c r="C2466" s="1"/>
      <x:c r="D2466" s="1"/>
      <x:c r="E2466" s="1"/>
      <x:c r="F2466" s="1"/>
      <x:c r="G2466" s="1"/>
      <x:c r="H2466" s="1"/>
      <x:c r="I2466" s="1"/>
      <x:c r="J2466" s="1"/>
      <x:c r="K2466" s="1"/>
      <x:c r="L2466" s="1"/>
      <x:c r="M2466" s="1"/>
      <x:c r="N2466" s="1"/>
      <x:c r="O2466" s="1"/>
    </x:row>
    <x:row r="2467">
      <x:c r="A2467" s="1"/>
      <x:c r="B2467" s="1"/>
      <x:c r="C2467" s="1"/>
      <x:c r="D2467" s="1"/>
      <x:c r="E2467" s="1"/>
      <x:c r="F2467" s="1"/>
      <x:c r="G2467" s="1"/>
      <x:c r="H2467" s="1"/>
      <x:c r="I2467" s="1"/>
      <x:c r="J2467" s="1"/>
      <x:c r="K2467" s="1"/>
      <x:c r="L2467" s="1"/>
      <x:c r="M2467" s="1"/>
      <x:c r="N2467" s="1"/>
      <x:c r="O2467" s="1"/>
    </x:row>
    <x:row r="2468">
      <x:c r="A2468" s="1"/>
      <x:c r="B2468" s="1"/>
      <x:c r="C2468" s="1"/>
      <x:c r="D2468" s="1"/>
      <x:c r="E2468" s="1"/>
      <x:c r="F2468" s="1"/>
      <x:c r="G2468" s="1"/>
      <x:c r="H2468" s="1"/>
      <x:c r="I2468" s="1"/>
      <x:c r="J2468" s="1"/>
      <x:c r="K2468" s="1"/>
      <x:c r="L2468" s="1"/>
      <x:c r="M2468" s="1"/>
      <x:c r="N2468" s="1"/>
      <x:c r="O2468" s="1"/>
    </x:row>
    <x:row r="2469">
      <x:c r="A2469" s="1"/>
      <x:c r="B2469" s="1"/>
      <x:c r="C2469" s="1"/>
      <x:c r="D2469" s="1"/>
      <x:c r="E2469" s="1"/>
      <x:c r="F2469" s="1"/>
      <x:c r="G2469" s="1"/>
      <x:c r="H2469" s="1"/>
      <x:c r="I2469" s="1"/>
      <x:c r="J2469" s="1"/>
      <x:c r="K2469" s="1"/>
      <x:c r="L2469" s="1"/>
      <x:c r="M2469" s="1"/>
      <x:c r="N2469" s="1"/>
      <x:c r="O2469" s="1"/>
    </x:row>
    <x:row r="2470">
      <x:c r="A2470" s="1"/>
      <x:c r="B2470" s="1"/>
      <x:c r="C2470" s="1"/>
      <x:c r="D2470" s="1"/>
      <x:c r="E2470" s="1"/>
      <x:c r="F2470" s="1"/>
      <x:c r="G2470" s="1"/>
      <x:c r="H2470" s="1"/>
      <x:c r="I2470" s="1"/>
      <x:c r="J2470" s="1"/>
      <x:c r="K2470" s="1"/>
      <x:c r="L2470" s="1"/>
      <x:c r="M2470" s="1"/>
      <x:c r="N2470" s="1"/>
      <x:c r="O2470" s="1"/>
    </x:row>
    <x:row r="2471">
      <x:c r="A2471" s="1"/>
      <x:c r="B2471" s="1"/>
      <x:c r="C2471" s="1"/>
      <x:c r="D2471" s="1"/>
      <x:c r="E2471" s="1"/>
      <x:c r="F2471" s="1"/>
      <x:c r="G2471" s="1"/>
      <x:c r="H2471" s="1"/>
      <x:c r="I2471" s="1"/>
      <x:c r="J2471" s="1"/>
      <x:c r="K2471" s="1"/>
      <x:c r="L2471" s="1"/>
      <x:c r="M2471" s="1"/>
      <x:c r="N2471" s="1"/>
      <x:c r="O2471" s="1"/>
    </x:row>
    <x:row r="2472">
      <x:c r="A2472" s="1"/>
      <x:c r="B2472" s="1"/>
      <x:c r="C2472" s="1"/>
      <x:c r="D2472" s="1"/>
      <x:c r="E2472" s="1"/>
      <x:c r="F2472" s="1"/>
      <x:c r="G2472" s="1"/>
      <x:c r="H2472" s="1"/>
      <x:c r="I2472" s="1"/>
      <x:c r="J2472" s="1"/>
      <x:c r="K2472" s="1"/>
      <x:c r="L2472" s="1"/>
      <x:c r="M2472" s="1"/>
      <x:c r="N2472" s="1"/>
      <x:c r="O2472" s="1"/>
    </x:row>
    <x:row r="2473">
      <x:c r="A2473" s="1"/>
      <x:c r="B2473" s="1"/>
      <x:c r="C2473" s="1"/>
      <x:c r="D2473" s="1"/>
      <x:c r="E2473" s="1"/>
      <x:c r="F2473" s="1"/>
      <x:c r="G2473" s="1"/>
      <x:c r="H2473" s="1"/>
      <x:c r="I2473" s="1"/>
      <x:c r="J2473" s="1"/>
      <x:c r="K2473" s="1"/>
      <x:c r="L2473" s="1"/>
      <x:c r="M2473" s="1"/>
      <x:c r="N2473" s="1"/>
      <x:c r="O2473" s="1"/>
    </x:row>
    <x:row r="2474">
      <x:c r="A2474" s="1"/>
      <x:c r="B2474" s="1"/>
      <x:c r="C2474" s="1"/>
      <x:c r="D2474" s="1"/>
      <x:c r="E2474" s="1"/>
      <x:c r="F2474" s="1"/>
      <x:c r="G2474" s="1"/>
      <x:c r="H2474" s="1"/>
      <x:c r="I2474" s="1"/>
      <x:c r="J2474" s="1"/>
      <x:c r="K2474" s="1"/>
      <x:c r="L2474" s="1"/>
      <x:c r="M2474" s="1"/>
      <x:c r="N2474" s="1"/>
      <x:c r="O2474" s="1"/>
    </x:row>
    <x:row r="2475">
      <x:c r="A2475" s="1"/>
      <x:c r="B2475" s="1"/>
      <x:c r="C2475" s="1"/>
      <x:c r="D2475" s="1"/>
      <x:c r="E2475" s="1"/>
      <x:c r="F2475" s="1"/>
      <x:c r="G2475" s="1"/>
      <x:c r="H2475" s="1"/>
      <x:c r="I2475" s="1"/>
      <x:c r="J2475" s="1"/>
      <x:c r="K2475" s="1"/>
      <x:c r="L2475" s="1"/>
      <x:c r="M2475" s="1"/>
      <x:c r="N2475" s="1"/>
      <x:c r="O2475" s="1"/>
    </x:row>
    <x:row r="2476">
      <x:c r="A2476" s="1"/>
      <x:c r="B2476" s="1"/>
      <x:c r="C2476" s="1"/>
      <x:c r="D2476" s="1"/>
      <x:c r="E2476" s="1"/>
      <x:c r="F2476" s="1"/>
      <x:c r="G2476" s="1"/>
      <x:c r="H2476" s="1"/>
      <x:c r="I2476" s="1"/>
      <x:c r="J2476" s="1"/>
      <x:c r="K2476" s="1"/>
      <x:c r="L2476" s="1"/>
      <x:c r="M2476" s="1"/>
      <x:c r="N2476" s="1"/>
      <x:c r="O2476" s="1"/>
    </x:row>
    <x:row r="2477">
      <x:c r="A2477" s="1"/>
      <x:c r="B2477" s="1"/>
      <x:c r="C2477" s="1"/>
      <x:c r="D2477" s="1"/>
      <x:c r="E2477" s="1"/>
      <x:c r="F2477" s="1"/>
      <x:c r="G2477" s="1"/>
      <x:c r="H2477" s="1"/>
      <x:c r="I2477" s="1"/>
      <x:c r="J2477" s="1"/>
      <x:c r="K2477" s="1"/>
      <x:c r="L2477" s="1"/>
      <x:c r="M2477" s="1"/>
      <x:c r="N2477" s="1"/>
      <x:c r="O2477" s="1"/>
    </x:row>
    <x:row r="2478">
      <x:c r="A2478" s="1"/>
      <x:c r="B2478" s="1"/>
      <x:c r="C2478" s="1"/>
      <x:c r="D2478" s="1"/>
      <x:c r="E2478" s="1"/>
      <x:c r="F2478" s="1"/>
      <x:c r="G2478" s="1"/>
      <x:c r="H2478" s="1"/>
      <x:c r="I2478" s="1"/>
      <x:c r="J2478" s="1"/>
      <x:c r="K2478" s="1"/>
      <x:c r="L2478" s="1"/>
      <x:c r="M2478" s="1"/>
      <x:c r="N2478" s="1"/>
      <x:c r="O2478" s="1"/>
    </x:row>
  </x:sheetData>
  <x:conditionalFormatting sqref="L5:L24">
    <x:cfRule type="cellIs" dxfId="1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73fe8cd9f04db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23" hidden="0" customWidth="1"/>
    <x:col min="5" max="5" width="18" hidden="0" customWidth="1"/>
    <x:col min="6" max="6" width="20" hidden="0" customWidth="1"/>
    <x:col min="7" max="7" width="1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Динамика за июнь 2024 - апрель 2025</x:v>
      </x:c>
      <x:c r="B2" s="1"/>
      <x:c r="C2" s="1"/>
      <x:c r="D2" s="1"/>
      <x:c r="E2" s="1"/>
      <x:c r="F2" s="1"/>
      <x:c r="G2" s="1"/>
    </x:row>
    <x:row r="3">
      <x:c r="A3" s="1" t="str">
        <x:v>Источник: суммы текущих показателей из каждого месячного файла data/raw; остатки по месяцам не суммировать.</x:v>
      </x:c>
      <x:c r="B3" s="1"/>
      <x:c r="C3" s="1"/>
      <x:c r="D3" s="1"/>
      <x:c r="E3" s="1"/>
      <x:c r="F3" s="1"/>
      <x:c r="G3" s="1"/>
    </x:row>
    <x:row r="4" ht="40" customHeight="1">
      <x:c r="A4" s="7" t="str">
        <x:v>Месяц</x:v>
      </x:c>
      <x:c r="B4" s="7" t="str">
        <x:v>Выкупы, ₽</x:v>
      </x:c>
      <x:c r="C4" s="7" t="str">
        <x:v>Заказы, шт</x:v>
      </x:c>
      <x:c r="D4" s="7" t="str">
        <x:v>Переходы, шт</x:v>
      </x:c>
      <x:c r="E4" s="7" t="str">
        <x:v>Конверсия</x:v>
      </x:c>
      <x:c r="F4" s="7" t="str">
        <x:v>Остаток, шт</x:v>
      </x:c>
      <x:c r="G4" s="7" t="str">
        <x:v>Карточек</x:v>
      </x:c>
    </x:row>
    <x:row r="5">
      <x:c r="A5" s="1" t="str">
        <x:v>2024-06</x:v>
      </x:c>
      <x:c r="B5" s="8" t="n">
        <x:v>438761825</x:v>
      </x:c>
      <x:c r="C5" s="8" t="n">
        <x:v>574841</x:v>
      </x:c>
      <x:c r="D5" s="8" t="n">
        <x:v>27995452</x:v>
      </x:c>
      <x:c r="E5" s="10" t="n">
        <x:f>C5/D5</x:f>
        <x:v>0.020533370920390925</x:v>
      </x:c>
      <x:c r="F5" s="8" t="n">
        <x:v>737635</x:v>
      </x:c>
      <x:c r="G5" s="8" t="n">
        <x:v>2225</x:v>
      </x:c>
    </x:row>
    <x:row r="6">
      <x:c r="A6" s="1" t="str">
        <x:v>2024-07</x:v>
      </x:c>
      <x:c r="B6" s="8" t="n">
        <x:v>428762308</x:v>
      </x:c>
      <x:c r="C6" s="8" t="n">
        <x:v>614936</x:v>
      </x:c>
      <x:c r="D6" s="8" t="n">
        <x:v>29123010</x:v>
      </x:c>
      <x:c r="E6" s="10" t="n">
        <x:f>C6/D6</x:f>
        <x:v>0.021115125119278537</x:v>
      </x:c>
      <x:c r="F6" s="8" t="n">
        <x:v>737517</x:v>
      </x:c>
      <x:c r="G6" s="8" t="n">
        <x:v>2283</x:v>
      </x:c>
    </x:row>
    <x:row r="7">
      <x:c r="A7" s="1" t="str">
        <x:v>2024-08</x:v>
      </x:c>
      <x:c r="B7" s="8" t="n">
        <x:v>525412112</x:v>
      </x:c>
      <x:c r="C7" s="8" t="n">
        <x:v>595490</x:v>
      </x:c>
      <x:c r="D7" s="8" t="n">
        <x:v>35441323</x:v>
      </x:c>
      <x:c r="E7" s="10" t="n">
        <x:f>C7/D7</x:f>
        <x:v>0.016802138001451018</x:v>
      </x:c>
      <x:c r="F7" s="8" t="n">
        <x:v>737635</x:v>
      </x:c>
      <x:c r="G7" s="8" t="n">
        <x:v>2318</x:v>
      </x:c>
    </x:row>
    <x:row r="8">
      <x:c r="A8" s="1" t="str">
        <x:v>2024-09</x:v>
      </x:c>
      <x:c r="B8" s="8" t="n">
        <x:v>704337335</x:v>
      </x:c>
      <x:c r="C8" s="8" t="n">
        <x:v>718922</x:v>
      </x:c>
      <x:c r="D8" s="8" t="n">
        <x:v>48172400</x:v>
      </x:c>
      <x:c r="E8" s="10" t="n">
        <x:f>C8/D8</x:f>
        <x:v>0.01492393984937433</x:v>
      </x:c>
      <x:c r="F8" s="8" t="n">
        <x:v>737635</x:v>
      </x:c>
      <x:c r="G8" s="8" t="n">
        <x:v>2354</x:v>
      </x:c>
    </x:row>
    <x:row r="9">
      <x:c r="A9" s="1" t="str">
        <x:v>2024-10</x:v>
      </x:c>
      <x:c r="B9" s="8" t="n">
        <x:v>790127553</x:v>
      </x:c>
      <x:c r="C9" s="8" t="n">
        <x:v>775330</x:v>
      </x:c>
      <x:c r="D9" s="8" t="n">
        <x:v>49801032</x:v>
      </x:c>
      <x:c r="E9" s="10" t="n">
        <x:f>C9/D9</x:f>
        <x:v>0.015568552876574927</x:v>
      </x:c>
      <x:c r="F9" s="8" t="n">
        <x:v>737635</x:v>
      </x:c>
      <x:c r="G9" s="8" t="n">
        <x:v>2384</x:v>
      </x:c>
    </x:row>
    <x:row r="10">
      <x:c r="A10" s="1" t="str">
        <x:v>2024-11</x:v>
      </x:c>
      <x:c r="B10" s="8" t="n">
        <x:v>799911039</x:v>
      </x:c>
      <x:c r="C10" s="8" t="n">
        <x:v>773602</x:v>
      </x:c>
      <x:c r="D10" s="8" t="n">
        <x:v>44619596</x:v>
      </x:c>
      <x:c r="E10" s="10" t="n">
        <x:f>C10/D10</x:f>
        <x:v>0.017337718611347357</x:v>
      </x:c>
      <x:c r="F10" s="8" t="n">
        <x:v>737635</x:v>
      </x:c>
      <x:c r="G10" s="8" t="n">
        <x:v>2406</x:v>
      </x:c>
    </x:row>
    <x:row r="11">
      <x:c r="A11" s="1" t="str">
        <x:v>2024-12</x:v>
      </x:c>
      <x:c r="B11" s="8" t="n">
        <x:v>834935399</x:v>
      </x:c>
      <x:c r="C11" s="8" t="n">
        <x:v>718697</x:v>
      </x:c>
      <x:c r="D11" s="8" t="n">
        <x:v>42794329</x:v>
      </x:c>
      <x:c r="E11" s="10" t="n">
        <x:f>C11/D11</x:f>
        <x:v>0.016794211214294304</x:v>
      </x:c>
      <x:c r="F11" s="8" t="n">
        <x:v>737517</x:v>
      </x:c>
      <x:c r="G11" s="8" t="n">
        <x:v>2409</x:v>
      </x:c>
    </x:row>
    <x:row r="12">
      <x:c r="A12" s="1" t="str">
        <x:v>2025-01</x:v>
      </x:c>
      <x:c r="B12" s="8" t="n">
        <x:v>534935438</x:v>
      </x:c>
      <x:c r="C12" s="8" t="n">
        <x:v>557671</x:v>
      </x:c>
      <x:c r="D12" s="8" t="n">
        <x:v>38428855</x:v>
      </x:c>
      <x:c r="E12" s="10" t="n">
        <x:f>C12/D12</x:f>
        <x:v>0.014511777673313452</x:v>
      </x:c>
      <x:c r="F12" s="8" t="n">
        <x:v>737635</x:v>
      </x:c>
      <x:c r="G12" s="8" t="n">
        <x:v>2393</x:v>
      </x:c>
    </x:row>
    <x:row r="13">
      <x:c r="A13" s="1" t="str">
        <x:v>2025-02</x:v>
      </x:c>
      <x:c r="B13" s="8" t="n">
        <x:v>592757368</x:v>
      </x:c>
      <x:c r="C13" s="8" t="n">
        <x:v>646481</x:v>
      </x:c>
      <x:c r="D13" s="8" t="n">
        <x:v>38243141</x:v>
      </x:c>
      <x:c r="E13" s="10" t="n">
        <x:f>C13/D13</x:f>
        <x:v>0.016904495370816952</x:v>
      </x:c>
      <x:c r="F13" s="8" t="n">
        <x:v>737635</x:v>
      </x:c>
      <x:c r="G13" s="8" t="n">
        <x:v>2419</x:v>
      </x:c>
    </x:row>
    <x:row r="14">
      <x:c r="A14" s="1" t="str">
        <x:v>2025-03</x:v>
      </x:c>
      <x:c r="B14" s="8" t="n">
        <x:v>757893309</x:v>
      </x:c>
      <x:c r="C14" s="8" t="n">
        <x:v>1026061</x:v>
      </x:c>
      <x:c r="D14" s="8" t="n">
        <x:v>52167437</x:v>
      </x:c>
      <x:c r="E14" s="10" t="n">
        <x:f>C14/D14</x:f>
        <x:v>0.019668610516556526</x:v>
      </x:c>
      <x:c r="F14" s="8" t="n">
        <x:v>737635</x:v>
      </x:c>
      <x:c r="G14" s="8" t="n">
        <x:v>2442</x:v>
      </x:c>
    </x:row>
    <x:row r="15">
      <x:c r="A15" s="1" t="str">
        <x:v>2025-04</x:v>
      </x:c>
      <x:c r="B15" s="8" t="n">
        <x:v>856000491</x:v>
      </x:c>
      <x:c r="C15" s="8" t="n">
        <x:v>1382915</x:v>
      </x:c>
      <x:c r="D15" s="8" t="n">
        <x:v>68145996</x:v>
      </x:c>
      <x:c r="E15" s="10" t="n">
        <x:f>C15/D15</x:f>
        <x:v>0.020293415331401127</x:v>
      </x:c>
      <x:c r="F15" s="8" t="n">
        <x:v>737635</x:v>
      </x:c>
      <x:c r="G15" s="8" t="n">
        <x:v>2473</x:v>
      </x:c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  <x:row r="18">
      <x:c r="A18" s="1"/>
      <x:c r="B18" s="1"/>
      <x:c r="C18" s="1"/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>
      <x:c r="A20" s="1"/>
      <x:c r="B20" s="1"/>
      <x:c r="C20" s="1"/>
      <x:c r="D20" s="1"/>
      <x:c r="E20" s="1"/>
      <x:c r="F20" s="1"/>
      <x:c r="G20" s="1"/>
    </x:row>
    <x:row r="21">
      <x:c r="A21" s="1"/>
      <x:c r="B21" s="1"/>
      <x:c r="C21" s="1"/>
      <x:c r="D21" s="1"/>
      <x:c r="E21" s="1"/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/>
      <x:c r="B252" s="1"/>
      <x:c r="C252" s="1"/>
      <x:c r="D252" s="1"/>
      <x:c r="E252" s="1"/>
      <x:c r="F252" s="1"/>
      <x:c r="G252" s="1"/>
    </x:row>
    <x:row r="253">
      <x:c r="A253" s="1"/>
      <x:c r="B253" s="1"/>
      <x:c r="C253" s="1"/>
      <x:c r="D253" s="1"/>
      <x:c r="E253" s="1"/>
      <x:c r="F253" s="1"/>
      <x:c r="G253" s="1"/>
    </x:row>
    <x:row r="254">
      <x:c r="A254" s="1"/>
      <x:c r="B254" s="1"/>
      <x:c r="C254" s="1"/>
      <x:c r="D254" s="1"/>
      <x:c r="E254" s="1"/>
      <x:c r="F254" s="1"/>
      <x:c r="G254" s="1"/>
    </x:row>
    <x:row r="255">
      <x:c r="A255" s="1"/>
      <x:c r="B255" s="1"/>
      <x:c r="C255" s="1"/>
      <x:c r="D255" s="1"/>
      <x:c r="E255" s="1"/>
      <x:c r="F255" s="1"/>
      <x:c r="G255" s="1"/>
    </x:row>
    <x:row r="256">
      <x:c r="A256" s="1"/>
      <x:c r="B256" s="1"/>
      <x:c r="C256" s="1"/>
      <x:c r="D256" s="1"/>
      <x:c r="E256" s="1"/>
      <x:c r="F256" s="1"/>
      <x:c r="G256" s="1"/>
    </x:row>
    <x:row r="257">
      <x:c r="A257" s="1"/>
      <x:c r="B257" s="1"/>
      <x:c r="C257" s="1"/>
      <x:c r="D257" s="1"/>
      <x:c r="E257" s="1"/>
      <x:c r="F257" s="1"/>
      <x:c r="G257" s="1"/>
    </x:row>
    <x:row r="258">
      <x:c r="A258" s="1"/>
      <x:c r="B258" s="1"/>
      <x:c r="C258" s="1"/>
      <x:c r="D258" s="1"/>
      <x:c r="E258" s="1"/>
      <x:c r="F258" s="1"/>
      <x:c r="G258" s="1"/>
    </x:row>
    <x:row r="259">
      <x:c r="A259" s="1"/>
      <x:c r="B259" s="1"/>
      <x:c r="C259" s="1"/>
      <x:c r="D259" s="1"/>
      <x:c r="E259" s="1"/>
      <x:c r="F259" s="1"/>
      <x:c r="G259" s="1"/>
    </x:row>
    <x:row r="260">
      <x:c r="A260" s="1"/>
      <x:c r="B260" s="1"/>
      <x:c r="C260" s="1"/>
      <x:c r="D260" s="1"/>
      <x:c r="E260" s="1"/>
      <x:c r="F260" s="1"/>
      <x:c r="G260" s="1"/>
    </x:row>
    <x:row r="261">
      <x:c r="A261" s="1"/>
      <x:c r="B261" s="1"/>
      <x:c r="C261" s="1"/>
      <x:c r="D261" s="1"/>
      <x:c r="E261" s="1"/>
      <x:c r="F261" s="1"/>
      <x:c r="G261" s="1"/>
    </x:row>
    <x:row r="262">
      <x:c r="A262" s="1"/>
      <x:c r="B262" s="1"/>
      <x:c r="C262" s="1"/>
      <x:c r="D262" s="1"/>
      <x:c r="E262" s="1"/>
      <x:c r="F262" s="1"/>
      <x:c r="G262" s="1"/>
    </x:row>
    <x:row r="263">
      <x:c r="A263" s="1"/>
      <x:c r="B263" s="1"/>
      <x:c r="C263" s="1"/>
      <x:c r="D263" s="1"/>
      <x:c r="E263" s="1"/>
      <x:c r="F263" s="1"/>
      <x:c r="G263" s="1"/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/>
      <x:c r="B265" s="1"/>
      <x:c r="C265" s="1"/>
      <x:c r="D265" s="1"/>
      <x:c r="E265" s="1"/>
      <x:c r="F265" s="1"/>
      <x:c r="G265" s="1"/>
    </x:row>
    <x:row r="266">
      <x:c r="A266" s="1"/>
      <x:c r="B266" s="1"/>
      <x:c r="C266" s="1"/>
      <x:c r="D266" s="1"/>
      <x:c r="E266" s="1"/>
      <x:c r="F266" s="1"/>
      <x:c r="G266" s="1"/>
    </x:row>
    <x:row r="267">
      <x:c r="A267" s="1"/>
      <x:c r="B267" s="1"/>
      <x:c r="C267" s="1"/>
      <x:c r="D267" s="1"/>
      <x:c r="E267" s="1"/>
      <x:c r="F267" s="1"/>
      <x:c r="G267" s="1"/>
    </x:row>
    <x:row r="268">
      <x:c r="A268" s="1"/>
      <x:c r="B268" s="1"/>
      <x:c r="C268" s="1"/>
      <x:c r="D268" s="1"/>
      <x:c r="E268" s="1"/>
      <x:c r="F268" s="1"/>
      <x:c r="G268" s="1"/>
    </x:row>
    <x:row r="269">
      <x:c r="A269" s="1"/>
      <x:c r="B269" s="1"/>
      <x:c r="C269" s="1"/>
      <x:c r="D269" s="1"/>
      <x:c r="E269" s="1"/>
      <x:c r="F269" s="1"/>
      <x:c r="G269" s="1"/>
    </x:row>
    <x:row r="270">
      <x:c r="A270" s="1"/>
      <x:c r="B270" s="1"/>
      <x:c r="C270" s="1"/>
      <x:c r="D270" s="1"/>
      <x:c r="E270" s="1"/>
      <x:c r="F270" s="1"/>
      <x:c r="G270" s="1"/>
    </x:row>
    <x:row r="271">
      <x:c r="A271" s="1"/>
      <x:c r="B271" s="1"/>
      <x:c r="C271" s="1"/>
      <x:c r="D271" s="1"/>
      <x:c r="E271" s="1"/>
      <x:c r="F271" s="1"/>
      <x:c r="G271" s="1"/>
    </x:row>
    <x:row r="272">
      <x:c r="A272" s="1"/>
      <x:c r="B272" s="1"/>
      <x:c r="C272" s="1"/>
      <x:c r="D272" s="1"/>
      <x:c r="E272" s="1"/>
      <x:c r="F272" s="1"/>
      <x:c r="G272" s="1"/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/>
      <x:c r="B274" s="1"/>
      <x:c r="C274" s="1"/>
      <x:c r="D274" s="1"/>
      <x:c r="E274" s="1"/>
      <x:c r="F274" s="1"/>
      <x:c r="G274" s="1"/>
    </x:row>
    <x:row r="275">
      <x:c r="A275" s="1"/>
      <x:c r="B275" s="1"/>
      <x:c r="C275" s="1"/>
      <x:c r="D275" s="1"/>
      <x:c r="E275" s="1"/>
      <x:c r="F275" s="1"/>
      <x:c r="G275" s="1"/>
    </x:row>
    <x:row r="276">
      <x:c r="A276" s="1"/>
      <x:c r="B276" s="1"/>
      <x:c r="C276" s="1"/>
      <x:c r="D276" s="1"/>
      <x:c r="E276" s="1"/>
      <x:c r="F276" s="1"/>
      <x:c r="G276" s="1"/>
    </x:row>
    <x:row r="277">
      <x:c r="A277" s="1"/>
      <x:c r="B277" s="1"/>
      <x:c r="C277" s="1"/>
      <x:c r="D277" s="1"/>
      <x:c r="E277" s="1"/>
      <x:c r="F277" s="1"/>
      <x:c r="G277" s="1"/>
    </x:row>
    <x:row r="278">
      <x:c r="A278" s="1"/>
      <x:c r="B278" s="1"/>
      <x:c r="C278" s="1"/>
      <x:c r="D278" s="1"/>
      <x:c r="E278" s="1"/>
      <x:c r="F278" s="1"/>
      <x:c r="G278" s="1"/>
    </x:row>
    <x:row r="279">
      <x:c r="A279" s="1"/>
      <x:c r="B279" s="1"/>
      <x:c r="C279" s="1"/>
      <x:c r="D279" s="1"/>
      <x:c r="E279" s="1"/>
      <x:c r="F279" s="1"/>
      <x:c r="G279" s="1"/>
    </x:row>
    <x:row r="280">
      <x:c r="A280" s="1"/>
      <x:c r="B280" s="1"/>
      <x:c r="C280" s="1"/>
      <x:c r="D280" s="1"/>
      <x:c r="E280" s="1"/>
      <x:c r="F280" s="1"/>
      <x:c r="G280" s="1"/>
    </x:row>
    <x:row r="281">
      <x:c r="A281" s="1"/>
      <x:c r="B281" s="1"/>
      <x:c r="C281" s="1"/>
      <x:c r="D281" s="1"/>
      <x:c r="E281" s="1"/>
      <x:c r="F281" s="1"/>
      <x:c r="G281" s="1"/>
    </x:row>
    <x:row r="282">
      <x:c r="A282" s="1"/>
      <x:c r="B282" s="1"/>
      <x:c r="C282" s="1"/>
      <x:c r="D282" s="1"/>
      <x:c r="E282" s="1"/>
      <x:c r="F282" s="1"/>
      <x:c r="G282" s="1"/>
    </x:row>
    <x:row r="283">
      <x:c r="A283" s="1"/>
      <x:c r="B283" s="1"/>
      <x:c r="C283" s="1"/>
      <x:c r="D283" s="1"/>
      <x:c r="E283" s="1"/>
      <x:c r="F283" s="1"/>
      <x:c r="G283" s="1"/>
    </x:row>
    <x:row r="284">
      <x:c r="A284" s="1"/>
      <x:c r="B284" s="1"/>
      <x:c r="C284" s="1"/>
      <x:c r="D284" s="1"/>
      <x:c r="E284" s="1"/>
      <x:c r="F284" s="1"/>
      <x:c r="G284" s="1"/>
    </x:row>
    <x:row r="285">
      <x:c r="A285" s="1"/>
      <x:c r="B285" s="1"/>
      <x:c r="C285" s="1"/>
      <x:c r="D285" s="1"/>
      <x:c r="E285" s="1"/>
      <x:c r="F285" s="1"/>
      <x:c r="G285" s="1"/>
    </x:row>
    <x:row r="286">
      <x:c r="A286" s="1"/>
      <x:c r="B286" s="1"/>
      <x:c r="C286" s="1"/>
      <x:c r="D286" s="1"/>
      <x:c r="E286" s="1"/>
      <x:c r="F286" s="1"/>
      <x:c r="G286" s="1"/>
    </x:row>
    <x:row r="287">
      <x:c r="A287" s="1"/>
      <x:c r="B287" s="1"/>
      <x:c r="C287" s="1"/>
      <x:c r="D287" s="1"/>
      <x:c r="E287" s="1"/>
      <x:c r="F287" s="1"/>
      <x:c r="G287" s="1"/>
    </x:row>
    <x:row r="288">
      <x:c r="A288" s="1"/>
      <x:c r="B288" s="1"/>
      <x:c r="C288" s="1"/>
      <x:c r="D288" s="1"/>
      <x:c r="E288" s="1"/>
      <x:c r="F288" s="1"/>
      <x:c r="G288" s="1"/>
    </x:row>
    <x:row r="289">
      <x:c r="A289" s="1"/>
      <x:c r="B289" s="1"/>
      <x:c r="C289" s="1"/>
      <x:c r="D289" s="1"/>
      <x:c r="E289" s="1"/>
      <x:c r="F289" s="1"/>
      <x:c r="G289" s="1"/>
    </x:row>
    <x:row r="290">
      <x:c r="A290" s="1"/>
      <x:c r="B290" s="1"/>
      <x:c r="C290" s="1"/>
      <x:c r="D290" s="1"/>
      <x:c r="E290" s="1"/>
      <x:c r="F290" s="1"/>
      <x:c r="G290" s="1"/>
    </x:row>
    <x:row r="291">
      <x:c r="A291" s="1"/>
      <x:c r="B291" s="1"/>
      <x:c r="C291" s="1"/>
      <x:c r="D291" s="1"/>
      <x:c r="E291" s="1"/>
      <x:c r="F291" s="1"/>
      <x:c r="G291" s="1"/>
    </x:row>
    <x:row r="292">
      <x:c r="A292" s="1"/>
      <x:c r="B292" s="1"/>
      <x:c r="C292" s="1"/>
      <x:c r="D292" s="1"/>
      <x:c r="E292" s="1"/>
      <x:c r="F292" s="1"/>
      <x:c r="G292" s="1"/>
    </x:row>
    <x:row r="293">
      <x:c r="A293" s="1"/>
      <x:c r="B293" s="1"/>
      <x:c r="C293" s="1"/>
      <x:c r="D293" s="1"/>
      <x:c r="E293" s="1"/>
      <x:c r="F293" s="1"/>
      <x:c r="G293" s="1"/>
    </x:row>
    <x:row r="294">
      <x:c r="A294" s="1"/>
      <x:c r="B294" s="1"/>
      <x:c r="C294" s="1"/>
      <x:c r="D294" s="1"/>
      <x:c r="E294" s="1"/>
      <x:c r="F294" s="1"/>
      <x:c r="G294" s="1"/>
    </x:row>
    <x:row r="295">
      <x:c r="A295" s="1"/>
      <x:c r="B295" s="1"/>
      <x:c r="C295" s="1"/>
      <x:c r="D295" s="1"/>
      <x:c r="E295" s="1"/>
      <x:c r="F295" s="1"/>
      <x:c r="G295" s="1"/>
    </x:row>
    <x:row r="296">
      <x:c r="A296" s="1"/>
      <x:c r="B296" s="1"/>
      <x:c r="C296" s="1"/>
      <x:c r="D296" s="1"/>
      <x:c r="E296" s="1"/>
      <x:c r="F296" s="1"/>
      <x:c r="G296" s="1"/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/>
      <x:c r="B298" s="1"/>
      <x:c r="C298" s="1"/>
      <x:c r="D298" s="1"/>
      <x:c r="E298" s="1"/>
      <x:c r="F298" s="1"/>
      <x:c r="G298" s="1"/>
    </x:row>
    <x:row r="299">
      <x:c r="A299" s="1"/>
      <x:c r="B299" s="1"/>
      <x:c r="C299" s="1"/>
      <x:c r="D299" s="1"/>
      <x:c r="E299" s="1"/>
      <x:c r="F299" s="1"/>
      <x:c r="G299" s="1"/>
    </x:row>
    <x:row r="300">
      <x:c r="A300" s="1"/>
      <x:c r="B300" s="1"/>
      <x:c r="C300" s="1"/>
      <x:c r="D300" s="1"/>
      <x:c r="E300" s="1"/>
      <x:c r="F300" s="1"/>
      <x:c r="G300" s="1"/>
    </x:row>
    <x:row r="301">
      <x:c r="A301" s="1"/>
      <x:c r="B301" s="1"/>
      <x:c r="C301" s="1"/>
      <x:c r="D301" s="1"/>
      <x:c r="E301" s="1"/>
      <x:c r="F301" s="1"/>
      <x:c r="G301" s="1"/>
    </x:row>
    <x:row r="302">
      <x:c r="A302" s="1"/>
      <x:c r="B302" s="1"/>
      <x:c r="C302" s="1"/>
      <x:c r="D302" s="1"/>
      <x:c r="E302" s="1"/>
      <x:c r="F302" s="1"/>
      <x:c r="G302" s="1"/>
    </x:row>
    <x:row r="303">
      <x:c r="A303" s="1"/>
      <x:c r="B303" s="1"/>
      <x:c r="C303" s="1"/>
      <x:c r="D303" s="1"/>
      <x:c r="E303" s="1"/>
      <x:c r="F303" s="1"/>
      <x:c r="G303" s="1"/>
    </x:row>
    <x:row r="304">
      <x:c r="A304" s="1"/>
      <x:c r="B304" s="1"/>
      <x:c r="C304" s="1"/>
      <x:c r="D304" s="1"/>
      <x:c r="E304" s="1"/>
      <x:c r="F304" s="1"/>
      <x:c r="G304" s="1"/>
    </x:row>
    <x:row r="305">
      <x:c r="A305" s="1"/>
      <x:c r="B305" s="1"/>
      <x:c r="C305" s="1"/>
      <x:c r="D305" s="1"/>
      <x:c r="E305" s="1"/>
      <x:c r="F305" s="1"/>
      <x:c r="G305" s="1"/>
    </x:row>
    <x:row r="306">
      <x:c r="A306" s="1"/>
      <x:c r="B306" s="1"/>
      <x:c r="C306" s="1"/>
      <x:c r="D306" s="1"/>
      <x:c r="E306" s="1"/>
      <x:c r="F306" s="1"/>
      <x:c r="G306" s="1"/>
    </x:row>
    <x:row r="307">
      <x:c r="A307" s="1"/>
      <x:c r="B307" s="1"/>
      <x:c r="C307" s="1"/>
      <x:c r="D307" s="1"/>
      <x:c r="E307" s="1"/>
      <x:c r="F307" s="1"/>
      <x:c r="G307" s="1"/>
    </x:row>
    <x:row r="308">
      <x:c r="A308" s="1"/>
      <x:c r="B308" s="1"/>
      <x:c r="C308" s="1"/>
      <x:c r="D308" s="1"/>
      <x:c r="E308" s="1"/>
      <x:c r="F308" s="1"/>
      <x:c r="G308" s="1"/>
    </x:row>
    <x:row r="309">
      <x:c r="A309" s="1"/>
      <x:c r="B309" s="1"/>
      <x:c r="C309" s="1"/>
      <x:c r="D309" s="1"/>
      <x:c r="E309" s="1"/>
      <x:c r="F309" s="1"/>
      <x:c r="G309" s="1"/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/>
      <x:c r="B311" s="1"/>
      <x:c r="C311" s="1"/>
      <x:c r="D311" s="1"/>
      <x:c r="E311" s="1"/>
      <x:c r="F311" s="1"/>
      <x:c r="G311" s="1"/>
    </x:row>
    <x:row r="312">
      <x:c r="A312" s="1"/>
      <x:c r="B312" s="1"/>
      <x:c r="C312" s="1"/>
      <x:c r="D312" s="1"/>
      <x:c r="E312" s="1"/>
      <x:c r="F312" s="1"/>
      <x:c r="G312" s="1"/>
    </x:row>
    <x:row r="313">
      <x:c r="A313" s="1"/>
      <x:c r="B313" s="1"/>
      <x:c r="C313" s="1"/>
      <x:c r="D313" s="1"/>
      <x:c r="E313" s="1"/>
      <x:c r="F313" s="1"/>
      <x:c r="G313" s="1"/>
    </x:row>
    <x:row r="314">
      <x:c r="A314" s="1"/>
      <x:c r="B314" s="1"/>
      <x:c r="C314" s="1"/>
      <x:c r="D314" s="1"/>
      <x:c r="E314" s="1"/>
      <x:c r="F314" s="1"/>
      <x:c r="G314" s="1"/>
    </x:row>
    <x:row r="315">
      <x:c r="A315" s="1"/>
      <x:c r="B315" s="1"/>
      <x:c r="C315" s="1"/>
      <x:c r="D315" s="1"/>
      <x:c r="E315" s="1"/>
      <x:c r="F315" s="1"/>
      <x:c r="G315" s="1"/>
    </x:row>
    <x:row r="316">
      <x:c r="A316" s="1"/>
      <x:c r="B316" s="1"/>
      <x:c r="C316" s="1"/>
      <x:c r="D316" s="1"/>
      <x:c r="E316" s="1"/>
      <x:c r="F316" s="1"/>
      <x:c r="G316" s="1"/>
    </x:row>
    <x:row r="317">
      <x:c r="A317" s="1"/>
      <x:c r="B317" s="1"/>
      <x:c r="C317" s="1"/>
      <x:c r="D317" s="1"/>
      <x:c r="E317" s="1"/>
      <x:c r="F317" s="1"/>
      <x:c r="G317" s="1"/>
    </x:row>
    <x:row r="318">
      <x:c r="A318" s="1"/>
      <x:c r="B318" s="1"/>
      <x:c r="C318" s="1"/>
      <x:c r="D318" s="1"/>
      <x:c r="E318" s="1"/>
      <x:c r="F318" s="1"/>
      <x:c r="G318" s="1"/>
    </x:row>
    <x:row r="319">
      <x:c r="A319" s="1"/>
      <x:c r="B319" s="1"/>
      <x:c r="C319" s="1"/>
      <x:c r="D319" s="1"/>
      <x:c r="E319" s="1"/>
      <x:c r="F319" s="1"/>
      <x:c r="G319" s="1"/>
    </x:row>
    <x:row r="320">
      <x:c r="A320" s="1"/>
      <x:c r="B320" s="1"/>
      <x:c r="C320" s="1"/>
      <x:c r="D320" s="1"/>
      <x:c r="E320" s="1"/>
      <x:c r="F320" s="1"/>
      <x:c r="G320" s="1"/>
    </x:row>
    <x:row r="321">
      <x:c r="A321" s="1"/>
      <x:c r="B321" s="1"/>
      <x:c r="C321" s="1"/>
      <x:c r="D321" s="1"/>
      <x:c r="E321" s="1"/>
      <x:c r="F321" s="1"/>
      <x:c r="G321" s="1"/>
    </x:row>
    <x:row r="322">
      <x:c r="A322" s="1"/>
      <x:c r="B322" s="1"/>
      <x:c r="C322" s="1"/>
      <x:c r="D322" s="1"/>
      <x:c r="E322" s="1"/>
      <x:c r="F322" s="1"/>
      <x:c r="G322" s="1"/>
    </x:row>
    <x:row r="323">
      <x:c r="A323" s="1"/>
      <x:c r="B323" s="1"/>
      <x:c r="C323" s="1"/>
      <x:c r="D323" s="1"/>
      <x:c r="E323" s="1"/>
      <x:c r="F323" s="1"/>
      <x:c r="G323" s="1"/>
    </x:row>
    <x:row r="324">
      <x:c r="A324" s="1"/>
      <x:c r="B324" s="1"/>
      <x:c r="C324" s="1"/>
      <x:c r="D324" s="1"/>
      <x:c r="E324" s="1"/>
      <x:c r="F324" s="1"/>
      <x:c r="G324" s="1"/>
    </x:row>
    <x:row r="325">
      <x:c r="A325" s="1"/>
      <x:c r="B325" s="1"/>
      <x:c r="C325" s="1"/>
      <x:c r="D325" s="1"/>
      <x:c r="E325" s="1"/>
      <x:c r="F325" s="1"/>
      <x:c r="G325" s="1"/>
    </x:row>
    <x:row r="326">
      <x:c r="A326" s="1"/>
      <x:c r="B326" s="1"/>
      <x:c r="C326" s="1"/>
      <x:c r="D326" s="1"/>
      <x:c r="E326" s="1"/>
      <x:c r="F326" s="1"/>
      <x:c r="G326" s="1"/>
    </x:row>
    <x:row r="327">
      <x:c r="A327" s="1"/>
      <x:c r="B327" s="1"/>
      <x:c r="C327" s="1"/>
      <x:c r="D327" s="1"/>
      <x:c r="E327" s="1"/>
      <x:c r="F327" s="1"/>
      <x:c r="G327" s="1"/>
    </x:row>
    <x:row r="328">
      <x:c r="A328" s="1"/>
      <x:c r="B328" s="1"/>
      <x:c r="C328" s="1"/>
      <x:c r="D328" s="1"/>
      <x:c r="E328" s="1"/>
      <x:c r="F328" s="1"/>
      <x:c r="G328" s="1"/>
    </x:row>
    <x:row r="329">
      <x:c r="A329" s="1"/>
      <x:c r="B329" s="1"/>
      <x:c r="C329" s="1"/>
      <x:c r="D329" s="1"/>
      <x:c r="E329" s="1"/>
      <x:c r="F329" s="1"/>
      <x:c r="G329" s="1"/>
    </x:row>
    <x:row r="330">
      <x:c r="A330" s="1"/>
      <x:c r="B330" s="1"/>
      <x:c r="C330" s="1"/>
      <x:c r="D330" s="1"/>
      <x:c r="E330" s="1"/>
      <x:c r="F330" s="1"/>
      <x:c r="G330" s="1"/>
    </x:row>
    <x:row r="331">
      <x:c r="A331" s="1"/>
      <x:c r="B331" s="1"/>
      <x:c r="C331" s="1"/>
      <x:c r="D331" s="1"/>
      <x:c r="E331" s="1"/>
      <x:c r="F331" s="1"/>
      <x:c r="G331" s="1"/>
    </x:row>
    <x:row r="332">
      <x:c r="A332" s="1"/>
      <x:c r="B332" s="1"/>
      <x:c r="C332" s="1"/>
      <x:c r="D332" s="1"/>
      <x:c r="E332" s="1"/>
      <x:c r="F332" s="1"/>
      <x:c r="G332" s="1"/>
    </x:row>
    <x:row r="333">
      <x:c r="A333" s="1"/>
      <x:c r="B333" s="1"/>
      <x:c r="C333" s="1"/>
      <x:c r="D333" s="1"/>
      <x:c r="E333" s="1"/>
      <x:c r="F333" s="1"/>
      <x:c r="G333" s="1"/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/>
      <x:c r="B335" s="1"/>
      <x:c r="C335" s="1"/>
      <x:c r="D335" s="1"/>
      <x:c r="E335" s="1"/>
      <x:c r="F335" s="1"/>
      <x:c r="G335" s="1"/>
    </x:row>
    <x:row r="336">
      <x:c r="A336" s="1"/>
      <x:c r="B336" s="1"/>
      <x:c r="C336" s="1"/>
      <x:c r="D336" s="1"/>
      <x:c r="E336" s="1"/>
      <x:c r="F336" s="1"/>
      <x:c r="G336" s="1"/>
    </x:row>
    <x:row r="337">
      <x:c r="A337" s="1"/>
      <x:c r="B337" s="1"/>
      <x:c r="C337" s="1"/>
      <x:c r="D337" s="1"/>
      <x:c r="E337" s="1"/>
      <x:c r="F337" s="1"/>
      <x:c r="G337" s="1"/>
    </x:row>
    <x:row r="338">
      <x:c r="A338" s="1"/>
      <x:c r="B338" s="1"/>
      <x:c r="C338" s="1"/>
      <x:c r="D338" s="1"/>
      <x:c r="E338" s="1"/>
      <x:c r="F338" s="1"/>
      <x:c r="G338" s="1"/>
    </x:row>
    <x:row r="339">
      <x:c r="A339" s="1"/>
      <x:c r="B339" s="1"/>
      <x:c r="C339" s="1"/>
      <x:c r="D339" s="1"/>
      <x:c r="E339" s="1"/>
      <x:c r="F339" s="1"/>
      <x:c r="G339" s="1"/>
    </x:row>
    <x:row r="340">
      <x:c r="A340" s="1"/>
      <x:c r="B340" s="1"/>
      <x:c r="C340" s="1"/>
      <x:c r="D340" s="1"/>
      <x:c r="E340" s="1"/>
      <x:c r="F340" s="1"/>
      <x:c r="G340" s="1"/>
    </x:row>
    <x:row r="341">
      <x:c r="A341" s="1"/>
      <x:c r="B341" s="1"/>
      <x:c r="C341" s="1"/>
      <x:c r="D341" s="1"/>
      <x:c r="E341" s="1"/>
      <x:c r="F341" s="1"/>
      <x:c r="G341" s="1"/>
    </x:row>
    <x:row r="342">
      <x:c r="A342" s="1"/>
      <x:c r="B342" s="1"/>
      <x:c r="C342" s="1"/>
      <x:c r="D342" s="1"/>
      <x:c r="E342" s="1"/>
      <x:c r="F342" s="1"/>
      <x:c r="G342" s="1"/>
    </x:row>
    <x:row r="343">
      <x:c r="A343" s="1"/>
      <x:c r="B343" s="1"/>
      <x:c r="C343" s="1"/>
      <x:c r="D343" s="1"/>
      <x:c r="E343" s="1"/>
      <x:c r="F343" s="1"/>
      <x:c r="G343" s="1"/>
    </x:row>
    <x:row r="344">
      <x:c r="A344" s="1"/>
      <x:c r="B344" s="1"/>
      <x:c r="C344" s="1"/>
      <x:c r="D344" s="1"/>
      <x:c r="E344" s="1"/>
      <x:c r="F344" s="1"/>
      <x:c r="G344" s="1"/>
    </x:row>
    <x:row r="345">
      <x:c r="A345" s="1"/>
      <x:c r="B345" s="1"/>
      <x:c r="C345" s="1"/>
      <x:c r="D345" s="1"/>
      <x:c r="E345" s="1"/>
      <x:c r="F345" s="1"/>
      <x:c r="G345" s="1"/>
    </x:row>
    <x:row r="346">
      <x:c r="A346" s="1"/>
      <x:c r="B346" s="1"/>
      <x:c r="C346" s="1"/>
      <x:c r="D346" s="1"/>
      <x:c r="E346" s="1"/>
      <x:c r="F346" s="1"/>
      <x:c r="G346" s="1"/>
    </x:row>
    <x:row r="347">
      <x:c r="A347" s="1"/>
      <x:c r="B347" s="1"/>
      <x:c r="C347" s="1"/>
      <x:c r="D347" s="1"/>
      <x:c r="E347" s="1"/>
      <x:c r="F347" s="1"/>
      <x:c r="G347" s="1"/>
    </x:row>
    <x:row r="348">
      <x:c r="A348" s="1"/>
      <x:c r="B348" s="1"/>
      <x:c r="C348" s="1"/>
      <x:c r="D348" s="1"/>
      <x:c r="E348" s="1"/>
      <x:c r="F348" s="1"/>
      <x:c r="G348" s="1"/>
    </x:row>
    <x:row r="349">
      <x:c r="A349" s="1"/>
      <x:c r="B349" s="1"/>
      <x:c r="C349" s="1"/>
      <x:c r="D349" s="1"/>
      <x:c r="E349" s="1"/>
      <x:c r="F349" s="1"/>
      <x:c r="G349" s="1"/>
    </x:row>
    <x:row r="350">
      <x:c r="A350" s="1"/>
      <x:c r="B350" s="1"/>
      <x:c r="C350" s="1"/>
      <x:c r="D350" s="1"/>
      <x:c r="E350" s="1"/>
      <x:c r="F350" s="1"/>
      <x:c r="G350" s="1"/>
    </x:row>
    <x:row r="351">
      <x:c r="A351" s="1"/>
      <x:c r="B351" s="1"/>
      <x:c r="C351" s="1"/>
      <x:c r="D351" s="1"/>
      <x:c r="E351" s="1"/>
      <x:c r="F351" s="1"/>
      <x:c r="G351" s="1"/>
    </x:row>
    <x:row r="352">
      <x:c r="A352" s="1"/>
      <x:c r="B352" s="1"/>
      <x:c r="C352" s="1"/>
      <x:c r="D352" s="1"/>
      <x:c r="E352" s="1"/>
      <x:c r="F352" s="1"/>
      <x:c r="G352" s="1"/>
    </x:row>
    <x:row r="353">
      <x:c r="A353" s="1"/>
      <x:c r="B353" s="1"/>
      <x:c r="C353" s="1"/>
      <x:c r="D353" s="1"/>
      <x:c r="E353" s="1"/>
      <x:c r="F353" s="1"/>
      <x:c r="G353" s="1"/>
    </x:row>
    <x:row r="354">
      <x:c r="A354" s="1"/>
      <x:c r="B354" s="1"/>
      <x:c r="C354" s="1"/>
      <x:c r="D354" s="1"/>
      <x:c r="E354" s="1"/>
      <x:c r="F354" s="1"/>
      <x:c r="G354" s="1"/>
    </x:row>
    <x:row r="355">
      <x:c r="A355" s="1"/>
      <x:c r="B355" s="1"/>
      <x:c r="C355" s="1"/>
      <x:c r="D355" s="1"/>
      <x:c r="E355" s="1"/>
      <x:c r="F355" s="1"/>
      <x:c r="G355" s="1"/>
    </x:row>
    <x:row r="356">
      <x:c r="A356" s="1"/>
      <x:c r="B356" s="1"/>
      <x:c r="C356" s="1"/>
      <x:c r="D356" s="1"/>
      <x:c r="E356" s="1"/>
      <x:c r="F356" s="1"/>
      <x:c r="G356" s="1"/>
    </x:row>
    <x:row r="357">
      <x:c r="A357" s="1"/>
      <x:c r="B357" s="1"/>
      <x:c r="C357" s="1"/>
      <x:c r="D357" s="1"/>
      <x:c r="E357" s="1"/>
      <x:c r="F357" s="1"/>
      <x:c r="G357" s="1"/>
    </x:row>
    <x:row r="358">
      <x:c r="A358" s="1"/>
      <x:c r="B358" s="1"/>
      <x:c r="C358" s="1"/>
      <x:c r="D358" s="1"/>
      <x:c r="E358" s="1"/>
      <x:c r="F358" s="1"/>
      <x:c r="G358" s="1"/>
    </x:row>
    <x:row r="359">
      <x:c r="A359" s="1"/>
      <x:c r="B359" s="1"/>
      <x:c r="C359" s="1"/>
      <x:c r="D359" s="1"/>
      <x:c r="E359" s="1"/>
      <x:c r="F359" s="1"/>
      <x:c r="G359" s="1"/>
    </x:row>
    <x:row r="360">
      <x:c r="A360" s="1"/>
      <x:c r="B360" s="1"/>
      <x:c r="C360" s="1"/>
      <x:c r="D360" s="1"/>
      <x:c r="E360" s="1"/>
      <x:c r="F360" s="1"/>
      <x:c r="G360" s="1"/>
    </x:row>
    <x:row r="361">
      <x:c r="A361" s="1"/>
      <x:c r="B361" s="1"/>
      <x:c r="C361" s="1"/>
      <x:c r="D361" s="1"/>
      <x:c r="E361" s="1"/>
      <x:c r="F361" s="1"/>
      <x:c r="G361" s="1"/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/>
      <x:c r="B363" s="1"/>
      <x:c r="C363" s="1"/>
      <x:c r="D363" s="1"/>
      <x:c r="E363" s="1"/>
      <x:c r="F363" s="1"/>
      <x:c r="G363" s="1"/>
    </x:row>
    <x:row r="364">
      <x:c r="A364" s="1"/>
      <x:c r="B364" s="1"/>
      <x:c r="C364" s="1"/>
      <x:c r="D364" s="1"/>
      <x:c r="E364" s="1"/>
      <x:c r="F364" s="1"/>
      <x:c r="G364" s="1"/>
    </x:row>
    <x:row r="365">
      <x:c r="A365" s="1"/>
      <x:c r="B365" s="1"/>
      <x:c r="C365" s="1"/>
      <x:c r="D365" s="1"/>
      <x:c r="E365" s="1"/>
      <x:c r="F365" s="1"/>
      <x:c r="G365" s="1"/>
    </x:row>
    <x:row r="366">
      <x:c r="A366" s="1"/>
      <x:c r="B366" s="1"/>
      <x:c r="C366" s="1"/>
      <x:c r="D366" s="1"/>
      <x:c r="E366" s="1"/>
      <x:c r="F366" s="1"/>
      <x:c r="G366" s="1"/>
    </x:row>
    <x:row r="367">
      <x:c r="A367" s="1"/>
      <x:c r="B367" s="1"/>
      <x:c r="C367" s="1"/>
      <x:c r="D367" s="1"/>
      <x:c r="E367" s="1"/>
      <x:c r="F367" s="1"/>
      <x:c r="G367" s="1"/>
    </x:row>
    <x:row r="368">
      <x:c r="A368" s="1"/>
      <x:c r="B368" s="1"/>
      <x:c r="C368" s="1"/>
      <x:c r="D368" s="1"/>
      <x:c r="E368" s="1"/>
      <x:c r="F368" s="1"/>
      <x:c r="G368" s="1"/>
    </x:row>
    <x:row r="369">
      <x:c r="A369" s="1"/>
      <x:c r="B369" s="1"/>
      <x:c r="C369" s="1"/>
      <x:c r="D369" s="1"/>
      <x:c r="E369" s="1"/>
      <x:c r="F369" s="1"/>
      <x:c r="G369" s="1"/>
    </x:row>
    <x:row r="370">
      <x:c r="A370" s="1"/>
      <x:c r="B370" s="1"/>
      <x:c r="C370" s="1"/>
      <x:c r="D370" s="1"/>
      <x:c r="E370" s="1"/>
      <x:c r="F370" s="1"/>
      <x:c r="G370" s="1"/>
    </x:row>
    <x:row r="371">
      <x:c r="A371" s="1"/>
      <x:c r="B371" s="1"/>
      <x:c r="C371" s="1"/>
      <x:c r="D371" s="1"/>
      <x:c r="E371" s="1"/>
      <x:c r="F371" s="1"/>
      <x:c r="G371" s="1"/>
    </x:row>
    <x:row r="372">
      <x:c r="A372" s="1"/>
      <x:c r="B372" s="1"/>
      <x:c r="C372" s="1"/>
      <x:c r="D372" s="1"/>
      <x:c r="E372" s="1"/>
      <x:c r="F372" s="1"/>
      <x:c r="G372" s="1"/>
    </x:row>
    <x:row r="373">
      <x:c r="A373" s="1"/>
      <x:c r="B373" s="1"/>
      <x:c r="C373" s="1"/>
      <x:c r="D373" s="1"/>
      <x:c r="E373" s="1"/>
      <x:c r="F373" s="1"/>
      <x:c r="G373" s="1"/>
    </x:row>
    <x:row r="374">
      <x:c r="A374" s="1"/>
      <x:c r="B374" s="1"/>
      <x:c r="C374" s="1"/>
      <x:c r="D374" s="1"/>
      <x:c r="E374" s="1"/>
      <x:c r="F374" s="1"/>
      <x:c r="G374" s="1"/>
    </x:row>
    <x:row r="375">
      <x:c r="A375" s="1"/>
      <x:c r="B375" s="1"/>
      <x:c r="C375" s="1"/>
      <x:c r="D375" s="1"/>
      <x:c r="E375" s="1"/>
      <x:c r="F375" s="1"/>
      <x:c r="G375" s="1"/>
    </x:row>
    <x:row r="376">
      <x:c r="A376" s="1"/>
      <x:c r="B376" s="1"/>
      <x:c r="C376" s="1"/>
      <x:c r="D376" s="1"/>
      <x:c r="E376" s="1"/>
      <x:c r="F376" s="1"/>
      <x:c r="G376" s="1"/>
    </x:row>
    <x:row r="377">
      <x:c r="A377" s="1"/>
      <x:c r="B377" s="1"/>
      <x:c r="C377" s="1"/>
      <x:c r="D377" s="1"/>
      <x:c r="E377" s="1"/>
      <x:c r="F377" s="1"/>
      <x:c r="G377" s="1"/>
    </x:row>
    <x:row r="378">
      <x:c r="A378" s="1"/>
      <x:c r="B378" s="1"/>
      <x:c r="C378" s="1"/>
      <x:c r="D378" s="1"/>
      <x:c r="E378" s="1"/>
      <x:c r="F378" s="1"/>
      <x:c r="G378" s="1"/>
    </x:row>
    <x:row r="379">
      <x:c r="A379" s="1"/>
      <x:c r="B379" s="1"/>
      <x:c r="C379" s="1"/>
      <x:c r="D379" s="1"/>
      <x:c r="E379" s="1"/>
      <x:c r="F379" s="1"/>
      <x:c r="G379" s="1"/>
    </x:row>
    <x:row r="380">
      <x:c r="A380" s="1"/>
      <x:c r="B380" s="1"/>
      <x:c r="C380" s="1"/>
      <x:c r="D380" s="1"/>
      <x:c r="E380" s="1"/>
      <x:c r="F380" s="1"/>
      <x:c r="G380" s="1"/>
    </x:row>
    <x:row r="381">
      <x:c r="A381" s="1"/>
      <x:c r="B381" s="1"/>
      <x:c r="C381" s="1"/>
      <x:c r="D381" s="1"/>
      <x:c r="E381" s="1"/>
      <x:c r="F381" s="1"/>
      <x:c r="G381" s="1"/>
    </x:row>
    <x:row r="382">
      <x:c r="A382" s="1"/>
      <x:c r="B382" s="1"/>
      <x:c r="C382" s="1"/>
      <x:c r="D382" s="1"/>
      <x:c r="E382" s="1"/>
      <x:c r="F382" s="1"/>
      <x:c r="G382" s="1"/>
    </x:row>
    <x:row r="383">
      <x:c r="A383" s="1"/>
      <x:c r="B383" s="1"/>
      <x:c r="C383" s="1"/>
      <x:c r="D383" s="1"/>
      <x:c r="E383" s="1"/>
      <x:c r="F383" s="1"/>
      <x:c r="G383" s="1"/>
    </x:row>
    <x:row r="384">
      <x:c r="A384" s="1"/>
      <x:c r="B384" s="1"/>
      <x:c r="C384" s="1"/>
      <x:c r="D384" s="1"/>
      <x:c r="E384" s="1"/>
      <x:c r="F384" s="1"/>
      <x:c r="G384" s="1"/>
    </x:row>
    <x:row r="385">
      <x:c r="A385" s="1"/>
      <x:c r="B385" s="1"/>
      <x:c r="C385" s="1"/>
      <x:c r="D385" s="1"/>
      <x:c r="E385" s="1"/>
      <x:c r="F385" s="1"/>
      <x:c r="G385" s="1"/>
    </x:row>
    <x:row r="386">
      <x:c r="A386" s="1"/>
      <x:c r="B386" s="1"/>
      <x:c r="C386" s="1"/>
      <x:c r="D386" s="1"/>
      <x:c r="E386" s="1"/>
      <x:c r="F386" s="1"/>
      <x:c r="G386" s="1"/>
    </x:row>
    <x:row r="387">
      <x:c r="A387" s="1"/>
      <x:c r="B387" s="1"/>
      <x:c r="C387" s="1"/>
      <x:c r="D387" s="1"/>
      <x:c r="E387" s="1"/>
      <x:c r="F387" s="1"/>
      <x:c r="G387" s="1"/>
    </x:row>
    <x:row r="388">
      <x:c r="A388" s="1"/>
      <x:c r="B388" s="1"/>
      <x:c r="C388" s="1"/>
      <x:c r="D388" s="1"/>
      <x:c r="E388" s="1"/>
      <x:c r="F388" s="1"/>
      <x:c r="G388" s="1"/>
    </x:row>
    <x:row r="389">
      <x:c r="A389" s="1"/>
      <x:c r="B389" s="1"/>
      <x:c r="C389" s="1"/>
      <x:c r="D389" s="1"/>
      <x:c r="E389" s="1"/>
      <x:c r="F389" s="1"/>
      <x:c r="G389" s="1"/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/>
      <x:c r="B391" s="1"/>
      <x:c r="C391" s="1"/>
      <x:c r="D391" s="1"/>
      <x:c r="E391" s="1"/>
      <x:c r="F391" s="1"/>
      <x:c r="G391" s="1"/>
    </x:row>
    <x:row r="392">
      <x:c r="A392" s="1"/>
      <x:c r="B392" s="1"/>
      <x:c r="C392" s="1"/>
      <x:c r="D392" s="1"/>
      <x:c r="E392" s="1"/>
      <x:c r="F392" s="1"/>
      <x:c r="G392" s="1"/>
    </x:row>
    <x:row r="393">
      <x:c r="A393" s="1"/>
      <x:c r="B393" s="1"/>
      <x:c r="C393" s="1"/>
      <x:c r="D393" s="1"/>
      <x:c r="E393" s="1"/>
      <x:c r="F393" s="1"/>
      <x:c r="G393" s="1"/>
    </x:row>
    <x:row r="394">
      <x:c r="A394" s="1"/>
      <x:c r="B394" s="1"/>
      <x:c r="C394" s="1"/>
      <x:c r="D394" s="1"/>
      <x:c r="E394" s="1"/>
      <x:c r="F394" s="1"/>
      <x:c r="G394" s="1"/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/>
      <x:c r="B396" s="1"/>
      <x:c r="C396" s="1"/>
      <x:c r="D396" s="1"/>
      <x:c r="E396" s="1"/>
      <x:c r="F396" s="1"/>
      <x:c r="G396" s="1"/>
    </x:row>
    <x:row r="397">
      <x:c r="A397" s="1"/>
      <x:c r="B397" s="1"/>
      <x:c r="C397" s="1"/>
      <x:c r="D397" s="1"/>
      <x:c r="E397" s="1"/>
      <x:c r="F397" s="1"/>
      <x:c r="G397" s="1"/>
    </x:row>
    <x:row r="398">
      <x:c r="A398" s="1"/>
      <x:c r="B398" s="1"/>
      <x:c r="C398" s="1"/>
      <x:c r="D398" s="1"/>
      <x:c r="E398" s="1"/>
      <x:c r="F398" s="1"/>
      <x:c r="G398" s="1"/>
    </x:row>
    <x:row r="399">
      <x:c r="A399" s="1"/>
      <x:c r="B399" s="1"/>
      <x:c r="C399" s="1"/>
      <x:c r="D399" s="1"/>
      <x:c r="E399" s="1"/>
      <x:c r="F399" s="1"/>
      <x:c r="G399" s="1"/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/>
      <x:c r="B401" s="1"/>
      <x:c r="C401" s="1"/>
      <x:c r="D401" s="1"/>
      <x:c r="E401" s="1"/>
      <x:c r="F401" s="1"/>
      <x:c r="G401" s="1"/>
    </x:row>
    <x:row r="402">
      <x:c r="A402" s="1"/>
      <x:c r="B402" s="1"/>
      <x:c r="C402" s="1"/>
      <x:c r="D402" s="1"/>
      <x:c r="E402" s="1"/>
      <x:c r="F402" s="1"/>
      <x:c r="G402" s="1"/>
    </x:row>
    <x:row r="403">
      <x:c r="A403" s="1"/>
      <x:c r="B403" s="1"/>
      <x:c r="C403" s="1"/>
      <x:c r="D403" s="1"/>
      <x:c r="E403" s="1"/>
      <x:c r="F403" s="1"/>
      <x:c r="G403" s="1"/>
    </x:row>
    <x:row r="404">
      <x:c r="A404" s="1"/>
      <x:c r="B404" s="1"/>
      <x:c r="C404" s="1"/>
      <x:c r="D404" s="1"/>
      <x:c r="E404" s="1"/>
      <x:c r="F404" s="1"/>
      <x:c r="G404" s="1"/>
    </x:row>
    <x:row r="405">
      <x:c r="A405" s="1"/>
      <x:c r="B405" s="1"/>
      <x:c r="C405" s="1"/>
      <x:c r="D405" s="1"/>
      <x:c r="E405" s="1"/>
      <x:c r="F405" s="1"/>
      <x:c r="G405" s="1"/>
    </x:row>
    <x:row r="406">
      <x:c r="A406" s="1"/>
      <x:c r="B406" s="1"/>
      <x:c r="C406" s="1"/>
      <x:c r="D406" s="1"/>
      <x:c r="E406" s="1"/>
      <x:c r="F406" s="1"/>
      <x:c r="G406" s="1"/>
    </x:row>
    <x:row r="407">
      <x:c r="A407" s="1"/>
      <x:c r="B407" s="1"/>
      <x:c r="C407" s="1"/>
      <x:c r="D407" s="1"/>
      <x:c r="E407" s="1"/>
      <x:c r="F407" s="1"/>
      <x:c r="G407" s="1"/>
    </x:row>
    <x:row r="408">
      <x:c r="A408" s="1"/>
      <x:c r="B408" s="1"/>
      <x:c r="C408" s="1"/>
      <x:c r="D408" s="1"/>
      <x:c r="E408" s="1"/>
      <x:c r="F408" s="1"/>
      <x:c r="G408" s="1"/>
    </x:row>
    <x:row r="409">
      <x:c r="A409" s="1"/>
      <x:c r="B409" s="1"/>
      <x:c r="C409" s="1"/>
      <x:c r="D409" s="1"/>
      <x:c r="E409" s="1"/>
      <x:c r="F409" s="1"/>
      <x:c r="G409" s="1"/>
    </x:row>
    <x:row r="410">
      <x:c r="A410" s="1"/>
      <x:c r="B410" s="1"/>
      <x:c r="C410" s="1"/>
      <x:c r="D410" s="1"/>
      <x:c r="E410" s="1"/>
      <x:c r="F410" s="1"/>
      <x:c r="G410" s="1"/>
    </x:row>
    <x:row r="411">
      <x:c r="A411" s="1"/>
      <x:c r="B411" s="1"/>
      <x:c r="C411" s="1"/>
      <x:c r="D411" s="1"/>
      <x:c r="E411" s="1"/>
      <x:c r="F411" s="1"/>
      <x:c r="G411" s="1"/>
    </x:row>
    <x:row r="412">
      <x:c r="A412" s="1"/>
      <x:c r="B412" s="1"/>
      <x:c r="C412" s="1"/>
      <x:c r="D412" s="1"/>
      <x:c r="E412" s="1"/>
      <x:c r="F412" s="1"/>
      <x:c r="G412" s="1"/>
    </x:row>
    <x:row r="413">
      <x:c r="A413" s="1"/>
      <x:c r="B413" s="1"/>
      <x:c r="C413" s="1"/>
      <x:c r="D413" s="1"/>
      <x:c r="E413" s="1"/>
      <x:c r="F413" s="1"/>
      <x:c r="G413" s="1"/>
    </x:row>
    <x:row r="414">
      <x:c r="A414" s="1"/>
      <x:c r="B414" s="1"/>
      <x:c r="C414" s="1"/>
      <x:c r="D414" s="1"/>
      <x:c r="E414" s="1"/>
      <x:c r="F414" s="1"/>
      <x:c r="G414" s="1"/>
    </x:row>
    <x:row r="415">
      <x:c r="A415" s="1"/>
      <x:c r="B415" s="1"/>
      <x:c r="C415" s="1"/>
      <x:c r="D415" s="1"/>
      <x:c r="E415" s="1"/>
      <x:c r="F415" s="1"/>
      <x:c r="G415" s="1"/>
    </x:row>
    <x:row r="416">
      <x:c r="A416" s="1"/>
      <x:c r="B416" s="1"/>
      <x:c r="C416" s="1"/>
      <x:c r="D416" s="1"/>
      <x:c r="E416" s="1"/>
      <x:c r="F416" s="1"/>
      <x:c r="G416" s="1"/>
    </x:row>
    <x:row r="417">
      <x:c r="A417" s="1"/>
      <x:c r="B417" s="1"/>
      <x:c r="C417" s="1"/>
      <x:c r="D417" s="1"/>
      <x:c r="E417" s="1"/>
      <x:c r="F417" s="1"/>
      <x:c r="G417" s="1"/>
    </x:row>
    <x:row r="418">
      <x:c r="A418" s="1"/>
      <x:c r="B418" s="1"/>
      <x:c r="C418" s="1"/>
      <x:c r="D418" s="1"/>
      <x:c r="E418" s="1"/>
      <x:c r="F418" s="1"/>
      <x:c r="G418" s="1"/>
    </x:row>
    <x:row r="419">
      <x:c r="A419" s="1"/>
      <x:c r="B419" s="1"/>
      <x:c r="C419" s="1"/>
      <x:c r="D419" s="1"/>
      <x:c r="E419" s="1"/>
      <x:c r="F419" s="1"/>
      <x:c r="G419" s="1"/>
    </x:row>
    <x:row r="420">
      <x:c r="A420" s="1"/>
      <x:c r="B420" s="1"/>
      <x:c r="C420" s="1"/>
      <x:c r="D420" s="1"/>
      <x:c r="E420" s="1"/>
      <x:c r="F420" s="1"/>
      <x:c r="G420" s="1"/>
    </x:row>
    <x:row r="421">
      <x:c r="A421" s="1"/>
      <x:c r="B421" s="1"/>
      <x:c r="C421" s="1"/>
      <x:c r="D421" s="1"/>
      <x:c r="E421" s="1"/>
      <x:c r="F421" s="1"/>
      <x:c r="G421" s="1"/>
    </x:row>
    <x:row r="422">
      <x:c r="A422" s="1"/>
      <x:c r="B422" s="1"/>
      <x:c r="C422" s="1"/>
      <x:c r="D422" s="1"/>
      <x:c r="E422" s="1"/>
      <x:c r="F422" s="1"/>
      <x:c r="G422" s="1"/>
    </x:row>
    <x:row r="423">
      <x:c r="A423" s="1"/>
      <x:c r="B423" s="1"/>
      <x:c r="C423" s="1"/>
      <x:c r="D423" s="1"/>
      <x:c r="E423" s="1"/>
      <x:c r="F423" s="1"/>
      <x:c r="G423" s="1"/>
    </x:row>
    <x:row r="424">
      <x:c r="A424" s="1"/>
      <x:c r="B424" s="1"/>
      <x:c r="C424" s="1"/>
      <x:c r="D424" s="1"/>
      <x:c r="E424" s="1"/>
      <x:c r="F424" s="1"/>
      <x:c r="G424" s="1"/>
    </x:row>
    <x:row r="425">
      <x:c r="A425" s="1"/>
      <x:c r="B425" s="1"/>
      <x:c r="C425" s="1"/>
      <x:c r="D425" s="1"/>
      <x:c r="E425" s="1"/>
      <x:c r="F425" s="1"/>
      <x:c r="G425" s="1"/>
    </x:row>
    <x:row r="426">
      <x:c r="A426" s="1"/>
      <x:c r="B426" s="1"/>
      <x:c r="C426" s="1"/>
      <x:c r="D426" s="1"/>
      <x:c r="E426" s="1"/>
      <x:c r="F426" s="1"/>
      <x:c r="G426" s="1"/>
    </x:row>
    <x:row r="427">
      <x:c r="A427" s="1"/>
      <x:c r="B427" s="1"/>
      <x:c r="C427" s="1"/>
      <x:c r="D427" s="1"/>
      <x:c r="E427" s="1"/>
      <x:c r="F427" s="1"/>
      <x:c r="G427" s="1"/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/>
      <x:c r="B429" s="1"/>
      <x:c r="C429" s="1"/>
      <x:c r="D429" s="1"/>
      <x:c r="E429" s="1"/>
      <x:c r="F429" s="1"/>
      <x:c r="G429" s="1"/>
    </x:row>
    <x:row r="430">
      <x:c r="A430" s="1"/>
      <x:c r="B430" s="1"/>
      <x:c r="C430" s="1"/>
      <x:c r="D430" s="1"/>
      <x:c r="E430" s="1"/>
      <x:c r="F430" s="1"/>
      <x:c r="G430" s="1"/>
    </x:row>
    <x:row r="431">
      <x:c r="A431" s="1"/>
      <x:c r="B431" s="1"/>
      <x:c r="C431" s="1"/>
      <x:c r="D431" s="1"/>
      <x:c r="E431" s="1"/>
      <x:c r="F431" s="1"/>
      <x:c r="G431" s="1"/>
    </x:row>
    <x:row r="432">
      <x:c r="A432" s="1"/>
      <x:c r="B432" s="1"/>
      <x:c r="C432" s="1"/>
      <x:c r="D432" s="1"/>
      <x:c r="E432" s="1"/>
      <x:c r="F432" s="1"/>
      <x:c r="G432" s="1"/>
    </x:row>
    <x:row r="433">
      <x:c r="A433" s="1"/>
      <x:c r="B433" s="1"/>
      <x:c r="C433" s="1"/>
      <x:c r="D433" s="1"/>
      <x:c r="E433" s="1"/>
      <x:c r="F433" s="1"/>
      <x:c r="G433" s="1"/>
    </x:row>
    <x:row r="434">
      <x:c r="A434" s="1"/>
      <x:c r="B434" s="1"/>
      <x:c r="C434" s="1"/>
      <x:c r="D434" s="1"/>
      <x:c r="E434" s="1"/>
      <x:c r="F434" s="1"/>
      <x:c r="G434" s="1"/>
    </x:row>
    <x:row r="435">
      <x:c r="A435" s="1"/>
      <x:c r="B435" s="1"/>
      <x:c r="C435" s="1"/>
      <x:c r="D435" s="1"/>
      <x:c r="E435" s="1"/>
      <x:c r="F435" s="1"/>
      <x:c r="G435" s="1"/>
    </x:row>
    <x:row r="436">
      <x:c r="A436" s="1"/>
      <x:c r="B436" s="1"/>
      <x:c r="C436" s="1"/>
      <x:c r="D436" s="1"/>
      <x:c r="E436" s="1"/>
      <x:c r="F436" s="1"/>
      <x:c r="G436" s="1"/>
    </x:row>
    <x:row r="437">
      <x:c r="A437" s="1"/>
      <x:c r="B437" s="1"/>
      <x:c r="C437" s="1"/>
      <x:c r="D437" s="1"/>
      <x:c r="E437" s="1"/>
      <x:c r="F437" s="1"/>
      <x:c r="G437" s="1"/>
    </x:row>
    <x:row r="438">
      <x:c r="A438" s="1"/>
      <x:c r="B438" s="1"/>
      <x:c r="C438" s="1"/>
      <x:c r="D438" s="1"/>
      <x:c r="E438" s="1"/>
      <x:c r="F438" s="1"/>
      <x:c r="G438" s="1"/>
    </x:row>
    <x:row r="439">
      <x:c r="A439" s="1"/>
      <x:c r="B439" s="1"/>
      <x:c r="C439" s="1"/>
      <x:c r="D439" s="1"/>
      <x:c r="E439" s="1"/>
      <x:c r="F439" s="1"/>
      <x:c r="G439" s="1"/>
    </x:row>
    <x:row r="440">
      <x:c r="A440" s="1"/>
      <x:c r="B440" s="1"/>
      <x:c r="C440" s="1"/>
      <x:c r="D440" s="1"/>
      <x:c r="E440" s="1"/>
      <x:c r="F440" s="1"/>
      <x:c r="G440" s="1"/>
    </x:row>
    <x:row r="441">
      <x:c r="A441" s="1"/>
      <x:c r="B441" s="1"/>
      <x:c r="C441" s="1"/>
      <x:c r="D441" s="1"/>
      <x:c r="E441" s="1"/>
      <x:c r="F441" s="1"/>
      <x:c r="G441" s="1"/>
    </x:row>
    <x:row r="442">
      <x:c r="A442" s="1"/>
      <x:c r="B442" s="1"/>
      <x:c r="C442" s="1"/>
      <x:c r="D442" s="1"/>
      <x:c r="E442" s="1"/>
      <x:c r="F442" s="1"/>
      <x:c r="G442" s="1"/>
    </x:row>
    <x:row r="443">
      <x:c r="A443" s="1"/>
      <x:c r="B443" s="1"/>
      <x:c r="C443" s="1"/>
      <x:c r="D443" s="1"/>
      <x:c r="E443" s="1"/>
      <x:c r="F443" s="1"/>
      <x:c r="G443" s="1"/>
    </x:row>
    <x:row r="444">
      <x:c r="A444" s="1"/>
      <x:c r="B444" s="1"/>
      <x:c r="C444" s="1"/>
      <x:c r="D444" s="1"/>
      <x:c r="E444" s="1"/>
      <x:c r="F444" s="1"/>
      <x:c r="G444" s="1"/>
    </x:row>
    <x:row r="445">
      <x:c r="A445" s="1"/>
      <x:c r="B445" s="1"/>
      <x:c r="C445" s="1"/>
      <x:c r="D445" s="1"/>
      <x:c r="E445" s="1"/>
      <x:c r="F445" s="1"/>
      <x:c r="G445" s="1"/>
    </x:row>
    <x:row r="446">
      <x:c r="A446" s="1"/>
      <x:c r="B446" s="1"/>
      <x:c r="C446" s="1"/>
      <x:c r="D446" s="1"/>
      <x:c r="E446" s="1"/>
      <x:c r="F446" s="1"/>
      <x:c r="G446" s="1"/>
    </x:row>
    <x:row r="447">
      <x:c r="A447" s="1"/>
      <x:c r="B447" s="1"/>
      <x:c r="C447" s="1"/>
      <x:c r="D447" s="1"/>
      <x:c r="E447" s="1"/>
      <x:c r="F447" s="1"/>
      <x:c r="G447" s="1"/>
    </x:row>
    <x:row r="448">
      <x:c r="A448" s="1"/>
      <x:c r="B448" s="1"/>
      <x:c r="C448" s="1"/>
      <x:c r="D448" s="1"/>
      <x:c r="E448" s="1"/>
      <x:c r="F448" s="1"/>
      <x:c r="G448" s="1"/>
    </x:row>
    <x:row r="449">
      <x:c r="A449" s="1"/>
      <x:c r="B449" s="1"/>
      <x:c r="C449" s="1"/>
      <x:c r="D449" s="1"/>
      <x:c r="E449" s="1"/>
      <x:c r="F449" s="1"/>
      <x:c r="G449" s="1"/>
    </x:row>
    <x:row r="450">
      <x:c r="A450" s="1"/>
      <x:c r="B450" s="1"/>
      <x:c r="C450" s="1"/>
      <x:c r="D450" s="1"/>
      <x:c r="E450" s="1"/>
      <x:c r="F450" s="1"/>
      <x:c r="G450" s="1"/>
    </x:row>
    <x:row r="451">
      <x:c r="A451" s="1"/>
      <x:c r="B451" s="1"/>
      <x:c r="C451" s="1"/>
      <x:c r="D451" s="1"/>
      <x:c r="E451" s="1"/>
      <x:c r="F451" s="1"/>
      <x:c r="G451" s="1"/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/>
      <x:c r="B453" s="1"/>
      <x:c r="C453" s="1"/>
      <x:c r="D453" s="1"/>
      <x:c r="E453" s="1"/>
      <x:c r="F453" s="1"/>
      <x:c r="G453" s="1"/>
    </x:row>
    <x:row r="454">
      <x:c r="A454" s="1"/>
      <x:c r="B454" s="1"/>
      <x:c r="C454" s="1"/>
      <x:c r="D454" s="1"/>
      <x:c r="E454" s="1"/>
      <x:c r="F454" s="1"/>
      <x:c r="G454" s="1"/>
    </x:row>
    <x:row r="455">
      <x:c r="A455" s="1"/>
      <x:c r="B455" s="1"/>
      <x:c r="C455" s="1"/>
      <x:c r="D455" s="1"/>
      <x:c r="E455" s="1"/>
      <x:c r="F455" s="1"/>
      <x:c r="G455" s="1"/>
    </x:row>
    <x:row r="456">
      <x:c r="A456" s="1"/>
      <x:c r="B456" s="1"/>
      <x:c r="C456" s="1"/>
      <x:c r="D456" s="1"/>
      <x:c r="E456" s="1"/>
      <x:c r="F456" s="1"/>
      <x:c r="G456" s="1"/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/>
      <x:c r="B458" s="1"/>
      <x:c r="C458" s="1"/>
      <x:c r="D458" s="1"/>
      <x:c r="E458" s="1"/>
      <x:c r="F458" s="1"/>
      <x:c r="G458" s="1"/>
    </x:row>
    <x:row r="459">
      <x:c r="A459" s="1"/>
      <x:c r="B459" s="1"/>
      <x:c r="C459" s="1"/>
      <x:c r="D459" s="1"/>
      <x:c r="E459" s="1"/>
      <x:c r="F459" s="1"/>
      <x:c r="G459" s="1"/>
    </x:row>
    <x:row r="460">
      <x:c r="A460" s="1"/>
      <x:c r="B460" s="1"/>
      <x:c r="C460" s="1"/>
      <x:c r="D460" s="1"/>
      <x:c r="E460" s="1"/>
      <x:c r="F460" s="1"/>
      <x:c r="G460" s="1"/>
    </x:row>
    <x:row r="461">
      <x:c r="A461" s="1"/>
      <x:c r="B461" s="1"/>
      <x:c r="C461" s="1"/>
      <x:c r="D461" s="1"/>
      <x:c r="E461" s="1"/>
      <x:c r="F461" s="1"/>
      <x:c r="G461" s="1"/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/>
      <x:c r="B463" s="1"/>
      <x:c r="C463" s="1"/>
      <x:c r="D463" s="1"/>
      <x:c r="E463" s="1"/>
      <x:c r="F463" s="1"/>
      <x:c r="G463" s="1"/>
    </x:row>
    <x:row r="464">
      <x:c r="A464" s="1"/>
      <x:c r="B464" s="1"/>
      <x:c r="C464" s="1"/>
      <x:c r="D464" s="1"/>
      <x:c r="E464" s="1"/>
      <x:c r="F464" s="1"/>
      <x:c r="G464" s="1"/>
    </x:row>
    <x:row r="465">
      <x:c r="A465" s="1"/>
      <x:c r="B465" s="1"/>
      <x:c r="C465" s="1"/>
      <x:c r="D465" s="1"/>
      <x:c r="E465" s="1"/>
      <x:c r="F465" s="1"/>
      <x:c r="G465" s="1"/>
    </x:row>
    <x:row r="466">
      <x:c r="A466" s="1"/>
      <x:c r="B466" s="1"/>
      <x:c r="C466" s="1"/>
      <x:c r="D466" s="1"/>
      <x:c r="E466" s="1"/>
      <x:c r="F466" s="1"/>
      <x:c r="G466" s="1"/>
    </x:row>
    <x:row r="467">
      <x:c r="A467" s="1"/>
      <x:c r="B467" s="1"/>
      <x:c r="C467" s="1"/>
      <x:c r="D467" s="1"/>
      <x:c r="E467" s="1"/>
      <x:c r="F467" s="1"/>
      <x:c r="G467" s="1"/>
    </x:row>
    <x:row r="468">
      <x:c r="A468" s="1"/>
      <x:c r="B468" s="1"/>
      <x:c r="C468" s="1"/>
      <x:c r="D468" s="1"/>
      <x:c r="E468" s="1"/>
      <x:c r="F468" s="1"/>
      <x:c r="G468" s="1"/>
    </x:row>
    <x:row r="469">
      <x:c r="A469" s="1"/>
      <x:c r="B469" s="1"/>
      <x:c r="C469" s="1"/>
      <x:c r="D469" s="1"/>
      <x:c r="E469" s="1"/>
      <x:c r="F469" s="1"/>
      <x:c r="G469" s="1"/>
    </x:row>
    <x:row r="470">
      <x:c r="A470" s="1"/>
      <x:c r="B470" s="1"/>
      <x:c r="C470" s="1"/>
      <x:c r="D470" s="1"/>
      <x:c r="E470" s="1"/>
      <x:c r="F470" s="1"/>
      <x:c r="G470" s="1"/>
    </x:row>
    <x:row r="471">
      <x:c r="A471" s="1"/>
      <x:c r="B471" s="1"/>
      <x:c r="C471" s="1"/>
      <x:c r="D471" s="1"/>
      <x:c r="E471" s="1"/>
      <x:c r="F471" s="1"/>
      <x:c r="G471" s="1"/>
    </x:row>
    <x:row r="472">
      <x:c r="A472" s="1"/>
      <x:c r="B472" s="1"/>
      <x:c r="C472" s="1"/>
      <x:c r="D472" s="1"/>
      <x:c r="E472" s="1"/>
      <x:c r="F472" s="1"/>
      <x:c r="G472" s="1"/>
    </x:row>
    <x:row r="473">
      <x:c r="A473" s="1"/>
      <x:c r="B473" s="1"/>
      <x:c r="C473" s="1"/>
      <x:c r="D473" s="1"/>
      <x:c r="E473" s="1"/>
      <x:c r="F473" s="1"/>
      <x:c r="G473" s="1"/>
    </x:row>
    <x:row r="474">
      <x:c r="A474" s="1"/>
      <x:c r="B474" s="1"/>
      <x:c r="C474" s="1"/>
      <x:c r="D474" s="1"/>
      <x:c r="E474" s="1"/>
      <x:c r="F474" s="1"/>
      <x:c r="G474" s="1"/>
    </x:row>
    <x:row r="475">
      <x:c r="A475" s="1"/>
      <x:c r="B475" s="1"/>
      <x:c r="C475" s="1"/>
      <x:c r="D475" s="1"/>
      <x:c r="E475" s="1"/>
      <x:c r="F475" s="1"/>
      <x:c r="G475" s="1"/>
    </x:row>
    <x:row r="476">
      <x:c r="A476" s="1"/>
      <x:c r="B476" s="1"/>
      <x:c r="C476" s="1"/>
      <x:c r="D476" s="1"/>
      <x:c r="E476" s="1"/>
      <x:c r="F476" s="1"/>
      <x:c r="G476" s="1"/>
    </x:row>
    <x:row r="477">
      <x:c r="A477" s="1"/>
      <x:c r="B477" s="1"/>
      <x:c r="C477" s="1"/>
      <x:c r="D477" s="1"/>
      <x:c r="E477" s="1"/>
      <x:c r="F477" s="1"/>
      <x:c r="G477" s="1"/>
    </x:row>
    <x:row r="478">
      <x:c r="A478" s="1"/>
      <x:c r="B478" s="1"/>
      <x:c r="C478" s="1"/>
      <x:c r="D478" s="1"/>
      <x:c r="E478" s="1"/>
      <x:c r="F478" s="1"/>
      <x:c r="G478" s="1"/>
    </x:row>
    <x:row r="479">
      <x:c r="A479" s="1"/>
      <x:c r="B479" s="1"/>
      <x:c r="C479" s="1"/>
      <x:c r="D479" s="1"/>
      <x:c r="E479" s="1"/>
      <x:c r="F479" s="1"/>
      <x:c r="G479" s="1"/>
    </x:row>
    <x:row r="480">
      <x:c r="A480" s="1"/>
      <x:c r="B480" s="1"/>
      <x:c r="C480" s="1"/>
      <x:c r="D480" s="1"/>
      <x:c r="E480" s="1"/>
      <x:c r="F480" s="1"/>
      <x:c r="G480" s="1"/>
    </x:row>
    <x:row r="481">
      <x:c r="A481" s="1"/>
      <x:c r="B481" s="1"/>
      <x:c r="C481" s="1"/>
      <x:c r="D481" s="1"/>
      <x:c r="E481" s="1"/>
      <x:c r="F481" s="1"/>
      <x:c r="G481" s="1"/>
    </x:row>
    <x:row r="482">
      <x:c r="A482" s="1"/>
      <x:c r="B482" s="1"/>
      <x:c r="C482" s="1"/>
      <x:c r="D482" s="1"/>
      <x:c r="E482" s="1"/>
      <x:c r="F482" s="1"/>
      <x:c r="G482" s="1"/>
    </x:row>
    <x:row r="483">
      <x:c r="A483" s="1"/>
      <x:c r="B483" s="1"/>
      <x:c r="C483" s="1"/>
      <x:c r="D483" s="1"/>
      <x:c r="E483" s="1"/>
      <x:c r="F483" s="1"/>
      <x:c r="G483" s="1"/>
    </x:row>
    <x:row r="484">
      <x:c r="A484" s="1"/>
      <x:c r="B484" s="1"/>
      <x:c r="C484" s="1"/>
      <x:c r="D484" s="1"/>
      <x:c r="E484" s="1"/>
      <x:c r="F484" s="1"/>
      <x:c r="G484" s="1"/>
    </x:row>
    <x:row r="485">
      <x:c r="A485" s="1"/>
      <x:c r="B485" s="1"/>
      <x:c r="C485" s="1"/>
      <x:c r="D485" s="1"/>
      <x:c r="E485" s="1"/>
      <x:c r="F485" s="1"/>
      <x:c r="G485" s="1"/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/>
      <x:c r="B487" s="1"/>
      <x:c r="C487" s="1"/>
      <x:c r="D487" s="1"/>
      <x:c r="E487" s="1"/>
      <x:c r="F487" s="1"/>
      <x:c r="G487" s="1"/>
    </x:row>
    <x:row r="488">
      <x:c r="A488" s="1"/>
      <x:c r="B488" s="1"/>
      <x:c r="C488" s="1"/>
      <x:c r="D488" s="1"/>
      <x:c r="E488" s="1"/>
      <x:c r="F488" s="1"/>
      <x:c r="G488" s="1"/>
    </x:row>
    <x:row r="489">
      <x:c r="A489" s="1"/>
      <x:c r="B489" s="1"/>
      <x:c r="C489" s="1"/>
      <x:c r="D489" s="1"/>
      <x:c r="E489" s="1"/>
      <x:c r="F489" s="1"/>
      <x:c r="G489" s="1"/>
    </x:row>
    <x:row r="490">
      <x:c r="A490" s="1"/>
      <x:c r="B490" s="1"/>
      <x:c r="C490" s="1"/>
      <x:c r="D490" s="1"/>
      <x:c r="E490" s="1"/>
      <x:c r="F490" s="1"/>
      <x:c r="G490" s="1"/>
    </x:row>
    <x:row r="491">
      <x:c r="A491" s="1"/>
      <x:c r="B491" s="1"/>
      <x:c r="C491" s="1"/>
      <x:c r="D491" s="1"/>
      <x:c r="E491" s="1"/>
      <x:c r="F491" s="1"/>
      <x:c r="G491" s="1"/>
    </x:row>
    <x:row r="492">
      <x:c r="A492" s="1"/>
      <x:c r="B492" s="1"/>
      <x:c r="C492" s="1"/>
      <x:c r="D492" s="1"/>
      <x:c r="E492" s="1"/>
      <x:c r="F492" s="1"/>
      <x:c r="G492" s="1"/>
    </x:row>
    <x:row r="493">
      <x:c r="A493" s="1"/>
      <x:c r="B493" s="1"/>
      <x:c r="C493" s="1"/>
      <x:c r="D493" s="1"/>
      <x:c r="E493" s="1"/>
      <x:c r="F493" s="1"/>
      <x:c r="G493" s="1"/>
    </x:row>
    <x:row r="494">
      <x:c r="A494" s="1"/>
      <x:c r="B494" s="1"/>
      <x:c r="C494" s="1"/>
      <x:c r="D494" s="1"/>
      <x:c r="E494" s="1"/>
      <x:c r="F494" s="1"/>
      <x:c r="G494" s="1"/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/>
      <x:c r="B496" s="1"/>
      <x:c r="C496" s="1"/>
      <x:c r="D496" s="1"/>
      <x:c r="E496" s="1"/>
      <x:c r="F496" s="1"/>
      <x:c r="G496" s="1"/>
    </x:row>
    <x:row r="497">
      <x:c r="A497" s="1"/>
      <x:c r="B497" s="1"/>
      <x:c r="C497" s="1"/>
      <x:c r="D497" s="1"/>
      <x:c r="E497" s="1"/>
      <x:c r="F497" s="1"/>
      <x:c r="G497" s="1"/>
    </x:row>
    <x:row r="498">
      <x:c r="A498" s="1"/>
      <x:c r="B498" s="1"/>
      <x:c r="C498" s="1"/>
      <x:c r="D498" s="1"/>
      <x:c r="E498" s="1"/>
      <x:c r="F498" s="1"/>
      <x:c r="G498" s="1"/>
    </x:row>
    <x:row r="499">
      <x:c r="A499" s="1"/>
      <x:c r="B499" s="1"/>
      <x:c r="C499" s="1"/>
      <x:c r="D499" s="1"/>
      <x:c r="E499" s="1"/>
      <x:c r="F499" s="1"/>
      <x:c r="G499" s="1"/>
    </x:row>
    <x:row r="500">
      <x:c r="A500" s="1"/>
      <x:c r="B500" s="1"/>
      <x:c r="C500" s="1"/>
      <x:c r="D500" s="1"/>
      <x:c r="E500" s="1"/>
      <x:c r="F500" s="1"/>
      <x:c r="G500" s="1"/>
    </x:row>
    <x:row r="501">
      <x:c r="A501" s="1"/>
      <x:c r="B501" s="1"/>
      <x:c r="C501" s="1"/>
      <x:c r="D501" s="1"/>
      <x:c r="E501" s="1"/>
      <x:c r="F501" s="1"/>
      <x:c r="G501" s="1"/>
    </x:row>
    <x:row r="502">
      <x:c r="A502" s="1"/>
      <x:c r="B502" s="1"/>
      <x:c r="C502" s="1"/>
      <x:c r="D502" s="1"/>
      <x:c r="E502" s="1"/>
      <x:c r="F502" s="1"/>
      <x:c r="G502" s="1"/>
    </x:row>
    <x:row r="503">
      <x:c r="A503" s="1"/>
      <x:c r="B503" s="1"/>
      <x:c r="C503" s="1"/>
      <x:c r="D503" s="1"/>
      <x:c r="E503" s="1"/>
      <x:c r="F503" s="1"/>
      <x:c r="G503" s="1"/>
    </x:row>
    <x:row r="504">
      <x:c r="A504" s="1"/>
      <x:c r="B504" s="1"/>
      <x:c r="C504" s="1"/>
      <x:c r="D504" s="1"/>
      <x:c r="E504" s="1"/>
      <x:c r="F504" s="1"/>
      <x:c r="G504" s="1"/>
    </x:row>
    <x:row r="505">
      <x:c r="A505" s="1"/>
      <x:c r="B505" s="1"/>
      <x:c r="C505" s="1"/>
      <x:c r="D505" s="1"/>
      <x:c r="E505" s="1"/>
      <x:c r="F505" s="1"/>
      <x:c r="G505" s="1"/>
    </x:row>
    <x:row r="506">
      <x:c r="A506" s="1"/>
      <x:c r="B506" s="1"/>
      <x:c r="C506" s="1"/>
      <x:c r="D506" s="1"/>
      <x:c r="E506" s="1"/>
      <x:c r="F506" s="1"/>
      <x:c r="G506" s="1"/>
    </x:row>
    <x:row r="507">
      <x:c r="A507" s="1"/>
      <x:c r="B507" s="1"/>
      <x:c r="C507" s="1"/>
      <x:c r="D507" s="1"/>
      <x:c r="E507" s="1"/>
      <x:c r="F507" s="1"/>
      <x:c r="G507" s="1"/>
    </x:row>
    <x:row r="508">
      <x:c r="A508" s="1"/>
      <x:c r="B508" s="1"/>
      <x:c r="C508" s="1"/>
      <x:c r="D508" s="1"/>
      <x:c r="E508" s="1"/>
      <x:c r="F508" s="1"/>
      <x:c r="G508" s="1"/>
    </x:row>
    <x:row r="509">
      <x:c r="A509" s="1"/>
      <x:c r="B509" s="1"/>
      <x:c r="C509" s="1"/>
      <x:c r="D509" s="1"/>
      <x:c r="E509" s="1"/>
      <x:c r="F509" s="1"/>
      <x:c r="G509" s="1"/>
    </x:row>
    <x:row r="510">
      <x:c r="A510" s="1"/>
      <x:c r="B510" s="1"/>
      <x:c r="C510" s="1"/>
      <x:c r="D510" s="1"/>
      <x:c r="E510" s="1"/>
      <x:c r="F510" s="1"/>
      <x:c r="G510" s="1"/>
    </x:row>
    <x:row r="511">
      <x:c r="A511" s="1"/>
      <x:c r="B511" s="1"/>
      <x:c r="C511" s="1"/>
      <x:c r="D511" s="1"/>
      <x:c r="E511" s="1"/>
      <x:c r="F511" s="1"/>
      <x:c r="G511" s="1"/>
    </x:row>
    <x:row r="512">
      <x:c r="A512" s="1"/>
      <x:c r="B512" s="1"/>
      <x:c r="C512" s="1"/>
      <x:c r="D512" s="1"/>
      <x:c r="E512" s="1"/>
      <x:c r="F512" s="1"/>
      <x:c r="G512" s="1"/>
    </x:row>
    <x:row r="513">
      <x:c r="A513" s="1"/>
      <x:c r="B513" s="1"/>
      <x:c r="C513" s="1"/>
      <x:c r="D513" s="1"/>
      <x:c r="E513" s="1"/>
      <x:c r="F513" s="1"/>
      <x:c r="G513" s="1"/>
    </x:row>
    <x:row r="514">
      <x:c r="A514" s="1"/>
      <x:c r="B514" s="1"/>
      <x:c r="C514" s="1"/>
      <x:c r="D514" s="1"/>
      <x:c r="E514" s="1"/>
      <x:c r="F514" s="1"/>
      <x:c r="G514" s="1"/>
    </x:row>
    <x:row r="515">
      <x:c r="A515" s="1"/>
      <x:c r="B515" s="1"/>
      <x:c r="C515" s="1"/>
      <x:c r="D515" s="1"/>
      <x:c r="E515" s="1"/>
      <x:c r="F515" s="1"/>
      <x:c r="G515" s="1"/>
    </x:row>
    <x:row r="516">
      <x:c r="A516" s="1"/>
      <x:c r="B516" s="1"/>
      <x:c r="C516" s="1"/>
      <x:c r="D516" s="1"/>
      <x:c r="E516" s="1"/>
      <x:c r="F516" s="1"/>
      <x:c r="G516" s="1"/>
    </x:row>
    <x:row r="517">
      <x:c r="A517" s="1"/>
      <x:c r="B517" s="1"/>
      <x:c r="C517" s="1"/>
      <x:c r="D517" s="1"/>
      <x:c r="E517" s="1"/>
      <x:c r="F517" s="1"/>
      <x:c r="G517" s="1"/>
    </x:row>
    <x:row r="518">
      <x:c r="A518" s="1"/>
      <x:c r="B518" s="1"/>
      <x:c r="C518" s="1"/>
      <x:c r="D518" s="1"/>
      <x:c r="E518" s="1"/>
      <x:c r="F518" s="1"/>
      <x:c r="G518" s="1"/>
    </x:row>
    <x:row r="519">
      <x:c r="A519" s="1"/>
      <x:c r="B519" s="1"/>
      <x:c r="C519" s="1"/>
      <x:c r="D519" s="1"/>
      <x:c r="E519" s="1"/>
      <x:c r="F519" s="1"/>
      <x:c r="G519" s="1"/>
    </x:row>
    <x:row r="520">
      <x:c r="A520" s="1"/>
      <x:c r="B520" s="1"/>
      <x:c r="C520" s="1"/>
      <x:c r="D520" s="1"/>
      <x:c r="E520" s="1"/>
      <x:c r="F520" s="1"/>
      <x:c r="G520" s="1"/>
    </x:row>
    <x:row r="521">
      <x:c r="A521" s="1"/>
      <x:c r="B521" s="1"/>
      <x:c r="C521" s="1"/>
      <x:c r="D521" s="1"/>
      <x:c r="E521" s="1"/>
      <x:c r="F521" s="1"/>
      <x:c r="G521" s="1"/>
    </x:row>
    <x:row r="522">
      <x:c r="A522" s="1"/>
      <x:c r="B522" s="1"/>
      <x:c r="C522" s="1"/>
      <x:c r="D522" s="1"/>
      <x:c r="E522" s="1"/>
      <x:c r="F522" s="1"/>
      <x:c r="G522" s="1"/>
    </x:row>
    <x:row r="523">
      <x:c r="A523" s="1"/>
      <x:c r="B523" s="1"/>
      <x:c r="C523" s="1"/>
      <x:c r="D523" s="1"/>
      <x:c r="E523" s="1"/>
      <x:c r="F523" s="1"/>
      <x:c r="G523" s="1"/>
    </x:row>
    <x:row r="524">
      <x:c r="A524" s="1"/>
      <x:c r="B524" s="1"/>
      <x:c r="C524" s="1"/>
      <x:c r="D524" s="1"/>
      <x:c r="E524" s="1"/>
      <x:c r="F524" s="1"/>
      <x:c r="G524" s="1"/>
    </x:row>
    <x:row r="525">
      <x:c r="A525" s="1"/>
      <x:c r="B525" s="1"/>
      <x:c r="C525" s="1"/>
      <x:c r="D525" s="1"/>
      <x:c r="E525" s="1"/>
      <x:c r="F525" s="1"/>
      <x:c r="G525" s="1"/>
    </x:row>
    <x:row r="526">
      <x:c r="A526" s="1"/>
      <x:c r="B526" s="1"/>
      <x:c r="C526" s="1"/>
      <x:c r="D526" s="1"/>
      <x:c r="E526" s="1"/>
      <x:c r="F526" s="1"/>
      <x:c r="G526" s="1"/>
    </x:row>
    <x:row r="527">
      <x:c r="A527" s="1"/>
      <x:c r="B527" s="1"/>
      <x:c r="C527" s="1"/>
      <x:c r="D527" s="1"/>
      <x:c r="E527" s="1"/>
      <x:c r="F527" s="1"/>
      <x:c r="G527" s="1"/>
    </x:row>
    <x:row r="528">
      <x:c r="A528" s="1"/>
      <x:c r="B528" s="1"/>
      <x:c r="C528" s="1"/>
      <x:c r="D528" s="1"/>
      <x:c r="E528" s="1"/>
      <x:c r="F528" s="1"/>
      <x:c r="G528" s="1"/>
    </x:row>
    <x:row r="529">
      <x:c r="A529" s="1"/>
      <x:c r="B529" s="1"/>
      <x:c r="C529" s="1"/>
      <x:c r="D529" s="1"/>
      <x:c r="E529" s="1"/>
      <x:c r="F529" s="1"/>
      <x:c r="G529" s="1"/>
    </x:row>
    <x:row r="530">
      <x:c r="A530" s="1"/>
      <x:c r="B530" s="1"/>
      <x:c r="C530" s="1"/>
      <x:c r="D530" s="1"/>
      <x:c r="E530" s="1"/>
      <x:c r="F530" s="1"/>
      <x:c r="G530" s="1"/>
    </x:row>
    <x:row r="531">
      <x:c r="A531" s="1"/>
      <x:c r="B531" s="1"/>
      <x:c r="C531" s="1"/>
      <x:c r="D531" s="1"/>
      <x:c r="E531" s="1"/>
      <x:c r="F531" s="1"/>
      <x:c r="G531" s="1"/>
    </x:row>
    <x:row r="532">
      <x:c r="A532" s="1"/>
      <x:c r="B532" s="1"/>
      <x:c r="C532" s="1"/>
      <x:c r="D532" s="1"/>
      <x:c r="E532" s="1"/>
      <x:c r="F532" s="1"/>
      <x:c r="G532" s="1"/>
    </x:row>
    <x:row r="533">
      <x:c r="A533" s="1"/>
      <x:c r="B533" s="1"/>
      <x:c r="C533" s="1"/>
      <x:c r="D533" s="1"/>
      <x:c r="E533" s="1"/>
      <x:c r="F533" s="1"/>
      <x:c r="G533" s="1"/>
    </x:row>
    <x:row r="534">
      <x:c r="A534" s="1"/>
      <x:c r="B534" s="1"/>
      <x:c r="C534" s="1"/>
      <x:c r="D534" s="1"/>
      <x:c r="E534" s="1"/>
      <x:c r="F534" s="1"/>
      <x:c r="G534" s="1"/>
    </x:row>
    <x:row r="535">
      <x:c r="A535" s="1"/>
      <x:c r="B535" s="1"/>
      <x:c r="C535" s="1"/>
      <x:c r="D535" s="1"/>
      <x:c r="E535" s="1"/>
      <x:c r="F535" s="1"/>
      <x:c r="G535" s="1"/>
    </x:row>
    <x:row r="536">
      <x:c r="A536" s="1"/>
      <x:c r="B536" s="1"/>
      <x:c r="C536" s="1"/>
      <x:c r="D536" s="1"/>
      <x:c r="E536" s="1"/>
      <x:c r="F536" s="1"/>
      <x:c r="G536" s="1"/>
    </x:row>
    <x:row r="537">
      <x:c r="A537" s="1"/>
      <x:c r="B537" s="1"/>
      <x:c r="C537" s="1"/>
      <x:c r="D537" s="1"/>
      <x:c r="E537" s="1"/>
      <x:c r="F537" s="1"/>
      <x:c r="G537" s="1"/>
    </x:row>
    <x:row r="538">
      <x:c r="A538" s="1"/>
      <x:c r="B538" s="1"/>
      <x:c r="C538" s="1"/>
      <x:c r="D538" s="1"/>
      <x:c r="E538" s="1"/>
      <x:c r="F538" s="1"/>
      <x:c r="G538" s="1"/>
    </x:row>
    <x:row r="539">
      <x:c r="A539" s="1"/>
      <x:c r="B539" s="1"/>
      <x:c r="C539" s="1"/>
      <x:c r="D539" s="1"/>
      <x:c r="E539" s="1"/>
      <x:c r="F539" s="1"/>
      <x:c r="G539" s="1"/>
    </x:row>
    <x:row r="540">
      <x:c r="A540" s="1"/>
      <x:c r="B540" s="1"/>
      <x:c r="C540" s="1"/>
      <x:c r="D540" s="1"/>
      <x:c r="E540" s="1"/>
      <x:c r="F540" s="1"/>
      <x:c r="G540" s="1"/>
    </x:row>
    <x:row r="541">
      <x:c r="A541" s="1"/>
      <x:c r="B541" s="1"/>
      <x:c r="C541" s="1"/>
      <x:c r="D541" s="1"/>
      <x:c r="E541" s="1"/>
      <x:c r="F541" s="1"/>
      <x:c r="G541" s="1"/>
    </x:row>
    <x:row r="542">
      <x:c r="A542" s="1"/>
      <x:c r="B542" s="1"/>
      <x:c r="C542" s="1"/>
      <x:c r="D542" s="1"/>
      <x:c r="E542" s="1"/>
      <x:c r="F542" s="1"/>
      <x:c r="G542" s="1"/>
    </x:row>
    <x:row r="543">
      <x:c r="A543" s="1"/>
      <x:c r="B543" s="1"/>
      <x:c r="C543" s="1"/>
      <x:c r="D543" s="1"/>
      <x:c r="E543" s="1"/>
      <x:c r="F543" s="1"/>
      <x:c r="G543" s="1"/>
    </x:row>
    <x:row r="544">
      <x:c r="A544" s="1"/>
      <x:c r="B544" s="1"/>
      <x:c r="C544" s="1"/>
      <x:c r="D544" s="1"/>
      <x:c r="E544" s="1"/>
      <x:c r="F544" s="1"/>
      <x:c r="G544" s="1"/>
    </x:row>
    <x:row r="545">
      <x:c r="A545" s="1"/>
      <x:c r="B545" s="1"/>
      <x:c r="C545" s="1"/>
      <x:c r="D545" s="1"/>
      <x:c r="E545" s="1"/>
      <x:c r="F545" s="1"/>
      <x:c r="G545" s="1"/>
    </x:row>
    <x:row r="546">
      <x:c r="A546" s="1"/>
      <x:c r="B546" s="1"/>
      <x:c r="C546" s="1"/>
      <x:c r="D546" s="1"/>
      <x:c r="E546" s="1"/>
      <x:c r="F546" s="1"/>
      <x:c r="G546" s="1"/>
    </x:row>
    <x:row r="547">
      <x:c r="A547" s="1"/>
      <x:c r="B547" s="1"/>
      <x:c r="C547" s="1"/>
      <x:c r="D547" s="1"/>
      <x:c r="E547" s="1"/>
      <x:c r="F547" s="1"/>
      <x:c r="G547" s="1"/>
    </x:row>
    <x:row r="548">
      <x:c r="A548" s="1"/>
      <x:c r="B548" s="1"/>
      <x:c r="C548" s="1"/>
      <x:c r="D548" s="1"/>
      <x:c r="E548" s="1"/>
      <x:c r="F548" s="1"/>
      <x:c r="G548" s="1"/>
    </x:row>
    <x:row r="549">
      <x:c r="A549" s="1"/>
      <x:c r="B549" s="1"/>
      <x:c r="C549" s="1"/>
      <x:c r="D549" s="1"/>
      <x:c r="E549" s="1"/>
      <x:c r="F549" s="1"/>
      <x:c r="G549" s="1"/>
    </x:row>
    <x:row r="550">
      <x:c r="A550" s="1"/>
      <x:c r="B550" s="1"/>
      <x:c r="C550" s="1"/>
      <x:c r="D550" s="1"/>
      <x:c r="E550" s="1"/>
      <x:c r="F550" s="1"/>
      <x:c r="G550" s="1"/>
    </x:row>
    <x:row r="551">
      <x:c r="A551" s="1"/>
      <x:c r="B551" s="1"/>
      <x:c r="C551" s="1"/>
      <x:c r="D551" s="1"/>
      <x:c r="E551" s="1"/>
      <x:c r="F551" s="1"/>
      <x:c r="G551" s="1"/>
    </x:row>
    <x:row r="552">
      <x:c r="A552" s="1"/>
      <x:c r="B552" s="1"/>
      <x:c r="C552" s="1"/>
      <x:c r="D552" s="1"/>
      <x:c r="E552" s="1"/>
      <x:c r="F552" s="1"/>
      <x:c r="G552" s="1"/>
    </x:row>
    <x:row r="553">
      <x:c r="A553" s="1"/>
      <x:c r="B553" s="1"/>
      <x:c r="C553" s="1"/>
      <x:c r="D553" s="1"/>
      <x:c r="E553" s="1"/>
      <x:c r="F553" s="1"/>
      <x:c r="G553" s="1"/>
    </x:row>
    <x:row r="554">
      <x:c r="A554" s="1"/>
      <x:c r="B554" s="1"/>
      <x:c r="C554" s="1"/>
      <x:c r="D554" s="1"/>
      <x:c r="E554" s="1"/>
      <x:c r="F554" s="1"/>
      <x:c r="G554" s="1"/>
    </x:row>
    <x:row r="555">
      <x:c r="A555" s="1"/>
      <x:c r="B555" s="1"/>
      <x:c r="C555" s="1"/>
      <x:c r="D555" s="1"/>
      <x:c r="E555" s="1"/>
      <x:c r="F555" s="1"/>
      <x:c r="G555" s="1"/>
    </x:row>
    <x:row r="556">
      <x:c r="A556" s="1"/>
      <x:c r="B556" s="1"/>
      <x:c r="C556" s="1"/>
      <x:c r="D556" s="1"/>
      <x:c r="E556" s="1"/>
      <x:c r="F556" s="1"/>
      <x:c r="G556" s="1"/>
    </x:row>
    <x:row r="557">
      <x:c r="A557" s="1"/>
      <x:c r="B557" s="1"/>
      <x:c r="C557" s="1"/>
      <x:c r="D557" s="1"/>
      <x:c r="E557" s="1"/>
      <x:c r="F557" s="1"/>
      <x:c r="G557" s="1"/>
    </x:row>
    <x:row r="558">
      <x:c r="A558" s="1"/>
      <x:c r="B558" s="1"/>
      <x:c r="C558" s="1"/>
      <x:c r="D558" s="1"/>
      <x:c r="E558" s="1"/>
      <x:c r="F558" s="1"/>
      <x:c r="G558" s="1"/>
    </x:row>
    <x:row r="559">
      <x:c r="A559" s="1"/>
      <x:c r="B559" s="1"/>
      <x:c r="C559" s="1"/>
      <x:c r="D559" s="1"/>
      <x:c r="E559" s="1"/>
      <x:c r="F559" s="1"/>
      <x:c r="G559" s="1"/>
    </x:row>
    <x:row r="560">
      <x:c r="A560" s="1"/>
      <x:c r="B560" s="1"/>
      <x:c r="C560" s="1"/>
      <x:c r="D560" s="1"/>
      <x:c r="E560" s="1"/>
      <x:c r="F560" s="1"/>
      <x:c r="G560" s="1"/>
    </x:row>
    <x:row r="561">
      <x:c r="A561" s="1"/>
      <x:c r="B561" s="1"/>
      <x:c r="C561" s="1"/>
      <x:c r="D561" s="1"/>
      <x:c r="E561" s="1"/>
      <x:c r="F561" s="1"/>
      <x:c r="G561" s="1"/>
    </x:row>
    <x:row r="562">
      <x:c r="A562" s="1"/>
      <x:c r="B562" s="1"/>
      <x:c r="C562" s="1"/>
      <x:c r="D562" s="1"/>
      <x:c r="E562" s="1"/>
      <x:c r="F562" s="1"/>
      <x:c r="G562" s="1"/>
    </x:row>
    <x:row r="563">
      <x:c r="A563" s="1"/>
      <x:c r="B563" s="1"/>
      <x:c r="C563" s="1"/>
      <x:c r="D563" s="1"/>
      <x:c r="E563" s="1"/>
      <x:c r="F563" s="1"/>
      <x:c r="G563" s="1"/>
    </x:row>
    <x:row r="564">
      <x:c r="A564" s="1"/>
      <x:c r="B564" s="1"/>
      <x:c r="C564" s="1"/>
      <x:c r="D564" s="1"/>
      <x:c r="E564" s="1"/>
      <x:c r="F564" s="1"/>
      <x:c r="G564" s="1"/>
    </x:row>
    <x:row r="565">
      <x:c r="A565" s="1"/>
      <x:c r="B565" s="1"/>
      <x:c r="C565" s="1"/>
      <x:c r="D565" s="1"/>
      <x:c r="E565" s="1"/>
      <x:c r="F565" s="1"/>
      <x:c r="G565" s="1"/>
    </x:row>
    <x:row r="566">
      <x:c r="A566" s="1"/>
      <x:c r="B566" s="1"/>
      <x:c r="C566" s="1"/>
      <x:c r="D566" s="1"/>
      <x:c r="E566" s="1"/>
      <x:c r="F566" s="1"/>
      <x:c r="G566" s="1"/>
    </x:row>
    <x:row r="567">
      <x:c r="A567" s="1"/>
      <x:c r="B567" s="1"/>
      <x:c r="C567" s="1"/>
      <x:c r="D567" s="1"/>
      <x:c r="E567" s="1"/>
      <x:c r="F567" s="1"/>
      <x:c r="G567" s="1"/>
    </x:row>
    <x:row r="568">
      <x:c r="A568" s="1"/>
      <x:c r="B568" s="1"/>
      <x:c r="C568" s="1"/>
      <x:c r="D568" s="1"/>
      <x:c r="E568" s="1"/>
      <x:c r="F568" s="1"/>
      <x:c r="G568" s="1"/>
    </x:row>
    <x:row r="569">
      <x:c r="A569" s="1"/>
      <x:c r="B569" s="1"/>
      <x:c r="C569" s="1"/>
      <x:c r="D569" s="1"/>
      <x:c r="E569" s="1"/>
      <x:c r="F569" s="1"/>
      <x:c r="G569" s="1"/>
    </x:row>
    <x:row r="570">
      <x:c r="A570" s="1"/>
      <x:c r="B570" s="1"/>
      <x:c r="C570" s="1"/>
      <x:c r="D570" s="1"/>
      <x:c r="E570" s="1"/>
      <x:c r="F570" s="1"/>
      <x:c r="G570" s="1"/>
    </x:row>
    <x:row r="571">
      <x:c r="A571" s="1"/>
      <x:c r="B571" s="1"/>
      <x:c r="C571" s="1"/>
      <x:c r="D571" s="1"/>
      <x:c r="E571" s="1"/>
      <x:c r="F571" s="1"/>
      <x:c r="G571" s="1"/>
    </x:row>
    <x:row r="572">
      <x:c r="A572" s="1"/>
      <x:c r="B572" s="1"/>
      <x:c r="C572" s="1"/>
      <x:c r="D572" s="1"/>
      <x:c r="E572" s="1"/>
      <x:c r="F572" s="1"/>
      <x:c r="G572" s="1"/>
    </x:row>
    <x:row r="573">
      <x:c r="A573" s="1"/>
      <x:c r="B573" s="1"/>
      <x:c r="C573" s="1"/>
      <x:c r="D573" s="1"/>
      <x:c r="E573" s="1"/>
      <x:c r="F573" s="1"/>
      <x:c r="G573" s="1"/>
    </x:row>
    <x:row r="574">
      <x:c r="A574" s="1"/>
      <x:c r="B574" s="1"/>
      <x:c r="C574" s="1"/>
      <x:c r="D574" s="1"/>
      <x:c r="E574" s="1"/>
      <x:c r="F574" s="1"/>
      <x:c r="G574" s="1"/>
    </x:row>
    <x:row r="575">
      <x:c r="A575" s="1"/>
      <x:c r="B575" s="1"/>
      <x:c r="C575" s="1"/>
      <x:c r="D575" s="1"/>
      <x:c r="E575" s="1"/>
      <x:c r="F575" s="1"/>
      <x:c r="G575" s="1"/>
    </x:row>
    <x:row r="576">
      <x:c r="A576" s="1"/>
      <x:c r="B576" s="1"/>
      <x:c r="C576" s="1"/>
      <x:c r="D576" s="1"/>
      <x:c r="E576" s="1"/>
      <x:c r="F576" s="1"/>
      <x:c r="G576" s="1"/>
    </x:row>
    <x:row r="577">
      <x:c r="A577" s="1"/>
      <x:c r="B577" s="1"/>
      <x:c r="C577" s="1"/>
      <x:c r="D577" s="1"/>
      <x:c r="E577" s="1"/>
      <x:c r="F577" s="1"/>
      <x:c r="G577" s="1"/>
    </x:row>
    <x:row r="578">
      <x:c r="A578" s="1"/>
      <x:c r="B578" s="1"/>
      <x:c r="C578" s="1"/>
      <x:c r="D578" s="1"/>
      <x:c r="E578" s="1"/>
      <x:c r="F578" s="1"/>
      <x:c r="G578" s="1"/>
    </x:row>
    <x:row r="579">
      <x:c r="A579" s="1"/>
      <x:c r="B579" s="1"/>
      <x:c r="C579" s="1"/>
      <x:c r="D579" s="1"/>
      <x:c r="E579" s="1"/>
      <x:c r="F579" s="1"/>
      <x:c r="G579" s="1"/>
    </x:row>
    <x:row r="580">
      <x:c r="A580" s="1"/>
      <x:c r="B580" s="1"/>
      <x:c r="C580" s="1"/>
      <x:c r="D580" s="1"/>
      <x:c r="E580" s="1"/>
      <x:c r="F580" s="1"/>
      <x:c r="G580" s="1"/>
    </x:row>
    <x:row r="581">
      <x:c r="A581" s="1"/>
      <x:c r="B581" s="1"/>
      <x:c r="C581" s="1"/>
      <x:c r="D581" s="1"/>
      <x:c r="E581" s="1"/>
      <x:c r="F581" s="1"/>
      <x:c r="G581" s="1"/>
    </x:row>
    <x:row r="582">
      <x:c r="A582" s="1"/>
      <x:c r="B582" s="1"/>
      <x:c r="C582" s="1"/>
      <x:c r="D582" s="1"/>
      <x:c r="E582" s="1"/>
      <x:c r="F582" s="1"/>
      <x:c r="G582" s="1"/>
    </x:row>
    <x:row r="583">
      <x:c r="A583" s="1"/>
      <x:c r="B583" s="1"/>
      <x:c r="C583" s="1"/>
      <x:c r="D583" s="1"/>
      <x:c r="E583" s="1"/>
      <x:c r="F583" s="1"/>
      <x:c r="G583" s="1"/>
    </x:row>
    <x:row r="584">
      <x:c r="A584" s="1"/>
      <x:c r="B584" s="1"/>
      <x:c r="C584" s="1"/>
      <x:c r="D584" s="1"/>
      <x:c r="E584" s="1"/>
      <x:c r="F584" s="1"/>
      <x:c r="G584" s="1"/>
    </x:row>
    <x:row r="585">
      <x:c r="A585" s="1"/>
      <x:c r="B585" s="1"/>
      <x:c r="C585" s="1"/>
      <x:c r="D585" s="1"/>
      <x:c r="E585" s="1"/>
      <x:c r="F585" s="1"/>
      <x:c r="G585" s="1"/>
    </x:row>
    <x:row r="586">
      <x:c r="A586" s="1"/>
      <x:c r="B586" s="1"/>
      <x:c r="C586" s="1"/>
      <x:c r="D586" s="1"/>
      <x:c r="E586" s="1"/>
      <x:c r="F586" s="1"/>
      <x:c r="G586" s="1"/>
    </x:row>
    <x:row r="587">
      <x:c r="A587" s="1"/>
      <x:c r="B587" s="1"/>
      <x:c r="C587" s="1"/>
      <x:c r="D587" s="1"/>
      <x:c r="E587" s="1"/>
      <x:c r="F587" s="1"/>
      <x:c r="G587" s="1"/>
    </x:row>
    <x:row r="588">
      <x:c r="A588" s="1"/>
      <x:c r="B588" s="1"/>
      <x:c r="C588" s="1"/>
      <x:c r="D588" s="1"/>
      <x:c r="E588" s="1"/>
      <x:c r="F588" s="1"/>
      <x:c r="G588" s="1"/>
    </x:row>
    <x:row r="589">
      <x:c r="A589" s="1"/>
      <x:c r="B589" s="1"/>
      <x:c r="C589" s="1"/>
      <x:c r="D589" s="1"/>
      <x:c r="E589" s="1"/>
      <x:c r="F589" s="1"/>
      <x:c r="G589" s="1"/>
    </x:row>
    <x:row r="590">
      <x:c r="A590" s="1"/>
      <x:c r="B590" s="1"/>
      <x:c r="C590" s="1"/>
      <x:c r="D590" s="1"/>
      <x:c r="E590" s="1"/>
      <x:c r="F590" s="1"/>
      <x:c r="G590" s="1"/>
    </x:row>
    <x:row r="591">
      <x:c r="A591" s="1"/>
      <x:c r="B591" s="1"/>
      <x:c r="C591" s="1"/>
      <x:c r="D591" s="1"/>
      <x:c r="E591" s="1"/>
      <x:c r="F591" s="1"/>
      <x:c r="G591" s="1"/>
    </x:row>
    <x:row r="592">
      <x:c r="A592" s="1"/>
      <x:c r="B592" s="1"/>
      <x:c r="C592" s="1"/>
      <x:c r="D592" s="1"/>
      <x:c r="E592" s="1"/>
      <x:c r="F592" s="1"/>
      <x:c r="G592" s="1"/>
    </x:row>
    <x:row r="593">
      <x:c r="A593" s="1"/>
      <x:c r="B593" s="1"/>
      <x:c r="C593" s="1"/>
      <x:c r="D593" s="1"/>
      <x:c r="E593" s="1"/>
      <x:c r="F593" s="1"/>
      <x:c r="G593" s="1"/>
    </x:row>
    <x:row r="594">
      <x:c r="A594" s="1"/>
      <x:c r="B594" s="1"/>
      <x:c r="C594" s="1"/>
      <x:c r="D594" s="1"/>
      <x:c r="E594" s="1"/>
      <x:c r="F594" s="1"/>
      <x:c r="G594" s="1"/>
    </x:row>
    <x:row r="595">
      <x:c r="A595" s="1"/>
      <x:c r="B595" s="1"/>
      <x:c r="C595" s="1"/>
      <x:c r="D595" s="1"/>
      <x:c r="E595" s="1"/>
      <x:c r="F595" s="1"/>
      <x:c r="G595" s="1"/>
    </x:row>
    <x:row r="596">
      <x:c r="A596" s="1"/>
      <x:c r="B596" s="1"/>
      <x:c r="C596" s="1"/>
      <x:c r="D596" s="1"/>
      <x:c r="E596" s="1"/>
      <x:c r="F596" s="1"/>
      <x:c r="G596" s="1"/>
    </x:row>
    <x:row r="597">
      <x:c r="A597" s="1"/>
      <x:c r="B597" s="1"/>
      <x:c r="C597" s="1"/>
      <x:c r="D597" s="1"/>
      <x:c r="E597" s="1"/>
      <x:c r="F597" s="1"/>
      <x:c r="G597" s="1"/>
    </x:row>
    <x:row r="598">
      <x:c r="A598" s="1"/>
      <x:c r="B598" s="1"/>
      <x:c r="C598" s="1"/>
      <x:c r="D598" s="1"/>
      <x:c r="E598" s="1"/>
      <x:c r="F598" s="1"/>
      <x:c r="G598" s="1"/>
    </x:row>
    <x:row r="599">
      <x:c r="A599" s="1"/>
      <x:c r="B599" s="1"/>
      <x:c r="C599" s="1"/>
      <x:c r="D599" s="1"/>
      <x:c r="E599" s="1"/>
      <x:c r="F599" s="1"/>
      <x:c r="G599" s="1"/>
    </x:row>
    <x:row r="600">
      <x:c r="A600" s="1"/>
      <x:c r="B600" s="1"/>
      <x:c r="C600" s="1"/>
      <x:c r="D600" s="1"/>
      <x:c r="E600" s="1"/>
      <x:c r="F600" s="1"/>
      <x:c r="G600" s="1"/>
    </x:row>
    <x:row r="601">
      <x:c r="A601" s="1"/>
      <x:c r="B601" s="1"/>
      <x:c r="C601" s="1"/>
      <x:c r="D601" s="1"/>
      <x:c r="E601" s="1"/>
      <x:c r="F601" s="1"/>
      <x:c r="G601" s="1"/>
    </x:row>
    <x:row r="602">
      <x:c r="A602" s="1"/>
      <x:c r="B602" s="1"/>
      <x:c r="C602" s="1"/>
      <x:c r="D602" s="1"/>
      <x:c r="E602" s="1"/>
      <x:c r="F602" s="1"/>
      <x:c r="G602" s="1"/>
    </x:row>
    <x:row r="603">
      <x:c r="A603" s="1"/>
      <x:c r="B603" s="1"/>
      <x:c r="C603" s="1"/>
      <x:c r="D603" s="1"/>
      <x:c r="E603" s="1"/>
      <x:c r="F603" s="1"/>
      <x:c r="G603" s="1"/>
    </x:row>
    <x:row r="604">
      <x:c r="A604" s="1"/>
      <x:c r="B604" s="1"/>
      <x:c r="C604" s="1"/>
      <x:c r="D604" s="1"/>
      <x:c r="E604" s="1"/>
      <x:c r="F604" s="1"/>
      <x:c r="G604" s="1"/>
    </x:row>
    <x:row r="605">
      <x:c r="A605" s="1"/>
      <x:c r="B605" s="1"/>
      <x:c r="C605" s="1"/>
      <x:c r="D605" s="1"/>
      <x:c r="E605" s="1"/>
      <x:c r="F605" s="1"/>
      <x:c r="G605" s="1"/>
    </x:row>
    <x:row r="606">
      <x:c r="A606" s="1"/>
      <x:c r="B606" s="1"/>
      <x:c r="C606" s="1"/>
      <x:c r="D606" s="1"/>
      <x:c r="E606" s="1"/>
      <x:c r="F606" s="1"/>
      <x:c r="G606" s="1"/>
    </x:row>
    <x:row r="607">
      <x:c r="A607" s="1"/>
      <x:c r="B607" s="1"/>
      <x:c r="C607" s="1"/>
      <x:c r="D607" s="1"/>
      <x:c r="E607" s="1"/>
      <x:c r="F607" s="1"/>
      <x:c r="G607" s="1"/>
    </x:row>
    <x:row r="608">
      <x:c r="A608" s="1"/>
      <x:c r="B608" s="1"/>
      <x:c r="C608" s="1"/>
      <x:c r="D608" s="1"/>
      <x:c r="E608" s="1"/>
      <x:c r="F608" s="1"/>
      <x:c r="G608" s="1"/>
    </x:row>
    <x:row r="609">
      <x:c r="A609" s="1"/>
      <x:c r="B609" s="1"/>
      <x:c r="C609" s="1"/>
      <x:c r="D609" s="1"/>
      <x:c r="E609" s="1"/>
      <x:c r="F609" s="1"/>
      <x:c r="G609" s="1"/>
    </x:row>
    <x:row r="610">
      <x:c r="A610" s="1"/>
      <x:c r="B610" s="1"/>
      <x:c r="C610" s="1"/>
      <x:c r="D610" s="1"/>
      <x:c r="E610" s="1"/>
      <x:c r="F610" s="1"/>
      <x:c r="G610" s="1"/>
    </x:row>
    <x:row r="611">
      <x:c r="A611" s="1"/>
      <x:c r="B611" s="1"/>
      <x:c r="C611" s="1"/>
      <x:c r="D611" s="1"/>
      <x:c r="E611" s="1"/>
      <x:c r="F611" s="1"/>
      <x:c r="G611" s="1"/>
    </x:row>
    <x:row r="612">
      <x:c r="A612" s="1"/>
      <x:c r="B612" s="1"/>
      <x:c r="C612" s="1"/>
      <x:c r="D612" s="1"/>
      <x:c r="E612" s="1"/>
      <x:c r="F612" s="1"/>
      <x:c r="G612" s="1"/>
    </x:row>
    <x:row r="613">
      <x:c r="A613" s="1"/>
      <x:c r="B613" s="1"/>
      <x:c r="C613" s="1"/>
      <x:c r="D613" s="1"/>
      <x:c r="E613" s="1"/>
      <x:c r="F613" s="1"/>
      <x:c r="G613" s="1"/>
    </x:row>
    <x:row r="614">
      <x:c r="A614" s="1"/>
      <x:c r="B614" s="1"/>
      <x:c r="C614" s="1"/>
      <x:c r="D614" s="1"/>
      <x:c r="E614" s="1"/>
      <x:c r="F614" s="1"/>
      <x:c r="G614" s="1"/>
    </x:row>
    <x:row r="615">
      <x:c r="A615" s="1"/>
      <x:c r="B615" s="1"/>
      <x:c r="C615" s="1"/>
      <x:c r="D615" s="1"/>
      <x:c r="E615" s="1"/>
      <x:c r="F615" s="1"/>
      <x:c r="G615" s="1"/>
    </x:row>
    <x:row r="616">
      <x:c r="A616" s="1"/>
      <x:c r="B616" s="1"/>
      <x:c r="C616" s="1"/>
      <x:c r="D616" s="1"/>
      <x:c r="E616" s="1"/>
      <x:c r="F616" s="1"/>
      <x:c r="G616" s="1"/>
    </x:row>
    <x:row r="617">
      <x:c r="A617" s="1"/>
      <x:c r="B617" s="1"/>
      <x:c r="C617" s="1"/>
      <x:c r="D617" s="1"/>
      <x:c r="E617" s="1"/>
      <x:c r="F617" s="1"/>
      <x:c r="G617" s="1"/>
    </x:row>
    <x:row r="618">
      <x:c r="A618" s="1"/>
      <x:c r="B618" s="1"/>
      <x:c r="C618" s="1"/>
      <x:c r="D618" s="1"/>
      <x:c r="E618" s="1"/>
      <x:c r="F618" s="1"/>
      <x:c r="G618" s="1"/>
    </x:row>
    <x:row r="619">
      <x:c r="A619" s="1"/>
      <x:c r="B619" s="1"/>
      <x:c r="C619" s="1"/>
      <x:c r="D619" s="1"/>
      <x:c r="E619" s="1"/>
      <x:c r="F619" s="1"/>
      <x:c r="G619" s="1"/>
    </x:row>
    <x:row r="620">
      <x:c r="A620" s="1"/>
      <x:c r="B620" s="1"/>
      <x:c r="C620" s="1"/>
      <x:c r="D620" s="1"/>
      <x:c r="E620" s="1"/>
      <x:c r="F620" s="1"/>
      <x:c r="G620" s="1"/>
    </x:row>
    <x:row r="621">
      <x:c r="A621" s="1"/>
      <x:c r="B621" s="1"/>
      <x:c r="C621" s="1"/>
      <x:c r="D621" s="1"/>
      <x:c r="E621" s="1"/>
      <x:c r="F621" s="1"/>
      <x:c r="G621" s="1"/>
    </x:row>
    <x:row r="622">
      <x:c r="A622" s="1"/>
      <x:c r="B622" s="1"/>
      <x:c r="C622" s="1"/>
      <x:c r="D622" s="1"/>
      <x:c r="E622" s="1"/>
      <x:c r="F622" s="1"/>
      <x:c r="G622" s="1"/>
    </x:row>
    <x:row r="623">
      <x:c r="A623" s="1"/>
      <x:c r="B623" s="1"/>
      <x:c r="C623" s="1"/>
      <x:c r="D623" s="1"/>
      <x:c r="E623" s="1"/>
      <x:c r="F623" s="1"/>
      <x:c r="G623" s="1"/>
    </x:row>
    <x:row r="624">
      <x:c r="A624" s="1"/>
      <x:c r="B624" s="1"/>
      <x:c r="C624" s="1"/>
      <x:c r="D624" s="1"/>
      <x:c r="E624" s="1"/>
      <x:c r="F624" s="1"/>
      <x:c r="G624" s="1"/>
    </x:row>
    <x:row r="625">
      <x:c r="A625" s="1"/>
      <x:c r="B625" s="1"/>
      <x:c r="C625" s="1"/>
      <x:c r="D625" s="1"/>
      <x:c r="E625" s="1"/>
      <x:c r="F625" s="1"/>
      <x:c r="G625" s="1"/>
    </x:row>
    <x:row r="626">
      <x:c r="A626" s="1"/>
      <x:c r="B626" s="1"/>
      <x:c r="C626" s="1"/>
      <x:c r="D626" s="1"/>
      <x:c r="E626" s="1"/>
      <x:c r="F626" s="1"/>
      <x:c r="G626" s="1"/>
    </x:row>
    <x:row r="627">
      <x:c r="A627" s="1"/>
      <x:c r="B627" s="1"/>
      <x:c r="C627" s="1"/>
      <x:c r="D627" s="1"/>
      <x:c r="E627" s="1"/>
      <x:c r="F627" s="1"/>
      <x:c r="G627" s="1"/>
    </x:row>
    <x:row r="628">
      <x:c r="A628" s="1"/>
      <x:c r="B628" s="1"/>
      <x:c r="C628" s="1"/>
      <x:c r="D628" s="1"/>
      <x:c r="E628" s="1"/>
      <x:c r="F628" s="1"/>
      <x:c r="G628" s="1"/>
    </x:row>
    <x:row r="629">
      <x:c r="A629" s="1"/>
      <x:c r="B629" s="1"/>
      <x:c r="C629" s="1"/>
      <x:c r="D629" s="1"/>
      <x:c r="E629" s="1"/>
      <x:c r="F629" s="1"/>
      <x:c r="G629" s="1"/>
    </x:row>
    <x:row r="630">
      <x:c r="A630" s="1"/>
      <x:c r="B630" s="1"/>
      <x:c r="C630" s="1"/>
      <x:c r="D630" s="1"/>
      <x:c r="E630" s="1"/>
      <x:c r="F630" s="1"/>
      <x:c r="G630" s="1"/>
    </x:row>
    <x:row r="631">
      <x:c r="A631" s="1"/>
      <x:c r="B631" s="1"/>
      <x:c r="C631" s="1"/>
      <x:c r="D631" s="1"/>
      <x:c r="E631" s="1"/>
      <x:c r="F631" s="1"/>
      <x:c r="G631" s="1"/>
    </x:row>
    <x:row r="632">
      <x:c r="A632" s="1"/>
      <x:c r="B632" s="1"/>
      <x:c r="C632" s="1"/>
      <x:c r="D632" s="1"/>
      <x:c r="E632" s="1"/>
      <x:c r="F632" s="1"/>
      <x:c r="G632" s="1"/>
    </x:row>
    <x:row r="633">
      <x:c r="A633" s="1"/>
      <x:c r="B633" s="1"/>
      <x:c r="C633" s="1"/>
      <x:c r="D633" s="1"/>
      <x:c r="E633" s="1"/>
      <x:c r="F633" s="1"/>
      <x:c r="G633" s="1"/>
    </x:row>
    <x:row r="634">
      <x:c r="A634" s="1"/>
      <x:c r="B634" s="1"/>
      <x:c r="C634" s="1"/>
      <x:c r="D634" s="1"/>
      <x:c r="E634" s="1"/>
      <x:c r="F634" s="1"/>
      <x:c r="G634" s="1"/>
    </x:row>
    <x:row r="635">
      <x:c r="A635" s="1"/>
      <x:c r="B635" s="1"/>
      <x:c r="C635" s="1"/>
      <x:c r="D635" s="1"/>
      <x:c r="E635" s="1"/>
      <x:c r="F635" s="1"/>
      <x:c r="G635" s="1"/>
    </x:row>
    <x:row r="636">
      <x:c r="A636" s="1"/>
      <x:c r="B636" s="1"/>
      <x:c r="C636" s="1"/>
      <x:c r="D636" s="1"/>
      <x:c r="E636" s="1"/>
      <x:c r="F636" s="1"/>
      <x:c r="G636" s="1"/>
    </x:row>
    <x:row r="637">
      <x:c r="A637" s="1"/>
      <x:c r="B637" s="1"/>
      <x:c r="C637" s="1"/>
      <x:c r="D637" s="1"/>
      <x:c r="E637" s="1"/>
      <x:c r="F637" s="1"/>
      <x:c r="G637" s="1"/>
    </x:row>
    <x:row r="638">
      <x:c r="A638" s="1"/>
      <x:c r="B638" s="1"/>
      <x:c r="C638" s="1"/>
      <x:c r="D638" s="1"/>
      <x:c r="E638" s="1"/>
      <x:c r="F638" s="1"/>
      <x:c r="G638" s="1"/>
    </x:row>
    <x:row r="639">
      <x:c r="A639" s="1"/>
      <x:c r="B639" s="1"/>
      <x:c r="C639" s="1"/>
      <x:c r="D639" s="1"/>
      <x:c r="E639" s="1"/>
      <x:c r="F639" s="1"/>
      <x:c r="G639" s="1"/>
    </x:row>
    <x:row r="640">
      <x:c r="A640" s="1"/>
      <x:c r="B640" s="1"/>
      <x:c r="C640" s="1"/>
      <x:c r="D640" s="1"/>
      <x:c r="E640" s="1"/>
      <x:c r="F640" s="1"/>
      <x:c r="G640" s="1"/>
    </x:row>
    <x:row r="641">
      <x:c r="A641" s="1"/>
      <x:c r="B641" s="1"/>
      <x:c r="C641" s="1"/>
      <x:c r="D641" s="1"/>
      <x:c r="E641" s="1"/>
      <x:c r="F641" s="1"/>
      <x:c r="G641" s="1"/>
    </x:row>
    <x:row r="642">
      <x:c r="A642" s="1"/>
      <x:c r="B642" s="1"/>
      <x:c r="C642" s="1"/>
      <x:c r="D642" s="1"/>
      <x:c r="E642" s="1"/>
      <x:c r="F642" s="1"/>
      <x:c r="G642" s="1"/>
    </x:row>
    <x:row r="643">
      <x:c r="A643" s="1"/>
      <x:c r="B643" s="1"/>
      <x:c r="C643" s="1"/>
      <x:c r="D643" s="1"/>
      <x:c r="E643" s="1"/>
      <x:c r="F643" s="1"/>
      <x:c r="G643" s="1"/>
    </x:row>
    <x:row r="644">
      <x:c r="A644" s="1"/>
      <x:c r="B644" s="1"/>
      <x:c r="C644" s="1"/>
      <x:c r="D644" s="1"/>
      <x:c r="E644" s="1"/>
      <x:c r="F644" s="1"/>
      <x:c r="G644" s="1"/>
    </x:row>
    <x:row r="645">
      <x:c r="A645" s="1"/>
      <x:c r="B645" s="1"/>
      <x:c r="C645" s="1"/>
      <x:c r="D645" s="1"/>
      <x:c r="E645" s="1"/>
      <x:c r="F645" s="1"/>
      <x:c r="G645" s="1"/>
    </x:row>
    <x:row r="646">
      <x:c r="A646" s="1"/>
      <x:c r="B646" s="1"/>
      <x:c r="C646" s="1"/>
      <x:c r="D646" s="1"/>
      <x:c r="E646" s="1"/>
      <x:c r="F646" s="1"/>
      <x:c r="G646" s="1"/>
    </x:row>
    <x:row r="647">
      <x:c r="A647" s="1"/>
      <x:c r="B647" s="1"/>
      <x:c r="C647" s="1"/>
      <x:c r="D647" s="1"/>
      <x:c r="E647" s="1"/>
      <x:c r="F647" s="1"/>
      <x:c r="G647" s="1"/>
    </x:row>
    <x:row r="648">
      <x:c r="A648" s="1"/>
      <x:c r="B648" s="1"/>
      <x:c r="C648" s="1"/>
      <x:c r="D648" s="1"/>
      <x:c r="E648" s="1"/>
      <x:c r="F648" s="1"/>
      <x:c r="G648" s="1"/>
    </x:row>
    <x:row r="649">
      <x:c r="A649" s="1"/>
      <x:c r="B649" s="1"/>
      <x:c r="C649" s="1"/>
      <x:c r="D649" s="1"/>
      <x:c r="E649" s="1"/>
      <x:c r="F649" s="1"/>
      <x:c r="G649" s="1"/>
    </x:row>
    <x:row r="650">
      <x:c r="A650" s="1"/>
      <x:c r="B650" s="1"/>
      <x:c r="C650" s="1"/>
      <x:c r="D650" s="1"/>
      <x:c r="E650" s="1"/>
      <x:c r="F650" s="1"/>
      <x:c r="G650" s="1"/>
    </x:row>
    <x:row r="651">
      <x:c r="A651" s="1"/>
      <x:c r="B651" s="1"/>
      <x:c r="C651" s="1"/>
      <x:c r="D651" s="1"/>
      <x:c r="E651" s="1"/>
      <x:c r="F651" s="1"/>
      <x:c r="G651" s="1"/>
    </x:row>
    <x:row r="652">
      <x:c r="A652" s="1"/>
      <x:c r="B652" s="1"/>
      <x:c r="C652" s="1"/>
      <x:c r="D652" s="1"/>
      <x:c r="E652" s="1"/>
      <x:c r="F652" s="1"/>
      <x:c r="G652" s="1"/>
    </x:row>
    <x:row r="653">
      <x:c r="A653" s="1"/>
      <x:c r="B653" s="1"/>
      <x:c r="C653" s="1"/>
      <x:c r="D653" s="1"/>
      <x:c r="E653" s="1"/>
      <x:c r="F653" s="1"/>
      <x:c r="G653" s="1"/>
    </x:row>
    <x:row r="654">
      <x:c r="A654" s="1"/>
      <x:c r="B654" s="1"/>
      <x:c r="C654" s="1"/>
      <x:c r="D654" s="1"/>
      <x:c r="E654" s="1"/>
      <x:c r="F654" s="1"/>
      <x:c r="G654" s="1"/>
    </x:row>
    <x:row r="655">
      <x:c r="A655" s="1"/>
      <x:c r="B655" s="1"/>
      <x:c r="C655" s="1"/>
      <x:c r="D655" s="1"/>
      <x:c r="E655" s="1"/>
      <x:c r="F655" s="1"/>
      <x:c r="G655" s="1"/>
    </x:row>
    <x:row r="656">
      <x:c r="A656" s="1"/>
      <x:c r="B656" s="1"/>
      <x:c r="C656" s="1"/>
      <x:c r="D656" s="1"/>
      <x:c r="E656" s="1"/>
      <x:c r="F656" s="1"/>
      <x:c r="G656" s="1"/>
    </x:row>
    <x:row r="657">
      <x:c r="A657" s="1"/>
      <x:c r="B657" s="1"/>
      <x:c r="C657" s="1"/>
      <x:c r="D657" s="1"/>
      <x:c r="E657" s="1"/>
      <x:c r="F657" s="1"/>
      <x:c r="G657" s="1"/>
    </x:row>
    <x:row r="658">
      <x:c r="A658" s="1"/>
      <x:c r="B658" s="1"/>
      <x:c r="C658" s="1"/>
      <x:c r="D658" s="1"/>
      <x:c r="E658" s="1"/>
      <x:c r="F658" s="1"/>
      <x:c r="G658" s="1"/>
    </x:row>
    <x:row r="659">
      <x:c r="A659" s="1"/>
      <x:c r="B659" s="1"/>
      <x:c r="C659" s="1"/>
      <x:c r="D659" s="1"/>
      <x:c r="E659" s="1"/>
      <x:c r="F659" s="1"/>
      <x:c r="G659" s="1"/>
    </x:row>
    <x:row r="660">
      <x:c r="A660" s="1"/>
      <x:c r="B660" s="1"/>
      <x:c r="C660" s="1"/>
      <x:c r="D660" s="1"/>
      <x:c r="E660" s="1"/>
      <x:c r="F660" s="1"/>
      <x:c r="G660" s="1"/>
    </x:row>
    <x:row r="661">
      <x:c r="A661" s="1"/>
      <x:c r="B661" s="1"/>
      <x:c r="C661" s="1"/>
      <x:c r="D661" s="1"/>
      <x:c r="E661" s="1"/>
      <x:c r="F661" s="1"/>
      <x:c r="G661" s="1"/>
    </x:row>
    <x:row r="662">
      <x:c r="A662" s="1"/>
      <x:c r="B662" s="1"/>
      <x:c r="C662" s="1"/>
      <x:c r="D662" s="1"/>
      <x:c r="E662" s="1"/>
      <x:c r="F662" s="1"/>
      <x:c r="G662" s="1"/>
    </x:row>
    <x:row r="663">
      <x:c r="A663" s="1"/>
      <x:c r="B663" s="1"/>
      <x:c r="C663" s="1"/>
      <x:c r="D663" s="1"/>
      <x:c r="E663" s="1"/>
      <x:c r="F663" s="1"/>
      <x:c r="G663" s="1"/>
    </x:row>
    <x:row r="664">
      <x:c r="A664" s="1"/>
      <x:c r="B664" s="1"/>
      <x:c r="C664" s="1"/>
      <x:c r="D664" s="1"/>
      <x:c r="E664" s="1"/>
      <x:c r="F664" s="1"/>
      <x:c r="G664" s="1"/>
    </x:row>
    <x:row r="665">
      <x:c r="A665" s="1"/>
      <x:c r="B665" s="1"/>
      <x:c r="C665" s="1"/>
      <x:c r="D665" s="1"/>
      <x:c r="E665" s="1"/>
      <x:c r="F665" s="1"/>
      <x:c r="G665" s="1"/>
    </x:row>
    <x:row r="666">
      <x:c r="A666" s="1"/>
      <x:c r="B666" s="1"/>
      <x:c r="C666" s="1"/>
      <x:c r="D666" s="1"/>
      <x:c r="E666" s="1"/>
      <x:c r="F666" s="1"/>
      <x:c r="G666" s="1"/>
    </x:row>
    <x:row r="667">
      <x:c r="A667" s="1"/>
      <x:c r="B667" s="1"/>
      <x:c r="C667" s="1"/>
      <x:c r="D667" s="1"/>
      <x:c r="E667" s="1"/>
      <x:c r="F667" s="1"/>
      <x:c r="G667" s="1"/>
    </x:row>
    <x:row r="668">
      <x:c r="A668" s="1"/>
      <x:c r="B668" s="1"/>
      <x:c r="C668" s="1"/>
      <x:c r="D668" s="1"/>
      <x:c r="E668" s="1"/>
      <x:c r="F668" s="1"/>
      <x:c r="G668" s="1"/>
    </x:row>
    <x:row r="669">
      <x:c r="A669" s="1"/>
      <x:c r="B669" s="1"/>
      <x:c r="C669" s="1"/>
      <x:c r="D669" s="1"/>
      <x:c r="E669" s="1"/>
      <x:c r="F669" s="1"/>
      <x:c r="G669" s="1"/>
    </x:row>
    <x:row r="670">
      <x:c r="A670" s="1"/>
      <x:c r="B670" s="1"/>
      <x:c r="C670" s="1"/>
      <x:c r="D670" s="1"/>
      <x:c r="E670" s="1"/>
      <x:c r="F670" s="1"/>
      <x:c r="G670" s="1"/>
    </x:row>
    <x:row r="671">
      <x:c r="A671" s="1"/>
      <x:c r="B671" s="1"/>
      <x:c r="C671" s="1"/>
      <x:c r="D671" s="1"/>
      <x:c r="E671" s="1"/>
      <x:c r="F671" s="1"/>
      <x:c r="G671" s="1"/>
    </x:row>
    <x:row r="672">
      <x:c r="A672" s="1"/>
      <x:c r="B672" s="1"/>
      <x:c r="C672" s="1"/>
      <x:c r="D672" s="1"/>
      <x:c r="E672" s="1"/>
      <x:c r="F672" s="1"/>
      <x:c r="G672" s="1"/>
    </x:row>
    <x:row r="673">
      <x:c r="A673" s="1"/>
      <x:c r="B673" s="1"/>
      <x:c r="C673" s="1"/>
      <x:c r="D673" s="1"/>
      <x:c r="E673" s="1"/>
      <x:c r="F673" s="1"/>
      <x:c r="G673" s="1"/>
    </x:row>
    <x:row r="674">
      <x:c r="A674" s="1"/>
      <x:c r="B674" s="1"/>
      <x:c r="C674" s="1"/>
      <x:c r="D674" s="1"/>
      <x:c r="E674" s="1"/>
      <x:c r="F674" s="1"/>
      <x:c r="G674" s="1"/>
    </x:row>
    <x:row r="675">
      <x:c r="A675" s="1"/>
      <x:c r="B675" s="1"/>
      <x:c r="C675" s="1"/>
      <x:c r="D675" s="1"/>
      <x:c r="E675" s="1"/>
      <x:c r="F675" s="1"/>
      <x:c r="G675" s="1"/>
    </x:row>
    <x:row r="676">
      <x:c r="A676" s="1"/>
      <x:c r="B676" s="1"/>
      <x:c r="C676" s="1"/>
      <x:c r="D676" s="1"/>
      <x:c r="E676" s="1"/>
      <x:c r="F676" s="1"/>
      <x:c r="G676" s="1"/>
    </x:row>
    <x:row r="677">
      <x:c r="A677" s="1"/>
      <x:c r="B677" s="1"/>
      <x:c r="C677" s="1"/>
      <x:c r="D677" s="1"/>
      <x:c r="E677" s="1"/>
      <x:c r="F677" s="1"/>
      <x:c r="G677" s="1"/>
    </x:row>
    <x:row r="678">
      <x:c r="A678" s="1"/>
      <x:c r="B678" s="1"/>
      <x:c r="C678" s="1"/>
      <x:c r="D678" s="1"/>
      <x:c r="E678" s="1"/>
      <x:c r="F678" s="1"/>
      <x:c r="G678" s="1"/>
    </x:row>
    <x:row r="679">
      <x:c r="A679" s="1"/>
      <x:c r="B679" s="1"/>
      <x:c r="C679" s="1"/>
      <x:c r="D679" s="1"/>
      <x:c r="E679" s="1"/>
      <x:c r="F679" s="1"/>
      <x:c r="G679" s="1"/>
    </x:row>
    <x:row r="680">
      <x:c r="A680" s="1"/>
      <x:c r="B680" s="1"/>
      <x:c r="C680" s="1"/>
      <x:c r="D680" s="1"/>
      <x:c r="E680" s="1"/>
      <x:c r="F680" s="1"/>
      <x:c r="G680" s="1"/>
    </x:row>
    <x:row r="681">
      <x:c r="A681" s="1"/>
      <x:c r="B681" s="1"/>
      <x:c r="C681" s="1"/>
      <x:c r="D681" s="1"/>
      <x:c r="E681" s="1"/>
      <x:c r="F681" s="1"/>
      <x:c r="G681" s="1"/>
    </x:row>
    <x:row r="682">
      <x:c r="A682" s="1"/>
      <x:c r="B682" s="1"/>
      <x:c r="C682" s="1"/>
      <x:c r="D682" s="1"/>
      <x:c r="E682" s="1"/>
      <x:c r="F682" s="1"/>
      <x:c r="G682" s="1"/>
    </x:row>
    <x:row r="683">
      <x:c r="A683" s="1"/>
      <x:c r="B683" s="1"/>
      <x:c r="C683" s="1"/>
      <x:c r="D683" s="1"/>
      <x:c r="E683" s="1"/>
      <x:c r="F683" s="1"/>
      <x:c r="G683" s="1"/>
    </x:row>
    <x:row r="684">
      <x:c r="A684" s="1"/>
      <x:c r="B684" s="1"/>
      <x:c r="C684" s="1"/>
      <x:c r="D684" s="1"/>
      <x:c r="E684" s="1"/>
      <x:c r="F684" s="1"/>
      <x:c r="G684" s="1"/>
    </x:row>
    <x:row r="685">
      <x:c r="A685" s="1"/>
      <x:c r="B685" s="1"/>
      <x:c r="C685" s="1"/>
      <x:c r="D685" s="1"/>
      <x:c r="E685" s="1"/>
      <x:c r="F685" s="1"/>
      <x:c r="G685" s="1"/>
    </x:row>
    <x:row r="686">
      <x:c r="A686" s="1"/>
      <x:c r="B686" s="1"/>
      <x:c r="C686" s="1"/>
      <x:c r="D686" s="1"/>
      <x:c r="E686" s="1"/>
      <x:c r="F686" s="1"/>
      <x:c r="G686" s="1"/>
    </x:row>
    <x:row r="687">
      <x:c r="A687" s="1"/>
      <x:c r="B687" s="1"/>
      <x:c r="C687" s="1"/>
      <x:c r="D687" s="1"/>
      <x:c r="E687" s="1"/>
      <x:c r="F687" s="1"/>
      <x:c r="G687" s="1"/>
    </x:row>
    <x:row r="688">
      <x:c r="A688" s="1"/>
      <x:c r="B688" s="1"/>
      <x:c r="C688" s="1"/>
      <x:c r="D688" s="1"/>
      <x:c r="E688" s="1"/>
      <x:c r="F688" s="1"/>
      <x:c r="G688" s="1"/>
    </x:row>
    <x:row r="689">
      <x:c r="A689" s="1"/>
      <x:c r="B689" s="1"/>
      <x:c r="C689" s="1"/>
      <x:c r="D689" s="1"/>
      <x:c r="E689" s="1"/>
      <x:c r="F689" s="1"/>
      <x:c r="G689" s="1"/>
    </x:row>
    <x:row r="690">
      <x:c r="A690" s="1"/>
      <x:c r="B690" s="1"/>
      <x:c r="C690" s="1"/>
      <x:c r="D690" s="1"/>
      <x:c r="E690" s="1"/>
      <x:c r="F690" s="1"/>
      <x:c r="G690" s="1"/>
    </x:row>
    <x:row r="691">
      <x:c r="A691" s="1"/>
      <x:c r="B691" s="1"/>
      <x:c r="C691" s="1"/>
      <x:c r="D691" s="1"/>
      <x:c r="E691" s="1"/>
      <x:c r="F691" s="1"/>
      <x:c r="G691" s="1"/>
    </x:row>
    <x:row r="692">
      <x:c r="A692" s="1"/>
      <x:c r="B692" s="1"/>
      <x:c r="C692" s="1"/>
      <x:c r="D692" s="1"/>
      <x:c r="E692" s="1"/>
      <x:c r="F692" s="1"/>
      <x:c r="G692" s="1"/>
    </x:row>
    <x:row r="693">
      <x:c r="A693" s="1"/>
      <x:c r="B693" s="1"/>
      <x:c r="C693" s="1"/>
      <x:c r="D693" s="1"/>
      <x:c r="E693" s="1"/>
      <x:c r="F693" s="1"/>
      <x:c r="G693" s="1"/>
    </x:row>
    <x:row r="694">
      <x:c r="A694" s="1"/>
      <x:c r="B694" s="1"/>
      <x:c r="C694" s="1"/>
      <x:c r="D694" s="1"/>
      <x:c r="E694" s="1"/>
      <x:c r="F694" s="1"/>
      <x:c r="G694" s="1"/>
    </x:row>
    <x:row r="695">
      <x:c r="A695" s="1"/>
      <x:c r="B695" s="1"/>
      <x:c r="C695" s="1"/>
      <x:c r="D695" s="1"/>
      <x:c r="E695" s="1"/>
      <x:c r="F695" s="1"/>
      <x:c r="G695" s="1"/>
    </x:row>
    <x:row r="696">
      <x:c r="A696" s="1"/>
      <x:c r="B696" s="1"/>
      <x:c r="C696" s="1"/>
      <x:c r="D696" s="1"/>
      <x:c r="E696" s="1"/>
      <x:c r="F696" s="1"/>
      <x:c r="G696" s="1"/>
    </x:row>
    <x:row r="697">
      <x:c r="A697" s="1"/>
      <x:c r="B697" s="1"/>
      <x:c r="C697" s="1"/>
      <x:c r="D697" s="1"/>
      <x:c r="E697" s="1"/>
      <x:c r="F697" s="1"/>
      <x:c r="G697" s="1"/>
    </x:row>
    <x:row r="698">
      <x:c r="A698" s="1"/>
      <x:c r="B698" s="1"/>
      <x:c r="C698" s="1"/>
      <x:c r="D698" s="1"/>
      <x:c r="E698" s="1"/>
      <x:c r="F698" s="1"/>
      <x:c r="G698" s="1"/>
    </x:row>
    <x:row r="699">
      <x:c r="A699" s="1"/>
      <x:c r="B699" s="1"/>
      <x:c r="C699" s="1"/>
      <x:c r="D699" s="1"/>
      <x:c r="E699" s="1"/>
      <x:c r="F699" s="1"/>
      <x:c r="G699" s="1"/>
    </x:row>
    <x:row r="700">
      <x:c r="A700" s="1"/>
      <x:c r="B700" s="1"/>
      <x:c r="C700" s="1"/>
      <x:c r="D700" s="1"/>
      <x:c r="E700" s="1"/>
      <x:c r="F700" s="1"/>
      <x:c r="G700" s="1"/>
    </x:row>
    <x:row r="701">
      <x:c r="A701" s="1"/>
      <x:c r="B701" s="1"/>
      <x:c r="C701" s="1"/>
      <x:c r="D701" s="1"/>
      <x:c r="E701" s="1"/>
      <x:c r="F701" s="1"/>
      <x:c r="G701" s="1"/>
    </x:row>
    <x:row r="702">
      <x:c r="A702" s="1"/>
      <x:c r="B702" s="1"/>
      <x:c r="C702" s="1"/>
      <x:c r="D702" s="1"/>
      <x:c r="E702" s="1"/>
      <x:c r="F702" s="1"/>
      <x:c r="G702" s="1"/>
    </x:row>
    <x:row r="703">
      <x:c r="A703" s="1"/>
      <x:c r="B703" s="1"/>
      <x:c r="C703" s="1"/>
      <x:c r="D703" s="1"/>
      <x:c r="E703" s="1"/>
      <x:c r="F703" s="1"/>
      <x:c r="G703" s="1"/>
    </x:row>
    <x:row r="704">
      <x:c r="A704" s="1"/>
      <x:c r="B704" s="1"/>
      <x:c r="C704" s="1"/>
      <x:c r="D704" s="1"/>
      <x:c r="E704" s="1"/>
      <x:c r="F704" s="1"/>
      <x:c r="G704" s="1"/>
    </x:row>
    <x:row r="705">
      <x:c r="A705" s="1"/>
      <x:c r="B705" s="1"/>
      <x:c r="C705" s="1"/>
      <x:c r="D705" s="1"/>
      <x:c r="E705" s="1"/>
      <x:c r="F705" s="1"/>
      <x:c r="G705" s="1"/>
    </x:row>
    <x:row r="706">
      <x:c r="A706" s="1"/>
      <x:c r="B706" s="1"/>
      <x:c r="C706" s="1"/>
      <x:c r="D706" s="1"/>
      <x:c r="E706" s="1"/>
      <x:c r="F706" s="1"/>
      <x:c r="G706" s="1"/>
    </x:row>
    <x:row r="707">
      <x:c r="A707" s="1"/>
      <x:c r="B707" s="1"/>
      <x:c r="C707" s="1"/>
      <x:c r="D707" s="1"/>
      <x:c r="E707" s="1"/>
      <x:c r="F707" s="1"/>
      <x:c r="G707" s="1"/>
    </x:row>
    <x:row r="708">
      <x:c r="A708" s="1"/>
      <x:c r="B708" s="1"/>
      <x:c r="C708" s="1"/>
      <x:c r="D708" s="1"/>
      <x:c r="E708" s="1"/>
      <x:c r="F708" s="1"/>
      <x:c r="G708" s="1"/>
    </x:row>
    <x:row r="709">
      <x:c r="A709" s="1"/>
      <x:c r="B709" s="1"/>
      <x:c r="C709" s="1"/>
      <x:c r="D709" s="1"/>
      <x:c r="E709" s="1"/>
      <x:c r="F709" s="1"/>
      <x:c r="G709" s="1"/>
    </x:row>
    <x:row r="710">
      <x:c r="A710" s="1"/>
      <x:c r="B710" s="1"/>
      <x:c r="C710" s="1"/>
      <x:c r="D710" s="1"/>
      <x:c r="E710" s="1"/>
      <x:c r="F710" s="1"/>
      <x:c r="G710" s="1"/>
    </x:row>
    <x:row r="711">
      <x:c r="A711" s="1"/>
      <x:c r="B711" s="1"/>
      <x:c r="C711" s="1"/>
      <x:c r="D711" s="1"/>
      <x:c r="E711" s="1"/>
      <x:c r="F711" s="1"/>
      <x:c r="G711" s="1"/>
    </x:row>
    <x:row r="712">
      <x:c r="A712" s="1"/>
      <x:c r="B712" s="1"/>
      <x:c r="C712" s="1"/>
      <x:c r="D712" s="1"/>
      <x:c r="E712" s="1"/>
      <x:c r="F712" s="1"/>
      <x:c r="G712" s="1"/>
    </x:row>
    <x:row r="713">
      <x:c r="A713" s="1"/>
      <x:c r="B713" s="1"/>
      <x:c r="C713" s="1"/>
      <x:c r="D713" s="1"/>
      <x:c r="E713" s="1"/>
      <x:c r="F713" s="1"/>
      <x:c r="G713" s="1"/>
    </x:row>
    <x:row r="714">
      <x:c r="A714" s="1"/>
      <x:c r="B714" s="1"/>
      <x:c r="C714" s="1"/>
      <x:c r="D714" s="1"/>
      <x:c r="E714" s="1"/>
      <x:c r="F714" s="1"/>
      <x:c r="G714" s="1"/>
    </x:row>
    <x:row r="715">
      <x:c r="A715" s="1"/>
      <x:c r="B715" s="1"/>
      <x:c r="C715" s="1"/>
      <x:c r="D715" s="1"/>
      <x:c r="E715" s="1"/>
      <x:c r="F715" s="1"/>
      <x:c r="G715" s="1"/>
    </x:row>
    <x:row r="716">
      <x:c r="A716" s="1"/>
      <x:c r="B716" s="1"/>
      <x:c r="C716" s="1"/>
      <x:c r="D716" s="1"/>
      <x:c r="E716" s="1"/>
      <x:c r="F716" s="1"/>
      <x:c r="G716" s="1"/>
    </x:row>
    <x:row r="717">
      <x:c r="A717" s="1"/>
      <x:c r="B717" s="1"/>
      <x:c r="C717" s="1"/>
      <x:c r="D717" s="1"/>
      <x:c r="E717" s="1"/>
      <x:c r="F717" s="1"/>
      <x:c r="G717" s="1"/>
    </x:row>
    <x:row r="718">
      <x:c r="A718" s="1"/>
      <x:c r="B718" s="1"/>
      <x:c r="C718" s="1"/>
      <x:c r="D718" s="1"/>
      <x:c r="E718" s="1"/>
      <x:c r="F718" s="1"/>
      <x:c r="G718" s="1"/>
    </x:row>
    <x:row r="719">
      <x:c r="A719" s="1"/>
      <x:c r="B719" s="1"/>
      <x:c r="C719" s="1"/>
      <x:c r="D719" s="1"/>
      <x:c r="E719" s="1"/>
      <x:c r="F719" s="1"/>
      <x:c r="G719" s="1"/>
    </x:row>
    <x:row r="720">
      <x:c r="A720" s="1"/>
      <x:c r="B720" s="1"/>
      <x:c r="C720" s="1"/>
      <x:c r="D720" s="1"/>
      <x:c r="E720" s="1"/>
      <x:c r="F720" s="1"/>
      <x:c r="G720" s="1"/>
    </x:row>
    <x:row r="721">
      <x:c r="A721" s="1"/>
      <x:c r="B721" s="1"/>
      <x:c r="C721" s="1"/>
      <x:c r="D721" s="1"/>
      <x:c r="E721" s="1"/>
      <x:c r="F721" s="1"/>
      <x:c r="G721" s="1"/>
    </x:row>
    <x:row r="722">
      <x:c r="A722" s="1"/>
      <x:c r="B722" s="1"/>
      <x:c r="C722" s="1"/>
      <x:c r="D722" s="1"/>
      <x:c r="E722" s="1"/>
      <x:c r="F722" s="1"/>
      <x:c r="G722" s="1"/>
    </x:row>
    <x:row r="723">
      <x:c r="A723" s="1"/>
      <x:c r="B723" s="1"/>
      <x:c r="C723" s="1"/>
      <x:c r="D723" s="1"/>
      <x:c r="E723" s="1"/>
      <x:c r="F723" s="1"/>
      <x:c r="G723" s="1"/>
    </x:row>
    <x:row r="724">
      <x:c r="A724" s="1"/>
      <x:c r="B724" s="1"/>
      <x:c r="C724" s="1"/>
      <x:c r="D724" s="1"/>
      <x:c r="E724" s="1"/>
      <x:c r="F724" s="1"/>
      <x:c r="G724" s="1"/>
    </x:row>
    <x:row r="725">
      <x:c r="A725" s="1"/>
      <x:c r="B725" s="1"/>
      <x:c r="C725" s="1"/>
      <x:c r="D725" s="1"/>
      <x:c r="E725" s="1"/>
      <x:c r="F725" s="1"/>
      <x:c r="G725" s="1"/>
    </x:row>
    <x:row r="726">
      <x:c r="A726" s="1"/>
      <x:c r="B726" s="1"/>
      <x:c r="C726" s="1"/>
      <x:c r="D726" s="1"/>
      <x:c r="E726" s="1"/>
      <x:c r="F726" s="1"/>
      <x:c r="G726" s="1"/>
    </x:row>
    <x:row r="727">
      <x:c r="A727" s="1"/>
      <x:c r="B727" s="1"/>
      <x:c r="C727" s="1"/>
      <x:c r="D727" s="1"/>
      <x:c r="E727" s="1"/>
      <x:c r="F727" s="1"/>
      <x:c r="G727" s="1"/>
    </x:row>
    <x:row r="728">
      <x:c r="A728" s="1"/>
      <x:c r="B728" s="1"/>
      <x:c r="C728" s="1"/>
      <x:c r="D728" s="1"/>
      <x:c r="E728" s="1"/>
      <x:c r="F728" s="1"/>
      <x:c r="G728" s="1"/>
    </x:row>
    <x:row r="729">
      <x:c r="A729" s="1"/>
      <x:c r="B729" s="1"/>
      <x:c r="C729" s="1"/>
      <x:c r="D729" s="1"/>
      <x:c r="E729" s="1"/>
      <x:c r="F729" s="1"/>
      <x:c r="G729" s="1"/>
    </x:row>
    <x:row r="730">
      <x:c r="A730" s="1"/>
      <x:c r="B730" s="1"/>
      <x:c r="C730" s="1"/>
      <x:c r="D730" s="1"/>
      <x:c r="E730" s="1"/>
      <x:c r="F730" s="1"/>
      <x:c r="G730" s="1"/>
    </x:row>
    <x:row r="731">
      <x:c r="A731" s="1"/>
      <x:c r="B731" s="1"/>
      <x:c r="C731" s="1"/>
      <x:c r="D731" s="1"/>
      <x:c r="E731" s="1"/>
      <x:c r="F731" s="1"/>
      <x:c r="G731" s="1"/>
    </x:row>
    <x:row r="732">
      <x:c r="A732" s="1"/>
      <x:c r="B732" s="1"/>
      <x:c r="C732" s="1"/>
      <x:c r="D732" s="1"/>
      <x:c r="E732" s="1"/>
      <x:c r="F732" s="1"/>
      <x:c r="G732" s="1"/>
    </x:row>
    <x:row r="733">
      <x:c r="A733" s="1"/>
      <x:c r="B733" s="1"/>
      <x:c r="C733" s="1"/>
      <x:c r="D733" s="1"/>
      <x:c r="E733" s="1"/>
      <x:c r="F733" s="1"/>
      <x:c r="G733" s="1"/>
    </x:row>
    <x:row r="734">
      <x:c r="A734" s="1"/>
      <x:c r="B734" s="1"/>
      <x:c r="C734" s="1"/>
      <x:c r="D734" s="1"/>
      <x:c r="E734" s="1"/>
      <x:c r="F734" s="1"/>
      <x:c r="G734" s="1"/>
    </x:row>
    <x:row r="735">
      <x:c r="A735" s="1"/>
      <x:c r="B735" s="1"/>
      <x:c r="C735" s="1"/>
      <x:c r="D735" s="1"/>
      <x:c r="E735" s="1"/>
      <x:c r="F735" s="1"/>
      <x:c r="G735" s="1"/>
    </x:row>
    <x:row r="736">
      <x:c r="A736" s="1"/>
      <x:c r="B736" s="1"/>
      <x:c r="C736" s="1"/>
      <x:c r="D736" s="1"/>
      <x:c r="E736" s="1"/>
      <x:c r="F736" s="1"/>
      <x:c r="G736" s="1"/>
    </x:row>
    <x:row r="737">
      <x:c r="A737" s="1"/>
      <x:c r="B737" s="1"/>
      <x:c r="C737" s="1"/>
      <x:c r="D737" s="1"/>
      <x:c r="E737" s="1"/>
      <x:c r="F737" s="1"/>
      <x:c r="G737" s="1"/>
    </x:row>
    <x:row r="738">
      <x:c r="A738" s="1"/>
      <x:c r="B738" s="1"/>
      <x:c r="C738" s="1"/>
      <x:c r="D738" s="1"/>
      <x:c r="E738" s="1"/>
      <x:c r="F738" s="1"/>
      <x:c r="G738" s="1"/>
    </x:row>
    <x:row r="739">
      <x:c r="A739" s="1"/>
      <x:c r="B739" s="1"/>
      <x:c r="C739" s="1"/>
      <x:c r="D739" s="1"/>
      <x:c r="E739" s="1"/>
      <x:c r="F739" s="1"/>
      <x:c r="G739" s="1"/>
    </x:row>
    <x:row r="740">
      <x:c r="A740" s="1"/>
      <x:c r="B740" s="1"/>
      <x:c r="C740" s="1"/>
      <x:c r="D740" s="1"/>
      <x:c r="E740" s="1"/>
      <x:c r="F740" s="1"/>
      <x:c r="G740" s="1"/>
    </x:row>
    <x:row r="741">
      <x:c r="A741" s="1"/>
      <x:c r="B741" s="1"/>
      <x:c r="C741" s="1"/>
      <x:c r="D741" s="1"/>
      <x:c r="E741" s="1"/>
      <x:c r="F741" s="1"/>
      <x:c r="G741" s="1"/>
    </x:row>
    <x:row r="742">
      <x:c r="A742" s="1"/>
      <x:c r="B742" s="1"/>
      <x:c r="C742" s="1"/>
      <x:c r="D742" s="1"/>
      <x:c r="E742" s="1"/>
      <x:c r="F742" s="1"/>
      <x:c r="G742" s="1"/>
    </x:row>
    <x:row r="743">
      <x:c r="A743" s="1"/>
      <x:c r="B743" s="1"/>
      <x:c r="C743" s="1"/>
      <x:c r="D743" s="1"/>
      <x:c r="E743" s="1"/>
      <x:c r="F743" s="1"/>
      <x:c r="G743" s="1"/>
    </x:row>
    <x:row r="744">
      <x:c r="A744" s="1"/>
      <x:c r="B744" s="1"/>
      <x:c r="C744" s="1"/>
      <x:c r="D744" s="1"/>
      <x:c r="E744" s="1"/>
      <x:c r="F744" s="1"/>
      <x:c r="G744" s="1"/>
    </x:row>
    <x:row r="745">
      <x:c r="A745" s="1"/>
      <x:c r="B745" s="1"/>
      <x:c r="C745" s="1"/>
      <x:c r="D745" s="1"/>
      <x:c r="E745" s="1"/>
      <x:c r="F745" s="1"/>
      <x:c r="G745" s="1"/>
    </x:row>
    <x:row r="746">
      <x:c r="A746" s="1"/>
      <x:c r="B746" s="1"/>
      <x:c r="C746" s="1"/>
      <x:c r="D746" s="1"/>
      <x:c r="E746" s="1"/>
      <x:c r="F746" s="1"/>
      <x:c r="G746" s="1"/>
    </x:row>
    <x:row r="747">
      <x:c r="A747" s="1"/>
      <x:c r="B747" s="1"/>
      <x:c r="C747" s="1"/>
      <x:c r="D747" s="1"/>
      <x:c r="E747" s="1"/>
      <x:c r="F747" s="1"/>
      <x:c r="G747" s="1"/>
    </x:row>
    <x:row r="748">
      <x:c r="A748" s="1"/>
      <x:c r="B748" s="1"/>
      <x:c r="C748" s="1"/>
      <x:c r="D748" s="1"/>
      <x:c r="E748" s="1"/>
      <x:c r="F748" s="1"/>
      <x:c r="G748" s="1"/>
    </x:row>
    <x:row r="749">
      <x:c r="A749" s="1"/>
      <x:c r="B749" s="1"/>
      <x:c r="C749" s="1"/>
      <x:c r="D749" s="1"/>
      <x:c r="E749" s="1"/>
      <x:c r="F749" s="1"/>
      <x:c r="G749" s="1"/>
    </x:row>
    <x:row r="750">
      <x:c r="A750" s="1"/>
      <x:c r="B750" s="1"/>
      <x:c r="C750" s="1"/>
      <x:c r="D750" s="1"/>
      <x:c r="E750" s="1"/>
      <x:c r="F750" s="1"/>
      <x:c r="G750" s="1"/>
    </x:row>
    <x:row r="751">
      <x:c r="A751" s="1"/>
      <x:c r="B751" s="1"/>
      <x:c r="C751" s="1"/>
      <x:c r="D751" s="1"/>
      <x:c r="E751" s="1"/>
      <x:c r="F751" s="1"/>
      <x:c r="G751" s="1"/>
    </x:row>
    <x:row r="752">
      <x:c r="A752" s="1"/>
      <x:c r="B752" s="1"/>
      <x:c r="C752" s="1"/>
      <x:c r="D752" s="1"/>
      <x:c r="E752" s="1"/>
      <x:c r="F752" s="1"/>
      <x:c r="G752" s="1"/>
    </x:row>
    <x:row r="753">
      <x:c r="A753" s="1"/>
      <x:c r="B753" s="1"/>
      <x:c r="C753" s="1"/>
      <x:c r="D753" s="1"/>
      <x:c r="E753" s="1"/>
      <x:c r="F753" s="1"/>
      <x:c r="G753" s="1"/>
    </x:row>
    <x:row r="754">
      <x:c r="A754" s="1"/>
      <x:c r="B754" s="1"/>
      <x:c r="C754" s="1"/>
      <x:c r="D754" s="1"/>
      <x:c r="E754" s="1"/>
      <x:c r="F754" s="1"/>
      <x:c r="G754" s="1"/>
    </x:row>
    <x:row r="755">
      <x:c r="A755" s="1"/>
      <x:c r="B755" s="1"/>
      <x:c r="C755" s="1"/>
      <x:c r="D755" s="1"/>
      <x:c r="E755" s="1"/>
      <x:c r="F755" s="1"/>
      <x:c r="G755" s="1"/>
    </x:row>
    <x:row r="756">
      <x:c r="A756" s="1"/>
      <x:c r="B756" s="1"/>
      <x:c r="C756" s="1"/>
      <x:c r="D756" s="1"/>
      <x:c r="E756" s="1"/>
      <x:c r="F756" s="1"/>
      <x:c r="G756" s="1"/>
    </x:row>
    <x:row r="757">
      <x:c r="A757" s="1"/>
      <x:c r="B757" s="1"/>
      <x:c r="C757" s="1"/>
      <x:c r="D757" s="1"/>
      <x:c r="E757" s="1"/>
      <x:c r="F757" s="1"/>
      <x:c r="G757" s="1"/>
    </x:row>
    <x:row r="758">
      <x:c r="A758" s="1"/>
      <x:c r="B758" s="1"/>
      <x:c r="C758" s="1"/>
      <x:c r="D758" s="1"/>
      <x:c r="E758" s="1"/>
      <x:c r="F758" s="1"/>
      <x:c r="G758" s="1"/>
    </x:row>
    <x:row r="759">
      <x:c r="A759" s="1"/>
      <x:c r="B759" s="1"/>
      <x:c r="C759" s="1"/>
      <x:c r="D759" s="1"/>
      <x:c r="E759" s="1"/>
      <x:c r="F759" s="1"/>
      <x:c r="G759" s="1"/>
    </x:row>
    <x:row r="760">
      <x:c r="A760" s="1"/>
      <x:c r="B760" s="1"/>
      <x:c r="C760" s="1"/>
      <x:c r="D760" s="1"/>
      <x:c r="E760" s="1"/>
      <x:c r="F760" s="1"/>
      <x:c r="G760" s="1"/>
    </x:row>
    <x:row r="761">
      <x:c r="A761" s="1"/>
      <x:c r="B761" s="1"/>
      <x:c r="C761" s="1"/>
      <x:c r="D761" s="1"/>
      <x:c r="E761" s="1"/>
      <x:c r="F761" s="1"/>
      <x:c r="G761" s="1"/>
    </x:row>
    <x:row r="762">
      <x:c r="A762" s="1"/>
      <x:c r="B762" s="1"/>
      <x:c r="C762" s="1"/>
      <x:c r="D762" s="1"/>
      <x:c r="E762" s="1"/>
      <x:c r="F762" s="1"/>
      <x:c r="G762" s="1"/>
    </x:row>
    <x:row r="763">
      <x:c r="A763" s="1"/>
      <x:c r="B763" s="1"/>
      <x:c r="C763" s="1"/>
      <x:c r="D763" s="1"/>
      <x:c r="E763" s="1"/>
      <x:c r="F763" s="1"/>
      <x:c r="G763" s="1"/>
    </x:row>
    <x:row r="764">
      <x:c r="A764" s="1"/>
      <x:c r="B764" s="1"/>
      <x:c r="C764" s="1"/>
      <x:c r="D764" s="1"/>
      <x:c r="E764" s="1"/>
      <x:c r="F764" s="1"/>
      <x:c r="G764" s="1"/>
    </x:row>
    <x:row r="765">
      <x:c r="A765" s="1"/>
      <x:c r="B765" s="1"/>
      <x:c r="C765" s="1"/>
      <x:c r="D765" s="1"/>
      <x:c r="E765" s="1"/>
      <x:c r="F765" s="1"/>
      <x:c r="G765" s="1"/>
    </x:row>
    <x:row r="766">
      <x:c r="A766" s="1"/>
      <x:c r="B766" s="1"/>
      <x:c r="C766" s="1"/>
      <x:c r="D766" s="1"/>
      <x:c r="E766" s="1"/>
      <x:c r="F766" s="1"/>
      <x:c r="G766" s="1"/>
    </x:row>
    <x:row r="767">
      <x:c r="A767" s="1"/>
      <x:c r="B767" s="1"/>
      <x:c r="C767" s="1"/>
      <x:c r="D767" s="1"/>
      <x:c r="E767" s="1"/>
      <x:c r="F767" s="1"/>
      <x:c r="G767" s="1"/>
    </x:row>
    <x:row r="768">
      <x:c r="A768" s="1"/>
      <x:c r="B768" s="1"/>
      <x:c r="C768" s="1"/>
      <x:c r="D768" s="1"/>
      <x:c r="E768" s="1"/>
      <x:c r="F768" s="1"/>
      <x:c r="G768" s="1"/>
    </x:row>
    <x:row r="769">
      <x:c r="A769" s="1"/>
      <x:c r="B769" s="1"/>
      <x:c r="C769" s="1"/>
      <x:c r="D769" s="1"/>
      <x:c r="E769" s="1"/>
      <x:c r="F769" s="1"/>
      <x:c r="G769" s="1"/>
    </x:row>
    <x:row r="770">
      <x:c r="A770" s="1"/>
      <x:c r="B770" s="1"/>
      <x:c r="C770" s="1"/>
      <x:c r="D770" s="1"/>
      <x:c r="E770" s="1"/>
      <x:c r="F770" s="1"/>
      <x:c r="G770" s="1"/>
    </x:row>
    <x:row r="771">
      <x:c r="A771" s="1"/>
      <x:c r="B771" s="1"/>
      <x:c r="C771" s="1"/>
      <x:c r="D771" s="1"/>
      <x:c r="E771" s="1"/>
      <x:c r="F771" s="1"/>
      <x:c r="G771" s="1"/>
    </x:row>
    <x:row r="772">
      <x:c r="A772" s="1"/>
      <x:c r="B772" s="1"/>
      <x:c r="C772" s="1"/>
      <x:c r="D772" s="1"/>
      <x:c r="E772" s="1"/>
      <x:c r="F772" s="1"/>
      <x:c r="G772" s="1"/>
    </x:row>
    <x:row r="773">
      <x:c r="A773" s="1"/>
      <x:c r="B773" s="1"/>
      <x:c r="C773" s="1"/>
      <x:c r="D773" s="1"/>
      <x:c r="E773" s="1"/>
      <x:c r="F773" s="1"/>
      <x:c r="G773" s="1"/>
    </x:row>
    <x:row r="774">
      <x:c r="A774" s="1"/>
      <x:c r="B774" s="1"/>
      <x:c r="C774" s="1"/>
      <x:c r="D774" s="1"/>
      <x:c r="E774" s="1"/>
      <x:c r="F774" s="1"/>
      <x:c r="G774" s="1"/>
    </x:row>
    <x:row r="775">
      <x:c r="A775" s="1"/>
      <x:c r="B775" s="1"/>
      <x:c r="C775" s="1"/>
      <x:c r="D775" s="1"/>
      <x:c r="E775" s="1"/>
      <x:c r="F775" s="1"/>
      <x:c r="G775" s="1"/>
    </x:row>
    <x:row r="776">
      <x:c r="A776" s="1"/>
      <x:c r="B776" s="1"/>
      <x:c r="C776" s="1"/>
      <x:c r="D776" s="1"/>
      <x:c r="E776" s="1"/>
      <x:c r="F776" s="1"/>
      <x:c r="G776" s="1"/>
    </x:row>
    <x:row r="777">
      <x:c r="A777" s="1"/>
      <x:c r="B777" s="1"/>
      <x:c r="C777" s="1"/>
      <x:c r="D777" s="1"/>
      <x:c r="E777" s="1"/>
      <x:c r="F777" s="1"/>
      <x:c r="G777" s="1"/>
    </x:row>
    <x:row r="778">
      <x:c r="A778" s="1"/>
      <x:c r="B778" s="1"/>
      <x:c r="C778" s="1"/>
      <x:c r="D778" s="1"/>
      <x:c r="E778" s="1"/>
      <x:c r="F778" s="1"/>
      <x:c r="G778" s="1"/>
    </x:row>
    <x:row r="779">
      <x:c r="A779" s="1"/>
      <x:c r="B779" s="1"/>
      <x:c r="C779" s="1"/>
      <x:c r="D779" s="1"/>
      <x:c r="E779" s="1"/>
      <x:c r="F779" s="1"/>
      <x:c r="G779" s="1"/>
    </x:row>
    <x:row r="780">
      <x:c r="A780" s="1"/>
      <x:c r="B780" s="1"/>
      <x:c r="C780" s="1"/>
      <x:c r="D780" s="1"/>
      <x:c r="E780" s="1"/>
      <x:c r="F780" s="1"/>
      <x:c r="G780" s="1"/>
    </x:row>
    <x:row r="781">
      <x:c r="A781" s="1"/>
      <x:c r="B781" s="1"/>
      <x:c r="C781" s="1"/>
      <x:c r="D781" s="1"/>
      <x:c r="E781" s="1"/>
      <x:c r="F781" s="1"/>
      <x:c r="G781" s="1"/>
    </x:row>
    <x:row r="782">
      <x:c r="A782" s="1"/>
      <x:c r="B782" s="1"/>
      <x:c r="C782" s="1"/>
      <x:c r="D782" s="1"/>
      <x:c r="E782" s="1"/>
      <x:c r="F782" s="1"/>
      <x:c r="G782" s="1"/>
    </x:row>
    <x:row r="783">
      <x:c r="A783" s="1"/>
      <x:c r="B783" s="1"/>
      <x:c r="C783" s="1"/>
      <x:c r="D783" s="1"/>
      <x:c r="E783" s="1"/>
      <x:c r="F783" s="1"/>
      <x:c r="G783" s="1"/>
    </x:row>
    <x:row r="784">
      <x:c r="A784" s="1"/>
      <x:c r="B784" s="1"/>
      <x:c r="C784" s="1"/>
      <x:c r="D784" s="1"/>
      <x:c r="E784" s="1"/>
      <x:c r="F784" s="1"/>
      <x:c r="G784" s="1"/>
    </x:row>
    <x:row r="785">
      <x:c r="A785" s="1"/>
      <x:c r="B785" s="1"/>
      <x:c r="C785" s="1"/>
      <x:c r="D785" s="1"/>
      <x:c r="E785" s="1"/>
      <x:c r="F785" s="1"/>
      <x:c r="G785" s="1"/>
    </x:row>
    <x:row r="786">
      <x:c r="A786" s="1"/>
      <x:c r="B786" s="1"/>
      <x:c r="C786" s="1"/>
      <x:c r="D786" s="1"/>
      <x:c r="E786" s="1"/>
      <x:c r="F786" s="1"/>
      <x:c r="G786" s="1"/>
    </x:row>
    <x:row r="787">
      <x:c r="A787" s="1"/>
      <x:c r="B787" s="1"/>
      <x:c r="C787" s="1"/>
      <x:c r="D787" s="1"/>
      <x:c r="E787" s="1"/>
      <x:c r="F787" s="1"/>
      <x:c r="G787" s="1"/>
    </x:row>
    <x:row r="788">
      <x:c r="A788" s="1"/>
      <x:c r="B788" s="1"/>
      <x:c r="C788" s="1"/>
      <x:c r="D788" s="1"/>
      <x:c r="E788" s="1"/>
      <x:c r="F788" s="1"/>
      <x:c r="G788" s="1"/>
    </x:row>
    <x:row r="789">
      <x:c r="A789" s="1"/>
      <x:c r="B789" s="1"/>
      <x:c r="C789" s="1"/>
      <x:c r="D789" s="1"/>
      <x:c r="E789" s="1"/>
      <x:c r="F789" s="1"/>
      <x:c r="G789" s="1"/>
    </x:row>
    <x:row r="790">
      <x:c r="A790" s="1"/>
      <x:c r="B790" s="1"/>
      <x:c r="C790" s="1"/>
      <x:c r="D790" s="1"/>
      <x:c r="E790" s="1"/>
      <x:c r="F790" s="1"/>
      <x:c r="G790" s="1"/>
    </x:row>
    <x:row r="791">
      <x:c r="A791" s="1"/>
      <x:c r="B791" s="1"/>
      <x:c r="C791" s="1"/>
      <x:c r="D791" s="1"/>
      <x:c r="E791" s="1"/>
      <x:c r="F791" s="1"/>
      <x:c r="G791" s="1"/>
    </x:row>
    <x:row r="792">
      <x:c r="A792" s="1"/>
      <x:c r="B792" s="1"/>
      <x:c r="C792" s="1"/>
      <x:c r="D792" s="1"/>
      <x:c r="E792" s="1"/>
      <x:c r="F792" s="1"/>
      <x:c r="G792" s="1"/>
    </x:row>
    <x:row r="793">
      <x:c r="A793" s="1"/>
      <x:c r="B793" s="1"/>
      <x:c r="C793" s="1"/>
      <x:c r="D793" s="1"/>
      <x:c r="E793" s="1"/>
      <x:c r="F793" s="1"/>
      <x:c r="G793" s="1"/>
    </x:row>
    <x:row r="794">
      <x:c r="A794" s="1"/>
      <x:c r="B794" s="1"/>
      <x:c r="C794" s="1"/>
      <x:c r="D794" s="1"/>
      <x:c r="E794" s="1"/>
      <x:c r="F794" s="1"/>
      <x:c r="G794" s="1"/>
    </x:row>
    <x:row r="795">
      <x:c r="A795" s="1"/>
      <x:c r="B795" s="1"/>
      <x:c r="C795" s="1"/>
      <x:c r="D795" s="1"/>
      <x:c r="E795" s="1"/>
      <x:c r="F795" s="1"/>
      <x:c r="G795" s="1"/>
    </x:row>
    <x:row r="796">
      <x:c r="A796" s="1"/>
      <x:c r="B796" s="1"/>
      <x:c r="C796" s="1"/>
      <x:c r="D796" s="1"/>
      <x:c r="E796" s="1"/>
      <x:c r="F796" s="1"/>
      <x:c r="G796" s="1"/>
    </x:row>
    <x:row r="797">
      <x:c r="A797" s="1"/>
      <x:c r="B797" s="1"/>
      <x:c r="C797" s="1"/>
      <x:c r="D797" s="1"/>
      <x:c r="E797" s="1"/>
      <x:c r="F797" s="1"/>
      <x:c r="G797" s="1"/>
    </x:row>
    <x:row r="798">
      <x:c r="A798" s="1"/>
      <x:c r="B798" s="1"/>
      <x:c r="C798" s="1"/>
      <x:c r="D798" s="1"/>
      <x:c r="E798" s="1"/>
      <x:c r="F798" s="1"/>
      <x:c r="G798" s="1"/>
    </x:row>
    <x:row r="799">
      <x:c r="A799" s="1"/>
      <x:c r="B799" s="1"/>
      <x:c r="C799" s="1"/>
      <x:c r="D799" s="1"/>
      <x:c r="E799" s="1"/>
      <x:c r="F799" s="1"/>
      <x:c r="G799" s="1"/>
    </x:row>
    <x:row r="800">
      <x:c r="A800" s="1"/>
      <x:c r="B800" s="1"/>
      <x:c r="C800" s="1"/>
      <x:c r="D800" s="1"/>
      <x:c r="E800" s="1"/>
      <x:c r="F800" s="1"/>
      <x:c r="G800" s="1"/>
    </x:row>
    <x:row r="801">
      <x:c r="A801" s="1"/>
      <x:c r="B801" s="1"/>
      <x:c r="C801" s="1"/>
      <x:c r="D801" s="1"/>
      <x:c r="E801" s="1"/>
      <x:c r="F801" s="1"/>
      <x:c r="G801" s="1"/>
    </x:row>
    <x:row r="802">
      <x:c r="A802" s="1"/>
      <x:c r="B802" s="1"/>
      <x:c r="C802" s="1"/>
      <x:c r="D802" s="1"/>
      <x:c r="E802" s="1"/>
      <x:c r="F802" s="1"/>
      <x:c r="G802" s="1"/>
    </x:row>
    <x:row r="803">
      <x:c r="A803" s="1"/>
      <x:c r="B803" s="1"/>
      <x:c r="C803" s="1"/>
      <x:c r="D803" s="1"/>
      <x:c r="E803" s="1"/>
      <x:c r="F803" s="1"/>
      <x:c r="G803" s="1"/>
    </x:row>
    <x:row r="804">
      <x:c r="A804" s="1"/>
      <x:c r="B804" s="1"/>
      <x:c r="C804" s="1"/>
      <x:c r="D804" s="1"/>
      <x:c r="E804" s="1"/>
      <x:c r="F804" s="1"/>
      <x:c r="G804" s="1"/>
    </x:row>
    <x:row r="805">
      <x:c r="A805" s="1"/>
      <x:c r="B805" s="1"/>
      <x:c r="C805" s="1"/>
      <x:c r="D805" s="1"/>
      <x:c r="E805" s="1"/>
      <x:c r="F805" s="1"/>
      <x:c r="G805" s="1"/>
    </x:row>
    <x:row r="806">
      <x:c r="A806" s="1"/>
      <x:c r="B806" s="1"/>
      <x:c r="C806" s="1"/>
      <x:c r="D806" s="1"/>
      <x:c r="E806" s="1"/>
      <x:c r="F806" s="1"/>
      <x:c r="G806" s="1"/>
    </x:row>
    <x:row r="807">
      <x:c r="A807" s="1"/>
      <x:c r="B807" s="1"/>
      <x:c r="C807" s="1"/>
      <x:c r="D807" s="1"/>
      <x:c r="E807" s="1"/>
      <x:c r="F807" s="1"/>
      <x:c r="G807" s="1"/>
    </x:row>
    <x:row r="808">
      <x:c r="A808" s="1"/>
      <x:c r="B808" s="1"/>
      <x:c r="C808" s="1"/>
      <x:c r="D808" s="1"/>
      <x:c r="E808" s="1"/>
      <x:c r="F808" s="1"/>
      <x:c r="G808" s="1"/>
    </x:row>
    <x:row r="809">
      <x:c r="A809" s="1"/>
      <x:c r="B809" s="1"/>
      <x:c r="C809" s="1"/>
      <x:c r="D809" s="1"/>
      <x:c r="E809" s="1"/>
      <x:c r="F809" s="1"/>
      <x:c r="G809" s="1"/>
    </x:row>
    <x:row r="810">
      <x:c r="A810" s="1"/>
      <x:c r="B810" s="1"/>
      <x:c r="C810" s="1"/>
      <x:c r="D810" s="1"/>
      <x:c r="E810" s="1"/>
      <x:c r="F810" s="1"/>
      <x:c r="G810" s="1"/>
    </x:row>
    <x:row r="811">
      <x:c r="A811" s="1"/>
      <x:c r="B811" s="1"/>
      <x:c r="C811" s="1"/>
      <x:c r="D811" s="1"/>
      <x:c r="E811" s="1"/>
      <x:c r="F811" s="1"/>
      <x:c r="G811" s="1"/>
    </x:row>
    <x:row r="812">
      <x:c r="A812" s="1"/>
      <x:c r="B812" s="1"/>
      <x:c r="C812" s="1"/>
      <x:c r="D812" s="1"/>
      <x:c r="E812" s="1"/>
      <x:c r="F812" s="1"/>
      <x:c r="G812" s="1"/>
    </x:row>
    <x:row r="813">
      <x:c r="A813" s="1"/>
      <x:c r="B813" s="1"/>
      <x:c r="C813" s="1"/>
      <x:c r="D813" s="1"/>
      <x:c r="E813" s="1"/>
      <x:c r="F813" s="1"/>
      <x:c r="G813" s="1"/>
    </x:row>
    <x:row r="814">
      <x:c r="A814" s="1"/>
      <x:c r="B814" s="1"/>
      <x:c r="C814" s="1"/>
      <x:c r="D814" s="1"/>
      <x:c r="E814" s="1"/>
      <x:c r="F814" s="1"/>
      <x:c r="G814" s="1"/>
    </x:row>
    <x:row r="815">
      <x:c r="A815" s="1"/>
      <x:c r="B815" s="1"/>
      <x:c r="C815" s="1"/>
      <x:c r="D815" s="1"/>
      <x:c r="E815" s="1"/>
      <x:c r="F815" s="1"/>
      <x:c r="G815" s="1"/>
    </x:row>
    <x:row r="816">
      <x:c r="A816" s="1"/>
      <x:c r="B816" s="1"/>
      <x:c r="C816" s="1"/>
      <x:c r="D816" s="1"/>
      <x:c r="E816" s="1"/>
      <x:c r="F816" s="1"/>
      <x:c r="G816" s="1"/>
    </x:row>
    <x:row r="817">
      <x:c r="A817" s="1"/>
      <x:c r="B817" s="1"/>
      <x:c r="C817" s="1"/>
      <x:c r="D817" s="1"/>
      <x:c r="E817" s="1"/>
      <x:c r="F817" s="1"/>
      <x:c r="G817" s="1"/>
    </x:row>
    <x:row r="818">
      <x:c r="A818" s="1"/>
      <x:c r="B818" s="1"/>
      <x:c r="C818" s="1"/>
      <x:c r="D818" s="1"/>
      <x:c r="E818" s="1"/>
      <x:c r="F818" s="1"/>
      <x:c r="G818" s="1"/>
    </x:row>
    <x:row r="819">
      <x:c r="A819" s="1"/>
      <x:c r="B819" s="1"/>
      <x:c r="C819" s="1"/>
      <x:c r="D819" s="1"/>
      <x:c r="E819" s="1"/>
      <x:c r="F819" s="1"/>
      <x:c r="G819" s="1"/>
    </x:row>
    <x:row r="820">
      <x:c r="A820" s="1"/>
      <x:c r="B820" s="1"/>
      <x:c r="C820" s="1"/>
      <x:c r="D820" s="1"/>
      <x:c r="E820" s="1"/>
      <x:c r="F820" s="1"/>
      <x:c r="G820" s="1"/>
    </x:row>
    <x:row r="821">
      <x:c r="A821" s="1"/>
      <x:c r="B821" s="1"/>
      <x:c r="C821" s="1"/>
      <x:c r="D821" s="1"/>
      <x:c r="E821" s="1"/>
      <x:c r="F821" s="1"/>
      <x:c r="G821" s="1"/>
    </x:row>
    <x:row r="822">
      <x:c r="A822" s="1"/>
      <x:c r="B822" s="1"/>
      <x:c r="C822" s="1"/>
      <x:c r="D822" s="1"/>
      <x:c r="E822" s="1"/>
      <x:c r="F822" s="1"/>
      <x:c r="G822" s="1"/>
    </x:row>
    <x:row r="823">
      <x:c r="A823" s="1"/>
      <x:c r="B823" s="1"/>
      <x:c r="C823" s="1"/>
      <x:c r="D823" s="1"/>
      <x:c r="E823" s="1"/>
      <x:c r="F823" s="1"/>
      <x:c r="G823" s="1"/>
    </x:row>
    <x:row r="824">
      <x:c r="A824" s="1"/>
      <x:c r="B824" s="1"/>
      <x:c r="C824" s="1"/>
      <x:c r="D824" s="1"/>
      <x:c r="E824" s="1"/>
      <x:c r="F824" s="1"/>
      <x:c r="G824" s="1"/>
    </x:row>
    <x:row r="825">
      <x:c r="A825" s="1"/>
      <x:c r="B825" s="1"/>
      <x:c r="C825" s="1"/>
      <x:c r="D825" s="1"/>
      <x:c r="E825" s="1"/>
      <x:c r="F825" s="1"/>
      <x:c r="G825" s="1"/>
    </x:row>
    <x:row r="826">
      <x:c r="A826" s="1"/>
      <x:c r="B826" s="1"/>
      <x:c r="C826" s="1"/>
      <x:c r="D826" s="1"/>
      <x:c r="E826" s="1"/>
      <x:c r="F826" s="1"/>
      <x:c r="G826" s="1"/>
    </x:row>
    <x:row r="827">
      <x:c r="A827" s="1"/>
      <x:c r="B827" s="1"/>
      <x:c r="C827" s="1"/>
      <x:c r="D827" s="1"/>
      <x:c r="E827" s="1"/>
      <x:c r="F827" s="1"/>
      <x:c r="G827" s="1"/>
    </x:row>
    <x:row r="828">
      <x:c r="A828" s="1"/>
      <x:c r="B828" s="1"/>
      <x:c r="C828" s="1"/>
      <x:c r="D828" s="1"/>
      <x:c r="E828" s="1"/>
      <x:c r="F828" s="1"/>
      <x:c r="G828" s="1"/>
    </x:row>
    <x:row r="829">
      <x:c r="A829" s="1"/>
      <x:c r="B829" s="1"/>
      <x:c r="C829" s="1"/>
      <x:c r="D829" s="1"/>
      <x:c r="E829" s="1"/>
      <x:c r="F829" s="1"/>
      <x:c r="G829" s="1"/>
    </x:row>
    <x:row r="830">
      <x:c r="A830" s="1"/>
      <x:c r="B830" s="1"/>
      <x:c r="C830" s="1"/>
      <x:c r="D830" s="1"/>
      <x:c r="E830" s="1"/>
      <x:c r="F830" s="1"/>
      <x:c r="G830" s="1"/>
    </x:row>
    <x:row r="831">
      <x:c r="A831" s="1"/>
      <x:c r="B831" s="1"/>
      <x:c r="C831" s="1"/>
      <x:c r="D831" s="1"/>
      <x:c r="E831" s="1"/>
      <x:c r="F831" s="1"/>
      <x:c r="G831" s="1"/>
    </x:row>
    <x:row r="832">
      <x:c r="A832" s="1"/>
      <x:c r="B832" s="1"/>
      <x:c r="C832" s="1"/>
      <x:c r="D832" s="1"/>
      <x:c r="E832" s="1"/>
      <x:c r="F832" s="1"/>
      <x:c r="G832" s="1"/>
    </x:row>
    <x:row r="833">
      <x:c r="A833" s="1"/>
      <x:c r="B833" s="1"/>
      <x:c r="C833" s="1"/>
      <x:c r="D833" s="1"/>
      <x:c r="E833" s="1"/>
      <x:c r="F833" s="1"/>
      <x:c r="G833" s="1"/>
    </x:row>
    <x:row r="834">
      <x:c r="A834" s="1"/>
      <x:c r="B834" s="1"/>
      <x:c r="C834" s="1"/>
      <x:c r="D834" s="1"/>
      <x:c r="E834" s="1"/>
      <x:c r="F834" s="1"/>
      <x:c r="G834" s="1"/>
    </x:row>
    <x:row r="835">
      <x:c r="A835" s="1"/>
      <x:c r="B835" s="1"/>
      <x:c r="C835" s="1"/>
      <x:c r="D835" s="1"/>
      <x:c r="E835" s="1"/>
      <x:c r="F835" s="1"/>
      <x:c r="G835" s="1"/>
    </x:row>
    <x:row r="836">
      <x:c r="A836" s="1"/>
      <x:c r="B836" s="1"/>
      <x:c r="C836" s="1"/>
      <x:c r="D836" s="1"/>
      <x:c r="E836" s="1"/>
      <x:c r="F836" s="1"/>
      <x:c r="G836" s="1"/>
    </x:row>
    <x:row r="837">
      <x:c r="A837" s="1"/>
      <x:c r="B837" s="1"/>
      <x:c r="C837" s="1"/>
      <x:c r="D837" s="1"/>
      <x:c r="E837" s="1"/>
      <x:c r="F837" s="1"/>
      <x:c r="G837" s="1"/>
    </x:row>
    <x:row r="838">
      <x:c r="A838" s="1"/>
      <x:c r="B838" s="1"/>
      <x:c r="C838" s="1"/>
      <x:c r="D838" s="1"/>
      <x:c r="E838" s="1"/>
      <x:c r="F838" s="1"/>
      <x:c r="G838" s="1"/>
    </x:row>
    <x:row r="839">
      <x:c r="A839" s="1"/>
      <x:c r="B839" s="1"/>
      <x:c r="C839" s="1"/>
      <x:c r="D839" s="1"/>
      <x:c r="E839" s="1"/>
      <x:c r="F839" s="1"/>
      <x:c r="G839" s="1"/>
    </x:row>
    <x:row r="840">
      <x:c r="A840" s="1"/>
      <x:c r="B840" s="1"/>
      <x:c r="C840" s="1"/>
      <x:c r="D840" s="1"/>
      <x:c r="E840" s="1"/>
      <x:c r="F840" s="1"/>
      <x:c r="G840" s="1"/>
    </x:row>
    <x:row r="841">
      <x:c r="A841" s="1"/>
      <x:c r="B841" s="1"/>
      <x:c r="C841" s="1"/>
      <x:c r="D841" s="1"/>
      <x:c r="E841" s="1"/>
      <x:c r="F841" s="1"/>
      <x:c r="G841" s="1"/>
    </x:row>
    <x:row r="842">
      <x:c r="A842" s="1"/>
      <x:c r="B842" s="1"/>
      <x:c r="C842" s="1"/>
      <x:c r="D842" s="1"/>
      <x:c r="E842" s="1"/>
      <x:c r="F842" s="1"/>
      <x:c r="G842" s="1"/>
    </x:row>
    <x:row r="843">
      <x:c r="A843" s="1"/>
      <x:c r="B843" s="1"/>
      <x:c r="C843" s="1"/>
      <x:c r="D843" s="1"/>
      <x:c r="E843" s="1"/>
      <x:c r="F843" s="1"/>
      <x:c r="G843" s="1"/>
    </x:row>
    <x:row r="844">
      <x:c r="A844" s="1"/>
      <x:c r="B844" s="1"/>
      <x:c r="C844" s="1"/>
      <x:c r="D844" s="1"/>
      <x:c r="E844" s="1"/>
      <x:c r="F844" s="1"/>
      <x:c r="G844" s="1"/>
    </x:row>
    <x:row r="845">
      <x:c r="A845" s="1"/>
      <x:c r="B845" s="1"/>
      <x:c r="C845" s="1"/>
      <x:c r="D845" s="1"/>
      <x:c r="E845" s="1"/>
      <x:c r="F845" s="1"/>
      <x:c r="G845" s="1"/>
    </x:row>
    <x:row r="846">
      <x:c r="A846" s="1"/>
      <x:c r="B846" s="1"/>
      <x:c r="C846" s="1"/>
      <x:c r="D846" s="1"/>
      <x:c r="E846" s="1"/>
      <x:c r="F846" s="1"/>
      <x:c r="G846" s="1"/>
    </x:row>
    <x:row r="847">
      <x:c r="A847" s="1"/>
      <x:c r="B847" s="1"/>
      <x:c r="C847" s="1"/>
      <x:c r="D847" s="1"/>
      <x:c r="E847" s="1"/>
      <x:c r="F847" s="1"/>
      <x:c r="G847" s="1"/>
    </x:row>
    <x:row r="848">
      <x:c r="A848" s="1"/>
      <x:c r="B848" s="1"/>
      <x:c r="C848" s="1"/>
      <x:c r="D848" s="1"/>
      <x:c r="E848" s="1"/>
      <x:c r="F848" s="1"/>
      <x:c r="G848" s="1"/>
    </x:row>
    <x:row r="849">
      <x:c r="A849" s="1"/>
      <x:c r="B849" s="1"/>
      <x:c r="C849" s="1"/>
      <x:c r="D849" s="1"/>
      <x:c r="E849" s="1"/>
      <x:c r="F849" s="1"/>
      <x:c r="G849" s="1"/>
    </x:row>
    <x:row r="850">
      <x:c r="A850" s="1"/>
      <x:c r="B850" s="1"/>
      <x:c r="C850" s="1"/>
      <x:c r="D850" s="1"/>
      <x:c r="E850" s="1"/>
      <x:c r="F850" s="1"/>
      <x:c r="G850" s="1"/>
    </x:row>
    <x:row r="851">
      <x:c r="A851" s="1"/>
      <x:c r="B851" s="1"/>
      <x:c r="C851" s="1"/>
      <x:c r="D851" s="1"/>
      <x:c r="E851" s="1"/>
      <x:c r="F851" s="1"/>
      <x:c r="G851" s="1"/>
    </x:row>
    <x:row r="852">
      <x:c r="A852" s="1"/>
      <x:c r="B852" s="1"/>
      <x:c r="C852" s="1"/>
      <x:c r="D852" s="1"/>
      <x:c r="E852" s="1"/>
      <x:c r="F852" s="1"/>
      <x:c r="G852" s="1"/>
    </x:row>
    <x:row r="853">
      <x:c r="A853" s="1"/>
      <x:c r="B853" s="1"/>
      <x:c r="C853" s="1"/>
      <x:c r="D853" s="1"/>
      <x:c r="E853" s="1"/>
      <x:c r="F853" s="1"/>
      <x:c r="G853" s="1"/>
    </x:row>
    <x:row r="854">
      <x:c r="A854" s="1"/>
      <x:c r="B854" s="1"/>
      <x:c r="C854" s="1"/>
      <x:c r="D854" s="1"/>
      <x:c r="E854" s="1"/>
      <x:c r="F854" s="1"/>
      <x:c r="G854" s="1"/>
    </x:row>
    <x:row r="855">
      <x:c r="A855" s="1"/>
      <x:c r="B855" s="1"/>
      <x:c r="C855" s="1"/>
      <x:c r="D855" s="1"/>
      <x:c r="E855" s="1"/>
      <x:c r="F855" s="1"/>
      <x:c r="G855" s="1"/>
    </x:row>
    <x:row r="856">
      <x:c r="A856" s="1"/>
      <x:c r="B856" s="1"/>
      <x:c r="C856" s="1"/>
      <x:c r="D856" s="1"/>
      <x:c r="E856" s="1"/>
      <x:c r="F856" s="1"/>
      <x:c r="G856" s="1"/>
    </x:row>
    <x:row r="857">
      <x:c r="A857" s="1"/>
      <x:c r="B857" s="1"/>
      <x:c r="C857" s="1"/>
      <x:c r="D857" s="1"/>
      <x:c r="E857" s="1"/>
      <x:c r="F857" s="1"/>
      <x:c r="G857" s="1"/>
    </x:row>
    <x:row r="858">
      <x:c r="A858" s="1"/>
      <x:c r="B858" s="1"/>
      <x:c r="C858" s="1"/>
      <x:c r="D858" s="1"/>
      <x:c r="E858" s="1"/>
      <x:c r="F858" s="1"/>
      <x:c r="G858" s="1"/>
    </x:row>
    <x:row r="859">
      <x:c r="A859" s="1"/>
      <x:c r="B859" s="1"/>
      <x:c r="C859" s="1"/>
      <x:c r="D859" s="1"/>
      <x:c r="E859" s="1"/>
      <x:c r="F859" s="1"/>
      <x:c r="G859" s="1"/>
    </x:row>
    <x:row r="860">
      <x:c r="A860" s="1"/>
      <x:c r="B860" s="1"/>
      <x:c r="C860" s="1"/>
      <x:c r="D860" s="1"/>
      <x:c r="E860" s="1"/>
      <x:c r="F860" s="1"/>
      <x:c r="G860" s="1"/>
    </x:row>
    <x:row r="861">
      <x:c r="A861" s="1"/>
      <x:c r="B861" s="1"/>
      <x:c r="C861" s="1"/>
      <x:c r="D861" s="1"/>
      <x:c r="E861" s="1"/>
      <x:c r="F861" s="1"/>
      <x:c r="G861" s="1"/>
    </x:row>
    <x:row r="862">
      <x:c r="A862" s="1"/>
      <x:c r="B862" s="1"/>
      <x:c r="C862" s="1"/>
      <x:c r="D862" s="1"/>
      <x:c r="E862" s="1"/>
      <x:c r="F862" s="1"/>
      <x:c r="G862" s="1"/>
    </x:row>
    <x:row r="863">
      <x:c r="A863" s="1"/>
      <x:c r="B863" s="1"/>
      <x:c r="C863" s="1"/>
      <x:c r="D863" s="1"/>
      <x:c r="E863" s="1"/>
      <x:c r="F863" s="1"/>
      <x:c r="G863" s="1"/>
    </x:row>
    <x:row r="864">
      <x:c r="A864" s="1"/>
      <x:c r="B864" s="1"/>
      <x:c r="C864" s="1"/>
      <x:c r="D864" s="1"/>
      <x:c r="E864" s="1"/>
      <x:c r="F864" s="1"/>
      <x:c r="G864" s="1"/>
    </x:row>
    <x:row r="865">
      <x:c r="A865" s="1"/>
      <x:c r="B865" s="1"/>
      <x:c r="C865" s="1"/>
      <x:c r="D865" s="1"/>
      <x:c r="E865" s="1"/>
      <x:c r="F865" s="1"/>
      <x:c r="G865" s="1"/>
    </x:row>
    <x:row r="866">
      <x:c r="A866" s="1"/>
      <x:c r="B866" s="1"/>
      <x:c r="C866" s="1"/>
      <x:c r="D866" s="1"/>
      <x:c r="E866" s="1"/>
      <x:c r="F866" s="1"/>
      <x:c r="G866" s="1"/>
    </x:row>
    <x:row r="867">
      <x:c r="A867" s="1"/>
      <x:c r="B867" s="1"/>
      <x:c r="C867" s="1"/>
      <x:c r="D867" s="1"/>
      <x:c r="E867" s="1"/>
      <x:c r="F867" s="1"/>
      <x:c r="G867" s="1"/>
    </x:row>
    <x:row r="868">
      <x:c r="A868" s="1"/>
      <x:c r="B868" s="1"/>
      <x:c r="C868" s="1"/>
      <x:c r="D868" s="1"/>
      <x:c r="E868" s="1"/>
      <x:c r="F868" s="1"/>
      <x:c r="G868" s="1"/>
    </x:row>
    <x:row r="869">
      <x:c r="A869" s="1"/>
      <x:c r="B869" s="1"/>
      <x:c r="C869" s="1"/>
      <x:c r="D869" s="1"/>
      <x:c r="E869" s="1"/>
      <x:c r="F869" s="1"/>
      <x:c r="G869" s="1"/>
    </x:row>
    <x:row r="870">
      <x:c r="A870" s="1"/>
      <x:c r="B870" s="1"/>
      <x:c r="C870" s="1"/>
      <x:c r="D870" s="1"/>
      <x:c r="E870" s="1"/>
      <x:c r="F870" s="1"/>
      <x:c r="G870" s="1"/>
    </x:row>
    <x:row r="871">
      <x:c r="A871" s="1"/>
      <x:c r="B871" s="1"/>
      <x:c r="C871" s="1"/>
      <x:c r="D871" s="1"/>
      <x:c r="E871" s="1"/>
      <x:c r="F871" s="1"/>
      <x:c r="G871" s="1"/>
    </x:row>
    <x:row r="872">
      <x:c r="A872" s="1"/>
      <x:c r="B872" s="1"/>
      <x:c r="C872" s="1"/>
      <x:c r="D872" s="1"/>
      <x:c r="E872" s="1"/>
      <x:c r="F872" s="1"/>
      <x:c r="G872" s="1"/>
    </x:row>
    <x:row r="873">
      <x:c r="A873" s="1"/>
      <x:c r="B873" s="1"/>
      <x:c r="C873" s="1"/>
      <x:c r="D873" s="1"/>
      <x:c r="E873" s="1"/>
      <x:c r="F873" s="1"/>
      <x:c r="G873" s="1"/>
    </x:row>
    <x:row r="874">
      <x:c r="A874" s="1"/>
      <x:c r="B874" s="1"/>
      <x:c r="C874" s="1"/>
      <x:c r="D874" s="1"/>
      <x:c r="E874" s="1"/>
      <x:c r="F874" s="1"/>
      <x:c r="G874" s="1"/>
    </x:row>
    <x:row r="875">
      <x:c r="A875" s="1"/>
      <x:c r="B875" s="1"/>
      <x:c r="C875" s="1"/>
      <x:c r="D875" s="1"/>
      <x:c r="E875" s="1"/>
      <x:c r="F875" s="1"/>
      <x:c r="G875" s="1"/>
    </x:row>
    <x:row r="876">
      <x:c r="A876" s="1"/>
      <x:c r="B876" s="1"/>
      <x:c r="C876" s="1"/>
      <x:c r="D876" s="1"/>
      <x:c r="E876" s="1"/>
      <x:c r="F876" s="1"/>
      <x:c r="G876" s="1"/>
    </x:row>
    <x:row r="877">
      <x:c r="A877" s="1"/>
      <x:c r="B877" s="1"/>
      <x:c r="C877" s="1"/>
      <x:c r="D877" s="1"/>
      <x:c r="E877" s="1"/>
      <x:c r="F877" s="1"/>
      <x:c r="G877" s="1"/>
    </x:row>
    <x:row r="878">
      <x:c r="A878" s="1"/>
      <x:c r="B878" s="1"/>
      <x:c r="C878" s="1"/>
      <x:c r="D878" s="1"/>
      <x:c r="E878" s="1"/>
      <x:c r="F878" s="1"/>
      <x:c r="G878" s="1"/>
    </x:row>
    <x:row r="879">
      <x:c r="A879" s="1"/>
      <x:c r="B879" s="1"/>
      <x:c r="C879" s="1"/>
      <x:c r="D879" s="1"/>
      <x:c r="E879" s="1"/>
      <x:c r="F879" s="1"/>
      <x:c r="G879" s="1"/>
    </x:row>
    <x:row r="880">
      <x:c r="A880" s="1"/>
      <x:c r="B880" s="1"/>
      <x:c r="C880" s="1"/>
      <x:c r="D880" s="1"/>
      <x:c r="E880" s="1"/>
      <x:c r="F880" s="1"/>
      <x:c r="G880" s="1"/>
    </x:row>
    <x:row r="881">
      <x:c r="A881" s="1"/>
      <x:c r="B881" s="1"/>
      <x:c r="C881" s="1"/>
      <x:c r="D881" s="1"/>
      <x:c r="E881" s="1"/>
      <x:c r="F881" s="1"/>
      <x:c r="G881" s="1"/>
    </x:row>
    <x:row r="882">
      <x:c r="A882" s="1"/>
      <x:c r="B882" s="1"/>
      <x:c r="C882" s="1"/>
      <x:c r="D882" s="1"/>
      <x:c r="E882" s="1"/>
      <x:c r="F882" s="1"/>
      <x:c r="G882" s="1"/>
    </x:row>
    <x:row r="883">
      <x:c r="A883" s="1"/>
      <x:c r="B883" s="1"/>
      <x:c r="C883" s="1"/>
      <x:c r="D883" s="1"/>
      <x:c r="E883" s="1"/>
      <x:c r="F883" s="1"/>
      <x:c r="G883" s="1"/>
    </x:row>
    <x:row r="884">
      <x:c r="A884" s="1"/>
      <x:c r="B884" s="1"/>
      <x:c r="C884" s="1"/>
      <x:c r="D884" s="1"/>
      <x:c r="E884" s="1"/>
      <x:c r="F884" s="1"/>
      <x:c r="G884" s="1"/>
    </x:row>
    <x:row r="885">
      <x:c r="A885" s="1"/>
      <x:c r="B885" s="1"/>
      <x:c r="C885" s="1"/>
      <x:c r="D885" s="1"/>
      <x:c r="E885" s="1"/>
      <x:c r="F885" s="1"/>
      <x:c r="G885" s="1"/>
    </x:row>
    <x:row r="886">
      <x:c r="A886" s="1"/>
      <x:c r="B886" s="1"/>
      <x:c r="C886" s="1"/>
      <x:c r="D886" s="1"/>
      <x:c r="E886" s="1"/>
      <x:c r="F886" s="1"/>
      <x:c r="G886" s="1"/>
    </x:row>
    <x:row r="887">
      <x:c r="A887" s="1"/>
      <x:c r="B887" s="1"/>
      <x:c r="C887" s="1"/>
      <x:c r="D887" s="1"/>
      <x:c r="E887" s="1"/>
      <x:c r="F887" s="1"/>
      <x:c r="G887" s="1"/>
    </x:row>
    <x:row r="888">
      <x:c r="A888" s="1"/>
      <x:c r="B888" s="1"/>
      <x:c r="C888" s="1"/>
      <x:c r="D888" s="1"/>
      <x:c r="E888" s="1"/>
      <x:c r="F888" s="1"/>
      <x:c r="G888" s="1"/>
    </x:row>
    <x:row r="889">
      <x:c r="A889" s="1"/>
      <x:c r="B889" s="1"/>
      <x:c r="C889" s="1"/>
      <x:c r="D889" s="1"/>
      <x:c r="E889" s="1"/>
      <x:c r="F889" s="1"/>
      <x:c r="G889" s="1"/>
    </x:row>
    <x:row r="890">
      <x:c r="A890" s="1"/>
      <x:c r="B890" s="1"/>
      <x:c r="C890" s="1"/>
      <x:c r="D890" s="1"/>
      <x:c r="E890" s="1"/>
      <x:c r="F890" s="1"/>
      <x:c r="G890" s="1"/>
    </x:row>
    <x:row r="891">
      <x:c r="A891" s="1"/>
      <x:c r="B891" s="1"/>
      <x:c r="C891" s="1"/>
      <x:c r="D891" s="1"/>
      <x:c r="E891" s="1"/>
      <x:c r="F891" s="1"/>
      <x:c r="G891" s="1"/>
    </x:row>
    <x:row r="892">
      <x:c r="A892" s="1"/>
      <x:c r="B892" s="1"/>
      <x:c r="C892" s="1"/>
      <x:c r="D892" s="1"/>
      <x:c r="E892" s="1"/>
      <x:c r="F892" s="1"/>
      <x:c r="G892" s="1"/>
    </x:row>
    <x:row r="893">
      <x:c r="A893" s="1"/>
      <x:c r="B893" s="1"/>
      <x:c r="C893" s="1"/>
      <x:c r="D893" s="1"/>
      <x:c r="E893" s="1"/>
      <x:c r="F893" s="1"/>
      <x:c r="G893" s="1"/>
    </x:row>
    <x:row r="894">
      <x:c r="A894" s="1"/>
      <x:c r="B894" s="1"/>
      <x:c r="C894" s="1"/>
      <x:c r="D894" s="1"/>
      <x:c r="E894" s="1"/>
      <x:c r="F894" s="1"/>
      <x:c r="G894" s="1"/>
    </x:row>
    <x:row r="895">
      <x:c r="A895" s="1"/>
      <x:c r="B895" s="1"/>
      <x:c r="C895" s="1"/>
      <x:c r="D895" s="1"/>
      <x:c r="E895" s="1"/>
      <x:c r="F895" s="1"/>
      <x:c r="G895" s="1"/>
    </x:row>
    <x:row r="896">
      <x:c r="A896" s="1"/>
      <x:c r="B896" s="1"/>
      <x:c r="C896" s="1"/>
      <x:c r="D896" s="1"/>
      <x:c r="E896" s="1"/>
      <x:c r="F896" s="1"/>
      <x:c r="G896" s="1"/>
    </x:row>
    <x:row r="897">
      <x:c r="A897" s="1"/>
      <x:c r="B897" s="1"/>
      <x:c r="C897" s="1"/>
      <x:c r="D897" s="1"/>
      <x:c r="E897" s="1"/>
      <x:c r="F897" s="1"/>
      <x:c r="G897" s="1"/>
    </x:row>
    <x:row r="898">
      <x:c r="A898" s="1"/>
      <x:c r="B898" s="1"/>
      <x:c r="C898" s="1"/>
      <x:c r="D898" s="1"/>
      <x:c r="E898" s="1"/>
      <x:c r="F898" s="1"/>
      <x:c r="G898" s="1"/>
    </x:row>
    <x:row r="899">
      <x:c r="A899" s="1"/>
      <x:c r="B899" s="1"/>
      <x:c r="C899" s="1"/>
      <x:c r="D899" s="1"/>
      <x:c r="E899" s="1"/>
      <x:c r="F899" s="1"/>
      <x:c r="G899" s="1"/>
    </x:row>
    <x:row r="900">
      <x:c r="A900" s="1"/>
      <x:c r="B900" s="1"/>
      <x:c r="C900" s="1"/>
      <x:c r="D900" s="1"/>
      <x:c r="E900" s="1"/>
      <x:c r="F900" s="1"/>
      <x:c r="G900" s="1"/>
    </x:row>
    <x:row r="901">
      <x:c r="A901" s="1"/>
      <x:c r="B901" s="1"/>
      <x:c r="C901" s="1"/>
      <x:c r="D901" s="1"/>
      <x:c r="E901" s="1"/>
      <x:c r="F901" s="1"/>
      <x:c r="G901" s="1"/>
    </x:row>
    <x:row r="902">
      <x:c r="A902" s="1"/>
      <x:c r="B902" s="1"/>
      <x:c r="C902" s="1"/>
      <x:c r="D902" s="1"/>
      <x:c r="E902" s="1"/>
      <x:c r="F902" s="1"/>
      <x:c r="G902" s="1"/>
    </x:row>
    <x:row r="903">
      <x:c r="A903" s="1"/>
      <x:c r="B903" s="1"/>
      <x:c r="C903" s="1"/>
      <x:c r="D903" s="1"/>
      <x:c r="E903" s="1"/>
      <x:c r="F903" s="1"/>
      <x:c r="G903" s="1"/>
    </x:row>
    <x:row r="904">
      <x:c r="A904" s="1"/>
      <x:c r="B904" s="1"/>
      <x:c r="C904" s="1"/>
      <x:c r="D904" s="1"/>
      <x:c r="E904" s="1"/>
      <x:c r="F904" s="1"/>
      <x:c r="G904" s="1"/>
    </x:row>
    <x:row r="905">
      <x:c r="A905" s="1"/>
      <x:c r="B905" s="1"/>
      <x:c r="C905" s="1"/>
      <x:c r="D905" s="1"/>
      <x:c r="E905" s="1"/>
      <x:c r="F905" s="1"/>
      <x:c r="G905" s="1"/>
    </x:row>
    <x:row r="906">
      <x:c r="A906" s="1"/>
      <x:c r="B906" s="1"/>
      <x:c r="C906" s="1"/>
      <x:c r="D906" s="1"/>
      <x:c r="E906" s="1"/>
      <x:c r="F906" s="1"/>
      <x:c r="G906" s="1"/>
    </x:row>
    <x:row r="907">
      <x:c r="A907" s="1"/>
      <x:c r="B907" s="1"/>
      <x:c r="C907" s="1"/>
      <x:c r="D907" s="1"/>
      <x:c r="E907" s="1"/>
      <x:c r="F907" s="1"/>
      <x:c r="G907" s="1"/>
    </x:row>
    <x:row r="908">
      <x:c r="A908" s="1"/>
      <x:c r="B908" s="1"/>
      <x:c r="C908" s="1"/>
      <x:c r="D908" s="1"/>
      <x:c r="E908" s="1"/>
      <x:c r="F908" s="1"/>
      <x:c r="G908" s="1"/>
    </x:row>
    <x:row r="909">
      <x:c r="A909" s="1"/>
      <x:c r="B909" s="1"/>
      <x:c r="C909" s="1"/>
      <x:c r="D909" s="1"/>
      <x:c r="E909" s="1"/>
      <x:c r="F909" s="1"/>
      <x:c r="G909" s="1"/>
    </x:row>
    <x:row r="910">
      <x:c r="A910" s="1"/>
      <x:c r="B910" s="1"/>
      <x:c r="C910" s="1"/>
      <x:c r="D910" s="1"/>
      <x:c r="E910" s="1"/>
      <x:c r="F910" s="1"/>
      <x:c r="G910" s="1"/>
    </x:row>
    <x:row r="911">
      <x:c r="A911" s="1"/>
      <x:c r="B911" s="1"/>
      <x:c r="C911" s="1"/>
      <x:c r="D911" s="1"/>
      <x:c r="E911" s="1"/>
      <x:c r="F911" s="1"/>
      <x:c r="G911" s="1"/>
    </x:row>
    <x:row r="912">
      <x:c r="A912" s="1"/>
      <x:c r="B912" s="1"/>
      <x:c r="C912" s="1"/>
      <x:c r="D912" s="1"/>
      <x:c r="E912" s="1"/>
      <x:c r="F912" s="1"/>
      <x:c r="G912" s="1"/>
    </x:row>
    <x:row r="913">
      <x:c r="A913" s="1"/>
      <x:c r="B913" s="1"/>
      <x:c r="C913" s="1"/>
      <x:c r="D913" s="1"/>
      <x:c r="E913" s="1"/>
      <x:c r="F913" s="1"/>
      <x:c r="G913" s="1"/>
    </x:row>
    <x:row r="914">
      <x:c r="A914" s="1"/>
      <x:c r="B914" s="1"/>
      <x:c r="C914" s="1"/>
      <x:c r="D914" s="1"/>
      <x:c r="E914" s="1"/>
      <x:c r="F914" s="1"/>
      <x:c r="G914" s="1"/>
    </x:row>
    <x:row r="915">
      <x:c r="A915" s="1"/>
      <x:c r="B915" s="1"/>
      <x:c r="C915" s="1"/>
      <x:c r="D915" s="1"/>
      <x:c r="E915" s="1"/>
      <x:c r="F915" s="1"/>
      <x:c r="G915" s="1"/>
    </x:row>
    <x:row r="916">
      <x:c r="A916" s="1"/>
      <x:c r="B916" s="1"/>
      <x:c r="C916" s="1"/>
      <x:c r="D916" s="1"/>
      <x:c r="E916" s="1"/>
      <x:c r="F916" s="1"/>
      <x:c r="G916" s="1"/>
    </x:row>
    <x:row r="917">
      <x:c r="A917" s="1"/>
      <x:c r="B917" s="1"/>
      <x:c r="C917" s="1"/>
      <x:c r="D917" s="1"/>
      <x:c r="E917" s="1"/>
      <x:c r="F917" s="1"/>
      <x:c r="G917" s="1"/>
    </x:row>
    <x:row r="918">
      <x:c r="A918" s="1"/>
      <x:c r="B918" s="1"/>
      <x:c r="C918" s="1"/>
      <x:c r="D918" s="1"/>
      <x:c r="E918" s="1"/>
      <x:c r="F918" s="1"/>
      <x:c r="G918" s="1"/>
    </x:row>
    <x:row r="919">
      <x:c r="A919" s="1"/>
      <x:c r="B919" s="1"/>
      <x:c r="C919" s="1"/>
      <x:c r="D919" s="1"/>
      <x:c r="E919" s="1"/>
      <x:c r="F919" s="1"/>
      <x:c r="G919" s="1"/>
    </x:row>
    <x:row r="920">
      <x:c r="A920" s="1"/>
      <x:c r="B920" s="1"/>
      <x:c r="C920" s="1"/>
      <x:c r="D920" s="1"/>
      <x:c r="E920" s="1"/>
      <x:c r="F920" s="1"/>
      <x:c r="G920" s="1"/>
    </x:row>
    <x:row r="921">
      <x:c r="A921" s="1"/>
      <x:c r="B921" s="1"/>
      <x:c r="C921" s="1"/>
      <x:c r="D921" s="1"/>
      <x:c r="E921" s="1"/>
      <x:c r="F921" s="1"/>
      <x:c r="G921" s="1"/>
    </x:row>
    <x:row r="922">
      <x:c r="A922" s="1"/>
      <x:c r="B922" s="1"/>
      <x:c r="C922" s="1"/>
      <x:c r="D922" s="1"/>
      <x:c r="E922" s="1"/>
      <x:c r="F922" s="1"/>
      <x:c r="G922" s="1"/>
    </x:row>
    <x:row r="923">
      <x:c r="A923" s="1"/>
      <x:c r="B923" s="1"/>
      <x:c r="C923" s="1"/>
      <x:c r="D923" s="1"/>
      <x:c r="E923" s="1"/>
      <x:c r="F923" s="1"/>
      <x:c r="G923" s="1"/>
    </x:row>
    <x:row r="924">
      <x:c r="A924" s="1"/>
      <x:c r="B924" s="1"/>
      <x:c r="C924" s="1"/>
      <x:c r="D924" s="1"/>
      <x:c r="E924" s="1"/>
      <x:c r="F924" s="1"/>
      <x:c r="G924" s="1"/>
    </x:row>
    <x:row r="925">
      <x:c r="A925" s="1"/>
      <x:c r="B925" s="1"/>
      <x:c r="C925" s="1"/>
      <x:c r="D925" s="1"/>
      <x:c r="E925" s="1"/>
      <x:c r="F925" s="1"/>
      <x:c r="G925" s="1"/>
    </x:row>
    <x:row r="926">
      <x:c r="A926" s="1"/>
      <x:c r="B926" s="1"/>
      <x:c r="C926" s="1"/>
      <x:c r="D926" s="1"/>
      <x:c r="E926" s="1"/>
      <x:c r="F926" s="1"/>
      <x:c r="G926" s="1"/>
    </x:row>
    <x:row r="927">
      <x:c r="A927" s="1"/>
      <x:c r="B927" s="1"/>
      <x:c r="C927" s="1"/>
      <x:c r="D927" s="1"/>
      <x:c r="E927" s="1"/>
      <x:c r="F927" s="1"/>
      <x:c r="G927" s="1"/>
    </x:row>
    <x:row r="928">
      <x:c r="A928" s="1"/>
      <x:c r="B928" s="1"/>
      <x:c r="C928" s="1"/>
      <x:c r="D928" s="1"/>
      <x:c r="E928" s="1"/>
      <x:c r="F928" s="1"/>
      <x:c r="G928" s="1"/>
    </x:row>
    <x:row r="929">
      <x:c r="A929" s="1"/>
      <x:c r="B929" s="1"/>
      <x:c r="C929" s="1"/>
      <x:c r="D929" s="1"/>
      <x:c r="E929" s="1"/>
      <x:c r="F929" s="1"/>
      <x:c r="G929" s="1"/>
    </x:row>
    <x:row r="930">
      <x:c r="A930" s="1"/>
      <x:c r="B930" s="1"/>
      <x:c r="C930" s="1"/>
      <x:c r="D930" s="1"/>
      <x:c r="E930" s="1"/>
      <x:c r="F930" s="1"/>
      <x:c r="G930" s="1"/>
    </x:row>
    <x:row r="931">
      <x:c r="A931" s="1"/>
      <x:c r="B931" s="1"/>
      <x:c r="C931" s="1"/>
      <x:c r="D931" s="1"/>
      <x:c r="E931" s="1"/>
      <x:c r="F931" s="1"/>
      <x:c r="G931" s="1"/>
    </x:row>
    <x:row r="932">
      <x:c r="A932" s="1"/>
      <x:c r="B932" s="1"/>
      <x:c r="C932" s="1"/>
      <x:c r="D932" s="1"/>
      <x:c r="E932" s="1"/>
      <x:c r="F932" s="1"/>
      <x:c r="G932" s="1"/>
    </x:row>
    <x:row r="933">
      <x:c r="A933" s="1"/>
      <x:c r="B933" s="1"/>
      <x:c r="C933" s="1"/>
      <x:c r="D933" s="1"/>
      <x:c r="E933" s="1"/>
      <x:c r="F933" s="1"/>
      <x:c r="G933" s="1"/>
    </x:row>
    <x:row r="934">
      <x:c r="A934" s="1"/>
      <x:c r="B934" s="1"/>
      <x:c r="C934" s="1"/>
      <x:c r="D934" s="1"/>
      <x:c r="E934" s="1"/>
      <x:c r="F934" s="1"/>
      <x:c r="G934" s="1"/>
    </x:row>
    <x:row r="935">
      <x:c r="A935" s="1"/>
      <x:c r="B935" s="1"/>
      <x:c r="C935" s="1"/>
      <x:c r="D935" s="1"/>
      <x:c r="E935" s="1"/>
      <x:c r="F935" s="1"/>
      <x:c r="G935" s="1"/>
    </x:row>
    <x:row r="936">
      <x:c r="A936" s="1"/>
      <x:c r="B936" s="1"/>
      <x:c r="C936" s="1"/>
      <x:c r="D936" s="1"/>
      <x:c r="E936" s="1"/>
      <x:c r="F936" s="1"/>
      <x:c r="G936" s="1"/>
    </x:row>
    <x:row r="937">
      <x:c r="A937" s="1"/>
      <x:c r="B937" s="1"/>
      <x:c r="C937" s="1"/>
      <x:c r="D937" s="1"/>
      <x:c r="E937" s="1"/>
      <x:c r="F937" s="1"/>
      <x:c r="G937" s="1"/>
    </x:row>
    <x:row r="938">
      <x:c r="A938" s="1"/>
      <x:c r="B938" s="1"/>
      <x:c r="C938" s="1"/>
      <x:c r="D938" s="1"/>
      <x:c r="E938" s="1"/>
      <x:c r="F938" s="1"/>
      <x:c r="G938" s="1"/>
    </x:row>
    <x:row r="939">
      <x:c r="A939" s="1"/>
      <x:c r="B939" s="1"/>
      <x:c r="C939" s="1"/>
      <x:c r="D939" s="1"/>
      <x:c r="E939" s="1"/>
      <x:c r="F939" s="1"/>
      <x:c r="G939" s="1"/>
    </x:row>
    <x:row r="940">
      <x:c r="A940" s="1"/>
      <x:c r="B940" s="1"/>
      <x:c r="C940" s="1"/>
      <x:c r="D940" s="1"/>
      <x:c r="E940" s="1"/>
      <x:c r="F940" s="1"/>
      <x:c r="G940" s="1"/>
    </x:row>
    <x:row r="941">
      <x:c r="A941" s="1"/>
      <x:c r="B941" s="1"/>
      <x:c r="C941" s="1"/>
      <x:c r="D941" s="1"/>
      <x:c r="E941" s="1"/>
      <x:c r="F941" s="1"/>
      <x:c r="G941" s="1"/>
    </x:row>
    <x:row r="942">
      <x:c r="A942" s="1"/>
      <x:c r="B942" s="1"/>
      <x:c r="C942" s="1"/>
      <x:c r="D942" s="1"/>
      <x:c r="E942" s="1"/>
      <x:c r="F942" s="1"/>
      <x:c r="G942" s="1"/>
    </x:row>
    <x:row r="943">
      <x:c r="A943" s="1"/>
      <x:c r="B943" s="1"/>
      <x:c r="C943" s="1"/>
      <x:c r="D943" s="1"/>
      <x:c r="E943" s="1"/>
      <x:c r="F943" s="1"/>
      <x:c r="G943" s="1"/>
    </x:row>
    <x:row r="944">
      <x:c r="A944" s="1"/>
      <x:c r="B944" s="1"/>
      <x:c r="C944" s="1"/>
      <x:c r="D944" s="1"/>
      <x:c r="E944" s="1"/>
      <x:c r="F944" s="1"/>
      <x:c r="G944" s="1"/>
    </x:row>
    <x:row r="945">
      <x:c r="A945" s="1"/>
      <x:c r="B945" s="1"/>
      <x:c r="C945" s="1"/>
      <x:c r="D945" s="1"/>
      <x:c r="E945" s="1"/>
      <x:c r="F945" s="1"/>
      <x:c r="G945" s="1"/>
    </x:row>
    <x:row r="946">
      <x:c r="A946" s="1"/>
      <x:c r="B946" s="1"/>
      <x:c r="C946" s="1"/>
      <x:c r="D946" s="1"/>
      <x:c r="E946" s="1"/>
      <x:c r="F946" s="1"/>
      <x:c r="G946" s="1"/>
    </x:row>
    <x:row r="947">
      <x:c r="A947" s="1"/>
      <x:c r="B947" s="1"/>
      <x:c r="C947" s="1"/>
      <x:c r="D947" s="1"/>
      <x:c r="E947" s="1"/>
      <x:c r="F947" s="1"/>
      <x:c r="G947" s="1"/>
    </x:row>
    <x:row r="948">
      <x:c r="A948" s="1"/>
      <x:c r="B948" s="1"/>
      <x:c r="C948" s="1"/>
      <x:c r="D948" s="1"/>
      <x:c r="E948" s="1"/>
      <x:c r="F948" s="1"/>
      <x:c r="G948" s="1"/>
    </x:row>
    <x:row r="949">
      <x:c r="A949" s="1"/>
      <x:c r="B949" s="1"/>
      <x:c r="C949" s="1"/>
      <x:c r="D949" s="1"/>
      <x:c r="E949" s="1"/>
      <x:c r="F949" s="1"/>
      <x:c r="G949" s="1"/>
    </x:row>
    <x:row r="950">
      <x:c r="A950" s="1"/>
      <x:c r="B950" s="1"/>
      <x:c r="C950" s="1"/>
      <x:c r="D950" s="1"/>
      <x:c r="E950" s="1"/>
      <x:c r="F950" s="1"/>
      <x:c r="G950" s="1"/>
    </x:row>
    <x:row r="951">
      <x:c r="A951" s="1"/>
      <x:c r="B951" s="1"/>
      <x:c r="C951" s="1"/>
      <x:c r="D951" s="1"/>
      <x:c r="E951" s="1"/>
      <x:c r="F951" s="1"/>
      <x:c r="G951" s="1"/>
    </x:row>
    <x:row r="952">
      <x:c r="A952" s="1"/>
      <x:c r="B952" s="1"/>
      <x:c r="C952" s="1"/>
      <x:c r="D952" s="1"/>
      <x:c r="E952" s="1"/>
      <x:c r="F952" s="1"/>
      <x:c r="G952" s="1"/>
    </x:row>
    <x:row r="953">
      <x:c r="A953" s="1"/>
      <x:c r="B953" s="1"/>
      <x:c r="C953" s="1"/>
      <x:c r="D953" s="1"/>
      <x:c r="E953" s="1"/>
      <x:c r="F953" s="1"/>
      <x:c r="G953" s="1"/>
    </x:row>
    <x:row r="954">
      <x:c r="A954" s="1"/>
      <x:c r="B954" s="1"/>
      <x:c r="C954" s="1"/>
      <x:c r="D954" s="1"/>
      <x:c r="E954" s="1"/>
      <x:c r="F954" s="1"/>
      <x:c r="G954" s="1"/>
    </x:row>
    <x:row r="955">
      <x:c r="A955" s="1"/>
      <x:c r="B955" s="1"/>
      <x:c r="C955" s="1"/>
      <x:c r="D955" s="1"/>
      <x:c r="E955" s="1"/>
      <x:c r="F955" s="1"/>
      <x:c r="G955" s="1"/>
    </x:row>
    <x:row r="956">
      <x:c r="A956" s="1"/>
      <x:c r="B956" s="1"/>
      <x:c r="C956" s="1"/>
      <x:c r="D956" s="1"/>
      <x:c r="E956" s="1"/>
      <x:c r="F956" s="1"/>
      <x:c r="G956" s="1"/>
    </x:row>
    <x:row r="957">
      <x:c r="A957" s="1"/>
      <x:c r="B957" s="1"/>
      <x:c r="C957" s="1"/>
      <x:c r="D957" s="1"/>
      <x:c r="E957" s="1"/>
      <x:c r="F957" s="1"/>
      <x:c r="G957" s="1"/>
    </x:row>
    <x:row r="958">
      <x:c r="A958" s="1"/>
      <x:c r="B958" s="1"/>
      <x:c r="C958" s="1"/>
      <x:c r="D958" s="1"/>
      <x:c r="E958" s="1"/>
      <x:c r="F958" s="1"/>
      <x:c r="G958" s="1"/>
    </x:row>
    <x:row r="959">
      <x:c r="A959" s="1"/>
      <x:c r="B959" s="1"/>
      <x:c r="C959" s="1"/>
      <x:c r="D959" s="1"/>
      <x:c r="E959" s="1"/>
      <x:c r="F959" s="1"/>
      <x:c r="G959" s="1"/>
    </x:row>
    <x:row r="960">
      <x:c r="A960" s="1"/>
      <x:c r="B960" s="1"/>
      <x:c r="C960" s="1"/>
      <x:c r="D960" s="1"/>
      <x:c r="E960" s="1"/>
      <x:c r="F960" s="1"/>
      <x:c r="G960" s="1"/>
    </x:row>
    <x:row r="961">
      <x:c r="A961" s="1"/>
      <x:c r="B961" s="1"/>
      <x:c r="C961" s="1"/>
      <x:c r="D961" s="1"/>
      <x:c r="E961" s="1"/>
      <x:c r="F961" s="1"/>
      <x:c r="G961" s="1"/>
    </x:row>
    <x:row r="962">
      <x:c r="A962" s="1"/>
      <x:c r="B962" s="1"/>
      <x:c r="C962" s="1"/>
      <x:c r="D962" s="1"/>
      <x:c r="E962" s="1"/>
      <x:c r="F962" s="1"/>
      <x:c r="G962" s="1"/>
    </x:row>
    <x:row r="963">
      <x:c r="A963" s="1"/>
      <x:c r="B963" s="1"/>
      <x:c r="C963" s="1"/>
      <x:c r="D963" s="1"/>
      <x:c r="E963" s="1"/>
      <x:c r="F963" s="1"/>
      <x:c r="G963" s="1"/>
    </x:row>
    <x:row r="964">
      <x:c r="A964" s="1"/>
      <x:c r="B964" s="1"/>
      <x:c r="C964" s="1"/>
      <x:c r="D964" s="1"/>
      <x:c r="E964" s="1"/>
      <x:c r="F964" s="1"/>
      <x:c r="G964" s="1"/>
    </x:row>
    <x:row r="965">
      <x:c r="A965" s="1"/>
      <x:c r="B965" s="1"/>
      <x:c r="C965" s="1"/>
      <x:c r="D965" s="1"/>
      <x:c r="E965" s="1"/>
      <x:c r="F965" s="1"/>
      <x:c r="G965" s="1"/>
    </x:row>
    <x:row r="966">
      <x:c r="A966" s="1"/>
      <x:c r="B966" s="1"/>
      <x:c r="C966" s="1"/>
      <x:c r="D966" s="1"/>
      <x:c r="E966" s="1"/>
      <x:c r="F966" s="1"/>
      <x:c r="G966" s="1"/>
    </x:row>
    <x:row r="967">
      <x:c r="A967" s="1"/>
      <x:c r="B967" s="1"/>
      <x:c r="C967" s="1"/>
      <x:c r="D967" s="1"/>
      <x:c r="E967" s="1"/>
      <x:c r="F967" s="1"/>
      <x:c r="G967" s="1"/>
    </x:row>
    <x:row r="968">
      <x:c r="A968" s="1"/>
      <x:c r="B968" s="1"/>
      <x:c r="C968" s="1"/>
      <x:c r="D968" s="1"/>
      <x:c r="E968" s="1"/>
      <x:c r="F968" s="1"/>
      <x:c r="G968" s="1"/>
    </x:row>
    <x:row r="969">
      <x:c r="A969" s="1"/>
      <x:c r="B969" s="1"/>
      <x:c r="C969" s="1"/>
      <x:c r="D969" s="1"/>
      <x:c r="E969" s="1"/>
      <x:c r="F969" s="1"/>
      <x:c r="G969" s="1"/>
    </x:row>
    <x:row r="970">
      <x:c r="A970" s="1"/>
      <x:c r="B970" s="1"/>
      <x:c r="C970" s="1"/>
      <x:c r="D970" s="1"/>
      <x:c r="E970" s="1"/>
      <x:c r="F970" s="1"/>
      <x:c r="G970" s="1"/>
    </x:row>
    <x:row r="971">
      <x:c r="A971" s="1"/>
      <x:c r="B971" s="1"/>
      <x:c r="C971" s="1"/>
      <x:c r="D971" s="1"/>
      <x:c r="E971" s="1"/>
      <x:c r="F971" s="1"/>
      <x:c r="G971" s="1"/>
    </x:row>
    <x:row r="972">
      <x:c r="A972" s="1"/>
      <x:c r="B972" s="1"/>
      <x:c r="C972" s="1"/>
      <x:c r="D972" s="1"/>
      <x:c r="E972" s="1"/>
      <x:c r="F972" s="1"/>
      <x:c r="G972" s="1"/>
    </x:row>
    <x:row r="973">
      <x:c r="A973" s="1"/>
      <x:c r="B973" s="1"/>
      <x:c r="C973" s="1"/>
      <x:c r="D973" s="1"/>
      <x:c r="E973" s="1"/>
      <x:c r="F973" s="1"/>
      <x:c r="G973" s="1"/>
    </x:row>
    <x:row r="974">
      <x:c r="A974" s="1"/>
      <x:c r="B974" s="1"/>
      <x:c r="C974" s="1"/>
      <x:c r="D974" s="1"/>
      <x:c r="E974" s="1"/>
      <x:c r="F974" s="1"/>
      <x:c r="G974" s="1"/>
    </x:row>
    <x:row r="975">
      <x:c r="A975" s="1"/>
      <x:c r="B975" s="1"/>
      <x:c r="C975" s="1"/>
      <x:c r="D975" s="1"/>
      <x:c r="E975" s="1"/>
      <x:c r="F975" s="1"/>
      <x:c r="G975" s="1"/>
    </x:row>
    <x:row r="976">
      <x:c r="A976" s="1"/>
      <x:c r="B976" s="1"/>
      <x:c r="C976" s="1"/>
      <x:c r="D976" s="1"/>
      <x:c r="E976" s="1"/>
      <x:c r="F976" s="1"/>
      <x:c r="G976" s="1"/>
    </x:row>
    <x:row r="977">
      <x:c r="A977" s="1"/>
      <x:c r="B977" s="1"/>
      <x:c r="C977" s="1"/>
      <x:c r="D977" s="1"/>
      <x:c r="E977" s="1"/>
      <x:c r="F977" s="1"/>
      <x:c r="G977" s="1"/>
    </x:row>
    <x:row r="978">
      <x:c r="A978" s="1"/>
      <x:c r="B978" s="1"/>
      <x:c r="C978" s="1"/>
      <x:c r="D978" s="1"/>
      <x:c r="E978" s="1"/>
      <x:c r="F978" s="1"/>
      <x:c r="G978" s="1"/>
    </x:row>
    <x:row r="979">
      <x:c r="A979" s="1"/>
      <x:c r="B979" s="1"/>
      <x:c r="C979" s="1"/>
      <x:c r="D979" s="1"/>
      <x:c r="E979" s="1"/>
      <x:c r="F979" s="1"/>
      <x:c r="G979" s="1"/>
    </x:row>
    <x:row r="980">
      <x:c r="A980" s="1"/>
      <x:c r="B980" s="1"/>
      <x:c r="C980" s="1"/>
      <x:c r="D980" s="1"/>
      <x:c r="E980" s="1"/>
      <x:c r="F980" s="1"/>
      <x:c r="G980" s="1"/>
    </x:row>
    <x:row r="981">
      <x:c r="A981" s="1"/>
      <x:c r="B981" s="1"/>
      <x:c r="C981" s="1"/>
      <x:c r="D981" s="1"/>
      <x:c r="E981" s="1"/>
      <x:c r="F981" s="1"/>
      <x:c r="G981" s="1"/>
    </x:row>
    <x:row r="982">
      <x:c r="A982" s="1"/>
      <x:c r="B982" s="1"/>
      <x:c r="C982" s="1"/>
      <x:c r="D982" s="1"/>
      <x:c r="E982" s="1"/>
      <x:c r="F982" s="1"/>
      <x:c r="G982" s="1"/>
    </x:row>
    <x:row r="983">
      <x:c r="A983" s="1"/>
      <x:c r="B983" s="1"/>
      <x:c r="C983" s="1"/>
      <x:c r="D983" s="1"/>
      <x:c r="E983" s="1"/>
      <x:c r="F983" s="1"/>
      <x:c r="G983" s="1"/>
    </x:row>
    <x:row r="984">
      <x:c r="A984" s="1"/>
      <x:c r="B984" s="1"/>
      <x:c r="C984" s="1"/>
      <x:c r="D984" s="1"/>
      <x:c r="E984" s="1"/>
      <x:c r="F984" s="1"/>
      <x:c r="G984" s="1"/>
    </x:row>
    <x:row r="985">
      <x:c r="A985" s="1"/>
      <x:c r="B985" s="1"/>
      <x:c r="C985" s="1"/>
      <x:c r="D985" s="1"/>
      <x:c r="E985" s="1"/>
      <x:c r="F985" s="1"/>
      <x:c r="G985" s="1"/>
    </x:row>
    <x:row r="986">
      <x:c r="A986" s="1"/>
      <x:c r="B986" s="1"/>
      <x:c r="C986" s="1"/>
      <x:c r="D986" s="1"/>
      <x:c r="E986" s="1"/>
      <x:c r="F986" s="1"/>
      <x:c r="G986" s="1"/>
    </x:row>
    <x:row r="987">
      <x:c r="A987" s="1"/>
      <x:c r="B987" s="1"/>
      <x:c r="C987" s="1"/>
      <x:c r="D987" s="1"/>
      <x:c r="E987" s="1"/>
      <x:c r="F987" s="1"/>
      <x:c r="G987" s="1"/>
    </x:row>
    <x:row r="988">
      <x:c r="A988" s="1"/>
      <x:c r="B988" s="1"/>
      <x:c r="C988" s="1"/>
      <x:c r="D988" s="1"/>
      <x:c r="E988" s="1"/>
      <x:c r="F988" s="1"/>
      <x:c r="G988" s="1"/>
    </x:row>
    <x:row r="989">
      <x:c r="A989" s="1"/>
      <x:c r="B989" s="1"/>
      <x:c r="C989" s="1"/>
      <x:c r="D989" s="1"/>
      <x:c r="E989" s="1"/>
      <x:c r="F989" s="1"/>
      <x:c r="G989" s="1"/>
    </x:row>
    <x:row r="990">
      <x:c r="A990" s="1"/>
      <x:c r="B990" s="1"/>
      <x:c r="C990" s="1"/>
      <x:c r="D990" s="1"/>
      <x:c r="E990" s="1"/>
      <x:c r="F990" s="1"/>
      <x:c r="G990" s="1"/>
    </x:row>
    <x:row r="991">
      <x:c r="A991" s="1"/>
      <x:c r="B991" s="1"/>
      <x:c r="C991" s="1"/>
      <x:c r="D991" s="1"/>
      <x:c r="E991" s="1"/>
      <x:c r="F991" s="1"/>
      <x:c r="G991" s="1"/>
    </x:row>
    <x:row r="992">
      <x:c r="A992" s="1"/>
      <x:c r="B992" s="1"/>
      <x:c r="C992" s="1"/>
      <x:c r="D992" s="1"/>
      <x:c r="E992" s="1"/>
      <x:c r="F992" s="1"/>
      <x:c r="G992" s="1"/>
    </x:row>
    <x:row r="993">
      <x:c r="A993" s="1"/>
      <x:c r="B993" s="1"/>
      <x:c r="C993" s="1"/>
      <x:c r="D993" s="1"/>
      <x:c r="E993" s="1"/>
      <x:c r="F993" s="1"/>
      <x:c r="G993" s="1"/>
    </x:row>
    <x:row r="994">
      <x:c r="A994" s="1"/>
      <x:c r="B994" s="1"/>
      <x:c r="C994" s="1"/>
      <x:c r="D994" s="1"/>
      <x:c r="E994" s="1"/>
      <x:c r="F994" s="1"/>
      <x:c r="G994" s="1"/>
    </x:row>
    <x:row r="995">
      <x:c r="A995" s="1"/>
      <x:c r="B995" s="1"/>
      <x:c r="C995" s="1"/>
      <x:c r="D995" s="1"/>
      <x:c r="E995" s="1"/>
      <x:c r="F995" s="1"/>
      <x:c r="G995" s="1"/>
    </x:row>
    <x:row r="996">
      <x:c r="A996" s="1"/>
      <x:c r="B996" s="1"/>
      <x:c r="C996" s="1"/>
      <x:c r="D996" s="1"/>
      <x:c r="E996" s="1"/>
      <x:c r="F996" s="1"/>
      <x:c r="G996" s="1"/>
    </x:row>
    <x:row r="997">
      <x:c r="A997" s="1"/>
      <x:c r="B997" s="1"/>
      <x:c r="C997" s="1"/>
      <x:c r="D997" s="1"/>
      <x:c r="E997" s="1"/>
      <x:c r="F997" s="1"/>
      <x:c r="G997" s="1"/>
    </x:row>
    <x:row r="998">
      <x:c r="A998" s="1"/>
      <x:c r="B998" s="1"/>
      <x:c r="C998" s="1"/>
      <x:c r="D998" s="1"/>
      <x:c r="E998" s="1"/>
      <x:c r="F998" s="1"/>
      <x:c r="G998" s="1"/>
    </x:row>
    <x:row r="999">
      <x:c r="A999" s="1"/>
      <x:c r="B999" s="1"/>
      <x:c r="C999" s="1"/>
      <x:c r="D999" s="1"/>
      <x:c r="E999" s="1"/>
      <x:c r="F999" s="1"/>
      <x:c r="G999" s="1"/>
    </x:row>
    <x:row r="1000">
      <x:c r="A1000" s="1"/>
      <x:c r="B1000" s="1"/>
      <x:c r="C1000" s="1"/>
      <x:c r="D1000" s="1"/>
      <x:c r="E1000" s="1"/>
      <x:c r="F1000" s="1"/>
      <x:c r="G1000" s="1"/>
    </x:row>
    <x:row r="1001">
      <x:c r="A1001" s="1"/>
      <x:c r="B1001" s="1"/>
      <x:c r="C1001" s="1"/>
      <x:c r="D1001" s="1"/>
      <x:c r="E1001" s="1"/>
      <x:c r="F1001" s="1"/>
      <x:c r="G1001" s="1"/>
    </x:row>
    <x:row r="1002">
      <x:c r="A1002" s="1"/>
      <x:c r="B1002" s="1"/>
      <x:c r="C1002" s="1"/>
      <x:c r="D1002" s="1"/>
      <x:c r="E1002" s="1"/>
      <x:c r="F1002" s="1"/>
      <x:c r="G1002" s="1"/>
    </x:row>
    <x:row r="1003">
      <x:c r="A1003" s="1"/>
      <x:c r="B1003" s="1"/>
      <x:c r="C1003" s="1"/>
      <x:c r="D1003" s="1"/>
      <x:c r="E1003" s="1"/>
      <x:c r="F1003" s="1"/>
      <x:c r="G1003" s="1"/>
    </x:row>
    <x:row r="1004">
      <x:c r="A1004" s="1"/>
      <x:c r="B1004" s="1"/>
      <x:c r="C1004" s="1"/>
      <x:c r="D1004" s="1"/>
      <x:c r="E1004" s="1"/>
      <x:c r="F1004" s="1"/>
      <x:c r="G1004" s="1"/>
    </x:row>
    <x:row r="1005">
      <x:c r="A1005" s="1"/>
      <x:c r="B1005" s="1"/>
      <x:c r="C1005" s="1"/>
      <x:c r="D1005" s="1"/>
      <x:c r="E1005" s="1"/>
      <x:c r="F1005" s="1"/>
      <x:c r="G1005" s="1"/>
    </x:row>
    <x:row r="1006">
      <x:c r="A1006" s="1"/>
      <x:c r="B1006" s="1"/>
      <x:c r="C1006" s="1"/>
      <x:c r="D1006" s="1"/>
      <x:c r="E1006" s="1"/>
      <x:c r="F1006" s="1"/>
      <x:c r="G1006" s="1"/>
    </x:row>
    <x:row r="1007">
      <x:c r="A1007" s="1"/>
      <x:c r="B1007" s="1"/>
      <x:c r="C1007" s="1"/>
      <x:c r="D1007" s="1"/>
      <x:c r="E1007" s="1"/>
      <x:c r="F1007" s="1"/>
      <x:c r="G1007" s="1"/>
    </x:row>
    <x:row r="1008">
      <x:c r="A1008" s="1"/>
      <x:c r="B1008" s="1"/>
      <x:c r="C1008" s="1"/>
      <x:c r="D1008" s="1"/>
      <x:c r="E1008" s="1"/>
      <x:c r="F1008" s="1"/>
      <x:c r="G1008" s="1"/>
    </x:row>
    <x:row r="1009">
      <x:c r="A1009" s="1"/>
      <x:c r="B1009" s="1"/>
      <x:c r="C1009" s="1"/>
      <x:c r="D1009" s="1"/>
      <x:c r="E1009" s="1"/>
      <x:c r="F1009" s="1"/>
      <x:c r="G1009" s="1"/>
    </x:row>
    <x:row r="1010">
      <x:c r="A1010" s="1"/>
      <x:c r="B1010" s="1"/>
      <x:c r="C1010" s="1"/>
      <x:c r="D1010" s="1"/>
      <x:c r="E1010" s="1"/>
      <x:c r="F1010" s="1"/>
      <x:c r="G1010" s="1"/>
    </x:row>
    <x:row r="1011">
      <x:c r="A1011" s="1"/>
      <x:c r="B1011" s="1"/>
      <x:c r="C1011" s="1"/>
      <x:c r="D1011" s="1"/>
      <x:c r="E1011" s="1"/>
      <x:c r="F1011" s="1"/>
      <x:c r="G1011" s="1"/>
    </x:row>
    <x:row r="1012">
      <x:c r="A1012" s="1"/>
      <x:c r="B1012" s="1"/>
      <x:c r="C1012" s="1"/>
      <x:c r="D1012" s="1"/>
      <x:c r="E1012" s="1"/>
      <x:c r="F1012" s="1"/>
      <x:c r="G1012" s="1"/>
    </x:row>
    <x:row r="1013">
      <x:c r="A1013" s="1"/>
      <x:c r="B1013" s="1"/>
      <x:c r="C1013" s="1"/>
      <x:c r="D1013" s="1"/>
      <x:c r="E1013" s="1"/>
      <x:c r="F1013" s="1"/>
      <x:c r="G1013" s="1"/>
    </x:row>
    <x:row r="1014">
      <x:c r="A1014" s="1"/>
      <x:c r="B1014" s="1"/>
      <x:c r="C1014" s="1"/>
      <x:c r="D1014" s="1"/>
      <x:c r="E1014" s="1"/>
      <x:c r="F1014" s="1"/>
      <x:c r="G1014" s="1"/>
    </x:row>
    <x:row r="1015">
      <x:c r="A1015" s="1"/>
      <x:c r="B1015" s="1"/>
      <x:c r="C1015" s="1"/>
      <x:c r="D1015" s="1"/>
      <x:c r="E1015" s="1"/>
      <x:c r="F1015" s="1"/>
      <x:c r="G1015" s="1"/>
    </x:row>
    <x:row r="1016">
      <x:c r="A1016" s="1"/>
      <x:c r="B1016" s="1"/>
      <x:c r="C1016" s="1"/>
      <x:c r="D1016" s="1"/>
      <x:c r="E1016" s="1"/>
      <x:c r="F1016" s="1"/>
      <x:c r="G1016" s="1"/>
    </x:row>
    <x:row r="1017">
      <x:c r="A1017" s="1"/>
      <x:c r="B1017" s="1"/>
      <x:c r="C1017" s="1"/>
      <x:c r="D1017" s="1"/>
      <x:c r="E1017" s="1"/>
      <x:c r="F1017" s="1"/>
      <x:c r="G1017" s="1"/>
    </x:row>
    <x:row r="1018">
      <x:c r="A1018" s="1"/>
      <x:c r="B1018" s="1"/>
      <x:c r="C1018" s="1"/>
      <x:c r="D1018" s="1"/>
      <x:c r="E1018" s="1"/>
      <x:c r="F1018" s="1"/>
      <x:c r="G1018" s="1"/>
    </x:row>
    <x:row r="1019">
      <x:c r="A1019" s="1"/>
      <x:c r="B1019" s="1"/>
      <x:c r="C1019" s="1"/>
      <x:c r="D1019" s="1"/>
      <x:c r="E1019" s="1"/>
      <x:c r="F1019" s="1"/>
      <x:c r="G1019" s="1"/>
    </x:row>
    <x:row r="1020">
      <x:c r="A1020" s="1"/>
      <x:c r="B1020" s="1"/>
      <x:c r="C1020" s="1"/>
      <x:c r="D1020" s="1"/>
      <x:c r="E1020" s="1"/>
      <x:c r="F1020" s="1"/>
      <x:c r="G1020" s="1"/>
    </x:row>
    <x:row r="1021">
      <x:c r="A1021" s="1"/>
      <x:c r="B1021" s="1"/>
      <x:c r="C1021" s="1"/>
      <x:c r="D1021" s="1"/>
      <x:c r="E1021" s="1"/>
      <x:c r="F1021" s="1"/>
      <x:c r="G1021" s="1"/>
    </x:row>
    <x:row r="1022">
      <x:c r="A1022" s="1"/>
      <x:c r="B1022" s="1"/>
      <x:c r="C1022" s="1"/>
      <x:c r="D1022" s="1"/>
      <x:c r="E1022" s="1"/>
      <x:c r="F1022" s="1"/>
      <x:c r="G1022" s="1"/>
    </x:row>
    <x:row r="1023">
      <x:c r="A1023" s="1"/>
      <x:c r="B1023" s="1"/>
      <x:c r="C1023" s="1"/>
      <x:c r="D1023" s="1"/>
      <x:c r="E1023" s="1"/>
      <x:c r="F1023" s="1"/>
      <x:c r="G1023" s="1"/>
    </x:row>
    <x:row r="1024">
      <x:c r="A1024" s="1"/>
      <x:c r="B1024" s="1"/>
      <x:c r="C1024" s="1"/>
      <x:c r="D1024" s="1"/>
      <x:c r="E1024" s="1"/>
      <x:c r="F1024" s="1"/>
      <x:c r="G1024" s="1"/>
    </x:row>
    <x:row r="1025">
      <x:c r="A1025" s="1"/>
      <x:c r="B1025" s="1"/>
      <x:c r="C1025" s="1"/>
      <x:c r="D1025" s="1"/>
      <x:c r="E1025" s="1"/>
      <x:c r="F1025" s="1"/>
      <x:c r="G1025" s="1"/>
    </x:row>
    <x:row r="1026">
      <x:c r="A1026" s="1"/>
      <x:c r="B1026" s="1"/>
      <x:c r="C1026" s="1"/>
      <x:c r="D1026" s="1"/>
      <x:c r="E1026" s="1"/>
      <x:c r="F1026" s="1"/>
      <x:c r="G1026" s="1"/>
    </x:row>
    <x:row r="1027">
      <x:c r="A1027" s="1"/>
      <x:c r="B1027" s="1"/>
      <x:c r="C1027" s="1"/>
      <x:c r="D1027" s="1"/>
      <x:c r="E1027" s="1"/>
      <x:c r="F1027" s="1"/>
      <x:c r="G1027" s="1"/>
    </x:row>
    <x:row r="1028">
      <x:c r="A1028" s="1"/>
      <x:c r="B1028" s="1"/>
      <x:c r="C1028" s="1"/>
      <x:c r="D1028" s="1"/>
      <x:c r="E1028" s="1"/>
      <x:c r="F1028" s="1"/>
      <x:c r="G1028" s="1"/>
    </x:row>
    <x:row r="1029">
      <x:c r="A1029" s="1"/>
      <x:c r="B1029" s="1"/>
      <x:c r="C1029" s="1"/>
      <x:c r="D1029" s="1"/>
      <x:c r="E1029" s="1"/>
      <x:c r="F1029" s="1"/>
      <x:c r="G1029" s="1"/>
    </x:row>
    <x:row r="1030">
      <x:c r="A1030" s="1"/>
      <x:c r="B1030" s="1"/>
      <x:c r="C1030" s="1"/>
      <x:c r="D1030" s="1"/>
      <x:c r="E1030" s="1"/>
      <x:c r="F1030" s="1"/>
      <x:c r="G1030" s="1"/>
    </x:row>
    <x:row r="1031">
      <x:c r="A1031" s="1"/>
      <x:c r="B1031" s="1"/>
      <x:c r="C1031" s="1"/>
      <x:c r="D1031" s="1"/>
      <x:c r="E1031" s="1"/>
      <x:c r="F1031" s="1"/>
      <x:c r="G1031" s="1"/>
    </x:row>
    <x:row r="1032">
      <x:c r="A1032" s="1"/>
      <x:c r="B1032" s="1"/>
      <x:c r="C1032" s="1"/>
      <x:c r="D1032" s="1"/>
      <x:c r="E1032" s="1"/>
      <x:c r="F1032" s="1"/>
      <x:c r="G1032" s="1"/>
    </x:row>
    <x:row r="1033">
      <x:c r="A1033" s="1"/>
      <x:c r="B1033" s="1"/>
      <x:c r="C1033" s="1"/>
      <x:c r="D1033" s="1"/>
      <x:c r="E1033" s="1"/>
      <x:c r="F1033" s="1"/>
      <x:c r="G1033" s="1"/>
    </x:row>
    <x:row r="1034">
      <x:c r="A1034" s="1"/>
      <x:c r="B1034" s="1"/>
      <x:c r="C1034" s="1"/>
      <x:c r="D1034" s="1"/>
      <x:c r="E1034" s="1"/>
      <x:c r="F1034" s="1"/>
      <x:c r="G1034" s="1"/>
    </x:row>
    <x:row r="1035">
      <x:c r="A1035" s="1"/>
      <x:c r="B1035" s="1"/>
      <x:c r="C1035" s="1"/>
      <x:c r="D1035" s="1"/>
      <x:c r="E1035" s="1"/>
      <x:c r="F1035" s="1"/>
      <x:c r="G1035" s="1"/>
    </x:row>
    <x:row r="1036">
      <x:c r="A1036" s="1"/>
      <x:c r="B1036" s="1"/>
      <x:c r="C1036" s="1"/>
      <x:c r="D1036" s="1"/>
      <x:c r="E1036" s="1"/>
      <x:c r="F1036" s="1"/>
      <x:c r="G1036" s="1"/>
    </x:row>
    <x:row r="1037">
      <x:c r="A1037" s="1"/>
      <x:c r="B1037" s="1"/>
      <x:c r="C1037" s="1"/>
      <x:c r="D1037" s="1"/>
      <x:c r="E1037" s="1"/>
      <x:c r="F1037" s="1"/>
      <x:c r="G1037" s="1"/>
    </x:row>
    <x:row r="1038">
      <x:c r="A1038" s="1"/>
      <x:c r="B1038" s="1"/>
      <x:c r="C1038" s="1"/>
      <x:c r="D1038" s="1"/>
      <x:c r="E1038" s="1"/>
      <x:c r="F1038" s="1"/>
      <x:c r="G1038" s="1"/>
    </x:row>
    <x:row r="1039">
      <x:c r="A1039" s="1"/>
      <x:c r="B1039" s="1"/>
      <x:c r="C1039" s="1"/>
      <x:c r="D1039" s="1"/>
      <x:c r="E1039" s="1"/>
      <x:c r="F1039" s="1"/>
      <x:c r="G1039" s="1"/>
    </x:row>
    <x:row r="1040">
      <x:c r="A1040" s="1"/>
      <x:c r="B1040" s="1"/>
      <x:c r="C1040" s="1"/>
      <x:c r="D1040" s="1"/>
      <x:c r="E1040" s="1"/>
      <x:c r="F1040" s="1"/>
      <x:c r="G1040" s="1"/>
    </x:row>
    <x:row r="1041">
      <x:c r="A1041" s="1"/>
      <x:c r="B1041" s="1"/>
      <x:c r="C1041" s="1"/>
      <x:c r="D1041" s="1"/>
      <x:c r="E1041" s="1"/>
      <x:c r="F1041" s="1"/>
      <x:c r="G1041" s="1"/>
    </x:row>
    <x:row r="1042">
      <x:c r="A1042" s="1"/>
      <x:c r="B1042" s="1"/>
      <x:c r="C1042" s="1"/>
      <x:c r="D1042" s="1"/>
      <x:c r="E1042" s="1"/>
      <x:c r="F1042" s="1"/>
      <x:c r="G1042" s="1"/>
    </x:row>
    <x:row r="1043">
      <x:c r="A1043" s="1"/>
      <x:c r="B1043" s="1"/>
      <x:c r="C1043" s="1"/>
      <x:c r="D1043" s="1"/>
      <x:c r="E1043" s="1"/>
      <x:c r="F1043" s="1"/>
      <x:c r="G1043" s="1"/>
    </x:row>
    <x:row r="1044">
      <x:c r="A1044" s="1"/>
      <x:c r="B1044" s="1"/>
      <x:c r="C1044" s="1"/>
      <x:c r="D1044" s="1"/>
      <x:c r="E1044" s="1"/>
      <x:c r="F1044" s="1"/>
      <x:c r="G1044" s="1"/>
    </x:row>
    <x:row r="1045">
      <x:c r="A1045" s="1"/>
      <x:c r="B1045" s="1"/>
      <x:c r="C1045" s="1"/>
      <x:c r="D1045" s="1"/>
      <x:c r="E1045" s="1"/>
      <x:c r="F1045" s="1"/>
      <x:c r="G1045" s="1"/>
    </x:row>
    <x:row r="1046">
      <x:c r="A1046" s="1"/>
      <x:c r="B1046" s="1"/>
      <x:c r="C1046" s="1"/>
      <x:c r="D1046" s="1"/>
      <x:c r="E1046" s="1"/>
      <x:c r="F1046" s="1"/>
      <x:c r="G1046" s="1"/>
    </x:row>
    <x:row r="1047">
      <x:c r="A1047" s="1"/>
      <x:c r="B1047" s="1"/>
      <x:c r="C1047" s="1"/>
      <x:c r="D1047" s="1"/>
      <x:c r="E1047" s="1"/>
      <x:c r="F1047" s="1"/>
      <x:c r="G1047" s="1"/>
    </x:row>
    <x:row r="1048">
      <x:c r="A1048" s="1"/>
      <x:c r="B1048" s="1"/>
      <x:c r="C1048" s="1"/>
      <x:c r="D1048" s="1"/>
      <x:c r="E1048" s="1"/>
      <x:c r="F1048" s="1"/>
      <x:c r="G1048" s="1"/>
    </x:row>
    <x:row r="1049">
      <x:c r="A1049" s="1"/>
      <x:c r="B1049" s="1"/>
      <x:c r="C1049" s="1"/>
      <x:c r="D1049" s="1"/>
      <x:c r="E1049" s="1"/>
      <x:c r="F1049" s="1"/>
      <x:c r="G1049" s="1"/>
    </x:row>
    <x:row r="1050">
      <x:c r="A1050" s="1"/>
      <x:c r="B1050" s="1"/>
      <x:c r="C1050" s="1"/>
      <x:c r="D1050" s="1"/>
      <x:c r="E1050" s="1"/>
      <x:c r="F1050" s="1"/>
      <x:c r="G1050" s="1"/>
    </x:row>
    <x:row r="1051">
      <x:c r="A1051" s="1"/>
      <x:c r="B1051" s="1"/>
      <x:c r="C1051" s="1"/>
      <x:c r="D1051" s="1"/>
      <x:c r="E1051" s="1"/>
      <x:c r="F1051" s="1"/>
      <x:c r="G1051" s="1"/>
    </x:row>
    <x:row r="1052">
      <x:c r="A1052" s="1"/>
      <x:c r="B1052" s="1"/>
      <x:c r="C1052" s="1"/>
      <x:c r="D1052" s="1"/>
      <x:c r="E1052" s="1"/>
      <x:c r="F1052" s="1"/>
      <x:c r="G1052" s="1"/>
    </x:row>
    <x:row r="1053">
      <x:c r="A1053" s="1"/>
      <x:c r="B1053" s="1"/>
      <x:c r="C1053" s="1"/>
      <x:c r="D1053" s="1"/>
      <x:c r="E1053" s="1"/>
      <x:c r="F1053" s="1"/>
      <x:c r="G1053" s="1"/>
    </x:row>
    <x:row r="1054">
      <x:c r="A1054" s="1"/>
      <x:c r="B1054" s="1"/>
      <x:c r="C1054" s="1"/>
      <x:c r="D1054" s="1"/>
      <x:c r="E1054" s="1"/>
      <x:c r="F1054" s="1"/>
      <x:c r="G1054" s="1"/>
    </x:row>
    <x:row r="1055">
      <x:c r="A1055" s="1"/>
      <x:c r="B1055" s="1"/>
      <x:c r="C1055" s="1"/>
      <x:c r="D1055" s="1"/>
      <x:c r="E1055" s="1"/>
      <x:c r="F1055" s="1"/>
      <x:c r="G1055" s="1"/>
    </x:row>
    <x:row r="1056">
      <x:c r="A1056" s="1"/>
      <x:c r="B1056" s="1"/>
      <x:c r="C1056" s="1"/>
      <x:c r="D1056" s="1"/>
      <x:c r="E1056" s="1"/>
      <x:c r="F1056" s="1"/>
      <x:c r="G1056" s="1"/>
    </x:row>
    <x:row r="1057">
      <x:c r="A1057" s="1"/>
      <x:c r="B1057" s="1"/>
      <x:c r="C1057" s="1"/>
      <x:c r="D1057" s="1"/>
      <x:c r="E1057" s="1"/>
      <x:c r="F1057" s="1"/>
      <x:c r="G1057" s="1"/>
    </x:row>
    <x:row r="1058">
      <x:c r="A1058" s="1"/>
      <x:c r="B1058" s="1"/>
      <x:c r="C1058" s="1"/>
      <x:c r="D1058" s="1"/>
      <x:c r="E1058" s="1"/>
      <x:c r="F1058" s="1"/>
      <x:c r="G1058" s="1"/>
    </x:row>
    <x:row r="1059">
      <x:c r="A1059" s="1"/>
      <x:c r="B1059" s="1"/>
      <x:c r="C1059" s="1"/>
      <x:c r="D1059" s="1"/>
      <x:c r="E1059" s="1"/>
      <x:c r="F1059" s="1"/>
      <x:c r="G1059" s="1"/>
    </x:row>
    <x:row r="1060">
      <x:c r="A1060" s="1"/>
      <x:c r="B1060" s="1"/>
      <x:c r="C1060" s="1"/>
      <x:c r="D1060" s="1"/>
      <x:c r="E1060" s="1"/>
      <x:c r="F1060" s="1"/>
      <x:c r="G1060" s="1"/>
    </x:row>
    <x:row r="1061">
      <x:c r="A1061" s="1"/>
      <x:c r="B1061" s="1"/>
      <x:c r="C1061" s="1"/>
      <x:c r="D1061" s="1"/>
      <x:c r="E1061" s="1"/>
      <x:c r="F1061" s="1"/>
      <x:c r="G1061" s="1"/>
    </x:row>
    <x:row r="1062">
      <x:c r="A1062" s="1"/>
      <x:c r="B1062" s="1"/>
      <x:c r="C1062" s="1"/>
      <x:c r="D1062" s="1"/>
      <x:c r="E1062" s="1"/>
      <x:c r="F1062" s="1"/>
      <x:c r="G1062" s="1"/>
    </x:row>
    <x:row r="1063">
      <x:c r="A1063" s="1"/>
      <x:c r="B1063" s="1"/>
      <x:c r="C1063" s="1"/>
      <x:c r="D1063" s="1"/>
      <x:c r="E1063" s="1"/>
      <x:c r="F1063" s="1"/>
      <x:c r="G1063" s="1"/>
    </x:row>
    <x:row r="1064">
      <x:c r="A1064" s="1"/>
      <x:c r="B1064" s="1"/>
      <x:c r="C1064" s="1"/>
      <x:c r="D1064" s="1"/>
      <x:c r="E1064" s="1"/>
      <x:c r="F1064" s="1"/>
      <x:c r="G1064" s="1"/>
    </x:row>
    <x:row r="1065">
      <x:c r="A1065" s="1"/>
      <x:c r="B1065" s="1"/>
      <x:c r="C1065" s="1"/>
      <x:c r="D1065" s="1"/>
      <x:c r="E1065" s="1"/>
      <x:c r="F1065" s="1"/>
      <x:c r="G1065" s="1"/>
    </x:row>
    <x:row r="1066">
      <x:c r="A1066" s="1"/>
      <x:c r="B1066" s="1"/>
      <x:c r="C1066" s="1"/>
      <x:c r="D1066" s="1"/>
      <x:c r="E1066" s="1"/>
      <x:c r="F1066" s="1"/>
      <x:c r="G1066" s="1"/>
    </x:row>
    <x:row r="1067">
      <x:c r="A1067" s="1"/>
      <x:c r="B1067" s="1"/>
      <x:c r="C1067" s="1"/>
      <x:c r="D1067" s="1"/>
      <x:c r="E1067" s="1"/>
      <x:c r="F1067" s="1"/>
      <x:c r="G1067" s="1"/>
    </x:row>
    <x:row r="1068">
      <x:c r="A1068" s="1"/>
      <x:c r="B1068" s="1"/>
      <x:c r="C1068" s="1"/>
      <x:c r="D1068" s="1"/>
      <x:c r="E1068" s="1"/>
      <x:c r="F1068" s="1"/>
      <x:c r="G1068" s="1"/>
    </x:row>
    <x:row r="1069">
      <x:c r="A1069" s="1"/>
      <x:c r="B1069" s="1"/>
      <x:c r="C1069" s="1"/>
      <x:c r="D1069" s="1"/>
      <x:c r="E1069" s="1"/>
      <x:c r="F1069" s="1"/>
      <x:c r="G1069" s="1"/>
    </x:row>
    <x:row r="1070">
      <x:c r="A1070" s="1"/>
      <x:c r="B1070" s="1"/>
      <x:c r="C1070" s="1"/>
      <x:c r="D1070" s="1"/>
      <x:c r="E1070" s="1"/>
      <x:c r="F1070" s="1"/>
      <x:c r="G1070" s="1"/>
    </x:row>
    <x:row r="1071">
      <x:c r="A1071" s="1"/>
      <x:c r="B1071" s="1"/>
      <x:c r="C1071" s="1"/>
      <x:c r="D1071" s="1"/>
      <x:c r="E1071" s="1"/>
      <x:c r="F1071" s="1"/>
      <x:c r="G1071" s="1"/>
    </x:row>
    <x:row r="1072">
      <x:c r="A1072" s="1"/>
      <x:c r="B1072" s="1"/>
      <x:c r="C1072" s="1"/>
      <x:c r="D1072" s="1"/>
      <x:c r="E1072" s="1"/>
      <x:c r="F1072" s="1"/>
      <x:c r="G1072" s="1"/>
    </x:row>
    <x:row r="1073">
      <x:c r="A1073" s="1"/>
      <x:c r="B1073" s="1"/>
      <x:c r="C1073" s="1"/>
      <x:c r="D1073" s="1"/>
      <x:c r="E1073" s="1"/>
      <x:c r="F1073" s="1"/>
      <x:c r="G1073" s="1"/>
    </x:row>
    <x:row r="1074">
      <x:c r="A1074" s="1"/>
      <x:c r="B1074" s="1"/>
      <x:c r="C1074" s="1"/>
      <x:c r="D1074" s="1"/>
      <x:c r="E1074" s="1"/>
      <x:c r="F1074" s="1"/>
      <x:c r="G1074" s="1"/>
    </x:row>
    <x:row r="1075">
      <x:c r="A1075" s="1"/>
      <x:c r="B1075" s="1"/>
      <x:c r="C1075" s="1"/>
      <x:c r="D1075" s="1"/>
      <x:c r="E1075" s="1"/>
      <x:c r="F1075" s="1"/>
      <x:c r="G1075" s="1"/>
    </x:row>
    <x:row r="1076">
      <x:c r="A1076" s="1"/>
      <x:c r="B1076" s="1"/>
      <x:c r="C1076" s="1"/>
      <x:c r="D1076" s="1"/>
      <x:c r="E1076" s="1"/>
      <x:c r="F1076" s="1"/>
      <x:c r="G1076" s="1"/>
    </x:row>
    <x:row r="1077">
      <x:c r="A1077" s="1"/>
      <x:c r="B1077" s="1"/>
      <x:c r="C1077" s="1"/>
      <x:c r="D1077" s="1"/>
      <x:c r="E1077" s="1"/>
      <x:c r="F1077" s="1"/>
      <x:c r="G1077" s="1"/>
    </x:row>
    <x:row r="1078">
      <x:c r="A1078" s="1"/>
      <x:c r="B1078" s="1"/>
      <x:c r="C1078" s="1"/>
      <x:c r="D1078" s="1"/>
      <x:c r="E1078" s="1"/>
      <x:c r="F1078" s="1"/>
      <x:c r="G1078" s="1"/>
    </x:row>
    <x:row r="1079">
      <x:c r="A1079" s="1"/>
      <x:c r="B1079" s="1"/>
      <x:c r="C1079" s="1"/>
      <x:c r="D1079" s="1"/>
      <x:c r="E1079" s="1"/>
      <x:c r="F1079" s="1"/>
      <x:c r="G1079" s="1"/>
    </x:row>
    <x:row r="1080">
      <x:c r="A1080" s="1"/>
      <x:c r="B1080" s="1"/>
      <x:c r="C1080" s="1"/>
      <x:c r="D1080" s="1"/>
      <x:c r="E1080" s="1"/>
      <x:c r="F1080" s="1"/>
      <x:c r="G1080" s="1"/>
    </x:row>
    <x:row r="1081">
      <x:c r="A1081" s="1"/>
      <x:c r="B1081" s="1"/>
      <x:c r="C1081" s="1"/>
      <x:c r="D1081" s="1"/>
      <x:c r="E1081" s="1"/>
      <x:c r="F1081" s="1"/>
      <x:c r="G1081" s="1"/>
    </x:row>
    <x:row r="1082">
      <x:c r="A1082" s="1"/>
      <x:c r="B1082" s="1"/>
      <x:c r="C1082" s="1"/>
      <x:c r="D1082" s="1"/>
      <x:c r="E1082" s="1"/>
      <x:c r="F1082" s="1"/>
      <x:c r="G1082" s="1"/>
    </x:row>
    <x:row r="1083">
      <x:c r="A1083" s="1"/>
      <x:c r="B1083" s="1"/>
      <x:c r="C1083" s="1"/>
      <x:c r="D1083" s="1"/>
      <x:c r="E1083" s="1"/>
      <x:c r="F1083" s="1"/>
      <x:c r="G1083" s="1"/>
    </x:row>
    <x:row r="1084">
      <x:c r="A1084" s="1"/>
      <x:c r="B1084" s="1"/>
      <x:c r="C1084" s="1"/>
      <x:c r="D1084" s="1"/>
      <x:c r="E1084" s="1"/>
      <x:c r="F1084" s="1"/>
      <x:c r="G1084" s="1"/>
    </x:row>
    <x:row r="1085">
      <x:c r="A1085" s="1"/>
      <x:c r="B1085" s="1"/>
      <x:c r="C1085" s="1"/>
      <x:c r="D1085" s="1"/>
      <x:c r="E1085" s="1"/>
      <x:c r="F1085" s="1"/>
      <x:c r="G1085" s="1"/>
    </x:row>
    <x:row r="1086">
      <x:c r="A1086" s="1"/>
      <x:c r="B1086" s="1"/>
      <x:c r="C1086" s="1"/>
      <x:c r="D1086" s="1"/>
      <x:c r="E1086" s="1"/>
      <x:c r="F1086" s="1"/>
      <x:c r="G1086" s="1"/>
    </x:row>
    <x:row r="1087">
      <x:c r="A1087" s="1"/>
      <x:c r="B1087" s="1"/>
      <x:c r="C1087" s="1"/>
      <x:c r="D1087" s="1"/>
      <x:c r="E1087" s="1"/>
      <x:c r="F1087" s="1"/>
      <x:c r="G1087" s="1"/>
    </x:row>
    <x:row r="1088">
      <x:c r="A1088" s="1"/>
      <x:c r="B1088" s="1"/>
      <x:c r="C1088" s="1"/>
      <x:c r="D1088" s="1"/>
      <x:c r="E1088" s="1"/>
      <x:c r="F1088" s="1"/>
      <x:c r="G1088" s="1"/>
    </x:row>
    <x:row r="1089">
      <x:c r="A1089" s="1"/>
      <x:c r="B1089" s="1"/>
      <x:c r="C1089" s="1"/>
      <x:c r="D1089" s="1"/>
      <x:c r="E1089" s="1"/>
      <x:c r="F1089" s="1"/>
      <x:c r="G1089" s="1"/>
    </x:row>
    <x:row r="1090">
      <x:c r="A1090" s="1"/>
      <x:c r="B1090" s="1"/>
      <x:c r="C1090" s="1"/>
      <x:c r="D1090" s="1"/>
      <x:c r="E1090" s="1"/>
      <x:c r="F1090" s="1"/>
      <x:c r="G1090" s="1"/>
    </x:row>
    <x:row r="1091">
      <x:c r="A1091" s="1"/>
      <x:c r="B1091" s="1"/>
      <x:c r="C1091" s="1"/>
      <x:c r="D1091" s="1"/>
      <x:c r="E1091" s="1"/>
      <x:c r="F1091" s="1"/>
      <x:c r="G1091" s="1"/>
    </x:row>
    <x:row r="1092">
      <x:c r="A1092" s="1"/>
      <x:c r="B1092" s="1"/>
      <x:c r="C1092" s="1"/>
      <x:c r="D1092" s="1"/>
      <x:c r="E1092" s="1"/>
      <x:c r="F1092" s="1"/>
      <x:c r="G1092" s="1"/>
    </x:row>
    <x:row r="1093">
      <x:c r="A1093" s="1"/>
      <x:c r="B1093" s="1"/>
      <x:c r="C1093" s="1"/>
      <x:c r="D1093" s="1"/>
      <x:c r="E1093" s="1"/>
      <x:c r="F1093" s="1"/>
      <x:c r="G1093" s="1"/>
    </x:row>
    <x:row r="1094">
      <x:c r="A1094" s="1"/>
      <x:c r="B1094" s="1"/>
      <x:c r="C1094" s="1"/>
      <x:c r="D1094" s="1"/>
      <x:c r="E1094" s="1"/>
      <x:c r="F1094" s="1"/>
      <x:c r="G1094" s="1"/>
    </x:row>
    <x:row r="1095">
      <x:c r="A1095" s="1"/>
      <x:c r="B1095" s="1"/>
      <x:c r="C1095" s="1"/>
      <x:c r="D1095" s="1"/>
      <x:c r="E1095" s="1"/>
      <x:c r="F1095" s="1"/>
      <x:c r="G1095" s="1"/>
    </x:row>
    <x:row r="1096">
      <x:c r="A1096" s="1"/>
      <x:c r="B1096" s="1"/>
      <x:c r="C1096" s="1"/>
      <x:c r="D1096" s="1"/>
      <x:c r="E1096" s="1"/>
      <x:c r="F1096" s="1"/>
      <x:c r="G1096" s="1"/>
    </x:row>
    <x:row r="1097">
      <x:c r="A1097" s="1"/>
      <x:c r="B1097" s="1"/>
      <x:c r="C1097" s="1"/>
      <x:c r="D1097" s="1"/>
      <x:c r="E1097" s="1"/>
      <x:c r="F1097" s="1"/>
      <x:c r="G1097" s="1"/>
    </x:row>
    <x:row r="1098">
      <x:c r="A1098" s="1"/>
      <x:c r="B1098" s="1"/>
      <x:c r="C1098" s="1"/>
      <x:c r="D1098" s="1"/>
      <x:c r="E1098" s="1"/>
      <x:c r="F1098" s="1"/>
      <x:c r="G1098" s="1"/>
    </x:row>
    <x:row r="1099">
      <x:c r="A1099" s="1"/>
      <x:c r="B1099" s="1"/>
      <x:c r="C1099" s="1"/>
      <x:c r="D1099" s="1"/>
      <x:c r="E1099" s="1"/>
      <x:c r="F1099" s="1"/>
      <x:c r="G1099" s="1"/>
    </x:row>
    <x:row r="1100">
      <x:c r="A1100" s="1"/>
      <x:c r="B1100" s="1"/>
      <x:c r="C1100" s="1"/>
      <x:c r="D1100" s="1"/>
      <x:c r="E1100" s="1"/>
      <x:c r="F1100" s="1"/>
      <x:c r="G1100" s="1"/>
    </x:row>
    <x:row r="1101">
      <x:c r="A1101" s="1"/>
      <x:c r="B1101" s="1"/>
      <x:c r="C1101" s="1"/>
      <x:c r="D1101" s="1"/>
      <x:c r="E1101" s="1"/>
      <x:c r="F1101" s="1"/>
      <x:c r="G1101" s="1"/>
    </x:row>
    <x:row r="1102">
      <x:c r="A1102" s="1"/>
      <x:c r="B1102" s="1"/>
      <x:c r="C1102" s="1"/>
      <x:c r="D1102" s="1"/>
      <x:c r="E1102" s="1"/>
      <x:c r="F1102" s="1"/>
      <x:c r="G1102" s="1"/>
    </x:row>
    <x:row r="1103">
      <x:c r="A1103" s="1"/>
      <x:c r="B1103" s="1"/>
      <x:c r="C1103" s="1"/>
      <x:c r="D1103" s="1"/>
      <x:c r="E1103" s="1"/>
      <x:c r="F1103" s="1"/>
      <x:c r="G1103" s="1"/>
    </x:row>
    <x:row r="1104">
      <x:c r="A1104" s="1"/>
      <x:c r="B1104" s="1"/>
      <x:c r="C1104" s="1"/>
      <x:c r="D1104" s="1"/>
      <x:c r="E1104" s="1"/>
      <x:c r="F1104" s="1"/>
      <x:c r="G1104" s="1"/>
    </x:row>
    <x:row r="1105">
      <x:c r="A1105" s="1"/>
      <x:c r="B1105" s="1"/>
      <x:c r="C1105" s="1"/>
      <x:c r="D1105" s="1"/>
      <x:c r="E1105" s="1"/>
      <x:c r="F1105" s="1"/>
      <x:c r="G1105" s="1"/>
    </x:row>
    <x:row r="1106">
      <x:c r="A1106" s="1"/>
      <x:c r="B1106" s="1"/>
      <x:c r="C1106" s="1"/>
      <x:c r="D1106" s="1"/>
      <x:c r="E1106" s="1"/>
      <x:c r="F1106" s="1"/>
      <x:c r="G1106" s="1"/>
    </x:row>
    <x:row r="1107">
      <x:c r="A1107" s="1"/>
      <x:c r="B1107" s="1"/>
      <x:c r="C1107" s="1"/>
      <x:c r="D1107" s="1"/>
      <x:c r="E1107" s="1"/>
      <x:c r="F1107" s="1"/>
      <x:c r="G1107" s="1"/>
    </x:row>
    <x:row r="1108">
      <x:c r="A1108" s="1"/>
      <x:c r="B1108" s="1"/>
      <x:c r="C1108" s="1"/>
      <x:c r="D1108" s="1"/>
      <x:c r="E1108" s="1"/>
      <x:c r="F1108" s="1"/>
      <x:c r="G1108" s="1"/>
    </x:row>
    <x:row r="1109">
      <x:c r="A1109" s="1"/>
      <x:c r="B1109" s="1"/>
      <x:c r="C1109" s="1"/>
      <x:c r="D1109" s="1"/>
      <x:c r="E1109" s="1"/>
      <x:c r="F1109" s="1"/>
      <x:c r="G1109" s="1"/>
    </x:row>
    <x:row r="1110">
      <x:c r="A1110" s="1"/>
      <x:c r="B1110" s="1"/>
      <x:c r="C1110" s="1"/>
      <x:c r="D1110" s="1"/>
      <x:c r="E1110" s="1"/>
      <x:c r="F1110" s="1"/>
      <x:c r="G1110" s="1"/>
    </x:row>
    <x:row r="1111">
      <x:c r="A1111" s="1"/>
      <x:c r="B1111" s="1"/>
      <x:c r="C1111" s="1"/>
      <x:c r="D1111" s="1"/>
      <x:c r="E1111" s="1"/>
      <x:c r="F1111" s="1"/>
      <x:c r="G1111" s="1"/>
    </x:row>
    <x:row r="1112">
      <x:c r="A1112" s="1"/>
      <x:c r="B1112" s="1"/>
      <x:c r="C1112" s="1"/>
      <x:c r="D1112" s="1"/>
      <x:c r="E1112" s="1"/>
      <x:c r="F1112" s="1"/>
      <x:c r="G1112" s="1"/>
    </x:row>
    <x:row r="1113">
      <x:c r="A1113" s="1"/>
      <x:c r="B1113" s="1"/>
      <x:c r="C1113" s="1"/>
      <x:c r="D1113" s="1"/>
      <x:c r="E1113" s="1"/>
      <x:c r="F1113" s="1"/>
      <x:c r="G1113" s="1"/>
    </x:row>
    <x:row r="1114">
      <x:c r="A1114" s="1"/>
      <x:c r="B1114" s="1"/>
      <x:c r="C1114" s="1"/>
      <x:c r="D1114" s="1"/>
      <x:c r="E1114" s="1"/>
      <x:c r="F1114" s="1"/>
      <x:c r="G1114" s="1"/>
    </x:row>
    <x:row r="1115">
      <x:c r="A1115" s="1"/>
      <x:c r="B1115" s="1"/>
      <x:c r="C1115" s="1"/>
      <x:c r="D1115" s="1"/>
      <x:c r="E1115" s="1"/>
      <x:c r="F1115" s="1"/>
      <x:c r="G1115" s="1"/>
    </x:row>
    <x:row r="1116">
      <x:c r="A1116" s="1"/>
      <x:c r="B1116" s="1"/>
      <x:c r="C1116" s="1"/>
      <x:c r="D1116" s="1"/>
      <x:c r="E1116" s="1"/>
      <x:c r="F1116" s="1"/>
      <x:c r="G1116" s="1"/>
    </x:row>
    <x:row r="1117">
      <x:c r="A1117" s="1"/>
      <x:c r="B1117" s="1"/>
      <x:c r="C1117" s="1"/>
      <x:c r="D1117" s="1"/>
      <x:c r="E1117" s="1"/>
      <x:c r="F1117" s="1"/>
      <x:c r="G1117" s="1"/>
    </x:row>
    <x:row r="1118">
      <x:c r="A1118" s="1"/>
      <x:c r="B1118" s="1"/>
      <x:c r="C1118" s="1"/>
      <x:c r="D1118" s="1"/>
      <x:c r="E1118" s="1"/>
      <x:c r="F1118" s="1"/>
      <x:c r="G1118" s="1"/>
    </x:row>
    <x:row r="1119">
      <x:c r="A1119" s="1"/>
      <x:c r="B1119" s="1"/>
      <x:c r="C1119" s="1"/>
      <x:c r="D1119" s="1"/>
      <x:c r="E1119" s="1"/>
      <x:c r="F1119" s="1"/>
      <x:c r="G1119" s="1"/>
    </x:row>
    <x:row r="1120">
      <x:c r="A1120" s="1"/>
      <x:c r="B1120" s="1"/>
      <x:c r="C1120" s="1"/>
      <x:c r="D1120" s="1"/>
      <x:c r="E1120" s="1"/>
      <x:c r="F1120" s="1"/>
      <x:c r="G1120" s="1"/>
    </x:row>
    <x:row r="1121">
      <x:c r="A1121" s="1"/>
      <x:c r="B1121" s="1"/>
      <x:c r="C1121" s="1"/>
      <x:c r="D1121" s="1"/>
      <x:c r="E1121" s="1"/>
      <x:c r="F1121" s="1"/>
      <x:c r="G1121" s="1"/>
    </x:row>
    <x:row r="1122">
      <x:c r="A1122" s="1"/>
      <x:c r="B1122" s="1"/>
      <x:c r="C1122" s="1"/>
      <x:c r="D1122" s="1"/>
      <x:c r="E1122" s="1"/>
      <x:c r="F1122" s="1"/>
      <x:c r="G1122" s="1"/>
    </x:row>
    <x:row r="1123">
      <x:c r="A1123" s="1"/>
      <x:c r="B1123" s="1"/>
      <x:c r="C1123" s="1"/>
      <x:c r="D1123" s="1"/>
      <x:c r="E1123" s="1"/>
      <x:c r="F1123" s="1"/>
      <x:c r="G1123" s="1"/>
    </x:row>
    <x:row r="1124">
      <x:c r="A1124" s="1"/>
      <x:c r="B1124" s="1"/>
      <x:c r="C1124" s="1"/>
      <x:c r="D1124" s="1"/>
      <x:c r="E1124" s="1"/>
      <x:c r="F1124" s="1"/>
      <x:c r="G1124" s="1"/>
    </x:row>
    <x:row r="1125">
      <x:c r="A1125" s="1"/>
      <x:c r="B1125" s="1"/>
      <x:c r="C1125" s="1"/>
      <x:c r="D1125" s="1"/>
      <x:c r="E1125" s="1"/>
      <x:c r="F1125" s="1"/>
      <x:c r="G1125" s="1"/>
    </x:row>
    <x:row r="1126">
      <x:c r="A1126" s="1"/>
      <x:c r="B1126" s="1"/>
      <x:c r="C1126" s="1"/>
      <x:c r="D1126" s="1"/>
      <x:c r="E1126" s="1"/>
      <x:c r="F1126" s="1"/>
      <x:c r="G1126" s="1"/>
    </x:row>
    <x:row r="1127">
      <x:c r="A1127" s="1"/>
      <x:c r="B1127" s="1"/>
      <x:c r="C1127" s="1"/>
      <x:c r="D1127" s="1"/>
      <x:c r="E1127" s="1"/>
      <x:c r="F1127" s="1"/>
      <x:c r="G1127" s="1"/>
    </x:row>
    <x:row r="1128">
      <x:c r="A1128" s="1"/>
      <x:c r="B1128" s="1"/>
      <x:c r="C1128" s="1"/>
      <x:c r="D1128" s="1"/>
      <x:c r="E1128" s="1"/>
      <x:c r="F1128" s="1"/>
      <x:c r="G1128" s="1"/>
    </x:row>
    <x:row r="1129">
      <x:c r="A1129" s="1"/>
      <x:c r="B1129" s="1"/>
      <x:c r="C1129" s="1"/>
      <x:c r="D1129" s="1"/>
      <x:c r="E1129" s="1"/>
      <x:c r="F1129" s="1"/>
      <x:c r="G1129" s="1"/>
    </x:row>
    <x:row r="1130">
      <x:c r="A1130" s="1"/>
      <x:c r="B1130" s="1"/>
      <x:c r="C1130" s="1"/>
      <x:c r="D1130" s="1"/>
      <x:c r="E1130" s="1"/>
      <x:c r="F1130" s="1"/>
      <x:c r="G1130" s="1"/>
    </x:row>
    <x:row r="1131">
      <x:c r="A1131" s="1"/>
      <x:c r="B1131" s="1"/>
      <x:c r="C1131" s="1"/>
      <x:c r="D1131" s="1"/>
      <x:c r="E1131" s="1"/>
      <x:c r="F1131" s="1"/>
      <x:c r="G1131" s="1"/>
    </x:row>
    <x:row r="1132">
      <x:c r="A1132" s="1"/>
      <x:c r="B1132" s="1"/>
      <x:c r="C1132" s="1"/>
      <x:c r="D1132" s="1"/>
      <x:c r="E1132" s="1"/>
      <x:c r="F1132" s="1"/>
      <x:c r="G1132" s="1"/>
    </x:row>
    <x:row r="1133">
      <x:c r="A1133" s="1"/>
      <x:c r="B1133" s="1"/>
      <x:c r="C1133" s="1"/>
      <x:c r="D1133" s="1"/>
      <x:c r="E1133" s="1"/>
      <x:c r="F1133" s="1"/>
      <x:c r="G1133" s="1"/>
    </x:row>
    <x:row r="1134">
      <x:c r="A1134" s="1"/>
      <x:c r="B1134" s="1"/>
      <x:c r="C1134" s="1"/>
      <x:c r="D1134" s="1"/>
      <x:c r="E1134" s="1"/>
      <x:c r="F1134" s="1"/>
      <x:c r="G1134" s="1"/>
    </x:row>
    <x:row r="1135">
      <x:c r="A1135" s="1"/>
      <x:c r="B1135" s="1"/>
      <x:c r="C1135" s="1"/>
      <x:c r="D1135" s="1"/>
      <x:c r="E1135" s="1"/>
      <x:c r="F1135" s="1"/>
      <x:c r="G1135" s="1"/>
    </x:row>
    <x:row r="1136">
      <x:c r="A1136" s="1"/>
      <x:c r="B1136" s="1"/>
      <x:c r="C1136" s="1"/>
      <x:c r="D1136" s="1"/>
      <x:c r="E1136" s="1"/>
      <x:c r="F1136" s="1"/>
      <x:c r="G1136" s="1"/>
    </x:row>
    <x:row r="1137">
      <x:c r="A1137" s="1"/>
      <x:c r="B1137" s="1"/>
      <x:c r="C1137" s="1"/>
      <x:c r="D1137" s="1"/>
      <x:c r="E1137" s="1"/>
      <x:c r="F1137" s="1"/>
      <x:c r="G1137" s="1"/>
    </x:row>
    <x:row r="1138">
      <x:c r="A1138" s="1"/>
      <x:c r="B1138" s="1"/>
      <x:c r="C1138" s="1"/>
      <x:c r="D1138" s="1"/>
      <x:c r="E1138" s="1"/>
      <x:c r="F1138" s="1"/>
      <x:c r="G1138" s="1"/>
    </x:row>
    <x:row r="1139">
      <x:c r="A1139" s="1"/>
      <x:c r="B1139" s="1"/>
      <x:c r="C1139" s="1"/>
      <x:c r="D1139" s="1"/>
      <x:c r="E1139" s="1"/>
      <x:c r="F1139" s="1"/>
      <x:c r="G1139" s="1"/>
    </x:row>
    <x:row r="1140">
      <x:c r="A1140" s="1"/>
      <x:c r="B1140" s="1"/>
      <x:c r="C1140" s="1"/>
      <x:c r="D1140" s="1"/>
      <x:c r="E1140" s="1"/>
      <x:c r="F1140" s="1"/>
      <x:c r="G1140" s="1"/>
    </x:row>
    <x:row r="1141">
      <x:c r="A1141" s="1"/>
      <x:c r="B1141" s="1"/>
      <x:c r="C1141" s="1"/>
      <x:c r="D1141" s="1"/>
      <x:c r="E1141" s="1"/>
      <x:c r="F1141" s="1"/>
      <x:c r="G1141" s="1"/>
    </x:row>
    <x:row r="1142">
      <x:c r="A1142" s="1"/>
      <x:c r="B1142" s="1"/>
      <x:c r="C1142" s="1"/>
      <x:c r="D1142" s="1"/>
      <x:c r="E1142" s="1"/>
      <x:c r="F1142" s="1"/>
      <x:c r="G1142" s="1"/>
    </x:row>
    <x:row r="1143">
      <x:c r="A1143" s="1"/>
      <x:c r="B1143" s="1"/>
      <x:c r="C1143" s="1"/>
      <x:c r="D1143" s="1"/>
      <x:c r="E1143" s="1"/>
      <x:c r="F1143" s="1"/>
      <x:c r="G1143" s="1"/>
    </x:row>
    <x:row r="1144">
      <x:c r="A1144" s="1"/>
      <x:c r="B1144" s="1"/>
      <x:c r="C1144" s="1"/>
      <x:c r="D1144" s="1"/>
      <x:c r="E1144" s="1"/>
      <x:c r="F1144" s="1"/>
      <x:c r="G1144" s="1"/>
    </x:row>
    <x:row r="1145">
      <x:c r="A1145" s="1"/>
      <x:c r="B1145" s="1"/>
      <x:c r="C1145" s="1"/>
      <x:c r="D1145" s="1"/>
      <x:c r="E1145" s="1"/>
      <x:c r="F1145" s="1"/>
      <x:c r="G1145" s="1"/>
    </x:row>
    <x:row r="1146">
      <x:c r="A1146" s="1"/>
      <x:c r="B1146" s="1"/>
      <x:c r="C1146" s="1"/>
      <x:c r="D1146" s="1"/>
      <x:c r="E1146" s="1"/>
      <x:c r="F1146" s="1"/>
      <x:c r="G1146" s="1"/>
    </x:row>
    <x:row r="1147">
      <x:c r="A1147" s="1"/>
      <x:c r="B1147" s="1"/>
      <x:c r="C1147" s="1"/>
      <x:c r="D1147" s="1"/>
      <x:c r="E1147" s="1"/>
      <x:c r="F1147" s="1"/>
      <x:c r="G1147" s="1"/>
    </x:row>
    <x:row r="1148">
      <x:c r="A1148" s="1"/>
      <x:c r="B1148" s="1"/>
      <x:c r="C1148" s="1"/>
      <x:c r="D1148" s="1"/>
      <x:c r="E1148" s="1"/>
      <x:c r="F1148" s="1"/>
      <x:c r="G1148" s="1"/>
    </x:row>
    <x:row r="1149">
      <x:c r="A1149" s="1"/>
      <x:c r="B1149" s="1"/>
      <x:c r="C1149" s="1"/>
      <x:c r="D1149" s="1"/>
      <x:c r="E1149" s="1"/>
      <x:c r="F1149" s="1"/>
      <x:c r="G1149" s="1"/>
    </x:row>
    <x:row r="1150">
      <x:c r="A1150" s="1"/>
      <x:c r="B1150" s="1"/>
      <x:c r="C1150" s="1"/>
      <x:c r="D1150" s="1"/>
      <x:c r="E1150" s="1"/>
      <x:c r="F1150" s="1"/>
      <x:c r="G1150" s="1"/>
    </x:row>
    <x:row r="1151">
      <x:c r="A1151" s="1"/>
      <x:c r="B1151" s="1"/>
      <x:c r="C1151" s="1"/>
      <x:c r="D1151" s="1"/>
      <x:c r="E1151" s="1"/>
      <x:c r="F1151" s="1"/>
      <x:c r="G1151" s="1"/>
    </x:row>
    <x:row r="1152">
      <x:c r="A1152" s="1"/>
      <x:c r="B1152" s="1"/>
      <x:c r="C1152" s="1"/>
      <x:c r="D1152" s="1"/>
      <x:c r="E1152" s="1"/>
      <x:c r="F1152" s="1"/>
      <x:c r="G1152" s="1"/>
    </x:row>
    <x:row r="1153">
      <x:c r="A1153" s="1"/>
      <x:c r="B1153" s="1"/>
      <x:c r="C1153" s="1"/>
      <x:c r="D1153" s="1"/>
      <x:c r="E1153" s="1"/>
      <x:c r="F1153" s="1"/>
      <x:c r="G1153" s="1"/>
    </x:row>
    <x:row r="1154">
      <x:c r="A1154" s="1"/>
      <x:c r="B1154" s="1"/>
      <x:c r="C1154" s="1"/>
      <x:c r="D1154" s="1"/>
      <x:c r="E1154" s="1"/>
      <x:c r="F1154" s="1"/>
      <x:c r="G1154" s="1"/>
    </x:row>
    <x:row r="1155">
      <x:c r="A1155" s="1"/>
      <x:c r="B1155" s="1"/>
      <x:c r="C1155" s="1"/>
      <x:c r="D1155" s="1"/>
      <x:c r="E1155" s="1"/>
      <x:c r="F1155" s="1"/>
      <x:c r="G1155" s="1"/>
    </x:row>
    <x:row r="1156">
      <x:c r="A1156" s="1"/>
      <x:c r="B1156" s="1"/>
      <x:c r="C1156" s="1"/>
      <x:c r="D1156" s="1"/>
      <x:c r="E1156" s="1"/>
      <x:c r="F1156" s="1"/>
      <x:c r="G1156" s="1"/>
    </x:row>
    <x:row r="1157">
      <x:c r="A1157" s="1"/>
      <x:c r="B1157" s="1"/>
      <x:c r="C1157" s="1"/>
      <x:c r="D1157" s="1"/>
      <x:c r="E1157" s="1"/>
      <x:c r="F1157" s="1"/>
      <x:c r="G1157" s="1"/>
    </x:row>
    <x:row r="1158">
      <x:c r="A1158" s="1"/>
      <x:c r="B1158" s="1"/>
      <x:c r="C1158" s="1"/>
      <x:c r="D1158" s="1"/>
      <x:c r="E1158" s="1"/>
      <x:c r="F1158" s="1"/>
      <x:c r="G1158" s="1"/>
    </x:row>
    <x:row r="1159">
      <x:c r="A1159" s="1"/>
      <x:c r="B1159" s="1"/>
      <x:c r="C1159" s="1"/>
      <x:c r="D1159" s="1"/>
      <x:c r="E1159" s="1"/>
      <x:c r="F1159" s="1"/>
      <x:c r="G1159" s="1"/>
    </x:row>
    <x:row r="1160">
      <x:c r="A1160" s="1"/>
      <x:c r="B1160" s="1"/>
      <x:c r="C1160" s="1"/>
      <x:c r="D1160" s="1"/>
      <x:c r="E1160" s="1"/>
      <x:c r="F1160" s="1"/>
      <x:c r="G1160" s="1"/>
    </x:row>
    <x:row r="1161">
      <x:c r="A1161" s="1"/>
      <x:c r="B1161" s="1"/>
      <x:c r="C1161" s="1"/>
      <x:c r="D1161" s="1"/>
      <x:c r="E1161" s="1"/>
      <x:c r="F1161" s="1"/>
      <x:c r="G1161" s="1"/>
    </x:row>
    <x:row r="1162">
      <x:c r="A1162" s="1"/>
      <x:c r="B1162" s="1"/>
      <x:c r="C1162" s="1"/>
      <x:c r="D1162" s="1"/>
      <x:c r="E1162" s="1"/>
      <x:c r="F1162" s="1"/>
      <x:c r="G1162" s="1"/>
    </x:row>
    <x:row r="1163">
      <x:c r="A1163" s="1"/>
      <x:c r="B1163" s="1"/>
      <x:c r="C1163" s="1"/>
      <x:c r="D1163" s="1"/>
      <x:c r="E1163" s="1"/>
      <x:c r="F1163" s="1"/>
      <x:c r="G1163" s="1"/>
    </x:row>
    <x:row r="1164">
      <x:c r="A1164" s="1"/>
      <x:c r="B1164" s="1"/>
      <x:c r="C1164" s="1"/>
      <x:c r="D1164" s="1"/>
      <x:c r="E1164" s="1"/>
      <x:c r="F1164" s="1"/>
      <x:c r="G1164" s="1"/>
    </x:row>
    <x:row r="1165">
      <x:c r="A1165" s="1"/>
      <x:c r="B1165" s="1"/>
      <x:c r="C1165" s="1"/>
      <x:c r="D1165" s="1"/>
      <x:c r="E1165" s="1"/>
      <x:c r="F1165" s="1"/>
      <x:c r="G1165" s="1"/>
    </x:row>
    <x:row r="1166">
      <x:c r="A1166" s="1"/>
      <x:c r="B1166" s="1"/>
      <x:c r="C1166" s="1"/>
      <x:c r="D1166" s="1"/>
      <x:c r="E1166" s="1"/>
      <x:c r="F1166" s="1"/>
      <x:c r="G1166" s="1"/>
    </x:row>
    <x:row r="1167">
      <x:c r="A1167" s="1"/>
      <x:c r="B1167" s="1"/>
      <x:c r="C1167" s="1"/>
      <x:c r="D1167" s="1"/>
      <x:c r="E1167" s="1"/>
      <x:c r="F1167" s="1"/>
      <x:c r="G1167" s="1"/>
    </x:row>
    <x:row r="1168">
      <x:c r="A1168" s="1"/>
      <x:c r="B1168" s="1"/>
      <x:c r="C1168" s="1"/>
      <x:c r="D1168" s="1"/>
      <x:c r="E1168" s="1"/>
      <x:c r="F1168" s="1"/>
      <x:c r="G1168" s="1"/>
    </x:row>
    <x:row r="1169">
      <x:c r="A1169" s="1"/>
      <x:c r="B1169" s="1"/>
      <x:c r="C1169" s="1"/>
      <x:c r="D1169" s="1"/>
      <x:c r="E1169" s="1"/>
      <x:c r="F1169" s="1"/>
      <x:c r="G1169" s="1"/>
    </x:row>
    <x:row r="1170">
      <x:c r="A1170" s="1"/>
      <x:c r="B1170" s="1"/>
      <x:c r="C1170" s="1"/>
      <x:c r="D1170" s="1"/>
      <x:c r="E1170" s="1"/>
      <x:c r="F1170" s="1"/>
      <x:c r="G1170" s="1"/>
    </x:row>
    <x:row r="1171">
      <x:c r="A1171" s="1"/>
      <x:c r="B1171" s="1"/>
      <x:c r="C1171" s="1"/>
      <x:c r="D1171" s="1"/>
      <x:c r="E1171" s="1"/>
      <x:c r="F1171" s="1"/>
      <x:c r="G1171" s="1"/>
    </x:row>
    <x:row r="1172">
      <x:c r="A1172" s="1"/>
      <x:c r="B1172" s="1"/>
      <x:c r="C1172" s="1"/>
      <x:c r="D1172" s="1"/>
      <x:c r="E1172" s="1"/>
      <x:c r="F1172" s="1"/>
      <x:c r="G1172" s="1"/>
    </x:row>
    <x:row r="1173">
      <x:c r="A1173" s="1"/>
      <x:c r="B1173" s="1"/>
      <x:c r="C1173" s="1"/>
      <x:c r="D1173" s="1"/>
      <x:c r="E1173" s="1"/>
      <x:c r="F1173" s="1"/>
      <x:c r="G1173" s="1"/>
    </x:row>
    <x:row r="1174">
      <x:c r="A1174" s="1"/>
      <x:c r="B1174" s="1"/>
      <x:c r="C1174" s="1"/>
      <x:c r="D1174" s="1"/>
      <x:c r="E1174" s="1"/>
      <x:c r="F1174" s="1"/>
      <x:c r="G1174" s="1"/>
    </x:row>
    <x:row r="1175">
      <x:c r="A1175" s="1"/>
      <x:c r="B1175" s="1"/>
      <x:c r="C1175" s="1"/>
      <x:c r="D1175" s="1"/>
      <x:c r="E1175" s="1"/>
      <x:c r="F1175" s="1"/>
      <x:c r="G1175" s="1"/>
    </x:row>
    <x:row r="1176">
      <x:c r="A1176" s="1"/>
      <x:c r="B1176" s="1"/>
      <x:c r="C1176" s="1"/>
      <x:c r="D1176" s="1"/>
      <x:c r="E1176" s="1"/>
      <x:c r="F1176" s="1"/>
      <x:c r="G1176" s="1"/>
    </x:row>
    <x:row r="1177">
      <x:c r="A1177" s="1"/>
      <x:c r="B1177" s="1"/>
      <x:c r="C1177" s="1"/>
      <x:c r="D1177" s="1"/>
      <x:c r="E1177" s="1"/>
      <x:c r="F1177" s="1"/>
      <x:c r="G1177" s="1"/>
    </x:row>
    <x:row r="1178">
      <x:c r="A1178" s="1"/>
      <x:c r="B1178" s="1"/>
      <x:c r="C1178" s="1"/>
      <x:c r="D1178" s="1"/>
      <x:c r="E1178" s="1"/>
      <x:c r="F1178" s="1"/>
      <x:c r="G1178" s="1"/>
    </x:row>
    <x:row r="1179">
      <x:c r="A1179" s="1"/>
      <x:c r="B1179" s="1"/>
      <x:c r="C1179" s="1"/>
      <x:c r="D1179" s="1"/>
      <x:c r="E1179" s="1"/>
      <x:c r="F1179" s="1"/>
      <x:c r="G1179" s="1"/>
    </x:row>
    <x:row r="1180">
      <x:c r="A1180" s="1"/>
      <x:c r="B1180" s="1"/>
      <x:c r="C1180" s="1"/>
      <x:c r="D1180" s="1"/>
      <x:c r="E1180" s="1"/>
      <x:c r="F1180" s="1"/>
      <x:c r="G1180" s="1"/>
    </x:row>
    <x:row r="1181">
      <x:c r="A1181" s="1"/>
      <x:c r="B1181" s="1"/>
      <x:c r="C1181" s="1"/>
      <x:c r="D1181" s="1"/>
      <x:c r="E1181" s="1"/>
      <x:c r="F1181" s="1"/>
      <x:c r="G1181" s="1"/>
    </x:row>
    <x:row r="1182">
      <x:c r="A1182" s="1"/>
      <x:c r="B1182" s="1"/>
      <x:c r="C1182" s="1"/>
      <x:c r="D1182" s="1"/>
      <x:c r="E1182" s="1"/>
      <x:c r="F1182" s="1"/>
      <x:c r="G1182" s="1"/>
    </x:row>
    <x:row r="1183">
      <x:c r="A1183" s="1"/>
      <x:c r="B1183" s="1"/>
      <x:c r="C1183" s="1"/>
      <x:c r="D1183" s="1"/>
      <x:c r="E1183" s="1"/>
      <x:c r="F1183" s="1"/>
      <x:c r="G1183" s="1"/>
    </x:row>
    <x:row r="1184">
      <x:c r="A1184" s="1"/>
      <x:c r="B1184" s="1"/>
      <x:c r="C1184" s="1"/>
      <x:c r="D1184" s="1"/>
      <x:c r="E1184" s="1"/>
      <x:c r="F1184" s="1"/>
      <x:c r="G1184" s="1"/>
    </x:row>
    <x:row r="1185">
      <x:c r="A1185" s="1"/>
      <x:c r="B1185" s="1"/>
      <x:c r="C1185" s="1"/>
      <x:c r="D1185" s="1"/>
      <x:c r="E1185" s="1"/>
      <x:c r="F1185" s="1"/>
      <x:c r="G1185" s="1"/>
    </x:row>
    <x:row r="1186">
      <x:c r="A1186" s="1"/>
      <x:c r="B1186" s="1"/>
      <x:c r="C1186" s="1"/>
      <x:c r="D1186" s="1"/>
      <x:c r="E1186" s="1"/>
      <x:c r="F1186" s="1"/>
      <x:c r="G1186" s="1"/>
    </x:row>
    <x:row r="1187">
      <x:c r="A1187" s="1"/>
      <x:c r="B1187" s="1"/>
      <x:c r="C1187" s="1"/>
      <x:c r="D1187" s="1"/>
      <x:c r="E1187" s="1"/>
      <x:c r="F1187" s="1"/>
      <x:c r="G1187" s="1"/>
    </x:row>
    <x:row r="1188">
      <x:c r="A1188" s="1"/>
      <x:c r="B1188" s="1"/>
      <x:c r="C1188" s="1"/>
      <x:c r="D1188" s="1"/>
      <x:c r="E1188" s="1"/>
      <x:c r="F1188" s="1"/>
      <x:c r="G1188" s="1"/>
    </x:row>
    <x:row r="1189">
      <x:c r="A1189" s="1"/>
      <x:c r="B1189" s="1"/>
      <x:c r="C1189" s="1"/>
      <x:c r="D1189" s="1"/>
      <x:c r="E1189" s="1"/>
      <x:c r="F1189" s="1"/>
      <x:c r="G1189" s="1"/>
    </x:row>
    <x:row r="1190">
      <x:c r="A1190" s="1"/>
      <x:c r="B1190" s="1"/>
      <x:c r="C1190" s="1"/>
      <x:c r="D1190" s="1"/>
      <x:c r="E1190" s="1"/>
      <x:c r="F1190" s="1"/>
      <x:c r="G1190" s="1"/>
    </x:row>
    <x:row r="1191">
      <x:c r="A1191" s="1"/>
      <x:c r="B1191" s="1"/>
      <x:c r="C1191" s="1"/>
      <x:c r="D1191" s="1"/>
      <x:c r="E1191" s="1"/>
      <x:c r="F1191" s="1"/>
      <x:c r="G1191" s="1"/>
    </x:row>
    <x:row r="1192">
      <x:c r="A1192" s="1"/>
      <x:c r="B1192" s="1"/>
      <x:c r="C1192" s="1"/>
      <x:c r="D1192" s="1"/>
      <x:c r="E1192" s="1"/>
      <x:c r="F1192" s="1"/>
      <x:c r="G1192" s="1"/>
    </x:row>
    <x:row r="1193">
      <x:c r="A1193" s="1"/>
      <x:c r="B1193" s="1"/>
      <x:c r="C1193" s="1"/>
      <x:c r="D1193" s="1"/>
      <x:c r="E1193" s="1"/>
      <x:c r="F1193" s="1"/>
      <x:c r="G1193" s="1"/>
    </x:row>
    <x:row r="1194">
      <x:c r="A1194" s="1"/>
      <x:c r="B1194" s="1"/>
      <x:c r="C1194" s="1"/>
      <x:c r="D1194" s="1"/>
      <x:c r="E1194" s="1"/>
      <x:c r="F1194" s="1"/>
      <x:c r="G1194" s="1"/>
    </x:row>
    <x:row r="1195">
      <x:c r="A1195" s="1"/>
      <x:c r="B1195" s="1"/>
      <x:c r="C1195" s="1"/>
      <x:c r="D1195" s="1"/>
      <x:c r="E1195" s="1"/>
      <x:c r="F1195" s="1"/>
      <x:c r="G1195" s="1"/>
    </x:row>
    <x:row r="1196">
      <x:c r="A1196" s="1"/>
      <x:c r="B1196" s="1"/>
      <x:c r="C1196" s="1"/>
      <x:c r="D1196" s="1"/>
      <x:c r="E1196" s="1"/>
      <x:c r="F1196" s="1"/>
      <x:c r="G1196" s="1"/>
    </x:row>
    <x:row r="1197">
      <x:c r="A1197" s="1"/>
      <x:c r="B1197" s="1"/>
      <x:c r="C1197" s="1"/>
      <x:c r="D1197" s="1"/>
      <x:c r="E1197" s="1"/>
      <x:c r="F1197" s="1"/>
      <x:c r="G1197" s="1"/>
    </x:row>
    <x:row r="1198">
      <x:c r="A1198" s="1"/>
      <x:c r="B1198" s="1"/>
      <x:c r="C1198" s="1"/>
      <x:c r="D1198" s="1"/>
      <x:c r="E1198" s="1"/>
      <x:c r="F1198" s="1"/>
      <x:c r="G1198" s="1"/>
    </x:row>
    <x:row r="1199">
      <x:c r="A1199" s="1"/>
      <x:c r="B1199" s="1"/>
      <x:c r="C1199" s="1"/>
      <x:c r="D1199" s="1"/>
      <x:c r="E1199" s="1"/>
      <x:c r="F1199" s="1"/>
      <x:c r="G1199" s="1"/>
    </x:row>
    <x:row r="1200">
      <x:c r="A1200" s="1"/>
      <x:c r="B1200" s="1"/>
      <x:c r="C1200" s="1"/>
      <x:c r="D1200" s="1"/>
      <x:c r="E1200" s="1"/>
      <x:c r="F1200" s="1"/>
      <x:c r="G1200" s="1"/>
    </x:row>
    <x:row r="1201">
      <x:c r="A1201" s="1"/>
      <x:c r="B1201" s="1"/>
      <x:c r="C1201" s="1"/>
      <x:c r="D1201" s="1"/>
      <x:c r="E1201" s="1"/>
      <x:c r="F1201" s="1"/>
      <x:c r="G1201" s="1"/>
    </x:row>
    <x:row r="1202">
      <x:c r="A1202" s="1"/>
      <x:c r="B1202" s="1"/>
      <x:c r="C1202" s="1"/>
      <x:c r="D1202" s="1"/>
      <x:c r="E1202" s="1"/>
      <x:c r="F1202" s="1"/>
      <x:c r="G1202" s="1"/>
    </x:row>
    <x:row r="1203">
      <x:c r="A1203" s="1"/>
      <x:c r="B1203" s="1"/>
      <x:c r="C1203" s="1"/>
      <x:c r="D1203" s="1"/>
      <x:c r="E1203" s="1"/>
      <x:c r="F1203" s="1"/>
      <x:c r="G1203" s="1"/>
    </x:row>
    <x:row r="1204">
      <x:c r="A1204" s="1"/>
      <x:c r="B1204" s="1"/>
      <x:c r="C1204" s="1"/>
      <x:c r="D1204" s="1"/>
      <x:c r="E1204" s="1"/>
      <x:c r="F1204" s="1"/>
      <x:c r="G1204" s="1"/>
    </x:row>
    <x:row r="1205">
      <x:c r="A1205" s="1"/>
      <x:c r="B1205" s="1"/>
      <x:c r="C1205" s="1"/>
      <x:c r="D1205" s="1"/>
      <x:c r="E1205" s="1"/>
      <x:c r="F1205" s="1"/>
      <x:c r="G1205" s="1"/>
    </x:row>
    <x:row r="1206">
      <x:c r="A1206" s="1"/>
      <x:c r="B1206" s="1"/>
      <x:c r="C1206" s="1"/>
      <x:c r="D1206" s="1"/>
      <x:c r="E1206" s="1"/>
      <x:c r="F1206" s="1"/>
      <x:c r="G1206" s="1"/>
    </x:row>
    <x:row r="1207">
      <x:c r="A1207" s="1"/>
      <x:c r="B1207" s="1"/>
      <x:c r="C1207" s="1"/>
      <x:c r="D1207" s="1"/>
      <x:c r="E1207" s="1"/>
      <x:c r="F1207" s="1"/>
      <x:c r="G1207" s="1"/>
    </x:row>
    <x:row r="1208">
      <x:c r="A1208" s="1"/>
      <x:c r="B1208" s="1"/>
      <x:c r="C1208" s="1"/>
      <x:c r="D1208" s="1"/>
      <x:c r="E1208" s="1"/>
      <x:c r="F1208" s="1"/>
      <x:c r="G1208" s="1"/>
    </x:row>
    <x:row r="1209">
      <x:c r="A1209" s="1"/>
      <x:c r="B1209" s="1"/>
      <x:c r="C1209" s="1"/>
      <x:c r="D1209" s="1"/>
      <x:c r="E1209" s="1"/>
      <x:c r="F1209" s="1"/>
      <x:c r="G1209" s="1"/>
    </x:row>
    <x:row r="1210">
      <x:c r="A1210" s="1"/>
      <x:c r="B1210" s="1"/>
      <x:c r="C1210" s="1"/>
      <x:c r="D1210" s="1"/>
      <x:c r="E1210" s="1"/>
      <x:c r="F1210" s="1"/>
      <x:c r="G1210" s="1"/>
    </x:row>
    <x:row r="1211">
      <x:c r="A1211" s="1"/>
      <x:c r="B1211" s="1"/>
      <x:c r="C1211" s="1"/>
      <x:c r="D1211" s="1"/>
      <x:c r="E1211" s="1"/>
      <x:c r="F1211" s="1"/>
      <x:c r="G1211" s="1"/>
    </x:row>
    <x:row r="1212">
      <x:c r="A1212" s="1"/>
      <x:c r="B1212" s="1"/>
      <x:c r="C1212" s="1"/>
      <x:c r="D1212" s="1"/>
      <x:c r="E1212" s="1"/>
      <x:c r="F1212" s="1"/>
      <x:c r="G1212" s="1"/>
    </x:row>
    <x:row r="1213">
      <x:c r="A1213" s="1"/>
      <x:c r="B1213" s="1"/>
      <x:c r="C1213" s="1"/>
      <x:c r="D1213" s="1"/>
      <x:c r="E1213" s="1"/>
      <x:c r="F1213" s="1"/>
      <x:c r="G1213" s="1"/>
    </x:row>
    <x:row r="1214">
      <x:c r="A1214" s="1"/>
      <x:c r="B1214" s="1"/>
      <x:c r="C1214" s="1"/>
      <x:c r="D1214" s="1"/>
      <x:c r="E1214" s="1"/>
      <x:c r="F1214" s="1"/>
      <x:c r="G1214" s="1"/>
    </x:row>
    <x:row r="1215">
      <x:c r="A1215" s="1"/>
      <x:c r="B1215" s="1"/>
      <x:c r="C1215" s="1"/>
      <x:c r="D1215" s="1"/>
      <x:c r="E1215" s="1"/>
      <x:c r="F1215" s="1"/>
      <x:c r="G1215" s="1"/>
    </x:row>
    <x:row r="1216">
      <x:c r="A1216" s="1"/>
      <x:c r="B1216" s="1"/>
      <x:c r="C1216" s="1"/>
      <x:c r="D1216" s="1"/>
      <x:c r="E1216" s="1"/>
      <x:c r="F1216" s="1"/>
      <x:c r="G1216" s="1"/>
    </x:row>
    <x:row r="1217">
      <x:c r="A1217" s="1"/>
      <x:c r="B1217" s="1"/>
      <x:c r="C1217" s="1"/>
      <x:c r="D1217" s="1"/>
      <x:c r="E1217" s="1"/>
      <x:c r="F1217" s="1"/>
      <x:c r="G1217" s="1"/>
    </x:row>
    <x:row r="1218">
      <x:c r="A1218" s="1"/>
      <x:c r="B1218" s="1"/>
      <x:c r="C1218" s="1"/>
      <x:c r="D1218" s="1"/>
      <x:c r="E1218" s="1"/>
      <x:c r="F1218" s="1"/>
      <x:c r="G1218" s="1"/>
    </x:row>
    <x:row r="1219">
      <x:c r="A1219" s="1"/>
      <x:c r="B1219" s="1"/>
      <x:c r="C1219" s="1"/>
      <x:c r="D1219" s="1"/>
      <x:c r="E1219" s="1"/>
      <x:c r="F1219" s="1"/>
      <x:c r="G1219" s="1"/>
    </x:row>
    <x:row r="1220">
      <x:c r="A1220" s="1"/>
      <x:c r="B1220" s="1"/>
      <x:c r="C1220" s="1"/>
      <x:c r="D1220" s="1"/>
      <x:c r="E1220" s="1"/>
      <x:c r="F1220" s="1"/>
      <x:c r="G1220" s="1"/>
    </x:row>
    <x:row r="1221">
      <x:c r="A1221" s="1"/>
      <x:c r="B1221" s="1"/>
      <x:c r="C1221" s="1"/>
      <x:c r="D1221" s="1"/>
      <x:c r="E1221" s="1"/>
      <x:c r="F1221" s="1"/>
      <x:c r="G1221" s="1"/>
    </x:row>
    <x:row r="1222">
      <x:c r="A1222" s="1"/>
      <x:c r="B1222" s="1"/>
      <x:c r="C1222" s="1"/>
      <x:c r="D1222" s="1"/>
      <x:c r="E1222" s="1"/>
      <x:c r="F1222" s="1"/>
      <x:c r="G1222" s="1"/>
    </x:row>
    <x:row r="1223">
      <x:c r="A1223" s="1"/>
      <x:c r="B1223" s="1"/>
      <x:c r="C1223" s="1"/>
      <x:c r="D1223" s="1"/>
      <x:c r="E1223" s="1"/>
      <x:c r="F1223" s="1"/>
      <x:c r="G1223" s="1"/>
    </x:row>
    <x:row r="1224">
      <x:c r="A1224" s="1"/>
      <x:c r="B1224" s="1"/>
      <x:c r="C1224" s="1"/>
      <x:c r="D1224" s="1"/>
      <x:c r="E1224" s="1"/>
      <x:c r="F1224" s="1"/>
      <x:c r="G1224" s="1"/>
    </x:row>
    <x:row r="1225">
      <x:c r="A1225" s="1"/>
      <x:c r="B1225" s="1"/>
      <x:c r="C1225" s="1"/>
      <x:c r="D1225" s="1"/>
      <x:c r="E1225" s="1"/>
      <x:c r="F1225" s="1"/>
      <x:c r="G1225" s="1"/>
    </x:row>
    <x:row r="1226">
      <x:c r="A1226" s="1"/>
      <x:c r="B1226" s="1"/>
      <x:c r="C1226" s="1"/>
      <x:c r="D1226" s="1"/>
      <x:c r="E1226" s="1"/>
      <x:c r="F1226" s="1"/>
      <x:c r="G1226" s="1"/>
    </x:row>
    <x:row r="1227">
      <x:c r="A1227" s="1"/>
      <x:c r="B1227" s="1"/>
      <x:c r="C1227" s="1"/>
      <x:c r="D1227" s="1"/>
      <x:c r="E1227" s="1"/>
      <x:c r="F1227" s="1"/>
      <x:c r="G1227" s="1"/>
    </x:row>
    <x:row r="1228">
      <x:c r="A1228" s="1"/>
      <x:c r="B1228" s="1"/>
      <x:c r="C1228" s="1"/>
      <x:c r="D1228" s="1"/>
      <x:c r="E1228" s="1"/>
      <x:c r="F1228" s="1"/>
      <x:c r="G1228" s="1"/>
    </x:row>
    <x:row r="1229">
      <x:c r="A1229" s="1"/>
      <x:c r="B1229" s="1"/>
      <x:c r="C1229" s="1"/>
      <x:c r="D1229" s="1"/>
      <x:c r="E1229" s="1"/>
      <x:c r="F1229" s="1"/>
      <x:c r="G1229" s="1"/>
    </x:row>
    <x:row r="1230">
      <x:c r="A1230" s="1"/>
      <x:c r="B1230" s="1"/>
      <x:c r="C1230" s="1"/>
      <x:c r="D1230" s="1"/>
      <x:c r="E1230" s="1"/>
      <x:c r="F1230" s="1"/>
      <x:c r="G1230" s="1"/>
    </x:row>
    <x:row r="1231">
      <x:c r="A1231" s="1"/>
      <x:c r="B1231" s="1"/>
      <x:c r="C1231" s="1"/>
      <x:c r="D1231" s="1"/>
      <x:c r="E1231" s="1"/>
      <x:c r="F1231" s="1"/>
      <x:c r="G1231" s="1"/>
    </x:row>
    <x:row r="1232">
      <x:c r="A1232" s="1"/>
      <x:c r="B1232" s="1"/>
      <x:c r="C1232" s="1"/>
      <x:c r="D1232" s="1"/>
      <x:c r="E1232" s="1"/>
      <x:c r="F1232" s="1"/>
      <x:c r="G1232" s="1"/>
    </x:row>
    <x:row r="1233">
      <x:c r="A1233" s="1"/>
      <x:c r="B1233" s="1"/>
      <x:c r="C1233" s="1"/>
      <x:c r="D1233" s="1"/>
      <x:c r="E1233" s="1"/>
      <x:c r="F1233" s="1"/>
      <x:c r="G1233" s="1"/>
    </x:row>
    <x:row r="1234">
      <x:c r="A1234" s="1"/>
      <x:c r="B1234" s="1"/>
      <x:c r="C1234" s="1"/>
      <x:c r="D1234" s="1"/>
      <x:c r="E1234" s="1"/>
      <x:c r="F1234" s="1"/>
      <x:c r="G1234" s="1"/>
    </x:row>
    <x:row r="1235">
      <x:c r="A1235" s="1"/>
      <x:c r="B1235" s="1"/>
      <x:c r="C1235" s="1"/>
      <x:c r="D1235" s="1"/>
      <x:c r="E1235" s="1"/>
      <x:c r="F1235" s="1"/>
      <x:c r="G1235" s="1"/>
    </x:row>
    <x:row r="1236">
      <x:c r="A1236" s="1"/>
      <x:c r="B1236" s="1"/>
      <x:c r="C1236" s="1"/>
      <x:c r="D1236" s="1"/>
      <x:c r="E1236" s="1"/>
      <x:c r="F1236" s="1"/>
      <x:c r="G1236" s="1"/>
    </x:row>
    <x:row r="1237">
      <x:c r="A1237" s="1"/>
      <x:c r="B1237" s="1"/>
      <x:c r="C1237" s="1"/>
      <x:c r="D1237" s="1"/>
      <x:c r="E1237" s="1"/>
      <x:c r="F1237" s="1"/>
      <x:c r="G1237" s="1"/>
    </x:row>
    <x:row r="1238">
      <x:c r="A1238" s="1"/>
      <x:c r="B1238" s="1"/>
      <x:c r="C1238" s="1"/>
      <x:c r="D1238" s="1"/>
      <x:c r="E1238" s="1"/>
      <x:c r="F1238" s="1"/>
      <x:c r="G1238" s="1"/>
    </x:row>
    <x:row r="1239">
      <x:c r="A1239" s="1"/>
      <x:c r="B1239" s="1"/>
      <x:c r="C1239" s="1"/>
      <x:c r="D1239" s="1"/>
      <x:c r="E1239" s="1"/>
      <x:c r="F1239" s="1"/>
      <x:c r="G1239" s="1"/>
    </x:row>
    <x:row r="1240">
      <x:c r="A1240" s="1"/>
      <x:c r="B1240" s="1"/>
      <x:c r="C1240" s="1"/>
      <x:c r="D1240" s="1"/>
      <x:c r="E1240" s="1"/>
      <x:c r="F1240" s="1"/>
      <x:c r="G1240" s="1"/>
    </x:row>
    <x:row r="1241">
      <x:c r="A1241" s="1"/>
      <x:c r="B1241" s="1"/>
      <x:c r="C1241" s="1"/>
      <x:c r="D1241" s="1"/>
      <x:c r="E1241" s="1"/>
      <x:c r="F1241" s="1"/>
      <x:c r="G1241" s="1"/>
    </x:row>
    <x:row r="1242">
      <x:c r="A1242" s="1"/>
      <x:c r="B1242" s="1"/>
      <x:c r="C1242" s="1"/>
      <x:c r="D1242" s="1"/>
      <x:c r="E1242" s="1"/>
      <x:c r="F1242" s="1"/>
      <x:c r="G1242" s="1"/>
    </x:row>
    <x:row r="1243">
      <x:c r="A1243" s="1"/>
      <x:c r="B1243" s="1"/>
      <x:c r="C1243" s="1"/>
      <x:c r="D1243" s="1"/>
      <x:c r="E1243" s="1"/>
      <x:c r="F1243" s="1"/>
      <x:c r="G1243" s="1"/>
    </x:row>
    <x:row r="1244">
      <x:c r="A1244" s="1"/>
      <x:c r="B1244" s="1"/>
      <x:c r="C1244" s="1"/>
      <x:c r="D1244" s="1"/>
      <x:c r="E1244" s="1"/>
      <x:c r="F1244" s="1"/>
      <x:c r="G1244" s="1"/>
    </x:row>
    <x:row r="1245">
      <x:c r="A1245" s="1"/>
      <x:c r="B1245" s="1"/>
      <x:c r="C1245" s="1"/>
      <x:c r="D1245" s="1"/>
      <x:c r="E1245" s="1"/>
      <x:c r="F1245" s="1"/>
      <x:c r="G1245" s="1"/>
    </x:row>
    <x:row r="1246">
      <x:c r="A1246" s="1"/>
      <x:c r="B1246" s="1"/>
      <x:c r="C1246" s="1"/>
      <x:c r="D1246" s="1"/>
      <x:c r="E1246" s="1"/>
      <x:c r="F1246" s="1"/>
      <x:c r="G1246" s="1"/>
    </x:row>
    <x:row r="1247">
      <x:c r="A1247" s="1"/>
      <x:c r="B1247" s="1"/>
      <x:c r="C1247" s="1"/>
      <x:c r="D1247" s="1"/>
      <x:c r="E1247" s="1"/>
      <x:c r="F1247" s="1"/>
      <x:c r="G1247" s="1"/>
    </x:row>
    <x:row r="1248">
      <x:c r="A1248" s="1"/>
      <x:c r="B1248" s="1"/>
      <x:c r="C1248" s="1"/>
      <x:c r="D1248" s="1"/>
      <x:c r="E1248" s="1"/>
      <x:c r="F1248" s="1"/>
      <x:c r="G1248" s="1"/>
    </x:row>
    <x:row r="1249">
      <x:c r="A1249" s="1"/>
      <x:c r="B1249" s="1"/>
      <x:c r="C1249" s="1"/>
      <x:c r="D1249" s="1"/>
      <x:c r="E1249" s="1"/>
      <x:c r="F1249" s="1"/>
      <x:c r="G1249" s="1"/>
    </x:row>
    <x:row r="1250">
      <x:c r="A1250" s="1"/>
      <x:c r="B1250" s="1"/>
      <x:c r="C1250" s="1"/>
      <x:c r="D1250" s="1"/>
      <x:c r="E1250" s="1"/>
      <x:c r="F1250" s="1"/>
      <x:c r="G1250" s="1"/>
    </x:row>
    <x:row r="1251">
      <x:c r="A1251" s="1"/>
      <x:c r="B1251" s="1"/>
      <x:c r="C1251" s="1"/>
      <x:c r="D1251" s="1"/>
      <x:c r="E1251" s="1"/>
      <x:c r="F1251" s="1"/>
      <x:c r="G1251" s="1"/>
    </x:row>
    <x:row r="1252">
      <x:c r="A1252" s="1"/>
      <x:c r="B1252" s="1"/>
      <x:c r="C1252" s="1"/>
      <x:c r="D1252" s="1"/>
      <x:c r="E1252" s="1"/>
      <x:c r="F1252" s="1"/>
      <x:c r="G1252" s="1"/>
    </x:row>
    <x:row r="1253">
      <x:c r="A1253" s="1"/>
      <x:c r="B1253" s="1"/>
      <x:c r="C1253" s="1"/>
      <x:c r="D1253" s="1"/>
      <x:c r="E1253" s="1"/>
      <x:c r="F1253" s="1"/>
      <x:c r="G1253" s="1"/>
    </x:row>
    <x:row r="1254">
      <x:c r="A1254" s="1"/>
      <x:c r="B1254" s="1"/>
      <x:c r="C1254" s="1"/>
      <x:c r="D1254" s="1"/>
      <x:c r="E1254" s="1"/>
      <x:c r="F1254" s="1"/>
      <x:c r="G1254" s="1"/>
    </x:row>
    <x:row r="1255">
      <x:c r="A1255" s="1"/>
      <x:c r="B1255" s="1"/>
      <x:c r="C1255" s="1"/>
      <x:c r="D1255" s="1"/>
      <x:c r="E1255" s="1"/>
      <x:c r="F1255" s="1"/>
      <x:c r="G1255" s="1"/>
    </x:row>
    <x:row r="1256">
      <x:c r="A1256" s="1"/>
      <x:c r="B1256" s="1"/>
      <x:c r="C1256" s="1"/>
      <x:c r="D1256" s="1"/>
      <x:c r="E1256" s="1"/>
      <x:c r="F1256" s="1"/>
      <x:c r="G1256" s="1"/>
    </x:row>
    <x:row r="1257">
      <x:c r="A1257" s="1"/>
      <x:c r="B1257" s="1"/>
      <x:c r="C1257" s="1"/>
      <x:c r="D1257" s="1"/>
      <x:c r="E1257" s="1"/>
      <x:c r="F1257" s="1"/>
      <x:c r="G1257" s="1"/>
    </x:row>
    <x:row r="1258">
      <x:c r="A1258" s="1"/>
      <x:c r="B1258" s="1"/>
      <x:c r="C1258" s="1"/>
      <x:c r="D1258" s="1"/>
      <x:c r="E1258" s="1"/>
      <x:c r="F1258" s="1"/>
      <x:c r="G1258" s="1"/>
    </x:row>
    <x:row r="1259">
      <x:c r="A1259" s="1"/>
      <x:c r="B1259" s="1"/>
      <x:c r="C1259" s="1"/>
      <x:c r="D1259" s="1"/>
      <x:c r="E1259" s="1"/>
      <x:c r="F1259" s="1"/>
      <x:c r="G1259" s="1"/>
    </x:row>
    <x:row r="1260">
      <x:c r="A1260" s="1"/>
      <x:c r="B1260" s="1"/>
      <x:c r="C1260" s="1"/>
      <x:c r="D1260" s="1"/>
      <x:c r="E1260" s="1"/>
      <x:c r="F1260" s="1"/>
      <x:c r="G1260" s="1"/>
    </x:row>
    <x:row r="1261">
      <x:c r="A1261" s="1"/>
      <x:c r="B1261" s="1"/>
      <x:c r="C1261" s="1"/>
      <x:c r="D1261" s="1"/>
      <x:c r="E1261" s="1"/>
      <x:c r="F1261" s="1"/>
      <x:c r="G1261" s="1"/>
    </x:row>
    <x:row r="1262">
      <x:c r="A1262" s="1"/>
      <x:c r="B1262" s="1"/>
      <x:c r="C1262" s="1"/>
      <x:c r="D1262" s="1"/>
      <x:c r="E1262" s="1"/>
      <x:c r="F1262" s="1"/>
      <x:c r="G1262" s="1"/>
    </x:row>
    <x:row r="1263">
      <x:c r="A1263" s="1"/>
      <x:c r="B1263" s="1"/>
      <x:c r="C1263" s="1"/>
      <x:c r="D1263" s="1"/>
      <x:c r="E1263" s="1"/>
      <x:c r="F1263" s="1"/>
      <x:c r="G1263" s="1"/>
    </x:row>
    <x:row r="1264">
      <x:c r="A1264" s="1"/>
      <x:c r="B1264" s="1"/>
      <x:c r="C1264" s="1"/>
      <x:c r="D1264" s="1"/>
      <x:c r="E1264" s="1"/>
      <x:c r="F1264" s="1"/>
      <x:c r="G1264" s="1"/>
    </x:row>
    <x:row r="1265">
      <x:c r="A1265" s="1"/>
      <x:c r="B1265" s="1"/>
      <x:c r="C1265" s="1"/>
      <x:c r="D1265" s="1"/>
      <x:c r="E1265" s="1"/>
      <x:c r="F1265" s="1"/>
      <x:c r="G1265" s="1"/>
    </x:row>
    <x:row r="1266">
      <x:c r="A1266" s="1"/>
      <x:c r="B1266" s="1"/>
      <x:c r="C1266" s="1"/>
      <x:c r="D1266" s="1"/>
      <x:c r="E1266" s="1"/>
      <x:c r="F1266" s="1"/>
      <x:c r="G1266" s="1"/>
    </x:row>
    <x:row r="1267">
      <x:c r="A1267" s="1"/>
      <x:c r="B1267" s="1"/>
      <x:c r="C1267" s="1"/>
      <x:c r="D1267" s="1"/>
      <x:c r="E1267" s="1"/>
      <x:c r="F1267" s="1"/>
      <x:c r="G1267" s="1"/>
    </x:row>
    <x:row r="1268">
      <x:c r="A1268" s="1"/>
      <x:c r="B1268" s="1"/>
      <x:c r="C1268" s="1"/>
      <x:c r="D1268" s="1"/>
      <x:c r="E1268" s="1"/>
      <x:c r="F1268" s="1"/>
      <x:c r="G1268" s="1"/>
    </x:row>
    <x:row r="1269">
      <x:c r="A1269" s="1"/>
      <x:c r="B1269" s="1"/>
      <x:c r="C1269" s="1"/>
      <x:c r="D1269" s="1"/>
      <x:c r="E1269" s="1"/>
      <x:c r="F1269" s="1"/>
      <x:c r="G1269" s="1"/>
    </x:row>
    <x:row r="1270">
      <x:c r="A1270" s="1"/>
      <x:c r="B1270" s="1"/>
      <x:c r="C1270" s="1"/>
      <x:c r="D1270" s="1"/>
      <x:c r="E1270" s="1"/>
      <x:c r="F1270" s="1"/>
      <x:c r="G1270" s="1"/>
    </x:row>
    <x:row r="1271">
      <x:c r="A1271" s="1"/>
      <x:c r="B1271" s="1"/>
      <x:c r="C1271" s="1"/>
      <x:c r="D1271" s="1"/>
      <x:c r="E1271" s="1"/>
      <x:c r="F1271" s="1"/>
      <x:c r="G1271" s="1"/>
    </x:row>
    <x:row r="1272">
      <x:c r="A1272" s="1"/>
      <x:c r="B1272" s="1"/>
      <x:c r="C1272" s="1"/>
      <x:c r="D1272" s="1"/>
      <x:c r="E1272" s="1"/>
      <x:c r="F1272" s="1"/>
      <x:c r="G1272" s="1"/>
    </x:row>
    <x:row r="1273">
      <x:c r="A1273" s="1"/>
      <x:c r="B1273" s="1"/>
      <x:c r="C1273" s="1"/>
      <x:c r="D1273" s="1"/>
      <x:c r="E1273" s="1"/>
      <x:c r="F1273" s="1"/>
      <x:c r="G1273" s="1"/>
    </x:row>
    <x:row r="1274">
      <x:c r="A1274" s="1"/>
      <x:c r="B1274" s="1"/>
      <x:c r="C1274" s="1"/>
      <x:c r="D1274" s="1"/>
      <x:c r="E1274" s="1"/>
      <x:c r="F1274" s="1"/>
      <x:c r="G1274" s="1"/>
    </x:row>
    <x:row r="1275">
      <x:c r="A1275" s="1"/>
      <x:c r="B1275" s="1"/>
      <x:c r="C1275" s="1"/>
      <x:c r="D1275" s="1"/>
      <x:c r="E1275" s="1"/>
      <x:c r="F1275" s="1"/>
      <x:c r="G1275" s="1"/>
    </x:row>
    <x:row r="1276">
      <x:c r="A1276" s="1"/>
      <x:c r="B1276" s="1"/>
      <x:c r="C1276" s="1"/>
      <x:c r="D1276" s="1"/>
      <x:c r="E1276" s="1"/>
      <x:c r="F1276" s="1"/>
      <x:c r="G1276" s="1"/>
    </x:row>
    <x:row r="1277">
      <x:c r="A1277" s="1"/>
      <x:c r="B1277" s="1"/>
      <x:c r="C1277" s="1"/>
      <x:c r="D1277" s="1"/>
      <x:c r="E1277" s="1"/>
      <x:c r="F1277" s="1"/>
      <x:c r="G1277" s="1"/>
    </x:row>
    <x:row r="1278">
      <x:c r="A1278" s="1"/>
      <x:c r="B1278" s="1"/>
      <x:c r="C1278" s="1"/>
      <x:c r="D1278" s="1"/>
      <x:c r="E1278" s="1"/>
      <x:c r="F1278" s="1"/>
      <x:c r="G1278" s="1"/>
    </x:row>
    <x:row r="1279">
      <x:c r="A1279" s="1"/>
      <x:c r="B1279" s="1"/>
      <x:c r="C1279" s="1"/>
      <x:c r="D1279" s="1"/>
      <x:c r="E1279" s="1"/>
      <x:c r="F1279" s="1"/>
      <x:c r="G1279" s="1"/>
    </x:row>
    <x:row r="1280">
      <x:c r="A1280" s="1"/>
      <x:c r="B1280" s="1"/>
      <x:c r="C1280" s="1"/>
      <x:c r="D1280" s="1"/>
      <x:c r="E1280" s="1"/>
      <x:c r="F1280" s="1"/>
      <x:c r="G1280" s="1"/>
    </x:row>
    <x:row r="1281">
      <x:c r="A1281" s="1"/>
      <x:c r="B1281" s="1"/>
      <x:c r="C1281" s="1"/>
      <x:c r="D1281" s="1"/>
      <x:c r="E1281" s="1"/>
      <x:c r="F1281" s="1"/>
      <x:c r="G1281" s="1"/>
    </x:row>
    <x:row r="1282">
      <x:c r="A1282" s="1"/>
      <x:c r="B1282" s="1"/>
      <x:c r="C1282" s="1"/>
      <x:c r="D1282" s="1"/>
      <x:c r="E1282" s="1"/>
      <x:c r="F1282" s="1"/>
      <x:c r="G1282" s="1"/>
    </x:row>
    <x:row r="1283">
      <x:c r="A1283" s="1"/>
      <x:c r="B1283" s="1"/>
      <x:c r="C1283" s="1"/>
      <x:c r="D1283" s="1"/>
      <x:c r="E1283" s="1"/>
      <x:c r="F1283" s="1"/>
      <x:c r="G1283" s="1"/>
    </x:row>
    <x:row r="1284">
      <x:c r="A1284" s="1"/>
      <x:c r="B1284" s="1"/>
      <x:c r="C1284" s="1"/>
      <x:c r="D1284" s="1"/>
      <x:c r="E1284" s="1"/>
      <x:c r="F1284" s="1"/>
      <x:c r="G1284" s="1"/>
    </x:row>
    <x:row r="1285">
      <x:c r="A1285" s="1"/>
      <x:c r="B1285" s="1"/>
      <x:c r="C1285" s="1"/>
      <x:c r="D1285" s="1"/>
      <x:c r="E1285" s="1"/>
      <x:c r="F1285" s="1"/>
      <x:c r="G1285" s="1"/>
    </x:row>
    <x:row r="1286">
      <x:c r="A1286" s="1"/>
      <x:c r="B1286" s="1"/>
      <x:c r="C1286" s="1"/>
      <x:c r="D1286" s="1"/>
      <x:c r="E1286" s="1"/>
      <x:c r="F1286" s="1"/>
      <x:c r="G1286" s="1"/>
    </x:row>
    <x:row r="1287">
      <x:c r="A1287" s="1"/>
      <x:c r="B1287" s="1"/>
      <x:c r="C1287" s="1"/>
      <x:c r="D1287" s="1"/>
      <x:c r="E1287" s="1"/>
      <x:c r="F1287" s="1"/>
      <x:c r="G1287" s="1"/>
    </x:row>
    <x:row r="1288">
      <x:c r="A1288" s="1"/>
      <x:c r="B1288" s="1"/>
      <x:c r="C1288" s="1"/>
      <x:c r="D1288" s="1"/>
      <x:c r="E1288" s="1"/>
      <x:c r="F1288" s="1"/>
      <x:c r="G1288" s="1"/>
    </x:row>
    <x:row r="1289">
      <x:c r="A1289" s="1"/>
      <x:c r="B1289" s="1"/>
      <x:c r="C1289" s="1"/>
      <x:c r="D1289" s="1"/>
      <x:c r="E1289" s="1"/>
      <x:c r="F1289" s="1"/>
      <x:c r="G1289" s="1"/>
    </x:row>
    <x:row r="1290">
      <x:c r="A1290" s="1"/>
      <x:c r="B1290" s="1"/>
      <x:c r="C1290" s="1"/>
      <x:c r="D1290" s="1"/>
      <x:c r="E1290" s="1"/>
      <x:c r="F1290" s="1"/>
      <x:c r="G1290" s="1"/>
    </x:row>
    <x:row r="1291">
      <x:c r="A1291" s="1"/>
      <x:c r="B1291" s="1"/>
      <x:c r="C1291" s="1"/>
      <x:c r="D1291" s="1"/>
      <x:c r="E1291" s="1"/>
      <x:c r="F1291" s="1"/>
      <x:c r="G1291" s="1"/>
    </x:row>
    <x:row r="1292">
      <x:c r="A1292" s="1"/>
      <x:c r="B1292" s="1"/>
      <x:c r="C1292" s="1"/>
      <x:c r="D1292" s="1"/>
      <x:c r="E1292" s="1"/>
      <x:c r="F1292" s="1"/>
      <x:c r="G1292" s="1"/>
    </x:row>
    <x:row r="1293">
      <x:c r="A1293" s="1"/>
      <x:c r="B1293" s="1"/>
      <x:c r="C1293" s="1"/>
      <x:c r="D1293" s="1"/>
      <x:c r="E1293" s="1"/>
      <x:c r="F1293" s="1"/>
      <x:c r="G1293" s="1"/>
    </x:row>
    <x:row r="1294">
      <x:c r="A1294" s="1"/>
      <x:c r="B1294" s="1"/>
      <x:c r="C1294" s="1"/>
      <x:c r="D1294" s="1"/>
      <x:c r="E1294" s="1"/>
      <x:c r="F1294" s="1"/>
      <x:c r="G1294" s="1"/>
    </x:row>
    <x:row r="1295">
      <x:c r="A1295" s="1"/>
      <x:c r="B1295" s="1"/>
      <x:c r="C1295" s="1"/>
      <x:c r="D1295" s="1"/>
      <x:c r="E1295" s="1"/>
      <x:c r="F1295" s="1"/>
      <x:c r="G1295" s="1"/>
    </x:row>
    <x:row r="1296">
      <x:c r="A1296" s="1"/>
      <x:c r="B1296" s="1"/>
      <x:c r="C1296" s="1"/>
      <x:c r="D1296" s="1"/>
      <x:c r="E1296" s="1"/>
      <x:c r="F1296" s="1"/>
      <x:c r="G1296" s="1"/>
    </x:row>
    <x:row r="1297">
      <x:c r="A1297" s="1"/>
      <x:c r="B1297" s="1"/>
      <x:c r="C1297" s="1"/>
      <x:c r="D1297" s="1"/>
      <x:c r="E1297" s="1"/>
      <x:c r="F1297" s="1"/>
      <x:c r="G1297" s="1"/>
    </x:row>
    <x:row r="1298">
      <x:c r="A1298" s="1"/>
      <x:c r="B1298" s="1"/>
      <x:c r="C1298" s="1"/>
      <x:c r="D1298" s="1"/>
      <x:c r="E1298" s="1"/>
      <x:c r="F1298" s="1"/>
      <x:c r="G1298" s="1"/>
    </x:row>
    <x:row r="1299">
      <x:c r="A1299" s="1"/>
      <x:c r="B1299" s="1"/>
      <x:c r="C1299" s="1"/>
      <x:c r="D1299" s="1"/>
      <x:c r="E1299" s="1"/>
      <x:c r="F1299" s="1"/>
      <x:c r="G1299" s="1"/>
    </x:row>
    <x:row r="1300">
      <x:c r="A1300" s="1"/>
      <x:c r="B1300" s="1"/>
      <x:c r="C1300" s="1"/>
      <x:c r="D1300" s="1"/>
      <x:c r="E1300" s="1"/>
      <x:c r="F1300" s="1"/>
      <x:c r="G1300" s="1"/>
    </x:row>
    <x:row r="1301">
      <x:c r="A1301" s="1"/>
      <x:c r="B1301" s="1"/>
      <x:c r="C1301" s="1"/>
      <x:c r="D1301" s="1"/>
      <x:c r="E1301" s="1"/>
      <x:c r="F1301" s="1"/>
      <x:c r="G1301" s="1"/>
    </x:row>
    <x:row r="1302">
      <x:c r="A1302" s="1"/>
      <x:c r="B1302" s="1"/>
      <x:c r="C1302" s="1"/>
      <x:c r="D1302" s="1"/>
      <x:c r="E1302" s="1"/>
      <x:c r="F1302" s="1"/>
      <x:c r="G1302" s="1"/>
    </x:row>
    <x:row r="1303">
      <x:c r="A1303" s="1"/>
      <x:c r="B1303" s="1"/>
      <x:c r="C1303" s="1"/>
      <x:c r="D1303" s="1"/>
      <x:c r="E1303" s="1"/>
      <x:c r="F1303" s="1"/>
      <x:c r="G1303" s="1"/>
    </x:row>
    <x:row r="1304">
      <x:c r="A1304" s="1"/>
      <x:c r="B1304" s="1"/>
      <x:c r="C1304" s="1"/>
      <x:c r="D1304" s="1"/>
      <x:c r="E1304" s="1"/>
      <x:c r="F1304" s="1"/>
      <x:c r="G1304" s="1"/>
    </x:row>
    <x:row r="1305">
      <x:c r="A1305" s="1"/>
      <x:c r="B1305" s="1"/>
      <x:c r="C1305" s="1"/>
      <x:c r="D1305" s="1"/>
      <x:c r="E1305" s="1"/>
      <x:c r="F1305" s="1"/>
      <x:c r="G1305" s="1"/>
    </x:row>
    <x:row r="1306">
      <x:c r="A1306" s="1"/>
      <x:c r="B1306" s="1"/>
      <x:c r="C1306" s="1"/>
      <x:c r="D1306" s="1"/>
      <x:c r="E1306" s="1"/>
      <x:c r="F1306" s="1"/>
      <x:c r="G1306" s="1"/>
    </x:row>
    <x:row r="1307">
      <x:c r="A1307" s="1"/>
      <x:c r="B1307" s="1"/>
      <x:c r="C1307" s="1"/>
      <x:c r="D1307" s="1"/>
      <x:c r="E1307" s="1"/>
      <x:c r="F1307" s="1"/>
      <x:c r="G1307" s="1"/>
    </x:row>
    <x:row r="1308">
      <x:c r="A1308" s="1"/>
      <x:c r="B1308" s="1"/>
      <x:c r="C1308" s="1"/>
      <x:c r="D1308" s="1"/>
      <x:c r="E1308" s="1"/>
      <x:c r="F1308" s="1"/>
      <x:c r="G1308" s="1"/>
    </x:row>
    <x:row r="1309">
      <x:c r="A1309" s="1"/>
      <x:c r="B1309" s="1"/>
      <x:c r="C1309" s="1"/>
      <x:c r="D1309" s="1"/>
      <x:c r="E1309" s="1"/>
      <x:c r="F1309" s="1"/>
      <x:c r="G1309" s="1"/>
    </x:row>
    <x:row r="1310">
      <x:c r="A1310" s="1"/>
      <x:c r="B1310" s="1"/>
      <x:c r="C1310" s="1"/>
      <x:c r="D1310" s="1"/>
      <x:c r="E1310" s="1"/>
      <x:c r="F1310" s="1"/>
      <x:c r="G1310" s="1"/>
    </x:row>
    <x:row r="1311">
      <x:c r="A1311" s="1"/>
      <x:c r="B1311" s="1"/>
      <x:c r="C1311" s="1"/>
      <x:c r="D1311" s="1"/>
      <x:c r="E1311" s="1"/>
      <x:c r="F1311" s="1"/>
      <x:c r="G1311" s="1"/>
    </x:row>
    <x:row r="1312">
      <x:c r="A1312" s="1"/>
      <x:c r="B1312" s="1"/>
      <x:c r="C1312" s="1"/>
      <x:c r="D1312" s="1"/>
      <x:c r="E1312" s="1"/>
      <x:c r="F1312" s="1"/>
      <x:c r="G1312" s="1"/>
    </x:row>
    <x:row r="1313">
      <x:c r="A1313" s="1"/>
      <x:c r="B1313" s="1"/>
      <x:c r="C1313" s="1"/>
      <x:c r="D1313" s="1"/>
      <x:c r="E1313" s="1"/>
      <x:c r="F1313" s="1"/>
      <x:c r="G1313" s="1"/>
    </x:row>
    <x:row r="1314">
      <x:c r="A1314" s="1"/>
      <x:c r="B1314" s="1"/>
      <x:c r="C1314" s="1"/>
      <x:c r="D1314" s="1"/>
      <x:c r="E1314" s="1"/>
      <x:c r="F1314" s="1"/>
      <x:c r="G1314" s="1"/>
    </x:row>
    <x:row r="1315">
      <x:c r="A1315" s="1"/>
      <x:c r="B1315" s="1"/>
      <x:c r="C1315" s="1"/>
      <x:c r="D1315" s="1"/>
      <x:c r="E1315" s="1"/>
      <x:c r="F1315" s="1"/>
      <x:c r="G1315" s="1"/>
    </x:row>
    <x:row r="1316">
      <x:c r="A1316" s="1"/>
      <x:c r="B1316" s="1"/>
      <x:c r="C1316" s="1"/>
      <x:c r="D1316" s="1"/>
      <x:c r="E1316" s="1"/>
      <x:c r="F1316" s="1"/>
      <x:c r="G1316" s="1"/>
    </x:row>
    <x:row r="1317">
      <x:c r="A1317" s="1"/>
      <x:c r="B1317" s="1"/>
      <x:c r="C1317" s="1"/>
      <x:c r="D1317" s="1"/>
      <x:c r="E1317" s="1"/>
      <x:c r="F1317" s="1"/>
      <x:c r="G1317" s="1"/>
    </x:row>
    <x:row r="1318">
      <x:c r="A1318" s="1"/>
      <x:c r="B1318" s="1"/>
      <x:c r="C1318" s="1"/>
      <x:c r="D1318" s="1"/>
      <x:c r="E1318" s="1"/>
      <x:c r="F1318" s="1"/>
      <x:c r="G1318" s="1"/>
    </x:row>
    <x:row r="1319">
      <x:c r="A1319" s="1"/>
      <x:c r="B1319" s="1"/>
      <x:c r="C1319" s="1"/>
      <x:c r="D1319" s="1"/>
      <x:c r="E1319" s="1"/>
      <x:c r="F1319" s="1"/>
      <x:c r="G1319" s="1"/>
    </x:row>
    <x:row r="1320">
      <x:c r="A1320" s="1"/>
      <x:c r="B1320" s="1"/>
      <x:c r="C1320" s="1"/>
      <x:c r="D1320" s="1"/>
      <x:c r="E1320" s="1"/>
      <x:c r="F1320" s="1"/>
      <x:c r="G1320" s="1"/>
    </x:row>
    <x:row r="1321">
      <x:c r="A1321" s="1"/>
      <x:c r="B1321" s="1"/>
      <x:c r="C1321" s="1"/>
      <x:c r="D1321" s="1"/>
      <x:c r="E1321" s="1"/>
      <x:c r="F1321" s="1"/>
      <x:c r="G1321" s="1"/>
    </x:row>
    <x:row r="1322">
      <x:c r="A1322" s="1"/>
      <x:c r="B1322" s="1"/>
      <x:c r="C1322" s="1"/>
      <x:c r="D1322" s="1"/>
      <x:c r="E1322" s="1"/>
      <x:c r="F1322" s="1"/>
      <x:c r="G1322" s="1"/>
    </x:row>
    <x:row r="1323">
      <x:c r="A1323" s="1"/>
      <x:c r="B1323" s="1"/>
      <x:c r="C1323" s="1"/>
      <x:c r="D1323" s="1"/>
      <x:c r="E1323" s="1"/>
      <x:c r="F1323" s="1"/>
      <x:c r="G1323" s="1"/>
    </x:row>
    <x:row r="1324">
      <x:c r="A1324" s="1"/>
      <x:c r="B1324" s="1"/>
      <x:c r="C1324" s="1"/>
      <x:c r="D1324" s="1"/>
      <x:c r="E1324" s="1"/>
      <x:c r="F1324" s="1"/>
      <x:c r="G1324" s="1"/>
    </x:row>
    <x:row r="1325">
      <x:c r="A1325" s="1"/>
      <x:c r="B1325" s="1"/>
      <x:c r="C1325" s="1"/>
      <x:c r="D1325" s="1"/>
      <x:c r="E1325" s="1"/>
      <x:c r="F1325" s="1"/>
      <x:c r="G1325" s="1"/>
    </x:row>
    <x:row r="1326">
      <x:c r="A1326" s="1"/>
      <x:c r="B1326" s="1"/>
      <x:c r="C1326" s="1"/>
      <x:c r="D1326" s="1"/>
      <x:c r="E1326" s="1"/>
      <x:c r="F1326" s="1"/>
      <x:c r="G1326" s="1"/>
    </x:row>
    <x:row r="1327">
      <x:c r="A1327" s="1"/>
      <x:c r="B1327" s="1"/>
      <x:c r="C1327" s="1"/>
      <x:c r="D1327" s="1"/>
      <x:c r="E1327" s="1"/>
      <x:c r="F1327" s="1"/>
      <x:c r="G1327" s="1"/>
    </x:row>
    <x:row r="1328">
      <x:c r="A1328" s="1"/>
      <x:c r="B1328" s="1"/>
      <x:c r="C1328" s="1"/>
      <x:c r="D1328" s="1"/>
      <x:c r="E1328" s="1"/>
      <x:c r="F1328" s="1"/>
      <x:c r="G1328" s="1"/>
    </x:row>
    <x:row r="1329">
      <x:c r="A1329" s="1"/>
      <x:c r="B1329" s="1"/>
      <x:c r="C1329" s="1"/>
      <x:c r="D1329" s="1"/>
      <x:c r="E1329" s="1"/>
      <x:c r="F1329" s="1"/>
      <x:c r="G1329" s="1"/>
    </x:row>
    <x:row r="1330">
      <x:c r="A1330" s="1"/>
      <x:c r="B1330" s="1"/>
      <x:c r="C1330" s="1"/>
      <x:c r="D1330" s="1"/>
      <x:c r="E1330" s="1"/>
      <x:c r="F1330" s="1"/>
      <x:c r="G1330" s="1"/>
    </x:row>
    <x:row r="1331">
      <x:c r="A1331" s="1"/>
      <x:c r="B1331" s="1"/>
      <x:c r="C1331" s="1"/>
      <x:c r="D1331" s="1"/>
      <x:c r="E1331" s="1"/>
      <x:c r="F1331" s="1"/>
      <x:c r="G1331" s="1"/>
    </x:row>
    <x:row r="1332">
      <x:c r="A1332" s="1"/>
      <x:c r="B1332" s="1"/>
      <x:c r="C1332" s="1"/>
      <x:c r="D1332" s="1"/>
      <x:c r="E1332" s="1"/>
      <x:c r="F1332" s="1"/>
      <x:c r="G1332" s="1"/>
    </x:row>
    <x:row r="1333">
      <x:c r="A1333" s="1"/>
      <x:c r="B1333" s="1"/>
      <x:c r="C1333" s="1"/>
      <x:c r="D1333" s="1"/>
      <x:c r="E1333" s="1"/>
      <x:c r="F1333" s="1"/>
      <x:c r="G1333" s="1"/>
    </x:row>
    <x:row r="1334">
      <x:c r="A1334" s="1"/>
      <x:c r="B1334" s="1"/>
      <x:c r="C1334" s="1"/>
      <x:c r="D1334" s="1"/>
      <x:c r="E1334" s="1"/>
      <x:c r="F1334" s="1"/>
      <x:c r="G1334" s="1"/>
    </x:row>
    <x:row r="1335">
      <x:c r="A1335" s="1"/>
      <x:c r="B1335" s="1"/>
      <x:c r="C1335" s="1"/>
      <x:c r="D1335" s="1"/>
      <x:c r="E1335" s="1"/>
      <x:c r="F1335" s="1"/>
      <x:c r="G1335" s="1"/>
    </x:row>
    <x:row r="1336">
      <x:c r="A1336" s="1"/>
      <x:c r="B1336" s="1"/>
      <x:c r="C1336" s="1"/>
      <x:c r="D1336" s="1"/>
      <x:c r="E1336" s="1"/>
      <x:c r="F1336" s="1"/>
      <x:c r="G1336" s="1"/>
    </x:row>
    <x:row r="1337">
      <x:c r="A1337" s="1"/>
      <x:c r="B1337" s="1"/>
      <x:c r="C1337" s="1"/>
      <x:c r="D1337" s="1"/>
      <x:c r="E1337" s="1"/>
      <x:c r="F1337" s="1"/>
      <x:c r="G1337" s="1"/>
    </x:row>
    <x:row r="1338">
      <x:c r="A1338" s="1"/>
      <x:c r="B1338" s="1"/>
      <x:c r="C1338" s="1"/>
      <x:c r="D1338" s="1"/>
      <x:c r="E1338" s="1"/>
      <x:c r="F1338" s="1"/>
      <x:c r="G1338" s="1"/>
    </x:row>
    <x:row r="1339">
      <x:c r="A1339" s="1"/>
      <x:c r="B1339" s="1"/>
      <x:c r="C1339" s="1"/>
      <x:c r="D1339" s="1"/>
      <x:c r="E1339" s="1"/>
      <x:c r="F1339" s="1"/>
      <x:c r="G1339" s="1"/>
    </x:row>
    <x:row r="1340">
      <x:c r="A1340" s="1"/>
      <x:c r="B1340" s="1"/>
      <x:c r="C1340" s="1"/>
      <x:c r="D1340" s="1"/>
      <x:c r="E1340" s="1"/>
      <x:c r="F1340" s="1"/>
      <x:c r="G1340" s="1"/>
    </x:row>
    <x:row r="1341">
      <x:c r="A1341" s="1"/>
      <x:c r="B1341" s="1"/>
      <x:c r="C1341" s="1"/>
      <x:c r="D1341" s="1"/>
      <x:c r="E1341" s="1"/>
      <x:c r="F1341" s="1"/>
      <x:c r="G1341" s="1"/>
    </x:row>
    <x:row r="1342">
      <x:c r="A1342" s="1"/>
      <x:c r="B1342" s="1"/>
      <x:c r="C1342" s="1"/>
      <x:c r="D1342" s="1"/>
      <x:c r="E1342" s="1"/>
      <x:c r="F1342" s="1"/>
      <x:c r="G1342" s="1"/>
    </x:row>
    <x:row r="1343">
      <x:c r="A1343" s="1"/>
      <x:c r="B1343" s="1"/>
      <x:c r="C1343" s="1"/>
      <x:c r="D1343" s="1"/>
      <x:c r="E1343" s="1"/>
      <x:c r="F1343" s="1"/>
      <x:c r="G1343" s="1"/>
    </x:row>
    <x:row r="1344">
      <x:c r="A1344" s="1"/>
      <x:c r="B1344" s="1"/>
      <x:c r="C1344" s="1"/>
      <x:c r="D1344" s="1"/>
      <x:c r="E1344" s="1"/>
      <x:c r="F1344" s="1"/>
      <x:c r="G1344" s="1"/>
    </x:row>
    <x:row r="1345">
      <x:c r="A1345" s="1"/>
      <x:c r="B1345" s="1"/>
      <x:c r="C1345" s="1"/>
      <x:c r="D1345" s="1"/>
      <x:c r="E1345" s="1"/>
      <x:c r="F1345" s="1"/>
      <x:c r="G1345" s="1"/>
    </x:row>
    <x:row r="1346">
      <x:c r="A1346" s="1"/>
      <x:c r="B1346" s="1"/>
      <x:c r="C1346" s="1"/>
      <x:c r="D1346" s="1"/>
      <x:c r="E1346" s="1"/>
      <x:c r="F1346" s="1"/>
      <x:c r="G1346" s="1"/>
    </x:row>
    <x:row r="1347">
      <x:c r="A1347" s="1"/>
      <x:c r="B1347" s="1"/>
      <x:c r="C1347" s="1"/>
      <x:c r="D1347" s="1"/>
      <x:c r="E1347" s="1"/>
      <x:c r="F1347" s="1"/>
      <x:c r="G1347" s="1"/>
    </x:row>
    <x:row r="1348">
      <x:c r="A1348" s="1"/>
      <x:c r="B1348" s="1"/>
      <x:c r="C1348" s="1"/>
      <x:c r="D1348" s="1"/>
      <x:c r="E1348" s="1"/>
      <x:c r="F1348" s="1"/>
      <x:c r="G1348" s="1"/>
    </x:row>
    <x:row r="1349">
      <x:c r="A1349" s="1"/>
      <x:c r="B1349" s="1"/>
      <x:c r="C1349" s="1"/>
      <x:c r="D1349" s="1"/>
      <x:c r="E1349" s="1"/>
      <x:c r="F1349" s="1"/>
      <x:c r="G1349" s="1"/>
    </x:row>
    <x:row r="1350">
      <x:c r="A1350" s="1"/>
      <x:c r="B1350" s="1"/>
      <x:c r="C1350" s="1"/>
      <x:c r="D1350" s="1"/>
      <x:c r="E1350" s="1"/>
      <x:c r="F1350" s="1"/>
      <x:c r="G1350" s="1"/>
    </x:row>
    <x:row r="1351">
      <x:c r="A1351" s="1"/>
      <x:c r="B1351" s="1"/>
      <x:c r="C1351" s="1"/>
      <x:c r="D1351" s="1"/>
      <x:c r="E1351" s="1"/>
      <x:c r="F1351" s="1"/>
      <x:c r="G1351" s="1"/>
    </x:row>
    <x:row r="1352">
      <x:c r="A1352" s="1"/>
      <x:c r="B1352" s="1"/>
      <x:c r="C1352" s="1"/>
      <x:c r="D1352" s="1"/>
      <x:c r="E1352" s="1"/>
      <x:c r="F1352" s="1"/>
      <x:c r="G1352" s="1"/>
    </x:row>
    <x:row r="1353">
      <x:c r="A1353" s="1"/>
      <x:c r="B1353" s="1"/>
      <x:c r="C1353" s="1"/>
      <x:c r="D1353" s="1"/>
      <x:c r="E1353" s="1"/>
      <x:c r="F1353" s="1"/>
      <x:c r="G1353" s="1"/>
    </x:row>
    <x:row r="1354">
      <x:c r="A1354" s="1"/>
      <x:c r="B1354" s="1"/>
      <x:c r="C1354" s="1"/>
      <x:c r="D1354" s="1"/>
      <x:c r="E1354" s="1"/>
      <x:c r="F1354" s="1"/>
      <x:c r="G1354" s="1"/>
    </x:row>
    <x:row r="1355">
      <x:c r="A1355" s="1"/>
      <x:c r="B1355" s="1"/>
      <x:c r="C1355" s="1"/>
      <x:c r="D1355" s="1"/>
      <x:c r="E1355" s="1"/>
      <x:c r="F1355" s="1"/>
      <x:c r="G1355" s="1"/>
    </x:row>
    <x:row r="1356">
      <x:c r="A1356" s="1"/>
      <x:c r="B1356" s="1"/>
      <x:c r="C1356" s="1"/>
      <x:c r="D1356" s="1"/>
      <x:c r="E1356" s="1"/>
      <x:c r="F1356" s="1"/>
      <x:c r="G1356" s="1"/>
    </x:row>
    <x:row r="1357">
      <x:c r="A1357" s="1"/>
      <x:c r="B1357" s="1"/>
      <x:c r="C1357" s="1"/>
      <x:c r="D1357" s="1"/>
      <x:c r="E1357" s="1"/>
      <x:c r="F1357" s="1"/>
      <x:c r="G1357" s="1"/>
    </x:row>
    <x:row r="1358">
      <x:c r="A1358" s="1"/>
      <x:c r="B1358" s="1"/>
      <x:c r="C1358" s="1"/>
      <x:c r="D1358" s="1"/>
      <x:c r="E1358" s="1"/>
      <x:c r="F1358" s="1"/>
      <x:c r="G1358" s="1"/>
    </x:row>
    <x:row r="1359">
      <x:c r="A1359" s="1"/>
      <x:c r="B1359" s="1"/>
      <x:c r="C1359" s="1"/>
      <x:c r="D1359" s="1"/>
      <x:c r="E1359" s="1"/>
      <x:c r="F1359" s="1"/>
      <x:c r="G1359" s="1"/>
    </x:row>
    <x:row r="1360">
      <x:c r="A1360" s="1"/>
      <x:c r="B1360" s="1"/>
      <x:c r="C1360" s="1"/>
      <x:c r="D1360" s="1"/>
      <x:c r="E1360" s="1"/>
      <x:c r="F1360" s="1"/>
      <x:c r="G1360" s="1"/>
    </x:row>
    <x:row r="1361">
      <x:c r="A1361" s="1"/>
      <x:c r="B1361" s="1"/>
      <x:c r="C1361" s="1"/>
      <x:c r="D1361" s="1"/>
      <x:c r="E1361" s="1"/>
      <x:c r="F1361" s="1"/>
      <x:c r="G1361" s="1"/>
    </x:row>
    <x:row r="1362">
      <x:c r="A1362" s="1"/>
      <x:c r="B1362" s="1"/>
      <x:c r="C1362" s="1"/>
      <x:c r="D1362" s="1"/>
      <x:c r="E1362" s="1"/>
      <x:c r="F1362" s="1"/>
      <x:c r="G1362" s="1"/>
    </x:row>
    <x:row r="1363">
      <x:c r="A1363" s="1"/>
      <x:c r="B1363" s="1"/>
      <x:c r="C1363" s="1"/>
      <x:c r="D1363" s="1"/>
      <x:c r="E1363" s="1"/>
      <x:c r="F1363" s="1"/>
      <x:c r="G1363" s="1"/>
    </x:row>
    <x:row r="1364">
      <x:c r="A1364" s="1"/>
      <x:c r="B1364" s="1"/>
      <x:c r="C1364" s="1"/>
      <x:c r="D1364" s="1"/>
      <x:c r="E1364" s="1"/>
      <x:c r="F1364" s="1"/>
      <x:c r="G1364" s="1"/>
    </x:row>
    <x:row r="1365">
      <x:c r="A1365" s="1"/>
      <x:c r="B1365" s="1"/>
      <x:c r="C1365" s="1"/>
      <x:c r="D1365" s="1"/>
      <x:c r="E1365" s="1"/>
      <x:c r="F1365" s="1"/>
      <x:c r="G1365" s="1"/>
    </x:row>
    <x:row r="1366">
      <x:c r="A1366" s="1"/>
      <x:c r="B1366" s="1"/>
      <x:c r="C1366" s="1"/>
      <x:c r="D1366" s="1"/>
      <x:c r="E1366" s="1"/>
      <x:c r="F1366" s="1"/>
      <x:c r="G1366" s="1"/>
    </x:row>
    <x:row r="1367">
      <x:c r="A1367" s="1"/>
      <x:c r="B1367" s="1"/>
      <x:c r="C1367" s="1"/>
      <x:c r="D1367" s="1"/>
      <x:c r="E1367" s="1"/>
      <x:c r="F1367" s="1"/>
      <x:c r="G1367" s="1"/>
    </x:row>
    <x:row r="1368">
      <x:c r="A1368" s="1"/>
      <x:c r="B1368" s="1"/>
      <x:c r="C1368" s="1"/>
      <x:c r="D1368" s="1"/>
      <x:c r="E1368" s="1"/>
      <x:c r="F1368" s="1"/>
      <x:c r="G1368" s="1"/>
    </x:row>
    <x:row r="1369">
      <x:c r="A1369" s="1"/>
      <x:c r="B1369" s="1"/>
      <x:c r="C1369" s="1"/>
      <x:c r="D1369" s="1"/>
      <x:c r="E1369" s="1"/>
      <x:c r="F1369" s="1"/>
      <x:c r="G1369" s="1"/>
    </x:row>
    <x:row r="1370">
      <x:c r="A1370" s="1"/>
      <x:c r="B1370" s="1"/>
      <x:c r="C1370" s="1"/>
      <x:c r="D1370" s="1"/>
      <x:c r="E1370" s="1"/>
      <x:c r="F1370" s="1"/>
      <x:c r="G1370" s="1"/>
    </x:row>
    <x:row r="1371">
      <x:c r="A1371" s="1"/>
      <x:c r="B1371" s="1"/>
      <x:c r="C1371" s="1"/>
      <x:c r="D1371" s="1"/>
      <x:c r="E1371" s="1"/>
      <x:c r="F1371" s="1"/>
      <x:c r="G1371" s="1"/>
    </x:row>
    <x:row r="1372">
      <x:c r="A1372" s="1"/>
      <x:c r="B1372" s="1"/>
      <x:c r="C1372" s="1"/>
      <x:c r="D1372" s="1"/>
      <x:c r="E1372" s="1"/>
      <x:c r="F1372" s="1"/>
      <x:c r="G1372" s="1"/>
    </x:row>
    <x:row r="1373">
      <x:c r="A1373" s="1"/>
      <x:c r="B1373" s="1"/>
      <x:c r="C1373" s="1"/>
      <x:c r="D1373" s="1"/>
      <x:c r="E1373" s="1"/>
      <x:c r="F1373" s="1"/>
      <x:c r="G1373" s="1"/>
    </x:row>
    <x:row r="1374">
      <x:c r="A1374" s="1"/>
      <x:c r="B1374" s="1"/>
      <x:c r="C1374" s="1"/>
      <x:c r="D1374" s="1"/>
      <x:c r="E1374" s="1"/>
      <x:c r="F1374" s="1"/>
      <x:c r="G1374" s="1"/>
    </x:row>
    <x:row r="1375">
      <x:c r="A1375" s="1"/>
      <x:c r="B1375" s="1"/>
      <x:c r="C1375" s="1"/>
      <x:c r="D1375" s="1"/>
      <x:c r="E1375" s="1"/>
      <x:c r="F1375" s="1"/>
      <x:c r="G1375" s="1"/>
    </x:row>
    <x:row r="1376">
      <x:c r="A1376" s="1"/>
      <x:c r="B1376" s="1"/>
      <x:c r="C1376" s="1"/>
      <x:c r="D1376" s="1"/>
      <x:c r="E1376" s="1"/>
      <x:c r="F1376" s="1"/>
      <x:c r="G1376" s="1"/>
    </x:row>
    <x:row r="1377">
      <x:c r="A1377" s="1"/>
      <x:c r="B1377" s="1"/>
      <x:c r="C1377" s="1"/>
      <x:c r="D1377" s="1"/>
      <x:c r="E1377" s="1"/>
      <x:c r="F1377" s="1"/>
      <x:c r="G1377" s="1"/>
    </x:row>
    <x:row r="1378">
      <x:c r="A1378" s="1"/>
      <x:c r="B1378" s="1"/>
      <x:c r="C1378" s="1"/>
      <x:c r="D1378" s="1"/>
      <x:c r="E1378" s="1"/>
      <x:c r="F1378" s="1"/>
      <x:c r="G1378" s="1"/>
    </x:row>
    <x:row r="1379">
      <x:c r="A1379" s="1"/>
      <x:c r="B1379" s="1"/>
      <x:c r="C1379" s="1"/>
      <x:c r="D1379" s="1"/>
      <x:c r="E1379" s="1"/>
      <x:c r="F1379" s="1"/>
      <x:c r="G1379" s="1"/>
    </x:row>
    <x:row r="1380">
      <x:c r="A1380" s="1"/>
      <x:c r="B1380" s="1"/>
      <x:c r="C1380" s="1"/>
      <x:c r="D1380" s="1"/>
      <x:c r="E1380" s="1"/>
      <x:c r="F1380" s="1"/>
      <x:c r="G1380" s="1"/>
    </x:row>
    <x:row r="1381">
      <x:c r="A1381" s="1"/>
      <x:c r="B1381" s="1"/>
      <x:c r="C1381" s="1"/>
      <x:c r="D1381" s="1"/>
      <x:c r="E1381" s="1"/>
      <x:c r="F1381" s="1"/>
      <x:c r="G1381" s="1"/>
    </x:row>
    <x:row r="1382">
      <x:c r="A1382" s="1"/>
      <x:c r="B1382" s="1"/>
      <x:c r="C1382" s="1"/>
      <x:c r="D1382" s="1"/>
      <x:c r="E1382" s="1"/>
      <x:c r="F1382" s="1"/>
      <x:c r="G1382" s="1"/>
    </x:row>
    <x:row r="1383">
      <x:c r="A1383" s="1"/>
      <x:c r="B1383" s="1"/>
      <x:c r="C1383" s="1"/>
      <x:c r="D1383" s="1"/>
      <x:c r="E1383" s="1"/>
      <x:c r="F1383" s="1"/>
      <x:c r="G1383" s="1"/>
    </x:row>
    <x:row r="1384">
      <x:c r="A1384" s="1"/>
      <x:c r="B1384" s="1"/>
      <x:c r="C1384" s="1"/>
      <x:c r="D1384" s="1"/>
      <x:c r="E1384" s="1"/>
      <x:c r="F1384" s="1"/>
      <x:c r="G1384" s="1"/>
    </x:row>
    <x:row r="1385">
      <x:c r="A1385" s="1"/>
      <x:c r="B1385" s="1"/>
      <x:c r="C1385" s="1"/>
      <x:c r="D1385" s="1"/>
      <x:c r="E1385" s="1"/>
      <x:c r="F1385" s="1"/>
      <x:c r="G1385" s="1"/>
    </x:row>
    <x:row r="1386">
      <x:c r="A1386" s="1"/>
      <x:c r="B1386" s="1"/>
      <x:c r="C1386" s="1"/>
      <x:c r="D1386" s="1"/>
      <x:c r="E1386" s="1"/>
      <x:c r="F1386" s="1"/>
      <x:c r="G1386" s="1"/>
    </x:row>
    <x:row r="1387">
      <x:c r="A1387" s="1"/>
      <x:c r="B1387" s="1"/>
      <x:c r="C1387" s="1"/>
      <x:c r="D1387" s="1"/>
      <x:c r="E1387" s="1"/>
      <x:c r="F1387" s="1"/>
      <x:c r="G1387" s="1"/>
    </x:row>
    <x:row r="1388">
      <x:c r="A1388" s="1"/>
      <x:c r="B1388" s="1"/>
      <x:c r="C1388" s="1"/>
      <x:c r="D1388" s="1"/>
      <x:c r="E1388" s="1"/>
      <x:c r="F1388" s="1"/>
      <x:c r="G1388" s="1"/>
    </x:row>
    <x:row r="1389">
      <x:c r="A1389" s="1"/>
      <x:c r="B1389" s="1"/>
      <x:c r="C1389" s="1"/>
      <x:c r="D1389" s="1"/>
      <x:c r="E1389" s="1"/>
      <x:c r="F1389" s="1"/>
      <x:c r="G1389" s="1"/>
    </x:row>
    <x:row r="1390">
      <x:c r="A1390" s="1"/>
      <x:c r="B1390" s="1"/>
      <x:c r="C1390" s="1"/>
      <x:c r="D1390" s="1"/>
      <x:c r="E1390" s="1"/>
      <x:c r="F1390" s="1"/>
      <x:c r="G1390" s="1"/>
    </x:row>
    <x:row r="1391">
      <x:c r="A1391" s="1"/>
      <x:c r="B1391" s="1"/>
      <x:c r="C1391" s="1"/>
      <x:c r="D1391" s="1"/>
      <x:c r="E1391" s="1"/>
      <x:c r="F1391" s="1"/>
      <x:c r="G1391" s="1"/>
    </x:row>
    <x:row r="1392">
      <x:c r="A1392" s="1"/>
      <x:c r="B1392" s="1"/>
      <x:c r="C1392" s="1"/>
      <x:c r="D1392" s="1"/>
      <x:c r="E1392" s="1"/>
      <x:c r="F1392" s="1"/>
      <x:c r="G1392" s="1"/>
    </x:row>
    <x:row r="1393">
      <x:c r="A1393" s="1"/>
      <x:c r="B1393" s="1"/>
      <x:c r="C1393" s="1"/>
      <x:c r="D1393" s="1"/>
      <x:c r="E1393" s="1"/>
      <x:c r="F1393" s="1"/>
      <x:c r="G1393" s="1"/>
    </x:row>
    <x:row r="1394">
      <x:c r="A1394" s="1"/>
      <x:c r="B1394" s="1"/>
      <x:c r="C1394" s="1"/>
      <x:c r="D1394" s="1"/>
      <x:c r="E1394" s="1"/>
      <x:c r="F1394" s="1"/>
      <x:c r="G1394" s="1"/>
    </x:row>
    <x:row r="1395">
      <x:c r="A1395" s="1"/>
      <x:c r="B1395" s="1"/>
      <x:c r="C1395" s="1"/>
      <x:c r="D1395" s="1"/>
      <x:c r="E1395" s="1"/>
      <x:c r="F1395" s="1"/>
      <x:c r="G1395" s="1"/>
    </x:row>
    <x:row r="1396">
      <x:c r="A1396" s="1"/>
      <x:c r="B1396" s="1"/>
      <x:c r="C1396" s="1"/>
      <x:c r="D1396" s="1"/>
      <x:c r="E1396" s="1"/>
      <x:c r="F1396" s="1"/>
      <x:c r="G1396" s="1"/>
    </x:row>
    <x:row r="1397">
      <x:c r="A1397" s="1"/>
      <x:c r="B1397" s="1"/>
      <x:c r="C1397" s="1"/>
      <x:c r="D1397" s="1"/>
      <x:c r="E1397" s="1"/>
      <x:c r="F1397" s="1"/>
      <x:c r="G1397" s="1"/>
    </x:row>
    <x:row r="1398">
      <x:c r="A1398" s="1"/>
      <x:c r="B1398" s="1"/>
      <x:c r="C1398" s="1"/>
      <x:c r="D1398" s="1"/>
      <x:c r="E1398" s="1"/>
      <x:c r="F1398" s="1"/>
      <x:c r="G1398" s="1"/>
    </x:row>
    <x:row r="1399">
      <x:c r="A1399" s="1"/>
      <x:c r="B1399" s="1"/>
      <x:c r="C1399" s="1"/>
      <x:c r="D1399" s="1"/>
      <x:c r="E1399" s="1"/>
      <x:c r="F1399" s="1"/>
      <x:c r="G1399" s="1"/>
    </x:row>
    <x:row r="1400">
      <x:c r="A1400" s="1"/>
      <x:c r="B1400" s="1"/>
      <x:c r="C1400" s="1"/>
      <x:c r="D1400" s="1"/>
      <x:c r="E1400" s="1"/>
      <x:c r="F1400" s="1"/>
      <x:c r="G1400" s="1"/>
    </x:row>
    <x:row r="1401">
      <x:c r="A1401" s="1"/>
      <x:c r="B1401" s="1"/>
      <x:c r="C1401" s="1"/>
      <x:c r="D1401" s="1"/>
      <x:c r="E1401" s="1"/>
      <x:c r="F1401" s="1"/>
      <x:c r="G1401" s="1"/>
    </x:row>
    <x:row r="1402">
      <x:c r="A1402" s="1"/>
      <x:c r="B1402" s="1"/>
      <x:c r="C1402" s="1"/>
      <x:c r="D1402" s="1"/>
      <x:c r="E1402" s="1"/>
      <x:c r="F1402" s="1"/>
      <x:c r="G1402" s="1"/>
    </x:row>
    <x:row r="1403">
      <x:c r="A1403" s="1"/>
      <x:c r="B1403" s="1"/>
      <x:c r="C1403" s="1"/>
      <x:c r="D1403" s="1"/>
      <x:c r="E1403" s="1"/>
      <x:c r="F1403" s="1"/>
      <x:c r="G1403" s="1"/>
    </x:row>
    <x:row r="1404">
      <x:c r="A1404" s="1"/>
      <x:c r="B1404" s="1"/>
      <x:c r="C1404" s="1"/>
      <x:c r="D1404" s="1"/>
      <x:c r="E1404" s="1"/>
      <x:c r="F1404" s="1"/>
      <x:c r="G1404" s="1"/>
    </x:row>
    <x:row r="1405">
      <x:c r="A1405" s="1"/>
      <x:c r="B1405" s="1"/>
      <x:c r="C1405" s="1"/>
      <x:c r="D1405" s="1"/>
      <x:c r="E1405" s="1"/>
      <x:c r="F1405" s="1"/>
      <x:c r="G1405" s="1"/>
    </x:row>
    <x:row r="1406">
      <x:c r="A1406" s="1"/>
      <x:c r="B1406" s="1"/>
      <x:c r="C1406" s="1"/>
      <x:c r="D1406" s="1"/>
      <x:c r="E1406" s="1"/>
      <x:c r="F1406" s="1"/>
      <x:c r="G1406" s="1"/>
    </x:row>
    <x:row r="1407">
      <x:c r="A1407" s="1"/>
      <x:c r="B1407" s="1"/>
      <x:c r="C1407" s="1"/>
      <x:c r="D1407" s="1"/>
      <x:c r="E1407" s="1"/>
      <x:c r="F1407" s="1"/>
      <x:c r="G1407" s="1"/>
    </x:row>
    <x:row r="1408">
      <x:c r="A1408" s="1"/>
      <x:c r="B1408" s="1"/>
      <x:c r="C1408" s="1"/>
      <x:c r="D1408" s="1"/>
      <x:c r="E1408" s="1"/>
      <x:c r="F1408" s="1"/>
      <x:c r="G1408" s="1"/>
    </x:row>
    <x:row r="1409">
      <x:c r="A1409" s="1"/>
      <x:c r="B1409" s="1"/>
      <x:c r="C1409" s="1"/>
      <x:c r="D1409" s="1"/>
      <x:c r="E1409" s="1"/>
      <x:c r="F1409" s="1"/>
      <x:c r="G1409" s="1"/>
    </x:row>
    <x:row r="1410">
      <x:c r="A1410" s="1"/>
      <x:c r="B1410" s="1"/>
      <x:c r="C1410" s="1"/>
      <x:c r="D1410" s="1"/>
      <x:c r="E1410" s="1"/>
      <x:c r="F1410" s="1"/>
      <x:c r="G1410" s="1"/>
    </x:row>
    <x:row r="1411">
      <x:c r="A1411" s="1"/>
      <x:c r="B1411" s="1"/>
      <x:c r="C1411" s="1"/>
      <x:c r="D1411" s="1"/>
      <x:c r="E1411" s="1"/>
      <x:c r="F1411" s="1"/>
      <x:c r="G1411" s="1"/>
    </x:row>
    <x:row r="1412">
      <x:c r="A1412" s="1"/>
      <x:c r="B1412" s="1"/>
      <x:c r="C1412" s="1"/>
      <x:c r="D1412" s="1"/>
      <x:c r="E1412" s="1"/>
      <x:c r="F1412" s="1"/>
      <x:c r="G1412" s="1"/>
    </x:row>
    <x:row r="1413">
      <x:c r="A1413" s="1"/>
      <x:c r="B1413" s="1"/>
      <x:c r="C1413" s="1"/>
      <x:c r="D1413" s="1"/>
      <x:c r="E1413" s="1"/>
      <x:c r="F1413" s="1"/>
      <x:c r="G1413" s="1"/>
    </x:row>
    <x:row r="1414">
      <x:c r="A1414" s="1"/>
      <x:c r="B1414" s="1"/>
      <x:c r="C1414" s="1"/>
      <x:c r="D1414" s="1"/>
      <x:c r="E1414" s="1"/>
      <x:c r="F1414" s="1"/>
      <x:c r="G1414" s="1"/>
    </x:row>
    <x:row r="1415">
      <x:c r="A1415" s="1"/>
      <x:c r="B1415" s="1"/>
      <x:c r="C1415" s="1"/>
      <x:c r="D1415" s="1"/>
      <x:c r="E1415" s="1"/>
      <x:c r="F1415" s="1"/>
      <x:c r="G1415" s="1"/>
    </x:row>
    <x:row r="1416">
      <x:c r="A1416" s="1"/>
      <x:c r="B1416" s="1"/>
      <x:c r="C1416" s="1"/>
      <x:c r="D1416" s="1"/>
      <x:c r="E1416" s="1"/>
      <x:c r="F1416" s="1"/>
      <x:c r="G1416" s="1"/>
    </x:row>
    <x:row r="1417">
      <x:c r="A1417" s="1"/>
      <x:c r="B1417" s="1"/>
      <x:c r="C1417" s="1"/>
      <x:c r="D1417" s="1"/>
      <x:c r="E1417" s="1"/>
      <x:c r="F1417" s="1"/>
      <x:c r="G1417" s="1"/>
    </x:row>
    <x:row r="1418">
      <x:c r="A1418" s="1"/>
      <x:c r="B1418" s="1"/>
      <x:c r="C1418" s="1"/>
      <x:c r="D1418" s="1"/>
      <x:c r="E1418" s="1"/>
      <x:c r="F1418" s="1"/>
      <x:c r="G1418" s="1"/>
    </x:row>
    <x:row r="1419">
      <x:c r="A1419" s="1"/>
      <x:c r="B1419" s="1"/>
      <x:c r="C1419" s="1"/>
      <x:c r="D1419" s="1"/>
      <x:c r="E1419" s="1"/>
      <x:c r="F1419" s="1"/>
      <x:c r="G1419" s="1"/>
    </x:row>
    <x:row r="1420">
      <x:c r="A1420" s="1"/>
      <x:c r="B1420" s="1"/>
      <x:c r="C1420" s="1"/>
      <x:c r="D1420" s="1"/>
      <x:c r="E1420" s="1"/>
      <x:c r="F1420" s="1"/>
      <x:c r="G1420" s="1"/>
    </x:row>
    <x:row r="1421">
      <x:c r="A1421" s="1"/>
      <x:c r="B1421" s="1"/>
      <x:c r="C1421" s="1"/>
      <x:c r="D1421" s="1"/>
      <x:c r="E1421" s="1"/>
      <x:c r="F1421" s="1"/>
      <x:c r="G1421" s="1"/>
    </x:row>
    <x:row r="1422">
      <x:c r="A1422" s="1"/>
      <x:c r="B1422" s="1"/>
      <x:c r="C1422" s="1"/>
      <x:c r="D1422" s="1"/>
      <x:c r="E1422" s="1"/>
      <x:c r="F1422" s="1"/>
      <x:c r="G1422" s="1"/>
    </x:row>
    <x:row r="1423">
      <x:c r="A1423" s="1"/>
      <x:c r="B1423" s="1"/>
      <x:c r="C1423" s="1"/>
      <x:c r="D1423" s="1"/>
      <x:c r="E1423" s="1"/>
      <x:c r="F1423" s="1"/>
      <x:c r="G1423" s="1"/>
    </x:row>
    <x:row r="1424">
      <x:c r="A1424" s="1"/>
      <x:c r="B1424" s="1"/>
      <x:c r="C1424" s="1"/>
      <x:c r="D1424" s="1"/>
      <x:c r="E1424" s="1"/>
      <x:c r="F1424" s="1"/>
      <x:c r="G1424" s="1"/>
    </x:row>
    <x:row r="1425">
      <x:c r="A1425" s="1"/>
      <x:c r="B1425" s="1"/>
      <x:c r="C1425" s="1"/>
      <x:c r="D1425" s="1"/>
      <x:c r="E1425" s="1"/>
      <x:c r="F1425" s="1"/>
      <x:c r="G1425" s="1"/>
    </x:row>
    <x:row r="1426">
      <x:c r="A1426" s="1"/>
      <x:c r="B1426" s="1"/>
      <x:c r="C1426" s="1"/>
      <x:c r="D1426" s="1"/>
      <x:c r="E1426" s="1"/>
      <x:c r="F1426" s="1"/>
      <x:c r="G1426" s="1"/>
    </x:row>
    <x:row r="1427">
      <x:c r="A1427" s="1"/>
      <x:c r="B1427" s="1"/>
      <x:c r="C1427" s="1"/>
      <x:c r="D1427" s="1"/>
      <x:c r="E1427" s="1"/>
      <x:c r="F1427" s="1"/>
      <x:c r="G1427" s="1"/>
    </x:row>
    <x:row r="1428">
      <x:c r="A1428" s="1"/>
      <x:c r="B1428" s="1"/>
      <x:c r="C1428" s="1"/>
      <x:c r="D1428" s="1"/>
      <x:c r="E1428" s="1"/>
      <x:c r="F1428" s="1"/>
      <x:c r="G1428" s="1"/>
    </x:row>
    <x:row r="1429">
      <x:c r="A1429" s="1"/>
      <x:c r="B1429" s="1"/>
      <x:c r="C1429" s="1"/>
      <x:c r="D1429" s="1"/>
      <x:c r="E1429" s="1"/>
      <x:c r="F1429" s="1"/>
      <x:c r="G1429" s="1"/>
    </x:row>
    <x:row r="1430">
      <x:c r="A1430" s="1"/>
      <x:c r="B1430" s="1"/>
      <x:c r="C1430" s="1"/>
      <x:c r="D1430" s="1"/>
      <x:c r="E1430" s="1"/>
      <x:c r="F1430" s="1"/>
      <x:c r="G1430" s="1"/>
    </x:row>
    <x:row r="1431">
      <x:c r="A1431" s="1"/>
      <x:c r="B1431" s="1"/>
      <x:c r="C1431" s="1"/>
      <x:c r="D1431" s="1"/>
      <x:c r="E1431" s="1"/>
      <x:c r="F1431" s="1"/>
      <x:c r="G1431" s="1"/>
    </x:row>
    <x:row r="1432">
      <x:c r="A1432" s="1"/>
      <x:c r="B1432" s="1"/>
      <x:c r="C1432" s="1"/>
      <x:c r="D1432" s="1"/>
      <x:c r="E1432" s="1"/>
      <x:c r="F1432" s="1"/>
      <x:c r="G1432" s="1"/>
    </x:row>
    <x:row r="1433">
      <x:c r="A1433" s="1"/>
      <x:c r="B1433" s="1"/>
      <x:c r="C1433" s="1"/>
      <x:c r="D1433" s="1"/>
      <x:c r="E1433" s="1"/>
      <x:c r="F1433" s="1"/>
      <x:c r="G1433" s="1"/>
    </x:row>
    <x:row r="1434">
      <x:c r="A1434" s="1"/>
      <x:c r="B1434" s="1"/>
      <x:c r="C1434" s="1"/>
      <x:c r="D1434" s="1"/>
      <x:c r="E1434" s="1"/>
      <x:c r="F1434" s="1"/>
      <x:c r="G1434" s="1"/>
    </x:row>
    <x:row r="1435">
      <x:c r="A1435" s="1"/>
      <x:c r="B1435" s="1"/>
      <x:c r="C1435" s="1"/>
      <x:c r="D1435" s="1"/>
      <x:c r="E1435" s="1"/>
      <x:c r="F1435" s="1"/>
      <x:c r="G1435" s="1"/>
    </x:row>
    <x:row r="1436">
      <x:c r="A1436" s="1"/>
      <x:c r="B1436" s="1"/>
      <x:c r="C1436" s="1"/>
      <x:c r="D1436" s="1"/>
      <x:c r="E1436" s="1"/>
      <x:c r="F1436" s="1"/>
      <x:c r="G1436" s="1"/>
    </x:row>
    <x:row r="1437">
      <x:c r="A1437" s="1"/>
      <x:c r="B1437" s="1"/>
      <x:c r="C1437" s="1"/>
      <x:c r="D1437" s="1"/>
      <x:c r="E1437" s="1"/>
      <x:c r="F1437" s="1"/>
      <x:c r="G1437" s="1"/>
    </x:row>
    <x:row r="1438">
      <x:c r="A1438" s="1"/>
      <x:c r="B1438" s="1"/>
      <x:c r="C1438" s="1"/>
      <x:c r="D1438" s="1"/>
      <x:c r="E1438" s="1"/>
      <x:c r="F1438" s="1"/>
      <x:c r="G1438" s="1"/>
    </x:row>
    <x:row r="1439">
      <x:c r="A1439" s="1"/>
      <x:c r="B1439" s="1"/>
      <x:c r="C1439" s="1"/>
      <x:c r="D1439" s="1"/>
      <x:c r="E1439" s="1"/>
      <x:c r="F1439" s="1"/>
      <x:c r="G1439" s="1"/>
    </x:row>
    <x:row r="1440">
      <x:c r="A1440" s="1"/>
      <x:c r="B1440" s="1"/>
      <x:c r="C1440" s="1"/>
      <x:c r="D1440" s="1"/>
      <x:c r="E1440" s="1"/>
      <x:c r="F1440" s="1"/>
      <x:c r="G1440" s="1"/>
    </x:row>
    <x:row r="1441">
      <x:c r="A1441" s="1"/>
      <x:c r="B1441" s="1"/>
      <x:c r="C1441" s="1"/>
      <x:c r="D1441" s="1"/>
      <x:c r="E1441" s="1"/>
      <x:c r="F1441" s="1"/>
      <x:c r="G1441" s="1"/>
    </x:row>
    <x:row r="1442">
      <x:c r="A1442" s="1"/>
      <x:c r="B1442" s="1"/>
      <x:c r="C1442" s="1"/>
      <x:c r="D1442" s="1"/>
      <x:c r="E1442" s="1"/>
      <x:c r="F1442" s="1"/>
      <x:c r="G1442" s="1"/>
    </x:row>
    <x:row r="1443">
      <x:c r="A1443" s="1"/>
      <x:c r="B1443" s="1"/>
      <x:c r="C1443" s="1"/>
      <x:c r="D1443" s="1"/>
      <x:c r="E1443" s="1"/>
      <x:c r="F1443" s="1"/>
      <x:c r="G1443" s="1"/>
    </x:row>
    <x:row r="1444">
      <x:c r="A1444" s="1"/>
      <x:c r="B1444" s="1"/>
      <x:c r="C1444" s="1"/>
      <x:c r="D1444" s="1"/>
      <x:c r="E1444" s="1"/>
      <x:c r="F1444" s="1"/>
      <x:c r="G1444" s="1"/>
    </x:row>
    <x:row r="1445">
      <x:c r="A1445" s="1"/>
      <x:c r="B1445" s="1"/>
      <x:c r="C1445" s="1"/>
      <x:c r="D1445" s="1"/>
      <x:c r="E1445" s="1"/>
      <x:c r="F1445" s="1"/>
      <x:c r="G1445" s="1"/>
    </x:row>
    <x:row r="1446">
      <x:c r="A1446" s="1"/>
      <x:c r="B1446" s="1"/>
      <x:c r="C1446" s="1"/>
      <x:c r="D1446" s="1"/>
      <x:c r="E1446" s="1"/>
      <x:c r="F1446" s="1"/>
      <x:c r="G1446" s="1"/>
    </x:row>
    <x:row r="1447">
      <x:c r="A1447" s="1"/>
      <x:c r="B1447" s="1"/>
      <x:c r="C1447" s="1"/>
      <x:c r="D1447" s="1"/>
      <x:c r="E1447" s="1"/>
      <x:c r="F1447" s="1"/>
      <x:c r="G1447" s="1"/>
    </x:row>
    <x:row r="1448">
      <x:c r="A1448" s="1"/>
      <x:c r="B1448" s="1"/>
      <x:c r="C1448" s="1"/>
      <x:c r="D1448" s="1"/>
      <x:c r="E1448" s="1"/>
      <x:c r="F1448" s="1"/>
      <x:c r="G1448" s="1"/>
    </x:row>
    <x:row r="1449">
      <x:c r="A1449" s="1"/>
      <x:c r="B1449" s="1"/>
      <x:c r="C1449" s="1"/>
      <x:c r="D1449" s="1"/>
      <x:c r="E1449" s="1"/>
      <x:c r="F1449" s="1"/>
      <x:c r="G1449" s="1"/>
    </x:row>
    <x:row r="1450">
      <x:c r="A1450" s="1"/>
      <x:c r="B1450" s="1"/>
      <x:c r="C1450" s="1"/>
      <x:c r="D1450" s="1"/>
      <x:c r="E1450" s="1"/>
      <x:c r="F1450" s="1"/>
      <x:c r="G1450" s="1"/>
    </x:row>
    <x:row r="1451">
      <x:c r="A1451" s="1"/>
      <x:c r="B1451" s="1"/>
      <x:c r="C1451" s="1"/>
      <x:c r="D1451" s="1"/>
      <x:c r="E1451" s="1"/>
      <x:c r="F1451" s="1"/>
      <x:c r="G1451" s="1"/>
    </x:row>
    <x:row r="1452">
      <x:c r="A1452" s="1"/>
      <x:c r="B1452" s="1"/>
      <x:c r="C1452" s="1"/>
      <x:c r="D1452" s="1"/>
      <x:c r="E1452" s="1"/>
      <x:c r="F1452" s="1"/>
      <x:c r="G1452" s="1"/>
    </x:row>
    <x:row r="1453">
      <x:c r="A1453" s="1"/>
      <x:c r="B1453" s="1"/>
      <x:c r="C1453" s="1"/>
      <x:c r="D1453" s="1"/>
      <x:c r="E1453" s="1"/>
      <x:c r="F1453" s="1"/>
      <x:c r="G1453" s="1"/>
    </x:row>
    <x:row r="1454">
      <x:c r="A1454" s="1"/>
      <x:c r="B1454" s="1"/>
      <x:c r="C1454" s="1"/>
      <x:c r="D1454" s="1"/>
      <x:c r="E1454" s="1"/>
      <x:c r="F1454" s="1"/>
      <x:c r="G1454" s="1"/>
    </x:row>
    <x:row r="1455">
      <x:c r="A1455" s="1"/>
      <x:c r="B1455" s="1"/>
      <x:c r="C1455" s="1"/>
      <x:c r="D1455" s="1"/>
      <x:c r="E1455" s="1"/>
      <x:c r="F1455" s="1"/>
      <x:c r="G1455" s="1"/>
    </x:row>
    <x:row r="1456">
      <x:c r="A1456" s="1"/>
      <x:c r="B1456" s="1"/>
      <x:c r="C1456" s="1"/>
      <x:c r="D1456" s="1"/>
      <x:c r="E1456" s="1"/>
      <x:c r="F1456" s="1"/>
      <x:c r="G1456" s="1"/>
    </x:row>
    <x:row r="1457">
      <x:c r="A1457" s="1"/>
      <x:c r="B1457" s="1"/>
      <x:c r="C1457" s="1"/>
      <x:c r="D1457" s="1"/>
      <x:c r="E1457" s="1"/>
      <x:c r="F1457" s="1"/>
      <x:c r="G1457" s="1"/>
    </x:row>
    <x:row r="1458">
      <x:c r="A1458" s="1"/>
      <x:c r="B1458" s="1"/>
      <x:c r="C1458" s="1"/>
      <x:c r="D1458" s="1"/>
      <x:c r="E1458" s="1"/>
      <x:c r="F1458" s="1"/>
      <x:c r="G1458" s="1"/>
    </x:row>
    <x:row r="1459">
      <x:c r="A1459" s="1"/>
      <x:c r="B1459" s="1"/>
      <x:c r="C1459" s="1"/>
      <x:c r="D1459" s="1"/>
      <x:c r="E1459" s="1"/>
      <x:c r="F1459" s="1"/>
      <x:c r="G1459" s="1"/>
    </x:row>
    <x:row r="1460">
      <x:c r="A1460" s="1"/>
      <x:c r="B1460" s="1"/>
      <x:c r="C1460" s="1"/>
      <x:c r="D1460" s="1"/>
      <x:c r="E1460" s="1"/>
      <x:c r="F1460" s="1"/>
      <x:c r="G1460" s="1"/>
    </x:row>
    <x:row r="1461">
      <x:c r="A1461" s="1"/>
      <x:c r="B1461" s="1"/>
      <x:c r="C1461" s="1"/>
      <x:c r="D1461" s="1"/>
      <x:c r="E1461" s="1"/>
      <x:c r="F1461" s="1"/>
      <x:c r="G1461" s="1"/>
    </x:row>
    <x:row r="1462">
      <x:c r="A1462" s="1"/>
      <x:c r="B1462" s="1"/>
      <x:c r="C1462" s="1"/>
      <x:c r="D1462" s="1"/>
      <x:c r="E1462" s="1"/>
      <x:c r="F1462" s="1"/>
      <x:c r="G1462" s="1"/>
    </x:row>
    <x:row r="1463">
      <x:c r="A1463" s="1"/>
      <x:c r="B1463" s="1"/>
      <x:c r="C1463" s="1"/>
      <x:c r="D1463" s="1"/>
      <x:c r="E1463" s="1"/>
      <x:c r="F1463" s="1"/>
      <x:c r="G1463" s="1"/>
    </x:row>
    <x:row r="1464">
      <x:c r="A1464" s="1"/>
      <x:c r="B1464" s="1"/>
      <x:c r="C1464" s="1"/>
      <x:c r="D1464" s="1"/>
      <x:c r="E1464" s="1"/>
      <x:c r="F1464" s="1"/>
      <x:c r="G1464" s="1"/>
    </x:row>
    <x:row r="1465">
      <x:c r="A1465" s="1"/>
      <x:c r="B1465" s="1"/>
      <x:c r="C1465" s="1"/>
      <x:c r="D1465" s="1"/>
      <x:c r="E1465" s="1"/>
      <x:c r="F1465" s="1"/>
      <x:c r="G1465" s="1"/>
    </x:row>
    <x:row r="1466">
      <x:c r="A1466" s="1"/>
      <x:c r="B1466" s="1"/>
      <x:c r="C1466" s="1"/>
      <x:c r="D1466" s="1"/>
      <x:c r="E1466" s="1"/>
      <x:c r="F1466" s="1"/>
      <x:c r="G1466" s="1"/>
    </x:row>
    <x:row r="1467">
      <x:c r="A1467" s="1"/>
      <x:c r="B1467" s="1"/>
      <x:c r="C1467" s="1"/>
      <x:c r="D1467" s="1"/>
      <x:c r="E1467" s="1"/>
      <x:c r="F1467" s="1"/>
      <x:c r="G1467" s="1"/>
    </x:row>
    <x:row r="1468">
      <x:c r="A1468" s="1"/>
      <x:c r="B1468" s="1"/>
      <x:c r="C1468" s="1"/>
      <x:c r="D1468" s="1"/>
      <x:c r="E1468" s="1"/>
      <x:c r="F1468" s="1"/>
      <x:c r="G1468" s="1"/>
    </x:row>
    <x:row r="1469">
      <x:c r="A1469" s="1"/>
      <x:c r="B1469" s="1"/>
      <x:c r="C1469" s="1"/>
      <x:c r="D1469" s="1"/>
      <x:c r="E1469" s="1"/>
      <x:c r="F1469" s="1"/>
      <x:c r="G1469" s="1"/>
    </x:row>
    <x:row r="1470">
      <x:c r="A1470" s="1"/>
      <x:c r="B1470" s="1"/>
      <x:c r="C1470" s="1"/>
      <x:c r="D1470" s="1"/>
      <x:c r="E1470" s="1"/>
      <x:c r="F1470" s="1"/>
      <x:c r="G1470" s="1"/>
    </x:row>
    <x:row r="1471">
      <x:c r="A1471" s="1"/>
      <x:c r="B1471" s="1"/>
      <x:c r="C1471" s="1"/>
      <x:c r="D1471" s="1"/>
      <x:c r="E1471" s="1"/>
      <x:c r="F1471" s="1"/>
      <x:c r="G1471" s="1"/>
    </x:row>
    <x:row r="1472">
      <x:c r="A1472" s="1"/>
      <x:c r="B1472" s="1"/>
      <x:c r="C1472" s="1"/>
      <x:c r="D1472" s="1"/>
      <x:c r="E1472" s="1"/>
      <x:c r="F1472" s="1"/>
      <x:c r="G1472" s="1"/>
    </x:row>
    <x:row r="1473">
      <x:c r="A1473" s="1"/>
      <x:c r="B1473" s="1"/>
      <x:c r="C1473" s="1"/>
      <x:c r="D1473" s="1"/>
      <x:c r="E1473" s="1"/>
      <x:c r="F1473" s="1"/>
      <x:c r="G1473" s="1"/>
    </x:row>
    <x:row r="1474">
      <x:c r="A1474" s="1"/>
      <x:c r="B1474" s="1"/>
      <x:c r="C1474" s="1"/>
      <x:c r="D1474" s="1"/>
      <x:c r="E1474" s="1"/>
      <x:c r="F1474" s="1"/>
      <x:c r="G1474" s="1"/>
    </x:row>
    <x:row r="1475">
      <x:c r="A1475" s="1"/>
      <x:c r="B1475" s="1"/>
      <x:c r="C1475" s="1"/>
      <x:c r="D1475" s="1"/>
      <x:c r="E1475" s="1"/>
      <x:c r="F1475" s="1"/>
      <x:c r="G1475" s="1"/>
    </x:row>
    <x:row r="1476">
      <x:c r="A1476" s="1"/>
      <x:c r="B1476" s="1"/>
      <x:c r="C1476" s="1"/>
      <x:c r="D1476" s="1"/>
      <x:c r="E1476" s="1"/>
      <x:c r="F1476" s="1"/>
      <x:c r="G1476" s="1"/>
    </x:row>
    <x:row r="1477">
      <x:c r="A1477" s="1"/>
      <x:c r="B1477" s="1"/>
      <x:c r="C1477" s="1"/>
      <x:c r="D1477" s="1"/>
      <x:c r="E1477" s="1"/>
      <x:c r="F1477" s="1"/>
      <x:c r="G1477" s="1"/>
    </x:row>
    <x:row r="1478">
      <x:c r="A1478" s="1"/>
      <x:c r="B1478" s="1"/>
      <x:c r="C1478" s="1"/>
      <x:c r="D1478" s="1"/>
      <x:c r="E1478" s="1"/>
      <x:c r="F1478" s="1"/>
      <x:c r="G1478" s="1"/>
    </x:row>
    <x:row r="1479">
      <x:c r="A1479" s="1"/>
      <x:c r="B1479" s="1"/>
      <x:c r="C1479" s="1"/>
      <x:c r="D1479" s="1"/>
      <x:c r="E1479" s="1"/>
      <x:c r="F1479" s="1"/>
      <x:c r="G1479" s="1"/>
    </x:row>
    <x:row r="1480">
      <x:c r="A1480" s="1"/>
      <x:c r="B1480" s="1"/>
      <x:c r="C1480" s="1"/>
      <x:c r="D1480" s="1"/>
      <x:c r="E1480" s="1"/>
      <x:c r="F1480" s="1"/>
      <x:c r="G1480" s="1"/>
    </x:row>
    <x:row r="1481">
      <x:c r="A1481" s="1"/>
      <x:c r="B1481" s="1"/>
      <x:c r="C1481" s="1"/>
      <x:c r="D1481" s="1"/>
      <x:c r="E1481" s="1"/>
      <x:c r="F1481" s="1"/>
      <x:c r="G1481" s="1"/>
    </x:row>
    <x:row r="1482">
      <x:c r="A1482" s="1"/>
      <x:c r="B1482" s="1"/>
      <x:c r="C1482" s="1"/>
      <x:c r="D1482" s="1"/>
      <x:c r="E1482" s="1"/>
      <x:c r="F1482" s="1"/>
      <x:c r="G1482" s="1"/>
    </x:row>
    <x:row r="1483">
      <x:c r="A1483" s="1"/>
      <x:c r="B1483" s="1"/>
      <x:c r="C1483" s="1"/>
      <x:c r="D1483" s="1"/>
      <x:c r="E1483" s="1"/>
      <x:c r="F1483" s="1"/>
      <x:c r="G1483" s="1"/>
    </x:row>
    <x:row r="1484">
      <x:c r="A1484" s="1"/>
      <x:c r="B1484" s="1"/>
      <x:c r="C1484" s="1"/>
      <x:c r="D1484" s="1"/>
      <x:c r="E1484" s="1"/>
      <x:c r="F1484" s="1"/>
      <x:c r="G1484" s="1"/>
    </x:row>
    <x:row r="1485">
      <x:c r="A1485" s="1"/>
      <x:c r="B1485" s="1"/>
      <x:c r="C1485" s="1"/>
      <x:c r="D1485" s="1"/>
      <x:c r="E1485" s="1"/>
      <x:c r="F1485" s="1"/>
      <x:c r="G1485" s="1"/>
    </x:row>
    <x:row r="1486">
      <x:c r="A1486" s="1"/>
      <x:c r="B1486" s="1"/>
      <x:c r="C1486" s="1"/>
      <x:c r="D1486" s="1"/>
      <x:c r="E1486" s="1"/>
      <x:c r="F1486" s="1"/>
      <x:c r="G1486" s="1"/>
    </x:row>
    <x:row r="1487">
      <x:c r="A1487" s="1"/>
      <x:c r="B1487" s="1"/>
      <x:c r="C1487" s="1"/>
      <x:c r="D1487" s="1"/>
      <x:c r="E1487" s="1"/>
      <x:c r="F1487" s="1"/>
      <x:c r="G1487" s="1"/>
    </x:row>
    <x:row r="1488">
      <x:c r="A1488" s="1"/>
      <x:c r="B1488" s="1"/>
      <x:c r="C1488" s="1"/>
      <x:c r="D1488" s="1"/>
      <x:c r="E1488" s="1"/>
      <x:c r="F1488" s="1"/>
      <x:c r="G1488" s="1"/>
    </x:row>
    <x:row r="1489">
      <x:c r="A1489" s="1"/>
      <x:c r="B1489" s="1"/>
      <x:c r="C1489" s="1"/>
      <x:c r="D1489" s="1"/>
      <x:c r="E1489" s="1"/>
      <x:c r="F1489" s="1"/>
      <x:c r="G1489" s="1"/>
    </x:row>
    <x:row r="1490">
      <x:c r="A1490" s="1"/>
      <x:c r="B1490" s="1"/>
      <x:c r="C1490" s="1"/>
      <x:c r="D1490" s="1"/>
      <x:c r="E1490" s="1"/>
      <x:c r="F1490" s="1"/>
      <x:c r="G1490" s="1"/>
    </x:row>
    <x:row r="1491">
      <x:c r="A1491" s="1"/>
      <x:c r="B1491" s="1"/>
      <x:c r="C1491" s="1"/>
      <x:c r="D1491" s="1"/>
      <x:c r="E1491" s="1"/>
      <x:c r="F1491" s="1"/>
      <x:c r="G1491" s="1"/>
    </x:row>
    <x:row r="1492">
      <x:c r="A1492" s="1"/>
      <x:c r="B1492" s="1"/>
      <x:c r="C1492" s="1"/>
      <x:c r="D1492" s="1"/>
      <x:c r="E1492" s="1"/>
      <x:c r="F1492" s="1"/>
      <x:c r="G1492" s="1"/>
    </x:row>
    <x:row r="1493">
      <x:c r="A1493" s="1"/>
      <x:c r="B1493" s="1"/>
      <x:c r="C1493" s="1"/>
      <x:c r="D1493" s="1"/>
      <x:c r="E1493" s="1"/>
      <x:c r="F1493" s="1"/>
      <x:c r="G1493" s="1"/>
    </x:row>
    <x:row r="1494">
      <x:c r="A1494" s="1"/>
      <x:c r="B1494" s="1"/>
      <x:c r="C1494" s="1"/>
      <x:c r="D1494" s="1"/>
      <x:c r="E1494" s="1"/>
      <x:c r="F1494" s="1"/>
      <x:c r="G1494" s="1"/>
    </x:row>
    <x:row r="1495">
      <x:c r="A1495" s="1"/>
      <x:c r="B1495" s="1"/>
      <x:c r="C1495" s="1"/>
      <x:c r="D1495" s="1"/>
      <x:c r="E1495" s="1"/>
      <x:c r="F1495" s="1"/>
      <x:c r="G1495" s="1"/>
    </x:row>
    <x:row r="1496">
      <x:c r="A1496" s="1"/>
      <x:c r="B1496" s="1"/>
      <x:c r="C1496" s="1"/>
      <x:c r="D1496" s="1"/>
      <x:c r="E1496" s="1"/>
      <x:c r="F1496" s="1"/>
      <x:c r="G1496" s="1"/>
    </x:row>
    <x:row r="1497">
      <x:c r="A1497" s="1"/>
      <x:c r="B1497" s="1"/>
      <x:c r="C1497" s="1"/>
      <x:c r="D1497" s="1"/>
      <x:c r="E1497" s="1"/>
      <x:c r="F1497" s="1"/>
      <x:c r="G1497" s="1"/>
    </x:row>
    <x:row r="1498">
      <x:c r="A1498" s="1"/>
      <x:c r="B1498" s="1"/>
      <x:c r="C1498" s="1"/>
      <x:c r="D1498" s="1"/>
      <x:c r="E1498" s="1"/>
      <x:c r="F1498" s="1"/>
      <x:c r="G1498" s="1"/>
    </x:row>
    <x:row r="1499">
      <x:c r="A1499" s="1"/>
      <x:c r="B1499" s="1"/>
      <x:c r="C1499" s="1"/>
      <x:c r="D1499" s="1"/>
      <x:c r="E1499" s="1"/>
      <x:c r="F1499" s="1"/>
      <x:c r="G1499" s="1"/>
    </x:row>
    <x:row r="1500">
      <x:c r="A1500" s="1"/>
      <x:c r="B1500" s="1"/>
      <x:c r="C1500" s="1"/>
      <x:c r="D1500" s="1"/>
      <x:c r="E1500" s="1"/>
      <x:c r="F1500" s="1"/>
      <x:c r="G1500" s="1"/>
    </x:row>
    <x:row r="1501">
      <x:c r="A1501" s="1"/>
      <x:c r="B1501" s="1"/>
      <x:c r="C1501" s="1"/>
      <x:c r="D1501" s="1"/>
      <x:c r="E1501" s="1"/>
      <x:c r="F1501" s="1"/>
      <x:c r="G1501" s="1"/>
    </x:row>
    <x:row r="1502">
      <x:c r="A1502" s="1"/>
      <x:c r="B1502" s="1"/>
      <x:c r="C1502" s="1"/>
      <x:c r="D1502" s="1"/>
      <x:c r="E1502" s="1"/>
      <x:c r="F1502" s="1"/>
      <x:c r="G1502" s="1"/>
    </x:row>
    <x:row r="1503">
      <x:c r="A1503" s="1"/>
      <x:c r="B1503" s="1"/>
      <x:c r="C1503" s="1"/>
      <x:c r="D1503" s="1"/>
      <x:c r="E1503" s="1"/>
      <x:c r="F1503" s="1"/>
      <x:c r="G1503" s="1"/>
    </x:row>
    <x:row r="1504">
      <x:c r="A1504" s="1"/>
      <x:c r="B1504" s="1"/>
      <x:c r="C1504" s="1"/>
      <x:c r="D1504" s="1"/>
      <x:c r="E1504" s="1"/>
      <x:c r="F1504" s="1"/>
      <x:c r="G1504" s="1"/>
    </x:row>
    <x:row r="1505">
      <x:c r="A1505" s="1"/>
      <x:c r="B1505" s="1"/>
      <x:c r="C1505" s="1"/>
      <x:c r="D1505" s="1"/>
      <x:c r="E1505" s="1"/>
      <x:c r="F1505" s="1"/>
      <x:c r="G1505" s="1"/>
    </x:row>
    <x:row r="1506">
      <x:c r="A1506" s="1"/>
      <x:c r="B1506" s="1"/>
      <x:c r="C1506" s="1"/>
      <x:c r="D1506" s="1"/>
      <x:c r="E1506" s="1"/>
      <x:c r="F1506" s="1"/>
      <x:c r="G1506" s="1"/>
    </x:row>
    <x:row r="1507">
      <x:c r="A1507" s="1"/>
      <x:c r="B1507" s="1"/>
      <x:c r="C1507" s="1"/>
      <x:c r="D1507" s="1"/>
      <x:c r="E1507" s="1"/>
      <x:c r="F1507" s="1"/>
      <x:c r="G1507" s="1"/>
    </x:row>
    <x:row r="1508">
      <x:c r="A1508" s="1"/>
      <x:c r="B1508" s="1"/>
      <x:c r="C1508" s="1"/>
      <x:c r="D1508" s="1"/>
      <x:c r="E1508" s="1"/>
      <x:c r="F1508" s="1"/>
      <x:c r="G1508" s="1"/>
    </x:row>
    <x:row r="1509">
      <x:c r="A1509" s="1"/>
      <x:c r="B1509" s="1"/>
      <x:c r="C1509" s="1"/>
      <x:c r="D1509" s="1"/>
      <x:c r="E1509" s="1"/>
      <x:c r="F1509" s="1"/>
      <x:c r="G1509" s="1"/>
    </x:row>
    <x:row r="1510">
      <x:c r="A1510" s="1"/>
      <x:c r="B1510" s="1"/>
      <x:c r="C1510" s="1"/>
      <x:c r="D1510" s="1"/>
      <x:c r="E1510" s="1"/>
      <x:c r="F1510" s="1"/>
      <x:c r="G1510" s="1"/>
    </x:row>
    <x:row r="1511">
      <x:c r="A1511" s="1"/>
      <x:c r="B1511" s="1"/>
      <x:c r="C1511" s="1"/>
      <x:c r="D1511" s="1"/>
      <x:c r="E1511" s="1"/>
      <x:c r="F1511" s="1"/>
      <x:c r="G1511" s="1"/>
    </x:row>
    <x:row r="1512">
      <x:c r="A1512" s="1"/>
      <x:c r="B1512" s="1"/>
      <x:c r="C1512" s="1"/>
      <x:c r="D1512" s="1"/>
      <x:c r="E1512" s="1"/>
      <x:c r="F1512" s="1"/>
      <x:c r="G1512" s="1"/>
    </x:row>
    <x:row r="1513">
      <x:c r="A1513" s="1"/>
      <x:c r="B1513" s="1"/>
      <x:c r="C1513" s="1"/>
      <x:c r="D1513" s="1"/>
      <x:c r="E1513" s="1"/>
      <x:c r="F1513" s="1"/>
      <x:c r="G1513" s="1"/>
    </x:row>
    <x:row r="1514">
      <x:c r="A1514" s="1"/>
      <x:c r="B1514" s="1"/>
      <x:c r="C1514" s="1"/>
      <x:c r="D1514" s="1"/>
      <x:c r="E1514" s="1"/>
      <x:c r="F1514" s="1"/>
      <x:c r="G1514" s="1"/>
    </x:row>
    <x:row r="1515">
      <x:c r="A1515" s="1"/>
      <x:c r="B1515" s="1"/>
      <x:c r="C1515" s="1"/>
      <x:c r="D1515" s="1"/>
      <x:c r="E1515" s="1"/>
      <x:c r="F1515" s="1"/>
      <x:c r="G1515" s="1"/>
    </x:row>
    <x:row r="1516">
      <x:c r="A1516" s="1"/>
      <x:c r="B1516" s="1"/>
      <x:c r="C1516" s="1"/>
      <x:c r="D1516" s="1"/>
      <x:c r="E1516" s="1"/>
      <x:c r="F1516" s="1"/>
      <x:c r="G1516" s="1"/>
    </x:row>
    <x:row r="1517">
      <x:c r="A1517" s="1"/>
      <x:c r="B1517" s="1"/>
      <x:c r="C1517" s="1"/>
      <x:c r="D1517" s="1"/>
      <x:c r="E1517" s="1"/>
      <x:c r="F1517" s="1"/>
      <x:c r="G1517" s="1"/>
    </x:row>
    <x:row r="1518">
      <x:c r="A1518" s="1"/>
      <x:c r="B1518" s="1"/>
      <x:c r="C1518" s="1"/>
      <x:c r="D1518" s="1"/>
      <x:c r="E1518" s="1"/>
      <x:c r="F1518" s="1"/>
      <x:c r="G1518" s="1"/>
    </x:row>
    <x:row r="1519">
      <x:c r="A1519" s="1"/>
      <x:c r="B1519" s="1"/>
      <x:c r="C1519" s="1"/>
      <x:c r="D1519" s="1"/>
      <x:c r="E1519" s="1"/>
      <x:c r="F1519" s="1"/>
      <x:c r="G1519" s="1"/>
    </x:row>
    <x:row r="1520">
      <x:c r="A1520" s="1"/>
      <x:c r="B1520" s="1"/>
      <x:c r="C1520" s="1"/>
      <x:c r="D1520" s="1"/>
      <x:c r="E1520" s="1"/>
      <x:c r="F1520" s="1"/>
      <x:c r="G1520" s="1"/>
    </x:row>
    <x:row r="1521">
      <x:c r="A1521" s="1"/>
      <x:c r="B1521" s="1"/>
      <x:c r="C1521" s="1"/>
      <x:c r="D1521" s="1"/>
      <x:c r="E1521" s="1"/>
      <x:c r="F1521" s="1"/>
      <x:c r="G1521" s="1"/>
    </x:row>
    <x:row r="1522">
      <x:c r="A1522" s="1"/>
      <x:c r="B1522" s="1"/>
      <x:c r="C1522" s="1"/>
      <x:c r="D1522" s="1"/>
      <x:c r="E1522" s="1"/>
      <x:c r="F1522" s="1"/>
      <x:c r="G1522" s="1"/>
    </x:row>
    <x:row r="1523">
      <x:c r="A1523" s="1"/>
      <x:c r="B1523" s="1"/>
      <x:c r="C1523" s="1"/>
      <x:c r="D1523" s="1"/>
      <x:c r="E1523" s="1"/>
      <x:c r="F1523" s="1"/>
      <x:c r="G1523" s="1"/>
    </x:row>
    <x:row r="1524">
      <x:c r="A1524" s="1"/>
      <x:c r="B1524" s="1"/>
      <x:c r="C1524" s="1"/>
      <x:c r="D1524" s="1"/>
      <x:c r="E1524" s="1"/>
      <x:c r="F1524" s="1"/>
      <x:c r="G1524" s="1"/>
    </x:row>
    <x:row r="1525">
      <x:c r="A1525" s="1"/>
      <x:c r="B1525" s="1"/>
      <x:c r="C1525" s="1"/>
      <x:c r="D1525" s="1"/>
      <x:c r="E1525" s="1"/>
      <x:c r="F1525" s="1"/>
      <x:c r="G1525" s="1"/>
    </x:row>
    <x:row r="1526">
      <x:c r="A1526" s="1"/>
      <x:c r="B1526" s="1"/>
      <x:c r="C1526" s="1"/>
      <x:c r="D1526" s="1"/>
      <x:c r="E1526" s="1"/>
      <x:c r="F1526" s="1"/>
      <x:c r="G1526" s="1"/>
    </x:row>
    <x:row r="1527">
      <x:c r="A1527" s="1"/>
      <x:c r="B1527" s="1"/>
      <x:c r="C1527" s="1"/>
      <x:c r="D1527" s="1"/>
      <x:c r="E1527" s="1"/>
      <x:c r="F1527" s="1"/>
      <x:c r="G1527" s="1"/>
    </x:row>
    <x:row r="1528">
      <x:c r="A1528" s="1"/>
      <x:c r="B1528" s="1"/>
      <x:c r="C1528" s="1"/>
      <x:c r="D1528" s="1"/>
      <x:c r="E1528" s="1"/>
      <x:c r="F1528" s="1"/>
      <x:c r="G1528" s="1"/>
    </x:row>
    <x:row r="1529">
      <x:c r="A1529" s="1"/>
      <x:c r="B1529" s="1"/>
      <x:c r="C1529" s="1"/>
      <x:c r="D1529" s="1"/>
      <x:c r="E1529" s="1"/>
      <x:c r="F1529" s="1"/>
      <x:c r="G1529" s="1"/>
    </x:row>
    <x:row r="1530">
      <x:c r="A1530" s="1"/>
      <x:c r="B1530" s="1"/>
      <x:c r="C1530" s="1"/>
      <x:c r="D1530" s="1"/>
      <x:c r="E1530" s="1"/>
      <x:c r="F1530" s="1"/>
      <x:c r="G1530" s="1"/>
    </x:row>
    <x:row r="1531">
      <x:c r="A1531" s="1"/>
      <x:c r="B1531" s="1"/>
      <x:c r="C1531" s="1"/>
      <x:c r="D1531" s="1"/>
      <x:c r="E1531" s="1"/>
      <x:c r="F1531" s="1"/>
      <x:c r="G1531" s="1"/>
    </x:row>
    <x:row r="1532">
      <x:c r="A1532" s="1"/>
      <x:c r="B1532" s="1"/>
      <x:c r="C1532" s="1"/>
      <x:c r="D1532" s="1"/>
      <x:c r="E1532" s="1"/>
      <x:c r="F1532" s="1"/>
      <x:c r="G1532" s="1"/>
    </x:row>
    <x:row r="1533">
      <x:c r="A1533" s="1"/>
      <x:c r="B1533" s="1"/>
      <x:c r="C1533" s="1"/>
      <x:c r="D1533" s="1"/>
      <x:c r="E1533" s="1"/>
      <x:c r="F1533" s="1"/>
      <x:c r="G1533" s="1"/>
    </x:row>
    <x:row r="1534">
      <x:c r="A1534" s="1"/>
      <x:c r="B1534" s="1"/>
      <x:c r="C1534" s="1"/>
      <x:c r="D1534" s="1"/>
      <x:c r="E1534" s="1"/>
      <x:c r="F1534" s="1"/>
      <x:c r="G1534" s="1"/>
    </x:row>
    <x:row r="1535">
      <x:c r="A1535" s="1"/>
      <x:c r="B1535" s="1"/>
      <x:c r="C1535" s="1"/>
      <x:c r="D1535" s="1"/>
      <x:c r="E1535" s="1"/>
      <x:c r="F1535" s="1"/>
      <x:c r="G1535" s="1"/>
    </x:row>
    <x:row r="1536">
      <x:c r="A1536" s="1"/>
      <x:c r="B1536" s="1"/>
      <x:c r="C1536" s="1"/>
      <x:c r="D1536" s="1"/>
      <x:c r="E1536" s="1"/>
      <x:c r="F1536" s="1"/>
      <x:c r="G1536" s="1"/>
    </x:row>
    <x:row r="1537">
      <x:c r="A1537" s="1"/>
      <x:c r="B1537" s="1"/>
      <x:c r="C1537" s="1"/>
      <x:c r="D1537" s="1"/>
      <x:c r="E1537" s="1"/>
      <x:c r="F1537" s="1"/>
      <x:c r="G1537" s="1"/>
    </x:row>
    <x:row r="1538">
      <x:c r="A1538" s="1"/>
      <x:c r="B1538" s="1"/>
      <x:c r="C1538" s="1"/>
      <x:c r="D1538" s="1"/>
      <x:c r="E1538" s="1"/>
      <x:c r="F1538" s="1"/>
      <x:c r="G1538" s="1"/>
    </x:row>
    <x:row r="1539">
      <x:c r="A1539" s="1"/>
      <x:c r="B1539" s="1"/>
      <x:c r="C1539" s="1"/>
      <x:c r="D1539" s="1"/>
      <x:c r="E1539" s="1"/>
      <x:c r="F1539" s="1"/>
      <x:c r="G1539" s="1"/>
    </x:row>
    <x:row r="1540">
      <x:c r="A1540" s="1"/>
      <x:c r="B1540" s="1"/>
      <x:c r="C1540" s="1"/>
      <x:c r="D1540" s="1"/>
      <x:c r="E1540" s="1"/>
      <x:c r="F1540" s="1"/>
      <x:c r="G1540" s="1"/>
    </x:row>
    <x:row r="1541">
      <x:c r="A1541" s="1"/>
      <x:c r="B1541" s="1"/>
      <x:c r="C1541" s="1"/>
      <x:c r="D1541" s="1"/>
      <x:c r="E1541" s="1"/>
      <x:c r="F1541" s="1"/>
      <x:c r="G1541" s="1"/>
    </x:row>
    <x:row r="1542">
      <x:c r="A1542" s="1"/>
      <x:c r="B1542" s="1"/>
      <x:c r="C1542" s="1"/>
      <x:c r="D1542" s="1"/>
      <x:c r="E1542" s="1"/>
      <x:c r="F1542" s="1"/>
      <x:c r="G1542" s="1"/>
    </x:row>
    <x:row r="1543">
      <x:c r="A1543" s="1"/>
      <x:c r="B1543" s="1"/>
      <x:c r="C1543" s="1"/>
      <x:c r="D1543" s="1"/>
      <x:c r="E1543" s="1"/>
      <x:c r="F1543" s="1"/>
      <x:c r="G1543" s="1"/>
    </x:row>
    <x:row r="1544">
      <x:c r="A1544" s="1"/>
      <x:c r="B1544" s="1"/>
      <x:c r="C1544" s="1"/>
      <x:c r="D1544" s="1"/>
      <x:c r="E1544" s="1"/>
      <x:c r="F1544" s="1"/>
      <x:c r="G1544" s="1"/>
    </x:row>
    <x:row r="1545">
      <x:c r="A1545" s="1"/>
      <x:c r="B1545" s="1"/>
      <x:c r="C1545" s="1"/>
      <x:c r="D1545" s="1"/>
      <x:c r="E1545" s="1"/>
      <x:c r="F1545" s="1"/>
      <x:c r="G1545" s="1"/>
    </x:row>
    <x:row r="1546">
      <x:c r="A1546" s="1"/>
      <x:c r="B1546" s="1"/>
      <x:c r="C1546" s="1"/>
      <x:c r="D1546" s="1"/>
      <x:c r="E1546" s="1"/>
      <x:c r="F1546" s="1"/>
      <x:c r="G1546" s="1"/>
    </x:row>
    <x:row r="1547">
      <x:c r="A1547" s="1"/>
      <x:c r="B1547" s="1"/>
      <x:c r="C1547" s="1"/>
      <x:c r="D1547" s="1"/>
      <x:c r="E1547" s="1"/>
      <x:c r="F1547" s="1"/>
      <x:c r="G1547" s="1"/>
    </x:row>
    <x:row r="1548">
      <x:c r="A1548" s="1"/>
      <x:c r="B1548" s="1"/>
      <x:c r="C1548" s="1"/>
      <x:c r="D1548" s="1"/>
      <x:c r="E1548" s="1"/>
      <x:c r="F1548" s="1"/>
      <x:c r="G1548" s="1"/>
    </x:row>
    <x:row r="1549">
      <x:c r="A1549" s="1"/>
      <x:c r="B1549" s="1"/>
      <x:c r="C1549" s="1"/>
      <x:c r="D1549" s="1"/>
      <x:c r="E1549" s="1"/>
      <x:c r="F1549" s="1"/>
      <x:c r="G1549" s="1"/>
    </x:row>
    <x:row r="1550">
      <x:c r="A1550" s="1"/>
      <x:c r="B1550" s="1"/>
      <x:c r="C1550" s="1"/>
      <x:c r="D1550" s="1"/>
      <x:c r="E1550" s="1"/>
      <x:c r="F1550" s="1"/>
      <x:c r="G1550" s="1"/>
    </x:row>
    <x:row r="1551">
      <x:c r="A1551" s="1"/>
      <x:c r="B1551" s="1"/>
      <x:c r="C1551" s="1"/>
      <x:c r="D1551" s="1"/>
      <x:c r="E1551" s="1"/>
      <x:c r="F1551" s="1"/>
      <x:c r="G1551" s="1"/>
    </x:row>
    <x:row r="1552">
      <x:c r="A1552" s="1"/>
      <x:c r="B1552" s="1"/>
      <x:c r="C1552" s="1"/>
      <x:c r="D1552" s="1"/>
      <x:c r="E1552" s="1"/>
      <x:c r="F1552" s="1"/>
      <x:c r="G1552" s="1"/>
    </x:row>
    <x:row r="1553">
      <x:c r="A1553" s="1"/>
      <x:c r="B1553" s="1"/>
      <x:c r="C1553" s="1"/>
      <x:c r="D1553" s="1"/>
      <x:c r="E1553" s="1"/>
      <x:c r="F1553" s="1"/>
      <x:c r="G1553" s="1"/>
    </x:row>
    <x:row r="1554">
      <x:c r="A1554" s="1"/>
      <x:c r="B1554" s="1"/>
      <x:c r="C1554" s="1"/>
      <x:c r="D1554" s="1"/>
      <x:c r="E1554" s="1"/>
      <x:c r="F1554" s="1"/>
      <x:c r="G1554" s="1"/>
    </x:row>
    <x:row r="1555">
      <x:c r="A1555" s="1"/>
      <x:c r="B1555" s="1"/>
      <x:c r="C1555" s="1"/>
      <x:c r="D1555" s="1"/>
      <x:c r="E1555" s="1"/>
      <x:c r="F1555" s="1"/>
      <x:c r="G1555" s="1"/>
    </x:row>
    <x:row r="1556">
      <x:c r="A1556" s="1"/>
      <x:c r="B1556" s="1"/>
      <x:c r="C1556" s="1"/>
      <x:c r="D1556" s="1"/>
      <x:c r="E1556" s="1"/>
      <x:c r="F1556" s="1"/>
      <x:c r="G1556" s="1"/>
    </x:row>
    <x:row r="1557">
      <x:c r="A1557" s="1"/>
      <x:c r="B1557" s="1"/>
      <x:c r="C1557" s="1"/>
      <x:c r="D1557" s="1"/>
      <x:c r="E1557" s="1"/>
      <x:c r="F1557" s="1"/>
      <x:c r="G1557" s="1"/>
    </x:row>
    <x:row r="1558">
      <x:c r="A1558" s="1"/>
      <x:c r="B1558" s="1"/>
      <x:c r="C1558" s="1"/>
      <x:c r="D1558" s="1"/>
      <x:c r="E1558" s="1"/>
      <x:c r="F1558" s="1"/>
      <x:c r="G1558" s="1"/>
    </x:row>
    <x:row r="1559">
      <x:c r="A1559" s="1"/>
      <x:c r="B1559" s="1"/>
      <x:c r="C1559" s="1"/>
      <x:c r="D1559" s="1"/>
      <x:c r="E1559" s="1"/>
      <x:c r="F1559" s="1"/>
      <x:c r="G1559" s="1"/>
    </x:row>
    <x:row r="1560">
      <x:c r="A1560" s="1"/>
      <x:c r="B1560" s="1"/>
      <x:c r="C1560" s="1"/>
      <x:c r="D1560" s="1"/>
      <x:c r="E1560" s="1"/>
      <x:c r="F1560" s="1"/>
      <x:c r="G1560" s="1"/>
    </x:row>
    <x:row r="1561">
      <x:c r="A1561" s="1"/>
      <x:c r="B1561" s="1"/>
      <x:c r="C1561" s="1"/>
      <x:c r="D1561" s="1"/>
      <x:c r="E1561" s="1"/>
      <x:c r="F1561" s="1"/>
      <x:c r="G1561" s="1"/>
    </x:row>
    <x:row r="1562">
      <x:c r="A1562" s="1"/>
      <x:c r="B1562" s="1"/>
      <x:c r="C1562" s="1"/>
      <x:c r="D1562" s="1"/>
      <x:c r="E1562" s="1"/>
      <x:c r="F1562" s="1"/>
      <x:c r="G1562" s="1"/>
    </x:row>
    <x:row r="1563">
      <x:c r="A1563" s="1"/>
      <x:c r="B1563" s="1"/>
      <x:c r="C1563" s="1"/>
      <x:c r="D1563" s="1"/>
      <x:c r="E1563" s="1"/>
      <x:c r="F1563" s="1"/>
      <x:c r="G1563" s="1"/>
    </x:row>
    <x:row r="1564">
      <x:c r="A1564" s="1"/>
      <x:c r="B1564" s="1"/>
      <x:c r="C1564" s="1"/>
      <x:c r="D1564" s="1"/>
      <x:c r="E1564" s="1"/>
      <x:c r="F1564" s="1"/>
      <x:c r="G1564" s="1"/>
    </x:row>
    <x:row r="1565">
      <x:c r="A1565" s="1"/>
      <x:c r="B1565" s="1"/>
      <x:c r="C1565" s="1"/>
      <x:c r="D1565" s="1"/>
      <x:c r="E1565" s="1"/>
      <x:c r="F1565" s="1"/>
      <x:c r="G1565" s="1"/>
    </x:row>
    <x:row r="1566">
      <x:c r="A1566" s="1"/>
      <x:c r="B1566" s="1"/>
      <x:c r="C1566" s="1"/>
      <x:c r="D1566" s="1"/>
      <x:c r="E1566" s="1"/>
      <x:c r="F1566" s="1"/>
      <x:c r="G1566" s="1"/>
    </x:row>
    <x:row r="1567">
      <x:c r="A1567" s="1"/>
      <x:c r="B1567" s="1"/>
      <x:c r="C1567" s="1"/>
      <x:c r="D1567" s="1"/>
      <x:c r="E1567" s="1"/>
      <x:c r="F1567" s="1"/>
      <x:c r="G1567" s="1"/>
    </x:row>
    <x:row r="1568">
      <x:c r="A1568" s="1"/>
      <x:c r="B1568" s="1"/>
      <x:c r="C1568" s="1"/>
      <x:c r="D1568" s="1"/>
      <x:c r="E1568" s="1"/>
      <x:c r="F1568" s="1"/>
      <x:c r="G1568" s="1"/>
    </x:row>
    <x:row r="1569">
      <x:c r="A1569" s="1"/>
      <x:c r="B1569" s="1"/>
      <x:c r="C1569" s="1"/>
      <x:c r="D1569" s="1"/>
      <x:c r="E1569" s="1"/>
      <x:c r="F1569" s="1"/>
      <x:c r="G1569" s="1"/>
    </x:row>
    <x:row r="1570">
      <x:c r="A1570" s="1"/>
      <x:c r="B1570" s="1"/>
      <x:c r="C1570" s="1"/>
      <x:c r="D1570" s="1"/>
      <x:c r="E1570" s="1"/>
      <x:c r="F1570" s="1"/>
      <x:c r="G1570" s="1"/>
    </x:row>
    <x:row r="1571">
      <x:c r="A1571" s="1"/>
      <x:c r="B1571" s="1"/>
      <x:c r="C1571" s="1"/>
      <x:c r="D1571" s="1"/>
      <x:c r="E1571" s="1"/>
      <x:c r="F1571" s="1"/>
      <x:c r="G1571" s="1"/>
    </x:row>
    <x:row r="1572">
      <x:c r="A1572" s="1"/>
      <x:c r="B1572" s="1"/>
      <x:c r="C1572" s="1"/>
      <x:c r="D1572" s="1"/>
      <x:c r="E1572" s="1"/>
      <x:c r="F1572" s="1"/>
      <x:c r="G1572" s="1"/>
    </x:row>
    <x:row r="1573">
      <x:c r="A1573" s="1"/>
      <x:c r="B1573" s="1"/>
      <x:c r="C1573" s="1"/>
      <x:c r="D1573" s="1"/>
      <x:c r="E1573" s="1"/>
      <x:c r="F1573" s="1"/>
      <x:c r="G1573" s="1"/>
    </x:row>
    <x:row r="1574">
      <x:c r="A1574" s="1"/>
      <x:c r="B1574" s="1"/>
      <x:c r="C1574" s="1"/>
      <x:c r="D1574" s="1"/>
      <x:c r="E1574" s="1"/>
      <x:c r="F1574" s="1"/>
      <x:c r="G1574" s="1"/>
    </x:row>
    <x:row r="1575">
      <x:c r="A1575" s="1"/>
      <x:c r="B1575" s="1"/>
      <x:c r="C1575" s="1"/>
      <x:c r="D1575" s="1"/>
      <x:c r="E1575" s="1"/>
      <x:c r="F1575" s="1"/>
      <x:c r="G1575" s="1"/>
    </x:row>
    <x:row r="1576">
      <x:c r="A1576" s="1"/>
      <x:c r="B1576" s="1"/>
      <x:c r="C1576" s="1"/>
      <x:c r="D1576" s="1"/>
      <x:c r="E1576" s="1"/>
      <x:c r="F1576" s="1"/>
      <x:c r="G1576" s="1"/>
    </x:row>
    <x:row r="1577">
      <x:c r="A1577" s="1"/>
      <x:c r="B1577" s="1"/>
      <x:c r="C1577" s="1"/>
      <x:c r="D1577" s="1"/>
      <x:c r="E1577" s="1"/>
      <x:c r="F1577" s="1"/>
      <x:c r="G1577" s="1"/>
    </x:row>
    <x:row r="1578">
      <x:c r="A1578" s="1"/>
      <x:c r="B1578" s="1"/>
      <x:c r="C1578" s="1"/>
      <x:c r="D1578" s="1"/>
      <x:c r="E1578" s="1"/>
      <x:c r="F1578" s="1"/>
      <x:c r="G1578" s="1"/>
    </x:row>
    <x:row r="1579">
      <x:c r="A1579" s="1"/>
      <x:c r="B1579" s="1"/>
      <x:c r="C1579" s="1"/>
      <x:c r="D1579" s="1"/>
      <x:c r="E1579" s="1"/>
      <x:c r="F1579" s="1"/>
      <x:c r="G1579" s="1"/>
    </x:row>
    <x:row r="1580">
      <x:c r="A1580" s="1"/>
      <x:c r="B1580" s="1"/>
      <x:c r="C1580" s="1"/>
      <x:c r="D1580" s="1"/>
      <x:c r="E1580" s="1"/>
      <x:c r="F1580" s="1"/>
      <x:c r="G1580" s="1"/>
    </x:row>
    <x:row r="1581">
      <x:c r="A1581" s="1"/>
      <x:c r="B1581" s="1"/>
      <x:c r="C1581" s="1"/>
      <x:c r="D1581" s="1"/>
      <x:c r="E1581" s="1"/>
      <x:c r="F1581" s="1"/>
      <x:c r="G1581" s="1"/>
    </x:row>
    <x:row r="1582">
      <x:c r="A1582" s="1"/>
      <x:c r="B1582" s="1"/>
      <x:c r="C1582" s="1"/>
      <x:c r="D1582" s="1"/>
      <x:c r="E1582" s="1"/>
      <x:c r="F1582" s="1"/>
      <x:c r="G1582" s="1"/>
    </x:row>
    <x:row r="1583">
      <x:c r="A1583" s="1"/>
      <x:c r="B1583" s="1"/>
      <x:c r="C1583" s="1"/>
      <x:c r="D1583" s="1"/>
      <x:c r="E1583" s="1"/>
      <x:c r="F1583" s="1"/>
      <x:c r="G1583" s="1"/>
    </x:row>
    <x:row r="1584">
      <x:c r="A1584" s="1"/>
      <x:c r="B1584" s="1"/>
      <x:c r="C1584" s="1"/>
      <x:c r="D1584" s="1"/>
      <x:c r="E1584" s="1"/>
      <x:c r="F1584" s="1"/>
      <x:c r="G1584" s="1"/>
    </x:row>
    <x:row r="1585">
      <x:c r="A1585" s="1"/>
      <x:c r="B1585" s="1"/>
      <x:c r="C1585" s="1"/>
      <x:c r="D1585" s="1"/>
      <x:c r="E1585" s="1"/>
      <x:c r="F1585" s="1"/>
      <x:c r="G1585" s="1"/>
    </x:row>
    <x:row r="1586">
      <x:c r="A1586" s="1"/>
      <x:c r="B1586" s="1"/>
      <x:c r="C1586" s="1"/>
      <x:c r="D1586" s="1"/>
      <x:c r="E1586" s="1"/>
      <x:c r="F1586" s="1"/>
      <x:c r="G1586" s="1"/>
    </x:row>
    <x:row r="1587">
      <x:c r="A1587" s="1"/>
      <x:c r="B1587" s="1"/>
      <x:c r="C1587" s="1"/>
      <x:c r="D1587" s="1"/>
      <x:c r="E1587" s="1"/>
      <x:c r="F1587" s="1"/>
      <x:c r="G1587" s="1"/>
    </x:row>
    <x:row r="1588">
      <x:c r="A1588" s="1"/>
      <x:c r="B1588" s="1"/>
      <x:c r="C1588" s="1"/>
      <x:c r="D1588" s="1"/>
      <x:c r="E1588" s="1"/>
      <x:c r="F1588" s="1"/>
      <x:c r="G1588" s="1"/>
    </x:row>
    <x:row r="1589">
      <x:c r="A1589" s="1"/>
      <x:c r="B1589" s="1"/>
      <x:c r="C1589" s="1"/>
      <x:c r="D1589" s="1"/>
      <x:c r="E1589" s="1"/>
      <x:c r="F1589" s="1"/>
      <x:c r="G1589" s="1"/>
    </x:row>
    <x:row r="1590">
      <x:c r="A1590" s="1"/>
      <x:c r="B1590" s="1"/>
      <x:c r="C1590" s="1"/>
      <x:c r="D1590" s="1"/>
      <x:c r="E1590" s="1"/>
      <x:c r="F1590" s="1"/>
      <x:c r="G1590" s="1"/>
    </x:row>
    <x:row r="1591">
      <x:c r="A1591" s="1"/>
      <x:c r="B1591" s="1"/>
      <x:c r="C1591" s="1"/>
      <x:c r="D1591" s="1"/>
      <x:c r="E1591" s="1"/>
      <x:c r="F1591" s="1"/>
      <x:c r="G1591" s="1"/>
    </x:row>
    <x:row r="1592">
      <x:c r="A1592" s="1"/>
      <x:c r="B1592" s="1"/>
      <x:c r="C1592" s="1"/>
      <x:c r="D1592" s="1"/>
      <x:c r="E1592" s="1"/>
      <x:c r="F1592" s="1"/>
      <x:c r="G1592" s="1"/>
    </x:row>
    <x:row r="1593">
      <x:c r="A1593" s="1"/>
      <x:c r="B1593" s="1"/>
      <x:c r="C1593" s="1"/>
      <x:c r="D1593" s="1"/>
      <x:c r="E1593" s="1"/>
      <x:c r="F1593" s="1"/>
      <x:c r="G1593" s="1"/>
    </x:row>
    <x:row r="1594">
      <x:c r="A1594" s="1"/>
      <x:c r="B1594" s="1"/>
      <x:c r="C1594" s="1"/>
      <x:c r="D1594" s="1"/>
      <x:c r="E1594" s="1"/>
      <x:c r="F1594" s="1"/>
      <x:c r="G1594" s="1"/>
    </x:row>
    <x:row r="1595">
      <x:c r="A1595" s="1"/>
      <x:c r="B1595" s="1"/>
      <x:c r="C1595" s="1"/>
      <x:c r="D1595" s="1"/>
      <x:c r="E1595" s="1"/>
      <x:c r="F1595" s="1"/>
      <x:c r="G1595" s="1"/>
    </x:row>
    <x:row r="1596">
      <x:c r="A1596" s="1"/>
      <x:c r="B1596" s="1"/>
      <x:c r="C1596" s="1"/>
      <x:c r="D1596" s="1"/>
      <x:c r="E1596" s="1"/>
      <x:c r="F1596" s="1"/>
      <x:c r="G1596" s="1"/>
    </x:row>
    <x:row r="1597">
      <x:c r="A1597" s="1"/>
      <x:c r="B1597" s="1"/>
      <x:c r="C1597" s="1"/>
      <x:c r="D1597" s="1"/>
      <x:c r="E1597" s="1"/>
      <x:c r="F1597" s="1"/>
      <x:c r="G1597" s="1"/>
    </x:row>
    <x:row r="1598">
      <x:c r="A1598" s="1"/>
      <x:c r="B1598" s="1"/>
      <x:c r="C1598" s="1"/>
      <x:c r="D1598" s="1"/>
      <x:c r="E1598" s="1"/>
      <x:c r="F1598" s="1"/>
      <x:c r="G1598" s="1"/>
    </x:row>
    <x:row r="1599">
      <x:c r="A1599" s="1"/>
      <x:c r="B1599" s="1"/>
      <x:c r="C1599" s="1"/>
      <x:c r="D1599" s="1"/>
      <x:c r="E1599" s="1"/>
      <x:c r="F1599" s="1"/>
      <x:c r="G1599" s="1"/>
    </x:row>
    <x:row r="1600">
      <x:c r="A1600" s="1"/>
      <x:c r="B1600" s="1"/>
      <x:c r="C1600" s="1"/>
      <x:c r="D1600" s="1"/>
      <x:c r="E1600" s="1"/>
      <x:c r="F1600" s="1"/>
      <x:c r="G1600" s="1"/>
    </x:row>
    <x:row r="1601">
      <x:c r="A1601" s="1"/>
      <x:c r="B1601" s="1"/>
      <x:c r="C1601" s="1"/>
      <x:c r="D1601" s="1"/>
      <x:c r="E1601" s="1"/>
      <x:c r="F1601" s="1"/>
      <x:c r="G1601" s="1"/>
    </x:row>
    <x:row r="1602">
      <x:c r="A1602" s="1"/>
      <x:c r="B1602" s="1"/>
      <x:c r="C1602" s="1"/>
      <x:c r="D1602" s="1"/>
      <x:c r="E1602" s="1"/>
      <x:c r="F1602" s="1"/>
      <x:c r="G1602" s="1"/>
    </x:row>
    <x:row r="1603">
      <x:c r="A1603" s="1"/>
      <x:c r="B1603" s="1"/>
      <x:c r="C1603" s="1"/>
      <x:c r="D1603" s="1"/>
      <x:c r="E1603" s="1"/>
      <x:c r="F1603" s="1"/>
      <x:c r="G1603" s="1"/>
    </x:row>
    <x:row r="1604">
      <x:c r="A1604" s="1"/>
      <x:c r="B1604" s="1"/>
      <x:c r="C1604" s="1"/>
      <x:c r="D1604" s="1"/>
      <x:c r="E1604" s="1"/>
      <x:c r="F1604" s="1"/>
      <x:c r="G1604" s="1"/>
    </x:row>
    <x:row r="1605">
      <x:c r="A1605" s="1"/>
      <x:c r="B1605" s="1"/>
      <x:c r="C1605" s="1"/>
      <x:c r="D1605" s="1"/>
      <x:c r="E1605" s="1"/>
      <x:c r="F1605" s="1"/>
      <x:c r="G1605" s="1"/>
    </x:row>
    <x:row r="1606">
      <x:c r="A1606" s="1"/>
      <x:c r="B1606" s="1"/>
      <x:c r="C1606" s="1"/>
      <x:c r="D1606" s="1"/>
      <x:c r="E1606" s="1"/>
      <x:c r="F1606" s="1"/>
      <x:c r="G1606" s="1"/>
    </x:row>
    <x:row r="1607">
      <x:c r="A1607" s="1"/>
      <x:c r="B1607" s="1"/>
      <x:c r="C1607" s="1"/>
      <x:c r="D1607" s="1"/>
      <x:c r="E1607" s="1"/>
      <x:c r="F1607" s="1"/>
      <x:c r="G1607" s="1"/>
    </x:row>
    <x:row r="1608">
      <x:c r="A1608" s="1"/>
      <x:c r="B1608" s="1"/>
      <x:c r="C1608" s="1"/>
      <x:c r="D1608" s="1"/>
      <x:c r="E1608" s="1"/>
      <x:c r="F1608" s="1"/>
      <x:c r="G1608" s="1"/>
    </x:row>
    <x:row r="1609">
      <x:c r="A1609" s="1"/>
      <x:c r="B1609" s="1"/>
      <x:c r="C1609" s="1"/>
      <x:c r="D1609" s="1"/>
      <x:c r="E1609" s="1"/>
      <x:c r="F1609" s="1"/>
      <x:c r="G1609" s="1"/>
    </x:row>
    <x:row r="1610">
      <x:c r="A1610" s="1"/>
      <x:c r="B1610" s="1"/>
      <x:c r="C1610" s="1"/>
      <x:c r="D1610" s="1"/>
      <x:c r="E1610" s="1"/>
      <x:c r="F1610" s="1"/>
      <x:c r="G1610" s="1"/>
    </x:row>
    <x:row r="1611">
      <x:c r="A1611" s="1"/>
      <x:c r="B1611" s="1"/>
      <x:c r="C1611" s="1"/>
      <x:c r="D1611" s="1"/>
      <x:c r="E1611" s="1"/>
      <x:c r="F1611" s="1"/>
      <x:c r="G1611" s="1"/>
    </x:row>
    <x:row r="1612">
      <x:c r="A1612" s="1"/>
      <x:c r="B1612" s="1"/>
      <x:c r="C1612" s="1"/>
      <x:c r="D1612" s="1"/>
      <x:c r="E1612" s="1"/>
      <x:c r="F1612" s="1"/>
      <x:c r="G1612" s="1"/>
    </x:row>
    <x:row r="1613">
      <x:c r="A1613" s="1"/>
      <x:c r="B1613" s="1"/>
      <x:c r="C1613" s="1"/>
      <x:c r="D1613" s="1"/>
      <x:c r="E1613" s="1"/>
      <x:c r="F1613" s="1"/>
      <x:c r="G1613" s="1"/>
    </x:row>
    <x:row r="1614">
      <x:c r="A1614" s="1"/>
      <x:c r="B1614" s="1"/>
      <x:c r="C1614" s="1"/>
      <x:c r="D1614" s="1"/>
      <x:c r="E1614" s="1"/>
      <x:c r="F1614" s="1"/>
      <x:c r="G1614" s="1"/>
    </x:row>
    <x:row r="1615">
      <x:c r="A1615" s="1"/>
      <x:c r="B1615" s="1"/>
      <x:c r="C1615" s="1"/>
      <x:c r="D1615" s="1"/>
      <x:c r="E1615" s="1"/>
      <x:c r="F1615" s="1"/>
      <x:c r="G1615" s="1"/>
    </x:row>
    <x:row r="1616">
      <x:c r="A1616" s="1"/>
      <x:c r="B1616" s="1"/>
      <x:c r="C1616" s="1"/>
      <x:c r="D1616" s="1"/>
      <x:c r="E1616" s="1"/>
      <x:c r="F1616" s="1"/>
      <x:c r="G1616" s="1"/>
    </x:row>
    <x:row r="1617">
      <x:c r="A1617" s="1"/>
      <x:c r="B1617" s="1"/>
      <x:c r="C1617" s="1"/>
      <x:c r="D1617" s="1"/>
      <x:c r="E1617" s="1"/>
      <x:c r="F1617" s="1"/>
      <x:c r="G1617" s="1"/>
    </x:row>
    <x:row r="1618">
      <x:c r="A1618" s="1"/>
      <x:c r="B1618" s="1"/>
      <x:c r="C1618" s="1"/>
      <x:c r="D1618" s="1"/>
      <x:c r="E1618" s="1"/>
      <x:c r="F1618" s="1"/>
      <x:c r="G1618" s="1"/>
    </x:row>
    <x:row r="1619">
      <x:c r="A1619" s="1"/>
      <x:c r="B1619" s="1"/>
      <x:c r="C1619" s="1"/>
      <x:c r="D1619" s="1"/>
      <x:c r="E1619" s="1"/>
      <x:c r="F1619" s="1"/>
      <x:c r="G1619" s="1"/>
    </x:row>
    <x:row r="1620">
      <x:c r="A1620" s="1"/>
      <x:c r="B1620" s="1"/>
      <x:c r="C1620" s="1"/>
      <x:c r="D1620" s="1"/>
      <x:c r="E1620" s="1"/>
      <x:c r="F1620" s="1"/>
      <x:c r="G1620" s="1"/>
    </x:row>
    <x:row r="1621">
      <x:c r="A1621" s="1"/>
      <x:c r="B1621" s="1"/>
      <x:c r="C1621" s="1"/>
      <x:c r="D1621" s="1"/>
      <x:c r="E1621" s="1"/>
      <x:c r="F1621" s="1"/>
      <x:c r="G1621" s="1"/>
    </x:row>
    <x:row r="1622">
      <x:c r="A1622" s="1"/>
      <x:c r="B1622" s="1"/>
      <x:c r="C1622" s="1"/>
      <x:c r="D1622" s="1"/>
      <x:c r="E1622" s="1"/>
      <x:c r="F1622" s="1"/>
      <x:c r="G1622" s="1"/>
    </x:row>
    <x:row r="1623">
      <x:c r="A1623" s="1"/>
      <x:c r="B1623" s="1"/>
      <x:c r="C1623" s="1"/>
      <x:c r="D1623" s="1"/>
      <x:c r="E1623" s="1"/>
      <x:c r="F1623" s="1"/>
      <x:c r="G1623" s="1"/>
    </x:row>
    <x:row r="1624">
      <x:c r="A1624" s="1"/>
      <x:c r="B1624" s="1"/>
      <x:c r="C1624" s="1"/>
      <x:c r="D1624" s="1"/>
      <x:c r="E1624" s="1"/>
      <x:c r="F1624" s="1"/>
      <x:c r="G1624" s="1"/>
    </x:row>
    <x:row r="1625">
      <x:c r="A1625" s="1"/>
      <x:c r="B1625" s="1"/>
      <x:c r="C1625" s="1"/>
      <x:c r="D1625" s="1"/>
      <x:c r="E1625" s="1"/>
      <x:c r="F1625" s="1"/>
      <x:c r="G1625" s="1"/>
    </x:row>
    <x:row r="1626">
      <x:c r="A1626" s="1"/>
      <x:c r="B1626" s="1"/>
      <x:c r="C1626" s="1"/>
      <x:c r="D1626" s="1"/>
      <x:c r="E1626" s="1"/>
      <x:c r="F1626" s="1"/>
      <x:c r="G1626" s="1"/>
    </x:row>
    <x:row r="1627">
      <x:c r="A1627" s="1"/>
      <x:c r="B1627" s="1"/>
      <x:c r="C1627" s="1"/>
      <x:c r="D1627" s="1"/>
      <x:c r="E1627" s="1"/>
      <x:c r="F1627" s="1"/>
      <x:c r="G1627" s="1"/>
    </x:row>
    <x:row r="1628">
      <x:c r="A1628" s="1"/>
      <x:c r="B1628" s="1"/>
      <x:c r="C1628" s="1"/>
      <x:c r="D1628" s="1"/>
      <x:c r="E1628" s="1"/>
      <x:c r="F1628" s="1"/>
      <x:c r="G1628" s="1"/>
    </x:row>
    <x:row r="1629">
      <x:c r="A1629" s="1"/>
      <x:c r="B1629" s="1"/>
      <x:c r="C1629" s="1"/>
      <x:c r="D1629" s="1"/>
      <x:c r="E1629" s="1"/>
      <x:c r="F1629" s="1"/>
      <x:c r="G1629" s="1"/>
    </x:row>
    <x:row r="1630">
      <x:c r="A1630" s="1"/>
      <x:c r="B1630" s="1"/>
      <x:c r="C1630" s="1"/>
      <x:c r="D1630" s="1"/>
      <x:c r="E1630" s="1"/>
      <x:c r="F1630" s="1"/>
      <x:c r="G1630" s="1"/>
    </x:row>
    <x:row r="1631">
      <x:c r="A1631" s="1"/>
      <x:c r="B1631" s="1"/>
      <x:c r="C1631" s="1"/>
      <x:c r="D1631" s="1"/>
      <x:c r="E1631" s="1"/>
      <x:c r="F1631" s="1"/>
      <x:c r="G1631" s="1"/>
    </x:row>
    <x:row r="1632">
      <x:c r="A1632" s="1"/>
      <x:c r="B1632" s="1"/>
      <x:c r="C1632" s="1"/>
      <x:c r="D1632" s="1"/>
      <x:c r="E1632" s="1"/>
      <x:c r="F1632" s="1"/>
      <x:c r="G1632" s="1"/>
    </x:row>
    <x:row r="1633">
      <x:c r="A1633" s="1"/>
      <x:c r="B1633" s="1"/>
      <x:c r="C1633" s="1"/>
      <x:c r="D1633" s="1"/>
      <x:c r="E1633" s="1"/>
      <x:c r="F1633" s="1"/>
      <x:c r="G1633" s="1"/>
    </x:row>
    <x:row r="1634">
      <x:c r="A1634" s="1"/>
      <x:c r="B1634" s="1"/>
      <x:c r="C1634" s="1"/>
      <x:c r="D1634" s="1"/>
      <x:c r="E1634" s="1"/>
      <x:c r="F1634" s="1"/>
      <x:c r="G1634" s="1"/>
    </x:row>
    <x:row r="1635">
      <x:c r="A1635" s="1"/>
      <x:c r="B1635" s="1"/>
      <x:c r="C1635" s="1"/>
      <x:c r="D1635" s="1"/>
      <x:c r="E1635" s="1"/>
      <x:c r="F1635" s="1"/>
      <x:c r="G1635" s="1"/>
    </x:row>
    <x:row r="1636">
      <x:c r="A1636" s="1"/>
      <x:c r="B1636" s="1"/>
      <x:c r="C1636" s="1"/>
      <x:c r="D1636" s="1"/>
      <x:c r="E1636" s="1"/>
      <x:c r="F1636" s="1"/>
      <x:c r="G1636" s="1"/>
    </x:row>
    <x:row r="1637">
      <x:c r="A1637" s="1"/>
      <x:c r="B1637" s="1"/>
      <x:c r="C1637" s="1"/>
      <x:c r="D1637" s="1"/>
      <x:c r="E1637" s="1"/>
      <x:c r="F1637" s="1"/>
      <x:c r="G1637" s="1"/>
    </x:row>
    <x:row r="1638">
      <x:c r="A1638" s="1"/>
      <x:c r="B1638" s="1"/>
      <x:c r="C1638" s="1"/>
      <x:c r="D1638" s="1"/>
      <x:c r="E1638" s="1"/>
      <x:c r="F1638" s="1"/>
      <x:c r="G1638" s="1"/>
    </x:row>
    <x:row r="1639">
      <x:c r="A1639" s="1"/>
      <x:c r="B1639" s="1"/>
      <x:c r="C1639" s="1"/>
      <x:c r="D1639" s="1"/>
      <x:c r="E1639" s="1"/>
      <x:c r="F1639" s="1"/>
      <x:c r="G1639" s="1"/>
    </x:row>
    <x:row r="1640">
      <x:c r="A1640" s="1"/>
      <x:c r="B1640" s="1"/>
      <x:c r="C1640" s="1"/>
      <x:c r="D1640" s="1"/>
      <x:c r="E1640" s="1"/>
      <x:c r="F1640" s="1"/>
      <x:c r="G1640" s="1"/>
    </x:row>
    <x:row r="1641">
      <x:c r="A1641" s="1"/>
      <x:c r="B1641" s="1"/>
      <x:c r="C1641" s="1"/>
      <x:c r="D1641" s="1"/>
      <x:c r="E1641" s="1"/>
      <x:c r="F1641" s="1"/>
      <x:c r="G1641" s="1"/>
    </x:row>
    <x:row r="1642">
      <x:c r="A1642" s="1"/>
      <x:c r="B1642" s="1"/>
      <x:c r="C1642" s="1"/>
      <x:c r="D1642" s="1"/>
      <x:c r="E1642" s="1"/>
      <x:c r="F1642" s="1"/>
      <x:c r="G1642" s="1"/>
    </x:row>
    <x:row r="1643">
      <x:c r="A1643" s="1"/>
      <x:c r="B1643" s="1"/>
      <x:c r="C1643" s="1"/>
      <x:c r="D1643" s="1"/>
      <x:c r="E1643" s="1"/>
      <x:c r="F1643" s="1"/>
      <x:c r="G1643" s="1"/>
    </x:row>
    <x:row r="1644">
      <x:c r="A1644" s="1"/>
      <x:c r="B1644" s="1"/>
      <x:c r="C1644" s="1"/>
      <x:c r="D1644" s="1"/>
      <x:c r="E1644" s="1"/>
      <x:c r="F1644" s="1"/>
      <x:c r="G1644" s="1"/>
    </x:row>
    <x:row r="1645">
      <x:c r="A1645" s="1"/>
      <x:c r="B1645" s="1"/>
      <x:c r="C1645" s="1"/>
      <x:c r="D1645" s="1"/>
      <x:c r="E1645" s="1"/>
      <x:c r="F1645" s="1"/>
      <x:c r="G1645" s="1"/>
    </x:row>
    <x:row r="1646">
      <x:c r="A1646" s="1"/>
      <x:c r="B1646" s="1"/>
      <x:c r="C1646" s="1"/>
      <x:c r="D1646" s="1"/>
      <x:c r="E1646" s="1"/>
      <x:c r="F1646" s="1"/>
      <x:c r="G1646" s="1"/>
    </x:row>
    <x:row r="1647">
      <x:c r="A1647" s="1"/>
      <x:c r="B1647" s="1"/>
      <x:c r="C1647" s="1"/>
      <x:c r="D1647" s="1"/>
      <x:c r="E1647" s="1"/>
      <x:c r="F1647" s="1"/>
      <x:c r="G1647" s="1"/>
    </x:row>
    <x:row r="1648">
      <x:c r="A1648" s="1"/>
      <x:c r="B1648" s="1"/>
      <x:c r="C1648" s="1"/>
      <x:c r="D1648" s="1"/>
      <x:c r="E1648" s="1"/>
      <x:c r="F1648" s="1"/>
      <x:c r="G1648" s="1"/>
    </x:row>
    <x:row r="1649">
      <x:c r="A1649" s="1"/>
      <x:c r="B1649" s="1"/>
      <x:c r="C1649" s="1"/>
      <x:c r="D1649" s="1"/>
      <x:c r="E1649" s="1"/>
      <x:c r="F1649" s="1"/>
      <x:c r="G1649" s="1"/>
    </x:row>
    <x:row r="1650">
      <x:c r="A1650" s="1"/>
      <x:c r="B1650" s="1"/>
      <x:c r="C1650" s="1"/>
      <x:c r="D1650" s="1"/>
      <x:c r="E1650" s="1"/>
      <x:c r="F1650" s="1"/>
      <x:c r="G1650" s="1"/>
    </x:row>
    <x:row r="1651">
      <x:c r="A1651" s="1"/>
      <x:c r="B1651" s="1"/>
      <x:c r="C1651" s="1"/>
      <x:c r="D1651" s="1"/>
      <x:c r="E1651" s="1"/>
      <x:c r="F1651" s="1"/>
      <x:c r="G1651" s="1"/>
    </x:row>
    <x:row r="1652">
      <x:c r="A1652" s="1"/>
      <x:c r="B1652" s="1"/>
      <x:c r="C1652" s="1"/>
      <x:c r="D1652" s="1"/>
      <x:c r="E1652" s="1"/>
      <x:c r="F1652" s="1"/>
      <x:c r="G1652" s="1"/>
    </x:row>
    <x:row r="1653">
      <x:c r="A1653" s="1"/>
      <x:c r="B1653" s="1"/>
      <x:c r="C1653" s="1"/>
      <x:c r="D1653" s="1"/>
      <x:c r="E1653" s="1"/>
      <x:c r="F1653" s="1"/>
      <x:c r="G1653" s="1"/>
    </x:row>
    <x:row r="1654">
      <x:c r="A1654" s="1"/>
      <x:c r="B1654" s="1"/>
      <x:c r="C1654" s="1"/>
      <x:c r="D1654" s="1"/>
      <x:c r="E1654" s="1"/>
      <x:c r="F1654" s="1"/>
      <x:c r="G1654" s="1"/>
    </x:row>
    <x:row r="1655">
      <x:c r="A1655" s="1"/>
      <x:c r="B1655" s="1"/>
      <x:c r="C1655" s="1"/>
      <x:c r="D1655" s="1"/>
      <x:c r="E1655" s="1"/>
      <x:c r="F1655" s="1"/>
      <x:c r="G1655" s="1"/>
    </x:row>
    <x:row r="1656">
      <x:c r="A1656" s="1"/>
      <x:c r="B1656" s="1"/>
      <x:c r="C1656" s="1"/>
      <x:c r="D1656" s="1"/>
      <x:c r="E1656" s="1"/>
      <x:c r="F1656" s="1"/>
      <x:c r="G1656" s="1"/>
    </x:row>
    <x:row r="1657">
      <x:c r="A1657" s="1"/>
      <x:c r="B1657" s="1"/>
      <x:c r="C1657" s="1"/>
      <x:c r="D1657" s="1"/>
      <x:c r="E1657" s="1"/>
      <x:c r="F1657" s="1"/>
      <x:c r="G1657" s="1"/>
    </x:row>
    <x:row r="1658">
      <x:c r="A1658" s="1"/>
      <x:c r="B1658" s="1"/>
      <x:c r="C1658" s="1"/>
      <x:c r="D1658" s="1"/>
      <x:c r="E1658" s="1"/>
      <x:c r="F1658" s="1"/>
      <x:c r="G1658" s="1"/>
    </x:row>
    <x:row r="1659">
      <x:c r="A1659" s="1"/>
      <x:c r="B1659" s="1"/>
      <x:c r="C1659" s="1"/>
      <x:c r="D1659" s="1"/>
      <x:c r="E1659" s="1"/>
      <x:c r="F1659" s="1"/>
      <x:c r="G1659" s="1"/>
    </x:row>
    <x:row r="1660">
      <x:c r="A1660" s="1"/>
      <x:c r="B1660" s="1"/>
      <x:c r="C1660" s="1"/>
      <x:c r="D1660" s="1"/>
      <x:c r="E1660" s="1"/>
      <x:c r="F1660" s="1"/>
      <x:c r="G1660" s="1"/>
    </x:row>
    <x:row r="1661">
      <x:c r="A1661" s="1"/>
      <x:c r="B1661" s="1"/>
      <x:c r="C1661" s="1"/>
      <x:c r="D1661" s="1"/>
      <x:c r="E1661" s="1"/>
      <x:c r="F1661" s="1"/>
      <x:c r="G1661" s="1"/>
    </x:row>
    <x:row r="1662">
      <x:c r="A1662" s="1"/>
      <x:c r="B1662" s="1"/>
      <x:c r="C1662" s="1"/>
      <x:c r="D1662" s="1"/>
      <x:c r="E1662" s="1"/>
      <x:c r="F1662" s="1"/>
      <x:c r="G1662" s="1"/>
    </x:row>
    <x:row r="1663">
      <x:c r="A1663" s="1"/>
      <x:c r="B1663" s="1"/>
      <x:c r="C1663" s="1"/>
      <x:c r="D1663" s="1"/>
      <x:c r="E1663" s="1"/>
      <x:c r="F1663" s="1"/>
      <x:c r="G1663" s="1"/>
    </x:row>
    <x:row r="1664">
      <x:c r="A1664" s="1"/>
      <x:c r="B1664" s="1"/>
      <x:c r="C1664" s="1"/>
      <x:c r="D1664" s="1"/>
      <x:c r="E1664" s="1"/>
      <x:c r="F1664" s="1"/>
      <x:c r="G1664" s="1"/>
    </x:row>
    <x:row r="1665">
      <x:c r="A1665" s="1"/>
      <x:c r="B1665" s="1"/>
      <x:c r="C1665" s="1"/>
      <x:c r="D1665" s="1"/>
      <x:c r="E1665" s="1"/>
      <x:c r="F1665" s="1"/>
      <x:c r="G1665" s="1"/>
    </x:row>
    <x:row r="1666">
      <x:c r="A1666" s="1"/>
      <x:c r="B1666" s="1"/>
      <x:c r="C1666" s="1"/>
      <x:c r="D1666" s="1"/>
      <x:c r="E1666" s="1"/>
      <x:c r="F1666" s="1"/>
      <x:c r="G1666" s="1"/>
    </x:row>
    <x:row r="1667">
      <x:c r="A1667" s="1"/>
      <x:c r="B1667" s="1"/>
      <x:c r="C1667" s="1"/>
      <x:c r="D1667" s="1"/>
      <x:c r="E1667" s="1"/>
      <x:c r="F1667" s="1"/>
      <x:c r="G1667" s="1"/>
    </x:row>
    <x:row r="1668">
      <x:c r="A1668" s="1"/>
      <x:c r="B1668" s="1"/>
      <x:c r="C1668" s="1"/>
      <x:c r="D1668" s="1"/>
      <x:c r="E1668" s="1"/>
      <x:c r="F1668" s="1"/>
      <x:c r="G1668" s="1"/>
    </x:row>
    <x:row r="1669">
      <x:c r="A1669" s="1"/>
      <x:c r="B1669" s="1"/>
      <x:c r="C1669" s="1"/>
      <x:c r="D1669" s="1"/>
      <x:c r="E1669" s="1"/>
      <x:c r="F1669" s="1"/>
      <x:c r="G1669" s="1"/>
    </x:row>
    <x:row r="1670">
      <x:c r="A1670" s="1"/>
      <x:c r="B1670" s="1"/>
      <x:c r="C1670" s="1"/>
      <x:c r="D1670" s="1"/>
      <x:c r="E1670" s="1"/>
      <x:c r="F1670" s="1"/>
      <x:c r="G1670" s="1"/>
    </x:row>
    <x:row r="1671">
      <x:c r="A1671" s="1"/>
      <x:c r="B1671" s="1"/>
      <x:c r="C1671" s="1"/>
      <x:c r="D1671" s="1"/>
      <x:c r="E1671" s="1"/>
      <x:c r="F1671" s="1"/>
      <x:c r="G1671" s="1"/>
    </x:row>
    <x:row r="1672">
      <x:c r="A1672" s="1"/>
      <x:c r="B1672" s="1"/>
      <x:c r="C1672" s="1"/>
      <x:c r="D1672" s="1"/>
      <x:c r="E1672" s="1"/>
      <x:c r="F1672" s="1"/>
      <x:c r="G1672" s="1"/>
    </x:row>
    <x:row r="1673">
      <x:c r="A1673" s="1"/>
      <x:c r="B1673" s="1"/>
      <x:c r="C1673" s="1"/>
      <x:c r="D1673" s="1"/>
      <x:c r="E1673" s="1"/>
      <x:c r="F1673" s="1"/>
      <x:c r="G1673" s="1"/>
    </x:row>
    <x:row r="1674">
      <x:c r="A1674" s="1"/>
      <x:c r="B1674" s="1"/>
      <x:c r="C1674" s="1"/>
      <x:c r="D1674" s="1"/>
      <x:c r="E1674" s="1"/>
      <x:c r="F1674" s="1"/>
      <x:c r="G1674" s="1"/>
    </x:row>
    <x:row r="1675">
      <x:c r="A1675" s="1"/>
      <x:c r="B1675" s="1"/>
      <x:c r="C1675" s="1"/>
      <x:c r="D1675" s="1"/>
      <x:c r="E1675" s="1"/>
      <x:c r="F1675" s="1"/>
      <x:c r="G1675" s="1"/>
    </x:row>
    <x:row r="1676">
      <x:c r="A1676" s="1"/>
      <x:c r="B1676" s="1"/>
      <x:c r="C1676" s="1"/>
      <x:c r="D1676" s="1"/>
      <x:c r="E1676" s="1"/>
      <x:c r="F1676" s="1"/>
      <x:c r="G1676" s="1"/>
    </x:row>
    <x:row r="1677">
      <x:c r="A1677" s="1"/>
      <x:c r="B1677" s="1"/>
      <x:c r="C1677" s="1"/>
      <x:c r="D1677" s="1"/>
      <x:c r="E1677" s="1"/>
      <x:c r="F1677" s="1"/>
      <x:c r="G1677" s="1"/>
    </x:row>
    <x:row r="1678">
      <x:c r="A1678" s="1"/>
      <x:c r="B1678" s="1"/>
      <x:c r="C1678" s="1"/>
      <x:c r="D1678" s="1"/>
      <x:c r="E1678" s="1"/>
      <x:c r="F1678" s="1"/>
      <x:c r="G1678" s="1"/>
    </x:row>
    <x:row r="1679">
      <x:c r="A1679" s="1"/>
      <x:c r="B1679" s="1"/>
      <x:c r="C1679" s="1"/>
      <x:c r="D1679" s="1"/>
      <x:c r="E1679" s="1"/>
      <x:c r="F1679" s="1"/>
      <x:c r="G1679" s="1"/>
    </x:row>
    <x:row r="1680">
      <x:c r="A1680" s="1"/>
      <x:c r="B1680" s="1"/>
      <x:c r="C1680" s="1"/>
      <x:c r="D1680" s="1"/>
      <x:c r="E1680" s="1"/>
      <x:c r="F1680" s="1"/>
      <x:c r="G1680" s="1"/>
    </x:row>
    <x:row r="1681">
      <x:c r="A1681" s="1"/>
      <x:c r="B1681" s="1"/>
      <x:c r="C1681" s="1"/>
      <x:c r="D1681" s="1"/>
      <x:c r="E1681" s="1"/>
      <x:c r="F1681" s="1"/>
      <x:c r="G1681" s="1"/>
    </x:row>
    <x:row r="1682">
      <x:c r="A1682" s="1"/>
      <x:c r="B1682" s="1"/>
      <x:c r="C1682" s="1"/>
      <x:c r="D1682" s="1"/>
      <x:c r="E1682" s="1"/>
      <x:c r="F1682" s="1"/>
      <x:c r="G1682" s="1"/>
    </x:row>
    <x:row r="1683">
      <x:c r="A1683" s="1"/>
      <x:c r="B1683" s="1"/>
      <x:c r="C1683" s="1"/>
      <x:c r="D1683" s="1"/>
      <x:c r="E1683" s="1"/>
      <x:c r="F1683" s="1"/>
      <x:c r="G1683" s="1"/>
    </x:row>
    <x:row r="1684">
      <x:c r="A1684" s="1"/>
      <x:c r="B1684" s="1"/>
      <x:c r="C1684" s="1"/>
      <x:c r="D1684" s="1"/>
      <x:c r="E1684" s="1"/>
      <x:c r="F1684" s="1"/>
      <x:c r="G1684" s="1"/>
    </x:row>
    <x:row r="1685">
      <x:c r="A1685" s="1"/>
      <x:c r="B1685" s="1"/>
      <x:c r="C1685" s="1"/>
      <x:c r="D1685" s="1"/>
      <x:c r="E1685" s="1"/>
      <x:c r="F1685" s="1"/>
      <x:c r="G1685" s="1"/>
    </x:row>
    <x:row r="1686">
      <x:c r="A1686" s="1"/>
      <x:c r="B1686" s="1"/>
      <x:c r="C1686" s="1"/>
      <x:c r="D1686" s="1"/>
      <x:c r="E1686" s="1"/>
      <x:c r="F1686" s="1"/>
      <x:c r="G1686" s="1"/>
    </x:row>
    <x:row r="1687">
      <x:c r="A1687" s="1"/>
      <x:c r="B1687" s="1"/>
      <x:c r="C1687" s="1"/>
      <x:c r="D1687" s="1"/>
      <x:c r="E1687" s="1"/>
      <x:c r="F1687" s="1"/>
      <x:c r="G1687" s="1"/>
    </x:row>
    <x:row r="1688">
      <x:c r="A1688" s="1"/>
      <x:c r="B1688" s="1"/>
      <x:c r="C1688" s="1"/>
      <x:c r="D1688" s="1"/>
      <x:c r="E1688" s="1"/>
      <x:c r="F1688" s="1"/>
      <x:c r="G1688" s="1"/>
    </x:row>
    <x:row r="1689">
      <x:c r="A1689" s="1"/>
      <x:c r="B1689" s="1"/>
      <x:c r="C1689" s="1"/>
      <x:c r="D1689" s="1"/>
      <x:c r="E1689" s="1"/>
      <x:c r="F1689" s="1"/>
      <x:c r="G1689" s="1"/>
    </x:row>
    <x:row r="1690">
      <x:c r="A1690" s="1"/>
      <x:c r="B1690" s="1"/>
      <x:c r="C1690" s="1"/>
      <x:c r="D1690" s="1"/>
      <x:c r="E1690" s="1"/>
      <x:c r="F1690" s="1"/>
      <x:c r="G1690" s="1"/>
    </x:row>
    <x:row r="1691">
      <x:c r="A1691" s="1"/>
      <x:c r="B1691" s="1"/>
      <x:c r="C1691" s="1"/>
      <x:c r="D1691" s="1"/>
      <x:c r="E1691" s="1"/>
      <x:c r="F1691" s="1"/>
      <x:c r="G1691" s="1"/>
    </x:row>
    <x:row r="1692">
      <x:c r="A1692" s="1"/>
      <x:c r="B1692" s="1"/>
      <x:c r="C1692" s="1"/>
      <x:c r="D1692" s="1"/>
      <x:c r="E1692" s="1"/>
      <x:c r="F1692" s="1"/>
      <x:c r="G1692" s="1"/>
    </x:row>
    <x:row r="1693">
      <x:c r="A1693" s="1"/>
      <x:c r="B1693" s="1"/>
      <x:c r="C1693" s="1"/>
      <x:c r="D1693" s="1"/>
      <x:c r="E1693" s="1"/>
      <x:c r="F1693" s="1"/>
      <x:c r="G1693" s="1"/>
    </x:row>
    <x:row r="1694">
      <x:c r="A1694" s="1"/>
      <x:c r="B1694" s="1"/>
      <x:c r="C1694" s="1"/>
      <x:c r="D1694" s="1"/>
      <x:c r="E1694" s="1"/>
      <x:c r="F1694" s="1"/>
      <x:c r="G1694" s="1"/>
    </x:row>
    <x:row r="1695">
      <x:c r="A1695" s="1"/>
      <x:c r="B1695" s="1"/>
      <x:c r="C1695" s="1"/>
      <x:c r="D1695" s="1"/>
      <x:c r="E1695" s="1"/>
      <x:c r="F1695" s="1"/>
      <x:c r="G1695" s="1"/>
    </x:row>
    <x:row r="1696">
      <x:c r="A1696" s="1"/>
      <x:c r="B1696" s="1"/>
      <x:c r="C1696" s="1"/>
      <x:c r="D1696" s="1"/>
      <x:c r="E1696" s="1"/>
      <x:c r="F1696" s="1"/>
      <x:c r="G1696" s="1"/>
    </x:row>
    <x:row r="1697">
      <x:c r="A1697" s="1"/>
      <x:c r="B1697" s="1"/>
      <x:c r="C1697" s="1"/>
      <x:c r="D1697" s="1"/>
      <x:c r="E1697" s="1"/>
      <x:c r="F1697" s="1"/>
      <x:c r="G1697" s="1"/>
    </x:row>
    <x:row r="1698">
      <x:c r="A1698" s="1"/>
      <x:c r="B1698" s="1"/>
      <x:c r="C1698" s="1"/>
      <x:c r="D1698" s="1"/>
      <x:c r="E1698" s="1"/>
      <x:c r="F1698" s="1"/>
      <x:c r="G1698" s="1"/>
    </x:row>
    <x:row r="1699">
      <x:c r="A1699" s="1"/>
      <x:c r="B1699" s="1"/>
      <x:c r="C1699" s="1"/>
      <x:c r="D1699" s="1"/>
      <x:c r="E1699" s="1"/>
      <x:c r="F1699" s="1"/>
      <x:c r="G1699" s="1"/>
    </x:row>
    <x:row r="1700">
      <x:c r="A1700" s="1"/>
      <x:c r="B1700" s="1"/>
      <x:c r="C1700" s="1"/>
      <x:c r="D1700" s="1"/>
      <x:c r="E1700" s="1"/>
      <x:c r="F1700" s="1"/>
      <x:c r="G1700" s="1"/>
    </x:row>
    <x:row r="1701">
      <x:c r="A1701" s="1"/>
      <x:c r="B1701" s="1"/>
      <x:c r="C1701" s="1"/>
      <x:c r="D1701" s="1"/>
      <x:c r="E1701" s="1"/>
      <x:c r="F1701" s="1"/>
      <x:c r="G1701" s="1"/>
    </x:row>
    <x:row r="1702">
      <x:c r="A1702" s="1"/>
      <x:c r="B1702" s="1"/>
      <x:c r="C1702" s="1"/>
      <x:c r="D1702" s="1"/>
      <x:c r="E1702" s="1"/>
      <x:c r="F1702" s="1"/>
      <x:c r="G1702" s="1"/>
    </x:row>
    <x:row r="1703">
      <x:c r="A1703" s="1"/>
      <x:c r="B1703" s="1"/>
      <x:c r="C1703" s="1"/>
      <x:c r="D1703" s="1"/>
      <x:c r="E1703" s="1"/>
      <x:c r="F1703" s="1"/>
      <x:c r="G1703" s="1"/>
    </x:row>
    <x:row r="1704">
      <x:c r="A1704" s="1"/>
      <x:c r="B1704" s="1"/>
      <x:c r="C1704" s="1"/>
      <x:c r="D1704" s="1"/>
      <x:c r="E1704" s="1"/>
      <x:c r="F1704" s="1"/>
      <x:c r="G1704" s="1"/>
    </x:row>
    <x:row r="1705">
      <x:c r="A1705" s="1"/>
      <x:c r="B1705" s="1"/>
      <x:c r="C1705" s="1"/>
      <x:c r="D1705" s="1"/>
      <x:c r="E1705" s="1"/>
      <x:c r="F1705" s="1"/>
      <x:c r="G1705" s="1"/>
    </x:row>
    <x:row r="1706">
      <x:c r="A1706" s="1"/>
      <x:c r="B1706" s="1"/>
      <x:c r="C1706" s="1"/>
      <x:c r="D1706" s="1"/>
      <x:c r="E1706" s="1"/>
      <x:c r="F1706" s="1"/>
      <x:c r="G1706" s="1"/>
    </x:row>
    <x:row r="1707">
      <x:c r="A1707" s="1"/>
      <x:c r="B1707" s="1"/>
      <x:c r="C1707" s="1"/>
      <x:c r="D1707" s="1"/>
      <x:c r="E1707" s="1"/>
      <x:c r="F1707" s="1"/>
      <x:c r="G1707" s="1"/>
    </x:row>
    <x:row r="1708">
      <x:c r="A1708" s="1"/>
      <x:c r="B1708" s="1"/>
      <x:c r="C1708" s="1"/>
      <x:c r="D1708" s="1"/>
      <x:c r="E1708" s="1"/>
      <x:c r="F1708" s="1"/>
      <x:c r="G1708" s="1"/>
    </x:row>
    <x:row r="1709">
      <x:c r="A1709" s="1"/>
      <x:c r="B1709" s="1"/>
      <x:c r="C1709" s="1"/>
      <x:c r="D1709" s="1"/>
      <x:c r="E1709" s="1"/>
      <x:c r="F1709" s="1"/>
      <x:c r="G1709" s="1"/>
    </x:row>
    <x:row r="1710">
      <x:c r="A1710" s="1"/>
      <x:c r="B1710" s="1"/>
      <x:c r="C1710" s="1"/>
      <x:c r="D1710" s="1"/>
      <x:c r="E1710" s="1"/>
      <x:c r="F1710" s="1"/>
      <x:c r="G1710" s="1"/>
    </x:row>
    <x:row r="1711">
      <x:c r="A1711" s="1"/>
      <x:c r="B1711" s="1"/>
      <x:c r="C1711" s="1"/>
      <x:c r="D1711" s="1"/>
      <x:c r="E1711" s="1"/>
      <x:c r="F1711" s="1"/>
      <x:c r="G1711" s="1"/>
    </x:row>
    <x:row r="1712">
      <x:c r="A1712" s="1"/>
      <x:c r="B1712" s="1"/>
      <x:c r="C1712" s="1"/>
      <x:c r="D1712" s="1"/>
      <x:c r="E1712" s="1"/>
      <x:c r="F1712" s="1"/>
      <x:c r="G1712" s="1"/>
    </x:row>
    <x:row r="1713">
      <x:c r="A1713" s="1"/>
      <x:c r="B1713" s="1"/>
      <x:c r="C1713" s="1"/>
      <x:c r="D1713" s="1"/>
      <x:c r="E1713" s="1"/>
      <x:c r="F1713" s="1"/>
      <x:c r="G1713" s="1"/>
    </x:row>
    <x:row r="1714">
      <x:c r="A1714" s="1"/>
      <x:c r="B1714" s="1"/>
      <x:c r="C1714" s="1"/>
      <x:c r="D1714" s="1"/>
      <x:c r="E1714" s="1"/>
      <x:c r="F1714" s="1"/>
      <x:c r="G1714" s="1"/>
    </x:row>
    <x:row r="1715">
      <x:c r="A1715" s="1"/>
      <x:c r="B1715" s="1"/>
      <x:c r="C1715" s="1"/>
      <x:c r="D1715" s="1"/>
      <x:c r="E1715" s="1"/>
      <x:c r="F1715" s="1"/>
      <x:c r="G1715" s="1"/>
    </x:row>
    <x:row r="1716">
      <x:c r="A1716" s="1"/>
      <x:c r="B1716" s="1"/>
      <x:c r="C1716" s="1"/>
      <x:c r="D1716" s="1"/>
      <x:c r="E1716" s="1"/>
      <x:c r="F1716" s="1"/>
      <x:c r="G1716" s="1"/>
    </x:row>
    <x:row r="1717">
      <x:c r="A1717" s="1"/>
      <x:c r="B1717" s="1"/>
      <x:c r="C1717" s="1"/>
      <x:c r="D1717" s="1"/>
      <x:c r="E1717" s="1"/>
      <x:c r="F1717" s="1"/>
      <x:c r="G1717" s="1"/>
    </x:row>
    <x:row r="1718">
      <x:c r="A1718" s="1"/>
      <x:c r="B1718" s="1"/>
      <x:c r="C1718" s="1"/>
      <x:c r="D1718" s="1"/>
      <x:c r="E1718" s="1"/>
      <x:c r="F1718" s="1"/>
      <x:c r="G1718" s="1"/>
    </x:row>
    <x:row r="1719">
      <x:c r="A1719" s="1"/>
      <x:c r="B1719" s="1"/>
      <x:c r="C1719" s="1"/>
      <x:c r="D1719" s="1"/>
      <x:c r="E1719" s="1"/>
      <x:c r="F1719" s="1"/>
      <x:c r="G1719" s="1"/>
    </x:row>
    <x:row r="1720">
      <x:c r="A1720" s="1"/>
      <x:c r="B1720" s="1"/>
      <x:c r="C1720" s="1"/>
      <x:c r="D1720" s="1"/>
      <x:c r="E1720" s="1"/>
      <x:c r="F1720" s="1"/>
      <x:c r="G1720" s="1"/>
    </x:row>
    <x:row r="1721">
      <x:c r="A1721" s="1"/>
      <x:c r="B1721" s="1"/>
      <x:c r="C1721" s="1"/>
      <x:c r="D1721" s="1"/>
      <x:c r="E1721" s="1"/>
      <x:c r="F1721" s="1"/>
      <x:c r="G1721" s="1"/>
    </x:row>
    <x:row r="1722">
      <x:c r="A1722" s="1"/>
      <x:c r="B1722" s="1"/>
      <x:c r="C1722" s="1"/>
      <x:c r="D1722" s="1"/>
      <x:c r="E1722" s="1"/>
      <x:c r="F1722" s="1"/>
      <x:c r="G1722" s="1"/>
    </x:row>
    <x:row r="1723">
      <x:c r="A1723" s="1"/>
      <x:c r="B1723" s="1"/>
      <x:c r="C1723" s="1"/>
      <x:c r="D1723" s="1"/>
      <x:c r="E1723" s="1"/>
      <x:c r="F1723" s="1"/>
      <x:c r="G1723" s="1"/>
    </x:row>
    <x:row r="1724">
      <x:c r="A1724" s="1"/>
      <x:c r="B1724" s="1"/>
      <x:c r="C1724" s="1"/>
      <x:c r="D1724" s="1"/>
      <x:c r="E1724" s="1"/>
      <x:c r="F1724" s="1"/>
      <x:c r="G1724" s="1"/>
    </x:row>
    <x:row r="1725">
      <x:c r="A1725" s="1"/>
      <x:c r="B1725" s="1"/>
      <x:c r="C1725" s="1"/>
      <x:c r="D1725" s="1"/>
      <x:c r="E1725" s="1"/>
      <x:c r="F1725" s="1"/>
      <x:c r="G1725" s="1"/>
    </x:row>
    <x:row r="1726">
      <x:c r="A1726" s="1"/>
      <x:c r="B1726" s="1"/>
      <x:c r="C1726" s="1"/>
      <x:c r="D1726" s="1"/>
      <x:c r="E1726" s="1"/>
      <x:c r="F1726" s="1"/>
      <x:c r="G1726" s="1"/>
    </x:row>
    <x:row r="1727">
      <x:c r="A1727" s="1"/>
      <x:c r="B1727" s="1"/>
      <x:c r="C1727" s="1"/>
      <x:c r="D1727" s="1"/>
      <x:c r="E1727" s="1"/>
      <x:c r="F1727" s="1"/>
      <x:c r="G1727" s="1"/>
    </x:row>
    <x:row r="1728">
      <x:c r="A1728" s="1"/>
      <x:c r="B1728" s="1"/>
      <x:c r="C1728" s="1"/>
      <x:c r="D1728" s="1"/>
      <x:c r="E1728" s="1"/>
      <x:c r="F1728" s="1"/>
      <x:c r="G1728" s="1"/>
    </x:row>
    <x:row r="1729">
      <x:c r="A1729" s="1"/>
      <x:c r="B1729" s="1"/>
      <x:c r="C1729" s="1"/>
      <x:c r="D1729" s="1"/>
      <x:c r="E1729" s="1"/>
      <x:c r="F1729" s="1"/>
      <x:c r="G1729" s="1"/>
    </x:row>
    <x:row r="1730">
      <x:c r="A1730" s="1"/>
      <x:c r="B1730" s="1"/>
      <x:c r="C1730" s="1"/>
      <x:c r="D1730" s="1"/>
      <x:c r="E1730" s="1"/>
      <x:c r="F1730" s="1"/>
      <x:c r="G1730" s="1"/>
    </x:row>
    <x:row r="1731">
      <x:c r="A1731" s="1"/>
      <x:c r="B1731" s="1"/>
      <x:c r="C1731" s="1"/>
      <x:c r="D1731" s="1"/>
      <x:c r="E1731" s="1"/>
      <x:c r="F1731" s="1"/>
      <x:c r="G1731" s="1"/>
    </x:row>
    <x:row r="1732">
      <x:c r="A1732" s="1"/>
      <x:c r="B1732" s="1"/>
      <x:c r="C1732" s="1"/>
      <x:c r="D1732" s="1"/>
      <x:c r="E1732" s="1"/>
      <x:c r="F1732" s="1"/>
      <x:c r="G1732" s="1"/>
    </x:row>
    <x:row r="1733">
      <x:c r="A1733" s="1"/>
      <x:c r="B1733" s="1"/>
      <x:c r="C1733" s="1"/>
      <x:c r="D1733" s="1"/>
      <x:c r="E1733" s="1"/>
      <x:c r="F1733" s="1"/>
      <x:c r="G1733" s="1"/>
    </x:row>
    <x:row r="1734">
      <x:c r="A1734" s="1"/>
      <x:c r="B1734" s="1"/>
      <x:c r="C1734" s="1"/>
      <x:c r="D1734" s="1"/>
      <x:c r="E1734" s="1"/>
      <x:c r="F1734" s="1"/>
      <x:c r="G1734" s="1"/>
    </x:row>
    <x:row r="1735">
      <x:c r="A1735" s="1"/>
      <x:c r="B1735" s="1"/>
      <x:c r="C1735" s="1"/>
      <x:c r="D1735" s="1"/>
      <x:c r="E1735" s="1"/>
      <x:c r="F1735" s="1"/>
      <x:c r="G1735" s="1"/>
    </x:row>
    <x:row r="1736">
      <x:c r="A1736" s="1"/>
      <x:c r="B1736" s="1"/>
      <x:c r="C1736" s="1"/>
      <x:c r="D1736" s="1"/>
      <x:c r="E1736" s="1"/>
      <x:c r="F1736" s="1"/>
      <x:c r="G1736" s="1"/>
    </x:row>
    <x:row r="1737">
      <x:c r="A1737" s="1"/>
      <x:c r="B1737" s="1"/>
      <x:c r="C1737" s="1"/>
      <x:c r="D1737" s="1"/>
      <x:c r="E1737" s="1"/>
      <x:c r="F1737" s="1"/>
      <x:c r="G1737" s="1"/>
    </x:row>
    <x:row r="1738">
      <x:c r="A1738" s="1"/>
      <x:c r="B1738" s="1"/>
      <x:c r="C1738" s="1"/>
      <x:c r="D1738" s="1"/>
      <x:c r="E1738" s="1"/>
      <x:c r="F1738" s="1"/>
      <x:c r="G1738" s="1"/>
    </x:row>
    <x:row r="1739">
      <x:c r="A1739" s="1"/>
      <x:c r="B1739" s="1"/>
      <x:c r="C1739" s="1"/>
      <x:c r="D1739" s="1"/>
      <x:c r="E1739" s="1"/>
      <x:c r="F1739" s="1"/>
      <x:c r="G1739" s="1"/>
    </x:row>
    <x:row r="1740">
      <x:c r="A1740" s="1"/>
      <x:c r="B1740" s="1"/>
      <x:c r="C1740" s="1"/>
      <x:c r="D1740" s="1"/>
      <x:c r="E1740" s="1"/>
      <x:c r="F1740" s="1"/>
      <x:c r="G1740" s="1"/>
    </x:row>
    <x:row r="1741">
      <x:c r="A1741" s="1"/>
      <x:c r="B1741" s="1"/>
      <x:c r="C1741" s="1"/>
      <x:c r="D1741" s="1"/>
      <x:c r="E1741" s="1"/>
      <x:c r="F1741" s="1"/>
      <x:c r="G1741" s="1"/>
    </x:row>
    <x:row r="1742">
      <x:c r="A1742" s="1"/>
      <x:c r="B1742" s="1"/>
      <x:c r="C1742" s="1"/>
      <x:c r="D1742" s="1"/>
      <x:c r="E1742" s="1"/>
      <x:c r="F1742" s="1"/>
      <x:c r="G1742" s="1"/>
    </x:row>
    <x:row r="1743">
      <x:c r="A1743" s="1"/>
      <x:c r="B1743" s="1"/>
      <x:c r="C1743" s="1"/>
      <x:c r="D1743" s="1"/>
      <x:c r="E1743" s="1"/>
      <x:c r="F1743" s="1"/>
      <x:c r="G1743" s="1"/>
    </x:row>
    <x:row r="1744">
      <x:c r="A1744" s="1"/>
      <x:c r="B1744" s="1"/>
      <x:c r="C1744" s="1"/>
      <x:c r="D1744" s="1"/>
      <x:c r="E1744" s="1"/>
      <x:c r="F1744" s="1"/>
      <x:c r="G1744" s="1"/>
    </x:row>
    <x:row r="1745">
      <x:c r="A1745" s="1"/>
      <x:c r="B1745" s="1"/>
      <x:c r="C1745" s="1"/>
      <x:c r="D1745" s="1"/>
      <x:c r="E1745" s="1"/>
      <x:c r="F1745" s="1"/>
      <x:c r="G1745" s="1"/>
    </x:row>
    <x:row r="1746">
      <x:c r="A1746" s="1"/>
      <x:c r="B1746" s="1"/>
      <x:c r="C1746" s="1"/>
      <x:c r="D1746" s="1"/>
      <x:c r="E1746" s="1"/>
      <x:c r="F1746" s="1"/>
      <x:c r="G1746" s="1"/>
    </x:row>
    <x:row r="1747">
      <x:c r="A1747" s="1"/>
      <x:c r="B1747" s="1"/>
      <x:c r="C1747" s="1"/>
      <x:c r="D1747" s="1"/>
      <x:c r="E1747" s="1"/>
      <x:c r="F1747" s="1"/>
      <x:c r="G1747" s="1"/>
    </x:row>
    <x:row r="1748">
      <x:c r="A1748" s="1"/>
      <x:c r="B1748" s="1"/>
      <x:c r="C1748" s="1"/>
      <x:c r="D1748" s="1"/>
      <x:c r="E1748" s="1"/>
      <x:c r="F1748" s="1"/>
      <x:c r="G1748" s="1"/>
    </x:row>
    <x:row r="1749">
      <x:c r="A1749" s="1"/>
      <x:c r="B1749" s="1"/>
      <x:c r="C1749" s="1"/>
      <x:c r="D1749" s="1"/>
      <x:c r="E1749" s="1"/>
      <x:c r="F1749" s="1"/>
      <x:c r="G1749" s="1"/>
    </x:row>
    <x:row r="1750">
      <x:c r="A1750" s="1"/>
      <x:c r="B1750" s="1"/>
      <x:c r="C1750" s="1"/>
      <x:c r="D1750" s="1"/>
      <x:c r="E1750" s="1"/>
      <x:c r="F1750" s="1"/>
      <x:c r="G1750" s="1"/>
    </x:row>
    <x:row r="1751">
      <x:c r="A1751" s="1"/>
      <x:c r="B1751" s="1"/>
      <x:c r="C1751" s="1"/>
      <x:c r="D1751" s="1"/>
      <x:c r="E1751" s="1"/>
      <x:c r="F1751" s="1"/>
      <x:c r="G1751" s="1"/>
    </x:row>
    <x:row r="1752">
      <x:c r="A1752" s="1"/>
      <x:c r="B1752" s="1"/>
      <x:c r="C1752" s="1"/>
      <x:c r="D1752" s="1"/>
      <x:c r="E1752" s="1"/>
      <x:c r="F1752" s="1"/>
      <x:c r="G1752" s="1"/>
    </x:row>
    <x:row r="1753">
      <x:c r="A1753" s="1"/>
      <x:c r="B1753" s="1"/>
      <x:c r="C1753" s="1"/>
      <x:c r="D1753" s="1"/>
      <x:c r="E1753" s="1"/>
      <x:c r="F1753" s="1"/>
      <x:c r="G1753" s="1"/>
    </x:row>
    <x:row r="1754">
      <x:c r="A1754" s="1"/>
      <x:c r="B1754" s="1"/>
      <x:c r="C1754" s="1"/>
      <x:c r="D1754" s="1"/>
      <x:c r="E1754" s="1"/>
      <x:c r="F1754" s="1"/>
      <x:c r="G1754" s="1"/>
    </x:row>
    <x:row r="1755">
      <x:c r="A1755" s="1"/>
      <x:c r="B1755" s="1"/>
      <x:c r="C1755" s="1"/>
      <x:c r="D1755" s="1"/>
      <x:c r="E1755" s="1"/>
      <x:c r="F1755" s="1"/>
      <x:c r="G1755" s="1"/>
    </x:row>
    <x:row r="1756">
      <x:c r="A1756" s="1"/>
      <x:c r="B1756" s="1"/>
      <x:c r="C1756" s="1"/>
      <x:c r="D1756" s="1"/>
      <x:c r="E1756" s="1"/>
      <x:c r="F1756" s="1"/>
      <x:c r="G1756" s="1"/>
    </x:row>
    <x:row r="1757">
      <x:c r="A1757" s="1"/>
      <x:c r="B1757" s="1"/>
      <x:c r="C1757" s="1"/>
      <x:c r="D1757" s="1"/>
      <x:c r="E1757" s="1"/>
      <x:c r="F1757" s="1"/>
      <x:c r="G1757" s="1"/>
    </x:row>
    <x:row r="1758">
      <x:c r="A1758" s="1"/>
      <x:c r="B1758" s="1"/>
      <x:c r="C1758" s="1"/>
      <x:c r="D1758" s="1"/>
      <x:c r="E1758" s="1"/>
      <x:c r="F1758" s="1"/>
      <x:c r="G1758" s="1"/>
    </x:row>
    <x:row r="1759">
      <x:c r="A1759" s="1"/>
      <x:c r="B1759" s="1"/>
      <x:c r="C1759" s="1"/>
      <x:c r="D1759" s="1"/>
      <x:c r="E1759" s="1"/>
      <x:c r="F1759" s="1"/>
      <x:c r="G1759" s="1"/>
    </x:row>
    <x:row r="1760">
      <x:c r="A1760" s="1"/>
      <x:c r="B1760" s="1"/>
      <x:c r="C1760" s="1"/>
      <x:c r="D1760" s="1"/>
      <x:c r="E1760" s="1"/>
      <x:c r="F1760" s="1"/>
      <x:c r="G1760" s="1"/>
    </x:row>
    <x:row r="1761">
      <x:c r="A1761" s="1"/>
      <x:c r="B1761" s="1"/>
      <x:c r="C1761" s="1"/>
      <x:c r="D1761" s="1"/>
      <x:c r="E1761" s="1"/>
      <x:c r="F1761" s="1"/>
      <x:c r="G1761" s="1"/>
    </x:row>
    <x:row r="1762">
      <x:c r="A1762" s="1"/>
      <x:c r="B1762" s="1"/>
      <x:c r="C1762" s="1"/>
      <x:c r="D1762" s="1"/>
      <x:c r="E1762" s="1"/>
      <x:c r="F1762" s="1"/>
      <x:c r="G1762" s="1"/>
    </x:row>
    <x:row r="1763">
      <x:c r="A1763" s="1"/>
      <x:c r="B1763" s="1"/>
      <x:c r="C1763" s="1"/>
      <x:c r="D1763" s="1"/>
      <x:c r="E1763" s="1"/>
      <x:c r="F1763" s="1"/>
      <x:c r="G1763" s="1"/>
    </x:row>
    <x:row r="1764">
      <x:c r="A1764" s="1"/>
      <x:c r="B1764" s="1"/>
      <x:c r="C1764" s="1"/>
      <x:c r="D1764" s="1"/>
      <x:c r="E1764" s="1"/>
      <x:c r="F1764" s="1"/>
      <x:c r="G1764" s="1"/>
    </x:row>
    <x:row r="1765">
      <x:c r="A1765" s="1"/>
      <x:c r="B1765" s="1"/>
      <x:c r="C1765" s="1"/>
      <x:c r="D1765" s="1"/>
      <x:c r="E1765" s="1"/>
      <x:c r="F1765" s="1"/>
      <x:c r="G1765" s="1"/>
    </x:row>
    <x:row r="1766">
      <x:c r="A1766" s="1"/>
      <x:c r="B1766" s="1"/>
      <x:c r="C1766" s="1"/>
      <x:c r="D1766" s="1"/>
      <x:c r="E1766" s="1"/>
      <x:c r="F1766" s="1"/>
      <x:c r="G1766" s="1"/>
    </x:row>
    <x:row r="1767">
      <x:c r="A1767" s="1"/>
      <x:c r="B1767" s="1"/>
      <x:c r="C1767" s="1"/>
      <x:c r="D1767" s="1"/>
      <x:c r="E1767" s="1"/>
      <x:c r="F1767" s="1"/>
      <x:c r="G1767" s="1"/>
    </x:row>
    <x:row r="1768">
      <x:c r="A1768" s="1"/>
      <x:c r="B1768" s="1"/>
      <x:c r="C1768" s="1"/>
      <x:c r="D1768" s="1"/>
      <x:c r="E1768" s="1"/>
      <x:c r="F1768" s="1"/>
      <x:c r="G1768" s="1"/>
    </x:row>
    <x:row r="1769">
      <x:c r="A1769" s="1"/>
      <x:c r="B1769" s="1"/>
      <x:c r="C1769" s="1"/>
      <x:c r="D1769" s="1"/>
      <x:c r="E1769" s="1"/>
      <x:c r="F1769" s="1"/>
      <x:c r="G1769" s="1"/>
    </x:row>
    <x:row r="1770">
      <x:c r="A1770" s="1"/>
      <x:c r="B1770" s="1"/>
      <x:c r="C1770" s="1"/>
      <x:c r="D1770" s="1"/>
      <x:c r="E1770" s="1"/>
      <x:c r="F1770" s="1"/>
      <x:c r="G1770" s="1"/>
    </x:row>
    <x:row r="1771">
      <x:c r="A1771" s="1"/>
      <x:c r="B1771" s="1"/>
      <x:c r="C1771" s="1"/>
      <x:c r="D1771" s="1"/>
      <x:c r="E1771" s="1"/>
      <x:c r="F1771" s="1"/>
      <x:c r="G1771" s="1"/>
    </x:row>
    <x:row r="1772">
      <x:c r="A1772" s="1"/>
      <x:c r="B1772" s="1"/>
      <x:c r="C1772" s="1"/>
      <x:c r="D1772" s="1"/>
      <x:c r="E1772" s="1"/>
      <x:c r="F1772" s="1"/>
      <x:c r="G1772" s="1"/>
    </x:row>
    <x:row r="1773">
      <x:c r="A1773" s="1"/>
      <x:c r="B1773" s="1"/>
      <x:c r="C1773" s="1"/>
      <x:c r="D1773" s="1"/>
      <x:c r="E1773" s="1"/>
      <x:c r="F1773" s="1"/>
      <x:c r="G1773" s="1"/>
    </x:row>
    <x:row r="1774">
      <x:c r="A1774" s="1"/>
      <x:c r="B1774" s="1"/>
      <x:c r="C1774" s="1"/>
      <x:c r="D1774" s="1"/>
      <x:c r="E1774" s="1"/>
      <x:c r="F1774" s="1"/>
      <x:c r="G1774" s="1"/>
    </x:row>
    <x:row r="1775">
      <x:c r="A1775" s="1"/>
      <x:c r="B1775" s="1"/>
      <x:c r="C1775" s="1"/>
      <x:c r="D1775" s="1"/>
      <x:c r="E1775" s="1"/>
      <x:c r="F1775" s="1"/>
      <x:c r="G1775" s="1"/>
    </x:row>
    <x:row r="1776">
      <x:c r="A1776" s="1"/>
      <x:c r="B1776" s="1"/>
      <x:c r="C1776" s="1"/>
      <x:c r="D1776" s="1"/>
      <x:c r="E1776" s="1"/>
      <x:c r="F1776" s="1"/>
      <x:c r="G1776" s="1"/>
    </x:row>
    <x:row r="1777">
      <x:c r="A1777" s="1"/>
      <x:c r="B1777" s="1"/>
      <x:c r="C1777" s="1"/>
      <x:c r="D1777" s="1"/>
      <x:c r="E1777" s="1"/>
      <x:c r="F1777" s="1"/>
      <x:c r="G1777" s="1"/>
    </x:row>
    <x:row r="1778">
      <x:c r="A1778" s="1"/>
      <x:c r="B1778" s="1"/>
      <x:c r="C1778" s="1"/>
      <x:c r="D1778" s="1"/>
      <x:c r="E1778" s="1"/>
      <x:c r="F1778" s="1"/>
      <x:c r="G1778" s="1"/>
    </x:row>
    <x:row r="1779">
      <x:c r="A1779" s="1"/>
      <x:c r="B1779" s="1"/>
      <x:c r="C1779" s="1"/>
      <x:c r="D1779" s="1"/>
      <x:c r="E1779" s="1"/>
      <x:c r="F1779" s="1"/>
      <x:c r="G1779" s="1"/>
    </x:row>
    <x:row r="1780">
      <x:c r="A1780" s="1"/>
      <x:c r="B1780" s="1"/>
      <x:c r="C1780" s="1"/>
      <x:c r="D1780" s="1"/>
      <x:c r="E1780" s="1"/>
      <x:c r="F1780" s="1"/>
      <x:c r="G1780" s="1"/>
    </x:row>
    <x:row r="1781">
      <x:c r="A1781" s="1"/>
      <x:c r="B1781" s="1"/>
      <x:c r="C1781" s="1"/>
      <x:c r="D1781" s="1"/>
      <x:c r="E1781" s="1"/>
      <x:c r="F1781" s="1"/>
      <x:c r="G1781" s="1"/>
    </x:row>
    <x:row r="1782">
      <x:c r="A1782" s="1"/>
      <x:c r="B1782" s="1"/>
      <x:c r="C1782" s="1"/>
      <x:c r="D1782" s="1"/>
      <x:c r="E1782" s="1"/>
      <x:c r="F1782" s="1"/>
      <x:c r="G1782" s="1"/>
    </x:row>
    <x:row r="1783">
      <x:c r="A1783" s="1"/>
      <x:c r="B1783" s="1"/>
      <x:c r="C1783" s="1"/>
      <x:c r="D1783" s="1"/>
      <x:c r="E1783" s="1"/>
      <x:c r="F1783" s="1"/>
      <x:c r="G1783" s="1"/>
    </x:row>
    <x:row r="1784">
      <x:c r="A1784" s="1"/>
      <x:c r="B1784" s="1"/>
      <x:c r="C1784" s="1"/>
      <x:c r="D1784" s="1"/>
      <x:c r="E1784" s="1"/>
      <x:c r="F1784" s="1"/>
      <x:c r="G1784" s="1"/>
    </x:row>
    <x:row r="1785">
      <x:c r="A1785" s="1"/>
      <x:c r="B1785" s="1"/>
      <x:c r="C1785" s="1"/>
      <x:c r="D1785" s="1"/>
      <x:c r="E1785" s="1"/>
      <x:c r="F1785" s="1"/>
      <x:c r="G1785" s="1"/>
    </x:row>
    <x:row r="1786">
      <x:c r="A1786" s="1"/>
      <x:c r="B1786" s="1"/>
      <x:c r="C1786" s="1"/>
      <x:c r="D1786" s="1"/>
      <x:c r="E1786" s="1"/>
      <x:c r="F1786" s="1"/>
      <x:c r="G1786" s="1"/>
    </x:row>
    <x:row r="1787">
      <x:c r="A1787" s="1"/>
      <x:c r="B1787" s="1"/>
      <x:c r="C1787" s="1"/>
      <x:c r="D1787" s="1"/>
      <x:c r="E1787" s="1"/>
      <x:c r="F1787" s="1"/>
      <x:c r="G1787" s="1"/>
    </x:row>
    <x:row r="1788">
      <x:c r="A1788" s="1"/>
      <x:c r="B1788" s="1"/>
      <x:c r="C1788" s="1"/>
      <x:c r="D1788" s="1"/>
      <x:c r="E1788" s="1"/>
      <x:c r="F1788" s="1"/>
      <x:c r="G1788" s="1"/>
    </x:row>
    <x:row r="1789">
      <x:c r="A1789" s="1"/>
      <x:c r="B1789" s="1"/>
      <x:c r="C1789" s="1"/>
      <x:c r="D1789" s="1"/>
      <x:c r="E1789" s="1"/>
      <x:c r="F1789" s="1"/>
      <x:c r="G1789" s="1"/>
    </x:row>
    <x:row r="1790">
      <x:c r="A1790" s="1"/>
      <x:c r="B1790" s="1"/>
      <x:c r="C1790" s="1"/>
      <x:c r="D1790" s="1"/>
      <x:c r="E1790" s="1"/>
      <x:c r="F1790" s="1"/>
      <x:c r="G1790" s="1"/>
    </x:row>
    <x:row r="1791">
      <x:c r="A1791" s="1"/>
      <x:c r="B1791" s="1"/>
      <x:c r="C1791" s="1"/>
      <x:c r="D1791" s="1"/>
      <x:c r="E1791" s="1"/>
      <x:c r="F1791" s="1"/>
      <x:c r="G1791" s="1"/>
    </x:row>
    <x:row r="1792">
      <x:c r="A1792" s="1"/>
      <x:c r="B1792" s="1"/>
      <x:c r="C1792" s="1"/>
      <x:c r="D1792" s="1"/>
      <x:c r="E1792" s="1"/>
      <x:c r="F1792" s="1"/>
      <x:c r="G1792" s="1"/>
    </x:row>
    <x:row r="1793">
      <x:c r="A1793" s="1"/>
      <x:c r="B1793" s="1"/>
      <x:c r="C1793" s="1"/>
      <x:c r="D1793" s="1"/>
      <x:c r="E1793" s="1"/>
      <x:c r="F1793" s="1"/>
      <x:c r="G1793" s="1"/>
    </x:row>
    <x:row r="1794">
      <x:c r="A1794" s="1"/>
      <x:c r="B1794" s="1"/>
      <x:c r="C1794" s="1"/>
      <x:c r="D1794" s="1"/>
      <x:c r="E1794" s="1"/>
      <x:c r="F1794" s="1"/>
      <x:c r="G1794" s="1"/>
    </x:row>
    <x:row r="1795">
      <x:c r="A1795" s="1"/>
      <x:c r="B1795" s="1"/>
      <x:c r="C1795" s="1"/>
      <x:c r="D1795" s="1"/>
      <x:c r="E1795" s="1"/>
      <x:c r="F1795" s="1"/>
      <x:c r="G1795" s="1"/>
    </x:row>
    <x:row r="1796">
      <x:c r="A1796" s="1"/>
      <x:c r="B1796" s="1"/>
      <x:c r="C1796" s="1"/>
      <x:c r="D1796" s="1"/>
      <x:c r="E1796" s="1"/>
      <x:c r="F1796" s="1"/>
      <x:c r="G1796" s="1"/>
    </x:row>
    <x:row r="1797">
      <x:c r="A1797" s="1"/>
      <x:c r="B1797" s="1"/>
      <x:c r="C1797" s="1"/>
      <x:c r="D1797" s="1"/>
      <x:c r="E1797" s="1"/>
      <x:c r="F1797" s="1"/>
      <x:c r="G1797" s="1"/>
    </x:row>
    <x:row r="1798">
      <x:c r="A1798" s="1"/>
      <x:c r="B1798" s="1"/>
      <x:c r="C1798" s="1"/>
      <x:c r="D1798" s="1"/>
      <x:c r="E1798" s="1"/>
      <x:c r="F1798" s="1"/>
      <x:c r="G1798" s="1"/>
    </x:row>
    <x:row r="1799">
      <x:c r="A1799" s="1"/>
      <x:c r="B1799" s="1"/>
      <x:c r="C1799" s="1"/>
      <x:c r="D1799" s="1"/>
      <x:c r="E1799" s="1"/>
      <x:c r="F1799" s="1"/>
      <x:c r="G1799" s="1"/>
    </x:row>
    <x:row r="1800">
      <x:c r="A1800" s="1"/>
      <x:c r="B1800" s="1"/>
      <x:c r="C1800" s="1"/>
      <x:c r="D1800" s="1"/>
      <x:c r="E1800" s="1"/>
      <x:c r="F1800" s="1"/>
      <x:c r="G1800" s="1"/>
    </x:row>
    <x:row r="1801">
      <x:c r="A1801" s="1"/>
      <x:c r="B1801" s="1"/>
      <x:c r="C1801" s="1"/>
      <x:c r="D1801" s="1"/>
      <x:c r="E1801" s="1"/>
      <x:c r="F1801" s="1"/>
      <x:c r="G1801" s="1"/>
    </x:row>
    <x:row r="1802">
      <x:c r="A1802" s="1"/>
      <x:c r="B1802" s="1"/>
      <x:c r="C1802" s="1"/>
      <x:c r="D1802" s="1"/>
      <x:c r="E1802" s="1"/>
      <x:c r="F1802" s="1"/>
      <x:c r="G1802" s="1"/>
    </x:row>
    <x:row r="1803">
      <x:c r="A1803" s="1"/>
      <x:c r="B1803" s="1"/>
      <x:c r="C1803" s="1"/>
      <x:c r="D1803" s="1"/>
      <x:c r="E1803" s="1"/>
      <x:c r="F1803" s="1"/>
      <x:c r="G1803" s="1"/>
    </x:row>
    <x:row r="1804">
      <x:c r="A1804" s="1"/>
      <x:c r="B1804" s="1"/>
      <x:c r="C1804" s="1"/>
      <x:c r="D1804" s="1"/>
      <x:c r="E1804" s="1"/>
      <x:c r="F1804" s="1"/>
      <x:c r="G1804" s="1"/>
    </x:row>
    <x:row r="1805">
      <x:c r="A1805" s="1"/>
      <x:c r="B1805" s="1"/>
      <x:c r="C1805" s="1"/>
      <x:c r="D1805" s="1"/>
      <x:c r="E1805" s="1"/>
      <x:c r="F1805" s="1"/>
      <x:c r="G1805" s="1"/>
    </x:row>
    <x:row r="1806">
      <x:c r="A1806" s="1"/>
      <x:c r="B1806" s="1"/>
      <x:c r="C1806" s="1"/>
      <x:c r="D1806" s="1"/>
      <x:c r="E1806" s="1"/>
      <x:c r="F1806" s="1"/>
      <x:c r="G1806" s="1"/>
    </x:row>
    <x:row r="1807">
      <x:c r="A1807" s="1"/>
      <x:c r="B1807" s="1"/>
      <x:c r="C1807" s="1"/>
      <x:c r="D1807" s="1"/>
      <x:c r="E1807" s="1"/>
      <x:c r="F1807" s="1"/>
      <x:c r="G1807" s="1"/>
    </x:row>
    <x:row r="1808">
      <x:c r="A1808" s="1"/>
      <x:c r="B1808" s="1"/>
      <x:c r="C1808" s="1"/>
      <x:c r="D1808" s="1"/>
      <x:c r="E1808" s="1"/>
      <x:c r="F1808" s="1"/>
      <x:c r="G1808" s="1"/>
    </x:row>
    <x:row r="1809">
      <x:c r="A1809" s="1"/>
      <x:c r="B1809" s="1"/>
      <x:c r="C1809" s="1"/>
      <x:c r="D1809" s="1"/>
      <x:c r="E1809" s="1"/>
      <x:c r="F1809" s="1"/>
      <x:c r="G1809" s="1"/>
    </x:row>
    <x:row r="1810">
      <x:c r="A1810" s="1"/>
      <x:c r="B1810" s="1"/>
      <x:c r="C1810" s="1"/>
      <x:c r="D1810" s="1"/>
      <x:c r="E1810" s="1"/>
      <x:c r="F1810" s="1"/>
      <x:c r="G1810" s="1"/>
    </x:row>
    <x:row r="1811">
      <x:c r="A1811" s="1"/>
      <x:c r="B1811" s="1"/>
      <x:c r="C1811" s="1"/>
      <x:c r="D1811" s="1"/>
      <x:c r="E1811" s="1"/>
      <x:c r="F1811" s="1"/>
      <x:c r="G1811" s="1"/>
    </x:row>
    <x:row r="1812">
      <x:c r="A1812" s="1"/>
      <x:c r="B1812" s="1"/>
      <x:c r="C1812" s="1"/>
      <x:c r="D1812" s="1"/>
      <x:c r="E1812" s="1"/>
      <x:c r="F1812" s="1"/>
      <x:c r="G1812" s="1"/>
    </x:row>
    <x:row r="1813">
      <x:c r="A1813" s="1"/>
      <x:c r="B1813" s="1"/>
      <x:c r="C1813" s="1"/>
      <x:c r="D1813" s="1"/>
      <x:c r="E1813" s="1"/>
      <x:c r="F1813" s="1"/>
      <x:c r="G1813" s="1"/>
    </x:row>
    <x:row r="1814">
      <x:c r="A1814" s="1"/>
      <x:c r="B1814" s="1"/>
      <x:c r="C1814" s="1"/>
      <x:c r="D1814" s="1"/>
      <x:c r="E1814" s="1"/>
      <x:c r="F1814" s="1"/>
      <x:c r="G1814" s="1"/>
    </x:row>
    <x:row r="1815">
      <x:c r="A1815" s="1"/>
      <x:c r="B1815" s="1"/>
      <x:c r="C1815" s="1"/>
      <x:c r="D1815" s="1"/>
      <x:c r="E1815" s="1"/>
      <x:c r="F1815" s="1"/>
      <x:c r="G1815" s="1"/>
    </x:row>
    <x:row r="1816">
      <x:c r="A1816" s="1"/>
      <x:c r="B1816" s="1"/>
      <x:c r="C1816" s="1"/>
      <x:c r="D1816" s="1"/>
      <x:c r="E1816" s="1"/>
      <x:c r="F1816" s="1"/>
      <x:c r="G1816" s="1"/>
    </x:row>
    <x:row r="1817">
      <x:c r="A1817" s="1"/>
      <x:c r="B1817" s="1"/>
      <x:c r="C1817" s="1"/>
      <x:c r="D1817" s="1"/>
      <x:c r="E1817" s="1"/>
      <x:c r="F1817" s="1"/>
      <x:c r="G1817" s="1"/>
    </x:row>
    <x:row r="1818">
      <x:c r="A1818" s="1"/>
      <x:c r="B1818" s="1"/>
      <x:c r="C1818" s="1"/>
      <x:c r="D1818" s="1"/>
      <x:c r="E1818" s="1"/>
      <x:c r="F1818" s="1"/>
      <x:c r="G1818" s="1"/>
    </x:row>
    <x:row r="1819">
      <x:c r="A1819" s="1"/>
      <x:c r="B1819" s="1"/>
      <x:c r="C1819" s="1"/>
      <x:c r="D1819" s="1"/>
      <x:c r="E1819" s="1"/>
      <x:c r="F1819" s="1"/>
      <x:c r="G1819" s="1"/>
    </x:row>
    <x:row r="1820">
      <x:c r="A1820" s="1"/>
      <x:c r="B1820" s="1"/>
      <x:c r="C1820" s="1"/>
      <x:c r="D1820" s="1"/>
      <x:c r="E1820" s="1"/>
      <x:c r="F1820" s="1"/>
      <x:c r="G1820" s="1"/>
    </x:row>
    <x:row r="1821">
      <x:c r="A1821" s="1"/>
      <x:c r="B1821" s="1"/>
      <x:c r="C1821" s="1"/>
      <x:c r="D1821" s="1"/>
      <x:c r="E1821" s="1"/>
      <x:c r="F1821" s="1"/>
      <x:c r="G1821" s="1"/>
    </x:row>
    <x:row r="1822">
      <x:c r="A1822" s="1"/>
      <x:c r="B1822" s="1"/>
      <x:c r="C1822" s="1"/>
      <x:c r="D1822" s="1"/>
      <x:c r="E1822" s="1"/>
      <x:c r="F1822" s="1"/>
      <x:c r="G1822" s="1"/>
    </x:row>
    <x:row r="1823">
      <x:c r="A1823" s="1"/>
      <x:c r="B1823" s="1"/>
      <x:c r="C1823" s="1"/>
      <x:c r="D1823" s="1"/>
      <x:c r="E1823" s="1"/>
      <x:c r="F1823" s="1"/>
      <x:c r="G1823" s="1"/>
    </x:row>
    <x:row r="1824">
      <x:c r="A1824" s="1"/>
      <x:c r="B1824" s="1"/>
      <x:c r="C1824" s="1"/>
      <x:c r="D1824" s="1"/>
      <x:c r="E1824" s="1"/>
      <x:c r="F1824" s="1"/>
      <x:c r="G1824" s="1"/>
    </x:row>
    <x:row r="1825">
      <x:c r="A1825" s="1"/>
      <x:c r="B1825" s="1"/>
      <x:c r="C1825" s="1"/>
      <x:c r="D1825" s="1"/>
      <x:c r="E1825" s="1"/>
      <x:c r="F1825" s="1"/>
      <x:c r="G1825" s="1"/>
    </x:row>
    <x:row r="1826">
      <x:c r="A1826" s="1"/>
      <x:c r="B1826" s="1"/>
      <x:c r="C1826" s="1"/>
      <x:c r="D1826" s="1"/>
      <x:c r="E1826" s="1"/>
      <x:c r="F1826" s="1"/>
      <x:c r="G1826" s="1"/>
    </x:row>
    <x:row r="1827">
      <x:c r="A1827" s="1"/>
      <x:c r="B1827" s="1"/>
      <x:c r="C1827" s="1"/>
      <x:c r="D1827" s="1"/>
      <x:c r="E1827" s="1"/>
      <x:c r="F1827" s="1"/>
      <x:c r="G1827" s="1"/>
    </x:row>
    <x:row r="1828">
      <x:c r="A1828" s="1"/>
      <x:c r="B1828" s="1"/>
      <x:c r="C1828" s="1"/>
      <x:c r="D1828" s="1"/>
      <x:c r="E1828" s="1"/>
      <x:c r="F1828" s="1"/>
      <x:c r="G1828" s="1"/>
    </x:row>
    <x:row r="1829">
      <x:c r="A1829" s="1"/>
      <x:c r="B1829" s="1"/>
      <x:c r="C1829" s="1"/>
      <x:c r="D1829" s="1"/>
      <x:c r="E1829" s="1"/>
      <x:c r="F1829" s="1"/>
      <x:c r="G1829" s="1"/>
    </x:row>
    <x:row r="1830">
      <x:c r="A1830" s="1"/>
      <x:c r="B1830" s="1"/>
      <x:c r="C1830" s="1"/>
      <x:c r="D1830" s="1"/>
      <x:c r="E1830" s="1"/>
      <x:c r="F1830" s="1"/>
      <x:c r="G1830" s="1"/>
    </x:row>
    <x:row r="1831">
      <x:c r="A1831" s="1"/>
      <x:c r="B1831" s="1"/>
      <x:c r="C1831" s="1"/>
      <x:c r="D1831" s="1"/>
      <x:c r="E1831" s="1"/>
      <x:c r="F1831" s="1"/>
      <x:c r="G1831" s="1"/>
    </x:row>
    <x:row r="1832">
      <x:c r="A1832" s="1"/>
      <x:c r="B1832" s="1"/>
      <x:c r="C1832" s="1"/>
      <x:c r="D1832" s="1"/>
      <x:c r="E1832" s="1"/>
      <x:c r="F1832" s="1"/>
      <x:c r="G1832" s="1"/>
    </x:row>
    <x:row r="1833">
      <x:c r="A1833" s="1"/>
      <x:c r="B1833" s="1"/>
      <x:c r="C1833" s="1"/>
      <x:c r="D1833" s="1"/>
      <x:c r="E1833" s="1"/>
      <x:c r="F1833" s="1"/>
      <x:c r="G1833" s="1"/>
    </x:row>
    <x:row r="1834">
      <x:c r="A1834" s="1"/>
      <x:c r="B1834" s="1"/>
      <x:c r="C1834" s="1"/>
      <x:c r="D1834" s="1"/>
      <x:c r="E1834" s="1"/>
      <x:c r="F1834" s="1"/>
      <x:c r="G1834" s="1"/>
    </x:row>
    <x:row r="1835">
      <x:c r="A1835" s="1"/>
      <x:c r="B1835" s="1"/>
      <x:c r="C1835" s="1"/>
      <x:c r="D1835" s="1"/>
      <x:c r="E1835" s="1"/>
      <x:c r="F1835" s="1"/>
      <x:c r="G1835" s="1"/>
    </x:row>
    <x:row r="1836">
      <x:c r="A1836" s="1"/>
      <x:c r="B1836" s="1"/>
      <x:c r="C1836" s="1"/>
      <x:c r="D1836" s="1"/>
      <x:c r="E1836" s="1"/>
      <x:c r="F1836" s="1"/>
      <x:c r="G1836" s="1"/>
    </x:row>
    <x:row r="1837">
      <x:c r="A1837" s="1"/>
      <x:c r="B1837" s="1"/>
      <x:c r="C1837" s="1"/>
      <x:c r="D1837" s="1"/>
      <x:c r="E1837" s="1"/>
      <x:c r="F1837" s="1"/>
      <x:c r="G1837" s="1"/>
    </x:row>
    <x:row r="1838">
      <x:c r="A1838" s="1"/>
      <x:c r="B1838" s="1"/>
      <x:c r="C1838" s="1"/>
      <x:c r="D1838" s="1"/>
      <x:c r="E1838" s="1"/>
      <x:c r="F1838" s="1"/>
      <x:c r="G1838" s="1"/>
    </x:row>
    <x:row r="1839">
      <x:c r="A1839" s="1"/>
      <x:c r="B1839" s="1"/>
      <x:c r="C1839" s="1"/>
      <x:c r="D1839" s="1"/>
      <x:c r="E1839" s="1"/>
      <x:c r="F1839" s="1"/>
      <x:c r="G1839" s="1"/>
    </x:row>
    <x:row r="1840">
      <x:c r="A1840" s="1"/>
      <x:c r="B1840" s="1"/>
      <x:c r="C1840" s="1"/>
      <x:c r="D1840" s="1"/>
      <x:c r="E1840" s="1"/>
      <x:c r="F1840" s="1"/>
      <x:c r="G1840" s="1"/>
    </x:row>
    <x:row r="1841">
      <x:c r="A1841" s="1"/>
      <x:c r="B1841" s="1"/>
      <x:c r="C1841" s="1"/>
      <x:c r="D1841" s="1"/>
      <x:c r="E1841" s="1"/>
      <x:c r="F1841" s="1"/>
      <x:c r="G1841" s="1"/>
    </x:row>
    <x:row r="1842">
      <x:c r="A1842" s="1"/>
      <x:c r="B1842" s="1"/>
      <x:c r="C1842" s="1"/>
      <x:c r="D1842" s="1"/>
      <x:c r="E1842" s="1"/>
      <x:c r="F1842" s="1"/>
      <x:c r="G1842" s="1"/>
    </x:row>
    <x:row r="1843">
      <x:c r="A1843" s="1"/>
      <x:c r="B1843" s="1"/>
      <x:c r="C1843" s="1"/>
      <x:c r="D1843" s="1"/>
      <x:c r="E1843" s="1"/>
      <x:c r="F1843" s="1"/>
      <x:c r="G1843" s="1"/>
    </x:row>
    <x:row r="1844">
      <x:c r="A1844" s="1"/>
      <x:c r="B1844" s="1"/>
      <x:c r="C1844" s="1"/>
      <x:c r="D1844" s="1"/>
      <x:c r="E1844" s="1"/>
      <x:c r="F1844" s="1"/>
      <x:c r="G1844" s="1"/>
    </x:row>
    <x:row r="1845">
      <x:c r="A1845" s="1"/>
      <x:c r="B1845" s="1"/>
      <x:c r="C1845" s="1"/>
      <x:c r="D1845" s="1"/>
      <x:c r="E1845" s="1"/>
      <x:c r="F1845" s="1"/>
      <x:c r="G1845" s="1"/>
    </x:row>
    <x:row r="1846">
      <x:c r="A1846" s="1"/>
      <x:c r="B1846" s="1"/>
      <x:c r="C1846" s="1"/>
      <x:c r="D1846" s="1"/>
      <x:c r="E1846" s="1"/>
      <x:c r="F1846" s="1"/>
      <x:c r="G1846" s="1"/>
    </x:row>
    <x:row r="1847">
      <x:c r="A1847" s="1"/>
      <x:c r="B1847" s="1"/>
      <x:c r="C1847" s="1"/>
      <x:c r="D1847" s="1"/>
      <x:c r="E1847" s="1"/>
      <x:c r="F1847" s="1"/>
      <x:c r="G1847" s="1"/>
    </x:row>
    <x:row r="1848">
      <x:c r="A1848" s="1"/>
      <x:c r="B1848" s="1"/>
      <x:c r="C1848" s="1"/>
      <x:c r="D1848" s="1"/>
      <x:c r="E1848" s="1"/>
      <x:c r="F1848" s="1"/>
      <x:c r="G1848" s="1"/>
    </x:row>
    <x:row r="1849">
      <x:c r="A1849" s="1"/>
      <x:c r="B1849" s="1"/>
      <x:c r="C1849" s="1"/>
      <x:c r="D1849" s="1"/>
      <x:c r="E1849" s="1"/>
      <x:c r="F1849" s="1"/>
      <x:c r="G1849" s="1"/>
    </x:row>
    <x:row r="1850">
      <x:c r="A1850" s="1"/>
      <x:c r="B1850" s="1"/>
      <x:c r="C1850" s="1"/>
      <x:c r="D1850" s="1"/>
      <x:c r="E1850" s="1"/>
      <x:c r="F1850" s="1"/>
      <x:c r="G1850" s="1"/>
    </x:row>
    <x:row r="1851">
      <x:c r="A1851" s="1"/>
      <x:c r="B1851" s="1"/>
      <x:c r="C1851" s="1"/>
      <x:c r="D1851" s="1"/>
      <x:c r="E1851" s="1"/>
      <x:c r="F1851" s="1"/>
      <x:c r="G1851" s="1"/>
    </x:row>
    <x:row r="1852">
      <x:c r="A1852" s="1"/>
      <x:c r="B1852" s="1"/>
      <x:c r="C1852" s="1"/>
      <x:c r="D1852" s="1"/>
      <x:c r="E1852" s="1"/>
      <x:c r="F1852" s="1"/>
      <x:c r="G1852" s="1"/>
    </x:row>
    <x:row r="1853">
      <x:c r="A1853" s="1"/>
      <x:c r="B1853" s="1"/>
      <x:c r="C1853" s="1"/>
      <x:c r="D1853" s="1"/>
      <x:c r="E1853" s="1"/>
      <x:c r="F1853" s="1"/>
      <x:c r="G1853" s="1"/>
    </x:row>
    <x:row r="1854">
      <x:c r="A1854" s="1"/>
      <x:c r="B1854" s="1"/>
      <x:c r="C1854" s="1"/>
      <x:c r="D1854" s="1"/>
      <x:c r="E1854" s="1"/>
      <x:c r="F1854" s="1"/>
      <x:c r="G1854" s="1"/>
    </x:row>
    <x:row r="1855">
      <x:c r="A1855" s="1"/>
      <x:c r="B1855" s="1"/>
      <x:c r="C1855" s="1"/>
      <x:c r="D1855" s="1"/>
      <x:c r="E1855" s="1"/>
      <x:c r="F1855" s="1"/>
      <x:c r="G1855" s="1"/>
    </x:row>
    <x:row r="1856">
      <x:c r="A1856" s="1"/>
      <x:c r="B1856" s="1"/>
      <x:c r="C1856" s="1"/>
      <x:c r="D1856" s="1"/>
      <x:c r="E1856" s="1"/>
      <x:c r="F1856" s="1"/>
      <x:c r="G1856" s="1"/>
    </x:row>
    <x:row r="1857">
      <x:c r="A1857" s="1"/>
      <x:c r="B1857" s="1"/>
      <x:c r="C1857" s="1"/>
      <x:c r="D1857" s="1"/>
      <x:c r="E1857" s="1"/>
      <x:c r="F1857" s="1"/>
      <x:c r="G1857" s="1"/>
    </x:row>
    <x:row r="1858">
      <x:c r="A1858" s="1"/>
      <x:c r="B1858" s="1"/>
      <x:c r="C1858" s="1"/>
      <x:c r="D1858" s="1"/>
      <x:c r="E1858" s="1"/>
      <x:c r="F1858" s="1"/>
      <x:c r="G1858" s="1"/>
    </x:row>
    <x:row r="1859">
      <x:c r="A1859" s="1"/>
      <x:c r="B1859" s="1"/>
      <x:c r="C1859" s="1"/>
      <x:c r="D1859" s="1"/>
      <x:c r="E1859" s="1"/>
      <x:c r="F1859" s="1"/>
      <x:c r="G1859" s="1"/>
    </x:row>
    <x:row r="1860">
      <x:c r="A1860" s="1"/>
      <x:c r="B1860" s="1"/>
      <x:c r="C1860" s="1"/>
      <x:c r="D1860" s="1"/>
      <x:c r="E1860" s="1"/>
      <x:c r="F1860" s="1"/>
      <x:c r="G1860" s="1"/>
    </x:row>
    <x:row r="1861">
      <x:c r="A1861" s="1"/>
      <x:c r="B1861" s="1"/>
      <x:c r="C1861" s="1"/>
      <x:c r="D1861" s="1"/>
      <x:c r="E1861" s="1"/>
      <x:c r="F1861" s="1"/>
      <x:c r="G1861" s="1"/>
    </x:row>
    <x:row r="1862">
      <x:c r="A1862" s="1"/>
      <x:c r="B1862" s="1"/>
      <x:c r="C1862" s="1"/>
      <x:c r="D1862" s="1"/>
      <x:c r="E1862" s="1"/>
      <x:c r="F1862" s="1"/>
      <x:c r="G1862" s="1"/>
    </x:row>
    <x:row r="1863">
      <x:c r="A1863" s="1"/>
      <x:c r="B1863" s="1"/>
      <x:c r="C1863" s="1"/>
      <x:c r="D1863" s="1"/>
      <x:c r="E1863" s="1"/>
      <x:c r="F1863" s="1"/>
      <x:c r="G1863" s="1"/>
    </x:row>
    <x:row r="1864">
      <x:c r="A1864" s="1"/>
      <x:c r="B1864" s="1"/>
      <x:c r="C1864" s="1"/>
      <x:c r="D1864" s="1"/>
      <x:c r="E1864" s="1"/>
      <x:c r="F1864" s="1"/>
      <x:c r="G1864" s="1"/>
    </x:row>
    <x:row r="1865">
      <x:c r="A1865" s="1"/>
      <x:c r="B1865" s="1"/>
      <x:c r="C1865" s="1"/>
      <x:c r="D1865" s="1"/>
      <x:c r="E1865" s="1"/>
      <x:c r="F1865" s="1"/>
      <x:c r="G1865" s="1"/>
    </x:row>
    <x:row r="1866">
      <x:c r="A1866" s="1"/>
      <x:c r="B1866" s="1"/>
      <x:c r="C1866" s="1"/>
      <x:c r="D1866" s="1"/>
      <x:c r="E1866" s="1"/>
      <x:c r="F1866" s="1"/>
      <x:c r="G1866" s="1"/>
    </x:row>
    <x:row r="1867">
      <x:c r="A1867" s="1"/>
      <x:c r="B1867" s="1"/>
      <x:c r="C1867" s="1"/>
      <x:c r="D1867" s="1"/>
      <x:c r="E1867" s="1"/>
      <x:c r="F1867" s="1"/>
      <x:c r="G1867" s="1"/>
    </x:row>
    <x:row r="1868">
      <x:c r="A1868" s="1"/>
      <x:c r="B1868" s="1"/>
      <x:c r="C1868" s="1"/>
      <x:c r="D1868" s="1"/>
      <x:c r="E1868" s="1"/>
      <x:c r="F1868" s="1"/>
      <x:c r="G1868" s="1"/>
    </x:row>
    <x:row r="1869">
      <x:c r="A1869" s="1"/>
      <x:c r="B1869" s="1"/>
      <x:c r="C1869" s="1"/>
      <x:c r="D1869" s="1"/>
      <x:c r="E1869" s="1"/>
      <x:c r="F1869" s="1"/>
      <x:c r="G1869" s="1"/>
    </x:row>
    <x:row r="1870">
      <x:c r="A1870" s="1"/>
      <x:c r="B1870" s="1"/>
      <x:c r="C1870" s="1"/>
      <x:c r="D1870" s="1"/>
      <x:c r="E1870" s="1"/>
      <x:c r="F1870" s="1"/>
      <x:c r="G1870" s="1"/>
    </x:row>
    <x:row r="1871">
      <x:c r="A1871" s="1"/>
      <x:c r="B1871" s="1"/>
      <x:c r="C1871" s="1"/>
      <x:c r="D1871" s="1"/>
      <x:c r="E1871" s="1"/>
      <x:c r="F1871" s="1"/>
      <x:c r="G1871" s="1"/>
    </x:row>
    <x:row r="1872">
      <x:c r="A1872" s="1"/>
      <x:c r="B1872" s="1"/>
      <x:c r="C1872" s="1"/>
      <x:c r="D1872" s="1"/>
      <x:c r="E1872" s="1"/>
      <x:c r="F1872" s="1"/>
      <x:c r="G1872" s="1"/>
    </x:row>
    <x:row r="1873">
      <x:c r="A1873" s="1"/>
      <x:c r="B1873" s="1"/>
      <x:c r="C1873" s="1"/>
      <x:c r="D1873" s="1"/>
      <x:c r="E1873" s="1"/>
      <x:c r="F1873" s="1"/>
      <x:c r="G1873" s="1"/>
    </x:row>
    <x:row r="1874">
      <x:c r="A1874" s="1"/>
      <x:c r="B1874" s="1"/>
      <x:c r="C1874" s="1"/>
      <x:c r="D1874" s="1"/>
      <x:c r="E1874" s="1"/>
      <x:c r="F1874" s="1"/>
      <x:c r="G1874" s="1"/>
    </x:row>
    <x:row r="1875">
      <x:c r="A1875" s="1"/>
      <x:c r="B1875" s="1"/>
      <x:c r="C1875" s="1"/>
      <x:c r="D1875" s="1"/>
      <x:c r="E1875" s="1"/>
      <x:c r="F1875" s="1"/>
      <x:c r="G1875" s="1"/>
    </x:row>
    <x:row r="1876">
      <x:c r="A1876" s="1"/>
      <x:c r="B1876" s="1"/>
      <x:c r="C1876" s="1"/>
      <x:c r="D1876" s="1"/>
      <x:c r="E1876" s="1"/>
      <x:c r="F1876" s="1"/>
      <x:c r="G1876" s="1"/>
    </x:row>
    <x:row r="1877">
      <x:c r="A1877" s="1"/>
      <x:c r="B1877" s="1"/>
      <x:c r="C1877" s="1"/>
      <x:c r="D1877" s="1"/>
      <x:c r="E1877" s="1"/>
      <x:c r="F1877" s="1"/>
      <x:c r="G1877" s="1"/>
    </x:row>
    <x:row r="1878">
      <x:c r="A1878" s="1"/>
      <x:c r="B1878" s="1"/>
      <x:c r="C1878" s="1"/>
      <x:c r="D1878" s="1"/>
      <x:c r="E1878" s="1"/>
      <x:c r="F1878" s="1"/>
      <x:c r="G1878" s="1"/>
    </x:row>
    <x:row r="1879">
      <x:c r="A1879" s="1"/>
      <x:c r="B1879" s="1"/>
      <x:c r="C1879" s="1"/>
      <x:c r="D1879" s="1"/>
      <x:c r="E1879" s="1"/>
      <x:c r="F1879" s="1"/>
      <x:c r="G1879" s="1"/>
    </x:row>
    <x:row r="1880">
      <x:c r="A1880" s="1"/>
      <x:c r="B1880" s="1"/>
      <x:c r="C1880" s="1"/>
      <x:c r="D1880" s="1"/>
      <x:c r="E1880" s="1"/>
      <x:c r="F1880" s="1"/>
      <x:c r="G1880" s="1"/>
    </x:row>
    <x:row r="1881">
      <x:c r="A1881" s="1"/>
      <x:c r="B1881" s="1"/>
      <x:c r="C1881" s="1"/>
      <x:c r="D1881" s="1"/>
      <x:c r="E1881" s="1"/>
      <x:c r="F1881" s="1"/>
      <x:c r="G1881" s="1"/>
    </x:row>
    <x:row r="1882">
      <x:c r="A1882" s="1"/>
      <x:c r="B1882" s="1"/>
      <x:c r="C1882" s="1"/>
      <x:c r="D1882" s="1"/>
      <x:c r="E1882" s="1"/>
      <x:c r="F1882" s="1"/>
      <x:c r="G1882" s="1"/>
    </x:row>
    <x:row r="1883">
      <x:c r="A1883" s="1"/>
      <x:c r="B1883" s="1"/>
      <x:c r="C1883" s="1"/>
      <x:c r="D1883" s="1"/>
      <x:c r="E1883" s="1"/>
      <x:c r="F1883" s="1"/>
      <x:c r="G1883" s="1"/>
    </x:row>
    <x:row r="1884">
      <x:c r="A1884" s="1"/>
      <x:c r="B1884" s="1"/>
      <x:c r="C1884" s="1"/>
      <x:c r="D1884" s="1"/>
      <x:c r="E1884" s="1"/>
      <x:c r="F1884" s="1"/>
      <x:c r="G1884" s="1"/>
    </x:row>
    <x:row r="1885">
      <x:c r="A1885" s="1"/>
      <x:c r="B1885" s="1"/>
      <x:c r="C1885" s="1"/>
      <x:c r="D1885" s="1"/>
      <x:c r="E1885" s="1"/>
      <x:c r="F1885" s="1"/>
      <x:c r="G1885" s="1"/>
    </x:row>
    <x:row r="1886">
      <x:c r="A1886" s="1"/>
      <x:c r="B1886" s="1"/>
      <x:c r="C1886" s="1"/>
      <x:c r="D1886" s="1"/>
      <x:c r="E1886" s="1"/>
      <x:c r="F1886" s="1"/>
      <x:c r="G1886" s="1"/>
    </x:row>
    <x:row r="1887">
      <x:c r="A1887" s="1"/>
      <x:c r="B1887" s="1"/>
      <x:c r="C1887" s="1"/>
      <x:c r="D1887" s="1"/>
      <x:c r="E1887" s="1"/>
      <x:c r="F1887" s="1"/>
      <x:c r="G1887" s="1"/>
    </x:row>
    <x:row r="1888">
      <x:c r="A1888" s="1"/>
      <x:c r="B1888" s="1"/>
      <x:c r="C1888" s="1"/>
      <x:c r="D1888" s="1"/>
      <x:c r="E1888" s="1"/>
      <x:c r="F1888" s="1"/>
      <x:c r="G1888" s="1"/>
    </x:row>
    <x:row r="1889">
      <x:c r="A1889" s="1"/>
      <x:c r="B1889" s="1"/>
      <x:c r="C1889" s="1"/>
      <x:c r="D1889" s="1"/>
      <x:c r="E1889" s="1"/>
      <x:c r="F1889" s="1"/>
      <x:c r="G1889" s="1"/>
    </x:row>
    <x:row r="1890">
      <x:c r="A1890" s="1"/>
      <x:c r="B1890" s="1"/>
      <x:c r="C1890" s="1"/>
      <x:c r="D1890" s="1"/>
      <x:c r="E1890" s="1"/>
      <x:c r="F1890" s="1"/>
      <x:c r="G1890" s="1"/>
    </x:row>
    <x:row r="1891">
      <x:c r="A1891" s="1"/>
      <x:c r="B1891" s="1"/>
      <x:c r="C1891" s="1"/>
      <x:c r="D1891" s="1"/>
      <x:c r="E1891" s="1"/>
      <x:c r="F1891" s="1"/>
      <x:c r="G1891" s="1"/>
    </x:row>
    <x:row r="1892">
      <x:c r="A1892" s="1"/>
      <x:c r="B1892" s="1"/>
      <x:c r="C1892" s="1"/>
      <x:c r="D1892" s="1"/>
      <x:c r="E1892" s="1"/>
      <x:c r="F1892" s="1"/>
      <x:c r="G1892" s="1"/>
    </x:row>
    <x:row r="1893">
      <x:c r="A1893" s="1"/>
      <x:c r="B1893" s="1"/>
      <x:c r="C1893" s="1"/>
      <x:c r="D1893" s="1"/>
      <x:c r="E1893" s="1"/>
      <x:c r="F1893" s="1"/>
      <x:c r="G1893" s="1"/>
    </x:row>
    <x:row r="1894">
      <x:c r="A1894" s="1"/>
      <x:c r="B1894" s="1"/>
      <x:c r="C1894" s="1"/>
      <x:c r="D1894" s="1"/>
      <x:c r="E1894" s="1"/>
      <x:c r="F1894" s="1"/>
      <x:c r="G1894" s="1"/>
    </x:row>
    <x:row r="1895">
      <x:c r="A1895" s="1"/>
      <x:c r="B1895" s="1"/>
      <x:c r="C1895" s="1"/>
      <x:c r="D1895" s="1"/>
      <x:c r="E1895" s="1"/>
      <x:c r="F1895" s="1"/>
      <x:c r="G1895" s="1"/>
    </x:row>
    <x:row r="1896">
      <x:c r="A1896" s="1"/>
      <x:c r="B1896" s="1"/>
      <x:c r="C1896" s="1"/>
      <x:c r="D1896" s="1"/>
      <x:c r="E1896" s="1"/>
      <x:c r="F1896" s="1"/>
      <x:c r="G1896" s="1"/>
    </x:row>
    <x:row r="1897">
      <x:c r="A1897" s="1"/>
      <x:c r="B1897" s="1"/>
      <x:c r="C1897" s="1"/>
      <x:c r="D1897" s="1"/>
      <x:c r="E1897" s="1"/>
      <x:c r="F1897" s="1"/>
      <x:c r="G1897" s="1"/>
    </x:row>
    <x:row r="1898">
      <x:c r="A1898" s="1"/>
      <x:c r="B1898" s="1"/>
      <x:c r="C1898" s="1"/>
      <x:c r="D1898" s="1"/>
      <x:c r="E1898" s="1"/>
      <x:c r="F1898" s="1"/>
      <x:c r="G1898" s="1"/>
    </x:row>
    <x:row r="1899">
      <x:c r="A1899" s="1"/>
      <x:c r="B1899" s="1"/>
      <x:c r="C1899" s="1"/>
      <x:c r="D1899" s="1"/>
      <x:c r="E1899" s="1"/>
      <x:c r="F1899" s="1"/>
      <x:c r="G1899" s="1"/>
    </x:row>
    <x:row r="1900">
      <x:c r="A1900" s="1"/>
      <x:c r="B1900" s="1"/>
      <x:c r="C1900" s="1"/>
      <x:c r="D1900" s="1"/>
      <x:c r="E1900" s="1"/>
      <x:c r="F1900" s="1"/>
      <x:c r="G1900" s="1"/>
    </x:row>
    <x:row r="1901">
      <x:c r="A1901" s="1"/>
      <x:c r="B1901" s="1"/>
      <x:c r="C1901" s="1"/>
      <x:c r="D1901" s="1"/>
      <x:c r="E1901" s="1"/>
      <x:c r="F1901" s="1"/>
      <x:c r="G1901" s="1"/>
    </x:row>
    <x:row r="1902">
      <x:c r="A1902" s="1"/>
      <x:c r="B1902" s="1"/>
      <x:c r="C1902" s="1"/>
      <x:c r="D1902" s="1"/>
      <x:c r="E1902" s="1"/>
      <x:c r="F1902" s="1"/>
      <x:c r="G1902" s="1"/>
    </x:row>
    <x:row r="1903">
      <x:c r="A1903" s="1"/>
      <x:c r="B1903" s="1"/>
      <x:c r="C1903" s="1"/>
      <x:c r="D1903" s="1"/>
      <x:c r="E1903" s="1"/>
      <x:c r="F1903" s="1"/>
      <x:c r="G1903" s="1"/>
    </x:row>
    <x:row r="1904">
      <x:c r="A1904" s="1"/>
      <x:c r="B1904" s="1"/>
      <x:c r="C1904" s="1"/>
      <x:c r="D1904" s="1"/>
      <x:c r="E1904" s="1"/>
      <x:c r="F1904" s="1"/>
      <x:c r="G1904" s="1"/>
    </x:row>
    <x:row r="1905">
      <x:c r="A1905" s="1"/>
      <x:c r="B1905" s="1"/>
      <x:c r="C1905" s="1"/>
      <x:c r="D1905" s="1"/>
      <x:c r="E1905" s="1"/>
      <x:c r="F1905" s="1"/>
      <x:c r="G1905" s="1"/>
    </x:row>
    <x:row r="1906">
      <x:c r="A1906" s="1"/>
      <x:c r="B1906" s="1"/>
      <x:c r="C1906" s="1"/>
      <x:c r="D1906" s="1"/>
      <x:c r="E1906" s="1"/>
      <x:c r="F1906" s="1"/>
      <x:c r="G1906" s="1"/>
    </x:row>
    <x:row r="1907">
      <x:c r="A1907" s="1"/>
      <x:c r="B1907" s="1"/>
      <x:c r="C1907" s="1"/>
      <x:c r="D1907" s="1"/>
      <x:c r="E1907" s="1"/>
      <x:c r="F1907" s="1"/>
      <x:c r="G1907" s="1"/>
    </x:row>
    <x:row r="1908">
      <x:c r="A1908" s="1"/>
      <x:c r="B1908" s="1"/>
      <x:c r="C1908" s="1"/>
      <x:c r="D1908" s="1"/>
      <x:c r="E1908" s="1"/>
      <x:c r="F1908" s="1"/>
      <x:c r="G1908" s="1"/>
    </x:row>
    <x:row r="1909">
      <x:c r="A1909" s="1"/>
      <x:c r="B1909" s="1"/>
      <x:c r="C1909" s="1"/>
      <x:c r="D1909" s="1"/>
      <x:c r="E1909" s="1"/>
      <x:c r="F1909" s="1"/>
      <x:c r="G1909" s="1"/>
    </x:row>
    <x:row r="1910">
      <x:c r="A1910" s="1"/>
      <x:c r="B1910" s="1"/>
      <x:c r="C1910" s="1"/>
      <x:c r="D1910" s="1"/>
      <x:c r="E1910" s="1"/>
      <x:c r="F1910" s="1"/>
      <x:c r="G1910" s="1"/>
    </x:row>
    <x:row r="1911">
      <x:c r="A1911" s="1"/>
      <x:c r="B1911" s="1"/>
      <x:c r="C1911" s="1"/>
      <x:c r="D1911" s="1"/>
      <x:c r="E1911" s="1"/>
      <x:c r="F1911" s="1"/>
      <x:c r="G1911" s="1"/>
    </x:row>
    <x:row r="1912">
      <x:c r="A1912" s="1"/>
      <x:c r="B1912" s="1"/>
      <x:c r="C1912" s="1"/>
      <x:c r="D1912" s="1"/>
      <x:c r="E1912" s="1"/>
      <x:c r="F1912" s="1"/>
      <x:c r="G1912" s="1"/>
    </x:row>
    <x:row r="1913">
      <x:c r="A1913" s="1"/>
      <x:c r="B1913" s="1"/>
      <x:c r="C1913" s="1"/>
      <x:c r="D1913" s="1"/>
      <x:c r="E1913" s="1"/>
      <x:c r="F1913" s="1"/>
      <x:c r="G1913" s="1"/>
    </x:row>
    <x:row r="1914">
      <x:c r="A1914" s="1"/>
      <x:c r="B1914" s="1"/>
      <x:c r="C1914" s="1"/>
      <x:c r="D1914" s="1"/>
      <x:c r="E1914" s="1"/>
      <x:c r="F1914" s="1"/>
      <x:c r="G1914" s="1"/>
    </x:row>
    <x:row r="1915">
      <x:c r="A1915" s="1"/>
      <x:c r="B1915" s="1"/>
      <x:c r="C1915" s="1"/>
      <x:c r="D1915" s="1"/>
      <x:c r="E1915" s="1"/>
      <x:c r="F1915" s="1"/>
      <x:c r="G1915" s="1"/>
    </x:row>
    <x:row r="1916">
      <x:c r="A1916" s="1"/>
      <x:c r="B1916" s="1"/>
      <x:c r="C1916" s="1"/>
      <x:c r="D1916" s="1"/>
      <x:c r="E1916" s="1"/>
      <x:c r="F1916" s="1"/>
      <x:c r="G1916" s="1"/>
    </x:row>
    <x:row r="1917">
      <x:c r="A1917" s="1"/>
      <x:c r="B1917" s="1"/>
      <x:c r="C1917" s="1"/>
      <x:c r="D1917" s="1"/>
      <x:c r="E1917" s="1"/>
      <x:c r="F1917" s="1"/>
      <x:c r="G1917" s="1"/>
    </x:row>
    <x:row r="1918">
      <x:c r="A1918" s="1"/>
      <x:c r="B1918" s="1"/>
      <x:c r="C1918" s="1"/>
      <x:c r="D1918" s="1"/>
      <x:c r="E1918" s="1"/>
      <x:c r="F1918" s="1"/>
      <x:c r="G1918" s="1"/>
    </x:row>
    <x:row r="1919">
      <x:c r="A1919" s="1"/>
      <x:c r="B1919" s="1"/>
      <x:c r="C1919" s="1"/>
      <x:c r="D1919" s="1"/>
      <x:c r="E1919" s="1"/>
      <x:c r="F1919" s="1"/>
      <x:c r="G1919" s="1"/>
    </x:row>
    <x:row r="1920">
      <x:c r="A1920" s="1"/>
      <x:c r="B1920" s="1"/>
      <x:c r="C1920" s="1"/>
      <x:c r="D1920" s="1"/>
      <x:c r="E1920" s="1"/>
      <x:c r="F1920" s="1"/>
      <x:c r="G1920" s="1"/>
    </x:row>
    <x:row r="1921">
      <x:c r="A1921" s="1"/>
      <x:c r="B1921" s="1"/>
      <x:c r="C1921" s="1"/>
      <x:c r="D1921" s="1"/>
      <x:c r="E1921" s="1"/>
      <x:c r="F1921" s="1"/>
      <x:c r="G1921" s="1"/>
    </x:row>
    <x:row r="1922">
      <x:c r="A1922" s="1"/>
      <x:c r="B1922" s="1"/>
      <x:c r="C1922" s="1"/>
      <x:c r="D1922" s="1"/>
      <x:c r="E1922" s="1"/>
      <x:c r="F1922" s="1"/>
      <x:c r="G1922" s="1"/>
    </x:row>
    <x:row r="1923">
      <x:c r="A1923" s="1"/>
      <x:c r="B1923" s="1"/>
      <x:c r="C1923" s="1"/>
      <x:c r="D1923" s="1"/>
      <x:c r="E1923" s="1"/>
      <x:c r="F1923" s="1"/>
      <x:c r="G1923" s="1"/>
    </x:row>
    <x:row r="1924">
      <x:c r="A1924" s="1"/>
      <x:c r="B1924" s="1"/>
      <x:c r="C1924" s="1"/>
      <x:c r="D1924" s="1"/>
      <x:c r="E1924" s="1"/>
      <x:c r="F1924" s="1"/>
      <x:c r="G1924" s="1"/>
    </x:row>
    <x:row r="1925">
      <x:c r="A1925" s="1"/>
      <x:c r="B1925" s="1"/>
      <x:c r="C1925" s="1"/>
      <x:c r="D1925" s="1"/>
      <x:c r="E1925" s="1"/>
      <x:c r="F1925" s="1"/>
      <x:c r="G1925" s="1"/>
    </x:row>
    <x:row r="1926">
      <x:c r="A1926" s="1"/>
      <x:c r="B1926" s="1"/>
      <x:c r="C1926" s="1"/>
      <x:c r="D1926" s="1"/>
      <x:c r="E1926" s="1"/>
      <x:c r="F1926" s="1"/>
      <x:c r="G1926" s="1"/>
    </x:row>
    <x:row r="1927">
      <x:c r="A1927" s="1"/>
      <x:c r="B1927" s="1"/>
      <x:c r="C1927" s="1"/>
      <x:c r="D1927" s="1"/>
      <x:c r="E1927" s="1"/>
      <x:c r="F1927" s="1"/>
      <x:c r="G1927" s="1"/>
    </x:row>
    <x:row r="1928">
      <x:c r="A1928" s="1"/>
      <x:c r="B1928" s="1"/>
      <x:c r="C1928" s="1"/>
      <x:c r="D1928" s="1"/>
      <x:c r="E1928" s="1"/>
      <x:c r="F1928" s="1"/>
      <x:c r="G1928" s="1"/>
    </x:row>
    <x:row r="1929">
      <x:c r="A1929" s="1"/>
      <x:c r="B1929" s="1"/>
      <x:c r="C1929" s="1"/>
      <x:c r="D1929" s="1"/>
      <x:c r="E1929" s="1"/>
      <x:c r="F1929" s="1"/>
      <x:c r="G1929" s="1"/>
    </x:row>
    <x:row r="1930">
      <x:c r="A1930" s="1"/>
      <x:c r="B1930" s="1"/>
      <x:c r="C1930" s="1"/>
      <x:c r="D1930" s="1"/>
      <x:c r="E1930" s="1"/>
      <x:c r="F1930" s="1"/>
      <x:c r="G1930" s="1"/>
    </x:row>
    <x:row r="1931">
      <x:c r="A1931" s="1"/>
      <x:c r="B1931" s="1"/>
      <x:c r="C1931" s="1"/>
      <x:c r="D1931" s="1"/>
      <x:c r="E1931" s="1"/>
      <x:c r="F1931" s="1"/>
      <x:c r="G1931" s="1"/>
    </x:row>
    <x:row r="1932">
      <x:c r="A1932" s="1"/>
      <x:c r="B1932" s="1"/>
      <x:c r="C1932" s="1"/>
      <x:c r="D1932" s="1"/>
      <x:c r="E1932" s="1"/>
      <x:c r="F1932" s="1"/>
      <x:c r="G1932" s="1"/>
    </x:row>
    <x:row r="1933">
      <x:c r="A1933" s="1"/>
      <x:c r="B1933" s="1"/>
      <x:c r="C1933" s="1"/>
      <x:c r="D1933" s="1"/>
      <x:c r="E1933" s="1"/>
      <x:c r="F1933" s="1"/>
      <x:c r="G1933" s="1"/>
    </x:row>
    <x:row r="1934">
      <x:c r="A1934" s="1"/>
      <x:c r="B1934" s="1"/>
      <x:c r="C1934" s="1"/>
      <x:c r="D1934" s="1"/>
      <x:c r="E1934" s="1"/>
      <x:c r="F1934" s="1"/>
      <x:c r="G1934" s="1"/>
    </x:row>
    <x:row r="1935">
      <x:c r="A1935" s="1"/>
      <x:c r="B1935" s="1"/>
      <x:c r="C1935" s="1"/>
      <x:c r="D1935" s="1"/>
      <x:c r="E1935" s="1"/>
      <x:c r="F1935" s="1"/>
      <x:c r="G1935" s="1"/>
    </x:row>
    <x:row r="1936">
      <x:c r="A1936" s="1"/>
      <x:c r="B1936" s="1"/>
      <x:c r="C1936" s="1"/>
      <x:c r="D1936" s="1"/>
      <x:c r="E1936" s="1"/>
      <x:c r="F1936" s="1"/>
      <x:c r="G1936" s="1"/>
    </x:row>
    <x:row r="1937">
      <x:c r="A1937" s="1"/>
      <x:c r="B1937" s="1"/>
      <x:c r="C1937" s="1"/>
      <x:c r="D1937" s="1"/>
      <x:c r="E1937" s="1"/>
      <x:c r="F1937" s="1"/>
      <x:c r="G1937" s="1"/>
    </x:row>
    <x:row r="1938">
      <x:c r="A1938" s="1"/>
      <x:c r="B1938" s="1"/>
      <x:c r="C1938" s="1"/>
      <x:c r="D1938" s="1"/>
      <x:c r="E1938" s="1"/>
      <x:c r="F1938" s="1"/>
      <x:c r="G1938" s="1"/>
    </x:row>
    <x:row r="1939">
      <x:c r="A1939" s="1"/>
      <x:c r="B1939" s="1"/>
      <x:c r="C1939" s="1"/>
      <x:c r="D1939" s="1"/>
      <x:c r="E1939" s="1"/>
      <x:c r="F1939" s="1"/>
      <x:c r="G1939" s="1"/>
    </x:row>
    <x:row r="1940">
      <x:c r="A1940" s="1"/>
      <x:c r="B1940" s="1"/>
      <x:c r="C1940" s="1"/>
      <x:c r="D1940" s="1"/>
      <x:c r="E1940" s="1"/>
      <x:c r="F1940" s="1"/>
      <x:c r="G1940" s="1"/>
    </x:row>
    <x:row r="1941">
      <x:c r="A1941" s="1"/>
      <x:c r="B1941" s="1"/>
      <x:c r="C1941" s="1"/>
      <x:c r="D1941" s="1"/>
      <x:c r="E1941" s="1"/>
      <x:c r="F1941" s="1"/>
      <x:c r="G1941" s="1"/>
    </x:row>
    <x:row r="1942">
      <x:c r="A1942" s="1"/>
      <x:c r="B1942" s="1"/>
      <x:c r="C1942" s="1"/>
      <x:c r="D1942" s="1"/>
      <x:c r="E1942" s="1"/>
      <x:c r="F1942" s="1"/>
      <x:c r="G1942" s="1"/>
    </x:row>
    <x:row r="1943">
      <x:c r="A1943" s="1"/>
      <x:c r="B1943" s="1"/>
      <x:c r="C1943" s="1"/>
      <x:c r="D1943" s="1"/>
      <x:c r="E1943" s="1"/>
      <x:c r="F1943" s="1"/>
      <x:c r="G1943" s="1"/>
    </x:row>
    <x:row r="1944">
      <x:c r="A1944" s="1"/>
      <x:c r="B1944" s="1"/>
      <x:c r="C1944" s="1"/>
      <x:c r="D1944" s="1"/>
      <x:c r="E1944" s="1"/>
      <x:c r="F1944" s="1"/>
      <x:c r="G1944" s="1"/>
    </x:row>
    <x:row r="1945">
      <x:c r="A1945" s="1"/>
      <x:c r="B1945" s="1"/>
      <x:c r="C1945" s="1"/>
      <x:c r="D1945" s="1"/>
      <x:c r="E1945" s="1"/>
      <x:c r="F1945" s="1"/>
      <x:c r="G1945" s="1"/>
    </x:row>
    <x:row r="1946">
      <x:c r="A1946" s="1"/>
      <x:c r="B1946" s="1"/>
      <x:c r="C1946" s="1"/>
      <x:c r="D1946" s="1"/>
      <x:c r="E1946" s="1"/>
      <x:c r="F1946" s="1"/>
      <x:c r="G1946" s="1"/>
    </x:row>
    <x:row r="1947">
      <x:c r="A1947" s="1"/>
      <x:c r="B1947" s="1"/>
      <x:c r="C1947" s="1"/>
      <x:c r="D1947" s="1"/>
      <x:c r="E1947" s="1"/>
      <x:c r="F1947" s="1"/>
      <x:c r="G1947" s="1"/>
    </x:row>
    <x:row r="1948">
      <x:c r="A1948" s="1"/>
      <x:c r="B1948" s="1"/>
      <x:c r="C1948" s="1"/>
      <x:c r="D1948" s="1"/>
      <x:c r="E1948" s="1"/>
      <x:c r="F1948" s="1"/>
      <x:c r="G1948" s="1"/>
    </x:row>
    <x:row r="1949">
      <x:c r="A1949" s="1"/>
      <x:c r="B1949" s="1"/>
      <x:c r="C1949" s="1"/>
      <x:c r="D1949" s="1"/>
      <x:c r="E1949" s="1"/>
      <x:c r="F1949" s="1"/>
      <x:c r="G1949" s="1"/>
    </x:row>
    <x:row r="1950">
      <x:c r="A1950" s="1"/>
      <x:c r="B1950" s="1"/>
      <x:c r="C1950" s="1"/>
      <x:c r="D1950" s="1"/>
      <x:c r="E1950" s="1"/>
      <x:c r="F1950" s="1"/>
      <x:c r="G1950" s="1"/>
    </x:row>
    <x:row r="1951">
      <x:c r="A1951" s="1"/>
      <x:c r="B1951" s="1"/>
      <x:c r="C1951" s="1"/>
      <x:c r="D1951" s="1"/>
      <x:c r="E1951" s="1"/>
      <x:c r="F1951" s="1"/>
      <x:c r="G1951" s="1"/>
    </x:row>
    <x:row r="1952">
      <x:c r="A1952" s="1"/>
      <x:c r="B1952" s="1"/>
      <x:c r="C1952" s="1"/>
      <x:c r="D1952" s="1"/>
      <x:c r="E1952" s="1"/>
      <x:c r="F1952" s="1"/>
      <x:c r="G1952" s="1"/>
    </x:row>
    <x:row r="1953">
      <x:c r="A1953" s="1"/>
      <x:c r="B1953" s="1"/>
      <x:c r="C1953" s="1"/>
      <x:c r="D1953" s="1"/>
      <x:c r="E1953" s="1"/>
      <x:c r="F1953" s="1"/>
      <x:c r="G1953" s="1"/>
    </x:row>
    <x:row r="1954">
      <x:c r="A1954" s="1"/>
      <x:c r="B1954" s="1"/>
      <x:c r="C1954" s="1"/>
      <x:c r="D1954" s="1"/>
      <x:c r="E1954" s="1"/>
      <x:c r="F1954" s="1"/>
      <x:c r="G1954" s="1"/>
    </x:row>
    <x:row r="1955">
      <x:c r="A1955" s="1"/>
      <x:c r="B1955" s="1"/>
      <x:c r="C1955" s="1"/>
      <x:c r="D1955" s="1"/>
      <x:c r="E1955" s="1"/>
      <x:c r="F1955" s="1"/>
      <x:c r="G1955" s="1"/>
    </x:row>
    <x:row r="1956">
      <x:c r="A1956" s="1"/>
      <x:c r="B1956" s="1"/>
      <x:c r="C1956" s="1"/>
      <x:c r="D1956" s="1"/>
      <x:c r="E1956" s="1"/>
      <x:c r="F1956" s="1"/>
      <x:c r="G1956" s="1"/>
    </x:row>
    <x:row r="1957">
      <x:c r="A1957" s="1"/>
      <x:c r="B1957" s="1"/>
      <x:c r="C1957" s="1"/>
      <x:c r="D1957" s="1"/>
      <x:c r="E1957" s="1"/>
      <x:c r="F1957" s="1"/>
      <x:c r="G1957" s="1"/>
    </x:row>
    <x:row r="1958">
      <x:c r="A1958" s="1"/>
      <x:c r="B1958" s="1"/>
      <x:c r="C1958" s="1"/>
      <x:c r="D1958" s="1"/>
      <x:c r="E1958" s="1"/>
      <x:c r="F1958" s="1"/>
      <x:c r="G1958" s="1"/>
    </x:row>
    <x:row r="1959">
      <x:c r="A1959" s="1"/>
      <x:c r="B1959" s="1"/>
      <x:c r="C1959" s="1"/>
      <x:c r="D1959" s="1"/>
      <x:c r="E1959" s="1"/>
      <x:c r="F1959" s="1"/>
      <x:c r="G1959" s="1"/>
    </x:row>
    <x:row r="1960">
      <x:c r="A1960" s="1"/>
      <x:c r="B1960" s="1"/>
      <x:c r="C1960" s="1"/>
      <x:c r="D1960" s="1"/>
      <x:c r="E1960" s="1"/>
      <x:c r="F1960" s="1"/>
      <x:c r="G1960" s="1"/>
    </x:row>
    <x:row r="1961">
      <x:c r="A1961" s="1"/>
      <x:c r="B1961" s="1"/>
      <x:c r="C1961" s="1"/>
      <x:c r="D1961" s="1"/>
      <x:c r="E1961" s="1"/>
      <x:c r="F1961" s="1"/>
      <x:c r="G1961" s="1"/>
    </x:row>
    <x:row r="1962">
      <x:c r="A1962" s="1"/>
      <x:c r="B1962" s="1"/>
      <x:c r="C1962" s="1"/>
      <x:c r="D1962" s="1"/>
      <x:c r="E1962" s="1"/>
      <x:c r="F1962" s="1"/>
      <x:c r="G1962" s="1"/>
    </x:row>
    <x:row r="1963">
      <x:c r="A1963" s="1"/>
      <x:c r="B1963" s="1"/>
      <x:c r="C1963" s="1"/>
      <x:c r="D1963" s="1"/>
      <x:c r="E1963" s="1"/>
      <x:c r="F1963" s="1"/>
      <x:c r="G1963" s="1"/>
    </x:row>
    <x:row r="1964">
      <x:c r="A1964" s="1"/>
      <x:c r="B1964" s="1"/>
      <x:c r="C1964" s="1"/>
      <x:c r="D1964" s="1"/>
      <x:c r="E1964" s="1"/>
      <x:c r="F1964" s="1"/>
      <x:c r="G1964" s="1"/>
    </x:row>
    <x:row r="1965">
      <x:c r="A1965" s="1"/>
      <x:c r="B1965" s="1"/>
      <x:c r="C1965" s="1"/>
      <x:c r="D1965" s="1"/>
      <x:c r="E1965" s="1"/>
      <x:c r="F1965" s="1"/>
      <x:c r="G1965" s="1"/>
    </x:row>
    <x:row r="1966">
      <x:c r="A1966" s="1"/>
      <x:c r="B1966" s="1"/>
      <x:c r="C1966" s="1"/>
      <x:c r="D1966" s="1"/>
      <x:c r="E1966" s="1"/>
      <x:c r="F1966" s="1"/>
      <x:c r="G1966" s="1"/>
    </x:row>
    <x:row r="1967">
      <x:c r="A1967" s="1"/>
      <x:c r="B1967" s="1"/>
      <x:c r="C1967" s="1"/>
      <x:c r="D1967" s="1"/>
      <x:c r="E1967" s="1"/>
      <x:c r="F1967" s="1"/>
      <x:c r="G1967" s="1"/>
    </x:row>
    <x:row r="1968">
      <x:c r="A1968" s="1"/>
      <x:c r="B1968" s="1"/>
      <x:c r="C1968" s="1"/>
      <x:c r="D1968" s="1"/>
      <x:c r="E1968" s="1"/>
      <x:c r="F1968" s="1"/>
      <x:c r="G1968" s="1"/>
    </x:row>
    <x:row r="1969">
      <x:c r="A1969" s="1"/>
      <x:c r="B1969" s="1"/>
      <x:c r="C1969" s="1"/>
      <x:c r="D1969" s="1"/>
      <x:c r="E1969" s="1"/>
      <x:c r="F1969" s="1"/>
      <x:c r="G1969" s="1"/>
    </x:row>
    <x:row r="1970">
      <x:c r="A1970" s="1"/>
      <x:c r="B1970" s="1"/>
      <x:c r="C1970" s="1"/>
      <x:c r="D1970" s="1"/>
      <x:c r="E1970" s="1"/>
      <x:c r="F1970" s="1"/>
      <x:c r="G1970" s="1"/>
    </x:row>
    <x:row r="1971">
      <x:c r="A1971" s="1"/>
      <x:c r="B1971" s="1"/>
      <x:c r="C1971" s="1"/>
      <x:c r="D1971" s="1"/>
      <x:c r="E1971" s="1"/>
      <x:c r="F1971" s="1"/>
      <x:c r="G1971" s="1"/>
    </x:row>
    <x:row r="1972">
      <x:c r="A1972" s="1"/>
      <x:c r="B1972" s="1"/>
      <x:c r="C1972" s="1"/>
      <x:c r="D1972" s="1"/>
      <x:c r="E1972" s="1"/>
      <x:c r="F1972" s="1"/>
      <x:c r="G1972" s="1"/>
    </x:row>
    <x:row r="1973">
      <x:c r="A1973" s="1"/>
      <x:c r="B1973" s="1"/>
      <x:c r="C1973" s="1"/>
      <x:c r="D1973" s="1"/>
      <x:c r="E1973" s="1"/>
      <x:c r="F1973" s="1"/>
      <x:c r="G1973" s="1"/>
    </x:row>
    <x:row r="1974">
      <x:c r="A1974" s="1"/>
      <x:c r="B1974" s="1"/>
      <x:c r="C1974" s="1"/>
      <x:c r="D1974" s="1"/>
      <x:c r="E1974" s="1"/>
      <x:c r="F1974" s="1"/>
      <x:c r="G1974" s="1"/>
    </x:row>
    <x:row r="1975">
      <x:c r="A1975" s="1"/>
      <x:c r="B1975" s="1"/>
      <x:c r="C1975" s="1"/>
      <x:c r="D1975" s="1"/>
      <x:c r="E1975" s="1"/>
      <x:c r="F1975" s="1"/>
      <x:c r="G1975" s="1"/>
    </x:row>
    <x:row r="1976">
      <x:c r="A1976" s="1"/>
      <x:c r="B1976" s="1"/>
      <x:c r="C1976" s="1"/>
      <x:c r="D1976" s="1"/>
      <x:c r="E1976" s="1"/>
      <x:c r="F1976" s="1"/>
      <x:c r="G1976" s="1"/>
    </x:row>
    <x:row r="1977">
      <x:c r="A1977" s="1"/>
      <x:c r="B1977" s="1"/>
      <x:c r="C1977" s="1"/>
      <x:c r="D1977" s="1"/>
      <x:c r="E1977" s="1"/>
      <x:c r="F1977" s="1"/>
      <x:c r="G1977" s="1"/>
    </x:row>
    <x:row r="1978">
      <x:c r="A1978" s="1"/>
      <x:c r="B1978" s="1"/>
      <x:c r="C1978" s="1"/>
      <x:c r="D1978" s="1"/>
      <x:c r="E1978" s="1"/>
      <x:c r="F1978" s="1"/>
      <x:c r="G1978" s="1"/>
    </x:row>
    <x:row r="1979">
      <x:c r="A1979" s="1"/>
      <x:c r="B1979" s="1"/>
      <x:c r="C1979" s="1"/>
      <x:c r="D1979" s="1"/>
      <x:c r="E1979" s="1"/>
      <x:c r="F1979" s="1"/>
      <x:c r="G1979" s="1"/>
    </x:row>
    <x:row r="1980">
      <x:c r="A1980" s="1"/>
      <x:c r="B1980" s="1"/>
      <x:c r="C1980" s="1"/>
      <x:c r="D1980" s="1"/>
      <x:c r="E1980" s="1"/>
      <x:c r="F1980" s="1"/>
      <x:c r="G1980" s="1"/>
    </x:row>
    <x:row r="1981">
      <x:c r="A1981" s="1"/>
      <x:c r="B1981" s="1"/>
      <x:c r="C1981" s="1"/>
      <x:c r="D1981" s="1"/>
      <x:c r="E1981" s="1"/>
      <x:c r="F1981" s="1"/>
      <x:c r="G1981" s="1"/>
    </x:row>
    <x:row r="1982">
      <x:c r="A1982" s="1"/>
      <x:c r="B1982" s="1"/>
      <x:c r="C1982" s="1"/>
      <x:c r="D1982" s="1"/>
      <x:c r="E1982" s="1"/>
      <x:c r="F1982" s="1"/>
      <x:c r="G1982" s="1"/>
    </x:row>
    <x:row r="1983">
      <x:c r="A1983" s="1"/>
      <x:c r="B1983" s="1"/>
      <x:c r="C1983" s="1"/>
      <x:c r="D1983" s="1"/>
      <x:c r="E1983" s="1"/>
      <x:c r="F1983" s="1"/>
      <x:c r="G1983" s="1"/>
    </x:row>
    <x:row r="1984">
      <x:c r="A1984" s="1"/>
      <x:c r="B1984" s="1"/>
      <x:c r="C1984" s="1"/>
      <x:c r="D1984" s="1"/>
      <x:c r="E1984" s="1"/>
      <x:c r="F1984" s="1"/>
      <x:c r="G1984" s="1"/>
    </x:row>
    <x:row r="1985">
      <x:c r="A1985" s="1"/>
      <x:c r="B1985" s="1"/>
      <x:c r="C1985" s="1"/>
      <x:c r="D1985" s="1"/>
      <x:c r="E1985" s="1"/>
      <x:c r="F1985" s="1"/>
      <x:c r="G1985" s="1"/>
    </x:row>
    <x:row r="1986">
      <x:c r="A1986" s="1"/>
      <x:c r="B1986" s="1"/>
      <x:c r="C1986" s="1"/>
      <x:c r="D1986" s="1"/>
      <x:c r="E1986" s="1"/>
      <x:c r="F1986" s="1"/>
      <x:c r="G1986" s="1"/>
    </x:row>
    <x:row r="1987">
      <x:c r="A1987" s="1"/>
      <x:c r="B1987" s="1"/>
      <x:c r="C1987" s="1"/>
      <x:c r="D1987" s="1"/>
      <x:c r="E1987" s="1"/>
      <x:c r="F1987" s="1"/>
      <x:c r="G1987" s="1"/>
    </x:row>
    <x:row r="1988">
      <x:c r="A1988" s="1"/>
      <x:c r="B1988" s="1"/>
      <x:c r="C1988" s="1"/>
      <x:c r="D1988" s="1"/>
      <x:c r="E1988" s="1"/>
      <x:c r="F1988" s="1"/>
      <x:c r="G1988" s="1"/>
    </x:row>
    <x:row r="1989">
      <x:c r="A1989" s="1"/>
      <x:c r="B1989" s="1"/>
      <x:c r="C1989" s="1"/>
      <x:c r="D1989" s="1"/>
      <x:c r="E1989" s="1"/>
      <x:c r="F1989" s="1"/>
      <x:c r="G1989" s="1"/>
    </x:row>
    <x:row r="1990">
      <x:c r="A1990" s="1"/>
      <x:c r="B1990" s="1"/>
      <x:c r="C1990" s="1"/>
      <x:c r="D1990" s="1"/>
      <x:c r="E1990" s="1"/>
      <x:c r="F1990" s="1"/>
      <x:c r="G1990" s="1"/>
    </x:row>
    <x:row r="1991">
      <x:c r="A1991" s="1"/>
      <x:c r="B1991" s="1"/>
      <x:c r="C1991" s="1"/>
      <x:c r="D1991" s="1"/>
      <x:c r="E1991" s="1"/>
      <x:c r="F1991" s="1"/>
      <x:c r="G1991" s="1"/>
    </x:row>
    <x:row r="1992">
      <x:c r="A1992" s="1"/>
      <x:c r="B1992" s="1"/>
      <x:c r="C1992" s="1"/>
      <x:c r="D1992" s="1"/>
      <x:c r="E1992" s="1"/>
      <x:c r="F1992" s="1"/>
      <x:c r="G1992" s="1"/>
    </x:row>
    <x:row r="1993">
      <x:c r="A1993" s="1"/>
      <x:c r="B1993" s="1"/>
      <x:c r="C1993" s="1"/>
      <x:c r="D1993" s="1"/>
      <x:c r="E1993" s="1"/>
      <x:c r="F1993" s="1"/>
      <x:c r="G1993" s="1"/>
    </x:row>
    <x:row r="1994">
      <x:c r="A1994" s="1"/>
      <x:c r="B1994" s="1"/>
      <x:c r="C1994" s="1"/>
      <x:c r="D1994" s="1"/>
      <x:c r="E1994" s="1"/>
      <x:c r="F1994" s="1"/>
      <x:c r="G1994" s="1"/>
    </x:row>
    <x:row r="1995">
      <x:c r="A1995" s="1"/>
      <x:c r="B1995" s="1"/>
      <x:c r="C1995" s="1"/>
      <x:c r="D1995" s="1"/>
      <x:c r="E1995" s="1"/>
      <x:c r="F1995" s="1"/>
      <x:c r="G1995" s="1"/>
    </x:row>
    <x:row r="1996">
      <x:c r="A1996" s="1"/>
      <x:c r="B1996" s="1"/>
      <x:c r="C1996" s="1"/>
      <x:c r="D1996" s="1"/>
      <x:c r="E1996" s="1"/>
      <x:c r="F1996" s="1"/>
      <x:c r="G1996" s="1"/>
    </x:row>
    <x:row r="1997">
      <x:c r="A1997" s="1"/>
      <x:c r="B1997" s="1"/>
      <x:c r="C1997" s="1"/>
      <x:c r="D1997" s="1"/>
      <x:c r="E1997" s="1"/>
      <x:c r="F1997" s="1"/>
      <x:c r="G1997" s="1"/>
    </x:row>
    <x:row r="1998">
      <x:c r="A1998" s="1"/>
      <x:c r="B1998" s="1"/>
      <x:c r="C1998" s="1"/>
      <x:c r="D1998" s="1"/>
      <x:c r="E1998" s="1"/>
      <x:c r="F1998" s="1"/>
      <x:c r="G1998" s="1"/>
    </x:row>
    <x:row r="1999">
      <x:c r="A1999" s="1"/>
      <x:c r="B1999" s="1"/>
      <x:c r="C1999" s="1"/>
      <x:c r="D1999" s="1"/>
      <x:c r="E1999" s="1"/>
      <x:c r="F1999" s="1"/>
      <x:c r="G1999" s="1"/>
    </x:row>
    <x:row r="2000">
      <x:c r="A2000" s="1"/>
      <x:c r="B2000" s="1"/>
      <x:c r="C2000" s="1"/>
      <x:c r="D2000" s="1"/>
      <x:c r="E2000" s="1"/>
      <x:c r="F2000" s="1"/>
      <x:c r="G2000" s="1"/>
    </x:row>
    <x:row r="2001">
      <x:c r="A2001" s="1"/>
      <x:c r="B2001" s="1"/>
      <x:c r="C2001" s="1"/>
      <x:c r="D2001" s="1"/>
      <x:c r="E2001" s="1"/>
      <x:c r="F2001" s="1"/>
      <x:c r="G2001" s="1"/>
    </x:row>
    <x:row r="2002">
      <x:c r="A2002" s="1"/>
      <x:c r="B2002" s="1"/>
      <x:c r="C2002" s="1"/>
      <x:c r="D2002" s="1"/>
      <x:c r="E2002" s="1"/>
      <x:c r="F2002" s="1"/>
      <x:c r="G2002" s="1"/>
    </x:row>
    <x:row r="2003">
      <x:c r="A2003" s="1"/>
      <x:c r="B2003" s="1"/>
      <x:c r="C2003" s="1"/>
      <x:c r="D2003" s="1"/>
      <x:c r="E2003" s="1"/>
      <x:c r="F2003" s="1"/>
      <x:c r="G2003" s="1"/>
    </x:row>
    <x:row r="2004">
      <x:c r="A2004" s="1"/>
      <x:c r="B2004" s="1"/>
      <x:c r="C2004" s="1"/>
      <x:c r="D2004" s="1"/>
      <x:c r="E2004" s="1"/>
      <x:c r="F2004" s="1"/>
      <x:c r="G2004" s="1"/>
    </x:row>
    <x:row r="2005">
      <x:c r="A2005" s="1"/>
      <x:c r="B2005" s="1"/>
      <x:c r="C2005" s="1"/>
      <x:c r="D2005" s="1"/>
      <x:c r="E2005" s="1"/>
      <x:c r="F2005" s="1"/>
      <x:c r="G2005" s="1"/>
    </x:row>
    <x:row r="2006">
      <x:c r="A2006" s="1"/>
      <x:c r="B2006" s="1"/>
      <x:c r="C2006" s="1"/>
      <x:c r="D2006" s="1"/>
      <x:c r="E2006" s="1"/>
      <x:c r="F2006" s="1"/>
      <x:c r="G2006" s="1"/>
    </x:row>
    <x:row r="2007">
      <x:c r="A2007" s="1"/>
      <x:c r="B2007" s="1"/>
      <x:c r="C2007" s="1"/>
      <x:c r="D2007" s="1"/>
      <x:c r="E2007" s="1"/>
      <x:c r="F2007" s="1"/>
      <x:c r="G2007" s="1"/>
    </x:row>
    <x:row r="2008">
      <x:c r="A2008" s="1"/>
      <x:c r="B2008" s="1"/>
      <x:c r="C2008" s="1"/>
      <x:c r="D2008" s="1"/>
      <x:c r="E2008" s="1"/>
      <x:c r="F2008" s="1"/>
      <x:c r="G2008" s="1"/>
    </x:row>
    <x:row r="2009">
      <x:c r="A2009" s="1"/>
      <x:c r="B2009" s="1"/>
      <x:c r="C2009" s="1"/>
      <x:c r="D2009" s="1"/>
      <x:c r="E2009" s="1"/>
      <x:c r="F2009" s="1"/>
      <x:c r="G2009" s="1"/>
    </x:row>
    <x:row r="2010">
      <x:c r="A2010" s="1"/>
      <x:c r="B2010" s="1"/>
      <x:c r="C2010" s="1"/>
      <x:c r="D2010" s="1"/>
      <x:c r="E2010" s="1"/>
      <x:c r="F2010" s="1"/>
      <x:c r="G2010" s="1"/>
    </x:row>
    <x:row r="2011">
      <x:c r="A2011" s="1"/>
      <x:c r="B2011" s="1"/>
      <x:c r="C2011" s="1"/>
      <x:c r="D2011" s="1"/>
      <x:c r="E2011" s="1"/>
      <x:c r="F2011" s="1"/>
      <x:c r="G2011" s="1"/>
    </x:row>
    <x:row r="2012">
      <x:c r="A2012" s="1"/>
      <x:c r="B2012" s="1"/>
      <x:c r="C2012" s="1"/>
      <x:c r="D2012" s="1"/>
      <x:c r="E2012" s="1"/>
      <x:c r="F2012" s="1"/>
      <x:c r="G2012" s="1"/>
    </x:row>
    <x:row r="2013">
      <x:c r="A2013" s="1"/>
      <x:c r="B2013" s="1"/>
      <x:c r="C2013" s="1"/>
      <x:c r="D2013" s="1"/>
      <x:c r="E2013" s="1"/>
      <x:c r="F2013" s="1"/>
      <x:c r="G2013" s="1"/>
    </x:row>
    <x:row r="2014">
      <x:c r="A2014" s="1"/>
      <x:c r="B2014" s="1"/>
      <x:c r="C2014" s="1"/>
      <x:c r="D2014" s="1"/>
      <x:c r="E2014" s="1"/>
      <x:c r="F2014" s="1"/>
      <x:c r="G2014" s="1"/>
    </x:row>
    <x:row r="2015">
      <x:c r="A2015" s="1"/>
      <x:c r="B2015" s="1"/>
      <x:c r="C2015" s="1"/>
      <x:c r="D2015" s="1"/>
      <x:c r="E2015" s="1"/>
      <x:c r="F2015" s="1"/>
      <x:c r="G2015" s="1"/>
    </x:row>
    <x:row r="2016">
      <x:c r="A2016" s="1"/>
      <x:c r="B2016" s="1"/>
      <x:c r="C2016" s="1"/>
      <x:c r="D2016" s="1"/>
      <x:c r="E2016" s="1"/>
      <x:c r="F2016" s="1"/>
      <x:c r="G2016" s="1"/>
    </x:row>
    <x:row r="2017">
      <x:c r="A2017" s="1"/>
      <x:c r="B2017" s="1"/>
      <x:c r="C2017" s="1"/>
      <x:c r="D2017" s="1"/>
      <x:c r="E2017" s="1"/>
      <x:c r="F2017" s="1"/>
      <x:c r="G2017" s="1"/>
    </x:row>
    <x:row r="2018">
      <x:c r="A2018" s="1"/>
      <x:c r="B2018" s="1"/>
      <x:c r="C2018" s="1"/>
      <x:c r="D2018" s="1"/>
      <x:c r="E2018" s="1"/>
      <x:c r="F2018" s="1"/>
      <x:c r="G2018" s="1"/>
    </x:row>
    <x:row r="2019">
      <x:c r="A2019" s="1"/>
      <x:c r="B2019" s="1"/>
      <x:c r="C2019" s="1"/>
      <x:c r="D2019" s="1"/>
      <x:c r="E2019" s="1"/>
      <x:c r="F2019" s="1"/>
      <x:c r="G2019" s="1"/>
    </x:row>
    <x:row r="2020">
      <x:c r="A2020" s="1"/>
      <x:c r="B2020" s="1"/>
      <x:c r="C2020" s="1"/>
      <x:c r="D2020" s="1"/>
      <x:c r="E2020" s="1"/>
      <x:c r="F2020" s="1"/>
      <x:c r="G2020" s="1"/>
    </x:row>
    <x:row r="2021">
      <x:c r="A2021" s="1"/>
      <x:c r="B2021" s="1"/>
      <x:c r="C2021" s="1"/>
      <x:c r="D2021" s="1"/>
      <x:c r="E2021" s="1"/>
      <x:c r="F2021" s="1"/>
      <x:c r="G2021" s="1"/>
    </x:row>
    <x:row r="2022">
      <x:c r="A2022" s="1"/>
      <x:c r="B2022" s="1"/>
      <x:c r="C2022" s="1"/>
      <x:c r="D2022" s="1"/>
      <x:c r="E2022" s="1"/>
      <x:c r="F2022" s="1"/>
      <x:c r="G2022" s="1"/>
    </x:row>
    <x:row r="2023">
      <x:c r="A2023" s="1"/>
      <x:c r="B2023" s="1"/>
      <x:c r="C2023" s="1"/>
      <x:c r="D2023" s="1"/>
      <x:c r="E2023" s="1"/>
      <x:c r="F2023" s="1"/>
      <x:c r="G2023" s="1"/>
    </x:row>
    <x:row r="2024">
      <x:c r="A2024" s="1"/>
      <x:c r="B2024" s="1"/>
      <x:c r="C2024" s="1"/>
      <x:c r="D2024" s="1"/>
      <x:c r="E2024" s="1"/>
      <x:c r="F2024" s="1"/>
      <x:c r="G2024" s="1"/>
    </x:row>
    <x:row r="2025">
      <x:c r="A2025" s="1"/>
      <x:c r="B2025" s="1"/>
      <x:c r="C2025" s="1"/>
      <x:c r="D2025" s="1"/>
      <x:c r="E2025" s="1"/>
      <x:c r="F2025" s="1"/>
      <x:c r="G2025" s="1"/>
    </x:row>
    <x:row r="2026">
      <x:c r="A2026" s="1"/>
      <x:c r="B2026" s="1"/>
      <x:c r="C2026" s="1"/>
      <x:c r="D2026" s="1"/>
      <x:c r="E2026" s="1"/>
      <x:c r="F2026" s="1"/>
      <x:c r="G2026" s="1"/>
    </x:row>
    <x:row r="2027">
      <x:c r="A2027" s="1"/>
      <x:c r="B2027" s="1"/>
      <x:c r="C2027" s="1"/>
      <x:c r="D2027" s="1"/>
      <x:c r="E2027" s="1"/>
      <x:c r="F2027" s="1"/>
      <x:c r="G2027" s="1"/>
    </x:row>
    <x:row r="2028">
      <x:c r="A2028" s="1"/>
      <x:c r="B2028" s="1"/>
      <x:c r="C2028" s="1"/>
      <x:c r="D2028" s="1"/>
      <x:c r="E2028" s="1"/>
      <x:c r="F2028" s="1"/>
      <x:c r="G2028" s="1"/>
    </x:row>
    <x:row r="2029">
      <x:c r="A2029" s="1"/>
      <x:c r="B2029" s="1"/>
      <x:c r="C2029" s="1"/>
      <x:c r="D2029" s="1"/>
      <x:c r="E2029" s="1"/>
      <x:c r="F2029" s="1"/>
      <x:c r="G2029" s="1"/>
    </x:row>
    <x:row r="2030">
      <x:c r="A2030" s="1"/>
      <x:c r="B2030" s="1"/>
      <x:c r="C2030" s="1"/>
      <x:c r="D2030" s="1"/>
      <x:c r="E2030" s="1"/>
      <x:c r="F2030" s="1"/>
      <x:c r="G2030" s="1"/>
    </x:row>
    <x:row r="2031">
      <x:c r="A2031" s="1"/>
      <x:c r="B2031" s="1"/>
      <x:c r="C2031" s="1"/>
      <x:c r="D2031" s="1"/>
      <x:c r="E2031" s="1"/>
      <x:c r="F2031" s="1"/>
      <x:c r="G2031" s="1"/>
    </x:row>
    <x:row r="2032">
      <x:c r="A2032" s="1"/>
      <x:c r="B2032" s="1"/>
      <x:c r="C2032" s="1"/>
      <x:c r="D2032" s="1"/>
      <x:c r="E2032" s="1"/>
      <x:c r="F2032" s="1"/>
      <x:c r="G2032" s="1"/>
    </x:row>
    <x:row r="2033">
      <x:c r="A2033" s="1"/>
      <x:c r="B2033" s="1"/>
      <x:c r="C2033" s="1"/>
      <x:c r="D2033" s="1"/>
      <x:c r="E2033" s="1"/>
      <x:c r="F2033" s="1"/>
      <x:c r="G2033" s="1"/>
    </x:row>
    <x:row r="2034">
      <x:c r="A2034" s="1"/>
      <x:c r="B2034" s="1"/>
      <x:c r="C2034" s="1"/>
      <x:c r="D2034" s="1"/>
      <x:c r="E2034" s="1"/>
      <x:c r="F2034" s="1"/>
      <x:c r="G2034" s="1"/>
    </x:row>
    <x:row r="2035">
      <x:c r="A2035" s="1"/>
      <x:c r="B2035" s="1"/>
      <x:c r="C2035" s="1"/>
      <x:c r="D2035" s="1"/>
      <x:c r="E2035" s="1"/>
      <x:c r="F2035" s="1"/>
      <x:c r="G2035" s="1"/>
    </x:row>
    <x:row r="2036">
      <x:c r="A2036" s="1"/>
      <x:c r="B2036" s="1"/>
      <x:c r="C2036" s="1"/>
      <x:c r="D2036" s="1"/>
      <x:c r="E2036" s="1"/>
      <x:c r="F2036" s="1"/>
      <x:c r="G2036" s="1"/>
    </x:row>
    <x:row r="2037">
      <x:c r="A2037" s="1"/>
      <x:c r="B2037" s="1"/>
      <x:c r="C2037" s="1"/>
      <x:c r="D2037" s="1"/>
      <x:c r="E2037" s="1"/>
      <x:c r="F2037" s="1"/>
      <x:c r="G2037" s="1"/>
    </x:row>
    <x:row r="2038">
      <x:c r="A2038" s="1"/>
      <x:c r="B2038" s="1"/>
      <x:c r="C2038" s="1"/>
      <x:c r="D2038" s="1"/>
      <x:c r="E2038" s="1"/>
      <x:c r="F2038" s="1"/>
      <x:c r="G2038" s="1"/>
    </x:row>
    <x:row r="2039">
      <x:c r="A2039" s="1"/>
      <x:c r="B2039" s="1"/>
      <x:c r="C2039" s="1"/>
      <x:c r="D2039" s="1"/>
      <x:c r="E2039" s="1"/>
      <x:c r="F2039" s="1"/>
      <x:c r="G2039" s="1"/>
    </x:row>
    <x:row r="2040">
      <x:c r="A2040" s="1"/>
      <x:c r="B2040" s="1"/>
      <x:c r="C2040" s="1"/>
      <x:c r="D2040" s="1"/>
      <x:c r="E2040" s="1"/>
      <x:c r="F2040" s="1"/>
      <x:c r="G2040" s="1"/>
    </x:row>
    <x:row r="2041">
      <x:c r="A2041" s="1"/>
      <x:c r="B2041" s="1"/>
      <x:c r="C2041" s="1"/>
      <x:c r="D2041" s="1"/>
      <x:c r="E2041" s="1"/>
      <x:c r="F2041" s="1"/>
      <x:c r="G2041" s="1"/>
    </x:row>
    <x:row r="2042">
      <x:c r="A2042" s="1"/>
      <x:c r="B2042" s="1"/>
      <x:c r="C2042" s="1"/>
      <x:c r="D2042" s="1"/>
      <x:c r="E2042" s="1"/>
      <x:c r="F2042" s="1"/>
      <x:c r="G2042" s="1"/>
    </x:row>
    <x:row r="2043">
      <x:c r="A2043" s="1"/>
      <x:c r="B2043" s="1"/>
      <x:c r="C2043" s="1"/>
      <x:c r="D2043" s="1"/>
      <x:c r="E2043" s="1"/>
      <x:c r="F2043" s="1"/>
      <x:c r="G2043" s="1"/>
    </x:row>
    <x:row r="2044">
      <x:c r="A2044" s="1"/>
      <x:c r="B2044" s="1"/>
      <x:c r="C2044" s="1"/>
      <x:c r="D2044" s="1"/>
      <x:c r="E2044" s="1"/>
      <x:c r="F2044" s="1"/>
      <x:c r="G2044" s="1"/>
    </x:row>
    <x:row r="2045">
      <x:c r="A2045" s="1"/>
      <x:c r="B2045" s="1"/>
      <x:c r="C2045" s="1"/>
      <x:c r="D2045" s="1"/>
      <x:c r="E2045" s="1"/>
      <x:c r="F2045" s="1"/>
      <x:c r="G2045" s="1"/>
    </x:row>
    <x:row r="2046">
      <x:c r="A2046" s="1"/>
      <x:c r="B2046" s="1"/>
      <x:c r="C2046" s="1"/>
      <x:c r="D2046" s="1"/>
      <x:c r="E2046" s="1"/>
      <x:c r="F2046" s="1"/>
      <x:c r="G2046" s="1"/>
    </x:row>
    <x:row r="2047">
      <x:c r="A2047" s="1"/>
      <x:c r="B2047" s="1"/>
      <x:c r="C2047" s="1"/>
      <x:c r="D2047" s="1"/>
      <x:c r="E2047" s="1"/>
      <x:c r="F2047" s="1"/>
      <x:c r="G2047" s="1"/>
    </x:row>
    <x:row r="2048">
      <x:c r="A2048" s="1"/>
      <x:c r="B2048" s="1"/>
      <x:c r="C2048" s="1"/>
      <x:c r="D2048" s="1"/>
      <x:c r="E2048" s="1"/>
      <x:c r="F2048" s="1"/>
      <x:c r="G2048" s="1"/>
    </x:row>
    <x:row r="2049">
      <x:c r="A2049" s="1"/>
      <x:c r="B2049" s="1"/>
      <x:c r="C2049" s="1"/>
      <x:c r="D2049" s="1"/>
      <x:c r="E2049" s="1"/>
      <x:c r="F2049" s="1"/>
      <x:c r="G2049" s="1"/>
    </x:row>
    <x:row r="2050">
      <x:c r="A2050" s="1"/>
      <x:c r="B2050" s="1"/>
      <x:c r="C2050" s="1"/>
      <x:c r="D2050" s="1"/>
      <x:c r="E2050" s="1"/>
      <x:c r="F2050" s="1"/>
      <x:c r="G2050" s="1"/>
    </x:row>
    <x:row r="2051">
      <x:c r="A2051" s="1"/>
      <x:c r="B2051" s="1"/>
      <x:c r="C2051" s="1"/>
      <x:c r="D2051" s="1"/>
      <x:c r="E2051" s="1"/>
      <x:c r="F2051" s="1"/>
      <x:c r="G2051" s="1"/>
    </x:row>
    <x:row r="2052">
      <x:c r="A2052" s="1"/>
      <x:c r="B2052" s="1"/>
      <x:c r="C2052" s="1"/>
      <x:c r="D2052" s="1"/>
      <x:c r="E2052" s="1"/>
      <x:c r="F2052" s="1"/>
      <x:c r="G2052" s="1"/>
    </x:row>
    <x:row r="2053">
      <x:c r="A2053" s="1"/>
      <x:c r="B2053" s="1"/>
      <x:c r="C2053" s="1"/>
      <x:c r="D2053" s="1"/>
      <x:c r="E2053" s="1"/>
      <x:c r="F2053" s="1"/>
      <x:c r="G2053" s="1"/>
    </x:row>
    <x:row r="2054">
      <x:c r="A2054" s="1"/>
      <x:c r="B2054" s="1"/>
      <x:c r="C2054" s="1"/>
      <x:c r="D2054" s="1"/>
      <x:c r="E2054" s="1"/>
      <x:c r="F2054" s="1"/>
      <x:c r="G2054" s="1"/>
    </x:row>
    <x:row r="2055">
      <x:c r="A2055" s="1"/>
      <x:c r="B2055" s="1"/>
      <x:c r="C2055" s="1"/>
      <x:c r="D2055" s="1"/>
      <x:c r="E2055" s="1"/>
      <x:c r="F2055" s="1"/>
      <x:c r="G2055" s="1"/>
    </x:row>
    <x:row r="2056">
      <x:c r="A2056" s="1"/>
      <x:c r="B2056" s="1"/>
      <x:c r="C2056" s="1"/>
      <x:c r="D2056" s="1"/>
      <x:c r="E2056" s="1"/>
      <x:c r="F2056" s="1"/>
      <x:c r="G2056" s="1"/>
    </x:row>
    <x:row r="2057">
      <x:c r="A2057" s="1"/>
      <x:c r="B2057" s="1"/>
      <x:c r="C2057" s="1"/>
      <x:c r="D2057" s="1"/>
      <x:c r="E2057" s="1"/>
      <x:c r="F2057" s="1"/>
      <x:c r="G2057" s="1"/>
    </x:row>
    <x:row r="2058">
      <x:c r="A2058" s="1"/>
      <x:c r="B2058" s="1"/>
      <x:c r="C2058" s="1"/>
      <x:c r="D2058" s="1"/>
      <x:c r="E2058" s="1"/>
      <x:c r="F2058" s="1"/>
      <x:c r="G2058" s="1"/>
    </x:row>
    <x:row r="2059">
      <x:c r="A2059" s="1"/>
      <x:c r="B2059" s="1"/>
      <x:c r="C2059" s="1"/>
      <x:c r="D2059" s="1"/>
      <x:c r="E2059" s="1"/>
      <x:c r="F2059" s="1"/>
      <x:c r="G2059" s="1"/>
    </x:row>
    <x:row r="2060">
      <x:c r="A2060" s="1"/>
      <x:c r="B2060" s="1"/>
      <x:c r="C2060" s="1"/>
      <x:c r="D2060" s="1"/>
      <x:c r="E2060" s="1"/>
      <x:c r="F2060" s="1"/>
      <x:c r="G2060" s="1"/>
    </x:row>
    <x:row r="2061">
      <x:c r="A2061" s="1"/>
      <x:c r="B2061" s="1"/>
      <x:c r="C2061" s="1"/>
      <x:c r="D2061" s="1"/>
      <x:c r="E2061" s="1"/>
      <x:c r="F2061" s="1"/>
      <x:c r="G2061" s="1"/>
    </x:row>
    <x:row r="2062">
      <x:c r="A2062" s="1"/>
      <x:c r="B2062" s="1"/>
      <x:c r="C2062" s="1"/>
      <x:c r="D2062" s="1"/>
      <x:c r="E2062" s="1"/>
      <x:c r="F2062" s="1"/>
      <x:c r="G2062" s="1"/>
    </x:row>
    <x:row r="2063">
      <x:c r="A2063" s="1"/>
      <x:c r="B2063" s="1"/>
      <x:c r="C2063" s="1"/>
      <x:c r="D2063" s="1"/>
      <x:c r="E2063" s="1"/>
      <x:c r="F2063" s="1"/>
      <x:c r="G2063" s="1"/>
    </x:row>
    <x:row r="2064">
      <x:c r="A2064" s="1"/>
      <x:c r="B2064" s="1"/>
      <x:c r="C2064" s="1"/>
      <x:c r="D2064" s="1"/>
      <x:c r="E2064" s="1"/>
      <x:c r="F2064" s="1"/>
      <x:c r="G2064" s="1"/>
    </x:row>
    <x:row r="2065">
      <x:c r="A2065" s="1"/>
      <x:c r="B2065" s="1"/>
      <x:c r="C2065" s="1"/>
      <x:c r="D2065" s="1"/>
      <x:c r="E2065" s="1"/>
      <x:c r="F2065" s="1"/>
      <x:c r="G2065" s="1"/>
    </x:row>
    <x:row r="2066">
      <x:c r="A2066" s="1"/>
      <x:c r="B2066" s="1"/>
      <x:c r="C2066" s="1"/>
      <x:c r="D2066" s="1"/>
      <x:c r="E2066" s="1"/>
      <x:c r="F2066" s="1"/>
      <x:c r="G2066" s="1"/>
    </x:row>
    <x:row r="2067">
      <x:c r="A2067" s="1"/>
      <x:c r="B2067" s="1"/>
      <x:c r="C2067" s="1"/>
      <x:c r="D2067" s="1"/>
      <x:c r="E2067" s="1"/>
      <x:c r="F2067" s="1"/>
      <x:c r="G2067" s="1"/>
    </x:row>
    <x:row r="2068">
      <x:c r="A2068" s="1"/>
      <x:c r="B2068" s="1"/>
      <x:c r="C2068" s="1"/>
      <x:c r="D2068" s="1"/>
      <x:c r="E2068" s="1"/>
      <x:c r="F2068" s="1"/>
      <x:c r="G2068" s="1"/>
    </x:row>
    <x:row r="2069">
      <x:c r="A2069" s="1"/>
      <x:c r="B2069" s="1"/>
      <x:c r="C2069" s="1"/>
      <x:c r="D2069" s="1"/>
      <x:c r="E2069" s="1"/>
      <x:c r="F2069" s="1"/>
      <x:c r="G2069" s="1"/>
    </x:row>
    <x:row r="2070">
      <x:c r="A2070" s="1"/>
      <x:c r="B2070" s="1"/>
      <x:c r="C2070" s="1"/>
      <x:c r="D2070" s="1"/>
      <x:c r="E2070" s="1"/>
      <x:c r="F2070" s="1"/>
      <x:c r="G2070" s="1"/>
    </x:row>
    <x:row r="2071">
      <x:c r="A2071" s="1"/>
      <x:c r="B2071" s="1"/>
      <x:c r="C2071" s="1"/>
      <x:c r="D2071" s="1"/>
      <x:c r="E2071" s="1"/>
      <x:c r="F2071" s="1"/>
      <x:c r="G2071" s="1"/>
    </x:row>
    <x:row r="2072">
      <x:c r="A2072" s="1"/>
      <x:c r="B2072" s="1"/>
      <x:c r="C2072" s="1"/>
      <x:c r="D2072" s="1"/>
      <x:c r="E2072" s="1"/>
      <x:c r="F2072" s="1"/>
      <x:c r="G2072" s="1"/>
    </x:row>
    <x:row r="2073">
      <x:c r="A2073" s="1"/>
      <x:c r="B2073" s="1"/>
      <x:c r="C2073" s="1"/>
      <x:c r="D2073" s="1"/>
      <x:c r="E2073" s="1"/>
      <x:c r="F2073" s="1"/>
      <x:c r="G2073" s="1"/>
    </x:row>
    <x:row r="2074">
      <x:c r="A2074" s="1"/>
      <x:c r="B2074" s="1"/>
      <x:c r="C2074" s="1"/>
      <x:c r="D2074" s="1"/>
      <x:c r="E2074" s="1"/>
      <x:c r="F2074" s="1"/>
      <x:c r="G2074" s="1"/>
    </x:row>
    <x:row r="2075">
      <x:c r="A2075" s="1"/>
      <x:c r="B2075" s="1"/>
      <x:c r="C2075" s="1"/>
      <x:c r="D2075" s="1"/>
      <x:c r="E2075" s="1"/>
      <x:c r="F2075" s="1"/>
      <x:c r="G2075" s="1"/>
    </x:row>
    <x:row r="2076">
      <x:c r="A2076" s="1"/>
      <x:c r="B2076" s="1"/>
      <x:c r="C2076" s="1"/>
      <x:c r="D2076" s="1"/>
      <x:c r="E2076" s="1"/>
      <x:c r="F2076" s="1"/>
      <x:c r="G2076" s="1"/>
    </x:row>
    <x:row r="2077">
      <x:c r="A2077" s="1"/>
      <x:c r="B2077" s="1"/>
      <x:c r="C2077" s="1"/>
      <x:c r="D2077" s="1"/>
      <x:c r="E2077" s="1"/>
      <x:c r="F2077" s="1"/>
      <x:c r="G2077" s="1"/>
    </x:row>
    <x:row r="2078">
      <x:c r="A2078" s="1"/>
      <x:c r="B2078" s="1"/>
      <x:c r="C2078" s="1"/>
      <x:c r="D2078" s="1"/>
      <x:c r="E2078" s="1"/>
      <x:c r="F2078" s="1"/>
      <x:c r="G2078" s="1"/>
    </x:row>
    <x:row r="2079">
      <x:c r="A2079" s="1"/>
      <x:c r="B2079" s="1"/>
      <x:c r="C2079" s="1"/>
      <x:c r="D2079" s="1"/>
      <x:c r="E2079" s="1"/>
      <x:c r="F2079" s="1"/>
      <x:c r="G2079" s="1"/>
    </x:row>
    <x:row r="2080">
      <x:c r="A2080" s="1"/>
      <x:c r="B2080" s="1"/>
      <x:c r="C2080" s="1"/>
      <x:c r="D2080" s="1"/>
      <x:c r="E2080" s="1"/>
      <x:c r="F2080" s="1"/>
      <x:c r="G2080" s="1"/>
    </x:row>
    <x:row r="2081">
      <x:c r="A2081" s="1"/>
      <x:c r="B2081" s="1"/>
      <x:c r="C2081" s="1"/>
      <x:c r="D2081" s="1"/>
      <x:c r="E2081" s="1"/>
      <x:c r="F2081" s="1"/>
      <x:c r="G2081" s="1"/>
    </x:row>
    <x:row r="2082">
      <x:c r="A2082" s="1"/>
      <x:c r="B2082" s="1"/>
      <x:c r="C2082" s="1"/>
      <x:c r="D2082" s="1"/>
      <x:c r="E2082" s="1"/>
      <x:c r="F2082" s="1"/>
      <x:c r="G2082" s="1"/>
    </x:row>
    <x:row r="2083">
      <x:c r="A2083" s="1"/>
      <x:c r="B2083" s="1"/>
      <x:c r="C2083" s="1"/>
      <x:c r="D2083" s="1"/>
      <x:c r="E2083" s="1"/>
      <x:c r="F2083" s="1"/>
      <x:c r="G2083" s="1"/>
    </x:row>
    <x:row r="2084">
      <x:c r="A2084" s="1"/>
      <x:c r="B2084" s="1"/>
      <x:c r="C2084" s="1"/>
      <x:c r="D2084" s="1"/>
      <x:c r="E2084" s="1"/>
      <x:c r="F2084" s="1"/>
      <x:c r="G2084" s="1"/>
    </x:row>
    <x:row r="2085">
      <x:c r="A2085" s="1"/>
      <x:c r="B2085" s="1"/>
      <x:c r="C2085" s="1"/>
      <x:c r="D2085" s="1"/>
      <x:c r="E2085" s="1"/>
      <x:c r="F2085" s="1"/>
      <x:c r="G2085" s="1"/>
    </x:row>
    <x:row r="2086">
      <x:c r="A2086" s="1"/>
      <x:c r="B2086" s="1"/>
      <x:c r="C2086" s="1"/>
      <x:c r="D2086" s="1"/>
      <x:c r="E2086" s="1"/>
      <x:c r="F2086" s="1"/>
      <x:c r="G2086" s="1"/>
    </x:row>
    <x:row r="2087">
      <x:c r="A2087" s="1"/>
      <x:c r="B2087" s="1"/>
      <x:c r="C2087" s="1"/>
      <x:c r="D2087" s="1"/>
      <x:c r="E2087" s="1"/>
      <x:c r="F2087" s="1"/>
      <x:c r="G2087" s="1"/>
    </x:row>
    <x:row r="2088">
      <x:c r="A2088" s="1"/>
      <x:c r="B2088" s="1"/>
      <x:c r="C2088" s="1"/>
      <x:c r="D2088" s="1"/>
      <x:c r="E2088" s="1"/>
      <x:c r="F2088" s="1"/>
      <x:c r="G2088" s="1"/>
    </x:row>
    <x:row r="2089">
      <x:c r="A2089" s="1"/>
      <x:c r="B2089" s="1"/>
      <x:c r="C2089" s="1"/>
      <x:c r="D2089" s="1"/>
      <x:c r="E2089" s="1"/>
      <x:c r="F2089" s="1"/>
      <x:c r="G2089" s="1"/>
    </x:row>
    <x:row r="2090">
      <x:c r="A2090" s="1"/>
      <x:c r="B2090" s="1"/>
      <x:c r="C2090" s="1"/>
      <x:c r="D2090" s="1"/>
      <x:c r="E2090" s="1"/>
      <x:c r="F2090" s="1"/>
      <x:c r="G2090" s="1"/>
    </x:row>
    <x:row r="2091">
      <x:c r="A2091" s="1"/>
      <x:c r="B2091" s="1"/>
      <x:c r="C2091" s="1"/>
      <x:c r="D2091" s="1"/>
      <x:c r="E2091" s="1"/>
      <x:c r="F2091" s="1"/>
      <x:c r="G2091" s="1"/>
    </x:row>
    <x:row r="2092">
      <x:c r="A2092" s="1"/>
      <x:c r="B2092" s="1"/>
      <x:c r="C2092" s="1"/>
      <x:c r="D2092" s="1"/>
      <x:c r="E2092" s="1"/>
      <x:c r="F2092" s="1"/>
      <x:c r="G2092" s="1"/>
    </x:row>
    <x:row r="2093">
      <x:c r="A2093" s="1"/>
      <x:c r="B2093" s="1"/>
      <x:c r="C2093" s="1"/>
      <x:c r="D2093" s="1"/>
      <x:c r="E2093" s="1"/>
      <x:c r="F2093" s="1"/>
      <x:c r="G2093" s="1"/>
    </x:row>
    <x:row r="2094">
      <x:c r="A2094" s="1"/>
      <x:c r="B2094" s="1"/>
      <x:c r="C2094" s="1"/>
      <x:c r="D2094" s="1"/>
      <x:c r="E2094" s="1"/>
      <x:c r="F2094" s="1"/>
      <x:c r="G2094" s="1"/>
    </x:row>
    <x:row r="2095">
      <x:c r="A2095" s="1"/>
      <x:c r="B2095" s="1"/>
      <x:c r="C2095" s="1"/>
      <x:c r="D2095" s="1"/>
      <x:c r="E2095" s="1"/>
      <x:c r="F2095" s="1"/>
      <x:c r="G2095" s="1"/>
    </x:row>
    <x:row r="2096">
      <x:c r="A2096" s="1"/>
      <x:c r="B2096" s="1"/>
      <x:c r="C2096" s="1"/>
      <x:c r="D2096" s="1"/>
      <x:c r="E2096" s="1"/>
      <x:c r="F2096" s="1"/>
      <x:c r="G2096" s="1"/>
    </x:row>
    <x:row r="2097">
      <x:c r="A2097" s="1"/>
      <x:c r="B2097" s="1"/>
      <x:c r="C2097" s="1"/>
      <x:c r="D2097" s="1"/>
      <x:c r="E2097" s="1"/>
      <x:c r="F2097" s="1"/>
      <x:c r="G2097" s="1"/>
    </x:row>
    <x:row r="2098">
      <x:c r="A2098" s="1"/>
      <x:c r="B2098" s="1"/>
      <x:c r="C2098" s="1"/>
      <x:c r="D2098" s="1"/>
      <x:c r="E2098" s="1"/>
      <x:c r="F2098" s="1"/>
      <x:c r="G2098" s="1"/>
    </x:row>
    <x:row r="2099">
      <x:c r="A2099" s="1"/>
      <x:c r="B2099" s="1"/>
      <x:c r="C2099" s="1"/>
      <x:c r="D2099" s="1"/>
      <x:c r="E2099" s="1"/>
      <x:c r="F2099" s="1"/>
      <x:c r="G2099" s="1"/>
    </x:row>
    <x:row r="2100">
      <x:c r="A2100" s="1"/>
      <x:c r="B2100" s="1"/>
      <x:c r="C2100" s="1"/>
      <x:c r="D2100" s="1"/>
      <x:c r="E2100" s="1"/>
      <x:c r="F2100" s="1"/>
      <x:c r="G2100" s="1"/>
    </x:row>
    <x:row r="2101">
      <x:c r="A2101" s="1"/>
      <x:c r="B2101" s="1"/>
      <x:c r="C2101" s="1"/>
      <x:c r="D2101" s="1"/>
      <x:c r="E2101" s="1"/>
      <x:c r="F2101" s="1"/>
      <x:c r="G2101" s="1"/>
    </x:row>
    <x:row r="2102">
      <x:c r="A2102" s="1"/>
      <x:c r="B2102" s="1"/>
      <x:c r="C2102" s="1"/>
      <x:c r="D2102" s="1"/>
      <x:c r="E2102" s="1"/>
      <x:c r="F2102" s="1"/>
      <x:c r="G2102" s="1"/>
    </x:row>
    <x:row r="2103">
      <x:c r="A2103" s="1"/>
      <x:c r="B2103" s="1"/>
      <x:c r="C2103" s="1"/>
      <x:c r="D2103" s="1"/>
      <x:c r="E2103" s="1"/>
      <x:c r="F2103" s="1"/>
      <x:c r="G2103" s="1"/>
    </x:row>
    <x:row r="2104">
      <x:c r="A2104" s="1"/>
      <x:c r="B2104" s="1"/>
      <x:c r="C2104" s="1"/>
      <x:c r="D2104" s="1"/>
      <x:c r="E2104" s="1"/>
      <x:c r="F2104" s="1"/>
      <x:c r="G2104" s="1"/>
    </x:row>
    <x:row r="2105">
      <x:c r="A2105" s="1"/>
      <x:c r="B2105" s="1"/>
      <x:c r="C2105" s="1"/>
      <x:c r="D2105" s="1"/>
      <x:c r="E2105" s="1"/>
      <x:c r="F2105" s="1"/>
      <x:c r="G2105" s="1"/>
    </x:row>
    <x:row r="2106">
      <x:c r="A2106" s="1"/>
      <x:c r="B2106" s="1"/>
      <x:c r="C2106" s="1"/>
      <x:c r="D2106" s="1"/>
      <x:c r="E2106" s="1"/>
      <x:c r="F2106" s="1"/>
      <x:c r="G2106" s="1"/>
    </x:row>
    <x:row r="2107">
      <x:c r="A2107" s="1"/>
      <x:c r="B2107" s="1"/>
      <x:c r="C2107" s="1"/>
      <x:c r="D2107" s="1"/>
      <x:c r="E2107" s="1"/>
      <x:c r="F2107" s="1"/>
      <x:c r="G2107" s="1"/>
    </x:row>
    <x:row r="2108">
      <x:c r="A2108" s="1"/>
      <x:c r="B2108" s="1"/>
      <x:c r="C2108" s="1"/>
      <x:c r="D2108" s="1"/>
      <x:c r="E2108" s="1"/>
      <x:c r="F2108" s="1"/>
      <x:c r="G2108" s="1"/>
    </x:row>
    <x:row r="2109">
      <x:c r="A2109" s="1"/>
      <x:c r="B2109" s="1"/>
      <x:c r="C2109" s="1"/>
      <x:c r="D2109" s="1"/>
      <x:c r="E2109" s="1"/>
      <x:c r="F2109" s="1"/>
      <x:c r="G2109" s="1"/>
    </x:row>
    <x:row r="2110">
      <x:c r="A2110" s="1"/>
      <x:c r="B2110" s="1"/>
      <x:c r="C2110" s="1"/>
      <x:c r="D2110" s="1"/>
      <x:c r="E2110" s="1"/>
      <x:c r="F2110" s="1"/>
      <x:c r="G2110" s="1"/>
    </x:row>
    <x:row r="2111">
      <x:c r="A2111" s="1"/>
      <x:c r="B2111" s="1"/>
      <x:c r="C2111" s="1"/>
      <x:c r="D2111" s="1"/>
      <x:c r="E2111" s="1"/>
      <x:c r="F2111" s="1"/>
      <x:c r="G2111" s="1"/>
    </x:row>
    <x:row r="2112">
      <x:c r="A2112" s="1"/>
      <x:c r="B2112" s="1"/>
      <x:c r="C2112" s="1"/>
      <x:c r="D2112" s="1"/>
      <x:c r="E2112" s="1"/>
      <x:c r="F2112" s="1"/>
      <x:c r="G2112" s="1"/>
    </x:row>
    <x:row r="2113">
      <x:c r="A2113" s="1"/>
      <x:c r="B2113" s="1"/>
      <x:c r="C2113" s="1"/>
      <x:c r="D2113" s="1"/>
      <x:c r="E2113" s="1"/>
      <x:c r="F2113" s="1"/>
      <x:c r="G2113" s="1"/>
    </x:row>
    <x:row r="2114">
      <x:c r="A2114" s="1"/>
      <x:c r="B2114" s="1"/>
      <x:c r="C2114" s="1"/>
      <x:c r="D2114" s="1"/>
      <x:c r="E2114" s="1"/>
      <x:c r="F2114" s="1"/>
      <x:c r="G2114" s="1"/>
    </x:row>
    <x:row r="2115">
      <x:c r="A2115" s="1"/>
      <x:c r="B2115" s="1"/>
      <x:c r="C2115" s="1"/>
      <x:c r="D2115" s="1"/>
      <x:c r="E2115" s="1"/>
      <x:c r="F2115" s="1"/>
      <x:c r="G2115" s="1"/>
    </x:row>
    <x:row r="2116">
      <x:c r="A2116" s="1"/>
      <x:c r="B2116" s="1"/>
      <x:c r="C2116" s="1"/>
      <x:c r="D2116" s="1"/>
      <x:c r="E2116" s="1"/>
      <x:c r="F2116" s="1"/>
      <x:c r="G2116" s="1"/>
    </x:row>
    <x:row r="2117">
      <x:c r="A2117" s="1"/>
      <x:c r="B2117" s="1"/>
      <x:c r="C2117" s="1"/>
      <x:c r="D2117" s="1"/>
      <x:c r="E2117" s="1"/>
      <x:c r="F2117" s="1"/>
      <x:c r="G2117" s="1"/>
    </x:row>
    <x:row r="2118">
      <x:c r="A2118" s="1"/>
      <x:c r="B2118" s="1"/>
      <x:c r="C2118" s="1"/>
      <x:c r="D2118" s="1"/>
      <x:c r="E2118" s="1"/>
      <x:c r="F2118" s="1"/>
      <x:c r="G2118" s="1"/>
    </x:row>
    <x:row r="2119">
      <x:c r="A2119" s="1"/>
      <x:c r="B2119" s="1"/>
      <x:c r="C2119" s="1"/>
      <x:c r="D2119" s="1"/>
      <x:c r="E2119" s="1"/>
      <x:c r="F2119" s="1"/>
      <x:c r="G2119" s="1"/>
    </x:row>
    <x:row r="2120">
      <x:c r="A2120" s="1"/>
      <x:c r="B2120" s="1"/>
      <x:c r="C2120" s="1"/>
      <x:c r="D2120" s="1"/>
      <x:c r="E2120" s="1"/>
      <x:c r="F2120" s="1"/>
      <x:c r="G2120" s="1"/>
    </x:row>
    <x:row r="2121">
      <x:c r="A2121" s="1"/>
      <x:c r="B2121" s="1"/>
      <x:c r="C2121" s="1"/>
      <x:c r="D2121" s="1"/>
      <x:c r="E2121" s="1"/>
      <x:c r="F2121" s="1"/>
      <x:c r="G2121" s="1"/>
    </x:row>
    <x:row r="2122">
      <x:c r="A2122" s="1"/>
      <x:c r="B2122" s="1"/>
      <x:c r="C2122" s="1"/>
      <x:c r="D2122" s="1"/>
      <x:c r="E2122" s="1"/>
      <x:c r="F2122" s="1"/>
      <x:c r="G2122" s="1"/>
    </x:row>
    <x:row r="2123">
      <x:c r="A2123" s="1"/>
      <x:c r="B2123" s="1"/>
      <x:c r="C2123" s="1"/>
      <x:c r="D2123" s="1"/>
      <x:c r="E2123" s="1"/>
      <x:c r="F2123" s="1"/>
      <x:c r="G2123" s="1"/>
    </x:row>
    <x:row r="2124">
      <x:c r="A2124" s="1"/>
      <x:c r="B2124" s="1"/>
      <x:c r="C2124" s="1"/>
      <x:c r="D2124" s="1"/>
      <x:c r="E2124" s="1"/>
      <x:c r="F2124" s="1"/>
      <x:c r="G2124" s="1"/>
    </x:row>
    <x:row r="2125">
      <x:c r="A2125" s="1"/>
      <x:c r="B2125" s="1"/>
      <x:c r="C2125" s="1"/>
      <x:c r="D2125" s="1"/>
      <x:c r="E2125" s="1"/>
      <x:c r="F2125" s="1"/>
      <x:c r="G2125" s="1"/>
    </x:row>
    <x:row r="2126">
      <x:c r="A2126" s="1"/>
      <x:c r="B2126" s="1"/>
      <x:c r="C2126" s="1"/>
      <x:c r="D2126" s="1"/>
      <x:c r="E2126" s="1"/>
      <x:c r="F2126" s="1"/>
      <x:c r="G2126" s="1"/>
    </x:row>
    <x:row r="2127">
      <x:c r="A2127" s="1"/>
      <x:c r="B2127" s="1"/>
      <x:c r="C2127" s="1"/>
      <x:c r="D2127" s="1"/>
      <x:c r="E2127" s="1"/>
      <x:c r="F2127" s="1"/>
      <x:c r="G2127" s="1"/>
    </x:row>
    <x:row r="2128">
      <x:c r="A2128" s="1"/>
      <x:c r="B2128" s="1"/>
      <x:c r="C2128" s="1"/>
      <x:c r="D2128" s="1"/>
      <x:c r="E2128" s="1"/>
      <x:c r="F2128" s="1"/>
      <x:c r="G2128" s="1"/>
    </x:row>
    <x:row r="2129">
      <x:c r="A2129" s="1"/>
      <x:c r="B2129" s="1"/>
      <x:c r="C2129" s="1"/>
      <x:c r="D2129" s="1"/>
      <x:c r="E2129" s="1"/>
      <x:c r="F2129" s="1"/>
      <x:c r="G2129" s="1"/>
    </x:row>
    <x:row r="2130">
      <x:c r="A2130" s="1"/>
      <x:c r="B2130" s="1"/>
      <x:c r="C2130" s="1"/>
      <x:c r="D2130" s="1"/>
      <x:c r="E2130" s="1"/>
      <x:c r="F2130" s="1"/>
      <x:c r="G2130" s="1"/>
    </x:row>
    <x:row r="2131">
      <x:c r="A2131" s="1"/>
      <x:c r="B2131" s="1"/>
      <x:c r="C2131" s="1"/>
      <x:c r="D2131" s="1"/>
      <x:c r="E2131" s="1"/>
      <x:c r="F2131" s="1"/>
      <x:c r="G2131" s="1"/>
    </x:row>
    <x:row r="2132">
      <x:c r="A2132" s="1"/>
      <x:c r="B2132" s="1"/>
      <x:c r="C2132" s="1"/>
      <x:c r="D2132" s="1"/>
      <x:c r="E2132" s="1"/>
      <x:c r="F2132" s="1"/>
      <x:c r="G2132" s="1"/>
    </x:row>
    <x:row r="2133">
      <x:c r="A2133" s="1"/>
      <x:c r="B2133" s="1"/>
      <x:c r="C2133" s="1"/>
      <x:c r="D2133" s="1"/>
      <x:c r="E2133" s="1"/>
      <x:c r="F2133" s="1"/>
      <x:c r="G2133" s="1"/>
    </x:row>
    <x:row r="2134">
      <x:c r="A2134" s="1"/>
      <x:c r="B2134" s="1"/>
      <x:c r="C2134" s="1"/>
      <x:c r="D2134" s="1"/>
      <x:c r="E2134" s="1"/>
      <x:c r="F2134" s="1"/>
      <x:c r="G2134" s="1"/>
    </x:row>
    <x:row r="2135">
      <x:c r="A2135" s="1"/>
      <x:c r="B2135" s="1"/>
      <x:c r="C2135" s="1"/>
      <x:c r="D2135" s="1"/>
      <x:c r="E2135" s="1"/>
      <x:c r="F2135" s="1"/>
      <x:c r="G2135" s="1"/>
    </x:row>
    <x:row r="2136">
      <x:c r="A2136" s="1"/>
      <x:c r="B2136" s="1"/>
      <x:c r="C2136" s="1"/>
      <x:c r="D2136" s="1"/>
      <x:c r="E2136" s="1"/>
      <x:c r="F2136" s="1"/>
      <x:c r="G2136" s="1"/>
    </x:row>
    <x:row r="2137">
      <x:c r="A2137" s="1"/>
      <x:c r="B2137" s="1"/>
      <x:c r="C2137" s="1"/>
      <x:c r="D2137" s="1"/>
      <x:c r="E2137" s="1"/>
      <x:c r="F2137" s="1"/>
      <x:c r="G2137" s="1"/>
    </x:row>
    <x:row r="2138">
      <x:c r="A2138" s="1"/>
      <x:c r="B2138" s="1"/>
      <x:c r="C2138" s="1"/>
      <x:c r="D2138" s="1"/>
      <x:c r="E2138" s="1"/>
      <x:c r="F2138" s="1"/>
      <x:c r="G2138" s="1"/>
    </x:row>
    <x:row r="2139">
      <x:c r="A2139" s="1"/>
      <x:c r="B2139" s="1"/>
      <x:c r="C2139" s="1"/>
      <x:c r="D2139" s="1"/>
      <x:c r="E2139" s="1"/>
      <x:c r="F2139" s="1"/>
      <x:c r="G2139" s="1"/>
    </x:row>
    <x:row r="2140">
      <x:c r="A2140" s="1"/>
      <x:c r="B2140" s="1"/>
      <x:c r="C2140" s="1"/>
      <x:c r="D2140" s="1"/>
      <x:c r="E2140" s="1"/>
      <x:c r="F2140" s="1"/>
      <x:c r="G2140" s="1"/>
    </x:row>
    <x:row r="2141">
      <x:c r="A2141" s="1"/>
      <x:c r="B2141" s="1"/>
      <x:c r="C2141" s="1"/>
      <x:c r="D2141" s="1"/>
      <x:c r="E2141" s="1"/>
      <x:c r="F2141" s="1"/>
      <x:c r="G2141" s="1"/>
    </x:row>
    <x:row r="2142">
      <x:c r="A2142" s="1"/>
      <x:c r="B2142" s="1"/>
      <x:c r="C2142" s="1"/>
      <x:c r="D2142" s="1"/>
      <x:c r="E2142" s="1"/>
      <x:c r="F2142" s="1"/>
      <x:c r="G2142" s="1"/>
    </x:row>
    <x:row r="2143">
      <x:c r="A2143" s="1"/>
      <x:c r="B2143" s="1"/>
      <x:c r="C2143" s="1"/>
      <x:c r="D2143" s="1"/>
      <x:c r="E2143" s="1"/>
      <x:c r="F2143" s="1"/>
      <x:c r="G2143" s="1"/>
    </x:row>
    <x:row r="2144">
      <x:c r="A2144" s="1"/>
      <x:c r="B2144" s="1"/>
      <x:c r="C2144" s="1"/>
      <x:c r="D2144" s="1"/>
      <x:c r="E2144" s="1"/>
      <x:c r="F2144" s="1"/>
      <x:c r="G2144" s="1"/>
    </x:row>
    <x:row r="2145">
      <x:c r="A2145" s="1"/>
      <x:c r="B2145" s="1"/>
      <x:c r="C2145" s="1"/>
      <x:c r="D2145" s="1"/>
      <x:c r="E2145" s="1"/>
      <x:c r="F2145" s="1"/>
      <x:c r="G2145" s="1"/>
    </x:row>
    <x:row r="2146">
      <x:c r="A2146" s="1"/>
      <x:c r="B2146" s="1"/>
      <x:c r="C2146" s="1"/>
      <x:c r="D2146" s="1"/>
      <x:c r="E2146" s="1"/>
      <x:c r="F2146" s="1"/>
      <x:c r="G2146" s="1"/>
    </x:row>
    <x:row r="2147">
      <x:c r="A2147" s="1"/>
      <x:c r="B2147" s="1"/>
      <x:c r="C2147" s="1"/>
      <x:c r="D2147" s="1"/>
      <x:c r="E2147" s="1"/>
      <x:c r="F2147" s="1"/>
      <x:c r="G2147" s="1"/>
    </x:row>
    <x:row r="2148">
      <x:c r="A2148" s="1"/>
      <x:c r="B2148" s="1"/>
      <x:c r="C2148" s="1"/>
      <x:c r="D2148" s="1"/>
      <x:c r="E2148" s="1"/>
      <x:c r="F2148" s="1"/>
      <x:c r="G2148" s="1"/>
    </x:row>
    <x:row r="2149">
      <x:c r="A2149" s="1"/>
      <x:c r="B2149" s="1"/>
      <x:c r="C2149" s="1"/>
      <x:c r="D2149" s="1"/>
      <x:c r="E2149" s="1"/>
      <x:c r="F2149" s="1"/>
      <x:c r="G2149" s="1"/>
    </x:row>
    <x:row r="2150">
      <x:c r="A2150" s="1"/>
      <x:c r="B2150" s="1"/>
      <x:c r="C2150" s="1"/>
      <x:c r="D2150" s="1"/>
      <x:c r="E2150" s="1"/>
      <x:c r="F2150" s="1"/>
      <x:c r="G2150" s="1"/>
    </x:row>
    <x:row r="2151">
      <x:c r="A2151" s="1"/>
      <x:c r="B2151" s="1"/>
      <x:c r="C2151" s="1"/>
      <x:c r="D2151" s="1"/>
      <x:c r="E2151" s="1"/>
      <x:c r="F2151" s="1"/>
      <x:c r="G2151" s="1"/>
    </x:row>
    <x:row r="2152">
      <x:c r="A2152" s="1"/>
      <x:c r="B2152" s="1"/>
      <x:c r="C2152" s="1"/>
      <x:c r="D2152" s="1"/>
      <x:c r="E2152" s="1"/>
      <x:c r="F2152" s="1"/>
      <x:c r="G2152" s="1"/>
    </x:row>
    <x:row r="2153">
      <x:c r="A2153" s="1"/>
      <x:c r="B2153" s="1"/>
      <x:c r="C2153" s="1"/>
      <x:c r="D2153" s="1"/>
      <x:c r="E2153" s="1"/>
      <x:c r="F2153" s="1"/>
      <x:c r="G2153" s="1"/>
    </x:row>
    <x:row r="2154">
      <x:c r="A2154" s="1"/>
      <x:c r="B2154" s="1"/>
      <x:c r="C2154" s="1"/>
      <x:c r="D2154" s="1"/>
      <x:c r="E2154" s="1"/>
      <x:c r="F2154" s="1"/>
      <x:c r="G2154" s="1"/>
    </x:row>
    <x:row r="2155">
      <x:c r="A2155" s="1"/>
      <x:c r="B2155" s="1"/>
      <x:c r="C2155" s="1"/>
      <x:c r="D2155" s="1"/>
      <x:c r="E2155" s="1"/>
      <x:c r="F2155" s="1"/>
      <x:c r="G2155" s="1"/>
    </x:row>
    <x:row r="2156">
      <x:c r="A2156" s="1"/>
      <x:c r="B2156" s="1"/>
      <x:c r="C2156" s="1"/>
      <x:c r="D2156" s="1"/>
      <x:c r="E2156" s="1"/>
      <x:c r="F2156" s="1"/>
      <x:c r="G2156" s="1"/>
    </x:row>
    <x:row r="2157">
      <x:c r="A2157" s="1"/>
      <x:c r="B2157" s="1"/>
      <x:c r="C2157" s="1"/>
      <x:c r="D2157" s="1"/>
      <x:c r="E2157" s="1"/>
      <x:c r="F2157" s="1"/>
      <x:c r="G2157" s="1"/>
    </x:row>
    <x:row r="2158">
      <x:c r="A2158" s="1"/>
      <x:c r="B2158" s="1"/>
      <x:c r="C2158" s="1"/>
      <x:c r="D2158" s="1"/>
      <x:c r="E2158" s="1"/>
      <x:c r="F2158" s="1"/>
      <x:c r="G2158" s="1"/>
    </x:row>
    <x:row r="2159">
      <x:c r="A2159" s="1"/>
      <x:c r="B2159" s="1"/>
      <x:c r="C2159" s="1"/>
      <x:c r="D2159" s="1"/>
      <x:c r="E2159" s="1"/>
      <x:c r="F2159" s="1"/>
      <x:c r="G2159" s="1"/>
    </x:row>
    <x:row r="2160">
      <x:c r="A2160" s="1"/>
      <x:c r="B2160" s="1"/>
      <x:c r="C2160" s="1"/>
      <x:c r="D2160" s="1"/>
      <x:c r="E2160" s="1"/>
      <x:c r="F2160" s="1"/>
      <x:c r="G2160" s="1"/>
    </x:row>
    <x:row r="2161">
      <x:c r="A2161" s="1"/>
      <x:c r="B2161" s="1"/>
      <x:c r="C2161" s="1"/>
      <x:c r="D2161" s="1"/>
      <x:c r="E2161" s="1"/>
      <x:c r="F2161" s="1"/>
      <x:c r="G2161" s="1"/>
    </x:row>
    <x:row r="2162">
      <x:c r="A2162" s="1"/>
      <x:c r="B2162" s="1"/>
      <x:c r="C2162" s="1"/>
      <x:c r="D2162" s="1"/>
      <x:c r="E2162" s="1"/>
      <x:c r="F2162" s="1"/>
      <x:c r="G2162" s="1"/>
    </x:row>
    <x:row r="2163">
      <x:c r="A2163" s="1"/>
      <x:c r="B2163" s="1"/>
      <x:c r="C2163" s="1"/>
      <x:c r="D2163" s="1"/>
      <x:c r="E2163" s="1"/>
      <x:c r="F2163" s="1"/>
      <x:c r="G2163" s="1"/>
    </x:row>
    <x:row r="2164">
      <x:c r="A2164" s="1"/>
      <x:c r="B2164" s="1"/>
      <x:c r="C2164" s="1"/>
      <x:c r="D2164" s="1"/>
      <x:c r="E2164" s="1"/>
      <x:c r="F2164" s="1"/>
      <x:c r="G2164" s="1"/>
    </x:row>
    <x:row r="2165">
      <x:c r="A2165" s="1"/>
      <x:c r="B2165" s="1"/>
      <x:c r="C2165" s="1"/>
      <x:c r="D2165" s="1"/>
      <x:c r="E2165" s="1"/>
      <x:c r="F2165" s="1"/>
      <x:c r="G2165" s="1"/>
    </x:row>
    <x:row r="2166">
      <x:c r="A2166" s="1"/>
      <x:c r="B2166" s="1"/>
      <x:c r="C2166" s="1"/>
      <x:c r="D2166" s="1"/>
      <x:c r="E2166" s="1"/>
      <x:c r="F2166" s="1"/>
      <x:c r="G2166" s="1"/>
    </x:row>
    <x:row r="2167">
      <x:c r="A2167" s="1"/>
      <x:c r="B2167" s="1"/>
      <x:c r="C2167" s="1"/>
      <x:c r="D2167" s="1"/>
      <x:c r="E2167" s="1"/>
      <x:c r="F2167" s="1"/>
      <x:c r="G2167" s="1"/>
    </x:row>
    <x:row r="2168">
      <x:c r="A2168" s="1"/>
      <x:c r="B2168" s="1"/>
      <x:c r="C2168" s="1"/>
      <x:c r="D2168" s="1"/>
      <x:c r="E2168" s="1"/>
      <x:c r="F2168" s="1"/>
      <x:c r="G2168" s="1"/>
    </x:row>
    <x:row r="2169">
      <x:c r="A2169" s="1"/>
      <x:c r="B2169" s="1"/>
      <x:c r="C2169" s="1"/>
      <x:c r="D2169" s="1"/>
      <x:c r="E2169" s="1"/>
      <x:c r="F2169" s="1"/>
      <x:c r="G2169" s="1"/>
    </x:row>
    <x:row r="2170">
      <x:c r="A2170" s="1"/>
      <x:c r="B2170" s="1"/>
      <x:c r="C2170" s="1"/>
      <x:c r="D2170" s="1"/>
      <x:c r="E2170" s="1"/>
      <x:c r="F2170" s="1"/>
      <x:c r="G2170" s="1"/>
    </x:row>
    <x:row r="2171">
      <x:c r="A2171" s="1"/>
      <x:c r="B2171" s="1"/>
      <x:c r="C2171" s="1"/>
      <x:c r="D2171" s="1"/>
      <x:c r="E2171" s="1"/>
      <x:c r="F2171" s="1"/>
      <x:c r="G2171" s="1"/>
    </x:row>
    <x:row r="2172">
      <x:c r="A2172" s="1"/>
      <x:c r="B2172" s="1"/>
      <x:c r="C2172" s="1"/>
      <x:c r="D2172" s="1"/>
      <x:c r="E2172" s="1"/>
      <x:c r="F2172" s="1"/>
      <x:c r="G2172" s="1"/>
    </x:row>
    <x:row r="2173">
      <x:c r="A2173" s="1"/>
      <x:c r="B2173" s="1"/>
      <x:c r="C2173" s="1"/>
      <x:c r="D2173" s="1"/>
      <x:c r="E2173" s="1"/>
      <x:c r="F2173" s="1"/>
      <x:c r="G2173" s="1"/>
    </x:row>
    <x:row r="2174">
      <x:c r="A2174" s="1"/>
      <x:c r="B2174" s="1"/>
      <x:c r="C2174" s="1"/>
      <x:c r="D2174" s="1"/>
      <x:c r="E2174" s="1"/>
      <x:c r="F2174" s="1"/>
      <x:c r="G2174" s="1"/>
    </x:row>
    <x:row r="2175">
      <x:c r="A2175" s="1"/>
      <x:c r="B2175" s="1"/>
      <x:c r="C2175" s="1"/>
      <x:c r="D2175" s="1"/>
      <x:c r="E2175" s="1"/>
      <x:c r="F2175" s="1"/>
      <x:c r="G2175" s="1"/>
    </x:row>
    <x:row r="2176">
      <x:c r="A2176" s="1"/>
      <x:c r="B2176" s="1"/>
      <x:c r="C2176" s="1"/>
      <x:c r="D2176" s="1"/>
      <x:c r="E2176" s="1"/>
      <x:c r="F2176" s="1"/>
      <x:c r="G2176" s="1"/>
    </x:row>
    <x:row r="2177">
      <x:c r="A2177" s="1"/>
      <x:c r="B2177" s="1"/>
      <x:c r="C2177" s="1"/>
      <x:c r="D2177" s="1"/>
      <x:c r="E2177" s="1"/>
      <x:c r="F2177" s="1"/>
      <x:c r="G2177" s="1"/>
    </x:row>
    <x:row r="2178">
      <x:c r="A2178" s="1"/>
      <x:c r="B2178" s="1"/>
      <x:c r="C2178" s="1"/>
      <x:c r="D2178" s="1"/>
      <x:c r="E2178" s="1"/>
      <x:c r="F2178" s="1"/>
      <x:c r="G2178" s="1"/>
    </x:row>
    <x:row r="2179">
      <x:c r="A2179" s="1"/>
      <x:c r="B2179" s="1"/>
      <x:c r="C2179" s="1"/>
      <x:c r="D2179" s="1"/>
      <x:c r="E2179" s="1"/>
      <x:c r="F2179" s="1"/>
      <x:c r="G2179" s="1"/>
    </x:row>
    <x:row r="2180">
      <x:c r="A2180" s="1"/>
      <x:c r="B2180" s="1"/>
      <x:c r="C2180" s="1"/>
      <x:c r="D2180" s="1"/>
      <x:c r="E2180" s="1"/>
      <x:c r="F2180" s="1"/>
      <x:c r="G2180" s="1"/>
    </x:row>
    <x:row r="2181">
      <x:c r="A2181" s="1"/>
      <x:c r="B2181" s="1"/>
      <x:c r="C2181" s="1"/>
      <x:c r="D2181" s="1"/>
      <x:c r="E2181" s="1"/>
      <x:c r="F2181" s="1"/>
      <x:c r="G2181" s="1"/>
    </x:row>
    <x:row r="2182">
      <x:c r="A2182" s="1"/>
      <x:c r="B2182" s="1"/>
      <x:c r="C2182" s="1"/>
      <x:c r="D2182" s="1"/>
      <x:c r="E2182" s="1"/>
      <x:c r="F2182" s="1"/>
      <x:c r="G2182" s="1"/>
    </x:row>
    <x:row r="2183">
      <x:c r="A2183" s="1"/>
      <x:c r="B2183" s="1"/>
      <x:c r="C2183" s="1"/>
      <x:c r="D2183" s="1"/>
      <x:c r="E2183" s="1"/>
      <x:c r="F2183" s="1"/>
      <x:c r="G2183" s="1"/>
    </x:row>
    <x:row r="2184">
      <x:c r="A2184" s="1"/>
      <x:c r="B2184" s="1"/>
      <x:c r="C2184" s="1"/>
      <x:c r="D2184" s="1"/>
      <x:c r="E2184" s="1"/>
      <x:c r="F2184" s="1"/>
      <x:c r="G2184" s="1"/>
    </x:row>
    <x:row r="2185">
      <x:c r="A2185" s="1"/>
      <x:c r="B2185" s="1"/>
      <x:c r="C2185" s="1"/>
      <x:c r="D2185" s="1"/>
      <x:c r="E2185" s="1"/>
      <x:c r="F2185" s="1"/>
      <x:c r="G2185" s="1"/>
    </x:row>
    <x:row r="2186">
      <x:c r="A2186" s="1"/>
      <x:c r="B2186" s="1"/>
      <x:c r="C2186" s="1"/>
      <x:c r="D2186" s="1"/>
      <x:c r="E2186" s="1"/>
      <x:c r="F2186" s="1"/>
      <x:c r="G2186" s="1"/>
    </x:row>
    <x:row r="2187">
      <x:c r="A2187" s="1"/>
      <x:c r="B2187" s="1"/>
      <x:c r="C2187" s="1"/>
      <x:c r="D2187" s="1"/>
      <x:c r="E2187" s="1"/>
      <x:c r="F2187" s="1"/>
      <x:c r="G2187" s="1"/>
    </x:row>
    <x:row r="2188">
      <x:c r="A2188" s="1"/>
      <x:c r="B2188" s="1"/>
      <x:c r="C2188" s="1"/>
      <x:c r="D2188" s="1"/>
      <x:c r="E2188" s="1"/>
      <x:c r="F2188" s="1"/>
      <x:c r="G2188" s="1"/>
    </x:row>
    <x:row r="2189">
      <x:c r="A2189" s="1"/>
      <x:c r="B2189" s="1"/>
      <x:c r="C2189" s="1"/>
      <x:c r="D2189" s="1"/>
      <x:c r="E2189" s="1"/>
      <x:c r="F2189" s="1"/>
      <x:c r="G2189" s="1"/>
    </x:row>
    <x:row r="2190">
      <x:c r="A2190" s="1"/>
      <x:c r="B2190" s="1"/>
      <x:c r="C2190" s="1"/>
      <x:c r="D2190" s="1"/>
      <x:c r="E2190" s="1"/>
      <x:c r="F2190" s="1"/>
      <x:c r="G2190" s="1"/>
    </x:row>
    <x:row r="2191">
      <x:c r="A2191" s="1"/>
      <x:c r="B2191" s="1"/>
      <x:c r="C2191" s="1"/>
      <x:c r="D2191" s="1"/>
      <x:c r="E2191" s="1"/>
      <x:c r="F2191" s="1"/>
      <x:c r="G2191" s="1"/>
    </x:row>
    <x:row r="2192">
      <x:c r="A2192" s="1"/>
      <x:c r="B2192" s="1"/>
      <x:c r="C2192" s="1"/>
      <x:c r="D2192" s="1"/>
      <x:c r="E2192" s="1"/>
      <x:c r="F2192" s="1"/>
      <x:c r="G2192" s="1"/>
    </x:row>
    <x:row r="2193">
      <x:c r="A2193" s="1"/>
      <x:c r="B2193" s="1"/>
      <x:c r="C2193" s="1"/>
      <x:c r="D2193" s="1"/>
      <x:c r="E2193" s="1"/>
      <x:c r="F2193" s="1"/>
      <x:c r="G2193" s="1"/>
    </x:row>
    <x:row r="2194">
      <x:c r="A2194" s="1"/>
      <x:c r="B2194" s="1"/>
      <x:c r="C2194" s="1"/>
      <x:c r="D2194" s="1"/>
      <x:c r="E2194" s="1"/>
      <x:c r="F2194" s="1"/>
      <x:c r="G2194" s="1"/>
    </x:row>
    <x:row r="2195">
      <x:c r="A2195" s="1"/>
      <x:c r="B2195" s="1"/>
      <x:c r="C2195" s="1"/>
      <x:c r="D2195" s="1"/>
      <x:c r="E2195" s="1"/>
      <x:c r="F2195" s="1"/>
      <x:c r="G2195" s="1"/>
    </x:row>
    <x:row r="2196">
      <x:c r="A2196" s="1"/>
      <x:c r="B2196" s="1"/>
      <x:c r="C2196" s="1"/>
      <x:c r="D2196" s="1"/>
      <x:c r="E2196" s="1"/>
      <x:c r="F2196" s="1"/>
      <x:c r="G2196" s="1"/>
    </x:row>
    <x:row r="2197">
      <x:c r="A2197" s="1"/>
      <x:c r="B2197" s="1"/>
      <x:c r="C2197" s="1"/>
      <x:c r="D2197" s="1"/>
      <x:c r="E2197" s="1"/>
      <x:c r="F2197" s="1"/>
      <x:c r="G2197" s="1"/>
    </x:row>
    <x:row r="2198">
      <x:c r="A2198" s="1"/>
      <x:c r="B2198" s="1"/>
      <x:c r="C2198" s="1"/>
      <x:c r="D2198" s="1"/>
      <x:c r="E2198" s="1"/>
      <x:c r="F2198" s="1"/>
      <x:c r="G2198" s="1"/>
    </x:row>
    <x:row r="2199">
      <x:c r="A2199" s="1"/>
      <x:c r="B2199" s="1"/>
      <x:c r="C2199" s="1"/>
      <x:c r="D2199" s="1"/>
      <x:c r="E2199" s="1"/>
      <x:c r="F2199" s="1"/>
      <x:c r="G2199" s="1"/>
    </x:row>
    <x:row r="2200">
      <x:c r="A2200" s="1"/>
      <x:c r="B2200" s="1"/>
      <x:c r="C2200" s="1"/>
      <x:c r="D2200" s="1"/>
      <x:c r="E2200" s="1"/>
      <x:c r="F2200" s="1"/>
      <x:c r="G2200" s="1"/>
    </x:row>
    <x:row r="2201">
      <x:c r="A2201" s="1"/>
      <x:c r="B2201" s="1"/>
      <x:c r="C2201" s="1"/>
      <x:c r="D2201" s="1"/>
      <x:c r="E2201" s="1"/>
      <x:c r="F2201" s="1"/>
      <x:c r="G2201" s="1"/>
    </x:row>
    <x:row r="2202">
      <x:c r="A2202" s="1"/>
      <x:c r="B2202" s="1"/>
      <x:c r="C2202" s="1"/>
      <x:c r="D2202" s="1"/>
      <x:c r="E2202" s="1"/>
      <x:c r="F2202" s="1"/>
      <x:c r="G2202" s="1"/>
    </x:row>
    <x:row r="2203">
      <x:c r="A2203" s="1"/>
      <x:c r="B2203" s="1"/>
      <x:c r="C2203" s="1"/>
      <x:c r="D2203" s="1"/>
      <x:c r="E2203" s="1"/>
      <x:c r="F2203" s="1"/>
      <x:c r="G2203" s="1"/>
    </x:row>
    <x:row r="2204">
      <x:c r="A2204" s="1"/>
      <x:c r="B2204" s="1"/>
      <x:c r="C2204" s="1"/>
      <x:c r="D2204" s="1"/>
      <x:c r="E2204" s="1"/>
      <x:c r="F2204" s="1"/>
      <x:c r="G2204" s="1"/>
    </x:row>
    <x:row r="2205">
      <x:c r="A2205" s="1"/>
      <x:c r="B2205" s="1"/>
      <x:c r="C2205" s="1"/>
      <x:c r="D2205" s="1"/>
      <x:c r="E2205" s="1"/>
      <x:c r="F2205" s="1"/>
      <x:c r="G2205" s="1"/>
    </x:row>
    <x:row r="2206">
      <x:c r="A2206" s="1"/>
      <x:c r="B2206" s="1"/>
      <x:c r="C2206" s="1"/>
      <x:c r="D2206" s="1"/>
      <x:c r="E2206" s="1"/>
      <x:c r="F2206" s="1"/>
      <x:c r="G2206" s="1"/>
    </x:row>
    <x:row r="2207">
      <x:c r="A2207" s="1"/>
      <x:c r="B2207" s="1"/>
      <x:c r="C2207" s="1"/>
      <x:c r="D2207" s="1"/>
      <x:c r="E2207" s="1"/>
      <x:c r="F2207" s="1"/>
      <x:c r="G2207" s="1"/>
    </x:row>
    <x:row r="2208">
      <x:c r="A2208" s="1"/>
      <x:c r="B2208" s="1"/>
      <x:c r="C2208" s="1"/>
      <x:c r="D2208" s="1"/>
      <x:c r="E2208" s="1"/>
      <x:c r="F2208" s="1"/>
      <x:c r="G2208" s="1"/>
    </x:row>
    <x:row r="2209">
      <x:c r="A2209" s="1"/>
      <x:c r="B2209" s="1"/>
      <x:c r="C2209" s="1"/>
      <x:c r="D2209" s="1"/>
      <x:c r="E2209" s="1"/>
      <x:c r="F2209" s="1"/>
      <x:c r="G2209" s="1"/>
    </x:row>
    <x:row r="2210">
      <x:c r="A2210" s="1"/>
      <x:c r="B2210" s="1"/>
      <x:c r="C2210" s="1"/>
      <x:c r="D2210" s="1"/>
      <x:c r="E2210" s="1"/>
      <x:c r="F2210" s="1"/>
      <x:c r="G2210" s="1"/>
    </x:row>
    <x:row r="2211">
      <x:c r="A2211" s="1"/>
      <x:c r="B2211" s="1"/>
      <x:c r="C2211" s="1"/>
      <x:c r="D2211" s="1"/>
      <x:c r="E2211" s="1"/>
      <x:c r="F2211" s="1"/>
      <x:c r="G2211" s="1"/>
    </x:row>
    <x:row r="2212">
      <x:c r="A2212" s="1"/>
      <x:c r="B2212" s="1"/>
      <x:c r="C2212" s="1"/>
      <x:c r="D2212" s="1"/>
      <x:c r="E2212" s="1"/>
      <x:c r="F2212" s="1"/>
      <x:c r="G2212" s="1"/>
    </x:row>
    <x:row r="2213">
      <x:c r="A2213" s="1"/>
      <x:c r="B2213" s="1"/>
      <x:c r="C2213" s="1"/>
      <x:c r="D2213" s="1"/>
      <x:c r="E2213" s="1"/>
      <x:c r="F2213" s="1"/>
      <x:c r="G2213" s="1"/>
    </x:row>
    <x:row r="2214">
      <x:c r="A2214" s="1"/>
      <x:c r="B2214" s="1"/>
      <x:c r="C2214" s="1"/>
      <x:c r="D2214" s="1"/>
      <x:c r="E2214" s="1"/>
      <x:c r="F2214" s="1"/>
      <x:c r="G2214" s="1"/>
    </x:row>
    <x:row r="2215">
      <x:c r="A2215" s="1"/>
      <x:c r="B2215" s="1"/>
      <x:c r="C2215" s="1"/>
      <x:c r="D2215" s="1"/>
      <x:c r="E2215" s="1"/>
      <x:c r="F2215" s="1"/>
      <x:c r="G2215" s="1"/>
    </x:row>
    <x:row r="2216">
      <x:c r="A2216" s="1"/>
      <x:c r="B2216" s="1"/>
      <x:c r="C2216" s="1"/>
      <x:c r="D2216" s="1"/>
      <x:c r="E2216" s="1"/>
      <x:c r="F2216" s="1"/>
      <x:c r="G2216" s="1"/>
    </x:row>
    <x:row r="2217">
      <x:c r="A2217" s="1"/>
      <x:c r="B2217" s="1"/>
      <x:c r="C2217" s="1"/>
      <x:c r="D2217" s="1"/>
      <x:c r="E2217" s="1"/>
      <x:c r="F2217" s="1"/>
      <x:c r="G2217" s="1"/>
    </x:row>
    <x:row r="2218">
      <x:c r="A2218" s="1"/>
      <x:c r="B2218" s="1"/>
      <x:c r="C2218" s="1"/>
      <x:c r="D2218" s="1"/>
      <x:c r="E2218" s="1"/>
      <x:c r="F2218" s="1"/>
      <x:c r="G2218" s="1"/>
    </x:row>
    <x:row r="2219">
      <x:c r="A2219" s="1"/>
      <x:c r="B2219" s="1"/>
      <x:c r="C2219" s="1"/>
      <x:c r="D2219" s="1"/>
      <x:c r="E2219" s="1"/>
      <x:c r="F2219" s="1"/>
      <x:c r="G2219" s="1"/>
    </x:row>
    <x:row r="2220">
      <x:c r="A2220" s="1"/>
      <x:c r="B2220" s="1"/>
      <x:c r="C2220" s="1"/>
      <x:c r="D2220" s="1"/>
      <x:c r="E2220" s="1"/>
      <x:c r="F2220" s="1"/>
      <x:c r="G2220" s="1"/>
    </x:row>
    <x:row r="2221">
      <x:c r="A2221" s="1"/>
      <x:c r="B2221" s="1"/>
      <x:c r="C2221" s="1"/>
      <x:c r="D2221" s="1"/>
      <x:c r="E2221" s="1"/>
      <x:c r="F2221" s="1"/>
      <x:c r="G2221" s="1"/>
    </x:row>
    <x:row r="2222">
      <x:c r="A2222" s="1"/>
      <x:c r="B2222" s="1"/>
      <x:c r="C2222" s="1"/>
      <x:c r="D2222" s="1"/>
      <x:c r="E2222" s="1"/>
      <x:c r="F2222" s="1"/>
      <x:c r="G2222" s="1"/>
    </x:row>
    <x:row r="2223">
      <x:c r="A2223" s="1"/>
      <x:c r="B2223" s="1"/>
      <x:c r="C2223" s="1"/>
      <x:c r="D2223" s="1"/>
      <x:c r="E2223" s="1"/>
      <x:c r="F2223" s="1"/>
      <x:c r="G2223" s="1"/>
    </x:row>
    <x:row r="2224">
      <x:c r="A2224" s="1"/>
      <x:c r="B2224" s="1"/>
      <x:c r="C2224" s="1"/>
      <x:c r="D2224" s="1"/>
      <x:c r="E2224" s="1"/>
      <x:c r="F2224" s="1"/>
      <x:c r="G2224" s="1"/>
    </x:row>
    <x:row r="2225">
      <x:c r="A2225" s="1"/>
      <x:c r="B2225" s="1"/>
      <x:c r="C2225" s="1"/>
      <x:c r="D2225" s="1"/>
      <x:c r="E2225" s="1"/>
      <x:c r="F2225" s="1"/>
      <x:c r="G2225" s="1"/>
    </x:row>
    <x:row r="2226">
      <x:c r="A2226" s="1"/>
      <x:c r="B2226" s="1"/>
      <x:c r="C2226" s="1"/>
      <x:c r="D2226" s="1"/>
      <x:c r="E2226" s="1"/>
      <x:c r="F2226" s="1"/>
      <x:c r="G2226" s="1"/>
    </x:row>
    <x:row r="2227">
      <x:c r="A2227" s="1"/>
      <x:c r="B2227" s="1"/>
      <x:c r="C2227" s="1"/>
      <x:c r="D2227" s="1"/>
      <x:c r="E2227" s="1"/>
      <x:c r="F2227" s="1"/>
      <x:c r="G2227" s="1"/>
    </x:row>
    <x:row r="2228">
      <x:c r="A2228" s="1"/>
      <x:c r="B2228" s="1"/>
      <x:c r="C2228" s="1"/>
      <x:c r="D2228" s="1"/>
      <x:c r="E2228" s="1"/>
      <x:c r="F2228" s="1"/>
      <x:c r="G2228" s="1"/>
    </x:row>
    <x:row r="2229">
      <x:c r="A2229" s="1"/>
      <x:c r="B2229" s="1"/>
      <x:c r="C2229" s="1"/>
      <x:c r="D2229" s="1"/>
      <x:c r="E2229" s="1"/>
      <x:c r="F2229" s="1"/>
      <x:c r="G2229" s="1"/>
    </x:row>
    <x:row r="2230">
      <x:c r="A2230" s="1"/>
      <x:c r="B2230" s="1"/>
      <x:c r="C2230" s="1"/>
      <x:c r="D2230" s="1"/>
      <x:c r="E2230" s="1"/>
      <x:c r="F2230" s="1"/>
      <x:c r="G2230" s="1"/>
    </x:row>
    <x:row r="2231">
      <x:c r="A2231" s="1"/>
      <x:c r="B2231" s="1"/>
      <x:c r="C2231" s="1"/>
      <x:c r="D2231" s="1"/>
      <x:c r="E2231" s="1"/>
      <x:c r="F2231" s="1"/>
      <x:c r="G2231" s="1"/>
    </x:row>
    <x:row r="2232">
      <x:c r="A2232" s="1"/>
      <x:c r="B2232" s="1"/>
      <x:c r="C2232" s="1"/>
      <x:c r="D2232" s="1"/>
      <x:c r="E2232" s="1"/>
      <x:c r="F2232" s="1"/>
      <x:c r="G2232" s="1"/>
    </x:row>
    <x:row r="2233">
      <x:c r="A2233" s="1"/>
      <x:c r="B2233" s="1"/>
      <x:c r="C2233" s="1"/>
      <x:c r="D2233" s="1"/>
      <x:c r="E2233" s="1"/>
      <x:c r="F2233" s="1"/>
      <x:c r="G2233" s="1"/>
    </x:row>
    <x:row r="2234">
      <x:c r="A2234" s="1"/>
      <x:c r="B2234" s="1"/>
      <x:c r="C2234" s="1"/>
      <x:c r="D2234" s="1"/>
      <x:c r="E2234" s="1"/>
      <x:c r="F2234" s="1"/>
      <x:c r="G2234" s="1"/>
    </x:row>
    <x:row r="2235">
      <x:c r="A2235" s="1"/>
      <x:c r="B2235" s="1"/>
      <x:c r="C2235" s="1"/>
      <x:c r="D2235" s="1"/>
      <x:c r="E2235" s="1"/>
      <x:c r="F2235" s="1"/>
      <x:c r="G2235" s="1"/>
    </x:row>
    <x:row r="2236">
      <x:c r="A2236" s="1"/>
      <x:c r="B2236" s="1"/>
      <x:c r="C2236" s="1"/>
      <x:c r="D2236" s="1"/>
      <x:c r="E2236" s="1"/>
      <x:c r="F2236" s="1"/>
      <x:c r="G2236" s="1"/>
    </x:row>
    <x:row r="2237">
      <x:c r="A2237" s="1"/>
      <x:c r="B2237" s="1"/>
      <x:c r="C2237" s="1"/>
      <x:c r="D2237" s="1"/>
      <x:c r="E2237" s="1"/>
      <x:c r="F2237" s="1"/>
      <x:c r="G2237" s="1"/>
    </x:row>
    <x:row r="2238">
      <x:c r="A2238" s="1"/>
      <x:c r="B2238" s="1"/>
      <x:c r="C2238" s="1"/>
      <x:c r="D2238" s="1"/>
      <x:c r="E2238" s="1"/>
      <x:c r="F2238" s="1"/>
      <x:c r="G2238" s="1"/>
    </x:row>
    <x:row r="2239">
      <x:c r="A2239" s="1"/>
      <x:c r="B2239" s="1"/>
      <x:c r="C2239" s="1"/>
      <x:c r="D2239" s="1"/>
      <x:c r="E2239" s="1"/>
      <x:c r="F2239" s="1"/>
      <x:c r="G2239" s="1"/>
    </x:row>
    <x:row r="2240">
      <x:c r="A2240" s="1"/>
      <x:c r="B2240" s="1"/>
      <x:c r="C2240" s="1"/>
      <x:c r="D2240" s="1"/>
      <x:c r="E2240" s="1"/>
      <x:c r="F2240" s="1"/>
      <x:c r="G2240" s="1"/>
    </x:row>
    <x:row r="2241">
      <x:c r="A2241" s="1"/>
      <x:c r="B2241" s="1"/>
      <x:c r="C2241" s="1"/>
      <x:c r="D2241" s="1"/>
      <x:c r="E2241" s="1"/>
      <x:c r="F2241" s="1"/>
      <x:c r="G2241" s="1"/>
    </x:row>
    <x:row r="2242">
      <x:c r="A2242" s="1"/>
      <x:c r="B2242" s="1"/>
      <x:c r="C2242" s="1"/>
      <x:c r="D2242" s="1"/>
      <x:c r="E2242" s="1"/>
      <x:c r="F2242" s="1"/>
      <x:c r="G2242" s="1"/>
    </x:row>
    <x:row r="2243">
      <x:c r="A2243" s="1"/>
      <x:c r="B2243" s="1"/>
      <x:c r="C2243" s="1"/>
      <x:c r="D2243" s="1"/>
      <x:c r="E2243" s="1"/>
      <x:c r="F2243" s="1"/>
      <x:c r="G2243" s="1"/>
    </x:row>
    <x:row r="2244">
      <x:c r="A2244" s="1"/>
      <x:c r="B2244" s="1"/>
      <x:c r="C2244" s="1"/>
      <x:c r="D2244" s="1"/>
      <x:c r="E2244" s="1"/>
      <x:c r="F2244" s="1"/>
      <x:c r="G2244" s="1"/>
    </x:row>
    <x:row r="2245">
      <x:c r="A2245" s="1"/>
      <x:c r="B2245" s="1"/>
      <x:c r="C2245" s="1"/>
      <x:c r="D2245" s="1"/>
      <x:c r="E2245" s="1"/>
      <x:c r="F2245" s="1"/>
      <x:c r="G2245" s="1"/>
    </x:row>
    <x:row r="2246">
      <x:c r="A2246" s="1"/>
      <x:c r="B2246" s="1"/>
      <x:c r="C2246" s="1"/>
      <x:c r="D2246" s="1"/>
      <x:c r="E2246" s="1"/>
      <x:c r="F2246" s="1"/>
      <x:c r="G2246" s="1"/>
    </x:row>
    <x:row r="2247">
      <x:c r="A2247" s="1"/>
      <x:c r="B2247" s="1"/>
      <x:c r="C2247" s="1"/>
      <x:c r="D2247" s="1"/>
      <x:c r="E2247" s="1"/>
      <x:c r="F2247" s="1"/>
      <x:c r="G2247" s="1"/>
    </x:row>
    <x:row r="2248">
      <x:c r="A2248" s="1"/>
      <x:c r="B2248" s="1"/>
      <x:c r="C2248" s="1"/>
      <x:c r="D2248" s="1"/>
      <x:c r="E2248" s="1"/>
      <x:c r="F2248" s="1"/>
      <x:c r="G2248" s="1"/>
    </x:row>
    <x:row r="2249">
      <x:c r="A2249" s="1"/>
      <x:c r="B2249" s="1"/>
      <x:c r="C2249" s="1"/>
      <x:c r="D2249" s="1"/>
      <x:c r="E2249" s="1"/>
      <x:c r="F2249" s="1"/>
      <x:c r="G2249" s="1"/>
    </x:row>
    <x:row r="2250">
      <x:c r="A2250" s="1"/>
      <x:c r="B2250" s="1"/>
      <x:c r="C2250" s="1"/>
      <x:c r="D2250" s="1"/>
      <x:c r="E2250" s="1"/>
      <x:c r="F2250" s="1"/>
      <x:c r="G2250" s="1"/>
    </x:row>
    <x:row r="2251">
      <x:c r="A2251" s="1"/>
      <x:c r="B2251" s="1"/>
      <x:c r="C2251" s="1"/>
      <x:c r="D2251" s="1"/>
      <x:c r="E2251" s="1"/>
      <x:c r="F2251" s="1"/>
      <x:c r="G2251" s="1"/>
    </x:row>
    <x:row r="2252">
      <x:c r="A2252" s="1"/>
      <x:c r="B2252" s="1"/>
      <x:c r="C2252" s="1"/>
      <x:c r="D2252" s="1"/>
      <x:c r="E2252" s="1"/>
      <x:c r="F2252" s="1"/>
      <x:c r="G2252" s="1"/>
    </x:row>
    <x:row r="2253">
      <x:c r="A2253" s="1"/>
      <x:c r="B2253" s="1"/>
      <x:c r="C2253" s="1"/>
      <x:c r="D2253" s="1"/>
      <x:c r="E2253" s="1"/>
      <x:c r="F2253" s="1"/>
      <x:c r="G2253" s="1"/>
    </x:row>
    <x:row r="2254">
      <x:c r="A2254" s="1"/>
      <x:c r="B2254" s="1"/>
      <x:c r="C2254" s="1"/>
      <x:c r="D2254" s="1"/>
      <x:c r="E2254" s="1"/>
      <x:c r="F2254" s="1"/>
      <x:c r="G2254" s="1"/>
    </x:row>
    <x:row r="2255">
      <x:c r="A2255" s="1"/>
      <x:c r="B2255" s="1"/>
      <x:c r="C2255" s="1"/>
      <x:c r="D2255" s="1"/>
      <x:c r="E2255" s="1"/>
      <x:c r="F2255" s="1"/>
      <x:c r="G2255" s="1"/>
    </x:row>
    <x:row r="2256">
      <x:c r="A2256" s="1"/>
      <x:c r="B2256" s="1"/>
      <x:c r="C2256" s="1"/>
      <x:c r="D2256" s="1"/>
      <x:c r="E2256" s="1"/>
      <x:c r="F2256" s="1"/>
      <x:c r="G2256" s="1"/>
    </x:row>
    <x:row r="2257">
      <x:c r="A2257" s="1"/>
      <x:c r="B2257" s="1"/>
      <x:c r="C2257" s="1"/>
      <x:c r="D2257" s="1"/>
      <x:c r="E2257" s="1"/>
      <x:c r="F2257" s="1"/>
      <x:c r="G2257" s="1"/>
    </x:row>
    <x:row r="2258">
      <x:c r="A2258" s="1"/>
      <x:c r="B2258" s="1"/>
      <x:c r="C2258" s="1"/>
      <x:c r="D2258" s="1"/>
      <x:c r="E2258" s="1"/>
      <x:c r="F2258" s="1"/>
      <x:c r="G2258" s="1"/>
    </x:row>
    <x:row r="2259">
      <x:c r="A2259" s="1"/>
      <x:c r="B2259" s="1"/>
      <x:c r="C2259" s="1"/>
      <x:c r="D2259" s="1"/>
      <x:c r="E2259" s="1"/>
      <x:c r="F2259" s="1"/>
      <x:c r="G2259" s="1"/>
    </x:row>
    <x:row r="2260">
      <x:c r="A2260" s="1"/>
      <x:c r="B2260" s="1"/>
      <x:c r="C2260" s="1"/>
      <x:c r="D2260" s="1"/>
      <x:c r="E2260" s="1"/>
      <x:c r="F2260" s="1"/>
      <x:c r="G2260" s="1"/>
    </x:row>
    <x:row r="2261">
      <x:c r="A2261" s="1"/>
      <x:c r="B2261" s="1"/>
      <x:c r="C2261" s="1"/>
      <x:c r="D2261" s="1"/>
      <x:c r="E2261" s="1"/>
      <x:c r="F2261" s="1"/>
      <x:c r="G2261" s="1"/>
    </x:row>
    <x:row r="2262">
      <x:c r="A2262" s="1"/>
      <x:c r="B2262" s="1"/>
      <x:c r="C2262" s="1"/>
      <x:c r="D2262" s="1"/>
      <x:c r="E2262" s="1"/>
      <x:c r="F2262" s="1"/>
      <x:c r="G2262" s="1"/>
    </x:row>
    <x:row r="2263">
      <x:c r="A2263" s="1"/>
      <x:c r="B2263" s="1"/>
      <x:c r="C2263" s="1"/>
      <x:c r="D2263" s="1"/>
      <x:c r="E2263" s="1"/>
      <x:c r="F2263" s="1"/>
      <x:c r="G2263" s="1"/>
    </x:row>
    <x:row r="2264">
      <x:c r="A2264" s="1"/>
      <x:c r="B2264" s="1"/>
      <x:c r="C2264" s="1"/>
      <x:c r="D2264" s="1"/>
      <x:c r="E2264" s="1"/>
      <x:c r="F2264" s="1"/>
      <x:c r="G2264" s="1"/>
    </x:row>
    <x:row r="2265">
      <x:c r="A2265" s="1"/>
      <x:c r="B2265" s="1"/>
      <x:c r="C2265" s="1"/>
      <x:c r="D2265" s="1"/>
      <x:c r="E2265" s="1"/>
      <x:c r="F2265" s="1"/>
      <x:c r="G2265" s="1"/>
    </x:row>
    <x:row r="2266">
      <x:c r="A2266" s="1"/>
      <x:c r="B2266" s="1"/>
      <x:c r="C2266" s="1"/>
      <x:c r="D2266" s="1"/>
      <x:c r="E2266" s="1"/>
      <x:c r="F2266" s="1"/>
      <x:c r="G2266" s="1"/>
    </x:row>
    <x:row r="2267">
      <x:c r="A2267" s="1"/>
      <x:c r="B2267" s="1"/>
      <x:c r="C2267" s="1"/>
      <x:c r="D2267" s="1"/>
      <x:c r="E2267" s="1"/>
      <x:c r="F2267" s="1"/>
      <x:c r="G2267" s="1"/>
    </x:row>
    <x:row r="2268">
      <x:c r="A2268" s="1"/>
      <x:c r="B2268" s="1"/>
      <x:c r="C2268" s="1"/>
      <x:c r="D2268" s="1"/>
      <x:c r="E2268" s="1"/>
      <x:c r="F2268" s="1"/>
      <x:c r="G2268" s="1"/>
    </x:row>
    <x:row r="2269">
      <x:c r="A2269" s="1"/>
      <x:c r="B2269" s="1"/>
      <x:c r="C2269" s="1"/>
      <x:c r="D2269" s="1"/>
      <x:c r="E2269" s="1"/>
      <x:c r="F2269" s="1"/>
      <x:c r="G2269" s="1"/>
    </x:row>
    <x:row r="2270">
      <x:c r="A2270" s="1"/>
      <x:c r="B2270" s="1"/>
      <x:c r="C2270" s="1"/>
      <x:c r="D2270" s="1"/>
      <x:c r="E2270" s="1"/>
      <x:c r="F2270" s="1"/>
      <x:c r="G2270" s="1"/>
    </x:row>
    <x:row r="2271">
      <x:c r="A2271" s="1"/>
      <x:c r="B2271" s="1"/>
      <x:c r="C2271" s="1"/>
      <x:c r="D2271" s="1"/>
      <x:c r="E2271" s="1"/>
      <x:c r="F2271" s="1"/>
      <x:c r="G2271" s="1"/>
    </x:row>
    <x:row r="2272">
      <x:c r="A2272" s="1"/>
      <x:c r="B2272" s="1"/>
      <x:c r="C2272" s="1"/>
      <x:c r="D2272" s="1"/>
      <x:c r="E2272" s="1"/>
      <x:c r="F2272" s="1"/>
      <x:c r="G2272" s="1"/>
    </x:row>
    <x:row r="2273">
      <x:c r="A2273" s="1"/>
      <x:c r="B2273" s="1"/>
      <x:c r="C2273" s="1"/>
      <x:c r="D2273" s="1"/>
      <x:c r="E2273" s="1"/>
      <x:c r="F2273" s="1"/>
      <x:c r="G2273" s="1"/>
    </x:row>
    <x:row r="2274">
      <x:c r="A2274" s="1"/>
      <x:c r="B2274" s="1"/>
      <x:c r="C2274" s="1"/>
      <x:c r="D2274" s="1"/>
      <x:c r="E2274" s="1"/>
      <x:c r="F2274" s="1"/>
      <x:c r="G2274" s="1"/>
    </x:row>
    <x:row r="2275">
      <x:c r="A2275" s="1"/>
      <x:c r="B2275" s="1"/>
      <x:c r="C2275" s="1"/>
      <x:c r="D2275" s="1"/>
      <x:c r="E2275" s="1"/>
      <x:c r="F2275" s="1"/>
      <x:c r="G2275" s="1"/>
    </x:row>
    <x:row r="2276">
      <x:c r="A2276" s="1"/>
      <x:c r="B2276" s="1"/>
      <x:c r="C2276" s="1"/>
      <x:c r="D2276" s="1"/>
      <x:c r="E2276" s="1"/>
      <x:c r="F2276" s="1"/>
      <x:c r="G2276" s="1"/>
    </x:row>
    <x:row r="2277">
      <x:c r="A2277" s="1"/>
      <x:c r="B2277" s="1"/>
      <x:c r="C2277" s="1"/>
      <x:c r="D2277" s="1"/>
      <x:c r="E2277" s="1"/>
      <x:c r="F2277" s="1"/>
      <x:c r="G2277" s="1"/>
    </x:row>
    <x:row r="2278">
      <x:c r="A2278" s="1"/>
      <x:c r="B2278" s="1"/>
      <x:c r="C2278" s="1"/>
      <x:c r="D2278" s="1"/>
      <x:c r="E2278" s="1"/>
      <x:c r="F2278" s="1"/>
      <x:c r="G2278" s="1"/>
    </x:row>
    <x:row r="2279">
      <x:c r="A2279" s="1"/>
      <x:c r="B2279" s="1"/>
      <x:c r="C2279" s="1"/>
      <x:c r="D2279" s="1"/>
      <x:c r="E2279" s="1"/>
      <x:c r="F2279" s="1"/>
      <x:c r="G2279" s="1"/>
    </x:row>
    <x:row r="2280">
      <x:c r="A2280" s="1"/>
      <x:c r="B2280" s="1"/>
      <x:c r="C2280" s="1"/>
      <x:c r="D2280" s="1"/>
      <x:c r="E2280" s="1"/>
      <x:c r="F2280" s="1"/>
      <x:c r="G2280" s="1"/>
    </x:row>
    <x:row r="2281">
      <x:c r="A2281" s="1"/>
      <x:c r="B2281" s="1"/>
      <x:c r="C2281" s="1"/>
      <x:c r="D2281" s="1"/>
      <x:c r="E2281" s="1"/>
      <x:c r="F2281" s="1"/>
      <x:c r="G2281" s="1"/>
    </x:row>
    <x:row r="2282">
      <x:c r="A2282" s="1"/>
      <x:c r="B2282" s="1"/>
      <x:c r="C2282" s="1"/>
      <x:c r="D2282" s="1"/>
      <x:c r="E2282" s="1"/>
      <x:c r="F2282" s="1"/>
      <x:c r="G2282" s="1"/>
    </x:row>
    <x:row r="2283">
      <x:c r="A2283" s="1"/>
      <x:c r="B2283" s="1"/>
      <x:c r="C2283" s="1"/>
      <x:c r="D2283" s="1"/>
      <x:c r="E2283" s="1"/>
      <x:c r="F2283" s="1"/>
      <x:c r="G2283" s="1"/>
    </x:row>
    <x:row r="2284">
      <x:c r="A2284" s="1"/>
      <x:c r="B2284" s="1"/>
      <x:c r="C2284" s="1"/>
      <x:c r="D2284" s="1"/>
      <x:c r="E2284" s="1"/>
      <x:c r="F2284" s="1"/>
      <x:c r="G2284" s="1"/>
    </x:row>
    <x:row r="2285">
      <x:c r="A2285" s="1"/>
      <x:c r="B2285" s="1"/>
      <x:c r="C2285" s="1"/>
      <x:c r="D2285" s="1"/>
      <x:c r="E2285" s="1"/>
      <x:c r="F2285" s="1"/>
      <x:c r="G2285" s="1"/>
    </x:row>
    <x:row r="2286">
      <x:c r="A2286" s="1"/>
      <x:c r="B2286" s="1"/>
      <x:c r="C2286" s="1"/>
      <x:c r="D2286" s="1"/>
      <x:c r="E2286" s="1"/>
      <x:c r="F2286" s="1"/>
      <x:c r="G2286" s="1"/>
    </x:row>
    <x:row r="2287">
      <x:c r="A2287" s="1"/>
      <x:c r="B2287" s="1"/>
      <x:c r="C2287" s="1"/>
      <x:c r="D2287" s="1"/>
      <x:c r="E2287" s="1"/>
      <x:c r="F2287" s="1"/>
      <x:c r="G2287" s="1"/>
    </x:row>
    <x:row r="2288">
      <x:c r="A2288" s="1"/>
      <x:c r="B2288" s="1"/>
      <x:c r="C2288" s="1"/>
      <x:c r="D2288" s="1"/>
      <x:c r="E2288" s="1"/>
      <x:c r="F2288" s="1"/>
      <x:c r="G2288" s="1"/>
    </x:row>
    <x:row r="2289">
      <x:c r="A2289" s="1"/>
      <x:c r="B2289" s="1"/>
      <x:c r="C2289" s="1"/>
      <x:c r="D2289" s="1"/>
      <x:c r="E2289" s="1"/>
      <x:c r="F2289" s="1"/>
      <x:c r="G2289" s="1"/>
    </x:row>
    <x:row r="2290">
      <x:c r="A2290" s="1"/>
      <x:c r="B2290" s="1"/>
      <x:c r="C2290" s="1"/>
      <x:c r="D2290" s="1"/>
      <x:c r="E2290" s="1"/>
      <x:c r="F2290" s="1"/>
      <x:c r="G2290" s="1"/>
    </x:row>
    <x:row r="2291">
      <x:c r="A2291" s="1"/>
      <x:c r="B2291" s="1"/>
      <x:c r="C2291" s="1"/>
      <x:c r="D2291" s="1"/>
      <x:c r="E2291" s="1"/>
      <x:c r="F2291" s="1"/>
      <x:c r="G2291" s="1"/>
    </x:row>
    <x:row r="2292">
      <x:c r="A2292" s="1"/>
      <x:c r="B2292" s="1"/>
      <x:c r="C2292" s="1"/>
      <x:c r="D2292" s="1"/>
      <x:c r="E2292" s="1"/>
      <x:c r="F2292" s="1"/>
      <x:c r="G2292" s="1"/>
    </x:row>
    <x:row r="2293">
      <x:c r="A2293" s="1"/>
      <x:c r="B2293" s="1"/>
      <x:c r="C2293" s="1"/>
      <x:c r="D2293" s="1"/>
      <x:c r="E2293" s="1"/>
      <x:c r="F2293" s="1"/>
      <x:c r="G2293" s="1"/>
    </x:row>
    <x:row r="2294">
      <x:c r="A2294" s="1"/>
      <x:c r="B2294" s="1"/>
      <x:c r="C2294" s="1"/>
      <x:c r="D2294" s="1"/>
      <x:c r="E2294" s="1"/>
      <x:c r="F2294" s="1"/>
      <x:c r="G2294" s="1"/>
    </x:row>
    <x:row r="2295">
      <x:c r="A2295" s="1"/>
      <x:c r="B2295" s="1"/>
      <x:c r="C2295" s="1"/>
      <x:c r="D2295" s="1"/>
      <x:c r="E2295" s="1"/>
      <x:c r="F2295" s="1"/>
      <x:c r="G2295" s="1"/>
    </x:row>
    <x:row r="2296">
      <x:c r="A2296" s="1"/>
      <x:c r="B2296" s="1"/>
      <x:c r="C2296" s="1"/>
      <x:c r="D2296" s="1"/>
      <x:c r="E2296" s="1"/>
      <x:c r="F2296" s="1"/>
      <x:c r="G2296" s="1"/>
    </x:row>
    <x:row r="2297">
      <x:c r="A2297" s="1"/>
      <x:c r="B2297" s="1"/>
      <x:c r="C2297" s="1"/>
      <x:c r="D2297" s="1"/>
      <x:c r="E2297" s="1"/>
      <x:c r="F2297" s="1"/>
      <x:c r="G2297" s="1"/>
    </x:row>
    <x:row r="2298">
      <x:c r="A2298" s="1"/>
      <x:c r="B2298" s="1"/>
      <x:c r="C2298" s="1"/>
      <x:c r="D2298" s="1"/>
      <x:c r="E2298" s="1"/>
      <x:c r="F2298" s="1"/>
      <x:c r="G2298" s="1"/>
    </x:row>
    <x:row r="2299">
      <x:c r="A2299" s="1"/>
      <x:c r="B2299" s="1"/>
      <x:c r="C2299" s="1"/>
      <x:c r="D2299" s="1"/>
      <x:c r="E2299" s="1"/>
      <x:c r="F2299" s="1"/>
      <x:c r="G2299" s="1"/>
    </x:row>
    <x:row r="2300">
      <x:c r="A2300" s="1"/>
      <x:c r="B2300" s="1"/>
      <x:c r="C2300" s="1"/>
      <x:c r="D2300" s="1"/>
      <x:c r="E2300" s="1"/>
      <x:c r="F2300" s="1"/>
      <x:c r="G2300" s="1"/>
    </x:row>
    <x:row r="2301">
      <x:c r="A2301" s="1"/>
      <x:c r="B2301" s="1"/>
      <x:c r="C2301" s="1"/>
      <x:c r="D2301" s="1"/>
      <x:c r="E2301" s="1"/>
      <x:c r="F2301" s="1"/>
      <x:c r="G2301" s="1"/>
    </x:row>
    <x:row r="2302">
      <x:c r="A2302" s="1"/>
      <x:c r="B2302" s="1"/>
      <x:c r="C2302" s="1"/>
      <x:c r="D2302" s="1"/>
      <x:c r="E2302" s="1"/>
      <x:c r="F2302" s="1"/>
      <x:c r="G2302" s="1"/>
    </x:row>
    <x:row r="2303">
      <x:c r="A2303" s="1"/>
      <x:c r="B2303" s="1"/>
      <x:c r="C2303" s="1"/>
      <x:c r="D2303" s="1"/>
      <x:c r="E2303" s="1"/>
      <x:c r="F2303" s="1"/>
      <x:c r="G2303" s="1"/>
    </x:row>
    <x:row r="2304">
      <x:c r="A2304" s="1"/>
      <x:c r="B2304" s="1"/>
      <x:c r="C2304" s="1"/>
      <x:c r="D2304" s="1"/>
      <x:c r="E2304" s="1"/>
      <x:c r="F2304" s="1"/>
      <x:c r="G2304" s="1"/>
    </x:row>
    <x:row r="2305">
      <x:c r="A2305" s="1"/>
      <x:c r="B2305" s="1"/>
      <x:c r="C2305" s="1"/>
      <x:c r="D2305" s="1"/>
      <x:c r="E2305" s="1"/>
      <x:c r="F2305" s="1"/>
      <x:c r="G2305" s="1"/>
    </x:row>
    <x:row r="2306">
      <x:c r="A2306" s="1"/>
      <x:c r="B2306" s="1"/>
      <x:c r="C2306" s="1"/>
      <x:c r="D2306" s="1"/>
      <x:c r="E2306" s="1"/>
      <x:c r="F2306" s="1"/>
      <x:c r="G2306" s="1"/>
    </x:row>
    <x:row r="2307">
      <x:c r="A2307" s="1"/>
      <x:c r="B2307" s="1"/>
      <x:c r="C2307" s="1"/>
      <x:c r="D2307" s="1"/>
      <x:c r="E2307" s="1"/>
      <x:c r="F2307" s="1"/>
      <x:c r="G2307" s="1"/>
    </x:row>
    <x:row r="2308">
      <x:c r="A2308" s="1"/>
      <x:c r="B2308" s="1"/>
      <x:c r="C2308" s="1"/>
      <x:c r="D2308" s="1"/>
      <x:c r="E2308" s="1"/>
      <x:c r="F2308" s="1"/>
      <x:c r="G2308" s="1"/>
    </x:row>
    <x:row r="2309">
      <x:c r="A2309" s="1"/>
      <x:c r="B2309" s="1"/>
      <x:c r="C2309" s="1"/>
      <x:c r="D2309" s="1"/>
      <x:c r="E2309" s="1"/>
      <x:c r="F2309" s="1"/>
      <x:c r="G2309" s="1"/>
    </x:row>
    <x:row r="2310">
      <x:c r="A2310" s="1"/>
      <x:c r="B2310" s="1"/>
      <x:c r="C2310" s="1"/>
      <x:c r="D2310" s="1"/>
      <x:c r="E2310" s="1"/>
      <x:c r="F2310" s="1"/>
      <x:c r="G2310" s="1"/>
    </x:row>
    <x:row r="2311">
      <x:c r="A2311" s="1"/>
      <x:c r="B2311" s="1"/>
      <x:c r="C2311" s="1"/>
      <x:c r="D2311" s="1"/>
      <x:c r="E2311" s="1"/>
      <x:c r="F2311" s="1"/>
      <x:c r="G2311" s="1"/>
    </x:row>
    <x:row r="2312">
      <x:c r="A2312" s="1"/>
      <x:c r="B2312" s="1"/>
      <x:c r="C2312" s="1"/>
      <x:c r="D2312" s="1"/>
      <x:c r="E2312" s="1"/>
      <x:c r="F2312" s="1"/>
      <x:c r="G2312" s="1"/>
    </x:row>
    <x:row r="2313">
      <x:c r="A2313" s="1"/>
      <x:c r="B2313" s="1"/>
      <x:c r="C2313" s="1"/>
      <x:c r="D2313" s="1"/>
      <x:c r="E2313" s="1"/>
      <x:c r="F2313" s="1"/>
      <x:c r="G2313" s="1"/>
    </x:row>
    <x:row r="2314">
      <x:c r="A2314" s="1"/>
      <x:c r="B2314" s="1"/>
      <x:c r="C2314" s="1"/>
      <x:c r="D2314" s="1"/>
      <x:c r="E2314" s="1"/>
      <x:c r="F2314" s="1"/>
      <x:c r="G2314" s="1"/>
    </x:row>
    <x:row r="2315">
      <x:c r="A2315" s="1"/>
      <x:c r="B2315" s="1"/>
      <x:c r="C2315" s="1"/>
      <x:c r="D2315" s="1"/>
      <x:c r="E2315" s="1"/>
      <x:c r="F2315" s="1"/>
      <x:c r="G2315" s="1"/>
    </x:row>
    <x:row r="2316">
      <x:c r="A2316" s="1"/>
      <x:c r="B2316" s="1"/>
      <x:c r="C2316" s="1"/>
      <x:c r="D2316" s="1"/>
      <x:c r="E2316" s="1"/>
      <x:c r="F2316" s="1"/>
      <x:c r="G2316" s="1"/>
    </x:row>
    <x:row r="2317">
      <x:c r="A2317" s="1"/>
      <x:c r="B2317" s="1"/>
      <x:c r="C2317" s="1"/>
      <x:c r="D2317" s="1"/>
      <x:c r="E2317" s="1"/>
      <x:c r="F2317" s="1"/>
      <x:c r="G2317" s="1"/>
    </x:row>
    <x:row r="2318">
      <x:c r="A2318" s="1"/>
      <x:c r="B2318" s="1"/>
      <x:c r="C2318" s="1"/>
      <x:c r="D2318" s="1"/>
      <x:c r="E2318" s="1"/>
      <x:c r="F2318" s="1"/>
      <x:c r="G2318" s="1"/>
    </x:row>
    <x:row r="2319">
      <x:c r="A2319" s="1"/>
      <x:c r="B2319" s="1"/>
      <x:c r="C2319" s="1"/>
      <x:c r="D2319" s="1"/>
      <x:c r="E2319" s="1"/>
      <x:c r="F2319" s="1"/>
      <x:c r="G2319" s="1"/>
    </x:row>
    <x:row r="2320">
      <x:c r="A2320" s="1"/>
      <x:c r="B2320" s="1"/>
      <x:c r="C2320" s="1"/>
      <x:c r="D2320" s="1"/>
      <x:c r="E2320" s="1"/>
      <x:c r="F2320" s="1"/>
      <x:c r="G2320" s="1"/>
    </x:row>
    <x:row r="2321">
      <x:c r="A2321" s="1"/>
      <x:c r="B2321" s="1"/>
      <x:c r="C2321" s="1"/>
      <x:c r="D2321" s="1"/>
      <x:c r="E2321" s="1"/>
      <x:c r="F2321" s="1"/>
      <x:c r="G2321" s="1"/>
    </x:row>
    <x:row r="2322">
      <x:c r="A2322" s="1"/>
      <x:c r="B2322" s="1"/>
      <x:c r="C2322" s="1"/>
      <x:c r="D2322" s="1"/>
      <x:c r="E2322" s="1"/>
      <x:c r="F2322" s="1"/>
      <x:c r="G2322" s="1"/>
    </x:row>
    <x:row r="2323">
      <x:c r="A2323" s="1"/>
      <x:c r="B2323" s="1"/>
      <x:c r="C2323" s="1"/>
      <x:c r="D2323" s="1"/>
      <x:c r="E2323" s="1"/>
      <x:c r="F2323" s="1"/>
      <x:c r="G2323" s="1"/>
    </x:row>
    <x:row r="2324">
      <x:c r="A2324" s="1"/>
      <x:c r="B2324" s="1"/>
      <x:c r="C2324" s="1"/>
      <x:c r="D2324" s="1"/>
      <x:c r="E2324" s="1"/>
      <x:c r="F2324" s="1"/>
      <x:c r="G2324" s="1"/>
    </x:row>
    <x:row r="2325">
      <x:c r="A2325" s="1"/>
      <x:c r="B2325" s="1"/>
      <x:c r="C2325" s="1"/>
      <x:c r="D2325" s="1"/>
      <x:c r="E2325" s="1"/>
      <x:c r="F2325" s="1"/>
      <x:c r="G2325" s="1"/>
    </x:row>
    <x:row r="2326">
      <x:c r="A2326" s="1"/>
      <x:c r="B2326" s="1"/>
      <x:c r="C2326" s="1"/>
      <x:c r="D2326" s="1"/>
      <x:c r="E2326" s="1"/>
      <x:c r="F2326" s="1"/>
      <x:c r="G2326" s="1"/>
    </x:row>
    <x:row r="2327">
      <x:c r="A2327" s="1"/>
      <x:c r="B2327" s="1"/>
      <x:c r="C2327" s="1"/>
      <x:c r="D2327" s="1"/>
      <x:c r="E2327" s="1"/>
      <x:c r="F2327" s="1"/>
      <x:c r="G2327" s="1"/>
    </x:row>
    <x:row r="2328">
      <x:c r="A2328" s="1"/>
      <x:c r="B2328" s="1"/>
      <x:c r="C2328" s="1"/>
      <x:c r="D2328" s="1"/>
      <x:c r="E2328" s="1"/>
      <x:c r="F2328" s="1"/>
      <x:c r="G2328" s="1"/>
    </x:row>
    <x:row r="2329">
      <x:c r="A2329" s="1"/>
      <x:c r="B2329" s="1"/>
      <x:c r="C2329" s="1"/>
      <x:c r="D2329" s="1"/>
      <x:c r="E2329" s="1"/>
      <x:c r="F2329" s="1"/>
      <x:c r="G2329" s="1"/>
    </x:row>
    <x:row r="2330">
      <x:c r="A2330" s="1"/>
      <x:c r="B2330" s="1"/>
      <x:c r="C2330" s="1"/>
      <x:c r="D2330" s="1"/>
      <x:c r="E2330" s="1"/>
      <x:c r="F2330" s="1"/>
      <x:c r="G2330" s="1"/>
    </x:row>
    <x:row r="2331">
      <x:c r="A2331" s="1"/>
      <x:c r="B2331" s="1"/>
      <x:c r="C2331" s="1"/>
      <x:c r="D2331" s="1"/>
      <x:c r="E2331" s="1"/>
      <x:c r="F2331" s="1"/>
      <x:c r="G2331" s="1"/>
    </x:row>
    <x:row r="2332">
      <x:c r="A2332" s="1"/>
      <x:c r="B2332" s="1"/>
      <x:c r="C2332" s="1"/>
      <x:c r="D2332" s="1"/>
      <x:c r="E2332" s="1"/>
      <x:c r="F2332" s="1"/>
      <x:c r="G2332" s="1"/>
    </x:row>
    <x:row r="2333">
      <x:c r="A2333" s="1"/>
      <x:c r="B2333" s="1"/>
      <x:c r="C2333" s="1"/>
      <x:c r="D2333" s="1"/>
      <x:c r="E2333" s="1"/>
      <x:c r="F2333" s="1"/>
      <x:c r="G2333" s="1"/>
    </x:row>
    <x:row r="2334">
      <x:c r="A2334" s="1"/>
      <x:c r="B2334" s="1"/>
      <x:c r="C2334" s="1"/>
      <x:c r="D2334" s="1"/>
      <x:c r="E2334" s="1"/>
      <x:c r="F2334" s="1"/>
      <x:c r="G2334" s="1"/>
    </x:row>
    <x:row r="2335">
      <x:c r="A2335" s="1"/>
      <x:c r="B2335" s="1"/>
      <x:c r="C2335" s="1"/>
      <x:c r="D2335" s="1"/>
      <x:c r="E2335" s="1"/>
      <x:c r="F2335" s="1"/>
      <x:c r="G2335" s="1"/>
    </x:row>
    <x:row r="2336">
      <x:c r="A2336" s="1"/>
      <x:c r="B2336" s="1"/>
      <x:c r="C2336" s="1"/>
      <x:c r="D2336" s="1"/>
      <x:c r="E2336" s="1"/>
      <x:c r="F2336" s="1"/>
      <x:c r="G2336" s="1"/>
    </x:row>
    <x:row r="2337">
      <x:c r="A2337" s="1"/>
      <x:c r="B2337" s="1"/>
      <x:c r="C2337" s="1"/>
      <x:c r="D2337" s="1"/>
      <x:c r="E2337" s="1"/>
      <x:c r="F2337" s="1"/>
      <x:c r="G2337" s="1"/>
    </x:row>
    <x:row r="2338">
      <x:c r="A2338" s="1"/>
      <x:c r="B2338" s="1"/>
      <x:c r="C2338" s="1"/>
      <x:c r="D2338" s="1"/>
      <x:c r="E2338" s="1"/>
      <x:c r="F2338" s="1"/>
      <x:c r="G2338" s="1"/>
    </x:row>
    <x:row r="2339">
      <x:c r="A2339" s="1"/>
      <x:c r="B2339" s="1"/>
      <x:c r="C2339" s="1"/>
      <x:c r="D2339" s="1"/>
      <x:c r="E2339" s="1"/>
      <x:c r="F2339" s="1"/>
      <x:c r="G2339" s="1"/>
    </x:row>
    <x:row r="2340">
      <x:c r="A2340" s="1"/>
      <x:c r="B2340" s="1"/>
      <x:c r="C2340" s="1"/>
      <x:c r="D2340" s="1"/>
      <x:c r="E2340" s="1"/>
      <x:c r="F2340" s="1"/>
      <x:c r="G2340" s="1"/>
    </x:row>
    <x:row r="2341">
      <x:c r="A2341" s="1"/>
      <x:c r="B2341" s="1"/>
      <x:c r="C2341" s="1"/>
      <x:c r="D2341" s="1"/>
      <x:c r="E2341" s="1"/>
      <x:c r="F2341" s="1"/>
      <x:c r="G2341" s="1"/>
    </x:row>
    <x:row r="2342">
      <x:c r="A2342" s="1"/>
      <x:c r="B2342" s="1"/>
      <x:c r="C2342" s="1"/>
      <x:c r="D2342" s="1"/>
      <x:c r="E2342" s="1"/>
      <x:c r="F2342" s="1"/>
      <x:c r="G2342" s="1"/>
    </x:row>
    <x:row r="2343">
      <x:c r="A2343" s="1"/>
      <x:c r="B2343" s="1"/>
      <x:c r="C2343" s="1"/>
      <x:c r="D2343" s="1"/>
      <x:c r="E2343" s="1"/>
      <x:c r="F2343" s="1"/>
      <x:c r="G2343" s="1"/>
    </x:row>
    <x:row r="2344">
      <x:c r="A2344" s="1"/>
      <x:c r="B2344" s="1"/>
      <x:c r="C2344" s="1"/>
      <x:c r="D2344" s="1"/>
      <x:c r="E2344" s="1"/>
      <x:c r="F2344" s="1"/>
      <x:c r="G2344" s="1"/>
    </x:row>
    <x:row r="2345">
      <x:c r="A2345" s="1"/>
      <x:c r="B2345" s="1"/>
      <x:c r="C2345" s="1"/>
      <x:c r="D2345" s="1"/>
      <x:c r="E2345" s="1"/>
      <x:c r="F2345" s="1"/>
      <x:c r="G2345" s="1"/>
    </x:row>
    <x:row r="2346">
      <x:c r="A2346" s="1"/>
      <x:c r="B2346" s="1"/>
      <x:c r="C2346" s="1"/>
      <x:c r="D2346" s="1"/>
      <x:c r="E2346" s="1"/>
      <x:c r="F2346" s="1"/>
      <x:c r="G2346" s="1"/>
    </x:row>
    <x:row r="2347">
      <x:c r="A2347" s="1"/>
      <x:c r="B2347" s="1"/>
      <x:c r="C2347" s="1"/>
      <x:c r="D2347" s="1"/>
      <x:c r="E2347" s="1"/>
      <x:c r="F2347" s="1"/>
      <x:c r="G2347" s="1"/>
    </x:row>
    <x:row r="2348">
      <x:c r="A2348" s="1"/>
      <x:c r="B2348" s="1"/>
      <x:c r="C2348" s="1"/>
      <x:c r="D2348" s="1"/>
      <x:c r="E2348" s="1"/>
      <x:c r="F2348" s="1"/>
      <x:c r="G2348" s="1"/>
    </x:row>
    <x:row r="2349">
      <x:c r="A2349" s="1"/>
      <x:c r="B2349" s="1"/>
      <x:c r="C2349" s="1"/>
      <x:c r="D2349" s="1"/>
      <x:c r="E2349" s="1"/>
      <x:c r="F2349" s="1"/>
      <x:c r="G2349" s="1"/>
    </x:row>
    <x:row r="2350">
      <x:c r="A2350" s="1"/>
      <x:c r="B2350" s="1"/>
      <x:c r="C2350" s="1"/>
      <x:c r="D2350" s="1"/>
      <x:c r="E2350" s="1"/>
      <x:c r="F2350" s="1"/>
      <x:c r="G2350" s="1"/>
    </x:row>
    <x:row r="2351">
      <x:c r="A2351" s="1"/>
      <x:c r="B2351" s="1"/>
      <x:c r="C2351" s="1"/>
      <x:c r="D2351" s="1"/>
      <x:c r="E2351" s="1"/>
      <x:c r="F2351" s="1"/>
      <x:c r="G2351" s="1"/>
    </x:row>
    <x:row r="2352">
      <x:c r="A2352" s="1"/>
      <x:c r="B2352" s="1"/>
      <x:c r="C2352" s="1"/>
      <x:c r="D2352" s="1"/>
      <x:c r="E2352" s="1"/>
      <x:c r="F2352" s="1"/>
      <x:c r="G2352" s="1"/>
    </x:row>
    <x:row r="2353">
      <x:c r="A2353" s="1"/>
      <x:c r="B2353" s="1"/>
      <x:c r="C2353" s="1"/>
      <x:c r="D2353" s="1"/>
      <x:c r="E2353" s="1"/>
      <x:c r="F2353" s="1"/>
      <x:c r="G2353" s="1"/>
    </x:row>
    <x:row r="2354">
      <x:c r="A2354" s="1"/>
      <x:c r="B2354" s="1"/>
      <x:c r="C2354" s="1"/>
      <x:c r="D2354" s="1"/>
      <x:c r="E2354" s="1"/>
      <x:c r="F2354" s="1"/>
      <x:c r="G2354" s="1"/>
    </x:row>
    <x:row r="2355">
      <x:c r="A2355" s="1"/>
      <x:c r="B2355" s="1"/>
      <x:c r="C2355" s="1"/>
      <x:c r="D2355" s="1"/>
      <x:c r="E2355" s="1"/>
      <x:c r="F2355" s="1"/>
      <x:c r="G2355" s="1"/>
    </x:row>
    <x:row r="2356">
      <x:c r="A2356" s="1"/>
      <x:c r="B2356" s="1"/>
      <x:c r="C2356" s="1"/>
      <x:c r="D2356" s="1"/>
      <x:c r="E2356" s="1"/>
      <x:c r="F2356" s="1"/>
      <x:c r="G2356" s="1"/>
    </x:row>
    <x:row r="2357">
      <x:c r="A2357" s="1"/>
      <x:c r="B2357" s="1"/>
      <x:c r="C2357" s="1"/>
      <x:c r="D2357" s="1"/>
      <x:c r="E2357" s="1"/>
      <x:c r="F2357" s="1"/>
      <x:c r="G2357" s="1"/>
    </x:row>
    <x:row r="2358">
      <x:c r="A2358" s="1"/>
      <x:c r="B2358" s="1"/>
      <x:c r="C2358" s="1"/>
      <x:c r="D2358" s="1"/>
      <x:c r="E2358" s="1"/>
      <x:c r="F2358" s="1"/>
      <x:c r="G2358" s="1"/>
    </x:row>
    <x:row r="2359">
      <x:c r="A2359" s="1"/>
      <x:c r="B2359" s="1"/>
      <x:c r="C2359" s="1"/>
      <x:c r="D2359" s="1"/>
      <x:c r="E2359" s="1"/>
      <x:c r="F2359" s="1"/>
      <x:c r="G2359" s="1"/>
    </x:row>
    <x:row r="2360">
      <x:c r="A2360" s="1"/>
      <x:c r="B2360" s="1"/>
      <x:c r="C2360" s="1"/>
      <x:c r="D2360" s="1"/>
      <x:c r="E2360" s="1"/>
      <x:c r="F2360" s="1"/>
      <x:c r="G2360" s="1"/>
    </x:row>
    <x:row r="2361">
      <x:c r="A2361" s="1"/>
      <x:c r="B2361" s="1"/>
      <x:c r="C2361" s="1"/>
      <x:c r="D2361" s="1"/>
      <x:c r="E2361" s="1"/>
      <x:c r="F2361" s="1"/>
      <x:c r="G2361" s="1"/>
    </x:row>
    <x:row r="2362">
      <x:c r="A2362" s="1"/>
      <x:c r="B2362" s="1"/>
      <x:c r="C2362" s="1"/>
      <x:c r="D2362" s="1"/>
      <x:c r="E2362" s="1"/>
      <x:c r="F2362" s="1"/>
      <x:c r="G2362" s="1"/>
    </x:row>
    <x:row r="2363">
      <x:c r="A2363" s="1"/>
      <x:c r="B2363" s="1"/>
      <x:c r="C2363" s="1"/>
      <x:c r="D2363" s="1"/>
      <x:c r="E2363" s="1"/>
      <x:c r="F2363" s="1"/>
      <x:c r="G2363" s="1"/>
    </x:row>
    <x:row r="2364">
      <x:c r="A2364" s="1"/>
      <x:c r="B2364" s="1"/>
      <x:c r="C2364" s="1"/>
      <x:c r="D2364" s="1"/>
      <x:c r="E2364" s="1"/>
      <x:c r="F2364" s="1"/>
      <x:c r="G2364" s="1"/>
    </x:row>
    <x:row r="2365">
      <x:c r="A2365" s="1"/>
      <x:c r="B2365" s="1"/>
      <x:c r="C2365" s="1"/>
      <x:c r="D2365" s="1"/>
      <x:c r="E2365" s="1"/>
      <x:c r="F2365" s="1"/>
      <x:c r="G2365" s="1"/>
    </x:row>
    <x:row r="2366">
      <x:c r="A2366" s="1"/>
      <x:c r="B2366" s="1"/>
      <x:c r="C2366" s="1"/>
      <x:c r="D2366" s="1"/>
      <x:c r="E2366" s="1"/>
      <x:c r="F2366" s="1"/>
      <x:c r="G2366" s="1"/>
    </x:row>
    <x:row r="2367">
      <x:c r="A2367" s="1"/>
      <x:c r="B2367" s="1"/>
      <x:c r="C2367" s="1"/>
      <x:c r="D2367" s="1"/>
      <x:c r="E2367" s="1"/>
      <x:c r="F2367" s="1"/>
      <x:c r="G2367" s="1"/>
    </x:row>
    <x:row r="2368">
      <x:c r="A2368" s="1"/>
      <x:c r="B2368" s="1"/>
      <x:c r="C2368" s="1"/>
      <x:c r="D2368" s="1"/>
      <x:c r="E2368" s="1"/>
      <x:c r="F2368" s="1"/>
      <x:c r="G2368" s="1"/>
    </x:row>
    <x:row r="2369">
      <x:c r="A2369" s="1"/>
      <x:c r="B2369" s="1"/>
      <x:c r="C2369" s="1"/>
      <x:c r="D2369" s="1"/>
      <x:c r="E2369" s="1"/>
      <x:c r="F2369" s="1"/>
      <x:c r="G2369" s="1"/>
    </x:row>
    <x:row r="2370">
      <x:c r="A2370" s="1"/>
      <x:c r="B2370" s="1"/>
      <x:c r="C2370" s="1"/>
      <x:c r="D2370" s="1"/>
      <x:c r="E2370" s="1"/>
      <x:c r="F2370" s="1"/>
      <x:c r="G2370" s="1"/>
    </x:row>
    <x:row r="2371">
      <x:c r="A2371" s="1"/>
      <x:c r="B2371" s="1"/>
      <x:c r="C2371" s="1"/>
      <x:c r="D2371" s="1"/>
      <x:c r="E2371" s="1"/>
      <x:c r="F2371" s="1"/>
      <x:c r="G2371" s="1"/>
    </x:row>
    <x:row r="2372">
      <x:c r="A2372" s="1"/>
      <x:c r="B2372" s="1"/>
      <x:c r="C2372" s="1"/>
      <x:c r="D2372" s="1"/>
      <x:c r="E2372" s="1"/>
      <x:c r="F2372" s="1"/>
      <x:c r="G2372" s="1"/>
    </x:row>
    <x:row r="2373">
      <x:c r="A2373" s="1"/>
      <x:c r="B2373" s="1"/>
      <x:c r="C2373" s="1"/>
      <x:c r="D2373" s="1"/>
      <x:c r="E2373" s="1"/>
      <x:c r="F2373" s="1"/>
      <x:c r="G2373" s="1"/>
    </x:row>
    <x:row r="2374">
      <x:c r="A2374" s="1"/>
      <x:c r="B2374" s="1"/>
      <x:c r="C2374" s="1"/>
      <x:c r="D2374" s="1"/>
      <x:c r="E2374" s="1"/>
      <x:c r="F2374" s="1"/>
      <x:c r="G2374" s="1"/>
    </x:row>
    <x:row r="2375">
      <x:c r="A2375" s="1"/>
      <x:c r="B2375" s="1"/>
      <x:c r="C2375" s="1"/>
      <x:c r="D2375" s="1"/>
      <x:c r="E2375" s="1"/>
      <x:c r="F2375" s="1"/>
      <x:c r="G2375" s="1"/>
    </x:row>
    <x:row r="2376">
      <x:c r="A2376" s="1"/>
      <x:c r="B2376" s="1"/>
      <x:c r="C2376" s="1"/>
      <x:c r="D2376" s="1"/>
      <x:c r="E2376" s="1"/>
      <x:c r="F2376" s="1"/>
      <x:c r="G2376" s="1"/>
    </x:row>
    <x:row r="2377">
      <x:c r="A2377" s="1"/>
      <x:c r="B2377" s="1"/>
      <x:c r="C2377" s="1"/>
      <x:c r="D2377" s="1"/>
      <x:c r="E2377" s="1"/>
      <x:c r="F2377" s="1"/>
      <x:c r="G2377" s="1"/>
    </x:row>
    <x:row r="2378">
      <x:c r="A2378" s="1"/>
      <x:c r="B2378" s="1"/>
      <x:c r="C2378" s="1"/>
      <x:c r="D2378" s="1"/>
      <x:c r="E2378" s="1"/>
      <x:c r="F2378" s="1"/>
      <x:c r="G2378" s="1"/>
    </x:row>
    <x:row r="2379">
      <x:c r="A2379" s="1"/>
      <x:c r="B2379" s="1"/>
      <x:c r="C2379" s="1"/>
      <x:c r="D2379" s="1"/>
      <x:c r="E2379" s="1"/>
      <x:c r="F2379" s="1"/>
      <x:c r="G2379" s="1"/>
    </x:row>
    <x:row r="2380">
      <x:c r="A2380" s="1"/>
      <x:c r="B2380" s="1"/>
      <x:c r="C2380" s="1"/>
      <x:c r="D2380" s="1"/>
      <x:c r="E2380" s="1"/>
      <x:c r="F2380" s="1"/>
      <x:c r="G2380" s="1"/>
    </x:row>
    <x:row r="2381">
      <x:c r="A2381" s="1"/>
      <x:c r="B2381" s="1"/>
      <x:c r="C2381" s="1"/>
      <x:c r="D2381" s="1"/>
      <x:c r="E2381" s="1"/>
      <x:c r="F2381" s="1"/>
      <x:c r="G2381" s="1"/>
    </x:row>
    <x:row r="2382">
      <x:c r="A2382" s="1"/>
      <x:c r="B2382" s="1"/>
      <x:c r="C2382" s="1"/>
      <x:c r="D2382" s="1"/>
      <x:c r="E2382" s="1"/>
      <x:c r="F2382" s="1"/>
      <x:c r="G2382" s="1"/>
    </x:row>
    <x:row r="2383">
      <x:c r="A2383" s="1"/>
      <x:c r="B2383" s="1"/>
      <x:c r="C2383" s="1"/>
      <x:c r="D2383" s="1"/>
      <x:c r="E2383" s="1"/>
      <x:c r="F2383" s="1"/>
      <x:c r="G2383" s="1"/>
    </x:row>
    <x:row r="2384">
      <x:c r="A2384" s="1"/>
      <x:c r="B2384" s="1"/>
      <x:c r="C2384" s="1"/>
      <x:c r="D2384" s="1"/>
      <x:c r="E2384" s="1"/>
      <x:c r="F2384" s="1"/>
      <x:c r="G2384" s="1"/>
    </x:row>
    <x:row r="2385">
      <x:c r="A2385" s="1"/>
      <x:c r="B2385" s="1"/>
      <x:c r="C2385" s="1"/>
      <x:c r="D2385" s="1"/>
      <x:c r="E2385" s="1"/>
      <x:c r="F2385" s="1"/>
      <x:c r="G2385" s="1"/>
    </x:row>
    <x:row r="2386">
      <x:c r="A2386" s="1"/>
      <x:c r="B2386" s="1"/>
      <x:c r="C2386" s="1"/>
      <x:c r="D2386" s="1"/>
      <x:c r="E2386" s="1"/>
      <x:c r="F2386" s="1"/>
      <x:c r="G2386" s="1"/>
    </x:row>
    <x:row r="2387">
      <x:c r="A2387" s="1"/>
      <x:c r="B2387" s="1"/>
      <x:c r="C2387" s="1"/>
      <x:c r="D2387" s="1"/>
      <x:c r="E2387" s="1"/>
      <x:c r="F2387" s="1"/>
      <x:c r="G2387" s="1"/>
    </x:row>
    <x:row r="2388">
      <x:c r="A2388" s="1"/>
      <x:c r="B2388" s="1"/>
      <x:c r="C2388" s="1"/>
      <x:c r="D2388" s="1"/>
      <x:c r="E2388" s="1"/>
      <x:c r="F2388" s="1"/>
      <x:c r="G2388" s="1"/>
    </x:row>
    <x:row r="2389">
      <x:c r="A2389" s="1"/>
      <x:c r="B2389" s="1"/>
      <x:c r="C2389" s="1"/>
      <x:c r="D2389" s="1"/>
      <x:c r="E2389" s="1"/>
      <x:c r="F2389" s="1"/>
      <x:c r="G2389" s="1"/>
    </x:row>
    <x:row r="2390">
      <x:c r="A2390" s="1"/>
      <x:c r="B2390" s="1"/>
      <x:c r="C2390" s="1"/>
      <x:c r="D2390" s="1"/>
      <x:c r="E2390" s="1"/>
      <x:c r="F2390" s="1"/>
      <x:c r="G2390" s="1"/>
    </x:row>
    <x:row r="2391">
      <x:c r="A2391" s="1"/>
      <x:c r="B2391" s="1"/>
      <x:c r="C2391" s="1"/>
      <x:c r="D2391" s="1"/>
      <x:c r="E2391" s="1"/>
      <x:c r="F2391" s="1"/>
      <x:c r="G2391" s="1"/>
    </x:row>
    <x:row r="2392">
      <x:c r="A2392" s="1"/>
      <x:c r="B2392" s="1"/>
      <x:c r="C2392" s="1"/>
      <x:c r="D2392" s="1"/>
      <x:c r="E2392" s="1"/>
      <x:c r="F2392" s="1"/>
      <x:c r="G2392" s="1"/>
    </x:row>
    <x:row r="2393">
      <x:c r="A2393" s="1"/>
      <x:c r="B2393" s="1"/>
      <x:c r="C2393" s="1"/>
      <x:c r="D2393" s="1"/>
      <x:c r="E2393" s="1"/>
      <x:c r="F2393" s="1"/>
      <x:c r="G2393" s="1"/>
    </x:row>
    <x:row r="2394">
      <x:c r="A2394" s="1"/>
      <x:c r="B2394" s="1"/>
      <x:c r="C2394" s="1"/>
      <x:c r="D2394" s="1"/>
      <x:c r="E2394" s="1"/>
      <x:c r="F2394" s="1"/>
      <x:c r="G2394" s="1"/>
    </x:row>
    <x:row r="2395">
      <x:c r="A2395" s="1"/>
      <x:c r="B2395" s="1"/>
      <x:c r="C2395" s="1"/>
      <x:c r="D2395" s="1"/>
      <x:c r="E2395" s="1"/>
      <x:c r="F2395" s="1"/>
      <x:c r="G2395" s="1"/>
    </x:row>
    <x:row r="2396">
      <x:c r="A2396" s="1"/>
      <x:c r="B2396" s="1"/>
      <x:c r="C2396" s="1"/>
      <x:c r="D2396" s="1"/>
      <x:c r="E2396" s="1"/>
      <x:c r="F2396" s="1"/>
      <x:c r="G2396" s="1"/>
    </x:row>
    <x:row r="2397">
      <x:c r="A2397" s="1"/>
      <x:c r="B2397" s="1"/>
      <x:c r="C2397" s="1"/>
      <x:c r="D2397" s="1"/>
      <x:c r="E2397" s="1"/>
      <x:c r="F2397" s="1"/>
      <x:c r="G2397" s="1"/>
    </x:row>
    <x:row r="2398">
      <x:c r="A2398" s="1"/>
      <x:c r="B2398" s="1"/>
      <x:c r="C2398" s="1"/>
      <x:c r="D2398" s="1"/>
      <x:c r="E2398" s="1"/>
      <x:c r="F2398" s="1"/>
      <x:c r="G2398" s="1"/>
    </x:row>
    <x:row r="2399">
      <x:c r="A2399" s="1"/>
      <x:c r="B2399" s="1"/>
      <x:c r="C2399" s="1"/>
      <x:c r="D2399" s="1"/>
      <x:c r="E2399" s="1"/>
      <x:c r="F2399" s="1"/>
      <x:c r="G2399" s="1"/>
    </x:row>
    <x:row r="2400">
      <x:c r="A2400" s="1"/>
      <x:c r="B2400" s="1"/>
      <x:c r="C2400" s="1"/>
      <x:c r="D2400" s="1"/>
      <x:c r="E2400" s="1"/>
      <x:c r="F2400" s="1"/>
      <x:c r="G2400" s="1"/>
    </x:row>
    <x:row r="2401">
      <x:c r="A2401" s="1"/>
      <x:c r="B2401" s="1"/>
      <x:c r="C2401" s="1"/>
      <x:c r="D2401" s="1"/>
      <x:c r="E2401" s="1"/>
      <x:c r="F2401" s="1"/>
      <x:c r="G2401" s="1"/>
    </x:row>
    <x:row r="2402">
      <x:c r="A2402" s="1"/>
      <x:c r="B2402" s="1"/>
      <x:c r="C2402" s="1"/>
      <x:c r="D2402" s="1"/>
      <x:c r="E2402" s="1"/>
      <x:c r="F2402" s="1"/>
      <x:c r="G2402" s="1"/>
    </x:row>
    <x:row r="2403">
      <x:c r="A2403" s="1"/>
      <x:c r="B2403" s="1"/>
      <x:c r="C2403" s="1"/>
      <x:c r="D2403" s="1"/>
      <x:c r="E2403" s="1"/>
      <x:c r="F2403" s="1"/>
      <x:c r="G2403" s="1"/>
    </x:row>
    <x:row r="2404">
      <x:c r="A2404" s="1"/>
      <x:c r="B2404" s="1"/>
      <x:c r="C2404" s="1"/>
      <x:c r="D2404" s="1"/>
      <x:c r="E2404" s="1"/>
      <x:c r="F2404" s="1"/>
      <x:c r="G2404" s="1"/>
    </x:row>
    <x:row r="2405">
      <x:c r="A2405" s="1"/>
      <x:c r="B2405" s="1"/>
      <x:c r="C2405" s="1"/>
      <x:c r="D2405" s="1"/>
      <x:c r="E2405" s="1"/>
      <x:c r="F2405" s="1"/>
      <x:c r="G2405" s="1"/>
    </x:row>
    <x:row r="2406">
      <x:c r="A2406" s="1"/>
      <x:c r="B2406" s="1"/>
      <x:c r="C2406" s="1"/>
      <x:c r="D2406" s="1"/>
      <x:c r="E2406" s="1"/>
      <x:c r="F2406" s="1"/>
      <x:c r="G2406" s="1"/>
    </x:row>
    <x:row r="2407">
      <x:c r="A2407" s="1"/>
      <x:c r="B2407" s="1"/>
      <x:c r="C2407" s="1"/>
      <x:c r="D2407" s="1"/>
      <x:c r="E2407" s="1"/>
      <x:c r="F2407" s="1"/>
      <x:c r="G2407" s="1"/>
    </x:row>
    <x:row r="2408">
      <x:c r="A2408" s="1"/>
      <x:c r="B2408" s="1"/>
      <x:c r="C2408" s="1"/>
      <x:c r="D2408" s="1"/>
      <x:c r="E2408" s="1"/>
      <x:c r="F2408" s="1"/>
      <x:c r="G2408" s="1"/>
    </x:row>
    <x:row r="2409">
      <x:c r="A2409" s="1"/>
      <x:c r="B2409" s="1"/>
      <x:c r="C2409" s="1"/>
      <x:c r="D2409" s="1"/>
      <x:c r="E2409" s="1"/>
      <x:c r="F2409" s="1"/>
      <x:c r="G2409" s="1"/>
    </x:row>
    <x:row r="2410">
      <x:c r="A2410" s="1"/>
      <x:c r="B2410" s="1"/>
      <x:c r="C2410" s="1"/>
      <x:c r="D2410" s="1"/>
      <x:c r="E2410" s="1"/>
      <x:c r="F2410" s="1"/>
      <x:c r="G2410" s="1"/>
    </x:row>
    <x:row r="2411">
      <x:c r="A2411" s="1"/>
      <x:c r="B2411" s="1"/>
      <x:c r="C2411" s="1"/>
      <x:c r="D2411" s="1"/>
      <x:c r="E2411" s="1"/>
      <x:c r="F2411" s="1"/>
      <x:c r="G2411" s="1"/>
    </x:row>
    <x:row r="2412">
      <x:c r="A2412" s="1"/>
      <x:c r="B2412" s="1"/>
      <x:c r="C2412" s="1"/>
      <x:c r="D2412" s="1"/>
      <x:c r="E2412" s="1"/>
      <x:c r="F2412" s="1"/>
      <x:c r="G2412" s="1"/>
    </x:row>
    <x:row r="2413">
      <x:c r="A2413" s="1"/>
      <x:c r="B2413" s="1"/>
      <x:c r="C2413" s="1"/>
      <x:c r="D2413" s="1"/>
      <x:c r="E2413" s="1"/>
      <x:c r="F2413" s="1"/>
      <x:c r="G2413" s="1"/>
    </x:row>
    <x:row r="2414">
      <x:c r="A2414" s="1"/>
      <x:c r="B2414" s="1"/>
      <x:c r="C2414" s="1"/>
      <x:c r="D2414" s="1"/>
      <x:c r="E2414" s="1"/>
      <x:c r="F2414" s="1"/>
      <x:c r="G2414" s="1"/>
    </x:row>
    <x:row r="2415">
      <x:c r="A2415" s="1"/>
      <x:c r="B2415" s="1"/>
      <x:c r="C2415" s="1"/>
      <x:c r="D2415" s="1"/>
      <x:c r="E2415" s="1"/>
      <x:c r="F2415" s="1"/>
      <x:c r="G2415" s="1"/>
    </x:row>
    <x:row r="2416">
      <x:c r="A2416" s="1"/>
      <x:c r="B2416" s="1"/>
      <x:c r="C2416" s="1"/>
      <x:c r="D2416" s="1"/>
      <x:c r="E2416" s="1"/>
      <x:c r="F2416" s="1"/>
      <x:c r="G2416" s="1"/>
    </x:row>
    <x:row r="2417">
      <x:c r="A2417" s="1"/>
      <x:c r="B2417" s="1"/>
      <x:c r="C2417" s="1"/>
      <x:c r="D2417" s="1"/>
      <x:c r="E2417" s="1"/>
      <x:c r="F2417" s="1"/>
      <x:c r="G2417" s="1"/>
    </x:row>
    <x:row r="2418">
      <x:c r="A2418" s="1"/>
      <x:c r="B2418" s="1"/>
      <x:c r="C2418" s="1"/>
      <x:c r="D2418" s="1"/>
      <x:c r="E2418" s="1"/>
      <x:c r="F2418" s="1"/>
      <x:c r="G2418" s="1"/>
    </x:row>
    <x:row r="2419">
      <x:c r="A2419" s="1"/>
      <x:c r="B2419" s="1"/>
      <x:c r="C2419" s="1"/>
      <x:c r="D2419" s="1"/>
      <x:c r="E2419" s="1"/>
      <x:c r="F2419" s="1"/>
      <x:c r="G2419" s="1"/>
    </x:row>
    <x:row r="2420">
      <x:c r="A2420" s="1"/>
      <x:c r="B2420" s="1"/>
      <x:c r="C2420" s="1"/>
      <x:c r="D2420" s="1"/>
      <x:c r="E2420" s="1"/>
      <x:c r="F2420" s="1"/>
      <x:c r="G2420" s="1"/>
    </x:row>
    <x:row r="2421">
      <x:c r="A2421" s="1"/>
      <x:c r="B2421" s="1"/>
      <x:c r="C2421" s="1"/>
      <x:c r="D2421" s="1"/>
      <x:c r="E2421" s="1"/>
      <x:c r="F2421" s="1"/>
      <x:c r="G2421" s="1"/>
    </x:row>
    <x:row r="2422">
      <x:c r="A2422" s="1"/>
      <x:c r="B2422" s="1"/>
      <x:c r="C2422" s="1"/>
      <x:c r="D2422" s="1"/>
      <x:c r="E2422" s="1"/>
      <x:c r="F2422" s="1"/>
      <x:c r="G2422" s="1"/>
    </x:row>
    <x:row r="2423">
      <x:c r="A2423" s="1"/>
      <x:c r="B2423" s="1"/>
      <x:c r="C2423" s="1"/>
      <x:c r="D2423" s="1"/>
      <x:c r="E2423" s="1"/>
      <x:c r="F2423" s="1"/>
      <x:c r="G2423" s="1"/>
    </x:row>
    <x:row r="2424">
      <x:c r="A2424" s="1"/>
      <x:c r="B2424" s="1"/>
      <x:c r="C2424" s="1"/>
      <x:c r="D2424" s="1"/>
      <x:c r="E2424" s="1"/>
      <x:c r="F2424" s="1"/>
      <x:c r="G2424" s="1"/>
    </x:row>
    <x:row r="2425">
      <x:c r="A2425" s="1"/>
      <x:c r="B2425" s="1"/>
      <x:c r="C2425" s="1"/>
      <x:c r="D2425" s="1"/>
      <x:c r="E2425" s="1"/>
      <x:c r="F2425" s="1"/>
      <x:c r="G2425" s="1"/>
    </x:row>
    <x:row r="2426">
      <x:c r="A2426" s="1"/>
      <x:c r="B2426" s="1"/>
      <x:c r="C2426" s="1"/>
      <x:c r="D2426" s="1"/>
      <x:c r="E2426" s="1"/>
      <x:c r="F2426" s="1"/>
      <x:c r="G2426" s="1"/>
    </x:row>
    <x:row r="2427">
      <x:c r="A2427" s="1"/>
      <x:c r="B2427" s="1"/>
      <x:c r="C2427" s="1"/>
      <x:c r="D2427" s="1"/>
      <x:c r="E2427" s="1"/>
      <x:c r="F2427" s="1"/>
      <x:c r="G2427" s="1"/>
    </x:row>
    <x:row r="2428">
      <x:c r="A2428" s="1"/>
      <x:c r="B2428" s="1"/>
      <x:c r="C2428" s="1"/>
      <x:c r="D2428" s="1"/>
      <x:c r="E2428" s="1"/>
      <x:c r="F2428" s="1"/>
      <x:c r="G2428" s="1"/>
    </x:row>
    <x:row r="2429">
      <x:c r="A2429" s="1"/>
      <x:c r="B2429" s="1"/>
      <x:c r="C2429" s="1"/>
      <x:c r="D2429" s="1"/>
      <x:c r="E2429" s="1"/>
      <x:c r="F2429" s="1"/>
      <x:c r="G2429" s="1"/>
    </x:row>
    <x:row r="2430">
      <x:c r="A2430" s="1"/>
      <x:c r="B2430" s="1"/>
      <x:c r="C2430" s="1"/>
      <x:c r="D2430" s="1"/>
      <x:c r="E2430" s="1"/>
      <x:c r="F2430" s="1"/>
      <x:c r="G2430" s="1"/>
    </x:row>
    <x:row r="2431">
      <x:c r="A2431" s="1"/>
      <x:c r="B2431" s="1"/>
      <x:c r="C2431" s="1"/>
      <x:c r="D2431" s="1"/>
      <x:c r="E2431" s="1"/>
      <x:c r="F2431" s="1"/>
      <x:c r="G2431" s="1"/>
    </x:row>
    <x:row r="2432">
      <x:c r="A2432" s="1"/>
      <x:c r="B2432" s="1"/>
      <x:c r="C2432" s="1"/>
      <x:c r="D2432" s="1"/>
      <x:c r="E2432" s="1"/>
      <x:c r="F2432" s="1"/>
      <x:c r="G2432" s="1"/>
    </x:row>
    <x:row r="2433">
      <x:c r="A2433" s="1"/>
      <x:c r="B2433" s="1"/>
      <x:c r="C2433" s="1"/>
      <x:c r="D2433" s="1"/>
      <x:c r="E2433" s="1"/>
      <x:c r="F2433" s="1"/>
      <x:c r="G2433" s="1"/>
    </x:row>
    <x:row r="2434">
      <x:c r="A2434" s="1"/>
      <x:c r="B2434" s="1"/>
      <x:c r="C2434" s="1"/>
      <x:c r="D2434" s="1"/>
      <x:c r="E2434" s="1"/>
      <x:c r="F2434" s="1"/>
      <x:c r="G2434" s="1"/>
    </x:row>
    <x:row r="2435">
      <x:c r="A2435" s="1"/>
      <x:c r="B2435" s="1"/>
      <x:c r="C2435" s="1"/>
      <x:c r="D2435" s="1"/>
      <x:c r="E2435" s="1"/>
      <x:c r="F2435" s="1"/>
      <x:c r="G2435" s="1"/>
    </x:row>
    <x:row r="2436">
      <x:c r="A2436" s="1"/>
      <x:c r="B2436" s="1"/>
      <x:c r="C2436" s="1"/>
      <x:c r="D2436" s="1"/>
      <x:c r="E2436" s="1"/>
      <x:c r="F2436" s="1"/>
      <x:c r="G2436" s="1"/>
    </x:row>
    <x:row r="2437">
      <x:c r="A2437" s="1"/>
      <x:c r="B2437" s="1"/>
      <x:c r="C2437" s="1"/>
      <x:c r="D2437" s="1"/>
      <x:c r="E2437" s="1"/>
      <x:c r="F2437" s="1"/>
      <x:c r="G2437" s="1"/>
    </x:row>
    <x:row r="2438">
      <x:c r="A2438" s="1"/>
      <x:c r="B2438" s="1"/>
      <x:c r="C2438" s="1"/>
      <x:c r="D2438" s="1"/>
      <x:c r="E2438" s="1"/>
      <x:c r="F2438" s="1"/>
      <x:c r="G2438" s="1"/>
    </x:row>
    <x:row r="2439">
      <x:c r="A2439" s="1"/>
      <x:c r="B2439" s="1"/>
      <x:c r="C2439" s="1"/>
      <x:c r="D2439" s="1"/>
      <x:c r="E2439" s="1"/>
      <x:c r="F2439" s="1"/>
      <x:c r="G2439" s="1"/>
    </x:row>
    <x:row r="2440">
      <x:c r="A2440" s="1"/>
      <x:c r="B2440" s="1"/>
      <x:c r="C2440" s="1"/>
      <x:c r="D2440" s="1"/>
      <x:c r="E2440" s="1"/>
      <x:c r="F2440" s="1"/>
      <x:c r="G2440" s="1"/>
    </x:row>
    <x:row r="2441">
      <x:c r="A2441" s="1"/>
      <x:c r="B2441" s="1"/>
      <x:c r="C2441" s="1"/>
      <x:c r="D2441" s="1"/>
      <x:c r="E2441" s="1"/>
      <x:c r="F2441" s="1"/>
      <x:c r="G2441" s="1"/>
    </x:row>
    <x:row r="2442">
      <x:c r="A2442" s="1"/>
      <x:c r="B2442" s="1"/>
      <x:c r="C2442" s="1"/>
      <x:c r="D2442" s="1"/>
      <x:c r="E2442" s="1"/>
      <x:c r="F2442" s="1"/>
      <x:c r="G2442" s="1"/>
    </x:row>
    <x:row r="2443">
      <x:c r="A2443" s="1"/>
      <x:c r="B2443" s="1"/>
      <x:c r="C2443" s="1"/>
      <x:c r="D2443" s="1"/>
      <x:c r="E2443" s="1"/>
      <x:c r="F2443" s="1"/>
      <x:c r="G2443" s="1"/>
    </x:row>
    <x:row r="2444">
      <x:c r="A2444" s="1"/>
      <x:c r="B2444" s="1"/>
      <x:c r="C2444" s="1"/>
      <x:c r="D2444" s="1"/>
      <x:c r="E2444" s="1"/>
      <x:c r="F2444" s="1"/>
      <x:c r="G2444" s="1"/>
    </x:row>
    <x:row r="2445">
      <x:c r="A2445" s="1"/>
      <x:c r="B2445" s="1"/>
      <x:c r="C2445" s="1"/>
      <x:c r="D2445" s="1"/>
      <x:c r="E2445" s="1"/>
      <x:c r="F2445" s="1"/>
      <x:c r="G2445" s="1"/>
    </x:row>
    <x:row r="2446">
      <x:c r="A2446" s="1"/>
      <x:c r="B2446" s="1"/>
      <x:c r="C2446" s="1"/>
      <x:c r="D2446" s="1"/>
      <x:c r="E2446" s="1"/>
      <x:c r="F2446" s="1"/>
      <x:c r="G2446" s="1"/>
    </x:row>
    <x:row r="2447">
      <x:c r="A2447" s="1"/>
      <x:c r="B2447" s="1"/>
      <x:c r="C2447" s="1"/>
      <x:c r="D2447" s="1"/>
      <x:c r="E2447" s="1"/>
      <x:c r="F2447" s="1"/>
      <x:c r="G2447" s="1"/>
    </x:row>
    <x:row r="2448">
      <x:c r="A2448" s="1"/>
      <x:c r="B2448" s="1"/>
      <x:c r="C2448" s="1"/>
      <x:c r="D2448" s="1"/>
      <x:c r="E2448" s="1"/>
      <x:c r="F2448" s="1"/>
      <x:c r="G2448" s="1"/>
    </x:row>
    <x:row r="2449">
      <x:c r="A2449" s="1"/>
      <x:c r="B2449" s="1"/>
      <x:c r="C2449" s="1"/>
      <x:c r="D2449" s="1"/>
      <x:c r="E2449" s="1"/>
      <x:c r="F2449" s="1"/>
      <x:c r="G2449" s="1"/>
    </x:row>
    <x:row r="2450">
      <x:c r="A2450" s="1"/>
      <x:c r="B2450" s="1"/>
      <x:c r="C2450" s="1"/>
      <x:c r="D2450" s="1"/>
      <x:c r="E2450" s="1"/>
      <x:c r="F2450" s="1"/>
      <x:c r="G2450" s="1"/>
    </x:row>
    <x:row r="2451">
      <x:c r="A2451" s="1"/>
      <x:c r="B2451" s="1"/>
      <x:c r="C2451" s="1"/>
      <x:c r="D2451" s="1"/>
      <x:c r="E2451" s="1"/>
      <x:c r="F2451" s="1"/>
      <x:c r="G2451" s="1"/>
    </x:row>
    <x:row r="2452">
      <x:c r="A2452" s="1"/>
      <x:c r="B2452" s="1"/>
      <x:c r="C2452" s="1"/>
      <x:c r="D2452" s="1"/>
      <x:c r="E2452" s="1"/>
      <x:c r="F2452" s="1"/>
      <x:c r="G2452" s="1"/>
    </x:row>
    <x:row r="2453">
      <x:c r="A2453" s="1"/>
      <x:c r="B2453" s="1"/>
      <x:c r="C2453" s="1"/>
      <x:c r="D2453" s="1"/>
      <x:c r="E2453" s="1"/>
      <x:c r="F2453" s="1"/>
      <x:c r="G2453" s="1"/>
    </x:row>
    <x:row r="2454">
      <x:c r="A2454" s="1"/>
      <x:c r="B2454" s="1"/>
      <x:c r="C2454" s="1"/>
      <x:c r="D2454" s="1"/>
      <x:c r="E2454" s="1"/>
      <x:c r="F2454" s="1"/>
      <x:c r="G2454" s="1"/>
    </x:row>
    <x:row r="2455">
      <x:c r="A2455" s="1"/>
      <x:c r="B2455" s="1"/>
      <x:c r="C2455" s="1"/>
      <x:c r="D2455" s="1"/>
      <x:c r="E2455" s="1"/>
      <x:c r="F2455" s="1"/>
      <x:c r="G2455" s="1"/>
    </x:row>
    <x:row r="2456">
      <x:c r="A2456" s="1"/>
      <x:c r="B2456" s="1"/>
      <x:c r="C2456" s="1"/>
      <x:c r="D2456" s="1"/>
      <x:c r="E2456" s="1"/>
      <x:c r="F2456" s="1"/>
      <x:c r="G2456" s="1"/>
    </x:row>
    <x:row r="2457">
      <x:c r="A2457" s="1"/>
      <x:c r="B2457" s="1"/>
      <x:c r="C2457" s="1"/>
      <x:c r="D2457" s="1"/>
      <x:c r="E2457" s="1"/>
      <x:c r="F2457" s="1"/>
      <x:c r="G2457" s="1"/>
    </x:row>
    <x:row r="2458">
      <x:c r="A2458" s="1"/>
      <x:c r="B2458" s="1"/>
      <x:c r="C2458" s="1"/>
      <x:c r="D2458" s="1"/>
      <x:c r="E2458" s="1"/>
      <x:c r="F2458" s="1"/>
      <x:c r="G2458" s="1"/>
    </x:row>
    <x:row r="2459">
      <x:c r="A2459" s="1"/>
      <x:c r="B2459" s="1"/>
      <x:c r="C2459" s="1"/>
      <x:c r="D2459" s="1"/>
      <x:c r="E2459" s="1"/>
      <x:c r="F2459" s="1"/>
      <x:c r="G2459" s="1"/>
    </x:row>
    <x:row r="2460">
      <x:c r="A2460" s="1"/>
      <x:c r="B2460" s="1"/>
      <x:c r="C2460" s="1"/>
      <x:c r="D2460" s="1"/>
      <x:c r="E2460" s="1"/>
      <x:c r="F2460" s="1"/>
      <x:c r="G2460" s="1"/>
    </x:row>
    <x:row r="2461">
      <x:c r="A2461" s="1"/>
      <x:c r="B2461" s="1"/>
      <x:c r="C2461" s="1"/>
      <x:c r="D2461" s="1"/>
      <x:c r="E2461" s="1"/>
      <x:c r="F2461" s="1"/>
      <x:c r="G2461" s="1"/>
    </x:row>
    <x:row r="2462">
      <x:c r="A2462" s="1"/>
      <x:c r="B2462" s="1"/>
      <x:c r="C2462" s="1"/>
      <x:c r="D2462" s="1"/>
      <x:c r="E2462" s="1"/>
      <x:c r="F2462" s="1"/>
      <x:c r="G2462" s="1"/>
    </x:row>
    <x:row r="2463">
      <x:c r="A2463" s="1"/>
      <x:c r="B2463" s="1"/>
      <x:c r="C2463" s="1"/>
      <x:c r="D2463" s="1"/>
      <x:c r="E2463" s="1"/>
      <x:c r="F2463" s="1"/>
      <x:c r="G2463" s="1"/>
    </x:row>
    <x:row r="2464">
      <x:c r="A2464" s="1"/>
      <x:c r="B2464" s="1"/>
      <x:c r="C2464" s="1"/>
      <x:c r="D2464" s="1"/>
      <x:c r="E2464" s="1"/>
      <x:c r="F2464" s="1"/>
      <x:c r="G2464" s="1"/>
    </x:row>
    <x:row r="2465">
      <x:c r="A2465" s="1"/>
      <x:c r="B2465" s="1"/>
      <x:c r="C2465" s="1"/>
      <x:c r="D2465" s="1"/>
      <x:c r="E2465" s="1"/>
      <x:c r="F2465" s="1"/>
      <x:c r="G2465" s="1"/>
    </x:row>
    <x:row r="2466">
      <x:c r="A2466" s="1"/>
      <x:c r="B2466" s="1"/>
      <x:c r="C2466" s="1"/>
      <x:c r="D2466" s="1"/>
      <x:c r="E2466" s="1"/>
      <x:c r="F2466" s="1"/>
      <x:c r="G2466" s="1"/>
    </x:row>
    <x:row r="2467">
      <x:c r="A2467" s="1"/>
      <x:c r="B2467" s="1"/>
      <x:c r="C2467" s="1"/>
      <x:c r="D2467" s="1"/>
      <x:c r="E2467" s="1"/>
      <x:c r="F2467" s="1"/>
      <x:c r="G2467" s="1"/>
    </x:row>
    <x:row r="2468">
      <x:c r="A2468" s="1"/>
      <x:c r="B2468" s="1"/>
      <x:c r="C2468" s="1"/>
      <x:c r="D2468" s="1"/>
      <x:c r="E2468" s="1"/>
      <x:c r="F2468" s="1"/>
      <x:c r="G2468" s="1"/>
    </x:row>
    <x:row r="2469">
      <x:c r="A2469" s="1"/>
      <x:c r="B2469" s="1"/>
      <x:c r="C2469" s="1"/>
      <x:c r="D2469" s="1"/>
      <x:c r="E2469" s="1"/>
      <x:c r="F2469" s="1"/>
      <x:c r="G2469" s="1"/>
    </x:row>
    <x:row r="2470">
      <x:c r="A2470" s="1"/>
      <x:c r="B2470" s="1"/>
      <x:c r="C2470" s="1"/>
      <x:c r="D2470" s="1"/>
      <x:c r="E2470" s="1"/>
      <x:c r="F2470" s="1"/>
      <x:c r="G2470" s="1"/>
    </x:row>
    <x:row r="2471">
      <x:c r="A2471" s="1"/>
      <x:c r="B2471" s="1"/>
      <x:c r="C2471" s="1"/>
      <x:c r="D2471" s="1"/>
      <x:c r="E2471" s="1"/>
      <x:c r="F2471" s="1"/>
      <x:c r="G2471" s="1"/>
    </x:row>
    <x:row r="2472">
      <x:c r="A2472" s="1"/>
      <x:c r="B2472" s="1"/>
      <x:c r="C2472" s="1"/>
      <x:c r="D2472" s="1"/>
      <x:c r="E2472" s="1"/>
      <x:c r="F2472" s="1"/>
      <x:c r="G2472" s="1"/>
    </x:row>
    <x:row r="2473">
      <x:c r="A2473" s="1"/>
      <x:c r="B2473" s="1"/>
      <x:c r="C2473" s="1"/>
      <x:c r="D2473" s="1"/>
      <x:c r="E2473" s="1"/>
      <x:c r="F2473" s="1"/>
      <x:c r="G2473" s="1"/>
    </x:row>
    <x:row r="2474">
      <x:c r="A2474" s="1"/>
      <x:c r="B2474" s="1"/>
      <x:c r="C2474" s="1"/>
      <x:c r="D2474" s="1"/>
      <x:c r="E2474" s="1"/>
      <x:c r="F2474" s="1"/>
      <x:c r="G2474" s="1"/>
    </x:row>
    <x:row r="2475">
      <x:c r="A2475" s="1"/>
      <x:c r="B2475" s="1"/>
      <x:c r="C2475" s="1"/>
      <x:c r="D2475" s="1"/>
      <x:c r="E2475" s="1"/>
      <x:c r="F2475" s="1"/>
      <x:c r="G2475" s="1"/>
    </x:row>
    <x:row r="2476">
      <x:c r="A2476" s="1"/>
      <x:c r="B2476" s="1"/>
      <x:c r="C2476" s="1"/>
      <x:c r="D2476" s="1"/>
      <x:c r="E2476" s="1"/>
      <x:c r="F2476" s="1"/>
      <x:c r="G2476" s="1"/>
    </x:row>
    <x:row r="2477">
      <x:c r="A2477" s="1"/>
      <x:c r="B2477" s="1"/>
      <x:c r="C2477" s="1"/>
      <x:c r="D2477" s="1"/>
      <x:c r="E2477" s="1"/>
      <x:c r="F2477" s="1"/>
      <x:c r="G2477" s="1"/>
    </x:row>
    <x:row r="2478">
      <x:c r="A2478" s="1"/>
      <x:c r="B2478" s="1"/>
      <x:c r="C2478" s="1"/>
      <x:c r="D2478" s="1"/>
      <x:c r="E2478" s="1"/>
      <x:c r="F2478" s="1"/>
      <x:c r="G2478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22" hidden="0" customWidth="1"/>
    <x:col min="11" max="11" width="23" hidden="0" customWidth="1"/>
    <x:col min="12" max="12" width="23" hidden="0" customWidth="1"/>
    <x:col min="13" max="13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Проверка MA2 на будущих для модели месяцах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TOP10 определяется по выручке t-1. 9 месяцев × 10 карточек; будущие данные не участвуют в отборе.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7" t="str">
        <x:v>Месяц теста</x:v>
      </x:c>
      <x:c r="B4" s="7" t="str">
        <x:v>Артикул WB</x:v>
      </x:c>
      <x:c r="C4" s="7" t="str">
        <x:v>Заказы t-2</x:v>
      </x:c>
      <x:c r="D4" s="7" t="str">
        <x:v>Заказы t-1</x:v>
      </x:c>
      <x:c r="E4" s="7" t="str">
        <x:v>Факт t</x:v>
      </x:c>
      <x:c r="F4" s="7" t="str">
        <x:v>MA2</x:v>
      </x:c>
      <x:c r="G4" s="7" t="str">
        <x:v>Ошибка MA2</x:v>
      </x:c>
      <x:c r="H4" s="7" t="str">
        <x:v>Наивный</x:v>
      </x:c>
      <x:c r="I4" s="7" t="str">
        <x:v>Ошибка наивного</x:v>
      </x:c>
      <x:c r="K4" s="13" t="str">
        <x:v>Тестовый месяц</x:v>
      </x:c>
      <x:c r="L4" s="13" t="str">
        <x:v>WAPE MA2</x:v>
      </x:c>
      <x:c r="M4" s="13" t="str">
        <x:v>WAPE наивный</x:v>
      </x:c>
    </x:row>
    <x:row r="5">
      <x:c r="A5" s="1" t="str">
        <x:v>2024-08</x:v>
      </x:c>
      <x:c r="B5" s="1" t="str">
        <x:v>165757798</x:v>
      </x:c>
      <x:c r="C5" s="11" t="n">
        <x:v>18779</x:v>
      </x:c>
      <x:c r="D5" s="11" t="n">
        <x:v>21917</x:v>
      </x:c>
      <x:c r="E5" s="11" t="n">
        <x:v>15559</x:v>
      </x:c>
      <x:c r="F5" s="11" t="n">
        <x:f>AVERAGE(C5:D5)</x:f>
        <x:v>20348</x:v>
      </x:c>
      <x:c r="G5" s="11" t="n">
        <x:f>ABS(E5-F5)</x:f>
        <x:v>4789</x:v>
      </x:c>
      <x:c r="H5" s="11" t="n">
        <x:f>D5</x:f>
        <x:v>21917</x:v>
      </x:c>
      <x:c r="I5" s="11" t="n">
        <x:f>ABS(E5-H5)</x:f>
        <x:v>6358</x:v>
      </x:c>
      <x:c r="K5" t="str">
        <x:v>2024-08</x:v>
      </x:c>
      <x:c r="L5" s="14" t="n">
        <x:f>SUMIFS($G$5:$G$94,$A$5:$A$94,K5)/SUMIFS($E$5:$E$94,$A$5:$A$94,K5)</x:f>
        <x:v>0.6510929538794583</x:v>
      </x:c>
      <x:c r="M5" s="14" t="n">
        <x:f>SUMIFS($I$5:$I$94,$A$5:$A$94,K5)/SUMIFS($E$5:$E$94,$A$5:$A$94,K5)</x:f>
        <x:v>0.6580559148868766</x:v>
      </x:c>
    </x:row>
    <x:row r="6">
      <x:c r="A6" s="1" t="str">
        <x:v>2024-08</x:v>
      </x:c>
      <x:c r="B6" s="1" t="str">
        <x:v>29360157</x:v>
      </x:c>
      <x:c r="C6" s="11" t="n">
        <x:v>23561</x:v>
      </x:c>
      <x:c r="D6" s="11" t="n">
        <x:v>21178</x:v>
      </x:c>
      <x:c r="E6" s="11" t="n">
        <x:v>9828</x:v>
      </x:c>
      <x:c r="F6" s="11" t="n">
        <x:f>AVERAGE(C6:D6)</x:f>
        <x:v>22369.5</x:v>
      </x:c>
      <x:c r="G6" s="11" t="n">
        <x:f>ABS(E6-F6)</x:f>
        <x:v>12541.5</x:v>
      </x:c>
      <x:c r="H6" s="11" t="n">
        <x:f>D6</x:f>
        <x:v>21178</x:v>
      </x:c>
      <x:c r="I6" s="11" t="n">
        <x:f>ABS(E6-H6)</x:f>
        <x:v>11350</x:v>
      </x:c>
      <x:c r="K6" t="str">
        <x:v>2024-09</x:v>
      </x:c>
      <x:c r="L6" s="14" t="n">
        <x:f>SUMIFS($G$5:$G$94,$A$5:$A$94,K6)/SUMIFS($E$5:$E$94,$A$5:$A$94,K6)</x:f>
        <x:v>0.7698066240757317</x:v>
      </x:c>
      <x:c r="M6" s="14" t="n">
        <x:f>SUMIFS($I$5:$I$94,$A$5:$A$94,K6)/SUMIFS($E$5:$E$94,$A$5:$A$94,K6)</x:f>
        <x:v>0.4976272516584714</x:v>
      </x:c>
    </x:row>
    <x:row r="7">
      <x:c r="A7" s="1" t="str">
        <x:v>2024-08</x:v>
      </x:c>
      <x:c r="B7" s="1" t="str">
        <x:v>165757789</x:v>
      </x:c>
      <x:c r="C7" s="11" t="n">
        <x:v>14946</x:v>
      </x:c>
      <x:c r="D7" s="11" t="n">
        <x:v>15160</x:v>
      </x:c>
      <x:c r="E7" s="11" t="n">
        <x:v>10749</x:v>
      </x:c>
      <x:c r="F7" s="11" t="n">
        <x:f>AVERAGE(C7:D7)</x:f>
        <x:v>15053</x:v>
      </x:c>
      <x:c r="G7" s="11" t="n">
        <x:f>ABS(E7-F7)</x:f>
        <x:v>4304</x:v>
      </x:c>
      <x:c r="H7" s="11" t="n">
        <x:f>D7</x:f>
        <x:v>15160</x:v>
      </x:c>
      <x:c r="I7" s="11" t="n">
        <x:f>ABS(E7-H7)</x:f>
        <x:v>4411</x:v>
      </x:c>
      <x:c r="K7" t="str">
        <x:v>2024-10</x:v>
      </x:c>
      <x:c r="L7" s="14" t="n">
        <x:f>SUMIFS($G$5:$G$94,$A$5:$A$94,K7)/SUMIFS($E$5:$E$94,$A$5:$A$94,K7)</x:f>
        <x:v>0.273243386901598</x:v>
      </x:c>
      <x:c r="M7" s="14" t="n">
        <x:f>SUMIFS($I$5:$I$94,$A$5:$A$94,K7)/SUMIFS($E$5:$E$94,$A$5:$A$94,K7)</x:f>
        <x:v>0.2859210838808907</x:v>
      </x:c>
    </x:row>
    <x:row r="8">
      <x:c r="A8" s="1" t="str">
        <x:v>2024-08</x:v>
      </x:c>
      <x:c r="B8" s="1" t="str">
        <x:v>30926516</x:v>
      </x:c>
      <x:c r="C8" s="11" t="n">
        <x:v>11414</x:v>
      </x:c>
      <x:c r="D8" s="11" t="n">
        <x:v>11229</x:v>
      </x:c>
      <x:c r="E8" s="11" t="n">
        <x:v>4330</x:v>
      </x:c>
      <x:c r="F8" s="11" t="n">
        <x:f>AVERAGE(C8:D8)</x:f>
        <x:v>11321.5</x:v>
      </x:c>
      <x:c r="G8" s="11" t="n">
        <x:f>ABS(E8-F8)</x:f>
        <x:v>6991.5</x:v>
      </x:c>
      <x:c r="H8" s="11" t="n">
        <x:f>D8</x:f>
        <x:v>11229</x:v>
      </x:c>
      <x:c r="I8" s="11" t="n">
        <x:f>ABS(E8-H8)</x:f>
        <x:v>6899</x:v>
      </x:c>
      <x:c r="K8" t="str">
        <x:v>2024-11</x:v>
      </x:c>
      <x:c r="L8" s="14" t="n">
        <x:f>SUMIFS($G$5:$G$94,$A$5:$A$94,K8)/SUMIFS($E$5:$E$94,$A$5:$A$94,K8)</x:f>
        <x:v>0.1532414540889117</x:v>
      </x:c>
      <x:c r="M8" s="14" t="n">
        <x:f>SUMIFS($I$5:$I$94,$A$5:$A$94,K8)/SUMIFS($E$5:$E$94,$A$5:$A$94,K8)</x:f>
        <x:v>0.12495006562803172</x:v>
      </x:c>
    </x:row>
    <x:row r="9">
      <x:c r="A9" s="1" t="str">
        <x:v>2024-08</x:v>
      </x:c>
      <x:c r="B9" s="1" t="str">
        <x:v>113290841</x:v>
      </x:c>
      <x:c r="C9" s="11" t="n">
        <x:v>17823</x:v>
      </x:c>
      <x:c r="D9" s="11" t="n">
        <x:v>15270</x:v>
      </x:c>
      <x:c r="E9" s="11" t="n">
        <x:v>5443</x:v>
      </x:c>
      <x:c r="F9" s="11" t="n">
        <x:f>AVERAGE(C9:D9)</x:f>
        <x:v>16546.5</x:v>
      </x:c>
      <x:c r="G9" s="11" t="n">
        <x:f>ABS(E9-F9)</x:f>
        <x:v>11103.5</x:v>
      </x:c>
      <x:c r="H9" s="11" t="n">
        <x:f>D9</x:f>
        <x:v>15270</x:v>
      </x:c>
      <x:c r="I9" s="11" t="n">
        <x:f>ABS(E9-H9)</x:f>
        <x:v>9827</x:v>
      </x:c>
      <x:c r="K9" t="str">
        <x:v>2024-12</x:v>
      </x:c>
      <x:c r="L9" s="14" t="n">
        <x:f>SUMIFS($G$5:$G$94,$A$5:$A$94,K9)/SUMIFS($E$5:$E$94,$A$5:$A$94,K9)</x:f>
        <x:v>0.2051477080518707</x:v>
      </x:c>
      <x:c r="M9" s="14" t="n">
        <x:f>SUMIFS($I$5:$I$94,$A$5:$A$94,K9)/SUMIFS($E$5:$E$94,$A$5:$A$94,K9)</x:f>
        <x:v>0.24821548248460157</x:v>
      </x:c>
    </x:row>
    <x:row r="10">
      <x:c r="A10" s="1" t="str">
        <x:v>2024-08</x:v>
      </x:c>
      <x:c r="B10" s="1" t="str">
        <x:v>165757809</x:v>
      </x:c>
      <x:c r="C10" s="11" t="n">
        <x:v>9344</x:v>
      </x:c>
      <x:c r="D10" s="11" t="n">
        <x:v>9237</x:v>
      </x:c>
      <x:c r="E10" s="11" t="n">
        <x:v>6138</x:v>
      </x:c>
      <x:c r="F10" s="11" t="n">
        <x:f>AVERAGE(C10:D10)</x:f>
        <x:v>9290.5</x:v>
      </x:c>
      <x:c r="G10" s="11" t="n">
        <x:f>ABS(E10-F10)</x:f>
        <x:v>3152.5</x:v>
      </x:c>
      <x:c r="H10" s="11" t="n">
        <x:f>D10</x:f>
        <x:v>9237</x:v>
      </x:c>
      <x:c r="I10" s="11" t="n">
        <x:f>ABS(E10-H10)</x:f>
        <x:v>3099</x:v>
      </x:c>
      <x:c r="K10" t="str">
        <x:v>2025-01</x:v>
      </x:c>
      <x:c r="L10" s="14" t="n">
        <x:f>SUMIFS($G$5:$G$94,$A$5:$A$94,K10)/SUMIFS($E$5:$E$94,$A$5:$A$94,K10)</x:f>
        <x:v>0.6828501162732338</x:v>
      </x:c>
      <x:c r="M10" s="14" t="n">
        <x:f>SUMIFS($I$5:$I$94,$A$5:$A$94,K10)/SUMIFS($E$5:$E$94,$A$5:$A$94,K10)</x:f>
        <x:v>0.6977397821758988</x:v>
      </x:c>
    </x:row>
    <x:row r="11">
      <x:c r="A11" s="1" t="str">
        <x:v>2024-08</x:v>
      </x:c>
      <x:c r="B11" s="1" t="str">
        <x:v>196159686</x:v>
      </x:c>
      <x:c r="C11" s="11" t="n">
        <x:v>9660</x:v>
      </x:c>
      <x:c r="D11" s="11" t="n">
        <x:v>7798</x:v>
      </x:c>
      <x:c r="E11" s="11" t="n">
        <x:v>8417</x:v>
      </x:c>
      <x:c r="F11" s="11" t="n">
        <x:f>AVERAGE(C11:D11)</x:f>
        <x:v>8729</x:v>
      </x:c>
      <x:c r="G11" s="11" t="n">
        <x:f>ABS(E11-F11)</x:f>
        <x:v>312</x:v>
      </x:c>
      <x:c r="H11" s="11" t="n">
        <x:f>D11</x:f>
        <x:v>7798</x:v>
      </x:c>
      <x:c r="I11" s="11" t="n">
        <x:f>ABS(E11-H11)</x:f>
        <x:v>619</x:v>
      </x:c>
      <x:c r="K11" t="str">
        <x:v>2025-02</x:v>
      </x:c>
      <x:c r="L11" s="14" t="n">
        <x:f>SUMIFS($G$5:$G$94,$A$5:$A$94,K11)/SUMIFS($E$5:$E$94,$A$5:$A$94,K11)</x:f>
        <x:v>0.6677185143814577</x:v>
      </x:c>
      <x:c r="M11" s="14" t="n">
        <x:f>SUMIFS($I$5:$I$94,$A$5:$A$94,K11)/SUMIFS($E$5:$E$94,$A$5:$A$94,K11)</x:f>
        <x:v>0.4966396723447826</x:v>
      </x:c>
    </x:row>
    <x:row r="12">
      <x:c r="A12" s="1" t="str">
        <x:v>2024-08</x:v>
      </x:c>
      <x:c r="B12" s="1" t="str">
        <x:v>196159691</x:v>
      </x:c>
      <x:c r="C12" s="11" t="n">
        <x:v>7094</x:v>
      </x:c>
      <x:c r="D12" s="11" t="n">
        <x:v>7291</x:v>
      </x:c>
      <x:c r="E12" s="11" t="n">
        <x:v>4099</x:v>
      </x:c>
      <x:c r="F12" s="11" t="n">
        <x:f>AVERAGE(C12:D12)</x:f>
        <x:v>7192.5</x:v>
      </x:c>
      <x:c r="G12" s="11" t="n">
        <x:f>ABS(E12-F12)</x:f>
        <x:v>3093.5</x:v>
      </x:c>
      <x:c r="H12" s="11" t="n">
        <x:f>D12</x:f>
        <x:v>7291</x:v>
      </x:c>
      <x:c r="I12" s="11" t="n">
        <x:f>ABS(E12-H12)</x:f>
        <x:v>3192</x:v>
      </x:c>
      <x:c r="K12" t="str">
        <x:v>2025-03</x:v>
      </x:c>
      <x:c r="L12" s="14" t="n">
        <x:f>SUMIFS($G$5:$G$94,$A$5:$A$94,K12)/SUMIFS($E$5:$E$94,$A$5:$A$94,K12)</x:f>
        <x:v>0.4653037358782133</x:v>
      </x:c>
      <x:c r="M12" s="14" t="n">
        <x:f>SUMIFS($I$5:$I$94,$A$5:$A$94,K12)/SUMIFS($E$5:$E$94,$A$5:$A$94,K12)</x:f>
        <x:v>0.4069684883162445</x:v>
      </x:c>
    </x:row>
    <x:row r="13">
      <x:c r="A13" s="1" t="str">
        <x:v>2024-08</x:v>
      </x:c>
      <x:c r="B13" s="1" t="str">
        <x:v>31156679</x:v>
      </x:c>
      <x:c r="C13" s="11" t="n">
        <x:v>8192</x:v>
      </x:c>
      <x:c r="D13" s="11" t="n">
        <x:v>8356</x:v>
      </x:c>
      <x:c r="E13" s="11" t="n">
        <x:v>5704</x:v>
      </x:c>
      <x:c r="F13" s="11" t="n">
        <x:f>AVERAGE(C13:D13)</x:f>
        <x:v>8274</x:v>
      </x:c>
      <x:c r="G13" s="11" t="n">
        <x:f>ABS(E13-F13)</x:f>
        <x:v>2570</x:v>
      </x:c>
      <x:c r="H13" s="11" t="n">
        <x:f>D13</x:f>
        <x:v>8356</x:v>
      </x:c>
      <x:c r="I13" s="11" t="n">
        <x:f>ABS(E13-H13)</x:f>
        <x:v>2652</x:v>
      </x:c>
      <x:c r="K13" t="str">
        <x:v>2025-04</x:v>
      </x:c>
      <x:c r="L13" s="14" t="n">
        <x:f>SUMIFS($G$5:$G$94,$A$5:$A$94,K13)/SUMIFS($E$5:$E$94,$A$5:$A$94,K13)</x:f>
        <x:v>0.45952901482157305</x:v>
      </x:c>
      <x:c r="M13" s="14" t="n">
        <x:f>SUMIFS($I$5:$I$94,$A$5:$A$94,K13)/SUMIFS($E$5:$E$94,$A$5:$A$94,K13)</x:f>
        <x:v>0.3008498160931412</x:v>
      </x:c>
    </x:row>
    <x:row r="14">
      <x:c r="A14" s="1" t="str">
        <x:v>2024-08</x:v>
      </x:c>
      <x:c r="B14" s="1" t="str">
        <x:v>221519619</x:v>
      </x:c>
      <x:c r="C14" s="11" t="n">
        <x:v>3109</x:v>
      </x:c>
      <x:c r="D14" s="11" t="n">
        <x:v>6937</x:v>
      </x:c>
      <x:c r="E14" s="11" t="n">
        <x:v>5491</x:v>
      </x:c>
      <x:c r="F14" s="11" t="n">
        <x:f>AVERAGE(C14:D14)</x:f>
        <x:v>5023</x:v>
      </x:c>
      <x:c r="G14" s="11" t="n">
        <x:f>ABS(E14-F14)</x:f>
        <x:v>468</x:v>
      </x:c>
      <x:c r="H14" s="11" t="n">
        <x:f>D14</x:f>
        <x:v>6937</x:v>
      </x:c>
      <x:c r="I14" s="11" t="n">
        <x:f>ABS(E14-H14)</x:f>
        <x:v>1446</x:v>
      </x:c>
      <x:c r="L14" s="14"/>
      <x:c r="M14" s="14"/>
    </x:row>
    <x:row r="15">
      <x:c r="A15" s="1" t="str">
        <x:v>2024-09</x:v>
      </x:c>
      <x:c r="B15" s="1" t="str">
        <x:v>15445452</x:v>
      </x:c>
      <x:c r="C15" s="11" t="n">
        <x:v>3158</x:v>
      </x:c>
      <x:c r="D15" s="11" t="n">
        <x:v>10639</x:v>
      </x:c>
      <x:c r="E15" s="11" t="n">
        <x:v>15132</x:v>
      </x:c>
      <x:c r="F15" s="11" t="n">
        <x:f>AVERAGE(C15:D15)</x:f>
        <x:v>6898.5</x:v>
      </x:c>
      <x:c r="G15" s="11" t="n">
        <x:f>ABS(E15-F15)</x:f>
        <x:v>8233.5</x:v>
      </x:c>
      <x:c r="H15" s="11" t="n">
        <x:f>D15</x:f>
        <x:v>10639</x:v>
      </x:c>
      <x:c r="I15" s="11" t="n">
        <x:f>ABS(E15-H15)</x:f>
        <x:v>4493</x:v>
      </x:c>
      <x:c r="K15" t="str">
        <x:v>Все тесты</x:v>
      </x:c>
      <x:c r="L15" s="14" t="n">
        <x:f>SUM(G5:G94)/SUM(E5:E94)</x:f>
        <x:v>0.4502503597261253</x:v>
      </x:c>
      <x:c r="M15" s="14" t="n">
        <x:f>SUM(I5:I94)/SUM(E5:E94)</x:f>
        <x:v>0.3765982462747825</x:v>
      </x:c>
    </x:row>
    <x:row r="16">
      <x:c r="A16" s="1" t="str">
        <x:v>2024-09</x:v>
      </x:c>
      <x:c r="B16" s="1" t="str">
        <x:v>22893732</x:v>
      </x:c>
      <x:c r="C16" s="11" t="n">
        <x:v>2693</x:v>
      </x:c>
      <x:c r="D16" s="11" t="n">
        <x:v>9870</x:v>
      </x:c>
      <x:c r="E16" s="11" t="n">
        <x:v>13878</x:v>
      </x:c>
      <x:c r="F16" s="11" t="n">
        <x:f>AVERAGE(C16:D16)</x:f>
        <x:v>6281.5</x:v>
      </x:c>
      <x:c r="G16" s="11" t="n">
        <x:f>ABS(E16-F16)</x:f>
        <x:v>7596.5</x:v>
      </x:c>
      <x:c r="H16" s="11" t="n">
        <x:f>D16</x:f>
        <x:v>9870</x:v>
      </x:c>
      <x:c r="I16" s="11" t="n">
        <x:f>ABS(E16-H16)</x:f>
        <x:v>4008</x:v>
      </x:c>
    </x:row>
    <x:row r="17">
      <x:c r="A17" s="1" t="str">
        <x:v>2024-09</x:v>
      </x:c>
      <x:c r="B17" s="1" t="str">
        <x:v>165757798</x:v>
      </x:c>
      <x:c r="C17" s="11" t="n">
        <x:v>21917</x:v>
      </x:c>
      <x:c r="D17" s="11" t="n">
        <x:v>15559</x:v>
      </x:c>
      <x:c r="E17" s="11" t="n">
        <x:v>8362</x:v>
      </x:c>
      <x:c r="F17" s="11" t="n">
        <x:f>AVERAGE(C17:D17)</x:f>
        <x:v>18738</x:v>
      </x:c>
      <x:c r="G17" s="11" t="n">
        <x:f>ABS(E17-F17)</x:f>
        <x:v>10376</x:v>
      </x:c>
      <x:c r="H17" s="11" t="n">
        <x:f>D17</x:f>
        <x:v>15559</x:v>
      </x:c>
      <x:c r="I17" s="11" t="n">
        <x:f>ABS(E17-H17)</x:f>
        <x:v>7197</x:v>
      </x:c>
    </x:row>
    <x:row r="18">
      <x:c r="A18" s="1" t="str">
        <x:v>2024-09</x:v>
      </x:c>
      <x:c r="B18" s="1" t="str">
        <x:v>165757789</x:v>
      </x:c>
      <x:c r="C18" s="11" t="n">
        <x:v>15160</x:v>
      </x:c>
      <x:c r="D18" s="11" t="n">
        <x:v>10749</x:v>
      </x:c>
      <x:c r="E18" s="11" t="n">
        <x:v>6452</x:v>
      </x:c>
      <x:c r="F18" s="11" t="n">
        <x:f>AVERAGE(C18:D18)</x:f>
        <x:v>12954.5</x:v>
      </x:c>
      <x:c r="G18" s="11" t="n">
        <x:f>ABS(E18-F18)</x:f>
        <x:v>6502.5</x:v>
      </x:c>
      <x:c r="H18" s="11" t="n">
        <x:f>D18</x:f>
        <x:v>10749</x:v>
      </x:c>
      <x:c r="I18" s="11" t="n">
        <x:f>ABS(E18-H18)</x:f>
        <x:v>4297</x:v>
      </x:c>
    </x:row>
    <x:row r="19">
      <x:c r="A19" s="1" t="str">
        <x:v>2024-09</x:v>
      </x:c>
      <x:c r="B19" s="1" t="str">
        <x:v>18985539</x:v>
      </x:c>
      <x:c r="C19" s="11" t="n">
        <x:v>2841</x:v>
      </x:c>
      <x:c r="D19" s="11" t="n">
        <x:v>6666</x:v>
      </x:c>
      <x:c r="E19" s="11" t="n">
        <x:v>12410</x:v>
      </x:c>
      <x:c r="F19" s="11" t="n">
        <x:f>AVERAGE(C19:D19)</x:f>
        <x:v>4753.5</x:v>
      </x:c>
      <x:c r="G19" s="11" t="n">
        <x:f>ABS(E19-F19)</x:f>
        <x:v>7656.5</x:v>
      </x:c>
      <x:c r="H19" s="11" t="n">
        <x:f>D19</x:f>
        <x:v>6666</x:v>
      </x:c>
      <x:c r="I19" s="11" t="n">
        <x:f>ABS(E19-H19)</x:f>
        <x:v>5744</x:v>
      </x:c>
    </x:row>
    <x:row r="20">
      <x:c r="A20" s="1" t="str">
        <x:v>2024-09</x:v>
      </x:c>
      <x:c r="B20" s="1" t="str">
        <x:v>29360157</x:v>
      </x:c>
      <x:c r="C20" s="11" t="n">
        <x:v>21178</x:v>
      </x:c>
      <x:c r="D20" s="11" t="n">
        <x:v>9828</x:v>
      </x:c>
      <x:c r="E20" s="11" t="n">
        <x:v>5817</x:v>
      </x:c>
      <x:c r="F20" s="11" t="n">
        <x:f>AVERAGE(C20:D20)</x:f>
        <x:v>15503</x:v>
      </x:c>
      <x:c r="G20" s="11" t="n">
        <x:f>ABS(E20-F20)</x:f>
        <x:v>9686</x:v>
      </x:c>
      <x:c r="H20" s="11" t="n">
        <x:f>D20</x:f>
        <x:v>9828</x:v>
      </x:c>
      <x:c r="I20" s="11" t="n">
        <x:f>ABS(E20-H20)</x:f>
        <x:v>4011</x:v>
      </x:c>
    </x:row>
    <x:row r="21">
      <x:c r="A21" s="1" t="str">
        <x:v>2024-09</x:v>
      </x:c>
      <x:c r="B21" s="1" t="str">
        <x:v>200739259</x:v>
      </x:c>
      <x:c r="C21" s="11" t="n">
        <x:v>637</x:v>
      </x:c>
      <x:c r="D21" s="11" t="n">
        <x:v>3667</x:v>
      </x:c>
      <x:c r="E21" s="11" t="n">
        <x:v>2935</x:v>
      </x:c>
      <x:c r="F21" s="11" t="n">
        <x:f>AVERAGE(C21:D21)</x:f>
        <x:v>2152</x:v>
      </x:c>
      <x:c r="G21" s="11" t="n">
        <x:f>ABS(E21-F21)</x:f>
        <x:v>783</x:v>
      </x:c>
      <x:c r="H21" s="11" t="n">
        <x:f>D21</x:f>
        <x:v>3667</x:v>
      </x:c>
      <x:c r="I21" s="11" t="n">
        <x:f>ABS(E21-H21)</x:f>
        <x:v>732</x:v>
      </x:c>
    </x:row>
    <x:row r="22">
      <x:c r="A22" s="1" t="str">
        <x:v>2024-09</x:v>
      </x:c>
      <x:c r="B22" s="1" t="str">
        <x:v>196159686</x:v>
      </x:c>
      <x:c r="C22" s="11" t="n">
        <x:v>7798</x:v>
      </x:c>
      <x:c r="D22" s="11" t="n">
        <x:v>8417</x:v>
      </x:c>
      <x:c r="E22" s="11" t="n">
        <x:v>3753</x:v>
      </x:c>
      <x:c r="F22" s="11" t="n">
        <x:f>AVERAGE(C22:D22)</x:f>
        <x:v>8107.5</x:v>
      </x:c>
      <x:c r="G22" s="11" t="n">
        <x:f>ABS(E22-F22)</x:f>
        <x:v>4354.5</x:v>
      </x:c>
      <x:c r="H22" s="11" t="n">
        <x:f>D22</x:f>
        <x:v>8417</x:v>
      </x:c>
      <x:c r="I22" s="11" t="n">
        <x:f>ABS(E22-H22)</x:f>
        <x:v>4664</x:v>
      </x:c>
    </x:row>
    <x:row r="23">
      <x:c r="A23" s="1" t="str">
        <x:v>2024-09</x:v>
      </x:c>
      <x:c r="B23" s="1" t="str">
        <x:v>109499064</x:v>
      </x:c>
      <x:c r="C23" s="11" t="n">
        <x:v>975</x:v>
      </x:c>
      <x:c r="D23" s="11" t="n">
        <x:v>4820</x:v>
      </x:c>
      <x:c r="E23" s="11" t="n">
        <x:v>8718</x:v>
      </x:c>
      <x:c r="F23" s="11" t="n">
        <x:f>AVERAGE(C23:D23)</x:f>
        <x:v>2897.5</x:v>
      </x:c>
      <x:c r="G23" s="11" t="n">
        <x:f>ABS(E23-F23)</x:f>
        <x:v>5820.5</x:v>
      </x:c>
      <x:c r="H23" s="11" t="n">
        <x:f>D23</x:f>
        <x:v>4820</x:v>
      </x:c>
      <x:c r="I23" s="11" t="n">
        <x:f>ABS(E23-H23)</x:f>
        <x:v>3898</x:v>
      </x:c>
    </x:row>
    <x:row r="24">
      <x:c r="A24" s="1" t="str">
        <x:v>2024-09</x:v>
      </x:c>
      <x:c r="B24" s="1" t="str">
        <x:v>200739284</x:v>
      </x:c>
      <x:c r="C24" s="11" t="n">
        <x:v>2093</x:v>
      </x:c>
      <x:c r="D24" s="11" t="n">
        <x:v>2556</x:v>
      </x:c>
      <x:c r="E24" s="11" t="n">
        <x:v>4094</x:v>
      </x:c>
      <x:c r="F24" s="11" t="n">
        <x:f>AVERAGE(C24:D24)</x:f>
        <x:v>2324.5</x:v>
      </x:c>
      <x:c r="G24" s="11" t="n">
        <x:f>ABS(E24-F24)</x:f>
        <x:v>1769.5</x:v>
      </x:c>
      <x:c r="H24" s="11" t="n">
        <x:f>D24</x:f>
        <x:v>2556</x:v>
      </x:c>
      <x:c r="I24" s="11" t="n">
        <x:f>ABS(E24-H24)</x:f>
        <x:v>1538</x:v>
      </x:c>
    </x:row>
    <x:row r="25">
      <x:c r="A25" s="1" t="str">
        <x:v>2024-10</x:v>
      </x:c>
      <x:c r="B25" s="1" t="str">
        <x:v>15445452</x:v>
      </x:c>
      <x:c r="C25" s="11" t="n">
        <x:v>10639</x:v>
      </x:c>
      <x:c r="D25" s="11" t="n">
        <x:v>15132</x:v>
      </x:c>
      <x:c r="E25" s="11" t="n">
        <x:v>21709</x:v>
      </x:c>
      <x:c r="F25" s="11" t="n">
        <x:f>AVERAGE(C25:D25)</x:f>
        <x:v>12885.5</x:v>
      </x:c>
      <x:c r="G25" s="11" t="n">
        <x:f>ABS(E25-F25)</x:f>
        <x:v>8823.5</x:v>
      </x:c>
      <x:c r="H25" s="11" t="n">
        <x:f>D25</x:f>
        <x:v>15132</x:v>
      </x:c>
      <x:c r="I25" s="11" t="n">
        <x:f>ABS(E25-H25)</x:f>
        <x:v>6577</x:v>
      </x:c>
    </x:row>
    <x:row r="26">
      <x:c r="A26" s="1" t="str">
        <x:v>2024-10</x:v>
      </x:c>
      <x:c r="B26" s="1" t="str">
        <x:v>22893732</x:v>
      </x:c>
      <x:c r="C26" s="11" t="n">
        <x:v>9870</x:v>
      </x:c>
      <x:c r="D26" s="11" t="n">
        <x:v>13878</x:v>
      </x:c>
      <x:c r="E26" s="11" t="n">
        <x:v>19503</x:v>
      </x:c>
      <x:c r="F26" s="11" t="n">
        <x:f>AVERAGE(C26:D26)</x:f>
        <x:v>11874</x:v>
      </x:c>
      <x:c r="G26" s="11" t="n">
        <x:f>ABS(E26-F26)</x:f>
        <x:v>7629</x:v>
      </x:c>
      <x:c r="H26" s="11" t="n">
        <x:f>D26</x:f>
        <x:v>13878</x:v>
      </x:c>
      <x:c r="I26" s="11" t="n">
        <x:f>ABS(E26-H26)</x:f>
        <x:v>5625</x:v>
      </x:c>
    </x:row>
    <x:row r="27">
      <x:c r="A27" s="1" t="str">
        <x:v>2024-10</x:v>
      </x:c>
      <x:c r="B27" s="1" t="str">
        <x:v>18985539</x:v>
      </x:c>
      <x:c r="C27" s="11" t="n">
        <x:v>6666</x:v>
      </x:c>
      <x:c r="D27" s="11" t="n">
        <x:v>12410</x:v>
      </x:c>
      <x:c r="E27" s="11" t="n">
        <x:v>10109</x:v>
      </x:c>
      <x:c r="F27" s="11" t="n">
        <x:f>AVERAGE(C27:D27)</x:f>
        <x:v>9538</x:v>
      </x:c>
      <x:c r="G27" s="11" t="n">
        <x:f>ABS(E27-F27)</x:f>
        <x:v>571</x:v>
      </x:c>
      <x:c r="H27" s="11" t="n">
        <x:f>D27</x:f>
        <x:v>12410</x:v>
      </x:c>
      <x:c r="I27" s="11" t="n">
        <x:f>ABS(E27-H27)</x:f>
        <x:v>2301</x:v>
      </x:c>
    </x:row>
    <x:row r="28">
      <x:c r="A28" s="1" t="str">
        <x:v>2024-10</x:v>
      </x:c>
      <x:c r="B28" s="1" t="str">
        <x:v>200739279</x:v>
      </x:c>
      <x:c r="C28" s="11" t="n">
        <x:v>2548</x:v>
      </x:c>
      <x:c r="D28" s="11" t="n">
        <x:v>7761</x:v>
      </x:c>
      <x:c r="E28" s="11" t="n">
        <x:v>3881</x:v>
      </x:c>
      <x:c r="F28" s="11" t="n">
        <x:f>AVERAGE(C28:D28)</x:f>
        <x:v>5154.5</x:v>
      </x:c>
      <x:c r="G28" s="11" t="n">
        <x:f>ABS(E28-F28)</x:f>
        <x:v>1273.5</x:v>
      </x:c>
      <x:c r="H28" s="11" t="n">
        <x:f>D28</x:f>
        <x:v>7761</x:v>
      </x:c>
      <x:c r="I28" s="11" t="n">
        <x:f>ABS(E28-H28)</x:f>
        <x:v>3880</x:v>
      </x:c>
    </x:row>
    <x:row r="29">
      <x:c r="A29" s="1" t="str">
        <x:v>2024-10</x:v>
      </x:c>
      <x:c r="B29" s="1" t="str">
        <x:v>109499064</x:v>
      </x:c>
      <x:c r="C29" s="11" t="n">
        <x:v>4820</x:v>
      </x:c>
      <x:c r="D29" s="11" t="n">
        <x:v>8718</x:v>
      </x:c>
      <x:c r="E29" s="11" t="n">
        <x:v>7881</x:v>
      </x:c>
      <x:c r="F29" s="11" t="n">
        <x:f>AVERAGE(C29:D29)</x:f>
        <x:v>6769</x:v>
      </x:c>
      <x:c r="G29" s="11" t="n">
        <x:f>ABS(E29-F29)</x:f>
        <x:v>1112</x:v>
      </x:c>
      <x:c r="H29" s="11" t="n">
        <x:f>D29</x:f>
        <x:v>8718</x:v>
      </x:c>
      <x:c r="I29" s="11" t="n">
        <x:f>ABS(E29-H29)</x:f>
        <x:v>837</x:v>
      </x:c>
    </x:row>
    <x:row r="30">
      <x:c r="A30" s="1" t="str">
        <x:v>2024-10</x:v>
      </x:c>
      <x:c r="B30" s="1" t="str">
        <x:v>17381009</x:v>
      </x:c>
      <x:c r="C30" s="11" t="n">
        <x:v>2248</x:v>
      </x:c>
      <x:c r="D30" s="11" t="n">
        <x:v>5689</x:v>
      </x:c>
      <x:c r="E30" s="11" t="n">
        <x:v>3811</x:v>
      </x:c>
      <x:c r="F30" s="11" t="n">
        <x:f>AVERAGE(C30:D30)</x:f>
        <x:v>3968.5</x:v>
      </x:c>
      <x:c r="G30" s="11" t="n">
        <x:f>ABS(E30-F30)</x:f>
        <x:v>157.5</x:v>
      </x:c>
      <x:c r="H30" s="11" t="n">
        <x:f>D30</x:f>
        <x:v>5689</x:v>
      </x:c>
      <x:c r="I30" s="11" t="n">
        <x:f>ABS(E30-H30)</x:f>
        <x:v>1878</x:v>
      </x:c>
    </x:row>
    <x:row r="31">
      <x:c r="A31" s="1" t="str">
        <x:v>2024-10</x:v>
      </x:c>
      <x:c r="B31" s="1" t="str">
        <x:v>17381008</x:v>
      </x:c>
      <x:c r="C31" s="11" t="n">
        <x:v>2779</x:v>
      </x:c>
      <x:c r="D31" s="11" t="n">
        <x:v>6273</x:v>
      </x:c>
      <x:c r="E31" s="11" t="n">
        <x:v>5069</x:v>
      </x:c>
      <x:c r="F31" s="11" t="n">
        <x:f>AVERAGE(C31:D31)</x:f>
        <x:v>4526</x:v>
      </x:c>
      <x:c r="G31" s="11" t="n">
        <x:f>ABS(E31-F31)</x:f>
        <x:v>543</x:v>
      </x:c>
      <x:c r="H31" s="11" t="n">
        <x:f>D31</x:f>
        <x:v>6273</x:v>
      </x:c>
      <x:c r="I31" s="11" t="n">
        <x:f>ABS(E31-H31)</x:f>
        <x:v>1204</x:v>
      </x:c>
    </x:row>
    <x:row r="32">
      <x:c r="A32" s="1" t="str">
        <x:v>2024-10</x:v>
      </x:c>
      <x:c r="B32" s="1" t="str">
        <x:v>201761293</x:v>
      </x:c>
      <x:c r="C32" s="11" t="n">
        <x:v>2668</x:v>
      </x:c>
      <x:c r="D32" s="11" t="n">
        <x:v>5267</x:v>
      </x:c>
      <x:c r="E32" s="11" t="n">
        <x:v>4631</x:v>
      </x:c>
      <x:c r="F32" s="11" t="n">
        <x:f>AVERAGE(C32:D32)</x:f>
        <x:v>3967.5</x:v>
      </x:c>
      <x:c r="G32" s="11" t="n">
        <x:f>ABS(E32-F32)</x:f>
        <x:v>663.5</x:v>
      </x:c>
      <x:c r="H32" s="11" t="n">
        <x:f>D32</x:f>
        <x:v>5267</x:v>
      </x:c>
      <x:c r="I32" s="11" t="n">
        <x:f>ABS(E32-H32)</x:f>
        <x:v>636</x:v>
      </x:c>
    </x:row>
    <x:row r="33">
      <x:c r="A33" s="1" t="str">
        <x:v>2024-10</x:v>
      </x:c>
      <x:c r="B33" s="1" t="str">
        <x:v>19165094</x:v>
      </x:c>
      <x:c r="C33" s="11" t="n">
        <x:v>2069</x:v>
      </x:c>
      <x:c r="D33" s="11" t="n">
        <x:v>5804</x:v>
      </x:c>
      <x:c r="E33" s="11" t="n">
        <x:v>4775</x:v>
      </x:c>
      <x:c r="F33" s="11" t="n">
        <x:f>AVERAGE(C33:D33)</x:f>
        <x:v>3936.5</x:v>
      </x:c>
      <x:c r="G33" s="11" t="n">
        <x:f>ABS(E33-F33)</x:f>
        <x:v>838.5</x:v>
      </x:c>
      <x:c r="H33" s="11" t="n">
        <x:f>D33</x:f>
        <x:v>5804</x:v>
      </x:c>
      <x:c r="I33" s="11" t="n">
        <x:f>ABS(E33-H33)</x:f>
        <x:v>1029</x:v>
      </x:c>
    </x:row>
    <x:row r="34">
      <x:c r="A34" s="1" t="str">
        <x:v>2024-10</x:v>
      </x:c>
      <x:c r="B34" s="1" t="str">
        <x:v>145845813</x:v>
      </x:c>
      <x:c r="C34" s="11" t="n">
        <x:v>3270</x:v>
      </x:c>
      <x:c r="D34" s="11" t="n">
        <x:v>5739</x:v>
      </x:c>
      <x:c r="E34" s="11" t="n">
        <x:v>7054</x:v>
      </x:c>
      <x:c r="F34" s="11" t="n">
        <x:f>AVERAGE(C34:D34)</x:f>
        <x:v>4504.5</x:v>
      </x:c>
      <x:c r="G34" s="11" t="n">
        <x:f>ABS(E34-F34)</x:f>
        <x:v>2549.5</x:v>
      </x:c>
      <x:c r="H34" s="11" t="n">
        <x:f>D34</x:f>
        <x:v>5739</x:v>
      </x:c>
      <x:c r="I34" s="11" t="n">
        <x:f>ABS(E34-H34)</x:f>
        <x:v>1315</x:v>
      </x:c>
    </x:row>
    <x:row r="35">
      <x:c r="A35" s="1" t="str">
        <x:v>2024-11</x:v>
      </x:c>
      <x:c r="B35" s="1" t="str">
        <x:v>15445452</x:v>
      </x:c>
      <x:c r="C35" s="11" t="n">
        <x:v>15132</x:v>
      </x:c>
      <x:c r="D35" s="11" t="n">
        <x:v>21709</x:v>
      </x:c>
      <x:c r="E35" s="11" t="n">
        <x:v>21213</x:v>
      </x:c>
      <x:c r="F35" s="11" t="n">
        <x:f>AVERAGE(C35:D35)</x:f>
        <x:v>18420.5</x:v>
      </x:c>
      <x:c r="G35" s="11" t="n">
        <x:f>ABS(E35-F35)</x:f>
        <x:v>2792.5</x:v>
      </x:c>
      <x:c r="H35" s="11" t="n">
        <x:f>D35</x:f>
        <x:v>21709</x:v>
      </x:c>
      <x:c r="I35" s="11" t="n">
        <x:f>ABS(E35-H35)</x:f>
        <x:v>496</x:v>
      </x:c>
    </x:row>
    <x:row r="36">
      <x:c r="A36" s="1" t="str">
        <x:v>2024-11</x:v>
      </x:c>
      <x:c r="B36" s="1" t="str">
        <x:v>22893732</x:v>
      </x:c>
      <x:c r="C36" s="11" t="n">
        <x:v>13878</x:v>
      </x:c>
      <x:c r="D36" s="11" t="n">
        <x:v>19503</x:v>
      </x:c>
      <x:c r="E36" s="11" t="n">
        <x:v>20869</x:v>
      </x:c>
      <x:c r="F36" s="11" t="n">
        <x:f>AVERAGE(C36:D36)</x:f>
        <x:v>16690.5</x:v>
      </x:c>
      <x:c r="G36" s="11" t="n">
        <x:f>ABS(E36-F36)</x:f>
        <x:v>4178.5</x:v>
      </x:c>
      <x:c r="H36" s="11" t="n">
        <x:f>D36</x:f>
        <x:v>19503</x:v>
      </x:c>
      <x:c r="I36" s="11" t="n">
        <x:f>ABS(E36-H36)</x:f>
        <x:v>1366</x:v>
      </x:c>
    </x:row>
    <x:row r="37">
      <x:c r="A37" s="1" t="str">
        <x:v>2024-11</x:v>
      </x:c>
      <x:c r="B37" s="1" t="str">
        <x:v>18985539</x:v>
      </x:c>
      <x:c r="C37" s="11" t="n">
        <x:v>12410</x:v>
      </x:c>
      <x:c r="D37" s="11" t="n">
        <x:v>10109</x:v>
      </x:c>
      <x:c r="E37" s="11" t="n">
        <x:v>11381</x:v>
      </x:c>
      <x:c r="F37" s="11" t="n">
        <x:f>AVERAGE(C37:D37)</x:f>
        <x:v>11259.5</x:v>
      </x:c>
      <x:c r="G37" s="11" t="n">
        <x:f>ABS(E37-F37)</x:f>
        <x:v>121.5</x:v>
      </x:c>
      <x:c r="H37" s="11" t="n">
        <x:f>D37</x:f>
        <x:v>10109</x:v>
      </x:c>
      <x:c r="I37" s="11" t="n">
        <x:f>ABS(E37-H37)</x:f>
        <x:v>1272</x:v>
      </x:c>
    </x:row>
    <x:row r="38">
      <x:c r="A38" s="1" t="str">
        <x:v>2024-11</x:v>
      </x:c>
      <x:c r="B38" s="1" t="str">
        <x:v>145845813</x:v>
      </x:c>
      <x:c r="C38" s="11" t="n">
        <x:v>5739</x:v>
      </x:c>
      <x:c r="D38" s="11" t="n">
        <x:v>7054</x:v>
      </x:c>
      <x:c r="E38" s="11" t="n">
        <x:v>7700</x:v>
      </x:c>
      <x:c r="F38" s="11" t="n">
        <x:f>AVERAGE(C38:D38)</x:f>
        <x:v>6396.5</x:v>
      </x:c>
      <x:c r="G38" s="11" t="n">
        <x:f>ABS(E38-F38)</x:f>
        <x:v>1303.5</x:v>
      </x:c>
      <x:c r="H38" s="11" t="n">
        <x:f>D38</x:f>
        <x:v>7054</x:v>
      </x:c>
      <x:c r="I38" s="11" t="n">
        <x:f>ABS(E38-H38)</x:f>
        <x:v>646</x:v>
      </x:c>
    </x:row>
    <x:row r="39">
      <x:c r="A39" s="1" t="str">
        <x:v>2024-11</x:v>
      </x:c>
      <x:c r="B39" s="1" t="str">
        <x:v>109499064</x:v>
      </x:c>
      <x:c r="C39" s="11" t="n">
        <x:v>8718</x:v>
      </x:c>
      <x:c r="D39" s="11" t="n">
        <x:v>7881</x:v>
      </x:c>
      <x:c r="E39" s="11" t="n">
        <x:v>8294</x:v>
      </x:c>
      <x:c r="F39" s="11" t="n">
        <x:f>AVERAGE(C39:D39)</x:f>
        <x:v>8299.5</x:v>
      </x:c>
      <x:c r="G39" s="11" t="n">
        <x:f>ABS(E39-F39)</x:f>
        <x:v>5.5</x:v>
      </x:c>
      <x:c r="H39" s="11" t="n">
        <x:f>D39</x:f>
        <x:v>7881</x:v>
      </x:c>
      <x:c r="I39" s="11" t="n">
        <x:f>ABS(E39-H39)</x:f>
        <x:v>413</x:v>
      </x:c>
    </x:row>
    <x:row r="40">
      <x:c r="A40" s="1" t="str">
        <x:v>2024-11</x:v>
      </x:c>
      <x:c r="B40" s="1" t="str">
        <x:v>198068987</x:v>
      </x:c>
      <x:c r="C40" s="11" t="n">
        <x:v>5804</x:v>
      </x:c>
      <x:c r="D40" s="11" t="n">
        <x:v>6160</x:v>
      </x:c>
      <x:c r="E40" s="11" t="n">
        <x:v>9451</x:v>
      </x:c>
      <x:c r="F40" s="11" t="n">
        <x:f>AVERAGE(C40:D40)</x:f>
        <x:v>5982</x:v>
      </x:c>
      <x:c r="G40" s="11" t="n">
        <x:f>ABS(E40-F40)</x:f>
        <x:v>3469</x:v>
      </x:c>
      <x:c r="H40" s="11" t="n">
        <x:f>D40</x:f>
        <x:v>6160</x:v>
      </x:c>
      <x:c r="I40" s="11" t="n">
        <x:f>ABS(E40-H40)</x:f>
        <x:v>3291</x:v>
      </x:c>
    </x:row>
    <x:row r="41">
      <x:c r="A41" s="1" t="str">
        <x:v>2024-11</x:v>
      </x:c>
      <x:c r="B41" s="1" t="str">
        <x:v>35675795</x:v>
      </x:c>
      <x:c r="C41" s="11" t="n">
        <x:v>6057</x:v>
      </x:c>
      <x:c r="D41" s="11" t="n">
        <x:v>6102</x:v>
      </x:c>
      <x:c r="E41" s="11" t="n">
        <x:v>6650</x:v>
      </x:c>
      <x:c r="F41" s="11" t="n">
        <x:f>AVERAGE(C41:D41)</x:f>
        <x:v>6079.5</x:v>
      </x:c>
      <x:c r="G41" s="11" t="n">
        <x:f>ABS(E41-F41)</x:f>
        <x:v>570.5</x:v>
      </x:c>
      <x:c r="H41" s="11" t="n">
        <x:f>D41</x:f>
        <x:v>6102</x:v>
      </x:c>
      <x:c r="I41" s="11" t="n">
        <x:f>ABS(E41-H41)</x:f>
        <x:v>548</x:v>
      </x:c>
    </x:row>
    <x:row r="42">
      <x:c r="A42" s="1" t="str">
        <x:v>2024-11</x:v>
      </x:c>
      <x:c r="B42" s="1" t="str">
        <x:v>201761293</x:v>
      </x:c>
      <x:c r="C42" s="11" t="n">
        <x:v>5267</x:v>
      </x:c>
      <x:c r="D42" s="11" t="n">
        <x:v>4631</x:v>
      </x:c>
      <x:c r="E42" s="11" t="n">
        <x:v>6426</x:v>
      </x:c>
      <x:c r="F42" s="11" t="n">
        <x:f>AVERAGE(C42:D42)</x:f>
        <x:v>4949</x:v>
      </x:c>
      <x:c r="G42" s="11" t="n">
        <x:f>ABS(E42-F42)</x:f>
        <x:v>1477</x:v>
      </x:c>
      <x:c r="H42" s="11" t="n">
        <x:f>D42</x:f>
        <x:v>4631</x:v>
      </x:c>
      <x:c r="I42" s="11" t="n">
        <x:f>ABS(E42-H42)</x:f>
        <x:v>1795</x:v>
      </x:c>
    </x:row>
    <x:row r="43">
      <x:c r="A43" s="1" t="str">
        <x:v>2024-11</x:v>
      </x:c>
      <x:c r="B43" s="1" t="str">
        <x:v>17381008</x:v>
      </x:c>
      <x:c r="C43" s="11" t="n">
        <x:v>6273</x:v>
      </x:c>
      <x:c r="D43" s="11" t="n">
        <x:v>5069</x:v>
      </x:c>
      <x:c r="E43" s="11" t="n">
        <x:v>6044</x:v>
      </x:c>
      <x:c r="F43" s="11" t="n">
        <x:f>AVERAGE(C43:D43)</x:f>
        <x:v>5671</x:v>
      </x:c>
      <x:c r="G43" s="11" t="n">
        <x:f>ABS(E43-F43)</x:f>
        <x:v>373</x:v>
      </x:c>
      <x:c r="H43" s="11" t="n">
        <x:f>D43</x:f>
        <x:v>5069</x:v>
      </x:c>
      <x:c r="I43" s="11" t="n">
        <x:f>ABS(E43-H43)</x:f>
        <x:v>975</x:v>
      </x:c>
    </x:row>
    <x:row r="44">
      <x:c r="A44" s="1" t="str">
        <x:v>2024-11</x:v>
      </x:c>
      <x:c r="B44" s="1" t="str">
        <x:v>19165094</x:v>
      </x:c>
      <x:c r="C44" s="11" t="n">
        <x:v>5804</x:v>
      </x:c>
      <x:c r="D44" s="11" t="n">
        <x:v>4775</x:v>
      </x:c>
      <x:c r="E44" s="11" t="n">
        <x:v>7110</x:v>
      </x:c>
      <x:c r="F44" s="11" t="n">
        <x:f>AVERAGE(C44:D44)</x:f>
        <x:v>5289.5</x:v>
      </x:c>
      <x:c r="G44" s="11" t="n">
        <x:f>ABS(E44-F44)</x:f>
        <x:v>1820.5</x:v>
      </x:c>
      <x:c r="H44" s="11" t="n">
        <x:f>D44</x:f>
        <x:v>4775</x:v>
      </x:c>
      <x:c r="I44" s="11" t="n">
        <x:f>ABS(E44-H44)</x:f>
        <x:v>2335</x:v>
      </x:c>
    </x:row>
    <x:row r="45">
      <x:c r="A45" s="1" t="str">
        <x:v>2024-12</x:v>
      </x:c>
      <x:c r="B45" s="1" t="str">
        <x:v>15445452</x:v>
      </x:c>
      <x:c r="C45" s="11" t="n">
        <x:v>21709</x:v>
      </x:c>
      <x:c r="D45" s="11" t="n">
        <x:v>21213</x:v>
      </x:c>
      <x:c r="E45" s="11" t="n">
        <x:v>15355</x:v>
      </x:c>
      <x:c r="F45" s="11" t="n">
        <x:f>AVERAGE(C45:D45)</x:f>
        <x:v>21461</x:v>
      </x:c>
      <x:c r="G45" s="11" t="n">
        <x:f>ABS(E45-F45)</x:f>
        <x:v>6106</x:v>
      </x:c>
      <x:c r="H45" s="11" t="n">
        <x:f>D45</x:f>
        <x:v>21213</x:v>
      </x:c>
      <x:c r="I45" s="11" t="n">
        <x:f>ABS(E45-H45)</x:f>
        <x:v>5858</x:v>
      </x:c>
    </x:row>
    <x:row r="46">
      <x:c r="A46" s="1" t="str">
        <x:v>2024-12</x:v>
      </x:c>
      <x:c r="B46" s="1" t="str">
        <x:v>22893732</x:v>
      </x:c>
      <x:c r="C46" s="11" t="n">
        <x:v>19503</x:v>
      </x:c>
      <x:c r="D46" s="11" t="n">
        <x:v>20869</x:v>
      </x:c>
      <x:c r="E46" s="11" t="n">
        <x:v>25728</x:v>
      </x:c>
      <x:c r="F46" s="11" t="n">
        <x:f>AVERAGE(C46:D46)</x:f>
        <x:v>20186</x:v>
      </x:c>
      <x:c r="G46" s="11" t="n">
        <x:f>ABS(E46-F46)</x:f>
        <x:v>5542</x:v>
      </x:c>
      <x:c r="H46" s="11" t="n">
        <x:f>D46</x:f>
        <x:v>20869</x:v>
      </x:c>
      <x:c r="I46" s="11" t="n">
        <x:f>ABS(E46-H46)</x:f>
        <x:v>4859</x:v>
      </x:c>
    </x:row>
    <x:row r="47">
      <x:c r="A47" s="1" t="str">
        <x:v>2024-12</x:v>
      </x:c>
      <x:c r="B47" s="1" t="str">
        <x:v>18985539</x:v>
      </x:c>
      <x:c r="C47" s="11" t="n">
        <x:v>10109</x:v>
      </x:c>
      <x:c r="D47" s="11" t="n">
        <x:v>11381</x:v>
      </x:c>
      <x:c r="E47" s="11" t="n">
        <x:v>8462</x:v>
      </x:c>
      <x:c r="F47" s="11" t="n">
        <x:f>AVERAGE(C47:D47)</x:f>
        <x:v>10745</x:v>
      </x:c>
      <x:c r="G47" s="11" t="n">
        <x:f>ABS(E47-F47)</x:f>
        <x:v>2283</x:v>
      </x:c>
      <x:c r="H47" s="11" t="n">
        <x:f>D47</x:f>
        <x:v>11381</x:v>
      </x:c>
      <x:c r="I47" s="11" t="n">
        <x:f>ABS(E47-H47)</x:f>
        <x:v>2919</x:v>
      </x:c>
    </x:row>
    <x:row r="48">
      <x:c r="A48" s="1" t="str">
        <x:v>2024-12</x:v>
      </x:c>
      <x:c r="B48" s="1" t="str">
        <x:v>200738148</x:v>
      </x:c>
      <x:c r="C48" s="11" t="n">
        <x:v>3285</x:v>
      </x:c>
      <x:c r="D48" s="11" t="n">
        <x:v>8095</x:v>
      </x:c>
      <x:c r="E48" s="11" t="n">
        <x:v>5782</x:v>
      </x:c>
      <x:c r="F48" s="11" t="n">
        <x:f>AVERAGE(C48:D48)</x:f>
        <x:v>5690</x:v>
      </x:c>
      <x:c r="G48" s="11" t="n">
        <x:f>ABS(E48-F48)</x:f>
        <x:v>92</x:v>
      </x:c>
      <x:c r="H48" s="11" t="n">
        <x:f>D48</x:f>
        <x:v>8095</x:v>
      </x:c>
      <x:c r="I48" s="11" t="n">
        <x:f>ABS(E48-H48)</x:f>
        <x:v>2313</x:v>
      </x:c>
    </x:row>
    <x:row r="49">
      <x:c r="A49" s="1" t="str">
        <x:v>2024-12</x:v>
      </x:c>
      <x:c r="B49" s="1" t="str">
        <x:v>198068987</x:v>
      </x:c>
      <x:c r="C49" s="11" t="n">
        <x:v>6160</x:v>
      </x:c>
      <x:c r="D49" s="11" t="n">
        <x:v>9451</x:v>
      </x:c>
      <x:c r="E49" s="11" t="n">
        <x:v>9157</x:v>
      </x:c>
      <x:c r="F49" s="11" t="n">
        <x:f>AVERAGE(C49:D49)</x:f>
        <x:v>7805.5</x:v>
      </x:c>
      <x:c r="G49" s="11" t="n">
        <x:f>ABS(E49-F49)</x:f>
        <x:v>1351.5</x:v>
      </x:c>
      <x:c r="H49" s="11" t="n">
        <x:f>D49</x:f>
        <x:v>9451</x:v>
      </x:c>
      <x:c r="I49" s="11" t="n">
        <x:f>ABS(E49-H49)</x:f>
        <x:v>294</x:v>
      </x:c>
    </x:row>
    <x:row r="50">
      <x:c r="A50" s="1" t="str">
        <x:v>2024-12</x:v>
      </x:c>
      <x:c r="B50" s="1" t="str">
        <x:v>145845813</x:v>
      </x:c>
      <x:c r="C50" s="11" t="n">
        <x:v>7054</x:v>
      </x:c>
      <x:c r="D50" s="11" t="n">
        <x:v>7700</x:v>
      </x:c>
      <x:c r="E50" s="11" t="n">
        <x:v>9017</x:v>
      </x:c>
      <x:c r="F50" s="11" t="n">
        <x:f>AVERAGE(C50:D50)</x:f>
        <x:v>7377</x:v>
      </x:c>
      <x:c r="G50" s="11" t="n">
        <x:f>ABS(E50-F50)</x:f>
        <x:v>1640</x:v>
      </x:c>
      <x:c r="H50" s="11" t="n">
        <x:f>D50</x:f>
        <x:v>7700</x:v>
      </x:c>
      <x:c r="I50" s="11" t="n">
        <x:f>ABS(E50-H50)</x:f>
        <x:v>1317</x:v>
      </x:c>
    </x:row>
    <x:row r="51">
      <x:c r="A51" s="1" t="str">
        <x:v>2024-12</x:v>
      </x:c>
      <x:c r="B51" s="1" t="str">
        <x:v>200739284</x:v>
      </x:c>
      <x:c r="C51" s="11" t="n">
        <x:v>3722</x:v>
      </x:c>
      <x:c r="D51" s="11" t="n">
        <x:v>6534</x:v>
      </x:c>
      <x:c r="E51" s="11" t="n">
        <x:v>4518</x:v>
      </x:c>
      <x:c r="F51" s="11" t="n">
        <x:f>AVERAGE(C51:D51)</x:f>
        <x:v>5128</x:v>
      </x:c>
      <x:c r="G51" s="11" t="n">
        <x:f>ABS(E51-F51)</x:f>
        <x:v>610</x:v>
      </x:c>
      <x:c r="H51" s="11" t="n">
        <x:f>D51</x:f>
        <x:v>6534</x:v>
      </x:c>
      <x:c r="I51" s="11" t="n">
        <x:f>ABS(E51-H51)</x:f>
        <x:v>2016</x:v>
      </x:c>
    </x:row>
    <x:row r="52">
      <x:c r="A52" s="1" t="str">
        <x:v>2024-12</x:v>
      </x:c>
      <x:c r="B52" s="1" t="str">
        <x:v>201761293</x:v>
      </x:c>
      <x:c r="C52" s="11" t="n">
        <x:v>4631</x:v>
      </x:c>
      <x:c r="D52" s="11" t="n">
        <x:v>6426</x:v>
      </x:c>
      <x:c r="E52" s="11" t="n">
        <x:v>6111</x:v>
      </x:c>
      <x:c r="F52" s="11" t="n">
        <x:f>AVERAGE(C52:D52)</x:f>
        <x:v>5528.5</x:v>
      </x:c>
      <x:c r="G52" s="11" t="n">
        <x:f>ABS(E52-F52)</x:f>
        <x:v>582.5</x:v>
      </x:c>
      <x:c r="H52" s="11" t="n">
        <x:f>D52</x:f>
        <x:v>6426</x:v>
      </x:c>
      <x:c r="I52" s="11" t="n">
        <x:f>ABS(E52-H52)</x:f>
        <x:v>315</x:v>
      </x:c>
    </x:row>
    <x:row r="53">
      <x:c r="A53" s="1" t="str">
        <x:v>2024-12</x:v>
      </x:c>
      <x:c r="B53" s="1" t="str">
        <x:v>19165094</x:v>
      </x:c>
      <x:c r="C53" s="11" t="n">
        <x:v>4775</x:v>
      </x:c>
      <x:c r="D53" s="11" t="n">
        <x:v>7110</x:v>
      </x:c>
      <x:c r="E53" s="11" t="n">
        <x:v>5925</x:v>
      </x:c>
      <x:c r="F53" s="11" t="n">
        <x:f>AVERAGE(C53:D53)</x:f>
        <x:v>5942.5</x:v>
      </x:c>
      <x:c r="G53" s="11" t="n">
        <x:f>ABS(E53-F53)</x:f>
        <x:v>17.5</x:v>
      </x:c>
      <x:c r="H53" s="11" t="n">
        <x:f>D53</x:f>
        <x:v>7110</x:v>
      </x:c>
      <x:c r="I53" s="11" t="n">
        <x:f>ABS(E53-H53)</x:f>
        <x:v>1185</x:v>
      </x:c>
    </x:row>
    <x:row r="54">
      <x:c r="A54" s="1" t="str">
        <x:v>2024-12</x:v>
      </x:c>
      <x:c r="B54" s="1" t="str">
        <x:v>17381009</x:v>
      </x:c>
      <x:c r="C54" s="11" t="n">
        <x:v>3811</x:v>
      </x:c>
      <x:c r="D54" s="11" t="n">
        <x:v>6205</x:v>
      </x:c>
      <x:c r="E54" s="11" t="n">
        <x:v>3948</x:v>
      </x:c>
      <x:c r="F54" s="11" t="n">
        <x:f>AVERAGE(C54:D54)</x:f>
        <x:v>5008</x:v>
      </x:c>
      <x:c r="G54" s="11" t="n">
        <x:f>ABS(E54-F54)</x:f>
        <x:v>1060</x:v>
      </x:c>
      <x:c r="H54" s="11" t="n">
        <x:f>D54</x:f>
        <x:v>6205</x:v>
      </x:c>
      <x:c r="I54" s="11" t="n">
        <x:f>ABS(E54-H54)</x:f>
        <x:v>2257</x:v>
      </x:c>
    </x:row>
    <x:row r="55">
      <x:c r="A55" s="1" t="str">
        <x:v>2025-01</x:v>
      </x:c>
      <x:c r="B55" s="1" t="str">
        <x:v>22893732</x:v>
      </x:c>
      <x:c r="C55" s="11" t="n">
        <x:v>20869</x:v>
      </x:c>
      <x:c r="D55" s="11" t="n">
        <x:v>25728</x:v>
      </x:c>
      <x:c r="E55" s="11" t="n">
        <x:v>10219</x:v>
      </x:c>
      <x:c r="F55" s="11" t="n">
        <x:f>AVERAGE(C55:D55)</x:f>
        <x:v>23298.5</x:v>
      </x:c>
      <x:c r="G55" s="11" t="n">
        <x:f>ABS(E55-F55)</x:f>
        <x:v>13079.5</x:v>
      </x:c>
      <x:c r="H55" s="11" t="n">
        <x:f>D55</x:f>
        <x:v>25728</x:v>
      </x:c>
      <x:c r="I55" s="11" t="n">
        <x:f>ABS(E55-H55)</x:f>
        <x:v>15509</x:v>
      </x:c>
    </x:row>
    <x:row r="56">
      <x:c r="A56" s="1" t="str">
        <x:v>2025-01</x:v>
      </x:c>
      <x:c r="B56" s="1" t="str">
        <x:v>15445452</x:v>
      </x:c>
      <x:c r="C56" s="11" t="n">
        <x:v>21213</x:v>
      </x:c>
      <x:c r="D56" s="11" t="n">
        <x:v>15355</x:v>
      </x:c>
      <x:c r="E56" s="11" t="n">
        <x:v>14914</x:v>
      </x:c>
      <x:c r="F56" s="11" t="n">
        <x:f>AVERAGE(C56:D56)</x:f>
        <x:v>18284</x:v>
      </x:c>
      <x:c r="G56" s="11" t="n">
        <x:f>ABS(E56-F56)</x:f>
        <x:v>3370</x:v>
      </x:c>
      <x:c r="H56" s="11" t="n">
        <x:f>D56</x:f>
        <x:v>15355</x:v>
      </x:c>
      <x:c r="I56" s="11" t="n">
        <x:f>ABS(E56-H56)</x:f>
        <x:v>441</x:v>
      </x:c>
    </x:row>
    <x:row r="57">
      <x:c r="A57" s="1" t="str">
        <x:v>2025-01</x:v>
      </x:c>
      <x:c r="B57" s="1" t="str">
        <x:v>145845813</x:v>
      </x:c>
      <x:c r="C57" s="11" t="n">
        <x:v>7700</x:v>
      </x:c>
      <x:c r="D57" s="11" t="n">
        <x:v>9017</x:v>
      </x:c>
      <x:c r="E57" s="11" t="n">
        <x:v>3252</x:v>
      </x:c>
      <x:c r="F57" s="11" t="n">
        <x:f>AVERAGE(C57:D57)</x:f>
        <x:v>8358.5</x:v>
      </x:c>
      <x:c r="G57" s="11" t="n">
        <x:f>ABS(E57-F57)</x:f>
        <x:v>5106.5</x:v>
      </x:c>
      <x:c r="H57" s="11" t="n">
        <x:f>D57</x:f>
        <x:v>9017</x:v>
      </x:c>
      <x:c r="I57" s="11" t="n">
        <x:f>ABS(E57-H57)</x:f>
        <x:v>5765</x:v>
      </x:c>
    </x:row>
    <x:row r="58">
      <x:c r="A58" s="1" t="str">
        <x:v>2025-01</x:v>
      </x:c>
      <x:c r="B58" s="1" t="str">
        <x:v>198068987</x:v>
      </x:c>
      <x:c r="C58" s="11" t="n">
        <x:v>9451</x:v>
      </x:c>
      <x:c r="D58" s="11" t="n">
        <x:v>9157</x:v>
      </x:c>
      <x:c r="E58" s="11" t="n">
        <x:v>5421</x:v>
      </x:c>
      <x:c r="F58" s="11" t="n">
        <x:f>AVERAGE(C58:D58)</x:f>
        <x:v>9304</x:v>
      </x:c>
      <x:c r="G58" s="11" t="n">
        <x:f>ABS(E58-F58)</x:f>
        <x:v>3883</x:v>
      </x:c>
      <x:c r="H58" s="11" t="n">
        <x:f>D58</x:f>
        <x:v>9157</x:v>
      </x:c>
      <x:c r="I58" s="11" t="n">
        <x:f>ABS(E58-H58)</x:f>
        <x:v>3736</x:v>
      </x:c>
    </x:row>
    <x:row r="59">
      <x:c r="A59" s="1" t="str">
        <x:v>2025-01</x:v>
      </x:c>
      <x:c r="B59" s="1" t="str">
        <x:v>18985539</x:v>
      </x:c>
      <x:c r="C59" s="11" t="n">
        <x:v>11381</x:v>
      </x:c>
      <x:c r="D59" s="11" t="n">
        <x:v>8462</x:v>
      </x:c>
      <x:c r="E59" s="11" t="n">
        <x:v>7573</x:v>
      </x:c>
      <x:c r="F59" s="11" t="n">
        <x:f>AVERAGE(C59:D59)</x:f>
        <x:v>9921.5</x:v>
      </x:c>
      <x:c r="G59" s="11" t="n">
        <x:f>ABS(E59-F59)</x:f>
        <x:v>2348.5</x:v>
      </x:c>
      <x:c r="H59" s="11" t="n">
        <x:f>D59</x:f>
        <x:v>8462</x:v>
      </x:c>
      <x:c r="I59" s="11" t="n">
        <x:f>ABS(E59-H59)</x:f>
        <x:v>889</x:v>
      </x:c>
    </x:row>
    <x:row r="60">
      <x:c r="A60" s="1" t="str">
        <x:v>2025-01</x:v>
      </x:c>
      <x:c r="B60" s="1" t="str">
        <x:v>200738148</x:v>
      </x:c>
      <x:c r="C60" s="11" t="n">
        <x:v>8095</x:v>
      </x:c>
      <x:c r="D60" s="11" t="n">
        <x:v>5782</x:v>
      </x:c>
      <x:c r="E60" s="11" t="n">
        <x:v>5814</x:v>
      </x:c>
      <x:c r="F60" s="11" t="n">
        <x:f>AVERAGE(C60:D60)</x:f>
        <x:v>6938.5</x:v>
      </x:c>
      <x:c r="G60" s="11" t="n">
        <x:f>ABS(E60-F60)</x:f>
        <x:v>1124.5</x:v>
      </x:c>
      <x:c r="H60" s="11" t="n">
        <x:f>D60</x:f>
        <x:v>5782</x:v>
      </x:c>
      <x:c r="I60" s="11" t="n">
        <x:f>ABS(E60-H60)</x:f>
        <x:v>32</x:v>
      </x:c>
    </x:row>
    <x:row r="61">
      <x:c r="A61" s="1" t="str">
        <x:v>2025-01</x:v>
      </x:c>
      <x:c r="B61" s="1" t="str">
        <x:v>26436487</x:v>
      </x:c>
      <x:c r="C61" s="11" t="n">
        <x:v>5970</x:v>
      </x:c>
      <x:c r="D61" s="11" t="n">
        <x:v>7539</x:v>
      </x:c>
      <x:c r="E61" s="11" t="n">
        <x:v>3523</x:v>
      </x:c>
      <x:c r="F61" s="11" t="n">
        <x:f>AVERAGE(C61:D61)</x:f>
        <x:v>6754.5</x:v>
      </x:c>
      <x:c r="G61" s="11" t="n">
        <x:f>ABS(E61-F61)</x:f>
        <x:v>3231.5</x:v>
      </x:c>
      <x:c r="H61" s="11" t="n">
        <x:f>D61</x:f>
        <x:v>7539</x:v>
      </x:c>
      <x:c r="I61" s="11" t="n">
        <x:f>ABS(E61-H61)</x:f>
        <x:v>4016</x:v>
      </x:c>
    </x:row>
    <x:row r="62">
      <x:c r="A62" s="1" t="str">
        <x:v>2025-01</x:v>
      </x:c>
      <x:c r="B62" s="1" t="str">
        <x:v>253951197</x:v>
      </x:c>
      <x:c r="C62" s="11" t="n">
        <x:v>3020</x:v>
      </x:c>
      <x:c r="D62" s="11" t="n">
        <x:v>6769</x:v>
      </x:c>
      <x:c r="E62" s="11" t="n">
        <x:v>4129</x:v>
      </x:c>
      <x:c r="F62" s="11" t="n">
        <x:f>AVERAGE(C62:D62)</x:f>
        <x:v>4894.5</x:v>
      </x:c>
      <x:c r="G62" s="11" t="n">
        <x:f>ABS(E62-F62)</x:f>
        <x:v>765.5</x:v>
      </x:c>
      <x:c r="H62" s="11" t="n">
        <x:f>D62</x:f>
        <x:v>6769</x:v>
      </x:c>
      <x:c r="I62" s="11" t="n">
        <x:f>ABS(E62-H62)</x:f>
        <x:v>2640</x:v>
      </x:c>
    </x:row>
    <x:row r="63">
      <x:c r="A63" s="1" t="str">
        <x:v>2025-01</x:v>
      </x:c>
      <x:c r="B63" s="1" t="str">
        <x:v>201761293</x:v>
      </x:c>
      <x:c r="C63" s="11" t="n">
        <x:v>6426</x:v>
      </x:c>
      <x:c r="D63" s="11" t="n">
        <x:v>6111</x:v>
      </x:c>
      <x:c r="E63" s="11" t="n">
        <x:v>2876</x:v>
      </x:c>
      <x:c r="F63" s="11" t="n">
        <x:f>AVERAGE(C63:D63)</x:f>
        <x:v>6268.5</x:v>
      </x:c>
      <x:c r="G63" s="11" t="n">
        <x:f>ABS(E63-F63)</x:f>
        <x:v>3392.5</x:v>
      </x:c>
      <x:c r="H63" s="11" t="n">
        <x:f>D63</x:f>
        <x:v>6111</x:v>
      </x:c>
      <x:c r="I63" s="11" t="n">
        <x:f>ABS(E63-H63)</x:f>
        <x:v>3235</x:v>
      </x:c>
    </x:row>
    <x:row r="64">
      <x:c r="A64" s="1" t="str">
        <x:v>2025-01</x:v>
      </x:c>
      <x:c r="B64" s="1" t="str">
        <x:v>145845808</x:v>
      </x:c>
      <x:c r="C64" s="11" t="n">
        <x:v>5638</x:v>
      </x:c>
      <x:c r="D64" s="11" t="n">
        <x:v>7495</x:v>
      </x:c>
      <x:c r="E64" s="11" t="n">
        <x:v>2052</x:v>
      </x:c>
      <x:c r="F64" s="11" t="n">
        <x:f>AVERAGE(C64:D64)</x:f>
        <x:v>6566.5</x:v>
      </x:c>
      <x:c r="G64" s="11" t="n">
        <x:f>ABS(E64-F64)</x:f>
        <x:v>4514.5</x:v>
      </x:c>
      <x:c r="H64" s="11" t="n">
        <x:f>D64</x:f>
        <x:v>7495</x:v>
      </x:c>
      <x:c r="I64" s="11" t="n">
        <x:f>ABS(E64-H64)</x:f>
        <x:v>5443</x:v>
      </x:c>
    </x:row>
    <x:row r="65">
      <x:c r="A65" s="1" t="str">
        <x:v>2025-02</x:v>
      </x:c>
      <x:c r="B65" s="1" t="str">
        <x:v>15445452</x:v>
      </x:c>
      <x:c r="C65" s="11" t="n">
        <x:v>15355</x:v>
      </x:c>
      <x:c r="D65" s="11" t="n">
        <x:v>14914</x:v>
      </x:c>
      <x:c r="E65" s="11" t="n">
        <x:v>7654</x:v>
      </x:c>
      <x:c r="F65" s="11" t="n">
        <x:f>AVERAGE(C65:D65)</x:f>
        <x:v>15134.5</x:v>
      </x:c>
      <x:c r="G65" s="11" t="n">
        <x:f>ABS(E65-F65)</x:f>
        <x:v>7480.5</x:v>
      </x:c>
      <x:c r="H65" s="11" t="n">
        <x:f>D65</x:f>
        <x:v>14914</x:v>
      </x:c>
      <x:c r="I65" s="11" t="n">
        <x:f>ABS(E65-H65)</x:f>
        <x:v>7260</x:v>
      </x:c>
    </x:row>
    <x:row r="66">
      <x:c r="A66" s="1" t="str">
        <x:v>2025-02</x:v>
      </x:c>
      <x:c r="B66" s="1" t="str">
        <x:v>22893732</x:v>
      </x:c>
      <x:c r="C66" s="11" t="n">
        <x:v>25728</x:v>
      </x:c>
      <x:c r="D66" s="11" t="n">
        <x:v>10219</x:v>
      </x:c>
      <x:c r="E66" s="11" t="n">
        <x:v>8740</x:v>
      </x:c>
      <x:c r="F66" s="11" t="n">
        <x:f>AVERAGE(C66:D66)</x:f>
        <x:v>17973.5</x:v>
      </x:c>
      <x:c r="G66" s="11" t="n">
        <x:f>ABS(E66-F66)</x:f>
        <x:v>9233.5</x:v>
      </x:c>
      <x:c r="H66" s="11" t="n">
        <x:f>D66</x:f>
        <x:v>10219</x:v>
      </x:c>
      <x:c r="I66" s="11" t="n">
        <x:f>ABS(E66-H66)</x:f>
        <x:v>1479</x:v>
      </x:c>
    </x:row>
    <x:row r="67">
      <x:c r="A67" s="1" t="str">
        <x:v>2025-02</x:v>
      </x:c>
      <x:c r="B67" s="1" t="str">
        <x:v>200738148</x:v>
      </x:c>
      <x:c r="C67" s="11" t="n">
        <x:v>5782</x:v>
      </x:c>
      <x:c r="D67" s="11" t="n">
        <x:v>5814</x:v>
      </x:c>
      <x:c r="E67" s="11" t="n">
        <x:v>3891</x:v>
      </x:c>
      <x:c r="F67" s="11" t="n">
        <x:f>AVERAGE(C67:D67)</x:f>
        <x:v>5798</x:v>
      </x:c>
      <x:c r="G67" s="11" t="n">
        <x:f>ABS(E67-F67)</x:f>
        <x:v>1907</x:v>
      </x:c>
      <x:c r="H67" s="11" t="n">
        <x:f>D67</x:f>
        <x:v>5814</x:v>
      </x:c>
      <x:c r="I67" s="11" t="n">
        <x:f>ABS(E67-H67)</x:f>
        <x:v>1923</x:v>
      </x:c>
    </x:row>
    <x:row r="68">
      <x:c r="A68" s="1" t="str">
        <x:v>2025-02</x:v>
      </x:c>
      <x:c r="B68" s="1" t="str">
        <x:v>200739284</x:v>
      </x:c>
      <x:c r="C68" s="11" t="n">
        <x:v>4518</x:v>
      </x:c>
      <x:c r="D68" s="11" t="n">
        <x:v>5958</x:v>
      </x:c>
      <x:c r="E68" s="11" t="n">
        <x:v>3056</x:v>
      </x:c>
      <x:c r="F68" s="11" t="n">
        <x:f>AVERAGE(C68:D68)</x:f>
        <x:v>5238</x:v>
      </x:c>
      <x:c r="G68" s="11" t="n">
        <x:f>ABS(E68-F68)</x:f>
        <x:v>2182</x:v>
      </x:c>
      <x:c r="H68" s="11" t="n">
        <x:f>D68</x:f>
        <x:v>5958</x:v>
      </x:c>
      <x:c r="I68" s="11" t="n">
        <x:f>ABS(E68-H68)</x:f>
        <x:v>2902</x:v>
      </x:c>
    </x:row>
    <x:row r="69">
      <x:c r="A69" s="1" t="str">
        <x:v>2025-02</x:v>
      </x:c>
      <x:c r="B69" s="1" t="str">
        <x:v>18985539</x:v>
      </x:c>
      <x:c r="C69" s="11" t="n">
        <x:v>8462</x:v>
      </x:c>
      <x:c r="D69" s="11" t="n">
        <x:v>7573</x:v>
      </x:c>
      <x:c r="E69" s="11" t="n">
        <x:v>5901</x:v>
      </x:c>
      <x:c r="F69" s="11" t="n">
        <x:f>AVERAGE(C69:D69)</x:f>
        <x:v>8017.5</x:v>
      </x:c>
      <x:c r="G69" s="11" t="n">
        <x:f>ABS(E69-F69)</x:f>
        <x:v>2116.5</x:v>
      </x:c>
      <x:c r="H69" s="11" t="n">
        <x:f>D69</x:f>
        <x:v>7573</x:v>
      </x:c>
      <x:c r="I69" s="11" t="n">
        <x:f>ABS(E69-H69)</x:f>
        <x:v>1672</x:v>
      </x:c>
    </x:row>
    <x:row r="70">
      <x:c r="A70" s="1" t="str">
        <x:v>2025-02</x:v>
      </x:c>
      <x:c r="B70" s="1" t="str">
        <x:v>17381008</x:v>
      </x:c>
      <x:c r="C70" s="11" t="n">
        <x:v>5848</x:v>
      </x:c>
      <x:c r="D70" s="11" t="n">
        <x:v>5872</x:v>
      </x:c>
      <x:c r="E70" s="11" t="n">
        <x:v>2979</x:v>
      </x:c>
      <x:c r="F70" s="11" t="n">
        <x:f>AVERAGE(C70:D70)</x:f>
        <x:v>5860</x:v>
      </x:c>
      <x:c r="G70" s="11" t="n">
        <x:f>ABS(E70-F70)</x:f>
        <x:v>2881</x:v>
      </x:c>
      <x:c r="H70" s="11" t="n">
        <x:f>D70</x:f>
        <x:v>5872</x:v>
      </x:c>
      <x:c r="I70" s="11" t="n">
        <x:f>ABS(E70-H70)</x:f>
        <x:v>2893</x:v>
      </x:c>
    </x:row>
    <x:row r="71">
      <x:c r="A71" s="1" t="str">
        <x:v>2025-02</x:v>
      </x:c>
      <x:c r="B71" s="1" t="str">
        <x:v>198068987</x:v>
      </x:c>
      <x:c r="C71" s="11" t="n">
        <x:v>9157</x:v>
      </x:c>
      <x:c r="D71" s="11" t="n">
        <x:v>5421</x:v>
      </x:c>
      <x:c r="E71" s="11" t="n">
        <x:v>3680</x:v>
      </x:c>
      <x:c r="F71" s="11" t="n">
        <x:f>AVERAGE(C71:D71)</x:f>
        <x:v>7289</x:v>
      </x:c>
      <x:c r="G71" s="11" t="n">
        <x:f>ABS(E71-F71)</x:f>
        <x:v>3609</x:v>
      </x:c>
      <x:c r="H71" s="11" t="n">
        <x:f>D71</x:f>
        <x:v>5421</x:v>
      </x:c>
      <x:c r="I71" s="11" t="n">
        <x:f>ABS(E71-H71)</x:f>
        <x:v>1741</x:v>
      </x:c>
    </x:row>
    <x:row r="72">
      <x:c r="A72" s="1" t="str">
        <x:v>2025-02</x:v>
      </x:c>
      <x:c r="B72" s="1" t="str">
        <x:v>253952489</x:v>
      </x:c>
      <x:c r="C72" s="11" t="n">
        <x:v>6283</x:v>
      </x:c>
      <x:c r="D72" s="11" t="n">
        <x:v>4363</x:v>
      </x:c>
      <x:c r="E72" s="11" t="n">
        <x:v>2214</x:v>
      </x:c>
      <x:c r="F72" s="11" t="n">
        <x:f>AVERAGE(C72:D72)</x:f>
        <x:v>5323</x:v>
      </x:c>
      <x:c r="G72" s="11" t="n">
        <x:f>ABS(E72-F72)</x:f>
        <x:v>3109</x:v>
      </x:c>
      <x:c r="H72" s="11" t="n">
        <x:f>D72</x:f>
        <x:v>4363</x:v>
      </x:c>
      <x:c r="I72" s="11" t="n">
        <x:f>ABS(E72-H72)</x:f>
        <x:v>2149</x:v>
      </x:c>
    </x:row>
    <x:row r="73">
      <x:c r="A73" s="1" t="str">
        <x:v>2025-02</x:v>
      </x:c>
      <x:c r="B73" s="1" t="str">
        <x:v>253951197</x:v>
      </x:c>
      <x:c r="C73" s="11" t="n">
        <x:v>6769</x:v>
      </x:c>
      <x:c r="D73" s="11" t="n">
        <x:v>4129</x:v>
      </x:c>
      <x:c r="E73" s="11" t="n">
        <x:v>6277</x:v>
      </x:c>
      <x:c r="F73" s="11" t="n">
        <x:f>AVERAGE(C73:D73)</x:f>
        <x:v>5449</x:v>
      </x:c>
      <x:c r="G73" s="11" t="n">
        <x:f>ABS(E73-F73)</x:f>
        <x:v>828</x:v>
      </x:c>
      <x:c r="H73" s="11" t="n">
        <x:f>D73</x:f>
        <x:v>4129</x:v>
      </x:c>
      <x:c r="I73" s="11" t="n">
        <x:f>ABS(E73-H73)</x:f>
        <x:v>2148</x:v>
      </x:c>
    </x:row>
    <x:row r="74">
      <x:c r="A74" s="1" t="str">
        <x:v>2025-02</x:v>
      </x:c>
      <x:c r="B74" s="1" t="str">
        <x:v>165757798</x:v>
      </x:c>
      <x:c r="C74" s="11" t="n">
        <x:v>6793</x:v>
      </x:c>
      <x:c r="D74" s="11" t="n">
        <x:v>6813</x:v>
      </x:c>
      <x:c r="E74" s="11" t="n">
        <x:v>9323</x:v>
      </x:c>
      <x:c r="F74" s="11" t="n">
        <x:f>AVERAGE(C74:D74)</x:f>
        <x:v>6803</x:v>
      </x:c>
      <x:c r="G74" s="11" t="n">
        <x:f>ABS(E74-F74)</x:f>
        <x:v>2520</x:v>
      </x:c>
      <x:c r="H74" s="11" t="n">
        <x:f>D74</x:f>
        <x:v>6813</x:v>
      </x:c>
      <x:c r="I74" s="11" t="n">
        <x:f>ABS(E74-H74)</x:f>
        <x:v>2510</x:v>
      </x:c>
    </x:row>
    <x:row r="75">
      <x:c r="A75" s="1" t="str">
        <x:v>2025-03</x:v>
      </x:c>
      <x:c r="B75" s="1" t="str">
        <x:v>22893732</x:v>
      </x:c>
      <x:c r="C75" s="11" t="n">
        <x:v>10219</x:v>
      </x:c>
      <x:c r="D75" s="11" t="n">
        <x:v>8740</x:v>
      </x:c>
      <x:c r="E75" s="11" t="n">
        <x:v>4698</x:v>
      </x:c>
      <x:c r="F75" s="11" t="n">
        <x:f>AVERAGE(C75:D75)</x:f>
        <x:v>9479.5</x:v>
      </x:c>
      <x:c r="G75" s="11" t="n">
        <x:f>ABS(E75-F75)</x:f>
        <x:v>4781.5</x:v>
      </x:c>
      <x:c r="H75" s="11" t="n">
        <x:f>D75</x:f>
        <x:v>8740</x:v>
      </x:c>
      <x:c r="I75" s="11" t="n">
        <x:f>ABS(E75-H75)</x:f>
        <x:v>4042</x:v>
      </x:c>
    </x:row>
    <x:row r="76">
      <x:c r="A76" s="1" t="str">
        <x:v>2025-03</x:v>
      </x:c>
      <x:c r="B76" s="1" t="str">
        <x:v>15445452</x:v>
      </x:c>
      <x:c r="C76" s="11" t="n">
        <x:v>14914</x:v>
      </x:c>
      <x:c r="D76" s="11" t="n">
        <x:v>7654</x:v>
      </x:c>
      <x:c r="E76" s="11" t="n">
        <x:v>11265</x:v>
      </x:c>
      <x:c r="F76" s="11" t="n">
        <x:f>AVERAGE(C76:D76)</x:f>
        <x:v>11284</x:v>
      </x:c>
      <x:c r="G76" s="11" t="n">
        <x:f>ABS(E76-F76)</x:f>
        <x:v>19</x:v>
      </x:c>
      <x:c r="H76" s="11" t="n">
        <x:f>D76</x:f>
        <x:v>7654</x:v>
      </x:c>
      <x:c r="I76" s="11" t="n">
        <x:f>ABS(E76-H76)</x:f>
        <x:v>3611</x:v>
      </x:c>
    </x:row>
    <x:row r="77">
      <x:c r="A77" s="1" t="str">
        <x:v>2025-03</x:v>
      </x:c>
      <x:c r="B77" s="1" t="str">
        <x:v>165757789</x:v>
      </x:c>
      <x:c r="C77" s="11" t="n">
        <x:v>4041</x:v>
      </x:c>
      <x:c r="D77" s="11" t="n">
        <x:v>9940</x:v>
      </x:c>
      <x:c r="E77" s="11" t="n">
        <x:v>17633</x:v>
      </x:c>
      <x:c r="F77" s="11" t="n">
        <x:f>AVERAGE(C77:D77)</x:f>
        <x:v>6990.5</x:v>
      </x:c>
      <x:c r="G77" s="11" t="n">
        <x:f>ABS(E77-F77)</x:f>
        <x:v>10642.5</x:v>
      </x:c>
      <x:c r="H77" s="11" t="n">
        <x:f>D77</x:f>
        <x:v>9940</x:v>
      </x:c>
      <x:c r="I77" s="11" t="n">
        <x:f>ABS(E77-H77)</x:f>
        <x:v>7693</x:v>
      </x:c>
    </x:row>
    <x:row r="78">
      <x:c r="A78" s="1" t="str">
        <x:v>2025-03</x:v>
      </x:c>
      <x:c r="B78" s="1" t="str">
        <x:v>253951197</x:v>
      </x:c>
      <x:c r="C78" s="11" t="n">
        <x:v>4129</x:v>
      </x:c>
      <x:c r="D78" s="11" t="n">
        <x:v>6277</x:v>
      </x:c>
      <x:c r="E78" s="11" t="n">
        <x:v>5978</x:v>
      </x:c>
      <x:c r="F78" s="11" t="n">
        <x:f>AVERAGE(C78:D78)</x:f>
        <x:v>5203</x:v>
      </x:c>
      <x:c r="G78" s="11" t="n">
        <x:f>ABS(E78-F78)</x:f>
        <x:v>775</x:v>
      </x:c>
      <x:c r="H78" s="11" t="n">
        <x:f>D78</x:f>
        <x:v>6277</x:v>
      </x:c>
      <x:c r="I78" s="11" t="n">
        <x:f>ABS(E78-H78)</x:f>
        <x:v>299</x:v>
      </x:c>
    </x:row>
    <x:row r="79">
      <x:c r="A79" s="1" t="str">
        <x:v>2025-03</x:v>
      </x:c>
      <x:c r="B79" s="1" t="str">
        <x:v>200738148</x:v>
      </x:c>
      <x:c r="C79" s="11" t="n">
        <x:v>5814</x:v>
      </x:c>
      <x:c r="D79" s="11" t="n">
        <x:v>3891</x:v>
      </x:c>
      <x:c r="E79" s="11" t="n">
        <x:v>1897</x:v>
      </x:c>
      <x:c r="F79" s="11" t="n">
        <x:f>AVERAGE(C79:D79)</x:f>
        <x:v>4852.5</x:v>
      </x:c>
      <x:c r="G79" s="11" t="n">
        <x:f>ABS(E79-F79)</x:f>
        <x:v>2955.5</x:v>
      </x:c>
      <x:c r="H79" s="11" t="n">
        <x:f>D79</x:f>
        <x:v>3891</x:v>
      </x:c>
      <x:c r="I79" s="11" t="n">
        <x:f>ABS(E79-H79)</x:f>
        <x:v>1994</x:v>
      </x:c>
    </x:row>
    <x:row r="80">
      <x:c r="A80" s="1" t="str">
        <x:v>2025-03</x:v>
      </x:c>
      <x:c r="B80" s="1" t="str">
        <x:v>26436487</x:v>
      </x:c>
      <x:c r="C80" s="11" t="n">
        <x:v>3523</x:v>
      </x:c>
      <x:c r="D80" s="11" t="n">
        <x:v>5226</x:v>
      </x:c>
      <x:c r="E80" s="11" t="n">
        <x:v>2111</x:v>
      </x:c>
      <x:c r="F80" s="11" t="n">
        <x:f>AVERAGE(C80:D80)</x:f>
        <x:v>4374.5</x:v>
      </x:c>
      <x:c r="G80" s="11" t="n">
        <x:f>ABS(E80-F80)</x:f>
        <x:v>2263.5</x:v>
      </x:c>
      <x:c r="H80" s="11" t="n">
        <x:f>D80</x:f>
        <x:v>5226</x:v>
      </x:c>
      <x:c r="I80" s="11" t="n">
        <x:f>ABS(E80-H80)</x:f>
        <x:v>3115</x:v>
      </x:c>
    </x:row>
    <x:row r="81">
      <x:c r="A81" s="1" t="str">
        <x:v>2025-03</x:v>
      </x:c>
      <x:c r="B81" s="1" t="str">
        <x:v>165757798</x:v>
      </x:c>
      <x:c r="C81" s="11" t="n">
        <x:v>6813</x:v>
      </x:c>
      <x:c r="D81" s="11" t="n">
        <x:v>9323</x:v>
      </x:c>
      <x:c r="E81" s="11" t="n">
        <x:v>19446</x:v>
      </x:c>
      <x:c r="F81" s="11" t="n">
        <x:f>AVERAGE(C81:D81)</x:f>
        <x:v>8068</x:v>
      </x:c>
      <x:c r="G81" s="11" t="n">
        <x:f>ABS(E81-F81)</x:f>
        <x:v>11378</x:v>
      </x:c>
      <x:c r="H81" s="11" t="n">
        <x:f>D81</x:f>
        <x:v>9323</x:v>
      </x:c>
      <x:c r="I81" s="11" t="n">
        <x:f>ABS(E81-H81)</x:f>
        <x:v>10123</x:v>
      </x:c>
    </x:row>
    <x:row r="82">
      <x:c r="A82" s="1" t="str">
        <x:v>2025-03</x:v>
      </x:c>
      <x:c r="B82" s="1" t="str">
        <x:v>165757816</x:v>
      </x:c>
      <x:c r="C82" s="11" t="n">
        <x:v>5852</x:v>
      </x:c>
      <x:c r="D82" s="11" t="n">
        <x:v>9769</x:v>
      </x:c>
      <x:c r="E82" s="11" t="n">
        <x:v>10432</x:v>
      </x:c>
      <x:c r="F82" s="11" t="n">
        <x:f>AVERAGE(C82:D82)</x:f>
        <x:v>7810.5</x:v>
      </x:c>
      <x:c r="G82" s="11" t="n">
        <x:f>ABS(E82-F82)</x:f>
        <x:v>2621.5</x:v>
      </x:c>
      <x:c r="H82" s="11" t="n">
        <x:f>D82</x:f>
        <x:v>9769</x:v>
      </x:c>
      <x:c r="I82" s="11" t="n">
        <x:f>ABS(E82-H82)</x:f>
        <x:v>663</x:v>
      </x:c>
    </x:row>
    <x:row r="83">
      <x:c r="A83" s="1" t="str">
        <x:v>2025-03</x:v>
      </x:c>
      <x:c r="B83" s="1" t="str">
        <x:v>18985539</x:v>
      </x:c>
      <x:c r="C83" s="11" t="n">
        <x:v>7573</x:v>
      </x:c>
      <x:c r="D83" s="11" t="n">
        <x:v>5901</x:v>
      </x:c>
      <x:c r="E83" s="11" t="n">
        <x:v>6127</x:v>
      </x:c>
      <x:c r="F83" s="11" t="n">
        <x:f>AVERAGE(C83:D83)</x:f>
        <x:v>6737</x:v>
      </x:c>
      <x:c r="G83" s="11" t="n">
        <x:f>ABS(E83-F83)</x:f>
        <x:v>610</x:v>
      </x:c>
      <x:c r="H83" s="11" t="n">
        <x:f>D83</x:f>
        <x:v>5901</x:v>
      </x:c>
      <x:c r="I83" s="11" t="n">
        <x:f>ABS(E83-H83)</x:f>
        <x:v>226</x:v>
      </x:c>
    </x:row>
    <x:row r="84">
      <x:c r="A84" s="1" t="str">
        <x:v>2025-03</x:v>
      </x:c>
      <x:c r="B84" s="1" t="str">
        <x:v>35236713</x:v>
      </x:c>
      <x:c r="C84" s="11" t="n">
        <x:v>6363</x:v>
      </x:c>
      <x:c r="D84" s="11" t="n">
        <x:v>8976</x:v>
      </x:c>
      <x:c r="E84" s="11" t="n">
        <x:v>16187</x:v>
      </x:c>
      <x:c r="F84" s="11" t="n">
        <x:f>AVERAGE(C84:D84)</x:f>
        <x:v>7669.5</x:v>
      </x:c>
      <x:c r="G84" s="11" t="n">
        <x:f>ABS(E84-F84)</x:f>
        <x:v>8517.5</x:v>
      </x:c>
      <x:c r="H84" s="11" t="n">
        <x:f>D84</x:f>
        <x:v>8976</x:v>
      </x:c>
      <x:c r="I84" s="11" t="n">
        <x:f>ABS(E84-H84)</x:f>
        <x:v>7211</x:v>
      </x:c>
    </x:row>
    <x:row r="85">
      <x:c r="A85" s="1" t="str">
        <x:v>2025-04</x:v>
      </x:c>
      <x:c r="B85" s="1" t="str">
        <x:v>15445452</x:v>
      </x:c>
      <x:c r="C85" s="11" t="n">
        <x:v>7654</x:v>
      </x:c>
      <x:c r="D85" s="11" t="n">
        <x:v>11265</x:v>
      </x:c>
      <x:c r="E85" s="11" t="n">
        <x:v>8706</x:v>
      </x:c>
      <x:c r="F85" s="11" t="n">
        <x:f>AVERAGE(C85:D85)</x:f>
        <x:v>9459.5</x:v>
      </x:c>
      <x:c r="G85" s="11" t="n">
        <x:f>ABS(E85-F85)</x:f>
        <x:v>753.5</x:v>
      </x:c>
      <x:c r="H85" s="11" t="n">
        <x:f>D85</x:f>
        <x:v>11265</x:v>
      </x:c>
      <x:c r="I85" s="11" t="n">
        <x:f>ABS(E85-H85)</x:f>
        <x:v>2559</x:v>
      </x:c>
    </x:row>
    <x:row r="86">
      <x:c r="A86" s="1" t="str">
        <x:v>2025-04</x:v>
      </x:c>
      <x:c r="B86" s="1" t="str">
        <x:v>165757789</x:v>
      </x:c>
      <x:c r="C86" s="11" t="n">
        <x:v>9940</x:v>
      </x:c>
      <x:c r="D86" s="11" t="n">
        <x:v>17633</x:v>
      </x:c>
      <x:c r="E86" s="11" t="n">
        <x:v>27371</x:v>
      </x:c>
      <x:c r="F86" s="11" t="n">
        <x:f>AVERAGE(C86:D86)</x:f>
        <x:v>13786.5</x:v>
      </x:c>
      <x:c r="G86" s="11" t="n">
        <x:f>ABS(E86-F86)</x:f>
        <x:v>13584.5</x:v>
      </x:c>
      <x:c r="H86" s="11" t="n">
        <x:f>D86</x:f>
        <x:v>17633</x:v>
      </x:c>
      <x:c r="I86" s="11" t="n">
        <x:f>ABS(E86-H86)</x:f>
        <x:v>9738</x:v>
      </x:c>
    </x:row>
    <x:row r="87">
      <x:c r="A87" s="1" t="str">
        <x:v>2025-04</x:v>
      </x:c>
      <x:c r="B87" s="1" t="str">
        <x:v>165757798</x:v>
      </x:c>
      <x:c r="C87" s="11" t="n">
        <x:v>9323</x:v>
      </x:c>
      <x:c r="D87" s="11" t="n">
        <x:v>19446</x:v>
      </x:c>
      <x:c r="E87" s="11" t="n">
        <x:v>23689</x:v>
      </x:c>
      <x:c r="F87" s="11" t="n">
        <x:f>AVERAGE(C87:D87)</x:f>
        <x:v>14384.5</x:v>
      </x:c>
      <x:c r="G87" s="11" t="n">
        <x:f>ABS(E87-F87)</x:f>
        <x:v>9304.5</x:v>
      </x:c>
      <x:c r="H87" s="11" t="n">
        <x:f>D87</x:f>
        <x:v>19446</x:v>
      </x:c>
      <x:c r="I87" s="11" t="n">
        <x:f>ABS(E87-H87)</x:f>
        <x:v>4243</x:v>
      </x:c>
    </x:row>
    <x:row r="88">
      <x:c r="A88" s="1" t="str">
        <x:v>2025-04</x:v>
      </x:c>
      <x:c r="B88" s="1" t="str">
        <x:v>30926516</x:v>
      </x:c>
      <x:c r="C88" s="11" t="n">
        <x:v>5051</x:v>
      </x:c>
      <x:c r="D88" s="11" t="n">
        <x:v>16246</x:v>
      </x:c>
      <x:c r="E88" s="11" t="n">
        <x:v>25808</x:v>
      </x:c>
      <x:c r="F88" s="11" t="n">
        <x:f>AVERAGE(C88:D88)</x:f>
        <x:v>10648.5</x:v>
      </x:c>
      <x:c r="G88" s="11" t="n">
        <x:f>ABS(E88-F88)</x:f>
        <x:v>15159.5</x:v>
      </x:c>
      <x:c r="H88" s="11" t="n">
        <x:f>D88</x:f>
        <x:v>16246</x:v>
      </x:c>
      <x:c r="I88" s="11" t="n">
        <x:f>ABS(E88-H88)</x:f>
        <x:v>9562</x:v>
      </x:c>
    </x:row>
    <x:row r="89">
      <x:c r="A89" s="1" t="str">
        <x:v>2025-04</x:v>
      </x:c>
      <x:c r="B89" s="1" t="str">
        <x:v>29360157</x:v>
      </x:c>
      <x:c r="C89" s="11" t="n">
        <x:v>7281</x:v>
      </x:c>
      <x:c r="D89" s="11" t="n">
        <x:v>16533</x:v>
      </x:c>
      <x:c r="E89" s="11" t="n">
        <x:v>20712</x:v>
      </x:c>
      <x:c r="F89" s="11" t="n">
        <x:f>AVERAGE(C89:D89)</x:f>
        <x:v>11907</x:v>
      </x:c>
      <x:c r="G89" s="11" t="n">
        <x:f>ABS(E89-F89)</x:f>
        <x:v>8805</x:v>
      </x:c>
      <x:c r="H89" s="11" t="n">
        <x:f>D89</x:f>
        <x:v>16533</x:v>
      </x:c>
      <x:c r="I89" s="11" t="n">
        <x:f>ABS(E89-H89)</x:f>
        <x:v>4179</x:v>
      </x:c>
    </x:row>
    <x:row r="90">
      <x:c r="A90" s="1" t="str">
        <x:v>2025-04</x:v>
      </x:c>
      <x:c r="B90" s="1" t="str">
        <x:v>221519598</x:v>
      </x:c>
      <x:c r="C90" s="11" t="n">
        <x:v>6137</x:v>
      </x:c>
      <x:c r="D90" s="11" t="n">
        <x:v>14634</x:v>
      </x:c>
      <x:c r="E90" s="11" t="n">
        <x:v>16719</x:v>
      </x:c>
      <x:c r="F90" s="11" t="n">
        <x:f>AVERAGE(C90:D90)</x:f>
        <x:v>10385.5</x:v>
      </x:c>
      <x:c r="G90" s="11" t="n">
        <x:f>ABS(E90-F90)</x:f>
        <x:v>6333.5</x:v>
      </x:c>
      <x:c r="H90" s="11" t="n">
        <x:f>D90</x:f>
        <x:v>14634</x:v>
      </x:c>
      <x:c r="I90" s="11" t="n">
        <x:f>ABS(E90-H90)</x:f>
        <x:v>2085</x:v>
      </x:c>
    </x:row>
    <x:row r="91">
      <x:c r="A91" s="1" t="str">
        <x:v>2025-04</x:v>
      </x:c>
      <x:c r="B91" s="1" t="str">
        <x:v>221519619</x:v>
      </x:c>
      <x:c r="C91" s="11" t="n">
        <x:v>3339</x:v>
      </x:c>
      <x:c r="D91" s="11" t="n">
        <x:v>15600</x:v>
      </x:c>
      <x:c r="E91" s="11" t="n">
        <x:v>22931</x:v>
      </x:c>
      <x:c r="F91" s="11" t="n">
        <x:f>AVERAGE(C91:D91)</x:f>
        <x:v>9469.5</x:v>
      </x:c>
      <x:c r="G91" s="11" t="n">
        <x:f>ABS(E91-F91)</x:f>
        <x:v>13461.5</x:v>
      </x:c>
      <x:c r="H91" s="11" t="n">
        <x:f>D91</x:f>
        <x:v>15600</x:v>
      </x:c>
      <x:c r="I91" s="11" t="n">
        <x:f>ABS(E91-H91)</x:f>
        <x:v>7331</x:v>
      </x:c>
    </x:row>
    <x:row r="92">
      <x:c r="A92" s="1" t="str">
        <x:v>2025-04</x:v>
      </x:c>
      <x:c r="B92" s="1" t="str">
        <x:v>233284870</x:v>
      </x:c>
      <x:c r="C92" s="11" t="n">
        <x:v>5930</x:v>
      </x:c>
      <x:c r="D92" s="11" t="n">
        <x:v>13543</x:v>
      </x:c>
      <x:c r="E92" s="11" t="n">
        <x:v>6691</x:v>
      </x:c>
      <x:c r="F92" s="11" t="n">
        <x:f>AVERAGE(C92:D92)</x:f>
        <x:v>9736.5</x:v>
      </x:c>
      <x:c r="G92" s="11" t="n">
        <x:f>ABS(E92-F92)</x:f>
        <x:v>3045.5</x:v>
      </x:c>
      <x:c r="H92" s="11" t="n">
        <x:f>D92</x:f>
        <x:v>13543</x:v>
      </x:c>
      <x:c r="I92" s="11" t="n">
        <x:f>ABS(E92-H92)</x:f>
        <x:v>6852</x:v>
      </x:c>
    </x:row>
    <x:row r="93">
      <x:c r="A93" s="1" t="str">
        <x:v>2025-04</x:v>
      </x:c>
      <x:c r="B93" s="1" t="str">
        <x:v>35236713</x:v>
      </x:c>
      <x:c r="C93" s="11" t="n">
        <x:v>8976</x:v>
      </x:c>
      <x:c r="D93" s="11" t="n">
        <x:v>16187</x:v>
      </x:c>
      <x:c r="E93" s="11" t="n">
        <x:v>18868</x:v>
      </x:c>
      <x:c r="F93" s="11" t="n">
        <x:f>AVERAGE(C93:D93)</x:f>
        <x:v>12581.5</x:v>
      </x:c>
      <x:c r="G93" s="11" t="n">
        <x:f>ABS(E93-F93)</x:f>
        <x:v>6286.5</x:v>
      </x:c>
      <x:c r="H93" s="11" t="n">
        <x:f>D93</x:f>
        <x:v>16187</x:v>
      </x:c>
      <x:c r="I93" s="11" t="n">
        <x:f>ABS(E93-H93)</x:f>
        <x:v>2681</x:v>
      </x:c>
    </x:row>
    <x:row r="94">
      <x:c r="A94" s="1" t="str">
        <x:v>2025-04</x:v>
      </x:c>
      <x:c r="B94" s="1" t="str">
        <x:v>253951197</x:v>
      </x:c>
      <x:c r="C94" s="11" t="n">
        <x:v>6277</x:v>
      </x:c>
      <x:c r="D94" s="11" t="n">
        <x:v>5978</x:v>
      </x:c>
      <x:c r="E94" s="11" t="n">
        <x:v>2778</x:v>
      </x:c>
      <x:c r="F94" s="11" t="n">
        <x:f>AVERAGE(C94:D94)</x:f>
        <x:v>6127.5</x:v>
      </x:c>
      <x:c r="G94" s="11" t="n">
        <x:f>ABS(E94-F94)</x:f>
        <x:v>3349.5</x:v>
      </x:c>
      <x:c r="H94" s="11" t="n">
        <x:f>D94</x:f>
        <x:v>5978</x:v>
      </x:c>
      <x:c r="I94" s="11" t="n">
        <x:f>ABS(E94-H94)</x:f>
        <x:v>3200</x:v>
      </x:c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</x:row>
    <x:row r="2201">
      <x:c r="A2201" s="1"/>
      <x:c r="B2201" s="1"/>
      <x:c r="C2201" s="1"/>
      <x:c r="D2201" s="1"/>
      <x:c r="E2201" s="1"/>
      <x:c r="F2201" s="1"/>
      <x:c r="G2201" s="1"/>
      <x:c r="H2201" s="1"/>
      <x:c r="I2201" s="1"/>
    </x:row>
    <x:row r="2202">
      <x:c r="A2202" s="1"/>
      <x:c r="B2202" s="1"/>
      <x:c r="C2202" s="1"/>
      <x:c r="D2202" s="1"/>
      <x:c r="E2202" s="1"/>
      <x:c r="F2202" s="1"/>
      <x:c r="G2202" s="1"/>
      <x:c r="H2202" s="1"/>
      <x:c r="I2202" s="1"/>
    </x:row>
    <x:row r="2203">
      <x:c r="A2203" s="1"/>
      <x:c r="B2203" s="1"/>
      <x:c r="C2203" s="1"/>
      <x:c r="D2203" s="1"/>
      <x:c r="E2203" s="1"/>
      <x:c r="F2203" s="1"/>
      <x:c r="G2203" s="1"/>
      <x:c r="H2203" s="1"/>
      <x:c r="I2203" s="1"/>
    </x:row>
    <x:row r="2204">
      <x:c r="A2204" s="1"/>
      <x:c r="B2204" s="1"/>
      <x:c r="C2204" s="1"/>
      <x:c r="D2204" s="1"/>
      <x:c r="E2204" s="1"/>
      <x:c r="F2204" s="1"/>
      <x:c r="G2204" s="1"/>
      <x:c r="H2204" s="1"/>
      <x:c r="I2204" s="1"/>
    </x:row>
    <x:row r="2205">
      <x:c r="A2205" s="1"/>
      <x:c r="B2205" s="1"/>
      <x:c r="C2205" s="1"/>
      <x:c r="D2205" s="1"/>
      <x:c r="E2205" s="1"/>
      <x:c r="F2205" s="1"/>
      <x:c r="G2205" s="1"/>
      <x:c r="H2205" s="1"/>
      <x:c r="I2205" s="1"/>
    </x:row>
    <x:row r="2206">
      <x:c r="A2206" s="1"/>
      <x:c r="B2206" s="1"/>
      <x:c r="C2206" s="1"/>
      <x:c r="D2206" s="1"/>
      <x:c r="E2206" s="1"/>
      <x:c r="F2206" s="1"/>
      <x:c r="G2206" s="1"/>
      <x:c r="H2206" s="1"/>
      <x:c r="I2206" s="1"/>
    </x:row>
    <x:row r="2207">
      <x:c r="A2207" s="1"/>
      <x:c r="B2207" s="1"/>
      <x:c r="C2207" s="1"/>
      <x:c r="D2207" s="1"/>
      <x:c r="E2207" s="1"/>
      <x:c r="F2207" s="1"/>
      <x:c r="G2207" s="1"/>
      <x:c r="H2207" s="1"/>
      <x:c r="I2207" s="1"/>
    </x:row>
    <x:row r="2208">
      <x:c r="A2208" s="1"/>
      <x:c r="B2208" s="1"/>
      <x:c r="C2208" s="1"/>
      <x:c r="D2208" s="1"/>
      <x:c r="E2208" s="1"/>
      <x:c r="F2208" s="1"/>
      <x:c r="G2208" s="1"/>
      <x:c r="H2208" s="1"/>
      <x:c r="I2208" s="1"/>
    </x:row>
    <x:row r="2209">
      <x:c r="A2209" s="1"/>
      <x:c r="B2209" s="1"/>
      <x:c r="C2209" s="1"/>
      <x:c r="D2209" s="1"/>
      <x:c r="E2209" s="1"/>
      <x:c r="F2209" s="1"/>
      <x:c r="G2209" s="1"/>
      <x:c r="H2209" s="1"/>
      <x:c r="I2209" s="1"/>
    </x:row>
    <x:row r="2210">
      <x:c r="A2210" s="1"/>
      <x:c r="B2210" s="1"/>
      <x:c r="C2210" s="1"/>
      <x:c r="D2210" s="1"/>
      <x:c r="E2210" s="1"/>
      <x:c r="F2210" s="1"/>
      <x:c r="G2210" s="1"/>
      <x:c r="H2210" s="1"/>
      <x:c r="I2210" s="1"/>
    </x:row>
    <x:row r="2211">
      <x:c r="A2211" s="1"/>
      <x:c r="B2211" s="1"/>
      <x:c r="C2211" s="1"/>
      <x:c r="D2211" s="1"/>
      <x:c r="E2211" s="1"/>
      <x:c r="F2211" s="1"/>
      <x:c r="G2211" s="1"/>
      <x:c r="H2211" s="1"/>
      <x:c r="I2211" s="1"/>
    </x:row>
    <x:row r="2212">
      <x:c r="A2212" s="1"/>
      <x:c r="B2212" s="1"/>
      <x:c r="C2212" s="1"/>
      <x:c r="D2212" s="1"/>
      <x:c r="E2212" s="1"/>
      <x:c r="F2212" s="1"/>
      <x:c r="G2212" s="1"/>
      <x:c r="H2212" s="1"/>
      <x:c r="I2212" s="1"/>
    </x:row>
    <x:row r="2213">
      <x:c r="A2213" s="1"/>
      <x:c r="B2213" s="1"/>
      <x:c r="C2213" s="1"/>
      <x:c r="D2213" s="1"/>
      <x:c r="E2213" s="1"/>
      <x:c r="F2213" s="1"/>
      <x:c r="G2213" s="1"/>
      <x:c r="H2213" s="1"/>
      <x:c r="I2213" s="1"/>
    </x:row>
    <x:row r="2214">
      <x:c r="A2214" s="1"/>
      <x:c r="B2214" s="1"/>
      <x:c r="C2214" s="1"/>
      <x:c r="D2214" s="1"/>
      <x:c r="E2214" s="1"/>
      <x:c r="F2214" s="1"/>
      <x:c r="G2214" s="1"/>
      <x:c r="H2214" s="1"/>
      <x:c r="I2214" s="1"/>
    </x:row>
    <x:row r="2215">
      <x:c r="A2215" s="1"/>
      <x:c r="B2215" s="1"/>
      <x:c r="C2215" s="1"/>
      <x:c r="D2215" s="1"/>
      <x:c r="E2215" s="1"/>
      <x:c r="F2215" s="1"/>
      <x:c r="G2215" s="1"/>
      <x:c r="H2215" s="1"/>
      <x:c r="I2215" s="1"/>
    </x:row>
    <x:row r="2216">
      <x:c r="A2216" s="1"/>
      <x:c r="B2216" s="1"/>
      <x:c r="C2216" s="1"/>
      <x:c r="D2216" s="1"/>
      <x:c r="E2216" s="1"/>
      <x:c r="F2216" s="1"/>
      <x:c r="G2216" s="1"/>
      <x:c r="H2216" s="1"/>
      <x:c r="I2216" s="1"/>
    </x:row>
    <x:row r="2217">
      <x:c r="A2217" s="1"/>
      <x:c r="B2217" s="1"/>
      <x:c r="C2217" s="1"/>
      <x:c r="D2217" s="1"/>
      <x:c r="E2217" s="1"/>
      <x:c r="F2217" s="1"/>
      <x:c r="G2217" s="1"/>
      <x:c r="H2217" s="1"/>
      <x:c r="I2217" s="1"/>
    </x:row>
    <x:row r="2218">
      <x:c r="A2218" s="1"/>
      <x:c r="B2218" s="1"/>
      <x:c r="C2218" s="1"/>
      <x:c r="D2218" s="1"/>
      <x:c r="E2218" s="1"/>
      <x:c r="F2218" s="1"/>
      <x:c r="G2218" s="1"/>
      <x:c r="H2218" s="1"/>
      <x:c r="I2218" s="1"/>
    </x:row>
    <x:row r="2219">
      <x:c r="A2219" s="1"/>
      <x:c r="B2219" s="1"/>
      <x:c r="C2219" s="1"/>
      <x:c r="D2219" s="1"/>
      <x:c r="E2219" s="1"/>
      <x:c r="F2219" s="1"/>
      <x:c r="G2219" s="1"/>
      <x:c r="H2219" s="1"/>
      <x:c r="I2219" s="1"/>
    </x:row>
    <x:row r="2220">
      <x:c r="A2220" s="1"/>
      <x:c r="B2220" s="1"/>
      <x:c r="C2220" s="1"/>
      <x:c r="D2220" s="1"/>
      <x:c r="E2220" s="1"/>
      <x:c r="F2220" s="1"/>
      <x:c r="G2220" s="1"/>
      <x:c r="H2220" s="1"/>
      <x:c r="I2220" s="1"/>
    </x:row>
    <x:row r="2221">
      <x:c r="A2221" s="1"/>
      <x:c r="B2221" s="1"/>
      <x:c r="C2221" s="1"/>
      <x:c r="D2221" s="1"/>
      <x:c r="E2221" s="1"/>
      <x:c r="F2221" s="1"/>
      <x:c r="G2221" s="1"/>
      <x:c r="H2221" s="1"/>
      <x:c r="I2221" s="1"/>
    </x:row>
    <x:row r="2222">
      <x:c r="A2222" s="1"/>
      <x:c r="B2222" s="1"/>
      <x:c r="C2222" s="1"/>
      <x:c r="D2222" s="1"/>
      <x:c r="E2222" s="1"/>
      <x:c r="F2222" s="1"/>
      <x:c r="G2222" s="1"/>
      <x:c r="H2222" s="1"/>
      <x:c r="I2222" s="1"/>
    </x:row>
    <x:row r="2223">
      <x:c r="A2223" s="1"/>
      <x:c r="B2223" s="1"/>
      <x:c r="C2223" s="1"/>
      <x:c r="D2223" s="1"/>
      <x:c r="E2223" s="1"/>
      <x:c r="F2223" s="1"/>
      <x:c r="G2223" s="1"/>
      <x:c r="H2223" s="1"/>
      <x:c r="I2223" s="1"/>
    </x:row>
    <x:row r="2224">
      <x:c r="A2224" s="1"/>
      <x:c r="B2224" s="1"/>
      <x:c r="C2224" s="1"/>
      <x:c r="D2224" s="1"/>
      <x:c r="E2224" s="1"/>
      <x:c r="F2224" s="1"/>
      <x:c r="G2224" s="1"/>
      <x:c r="H2224" s="1"/>
      <x:c r="I2224" s="1"/>
    </x:row>
    <x:row r="2225">
      <x:c r="A2225" s="1"/>
      <x:c r="B2225" s="1"/>
      <x:c r="C2225" s="1"/>
      <x:c r="D2225" s="1"/>
      <x:c r="E2225" s="1"/>
      <x:c r="F2225" s="1"/>
      <x:c r="G2225" s="1"/>
      <x:c r="H2225" s="1"/>
      <x:c r="I2225" s="1"/>
    </x:row>
    <x:row r="2226">
      <x:c r="A2226" s="1"/>
      <x:c r="B2226" s="1"/>
      <x:c r="C2226" s="1"/>
      <x:c r="D2226" s="1"/>
      <x:c r="E2226" s="1"/>
      <x:c r="F2226" s="1"/>
      <x:c r="G2226" s="1"/>
      <x:c r="H2226" s="1"/>
      <x:c r="I2226" s="1"/>
    </x:row>
    <x:row r="2227">
      <x:c r="A2227" s="1"/>
      <x:c r="B2227" s="1"/>
      <x:c r="C2227" s="1"/>
      <x:c r="D2227" s="1"/>
      <x:c r="E2227" s="1"/>
      <x:c r="F2227" s="1"/>
      <x:c r="G2227" s="1"/>
      <x:c r="H2227" s="1"/>
      <x:c r="I2227" s="1"/>
    </x:row>
    <x:row r="2228">
      <x:c r="A2228" s="1"/>
      <x:c r="B2228" s="1"/>
      <x:c r="C2228" s="1"/>
      <x:c r="D2228" s="1"/>
      <x:c r="E2228" s="1"/>
      <x:c r="F2228" s="1"/>
      <x:c r="G2228" s="1"/>
      <x:c r="H2228" s="1"/>
      <x:c r="I2228" s="1"/>
    </x:row>
    <x:row r="2229">
      <x:c r="A2229" s="1"/>
      <x:c r="B2229" s="1"/>
      <x:c r="C2229" s="1"/>
      <x:c r="D2229" s="1"/>
      <x:c r="E2229" s="1"/>
      <x:c r="F2229" s="1"/>
      <x:c r="G2229" s="1"/>
      <x:c r="H2229" s="1"/>
      <x:c r="I2229" s="1"/>
    </x:row>
    <x:row r="2230">
      <x:c r="A2230" s="1"/>
      <x:c r="B2230" s="1"/>
      <x:c r="C2230" s="1"/>
      <x:c r="D2230" s="1"/>
      <x:c r="E2230" s="1"/>
      <x:c r="F2230" s="1"/>
      <x:c r="G2230" s="1"/>
      <x:c r="H2230" s="1"/>
      <x:c r="I2230" s="1"/>
    </x:row>
    <x:row r="2231">
      <x:c r="A2231" s="1"/>
      <x:c r="B2231" s="1"/>
      <x:c r="C2231" s="1"/>
      <x:c r="D2231" s="1"/>
      <x:c r="E2231" s="1"/>
      <x:c r="F2231" s="1"/>
      <x:c r="G2231" s="1"/>
      <x:c r="H2231" s="1"/>
      <x:c r="I2231" s="1"/>
    </x:row>
    <x:row r="2232">
      <x:c r="A2232" s="1"/>
      <x:c r="B2232" s="1"/>
      <x:c r="C2232" s="1"/>
      <x:c r="D2232" s="1"/>
      <x:c r="E2232" s="1"/>
      <x:c r="F2232" s="1"/>
      <x:c r="G2232" s="1"/>
      <x:c r="H2232" s="1"/>
      <x:c r="I2232" s="1"/>
    </x:row>
    <x:row r="2233">
      <x:c r="A2233" s="1"/>
      <x:c r="B2233" s="1"/>
      <x:c r="C2233" s="1"/>
      <x:c r="D2233" s="1"/>
      <x:c r="E2233" s="1"/>
      <x:c r="F2233" s="1"/>
      <x:c r="G2233" s="1"/>
      <x:c r="H2233" s="1"/>
      <x:c r="I2233" s="1"/>
    </x:row>
    <x:row r="2234">
      <x:c r="A2234" s="1"/>
      <x:c r="B2234" s="1"/>
      <x:c r="C2234" s="1"/>
      <x:c r="D2234" s="1"/>
      <x:c r="E2234" s="1"/>
      <x:c r="F2234" s="1"/>
      <x:c r="G2234" s="1"/>
      <x:c r="H2234" s="1"/>
      <x:c r="I2234" s="1"/>
    </x:row>
    <x:row r="2235">
      <x:c r="A2235" s="1"/>
      <x:c r="B2235" s="1"/>
      <x:c r="C2235" s="1"/>
      <x:c r="D2235" s="1"/>
      <x:c r="E2235" s="1"/>
      <x:c r="F2235" s="1"/>
      <x:c r="G2235" s="1"/>
      <x:c r="H2235" s="1"/>
      <x:c r="I2235" s="1"/>
    </x:row>
    <x:row r="2236">
      <x:c r="A2236" s="1"/>
      <x:c r="B2236" s="1"/>
      <x:c r="C2236" s="1"/>
      <x:c r="D2236" s="1"/>
      <x:c r="E2236" s="1"/>
      <x:c r="F2236" s="1"/>
      <x:c r="G2236" s="1"/>
      <x:c r="H2236" s="1"/>
      <x:c r="I2236" s="1"/>
    </x:row>
    <x:row r="2237">
      <x:c r="A2237" s="1"/>
      <x:c r="B2237" s="1"/>
      <x:c r="C2237" s="1"/>
      <x:c r="D2237" s="1"/>
      <x:c r="E2237" s="1"/>
      <x:c r="F2237" s="1"/>
      <x:c r="G2237" s="1"/>
      <x:c r="H2237" s="1"/>
      <x:c r="I2237" s="1"/>
    </x:row>
    <x:row r="2238">
      <x:c r="A2238" s="1"/>
      <x:c r="B2238" s="1"/>
      <x:c r="C2238" s="1"/>
      <x:c r="D2238" s="1"/>
      <x:c r="E2238" s="1"/>
      <x:c r="F2238" s="1"/>
      <x:c r="G2238" s="1"/>
      <x:c r="H2238" s="1"/>
      <x:c r="I2238" s="1"/>
    </x:row>
    <x:row r="2239">
      <x:c r="A2239" s="1"/>
      <x:c r="B2239" s="1"/>
      <x:c r="C2239" s="1"/>
      <x:c r="D2239" s="1"/>
      <x:c r="E2239" s="1"/>
      <x:c r="F2239" s="1"/>
      <x:c r="G2239" s="1"/>
      <x:c r="H2239" s="1"/>
      <x:c r="I2239" s="1"/>
    </x:row>
    <x:row r="2240">
      <x:c r="A2240" s="1"/>
      <x:c r="B2240" s="1"/>
      <x:c r="C2240" s="1"/>
      <x:c r="D2240" s="1"/>
      <x:c r="E2240" s="1"/>
      <x:c r="F2240" s="1"/>
      <x:c r="G2240" s="1"/>
      <x:c r="H2240" s="1"/>
      <x:c r="I2240" s="1"/>
    </x:row>
    <x:row r="2241">
      <x:c r="A2241" s="1"/>
      <x:c r="B2241" s="1"/>
      <x:c r="C2241" s="1"/>
      <x:c r="D2241" s="1"/>
      <x:c r="E2241" s="1"/>
      <x:c r="F2241" s="1"/>
      <x:c r="G2241" s="1"/>
      <x:c r="H2241" s="1"/>
      <x:c r="I2241" s="1"/>
    </x:row>
    <x:row r="2242">
      <x:c r="A2242" s="1"/>
      <x:c r="B2242" s="1"/>
      <x:c r="C2242" s="1"/>
      <x:c r="D2242" s="1"/>
      <x:c r="E2242" s="1"/>
      <x:c r="F2242" s="1"/>
      <x:c r="G2242" s="1"/>
      <x:c r="H2242" s="1"/>
      <x:c r="I2242" s="1"/>
    </x:row>
    <x:row r="2243">
      <x:c r="A2243" s="1"/>
      <x:c r="B2243" s="1"/>
      <x:c r="C2243" s="1"/>
      <x:c r="D2243" s="1"/>
      <x:c r="E2243" s="1"/>
      <x:c r="F2243" s="1"/>
      <x:c r="G2243" s="1"/>
      <x:c r="H2243" s="1"/>
      <x:c r="I2243" s="1"/>
    </x:row>
    <x:row r="2244">
      <x:c r="A2244" s="1"/>
      <x:c r="B2244" s="1"/>
      <x:c r="C2244" s="1"/>
      <x:c r="D2244" s="1"/>
      <x:c r="E2244" s="1"/>
      <x:c r="F2244" s="1"/>
      <x:c r="G2244" s="1"/>
      <x:c r="H2244" s="1"/>
      <x:c r="I2244" s="1"/>
    </x:row>
    <x:row r="2245">
      <x:c r="A2245" s="1"/>
      <x:c r="B2245" s="1"/>
      <x:c r="C2245" s="1"/>
      <x:c r="D2245" s="1"/>
      <x:c r="E2245" s="1"/>
      <x:c r="F2245" s="1"/>
      <x:c r="G2245" s="1"/>
      <x:c r="H2245" s="1"/>
      <x:c r="I2245" s="1"/>
    </x:row>
    <x:row r="2246">
      <x:c r="A2246" s="1"/>
      <x:c r="B2246" s="1"/>
      <x:c r="C2246" s="1"/>
      <x:c r="D2246" s="1"/>
      <x:c r="E2246" s="1"/>
      <x:c r="F2246" s="1"/>
      <x:c r="G2246" s="1"/>
      <x:c r="H2246" s="1"/>
      <x:c r="I2246" s="1"/>
    </x:row>
    <x:row r="2247">
      <x:c r="A2247" s="1"/>
      <x:c r="B2247" s="1"/>
      <x:c r="C2247" s="1"/>
      <x:c r="D2247" s="1"/>
      <x:c r="E2247" s="1"/>
      <x:c r="F2247" s="1"/>
      <x:c r="G2247" s="1"/>
      <x:c r="H2247" s="1"/>
      <x:c r="I2247" s="1"/>
    </x:row>
    <x:row r="2248">
      <x:c r="A2248" s="1"/>
      <x:c r="B2248" s="1"/>
      <x:c r="C2248" s="1"/>
      <x:c r="D2248" s="1"/>
      <x:c r="E2248" s="1"/>
      <x:c r="F2248" s="1"/>
      <x:c r="G2248" s="1"/>
      <x:c r="H2248" s="1"/>
      <x:c r="I2248" s="1"/>
    </x:row>
    <x:row r="2249">
      <x:c r="A2249" s="1"/>
      <x:c r="B2249" s="1"/>
      <x:c r="C2249" s="1"/>
      <x:c r="D2249" s="1"/>
      <x:c r="E2249" s="1"/>
      <x:c r="F2249" s="1"/>
      <x:c r="G2249" s="1"/>
      <x:c r="H2249" s="1"/>
      <x:c r="I2249" s="1"/>
    </x:row>
    <x:row r="2250">
      <x:c r="A2250" s="1"/>
      <x:c r="B2250" s="1"/>
      <x:c r="C2250" s="1"/>
      <x:c r="D2250" s="1"/>
      <x:c r="E2250" s="1"/>
      <x:c r="F2250" s="1"/>
      <x:c r="G2250" s="1"/>
      <x:c r="H2250" s="1"/>
      <x:c r="I2250" s="1"/>
    </x:row>
    <x:row r="2251">
      <x:c r="A2251" s="1"/>
      <x:c r="B2251" s="1"/>
      <x:c r="C2251" s="1"/>
      <x:c r="D2251" s="1"/>
      <x:c r="E2251" s="1"/>
      <x:c r="F2251" s="1"/>
      <x:c r="G2251" s="1"/>
      <x:c r="H2251" s="1"/>
      <x:c r="I2251" s="1"/>
    </x:row>
    <x:row r="2252">
      <x:c r="A2252" s="1"/>
      <x:c r="B2252" s="1"/>
      <x:c r="C2252" s="1"/>
      <x:c r="D2252" s="1"/>
      <x:c r="E2252" s="1"/>
      <x:c r="F2252" s="1"/>
      <x:c r="G2252" s="1"/>
      <x:c r="H2252" s="1"/>
      <x:c r="I2252" s="1"/>
    </x:row>
    <x:row r="2253">
      <x:c r="A2253" s="1"/>
      <x:c r="B2253" s="1"/>
      <x:c r="C2253" s="1"/>
      <x:c r="D2253" s="1"/>
      <x:c r="E2253" s="1"/>
      <x:c r="F2253" s="1"/>
      <x:c r="G2253" s="1"/>
      <x:c r="H2253" s="1"/>
      <x:c r="I2253" s="1"/>
    </x:row>
    <x:row r="2254">
      <x:c r="A2254" s="1"/>
      <x:c r="B2254" s="1"/>
      <x:c r="C2254" s="1"/>
      <x:c r="D2254" s="1"/>
      <x:c r="E2254" s="1"/>
      <x:c r="F2254" s="1"/>
      <x:c r="G2254" s="1"/>
      <x:c r="H2254" s="1"/>
      <x:c r="I2254" s="1"/>
    </x:row>
    <x:row r="2255">
      <x:c r="A2255" s="1"/>
      <x:c r="B2255" s="1"/>
      <x:c r="C2255" s="1"/>
      <x:c r="D2255" s="1"/>
      <x:c r="E2255" s="1"/>
      <x:c r="F2255" s="1"/>
      <x:c r="G2255" s="1"/>
      <x:c r="H2255" s="1"/>
      <x:c r="I2255" s="1"/>
    </x:row>
    <x:row r="2256">
      <x:c r="A2256" s="1"/>
      <x:c r="B2256" s="1"/>
      <x:c r="C2256" s="1"/>
      <x:c r="D2256" s="1"/>
      <x:c r="E2256" s="1"/>
      <x:c r="F2256" s="1"/>
      <x:c r="G2256" s="1"/>
      <x:c r="H2256" s="1"/>
      <x:c r="I2256" s="1"/>
    </x:row>
    <x:row r="2257">
      <x:c r="A2257" s="1"/>
      <x:c r="B2257" s="1"/>
      <x:c r="C2257" s="1"/>
      <x:c r="D2257" s="1"/>
      <x:c r="E2257" s="1"/>
      <x:c r="F2257" s="1"/>
      <x:c r="G2257" s="1"/>
      <x:c r="H2257" s="1"/>
      <x:c r="I2257" s="1"/>
    </x:row>
    <x:row r="2258">
      <x:c r="A2258" s="1"/>
      <x:c r="B2258" s="1"/>
      <x:c r="C2258" s="1"/>
      <x:c r="D2258" s="1"/>
      <x:c r="E2258" s="1"/>
      <x:c r="F2258" s="1"/>
      <x:c r="G2258" s="1"/>
      <x:c r="H2258" s="1"/>
      <x:c r="I2258" s="1"/>
    </x:row>
    <x:row r="2259">
      <x:c r="A2259" s="1"/>
      <x:c r="B2259" s="1"/>
      <x:c r="C2259" s="1"/>
      <x:c r="D2259" s="1"/>
      <x:c r="E2259" s="1"/>
      <x:c r="F2259" s="1"/>
      <x:c r="G2259" s="1"/>
      <x:c r="H2259" s="1"/>
      <x:c r="I2259" s="1"/>
    </x:row>
    <x:row r="2260">
      <x:c r="A2260" s="1"/>
      <x:c r="B2260" s="1"/>
      <x:c r="C2260" s="1"/>
      <x:c r="D2260" s="1"/>
      <x:c r="E2260" s="1"/>
      <x:c r="F2260" s="1"/>
      <x:c r="G2260" s="1"/>
      <x:c r="H2260" s="1"/>
      <x:c r="I2260" s="1"/>
    </x:row>
    <x:row r="2261">
      <x:c r="A2261" s="1"/>
      <x:c r="B2261" s="1"/>
      <x:c r="C2261" s="1"/>
      <x:c r="D2261" s="1"/>
      <x:c r="E2261" s="1"/>
      <x:c r="F2261" s="1"/>
      <x:c r="G2261" s="1"/>
      <x:c r="H2261" s="1"/>
      <x:c r="I2261" s="1"/>
    </x:row>
    <x:row r="2262">
      <x:c r="A2262" s="1"/>
      <x:c r="B2262" s="1"/>
      <x:c r="C2262" s="1"/>
      <x:c r="D2262" s="1"/>
      <x:c r="E2262" s="1"/>
      <x:c r="F2262" s="1"/>
      <x:c r="G2262" s="1"/>
      <x:c r="H2262" s="1"/>
      <x:c r="I2262" s="1"/>
    </x:row>
    <x:row r="2263">
      <x:c r="A2263" s="1"/>
      <x:c r="B2263" s="1"/>
      <x:c r="C2263" s="1"/>
      <x:c r="D2263" s="1"/>
      <x:c r="E2263" s="1"/>
      <x:c r="F2263" s="1"/>
      <x:c r="G2263" s="1"/>
      <x:c r="H2263" s="1"/>
      <x:c r="I2263" s="1"/>
    </x:row>
    <x:row r="2264">
      <x:c r="A2264" s="1"/>
      <x:c r="B2264" s="1"/>
      <x:c r="C2264" s="1"/>
      <x:c r="D2264" s="1"/>
      <x:c r="E2264" s="1"/>
      <x:c r="F2264" s="1"/>
      <x:c r="G2264" s="1"/>
      <x:c r="H2264" s="1"/>
      <x:c r="I2264" s="1"/>
    </x:row>
    <x:row r="2265">
      <x:c r="A2265" s="1"/>
      <x:c r="B2265" s="1"/>
      <x:c r="C2265" s="1"/>
      <x:c r="D2265" s="1"/>
      <x:c r="E2265" s="1"/>
      <x:c r="F2265" s="1"/>
      <x:c r="G2265" s="1"/>
      <x:c r="H2265" s="1"/>
      <x:c r="I2265" s="1"/>
    </x:row>
    <x:row r="2266">
      <x:c r="A2266" s="1"/>
      <x:c r="B2266" s="1"/>
      <x:c r="C2266" s="1"/>
      <x:c r="D2266" s="1"/>
      <x:c r="E2266" s="1"/>
      <x:c r="F2266" s="1"/>
      <x:c r="G2266" s="1"/>
      <x:c r="H2266" s="1"/>
      <x:c r="I2266" s="1"/>
    </x:row>
    <x:row r="2267">
      <x:c r="A2267" s="1"/>
      <x:c r="B2267" s="1"/>
      <x:c r="C2267" s="1"/>
      <x:c r="D2267" s="1"/>
      <x:c r="E2267" s="1"/>
      <x:c r="F2267" s="1"/>
      <x:c r="G2267" s="1"/>
      <x:c r="H2267" s="1"/>
      <x:c r="I2267" s="1"/>
    </x:row>
    <x:row r="2268">
      <x:c r="A2268" s="1"/>
      <x:c r="B2268" s="1"/>
      <x:c r="C2268" s="1"/>
      <x:c r="D2268" s="1"/>
      <x:c r="E2268" s="1"/>
      <x:c r="F2268" s="1"/>
      <x:c r="G2268" s="1"/>
      <x:c r="H2268" s="1"/>
      <x:c r="I2268" s="1"/>
    </x:row>
    <x:row r="2269">
      <x:c r="A2269" s="1"/>
      <x:c r="B2269" s="1"/>
      <x:c r="C2269" s="1"/>
      <x:c r="D2269" s="1"/>
      <x:c r="E2269" s="1"/>
      <x:c r="F2269" s="1"/>
      <x:c r="G2269" s="1"/>
      <x:c r="H2269" s="1"/>
      <x:c r="I2269" s="1"/>
    </x:row>
    <x:row r="2270">
      <x:c r="A2270" s="1"/>
      <x:c r="B2270" s="1"/>
      <x:c r="C2270" s="1"/>
      <x:c r="D2270" s="1"/>
      <x:c r="E2270" s="1"/>
      <x:c r="F2270" s="1"/>
      <x:c r="G2270" s="1"/>
      <x:c r="H2270" s="1"/>
      <x:c r="I2270" s="1"/>
    </x:row>
    <x:row r="2271">
      <x:c r="A2271" s="1"/>
      <x:c r="B2271" s="1"/>
      <x:c r="C2271" s="1"/>
      <x:c r="D2271" s="1"/>
      <x:c r="E2271" s="1"/>
      <x:c r="F2271" s="1"/>
      <x:c r="G2271" s="1"/>
      <x:c r="H2271" s="1"/>
      <x:c r="I2271" s="1"/>
    </x:row>
    <x:row r="2272">
      <x:c r="A2272" s="1"/>
      <x:c r="B2272" s="1"/>
      <x:c r="C2272" s="1"/>
      <x:c r="D2272" s="1"/>
      <x:c r="E2272" s="1"/>
      <x:c r="F2272" s="1"/>
      <x:c r="G2272" s="1"/>
      <x:c r="H2272" s="1"/>
      <x:c r="I2272" s="1"/>
    </x:row>
    <x:row r="2273">
      <x:c r="A2273" s="1"/>
      <x:c r="B2273" s="1"/>
      <x:c r="C2273" s="1"/>
      <x:c r="D2273" s="1"/>
      <x:c r="E2273" s="1"/>
      <x:c r="F2273" s="1"/>
      <x:c r="G2273" s="1"/>
      <x:c r="H2273" s="1"/>
      <x:c r="I2273" s="1"/>
    </x:row>
    <x:row r="2274">
      <x:c r="A2274" s="1"/>
      <x:c r="B2274" s="1"/>
      <x:c r="C2274" s="1"/>
      <x:c r="D2274" s="1"/>
      <x:c r="E2274" s="1"/>
      <x:c r="F2274" s="1"/>
      <x:c r="G2274" s="1"/>
      <x:c r="H2274" s="1"/>
      <x:c r="I2274" s="1"/>
    </x:row>
    <x:row r="2275">
      <x:c r="A2275" s="1"/>
      <x:c r="B2275" s="1"/>
      <x:c r="C2275" s="1"/>
      <x:c r="D2275" s="1"/>
      <x:c r="E2275" s="1"/>
      <x:c r="F2275" s="1"/>
      <x:c r="G2275" s="1"/>
      <x:c r="H2275" s="1"/>
      <x:c r="I2275" s="1"/>
    </x:row>
    <x:row r="2276">
      <x:c r="A2276" s="1"/>
      <x:c r="B2276" s="1"/>
      <x:c r="C2276" s="1"/>
      <x:c r="D2276" s="1"/>
      <x:c r="E2276" s="1"/>
      <x:c r="F2276" s="1"/>
      <x:c r="G2276" s="1"/>
      <x:c r="H2276" s="1"/>
      <x:c r="I2276" s="1"/>
    </x:row>
    <x:row r="2277">
      <x:c r="A2277" s="1"/>
      <x:c r="B2277" s="1"/>
      <x:c r="C2277" s="1"/>
      <x:c r="D2277" s="1"/>
      <x:c r="E2277" s="1"/>
      <x:c r="F2277" s="1"/>
      <x:c r="G2277" s="1"/>
      <x:c r="H2277" s="1"/>
      <x:c r="I2277" s="1"/>
    </x:row>
    <x:row r="2278">
      <x:c r="A2278" s="1"/>
      <x:c r="B2278" s="1"/>
      <x:c r="C2278" s="1"/>
      <x:c r="D2278" s="1"/>
      <x:c r="E2278" s="1"/>
      <x:c r="F2278" s="1"/>
      <x:c r="G2278" s="1"/>
      <x:c r="H2278" s="1"/>
      <x:c r="I2278" s="1"/>
    </x:row>
    <x:row r="2279">
      <x:c r="A2279" s="1"/>
      <x:c r="B2279" s="1"/>
      <x:c r="C2279" s="1"/>
      <x:c r="D2279" s="1"/>
      <x:c r="E2279" s="1"/>
      <x:c r="F2279" s="1"/>
      <x:c r="G2279" s="1"/>
      <x:c r="H2279" s="1"/>
      <x:c r="I2279" s="1"/>
    </x:row>
    <x:row r="2280">
      <x:c r="A2280" s="1"/>
      <x:c r="B2280" s="1"/>
      <x:c r="C2280" s="1"/>
      <x:c r="D2280" s="1"/>
      <x:c r="E2280" s="1"/>
      <x:c r="F2280" s="1"/>
      <x:c r="G2280" s="1"/>
      <x:c r="H2280" s="1"/>
      <x:c r="I2280" s="1"/>
    </x:row>
    <x:row r="2281">
      <x:c r="A2281" s="1"/>
      <x:c r="B2281" s="1"/>
      <x:c r="C2281" s="1"/>
      <x:c r="D2281" s="1"/>
      <x:c r="E2281" s="1"/>
      <x:c r="F2281" s="1"/>
      <x:c r="G2281" s="1"/>
      <x:c r="H2281" s="1"/>
      <x:c r="I2281" s="1"/>
    </x:row>
    <x:row r="2282">
      <x:c r="A2282" s="1"/>
      <x:c r="B2282" s="1"/>
      <x:c r="C2282" s="1"/>
      <x:c r="D2282" s="1"/>
      <x:c r="E2282" s="1"/>
      <x:c r="F2282" s="1"/>
      <x:c r="G2282" s="1"/>
      <x:c r="H2282" s="1"/>
      <x:c r="I2282" s="1"/>
    </x:row>
    <x:row r="2283">
      <x:c r="A2283" s="1"/>
      <x:c r="B2283" s="1"/>
      <x:c r="C2283" s="1"/>
      <x:c r="D2283" s="1"/>
      <x:c r="E2283" s="1"/>
      <x:c r="F2283" s="1"/>
      <x:c r="G2283" s="1"/>
      <x:c r="H2283" s="1"/>
      <x:c r="I2283" s="1"/>
    </x:row>
    <x:row r="2284">
      <x:c r="A2284" s="1"/>
      <x:c r="B2284" s="1"/>
      <x:c r="C2284" s="1"/>
      <x:c r="D2284" s="1"/>
      <x:c r="E2284" s="1"/>
      <x:c r="F2284" s="1"/>
      <x:c r="G2284" s="1"/>
      <x:c r="H2284" s="1"/>
      <x:c r="I2284" s="1"/>
    </x:row>
    <x:row r="2285">
      <x:c r="A2285" s="1"/>
      <x:c r="B2285" s="1"/>
      <x:c r="C2285" s="1"/>
      <x:c r="D2285" s="1"/>
      <x:c r="E2285" s="1"/>
      <x:c r="F2285" s="1"/>
      <x:c r="G2285" s="1"/>
      <x:c r="H2285" s="1"/>
      <x:c r="I2285" s="1"/>
    </x:row>
    <x:row r="2286">
      <x:c r="A2286" s="1"/>
      <x:c r="B2286" s="1"/>
      <x:c r="C2286" s="1"/>
      <x:c r="D2286" s="1"/>
      <x:c r="E2286" s="1"/>
      <x:c r="F2286" s="1"/>
      <x:c r="G2286" s="1"/>
      <x:c r="H2286" s="1"/>
      <x:c r="I2286" s="1"/>
    </x:row>
    <x:row r="2287">
      <x:c r="A2287" s="1"/>
      <x:c r="B2287" s="1"/>
      <x:c r="C2287" s="1"/>
      <x:c r="D2287" s="1"/>
      <x:c r="E2287" s="1"/>
      <x:c r="F2287" s="1"/>
      <x:c r="G2287" s="1"/>
      <x:c r="H2287" s="1"/>
      <x:c r="I2287" s="1"/>
    </x:row>
    <x:row r="2288">
      <x:c r="A2288" s="1"/>
      <x:c r="B2288" s="1"/>
      <x:c r="C2288" s="1"/>
      <x:c r="D2288" s="1"/>
      <x:c r="E2288" s="1"/>
      <x:c r="F2288" s="1"/>
      <x:c r="G2288" s="1"/>
      <x:c r="H2288" s="1"/>
      <x:c r="I2288" s="1"/>
    </x:row>
    <x:row r="2289">
      <x:c r="A2289" s="1"/>
      <x:c r="B2289" s="1"/>
      <x:c r="C2289" s="1"/>
      <x:c r="D2289" s="1"/>
      <x:c r="E2289" s="1"/>
      <x:c r="F2289" s="1"/>
      <x:c r="G2289" s="1"/>
      <x:c r="H2289" s="1"/>
      <x:c r="I2289" s="1"/>
    </x:row>
    <x:row r="2290">
      <x:c r="A2290" s="1"/>
      <x:c r="B2290" s="1"/>
      <x:c r="C2290" s="1"/>
      <x:c r="D2290" s="1"/>
      <x:c r="E2290" s="1"/>
      <x:c r="F2290" s="1"/>
      <x:c r="G2290" s="1"/>
      <x:c r="H2290" s="1"/>
      <x:c r="I2290" s="1"/>
    </x:row>
    <x:row r="2291">
      <x:c r="A2291" s="1"/>
      <x:c r="B2291" s="1"/>
      <x:c r="C2291" s="1"/>
      <x:c r="D2291" s="1"/>
      <x:c r="E2291" s="1"/>
      <x:c r="F2291" s="1"/>
      <x:c r="G2291" s="1"/>
      <x:c r="H2291" s="1"/>
      <x:c r="I2291" s="1"/>
    </x:row>
    <x:row r="2292">
      <x:c r="A2292" s="1"/>
      <x:c r="B2292" s="1"/>
      <x:c r="C2292" s="1"/>
      <x:c r="D2292" s="1"/>
      <x:c r="E2292" s="1"/>
      <x:c r="F2292" s="1"/>
      <x:c r="G2292" s="1"/>
      <x:c r="H2292" s="1"/>
      <x:c r="I2292" s="1"/>
    </x:row>
    <x:row r="2293">
      <x:c r="A2293" s="1"/>
      <x:c r="B2293" s="1"/>
      <x:c r="C2293" s="1"/>
      <x:c r="D2293" s="1"/>
      <x:c r="E2293" s="1"/>
      <x:c r="F2293" s="1"/>
      <x:c r="G2293" s="1"/>
      <x:c r="H2293" s="1"/>
      <x:c r="I2293" s="1"/>
    </x:row>
    <x:row r="2294">
      <x:c r="A2294" s="1"/>
      <x:c r="B2294" s="1"/>
      <x:c r="C2294" s="1"/>
      <x:c r="D2294" s="1"/>
      <x:c r="E2294" s="1"/>
      <x:c r="F2294" s="1"/>
      <x:c r="G2294" s="1"/>
      <x:c r="H2294" s="1"/>
      <x:c r="I2294" s="1"/>
    </x:row>
    <x:row r="2295">
      <x:c r="A2295" s="1"/>
      <x:c r="B2295" s="1"/>
      <x:c r="C2295" s="1"/>
      <x:c r="D2295" s="1"/>
      <x:c r="E2295" s="1"/>
      <x:c r="F2295" s="1"/>
      <x:c r="G2295" s="1"/>
      <x:c r="H2295" s="1"/>
      <x:c r="I2295" s="1"/>
    </x:row>
    <x:row r="2296">
      <x:c r="A2296" s="1"/>
      <x:c r="B2296" s="1"/>
      <x:c r="C2296" s="1"/>
      <x:c r="D2296" s="1"/>
      <x:c r="E2296" s="1"/>
      <x:c r="F2296" s="1"/>
      <x:c r="G2296" s="1"/>
      <x:c r="H2296" s="1"/>
      <x:c r="I2296" s="1"/>
    </x:row>
    <x:row r="2297">
      <x:c r="A2297" s="1"/>
      <x:c r="B2297" s="1"/>
      <x:c r="C2297" s="1"/>
      <x:c r="D2297" s="1"/>
      <x:c r="E2297" s="1"/>
      <x:c r="F2297" s="1"/>
      <x:c r="G2297" s="1"/>
      <x:c r="H2297" s="1"/>
      <x:c r="I2297" s="1"/>
    </x:row>
    <x:row r="2298">
      <x:c r="A2298" s="1"/>
      <x:c r="B2298" s="1"/>
      <x:c r="C2298" s="1"/>
      <x:c r="D2298" s="1"/>
      <x:c r="E2298" s="1"/>
      <x:c r="F2298" s="1"/>
      <x:c r="G2298" s="1"/>
      <x:c r="H2298" s="1"/>
      <x:c r="I2298" s="1"/>
    </x:row>
    <x:row r="2299">
      <x:c r="A2299" s="1"/>
      <x:c r="B2299" s="1"/>
      <x:c r="C2299" s="1"/>
      <x:c r="D2299" s="1"/>
      <x:c r="E2299" s="1"/>
      <x:c r="F2299" s="1"/>
      <x:c r="G2299" s="1"/>
      <x:c r="H2299" s="1"/>
      <x:c r="I2299" s="1"/>
    </x:row>
    <x:row r="2300">
      <x:c r="A2300" s="1"/>
      <x:c r="B2300" s="1"/>
      <x:c r="C2300" s="1"/>
      <x:c r="D2300" s="1"/>
      <x:c r="E2300" s="1"/>
      <x:c r="F2300" s="1"/>
      <x:c r="G2300" s="1"/>
      <x:c r="H2300" s="1"/>
      <x:c r="I2300" s="1"/>
    </x:row>
    <x:row r="2301">
      <x:c r="A2301" s="1"/>
      <x:c r="B2301" s="1"/>
      <x:c r="C2301" s="1"/>
      <x:c r="D2301" s="1"/>
      <x:c r="E2301" s="1"/>
      <x:c r="F2301" s="1"/>
      <x:c r="G2301" s="1"/>
      <x:c r="H2301" s="1"/>
      <x:c r="I2301" s="1"/>
    </x:row>
    <x:row r="2302">
      <x:c r="A2302" s="1"/>
      <x:c r="B2302" s="1"/>
      <x:c r="C2302" s="1"/>
      <x:c r="D2302" s="1"/>
      <x:c r="E2302" s="1"/>
      <x:c r="F2302" s="1"/>
      <x:c r="G2302" s="1"/>
      <x:c r="H2302" s="1"/>
      <x:c r="I2302" s="1"/>
    </x:row>
    <x:row r="2303">
      <x:c r="A2303" s="1"/>
      <x:c r="B2303" s="1"/>
      <x:c r="C2303" s="1"/>
      <x:c r="D2303" s="1"/>
      <x:c r="E2303" s="1"/>
      <x:c r="F2303" s="1"/>
      <x:c r="G2303" s="1"/>
      <x:c r="H2303" s="1"/>
      <x:c r="I2303" s="1"/>
    </x:row>
    <x:row r="2304">
      <x:c r="A2304" s="1"/>
      <x:c r="B2304" s="1"/>
      <x:c r="C2304" s="1"/>
      <x:c r="D2304" s="1"/>
      <x:c r="E2304" s="1"/>
      <x:c r="F2304" s="1"/>
      <x:c r="G2304" s="1"/>
      <x:c r="H2304" s="1"/>
      <x:c r="I2304" s="1"/>
    </x:row>
    <x:row r="2305">
      <x:c r="A2305" s="1"/>
      <x:c r="B2305" s="1"/>
      <x:c r="C2305" s="1"/>
      <x:c r="D2305" s="1"/>
      <x:c r="E2305" s="1"/>
      <x:c r="F2305" s="1"/>
      <x:c r="G2305" s="1"/>
      <x:c r="H2305" s="1"/>
      <x:c r="I2305" s="1"/>
    </x:row>
    <x:row r="2306">
      <x:c r="A2306" s="1"/>
      <x:c r="B2306" s="1"/>
      <x:c r="C2306" s="1"/>
      <x:c r="D2306" s="1"/>
      <x:c r="E2306" s="1"/>
      <x:c r="F2306" s="1"/>
      <x:c r="G2306" s="1"/>
      <x:c r="H2306" s="1"/>
      <x:c r="I2306" s="1"/>
    </x:row>
    <x:row r="2307">
      <x:c r="A2307" s="1"/>
      <x:c r="B2307" s="1"/>
      <x:c r="C2307" s="1"/>
      <x:c r="D2307" s="1"/>
      <x:c r="E2307" s="1"/>
      <x:c r="F2307" s="1"/>
      <x:c r="G2307" s="1"/>
      <x:c r="H2307" s="1"/>
      <x:c r="I2307" s="1"/>
    </x:row>
    <x:row r="2308">
      <x:c r="A2308" s="1"/>
      <x:c r="B2308" s="1"/>
      <x:c r="C2308" s="1"/>
      <x:c r="D2308" s="1"/>
      <x:c r="E2308" s="1"/>
      <x:c r="F2308" s="1"/>
      <x:c r="G2308" s="1"/>
      <x:c r="H2308" s="1"/>
      <x:c r="I2308" s="1"/>
    </x:row>
    <x:row r="2309">
      <x:c r="A2309" s="1"/>
      <x:c r="B2309" s="1"/>
      <x:c r="C2309" s="1"/>
      <x:c r="D2309" s="1"/>
      <x:c r="E2309" s="1"/>
      <x:c r="F2309" s="1"/>
      <x:c r="G2309" s="1"/>
      <x:c r="H2309" s="1"/>
      <x:c r="I2309" s="1"/>
    </x:row>
    <x:row r="2310">
      <x:c r="A2310" s="1"/>
      <x:c r="B2310" s="1"/>
      <x:c r="C2310" s="1"/>
      <x:c r="D2310" s="1"/>
      <x:c r="E2310" s="1"/>
      <x:c r="F2310" s="1"/>
      <x:c r="G2310" s="1"/>
      <x:c r="H2310" s="1"/>
      <x:c r="I2310" s="1"/>
    </x:row>
    <x:row r="2311">
      <x:c r="A2311" s="1"/>
      <x:c r="B2311" s="1"/>
      <x:c r="C2311" s="1"/>
      <x:c r="D2311" s="1"/>
      <x:c r="E2311" s="1"/>
      <x:c r="F2311" s="1"/>
      <x:c r="G2311" s="1"/>
      <x:c r="H2311" s="1"/>
      <x:c r="I2311" s="1"/>
    </x:row>
    <x:row r="2312">
      <x:c r="A2312" s="1"/>
      <x:c r="B2312" s="1"/>
      <x:c r="C2312" s="1"/>
      <x:c r="D2312" s="1"/>
      <x:c r="E2312" s="1"/>
      <x:c r="F2312" s="1"/>
      <x:c r="G2312" s="1"/>
      <x:c r="H2312" s="1"/>
      <x:c r="I2312" s="1"/>
    </x:row>
    <x:row r="2313">
      <x:c r="A2313" s="1"/>
      <x:c r="B2313" s="1"/>
      <x:c r="C2313" s="1"/>
      <x:c r="D2313" s="1"/>
      <x:c r="E2313" s="1"/>
      <x:c r="F2313" s="1"/>
      <x:c r="G2313" s="1"/>
      <x:c r="H2313" s="1"/>
      <x:c r="I2313" s="1"/>
    </x:row>
    <x:row r="2314">
      <x:c r="A2314" s="1"/>
      <x:c r="B2314" s="1"/>
      <x:c r="C2314" s="1"/>
      <x:c r="D2314" s="1"/>
      <x:c r="E2314" s="1"/>
      <x:c r="F2314" s="1"/>
      <x:c r="G2314" s="1"/>
      <x:c r="H2314" s="1"/>
      <x:c r="I2314" s="1"/>
    </x:row>
    <x:row r="2315">
      <x:c r="A2315" s="1"/>
      <x:c r="B2315" s="1"/>
      <x:c r="C2315" s="1"/>
      <x:c r="D2315" s="1"/>
      <x:c r="E2315" s="1"/>
      <x:c r="F2315" s="1"/>
      <x:c r="G2315" s="1"/>
      <x:c r="H2315" s="1"/>
      <x:c r="I2315" s="1"/>
    </x:row>
    <x:row r="2316">
      <x:c r="A2316" s="1"/>
      <x:c r="B2316" s="1"/>
      <x:c r="C2316" s="1"/>
      <x:c r="D2316" s="1"/>
      <x:c r="E2316" s="1"/>
      <x:c r="F2316" s="1"/>
      <x:c r="G2316" s="1"/>
      <x:c r="H2316" s="1"/>
      <x:c r="I2316" s="1"/>
    </x:row>
    <x:row r="2317">
      <x:c r="A2317" s="1"/>
      <x:c r="B2317" s="1"/>
      <x:c r="C2317" s="1"/>
      <x:c r="D2317" s="1"/>
      <x:c r="E2317" s="1"/>
      <x:c r="F2317" s="1"/>
      <x:c r="G2317" s="1"/>
      <x:c r="H2317" s="1"/>
      <x:c r="I2317" s="1"/>
    </x:row>
    <x:row r="2318">
      <x:c r="A2318" s="1"/>
      <x:c r="B2318" s="1"/>
      <x:c r="C2318" s="1"/>
      <x:c r="D2318" s="1"/>
      <x:c r="E2318" s="1"/>
      <x:c r="F2318" s="1"/>
      <x:c r="G2318" s="1"/>
      <x:c r="H2318" s="1"/>
      <x:c r="I2318" s="1"/>
    </x:row>
    <x:row r="2319">
      <x:c r="A2319" s="1"/>
      <x:c r="B2319" s="1"/>
      <x:c r="C2319" s="1"/>
      <x:c r="D2319" s="1"/>
      <x:c r="E2319" s="1"/>
      <x:c r="F2319" s="1"/>
      <x:c r="G2319" s="1"/>
      <x:c r="H2319" s="1"/>
      <x:c r="I2319" s="1"/>
    </x:row>
    <x:row r="2320">
      <x:c r="A2320" s="1"/>
      <x:c r="B2320" s="1"/>
      <x:c r="C2320" s="1"/>
      <x:c r="D2320" s="1"/>
      <x:c r="E2320" s="1"/>
      <x:c r="F2320" s="1"/>
      <x:c r="G2320" s="1"/>
      <x:c r="H2320" s="1"/>
      <x:c r="I2320" s="1"/>
    </x:row>
    <x:row r="2321">
      <x:c r="A2321" s="1"/>
      <x:c r="B2321" s="1"/>
      <x:c r="C2321" s="1"/>
      <x:c r="D2321" s="1"/>
      <x:c r="E2321" s="1"/>
      <x:c r="F2321" s="1"/>
      <x:c r="G2321" s="1"/>
      <x:c r="H2321" s="1"/>
      <x:c r="I2321" s="1"/>
    </x:row>
    <x:row r="2322">
      <x:c r="A2322" s="1"/>
      <x:c r="B2322" s="1"/>
      <x:c r="C2322" s="1"/>
      <x:c r="D2322" s="1"/>
      <x:c r="E2322" s="1"/>
      <x:c r="F2322" s="1"/>
      <x:c r="G2322" s="1"/>
      <x:c r="H2322" s="1"/>
      <x:c r="I2322" s="1"/>
    </x:row>
    <x:row r="2323">
      <x:c r="A2323" s="1"/>
      <x:c r="B2323" s="1"/>
      <x:c r="C2323" s="1"/>
      <x:c r="D2323" s="1"/>
      <x:c r="E2323" s="1"/>
      <x:c r="F2323" s="1"/>
      <x:c r="G2323" s="1"/>
      <x:c r="H2323" s="1"/>
      <x:c r="I2323" s="1"/>
    </x:row>
    <x:row r="2324">
      <x:c r="A2324" s="1"/>
      <x:c r="B2324" s="1"/>
      <x:c r="C2324" s="1"/>
      <x:c r="D2324" s="1"/>
      <x:c r="E2324" s="1"/>
      <x:c r="F2324" s="1"/>
      <x:c r="G2324" s="1"/>
      <x:c r="H2324" s="1"/>
      <x:c r="I2324" s="1"/>
    </x:row>
    <x:row r="2325">
      <x:c r="A2325" s="1"/>
      <x:c r="B2325" s="1"/>
      <x:c r="C2325" s="1"/>
      <x:c r="D2325" s="1"/>
      <x:c r="E2325" s="1"/>
      <x:c r="F2325" s="1"/>
      <x:c r="G2325" s="1"/>
      <x:c r="H2325" s="1"/>
      <x:c r="I2325" s="1"/>
    </x:row>
    <x:row r="2326">
      <x:c r="A2326" s="1"/>
      <x:c r="B2326" s="1"/>
      <x:c r="C2326" s="1"/>
      <x:c r="D2326" s="1"/>
      <x:c r="E2326" s="1"/>
      <x:c r="F2326" s="1"/>
      <x:c r="G2326" s="1"/>
      <x:c r="H2326" s="1"/>
      <x:c r="I2326" s="1"/>
    </x:row>
    <x:row r="2327">
      <x:c r="A2327" s="1"/>
      <x:c r="B2327" s="1"/>
      <x:c r="C2327" s="1"/>
      <x:c r="D2327" s="1"/>
      <x:c r="E2327" s="1"/>
      <x:c r="F2327" s="1"/>
      <x:c r="G2327" s="1"/>
      <x:c r="H2327" s="1"/>
      <x:c r="I2327" s="1"/>
    </x:row>
    <x:row r="2328">
      <x:c r="A2328" s="1"/>
      <x:c r="B2328" s="1"/>
      <x:c r="C2328" s="1"/>
      <x:c r="D2328" s="1"/>
      <x:c r="E2328" s="1"/>
      <x:c r="F2328" s="1"/>
      <x:c r="G2328" s="1"/>
      <x:c r="H2328" s="1"/>
      <x:c r="I2328" s="1"/>
    </x:row>
    <x:row r="2329">
      <x:c r="A2329" s="1"/>
      <x:c r="B2329" s="1"/>
      <x:c r="C2329" s="1"/>
      <x:c r="D2329" s="1"/>
      <x:c r="E2329" s="1"/>
      <x:c r="F2329" s="1"/>
      <x:c r="G2329" s="1"/>
      <x:c r="H2329" s="1"/>
      <x:c r="I2329" s="1"/>
    </x:row>
    <x:row r="2330">
      <x:c r="A2330" s="1"/>
      <x:c r="B2330" s="1"/>
      <x:c r="C2330" s="1"/>
      <x:c r="D2330" s="1"/>
      <x:c r="E2330" s="1"/>
      <x:c r="F2330" s="1"/>
      <x:c r="G2330" s="1"/>
      <x:c r="H2330" s="1"/>
      <x:c r="I2330" s="1"/>
    </x:row>
    <x:row r="2331">
      <x:c r="A2331" s="1"/>
      <x:c r="B2331" s="1"/>
      <x:c r="C2331" s="1"/>
      <x:c r="D2331" s="1"/>
      <x:c r="E2331" s="1"/>
      <x:c r="F2331" s="1"/>
      <x:c r="G2331" s="1"/>
      <x:c r="H2331" s="1"/>
      <x:c r="I2331" s="1"/>
    </x:row>
    <x:row r="2332">
      <x:c r="A2332" s="1"/>
      <x:c r="B2332" s="1"/>
      <x:c r="C2332" s="1"/>
      <x:c r="D2332" s="1"/>
      <x:c r="E2332" s="1"/>
      <x:c r="F2332" s="1"/>
      <x:c r="G2332" s="1"/>
      <x:c r="H2332" s="1"/>
      <x:c r="I2332" s="1"/>
    </x:row>
    <x:row r="2333">
      <x:c r="A2333" s="1"/>
      <x:c r="B2333" s="1"/>
      <x:c r="C2333" s="1"/>
      <x:c r="D2333" s="1"/>
      <x:c r="E2333" s="1"/>
      <x:c r="F2333" s="1"/>
      <x:c r="G2333" s="1"/>
      <x:c r="H2333" s="1"/>
      <x:c r="I2333" s="1"/>
    </x:row>
    <x:row r="2334">
      <x:c r="A2334" s="1"/>
      <x:c r="B2334" s="1"/>
      <x:c r="C2334" s="1"/>
      <x:c r="D2334" s="1"/>
      <x:c r="E2334" s="1"/>
      <x:c r="F2334" s="1"/>
      <x:c r="G2334" s="1"/>
      <x:c r="H2334" s="1"/>
      <x:c r="I2334" s="1"/>
    </x:row>
    <x:row r="2335">
      <x:c r="A2335" s="1"/>
      <x:c r="B2335" s="1"/>
      <x:c r="C2335" s="1"/>
      <x:c r="D2335" s="1"/>
      <x:c r="E2335" s="1"/>
      <x:c r="F2335" s="1"/>
      <x:c r="G2335" s="1"/>
      <x:c r="H2335" s="1"/>
      <x:c r="I2335" s="1"/>
    </x:row>
    <x:row r="2336">
      <x:c r="A2336" s="1"/>
      <x:c r="B2336" s="1"/>
      <x:c r="C2336" s="1"/>
      <x:c r="D2336" s="1"/>
      <x:c r="E2336" s="1"/>
      <x:c r="F2336" s="1"/>
      <x:c r="G2336" s="1"/>
      <x:c r="H2336" s="1"/>
      <x:c r="I2336" s="1"/>
    </x:row>
    <x:row r="2337">
      <x:c r="A2337" s="1"/>
      <x:c r="B2337" s="1"/>
      <x:c r="C2337" s="1"/>
      <x:c r="D2337" s="1"/>
      <x:c r="E2337" s="1"/>
      <x:c r="F2337" s="1"/>
      <x:c r="G2337" s="1"/>
      <x:c r="H2337" s="1"/>
      <x:c r="I2337" s="1"/>
    </x:row>
    <x:row r="2338">
      <x:c r="A2338" s="1"/>
      <x:c r="B2338" s="1"/>
      <x:c r="C2338" s="1"/>
      <x:c r="D2338" s="1"/>
      <x:c r="E2338" s="1"/>
      <x:c r="F2338" s="1"/>
      <x:c r="G2338" s="1"/>
      <x:c r="H2338" s="1"/>
      <x:c r="I2338" s="1"/>
    </x:row>
    <x:row r="2339">
      <x:c r="A2339" s="1"/>
      <x:c r="B2339" s="1"/>
      <x:c r="C2339" s="1"/>
      <x:c r="D2339" s="1"/>
      <x:c r="E2339" s="1"/>
      <x:c r="F2339" s="1"/>
      <x:c r="G2339" s="1"/>
      <x:c r="H2339" s="1"/>
      <x:c r="I2339" s="1"/>
    </x:row>
    <x:row r="2340">
      <x:c r="A2340" s="1"/>
      <x:c r="B2340" s="1"/>
      <x:c r="C2340" s="1"/>
      <x:c r="D2340" s="1"/>
      <x:c r="E2340" s="1"/>
      <x:c r="F2340" s="1"/>
      <x:c r="G2340" s="1"/>
      <x:c r="H2340" s="1"/>
      <x:c r="I2340" s="1"/>
    </x:row>
    <x:row r="2341">
      <x:c r="A2341" s="1"/>
      <x:c r="B2341" s="1"/>
      <x:c r="C2341" s="1"/>
      <x:c r="D2341" s="1"/>
      <x:c r="E2341" s="1"/>
      <x:c r="F2341" s="1"/>
      <x:c r="G2341" s="1"/>
      <x:c r="H2341" s="1"/>
      <x:c r="I2341" s="1"/>
    </x:row>
    <x:row r="2342">
      <x:c r="A2342" s="1"/>
      <x:c r="B2342" s="1"/>
      <x:c r="C2342" s="1"/>
      <x:c r="D2342" s="1"/>
      <x:c r="E2342" s="1"/>
      <x:c r="F2342" s="1"/>
      <x:c r="G2342" s="1"/>
      <x:c r="H2342" s="1"/>
      <x:c r="I2342" s="1"/>
    </x:row>
    <x:row r="2343">
      <x:c r="A2343" s="1"/>
      <x:c r="B2343" s="1"/>
      <x:c r="C2343" s="1"/>
      <x:c r="D2343" s="1"/>
      <x:c r="E2343" s="1"/>
      <x:c r="F2343" s="1"/>
      <x:c r="G2343" s="1"/>
      <x:c r="H2343" s="1"/>
      <x:c r="I2343" s="1"/>
    </x:row>
    <x:row r="2344">
      <x:c r="A2344" s="1"/>
      <x:c r="B2344" s="1"/>
      <x:c r="C2344" s="1"/>
      <x:c r="D2344" s="1"/>
      <x:c r="E2344" s="1"/>
      <x:c r="F2344" s="1"/>
      <x:c r="G2344" s="1"/>
      <x:c r="H2344" s="1"/>
      <x:c r="I2344" s="1"/>
    </x:row>
    <x:row r="2345">
      <x:c r="A2345" s="1"/>
      <x:c r="B2345" s="1"/>
      <x:c r="C2345" s="1"/>
      <x:c r="D2345" s="1"/>
      <x:c r="E2345" s="1"/>
      <x:c r="F2345" s="1"/>
      <x:c r="G2345" s="1"/>
      <x:c r="H2345" s="1"/>
      <x:c r="I2345" s="1"/>
    </x:row>
    <x:row r="2346">
      <x:c r="A2346" s="1"/>
      <x:c r="B2346" s="1"/>
      <x:c r="C2346" s="1"/>
      <x:c r="D2346" s="1"/>
      <x:c r="E2346" s="1"/>
      <x:c r="F2346" s="1"/>
      <x:c r="G2346" s="1"/>
      <x:c r="H2346" s="1"/>
      <x:c r="I2346" s="1"/>
    </x:row>
    <x:row r="2347">
      <x:c r="A2347" s="1"/>
      <x:c r="B2347" s="1"/>
      <x:c r="C2347" s="1"/>
      <x:c r="D2347" s="1"/>
      <x:c r="E2347" s="1"/>
      <x:c r="F2347" s="1"/>
      <x:c r="G2347" s="1"/>
      <x:c r="H2347" s="1"/>
      <x:c r="I2347" s="1"/>
    </x:row>
    <x:row r="2348">
      <x:c r="A2348" s="1"/>
      <x:c r="B2348" s="1"/>
      <x:c r="C2348" s="1"/>
      <x:c r="D2348" s="1"/>
      <x:c r="E2348" s="1"/>
      <x:c r="F2348" s="1"/>
      <x:c r="G2348" s="1"/>
      <x:c r="H2348" s="1"/>
      <x:c r="I2348" s="1"/>
    </x:row>
    <x:row r="2349">
      <x:c r="A2349" s="1"/>
      <x:c r="B2349" s="1"/>
      <x:c r="C2349" s="1"/>
      <x:c r="D2349" s="1"/>
      <x:c r="E2349" s="1"/>
      <x:c r="F2349" s="1"/>
      <x:c r="G2349" s="1"/>
      <x:c r="H2349" s="1"/>
      <x:c r="I2349" s="1"/>
    </x:row>
    <x:row r="2350">
      <x:c r="A2350" s="1"/>
      <x:c r="B2350" s="1"/>
      <x:c r="C2350" s="1"/>
      <x:c r="D2350" s="1"/>
      <x:c r="E2350" s="1"/>
      <x:c r="F2350" s="1"/>
      <x:c r="G2350" s="1"/>
      <x:c r="H2350" s="1"/>
      <x:c r="I2350" s="1"/>
    </x:row>
    <x:row r="2351">
      <x:c r="A2351" s="1"/>
      <x:c r="B2351" s="1"/>
      <x:c r="C2351" s="1"/>
      <x:c r="D2351" s="1"/>
      <x:c r="E2351" s="1"/>
      <x:c r="F2351" s="1"/>
      <x:c r="G2351" s="1"/>
      <x:c r="H2351" s="1"/>
      <x:c r="I2351" s="1"/>
    </x:row>
    <x:row r="2352">
      <x:c r="A2352" s="1"/>
      <x:c r="B2352" s="1"/>
      <x:c r="C2352" s="1"/>
      <x:c r="D2352" s="1"/>
      <x:c r="E2352" s="1"/>
      <x:c r="F2352" s="1"/>
      <x:c r="G2352" s="1"/>
      <x:c r="H2352" s="1"/>
      <x:c r="I2352" s="1"/>
    </x:row>
    <x:row r="2353">
      <x:c r="A2353" s="1"/>
      <x:c r="B2353" s="1"/>
      <x:c r="C2353" s="1"/>
      <x:c r="D2353" s="1"/>
      <x:c r="E2353" s="1"/>
      <x:c r="F2353" s="1"/>
      <x:c r="G2353" s="1"/>
      <x:c r="H2353" s="1"/>
      <x:c r="I2353" s="1"/>
    </x:row>
    <x:row r="2354">
      <x:c r="A2354" s="1"/>
      <x:c r="B2354" s="1"/>
      <x:c r="C2354" s="1"/>
      <x:c r="D2354" s="1"/>
      <x:c r="E2354" s="1"/>
      <x:c r="F2354" s="1"/>
      <x:c r="G2354" s="1"/>
      <x:c r="H2354" s="1"/>
      <x:c r="I2354" s="1"/>
    </x:row>
    <x:row r="2355">
      <x:c r="A2355" s="1"/>
      <x:c r="B2355" s="1"/>
      <x:c r="C2355" s="1"/>
      <x:c r="D2355" s="1"/>
      <x:c r="E2355" s="1"/>
      <x:c r="F2355" s="1"/>
      <x:c r="G2355" s="1"/>
      <x:c r="H2355" s="1"/>
      <x:c r="I2355" s="1"/>
    </x:row>
    <x:row r="2356">
      <x:c r="A2356" s="1"/>
      <x:c r="B2356" s="1"/>
      <x:c r="C2356" s="1"/>
      <x:c r="D2356" s="1"/>
      <x:c r="E2356" s="1"/>
      <x:c r="F2356" s="1"/>
      <x:c r="G2356" s="1"/>
      <x:c r="H2356" s="1"/>
      <x:c r="I2356" s="1"/>
    </x:row>
    <x:row r="2357">
      <x:c r="A2357" s="1"/>
      <x:c r="B2357" s="1"/>
      <x:c r="C2357" s="1"/>
      <x:c r="D2357" s="1"/>
      <x:c r="E2357" s="1"/>
      <x:c r="F2357" s="1"/>
      <x:c r="G2357" s="1"/>
      <x:c r="H2357" s="1"/>
      <x:c r="I2357" s="1"/>
    </x:row>
    <x:row r="2358">
      <x:c r="A2358" s="1"/>
      <x:c r="B2358" s="1"/>
      <x:c r="C2358" s="1"/>
      <x:c r="D2358" s="1"/>
      <x:c r="E2358" s="1"/>
      <x:c r="F2358" s="1"/>
      <x:c r="G2358" s="1"/>
      <x:c r="H2358" s="1"/>
      <x:c r="I2358" s="1"/>
    </x:row>
    <x:row r="2359">
      <x:c r="A2359" s="1"/>
      <x:c r="B2359" s="1"/>
      <x:c r="C2359" s="1"/>
      <x:c r="D2359" s="1"/>
      <x:c r="E2359" s="1"/>
      <x:c r="F2359" s="1"/>
      <x:c r="G2359" s="1"/>
      <x:c r="H2359" s="1"/>
      <x:c r="I2359" s="1"/>
    </x:row>
    <x:row r="2360">
      <x:c r="A2360" s="1"/>
      <x:c r="B2360" s="1"/>
      <x:c r="C2360" s="1"/>
      <x:c r="D2360" s="1"/>
      <x:c r="E2360" s="1"/>
      <x:c r="F2360" s="1"/>
      <x:c r="G2360" s="1"/>
      <x:c r="H2360" s="1"/>
      <x:c r="I2360" s="1"/>
    </x:row>
    <x:row r="2361">
      <x:c r="A2361" s="1"/>
      <x:c r="B2361" s="1"/>
      <x:c r="C2361" s="1"/>
      <x:c r="D2361" s="1"/>
      <x:c r="E2361" s="1"/>
      <x:c r="F2361" s="1"/>
      <x:c r="G2361" s="1"/>
      <x:c r="H2361" s="1"/>
      <x:c r="I2361" s="1"/>
    </x:row>
    <x:row r="2362">
      <x:c r="A2362" s="1"/>
      <x:c r="B2362" s="1"/>
      <x:c r="C2362" s="1"/>
      <x:c r="D2362" s="1"/>
      <x:c r="E2362" s="1"/>
      <x:c r="F2362" s="1"/>
      <x:c r="G2362" s="1"/>
      <x:c r="H2362" s="1"/>
      <x:c r="I2362" s="1"/>
    </x:row>
    <x:row r="2363">
      <x:c r="A2363" s="1"/>
      <x:c r="B2363" s="1"/>
      <x:c r="C2363" s="1"/>
      <x:c r="D2363" s="1"/>
      <x:c r="E2363" s="1"/>
      <x:c r="F2363" s="1"/>
      <x:c r="G2363" s="1"/>
      <x:c r="H2363" s="1"/>
      <x:c r="I2363" s="1"/>
    </x:row>
    <x:row r="2364">
      <x:c r="A2364" s="1"/>
      <x:c r="B2364" s="1"/>
      <x:c r="C2364" s="1"/>
      <x:c r="D2364" s="1"/>
      <x:c r="E2364" s="1"/>
      <x:c r="F2364" s="1"/>
      <x:c r="G2364" s="1"/>
      <x:c r="H2364" s="1"/>
      <x:c r="I2364" s="1"/>
    </x:row>
    <x:row r="2365">
      <x:c r="A2365" s="1"/>
      <x:c r="B2365" s="1"/>
      <x:c r="C2365" s="1"/>
      <x:c r="D2365" s="1"/>
      <x:c r="E2365" s="1"/>
      <x:c r="F2365" s="1"/>
      <x:c r="G2365" s="1"/>
      <x:c r="H2365" s="1"/>
      <x:c r="I2365" s="1"/>
    </x:row>
    <x:row r="2366">
      <x:c r="A2366" s="1"/>
      <x:c r="B2366" s="1"/>
      <x:c r="C2366" s="1"/>
      <x:c r="D2366" s="1"/>
      <x:c r="E2366" s="1"/>
      <x:c r="F2366" s="1"/>
      <x:c r="G2366" s="1"/>
      <x:c r="H2366" s="1"/>
      <x:c r="I2366" s="1"/>
    </x:row>
    <x:row r="2367">
      <x:c r="A2367" s="1"/>
      <x:c r="B2367" s="1"/>
      <x:c r="C2367" s="1"/>
      <x:c r="D2367" s="1"/>
      <x:c r="E2367" s="1"/>
      <x:c r="F2367" s="1"/>
      <x:c r="G2367" s="1"/>
      <x:c r="H2367" s="1"/>
      <x:c r="I2367" s="1"/>
    </x:row>
    <x:row r="2368">
      <x:c r="A2368" s="1"/>
      <x:c r="B2368" s="1"/>
      <x:c r="C2368" s="1"/>
      <x:c r="D2368" s="1"/>
      <x:c r="E2368" s="1"/>
      <x:c r="F2368" s="1"/>
      <x:c r="G2368" s="1"/>
      <x:c r="H2368" s="1"/>
      <x:c r="I2368" s="1"/>
    </x:row>
    <x:row r="2369">
      <x:c r="A2369" s="1"/>
      <x:c r="B2369" s="1"/>
      <x:c r="C2369" s="1"/>
      <x:c r="D2369" s="1"/>
      <x:c r="E2369" s="1"/>
      <x:c r="F2369" s="1"/>
      <x:c r="G2369" s="1"/>
      <x:c r="H2369" s="1"/>
      <x:c r="I2369" s="1"/>
    </x:row>
    <x:row r="2370">
      <x:c r="A2370" s="1"/>
      <x:c r="B2370" s="1"/>
      <x:c r="C2370" s="1"/>
      <x:c r="D2370" s="1"/>
      <x:c r="E2370" s="1"/>
      <x:c r="F2370" s="1"/>
      <x:c r="G2370" s="1"/>
      <x:c r="H2370" s="1"/>
      <x:c r="I2370" s="1"/>
    </x:row>
    <x:row r="2371">
      <x:c r="A2371" s="1"/>
      <x:c r="B2371" s="1"/>
      <x:c r="C2371" s="1"/>
      <x:c r="D2371" s="1"/>
      <x:c r="E2371" s="1"/>
      <x:c r="F2371" s="1"/>
      <x:c r="G2371" s="1"/>
      <x:c r="H2371" s="1"/>
      <x:c r="I2371" s="1"/>
    </x:row>
    <x:row r="2372">
      <x:c r="A2372" s="1"/>
      <x:c r="B2372" s="1"/>
      <x:c r="C2372" s="1"/>
      <x:c r="D2372" s="1"/>
      <x:c r="E2372" s="1"/>
      <x:c r="F2372" s="1"/>
      <x:c r="G2372" s="1"/>
      <x:c r="H2372" s="1"/>
      <x:c r="I2372" s="1"/>
    </x:row>
    <x:row r="2373">
      <x:c r="A2373" s="1"/>
      <x:c r="B2373" s="1"/>
      <x:c r="C2373" s="1"/>
      <x:c r="D2373" s="1"/>
      <x:c r="E2373" s="1"/>
      <x:c r="F2373" s="1"/>
      <x:c r="G2373" s="1"/>
      <x:c r="H2373" s="1"/>
      <x:c r="I2373" s="1"/>
    </x:row>
    <x:row r="2374">
      <x:c r="A2374" s="1"/>
      <x:c r="B2374" s="1"/>
      <x:c r="C2374" s="1"/>
      <x:c r="D2374" s="1"/>
      <x:c r="E2374" s="1"/>
      <x:c r="F2374" s="1"/>
      <x:c r="G2374" s="1"/>
      <x:c r="H2374" s="1"/>
      <x:c r="I2374" s="1"/>
    </x:row>
    <x:row r="2375">
      <x:c r="A2375" s="1"/>
      <x:c r="B2375" s="1"/>
      <x:c r="C2375" s="1"/>
      <x:c r="D2375" s="1"/>
      <x:c r="E2375" s="1"/>
      <x:c r="F2375" s="1"/>
      <x:c r="G2375" s="1"/>
      <x:c r="H2375" s="1"/>
      <x:c r="I2375" s="1"/>
    </x:row>
    <x:row r="2376">
      <x:c r="A2376" s="1"/>
      <x:c r="B2376" s="1"/>
      <x:c r="C2376" s="1"/>
      <x:c r="D2376" s="1"/>
      <x:c r="E2376" s="1"/>
      <x:c r="F2376" s="1"/>
      <x:c r="G2376" s="1"/>
      <x:c r="H2376" s="1"/>
      <x:c r="I2376" s="1"/>
    </x:row>
    <x:row r="2377">
      <x:c r="A2377" s="1"/>
      <x:c r="B2377" s="1"/>
      <x:c r="C2377" s="1"/>
      <x:c r="D2377" s="1"/>
      <x:c r="E2377" s="1"/>
      <x:c r="F2377" s="1"/>
      <x:c r="G2377" s="1"/>
      <x:c r="H2377" s="1"/>
      <x:c r="I2377" s="1"/>
    </x:row>
    <x:row r="2378">
      <x:c r="A2378" s="1"/>
      <x:c r="B2378" s="1"/>
      <x:c r="C2378" s="1"/>
      <x:c r="D2378" s="1"/>
      <x:c r="E2378" s="1"/>
      <x:c r="F2378" s="1"/>
      <x:c r="G2378" s="1"/>
      <x:c r="H2378" s="1"/>
      <x:c r="I2378" s="1"/>
    </x:row>
    <x:row r="2379">
      <x:c r="A2379" s="1"/>
      <x:c r="B2379" s="1"/>
      <x:c r="C2379" s="1"/>
      <x:c r="D2379" s="1"/>
      <x:c r="E2379" s="1"/>
      <x:c r="F2379" s="1"/>
      <x:c r="G2379" s="1"/>
      <x:c r="H2379" s="1"/>
      <x:c r="I2379" s="1"/>
    </x:row>
    <x:row r="2380">
      <x:c r="A2380" s="1"/>
      <x:c r="B2380" s="1"/>
      <x:c r="C2380" s="1"/>
      <x:c r="D2380" s="1"/>
      <x:c r="E2380" s="1"/>
      <x:c r="F2380" s="1"/>
      <x:c r="G2380" s="1"/>
      <x:c r="H2380" s="1"/>
      <x:c r="I2380" s="1"/>
    </x:row>
    <x:row r="2381">
      <x:c r="A2381" s="1"/>
      <x:c r="B2381" s="1"/>
      <x:c r="C2381" s="1"/>
      <x:c r="D2381" s="1"/>
      <x:c r="E2381" s="1"/>
      <x:c r="F2381" s="1"/>
      <x:c r="G2381" s="1"/>
      <x:c r="H2381" s="1"/>
      <x:c r="I2381" s="1"/>
    </x:row>
    <x:row r="2382">
      <x:c r="A2382" s="1"/>
      <x:c r="B2382" s="1"/>
      <x:c r="C2382" s="1"/>
      <x:c r="D2382" s="1"/>
      <x:c r="E2382" s="1"/>
      <x:c r="F2382" s="1"/>
      <x:c r="G2382" s="1"/>
      <x:c r="H2382" s="1"/>
      <x:c r="I2382" s="1"/>
    </x:row>
    <x:row r="2383">
      <x:c r="A2383" s="1"/>
      <x:c r="B2383" s="1"/>
      <x:c r="C2383" s="1"/>
      <x:c r="D2383" s="1"/>
      <x:c r="E2383" s="1"/>
      <x:c r="F2383" s="1"/>
      <x:c r="G2383" s="1"/>
      <x:c r="H2383" s="1"/>
      <x:c r="I2383" s="1"/>
    </x:row>
    <x:row r="2384">
      <x:c r="A2384" s="1"/>
      <x:c r="B2384" s="1"/>
      <x:c r="C2384" s="1"/>
      <x:c r="D2384" s="1"/>
      <x:c r="E2384" s="1"/>
      <x:c r="F2384" s="1"/>
      <x:c r="G2384" s="1"/>
      <x:c r="H2384" s="1"/>
      <x:c r="I2384" s="1"/>
    </x:row>
    <x:row r="2385">
      <x:c r="A2385" s="1"/>
      <x:c r="B2385" s="1"/>
      <x:c r="C2385" s="1"/>
      <x:c r="D2385" s="1"/>
      <x:c r="E2385" s="1"/>
      <x:c r="F2385" s="1"/>
      <x:c r="G2385" s="1"/>
      <x:c r="H2385" s="1"/>
      <x:c r="I2385" s="1"/>
    </x:row>
    <x:row r="2386">
      <x:c r="A2386" s="1"/>
      <x:c r="B2386" s="1"/>
      <x:c r="C2386" s="1"/>
      <x:c r="D2386" s="1"/>
      <x:c r="E2386" s="1"/>
      <x:c r="F2386" s="1"/>
      <x:c r="G2386" s="1"/>
      <x:c r="H2386" s="1"/>
      <x:c r="I2386" s="1"/>
    </x:row>
    <x:row r="2387">
      <x:c r="A2387" s="1"/>
      <x:c r="B2387" s="1"/>
      <x:c r="C2387" s="1"/>
      <x:c r="D2387" s="1"/>
      <x:c r="E2387" s="1"/>
      <x:c r="F2387" s="1"/>
      <x:c r="G2387" s="1"/>
      <x:c r="H2387" s="1"/>
      <x:c r="I2387" s="1"/>
    </x:row>
    <x:row r="2388">
      <x:c r="A2388" s="1"/>
      <x:c r="B2388" s="1"/>
      <x:c r="C2388" s="1"/>
      <x:c r="D2388" s="1"/>
      <x:c r="E2388" s="1"/>
      <x:c r="F2388" s="1"/>
      <x:c r="G2388" s="1"/>
      <x:c r="H2388" s="1"/>
      <x:c r="I2388" s="1"/>
    </x:row>
    <x:row r="2389">
      <x:c r="A2389" s="1"/>
      <x:c r="B2389" s="1"/>
      <x:c r="C2389" s="1"/>
      <x:c r="D2389" s="1"/>
      <x:c r="E2389" s="1"/>
      <x:c r="F2389" s="1"/>
      <x:c r="G2389" s="1"/>
      <x:c r="H2389" s="1"/>
      <x:c r="I2389" s="1"/>
    </x:row>
    <x:row r="2390">
      <x:c r="A2390" s="1"/>
      <x:c r="B2390" s="1"/>
      <x:c r="C2390" s="1"/>
      <x:c r="D2390" s="1"/>
      <x:c r="E2390" s="1"/>
      <x:c r="F2390" s="1"/>
      <x:c r="G2390" s="1"/>
      <x:c r="H2390" s="1"/>
      <x:c r="I2390" s="1"/>
    </x:row>
    <x:row r="2391">
      <x:c r="A2391" s="1"/>
      <x:c r="B2391" s="1"/>
      <x:c r="C2391" s="1"/>
      <x:c r="D2391" s="1"/>
      <x:c r="E2391" s="1"/>
      <x:c r="F2391" s="1"/>
      <x:c r="G2391" s="1"/>
      <x:c r="H2391" s="1"/>
      <x:c r="I2391" s="1"/>
    </x:row>
    <x:row r="2392">
      <x:c r="A2392" s="1"/>
      <x:c r="B2392" s="1"/>
      <x:c r="C2392" s="1"/>
      <x:c r="D2392" s="1"/>
      <x:c r="E2392" s="1"/>
      <x:c r="F2392" s="1"/>
      <x:c r="G2392" s="1"/>
      <x:c r="H2392" s="1"/>
      <x:c r="I2392" s="1"/>
    </x:row>
    <x:row r="2393">
      <x:c r="A2393" s="1"/>
      <x:c r="B2393" s="1"/>
      <x:c r="C2393" s="1"/>
      <x:c r="D2393" s="1"/>
      <x:c r="E2393" s="1"/>
      <x:c r="F2393" s="1"/>
      <x:c r="G2393" s="1"/>
      <x:c r="H2393" s="1"/>
      <x:c r="I2393" s="1"/>
    </x:row>
    <x:row r="2394">
      <x:c r="A2394" s="1"/>
      <x:c r="B2394" s="1"/>
      <x:c r="C2394" s="1"/>
      <x:c r="D2394" s="1"/>
      <x:c r="E2394" s="1"/>
      <x:c r="F2394" s="1"/>
      <x:c r="G2394" s="1"/>
      <x:c r="H2394" s="1"/>
      <x:c r="I2394" s="1"/>
    </x:row>
    <x:row r="2395">
      <x:c r="A2395" s="1"/>
      <x:c r="B2395" s="1"/>
      <x:c r="C2395" s="1"/>
      <x:c r="D2395" s="1"/>
      <x:c r="E2395" s="1"/>
      <x:c r="F2395" s="1"/>
      <x:c r="G2395" s="1"/>
      <x:c r="H2395" s="1"/>
      <x:c r="I2395" s="1"/>
    </x:row>
    <x:row r="2396">
      <x:c r="A2396" s="1"/>
      <x:c r="B2396" s="1"/>
      <x:c r="C2396" s="1"/>
      <x:c r="D2396" s="1"/>
      <x:c r="E2396" s="1"/>
      <x:c r="F2396" s="1"/>
      <x:c r="G2396" s="1"/>
      <x:c r="H2396" s="1"/>
      <x:c r="I2396" s="1"/>
    </x:row>
    <x:row r="2397">
      <x:c r="A2397" s="1"/>
      <x:c r="B2397" s="1"/>
      <x:c r="C2397" s="1"/>
      <x:c r="D2397" s="1"/>
      <x:c r="E2397" s="1"/>
      <x:c r="F2397" s="1"/>
      <x:c r="G2397" s="1"/>
      <x:c r="H2397" s="1"/>
      <x:c r="I2397" s="1"/>
    </x:row>
    <x:row r="2398">
      <x:c r="A2398" s="1"/>
      <x:c r="B2398" s="1"/>
      <x:c r="C2398" s="1"/>
      <x:c r="D2398" s="1"/>
      <x:c r="E2398" s="1"/>
      <x:c r="F2398" s="1"/>
      <x:c r="G2398" s="1"/>
      <x:c r="H2398" s="1"/>
      <x:c r="I2398" s="1"/>
    </x:row>
    <x:row r="2399">
      <x:c r="A2399" s="1"/>
      <x:c r="B2399" s="1"/>
      <x:c r="C2399" s="1"/>
      <x:c r="D2399" s="1"/>
      <x:c r="E2399" s="1"/>
      <x:c r="F2399" s="1"/>
      <x:c r="G2399" s="1"/>
      <x:c r="H2399" s="1"/>
      <x:c r="I2399" s="1"/>
    </x:row>
    <x:row r="2400">
      <x:c r="A2400" s="1"/>
      <x:c r="B2400" s="1"/>
      <x:c r="C2400" s="1"/>
      <x:c r="D2400" s="1"/>
      <x:c r="E2400" s="1"/>
      <x:c r="F2400" s="1"/>
      <x:c r="G2400" s="1"/>
      <x:c r="H2400" s="1"/>
      <x:c r="I2400" s="1"/>
    </x:row>
    <x:row r="2401">
      <x:c r="A2401" s="1"/>
      <x:c r="B2401" s="1"/>
      <x:c r="C2401" s="1"/>
      <x:c r="D2401" s="1"/>
      <x:c r="E2401" s="1"/>
      <x:c r="F2401" s="1"/>
      <x:c r="G2401" s="1"/>
      <x:c r="H2401" s="1"/>
      <x:c r="I2401" s="1"/>
    </x:row>
    <x:row r="2402">
      <x:c r="A2402" s="1"/>
      <x:c r="B2402" s="1"/>
      <x:c r="C2402" s="1"/>
      <x:c r="D2402" s="1"/>
      <x:c r="E2402" s="1"/>
      <x:c r="F2402" s="1"/>
      <x:c r="G2402" s="1"/>
      <x:c r="H2402" s="1"/>
      <x:c r="I2402" s="1"/>
    </x:row>
    <x:row r="2403">
      <x:c r="A2403" s="1"/>
      <x:c r="B2403" s="1"/>
      <x:c r="C2403" s="1"/>
      <x:c r="D2403" s="1"/>
      <x:c r="E2403" s="1"/>
      <x:c r="F2403" s="1"/>
      <x:c r="G2403" s="1"/>
      <x:c r="H2403" s="1"/>
      <x:c r="I2403" s="1"/>
    </x:row>
    <x:row r="2404">
      <x:c r="A2404" s="1"/>
      <x:c r="B2404" s="1"/>
      <x:c r="C2404" s="1"/>
      <x:c r="D2404" s="1"/>
      <x:c r="E2404" s="1"/>
      <x:c r="F2404" s="1"/>
      <x:c r="G2404" s="1"/>
      <x:c r="H2404" s="1"/>
      <x:c r="I2404" s="1"/>
    </x:row>
    <x:row r="2405">
      <x:c r="A2405" s="1"/>
      <x:c r="B2405" s="1"/>
      <x:c r="C2405" s="1"/>
      <x:c r="D2405" s="1"/>
      <x:c r="E2405" s="1"/>
      <x:c r="F2405" s="1"/>
      <x:c r="G2405" s="1"/>
      <x:c r="H2405" s="1"/>
      <x:c r="I2405" s="1"/>
    </x:row>
    <x:row r="2406">
      <x:c r="A2406" s="1"/>
      <x:c r="B2406" s="1"/>
      <x:c r="C2406" s="1"/>
      <x:c r="D2406" s="1"/>
      <x:c r="E2406" s="1"/>
      <x:c r="F2406" s="1"/>
      <x:c r="G2406" s="1"/>
      <x:c r="H2406" s="1"/>
      <x:c r="I2406" s="1"/>
    </x:row>
    <x:row r="2407">
      <x:c r="A2407" s="1"/>
      <x:c r="B2407" s="1"/>
      <x:c r="C2407" s="1"/>
      <x:c r="D2407" s="1"/>
      <x:c r="E2407" s="1"/>
      <x:c r="F2407" s="1"/>
      <x:c r="G2407" s="1"/>
      <x:c r="H2407" s="1"/>
      <x:c r="I2407" s="1"/>
    </x:row>
    <x:row r="2408">
      <x:c r="A2408" s="1"/>
      <x:c r="B2408" s="1"/>
      <x:c r="C2408" s="1"/>
      <x:c r="D2408" s="1"/>
      <x:c r="E2408" s="1"/>
      <x:c r="F2408" s="1"/>
      <x:c r="G2408" s="1"/>
      <x:c r="H2408" s="1"/>
      <x:c r="I2408" s="1"/>
    </x:row>
    <x:row r="2409">
      <x:c r="A2409" s="1"/>
      <x:c r="B2409" s="1"/>
      <x:c r="C2409" s="1"/>
      <x:c r="D2409" s="1"/>
      <x:c r="E2409" s="1"/>
      <x:c r="F2409" s="1"/>
      <x:c r="G2409" s="1"/>
      <x:c r="H2409" s="1"/>
      <x:c r="I2409" s="1"/>
    </x:row>
    <x:row r="2410">
      <x:c r="A2410" s="1"/>
      <x:c r="B2410" s="1"/>
      <x:c r="C2410" s="1"/>
      <x:c r="D2410" s="1"/>
      <x:c r="E2410" s="1"/>
      <x:c r="F2410" s="1"/>
      <x:c r="G2410" s="1"/>
      <x:c r="H2410" s="1"/>
      <x:c r="I2410" s="1"/>
    </x:row>
    <x:row r="2411">
      <x:c r="A2411" s="1"/>
      <x:c r="B2411" s="1"/>
      <x:c r="C2411" s="1"/>
      <x:c r="D2411" s="1"/>
      <x:c r="E2411" s="1"/>
      <x:c r="F2411" s="1"/>
      <x:c r="G2411" s="1"/>
      <x:c r="H2411" s="1"/>
      <x:c r="I2411" s="1"/>
    </x:row>
    <x:row r="2412">
      <x:c r="A2412" s="1"/>
      <x:c r="B2412" s="1"/>
      <x:c r="C2412" s="1"/>
      <x:c r="D2412" s="1"/>
      <x:c r="E2412" s="1"/>
      <x:c r="F2412" s="1"/>
      <x:c r="G2412" s="1"/>
      <x:c r="H2412" s="1"/>
      <x:c r="I2412" s="1"/>
    </x:row>
    <x:row r="2413">
      <x:c r="A2413" s="1"/>
      <x:c r="B2413" s="1"/>
      <x:c r="C2413" s="1"/>
      <x:c r="D2413" s="1"/>
      <x:c r="E2413" s="1"/>
      <x:c r="F2413" s="1"/>
      <x:c r="G2413" s="1"/>
      <x:c r="H2413" s="1"/>
      <x:c r="I2413" s="1"/>
    </x:row>
    <x:row r="2414">
      <x:c r="A2414" s="1"/>
      <x:c r="B2414" s="1"/>
      <x:c r="C2414" s="1"/>
      <x:c r="D2414" s="1"/>
      <x:c r="E2414" s="1"/>
      <x:c r="F2414" s="1"/>
      <x:c r="G2414" s="1"/>
      <x:c r="H2414" s="1"/>
      <x:c r="I2414" s="1"/>
    </x:row>
    <x:row r="2415">
      <x:c r="A2415" s="1"/>
      <x:c r="B2415" s="1"/>
      <x:c r="C2415" s="1"/>
      <x:c r="D2415" s="1"/>
      <x:c r="E2415" s="1"/>
      <x:c r="F2415" s="1"/>
      <x:c r="G2415" s="1"/>
      <x:c r="H2415" s="1"/>
      <x:c r="I2415" s="1"/>
    </x:row>
    <x:row r="2416">
      <x:c r="A2416" s="1"/>
      <x:c r="B2416" s="1"/>
      <x:c r="C2416" s="1"/>
      <x:c r="D2416" s="1"/>
      <x:c r="E2416" s="1"/>
      <x:c r="F2416" s="1"/>
      <x:c r="G2416" s="1"/>
      <x:c r="H2416" s="1"/>
      <x:c r="I2416" s="1"/>
    </x:row>
    <x:row r="2417">
      <x:c r="A2417" s="1"/>
      <x:c r="B2417" s="1"/>
      <x:c r="C2417" s="1"/>
      <x:c r="D2417" s="1"/>
      <x:c r="E2417" s="1"/>
      <x:c r="F2417" s="1"/>
      <x:c r="G2417" s="1"/>
      <x:c r="H2417" s="1"/>
      <x:c r="I2417" s="1"/>
    </x:row>
    <x:row r="2418">
      <x:c r="A2418" s="1"/>
      <x:c r="B2418" s="1"/>
      <x:c r="C2418" s="1"/>
      <x:c r="D2418" s="1"/>
      <x:c r="E2418" s="1"/>
      <x:c r="F2418" s="1"/>
      <x:c r="G2418" s="1"/>
      <x:c r="H2418" s="1"/>
      <x:c r="I2418" s="1"/>
    </x:row>
    <x:row r="2419">
      <x:c r="A2419" s="1"/>
      <x:c r="B2419" s="1"/>
      <x:c r="C2419" s="1"/>
      <x:c r="D2419" s="1"/>
      <x:c r="E2419" s="1"/>
      <x:c r="F2419" s="1"/>
      <x:c r="G2419" s="1"/>
      <x:c r="H2419" s="1"/>
      <x:c r="I2419" s="1"/>
    </x:row>
    <x:row r="2420">
      <x:c r="A2420" s="1"/>
      <x:c r="B2420" s="1"/>
      <x:c r="C2420" s="1"/>
      <x:c r="D2420" s="1"/>
      <x:c r="E2420" s="1"/>
      <x:c r="F2420" s="1"/>
      <x:c r="G2420" s="1"/>
      <x:c r="H2420" s="1"/>
      <x:c r="I2420" s="1"/>
    </x:row>
    <x:row r="2421">
      <x:c r="A2421" s="1"/>
      <x:c r="B2421" s="1"/>
      <x:c r="C2421" s="1"/>
      <x:c r="D2421" s="1"/>
      <x:c r="E2421" s="1"/>
      <x:c r="F2421" s="1"/>
      <x:c r="G2421" s="1"/>
      <x:c r="H2421" s="1"/>
      <x:c r="I2421" s="1"/>
    </x:row>
    <x:row r="2422">
      <x:c r="A2422" s="1"/>
      <x:c r="B2422" s="1"/>
      <x:c r="C2422" s="1"/>
      <x:c r="D2422" s="1"/>
      <x:c r="E2422" s="1"/>
      <x:c r="F2422" s="1"/>
      <x:c r="G2422" s="1"/>
      <x:c r="H2422" s="1"/>
      <x:c r="I2422" s="1"/>
    </x:row>
    <x:row r="2423">
      <x:c r="A2423" s="1"/>
      <x:c r="B2423" s="1"/>
      <x:c r="C2423" s="1"/>
      <x:c r="D2423" s="1"/>
      <x:c r="E2423" s="1"/>
      <x:c r="F2423" s="1"/>
      <x:c r="G2423" s="1"/>
      <x:c r="H2423" s="1"/>
      <x:c r="I2423" s="1"/>
    </x:row>
    <x:row r="2424">
      <x:c r="A2424" s="1"/>
      <x:c r="B2424" s="1"/>
      <x:c r="C2424" s="1"/>
      <x:c r="D2424" s="1"/>
      <x:c r="E2424" s="1"/>
      <x:c r="F2424" s="1"/>
      <x:c r="G2424" s="1"/>
      <x:c r="H2424" s="1"/>
      <x:c r="I2424" s="1"/>
    </x:row>
    <x:row r="2425">
      <x:c r="A2425" s="1"/>
      <x:c r="B2425" s="1"/>
      <x:c r="C2425" s="1"/>
      <x:c r="D2425" s="1"/>
      <x:c r="E2425" s="1"/>
      <x:c r="F2425" s="1"/>
      <x:c r="G2425" s="1"/>
      <x:c r="H2425" s="1"/>
      <x:c r="I2425" s="1"/>
    </x:row>
    <x:row r="2426">
      <x:c r="A2426" s="1"/>
      <x:c r="B2426" s="1"/>
      <x:c r="C2426" s="1"/>
      <x:c r="D2426" s="1"/>
      <x:c r="E2426" s="1"/>
      <x:c r="F2426" s="1"/>
      <x:c r="G2426" s="1"/>
      <x:c r="H2426" s="1"/>
      <x:c r="I2426" s="1"/>
    </x:row>
    <x:row r="2427">
      <x:c r="A2427" s="1"/>
      <x:c r="B2427" s="1"/>
      <x:c r="C2427" s="1"/>
      <x:c r="D2427" s="1"/>
      <x:c r="E2427" s="1"/>
      <x:c r="F2427" s="1"/>
      <x:c r="G2427" s="1"/>
      <x:c r="H2427" s="1"/>
      <x:c r="I2427" s="1"/>
    </x:row>
    <x:row r="2428">
      <x:c r="A2428" s="1"/>
      <x:c r="B2428" s="1"/>
      <x:c r="C2428" s="1"/>
      <x:c r="D2428" s="1"/>
      <x:c r="E2428" s="1"/>
      <x:c r="F2428" s="1"/>
      <x:c r="G2428" s="1"/>
      <x:c r="H2428" s="1"/>
      <x:c r="I2428" s="1"/>
    </x:row>
    <x:row r="2429">
      <x:c r="A2429" s="1"/>
      <x:c r="B2429" s="1"/>
      <x:c r="C2429" s="1"/>
      <x:c r="D2429" s="1"/>
      <x:c r="E2429" s="1"/>
      <x:c r="F2429" s="1"/>
      <x:c r="G2429" s="1"/>
      <x:c r="H2429" s="1"/>
      <x:c r="I2429" s="1"/>
    </x:row>
    <x:row r="2430">
      <x:c r="A2430" s="1"/>
      <x:c r="B2430" s="1"/>
      <x:c r="C2430" s="1"/>
      <x:c r="D2430" s="1"/>
      <x:c r="E2430" s="1"/>
      <x:c r="F2430" s="1"/>
      <x:c r="G2430" s="1"/>
      <x:c r="H2430" s="1"/>
      <x:c r="I2430" s="1"/>
    </x:row>
    <x:row r="2431">
      <x:c r="A2431" s="1"/>
      <x:c r="B2431" s="1"/>
      <x:c r="C2431" s="1"/>
      <x:c r="D2431" s="1"/>
      <x:c r="E2431" s="1"/>
      <x:c r="F2431" s="1"/>
      <x:c r="G2431" s="1"/>
      <x:c r="H2431" s="1"/>
      <x:c r="I2431" s="1"/>
    </x:row>
    <x:row r="2432">
      <x:c r="A2432" s="1"/>
      <x:c r="B2432" s="1"/>
      <x:c r="C2432" s="1"/>
      <x:c r="D2432" s="1"/>
      <x:c r="E2432" s="1"/>
      <x:c r="F2432" s="1"/>
      <x:c r="G2432" s="1"/>
      <x:c r="H2432" s="1"/>
      <x:c r="I2432" s="1"/>
    </x:row>
    <x:row r="2433">
      <x:c r="A2433" s="1"/>
      <x:c r="B2433" s="1"/>
      <x:c r="C2433" s="1"/>
      <x:c r="D2433" s="1"/>
      <x:c r="E2433" s="1"/>
      <x:c r="F2433" s="1"/>
      <x:c r="G2433" s="1"/>
      <x:c r="H2433" s="1"/>
      <x:c r="I2433" s="1"/>
    </x:row>
    <x:row r="2434">
      <x:c r="A2434" s="1"/>
      <x:c r="B2434" s="1"/>
      <x:c r="C2434" s="1"/>
      <x:c r="D2434" s="1"/>
      <x:c r="E2434" s="1"/>
      <x:c r="F2434" s="1"/>
      <x:c r="G2434" s="1"/>
      <x:c r="H2434" s="1"/>
      <x:c r="I2434" s="1"/>
    </x:row>
    <x:row r="2435">
      <x:c r="A2435" s="1"/>
      <x:c r="B2435" s="1"/>
      <x:c r="C2435" s="1"/>
      <x:c r="D2435" s="1"/>
      <x:c r="E2435" s="1"/>
      <x:c r="F2435" s="1"/>
      <x:c r="G2435" s="1"/>
      <x:c r="H2435" s="1"/>
      <x:c r="I2435" s="1"/>
    </x:row>
    <x:row r="2436">
      <x:c r="A2436" s="1"/>
      <x:c r="B2436" s="1"/>
      <x:c r="C2436" s="1"/>
      <x:c r="D2436" s="1"/>
      <x:c r="E2436" s="1"/>
      <x:c r="F2436" s="1"/>
      <x:c r="G2436" s="1"/>
      <x:c r="H2436" s="1"/>
      <x:c r="I2436" s="1"/>
    </x:row>
    <x:row r="2437">
      <x:c r="A2437" s="1"/>
      <x:c r="B2437" s="1"/>
      <x:c r="C2437" s="1"/>
      <x:c r="D2437" s="1"/>
      <x:c r="E2437" s="1"/>
      <x:c r="F2437" s="1"/>
      <x:c r="G2437" s="1"/>
      <x:c r="H2437" s="1"/>
      <x:c r="I2437" s="1"/>
    </x:row>
    <x:row r="2438">
      <x:c r="A2438" s="1"/>
      <x:c r="B2438" s="1"/>
      <x:c r="C2438" s="1"/>
      <x:c r="D2438" s="1"/>
      <x:c r="E2438" s="1"/>
      <x:c r="F2438" s="1"/>
      <x:c r="G2438" s="1"/>
      <x:c r="H2438" s="1"/>
      <x:c r="I2438" s="1"/>
    </x:row>
    <x:row r="2439">
      <x:c r="A2439" s="1"/>
      <x:c r="B2439" s="1"/>
      <x:c r="C2439" s="1"/>
      <x:c r="D2439" s="1"/>
      <x:c r="E2439" s="1"/>
      <x:c r="F2439" s="1"/>
      <x:c r="G2439" s="1"/>
      <x:c r="H2439" s="1"/>
      <x:c r="I2439" s="1"/>
    </x:row>
    <x:row r="2440">
      <x:c r="A2440" s="1"/>
      <x:c r="B2440" s="1"/>
      <x:c r="C2440" s="1"/>
      <x:c r="D2440" s="1"/>
      <x:c r="E2440" s="1"/>
      <x:c r="F2440" s="1"/>
      <x:c r="G2440" s="1"/>
      <x:c r="H2440" s="1"/>
      <x:c r="I2440" s="1"/>
    </x:row>
    <x:row r="2441">
      <x:c r="A2441" s="1"/>
      <x:c r="B2441" s="1"/>
      <x:c r="C2441" s="1"/>
      <x:c r="D2441" s="1"/>
      <x:c r="E2441" s="1"/>
      <x:c r="F2441" s="1"/>
      <x:c r="G2441" s="1"/>
      <x:c r="H2441" s="1"/>
      <x:c r="I2441" s="1"/>
    </x:row>
    <x:row r="2442">
      <x:c r="A2442" s="1"/>
      <x:c r="B2442" s="1"/>
      <x:c r="C2442" s="1"/>
      <x:c r="D2442" s="1"/>
      <x:c r="E2442" s="1"/>
      <x:c r="F2442" s="1"/>
      <x:c r="G2442" s="1"/>
      <x:c r="H2442" s="1"/>
      <x:c r="I2442" s="1"/>
    </x:row>
    <x:row r="2443">
      <x:c r="A2443" s="1"/>
      <x:c r="B2443" s="1"/>
      <x:c r="C2443" s="1"/>
      <x:c r="D2443" s="1"/>
      <x:c r="E2443" s="1"/>
      <x:c r="F2443" s="1"/>
      <x:c r="G2443" s="1"/>
      <x:c r="H2443" s="1"/>
      <x:c r="I2443" s="1"/>
    </x:row>
    <x:row r="2444">
      <x:c r="A2444" s="1"/>
      <x:c r="B2444" s="1"/>
      <x:c r="C2444" s="1"/>
      <x:c r="D2444" s="1"/>
      <x:c r="E2444" s="1"/>
      <x:c r="F2444" s="1"/>
      <x:c r="G2444" s="1"/>
      <x:c r="H2444" s="1"/>
      <x:c r="I2444" s="1"/>
    </x:row>
    <x:row r="2445">
      <x:c r="A2445" s="1"/>
      <x:c r="B2445" s="1"/>
      <x:c r="C2445" s="1"/>
      <x:c r="D2445" s="1"/>
      <x:c r="E2445" s="1"/>
      <x:c r="F2445" s="1"/>
      <x:c r="G2445" s="1"/>
      <x:c r="H2445" s="1"/>
      <x:c r="I2445" s="1"/>
    </x:row>
    <x:row r="2446">
      <x:c r="A2446" s="1"/>
      <x:c r="B2446" s="1"/>
      <x:c r="C2446" s="1"/>
      <x:c r="D2446" s="1"/>
      <x:c r="E2446" s="1"/>
      <x:c r="F2446" s="1"/>
      <x:c r="G2446" s="1"/>
      <x:c r="H2446" s="1"/>
      <x:c r="I2446" s="1"/>
    </x:row>
    <x:row r="2447">
      <x:c r="A2447" s="1"/>
      <x:c r="B2447" s="1"/>
      <x:c r="C2447" s="1"/>
      <x:c r="D2447" s="1"/>
      <x:c r="E2447" s="1"/>
      <x:c r="F2447" s="1"/>
      <x:c r="G2447" s="1"/>
      <x:c r="H2447" s="1"/>
      <x:c r="I2447" s="1"/>
    </x:row>
    <x:row r="2448">
      <x:c r="A2448" s="1"/>
      <x:c r="B2448" s="1"/>
      <x:c r="C2448" s="1"/>
      <x:c r="D2448" s="1"/>
      <x:c r="E2448" s="1"/>
      <x:c r="F2448" s="1"/>
      <x:c r="G2448" s="1"/>
      <x:c r="H2448" s="1"/>
      <x:c r="I2448" s="1"/>
    </x:row>
    <x:row r="2449">
      <x:c r="A2449" s="1"/>
      <x:c r="B2449" s="1"/>
      <x:c r="C2449" s="1"/>
      <x:c r="D2449" s="1"/>
      <x:c r="E2449" s="1"/>
      <x:c r="F2449" s="1"/>
      <x:c r="G2449" s="1"/>
      <x:c r="H2449" s="1"/>
      <x:c r="I2449" s="1"/>
    </x:row>
    <x:row r="2450">
      <x:c r="A2450" s="1"/>
      <x:c r="B2450" s="1"/>
      <x:c r="C2450" s="1"/>
      <x:c r="D2450" s="1"/>
      <x:c r="E2450" s="1"/>
      <x:c r="F2450" s="1"/>
      <x:c r="G2450" s="1"/>
      <x:c r="H2450" s="1"/>
      <x:c r="I2450" s="1"/>
    </x:row>
    <x:row r="2451">
      <x:c r="A2451" s="1"/>
      <x:c r="B2451" s="1"/>
      <x:c r="C2451" s="1"/>
      <x:c r="D2451" s="1"/>
      <x:c r="E2451" s="1"/>
      <x:c r="F2451" s="1"/>
      <x:c r="G2451" s="1"/>
      <x:c r="H2451" s="1"/>
      <x:c r="I2451" s="1"/>
    </x:row>
    <x:row r="2452">
      <x:c r="A2452" s="1"/>
      <x:c r="B2452" s="1"/>
      <x:c r="C2452" s="1"/>
      <x:c r="D2452" s="1"/>
      <x:c r="E2452" s="1"/>
      <x:c r="F2452" s="1"/>
      <x:c r="G2452" s="1"/>
      <x:c r="H2452" s="1"/>
      <x:c r="I2452" s="1"/>
    </x:row>
    <x:row r="2453">
      <x:c r="A2453" s="1"/>
      <x:c r="B2453" s="1"/>
      <x:c r="C2453" s="1"/>
      <x:c r="D2453" s="1"/>
      <x:c r="E2453" s="1"/>
      <x:c r="F2453" s="1"/>
      <x:c r="G2453" s="1"/>
      <x:c r="H2453" s="1"/>
      <x:c r="I2453" s="1"/>
    </x:row>
    <x:row r="2454">
      <x:c r="A2454" s="1"/>
      <x:c r="B2454" s="1"/>
      <x:c r="C2454" s="1"/>
      <x:c r="D2454" s="1"/>
      <x:c r="E2454" s="1"/>
      <x:c r="F2454" s="1"/>
      <x:c r="G2454" s="1"/>
      <x:c r="H2454" s="1"/>
      <x:c r="I2454" s="1"/>
    </x:row>
    <x:row r="2455">
      <x:c r="A2455" s="1"/>
      <x:c r="B2455" s="1"/>
      <x:c r="C2455" s="1"/>
      <x:c r="D2455" s="1"/>
      <x:c r="E2455" s="1"/>
      <x:c r="F2455" s="1"/>
      <x:c r="G2455" s="1"/>
      <x:c r="H2455" s="1"/>
      <x:c r="I2455" s="1"/>
    </x:row>
    <x:row r="2456">
      <x:c r="A2456" s="1"/>
      <x:c r="B2456" s="1"/>
      <x:c r="C2456" s="1"/>
      <x:c r="D2456" s="1"/>
      <x:c r="E2456" s="1"/>
      <x:c r="F2456" s="1"/>
      <x:c r="G2456" s="1"/>
      <x:c r="H2456" s="1"/>
      <x:c r="I2456" s="1"/>
    </x:row>
    <x:row r="2457">
      <x:c r="A2457" s="1"/>
      <x:c r="B2457" s="1"/>
      <x:c r="C2457" s="1"/>
      <x:c r="D2457" s="1"/>
      <x:c r="E2457" s="1"/>
      <x:c r="F2457" s="1"/>
      <x:c r="G2457" s="1"/>
      <x:c r="H2457" s="1"/>
      <x:c r="I2457" s="1"/>
    </x:row>
    <x:row r="2458">
      <x:c r="A2458" s="1"/>
      <x:c r="B2458" s="1"/>
      <x:c r="C2458" s="1"/>
      <x:c r="D2458" s="1"/>
      <x:c r="E2458" s="1"/>
      <x:c r="F2458" s="1"/>
      <x:c r="G2458" s="1"/>
      <x:c r="H2458" s="1"/>
      <x:c r="I2458" s="1"/>
    </x:row>
    <x:row r="2459">
      <x:c r="A2459" s="1"/>
      <x:c r="B2459" s="1"/>
      <x:c r="C2459" s="1"/>
      <x:c r="D2459" s="1"/>
      <x:c r="E2459" s="1"/>
      <x:c r="F2459" s="1"/>
      <x:c r="G2459" s="1"/>
      <x:c r="H2459" s="1"/>
      <x:c r="I2459" s="1"/>
    </x:row>
    <x:row r="2460">
      <x:c r="A2460" s="1"/>
      <x:c r="B2460" s="1"/>
      <x:c r="C2460" s="1"/>
      <x:c r="D2460" s="1"/>
      <x:c r="E2460" s="1"/>
      <x:c r="F2460" s="1"/>
      <x:c r="G2460" s="1"/>
      <x:c r="H2460" s="1"/>
      <x:c r="I2460" s="1"/>
    </x:row>
    <x:row r="2461">
      <x:c r="A2461" s="1"/>
      <x:c r="B2461" s="1"/>
      <x:c r="C2461" s="1"/>
      <x:c r="D2461" s="1"/>
      <x:c r="E2461" s="1"/>
      <x:c r="F2461" s="1"/>
      <x:c r="G2461" s="1"/>
      <x:c r="H2461" s="1"/>
      <x:c r="I2461" s="1"/>
    </x:row>
    <x:row r="2462">
      <x:c r="A2462" s="1"/>
      <x:c r="B2462" s="1"/>
      <x:c r="C2462" s="1"/>
      <x:c r="D2462" s="1"/>
      <x:c r="E2462" s="1"/>
      <x:c r="F2462" s="1"/>
      <x:c r="G2462" s="1"/>
      <x:c r="H2462" s="1"/>
      <x:c r="I2462" s="1"/>
    </x:row>
    <x:row r="2463">
      <x:c r="A2463" s="1"/>
      <x:c r="B2463" s="1"/>
      <x:c r="C2463" s="1"/>
      <x:c r="D2463" s="1"/>
      <x:c r="E2463" s="1"/>
      <x:c r="F2463" s="1"/>
      <x:c r="G2463" s="1"/>
      <x:c r="H2463" s="1"/>
      <x:c r="I2463" s="1"/>
    </x:row>
    <x:row r="2464">
      <x:c r="A2464" s="1"/>
      <x:c r="B2464" s="1"/>
      <x:c r="C2464" s="1"/>
      <x:c r="D2464" s="1"/>
      <x:c r="E2464" s="1"/>
      <x:c r="F2464" s="1"/>
      <x:c r="G2464" s="1"/>
      <x:c r="H2464" s="1"/>
      <x:c r="I2464" s="1"/>
    </x:row>
    <x:row r="2465">
      <x:c r="A2465" s="1"/>
      <x:c r="B2465" s="1"/>
      <x:c r="C2465" s="1"/>
      <x:c r="D2465" s="1"/>
      <x:c r="E2465" s="1"/>
      <x:c r="F2465" s="1"/>
      <x:c r="G2465" s="1"/>
      <x:c r="H2465" s="1"/>
      <x:c r="I2465" s="1"/>
    </x:row>
    <x:row r="2466">
      <x:c r="A2466" s="1"/>
      <x:c r="B2466" s="1"/>
      <x:c r="C2466" s="1"/>
      <x:c r="D2466" s="1"/>
      <x:c r="E2466" s="1"/>
      <x:c r="F2466" s="1"/>
      <x:c r="G2466" s="1"/>
      <x:c r="H2466" s="1"/>
      <x:c r="I2466" s="1"/>
    </x:row>
    <x:row r="2467">
      <x:c r="A2467" s="1"/>
      <x:c r="B2467" s="1"/>
      <x:c r="C2467" s="1"/>
      <x:c r="D2467" s="1"/>
      <x:c r="E2467" s="1"/>
      <x:c r="F2467" s="1"/>
      <x:c r="G2467" s="1"/>
      <x:c r="H2467" s="1"/>
      <x:c r="I2467" s="1"/>
    </x:row>
    <x:row r="2468">
      <x:c r="A2468" s="1"/>
      <x:c r="B2468" s="1"/>
      <x:c r="C2468" s="1"/>
      <x:c r="D2468" s="1"/>
      <x:c r="E2468" s="1"/>
      <x:c r="F2468" s="1"/>
      <x:c r="G2468" s="1"/>
      <x:c r="H2468" s="1"/>
      <x:c r="I2468" s="1"/>
    </x:row>
    <x:row r="2469">
      <x:c r="A2469" s="1"/>
      <x:c r="B2469" s="1"/>
      <x:c r="C2469" s="1"/>
      <x:c r="D2469" s="1"/>
      <x:c r="E2469" s="1"/>
      <x:c r="F2469" s="1"/>
      <x:c r="G2469" s="1"/>
      <x:c r="H2469" s="1"/>
      <x:c r="I2469" s="1"/>
    </x:row>
    <x:row r="2470">
      <x:c r="A2470" s="1"/>
      <x:c r="B2470" s="1"/>
      <x:c r="C2470" s="1"/>
      <x:c r="D2470" s="1"/>
      <x:c r="E2470" s="1"/>
      <x:c r="F2470" s="1"/>
      <x:c r="G2470" s="1"/>
      <x:c r="H2470" s="1"/>
      <x:c r="I2470" s="1"/>
    </x:row>
    <x:row r="2471">
      <x:c r="A2471" s="1"/>
      <x:c r="B2471" s="1"/>
      <x:c r="C2471" s="1"/>
      <x:c r="D2471" s="1"/>
      <x:c r="E2471" s="1"/>
      <x:c r="F2471" s="1"/>
      <x:c r="G2471" s="1"/>
      <x:c r="H2471" s="1"/>
      <x:c r="I2471" s="1"/>
    </x:row>
    <x:row r="2472">
      <x:c r="A2472" s="1"/>
      <x:c r="B2472" s="1"/>
      <x:c r="C2472" s="1"/>
      <x:c r="D2472" s="1"/>
      <x:c r="E2472" s="1"/>
      <x:c r="F2472" s="1"/>
      <x:c r="G2472" s="1"/>
      <x:c r="H2472" s="1"/>
      <x:c r="I2472" s="1"/>
    </x:row>
    <x:row r="2473">
      <x:c r="A2473" s="1"/>
      <x:c r="B2473" s="1"/>
      <x:c r="C2473" s="1"/>
      <x:c r="D2473" s="1"/>
      <x:c r="E2473" s="1"/>
      <x:c r="F2473" s="1"/>
      <x:c r="G2473" s="1"/>
      <x:c r="H2473" s="1"/>
      <x:c r="I2473" s="1"/>
    </x:row>
    <x:row r="2474">
      <x:c r="A2474" s="1"/>
      <x:c r="B2474" s="1"/>
      <x:c r="C2474" s="1"/>
      <x:c r="D2474" s="1"/>
      <x:c r="E2474" s="1"/>
      <x:c r="F2474" s="1"/>
      <x:c r="G2474" s="1"/>
      <x:c r="H2474" s="1"/>
      <x:c r="I2474" s="1"/>
    </x:row>
    <x:row r="2475">
      <x:c r="A2475" s="1"/>
      <x:c r="B2475" s="1"/>
      <x:c r="C2475" s="1"/>
      <x:c r="D2475" s="1"/>
      <x:c r="E2475" s="1"/>
      <x:c r="F2475" s="1"/>
      <x:c r="G2475" s="1"/>
      <x:c r="H2475" s="1"/>
      <x:c r="I2475" s="1"/>
    </x:row>
    <x:row r="2476">
      <x:c r="A2476" s="1"/>
      <x:c r="B2476" s="1"/>
      <x:c r="C2476" s="1"/>
      <x:c r="D2476" s="1"/>
      <x:c r="E2476" s="1"/>
      <x:c r="F2476" s="1"/>
      <x:c r="G2476" s="1"/>
      <x:c r="H2476" s="1"/>
      <x:c r="I2476" s="1"/>
    </x:row>
    <x:row r="2477">
      <x:c r="A2477" s="1"/>
      <x:c r="B2477" s="1"/>
      <x:c r="C2477" s="1"/>
      <x:c r="D2477" s="1"/>
      <x:c r="E2477" s="1"/>
      <x:c r="F2477" s="1"/>
      <x:c r="G2477" s="1"/>
      <x:c r="H2477" s="1"/>
      <x:c r="I2477" s="1"/>
    </x:row>
    <x:row r="2478">
      <x:c r="A2478" s="1"/>
      <x:c r="B2478" s="1"/>
      <x:c r="C2478" s="1"/>
      <x:c r="D2478" s="1"/>
      <x:c r="E2478" s="1"/>
      <x:c r="F2478" s="1"/>
      <x:c r="G2478" s="1"/>
      <x:c r="H2478" s="1"/>
      <x:c r="I2478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9" hidden="0" customWidth="1"/>
    <x:col min="3" max="3" width="22" hidden="0" customWidth="1"/>
    <x:col min="4" max="4" width="16" hidden="0" customWidth="1"/>
    <x:col min="5" max="5" width="18" hidden="0" customWidth="1"/>
    <x:col min="6" max="6" width="19" hidden="0" customWidth="1"/>
    <x:col min="7" max="7" width="23" hidden="0" customWidth="1"/>
    <x:col min="8" max="8" width="18" hidden="0" customWidth="1"/>
    <x:col min="9" max="9" width="18" hidden="0" customWidth="1"/>
    <x:col min="10" max="10" width="19" hidden="0" customWidth="1"/>
    <x:col min="11" max="11" width="19" hidden="0" customWidth="1"/>
    <x:col min="12" max="12" width="14" hidden="0" customWidth="1"/>
    <x:col min="13" max="13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Исходные значения: апрель и март 2025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 t="str">
        <x:v>Источник: data/raw/Апрель 2025.xlsx; март сопоставлен по Артикулу WB из Март 2025.xlsx. Пусто означает нет истории.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40" customHeight="1">
      <x:c r="A4" s="7" t="str">
        <x:v>Артикул WB</x:v>
      </x:c>
      <x:c r="B4" s="7" t="str">
        <x:v>Артикул ЦМ</x:v>
      </x:c>
      <x:c r="C4" s="7" t="str">
        <x:v>Предмет</x:v>
      </x:c>
      <x:c r="D4" s="7" t="str">
        <x:v>Рейтинг карточки</x:v>
      </x:c>
      <x:c r="E4" s="7" t="str">
        <x:v>Переходы, шт</x:v>
      </x:c>
      <x:c r="F4" s="7" t="str">
        <x:v>Заказы апрель, шт</x:v>
      </x:c>
      <x:c r="G4" s="7" t="str">
        <x:v>Выкупы апрель, ₽</x:v>
      </x:c>
      <x:c r="H4" s="7" t="str">
        <x:v>Остатки WB, шт</x:v>
      </x:c>
      <x:c r="I4" s="7" t="str">
        <x:v>Остатки МП, шт</x:v>
      </x:c>
      <x:c r="J4" s="7" t="str">
        <x:v>Заказы март, шт</x:v>
      </x:c>
      <x:c r="K4" s="7" t="str">
        <x:v>Средняя цена, ₽</x:v>
      </x:c>
      <x:c r="L4" s="7" t="str">
        <x:v>Удалён</x:v>
      </x:c>
      <x:c r="M4" s="7" t="str">
        <x:v>Выкупы март, ₽</x:v>
      </x:c>
    </x:row>
    <x:row r="5">
      <x:c r="A5" s="1" t="str">
        <x:v>165757789</x:v>
      </x:c>
      <x:c r="B5" s="1" t="str">
        <x:v>kulirkaman/черный</x:v>
      </x:c>
      <x:c r="C5" s="1" t="str">
        <x:v>Футболки</x:v>
      </x:c>
      <x:c r="D5" s="9" t="n">
        <x:v>8.7</x:v>
      </x:c>
      <x:c r="E5" s="8" t="n">
        <x:v>290213</x:v>
      </x:c>
      <x:c r="F5" s="8" t="n">
        <x:v>27371</x:v>
      </x:c>
      <x:c r="G5" s="8" t="n">
        <x:v>16596780</x:v>
      </x:c>
      <x:c r="H5" s="8" t="n">
        <x:v>17655</x:v>
      </x:c>
      <x:c r="I5" s="8" t="n">
        <x:v>0</x:v>
      </x:c>
      <x:c r="J5" s="8" t="n">
        <x:v>17633</x:v>
      </x:c>
      <x:c r="K5" s="8" t="n">
        <x:v>953</x:v>
      </x:c>
      <x:c r="L5" s="1" t="str">
        <x:v>Нет</x:v>
      </x:c>
      <x:c r="M5" s="1" t="n">
        <x:v>12131084</x:v>
      </x:c>
    </x:row>
    <x:row r="6">
      <x:c r="A6" s="1" t="str">
        <x:v>165757798</x:v>
      </x:c>
      <x:c r="B6" s="1" t="str">
        <x:v>kulirkaman/белый</x:v>
      </x:c>
      <x:c r="C6" s="1" t="str">
        <x:v>Футболки</x:v>
      </x:c>
      <x:c r="D6" s="9" t="n">
        <x:v>6.7</x:v>
      </x:c>
      <x:c r="E6" s="8" t="n">
        <x:v>218424</x:v>
      </x:c>
      <x:c r="F6" s="8" t="n">
        <x:v>23689</x:v>
      </x:c>
      <x:c r="G6" s="8" t="n">
        <x:v>13873240</x:v>
      </x:c>
      <x:c r="H6" s="8" t="n">
        <x:v>6345</x:v>
      </x:c>
      <x:c r="I6" s="8" t="n">
        <x:v>0</x:v>
      </x:c>
      <x:c r="J6" s="8" t="n">
        <x:v>19446</x:v>
      </x:c>
      <x:c r="K6" s="8" t="n">
        <x:v>1107</x:v>
      </x:c>
      <x:c r="L6" s="1" t="str">
        <x:v>Нет</x:v>
      </x:c>
      <x:c r="M6" s="1" t="n">
        <x:v>11902486</x:v>
      </x:c>
    </x:row>
    <x:row r="7">
      <x:c r="A7" s="1" t="str">
        <x:v>221519619</x:v>
      </x:c>
      <x:c r="B7" s="1" t="str">
        <x:v>futbolkaover/розовый</x:v>
      </x:c>
      <x:c r="C7" s="1" t="str">
        <x:v>Футболки</x:v>
      </x:c>
      <x:c r="D7" s="9" t="n">
        <x:v>9.7</x:v>
      </x:c>
      <x:c r="E7" s="8" t="n">
        <x:v>654567</x:v>
      </x:c>
      <x:c r="F7" s="8" t="n">
        <x:v>22931</x:v>
      </x:c>
      <x:c r="G7" s="8" t="n">
        <x:v>13477107</x:v>
      </x:c>
      <x:c r="H7" s="8" t="n">
        <x:v>6417</x:v>
      </x:c>
      <x:c r="I7" s="8" t="n">
        <x:v>0</x:v>
      </x:c>
      <x:c r="J7" s="8" t="n">
        <x:v>15600</x:v>
      </x:c>
      <x:c r="K7" s="8" t="n">
        <x:v>1118</x:v>
      </x:c>
      <x:c r="L7" s="1" t="str">
        <x:v>Нет</x:v>
      </x:c>
      <x:c r="M7" s="1" t="n">
        <x:v>8651277</x:v>
      </x:c>
    </x:row>
    <x:row r="8">
      <x:c r="A8" s="1" t="str">
        <x:v>30926516</x:v>
      </x:c>
      <x:c r="B8" s="1" t="str">
        <x:v>futbolkaover/черный</x:v>
      </x:c>
      <x:c r="C8" s="1" t="str">
        <x:v>Футболки</x:v>
      </x:c>
      <x:c r="D8" s="9" t="n">
        <x:v>9.7</x:v>
      </x:c>
      <x:c r="E8" s="8" t="n">
        <x:v>419514</x:v>
      </x:c>
      <x:c r="F8" s="8" t="n">
        <x:v>25808</x:v>
      </x:c>
      <x:c r="G8" s="8" t="n">
        <x:v>12719821</x:v>
      </x:c>
      <x:c r="H8" s="8" t="n">
        <x:v>11587</x:v>
      </x:c>
      <x:c r="I8" s="8" t="n">
        <x:v>0</x:v>
      </x:c>
      <x:c r="J8" s="8" t="n">
        <x:v>16246</x:v>
      </x:c>
      <x:c r="K8" s="8" t="n">
        <x:v>861</x:v>
      </x:c>
      <x:c r="L8" s="1" t="str">
        <x:v>Нет</x:v>
      </x:c>
      <x:c r="M8" s="1" t="n">
        <x:v>9627280</x:v>
      </x:c>
    </x:row>
    <x:row r="9">
      <x:c r="A9" s="1" t="str">
        <x:v>29360157</x:v>
      </x:c>
      <x:c r="B9" s="1" t="str">
        <x:v>futbolkaover/белый</x:v>
      </x:c>
      <x:c r="C9" s="1" t="str">
        <x:v>Футболки</x:v>
      </x:c>
      <x:c r="D9" s="9" t="n">
        <x:v>9.7</x:v>
      </x:c>
      <x:c r="E9" s="8" t="n">
        <x:v>279733</x:v>
      </x:c>
      <x:c r="F9" s="8" t="n">
        <x:v>20712</x:v>
      </x:c>
      <x:c r="G9" s="8" t="n">
        <x:v>11016644</x:v>
      </x:c>
      <x:c r="H9" s="8" t="n">
        <x:v>3025</x:v>
      </x:c>
      <x:c r="I9" s="8" t="n">
        <x:v>0</x:v>
      </x:c>
      <x:c r="J9" s="8" t="n">
        <x:v>16533</x:v>
      </x:c>
      <x:c r="K9" s="8" t="n">
        <x:v>949</x:v>
      </x:c>
      <x:c r="L9" s="1" t="str">
        <x:v>Нет</x:v>
      </x:c>
      <x:c r="M9" s="1" t="n">
        <x:v>9545142</x:v>
      </x:c>
    </x:row>
    <x:row r="10">
      <x:c r="A10" s="1" t="str">
        <x:v>221519598</x:v>
      </x:c>
      <x:c r="B10" s="1" t="str">
        <x:v>longover/розовый</x:v>
      </x:c>
      <x:c r="C10" s="1" t="str">
        <x:v>Лонгсливы</x:v>
      </x:c>
      <x:c r="D10" s="9" t="n">
        <x:v>9.7</x:v>
      </x:c>
      <x:c r="E10" s="8" t="n">
        <x:v>580878</x:v>
      </x:c>
      <x:c r="F10" s="8" t="n">
        <x:v>16719</x:v>
      </x:c>
      <x:c r="G10" s="8" t="n">
        <x:v>10113899</x:v>
      </x:c>
      <x:c r="H10" s="8" t="n">
        <x:v>6528</x:v>
      </x:c>
      <x:c r="I10" s="8" t="n">
        <x:v>0</x:v>
      </x:c>
      <x:c r="J10" s="8" t="n">
        <x:v>14634</x:v>
      </x:c>
      <x:c r="K10" s="8" t="n">
        <x:v>1241</x:v>
      </x:c>
      <x:c r="L10" s="1" t="str">
        <x:v>Нет</x:v>
      </x:c>
      <x:c r="M10" s="1" t="n">
        <x:v>9006148</x:v>
      </x:c>
    </x:row>
    <x:row r="11">
      <x:c r="A11" s="1" t="str">
        <x:v>323180742</x:v>
      </x:c>
      <x:c r="B11" s="1" t="str">
        <x:v>futskims3K-102/черный</x:v>
      </x:c>
      <x:c r="C11" s="1" t="str">
        <x:v>Футболки</x:v>
      </x:c>
      <x:c r="D11" s="9" t="n">
        <x:v>6.4</x:v>
      </x:c>
      <x:c r="E11" s="8" t="n">
        <x:v>478080</x:v>
      </x:c>
      <x:c r="F11" s="8" t="n">
        <x:v>16706</x:v>
      </x:c>
      <x:c r="G11" s="8" t="n">
        <x:v>9594388</x:v>
      </x:c>
      <x:c r="H11" s="8" t="n">
        <x:v>10840</x:v>
      </x:c>
      <x:c r="I11" s="8" t="n">
        <x:v>0</x:v>
      </x:c>
      <x:c r="J11" s="8" t="n">
        <x:v>5109</x:v>
      </x:c>
      <x:c r="K11" s="8" t="n">
        <x:v>1199</x:v>
      </x:c>
      <x:c r="L11" s="1" t="str">
        <x:v>Нет</x:v>
      </x:c>
      <x:c r="M11" s="1" t="n">
        <x:v>2667286</x:v>
      </x:c>
    </x:row>
    <x:row r="12">
      <x:c r="A12" s="1" t="str">
        <x:v>314823259</x:v>
      </x:c>
      <x:c r="B12" s="1" t="str">
        <x:v>futbolkaprint/27в-259/бордовый</x:v>
      </x:c>
      <x:c r="C12" s="1" t="str">
        <x:v>Футболки</x:v>
      </x:c>
      <x:c r="D12" s="9" t="n">
        <x:v>9.7</x:v>
      </x:c>
      <x:c r="E12" s="8" t="n">
        <x:v>544574</x:v>
      </x:c>
      <x:c r="F12" s="8" t="n">
        <x:v>13695</x:v>
      </x:c>
      <x:c r="G12" s="8" t="n">
        <x:v>8995154</x:v>
      </x:c>
      <x:c r="H12" s="8" t="n">
        <x:v>3269</x:v>
      </x:c>
      <x:c r="I12" s="8" t="n">
        <x:v>0</x:v>
      </x:c>
      <x:c r="J12" s="8" t="n">
        <x:v>2096</x:v>
      </x:c>
      <x:c r="K12" s="8" t="n">
        <x:v>1235</x:v>
      </x:c>
      <x:c r="L12" s="1" t="str">
        <x:v>Нет</x:v>
      </x:c>
      <x:c r="M12" s="1" t="n">
        <x:v>1432057</x:v>
      </x:c>
    </x:row>
    <x:row r="13">
      <x:c r="A13" s="1" t="str">
        <x:v>15445452</x:v>
      </x:c>
      <x:c r="B13" s="1" t="str">
        <x:v>hudi/черный</x:v>
      </x:c>
      <x:c r="C13" s="1" t="str">
        <x:v>Худи</x:v>
      </x:c>
      <x:c r="D13" s="9" t="n">
        <x:v>7.7</x:v>
      </x:c>
      <x:c r="E13" s="8" t="n">
        <x:v>320530</x:v>
      </x:c>
      <x:c r="F13" s="8" t="n">
        <x:v>8706</x:v>
      </x:c>
      <x:c r="G13" s="8" t="n">
        <x:v>8984765</x:v>
      </x:c>
      <x:c r="H13" s="8" t="n">
        <x:v>914</x:v>
      </x:c>
      <x:c r="I13" s="8" t="n">
        <x:v>0</x:v>
      </x:c>
      <x:c r="J13" s="8" t="n">
        <x:v>11265</x:v>
      </x:c>
      <x:c r="K13" s="8" t="n">
        <x:v>2235</x:v>
      </x:c>
      <x:c r="L13" s="1" t="str">
        <x:v>Нет</x:v>
      </x:c>
      <x:c r="M13" s="1" t="n">
        <x:v>12598179</x:v>
      </x:c>
    </x:row>
    <x:row r="14">
      <x:c r="A14" s="1" t="str">
        <x:v>35236713</x:v>
      </x:c>
      <x:c r="B14" s="1" t="str">
        <x:v>futbolkaover/молочный</x:v>
      </x:c>
      <x:c r="C14" s="1" t="str">
        <x:v>Футболки</x:v>
      </x:c>
      <x:c r="D14" s="9" t="n">
        <x:v>9.7</x:v>
      </x:c>
      <x:c r="E14" s="8" t="n">
        <x:v>350779</x:v>
      </x:c>
      <x:c r="F14" s="8" t="n">
        <x:v>18868</x:v>
      </x:c>
      <x:c r="G14" s="8" t="n">
        <x:v>8885363</x:v>
      </x:c>
      <x:c r="H14" s="8" t="n">
        <x:v>8859</x:v>
      </x:c>
      <x:c r="I14" s="8" t="n">
        <x:v>0</x:v>
      </x:c>
      <x:c r="J14" s="8" t="n">
        <x:v>16187</x:v>
      </x:c>
      <x:c r="K14" s="8" t="n">
        <x:v>906</x:v>
      </x:c>
      <x:c r="L14" s="1" t="str">
        <x:v>Нет</x:v>
      </x:c>
      <x:c r="M14" s="1" t="n">
        <x:v>8068319</x:v>
      </x:c>
    </x:row>
    <x:row r="15">
      <x:c r="A15" s="1" t="str">
        <x:v>18985539</x:v>
      </x:c>
      <x:c r="B15" s="1" t="str">
        <x:v>hudi/молочный</x:v>
      </x:c>
      <x:c r="C15" s="1" t="str">
        <x:v>Худи</x:v>
      </x:c>
      <x:c r="D15" s="9" t="n">
        <x:v>9.7</x:v>
      </x:c>
      <x:c r="E15" s="8" t="n">
        <x:v>308249</x:v>
      </x:c>
      <x:c r="F15" s="8" t="n">
        <x:v>8318</x:v>
      </x:c>
      <x:c r="G15" s="8" t="n">
        <x:v>8051651</x:v>
      </x:c>
      <x:c r="H15" s="8" t="n">
        <x:v>8216</x:v>
      </x:c>
      <x:c r="I15" s="8" t="n">
        <x:v>0</x:v>
      </x:c>
      <x:c r="J15" s="8" t="n">
        <x:v>6127</x:v>
      </x:c>
      <x:c r="K15" s="8" t="n">
        <x:v>2220</x:v>
      </x:c>
      <x:c r="L15" s="1" t="str">
        <x:v>Нет</x:v>
      </x:c>
      <x:c r="M15" s="1" t="n">
        <x:v>6453576</x:v>
      </x:c>
    </x:row>
    <x:row r="16">
      <x:c r="A16" s="1" t="str">
        <x:v>31156679</x:v>
      </x:c>
      <x:c r="B16" s="1" t="str">
        <x:v>futbolkaover/какао</x:v>
      </x:c>
      <x:c r="C16" s="1" t="str">
        <x:v>Футболки</x:v>
      </x:c>
      <x:c r="D16" s="9" t="n">
        <x:v>9.7</x:v>
      </x:c>
      <x:c r="E16" s="8" t="n">
        <x:v>484458</x:v>
      </x:c>
      <x:c r="F16" s="8" t="n">
        <x:v>15277</x:v>
      </x:c>
      <x:c r="G16" s="8" t="n">
        <x:v>7104990</x:v>
      </x:c>
      <x:c r="H16" s="8" t="n">
        <x:v>10604</x:v>
      </x:c>
      <x:c r="I16" s="8" t="n">
        <x:v>0</x:v>
      </x:c>
      <x:c r="J16" s="8" t="n">
        <x:v>7515</x:v>
      </x:c>
      <x:c r="K16" s="8" t="n">
        <x:v>835</x:v>
      </x:c>
      <x:c r="L16" s="1" t="str">
        <x:v>Нет</x:v>
      </x:c>
      <x:c r="M16" s="1" t="n">
        <x:v>3729149</x:v>
      </x:c>
    </x:row>
    <x:row r="17">
      <x:c r="A17" s="1" t="str">
        <x:v>79576331</x:v>
      </x:c>
      <x:c r="B17" s="1" t="str">
        <x:v>futbolkaover/бордовый</x:v>
      </x:c>
      <x:c r="C17" s="1" t="str">
        <x:v>Футболки</x:v>
      </x:c>
      <x:c r="D17" s="9" t="n">
        <x:v>7.7</x:v>
      </x:c>
      <x:c r="E17" s="8" t="n">
        <x:v>345868</x:v>
      </x:c>
      <x:c r="F17" s="8" t="n">
        <x:v>15111</x:v>
      </x:c>
      <x:c r="G17" s="8" t="n">
        <x:v>7081954</x:v>
      </x:c>
      <x:c r="H17" s="8" t="n">
        <x:v>2805</x:v>
      </x:c>
      <x:c r="I17" s="8" t="n">
        <x:v>0</x:v>
      </x:c>
      <x:c r="J17" s="8" t="n">
        <x:v>6921</x:v>
      </x:c>
      <x:c r="K17" s="8" t="n">
        <x:v>926</x:v>
      </x:c>
      <x:c r="L17" s="1" t="str">
        <x:v>Нет</x:v>
      </x:c>
      <x:c r="M17" s="1" t="n">
        <x:v>4136232</x:v>
      </x:c>
    </x:row>
    <x:row r="18">
      <x:c r="A18" s="1" t="str">
        <x:v>226527745</x:v>
      </x:c>
      <x:c r="B18" s="1" t="str">
        <x:v>futbolkaprint/TheMovementClub-140/молочный</x:v>
      </x:c>
      <x:c r="C18" s="1" t="str">
        <x:v>Футболки</x:v>
      </x:c>
      <x:c r="D18" s="9" t="n">
        <x:v>9.7</x:v>
      </x:c>
      <x:c r="E18" s="8" t="n">
        <x:v>419408</x:v>
      </x:c>
      <x:c r="F18" s="8" t="n">
        <x:v>8310</x:v>
      </x:c>
      <x:c r="G18" s="8" t="n">
        <x:v>6740304</x:v>
      </x:c>
      <x:c r="H18" s="8" t="n">
        <x:v>855</x:v>
      </x:c>
      <x:c r="I18" s="8" t="n">
        <x:v>0</x:v>
      </x:c>
      <x:c r="J18" s="8" t="n">
        <x:v>5164</x:v>
      </x:c>
      <x:c r="K18" s="8" t="n">
        <x:v>1991</x:v>
      </x:c>
      <x:c r="L18" s="1" t="str">
        <x:v>Нет</x:v>
      </x:c>
      <x:c r="M18" s="1" t="n">
        <x:v>4209175</x:v>
      </x:c>
    </x:row>
    <x:row r="19">
      <x:c r="A19" s="1" t="str">
        <x:v>114526548</x:v>
      </x:c>
      <x:c r="B19" s="1" t="str">
        <x:v>futbolkaover/коричневый</x:v>
      </x:c>
      <x:c r="C19" s="1" t="str">
        <x:v>Футболки</x:v>
      </x:c>
      <x:c r="D19" s="9" t="n">
        <x:v>9.7</x:v>
      </x:c>
      <x:c r="E19" s="8" t="n">
        <x:v>327941</x:v>
      </x:c>
      <x:c r="F19" s="8" t="n">
        <x:v>13274</x:v>
      </x:c>
      <x:c r="G19" s="8" t="n">
        <x:v>6598229</x:v>
      </x:c>
      <x:c r="H19" s="8" t="n">
        <x:v>2493</x:v>
      </x:c>
      <x:c r="I19" s="8" t="n">
        <x:v>0</x:v>
      </x:c>
      <x:c r="J19" s="8" t="n">
        <x:v>5905</x:v>
      </x:c>
      <x:c r="K19" s="8" t="n">
        <x:v>863</x:v>
      </x:c>
      <x:c r="L19" s="1" t="str">
        <x:v>Нет</x:v>
      </x:c>
      <x:c r="M19" s="1" t="n">
        <x:v>3327441</x:v>
      </x:c>
    </x:row>
    <x:row r="20">
      <x:c r="A20" s="1" t="str">
        <x:v>323186184</x:v>
      </x:c>
      <x:c r="B20" s="1" t="str">
        <x:v>futskims3K-102/белый</x:v>
      </x:c>
      <x:c r="C20" s="1" t="str">
        <x:v>Футболки</x:v>
      </x:c>
      <x:c r="D20" s="9" t="n">
        <x:v>8.4</x:v>
      </x:c>
      <x:c r="E20" s="8" t="n">
        <x:v>470262</x:v>
      </x:c>
      <x:c r="F20" s="8" t="n">
        <x:v>14927</x:v>
      </x:c>
      <x:c r="G20" s="8" t="n">
        <x:v>6566616</x:v>
      </x:c>
      <x:c r="H20" s="8" t="n">
        <x:v>14670</x:v>
      </x:c>
      <x:c r="I20" s="8" t="n">
        <x:v>0</x:v>
      </x:c>
      <x:c r="J20" s="8" t="n">
        <x:v>4907</x:v>
      </x:c>
      <x:c r="K20" s="8" t="n">
        <x:v>1054</x:v>
      </x:c>
      <x:c r="L20" s="1" t="str">
        <x:v>Нет</x:v>
      </x:c>
      <x:c r="M20" s="1" t="n">
        <x:v>2129750</x:v>
      </x:c>
    </x:row>
    <x:row r="21">
      <x:c r="A21" s="1" t="str">
        <x:v>323186186</x:v>
      </x:c>
      <x:c r="B21" s="1" t="str">
        <x:v>futskims3K-102/бордовый</x:v>
      </x:c>
      <x:c r="C21" s="1" t="str">
        <x:v>Футболки</x:v>
      </x:c>
      <x:c r="D21" s="9" t="n">
        <x:v>8.4</x:v>
      </x:c>
      <x:c r="E21" s="8" t="n">
        <x:v>469560</x:v>
      </x:c>
      <x:c r="F21" s="8" t="n">
        <x:v>10893</x:v>
      </x:c>
      <x:c r="G21" s="8" t="n">
        <x:v>6227841</x:v>
      </x:c>
      <x:c r="H21" s="8" t="n">
        <x:v>2403</x:v>
      </x:c>
      <x:c r="I21" s="8" t="n">
        <x:v>0</x:v>
      </x:c>
      <x:c r="J21" s="8" t="n">
        <x:v>3490</x:v>
      </x:c>
      <x:c r="K21" s="8" t="n">
        <x:v>1269</x:v>
      </x:c>
      <x:c r="L21" s="1" t="str">
        <x:v>Нет</x:v>
      </x:c>
      <x:c r="M21" s="1" t="n">
        <x:v>1906648</x:v>
      </x:c>
    </x:row>
    <x:row r="22">
      <x:c r="A22" s="1" t="str">
        <x:v>22893732</x:v>
      </x:c>
      <x:c r="B22" s="1" t="str">
        <x:v>hudiman/черный</x:v>
      </x:c>
      <x:c r="C22" s="1" t="str">
        <x:v>Худи</x:v>
      </x:c>
      <x:c r="D22" s="9" t="n">
        <x:v>7.7</x:v>
      </x:c>
      <x:c r="E22" s="8" t="n">
        <x:v>102901</x:v>
      </x:c>
      <x:c r="F22" s="8" t="n">
        <x:v>4722</x:v>
      </x:c>
      <x:c r="G22" s="8" t="n">
        <x:v>5965381</x:v>
      </x:c>
      <x:c r="H22" s="8" t="n">
        <x:v>921</x:v>
      </x:c>
      <x:c r="I22" s="8" t="n">
        <x:v>0</x:v>
      </x:c>
      <x:c r="J22" s="8" t="n">
        <x:v>4698</x:v>
      </x:c>
      <x:c r="K22" s="8" t="n">
        <x:v>2600</x:v>
      </x:c>
      <x:c r="L22" s="1" t="str">
        <x:v>Нет</x:v>
      </x:c>
      <x:c r="M22" s="1" t="n">
        <x:v>6702603</x:v>
      </x:c>
    </x:row>
    <x:row r="23">
      <x:c r="A23" s="1" t="str">
        <x:v>295771244</x:v>
      </x:c>
      <x:c r="B23" s="1" t="str">
        <x:v>kostyumfix3P-37-63/серыймеланж2</x:v>
      </x:c>
      <x:c r="C23" s="1" t="str">
        <x:v>Костюмы спортивные</x:v>
      </x:c>
      <x:c r="D23" s="9" t="n">
        <x:v>6.7</x:v>
      </x:c>
      <x:c r="E23" s="8" t="n">
        <x:v>210811</x:v>
      </x:c>
      <x:c r="F23" s="8" t="n">
        <x:v>3554</x:v>
      </x:c>
      <x:c r="G23" s="8" t="n">
        <x:v>5799195</x:v>
      </x:c>
      <x:c r="H23" s="8" t="n">
        <x:v>912</x:v>
      </x:c>
      <x:c r="I23" s="8" t="n">
        <x:v>0</x:v>
      </x:c>
      <x:c r="J23" s="8" t="n">
        <x:v>1973</x:v>
      </x:c>
      <x:c r="K23" s="8" t="n">
        <x:v>5944</x:v>
      </x:c>
      <x:c r="L23" s="1" t="str">
        <x:v>Нет</x:v>
      </x:c>
      <x:c r="M23" s="1" t="n">
        <x:v>3242197</x:v>
      </x:c>
    </x:row>
    <x:row r="24">
      <x:c r="A24" s="1" t="str">
        <x:v>165757816</x:v>
      </x:c>
      <x:c r="B24" s="1" t="str">
        <x:v>kulirkaman/молочный</x:v>
      </x:c>
      <x:c r="C24" s="1" t="str">
        <x:v>Футболки</x:v>
      </x:c>
      <x:c r="D24" s="9" t="n">
        <x:v>7.7</x:v>
      </x:c>
      <x:c r="E24" s="8" t="n">
        <x:v>171984</x:v>
      </x:c>
      <x:c r="F24" s="8" t="n">
        <x:v>11024</x:v>
      </x:c>
      <x:c r="G24" s="8" t="n">
        <x:v>5482332</x:v>
      </x:c>
      <x:c r="H24" s="8" t="n">
        <x:v>10104</x:v>
      </x:c>
      <x:c r="I24" s="8" t="n">
        <x:v>0</x:v>
      </x:c>
      <x:c r="J24" s="8" t="n">
        <x:v>10432</x:v>
      </x:c>
      <x:c r="K24" s="8" t="n">
        <x:v>1066</x:v>
      </x:c>
      <x:c r="L24" s="1" t="str">
        <x:v>Нет</x:v>
      </x:c>
      <x:c r="M24" s="1" t="n">
        <x:v>5820133</x:v>
      </x:c>
    </x:row>
    <x:row r="25">
      <x:c r="A25" s="1" t="str">
        <x:v>165757809</x:v>
      </x:c>
      <x:c r="B25" s="1" t="str">
        <x:v>kulirkaman/дымка</x:v>
      </x:c>
      <x:c r="C25" s="1" t="str">
        <x:v>Футболки</x:v>
      </x:c>
      <x:c r="D25" s="9" t="n">
        <x:v>8.7</x:v>
      </x:c>
      <x:c r="E25" s="8" t="n">
        <x:v>144033</x:v>
      </x:c>
      <x:c r="F25" s="8" t="n">
        <x:v>9534</x:v>
      </x:c>
      <x:c r="G25" s="8" t="n">
        <x:v>5409806</x:v>
      </x:c>
      <x:c r="H25" s="8" t="n">
        <x:v>2066</x:v>
      </x:c>
      <x:c r="I25" s="8" t="n">
        <x:v>0</x:v>
      </x:c>
      <x:c r="J25" s="8" t="n">
        <x:v>10388</x:v>
      </x:c>
      <x:c r="K25" s="8" t="n">
        <x:v>1048</x:v>
      </x:c>
      <x:c r="L25" s="1" t="str">
        <x:v>Нет</x:v>
      </x:c>
      <x:c r="M25" s="1" t="n">
        <x:v>5973025</x:v>
      </x:c>
    </x:row>
    <x:row r="26">
      <x:c r="A26" s="1" t="str">
        <x:v>323186190</x:v>
      </x:c>
      <x:c r="B26" s="1" t="str">
        <x:v>futskims3K-102/розовый</x:v>
      </x:c>
      <x:c r="C26" s="1" t="str">
        <x:v>Футболки</x:v>
      </x:c>
      <x:c r="D26" s="9" t="n">
        <x:v>8.4</x:v>
      </x:c>
      <x:c r="E26" s="8" t="n">
        <x:v>436243</x:v>
      </x:c>
      <x:c r="F26" s="8" t="n">
        <x:v>11587</x:v>
      </x:c>
      <x:c r="G26" s="8" t="n">
        <x:v>5293289</x:v>
      </x:c>
      <x:c r="H26" s="8" t="n">
        <x:v>6457</x:v>
      </x:c>
      <x:c r="I26" s="8" t="n">
        <x:v>0</x:v>
      </x:c>
      <x:c r="J26" s="8" t="n">
        <x:v>0</x:v>
      </x:c>
      <x:c r="K26" s="8" t="n">
        <x:v>1004</x:v>
      </x:c>
      <x:c r="L26" s="1" t="str">
        <x:v>Нет</x:v>
      </x:c>
      <x:c r="M26" s="1" t="n">
        <x:v>0</x:v>
      </x:c>
    </x:row>
    <x:row r="27">
      <x:c r="A27" s="1" t="str">
        <x:v>79655933</x:v>
      </x:c>
      <x:c r="B27" s="1" t="str">
        <x:v>futbolkaover/дымка</x:v>
      </x:c>
      <x:c r="C27" s="1" t="str">
        <x:v>Футболки</x:v>
      </x:c>
      <x:c r="D27" s="9" t="n">
        <x:v>7.7</x:v>
      </x:c>
      <x:c r="E27" s="8" t="n">
        <x:v>260974</x:v>
      </x:c>
      <x:c r="F27" s="8" t="n">
        <x:v>10156</x:v>
      </x:c>
      <x:c r="G27" s="8" t="n">
        <x:v>4923398</x:v>
      </x:c>
      <x:c r="H27" s="8" t="n">
        <x:v>7236</x:v>
      </x:c>
      <x:c r="I27" s="8" t="n">
        <x:v>0</x:v>
      </x:c>
      <x:c r="J27" s="8" t="n">
        <x:v>5442</x:v>
      </x:c>
      <x:c r="K27" s="8" t="n">
        <x:v>842</x:v>
      </x:c>
      <x:c r="L27" s="1" t="str">
        <x:v>Нет</x:v>
      </x:c>
      <x:c r="M27" s="1" t="n">
        <x:v>2937367</x:v>
      </x:c>
    </x:row>
    <x:row r="28">
      <x:c r="A28" s="1" t="str">
        <x:v>32774763</x:v>
      </x:c>
      <x:c r="B28" s="1" t="str">
        <x:v>kroptop/молочный</x:v>
      </x:c>
      <x:c r="C28" s="1" t="str">
        <x:v>Футболки</x:v>
      </x:c>
      <x:c r="D28" s="9" t="n">
        <x:v>8.7</x:v>
      </x:c>
      <x:c r="E28" s="8" t="n">
        <x:v>224699</x:v>
      </x:c>
      <x:c r="F28" s="8" t="n">
        <x:v>12713</x:v>
      </x:c>
      <x:c r="G28" s="8" t="n">
        <x:v>4840648</x:v>
      </x:c>
      <x:c r="H28" s="8" t="n">
        <x:v>5458</x:v>
      </x:c>
      <x:c r="I28" s="8" t="n">
        <x:v>0</x:v>
      </x:c>
      <x:c r="J28" s="8" t="n">
        <x:v>5018</x:v>
      </x:c>
      <x:c r="K28" s="8" t="n">
        <x:v>683</x:v>
      </x:c>
      <x:c r="L28" s="1" t="str">
        <x:v>Нет</x:v>
      </x:c>
      <x:c r="M28" s="1" t="n">
        <x:v>2014627</x:v>
      </x:c>
    </x:row>
    <x:row r="29">
      <x:c r="A29" s="1" t="str">
        <x:v>233284869</x:v>
      </x:c>
      <x:c r="B29" s="1" t="str">
        <x:v>longover/молочный</x:v>
      </x:c>
      <x:c r="C29" s="1" t="str">
        <x:v>Лонгсливы</x:v>
      </x:c>
      <x:c r="D29" s="9" t="n">
        <x:v>8.7</x:v>
      </x:c>
      <x:c r="E29" s="8" t="n">
        <x:v>242690</x:v>
      </x:c>
      <x:c r="F29" s="8" t="n">
        <x:v>9363</x:v>
      </x:c>
      <x:c r="G29" s="8" t="n">
        <x:v>4497947</x:v>
      </x:c>
      <x:c r="H29" s="8" t="n">
        <x:v>5845</x:v>
      </x:c>
      <x:c r="I29" s="8" t="n">
        <x:v>0</x:v>
      </x:c>
      <x:c r="J29" s="8" t="n">
        <x:v>11682</x:v>
      </x:c>
      <x:c r="K29" s="8" t="n">
        <x:v>1027</x:v>
      </x:c>
      <x:c r="L29" s="1" t="str">
        <x:v>Нет</x:v>
      </x:c>
      <x:c r="M29" s="1" t="n">
        <x:v>6444259</x:v>
      </x:c>
    </x:row>
    <x:row r="30">
      <x:c r="A30" s="1" t="str">
        <x:v>79437225</x:v>
      </x:c>
      <x:c r="B30" s="1" t="str">
        <x:v>futbolkaover/голубой</x:v>
      </x:c>
      <x:c r="C30" s="1" t="str">
        <x:v>Футболки</x:v>
      </x:c>
      <x:c r="D30" s="9" t="n">
        <x:v>9.7</x:v>
      </x:c>
      <x:c r="E30" s="8" t="n">
        <x:v>227808</x:v>
      </x:c>
      <x:c r="F30" s="8" t="n">
        <x:v>8795</x:v>
      </x:c>
      <x:c r="G30" s="8" t="n">
        <x:v>4242512</x:v>
      </x:c>
      <x:c r="H30" s="8" t="n">
        <x:v>751</x:v>
      </x:c>
      <x:c r="I30" s="8" t="n">
        <x:v>0</x:v>
      </x:c>
      <x:c r="J30" s="8" t="n">
        <x:v>3228</x:v>
      </x:c>
      <x:c r="K30" s="8" t="n">
        <x:v>908</x:v>
      </x:c>
      <x:c r="L30" s="1" t="str">
        <x:v>Нет</x:v>
      </x:c>
      <x:c r="M30" s="1" t="n">
        <x:v>1888847</x:v>
      </x:c>
    </x:row>
    <x:row r="31">
      <x:c r="A31" s="1" t="str">
        <x:v>35497578</x:v>
      </x:c>
      <x:c r="B31" s="1" t="str">
        <x:v>kroptop/черный</x:v>
      </x:c>
      <x:c r="C31" s="1" t="str">
        <x:v>Футболки</x:v>
      </x:c>
      <x:c r="D31" s="9" t="n">
        <x:v>6.7</x:v>
      </x:c>
      <x:c r="E31" s="8" t="n">
        <x:v>173329</x:v>
      </x:c>
      <x:c r="F31" s="8" t="n">
        <x:v>8838</x:v>
      </x:c>
      <x:c r="G31" s="8" t="n">
        <x:v>4170334</x:v>
      </x:c>
      <x:c r="H31" s="8" t="n">
        <x:v>4776</x:v>
      </x:c>
      <x:c r="I31" s="8" t="n">
        <x:v>0</x:v>
      </x:c>
      <x:c r="J31" s="8" t="n">
        <x:v>5872</x:v>
      </x:c>
      <x:c r="K31" s="8" t="n">
        <x:v>728</x:v>
      </x:c>
      <x:c r="L31" s="1" t="str">
        <x:v>Нет</x:v>
      </x:c>
      <x:c r="M31" s="1" t="n">
        <x:v>2822845</x:v>
      </x:c>
    </x:row>
    <x:row r="32">
      <x:c r="A32" s="1" t="str">
        <x:v>313189787</x:v>
      </x:c>
      <x:c r="B32" s="1" t="str">
        <x:v>longoverX2/мол-роз</x:v>
      </x:c>
      <x:c r="C32" s="1" t="str">
        <x:v>Лонгсливы</x:v>
      </x:c>
      <x:c r="D32" s="9" t="n">
        <x:v>8.7</x:v>
      </x:c>
      <x:c r="E32" s="8" t="n">
        <x:v>302027</x:v>
      </x:c>
      <x:c r="F32" s="8" t="n">
        <x:v>3424</x:v>
      </x:c>
      <x:c r="G32" s="8" t="n">
        <x:v>4133385</x:v>
      </x:c>
      <x:c r="H32" s="8" t="n">
        <x:v>909</x:v>
      </x:c>
      <x:c r="I32" s="8" t="n">
        <x:v>0</x:v>
      </x:c>
      <x:c r="J32" s="8" t="n">
        <x:v>1192</x:v>
      </x:c>
      <x:c r="K32" s="8" t="n">
        <x:v>2471</x:v>
      </x:c>
      <x:c r="L32" s="1" t="str">
        <x:v>Нет</x:v>
      </x:c>
      <x:c r="M32" s="1" t="n">
        <x:v>1367670</x:v>
      </x:c>
    </x:row>
    <x:row r="33">
      <x:c r="A33" s="1" t="str">
        <x:v>35238320</x:v>
      </x:c>
      <x:c r="B33" s="1" t="str">
        <x:v>futbolkaover/пыльнаяроза</x:v>
      </x:c>
      <x:c r="C33" s="1" t="str">
        <x:v>Футболки</x:v>
      </x:c>
      <x:c r="D33" s="9" t="n">
        <x:v>9.7</x:v>
      </x:c>
      <x:c r="E33" s="8" t="n">
        <x:v>283321</x:v>
      </x:c>
      <x:c r="F33" s="8" t="n">
        <x:v>8763</x:v>
      </x:c>
      <x:c r="G33" s="8" t="n">
        <x:v>4059357</x:v>
      </x:c>
      <x:c r="H33" s="8" t="n">
        <x:v>900</x:v>
      </x:c>
      <x:c r="I33" s="8" t="n">
        <x:v>0</x:v>
      </x:c>
      <x:c r="J33" s="8" t="n">
        <x:v>3163</x:v>
      </x:c>
      <x:c r="K33" s="8" t="n">
        <x:v>883</x:v>
      </x:c>
      <x:c r="L33" s="1" t="str">
        <x:v>Нет</x:v>
      </x:c>
      <x:c r="M33" s="1" t="n">
        <x:v>1732998</x:v>
      </x:c>
    </x:row>
    <x:row r="34">
      <x:c r="A34" s="1" t="str">
        <x:v>17381009</x:v>
      </x:c>
      <x:c r="B34" s="1" t="str">
        <x:v>hudi/голубой</x:v>
      </x:c>
      <x:c r="C34" s="1" t="str">
        <x:v>Худи</x:v>
      </x:c>
      <x:c r="D34" s="9" t="n">
        <x:v>9.7</x:v>
      </x:c>
      <x:c r="E34" s="8" t="n">
        <x:v>148051</x:v>
      </x:c>
      <x:c r="F34" s="8" t="n">
        <x:v>3493</x:v>
      </x:c>
      <x:c r="G34" s="8" t="n">
        <x:v>3843147</x:v>
      </x:c>
      <x:c r="H34" s="8" t="n">
        <x:v>2104</x:v>
      </x:c>
      <x:c r="I34" s="8" t="n">
        <x:v>0</x:v>
      </x:c>
      <x:c r="J34" s="8" t="n">
        <x:v>2170</x:v>
      </x:c>
      <x:c r="K34" s="8" t="n">
        <x:v>2221</x:v>
      </x:c>
      <x:c r="L34" s="1" t="str">
        <x:v>Нет</x:v>
      </x:c>
      <x:c r="M34" s="1" t="n">
        <x:v>2418140</x:v>
      </x:c>
    </x:row>
    <x:row r="35">
      <x:c r="A35" s="1" t="str">
        <x:v>233284870</x:v>
      </x:c>
      <x:c r="B35" s="1" t="str">
        <x:v>longover/бордовый</x:v>
      </x:c>
      <x:c r="C35" s="1" t="str">
        <x:v>Лонгсливы</x:v>
      </x:c>
      <x:c r="D35" s="9" t="n">
        <x:v>9.7</x:v>
      </x:c>
      <x:c r="E35" s="8" t="n">
        <x:v>260519</x:v>
      </x:c>
      <x:c r="F35" s="8" t="n">
        <x:v>6691</x:v>
      </x:c>
      <x:c r="G35" s="8" t="n">
        <x:v>3814462</x:v>
      </x:c>
      <x:c r="H35" s="8" t="n">
        <x:v>2161</x:v>
      </x:c>
      <x:c r="I35" s="8" t="n">
        <x:v>0</x:v>
      </x:c>
      <x:c r="J35" s="8" t="n">
        <x:v>13543</x:v>
      </x:c>
      <x:c r="K35" s="8" t="n">
        <x:v>1253</x:v>
      </x:c>
      <x:c r="L35" s="1" t="str">
        <x:v>Нет</x:v>
      </x:c>
      <x:c r="M35" s="1" t="n">
        <x:v>8137706</x:v>
      </x:c>
    </x:row>
    <x:row r="36">
      <x:c r="A36" s="1" t="str">
        <x:v>217335659</x:v>
      </x:c>
      <x:c r="B36" s="1" t="str">
        <x:v>longover/черный</x:v>
      </x:c>
      <x:c r="C36" s="1" t="str">
        <x:v>Лонгсливы</x:v>
      </x:c>
      <x:c r="D36" s="9" t="n">
        <x:v>8.7</x:v>
      </x:c>
      <x:c r="E36" s="8" t="n">
        <x:v>211850</x:v>
      </x:c>
      <x:c r="F36" s="8" t="n">
        <x:v>7743</x:v>
      </x:c>
      <x:c r="G36" s="8" t="n">
        <x:v>3783808</x:v>
      </x:c>
      <x:c r="H36" s="8" t="n">
        <x:v>6474</x:v>
      </x:c>
      <x:c r="I36" s="8" t="n">
        <x:v>0</x:v>
      </x:c>
      <x:c r="J36" s="8" t="n">
        <x:v>4207</x:v>
      </x:c>
      <x:c r="K36" s="8" t="n">
        <x:v>964</x:v>
      </x:c>
      <x:c r="L36" s="1" t="str">
        <x:v>Нет</x:v>
      </x:c>
      <x:c r="M36" s="1" t="n">
        <x:v>2266946</x:v>
      </x:c>
    </x:row>
    <x:row r="37">
      <x:c r="A37" s="1" t="str">
        <x:v>222011064</x:v>
      </x:c>
      <x:c r="B37" s="1" t="str">
        <x:v>futbolkamanoverX3/чер-тсер-как</x:v>
      </x:c>
      <x:c r="C37" s="1" t="str">
        <x:v>Футболки</x:v>
      </x:c>
      <x:c r="D37" s="9" t="n">
        <x:v>8.4</x:v>
      </x:c>
      <x:c r="E37" s="8" t="n">
        <x:v>103108</x:v>
      </x:c>
      <x:c r="F37" s="8" t="n">
        <x:v>2731</x:v>
      </x:c>
      <x:c r="G37" s="8" t="n">
        <x:v>3746570</x:v>
      </x:c>
      <x:c r="H37" s="8" t="n">
        <x:v>87</x:v>
      </x:c>
      <x:c r="I37" s="8" t="n">
        <x:v>0</x:v>
      </x:c>
      <x:c r="J37" s="8" t="n">
        <x:v>167</x:v>
      </x:c>
      <x:c r="K37" s="8" t="n">
        <x:v>2614</x:v>
      </x:c>
      <x:c r="L37" s="1" t="str">
        <x:v>Нет</x:v>
      </x:c>
      <x:c r="M37" s="1" t="n">
        <x:v>284201</x:v>
      </x:c>
    </x:row>
    <x:row r="38">
      <x:c r="A38" s="1" t="str">
        <x:v>165757792</x:v>
      </x:c>
      <x:c r="B38" s="1" t="str">
        <x:v>kulirkaman/кофейный</x:v>
      </x:c>
      <x:c r="C38" s="1" t="str">
        <x:v>Футболки</x:v>
      </x:c>
      <x:c r="D38" s="9" t="n">
        <x:v>8.7</x:v>
      </x:c>
      <x:c r="E38" s="8" t="n">
        <x:v>133402</x:v>
      </x:c>
      <x:c r="F38" s="8" t="n">
        <x:v>6617</x:v>
      </x:c>
      <x:c r="G38" s="8" t="n">
        <x:v>3714991</x:v>
      </x:c>
      <x:c r="H38" s="8" t="n">
        <x:v>2265</x:v>
      </x:c>
      <x:c r="I38" s="8" t="n">
        <x:v>0</x:v>
      </x:c>
      <x:c r="J38" s="8" t="n">
        <x:v>2906</x:v>
      </x:c>
      <x:c r="K38" s="8" t="n">
        <x:v>1133</x:v>
      </x:c>
      <x:c r="L38" s="1" t="str">
        <x:v>Нет</x:v>
      </x:c>
      <x:c r="M38" s="1" t="n">
        <x:v>1846518</x:v>
      </x:c>
    </x:row>
    <x:row r="39">
      <x:c r="A39" s="1" t="str">
        <x:v>35237962</x:v>
      </x:c>
      <x:c r="B39" s="1" t="str">
        <x:v>futbolkaover/кофейный</x:v>
      </x:c>
      <x:c r="C39" s="1" t="str">
        <x:v>Футболки</x:v>
      </x:c>
      <x:c r="D39" s="9" t="n">
        <x:v>9.7</x:v>
      </x:c>
      <x:c r="E39" s="8" t="n">
        <x:v>253448</x:v>
      </x:c>
      <x:c r="F39" s="8" t="n">
        <x:v>7358</x:v>
      </x:c>
      <x:c r="G39" s="8" t="n">
        <x:v>3639683</x:v>
      </x:c>
      <x:c r="H39" s="8" t="n">
        <x:v>1354</x:v>
      </x:c>
      <x:c r="I39" s="8" t="n">
        <x:v>0</x:v>
      </x:c>
      <x:c r="J39" s="8" t="n">
        <x:v>3190</x:v>
      </x:c>
      <x:c r="K39" s="8" t="n">
        <x:v>888</x:v>
      </x:c>
      <x:c r="L39" s="1" t="str">
        <x:v>Нет</x:v>
      </x:c>
      <x:c r="M39" s="1" t="n">
        <x:v>1678095</x:v>
      </x:c>
    </x:row>
    <x:row r="40">
      <x:c r="A40" s="1" t="str">
        <x:v>217339663</x:v>
      </x:c>
      <x:c r="B40" s="1" t="str">
        <x:v>longover/белый</x:v>
      </x:c>
      <x:c r="C40" s="1" t="str">
        <x:v>Лонгсливы</x:v>
      </x:c>
      <x:c r="D40" s="9" t="n">
        <x:v>6.7</x:v>
      </x:c>
      <x:c r="E40" s="8" t="n">
        <x:v>208621</x:v>
      </x:c>
      <x:c r="F40" s="8" t="n">
        <x:v>8005</x:v>
      </x:c>
      <x:c r="G40" s="8" t="n">
        <x:v>3615557</x:v>
      </x:c>
      <x:c r="H40" s="8" t="n">
        <x:v>4542</x:v>
      </x:c>
      <x:c r="I40" s="8" t="n">
        <x:v>0</x:v>
      </x:c>
      <x:c r="J40" s="8" t="n">
        <x:v>4036</x:v>
      </x:c>
      <x:c r="K40" s="8" t="n">
        <x:v>831</x:v>
      </x:c>
      <x:c r="L40" s="1" t="str">
        <x:v>Нет</x:v>
      </x:c>
      <x:c r="M40" s="1" t="n">
        <x:v>1999161</x:v>
      </x:c>
    </x:row>
    <x:row r="41">
      <x:c r="A41" s="1" t="str">
        <x:v>323186188</x:v>
      </x:c>
      <x:c r="B41" s="1" t="str">
        <x:v>futskims3K-102/каштановый</x:v>
      </x:c>
      <x:c r="C41" s="1" t="str">
        <x:v>Футболки</x:v>
      </x:c>
      <x:c r="D41" s="9" t="n">
        <x:v>8.4</x:v>
      </x:c>
      <x:c r="E41" s="8" t="n">
        <x:v>204556</x:v>
      </x:c>
      <x:c r="F41" s="8" t="n">
        <x:v>6476</x:v>
      </x:c>
      <x:c r="G41" s="8" t="n">
        <x:v>3600920</x:v>
      </x:c>
      <x:c r="H41" s="8" t="n">
        <x:v>2172</x:v>
      </x:c>
      <x:c r="I41" s="8" t="n">
        <x:v>0</x:v>
      </x:c>
      <x:c r="J41" s="8" t="n">
        <x:v>0</x:v>
      </x:c>
      <x:c r="K41" s="8" t="n">
        <x:v>1054</x:v>
      </x:c>
      <x:c r="L41" s="1" t="str">
        <x:v>Нет</x:v>
      </x:c>
      <x:c r="M41" s="1" t="n">
        <x:v>0</x:v>
      </x:c>
    </x:row>
    <x:row r="42">
      <x:c r="A42" s="1" t="str">
        <x:v>87044808</x:v>
      </x:c>
      <x:c r="B42" s="1" t="str">
        <x:v>kroptop/дымка</x:v>
      </x:c>
      <x:c r="C42" s="1" t="str">
        <x:v>Футболки</x:v>
      </x:c>
      <x:c r="D42" s="9" t="n">
        <x:v>8.7</x:v>
      </x:c>
      <x:c r="E42" s="8" t="n">
        <x:v>213525</x:v>
      </x:c>
      <x:c r="F42" s="8" t="n">
        <x:v>8429</x:v>
      </x:c>
      <x:c r="G42" s="8" t="n">
        <x:v>3583915</x:v>
      </x:c>
      <x:c r="H42" s="8" t="n">
        <x:v>4546</x:v>
      </x:c>
      <x:c r="I42" s="8" t="n">
        <x:v>0</x:v>
      </x:c>
      <x:c r="J42" s="8" t="n">
        <x:v>5082</x:v>
      </x:c>
      <x:c r="K42" s="8" t="n">
        <x:v>732</x:v>
      </x:c>
      <x:c r="L42" s="1" t="str">
        <x:v>Нет</x:v>
      </x:c>
      <x:c r="M42" s="1" t="n">
        <x:v>2198743</x:v>
      </x:c>
    </x:row>
    <x:row r="43">
      <x:c r="A43" s="1" t="str">
        <x:v>172152344</x:v>
      </x:c>
      <x:c r="B43" s="1" t="str">
        <x:v>baza/белый</x:v>
      </x:c>
      <x:c r="C43" s="1" t="str">
        <x:v>Футболки</x:v>
      </x:c>
      <x:c r="D43" s="9" t="n">
        <x:v>8.2</x:v>
      </x:c>
      <x:c r="E43" s="8" t="n">
        <x:v>139927</x:v>
      </x:c>
      <x:c r="F43" s="8" t="n">
        <x:v>5655</x:v>
      </x:c>
      <x:c r="G43" s="8" t="n">
        <x:v>3511580</x:v>
      </x:c>
      <x:c r="H43" s="8" t="n">
        <x:v>2167</x:v>
      </x:c>
      <x:c r="I43" s="8" t="n">
        <x:v>0</x:v>
      </x:c>
      <x:c r="J43" s="8" t="n">
        <x:v>10366</x:v>
      </x:c>
      <x:c r="K43" s="8" t="n">
        <x:v>988</x:v>
      </x:c>
      <x:c r="L43" s="1" t="str">
        <x:v>Нет</x:v>
      </x:c>
      <x:c r="M43" s="1" t="n">
        <x:v>6080337</x:v>
      </x:c>
    </x:row>
    <x:row r="44">
      <x:c r="A44" s="1" t="str">
        <x:v>253951197</x:v>
      </x:c>
      <x:c r="B44" s="1" t="str">
        <x:v>hudi/светло-розовый</x:v>
      </x:c>
      <x:c r="C44" s="1" t="str">
        <x:v>Худи</x:v>
      </x:c>
      <x:c r="D44" s="9" t="n">
        <x:v>7.7</x:v>
      </x:c>
      <x:c r="E44" s="8" t="n">
        <x:v>206050</x:v>
      </x:c>
      <x:c r="F44" s="8" t="n">
        <x:v>2778</x:v>
      </x:c>
      <x:c r="G44" s="8" t="n">
        <x:v>3501429</x:v>
      </x:c>
      <x:c r="H44" s="8" t="n">
        <x:v>358</x:v>
      </x:c>
      <x:c r="I44" s="8" t="n">
        <x:v>0</x:v>
      </x:c>
      <x:c r="J44" s="8" t="n">
        <x:v>5978</x:v>
      </x:c>
      <x:c r="K44" s="8" t="n">
        <x:v>3191</x:v>
      </x:c>
      <x:c r="L44" s="1" t="str">
        <x:v>Нет</x:v>
      </x:c>
      <x:c r="M44" s="1" t="n">
        <x:v>7310343</x:v>
      </x:c>
    </x:row>
    <x:row r="45">
      <x:c r="A45" s="1" t="str">
        <x:v>233284873</x:v>
      </x:c>
      <x:c r="B45" s="1" t="str">
        <x:v>longover/какао</x:v>
      </x:c>
      <x:c r="C45" s="1" t="str">
        <x:v>Лонгсливы</x:v>
      </x:c>
      <x:c r="D45" s="9" t="n">
        <x:v>8.7</x:v>
      </x:c>
      <x:c r="E45" s="8" t="n">
        <x:v>283089</x:v>
      </x:c>
      <x:c r="F45" s="8" t="n">
        <x:v>7507</x:v>
      </x:c>
      <x:c r="G45" s="8" t="n">
        <x:v>3461687</x:v>
      </x:c>
      <x:c r="H45" s="8" t="n">
        <x:v>3612</x:v>
      </x:c>
      <x:c r="I45" s="8" t="n">
        <x:v>0</x:v>
      </x:c>
      <x:c r="J45" s="8" t="n">
        <x:v>4964</x:v>
      </x:c>
      <x:c r="K45" s="8" t="n">
        <x:v>953</x:v>
      </x:c>
      <x:c r="L45" s="1" t="str">
        <x:v>Нет</x:v>
      </x:c>
      <x:c r="M45" s="1" t="n">
        <x:v>2232501</x:v>
      </x:c>
    </x:row>
    <x:row r="46">
      <x:c r="A46" s="1" t="str">
        <x:v>19165094</x:v>
      </x:c>
      <x:c r="B46" s="1" t="str">
        <x:v>hudi/песочный</x:v>
      </x:c>
      <x:c r="C46" s="1" t="str">
        <x:v>Худи</x:v>
      </x:c>
      <x:c r="D46" s="9" t="n">
        <x:v>9.7</x:v>
      </x:c>
      <x:c r="E46" s="8" t="n">
        <x:v>170687</x:v>
      </x:c>
      <x:c r="F46" s="8" t="n">
        <x:v>4008</x:v>
      </x:c>
      <x:c r="G46" s="8" t="n">
        <x:v>3357743</x:v>
      </x:c>
      <x:c r="H46" s="8" t="n">
        <x:v>870</x:v>
      </x:c>
      <x:c r="I46" s="8" t="n">
        <x:v>0</x:v>
      </x:c>
      <x:c r="J46" s="8" t="n">
        <x:v>5817</x:v>
      </x:c>
      <x:c r="K46" s="8" t="n">
        <x:v>2270</x:v>
      </x:c>
      <x:c r="L46" s="1" t="str">
        <x:v>Нет</x:v>
      </x:c>
      <x:c r="M46" s="1" t="n">
        <x:v>5372922</x:v>
      </x:c>
    </x:row>
    <x:row r="47">
      <x:c r="A47" s="1" t="str">
        <x:v>34247428</x:v>
      </x:c>
      <x:c r="B47" s="1" t="str">
        <x:v>futbolkaover/пыльнаямята</x:v>
      </x:c>
      <x:c r="C47" s="1" t="str">
        <x:v>Футболки</x:v>
      </x:c>
      <x:c r="D47" s="9" t="n">
        <x:v>9.7</x:v>
      </x:c>
      <x:c r="E47" s="8" t="n">
        <x:v>230002</x:v>
      </x:c>
      <x:c r="F47" s="8" t="n">
        <x:v>6618</x:v>
      </x:c>
      <x:c r="G47" s="8" t="n">
        <x:v>3222249</x:v>
      </x:c>
      <x:c r="H47" s="8" t="n">
        <x:v>2412</x:v>
      </x:c>
      <x:c r="I47" s="8" t="n">
        <x:v>0</x:v>
      </x:c>
      <x:c r="J47" s="8" t="n">
        <x:v>2583</x:v>
      </x:c>
      <x:c r="K47" s="8" t="n">
        <x:v>852</x:v>
      </x:c>
      <x:c r="L47" s="1" t="str">
        <x:v>Нет</x:v>
      </x:c>
      <x:c r="M47" s="1" t="n">
        <x:v>1314378</x:v>
      </x:c>
    </x:row>
    <x:row r="48">
      <x:c r="A48" s="1" t="str">
        <x:v>291157007</x:v>
      </x:c>
      <x:c r="B48" s="1" t="str">
        <x:v>longover/коричневый</x:v>
      </x:c>
      <x:c r="C48" s="1" t="str">
        <x:v>Лонгсливы</x:v>
      </x:c>
      <x:c r="D48" s="9" t="n">
        <x:v>8.7</x:v>
      </x:c>
      <x:c r="E48" s="8" t="n">
        <x:v>195353</x:v>
      </x:c>
      <x:c r="F48" s="8" t="n">
        <x:v>5416</x:v>
      </x:c>
      <x:c r="G48" s="8" t="n">
        <x:v>3187730</x:v>
      </x:c>
      <x:c r="H48" s="8" t="n">
        <x:v>4623</x:v>
      </x:c>
      <x:c r="I48" s="8" t="n">
        <x:v>0</x:v>
      </x:c>
      <x:c r="J48" s="8" t="n">
        <x:v>4250</x:v>
      </x:c>
      <x:c r="K48" s="8" t="n">
        <x:v>1364</x:v>
      </x:c>
      <x:c r="L48" s="1" t="str">
        <x:v>Нет</x:v>
      </x:c>
      <x:c r="M48" s="1" t="n">
        <x:v>2856042</x:v>
      </x:c>
    </x:row>
    <x:row r="49">
      <x:c r="A49" s="1" t="str">
        <x:v>323186195</x:v>
      </x:c>
      <x:c r="B49" s="1" t="str">
        <x:v>futskims3K-102/молочный</x:v>
      </x:c>
      <x:c r="C49" s="1" t="str">
        <x:v>Футболки</x:v>
      </x:c>
      <x:c r="D49" s="9" t="n">
        <x:v>8.4</x:v>
      </x:c>
      <x:c r="E49" s="8" t="n">
        <x:v>272959</x:v>
      </x:c>
      <x:c r="F49" s="8" t="n">
        <x:v>8402</x:v>
      </x:c>
      <x:c r="G49" s="8" t="n">
        <x:v>3181689</x:v>
      </x:c>
      <x:c r="H49" s="8" t="n">
        <x:v>5565</x:v>
      </x:c>
      <x:c r="I49" s="8" t="n">
        <x:v>0</x:v>
      </x:c>
      <x:c r="J49" s="8" t="n">
        <x:v>473</x:v>
      </x:c>
      <x:c r="K49" s="8" t="n">
        <x:v>972</x:v>
      </x:c>
      <x:c r="L49" s="1" t="str">
        <x:v>Нет</x:v>
      </x:c>
      <x:c r="M49" s="1" t="n">
        <x:v>196930</x:v>
      </x:c>
    </x:row>
    <x:row r="50">
      <x:c r="A50" s="1" t="str">
        <x:v>307065932</x:v>
      </x:c>
      <x:c r="B50" s="1" t="str">
        <x:v>hudicrop1/светло-розовый</x:v>
      </x:c>
      <x:c r="C50" s="1" t="str">
        <x:v>Худи</x:v>
      </x:c>
      <x:c r="D50" s="9" t="n">
        <x:v>8.7</x:v>
      </x:c>
      <x:c r="E50" s="8" t="n">
        <x:v>142841</x:v>
      </x:c>
      <x:c r="F50" s="8" t="n">
        <x:v>2188</x:v>
      </x:c>
      <x:c r="G50" s="8" t="n">
        <x:v>3129241</x:v>
      </x:c>
      <x:c r="H50" s="8" t="n">
        <x:v>6</x:v>
      </x:c>
      <x:c r="I50" s="8" t="n">
        <x:v>0</x:v>
      </x:c>
      <x:c r="J50" s="8" t="n">
        <x:v>3302</x:v>
      </x:c>
      <x:c r="K50" s="8" t="n">
        <x:v>3647</x:v>
      </x:c>
      <x:c r="L50" s="1" t="str">
        <x:v>Нет</x:v>
      </x:c>
      <x:c r="M50" s="1" t="n">
        <x:v>4616023</x:v>
      </x:c>
    </x:row>
    <x:row r="51">
      <x:c r="A51" s="1" t="str">
        <x:v>200739284</x:v>
      </x:c>
      <x:c r="B51" s="1" t="str">
        <x:v>tolstovkazip/молочный</x:v>
      </x:c>
      <x:c r="C51" s="1" t="str">
        <x:v>Худи</x:v>
      </x:c>
      <x:c r="D51" s="9" t="n">
        <x:v>9.7</x:v>
      </x:c>
      <x:c r="E51" s="8" t="n">
        <x:v>123670</x:v>
      </x:c>
      <x:c r="F51" s="8" t="n">
        <x:v>1896</x:v>
      </x:c>
      <x:c r="G51" s="8" t="n">
        <x:v>3072068</x:v>
      </x:c>
      <x:c r="H51" s="8" t="n">
        <x:v>21</x:v>
      </x:c>
      <x:c r="I51" s="8" t="n">
        <x:v>0</x:v>
      </x:c>
      <x:c r="J51" s="8" t="n">
        <x:v>1977</x:v>
      </x:c>
      <x:c r="K51" s="8" t="n">
        <x:v>4136</x:v>
      </x:c>
      <x:c r="L51" s="1" t="str">
        <x:v>Нет</x:v>
      </x:c>
      <x:c r="M51" s="1" t="n">
        <x:v>3540567</x:v>
      </x:c>
    </x:row>
    <x:row r="52">
      <x:c r="A52" s="1" t="str">
        <x:v>165757788</x:v>
      </x:c>
      <x:c r="B52" s="1" t="str">
        <x:v>kulirkaman/какао</x:v>
      </x:c>
      <x:c r="C52" s="1" t="str">
        <x:v>Футболки</x:v>
      </x:c>
      <x:c r="D52" s="9" t="n">
        <x:v>8.7</x:v>
      </x:c>
      <x:c r="E52" s="8" t="n">
        <x:v>159108</x:v>
      </x:c>
      <x:c r="F52" s="8" t="n">
        <x:v>6294</x:v>
      </x:c>
      <x:c r="G52" s="8" t="n">
        <x:v>3064748</x:v>
      </x:c>
      <x:c r="H52" s="8" t="n">
        <x:v>5100</x:v>
      </x:c>
      <x:c r="I52" s="8" t="n">
        <x:v>0</x:v>
      </x:c>
      <x:c r="J52" s="8" t="n">
        <x:v>6938</x:v>
      </x:c>
      <x:c r="K52" s="8" t="n">
        <x:v>868</x:v>
      </x:c>
      <x:c r="L52" s="1" t="str">
        <x:v>Нет</x:v>
      </x:c>
      <x:c r="M52" s="1" t="n">
        <x:v>3539792</x:v>
      </x:c>
    </x:row>
    <x:row r="53">
      <x:c r="A53" s="1" t="str">
        <x:v>165757793</x:v>
      </x:c>
      <x:c r="B53" s="1" t="str">
        <x:v>kulirkaman/бежевый</x:v>
      </x:c>
      <x:c r="C53" s="1" t="str">
        <x:v>Футболки</x:v>
      </x:c>
      <x:c r="D53" s="9" t="n">
        <x:v>8.7</x:v>
      </x:c>
      <x:c r="E53" s="8" t="n">
        <x:v>111854</x:v>
      </x:c>
      <x:c r="F53" s="8" t="n">
        <x:v>5128</x:v>
      </x:c>
      <x:c r="G53" s="8" t="n">
        <x:v>2910813</x:v>
      </x:c>
      <x:c r="H53" s="8" t="n">
        <x:v>2083</x:v>
      </x:c>
      <x:c r="I53" s="8" t="n">
        <x:v>0</x:v>
      </x:c>
      <x:c r="J53" s="8" t="n">
        <x:v>3242</x:v>
      </x:c>
      <x:c r="K53" s="8" t="n">
        <x:v>1156</x:v>
      </x:c>
      <x:c r="L53" s="1" t="str">
        <x:v>Нет</x:v>
      </x:c>
      <x:c r="M53" s="1" t="n">
        <x:v>2060923</x:v>
      </x:c>
    </x:row>
    <x:row r="54">
      <x:c r="A54" s="1" t="str">
        <x:v>217339641</x:v>
      </x:c>
      <x:c r="B54" s="1" t="str">
        <x:v>longover/дымка</x:v>
      </x:c>
      <x:c r="C54" s="1" t="str">
        <x:v>Лонгсливы</x:v>
      </x:c>
      <x:c r="D54" s="9" t="n">
        <x:v>8.7</x:v>
      </x:c>
      <x:c r="E54" s="8" t="n">
        <x:v>307416</x:v>
      </x:c>
      <x:c r="F54" s="8" t="n">
        <x:v>6692</x:v>
      </x:c>
      <x:c r="G54" s="8" t="n">
        <x:v>2880868</x:v>
      </x:c>
      <x:c r="H54" s="8" t="n">
        <x:v>1454</x:v>
      </x:c>
      <x:c r="I54" s="8" t="n">
        <x:v>0</x:v>
      </x:c>
      <x:c r="J54" s="8" t="n">
        <x:v>5242</x:v>
      </x:c>
      <x:c r="K54" s="8" t="n">
        <x:v>1026</x:v>
      </x:c>
      <x:c r="L54" s="1" t="str">
        <x:v>Нет</x:v>
      </x:c>
      <x:c r="M54" s="1" t="n">
        <x:v>2443611</x:v>
      </x:c>
    </x:row>
    <x:row r="55">
      <x:c r="A55" s="1" t="str">
        <x:v>295770623</x:v>
      </x:c>
      <x:c r="B55" s="1" t="str">
        <x:v>kostyumfix3P-37-63/светло-розовый</x:v>
      </x:c>
      <x:c r="C55" s="1" t="str">
        <x:v>Костюмы спортивные</x:v>
      </x:c>
      <x:c r="D55" s="9" t="n">
        <x:v>6.7</x:v>
      </x:c>
      <x:c r="E55" s="8" t="n">
        <x:v>215372</x:v>
      </x:c>
      <x:c r="F55" s="8" t="n">
        <x:v>2039</x:v>
      </x:c>
      <x:c r="G55" s="8" t="n">
        <x:v>2853724</x:v>
      </x:c>
      <x:c r="H55" s="8" t="n">
        <x:v>71</x:v>
      </x:c>
      <x:c r="I55" s="8" t="n">
        <x:v>0</x:v>
      </x:c>
      <x:c r="J55" s="8" t="n">
        <x:v>562</x:v>
      </x:c>
      <x:c r="K55" s="8" t="n">
        <x:v>5807</x:v>
      </x:c>
      <x:c r="L55" s="1" t="str">
        <x:v>Нет</x:v>
      </x:c>
      <x:c r="M55" s="1" t="n">
        <x:v>831951</x:v>
      </x:c>
    </x:row>
    <x:row r="56">
      <x:c r="A56" s="1" t="str">
        <x:v>165757806</x:v>
      </x:c>
      <x:c r="B56" s="1" t="str">
        <x:v>kulirkaman/коричневый</x:v>
      </x:c>
      <x:c r="C56" s="1" t="str">
        <x:v>Футболки</x:v>
      </x:c>
      <x:c r="D56" s="9" t="n">
        <x:v>8</x:v>
      </x:c>
      <x:c r="E56" s="8" t="n">
        <x:v>102612</x:v>
      </x:c>
      <x:c r="F56" s="8" t="n">
        <x:v>5599</x:v>
      </x:c>
      <x:c r="G56" s="8" t="n">
        <x:v>2845530</x:v>
      </x:c>
      <x:c r="H56" s="8" t="n">
        <x:v>8575</x:v>
      </x:c>
      <x:c r="I56" s="8" t="n">
        <x:v>0</x:v>
      </x:c>
      <x:c r="J56" s="8" t="n">
        <x:v>4012</x:v>
      </x:c>
      <x:c r="K56" s="8" t="n">
        <x:v>1003</x:v>
      </x:c>
      <x:c r="L56" s="1" t="str">
        <x:v>Нет</x:v>
      </x:c>
      <x:c r="M56" s="1" t="n">
        <x:v>2573040</x:v>
      </x:c>
    </x:row>
    <x:row r="57">
      <x:c r="A57" s="1" t="str">
        <x:v>172152349</x:v>
      </x:c>
      <x:c r="B57" s="1" t="str">
        <x:v>baza/черный</x:v>
      </x:c>
      <x:c r="C57" s="1" t="str">
        <x:v>Футболки</x:v>
      </x:c>
      <x:c r="D57" s="9" t="n">
        <x:v>8.2</x:v>
      </x:c>
      <x:c r="E57" s="8" t="n">
        <x:v>163083</x:v>
      </x:c>
      <x:c r="F57" s="8" t="n">
        <x:v>5545</x:v>
      </x:c>
      <x:c r="G57" s="8" t="n">
        <x:v>2839930</x:v>
      </x:c>
      <x:c r="H57" s="8" t="n">
        <x:v>4753</x:v>
      </x:c>
      <x:c r="I57" s="8" t="n">
        <x:v>0</x:v>
      </x:c>
      <x:c r="J57" s="8" t="n">
        <x:v>4603</x:v>
      </x:c>
      <x:c r="K57" s="8" t="n">
        <x:v>843</x:v>
      </x:c>
      <x:c r="L57" s="1" t="str">
        <x:v>Нет</x:v>
      </x:c>
      <x:c r="M57" s="1" t="n">
        <x:v>2362361</x:v>
      </x:c>
    </x:row>
    <x:row r="58">
      <x:c r="A58" s="1" t="str">
        <x:v>116676542</x:v>
      </x:c>
      <x:c r="B58" s="1" t="str">
        <x:v>kroptop/бордовый</x:v>
      </x:c>
      <x:c r="C58" s="1" t="str">
        <x:v>Футболки</x:v>
      </x:c>
      <x:c r="D58" s="9" t="n">
        <x:v>8.7</x:v>
      </x:c>
      <x:c r="E58" s="8" t="n">
        <x:v>165945</x:v>
      </x:c>
      <x:c r="F58" s="8" t="n">
        <x:v>6205</x:v>
      </x:c>
      <x:c r="G58" s="8" t="n">
        <x:v>2814098</x:v>
      </x:c>
      <x:c r="H58" s="8" t="n">
        <x:v>996</x:v>
      </x:c>
      <x:c r="I58" s="8" t="n">
        <x:v>0</x:v>
      </x:c>
      <x:c r="J58" s="8" t="n">
        <x:v>5025</x:v>
      </x:c>
      <x:c r="K58" s="8" t="n">
        <x:v>756</x:v>
      </x:c>
      <x:c r="L58" s="1" t="str">
        <x:v>Нет</x:v>
      </x:c>
      <x:c r="M58" s="1" t="n">
        <x:v>2422002</x:v>
      </x:c>
    </x:row>
    <x:row r="59">
      <x:c r="A59" s="1" t="str">
        <x:v>34249479</x:v>
      </x:c>
      <x:c r="B59" s="1" t="str">
        <x:v>futbolkaover/сероваторозовый</x:v>
      </x:c>
      <x:c r="C59" s="1" t="str">
        <x:v>Футболки</x:v>
      </x:c>
      <x:c r="D59" s="9" t="n">
        <x:v>9.7</x:v>
      </x:c>
      <x:c r="E59" s="8" t="n">
        <x:v>163934</x:v>
      </x:c>
      <x:c r="F59" s="8" t="n">
        <x:v>5766</x:v>
      </x:c>
      <x:c r="G59" s="8" t="n">
        <x:v>2796398</x:v>
      </x:c>
      <x:c r="H59" s="8" t="n">
        <x:v>1457</x:v>
      </x:c>
      <x:c r="I59" s="8" t="n">
        <x:v>0</x:v>
      </x:c>
      <x:c r="J59" s="8" t="n">
        <x:v>2809</x:v>
      </x:c>
      <x:c r="K59" s="8" t="n">
        <x:v>834</x:v>
      </x:c>
      <x:c r="L59" s="1" t="str">
        <x:v>Нет</x:v>
      </x:c>
      <x:c r="M59" s="1" t="n">
        <x:v>1531245</x:v>
      </x:c>
    </x:row>
    <x:row r="60">
      <x:c r="A60" s="1" t="str">
        <x:v>323186193</x:v>
      </x:c>
      <x:c r="B60" s="1" t="str">
        <x:v>futskims3K-102/дымка</x:v>
      </x:c>
      <x:c r="C60" s="1" t="str">
        <x:v>Футболки</x:v>
      </x:c>
      <x:c r="D60" s="9" t="n">
        <x:v>8.4</x:v>
      </x:c>
      <x:c r="E60" s="8" t="n">
        <x:v>270923</x:v>
      </x:c>
      <x:c r="F60" s="8" t="n">
        <x:v>5158</x:v>
      </x:c>
      <x:c r="G60" s="8" t="n">
        <x:v>2766285</x:v>
      </x:c>
      <x:c r="H60" s="8" t="n">
        <x:v>3889</x:v>
      </x:c>
      <x:c r="I60" s="8" t="n">
        <x:v>0</x:v>
      </x:c>
      <x:c r="J60" s="8" t="n">
        <x:v>773</x:v>
      </x:c>
      <x:c r="K60" s="8" t="n">
        <x:v>1143</x:v>
      </x:c>
      <x:c r="L60" s="1" t="str">
        <x:v>Нет</x:v>
      </x:c>
      <x:c r="M60" s="1" t="n">
        <x:v>358554</x:v>
      </x:c>
    </x:row>
    <x:row r="61">
      <x:c r="A61" s="1" t="str">
        <x:v>165757804</x:v>
      </x:c>
      <x:c r="B61" s="1" t="str">
        <x:v>kulirkaman/хаки</x:v>
      </x:c>
      <x:c r="C61" s="1" t="str">
        <x:v>Футболки</x:v>
      </x:c>
      <x:c r="D61" s="9" t="n">
        <x:v>8.7</x:v>
      </x:c>
      <x:c r="E61" s="8" t="n">
        <x:v>95329</x:v>
      </x:c>
      <x:c r="F61" s="8" t="n">
        <x:v>4914</x:v>
      </x:c>
      <x:c r="G61" s="8" t="n">
        <x:v>2743004</x:v>
      </x:c>
      <x:c r="H61" s="8" t="n">
        <x:v>646</x:v>
      </x:c>
      <x:c r="I61" s="8" t="n">
        <x:v>0</x:v>
      </x:c>
      <x:c r="J61" s="8" t="n">
        <x:v>4323</x:v>
      </x:c>
      <x:c r="K61" s="8" t="n">
        <x:v>1038</x:v>
      </x:c>
      <x:c r="L61" s="1" t="str">
        <x:v>Нет</x:v>
      </x:c>
      <x:c r="M61" s="1" t="n">
        <x:v>2503892</x:v>
      </x:c>
    </x:row>
    <x:row r="62">
      <x:c r="A62" s="1" t="str">
        <x:v>221519608</x:v>
      </x:c>
      <x:c r="B62" s="1" t="str">
        <x:v>kroptop/розовый</x:v>
      </x:c>
      <x:c r="C62" s="1" t="str">
        <x:v>Футболки</x:v>
      </x:c>
      <x:c r="D62" s="9" t="n">
        <x:v>6.7</x:v>
      </x:c>
      <x:c r="E62" s="8" t="n">
        <x:v>150666</x:v>
      </x:c>
      <x:c r="F62" s="8" t="n">
        <x:v>6450</x:v>
      </x:c>
      <x:c r="G62" s="8" t="n">
        <x:v>2739024</x:v>
      </x:c>
      <x:c r="H62" s="8" t="n">
        <x:v>1482</x:v>
      </x:c>
      <x:c r="I62" s="8" t="n">
        <x:v>0</x:v>
      </x:c>
      <x:c r="J62" s="8" t="n">
        <x:v>4925</x:v>
      </x:c>
      <x:c r="K62" s="8" t="n">
        <x:v>734</x:v>
      </x:c>
      <x:c r="L62" s="1" t="str">
        <x:v>Нет</x:v>
      </x:c>
      <x:c r="M62" s="1" t="n">
        <x:v>2179085</x:v>
      </x:c>
    </x:row>
    <x:row r="63">
      <x:c r="A63" s="1" t="str">
        <x:v>166214904</x:v>
      </x:c>
      <x:c r="B63" s="1" t="str">
        <x:v>kulirkaman/пыльнаямята</x:v>
      </x:c>
      <x:c r="C63" s="1" t="str">
        <x:v>Футболки</x:v>
      </x:c>
      <x:c r="D63" s="9" t="n">
        <x:v>8.7</x:v>
      </x:c>
      <x:c r="E63" s="8" t="n">
        <x:v>91139</x:v>
      </x:c>
      <x:c r="F63" s="8" t="n">
        <x:v>4616</x:v>
      </x:c>
      <x:c r="G63" s="8" t="n">
        <x:v>2642914</x:v>
      </x:c>
      <x:c r="H63" s="8" t="n">
        <x:v>578</x:v>
      </x:c>
      <x:c r="I63" s="8" t="n">
        <x:v>0</x:v>
      </x:c>
      <x:c r="J63" s="8" t="n">
        <x:v>2823</x:v>
      </x:c>
      <x:c r="K63" s="8" t="n">
        <x:v>1078</x:v>
      </x:c>
      <x:c r="L63" s="1" t="str">
        <x:v>Нет</x:v>
      </x:c>
      <x:c r="M63" s="1" t="n">
        <x:v>1740345</x:v>
      </x:c>
    </x:row>
    <x:row r="64">
      <x:c r="A64" s="1" t="str">
        <x:v>165757829</x:v>
      </x:c>
      <x:c r="B64" s="1" t="str">
        <x:v>kulirkaman/бордовый</x:v>
      </x:c>
      <x:c r="C64" s="1" t="str">
        <x:v>Футболки</x:v>
      </x:c>
      <x:c r="D64" s="9" t="n">
        <x:v>8.7</x:v>
      </x:c>
      <x:c r="E64" s="8" t="n">
        <x:v>81328</x:v>
      </x:c>
      <x:c r="F64" s="8" t="n">
        <x:v>4844</x:v>
      </x:c>
      <x:c r="G64" s="8" t="n">
        <x:v>2630448</x:v>
      </x:c>
      <x:c r="H64" s="8" t="n">
        <x:v>2201</x:v>
      </x:c>
      <x:c r="I64" s="8" t="n">
        <x:v>0</x:v>
      </x:c>
      <x:c r="J64" s="8" t="n">
        <x:v>3538</x:v>
      </x:c>
      <x:c r="K64" s="8" t="n">
        <x:v>951</x:v>
      </x:c>
      <x:c r="L64" s="1" t="str">
        <x:v>Нет</x:v>
      </x:c>
      <x:c r="M64" s="1" t="n">
        <x:v>2156701</x:v>
      </x:c>
    </x:row>
    <x:row r="65">
      <x:c r="A65" s="1" t="str">
        <x:v>113290841</x:v>
      </x:c>
      <x:c r="B65" s="1" t="str">
        <x:v>kroptop/белый</x:v>
      </x:c>
      <x:c r="C65" s="1" t="str">
        <x:v>Футболки</x:v>
      </x:c>
      <x:c r="D65" s="9" t="n">
        <x:v>8.7</x:v>
      </x:c>
      <x:c r="E65" s="8" t="n">
        <x:v>203479</x:v>
      </x:c>
      <x:c r="F65" s="8" t="n">
        <x:v>5469</x:v>
      </x:c>
      <x:c r="G65" s="8" t="n">
        <x:v>2512093</x:v>
      </x:c>
      <x:c r="H65" s="8" t="n">
        <x:v>5074</x:v>
      </x:c>
      <x:c r="I65" s="8" t="n">
        <x:v>0</x:v>
      </x:c>
      <x:c r="J65" s="8" t="n">
        <x:v>10029</x:v>
      </x:c>
      <x:c r="K65" s="8" t="n">
        <x:v>959</x:v>
      </x:c>
      <x:c r="L65" s="1" t="str">
        <x:v>Нет</x:v>
      </x:c>
      <x:c r="M65" s="1" t="n">
        <x:v>4740967</x:v>
      </x:c>
    </x:row>
    <x:row r="66">
      <x:c r="A66" s="1" t="str">
        <x:v>75373849</x:v>
      </x:c>
      <x:c r="B66" s="1" t="str">
        <x:v>futbolkaover/фуксия</x:v>
      </x:c>
      <x:c r="C66" s="1" t="str">
        <x:v>Футболки</x:v>
      </x:c>
      <x:c r="D66" s="9" t="n">
        <x:v>9.7</x:v>
      </x:c>
      <x:c r="E66" s="8" t="n">
        <x:v>145715</x:v>
      </x:c>
      <x:c r="F66" s="8" t="n">
        <x:v>4891</x:v>
      </x:c>
      <x:c r="G66" s="8" t="n">
        <x:v>2424225</x:v>
      </x:c>
      <x:c r="H66" s="8" t="n">
        <x:v>4035</x:v>
      </x:c>
      <x:c r="I66" s="8" t="n">
        <x:v>0</x:v>
      </x:c>
      <x:c r="J66" s="8" t="n">
        <x:v>3616</x:v>
      </x:c>
      <x:c r="K66" s="8" t="n">
        <x:v>871</x:v>
      </x:c>
      <x:c r="L66" s="1" t="str">
        <x:v>Нет</x:v>
      </x:c>
      <x:c r="M66" s="1" t="n">
        <x:v>2038519</x:v>
      </x:c>
    </x:row>
    <x:row r="67">
      <x:c r="A67" s="1" t="str">
        <x:v>79582215</x:v>
      </x:c>
      <x:c r="B67" s="1" t="str">
        <x:v>futbolkaover/красный</x:v>
      </x:c>
      <x:c r="C67" s="1" t="str">
        <x:v>Футболки</x:v>
      </x:c>
      <x:c r="D67" s="9" t="n">
        <x:v>9.7</x:v>
      </x:c>
      <x:c r="E67" s="8" t="n">
        <x:v>150627</x:v>
      </x:c>
      <x:c r="F67" s="8" t="n">
        <x:v>5281</x:v>
      </x:c>
      <x:c r="G67" s="8" t="n">
        <x:v>2397857</x:v>
      </x:c>
      <x:c r="H67" s="8" t="n">
        <x:v>868</x:v>
      </x:c>
      <x:c r="I67" s="8" t="n">
        <x:v>0</x:v>
      </x:c>
      <x:c r="J67" s="8" t="n">
        <x:v>1665</x:v>
      </x:c>
      <x:c r="K67" s="8" t="n">
        <x:v>874</x:v>
      </x:c>
      <x:c r="L67" s="1" t="str">
        <x:v>Нет</x:v>
      </x:c>
      <x:c r="M67" s="1" t="n">
        <x:v>954601</x:v>
      </x:c>
    </x:row>
    <x:row r="68">
      <x:c r="A68" s="1" t="str">
        <x:v>313189789</x:v>
      </x:c>
      <x:c r="B68" s="1" t="str">
        <x:v>longoverX2/сер-роз</x:v>
      </x:c>
      <x:c r="C68" s="1" t="str">
        <x:v>Лонгсливы</x:v>
      </x:c>
      <x:c r="D68" s="9" t="n">
        <x:v>8.7</x:v>
      </x:c>
      <x:c r="E68" s="8" t="n">
        <x:v>232899</x:v>
      </x:c>
      <x:c r="F68" s="8" t="n">
        <x:v>1970</x:v>
      </x:c>
      <x:c r="G68" s="8" t="n">
        <x:v>2352461</x:v>
      </x:c>
      <x:c r="H68" s="8" t="n">
        <x:v>460</x:v>
      </x:c>
      <x:c r="I68" s="8" t="n">
        <x:v>0</x:v>
      </x:c>
      <x:c r="J68" s="8" t="n">
        <x:v>1997</x:v>
      </x:c>
      <x:c r="K68" s="8" t="n">
        <x:v>2488</x:v>
      </x:c>
      <x:c r="L68" s="1" t="str">
        <x:v>Нет</x:v>
      </x:c>
      <x:c r="M68" s="1" t="n">
        <x:v>2281034</x:v>
      </x:c>
    </x:row>
    <x:row r="69">
      <x:c r="A69" s="1" t="str">
        <x:v>200739279</x:v>
      </x:c>
      <x:c r="B69" s="1" t="str">
        <x:v>tolstovkazip/серый</x:v>
      </x:c>
      <x:c r="C69" s="1" t="str">
        <x:v>Худи</x:v>
      </x:c>
      <x:c r="D69" s="9" t="n">
        <x:v>9.7</x:v>
      </x:c>
      <x:c r="E69" s="8" t="n">
        <x:v>157213</x:v>
      </x:c>
      <x:c r="F69" s="8" t="n">
        <x:v>1811</x:v>
      </x:c>
      <x:c r="G69" s="8" t="n">
        <x:v>2292258</x:v>
      </x:c>
      <x:c r="H69" s="8" t="n">
        <x:v>60</x:v>
      </x:c>
      <x:c r="I69" s="8" t="n">
        <x:v>0</x:v>
      </x:c>
      <x:c r="J69" s="8" t="n">
        <x:v>2179</x:v>
      </x:c>
      <x:c r="K69" s="8" t="n">
        <x:v>3578</x:v>
      </x:c>
      <x:c r="L69" s="1" t="str">
        <x:v>Нет</x:v>
      </x:c>
      <x:c r="M69" s="1" t="n">
        <x:v>2836034</x:v>
      </x:c>
    </x:row>
    <x:row r="70">
      <x:c r="A70" s="1" t="str">
        <x:v>165757795</x:v>
      </x:c>
      <x:c r="B70" s="1" t="str">
        <x:v>kulirkaman/голубой</x:v>
      </x:c>
      <x:c r="C70" s="1" t="str">
        <x:v>Футболки</x:v>
      </x:c>
      <x:c r="D70" s="9" t="n">
        <x:v>8.7</x:v>
      </x:c>
      <x:c r="E70" s="8" t="n">
        <x:v>93553</x:v>
      </x:c>
      <x:c r="F70" s="8" t="n">
        <x:v>4610</x:v>
      </x:c>
      <x:c r="G70" s="8" t="n">
        <x:v>2264763</x:v>
      </x:c>
      <x:c r="H70" s="8" t="n">
        <x:v>1653</x:v>
      </x:c>
      <x:c r="I70" s="8" t="n">
        <x:v>0</x:v>
      </x:c>
      <x:c r="J70" s="8" t="n">
        <x:v>2653</x:v>
      </x:c>
      <x:c r="K70" s="8" t="n">
        <x:v>1033</x:v>
      </x:c>
      <x:c r="L70" s="1" t="str">
        <x:v>Нет</x:v>
      </x:c>
      <x:c r="M70" s="1" t="n">
        <x:v>1610026</x:v>
      </x:c>
    </x:row>
    <x:row r="71">
      <x:c r="A71" s="1" t="str">
        <x:v>113252267</x:v>
      </x:c>
      <x:c r="B71" s="1" t="str">
        <x:v>kroptop/коричневый</x:v>
      </x:c>
      <x:c r="C71" s="1" t="str">
        <x:v>Футболки</x:v>
      </x:c>
      <x:c r="D71" s="9" t="n">
        <x:v>8.7</x:v>
      </x:c>
      <x:c r="E71" s="8" t="n">
        <x:v>165711</x:v>
      </x:c>
      <x:c r="F71" s="8" t="n">
        <x:v>5853</x:v>
      </x:c>
      <x:c r="G71" s="8" t="n">
        <x:v>2230943</x:v>
      </x:c>
      <x:c r="H71" s="8" t="n">
        <x:v>1096</x:v>
      </x:c>
      <x:c r="I71" s="8" t="n">
        <x:v>0</x:v>
      </x:c>
      <x:c r="J71" s="8" t="n">
        <x:v>1800</x:v>
      </x:c>
      <x:c r="K71" s="8" t="n">
        <x:v>735</x:v>
      </x:c>
      <x:c r="L71" s="1" t="str">
        <x:v>Нет</x:v>
      </x:c>
      <x:c r="M71" s="1" t="n">
        <x:v>788674</x:v>
      </x:c>
    </x:row>
    <x:row r="72">
      <x:c r="A72" s="1" t="str">
        <x:v>113298673</x:v>
      </x:c>
      <x:c r="B72" s="1" t="str">
        <x:v>kroptop/серовато-розовый</x:v>
      </x:c>
      <x:c r="C72" s="1" t="str">
        <x:v>Футболки</x:v>
      </x:c>
      <x:c r="D72" s="9" t="n">
        <x:v>8.7</x:v>
      </x:c>
      <x:c r="E72" s="8" t="n">
        <x:v>167832</x:v>
      </x:c>
      <x:c r="F72" s="8" t="n">
        <x:v>4959</x:v>
      </x:c>
      <x:c r="G72" s="8" t="n">
        <x:v>2207302</x:v>
      </x:c>
      <x:c r="H72" s="8" t="n">
        <x:v>1993</x:v>
      </x:c>
      <x:c r="I72" s="8" t="n">
        <x:v>0</x:v>
      </x:c>
      <x:c r="J72" s="8" t="n">
        <x:v>1851</x:v>
      </x:c>
      <x:c r="K72" s="8" t="n">
        <x:v>824</x:v>
      </x:c>
      <x:c r="L72" s="1" t="str">
        <x:v>Нет</x:v>
      </x:c>
      <x:c r="M72" s="1" t="n">
        <x:v>802151</x:v>
      </x:c>
    </x:row>
    <x:row r="73">
      <x:c r="A73" s="1" t="str">
        <x:v>221503639</x:v>
      </x:c>
      <x:c r="B73" s="1" t="str">
        <x:v>baza/розовый</x:v>
      </x:c>
      <x:c r="C73" s="1" t="str">
        <x:v>Футболки</x:v>
      </x:c>
      <x:c r="D73" s="9" t="n">
        <x:v>8.2</x:v>
      </x:c>
      <x:c r="E73" s="8" t="n">
        <x:v>175071</x:v>
      </x:c>
      <x:c r="F73" s="8" t="n">
        <x:v>4592</x:v>
      </x:c>
      <x:c r="G73" s="8" t="n">
        <x:v>2187240</x:v>
      </x:c>
      <x:c r="H73" s="8" t="n">
        <x:v>2620</x:v>
      </x:c>
      <x:c r="I73" s="8" t="n">
        <x:v>0</x:v>
      </x:c>
      <x:c r="J73" s="8" t="n">
        <x:v>4945</x:v>
      </x:c>
      <x:c r="K73" s="8" t="n">
        <x:v>802</x:v>
      </x:c>
      <x:c r="L73" s="1" t="str">
        <x:v>Нет</x:v>
      </x:c>
      <x:c r="M73" s="1" t="n">
        <x:v>2494509</x:v>
      </x:c>
    </x:row>
    <x:row r="74">
      <x:c r="A74" s="1" t="str">
        <x:v>200738148</x:v>
      </x:c>
      <x:c r="B74" s="1" t="str">
        <x:v>tolstovkazip/черный</x:v>
      </x:c>
      <x:c r="C74" s="1" t="str">
        <x:v>Худи</x:v>
      </x:c>
      <x:c r="D74" s="9" t="n">
        <x:v>9.7</x:v>
      </x:c>
      <x:c r="E74" s="8" t="n">
        <x:v>96134</x:v>
      </x:c>
      <x:c r="F74" s="8" t="n">
        <x:v>1239</x:v>
      </x:c>
      <x:c r="G74" s="8" t="n">
        <x:v>2129071</x:v>
      </x:c>
      <x:c r="H74" s="8" t="n">
        <x:v>74</x:v>
      </x:c>
      <x:c r="I74" s="8" t="n">
        <x:v>0</x:v>
      </x:c>
      <x:c r="J74" s="8" t="n">
        <x:v>1897</x:v>
      </x:c>
      <x:c r="K74" s="8" t="n">
        <x:v>4000</x:v>
      </x:c>
      <x:c r="L74" s="1" t="str">
        <x:v>Нет</x:v>
      </x:c>
      <x:c r="M74" s="1" t="n">
        <x:v>3447512</x:v>
      </x:c>
    </x:row>
    <x:row r="75">
      <x:c r="A75" s="1" t="str">
        <x:v>260797917</x:v>
      </x:c>
      <x:c r="B75" s="1" t="str">
        <x:v>hudicrop1/серыймеланж2</x:v>
      </x:c>
      <x:c r="C75" s="1" t="str">
        <x:v>Худи</x:v>
      </x:c>
      <x:c r="D75" s="9" t="n">
        <x:v>5.7</x:v>
      </x:c>
      <x:c r="E75" s="8" t="n">
        <x:v>93231</x:v>
      </x:c>
      <x:c r="F75" s="8" t="n">
        <x:v>1584</x:v>
      </x:c>
      <x:c r="G75" s="8" t="n">
        <x:v>2045156</x:v>
      </x:c>
      <x:c r="H75" s="8" t="n">
        <x:v>490</x:v>
      </x:c>
      <x:c r="I75" s="8" t="n">
        <x:v>0</x:v>
      </x:c>
      <x:c r="J75" s="8" t="n">
        <x:v>1525</x:v>
      </x:c>
      <x:c r="K75" s="8" t="n">
        <x:v>3237</x:v>
      </x:c>
      <x:c r="L75" s="1" t="str">
        <x:v>Нет</x:v>
      </x:c>
      <x:c r="M75" s="1" t="n">
        <x:v>1909704</x:v>
      </x:c>
    </x:row>
    <x:row r="76">
      <x:c r="A76" s="1" t="str">
        <x:v>217339654</x:v>
      </x:c>
      <x:c r="B76" s="1" t="str">
        <x:v>longover/голубой</x:v>
      </x:c>
      <x:c r="C76" s="1" t="str">
        <x:v>Лонгсливы</x:v>
      </x:c>
      <x:c r="D76" s="9" t="n">
        <x:v>8.7</x:v>
      </x:c>
      <x:c r="E76" s="8" t="n">
        <x:v>140972</x:v>
      </x:c>
      <x:c r="F76" s="8" t="n">
        <x:v>3479</x:v>
      </x:c>
      <x:c r="G76" s="8" t="n">
        <x:v>2043951</x:v>
      </x:c>
      <x:c r="H76" s="8" t="n">
        <x:v>1265</x:v>
      </x:c>
      <x:c r="I76" s="8" t="n">
        <x:v>0</x:v>
      </x:c>
      <x:c r="J76" s="8" t="n">
        <x:v>4122</x:v>
      </x:c>
      <x:c r="K76" s="8" t="n">
        <x:v>1249</x:v>
      </x:c>
      <x:c r="L76" s="1" t="str">
        <x:v>Нет</x:v>
      </x:c>
      <x:c r="M76" s="1" t="n">
        <x:v>2590819</x:v>
      </x:c>
    </x:row>
    <x:row r="77">
      <x:c r="A77" s="1" t="str">
        <x:v>165788830</x:v>
      </x:c>
      <x:c r="B77" s="1" t="str">
        <x:v>hudi/серый</x:v>
      </x:c>
      <x:c r="C77" s="1" t="str">
        <x:v>Худи</x:v>
      </x:c>
      <x:c r="D77" s="9" t="n">
        <x:v>9.7</x:v>
      </x:c>
      <x:c r="E77" s="8" t="n">
        <x:v>127290</x:v>
      </x:c>
      <x:c r="F77" s="8" t="n">
        <x:v>2159</x:v>
      </x:c>
      <x:c r="G77" s="8" t="n">
        <x:v>2026391</x:v>
      </x:c>
      <x:c r="H77" s="8" t="n">
        <x:v>335</x:v>
      </x:c>
      <x:c r="I77" s="8" t="n">
        <x:v>0</x:v>
      </x:c>
      <x:c r="J77" s="8" t="n">
        <x:v>3888</x:v>
      </x:c>
      <x:c r="K77" s="8" t="n">
        <x:v>2561</x:v>
      </x:c>
      <x:c r="L77" s="1" t="str">
        <x:v>Нет</x:v>
      </x:c>
      <x:c r="M77" s="1" t="n">
        <x:v>3519489</x:v>
      </x:c>
    </x:row>
    <x:row r="78">
      <x:c r="A78" s="1" t="str">
        <x:v>221503705</x:v>
      </x:c>
      <x:c r="B78" s="1" t="str">
        <x:v>baza/пыльнаяроза</x:v>
      </x:c>
      <x:c r="C78" s="1" t="str">
        <x:v>Футболки</x:v>
      </x:c>
      <x:c r="D78" s="9" t="n">
        <x:v>6.2</x:v>
      </x:c>
      <x:c r="E78" s="8" t="n">
        <x:v>146028</x:v>
      </x:c>
      <x:c r="F78" s="8" t="n">
        <x:v>3982</x:v>
      </x:c>
      <x:c r="G78" s="8" t="n">
        <x:v>2016463</x:v>
      </x:c>
      <x:c r="H78" s="8" t="n">
        <x:v>1146</x:v>
      </x:c>
      <x:c r="I78" s="8" t="n">
        <x:v>0</x:v>
      </x:c>
      <x:c r="J78" s="8" t="n">
        <x:v>3050</x:v>
      </x:c>
      <x:c r="K78" s="8" t="n">
        <x:v>929</x:v>
      </x:c>
      <x:c r="L78" s="1" t="str">
        <x:v>Нет</x:v>
      </x:c>
      <x:c r="M78" s="1" t="n">
        <x:v>1760177</x:v>
      </x:c>
    </x:row>
    <x:row r="79">
      <x:c r="A79" s="1" t="str">
        <x:v>115880541</x:v>
      </x:c>
      <x:c r="B79" s="1" t="str">
        <x:v>hudi/фуксия</x:v>
      </x:c>
      <x:c r="C79" s="1" t="str">
        <x:v>Худи</x:v>
      </x:c>
      <x:c r="D79" s="9" t="n">
        <x:v>9.7</x:v>
      </x:c>
      <x:c r="E79" s="8" t="n">
        <x:v>106603</x:v>
      </x:c>
      <x:c r="F79" s="8" t="n">
        <x:v>2131</x:v>
      </x:c>
      <x:c r="G79" s="8" t="n">
        <x:v>2007820</x:v>
      </x:c>
      <x:c r="H79" s="8" t="n">
        <x:v>367</x:v>
      </x:c>
      <x:c r="I79" s="8" t="n">
        <x:v>0</x:v>
      </x:c>
      <x:c r="J79" s="8" t="n">
        <x:v>2752</x:v>
      </x:c>
      <x:c r="K79" s="8" t="n">
        <x:v>2427</x:v>
      </x:c>
      <x:c r="L79" s="1" t="str">
        <x:v>Нет</x:v>
      </x:c>
      <x:c r="M79" s="1" t="n">
        <x:v>2786903</x:v>
      </x:c>
    </x:row>
    <x:row r="80">
      <x:c r="A80" s="1" t="str">
        <x:v>196159686</x:v>
      </x:c>
      <x:c r="B80" s="1" t="str">
        <x:v>futbolkaprint/MoreSelf-44/молочный</x:v>
      </x:c>
      <x:c r="C80" s="1" t="str">
        <x:v>Футболки</x:v>
      </x:c>
      <x:c r="D80" s="9" t="n">
        <x:v>8.7</x:v>
      </x:c>
      <x:c r="E80" s="8" t="n">
        <x:v>207325</x:v>
      </x:c>
      <x:c r="F80" s="8" t="n">
        <x:v>3298</x:v>
      </x:c>
      <x:c r="G80" s="8" t="n">
        <x:v>2000824</x:v>
      </x:c>
      <x:c r="H80" s="8" t="n">
        <x:v>149</x:v>
      </x:c>
      <x:c r="I80" s="8" t="n">
        <x:v>0</x:v>
      </x:c>
      <x:c r="J80" s="8" t="n">
        <x:v>5827</x:v>
      </x:c>
      <x:c r="K80" s="8" t="n">
        <x:v>1173</x:v>
      </x:c>
      <x:c r="L80" s="1" t="str">
        <x:v>Нет</x:v>
      </x:c>
      <x:c r="M80" s="1" t="n">
        <x:v>3763350</x:v>
      </x:c>
    </x:row>
    <x:row r="81">
      <x:c r="A81" s="1" t="str">
        <x:v>165757821</x:v>
      </x:c>
      <x:c r="B81" s="1" t="str">
        <x:v>kulirkaman/деним</x:v>
      </x:c>
      <x:c r="C81" s="1" t="str">
        <x:v>Футболки</x:v>
      </x:c>
      <x:c r="D81" s="9" t="n">
        <x:v>8.7</x:v>
      </x:c>
      <x:c r="E81" s="8" t="n">
        <x:v>79770</x:v>
      </x:c>
      <x:c r="F81" s="8" t="n">
        <x:v>3798</x:v>
      </x:c>
      <x:c r="G81" s="8" t="n">
        <x:v>1993651</x:v>
      </x:c>
      <x:c r="H81" s="8" t="n">
        <x:v>1767</x:v>
      </x:c>
      <x:c r="I81" s="8" t="n">
        <x:v>0</x:v>
      </x:c>
      <x:c r="J81" s="8" t="n">
        <x:v>2425</x:v>
      </x:c>
      <x:c r="K81" s="8" t="n">
        <x:v>1154</x:v>
      </x:c>
      <x:c r="L81" s="1" t="str">
        <x:v>Нет</x:v>
      </x:c>
      <x:c r="M81" s="1" t="n">
        <x:v>1601608</x:v>
      </x:c>
    </x:row>
    <x:row r="82">
      <x:c r="A82" s="1" t="str">
        <x:v>291159718</x:v>
      </x:c>
      <x:c r="B82" s="1" t="str">
        <x:v>longover/серовато-розовый</x:v>
      </x:c>
      <x:c r="C82" s="1" t="str">
        <x:v>Лонгсливы</x:v>
      </x:c>
      <x:c r="D82" s="9" t="n">
        <x:v>8.7</x:v>
      </x:c>
      <x:c r="E82" s="8" t="n">
        <x:v>190603</x:v>
      </x:c>
      <x:c r="F82" s="8" t="n">
        <x:v>4103</x:v>
      </x:c>
      <x:c r="G82" s="8" t="n">
        <x:v>1984848</x:v>
      </x:c>
      <x:c r="H82" s="8" t="n">
        <x:v>2263</x:v>
      </x:c>
      <x:c r="I82" s="8" t="n">
        <x:v>0</x:v>
      </x:c>
      <x:c r="J82" s="8" t="n">
        <x:v>3787</x:v>
      </x:c>
      <x:c r="K82" s="8" t="n">
        <x:v>1060</x:v>
      </x:c>
      <x:c r="L82" s="1" t="str">
        <x:v>Нет</x:v>
      </x:c>
      <x:c r="M82" s="1" t="n">
        <x:v>1869681</x:v>
      </x:c>
    </x:row>
    <x:row r="83">
      <x:c r="A83" s="1" t="str">
        <x:v>296720184</x:v>
      </x:c>
      <x:c r="B83" s="1" t="str">
        <x:v>brukizshp3P-S-1/коричневый</x:v>
      </x:c>
      <x:c r="C83" s="1" t="str">
        <x:v>Брюки</x:v>
      </x:c>
      <x:c r="D83" s="9" t="n">
        <x:v>8.4</x:v>
      </x:c>
      <x:c r="E83" s="8" t="n">
        <x:v>116739</x:v>
      </x:c>
      <x:c r="F83" s="8" t="n">
        <x:v>1749</x:v>
      </x:c>
      <x:c r="G83" s="8" t="n">
        <x:v>1966414</x:v>
      </x:c>
      <x:c r="H83" s="8" t="n">
        <x:v>86</x:v>
      </x:c>
      <x:c r="I83" s="8" t="n">
        <x:v>0</x:v>
      </x:c>
      <x:c r="J83" s="8" t="n">
        <x:v>1647</x:v>
      </x:c>
      <x:c r="K83" s="8" t="n">
        <x:v>3465</x:v>
      </x:c>
      <x:c r="L83" s="1" t="str">
        <x:v>Нет</x:v>
      </x:c>
      <x:c r="M83" s="1" t="n">
        <x:v>1752579</x:v>
      </x:c>
    </x:row>
    <x:row r="84">
      <x:c r="A84" s="1" t="str">
        <x:v>279877801</x:v>
      </x:c>
      <x:c r="B84" s="1" t="str">
        <x:v>brukizshp3P-S-1/серыймеланж2</x:v>
      </x:c>
      <x:c r="C84" s="1" t="str">
        <x:v>Брюки</x:v>
      </x:c>
      <x:c r="D84" s="9" t="n">
        <x:v>8.4</x:v>
      </x:c>
      <x:c r="E84" s="8" t="n">
        <x:v>112612</x:v>
      </x:c>
      <x:c r="F84" s="8" t="n">
        <x:v>2262</x:v>
      </x:c>
      <x:c r="G84" s="8" t="n">
        <x:v>1943940</x:v>
      </x:c>
      <x:c r="H84" s="8" t="n">
        <x:v>717</x:v>
      </x:c>
      <x:c r="I84" s="8" t="n">
        <x:v>0</x:v>
      </x:c>
      <x:c r="J84" s="8" t="n">
        <x:v>1198</x:v>
      </x:c>
      <x:c r="K84" s="8" t="n">
        <x:v>3273</x:v>
      </x:c>
      <x:c r="L84" s="1" t="str">
        <x:v>Нет</x:v>
      </x:c>
      <x:c r="M84" s="1" t="n">
        <x:v>1102096</x:v>
      </x:c>
    </x:row>
    <x:row r="85">
      <x:c r="A85" s="1" t="str">
        <x:v>172152341</x:v>
      </x:c>
      <x:c r="B85" s="1" t="str">
        <x:v>baza/дымка</x:v>
      </x:c>
      <x:c r="C85" s="1" t="str">
        <x:v>Футболки</x:v>
      </x:c>
      <x:c r="D85" s="9" t="n">
        <x:v>8.2</x:v>
      </x:c>
      <x:c r="E85" s="8" t="n">
        <x:v>154005</x:v>
      </x:c>
      <x:c r="F85" s="8" t="n">
        <x:v>4277</x:v>
      </x:c>
      <x:c r="G85" s="8" t="n">
        <x:v>1926681</x:v>
      </x:c>
      <x:c r="H85" s="8" t="n">
        <x:v>823</x:v>
      </x:c>
      <x:c r="I85" s="8" t="n">
        <x:v>0</x:v>
      </x:c>
      <x:c r="J85" s="8" t="n">
        <x:v>3250</x:v>
      </x:c>
      <x:c r="K85" s="8" t="n">
        <x:v>751</x:v>
      </x:c>
      <x:c r="L85" s="1" t="str">
        <x:v>Нет</x:v>
      </x:c>
      <x:c r="M85" s="1" t="n">
        <x:v>1668947</x:v>
      </x:c>
    </x:row>
    <x:row r="86">
      <x:c r="A86" s="1" t="str">
        <x:v>212947244</x:v>
      </x:c>
      <x:c r="B86" s="1" t="str">
        <x:v>futbolkaprint/RozMoreSelf-90/молочный</x:v>
      </x:c>
      <x:c r="C86" s="1" t="str">
        <x:v>Футболки</x:v>
      </x:c>
      <x:c r="D86" s="9" t="n">
        <x:v>8.7</x:v>
      </x:c>
      <x:c r="E86" s="8" t="n">
        <x:v>176577</x:v>
      </x:c>
      <x:c r="F86" s="8" t="n">
        <x:v>2960</x:v>
      </x:c>
      <x:c r="G86" s="8" t="n">
        <x:v>1922356</x:v>
      </x:c>
      <x:c r="H86" s="8" t="n">
        <x:v>21</x:v>
      </x:c>
      <x:c r="I86" s="8" t="n">
        <x:v>0</x:v>
      </x:c>
      <x:c r="J86" s="8" t="n">
        <x:v>1682</x:v>
      </x:c>
      <x:c r="K86" s="8" t="n">
        <x:v>1175</x:v>
      </x:c>
      <x:c r="L86" s="1" t="str">
        <x:v>Нет</x:v>
      </x:c>
      <x:c r="M86" s="1" t="n">
        <x:v>1148257</x:v>
      </x:c>
    </x:row>
    <x:row r="87">
      <x:c r="A87" s="1" t="str">
        <x:v>226527736</x:v>
      </x:c>
      <x:c r="B87" s="1" t="str">
        <x:v>futbolkaprint/TheMoment-141/розовый</x:v>
      </x:c>
      <x:c r="C87" s="1" t="str">
        <x:v>Футболки</x:v>
      </x:c>
      <x:c r="D87" s="9" t="n">
        <x:v>7.7</x:v>
      </x:c>
      <x:c r="E87" s="8" t="n">
        <x:v>204550</x:v>
      </x:c>
      <x:c r="F87" s="8" t="n">
        <x:v>3027</x:v>
      </x:c>
      <x:c r="G87" s="8" t="n">
        <x:v>1921263</x:v>
      </x:c>
      <x:c r="H87" s="8" t="n">
        <x:v>341</x:v>
      </x:c>
      <x:c r="I87" s="8" t="n">
        <x:v>0</x:v>
      </x:c>
      <x:c r="J87" s="8" t="n">
        <x:v>1660</x:v>
      </x:c>
      <x:c r="K87" s="8" t="n">
        <x:v>1361</x:v>
      </x:c>
      <x:c r="L87" s="1" t="str">
        <x:v>Нет</x:v>
      </x:c>
      <x:c r="M87" s="1" t="n">
        <x:v>1130453</x:v>
      </x:c>
    </x:row>
    <x:row r="88">
      <x:c r="A88" s="1" t="str">
        <x:v>172152348</x:v>
      </x:c>
      <x:c r="B88" s="1" t="str">
        <x:v>baza/голубой</x:v>
      </x:c>
      <x:c r="C88" s="1" t="str">
        <x:v>Футболки</x:v>
      </x:c>
      <x:c r="D88" s="9" t="n">
        <x:v>8.2</x:v>
      </x:c>
      <x:c r="E88" s="8" t="n">
        <x:v>119543</x:v>
      </x:c>
      <x:c r="F88" s="8" t="n">
        <x:v>3337</x:v>
      </x:c>
      <x:c r="G88" s="8" t="n">
        <x:v>1914981</x:v>
      </x:c>
      <x:c r="H88" s="8" t="n">
        <x:v>1482</x:v>
      </x:c>
      <x:c r="I88" s="8" t="n">
        <x:v>0</x:v>
      </x:c>
      <x:c r="J88" s="8" t="n">
        <x:v>2524</x:v>
      </x:c>
      <x:c r="K88" s="8" t="n">
        <x:v>866</x:v>
      </x:c>
      <x:c r="L88" s="1" t="str">
        <x:v>Нет</x:v>
      </x:c>
      <x:c r="M88" s="1" t="n">
        <x:v>1531579</x:v>
      </x:c>
    </x:row>
    <x:row r="89">
      <x:c r="A89" s="1" t="str">
        <x:v>234109067</x:v>
      </x:c>
      <x:c r="B89" s="1" t="str">
        <x:v>futbolkaprint/TheMovementClub-140/розовый</x:v>
      </x:c>
      <x:c r="C89" s="1" t="str">
        <x:v>Футболки</x:v>
      </x:c>
      <x:c r="D89" s="9" t="n">
        <x:v>9.7</x:v>
      </x:c>
      <x:c r="E89" s="8" t="n">
        <x:v>152298</x:v>
      </x:c>
      <x:c r="F89" s="8" t="n">
        <x:v>2740</x:v>
      </x:c>
      <x:c r="G89" s="8" t="n">
        <x:v>1910675</x:v>
      </x:c>
      <x:c r="H89" s="8" t="n">
        <x:v>1547</x:v>
      </x:c>
      <x:c r="I89" s="8" t="n">
        <x:v>0</x:v>
      </x:c>
      <x:c r="J89" s="8" t="n">
        <x:v>1318</x:v>
      </x:c>
      <x:c r="K89" s="8" t="n">
        <x:v>1508</x:v>
      </x:c>
      <x:c r="L89" s="1" t="str">
        <x:v>Нет</x:v>
      </x:c>
      <x:c r="M89" s="1" t="n">
        <x:v>810568</x:v>
      </x:c>
    </x:row>
    <x:row r="90">
      <x:c r="A90" s="1" t="str">
        <x:v>77786036</x:v>
      </x:c>
      <x:c r="B90" s="1" t="str">
        <x:v>futbolkaover/светлофиолетовый</x:v>
      </x:c>
      <x:c r="C90" s="1" t="str">
        <x:v>Футболки</x:v>
      </x:c>
      <x:c r="D90" s="9" t="n">
        <x:v>9.7</x:v>
      </x:c>
      <x:c r="E90" s="8" t="n">
        <x:v>137858</x:v>
      </x:c>
      <x:c r="F90" s="8" t="n">
        <x:v>3879</x:v>
      </x:c>
      <x:c r="G90" s="8" t="n">
        <x:v>1902888</x:v>
      </x:c>
      <x:c r="H90" s="8" t="n">
        <x:v>555</x:v>
      </x:c>
      <x:c r="I90" s="8" t="n">
        <x:v>0</x:v>
      </x:c>
      <x:c r="J90" s="8" t="n">
        <x:v>2292</x:v>
      </x:c>
      <x:c r="K90" s="8" t="n">
        <x:v>894</x:v>
      </x:c>
      <x:c r="L90" s="1" t="str">
        <x:v>Нет</x:v>
      </x:c>
      <x:c r="M90" s="1" t="n">
        <x:v>1325330</x:v>
      </x:c>
    </x:row>
    <x:row r="91">
      <x:c r="A91" s="1" t="str">
        <x:v>200739259</x:v>
      </x:c>
      <x:c r="B91" s="1" t="str">
        <x:v>tolstovkazip/розовый</x:v>
      </x:c>
      <x:c r="C91" s="1" t="str">
        <x:v>Худи</x:v>
      </x:c>
      <x:c r="D91" s="9" t="n">
        <x:v>9.7</x:v>
      </x:c>
      <x:c r="E91" s="8" t="n">
        <x:v>105563</x:v>
      </x:c>
      <x:c r="F91" s="8" t="n">
        <x:v>1271</x:v>
      </x:c>
      <x:c r="G91" s="8" t="n">
        <x:v>1886135</x:v>
      </x:c>
      <x:c r="H91" s="8" t="n">
        <x:v>4</x:v>
      </x:c>
      <x:c r="I91" s="8" t="n">
        <x:v>0</x:v>
      </x:c>
      <x:c r="J91" s="8" t="n">
        <x:v>1514</x:v>
      </x:c>
      <x:c r="K91" s="8" t="n">
        <x:v>3504</x:v>
      </x:c>
      <x:c r="L91" s="1" t="str">
        <x:v>Нет</x:v>
      </x:c>
      <x:c r="M91" s="1" t="n">
        <x:v>2218161</x:v>
      </x:c>
    </x:row>
    <x:row r="92">
      <x:c r="A92" s="1" t="str">
        <x:v>295771242</x:v>
      </x:c>
      <x:c r="B92" s="1" t="str">
        <x:v>kostyumfix3P-37-63/бордовый</x:v>
      </x:c>
      <x:c r="C92" s="1" t="str">
        <x:v>Костюмы спортивные</x:v>
      </x:c>
      <x:c r="D92" s="9" t="n">
        <x:v>6.7</x:v>
      </x:c>
      <x:c r="E92" s="8" t="n">
        <x:v>86315</x:v>
      </x:c>
      <x:c r="F92" s="8" t="n">
        <x:v>1258</x:v>
      </x:c>
      <x:c r="G92" s="8" t="n">
        <x:v>1829332</x:v>
      </x:c>
      <x:c r="H92" s="8" t="n">
        <x:v>75</x:v>
      </x:c>
      <x:c r="I92" s="8" t="n">
        <x:v>0</x:v>
      </x:c>
      <x:c r="J92" s="8" t="n">
        <x:v>1403</x:v>
      </x:c>
      <x:c r="K92" s="8" t="n">
        <x:v>5232</x:v>
      </x:c>
      <x:c r="L92" s="1" t="str">
        <x:v>Нет</x:v>
      </x:c>
      <x:c r="M92" s="1" t="n">
        <x:v>1866165</x:v>
      </x:c>
    </x:row>
    <x:row r="93">
      <x:c r="A93" s="1" t="str">
        <x:v>26436487</x:v>
      </x:c>
      <x:c r="B93" s="1" t="str">
        <x:v>hudiman/молочный</x:v>
      </x:c>
      <x:c r="C93" s="1" t="str">
        <x:v>Худи</x:v>
      </x:c>
      <x:c r="D93" s="9" t="n">
        <x:v>9.7</x:v>
      </x:c>
      <x:c r="E93" s="8" t="n">
        <x:v>45703</x:v>
      </x:c>
      <x:c r="F93" s="8" t="n">
        <x:v>1835</x:v>
      </x:c>
      <x:c r="G93" s="8" t="n">
        <x:v>1828153</x:v>
      </x:c>
      <x:c r="H93" s="8" t="n">
        <x:v>1178</x:v>
      </x:c>
      <x:c r="I93" s="8" t="n">
        <x:v>0</x:v>
      </x:c>
      <x:c r="J93" s="8" t="n">
        <x:v>2111</x:v>
      </x:c>
      <x:c r="K93" s="8" t="n">
        <x:v>2372</x:v>
      </x:c>
      <x:c r="L93" s="1" t="str">
        <x:v>Нет</x:v>
      </x:c>
      <x:c r="M93" s="1" t="n">
        <x:v>2355104</x:v>
      </x:c>
    </x:row>
    <x:row r="94">
      <x:c r="A94" s="1" t="str">
        <x:v>297440096</x:v>
      </x:c>
      <x:c r="B94" s="1" t="str">
        <x:v>longover/фуксия</x:v>
      </x:c>
      <x:c r="C94" s="1" t="str">
        <x:v>Лонгсливы</x:v>
      </x:c>
      <x:c r="D94" s="9" t="n">
        <x:v>8.7</x:v>
      </x:c>
      <x:c r="E94" s="8" t="n">
        <x:v>196515</x:v>
      </x:c>
      <x:c r="F94" s="8" t="n">
        <x:v>3793</x:v>
      </x:c>
      <x:c r="G94" s="8" t="n">
        <x:v>1816857</x:v>
      </x:c>
      <x:c r="H94" s="8" t="n">
        <x:v>1792</x:v>
      </x:c>
      <x:c r="I94" s="8" t="n">
        <x:v>0</x:v>
      </x:c>
      <x:c r="J94" s="8" t="n">
        <x:v>2974</x:v>
      </x:c>
      <x:c r="K94" s="8" t="n">
        <x:v>1129</x:v>
      </x:c>
      <x:c r="L94" s="1" t="str">
        <x:v>Нет</x:v>
      </x:c>
      <x:c r="M94" s="1" t="n">
        <x:v>1649370</x:v>
      </x:c>
    </x:row>
    <x:row r="95">
      <x:c r="A95" s="1" t="str">
        <x:v>32774177</x:v>
      </x:c>
      <x:c r="B95" s="1" t="str">
        <x:v>kroptop/кофейный</x:v>
      </x:c>
      <x:c r="C95" s="1" t="str">
        <x:v>Футболки</x:v>
      </x:c>
      <x:c r="D95" s="9" t="n">
        <x:v>8.7</x:v>
      </x:c>
      <x:c r="E95" s="8" t="n">
        <x:v>129745</x:v>
      </x:c>
      <x:c r="F95" s="8" t="n">
        <x:v>5017</x:v>
      </x:c>
      <x:c r="G95" s="8" t="n">
        <x:v>1797582</x:v>
      </x:c>
      <x:c r="H95" s="8" t="n">
        <x:v>1228</x:v>
      </x:c>
      <x:c r="I95" s="8" t="n">
        <x:v>0</x:v>
      </x:c>
      <x:c r="J95" s="8" t="n">
        <x:v>1955</x:v>
      </x:c>
      <x:c r="K95" s="8" t="n">
        <x:v>653</x:v>
      </x:c>
      <x:c r="L95" s="1" t="str">
        <x:v>Нет</x:v>
      </x:c>
      <x:c r="M95" s="1" t="n">
        <x:v>812609</x:v>
      </x:c>
    </x:row>
    <x:row r="96">
      <x:c r="A96" s="1" t="str">
        <x:v>165757820</x:v>
      </x:c>
      <x:c r="B96" s="1" t="str">
        <x:v>kulirkaman/сероваторозовый</x:v>
      </x:c>
      <x:c r="C96" s="1" t="str">
        <x:v>Футболки</x:v>
      </x:c>
      <x:c r="D96" s="9" t="n">
        <x:v>8.7</x:v>
      </x:c>
      <x:c r="E96" s="8" t="n">
        <x:v>112586</x:v>
      </x:c>
      <x:c r="F96" s="8" t="n">
        <x:v>3396</x:v>
      </x:c>
      <x:c r="G96" s="8" t="n">
        <x:v>1766898</x:v>
      </x:c>
      <x:c r="H96" s="8" t="n">
        <x:v>237</x:v>
      </x:c>
      <x:c r="I96" s="8" t="n">
        <x:v>0</x:v>
      </x:c>
      <x:c r="J96" s="8" t="n">
        <x:v>1248</x:v>
      </x:c>
      <x:c r="K96" s="8" t="n">
        <x:v>995</x:v>
      </x:c>
      <x:c r="L96" s="1" t="str">
        <x:v>Нет</x:v>
      </x:c>
      <x:c r="M96" s="1" t="n">
        <x:v>798026</x:v>
      </x:c>
    </x:row>
    <x:row r="97">
      <x:c r="A97" s="1" t="str">
        <x:v>237301004</x:v>
      </x:c>
      <x:c r="B97" s="1" t="str">
        <x:v>longoverprint/Vintage-110/молочный</x:v>
      </x:c>
      <x:c r="C97" s="1" t="str">
        <x:v>Лонгсливы</x:v>
      </x:c>
      <x:c r="D97" s="9" t="n">
        <x:v>9.7</x:v>
      </x:c>
      <x:c r="E97" s="8" t="n">
        <x:v>139870</x:v>
      </x:c>
      <x:c r="F97" s="8" t="n">
        <x:v>2210</x:v>
      </x:c>
      <x:c r="G97" s="8" t="n">
        <x:v>1727502</x:v>
      </x:c>
      <x:c r="H97" s="8" t="n">
        <x:v>547</x:v>
      </x:c>
      <x:c r="I97" s="8" t="n">
        <x:v>0</x:v>
      </x:c>
      <x:c r="J97" s="8" t="n">
        <x:v>2274</x:v>
      </x:c>
      <x:c r="K97" s="8" t="n">
        <x:v>1718</x:v>
      </x:c>
      <x:c r="L97" s="1" t="str">
        <x:v>Нет</x:v>
      </x:c>
      <x:c r="M97" s="1" t="n">
        <x:v>1816158</x:v>
      </x:c>
    </x:row>
    <x:row r="98">
      <x:c r="A98" s="1" t="str">
        <x:v>333242661</x:v>
      </x:c>
      <x:c r="B98" s="1" t="str">
        <x:v>futbolkamanoverX3/мол-как-кор</x:v>
      </x:c>
      <x:c r="C98" s="1" t="str">
        <x:v>Футболки</x:v>
      </x:c>
      <x:c r="D98" s="9" t="n">
        <x:v>8.4</x:v>
      </x:c>
      <x:c r="E98" s="8" t="n">
        <x:v>73964</x:v>
      </x:c>
      <x:c r="F98" s="8" t="n">
        <x:v>1425</x:v>
      </x:c>
      <x:c r="G98" s="8" t="n">
        <x:v>1724159</x:v>
      </x:c>
      <x:c r="H98" s="8" t="n">
        <x:v>5</x:v>
      </x:c>
      <x:c r="I98" s="8" t="n">
        <x:v>0</x:v>
      </x:c>
      <x:c r="J98" s="8" t="n">
        <x:v>18</x:v>
      </x:c>
      <x:c r="K98" s="8" t="n">
        <x:v>2698</x:v>
      </x:c>
      <x:c r="L98" s="1" t="str">
        <x:v>Нет</x:v>
      </x:c>
      <x:c r="M98" s="1" t="n">
        <x:v>28000</x:v>
      </x:c>
    </x:row>
    <x:row r="99">
      <x:c r="A99" s="1" t="str">
        <x:v>211336688</x:v>
      </x:c>
      <x:c r="B99" s="1" t="str">
        <x:v>tolstovkazipcrop/серыймеланж2</x:v>
      </x:c>
      <x:c r="C99" s="1" t="str">
        <x:v>Худи</x:v>
      </x:c>
      <x:c r="D99" s="9" t="n">
        <x:v>7.7</x:v>
      </x:c>
      <x:c r="E99" s="8" t="n">
        <x:v>92813</x:v>
      </x:c>
      <x:c r="F99" s="8" t="n">
        <x:v>1212</x:v>
      </x:c>
      <x:c r="G99" s="8" t="n">
        <x:v>1718060</x:v>
      </x:c>
      <x:c r="H99" s="8" t="n">
        <x:v>5</x:v>
      </x:c>
      <x:c r="I99" s="8" t="n">
        <x:v>0</x:v>
      </x:c>
      <x:c r="J99" s="8" t="n">
        <x:v>202</x:v>
      </x:c>
      <x:c r="K99" s="8" t="n">
        <x:v>3045</x:v>
      </x:c>
      <x:c r="L99" s="1" t="str">
        <x:v>Нет</x:v>
      </x:c>
      <x:c r="M99" s="1" t="n">
        <x:v>256503</x:v>
      </x:c>
    </x:row>
    <x:row r="100">
      <x:c r="A100" s="1" t="str">
        <x:v>262651916</x:v>
      </x:c>
      <x:c r="B100" s="1" t="str">
        <x:v>palazzoshnurok/серыймеланж2</x:v>
      </x:c>
      <x:c r="C100" s="1" t="str">
        <x:v>Брюки</x:v>
      </x:c>
      <x:c r="D100" s="9" t="n">
        <x:v>6.7</x:v>
      </x:c>
      <x:c r="E100" s="8" t="n">
        <x:v>142909</x:v>
      </x:c>
      <x:c r="F100" s="8" t="n">
        <x:v>2619</x:v>
      </x:c>
      <x:c r="G100" s="8" t="n">
        <x:v>1712448</x:v>
      </x:c>
      <x:c r="H100" s="8" t="n">
        <x:v>628</x:v>
      </x:c>
      <x:c r="I100" s="8" t="n">
        <x:v>0</x:v>
      </x:c>
      <x:c r="J100" s="8" t="n">
        <x:v>2802</x:v>
      </x:c>
      <x:c r="K100" s="8" t="n">
        <x:v>3422</x:v>
      </x:c>
      <x:c r="L100" s="1" t="str">
        <x:v>Нет</x:v>
      </x:c>
      <x:c r="M100" s="1" t="n">
        <x:v>2092680</x:v>
      </x:c>
    </x:row>
    <x:row r="101">
      <x:c r="A101" s="1" t="str">
        <x:v>297440097</x:v>
      </x:c>
      <x:c r="B101" s="1" t="str">
        <x:v>longover/пыльнаяроза</x:v>
      </x:c>
      <x:c r="C101" s="1" t="str">
        <x:v>Лонгсливы</x:v>
      </x:c>
      <x:c r="D101" s="9" t="n">
        <x:v>8.7</x:v>
      </x:c>
      <x:c r="E101" s="8" t="n">
        <x:v>188270</x:v>
      </x:c>
      <x:c r="F101" s="8" t="n">
        <x:v>3513</x:v>
      </x:c>
      <x:c r="G101" s="8" t="n">
        <x:v>1708807</x:v>
      </x:c>
      <x:c r="H101" s="8" t="n">
        <x:v>468</x:v>
      </x:c>
      <x:c r="I101" s="8" t="n">
        <x:v>0</x:v>
      </x:c>
      <x:c r="J101" s="8" t="n">
        <x:v>2085</x:v>
      </x:c>
      <x:c r="K101" s="8" t="n">
        <x:v>1292</x:v>
      </x:c>
      <x:c r="L101" s="1" t="str">
        <x:v>Нет</x:v>
      </x:c>
      <x:c r="M101" s="1" t="n">
        <x:v>1078789</x:v>
      </x:c>
    </x:row>
    <x:row r="102">
      <x:c r="A102" s="1" t="str">
        <x:v>213843195</x:v>
      </x:c>
      <x:c r="B102" s="1" t="str">
        <x:v>baza/коричневый</x:v>
      </x:c>
      <x:c r="C102" s="1" t="str">
        <x:v>Футболки</x:v>
      </x:c>
      <x:c r="D102" s="9" t="n">
        <x:v>8.2</x:v>
      </x:c>
      <x:c r="E102" s="8" t="n">
        <x:v>125030</x:v>
      </x:c>
      <x:c r="F102" s="8" t="n">
        <x:v>3581</x:v>
      </x:c>
      <x:c r="G102" s="8" t="n">
        <x:v>1691583</x:v>
      </x:c>
      <x:c r="H102" s="8" t="n">
        <x:v>1828</x:v>
      </x:c>
      <x:c r="I102" s="8" t="n">
        <x:v>0</x:v>
      </x:c>
      <x:c r="J102" s="8" t="n">
        <x:v>1926</x:v>
      </x:c>
      <x:c r="K102" s="8" t="n">
        <x:v>767</x:v>
      </x:c>
      <x:c r="L102" s="1" t="str">
        <x:v>Нет</x:v>
      </x:c>
      <x:c r="M102" s="1" t="n">
        <x:v>1100253</x:v>
      </x:c>
    </x:row>
    <x:row r="103">
      <x:c r="A103" s="1" t="str">
        <x:v>117963634</x:v>
      </x:c>
      <x:c r="B103" s="1" t="str">
        <x:v>hudiman/темно-синий</x:v>
      </x:c>
      <x:c r="C103" s="1" t="str">
        <x:v>Худи</x:v>
      </x:c>
      <x:c r="D103" s="9" t="n">
        <x:v>9.7</x:v>
      </x:c>
      <x:c r="E103" s="8" t="n">
        <x:v>62597</x:v>
      </x:c>
      <x:c r="F103" s="8" t="n">
        <x:v>1649</x:v>
      </x:c>
      <x:c r="G103" s="8" t="n">
        <x:v>1684758</x:v>
      </x:c>
      <x:c r="H103" s="8" t="n">
        <x:v>650</x:v>
      </x:c>
      <x:c r="I103" s="8" t="n">
        <x:v>0</x:v>
      </x:c>
      <x:c r="J103" s="8" t="n">
        <x:v>1549</x:v>
      </x:c>
      <x:c r="K103" s="8" t="n">
        <x:v>2376</x:v>
      </x:c>
      <x:c r="L103" s="1" t="str">
        <x:v>Нет</x:v>
      </x:c>
      <x:c r="M103" s="1" t="n">
        <x:v>1640422</x:v>
      </x:c>
    </x:row>
    <x:row r="104">
      <x:c r="A104" s="1" t="str">
        <x:v>172152342</x:v>
      </x:c>
      <x:c r="B104" s="1" t="str">
        <x:v>baza/молочный</x:v>
      </x:c>
      <x:c r="C104" s="1" t="str">
        <x:v>Футболки</x:v>
      </x:c>
      <x:c r="D104" s="9" t="n">
        <x:v>6.2</x:v>
      </x:c>
      <x:c r="E104" s="8" t="n">
        <x:v>94070</x:v>
      </x:c>
      <x:c r="F104" s="8" t="n">
        <x:v>3440</x:v>
      </x:c>
      <x:c r="G104" s="8" t="n">
        <x:v>1680556</x:v>
      </x:c>
      <x:c r="H104" s="8" t="n">
        <x:v>2892</x:v>
      </x:c>
      <x:c r="I104" s="8" t="n">
        <x:v>0</x:v>
      </x:c>
      <x:c r="J104" s="8" t="n">
        <x:v>3102</x:v>
      </x:c>
      <x:c r="K104" s="8" t="n">
        <x:v>875</x:v>
      </x:c>
      <x:c r="L104" s="1" t="str">
        <x:v>Нет</x:v>
      </x:c>
      <x:c r="M104" s="1" t="n">
        <x:v>1538809</x:v>
      </x:c>
    </x:row>
    <x:row r="105">
      <x:c r="A105" s="1" t="str">
        <x:v>287827241</x:v>
      </x:c>
      <x:c r="B105" s="1" t="str">
        <x:v>hudicropprint/FYoung-238/серыймеланж2</x:v>
      </x:c>
      <x:c r="C105" s="1" t="str">
        <x:v>Худи</x:v>
      </x:c>
      <x:c r="D105" s="9" t="n">
        <x:v>9.7</x:v>
      </x:c>
      <x:c r="E105" s="8" t="n">
        <x:v>70433</x:v>
      </x:c>
      <x:c r="F105" s="8" t="n">
        <x:v>1119</x:v>
      </x:c>
      <x:c r="G105" s="8" t="n">
        <x:v>1661907</x:v>
      </x:c>
      <x:c r="H105" s="8" t="n">
        <x:v>2</x:v>
      </x:c>
      <x:c r="I105" s="8" t="n">
        <x:v>0</x:v>
      </x:c>
      <x:c r="J105" s="8" t="n">
        <x:v>1313</x:v>
      </x:c>
      <x:c r="K105" s="8" t="n">
        <x:v>3286</x:v>
      </x:c>
      <x:c r="L105" s="1" t="str">
        <x:v>Нет</x:v>
      </x:c>
      <x:c r="M105" s="1" t="n">
        <x:v>2210907</x:v>
      </x:c>
    </x:row>
    <x:row r="106">
      <x:c r="A106" s="1" t="str">
        <x:v>320870102</x:v>
      </x:c>
      <x:c r="B106" s="1" t="str">
        <x:v>kostyumfix3P-37-63/коричневый</x:v>
      </x:c>
      <x:c r="C106" s="1" t="str">
        <x:v>Костюмы спортивные</x:v>
      </x:c>
      <x:c r="D106" s="9" t="n">
        <x:v>6.7</x:v>
      </x:c>
      <x:c r="E106" s="8" t="n">
        <x:v>84985</x:v>
      </x:c>
      <x:c r="F106" s="8" t="n">
        <x:v>1018</x:v>
      </x:c>
      <x:c r="G106" s="8" t="n">
        <x:v>1661286</x:v>
      </x:c>
      <x:c r="H106" s="8" t="n">
        <x:v>27</x:v>
      </x:c>
      <x:c r="I106" s="8" t="n">
        <x:v>0</x:v>
      </x:c>
      <x:c r="J106" s="8" t="n">
        <x:v>0</x:v>
      </x:c>
      <x:c r="K106" s="8" t="n">
        <x:v>5683</x:v>
      </x:c>
      <x:c r="L106" s="1" t="str">
        <x:v>Нет</x:v>
      </x:c>
      <x:c r="M106" s="1" t="n">
        <x:v>0</x:v>
      </x:c>
    </x:row>
    <x:row r="107">
      <x:c r="A107" s="1" t="str">
        <x:v>87046129</x:v>
      </x:c>
      <x:c r="B107" s="1" t="str">
        <x:v>kroptop/фуксия</x:v>
      </x:c>
      <x:c r="C107" s="1" t="str">
        <x:v>Футболки</x:v>
      </x:c>
      <x:c r="D107" s="9" t="n">
        <x:v>8.7</x:v>
      </x:c>
      <x:c r="E107" s="8" t="n">
        <x:v>110336</x:v>
      </x:c>
      <x:c r="F107" s="8" t="n">
        <x:v>3892</x:v>
      </x:c>
      <x:c r="G107" s="8" t="n">
        <x:v>1640164</x:v>
      </x:c>
      <x:c r="H107" s="8" t="n">
        <x:v>835</x:v>
      </x:c>
      <x:c r="I107" s="8" t="n">
        <x:v>0</x:v>
      </x:c>
      <x:c r="J107" s="8" t="n">
        <x:v>2214</x:v>
      </x:c>
      <x:c r="K107" s="8" t="n">
        <x:v>813</x:v>
      </x:c>
      <x:c r="L107" s="1" t="str">
        <x:v>Нет</x:v>
      </x:c>
      <x:c r="M107" s="1" t="n">
        <x:v>989765</x:v>
      </x:c>
    </x:row>
    <x:row r="108">
      <x:c r="A108" s="1" t="str">
        <x:v>333237672</x:v>
      </x:c>
      <x:c r="B108" s="1" t="str">
        <x:v>futbolkamanoverX3/чер-бел-бордо</x:v>
      </x:c>
      <x:c r="C108" s="1" t="str">
        <x:v>Футболки</x:v>
      </x:c>
      <x:c r="D108" s="9" t="n">
        <x:v>8.4</x:v>
      </x:c>
      <x:c r="E108" s="8" t="n">
        <x:v>93100</x:v>
      </x:c>
      <x:c r="F108" s="8" t="n">
        <x:v>1314</x:v>
      </x:c>
      <x:c r="G108" s="8" t="n">
        <x:v>1635388</x:v>
      </x:c>
      <x:c r="H108" s="8" t="n">
        <x:v>66</x:v>
      </x:c>
      <x:c r="I108" s="8" t="n">
        <x:v>0</x:v>
      </x:c>
      <x:c r="J108" s="8" t="n">
        <x:v>15</x:v>
      </x:c>
      <x:c r="K108" s="8" t="n">
        <x:v>2648</x:v>
      </x:c>
      <x:c r="L108" s="1" t="str">
        <x:v>Нет</x:v>
      </x:c>
      <x:c r="M108" s="1" t="n">
        <x:v>17800</x:v>
      </x:c>
    </x:row>
    <x:row r="109">
      <x:c r="A109" s="1" t="str">
        <x:v>291157821</x:v>
      </x:c>
      <x:c r="B109" s="1" t="str">
        <x:v>longover/кофейный</x:v>
      </x:c>
      <x:c r="C109" s="1" t="str">
        <x:v>Лонгсливы</x:v>
      </x:c>
      <x:c r="D109" s="9" t="n">
        <x:v>9.7</x:v>
      </x:c>
      <x:c r="E109" s="8" t="n">
        <x:v>154340</x:v>
      </x:c>
      <x:c r="F109" s="8" t="n">
        <x:v>3397</x:v>
      </x:c>
      <x:c r="G109" s="8" t="n">
        <x:v>1634209</x:v>
      </x:c>
      <x:c r="H109" s="8" t="n">
        <x:v>1591</x:v>
      </x:c>
      <x:c r="I109" s="8" t="n">
        <x:v>0</x:v>
      </x:c>
      <x:c r="J109" s="8" t="n">
        <x:v>2555</x:v>
      </x:c>
      <x:c r="K109" s="8" t="n">
        <x:v>1173</x:v>
      </x:c>
      <x:c r="L109" s="1" t="str">
        <x:v>Нет</x:v>
      </x:c>
      <x:c r="M109" s="1" t="n">
        <x:v>1302693</x:v>
      </x:c>
    </x:row>
    <x:row r="110">
      <x:c r="A110" s="1" t="str">
        <x:v>18376695</x:v>
      </x:c>
      <x:c r="B110" s="1" t="str">
        <x:v>hudi/бежевый</x:v>
      </x:c>
      <x:c r="C110" s="1" t="str">
        <x:v>Худи</x:v>
      </x:c>
      <x:c r="D110" s="9" t="n">
        <x:v>9.7</x:v>
      </x:c>
      <x:c r="E110" s="8" t="n">
        <x:v>128397</x:v>
      </x:c>
      <x:c r="F110" s="8" t="n">
        <x:v>1942</x:v>
      </x:c>
      <x:c r="G110" s="8" t="n">
        <x:v>1632220</x:v>
      </x:c>
      <x:c r="H110" s="8" t="n">
        <x:v>462</x:v>
      </x:c>
      <x:c r="I110" s="8" t="n">
        <x:v>0</x:v>
      </x:c>
      <x:c r="J110" s="8" t="n">
        <x:v>2963</x:v>
      </x:c>
      <x:c r="K110" s="8" t="n">
        <x:v>2292</x:v>
      </x:c>
      <x:c r="L110" s="1" t="str">
        <x:v>Нет</x:v>
      </x:c>
      <x:c r="M110" s="1" t="n">
        <x:v>2727157</x:v>
      </x:c>
    </x:row>
    <x:row r="111">
      <x:c r="A111" s="1" t="str">
        <x:v>260797919</x:v>
      </x:c>
      <x:c r="B111" s="1" t="str">
        <x:v>hudicrop1/черный</x:v>
      </x:c>
      <x:c r="C111" s="1" t="str">
        <x:v>Худи</x:v>
      </x:c>
      <x:c r="D111" s="9" t="n">
        <x:v>8.7</x:v>
      </x:c>
      <x:c r="E111" s="8" t="n">
        <x:v>54687</x:v>
      </x:c>
      <x:c r="F111" s="8" t="n">
        <x:v>1375</x:v>
      </x:c>
      <x:c r="G111" s="8" t="n">
        <x:v>1630009</x:v>
      </x:c>
      <x:c r="H111" s="8" t="n">
        <x:v>22</x:v>
      </x:c>
      <x:c r="I111" s="8" t="n">
        <x:v>0</x:v>
      </x:c>
      <x:c r="J111" s="8" t="n">
        <x:v>1900</x:v>
      </x:c>
      <x:c r="K111" s="8" t="n">
        <x:v>2806</x:v>
      </x:c>
      <x:c r="L111" s="1" t="str">
        <x:v>Нет</x:v>
      </x:c>
      <x:c r="M111" s="1" t="n">
        <x:v>2438663</x:v>
      </x:c>
    </x:row>
    <x:row r="112">
      <x:c r="A112" s="1" t="str">
        <x:v>211311605</x:v>
      </x:c>
      <x:c r="B112" s="1" t="str">
        <x:v>tolstovkazipman/черный</x:v>
      </x:c>
      <x:c r="C112" s="1" t="str">
        <x:v>Худи</x:v>
      </x:c>
      <x:c r="D112" s="9" t="n">
        <x:v>7</x:v>
      </x:c>
      <x:c r="E112" s="8" t="n">
        <x:v>50015</x:v>
      </x:c>
      <x:c r="F112" s="8" t="n">
        <x:v>1007</x:v>
      </x:c>
      <x:c r="G112" s="8" t="n">
        <x:v>1618873</x:v>
      </x:c>
      <x:c r="H112" s="8" t="n">
        <x:v>6</x:v>
      </x:c>
      <x:c r="I112" s="8" t="n">
        <x:v>0</x:v>
      </x:c>
      <x:c r="J112" s="8" t="n">
        <x:v>934</x:v>
      </x:c>
      <x:c r="K112" s="8" t="n">
        <x:v>3787</x:v>
      </x:c>
      <x:c r="L112" s="1" t="str">
        <x:v>Нет</x:v>
      </x:c>
      <x:c r="M112" s="1" t="n">
        <x:v>1594420</x:v>
      </x:c>
    </x:row>
    <x:row r="113">
      <x:c r="A113" s="1" t="str">
        <x:v>221519622</x:v>
      </x:c>
      <x:c r="B113" s="1" t="str">
        <x:v>futbolkaprint/BelMoreSelf-114/розовый</x:v>
      </x:c>
      <x:c r="C113" s="1" t="str">
        <x:v>Футболки</x:v>
      </x:c>
      <x:c r="D113" s="9" t="n">
        <x:v>6.7</x:v>
      </x:c>
      <x:c r="E113" s="8" t="n">
        <x:v>130738</x:v>
      </x:c>
      <x:c r="F113" s="8" t="n">
        <x:v>2507</x:v>
      </x:c>
      <x:c r="G113" s="8" t="n">
        <x:v>1613727</x:v>
      </x:c>
      <x:c r="H113" s="8" t="n">
        <x:v>105</x:v>
      </x:c>
      <x:c r="I113" s="8" t="n">
        <x:v>0</x:v>
      </x:c>
      <x:c r="J113" s="8" t="n">
        <x:v>3217</x:v>
      </x:c>
      <x:c r="K113" s="8" t="n">
        <x:v>1137</x:v>
      </x:c>
      <x:c r="L113" s="1" t="str">
        <x:v>Нет</x:v>
      </x:c>
      <x:c r="M113" s="1" t="n">
        <x:v>2110381</x:v>
      </x:c>
    </x:row>
    <x:row r="114">
      <x:c r="A114" s="1" t="str">
        <x:v>268453053</x:v>
      </x:c>
      <x:c r="B114" s="1" t="str">
        <x:v>hudi/персиковый</x:v>
      </x:c>
      <x:c r="C114" s="1" t="str">
        <x:v>Худи</x:v>
      </x:c>
      <x:c r="D114" s="9" t="n">
        <x:v>9.7</x:v>
      </x:c>
      <x:c r="E114" s="8" t="n">
        <x:v>68929</x:v>
      </x:c>
      <x:c r="F114" s="8" t="n">
        <x:v>1607</x:v>
      </x:c>
      <x:c r="G114" s="8" t="n">
        <x:v>1570237</x:v>
      </x:c>
      <x:c r="H114" s="8" t="n">
        <x:v>2920</x:v>
      </x:c>
      <x:c r="I114" s="8" t="n">
        <x:v>0</x:v>
      </x:c>
      <x:c r="J114" s="8" t="n">
        <x:v>758</x:v>
      </x:c>
      <x:c r="K114" s="8" t="n">
        <x:v>2220</x:v>
      </x:c>
      <x:c r="L114" s="1" t="str">
        <x:v>Нет</x:v>
      </x:c>
      <x:c r="M114" s="1" t="n">
        <x:v>808759</x:v>
      </x:c>
    </x:row>
    <x:row r="115">
      <x:c r="A115" s="1" t="str">
        <x:v>295771243</x:v>
      </x:c>
      <x:c r="B115" s="1" t="str">
        <x:v>kostyumfix3P-37-63/черный</x:v>
      </x:c>
      <x:c r="C115" s="1" t="str">
        <x:v>Костюмы спортивные</x:v>
      </x:c>
      <x:c r="D115" s="9" t="n">
        <x:v>8.7</x:v>
      </x:c>
      <x:c r="E115" s="8" t="n">
        <x:v>102746</x:v>
      </x:c>
      <x:c r="F115" s="8" t="n">
        <x:v>1254</x:v>
      </x:c>
      <x:c r="G115" s="8" t="n">
        <x:v>1566862</x:v>
      </x:c>
      <x:c r="H115" s="8" t="n">
        <x:v>95</x:v>
      </x:c>
      <x:c r="I115" s="8" t="n">
        <x:v>0</x:v>
      </x:c>
      <x:c r="J115" s="8" t="n">
        <x:v>669</x:v>
      </x:c>
      <x:c r="K115" s="8" t="n">
        <x:v>5527</x:v>
      </x:c>
      <x:c r="L115" s="1" t="str">
        <x:v>Нет</x:v>
      </x:c>
      <x:c r="M115" s="1" t="n">
        <x:v>823354</x:v>
      </x:c>
    </x:row>
    <x:row r="116">
      <x:c r="A116" s="1" t="str">
        <x:v>15445455</x:v>
      </x:c>
      <x:c r="B116" s="1" t="str">
        <x:v>hudi/светло-фиолетовый</x:v>
      </x:c>
      <x:c r="C116" s="1" t="str">
        <x:v>Худи</x:v>
      </x:c>
      <x:c r="D116" s="9" t="n">
        <x:v>9.7</x:v>
      </x:c>
      <x:c r="E116" s="8" t="n">
        <x:v>86516</x:v>
      </x:c>
      <x:c r="F116" s="8" t="n">
        <x:v>1542</x:v>
      </x:c>
      <x:c r="G116" s="8" t="n">
        <x:v>1559798</x:v>
      </x:c>
      <x:c r="H116" s="8" t="n">
        <x:v>180</x:v>
      </x:c>
      <x:c r="I116" s="8" t="n">
        <x:v>0</x:v>
      </x:c>
      <x:c r="J116" s="8" t="n">
        <x:v>2993</x:v>
      </x:c>
      <x:c r="K116" s="8" t="n">
        <x:v>2367</x:v>
      </x:c>
      <x:c r="L116" s="1" t="str">
        <x:v>Нет</x:v>
      </x:c>
      <x:c r="M116" s="1" t="n">
        <x:v>3171605</x:v>
      </x:c>
    </x:row>
    <x:row r="117">
      <x:c r="A117" s="1" t="str">
        <x:v>255463320</x:v>
      </x:c>
      <x:c r="B117" s="1" t="str">
        <x:v>tolstovkazip/светло-розовый</x:v>
      </x:c>
      <x:c r="C117" s="1" t="str">
        <x:v>Худи</x:v>
      </x:c>
      <x:c r="D117" s="9" t="n">
        <x:v>9.7</x:v>
      </x:c>
      <x:c r="E117" s="8" t="n">
        <x:v>81754</x:v>
      </x:c>
      <x:c r="F117" s="8" t="n">
        <x:v>1116</x:v>
      </x:c>
      <x:c r="G117" s="8" t="n">
        <x:v>1551617</x:v>
      </x:c>
      <x:c r="H117" s="8" t="n">
        <x:v>3</x:v>
      </x:c>
      <x:c r="I117" s="8" t="n">
        <x:v>0</x:v>
      </x:c>
      <x:c r="J117" s="8" t="n">
        <x:v>841</x:v>
      </x:c>
      <x:c r="K117" s="8" t="n">
        <x:v>3679</x:v>
      </x:c>
      <x:c r="L117" s="1" t="str">
        <x:v>Нет</x:v>
      </x:c>
      <x:c r="M117" s="1" t="n">
        <x:v>1438352</x:v>
      </x:c>
    </x:row>
    <x:row r="118">
      <x:c r="A118" s="1" t="str">
        <x:v>279878340</x:v>
      </x:c>
      <x:c r="B118" s="1" t="str">
        <x:v>brukizshp3P-S-1/молочный</x:v>
      </x:c>
      <x:c r="C118" s="1" t="str">
        <x:v>Брюки</x:v>
      </x:c>
      <x:c r="D118" s="9" t="n">
        <x:v>8.4</x:v>
      </x:c>
      <x:c r="E118" s="8" t="n">
        <x:v>123963</x:v>
      </x:c>
      <x:c r="F118" s="8" t="n">
        <x:v>1878</x:v>
      </x:c>
      <x:c r="G118" s="8" t="n">
        <x:v>1549894</x:v>
      </x:c>
      <x:c r="H118" s="8" t="n">
        <x:v>179</x:v>
      </x:c>
      <x:c r="I118" s="8" t="n">
        <x:v>0</x:v>
      </x:c>
      <x:c r="J118" s="8" t="n">
        <x:v>298</x:v>
      </x:c>
      <x:c r="K118" s="8" t="n">
        <x:v>3057</x:v>
      </x:c>
      <x:c r="L118" s="1" t="str">
        <x:v>Нет</x:v>
      </x:c>
      <x:c r="M118" s="1" t="n">
        <x:v>240802</x:v>
      </x:c>
    </x:row>
    <x:row r="119">
      <x:c r="A119" s="1" t="str">
        <x:v>206363355</x:v>
      </x:c>
      <x:c r="B119" s="1" t="str">
        <x:v>tolstovkazip/песочный</x:v>
      </x:c>
      <x:c r="C119" s="1" t="str">
        <x:v>Худи</x:v>
      </x:c>
      <x:c r="D119" s="9" t="n">
        <x:v>9.7</x:v>
      </x:c>
      <x:c r="E119" s="8" t="n">
        <x:v>105319</x:v>
      </x:c>
      <x:c r="F119" s="8" t="n">
        <x:v>1281</x:v>
      </x:c>
      <x:c r="G119" s="8" t="n">
        <x:v>1529548</x:v>
      </x:c>
      <x:c r="H119" s="8" t="n">
        <x:v>29</x:v>
      </x:c>
      <x:c r="I119" s="8" t="n">
        <x:v>0</x:v>
      </x:c>
      <x:c r="J119" s="8" t="n">
        <x:v>928</x:v>
      </x:c>
      <x:c r="K119" s="8" t="n">
        <x:v>3336</x:v>
      </x:c>
      <x:c r="L119" s="1" t="str">
        <x:v>Нет</x:v>
      </x:c>
      <x:c r="M119" s="1" t="n">
        <x:v>1208508</x:v>
      </x:c>
    </x:row>
    <x:row r="120">
      <x:c r="A120" s="1" t="str">
        <x:v>17381008</x:v>
      </x:c>
      <x:c r="B120" s="1" t="str">
        <x:v>hudi/розовый</x:v>
      </x:c>
      <x:c r="C120" s="1" t="str">
        <x:v>Худи</x:v>
      </x:c>
      <x:c r="D120" s="9" t="n">
        <x:v>9.7</x:v>
      </x:c>
      <x:c r="E120" s="8" t="n">
        <x:v>101760</x:v>
      </x:c>
      <x:c r="F120" s="8" t="n">
        <x:v>1401</x:v>
      </x:c>
      <x:c r="G120" s="8" t="n">
        <x:v>1521061</x:v>
      </x:c>
      <x:c r="H120" s="8" t="n">
        <x:v>328</x:v>
      </x:c>
      <x:c r="I120" s="8" t="n">
        <x:v>0</x:v>
      </x:c>
      <x:c r="J120" s="8" t="n">
        <x:v>3663</x:v>
      </x:c>
      <x:c r="K120" s="8" t="n">
        <x:v>2969</x:v>
      </x:c>
      <x:c r="L120" s="1" t="str">
        <x:v>Нет</x:v>
      </x:c>
      <x:c r="M120" s="1" t="n">
        <x:v>4060065</x:v>
      </x:c>
    </x:row>
    <x:row r="121">
      <x:c r="A121" s="1" t="str">
        <x:v>320870100</x:v>
      </x:c>
      <x:c r="B121" s="1" t="str">
        <x:v>kostyumfix3P-37-63/графит</x:v>
      </x:c>
      <x:c r="C121" s="1" t="str">
        <x:v>Костюмы спортивные</x:v>
      </x:c>
      <x:c r="D121" s="9" t="n">
        <x:v>6.7</x:v>
      </x:c>
      <x:c r="E121" s="8" t="n">
        <x:v>101403</x:v>
      </x:c>
      <x:c r="F121" s="8" t="n">
        <x:v>1228</x:v>
      </x:c>
      <x:c r="G121" s="8" t="n">
        <x:v>1520267</x:v>
      </x:c>
      <x:c r="H121" s="8" t="n">
        <x:v>140</x:v>
      </x:c>
      <x:c r="I121" s="8" t="n">
        <x:v>0</x:v>
      </x:c>
      <x:c r="J121" s="8" t="n">
        <x:v>0</x:v>
      </x:c>
      <x:c r="K121" s="8" t="n">
        <x:v>5323</x:v>
      </x:c>
      <x:c r="L121" s="1" t="str">
        <x:v>Нет</x:v>
      </x:c>
      <x:c r="M121" s="1" t="n">
        <x:v>0</x:v>
      </x:c>
    </x:row>
    <x:row r="122">
      <x:c r="A122" s="1" t="str">
        <x:v>35236459</x:v>
      </x:c>
      <x:c r="B122" s="1" t="str">
        <x:v>futbolkaover/бежевый</x:v>
      </x:c>
      <x:c r="C122" s="1" t="str">
        <x:v>Футболки</x:v>
      </x:c>
      <x:c r="D122" s="9" t="n">
        <x:v>9.7</x:v>
      </x:c>
      <x:c r="E122" s="8" t="n">
        <x:v>145227</x:v>
      </x:c>
      <x:c r="F122" s="8" t="n">
        <x:v>3333</x:v>
      </x:c>
      <x:c r="G122" s="8" t="n">
        <x:v>1519218</x:v>
      </x:c>
      <x:c r="H122" s="8" t="n">
        <x:v>3302</x:v>
      </x:c>
      <x:c r="I122" s="8" t="n">
        <x:v>0</x:v>
      </x:c>
      <x:c r="J122" s="8" t="n">
        <x:v>2092</x:v>
      </x:c>
      <x:c r="K122" s="8" t="n">
        <x:v>878</x:v>
      </x:c>
      <x:c r="L122" s="1" t="str">
        <x:v>Нет</x:v>
      </x:c>
      <x:c r="M122" s="1" t="n">
        <x:v>1081495</x:v>
      </x:c>
    </x:row>
    <x:row r="123">
      <x:c r="A123" s="1" t="str">
        <x:v>116112902</x:v>
      </x:c>
      <x:c r="B123" s="1" t="str">
        <x:v>hudi/кофейный</x:v>
      </x:c>
      <x:c r="C123" s="1" t="str">
        <x:v>Худи</x:v>
      </x:c>
      <x:c r="D123" s="9" t="n">
        <x:v>9.7</x:v>
      </x:c>
      <x:c r="E123" s="8" t="n">
        <x:v>80958</x:v>
      </x:c>
      <x:c r="F123" s="8" t="n">
        <x:v>1944</x:v>
      </x:c>
      <x:c r="G123" s="8" t="n">
        <x:v>1509622</x:v>
      </x:c>
      <x:c r="H123" s="8" t="n">
        <x:v>2507</x:v>
      </x:c>
      <x:c r="I123" s="8" t="n">
        <x:v>0</x:v>
      </x:c>
      <x:c r="J123" s="8" t="n">
        <x:v>2021</x:v>
      </x:c>
      <x:c r="K123" s="8" t="n">
        <x:v>2209</x:v>
      </x:c>
      <x:c r="L123" s="1" t="str">
        <x:v>Нет</x:v>
      </x:c>
      <x:c r="M123" s="1" t="n">
        <x:v>1625307</x:v>
      </x:c>
    </x:row>
    <x:row r="124">
      <x:c r="A124" s="1" t="str">
        <x:v>171386723</x:v>
      </x:c>
      <x:c r="B124" s="1" t="str">
        <x:v>hudi/белый</x:v>
      </x:c>
      <x:c r="C124" s="1" t="str">
        <x:v>Худи</x:v>
      </x:c>
      <x:c r="D124" s="9" t="n">
        <x:v>9.7</x:v>
      </x:c>
      <x:c r="E124" s="8" t="n">
        <x:v>88403</x:v>
      </x:c>
      <x:c r="F124" s="8" t="n">
        <x:v>1581</x:v>
      </x:c>
      <x:c r="G124" s="8" t="n">
        <x:v>1509566</x:v>
      </x:c>
      <x:c r="H124" s="8" t="n">
        <x:v>3945</x:v>
      </x:c>
      <x:c r="I124" s="8" t="n">
        <x:v>0</x:v>
      </x:c>
      <x:c r="J124" s="8" t="n">
        <x:v>1312</x:v>
      </x:c>
      <x:c r="K124" s="8" t="n">
        <x:v>2181</x:v>
      </x:c>
      <x:c r="L124" s="1" t="str">
        <x:v>Нет</x:v>
      </x:c>
      <x:c r="M124" s="1" t="n">
        <x:v>1348388</x:v>
      </x:c>
    </x:row>
    <x:row r="125">
      <x:c r="A125" s="1" t="str">
        <x:v>262644712</x:v>
      </x:c>
      <x:c r="B125" s="1" t="str">
        <x:v>palazzoshnurok/черный</x:v>
      </x:c>
      <x:c r="C125" s="1" t="str">
        <x:v>Брюки</x:v>
      </x:c>
      <x:c r="D125" s="9" t="n">
        <x:v>8.7</x:v>
      </x:c>
      <x:c r="E125" s="8" t="n">
        <x:v>89054</x:v>
      </x:c>
      <x:c r="F125" s="8" t="n">
        <x:v>2286</x:v>
      </x:c>
      <x:c r="G125" s="8" t="n">
        <x:v>1490224</x:v>
      </x:c>
      <x:c r="H125" s="8" t="n">
        <x:v>856</x:v>
      </x:c>
      <x:c r="I125" s="8" t="n">
        <x:v>0</x:v>
      </x:c>
      <x:c r="J125" s="8" t="n">
        <x:v>1755</x:v>
      </x:c>
      <x:c r="K125" s="8" t="n">
        <x:v>2808</x:v>
      </x:c>
      <x:c r="L125" s="1" t="str">
        <x:v>Нет</x:v>
      </x:c>
      <x:c r="M125" s="1" t="n">
        <x:v>1232862</x:v>
      </x:c>
    </x:row>
    <x:row r="126">
      <x:c r="A126" s="1" t="str">
        <x:v>216753463</x:v>
      </x:c>
      <x:c r="B126" s="1" t="str">
        <x:v>futbolkamanX3/чер-бел-как</x:v>
      </x:c>
      <x:c r="C126" s="1" t="str">
        <x:v>Футболки</x:v>
      </x:c>
      <x:c r="D126" s="9" t="n">
        <x:v>8.7</x:v>
      </x:c>
      <x:c r="E126" s="8" t="n">
        <x:v>50396</x:v>
      </x:c>
      <x:c r="F126" s="8" t="n">
        <x:v>1493</x:v>
      </x:c>
      <x:c r="G126" s="8" t="n">
        <x:v>1482657</x:v>
      </x:c>
      <x:c r="H126" s="8" t="n">
        <x:v>134</x:v>
      </x:c>
      <x:c r="I126" s="8" t="n">
        <x:v>0</x:v>
      </x:c>
      <x:c r="J126" s="8" t="n">
        <x:v>17</x:v>
      </x:c>
      <x:c r="K126" s="8" t="n">
        <x:v>1757</x:v>
      </x:c>
      <x:c r="L126" s="1" t="str">
        <x:v>Нет</x:v>
      </x:c>
      <x:c r="M126" s="1" t="n">
        <x:v>17494</x:v>
      </x:c>
    </x:row>
    <x:row r="127">
      <x:c r="A127" s="1" t="str">
        <x:v>87045186</x:v>
      </x:c>
      <x:c r="B127" s="1" t="str">
        <x:v>kroptop/какао</x:v>
      </x:c>
      <x:c r="C127" s="1" t="str">
        <x:v>Футболки</x:v>
      </x:c>
      <x:c r="D127" s="9" t="n">
        <x:v>8.7</x:v>
      </x:c>
      <x:c r="E127" s="8" t="n">
        <x:v>154474</x:v>
      </x:c>
      <x:c r="F127" s="8" t="n">
        <x:v>4339</x:v>
      </x:c>
      <x:c r="G127" s="8" t="n">
        <x:v>1476455</x:v>
      </x:c>
      <x:c r="H127" s="8" t="n">
        <x:v>1337</x:v>
      </x:c>
      <x:c r="I127" s="8" t="n">
        <x:v>0</x:v>
      </x:c>
      <x:c r="J127" s="8" t="n">
        <x:v>1701</x:v>
      </x:c>
      <x:c r="K127" s="8" t="n">
        <x:v>646</x:v>
      </x:c>
      <x:c r="L127" s="1" t="str">
        <x:v>Нет</x:v>
      </x:c>
      <x:c r="M127" s="1" t="n">
        <x:v>659642</x:v>
      </x:c>
    </x:row>
    <x:row r="128">
      <x:c r="A128" s="1" t="str">
        <x:v>222011066</x:v>
      </x:c>
      <x:c r="B128" s="1" t="str">
        <x:v>futbolkamanoverX3/чер-бел-тсер</x:v>
      </x:c>
      <x:c r="C128" s="1" t="str">
        <x:v>Футболки</x:v>
      </x:c>
      <x:c r="D128" s="9" t="n">
        <x:v>8.4</x:v>
      </x:c>
      <x:c r="E128" s="8" t="n">
        <x:v>51447</x:v>
      </x:c>
      <x:c r="F128" s="8" t="n">
        <x:v>1407</x:v>
      </x:c>
      <x:c r="G128" s="8" t="n">
        <x:v>1449961</x:v>
      </x:c>
      <x:c r="H128" s="8" t="n">
        <x:v>382</x:v>
      </x:c>
      <x:c r="I128" s="8" t="n">
        <x:v>0</x:v>
      </x:c>
      <x:c r="J128" s="8" t="n">
        <x:v>0</x:v>
      </x:c>
      <x:c r="K128" s="8" t="n">
        <x:v>2630</x:v>
      </x:c>
      <x:c r="L128" s="1" t="str">
        <x:v>Нет</x:v>
      </x:c>
      <x:c r="M128" s="1" t="n">
        <x:v>0</x:v>
      </x:c>
    </x:row>
    <x:row r="129">
      <x:c r="A129" s="1" t="str">
        <x:v>79575887</x:v>
      </x:c>
      <x:c r="B129" s="1" t="str">
        <x:v>futbolkaover/эвкалипт</x:v>
      </x:c>
      <x:c r="C129" s="1" t="str">
        <x:v>Футболки</x:v>
      </x:c>
      <x:c r="D129" s="9" t="n">
        <x:v>9.7</x:v>
      </x:c>
      <x:c r="E129" s="8" t="n">
        <x:v>118630</x:v>
      </x:c>
      <x:c r="F129" s="8" t="n">
        <x:v>3027</x:v>
      </x:c>
      <x:c r="G129" s="8" t="n">
        <x:v>1419249</x:v>
      </x:c>
      <x:c r="H129" s="8" t="n">
        <x:v>2302</x:v>
      </x:c>
      <x:c r="I129" s="8" t="n">
        <x:v>0</x:v>
      </x:c>
      <x:c r="J129" s="8" t="n">
        <x:v>1498</x:v>
      </x:c>
      <x:c r="K129" s="8" t="n">
        <x:v>812</x:v>
      </x:c>
      <x:c r="L129" s="1" t="str">
        <x:v>Нет</x:v>
      </x:c>
      <x:c r="M129" s="1" t="n">
        <x:v>806310</x:v>
      </x:c>
    </x:row>
    <x:row r="130">
      <x:c r="A130" s="1" t="str">
        <x:v>213843197</x:v>
      </x:c>
      <x:c r="B130" s="1" t="str">
        <x:v>baza/какао</x:v>
      </x:c>
      <x:c r="C130" s="1" t="str">
        <x:v>Футболки</x:v>
      </x:c>
      <x:c r="D130" s="9" t="n">
        <x:v>8.2</x:v>
      </x:c>
      <x:c r="E130" s="8" t="n">
        <x:v>123317</x:v>
      </x:c>
      <x:c r="F130" s="8" t="n">
        <x:v>3125</x:v>
      </x:c>
      <x:c r="G130" s="8" t="n">
        <x:v>1411184</x:v>
      </x:c>
      <x:c r="H130" s="8" t="n">
        <x:v>1075</x:v>
      </x:c>
      <x:c r="I130" s="8" t="n">
        <x:v>0</x:v>
      </x:c>
      <x:c r="J130" s="8" t="n">
        <x:v>2193</x:v>
      </x:c>
      <x:c r="K130" s="8" t="n">
        <x:v>733</x:v>
      </x:c>
      <x:c r="L130" s="1" t="str">
        <x:v>Нет</x:v>
      </x:c>
      <x:c r="M130" s="1" t="n">
        <x:v>1056613</x:v>
      </x:c>
    </x:row>
    <x:row r="131">
      <x:c r="A131" s="1" t="str">
        <x:v>114726373</x:v>
      </x:c>
      <x:c r="B131" s="1" t="str">
        <x:v>futbolkaover/пудровый</x:v>
      </x:c>
      <x:c r="C131" s="1" t="str">
        <x:v>Футболки</x:v>
      </x:c>
      <x:c r="D131" s="9" t="n">
        <x:v>9.7</x:v>
      </x:c>
      <x:c r="E131" s="8" t="n">
        <x:v>166226</x:v>
      </x:c>
      <x:c r="F131" s="8" t="n">
        <x:v>3056</x:v>
      </x:c>
      <x:c r="G131" s="8" t="n">
        <x:v>1392411</x:v>
      </x:c>
      <x:c r="H131" s="8" t="n">
        <x:v>1418</x:v>
      </x:c>
      <x:c r="I131" s="8" t="n">
        <x:v>0</x:v>
      </x:c>
      <x:c r="J131" s="8" t="n">
        <x:v>1873</x:v>
      </x:c>
      <x:c r="K131" s="8" t="n">
        <x:v>869</x:v>
      </x:c>
      <x:c r="L131" s="1" t="str">
        <x:v>Нет</x:v>
      </x:c>
      <x:c r="M131" s="1" t="n">
        <x:v>901362</x:v>
      </x:c>
    </x:row>
    <x:row r="132">
      <x:c r="A132" s="1" t="str">
        <x:v>271383077</x:v>
      </x:c>
      <x:c r="B132" s="1" t="str">
        <x:v>shtanyfix/светло-розовый</x:v>
      </x:c>
      <x:c r="C132" s="1" t="str">
        <x:v>Брюки</x:v>
      </x:c>
      <x:c r="D132" s="9" t="n">
        <x:v>8.2</x:v>
      </x:c>
      <x:c r="E132" s="8" t="n">
        <x:v>100538</x:v>
      </x:c>
      <x:c r="F132" s="8" t="n">
        <x:v>1495</x:v>
      </x:c>
      <x:c r="G132" s="8" t="n">
        <x:v>1375167</x:v>
      </x:c>
      <x:c r="H132" s="8" t="n">
        <x:v>384</x:v>
      </x:c>
      <x:c r="I132" s="8" t="n">
        <x:v>0</x:v>
      </x:c>
      <x:c r="J132" s="8" t="n">
        <x:v>1830</x:v>
      </x:c>
      <x:c r="K132" s="8" t="n">
        <x:v>3497</x:v>
      </x:c>
      <x:c r="L132" s="1" t="str">
        <x:v>Нет</x:v>
      </x:c>
      <x:c r="M132" s="1" t="n">
        <x:v>1585185</x:v>
      </x:c>
    </x:row>
    <x:row r="133">
      <x:c r="A133" s="1" t="str">
        <x:v>229154427</x:v>
      </x:c>
      <x:c r="B133" s="1" t="str">
        <x:v>futbolkamanoverX3/чер-бел-хак</x:v>
      </x:c>
      <x:c r="C133" s="1" t="str">
        <x:v>Футболки</x:v>
      </x:c>
      <x:c r="D133" s="9" t="n">
        <x:v>8.4</x:v>
      </x:c>
      <x:c r="E133" s="8" t="n">
        <x:v>45700</x:v>
      </x:c>
      <x:c r="F133" s="8" t="n">
        <x:v>1136</x:v>
      </x:c>
      <x:c r="G133" s="8" t="n">
        <x:v>1371544</x:v>
      </x:c>
      <x:c r="H133" s="8" t="n">
        <x:v>155</x:v>
      </x:c>
      <x:c r="I133" s="8" t="n">
        <x:v>0</x:v>
      </x:c>
      <x:c r="J133" s="8" t="n">
        <x:v>43</x:v>
      </x:c>
      <x:c r="K133" s="8" t="n">
        <x:v>2613</x:v>
      </x:c>
      <x:c r="L133" s="1" t="str">
        <x:v>Нет</x:v>
      </x:c>
      <x:c r="M133" s="1" t="n">
        <x:v>57750</x:v>
      </x:c>
    </x:row>
    <x:row r="134">
      <x:c r="A134" s="1" t="str">
        <x:v>216754251</x:v>
      </x:c>
      <x:c r="B134" s="1" t="str">
        <x:v>futbolkamanX3/чер-бел-тсер</x:v>
      </x:c>
      <x:c r="C134" s="1" t="str">
        <x:v>Футболки</x:v>
      </x:c>
      <x:c r="D134" s="9" t="n">
        <x:v>8.7</x:v>
      </x:c>
      <x:c r="E134" s="8" t="n">
        <x:v>49743</x:v>
      </x:c>
      <x:c r="F134" s="8" t="n">
        <x:v>1637</x:v>
      </x:c>
      <x:c r="G134" s="8" t="n">
        <x:v>1362895</x:v>
      </x:c>
      <x:c r="H134" s="8" t="n">
        <x:v>26</x:v>
      </x:c>
      <x:c r="I134" s="8" t="n">
        <x:v>0</x:v>
      </x:c>
      <x:c r="J134" s="8" t="n">
        <x:v>7</x:v>
      </x:c>
      <x:c r="K134" s="8" t="n">
        <x:v>1620</x:v>
      </x:c>
      <x:c r="L134" s="1" t="str">
        <x:v>Нет</x:v>
      </x:c>
      <x:c r="M134" s="1" t="n">
        <x:v>10200</x:v>
      </x:c>
    </x:row>
    <x:row r="135">
      <x:c r="A135" s="1" t="str">
        <x:v>332646308</x:v>
      </x:c>
      <x:c r="B135" s="1" t="str">
        <x:v>futbolkaprint/Vacances-245/бордовый</x:v>
      </x:c>
      <x:c r="C135" s="1" t="str">
        <x:v>Футболки</x:v>
      </x:c>
      <x:c r="D135" s="9" t="n">
        <x:v>9.7</x:v>
      </x:c>
      <x:c r="E135" s="8" t="n">
        <x:v>132397</x:v>
      </x:c>
      <x:c r="F135" s="8" t="n">
        <x:v>2330</x:v>
      </x:c>
      <x:c r="G135" s="8" t="n">
        <x:v>1328832</x:v>
      </x:c>
      <x:c r="H135" s="8" t="n">
        <x:v>7</x:v>
      </x:c>
      <x:c r="I135" s="8" t="n">
        <x:v>0</x:v>
      </x:c>
      <x:c r="J135" s="8" t="n">
        <x:v>0</x:v>
      </x:c>
      <x:c r="K135" s="8" t="n">
        <x:v>1124</x:v>
      </x:c>
      <x:c r="L135" s="1" t="str">
        <x:v>Нет</x:v>
      </x:c>
      <x:c r="M135" s="1" t="n">
        <x:v>0</x:v>
      </x:c>
    </x:row>
    <x:row r="136">
      <x:c r="A136" s="1" t="str">
        <x:v>220090347</x:v>
      </x:c>
      <x:c r="B136" s="1" t="str">
        <x:v>tolstovkazip/бордовый</x:v>
      </x:c>
      <x:c r="C136" s="1" t="str">
        <x:v>Худи</x:v>
      </x:c>
      <x:c r="D136" s="9" t="n">
        <x:v>7.7</x:v>
      </x:c>
      <x:c r="E136" s="8" t="n">
        <x:v>55727</x:v>
      </x:c>
      <x:c r="F136" s="8" t="n">
        <x:v>798</x:v>
      </x:c>
      <x:c r="G136" s="8" t="n">
        <x:v>1324825</x:v>
      </x:c>
      <x:c r="H136" s="8" t="n">
        <x:v>2</x:v>
      </x:c>
      <x:c r="I136" s="8" t="n">
        <x:v>0</x:v>
      </x:c>
      <x:c r="J136" s="8" t="n">
        <x:v>372</x:v>
      </x:c>
      <x:c r="K136" s="8" t="n">
        <x:v>3814</x:v>
      </x:c>
      <x:c r="L136" s="1" t="str">
        <x:v>Нет</x:v>
      </x:c>
      <x:c r="M136" s="1" t="n">
        <x:v>654720</x:v>
      </x:c>
    </x:row>
    <x:row r="137">
      <x:c r="A137" s="1" t="str">
        <x:v>113249032</x:v>
      </x:c>
      <x:c r="B137" s="1" t="str">
        <x:v>kroptop/красный</x:v>
      </x:c>
      <x:c r="C137" s="1" t="str">
        <x:v>Футболки</x:v>
      </x:c>
      <x:c r="D137" s="9" t="n">
        <x:v>8.7</x:v>
      </x:c>
      <x:c r="E137" s="8" t="n">
        <x:v>72959</x:v>
      </x:c>
      <x:c r="F137" s="8" t="n">
        <x:v>3215</x:v>
      </x:c>
      <x:c r="G137" s="8" t="n">
        <x:v>1316682</x:v>
      </x:c>
      <x:c r="H137" s="8" t="n">
        <x:v>1143</x:v>
      </x:c>
      <x:c r="I137" s="8" t="n">
        <x:v>0</x:v>
      </x:c>
      <x:c r="J137" s="8" t="n">
        <x:v>2434</x:v>
      </x:c>
      <x:c r="K137" s="8" t="n">
        <x:v>805</x:v>
      </x:c>
      <x:c r="L137" s="1" t="str">
        <x:v>Нет</x:v>
      </x:c>
      <x:c r="M137" s="1" t="n">
        <x:v>998678</x:v>
      </x:c>
    </x:row>
    <x:row r="138">
      <x:c r="A138" s="1" t="str">
        <x:v>113292722</x:v>
      </x:c>
      <x:c r="B138" s="1" t="str">
        <x:v>kroptop/светло-фиолетовый</x:v>
      </x:c>
      <x:c r="C138" s="1" t="str">
        <x:v>Футболки</x:v>
      </x:c>
      <x:c r="D138" s="9" t="n">
        <x:v>8.7</x:v>
      </x:c>
      <x:c r="E138" s="8" t="n">
        <x:v>83275</x:v>
      </x:c>
      <x:c r="F138" s="8" t="n">
        <x:v>2946</x:v>
      </x:c>
      <x:c r="G138" s="8" t="n">
        <x:v>1290297</x:v>
      </x:c>
      <x:c r="H138" s="8" t="n">
        <x:v>1140</x:v>
      </x:c>
      <x:c r="I138" s="8" t="n">
        <x:v>0</x:v>
      </x:c>
      <x:c r="J138" s="8" t="n">
        <x:v>799</x:v>
      </x:c>
      <x:c r="K138" s="8" t="n">
        <x:v>811</x:v>
      </x:c>
      <x:c r="L138" s="1" t="str">
        <x:v>Нет</x:v>
      </x:c>
      <x:c r="M138" s="1" t="n">
        <x:v>404940</x:v>
      </x:c>
    </x:row>
    <x:row r="139">
      <x:c r="A139" s="1" t="str">
        <x:v>216753469</x:v>
      </x:c>
      <x:c r="B139" s="1" t="str">
        <x:v>futbolkamanX3/чер-как-тсер</x:v>
      </x:c>
      <x:c r="C139" s="1" t="str">
        <x:v>Футболки</x:v>
      </x:c>
      <x:c r="D139" s="9" t="n">
        <x:v>8.7</x:v>
      </x:c>
      <x:c r="E139" s="8" t="n">
        <x:v>76245</x:v>
      </x:c>
      <x:c r="F139" s="8" t="n">
        <x:v>1153</x:v>
      </x:c>
      <x:c r="G139" s="8" t="n">
        <x:v>1285614</x:v>
      </x:c>
      <x:c r="H139" s="8" t="n">
        <x:v>73</x:v>
      </x:c>
      <x:c r="I139" s="8" t="n">
        <x:v>0</x:v>
      </x:c>
      <x:c r="J139" s="8" t="n">
        <x:v>90</x:v>
      </x:c>
      <x:c r="K139" s="8" t="n">
        <x:v>1768</x:v>
      </x:c>
      <x:c r="L139" s="1" t="str">
        <x:v>Нет</x:v>
      </x:c>
      <x:c r="M139" s="1" t="n">
        <x:v>101341</x:v>
      </x:c>
    </x:row>
    <x:row r="140">
      <x:c r="A140" s="1" t="str">
        <x:v>297440099</x:v>
      </x:c>
      <x:c r="B140" s="1" t="str">
        <x:v>longover/пыльнаямята</x:v>
      </x:c>
      <x:c r="C140" s="1" t="str">
        <x:v>Лонгсливы</x:v>
      </x:c>
      <x:c r="D140" s="9" t="n">
        <x:v>8.7</x:v>
      </x:c>
      <x:c r="E140" s="8" t="n">
        <x:v>104368</x:v>
      </x:c>
      <x:c r="F140" s="8" t="n">
        <x:v>3074</x:v>
      </x:c>
      <x:c r="G140" s="8" t="n">
        <x:v>1279761</x:v>
      </x:c>
      <x:c r="H140" s="8" t="n">
        <x:v>1037</x:v>
      </x:c>
      <x:c r="I140" s="8" t="n">
        <x:v>0</x:v>
      </x:c>
      <x:c r="J140" s="8" t="n">
        <x:v>2191</x:v>
      </x:c>
      <x:c r="K140" s="8" t="n">
        <x:v>1029</x:v>
      </x:c>
      <x:c r="L140" s="1" t="str">
        <x:v>Нет</x:v>
      </x:c>
      <x:c r="M140" s="1" t="n">
        <x:v>1039139</x:v>
      </x:c>
    </x:row>
    <x:row r="141">
      <x:c r="A141" s="1" t="str">
        <x:v>233284868</x:v>
      </x:c>
      <x:c r="B141" s="1" t="str">
        <x:v>longover/бежевый</x:v>
      </x:c>
      <x:c r="C141" s="1" t="str">
        <x:v>Лонгсливы</x:v>
      </x:c>
      <x:c r="D141" s="9" t="n">
        <x:v>8.7</x:v>
      </x:c>
      <x:c r="E141" s="8" t="n">
        <x:v>174528</x:v>
      </x:c>
      <x:c r="F141" s="8" t="n">
        <x:v>3047</x:v>
      </x:c>
      <x:c r="G141" s="8" t="n">
        <x:v>1279326</x:v>
      </x:c>
      <x:c r="H141" s="8" t="n">
        <x:v>3091</x:v>
      </x:c>
      <x:c r="I141" s="8" t="n">
        <x:v>0</x:v>
      </x:c>
      <x:c r="J141" s="8" t="n">
        <x:v>2443</x:v>
      </x:c>
      <x:c r="K141" s="8" t="n">
        <x:v>1030</x:v>
      </x:c>
      <x:c r="L141" s="1" t="str">
        <x:v>Нет</x:v>
      </x:c>
      <x:c r="M141" s="1" t="n">
        <x:v>1181838</x:v>
      </x:c>
    </x:row>
    <x:row r="142">
      <x:c r="A142" s="1" t="str">
        <x:v>175116978</x:v>
      </x:c>
      <x:c r="B142" s="1" t="str">
        <x:v>reglanman/белый</x:v>
      </x:c>
      <x:c r="C142" s="1" t="str">
        <x:v>Лонгсливы</x:v>
      </x:c>
      <x:c r="D142" s="9" t="n">
        <x:v>5.2</x:v>
      </x:c>
      <x:c r="E142" s="8" t="n">
        <x:v>64875</x:v>
      </x:c>
      <x:c r="F142" s="8" t="n">
        <x:v>2624</x:v>
      </x:c>
      <x:c r="G142" s="8" t="n">
        <x:v>1279097</x:v>
      </x:c>
      <x:c r="H142" s="8" t="n">
        <x:v>254</x:v>
      </x:c>
      <x:c r="I142" s="8" t="n">
        <x:v>0</x:v>
      </x:c>
      <x:c r="J142" s="8" t="n">
        <x:v>1118</x:v>
      </x:c>
      <x:c r="K142" s="8" t="n">
        <x:v>1096</x:v>
      </x:c>
      <x:c r="L142" s="1" t="str">
        <x:v>Нет</x:v>
      </x:c>
      <x:c r="M142" s="1" t="n">
        <x:v>661797</x:v>
      </x:c>
    </x:row>
    <x:row r="143">
      <x:c r="A143" s="1" t="str">
        <x:v>233284872</x:v>
      </x:c>
      <x:c r="B143" s="1" t="str">
        <x:v>longover/шалфей</x:v>
      </x:c>
      <x:c r="C143" s="1" t="str">
        <x:v>Лонгсливы</x:v>
      </x:c>
      <x:c r="D143" s="9" t="n">
        <x:v>8.7</x:v>
      </x:c>
      <x:c r="E143" s="8" t="n">
        <x:v>155063</x:v>
      </x:c>
      <x:c r="F143" s="8" t="n">
        <x:v>2617</x:v>
      </x:c>
      <x:c r="G143" s="8" t="n">
        <x:v>1276555</x:v>
      </x:c>
      <x:c r="H143" s="8" t="n">
        <x:v>707</x:v>
      </x:c>
      <x:c r="I143" s="8" t="n">
        <x:v>0</x:v>
      </x:c>
      <x:c r="J143" s="8" t="n">
        <x:v>2929</x:v>
      </x:c>
      <x:c r="K143" s="8" t="n">
        <x:v>1278</x:v>
      </x:c>
      <x:c r="L143" s="1" t="str">
        <x:v>Нет</x:v>
      </x:c>
      <x:c r="M143" s="1" t="n">
        <x:v>1410277</x:v>
      </x:c>
    </x:row>
    <x:row r="144">
      <x:c r="A144" s="1" t="str">
        <x:v>262651915</x:v>
      </x:c>
      <x:c r="B144" s="1" t="str">
        <x:v>palazzoshnurok/светло-розовый</x:v>
      </x:c>
      <x:c r="C144" s="1" t="str">
        <x:v>Брюки</x:v>
      </x:c>
      <x:c r="D144" s="9" t="n">
        <x:v>6.7</x:v>
      </x:c>
      <x:c r="E144" s="8" t="n">
        <x:v>156584</x:v>
      </x:c>
      <x:c r="F144" s="8" t="n">
        <x:v>2004</x:v>
      </x:c>
      <x:c r="G144" s="8" t="n">
        <x:v>1273730</x:v>
      </x:c>
      <x:c r="H144" s="8" t="n">
        <x:v>272</x:v>
      </x:c>
      <x:c r="I144" s="8" t="n">
        <x:v>0</x:v>
      </x:c>
      <x:c r="J144" s="8" t="n">
        <x:v>1774</x:v>
      </x:c>
      <x:c r="K144" s="8" t="n">
        <x:v>3254</x:v>
      </x:c>
      <x:c r="L144" s="1" t="str">
        <x:v>Нет</x:v>
      </x:c>
      <x:c r="M144" s="1" t="n">
        <x:v>1260647</x:v>
      </x:c>
    </x:row>
    <x:row r="145">
      <x:c r="A145" s="1" t="str">
        <x:v>217053235</x:v>
      </x:c>
      <x:c r="B145" s="1" t="str">
        <x:v>futbolkaprint/BelMoreSelf-114/красный</x:v>
      </x:c>
      <x:c r="C145" s="1" t="str">
        <x:v>Футболки</x:v>
      </x:c>
      <x:c r="D145" s="9" t="n">
        <x:v>7.7</x:v>
      </x:c>
      <x:c r="E145" s="8" t="n">
        <x:v>107103</x:v>
      </x:c>
      <x:c r="F145" s="8" t="n">
        <x:v>1920</x:v>
      </x:c>
      <x:c r="G145" s="8" t="n">
        <x:v>1272924</x:v>
      </x:c>
      <x:c r="H145" s="8" t="n">
        <x:v>0</x:v>
      </x:c>
      <x:c r="I145" s="8" t="n">
        <x:v>0</x:v>
      </x:c>
      <x:c r="J145" s="8" t="n">
        <x:v>1590</x:v>
      </x:c>
      <x:c r="K145" s="8" t="n">
        <x:v>1287</x:v>
      </x:c>
      <x:c r="L145" s="1" t="str">
        <x:v>Нет</x:v>
      </x:c>
      <x:c r="M145" s="1" t="n">
        <x:v>1072881</x:v>
      </x:c>
    </x:row>
    <x:row r="146">
      <x:c r="A146" s="1" t="str">
        <x:v>263434429</x:v>
      </x:c>
      <x:c r="B146" s="1" t="str">
        <x:v>hudicrop1/бордовый</x:v>
      </x:c>
      <x:c r="C146" s="1" t="str">
        <x:v>Худи</x:v>
      </x:c>
      <x:c r="D146" s="9" t="n">
        <x:v>6.7</x:v>
      </x:c>
      <x:c r="E146" s="8" t="n">
        <x:v>64238</x:v>
      </x:c>
      <x:c r="F146" s="8" t="n">
        <x:v>1114</x:v>
      </x:c>
      <x:c r="G146" s="8" t="n">
        <x:v>1264275</x:v>
      </x:c>
      <x:c r="H146" s="8" t="n">
        <x:v>138</x:v>
      </x:c>
      <x:c r="I146" s="8" t="n">
        <x:v>0</x:v>
      </x:c>
      <x:c r="J146" s="8" t="n">
        <x:v>889</x:v>
      </x:c>
      <x:c r="K146" s="8" t="n">
        <x:v>2875</x:v>
      </x:c>
      <x:c r="L146" s="1" t="str">
        <x:v>Нет</x:v>
      </x:c>
      <x:c r="M146" s="1" t="n">
        <x:v>1098893</x:v>
      </x:c>
    </x:row>
    <x:row r="147">
      <x:c r="A147" s="1" t="str">
        <x:v>242485151</x:v>
      </x:c>
      <x:c r="B147" s="1" t="str">
        <x:v>bomber/молочный</x:v>
      </x:c>
      <x:c r="C147" s="1" t="str">
        <x:v>Худи</x:v>
      </x:c>
      <x:c r="D147" s="9" t="n">
        <x:v>8.7</x:v>
      </x:c>
      <x:c r="E147" s="8" t="n">
        <x:v>106177</x:v>
      </x:c>
      <x:c r="F147" s="8" t="n">
        <x:v>1045</x:v>
      </x:c>
      <x:c r="G147" s="8" t="n">
        <x:v>1263910</x:v>
      </x:c>
      <x:c r="H147" s="8" t="n">
        <x:v>3</x:v>
      </x:c>
      <x:c r="I147" s="8" t="n">
        <x:v>0</x:v>
      </x:c>
      <x:c r="J147" s="8" t="n">
        <x:v>29</x:v>
      </x:c>
      <x:c r="K147" s="8" t="n">
        <x:v>3060</x:v>
      </x:c>
      <x:c r="L147" s="1" t="str">
        <x:v>Нет</x:v>
      </x:c>
      <x:c r="M147" s="1" t="n">
        <x:v>45600</x:v>
      </x:c>
    </x:row>
    <x:row r="148">
      <x:c r="A148" s="1" t="str">
        <x:v>87043639</x:v>
      </x:c>
      <x:c r="B148" s="1" t="str">
        <x:v>kroptop/пыльнаяроза</x:v>
      </x:c>
      <x:c r="C148" s="1" t="str">
        <x:v>Футболки</x:v>
      </x:c>
      <x:c r="D148" s="9" t="n">
        <x:v>8.7</x:v>
      </x:c>
      <x:c r="E148" s="8" t="n">
        <x:v>116739</x:v>
      </x:c>
      <x:c r="F148" s="8" t="n">
        <x:v>2977</x:v>
      </x:c>
      <x:c r="G148" s="8" t="n">
        <x:v>1236806</x:v>
      </x:c>
      <x:c r="H148" s="8" t="n">
        <x:v>394</x:v>
      </x:c>
      <x:c r="I148" s="8" t="n">
        <x:v>0</x:v>
      </x:c>
      <x:c r="J148" s="8" t="n">
        <x:v>1402</x:v>
      </x:c>
      <x:c r="K148" s="8" t="n">
        <x:v>828</x:v>
      </x:c>
      <x:c r="L148" s="1" t="str">
        <x:v>Нет</x:v>
      </x:c>
      <x:c r="M148" s="1" t="n">
        <x:v>601512</x:v>
      </x:c>
    </x:row>
    <x:row r="149">
      <x:c r="A149" s="1" t="str">
        <x:v>333323571</x:v>
      </x:c>
      <x:c r="B149" s="1" t="str">
        <x:v>hudicroppetl/бордовый</x:v>
      </x:c>
      <x:c r="C149" s="1" t="str">
        <x:v>Худи</x:v>
      </x:c>
      <x:c r="D149" s="9" t="n">
        <x:v>8.7</x:v>
      </x:c>
      <x:c r="E149" s="8" t="n">
        <x:v>72070</x:v>
      </x:c>
      <x:c r="F149" s="8" t="n">
        <x:v>1120</x:v>
      </x:c>
      <x:c r="G149" s="8" t="n">
        <x:v>1235118</x:v>
      </x:c>
      <x:c r="H149" s="8" t="n">
        <x:v>39</x:v>
      </x:c>
      <x:c r="I149" s="8" t="n">
        <x:v>0</x:v>
      </x:c>
      <x:c r="J149" s="8" t="n">
        <x:v>192</x:v>
      </x:c>
      <x:c r="K149" s="8" t="n">
        <x:v>3225</x:v>
      </x:c>
      <x:c r="L149" s="1" t="str">
        <x:v>Нет</x:v>
      </x:c>
      <x:c r="M149" s="1" t="n">
        <x:v>202300</x:v>
      </x:c>
    </x:row>
    <x:row r="150">
      <x:c r="A150" s="1" t="str">
        <x:v>333323585</x:v>
      </x:c>
      <x:c r="B150" s="1" t="str">
        <x:v>hudicroppetl/черный</x:v>
      </x:c>
      <x:c r="C150" s="1" t="str">
        <x:v>Худи</x:v>
      </x:c>
      <x:c r="D150" s="9" t="n">
        <x:v>8.7</x:v>
      </x:c>
      <x:c r="E150" s="8" t="n">
        <x:v>44411</x:v>
      </x:c>
      <x:c r="F150" s="8" t="n">
        <x:v>1164</x:v>
      </x:c>
      <x:c r="G150" s="8" t="n">
        <x:v>1221910</x:v>
      </x:c>
      <x:c r="H150" s="8" t="n">
        <x:v>6</x:v>
      </x:c>
      <x:c r="I150" s="8" t="n">
        <x:v>0</x:v>
      </x:c>
      <x:c r="J150" s="8" t="n">
        <x:v>110</x:v>
      </x:c>
      <x:c r="K150" s="8" t="n">
        <x:v>3066</x:v>
      </x:c>
      <x:c r="L150" s="1" t="str">
        <x:v>Нет</x:v>
      </x:c>
      <x:c r="M150" s="1" t="n">
        <x:v>121800</x:v>
      </x:c>
    </x:row>
    <x:row r="151">
      <x:c r="A151" s="1" t="str">
        <x:v>198068987</x:v>
      </x:c>
      <x:c r="B151" s="1" t="str">
        <x:v>hudi/серыймеланж2</x:v>
      </x:c>
      <x:c r="C151" s="1" t="str">
        <x:v>Худи</x:v>
      </x:c>
      <x:c r="D151" s="9" t="n">
        <x:v>9.7</x:v>
      </x:c>
      <x:c r="E151" s="8" t="n">
        <x:v>108960</x:v>
      </x:c>
      <x:c r="F151" s="8" t="n">
        <x:v>1086</x:v>
      </x:c>
      <x:c r="G151" s="8" t="n">
        <x:v>1214600</x:v>
      </x:c>
      <x:c r="H151" s="8" t="n">
        <x:v>212</x:v>
      </x:c>
      <x:c r="I151" s="8" t="n">
        <x:v>0</x:v>
      </x:c>
      <x:c r="J151" s="8" t="n">
        <x:v>2417</x:v>
      </x:c>
      <x:c r="K151" s="8" t="n">
        <x:v>3261</x:v>
      </x:c>
      <x:c r="L151" s="1" t="str">
        <x:v>Нет</x:v>
      </x:c>
      <x:c r="M151" s="1" t="n">
        <x:v>2661528</x:v>
      </x:c>
    </x:row>
    <x:row r="152">
      <x:c r="A152" s="1" t="str">
        <x:v>229154436</x:v>
      </x:c>
      <x:c r="B152" s="1" t="str">
        <x:v>futbolkamanX3/кор-бел-сер</x:v>
      </x:c>
      <x:c r="C152" s="1" t="str">
        <x:v>Футболки</x:v>
      </x:c>
      <x:c r="D152" s="9" t="n">
        <x:v>8.7</x:v>
      </x:c>
      <x:c r="E152" s="8" t="n">
        <x:v>39536</x:v>
      </x:c>
      <x:c r="F152" s="8" t="n">
        <x:v>1288</x:v>
      </x:c>
      <x:c r="G152" s="8" t="n">
        <x:v>1210854</x:v>
      </x:c>
      <x:c r="H152" s="8" t="n">
        <x:v>36</x:v>
      </x:c>
      <x:c r="I152" s="8" t="n">
        <x:v>0</x:v>
      </x:c>
      <x:c r="J152" s="8" t="n">
        <x:v>0</x:v>
      </x:c>
      <x:c r="K152" s="8" t="n">
        <x:v>1730</x:v>
      </x:c>
      <x:c r="L152" s="1" t="str">
        <x:v>Нет</x:v>
      </x:c>
      <x:c r="M152" s="1" t="n">
        <x:v>0</x:v>
      </x:c>
    </x:row>
    <x:row r="153">
      <x:c r="A153" s="1" t="str">
        <x:v>314824307</x:v>
      </x:c>
      <x:c r="B153" s="1" t="str">
        <x:v>kulirkamanprint/era-261/белый</x:v>
      </x:c>
      <x:c r="C153" s="1" t="str">
        <x:v>Футболки</x:v>
      </x:c>
      <x:c r="D153" s="9" t="n">
        <x:v>8.7</x:v>
      </x:c>
      <x:c r="E153" s="8" t="n">
        <x:v>105873</x:v>
      </x:c>
      <x:c r="F153" s="8" t="n">
        <x:v>2144</x:v>
      </x:c>
      <x:c r="G153" s="8" t="n">
        <x:v>1208931</x:v>
      </x:c>
      <x:c r="H153" s="8" t="n">
        <x:v>13</x:v>
      </x:c>
      <x:c r="I153" s="8" t="n">
        <x:v>0</x:v>
      </x:c>
      <x:c r="J153" s="8" t="n">
        <x:v>882</x:v>
      </x:c>
      <x:c r="K153" s="8" t="n">
        <x:v>1169</x:v>
      </x:c>
      <x:c r="L153" s="1" t="str">
        <x:v>Нет</x:v>
      </x:c>
      <x:c r="M153" s="1" t="n">
        <x:v>556387</x:v>
      </x:c>
    </x:row>
    <x:row r="154">
      <x:c r="A154" s="1" t="str">
        <x:v>314824306</x:v>
      </x:c>
      <x:c r="B154" s="1" t="str">
        <x:v>kulirkamanprint/start-260/зеленосерый</x:v>
      </x:c>
      <x:c r="C154" s="1" t="str">
        <x:v>Футболки</x:v>
      </x:c>
      <x:c r="D154" s="9" t="n">
        <x:v>9.7</x:v>
      </x:c>
      <x:c r="E154" s="8" t="n">
        <x:v>109872</x:v>
      </x:c>
      <x:c r="F154" s="8" t="n">
        <x:v>2645</x:v>
      </x:c>
      <x:c r="G154" s="8" t="n">
        <x:v>1204250</x:v>
      </x:c>
      <x:c r="H154" s="8" t="n">
        <x:v>433</x:v>
      </x:c>
      <x:c r="I154" s="8" t="n">
        <x:v>0</x:v>
      </x:c>
      <x:c r="J154" s="8" t="n">
        <x:v>209</x:v>
      </x:c>
      <x:c r="K154" s="8" t="n">
        <x:v>1218</x:v>
      </x:c>
      <x:c r="L154" s="1" t="str">
        <x:v>Нет</x:v>
      </x:c>
      <x:c r="M154" s="1" t="n">
        <x:v>133980</x:v>
      </x:c>
    </x:row>
    <x:row r="155">
      <x:c r="A155" s="1" t="str">
        <x:v>35675795</x:v>
      </x:c>
      <x:c r="B155" s="1" t="str">
        <x:v>hudiman/графит</x:v>
      </x:c>
      <x:c r="C155" s="1" t="str">
        <x:v>Худи</x:v>
      </x:c>
      <x:c r="D155" s="9" t="n">
        <x:v>9.7</x:v>
      </x:c>
      <x:c r="E155" s="8" t="n">
        <x:v>48975</x:v>
      </x:c>
      <x:c r="F155" s="8" t="n">
        <x:v>1280</x:v>
      </x:c>
      <x:c r="G155" s="8" t="n">
        <x:v>1193354</x:v>
      </x:c>
      <x:c r="H155" s="8" t="n">
        <x:v>1024</x:v>
      </x:c>
      <x:c r="I155" s="8" t="n">
        <x:v>0</x:v>
      </x:c>
      <x:c r="J155" s="8" t="n">
        <x:v>972</x:v>
      </x:c>
      <x:c r="K155" s="8" t="n">
        <x:v>2393</x:v>
      </x:c>
      <x:c r="L155" s="1" t="str">
        <x:v>Нет</x:v>
      </x:c>
      <x:c r="M155" s="1" t="n">
        <x:v>979829</x:v>
      </x:c>
    </x:row>
    <x:row r="156">
      <x:c r="A156" s="1" t="str">
        <x:v>229200084</x:v>
      </x:c>
      <x:c r="B156" s="1" t="str">
        <x:v>kulirkaman100/вареныйсерый</x:v>
      </x:c>
      <x:c r="C156" s="1" t="str">
        <x:v>Футболки</x:v>
      </x:c>
      <x:c r="D156" s="9" t="n">
        <x:v>8.7</x:v>
      </x:c>
      <x:c r="E156" s="8" t="n">
        <x:v>89013</x:v>
      </x:c>
      <x:c r="F156" s="8" t="n">
        <x:v>2198</x:v>
      </x:c>
      <x:c r="G156" s="8" t="n">
        <x:v>1190025</x:v>
      </x:c>
      <x:c r="H156" s="8" t="n">
        <x:v>400</x:v>
      </x:c>
      <x:c r="I156" s="8" t="n">
        <x:v>0</x:v>
      </x:c>
      <x:c r="J156" s="8" t="n">
        <x:v>317</x:v>
      </x:c>
      <x:c r="K156" s="8" t="n">
        <x:v>990</x:v>
      </x:c>
      <x:c r="L156" s="1" t="str">
        <x:v>Нет</x:v>
      </x:c>
      <x:c r="M156" s="1" t="n">
        <x:v>227608</x:v>
      </x:c>
    </x:row>
    <x:row r="157">
      <x:c r="A157" s="1" t="str">
        <x:v>333323583</x:v>
      </x:c>
      <x:c r="B157" s="1" t="str">
        <x:v>hudicroppetl/серыймеланж2</x:v>
      </x:c>
      <x:c r="C157" s="1" t="str">
        <x:v>Худи</x:v>
      </x:c>
      <x:c r="D157" s="9" t="n">
        <x:v>8.7</x:v>
      </x:c>
      <x:c r="E157" s="8" t="n">
        <x:v>45462</x:v>
      </x:c>
      <x:c r="F157" s="8" t="n">
        <x:v>1121</x:v>
      </x:c>
      <x:c r="G157" s="8" t="n">
        <x:v>1173668</x:v>
      </x:c>
      <x:c r="H157" s="8" t="n">
        <x:v>77</x:v>
      </x:c>
      <x:c r="I157" s="8" t="n">
        <x:v>0</x:v>
      </x:c>
      <x:c r="J157" s="8" t="n">
        <x:v>113</x:v>
      </x:c>
      <x:c r="K157" s="8" t="n">
        <x:v>3035</x:v>
      </x:c>
      <x:c r="L157" s="1" t="str">
        <x:v>Нет</x:v>
      </x:c>
      <x:c r="M157" s="1" t="n">
        <x:v>92800</x:v>
      </x:c>
    </x:row>
    <x:row r="158">
      <x:c r="A158" s="1" t="str">
        <x:v>196159691</x:v>
      </x:c>
      <x:c r="B158" s="1" t="str">
        <x:v>futbolkaprint/LoveNever-45/молочный</x:v>
      </x:c>
      <x:c r="C158" s="1" t="str">
        <x:v>Футболки</x:v>
      </x:c>
      <x:c r="D158" s="9" t="n">
        <x:v>6.7</x:v>
      </x:c>
      <x:c r="E158" s="8" t="n">
        <x:v>118375</x:v>
      </x:c>
      <x:c r="F158" s="8" t="n">
        <x:v>1978</x:v>
      </x:c>
      <x:c r="G158" s="8" t="n">
        <x:v>1164974</x:v>
      </x:c>
      <x:c r="H158" s="8" t="n">
        <x:v>33</x:v>
      </x:c>
      <x:c r="I158" s="8" t="n">
        <x:v>0</x:v>
      </x:c>
      <x:c r="J158" s="8" t="n">
        <x:v>1752</x:v>
      </x:c>
      <x:c r="K158" s="8" t="n">
        <x:v>1170</x:v>
      </x:c>
      <x:c r="L158" s="1" t="str">
        <x:v>Нет</x:v>
      </x:c>
      <x:c r="M158" s="1" t="n">
        <x:v>1241674</x:v>
      </x:c>
    </x:row>
    <x:row r="159">
      <x:c r="A159" s="1" t="str">
        <x:v>165788813</x:v>
      </x:c>
      <x:c r="B159" s="1" t="str">
        <x:v>hudi/синий</x:v>
      </x:c>
      <x:c r="C159" s="1" t="str">
        <x:v>Худи</x:v>
      </x:c>
      <x:c r="D159" s="9" t="n">
        <x:v>9.7</x:v>
      </x:c>
      <x:c r="E159" s="8" t="n">
        <x:v>70673</x:v>
      </x:c>
      <x:c r="F159" s="8" t="n">
        <x:v>843</x:v>
      </x:c>
      <x:c r="G159" s="8" t="n">
        <x:v>1160644</x:v>
      </x:c>
      <x:c r="H159" s="8" t="n">
        <x:v>5</x:v>
      </x:c>
      <x:c r="I159" s="8" t="n">
        <x:v>0</x:v>
      </x:c>
      <x:c r="J159" s="8" t="n">
        <x:v>1263</x:v>
      </x:c>
      <x:c r="K159" s="8" t="n">
        <x:v>3038</x:v>
      </x:c>
      <x:c r="L159" s="1" t="str">
        <x:v>Нет</x:v>
      </x:c>
      <x:c r="M159" s="1" t="n">
        <x:v>1631796</x:v>
      </x:c>
    </x:row>
    <x:row r="160">
      <x:c r="A160" s="1" t="str">
        <x:v>229154428</x:v>
      </x:c>
      <x:c r="B160" s="1" t="str">
        <x:v>futbolkamanoverX3/кор-бел-сер</x:v>
      </x:c>
      <x:c r="C160" s="1" t="str">
        <x:v>Футболки</x:v>
      </x:c>
      <x:c r="D160" s="9" t="n">
        <x:v>8.4</x:v>
      </x:c>
      <x:c r="E160" s="8" t="n">
        <x:v>41419</x:v>
      </x:c>
      <x:c r="F160" s="8" t="n">
        <x:v>919</x:v>
      </x:c>
      <x:c r="G160" s="8" t="n">
        <x:v>1156465</x:v>
      </x:c>
      <x:c r="H160" s="8" t="n">
        <x:v>186</x:v>
      </x:c>
      <x:c r="I160" s="8" t="n">
        <x:v>0</x:v>
      </x:c>
      <x:c r="J160" s="8" t="n">
        <x:v>38</x:v>
      </x:c>
      <x:c r="K160" s="8" t="n">
        <x:v>2637</x:v>
      </x:c>
      <x:c r="L160" s="1" t="str">
        <x:v>Нет</x:v>
      </x:c>
      <x:c r="M160" s="1" t="n">
        <x:v>54664</x:v>
      </x:c>
    </x:row>
    <x:row r="161">
      <x:c r="A161" s="1" t="str">
        <x:v>288644217</x:v>
      </x:c>
      <x:c r="B161" s="1" t="str">
        <x:v>hudicrop1/коричневый</x:v>
      </x:c>
      <x:c r="C161" s="1" t="str">
        <x:v>Худи</x:v>
      </x:c>
      <x:c r="D161" s="9" t="n">
        <x:v>8.7</x:v>
      </x:c>
      <x:c r="E161" s="8" t="n">
        <x:v>70446</x:v>
      </x:c>
      <x:c r="F161" s="8" t="n">
        <x:v>960</x:v>
      </x:c>
      <x:c r="G161" s="8" t="n">
        <x:v>1150461</x:v>
      </x:c>
      <x:c r="H161" s="8" t="n">
        <x:v>7</x:v>
      </x:c>
      <x:c r="I161" s="8" t="n">
        <x:v>0</x:v>
      </x:c>
      <x:c r="J161" s="8" t="n">
        <x:v>1838</x:v>
      </x:c>
      <x:c r="K161" s="8" t="n">
        <x:v>3331</x:v>
      </x:c>
      <x:c r="L161" s="1" t="str">
        <x:v>Нет</x:v>
      </x:c>
      <x:c r="M161" s="1" t="n">
        <x:v>2352604</x:v>
      </x:c>
    </x:row>
    <x:row r="162">
      <x:c r="A162" s="1" t="str">
        <x:v>211585146</x:v>
      </x:c>
      <x:c r="B162" s="1" t="str">
        <x:v>tolstovkazip/коричневый</x:v>
      </x:c>
      <x:c r="C162" s="1" t="str">
        <x:v>Худи</x:v>
      </x:c>
      <x:c r="D162" s="9" t="n">
        <x:v>9.7</x:v>
      </x:c>
      <x:c r="E162" s="8" t="n">
        <x:v>45972</x:v>
      </x:c>
      <x:c r="F162" s="8" t="n">
        <x:v>816</x:v>
      </x:c>
      <x:c r="G162" s="8" t="n">
        <x:v>1147044</x:v>
      </x:c>
      <x:c r="H162" s="8" t="n">
        <x:v>2</x:v>
      </x:c>
      <x:c r="I162" s="8" t="n">
        <x:v>0</x:v>
      </x:c>
      <x:c r="J162" s="8" t="n">
        <x:v>216</x:v>
      </x:c>
      <x:c r="K162" s="8" t="n">
        <x:v>3456</x:v>
      </x:c>
      <x:c r="L162" s="1" t="str">
        <x:v>Нет</x:v>
      </x:c>
      <x:c r="M162" s="1" t="n">
        <x:v>308748</x:v>
      </x:c>
    </x:row>
    <x:row r="163">
      <x:c r="A163" s="1" t="str">
        <x:v>200739285</x:v>
      </x:c>
      <x:c r="B163" s="1" t="str">
        <x:v>tolstovkazip/серыймеланж2</x:v>
      </x:c>
      <x:c r="C163" s="1" t="str">
        <x:v>Худи</x:v>
      </x:c>
      <x:c r="D163" s="9" t="n">
        <x:v>9.7</x:v>
      </x:c>
      <x:c r="E163" s="8" t="n">
        <x:v>70650</x:v>
      </x:c>
      <x:c r="F163" s="8" t="n">
        <x:v>814</x:v>
      </x:c>
      <x:c r="G163" s="8" t="n">
        <x:v>1144723</x:v>
      </x:c>
      <x:c r="H163" s="8" t="n">
        <x:v>118</x:v>
      </x:c>
      <x:c r="I163" s="8" t="n">
        <x:v>0</x:v>
      </x:c>
      <x:c r="J163" s="8" t="n">
        <x:v>926</x:v>
      </x:c>
      <x:c r="K163" s="8" t="n">
        <x:v>4187</x:v>
      </x:c>
      <x:c r="L163" s="1" t="str">
        <x:v>Нет</x:v>
      </x:c>
      <x:c r="M163" s="1" t="n">
        <x:v>1369471</x:v>
      </x:c>
    </x:row>
    <x:row r="164">
      <x:c r="A164" s="1" t="str">
        <x:v>321787189</x:v>
      </x:c>
      <x:c r="B164" s="1" t="str">
        <x:v>tshirtsuperover3K-E1/черный</x:v>
      </x:c>
      <x:c r="C164" s="1" t="str">
        <x:v>Футболки</x:v>
      </x:c>
      <x:c r="D164" s="9" t="n">
        <x:v>8.7</x:v>
      </x:c>
      <x:c r="E164" s="8" t="n">
        <x:v>107476</x:v>
      </x:c>
      <x:c r="F164" s="8" t="n">
        <x:v>1549</x:v>
      </x:c>
      <x:c r="G164" s="8" t="n">
        <x:v>1130536</x:v>
      </x:c>
      <x:c r="H164" s="8" t="n">
        <x:v>553</x:v>
      </x:c>
      <x:c r="I164" s="8" t="n">
        <x:v>0</x:v>
      </x:c>
      <x:c r="J164" s="8" t="n">
        <x:v>366</x:v>
      </x:c>
      <x:c r="K164" s="8" t="n">
        <x:v>1290</x:v>
      </x:c>
      <x:c r="L164" s="1" t="str">
        <x:v>Нет</x:v>
      </x:c>
      <x:c r="M164" s="1" t="n">
        <x:v>218900</x:v>
      </x:c>
    </x:row>
    <x:row r="165">
      <x:c r="A165" s="1" t="str">
        <x:v>222802037</x:v>
      </x:c>
      <x:c r="B165" s="1" t="str">
        <x:v>brukimanpetl/серыймеланж2</x:v>
      </x:c>
      <x:c r="C165" s="1" t="str">
        <x:v>Брюки</x:v>
      </x:c>
      <x:c r="D165" s="9" t="n">
        <x:v>8.7</x:v>
      </x:c>
      <x:c r="E165" s="8" t="n">
        <x:v>36968</x:v>
      </x:c>
      <x:c r="F165" s="8" t="n">
        <x:v>1419</x:v>
      </x:c>
      <x:c r="G165" s="8" t="n">
        <x:v>1121487</x:v>
      </x:c>
      <x:c r="H165" s="8" t="n">
        <x:v>125</x:v>
      </x:c>
      <x:c r="I165" s="8" t="n">
        <x:v>0</x:v>
      </x:c>
      <x:c r="J165" s="8" t="n">
        <x:v>1726</x:v>
      </x:c>
      <x:c r="K165" s="8" t="n">
        <x:v>2984</x:v>
      </x:c>
      <x:c r="L165" s="1" t="str">
        <x:v>Нет</x:v>
      </x:c>
      <x:c r="M165" s="1" t="n">
        <x:v>1503152</x:v>
      </x:c>
    </x:row>
    <x:row r="166">
      <x:c r="A166" s="1" t="str">
        <x:v>297440101</x:v>
      </x:c>
      <x:c r="B166" s="1" t="str">
        <x:v>longover/пудровый</x:v>
      </x:c>
      <x:c r="C166" s="1" t="str">
        <x:v>Лонгсливы</x:v>
      </x:c>
      <x:c r="D166" s="9" t="n">
        <x:v>8.7</x:v>
      </x:c>
      <x:c r="E166" s="8" t="n">
        <x:v>124520</x:v>
      </x:c>
      <x:c r="F166" s="8" t="n">
        <x:v>2608</x:v>
      </x:c>
      <x:c r="G166" s="8" t="n">
        <x:v>1113353</x:v>
      </x:c>
      <x:c r="H166" s="8" t="n">
        <x:v>988</x:v>
      </x:c>
      <x:c r="I166" s="8" t="n">
        <x:v>0</x:v>
      </x:c>
      <x:c r="J166" s="8" t="n">
        <x:v>2185</x:v>
      </x:c>
      <x:c r="K166" s="8" t="n">
        <x:v>1177</x:v>
      </x:c>
      <x:c r="L166" s="1" t="str">
        <x:v>Нет</x:v>
      </x:c>
      <x:c r="M166" s="1" t="n">
        <x:v>1040151</x:v>
      </x:c>
    </x:row>
    <x:row r="167">
      <x:c r="A167" s="1" t="str">
        <x:v>297352523</x:v>
      </x:c>
      <x:c r="B167" s="1" t="str">
        <x:v>tolstovkazipman/изумрудно-зеленый</x:v>
      </x:c>
      <x:c r="C167" s="1" t="str">
        <x:v>Худи</x:v>
      </x:c>
      <x:c r="D167" s="9" t="n">
        <x:v>9</x:v>
      </x:c>
      <x:c r="E167" s="8" t="n">
        <x:v>69308</x:v>
      </x:c>
      <x:c r="F167" s="8" t="n">
        <x:v>833</x:v>
      </x:c>
      <x:c r="G167" s="8" t="n">
        <x:v>1105855</x:v>
      </x:c>
      <x:c r="H167" s="8" t="n">
        <x:v>74</x:v>
      </x:c>
      <x:c r="I167" s="8" t="n">
        <x:v>0</x:v>
      </x:c>
      <x:c r="J167" s="8" t="n">
        <x:v>388</x:v>
      </x:c>
      <x:c r="K167" s="8" t="n">
        <x:v>3240</x:v>
      </x:c>
      <x:c r="L167" s="1" t="str">
        <x:v>Нет</x:v>
      </x:c>
      <x:c r="M167" s="1" t="n">
        <x:v>483747</x:v>
      </x:c>
    </x:row>
    <x:row r="168">
      <x:c r="A168" s="1" t="str">
        <x:v>207468068</x:v>
      </x:c>
      <x:c r="B168" s="1" t="str">
        <x:v>kulirkamanprint/Brukman-42/черный</x:v>
      </x:c>
      <x:c r="C168" s="1" t="str">
        <x:v>Футболки</x:v>
      </x:c>
      <x:c r="D168" s="9" t="n">
        <x:v>7.7</x:v>
      </x:c>
      <x:c r="E168" s="8" t="n">
        <x:v>73262</x:v>
      </x:c>
      <x:c r="F168" s="8" t="n">
        <x:v>1894</x:v>
      </x:c>
      <x:c r="G168" s="8" t="n">
        <x:v>1105846</x:v>
      </x:c>
      <x:c r="H168" s="8" t="n">
        <x:v>766</x:v>
      </x:c>
      <x:c r="I168" s="8" t="n">
        <x:v>0</x:v>
      </x:c>
      <x:c r="J168" s="8" t="n">
        <x:v>2490</x:v>
      </x:c>
      <x:c r="K168" s="8" t="n">
        <x:v>1131</x:v>
      </x:c>
      <x:c r="L168" s="1" t="str">
        <x:v>Нет</x:v>
      </x:c>
      <x:c r="M168" s="1" t="n">
        <x:v>1486218</x:v>
      </x:c>
    </x:row>
    <x:row r="169">
      <x:c r="A169" s="1" t="str">
        <x:v>289102047</x:v>
      </x:c>
      <x:c r="B169" s="1" t="str">
        <x:v>tolstovkazip3P-70/черный</x:v>
      </x:c>
      <x:c r="C169" s="1" t="str">
        <x:v>Худи</x:v>
      </x:c>
      <x:c r="D169" s="9" t="n">
        <x:v>9.7</x:v>
      </x:c>
      <x:c r="E169" s="8" t="n">
        <x:v>93593</x:v>
      </x:c>
      <x:c r="F169" s="8" t="n">
        <x:v>1108</x:v>
      </x:c>
      <x:c r="G169" s="8" t="n">
        <x:v>1103424</x:v>
      </x:c>
      <x:c r="H169" s="8" t="n">
        <x:v>86</x:v>
      </x:c>
      <x:c r="I169" s="8" t="n">
        <x:v>0</x:v>
      </x:c>
      <x:c r="J169" s="8" t="n">
        <x:v>443</x:v>
      </x:c>
      <x:c r="K169" s="8" t="n">
        <x:v>2817</x:v>
      </x:c>
      <x:c r="L169" s="1" t="str">
        <x:v>Нет</x:v>
      </x:c>
      <x:c r="M169" s="1" t="n">
        <x:v>428006</x:v>
      </x:c>
    </x:row>
    <x:row r="170">
      <x:c r="A170" s="1" t="str">
        <x:v>165911129</x:v>
      </x:c>
      <x:c r="B170" s="1" t="str">
        <x:v>longman/черный</x:v>
      </x:c>
      <x:c r="C170" s="1" t="str">
        <x:v>Лонгсливы</x:v>
      </x:c>
      <x:c r="D170" s="9" t="n">
        <x:v>5.2</x:v>
      </x:c>
      <x:c r="E170" s="8" t="n">
        <x:v>49182</x:v>
      </x:c>
      <x:c r="F170" s="8" t="n">
        <x:v>2308</x:v>
      </x:c>
      <x:c r="G170" s="8" t="n">
        <x:v>1094007</x:v>
      </x:c>
      <x:c r="H170" s="8" t="n">
        <x:v>1130</x:v>
      </x:c>
      <x:c r="I170" s="8" t="n">
        <x:v>0</x:v>
      </x:c>
      <x:c r="J170" s="8" t="n">
        <x:v>945</x:v>
      </x:c>
      <x:c r="K170" s="8" t="n">
        <x:v>967</x:v>
      </x:c>
      <x:c r="L170" s="1" t="str">
        <x:v>Нет</x:v>
      </x:c>
      <x:c r="M170" s="1" t="n">
        <x:v>542051</x:v>
      </x:c>
    </x:row>
    <x:row r="171">
      <x:c r="A171" s="1" t="str">
        <x:v>145845813</x:v>
      </x:c>
      <x:c r="B171" s="1" t="str">
        <x:v>svitshotman/черный</x:v>
      </x:c>
      <x:c r="C171" s="1" t="str">
        <x:v>Свитшоты</x:v>
      </x:c>
      <x:c r="D171" s="9" t="n">
        <x:v>9.7</x:v>
      </x:c>
      <x:c r="E171" s="8" t="n">
        <x:v>34304</x:v>
      </x:c>
      <x:c r="F171" s="8" t="n">
        <x:v>930</x:v>
      </x:c>
      <x:c r="G171" s="8" t="n">
        <x:v>1089370</x:v>
      </x:c>
      <x:c r="H171" s="8" t="n">
        <x:v>418</x:v>
      </x:c>
      <x:c r="I171" s="8" t="n">
        <x:v>0</x:v>
      </x:c>
      <x:c r="J171" s="8" t="n">
        <x:v>1156</x:v>
      </x:c>
      <x:c r="K171" s="8" t="n">
        <x:v>2339</x:v>
      </x:c>
      <x:c r="L171" s="1" t="str">
        <x:v>Нет</x:v>
      </x:c>
      <x:c r="M171" s="1" t="n">
        <x:v>1467993</x:v>
      </x:c>
    </x:row>
    <x:row r="172">
      <x:c r="A172" s="1" t="str">
        <x:v>260797899</x:v>
      </x:c>
      <x:c r="B172" s="1" t="str">
        <x:v>hudicrop1/розовый</x:v>
      </x:c>
      <x:c r="C172" s="1" t="str">
        <x:v>Худи</x:v>
      </x:c>
      <x:c r="D172" s="9" t="n">
        <x:v>8.7</x:v>
      </x:c>
      <x:c r="E172" s="8" t="n">
        <x:v>66356</x:v>
      </x:c>
      <x:c r="F172" s="8" t="n">
        <x:v>1003</x:v>
      </x:c>
      <x:c r="G172" s="8" t="n">
        <x:v>1088147</x:v>
      </x:c>
      <x:c r="H172" s="8" t="n">
        <x:v>154</x:v>
      </x:c>
      <x:c r="I172" s="8" t="n">
        <x:v>0</x:v>
      </x:c>
      <x:c r="J172" s="8" t="n">
        <x:v>2155</x:v>
      </x:c>
      <x:c r="K172" s="8" t="n">
        <x:v>2818</x:v>
      </x:c>
      <x:c r="L172" s="1" t="str">
        <x:v>Нет</x:v>
      </x:c>
      <x:c r="M172" s="1" t="n">
        <x:v>2469880</x:v>
      </x:c>
    </x:row>
    <x:row r="173">
      <x:c r="A173" s="1" t="str">
        <x:v>320870101</x:v>
      </x:c>
      <x:c r="B173" s="1" t="str">
        <x:v>kostyumfix3P-37-63/серый</x:v>
      </x:c>
      <x:c r="C173" s="1" t="str">
        <x:v>Костюмы спортивные</x:v>
      </x:c>
      <x:c r="D173" s="9" t="n">
        <x:v>8.7</x:v>
      </x:c>
      <x:c r="E173" s="8" t="n">
        <x:v>94459</x:v>
      </x:c>
      <x:c r="F173" s="8" t="n">
        <x:v>759</x:v>
      </x:c>
      <x:c r="G173" s="8" t="n">
        <x:v>1073802</x:v>
      </x:c>
      <x:c r="H173" s="8" t="n">
        <x:v>48</x:v>
      </x:c>
      <x:c r="I173" s="8" t="n">
        <x:v>0</x:v>
      </x:c>
      <x:c r="J173" s="8" t="n">
        <x:v>0</x:v>
      </x:c>
      <x:c r="K173" s="8" t="n">
        <x:v>5501</x:v>
      </x:c>
      <x:c r="L173" s="1" t="str">
        <x:v>Нет</x:v>
      </x:c>
      <x:c r="M173" s="1" t="n">
        <x:v>0</x:v>
      </x:c>
    </x:row>
    <x:row r="174">
      <x:c r="A174" s="1" t="str">
        <x:v>211585139</x:v>
      </x:c>
      <x:c r="B174" s="1" t="str">
        <x:v>tolstovkazip/графит</x:v>
      </x:c>
      <x:c r="C174" s="1" t="str">
        <x:v>Худи</x:v>
      </x:c>
      <x:c r="D174" s="9" t="n">
        <x:v>7.7</x:v>
      </x:c>
      <x:c r="E174" s="8" t="n">
        <x:v>99872</x:v>
      </x:c>
      <x:c r="F174" s="8" t="n">
        <x:v>846</x:v>
      </x:c>
      <x:c r="G174" s="8" t="n">
        <x:v>1069921</x:v>
      </x:c>
      <x:c r="H174" s="8" t="n">
        <x:v>1</x:v>
      </x:c>
      <x:c r="I174" s="8" t="n">
        <x:v>0</x:v>
      </x:c>
      <x:c r="J174" s="8" t="n">
        <x:v>1433</x:v>
      </x:c>
      <x:c r="K174" s="8" t="n">
        <x:v>2997</x:v>
      </x:c>
      <x:c r="L174" s="1" t="str">
        <x:v>Нет</x:v>
      </x:c>
      <x:c r="M174" s="1" t="n">
        <x:v>1956599</x:v>
      </x:c>
    </x:row>
    <x:row r="175">
      <x:c r="A175" s="1" t="str">
        <x:v>271383074</x:v>
      </x:c>
      <x:c r="B175" s="1" t="str">
        <x:v>shtanyfix/серыймеланж2</x:v>
      </x:c>
      <x:c r="C175" s="1" t="str">
        <x:v>Брюки</x:v>
      </x:c>
      <x:c r="D175" s="9" t="n">
        <x:v>8.2</x:v>
      </x:c>
      <x:c r="E175" s="8" t="n">
        <x:v>57443</x:v>
      </x:c>
      <x:c r="F175" s="8" t="n">
        <x:v>1141</x:v>
      </x:c>
      <x:c r="G175" s="8" t="n">
        <x:v>1065121</x:v>
      </x:c>
      <x:c r="H175" s="8" t="n">
        <x:v>6</x:v>
      </x:c>
      <x:c r="I175" s="8" t="n">
        <x:v>0</x:v>
      </x:c>
      <x:c r="J175" s="8" t="n">
        <x:v>1855</x:v>
      </x:c>
      <x:c r="K175" s="8" t="n">
        <x:v>3038</x:v>
      </x:c>
      <x:c r="L175" s="1" t="str">
        <x:v>Нет</x:v>
      </x:c>
      <x:c r="M175" s="1" t="n">
        <x:v>1735581</x:v>
      </x:c>
    </x:row>
    <x:row r="176">
      <x:c r="A176" s="1" t="str">
        <x:v>246363122</x:v>
      </x:c>
      <x:c r="B176" s="1" t="str">
        <x:v>tolstovkazip/милка</x:v>
      </x:c>
      <x:c r="C176" s="1" t="str">
        <x:v>Худи</x:v>
      </x:c>
      <x:c r="D176" s="9" t="n">
        <x:v>9.7</x:v>
      </x:c>
      <x:c r="E176" s="8" t="n">
        <x:v>105591</x:v>
      </x:c>
      <x:c r="F176" s="8" t="n">
        <x:v>875</x:v>
      </x:c>
      <x:c r="G176" s="8" t="n">
        <x:v>1050596</x:v>
      </x:c>
      <x:c r="H176" s="8" t="n">
        <x:v>41</x:v>
      </x:c>
      <x:c r="I176" s="8" t="n">
        <x:v>0</x:v>
      </x:c>
      <x:c r="J176" s="8" t="n">
        <x:v>487</x:v>
      </x:c>
      <x:c r="K176" s="8" t="n">
        <x:v>2877</x:v>
      </x:c>
      <x:c r="L176" s="1" t="str">
        <x:v>Нет</x:v>
      </x:c>
      <x:c r="M176" s="1" t="n">
        <x:v>523086</x:v>
      </x:c>
    </x:row>
    <x:row r="177">
      <x:c r="A177" s="1" t="str">
        <x:v>222798575</x:v>
      </x:c>
      <x:c r="B177" s="1" t="str">
        <x:v>brukimanpetl/черный</x:v>
      </x:c>
      <x:c r="C177" s="1" t="str">
        <x:v>Брюки</x:v>
      </x:c>
      <x:c r="D177" s="9" t="n">
        <x:v>8.7</x:v>
      </x:c>
      <x:c r="E177" s="8" t="n">
        <x:v>33968</x:v>
      </x:c>
      <x:c r="F177" s="8" t="n">
        <x:v>1495</x:v>
      </x:c>
      <x:c r="G177" s="8" t="n">
        <x:v>1044697</x:v>
      </x:c>
      <x:c r="H177" s="8" t="n">
        <x:v>47</x:v>
      </x:c>
      <x:c r="I177" s="8" t="n">
        <x:v>0</x:v>
      </x:c>
      <x:c r="J177" s="8" t="n">
        <x:v>2011</x:v>
      </x:c>
      <x:c r="K177" s="8" t="n">
        <x:v>2914</x:v>
      </x:c>
      <x:c r="L177" s="1" t="str">
        <x:v>Нет</x:v>
      </x:c>
      <x:c r="M177" s="1" t="n">
        <x:v>1637220</x:v>
      </x:c>
    </x:row>
    <x:row r="178">
      <x:c r="A178" s="1" t="str">
        <x:v>165757790</x:v>
      </x:c>
      <x:c r="B178" s="1" t="str">
        <x:v>kulirkaman/эвкалипт</x:v>
      </x:c>
      <x:c r="C178" s="1" t="str">
        <x:v>Футболки</x:v>
      </x:c>
      <x:c r="D178" s="9" t="n">
        <x:v>8.7</x:v>
      </x:c>
      <x:c r="E178" s="8" t="n">
        <x:v>44583</x:v>
      </x:c>
      <x:c r="F178" s="8" t="n">
        <x:v>1957</x:v>
      </x:c>
      <x:c r="G178" s="8" t="n">
        <x:v>1038595</x:v>
      </x:c>
      <x:c r="H178" s="8" t="n">
        <x:v>1023</x:v>
      </x:c>
      <x:c r="I178" s="8" t="n">
        <x:v>0</x:v>
      </x:c>
      <x:c r="J178" s="8" t="n">
        <x:v>1571</x:v>
      </x:c>
      <x:c r="K178" s="8" t="n">
        <x:v>1036</x:v>
      </x:c>
      <x:c r="L178" s="1" t="str">
        <x:v>Нет</x:v>
      </x:c>
      <x:c r="M178" s="1" t="n">
        <x:v>1013461</x:v>
      </x:c>
    </x:row>
    <x:row r="179">
      <x:c r="A179" s="1" t="str">
        <x:v>321695208</x:v>
      </x:c>
      <x:c r="B179" s="1" t="str">
        <x:v>polowoman3K-89/черный</x:v>
      </x:c>
      <x:c r="C179" s="1" t="str">
        <x:v>Футболки</x:v>
      </x:c>
      <x:c r="D179" s="9" t="n">
        <x:v>8.7</x:v>
      </x:c>
      <x:c r="E179" s="8" t="n">
        <x:v>109618</x:v>
      </x:c>
      <x:c r="F179" s="8" t="n">
        <x:v>1723</x:v>
      </x:c>
      <x:c r="G179" s="8" t="n">
        <x:v>1038163</x:v>
      </x:c>
      <x:c r="H179" s="8" t="n">
        <x:v>158</x:v>
      </x:c>
      <x:c r="I179" s="8" t="n">
        <x:v>0</x:v>
      </x:c>
      <x:c r="J179" s="8" t="n">
        <x:v>0</x:v>
      </x:c>
      <x:c r="K179" s="8" t="n">
        <x:v>1199</x:v>
      </x:c>
      <x:c r="L179" s="1" t="str">
        <x:v>Нет</x:v>
      </x:c>
      <x:c r="M179" s="1" t="n">
        <x:v>0</x:v>
      </x:c>
    </x:row>
    <x:row r="180">
      <x:c r="A180" s="1" t="str">
        <x:v>297361800</x:v>
      </x:c>
      <x:c r="B180" s="1" t="str">
        <x:v>hudicrop1/бежевый</x:v>
      </x:c>
      <x:c r="C180" s="1" t="str">
        <x:v>Худи</x:v>
      </x:c>
      <x:c r="D180" s="9" t="n">
        <x:v>8.7</x:v>
      </x:c>
      <x:c r="E180" s="8" t="n">
        <x:v>102487</x:v>
      </x:c>
      <x:c r="F180" s="8" t="n">
        <x:v>1285</x:v>
      </x:c>
      <x:c r="G180" s="8" t="n">
        <x:v>1034653</x:v>
      </x:c>
      <x:c r="H180" s="8" t="n">
        <x:v>353</x:v>
      </x:c>
      <x:c r="I180" s="8" t="n">
        <x:v>0</x:v>
      </x:c>
      <x:c r="J180" s="8" t="n">
        <x:v>1329</x:v>
      </x:c>
      <x:c r="K180" s="8" t="n">
        <x:v>2341</x:v>
      </x:c>
      <x:c r="L180" s="1" t="str">
        <x:v>Нет</x:v>
      </x:c>
      <x:c r="M180" s="1" t="n">
        <x:v>1173783</x:v>
      </x:c>
    </x:row>
    <x:row r="181">
      <x:c r="A181" s="1" t="str">
        <x:v>333323581</x:v>
      </x:c>
      <x:c r="B181" s="1" t="str">
        <x:v>hudicroppetl/светло-розовый</x:v>
      </x:c>
      <x:c r="C181" s="1" t="str">
        <x:v>Худи</x:v>
      </x:c>
      <x:c r="D181" s="9" t="n">
        <x:v>8.7</x:v>
      </x:c>
      <x:c r="E181" s="8" t="n">
        <x:v>57214</x:v>
      </x:c>
      <x:c r="F181" s="8" t="n">
        <x:v>1054</x:v>
      </x:c>
      <x:c r="G181" s="8" t="n">
        <x:v>1030383</x:v>
      </x:c>
      <x:c r="H181" s="8" t="n">
        <x:v>1</x:v>
      </x:c>
      <x:c r="I181" s="8" t="n">
        <x:v>0</x:v>
      </x:c>
      <x:c r="J181" s="8" t="n">
        <x:v>216</x:v>
      </x:c>
      <x:c r="K181" s="8" t="n">
        <x:v>3067</x:v>
      </x:c>
      <x:c r="L181" s="1" t="str">
        <x:v>Нет</x:v>
      </x:c>
      <x:c r="M181" s="1" t="n">
        <x:v>261000</x:v>
      </x:c>
    </x:row>
    <x:row r="182">
      <x:c r="A182" s="1" t="str">
        <x:v>171386779</x:v>
      </x:c>
      <x:c r="B182" s="1" t="str">
        <x:v>hudi/темно-серый</x:v>
      </x:c>
      <x:c r="C182" s="1" t="str">
        <x:v>Худи</x:v>
      </x:c>
      <x:c r="D182" s="9" t="n">
        <x:v>9.7</x:v>
      </x:c>
      <x:c r="E182" s="8" t="n">
        <x:v>79664</x:v>
      </x:c>
      <x:c r="F182" s="8" t="n">
        <x:v>1279</x:v>
      </x:c>
      <x:c r="G182" s="8" t="n">
        <x:v>1027665</x:v>
      </x:c>
      <x:c r="H182" s="8" t="n">
        <x:v>57</x:v>
      </x:c>
      <x:c r="I182" s="8" t="n">
        <x:v>0</x:v>
      </x:c>
      <x:c r="J182" s="8" t="n">
        <x:v>1230</x:v>
      </x:c>
      <x:c r="K182" s="8" t="n">
        <x:v>2499</x:v>
      </x:c>
      <x:c r="L182" s="1" t="str">
        <x:v>Нет</x:v>
      </x:c>
      <x:c r="M182" s="1" t="n">
        <x:v>1124365</x:v>
      </x:c>
    </x:row>
    <x:row r="183">
      <x:c r="A183" s="1" t="str">
        <x:v>333167632</x:v>
      </x:c>
      <x:c r="B183" s="1" t="str">
        <x:v>futbolkamanX3/чер-бел-бордо</x:v>
      </x:c>
      <x:c r="C183" s="1" t="str">
        <x:v>Футболки</x:v>
      </x:c>
      <x:c r="D183" s="9" t="n">
        <x:v>8</x:v>
      </x:c>
      <x:c r="E183" s="8" t="n">
        <x:v>45709</x:v>
      </x:c>
      <x:c r="F183" s="8" t="n">
        <x:v>904</x:v>
      </x:c>
      <x:c r="G183" s="8" t="n">
        <x:v>1020566</x:v>
      </x:c>
      <x:c r="H183" s="8" t="n">
        <x:v>54</x:v>
      </x:c>
      <x:c r="I183" s="8" t="n">
        <x:v>0</x:v>
      </x:c>
      <x:c r="J183" s="8" t="n">
        <x:v>0</x:v>
      </x:c>
      <x:c r="K183" s="8" t="n">
        <x:v>2050</x:v>
      </x:c>
      <x:c r="L183" s="1" t="str">
        <x:v>Нет</x:v>
      </x:c>
      <x:c r="M183" s="1" t="n">
        <x:v>0</x:v>
      </x:c>
    </x:row>
    <x:row r="184">
      <x:c r="A184" s="1" t="str">
        <x:v>165757799</x:v>
      </x:c>
      <x:c r="B184" s="1" t="str">
        <x:v>kulirkaman/морскаяволна</x:v>
      </x:c>
      <x:c r="C184" s="1" t="str">
        <x:v>Футболки</x:v>
      </x:c>
      <x:c r="D184" s="9" t="n">
        <x:v>8.7</x:v>
      </x:c>
      <x:c r="E184" s="8" t="n">
        <x:v>42531</x:v>
      </x:c>
      <x:c r="F184" s="8" t="n">
        <x:v>1479</x:v>
      </x:c>
      <x:c r="G184" s="8" t="n">
        <x:v>1014392</x:v>
      </x:c>
      <x:c r="H184" s="8" t="n">
        <x:v>1233</x:v>
      </x:c>
      <x:c r="I184" s="8" t="n">
        <x:v>0</x:v>
      </x:c>
      <x:c r="J184" s="8" t="n">
        <x:v>1809</x:v>
      </x:c>
      <x:c r="K184" s="8" t="n">
        <x:v>1206</x:v>
      </x:c>
      <x:c r="L184" s="1" t="str">
        <x:v>Нет</x:v>
      </x:c>
      <x:c r="M184" s="1" t="n">
        <x:v>1284759</x:v>
      </x:c>
    </x:row>
    <x:row r="185">
      <x:c r="A185" s="1" t="str">
        <x:v>251152855</x:v>
      </x:c>
      <x:c r="B185" s="1" t="str">
        <x:v>hudivish/Essere-26в/песочный</x:v>
      </x:c>
      <x:c r="C185" s="1" t="str">
        <x:v>Худи</x:v>
      </x:c>
      <x:c r="D185" s="9" t="n">
        <x:v>9.7</x:v>
      </x:c>
      <x:c r="E185" s="8" t="n">
        <x:v>79218</x:v>
      </x:c>
      <x:c r="F185" s="8" t="n">
        <x:v>928</x:v>
      </x:c>
      <x:c r="G185" s="8" t="n">
        <x:v>1010732</x:v>
      </x:c>
      <x:c r="H185" s="8" t="n">
        <x:v>104</x:v>
      </x:c>
      <x:c r="I185" s="8" t="n">
        <x:v>0</x:v>
      </x:c>
      <x:c r="J185" s="8" t="n">
        <x:v>590</x:v>
      </x:c>
      <x:c r="K185" s="8" t="n">
        <x:v>3013</x:v>
      </x:c>
      <x:c r="L185" s="1" t="str">
        <x:v>Нет</x:v>
      </x:c>
      <x:c r="M185" s="1" t="n">
        <x:v>655474</x:v>
      </x:c>
    </x:row>
    <x:row r="186">
      <x:c r="A186" s="1" t="str">
        <x:v>222802039</x:v>
      </x:c>
      <x:c r="B186" s="1" t="str">
        <x:v>hudipetl/голубой</x:v>
      </x:c>
      <x:c r="C186" s="1" t="str">
        <x:v>Худи</x:v>
      </x:c>
      <x:c r="D186" s="9" t="n">
        <x:v>8.7</x:v>
      </x:c>
      <x:c r="E186" s="8" t="n">
        <x:v>89984</x:v>
      </x:c>
      <x:c r="F186" s="8" t="n">
        <x:v>1076</x:v>
      </x:c>
      <x:c r="G186" s="8" t="n">
        <x:v>1007844</x:v>
      </x:c>
      <x:c r="H186" s="8" t="n">
        <x:v>78</x:v>
      </x:c>
      <x:c r="I186" s="8" t="n">
        <x:v>0</x:v>
      </x:c>
      <x:c r="J186" s="8" t="n">
        <x:v>504</x:v>
      </x:c>
      <x:c r="K186" s="8" t="n">
        <x:v>2380</x:v>
      </x:c>
      <x:c r="L186" s="1" t="str">
        <x:v>Нет</x:v>
      </x:c>
      <x:c r="M186" s="1" t="n">
        <x:v>425075</x:v>
      </x:c>
    </x:row>
    <x:row r="187">
      <x:c r="A187" s="1" t="str">
        <x:v>195315574</x:v>
      </x:c>
      <x:c r="B187" s="1" t="str">
        <x:v>hudiprint/MoreSelf-44/молочный</x:v>
      </x:c>
      <x:c r="C187" s="1" t="str">
        <x:v>Худи</x:v>
      </x:c>
      <x:c r="D187" s="9" t="n">
        <x:v>8.7</x:v>
      </x:c>
      <x:c r="E187" s="8" t="n">
        <x:v>56873</x:v>
      </x:c>
      <x:c r="F187" s="8" t="n">
        <x:v>776</x:v>
      </x:c>
      <x:c r="G187" s="8" t="n">
        <x:v>1001082</x:v>
      </x:c>
      <x:c r="H187" s="8" t="n">
        <x:v>154</x:v>
      </x:c>
      <x:c r="I187" s="8" t="n">
        <x:v>0</x:v>
      </x:c>
      <x:c r="J187" s="8" t="n">
        <x:v>1892</x:v>
      </x:c>
      <x:c r="K187" s="8" t="n">
        <x:v>2911</x:v>
      </x:c>
      <x:c r="L187" s="1" t="str">
        <x:v>Нет</x:v>
      </x:c>
      <x:c r="M187" s="1" t="n">
        <x:v>2509392</x:v>
      </x:c>
    </x:row>
    <x:row r="188">
      <x:c r="A188" s="1" t="str">
        <x:v>333323582</x:v>
      </x:c>
      <x:c r="B188" s="1" t="str">
        <x:v>hudicroppetl/серый</x:v>
      </x:c>
      <x:c r="C188" s="1" t="str">
        <x:v>Худи</x:v>
      </x:c>
      <x:c r="D188" s="9" t="n">
        <x:v>8.7</x:v>
      </x:c>
      <x:c r="E188" s="8" t="n">
        <x:v>81751</x:v>
      </x:c>
      <x:c r="F188" s="8" t="n">
        <x:v>1028</x:v>
      </x:c>
      <x:c r="G188" s="8" t="n">
        <x:v>999529</x:v>
      </x:c>
      <x:c r="H188" s="8" t="n">
        <x:v>45</x:v>
      </x:c>
      <x:c r="I188" s="8" t="n">
        <x:v>0</x:v>
      </x:c>
      <x:c r="J188" s="8" t="n">
        <x:v>55</x:v>
      </x:c>
      <x:c r="K188" s="8" t="n">
        <x:v>2953</x:v>
      </x:c>
      <x:c r="L188" s="1" t="str">
        <x:v>Нет</x:v>
      </x:c>
      <x:c r="M188" s="1" t="n">
        <x:v>60900</x:v>
      </x:c>
    </x:row>
    <x:row r="189">
      <x:c r="A189" s="1" t="str">
        <x:v>251152854</x:v>
      </x:c>
      <x:c r="B189" s="1" t="str">
        <x:v>hudivish/Ralling-27в/бордовый</x:v>
      </x:c>
      <x:c r="C189" s="1" t="str">
        <x:v>Худи</x:v>
      </x:c>
      <x:c r="D189" s="9" t="n">
        <x:v>9.7</x:v>
      </x:c>
      <x:c r="E189" s="8" t="n">
        <x:v>71408</x:v>
      </x:c>
      <x:c r="F189" s="8" t="n">
        <x:v>760</x:v>
      </x:c>
      <x:c r="G189" s="8" t="n">
        <x:v>999352</x:v>
      </x:c>
      <x:c r="H189" s="8" t="n">
        <x:v>41</x:v>
      </x:c>
      <x:c r="I189" s="8" t="n">
        <x:v>0</x:v>
      </x:c>
      <x:c r="J189" s="8" t="n">
        <x:v>1011</x:v>
      </x:c>
      <x:c r="K189" s="8" t="n">
        <x:v>3343</x:v>
      </x:c>
      <x:c r="L189" s="1" t="str">
        <x:v>Нет</x:v>
      </x:c>
      <x:c r="M189" s="1" t="n">
        <x:v>1210919</x:v>
      </x:c>
    </x:row>
    <x:row r="190">
      <x:c r="A190" s="1" t="str">
        <x:v>165757802</x:v>
      </x:c>
      <x:c r="B190" s="1" t="str">
        <x:v>kulirkaman/пыльнаяроза</x:v>
      </x:c>
      <x:c r="C190" s="1" t="str">
        <x:v>Футболки</x:v>
      </x:c>
      <x:c r="D190" s="9" t="n">
        <x:v>8.7</x:v>
      </x:c>
      <x:c r="E190" s="8" t="n">
        <x:v>40409</x:v>
      </x:c>
      <x:c r="F190" s="8" t="n">
        <x:v>1948</x:v>
      </x:c>
      <x:c r="G190" s="8" t="n">
        <x:v>997326</x:v>
      </x:c>
      <x:c r="H190" s="8" t="n">
        <x:v>1650</x:v>
      </x:c>
      <x:c r="I190" s="8" t="n">
        <x:v>0</x:v>
      </x:c>
      <x:c r="J190" s="8" t="n">
        <x:v>1642</x:v>
      </x:c>
      <x:c r="K190" s="8" t="n">
        <x:v>976</x:v>
      </x:c>
      <x:c r="L190" s="1" t="str">
        <x:v>Нет</x:v>
      </x:c>
      <x:c r="M190" s="1" t="n">
        <x:v>989963</x:v>
      </x:c>
    </x:row>
    <x:row r="191">
      <x:c r="A191" s="1" t="str">
        <x:v>300266824</x:v>
      </x:c>
      <x:c r="B191" s="1" t="str">
        <x:v>svitzip3P-S-5/черный</x:v>
      </x:c>
      <x:c r="C191" s="1" t="str">
        <x:v>Свитшоты</x:v>
      </x:c>
      <x:c r="D191" s="9" t="n">
        <x:v>8.7</x:v>
      </x:c>
      <x:c r="E191" s="8" t="n">
        <x:v>76531</x:v>
      </x:c>
      <x:c r="F191" s="8" t="n">
        <x:v>1024</x:v>
      </x:c>
      <x:c r="G191" s="8" t="n">
        <x:v>988709</x:v>
      </x:c>
      <x:c r="H191" s="8" t="n">
        <x:v>80</x:v>
      </x:c>
      <x:c r="I191" s="8" t="n">
        <x:v>0</x:v>
      </x:c>
      <x:c r="J191" s="8" t="n">
        <x:v>647</x:v>
      </x:c>
      <x:c r="K191" s="8" t="n">
        <x:v>2710</x:v>
      </x:c>
      <x:c r="L191" s="1" t="str">
        <x:v>Нет</x:v>
      </x:c>
      <x:c r="M191" s="1" t="n">
        <x:v>596078</x:v>
      </x:c>
    </x:row>
    <x:row r="192">
      <x:c r="A192" s="1" t="str">
        <x:v>255457980</x:v>
      </x:c>
      <x:c r="B192" s="1" t="str">
        <x:v>tolstovkazip/голубой</x:v>
      </x:c>
      <x:c r="C192" s="1" t="str">
        <x:v>Худи</x:v>
      </x:c>
      <x:c r="D192" s="9" t="n">
        <x:v>9.7</x:v>
      </x:c>
      <x:c r="E192" s="8" t="n">
        <x:v>59528</x:v>
      </x:c>
      <x:c r="F192" s="8" t="n">
        <x:v>685</x:v>
      </x:c>
      <x:c r="G192" s="8" t="n">
        <x:v>988661</x:v>
      </x:c>
      <x:c r="H192" s="8" t="n">
        <x:v>0</x:v>
      </x:c>
      <x:c r="I192" s="8" t="n">
        <x:v>0</x:v>
      </x:c>
      <x:c r="J192" s="8" t="n">
        <x:v>804</x:v>
      </x:c>
      <x:c r="K192" s="8" t="n">
        <x:v>2999</x:v>
      </x:c>
      <x:c r="L192" s="1" t="str">
        <x:v>Нет</x:v>
      </x:c>
      <x:c r="M192" s="1" t="n">
        <x:v>1031822</x:v>
      </x:c>
    </x:row>
    <x:row r="193">
      <x:c r="A193" s="1" t="str">
        <x:v>323203657</x:v>
      </x:c>
      <x:c r="B193" s="1" t="str">
        <x:v>tshirtsuperover3K-E1/какао</x:v>
      </x:c>
      <x:c r="C193" s="1" t="str">
        <x:v>Футболки</x:v>
      </x:c>
      <x:c r="D193" s="9" t="n">
        <x:v>8.7</x:v>
      </x:c>
      <x:c r="E193" s="8" t="n">
        <x:v>132290</x:v>
      </x:c>
      <x:c r="F193" s="8" t="n">
        <x:v>1657</x:v>
      </x:c>
      <x:c r="G193" s="8" t="n">
        <x:v>975934</x:v>
      </x:c>
      <x:c r="H193" s="8" t="n">
        <x:v>544</x:v>
      </x:c>
      <x:c r="I193" s="8" t="n">
        <x:v>0</x:v>
      </x:c>
      <x:c r="J193" s="8" t="n">
        <x:v>175</x:v>
      </x:c>
      <x:c r="K193" s="8" t="n">
        <x:v>1161</x:v>
      </x:c>
      <x:c r="L193" s="1" t="str">
        <x:v>Нет</x:v>
      </x:c>
      <x:c r="M193" s="1" t="n">
        <x:v>80300</x:v>
      </x:c>
    </x:row>
    <x:row r="194">
      <x:c r="A194" s="1" t="str">
        <x:v>293297746</x:v>
      </x:c>
      <x:c r="B194" s="1" t="str">
        <x:v>2Nlongman4D-69/молочный</x:v>
      </x:c>
      <x:c r="C194" s="1" t="str">
        <x:v>Лонгсливы</x:v>
      </x:c>
      <x:c r="D194" s="9" t="n">
        <x:v>9</x:v>
      </x:c>
      <x:c r="E194" s="8" t="n">
        <x:v>59495</x:v>
      </x:c>
      <x:c r="F194" s="8" t="n">
        <x:v>2066</x:v>
      </x:c>
      <x:c r="G194" s="8" t="n">
        <x:v>975534</x:v>
      </x:c>
      <x:c r="H194" s="8" t="n">
        <x:v>99</x:v>
      </x:c>
      <x:c r="I194" s="8" t="n">
        <x:v>0</x:v>
      </x:c>
      <x:c r="J194" s="8" t="n">
        <x:v>765</x:v>
      </x:c>
      <x:c r="K194" s="8" t="n">
        <x:v>1214</x:v>
      </x:c>
      <x:c r="L194" s="1" t="str">
        <x:v>Нет</x:v>
      </x:c>
      <x:c r="M194" s="1" t="n">
        <x:v>473956</x:v>
      </x:c>
    </x:row>
    <x:row r="195">
      <x:c r="A195" s="1" t="str">
        <x:v>295989786</x:v>
      </x:c>
      <x:c r="B195" s="1" t="str">
        <x:v>hudicropprint/Vacances-245/бордовый</x:v>
      </x:c>
      <x:c r="C195" s="1" t="str">
        <x:v>Худи</x:v>
      </x:c>
      <x:c r="D195" s="9" t="n">
        <x:v>9.7</x:v>
      </x:c>
      <x:c r="E195" s="8" t="n">
        <x:v>49332</x:v>
      </x:c>
      <x:c r="F195" s="8" t="n">
        <x:v>831</x:v>
      </x:c>
      <x:c r="G195" s="8" t="n">
        <x:v>975322</x:v>
      </x:c>
      <x:c r="H195" s="8" t="n">
        <x:v>3</x:v>
      </x:c>
      <x:c r="I195" s="8" t="n">
        <x:v>0</x:v>
      </x:c>
      <x:c r="J195" s="8" t="n">
        <x:v>245</x:v>
      </x:c>
      <x:c r="K195" s="8" t="n">
        <x:v>2861</x:v>
      </x:c>
      <x:c r="L195" s="1" t="str">
        <x:v>Нет</x:v>
      </x:c>
      <x:c r="M195" s="1" t="n">
        <x:v>309892</x:v>
      </x:c>
    </x:row>
    <x:row r="196">
      <x:c r="A196" s="1" t="str">
        <x:v>115880175</x:v>
      </x:c>
      <x:c r="B196" s="1" t="str">
        <x:v>hudi/мандариновый</x:v>
      </x:c>
      <x:c r="C196" s="1" t="str">
        <x:v>Худи</x:v>
      </x:c>
      <x:c r="D196" s="9" t="n">
        <x:v>9.7</x:v>
      </x:c>
      <x:c r="E196" s="8" t="n">
        <x:v>61170</x:v>
      </x:c>
      <x:c r="F196" s="8" t="n">
        <x:v>958</x:v>
      </x:c>
      <x:c r="G196" s="8" t="n">
        <x:v>963772</x:v>
      </x:c>
      <x:c r="H196" s="8" t="n">
        <x:v>98</x:v>
      </x:c>
      <x:c r="I196" s="8" t="n">
        <x:v>0</x:v>
      </x:c>
      <x:c r="J196" s="8" t="n">
        <x:v>1921</x:v>
      </x:c>
      <x:c r="K196" s="8" t="n">
        <x:v>2232</x:v>
      </x:c>
      <x:c r="L196" s="1" t="str">
        <x:v>Нет</x:v>
      </x:c>
      <x:c r="M196" s="1" t="n">
        <x:v>2194344</x:v>
      </x:c>
    </x:row>
    <x:row r="197">
      <x:c r="A197" s="1" t="str">
        <x:v>293297745</x:v>
      </x:c>
      <x:c r="B197" s="1" t="str">
        <x:v>2Nlongman4D-69/белый</x:v>
      </x:c>
      <x:c r="C197" s="1" t="str">
        <x:v>Лонгсливы</x:v>
      </x:c>
      <x:c r="D197" s="9" t="n">
        <x:v>9</x:v>
      </x:c>
      <x:c r="E197" s="8" t="n">
        <x:v>38951</x:v>
      </x:c>
      <x:c r="F197" s="8" t="n">
        <x:v>1937</x:v>
      </x:c>
      <x:c r="G197" s="8" t="n">
        <x:v>956705</x:v>
      </x:c>
      <x:c r="H197" s="8" t="n">
        <x:v>128</x:v>
      </x:c>
      <x:c r="I197" s="8" t="n">
        <x:v>0</x:v>
      </x:c>
      <x:c r="J197" s="8" t="n">
        <x:v>851</x:v>
      </x:c>
      <x:c r="K197" s="8" t="n">
        <x:v>1298</x:v>
      </x:c>
      <x:c r="L197" s="1" t="str">
        <x:v>Нет</x:v>
      </x:c>
      <x:c r="M197" s="1" t="n">
        <x:v>539514</x:v>
      </x:c>
    </x:row>
    <x:row r="198">
      <x:c r="A198" s="1" t="str">
        <x:v>325074338</x:v>
      </x:c>
      <x:c r="B198" s="1" t="str">
        <x:v>futbolkaprint/Awesomeness-278/коричневый</x:v>
      </x:c>
      <x:c r="C198" s="1" t="str">
        <x:v>Футболки</x:v>
      </x:c>
      <x:c r="D198" s="9" t="n">
        <x:v>8.7</x:v>
      </x:c>
      <x:c r="E198" s="8" t="n">
        <x:v>133687</x:v>
      </x:c>
      <x:c r="F198" s="8" t="n">
        <x:v>1530</x:v>
      </x:c>
      <x:c r="G198" s="8" t="n">
        <x:v>953909</x:v>
      </x:c>
      <x:c r="H198" s="8" t="n">
        <x:v>15</x:v>
      </x:c>
      <x:c r="I198" s="8" t="n">
        <x:v>0</x:v>
      </x:c>
      <x:c r="J198" s="8" t="n">
        <x:v>0</x:v>
      </x:c>
      <x:c r="K198" s="8" t="n">
        <x:v>1224</x:v>
      </x:c>
      <x:c r="L198" s="1" t="str">
        <x:v>Нет</x:v>
      </x:c>
      <x:c r="M198" s="1" t="n">
        <x:v>0</x:v>
      </x:c>
    </x:row>
    <x:row r="199">
      <x:c r="A199" s="1" t="str">
        <x:v>297802180</x:v>
      </x:c>
      <x:c r="B199" s="1" t="str">
        <x:v>longslim3К-81/черный</x:v>
      </x:c>
      <x:c r="C199" s="1" t="str">
        <x:v>Лонгсливы</x:v>
      </x:c>
      <x:c r="D199" s="9" t="n">
        <x:v>8.7</x:v>
      </x:c>
      <x:c r="E199" s="8" t="n">
        <x:v>79204</x:v>
      </x:c>
      <x:c r="F199" s="8" t="n">
        <x:v>2049</x:v>
      </x:c>
      <x:c r="G199" s="8" t="n">
        <x:v>953087</x:v>
      </x:c>
      <x:c r="H199" s="8" t="n">
        <x:v>1735</x:v>
      </x:c>
      <x:c r="I199" s="8" t="n">
        <x:v>0</x:v>
      </x:c>
      <x:c r="J199" s="8" t="n">
        <x:v>1516</x:v>
      </x:c>
      <x:c r="K199" s="8" t="n">
        <x:v>1188</x:v>
      </x:c>
      <x:c r="L199" s="1" t="str">
        <x:v>Нет</x:v>
      </x:c>
      <x:c r="M199" s="1" t="n">
        <x:v>713124</x:v>
      </x:c>
    </x:row>
    <x:row r="200">
      <x:c r="A200" s="1" t="str">
        <x:v>317320229</x:v>
      </x:c>
      <x:c r="B200" s="1" t="str">
        <x:v>futbolkaprint/drama-268/молочный</x:v>
      </x:c>
      <x:c r="C200" s="1" t="str">
        <x:v>Футболки</x:v>
      </x:c>
      <x:c r="D200" s="9" t="n">
        <x:v>9.7</x:v>
      </x:c>
      <x:c r="E200" s="8" t="n">
        <x:v>122804</x:v>
      </x:c>
      <x:c r="F200" s="8" t="n">
        <x:v>1400</x:v>
      </x:c>
      <x:c r="G200" s="8" t="n">
        <x:v>952083</x:v>
      </x:c>
      <x:c r="H200" s="8" t="n">
        <x:v>5</x:v>
      </x:c>
      <x:c r="I200" s="8" t="n">
        <x:v>0</x:v>
      </x:c>
      <x:c r="J200" s="8" t="n">
        <x:v>690</x:v>
      </x:c>
      <x:c r="K200" s="8" t="n">
        <x:v>1290</x:v>
      </x:c>
      <x:c r="L200" s="1" t="str">
        <x:v>Нет</x:v>
      </x:c>
      <x:c r="M200" s="1" t="n">
        <x:v>473920</x:v>
      </x:c>
    </x:row>
    <x:row r="201">
      <x:c r="A201" s="1" t="str">
        <x:v>172152347</x:v>
      </x:c>
      <x:c r="B201" s="1" t="str">
        <x:v>baza/фуксия</x:v>
      </x:c>
      <x:c r="C201" s="1" t="str">
        <x:v>Футболки</x:v>
      </x:c>
      <x:c r="D201" s="9" t="n">
        <x:v>8.2</x:v>
      </x:c>
      <x:c r="E201" s="8" t="n">
        <x:v>69154</x:v>
      </x:c>
      <x:c r="F201" s="8" t="n">
        <x:v>1960</x:v>
      </x:c>
      <x:c r="G201" s="8" t="n">
        <x:v>949408</x:v>
      </x:c>
      <x:c r="H201" s="8" t="n">
        <x:v>1726</x:v>
      </x:c>
      <x:c r="I201" s="8" t="n">
        <x:v>0</x:v>
      </x:c>
      <x:c r="J201" s="8" t="n">
        <x:v>2027</x:v>
      </x:c>
      <x:c r="K201" s="8" t="n">
        <x:v>817</x:v>
      </x:c>
      <x:c r="L201" s="1" t="str">
        <x:v>Нет</x:v>
      </x:c>
      <x:c r="M201" s="1" t="n">
        <x:v>1090173</x:v>
      </x:c>
    </x:row>
    <x:row r="202">
      <x:c r="A202" s="1" t="str">
        <x:v>19345607</x:v>
      </x:c>
      <x:c r="B202" s="1" t="str">
        <x:v>hudi/графит</x:v>
      </x:c>
      <x:c r="C202" s="1" t="str">
        <x:v>Худи</x:v>
      </x:c>
      <x:c r="D202" s="9" t="n">
        <x:v>9.7</x:v>
      </x:c>
      <x:c r="E202" s="8" t="n">
        <x:v>71451</x:v>
      </x:c>
      <x:c r="F202" s="8" t="n">
        <x:v>1044</x:v>
      </x:c>
      <x:c r="G202" s="8" t="n">
        <x:v>934056</x:v>
      </x:c>
      <x:c r="H202" s="8" t="n">
        <x:v>6</x:v>
      </x:c>
      <x:c r="I202" s="8" t="n">
        <x:v>0</x:v>
      </x:c>
      <x:c r="J202" s="8" t="n">
        <x:v>1582</x:v>
      </x:c>
      <x:c r="K202" s="8" t="n">
        <x:v>2460</x:v>
      </x:c>
      <x:c r="L202" s="1" t="str">
        <x:v>Нет</x:v>
      </x:c>
      <x:c r="M202" s="1" t="n">
        <x:v>1564636</x:v>
      </x:c>
    </x:row>
    <x:row r="203">
      <x:c r="A203" s="1" t="str">
        <x:v>165757815</x:v>
      </x:c>
      <x:c r="B203" s="1" t="str">
        <x:v>kulirkaman/шалфей</x:v>
      </x:c>
      <x:c r="C203" s="1" t="str">
        <x:v>Футболки</x:v>
      </x:c>
      <x:c r="D203" s="9" t="n">
        <x:v>8.7</x:v>
      </x:c>
      <x:c r="E203" s="8" t="n">
        <x:v>48997</x:v>
      </x:c>
      <x:c r="F203" s="8" t="n">
        <x:v>1795</x:v>
      </x:c>
      <x:c r="G203" s="8" t="n">
        <x:v>931503</x:v>
      </x:c>
      <x:c r="H203" s="8" t="n">
        <x:v>646</x:v>
      </x:c>
      <x:c r="I203" s="8" t="n">
        <x:v>0</x:v>
      </x:c>
      <x:c r="J203" s="8" t="n">
        <x:v>2075</x:v>
      </x:c>
      <x:c r="K203" s="8" t="n">
        <x:v>1096</x:v>
      </x:c>
      <x:c r="L203" s="1" t="str">
        <x:v>Нет</x:v>
      </x:c>
      <x:c r="M203" s="1" t="n">
        <x:v>1233991</x:v>
      </x:c>
    </x:row>
    <x:row r="204">
      <x:c r="A204" s="1" t="str">
        <x:v>249222955</x:v>
      </x:c>
      <x:c r="B204" s="1" t="str">
        <x:v>svitshotpolopetl3P-60/светло-розовый</x:v>
      </x:c>
      <x:c r="C204" s="1" t="str">
        <x:v>Свитшоты</x:v>
      </x:c>
      <x:c r="D204" s="9" t="n">
        <x:v>8.7</x:v>
      </x:c>
      <x:c r="E204" s="8" t="n">
        <x:v>113011</x:v>
      </x:c>
      <x:c r="F204" s="8" t="n">
        <x:v>1074</x:v>
      </x:c>
      <x:c r="G204" s="8" t="n">
        <x:v>931316</x:v>
      </x:c>
      <x:c r="H204" s="8" t="n">
        <x:v>238</x:v>
      </x:c>
      <x:c r="I204" s="8" t="n">
        <x:v>0</x:v>
      </x:c>
      <x:c r="J204" s="8" t="n">
        <x:v>714</x:v>
      </x:c>
      <x:c r="K204" s="8" t="n">
        <x:v>3261</x:v>
      </x:c>
      <x:c r="L204" s="1" t="str">
        <x:v>Нет</x:v>
      </x:c>
      <x:c r="M204" s="1" t="n">
        <x:v>719677</x:v>
      </x:c>
    </x:row>
    <x:row r="205">
      <x:c r="A205" s="1" t="str">
        <x:v>211336673</x:v>
      </x:c>
      <x:c r="B205" s="1" t="str">
        <x:v>tolstovkazipman/молочный</x:v>
      </x:c>
      <x:c r="C205" s="1" t="str">
        <x:v>Худи</x:v>
      </x:c>
      <x:c r="D205" s="9" t="n">
        <x:v>9</x:v>
      </x:c>
      <x:c r="E205" s="8" t="n">
        <x:v>37397</x:v>
      </x:c>
      <x:c r="F205" s="8" t="n">
        <x:v>640</x:v>
      </x:c>
      <x:c r="G205" s="8" t="n">
        <x:v>930583</x:v>
      </x:c>
      <x:c r="H205" s="8" t="n">
        <x:v>1</x:v>
      </x:c>
      <x:c r="I205" s="8" t="n">
        <x:v>0</x:v>
      </x:c>
      <x:c r="J205" s="8" t="n">
        <x:v>1079</x:v>
      </x:c>
      <x:c r="K205" s="8" t="n">
        <x:v>3249</x:v>
      </x:c>
      <x:c r="L205" s="1" t="str">
        <x:v>Нет</x:v>
      </x:c>
      <x:c r="M205" s="1" t="n">
        <x:v>1488352</x:v>
      </x:c>
    </x:row>
    <x:row r="206">
      <x:c r="A206" s="1" t="str">
        <x:v>241435196</x:v>
      </x:c>
      <x:c r="B206" s="1" t="str">
        <x:v>hudiman/дымка</x:v>
      </x:c>
      <x:c r="C206" s="1" t="str">
        <x:v>Худи</x:v>
      </x:c>
      <x:c r="D206" s="9" t="n">
        <x:v>9.7</x:v>
      </x:c>
      <x:c r="E206" s="8" t="n">
        <x:v>38702</x:v>
      </x:c>
      <x:c r="F206" s="8" t="n">
        <x:v>881</x:v>
      </x:c>
      <x:c r="G206" s="8" t="n">
        <x:v>929192</x:v>
      </x:c>
      <x:c r="H206" s="8" t="n">
        <x:v>313</x:v>
      </x:c>
      <x:c r="I206" s="8" t="n">
        <x:v>0</x:v>
      </x:c>
      <x:c r="J206" s="8" t="n">
        <x:v>1304</x:v>
      </x:c>
      <x:c r="K206" s="8" t="n">
        <x:v>3031</x:v>
      </x:c>
      <x:c r="L206" s="1" t="str">
        <x:v>Нет</x:v>
      </x:c>
      <x:c r="M206" s="1" t="n">
        <x:v>1527934</x:v>
      </x:c>
    </x:row>
    <x:row r="207">
      <x:c r="A207" s="1" t="str">
        <x:v>222802032</x:v>
      </x:c>
      <x:c r="B207" s="1" t="str">
        <x:v>hudipetl/серый</x:v>
      </x:c>
      <x:c r="C207" s="1" t="str">
        <x:v>Худи</x:v>
      </x:c>
      <x:c r="D207" s="9" t="n">
        <x:v>8.7</x:v>
      </x:c>
      <x:c r="E207" s="8" t="n">
        <x:v>63522</x:v>
      </x:c>
      <x:c r="F207" s="8" t="n">
        <x:v>918</x:v>
      </x:c>
      <x:c r="G207" s="8" t="n">
        <x:v>927527</x:v>
      </x:c>
      <x:c r="H207" s="8" t="n">
        <x:v>169</x:v>
      </x:c>
      <x:c r="I207" s="8" t="n">
        <x:v>0</x:v>
      </x:c>
      <x:c r="J207" s="8" t="n">
        <x:v>474</x:v>
      </x:c>
      <x:c r="K207" s="8" t="n">
        <x:v>2595</x:v>
      </x:c>
      <x:c r="L207" s="1" t="str">
        <x:v>Нет</x:v>
      </x:c>
      <x:c r="M207" s="1" t="n">
        <x:v>405455</x:v>
      </x:c>
    </x:row>
    <x:row r="208">
      <x:c r="A208" s="1" t="str">
        <x:v>18573502</x:v>
      </x:c>
      <x:c r="B208" s="1" t="str">
        <x:v>hudi/сине-серый</x:v>
      </x:c>
      <x:c r="C208" s="1" t="str">
        <x:v>Худи</x:v>
      </x:c>
      <x:c r="D208" s="9" t="n">
        <x:v>9.7</x:v>
      </x:c>
      <x:c r="E208" s="8" t="n">
        <x:v>55336</x:v>
      </x:c>
      <x:c r="F208" s="8" t="n">
        <x:v>951</x:v>
      </x:c>
      <x:c r="G208" s="8" t="n">
        <x:v>922325</x:v>
      </x:c>
      <x:c r="H208" s="8" t="n">
        <x:v>368</x:v>
      </x:c>
      <x:c r="I208" s="8" t="n">
        <x:v>0</x:v>
      </x:c>
      <x:c r="J208" s="8" t="n">
        <x:v>1878</x:v>
      </x:c>
      <x:c r="K208" s="8" t="n">
        <x:v>2177</x:v>
      </x:c>
      <x:c r="L208" s="1" t="str">
        <x:v>Нет</x:v>
      </x:c>
      <x:c r="M208" s="1" t="n">
        <x:v>1620626</x:v>
      </x:c>
    </x:row>
    <x:row r="209">
      <x:c r="A209" s="1" t="str">
        <x:v>35673223</x:v>
      </x:c>
      <x:c r="B209" s="1" t="str">
        <x:v>hudiman/коричневый</x:v>
      </x:c>
      <x:c r="C209" s="1" t="str">
        <x:v>Худи</x:v>
      </x:c>
      <x:c r="D209" s="9" t="n">
        <x:v>9.7</x:v>
      </x:c>
      <x:c r="E209" s="8" t="n">
        <x:v>35897</x:v>
      </x:c>
      <x:c r="F209" s="8" t="n">
        <x:v>905</x:v>
      </x:c>
      <x:c r="G209" s="8" t="n">
        <x:v>918844</x:v>
      </x:c>
      <x:c r="H209" s="8" t="n">
        <x:v>270</x:v>
      </x:c>
      <x:c r="I209" s="8" t="n">
        <x:v>0</x:v>
      </x:c>
      <x:c r="J209" s="8" t="n">
        <x:v>1155</x:v>
      </x:c>
      <x:c r="K209" s="8" t="n">
        <x:v>2472</x:v>
      </x:c>
      <x:c r="L209" s="1" t="str">
        <x:v>Нет</x:v>
      </x:c>
      <x:c r="M209" s="1" t="n">
        <x:v>1279390</x:v>
      </x:c>
    </x:row>
    <x:row r="210">
      <x:c r="A210" s="1" t="str">
        <x:v>333323576</x:v>
      </x:c>
      <x:c r="B210" s="1" t="str">
        <x:v>hudicroppetl/молочный</x:v>
      </x:c>
      <x:c r="C210" s="1" t="str">
        <x:v>Худи</x:v>
      </x:c>
      <x:c r="D210" s="9" t="n">
        <x:v>8.7</x:v>
      </x:c>
      <x:c r="E210" s="8" t="n">
        <x:v>40251</x:v>
      </x:c>
      <x:c r="F210" s="8" t="n">
        <x:v>902</x:v>
      </x:c>
      <x:c r="G210" s="8" t="n">
        <x:v>917844</x:v>
      </x:c>
      <x:c r="H210" s="8" t="n">
        <x:v>23</x:v>
      </x:c>
      <x:c r="I210" s="8" t="n">
        <x:v>0</x:v>
      </x:c>
      <x:c r="J210" s="8" t="n">
        <x:v>141</x:v>
      </x:c>
      <x:c r="K210" s="8" t="n">
        <x:v>3208</x:v>
      </x:c>
      <x:c r="L210" s="1" t="str">
        <x:v>Нет</x:v>
      </x:c>
      <x:c r="M210" s="1" t="n">
        <x:v>121800</x:v>
      </x:c>
    </x:row>
    <x:row r="211">
      <x:c r="A211" s="1" t="str">
        <x:v>333167633</x:v>
      </x:c>
      <x:c r="B211" s="1" t="str">
        <x:v>futbolkamanX3/чер-бел-тсин</x:v>
      </x:c>
      <x:c r="C211" s="1" t="str">
        <x:v>Футболки</x:v>
      </x:c>
      <x:c r="D211" s="9" t="n">
        <x:v>7.7</x:v>
      </x:c>
      <x:c r="E211" s="8" t="n">
        <x:v>43277</x:v>
      </x:c>
      <x:c r="F211" s="8" t="n">
        <x:v>885</x:v>
      </x:c>
      <x:c r="G211" s="8" t="n">
        <x:v>911809</x:v>
      </x:c>
      <x:c r="H211" s="8" t="n">
        <x:v>121</x:v>
      </x:c>
      <x:c r="I211" s="8" t="n">
        <x:v>0</x:v>
      </x:c>
      <x:c r="J211" s="8" t="n">
        <x:v>0</x:v>
      </x:c>
      <x:c r="K211" s="8" t="n">
        <x:v>1938</x:v>
      </x:c>
      <x:c r="L211" s="1" t="str">
        <x:v>Нет</x:v>
      </x:c>
      <x:c r="M211" s="1" t="n">
        <x:v>0</x:v>
      </x:c>
    </x:row>
    <x:row r="212">
      <x:c r="A212" s="1" t="str">
        <x:v>166212328</x:v>
      </x:c>
      <x:c r="B212" s="1" t="str">
        <x:v>kulirkaman/синеморской</x:v>
      </x:c>
      <x:c r="C212" s="1" t="str">
        <x:v>Футболки</x:v>
      </x:c>
      <x:c r="D212" s="9" t="n">
        <x:v>7.7</x:v>
      </x:c>
      <x:c r="E212" s="8" t="n">
        <x:v>59048</x:v>
      </x:c>
      <x:c r="F212" s="8" t="n">
        <x:v>1818</x:v>
      </x:c>
      <x:c r="G212" s="8" t="n">
        <x:v>909366</x:v>
      </x:c>
      <x:c r="H212" s="8" t="n">
        <x:v>699</x:v>
      </x:c>
      <x:c r="I212" s="8" t="n">
        <x:v>0</x:v>
      </x:c>
      <x:c r="J212" s="8" t="n">
        <x:v>902</x:v>
      </x:c>
      <x:c r="K212" s="8" t="n">
        <x:v>863</x:v>
      </x:c>
      <x:c r="L212" s="1" t="str">
        <x:v>Нет</x:v>
      </x:c>
      <x:c r="M212" s="1" t="n">
        <x:v>563872</x:v>
      </x:c>
    </x:row>
    <x:row r="213">
      <x:c r="A213" s="1" t="str">
        <x:v>297791877</x:v>
      </x:c>
      <x:c r="B213" s="1" t="str">
        <x:v>topbandoX2/чер-бел</x:v>
      </x:c>
      <x:c r="C213" s="1" t="str">
        <x:v>Топы</x:v>
      </x:c>
      <x:c r="D213" s="9" t="n">
        <x:v>7.9</x:v>
      </x:c>
      <x:c r="E213" s="8" t="n">
        <x:v>82364</x:v>
      </x:c>
      <x:c r="F213" s="8" t="n">
        <x:v>1613</x:v>
      </x:c>
      <x:c r="G213" s="8" t="n">
        <x:v>908123</x:v>
      </x:c>
      <x:c r="H213" s="8" t="n">
        <x:v>557</x:v>
      </x:c>
      <x:c r="I213" s="8" t="n">
        <x:v>0</x:v>
      </x:c>
      <x:c r="J213" s="8" t="n">
        <x:v>367</x:v>
      </x:c>
      <x:c r="K213" s="8" t="n">
        <x:v>917</x:v>
      </x:c>
      <x:c r="L213" s="1" t="str">
        <x:v>Нет</x:v>
      </x:c>
      <x:c r="M213" s="1" t="n">
        <x:v>193320</x:v>
      </x:c>
    </x:row>
    <x:row r="214">
      <x:c r="A214" s="1" t="str">
        <x:v>35987094</x:v>
      </x:c>
      <x:c r="B214" s="1" t="str">
        <x:v>kroptop/голубой</x:v>
      </x:c>
      <x:c r="C214" s="1" t="str">
        <x:v>Футболки</x:v>
      </x:c>
      <x:c r="D214" s="9" t="n">
        <x:v>8.7</x:v>
      </x:c>
      <x:c r="E214" s="8" t="n">
        <x:v>58849</x:v>
      </x:c>
      <x:c r="F214" s="8" t="n">
        <x:v>2197</x:v>
      </x:c>
      <x:c r="G214" s="8" t="n">
        <x:v>906601</x:v>
      </x:c>
      <x:c r="H214" s="8" t="n">
        <x:v>937</x:v>
      </x:c>
      <x:c r="I214" s="8" t="n">
        <x:v>0</x:v>
      </x:c>
      <x:c r="J214" s="8" t="n">
        <x:v>1324</x:v>
      </x:c>
      <x:c r="K214" s="8" t="n">
        <x:v>671</x:v>
      </x:c>
      <x:c r="L214" s="1" t="str">
        <x:v>Нет</x:v>
      </x:c>
      <x:c r="M214" s="1" t="n">
        <x:v>578507</x:v>
      </x:c>
    </x:row>
    <x:row r="215">
      <x:c r="A215" s="1" t="str">
        <x:v>278842595</x:v>
      </x:c>
      <x:c r="B215" s="1" t="str">
        <x:v>palazzonachos/черный</x:v>
      </x:c>
      <x:c r="C215" s="1" t="str">
        <x:v>Брюки</x:v>
      </x:c>
      <x:c r="D215" s="9" t="n">
        <x:v>6.4</x:v>
      </x:c>
      <x:c r="E215" s="8" t="n">
        <x:v>123122</x:v>
      </x:c>
      <x:c r="F215" s="8" t="n">
        <x:v>1686</x:v>
      </x:c>
      <x:c r="G215" s="8" t="n">
        <x:v>902613</x:v>
      </x:c>
      <x:c r="H215" s="8" t="n">
        <x:v>550</x:v>
      </x:c>
      <x:c r="I215" s="8" t="n">
        <x:v>0</x:v>
      </x:c>
      <x:c r="J215" s="8" t="n">
        <x:v>1701</x:v>
      </x:c>
      <x:c r="K215" s="8" t="n">
        <x:v>2497</x:v>
      </x:c>
      <x:c r="L215" s="1" t="str">
        <x:v>Нет</x:v>
      </x:c>
      <x:c r="M215" s="1" t="n">
        <x:v>1162205</x:v>
      </x:c>
    </x:row>
    <x:row r="216">
      <x:c r="A216" s="1" t="str">
        <x:v>46926878</x:v>
      </x:c>
      <x:c r="B216" s="1" t="str">
        <x:v>hudi/бордовый</x:v>
      </x:c>
      <x:c r="C216" s="1" t="str">
        <x:v>Худи</x:v>
      </x:c>
      <x:c r="D216" s="9" t="n">
        <x:v>9.7</x:v>
      </x:c>
      <x:c r="E216" s="8" t="n">
        <x:v>54783</x:v>
      </x:c>
      <x:c r="F216" s="8" t="n">
        <x:v>741</x:v>
      </x:c>
      <x:c r="G216" s="8" t="n">
        <x:v>901837</x:v>
      </x:c>
      <x:c r="H216" s="8" t="n">
        <x:v>77</x:v>
      </x:c>
      <x:c r="I216" s="8" t="n">
        <x:v>0</x:v>
      </x:c>
      <x:c r="J216" s="8" t="n">
        <x:v>1206</x:v>
      </x:c>
      <x:c r="K216" s="8" t="n">
        <x:v>2735</x:v>
      </x:c>
      <x:c r="L216" s="1" t="str">
        <x:v>Нет</x:v>
      </x:c>
      <x:c r="M216" s="1" t="n">
        <x:v>1422729</x:v>
      </x:c>
    </x:row>
    <x:row r="217">
      <x:c r="A217" s="1" t="str">
        <x:v>211336678</x:v>
      </x:c>
      <x:c r="B217" s="1" t="str">
        <x:v>tolstovkazipcrop/серый</x:v>
      </x:c>
      <x:c r="C217" s="1" t="str">
        <x:v>Худи</x:v>
      </x:c>
      <x:c r="D217" s="9" t="n">
        <x:v>9.7</x:v>
      </x:c>
      <x:c r="E217" s="8" t="n">
        <x:v>56645</x:v>
      </x:c>
      <x:c r="F217" s="8" t="n">
        <x:v>840</x:v>
      </x:c>
      <x:c r="G217" s="8" t="n">
        <x:v>894948</x:v>
      </x:c>
      <x:c r="H217" s="8" t="n">
        <x:v>2</x:v>
      </x:c>
      <x:c r="I217" s="8" t="n">
        <x:v>0</x:v>
      </x:c>
      <x:c r="J217" s="8" t="n">
        <x:v>420</x:v>
      </x:c>
      <x:c r="K217" s="8" t="n">
        <x:v>2336</x:v>
      </x:c>
      <x:c r="L217" s="1" t="str">
        <x:v>Нет</x:v>
      </x:c>
      <x:c r="M217" s="1" t="n">
        <x:v>472351</x:v>
      </x:c>
    </x:row>
    <x:row r="218">
      <x:c r="A218" s="1" t="str">
        <x:v>211336677</x:v>
      </x:c>
      <x:c r="B218" s="1" t="str">
        <x:v>tolstovkazipman/темно-серый</x:v>
      </x:c>
      <x:c r="C218" s="1" t="str">
        <x:v>Худи</x:v>
      </x:c>
      <x:c r="D218" s="9" t="n">
        <x:v>9</x:v>
      </x:c>
      <x:c r="E218" s="8" t="n">
        <x:v>28106</x:v>
      </x:c>
      <x:c r="F218" s="8" t="n">
        <x:v>787</x:v>
      </x:c>
      <x:c r="G218" s="8" t="n">
        <x:v>888785</x:v>
      </x:c>
      <x:c r="H218" s="8" t="n">
        <x:v>81</x:v>
      </x:c>
      <x:c r="I218" s="8" t="n">
        <x:v>0</x:v>
      </x:c>
      <x:c r="J218" s="8" t="n">
        <x:v>629</x:v>
      </x:c>
      <x:c r="K218" s="8" t="n">
        <x:v>3226</x:v>
      </x:c>
      <x:c r="L218" s="1" t="str">
        <x:v>Нет</x:v>
      </x:c>
      <x:c r="M218" s="1" t="n">
        <x:v>700032</x:v>
      </x:c>
    </x:row>
    <x:row r="219">
      <x:c r="A219" s="1" t="str">
        <x:v>211855725</x:v>
      </x:c>
      <x:c r="B219" s="1" t="str">
        <x:v>tolstovkazipprint/SaintLouis-86/молочный</x:v>
      </x:c>
      <x:c r="C219" s="1" t="str">
        <x:v>Худи</x:v>
      </x:c>
      <x:c r="D219" s="9" t="n">
        <x:v>7.7</x:v>
      </x:c>
      <x:c r="E219" s="8" t="n">
        <x:v>82473</x:v>
      </x:c>
      <x:c r="F219" s="8" t="n">
        <x:v>627</x:v>
      </x:c>
      <x:c r="G219" s="8" t="n">
        <x:v>882177</x:v>
      </x:c>
      <x:c r="H219" s="8" t="n">
        <x:v>31</x:v>
      </x:c>
      <x:c r="I219" s="8" t="n">
        <x:v>0</x:v>
      </x:c>
      <x:c r="J219" s="8" t="n">
        <x:v>216</x:v>
      </x:c>
      <x:c r="K219" s="8" t="n">
        <x:v>3428</x:v>
      </x:c>
      <x:c r="L219" s="1" t="str">
        <x:v>Нет</x:v>
      </x:c>
      <x:c r="M219" s="1" t="n">
        <x:v>325175</x:v>
      </x:c>
    </x:row>
    <x:row r="220">
      <x:c r="A220" s="1" t="str">
        <x:v>313189788</x:v>
      </x:c>
      <x:c r="B220" s="1" t="str">
        <x:v>longoverX2/мол-бор</x:v>
      </x:c>
      <x:c r="C220" s="1" t="str">
        <x:v>Лонгсливы</x:v>
      </x:c>
      <x:c r="D220" s="9" t="n">
        <x:v>8.7</x:v>
      </x:c>
      <x:c r="E220" s="8" t="n">
        <x:v>30117</x:v>
      </x:c>
      <x:c r="F220" s="8" t="n">
        <x:v>878</x:v>
      </x:c>
      <x:c r="G220" s="8" t="n">
        <x:v>880018</x:v>
      </x:c>
      <x:c r="H220" s="8" t="n">
        <x:v>3</x:v>
      </x:c>
      <x:c r="I220" s="8" t="n">
        <x:v>0</x:v>
      </x:c>
      <x:c r="J220" s="8" t="n">
        <x:v>411</x:v>
      </x:c>
      <x:c r="K220" s="8" t="n">
        <x:v>1831</x:v>
      </x:c>
      <x:c r="L220" s="1" t="str">
        <x:v>Нет</x:v>
      </x:c>
      <x:c r="M220" s="1" t="n">
        <x:v>486706</x:v>
      </x:c>
    </x:row>
    <x:row r="221">
      <x:c r="A221" s="1" t="str">
        <x:v>166214981</x:v>
      </x:c>
      <x:c r="B221" s="1" t="str">
        <x:v>hudiman/синий</x:v>
      </x:c>
      <x:c r="C221" s="1" t="str">
        <x:v>Худи</x:v>
      </x:c>
      <x:c r="D221" s="9" t="n">
        <x:v>9.7</x:v>
      </x:c>
      <x:c r="E221" s="8" t="n">
        <x:v>27062</x:v>
      </x:c>
      <x:c r="F221" s="8" t="n">
        <x:v>774</x:v>
      </x:c>
      <x:c r="G221" s="8" t="n">
        <x:v>879980</x:v>
      </x:c>
      <x:c r="H221" s="8" t="n">
        <x:v>152</x:v>
      </x:c>
      <x:c r="I221" s="8" t="n">
        <x:v>0</x:v>
      </x:c>
      <x:c r="J221" s="8" t="n">
        <x:v>605</x:v>
      </x:c>
      <x:c r="K221" s="8" t="n">
        <x:v>2608</x:v>
      </x:c>
      <x:c r="L221" s="1" t="str">
        <x:v>Нет</x:v>
      </x:c>
      <x:c r="M221" s="1" t="n">
        <x:v>810972</x:v>
      </x:c>
    </x:row>
    <x:row r="222">
      <x:c r="A222" s="1" t="str">
        <x:v>320870103</x:v>
      </x:c>
      <x:c r="B222" s="1" t="str">
        <x:v>kostyumfix3P-37-63/дымка</x:v>
      </x:c>
      <x:c r="C222" s="1" t="str">
        <x:v>Костюмы спортивные</x:v>
      </x:c>
      <x:c r="D222" s="9" t="n">
        <x:v>6.7</x:v>
      </x:c>
      <x:c r="E222" s="8" t="n">
        <x:v>58029</x:v>
      </x:c>
      <x:c r="F222" s="8" t="n">
        <x:v>598</x:v>
      </x:c>
      <x:c r="G222" s="8" t="n">
        <x:v>875993</x:v>
      </x:c>
      <x:c r="H222" s="8" t="n">
        <x:v>2</x:v>
      </x:c>
      <x:c r="I222" s="8" t="n">
        <x:v>0</x:v>
      </x:c>
      <x:c r="J222" s="8" t="n">
        <x:v>0</x:v>
      </x:c>
      <x:c r="K222" s="8" t="n">
        <x:v>4936</x:v>
      </x:c>
      <x:c r="L222" s="1" t="str">
        <x:v>Нет</x:v>
      </x:c>
      <x:c r="M222" s="1" t="n">
        <x:v>0</x:v>
      </x:c>
    </x:row>
    <x:row r="223">
      <x:c r="A223" s="1" t="str">
        <x:v>211336686</x:v>
      </x:c>
      <x:c r="B223" s="1" t="str">
        <x:v>tolstovkazipman/серыймеланж2</x:v>
      </x:c>
      <x:c r="C223" s="1" t="str">
        <x:v>Худи</x:v>
      </x:c>
      <x:c r="D223" s="9" t="n">
        <x:v>9</x:v>
      </x:c>
      <x:c r="E223" s="8" t="n">
        <x:v>32064</x:v>
      </x:c>
      <x:c r="F223" s="8" t="n">
        <x:v>770</x:v>
      </x:c>
      <x:c r="G223" s="8" t="n">
        <x:v>875941</x:v>
      </x:c>
      <x:c r="H223" s="8" t="n">
        <x:v>44</x:v>
      </x:c>
      <x:c r="I223" s="8" t="n">
        <x:v>0</x:v>
      </x:c>
      <x:c r="J223" s="8" t="n">
        <x:v>472</x:v>
      </x:c>
      <x:c r="K223" s="8" t="n">
        <x:v>3368</x:v>
      </x:c>
      <x:c r="L223" s="1" t="str">
        <x:v>Нет</x:v>
      </x:c>
      <x:c r="M223" s="1" t="n">
        <x:v>567642</x:v>
      </x:c>
    </x:row>
    <x:row r="224">
      <x:c r="A224" s="1" t="str">
        <x:v>171386742</x:v>
      </x:c>
      <x:c r="B224" s="1" t="str">
        <x:v>hudiman/темно-серый</x:v>
      </x:c>
      <x:c r="C224" s="1" t="str">
        <x:v>Худи</x:v>
      </x:c>
      <x:c r="D224" s="9" t="n">
        <x:v>9.7</x:v>
      </x:c>
      <x:c r="E224" s="8" t="n">
        <x:v>22453</x:v>
      </x:c>
      <x:c r="F224" s="8" t="n">
        <x:v>770</x:v>
      </x:c>
      <x:c r="G224" s="8" t="n">
        <x:v>875424</x:v>
      </x:c>
      <x:c r="H224" s="8" t="n">
        <x:v>276</x:v>
      </x:c>
      <x:c r="I224" s="8" t="n">
        <x:v>0</x:v>
      </x:c>
      <x:c r="J224" s="8" t="n">
        <x:v>939</x:v>
      </x:c>
      <x:c r="K224" s="8" t="n">
        <x:v>2774</x:v>
      </x:c>
      <x:c r="L224" s="1" t="str">
        <x:v>Нет</x:v>
      </x:c>
      <x:c r="M224" s="1" t="n">
        <x:v>1121047</x:v>
      </x:c>
    </x:row>
    <x:row r="225">
      <x:c r="A225" s="1" t="str">
        <x:v>34248591</x:v>
      </x:c>
      <x:c r="B225" s="1" t="str">
        <x:v>futbolkaover/шалфей</x:v>
      </x:c>
      <x:c r="C225" s="1" t="str">
        <x:v>Футболки</x:v>
      </x:c>
      <x:c r="D225" s="9" t="n">
        <x:v>9.7</x:v>
      </x:c>
      <x:c r="E225" s="8" t="n">
        <x:v>87309</x:v>
      </x:c>
      <x:c r="F225" s="8" t="n">
        <x:v>1865</x:v>
      </x:c>
      <x:c r="G225" s="8" t="n">
        <x:v>868555</x:v>
      </x:c>
      <x:c r="H225" s="8" t="n">
        <x:v>3110</x:v>
      </x:c>
      <x:c r="I225" s="8" t="n">
        <x:v>0</x:v>
      </x:c>
      <x:c r="J225" s="8" t="n">
        <x:v>1462</x:v>
      </x:c>
      <x:c r="K225" s="8" t="n">
        <x:v>845</x:v>
      </x:c>
      <x:c r="L225" s="1" t="str">
        <x:v>Нет</x:v>
      </x:c>
      <x:c r="M225" s="1" t="n">
        <x:v>748863</x:v>
      </x:c>
    </x:row>
    <x:row r="226">
      <x:c r="A226" s="1" t="str">
        <x:v>322169426</x:v>
      </x:c>
      <x:c r="B226" s="1" t="str">
        <x:v>futbolkaprint/LiveLove-269/белый</x:v>
      </x:c>
      <x:c r="C226" s="1" t="str">
        <x:v>Футболки</x:v>
      </x:c>
      <x:c r="D226" s="9" t="n">
        <x:v>9.7</x:v>
      </x:c>
      <x:c r="E226" s="8" t="n">
        <x:v>149454</x:v>
      </x:c>
      <x:c r="F226" s="8" t="n">
        <x:v>1749</x:v>
      </x:c>
      <x:c r="G226" s="8" t="n">
        <x:v>866137</x:v>
      </x:c>
      <x:c r="H226" s="8" t="n">
        <x:v>452</x:v>
      </x:c>
      <x:c r="I226" s="8" t="n">
        <x:v>0</x:v>
      </x:c>
      <x:c r="J226" s="8" t="n">
        <x:v>0</x:v>
      </x:c>
      <x:c r="K226" s="8" t="n">
        <x:v>1188</x:v>
      </x:c>
      <x:c r="L226" s="1" t="str">
        <x:v>Нет</x:v>
      </x:c>
      <x:c r="M226" s="1" t="n">
        <x:v>0</x:v>
      </x:c>
    </x:row>
    <x:row r="227">
      <x:c r="A227" s="1" t="str">
        <x:v>221503682</x:v>
      </x:c>
      <x:c r="B227" s="1" t="str">
        <x:v>baza/серовато-розовый</x:v>
      </x:c>
      <x:c r="C227" s="1" t="str">
        <x:v>Футболки</x:v>
      </x:c>
      <x:c r="D227" s="9" t="n">
        <x:v>8.2</x:v>
      </x:c>
      <x:c r="E227" s="8" t="n">
        <x:v>106697</x:v>
      </x:c>
      <x:c r="F227" s="8" t="n">
        <x:v>1760</x:v>
      </x:c>
      <x:c r="G227" s="8" t="n">
        <x:v>864835</x:v>
      </x:c>
      <x:c r="H227" s="8" t="n">
        <x:v>1657</x:v>
      </x:c>
      <x:c r="I227" s="8" t="n">
        <x:v>0</x:v>
      </x:c>
      <x:c r="J227" s="8" t="n">
        <x:v>1099</x:v>
      </x:c>
      <x:c r="K227" s="8" t="n">
        <x:v>768</x:v>
      </x:c>
      <x:c r="L227" s="1" t="str">
        <x:v>Нет</x:v>
      </x:c>
      <x:c r="M227" s="1" t="n">
        <x:v>614195</x:v>
      </x:c>
    </x:row>
    <x:row r="228">
      <x:c r="A228" s="1" t="str">
        <x:v>32777676</x:v>
      </x:c>
      <x:c r="B228" s="1" t="str">
        <x:v>kroptop/эвкалипт</x:v>
      </x:c>
      <x:c r="C228" s="1" t="str">
        <x:v>Футболки</x:v>
      </x:c>
      <x:c r="D228" s="9" t="n">
        <x:v>8.7</x:v>
      </x:c>
      <x:c r="E228" s="8" t="n">
        <x:v>98494</x:v>
      </x:c>
      <x:c r="F228" s="8" t="n">
        <x:v>2364</x:v>
      </x:c>
      <x:c r="G228" s="8" t="n">
        <x:v>864173</x:v>
      </x:c>
      <x:c r="H228" s="8" t="n">
        <x:v>164</x:v>
      </x:c>
      <x:c r="I228" s="8" t="n">
        <x:v>0</x:v>
      </x:c>
      <x:c r="J228" s="8" t="n">
        <x:v>2012</x:v>
      </x:c>
      <x:c r="K228" s="8" t="n">
        <x:v>814</x:v>
      </x:c>
      <x:c r="L228" s="1" t="str">
        <x:v>Нет</x:v>
      </x:c>
      <x:c r="M228" s="1" t="n">
        <x:v>820587</x:v>
      </x:c>
    </x:row>
    <x:row r="229">
      <x:c r="A229" s="1" t="str">
        <x:v>165757791</x:v>
      </x:c>
      <x:c r="B229" s="1" t="str">
        <x:v>kulirkaman/фуксия</x:v>
      </x:c>
      <x:c r="C229" s="1" t="str">
        <x:v>Футболки</x:v>
      </x:c>
      <x:c r="D229" s="9" t="n">
        <x:v>8.7</x:v>
      </x:c>
      <x:c r="E229" s="8" t="n">
        <x:v>68230</x:v>
      </x:c>
      <x:c r="F229" s="8" t="n">
        <x:v>1891</x:v>
      </x:c>
      <x:c r="G229" s="8" t="n">
        <x:v>863960</x:v>
      </x:c>
      <x:c r="H229" s="8" t="n">
        <x:v>926</x:v>
      </x:c>
      <x:c r="I229" s="8" t="n">
        <x:v>0</x:v>
      </x:c>
      <x:c r="J229" s="8" t="n">
        <x:v>995</x:v>
      </x:c>
      <x:c r="K229" s="8" t="n">
        <x:v>880</x:v>
      </x:c>
      <x:c r="L229" s="1" t="str">
        <x:v>Нет</x:v>
      </x:c>
      <x:c r="M229" s="1" t="n">
        <x:v>537436</x:v>
      </x:c>
    </x:row>
    <x:row r="230">
      <x:c r="A230" s="1" t="str">
        <x:v>165757796</x:v>
      </x:c>
      <x:c r="B230" s="1" t="str">
        <x:v>kulirkaman/светлофиолетовый</x:v>
      </x:c>
      <x:c r="C230" s="1" t="str">
        <x:v>Футболки</x:v>
      </x:c>
      <x:c r="D230" s="9" t="n">
        <x:v>8.7</x:v>
      </x:c>
      <x:c r="E230" s="8" t="n">
        <x:v>35392</x:v>
      </x:c>
      <x:c r="F230" s="8" t="n">
        <x:v>1654</x:v>
      </x:c>
      <x:c r="G230" s="8" t="n">
        <x:v>859822</x:v>
      </x:c>
      <x:c r="H230" s="8" t="n">
        <x:v>491</x:v>
      </x:c>
      <x:c r="I230" s="8" t="n">
        <x:v>0</x:v>
      </x:c>
      <x:c r="J230" s="8" t="n">
        <x:v>1541</x:v>
      </x:c>
      <x:c r="K230" s="8" t="n">
        <x:v>931</x:v>
      </x:c>
      <x:c r="L230" s="1" t="str">
        <x:v>Нет</x:v>
      </x:c>
      <x:c r="M230" s="1" t="n">
        <x:v>974428</x:v>
      </x:c>
    </x:row>
    <x:row r="231">
      <x:c r="A231" s="1" t="str">
        <x:v>45029875</x:v>
      </x:c>
      <x:c r="B231" s="1" t="str">
        <x:v>hudi/морскаяволна</x:v>
      </x:c>
      <x:c r="C231" s="1" t="str">
        <x:v>Худи</x:v>
      </x:c>
      <x:c r="D231" s="9" t="n">
        <x:v>9.7</x:v>
      </x:c>
      <x:c r="E231" s="8" t="n">
        <x:v>54058</x:v>
      </x:c>
      <x:c r="F231" s="8" t="n">
        <x:v>911</x:v>
      </x:c>
      <x:c r="G231" s="8" t="n">
        <x:v>850757</x:v>
      </x:c>
      <x:c r="H231" s="8" t="n">
        <x:v>119</x:v>
      </x:c>
      <x:c r="I231" s="8" t="n">
        <x:v>0</x:v>
      </x:c>
      <x:c r="J231" s="8" t="n">
        <x:v>1217</x:v>
      </x:c>
      <x:c r="K231" s="8" t="n">
        <x:v>2175</x:v>
      </x:c>
      <x:c r="L231" s="1" t="str">
        <x:v>Нет</x:v>
      </x:c>
      <x:c r="M231" s="1" t="n">
        <x:v>1309135</x:v>
      </x:c>
    </x:row>
    <x:row r="232">
      <x:c r="A232" s="1" t="str">
        <x:v>311049936</x:v>
      </x:c>
      <x:c r="B232" s="1" t="str">
        <x:v>hudimanpetl/дымка</x:v>
      </x:c>
      <x:c r="C232" s="1" t="str">
        <x:v>Худи</x:v>
      </x:c>
      <x:c r="D232" s="9" t="n">
        <x:v>8.7</x:v>
      </x:c>
      <x:c r="E232" s="8" t="n">
        <x:v>34490</x:v>
      </x:c>
      <x:c r="F232" s="8" t="n">
        <x:v>972</x:v>
      </x:c>
      <x:c r="G232" s="8" t="n">
        <x:v>845933</x:v>
      </x:c>
      <x:c r="H232" s="8" t="n">
        <x:v>104</x:v>
      </x:c>
      <x:c r="I232" s="8" t="n">
        <x:v>0</x:v>
      </x:c>
      <x:c r="J232" s="8" t="n">
        <x:v>402</x:v>
      </x:c>
      <x:c r="K232" s="8" t="n">
        <x:v>2724</x:v>
      </x:c>
      <x:c r="L232" s="1" t="str">
        <x:v>Нет</x:v>
      </x:c>
      <x:c r="M232" s="1" t="n">
        <x:v>359448</x:v>
      </x:c>
    </x:row>
    <x:row r="233">
      <x:c r="A233" s="1" t="str">
        <x:v>221503672</x:v>
      </x:c>
      <x:c r="B233" s="1" t="str">
        <x:v>baza/морскаяволна</x:v>
      </x:c>
      <x:c r="C233" s="1" t="str">
        <x:v>Футболки</x:v>
      </x:c>
      <x:c r="D233" s="9" t="n">
        <x:v>8.2</x:v>
      </x:c>
      <x:c r="E233" s="8" t="n">
        <x:v>73028</x:v>
      </x:c>
      <x:c r="F233" s="8" t="n">
        <x:v>1709</x:v>
      </x:c>
      <x:c r="G233" s="8" t="n">
        <x:v>845101</x:v>
      </x:c>
      <x:c r="H233" s="8" t="n">
        <x:v>716</x:v>
      </x:c>
      <x:c r="I233" s="8" t="n">
        <x:v>0</x:v>
      </x:c>
      <x:c r="J233" s="8" t="n">
        <x:v>1496</x:v>
      </x:c>
      <x:c r="K233" s="8" t="n">
        <x:v>826</x:v>
      </x:c>
      <x:c r="L233" s="1" t="str">
        <x:v>Нет</x:v>
      </x:c>
      <x:c r="M233" s="1" t="n">
        <x:v>809942</x:v>
      </x:c>
    </x:row>
    <x:row r="234">
      <x:c r="A234" s="1" t="str">
        <x:v>326814894</x:v>
      </x:c>
      <x:c r="B234" s="1" t="str">
        <x:v>svitzip3P-S-5/бордовый</x:v>
      </x:c>
      <x:c r="C234" s="1" t="str">
        <x:v>Свитшоты</x:v>
      </x:c>
      <x:c r="D234" s="9" t="n">
        <x:v>6.7</x:v>
      </x:c>
      <x:c r="E234" s="8" t="n">
        <x:v>99396</x:v>
      </x:c>
      <x:c r="F234" s="8" t="n">
        <x:v>1104</x:v>
      </x:c>
      <x:c r="G234" s="8" t="n">
        <x:v>842076</x:v>
      </x:c>
      <x:c r="H234" s="8" t="n">
        <x:v>468</x:v>
      </x:c>
      <x:c r="I234" s="8" t="n">
        <x:v>0</x:v>
      </x:c>
      <x:c r="J234" s="8" t="n">
        <x:v>5</x:v>
      </x:c>
      <x:c r="K234" s="8" t="n">
        <x:v>2642</x:v>
      </x:c>
      <x:c r="L234" s="1" t="str">
        <x:v>Нет</x:v>
      </x:c>
      <x:c r="M234" s="1" t="n">
        <x:v>5300</x:v>
      </x:c>
    </x:row>
    <x:row r="235">
      <x:c r="A235" s="1" t="str">
        <x:v>287829613</x:v>
      </x:c>
      <x:c r="B235" s="1" t="str">
        <x:v>hudiprint/Rome-237/бордовый</x:v>
      </x:c>
      <x:c r="C235" s="1" t="str">
        <x:v>Худи</x:v>
      </x:c>
      <x:c r="D235" s="9" t="n">
        <x:v>9.7</x:v>
      </x:c>
      <x:c r="E235" s="8" t="n">
        <x:v>40072</x:v>
      </x:c>
      <x:c r="F235" s="8" t="n">
        <x:v>698</x:v>
      </x:c>
      <x:c r="G235" s="8" t="n">
        <x:v>842008</x:v>
      </x:c>
      <x:c r="H235" s="8" t="n">
        <x:v>39</x:v>
      </x:c>
      <x:c r="I235" s="8" t="n">
        <x:v>0</x:v>
      </x:c>
      <x:c r="J235" s="8" t="n">
        <x:v>1395</x:v>
      </x:c>
      <x:c r="K235" s="8" t="n">
        <x:v>2908</x:v>
      </x:c>
      <x:c r="L235" s="1" t="str">
        <x:v>Нет</x:v>
      </x:c>
      <x:c r="M235" s="1" t="n">
        <x:v>1579803</x:v>
      </x:c>
    </x:row>
    <x:row r="236">
      <x:c r="A236" s="1" t="str">
        <x:v>211855715</x:v>
      </x:c>
      <x:c r="B236" s="1" t="str">
        <x:v>futbolkaprint/BROOKLYN-77/молочный</x:v>
      </x:c>
      <x:c r="C236" s="1" t="str">
        <x:v>Футболки</x:v>
      </x:c>
      <x:c r="D236" s="9" t="n">
        <x:v>9.7</x:v>
      </x:c>
      <x:c r="E236" s="8" t="n">
        <x:v>76263</x:v>
      </x:c>
      <x:c r="F236" s="8" t="n">
        <x:v>1253</x:v>
      </x:c>
      <x:c r="G236" s="8" t="n">
        <x:v>836994</x:v>
      </x:c>
      <x:c r="H236" s="8" t="n">
        <x:v>54</x:v>
      </x:c>
      <x:c r="I236" s="8" t="n">
        <x:v>0</x:v>
      </x:c>
      <x:c r="J236" s="8" t="n">
        <x:v>1069</x:v>
      </x:c>
      <x:c r="K236" s="8" t="n">
        <x:v>1191</x:v>
      </x:c>
      <x:c r="L236" s="1" t="str">
        <x:v>Нет</x:v>
      </x:c>
      <x:c r="M236" s="1" t="n">
        <x:v>779859</x:v>
      </x:c>
    </x:row>
    <x:row r="237">
      <x:c r="A237" s="1" t="str">
        <x:v>165757797</x:v>
      </x:c>
      <x:c r="B237" s="1" t="str">
        <x:v>kulirkaman/зеленосерый</x:v>
      </x:c>
      <x:c r="C237" s="1" t="str">
        <x:v>Футболки</x:v>
      </x:c>
      <x:c r="D237" s="9" t="n">
        <x:v>8.7</x:v>
      </x:c>
      <x:c r="E237" s="8" t="n">
        <x:v>39834</x:v>
      </x:c>
      <x:c r="F237" s="8" t="n">
        <x:v>1711</x:v>
      </x:c>
      <x:c r="G237" s="8" t="n">
        <x:v>835030</x:v>
      </x:c>
      <x:c r="H237" s="8" t="n">
        <x:v>1588</x:v>
      </x:c>
      <x:c r="I237" s="8" t="n">
        <x:v>0</x:v>
      </x:c>
      <x:c r="J237" s="8" t="n">
        <x:v>959</x:v>
      </x:c>
      <x:c r="K237" s="8" t="n">
        <x:v>901</x:v>
      </x:c>
      <x:c r="L237" s="1" t="str">
        <x:v>Нет</x:v>
      </x:c>
      <x:c r="M237" s="1" t="n">
        <x:v>567263</x:v>
      </x:c>
    </x:row>
    <x:row r="238">
      <x:c r="A238" s="1" t="str">
        <x:v>234030782</x:v>
      </x:c>
      <x:c r="B238" s="1" t="str">
        <x:v>svitshotzipman2/черный</x:v>
      </x:c>
      <x:c r="C238" s="1" t="str">
        <x:v>Свитшоты</x:v>
      </x:c>
      <x:c r="D238" s="9" t="n">
        <x:v>9.7</x:v>
      </x:c>
      <x:c r="E238" s="8" t="n">
        <x:v>36993</x:v>
      </x:c>
      <x:c r="F238" s="8" t="n">
        <x:v>771</x:v>
      </x:c>
      <x:c r="G238" s="8" t="n">
        <x:v>834044</x:v>
      </x:c>
      <x:c r="H238" s="8" t="n">
        <x:v>2</x:v>
      </x:c>
      <x:c r="I238" s="8" t="n">
        <x:v>0</x:v>
      </x:c>
      <x:c r="J238" s="8" t="n">
        <x:v>267</x:v>
      </x:c>
      <x:c r="K238" s="8" t="n">
        <x:v>2591</x:v>
      </x:c>
      <x:c r="L238" s="1" t="str">
        <x:v>Нет</x:v>
      </x:c>
      <x:c r="M238" s="1" t="n">
        <x:v>290400</x:v>
      </x:c>
    </x:row>
    <x:row r="239">
      <x:c r="A239" s="1" t="str">
        <x:v>233056211</x:v>
      </x:c>
      <x:c r="B239" s="1" t="str">
        <x:v>hudivish/MoveClub-93/темно-синий</x:v>
      </x:c>
      <x:c r="C239" s="1" t="str">
        <x:v>Худи</x:v>
      </x:c>
      <x:c r="D239" s="9" t="n">
        <x:v>9.7</x:v>
      </x:c>
      <x:c r="E239" s="8" t="n">
        <x:v>60004</x:v>
      </x:c>
      <x:c r="F239" s="8" t="n">
        <x:v>786</x:v>
      </x:c>
      <x:c r="G239" s="8" t="n">
        <x:v>828798</x:v>
      </x:c>
      <x:c r="H239" s="8" t="n">
        <x:v>148</x:v>
      </x:c>
      <x:c r="I239" s="8" t="n">
        <x:v>0</x:v>
      </x:c>
      <x:c r="J239" s="8" t="n">
        <x:v>718</x:v>
      </x:c>
      <x:c r="K239" s="8" t="n">
        <x:v>3196</x:v>
      </x:c>
      <x:c r="L239" s="1" t="str">
        <x:v>Нет</x:v>
      </x:c>
      <x:c r="M239" s="1" t="n">
        <x:v>764090</x:v>
      </x:c>
    </x:row>
    <x:row r="240">
      <x:c r="A240" s="1" t="str">
        <x:v>246363196</x:v>
      </x:c>
      <x:c r="B240" s="1" t="str">
        <x:v>tolstovkazipcrop/темно-синий</x:v>
      </x:c>
      <x:c r="C240" s="1" t="str">
        <x:v>Худи</x:v>
      </x:c>
      <x:c r="D240" s="9" t="n">
        <x:v>9.7</x:v>
      </x:c>
      <x:c r="E240" s="8" t="n">
        <x:v>84834</x:v>
      </x:c>
      <x:c r="F240" s="8" t="n">
        <x:v>894</x:v>
      </x:c>
      <x:c r="G240" s="8" t="n">
        <x:v>827269</x:v>
      </x:c>
      <x:c r="H240" s="8" t="n">
        <x:v>114</x:v>
      </x:c>
      <x:c r="I240" s="8" t="n">
        <x:v>0</x:v>
      </x:c>
      <x:c r="J240" s="8" t="n">
        <x:v>450</x:v>
      </x:c>
      <x:c r="K240" s="8" t="n">
        <x:v>2157</x:v>
      </x:c>
      <x:c r="L240" s="1" t="str">
        <x:v>Нет</x:v>
      </x:c>
      <x:c r="M240" s="1" t="n">
        <x:v>430440</x:v>
      </x:c>
    </x:row>
    <x:row r="241">
      <x:c r="A241" s="1" t="str">
        <x:v>323186185</x:v>
      </x:c>
      <x:c r="B241" s="1" t="str">
        <x:v>futskims3K-102/пыльно-синий</x:v>
      </x:c>
      <x:c r="C241" s="1" t="str">
        <x:v>Футболки</x:v>
      </x:c>
      <x:c r="D241" s="9" t="n">
        <x:v>8.4</x:v>
      </x:c>
      <x:c r="E241" s="8" t="n">
        <x:v>111426</x:v>
      </x:c>
      <x:c r="F241" s="8" t="n">
        <x:v>1871</x:v>
      </x:c>
      <x:c r="G241" s="8" t="n">
        <x:v>825768</x:v>
      </x:c>
      <x:c r="H241" s="8" t="n">
        <x:v>2525</x:v>
      </x:c>
      <x:c r="I241" s="8" t="n">
        <x:v>0</x:v>
      </x:c>
      <x:c r="J241" s="8" t="n">
        <x:v>0</x:v>
      </x:c>
      <x:c r="K241" s="8" t="n">
        <x:v>955</x:v>
      </x:c>
      <x:c r="L241" s="1" t="str">
        <x:v>Нет</x:v>
      </x:c>
      <x:c r="M241" s="1" t="n">
        <x:v>0</x:v>
      </x:c>
    </x:row>
    <x:row r="242">
      <x:c r="A242" s="1" t="str">
        <x:v>229200081</x:v>
      </x:c>
      <x:c r="B242" s="1" t="str">
        <x:v>kroptop100/вареныйсерый</x:v>
      </x:c>
      <x:c r="C242" s="1" t="str">
        <x:v>Футболки</x:v>
      </x:c>
      <x:c r="D242" s="9" t="n">
        <x:v>9.7</x:v>
      </x:c>
      <x:c r="E242" s="8" t="n">
        <x:v>112293</x:v>
      </x:c>
      <x:c r="F242" s="8" t="n">
        <x:v>1837</x:v>
      </x:c>
      <x:c r="G242" s="8" t="n">
        <x:v>825474</x:v>
      </x:c>
      <x:c r="H242" s="8" t="n">
        <x:v>136</x:v>
      </x:c>
      <x:c r="I242" s="8" t="n">
        <x:v>0</x:v>
      </x:c>
      <x:c r="J242" s="8" t="n">
        <x:v>170</x:v>
      </x:c>
      <x:c r="K242" s="8" t="n">
        <x:v>976</x:v>
      </x:c>
      <x:c r="L242" s="1" t="str">
        <x:v>Нет</x:v>
      </x:c>
      <x:c r="M242" s="1" t="n">
        <x:v>88140</x:v>
      </x:c>
    </x:row>
    <x:row r="243">
      <x:c r="A243" s="1" t="str">
        <x:v>246363139</x:v>
      </x:c>
      <x:c r="B243" s="1" t="str">
        <x:v>tolstovkazip/кофейный</x:v>
      </x:c>
      <x:c r="C243" s="1" t="str">
        <x:v>Худи</x:v>
      </x:c>
      <x:c r="D243" s="9" t="n">
        <x:v>9.7</x:v>
      </x:c>
      <x:c r="E243" s="8" t="n">
        <x:v>70311</x:v>
      </x:c>
      <x:c r="F243" s="8" t="n">
        <x:v>683</x:v>
      </x:c>
      <x:c r="G243" s="8" t="n">
        <x:v>824444</x:v>
      </x:c>
      <x:c r="H243" s="8" t="n">
        <x:v>135</x:v>
      </x:c>
      <x:c r="I243" s="8" t="n">
        <x:v>0</x:v>
      </x:c>
      <x:c r="J243" s="8" t="n">
        <x:v>640</x:v>
      </x:c>
      <x:c r="K243" s="8" t="n">
        <x:v>3158</x:v>
      </x:c>
      <x:c r="L243" s="1" t="str">
        <x:v>Нет</x:v>
      </x:c>
      <x:c r="M243" s="1" t="n">
        <x:v>752930</x:v>
      </x:c>
    </x:row>
    <x:row r="244">
      <x:c r="A244" s="1" t="str">
        <x:v>326825483</x:v>
      </x:c>
      <x:c r="B244" s="1" t="str">
        <x:v>futbolkaprint/BezhMoreSelf-279/коричневый</x:v>
      </x:c>
      <x:c r="C244" s="1" t="str">
        <x:v>Футболки</x:v>
      </x:c>
      <x:c r="D244" s="9" t="n">
        <x:v>8.7</x:v>
      </x:c>
      <x:c r="E244" s="8" t="n">
        <x:v>89719</x:v>
      </x:c>
      <x:c r="F244" s="8" t="n">
        <x:v>1299</x:v>
      </x:c>
      <x:c r="G244" s="8" t="n">
        <x:v>822735</x:v>
      </x:c>
      <x:c r="H244" s="8" t="n">
        <x:v>67</x:v>
      </x:c>
      <x:c r="I244" s="8" t="n">
        <x:v>0</x:v>
      </x:c>
      <x:c r="J244" s="8" t="n">
        <x:v>0</x:v>
      </x:c>
      <x:c r="K244" s="8" t="n">
        <x:v>1223</x:v>
      </x:c>
      <x:c r="L244" s="1" t="str">
        <x:v>Нет</x:v>
      </x:c>
      <x:c r="M244" s="1" t="n">
        <x:v>0</x:v>
      </x:c>
    </x:row>
    <x:row r="245">
      <x:c r="A245" s="1" t="str">
        <x:v>237301006</x:v>
      </x:c>
      <x:c r="B245" s="1" t="str">
        <x:v>longoverprint/TheMovementClub-140/молочный</x:v>
      </x:c>
      <x:c r="C245" s="1" t="str">
        <x:v>Лонгсливы</x:v>
      </x:c>
      <x:c r="D245" s="9" t="n">
        <x:v>9.7</x:v>
      </x:c>
      <x:c r="E245" s="8" t="n">
        <x:v>85504</x:v>
      </x:c>
      <x:c r="F245" s="8" t="n">
        <x:v>1291</x:v>
      </x:c>
      <x:c r="G245" s="8" t="n">
        <x:v>820601</x:v>
      </x:c>
      <x:c r="H245" s="8" t="n">
        <x:v>366</x:v>
      </x:c>
      <x:c r="I245" s="8" t="n">
        <x:v>0</x:v>
      </x:c>
      <x:c r="J245" s="8" t="n">
        <x:v>3314</x:v>
      </x:c>
      <x:c r="K245" s="8" t="n">
        <x:v>1609</x:v>
      </x:c>
      <x:c r="L245" s="1" t="str">
        <x:v>Нет</x:v>
      </x:c>
      <x:c r="M245" s="1" t="n">
        <x:v>2034524</x:v>
      </x:c>
    </x:row>
    <x:row r="246">
      <x:c r="A246" s="1" t="str">
        <x:v>260797904</x:v>
      </x:c>
      <x:c r="B246" s="1" t="str">
        <x:v>hudicrop1/темно-синий</x:v>
      </x:c>
      <x:c r="C246" s="1" t="str">
        <x:v>Худи</x:v>
      </x:c>
      <x:c r="D246" s="9" t="n">
        <x:v>8.7</x:v>
      </x:c>
      <x:c r="E246" s="8" t="n">
        <x:v>64437</x:v>
      </x:c>
      <x:c r="F246" s="8" t="n">
        <x:v>766</x:v>
      </x:c>
      <x:c r="G246" s="8" t="n">
        <x:v>820216</x:v>
      </x:c>
      <x:c r="H246" s="8" t="n">
        <x:v>133</x:v>
      </x:c>
      <x:c r="I246" s="8" t="n">
        <x:v>0</x:v>
      </x:c>
      <x:c r="J246" s="8" t="n">
        <x:v>1526</x:v>
      </x:c>
      <x:c r="K246" s="8" t="n">
        <x:v>2806</x:v>
      </x:c>
      <x:c r="L246" s="1" t="str">
        <x:v>Нет</x:v>
      </x:c>
      <x:c r="M246" s="1" t="n">
        <x:v>1588355</x:v>
      </x:c>
    </x:row>
    <x:row r="247">
      <x:c r="A247" s="1" t="str">
        <x:v>222802036</x:v>
      </x:c>
      <x:c r="B247" s="1" t="str">
        <x:v>hudipetl/светло-розовый</x:v>
      </x:c>
      <x:c r="C247" s="1" t="str">
        <x:v>Худи</x:v>
      </x:c>
      <x:c r="D247" s="9" t="n">
        <x:v>8.7</x:v>
      </x:c>
      <x:c r="E247" s="8" t="n">
        <x:v>42184</x:v>
      </x:c>
      <x:c r="F247" s="8" t="n">
        <x:v>617</x:v>
      </x:c>
      <x:c r="G247" s="8" t="n">
        <x:v>818835</x:v>
      </x:c>
      <x:c r="H247" s="8" t="n">
        <x:v>2</x:v>
      </x:c>
      <x:c r="I247" s="8" t="n">
        <x:v>0</x:v>
      </x:c>
      <x:c r="J247" s="8" t="n">
        <x:v>1209</x:v>
      </x:c>
      <x:c r="K247" s="8" t="n">
        <x:v>2800</x:v>
      </x:c>
      <x:c r="L247" s="1" t="str">
        <x:v>Нет</x:v>
      </x:c>
      <x:c r="M247" s="1" t="n">
        <x:v>1595119</x:v>
      </x:c>
    </x:row>
    <x:row r="248">
      <x:c r="A248" s="1" t="str">
        <x:v>145845808</x:v>
      </x:c>
      <x:c r="B248" s="1" t="str">
        <x:v>svitshotman/молочный</x:v>
      </x:c>
      <x:c r="C248" s="1" t="str">
        <x:v>Свитшоты</x:v>
      </x:c>
      <x:c r="D248" s="9" t="n">
        <x:v>7.7</x:v>
      </x:c>
      <x:c r="E248" s="8" t="n">
        <x:v>33409</x:v>
      </x:c>
      <x:c r="F248" s="8" t="n">
        <x:v>953</x:v>
      </x:c>
      <x:c r="G248" s="8" t="n">
        <x:v>818622</x:v>
      </x:c>
      <x:c r="H248" s="8" t="n">
        <x:v>185</x:v>
      </x:c>
      <x:c r="I248" s="8" t="n">
        <x:v>0</x:v>
      </x:c>
      <x:c r="J248" s="8" t="n">
        <x:v>1168</x:v>
      </x:c>
      <x:c r="K248" s="8" t="n">
        <x:v>2175</x:v>
      </x:c>
      <x:c r="L248" s="1" t="str">
        <x:v>Нет</x:v>
      </x:c>
      <x:c r="M248" s="1" t="n">
        <x:v>1169058</x:v>
      </x:c>
    </x:row>
    <x:row r="249">
      <x:c r="A249" s="1" t="str">
        <x:v>229154432</x:v>
      </x:c>
      <x:c r="B249" s="1" t="str">
        <x:v>futbolkamanX3/чер-бел-хак</x:v>
      </x:c>
      <x:c r="C249" s="1" t="str">
        <x:v>Футболки</x:v>
      </x:c>
      <x:c r="D249" s="9" t="n">
        <x:v>8.7</x:v>
      </x:c>
      <x:c r="E249" s="8" t="n">
        <x:v>32567</x:v>
      </x:c>
      <x:c r="F249" s="8" t="n">
        <x:v>726</x:v>
      </x:c>
      <x:c r="G249" s="8" t="n">
        <x:v>806625</x:v>
      </x:c>
      <x:c r="H249" s="8" t="n">
        <x:v>28</x:v>
      </x:c>
      <x:c r="I249" s="8" t="n">
        <x:v>0</x:v>
      </x:c>
      <x:c r="J249" s="8" t="n">
        <x:v>66</x:v>
      </x:c>
      <x:c r="K249" s="8" t="n">
        <x:v>1846</x:v>
      </x:c>
      <x:c r="L249" s="1" t="str">
        <x:v>Нет</x:v>
      </x:c>
      <x:c r="M249" s="1" t="n">
        <x:v>81401</x:v>
      </x:c>
    </x:row>
    <x:row r="250">
      <x:c r="A250" s="1" t="str">
        <x:v>336303914</x:v>
      </x:c>
      <x:c r="B250" s="1" t="str">
        <x:v>futbolka_mary/розовый</x:v>
      </x:c>
      <x:c r="C250" s="1" t="str">
        <x:v>Футболки</x:v>
      </x:c>
      <x:c r="D250" s="9" t="n">
        <x:v>7.2</x:v>
      </x:c>
      <x:c r="E250" s="8" t="n">
        <x:v>74385</x:v>
      </x:c>
      <x:c r="F250" s="8" t="n">
        <x:v>2054</x:v>
      </x:c>
      <x:c r="G250" s="8" t="n">
        <x:v>806044</x:v>
      </x:c>
      <x:c r="H250" s="8" t="n">
        <x:v>36</x:v>
      </x:c>
      <x:c r="I250" s="8" t="n">
        <x:v>0</x:v>
      </x:c>
      <x:c r="J250" s="8" t="n">
        <x:v>0</x:v>
      </x:c>
      <x:c r="K250" s="8" t="n">
        <x:v>686</x:v>
      </x:c>
      <x:c r="L250" s="1" t="str">
        <x:v>Нет</x:v>
      </x:c>
      <x:c r="M250" s="1" t="n">
        <x:v>0</x:v>
      </x:c>
    </x:row>
    <x:row r="251">
      <x:c r="A251" s="1" t="str">
        <x:v>311071837</x:v>
      </x:c>
      <x:c r="B251" s="1" t="str">
        <x:v>brukipetl/дымка</x:v>
      </x:c>
      <x:c r="C251" s="1" t="str">
        <x:v>Брюки</x:v>
      </x:c>
      <x:c r="D251" s="9" t="n">
        <x:v>8.7</x:v>
      </x:c>
      <x:c r="E251" s="8" t="n">
        <x:v>76513</x:v>
      </x:c>
      <x:c r="F251" s="8" t="n">
        <x:v>1258</x:v>
      </x:c>
      <x:c r="G251" s="8" t="n">
        <x:v>801816</x:v>
      </x:c>
      <x:c r="H251" s="8" t="n">
        <x:v>115</x:v>
      </x:c>
      <x:c r="I251" s="8" t="n">
        <x:v>0</x:v>
      </x:c>
      <x:c r="J251" s="8" t="n">
        <x:v>972</x:v>
      </x:c>
      <x:c r="K251" s="8" t="n">
        <x:v>2330</x:v>
      </x:c>
      <x:c r="L251" s="1" t="str">
        <x:v>Нет</x:v>
      </x:c>
      <x:c r="M251" s="1" t="n">
        <x:v>652697</x:v>
      </x:c>
    </x:row>
    <x:row r="252">
      <x:c r="A252" s="1" t="str">
        <x:v>165757800</x:v>
      </x:c>
      <x:c r="B252" s="1" t="str">
        <x:v>kulirkaman/пудровый</x:v>
      </x:c>
      <x:c r="C252" s="1" t="str">
        <x:v>Футболки</x:v>
      </x:c>
      <x:c r="D252" s="9" t="n">
        <x:v>8.7</x:v>
      </x:c>
      <x:c r="E252" s="8" t="n">
        <x:v>38260</x:v>
      </x:c>
      <x:c r="F252" s="8" t="n">
        <x:v>1748</x:v>
      </x:c>
      <x:c r="G252" s="8" t="n">
        <x:v>799404</x:v>
      </x:c>
      <x:c r="H252" s="8" t="n">
        <x:v>1340</x:v>
      </x:c>
      <x:c r="I252" s="8" t="n">
        <x:v>0</x:v>
      </x:c>
      <x:c r="J252" s="8" t="n">
        <x:v>1093</x:v>
      </x:c>
      <x:c r="K252" s="8" t="n">
        <x:v>874</x:v>
      </x:c>
      <x:c r="L252" s="1" t="str">
        <x:v>Нет</x:v>
      </x:c>
      <x:c r="M252" s="1" t="n">
        <x:v>544788</x:v>
      </x:c>
    </x:row>
    <x:row r="253">
      <x:c r="A253" s="1" t="str">
        <x:v>289092413</x:v>
      </x:c>
      <x:c r="B253" s="1" t="str">
        <x:v>hudicropman4F-67/серыймеланж2</x:v>
      </x:c>
      <x:c r="C253" s="1" t="str">
        <x:v>Худи</x:v>
      </x:c>
      <x:c r="D253" s="9" t="n">
        <x:v>9.7</x:v>
      </x:c>
      <x:c r="E253" s="8" t="n">
        <x:v>39060</x:v>
      </x:c>
      <x:c r="F253" s="8" t="n">
        <x:v>809</x:v>
      </x:c>
      <x:c r="G253" s="8" t="n">
        <x:v>798197</x:v>
      </x:c>
      <x:c r="H253" s="8" t="n">
        <x:v>35</x:v>
      </x:c>
      <x:c r="I253" s="8" t="n">
        <x:v>0</x:v>
      </x:c>
      <x:c r="J253" s="8" t="n">
        <x:v>957</x:v>
      </x:c>
      <x:c r="K253" s="8" t="n">
        <x:v>3115</x:v>
      </x:c>
      <x:c r="L253" s="1" t="str">
        <x:v>Нет</x:v>
      </x:c>
      <x:c r="M253" s="1" t="n">
        <x:v>892457</x:v>
      </x:c>
    </x:row>
    <x:row r="254">
      <x:c r="A254" s="1" t="str">
        <x:v>269989154</x:v>
      </x:c>
      <x:c r="B254" s="1" t="str">
        <x:v>hudiprint/BelMoreSelf-114/бордовый</x:v>
      </x:c>
      <x:c r="C254" s="1" t="str">
        <x:v>Худи</x:v>
      </x:c>
      <x:c r="D254" s="9" t="n">
        <x:v>8.7</x:v>
      </x:c>
      <x:c r="E254" s="8" t="n">
        <x:v>48184</x:v>
      </x:c>
      <x:c r="F254" s="8" t="n">
        <x:v>581</x:v>
      </x:c>
      <x:c r="G254" s="8" t="n">
        <x:v>795932</x:v>
      </x:c>
      <x:c r="H254" s="8" t="n">
        <x:v>174</x:v>
      </x:c>
      <x:c r="I254" s="8" t="n">
        <x:v>0</x:v>
      </x:c>
      <x:c r="J254" s="8" t="n">
        <x:v>1182</x:v>
      </x:c>
      <x:c r="K254" s="8" t="n">
        <x:v>2822</x:v>
      </x:c>
      <x:c r="L254" s="1" t="str">
        <x:v>Нет</x:v>
      </x:c>
      <x:c r="M254" s="1" t="n">
        <x:v>1712803</x:v>
      </x:c>
    </x:row>
    <x:row r="255">
      <x:c r="A255" s="1" t="str">
        <x:v>368704658</x:v>
      </x:c>
      <x:c r="B255" s="1" t="str">
        <x:v>futskimsX2/дым-чер</x:v>
      </x:c>
      <x:c r="C255" s="1" t="str">
        <x:v>Футболки</x:v>
      </x:c>
      <x:c r="D255" s="9" t="n">
        <x:v>8.4</x:v>
      </x:c>
      <x:c r="E255" s="8" t="n">
        <x:v>69892</x:v>
      </x:c>
      <x:c r="F255" s="8" t="n">
        <x:v>623</x:v>
      </x:c>
      <x:c r="G255" s="8" t="n">
        <x:v>794598</x:v>
      </x:c>
      <x:c r="H255" s="8" t="n">
        <x:v>219</x:v>
      </x:c>
      <x:c r="I255" s="8" t="n">
        <x:v>0</x:v>
      </x:c>
      <x:c r="J255" s="8" t="n">
        <x:v>0</x:v>
      </x:c>
      <x:c r="K255" s="8" t="n">
        <x:v>2202</x:v>
      </x:c>
      <x:c r="L255" s="1" t="str">
        <x:v>Нет</x:v>
      </x:c>
      <x:c r="M255" s="1" t="n">
        <x:v>0</x:v>
      </x:c>
    </x:row>
    <x:row r="256">
      <x:c r="A256" s="1" t="str">
        <x:v>320870099</x:v>
      </x:c>
      <x:c r="B256" s="1" t="str">
        <x:v>kostyumfix3P-37-63/молочный</x:v>
      </x:c>
      <x:c r="C256" s="1" t="str">
        <x:v>Костюмы спортивные</x:v>
      </x:c>
      <x:c r="D256" s="9" t="n">
        <x:v>6.7</x:v>
      </x:c>
      <x:c r="E256" s="8" t="n">
        <x:v>89341</x:v>
      </x:c>
      <x:c r="F256" s="8" t="n">
        <x:v>894</x:v>
      </x:c>
      <x:c r="G256" s="8" t="n">
        <x:v>790143</x:v>
      </x:c>
      <x:c r="H256" s="8" t="n">
        <x:v>147</x:v>
      </x:c>
      <x:c r="I256" s="8" t="n">
        <x:v>0</x:v>
      </x:c>
      <x:c r="J256" s="8" t="n">
        <x:v>0</x:v>
      </x:c>
      <x:c r="K256" s="8" t="n">
        <x:v>5319</x:v>
      </x:c>
      <x:c r="L256" s="1" t="str">
        <x:v>Нет</x:v>
      </x:c>
      <x:c r="M256" s="1" t="n">
        <x:v>0</x:v>
      </x:c>
    </x:row>
    <x:row r="257">
      <x:c r="A257" s="1" t="str">
        <x:v>340601815</x:v>
      </x:c>
      <x:c r="B257" s="1" t="str">
        <x:v>futbolkaover/серый</x:v>
      </x:c>
      <x:c r="C257" s="1" t="str">
        <x:v>Футболки</x:v>
      </x:c>
      <x:c r="D257" s="9" t="n">
        <x:v>9.7</x:v>
      </x:c>
      <x:c r="E257" s="8" t="n">
        <x:v>115170</x:v>
      </x:c>
      <x:c r="F257" s="8" t="n">
        <x:v>1640</x:v>
      </x:c>
      <x:c r="G257" s="8" t="n">
        <x:v>789614</x:v>
      </x:c>
      <x:c r="H257" s="8" t="n">
        <x:v>328</x:v>
      </x:c>
      <x:c r="I257" s="8" t="n">
        <x:v>0</x:v>
      </x:c>
      <x:c r="J257" s="8" t="n">
        <x:v>15</x:v>
      </x:c>
      <x:c r="K257" s="8" t="n">
        <x:v>1128</x:v>
      </x:c>
      <x:c r="L257" s="1" t="str">
        <x:v>Нет</x:v>
      </x:c>
      <x:c r="M257" s="1" t="n">
        <x:v>5250</x:v>
      </x:c>
    </x:row>
    <x:row r="258">
      <x:c r="A258" s="1" t="str">
        <x:v>311049939</x:v>
      </x:c>
      <x:c r="B258" s="1" t="str">
        <x:v>hudimanpetl/темно-синий</x:v>
      </x:c>
      <x:c r="C258" s="1" t="str">
        <x:v>Худи</x:v>
      </x:c>
      <x:c r="D258" s="9" t="n">
        <x:v>8.7</x:v>
      </x:c>
      <x:c r="E258" s="8" t="n">
        <x:v>31849</x:v>
      </x:c>
      <x:c r="F258" s="8" t="n">
        <x:v>836</x:v>
      </x:c>
      <x:c r="G258" s="8" t="n">
        <x:v>787532</x:v>
      </x:c>
      <x:c r="H258" s="8" t="n">
        <x:v>65</x:v>
      </x:c>
      <x:c r="I258" s="8" t="n">
        <x:v>0</x:v>
      </x:c>
      <x:c r="J258" s="8" t="n">
        <x:v>545</x:v>
      </x:c>
      <x:c r="K258" s="8" t="n">
        <x:v>2681</x:v>
      </x:c>
      <x:c r="L258" s="1" t="str">
        <x:v>Нет</x:v>
      </x:c>
      <x:c r="M258" s="1" t="n">
        <x:v>476601</x:v>
      </x:c>
    </x:row>
    <x:row r="259">
      <x:c r="A259" s="1" t="str">
        <x:v>156188241</x:v>
      </x:c>
      <x:c r="B259" s="1" t="str">
        <x:v>hudiman/серый</x:v>
      </x:c>
      <x:c r="C259" s="1" t="str">
        <x:v>Худи</x:v>
      </x:c>
      <x:c r="D259" s="9" t="n">
        <x:v>9.7</x:v>
      </x:c>
      <x:c r="E259" s="8" t="n">
        <x:v>24705</x:v>
      </x:c>
      <x:c r="F259" s="8" t="n">
        <x:v>891</x:v>
      </x:c>
      <x:c r="G259" s="8" t="n">
        <x:v>783303</x:v>
      </x:c>
      <x:c r="H259" s="8" t="n">
        <x:v>1454</x:v>
      </x:c>
      <x:c r="I259" s="8" t="n">
        <x:v>0</x:v>
      </x:c>
      <x:c r="J259" s="8" t="n">
        <x:v>1816</x:v>
      </x:c>
      <x:c r="K259" s="8" t="n">
        <x:v>2376</x:v>
      </x:c>
      <x:c r="L259" s="1" t="str">
        <x:v>Нет</x:v>
      </x:c>
      <x:c r="M259" s="1" t="n">
        <x:v>1676776</x:v>
      </x:c>
    </x:row>
    <x:row r="260">
      <x:c r="A260" s="1" t="str">
        <x:v>297440103</x:v>
      </x:c>
      <x:c r="B260" s="1" t="str">
        <x:v>longover/морскаяволна</x:v>
      </x:c>
      <x:c r="C260" s="1" t="str">
        <x:v>Лонгсливы</x:v>
      </x:c>
      <x:c r="D260" s="9" t="n">
        <x:v>9.7</x:v>
      </x:c>
      <x:c r="E260" s="8" t="n">
        <x:v>84607</x:v>
      </x:c>
      <x:c r="F260" s="8" t="n">
        <x:v>1455</x:v>
      </x:c>
      <x:c r="G260" s="8" t="n">
        <x:v>778181</x:v>
      </x:c>
      <x:c r="H260" s="8" t="n">
        <x:v>1702</x:v>
      </x:c>
      <x:c r="I260" s="8" t="n">
        <x:v>0</x:v>
      </x:c>
      <x:c r="J260" s="8" t="n">
        <x:v>1122</x:v>
      </x:c>
      <x:c r="K260" s="8" t="n">
        <x:v>1134</x:v>
      </x:c>
      <x:c r="L260" s="1" t="str">
        <x:v>Нет</x:v>
      </x:c>
      <x:c r="M260" s="1" t="n">
        <x:v>624356</x:v>
      </x:c>
    </x:row>
    <x:row r="261">
      <x:c r="A261" s="1" t="str">
        <x:v>295771240</x:v>
      </x:c>
      <x:c r="B261" s="1" t="str">
        <x:v>kostyumfix3P-37-63/темно-серый</x:v>
      </x:c>
      <x:c r="C261" s="1" t="str">
        <x:v>Костюмы спортивные</x:v>
      </x:c>
      <x:c r="D261" s="9" t="n">
        <x:v>6.7</x:v>
      </x:c>
      <x:c r="E261" s="8" t="n">
        <x:v>52168</x:v>
      </x:c>
      <x:c r="F261" s="8" t="n">
        <x:v>558</x:v>
      </x:c>
      <x:c r="G261" s="8" t="n">
        <x:v>775918</x:v>
      </x:c>
      <x:c r="H261" s="8" t="n">
        <x:v>1</x:v>
      </x:c>
      <x:c r="I261" s="8" t="n">
        <x:v>0</x:v>
      </x:c>
      <x:c r="J261" s="8" t="n">
        <x:v>307</x:v>
      </x:c>
      <x:c r="K261" s="8" t="n">
        <x:v>5119</x:v>
      </x:c>
      <x:c r="L261" s="1" t="str">
        <x:v>Нет</x:v>
      </x:c>
      <x:c r="M261" s="1" t="n">
        <x:v>432000</x:v>
      </x:c>
    </x:row>
    <x:row r="262">
      <x:c r="A262" s="1" t="str">
        <x:v>271224252</x:v>
      </x:c>
      <x:c r="B262" s="1" t="str">
        <x:v>palazzoshnurok/бордовый</x:v>
      </x:c>
      <x:c r="C262" s="1" t="str">
        <x:v>Брюки</x:v>
      </x:c>
      <x:c r="D262" s="9" t="n">
        <x:v>6.7</x:v>
      </x:c>
      <x:c r="E262" s="8" t="n">
        <x:v>50971</x:v>
      </x:c>
      <x:c r="F262" s="8" t="n">
        <x:v>1215</x:v>
      </x:c>
      <x:c r="G262" s="8" t="n">
        <x:v>773903</x:v>
      </x:c>
      <x:c r="H262" s="8" t="n">
        <x:v>93</x:v>
      </x:c>
      <x:c r="I262" s="8" t="n">
        <x:v>0</x:v>
      </x:c>
      <x:c r="J262" s="8" t="n">
        <x:v>94</x:v>
      </x:c>
      <x:c r="K262" s="8" t="n">
        <x:v>2747</x:v>
      </x:c>
      <x:c r="L262" s="1" t="str">
        <x:v>Нет</x:v>
      </x:c>
      <x:c r="M262" s="1" t="n">
        <x:v>58338</x:v>
      </x:c>
    </x:row>
    <x:row r="263">
      <x:c r="A263" s="1" t="str">
        <x:v>218974177</x:v>
      </x:c>
      <x:c r="B263" s="1" t="str">
        <x:v>topbando/черный</x:v>
      </x:c>
      <x:c r="C263" s="1" t="str">
        <x:v>Топы</x:v>
      </x:c>
      <x:c r="D263" s="9" t="n">
        <x:v>8.9</x:v>
      </x:c>
      <x:c r="E263" s="8" t="n">
        <x:v>71356</x:v>
      </x:c>
      <x:c r="F263" s="8" t="n">
        <x:v>2834</x:v>
      </x:c>
      <x:c r="G263" s="8" t="n">
        <x:v>769861</x:v>
      </x:c>
      <x:c r="H263" s="8" t="n">
        <x:v>1760</x:v>
      </x:c>
      <x:c r="I263" s="8" t="n">
        <x:v>0</x:v>
      </x:c>
      <x:c r="J263" s="8" t="n">
        <x:v>89</x:v>
      </x:c>
      <x:c r="K263" s="8" t="n">
        <x:v>497</x:v>
      </x:c>
      <x:c r="L263" s="1" t="str">
        <x:v>Нет</x:v>
      </x:c>
      <x:c r="M263" s="1" t="n">
        <x:v>27104</x:v>
      </x:c>
    </x:row>
    <x:row r="264">
      <x:c r="A264" s="1" t="str">
        <x:v>323186194</x:v>
      </x:c>
      <x:c r="B264" s="1" t="str">
        <x:v>futskims3K-102/графит</x:v>
      </x:c>
      <x:c r="C264" s="1" t="str">
        <x:v>Футболки</x:v>
      </x:c>
      <x:c r="D264" s="9" t="n">
        <x:v>8.4</x:v>
      </x:c>
      <x:c r="E264" s="8" t="n">
        <x:v>146608</x:v>
      </x:c>
      <x:c r="F264" s="8" t="n">
        <x:v>1710</x:v>
      </x:c>
      <x:c r="G264" s="8" t="n">
        <x:v>768400</x:v>
      </x:c>
      <x:c r="H264" s="8" t="n">
        <x:v>2261</x:v>
      </x:c>
      <x:c r="I264" s="8" t="n">
        <x:v>0</x:v>
      </x:c>
      <x:c r="J264" s="8" t="n">
        <x:v>35</x:v>
      </x:c>
      <x:c r="K264" s="8" t="n">
        <x:v>871</x:v>
      </x:c>
      <x:c r="L264" s="1" t="str">
        <x:v>Нет</x:v>
      </x:c>
      <x:c r="M264" s="1" t="n">
        <x:v>15841</x:v>
      </x:c>
    </x:row>
    <x:row r="265">
      <x:c r="A265" s="1" t="str">
        <x:v>333323575</x:v>
      </x:c>
      <x:c r="B265" s="1" t="str">
        <x:v>hudicroppetl/коричневый</x:v>
      </x:c>
      <x:c r="C265" s="1" t="str">
        <x:v>Худи</x:v>
      </x:c>
      <x:c r="D265" s="9" t="n">
        <x:v>8.7</x:v>
      </x:c>
      <x:c r="E265" s="8" t="n">
        <x:v>49980</x:v>
      </x:c>
      <x:c r="F265" s="8" t="n">
        <x:v>844</x:v>
      </x:c>
      <x:c r="G265" s="8" t="n">
        <x:v>765041</x:v>
      </x:c>
      <x:c r="H265" s="8" t="n">
        <x:v>86</x:v>
      </x:c>
      <x:c r="I265" s="8" t="n">
        <x:v>0</x:v>
      </x:c>
      <x:c r="J265" s="8" t="n">
        <x:v>80</x:v>
      </x:c>
      <x:c r="K265" s="8" t="n">
        <x:v>3041</x:v>
      </x:c>
      <x:c r="L265" s="1" t="str">
        <x:v>Нет</x:v>
      </x:c>
      <x:c r="M265" s="1" t="n">
        <x:v>63800</x:v>
      </x:c>
    </x:row>
    <x:row r="266">
      <x:c r="A266" s="1" t="str">
        <x:v>172152340</x:v>
      </x:c>
      <x:c r="B266" s="1" t="str">
        <x:v>baza/кофейный</x:v>
      </x:c>
      <x:c r="C266" s="1" t="str">
        <x:v>Футболки</x:v>
      </x:c>
      <x:c r="D266" s="9" t="n">
        <x:v>8.2</x:v>
      </x:c>
      <x:c r="E266" s="8" t="n">
        <x:v>71609</x:v>
      </x:c>
      <x:c r="F266" s="8" t="n">
        <x:v>1671</x:v>
      </x:c>
      <x:c r="G266" s="8" t="n">
        <x:v>762812</x:v>
      </x:c>
      <x:c r="H266" s="8" t="n">
        <x:v>2328</x:v>
      </x:c>
      <x:c r="I266" s="8" t="n">
        <x:v>0</x:v>
      </x:c>
      <x:c r="J266" s="8" t="n">
        <x:v>2361</x:v>
      </x:c>
      <x:c r="K266" s="8" t="n">
        <x:v>821</x:v>
      </x:c>
      <x:c r="L266" s="1" t="str">
        <x:v>Нет</x:v>
      </x:c>
      <x:c r="M266" s="1" t="n">
        <x:v>1212562</x:v>
      </x:c>
    </x:row>
    <x:row r="267">
      <x:c r="A267" s="1" t="str">
        <x:v>236190499</x:v>
      </x:c>
      <x:c r="B267" s="1" t="str">
        <x:v>futbolkaprint100/LoveNever-45/вареныйсерый</x:v>
      </x:c>
      <x:c r="C267" s="1" t="str">
        <x:v>Футболки</x:v>
      </x:c>
      <x:c r="D267" s="9" t="n">
        <x:v>8.7</x:v>
      </x:c>
      <x:c r="E267" s="8" t="n">
        <x:v>58118</x:v>
      </x:c>
      <x:c r="F267" s="8" t="n">
        <x:v>1124</x:v>
      </x:c>
      <x:c r="G267" s="8" t="n">
        <x:v>759321</x:v>
      </x:c>
      <x:c r="H267" s="8" t="n">
        <x:v>1</x:v>
      </x:c>
      <x:c r="I267" s="8" t="n">
        <x:v>0</x:v>
      </x:c>
      <x:c r="J267" s="8" t="n">
        <x:v>0</x:v>
      </x:c>
      <x:c r="K267" s="8" t="n">
        <x:v>1096</x:v>
      </x:c>
      <x:c r="L267" s="1" t="str">
        <x:v>Нет</x:v>
      </x:c>
      <x:c r="M267" s="1" t="n">
        <x:v>0</x:v>
      </x:c>
    </x:row>
    <x:row r="268">
      <x:c r="A268" s="1" t="str">
        <x:v>271373854</x:v>
      </x:c>
      <x:c r="B268" s="1" t="str">
        <x:v>shtanyfix/черный</x:v>
      </x:c>
      <x:c r="C268" s="1" t="str">
        <x:v>Брюки</x:v>
      </x:c>
      <x:c r="D268" s="9" t="n">
        <x:v>8.2</x:v>
      </x:c>
      <x:c r="E268" s="8" t="n">
        <x:v>47260</x:v>
      </x:c>
      <x:c r="F268" s="8" t="n">
        <x:v>1025</x:v>
      </x:c>
      <x:c r="G268" s="8" t="n">
        <x:v>757285</x:v>
      </x:c>
      <x:c r="H268" s="8" t="n">
        <x:v>191</x:v>
      </x:c>
      <x:c r="I268" s="8" t="n">
        <x:v>0</x:v>
      </x:c>
      <x:c r="J268" s="8" t="n">
        <x:v>1209</x:v>
      </x:c>
      <x:c r="K268" s="8" t="n">
        <x:v>2856</x:v>
      </x:c>
      <x:c r="L268" s="1" t="str">
        <x:v>Нет</x:v>
      </x:c>
      <x:c r="M268" s="1" t="n">
        <x:v>1014864</x:v>
      </x:c>
    </x:row>
    <x:row r="269">
      <x:c r="A269" s="1" t="str">
        <x:v>211585143</x:v>
      </x:c>
      <x:c r="B269" s="1" t="str">
        <x:v>tolstovkazip/темно-синий</x:v>
      </x:c>
      <x:c r="C269" s="1" t="str">
        <x:v>Худи</x:v>
      </x:c>
      <x:c r="D269" s="9" t="n">
        <x:v>9.7</x:v>
      </x:c>
      <x:c r="E269" s="8" t="n">
        <x:v>48185</x:v>
      </x:c>
      <x:c r="F269" s="8" t="n">
        <x:v>545</x:v>
      </x:c>
      <x:c r="G269" s="8" t="n">
        <x:v>750679</x:v>
      </x:c>
      <x:c r="H269" s="8" t="n">
        <x:v>1</x:v>
      </x:c>
      <x:c r="I269" s="8" t="n">
        <x:v>0</x:v>
      </x:c>
      <x:c r="J269" s="8" t="n">
        <x:v>747</x:v>
      </x:c>
      <x:c r="K269" s="8" t="n">
        <x:v>2982</x:v>
      </x:c>
      <x:c r="L269" s="1" t="str">
        <x:v>Нет</x:v>
      </x:c>
      <x:c r="M269" s="1" t="n">
        <x:v>976743</x:v>
      </x:c>
    </x:row>
    <x:row r="270">
      <x:c r="A270" s="1" t="str">
        <x:v>211321120</x:v>
      </x:c>
      <x:c r="B270" s="1" t="str">
        <x:v>tolstovkazipcrop/черный</x:v>
      </x:c>
      <x:c r="C270" s="1" t="str">
        <x:v>Худи</x:v>
      </x:c>
      <x:c r="D270" s="9" t="n">
        <x:v>9.7</x:v>
      </x:c>
      <x:c r="E270" s="8" t="n">
        <x:v>49690</x:v>
      </x:c>
      <x:c r="F270" s="8" t="n">
        <x:v>669</x:v>
      </x:c>
      <x:c r="G270" s="8" t="n">
        <x:v>747688</x:v>
      </x:c>
      <x:c r="H270" s="8" t="n">
        <x:v>4</x:v>
      </x:c>
      <x:c r="I270" s="8" t="n">
        <x:v>0</x:v>
      </x:c>
      <x:c r="J270" s="8" t="n">
        <x:v>749</x:v>
      </x:c>
      <x:c r="K270" s="8" t="n">
        <x:v>2714</x:v>
      </x:c>
      <x:c r="L270" s="1" t="str">
        <x:v>Нет</x:v>
      </x:c>
      <x:c r="M270" s="1" t="n">
        <x:v>1024701</x:v>
      </x:c>
    </x:row>
    <x:row r="271">
      <x:c r="A271" s="1" t="str">
        <x:v>333167635</x:v>
      </x:c>
      <x:c r="B271" s="1" t="str">
        <x:v>futbolkamanX3/мол-как-кор</x:v>
      </x:c>
      <x:c r="C271" s="1" t="str">
        <x:v>Футболки</x:v>
      </x:c>
      <x:c r="D271" s="9" t="n">
        <x:v>8.7</x:v>
      </x:c>
      <x:c r="E271" s="8" t="n">
        <x:v>38312</x:v>
      </x:c>
      <x:c r="F271" s="8" t="n">
        <x:v>718</x:v>
      </x:c>
      <x:c r="G271" s="8" t="n">
        <x:v>743769</x:v>
      </x:c>
      <x:c r="H271" s="8" t="n">
        <x:v>0</x:v>
      </x:c>
      <x:c r="I271" s="8" t="n">
        <x:v>0</x:v>
      </x:c>
      <x:c r="J271" s="8"/>
      <x:c r="K271" s="8" t="n">
        <x:v>1857</x:v>
      </x:c>
      <x:c r="L271" s="1" t="str">
        <x:v>Нет</x:v>
      </x:c>
      <x:c r="M271" s="1"/>
    </x:row>
    <x:row r="272">
      <x:c r="A272" s="1" t="str">
        <x:v>165757812</x:v>
      </x:c>
      <x:c r="B272" s="1" t="str">
        <x:v>kulirkaman/красный</x:v>
      </x:c>
      <x:c r="C272" s="1" t="str">
        <x:v>Футболки</x:v>
      </x:c>
      <x:c r="D272" s="9" t="n">
        <x:v>8.7</x:v>
      </x:c>
      <x:c r="E272" s="8" t="n">
        <x:v>27125</x:v>
      </x:c>
      <x:c r="F272" s="8" t="n">
        <x:v>1307</x:v>
      </x:c>
      <x:c r="G272" s="8" t="n">
        <x:v>738916</x:v>
      </x:c>
      <x:c r="H272" s="8" t="n">
        <x:v>341</x:v>
      </x:c>
      <x:c r="I272" s="8" t="n">
        <x:v>0</x:v>
      </x:c>
      <x:c r="J272" s="8" t="n">
        <x:v>619</x:v>
      </x:c>
      <x:c r="K272" s="8" t="n">
        <x:v>1078</x:v>
      </x:c>
      <x:c r="L272" s="1" t="str">
        <x:v>Нет</x:v>
      </x:c>
      <x:c r="M272" s="1" t="n">
        <x:v>368347</x:v>
      </x:c>
    </x:row>
    <x:row r="273">
      <x:c r="A273" s="1" t="str">
        <x:v>211336668</x:v>
      </x:c>
      <x:c r="B273" s="1" t="str">
        <x:v>tolstovkazipcrop/молочный</x:v>
      </x:c>
      <x:c r="C273" s="1" t="str">
        <x:v>Худи</x:v>
      </x:c>
      <x:c r="D273" s="9" t="n">
        <x:v>9.7</x:v>
      </x:c>
      <x:c r="E273" s="8" t="n">
        <x:v>44512</x:v>
      </x:c>
      <x:c r="F273" s="8" t="n">
        <x:v>686</x:v>
      </x:c>
      <x:c r="G273" s="8" t="n">
        <x:v>734778</x:v>
      </x:c>
      <x:c r="H273" s="8" t="n">
        <x:v>132</x:v>
      </x:c>
      <x:c r="I273" s="8" t="n">
        <x:v>0</x:v>
      </x:c>
      <x:c r="J273" s="8" t="n">
        <x:v>514</x:v>
      </x:c>
      <x:c r="K273" s="8" t="n">
        <x:v>2446</x:v>
      </x:c>
      <x:c r="L273" s="1" t="str">
        <x:v>Нет</x:v>
      </x:c>
      <x:c r="M273" s="1" t="n">
        <x:v>638826</x:v>
      </x:c>
    </x:row>
    <x:row r="274">
      <x:c r="A274" s="1" t="str">
        <x:v>311462398</x:v>
      </x:c>
      <x:c r="B274" s="1" t="str">
        <x:v>brukimanpetl/серый</x:v>
      </x:c>
      <x:c r="C274" s="1" t="str">
        <x:v>Брюки</x:v>
      </x:c>
      <x:c r="D274" s="9" t="n">
        <x:v>8.7</x:v>
      </x:c>
      <x:c r="E274" s="8" t="n">
        <x:v>32509</x:v>
      </x:c>
      <x:c r="F274" s="8" t="n">
        <x:v>905</x:v>
      </x:c>
      <x:c r="G274" s="8" t="n">
        <x:v>733996</x:v>
      </x:c>
      <x:c r="H274" s="8" t="n">
        <x:v>81</x:v>
      </x:c>
      <x:c r="I274" s="8" t="n">
        <x:v>0</x:v>
      </x:c>
      <x:c r="J274" s="8" t="n">
        <x:v>718</x:v>
      </x:c>
      <x:c r="K274" s="8" t="n">
        <x:v>2299</x:v>
      </x:c>
      <x:c r="L274" s="1" t="str">
        <x:v>Нет</x:v>
      </x:c>
      <x:c r="M274" s="1" t="n">
        <x:v>586501</x:v>
      </x:c>
    </x:row>
    <x:row r="275">
      <x:c r="A275" s="1" t="str">
        <x:v>211336682</x:v>
      </x:c>
      <x:c r="B275" s="1" t="str">
        <x:v>tolstovkazipman/серый</x:v>
      </x:c>
      <x:c r="C275" s="1" t="str">
        <x:v>Худи</x:v>
      </x:c>
      <x:c r="D275" s="9" t="n">
        <x:v>7</x:v>
      </x:c>
      <x:c r="E275" s="8" t="n">
        <x:v>47197</x:v>
      </x:c>
      <x:c r="F275" s="8" t="n">
        <x:v>802</x:v>
      </x:c>
      <x:c r="G275" s="8" t="n">
        <x:v>729033</x:v>
      </x:c>
      <x:c r="H275" s="8" t="n">
        <x:v>94</x:v>
      </x:c>
      <x:c r="I275" s="8" t="n">
        <x:v>0</x:v>
      </x:c>
      <x:c r="J275" s="8" t="n">
        <x:v>512</x:v>
      </x:c>
      <x:c r="K275" s="8" t="n">
        <x:v>3146</x:v>
      </x:c>
      <x:c r="L275" s="1" t="str">
        <x:v>Нет</x:v>
      </x:c>
      <x:c r="M275" s="1" t="n">
        <x:v>497040</x:v>
      </x:c>
    </x:row>
    <x:row r="276">
      <x:c r="A276" s="1" t="str">
        <x:v>260797918</x:v>
      </x:c>
      <x:c r="B276" s="1" t="str">
        <x:v>hudicrop1/серый</x:v>
      </x:c>
      <x:c r="C276" s="1" t="str">
        <x:v>Худи</x:v>
      </x:c>
      <x:c r="D276" s="9" t="n">
        <x:v>8.7</x:v>
      </x:c>
      <x:c r="E276" s="8" t="n">
        <x:v>70456</x:v>
      </x:c>
      <x:c r="F276" s="8" t="n">
        <x:v>715</x:v>
      </x:c>
      <x:c r="G276" s="8" t="n">
        <x:v>727656</x:v>
      </x:c>
      <x:c r="H276" s="8" t="n">
        <x:v>205</x:v>
      </x:c>
      <x:c r="I276" s="8" t="n">
        <x:v>0</x:v>
      </x:c>
      <x:c r="J276" s="8" t="n">
        <x:v>1546</x:v>
      </x:c>
      <x:c r="K276" s="8" t="n">
        <x:v>2669</x:v>
      </x:c>
      <x:c r="L276" s="1" t="str">
        <x:v>Нет</x:v>
      </x:c>
      <x:c r="M276" s="1" t="n">
        <x:v>1651909</x:v>
      </x:c>
    </x:row>
    <x:row r="277">
      <x:c r="A277" s="1" t="str">
        <x:v>333242663</x:v>
      </x:c>
      <x:c r="B277" s="1" t="str">
        <x:v>futbolkamanoverX3/чер-бел-как</x:v>
      </x:c>
      <x:c r="C277" s="1" t="str">
        <x:v>Футболки</x:v>
      </x:c>
      <x:c r="D277" s="9" t="n">
        <x:v>8.4</x:v>
      </x:c>
      <x:c r="E277" s="8" t="n">
        <x:v>39171</x:v>
      </x:c>
      <x:c r="F277" s="8" t="n">
        <x:v>548</x:v>
      </x:c>
      <x:c r="G277" s="8" t="n">
        <x:v>725943</x:v>
      </x:c>
      <x:c r="H277" s="8" t="n">
        <x:v>593</x:v>
      </x:c>
      <x:c r="I277" s="8" t="n">
        <x:v>0</x:v>
      </x:c>
      <x:c r="J277" s="8" t="n">
        <x:v>0</x:v>
      </x:c>
      <x:c r="K277" s="8" t="n">
        <x:v>2755</x:v>
      </x:c>
      <x:c r="L277" s="1" t="str">
        <x:v>Нет</x:v>
      </x:c>
      <x:c r="M277" s="1" t="n">
        <x:v>0</x:v>
      </x:c>
    </x:row>
    <x:row r="278">
      <x:c r="A278" s="1" t="str">
        <x:v>237301023</x:v>
      </x:c>
      <x:c r="B278" s="1" t="str">
        <x:v>longoverprint/MoreSelf-44/молочный</x:v>
      </x:c>
      <x:c r="C278" s="1" t="str">
        <x:v>Лонгсливы</x:v>
      </x:c>
      <x:c r="D278" s="9" t="n">
        <x:v>8.7</x:v>
      </x:c>
      <x:c r="E278" s="8" t="n">
        <x:v>58092</x:v>
      </x:c>
      <x:c r="F278" s="8" t="n">
        <x:v>1117</x:v>
      </x:c>
      <x:c r="G278" s="8" t="n">
        <x:v>722814</x:v>
      </x:c>
      <x:c r="H278" s="8" t="n">
        <x:v>260</x:v>
      </x:c>
      <x:c r="I278" s="8" t="n">
        <x:v>0</x:v>
      </x:c>
      <x:c r="J278" s="8" t="n">
        <x:v>1456</x:v>
      </x:c>
      <x:c r="K278" s="8" t="n">
        <x:v>1258</x:v>
      </x:c>
      <x:c r="L278" s="1" t="str">
        <x:v>Нет</x:v>
      </x:c>
      <x:c r="M278" s="1" t="n">
        <x:v>1004395</x:v>
      </x:c>
    </x:row>
    <x:row r="279">
      <x:c r="A279" s="1" t="str">
        <x:v>113249033</x:v>
      </x:c>
      <x:c r="B279" s="1" t="str">
        <x:v>kroptop/сине-морской</x:v>
      </x:c>
      <x:c r="C279" s="1" t="str">
        <x:v>Футболки</x:v>
      </x:c>
      <x:c r="D279" s="9" t="n">
        <x:v>8.7</x:v>
      </x:c>
      <x:c r="E279" s="8" t="n">
        <x:v>60333</x:v>
      </x:c>
      <x:c r="F279" s="8" t="n">
        <x:v>1851</x:v>
      </x:c>
      <x:c r="G279" s="8" t="n">
        <x:v>719142</x:v>
      </x:c>
      <x:c r="H279" s="8" t="n">
        <x:v>2557</x:v>
      </x:c>
      <x:c r="I279" s="8" t="n">
        <x:v>0</x:v>
      </x:c>
      <x:c r="J279" s="8" t="n">
        <x:v>439</x:v>
      </x:c>
      <x:c r="K279" s="8" t="n">
        <x:v>680</x:v>
      </x:c>
      <x:c r="L279" s="1" t="str">
        <x:v>Нет</x:v>
      </x:c>
      <x:c r="M279" s="1" t="n">
        <x:v>209949</x:v>
      </x:c>
    </x:row>
    <x:row r="280">
      <x:c r="A280" s="1" t="str">
        <x:v>321792809</x:v>
      </x:c>
      <x:c r="B280" s="1" t="str">
        <x:v>tshirtsuperover3K-E1/белый</x:v>
      </x:c>
      <x:c r="C280" s="1" t="str">
        <x:v>Футболки</x:v>
      </x:c>
      <x:c r="D280" s="9" t="n">
        <x:v>8.7</x:v>
      </x:c>
      <x:c r="E280" s="8" t="n">
        <x:v>105659</x:v>
      </x:c>
      <x:c r="F280" s="8" t="n">
        <x:v>1277</x:v>
      </x:c>
      <x:c r="G280" s="8" t="n">
        <x:v>718603</x:v>
      </x:c>
      <x:c r="H280" s="8" t="n">
        <x:v>356</x:v>
      </x:c>
      <x:c r="I280" s="8" t="n">
        <x:v>0</x:v>
      </x:c>
      <x:c r="J280" s="8" t="n">
        <x:v>0</x:v>
      </x:c>
      <x:c r="K280" s="8" t="n">
        <x:v>1315</x:v>
      </x:c>
      <x:c r="L280" s="1" t="str">
        <x:v>Нет</x:v>
      </x:c>
      <x:c r="M280" s="1" t="n">
        <x:v>0</x:v>
      </x:c>
    </x:row>
    <x:row r="281">
      <x:c r="A281" s="1" t="str">
        <x:v>322134919</x:v>
      </x:c>
      <x:c r="B281" s="1" t="str">
        <x:v>shtanygulf3P-S3/серыймеланж2</x:v>
      </x:c>
      <x:c r="C281" s="1" t="str">
        <x:v>Брюки</x:v>
      </x:c>
      <x:c r="D281" s="9" t="n">
        <x:v>9.4</x:v>
      </x:c>
      <x:c r="E281" s="8" t="n">
        <x:v>45079</x:v>
      </x:c>
      <x:c r="F281" s="8" t="n">
        <x:v>890</x:v>
      </x:c>
      <x:c r="G281" s="8" t="n">
        <x:v>713831</x:v>
      </x:c>
      <x:c r="H281" s="8" t="n">
        <x:v>1</x:v>
      </x:c>
      <x:c r="I281" s="8" t="n">
        <x:v>0</x:v>
      </x:c>
      <x:c r="J281" s="8" t="n">
        <x:v>652</x:v>
      </x:c>
      <x:c r="K281" s="8" t="n">
        <x:v>2917</x:v>
      </x:c>
      <x:c r="L281" s="1" t="str">
        <x:v>Нет</x:v>
      </x:c>
      <x:c r="M281" s="1" t="n">
        <x:v>376048</x:v>
      </x:c>
    </x:row>
    <x:row r="282">
      <x:c r="A282" s="1" t="str">
        <x:v>291183456</x:v>
      </x:c>
      <x:c r="B282" s="1" t="str">
        <x:v>kulirkamanprint/MovesBlack-180/черный</x:v>
      </x:c>
      <x:c r="C282" s="1" t="str">
        <x:v>Футболки</x:v>
      </x:c>
      <x:c r="D282" s="9" t="n">
        <x:v>7.7</x:v>
      </x:c>
      <x:c r="E282" s="8" t="n">
        <x:v>81534</x:v>
      </x:c>
      <x:c r="F282" s="8" t="n">
        <x:v>1277</x:v>
      </x:c>
      <x:c r="G282" s="8" t="n">
        <x:v>713606</x:v>
      </x:c>
      <x:c r="H282" s="8" t="n">
        <x:v>13</x:v>
      </x:c>
      <x:c r="I282" s="8" t="n">
        <x:v>0</x:v>
      </x:c>
      <x:c r="J282" s="8" t="n">
        <x:v>0</x:v>
      </x:c>
      <x:c r="K282" s="8" t="n">
        <x:v>1029</x:v>
      </x:c>
      <x:c r="L282" s="1" t="str">
        <x:v>Нет</x:v>
      </x:c>
      <x:c r="M282" s="1" t="n">
        <x:v>0</x:v>
      </x:c>
    </x:row>
    <x:row r="283">
      <x:c r="A283" s="1" t="str">
        <x:v>333323584</x:v>
      </x:c>
      <x:c r="B283" s="1" t="str">
        <x:v>hudicroppetl/темно-серый</x:v>
      </x:c>
      <x:c r="C283" s="1" t="str">
        <x:v>Худи</x:v>
      </x:c>
      <x:c r="D283" s="9" t="n">
        <x:v>8.7</x:v>
      </x:c>
      <x:c r="E283" s="8" t="n">
        <x:v>44347</x:v>
      </x:c>
      <x:c r="F283" s="8" t="n">
        <x:v>725</x:v>
      </x:c>
      <x:c r="G283" s="8" t="n">
        <x:v>711266</x:v>
      </x:c>
      <x:c r="H283" s="8" t="n">
        <x:v>122</x:v>
      </x:c>
      <x:c r="I283" s="8" t="n">
        <x:v>0</x:v>
      </x:c>
      <x:c r="J283" s="8" t="n">
        <x:v>82</x:v>
      </x:c>
      <x:c r="K283" s="8" t="n">
        <x:v>2999</x:v>
      </x:c>
      <x:c r="L283" s="1" t="str">
        <x:v>Нет</x:v>
      </x:c>
      <x:c r="M283" s="1" t="n">
        <x:v>75402</x:v>
      </x:c>
    </x:row>
    <x:row r="284">
      <x:c r="A284" s="1" t="str">
        <x:v>234109064</x:v>
      </x:c>
      <x:c r="B284" s="1" t="str">
        <x:v>futbolkaprint/MovesWithLove-135/розовый</x:v>
      </x:c>
      <x:c r="C284" s="1" t="str">
        <x:v>Футболки</x:v>
      </x:c>
      <x:c r="D284" s="9" t="n">
        <x:v>9.7</x:v>
      </x:c>
      <x:c r="E284" s="8" t="n">
        <x:v>101557</x:v>
      </x:c>
      <x:c r="F284" s="8" t="n">
        <x:v>1129</x:v>
      </x:c>
      <x:c r="G284" s="8" t="n">
        <x:v>711066</x:v>
      </x:c>
      <x:c r="H284" s="8" t="n">
        <x:v>234</x:v>
      </x:c>
      <x:c r="I284" s="8" t="n">
        <x:v>0</x:v>
      </x:c>
      <x:c r="J284" s="8" t="n">
        <x:v>1811</x:v>
      </x:c>
      <x:c r="K284" s="8" t="n">
        <x:v>1229</x:v>
      </x:c>
      <x:c r="L284" s="1" t="str">
        <x:v>Нет</x:v>
      </x:c>
      <x:c r="M284" s="1" t="n">
        <x:v>1263927</x:v>
      </x:c>
    </x:row>
    <x:row r="285">
      <x:c r="A285" s="1" t="str">
        <x:v>297440098</x:v>
      </x:c>
      <x:c r="B285" s="1" t="str">
        <x:v>longover/светло-фиолетовый</x:v>
      </x:c>
      <x:c r="C285" s="1" t="str">
        <x:v>Лонгсливы</x:v>
      </x:c>
      <x:c r="D285" s="9" t="n">
        <x:v>8.7</x:v>
      </x:c>
      <x:c r="E285" s="8" t="n">
        <x:v>89984</x:v>
      </x:c>
      <x:c r="F285" s="8" t="n">
        <x:v>1197</x:v>
      </x:c>
      <x:c r="G285" s="8" t="n">
        <x:v>709728</x:v>
      </x:c>
      <x:c r="H285" s="8" t="n">
        <x:v>358</x:v>
      </x:c>
      <x:c r="I285" s="8" t="n">
        <x:v>0</x:v>
      </x:c>
      <x:c r="J285" s="8" t="n">
        <x:v>2443</x:v>
      </x:c>
      <x:c r="K285" s="8" t="n">
        <x:v>1365</x:v>
      </x:c>
      <x:c r="L285" s="1" t="str">
        <x:v>Нет</x:v>
      </x:c>
      <x:c r="M285" s="1" t="n">
        <x:v>1450020</x:v>
      </x:c>
    </x:row>
    <x:row r="286">
      <x:c r="A286" s="1" t="str">
        <x:v>224386355</x:v>
      </x:c>
      <x:c r="B286" s="1" t="str">
        <x:v>futbolkaprint/MovesWithLove-135/молочный</x:v>
      </x:c>
      <x:c r="C286" s="1" t="str">
        <x:v>Футболки</x:v>
      </x:c>
      <x:c r="D286" s="9" t="n">
        <x:v>8.7</x:v>
      </x:c>
      <x:c r="E286" s="8" t="n">
        <x:v>117075</x:v>
      </x:c>
      <x:c r="F286" s="8" t="n">
        <x:v>1185</x:v>
      </x:c>
      <x:c r="G286" s="8" t="n">
        <x:v>707918</x:v>
      </x:c>
      <x:c r="H286" s="8" t="n">
        <x:v>14</x:v>
      </x:c>
      <x:c r="I286" s="8" t="n">
        <x:v>0</x:v>
      </x:c>
      <x:c r="J286" s="8" t="n">
        <x:v>1996</x:v>
      </x:c>
      <x:c r="K286" s="8" t="n">
        <x:v>1328</x:v>
      </x:c>
      <x:c r="L286" s="1" t="str">
        <x:v>Нет</x:v>
      </x:c>
      <x:c r="M286" s="1" t="n">
        <x:v>1308685</x:v>
      </x:c>
    </x:row>
    <x:row r="287">
      <x:c r="A287" s="1" t="str">
        <x:v>59328864</x:v>
      </x:c>
      <x:c r="B287" s="1" t="str">
        <x:v>hudiman/песочный</x:v>
      </x:c>
      <x:c r="C287" s="1" t="str">
        <x:v>Худи</x:v>
      </x:c>
      <x:c r="D287" s="9" t="n">
        <x:v>9.7</x:v>
      </x:c>
      <x:c r="E287" s="8" t="n">
        <x:v>26640</x:v>
      </x:c>
      <x:c r="F287" s="8" t="n">
        <x:v>749</x:v>
      </x:c>
      <x:c r="G287" s="8" t="n">
        <x:v>707456</x:v>
      </x:c>
      <x:c r="H287" s="8" t="n">
        <x:v>557</x:v>
      </x:c>
      <x:c r="I287" s="8" t="n">
        <x:v>0</x:v>
      </x:c>
      <x:c r="J287" s="8" t="n">
        <x:v>675</x:v>
      </x:c>
      <x:c r="K287" s="8" t="n">
        <x:v>2409</x:v>
      </x:c>
      <x:c r="L287" s="1" t="str">
        <x:v>Нет</x:v>
      </x:c>
      <x:c r="M287" s="1" t="n">
        <x:v>660358</x:v>
      </x:c>
    </x:row>
    <x:row r="288">
      <x:c r="A288" s="1" t="str">
        <x:v>271757224</x:v>
      </x:c>
      <x:c r="B288" s="1" t="str">
        <x:v>hudicrop1/вареныйсерый</x:v>
      </x:c>
      <x:c r="C288" s="1" t="str">
        <x:v>Худи</x:v>
      </x:c>
      <x:c r="D288" s="9" t="n">
        <x:v>8.7</x:v>
      </x:c>
      <x:c r="E288" s="8" t="n">
        <x:v>69585</x:v>
      </x:c>
      <x:c r="F288" s="8" t="n">
        <x:v>683</x:v>
      </x:c>
      <x:c r="G288" s="8" t="n">
        <x:v>706908</x:v>
      </x:c>
      <x:c r="H288" s="8" t="n">
        <x:v>7</x:v>
      </x:c>
      <x:c r="I288" s="8" t="n">
        <x:v>0</x:v>
      </x:c>
      <x:c r="J288" s="8" t="n">
        <x:v>1098</x:v>
      </x:c>
      <x:c r="K288" s="8" t="n">
        <x:v>2742</x:v>
      </x:c>
      <x:c r="L288" s="1" t="str">
        <x:v>Нет</x:v>
      </x:c>
      <x:c r="M288" s="1" t="n">
        <x:v>1226394</x:v>
      </x:c>
    </x:row>
    <x:row r="289">
      <x:c r="A289" s="1" t="str">
        <x:v>116672591</x:v>
      </x:c>
      <x:c r="B289" s="1" t="str">
        <x:v>kroptop/морскаяволна</x:v>
      </x:c>
      <x:c r="C289" s="1" t="str">
        <x:v>Футболки</x:v>
      </x:c>
      <x:c r="D289" s="9" t="n">
        <x:v>8.7</x:v>
      </x:c>
      <x:c r="E289" s="8" t="n">
        <x:v>57066</x:v>
      </x:c>
      <x:c r="F289" s="8" t="n">
        <x:v>1924</x:v>
      </x:c>
      <x:c r="G289" s="8" t="n">
        <x:v>704554</x:v>
      </x:c>
      <x:c r="H289" s="8" t="n">
        <x:v>3667</x:v>
      </x:c>
      <x:c r="I289" s="8" t="n">
        <x:v>0</x:v>
      </x:c>
      <x:c r="J289" s="8" t="n">
        <x:v>1688</x:v>
      </x:c>
      <x:c r="K289" s="8" t="n">
        <x:v>756</x:v>
      </x:c>
      <x:c r="L289" s="1" t="str">
        <x:v>Нет</x:v>
      </x:c>
      <x:c r="M289" s="1" t="n">
        <x:v>722894</x:v>
      </x:c>
    </x:row>
    <x:row r="290">
      <x:c r="A290" s="1" t="str">
        <x:v>237301017</x:v>
      </x:c>
      <x:c r="B290" s="1" t="str">
        <x:v>futbolkaprint/BelLoveNever-166/розовый</x:v>
      </x:c>
      <x:c r="C290" s="1" t="str">
        <x:v>Футболки</x:v>
      </x:c>
      <x:c r="D290" s="9" t="n">
        <x:v>8.7</x:v>
      </x:c>
      <x:c r="E290" s="8" t="n">
        <x:v>52304</x:v>
      </x:c>
      <x:c r="F290" s="8" t="n">
        <x:v>1016</x:v>
      </x:c>
      <x:c r="G290" s="8" t="n">
        <x:v>704064</x:v>
      </x:c>
      <x:c r="H290" s="8" t="n">
        <x:v>17</x:v>
      </x:c>
      <x:c r="I290" s="8" t="n">
        <x:v>0</x:v>
      </x:c>
      <x:c r="J290" s="8" t="n">
        <x:v>1811</x:v>
      </x:c>
      <x:c r="K290" s="8" t="n">
        <x:v>1352</x:v>
      </x:c>
      <x:c r="L290" s="1" t="str">
        <x:v>Нет</x:v>
      </x:c>
      <x:c r="M290" s="1" t="n">
        <x:v>1328463</x:v>
      </x:c>
    </x:row>
    <x:row r="291">
      <x:c r="A291" s="1" t="str">
        <x:v>15748478</x:v>
      </x:c>
      <x:c r="B291" s="1" t="str">
        <x:v>bruki/черный</x:v>
      </x:c>
      <x:c r="C291" s="1" t="str">
        <x:v>Брюки</x:v>
      </x:c>
      <x:c r="D291" s="9" t="n">
        <x:v>7.7</x:v>
      </x:c>
      <x:c r="E291" s="8" t="n">
        <x:v>33714</x:v>
      </x:c>
      <x:c r="F291" s="8" t="n">
        <x:v>965</x:v>
      </x:c>
      <x:c r="G291" s="8" t="n">
        <x:v>699297</x:v>
      </x:c>
      <x:c r="H291" s="8" t="n">
        <x:v>402</x:v>
      </x:c>
      <x:c r="I291" s="8" t="n">
        <x:v>0</x:v>
      </x:c>
      <x:c r="J291" s="8" t="n">
        <x:v>1352</x:v>
      </x:c>
      <x:c r="K291" s="8" t="n">
        <x:v>2432</x:v>
      </x:c>
      <x:c r="L291" s="1" t="str">
        <x:v>Нет</x:v>
      </x:c>
      <x:c r="M291" s="1" t="n">
        <x:v>1102642</x:v>
      </x:c>
    </x:row>
    <x:row r="292">
      <x:c r="A292" s="1" t="str">
        <x:v>331723389</x:v>
      </x:c>
      <x:c r="B292" s="1" t="str">
        <x:v>futkryl3K-101/черный</x:v>
      </x:c>
      <x:c r="C292" s="1" t="str">
        <x:v>Футболки</x:v>
      </x:c>
      <x:c r="D292" s="9" t="n">
        <x:v>8.4</x:v>
      </x:c>
      <x:c r="E292" s="8" t="n">
        <x:v>85914</x:v>
      </x:c>
      <x:c r="F292" s="8" t="n">
        <x:v>1722</x:v>
      </x:c>
      <x:c r="G292" s="8" t="n">
        <x:v>697990</x:v>
      </x:c>
      <x:c r="H292" s="8" t="n">
        <x:v>582</x:v>
      </x:c>
      <x:c r="I292" s="8" t="n">
        <x:v>0</x:v>
      </x:c>
      <x:c r="J292" s="8" t="n">
        <x:v>491</x:v>
      </x:c>
      <x:c r="K292" s="8" t="n">
        <x:v>839</x:v>
      </x:c>
      <x:c r="L292" s="1" t="str">
        <x:v>Нет</x:v>
      </x:c>
      <x:c r="M292" s="1" t="n">
        <x:v>162354</x:v>
      </x:c>
    </x:row>
    <x:row r="293">
      <x:c r="A293" s="1" t="str">
        <x:v>79657730</x:v>
      </x:c>
      <x:c r="B293" s="1" t="str">
        <x:v>futbolkaover/хаки</x:v>
      </x:c>
      <x:c r="C293" s="1" t="str">
        <x:v>Футболки</x:v>
      </x:c>
      <x:c r="D293" s="9" t="n">
        <x:v>9.7</x:v>
      </x:c>
      <x:c r="E293" s="8" t="n">
        <x:v>72773</x:v>
      </x:c>
      <x:c r="F293" s="8" t="n">
        <x:v>1527</x:v>
      </x:c>
      <x:c r="G293" s="8" t="n">
        <x:v>695728</x:v>
      </x:c>
      <x:c r="H293" s="8" t="n">
        <x:v>1611</x:v>
      </x:c>
      <x:c r="I293" s="8" t="n">
        <x:v>0</x:v>
      </x:c>
      <x:c r="J293" s="8" t="n">
        <x:v>1260</x:v>
      </x:c>
      <x:c r="K293" s="8" t="n">
        <x:v>851</x:v>
      </x:c>
      <x:c r="L293" s="1" t="str">
        <x:v>Нет</x:v>
      </x:c>
      <x:c r="M293" s="1" t="n">
        <x:v>707503</x:v>
      </x:c>
    </x:row>
    <x:row r="294">
      <x:c r="A294" s="1" t="str">
        <x:v>212947219</x:v>
      </x:c>
      <x:c r="B294" s="1" t="str">
        <x:v>futbolkaprint/MoreSelf-44/голубой</x:v>
      </x:c>
      <x:c r="C294" s="1" t="str">
        <x:v>Футболки</x:v>
      </x:c>
      <x:c r="D294" s="9" t="n">
        <x:v>8.7</x:v>
      </x:c>
      <x:c r="E294" s="8" t="n">
        <x:v>58984</x:v>
      </x:c>
      <x:c r="F294" s="8" t="n">
        <x:v>861</x:v>
      </x:c>
      <x:c r="G294" s="8" t="n">
        <x:v>694578</x:v>
      </x:c>
      <x:c r="H294" s="8" t="n">
        <x:v>1</x:v>
      </x:c>
      <x:c r="I294" s="8" t="n">
        <x:v>0</x:v>
      </x:c>
      <x:c r="J294" s="8" t="n">
        <x:v>2198</x:v>
      </x:c>
      <x:c r="K294" s="8" t="n">
        <x:v>1408</x:v>
      </x:c>
      <x:c r="L294" s="1" t="str">
        <x:v>Нет</x:v>
      </x:c>
      <x:c r="M294" s="1" t="n">
        <x:v>1675363</x:v>
      </x:c>
    </x:row>
    <x:row r="295">
      <x:c r="A295" s="1" t="str">
        <x:v>348218028</x:v>
      </x:c>
      <x:c r="B295" s="1" t="str">
        <x:v>bodyskims/белый</x:v>
      </x:c>
      <x:c r="C295" s="1" t="str">
        <x:v>Блузки-боди</x:v>
      </x:c>
      <x:c r="D295" s="9" t="n">
        <x:v>8.7</x:v>
      </x:c>
      <x:c r="E295" s="8" t="n">
        <x:v>61120</x:v>
      </x:c>
      <x:c r="F295" s="8" t="n">
        <x:v>1418</x:v>
      </x:c>
      <x:c r="G295" s="8" t="n">
        <x:v>694403</x:v>
      </x:c>
      <x:c r="H295" s="8" t="n">
        <x:v>706</x:v>
      </x:c>
      <x:c r="I295" s="8" t="n">
        <x:v>0</x:v>
      </x:c>
      <x:c r="J295" s="8" t="n">
        <x:v>0</x:v>
      </x:c>
      <x:c r="K295" s="8" t="n">
        <x:v>998</x:v>
      </x:c>
      <x:c r="L295" s="1" t="str">
        <x:v>Нет</x:v>
      </x:c>
      <x:c r="M295" s="1" t="n">
        <x:v>0</x:v>
      </x:c>
    </x:row>
    <x:row r="296">
      <x:c r="A296" s="1" t="str">
        <x:v>207468571</x:v>
      </x:c>
      <x:c r="B296" s="1" t="str">
        <x:v>kulirkamanprint/Brukman-42/молочный</x:v>
      </x:c>
      <x:c r="C296" s="1" t="str">
        <x:v>Футболки</x:v>
      </x:c>
      <x:c r="D296" s="9" t="n">
        <x:v>8.7</x:v>
      </x:c>
      <x:c r="E296" s="8" t="n">
        <x:v>35261</x:v>
      </x:c>
      <x:c r="F296" s="8" t="n">
        <x:v>1296</x:v>
      </x:c>
      <x:c r="G296" s="8" t="n">
        <x:v>693181</x:v>
      </x:c>
      <x:c r="H296" s="8" t="n">
        <x:v>294</x:v>
      </x:c>
      <x:c r="I296" s="8" t="n">
        <x:v>0</x:v>
      </x:c>
      <x:c r="J296" s="8" t="n">
        <x:v>1468</x:v>
      </x:c>
      <x:c r="K296" s="8" t="n">
        <x:v>1246</x:v>
      </x:c>
      <x:c r="L296" s="1" t="str">
        <x:v>Нет</x:v>
      </x:c>
      <x:c r="M296" s="1" t="n">
        <x:v>925309</x:v>
      </x:c>
    </x:row>
    <x:row r="297">
      <x:c r="A297" s="1" t="str">
        <x:v>87044628</x:v>
      </x:c>
      <x:c r="B297" s="1" t="str">
        <x:v>kroptop/бежевый</x:v>
      </x:c>
      <x:c r="C297" s="1" t="str">
        <x:v>Футболки</x:v>
      </x:c>
      <x:c r="D297" s="9" t="n">
        <x:v>6.7</x:v>
      </x:c>
      <x:c r="E297" s="8" t="n">
        <x:v>77984</x:v>
      </x:c>
      <x:c r="F297" s="8" t="n">
        <x:v>1636</x:v>
      </x:c>
      <x:c r="G297" s="8" t="n">
        <x:v>687454</x:v>
      </x:c>
      <x:c r="H297" s="8" t="n">
        <x:v>658</x:v>
      </x:c>
      <x:c r="I297" s="8" t="n">
        <x:v>0</x:v>
      </x:c>
      <x:c r="J297" s="8" t="n">
        <x:v>1017</x:v>
      </x:c>
      <x:c r="K297" s="8" t="n">
        <x:v>820</x:v>
      </x:c>
      <x:c r="L297" s="1" t="str">
        <x:v>Нет</x:v>
      </x:c>
      <x:c r="M297" s="1" t="n">
        <x:v>411639</x:v>
      </x:c>
    </x:row>
    <x:row r="298">
      <x:c r="A298" s="1" t="str">
        <x:v>297440100</x:v>
      </x:c>
      <x:c r="B298" s="1" t="str">
        <x:v>longover/красный</x:v>
      </x:c>
      <x:c r="C298" s="1" t="str">
        <x:v>Лонгсливы</x:v>
      </x:c>
      <x:c r="D298" s="9" t="n">
        <x:v>8.7</x:v>
      </x:c>
      <x:c r="E298" s="8" t="n">
        <x:v>77757</x:v>
      </x:c>
      <x:c r="F298" s="8" t="n">
        <x:v>1555</x:v>
      </x:c>
      <x:c r="G298" s="8" t="n">
        <x:v>686745</x:v>
      </x:c>
      <x:c r="H298" s="8" t="n">
        <x:v>828</x:v>
      </x:c>
      <x:c r="I298" s="8" t="n">
        <x:v>0</x:v>
      </x:c>
      <x:c r="J298" s="8" t="n">
        <x:v>1961</x:v>
      </x:c>
      <x:c r="K298" s="8" t="n">
        <x:v>1216</x:v>
      </x:c>
      <x:c r="L298" s="1" t="str">
        <x:v>Нет</x:v>
      </x:c>
      <x:c r="M298" s="1" t="n">
        <x:v>1025020</x:v>
      </x:c>
    </x:row>
    <x:row r="299">
      <x:c r="A299" s="1" t="str">
        <x:v>289105828</x:v>
      </x:c>
      <x:c r="B299" s="1" t="str">
        <x:v>brukikarman3P-S-2/светло-розовый</x:v>
      </x:c>
      <x:c r="C299" s="1" t="str">
        <x:v>Брюки</x:v>
      </x:c>
      <x:c r="D299" s="9" t="n">
        <x:v>7.9</x:v>
      </x:c>
      <x:c r="E299" s="8" t="n">
        <x:v>86947</x:v>
      </x:c>
      <x:c r="F299" s="8" t="n">
        <x:v>1059</x:v>
      </x:c>
      <x:c r="G299" s="8" t="n">
        <x:v>684432</x:v>
      </x:c>
      <x:c r="H299" s="8" t="n">
        <x:v>242</x:v>
      </x:c>
      <x:c r="I299" s="8" t="n">
        <x:v>0</x:v>
      </x:c>
      <x:c r="J299" s="8" t="n">
        <x:v>1467</x:v>
      </x:c>
      <x:c r="K299" s="8" t="n">
        <x:v>2788</x:v>
      </x:c>
      <x:c r="L299" s="1" t="str">
        <x:v>Нет</x:v>
      </x:c>
      <x:c r="M299" s="1" t="n">
        <x:v>990471</x:v>
      </x:c>
    </x:row>
    <x:row r="300">
      <x:c r="A300" s="1" t="str">
        <x:v>221503722</x:v>
      </x:c>
      <x:c r="B300" s="1" t="str">
        <x:v>baza/шалфей</x:v>
      </x:c>
      <x:c r="C300" s="1" t="str">
        <x:v>Футболки</x:v>
      </x:c>
      <x:c r="D300" s="9" t="n">
        <x:v>8.2</x:v>
      </x:c>
      <x:c r="E300" s="8" t="n">
        <x:v>68358</x:v>
      </x:c>
      <x:c r="F300" s="8" t="n">
        <x:v>1375</x:v>
      </x:c>
      <x:c r="G300" s="8" t="n">
        <x:v>684207</x:v>
      </x:c>
      <x:c r="H300" s="8" t="n">
        <x:v>677</x:v>
      </x:c>
      <x:c r="I300" s="8" t="n">
        <x:v>0</x:v>
      </x:c>
      <x:c r="J300" s="8" t="n">
        <x:v>1344</x:v>
      </x:c>
      <x:c r="K300" s="8" t="n">
        <x:v>802</x:v>
      </x:c>
      <x:c r="L300" s="1" t="str">
        <x:v>Нет</x:v>
      </x:c>
      <x:c r="M300" s="1" t="n">
        <x:v>718863</x:v>
      </x:c>
    </x:row>
    <x:row r="301">
      <x:c r="A301" s="1" t="str">
        <x:v>211585136</x:v>
      </x:c>
      <x:c r="B301" s="1" t="str">
        <x:v>tolstovkazip/темно-серый</x:v>
      </x:c>
      <x:c r="C301" s="1" t="str">
        <x:v>Худи</x:v>
      </x:c>
      <x:c r="D301" s="9" t="n">
        <x:v>9.7</x:v>
      </x:c>
      <x:c r="E301" s="8" t="n">
        <x:v>41389</x:v>
      </x:c>
      <x:c r="F301" s="8" t="n">
        <x:v>590</x:v>
      </x:c>
      <x:c r="G301" s="8" t="n">
        <x:v>680842</x:v>
      </x:c>
      <x:c r="H301" s="8" t="n">
        <x:v>3</x:v>
      </x:c>
      <x:c r="I301" s="8" t="n">
        <x:v>0</x:v>
      </x:c>
      <x:c r="J301" s="8" t="n">
        <x:v>456</x:v>
      </x:c>
      <x:c r="K301" s="8" t="n">
        <x:v>3329</x:v>
      </x:c>
      <x:c r="L301" s="1" t="str">
        <x:v>Нет</x:v>
      </x:c>
      <x:c r="M301" s="1" t="n">
        <x:v>642882</x:v>
      </x:c>
    </x:row>
    <x:row r="302">
      <x:c r="A302" s="1" t="str">
        <x:v>344428867</x:v>
      </x:c>
      <x:c r="B302" s="1" t="str">
        <x:v>2Ntshirt/черный</x:v>
      </x:c>
      <x:c r="C302" s="1" t="str">
        <x:v>Футболки</x:v>
      </x:c>
      <x:c r="D302" s="9" t="n">
        <x:v>8.2</x:v>
      </x:c>
      <x:c r="E302" s="8" t="n">
        <x:v>135693</x:v>
      </x:c>
      <x:c r="F302" s="8" t="n">
        <x:v>1669</x:v>
      </x:c>
      <x:c r="G302" s="8" t="n">
        <x:v>679095</x:v>
      </x:c>
      <x:c r="H302" s="8" t="n">
        <x:v>274</x:v>
      </x:c>
      <x:c r="I302" s="8" t="n">
        <x:v>0</x:v>
      </x:c>
      <x:c r="J302" s="8" t="n">
        <x:v>0</x:v>
      </x:c>
      <x:c r="K302" s="8" t="n">
        <x:v>1264</x:v>
      </x:c>
      <x:c r="L302" s="1" t="str">
        <x:v>Нет</x:v>
      </x:c>
      <x:c r="M302" s="1" t="n">
        <x:v>0</x:v>
      </x:c>
    </x:row>
    <x:row r="303">
      <x:c r="A303" s="1" t="str">
        <x:v>219490853</x:v>
      </x:c>
      <x:c r="B303" s="1" t="str">
        <x:v>futbolkaprint/KrasBROOKLYN-117/молочный</x:v>
      </x:c>
      <x:c r="C303" s="1" t="str">
        <x:v>Футболки</x:v>
      </x:c>
      <x:c r="D303" s="9" t="n">
        <x:v>9.7</x:v>
      </x:c>
      <x:c r="E303" s="8" t="n">
        <x:v>67596</x:v>
      </x:c>
      <x:c r="F303" s="8" t="n">
        <x:v>1100</x:v>
      </x:c>
      <x:c r="G303" s="8" t="n">
        <x:v>678086</x:v>
      </x:c>
      <x:c r="H303" s="8" t="n">
        <x:v>514</x:v>
      </x:c>
      <x:c r="I303" s="8" t="n">
        <x:v>0</x:v>
      </x:c>
      <x:c r="J303" s="8" t="n">
        <x:v>1159</x:v>
      </x:c>
      <x:c r="K303" s="8" t="n">
        <x:v>1034</x:v>
      </x:c>
      <x:c r="L303" s="1" t="str">
        <x:v>Нет</x:v>
      </x:c>
      <x:c r="M303" s="1" t="n">
        <x:v>686300</x:v>
      </x:c>
    </x:row>
    <x:row r="304">
      <x:c r="A304" s="1" t="str">
        <x:v>295664243</x:v>
      </x:c>
      <x:c r="B304" s="1" t="str">
        <x:v>2nkost3D-72-73/графит</x:v>
      </x:c>
      <x:c r="C304" s="1" t="str">
        <x:v>Костюмы спортивные</x:v>
      </x:c>
      <x:c r="D304" s="9" t="n">
        <x:v>8.7</x:v>
      </x:c>
      <x:c r="E304" s="8" t="n">
        <x:v>152160</x:v>
      </x:c>
      <x:c r="F304" s="8" t="n">
        <x:v>1463</x:v>
      </x:c>
      <x:c r="G304" s="8" t="n">
        <x:v>677920</x:v>
      </x:c>
      <x:c r="H304" s="8" t="n">
        <x:v>72</x:v>
      </x:c>
      <x:c r="I304" s="8" t="n">
        <x:v>0</x:v>
      </x:c>
      <x:c r="J304" s="8" t="n">
        <x:v>1133</x:v>
      </x:c>
      <x:c r="K304" s="8" t="n">
        <x:v>2396</x:v>
      </x:c>
      <x:c r="L304" s="1" t="str">
        <x:v>Нет</x:v>
      </x:c>
      <x:c r="M304" s="1" t="n">
        <x:v>632817</x:v>
      </x:c>
    </x:row>
    <x:row r="305">
      <x:c r="A305" s="1" t="str">
        <x:v>287286757</x:v>
      </x:c>
      <x:c r="B305" s="1" t="str">
        <x:v>2Nitkalongsliv3D-76/белый</x:v>
      </x:c>
      <x:c r="C305" s="1" t="str">
        <x:v>Лонгсливы</x:v>
      </x:c>
      <x:c r="D305" s="9" t="n">
        <x:v>8.7</x:v>
      </x:c>
      <x:c r="E305" s="8" t="n">
        <x:v>82611</x:v>
      </x:c>
      <x:c r="F305" s="8" t="n">
        <x:v>1190</x:v>
      </x:c>
      <x:c r="G305" s="8" t="n">
        <x:v>677297</x:v>
      </x:c>
      <x:c r="H305" s="8" t="n">
        <x:v>66</x:v>
      </x:c>
      <x:c r="I305" s="8" t="n">
        <x:v>0</x:v>
      </x:c>
      <x:c r="J305" s="8" t="n">
        <x:v>1952</x:v>
      </x:c>
      <x:c r="K305" s="8" t="n">
        <x:v>1458</x:v>
      </x:c>
      <x:c r="L305" s="1" t="str">
        <x:v>Нет</x:v>
      </x:c>
      <x:c r="M305" s="1" t="n">
        <x:v>1116793</x:v>
      </x:c>
    </x:row>
    <x:row r="306">
      <x:c r="A306" s="1" t="str">
        <x:v>209640736</x:v>
      </x:c>
      <x:c r="B306" s="1" t="str">
        <x:v>futbolkaprint/Goodvibes-50/молочный</x:v>
      </x:c>
      <x:c r="C306" s="1" t="str">
        <x:v>Футболки</x:v>
      </x:c>
      <x:c r="D306" s="9" t="n">
        <x:v>7.7</x:v>
      </x:c>
      <x:c r="E306" s="8" t="n">
        <x:v>73138</x:v>
      </x:c>
      <x:c r="F306" s="8" t="n">
        <x:v>1261</x:v>
      </x:c>
      <x:c r="G306" s="8" t="n">
        <x:v>673478</x:v>
      </x:c>
      <x:c r="H306" s="8" t="n">
        <x:v>6</x:v>
      </x:c>
      <x:c r="I306" s="8" t="n">
        <x:v>0</x:v>
      </x:c>
      <x:c r="J306" s="8" t="n">
        <x:v>818</x:v>
      </x:c>
      <x:c r="K306" s="8" t="n">
        <x:v>1042</x:v>
      </x:c>
      <x:c r="L306" s="1" t="str">
        <x:v>Нет</x:v>
      </x:c>
      <x:c r="M306" s="1" t="n">
        <x:v>530254</x:v>
      </x:c>
    </x:row>
    <x:row r="307">
      <x:c r="A307" s="1" t="str">
        <x:v>288627685</x:v>
      </x:c>
      <x:c r="B307" s="1" t="str">
        <x:v>kostyum/светло-розовый</x:v>
      </x:c>
      <x:c r="C307" s="1" t="str">
        <x:v>Костюмы спортивные</x:v>
      </x:c>
      <x:c r="D307" s="9" t="n">
        <x:v>6.7</x:v>
      </x:c>
      <x:c r="E307" s="8" t="n">
        <x:v>139105</x:v>
      </x:c>
      <x:c r="F307" s="8" t="n">
        <x:v>471</x:v>
      </x:c>
      <x:c r="G307" s="8" t="n">
        <x:v>673166</x:v>
      </x:c>
      <x:c r="H307" s="8" t="n">
        <x:v>152</x:v>
      </x:c>
      <x:c r="I307" s="8" t="n">
        <x:v>0</x:v>
      </x:c>
      <x:c r="J307" s="8" t="n">
        <x:v>59</x:v>
      </x:c>
      <x:c r="K307" s="8" t="n">
        <x:v>4972</x:v>
      </x:c>
      <x:c r="L307" s="1" t="str">
        <x:v>Нет</x:v>
      </x:c>
      <x:c r="M307" s="1" t="n">
        <x:v>100700</x:v>
      </x:c>
    </x:row>
    <x:row r="308">
      <x:c r="A308" s="1" t="str">
        <x:v>296186657</x:v>
      </x:c>
      <x:c r="B308" s="1" t="str">
        <x:v>shtanyman4P-79/темно-серый</x:v>
      </x:c>
      <x:c r="C308" s="1" t="str">
        <x:v>Брюки</x:v>
      </x:c>
      <x:c r="D308" s="9" t="n">
        <x:v>8.4</x:v>
      </x:c>
      <x:c r="E308" s="8" t="n">
        <x:v>64703</x:v>
      </x:c>
      <x:c r="F308" s="8" t="n">
        <x:v>1422</x:v>
      </x:c>
      <x:c r="G308" s="8" t="n">
        <x:v>671752</x:v>
      </x:c>
      <x:c r="H308" s="8" t="n">
        <x:v>346</x:v>
      </x:c>
      <x:c r="I308" s="8" t="n">
        <x:v>0</x:v>
      </x:c>
      <x:c r="J308" s="8" t="n">
        <x:v>346</x:v>
      </x:c>
      <x:c r="K308" s="8" t="n">
        <x:v>2265</x:v>
      </x:c>
      <x:c r="L308" s="1" t="str">
        <x:v>Нет</x:v>
      </x:c>
      <x:c r="M308" s="1" t="n">
        <x:v>166199</x:v>
      </x:c>
    </x:row>
    <x:row r="309">
      <x:c r="A309" s="1" t="str">
        <x:v>335591097</x:v>
      </x:c>
      <x:c r="B309" s="1" t="str">
        <x:v>top/черный</x:v>
      </x:c>
      <x:c r="C309" s="1" t="str">
        <x:v>Топы</x:v>
      </x:c>
      <x:c r="D309" s="9" t="n">
        <x:v>8.7</x:v>
      </x:c>
      <x:c r="E309" s="8" t="n">
        <x:v>67125</x:v>
      </x:c>
      <x:c r="F309" s="8" t="n">
        <x:v>2064</x:v>
      </x:c>
      <x:c r="G309" s="8" t="n">
        <x:v>665951</x:v>
      </x:c>
      <x:c r="H309" s="8" t="n">
        <x:v>65</x:v>
      </x:c>
      <x:c r="I309" s="8" t="n">
        <x:v>0</x:v>
      </x:c>
      <x:c r="J309" s="8" t="n">
        <x:v>0</x:v>
      </x:c>
      <x:c r="K309" s="8" t="n">
        <x:v>674</x:v>
      </x:c>
      <x:c r="L309" s="1" t="str">
        <x:v>Нет</x:v>
      </x:c>
      <x:c r="M309" s="1" t="n">
        <x:v>0</x:v>
      </x:c>
    </x:row>
    <x:row r="310">
      <x:c r="A310" s="1" t="str">
        <x:v>288644218</x:v>
      </x:c>
      <x:c r="B310" s="1" t="str">
        <x:v>hudicrop1/дымка</x:v>
      </x:c>
      <x:c r="C310" s="1" t="str">
        <x:v>Худи</x:v>
      </x:c>
      <x:c r="D310" s="9" t="n">
        <x:v>8.7</x:v>
      </x:c>
      <x:c r="E310" s="8" t="n">
        <x:v>51353</x:v>
      </x:c>
      <x:c r="F310" s="8" t="n">
        <x:v>485</x:v>
      </x:c>
      <x:c r="G310" s="8" t="n">
        <x:v>665878</x:v>
      </x:c>
      <x:c r="H310" s="8" t="n">
        <x:v>134</x:v>
      </x:c>
      <x:c r="I310" s="8" t="n">
        <x:v>0</x:v>
      </x:c>
      <x:c r="J310" s="8" t="n">
        <x:v>1663</x:v>
      </x:c>
      <x:c r="K310" s="8" t="n">
        <x:v>2931</x:v>
      </x:c>
      <x:c r="L310" s="1" t="str">
        <x:v>Нет</x:v>
      </x:c>
      <x:c r="M310" s="1" t="n">
        <x:v>1948259</x:v>
      </x:c>
    </x:row>
    <x:row r="311">
      <x:c r="A311" s="1" t="str">
        <x:v>165911171</x:v>
      </x:c>
      <x:c r="B311" s="1" t="str">
        <x:v>longman/дымка</x:v>
      </x:c>
      <x:c r="C311" s="1" t="str">
        <x:v>Лонгсливы</x:v>
      </x:c>
      <x:c r="D311" s="9" t="n">
        <x:v>7.2</x:v>
      </x:c>
      <x:c r="E311" s="8" t="n">
        <x:v>35862</x:v>
      </x:c>
      <x:c r="F311" s="8" t="n">
        <x:v>1558</x:v>
      </x:c>
      <x:c r="G311" s="8" t="n">
        <x:v>665465</x:v>
      </x:c>
      <x:c r="H311" s="8" t="n">
        <x:v>711</x:v>
      </x:c>
      <x:c r="I311" s="8" t="n">
        <x:v>0</x:v>
      </x:c>
      <x:c r="J311" s="8" t="n">
        <x:v>1294</x:v>
      </x:c>
      <x:c r="K311" s="8" t="n">
        <x:v>995</x:v>
      </x:c>
      <x:c r="L311" s="1" t="str">
        <x:v>Нет</x:v>
      </x:c>
      <x:c r="M311" s="1" t="n">
        <x:v>728853</x:v>
      </x:c>
    </x:row>
    <x:row r="312">
      <x:c r="A312" s="1" t="str">
        <x:v>332646312</x:v>
      </x:c>
      <x:c r="B312" s="1" t="str">
        <x:v>futbolkaprint/MOSCOW-220/молочный</x:v>
      </x:c>
      <x:c r="C312" s="1" t="str">
        <x:v>Футболки</x:v>
      </x:c>
      <x:c r="D312" s="9" t="n">
        <x:v>9.7</x:v>
      </x:c>
      <x:c r="E312" s="8" t="n">
        <x:v>144210</x:v>
      </x:c>
      <x:c r="F312" s="8" t="n">
        <x:v>1177</x:v>
      </x:c>
      <x:c r="G312" s="8" t="n">
        <x:v>662456</x:v>
      </x:c>
      <x:c r="H312" s="8" t="n">
        <x:v>1344</x:v>
      </x:c>
      <x:c r="I312" s="8" t="n">
        <x:v>0</x:v>
      </x:c>
      <x:c r="J312" s="8" t="n">
        <x:v>0</x:v>
      </x:c>
      <x:c r="K312" s="8" t="n">
        <x:v>1149</x:v>
      </x:c>
      <x:c r="L312" s="1" t="str">
        <x:v>Нет</x:v>
      </x:c>
      <x:c r="M312" s="1" t="n">
        <x:v>0</x:v>
      </x:c>
    </x:row>
    <x:row r="313">
      <x:c r="A313" s="1" t="str">
        <x:v>165757826</x:v>
      </x:c>
      <x:c r="B313" s="1" t="str">
        <x:v>kulirkaman/мандарин</x:v>
      </x:c>
      <x:c r="C313" s="1" t="str">
        <x:v>Футболки</x:v>
      </x:c>
      <x:c r="D313" s="9" t="n">
        <x:v>7.2</x:v>
      </x:c>
      <x:c r="E313" s="8" t="n">
        <x:v>33614</x:v>
      </x:c>
      <x:c r="F313" s="8" t="n">
        <x:v>1374</x:v>
      </x:c>
      <x:c r="G313" s="8" t="n">
        <x:v>661061</x:v>
      </x:c>
      <x:c r="H313" s="8" t="n">
        <x:v>605</x:v>
      </x:c>
      <x:c r="I313" s="8" t="n">
        <x:v>0</x:v>
      </x:c>
      <x:c r="J313" s="8" t="n">
        <x:v>812</x:v>
      </x:c>
      <x:c r="K313" s="8" t="n">
        <x:v>928</x:v>
      </x:c>
      <x:c r="L313" s="1" t="str">
        <x:v>Нет</x:v>
      </x:c>
      <x:c r="M313" s="1" t="n">
        <x:v>489562</x:v>
      </x:c>
    </x:row>
    <x:row r="314">
      <x:c r="A314" s="1" t="str">
        <x:v>323203655</x:v>
      </x:c>
      <x:c r="B314" s="1" t="str">
        <x:v>tshirtsuperover3K-E1/коричневый</x:v>
      </x:c>
      <x:c r="C314" s="1" t="str">
        <x:v>Футболки</x:v>
      </x:c>
      <x:c r="D314" s="9" t="n">
        <x:v>8.7</x:v>
      </x:c>
      <x:c r="E314" s="8" t="n">
        <x:v>160480</x:v>
      </x:c>
      <x:c r="F314" s="8" t="n">
        <x:v>1031</x:v>
      </x:c>
      <x:c r="G314" s="8" t="n">
        <x:v>660383</x:v>
      </x:c>
      <x:c r="H314" s="8" t="n">
        <x:v>173</x:v>
      </x:c>
      <x:c r="I314" s="8" t="n">
        <x:v>0</x:v>
      </x:c>
      <x:c r="J314" s="8" t="n">
        <x:v>234</x:v>
      </x:c>
      <x:c r="K314" s="8" t="n">
        <x:v>1193</x:v>
      </x:c>
      <x:c r="L314" s="1" t="str">
        <x:v>Нет</x:v>
      </x:c>
      <x:c r="M314" s="1" t="n">
        <x:v>146301</x:v>
      </x:c>
    </x:row>
    <x:row r="315">
      <x:c r="A315" s="1" t="str">
        <x:v>248560758</x:v>
      </x:c>
      <x:c r="B315" s="1" t="str">
        <x:v>hudiprint/TheMovementClub-140/светло-розовый</x:v>
      </x:c>
      <x:c r="C315" s="1" t="str">
        <x:v>Худи</x:v>
      </x:c>
      <x:c r="D315" s="9" t="n">
        <x:v>9.7</x:v>
      </x:c>
      <x:c r="E315" s="8" t="n">
        <x:v>37280</x:v>
      </x:c>
      <x:c r="F315" s="8" t="n">
        <x:v>536</x:v>
      </x:c>
      <x:c r="G315" s="8" t="n">
        <x:v>659077</x:v>
      </x:c>
      <x:c r="H315" s="8" t="n">
        <x:v>54</x:v>
      </x:c>
      <x:c r="I315" s="8" t="n">
        <x:v>0</x:v>
      </x:c>
      <x:c r="J315" s="8" t="n">
        <x:v>569</x:v>
      </x:c>
      <x:c r="K315" s="8" t="n">
        <x:v>3028</x:v>
      </x:c>
      <x:c r="L315" s="1" t="str">
        <x:v>Нет</x:v>
      </x:c>
      <x:c r="M315" s="1" t="n">
        <x:v>631111</x:v>
      </x:c>
    </x:row>
    <x:row r="316">
      <x:c r="A316" s="1" t="str">
        <x:v>289098364</x:v>
      </x:c>
      <x:c r="B316" s="1" t="str">
        <x:v>tolstovkazip3F-71/черный</x:v>
      </x:c>
      <x:c r="C316" s="1" t="str">
        <x:v>Худи</x:v>
      </x:c>
      <x:c r="D316" s="9" t="n">
        <x:v>9.7</x:v>
      </x:c>
      <x:c r="E316" s="8" t="n">
        <x:v>54776</x:v>
      </x:c>
      <x:c r="F316" s="8" t="n">
        <x:v>540</x:v>
      </x:c>
      <x:c r="G316" s="8" t="n">
        <x:v>657726</x:v>
      </x:c>
      <x:c r="H316" s="8" t="n">
        <x:v>15</x:v>
      </x:c>
      <x:c r="I316" s="8" t="n">
        <x:v>0</x:v>
      </x:c>
      <x:c r="J316" s="8" t="n">
        <x:v>1062</x:v>
      </x:c>
      <x:c r="K316" s="8" t="n">
        <x:v>3326</x:v>
      </x:c>
      <x:c r="L316" s="1" t="str">
        <x:v>Нет</x:v>
      </x:c>
      <x:c r="M316" s="1" t="n">
        <x:v>1361550</x:v>
      </x:c>
    </x:row>
    <x:row r="317">
      <x:c r="A317" s="1" t="str">
        <x:v>333104130</x:v>
      </x:c>
      <x:c r="B317" s="1" t="str">
        <x:v>topbando/каштановый</x:v>
      </x:c>
      <x:c r="C317" s="1" t="str">
        <x:v>Топы</x:v>
      </x:c>
      <x:c r="D317" s="9" t="n">
        <x:v>9.5</x:v>
      </x:c>
      <x:c r="E317" s="8" t="n">
        <x:v>69759</x:v>
      </x:c>
      <x:c r="F317" s="8" t="n">
        <x:v>2852</x:v>
      </x:c>
      <x:c r="G317" s="8" t="n">
        <x:v>652930</x:v>
      </x:c>
      <x:c r="H317" s="8" t="n">
        <x:v>463</x:v>
      </x:c>
      <x:c r="I317" s="8" t="n">
        <x:v>0</x:v>
      </x:c>
      <x:c r="J317" s="8" t="n">
        <x:v>0</x:v>
      </x:c>
      <x:c r="K317" s="8" t="n">
        <x:v>476</x:v>
      </x:c>
      <x:c r="L317" s="1" t="str">
        <x:v>Нет</x:v>
      </x:c>
      <x:c r="M317" s="1" t="n">
        <x:v>0</x:v>
      </x:c>
    </x:row>
    <x:row r="318">
      <x:c r="A318" s="1" t="str">
        <x:v>35236301</x:v>
      </x:c>
      <x:c r="B318" s="1" t="str">
        <x:v>futbolkaover/банановый</x:v>
      </x:c>
      <x:c r="C318" s="1" t="str">
        <x:v>Футболки</x:v>
      </x:c>
      <x:c r="D318" s="9" t="n">
        <x:v>9.7</x:v>
      </x:c>
      <x:c r="E318" s="8" t="n">
        <x:v>65299</x:v>
      </x:c>
      <x:c r="F318" s="8" t="n">
        <x:v>1635</x:v>
      </x:c>
      <x:c r="G318" s="8" t="n">
        <x:v>650858</x:v>
      </x:c>
      <x:c r="H318" s="8" t="n">
        <x:v>176</x:v>
      </x:c>
      <x:c r="I318" s="8" t="n">
        <x:v>0</x:v>
      </x:c>
      <x:c r="J318" s="8" t="n">
        <x:v>1090</x:v>
      </x:c>
      <x:c r="K318" s="8" t="n">
        <x:v>908</x:v>
      </x:c>
      <x:c r="L318" s="1" t="str">
        <x:v>Нет</x:v>
      </x:c>
      <x:c r="M318" s="1" t="n">
        <x:v>443116</x:v>
      </x:c>
    </x:row>
    <x:row r="319">
      <x:c r="A319" s="1" t="str">
        <x:v>220421176</x:v>
      </x:c>
      <x:c r="B319" s="1" t="str">
        <x:v>tolstovkazip/синий</x:v>
      </x:c>
      <x:c r="C319" s="1" t="str">
        <x:v>Худи</x:v>
      </x:c>
      <x:c r="D319" s="9" t="n">
        <x:v>7.7</x:v>
      </x:c>
      <x:c r="E319" s="8" t="n">
        <x:v>39410</x:v>
      </x:c>
      <x:c r="F319" s="8" t="n">
        <x:v>521</x:v>
      </x:c>
      <x:c r="G319" s="8" t="n">
        <x:v>646115</x:v>
      </x:c>
      <x:c r="H319" s="8" t="n">
        <x:v>0</x:v>
      </x:c>
      <x:c r="I319" s="8" t="n">
        <x:v>0</x:v>
      </x:c>
      <x:c r="J319" s="8" t="n">
        <x:v>604</x:v>
      </x:c>
      <x:c r="K319" s="8" t="n">
        <x:v>3452</x:v>
      </x:c>
      <x:c r="L319" s="1" t="str">
        <x:v>Нет</x:v>
      </x:c>
      <x:c r="M319" s="1" t="n">
        <x:v>900504</x:v>
      </x:c>
    </x:row>
    <x:row r="320">
      <x:c r="A320" s="1" t="str">
        <x:v>287707643</x:v>
      </x:c>
      <x:c r="B320" s="1" t="str">
        <x:v>2Nitkalong3D-76print/FYoung-238/серыймеланж</x:v>
      </x:c>
      <x:c r="C320" s="1" t="str">
        <x:v>Лонгсливы</x:v>
      </x:c>
      <x:c r="D320" s="9" t="n">
        <x:v>8.7</x:v>
      </x:c>
      <x:c r="E320" s="8" t="n">
        <x:v>90337</x:v>
      </x:c>
      <x:c r="F320" s="8" t="n">
        <x:v>774</x:v>
      </x:c>
      <x:c r="G320" s="8" t="n">
        <x:v>645888</x:v>
      </x:c>
      <x:c r="H320" s="8" t="n">
        <x:v>12</x:v>
      </x:c>
      <x:c r="I320" s="8" t="n">
        <x:v>0</x:v>
      </x:c>
      <x:c r="J320" s="8" t="n">
        <x:v>626</x:v>
      </x:c>
      <x:c r="K320" s="8" t="n">
        <x:v>1704</x:v>
      </x:c>
      <x:c r="L320" s="1" t="str">
        <x:v>Нет</x:v>
      </x:c>
      <x:c r="M320" s="1" t="n">
        <x:v>312301</x:v>
      </x:c>
    </x:row>
    <x:row r="321">
      <x:c r="A321" s="1" t="str">
        <x:v>237300994</x:v>
      </x:c>
      <x:c r="B321" s="1" t="str">
        <x:v>longoverprint/TheMoment-141/розовый</x:v>
      </x:c>
      <x:c r="C321" s="1" t="str">
        <x:v>Лонгсливы</x:v>
      </x:c>
      <x:c r="D321" s="9" t="n">
        <x:v>9.7</x:v>
      </x:c>
      <x:c r="E321" s="8" t="n">
        <x:v>70240</x:v>
      </x:c>
      <x:c r="F321" s="8" t="n">
        <x:v>1123</x:v>
      </x:c>
      <x:c r="G321" s="8" t="n">
        <x:v>644938</x:v>
      </x:c>
      <x:c r="H321" s="8" t="n">
        <x:v>160</x:v>
      </x:c>
      <x:c r="I321" s="8" t="n">
        <x:v>0</x:v>
      </x:c>
      <x:c r="J321" s="8" t="n">
        <x:v>1140</x:v>
      </x:c>
      <x:c r="K321" s="8" t="n">
        <x:v>1045</x:v>
      </x:c>
      <x:c r="L321" s="1" t="str">
        <x:v>Нет</x:v>
      </x:c>
      <x:c r="M321" s="1" t="n">
        <x:v>715904</x:v>
      </x:c>
    </x:row>
    <x:row r="322">
      <x:c r="A322" s="1" t="str">
        <x:v>333104131</x:v>
      </x:c>
      <x:c r="B322" s="1" t="str">
        <x:v>topbando/розовый</x:v>
      </x:c>
      <x:c r="C322" s="1" t="str">
        <x:v>Топы</x:v>
      </x:c>
      <x:c r="D322" s="9" t="n">
        <x:v>9.5</x:v>
      </x:c>
      <x:c r="E322" s="8" t="n">
        <x:v>86008</x:v>
      </x:c>
      <x:c r="F322" s="8" t="n">
        <x:v>2656</x:v>
      </x:c>
      <x:c r="G322" s="8" t="n">
        <x:v>644097</x:v>
      </x:c>
      <x:c r="H322" s="8" t="n">
        <x:v>677</x:v>
      </x:c>
      <x:c r="I322" s="8" t="n">
        <x:v>0</x:v>
      </x:c>
      <x:c r="J322" s="8" t="n">
        <x:v>0</x:v>
      </x:c>
      <x:c r="K322" s="8" t="n">
        <x:v>523</x:v>
      </x:c>
      <x:c r="L322" s="1" t="str">
        <x:v>Нет</x:v>
      </x:c>
      <x:c r="M322" s="1" t="n">
        <x:v>0</x:v>
      </x:c>
    </x:row>
    <x:row r="323">
      <x:c r="A323" s="1" t="str">
        <x:v>150674008</x:v>
      </x:c>
      <x:c r="B323" s="1" t="str">
        <x:v>svitshotover/песочный</x:v>
      </x:c>
      <x:c r="C323" s="1" t="str">
        <x:v>Свитшоты</x:v>
      </x:c>
      <x:c r="D323" s="9" t="n">
        <x:v>9.7</x:v>
      </x:c>
      <x:c r="E323" s="8" t="n">
        <x:v>63462</x:v>
      </x:c>
      <x:c r="F323" s="8" t="n">
        <x:v>1105</x:v>
      </x:c>
      <x:c r="G323" s="8" t="n">
        <x:v>643582</x:v>
      </x:c>
      <x:c r="H323" s="8" t="n">
        <x:v>1126</x:v>
      </x:c>
      <x:c r="I323" s="8" t="n">
        <x:v>0</x:v>
      </x:c>
      <x:c r="J323" s="8" t="n">
        <x:v>1677</x:v>
      </x:c>
      <x:c r="K323" s="8" t="n">
        <x:v>1989</x:v>
      </x:c>
      <x:c r="L323" s="1" t="str">
        <x:v>Нет</x:v>
      </x:c>
      <x:c r="M323" s="1" t="n">
        <x:v>1119846</x:v>
      </x:c>
    </x:row>
    <x:row r="324">
      <x:c r="A324" s="1" t="str">
        <x:v>253952489</x:v>
      </x:c>
      <x:c r="B324" s="1" t="str">
        <x:v>hudi/вареныйсерый</x:v>
      </x:c>
      <x:c r="C324" s="1" t="str">
        <x:v>Худи</x:v>
      </x:c>
      <x:c r="D324" s="9" t="n">
        <x:v>9.7</x:v>
      </x:c>
      <x:c r="E324" s="8" t="n">
        <x:v>85091</x:v>
      </x:c>
      <x:c r="F324" s="8" t="n">
        <x:v>555</x:v>
      </x:c>
      <x:c r="G324" s="8" t="n">
        <x:v>642670</x:v>
      </x:c>
      <x:c r="H324" s="8" t="n">
        <x:v>5</x:v>
      </x:c>
      <x:c r="I324" s="8" t="n">
        <x:v>0</x:v>
      </x:c>
      <x:c r="J324" s="8" t="n">
        <x:v>1074</x:v>
      </x:c>
      <x:c r="K324" s="8" t="n">
        <x:v>2728</x:v>
      </x:c>
      <x:c r="L324" s="1" t="str">
        <x:v>Нет</x:v>
      </x:c>
      <x:c r="M324" s="1" t="n">
        <x:v>1136210</x:v>
      </x:c>
    </x:row>
    <x:row r="325">
      <x:c r="A325" s="1" t="str">
        <x:v>368695105</x:v>
      </x:c>
      <x:c r="B325" s="1" t="str">
        <x:v>futskimsX2/чер-бел</x:v>
      </x:c>
      <x:c r="C325" s="1" t="str">
        <x:v>Футболки</x:v>
      </x:c>
      <x:c r="D325" s="9" t="n">
        <x:v>8.4</x:v>
      </x:c>
      <x:c r="E325" s="8" t="n">
        <x:v>46709</x:v>
      </x:c>
      <x:c r="F325" s="8" t="n">
        <x:v>745</x:v>
      </x:c>
      <x:c r="G325" s="8" t="n">
        <x:v>641068</x:v>
      </x:c>
      <x:c r="H325" s="8" t="n">
        <x:v>47</x:v>
      </x:c>
      <x:c r="I325" s="8" t="n">
        <x:v>0</x:v>
      </x:c>
      <x:c r="J325" s="8" t="n">
        <x:v>0</x:v>
      </x:c>
      <x:c r="K325" s="8" t="n">
        <x:v>2223</x:v>
      </x:c>
      <x:c r="L325" s="1" t="str">
        <x:v>Нет</x:v>
      </x:c>
      <x:c r="M325" s="1" t="n">
        <x:v>0</x:v>
      </x:c>
    </x:row>
    <x:row r="326">
      <x:c r="A326" s="1" t="str">
        <x:v>331723388</x:v>
      </x:c>
      <x:c r="B326" s="1" t="str">
        <x:v>futkryl3K-101/белый</x:v>
      </x:c>
      <x:c r="C326" s="1" t="str">
        <x:v>Футболки</x:v>
      </x:c>
      <x:c r="D326" s="9" t="n">
        <x:v>8.7</x:v>
      </x:c>
      <x:c r="E326" s="8" t="n">
        <x:v>124894</x:v>
      </x:c>
      <x:c r="F326" s="8" t="n">
        <x:v>1827</x:v>
      </x:c>
      <x:c r="G326" s="8" t="n">
        <x:v>640739</x:v>
      </x:c>
      <x:c r="H326" s="8" t="n">
        <x:v>353</x:v>
      </x:c>
      <x:c r="I326" s="8" t="n">
        <x:v>0</x:v>
      </x:c>
      <x:c r="J326" s="8" t="n">
        <x:v>534</x:v>
      </x:c>
      <x:c r="K326" s="8" t="n">
        <x:v>819</x:v>
      </x:c>
      <x:c r="L326" s="1" t="str">
        <x:v>Нет</x:v>
      </x:c>
      <x:c r="M326" s="1" t="n">
        <x:v>162355</x:v>
      </x:c>
    </x:row>
    <x:row r="327">
      <x:c r="A327" s="1" t="str">
        <x:v>311462397</x:v>
      </x:c>
      <x:c r="B327" s="1" t="str">
        <x:v>brukimanpetl/графит</x:v>
      </x:c>
      <x:c r="C327" s="1" t="str">
        <x:v>Брюки</x:v>
      </x:c>
      <x:c r="D327" s="9" t="n">
        <x:v>8.7</x:v>
      </x:c>
      <x:c r="E327" s="8" t="n">
        <x:v>40651</x:v>
      </x:c>
      <x:c r="F327" s="8" t="n">
        <x:v>992</x:v>
      </x:c>
      <x:c r="G327" s="8" t="n">
        <x:v>640061</x:v>
      </x:c>
      <x:c r="H327" s="8" t="n">
        <x:v>53</x:v>
      </x:c>
      <x:c r="I327" s="8" t="n">
        <x:v>0</x:v>
      </x:c>
      <x:c r="J327" s="8" t="n">
        <x:v>587</x:v>
      </x:c>
      <x:c r="K327" s="8" t="n">
        <x:v>2450</x:v>
      </x:c>
      <x:c r="L327" s="1" t="str">
        <x:v>Нет</x:v>
      </x:c>
      <x:c r="M327" s="1" t="n">
        <x:v>365856</x:v>
      </x:c>
    </x:row>
    <x:row r="328">
      <x:c r="A328" s="1" t="str">
        <x:v>295771241</x:v>
      </x:c>
      <x:c r="B328" s="1" t="str">
        <x:v>kostyumfix3P-37-63/песочный</x:v>
      </x:c>
      <x:c r="C328" s="1" t="str">
        <x:v>Костюмы спортивные</x:v>
      </x:c>
      <x:c r="D328" s="9" t="n">
        <x:v>6.7</x:v>
      </x:c>
      <x:c r="E328" s="8" t="n">
        <x:v>84948</x:v>
      </x:c>
      <x:c r="F328" s="8" t="n">
        <x:v>712</x:v>
      </x:c>
      <x:c r="G328" s="8" t="n">
        <x:v>639067</x:v>
      </x:c>
      <x:c r="H328" s="8" t="n">
        <x:v>152</x:v>
      </x:c>
      <x:c r="I328" s="8" t="n">
        <x:v>0</x:v>
      </x:c>
      <x:c r="J328" s="8" t="n">
        <x:v>0</x:v>
      </x:c>
      <x:c r="K328" s="8" t="n">
        <x:v>5526</x:v>
      </x:c>
      <x:c r="L328" s="1" t="str">
        <x:v>Нет</x:v>
      </x:c>
      <x:c r="M328" s="1" t="n">
        <x:v>0</x:v>
      </x:c>
    </x:row>
    <x:row r="329">
      <x:c r="A329" s="1" t="str">
        <x:v>216753465</x:v>
      </x:c>
      <x:c r="B329" s="1" t="str">
        <x:v>futbolkamanX3/чер-син-тсер</x:v>
      </x:c>
      <x:c r="C329" s="1" t="str">
        <x:v>Футболки</x:v>
      </x:c>
      <x:c r="D329" s="9" t="n">
        <x:v>8.7</x:v>
      </x:c>
      <x:c r="E329" s="8" t="n">
        <x:v>31113</x:v>
      </x:c>
      <x:c r="F329" s="8" t="n">
        <x:v>605</x:v>
      </x:c>
      <x:c r="G329" s="8" t="n">
        <x:v>637236</x:v>
      </x:c>
      <x:c r="H329" s="8" t="n">
        <x:v>102</x:v>
      </x:c>
      <x:c r="I329" s="8" t="n">
        <x:v>0</x:v>
      </x:c>
      <x:c r="J329" s="8" t="n">
        <x:v>3</x:v>
      </x:c>
      <x:c r="K329" s="8" t="n">
        <x:v>1851</x:v>
      </x:c>
      <x:c r="L329" s="1" t="str">
        <x:v>Нет</x:v>
      </x:c>
      <x:c r="M329" s="1" t="n">
        <x:v>1970</x:v>
      </x:c>
    </x:row>
    <x:row r="330">
      <x:c r="A330" s="1" t="str">
        <x:v>241435198</x:v>
      </x:c>
      <x:c r="B330" s="1" t="str">
        <x:v>hudi/дымка</x:v>
      </x:c>
      <x:c r="C330" s="1" t="str">
        <x:v>Худи</x:v>
      </x:c>
      <x:c r="D330" s="9" t="n">
        <x:v>9.7</x:v>
      </x:c>
      <x:c r="E330" s="8" t="n">
        <x:v>73714</x:v>
      </x:c>
      <x:c r="F330" s="8" t="n">
        <x:v>661</x:v>
      </x:c>
      <x:c r="G330" s="8" t="n">
        <x:v>637231</x:v>
      </x:c>
      <x:c r="H330" s="8" t="n">
        <x:v>14</x:v>
      </x:c>
      <x:c r="I330" s="8" t="n">
        <x:v>0</x:v>
      </x:c>
      <x:c r="J330" s="8" t="n">
        <x:v>1354</x:v>
      </x:c>
      <x:c r="K330" s="8" t="n">
        <x:v>2578</x:v>
      </x:c>
      <x:c r="L330" s="1" t="str">
        <x:v>Нет</x:v>
      </x:c>
      <x:c r="M330" s="1" t="n">
        <x:v>1546735</x:v>
      </x:c>
    </x:row>
    <x:row r="331">
      <x:c r="A331" s="1" t="str">
        <x:v>32727547</x:v>
      </x:c>
      <x:c r="B331" s="1" t="str">
        <x:v>kroptop/пудровый</x:v>
      </x:c>
      <x:c r="C331" s="1" t="str">
        <x:v>Футболки</x:v>
      </x:c>
      <x:c r="D331" s="9" t="n">
        <x:v>8.7</x:v>
      </x:c>
      <x:c r="E331" s="8" t="n">
        <x:v>90122</x:v>
      </x:c>
      <x:c r="F331" s="8" t="n">
        <x:v>1628</x:v>
      </x:c>
      <x:c r="G331" s="8" t="n">
        <x:v>636054</x:v>
      </x:c>
      <x:c r="H331" s="8" t="n">
        <x:v>562</x:v>
      </x:c>
      <x:c r="I331" s="8" t="n">
        <x:v>0</x:v>
      </x:c>
      <x:c r="J331" s="8" t="n">
        <x:v>2212</x:v>
      </x:c>
      <x:c r="K331" s="8" t="n">
        <x:v>901</x:v>
      </x:c>
      <x:c r="L331" s="1" t="str">
        <x:v>Нет</x:v>
      </x:c>
      <x:c r="M331" s="1" t="n">
        <x:v>866172</x:v>
      </x:c>
    </x:row>
    <x:row r="332">
      <x:c r="A332" s="1" t="str">
        <x:v>260797916</x:v>
      </x:c>
      <x:c r="B332" s="1" t="str">
        <x:v>hudicrop1/молочный</x:v>
      </x:c>
      <x:c r="C332" s="1" t="str">
        <x:v>Худи</x:v>
      </x:c>
      <x:c r="D332" s="9" t="n">
        <x:v>8.7</x:v>
      </x:c>
      <x:c r="E332" s="8" t="n">
        <x:v>56800</x:v>
      </x:c>
      <x:c r="F332" s="8" t="n">
        <x:v>506</x:v>
      </x:c>
      <x:c r="G332" s="8" t="n">
        <x:v>632633</x:v>
      </x:c>
      <x:c r="H332" s="8" t="n">
        <x:v>136</x:v>
      </x:c>
      <x:c r="I332" s="8" t="n">
        <x:v>0</x:v>
      </x:c>
      <x:c r="J332" s="8" t="n">
        <x:v>1840</x:v>
      </x:c>
      <x:c r="K332" s="8" t="n">
        <x:v>2861</x:v>
      </x:c>
      <x:c r="L332" s="1" t="str">
        <x:v>Нет</x:v>
      </x:c>
      <x:c r="M332" s="1" t="n">
        <x:v>2195033</x:v>
      </x:c>
    </x:row>
    <x:row r="333">
      <x:c r="A333" s="1" t="str">
        <x:v>19077494</x:v>
      </x:c>
      <x:c r="B333" s="1" t="str">
        <x:v>bruki/молочный</x:v>
      </x:c>
      <x:c r="C333" s="1" t="str">
        <x:v>Брюки</x:v>
      </x:c>
      <x:c r="D333" s="9" t="n">
        <x:v>7.7</x:v>
      </x:c>
      <x:c r="E333" s="8" t="n">
        <x:v>62202</x:v>
      </x:c>
      <x:c r="F333" s="8" t="n">
        <x:v>934</x:v>
      </x:c>
      <x:c r="G333" s="8" t="n">
        <x:v>632246</x:v>
      </x:c>
      <x:c r="H333" s="8" t="n">
        <x:v>686</x:v>
      </x:c>
      <x:c r="I333" s="8" t="n">
        <x:v>0</x:v>
      </x:c>
      <x:c r="J333" s="8" t="n">
        <x:v>1281</x:v>
      </x:c>
      <x:c r="K333" s="8" t="n">
        <x:v>2458</x:v>
      </x:c>
      <x:c r="L333" s="1" t="str">
        <x:v>Нет</x:v>
      </x:c>
      <x:c r="M333" s="1" t="n">
        <x:v>969875</x:v>
      </x:c>
    </x:row>
    <x:row r="334">
      <x:c r="A334" s="1" t="str">
        <x:v>288644219</x:v>
      </x:c>
      <x:c r="B334" s="1" t="str">
        <x:v>hudicrop1/красный</x:v>
      </x:c>
      <x:c r="C334" s="1" t="str">
        <x:v>Худи</x:v>
      </x:c>
      <x:c r="D334" s="9" t="n">
        <x:v>8.7</x:v>
      </x:c>
      <x:c r="E334" s="8" t="n">
        <x:v>34204</x:v>
      </x:c>
      <x:c r="F334" s="8" t="n">
        <x:v>558</x:v>
      </x:c>
      <x:c r="G334" s="8" t="n">
        <x:v>630450</x:v>
      </x:c>
      <x:c r="H334" s="8" t="n">
        <x:v>68</x:v>
      </x:c>
      <x:c r="I334" s="8" t="n">
        <x:v>0</x:v>
      </x:c>
      <x:c r="J334" s="8" t="n">
        <x:v>1245</x:v>
      </x:c>
      <x:c r="K334" s="8" t="n">
        <x:v>2975</x:v>
      </x:c>
      <x:c r="L334" s="1" t="str">
        <x:v>Нет</x:v>
      </x:c>
      <x:c r="M334" s="1" t="n">
        <x:v>1581253</x:v>
      </x:c>
    </x:row>
    <x:row r="335">
      <x:c r="A335" s="1" t="str">
        <x:v>246363186</x:v>
      </x:c>
      <x:c r="B335" s="1" t="str">
        <x:v>tolstovkazipcrop/белый</x:v>
      </x:c>
      <x:c r="C335" s="1" t="str">
        <x:v>Худи</x:v>
      </x:c>
      <x:c r="D335" s="9" t="n">
        <x:v>7.7</x:v>
      </x:c>
      <x:c r="E335" s="8" t="n">
        <x:v>37124</x:v>
      </x:c>
      <x:c r="F335" s="8" t="n">
        <x:v>569</x:v>
      </x:c>
      <x:c r="G335" s="8" t="n">
        <x:v>627904</x:v>
      </x:c>
      <x:c r="H335" s="8" t="n">
        <x:v>168</x:v>
      </x:c>
      <x:c r="I335" s="8" t="n">
        <x:v>0</x:v>
      </x:c>
      <x:c r="J335" s="8" t="n">
        <x:v>1374</x:v>
      </x:c>
      <x:c r="K335" s="8" t="n">
        <x:v>2157</x:v>
      </x:c>
      <x:c r="L335" s="1" t="str">
        <x:v>Нет</x:v>
      </x:c>
      <x:c r="M335" s="1" t="n">
        <x:v>1515230</x:v>
      </x:c>
    </x:row>
    <x:row r="336">
      <x:c r="A336" s="1" t="str">
        <x:v>219490811</x:v>
      </x:c>
      <x:c r="B336" s="1" t="str">
        <x:v>futbolkaprint/FukBROOKLYN-116/молочный</x:v>
      </x:c>
      <x:c r="C336" s="1" t="str">
        <x:v>Футболки</x:v>
      </x:c>
      <x:c r="D336" s="9" t="n">
        <x:v>9.7</x:v>
      </x:c>
      <x:c r="E336" s="8" t="n">
        <x:v>57434</x:v>
      </x:c>
      <x:c r="F336" s="8" t="n">
        <x:v>971</x:v>
      </x:c>
      <x:c r="G336" s="8" t="n">
        <x:v>626782</x:v>
      </x:c>
      <x:c r="H336" s="8" t="n">
        <x:v>5</x:v>
      </x:c>
      <x:c r="I336" s="8" t="n">
        <x:v>0</x:v>
      </x:c>
      <x:c r="J336" s="8" t="n">
        <x:v>1650</x:v>
      </x:c>
      <x:c r="K336" s="8" t="n">
        <x:v>1177</x:v>
      </x:c>
      <x:c r="L336" s="1" t="str">
        <x:v>Нет</x:v>
      </x:c>
      <x:c r="M336" s="1" t="n">
        <x:v>1163887</x:v>
      </x:c>
    </x:row>
    <x:row r="337">
      <x:c r="A337" s="1" t="str">
        <x:v>326825232</x:v>
      </x:c>
      <x:c r="B337" s="1" t="str">
        <x:v>brukizshp3P-S-1/светло-розовый</x:v>
      </x:c>
      <x:c r="C337" s="1" t="str">
        <x:v>Брюки</x:v>
      </x:c>
      <x:c r="D337" s="9" t="n">
        <x:v>8.4</x:v>
      </x:c>
      <x:c r="E337" s="8" t="n">
        <x:v>62614</x:v>
      </x:c>
      <x:c r="F337" s="8" t="n">
        <x:v>763</x:v>
      </x:c>
      <x:c r="G337" s="8" t="n">
        <x:v>626097</x:v>
      </x:c>
      <x:c r="H337" s="8" t="n">
        <x:v>98</x:v>
      </x:c>
      <x:c r="I337" s="8" t="n">
        <x:v>0</x:v>
      </x:c>
      <x:c r="J337" s="8" t="n">
        <x:v>116</x:v>
      </x:c>
      <x:c r="K337" s="8" t="n">
        <x:v>2915</x:v>
      </x:c>
      <x:c r="L337" s="1" t="str">
        <x:v>Нет</x:v>
      </x:c>
      <x:c r="M337" s="1" t="n">
        <x:v>95200</x:v>
      </x:c>
    </x:row>
    <x:row r="338">
      <x:c r="A338" s="1" t="str">
        <x:v>178309517</x:v>
      </x:c>
      <x:c r="B338" s="1" t="str">
        <x:v>svitcrop/кофейный</x:v>
      </x:c>
      <x:c r="C338" s="1" t="str">
        <x:v>Лонгсливы</x:v>
      </x:c>
      <x:c r="D338" s="9" t="n">
        <x:v>9.7</x:v>
      </x:c>
      <x:c r="E338" s="8" t="n">
        <x:v>117932</x:v>
      </x:c>
      <x:c r="F338" s="8" t="n">
        <x:v>1459</x:v>
      </x:c>
      <x:c r="G338" s="8" t="n">
        <x:v>625946</x:v>
      </x:c>
      <x:c r="H338" s="8" t="n">
        <x:v>337</x:v>
      </x:c>
      <x:c r="I338" s="8" t="n">
        <x:v>0</x:v>
      </x:c>
      <x:c r="J338" s="8" t="n">
        <x:v>772</x:v>
      </x:c>
      <x:c r="K338" s="8" t="n">
        <x:v>941</x:v>
      </x:c>
      <x:c r="L338" s="1" t="str">
        <x:v>Нет</x:v>
      </x:c>
      <x:c r="M338" s="1" t="n">
        <x:v>335133</x:v>
      </x:c>
    </x:row>
    <x:row r="339">
      <x:c r="A339" s="1" t="str">
        <x:v>241638617</x:v>
      </x:c>
      <x:c r="B339" s="1" t="str">
        <x:v>hudiprint/HAPPY-105/фуксия</x:v>
      </x:c>
      <x:c r="C339" s="1" t="str">
        <x:v>Худи</x:v>
      </x:c>
      <x:c r="D339" s="9" t="n">
        <x:v>8.7</x:v>
      </x:c>
      <x:c r="E339" s="8" t="n">
        <x:v>59022</x:v>
      </x:c>
      <x:c r="F339" s="8" t="n">
        <x:v>717</x:v>
      </x:c>
      <x:c r="G339" s="8" t="n">
        <x:v>625373</x:v>
      </x:c>
      <x:c r="H339" s="8" t="n">
        <x:v>101</x:v>
      </x:c>
      <x:c r="I339" s="8" t="n">
        <x:v>0</x:v>
      </x:c>
      <x:c r="J339" s="8" t="n">
        <x:v>345</x:v>
      </x:c>
      <x:c r="K339" s="8" t="n">
        <x:v>2434</x:v>
      </x:c>
      <x:c r="L339" s="1" t="str">
        <x:v>Нет</x:v>
      </x:c>
      <x:c r="M339" s="1" t="n">
        <x:v>335405</x:v>
      </x:c>
    </x:row>
    <x:row r="340">
      <x:c r="A340" s="1" t="str">
        <x:v>224386260</x:v>
      </x:c>
      <x:c r="B340" s="1" t="str">
        <x:v>futbolkaprint/Amore-43/черный</x:v>
      </x:c>
      <x:c r="C340" s="1" t="str">
        <x:v>Футболки</x:v>
      </x:c>
      <x:c r="D340" s="9" t="n">
        <x:v>8.7</x:v>
      </x:c>
      <x:c r="E340" s="8" t="n">
        <x:v>81068</x:v>
      </x:c>
      <x:c r="F340" s="8" t="n">
        <x:v>996</x:v>
      </x:c>
      <x:c r="G340" s="8" t="n">
        <x:v>624922</x:v>
      </x:c>
      <x:c r="H340" s="8" t="n">
        <x:v>61</x:v>
      </x:c>
      <x:c r="I340" s="8" t="n">
        <x:v>0</x:v>
      </x:c>
      <x:c r="J340" s="8" t="n">
        <x:v>2044</x:v>
      </x:c>
      <x:c r="K340" s="8" t="n">
        <x:v>1321</x:v>
      </x:c>
      <x:c r="L340" s="1" t="str">
        <x:v>Нет</x:v>
      </x:c>
      <x:c r="M340" s="1" t="n">
        <x:v>1458498</x:v>
      </x:c>
    </x:row>
    <x:row r="341">
      <x:c r="A341" s="1" t="str">
        <x:v>226527746</x:v>
      </x:c>
      <x:c r="B341" s="1" t="str">
        <x:v>svitshotovervish/Alps-10/молочный</x:v>
      </x:c>
      <x:c r="C341" s="1" t="str">
        <x:v>Свитшоты</x:v>
      </x:c>
      <x:c r="D341" s="9" t="n">
        <x:v>9.7</x:v>
      </x:c>
      <x:c r="E341" s="8" t="n">
        <x:v>47939</x:v>
      </x:c>
      <x:c r="F341" s="8" t="n">
        <x:v>692</x:v>
      </x:c>
      <x:c r="G341" s="8" t="n">
        <x:v>624820</x:v>
      </x:c>
      <x:c r="H341" s="8" t="n">
        <x:v>42</x:v>
      </x:c>
      <x:c r="I341" s="8" t="n">
        <x:v>0</x:v>
      </x:c>
      <x:c r="J341" s="8" t="n">
        <x:v>333</x:v>
      </x:c>
      <x:c r="K341" s="8" t="n">
        <x:v>2655</x:v>
      </x:c>
      <x:c r="L341" s="1" t="str">
        <x:v>Нет</x:v>
      </x:c>
      <x:c r="M341" s="1" t="n">
        <x:v>320784</x:v>
      </x:c>
    </x:row>
    <x:row r="342">
      <x:c r="A342" s="1" t="str">
        <x:v>311049925</x:v>
      </x:c>
      <x:c r="B342" s="1" t="str">
        <x:v>hudimanpetl/темно-серый</x:v>
      </x:c>
      <x:c r="C342" s="1" t="str">
        <x:v>Худи</x:v>
      </x:c>
      <x:c r="D342" s="9" t="n">
        <x:v>8.7</x:v>
      </x:c>
      <x:c r="E342" s="8" t="n">
        <x:v>18344</x:v>
      </x:c>
      <x:c r="F342" s="8" t="n">
        <x:v>663</x:v>
      </x:c>
      <x:c r="G342" s="8" t="n">
        <x:v>624548</x:v>
      </x:c>
      <x:c r="H342" s="8" t="n">
        <x:v>113</x:v>
      </x:c>
      <x:c r="I342" s="8" t="n">
        <x:v>0</x:v>
      </x:c>
      <x:c r="J342" s="8" t="n">
        <x:v>641</x:v>
      </x:c>
      <x:c r="K342" s="8" t="n">
        <x:v>2690</x:v>
      </x:c>
      <x:c r="L342" s="1" t="str">
        <x:v>Нет</x:v>
      </x:c>
      <x:c r="M342" s="1" t="n">
        <x:v>654333</x:v>
      </x:c>
    </x:row>
    <x:row r="343">
      <x:c r="A343" s="1" t="str">
        <x:v>344439337</x:v>
      </x:c>
      <x:c r="B343" s="1" t="str">
        <x:v>2Ntshirt/серый</x:v>
      </x:c>
      <x:c r="C343" s="1" t="str">
        <x:v>Футболки</x:v>
      </x:c>
      <x:c r="D343" s="9" t="n">
        <x:v>8.2</x:v>
      </x:c>
      <x:c r="E343" s="8" t="n">
        <x:v>193086</x:v>
      </x:c>
      <x:c r="F343" s="8" t="n">
        <x:v>1629</x:v>
      </x:c>
      <x:c r="G343" s="8" t="n">
        <x:v>622634</x:v>
      </x:c>
      <x:c r="H343" s="8" t="n">
        <x:v>33</x:v>
      </x:c>
      <x:c r="I343" s="8" t="n">
        <x:v>0</x:v>
      </x:c>
      <x:c r="J343" s="8" t="n">
        <x:v>0</x:v>
      </x:c>
      <x:c r="K343" s="8" t="n">
        <x:v>1180</x:v>
      </x:c>
      <x:c r="L343" s="1" t="str">
        <x:v>Нет</x:v>
      </x:c>
      <x:c r="M343" s="1" t="n">
        <x:v>0</x:v>
      </x:c>
    </x:row>
    <x:row r="344">
      <x:c r="A344" s="1" t="str">
        <x:v>193100157</x:v>
      </x:c>
      <x:c r="B344" s="1" t="str">
        <x:v>svitshotzip1/розовый</x:v>
      </x:c>
      <x:c r="C344" s="1" t="str">
        <x:v>Свитшоты</x:v>
      </x:c>
      <x:c r="D344" s="9" t="n">
        <x:v>9.7</x:v>
      </x:c>
      <x:c r="E344" s="8" t="n">
        <x:v>54855</x:v>
      </x:c>
      <x:c r="F344" s="8" t="n">
        <x:v>696</x:v>
      </x:c>
      <x:c r="G344" s="8" t="n">
        <x:v>621732</x:v>
      </x:c>
      <x:c r="H344" s="8" t="n">
        <x:v>96</x:v>
      </x:c>
      <x:c r="I344" s="8" t="n">
        <x:v>0</x:v>
      </x:c>
      <x:c r="J344" s="8" t="n">
        <x:v>768</x:v>
      </x:c>
      <x:c r="K344" s="8" t="n">
        <x:v>2768</x:v>
      </x:c>
      <x:c r="L344" s="1" t="str">
        <x:v>Нет</x:v>
      </x:c>
      <x:c r="M344" s="1" t="n">
        <x:v>724584</x:v>
      </x:c>
    </x:row>
    <x:row r="345">
      <x:c r="A345" s="1" t="str">
        <x:v>203015623</x:v>
      </x:c>
      <x:c r="B345" s="1" t="str">
        <x:v>Futbolkaprint/MoreSelf-44/черный</x:v>
      </x:c>
      <x:c r="C345" s="1" t="str">
        <x:v>Футболки</x:v>
      </x:c>
      <x:c r="D345" s="9" t="n">
        <x:v>8.7</x:v>
      </x:c>
      <x:c r="E345" s="8" t="n">
        <x:v>89968</x:v>
      </x:c>
      <x:c r="F345" s="8" t="n">
        <x:v>1048</x:v>
      </x:c>
      <x:c r="G345" s="8" t="n">
        <x:v>617866</x:v>
      </x:c>
      <x:c r="H345" s="8" t="n">
        <x:v>122</x:v>
      </x:c>
      <x:c r="I345" s="8" t="n">
        <x:v>0</x:v>
      </x:c>
      <x:c r="J345" s="8" t="n">
        <x:v>671</x:v>
      </x:c>
      <x:c r="K345" s="8" t="n">
        <x:v>956</x:v>
      </x:c>
      <x:c r="L345" s="1" t="str">
        <x:v>Нет</x:v>
      </x:c>
      <x:c r="M345" s="1" t="n">
        <x:v>402851</x:v>
      </x:c>
    </x:row>
    <x:row r="346">
      <x:c r="A346" s="1" t="str">
        <x:v>320419093</x:v>
      </x:c>
      <x:c r="B346" s="1" t="str">
        <x:v>palazzoshnurok/коричневый</x:v>
      </x:c>
      <x:c r="C346" s="1" t="str">
        <x:v>Брюки</x:v>
      </x:c>
      <x:c r="D346" s="9" t="n">
        <x:v>8.7</x:v>
      </x:c>
      <x:c r="E346" s="8" t="n">
        <x:v>43182</x:v>
      </x:c>
      <x:c r="F346" s="8" t="n">
        <x:v>954</x:v>
      </x:c>
      <x:c r="G346" s="8" t="n">
        <x:v>617694</x:v>
      </x:c>
      <x:c r="H346" s="8" t="n">
        <x:v>308</x:v>
      </x:c>
      <x:c r="I346" s="8" t="n">
        <x:v>0</x:v>
      </x:c>
      <x:c r="J346" s="8" t="n">
        <x:v>922</x:v>
      </x:c>
      <x:c r="K346" s="8" t="n">
        <x:v>2451</x:v>
      </x:c>
      <x:c r="L346" s="1" t="str">
        <x:v>Нет</x:v>
      </x:c>
      <x:c r="M346" s="1" t="n">
        <x:v>583450</x:v>
      </x:c>
    </x:row>
    <x:row r="347">
      <x:c r="A347" s="1" t="str">
        <x:v>232234722</x:v>
      </x:c>
      <x:c r="B347" s="1" t="str">
        <x:v>futbolkaprint/Portofino-156/молочный</x:v>
      </x:c>
      <x:c r="C347" s="1" t="str">
        <x:v>Футболки</x:v>
      </x:c>
      <x:c r="D347" s="9" t="n">
        <x:v>9.7</x:v>
      </x:c>
      <x:c r="E347" s="8" t="n">
        <x:v>62471</x:v>
      </x:c>
      <x:c r="F347" s="8" t="n">
        <x:v>860</x:v>
      </x:c>
      <x:c r="G347" s="8" t="n">
        <x:v>613432</x:v>
      </x:c>
      <x:c r="H347" s="8" t="n">
        <x:v>2</x:v>
      </x:c>
      <x:c r="I347" s="8" t="n">
        <x:v>0</x:v>
      </x:c>
      <x:c r="J347" s="8" t="n">
        <x:v>1017</x:v>
      </x:c>
      <x:c r="K347" s="8" t="n">
        <x:v>1305</x:v>
      </x:c>
      <x:c r="L347" s="1" t="str">
        <x:v>Нет</x:v>
      </x:c>
      <x:c r="M347" s="1" t="n">
        <x:v>714197</x:v>
      </x:c>
    </x:row>
    <x:row r="348">
      <x:c r="A348" s="1" t="str">
        <x:v>47115818</x:v>
      </x:c>
      <x:c r="B348" s="1" t="str">
        <x:v>hudi/коричневый</x:v>
      </x:c>
      <x:c r="C348" s="1" t="str">
        <x:v>Худи</x:v>
      </x:c>
      <x:c r="D348" s="9" t="n">
        <x:v>9.7</x:v>
      </x:c>
      <x:c r="E348" s="8" t="n">
        <x:v>69340</x:v>
      </x:c>
      <x:c r="F348" s="8" t="n">
        <x:v>565</x:v>
      </x:c>
      <x:c r="G348" s="8" t="n">
        <x:v>613060</x:v>
      </x:c>
      <x:c r="H348" s="8" t="n">
        <x:v>0</x:v>
      </x:c>
      <x:c r="I348" s="8" t="n">
        <x:v>0</x:v>
      </x:c>
      <x:c r="J348" s="8" t="n">
        <x:v>1189</x:v>
      </x:c>
      <x:c r="K348" s="8" t="n">
        <x:v>2773</x:v>
      </x:c>
      <x:c r="L348" s="1" t="str">
        <x:v>Нет</x:v>
      </x:c>
      <x:c r="M348" s="1" t="n">
        <x:v>1193172</x:v>
      </x:c>
    </x:row>
    <x:row r="349">
      <x:c r="A349" s="1" t="str">
        <x:v>348218026</x:v>
      </x:c>
      <x:c r="B349" s="1" t="str">
        <x:v>bodyskims/черный</x:v>
      </x:c>
      <x:c r="C349" s="1" t="str">
        <x:v>Блузки-боди</x:v>
      </x:c>
      <x:c r="D349" s="9" t="n">
        <x:v>8.7</x:v>
      </x:c>
      <x:c r="E349" s="8" t="n">
        <x:v>79319</x:v>
      </x:c>
      <x:c r="F349" s="8" t="n">
        <x:v>1313</x:v>
      </x:c>
      <x:c r="G349" s="8" t="n">
        <x:v>612882</x:v>
      </x:c>
      <x:c r="H349" s="8" t="n">
        <x:v>702</x:v>
      </x:c>
      <x:c r="I349" s="8" t="n">
        <x:v>0</x:v>
      </x:c>
      <x:c r="J349" s="8" t="n">
        <x:v>0</x:v>
      </x:c>
      <x:c r="K349" s="8" t="n">
        <x:v>1026</x:v>
      </x:c>
      <x:c r="L349" s="1" t="str">
        <x:v>Нет</x:v>
      </x:c>
      <x:c r="M349" s="1" t="n">
        <x:v>0</x:v>
      </x:c>
    </x:row>
    <x:row r="350">
      <x:c r="A350" s="1" t="str">
        <x:v>314825316</x:v>
      </x:c>
      <x:c r="B350" s="1" t="str">
        <x:v>kulirkamanprint/woke-262/дымка</x:v>
      </x:c>
      <x:c r="C350" s="1" t="str">
        <x:v>Футболки</x:v>
      </x:c>
      <x:c r="D350" s="9" t="n">
        <x:v>8.7</x:v>
      </x:c>
      <x:c r="E350" s="8" t="n">
        <x:v>103185</x:v>
      </x:c>
      <x:c r="F350" s="8" t="n">
        <x:v>1097</x:v>
      </x:c>
      <x:c r="G350" s="8" t="n">
        <x:v>610077</x:v>
      </x:c>
      <x:c r="H350" s="8" t="n">
        <x:v>1121</x:v>
      </x:c>
      <x:c r="I350" s="8" t="n">
        <x:v>0</x:v>
      </x:c>
      <x:c r="J350" s="8" t="n">
        <x:v>317</x:v>
      </x:c>
      <x:c r="K350" s="8" t="n">
        <x:v>1148</x:v>
      </x:c>
      <x:c r="L350" s="1" t="str">
        <x:v>Нет</x:v>
      </x:c>
      <x:c r="M350" s="1" t="n">
        <x:v>205591</x:v>
      </x:c>
    </x:row>
    <x:row r="351">
      <x:c r="A351" s="1" t="str">
        <x:v>323186192</x:v>
      </x:c>
      <x:c r="B351" s="1" t="str">
        <x:v>futskims3K-102/какао</x:v>
      </x:c>
      <x:c r="C351" s="1" t="str">
        <x:v>Футболки</x:v>
      </x:c>
      <x:c r="D351" s="9" t="n">
        <x:v>8.4</x:v>
      </x:c>
      <x:c r="E351" s="8" t="n">
        <x:v>81422</x:v>
      </x:c>
      <x:c r="F351" s="8" t="n">
        <x:v>1366</x:v>
      </x:c>
      <x:c r="G351" s="8" t="n">
        <x:v>606518</x:v>
      </x:c>
      <x:c r="H351" s="8" t="n">
        <x:v>2133</x:v>
      </x:c>
      <x:c r="I351" s="8" t="n">
        <x:v>0</x:v>
      </x:c>
      <x:c r="J351" s="8" t="n">
        <x:v>0</x:v>
      </x:c>
      <x:c r="K351" s="8" t="n">
        <x:v>1053</x:v>
      </x:c>
      <x:c r="L351" s="1" t="str">
        <x:v>Нет</x:v>
      </x:c>
      <x:c r="M351" s="1" t="n">
        <x:v>0</x:v>
      </x:c>
    </x:row>
    <x:row r="352">
      <x:c r="A352" s="1" t="str">
        <x:v>151811677</x:v>
      </x:c>
      <x:c r="B352" s="1" t="str">
        <x:v>svitshotover/розовый</x:v>
      </x:c>
      <x:c r="C352" s="1" t="str">
        <x:v>Свитшоты</x:v>
      </x:c>
      <x:c r="D352" s="9" t="n">
        <x:v>9.7</x:v>
      </x:c>
      <x:c r="E352" s="8" t="n">
        <x:v>52120</x:v>
      </x:c>
      <x:c r="F352" s="8" t="n">
        <x:v>821</x:v>
      </x:c>
      <x:c r="G352" s="8" t="n">
        <x:v>606069</x:v>
      </x:c>
      <x:c r="H352" s="8" t="n">
        <x:v>435</x:v>
      </x:c>
      <x:c r="I352" s="8" t="n">
        <x:v>0</x:v>
      </x:c>
      <x:c r="J352" s="8" t="n">
        <x:v>673</x:v>
      </x:c>
      <x:c r="K352" s="8" t="n">
        <x:v>2055</x:v>
      </x:c>
      <x:c r="L352" s="1" t="str">
        <x:v>Нет</x:v>
      </x:c>
      <x:c r="M352" s="1" t="n">
        <x:v>549873</x:v>
      </x:c>
    </x:row>
    <x:row r="353">
      <x:c r="A353" s="1" t="str">
        <x:v>296186653</x:v>
      </x:c>
      <x:c r="B353" s="1" t="str">
        <x:v>shtanyman4P-79/черный</x:v>
      </x:c>
      <x:c r="C353" s="1" t="str">
        <x:v>Брюки</x:v>
      </x:c>
      <x:c r="D353" s="9" t="n">
        <x:v>8.4</x:v>
      </x:c>
      <x:c r="E353" s="8" t="n">
        <x:v>28635</x:v>
      </x:c>
      <x:c r="F353" s="8" t="n">
        <x:v>936</x:v>
      </x:c>
      <x:c r="G353" s="8" t="n">
        <x:v>604072</x:v>
      </x:c>
      <x:c r="H353" s="8" t="n">
        <x:v>151</x:v>
      </x:c>
      <x:c r="I353" s="8" t="n">
        <x:v>0</x:v>
      </x:c>
      <x:c r="J353" s="8" t="n">
        <x:v>1290</x:v>
      </x:c>
      <x:c r="K353" s="8" t="n">
        <x:v>2803</x:v>
      </x:c>
      <x:c r="L353" s="1" t="str">
        <x:v>Нет</x:v>
      </x:c>
      <x:c r="M353" s="1" t="n">
        <x:v>744943</x:v>
      </x:c>
    </x:row>
    <x:row r="354">
      <x:c r="A354" s="1" t="str">
        <x:v>218974179</x:v>
      </x:c>
      <x:c r="B354" s="1" t="str">
        <x:v>topbando/белый</x:v>
      </x:c>
      <x:c r="C354" s="1" t="str">
        <x:v>Топы</x:v>
      </x:c>
      <x:c r="D354" s="9" t="n">
        <x:v>8.9</x:v>
      </x:c>
      <x:c r="E354" s="8" t="n">
        <x:v>55667</x:v>
      </x:c>
      <x:c r="F354" s="8" t="n">
        <x:v>2568</x:v>
      </x:c>
      <x:c r="G354" s="8" t="n">
        <x:v>603722</x:v>
      </x:c>
      <x:c r="H354" s="8" t="n">
        <x:v>1602</x:v>
      </x:c>
      <x:c r="I354" s="8" t="n">
        <x:v>0</x:v>
      </x:c>
      <x:c r="J354" s="8" t="n">
        <x:v>26</x:v>
      </x:c>
      <x:c r="K354" s="8" t="n">
        <x:v>447</x:v>
      </x:c>
      <x:c r="L354" s="1" t="str">
        <x:v>Нет</x:v>
      </x:c>
      <x:c r="M354" s="1" t="n">
        <x:v>8640</x:v>
      </x:c>
    </x:row>
    <x:row r="355">
      <x:c r="A355" s="1" t="str">
        <x:v>87046289</x:v>
      </x:c>
      <x:c r="B355" s="1" t="str">
        <x:v>kroptop/мандариновый</x:v>
      </x:c>
      <x:c r="C355" s="1" t="str">
        <x:v>Футболки</x:v>
      </x:c>
      <x:c r="D355" s="9" t="n">
        <x:v>8.7</x:v>
      </x:c>
      <x:c r="E355" s="8" t="n">
        <x:v>56870</x:v>
      </x:c>
      <x:c r="F355" s="8" t="n">
        <x:v>1581</x:v>
      </x:c>
      <x:c r="G355" s="8" t="n">
        <x:v>599657</x:v>
      </x:c>
      <x:c r="H355" s="8" t="n">
        <x:v>1350</x:v>
      </x:c>
      <x:c r="I355" s="8" t="n">
        <x:v>0</x:v>
      </x:c>
      <x:c r="J355" s="8" t="n">
        <x:v>880</x:v>
      </x:c>
      <x:c r="K355" s="8" t="n">
        <x:v>768</x:v>
      </x:c>
      <x:c r="L355" s="1" t="str">
        <x:v>Нет</x:v>
      </x:c>
      <x:c r="M355" s="1" t="n">
        <x:v>345221</x:v>
      </x:c>
    </x:row>
    <x:row r="356">
      <x:c r="A356" s="1" t="str">
        <x:v>246362935</x:v>
      </x:c>
      <x:c r="B356" s="1" t="str">
        <x:v>tolstovkazip/хаки</x:v>
      </x:c>
      <x:c r="C356" s="1" t="str">
        <x:v>Худи</x:v>
      </x:c>
      <x:c r="D356" s="9" t="n">
        <x:v>9.7</x:v>
      </x:c>
      <x:c r="E356" s="8" t="n">
        <x:v>65755</x:v>
      </x:c>
      <x:c r="F356" s="8" t="n">
        <x:v>415</x:v>
      </x:c>
      <x:c r="G356" s="8" t="n">
        <x:v>597942</x:v>
      </x:c>
      <x:c r="H356" s="8" t="n">
        <x:v>2</x:v>
      </x:c>
      <x:c r="I356" s="8" t="n">
        <x:v>0</x:v>
      </x:c>
      <x:c r="J356" s="8" t="n">
        <x:v>580</x:v>
      </x:c>
      <x:c r="K356" s="8" t="n">
        <x:v>3172</x:v>
      </x:c>
      <x:c r="L356" s="1" t="str">
        <x:v>Нет</x:v>
      </x:c>
      <x:c r="M356" s="1" t="n">
        <x:v>854425</x:v>
      </x:c>
    </x:row>
    <x:row r="357">
      <x:c r="A357" s="1" t="str">
        <x:v>220090289</x:v>
      </x:c>
      <x:c r="B357" s="1" t="str">
        <x:v>tolstovkazip/фуксия</x:v>
      </x:c>
      <x:c r="C357" s="1" t="str">
        <x:v>Худи</x:v>
      </x:c>
      <x:c r="D357" s="9" t="n">
        <x:v>7.7</x:v>
      </x:c>
      <x:c r="E357" s="8" t="n">
        <x:v>45579</x:v>
      </x:c>
      <x:c r="F357" s="8" t="n">
        <x:v>581</x:v>
      </x:c>
      <x:c r="G357" s="8" t="n">
        <x:v>597419</x:v>
      </x:c>
      <x:c r="H357" s="8" t="n">
        <x:v>3</x:v>
      </x:c>
      <x:c r="I357" s="8" t="n">
        <x:v>0</x:v>
      </x:c>
      <x:c r="J357" s="8" t="n">
        <x:v>486</x:v>
      </x:c>
      <x:c r="K357" s="8" t="n">
        <x:v>3002</x:v>
      </x:c>
      <x:c r="L357" s="1" t="str">
        <x:v>Нет</x:v>
      </x:c>
      <x:c r="M357" s="1" t="n">
        <x:v>516770</x:v>
      </x:c>
    </x:row>
    <x:row r="358">
      <x:c r="A358" s="1" t="str">
        <x:v>210514807</x:v>
      </x:c>
      <x:c r="B358" s="1" t="str">
        <x:v>kostkulirkacrop/черный</x:v>
      </x:c>
      <x:c r="C358" s="1" t="str">
        <x:v>Костюмы</x:v>
      </x:c>
      <x:c r="D358" s="9" t="n">
        <x:v>9.4</x:v>
      </x:c>
      <x:c r="E358" s="8" t="n">
        <x:v>62680</x:v>
      </x:c>
      <x:c r="F358" s="8" t="n">
        <x:v>938</x:v>
      </x:c>
      <x:c r="G358" s="8" t="n">
        <x:v>595523</x:v>
      </x:c>
      <x:c r="H358" s="8" t="n">
        <x:v>3</x:v>
      </x:c>
      <x:c r="I358" s="8" t="n">
        <x:v>0</x:v>
      </x:c>
      <x:c r="J358" s="8" t="n">
        <x:v>387</x:v>
      </x:c>
      <x:c r="K358" s="8" t="n">
        <x:v>1217</x:v>
      </x:c>
      <x:c r="L358" s="1" t="str">
        <x:v>Нет</x:v>
      </x:c>
      <x:c r="M358" s="1" t="n">
        <x:v>254607</x:v>
      </x:c>
    </x:row>
    <x:row r="359">
      <x:c r="A359" s="1" t="str">
        <x:v>320423128</x:v>
      </x:c>
      <x:c r="B359" s="1" t="str">
        <x:v>shtanyfix/коричневый</x:v>
      </x:c>
      <x:c r="C359" s="1" t="str">
        <x:v>Брюки</x:v>
      </x:c>
      <x:c r="D359" s="9" t="n">
        <x:v>8.2</x:v>
      </x:c>
      <x:c r="E359" s="8" t="n">
        <x:v>35132</x:v>
      </x:c>
      <x:c r="F359" s="8" t="n">
        <x:v>639</x:v>
      </x:c>
      <x:c r="G359" s="8" t="n">
        <x:v>595470</x:v>
      </x:c>
      <x:c r="H359" s="8" t="n">
        <x:v>1</x:v>
      </x:c>
      <x:c r="I359" s="8" t="n">
        <x:v>0</x:v>
      </x:c>
      <x:c r="J359" s="8" t="n">
        <x:v>0</x:v>
      </x:c>
      <x:c r="K359" s="8" t="n">
        <x:v>2542</x:v>
      </x:c>
      <x:c r="L359" s="1" t="str">
        <x:v>Нет</x:v>
      </x:c>
      <x:c r="M359" s="1" t="n">
        <x:v>0</x:v>
      </x:c>
    </x:row>
    <x:row r="360">
      <x:c r="A360" s="1" t="str">
        <x:v>211336676</x:v>
      </x:c>
      <x:c r="B360" s="1" t="str">
        <x:v>tolstovkazipman/темно-синий</x:v>
      </x:c>
      <x:c r="C360" s="1" t="str">
        <x:v>Худи</x:v>
      </x:c>
      <x:c r="D360" s="9" t="n">
        <x:v>7</x:v>
      </x:c>
      <x:c r="E360" s="8" t="n">
        <x:v>38448</x:v>
      </x:c>
      <x:c r="F360" s="8" t="n">
        <x:v>578</x:v>
      </x:c>
      <x:c r="G360" s="8" t="n">
        <x:v>593087</x:v>
      </x:c>
      <x:c r="H360" s="8" t="n">
        <x:v>77</x:v>
      </x:c>
      <x:c r="I360" s="8" t="n">
        <x:v>0</x:v>
      </x:c>
      <x:c r="J360" s="8" t="n">
        <x:v>438</x:v>
      </x:c>
      <x:c r="K360" s="8" t="n">
        <x:v>3182</x:v>
      </x:c>
      <x:c r="L360" s="1" t="str">
        <x:v>Нет</x:v>
      </x:c>
      <x:c r="M360" s="1" t="n">
        <x:v>480623</x:v>
      </x:c>
    </x:row>
    <x:row r="361">
      <x:c r="A361" s="1" t="str">
        <x:v>114614257</x:v>
      </x:c>
      <x:c r="B361" s="1" t="str">
        <x:v>kroptop/зелено-серый</x:v>
      </x:c>
      <x:c r="C361" s="1" t="str">
        <x:v>Футболки</x:v>
      </x:c>
      <x:c r="D361" s="9" t="n">
        <x:v>8.7</x:v>
      </x:c>
      <x:c r="E361" s="8" t="n">
        <x:v>66675</x:v>
      </x:c>
      <x:c r="F361" s="8" t="n">
        <x:v>1384</x:v>
      </x:c>
      <x:c r="G361" s="8" t="n">
        <x:v>592820</x:v>
      </x:c>
      <x:c r="H361" s="8" t="n">
        <x:v>111</x:v>
      </x:c>
      <x:c r="I361" s="8" t="n">
        <x:v>0</x:v>
      </x:c>
      <x:c r="J361" s="8" t="n">
        <x:v>1030</x:v>
      </x:c>
      <x:c r="K361" s="8" t="n">
        <x:v>807</x:v>
      </x:c>
      <x:c r="L361" s="1" t="str">
        <x:v>Нет</x:v>
      </x:c>
      <x:c r="M361" s="1" t="n">
        <x:v>433338</x:v>
      </x:c>
    </x:row>
    <x:row r="362">
      <x:c r="A362" s="1" t="str">
        <x:v>109499064</x:v>
      </x:c>
      <x:c r="B362" s="1" t="str">
        <x:v>svitshotover/молочный</x:v>
      </x:c>
      <x:c r="C362" s="1" t="str">
        <x:v>Свитшоты</x:v>
      </x:c>
      <x:c r="D362" s="9" t="n">
        <x:v>9.7</x:v>
      </x:c>
      <x:c r="E362" s="8" t="n">
        <x:v>44678</x:v>
      </x:c>
      <x:c r="F362" s="8" t="n">
        <x:v>839</x:v>
      </x:c>
      <x:c r="G362" s="8" t="n">
        <x:v>591708</x:v>
      </x:c>
      <x:c r="H362" s="8" t="n">
        <x:v>1426</x:v>
      </x:c>
      <x:c r="I362" s="8" t="n">
        <x:v>0</x:v>
      </x:c>
      <x:c r="J362" s="8" t="n">
        <x:v>984</x:v>
      </x:c>
      <x:c r="K362" s="8" t="n">
        <x:v>1940</x:v>
      </x:c>
      <x:c r="L362" s="1" t="str">
        <x:v>Нет</x:v>
      </x:c>
      <x:c r="M362" s="1" t="n">
        <x:v>819342</x:v>
      </x:c>
    </x:row>
    <x:row r="363">
      <x:c r="A363" s="1" t="str">
        <x:v>234287029</x:v>
      </x:c>
      <x:c r="B363" s="1" t="str">
        <x:v>svitshotpetl/песочный</x:v>
      </x:c>
      <x:c r="C363" s="1" t="str">
        <x:v>Свитшоты</x:v>
      </x:c>
      <x:c r="D363" s="9" t="n">
        <x:v>8.7</x:v>
      </x:c>
      <x:c r="E363" s="8" t="n">
        <x:v>52867</x:v>
      </x:c>
      <x:c r="F363" s="8" t="n">
        <x:v>954</x:v>
      </x:c>
      <x:c r="G363" s="8" t="n">
        <x:v>589470</x:v>
      </x:c>
      <x:c r="H363" s="8" t="n">
        <x:v>125</x:v>
      </x:c>
      <x:c r="I363" s="8" t="n">
        <x:v>0</x:v>
      </x:c>
      <x:c r="J363" s="8" t="n">
        <x:v>317</x:v>
      </x:c>
      <x:c r="K363" s="8" t="n">
        <x:v>1823</x:v>
      </x:c>
      <x:c r="L363" s="1" t="str">
        <x:v>Нет</x:v>
      </x:c>
      <x:c r="M363" s="1" t="n">
        <x:v>245140</x:v>
      </x:c>
    </x:row>
    <x:row r="364">
      <x:c r="A364" s="1" t="str">
        <x:v>344155810</x:v>
      </x:c>
      <x:c r="B364" s="1" t="str">
        <x:v>futbolkaprint/Cupid-304/бордовый</x:v>
      </x:c>
      <x:c r="C364" s="1" t="str">
        <x:v>Футболки</x:v>
      </x:c>
      <x:c r="D364" s="9" t="n">
        <x:v>8.7</x:v>
      </x:c>
      <x:c r="E364" s="8" t="n">
        <x:v>100717</x:v>
      </x:c>
      <x:c r="F364" s="8" t="n">
        <x:v>1108</x:v>
      </x:c>
      <x:c r="G364" s="8" t="n">
        <x:v>589006</x:v>
      </x:c>
      <x:c r="H364" s="8" t="n">
        <x:v>339</x:v>
      </x:c>
      <x:c r="I364" s="8" t="n">
        <x:v>0</x:v>
      </x:c>
      <x:c r="J364" s="8" t="n">
        <x:v>0</x:v>
      </x:c>
      <x:c r="K364" s="8" t="n">
        <x:v>1169</x:v>
      </x:c>
      <x:c r="L364" s="1" t="str">
        <x:v>Нет</x:v>
      </x:c>
      <x:c r="M364" s="1" t="n">
        <x:v>0</x:v>
      </x:c>
    </x:row>
    <x:row r="365">
      <x:c r="A365" s="1" t="str">
        <x:v>237893882</x:v>
      </x:c>
      <x:c r="B365" s="1" t="str">
        <x:v>svitzipcroppetl/серыймеланж2</x:v>
      </x:c>
      <x:c r="C365" s="1" t="str">
        <x:v>Свитшоты</x:v>
      </x:c>
      <x:c r="D365" s="9" t="n">
        <x:v>8.7</x:v>
      </x:c>
      <x:c r="E365" s="8" t="n">
        <x:v>51179</x:v>
      </x:c>
      <x:c r="F365" s="8" t="n">
        <x:v>611</x:v>
      </x:c>
      <x:c r="G365" s="8" t="n">
        <x:v>588404</x:v>
      </x:c>
      <x:c r="H365" s="8" t="n">
        <x:v>272</x:v>
      </x:c>
      <x:c r="I365" s="8" t="n">
        <x:v>0</x:v>
      </x:c>
      <x:c r="J365" s="8" t="n">
        <x:v>113</x:v>
      </x:c>
      <x:c r="K365" s="8" t="n">
        <x:v>2256</x:v>
      </x:c>
      <x:c r="L365" s="1" t="str">
        <x:v>Нет</x:v>
      </x:c>
      <x:c r="M365" s="1" t="n">
        <x:v>88842</x:v>
      </x:c>
    </x:row>
    <x:row r="366">
      <x:c r="A366" s="1" t="str">
        <x:v>35672351</x:v>
      </x:c>
      <x:c r="B366" s="1" t="str">
        <x:v>hudiman/бордовый</x:v>
      </x:c>
      <x:c r="C366" s="1" t="str">
        <x:v>Худи</x:v>
      </x:c>
      <x:c r="D366" s="9" t="n">
        <x:v>9.7</x:v>
      </x:c>
      <x:c r="E366" s="8" t="n">
        <x:v>18740</x:v>
      </x:c>
      <x:c r="F366" s="8" t="n">
        <x:v>455</x:v>
      </x:c>
      <x:c r="G366" s="8" t="n">
        <x:v>587103</x:v>
      </x:c>
      <x:c r="H366" s="8" t="n">
        <x:v>102</x:v>
      </x:c>
      <x:c r="I366" s="8" t="n">
        <x:v>0</x:v>
      </x:c>
      <x:c r="J366" s="8" t="n">
        <x:v>610</x:v>
      </x:c>
      <x:c r="K366" s="8" t="n">
        <x:v>2787</x:v>
      </x:c>
      <x:c r="L366" s="1" t="str">
        <x:v>Нет</x:v>
      </x:c>
      <x:c r="M366" s="1" t="n">
        <x:v>857282</x:v>
      </x:c>
    </x:row>
    <x:row r="367">
      <x:c r="A367" s="1" t="str">
        <x:v>219037498</x:v>
      </x:c>
      <x:c r="B367" s="1" t="str">
        <x:v>hudivish/PARADISO-106/голубой</x:v>
      </x:c>
      <x:c r="C367" s="1" t="str">
        <x:v>Худи</x:v>
      </x:c>
      <x:c r="D367" s="9" t="n">
        <x:v>9.7</x:v>
      </x:c>
      <x:c r="E367" s="8" t="n">
        <x:v>31819</x:v>
      </x:c>
      <x:c r="F367" s="8" t="n">
        <x:v>458</x:v>
      </x:c>
      <x:c r="G367" s="8" t="n">
        <x:v>586155</x:v>
      </x:c>
      <x:c r="H367" s="8" t="n">
        <x:v>0</x:v>
      </x:c>
      <x:c r="I367" s="8" t="n">
        <x:v>0</x:v>
      </x:c>
      <x:c r="J367" s="8" t="n">
        <x:v>829</x:v>
      </x:c>
      <x:c r="K367" s="8" t="n">
        <x:v>2933</x:v>
      </x:c>
      <x:c r="L367" s="1" t="str">
        <x:v>Нет</x:v>
      </x:c>
      <x:c r="M367" s="1" t="n">
        <x:v>1006291</x:v>
      </x:c>
    </x:row>
    <x:row r="368">
      <x:c r="A368" s="1" t="str">
        <x:v>41620875</x:v>
      </x:c>
      <x:c r="B368" s="1" t="str">
        <x:v>brukiman/черный</x:v>
      </x:c>
      <x:c r="C368" s="1" t="str">
        <x:v>Брюки</x:v>
      </x:c>
      <x:c r="D368" s="9" t="n">
        <x:v>7.7</x:v>
      </x:c>
      <x:c r="E368" s="8" t="n">
        <x:v>22195</x:v>
      </x:c>
      <x:c r="F368" s="8" t="n">
        <x:v>736</x:v>
      </x:c>
      <x:c r="G368" s="8" t="n">
        <x:v>583222</x:v>
      </x:c>
      <x:c r="H368" s="8" t="n">
        <x:v>957</x:v>
      </x:c>
      <x:c r="I368" s="8" t="n">
        <x:v>0</x:v>
      </x:c>
      <x:c r="J368" s="8" t="n">
        <x:v>1158</x:v>
      </x:c>
      <x:c r="K368" s="8" t="n">
        <x:v>2193</x:v>
      </x:c>
      <x:c r="L368" s="1" t="str">
        <x:v>Нет</x:v>
      </x:c>
      <x:c r="M368" s="1" t="n">
        <x:v>1137866</x:v>
      </x:c>
    </x:row>
    <x:row r="369">
      <x:c r="A369" s="1" t="str">
        <x:v>314822400</x:v>
      </x:c>
      <x:c r="B369" s="1" t="str">
        <x:v>2Nlongunt3D-76print/Race-253/темно-серый</x:v>
      </x:c>
      <x:c r="C369" s="1" t="str">
        <x:v>Лонгсливы</x:v>
      </x:c>
      <x:c r="D369" s="9" t="n">
        <x:v>8.4</x:v>
      </x:c>
      <x:c r="E369" s="8" t="n">
        <x:v>77340</x:v>
      </x:c>
      <x:c r="F369" s="8" t="n">
        <x:v>1066</x:v>
      </x:c>
      <x:c r="G369" s="8" t="n">
        <x:v>579403</x:v>
      </x:c>
      <x:c r="H369" s="8" t="n">
        <x:v>273</x:v>
      </x:c>
      <x:c r="I369" s="8" t="n">
        <x:v>0</x:v>
      </x:c>
      <x:c r="J369" s="8" t="n">
        <x:v>306</x:v>
      </x:c>
      <x:c r="K369" s="8" t="n">
        <x:v>1513</x:v>
      </x:c>
      <x:c r="L369" s="1" t="str">
        <x:v>Нет</x:v>
      </x:c>
      <x:c r="M369" s="1" t="n">
        <x:v>140820</x:v>
      </x:c>
    </x:row>
    <x:row r="370">
      <x:c r="A370" s="1" t="str">
        <x:v>294025147</x:v>
      </x:c>
      <x:c r="B370" s="1" t="str">
        <x:v>svitfix3F-77/бордовый</x:v>
      </x:c>
      <x:c r="C370" s="1" t="str">
        <x:v>Свитшоты</x:v>
      </x:c>
      <x:c r="D370" s="9" t="n">
        <x:v>8.7</x:v>
      </x:c>
      <x:c r="E370" s="8" t="n">
        <x:v>29168</x:v>
      </x:c>
      <x:c r="F370" s="8" t="n">
        <x:v>553</x:v>
      </x:c>
      <x:c r="G370" s="8" t="n">
        <x:v>577322</x:v>
      </x:c>
      <x:c r="H370" s="8" t="n">
        <x:v>131</x:v>
      </x:c>
      <x:c r="I370" s="8" t="n">
        <x:v>0</x:v>
      </x:c>
      <x:c r="J370" s="8" t="n">
        <x:v>1207</x:v>
      </x:c>
      <x:c r="K370" s="8" t="n">
        <x:v>2558</x:v>
      </x:c>
      <x:c r="L370" s="1" t="str">
        <x:v>Нет</x:v>
      </x:c>
      <x:c r="M370" s="1" t="n">
        <x:v>1296138</x:v>
      </x:c>
    </x:row>
    <x:row r="371">
      <x:c r="A371" s="1" t="str">
        <x:v>203815730</x:v>
      </x:c>
      <x:c r="B371" s="1" t="str">
        <x:v>futbolkaprint/Los-49/черный</x:v>
      </x:c>
      <x:c r="C371" s="1" t="str">
        <x:v>Футболки</x:v>
      </x:c>
      <x:c r="D371" s="9" t="n">
        <x:v>9.7</x:v>
      </x:c>
      <x:c r="E371" s="8" t="n">
        <x:v>96936</x:v>
      </x:c>
      <x:c r="F371" s="8" t="n">
        <x:v>901</x:v>
      </x:c>
      <x:c r="G371" s="8" t="n">
        <x:v>576007</x:v>
      </x:c>
      <x:c r="H371" s="8" t="n">
        <x:v>214</x:v>
      </x:c>
      <x:c r="I371" s="8" t="n">
        <x:v>0</x:v>
      </x:c>
      <x:c r="J371" s="8" t="n">
        <x:v>1002</x:v>
      </x:c>
      <x:c r="K371" s="8" t="n">
        <x:v>1104</x:v>
      </x:c>
      <x:c r="L371" s="1" t="str">
        <x:v>Нет</x:v>
      </x:c>
      <x:c r="M371" s="1" t="n">
        <x:v>684617</x:v>
      </x:c>
    </x:row>
    <x:row r="372">
      <x:c r="A372" s="1" t="str">
        <x:v>211336680</x:v>
      </x:c>
      <x:c r="B372" s="1" t="str">
        <x:v>tolstovkazipcrop/песочный</x:v>
      </x:c>
      <x:c r="C372" s="1" t="str">
        <x:v>Худи</x:v>
      </x:c>
      <x:c r="D372" s="9" t="n">
        <x:v>9.7</x:v>
      </x:c>
      <x:c r="E372" s="8" t="n">
        <x:v>43740</x:v>
      </x:c>
      <x:c r="F372" s="8" t="n">
        <x:v>721</x:v>
      </x:c>
      <x:c r="G372" s="8" t="n">
        <x:v>575871</x:v>
      </x:c>
      <x:c r="H372" s="8" t="n">
        <x:v>286</x:v>
      </x:c>
      <x:c r="I372" s="8" t="n">
        <x:v>0</x:v>
      </x:c>
      <x:c r="J372" s="8" t="n">
        <x:v>538</x:v>
      </x:c>
      <x:c r="K372" s="8" t="n">
        <x:v>2085</x:v>
      </x:c>
      <x:c r="L372" s="1" t="str">
        <x:v>Нет</x:v>
      </x:c>
      <x:c r="M372" s="1" t="n">
        <x:v>603501</x:v>
      </x:c>
    </x:row>
    <x:row r="373">
      <x:c r="A373" s="1" t="str">
        <x:v>313465264</x:v>
      </x:c>
      <x:c r="B373" s="1" t="str">
        <x:v>longcrop3К-84/белый</x:v>
      </x:c>
      <x:c r="C373" s="1" t="str">
        <x:v>Лонгсливы</x:v>
      </x:c>
      <x:c r="D373" s="9" t="n">
        <x:v>8.7</x:v>
      </x:c>
      <x:c r="E373" s="8" t="n">
        <x:v>47259</x:v>
      </x:c>
      <x:c r="F373" s="8" t="n">
        <x:v>1704</x:v>
      </x:c>
      <x:c r="G373" s="8" t="n">
        <x:v>574932</x:v>
      </x:c>
      <x:c r="H373" s="8" t="n">
        <x:v>4184</x:v>
      </x:c>
      <x:c r="I373" s="8" t="n">
        <x:v>0</x:v>
      </x:c>
      <x:c r="J373" s="8" t="n">
        <x:v>509</x:v>
      </x:c>
      <x:c r="K373" s="8" t="n">
        <x:v>724</x:v>
      </x:c>
      <x:c r="L373" s="1" t="str">
        <x:v>Нет</x:v>
      </x:c>
      <x:c r="M373" s="1" t="n">
        <x:v>162671</x:v>
      </x:c>
    </x:row>
    <x:row r="374">
      <x:c r="A374" s="1" t="str">
        <x:v>216783588</x:v>
      </x:c>
      <x:c r="B374" s="1" t="str">
        <x:v>hudiprint/Roz2MoreSelf-113/розовый</x:v>
      </x:c>
      <x:c r="C374" s="1" t="str">
        <x:v>Худи</x:v>
      </x:c>
      <x:c r="D374" s="9" t="n">
        <x:v>8.7</x:v>
      </x:c>
      <x:c r="E374" s="8" t="n">
        <x:v>27605</x:v>
      </x:c>
      <x:c r="F374" s="8" t="n">
        <x:v>495</x:v>
      </x:c>
      <x:c r="G374" s="8" t="n">
        <x:v>573808</x:v>
      </x:c>
      <x:c r="H374" s="8" t="n">
        <x:v>88</x:v>
      </x:c>
      <x:c r="I374" s="8" t="n">
        <x:v>0</x:v>
      </x:c>
      <x:c r="J374" s="8" t="n">
        <x:v>991</x:v>
      </x:c>
      <x:c r="K374" s="8" t="n">
        <x:v>2934</x:v>
      </x:c>
      <x:c r="L374" s="1" t="str">
        <x:v>Нет</x:v>
      </x:c>
      <x:c r="M374" s="1" t="n">
        <x:v>1231676</x:v>
      </x:c>
    </x:row>
    <x:row r="375">
      <x:c r="A375" s="1" t="str">
        <x:v>237300996</x:v>
      </x:c>
      <x:c r="B375" s="1" t="str">
        <x:v>longoverprint/RozMoreSelf-90/молочный</x:v>
      </x:c>
      <x:c r="C375" s="1" t="str">
        <x:v>Лонгсливы</x:v>
      </x:c>
      <x:c r="D375" s="9" t="n">
        <x:v>6.7</x:v>
      </x:c>
      <x:c r="E375" s="8" t="n">
        <x:v>71987</x:v>
      </x:c>
      <x:c r="F375" s="8" t="n">
        <x:v>985</x:v>
      </x:c>
      <x:c r="G375" s="8" t="n">
        <x:v>573127</x:v>
      </x:c>
      <x:c r="H375" s="8" t="n">
        <x:v>14</x:v>
      </x:c>
      <x:c r="I375" s="8" t="n">
        <x:v>0</x:v>
      </x:c>
      <x:c r="J375" s="8" t="n">
        <x:v>1571</x:v>
      </x:c>
      <x:c r="K375" s="8" t="n">
        <x:v>1189</x:v>
      </x:c>
      <x:c r="L375" s="1" t="str">
        <x:v>Нет</x:v>
      </x:c>
      <x:c r="M375" s="1" t="n">
        <x:v>1020436</x:v>
      </x:c>
    </x:row>
    <x:row r="376">
      <x:c r="A376" s="1" t="str">
        <x:v>243666007</x:v>
      </x:c>
      <x:c r="B376" s="1" t="str">
        <x:v>boxerX3/чер-тсин-ссер</x:v>
      </x:c>
      <x:c r="C376" s="1" t="str">
        <x:v>Трусы</x:v>
      </x:c>
      <x:c r="D376" s="9" t="n">
        <x:v>6.4</x:v>
      </x:c>
      <x:c r="E376" s="8" t="n">
        <x:v>31102</x:v>
      </x:c>
      <x:c r="F376" s="8" t="n">
        <x:v>698</x:v>
      </x:c>
      <x:c r="G376" s="8" t="n">
        <x:v>570255</x:v>
      </x:c>
      <x:c r="H376" s="8" t="n">
        <x:v>1700</x:v>
      </x:c>
      <x:c r="I376" s="8" t="n">
        <x:v>0</x:v>
      </x:c>
      <x:c r="J376" s="8" t="n">
        <x:v>128</x:v>
      </x:c>
      <x:c r="K376" s="8" t="n">
        <x:v>1108</x:v>
      </x:c>
      <x:c r="L376" s="1" t="str">
        <x:v>Нет</x:v>
      </x:c>
      <x:c r="M376" s="1" t="n">
        <x:v>107362</x:v>
      </x:c>
    </x:row>
    <x:row r="377">
      <x:c r="A377" s="1" t="str">
        <x:v>171386791</x:v>
      </x:c>
      <x:c r="B377" s="1" t="str">
        <x:v>bruki/темно-серый</x:v>
      </x:c>
      <x:c r="C377" s="1" t="str">
        <x:v>Брюки</x:v>
      </x:c>
      <x:c r="D377" s="9" t="n">
        <x:v>7.7</x:v>
      </x:c>
      <x:c r="E377" s="8" t="n">
        <x:v>69548</x:v>
      </x:c>
      <x:c r="F377" s="8" t="n">
        <x:v>1321</x:v>
      </x:c>
      <x:c r="G377" s="8" t="n">
        <x:v>566616</x:v>
      </x:c>
      <x:c r="H377" s="8" t="n">
        <x:v>683</x:v>
      </x:c>
      <x:c r="I377" s="8" t="n">
        <x:v>0</x:v>
      </x:c>
      <x:c r="J377" s="8" t="n">
        <x:v>1325</x:v>
      </x:c>
      <x:c r="K377" s="8" t="n">
        <x:v>2111</x:v>
      </x:c>
      <x:c r="L377" s="1" t="str">
        <x:v>Нет</x:v>
      </x:c>
      <x:c r="M377" s="1" t="n">
        <x:v>739720</x:v>
      </x:c>
    </x:row>
    <x:row r="378">
      <x:c r="A378" s="1" t="str">
        <x:v>245583553</x:v>
      </x:c>
      <x:c r="B378" s="1" t="str">
        <x:v>hudiprint/NeedMoney-104/молочный</x:v>
      </x:c>
      <x:c r="C378" s="1" t="str">
        <x:v>Худи</x:v>
      </x:c>
      <x:c r="D378" s="9" t="n">
        <x:v>8.7</x:v>
      </x:c>
      <x:c r="E378" s="8" t="n">
        <x:v>55641</x:v>
      </x:c>
      <x:c r="F378" s="8" t="n">
        <x:v>515</x:v>
      </x:c>
      <x:c r="G378" s="8" t="n">
        <x:v>565893</x:v>
      </x:c>
      <x:c r="H378" s="8" t="n">
        <x:v>53</x:v>
      </x:c>
      <x:c r="I378" s="8" t="n">
        <x:v>0</x:v>
      </x:c>
      <x:c r="J378" s="8" t="n">
        <x:v>314</x:v>
      </x:c>
      <x:c r="K378" s="8" t="n">
        <x:v>2530</x:v>
      </x:c>
      <x:c r="L378" s="1" t="str">
        <x:v>Нет</x:v>
      </x:c>
      <x:c r="M378" s="1" t="n">
        <x:v>368900</x:v>
      </x:c>
    </x:row>
    <x:row r="379">
      <x:c r="A379" s="1" t="str">
        <x:v>294025143</x:v>
      </x:c>
      <x:c r="B379" s="1" t="str">
        <x:v>svitfix3F-77/серый</x:v>
      </x:c>
      <x:c r="C379" s="1" t="str">
        <x:v>Свитшоты</x:v>
      </x:c>
      <x:c r="D379" s="9" t="n">
        <x:v>8.7</x:v>
      </x:c>
      <x:c r="E379" s="8" t="n">
        <x:v>40990</x:v>
      </x:c>
      <x:c r="F379" s="8" t="n">
        <x:v>709</x:v>
      </x:c>
      <x:c r="G379" s="8" t="n">
        <x:v>563615</x:v>
      </x:c>
      <x:c r="H379" s="8" t="n">
        <x:v>244</x:v>
      </x:c>
      <x:c r="I379" s="8" t="n">
        <x:v>0</x:v>
      </x:c>
      <x:c r="J379" s="8" t="n">
        <x:v>596</x:v>
      </x:c>
      <x:c r="K379" s="8" t="n">
        <x:v>2146</x:v>
      </x:c>
      <x:c r="L379" s="1" t="str">
        <x:v>Нет</x:v>
      </x:c>
      <x:c r="M379" s="1" t="n">
        <x:v>492587</x:v>
      </x:c>
    </x:row>
    <x:row r="380">
      <x:c r="A380" s="1" t="str">
        <x:v>311462396</x:v>
      </x:c>
      <x:c r="B380" s="1" t="str">
        <x:v>brukimanpetl/темно-серый</x:v>
      </x:c>
      <x:c r="C380" s="1" t="str">
        <x:v>Брюки</x:v>
      </x:c>
      <x:c r="D380" s="9" t="n">
        <x:v>8.7</x:v>
      </x:c>
      <x:c r="E380" s="8" t="n">
        <x:v>20801</x:v>
      </x:c>
      <x:c r="F380" s="8" t="n">
        <x:v>633</x:v>
      </x:c>
      <x:c r="G380" s="8" t="n">
        <x:v>563214</x:v>
      </x:c>
      <x:c r="H380" s="8" t="n">
        <x:v>4</x:v>
      </x:c>
      <x:c r="I380" s="8" t="n">
        <x:v>0</x:v>
      </x:c>
      <x:c r="J380" s="8" t="n">
        <x:v>950</x:v>
      </x:c>
      <x:c r="K380" s="8" t="n">
        <x:v>2713</x:v>
      </x:c>
      <x:c r="L380" s="1" t="str">
        <x:v>Нет</x:v>
      </x:c>
      <x:c r="M380" s="1" t="n">
        <x:v>890263</x:v>
      </x:c>
    </x:row>
    <x:row r="381">
      <x:c r="A381" s="1" t="str">
        <x:v>203815621</x:v>
      </x:c>
      <x:c r="B381" s="1" t="str">
        <x:v>futbolkaprint/Los-49/молочный</x:v>
      </x:c>
      <x:c r="C381" s="1" t="str">
        <x:v>Футболки</x:v>
      </x:c>
      <x:c r="D381" s="9" t="n">
        <x:v>9.7</x:v>
      </x:c>
      <x:c r="E381" s="8" t="n">
        <x:v>89602</x:v>
      </x:c>
      <x:c r="F381" s="8" t="n">
        <x:v>887</x:v>
      </x:c>
      <x:c r="G381" s="8" t="n">
        <x:v>558974</x:v>
      </x:c>
      <x:c r="H381" s="8" t="n">
        <x:v>271</x:v>
      </x:c>
      <x:c r="I381" s="8" t="n">
        <x:v>0</x:v>
      </x:c>
      <x:c r="J381" s="8" t="n">
        <x:v>1301</x:v>
      </x:c>
      <x:c r="K381" s="8" t="n">
        <x:v>1149</x:v>
      </x:c>
      <x:c r="L381" s="1" t="str">
        <x:v>Нет</x:v>
      </x:c>
      <x:c r="M381" s="1" t="n">
        <x:v>821718</x:v>
      </x:c>
    </x:row>
    <x:row r="382">
      <x:c r="A382" s="1" t="str">
        <x:v>219112167</x:v>
      </x:c>
      <x:c r="B382" s="1" t="str">
        <x:v>futbolkaprint/MEDUSA-17/молочный</x:v>
      </x:c>
      <x:c r="C382" s="1" t="str">
        <x:v>Футболки</x:v>
      </x:c>
      <x:c r="D382" s="9" t="n">
        <x:v>6.7</x:v>
      </x:c>
      <x:c r="E382" s="8" t="n">
        <x:v>68534</x:v>
      </x:c>
      <x:c r="F382" s="8" t="n">
        <x:v>778</x:v>
      </x:c>
      <x:c r="G382" s="8" t="n">
        <x:v>555256</x:v>
      </x:c>
      <x:c r="H382" s="8" t="n">
        <x:v>0</x:v>
      </x:c>
      <x:c r="I382" s="8" t="n">
        <x:v>0</x:v>
      </x:c>
      <x:c r="J382" s="8" t="n">
        <x:v>1513</x:v>
      </x:c>
      <x:c r="K382" s="8" t="n">
        <x:v>1209</x:v>
      </x:c>
      <x:c r="L382" s="1" t="str">
        <x:v>Нет</x:v>
      </x:c>
      <x:c r="M382" s="1" t="n">
        <x:v>1041460</x:v>
      </x:c>
    </x:row>
    <x:row r="383">
      <x:c r="A383" s="1" t="str">
        <x:v>245583554</x:v>
      </x:c>
      <x:c r="B383" s="1" t="str">
        <x:v>hudiprint/ISTANBUL-107/песочный</x:v>
      </x:c>
      <x:c r="C383" s="1" t="str">
        <x:v>Худи</x:v>
      </x:c>
      <x:c r="D383" s="9" t="n">
        <x:v>9.7</x:v>
      </x:c>
      <x:c r="E383" s="8" t="n">
        <x:v>59757</x:v>
      </x:c>
      <x:c r="F383" s="8" t="n">
        <x:v>622</x:v>
      </x:c>
      <x:c r="G383" s="8" t="n">
        <x:v>550709</x:v>
      </x:c>
      <x:c r="H383" s="8" t="n">
        <x:v>894</x:v>
      </x:c>
      <x:c r="I383" s="8" t="n">
        <x:v>0</x:v>
      </x:c>
      <x:c r="J383" s="8" t="n">
        <x:v>452</x:v>
      </x:c>
      <x:c r="K383" s="8" t="n">
        <x:v>2410</x:v>
      </x:c>
      <x:c r="L383" s="1" t="str">
        <x:v>Нет</x:v>
      </x:c>
      <x:c r="M383" s="1" t="n">
        <x:v>370791</x:v>
      </x:c>
    </x:row>
    <x:row r="384">
      <x:c r="A384" s="1" t="str">
        <x:v>220090367</x:v>
      </x:c>
      <x:c r="B384" s="1" t="str">
        <x:v>tolstovkazipman/графит</x:v>
      </x:c>
      <x:c r="C384" s="1" t="str">
        <x:v>Худи</x:v>
      </x:c>
      <x:c r="D384" s="9" t="n">
        <x:v>9</x:v>
      </x:c>
      <x:c r="E384" s="8" t="n">
        <x:v>34552</x:v>
      </x:c>
      <x:c r="F384" s="8" t="n">
        <x:v>442</x:v>
      </x:c>
      <x:c r="G384" s="8" t="n">
        <x:v>550205</x:v>
      </x:c>
      <x:c r="H384" s="8" t="n">
        <x:v>127</x:v>
      </x:c>
      <x:c r="I384" s="8" t="n">
        <x:v>0</x:v>
      </x:c>
      <x:c r="J384" s="8" t="n">
        <x:v>316</x:v>
      </x:c>
      <x:c r="K384" s="8" t="n">
        <x:v>3010</x:v>
      </x:c>
      <x:c r="L384" s="1" t="str">
        <x:v>Нет</x:v>
      </x:c>
      <x:c r="M384" s="1" t="n">
        <x:v>401857</x:v>
      </x:c>
    </x:row>
    <x:row r="385">
      <x:c r="A385" s="1" t="str">
        <x:v>43805832</x:v>
      </x:c>
      <x:c r="B385" s="1" t="str">
        <x:v>hudiman/морская-волна</x:v>
      </x:c>
      <x:c r="C385" s="1" t="str">
        <x:v>Худи</x:v>
      </x:c>
      <x:c r="D385" s="9" t="n">
        <x:v>9.7</x:v>
      </x:c>
      <x:c r="E385" s="8" t="n">
        <x:v>15104</x:v>
      </x:c>
      <x:c r="F385" s="8" t="n">
        <x:v>445</x:v>
      </x:c>
      <x:c r="G385" s="8" t="n">
        <x:v>550087</x:v>
      </x:c>
      <x:c r="H385" s="8" t="n">
        <x:v>143</x:v>
      </x:c>
      <x:c r="I385" s="8" t="n">
        <x:v>0</x:v>
      </x:c>
      <x:c r="J385" s="8" t="n">
        <x:v>577</x:v>
      </x:c>
      <x:c r="K385" s="8" t="n">
        <x:v>2605</x:v>
      </x:c>
      <x:c r="L385" s="1" t="str">
        <x:v>Нет</x:v>
      </x:c>
      <x:c r="M385" s="1" t="n">
        <x:v>692608</x:v>
      </x:c>
    </x:row>
    <x:row r="386">
      <x:c r="A386" s="1" t="str">
        <x:v>237893879</x:v>
      </x:c>
      <x:c r="B386" s="1" t="str">
        <x:v>svitzipcroppetl/светло-розовый</x:v>
      </x:c>
      <x:c r="C386" s="1" t="str">
        <x:v>Свитшоты</x:v>
      </x:c>
      <x:c r="D386" s="9" t="n">
        <x:v>8.7</x:v>
      </x:c>
      <x:c r="E386" s="8" t="n">
        <x:v>65794</x:v>
      </x:c>
      <x:c r="F386" s="8" t="n">
        <x:v>638</x:v>
      </x:c>
      <x:c r="G386" s="8" t="n">
        <x:v>549439</x:v>
      </x:c>
      <x:c r="H386" s="8" t="n">
        <x:v>142</x:v>
      </x:c>
      <x:c r="I386" s="8" t="n">
        <x:v>0</x:v>
      </x:c>
      <x:c r="J386" s="8" t="n">
        <x:v>209</x:v>
      </x:c>
      <x:c r="K386" s="8" t="n">
        <x:v>2394</x:v>
      </x:c>
      <x:c r="L386" s="1" t="str">
        <x:v>Нет</x:v>
      </x:c>
      <x:c r="M386" s="1" t="n">
        <x:v>202540</x:v>
      </x:c>
    </x:row>
    <x:row r="387">
      <x:c r="A387" s="1" t="str">
        <x:v>224386275</x:v>
      </x:c>
      <x:c r="B387" s="1" t="str">
        <x:v>kulirkamanprint/TakeCare-134/молочный</x:v>
      </x:c>
      <x:c r="C387" s="1" t="str">
        <x:v>Футболки</x:v>
      </x:c>
      <x:c r="D387" s="9" t="n">
        <x:v>8.7</x:v>
      </x:c>
      <x:c r="E387" s="8" t="n">
        <x:v>50430</x:v>
      </x:c>
      <x:c r="F387" s="8" t="n">
        <x:v>1011</x:v>
      </x:c>
      <x:c r="G387" s="8" t="n">
        <x:v>549306</x:v>
      </x:c>
      <x:c r="H387" s="8" t="n">
        <x:v>246</x:v>
      </x:c>
      <x:c r="I387" s="8" t="n">
        <x:v>0</x:v>
      </x:c>
      <x:c r="J387" s="8" t="n">
        <x:v>92</x:v>
      </x:c>
      <x:c r="K387" s="8" t="n">
        <x:v>986</x:v>
      </x:c>
      <x:c r="L387" s="1" t="str">
        <x:v>Нет</x:v>
      </x:c>
      <x:c r="M387" s="1" t="n">
        <x:v>53901</x:v>
      </x:c>
    </x:row>
    <x:row r="388">
      <x:c r="A388" s="1" t="str">
        <x:v>234030795</x:v>
      </x:c>
      <x:c r="B388" s="1" t="str">
        <x:v>svitshotzipman2/молочный</x:v>
      </x:c>
      <x:c r="C388" s="1" t="str">
        <x:v>Свитшоты</x:v>
      </x:c>
      <x:c r="D388" s="9" t="n">
        <x:v>9.7</x:v>
      </x:c>
      <x:c r="E388" s="8" t="n">
        <x:v>24051</x:v>
      </x:c>
      <x:c r="F388" s="8" t="n">
        <x:v>434</x:v>
      </x:c>
      <x:c r="G388" s="8" t="n">
        <x:v>549291</x:v>
      </x:c>
      <x:c r="H388" s="8" t="n">
        <x:v>90</x:v>
      </x:c>
      <x:c r="I388" s="8" t="n">
        <x:v>0</x:v>
      </x:c>
      <x:c r="J388" s="8" t="n">
        <x:v>952</x:v>
      </x:c>
      <x:c r="K388" s="8" t="n">
        <x:v>2728</x:v>
      </x:c>
      <x:c r="L388" s="1" t="str">
        <x:v>Нет</x:v>
      </x:c>
      <x:c r="M388" s="1" t="n">
        <x:v>1090797</x:v>
      </x:c>
    </x:row>
    <x:row r="389">
      <x:c r="A389" s="1" t="str">
        <x:v>215422736</x:v>
      </x:c>
      <x:c r="B389" s="1" t="str">
        <x:v>futbolkaprint/HAPPY-105/фуксия</x:v>
      </x:c>
      <x:c r="C389" s="1" t="str">
        <x:v>Футболки</x:v>
      </x:c>
      <x:c r="D389" s="9" t="n">
        <x:v>6.7</x:v>
      </x:c>
      <x:c r="E389" s="8" t="n">
        <x:v>76847</x:v>
      </x:c>
      <x:c r="F389" s="8" t="n">
        <x:v>970</x:v>
      </x:c>
      <x:c r="G389" s="8" t="n">
        <x:v>548975</x:v>
      </x:c>
      <x:c r="H389" s="8" t="n">
        <x:v>8</x:v>
      </x:c>
      <x:c r="I389" s="8" t="n">
        <x:v>0</x:v>
      </x:c>
      <x:c r="J389" s="8" t="n">
        <x:v>573</x:v>
      </x:c>
      <x:c r="K389" s="8" t="n">
        <x:v>1087</x:v>
      </x:c>
      <x:c r="L389" s="1" t="str">
        <x:v>Нет</x:v>
      </x:c>
      <x:c r="M389" s="1" t="n">
        <x:v>360352</x:v>
      </x:c>
    </x:row>
    <x:row r="390">
      <x:c r="A390" s="1" t="str">
        <x:v>234030781</x:v>
      </x:c>
      <x:c r="B390" s="1" t="str">
        <x:v>svitshotzipman2/темно-синий</x:v>
      </x:c>
      <x:c r="C390" s="1" t="str">
        <x:v>Свитшоты</x:v>
      </x:c>
      <x:c r="D390" s="9" t="n">
        <x:v>9.7</x:v>
      </x:c>
      <x:c r="E390" s="8" t="n">
        <x:v>25764</x:v>
      </x:c>
      <x:c r="F390" s="8" t="n">
        <x:v>624</x:v>
      </x:c>
      <x:c r="G390" s="8" t="n">
        <x:v>546759</x:v>
      </x:c>
      <x:c r="H390" s="8" t="n">
        <x:v>21</x:v>
      </x:c>
      <x:c r="I390" s="8" t="n">
        <x:v>0</x:v>
      </x:c>
      <x:c r="J390" s="8" t="n">
        <x:v>579</x:v>
      </x:c>
      <x:c r="K390" s="8" t="n">
        <x:v>2482</x:v>
      </x:c>
      <x:c r="L390" s="1" t="str">
        <x:v>Нет</x:v>
      </x:c>
      <x:c r="M390" s="1" t="n">
        <x:v>598606</x:v>
      </x:c>
    </x:row>
    <x:row r="391">
      <x:c r="A391" s="1" t="str">
        <x:v>341353809</x:v>
      </x:c>
      <x:c r="B391" s="1" t="str">
        <x:v>futbolkaprint/FYoung-238/молочный</x:v>
      </x:c>
      <x:c r="C391" s="1" t="str">
        <x:v>Футболки</x:v>
      </x:c>
      <x:c r="D391" s="9" t="n">
        <x:v>9.7</x:v>
      </x:c>
      <x:c r="E391" s="8" t="n">
        <x:v>73915</x:v>
      </x:c>
      <x:c r="F391" s="8" t="n">
        <x:v>799</x:v>
      </x:c>
      <x:c r="G391" s="8" t="n">
        <x:v>546303</x:v>
      </x:c>
      <x:c r="H391" s="8" t="n">
        <x:v>194</x:v>
      </x:c>
      <x:c r="I391" s="8" t="n">
        <x:v>0</x:v>
      </x:c>
      <x:c r="J391" s="8" t="n">
        <x:v>0</x:v>
      </x:c>
      <x:c r="K391" s="8" t="n">
        <x:v>1268</x:v>
      </x:c>
      <x:c r="L391" s="1" t="str">
        <x:v>Нет</x:v>
      </x:c>
      <x:c r="M391" s="1" t="n">
        <x:v>0</x:v>
      </x:c>
    </x:row>
    <x:row r="392">
      <x:c r="A392" s="1" t="str">
        <x:v>52478009</x:v>
      </x:c>
      <x:c r="B392" s="1" t="str">
        <x:v>hudi/изумрудно-зеленый</x:v>
      </x:c>
      <x:c r="C392" s="1" t="str">
        <x:v>Худи</x:v>
      </x:c>
      <x:c r="D392" s="9" t="n">
        <x:v>9.7</x:v>
      </x:c>
      <x:c r="E392" s="8" t="n">
        <x:v>40697</x:v>
      </x:c>
      <x:c r="F392" s="8" t="n">
        <x:v>393</x:v>
      </x:c>
      <x:c r="G392" s="8" t="n">
        <x:v>546043</x:v>
      </x:c>
      <x:c r="H392" s="8" t="n">
        <x:v>4</x:v>
      </x:c>
      <x:c r="I392" s="8" t="n">
        <x:v>0</x:v>
      </x:c>
      <x:c r="J392" s="8" t="n">
        <x:v>374</x:v>
      </x:c>
      <x:c r="K392" s="8" t="n">
        <x:v>2767</x:v>
      </x:c>
      <x:c r="L392" s="1" t="str">
        <x:v>Нет</x:v>
      </x:c>
      <x:c r="M392" s="1" t="n">
        <x:v>502920</x:v>
      </x:c>
    </x:row>
    <x:row r="393">
      <x:c r="A393" s="1" t="str">
        <x:v>202779180</x:v>
      </x:c>
      <x:c r="B393" s="1" t="str">
        <x:v>hudiprint/Goodthinks-57/светло-зеленый</x:v>
      </x:c>
      <x:c r="C393" s="1" t="str">
        <x:v>Худи</x:v>
      </x:c>
      <x:c r="D393" s="9" t="n">
        <x:v>8.7</x:v>
      </x:c>
      <x:c r="E393" s="8" t="n">
        <x:v>42577</x:v>
      </x:c>
      <x:c r="F393" s="8" t="n">
        <x:v>506</x:v>
      </x:c>
      <x:c r="G393" s="8" t="n">
        <x:v>545097</x:v>
      </x:c>
      <x:c r="H393" s="8" t="n">
        <x:v>33</x:v>
      </x:c>
      <x:c r="I393" s="8" t="n">
        <x:v>0</x:v>
      </x:c>
      <x:c r="J393" s="8" t="n">
        <x:v>546</x:v>
      </x:c>
      <x:c r="K393" s="8" t="n">
        <x:v>2488</x:v>
      </x:c>
      <x:c r="L393" s="1" t="str">
        <x:v>Нет</x:v>
      </x:c>
      <x:c r="M393" s="1" t="n">
        <x:v>627951</x:v>
      </x:c>
    </x:row>
    <x:row r="394">
      <x:c r="A394" s="1" t="str">
        <x:v>294015407</x:v>
      </x:c>
      <x:c r="B394" s="1" t="str">
        <x:v>svitfix3F-77/молочный</x:v>
      </x:c>
      <x:c r="C394" s="1" t="str">
        <x:v>Свитшоты</x:v>
      </x:c>
      <x:c r="D394" s="9" t="n">
        <x:v>8.7</x:v>
      </x:c>
      <x:c r="E394" s="8" t="n">
        <x:v>24507</x:v>
      </x:c>
      <x:c r="F394" s="8" t="n">
        <x:v>618</x:v>
      </x:c>
      <x:c r="G394" s="8" t="n">
        <x:v>542137</x:v>
      </x:c>
      <x:c r="H394" s="8" t="n">
        <x:v>297</x:v>
      </x:c>
      <x:c r="I394" s="8" t="n">
        <x:v>0</x:v>
      </x:c>
      <x:c r="J394" s="8" t="n">
        <x:v>854</x:v>
      </x:c>
      <x:c r="K394" s="8" t="n">
        <x:v>2382</x:v>
      </x:c>
      <x:c r="L394" s="1" t="str">
        <x:v>Нет</x:v>
      </x:c>
      <x:c r="M394" s="1" t="n">
        <x:v>780335</x:v>
      </x:c>
    </x:row>
    <x:row r="395">
      <x:c r="A395" s="1" t="str">
        <x:v>175116952</x:v>
      </x:c>
      <x:c r="B395" s="1" t="str">
        <x:v>reglanman/черный</x:v>
      </x:c>
      <x:c r="C395" s="1" t="str">
        <x:v>Лонгсливы</x:v>
      </x:c>
      <x:c r="D395" s="9" t="n">
        <x:v>7.2</x:v>
      </x:c>
      <x:c r="E395" s="8" t="n">
        <x:v>25383</x:v>
      </x:c>
      <x:c r="F395" s="8" t="n">
        <x:v>1161</x:v>
      </x:c>
      <x:c r="G395" s="8" t="n">
        <x:v>541465</x:v>
      </x:c>
      <x:c r="H395" s="8" t="n">
        <x:v>224</x:v>
      </x:c>
      <x:c r="I395" s="8" t="n">
        <x:v>0</x:v>
      </x:c>
      <x:c r="J395" s="8" t="n">
        <x:v>995</x:v>
      </x:c>
      <x:c r="K395" s="8" t="n">
        <x:v>1122</x:v>
      </x:c>
      <x:c r="L395" s="1" t="str">
        <x:v>Нет</x:v>
      </x:c>
      <x:c r="M395" s="1" t="n">
        <x:v>584454</x:v>
      </x:c>
    </x:row>
    <x:row r="396">
      <x:c r="A396" s="1" t="str">
        <x:v>216143241</x:v>
      </x:c>
      <x:c r="B396" s="1" t="str">
        <x:v>hudivish/MoveClub-93/молочный</x:v>
      </x:c>
      <x:c r="C396" s="1" t="str">
        <x:v>Худи</x:v>
      </x:c>
      <x:c r="D396" s="9" t="n">
        <x:v>7.7</x:v>
      </x:c>
      <x:c r="E396" s="8" t="n">
        <x:v>46719</x:v>
      </x:c>
      <x:c r="F396" s="8" t="n">
        <x:v>546</x:v>
      </x:c>
      <x:c r="G396" s="8" t="n">
        <x:v>539558</x:v>
      </x:c>
      <x:c r="H396" s="8" t="n">
        <x:v>78</x:v>
      </x:c>
      <x:c r="I396" s="8" t="n">
        <x:v>0</x:v>
      </x:c>
      <x:c r="J396" s="8" t="n">
        <x:v>582</x:v>
      </x:c>
      <x:c r="K396" s="8" t="n">
        <x:v>2952</x:v>
      </x:c>
      <x:c r="L396" s="1" t="str">
        <x:v>Нет</x:v>
      </x:c>
      <x:c r="M396" s="1" t="n">
        <x:v>687573</x:v>
      </x:c>
    </x:row>
    <x:row r="397">
      <x:c r="A397" s="1" t="str">
        <x:v>256323193</x:v>
      </x:c>
      <x:c r="B397" s="1" t="str">
        <x:v>futhlopmanover/коричневый</x:v>
      </x:c>
      <x:c r="C397" s="1" t="str">
        <x:v>Футболки</x:v>
      </x:c>
      <x:c r="D397" s="9" t="n">
        <x:v>8.7</x:v>
      </x:c>
      <x:c r="E397" s="8" t="n">
        <x:v>32254</x:v>
      </x:c>
      <x:c r="F397" s="8" t="n">
        <x:v>1093</x:v>
      </x:c>
      <x:c r="G397" s="8" t="n">
        <x:v>539049</x:v>
      </x:c>
      <x:c r="H397" s="8" t="n">
        <x:v>447</x:v>
      </x:c>
      <x:c r="I397" s="8" t="n">
        <x:v>0</x:v>
      </x:c>
      <x:c r="J397" s="8" t="n">
        <x:v>525</x:v>
      </x:c>
      <x:c r="K397" s="8" t="n">
        <x:v>862</x:v>
      </x:c>
      <x:c r="L397" s="1" t="str">
        <x:v>Нет</x:v>
      </x:c>
      <x:c r="M397" s="1" t="n">
        <x:v>280565</x:v>
      </x:c>
    </x:row>
    <x:row r="398">
      <x:c r="A398" s="1" t="str">
        <x:v>211336691</x:v>
      </x:c>
      <x:c r="B398" s="1" t="str">
        <x:v>tolstovkazipcrop/розовый</x:v>
      </x:c>
      <x:c r="C398" s="1" t="str">
        <x:v>Худи</x:v>
      </x:c>
      <x:c r="D398" s="9" t="n">
        <x:v>9.7</x:v>
      </x:c>
      <x:c r="E398" s="8" t="n">
        <x:v>35284</x:v>
      </x:c>
      <x:c r="F398" s="8" t="n">
        <x:v>593</x:v>
      </x:c>
      <x:c r="G398" s="8" t="n">
        <x:v>538032</x:v>
      </x:c>
      <x:c r="H398" s="8" t="n">
        <x:v>18</x:v>
      </x:c>
      <x:c r="I398" s="8" t="n">
        <x:v>0</x:v>
      </x:c>
      <x:c r="J398" s="8" t="n">
        <x:v>466</x:v>
      </x:c>
      <x:c r="K398" s="8" t="n">
        <x:v>2247</x:v>
      </x:c>
      <x:c r="L398" s="1" t="str">
        <x:v>Нет</x:v>
      </x:c>
      <x:c r="M398" s="1" t="n">
        <x:v>478400</x:v>
      </x:c>
    </x:row>
    <x:row r="399">
      <x:c r="A399" s="1" t="str">
        <x:v>234030783</x:v>
      </x:c>
      <x:c r="B399" s="1" t="str">
        <x:v>svitshotzipman2/графит</x:v>
      </x:c>
      <x:c r="C399" s="1" t="str">
        <x:v>Свитшоты</x:v>
      </x:c>
      <x:c r="D399" s="9" t="n">
        <x:v>9.7</x:v>
      </x:c>
      <x:c r="E399" s="8" t="n">
        <x:v>47497</x:v>
      </x:c>
      <x:c r="F399" s="8" t="n">
        <x:v>665</x:v>
      </x:c>
      <x:c r="G399" s="8" t="n">
        <x:v>537832</x:v>
      </x:c>
      <x:c r="H399" s="8" t="n">
        <x:v>26</x:v>
      </x:c>
      <x:c r="I399" s="8" t="n">
        <x:v>0</x:v>
      </x:c>
      <x:c r="J399" s="8" t="n">
        <x:v>341</x:v>
      </x:c>
      <x:c r="K399" s="8" t="n">
        <x:v>2264</x:v>
      </x:c>
      <x:c r="L399" s="1" t="str">
        <x:v>Нет</x:v>
      </x:c>
      <x:c r="M399" s="1" t="n">
        <x:v>345061</x:v>
      </x:c>
    </x:row>
    <x:row r="400">
      <x:c r="A400" s="1" t="str">
        <x:v>320424586</x:v>
      </x:c>
      <x:c r="B400" s="1" t="str">
        <x:v>brukizshp3P-S-1/бордовый</x:v>
      </x:c>
      <x:c r="C400" s="1" t="str">
        <x:v>Брюки</x:v>
      </x:c>
      <x:c r="D400" s="9" t="n">
        <x:v>8.4</x:v>
      </x:c>
      <x:c r="E400" s="8" t="n">
        <x:v>39956</x:v>
      </x:c>
      <x:c r="F400" s="8" t="n">
        <x:v>650</x:v>
      </x:c>
      <x:c r="G400" s="8" t="n">
        <x:v>536536</x:v>
      </x:c>
      <x:c r="H400" s="8" t="n">
        <x:v>89</x:v>
      </x:c>
      <x:c r="I400" s="8" t="n">
        <x:v>0</x:v>
      </x:c>
      <x:c r="J400" s="8" t="n">
        <x:v>163</x:v>
      </x:c>
      <x:c r="K400" s="8" t="n">
        <x:v>2939</x:v>
      </x:c>
      <x:c r="L400" s="1" t="str">
        <x:v>Нет</x:v>
      </x:c>
      <x:c r="M400" s="1" t="n">
        <x:v>134400</x:v>
      </x:c>
    </x:row>
    <x:row r="401">
      <x:c r="A401" s="1" t="str">
        <x:v>221503657</x:v>
      </x:c>
      <x:c r="B401" s="1" t="str">
        <x:v>baza/красный</x:v>
      </x:c>
      <x:c r="C401" s="1" t="str">
        <x:v>Футболки</x:v>
      </x:c>
      <x:c r="D401" s="9" t="n">
        <x:v>8.2</x:v>
      </x:c>
      <x:c r="E401" s="8" t="n">
        <x:v>45791</x:v>
      </x:c>
      <x:c r="F401" s="8" t="n">
        <x:v>1177</x:v>
      </x:c>
      <x:c r="G401" s="8" t="n">
        <x:v>535790</x:v>
      </x:c>
      <x:c r="H401" s="8" t="n">
        <x:v>254</x:v>
      </x:c>
      <x:c r="I401" s="8" t="n">
        <x:v>0</x:v>
      </x:c>
      <x:c r="J401" s="8" t="n">
        <x:v>1615</x:v>
      </x:c>
      <x:c r="K401" s="8" t="n">
        <x:v>820</x:v>
      </x:c>
      <x:c r="L401" s="1" t="str">
        <x:v>Нет</x:v>
      </x:c>
      <x:c r="M401" s="1" t="n">
        <x:v>825900</x:v>
      </x:c>
    </x:row>
    <x:row r="402">
      <x:c r="A402" s="1" t="str">
        <x:v>249222972</x:v>
      </x:c>
      <x:c r="B402" s="1" t="str">
        <x:v>svitshotpolopetl3P-60/молочный</x:v>
      </x:c>
      <x:c r="C402" s="1" t="str">
        <x:v>Свитшоты</x:v>
      </x:c>
      <x:c r="D402" s="9" t="n">
        <x:v>8.7</x:v>
      </x:c>
      <x:c r="E402" s="8" t="n">
        <x:v>62163</x:v>
      </x:c>
      <x:c r="F402" s="8" t="n">
        <x:v>652</x:v>
      </x:c>
      <x:c r="G402" s="8" t="n">
        <x:v>534172</x:v>
      </x:c>
      <x:c r="H402" s="8" t="n">
        <x:v>78</x:v>
      </x:c>
      <x:c r="I402" s="8" t="n">
        <x:v>0</x:v>
      </x:c>
      <x:c r="J402" s="8" t="n">
        <x:v>707</x:v>
      </x:c>
      <x:c r="K402" s="8" t="n">
        <x:v>2806</x:v>
      </x:c>
      <x:c r="L402" s="1" t="str">
        <x:v>Нет</x:v>
      </x:c>
      <x:c r="M402" s="1" t="n">
        <x:v>624176</x:v>
      </x:c>
    </x:row>
    <x:row r="403">
      <x:c r="A403" s="1" t="str">
        <x:v>260797913</x:v>
      </x:c>
      <x:c r="B403" s="1" t="str">
        <x:v>hudicrop1/темно-серый</x:v>
      </x:c>
      <x:c r="C403" s="1" t="str">
        <x:v>Худи</x:v>
      </x:c>
      <x:c r="D403" s="9" t="n">
        <x:v>8.7</x:v>
      </x:c>
      <x:c r="E403" s="8" t="n">
        <x:v>46710</x:v>
      </x:c>
      <x:c r="F403" s="8" t="n">
        <x:v>516</x:v>
      </x:c>
      <x:c r="G403" s="8" t="n">
        <x:v>532299</x:v>
      </x:c>
      <x:c r="H403" s="8" t="n">
        <x:v>212</x:v>
      </x:c>
      <x:c r="I403" s="8" t="n">
        <x:v>0</x:v>
      </x:c>
      <x:c r="J403" s="8" t="n">
        <x:v>1783</x:v>
      </x:c>
      <x:c r="K403" s="8" t="n">
        <x:v>3053</x:v>
      </x:c>
      <x:c r="L403" s="1" t="str">
        <x:v>Нет</x:v>
      </x:c>
      <x:c r="M403" s="1" t="n">
        <x:v>2026074</x:v>
      </x:c>
    </x:row>
    <x:row r="404">
      <x:c r="A404" s="1" t="str">
        <x:v>218974175</x:v>
      </x:c>
      <x:c r="B404" s="1" t="str">
        <x:v>topmayka/белый</x:v>
      </x:c>
      <x:c r="C404" s="1" t="str">
        <x:v>Топы</x:v>
      </x:c>
      <x:c r="D404" s="9" t="n">
        <x:v>9</x:v>
      </x:c>
      <x:c r="E404" s="8" t="n">
        <x:v>63546</x:v>
      </x:c>
      <x:c r="F404" s="8" t="n">
        <x:v>2376</x:v>
      </x:c>
      <x:c r="G404" s="8" t="n">
        <x:v>530285</x:v>
      </x:c>
      <x:c r="H404" s="8" t="n">
        <x:v>660</x:v>
      </x:c>
      <x:c r="I404" s="8" t="n">
        <x:v>0</x:v>
      </x:c>
      <x:c r="J404" s="8" t="n">
        <x:v>48</x:v>
      </x:c>
      <x:c r="K404" s="8" t="n">
        <x:v>551</x:v>
      </x:c>
      <x:c r="L404" s="1" t="str">
        <x:v>Нет</x:v>
      </x:c>
      <x:c r="M404" s="1" t="n">
        <x:v>13720</x:v>
      </x:c>
    </x:row>
    <x:row r="405">
      <x:c r="A405" s="1" t="str">
        <x:v>228407608</x:v>
      </x:c>
      <x:c r="B405" s="1" t="str">
        <x:v>futbolkaprint/Smile-143/серыймеланж</x:v>
      </x:c>
      <x:c r="C405" s="1" t="str">
        <x:v>Футболки</x:v>
      </x:c>
      <x:c r="D405" s="9" t="n">
        <x:v>8.7</x:v>
      </x:c>
      <x:c r="E405" s="8" t="n">
        <x:v>87426</x:v>
      </x:c>
      <x:c r="F405" s="8" t="n">
        <x:v>952</x:v>
      </x:c>
      <x:c r="G405" s="8" t="n">
        <x:v>526004</x:v>
      </x:c>
      <x:c r="H405" s="8" t="n">
        <x:v>1</x:v>
      </x:c>
      <x:c r="I405" s="8" t="n">
        <x:v>0</x:v>
      </x:c>
      <x:c r="J405" s="8" t="n">
        <x:v>790</x:v>
      </x:c>
      <x:c r="K405" s="8" t="n">
        <x:v>1044</x:v>
      </x:c>
      <x:c r="L405" s="1" t="str">
        <x:v>Нет</x:v>
      </x:c>
      <x:c r="M405" s="1" t="n">
        <x:v>424549</x:v>
      </x:c>
    </x:row>
    <x:row r="406">
      <x:c r="A406" s="1" t="str">
        <x:v>222802034</x:v>
      </x:c>
      <x:c r="B406" s="1" t="str">
        <x:v>hudipetl/молочный</x:v>
      </x:c>
      <x:c r="C406" s="1" t="str">
        <x:v>Худи</x:v>
      </x:c>
      <x:c r="D406" s="9" t="n">
        <x:v>8.7</x:v>
      </x:c>
      <x:c r="E406" s="8" t="n">
        <x:v>30076</x:v>
      </x:c>
      <x:c r="F406" s="8" t="n">
        <x:v>514</x:v>
      </x:c>
      <x:c r="G406" s="8" t="n">
        <x:v>525170</x:v>
      </x:c>
      <x:c r="H406" s="8" t="n">
        <x:v>30</x:v>
      </x:c>
      <x:c r="I406" s="8" t="n">
        <x:v>0</x:v>
      </x:c>
      <x:c r="J406" s="8" t="n">
        <x:v>1034</x:v>
      </x:c>
      <x:c r="K406" s="8" t="n">
        <x:v>2889</x:v>
      </x:c>
      <x:c r="L406" s="1" t="str">
        <x:v>Нет</x:v>
      </x:c>
      <x:c r="M406" s="1" t="n">
        <x:v>904126</x:v>
      </x:c>
    </x:row>
    <x:row r="407">
      <x:c r="A407" s="1" t="str">
        <x:v>335591098</x:v>
      </x:c>
      <x:c r="B407" s="1" t="str">
        <x:v>top/белый</x:v>
      </x:c>
      <x:c r="C407" s="1" t="str">
        <x:v>Топы</x:v>
      </x:c>
      <x:c r="D407" s="9" t="n">
        <x:v>8.7</x:v>
      </x:c>
      <x:c r="E407" s="8" t="n">
        <x:v>66736</x:v>
      </x:c>
      <x:c r="F407" s="8" t="n">
        <x:v>1983</x:v>
      </x:c>
      <x:c r="G407" s="8" t="n">
        <x:v>524107</x:v>
      </x:c>
      <x:c r="H407" s="8" t="n">
        <x:v>78</x:v>
      </x:c>
      <x:c r="I407" s="8" t="n">
        <x:v>0</x:v>
      </x:c>
      <x:c r="J407" s="8" t="n">
        <x:v>20</x:v>
      </x:c>
      <x:c r="K407" s="8" t="n">
        <x:v>638</x:v>
      </x:c>
      <x:c r="L407" s="1" t="str">
        <x:v>Нет</x:v>
      </x:c>
      <x:c r="M407" s="1" t="n">
        <x:v>3500</x:v>
      </x:c>
    </x:row>
    <x:row r="408">
      <x:c r="A408" s="1" t="str">
        <x:v>256612329</x:v>
      </x:c>
      <x:c r="B408" s="1" t="str">
        <x:v>palazzoshnurok/темно-серый</x:v>
      </x:c>
      <x:c r="C408" s="1" t="str">
        <x:v>Брюки</x:v>
      </x:c>
      <x:c r="D408" s="9" t="n">
        <x:v>6.7</x:v>
      </x:c>
      <x:c r="E408" s="8" t="n">
        <x:v>37173</x:v>
      </x:c>
      <x:c r="F408" s="8" t="n">
        <x:v>950</x:v>
      </x:c>
      <x:c r="G408" s="8" t="n">
        <x:v>523538</x:v>
      </x:c>
      <x:c r="H408" s="8" t="n">
        <x:v>154</x:v>
      </x:c>
      <x:c r="I408" s="8" t="n">
        <x:v>0</x:v>
      </x:c>
      <x:c r="J408" s="8" t="n">
        <x:v>11</x:v>
      </x:c>
      <x:c r="K408" s="8" t="n">
        <x:v>2460</x:v>
      </x:c>
      <x:c r="L408" s="1" t="str">
        <x:v>Нет</x:v>
      </x:c>
      <x:c r="M408" s="1" t="n">
        <x:v>6900</x:v>
      </x:c>
    </x:row>
    <x:row r="409">
      <x:c r="A409" s="1" t="str">
        <x:v>289102046</x:v>
      </x:c>
      <x:c r="B409" s="1" t="str">
        <x:v>tolstovkazip3P-70/светло-розовый</x:v>
      </x:c>
      <x:c r="C409" s="1" t="str">
        <x:v>Худи</x:v>
      </x:c>
      <x:c r="D409" s="9" t="n">
        <x:v>9.7</x:v>
      </x:c>
      <x:c r="E409" s="8" t="n">
        <x:v>52340</x:v>
      </x:c>
      <x:c r="F409" s="8" t="n">
        <x:v>723</x:v>
      </x:c>
      <x:c r="G409" s="8" t="n">
        <x:v>520658</x:v>
      </x:c>
      <x:c r="H409" s="8" t="n">
        <x:v>3</x:v>
      </x:c>
      <x:c r="I409" s="8" t="n">
        <x:v>0</x:v>
      </x:c>
      <x:c r="J409" s="8" t="n">
        <x:v>76</x:v>
      </x:c>
      <x:c r="K409" s="8" t="n">
        <x:v>2542</x:v>
      </x:c>
      <x:c r="L409" s="1" t="str">
        <x:v>Нет</x:v>
      </x:c>
      <x:c r="M409" s="1" t="n">
        <x:v>72501</x:v>
      </x:c>
    </x:row>
    <x:row r="410">
      <x:c r="A410" s="1" t="str">
        <x:v>344423336</x:v>
      </x:c>
      <x:c r="B410" s="1" t="str">
        <x:v>2Ntshirt/молочный</x:v>
      </x:c>
      <x:c r="C410" s="1" t="str">
        <x:v>Футболки</x:v>
      </x:c>
      <x:c r="D410" s="9" t="n">
        <x:v>8.2</x:v>
      </x:c>
      <x:c r="E410" s="8" t="n">
        <x:v>140008</x:v>
      </x:c>
      <x:c r="F410" s="8" t="n">
        <x:v>1424</x:v>
      </x:c>
      <x:c r="G410" s="8" t="n">
        <x:v>519588</x:v>
      </x:c>
      <x:c r="H410" s="8" t="n">
        <x:v>10</x:v>
      </x:c>
      <x:c r="I410" s="8" t="n">
        <x:v>0</x:v>
      </x:c>
      <x:c r="J410" s="8" t="n">
        <x:v>0</x:v>
      </x:c>
      <x:c r="K410" s="8" t="n">
        <x:v>1219</x:v>
      </x:c>
      <x:c r="L410" s="1" t="str">
        <x:v>Нет</x:v>
      </x:c>
      <x:c r="M410" s="1" t="n">
        <x:v>0</x:v>
      </x:c>
    </x:row>
    <x:row r="411">
      <x:c r="A411" s="1" t="str">
        <x:v>260797892</x:v>
      </x:c>
      <x:c r="B411" s="1" t="str">
        <x:v>hudicrop1/графит</x:v>
      </x:c>
      <x:c r="C411" s="1" t="str">
        <x:v>Худи</x:v>
      </x:c>
      <x:c r="D411" s="9" t="n">
        <x:v>8.7</x:v>
      </x:c>
      <x:c r="E411" s="8" t="n">
        <x:v>33285</x:v>
      </x:c>
      <x:c r="F411" s="8" t="n">
        <x:v>527</x:v>
      </x:c>
      <x:c r="G411" s="8" t="n">
        <x:v>515844</x:v>
      </x:c>
      <x:c r="H411" s="8" t="n">
        <x:v>209</x:v>
      </x:c>
      <x:c r="I411" s="8" t="n">
        <x:v>0</x:v>
      </x:c>
      <x:c r="J411" s="8" t="n">
        <x:v>801</x:v>
      </x:c>
      <x:c r="K411" s="8" t="n">
        <x:v>2380</x:v>
      </x:c>
      <x:c r="L411" s="1" t="str">
        <x:v>Нет</x:v>
      </x:c>
      <x:c r="M411" s="1" t="n">
        <x:v>822336</x:v>
      </x:c>
    </x:row>
    <x:row r="412">
      <x:c r="A412" s="1" t="str">
        <x:v>176176581</x:v>
      </x:c>
      <x:c r="B412" s="1" t="str">
        <x:v>hudiman/хаки</x:v>
      </x:c>
      <x:c r="C412" s="1" t="str">
        <x:v>Худи</x:v>
      </x:c>
      <x:c r="D412" s="9" t="n">
        <x:v>9.7</x:v>
      </x:c>
      <x:c r="E412" s="8" t="n">
        <x:v>16368</x:v>
      </x:c>
      <x:c r="F412" s="8" t="n">
        <x:v>519</x:v>
      </x:c>
      <x:c r="G412" s="8" t="n">
        <x:v>515095</x:v>
      </x:c>
      <x:c r="H412" s="8" t="n">
        <x:v>419</x:v>
      </x:c>
      <x:c r="I412" s="8" t="n">
        <x:v>0</x:v>
      </x:c>
      <x:c r="J412" s="8" t="n">
        <x:v>646</x:v>
      </x:c>
      <x:c r="K412" s="8" t="n">
        <x:v>2407</x:v>
      </x:c>
      <x:c r="L412" s="1" t="str">
        <x:v>Нет</x:v>
      </x:c>
      <x:c r="M412" s="1" t="n">
        <x:v>640976</x:v>
      </x:c>
    </x:row>
    <x:row r="413">
      <x:c r="A413" s="1" t="str">
        <x:v>333323574</x:v>
      </x:c>
      <x:c r="B413" s="1" t="str">
        <x:v>hudicroppetl/дымка</x:v>
      </x:c>
      <x:c r="C413" s="1" t="str">
        <x:v>Худи</x:v>
      </x:c>
      <x:c r="D413" s="9" t="n">
        <x:v>8.7</x:v>
      </x:c>
      <x:c r="E413" s="8" t="n">
        <x:v>31423</x:v>
      </x:c>
      <x:c r="F413" s="8" t="n">
        <x:v>543</x:v>
      </x:c>
      <x:c r="G413" s="8" t="n">
        <x:v>513397</x:v>
      </x:c>
      <x:c r="H413" s="8" t="n">
        <x:v>1</x:v>
      </x:c>
      <x:c r="I413" s="8" t="n">
        <x:v>0</x:v>
      </x:c>
      <x:c r="J413" s="8" t="n">
        <x:v>108</x:v>
      </x:c>
      <x:c r="K413" s="8" t="n">
        <x:v>2985</x:v>
      </x:c>
      <x:c r="L413" s="1" t="str">
        <x:v>Нет</x:v>
      </x:c>
      <x:c r="M413" s="1" t="n">
        <x:v>89900</x:v>
      </x:c>
    </x:row>
    <x:row r="414">
      <x:c r="A414" s="1" t="str">
        <x:v>348218024</x:v>
      </x:c>
      <x:c r="B414" s="1" t="str">
        <x:v>bodyskims/каштановый</x:v>
      </x:c>
      <x:c r="C414" s="1" t="str">
        <x:v>Блузки-боди</x:v>
      </x:c>
      <x:c r="D414" s="9" t="n">
        <x:v>8.7</x:v>
      </x:c>
      <x:c r="E414" s="8" t="n">
        <x:v>52702</x:v>
      </x:c>
      <x:c r="F414" s="8" t="n">
        <x:v>925</x:v>
      </x:c>
      <x:c r="G414" s="8" t="n">
        <x:v>513128</x:v>
      </x:c>
      <x:c r="H414" s="8" t="n">
        <x:v>4</x:v>
      </x:c>
      <x:c r="I414" s="8" t="n">
        <x:v>0</x:v>
      </x:c>
      <x:c r="J414" s="8" t="n">
        <x:v>0</x:v>
      </x:c>
      <x:c r="K414" s="8" t="n">
        <x:v>1005</x:v>
      </x:c>
      <x:c r="L414" s="1" t="str">
        <x:v>Нет</x:v>
      </x:c>
      <x:c r="M414" s="1" t="n">
        <x:v>0</x:v>
      </x:c>
    </x:row>
    <x:row r="415">
      <x:c r="A415" s="1" t="str">
        <x:v>289376680</x:v>
      </x:c>
      <x:c r="B415" s="1" t="str">
        <x:v>svitshotpolopetl3P-60/бордовый</x:v>
      </x:c>
      <x:c r="C415" s="1" t="str">
        <x:v>Свитшоты</x:v>
      </x:c>
      <x:c r="D415" s="9" t="n">
        <x:v>8.7</x:v>
      </x:c>
      <x:c r="E415" s="8" t="n">
        <x:v>50802</x:v>
      </x:c>
      <x:c r="F415" s="8" t="n">
        <x:v>641</x:v>
      </x:c>
      <x:c r="G415" s="8" t="n">
        <x:v>513101</x:v>
      </x:c>
      <x:c r="H415" s="8" t="n">
        <x:v>627</x:v>
      </x:c>
      <x:c r="I415" s="8" t="n">
        <x:v>0</x:v>
      </x:c>
      <x:c r="J415" s="8" t="n">
        <x:v>536</x:v>
      </x:c>
      <x:c r="K415" s="8" t="n">
        <x:v>2677</x:v>
      </x:c>
      <x:c r="L415" s="1" t="str">
        <x:v>Нет</x:v>
      </x:c>
      <x:c r="M415" s="1" t="n">
        <x:v>431202</x:v>
      </x:c>
    </x:row>
    <x:row r="416">
      <x:c r="A416" s="1" t="str">
        <x:v>320414098</x:v>
      </x:c>
      <x:c r="B416" s="1" t="str">
        <x:v>svitfix3F-77/черный</x:v>
      </x:c>
      <x:c r="C416" s="1" t="str">
        <x:v>Свитшоты</x:v>
      </x:c>
      <x:c r="D416" s="9" t="n">
        <x:v>8.7</x:v>
      </x:c>
      <x:c r="E416" s="8" t="n">
        <x:v>31793</x:v>
      </x:c>
      <x:c r="F416" s="8" t="n">
        <x:v>523</x:v>
      </x:c>
      <x:c r="G416" s="8" t="n">
        <x:v>512734</x:v>
      </x:c>
      <x:c r="H416" s="8" t="n">
        <x:v>59</x:v>
      </x:c>
      <x:c r="I416" s="8" t="n">
        <x:v>0</x:v>
      </x:c>
      <x:c r="J416" s="8" t="n">
        <x:v>612</x:v>
      </x:c>
      <x:c r="K416" s="8" t="n">
        <x:v>2317</x:v>
      </x:c>
      <x:c r="L416" s="1" t="str">
        <x:v>Нет</x:v>
      </x:c>
      <x:c r="M416" s="1" t="n">
        <x:v>581480</x:v>
      </x:c>
    </x:row>
    <x:row r="417">
      <x:c r="A417" s="1" t="str">
        <x:v>77789893</x:v>
      </x:c>
      <x:c r="B417" s="1" t="str">
        <x:v>futbolkaover/мандарин</x:v>
      </x:c>
      <x:c r="C417" s="1" t="str">
        <x:v>Футболки</x:v>
      </x:c>
      <x:c r="D417" s="9" t="n">
        <x:v>9.7</x:v>
      </x:c>
      <x:c r="E417" s="8" t="n">
        <x:v>87518</x:v>
      </x:c>
      <x:c r="F417" s="8" t="n">
        <x:v>1030</x:v>
      </x:c>
      <x:c r="G417" s="8" t="n">
        <x:v>509685</x:v>
      </x:c>
      <x:c r="H417" s="8" t="n">
        <x:v>3405</x:v>
      </x:c>
      <x:c r="I417" s="8" t="n">
        <x:v>0</x:v>
      </x:c>
      <x:c r="J417" s="8" t="n">
        <x:v>1492</x:v>
      </x:c>
      <x:c r="K417" s="8" t="n">
        <x:v>836</x:v>
      </x:c>
      <x:c r="L417" s="1" t="str">
        <x:v>Нет</x:v>
      </x:c>
      <x:c r="M417" s="1" t="n">
        <x:v>792525</x:v>
      </x:c>
    </x:row>
    <x:row r="418">
      <x:c r="A418" s="1" t="str">
        <x:v>260797893</x:v>
      </x:c>
      <x:c r="B418" s="1" t="str">
        <x:v>hudicrop1/песочный</x:v>
      </x:c>
      <x:c r="C418" s="1" t="str">
        <x:v>Худи</x:v>
      </x:c>
      <x:c r="D418" s="9" t="n">
        <x:v>8.7</x:v>
      </x:c>
      <x:c r="E418" s="8" t="n">
        <x:v>34865</x:v>
      </x:c>
      <x:c r="F418" s="8" t="n">
        <x:v>583</x:v>
      </x:c>
      <x:c r="G418" s="8" t="n">
        <x:v>509013</x:v>
      </x:c>
      <x:c r="H418" s="8" t="n">
        <x:v>427</x:v>
      </x:c>
      <x:c r="I418" s="8" t="n">
        <x:v>0</x:v>
      </x:c>
      <x:c r="J418" s="8" t="n">
        <x:v>1181</x:v>
      </x:c>
      <x:c r="K418" s="8" t="n">
        <x:v>2402</x:v>
      </x:c>
      <x:c r="L418" s="1" t="str">
        <x:v>Нет</x:v>
      </x:c>
      <x:c r="M418" s="1" t="n">
        <x:v>1089404</x:v>
      </x:c>
    </x:row>
    <x:row r="419">
      <x:c r="A419" s="1" t="str">
        <x:v>297802181</x:v>
      </x:c>
      <x:c r="B419" s="1" t="str">
        <x:v>longslim3К-81/белый</x:v>
      </x:c>
      <x:c r="C419" s="1" t="str">
        <x:v>Лонгсливы</x:v>
      </x:c>
      <x:c r="D419" s="9" t="n">
        <x:v>8.7</x:v>
      </x:c>
      <x:c r="E419" s="8" t="n">
        <x:v>40570</x:v>
      </x:c>
      <x:c r="F419" s="8" t="n">
        <x:v>1338</x:v>
      </x:c>
      <x:c r="G419" s="8" t="n">
        <x:v>508791</x:v>
      </x:c>
      <x:c r="H419" s="8" t="n">
        <x:v>283</x:v>
      </x:c>
      <x:c r="I419" s="8" t="n">
        <x:v>0</x:v>
      </x:c>
      <x:c r="J419" s="8" t="n">
        <x:v>581</x:v>
      </x:c>
      <x:c r="K419" s="8" t="n">
        <x:v>1100</x:v>
      </x:c>
      <x:c r="L419" s="1" t="str">
        <x:v>Нет</x:v>
      </x:c>
      <x:c r="M419" s="1" t="n">
        <x:v>244402</x:v>
      </x:c>
    </x:row>
    <x:row r="420">
      <x:c r="A420" s="1" t="str">
        <x:v>156186502</x:v>
      </x:c>
      <x:c r="B420" s="1" t="str">
        <x:v>svitshotman/серый</x:v>
      </x:c>
      <x:c r="C420" s="1" t="str">
        <x:v>Свитшоты</x:v>
      </x:c>
      <x:c r="D420" s="9" t="n">
        <x:v>9.7</x:v>
      </x:c>
      <x:c r="E420" s="8" t="n">
        <x:v>28448</x:v>
      </x:c>
      <x:c r="F420" s="8" t="n">
        <x:v>646</x:v>
      </x:c>
      <x:c r="G420" s="8" t="n">
        <x:v>507139</x:v>
      </x:c>
      <x:c r="H420" s="8" t="n">
        <x:v>407</x:v>
      </x:c>
      <x:c r="I420" s="8" t="n">
        <x:v>0</x:v>
      </x:c>
      <x:c r="J420" s="8" t="n">
        <x:v>685</x:v>
      </x:c>
      <x:c r="K420" s="8" t="n">
        <x:v>2202</x:v>
      </x:c>
      <x:c r="L420" s="1" t="str">
        <x:v>Нет</x:v>
      </x:c>
      <x:c r="M420" s="1" t="n">
        <x:v>616388</x:v>
      </x:c>
    </x:row>
    <x:row r="421">
      <x:c r="A421" s="1" t="str">
        <x:v>283319857</x:v>
      </x:c>
      <x:c r="B421" s="1" t="str">
        <x:v>hudicropprint/TheMovementClub-140/темно-синий</x:v>
      </x:c>
      <x:c r="C421" s="1" t="str">
        <x:v>Худи</x:v>
      </x:c>
      <x:c r="D421" s="9" t="n">
        <x:v>9.7</x:v>
      </x:c>
      <x:c r="E421" s="8" t="n">
        <x:v>48943</x:v>
      </x:c>
      <x:c r="F421" s="8" t="n">
        <x:v>437</x:v>
      </x:c>
      <x:c r="G421" s="8" t="n">
        <x:v>506146</x:v>
      </x:c>
      <x:c r="H421" s="8" t="n">
        <x:v>3</x:v>
      </x:c>
      <x:c r="I421" s="8" t="n">
        <x:v>0</x:v>
      </x:c>
      <x:c r="J421" s="8" t="n">
        <x:v>694</x:v>
      </x:c>
      <x:c r="K421" s="8" t="n">
        <x:v>3253</x:v>
      </x:c>
      <x:c r="L421" s="1" t="str">
        <x:v>Нет</x:v>
      </x:c>
      <x:c r="M421" s="1" t="n">
        <x:v>828990</x:v>
      </x:c>
    </x:row>
    <x:row r="422">
      <x:c r="A422" s="1" t="str">
        <x:v>208997096</x:v>
      </x:c>
      <x:c r="B422" s="1" t="str">
        <x:v>futbolkaprint/Goodthinks-57/молочный</x:v>
      </x:c>
      <x:c r="C422" s="1" t="str">
        <x:v>Футболки</x:v>
      </x:c>
      <x:c r="D422" s="9" t="n">
        <x:v>8.7</x:v>
      </x:c>
      <x:c r="E422" s="8" t="n">
        <x:v>78341</x:v>
      </x:c>
      <x:c r="F422" s="8" t="n">
        <x:v>721</x:v>
      </x:c>
      <x:c r="G422" s="8" t="n">
        <x:v>502969</x:v>
      </x:c>
      <x:c r="H422" s="8" t="n">
        <x:v>14</x:v>
      </x:c>
      <x:c r="I422" s="8" t="n">
        <x:v>0</x:v>
      </x:c>
      <x:c r="J422" s="8" t="n">
        <x:v>973</x:v>
      </x:c>
      <x:c r="K422" s="8" t="n">
        <x:v>1267</x:v>
      </x:c>
      <x:c r="L422" s="1" t="str">
        <x:v>Нет</x:v>
      </x:c>
      <x:c r="M422" s="1" t="n">
        <x:v>695668</x:v>
      </x:c>
    </x:row>
    <x:row r="423">
      <x:c r="A423" s="1" t="str">
        <x:v>291159919</x:v>
      </x:c>
      <x:c r="B423" s="1" t="str">
        <x:v>longsvobod/розовый</x:v>
      </x:c>
      <x:c r="C423" s="1" t="str">
        <x:v>Лонгсливы</x:v>
      </x:c>
      <x:c r="D423" s="9" t="n">
        <x:v>7.2</x:v>
      </x:c>
      <x:c r="E423" s="8" t="n">
        <x:v>49271</x:v>
      </x:c>
      <x:c r="F423" s="8" t="n">
        <x:v>1215</x:v>
      </x:c>
      <x:c r="G423" s="8" t="n">
        <x:v>501321</x:v>
      </x:c>
      <x:c r="H423" s="8" t="n">
        <x:v>144</x:v>
      </x:c>
      <x:c r="I423" s="8" t="n">
        <x:v>0</x:v>
      </x:c>
      <x:c r="J423" s="8" t="n">
        <x:v>559</x:v>
      </x:c>
      <x:c r="K423" s="8" t="n">
        <x:v>1061</x:v>
      </x:c>
      <x:c r="L423" s="1" t="str">
        <x:v>Нет</x:v>
      </x:c>
      <x:c r="M423" s="1" t="n">
        <x:v>234017</x:v>
      </x:c>
    </x:row>
    <x:row r="424">
      <x:c r="A424" s="1" t="str">
        <x:v>294025146</x:v>
      </x:c>
      <x:c r="B424" s="1" t="str">
        <x:v>svitfix3F-77/светло-розовый</x:v>
      </x:c>
      <x:c r="C424" s="1" t="str">
        <x:v>Свитшоты</x:v>
      </x:c>
      <x:c r="D424" s="9" t="n">
        <x:v>8.7</x:v>
      </x:c>
      <x:c r="E424" s="8" t="n">
        <x:v>41681</x:v>
      </x:c>
      <x:c r="F424" s="8" t="n">
        <x:v>536</x:v>
      </x:c>
      <x:c r="G424" s="8" t="n">
        <x:v>499212</x:v>
      </x:c>
      <x:c r="H424" s="8" t="n">
        <x:v>64</x:v>
      </x:c>
      <x:c r="I424" s="8" t="n">
        <x:v>0</x:v>
      </x:c>
      <x:c r="J424" s="8" t="n">
        <x:v>1291</x:v>
      </x:c>
      <x:c r="K424" s="8" t="n">
        <x:v>2624</x:v>
      </x:c>
      <x:c r="L424" s="1" t="str">
        <x:v>Нет</x:v>
      </x:c>
      <x:c r="M424" s="1" t="n">
        <x:v>1277012</x:v>
      </x:c>
    </x:row>
    <x:row r="425">
      <x:c r="A425" s="1" t="str">
        <x:v>202409586</x:v>
      </x:c>
      <x:c r="B425" s="1" t="str">
        <x:v>hudiprint/Goodvibes-50/розовый</x:v>
      </x:c>
      <x:c r="C425" s="1" t="str">
        <x:v>Худи</x:v>
      </x:c>
      <x:c r="D425" s="9" t="n">
        <x:v>9.7</x:v>
      </x:c>
      <x:c r="E425" s="8" t="n">
        <x:v>35970</x:v>
      </x:c>
      <x:c r="F425" s="8" t="n">
        <x:v>428</x:v>
      </x:c>
      <x:c r="G425" s="8" t="n">
        <x:v>496209</x:v>
      </x:c>
      <x:c r="H425" s="8" t="n">
        <x:v>136</x:v>
      </x:c>
      <x:c r="I425" s="8" t="n">
        <x:v>0</x:v>
      </x:c>
      <x:c r="J425" s="8" t="n">
        <x:v>1098</x:v>
      </x:c>
      <x:c r="K425" s="8" t="n">
        <x:v>2448</x:v>
      </x:c>
      <x:c r="L425" s="1" t="str">
        <x:v>Нет</x:v>
      </x:c>
      <x:c r="M425" s="1" t="n">
        <x:v>1426601</x:v>
      </x:c>
    </x:row>
    <x:row r="426">
      <x:c r="A426" s="1" t="str">
        <x:v>330720290</x:v>
      </x:c>
      <x:c r="B426" s="1" t="str">
        <x:v>polowoman3K-89/молочный</x:v>
      </x:c>
      <x:c r="C426" s="1" t="str">
        <x:v>Футболки</x:v>
      </x:c>
      <x:c r="D426" s="9" t="n">
        <x:v>8.7</x:v>
      </x:c>
      <x:c r="E426" s="8" t="n">
        <x:v>76296</x:v>
      </x:c>
      <x:c r="F426" s="8" t="n">
        <x:v>1001</x:v>
      </x:c>
      <x:c r="G426" s="8" t="n">
        <x:v>495132</x:v>
      </x:c>
      <x:c r="H426" s="8" t="n">
        <x:v>214</x:v>
      </x:c>
      <x:c r="I426" s="8" t="n">
        <x:v>0</x:v>
      </x:c>
      <x:c r="J426" s="8" t="n">
        <x:v>0</x:v>
      </x:c>
      <x:c r="K426" s="8" t="n">
        <x:v>1220</x:v>
      </x:c>
      <x:c r="L426" s="1" t="str">
        <x:v>Нет</x:v>
      </x:c>
      <x:c r="M426" s="1" t="n">
        <x:v>0</x:v>
      </x:c>
    </x:row>
    <x:row r="427">
      <x:c r="A427" s="1" t="str">
        <x:v>220090376</x:v>
      </x:c>
      <x:c r="B427" s="1" t="str">
        <x:v>tolstovkazip/белый</x:v>
      </x:c>
      <x:c r="C427" s="1" t="str">
        <x:v>Худи</x:v>
      </x:c>
      <x:c r="D427" s="9" t="n">
        <x:v>7.7</x:v>
      </x:c>
      <x:c r="E427" s="8" t="n">
        <x:v>33347</x:v>
      </x:c>
      <x:c r="F427" s="8" t="n">
        <x:v>358</x:v>
      </x:c>
      <x:c r="G427" s="8" t="n">
        <x:v>495120</x:v>
      </x:c>
      <x:c r="H427" s="8" t="n">
        <x:v>1</x:v>
      </x:c>
      <x:c r="I427" s="8" t="n">
        <x:v>0</x:v>
      </x:c>
      <x:c r="J427" s="8" t="n">
        <x:v>297</x:v>
      </x:c>
      <x:c r="K427" s="8" t="n">
        <x:v>3443</x:v>
      </x:c>
      <x:c r="L427" s="1" t="str">
        <x:v>Нет</x:v>
      </x:c>
      <x:c r="M427" s="1" t="n">
        <x:v>452200</x:v>
      </x:c>
    </x:row>
    <x:row r="428">
      <x:c r="A428" s="1" t="str">
        <x:v>368704657</x:v>
      </x:c>
      <x:c r="B428" s="1" t="str">
        <x:v>futskimsX2/как-каш</x:v>
      </x:c>
      <x:c r="C428" s="1" t="str">
        <x:v>Футболки</x:v>
      </x:c>
      <x:c r="D428" s="9" t="n">
        <x:v>8.4</x:v>
      </x:c>
      <x:c r="E428" s="8" t="n">
        <x:v>69524</x:v>
      </x:c>
      <x:c r="F428" s="8" t="n">
        <x:v>484</x:v>
      </x:c>
      <x:c r="G428" s="8" t="n">
        <x:v>495001</x:v>
      </x:c>
      <x:c r="H428" s="8" t="n">
        <x:v>5</x:v>
      </x:c>
      <x:c r="I428" s="8" t="n">
        <x:v>0</x:v>
      </x:c>
      <x:c r="J428" s="8" t="n">
        <x:v>0</x:v>
      </x:c>
      <x:c r="K428" s="8" t="n">
        <x:v>2202</x:v>
      </x:c>
      <x:c r="L428" s="1" t="str">
        <x:v>Нет</x:v>
      </x:c>
      <x:c r="M428" s="1" t="n">
        <x:v>0</x:v>
      </x:c>
    </x:row>
    <x:row r="429">
      <x:c r="A429" s="1" t="str">
        <x:v>246363183</x:v>
      </x:c>
      <x:c r="B429" s="1" t="str">
        <x:v>tolstovkazip/красный</x:v>
      </x:c>
      <x:c r="C429" s="1" t="str">
        <x:v>Худи</x:v>
      </x:c>
      <x:c r="D429" s="9" t="n">
        <x:v>9.7</x:v>
      </x:c>
      <x:c r="E429" s="8" t="n">
        <x:v>49230</x:v>
      </x:c>
      <x:c r="F429" s="8" t="n">
        <x:v>453</x:v>
      </x:c>
      <x:c r="G429" s="8" t="n">
        <x:v>494940</x:v>
      </x:c>
      <x:c r="H429" s="8" t="n">
        <x:v>5</x:v>
      </x:c>
      <x:c r="I429" s="8" t="n">
        <x:v>0</x:v>
      </x:c>
      <x:c r="J429" s="8" t="n">
        <x:v>559</x:v>
      </x:c>
      <x:c r="K429" s="8" t="n">
        <x:v>2951</x:v>
      </x:c>
      <x:c r="L429" s="1" t="str">
        <x:v>Нет</x:v>
      </x:c>
      <x:c r="M429" s="1" t="n">
        <x:v>533560</x:v>
      </x:c>
    </x:row>
    <x:row r="430">
      <x:c r="A430" s="1" t="str">
        <x:v>245583536</x:v>
      </x:c>
      <x:c r="B430" s="1" t="str">
        <x:v>hudiprint/BrighterDays-129/красный</x:v>
      </x:c>
      <x:c r="C430" s="1" t="str">
        <x:v>Худи</x:v>
      </x:c>
      <x:c r="D430" s="9" t="n">
        <x:v>8.7</x:v>
      </x:c>
      <x:c r="E430" s="8" t="n">
        <x:v>51618</x:v>
      </x:c>
      <x:c r="F430" s="8" t="n">
        <x:v>491</x:v>
      </x:c>
      <x:c r="G430" s="8" t="n">
        <x:v>494711</x:v>
      </x:c>
      <x:c r="H430" s="8" t="n">
        <x:v>100</x:v>
      </x:c>
      <x:c r="I430" s="8" t="n">
        <x:v>0</x:v>
      </x:c>
      <x:c r="J430" s="8" t="n">
        <x:v>641</x:v>
      </x:c>
      <x:c r="K430" s="8" t="n">
        <x:v>2339</x:v>
      </x:c>
      <x:c r="L430" s="1" t="str">
        <x:v>Нет</x:v>
      </x:c>
      <x:c r="M430" s="1" t="n">
        <x:v>624361</x:v>
      </x:c>
    </x:row>
    <x:row r="431">
      <x:c r="A431" s="1" t="str">
        <x:v>221503643</x:v>
      </x:c>
      <x:c r="B431" s="1" t="str">
        <x:v>baza/бордовый</x:v>
      </x:c>
      <x:c r="C431" s="1" t="str">
        <x:v>Футболки</x:v>
      </x:c>
      <x:c r="D431" s="9" t="n">
        <x:v>8.2</x:v>
      </x:c>
      <x:c r="E431" s="8" t="n">
        <x:v>58978</x:v>
      </x:c>
      <x:c r="F431" s="8" t="n">
        <x:v>977</x:v>
      </x:c>
      <x:c r="G431" s="8" t="n">
        <x:v>494085</x:v>
      </x:c>
      <x:c r="H431" s="8" t="n">
        <x:v>824</x:v>
      </x:c>
      <x:c r="I431" s="8" t="n">
        <x:v>0</x:v>
      </x:c>
      <x:c r="J431" s="8" t="n">
        <x:v>3527</x:v>
      </x:c>
      <x:c r="K431" s="8" t="n">
        <x:v>922</x:v>
      </x:c>
      <x:c r="L431" s="1" t="str">
        <x:v>Нет</x:v>
      </x:c>
      <x:c r="M431" s="1" t="n">
        <x:v>2005857</x:v>
      </x:c>
    </x:row>
    <x:row r="432">
      <x:c r="A432" s="1" t="str">
        <x:v>326814895</x:v>
      </x:c>
      <x:c r="B432" s="1" t="str">
        <x:v>svitzip3P-S-5/коричневый</x:v>
      </x:c>
      <x:c r="C432" s="1" t="str">
        <x:v>Свитшоты</x:v>
      </x:c>
      <x:c r="D432" s="9" t="n">
        <x:v>8.7</x:v>
      </x:c>
      <x:c r="E432" s="8" t="n">
        <x:v>62639</x:v>
      </x:c>
      <x:c r="F432" s="8" t="n">
        <x:v>745</x:v>
      </x:c>
      <x:c r="G432" s="8" t="n">
        <x:v>493584</x:v>
      </x:c>
      <x:c r="H432" s="8" t="n">
        <x:v>619</x:v>
      </x:c>
      <x:c r="I432" s="8" t="n">
        <x:v>0</x:v>
      </x:c>
      <x:c r="J432" s="8" t="n">
        <x:v>2</x:v>
      </x:c>
      <x:c r="K432" s="8" t="n">
        <x:v>2631</x:v>
      </x:c>
      <x:c r="L432" s="1" t="str">
        <x:v>Нет</x:v>
      </x:c>
      <x:c r="M432" s="1" t="n">
        <x:v>0</x:v>
      </x:c>
    </x:row>
    <x:row r="433">
      <x:c r="A433" s="1" t="str">
        <x:v>264718069</x:v>
      </x:c>
      <x:c r="B433" s="1" t="str">
        <x:v>svitshotpetl/бордовый</x:v>
      </x:c>
      <x:c r="C433" s="1" t="str">
        <x:v>Свитшоты</x:v>
      </x:c>
      <x:c r="D433" s="9" t="n">
        <x:v>6.7</x:v>
      </x:c>
      <x:c r="E433" s="8" t="n">
        <x:v>46481</x:v>
      </x:c>
      <x:c r="F433" s="8" t="n">
        <x:v>666</x:v>
      </x:c>
      <x:c r="G433" s="8" t="n">
        <x:v>493312</x:v>
      </x:c>
      <x:c r="H433" s="8" t="n">
        <x:v>1</x:v>
      </x:c>
      <x:c r="I433" s="8" t="n">
        <x:v>0</x:v>
      </x:c>
      <x:c r="J433" s="8" t="n">
        <x:v>862</x:v>
      </x:c>
      <x:c r="K433" s="8" t="n">
        <x:v>2058</x:v>
      </x:c>
      <x:c r="L433" s="1" t="str">
        <x:v>Нет</x:v>
      </x:c>
      <x:c r="M433" s="1" t="n">
        <x:v>666432</x:v>
      </x:c>
    </x:row>
    <x:row r="434">
      <x:c r="A434" s="1" t="str">
        <x:v>323203656</x:v>
      </x:c>
      <x:c r="B434" s="1" t="str">
        <x:v>tshirtsuperover3K-E1/розовый</x:v>
      </x:c>
      <x:c r="C434" s="1" t="str">
        <x:v>Футболки</x:v>
      </x:c>
      <x:c r="D434" s="9" t="n">
        <x:v>8.7</x:v>
      </x:c>
      <x:c r="E434" s="8" t="n">
        <x:v>118830</x:v>
      </x:c>
      <x:c r="F434" s="8" t="n">
        <x:v>987</x:v>
      </x:c>
      <x:c r="G434" s="8" t="n">
        <x:v>492415</x:v>
      </x:c>
      <x:c r="H434" s="8" t="n">
        <x:v>238</x:v>
      </x:c>
      <x:c r="I434" s="8" t="n">
        <x:v>0</x:v>
      </x:c>
      <x:c r="J434" s="8" t="n">
        <x:v>0</x:v>
      </x:c>
      <x:c r="K434" s="8" t="n">
        <x:v>1298</x:v>
      </x:c>
      <x:c r="L434" s="1" t="str">
        <x:v>Нет</x:v>
      </x:c>
      <x:c r="M434" s="1" t="n">
        <x:v>0</x:v>
      </x:c>
    </x:row>
    <x:row r="435">
      <x:c r="A435" s="1" t="str">
        <x:v>297352522</x:v>
      </x:c>
      <x:c r="B435" s="1" t="str">
        <x:v>tolstovkazipman/светло-зеленый</x:v>
      </x:c>
      <x:c r="C435" s="1" t="str">
        <x:v>Худи</x:v>
      </x:c>
      <x:c r="D435" s="9" t="n">
        <x:v>9</x:v>
      </x:c>
      <x:c r="E435" s="8" t="n">
        <x:v>23490</x:v>
      </x:c>
      <x:c r="F435" s="8" t="n">
        <x:v>378</x:v>
      </x:c>
      <x:c r="G435" s="8" t="n">
        <x:v>492196</x:v>
      </x:c>
      <x:c r="H435" s="8" t="n">
        <x:v>79</x:v>
      </x:c>
      <x:c r="I435" s="8" t="n">
        <x:v>0</x:v>
      </x:c>
      <x:c r="J435" s="8" t="n">
        <x:v>376</x:v>
      </x:c>
      <x:c r="K435" s="8" t="n">
        <x:v>3170</x:v>
      </x:c>
      <x:c r="L435" s="1" t="str">
        <x:v>Нет</x:v>
      </x:c>
      <x:c r="M435" s="1" t="n">
        <x:v>487609</x:v>
      </x:c>
    </x:row>
    <x:row r="436">
      <x:c r="A436" s="1" t="str">
        <x:v>344446851</x:v>
      </x:c>
      <x:c r="B436" s="1" t="str">
        <x:v>2Ntshirt/коричневый</x:v>
      </x:c>
      <x:c r="C436" s="1" t="str">
        <x:v>Футболки</x:v>
      </x:c>
      <x:c r="D436" s="9" t="n">
        <x:v>8.2</x:v>
      </x:c>
      <x:c r="E436" s="8" t="n">
        <x:v>182736</x:v>
      </x:c>
      <x:c r="F436" s="8" t="n">
        <x:v>1654</x:v>
      </x:c>
      <x:c r="G436" s="8" t="n">
        <x:v>489975</x:v>
      </x:c>
      <x:c r="H436" s="8" t="n">
        <x:v>373</x:v>
      </x:c>
      <x:c r="I436" s="8" t="n">
        <x:v>0</x:v>
      </x:c>
      <x:c r="J436" s="8" t="n">
        <x:v>0</x:v>
      </x:c>
      <x:c r="K436" s="8" t="n">
        <x:v>1176</x:v>
      </x:c>
      <x:c r="L436" s="1" t="str">
        <x:v>Нет</x:v>
      </x:c>
      <x:c r="M436" s="1" t="n">
        <x:v>0</x:v>
      </x:c>
    </x:row>
    <x:row r="437">
      <x:c r="A437" s="1" t="str">
        <x:v>178309495</x:v>
      </x:c>
      <x:c r="B437" s="1" t="str">
        <x:v>svitcrop/молочный</x:v>
      </x:c>
      <x:c r="C437" s="1" t="str">
        <x:v>Лонгсливы</x:v>
      </x:c>
      <x:c r="D437" s="9" t="n">
        <x:v>9.7</x:v>
      </x:c>
      <x:c r="E437" s="8" t="n">
        <x:v>97687</x:v>
      </x:c>
      <x:c r="F437" s="8" t="n">
        <x:v>1056</x:v>
      </x:c>
      <x:c r="G437" s="8" t="n">
        <x:v>489291</x:v>
      </x:c>
      <x:c r="H437" s="8" t="n">
        <x:v>184</x:v>
      </x:c>
      <x:c r="I437" s="8" t="n">
        <x:v>0</x:v>
      </x:c>
      <x:c r="J437" s="8" t="n">
        <x:v>908</x:v>
      </x:c>
      <x:c r="K437" s="8" t="n">
        <x:v>1177</x:v>
      </x:c>
      <x:c r="L437" s="1" t="str">
        <x:v>Нет</x:v>
      </x:c>
      <x:c r="M437" s="1" t="n">
        <x:v>481038</x:v>
      </x:c>
    </x:row>
    <x:row r="438">
      <x:c r="A438" s="1" t="str">
        <x:v>348191300</x:v>
      </x:c>
      <x:c r="B438" s="1" t="str">
        <x:v>futbolkaprint/gentle-258/молочный</x:v>
      </x:c>
      <x:c r="C438" s="1" t="str">
        <x:v>Футболки</x:v>
      </x:c>
      <x:c r="D438" s="9" t="n">
        <x:v>9.7</x:v>
      </x:c>
      <x:c r="E438" s="8" t="n">
        <x:v>78400</x:v>
      </x:c>
      <x:c r="F438" s="8" t="n">
        <x:v>902</x:v>
      </x:c>
      <x:c r="G438" s="8" t="n">
        <x:v>489149</x:v>
      </x:c>
      <x:c r="H438" s="8" t="n">
        <x:v>10</x:v>
      </x:c>
      <x:c r="I438" s="8" t="n">
        <x:v>0</x:v>
      </x:c>
      <x:c r="J438" s="8" t="n">
        <x:v>0</x:v>
      </x:c>
      <x:c r="K438" s="8" t="n">
        <x:v>1214</x:v>
      </x:c>
      <x:c r="L438" s="1" t="str">
        <x:v>Нет</x:v>
      </x:c>
      <x:c r="M438" s="1" t="n">
        <x:v>0</x:v>
      </x:c>
    </x:row>
    <x:row r="439">
      <x:c r="A439" s="1" t="str">
        <x:v>222785969</x:v>
      </x:c>
      <x:c r="B439" s="1" t="str">
        <x:v>hudipetl/черный</x:v>
      </x:c>
      <x:c r="C439" s="1" t="str">
        <x:v>Худи</x:v>
      </x:c>
      <x:c r="D439" s="9" t="n">
        <x:v>8.7</x:v>
      </x:c>
      <x:c r="E439" s="8" t="n">
        <x:v>27449</x:v>
      </x:c>
      <x:c r="F439" s="8" t="n">
        <x:v>378</x:v>
      </x:c>
      <x:c r="G439" s="8" t="n">
        <x:v>486892</x:v>
      </x:c>
      <x:c r="H439" s="8" t="n">
        <x:v>6</x:v>
      </x:c>
      <x:c r="I439" s="8" t="n">
        <x:v>0</x:v>
      </x:c>
      <x:c r="J439" s="8" t="n">
        <x:v>938</x:v>
      </x:c>
      <x:c r="K439" s="8" t="n">
        <x:v>2930</x:v>
      </x:c>
      <x:c r="L439" s="1" t="str">
        <x:v>Нет</x:v>
      </x:c>
      <x:c r="M439" s="1" t="n">
        <x:v>1073084</x:v>
      </x:c>
    </x:row>
    <x:row r="440">
      <x:c r="A440" s="1" t="str">
        <x:v>245583528</x:v>
      </x:c>
      <x:c r="B440" s="1" t="str">
        <x:v>hudiprint/Never-155/серый</x:v>
      </x:c>
      <x:c r="C440" s="1" t="str">
        <x:v>Худи</x:v>
      </x:c>
      <x:c r="D440" s="9" t="n">
        <x:v>8.7</x:v>
      </x:c>
      <x:c r="E440" s="8" t="n">
        <x:v>39205</x:v>
      </x:c>
      <x:c r="F440" s="8" t="n">
        <x:v>489</x:v>
      </x:c>
      <x:c r="G440" s="8" t="n">
        <x:v>486770</x:v>
      </x:c>
      <x:c r="H440" s="8" t="n">
        <x:v>55</x:v>
      </x:c>
      <x:c r="I440" s="8" t="n">
        <x:v>0</x:v>
      </x:c>
      <x:c r="J440" s="8" t="n">
        <x:v>859</x:v>
      </x:c>
      <x:c r="K440" s="8" t="n">
        <x:v>2461</x:v>
      </x:c>
      <x:c r="L440" s="1" t="str">
        <x:v>Нет</x:v>
      </x:c>
      <x:c r="M440" s="1" t="n">
        <x:v>881169</x:v>
      </x:c>
    </x:row>
    <x:row r="441">
      <x:c r="A441" s="1" t="str">
        <x:v>210514813</x:v>
      </x:c>
      <x:c r="B441" s="1" t="str">
        <x:v>kostkulirkacrop/дымка</x:v>
      </x:c>
      <x:c r="C441" s="1" t="str">
        <x:v>Костюмы</x:v>
      </x:c>
      <x:c r="D441" s="9" t="n">
        <x:v>7.7</x:v>
      </x:c>
      <x:c r="E441" s="8" t="n">
        <x:v>58751</x:v>
      </x:c>
      <x:c r="F441" s="8" t="n">
        <x:v>722</x:v>
      </x:c>
      <x:c r="G441" s="8" t="n">
        <x:v>485122</x:v>
      </x:c>
      <x:c r="H441" s="8" t="n">
        <x:v>1</x:v>
      </x:c>
      <x:c r="I441" s="8" t="n">
        <x:v>0</x:v>
      </x:c>
      <x:c r="J441" s="8" t="n">
        <x:v>660</x:v>
      </x:c>
      <x:c r="K441" s="8" t="n">
        <x:v>1331</x:v>
      </x:c>
      <x:c r="L441" s="1" t="str">
        <x:v>Нет</x:v>
      </x:c>
      <x:c r="M441" s="1" t="n">
        <x:v>411356</x:v>
      </x:c>
    </x:row>
    <x:row r="442">
      <x:c r="A442" s="1" t="str">
        <x:v>321626945</x:v>
      </x:c>
      <x:c r="B442" s="1" t="str">
        <x:v>tanktop3K-S9/белый</x:v>
      </x:c>
      <x:c r="C442" s="1" t="str">
        <x:v>Футболки</x:v>
      </x:c>
      <x:c r="D442" s="9" t="n">
        <x:v>8.7</x:v>
      </x:c>
      <x:c r="E442" s="8" t="n">
        <x:v>115162</x:v>
      </x:c>
      <x:c r="F442" s="8" t="n">
        <x:v>1252</x:v>
      </x:c>
      <x:c r="G442" s="8" t="n">
        <x:v>484593</x:v>
      </x:c>
      <x:c r="H442" s="8" t="n">
        <x:v>362</x:v>
      </x:c>
      <x:c r="I442" s="8" t="n">
        <x:v>0</x:v>
      </x:c>
      <x:c r="J442" s="8" t="n">
        <x:v>579</x:v>
      </x:c>
      <x:c r="K442" s="8" t="n">
        <x:v>865</x:v>
      </x:c>
      <x:c r="L442" s="1" t="str">
        <x:v>Нет</x:v>
      </x:c>
      <x:c r="M442" s="1" t="n">
        <x:v>239469</x:v>
      </x:c>
    </x:row>
    <x:row r="443">
      <x:c r="A443" s="1" t="str">
        <x:v>202409579</x:v>
      </x:c>
      <x:c r="B443" s="1" t="str">
        <x:v>hudimanprint/Brukman-42/черный</x:v>
      </x:c>
      <x:c r="C443" s="1" t="str">
        <x:v>Худи</x:v>
      </x:c>
      <x:c r="D443" s="9" t="n">
        <x:v>9.7</x:v>
      </x:c>
      <x:c r="E443" s="8" t="n">
        <x:v>19664</x:v>
      </x:c>
      <x:c r="F443" s="8" t="n">
        <x:v>490</x:v>
      </x:c>
      <x:c r="G443" s="8" t="n">
        <x:v>479886</x:v>
      </x:c>
      <x:c r="H443" s="8" t="n">
        <x:v>69</x:v>
      </x:c>
      <x:c r="I443" s="8" t="n">
        <x:v>0</x:v>
      </x:c>
      <x:c r="J443" s="8" t="n">
        <x:v>374</x:v>
      </x:c>
      <x:c r="K443" s="8" t="n">
        <x:v>2703</x:v>
      </x:c>
      <x:c r="L443" s="1" t="str">
        <x:v>Нет</x:v>
      </x:c>
      <x:c r="M443" s="1" t="n">
        <x:v>473900</x:v>
      </x:c>
    </x:row>
    <x:row r="444">
      <x:c r="A444" s="1" t="str">
        <x:v>216680515</x:v>
      </x:c>
      <x:c r="B444" s="1" t="str">
        <x:v>2NshortymanX2/чер-мол</x:v>
      </x:c>
      <x:c r="C444" s="1" t="str">
        <x:v>Шорты</x:v>
      </x:c>
      <x:c r="D444" s="9" t="n">
        <x:v>7.7</x:v>
      </x:c>
      <x:c r="E444" s="8" t="n">
        <x:v>17690</x:v>
      </x:c>
      <x:c r="F444" s="8" t="n">
        <x:v>553</x:v>
      </x:c>
      <x:c r="G444" s="8" t="n">
        <x:v>479621</x:v>
      </x:c>
      <x:c r="H444" s="8" t="n">
        <x:v>2</x:v>
      </x:c>
      <x:c r="I444" s="8" t="n">
        <x:v>0</x:v>
      </x:c>
      <x:c r="J444" s="8" t="n">
        <x:v>0</x:v>
      </x:c>
      <x:c r="K444" s="8" t="n">
        <x:v>1753</x:v>
      </x:c>
      <x:c r="L444" s="1" t="str">
        <x:v>Нет</x:v>
      </x:c>
      <x:c r="M444" s="1" t="n">
        <x:v>0</x:v>
      </x:c>
    </x:row>
    <x:row r="445">
      <x:c r="A445" s="1" t="str">
        <x:v>210248314</x:v>
      </x:c>
      <x:c r="B445" s="1" t="str">
        <x:v>kulirkamanprint/CaliforniaWC-75/молочный</x:v>
      </x:c>
      <x:c r="C445" s="1" t="str">
        <x:v>Футболки</x:v>
      </x:c>
      <x:c r="D445" s="9" t="n">
        <x:v>8.7</x:v>
      </x:c>
      <x:c r="E445" s="8" t="n">
        <x:v>60767</x:v>
      </x:c>
      <x:c r="F445" s="8" t="n">
        <x:v>731</x:v>
      </x:c>
      <x:c r="G445" s="8" t="n">
        <x:v>474964</x:v>
      </x:c>
      <x:c r="H445" s="8" t="n">
        <x:v>1</x:v>
      </x:c>
      <x:c r="I445" s="8" t="n">
        <x:v>0</x:v>
      </x:c>
      <x:c r="J445" s="8" t="n">
        <x:v>0</x:v>
      </x:c>
      <x:c r="K445" s="8" t="n">
        <x:v>1147</x:v>
      </x:c>
      <x:c r="L445" s="1" t="str">
        <x:v>Нет</x:v>
      </x:c>
      <x:c r="M445" s="1" t="n">
        <x:v>0</x:v>
      </x:c>
    </x:row>
    <x:row r="446">
      <x:c r="A446" s="1" t="str">
        <x:v>210514815</x:v>
      </x:c>
      <x:c r="B446" s="1" t="str">
        <x:v>kostkulirkacrop/голубой</x:v>
      </x:c>
      <x:c r="C446" s="1" t="str">
        <x:v>Костюмы</x:v>
      </x:c>
      <x:c r="D446" s="9" t="n">
        <x:v>9.4</x:v>
      </x:c>
      <x:c r="E446" s="8" t="n">
        <x:v>52490</x:v>
      </x:c>
      <x:c r="F446" s="8" t="n">
        <x:v>896</x:v>
      </x:c>
      <x:c r="G446" s="8" t="n">
        <x:v>472419</x:v>
      </x:c>
      <x:c r="H446" s="8" t="n">
        <x:v>2</x:v>
      </x:c>
      <x:c r="I446" s="8" t="n">
        <x:v>0</x:v>
      </x:c>
      <x:c r="J446" s="8" t="n">
        <x:v>322</x:v>
      </x:c>
      <x:c r="K446" s="8" t="n">
        <x:v>1115</x:v>
      </x:c>
      <x:c r="L446" s="1" t="str">
        <x:v>Нет</x:v>
      </x:c>
      <x:c r="M446" s="1" t="n">
        <x:v>210936</x:v>
      </x:c>
    </x:row>
    <x:row r="447">
      <x:c r="A447" s="1" t="str">
        <x:v>45488953</x:v>
      </x:c>
      <x:c r="B447" s="1" t="str">
        <x:v>hudiman/деним</x:v>
      </x:c>
      <x:c r="C447" s="1" t="str">
        <x:v>Худи</x:v>
      </x:c>
      <x:c r="D447" s="9" t="n">
        <x:v>9.7</x:v>
      </x:c>
      <x:c r="E447" s="8" t="n">
        <x:v>24783</x:v>
      </x:c>
      <x:c r="F447" s="8" t="n">
        <x:v>480</x:v>
      </x:c>
      <x:c r="G447" s="8" t="n">
        <x:v>472291</x:v>
      </x:c>
      <x:c r="H447" s="8" t="n">
        <x:v>655</x:v>
      </x:c>
      <x:c r="I447" s="8" t="n">
        <x:v>0</x:v>
      </x:c>
      <x:c r="J447" s="8" t="n">
        <x:v>691</x:v>
      </x:c>
      <x:c r="K447" s="8" t="n">
        <x:v>2286</x:v>
      </x:c>
      <x:c r="L447" s="1" t="str">
        <x:v>Нет</x:v>
      </x:c>
      <x:c r="M447" s="1" t="n">
        <x:v>680398</x:v>
      </x:c>
    </x:row>
    <x:row r="448">
      <x:c r="A448" s="1" t="str">
        <x:v>314822395</x:v>
      </x:c>
      <x:c r="B448" s="1" t="str">
        <x:v>2Nitkalong3D-76print/TDGrushing-236/белый</x:v>
      </x:c>
      <x:c r="C448" s="1" t="str">
        <x:v>Лонгсливы</x:v>
      </x:c>
      <x:c r="D448" s="9" t="n">
        <x:v>8.7</x:v>
      </x:c>
      <x:c r="E448" s="8" t="n">
        <x:v>70913</x:v>
      </x:c>
      <x:c r="F448" s="8" t="n">
        <x:v>910</x:v>
      </x:c>
      <x:c r="G448" s="8" t="n">
        <x:v>470397</x:v>
      </x:c>
      <x:c r="H448" s="8" t="n">
        <x:v>26</x:v>
      </x:c>
      <x:c r="I448" s="8" t="n">
        <x:v>0</x:v>
      </x:c>
      <x:c r="J448" s="8" t="n">
        <x:v>188</x:v>
      </x:c>
      <x:c r="K448" s="8" t="n">
        <x:v>1476</x:v>
      </x:c>
      <x:c r="L448" s="1" t="str">
        <x:v>Нет</x:v>
      </x:c>
      <x:c r="M448" s="1" t="n">
        <x:v>115500</x:v>
      </x:c>
    </x:row>
    <x:row r="449">
      <x:c r="A449" s="1" t="str">
        <x:v>236026601</x:v>
      </x:c>
      <x:c r="B449" s="1" t="str">
        <x:v>futbolkaprint/Oops-161/молочный</x:v>
      </x:c>
      <x:c r="C449" s="1" t="str">
        <x:v>Футболки</x:v>
      </x:c>
      <x:c r="D449" s="9" t="n">
        <x:v>9.7</x:v>
      </x:c>
      <x:c r="E449" s="8" t="n">
        <x:v>76647</x:v>
      </x:c>
      <x:c r="F449" s="8" t="n">
        <x:v>903</x:v>
      </x:c>
      <x:c r="G449" s="8" t="n">
        <x:v>470166</x:v>
      </x:c>
      <x:c r="H449" s="8" t="n">
        <x:v>9</x:v>
      </x:c>
      <x:c r="I449" s="8" t="n">
        <x:v>0</x:v>
      </x:c>
      <x:c r="J449" s="8" t="n">
        <x:v>812</x:v>
      </x:c>
      <x:c r="K449" s="8" t="n">
        <x:v>1252</x:v>
      </x:c>
      <x:c r="L449" s="1" t="str">
        <x:v>Нет</x:v>
      </x:c>
      <x:c r="M449" s="1" t="n">
        <x:v>517304</x:v>
      </x:c>
    </x:row>
    <x:row r="450">
      <x:c r="A450" s="1" t="str">
        <x:v>320401321</x:v>
      </x:c>
      <x:c r="B450" s="1" t="str">
        <x:v>futbolkaprint/vision-246/розовый</x:v>
      </x:c>
      <x:c r="C450" s="1" t="str">
        <x:v>Футболки</x:v>
      </x:c>
      <x:c r="D450" s="9" t="n">
        <x:v>9.7</x:v>
      </x:c>
      <x:c r="E450" s="8" t="n">
        <x:v>162694</x:v>
      </x:c>
      <x:c r="F450" s="8" t="n">
        <x:v>846</x:v>
      </x:c>
      <x:c r="G450" s="8" t="n">
        <x:v>469998</x:v>
      </x:c>
      <x:c r="H450" s="8" t="n">
        <x:v>376</x:v>
      </x:c>
      <x:c r="I450" s="8" t="n">
        <x:v>0</x:v>
      </x:c>
      <x:c r="J450" s="8" t="n">
        <x:v>408</x:v>
      </x:c>
      <x:c r="K450" s="8" t="n">
        <x:v>1215</x:v>
      </x:c>
      <x:c r="L450" s="1" t="str">
        <x:v>Нет</x:v>
      </x:c>
      <x:c r="M450" s="1" t="n">
        <x:v>272207</x:v>
      </x:c>
    </x:row>
    <x:row r="451">
      <x:c r="A451" s="1" t="str">
        <x:v>219109888</x:v>
      </x:c>
      <x:c r="B451" s="1" t="str">
        <x:v>futbolkaprint/MEDUSA-17/зелено-серый</x:v>
      </x:c>
      <x:c r="C451" s="1" t="str">
        <x:v>Футболки</x:v>
      </x:c>
      <x:c r="D451" s="9" t="n">
        <x:v>8.7</x:v>
      </x:c>
      <x:c r="E451" s="8" t="n">
        <x:v>60698</x:v>
      </x:c>
      <x:c r="F451" s="8" t="n">
        <x:v>778</x:v>
      </x:c>
      <x:c r="G451" s="8" t="n">
        <x:v>468772</x:v>
      </x:c>
      <x:c r="H451" s="8" t="n">
        <x:v>4</x:v>
      </x:c>
      <x:c r="I451" s="8" t="n">
        <x:v>0</x:v>
      </x:c>
      <x:c r="J451" s="8" t="n">
        <x:v>532</x:v>
      </x:c>
      <x:c r="K451" s="8" t="n">
        <x:v>967</x:v>
      </x:c>
      <x:c r="L451" s="1" t="str">
        <x:v>Нет</x:v>
      </x:c>
      <x:c r="M451" s="1" t="n">
        <x:v>338855</x:v>
      </x:c>
    </x:row>
    <x:row r="452">
      <x:c r="A452" s="1" t="str">
        <x:v>228407607</x:v>
      </x:c>
      <x:c r="B452" s="1" t="str">
        <x:v>futbolkaprint/Miracles-147/белый</x:v>
      </x:c>
      <x:c r="C452" s="1" t="str">
        <x:v>Футболки</x:v>
      </x:c>
      <x:c r="D452" s="9" t="n">
        <x:v>8.7</x:v>
      </x:c>
      <x:c r="E452" s="8" t="n">
        <x:v>50380</x:v>
      </x:c>
      <x:c r="F452" s="8" t="n">
        <x:v>720</x:v>
      </x:c>
      <x:c r="G452" s="8" t="n">
        <x:v>468187</x:v>
      </x:c>
      <x:c r="H452" s="8" t="n">
        <x:v>3</x:v>
      </x:c>
      <x:c r="I452" s="8" t="n">
        <x:v>0</x:v>
      </x:c>
      <x:c r="J452" s="8" t="n">
        <x:v>865</x:v>
      </x:c>
      <x:c r="K452" s="8" t="n">
        <x:v>1235</x:v>
      </x:c>
      <x:c r="L452" s="1" t="str">
        <x:v>Нет</x:v>
      </x:c>
      <x:c r="M452" s="1" t="n">
        <x:v>567552</x:v>
      </x:c>
    </x:row>
    <x:row r="453">
      <x:c r="A453" s="1" t="str">
        <x:v>320424592</x:v>
      </x:c>
      <x:c r="B453" s="1" t="str">
        <x:v>brukizshp3P-S-1/серый</x:v>
      </x:c>
      <x:c r="C453" s="1" t="str">
        <x:v>Брюки</x:v>
      </x:c>
      <x:c r="D453" s="9" t="n">
        <x:v>8.4</x:v>
      </x:c>
      <x:c r="E453" s="8" t="n">
        <x:v>66196</x:v>
      </x:c>
      <x:c r="F453" s="8" t="n">
        <x:v>594</x:v>
      </x:c>
      <x:c r="G453" s="8" t="n">
        <x:v>467200</x:v>
      </x:c>
      <x:c r="H453" s="8" t="n">
        <x:v>191</x:v>
      </x:c>
      <x:c r="I453" s="8" t="n">
        <x:v>0</x:v>
      </x:c>
      <x:c r="J453" s="8" t="n">
        <x:v>103</x:v>
      </x:c>
      <x:c r="K453" s="8" t="n">
        <x:v>3002</x:v>
      </x:c>
      <x:c r="L453" s="1" t="str">
        <x:v>Нет</x:v>
      </x:c>
      <x:c r="M453" s="1" t="n">
        <x:v>84000</x:v>
      </x:c>
    </x:row>
    <x:row r="454">
      <x:c r="A454" s="1" t="str">
        <x:v>344442568</x:v>
      </x:c>
      <x:c r="B454" s="1" t="str">
        <x:v>2Ntshirt/бордовый</x:v>
      </x:c>
      <x:c r="C454" s="1" t="str">
        <x:v>Футболки</x:v>
      </x:c>
      <x:c r="D454" s="9" t="n">
        <x:v>8.2</x:v>
      </x:c>
      <x:c r="E454" s="8" t="n">
        <x:v>166887</x:v>
      </x:c>
      <x:c r="F454" s="8" t="n">
        <x:v>1314</x:v>
      </x:c>
      <x:c r="G454" s="8" t="n">
        <x:v>466817</x:v>
      </x:c>
      <x:c r="H454" s="8" t="n">
        <x:v>93</x:v>
      </x:c>
      <x:c r="I454" s="8" t="n">
        <x:v>0</x:v>
      </x:c>
      <x:c r="J454" s="8" t="n">
        <x:v>0</x:v>
      </x:c>
      <x:c r="K454" s="8" t="n">
        <x:v>1198</x:v>
      </x:c>
      <x:c r="L454" s="1" t="str">
        <x:v>Нет</x:v>
      </x:c>
      <x:c r="M454" s="1" t="n">
        <x:v>0</x:v>
      </x:c>
    </x:row>
    <x:row r="455">
      <x:c r="A455" s="1" t="str">
        <x:v>311049922</x:v>
      </x:c>
      <x:c r="B455" s="1" t="str">
        <x:v>hudimanpetl/молочный</x:v>
      </x:c>
      <x:c r="C455" s="1" t="str">
        <x:v>Худи</x:v>
      </x:c>
      <x:c r="D455" s="9" t="n">
        <x:v>8.7</x:v>
      </x:c>
      <x:c r="E455" s="8" t="n">
        <x:v>14297</x:v>
      </x:c>
      <x:c r="F455" s="8" t="n">
        <x:v>511</x:v>
      </x:c>
      <x:c r="G455" s="8" t="n">
        <x:v>465779</x:v>
      </x:c>
      <x:c r="H455" s="8" t="n">
        <x:v>192</x:v>
      </x:c>
      <x:c r="I455" s="8" t="n">
        <x:v>0</x:v>
      </x:c>
      <x:c r="J455" s="8" t="n">
        <x:v>223</x:v>
      </x:c>
      <x:c r="K455" s="8" t="n">
        <x:v>2548</x:v>
      </x:c>
      <x:c r="L455" s="1" t="str">
        <x:v>Нет</x:v>
      </x:c>
      <x:c r="M455" s="1" t="n">
        <x:v>323850</x:v>
      </x:c>
    </x:row>
    <x:row r="456">
      <x:c r="A456" s="1" t="str">
        <x:v>246362917</x:v>
      </x:c>
      <x:c r="B456" s="1" t="str">
        <x:v>tolstovkazipman/белый</x:v>
      </x:c>
      <x:c r="C456" s="1" t="str">
        <x:v>Худи</x:v>
      </x:c>
      <x:c r="D456" s="9" t="n">
        <x:v>9</x:v>
      </x:c>
      <x:c r="E456" s="8" t="n">
        <x:v>18186</x:v>
      </x:c>
      <x:c r="F456" s="8" t="n">
        <x:v>457</x:v>
      </x:c>
      <x:c r="G456" s="8" t="n">
        <x:v>464552</x:v>
      </x:c>
      <x:c r="H456" s="8" t="n">
        <x:v>114</x:v>
      </x:c>
      <x:c r="I456" s="8" t="n">
        <x:v>0</x:v>
      </x:c>
      <x:c r="J456" s="8" t="n">
        <x:v>648</x:v>
      </x:c>
      <x:c r="K456" s="8" t="n">
        <x:v>2873</x:v>
      </x:c>
      <x:c r="L456" s="1" t="str">
        <x:v>Нет</x:v>
      </x:c>
      <x:c r="M456" s="1" t="n">
        <x:v>664910</x:v>
      </x:c>
    </x:row>
    <x:row r="457">
      <x:c r="A457" s="1" t="str">
        <x:v>79932684</x:v>
      </x:c>
      <x:c r="B457" s="1" t="str">
        <x:v>futbolka_mary/бордовый</x:v>
      </x:c>
      <x:c r="C457" s="1" t="str">
        <x:v>Футболки</x:v>
      </x:c>
      <x:c r="D457" s="9" t="n">
        <x:v>7.2</x:v>
      </x:c>
      <x:c r="E457" s="8" t="n">
        <x:v>44283</x:v>
      </x:c>
      <x:c r="F457" s="8" t="n">
        <x:v>1250</x:v>
      </x:c>
      <x:c r="G457" s="8" t="n">
        <x:v>463665</x:v>
      </x:c>
      <x:c r="H457" s="8" t="n">
        <x:v>57</x:v>
      </x:c>
      <x:c r="I457" s="8" t="n">
        <x:v>0</x:v>
      </x:c>
      <x:c r="J457" s="8" t="n">
        <x:v>0</x:v>
      </x:c>
      <x:c r="K457" s="8" t="n">
        <x:v>606</x:v>
      </x:c>
      <x:c r="L457" s="1" t="str">
        <x:v>Нет</x:v>
      </x:c>
      <x:c r="M457" s="1" t="n">
        <x:v>0</x:v>
      </x:c>
    </x:row>
    <x:row r="458">
      <x:c r="A458" s="1" t="str">
        <x:v>332680051</x:v>
      </x:c>
      <x:c r="B458" s="1" t="str">
        <x:v>vshirt3K-99/белый</x:v>
      </x:c>
      <x:c r="C458" s="1" t="str">
        <x:v>Футболки</x:v>
      </x:c>
      <x:c r="D458" s="9" t="n">
        <x:v>8.2</x:v>
      </x:c>
      <x:c r="E458" s="8" t="n">
        <x:v>86695</x:v>
      </x:c>
      <x:c r="F458" s="8" t="n">
        <x:v>1471</x:v>
      </x:c>
      <x:c r="G458" s="8" t="n">
        <x:v>461872</x:v>
      </x:c>
      <x:c r="H458" s="8" t="n">
        <x:v>6</x:v>
      </x:c>
      <x:c r="I458" s="8" t="n">
        <x:v>0</x:v>
      </x:c>
      <x:c r="J458" s="8" t="n">
        <x:v>0</x:v>
      </x:c>
      <x:c r="K458" s="8" t="n">
        <x:v>699</x:v>
      </x:c>
      <x:c r="L458" s="1" t="str">
        <x:v>Нет</x:v>
      </x:c>
      <x:c r="M458" s="1" t="n">
        <x:v>0</x:v>
      </x:c>
    </x:row>
    <x:row r="459">
      <x:c r="A459" s="1" t="str">
        <x:v>256323231</x:v>
      </x:c>
      <x:c r="B459" s="1" t="str">
        <x:v>futhlopmanover/черный</x:v>
      </x:c>
      <x:c r="C459" s="1" t="str">
        <x:v>Футболки</x:v>
      </x:c>
      <x:c r="D459" s="9" t="n">
        <x:v>8.7</x:v>
      </x:c>
      <x:c r="E459" s="8" t="n">
        <x:v>24108</x:v>
      </x:c>
      <x:c r="F459" s="8" t="n">
        <x:v>1095</x:v>
      </x:c>
      <x:c r="G459" s="8" t="n">
        <x:v>461272</x:v>
      </x:c>
      <x:c r="H459" s="8" t="n">
        <x:v>380</x:v>
      </x:c>
      <x:c r="I459" s="8" t="n">
        <x:v>0</x:v>
      </x:c>
      <x:c r="J459" s="8" t="n">
        <x:v>0</x:v>
      </x:c>
      <x:c r="K459" s="8" t="n">
        <x:v>915</x:v>
      </x:c>
      <x:c r="L459" s="1" t="str">
        <x:v>Нет</x:v>
      </x:c>
      <x:c r="M459" s="1" t="n">
        <x:v>0</x:v>
      </x:c>
    </x:row>
    <x:row r="460">
      <x:c r="A460" s="1" t="str">
        <x:v>348218022</x:v>
      </x:c>
      <x:c r="B460" s="1" t="str">
        <x:v>bodyskims/бордовый</x:v>
      </x:c>
      <x:c r="C460" s="1" t="str">
        <x:v>Блузки-боди</x:v>
      </x:c>
      <x:c r="D460" s="9" t="n">
        <x:v>8.7</x:v>
      </x:c>
      <x:c r="E460" s="8" t="n">
        <x:v>50996</x:v>
      </x:c>
      <x:c r="F460" s="8" t="n">
        <x:v>863</x:v>
      </x:c>
      <x:c r="G460" s="8" t="n">
        <x:v>460198</x:v>
      </x:c>
      <x:c r="H460" s="8" t="n">
        <x:v>23</x:v>
      </x:c>
      <x:c r="I460" s="8" t="n">
        <x:v>0</x:v>
      </x:c>
      <x:c r="J460" s="8" t="n">
        <x:v>0</x:v>
      </x:c>
      <x:c r="K460" s="8" t="n">
        <x:v>1029</x:v>
      </x:c>
      <x:c r="L460" s="1" t="str">
        <x:v>Нет</x:v>
      </x:c>
      <x:c r="M460" s="1" t="n">
        <x:v>0</x:v>
      </x:c>
    </x:row>
    <x:row r="461">
      <x:c r="A461" s="1" t="str">
        <x:v>320420252</x:v>
      </x:c>
      <x:c r="B461" s="1" t="str">
        <x:v>palazzoshnurok/молочный</x:v>
      </x:c>
      <x:c r="C461" s="1" t="str">
        <x:v>Брюки</x:v>
      </x:c>
      <x:c r="D461" s="9" t="n">
        <x:v>8.7</x:v>
      </x:c>
      <x:c r="E461" s="8" t="n">
        <x:v>39144</x:v>
      </x:c>
      <x:c r="F461" s="8" t="n">
        <x:v>902</x:v>
      </x:c>
      <x:c r="G461" s="8" t="n">
        <x:v>459281</x:v>
      </x:c>
      <x:c r="H461" s="8" t="n">
        <x:v>132</x:v>
      </x:c>
      <x:c r="I461" s="8" t="n">
        <x:v>0</x:v>
      </x:c>
      <x:c r="J461" s="8" t="n">
        <x:v>0</x:v>
      </x:c>
      <x:c r="K461" s="8" t="n">
        <x:v>2305</x:v>
      </x:c>
      <x:c r="L461" s="1" t="str">
        <x:v>Нет</x:v>
      </x:c>
      <x:c r="M461" s="1" t="n">
        <x:v>0</x:v>
      </x:c>
    </x:row>
    <x:row r="462">
      <x:c r="A462" s="1" t="str">
        <x:v>266144493</x:v>
      </x:c>
      <x:c r="B462" s="1" t="str">
        <x:v>hudiprint/SPB-219/молочный</x:v>
      </x:c>
      <x:c r="C462" s="1" t="str">
        <x:v>Худи</x:v>
      </x:c>
      <x:c r="D462" s="9" t="n">
        <x:v>9.7</x:v>
      </x:c>
      <x:c r="E462" s="8" t="n">
        <x:v>27549</x:v>
      </x:c>
      <x:c r="F462" s="8" t="n">
        <x:v>376</x:v>
      </x:c>
      <x:c r="G462" s="8" t="n">
        <x:v>457896</x:v>
      </x:c>
      <x:c r="H462" s="8" t="n">
        <x:v>5</x:v>
      </x:c>
      <x:c r="I462" s="8" t="n">
        <x:v>0</x:v>
      </x:c>
      <x:c r="J462" s="8" t="n">
        <x:v>514</x:v>
      </x:c>
      <x:c r="K462" s="8" t="n">
        <x:v>2659</x:v>
      </x:c>
      <x:c r="L462" s="1" t="str">
        <x:v>Нет</x:v>
      </x:c>
      <x:c r="M462" s="1" t="n">
        <x:v>663000</x:v>
      </x:c>
    </x:row>
    <x:row r="463">
      <x:c r="A463" s="1" t="str">
        <x:v>321626942</x:v>
      </x:c>
      <x:c r="B463" s="1" t="str">
        <x:v>tanktop3K-S9/черный</x:v>
      </x:c>
      <x:c r="C463" s="1" t="str">
        <x:v>Футболки</x:v>
      </x:c>
      <x:c r="D463" s="9" t="n">
        <x:v>6.7</x:v>
      </x:c>
      <x:c r="E463" s="8" t="n">
        <x:v>97932</x:v>
      </x:c>
      <x:c r="F463" s="8" t="n">
        <x:v>1273</x:v>
      </x:c>
      <x:c r="G463" s="8" t="n">
        <x:v>457470</x:v>
      </x:c>
      <x:c r="H463" s="8" t="n">
        <x:v>513</x:v>
      </x:c>
      <x:c r="I463" s="8" t="n">
        <x:v>0</x:v>
      </x:c>
      <x:c r="J463" s="8" t="n">
        <x:v>405</x:v>
      </x:c>
      <x:c r="K463" s="8" t="n">
        <x:v>720</x:v>
      </x:c>
      <x:c r="L463" s="1" t="str">
        <x:v>Нет</x:v>
      </x:c>
      <x:c r="M463" s="1" t="n">
        <x:v>167969</x:v>
      </x:c>
    </x:row>
    <x:row r="464">
      <x:c r="A464" s="1" t="str">
        <x:v>311462399</x:v>
      </x:c>
      <x:c r="B464" s="1" t="str">
        <x:v>brukimanpetl/дымка</x:v>
      </x:c>
      <x:c r="C464" s="1" t="str">
        <x:v>Брюки</x:v>
      </x:c>
      <x:c r="D464" s="9" t="n">
        <x:v>8.7</x:v>
      </x:c>
      <x:c r="E464" s="8" t="n">
        <x:v>29827</x:v>
      </x:c>
      <x:c r="F464" s="8" t="n">
        <x:v>546</x:v>
      </x:c>
      <x:c r="G464" s="8" t="n">
        <x:v>456424</x:v>
      </x:c>
      <x:c r="H464" s="8" t="n">
        <x:v>5</x:v>
      </x:c>
      <x:c r="I464" s="8" t="n">
        <x:v>0</x:v>
      </x:c>
      <x:c r="J464" s="8" t="n">
        <x:v>422</x:v>
      </x:c>
      <x:c r="K464" s="8" t="n">
        <x:v>2650</x:v>
      </x:c>
      <x:c r="L464" s="1" t="str">
        <x:v>Нет</x:v>
      </x:c>
      <x:c r="M464" s="1" t="n">
        <x:v>370848</x:v>
      </x:c>
    </x:row>
    <x:row r="465">
      <x:c r="A465" s="1" t="str">
        <x:v>320258157</x:v>
      </x:c>
      <x:c r="B465" s="1" t="str">
        <x:v>svitpal/черный</x:v>
      </x:c>
      <x:c r="C465" s="1" t="str">
        <x:v>Костюмы спортивные</x:v>
      </x:c>
      <x:c r="D465" s="9" t="n">
        <x:v>8.4</x:v>
      </x:c>
      <x:c r="E465" s="8" t="n">
        <x:v>76384</x:v>
      </x:c>
      <x:c r="F465" s="8" t="n">
        <x:v>684</x:v>
      </x:c>
      <x:c r="G465" s="8" t="n">
        <x:v>455451</x:v>
      </x:c>
      <x:c r="H465" s="8" t="n">
        <x:v>78</x:v>
      </x:c>
      <x:c r="I465" s="8" t="n">
        <x:v>0</x:v>
      </x:c>
      <x:c r="J465" s="8" t="n">
        <x:v>408</x:v>
      </x:c>
      <x:c r="K465" s="8" t="n">
        <x:v>4529</x:v>
      </x:c>
      <x:c r="L465" s="1" t="str">
        <x:v>Нет</x:v>
      </x:c>
      <x:c r="M465" s="1" t="n">
        <x:v>435072</x:v>
      </x:c>
    </x:row>
    <x:row r="466">
      <x:c r="A466" s="1" t="str">
        <x:v>295989785</x:v>
      </x:c>
      <x:c r="B466" s="1" t="str">
        <x:v>hudicropprint/vision-246/светло-розовый</x:v>
      </x:c>
      <x:c r="C466" s="1" t="str">
        <x:v>Худи</x:v>
      </x:c>
      <x:c r="D466" s="9" t="n">
        <x:v>9.7</x:v>
      </x:c>
      <x:c r="E466" s="8" t="n">
        <x:v>45817</x:v>
      </x:c>
      <x:c r="F466" s="8" t="n">
        <x:v>370</x:v>
      </x:c>
      <x:c r="G466" s="8" t="n">
        <x:v>453703</x:v>
      </x:c>
      <x:c r="H466" s="8" t="n">
        <x:v>14</x:v>
      </x:c>
      <x:c r="I466" s="8" t="n">
        <x:v>0</x:v>
      </x:c>
      <x:c r="J466" s="8" t="n">
        <x:v>775</x:v>
      </x:c>
      <x:c r="K466" s="8" t="n">
        <x:v>3287</x:v>
      </x:c>
      <x:c r="L466" s="1" t="str">
        <x:v>Нет</x:v>
      </x:c>
      <x:c r="M466" s="1" t="n">
        <x:v>1082813</x:v>
      </x:c>
    </x:row>
    <x:row r="467">
      <x:c r="A467" s="1" t="str">
        <x:v>117963345</x:v>
      </x:c>
      <x:c r="B467" s="1" t="str">
        <x:v>hudiman/кофейный</x:v>
      </x:c>
      <x:c r="C467" s="1" t="str">
        <x:v>Худи</x:v>
      </x:c>
      <x:c r="D467" s="9" t="n">
        <x:v>9.7</x:v>
      </x:c>
      <x:c r="E467" s="8" t="n">
        <x:v>18849</x:v>
      </x:c>
      <x:c r="F467" s="8" t="n">
        <x:v>518</x:v>
      </x:c>
      <x:c r="G467" s="8" t="n">
        <x:v>453077</x:v>
      </x:c>
      <x:c r="H467" s="8" t="n">
        <x:v>1235</x:v>
      </x:c>
      <x:c r="I467" s="8" t="n">
        <x:v>0</x:v>
      </x:c>
      <x:c r="J467" s="8" t="n">
        <x:v>648</x:v>
      </x:c>
      <x:c r="K467" s="8" t="n">
        <x:v>2366</x:v>
      </x:c>
      <x:c r="L467" s="1" t="str">
        <x:v>Нет</x:v>
      </x:c>
      <x:c r="M467" s="1" t="n">
        <x:v>567963</x:v>
      </x:c>
    </x:row>
    <x:row r="468">
      <x:c r="A468" s="1" t="str">
        <x:v>210514810</x:v>
      </x:c>
      <x:c r="B468" s="1" t="str">
        <x:v>kostkulirkacrop/какао</x:v>
      </x:c>
      <x:c r="C468" s="1" t="str">
        <x:v>Костюмы</x:v>
      </x:c>
      <x:c r="D468" s="9" t="n">
        <x:v>9.4</x:v>
      </x:c>
      <x:c r="E468" s="8" t="n">
        <x:v>58543</x:v>
      </x:c>
      <x:c r="F468" s="8" t="n">
        <x:v>825</x:v>
      </x:c>
      <x:c r="G468" s="8" t="n">
        <x:v>452677</x:v>
      </x:c>
      <x:c r="H468" s="8" t="n">
        <x:v>6</x:v>
      </x:c>
      <x:c r="I468" s="8" t="n">
        <x:v>0</x:v>
      </x:c>
      <x:c r="J468" s="8" t="n">
        <x:v>461</x:v>
      </x:c>
      <x:c r="K468" s="8" t="n">
        <x:v>1206</x:v>
      </x:c>
      <x:c r="L468" s="1" t="str">
        <x:v>Нет</x:v>
      </x:c>
      <x:c r="M468" s="1" t="n">
        <x:v>291281</x:v>
      </x:c>
    </x:row>
    <x:row r="469">
      <x:c r="A469" s="1" t="str">
        <x:v>210514812</x:v>
      </x:c>
      <x:c r="B469" s="1" t="str">
        <x:v>kostkulirkacrop/фуксия</x:v>
      </x:c>
      <x:c r="C469" s="1" t="str">
        <x:v>Костюмы</x:v>
      </x:c>
      <x:c r="D469" s="9" t="n">
        <x:v>9.4</x:v>
      </x:c>
      <x:c r="E469" s="8" t="n">
        <x:v>50189</x:v>
      </x:c>
      <x:c r="F469" s="8" t="n">
        <x:v>741</x:v>
      </x:c>
      <x:c r="G469" s="8" t="n">
        <x:v>451159</x:v>
      </x:c>
      <x:c r="H469" s="8" t="n">
        <x:v>2</x:v>
      </x:c>
      <x:c r="I469" s="8" t="n">
        <x:v>0</x:v>
      </x:c>
      <x:c r="J469" s="8" t="n">
        <x:v>512</x:v>
      </x:c>
      <x:c r="K469" s="8" t="n">
        <x:v>1234</x:v>
      </x:c>
      <x:c r="L469" s="1" t="str">
        <x:v>Нет</x:v>
      </x:c>
      <x:c r="M469" s="1" t="n">
        <x:v>313957</x:v>
      </x:c>
    </x:row>
    <x:row r="470">
      <x:c r="A470" s="1" t="str">
        <x:v>240808478</x:v>
      </x:c>
      <x:c r="B470" s="1" t="str">
        <x:v>hudigirl/черный</x:v>
      </x:c>
      <x:c r="C470" s="1" t="str">
        <x:v>Худи</x:v>
      </x:c>
      <x:c r="D470" s="9" t="n">
        <x:v>7.7</x:v>
      </x:c>
      <x:c r="E470" s="8" t="n">
        <x:v>23894</x:v>
      </x:c>
      <x:c r="F470" s="8" t="n">
        <x:v>567</x:v>
      </x:c>
      <x:c r="G470" s="8" t="n">
        <x:v>450327</x:v>
      </x:c>
      <x:c r="H470" s="8" t="n">
        <x:v>157</x:v>
      </x:c>
      <x:c r="I470" s="8" t="n">
        <x:v>0</x:v>
      </x:c>
      <x:c r="J470" s="8" t="n">
        <x:v>810</x:v>
      </x:c>
      <x:c r="K470" s="8" t="n">
        <x:v>1290</x:v>
      </x:c>
      <x:c r="L470" s="1" t="str">
        <x:v>Нет</x:v>
      </x:c>
      <x:c r="M470" s="1" t="n">
        <x:v>632825</x:v>
      </x:c>
    </x:row>
    <x:row r="471">
      <x:c r="A471" s="1" t="str">
        <x:v>216149972</x:v>
      </x:c>
      <x:c r="B471" s="1" t="str">
        <x:v>hudivish/Community-95/молочный</x:v>
      </x:c>
      <x:c r="C471" s="1" t="str">
        <x:v>Худи</x:v>
      </x:c>
      <x:c r="D471" s="9" t="n">
        <x:v>7.7</x:v>
      </x:c>
      <x:c r="E471" s="8" t="n">
        <x:v>39472</x:v>
      </x:c>
      <x:c r="F471" s="8" t="n">
        <x:v>555</x:v>
      </x:c>
      <x:c r="G471" s="8" t="n">
        <x:v>449707</x:v>
      </x:c>
      <x:c r="H471" s="8" t="n">
        <x:v>96</x:v>
      </x:c>
      <x:c r="I471" s="8" t="n">
        <x:v>0</x:v>
      </x:c>
      <x:c r="J471" s="8" t="n">
        <x:v>146</x:v>
      </x:c>
      <x:c r="K471" s="8" t="n">
        <x:v>2476</x:v>
      </x:c>
      <x:c r="L471" s="1" t="str">
        <x:v>Нет</x:v>
      </x:c>
      <x:c r="M471" s="1" t="n">
        <x:v>130019</x:v>
      </x:c>
    </x:row>
    <x:row r="472">
      <x:c r="A472" s="1" t="str">
        <x:v>236190476</x:v>
      </x:c>
      <x:c r="B472" s="1" t="str">
        <x:v>futbolkaprint100/Duma-61/вареныйсерый</x:v>
      </x:c>
      <x:c r="C472" s="1" t="str">
        <x:v>Футболки</x:v>
      </x:c>
      <x:c r="D472" s="9" t="n">
        <x:v>8.7</x:v>
      </x:c>
      <x:c r="E472" s="8" t="n">
        <x:v>71772</x:v>
      </x:c>
      <x:c r="F472" s="8" t="n">
        <x:v>770</x:v>
      </x:c>
      <x:c r="G472" s="8" t="n">
        <x:v>449309</x:v>
      </x:c>
      <x:c r="H472" s="8" t="n">
        <x:v>135</x:v>
      </x:c>
      <x:c r="I472" s="8" t="n">
        <x:v>0</x:v>
      </x:c>
      <x:c r="J472" s="8" t="n">
        <x:v>0</x:v>
      </x:c>
      <x:c r="K472" s="8" t="n">
        <x:v>1142</x:v>
      </x:c>
      <x:c r="L472" s="1" t="str">
        <x:v>Нет</x:v>
      </x:c>
      <x:c r="M472" s="1" t="n">
        <x:v>0</x:v>
      </x:c>
    </x:row>
    <x:row r="473">
      <x:c r="A473" s="1" t="str">
        <x:v>322133008</x:v>
      </x:c>
      <x:c r="B473" s="1" t="str">
        <x:v>shorts3n3P-87/серыймеланж2</x:v>
      </x:c>
      <x:c r="C473" s="1" t="str">
        <x:v>Шорты</x:v>
      </x:c>
      <x:c r="D473" s="9" t="n">
        <x:v>7.9</x:v>
      </x:c>
      <x:c r="E473" s="8" t="n">
        <x:v>40443</x:v>
      </x:c>
      <x:c r="F473" s="8" t="n">
        <x:v>819</x:v>
      </x:c>
      <x:c r="G473" s="8" t="n">
        <x:v>448491</x:v>
      </x:c>
      <x:c r="H473" s="8" t="n">
        <x:v>114</x:v>
      </x:c>
      <x:c r="I473" s="8" t="n">
        <x:v>0</x:v>
      </x:c>
      <x:c r="J473" s="8" t="n">
        <x:v>32</x:v>
      </x:c>
      <x:c r="K473" s="8" t="n">
        <x:v>1304</x:v>
      </x:c>
      <x:c r="L473" s="1" t="str">
        <x:v>Нет</x:v>
      </x:c>
      <x:c r="M473" s="1" t="n">
        <x:v>15097</x:v>
      </x:c>
    </x:row>
    <x:row r="474">
      <x:c r="A474" s="1" t="str">
        <x:v>211596874</x:v>
      </x:c>
      <x:c r="B474" s="1" t="str">
        <x:v>tolstovkazipprint/MoreSelf-44/молочный</x:v>
      </x:c>
      <x:c r="C474" s="1" t="str">
        <x:v>Худи</x:v>
      </x:c>
      <x:c r="D474" s="9" t="n">
        <x:v>6.7</x:v>
      </x:c>
      <x:c r="E474" s="8" t="n">
        <x:v>31031</x:v>
      </x:c>
      <x:c r="F474" s="8" t="n">
        <x:v>260</x:v>
      </x:c>
      <x:c r="G474" s="8" t="n">
        <x:v>448246</x:v>
      </x:c>
      <x:c r="H474" s="8" t="n">
        <x:v>0</x:v>
      </x:c>
      <x:c r="I474" s="8" t="n">
        <x:v>0</x:v>
      </x:c>
      <x:c r="J474" s="8" t="n">
        <x:v>438</x:v>
      </x:c>
      <x:c r="K474" s="8" t="n">
        <x:v>3558</x:v>
      </x:c>
      <x:c r="L474" s="1" t="str">
        <x:v>Нет</x:v>
      </x:c>
      <x:c r="M474" s="1" t="n">
        <x:v>716888</x:v>
      </x:c>
    </x:row>
    <x:row r="475">
      <x:c r="A475" s="1" t="str">
        <x:v>280030827</x:v>
      </x:c>
      <x:c r="B475" s="1" t="str">
        <x:v>svitshotzipman2/коричневый</x:v>
      </x:c>
      <x:c r="C475" s="1" t="str">
        <x:v>Свитшоты</x:v>
      </x:c>
      <x:c r="D475" s="9" t="n">
        <x:v>9.7</x:v>
      </x:c>
      <x:c r="E475" s="8" t="n">
        <x:v>26239</x:v>
      </x:c>
      <x:c r="F475" s="8" t="n">
        <x:v>462</x:v>
      </x:c>
      <x:c r="G475" s="8" t="n">
        <x:v>448222</x:v>
      </x:c>
      <x:c r="H475" s="8" t="n">
        <x:v>3</x:v>
      </x:c>
      <x:c r="I475" s="8" t="n">
        <x:v>0</x:v>
      </x:c>
      <x:c r="J475" s="8" t="n">
        <x:v>320</x:v>
      </x:c>
      <x:c r="K475" s="8" t="n">
        <x:v>2585</x:v>
      </x:c>
      <x:c r="L475" s="1" t="str">
        <x:v>Нет</x:v>
      </x:c>
      <x:c r="M475" s="1" t="n">
        <x:v>280368</x:v>
      </x:c>
    </x:row>
    <x:row r="476">
      <x:c r="A476" s="1" t="str">
        <x:v>320424589</x:v>
      </x:c>
      <x:c r="B476" s="1" t="str">
        <x:v>brukizshp3P-S-1/черный</x:v>
      </x:c>
      <x:c r="C476" s="1" t="str">
        <x:v>Брюки</x:v>
      </x:c>
      <x:c r="D476" s="9" t="n">
        <x:v>8.4</x:v>
      </x:c>
      <x:c r="E476" s="8" t="n">
        <x:v>27066</x:v>
      </x:c>
      <x:c r="F476" s="8" t="n">
        <x:v>526</x:v>
      </x:c>
      <x:c r="G476" s="8" t="n">
        <x:v>448056</x:v>
      </x:c>
      <x:c r="H476" s="8" t="n">
        <x:v>869</x:v>
      </x:c>
      <x:c r="I476" s="8" t="n">
        <x:v>0</x:v>
      </x:c>
      <x:c r="J476" s="8" t="n">
        <x:v>123</x:v>
      </x:c>
      <x:c r="K476" s="8" t="n">
        <x:v>2835</x:v>
      </x:c>
      <x:c r="L476" s="1" t="str">
        <x:v>Нет</x:v>
      </x:c>
      <x:c r="M476" s="1" t="n">
        <x:v>103600</x:v>
      </x:c>
    </x:row>
    <x:row r="477">
      <x:c r="A477" s="1" t="str">
        <x:v>333323580</x:v>
      </x:c>
      <x:c r="B477" s="1" t="str">
        <x:v>hudicroppetl/розовый</x:v>
      </x:c>
      <x:c r="C477" s="1" t="str">
        <x:v>Худи</x:v>
      </x:c>
      <x:c r="D477" s="9" t="n">
        <x:v>8.7</x:v>
      </x:c>
      <x:c r="E477" s="8" t="n">
        <x:v>31171</x:v>
      </x:c>
      <x:c r="F477" s="8" t="n">
        <x:v>501</x:v>
      </x:c>
      <x:c r="G477" s="8" t="n">
        <x:v>442206</x:v>
      </x:c>
      <x:c r="H477" s="8" t="n">
        <x:v>3</x:v>
      </x:c>
      <x:c r="I477" s="8" t="n">
        <x:v>0</x:v>
      </x:c>
      <x:c r="J477" s="8" t="n">
        <x:v>39</x:v>
      </x:c>
      <x:c r="K477" s="8" t="n">
        <x:v>2895</x:v>
      </x:c>
      <x:c r="L477" s="1" t="str">
        <x:v>Нет</x:v>
      </x:c>
      <x:c r="M477" s="1" t="n">
        <x:v>29000</x:v>
      </x:c>
    </x:row>
    <x:row r="478">
      <x:c r="A478" s="1" t="str">
        <x:v>165911163</x:v>
      </x:c>
      <x:c r="B478" s="1" t="str">
        <x:v>longman/коричневый</x:v>
      </x:c>
      <x:c r="C478" s="1" t="str">
        <x:v>Лонгсливы</x:v>
      </x:c>
      <x:c r="D478" s="9" t="n">
        <x:v>5.2</x:v>
      </x:c>
      <x:c r="E478" s="8" t="n">
        <x:v>25589</x:v>
      </x:c>
      <x:c r="F478" s="8" t="n">
        <x:v>920</x:v>
      </x:c>
      <x:c r="G478" s="8" t="n">
        <x:v>439064</x:v>
      </x:c>
      <x:c r="H478" s="8" t="n">
        <x:v>978</x:v>
      </x:c>
      <x:c r="I478" s="8" t="n">
        <x:v>0</x:v>
      </x:c>
      <x:c r="J478" s="8" t="n">
        <x:v>643</x:v>
      </x:c>
      <x:c r="K478" s="8" t="n">
        <x:v>978</x:v>
      </x:c>
      <x:c r="L478" s="1" t="str">
        <x:v>Нет</x:v>
      </x:c>
      <x:c r="M478" s="1" t="n">
        <x:v>356803</x:v>
      </x:c>
    </x:row>
    <x:row r="479">
      <x:c r="A479" s="1" t="str">
        <x:v>311045257</x:v>
      </x:c>
      <x:c r="B479" s="1" t="str">
        <x:v>hudipetl/дымка</x:v>
      </x:c>
      <x:c r="C479" s="1" t="str">
        <x:v>Худи</x:v>
      </x:c>
      <x:c r="D479" s="9" t="n">
        <x:v>8.7</x:v>
      </x:c>
      <x:c r="E479" s="8" t="n">
        <x:v>30773</x:v>
      </x:c>
      <x:c r="F479" s="8" t="n">
        <x:v>407</x:v>
      </x:c>
      <x:c r="G479" s="8" t="n">
        <x:v>438980</x:v>
      </x:c>
      <x:c r="H479" s="8" t="n">
        <x:v>3</x:v>
      </x:c>
      <x:c r="I479" s="8" t="n">
        <x:v>0</x:v>
      </x:c>
      <x:c r="J479" s="8" t="n">
        <x:v>960</x:v>
      </x:c>
      <x:c r="K479" s="8" t="n">
        <x:v>2945</x:v>
      </x:c>
      <x:c r="L479" s="1" t="str">
        <x:v>Нет</x:v>
      </x:c>
      <x:c r="M479" s="1" t="n">
        <x:v>907278</x:v>
      </x:c>
    </x:row>
    <x:row r="480">
      <x:c r="A480" s="1" t="str">
        <x:v>165757824</x:v>
      </x:c>
      <x:c r="B480" s="1" t="str">
        <x:v>kulirkaman/салатовый</x:v>
      </x:c>
      <x:c r="C480" s="1" t="str">
        <x:v>Футболки</x:v>
      </x:c>
      <x:c r="D480" s="9" t="n">
        <x:v>7.2</x:v>
      </x:c>
      <x:c r="E480" s="8" t="n">
        <x:v>20189</x:v>
      </x:c>
      <x:c r="F480" s="8" t="n">
        <x:v>797</x:v>
      </x:c>
      <x:c r="G480" s="8" t="n">
        <x:v>438084</x:v>
      </x:c>
      <x:c r="H480" s="8" t="n">
        <x:v>1266</x:v>
      </x:c>
      <x:c r="I480" s="8" t="n">
        <x:v>0</x:v>
      </x:c>
      <x:c r="J480" s="8" t="n">
        <x:v>795</x:v>
      </x:c>
      <x:c r="K480" s="8" t="n">
        <x:v>905</x:v>
      </x:c>
      <x:c r="L480" s="1" t="str">
        <x:v>Нет</x:v>
      </x:c>
      <x:c r="M480" s="1" t="n">
        <x:v>447611</x:v>
      </x:c>
    </x:row>
    <x:row r="481">
      <x:c r="A481" s="1" t="str">
        <x:v>145845812</x:v>
      </x:c>
      <x:c r="B481" s="1" t="str">
        <x:v>svitshotman/голубой</x:v>
      </x:c>
      <x:c r="C481" s="1" t="str">
        <x:v>Свитшоты</x:v>
      </x:c>
      <x:c r="D481" s="9" t="n">
        <x:v>9.7</x:v>
      </x:c>
      <x:c r="E481" s="8" t="n">
        <x:v>13415</x:v>
      </x:c>
      <x:c r="F481" s="8" t="n">
        <x:v>431</x:v>
      </x:c>
      <x:c r="G481" s="8" t="n">
        <x:v>437848</x:v>
      </x:c>
      <x:c r="H481" s="8" t="n">
        <x:v>127</x:v>
      </x:c>
      <x:c r="I481" s="8" t="n">
        <x:v>0</x:v>
      </x:c>
      <x:c r="J481" s="8" t="n">
        <x:v>583</x:v>
      </x:c>
      <x:c r="K481" s="8" t="n">
        <x:v>2389</x:v>
      </x:c>
      <x:c r="L481" s="1" t="str">
        <x:v>Нет</x:v>
      </x:c>
      <x:c r="M481" s="1" t="n">
        <x:v>557530</x:v>
      </x:c>
    </x:row>
    <x:row r="482">
      <x:c r="A482" s="1" t="str">
        <x:v>323191825</x:v>
      </x:c>
      <x:c r="B482" s="1" t="str">
        <x:v>polowoman3K-89/розовый</x:v>
      </x:c>
      <x:c r="C482" s="1" t="str">
        <x:v>Футболки</x:v>
      </x:c>
      <x:c r="D482" s="9" t="n">
        <x:v>8.7</x:v>
      </x:c>
      <x:c r="E482" s="8" t="n">
        <x:v>78138</x:v>
      </x:c>
      <x:c r="F482" s="8" t="n">
        <x:v>865</x:v>
      </x:c>
      <x:c r="G482" s="8" t="n">
        <x:v>435729</x:v>
      </x:c>
      <x:c r="H482" s="8" t="n">
        <x:v>4</x:v>
      </x:c>
      <x:c r="I482" s="8" t="n">
        <x:v>0</x:v>
      </x:c>
      <x:c r="J482" s="8" t="n">
        <x:v>0</x:v>
      </x:c>
      <x:c r="K482" s="8" t="n">
        <x:v>1200</x:v>
      </x:c>
      <x:c r="L482" s="1" t="str">
        <x:v>Нет</x:v>
      </x:c>
      <x:c r="M482" s="1" t="n">
        <x:v>0</x:v>
      </x:c>
    </x:row>
    <x:row r="483">
      <x:c r="A483" s="1" t="str">
        <x:v>323203659</x:v>
      </x:c>
      <x:c r="B483" s="1" t="str">
        <x:v>tshirtsuperover3K-E1/голубой</x:v>
      </x:c>
      <x:c r="C483" s="1" t="str">
        <x:v>Футболки</x:v>
      </x:c>
      <x:c r="D483" s="9" t="n">
        <x:v>8.7</x:v>
      </x:c>
      <x:c r="E483" s="8" t="n">
        <x:v>132194</x:v>
      </x:c>
      <x:c r="F483" s="8" t="n">
        <x:v>780</x:v>
      </x:c>
      <x:c r="G483" s="8" t="n">
        <x:v>434623</x:v>
      </x:c>
      <x:c r="H483" s="8" t="n">
        <x:v>249</x:v>
      </x:c>
      <x:c r="I483" s="8" t="n">
        <x:v>0</x:v>
      </x:c>
      <x:c r="J483" s="8" t="n">
        <x:v>107</x:v>
      </x:c>
      <x:c r="K483" s="8" t="n">
        <x:v>1285</x:v>
      </x:c>
      <x:c r="L483" s="1" t="str">
        <x:v>Нет</x:v>
      </x:c>
      <x:c r="M483" s="1" t="n">
        <x:v>59400</x:v>
      </x:c>
    </x:row>
    <x:row r="484">
      <x:c r="A484" s="1" t="str">
        <x:v>113111229</x:v>
      </x:c>
      <x:c r="B484" s="1" t="str">
        <x:v>futbolkaover/салатовый</x:v>
      </x:c>
      <x:c r="C484" s="1" t="str">
        <x:v>Футболки</x:v>
      </x:c>
      <x:c r="D484" s="9" t="n">
        <x:v>9.7</x:v>
      </x:c>
      <x:c r="E484" s="8" t="n">
        <x:v>54305</x:v>
      </x:c>
      <x:c r="F484" s="8" t="n">
        <x:v>898</x:v>
      </x:c>
      <x:c r="G484" s="8" t="n">
        <x:v>434370</x:v>
      </x:c>
      <x:c r="H484" s="8" t="n">
        <x:v>1953</x:v>
      </x:c>
      <x:c r="I484" s="8" t="n">
        <x:v>0</x:v>
      </x:c>
      <x:c r="J484" s="8" t="n">
        <x:v>767</x:v>
      </x:c>
      <x:c r="K484" s="8" t="n">
        <x:v>842</x:v>
      </x:c>
      <x:c r="L484" s="1" t="str">
        <x:v>Нет</x:v>
      </x:c>
      <x:c r="M484" s="1" t="n">
        <x:v>431599</x:v>
      </x:c>
    </x:row>
    <x:row r="485">
      <x:c r="A485" s="1" t="str">
        <x:v>145845807</x:v>
      </x:c>
      <x:c r="B485" s="1" t="str">
        <x:v>svitshotman/кофейный</x:v>
      </x:c>
      <x:c r="C485" s="1" t="str">
        <x:v>Свитшоты</x:v>
      </x:c>
      <x:c r="D485" s="9" t="n">
        <x:v>9.7</x:v>
      </x:c>
      <x:c r="E485" s="8" t="n">
        <x:v>21336</x:v>
      </x:c>
      <x:c r="F485" s="8" t="n">
        <x:v>606</x:v>
      </x:c>
      <x:c r="G485" s="8" t="n">
        <x:v>432888</x:v>
      </x:c>
      <x:c r="H485" s="8" t="n">
        <x:v>1074</x:v>
      </x:c>
      <x:c r="I485" s="8" t="n">
        <x:v>0</x:v>
      </x:c>
      <x:c r="J485" s="8" t="n">
        <x:v>1032</x:v>
      </x:c>
      <x:c r="K485" s="8" t="n">
        <x:v>2018</x:v>
      </x:c>
      <x:c r="L485" s="1" t="str">
        <x:v>Нет</x:v>
      </x:c>
      <x:c r="M485" s="1" t="n">
        <x:v>880484</x:v>
      </x:c>
    </x:row>
    <x:row r="486">
      <x:c r="A486" s="1" t="str">
        <x:v>202409603</x:v>
      </x:c>
      <x:c r="B486" s="1" t="str">
        <x:v>hudiprint/Chic-55/молочный</x:v>
      </x:c>
      <x:c r="C486" s="1" t="str">
        <x:v>Худи</x:v>
      </x:c>
      <x:c r="D486" s="9" t="n">
        <x:v>9.7</x:v>
      </x:c>
      <x:c r="E486" s="8" t="n">
        <x:v>42374</x:v>
      </x:c>
      <x:c r="F486" s="8" t="n">
        <x:v>453</x:v>
      </x:c>
      <x:c r="G486" s="8" t="n">
        <x:v>432266</x:v>
      </x:c>
      <x:c r="H486" s="8" t="n">
        <x:v>176</x:v>
      </x:c>
      <x:c r="I486" s="8" t="n">
        <x:v>0</x:v>
      </x:c>
      <x:c r="J486" s="8" t="n">
        <x:v>377</x:v>
      </x:c>
      <x:c r="K486" s="8" t="n">
        <x:v>2417</x:v>
      </x:c>
      <x:c r="L486" s="1" t="str">
        <x:v>Нет</x:v>
      </x:c>
      <x:c r="M486" s="1" t="n">
        <x:v>362889</x:v>
      </x:c>
    </x:row>
    <x:row r="487">
      <x:c r="A487" s="1" t="str">
        <x:v>87044484</x:v>
      </x:c>
      <x:c r="B487" s="1" t="str">
        <x:v>kroptop/банановый</x:v>
      </x:c>
      <x:c r="C487" s="1" t="str">
        <x:v>Футболки</x:v>
      </x:c>
      <x:c r="D487" s="9" t="n">
        <x:v>6.7</x:v>
      </x:c>
      <x:c r="E487" s="8" t="n">
        <x:v>57335</x:v>
      </x:c>
      <x:c r="F487" s="8" t="n">
        <x:v>1041</x:v>
      </x:c>
      <x:c r="G487" s="8" t="n">
        <x:v>431641</x:v>
      </x:c>
      <x:c r="H487" s="8" t="n">
        <x:v>195</x:v>
      </x:c>
      <x:c r="I487" s="8" t="n">
        <x:v>0</x:v>
      </x:c>
      <x:c r="J487" s="8" t="n">
        <x:v>736</x:v>
      </x:c>
      <x:c r="K487" s="8" t="n">
        <x:v>800</x:v>
      </x:c>
      <x:c r="L487" s="1" t="str">
        <x:v>Нет</x:v>
      </x:c>
      <x:c r="M487" s="1" t="n">
        <x:v>304970</x:v>
      </x:c>
    </x:row>
    <x:row r="488">
      <x:c r="A488" s="1" t="str">
        <x:v>165911168</x:v>
      </x:c>
      <x:c r="B488" s="1" t="str">
        <x:v>longman/молочный</x:v>
      </x:c>
      <x:c r="C488" s="1" t="str">
        <x:v>Лонгсливы</x:v>
      </x:c>
      <x:c r="D488" s="9" t="n">
        <x:v>5.2</x:v>
      </x:c>
      <x:c r="E488" s="8" t="n">
        <x:v>19362</x:v>
      </x:c>
      <x:c r="F488" s="8" t="n">
        <x:v>847</x:v>
      </x:c>
      <x:c r="G488" s="8" t="n">
        <x:v>431458</x:v>
      </x:c>
      <x:c r="H488" s="8" t="n">
        <x:v>2559</x:v>
      </x:c>
      <x:c r="I488" s="8" t="n">
        <x:v>0</x:v>
      </x:c>
      <x:c r="J488" s="8" t="n">
        <x:v>378</x:v>
      </x:c>
      <x:c r="K488" s="8" t="n">
        <x:v>969</x:v>
      </x:c>
      <x:c r="L488" s="1" t="str">
        <x:v>Нет</x:v>
      </x:c>
      <x:c r="M488" s="1" t="n">
        <x:v>203452</x:v>
      </x:c>
    </x:row>
    <x:row r="489">
      <x:c r="A489" s="1" t="str">
        <x:v>220157453</x:v>
      </x:c>
      <x:c r="B489" s="1" t="str">
        <x:v>futbolkaprint/Miami-122/молочный</x:v>
      </x:c>
      <x:c r="C489" s="1" t="str">
        <x:v>Футболки</x:v>
      </x:c>
      <x:c r="D489" s="9" t="n">
        <x:v>7.7</x:v>
      </x:c>
      <x:c r="E489" s="8" t="n">
        <x:v>76939</x:v>
      </x:c>
      <x:c r="F489" s="8" t="n">
        <x:v>722</x:v>
      </x:c>
      <x:c r="G489" s="8" t="n">
        <x:v>429219</x:v>
      </x:c>
      <x:c r="H489" s="8" t="n">
        <x:v>40</x:v>
      </x:c>
      <x:c r="I489" s="8" t="n">
        <x:v>0</x:v>
      </x:c>
      <x:c r="J489" s="8" t="n">
        <x:v>443</x:v>
      </x:c>
      <x:c r="K489" s="8" t="n">
        <x:v>1014</x:v>
      </x:c>
      <x:c r="L489" s="1" t="str">
        <x:v>Нет</x:v>
      </x:c>
      <x:c r="M489" s="1" t="n">
        <x:v>250629</x:v>
      </x:c>
    </x:row>
    <x:row r="490">
      <x:c r="A490" s="1" t="str">
        <x:v>114725915</x:v>
      </x:c>
      <x:c r="B490" s="1" t="str">
        <x:v>futbolkaover/деним</x:v>
      </x:c>
      <x:c r="C490" s="1" t="str">
        <x:v>Футболки</x:v>
      </x:c>
      <x:c r="D490" s="9" t="n">
        <x:v>9.7</x:v>
      </x:c>
      <x:c r="E490" s="8" t="n">
        <x:v>67116</x:v>
      </x:c>
      <x:c r="F490" s="8" t="n">
        <x:v>1027</x:v>
      </x:c>
      <x:c r="G490" s="8" t="n">
        <x:v>427993</x:v>
      </x:c>
      <x:c r="H490" s="8" t="n">
        <x:v>2435</x:v>
      </x:c>
      <x:c r="I490" s="8" t="n">
        <x:v>0</x:v>
      </x:c>
      <x:c r="J490" s="8" t="n">
        <x:v>1137</x:v>
      </x:c>
      <x:c r="K490" s="8" t="n">
        <x:v>851</x:v>
      </x:c>
      <x:c r="L490" s="1" t="str">
        <x:v>Нет</x:v>
      </x:c>
      <x:c r="M490" s="1" t="n">
        <x:v>611743</x:v>
      </x:c>
    </x:row>
    <x:row r="491">
      <x:c r="A491" s="1" t="str">
        <x:v>251152857</x:v>
      </x:c>
      <x:c r="B491" s="1" t="str">
        <x:v>hudivish/SanRemo-23в/молочный</x:v>
      </x:c>
      <x:c r="C491" s="1" t="str">
        <x:v>Худи</x:v>
      </x:c>
      <x:c r="D491" s="9" t="n">
        <x:v>9.7</x:v>
      </x:c>
      <x:c r="E491" s="8" t="n">
        <x:v>55825</x:v>
      </x:c>
      <x:c r="F491" s="8" t="n">
        <x:v>453</x:v>
      </x:c>
      <x:c r="G491" s="8" t="n">
        <x:v>425999</x:v>
      </x:c>
      <x:c r="H491" s="8" t="n">
        <x:v>176</x:v>
      </x:c>
      <x:c r="I491" s="8" t="n">
        <x:v>0</x:v>
      </x:c>
      <x:c r="J491" s="8" t="n">
        <x:v>424</x:v>
      </x:c>
      <x:c r="K491" s="8" t="n">
        <x:v>3062</x:v>
      </x:c>
      <x:c r="L491" s="1" t="str">
        <x:v>Нет</x:v>
      </x:c>
      <x:c r="M491" s="1" t="n">
        <x:v>469717</x:v>
      </x:c>
    </x:row>
    <x:row r="492">
      <x:c r="A492" s="1" t="str">
        <x:v>79438984</x:v>
      </x:c>
      <x:c r="B492" s="1" t="str">
        <x:v>futbolkaover/зеленосерый</x:v>
      </x:c>
      <x:c r="C492" s="1" t="str">
        <x:v>Футболки</x:v>
      </x:c>
      <x:c r="D492" s="9" t="n">
        <x:v>9.7</x:v>
      </x:c>
      <x:c r="E492" s="8" t="n">
        <x:v>56828</x:v>
      </x:c>
      <x:c r="F492" s="8" t="n">
        <x:v>822</x:v>
      </x:c>
      <x:c r="G492" s="8" t="n">
        <x:v>424644</x:v>
      </x:c>
      <x:c r="H492" s="8" t="n">
        <x:v>1250</x:v>
      </x:c>
      <x:c r="I492" s="8" t="n">
        <x:v>0</x:v>
      </x:c>
      <x:c r="J492" s="8" t="n">
        <x:v>1311</x:v>
      </x:c>
      <x:c r="K492" s="8" t="n">
        <x:v>834</x:v>
      </x:c>
      <x:c r="L492" s="1" t="str">
        <x:v>Нет</x:v>
      </x:c>
      <x:c r="M492" s="1" t="n">
        <x:v>654036</x:v>
      </x:c>
    </x:row>
    <x:row r="493">
      <x:c r="A493" s="1" t="str">
        <x:v>193100127</x:v>
      </x:c>
      <x:c r="B493" s="1" t="str">
        <x:v>svitshotzip1/серый</x:v>
      </x:c>
      <x:c r="C493" s="1" t="str">
        <x:v>Свитшоты</x:v>
      </x:c>
      <x:c r="D493" s="9" t="n">
        <x:v>9.7</x:v>
      </x:c>
      <x:c r="E493" s="8" t="n">
        <x:v>66825</x:v>
      </x:c>
      <x:c r="F493" s="8" t="n">
        <x:v>654</x:v>
      </x:c>
      <x:c r="G493" s="8" t="n">
        <x:v>423223</x:v>
      </x:c>
      <x:c r="H493" s="8" t="n">
        <x:v>433</x:v>
      </x:c>
      <x:c r="I493" s="8" t="n">
        <x:v>0</x:v>
      </x:c>
      <x:c r="J493" s="8" t="n">
        <x:v>415</x:v>
      </x:c>
      <x:c r="K493" s="8" t="n">
        <x:v>2342</x:v>
      </x:c>
      <x:c r="L493" s="1" t="str">
        <x:v>Нет</x:v>
      </x:c>
      <x:c r="M493" s="1" t="n">
        <x:v>309239</x:v>
      </x:c>
    </x:row>
    <x:row r="494">
      <x:c r="A494" s="1" t="str">
        <x:v>320401320</x:v>
      </x:c>
      <x:c r="B494" s="1" t="str">
        <x:v>futbolkaprint/Rome-237/бордовый</x:v>
      </x:c>
      <x:c r="C494" s="1" t="str">
        <x:v>Футболки</x:v>
      </x:c>
      <x:c r="D494" s="9" t="n">
        <x:v>9.7</x:v>
      </x:c>
      <x:c r="E494" s="8" t="n">
        <x:v>64626</x:v>
      </x:c>
      <x:c r="F494" s="8" t="n">
        <x:v>728</x:v>
      </x:c>
      <x:c r="G494" s="8" t="n">
        <x:v>421524</x:v>
      </x:c>
      <x:c r="H494" s="8" t="n">
        <x:v>178</x:v>
      </x:c>
      <x:c r="I494" s="8" t="n">
        <x:v>0</x:v>
      </x:c>
      <x:c r="J494" s="8" t="n">
        <x:v>1092</x:v>
      </x:c>
      <x:c r="K494" s="8" t="n">
        <x:v>1319</x:v>
      </x:c>
      <x:c r="L494" s="1" t="str">
        <x:v>Нет</x:v>
      </x:c>
      <x:c r="M494" s="1" t="n">
        <x:v>704189</x:v>
      </x:c>
    </x:row>
    <x:row r="495">
      <x:c r="A495" s="1" t="str">
        <x:v>145845804</x:v>
      </x:c>
      <x:c r="B495" s="1" t="str">
        <x:v>svitshotman/бежевый</x:v>
      </x:c>
      <x:c r="C495" s="1" t="str">
        <x:v>Свитшоты</x:v>
      </x:c>
      <x:c r="D495" s="9" t="n">
        <x:v>9.7</x:v>
      </x:c>
      <x:c r="E495" s="8" t="n">
        <x:v>32801</x:v>
      </x:c>
      <x:c r="F495" s="8" t="n">
        <x:v>636</x:v>
      </x:c>
      <x:c r="G495" s="8" t="n">
        <x:v>419708</x:v>
      </x:c>
      <x:c r="H495" s="8" t="n">
        <x:v>604</x:v>
      </x:c>
      <x:c r="I495" s="8" t="n">
        <x:v>0</x:v>
      </x:c>
      <x:c r="J495" s="8" t="n">
        <x:v>819</x:v>
      </x:c>
      <x:c r="K495" s="8" t="n">
        <x:v>2062</x:v>
      </x:c>
      <x:c r="L495" s="1" t="str">
        <x:v>Нет</x:v>
      </x:c>
      <x:c r="M495" s="1" t="n">
        <x:v>702465</x:v>
      </x:c>
    </x:row>
    <x:row r="496">
      <x:c r="A496" s="1" t="str">
        <x:v>368704656</x:v>
      </x:c>
      <x:c r="B496" s="1" t="str">
        <x:v>futskimsX2/роз-мол</x:v>
      </x:c>
      <x:c r="C496" s="1" t="str">
        <x:v>Футболки</x:v>
      </x:c>
      <x:c r="D496" s="9" t="n">
        <x:v>8.4</x:v>
      </x:c>
      <x:c r="E496" s="8" t="n">
        <x:v>34017</x:v>
      </x:c>
      <x:c r="F496" s="8" t="n">
        <x:v>452</x:v>
      </x:c>
      <x:c r="G496" s="8" t="n">
        <x:v>418001</x:v>
      </x:c>
      <x:c r="H496" s="8" t="n">
        <x:v>101</x:v>
      </x:c>
      <x:c r="I496" s="8" t="n">
        <x:v>0</x:v>
      </x:c>
      <x:c r="J496" s="8" t="n">
        <x:v>0</x:v>
      </x:c>
      <x:c r="K496" s="8" t="n">
        <x:v>2200</x:v>
      </x:c>
      <x:c r="L496" s="1" t="str">
        <x:v>Нет</x:v>
      </x:c>
      <x:c r="M496" s="1" t="n">
        <x:v>0</x:v>
      </x:c>
    </x:row>
    <x:row r="497">
      <x:c r="A497" s="1" t="str">
        <x:v>289092414</x:v>
      </x:c>
      <x:c r="B497" s="1" t="str">
        <x:v>hudicropman4F-67/черный</x:v>
      </x:c>
      <x:c r="C497" s="1" t="str">
        <x:v>Худи</x:v>
      </x:c>
      <x:c r="D497" s="9" t="n">
        <x:v>9.7</x:v>
      </x:c>
      <x:c r="E497" s="8" t="n">
        <x:v>15641</x:v>
      </x:c>
      <x:c r="F497" s="8" t="n">
        <x:v>363</x:v>
      </x:c>
      <x:c r="G497" s="8" t="n">
        <x:v>416743</x:v>
      </x:c>
      <x:c r="H497" s="8" t="n">
        <x:v>0</x:v>
      </x:c>
      <x:c r="I497" s="8" t="n">
        <x:v>0</x:v>
      </x:c>
      <x:c r="J497" s="8" t="n">
        <x:v>385</x:v>
      </x:c>
      <x:c r="K497" s="8" t="n">
        <x:v>3228</x:v>
      </x:c>
      <x:c r="L497" s="1" t="str">
        <x:v>Нет</x:v>
      </x:c>
      <x:c r="M497" s="1" t="n">
        <x:v>416632</x:v>
      </x:c>
    </x:row>
    <x:row r="498">
      <x:c r="A498" s="1" t="str">
        <x:v>234287044</x:v>
      </x:c>
      <x:c r="B498" s="1" t="str">
        <x:v>hudimanpetl/серыймеланж2</x:v>
      </x:c>
      <x:c r="C498" s="1" t="str">
        <x:v>Худи</x:v>
      </x:c>
      <x:c r="D498" s="9" t="n">
        <x:v>8.7</x:v>
      </x:c>
      <x:c r="E498" s="8" t="n">
        <x:v>14050</x:v>
      </x:c>
      <x:c r="F498" s="8" t="n">
        <x:v>417</x:v>
      </x:c>
      <x:c r="G498" s="8" t="n">
        <x:v>416517</x:v>
      </x:c>
      <x:c r="H498" s="8" t="n">
        <x:v>223</x:v>
      </x:c>
      <x:c r="I498" s="8" t="n">
        <x:v>0</x:v>
      </x:c>
      <x:c r="J498" s="8" t="n">
        <x:v>464</x:v>
      </x:c>
      <x:c r="K498" s="8" t="n">
        <x:v>2788</x:v>
      </x:c>
      <x:c r="L498" s="1" t="str">
        <x:v>Нет</x:v>
      </x:c>
      <x:c r="M498" s="1" t="n">
        <x:v>404338</x:v>
      </x:c>
    </x:row>
    <x:row r="499">
      <x:c r="A499" s="1" t="str">
        <x:v>113255136</x:v>
      </x:c>
      <x:c r="B499" s="1" t="str">
        <x:v>kroptop/хаки</x:v>
      </x:c>
      <x:c r="C499" s="1" t="str">
        <x:v>Футболки</x:v>
      </x:c>
      <x:c r="D499" s="9" t="n">
        <x:v>8.7</x:v>
      </x:c>
      <x:c r="E499" s="8" t="n">
        <x:v>76844</x:v>
      </x:c>
      <x:c r="F499" s="8" t="n">
        <x:v>1058</x:v>
      </x:c>
      <x:c r="G499" s="8" t="n">
        <x:v>416465</x:v>
      </x:c>
      <x:c r="H499" s="8" t="n">
        <x:v>1111</x:v>
      </x:c>
      <x:c r="I499" s="8" t="n">
        <x:v>0</x:v>
      </x:c>
      <x:c r="J499" s="8" t="n">
        <x:v>856</x:v>
      </x:c>
      <x:c r="K499" s="8" t="n">
        <x:v>808</x:v>
      </x:c>
      <x:c r="L499" s="1" t="str">
        <x:v>Нет</x:v>
      </x:c>
      <x:c r="M499" s="1" t="n">
        <x:v>353387</x:v>
      </x:c>
    </x:row>
    <x:row r="500">
      <x:c r="A500" s="1" t="str">
        <x:v>333242664</x:v>
      </x:c>
      <x:c r="B500" s="1" t="str">
        <x:v>futbolkamanoverX3/чер-син-тсер</x:v>
      </x:c>
      <x:c r="C500" s="1" t="str">
        <x:v>Футболки</x:v>
      </x:c>
      <x:c r="D500" s="9" t="n">
        <x:v>8.4</x:v>
      </x:c>
      <x:c r="E500" s="8" t="n">
        <x:v>44733</x:v>
      </x:c>
      <x:c r="F500" s="8" t="n">
        <x:v>356</x:v>
      </x:c>
      <x:c r="G500" s="8" t="n">
        <x:v>416006</x:v>
      </x:c>
      <x:c r="H500" s="8" t="n">
        <x:v>38</x:v>
      </x:c>
      <x:c r="I500" s="8" t="n">
        <x:v>0</x:v>
      </x:c>
      <x:c r="J500" s="8" t="n">
        <x:v>0</x:v>
      </x:c>
      <x:c r="K500" s="8" t="n">
        <x:v>2470</x:v>
      </x:c>
      <x:c r="L500" s="1" t="str">
        <x:v>Нет</x:v>
      </x:c>
      <x:c r="M500" s="1" t="n">
        <x:v>0</x:v>
      </x:c>
    </x:row>
    <x:row r="501">
      <x:c r="A501" s="1" t="str">
        <x:v>297151795</x:v>
      </x:c>
      <x:c r="B501" s="1" t="str">
        <x:v>body3K-S-6/черный</x:v>
      </x:c>
      <x:c r="C501" s="1" t="str">
        <x:v>Блузки-боди</x:v>
      </x:c>
      <x:c r="D501" s="9" t="n">
        <x:v>6</x:v>
      </x:c>
      <x:c r="E501" s="8" t="n">
        <x:v>68592</x:v>
      </x:c>
      <x:c r="F501" s="8" t="n">
        <x:v>1014</x:v>
      </x:c>
      <x:c r="G501" s="8" t="n">
        <x:v>410495</x:v>
      </x:c>
      <x:c r="H501" s="8" t="n">
        <x:v>766</x:v>
      </x:c>
      <x:c r="I501" s="8" t="n">
        <x:v>0</x:v>
      </x:c>
      <x:c r="J501" s="8" t="n">
        <x:v>786</x:v>
      </x:c>
      <x:c r="K501" s="8" t="n">
        <x:v>959</x:v>
      </x:c>
      <x:c r="L501" s="1" t="str">
        <x:v>Нет</x:v>
      </x:c>
      <x:c r="M501" s="1" t="n">
        <x:v>321652</x:v>
      </x:c>
    </x:row>
    <x:row r="502">
      <x:c r="A502" s="1" t="str">
        <x:v>145845821</x:v>
      </x:c>
      <x:c r="B502" s="1" t="str">
        <x:v>svitshotman/изумрудно-зеленый</x:v>
      </x:c>
      <x:c r="C502" s="1" t="str">
        <x:v>Свитшоты</x:v>
      </x:c>
      <x:c r="D502" s="9" t="n">
        <x:v>9.7</x:v>
      </x:c>
      <x:c r="E502" s="8" t="n">
        <x:v>15161</x:v>
      </x:c>
      <x:c r="F502" s="8" t="n">
        <x:v>403</x:v>
      </x:c>
      <x:c r="G502" s="8" t="n">
        <x:v>409432</x:v>
      </x:c>
      <x:c r="H502" s="8" t="n">
        <x:v>97</x:v>
      </x:c>
      <x:c r="I502" s="8" t="n">
        <x:v>0</x:v>
      </x:c>
      <x:c r="J502" s="8" t="n">
        <x:v>524</x:v>
      </x:c>
      <x:c r="K502" s="8" t="n">
        <x:v>2339</x:v>
      </x:c>
      <x:c r="L502" s="1" t="str">
        <x:v>Нет</x:v>
      </x:c>
      <x:c r="M502" s="1" t="n">
        <x:v>651047</x:v>
      </x:c>
    </x:row>
    <x:row r="503">
      <x:c r="A503" s="1" t="str">
        <x:v>175116962</x:v>
      </x:c>
      <x:c r="B503" s="1" t="str">
        <x:v>reglanman/дымка</x:v>
      </x:c>
      <x:c r="C503" s="1" t="str">
        <x:v>Лонгсливы</x:v>
      </x:c>
      <x:c r="D503" s="9" t="n">
        <x:v>7.2</x:v>
      </x:c>
      <x:c r="E503" s="8" t="n">
        <x:v>25614</x:v>
      </x:c>
      <x:c r="F503" s="8" t="n">
        <x:v>776</x:v>
      </x:c>
      <x:c r="G503" s="8" t="n">
        <x:v>408670</x:v>
      </x:c>
      <x:c r="H503" s="8" t="n">
        <x:v>247</x:v>
      </x:c>
      <x:c r="I503" s="8" t="n">
        <x:v>0</x:v>
      </x:c>
      <x:c r="J503" s="8" t="n">
        <x:v>1110</x:v>
      </x:c>
      <x:c r="K503" s="8" t="n">
        <x:v>1085</x:v>
      </x:c>
      <x:c r="L503" s="1" t="str">
        <x:v>Нет</x:v>
      </x:c>
      <x:c r="M503" s="1" t="n">
        <x:v>606891</x:v>
      </x:c>
    </x:row>
    <x:row r="504">
      <x:c r="A504" s="1" t="str">
        <x:v>333104134</x:v>
      </x:c>
      <x:c r="B504" s="1" t="str">
        <x:v>topbando/какао</x:v>
      </x:c>
      <x:c r="C504" s="1" t="str">
        <x:v>Топы</x:v>
      </x:c>
      <x:c r="D504" s="9" t="n">
        <x:v>8.9</x:v>
      </x:c>
      <x:c r="E504" s="8" t="n">
        <x:v>42226</x:v>
      </x:c>
      <x:c r="F504" s="8" t="n">
        <x:v>1527</x:v>
      </x:c>
      <x:c r="G504" s="8" t="n">
        <x:v>408396</x:v>
      </x:c>
      <x:c r="H504" s="8" t="n">
        <x:v>69</x:v>
      </x:c>
      <x:c r="I504" s="8" t="n">
        <x:v>0</x:v>
      </x:c>
      <x:c r="J504" s="8" t="n">
        <x:v>0</x:v>
      </x:c>
      <x:c r="K504" s="8" t="n">
        <x:v>531</x:v>
      </x:c>
      <x:c r="L504" s="1" t="str">
        <x:v>Нет</x:v>
      </x:c>
      <x:c r="M504" s="1" t="n">
        <x:v>0</x:v>
      </x:c>
    </x:row>
    <x:row r="505">
      <x:c r="A505" s="1" t="str">
        <x:v>320424588</x:v>
      </x:c>
      <x:c r="B505" s="1" t="str">
        <x:v>brukizshp3P-S-1/дымка</x:v>
      </x:c>
      <x:c r="C505" s="1" t="str">
        <x:v>Брюки</x:v>
      </x:c>
      <x:c r="D505" s="9" t="n">
        <x:v>8.4</x:v>
      </x:c>
      <x:c r="E505" s="8" t="n">
        <x:v>40302</x:v>
      </x:c>
      <x:c r="F505" s="8" t="n">
        <x:v>563</x:v>
      </x:c>
      <x:c r="G505" s="8" t="n">
        <x:v>408393</x:v>
      </x:c>
      <x:c r="H505" s="8" t="n">
        <x:v>261</x:v>
      </x:c>
      <x:c r="I505" s="8" t="n">
        <x:v>0</x:v>
      </x:c>
      <x:c r="J505" s="8" t="n">
        <x:v>109</x:v>
      </x:c>
      <x:c r="K505" s="8" t="n">
        <x:v>2956</x:v>
      </x:c>
      <x:c r="L505" s="1" t="str">
        <x:v>Нет</x:v>
      </x:c>
      <x:c r="M505" s="1" t="n">
        <x:v>81200</x:v>
      </x:c>
    </x:row>
    <x:row r="506">
      <x:c r="A506" s="1" t="str">
        <x:v>346811984</x:v>
      </x:c>
      <x:c r="B506" s="1" t="str">
        <x:v>longcrop3К-84/розовый</x:v>
      </x:c>
      <x:c r="C506" s="1" t="str">
        <x:v>Лонгсливы</x:v>
      </x:c>
      <x:c r="D506" s="9" t="n">
        <x:v>8.7</x:v>
      </x:c>
      <x:c r="E506" s="8" t="n">
        <x:v>35391</x:v>
      </x:c>
      <x:c r="F506" s="8" t="n">
        <x:v>1083</x:v>
      </x:c>
      <x:c r="G506" s="8" t="n">
        <x:v>404441</x:v>
      </x:c>
      <x:c r="H506" s="8" t="n">
        <x:v>9</x:v>
      </x:c>
      <x:c r="I506" s="8" t="n">
        <x:v>0</x:v>
      </x:c>
      <x:c r="J506" s="8" t="n">
        <x:v>0</x:v>
      </x:c>
      <x:c r="K506" s="8" t="n">
        <x:v>802</x:v>
      </x:c>
      <x:c r="L506" s="1" t="str">
        <x:v>Нет</x:v>
      </x:c>
      <x:c r="M506" s="1" t="n">
        <x:v>0</x:v>
      </x:c>
    </x:row>
    <x:row r="507">
      <x:c r="A507" s="1" t="str">
        <x:v>224386294</x:v>
      </x:c>
      <x:c r="B507" s="1" t="str">
        <x:v>futbolkaprint/MovesWithLove-135/бежевый</x:v>
      </x:c>
      <x:c r="C507" s="1" t="str">
        <x:v>Футболки</x:v>
      </x:c>
      <x:c r="D507" s="9" t="n">
        <x:v>7.7</x:v>
      </x:c>
      <x:c r="E507" s="8" t="n">
        <x:v>82106</x:v>
      </x:c>
      <x:c r="F507" s="8" t="n">
        <x:v>773</x:v>
      </x:c>
      <x:c r="G507" s="8" t="n">
        <x:v>404286</x:v>
      </x:c>
      <x:c r="H507" s="8" t="n">
        <x:v>11</x:v>
      </x:c>
      <x:c r="I507" s="8" t="n">
        <x:v>0</x:v>
      </x:c>
      <x:c r="J507" s="8" t="n">
        <x:v>476</x:v>
      </x:c>
      <x:c r="K507" s="8" t="n">
        <x:v>1268</x:v>
      </x:c>
      <x:c r="L507" s="1" t="str">
        <x:v>Нет</x:v>
      </x:c>
      <x:c r="M507" s="1" t="n">
        <x:v>252971</x:v>
      </x:c>
    </x:row>
    <x:row r="508">
      <x:c r="A508" s="1" t="str">
        <x:v>224386342</x:v>
      </x:c>
      <x:c r="B508" s="1" t="str">
        <x:v>futbolkaprint/MovesWithLove-135/шалфей</x:v>
      </x:c>
      <x:c r="C508" s="1" t="str">
        <x:v>Футболки</x:v>
      </x:c>
      <x:c r="D508" s="9" t="n">
        <x:v>9.7</x:v>
      </x:c>
      <x:c r="E508" s="8" t="n">
        <x:v>49316</x:v>
      </x:c>
      <x:c r="F508" s="8" t="n">
        <x:v>561</x:v>
      </x:c>
      <x:c r="G508" s="8" t="n">
        <x:v>404103</x:v>
      </x:c>
      <x:c r="H508" s="8" t="n">
        <x:v>1</x:v>
      </x:c>
      <x:c r="I508" s="8" t="n">
        <x:v>0</x:v>
      </x:c>
      <x:c r="J508" s="8" t="n">
        <x:v>1562</x:v>
      </x:c>
      <x:c r="K508" s="8" t="n">
        <x:v>1297</x:v>
      </x:c>
      <x:c r="L508" s="1" t="str">
        <x:v>Нет</x:v>
      </x:c>
      <x:c r="M508" s="1" t="n">
        <x:v>1057688</x:v>
      </x:c>
    </x:row>
    <x:row r="509">
      <x:c r="A509" s="1" t="str">
        <x:v>289098363</x:v>
      </x:c>
      <x:c r="B509" s="1" t="str">
        <x:v>tolstovkazip3F-71/молочный</x:v>
      </x:c>
      <x:c r="C509" s="1" t="str">
        <x:v>Худи</x:v>
      </x:c>
      <x:c r="D509" s="9" t="n">
        <x:v>9.7</x:v>
      </x:c>
      <x:c r="E509" s="8" t="n">
        <x:v>43577</x:v>
      </x:c>
      <x:c r="F509" s="8" t="n">
        <x:v>373</x:v>
      </x:c>
      <x:c r="G509" s="8" t="n">
        <x:v>403721</x:v>
      </x:c>
      <x:c r="H509" s="8" t="n">
        <x:v>53</x:v>
      </x:c>
      <x:c r="I509" s="8" t="n">
        <x:v>0</x:v>
      </x:c>
      <x:c r="J509" s="8" t="n">
        <x:v>530</x:v>
      </x:c>
      <x:c r="K509" s="8" t="n">
        <x:v>3325</x:v>
      </x:c>
      <x:c r="L509" s="1" t="str">
        <x:v>Нет</x:v>
      </x:c>
      <x:c r="M509" s="1" t="n">
        <x:v>623703</x:v>
      </x:c>
    </x:row>
    <x:row r="510">
      <x:c r="A510" s="1" t="str">
        <x:v>322134917</x:v>
      </x:c>
      <x:c r="B510" s="1" t="str">
        <x:v>shtanygulf3P-S3/черный</x:v>
      </x:c>
      <x:c r="C510" s="1" t="str">
        <x:v>Брюки</x:v>
      </x:c>
      <x:c r="D510" s="9" t="n">
        <x:v>7.4</x:v>
      </x:c>
      <x:c r="E510" s="8" t="n">
        <x:v>35625</x:v>
      </x:c>
      <x:c r="F510" s="8" t="n">
        <x:v>755</x:v>
      </x:c>
      <x:c r="G510" s="8" t="n">
        <x:v>401989</x:v>
      </x:c>
      <x:c r="H510" s="8" t="n">
        <x:v>100</x:v>
      </x:c>
      <x:c r="I510" s="8" t="n">
        <x:v>0</x:v>
      </x:c>
      <x:c r="J510" s="8" t="n">
        <x:v>237</x:v>
      </x:c>
      <x:c r="K510" s="8" t="n">
        <x:v>2561</x:v>
      </x:c>
      <x:c r="L510" s="1" t="str">
        <x:v>Нет</x:v>
      </x:c>
      <x:c r="M510" s="1" t="n">
        <x:v>145346</x:v>
      </x:c>
    </x:row>
    <x:row r="511">
      <x:c r="A511" s="1" t="str">
        <x:v>203015611</x:v>
      </x:c>
      <x:c r="B511" s="1" t="str">
        <x:v>Futbolkaprint/MoreSelf-44/дымка</x:v>
      </x:c>
      <x:c r="C511" s="1" t="str">
        <x:v>Футболки</x:v>
      </x:c>
      <x:c r="D511" s="9" t="n">
        <x:v>6.7</x:v>
      </x:c>
      <x:c r="E511" s="8" t="n">
        <x:v>56803</x:v>
      </x:c>
      <x:c r="F511" s="8" t="n">
        <x:v>611</x:v>
      </x:c>
      <x:c r="G511" s="8" t="n">
        <x:v>401789</x:v>
      </x:c>
      <x:c r="H511" s="8" t="n">
        <x:v>123</x:v>
      </x:c>
      <x:c r="I511" s="8" t="n">
        <x:v>0</x:v>
      </x:c>
      <x:c r="J511" s="8" t="n">
        <x:v>1259</x:v>
      </x:c>
      <x:c r="K511" s="8" t="n">
        <x:v>1146</x:v>
      </x:c>
      <x:c r="L511" s="1" t="str">
        <x:v>Нет</x:v>
      </x:c>
      <x:c r="M511" s="1" t="n">
        <x:v>826173</x:v>
      </x:c>
    </x:row>
    <x:row r="512">
      <x:c r="A512" s="1" t="str">
        <x:v>264722638</x:v>
      </x:c>
      <x:c r="B512" s="1" t="str">
        <x:v>svitshotzipman2/бордовый</x:v>
      </x:c>
      <x:c r="C512" s="1" t="str">
        <x:v>Свитшоты</x:v>
      </x:c>
      <x:c r="D512" s="9" t="n">
        <x:v>9.7</x:v>
      </x:c>
      <x:c r="E512" s="8" t="n">
        <x:v>20062</x:v>
      </x:c>
      <x:c r="F512" s="8" t="n">
        <x:v>385</x:v>
      </x:c>
      <x:c r="G512" s="8" t="n">
        <x:v>401069</x:v>
      </x:c>
      <x:c r="H512" s="8" t="n">
        <x:v>89</x:v>
      </x:c>
      <x:c r="I512" s="8" t="n">
        <x:v>0</x:v>
      </x:c>
      <x:c r="J512" s="8" t="n">
        <x:v>613</x:v>
      </x:c>
      <x:c r="K512" s="8" t="n">
        <x:v>2331</x:v>
      </x:c>
      <x:c r="L512" s="1" t="str">
        <x:v>Нет</x:v>
      </x:c>
      <x:c r="M512" s="1" t="n">
        <x:v>609028</x:v>
      </x:c>
    </x:row>
    <x:row r="513">
      <x:c r="A513" s="1" t="str">
        <x:v>260797898</x:v>
      </x:c>
      <x:c r="B513" s="1" t="str">
        <x:v>hudicrop1/фиолетовый</x:v>
      </x:c>
      <x:c r="C513" s="1" t="str">
        <x:v>Худи</x:v>
      </x:c>
      <x:c r="D513" s="9" t="n">
        <x:v>8.7</x:v>
      </x:c>
      <x:c r="E513" s="8" t="n">
        <x:v>36489</x:v>
      </x:c>
      <x:c r="F513" s="8" t="n">
        <x:v>460</x:v>
      </x:c>
      <x:c r="G513" s="8" t="n">
        <x:v>401040</x:v>
      </x:c>
      <x:c r="H513" s="8" t="n">
        <x:v>127</x:v>
      </x:c>
      <x:c r="I513" s="8" t="n">
        <x:v>0</x:v>
      </x:c>
      <x:c r="J513" s="8" t="n">
        <x:v>383</x:v>
      </x:c>
      <x:c r="K513" s="8" t="n">
        <x:v>2388</x:v>
      </x:c>
      <x:c r="L513" s="1" t="str">
        <x:v>Нет</x:v>
      </x:c>
      <x:c r="M513" s="1" t="n">
        <x:v>400962</x:v>
      </x:c>
    </x:row>
    <x:row r="514">
      <x:c r="A514" s="1" t="str">
        <x:v>332418842</x:v>
      </x:c>
      <x:c r="B514" s="1" t="str">
        <x:v>top/молочный</x:v>
      </x:c>
      <x:c r="C514" s="1" t="str">
        <x:v>Топы</x:v>
      </x:c>
      <x:c r="D514" s="9" t="n">
        <x:v>6.7</x:v>
      </x:c>
      <x:c r="E514" s="8" t="n">
        <x:v>60016</x:v>
      </x:c>
      <x:c r="F514" s="8" t="n">
        <x:v>1457</x:v>
      </x:c>
      <x:c r="G514" s="8" t="n">
        <x:v>400340</x:v>
      </x:c>
      <x:c r="H514" s="8" t="n">
        <x:v>74</x:v>
      </x:c>
      <x:c r="I514" s="8" t="n">
        <x:v>0</x:v>
      </x:c>
      <x:c r="J514" s="8" t="n">
        <x:v>41</x:v>
      </x:c>
      <x:c r="K514" s="8" t="n">
        <x:v>657</x:v>
      </x:c>
      <x:c r="L514" s="1" t="str">
        <x:v>Нет</x:v>
      </x:c>
      <x:c r="M514" s="1" t="n">
        <x:v>12000</x:v>
      </x:c>
    </x:row>
    <x:row r="515">
      <x:c r="A515" s="1" t="str">
        <x:v>145845798</x:v>
      </x:c>
      <x:c r="B515" s="1" t="str">
        <x:v>svitshotman/песочный</x:v>
      </x:c>
      <x:c r="C515" s="1" t="str">
        <x:v>Свитшоты</x:v>
      </x:c>
      <x:c r="D515" s="9" t="n">
        <x:v>9.7</x:v>
      </x:c>
      <x:c r="E515" s="8" t="n">
        <x:v>14417</x:v>
      </x:c>
      <x:c r="F515" s="8" t="n">
        <x:v>448</x:v>
      </x:c>
      <x:c r="G515" s="8" t="n">
        <x:v>399619</x:v>
      </x:c>
      <x:c r="H515" s="8" t="n">
        <x:v>311</x:v>
      </x:c>
      <x:c r="I515" s="8" t="n">
        <x:v>0</x:v>
      </x:c>
      <x:c r="J515" s="8" t="n">
        <x:v>400</x:v>
      </x:c>
      <x:c r="K515" s="8" t="n">
        <x:v>2189</x:v>
      </x:c>
      <x:c r="L515" s="1" t="str">
        <x:v>Нет</x:v>
      </x:c>
      <x:c r="M515" s="1" t="n">
        <x:v>396490</x:v>
      </x:c>
    </x:row>
    <x:row r="516">
      <x:c r="A516" s="1" t="str">
        <x:v>222293206</x:v>
      </x:c>
      <x:c r="B516" s="1" t="str">
        <x:v>futbolkaprint/BrighterDays-129/красный</x:v>
      </x:c>
      <x:c r="C516" s="1" t="str">
        <x:v>Футболки</x:v>
      </x:c>
      <x:c r="D516" s="9" t="n">
        <x:v>6.7</x:v>
      </x:c>
      <x:c r="E516" s="8" t="n">
        <x:v>107267</x:v>
      </x:c>
      <x:c r="F516" s="8" t="n">
        <x:v>832</x:v>
      </x:c>
      <x:c r="G516" s="8" t="n">
        <x:v>398900</x:v>
      </x:c>
      <x:c r="H516" s="8" t="n">
        <x:v>176</x:v>
      </x:c>
      <x:c r="I516" s="8" t="n">
        <x:v>0</x:v>
      </x:c>
      <x:c r="J516" s="8" t="n">
        <x:v>1202</x:v>
      </x:c>
      <x:c r="K516" s="8" t="n">
        <x:v>1152</x:v>
      </x:c>
      <x:c r="L516" s="1" t="str">
        <x:v>Нет</x:v>
      </x:c>
      <x:c r="M516" s="1" t="n">
        <x:v>597182</x:v>
      </x:c>
    </x:row>
    <x:row r="517">
      <x:c r="A517" s="1" t="str">
        <x:v>336303917</x:v>
      </x:c>
      <x:c r="B517" s="1" t="str">
        <x:v>futbolka_mary/молочный</x:v>
      </x:c>
      <x:c r="C517" s="1" t="str">
        <x:v>Футболки</x:v>
      </x:c>
      <x:c r="D517" s="9" t="n">
        <x:v>7.2</x:v>
      </x:c>
      <x:c r="E517" s="8" t="n">
        <x:v>41389</x:v>
      </x:c>
      <x:c r="F517" s="8" t="n">
        <x:v>1097</x:v>
      </x:c>
      <x:c r="G517" s="8" t="n">
        <x:v>398714</x:v>
      </x:c>
      <x:c r="H517" s="8" t="n">
        <x:v>254</x:v>
      </x:c>
      <x:c r="I517" s="8" t="n">
        <x:v>0</x:v>
      </x:c>
      <x:c r="J517" s="8" t="n">
        <x:v>0</x:v>
      </x:c>
      <x:c r="K517" s="8" t="n">
        <x:v>659</x:v>
      </x:c>
      <x:c r="L517" s="1" t="str">
        <x:v>Нет</x:v>
      </x:c>
      <x:c r="M517" s="1" t="n">
        <x:v>0</x:v>
      </x:c>
    </x:row>
    <x:row r="518">
      <x:c r="A518" s="1" t="str">
        <x:v>205604803</x:v>
      </x:c>
      <x:c r="B518" s="1" t="str">
        <x:v>hudiman2/графит</x:v>
      </x:c>
      <x:c r="C518" s="1" t="str">
        <x:v>Худи</x:v>
      </x:c>
      <x:c r="D518" s="9" t="n">
        <x:v>8.7</x:v>
      </x:c>
      <x:c r="E518" s="8" t="n">
        <x:v>20657</x:v>
      </x:c>
      <x:c r="F518" s="8" t="n">
        <x:v>350</x:v>
      </x:c>
      <x:c r="G518" s="8" t="n">
        <x:v>396978</x:v>
      </x:c>
      <x:c r="H518" s="8" t="n">
        <x:v>163</x:v>
      </x:c>
      <x:c r="I518" s="8" t="n">
        <x:v>0</x:v>
      </x:c>
      <x:c r="J518" s="8" t="n">
        <x:v>422</x:v>
      </x:c>
      <x:c r="K518" s="8" t="n">
        <x:v>2360</x:v>
      </x:c>
      <x:c r="L518" s="1" t="str">
        <x:v>Нет</x:v>
      </x:c>
      <x:c r="M518" s="1" t="n">
        <x:v>477164</x:v>
      </x:c>
    </x:row>
    <x:row r="519">
      <x:c r="A519" s="1" t="str">
        <x:v>253363963</x:v>
      </x:c>
      <x:c r="B519" s="1" t="str">
        <x:v>longoverprint/DontWorry-194/молочный</x:v>
      </x:c>
      <x:c r="C519" s="1" t="str">
        <x:v>Лонгсливы</x:v>
      </x:c>
      <x:c r="D519" s="9" t="n">
        <x:v>9.7</x:v>
      </x:c>
      <x:c r="E519" s="8" t="n">
        <x:v>43069</x:v>
      </x:c>
      <x:c r="F519" s="8" t="n">
        <x:v>522</x:v>
      </x:c>
      <x:c r="G519" s="8" t="n">
        <x:v>396770</x:v>
      </x:c>
      <x:c r="H519" s="8" t="n">
        <x:v>354</x:v>
      </x:c>
      <x:c r="I519" s="8" t="n">
        <x:v>0</x:v>
      </x:c>
      <x:c r="J519" s="8" t="n">
        <x:v>1311</x:v>
      </x:c>
      <x:c r="K519" s="8" t="n">
        <x:v>1415</x:v>
      </x:c>
      <x:c r="L519" s="1" t="str">
        <x:v>Нет</x:v>
      </x:c>
      <x:c r="M519" s="1" t="n">
        <x:v>840314</x:v>
      </x:c>
    </x:row>
    <x:row r="520">
      <x:c r="A520" s="1" t="str">
        <x:v>166214977</x:v>
      </x:c>
      <x:c r="B520" s="1" t="str">
        <x:v>hudiman/красный</x:v>
      </x:c>
      <x:c r="C520" s="1" t="str">
        <x:v>Худи</x:v>
      </x:c>
      <x:c r="D520" s="9" t="n">
        <x:v>9.7</x:v>
      </x:c>
      <x:c r="E520" s="8" t="n">
        <x:v>12985</x:v>
      </x:c>
      <x:c r="F520" s="8" t="n">
        <x:v>401</x:v>
      </x:c>
      <x:c r="G520" s="8" t="n">
        <x:v>396554</x:v>
      </x:c>
      <x:c r="H520" s="8" t="n">
        <x:v>257</x:v>
      </x:c>
      <x:c r="I520" s="8" t="n">
        <x:v>0</x:v>
      </x:c>
      <x:c r="J520" s="8" t="n">
        <x:v>503</x:v>
      </x:c>
      <x:c r="K520" s="8" t="n">
        <x:v>2366</x:v>
      </x:c>
      <x:c r="L520" s="1" t="str">
        <x:v>Нет</x:v>
      </x:c>
      <x:c r="M520" s="1" t="n">
        <x:v>476577</x:v>
      </x:c>
    </x:row>
    <x:row r="521">
      <x:c r="A521" s="1" t="str">
        <x:v>222793411</x:v>
      </x:c>
      <x:c r="B521" s="1" t="str">
        <x:v>brukipetl/черный</x:v>
      </x:c>
      <x:c r="C521" s="1" t="str">
        <x:v>Брюки</x:v>
      </x:c>
      <x:c r="D521" s="9" t="n">
        <x:v>7.7</x:v>
      </x:c>
      <x:c r="E521" s="8" t="n">
        <x:v>27122</x:v>
      </x:c>
      <x:c r="F521" s="8" t="n">
        <x:v>714</x:v>
      </x:c>
      <x:c r="G521" s="8" t="n">
        <x:v>396550</x:v>
      </x:c>
      <x:c r="H521" s="8" t="n">
        <x:v>81</x:v>
      </x:c>
      <x:c r="I521" s="8" t="n">
        <x:v>0</x:v>
      </x:c>
      <x:c r="J521" s="8" t="n">
        <x:v>1368</x:v>
      </x:c>
      <x:c r="K521" s="8" t="n">
        <x:v>2732</x:v>
      </x:c>
      <x:c r="L521" s="1" t="str">
        <x:v>Нет</x:v>
      </x:c>
      <x:c r="M521" s="1" t="n">
        <x:v>886266</x:v>
      </x:c>
    </x:row>
    <x:row r="522">
      <x:c r="A522" s="1" t="str">
        <x:v>211336670</x:v>
      </x:c>
      <x:c r="B522" s="1" t="str">
        <x:v>tolstovkazipcrop/темно-серый</x:v>
      </x:c>
      <x:c r="C522" s="1" t="str">
        <x:v>Худи</x:v>
      </x:c>
      <x:c r="D522" s="9" t="n">
        <x:v>7.7</x:v>
      </x:c>
      <x:c r="E522" s="8" t="n">
        <x:v>41253</x:v>
      </x:c>
      <x:c r="F522" s="8" t="n">
        <x:v>406</x:v>
      </x:c>
      <x:c r="G522" s="8" t="n">
        <x:v>395652</x:v>
      </x:c>
      <x:c r="H522" s="8" t="n">
        <x:v>4</x:v>
      </x:c>
      <x:c r="I522" s="8" t="n">
        <x:v>0</x:v>
      </x:c>
      <x:c r="J522" s="8" t="n">
        <x:v>367</x:v>
      </x:c>
      <x:c r="K522" s="8" t="n">
        <x:v>2518</x:v>
      </x:c>
      <x:c r="L522" s="1" t="str">
        <x:v>Нет</x:v>
      </x:c>
      <x:c r="M522" s="1" t="n">
        <x:v>352613</x:v>
      </x:c>
    </x:row>
    <x:row r="523">
      <x:c r="A523" s="1" t="str">
        <x:v>332569879</x:v>
      </x:c>
      <x:c r="B523" s="1" t="str">
        <x:v>shortyman4P-91/черный</x:v>
      </x:c>
      <x:c r="C523" s="1" t="str">
        <x:v>Шорты</x:v>
      </x:c>
      <x:c r="D523" s="9" t="n">
        <x:v>8.2</x:v>
      </x:c>
      <x:c r="E523" s="8" t="n">
        <x:v>23801</x:v>
      </x:c>
      <x:c r="F523" s="8" t="n">
        <x:v>615</x:v>
      </x:c>
      <x:c r="G523" s="8" t="n">
        <x:v>392452</x:v>
      </x:c>
      <x:c r="H523" s="8" t="n">
        <x:v>2</x:v>
      </x:c>
      <x:c r="I523" s="8" t="n">
        <x:v>0</x:v>
      </x:c>
      <x:c r="J523" s="8" t="n">
        <x:v>0</x:v>
      </x:c>
      <x:c r="K523" s="8" t="n">
        <x:v>1636</x:v>
      </x:c>
      <x:c r="L523" s="1" t="str">
        <x:v>Нет</x:v>
      </x:c>
      <x:c r="M523" s="1" t="n">
        <x:v>0</x:v>
      </x:c>
    </x:row>
    <x:row r="524">
      <x:c r="A524" s="1" t="str">
        <x:v>114570373</x:v>
      </x:c>
      <x:c r="B524" s="1" t="str">
        <x:v>svitshotover/черный</x:v>
      </x:c>
      <x:c r="C524" s="1" t="str">
        <x:v>Свитшоты</x:v>
      </x:c>
      <x:c r="D524" s="9" t="n">
        <x:v>9.7</x:v>
      </x:c>
      <x:c r="E524" s="8" t="n">
        <x:v>24040</x:v>
      </x:c>
      <x:c r="F524" s="8" t="n">
        <x:v>455</x:v>
      </x:c>
      <x:c r="G524" s="8" t="n">
        <x:v>391875</x:v>
      </x:c>
      <x:c r="H524" s="8" t="n">
        <x:v>1416</x:v>
      </x:c>
      <x:c r="I524" s="8" t="n">
        <x:v>0</x:v>
      </x:c>
      <x:c r="J524" s="8" t="n">
        <x:v>551</x:v>
      </x:c>
      <x:c r="K524" s="8" t="n">
        <x:v>2062</x:v>
      </x:c>
      <x:c r="L524" s="1" t="str">
        <x:v>Нет</x:v>
      </x:c>
      <x:c r="M524" s="1" t="n">
        <x:v>610489</x:v>
      </x:c>
    </x:row>
    <x:row r="525">
      <x:c r="A525" s="1" t="str">
        <x:v>158427980</x:v>
      </x:c>
      <x:c r="B525" s="1" t="str">
        <x:v>kostumman/сине-серый</x:v>
      </x:c>
      <x:c r="C525" s="1" t="str">
        <x:v>Костюмы спортивные</x:v>
      </x:c>
      <x:c r="D525" s="9" t="n">
        <x:v>9.4</x:v>
      </x:c>
      <x:c r="E525" s="8" t="n">
        <x:v>11548</x:v>
      </x:c>
      <x:c r="F525" s="8" t="n">
        <x:v>244</x:v>
      </x:c>
      <x:c r="G525" s="8" t="n">
        <x:v>388758</x:v>
      </x:c>
      <x:c r="H525" s="8" t="n">
        <x:v>582</x:v>
      </x:c>
      <x:c r="I525" s="8" t="n">
        <x:v>0</x:v>
      </x:c>
      <x:c r="J525" s="8" t="n">
        <x:v>667</x:v>
      </x:c>
      <x:c r="K525" s="8" t="n">
        <x:v>4543</x:v>
      </x:c>
      <x:c r="L525" s="1" t="str">
        <x:v>Нет</x:v>
      </x:c>
      <x:c r="M525" s="1" t="n">
        <x:v>1171367</x:v>
      </x:c>
    </x:row>
    <x:row r="526">
      <x:c r="A526" s="1" t="str">
        <x:v>198068994</x:v>
      </x:c>
      <x:c r="B526" s="1" t="str">
        <x:v>svitshotzip1/серыймеланж2</x:v>
      </x:c>
      <x:c r="C526" s="1" t="str">
        <x:v>Свитшоты</x:v>
      </x:c>
      <x:c r="D526" s="9" t="n">
        <x:v>9.7</x:v>
      </x:c>
      <x:c r="E526" s="8" t="n">
        <x:v>26721</x:v>
      </x:c>
      <x:c r="F526" s="8" t="n">
        <x:v>351</x:v>
      </x:c>
      <x:c r="G526" s="8" t="n">
        <x:v>388204</x:v>
      </x:c>
      <x:c r="H526" s="8" t="n">
        <x:v>82</x:v>
      </x:c>
      <x:c r="I526" s="8" t="n">
        <x:v>0</x:v>
      </x:c>
      <x:c r="J526" s="8" t="n">
        <x:v>724</x:v>
      </x:c>
      <x:c r="K526" s="8" t="n">
        <x:v>2815</x:v>
      </x:c>
      <x:c r="L526" s="1" t="str">
        <x:v>Нет</x:v>
      </x:c>
      <x:c r="M526" s="1" t="n">
        <x:v>596700</x:v>
      </x:c>
    </x:row>
    <x:row r="527">
      <x:c r="A527" s="1" t="str">
        <x:v>289098362</x:v>
      </x:c>
      <x:c r="B527" s="1" t="str">
        <x:v>tolstovkazip3F-71/серыймеланж2</x:v>
      </x:c>
      <x:c r="C527" s="1" t="str">
        <x:v>Худи</x:v>
      </x:c>
      <x:c r="D527" s="9" t="n">
        <x:v>8.7</x:v>
      </x:c>
      <x:c r="E527" s="8" t="n">
        <x:v>47350</x:v>
      </x:c>
      <x:c r="F527" s="8" t="n">
        <x:v>354</x:v>
      </x:c>
      <x:c r="G527" s="8" t="n">
        <x:v>387414</x:v>
      </x:c>
      <x:c r="H527" s="8" t="n">
        <x:v>1</x:v>
      </x:c>
      <x:c r="I527" s="8" t="n">
        <x:v>0</x:v>
      </x:c>
      <x:c r="J527" s="8" t="n">
        <x:v>955</x:v>
      </x:c>
      <x:c r="K527" s="8" t="n">
        <x:v>2774</x:v>
      </x:c>
      <x:c r="L527" s="1" t="str">
        <x:v>Нет</x:v>
      </x:c>
      <x:c r="M527" s="1" t="n">
        <x:v>1011095</x:v>
      </x:c>
    </x:row>
    <x:row r="528">
      <x:c r="A528" s="1" t="str">
        <x:v>377595931</x:v>
      </x:c>
      <x:c r="B528" s="1" t="str">
        <x:v>tolstovkazip3P-70/коричневый</x:v>
      </x:c>
      <x:c r="C528" s="1" t="str">
        <x:v>Худи</x:v>
      </x:c>
      <x:c r="D528" s="9" t="n">
        <x:v>9.7</x:v>
      </x:c>
      <x:c r="E528" s="8" t="n">
        <x:v>40392</x:v>
      </x:c>
      <x:c r="F528" s="8" t="n">
        <x:v>529</x:v>
      </x:c>
      <x:c r="G528" s="8" t="n">
        <x:v>387358</x:v>
      </x:c>
      <x:c r="H528" s="8" t="n">
        <x:v>7</x:v>
      </x:c>
      <x:c r="I528" s="8" t="n">
        <x:v>0</x:v>
      </x:c>
      <x:c r="J528" s="8" t="n">
        <x:v>0</x:v>
      </x:c>
      <x:c r="K528" s="8" t="n">
        <x:v>2555</x:v>
      </x:c>
      <x:c r="L528" s="1" t="str">
        <x:v>Нет</x:v>
      </x:c>
      <x:c r="M528" s="1" t="n">
        <x:v>0</x:v>
      </x:c>
    </x:row>
    <x:row r="529">
      <x:c r="A529" s="1" t="str">
        <x:v>264722493</x:v>
      </x:c>
      <x:c r="B529" s="1" t="str">
        <x:v>svitshotzip1/бордовый</x:v>
      </x:c>
      <x:c r="C529" s="1" t="str">
        <x:v>Свитшоты</x:v>
      </x:c>
      <x:c r="D529" s="9" t="n">
        <x:v>9.7</x:v>
      </x:c>
      <x:c r="E529" s="8" t="n">
        <x:v>21038</x:v>
      </x:c>
      <x:c r="F529" s="8" t="n">
        <x:v>381</x:v>
      </x:c>
      <x:c r="G529" s="8" t="n">
        <x:v>386740</x:v>
      </x:c>
      <x:c r="H529" s="8" t="n">
        <x:v>42</x:v>
      </x:c>
      <x:c r="I529" s="8" t="n">
        <x:v>0</x:v>
      </x:c>
      <x:c r="J529" s="8" t="n">
        <x:v>937</x:v>
      </x:c>
      <x:c r="K529" s="8" t="n">
        <x:v>2961</x:v>
      </x:c>
      <x:c r="L529" s="1" t="str">
        <x:v>Нет</x:v>
      </x:c>
      <x:c r="M529" s="1" t="n">
        <x:v>991849</x:v>
      </x:c>
    </x:row>
    <x:row r="530">
      <x:c r="A530" s="1" t="str">
        <x:v>377595930</x:v>
      </x:c>
      <x:c r="B530" s="1" t="str">
        <x:v>tolstovkazip3P-70/молочный</x:v>
      </x:c>
      <x:c r="C530" s="1" t="str">
        <x:v>Худи</x:v>
      </x:c>
      <x:c r="D530" s="9" t="n">
        <x:v>9.7</x:v>
      </x:c>
      <x:c r="E530" s="8" t="n">
        <x:v>50450</x:v>
      </x:c>
      <x:c r="F530" s="8" t="n">
        <x:v>605</x:v>
      </x:c>
      <x:c r="G530" s="8" t="n">
        <x:v>386348</x:v>
      </x:c>
      <x:c r="H530" s="8" t="n">
        <x:v>2</x:v>
      </x:c>
      <x:c r="I530" s="8" t="n">
        <x:v>0</x:v>
      </x:c>
      <x:c r="J530" s="8" t="n">
        <x:v>0</x:v>
      </x:c>
      <x:c r="K530" s="8" t="n">
        <x:v>2507</x:v>
      </x:c>
      <x:c r="L530" s="1" t="str">
        <x:v>Нет</x:v>
      </x:c>
      <x:c r="M530" s="1" t="n">
        <x:v>0</x:v>
      </x:c>
    </x:row>
    <x:row r="531">
      <x:c r="A531" s="1" t="str">
        <x:v>333242660</x:v>
      </x:c>
      <x:c r="B531" s="1" t="str">
        <x:v>futbolkamanoverX3/чер-бел-тсин</x:v>
      </x:c>
      <x:c r="C531" s="1" t="str">
        <x:v>Футболки</x:v>
      </x:c>
      <x:c r="D531" s="9" t="n">
        <x:v>8.4</x:v>
      </x:c>
      <x:c r="E531" s="8" t="n">
        <x:v>32188</x:v>
      </x:c>
      <x:c r="F531" s="8" t="n">
        <x:v>407</x:v>
      </x:c>
      <x:c r="G531" s="8" t="n">
        <x:v>385736</x:v>
      </x:c>
      <x:c r="H531" s="8" t="n">
        <x:v>525</x:v>
      </x:c>
      <x:c r="I531" s="8" t="n">
        <x:v>0</x:v>
      </x:c>
      <x:c r="J531" s="8" t="n">
        <x:v>5</x:v>
      </x:c>
      <x:c r="K531" s="8" t="n">
        <x:v>2656</x:v>
      </x:c>
      <x:c r="L531" s="1" t="str">
        <x:v>Нет</x:v>
      </x:c>
      <x:c r="M531" s="1" t="n">
        <x:v>1900</x:v>
      </x:c>
    </x:row>
    <x:row r="532">
      <x:c r="A532" s="1" t="str">
        <x:v>157019305</x:v>
      </x:c>
      <x:c r="B532" s="1" t="str">
        <x:v>kostumman/черный</x:v>
      </x:c>
      <x:c r="C532" s="1" t="str">
        <x:v>Костюмы спортивные</x:v>
      </x:c>
      <x:c r="D532" s="9" t="n">
        <x:v>9.4</x:v>
      </x:c>
      <x:c r="E532" s="8" t="n">
        <x:v>10813</x:v>
      </x:c>
      <x:c r="F532" s="8" t="n">
        <x:v>266</x:v>
      </x:c>
      <x:c r="G532" s="8" t="n">
        <x:v>385183</x:v>
      </x:c>
      <x:c r="H532" s="8" t="n">
        <x:v>285</x:v>
      </x:c>
      <x:c r="I532" s="8" t="n">
        <x:v>0</x:v>
      </x:c>
      <x:c r="J532" s="8" t="n">
        <x:v>459</x:v>
      </x:c>
      <x:c r="K532" s="8" t="n">
        <x:v>4597</x:v>
      </x:c>
      <x:c r="L532" s="1" t="str">
        <x:v>Нет</x:v>
      </x:c>
      <x:c r="M532" s="1" t="n">
        <x:v>751376</x:v>
      </x:c>
    </x:row>
    <x:row r="533">
      <x:c r="A533" s="1" t="str">
        <x:v>115879891</x:v>
      </x:c>
      <x:c r="B533" s="1" t="str">
        <x:v>hudi/фиолетовый</x:v>
      </x:c>
      <x:c r="C533" s="1" t="str">
        <x:v>Худи</x:v>
      </x:c>
      <x:c r="D533" s="9" t="n">
        <x:v>9.7</x:v>
      </x:c>
      <x:c r="E533" s="8" t="n">
        <x:v>43910</x:v>
      </x:c>
      <x:c r="F533" s="8" t="n">
        <x:v>327</x:v>
      </x:c>
      <x:c r="G533" s="8" t="n">
        <x:v>384447</x:v>
      </x:c>
      <x:c r="H533" s="8" t="n">
        <x:v>85</x:v>
      </x:c>
      <x:c r="I533" s="8" t="n">
        <x:v>0</x:v>
      </x:c>
      <x:c r="J533" s="8" t="n">
        <x:v>552</x:v>
      </x:c>
      <x:c r="K533" s="8" t="n">
        <x:v>2466</x:v>
      </x:c>
      <x:c r="L533" s="1" t="str">
        <x:v>Нет</x:v>
      </x:c>
      <x:c r="M533" s="1" t="n">
        <x:v>717986</x:v>
      </x:c>
    </x:row>
    <x:row r="534">
      <x:c r="A534" s="1" t="str">
        <x:v>209915014</x:v>
      </x:c>
      <x:c r="B534" s="1" t="str">
        <x:v>longsvobod/белый</x:v>
      </x:c>
      <x:c r="C534" s="1" t="str">
        <x:v>Лонгсливы</x:v>
      </x:c>
      <x:c r="D534" s="9" t="n">
        <x:v>7.2</x:v>
      </x:c>
      <x:c r="E534" s="8" t="n">
        <x:v>47100</x:v>
      </x:c>
      <x:c r="F534" s="8" t="n">
        <x:v>1023</x:v>
      </x:c>
      <x:c r="G534" s="8" t="n">
        <x:v>383917</x:v>
      </x:c>
      <x:c r="H534" s="8" t="n">
        <x:v>188</x:v>
      </x:c>
      <x:c r="I534" s="8" t="n">
        <x:v>0</x:v>
      </x:c>
      <x:c r="J534" s="8" t="n">
        <x:v>408</x:v>
      </x:c>
      <x:c r="K534" s="8" t="n">
        <x:v>924</x:v>
      </x:c>
      <x:c r="L534" s="1" t="str">
        <x:v>Нет</x:v>
      </x:c>
      <x:c r="M534" s="1" t="n">
        <x:v>165100</x:v>
      </x:c>
    </x:row>
    <x:row r="535">
      <x:c r="A535" s="1" t="str">
        <x:v>331723394</x:v>
      </x:c>
      <x:c r="B535" s="1" t="str">
        <x:v>futkryl3K-101/каштановый</x:v>
      </x:c>
      <x:c r="C535" s="1" t="str">
        <x:v>Футболки</x:v>
      </x:c>
      <x:c r="D535" s="9" t="n">
        <x:v>8.4</x:v>
      </x:c>
      <x:c r="E535" s="8" t="n">
        <x:v>89054</x:v>
      </x:c>
      <x:c r="F535" s="8" t="n">
        <x:v>1076</x:v>
      </x:c>
      <x:c r="G535" s="8" t="n">
        <x:v>382155</x:v>
      </x:c>
      <x:c r="H535" s="8" t="n">
        <x:v>519</x:v>
      </x:c>
      <x:c r="I535" s="8" t="n">
        <x:v>0</x:v>
      </x:c>
      <x:c r="J535" s="8" t="n">
        <x:v>0</x:v>
      </x:c>
      <x:c r="K535" s="8" t="n">
        <x:v>821</x:v>
      </x:c>
      <x:c r="L535" s="1" t="str">
        <x:v>Нет</x:v>
      </x:c>
      <x:c r="M535" s="1" t="n">
        <x:v>0</x:v>
      </x:c>
    </x:row>
    <x:row r="536">
      <x:c r="A536" s="1" t="str">
        <x:v>246363157</x:v>
      </x:c>
      <x:c r="B536" s="1" t="str">
        <x:v>tolstovkazipcrop/графит</x:v>
      </x:c>
      <x:c r="C536" s="1" t="str">
        <x:v>Худи</x:v>
      </x:c>
      <x:c r="D536" s="9" t="n">
        <x:v>9.7</x:v>
      </x:c>
      <x:c r="E536" s="8" t="n">
        <x:v>44522</x:v>
      </x:c>
      <x:c r="F536" s="8" t="n">
        <x:v>429</x:v>
      </x:c>
      <x:c r="G536" s="8" t="n">
        <x:v>380530</x:v>
      </x:c>
      <x:c r="H536" s="8" t="n">
        <x:v>78</x:v>
      </x:c>
      <x:c r="I536" s="8" t="n">
        <x:v>0</x:v>
      </x:c>
      <x:c r="J536" s="8" t="n">
        <x:v>421</x:v>
      </x:c>
      <x:c r="K536" s="8" t="n">
        <x:v>2190</x:v>
      </x:c>
      <x:c r="L536" s="1" t="str">
        <x:v>Нет</x:v>
      </x:c>
      <x:c r="M536" s="1" t="n">
        <x:v>408050</x:v>
      </x:c>
    </x:row>
    <x:row r="537">
      <x:c r="A537" s="1" t="str">
        <x:v>150674020</x:v>
      </x:c>
      <x:c r="B537" s="1" t="str">
        <x:v>svitshotover/голубой</x:v>
      </x:c>
      <x:c r="C537" s="1" t="str">
        <x:v>Свитшоты</x:v>
      </x:c>
      <x:c r="D537" s="9" t="n">
        <x:v>9.7</x:v>
      </x:c>
      <x:c r="E537" s="8" t="n">
        <x:v>27401</x:v>
      </x:c>
      <x:c r="F537" s="8" t="n">
        <x:v>526</x:v>
      </x:c>
      <x:c r="G537" s="8" t="n">
        <x:v>380129</x:v>
      </x:c>
      <x:c r="H537" s="8" t="n">
        <x:v>586</x:v>
      </x:c>
      <x:c r="I537" s="8" t="n">
        <x:v>0</x:v>
      </x:c>
      <x:c r="J537" s="8" t="n">
        <x:v>778</x:v>
      </x:c>
      <x:c r="K537" s="8" t="n">
        <x:v>2034</x:v>
      </x:c>
      <x:c r="L537" s="1" t="str">
        <x:v>Нет</x:v>
      </x:c>
      <x:c r="M537" s="1" t="n">
        <x:v>671327</x:v>
      </x:c>
    </x:row>
    <x:row r="538">
      <x:c r="A538" s="1" t="str">
        <x:v>320414101</x:v>
      </x:c>
      <x:c r="B538" s="1" t="str">
        <x:v>svitfix3F-77/графит</x:v>
      </x:c>
      <x:c r="C538" s="1" t="str">
        <x:v>Свитшоты</x:v>
      </x:c>
      <x:c r="D538" s="9" t="n">
        <x:v>6.7</x:v>
      </x:c>
      <x:c r="E538" s="8" t="n">
        <x:v>55160</x:v>
      </x:c>
      <x:c r="F538" s="8" t="n">
        <x:v>512</x:v>
      </x:c>
      <x:c r="G538" s="8" t="n">
        <x:v>380075</x:v>
      </x:c>
      <x:c r="H538" s="8" t="n">
        <x:v>224</x:v>
      </x:c>
      <x:c r="I538" s="8" t="n">
        <x:v>0</x:v>
      </x:c>
      <x:c r="J538" s="8" t="n">
        <x:v>312</x:v>
      </x:c>
      <x:c r="K538" s="8" t="n">
        <x:v>2219</x:v>
      </x:c>
      <x:c r="L538" s="1" t="str">
        <x:v>Нет</x:v>
      </x:c>
      <x:c r="M538" s="1" t="n">
        <x:v>232525</x:v>
      </x:c>
    </x:row>
    <x:row r="539">
      <x:c r="A539" s="1" t="str">
        <x:v>295660797</x:v>
      </x:c>
      <x:c r="B539" s="1" t="str">
        <x:v>2nkost3D-72-73/темно-синий</x:v>
      </x:c>
      <x:c r="C539" s="1" t="str">
        <x:v>Костюмы спортивные</x:v>
      </x:c>
      <x:c r="D539" s="9" t="n">
        <x:v>8.7</x:v>
      </x:c>
      <x:c r="E539" s="8" t="n">
        <x:v>70728</x:v>
      </x:c>
      <x:c r="F539" s="8" t="n">
        <x:v>882</x:v>
      </x:c>
      <x:c r="G539" s="8" t="n">
        <x:v>380069</x:v>
      </x:c>
      <x:c r="H539" s="8" t="n">
        <x:v>26</x:v>
      </x:c>
      <x:c r="I539" s="8" t="n">
        <x:v>0</x:v>
      </x:c>
      <x:c r="J539" s="8" t="n">
        <x:v>573</x:v>
      </x:c>
      <x:c r="K539" s="8" t="n">
        <x:v>2073</x:v>
      </x:c>
      <x:c r="L539" s="1" t="str">
        <x:v>Нет</x:v>
      </x:c>
      <x:c r="M539" s="1" t="n">
        <x:v>256952</x:v>
      </x:c>
    </x:row>
    <x:row r="540">
      <x:c r="A540" s="1" t="str">
        <x:v>333104136</x:v>
      </x:c>
      <x:c r="B540" s="1" t="str">
        <x:v>topbando/молочный</x:v>
      </x:c>
      <x:c r="C540" s="1" t="str">
        <x:v>Топы</x:v>
      </x:c>
      <x:c r="D540" s="9" t="n">
        <x:v>8.9</x:v>
      </x:c>
      <x:c r="E540" s="8" t="n">
        <x:v>49058</x:v>
      </x:c>
      <x:c r="F540" s="8" t="n">
        <x:v>1820</x:v>
      </x:c>
      <x:c r="G540" s="8" t="n">
        <x:v>380026</x:v>
      </x:c>
      <x:c r="H540" s="8" t="n">
        <x:v>645</x:v>
      </x:c>
      <x:c r="I540" s="8" t="n">
        <x:v>0</x:v>
      </x:c>
      <x:c r="J540" s="8" t="n">
        <x:v>0</x:v>
      </x:c>
      <x:c r="K540" s="8" t="n">
        <x:v>564</x:v>
      </x:c>
      <x:c r="L540" s="1" t="str">
        <x:v>Нет</x:v>
      </x:c>
      <x:c r="M540" s="1" t="n">
        <x:v>0</x:v>
      </x:c>
    </x:row>
    <x:row r="541">
      <x:c r="A541" s="1" t="str">
        <x:v>332680053</x:v>
      </x:c>
      <x:c r="B541" s="1" t="str">
        <x:v>vshirt3K-99/розовый</x:v>
      </x:c>
      <x:c r="C541" s="1" t="str">
        <x:v>Футболки</x:v>
      </x:c>
      <x:c r="D541" s="9" t="n">
        <x:v>8.2</x:v>
      </x:c>
      <x:c r="E541" s="8" t="n">
        <x:v>65014</x:v>
      </x:c>
      <x:c r="F541" s="8" t="n">
        <x:v>1211</x:v>
      </x:c>
      <x:c r="G541" s="8" t="n">
        <x:v>379085</x:v>
      </x:c>
      <x:c r="H541" s="8" t="n">
        <x:v>185</x:v>
      </x:c>
      <x:c r="I541" s="8" t="n">
        <x:v>0</x:v>
      </x:c>
      <x:c r="J541" s="8" t="n">
        <x:v>0</x:v>
      </x:c>
      <x:c r="K541" s="8" t="n">
        <x:v>693</x:v>
      </x:c>
      <x:c r="L541" s="1" t="str">
        <x:v>Нет</x:v>
      </x:c>
      <x:c r="M541" s="1" t="n">
        <x:v>0</x:v>
      </x:c>
    </x:row>
    <x:row r="542">
      <x:c r="A542" s="1" t="str">
        <x:v>294025142</x:v>
      </x:c>
      <x:c r="B542" s="1" t="str">
        <x:v>svitfix3F-77/серыймеланж2</x:v>
      </x:c>
      <x:c r="C542" s="1" t="str">
        <x:v>Свитшоты</x:v>
      </x:c>
      <x:c r="D542" s="9" t="n">
        <x:v>8.7</x:v>
      </x:c>
      <x:c r="E542" s="8" t="n">
        <x:v>22229</x:v>
      </x:c>
      <x:c r="F542" s="8" t="n">
        <x:v>470</x:v>
      </x:c>
      <x:c r="G542" s="8" t="n">
        <x:v>378382</x:v>
      </x:c>
      <x:c r="H542" s="8" t="n">
        <x:v>150</x:v>
      </x:c>
      <x:c r="I542" s="8" t="n">
        <x:v>0</x:v>
      </x:c>
      <x:c r="J542" s="8" t="n">
        <x:v>471</x:v>
      </x:c>
      <x:c r="K542" s="8" t="n">
        <x:v>2238</x:v>
      </x:c>
      <x:c r="L542" s="1" t="str">
        <x:v>Нет</x:v>
      </x:c>
      <x:c r="M542" s="1" t="n">
        <x:v>391051</x:v>
      </x:c>
    </x:row>
    <x:row r="543">
      <x:c r="A543" s="1" t="str">
        <x:v>120952734</x:v>
      </x:c>
      <x:c r="B543" s="1" t="str">
        <x:v>brukiman/сине-серый</x:v>
      </x:c>
      <x:c r="C543" s="1" t="str">
        <x:v>Брюки</x:v>
      </x:c>
      <x:c r="D543" s="9" t="n">
        <x:v>7.7</x:v>
      </x:c>
      <x:c r="E543" s="8" t="n">
        <x:v>29828</x:v>
      </x:c>
      <x:c r="F543" s="8" t="n">
        <x:v>470</x:v>
      </x:c>
      <x:c r="G543" s="8" t="n">
        <x:v>376302</x:v>
      </x:c>
      <x:c r="H543" s="8" t="n">
        <x:v>741</x:v>
      </x:c>
      <x:c r="I543" s="8" t="n">
        <x:v>0</x:v>
      </x:c>
      <x:c r="J543" s="8" t="n">
        <x:v>817</x:v>
      </x:c>
      <x:c r="K543" s="8" t="n">
        <x:v>2228</x:v>
      </x:c>
      <x:c r="L543" s="1" t="str">
        <x:v>Нет</x:v>
      </x:c>
      <x:c r="M543" s="1" t="n">
        <x:v>763669</x:v>
      </x:c>
    </x:row>
    <x:row r="544">
      <x:c r="A544" s="1" t="str">
        <x:v>245583531</x:v>
      </x:c>
      <x:c r="B544" s="1" t="str">
        <x:v>hudiprint/FLORIDA-85/молочный</x:v>
      </x:c>
      <x:c r="C544" s="1" t="str">
        <x:v>Худи</x:v>
      </x:c>
      <x:c r="D544" s="9" t="n">
        <x:v>9.7</x:v>
      </x:c>
      <x:c r="E544" s="8" t="n">
        <x:v>24802</x:v>
      </x:c>
      <x:c r="F544" s="8" t="n">
        <x:v>355</x:v>
      </x:c>
      <x:c r="G544" s="8" t="n">
        <x:v>374592</x:v>
      </x:c>
      <x:c r="H544" s="8" t="n">
        <x:v>44</x:v>
      </x:c>
      <x:c r="I544" s="8" t="n">
        <x:v>0</x:v>
      </x:c>
      <x:c r="J544" s="8" t="n">
        <x:v>336</x:v>
      </x:c>
      <x:c r="K544" s="8" t="n">
        <x:v>2523</x:v>
      </x:c>
      <x:c r="L544" s="1" t="str">
        <x:v>Нет</x:v>
      </x:c>
      <x:c r="M544" s="1" t="n">
        <x:v>334101</x:v>
      </x:c>
    </x:row>
    <x:row r="545">
      <x:c r="A545" s="1" t="str">
        <x:v>211596885</x:v>
      </x:c>
      <x:c r="B545" s="1" t="str">
        <x:v>futbolkaprint/FLORIDA-85/молочный</x:v>
      </x:c>
      <x:c r="C545" s="1" t="str">
        <x:v>Футболки</x:v>
      </x:c>
      <x:c r="D545" s="9" t="n">
        <x:v>9.7</x:v>
      </x:c>
      <x:c r="E545" s="8" t="n">
        <x:v>41259</x:v>
      </x:c>
      <x:c r="F545" s="8" t="n">
        <x:v>531</x:v>
      </x:c>
      <x:c r="G545" s="8" t="n">
        <x:v>374540</x:v>
      </x:c>
      <x:c r="H545" s="8" t="n">
        <x:v>178</x:v>
      </x:c>
      <x:c r="I545" s="8" t="n">
        <x:v>0</x:v>
      </x:c>
      <x:c r="J545" s="8" t="n">
        <x:v>1249</x:v>
      </x:c>
      <x:c r="K545" s="8" t="n">
        <x:v>1112</x:v>
      </x:c>
      <x:c r="L545" s="1" t="str">
        <x:v>Нет</x:v>
      </x:c>
      <x:c r="M545" s="1" t="n">
        <x:v>811717</x:v>
      </x:c>
    </x:row>
    <x:row r="546">
      <x:c r="A546" s="1" t="str">
        <x:v>222293200</x:v>
      </x:c>
      <x:c r="B546" s="1" t="str">
        <x:v>hudiprint/SaintGod-130/темно-серый</x:v>
      </x:c>
      <x:c r="C546" s="1" t="str">
        <x:v>Худи</x:v>
      </x:c>
      <x:c r="D546" s="9" t="n">
        <x:v>9.7</x:v>
      </x:c>
      <x:c r="E546" s="8" t="n">
        <x:v>41449</x:v>
      </x:c>
      <x:c r="F546" s="8" t="n">
        <x:v>361</x:v>
      </x:c>
      <x:c r="G546" s="8" t="n">
        <x:v>373748</x:v>
      </x:c>
      <x:c r="H546" s="8" t="n">
        <x:v>1395</x:v>
      </x:c>
      <x:c r="I546" s="8" t="n">
        <x:v>0</x:v>
      </x:c>
      <x:c r="J546" s="8" t="n">
        <x:v>378</x:v>
      </x:c>
      <x:c r="K546" s="8" t="n">
        <x:v>2397</x:v>
      </x:c>
      <x:c r="L546" s="1" t="str">
        <x:v>Нет</x:v>
      </x:c>
      <x:c r="M546" s="1" t="n">
        <x:v>394227</x:v>
      </x:c>
    </x:row>
    <x:row r="547">
      <x:c r="A547" s="1" t="str">
        <x:v>209914956</x:v>
      </x:c>
      <x:c r="B547" s="1" t="str">
        <x:v>longsvobod/пыльнаяроза</x:v>
      </x:c>
      <x:c r="C547" s="1" t="str">
        <x:v>Лонгсливы</x:v>
      </x:c>
      <x:c r="D547" s="9" t="n">
        <x:v>5.2</x:v>
      </x:c>
      <x:c r="E547" s="8" t="n">
        <x:v>74347</x:v>
      </x:c>
      <x:c r="F547" s="8" t="n">
        <x:v>1257</x:v>
      </x:c>
      <x:c r="G547" s="8" t="n">
        <x:v>373564</x:v>
      </x:c>
      <x:c r="H547" s="8" t="n">
        <x:v>162</x:v>
      </x:c>
      <x:c r="I547" s="8" t="n">
        <x:v>0</x:v>
      </x:c>
      <x:c r="J547" s="8" t="n">
        <x:v>798</x:v>
      </x:c>
      <x:c r="K547" s="8" t="n">
        <x:v>998</x:v>
      </x:c>
      <x:c r="L547" s="1" t="str">
        <x:v>Нет</x:v>
      </x:c>
      <x:c r="M547" s="1" t="n">
        <x:v>298600</x:v>
      </x:c>
    </x:row>
    <x:row r="548">
      <x:c r="A548" s="1" t="str">
        <x:v>300270088</x:v>
      </x:c>
      <x:c r="B548" s="1" t="str">
        <x:v>svitzip3P-S-5/темно-серый</x:v>
      </x:c>
      <x:c r="C548" s="1" t="str">
        <x:v>Свитшоты</x:v>
      </x:c>
      <x:c r="D548" s="9" t="n">
        <x:v>8.7</x:v>
      </x:c>
      <x:c r="E548" s="8" t="n">
        <x:v>33710</x:v>
      </x:c>
      <x:c r="F548" s="8" t="n">
        <x:v>424</x:v>
      </x:c>
      <x:c r="G548" s="8" t="n">
        <x:v>372992</x:v>
      </x:c>
      <x:c r="H548" s="8" t="n">
        <x:v>271</x:v>
      </x:c>
      <x:c r="I548" s="8" t="n">
        <x:v>0</x:v>
      </x:c>
      <x:c r="J548" s="8" t="n">
        <x:v>434</x:v>
      </x:c>
      <x:c r="K548" s="8" t="n">
        <x:v>2680</x:v>
      </x:c>
      <x:c r="L548" s="1" t="str">
        <x:v>Нет</x:v>
      </x:c>
      <x:c r="M548" s="1" t="n">
        <x:v>283538</x:v>
      </x:c>
    </x:row>
    <x:row r="549">
      <x:c r="A549" s="1" t="str">
        <x:v>220090361</x:v>
      </x:c>
      <x:c r="B549" s="1" t="str">
        <x:v>tolstovkazip/светло-фиолетовый</x:v>
      </x:c>
      <x:c r="C549" s="1" t="str">
        <x:v>Худи</x:v>
      </x:c>
      <x:c r="D549" s="9" t="n">
        <x:v>9.7</x:v>
      </x:c>
      <x:c r="E549" s="8" t="n">
        <x:v>33540</x:v>
      </x:c>
      <x:c r="F549" s="8" t="n">
        <x:v>394</x:v>
      </x:c>
      <x:c r="G549" s="8" t="n">
        <x:v>372730</x:v>
      </x:c>
      <x:c r="H549" s="8" t="n">
        <x:v>0</x:v>
      </x:c>
      <x:c r="I549" s="8" t="n">
        <x:v>0</x:v>
      </x:c>
      <x:c r="J549" s="8" t="n">
        <x:v>831</x:v>
      </x:c>
      <x:c r="K549" s="8" t="n">
        <x:v>3070</x:v>
      </x:c>
      <x:c r="L549" s="1" t="str">
        <x:v>Нет</x:v>
      </x:c>
      <x:c r="M549" s="1" t="n">
        <x:v>1079204</x:v>
      </x:c>
    </x:row>
    <x:row r="550">
      <x:c r="A550" s="1" t="str">
        <x:v>280030828</x:v>
      </x:c>
      <x:c r="B550" s="1" t="str">
        <x:v>svitshotzipman2/кофейный</x:v>
      </x:c>
      <x:c r="C550" s="1" t="str">
        <x:v>Свитшоты</x:v>
      </x:c>
      <x:c r="D550" s="9" t="n">
        <x:v>9.7</x:v>
      </x:c>
      <x:c r="E550" s="8" t="n">
        <x:v>21050</x:v>
      </x:c>
      <x:c r="F550" s="8" t="n">
        <x:v>428</x:v>
      </x:c>
      <x:c r="G550" s="8" t="n">
        <x:v>371782</x:v>
      </x:c>
      <x:c r="H550" s="8" t="n">
        <x:v>59</x:v>
      </x:c>
      <x:c r="I550" s="8" t="n">
        <x:v>0</x:v>
      </x:c>
      <x:c r="J550" s="8" t="n">
        <x:v>337</x:v>
      </x:c>
      <x:c r="K550" s="8" t="n">
        <x:v>2373</x:v>
      </x:c>
      <x:c r="L550" s="1" t="str">
        <x:v>Нет</x:v>
      </x:c>
      <x:c r="M550" s="1" t="n">
        <x:v>317214</x:v>
      </x:c>
    </x:row>
    <x:row r="551">
      <x:c r="A551" s="1" t="str">
        <x:v>79577394</x:v>
      </x:c>
      <x:c r="B551" s="1" t="str">
        <x:v>futbolkaover/морскаяволна</x:v>
      </x:c>
      <x:c r="C551" s="1" t="str">
        <x:v>Футболки</x:v>
      </x:c>
      <x:c r="D551" s="9" t="n">
        <x:v>9.7</x:v>
      </x:c>
      <x:c r="E551" s="8" t="n">
        <x:v>64102</x:v>
      </x:c>
      <x:c r="F551" s="8" t="n">
        <x:v>792</x:v>
      </x:c>
      <x:c r="G551" s="8" t="n">
        <x:v>370926</x:v>
      </x:c>
      <x:c r="H551" s="8" t="n">
        <x:v>4803</x:v>
      </x:c>
      <x:c r="I551" s="8" t="n">
        <x:v>0</x:v>
      </x:c>
      <x:c r="J551" s="8" t="n">
        <x:v>1586</x:v>
      </x:c>
      <x:c r="K551" s="8" t="n">
        <x:v>833</x:v>
      </x:c>
      <x:c r="L551" s="1" t="str">
        <x:v>Нет</x:v>
      </x:c>
      <x:c r="M551" s="1" t="n">
        <x:v>867109</x:v>
      </x:c>
    </x:row>
    <x:row r="552">
      <x:c r="A552" s="1" t="str">
        <x:v>25872098</x:v>
      </x:c>
      <x:c r="B552" s="1" t="str">
        <x:v>hudiman/светло-зеленый</x:v>
      </x:c>
      <x:c r="C552" s="1" t="str">
        <x:v>Худи</x:v>
      </x:c>
      <x:c r="D552" s="9" t="n">
        <x:v>9.7</x:v>
      </x:c>
      <x:c r="E552" s="8" t="n">
        <x:v>13128</x:v>
      </x:c>
      <x:c r="F552" s="8" t="n">
        <x:v>321</x:v>
      </x:c>
      <x:c r="G552" s="8" t="n">
        <x:v>370830</x:v>
      </x:c>
      <x:c r="H552" s="8" t="n">
        <x:v>75</x:v>
      </x:c>
      <x:c r="I552" s="8" t="n">
        <x:v>0</x:v>
      </x:c>
      <x:c r="J552" s="8" t="n">
        <x:v>428</x:v>
      </x:c>
      <x:c r="K552" s="8" t="n">
        <x:v>2459</x:v>
      </x:c>
      <x:c r="L552" s="1" t="str">
        <x:v>Нет</x:v>
      </x:c>
      <x:c r="M552" s="1" t="n">
        <x:v>479966</x:v>
      </x:c>
    </x:row>
    <x:row r="553">
      <x:c r="A553" s="1" t="str">
        <x:v>264476989</x:v>
      </x:c>
      <x:c r="B553" s="1" t="str">
        <x:v>hudipetl/бордовый</x:v>
      </x:c>
      <x:c r="C553" s="1" t="str">
        <x:v>Худи</x:v>
      </x:c>
      <x:c r="D553" s="9" t="n">
        <x:v>8.7</x:v>
      </x:c>
      <x:c r="E553" s="8" t="n">
        <x:v>30329</x:v>
      </x:c>
      <x:c r="F553" s="8" t="n">
        <x:v>304</x:v>
      </x:c>
      <x:c r="G553" s="8" t="n">
        <x:v>370636</x:v>
      </x:c>
      <x:c r="H553" s="8" t="n">
        <x:v>0</x:v>
      </x:c>
      <x:c r="I553" s="8" t="n">
        <x:v>0</x:v>
      </x:c>
      <x:c r="J553" s="8" t="n">
        <x:v>1019</x:v>
      </x:c>
      <x:c r="K553" s="8" t="n">
        <x:v>2735</x:v>
      </x:c>
      <x:c r="L553" s="1" t="str">
        <x:v>Нет</x:v>
      </x:c>
      <x:c r="M553" s="1" t="n">
        <x:v>1151607</x:v>
      </x:c>
    </x:row>
    <x:row r="554">
      <x:c r="A554" s="1" t="str">
        <x:v>111850779</x:v>
      </x:c>
      <x:c r="B554" s="1" t="str">
        <x:v>futbolkaover/синеморской</x:v>
      </x:c>
      <x:c r="C554" s="1" t="str">
        <x:v>Футболки</x:v>
      </x:c>
      <x:c r="D554" s="9" t="n">
        <x:v>9.7</x:v>
      </x:c>
      <x:c r="E554" s="8" t="n">
        <x:v>45309</x:v>
      </x:c>
      <x:c r="F554" s="8" t="n">
        <x:v>728</x:v>
      </x:c>
      <x:c r="G554" s="8" t="n">
        <x:v>369046</x:v>
      </x:c>
      <x:c r="H554" s="8" t="n">
        <x:v>4642</x:v>
      </x:c>
      <x:c r="I554" s="8" t="n">
        <x:v>0</x:v>
      </x:c>
      <x:c r="J554" s="8" t="n">
        <x:v>585</x:v>
      </x:c>
      <x:c r="K554" s="8" t="n">
        <x:v>857</x:v>
      </x:c>
      <x:c r="L554" s="1" t="str">
        <x:v>Нет</x:v>
      </x:c>
      <x:c r="M554" s="1" t="n">
        <x:v>320852</x:v>
      </x:c>
    </x:row>
    <x:row r="555">
      <x:c r="A555" s="1" t="str">
        <x:v>246363121</x:v>
      </x:c>
      <x:c r="B555" s="1" t="str">
        <x:v>tolstovkazip/дымка</x:v>
      </x:c>
      <x:c r="C555" s="1" t="str">
        <x:v>Худи</x:v>
      </x:c>
      <x:c r="D555" s="9" t="n">
        <x:v>9.7</x:v>
      </x:c>
      <x:c r="E555" s="8" t="n">
        <x:v>31927</x:v>
      </x:c>
      <x:c r="F555" s="8" t="n">
        <x:v>271</x:v>
      </x:c>
      <x:c r="G555" s="8" t="n">
        <x:v>368687</x:v>
      </x:c>
      <x:c r="H555" s="8" t="n">
        <x:v>0</x:v>
      </x:c>
      <x:c r="I555" s="8" t="n">
        <x:v>0</x:v>
      </x:c>
      <x:c r="J555" s="8" t="n">
        <x:v>571</x:v>
      </x:c>
      <x:c r="K555" s="8" t="n">
        <x:v>3260</x:v>
      </x:c>
      <x:c r="L555" s="1" t="str">
        <x:v>Нет</x:v>
      </x:c>
      <x:c r="M555" s="1" t="n">
        <x:v>862152</x:v>
      </x:c>
    </x:row>
    <x:row r="556">
      <x:c r="A556" s="1" t="str">
        <x:v>165757807</x:v>
      </x:c>
      <x:c r="B556" s="1" t="str">
        <x:v>kulirkaman/банановый</x:v>
      </x:c>
      <x:c r="C556" s="1" t="str">
        <x:v>Футболки</x:v>
      </x:c>
      <x:c r="D556" s="9" t="n">
        <x:v>8.7</x:v>
      </x:c>
      <x:c r="E556" s="8" t="n">
        <x:v>26880</x:v>
      </x:c>
      <x:c r="F556" s="8" t="n">
        <x:v>743</x:v>
      </x:c>
      <x:c r="G556" s="8" t="n">
        <x:v>365042</x:v>
      </x:c>
      <x:c r="H556" s="8" t="n">
        <x:v>179</x:v>
      </x:c>
      <x:c r="I556" s="8" t="n">
        <x:v>0</x:v>
      </x:c>
      <x:c r="J556" s="8" t="n">
        <x:v>864</x:v>
      </x:c>
      <x:c r="K556" s="8" t="n">
        <x:v>1035</x:v>
      </x:c>
      <x:c r="L556" s="1" t="str">
        <x:v>Нет</x:v>
      </x:c>
      <x:c r="M556" s="1" t="n">
        <x:v>493727</x:v>
      </x:c>
    </x:row>
    <x:row r="557">
      <x:c r="A557" s="1" t="str">
        <x:v>220090370</x:v>
      </x:c>
      <x:c r="B557" s="1" t="str">
        <x:v>tolstovkazipman/песочный</x:v>
      </x:c>
      <x:c r="C557" s="1" t="str">
        <x:v>Худи</x:v>
      </x:c>
      <x:c r="D557" s="9" t="n">
        <x:v>9</x:v>
      </x:c>
      <x:c r="E557" s="8" t="n">
        <x:v>22751</x:v>
      </x:c>
      <x:c r="F557" s="8" t="n">
        <x:v>394</x:v>
      </x:c>
      <x:c r="G557" s="8" t="n">
        <x:v>363993</x:v>
      </x:c>
      <x:c r="H557" s="8" t="n">
        <x:v>28</x:v>
      </x:c>
      <x:c r="I557" s="8" t="n">
        <x:v>0</x:v>
      </x:c>
      <x:c r="J557" s="8" t="n">
        <x:v>358</x:v>
      </x:c>
      <x:c r="K557" s="8" t="n">
        <x:v>2928</x:v>
      </x:c>
      <x:c r="L557" s="1" t="str">
        <x:v>Нет</x:v>
      </x:c>
      <x:c r="M557" s="1" t="n">
        <x:v>354000</x:v>
      </x:c>
    </x:row>
    <x:row r="558">
      <x:c r="A558" s="1" t="str">
        <x:v>183793821</x:v>
      </x:c>
      <x:c r="B558" s="1" t="str">
        <x:v>hudiprint/68-11/серый</x:v>
      </x:c>
      <x:c r="C558" s="1" t="str">
        <x:v>Худи</x:v>
      </x:c>
      <x:c r="D558" s="9" t="n">
        <x:v>9.7</x:v>
      </x:c>
      <x:c r="E558" s="8" t="n">
        <x:v>33893</x:v>
      </x:c>
      <x:c r="F558" s="8" t="n">
        <x:v>378</x:v>
      </x:c>
      <x:c r="G558" s="8" t="n">
        <x:v>363960</x:v>
      </x:c>
      <x:c r="H558" s="8" t="n">
        <x:v>135</x:v>
      </x:c>
      <x:c r="I558" s="8" t="n">
        <x:v>0</x:v>
      </x:c>
      <x:c r="J558" s="8" t="n">
        <x:v>686</x:v>
      </x:c>
      <x:c r="K558" s="8" t="n">
        <x:v>2306</x:v>
      </x:c>
      <x:c r="L558" s="1" t="str">
        <x:v>Нет</x:v>
      </x:c>
      <x:c r="M558" s="1" t="n">
        <x:v>771764</x:v>
      </x:c>
    </x:row>
    <x:row r="559">
      <x:c r="A559" s="1" t="str">
        <x:v>24718407</x:v>
      </x:c>
      <x:c r="B559" s="1" t="str">
        <x:v>futbolka_mary/черный</x:v>
      </x:c>
      <x:c r="C559" s="1" t="str">
        <x:v>Футболки</x:v>
      </x:c>
      <x:c r="D559" s="9" t="n">
        <x:v>7.2</x:v>
      </x:c>
      <x:c r="E559" s="8" t="n">
        <x:v>30981</x:v>
      </x:c>
      <x:c r="F559" s="8" t="n">
        <x:v>1078</x:v>
      </x:c>
      <x:c r="G559" s="8" t="n">
        <x:v>363189</x:v>
      </x:c>
      <x:c r="H559" s="8" t="n">
        <x:v>91</x:v>
      </x:c>
      <x:c r="I559" s="8" t="n">
        <x:v>0</x:v>
      </x:c>
      <x:c r="J559" s="8" t="n">
        <x:v>2</x:v>
      </x:c>
      <x:c r="K559" s="8" t="n">
        <x:v>530</x:v>
      </x:c>
      <x:c r="L559" s="1" t="str">
        <x:v>Нет</x:v>
      </x:c>
      <x:c r="M559" s="1" t="n">
        <x:v>540</x:v>
      </x:c>
    </x:row>
    <x:row r="560">
      <x:c r="A560" s="1" t="str">
        <x:v>295664242</x:v>
      </x:c>
      <x:c r="B560" s="1" t="str">
        <x:v>2nkost3D-72-73/молочный</x:v>
      </x:c>
      <x:c r="C560" s="1" t="str">
        <x:v>Костюмы спортивные</x:v>
      </x:c>
      <x:c r="D560" s="9" t="n">
        <x:v>8.7</x:v>
      </x:c>
      <x:c r="E560" s="8" t="n">
        <x:v>128222</x:v>
      </x:c>
      <x:c r="F560" s="8" t="n">
        <x:v>1034</x:v>
      </x:c>
      <x:c r="G560" s="8" t="n">
        <x:v>362687</x:v>
      </x:c>
      <x:c r="H560" s="8" t="n">
        <x:v>158</x:v>
      </x:c>
      <x:c r="I560" s="8" t="n">
        <x:v>0</x:v>
      </x:c>
      <x:c r="J560" s="8" t="n">
        <x:v>519</x:v>
      </x:c>
      <x:c r="K560" s="8" t="n">
        <x:v>2073</x:v>
      </x:c>
      <x:c r="L560" s="1" t="str">
        <x:v>Нет</x:v>
      </x:c>
      <x:c r="M560" s="1" t="n">
        <x:v>234173</x:v>
      </x:c>
    </x:row>
    <x:row r="561">
      <x:c r="A561" s="1" t="str">
        <x:v>246363212</x:v>
      </x:c>
      <x:c r="B561" s="1" t="str">
        <x:v>tolstovkazipman/бежевый</x:v>
      </x:c>
      <x:c r="C561" s="1" t="str">
        <x:v>Худи</x:v>
      </x:c>
      <x:c r="D561" s="9" t="n">
        <x:v>9</x:v>
      </x:c>
      <x:c r="E561" s="8" t="n">
        <x:v>15574</x:v>
      </x:c>
      <x:c r="F561" s="8" t="n">
        <x:v>325</x:v>
      </x:c>
      <x:c r="G561" s="8" t="n">
        <x:v>362498</x:v>
      </x:c>
      <x:c r="H561" s="8" t="n">
        <x:v>135</x:v>
      </x:c>
      <x:c r="I561" s="8" t="n">
        <x:v>0</x:v>
      </x:c>
      <x:c r="J561" s="8" t="n">
        <x:v>241</x:v>
      </x:c>
      <x:c r="K561" s="8" t="n">
        <x:v>2754</x:v>
      </x:c>
      <x:c r="L561" s="1" t="str">
        <x:v>Нет</x:v>
      </x:c>
      <x:c r="M561" s="1" t="n">
        <x:v>231842</x:v>
      </x:c>
    </x:row>
    <x:row r="562">
      <x:c r="A562" s="1" t="str">
        <x:v>295586343</x:v>
      </x:c>
      <x:c r="B562" s="1" t="str">
        <x:v>hudiman2/молочный</x:v>
      </x:c>
      <x:c r="C562" s="1" t="str">
        <x:v>Худи</x:v>
      </x:c>
      <x:c r="D562" s="9" t="n">
        <x:v>8.7</x:v>
      </x:c>
      <x:c r="E562" s="8" t="n">
        <x:v>19740</x:v>
      </x:c>
      <x:c r="F562" s="8" t="n">
        <x:v>311</x:v>
      </x:c>
      <x:c r="G562" s="8" t="n">
        <x:v>361953</x:v>
      </x:c>
      <x:c r="H562" s="8" t="n">
        <x:v>24</x:v>
      </x:c>
      <x:c r="I562" s="8" t="n">
        <x:v>0</x:v>
      </x:c>
      <x:c r="J562" s="8" t="n">
        <x:v>346</x:v>
      </x:c>
      <x:c r="K562" s="8" t="n">
        <x:v>2511</x:v>
      </x:c>
      <x:c r="L562" s="1" t="str">
        <x:v>Нет</x:v>
      </x:c>
      <x:c r="M562" s="1" t="n">
        <x:v>307150</x:v>
      </x:c>
    </x:row>
    <x:row r="563">
      <x:c r="A563" s="1" t="str">
        <x:v>198068984</x:v>
      </x:c>
      <x:c r="B563" s="1" t="str">
        <x:v>svitshotover/серыймеланж2</x:v>
      </x:c>
      <x:c r="C563" s="1" t="str">
        <x:v>Свитшоты</x:v>
      </x:c>
      <x:c r="D563" s="9" t="n">
        <x:v>9.7</x:v>
      </x:c>
      <x:c r="E563" s="8" t="n">
        <x:v>23928</x:v>
      </x:c>
      <x:c r="F563" s="8" t="n">
        <x:v>517</x:v>
      </x:c>
      <x:c r="G563" s="8" t="n">
        <x:v>361438</x:v>
      </x:c>
      <x:c r="H563" s="8" t="n">
        <x:v>320</x:v>
      </x:c>
      <x:c r="I563" s="8" t="n">
        <x:v>0</x:v>
      </x:c>
      <x:c r="J563" s="8" t="n">
        <x:v>965</x:v>
      </x:c>
      <x:c r="K563" s="8" t="n">
        <x:v>2090</x:v>
      </x:c>
      <x:c r="L563" s="1" t="str">
        <x:v>Нет</x:v>
      </x:c>
      <x:c r="M563" s="1" t="n">
        <x:v>696767</x:v>
      </x:c>
    </x:row>
    <x:row r="564">
      <x:c r="A564" s="1" t="str">
        <x:v>320424590</x:v>
      </x:c>
      <x:c r="B564" s="1" t="str">
        <x:v>brukizshp3P-S-1/темно-серый</x:v>
      </x:c>
      <x:c r="C564" s="1" t="str">
        <x:v>Брюки</x:v>
      </x:c>
      <x:c r="D564" s="9" t="n">
        <x:v>8.4</x:v>
      </x:c>
      <x:c r="E564" s="8" t="n">
        <x:v>44454</x:v>
      </x:c>
      <x:c r="F564" s="8" t="n">
        <x:v>492</x:v>
      </x:c>
      <x:c r="G564" s="8" t="n">
        <x:v>361308</x:v>
      </x:c>
      <x:c r="H564" s="8" t="n">
        <x:v>111</x:v>
      </x:c>
      <x:c r="I564" s="8" t="n">
        <x:v>0</x:v>
      </x:c>
      <x:c r="J564" s="8" t="n">
        <x:v>54</x:v>
      </x:c>
      <x:c r="K564" s="8" t="n">
        <x:v>3145</x:v>
      </x:c>
      <x:c r="L564" s="1" t="str">
        <x:v>Нет</x:v>
      </x:c>
      <x:c r="M564" s="1" t="n">
        <x:v>33000</x:v>
      </x:c>
    </x:row>
    <x:row r="565">
      <x:c r="A565" s="1" t="str">
        <x:v>295586339</x:v>
      </x:c>
      <x:c r="B565" s="1" t="str">
        <x:v>hudiman2/песочный</x:v>
      </x:c>
      <x:c r="C565" s="1" t="str">
        <x:v>Худи</x:v>
      </x:c>
      <x:c r="D565" s="9" t="n">
        <x:v>8.7</x:v>
      </x:c>
      <x:c r="E565" s="8" t="n">
        <x:v>14453</x:v>
      </x:c>
      <x:c r="F565" s="8" t="n">
        <x:v>353</x:v>
      </x:c>
      <x:c r="G565" s="8" t="n">
        <x:v>360081</x:v>
      </x:c>
      <x:c r="H565" s="8" t="n">
        <x:v>632</x:v>
      </x:c>
      <x:c r="I565" s="8" t="n">
        <x:v>0</x:v>
      </x:c>
      <x:c r="J565" s="8" t="n">
        <x:v>430</x:v>
      </x:c>
      <x:c r="K565" s="8" t="n">
        <x:v>2342</x:v>
      </x:c>
      <x:c r="L565" s="1" t="str">
        <x:v>Нет</x:v>
      </x:c>
      <x:c r="M565" s="1" t="n">
        <x:v>379257</x:v>
      </x:c>
    </x:row>
    <x:row r="566">
      <x:c r="A566" s="1" t="str">
        <x:v>232234770</x:v>
      </x:c>
      <x:c r="B566" s="1" t="str">
        <x:v>futbolkaprint/Never-155/розовый</x:v>
      </x:c>
      <x:c r="C566" s="1" t="str">
        <x:v>Футболки</x:v>
      </x:c>
      <x:c r="D566" s="9" t="n">
        <x:v>8.7</x:v>
      </x:c>
      <x:c r="E566" s="8" t="n">
        <x:v>76454</x:v>
      </x:c>
      <x:c r="F566" s="8" t="n">
        <x:v>842</x:v>
      </x:c>
      <x:c r="G566" s="8" t="n">
        <x:v>359358</x:v>
      </x:c>
      <x:c r="H566" s="8" t="n">
        <x:v>164</x:v>
      </x:c>
      <x:c r="I566" s="8" t="n">
        <x:v>0</x:v>
      </x:c>
      <x:c r="J566" s="8" t="n">
        <x:v>1249</x:v>
      </x:c>
      <x:c r="K566" s="8" t="n">
        <x:v>1244</x:v>
      </x:c>
      <x:c r="L566" s="1" t="str">
        <x:v>Нет</x:v>
      </x:c>
      <x:c r="M566" s="1" t="n">
        <x:v>812700</x:v>
      </x:c>
    </x:row>
    <x:row r="567">
      <x:c r="A567" s="1" t="str">
        <x:v>145465023</x:v>
      </x:c>
      <x:c r="B567" s="1" t="str">
        <x:v>bruki/коричневый</x:v>
      </x:c>
      <x:c r="C567" s="1" t="str">
        <x:v>Брюки</x:v>
      </x:c>
      <x:c r="D567" s="9" t="n">
        <x:v>7.7</x:v>
      </x:c>
      <x:c r="E567" s="8" t="n">
        <x:v>28749</x:v>
      </x:c>
      <x:c r="F567" s="8" t="n">
        <x:v>636</x:v>
      </x:c>
      <x:c r="G567" s="8" t="n">
        <x:v>359232</x:v>
      </x:c>
      <x:c r="H567" s="8" t="n">
        <x:v>501</x:v>
      </x:c>
      <x:c r="I567" s="8" t="n">
        <x:v>0</x:v>
      </x:c>
      <x:c r="J567" s="8" t="n">
        <x:v>1069</x:v>
      </x:c>
      <x:c r="K567" s="8" t="n">
        <x:v>2254</x:v>
      </x:c>
      <x:c r="L567" s="1" t="str">
        <x:v>Нет</x:v>
      </x:c>
      <x:c r="M567" s="1" t="n">
        <x:v>779081</x:v>
      </x:c>
    </x:row>
    <x:row r="568">
      <x:c r="A568" s="1" t="str">
        <x:v>311045255</x:v>
      </x:c>
      <x:c r="B568" s="1" t="str">
        <x:v>hudipetl/графит</x:v>
      </x:c>
      <x:c r="C568" s="1" t="str">
        <x:v>Худи</x:v>
      </x:c>
      <x:c r="D568" s="9" t="n">
        <x:v>8.7</x:v>
      </x:c>
      <x:c r="E568" s="8" t="n">
        <x:v>30797</x:v>
      </x:c>
      <x:c r="F568" s="8" t="n">
        <x:v>465</x:v>
      </x:c>
      <x:c r="G568" s="8" t="n">
        <x:v>358988</x:v>
      </x:c>
      <x:c r="H568" s="8" t="n">
        <x:v>67</x:v>
      </x:c>
      <x:c r="I568" s="8" t="n">
        <x:v>0</x:v>
      </x:c>
      <x:c r="J568" s="8" t="n">
        <x:v>763</x:v>
      </x:c>
      <x:c r="K568" s="8" t="n">
        <x:v>2519</x:v>
      </x:c>
      <x:c r="L568" s="1" t="str">
        <x:v>Нет</x:v>
      </x:c>
      <x:c r="M568" s="1" t="n">
        <x:v>675451</x:v>
      </x:c>
    </x:row>
    <x:row r="569">
      <x:c r="A569" s="1" t="str">
        <x:v>87045634</x:v>
      </x:c>
      <x:c r="B569" s="1" t="str">
        <x:v>kroptop/шалфей</x:v>
      </x:c>
      <x:c r="C569" s="1" t="str">
        <x:v>Футболки</x:v>
      </x:c>
      <x:c r="D569" s="9" t="n">
        <x:v>8.7</x:v>
      </x:c>
      <x:c r="E569" s="8" t="n">
        <x:v>63286</x:v>
      </x:c>
      <x:c r="F569" s="8" t="n">
        <x:v>846</x:v>
      </x:c>
      <x:c r="G569" s="8" t="n">
        <x:v>358655</x:v>
      </x:c>
      <x:c r="H569" s="8" t="n">
        <x:v>367</x:v>
      </x:c>
      <x:c r="I569" s="8" t="n">
        <x:v>0</x:v>
      </x:c>
      <x:c r="J569" s="8" t="n">
        <x:v>601</x:v>
      </x:c>
      <x:c r="K569" s="8" t="n">
        <x:v>804</x:v>
      </x:c>
      <x:c r="L569" s="1" t="str">
        <x:v>Нет</x:v>
      </x:c>
      <x:c r="M569" s="1" t="n">
        <x:v>228667</x:v>
      </x:c>
    </x:row>
    <x:row r="570">
      <x:c r="A570" s="1" t="str">
        <x:v>244022003</x:v>
      </x:c>
      <x:c r="B570" s="1" t="str">
        <x:v>hudivish/MoreSelf-9в/молочный</x:v>
      </x:c>
      <x:c r="C570" s="1" t="str">
        <x:v>Худи</x:v>
      </x:c>
      <x:c r="D570" s="9" t="n">
        <x:v>9.7</x:v>
      </x:c>
      <x:c r="E570" s="8" t="n">
        <x:v>29291</x:v>
      </x:c>
      <x:c r="F570" s="8" t="n">
        <x:v>409</x:v>
      </x:c>
      <x:c r="G570" s="8" t="n">
        <x:v>357855</x:v>
      </x:c>
      <x:c r="H570" s="8" t="n">
        <x:v>55</x:v>
      </x:c>
      <x:c r="I570" s="8" t="n">
        <x:v>0</x:v>
      </x:c>
      <x:c r="J570" s="8" t="n">
        <x:v>594</x:v>
      </x:c>
      <x:c r="K570" s="8" t="n">
        <x:v>2620</x:v>
      </x:c>
      <x:c r="L570" s="1" t="str">
        <x:v>Нет</x:v>
      </x:c>
      <x:c r="M570" s="1" t="n">
        <x:v>654995</x:v>
      </x:c>
    </x:row>
    <x:row r="571">
      <x:c r="A571" s="1" t="str">
        <x:v>264481949</x:v>
      </x:c>
      <x:c r="B571" s="1" t="str">
        <x:v>kostyum/бордовый</x:v>
      </x:c>
      <x:c r="C571" s="1" t="str">
        <x:v>Костюмы спортивные</x:v>
      </x:c>
      <x:c r="D571" s="9" t="n">
        <x:v>8.7</x:v>
      </x:c>
      <x:c r="E571" s="8" t="n">
        <x:v>48345</x:v>
      </x:c>
      <x:c r="F571" s="8" t="n">
        <x:v>245</x:v>
      </x:c>
      <x:c r="G571" s="8" t="n">
        <x:v>355596</x:v>
      </x:c>
      <x:c r="H571" s="8" t="n">
        <x:v>212</x:v>
      </x:c>
      <x:c r="I571" s="8" t="n">
        <x:v>0</x:v>
      </x:c>
      <x:c r="J571" s="8" t="n">
        <x:v>331</x:v>
      </x:c>
      <x:c r="K571" s="8" t="n">
        <x:v>4536</x:v>
      </x:c>
      <x:c r="L571" s="1" t="str">
        <x:v>Нет</x:v>
      </x:c>
      <x:c r="M571" s="1" t="n">
        <x:v>617688</x:v>
      </x:c>
    </x:row>
    <x:row r="572">
      <x:c r="A572" s="1" t="str">
        <x:v>340608541</x:v>
      </x:c>
      <x:c r="B572" s="1" t="str">
        <x:v>kulirkaman/серый</x:v>
      </x:c>
      <x:c r="C572" s="1" t="str">
        <x:v>Футболки</x:v>
      </x:c>
      <x:c r="D572" s="9" t="n">
        <x:v>7.7</x:v>
      </x:c>
      <x:c r="E572" s="8" t="n">
        <x:v>36538</x:v>
      </x:c>
      <x:c r="F572" s="8" t="n">
        <x:v>607</x:v>
      </x:c>
      <x:c r="G572" s="8" t="n">
        <x:v>355393</x:v>
      </x:c>
      <x:c r="H572" s="8" t="n">
        <x:v>746</x:v>
      </x:c>
      <x:c r="I572" s="8" t="n">
        <x:v>0</x:v>
      </x:c>
      <x:c r="J572" s="8" t="n">
        <x:v>12</x:v>
      </x:c>
      <x:c r="K572" s="8" t="n">
        <x:v>1098</x:v>
      </x:c>
      <x:c r="L572" s="1" t="str">
        <x:v>Нет</x:v>
      </x:c>
      <x:c r="M572" s="1" t="n">
        <x:v>7700</x:v>
      </x:c>
    </x:row>
    <x:row r="573">
      <x:c r="A573" s="1" t="str">
        <x:v>311462393</x:v>
      </x:c>
      <x:c r="B573" s="1" t="str">
        <x:v>brukimanpetl/молочный</x:v>
      </x:c>
      <x:c r="C573" s="1" t="str">
        <x:v>Брюки</x:v>
      </x:c>
      <x:c r="D573" s="9" t="n">
        <x:v>8.7</x:v>
      </x:c>
      <x:c r="E573" s="8" t="n">
        <x:v>19213</x:v>
      </x:c>
      <x:c r="F573" s="8" t="n">
        <x:v>431</x:v>
      </x:c>
      <x:c r="G573" s="8" t="n">
        <x:v>355357</x:v>
      </x:c>
      <x:c r="H573" s="8" t="n">
        <x:v>88</x:v>
      </x:c>
      <x:c r="I573" s="8" t="n">
        <x:v>0</x:v>
      </x:c>
      <x:c r="J573" s="8" t="n">
        <x:v>311</x:v>
      </x:c>
      <x:c r="K573" s="8" t="n">
        <x:v>2578</x:v>
      </x:c>
      <x:c r="L573" s="1" t="str">
        <x:v>Нет</x:v>
      </x:c>
      <x:c r="M573" s="1" t="n">
        <x:v>301291</x:v>
      </x:c>
    </x:row>
    <x:row r="574">
      <x:c r="A574" s="1" t="str">
        <x:v>288633825</x:v>
      </x:c>
      <x:c r="B574" s="1" t="str">
        <x:v>kostumman/серый</x:v>
      </x:c>
      <x:c r="C574" s="1" t="str">
        <x:v>Костюмы спортивные</x:v>
      </x:c>
      <x:c r="D574" s="9" t="n">
        <x:v>9.4</x:v>
      </x:c>
      <x:c r="E574" s="8" t="n">
        <x:v>11523</x:v>
      </x:c>
      <x:c r="F574" s="8" t="n">
        <x:v>226</x:v>
      </x:c>
      <x:c r="G574" s="8" t="n">
        <x:v>354478</x:v>
      </x:c>
      <x:c r="H574" s="8" t="n">
        <x:v>351</x:v>
      </x:c>
      <x:c r="I574" s="8" t="n">
        <x:v>0</x:v>
      </x:c>
      <x:c r="J574" s="8" t="n">
        <x:v>414</x:v>
      </x:c>
      <x:c r="K574" s="8" t="n">
        <x:v>4608</x:v>
      </x:c>
      <x:c r="L574" s="1" t="str">
        <x:v>Нет</x:v>
      </x:c>
      <x:c r="M574" s="1" t="n">
        <x:v>584058</x:v>
      </x:c>
    </x:row>
    <x:row r="575">
      <x:c r="A575" s="1" t="str">
        <x:v>306916572</x:v>
      </x:c>
      <x:c r="B575" s="1" t="str">
        <x:v>hudicropman4F-67/дымка</x:v>
      </x:c>
      <x:c r="C575" s="1" t="str">
        <x:v>Худи</x:v>
      </x:c>
      <x:c r="D575" s="9" t="n">
        <x:v>9.7</x:v>
      </x:c>
      <x:c r="E575" s="8" t="n">
        <x:v>9492</x:v>
      </x:c>
      <x:c r="F575" s="8" t="n">
        <x:v>306</x:v>
      </x:c>
      <x:c r="G575" s="8" t="n">
        <x:v>354328</x:v>
      </x:c>
      <x:c r="H575" s="8" t="n">
        <x:v>77</x:v>
      </x:c>
      <x:c r="I575" s="8" t="n">
        <x:v>0</x:v>
      </x:c>
      <x:c r="J575" s="8" t="n">
        <x:v>250</x:v>
      </x:c>
      <x:c r="K575" s="8" t="n">
        <x:v>2938</x:v>
      </x:c>
      <x:c r="L575" s="1" t="str">
        <x:v>Нет</x:v>
      </x:c>
      <x:c r="M575" s="1" t="n">
        <x:v>273600</x:v>
      </x:c>
    </x:row>
    <x:row r="576">
      <x:c r="A576" s="1" t="str">
        <x:v>175116965</x:v>
      </x:c>
      <x:c r="B576" s="1" t="str">
        <x:v>reglanman/кофейный</x:v>
      </x:c>
      <x:c r="C576" s="1" t="str">
        <x:v>Лонгсливы</x:v>
      </x:c>
      <x:c r="D576" s="9" t="n">
        <x:v>7.2</x:v>
      </x:c>
      <x:c r="E576" s="8" t="n">
        <x:v>32828</x:v>
      </x:c>
      <x:c r="F576" s="8" t="n">
        <x:v>780</x:v>
      </x:c>
      <x:c r="G576" s="8" t="n">
        <x:v>352872</x:v>
      </x:c>
      <x:c r="H576" s="8" t="n">
        <x:v>431</x:v>
      </x:c>
      <x:c r="I576" s="8" t="n">
        <x:v>0</x:v>
      </x:c>
      <x:c r="J576" s="8" t="n">
        <x:v>375</x:v>
      </x:c>
      <x:c r="K576" s="8" t="n">
        <x:v>1191</x:v>
      </x:c>
      <x:c r="L576" s="1" t="str">
        <x:v>Нет</x:v>
      </x:c>
      <x:c r="M576" s="1" t="n">
        <x:v>224618</x:v>
      </x:c>
    </x:row>
    <x:row r="577">
      <x:c r="A577" s="1" t="str">
        <x:v>255462186</x:v>
      </x:c>
      <x:c r="B577" s="1" t="str">
        <x:v>tolstovkazipcrop/светло-розовый</x:v>
      </x:c>
      <x:c r="C577" s="1" t="str">
        <x:v>Худи</x:v>
      </x:c>
      <x:c r="D577" s="9" t="n">
        <x:v>9.7</x:v>
      </x:c>
      <x:c r="E577" s="8" t="n">
        <x:v>25731</x:v>
      </x:c>
      <x:c r="F577" s="8" t="n">
        <x:v>294</x:v>
      </x:c>
      <x:c r="G577" s="8" t="n">
        <x:v>350280</x:v>
      </x:c>
      <x:c r="H577" s="8" t="n">
        <x:v>1</x:v>
      </x:c>
      <x:c r="I577" s="8" t="n">
        <x:v>0</x:v>
      </x:c>
      <x:c r="J577" s="8" t="n">
        <x:v>640</x:v>
      </x:c>
      <x:c r="K577" s="8" t="n">
        <x:v>2729</x:v>
      </x:c>
      <x:c r="L577" s="1" t="str">
        <x:v>Нет</x:v>
      </x:c>
      <x:c r="M577" s="1" t="n">
        <x:v>860882</x:v>
      </x:c>
    </x:row>
    <x:row r="578">
      <x:c r="A578" s="1" t="str">
        <x:v>246363162</x:v>
      </x:c>
      <x:c r="B578" s="1" t="str">
        <x:v>tolstovkazipcrop/бордовый</x:v>
      </x:c>
      <x:c r="C578" s="1" t="str">
        <x:v>Худи</x:v>
      </x:c>
      <x:c r="D578" s="9" t="n">
        <x:v>9.7</x:v>
      </x:c>
      <x:c r="E578" s="8" t="n">
        <x:v>23033</x:v>
      </x:c>
      <x:c r="F578" s="8" t="n">
        <x:v>264</x:v>
      </x:c>
      <x:c r="G578" s="8" t="n">
        <x:v>346862</x:v>
      </x:c>
      <x:c r="H578" s="8" t="n">
        <x:v>0</x:v>
      </x:c>
      <x:c r="I578" s="8" t="n">
        <x:v>0</x:v>
      </x:c>
      <x:c r="J578" s="8" t="n">
        <x:v>817</x:v>
      </x:c>
      <x:c r="K578" s="8" t="n">
        <x:v>2585</x:v>
      </x:c>
      <x:c r="L578" s="1" t="str">
        <x:v>Нет</x:v>
      </x:c>
      <x:c r="M578" s="1" t="n">
        <x:v>1131500</x:v>
      </x:c>
    </x:row>
    <x:row r="579">
      <x:c r="A579" s="1" t="str">
        <x:v>313770768</x:v>
      </x:c>
      <x:c r="B579" s="1" t="str">
        <x:v>futbolkagirl/бордовый</x:v>
      </x:c>
      <x:c r="C579" s="1" t="str">
        <x:v>Футболки</x:v>
      </x:c>
      <x:c r="D579" s="9" t="n">
        <x:v>10</x:v>
      </x:c>
      <x:c r="E579" s="8" t="n">
        <x:v>63710</x:v>
      </x:c>
      <x:c r="F579" s="8" t="n">
        <x:v>1024</x:v>
      </x:c>
      <x:c r="G579" s="8" t="n">
        <x:v>346269</x:v>
      </x:c>
      <x:c r="H579" s="8" t="n">
        <x:v>569</x:v>
      </x:c>
      <x:c r="I579" s="8" t="n">
        <x:v>0</x:v>
      </x:c>
      <x:c r="J579" s="8" t="n">
        <x:v>573</x:v>
      </x:c>
      <x:c r="K579" s="8" t="n">
        <x:v>478</x:v>
      </x:c>
      <x:c r="L579" s="1" t="str">
        <x:v>Нет</x:v>
      </x:c>
      <x:c r="M579" s="1" t="n">
        <x:v>222679</x:v>
      </x:c>
    </x:row>
    <x:row r="580">
      <x:c r="A580" s="1" t="str">
        <x:v>288627688</x:v>
      </x:c>
      <x:c r="B580" s="1" t="str">
        <x:v>kostyum/коричневый</x:v>
      </x:c>
      <x:c r="C580" s="1" t="str">
        <x:v>Костюмы спортивные</x:v>
      </x:c>
      <x:c r="D580" s="9" t="n">
        <x:v>8.7</x:v>
      </x:c>
      <x:c r="E580" s="8" t="n">
        <x:v>46161</x:v>
      </x:c>
      <x:c r="F580" s="8" t="n">
        <x:v>251</x:v>
      </x:c>
      <x:c r="G580" s="8" t="n">
        <x:v>345708</x:v>
      </x:c>
      <x:c r="H580" s="8" t="n">
        <x:v>109</x:v>
      </x:c>
      <x:c r="I580" s="8" t="n">
        <x:v>0</x:v>
      </x:c>
      <x:c r="J580" s="8" t="n">
        <x:v>388</x:v>
      </x:c>
      <x:c r="K580" s="8" t="n">
        <x:v>4464</x:v>
      </x:c>
      <x:c r="L580" s="1" t="str">
        <x:v>Нет</x:v>
      </x:c>
      <x:c r="M580" s="1" t="n">
        <x:v>628850</x:v>
      </x:c>
    </x:row>
    <x:row r="581">
      <x:c r="A581" s="1" t="str">
        <x:v>198068985</x:v>
      </x:c>
      <x:c r="B581" s="1" t="str">
        <x:v>hudiman/серыймеланж2</x:v>
      </x:c>
      <x:c r="C581" s="1" t="str">
        <x:v>Худи</x:v>
      </x:c>
      <x:c r="D581" s="9" t="n">
        <x:v>9.7</x:v>
      </x:c>
      <x:c r="E581" s="8" t="n">
        <x:v>16716</x:v>
      </x:c>
      <x:c r="F581" s="8" t="n">
        <x:v>467</x:v>
      </x:c>
      <x:c r="G581" s="8" t="n">
        <x:v>345289</x:v>
      </x:c>
      <x:c r="H581" s="8" t="n">
        <x:v>104</x:v>
      </x:c>
      <x:c r="I581" s="8" t="n">
        <x:v>0</x:v>
      </x:c>
      <x:c r="J581" s="8" t="n">
        <x:v>446</x:v>
      </x:c>
      <x:c r="K581" s="8" t="n">
        <x:v>2442</x:v>
      </x:c>
      <x:c r="L581" s="1" t="str">
        <x:v>Нет</x:v>
      </x:c>
      <x:c r="M581" s="1" t="n">
        <x:v>390700</x:v>
      </x:c>
    </x:row>
    <x:row r="582">
      <x:c r="A582" s="1" t="str">
        <x:v>211596880</x:v>
      </x:c>
      <x:c r="B582" s="1" t="str">
        <x:v>futbolkaprint/PASADENA-80/молочный</x:v>
      </x:c>
      <x:c r="C582" s="1" t="str">
        <x:v>Футболки</x:v>
      </x:c>
      <x:c r="D582" s="9" t="n">
        <x:v>7.7</x:v>
      </x:c>
      <x:c r="E582" s="8" t="n">
        <x:v>59914</x:v>
      </x:c>
      <x:c r="F582" s="8" t="n">
        <x:v>519</x:v>
      </x:c>
      <x:c r="G582" s="8" t="n">
        <x:v>345139</x:v>
      </x:c>
      <x:c r="H582" s="8" t="n">
        <x:v>14</x:v>
      </x:c>
      <x:c r="I582" s="8" t="n">
        <x:v>0</x:v>
      </x:c>
      <x:c r="J582" s="8" t="n">
        <x:v>268</x:v>
      </x:c>
      <x:c r="K582" s="8" t="n">
        <x:v>1158</x:v>
      </x:c>
      <x:c r="L582" s="1" t="str">
        <x:v>Нет</x:v>
      </x:c>
      <x:c r="M582" s="1" t="n">
        <x:v>178754</x:v>
      </x:c>
    </x:row>
    <x:row r="583">
      <x:c r="A583" s="1" t="str">
        <x:v>145845795</x:v>
      </x:c>
      <x:c r="B583" s="1" t="str">
        <x:v>svitshotman/светло-зеленый</x:v>
      </x:c>
      <x:c r="C583" s="1" t="str">
        <x:v>Свитшоты</x:v>
      </x:c>
      <x:c r="D583" s="9" t="n">
        <x:v>9.7</x:v>
      </x:c>
      <x:c r="E583" s="8" t="n">
        <x:v>14920</x:v>
      </x:c>
      <x:c r="F583" s="8" t="n">
        <x:v>371</x:v>
      </x:c>
      <x:c r="G583" s="8" t="n">
        <x:v>345066</x:v>
      </x:c>
      <x:c r="H583" s="8" t="n">
        <x:v>67</x:v>
      </x:c>
      <x:c r="I583" s="8" t="n">
        <x:v>0</x:v>
      </x:c>
      <x:c r="J583" s="8" t="n">
        <x:v>377</x:v>
      </x:c>
      <x:c r="K583" s="8" t="n">
        <x:v>2212</x:v>
      </x:c>
      <x:c r="L583" s="1" t="str">
        <x:v>Нет</x:v>
      </x:c>
      <x:c r="M583" s="1" t="n">
        <x:v>388279</x:v>
      </x:c>
    </x:row>
    <x:row r="584">
      <x:c r="A584" s="1" t="str">
        <x:v>226527744</x:v>
      </x:c>
      <x:c r="B584" s="1" t="str">
        <x:v>hudivish/Move-8в/молочный</x:v>
      </x:c>
      <x:c r="C584" s="1" t="str">
        <x:v>Худи</x:v>
      </x:c>
      <x:c r="D584" s="9" t="n">
        <x:v>9.7</x:v>
      </x:c>
      <x:c r="E584" s="8" t="n">
        <x:v>28661</x:v>
      </x:c>
      <x:c r="F584" s="8" t="n">
        <x:v>353</x:v>
      </x:c>
      <x:c r="G584" s="8" t="n">
        <x:v>344948</x:v>
      </x:c>
      <x:c r="H584" s="8" t="n">
        <x:v>45</x:v>
      </x:c>
      <x:c r="I584" s="8" t="n">
        <x:v>0</x:v>
      </x:c>
      <x:c r="J584" s="8" t="n">
        <x:v>421</x:v>
      </x:c>
      <x:c r="K584" s="8" t="n">
        <x:v>2537</x:v>
      </x:c>
      <x:c r="L584" s="1" t="str">
        <x:v>Нет</x:v>
      </x:c>
      <x:c r="M584" s="1" t="n">
        <x:v>449592</x:v>
      </x:c>
    </x:row>
    <x:row r="585">
      <x:c r="A585" s="1" t="str">
        <x:v>289098365</x:v>
      </x:c>
      <x:c r="B585" s="1" t="str">
        <x:v>tolstovkazip3F-71/серый</x:v>
      </x:c>
      <x:c r="C585" s="1" t="str">
        <x:v>Худи</x:v>
      </x:c>
      <x:c r="D585" s="9" t="n">
        <x:v>9.7</x:v>
      </x:c>
      <x:c r="E585" s="8" t="n">
        <x:v>67338</x:v>
      </x:c>
      <x:c r="F585" s="8" t="n">
        <x:v>305</x:v>
      </x:c>
      <x:c r="G585" s="8" t="n">
        <x:v>344143</x:v>
      </x:c>
      <x:c r="H585" s="8" t="n">
        <x:v>111</x:v>
      </x:c>
      <x:c r="I585" s="8" t="n">
        <x:v>0</x:v>
      </x:c>
      <x:c r="J585" s="8" t="n">
        <x:v>414</x:v>
      </x:c>
      <x:c r="K585" s="8" t="n">
        <x:v>3286</x:v>
      </x:c>
      <x:c r="L585" s="1" t="str">
        <x:v>Нет</x:v>
      </x:c>
      <x:c r="M585" s="1" t="n">
        <x:v>468600</x:v>
      </x:c>
    </x:row>
    <x:row r="586">
      <x:c r="A586" s="1" t="str">
        <x:v>297350962</x:v>
      </x:c>
      <x:c r="B586" s="1" t="str">
        <x:v>svitshotzipman2/светло-зеленый</x:v>
      </x:c>
      <x:c r="C586" s="1" t="str">
        <x:v>Свитшоты</x:v>
      </x:c>
      <x:c r="D586" s="9" t="n">
        <x:v>9.7</x:v>
      </x:c>
      <x:c r="E586" s="8" t="n">
        <x:v>41421</x:v>
      </x:c>
      <x:c r="F586" s="8" t="n">
        <x:v>396</x:v>
      </x:c>
      <x:c r="G586" s="8" t="n">
        <x:v>343330</x:v>
      </x:c>
      <x:c r="H586" s="8" t="n">
        <x:v>51</x:v>
      </x:c>
      <x:c r="I586" s="8" t="n">
        <x:v>0</x:v>
      </x:c>
      <x:c r="J586" s="8" t="n">
        <x:v>243</x:v>
      </x:c>
      <x:c r="K586" s="8" t="n">
        <x:v>2599</x:v>
      </x:c>
      <x:c r="L586" s="1" t="str">
        <x:v>Нет</x:v>
      </x:c>
      <x:c r="M586" s="1" t="n">
        <x:v>279750</x:v>
      </x:c>
    </x:row>
    <x:row r="587">
      <x:c r="A587" s="1" t="str">
        <x:v>222802047</x:v>
      </x:c>
      <x:c r="B587" s="1" t="str">
        <x:v>brukipetl/серыймеланж2</x:v>
      </x:c>
      <x:c r="C587" s="1" t="str">
        <x:v>Брюки</x:v>
      </x:c>
      <x:c r="D587" s="9" t="n">
        <x:v>8.7</x:v>
      </x:c>
      <x:c r="E587" s="8" t="n">
        <x:v>25286</x:v>
      </x:c>
      <x:c r="F587" s="8" t="n">
        <x:v>465</x:v>
      </x:c>
      <x:c r="G587" s="8" t="n">
        <x:v>341903</x:v>
      </x:c>
      <x:c r="H587" s="8" t="n">
        <x:v>21</x:v>
      </x:c>
      <x:c r="I587" s="8" t="n">
        <x:v>0</x:v>
      </x:c>
      <x:c r="J587" s="8" t="n">
        <x:v>281</x:v>
      </x:c>
      <x:c r="K587" s="8" t="n">
        <x:v>2215</x:v>
      </x:c>
      <x:c r="L587" s="1" t="str">
        <x:v>Нет</x:v>
      </x:c>
      <x:c r="M587" s="1" t="n">
        <x:v>257422</x:v>
      </x:c>
    </x:row>
    <x:row r="588">
      <x:c r="A588" s="1" t="str">
        <x:v>234287049</x:v>
      </x:c>
      <x:c r="B588" s="1" t="str">
        <x:v>svitshotmanpetl/графит</x:v>
      </x:c>
      <x:c r="C588" s="1" t="str">
        <x:v>Свитшоты</x:v>
      </x:c>
      <x:c r="D588" s="9" t="n">
        <x:v>6.7</x:v>
      </x:c>
      <x:c r="E588" s="8" t="n">
        <x:v>24736</x:v>
      </x:c>
      <x:c r="F588" s="8" t="n">
        <x:v>455</x:v>
      </x:c>
      <x:c r="G588" s="8" t="n">
        <x:v>340883</x:v>
      </x:c>
      <x:c r="H588" s="8" t="n">
        <x:v>212</x:v>
      </x:c>
      <x:c r="I588" s="8" t="n">
        <x:v>0</x:v>
      </x:c>
      <x:c r="J588" s="8" t="n">
        <x:v>189</x:v>
      </x:c>
      <x:c r="K588" s="8" t="n">
        <x:v>2045</x:v>
      </x:c>
      <x:c r="L588" s="1" t="str">
        <x:v>Нет</x:v>
      </x:c>
      <x:c r="M588" s="1" t="n">
        <x:v>180283</x:v>
      </x:c>
    </x:row>
    <x:row r="589">
      <x:c r="A589" s="1" t="str">
        <x:v>254905136</x:v>
      </x:c>
      <x:c r="B589" s="1" t="str">
        <x:v>hudiprint/WHO-KNOWS-205/молочный</x:v>
      </x:c>
      <x:c r="C589" s="1" t="str">
        <x:v>Худи</x:v>
      </x:c>
      <x:c r="D589" s="9" t="n">
        <x:v>8.7</x:v>
      </x:c>
      <x:c r="E589" s="8" t="n">
        <x:v>46911</x:v>
      </x:c>
      <x:c r="F589" s="8" t="n">
        <x:v>359</x:v>
      </x:c>
      <x:c r="G589" s="8" t="n">
        <x:v>339854</x:v>
      </x:c>
      <x:c r="H589" s="8" t="n">
        <x:v>164</x:v>
      </x:c>
      <x:c r="I589" s="8" t="n">
        <x:v>0</x:v>
      </x:c>
      <x:c r="J589" s="8" t="n">
        <x:v>401</x:v>
      </x:c>
      <x:c r="K589" s="8" t="n">
        <x:v>2245</x:v>
      </x:c>
      <x:c r="L589" s="1" t="str">
        <x:v>Нет</x:v>
      </x:c>
      <x:c r="M589" s="1" t="n">
        <x:v>452501</x:v>
      </x:c>
    </x:row>
    <x:row r="590">
      <x:c r="A590" s="1" t="str">
        <x:v>332418837</x:v>
      </x:c>
      <x:c r="B590" s="1" t="str">
        <x:v>top/каштановый</x:v>
      </x:c>
      <x:c r="C590" s="1" t="str">
        <x:v>Топы</x:v>
      </x:c>
      <x:c r="D590" s="9" t="n">
        <x:v>8.7</x:v>
      </x:c>
      <x:c r="E590" s="8" t="n">
        <x:v>58496</x:v>
      </x:c>
      <x:c r="F590" s="8" t="n">
        <x:v>1036</x:v>
      </x:c>
      <x:c r="G590" s="8" t="n">
        <x:v>338584</x:v>
      </x:c>
      <x:c r="H590" s="8" t="n">
        <x:v>146</x:v>
      </x:c>
      <x:c r="I590" s="8" t="n">
        <x:v>0</x:v>
      </x:c>
      <x:c r="J590" s="8" t="n">
        <x:v>27</x:v>
      </x:c>
      <x:c r="K590" s="8" t="n">
        <x:v>666</x:v>
      </x:c>
      <x:c r="L590" s="1" t="str">
        <x:v>Нет</x:v>
      </x:c>
      <x:c r="M590" s="1" t="n">
        <x:v>7000</x:v>
      </x:c>
    </x:row>
    <x:row r="591">
      <x:c r="A591" s="1" t="str">
        <x:v>25012401</x:v>
      </x:c>
      <x:c r="B591" s="1" t="str">
        <x:v>futbolka_mary/белый</x:v>
      </x:c>
      <x:c r="C591" s="1" t="str">
        <x:v>Футболки</x:v>
      </x:c>
      <x:c r="D591" s="9" t="n">
        <x:v>5.2</x:v>
      </x:c>
      <x:c r="E591" s="8" t="n">
        <x:v>21415</x:v>
      </x:c>
      <x:c r="F591" s="8" t="n">
        <x:v>881</x:v>
      </x:c>
      <x:c r="G591" s="8" t="n">
        <x:v>336903</x:v>
      </x:c>
      <x:c r="H591" s="8" t="n">
        <x:v>113</x:v>
      </x:c>
      <x:c r="I591" s="8" t="n">
        <x:v>0</x:v>
      </x:c>
      <x:c r="J591" s="8" t="n">
        <x:v>0</x:v>
      </x:c>
      <x:c r="K591" s="8" t="n">
        <x:v>601</x:v>
      </x:c>
      <x:c r="L591" s="1" t="str">
        <x:v>Нет</x:v>
      </x:c>
      <x:c r="M591" s="1" t="n">
        <x:v>0</x:v>
      </x:c>
    </x:row>
    <x:row r="592">
      <x:c r="A592" s="1" t="str">
        <x:v>332418838</x:v>
      </x:c>
      <x:c r="B592" s="1" t="str">
        <x:v>top/розовый</x:v>
      </x:c>
      <x:c r="C592" s="1" t="str">
        <x:v>Топы</x:v>
      </x:c>
      <x:c r="D592" s="9" t="n">
        <x:v>8.7</x:v>
      </x:c>
      <x:c r="E592" s="8" t="n">
        <x:v>75851</x:v>
      </x:c>
      <x:c r="F592" s="8" t="n">
        <x:v>1086</x:v>
      </x:c>
      <x:c r="G592" s="8" t="n">
        <x:v>336446</x:v>
      </x:c>
      <x:c r="H592" s="8" t="n">
        <x:v>207</x:v>
      </x:c>
      <x:c r="I592" s="8" t="n">
        <x:v>0</x:v>
      </x:c>
      <x:c r="J592" s="8" t="n">
        <x:v>40</x:v>
      </x:c>
      <x:c r="K592" s="8" t="n">
        <x:v>664</x:v>
      </x:c>
      <x:c r="L592" s="1" t="str">
        <x:v>Нет</x:v>
      </x:c>
      <x:c r="M592" s="1" t="n">
        <x:v>11500</x:v>
      </x:c>
    </x:row>
    <x:row r="593">
      <x:c r="A593" s="1" t="str">
        <x:v>295664241</x:v>
      </x:c>
      <x:c r="B593" s="1" t="str">
        <x:v>2nkost3D-72-73/серый</x:v>
      </x:c>
      <x:c r="C593" s="1" t="str">
        <x:v>Костюмы спортивные</x:v>
      </x:c>
      <x:c r="D593" s="9" t="n">
        <x:v>8.7</x:v>
      </x:c>
      <x:c r="E593" s="8" t="n">
        <x:v>103028</x:v>
      </x:c>
      <x:c r="F593" s="8" t="n">
        <x:v>885</x:v>
      </x:c>
      <x:c r="G593" s="8" t="n">
        <x:v>335793</x:v>
      </x:c>
      <x:c r="H593" s="8" t="n">
        <x:v>174</x:v>
      </x:c>
      <x:c r="I593" s="8" t="n">
        <x:v>0</x:v>
      </x:c>
      <x:c r="J593" s="8" t="n">
        <x:v>666</x:v>
      </x:c>
      <x:c r="K593" s="8" t="n">
        <x:v>2274</x:v>
      </x:c>
      <x:c r="L593" s="1" t="str">
        <x:v>Нет</x:v>
      </x:c>
      <x:c r="M593" s="1" t="n">
        <x:v>263882</x:v>
      </x:c>
    </x:row>
    <x:row r="594">
      <x:c r="A594" s="1" t="str">
        <x:v>209915087</x:v>
      </x:c>
      <x:c r="B594" s="1" t="str">
        <x:v>longsvobod/дымка</x:v>
      </x:c>
      <x:c r="C594" s="1" t="str">
        <x:v>Лонгсливы</x:v>
      </x:c>
      <x:c r="D594" s="9" t="n">
        <x:v>5.2</x:v>
      </x:c>
      <x:c r="E594" s="8" t="n">
        <x:v>57830</x:v>
      </x:c>
      <x:c r="F594" s="8" t="n">
        <x:v>881</x:v>
      </x:c>
      <x:c r="G594" s="8" t="n">
        <x:v>335076</x:v>
      </x:c>
      <x:c r="H594" s="8" t="n">
        <x:v>199</x:v>
      </x:c>
      <x:c r="I594" s="8" t="n">
        <x:v>0</x:v>
      </x:c>
      <x:c r="J594" s="8" t="n">
        <x:v>608</x:v>
      </x:c>
      <x:c r="K594" s="8" t="n">
        <x:v>971</x:v>
      </x:c>
      <x:c r="L594" s="1" t="str">
        <x:v>Нет</x:v>
      </x:c>
      <x:c r="M594" s="1" t="n">
        <x:v>272340</x:v>
      </x:c>
    </x:row>
    <x:row r="595">
      <x:c r="A595" s="1" t="str">
        <x:v>198090019</x:v>
      </x:c>
      <x:c r="B595" s="1" t="str">
        <x:v>bruki/серыймеланж2</x:v>
      </x:c>
      <x:c r="C595" s="1" t="str">
        <x:v>Брюки</x:v>
      </x:c>
      <x:c r="D595" s="9" t="n">
        <x:v>9.7</x:v>
      </x:c>
      <x:c r="E595" s="8" t="n">
        <x:v>29310</x:v>
      </x:c>
      <x:c r="F595" s="8" t="n">
        <x:v>614</x:v>
      </x:c>
      <x:c r="G595" s="8" t="n">
        <x:v>334380</x:v>
      </x:c>
      <x:c r="H595" s="8" t="n">
        <x:v>299</x:v>
      </x:c>
      <x:c r="I595" s="8" t="n">
        <x:v>0</x:v>
      </x:c>
      <x:c r="J595" s="8" t="n">
        <x:v>912</x:v>
      </x:c>
      <x:c r="K595" s="8" t="n">
        <x:v>2448</x:v>
      </x:c>
      <x:c r="L595" s="1" t="str">
        <x:v>Нет</x:v>
      </x:c>
      <x:c r="M595" s="1" t="n">
        <x:v>599069</x:v>
      </x:c>
    </x:row>
    <x:row r="596">
      <x:c r="A596" s="1" t="str">
        <x:v>314822401</x:v>
      </x:c>
      <x:c r="B596" s="1" t="str">
        <x:v>2Nlongunt3D-76print/dreams-257/темно-серый</x:v>
      </x:c>
      <x:c r="C596" s="1" t="str">
        <x:v>Лонгсливы</x:v>
      </x:c>
      <x:c r="D596" s="9" t="n">
        <x:v>8.7</x:v>
      </x:c>
      <x:c r="E596" s="8" t="n">
        <x:v>56548</x:v>
      </x:c>
      <x:c r="F596" s="8" t="n">
        <x:v>558</x:v>
      </x:c>
      <x:c r="G596" s="8" t="n">
        <x:v>332788</x:v>
      </x:c>
      <x:c r="H596" s="8" t="n">
        <x:v>51</x:v>
      </x:c>
      <x:c r="I596" s="8" t="n">
        <x:v>0</x:v>
      </x:c>
      <x:c r="J596" s="8" t="n">
        <x:v>105</x:v>
      </x:c>
      <x:c r="K596" s="8" t="n">
        <x:v>1414</x:v>
      </x:c>
      <x:c r="L596" s="1" t="str">
        <x:v>Нет</x:v>
      </x:c>
      <x:c r="M596" s="1" t="n">
        <x:v>62100</x:v>
      </x:c>
    </x:row>
    <x:row r="597">
      <x:c r="A597" s="1" t="str">
        <x:v>323203653</x:v>
      </x:c>
      <x:c r="B597" s="1" t="str">
        <x:v>tshirtsuperover3K-E1/бордовый</x:v>
      </x:c>
      <x:c r="C597" s="1" t="str">
        <x:v>Футболки</x:v>
      </x:c>
      <x:c r="D597" s="9" t="n">
        <x:v>8.7</x:v>
      </x:c>
      <x:c r="E597" s="8" t="n">
        <x:v>101209</x:v>
      </x:c>
      <x:c r="F597" s="8" t="n">
        <x:v>527</x:v>
      </x:c>
      <x:c r="G597" s="8" t="n">
        <x:v>332752</x:v>
      </x:c>
      <x:c r="H597" s="8" t="n">
        <x:v>201</x:v>
      </x:c>
      <x:c r="I597" s="8" t="n">
        <x:v>0</x:v>
      </x:c>
      <x:c r="J597" s="8" t="n">
        <x:v>0</x:v>
      </x:c>
      <x:c r="K597" s="8" t="n">
        <x:v>1161</x:v>
      </x:c>
      <x:c r="L597" s="1" t="str">
        <x:v>Нет</x:v>
      </x:c>
      <x:c r="M597" s="1" t="n">
        <x:v>0</x:v>
      </x:c>
    </x:row>
    <x:row r="598">
      <x:c r="A598" s="1" t="str">
        <x:v>237884236</x:v>
      </x:c>
      <x:c r="B598" s="1" t="str">
        <x:v>2Nlongsliv/черный</x:v>
      </x:c>
      <x:c r="C598" s="1" t="str">
        <x:v>Лонгсливы</x:v>
      </x:c>
      <x:c r="D598" s="9" t="n">
        <x:v>8.7</x:v>
      </x:c>
      <x:c r="E598" s="8" t="n">
        <x:v>71461</x:v>
      </x:c>
      <x:c r="F598" s="8" t="n">
        <x:v>593</x:v>
      </x:c>
      <x:c r="G598" s="8" t="n">
        <x:v>332726</x:v>
      </x:c>
      <x:c r="H598" s="8" t="n">
        <x:v>166</x:v>
      </x:c>
      <x:c r="I598" s="8" t="n">
        <x:v>0</x:v>
      </x:c>
      <x:c r="J598" s="8" t="n">
        <x:v>1492</x:v>
      </x:c>
      <x:c r="K598" s="8" t="n">
        <x:v>1520</x:v>
      </x:c>
      <x:c r="L598" s="1" t="str">
        <x:v>Нет</x:v>
      </x:c>
      <x:c r="M598" s="1" t="n">
        <x:v>984412</x:v>
      </x:c>
    </x:row>
    <x:row r="599">
      <x:c r="A599" s="1" t="str">
        <x:v>260797907</x:v>
      </x:c>
      <x:c r="B599" s="1" t="str">
        <x:v>hudicrop1/голубой</x:v>
      </x:c>
      <x:c r="C599" s="1" t="str">
        <x:v>Худи</x:v>
      </x:c>
      <x:c r="D599" s="9" t="n">
        <x:v>8.7</x:v>
      </x:c>
      <x:c r="E599" s="8" t="n">
        <x:v>40331</x:v>
      </x:c>
      <x:c r="F599" s="8" t="n">
        <x:v>256</x:v>
      </x:c>
      <x:c r="G599" s="8" t="n">
        <x:v>330181</x:v>
      </x:c>
      <x:c r="H599" s="8" t="n">
        <x:v>254</x:v>
      </x:c>
      <x:c r="I599" s="8" t="n">
        <x:v>0</x:v>
      </x:c>
      <x:c r="J599" s="8" t="n">
        <x:v>571</x:v>
      </x:c>
      <x:c r="K599" s="8" t="n">
        <x:v>2503</x:v>
      </x:c>
      <x:c r="L599" s="1" t="str">
        <x:v>Нет</x:v>
      </x:c>
      <x:c r="M599" s="1" t="n">
        <x:v>655342</x:v>
      </x:c>
    </x:row>
    <x:row r="600">
      <x:c r="A600" s="1" t="str">
        <x:v>221503717</x:v>
      </x:c>
      <x:c r="B600" s="1" t="str">
        <x:v>baza/светло-фиолетовый</x:v>
      </x:c>
      <x:c r="C600" s="1" t="str">
        <x:v>Футболки</x:v>
      </x:c>
      <x:c r="D600" s="9" t="n">
        <x:v>8.2</x:v>
      </x:c>
      <x:c r="E600" s="8" t="n">
        <x:v>61621</x:v>
      </x:c>
      <x:c r="F600" s="8" t="n">
        <x:v>620</x:v>
      </x:c>
      <x:c r="G600" s="8" t="n">
        <x:v>329036</x:v>
      </x:c>
      <x:c r="H600" s="8" t="n">
        <x:v>704</x:v>
      </x:c>
      <x:c r="I600" s="8" t="n">
        <x:v>0</x:v>
      </x:c>
      <x:c r="J600" s="8" t="n">
        <x:v>1385</x:v>
      </x:c>
      <x:c r="K600" s="8" t="n">
        <x:v>934</x:v>
      </x:c>
      <x:c r="L600" s="1" t="str">
        <x:v>Нет</x:v>
      </x:c>
      <x:c r="M600" s="1" t="n">
        <x:v>811252</x:v>
      </x:c>
    </x:row>
    <x:row r="601">
      <x:c r="A601" s="1" t="str">
        <x:v>256339627</x:v>
      </x:c>
      <x:c r="B601" s="1" t="str">
        <x:v>futbolkaoverhlop/розовый</x:v>
      </x:c>
      <x:c r="C601" s="1" t="str">
        <x:v>Футболки</x:v>
      </x:c>
      <x:c r="D601" s="9" t="n">
        <x:v>7.7</x:v>
      </x:c>
      <x:c r="E601" s="8" t="n">
        <x:v>47732</x:v>
      </x:c>
      <x:c r="F601" s="8" t="n">
        <x:v>769</x:v>
      </x:c>
      <x:c r="G601" s="8" t="n">
        <x:v>328282</x:v>
      </x:c>
      <x:c r="H601" s="8" t="n">
        <x:v>95</x:v>
      </x:c>
      <x:c r="I601" s="8" t="n">
        <x:v>0</x:v>
      </x:c>
      <x:c r="J601" s="8" t="n">
        <x:v>1196</x:v>
      </x:c>
      <x:c r="K601" s="8" t="n">
        <x:v>923</x:v>
      </x:c>
      <x:c r="L601" s="1" t="str">
        <x:v>Нет</x:v>
      </x:c>
      <x:c r="M601" s="1" t="n">
        <x:v>579133</x:v>
      </x:c>
    </x:row>
    <x:row r="602">
      <x:c r="A602" s="1" t="str">
        <x:v>150674003</x:v>
      </x:c>
      <x:c r="B602" s="1" t="str">
        <x:v>svitshotover/кофейный</x:v>
      </x:c>
      <x:c r="C602" s="1" t="str">
        <x:v>Свитшоты</x:v>
      </x:c>
      <x:c r="D602" s="9" t="n">
        <x:v>9.7</x:v>
      </x:c>
      <x:c r="E602" s="8" t="n">
        <x:v>45156</x:v>
      </x:c>
      <x:c r="F602" s="8" t="n">
        <x:v>547</x:v>
      </x:c>
      <x:c r="G602" s="8" t="n">
        <x:v>327556</x:v>
      </x:c>
      <x:c r="H602" s="8" t="n">
        <x:v>1339</x:v>
      </x:c>
      <x:c r="I602" s="8" t="n">
        <x:v>0</x:v>
      </x:c>
      <x:c r="J602" s="8" t="n">
        <x:v>690</x:v>
      </x:c>
      <x:c r="K602" s="8" t="n">
        <x:v>2002</x:v>
      </x:c>
      <x:c r="L602" s="1" t="str">
        <x:v>Нет</x:v>
      </x:c>
      <x:c r="M602" s="1" t="n">
        <x:v>452161</x:v>
      </x:c>
    </x:row>
    <x:row r="603">
      <x:c r="A603" s="1" t="str">
        <x:v>175097411</x:v>
      </x:c>
      <x:c r="B603" s="1" t="str">
        <x:v>reglanman/хаки</x:v>
      </x:c>
      <x:c r="C603" s="1" t="str">
        <x:v>Лонгсливы</x:v>
      </x:c>
      <x:c r="D603" s="9" t="n">
        <x:v>7.2</x:v>
      </x:c>
      <x:c r="E603" s="8" t="n">
        <x:v>34963</x:v>
      </x:c>
      <x:c r="F603" s="8" t="n">
        <x:v>811</x:v>
      </x:c>
      <x:c r="G603" s="8" t="n">
        <x:v>326494</x:v>
      </x:c>
      <x:c r="H603" s="8" t="n">
        <x:v>110</x:v>
      </x:c>
      <x:c r="I603" s="8" t="n">
        <x:v>0</x:v>
      </x:c>
      <x:c r="J603" s="8" t="n">
        <x:v>490</x:v>
      </x:c>
      <x:c r="K603" s="8" t="n">
        <x:v>1118</x:v>
      </x:c>
      <x:c r="L603" s="1" t="str">
        <x:v>Нет</x:v>
      </x:c>
      <x:c r="M603" s="1" t="n">
        <x:v>247905</x:v>
      </x:c>
    </x:row>
    <x:row r="604">
      <x:c r="A604" s="1" t="str">
        <x:v>210514816</x:v>
      </x:c>
      <x:c r="B604" s="1" t="str">
        <x:v>kostkulirkacrop/молочный</x:v>
      </x:c>
      <x:c r="C604" s="1" t="str">
        <x:v>Костюмы</x:v>
      </x:c>
      <x:c r="D604" s="9" t="n">
        <x:v>9.7</x:v>
      </x:c>
      <x:c r="E604" s="8" t="n">
        <x:v>56689</x:v>
      </x:c>
      <x:c r="F604" s="8" t="n">
        <x:v>641</x:v>
      </x:c>
      <x:c r="G604" s="8" t="n">
        <x:v>326044</x:v>
      </x:c>
      <x:c r="H604" s="8" t="n">
        <x:v>3</x:v>
      </x:c>
      <x:c r="I604" s="8" t="n">
        <x:v>0</x:v>
      </x:c>
      <x:c r="J604" s="8" t="n">
        <x:v>406</x:v>
      </x:c>
      <x:c r="K604" s="8" t="n">
        <x:v>1095</x:v>
      </x:c>
      <x:c r="L604" s="1" t="str">
        <x:v>Нет</x:v>
      </x:c>
      <x:c r="M604" s="1" t="n">
        <x:v>206448</x:v>
      </x:c>
    </x:row>
    <x:row r="605">
      <x:c r="A605" s="1" t="str">
        <x:v>289105827</x:v>
      </x:c>
      <x:c r="B605" s="1" t="str">
        <x:v>brukikarman3P-S-2/черный</x:v>
      </x:c>
      <x:c r="C605" s="1" t="str">
        <x:v>Брюки</x:v>
      </x:c>
      <x:c r="D605" s="9" t="n">
        <x:v>8.4</x:v>
      </x:c>
      <x:c r="E605" s="8" t="n">
        <x:v>31603</x:v>
      </x:c>
      <x:c r="F605" s="8" t="n">
        <x:v>637</x:v>
      </x:c>
      <x:c r="G605" s="8" t="n">
        <x:v>325651</x:v>
      </x:c>
      <x:c r="H605" s="8" t="n">
        <x:v>243</x:v>
      </x:c>
      <x:c r="I605" s="8" t="n">
        <x:v>0</x:v>
      </x:c>
      <x:c r="J605" s="8" t="n">
        <x:v>583</x:v>
      </x:c>
      <x:c r="K605" s="8" t="n">
        <x:v>2324</x:v>
      </x:c>
      <x:c r="L605" s="1" t="str">
        <x:v>Нет</x:v>
      </x:c>
      <x:c r="M605" s="1" t="n">
        <x:v>295035</x:v>
      </x:c>
    </x:row>
    <x:row r="606">
      <x:c r="A606" s="1" t="str">
        <x:v>203015624</x:v>
      </x:c>
      <x:c r="B606" s="1" t="str">
        <x:v>Futbolkaprint/LoveNever-45/черный</x:v>
      </x:c>
      <x:c r="C606" s="1" t="str">
        <x:v>Футболки</x:v>
      </x:c>
      <x:c r="D606" s="9" t="n">
        <x:v>8.7</x:v>
      </x:c>
      <x:c r="E606" s="8" t="n">
        <x:v>48007</x:v>
      </x:c>
      <x:c r="F606" s="8" t="n">
        <x:v>528</x:v>
      </x:c>
      <x:c r="G606" s="8" t="n">
        <x:v>325384</x:v>
      </x:c>
      <x:c r="H606" s="8" t="n">
        <x:v>123</x:v>
      </x:c>
      <x:c r="I606" s="8" t="n">
        <x:v>0</x:v>
      </x:c>
      <x:c r="J606" s="8" t="n">
        <x:v>420</x:v>
      </x:c>
      <x:c r="K606" s="8" t="n">
        <x:v>965</x:v>
      </x:c>
      <x:c r="L606" s="1" t="str">
        <x:v>Нет</x:v>
      </x:c>
      <x:c r="M606" s="1" t="n">
        <x:v>271695</x:v>
      </x:c>
    </x:row>
    <x:row r="607">
      <x:c r="A607" s="1" t="str">
        <x:v>218974176</x:v>
      </x:c>
      <x:c r="B607" s="1" t="str">
        <x:v>topmayka/черный</x:v>
      </x:c>
      <x:c r="C607" s="1" t="str">
        <x:v>Топы</x:v>
      </x:c>
      <x:c r="D607" s="9" t="n">
        <x:v>9</x:v>
      </x:c>
      <x:c r="E607" s="8" t="n">
        <x:v>31761</x:v>
      </x:c>
      <x:c r="F607" s="8" t="n">
        <x:v>1248</x:v>
      </x:c>
      <x:c r="G607" s="8" t="n">
        <x:v>324407</x:v>
      </x:c>
      <x:c r="H607" s="8" t="n">
        <x:v>955</x:v>
      </x:c>
      <x:c r="I607" s="8" t="n">
        <x:v>0</x:v>
      </x:c>
      <x:c r="J607" s="8" t="n">
        <x:v>24</x:v>
      </x:c>
      <x:c r="K607" s="8" t="n">
        <x:v>564</x:v>
      </x:c>
      <x:c r="L607" s="1" t="str">
        <x:v>Нет</x:v>
      </x:c>
      <x:c r="M607" s="1" t="n">
        <x:v>6280</x:v>
      </x:c>
    </x:row>
    <x:row r="608">
      <x:c r="A608" s="1" t="str">
        <x:v>271716376</x:v>
      </x:c>
      <x:c r="B608" s="1" t="str">
        <x:v>hudiman/вареныйсерый</x:v>
      </x:c>
      <x:c r="C608" s="1" t="str">
        <x:v>Худи</x:v>
      </x:c>
      <x:c r="D608" s="9" t="n">
        <x:v>9.7</x:v>
      </x:c>
      <x:c r="E608" s="8" t="n">
        <x:v>16407</x:v>
      </x:c>
      <x:c r="F608" s="8" t="n">
        <x:v>278</x:v>
      </x:c>
      <x:c r="G608" s="8" t="n">
        <x:v>322085</x:v>
      </x:c>
      <x:c r="H608" s="8" t="n">
        <x:v>504</x:v>
      </x:c>
      <x:c r="I608" s="8" t="n">
        <x:v>0</x:v>
      </x:c>
      <x:c r="J608" s="8" t="n">
        <x:v>464</x:v>
      </x:c>
      <x:c r="K608" s="8" t="n">
        <x:v>2385</x:v>
      </x:c>
      <x:c r="L608" s="1" t="str">
        <x:v>Нет</x:v>
      </x:c>
      <x:c r="M608" s="1" t="n">
        <x:v>583640</x:v>
      </x:c>
    </x:row>
    <x:row r="609">
      <x:c r="A609" s="1" t="str">
        <x:v>293298455</x:v>
      </x:c>
      <x:c r="B609" s="1" t="str">
        <x:v>2Nlongman4D-69/темно-синий</x:v>
      </x:c>
      <x:c r="C609" s="1" t="str">
        <x:v>Лонгсливы</x:v>
      </x:c>
      <x:c r="D609" s="9" t="n">
        <x:v>9</x:v>
      </x:c>
      <x:c r="E609" s="8" t="n">
        <x:v>18143</x:v>
      </x:c>
      <x:c r="F609" s="8" t="n">
        <x:v>545</x:v>
      </x:c>
      <x:c r="G609" s="8" t="n">
        <x:v>321988</x:v>
      </x:c>
      <x:c r="H609" s="8" t="n">
        <x:v>0</x:v>
      </x:c>
      <x:c r="I609" s="8" t="n">
        <x:v>0</x:v>
      </x:c>
      <x:c r="J609" s="8" t="n">
        <x:v>326</x:v>
      </x:c>
      <x:c r="K609" s="8" t="n">
        <x:v>1450</x:v>
      </x:c>
      <x:c r="L609" s="1" t="str">
        <x:v>Нет</x:v>
      </x:c>
      <x:c r="M609" s="1" t="n">
        <x:v>165354</x:v>
      </x:c>
    </x:row>
    <x:row r="610">
      <x:c r="A610" s="1" t="str">
        <x:v>348218033</x:v>
      </x:c>
      <x:c r="B610" s="1" t="str">
        <x:v>bodyskims/дымка</x:v>
      </x:c>
      <x:c r="C610" s="1" t="str">
        <x:v>Блузки-боди</x:v>
      </x:c>
      <x:c r="D610" s="9" t="n">
        <x:v>8.7</x:v>
      </x:c>
      <x:c r="E610" s="8" t="n">
        <x:v>35758</x:v>
      </x:c>
      <x:c r="F610" s="8" t="n">
        <x:v>607</x:v>
      </x:c>
      <x:c r="G610" s="8" t="n">
        <x:v>320689</x:v>
      </x:c>
      <x:c r="H610" s="8" t="n">
        <x:v>235</x:v>
      </x:c>
      <x:c r="I610" s="8" t="n">
        <x:v>0</x:v>
      </x:c>
      <x:c r="J610" s="8" t="n">
        <x:v>0</x:v>
      </x:c>
      <x:c r="K610" s="8" t="n">
        <x:v>1010</x:v>
      </x:c>
      <x:c r="L610" s="1" t="str">
        <x:v>Нет</x:v>
      </x:c>
      <x:c r="M610" s="1" t="n">
        <x:v>0</x:v>
      </x:c>
    </x:row>
    <x:row r="611">
      <x:c r="A611" s="1" t="str">
        <x:v>320423130</x:v>
      </x:c>
      <x:c r="B611" s="1" t="str">
        <x:v>shtanyfix/молочный</x:v>
      </x:c>
      <x:c r="C611" s="1" t="str">
        <x:v>Брюки</x:v>
      </x:c>
      <x:c r="D611" s="9" t="n">
        <x:v>8.2</x:v>
      </x:c>
      <x:c r="E611" s="8" t="n">
        <x:v>34546</x:v>
      </x:c>
      <x:c r="F611" s="8" t="n">
        <x:v>523</x:v>
      </x:c>
      <x:c r="G611" s="8" t="n">
        <x:v>319604</x:v>
      </x:c>
      <x:c r="H611" s="8" t="n">
        <x:v>7</x:v>
      </x:c>
      <x:c r="I611" s="8" t="n">
        <x:v>0</x:v>
      </x:c>
      <x:c r="J611" s="8" t="n">
        <x:v>0</x:v>
      </x:c>
      <x:c r="K611" s="8" t="n">
        <x:v>2543</x:v>
      </x:c>
      <x:c r="L611" s="1" t="str">
        <x:v>Нет</x:v>
      </x:c>
      <x:c r="M611" s="1" t="n">
        <x:v>0</x:v>
      </x:c>
    </x:row>
    <x:row r="612">
      <x:c r="A612" s="1" t="str">
        <x:v>203015617</x:v>
      </x:c>
      <x:c r="B612" s="1" t="str">
        <x:v>Futbolkaprint/LoveNever-45/дымка</x:v>
      </x:c>
      <x:c r="C612" s="1" t="str">
        <x:v>Футболки</x:v>
      </x:c>
      <x:c r="D612" s="9" t="n">
        <x:v>8.7</x:v>
      </x:c>
      <x:c r="E612" s="8" t="n">
        <x:v>68406</x:v>
      </x:c>
      <x:c r="F612" s="8" t="n">
        <x:v>585</x:v>
      </x:c>
      <x:c r="G612" s="8" t="n">
        <x:v>318965</x:v>
      </x:c>
      <x:c r="H612" s="8" t="n">
        <x:v>333</x:v>
      </x:c>
      <x:c r="I612" s="8" t="n">
        <x:v>0</x:v>
      </x:c>
      <x:c r="J612" s="8" t="n">
        <x:v>682</x:v>
      </x:c>
      <x:c r="K612" s="8" t="n">
        <x:v>961</x:v>
      </x:c>
      <x:c r="L612" s="1" t="str">
        <x:v>Нет</x:v>
      </x:c>
      <x:c r="M612" s="1" t="n">
        <x:v>380162</x:v>
      </x:c>
    </x:row>
    <x:row r="613">
      <x:c r="A613" s="1" t="str">
        <x:v>19178218</x:v>
      </x:c>
      <x:c r="B613" s="1" t="str">
        <x:v>bruki/песочный</x:v>
      </x:c>
      <x:c r="C613" s="1" t="str">
        <x:v>Брюки</x:v>
      </x:c>
      <x:c r="D613" s="9" t="n">
        <x:v>7.7</x:v>
      </x:c>
      <x:c r="E613" s="8" t="n">
        <x:v>18037</x:v>
      </x:c>
      <x:c r="F613" s="8" t="n">
        <x:v>513</x:v>
      </x:c>
      <x:c r="G613" s="8" t="n">
        <x:v>317723</x:v>
      </x:c>
      <x:c r="H613" s="8" t="n">
        <x:v>321</x:v>
      </x:c>
      <x:c r="I613" s="8" t="n">
        <x:v>0</x:v>
      </x:c>
      <x:c r="J613" s="8" t="n">
        <x:v>787</x:v>
      </x:c>
      <x:c r="K613" s="8" t="n">
        <x:v>2355</x:v>
      </x:c>
      <x:c r="L613" s="1" t="str">
        <x:v>Нет</x:v>
      </x:c>
      <x:c r="M613" s="1" t="n">
        <x:v>580000</x:v>
      </x:c>
    </x:row>
    <x:row r="614">
      <x:c r="A614" s="1" t="str">
        <x:v>336303915</x:v>
      </x:c>
      <x:c r="B614" s="1" t="str">
        <x:v>futbolka_mary/какао</x:v>
      </x:c>
      <x:c r="C614" s="1" t="str">
        <x:v>Футболки</x:v>
      </x:c>
      <x:c r="D614" s="9" t="n">
        <x:v>7.2</x:v>
      </x:c>
      <x:c r="E614" s="8" t="n">
        <x:v>61762</x:v>
      </x:c>
      <x:c r="F614" s="8" t="n">
        <x:v>906</x:v>
      </x:c>
      <x:c r="G614" s="8" t="n">
        <x:v>317226</x:v>
      </x:c>
      <x:c r="H614" s="8" t="n">
        <x:v>129</x:v>
      </x:c>
      <x:c r="I614" s="8" t="n">
        <x:v>0</x:v>
      </x:c>
      <x:c r="J614" s="8" t="n">
        <x:v>0</x:v>
      </x:c>
      <x:c r="K614" s="8" t="n">
        <x:v>635</x:v>
      </x:c>
      <x:c r="L614" s="1" t="str">
        <x:v>Нет</x:v>
      </x:c>
      <x:c r="M614" s="1" t="n">
        <x:v>0</x:v>
      </x:c>
    </x:row>
    <x:row r="615">
      <x:c r="A615" s="1" t="str">
        <x:v>134296059</x:v>
      </x:c>
      <x:c r="B615" s="1" t="str">
        <x:v>hudiman/голубой</x:v>
      </x:c>
      <x:c r="C615" s="1" t="str">
        <x:v>Худи</x:v>
      </x:c>
      <x:c r="D615" s="9" t="n">
        <x:v>9.7</x:v>
      </x:c>
      <x:c r="E615" s="8" t="n">
        <x:v>8404</x:v>
      </x:c>
      <x:c r="F615" s="8" t="n">
        <x:v>268</x:v>
      </x:c>
      <x:c r="G615" s="8" t="n">
        <x:v>316955</x:v>
      </x:c>
      <x:c r="H615" s="8" t="n">
        <x:v>0</x:v>
      </x:c>
      <x:c r="I615" s="8" t="n">
        <x:v>0</x:v>
      </x:c>
      <x:c r="J615" s="8" t="n">
        <x:v>538</x:v>
      </x:c>
      <x:c r="K615" s="8" t="n">
        <x:v>2086</x:v>
      </x:c>
      <x:c r="L615" s="1" t="str">
        <x:v>Нет</x:v>
      </x:c>
      <x:c r="M615" s="1" t="n">
        <x:v>518356</x:v>
      </x:c>
    </x:row>
    <x:row r="616">
      <x:c r="A616" s="1" t="str">
        <x:v>340611091</x:v>
      </x:c>
      <x:c r="B616" s="1" t="str">
        <x:v>baza/графит</x:v>
      </x:c>
      <x:c r="C616" s="1" t="str">
        <x:v>Футболки</x:v>
      </x:c>
      <x:c r="D616" s="9" t="n">
        <x:v>8.2</x:v>
      </x:c>
      <x:c r="E616" s="8" t="n">
        <x:v>43181</x:v>
      </x:c>
      <x:c r="F616" s="8" t="n">
        <x:v>791</x:v>
      </x:c>
      <x:c r="G616" s="8" t="n">
        <x:v>314752</x:v>
      </x:c>
      <x:c r="H616" s="8" t="n">
        <x:v>21</x:v>
      </x:c>
      <x:c r="I616" s="8" t="n">
        <x:v>0</x:v>
      </x:c>
      <x:c r="J616" s="8" t="n">
        <x:v>0</x:v>
      </x:c>
      <x:c r="K616" s="8" t="n">
        <x:v>813</x:v>
      </x:c>
      <x:c r="L616" s="1" t="str">
        <x:v>Нет</x:v>
      </x:c>
      <x:c r="M616" s="1" t="n">
        <x:v>0</x:v>
      </x:c>
    </x:row>
    <x:row r="617">
      <x:c r="A617" s="1" t="str">
        <x:v>271383075</x:v>
      </x:c>
      <x:c r="B617" s="1" t="str">
        <x:v>shtanyfix/темно-серый</x:v>
      </x:c>
      <x:c r="C617" s="1" t="str">
        <x:v>Брюки</x:v>
      </x:c>
      <x:c r="D617" s="9" t="n">
        <x:v>8.2</x:v>
      </x:c>
      <x:c r="E617" s="8" t="n">
        <x:v>22885</x:v>
      </x:c>
      <x:c r="F617" s="8" t="n">
        <x:v>428</x:v>
      </x:c>
      <x:c r="G617" s="8" t="n">
        <x:v>314733</x:v>
      </x:c>
      <x:c r="H617" s="8" t="n">
        <x:v>210</x:v>
      </x:c>
      <x:c r="I617" s="8" t="n">
        <x:v>0</x:v>
      </x:c>
      <x:c r="J617" s="8" t="n">
        <x:v>0</x:v>
      </x:c>
      <x:c r="K617" s="8" t="n">
        <x:v>2729</x:v>
      </x:c>
      <x:c r="L617" s="1" t="str">
        <x:v>Нет</x:v>
      </x:c>
      <x:c r="M617" s="1" t="n">
        <x:v>0</x:v>
      </x:c>
    </x:row>
    <x:row r="618">
      <x:c r="A618" s="1" t="str">
        <x:v>332680050</x:v>
      </x:c>
      <x:c r="B618" s="1" t="str">
        <x:v>vshirt3K-99/черный</x:v>
      </x:c>
      <x:c r="C618" s="1" t="str">
        <x:v>Футболки</x:v>
      </x:c>
      <x:c r="D618" s="9" t="n">
        <x:v>8.2</x:v>
      </x:c>
      <x:c r="E618" s="8" t="n">
        <x:v>55470</x:v>
      </x:c>
      <x:c r="F618" s="8" t="n">
        <x:v>862</x:v>
      </x:c>
      <x:c r="G618" s="8" t="n">
        <x:v>311112</x:v>
      </x:c>
      <x:c r="H618" s="8" t="n">
        <x:v>4</x:v>
      </x:c>
      <x:c r="I618" s="8" t="n">
        <x:v>0</x:v>
      </x:c>
      <x:c r="J618" s="8" t="n">
        <x:v>0</x:v>
      </x:c>
      <x:c r="K618" s="8" t="n">
        <x:v>696</x:v>
      </x:c>
      <x:c r="L618" s="1" t="str">
        <x:v>Нет</x:v>
      </x:c>
      <x:c r="M618" s="1" t="n">
        <x:v>0</x:v>
      </x:c>
    </x:row>
    <x:row r="619">
      <x:c r="A619" s="1" t="str">
        <x:v>377595932</x:v>
      </x:c>
      <x:c r="B619" s="1" t="str">
        <x:v>tolstovkazip3P-70/бордовый</x:v>
      </x:c>
      <x:c r="C619" s="1" t="str">
        <x:v>Худи</x:v>
      </x:c>
      <x:c r="D619" s="9" t="n">
        <x:v>9.7</x:v>
      </x:c>
      <x:c r="E619" s="8" t="n">
        <x:v>29646</x:v>
      </x:c>
      <x:c r="F619" s="8" t="n">
        <x:v>384</x:v>
      </x:c>
      <x:c r="G619" s="8" t="n">
        <x:v>310493</x:v>
      </x:c>
      <x:c r="H619" s="8" t="n">
        <x:v>25</x:v>
      </x:c>
      <x:c r="I619" s="8" t="n">
        <x:v>0</x:v>
      </x:c>
      <x:c r="J619" s="8" t="n">
        <x:v>0</x:v>
      </x:c>
      <x:c r="K619" s="8" t="n">
        <x:v>2507</x:v>
      </x:c>
      <x:c r="L619" s="1" t="str">
        <x:v>Нет</x:v>
      </x:c>
      <x:c r="M619" s="1" t="n">
        <x:v>0</x:v>
      </x:c>
    </x:row>
    <x:row r="620">
      <x:c r="A620" s="1" t="str">
        <x:v>317320228</x:v>
      </x:c>
      <x:c r="B620" s="1" t="str">
        <x:v>futbolkaprint/text-267/серыймеланж2</x:v>
      </x:c>
      <x:c r="C620" s="1" t="str">
        <x:v>Футболки</x:v>
      </x:c>
      <x:c r="D620" s="9" t="n">
        <x:v>8.7</x:v>
      </x:c>
      <x:c r="E620" s="8" t="n">
        <x:v>44207</x:v>
      </x:c>
      <x:c r="F620" s="8" t="n">
        <x:v>484</x:v>
      </x:c>
      <x:c r="G620" s="8" t="n">
        <x:v>307925</x:v>
      </x:c>
      <x:c r="H620" s="8" t="n">
        <x:v>0</x:v>
      </x:c>
      <x:c r="I620" s="8" t="n">
        <x:v>0</x:v>
      </x:c>
      <x:c r="J620" s="8" t="n">
        <x:v>360</x:v>
      </x:c>
      <x:c r="K620" s="8" t="n">
        <x:v>1273</x:v>
      </x:c>
      <x:c r="L620" s="1" t="str">
        <x:v>Нет</x:v>
      </x:c>
      <x:c r="M620" s="1" t="n">
        <x:v>235049</x:v>
      </x:c>
    </x:row>
    <x:row r="621">
      <x:c r="A621" s="1" t="str">
        <x:v>26237092</x:v>
      </x:c>
      <x:c r="B621" s="1" t="str">
        <x:v>futbolka_mary/дымка</x:v>
      </x:c>
      <x:c r="C621" s="1" t="str">
        <x:v>Футболки</x:v>
      </x:c>
      <x:c r="D621" s="9" t="n">
        <x:v>7.2</x:v>
      </x:c>
      <x:c r="E621" s="8" t="n">
        <x:v>45922</x:v>
      </x:c>
      <x:c r="F621" s="8" t="n">
        <x:v>849</x:v>
      </x:c>
      <x:c r="G621" s="8" t="n">
        <x:v>306288</x:v>
      </x:c>
      <x:c r="H621" s="8" t="n">
        <x:v>17</x:v>
      </x:c>
      <x:c r="I621" s="8" t="n">
        <x:v>0</x:v>
      </x:c>
      <x:c r="J621" s="8" t="n">
        <x:v>0</x:v>
      </x:c>
      <x:c r="K621" s="8" t="n">
        <x:v>566</x:v>
      </x:c>
      <x:c r="L621" s="1" t="str">
        <x:v>Нет</x:v>
      </x:c>
      <x:c r="M621" s="1" t="n">
        <x:v>0</x:v>
      </x:c>
    </x:row>
    <x:row r="622">
      <x:c r="A622" s="1" t="str">
        <x:v>331723392</x:v>
      </x:c>
      <x:c r="B622" s="1" t="str">
        <x:v>futkryl3K-101/молочный</x:v>
      </x:c>
      <x:c r="C622" s="1" t="str">
        <x:v>Футболки</x:v>
      </x:c>
      <x:c r="D622" s="9" t="n">
        <x:v>8.4</x:v>
      </x:c>
      <x:c r="E622" s="8" t="n">
        <x:v>67558</x:v>
      </x:c>
      <x:c r="F622" s="8" t="n">
        <x:v>878</x:v>
      </x:c>
      <x:c r="G622" s="8" t="n">
        <x:v>303131</x:v>
      </x:c>
      <x:c r="H622" s="8" t="n">
        <x:v>239</x:v>
      </x:c>
      <x:c r="I622" s="8" t="n">
        <x:v>0</x:v>
      </x:c>
      <x:c r="J622" s="8" t="n">
        <x:v>0</x:v>
      </x:c>
      <x:c r="K622" s="8" t="n">
        <x:v>798</x:v>
      </x:c>
      <x:c r="L622" s="1" t="str">
        <x:v>Нет</x:v>
      </x:c>
      <x:c r="M622" s="1" t="n">
        <x:v>0</x:v>
      </x:c>
    </x:row>
    <x:row r="623">
      <x:c r="A623" s="1" t="str">
        <x:v>234287031</x:v>
      </x:c>
      <x:c r="B623" s="1" t="str">
        <x:v>svitshotmanpetl/серыймеланж2</x:v>
      </x:c>
      <x:c r="C623" s="1" t="str">
        <x:v>Свитшоты</x:v>
      </x:c>
      <x:c r="D623" s="9" t="n">
        <x:v>6.7</x:v>
      </x:c>
      <x:c r="E623" s="8" t="n">
        <x:v>11914</x:v>
      </x:c>
      <x:c r="F623" s="8" t="n">
        <x:v>344</x:v>
      </x:c>
      <x:c r="G623" s="8" t="n">
        <x:v>303094</x:v>
      </x:c>
      <x:c r="H623" s="8" t="n">
        <x:v>44</x:v>
      </x:c>
      <x:c r="I623" s="8" t="n">
        <x:v>0</x:v>
      </x:c>
      <x:c r="J623" s="8" t="n">
        <x:v>373</x:v>
      </x:c>
      <x:c r="K623" s="8" t="n">
        <x:v>2089</x:v>
      </x:c>
      <x:c r="L623" s="1" t="str">
        <x:v>Нет</x:v>
      </x:c>
      <x:c r="M623" s="1" t="n">
        <x:v>348132</x:v>
      </x:c>
    </x:row>
    <x:row r="624">
      <x:c r="A624" s="1" t="str">
        <x:v>171386727</x:v>
      </x:c>
      <x:c r="B624" s="1" t="str">
        <x:v>brukiman/темно-серый</x:v>
      </x:c>
      <x:c r="C624" s="1" t="str">
        <x:v>Брюки</x:v>
      </x:c>
      <x:c r="D624" s="9" t="n">
        <x:v>7.7</x:v>
      </x:c>
      <x:c r="E624" s="8" t="n">
        <x:v>11312</x:v>
      </x:c>
      <x:c r="F624" s="8" t="n">
        <x:v>403</x:v>
      </x:c>
      <x:c r="G624" s="8" t="n">
        <x:v>301757</x:v>
      </x:c>
      <x:c r="H624" s="8" t="n">
        <x:v>636</x:v>
      </x:c>
      <x:c r="I624" s="8" t="n">
        <x:v>0</x:v>
      </x:c>
      <x:c r="J624" s="8" t="n">
        <x:v>651</x:v>
      </x:c>
      <x:c r="K624" s="8" t="n">
        <x:v>2139</x:v>
      </x:c>
      <x:c r="L624" s="1" t="str">
        <x:v>Нет</x:v>
      </x:c>
      <x:c r="M624" s="1" t="n">
        <x:v>610245</x:v>
      </x:c>
    </x:row>
    <x:row r="625">
      <x:c r="A625" s="1" t="str">
        <x:v>251777557</x:v>
      </x:c>
      <x:c r="B625" s="1" t="str">
        <x:v>hudimanprint/Control-189/молочный</x:v>
      </x:c>
      <x:c r="C625" s="1" t="str">
        <x:v>Худи</x:v>
      </x:c>
      <x:c r="D625" s="9" t="n">
        <x:v>8.7</x:v>
      </x:c>
      <x:c r="E625" s="8" t="n">
        <x:v>17504</x:v>
      </x:c>
      <x:c r="F625" s="8" t="n">
        <x:v>301</x:v>
      </x:c>
      <x:c r="G625" s="8" t="n">
        <x:v>301178</x:v>
      </x:c>
      <x:c r="H625" s="8" t="n">
        <x:v>67</x:v>
      </x:c>
      <x:c r="I625" s="8" t="n">
        <x:v>0</x:v>
      </x:c>
      <x:c r="J625" s="8" t="n">
        <x:v>672</x:v>
      </x:c>
      <x:c r="K625" s="8" t="n">
        <x:v>2554</x:v>
      </x:c>
      <x:c r="L625" s="1" t="str">
        <x:v>Нет</x:v>
      </x:c>
      <x:c r="M625" s="1" t="n">
        <x:v>747633</x:v>
      </x:c>
    </x:row>
    <x:row r="626">
      <x:c r="A626" s="1" t="str">
        <x:v>237304565</x:v>
      </x:c>
      <x:c r="B626" s="1" t="str">
        <x:v>hudiprint/Movements-115/милка</x:v>
      </x:c>
      <x:c r="C626" s="1" t="str">
        <x:v>Худи</x:v>
      </x:c>
      <x:c r="D626" s="9" t="n">
        <x:v>9.7</x:v>
      </x:c>
      <x:c r="E626" s="8" t="n">
        <x:v>26033</x:v>
      </x:c>
      <x:c r="F626" s="8" t="n">
        <x:v>283</x:v>
      </x:c>
      <x:c r="G626" s="8" t="n">
        <x:v>301109</x:v>
      </x:c>
      <x:c r="H626" s="8" t="n">
        <x:v>66</x:v>
      </x:c>
      <x:c r="I626" s="8" t="n">
        <x:v>0</x:v>
      </x:c>
      <x:c r="J626" s="8" t="n">
        <x:v>731</x:v>
      </x:c>
      <x:c r="K626" s="8" t="n">
        <x:v>2424</x:v>
      </x:c>
      <x:c r="L626" s="1" t="str">
        <x:v>Нет</x:v>
      </x:c>
      <x:c r="M626" s="1" t="n">
        <x:v>901526</x:v>
      </x:c>
    </x:row>
    <x:row r="627">
      <x:c r="A627" s="1" t="str">
        <x:v>332719589</x:v>
      </x:c>
      <x:c r="B627" s="1" t="str">
        <x:v>vshirt3K-99/какао</x:v>
      </x:c>
      <x:c r="C627" s="1" t="str">
        <x:v>Футболки</x:v>
      </x:c>
      <x:c r="D627" s="9" t="n">
        <x:v>8.2</x:v>
      </x:c>
      <x:c r="E627" s="8" t="n">
        <x:v>66823</x:v>
      </x:c>
      <x:c r="F627" s="8" t="n">
        <x:v>907</x:v>
      </x:c>
      <x:c r="G627" s="8" t="n">
        <x:v>299811</x:v>
      </x:c>
      <x:c r="H627" s="8" t="n">
        <x:v>185</x:v>
      </x:c>
      <x:c r="I627" s="8" t="n">
        <x:v>0</x:v>
      </x:c>
      <x:c r="J627" s="8" t="n">
        <x:v>0</x:v>
      </x:c>
      <x:c r="K627" s="8" t="n">
        <x:v>706</x:v>
      </x:c>
      <x:c r="L627" s="1" t="str">
        <x:v>Нет</x:v>
      </x:c>
      <x:c r="M627" s="1" t="n">
        <x:v>0</x:v>
      </x:c>
    </x:row>
    <x:row r="628">
      <x:c r="A628" s="1" t="str">
        <x:v>300270091</x:v>
      </x:c>
      <x:c r="B628" s="1" t="str">
        <x:v>svitzip3P-S-5/дымка</x:v>
      </x:c>
      <x:c r="C628" s="1" t="str">
        <x:v>Свитшоты</x:v>
      </x:c>
      <x:c r="D628" s="9" t="n">
        <x:v>8.7</x:v>
      </x:c>
      <x:c r="E628" s="8" t="n">
        <x:v>38447</x:v>
      </x:c>
      <x:c r="F628" s="8" t="n">
        <x:v>370</x:v>
      </x:c>
      <x:c r="G628" s="8" t="n">
        <x:v>298146</x:v>
      </x:c>
      <x:c r="H628" s="8" t="n">
        <x:v>63</x:v>
      </x:c>
      <x:c r="I628" s="8" t="n">
        <x:v>0</x:v>
      </x:c>
      <x:c r="J628" s="8" t="n">
        <x:v>198</x:v>
      </x:c>
      <x:c r="K628" s="8" t="n">
        <x:v>2692</x:v>
      </x:c>
      <x:c r="L628" s="1" t="str">
        <x:v>Нет</x:v>
      </x:c>
      <x:c r="M628" s="1" t="n">
        <x:v>196100</x:v>
      </x:c>
    </x:row>
    <x:row r="629">
      <x:c r="A629" s="1" t="str">
        <x:v>333104129</x:v>
      </x:c>
      <x:c r="B629" s="1" t="str">
        <x:v>topbando/бордовый</x:v>
      </x:c>
      <x:c r="C629" s="1" t="str">
        <x:v>Топы</x:v>
      </x:c>
      <x:c r="D629" s="9" t="n">
        <x:v>8.9</x:v>
      </x:c>
      <x:c r="E629" s="8" t="n">
        <x:v>34280</x:v>
      </x:c>
      <x:c r="F629" s="8" t="n">
        <x:v>1080</x:v>
      </x:c>
      <x:c r="G629" s="8" t="n">
        <x:v>296768</x:v>
      </x:c>
      <x:c r="H629" s="8" t="n">
        <x:v>460</x:v>
      </x:c>
      <x:c r="I629" s="8" t="n">
        <x:v>0</x:v>
      </x:c>
      <x:c r="J629" s="8" t="n">
        <x:v>0</x:v>
      </x:c>
      <x:c r="K629" s="8" t="n">
        <x:v>526</x:v>
      </x:c>
      <x:c r="L629" s="1" t="str">
        <x:v>Нет</x:v>
      </x:c>
      <x:c r="M629" s="1" t="n">
        <x:v>0</x:v>
      </x:c>
    </x:row>
    <x:row r="630">
      <x:c r="A630" s="1" t="str">
        <x:v>264475406</x:v>
      </x:c>
      <x:c r="B630" s="1" t="str">
        <x:v>brukipetl/бордовый</x:v>
      </x:c>
      <x:c r="C630" s="1" t="str">
        <x:v>Брюки</x:v>
      </x:c>
      <x:c r="D630" s="9" t="n">
        <x:v>8.7</x:v>
      </x:c>
      <x:c r="E630" s="8" t="n">
        <x:v>21389</x:v>
      </x:c>
      <x:c r="F630" s="8" t="n">
        <x:v>433</x:v>
      </x:c>
      <x:c r="G630" s="8" t="n">
        <x:v>296758</x:v>
      </x:c>
      <x:c r="H630" s="8" t="n">
        <x:v>173</x:v>
      </x:c>
      <x:c r="I630" s="8" t="n">
        <x:v>0</x:v>
      </x:c>
      <x:c r="J630" s="8" t="n">
        <x:v>745</x:v>
      </x:c>
      <x:c r="K630" s="8" t="n">
        <x:v>2370</x:v>
      </x:c>
      <x:c r="L630" s="1" t="str">
        <x:v>Нет</x:v>
      </x:c>
      <x:c r="M630" s="1" t="n">
        <x:v>521136</x:v>
      </x:c>
    </x:row>
    <x:row r="631">
      <x:c r="A631" s="1" t="str">
        <x:v>239852084</x:v>
      </x:c>
      <x:c r="B631" s="1" t="str">
        <x:v>svitshotrukpetl/молочный</x:v>
      </x:c>
      <x:c r="C631" s="1" t="str">
        <x:v>Свитшоты</x:v>
      </x:c>
      <x:c r="D631" s="9" t="n">
        <x:v>9.7</x:v>
      </x:c>
      <x:c r="E631" s="8" t="n">
        <x:v>18481</x:v>
      </x:c>
      <x:c r="F631" s="8" t="n">
        <x:v>343</x:v>
      </x:c>
      <x:c r="G631" s="8" t="n">
        <x:v>295959</x:v>
      </x:c>
      <x:c r="H631" s="8" t="n">
        <x:v>29</x:v>
      </x:c>
      <x:c r="I631" s="8" t="n">
        <x:v>0</x:v>
      </x:c>
      <x:c r="J631" s="8" t="n">
        <x:v>563</x:v>
      </x:c>
      <x:c r="K631" s="8" t="n">
        <x:v>2214</x:v>
      </x:c>
      <x:c r="L631" s="1" t="str">
        <x:v>Нет</x:v>
      </x:c>
      <x:c r="M631" s="1" t="n">
        <x:v>445681</x:v>
      </x:c>
    </x:row>
    <x:row r="632">
      <x:c r="A632" s="1" t="str">
        <x:v>234287036</x:v>
      </x:c>
      <x:c r="B632" s="1" t="str">
        <x:v>svitshotpetl/графит</x:v>
      </x:c>
      <x:c r="C632" s="1" t="str">
        <x:v>Свитшоты</x:v>
      </x:c>
      <x:c r="D632" s="9" t="n">
        <x:v>8.7</x:v>
      </x:c>
      <x:c r="E632" s="8" t="n">
        <x:v>36626</x:v>
      </x:c>
      <x:c r="F632" s="8" t="n">
        <x:v>414</x:v>
      </x:c>
      <x:c r="G632" s="8" t="n">
        <x:v>294453</x:v>
      </x:c>
      <x:c r="H632" s="8" t="n">
        <x:v>71</x:v>
      </x:c>
      <x:c r="I632" s="8" t="n">
        <x:v>0</x:v>
      </x:c>
      <x:c r="J632" s="8" t="n">
        <x:v>296</x:v>
      </x:c>
      <x:c r="K632" s="8" t="n">
        <x:v>2027</x:v>
      </x:c>
      <x:c r="L632" s="1" t="str">
        <x:v>Нет</x:v>
      </x:c>
      <x:c r="M632" s="1" t="n">
        <x:v>212394</x:v>
      </x:c>
    </x:row>
    <x:row r="633">
      <x:c r="A633" s="1" t="str">
        <x:v>235988741</x:v>
      </x:c>
      <x:c r="B633" s="1" t="str">
        <x:v>brukipetl/серый</x:v>
      </x:c>
      <x:c r="C633" s="1" t="str">
        <x:v>Брюки</x:v>
      </x:c>
      <x:c r="D633" s="9" t="n">
        <x:v>8.7</x:v>
      </x:c>
      <x:c r="E633" s="8" t="n">
        <x:v>28896</x:v>
      </x:c>
      <x:c r="F633" s="8" t="n">
        <x:v>458</x:v>
      </x:c>
      <x:c r="G633" s="8" t="n">
        <x:v>294242</x:v>
      </x:c>
      <x:c r="H633" s="8" t="n">
        <x:v>79</x:v>
      </x:c>
      <x:c r="I633" s="8" t="n">
        <x:v>0</x:v>
      </x:c>
      <x:c r="J633" s="8" t="n">
        <x:v>268</x:v>
      </x:c>
      <x:c r="K633" s="8" t="n">
        <x:v>2174</x:v>
      </x:c>
      <x:c r="L633" s="1" t="str">
        <x:v>Нет</x:v>
      </x:c>
      <x:c r="M633" s="1" t="n">
        <x:v>185741</x:v>
      </x:c>
    </x:row>
    <x:row r="634">
      <x:c r="A634" s="1" t="str">
        <x:v>273880960</x:v>
      </x:c>
      <x:c r="B634" s="1" t="str">
        <x:v>svitshotover/светло-розовый</x:v>
      </x:c>
      <x:c r="C634" s="1" t="str">
        <x:v>Свитшоты</x:v>
      </x:c>
      <x:c r="D634" s="9" t="n">
        <x:v>7.7</x:v>
      </x:c>
      <x:c r="E634" s="8" t="n">
        <x:v>26407</x:v>
      </x:c>
      <x:c r="F634" s="8" t="n">
        <x:v>397</x:v>
      </x:c>
      <x:c r="G634" s="8" t="n">
        <x:v>293952</x:v>
      </x:c>
      <x:c r="H634" s="8" t="n">
        <x:v>241</x:v>
      </x:c>
      <x:c r="I634" s="8" t="n">
        <x:v>0</x:v>
      </x:c>
      <x:c r="J634" s="8" t="n">
        <x:v>393</x:v>
      </x:c>
      <x:c r="K634" s="8" t="n">
        <x:v>1987</x:v>
      </x:c>
      <x:c r="L634" s="1" t="str">
        <x:v>Нет</x:v>
      </x:c>
      <x:c r="M634" s="1" t="n">
        <x:v>328407</x:v>
      </x:c>
    </x:row>
    <x:row r="635">
      <x:c r="A635" s="1" t="str">
        <x:v>193100143</x:v>
      </x:c>
      <x:c r="B635" s="1" t="str">
        <x:v>svitshotzip1/черный</x:v>
      </x:c>
      <x:c r="C635" s="1" t="str">
        <x:v>Свитшоты</x:v>
      </x:c>
      <x:c r="D635" s="9" t="n">
        <x:v>9.7</x:v>
      </x:c>
      <x:c r="E635" s="8" t="n">
        <x:v>18005</x:v>
      </x:c>
      <x:c r="F635" s="8" t="n">
        <x:v>336</x:v>
      </x:c>
      <x:c r="G635" s="8" t="n">
        <x:v>293716</x:v>
      </x:c>
      <x:c r="H635" s="8" t="n">
        <x:v>148</x:v>
      </x:c>
      <x:c r="I635" s="8" t="n">
        <x:v>0</x:v>
      </x:c>
      <x:c r="J635" s="8" t="n">
        <x:v>548</x:v>
      </x:c>
      <x:c r="K635" s="8" t="n">
        <x:v>2677</x:v>
      </x:c>
      <x:c r="L635" s="1" t="str">
        <x:v>Нет</x:v>
      </x:c>
      <x:c r="M635" s="1" t="n">
        <x:v>489554</x:v>
      </x:c>
    </x:row>
    <x:row r="636">
      <x:c r="A636" s="1" t="str">
        <x:v>165788817</x:v>
      </x:c>
      <x:c r="B636" s="1" t="str">
        <x:v>hudi/красный</x:v>
      </x:c>
      <x:c r="C636" s="1" t="str">
        <x:v>Худи</x:v>
      </x:c>
      <x:c r="D636" s="9" t="n">
        <x:v>9.7</x:v>
      </x:c>
      <x:c r="E636" s="8" t="n">
        <x:v>9956</x:v>
      </x:c>
      <x:c r="F636" s="8" t="n">
        <x:v>338</x:v>
      </x:c>
      <x:c r="G636" s="8" t="n">
        <x:v>293525</x:v>
      </x:c>
      <x:c r="H636" s="8" t="n">
        <x:v>3</x:v>
      </x:c>
      <x:c r="I636" s="8" t="n">
        <x:v>0</x:v>
      </x:c>
      <x:c r="J636" s="8" t="n">
        <x:v>379</x:v>
      </x:c>
      <x:c r="K636" s="8" t="n">
        <x:v>2621</x:v>
      </x:c>
      <x:c r="L636" s="1" t="str">
        <x:v>Нет</x:v>
      </x:c>
      <x:c r="M636" s="1" t="n">
        <x:v>331488</x:v>
      </x:c>
    </x:row>
    <x:row r="637">
      <x:c r="A637" s="1" t="str">
        <x:v>320414104</x:v>
      </x:c>
      <x:c r="B637" s="1" t="str">
        <x:v>svitfix3F-77/темно-серый</x:v>
      </x:c>
      <x:c r="C637" s="1" t="str">
        <x:v>Свитшоты</x:v>
      </x:c>
      <x:c r="D637" s="9" t="n">
        <x:v>8.7</x:v>
      </x:c>
      <x:c r="E637" s="8" t="n">
        <x:v>29315</x:v>
      </x:c>
      <x:c r="F637" s="8" t="n">
        <x:v>336</x:v>
      </x:c>
      <x:c r="G637" s="8" t="n">
        <x:v>293257</x:v>
      </x:c>
      <x:c r="H637" s="8" t="n">
        <x:v>13</x:v>
      </x:c>
      <x:c r="I637" s="8" t="n">
        <x:v>0</x:v>
      </x:c>
      <x:c r="J637" s="8" t="n">
        <x:v>412</x:v>
      </x:c>
      <x:c r="K637" s="8" t="n">
        <x:v>2155</x:v>
      </x:c>
      <x:c r="L637" s="1" t="str">
        <x:v>Нет</x:v>
      </x:c>
      <x:c r="M637" s="1" t="n">
        <x:v>337281</x:v>
      </x:c>
    </x:row>
    <x:row r="638">
      <x:c r="A638" s="1" t="str">
        <x:v>226527734</x:v>
      </x:c>
      <x:c r="B638" s="1" t="str">
        <x:v>futbolkaprint/TheMoment-141/молочный</x:v>
      </x:c>
      <x:c r="C638" s="1" t="str">
        <x:v>Футболки</x:v>
      </x:c>
      <x:c r="D638" s="9" t="n">
        <x:v>9.7</x:v>
      </x:c>
      <x:c r="E638" s="8" t="n">
        <x:v>36644</x:v>
      </x:c>
      <x:c r="F638" s="8" t="n">
        <x:v>390</x:v>
      </x:c>
      <x:c r="G638" s="8" t="n">
        <x:v>292458</x:v>
      </x:c>
      <x:c r="H638" s="8" t="n">
        <x:v>483</x:v>
      </x:c>
      <x:c r="I638" s="8" t="n">
        <x:v>0</x:v>
      </x:c>
      <x:c r="J638" s="8" t="n">
        <x:v>1134</x:v>
      </x:c>
      <x:c r="K638" s="8" t="n">
        <x:v>1249</x:v>
      </x:c>
      <x:c r="L638" s="1" t="str">
        <x:v>Нет</x:v>
      </x:c>
      <x:c r="M638" s="1" t="n">
        <x:v>834173</x:v>
      </x:c>
    </x:row>
    <x:row r="639">
      <x:c r="A639" s="1" t="str">
        <x:v>330860185</x:v>
      </x:c>
      <x:c r="B639" s="1" t="str">
        <x:v>kulirkamanprint/Create-280/коричневый</x:v>
      </x:c>
      <x:c r="C639" s="1" t="str">
        <x:v>Футболки</x:v>
      </x:c>
      <x:c r="D639" s="9" t="n">
        <x:v>9.7</x:v>
      </x:c>
      <x:c r="E639" s="8" t="n">
        <x:v>36053</x:v>
      </x:c>
      <x:c r="F639" s="8" t="n">
        <x:v>634</x:v>
      </x:c>
      <x:c r="G639" s="8" t="n">
        <x:v>290665</x:v>
      </x:c>
      <x:c r="H639" s="8" t="n">
        <x:v>42</x:v>
      </x:c>
      <x:c r="I639" s="8" t="n">
        <x:v>0</x:v>
      </x:c>
      <x:c r="J639" s="8" t="n">
        <x:v>0</x:v>
      </x:c>
      <x:c r="K639" s="8" t="n">
        <x:v>1245</x:v>
      </x:c>
      <x:c r="L639" s="1" t="str">
        <x:v>Нет</x:v>
      </x:c>
      <x:c r="M639" s="1" t="n">
        <x:v>0</x:v>
      </x:c>
    </x:row>
    <x:row r="640">
      <x:c r="A640" s="1" t="str">
        <x:v>245583555</x:v>
      </x:c>
      <x:c r="B640" s="1" t="str">
        <x:v>hudiprint/Never-155/светло-розовый</x:v>
      </x:c>
      <x:c r="C640" s="1" t="str">
        <x:v>Худи</x:v>
      </x:c>
      <x:c r="D640" s="9" t="n">
        <x:v>8.7</x:v>
      </x:c>
      <x:c r="E640" s="8" t="n">
        <x:v>35229</x:v>
      </x:c>
      <x:c r="F640" s="8" t="n">
        <x:v>268</x:v>
      </x:c>
      <x:c r="G640" s="8" t="n">
        <x:v>290627</x:v>
      </x:c>
      <x:c r="H640" s="8" t="n">
        <x:v>3</x:v>
      </x:c>
      <x:c r="I640" s="8" t="n">
        <x:v>0</x:v>
      </x:c>
      <x:c r="J640" s="8" t="n">
        <x:v>451</x:v>
      </x:c>
      <x:c r="K640" s="8" t="n">
        <x:v>2415</x:v>
      </x:c>
      <x:c r="L640" s="1" t="str">
        <x:v>Нет</x:v>
      </x:c>
      <x:c r="M640" s="1" t="n">
        <x:v>457826</x:v>
      </x:c>
    </x:row>
    <x:row r="641">
      <x:c r="A641" s="1" t="str">
        <x:v>87045385</x:v>
      </x:c>
      <x:c r="B641" s="1" t="str">
        <x:v>kroptop/мятапыльная</x:v>
      </x:c>
      <x:c r="C641" s="1" t="str">
        <x:v>Футболки</x:v>
      </x:c>
      <x:c r="D641" s="9" t="n">
        <x:v>8.7</x:v>
      </x:c>
      <x:c r="E641" s="8" t="n">
        <x:v>51888</x:v>
      </x:c>
      <x:c r="F641" s="8" t="n">
        <x:v>813</x:v>
      </x:c>
      <x:c r="G641" s="8" t="n">
        <x:v>290564</x:v>
      </x:c>
      <x:c r="H641" s="8" t="n">
        <x:v>908</x:v>
      </x:c>
      <x:c r="I641" s="8" t="n">
        <x:v>0</x:v>
      </x:c>
      <x:c r="J641" s="8" t="n">
        <x:v>626</x:v>
      </x:c>
      <x:c r="K641" s="8" t="n">
        <x:v>811</x:v>
      </x:c>
      <x:c r="L641" s="1" t="str">
        <x:v>Нет</x:v>
      </x:c>
      <x:c r="M641" s="1" t="n">
        <x:v>250016</x:v>
      </x:c>
    </x:row>
    <x:row r="642">
      <x:c r="A642" s="1" t="str">
        <x:v>311462395</x:v>
      </x:c>
      <x:c r="B642" s="1" t="str">
        <x:v>brukimanpetl/песочный</x:v>
      </x:c>
      <x:c r="C642" s="1" t="str">
        <x:v>Брюки</x:v>
      </x:c>
      <x:c r="D642" s="9" t="n">
        <x:v>8.7</x:v>
      </x:c>
      <x:c r="E642" s="8" t="n">
        <x:v>14700</x:v>
      </x:c>
      <x:c r="F642" s="8" t="n">
        <x:v>353</x:v>
      </x:c>
      <x:c r="G642" s="8" t="n">
        <x:v>289690</x:v>
      </x:c>
      <x:c r="H642" s="8" t="n">
        <x:v>268</x:v>
      </x:c>
      <x:c r="I642" s="8" t="n">
        <x:v>0</x:v>
      </x:c>
      <x:c r="J642" s="8" t="n">
        <x:v>274</x:v>
      </x:c>
      <x:c r="K642" s="8" t="n">
        <x:v>2272</x:v>
      </x:c>
      <x:c r="L642" s="1" t="str">
        <x:v>Нет</x:v>
      </x:c>
      <x:c r="M642" s="1" t="n">
        <x:v>207002</x:v>
      </x:c>
    </x:row>
    <x:row r="643">
      <x:c r="A643" s="1" t="str">
        <x:v>237301001</x:v>
      </x:c>
      <x:c r="B643" s="1" t="str">
        <x:v>longoverprint/Goodvibes-50/молочный</x:v>
      </x:c>
      <x:c r="C643" s="1" t="str">
        <x:v>Лонгсливы</x:v>
      </x:c>
      <x:c r="D643" s="9" t="n">
        <x:v>9.7</x:v>
      </x:c>
      <x:c r="E643" s="8" t="n">
        <x:v>45315</x:v>
      </x:c>
      <x:c r="F643" s="8" t="n">
        <x:v>542</x:v>
      </x:c>
      <x:c r="G643" s="8" t="n">
        <x:v>288885</x:v>
      </x:c>
      <x:c r="H643" s="8" t="n">
        <x:v>232</x:v>
      </x:c>
      <x:c r="I643" s="8" t="n">
        <x:v>0</x:v>
      </x:c>
      <x:c r="J643" s="8" t="n">
        <x:v>1210</x:v>
      </x:c>
      <x:c r="K643" s="8" t="n">
        <x:v>1076</x:v>
      </x:c>
      <x:c r="L643" s="1" t="str">
        <x:v>Нет</x:v>
      </x:c>
      <x:c r="M643" s="1" t="n">
        <x:v>844136</x:v>
      </x:c>
    </x:row>
    <x:row r="644">
      <x:c r="A644" s="1" t="str">
        <x:v>19347031</x:v>
      </x:c>
      <x:c r="B644" s="1" t="str">
        <x:v>bruki/графит</x:v>
      </x:c>
      <x:c r="C644" s="1" t="str">
        <x:v>Брюки</x:v>
      </x:c>
      <x:c r="D644" s="9" t="n">
        <x:v>7.7</x:v>
      </x:c>
      <x:c r="E644" s="8" t="n">
        <x:v>21312</x:v>
      </x:c>
      <x:c r="F644" s="8" t="n">
        <x:v>428</x:v>
      </x:c>
      <x:c r="G644" s="8" t="n">
        <x:v>288259</x:v>
      </x:c>
      <x:c r="H644" s="8" t="n">
        <x:v>908</x:v>
      </x:c>
      <x:c r="I644" s="8" t="n">
        <x:v>0</x:v>
      </x:c>
      <x:c r="J644" s="8" t="n">
        <x:v>595</x:v>
      </x:c>
      <x:c r="K644" s="8" t="n">
        <x:v>2105</x:v>
      </x:c>
      <x:c r="L644" s="1" t="str">
        <x:v>Нет</x:v>
      </x:c>
      <x:c r="M644" s="1" t="n">
        <x:v>473471</x:v>
      </x:c>
    </x:row>
    <x:row r="645">
      <x:c r="A645" s="1" t="str">
        <x:v>171386732</x:v>
      </x:c>
      <x:c r="B645" s="1" t="str">
        <x:v>svitshotman/белый</x:v>
      </x:c>
      <x:c r="C645" s="1" t="str">
        <x:v>Свитшоты</x:v>
      </x:c>
      <x:c r="D645" s="9" t="n">
        <x:v>7.7</x:v>
      </x:c>
      <x:c r="E645" s="8" t="n">
        <x:v>10918</x:v>
      </x:c>
      <x:c r="F645" s="8" t="n">
        <x:v>356</x:v>
      </x:c>
      <x:c r="G645" s="8" t="n">
        <x:v>288082</x:v>
      </x:c>
      <x:c r="H645" s="8" t="n">
        <x:v>149</x:v>
      </x:c>
      <x:c r="I645" s="8" t="n">
        <x:v>0</x:v>
      </x:c>
      <x:c r="J645" s="8" t="n">
        <x:v>424</x:v>
      </x:c>
      <x:c r="K645" s="8" t="n">
        <x:v>2103</x:v>
      </x:c>
      <x:c r="L645" s="1" t="str">
        <x:v>Нет</x:v>
      </x:c>
      <x:c r="M645" s="1" t="n">
        <x:v>438424</x:v>
      </x:c>
    </x:row>
    <x:row r="646">
      <x:c r="A646" s="1" t="str">
        <x:v>210618391</x:v>
      </x:c>
      <x:c r="B646" s="1" t="str">
        <x:v>kostkulirkaover/дымка</x:v>
      </x:c>
      <x:c r="C646" s="1" t="str">
        <x:v>Костюмы</x:v>
      </x:c>
      <x:c r="D646" s="9" t="n">
        <x:v>8.7</x:v>
      </x:c>
      <x:c r="E646" s="8" t="n">
        <x:v>40840</x:v>
      </x:c>
      <x:c r="F646" s="8" t="n">
        <x:v>378</x:v>
      </x:c>
      <x:c r="G646" s="8" t="n">
        <x:v>287714</x:v>
      </x:c>
      <x:c r="H646" s="8" t="n">
        <x:v>208</x:v>
      </x:c>
      <x:c r="I646" s="8" t="n">
        <x:v>0</x:v>
      </x:c>
      <x:c r="J646" s="8" t="n">
        <x:v>46</x:v>
      </x:c>
      <x:c r="K646" s="8" t="n">
        <x:v>1806</x:v>
      </x:c>
      <x:c r="L646" s="1" t="str">
        <x:v>Нет</x:v>
      </x:c>
      <x:c r="M646" s="1" t="n">
        <x:v>33150</x:v>
      </x:c>
    </x:row>
    <x:row r="647">
      <x:c r="A647" s="1" t="str">
        <x:v>197226291</x:v>
      </x:c>
      <x:c r="B647" s="1" t="str">
        <x:v>hudiprint/B_YN-48/черный</x:v>
      </x:c>
      <x:c r="C647" s="1" t="str">
        <x:v>Худи</x:v>
      </x:c>
      <x:c r="D647" s="9" t="n">
        <x:v>9.7</x:v>
      </x:c>
      <x:c r="E647" s="8" t="n">
        <x:v>25112</x:v>
      </x:c>
      <x:c r="F647" s="8" t="n">
        <x:v>296</x:v>
      </x:c>
      <x:c r="G647" s="8" t="n">
        <x:v>287315</x:v>
      </x:c>
      <x:c r="H647" s="8" t="n">
        <x:v>338</x:v>
      </x:c>
      <x:c r="I647" s="8" t="n">
        <x:v>0</x:v>
      </x:c>
      <x:c r="J647" s="8" t="n">
        <x:v>279</x:v>
      </x:c>
      <x:c r="K647" s="8" t="n">
        <x:v>2445</x:v>
      </x:c>
      <x:c r="L647" s="1" t="str">
        <x:v>Нет</x:v>
      </x:c>
      <x:c r="M647" s="1" t="n">
        <x:v>336002</x:v>
      </x:c>
    </x:row>
    <x:row r="648">
      <x:c r="A648" s="1" t="str">
        <x:v>343238682</x:v>
      </x:c>
      <x:c r="B648" s="1" t="str">
        <x:v>sweatervyaz/светло-розовый</x:v>
      </x:c>
      <x:c r="C648" s="1" t="str">
        <x:v>Свитеры</x:v>
      </x:c>
      <x:c r="D648" s="9" t="n">
        <x:v>8.7</x:v>
      </x:c>
      <x:c r="E648" s="8" t="n">
        <x:v>54852</x:v>
      </x:c>
      <x:c r="F648" s="8" t="n">
        <x:v>425</x:v>
      </x:c>
      <x:c r="G648" s="8" t="n">
        <x:v>285897</x:v>
      </x:c>
      <x:c r="H648" s="8" t="n">
        <x:v>3</x:v>
      </x:c>
      <x:c r="I648" s="8" t="n">
        <x:v>0</x:v>
      </x:c>
      <x:c r="J648" s="8" t="n">
        <x:v>128</x:v>
      </x:c>
      <x:c r="K648" s="8" t="n">
        <x:v>2395</x:v>
      </x:c>
      <x:c r="L648" s="1" t="str">
        <x:v>Нет</x:v>
      </x:c>
      <x:c r="M648" s="1" t="n">
        <x:v>93600</x:v>
      </x:c>
    </x:row>
    <x:row r="649">
      <x:c r="A649" s="1" t="str">
        <x:v>333323573</x:v>
      </x:c>
      <x:c r="B649" s="1" t="str">
        <x:v>hudicroppetl/графит</x:v>
      </x:c>
      <x:c r="C649" s="1" t="str">
        <x:v>Худи</x:v>
      </x:c>
      <x:c r="D649" s="9" t="n">
        <x:v>8.7</x:v>
      </x:c>
      <x:c r="E649" s="8" t="n">
        <x:v>23266</x:v>
      </x:c>
      <x:c r="F649" s="8" t="n">
        <x:v>295</x:v>
      </x:c>
      <x:c r="G649" s="8" t="n">
        <x:v>285196</x:v>
      </x:c>
      <x:c r="H649" s="8" t="n">
        <x:v>63</x:v>
      </x:c>
      <x:c r="I649" s="8" t="n">
        <x:v>0</x:v>
      </x:c>
      <x:c r="J649" s="8" t="n">
        <x:v>43</x:v>
      </x:c>
      <x:c r="K649" s="8" t="n">
        <x:v>2907</x:v>
      </x:c>
      <x:c r="L649" s="1" t="str">
        <x:v>Нет</x:v>
      </x:c>
      <x:c r="M649" s="1" t="n">
        <x:v>26100</x:v>
      </x:c>
    </x:row>
    <x:row r="650">
      <x:c r="A650" s="1" t="str">
        <x:v>193100113</x:v>
      </x:c>
      <x:c r="B650" s="1" t="str">
        <x:v>svitshotzip1/песочный</x:v>
      </x:c>
      <x:c r="C650" s="1" t="str">
        <x:v>Свитшоты</x:v>
      </x:c>
      <x:c r="D650" s="9" t="n">
        <x:v>9.7</x:v>
      </x:c>
      <x:c r="E650" s="8" t="n">
        <x:v>35188</x:v>
      </x:c>
      <x:c r="F650" s="8" t="n">
        <x:v>413</x:v>
      </x:c>
      <x:c r="G650" s="8" t="n">
        <x:v>284881</x:v>
      </x:c>
      <x:c r="H650" s="8" t="n">
        <x:v>242</x:v>
      </x:c>
      <x:c r="I650" s="8" t="n">
        <x:v>0</x:v>
      </x:c>
      <x:c r="J650" s="8" t="n">
        <x:v>375</x:v>
      </x:c>
      <x:c r="K650" s="8" t="n">
        <x:v>2374</x:v>
      </x:c>
      <x:c r="L650" s="1" t="str">
        <x:v>Нет</x:v>
      </x:c>
      <x:c r="M650" s="1" t="n">
        <x:v>322330</x:v>
      </x:c>
    </x:row>
    <x:row r="651">
      <x:c r="A651" s="1" t="str">
        <x:v>165911184</x:v>
      </x:c>
      <x:c r="B651" s="1" t="str">
        <x:v>longman/бордовый</x:v>
      </x:c>
      <x:c r="C651" s="1" t="str">
        <x:v>Лонгсливы</x:v>
      </x:c>
      <x:c r="D651" s="9" t="n">
        <x:v>5.2</x:v>
      </x:c>
      <x:c r="E651" s="8" t="n">
        <x:v>24410</x:v>
      </x:c>
      <x:c r="F651" s="8" t="n">
        <x:v>555</x:v>
      </x:c>
      <x:c r="G651" s="8" t="n">
        <x:v>284852</x:v>
      </x:c>
      <x:c r="H651" s="8" t="n">
        <x:v>1620</x:v>
      </x:c>
      <x:c r="I651" s="8" t="n">
        <x:v>0</x:v>
      </x:c>
      <x:c r="J651" s="8" t="n">
        <x:v>406</x:v>
      </x:c>
      <x:c r="K651" s="8" t="n">
        <x:v>983</x:v>
      </x:c>
      <x:c r="L651" s="1" t="str">
        <x:v>Нет</x:v>
      </x:c>
      <x:c r="M651" s="1" t="n">
        <x:v>228046</x:v>
      </x:c>
    </x:row>
    <x:row r="652">
      <x:c r="A652" s="1" t="str">
        <x:v>321695811</x:v>
      </x:c>
      <x:c r="B652" s="1" t="str">
        <x:v>polowoman3K-89/какао</x:v>
      </x:c>
      <x:c r="C652" s="1" t="str">
        <x:v>Футболки</x:v>
      </x:c>
      <x:c r="D652" s="9" t="n">
        <x:v>8.7</x:v>
      </x:c>
      <x:c r="E652" s="8" t="n">
        <x:v>75955</x:v>
      </x:c>
      <x:c r="F652" s="8" t="n">
        <x:v>632</x:v>
      </x:c>
      <x:c r="G652" s="8" t="n">
        <x:v>284595</x:v>
      </x:c>
      <x:c r="H652" s="8" t="n">
        <x:v>3</x:v>
      </x:c>
      <x:c r="I652" s="8" t="n">
        <x:v>0</x:v>
      </x:c>
      <x:c r="J652" s="8" t="n">
        <x:v>33</x:v>
      </x:c>
      <x:c r="K652" s="8" t="n">
        <x:v>1160</x:v>
      </x:c>
      <x:c r="L652" s="1" t="str">
        <x:v>Нет</x:v>
      </x:c>
      <x:c r="M652" s="1" t="n">
        <x:v>18241</x:v>
      </x:c>
    </x:row>
    <x:row r="653">
      <x:c r="A653" s="1" t="str">
        <x:v>233262516</x:v>
      </x:c>
      <x:c r="B653" s="1" t="str">
        <x:v>2Nshortyman/кофейный</x:v>
      </x:c>
      <x:c r="C653" s="1" t="str">
        <x:v>Шорты</x:v>
      </x:c>
      <x:c r="D653" s="9" t="n">
        <x:v>8.4</x:v>
      </x:c>
      <x:c r="E653" s="8" t="n">
        <x:v>20527</x:v>
      </x:c>
      <x:c r="F653" s="8" t="n">
        <x:v>607</x:v>
      </x:c>
      <x:c r="G653" s="8" t="n">
        <x:v>283228</x:v>
      </x:c>
      <x:c r="H653" s="8" t="n">
        <x:v>0</x:v>
      </x:c>
      <x:c r="I653" s="8" t="n">
        <x:v>0</x:v>
      </x:c>
      <x:c r="J653" s="8" t="n">
        <x:v>0</x:v>
      </x:c>
      <x:c r="K653" s="8" t="n">
        <x:v>895</x:v>
      </x:c>
      <x:c r="L653" s="1" t="str">
        <x:v>Нет</x:v>
      </x:c>
      <x:c r="M653" s="1" t="n">
        <x:v>0</x:v>
      </x:c>
    </x:row>
    <x:row r="654">
      <x:c r="A654" s="1" t="str">
        <x:v>19077497</x:v>
      </x:c>
      <x:c r="B654" s="1" t="str">
        <x:v>bruki/бежевый</x:v>
      </x:c>
      <x:c r="C654" s="1" t="str">
        <x:v>Брюки</x:v>
      </x:c>
      <x:c r="D654" s="9" t="n">
        <x:v>9.7</x:v>
      </x:c>
      <x:c r="E654" s="8" t="n">
        <x:v>24339</x:v>
      </x:c>
      <x:c r="F654" s="8" t="n">
        <x:v>525</x:v>
      </x:c>
      <x:c r="G654" s="8" t="n">
        <x:v>282564</x:v>
      </x:c>
      <x:c r="H654" s="8" t="n">
        <x:v>316</x:v>
      </x:c>
      <x:c r="I654" s="8" t="n">
        <x:v>0</x:v>
      </x:c>
      <x:c r="J654" s="8" t="n">
        <x:v>749</x:v>
      </x:c>
      <x:c r="K654" s="8" t="n">
        <x:v>2248</x:v>
      </x:c>
      <x:c r="L654" s="1" t="str">
        <x:v>Нет</x:v>
      </x:c>
      <x:c r="M654" s="1" t="n">
        <x:v>593263</x:v>
      </x:c>
    </x:row>
    <x:row r="655">
      <x:c r="A655" s="1" t="str">
        <x:v>333139839</x:v>
      </x:c>
      <x:c r="B655" s="1" t="str">
        <x:v>topfutbolka/бордовый</x:v>
      </x:c>
      <x:c r="C655" s="1" t="str">
        <x:v>Топы</x:v>
      </x:c>
      <x:c r="D655" s="9" t="n">
        <x:v>9.4</x:v>
      </x:c>
      <x:c r="E655" s="8" t="n">
        <x:v>27720</x:v>
      </x:c>
      <x:c r="F655" s="8" t="n">
        <x:v>800</x:v>
      </x:c>
      <x:c r="G655" s="8" t="n">
        <x:v>281019</x:v>
      </x:c>
      <x:c r="H655" s="8" t="n">
        <x:v>171</x:v>
      </x:c>
      <x:c r="I655" s="8" t="n">
        <x:v>0</x:v>
      </x:c>
      <x:c r="J655" s="8" t="n">
        <x:v>0</x:v>
      </x:c>
      <x:c r="K655" s="8" t="n">
        <x:v>651</x:v>
      </x:c>
      <x:c r="L655" s="1" t="str">
        <x:v>Нет</x:v>
      </x:c>
      <x:c r="M655" s="1" t="n">
        <x:v>0</x:v>
      </x:c>
    </x:row>
    <x:row r="656">
      <x:c r="A656" s="1" t="str">
        <x:v>183793820</x:v>
      </x:c>
      <x:c r="B656" s="1" t="str">
        <x:v>hudiprint/68-11/песочный</x:v>
      </x:c>
      <x:c r="C656" s="1" t="str">
        <x:v>Худи</x:v>
      </x:c>
      <x:c r="D656" s="9" t="n">
        <x:v>9.7</x:v>
      </x:c>
      <x:c r="E656" s="8" t="n">
        <x:v>27098</x:v>
      </x:c>
      <x:c r="F656" s="8" t="n">
        <x:v>300</x:v>
      </x:c>
      <x:c r="G656" s="8" t="n">
        <x:v>281017</x:v>
      </x:c>
      <x:c r="H656" s="8" t="n">
        <x:v>307</x:v>
      </x:c>
      <x:c r="I656" s="8" t="n">
        <x:v>0</x:v>
      </x:c>
      <x:c r="J656" s="8" t="n">
        <x:v>430</x:v>
      </x:c>
      <x:c r="K656" s="8" t="n">
        <x:v>2233</x:v>
      </x:c>
      <x:c r="L656" s="1" t="str">
        <x:v>Нет</x:v>
      </x:c>
      <x:c r="M656" s="1" t="n">
        <x:v>426441</x:v>
      </x:c>
    </x:row>
    <x:row r="657">
      <x:c r="A657" s="1" t="str">
        <x:v>245583524</x:v>
      </x:c>
      <x:c r="B657" s="1" t="str">
        <x:v>hudiprint/TheMoment-141/молочный</x:v>
      </x:c>
      <x:c r="C657" s="1" t="str">
        <x:v>Худи</x:v>
      </x:c>
      <x:c r="D657" s="9" t="n">
        <x:v>8.7</x:v>
      </x:c>
      <x:c r="E657" s="8" t="n">
        <x:v>33343</x:v>
      </x:c>
      <x:c r="F657" s="8" t="n">
        <x:v>248</x:v>
      </x:c>
      <x:c r="G657" s="8" t="n">
        <x:v>280698</x:v>
      </x:c>
      <x:c r="H657" s="8" t="n">
        <x:v>182</x:v>
      </x:c>
      <x:c r="I657" s="8" t="n">
        <x:v>0</x:v>
      </x:c>
      <x:c r="J657" s="8" t="n">
        <x:v>694</x:v>
      </x:c>
      <x:c r="K657" s="8" t="n">
        <x:v>2462</x:v>
      </x:c>
      <x:c r="L657" s="1" t="str">
        <x:v>Нет</x:v>
      </x:c>
      <x:c r="M657" s="1" t="n">
        <x:v>835645</x:v>
      </x:c>
    </x:row>
    <x:row r="658">
      <x:c r="A658" s="1" t="str">
        <x:v>28232890</x:v>
      </x:c>
      <x:c r="B658" s="1" t="str">
        <x:v>longsliv/черный</x:v>
      </x:c>
      <x:c r="C658" s="1" t="str">
        <x:v>Лонгсливы</x:v>
      </x:c>
      <x:c r="D658" s="9" t="n">
        <x:v>9.7</x:v>
      </x:c>
      <x:c r="E658" s="8" t="n">
        <x:v>32594</x:v>
      </x:c>
      <x:c r="F658" s="8" t="n">
        <x:v>1324</x:v>
      </x:c>
      <x:c r="G658" s="8" t="n">
        <x:v>280589</x:v>
      </x:c>
      <x:c r="H658" s="8" t="n">
        <x:v>333</x:v>
      </x:c>
      <x:c r="I658" s="8" t="n">
        <x:v>0</x:v>
      </x:c>
      <x:c r="J658" s="8" t="n">
        <x:v>664</x:v>
      </x:c>
      <x:c r="K658" s="8" t="n">
        <x:v>751</x:v>
      </x:c>
      <x:c r="L658" s="1" t="str">
        <x:v>Нет</x:v>
      </x:c>
      <x:c r="M658" s="1" t="n">
        <x:v>207636</x:v>
      </x:c>
    </x:row>
    <x:row r="659">
      <x:c r="A659" s="1" t="str">
        <x:v>238775097</x:v>
      </x:c>
      <x:c r="B659" s="1" t="str">
        <x:v>futbolkaprint/MovesClub-177/белый</x:v>
      </x:c>
      <x:c r="C659" s="1" t="str">
        <x:v>Футболки</x:v>
      </x:c>
      <x:c r="D659" s="9" t="n">
        <x:v>8.7</x:v>
      </x:c>
      <x:c r="E659" s="8" t="n">
        <x:v>41191</x:v>
      </x:c>
      <x:c r="F659" s="8" t="n">
        <x:v>456</x:v>
      </x:c>
      <x:c r="G659" s="8" t="n">
        <x:v>280470</x:v>
      </x:c>
      <x:c r="H659" s="8" t="n">
        <x:v>45</x:v>
      </x:c>
      <x:c r="I659" s="8" t="n">
        <x:v>0</x:v>
      </x:c>
      <x:c r="J659" s="8" t="n">
        <x:v>861</x:v>
      </x:c>
      <x:c r="K659" s="8" t="n">
        <x:v>1275</x:v>
      </x:c>
      <x:c r="L659" s="1" t="str">
        <x:v>Нет</x:v>
      </x:c>
      <x:c r="M659" s="1" t="n">
        <x:v>501952</x:v>
      </x:c>
    </x:row>
    <x:row r="660">
      <x:c r="A660" s="1" t="str">
        <x:v>241445959</x:v>
      </x:c>
      <x:c r="B660" s="1" t="str">
        <x:v>termo/черный</x:v>
      </x:c>
      <x:c r="C660" s="1" t="str">
        <x:v>Термокомплекты</x:v>
      </x:c>
      <x:c r="D660" s="9" t="n">
        <x:v>9.2</x:v>
      </x:c>
      <x:c r="E660" s="8" t="n">
        <x:v>9834</x:v>
      </x:c>
      <x:c r="F660" s="8" t="n">
        <x:v>283</x:v>
      </x:c>
      <x:c r="G660" s="8" t="n">
        <x:v>280449</x:v>
      </x:c>
      <x:c r="H660" s="8" t="n">
        <x:v>2958</x:v>
      </x:c>
      <x:c r="I660" s="8" t="n">
        <x:v>0</x:v>
      </x:c>
      <x:c r="J660" s="8" t="n">
        <x:v>1267</x:v>
      </x:c>
      <x:c r="K660" s="8" t="n">
        <x:v>1648</x:v>
      </x:c>
      <x:c r="L660" s="1" t="str">
        <x:v>Нет</x:v>
      </x:c>
      <x:c r="M660" s="1" t="n">
        <x:v>1250287</x:v>
      </x:c>
    </x:row>
    <x:row r="661">
      <x:c r="A661" s="1" t="str">
        <x:v>251776740</x:v>
      </x:c>
      <x:c r="B661" s="1" t="str">
        <x:v>hudiprint/Forever-192/светло-розовый</x:v>
      </x:c>
      <x:c r="C661" s="1" t="str">
        <x:v>Худи</x:v>
      </x:c>
      <x:c r="D661" s="9" t="n">
        <x:v>8.7</x:v>
      </x:c>
      <x:c r="E661" s="8" t="n">
        <x:v>27872</x:v>
      </x:c>
      <x:c r="F661" s="8" t="n">
        <x:v>258</x:v>
      </x:c>
      <x:c r="G661" s="8" t="n">
        <x:v>280291</x:v>
      </x:c>
      <x:c r="H661" s="8" t="n">
        <x:v>46</x:v>
      </x:c>
      <x:c r="I661" s="8" t="n">
        <x:v>0</x:v>
      </x:c>
      <x:c r="J661" s="8" t="n">
        <x:v>401</x:v>
      </x:c>
      <x:c r="K661" s="8" t="n">
        <x:v>2781</x:v>
      </x:c>
      <x:c r="L661" s="1" t="str">
        <x:v>Нет</x:v>
      </x:c>
      <x:c r="M661" s="1" t="n">
        <x:v>428257</x:v>
      </x:c>
    </x:row>
    <x:row r="662">
      <x:c r="A662" s="1" t="str">
        <x:v>332646309</x:v>
      </x:c>
      <x:c r="B662" s="1" t="str">
        <x:v>futbolkaprint/Something-240/белый</x:v>
      </x:c>
      <x:c r="C662" s="1" t="str">
        <x:v>Футболки</x:v>
      </x:c>
      <x:c r="D662" s="9" t="n">
        <x:v>9.7</x:v>
      </x:c>
      <x:c r="E662" s="8" t="n">
        <x:v>74684</x:v>
      </x:c>
      <x:c r="F662" s="8" t="n">
        <x:v>464</x:v>
      </x:c>
      <x:c r="G662" s="8" t="n">
        <x:v>280109</x:v>
      </x:c>
      <x:c r="H662" s="8" t="n">
        <x:v>19</x:v>
      </x:c>
      <x:c r="I662" s="8" t="n">
        <x:v>0</x:v>
      </x:c>
      <x:c r="J662" s="8" t="n">
        <x:v>0</x:v>
      </x:c>
      <x:c r="K662" s="8" t="n">
        <x:v>1262</x:v>
      </x:c>
      <x:c r="L662" s="1" t="str">
        <x:v>Нет</x:v>
      </x:c>
      <x:c r="M662" s="1" t="n">
        <x:v>0</x:v>
      </x:c>
    </x:row>
    <x:row r="663">
      <x:c r="A663" s="1" t="str">
        <x:v>246363054</x:v>
      </x:c>
      <x:c r="B663" s="1" t="str">
        <x:v>tolstovkazip/бежевый</x:v>
      </x:c>
      <x:c r="C663" s="1" t="str">
        <x:v>Худи</x:v>
      </x:c>
      <x:c r="D663" s="9" t="n">
        <x:v>9.7</x:v>
      </x:c>
      <x:c r="E663" s="8" t="n">
        <x:v>22838</x:v>
      </x:c>
      <x:c r="F663" s="8" t="n">
        <x:v>252</x:v>
      </x:c>
      <x:c r="G663" s="8" t="n">
        <x:v>279662</x:v>
      </x:c>
      <x:c r="H663" s="8" t="n">
        <x:v>0</x:v>
      </x:c>
      <x:c r="I663" s="8" t="n">
        <x:v>0</x:v>
      </x:c>
      <x:c r="J663" s="8" t="n">
        <x:v>616</x:v>
      </x:c>
      <x:c r="K663" s="8" t="n">
        <x:v>2499</x:v>
      </x:c>
      <x:c r="L663" s="1" t="str">
        <x:v>Нет</x:v>
      </x:c>
      <x:c r="M663" s="1" t="n">
        <x:v>614210</x:v>
      </x:c>
    </x:row>
    <x:row r="664">
      <x:c r="A664" s="1" t="str">
        <x:v>237891025</x:v>
      </x:c>
      <x:c r="B664" s="1" t="str">
        <x:v>svitzipcroppetl/темно-серый</x:v>
      </x:c>
      <x:c r="C664" s="1" t="str">
        <x:v>Свитшоты</x:v>
      </x:c>
      <x:c r="D664" s="9" t="n">
        <x:v>8.7</x:v>
      </x:c>
      <x:c r="E664" s="8" t="n">
        <x:v>27842</x:v>
      </x:c>
      <x:c r="F664" s="8" t="n">
        <x:v>349</x:v>
      </x:c>
      <x:c r="G664" s="8" t="n">
        <x:v>278886</x:v>
      </x:c>
      <x:c r="H664" s="8" t="n">
        <x:v>144</x:v>
      </x:c>
      <x:c r="I664" s="8" t="n">
        <x:v>0</x:v>
      </x:c>
      <x:c r="J664" s="8" t="n">
        <x:v>112</x:v>
      </x:c>
      <x:c r="K664" s="8" t="n">
        <x:v>2259</x:v>
      </x:c>
      <x:c r="L664" s="1" t="str">
        <x:v>Нет</x:v>
      </x:c>
      <x:c r="M664" s="1" t="n">
        <x:v>82706</x:v>
      </x:c>
    </x:row>
    <x:row r="665">
      <x:c r="A665" s="1" t="str">
        <x:v>171386724</x:v>
      </x:c>
      <x:c r="B665" s="1" t="str">
        <x:v>svitshotman/темно-серый</x:v>
      </x:c>
      <x:c r="C665" s="1" t="str">
        <x:v>Свитшоты</x:v>
      </x:c>
      <x:c r="D665" s="9" t="n">
        <x:v>9.7</x:v>
      </x:c>
      <x:c r="E665" s="8" t="n">
        <x:v>13591</x:v>
      </x:c>
      <x:c r="F665" s="8" t="n">
        <x:v>343</x:v>
      </x:c>
      <x:c r="G665" s="8" t="n">
        <x:v>278746</x:v>
      </x:c>
      <x:c r="H665" s="8" t="n">
        <x:v>272</x:v>
      </x:c>
      <x:c r="I665" s="8" t="n">
        <x:v>0</x:v>
      </x:c>
      <x:c r="J665" s="8" t="n">
        <x:v>474</x:v>
      </x:c>
      <x:c r="K665" s="8" t="n">
        <x:v>2380</x:v>
      </x:c>
      <x:c r="L665" s="1" t="str">
        <x:v>Нет</x:v>
      </x:c>
      <x:c r="M665" s="1" t="n">
        <x:v>520441</x:v>
      </x:c>
    </x:row>
    <x:row r="666">
      <x:c r="A666" s="1" t="str">
        <x:v>262644711</x:v>
      </x:c>
      <x:c r="B666" s="1" t="str">
        <x:v>palazzoshnurok/песочный</x:v>
      </x:c>
      <x:c r="C666" s="1" t="str">
        <x:v>Брюки</x:v>
      </x:c>
      <x:c r="D666" s="9" t="n">
        <x:v>6.7</x:v>
      </x:c>
      <x:c r="E666" s="8" t="n">
        <x:v>40412</x:v>
      </x:c>
      <x:c r="F666" s="8" t="n">
        <x:v>695</x:v>
      </x:c>
      <x:c r="G666" s="8" t="n">
        <x:v>278142</x:v>
      </x:c>
      <x:c r="H666" s="8" t="n">
        <x:v>275</x:v>
      </x:c>
      <x:c r="I666" s="8" t="n">
        <x:v>0</x:v>
      </x:c>
      <x:c r="J666" s="8" t="n">
        <x:v>455</x:v>
      </x:c>
      <x:c r="K666" s="8" t="n">
        <x:v>2378</x:v>
      </x:c>
      <x:c r="L666" s="1" t="str">
        <x:v>Нет</x:v>
      </x:c>
      <x:c r="M666" s="1" t="n">
        <x:v>276668</x:v>
      </x:c>
    </x:row>
    <x:row r="667">
      <x:c r="A667" s="1" t="str">
        <x:v>321695210</x:v>
      </x:c>
      <x:c r="B667" s="1" t="str">
        <x:v>polowoman3K-89/бордовый</x:v>
      </x:c>
      <x:c r="C667" s="1" t="str">
        <x:v>Футболки</x:v>
      </x:c>
      <x:c r="D667" s="9" t="n">
        <x:v>8.7</x:v>
      </x:c>
      <x:c r="E667" s="8" t="n">
        <x:v>94482</x:v>
      </x:c>
      <x:c r="F667" s="8" t="n">
        <x:v>638</x:v>
      </x:c>
      <x:c r="G667" s="8" t="n">
        <x:v>277390</x:v>
      </x:c>
      <x:c r="H667" s="8" t="n">
        <x:v>58</x:v>
      </x:c>
      <x:c r="I667" s="8" t="n">
        <x:v>0</x:v>
      </x:c>
      <x:c r="J667" s="8" t="n">
        <x:v>0</x:v>
      </x:c>
      <x:c r="K667" s="8" t="n">
        <x:v>1158</x:v>
      </x:c>
      <x:c r="L667" s="1" t="str">
        <x:v>Нет</x:v>
      </x:c>
      <x:c r="M667" s="1" t="n">
        <x:v>0</x:v>
      </x:c>
    </x:row>
    <x:row r="668">
      <x:c r="A668" s="1" t="str">
        <x:v>289092416</x:v>
      </x:c>
      <x:c r="B668" s="1" t="str">
        <x:v>hudicropman4F-67/темно-серый</x:v>
      </x:c>
      <x:c r="C668" s="1" t="str">
        <x:v>Худи</x:v>
      </x:c>
      <x:c r="D668" s="9" t="n">
        <x:v>9.7</x:v>
      </x:c>
      <x:c r="E668" s="8" t="n">
        <x:v>19510</x:v>
      </x:c>
      <x:c r="F668" s="8" t="n">
        <x:v>370</x:v>
      </x:c>
      <x:c r="G668" s="8" t="n">
        <x:v>276992</x:v>
      </x:c>
      <x:c r="H668" s="8" t="n">
        <x:v>278</x:v>
      </x:c>
      <x:c r="I668" s="8" t="n">
        <x:v>0</x:v>
      </x:c>
      <x:c r="J668" s="8" t="n">
        <x:v>183</x:v>
      </x:c>
      <x:c r="K668" s="8" t="n">
        <x:v>2630</x:v>
      </x:c>
      <x:c r="L668" s="1" t="str">
        <x:v>Нет</x:v>
      </x:c>
      <x:c r="M668" s="1" t="n">
        <x:v>181672</x:v>
      </x:c>
    </x:row>
    <x:row r="669">
      <x:c r="A669" s="1" t="str">
        <x:v>171386764</x:v>
      </x:c>
      <x:c r="B669" s="1" t="str">
        <x:v>hudiman/белый</x:v>
      </x:c>
      <x:c r="C669" s="1" t="str">
        <x:v>Худи</x:v>
      </x:c>
      <x:c r="D669" s="9" t="n">
        <x:v>9.7</x:v>
      </x:c>
      <x:c r="E669" s="8" t="n">
        <x:v>10613</x:v>
      </x:c>
      <x:c r="F669" s="8" t="n">
        <x:v>268</x:v>
      </x:c>
      <x:c r="G669" s="8" t="n">
        <x:v>274629</x:v>
      </x:c>
      <x:c r="H669" s="8" t="n">
        <x:v>735</x:v>
      </x:c>
      <x:c r="I669" s="8" t="n">
        <x:v>0</x:v>
      </x:c>
      <x:c r="J669" s="8" t="n">
        <x:v>381</x:v>
      </x:c>
      <x:c r="K669" s="8" t="n">
        <x:v>2402</x:v>
      </x:c>
      <x:c r="L669" s="1" t="str">
        <x:v>Нет</x:v>
      </x:c>
      <x:c r="M669" s="1" t="n">
        <x:v>401402</x:v>
      </x:c>
    </x:row>
    <x:row r="670">
      <x:c r="A670" s="1" t="str">
        <x:v>25605113</x:v>
      </x:c>
      <x:c r="B670" s="1" t="str">
        <x:v>futbolka_mary/красный</x:v>
      </x:c>
      <x:c r="C670" s="1" t="str">
        <x:v>Футболки</x:v>
      </x:c>
      <x:c r="D670" s="9" t="n">
        <x:v>5.2</x:v>
      </x:c>
      <x:c r="E670" s="8" t="n">
        <x:v>43123</x:v>
      </x:c>
      <x:c r="F670" s="8" t="n">
        <x:v>854</x:v>
      </x:c>
      <x:c r="G670" s="8" t="n">
        <x:v>274452</x:v>
      </x:c>
      <x:c r="H670" s="8" t="n">
        <x:v>12</x:v>
      </x:c>
      <x:c r="I670" s="8" t="n">
        <x:v>0</x:v>
      </x:c>
      <x:c r="J670" s="8" t="n">
        <x:v>0</x:v>
      </x:c>
      <x:c r="K670" s="8" t="n">
        <x:v>513</x:v>
      </x:c>
      <x:c r="L670" s="1" t="str">
        <x:v>Нет</x:v>
      </x:c>
      <x:c r="M670" s="1" t="n">
        <x:v>0</x:v>
      </x:c>
    </x:row>
    <x:row r="671">
      <x:c r="A671" s="1" t="str">
        <x:v>218970528</x:v>
      </x:c>
      <x:c r="B671" s="1" t="str">
        <x:v>topfutbolka/белый</x:v>
      </x:c>
      <x:c r="C671" s="1" t="str">
        <x:v>Топы</x:v>
      </x:c>
      <x:c r="D671" s="9" t="n">
        <x:v>9.4</x:v>
      </x:c>
      <x:c r="E671" s="8" t="n">
        <x:v>23371</x:v>
      </x:c>
      <x:c r="F671" s="8" t="n">
        <x:v>954</x:v>
      </x:c>
      <x:c r="G671" s="8" t="n">
        <x:v>274364</x:v>
      </x:c>
      <x:c r="H671" s="8" t="n">
        <x:v>2035</x:v>
      </x:c>
      <x:c r="I671" s="8" t="n">
        <x:v>0</x:v>
      </x:c>
      <x:c r="J671" s="8" t="n">
        <x:v>0</x:v>
      </x:c>
      <x:c r="K671" s="8" t="n">
        <x:v>571</x:v>
      </x:c>
      <x:c r="L671" s="1" t="str">
        <x:v>Нет</x:v>
      </x:c>
      <x:c r="M671" s="1" t="n">
        <x:v>0</x:v>
      </x:c>
    </x:row>
    <x:row r="672">
      <x:c r="A672" s="1" t="str">
        <x:v>251153202</x:v>
      </x:c>
      <x:c r="B672" s="1" t="str">
        <x:v>hudiprint/Pure-193/голубой</x:v>
      </x:c>
      <x:c r="C672" s="1" t="str">
        <x:v>Худи</x:v>
      </x:c>
      <x:c r="D672" s="9" t="n">
        <x:v>9.7</x:v>
      </x:c>
      <x:c r="E672" s="8" t="n">
        <x:v>21341</x:v>
      </x:c>
      <x:c r="F672" s="8" t="n">
        <x:v>215</x:v>
      </x:c>
      <x:c r="G672" s="8" t="n">
        <x:v>274277</x:v>
      </x:c>
      <x:c r="H672" s="8" t="n">
        <x:v>37</x:v>
      </x:c>
      <x:c r="I672" s="8" t="n">
        <x:v>0</x:v>
      </x:c>
      <x:c r="J672" s="8" t="n">
        <x:v>739</x:v>
      </x:c>
      <x:c r="K672" s="8" t="n">
        <x:v>2372</x:v>
      </x:c>
      <x:c r="L672" s="1" t="str">
        <x:v>Нет</x:v>
      </x:c>
      <x:c r="M672" s="1" t="n">
        <x:v>887700</x:v>
      </x:c>
    </x:row>
    <x:row r="673">
      <x:c r="A673" s="1" t="str">
        <x:v>297350961</x:v>
      </x:c>
      <x:c r="B673" s="1" t="str">
        <x:v>svitshotzipman2/вареныйсерый</x:v>
      </x:c>
      <x:c r="C673" s="1" t="str">
        <x:v>Свитшоты</x:v>
      </x:c>
      <x:c r="D673" s="9" t="n">
        <x:v>9.7</x:v>
      </x:c>
      <x:c r="E673" s="8" t="n">
        <x:v>25446</x:v>
      </x:c>
      <x:c r="F673" s="8" t="n">
        <x:v>354</x:v>
      </x:c>
      <x:c r="G673" s="8" t="n">
        <x:v>272278</x:v>
      </x:c>
      <x:c r="H673" s="8" t="n">
        <x:v>1</x:v>
      </x:c>
      <x:c r="I673" s="8" t="n">
        <x:v>0</x:v>
      </x:c>
      <x:c r="J673" s="8" t="n">
        <x:v>323</x:v>
      </x:c>
      <x:c r="K673" s="8" t="n">
        <x:v>2433</x:v>
      </x:c>
      <x:c r="L673" s="1" t="str">
        <x:v>Нет</x:v>
      </x:c>
      <x:c r="M673" s="1" t="n">
        <x:v>273591</x:v>
      </x:c>
    </x:row>
    <x:row r="674">
      <x:c r="A674" s="1" t="str">
        <x:v>210514480</x:v>
      </x:c>
      <x:c r="B674" s="1" t="str">
        <x:v>kostkulirkacrop/белый</x:v>
      </x:c>
      <x:c r="C674" s="1" t="str">
        <x:v>Костюмы</x:v>
      </x:c>
      <x:c r="D674" s="9" t="n">
        <x:v>8.4</x:v>
      </x:c>
      <x:c r="E674" s="8" t="n">
        <x:v>38858</x:v>
      </x:c>
      <x:c r="F674" s="8" t="n">
        <x:v>574</x:v>
      </x:c>
      <x:c r="G674" s="8" t="n">
        <x:v>271474</x:v>
      </x:c>
      <x:c r="H674" s="8" t="n">
        <x:v>4</x:v>
      </x:c>
      <x:c r="I674" s="8" t="n">
        <x:v>0</x:v>
      </x:c>
      <x:c r="J674" s="8" t="n">
        <x:v>112</x:v>
      </x:c>
      <x:c r="K674" s="8" t="n">
        <x:v>1094</x:v>
      </x:c>
      <x:c r="L674" s="1" t="str">
        <x:v>Нет</x:v>
      </x:c>
      <x:c r="M674" s="1" t="n">
        <x:v>54560</x:v>
      </x:c>
    </x:row>
    <x:row r="675">
      <x:c r="A675" s="1" t="str">
        <x:v>170169474</x:v>
      </x:c>
      <x:c r="B675" s="1" t="str">
        <x:v>brukiman/серый</x:v>
      </x:c>
      <x:c r="C675" s="1" t="str">
        <x:v>Брюки</x:v>
      </x:c>
      <x:c r="D675" s="9" t="n">
        <x:v>9.7</x:v>
      </x:c>
      <x:c r="E675" s="8" t="n">
        <x:v>10253</x:v>
      </x:c>
      <x:c r="F675" s="8" t="n">
        <x:v>313</x:v>
      </x:c>
      <x:c r="G675" s="8" t="n">
        <x:v>271264</x:v>
      </x:c>
      <x:c r="H675" s="8" t="n">
        <x:v>885</x:v>
      </x:c>
      <x:c r="I675" s="8" t="n">
        <x:v>0</x:v>
      </x:c>
      <x:c r="J675" s="8" t="n">
        <x:v>657</x:v>
      </x:c>
      <x:c r="K675" s="8" t="n">
        <x:v>2126</x:v>
      </x:c>
      <x:c r="L675" s="1" t="str">
        <x:v>Нет</x:v>
      </x:c>
      <x:c r="M675" s="1" t="n">
        <x:v>508566</x:v>
      </x:c>
    </x:row>
    <x:row r="676">
      <x:c r="A676" s="1" t="str">
        <x:v>289089194</x:v>
      </x:c>
      <x:c r="B676" s="1" t="str">
        <x:v>palazzonachos/серыймеланж2</x:v>
      </x:c>
      <x:c r="C676" s="1" t="str">
        <x:v>Брюки</x:v>
      </x:c>
      <x:c r="D676" s="9" t="n">
        <x:v>8.4</x:v>
      </x:c>
      <x:c r="E676" s="8" t="n">
        <x:v>28764</x:v>
      </x:c>
      <x:c r="F676" s="8" t="n">
        <x:v>491</x:v>
      </x:c>
      <x:c r="G676" s="8" t="n">
        <x:v>270681</x:v>
      </x:c>
      <x:c r="H676" s="8" t="n">
        <x:v>104</x:v>
      </x:c>
      <x:c r="I676" s="8" t="n">
        <x:v>0</x:v>
      </x:c>
      <x:c r="J676" s="8" t="n">
        <x:v>1287</x:v>
      </x:c>
      <x:c r="K676" s="8" t="n">
        <x:v>2605</x:v>
      </x:c>
      <x:c r="L676" s="1" t="str">
        <x:v>Нет</x:v>
      </x:c>
      <x:c r="M676" s="1" t="n">
        <x:v>658501</x:v>
      </x:c>
    </x:row>
    <x:row r="677">
      <x:c r="A677" s="1" t="str">
        <x:v>240808505</x:v>
      </x:c>
      <x:c r="B677" s="1" t="str">
        <x:v>hudigirl/темно-синий</x:v>
      </x:c>
      <x:c r="C677" s="1" t="str">
        <x:v>Худи</x:v>
      </x:c>
      <x:c r="D677" s="9" t="n">
        <x:v>7.7</x:v>
      </x:c>
      <x:c r="E677" s="8" t="n">
        <x:v>15884</x:v>
      </x:c>
      <x:c r="F677" s="8" t="n">
        <x:v>408</x:v>
      </x:c>
      <x:c r="G677" s="8" t="n">
        <x:v>270612</x:v>
      </x:c>
      <x:c r="H677" s="8" t="n">
        <x:v>808</x:v>
      </x:c>
      <x:c r="I677" s="8" t="n">
        <x:v>0</x:v>
      </x:c>
      <x:c r="J677" s="8" t="n">
        <x:v>283</x:v>
      </x:c>
      <x:c r="K677" s="8" t="n">
        <x:v>1287</x:v>
      </x:c>
      <x:c r="L677" s="1" t="str">
        <x:v>Нет</x:v>
      </x:c>
      <x:c r="M677" s="1" t="n">
        <x:v>168028</x:v>
      </x:c>
    </x:row>
    <x:row r="678">
      <x:c r="A678" s="1" t="str">
        <x:v>246362991</x:v>
      </x:c>
      <x:c r="B678" s="1" t="str">
        <x:v>tolstovkazipman/бордовый</x:v>
      </x:c>
      <x:c r="C678" s="1" t="str">
        <x:v>Худи</x:v>
      </x:c>
      <x:c r="D678" s="9" t="n">
        <x:v>9</x:v>
      </x:c>
      <x:c r="E678" s="8" t="n">
        <x:v>19626</x:v>
      </x:c>
      <x:c r="F678" s="8" t="n">
        <x:v>238</x:v>
      </x:c>
      <x:c r="G678" s="8" t="n">
        <x:v>270544</x:v>
      </x:c>
      <x:c r="H678" s="8" t="n">
        <x:v>1</x:v>
      </x:c>
      <x:c r="I678" s="8" t="n">
        <x:v>0</x:v>
      </x:c>
      <x:c r="J678" s="8" t="n">
        <x:v>846</x:v>
      </x:c>
      <x:c r="K678" s="8" t="n">
        <x:v>3235</x:v>
      </x:c>
      <x:c r="L678" s="1" t="str">
        <x:v>Нет</x:v>
      </x:c>
      <x:c r="M678" s="1" t="n">
        <x:v>1120915</x:v>
      </x:c>
    </x:row>
    <x:row r="679">
      <x:c r="A679" s="1" t="str">
        <x:v>249222939</x:v>
      </x:c>
      <x:c r="B679" s="1" t="str">
        <x:v>svitshotpolopetl3P-60/темно-серый</x:v>
      </x:c>
      <x:c r="C679" s="1" t="str">
        <x:v>Свитшоты</x:v>
      </x:c>
      <x:c r="D679" s="9" t="n">
        <x:v>8.7</x:v>
      </x:c>
      <x:c r="E679" s="8" t="n">
        <x:v>44224</x:v>
      </x:c>
      <x:c r="F679" s="8" t="n">
        <x:v>362</x:v>
      </x:c>
      <x:c r="G679" s="8" t="n">
        <x:v>269693</x:v>
      </x:c>
      <x:c r="H679" s="8" t="n">
        <x:v>376</x:v>
      </x:c>
      <x:c r="I679" s="8" t="n">
        <x:v>0</x:v>
      </x:c>
      <x:c r="J679" s="8" t="n">
        <x:v>169</x:v>
      </x:c>
      <x:c r="K679" s="8" t="n">
        <x:v>2417</x:v>
      </x:c>
      <x:c r="L679" s="1" t="str">
        <x:v>Нет</x:v>
      </x:c>
      <x:c r="M679" s="1" t="n">
        <x:v>140458</x:v>
      </x:c>
    </x:row>
    <x:row r="680">
      <x:c r="A680" s="1" t="str">
        <x:v>116111995</x:v>
      </x:c>
      <x:c r="B680" s="1" t="str">
        <x:v>hudi/зеленый</x:v>
      </x:c>
      <x:c r="C680" s="1" t="str">
        <x:v>Худи</x:v>
      </x:c>
      <x:c r="D680" s="9" t="n">
        <x:v>9.7</x:v>
      </x:c>
      <x:c r="E680" s="8" t="n">
        <x:v>36015</x:v>
      </x:c>
      <x:c r="F680" s="8" t="n">
        <x:v>325</x:v>
      </x:c>
      <x:c r="G680" s="8" t="n">
        <x:v>268924</x:v>
      </x:c>
      <x:c r="H680" s="8" t="n">
        <x:v>72</x:v>
      </x:c>
      <x:c r="I680" s="8" t="n">
        <x:v>0</x:v>
      </x:c>
      <x:c r="J680" s="8" t="n">
        <x:v>349</x:v>
      </x:c>
      <x:c r="K680" s="8" t="n">
        <x:v>2281</x:v>
      </x:c>
      <x:c r="L680" s="1" t="str">
        <x:v>Нет</x:v>
      </x:c>
      <x:c r="M680" s="1" t="n">
        <x:v>393118</x:v>
      </x:c>
    </x:row>
    <x:row r="681">
      <x:c r="A681" s="1" t="str">
        <x:v>289092415</x:v>
      </x:c>
      <x:c r="B681" s="1" t="str">
        <x:v>hudicropman4F-67/молочный</x:v>
      </x:c>
      <x:c r="C681" s="1" t="str">
        <x:v>Худи</x:v>
      </x:c>
      <x:c r="D681" s="9" t="n">
        <x:v>9.7</x:v>
      </x:c>
      <x:c r="E681" s="8" t="n">
        <x:v>11685</x:v>
      </x:c>
      <x:c r="F681" s="8" t="n">
        <x:v>318</x:v>
      </x:c>
      <x:c r="G681" s="8" t="n">
        <x:v>268589</x:v>
      </x:c>
      <x:c r="H681" s="8" t="n">
        <x:v>591</x:v>
      </x:c>
      <x:c r="I681" s="8" t="n">
        <x:v>0</x:v>
      </x:c>
      <x:c r="J681" s="8" t="n">
        <x:v>337</x:v>
      </x:c>
      <x:c r="K681" s="8" t="n">
        <x:v>2586</x:v>
      </x:c>
      <x:c r="L681" s="1" t="str">
        <x:v>Нет</x:v>
      </x:c>
      <x:c r="M681" s="1" t="n">
        <x:v>331465</x:v>
      </x:c>
    </x:row>
    <x:row r="682">
      <x:c r="A682" s="1" t="str">
        <x:v>216158873</x:v>
      </x:c>
      <x:c r="B682" s="1" t="str">
        <x:v>futbolkagirl/белый</x:v>
      </x:c>
      <x:c r="C682" s="1" t="str">
        <x:v>Футболки</x:v>
      </x:c>
      <x:c r="D682" s="9" t="n">
        <x:v>10</x:v>
      </x:c>
      <x:c r="E682" s="8" t="n">
        <x:v>38770</x:v>
      </x:c>
      <x:c r="F682" s="8" t="n">
        <x:v>825</x:v>
      </x:c>
      <x:c r="G682" s="8" t="n">
        <x:v>268157</x:v>
      </x:c>
      <x:c r="H682" s="8" t="n">
        <x:v>277</x:v>
      </x:c>
      <x:c r="I682" s="8" t="n">
        <x:v>0</x:v>
      </x:c>
      <x:c r="J682" s="8" t="n">
        <x:v>506</x:v>
      </x:c>
      <x:c r="K682" s="8" t="n">
        <x:v>468</x:v>
      </x:c>
      <x:c r="L682" s="1" t="str">
        <x:v>Нет</x:v>
      </x:c>
      <x:c r="M682" s="1" t="n">
        <x:v>188560</x:v>
      </x:c>
    </x:row>
    <x:row r="683">
      <x:c r="A683" s="1" t="str">
        <x:v>193100148</x:v>
      </x:c>
      <x:c r="B683" s="1" t="str">
        <x:v>svitshotzip1/синий</x:v>
      </x:c>
      <x:c r="C683" s="1" t="str">
        <x:v>Свитшоты</x:v>
      </x:c>
      <x:c r="D683" s="9" t="n">
        <x:v>9.7</x:v>
      </x:c>
      <x:c r="E683" s="8" t="n">
        <x:v>17388</x:v>
      </x:c>
      <x:c r="F683" s="8" t="n">
        <x:v>303</x:v>
      </x:c>
      <x:c r="G683" s="8" t="n">
        <x:v>266879</x:v>
      </x:c>
      <x:c r="H683" s="8" t="n">
        <x:v>322</x:v>
      </x:c>
      <x:c r="I683" s="8" t="n">
        <x:v>0</x:v>
      </x:c>
      <x:c r="J683" s="8" t="n">
        <x:v>392</x:v>
      </x:c>
      <x:c r="K683" s="8" t="n">
        <x:v>2329</x:v>
      </x:c>
      <x:c r="L683" s="1" t="str">
        <x:v>Нет</x:v>
      </x:c>
      <x:c r="M683" s="1" t="n">
        <x:v>390072</x:v>
      </x:c>
    </x:row>
    <x:row r="684">
      <x:c r="A684" s="1" t="str">
        <x:v>283319856</x:v>
      </x:c>
      <x:c r="B684" s="1" t="str">
        <x:v>hudicropprint/TheMovementClub-140/бордовый</x:v>
      </x:c>
      <x:c r="C684" s="1" t="str">
        <x:v>Худи</x:v>
      </x:c>
      <x:c r="D684" s="9" t="n">
        <x:v>9.7</x:v>
      </x:c>
      <x:c r="E684" s="8" t="n">
        <x:v>15775</x:v>
      </x:c>
      <x:c r="F684" s="8" t="n">
        <x:v>222</x:v>
      </x:c>
      <x:c r="G684" s="8" t="n">
        <x:v>265341</x:v>
      </x:c>
      <x:c r="H684" s="8" t="n">
        <x:v>1</x:v>
      </x:c>
      <x:c r="I684" s="8" t="n">
        <x:v>0</x:v>
      </x:c>
      <x:c r="J684" s="8" t="n">
        <x:v>170</x:v>
      </x:c>
      <x:c r="K684" s="8" t="n">
        <x:v>3096</x:v>
      </x:c>
      <x:c r="L684" s="1" t="str">
        <x:v>Нет</x:v>
      </x:c>
      <x:c r="M684" s="1" t="n">
        <x:v>210786</x:v>
      </x:c>
    </x:row>
    <x:row r="685">
      <x:c r="A685" s="1" t="str">
        <x:v>246362977</x:v>
      </x:c>
      <x:c r="B685" s="1" t="str">
        <x:v>tolstovkazipcrop/фуксия</x:v>
      </x:c>
      <x:c r="C685" s="1" t="str">
        <x:v>Худи</x:v>
      </x:c>
      <x:c r="D685" s="9" t="n">
        <x:v>9.7</x:v>
      </x:c>
      <x:c r="E685" s="8" t="n">
        <x:v>23795</x:v>
      </x:c>
      <x:c r="F685" s="8" t="n">
        <x:v>306</x:v>
      </x:c>
      <x:c r="G685" s="8" t="n">
        <x:v>265038</x:v>
      </x:c>
      <x:c r="H685" s="8" t="n">
        <x:v>251</x:v>
      </x:c>
      <x:c r="I685" s="8" t="n">
        <x:v>0</x:v>
      </x:c>
      <x:c r="J685" s="8" t="n">
        <x:v>175</x:v>
      </x:c>
      <x:c r="K685" s="8" t="n">
        <x:v>2103</x:v>
      </x:c>
      <x:c r="L685" s="1" t="str">
        <x:v>Нет</x:v>
      </x:c>
      <x:c r="M685" s="1" t="n">
        <x:v>167200</x:v>
      </x:c>
    </x:row>
    <x:row r="686">
      <x:c r="A686" s="1" t="str">
        <x:v>114623596</x:v>
      </x:c>
      <x:c r="B686" s="1" t="str">
        <x:v>kroptop/деним</x:v>
      </x:c>
      <x:c r="C686" s="1" t="str">
        <x:v>Футболки</x:v>
      </x:c>
      <x:c r="D686" s="9" t="n">
        <x:v>8.7</x:v>
      </x:c>
      <x:c r="E686" s="8" t="n">
        <x:v>41776</x:v>
      </x:c>
      <x:c r="F686" s="8" t="n">
        <x:v>767</x:v>
      </x:c>
      <x:c r="G686" s="8" t="n">
        <x:v>264048</x:v>
      </x:c>
      <x:c r="H686" s="8" t="n">
        <x:v>1852</x:v>
      </x:c>
      <x:c r="I686" s="8" t="n">
        <x:v>0</x:v>
      </x:c>
      <x:c r="J686" s="8" t="n">
        <x:v>590</x:v>
      </x:c>
      <x:c r="K686" s="8" t="n">
        <x:v>676</x:v>
      </x:c>
      <x:c r="L686" s="1" t="str">
        <x:v>Нет</x:v>
      </x:c>
      <x:c r="M686" s="1" t="n">
        <x:v>227064</x:v>
      </x:c>
    </x:row>
    <x:row r="687">
      <x:c r="A687" s="1" t="str">
        <x:v>368704659</x:v>
      </x:c>
      <x:c r="B687" s="1" t="str">
        <x:v>futskimsX2/сер-роз</x:v>
      </x:c>
      <x:c r="C687" s="1" t="str">
        <x:v>Футболки</x:v>
      </x:c>
      <x:c r="D687" s="9" t="n">
        <x:v>8.4</x:v>
      </x:c>
      <x:c r="E687" s="8" t="n">
        <x:v>58852</x:v>
      </x:c>
      <x:c r="F687" s="8" t="n">
        <x:v>245</x:v>
      </x:c>
      <x:c r="G687" s="8" t="n">
        <x:v>264000</x:v>
      </x:c>
      <x:c r="H687" s="8" t="n">
        <x:v>192</x:v>
      </x:c>
      <x:c r="I687" s="8" t="n">
        <x:v>0</x:v>
      </x:c>
      <x:c r="J687" s="8" t="n">
        <x:v>0</x:v>
      </x:c>
      <x:c r="K687" s="8" t="n">
        <x:v>2200</x:v>
      </x:c>
      <x:c r="L687" s="1" t="str">
        <x:v>Нет</x:v>
      </x:c>
      <x:c r="M687" s="1" t="n">
        <x:v>0</x:v>
      </x:c>
    </x:row>
    <x:row r="688">
      <x:c r="A688" s="1" t="str">
        <x:v>332646307</x:v>
      </x:c>
      <x:c r="B688" s="1" t="str">
        <x:v>futbolkaprint/Cherished-249/молочный</x:v>
      </x:c>
      <x:c r="C688" s="1" t="str">
        <x:v>Футболки</x:v>
      </x:c>
      <x:c r="D688" s="9" t="n">
        <x:v>9.7</x:v>
      </x:c>
      <x:c r="E688" s="8" t="n">
        <x:v>43174</x:v>
      </x:c>
      <x:c r="F688" s="8" t="n">
        <x:v>507</x:v>
      </x:c>
      <x:c r="G688" s="8" t="n">
        <x:v>263313</x:v>
      </x:c>
      <x:c r="H688" s="8" t="n">
        <x:v>343</x:v>
      </x:c>
      <x:c r="I688" s="8" t="n">
        <x:v>0</x:v>
      </x:c>
      <x:c r="J688" s="8" t="n">
        <x:v>0</x:v>
      </x:c>
      <x:c r="K688" s="8" t="n">
        <x:v>1242</x:v>
      </x:c>
      <x:c r="L688" s="1" t="str">
        <x:v>Нет</x:v>
      </x:c>
      <x:c r="M688" s="1" t="n">
        <x:v>0</x:v>
      </x:c>
    </x:row>
    <x:row r="689">
      <x:c r="A689" s="1" t="str">
        <x:v>158080266</x:v>
      </x:c>
      <x:c r="B689" s="1" t="str">
        <x:v>bruki/кофейный</x:v>
      </x:c>
      <x:c r="C689" s="1" t="str">
        <x:v>Брюки</x:v>
      </x:c>
      <x:c r="D689" s="9" t="n">
        <x:v>7.7</x:v>
      </x:c>
      <x:c r="E689" s="8" t="n">
        <x:v>17523</x:v>
      </x:c>
      <x:c r="F689" s="8" t="n">
        <x:v>480</x:v>
      </x:c>
      <x:c r="G689" s="8" t="n">
        <x:v>261891</x:v>
      </x:c>
      <x:c r="H689" s="8" t="n">
        <x:v>1351</x:v>
      </x:c>
      <x:c r="I689" s="8" t="n">
        <x:v>0</x:v>
      </x:c>
      <x:c r="J689" s="8" t="n">
        <x:v>890</x:v>
      </x:c>
      <x:c r="K689" s="8" t="n">
        <x:v>2136</x:v>
      </x:c>
      <x:c r="L689" s="1" t="str">
        <x:v>Нет</x:v>
      </x:c>
      <x:c r="M689" s="1" t="n">
        <x:v>615139</x:v>
      </x:c>
    </x:row>
    <x:row r="690">
      <x:c r="A690" s="1" t="str">
        <x:v>348218029</x:v>
      </x:c>
      <x:c r="B690" s="1" t="str">
        <x:v>bodyskims/пыльно-синий</x:v>
      </x:c>
      <x:c r="C690" s="1" t="str">
        <x:v>Блузки-боди</x:v>
      </x:c>
      <x:c r="D690" s="9" t="n">
        <x:v>8.7</x:v>
      </x:c>
      <x:c r="E690" s="8" t="n">
        <x:v>36597</x:v>
      </x:c>
      <x:c r="F690" s="8" t="n">
        <x:v>520</x:v>
      </x:c>
      <x:c r="G690" s="8" t="n">
        <x:v>261634</x:v>
      </x:c>
      <x:c r="H690" s="8" t="n">
        <x:v>174</x:v>
      </x:c>
      <x:c r="I690" s="8" t="n">
        <x:v>0</x:v>
      </x:c>
      <x:c r="J690" s="8" t="n">
        <x:v>0</x:v>
      </x:c>
      <x:c r="K690" s="8" t="n">
        <x:v>1061</x:v>
      </x:c>
      <x:c r="L690" s="1" t="str">
        <x:v>Нет</x:v>
      </x:c>
      <x:c r="M690" s="1" t="n">
        <x:v>0</x:v>
      </x:c>
    </x:row>
    <x:row r="691">
      <x:c r="A691" s="1" t="str">
        <x:v>333121377</x:v>
      </x:c>
      <x:c r="B691" s="1" t="str">
        <x:v>topmayka/бордовый</x:v>
      </x:c>
      <x:c r="C691" s="1" t="str">
        <x:v>Топы</x:v>
      </x:c>
      <x:c r="D691" s="9" t="n">
        <x:v>9</x:v>
      </x:c>
      <x:c r="E691" s="8" t="n">
        <x:v>44830</x:v>
      </x:c>
      <x:c r="F691" s="8" t="n">
        <x:v>881</x:v>
      </x:c>
      <x:c r="G691" s="8" t="n">
        <x:v>261157</x:v>
      </x:c>
      <x:c r="H691" s="8" t="n">
        <x:v>220</x:v>
      </x:c>
      <x:c r="I691" s="8" t="n">
        <x:v>0</x:v>
      </x:c>
      <x:c r="J691" s="8" t="n">
        <x:v>0</x:v>
      </x:c>
      <x:c r="K691" s="8" t="n">
        <x:v>608</x:v>
      </x:c>
      <x:c r="L691" s="1" t="str">
        <x:v>Нет</x:v>
      </x:c>
      <x:c r="M691" s="1" t="n">
        <x:v>0</x:v>
      </x:c>
    </x:row>
    <x:row r="692">
      <x:c r="A692" s="1" t="str">
        <x:v>333323578</x:v>
      </x:c>
      <x:c r="B692" s="1" t="str">
        <x:v>hudicroppetl/песочный</x:v>
      </x:c>
      <x:c r="C692" s="1" t="str">
        <x:v>Худи</x:v>
      </x:c>
      <x:c r="D692" s="9" t="n">
        <x:v>8.7</x:v>
      </x:c>
      <x:c r="E692" s="8" t="n">
        <x:v>20994</x:v>
      </x:c>
      <x:c r="F692" s="8" t="n">
        <x:v>298</x:v>
      </x:c>
      <x:c r="G692" s="8" t="n">
        <x:v>260995</x:v>
      </x:c>
      <x:c r="H692" s="8" t="n">
        <x:v>218</x:v>
      </x:c>
      <x:c r="I692" s="8" t="n">
        <x:v>0</x:v>
      </x:c>
      <x:c r="J692" s="8" t="n">
        <x:v>64</x:v>
      </x:c>
      <x:c r="K692" s="8" t="n">
        <x:v>2895</x:v>
      </x:c>
      <x:c r="L692" s="1" t="str">
        <x:v>Нет</x:v>
      </x:c>
      <x:c r="M692" s="1" t="n">
        <x:v>46400</x:v>
      </x:c>
    </x:row>
    <x:row r="693">
      <x:c r="A693" s="1" t="str">
        <x:v>220118020</x:v>
      </x:c>
      <x:c r="B693" s="1" t="str">
        <x:v>futbolkaprint/SEOUL-119/пыльнаяроза</x:v>
      </x:c>
      <x:c r="C693" s="1" t="str">
        <x:v>Футболки</x:v>
      </x:c>
      <x:c r="D693" s="9" t="n">
        <x:v>7.7</x:v>
      </x:c>
      <x:c r="E693" s="8" t="n">
        <x:v>31635</x:v>
      </x:c>
      <x:c r="F693" s="8" t="n">
        <x:v>461</x:v>
      </x:c>
      <x:c r="G693" s="8" t="n">
        <x:v>260670</x:v>
      </x:c>
      <x:c r="H693" s="8" t="n">
        <x:v>73</x:v>
      </x:c>
      <x:c r="I693" s="8" t="n">
        <x:v>0</x:v>
      </x:c>
      <x:c r="J693" s="8" t="n">
        <x:v>1467</x:v>
      </x:c>
      <x:c r="K693" s="8" t="n">
        <x:v>1126</x:v>
      </x:c>
      <x:c r="L693" s="1" t="str">
        <x:v>Нет</x:v>
      </x:c>
      <x:c r="M693" s="1" t="n">
        <x:v>900242</x:v>
      </x:c>
    </x:row>
    <x:row r="694">
      <x:c r="A694" s="1" t="str">
        <x:v>165757827</x:v>
      </x:c>
      <x:c r="B694" s="1" t="str">
        <x:v>kulirkaman/зеленый</x:v>
      </x:c>
      <x:c r="C694" s="1" t="str">
        <x:v>Футболки</x:v>
      </x:c>
      <x:c r="D694" s="9" t="n">
        <x:v>7.2</x:v>
      </x:c>
      <x:c r="E694" s="8" t="n">
        <x:v>18730</x:v>
      </x:c>
      <x:c r="F694" s="8" t="n">
        <x:v>539</x:v>
      </x:c>
      <x:c r="G694" s="8" t="n">
        <x:v>260174</x:v>
      </x:c>
      <x:c r="H694" s="8" t="n">
        <x:v>264</x:v>
      </x:c>
      <x:c r="I694" s="8" t="n">
        <x:v>0</x:v>
      </x:c>
      <x:c r="J694" s="8" t="n">
        <x:v>353</x:v>
      </x:c>
      <x:c r="K694" s="8" t="n">
        <x:v>879</x:v>
      </x:c>
      <x:c r="L694" s="1" t="str">
        <x:v>Нет</x:v>
      </x:c>
      <x:c r="M694" s="1" t="n">
        <x:v>220926</x:v>
      </x:c>
    </x:row>
    <x:row r="695">
      <x:c r="A695" s="1" t="str">
        <x:v>158427990</x:v>
      </x:c>
      <x:c r="B695" s="1" t="str">
        <x:v>kostumman/графит</x:v>
      </x:c>
      <x:c r="C695" s="1" t="str">
        <x:v>Костюмы спортивные</x:v>
      </x:c>
      <x:c r="D695" s="9" t="n">
        <x:v>9.4</x:v>
      </x:c>
      <x:c r="E695" s="8" t="n">
        <x:v>8728</x:v>
      </x:c>
      <x:c r="F695" s="8" t="n">
        <x:v>156</x:v>
      </x:c>
      <x:c r="G695" s="8" t="n">
        <x:v>259831</x:v>
      </x:c>
      <x:c r="H695" s="8" t="n">
        <x:v>502</x:v>
      </x:c>
      <x:c r="I695" s="8" t="n">
        <x:v>0</x:v>
      </x:c>
      <x:c r="J695" s="8" t="n">
        <x:v>132</x:v>
      </x:c>
      <x:c r="K695" s="8" t="n">
        <x:v>4580</x:v>
      </x:c>
      <x:c r="L695" s="1" t="str">
        <x:v>Нет</x:v>
      </x:c>
      <x:c r="M695" s="1" t="n">
        <x:v>171792</x:v>
      </x:c>
    </x:row>
    <x:row r="696">
      <x:c r="A696" s="1" t="str">
        <x:v>237893883</x:v>
      </x:c>
      <x:c r="B696" s="1" t="str">
        <x:v>svitzipcroppetl/черный</x:v>
      </x:c>
      <x:c r="C696" s="1" t="str">
        <x:v>Свитшоты</x:v>
      </x:c>
      <x:c r="D696" s="9" t="n">
        <x:v>6.7</x:v>
      </x:c>
      <x:c r="E696" s="8" t="n">
        <x:v>20837</x:v>
      </x:c>
      <x:c r="F696" s="8" t="n">
        <x:v>273</x:v>
      </x:c>
      <x:c r="G696" s="8" t="n">
        <x:v>258571</x:v>
      </x:c>
      <x:c r="H696" s="8" t="n">
        <x:v>237</x:v>
      </x:c>
      <x:c r="I696" s="8" t="n">
        <x:v>0</x:v>
      </x:c>
      <x:c r="J696" s="8" t="n">
        <x:v>0</x:v>
      </x:c>
      <x:c r="K696" s="8" t="n">
        <x:v>2351</x:v>
      </x:c>
      <x:c r="L696" s="1" t="str">
        <x:v>Нет</x:v>
      </x:c>
      <x:c r="M696" s="1" t="n">
        <x:v>0</x:v>
      </x:c>
    </x:row>
    <x:row r="697">
      <x:c r="A697" s="1" t="str">
        <x:v>19077496</x:v>
      </x:c>
      <x:c r="B697" s="1" t="str">
        <x:v>bruki/голубой</x:v>
      </x:c>
      <x:c r="C697" s="1" t="str">
        <x:v>Брюки</x:v>
      </x:c>
      <x:c r="D697" s="9" t="n">
        <x:v>8.7</x:v>
      </x:c>
      <x:c r="E697" s="8" t="n">
        <x:v>14616</x:v>
      </x:c>
      <x:c r="F697" s="8" t="n">
        <x:v>383</x:v>
      </x:c>
      <x:c r="G697" s="8" t="n">
        <x:v>258556</x:v>
      </x:c>
      <x:c r="H697" s="8" t="n">
        <x:v>95</x:v>
      </x:c>
      <x:c r="I697" s="8" t="n">
        <x:v>0</x:v>
      </x:c>
      <x:c r="J697" s="8" t="n">
        <x:v>687</x:v>
      </x:c>
      <x:c r="K697" s="8" t="n">
        <x:v>2157</x:v>
      </x:c>
      <x:c r="L697" s="1" t="str">
        <x:v>Нет</x:v>
      </x:c>
      <x:c r="M697" s="1" t="n">
        <x:v>526985</x:v>
      </x:c>
    </x:row>
    <x:row r="698">
      <x:c r="A698" s="1" t="str">
        <x:v>323203661</x:v>
      </x:c>
      <x:c r="B698" s="1" t="str">
        <x:v>tshirtsuperover3K-E1/молочный</x:v>
      </x:c>
      <x:c r="C698" s="1" t="str">
        <x:v>Футболки</x:v>
      </x:c>
      <x:c r="D698" s="9" t="n">
        <x:v>8.7</x:v>
      </x:c>
      <x:c r="E698" s="8" t="n">
        <x:v>53821</x:v>
      </x:c>
      <x:c r="F698" s="8" t="n">
        <x:v>442</x:v>
      </x:c>
      <x:c r="G698" s="8" t="n">
        <x:v>258322</x:v>
      </x:c>
      <x:c r="H698" s="8" t="n">
        <x:v>180</x:v>
      </x:c>
      <x:c r="I698" s="8" t="n">
        <x:v>0</x:v>
      </x:c>
      <x:c r="J698" s="8" t="n">
        <x:v>347</x:v>
      </x:c>
      <x:c r="K698" s="8" t="n">
        <x:v>1265</x:v>
      </x:c>
      <x:c r="L698" s="1" t="str">
        <x:v>Нет</x:v>
      </x:c>
      <x:c r="M698" s="1" t="n">
        <x:v>207427</x:v>
      </x:c>
    </x:row>
    <x:row r="699">
      <x:c r="A699" s="1" t="str">
        <x:v>19166922</x:v>
      </x:c>
      <x:c r="B699" s="1" t="str">
        <x:v>kostyum/песочный</x:v>
      </x:c>
      <x:c r="C699" s="1" t="str">
        <x:v>Костюмы спортивные</x:v>
      </x:c>
      <x:c r="D699" s="9" t="n">
        <x:v>8.7</x:v>
      </x:c>
      <x:c r="E699" s="8" t="n">
        <x:v>33179</x:v>
      </x:c>
      <x:c r="F699" s="8" t="n">
        <x:v>219</x:v>
      </x:c>
      <x:c r="G699" s="8" t="n">
        <x:v>258316</x:v>
      </x:c>
      <x:c r="H699" s="8" t="n">
        <x:v>278</x:v>
      </x:c>
      <x:c r="I699" s="8" t="n">
        <x:v>0</x:v>
      </x:c>
      <x:c r="J699" s="8" t="n">
        <x:v>293</x:v>
      </x:c>
      <x:c r="K699" s="8" t="n">
        <x:v>4306</x:v>
      </x:c>
      <x:c r="L699" s="1" t="str">
        <x:v>Нет</x:v>
      </x:c>
      <x:c r="M699" s="1" t="n">
        <x:v>360345</x:v>
      </x:c>
    </x:row>
    <x:row r="700">
      <x:c r="A700" s="1" t="str">
        <x:v>325074336</x:v>
      </x:c>
      <x:c r="B700" s="1" t="str">
        <x:v>futbolkaprint/Space-277/коричневый</x:v>
      </x:c>
      <x:c r="C700" s="1" t="str">
        <x:v>Футболки</x:v>
      </x:c>
      <x:c r="D700" s="9" t="n">
        <x:v>9.7</x:v>
      </x:c>
      <x:c r="E700" s="8" t="n">
        <x:v>86976</x:v>
      </x:c>
      <x:c r="F700" s="8" t="n">
        <x:v>595</x:v>
      </x:c>
      <x:c r="G700" s="8" t="n">
        <x:v>256517</x:v>
      </x:c>
      <x:c r="H700" s="8" t="n">
        <x:v>111</x:v>
      </x:c>
      <x:c r="I700" s="8" t="n">
        <x:v>0</x:v>
      </x:c>
      <x:c r="J700" s="8" t="n">
        <x:v>0</x:v>
      </x:c>
      <x:c r="K700" s="8" t="n">
        <x:v>1256</x:v>
      </x:c>
      <x:c r="L700" s="1" t="str">
        <x:v>Нет</x:v>
      </x:c>
      <x:c r="M700" s="1" t="n">
        <x:v>0</x:v>
      </x:c>
    </x:row>
    <x:row r="701">
      <x:c r="A701" s="1" t="str">
        <x:v>296192288</x:v>
      </x:c>
      <x:c r="B701" s="1" t="str">
        <x:v>fixman4F-78/черный</x:v>
      </x:c>
      <x:c r="C701" s="1" t="str">
        <x:v>Брюки</x:v>
      </x:c>
      <x:c r="D701" s="9" t="n">
        <x:v>8.2</x:v>
      </x:c>
      <x:c r="E701" s="8" t="n">
        <x:v>33036</x:v>
      </x:c>
      <x:c r="F701" s="8" t="n">
        <x:v>480</x:v>
      </x:c>
      <x:c r="G701" s="8" t="n">
        <x:v>256367</x:v>
      </x:c>
      <x:c r="H701" s="8" t="n">
        <x:v>352</x:v>
      </x:c>
      <x:c r="I701" s="8" t="n">
        <x:v>0</x:v>
      </x:c>
      <x:c r="J701" s="8" t="n">
        <x:v>347</x:v>
      </x:c>
      <x:c r="K701" s="8" t="n">
        <x:v>2343</x:v>
      </x:c>
      <x:c r="L701" s="1" t="str">
        <x:v>Нет</x:v>
      </x:c>
      <x:c r="M701" s="1" t="n">
        <x:v>249700</x:v>
      </x:c>
    </x:row>
    <x:row r="702">
      <x:c r="A702" s="1" t="str">
        <x:v>234287027</x:v>
      </x:c>
      <x:c r="B702" s="1" t="str">
        <x:v>svitshotmanpetl/песочный</x:v>
      </x:c>
      <x:c r="C702" s="1" t="str">
        <x:v>Свитшоты</x:v>
      </x:c>
      <x:c r="D702" s="9" t="n">
        <x:v>6.7</x:v>
      </x:c>
      <x:c r="E702" s="8" t="n">
        <x:v>11257</x:v>
      </x:c>
      <x:c r="F702" s="8" t="n">
        <x:v>275</x:v>
      </x:c>
      <x:c r="G702" s="8" t="n">
        <x:v>256323</x:v>
      </x:c>
      <x:c r="H702" s="8" t="n">
        <x:v>23</x:v>
      </x:c>
      <x:c r="I702" s="8" t="n">
        <x:v>0</x:v>
      </x:c>
      <x:c r="J702" s="8" t="n">
        <x:v>281</x:v>
      </x:c>
      <x:c r="K702" s="8" t="n">
        <x:v>2348</x:v>
      </x:c>
      <x:c r="L702" s="1" t="str">
        <x:v>Нет</x:v>
      </x:c>
      <x:c r="M702" s="1" t="n">
        <x:v>263625</x:v>
      </x:c>
    </x:row>
    <x:row r="703">
      <x:c r="A703" s="1" t="str">
        <x:v>246362962</x:v>
      </x:c>
      <x:c r="B703" s="1" t="str">
        <x:v>tolstovkazipman/дымка</x:v>
      </x:c>
      <x:c r="C703" s="1" t="str">
        <x:v>Худи</x:v>
      </x:c>
      <x:c r="D703" s="9" t="n">
        <x:v>9</x:v>
      </x:c>
      <x:c r="E703" s="8" t="n">
        <x:v>21774</x:v>
      </x:c>
      <x:c r="F703" s="8" t="n">
        <x:v>278</x:v>
      </x:c>
      <x:c r="G703" s="8" t="n">
        <x:v>255682</x:v>
      </x:c>
      <x:c r="H703" s="8" t="n">
        <x:v>103</x:v>
      </x:c>
      <x:c r="I703" s="8" t="n">
        <x:v>0</x:v>
      </x:c>
      <x:c r="J703" s="8" t="n">
        <x:v>557</x:v>
      </x:c>
      <x:c r="K703" s="8" t="n">
        <x:v>3193</x:v>
      </x:c>
      <x:c r="L703" s="1" t="str">
        <x:v>Нет</x:v>
      </x:c>
      <x:c r="M703" s="1" t="n">
        <x:v>638450</x:v>
      </x:c>
    </x:row>
    <x:row r="704">
      <x:c r="A704" s="1" t="str">
        <x:v>321850397</x:v>
      </x:c>
      <x:c r="B704" s="1" t="str">
        <x:v>tankman4K-S12/какао</x:v>
      </x:c>
      <x:c r="C704" s="1" t="str">
        <x:v>Футболки</x:v>
      </x:c>
      <x:c r="D704" s="9" t="n">
        <x:v>8.7</x:v>
      </x:c>
      <x:c r="E704" s="8" t="n">
        <x:v>40717</x:v>
      </x:c>
      <x:c r="F704" s="8" t="n">
        <x:v>542</x:v>
      </x:c>
      <x:c r="G704" s="8" t="n">
        <x:v>255426</x:v>
      </x:c>
      <x:c r="H704" s="8" t="n">
        <x:v>1</x:v>
      </x:c>
      <x:c r="I704" s="8" t="n">
        <x:v>0</x:v>
      </x:c>
      <x:c r="J704" s="8" t="n">
        <x:v>225</x:v>
      </x:c>
      <x:c r="K704" s="8" t="n">
        <x:v>1033</x:v>
      </x:c>
      <x:c r="L704" s="1" t="str">
        <x:v>Нет</x:v>
      </x:c>
      <x:c r="M704" s="1" t="n">
        <x:v>117801</x:v>
      </x:c>
    </x:row>
    <x:row r="705">
      <x:c r="A705" s="1" t="str">
        <x:v>322137311</x:v>
      </x:c>
      <x:c r="B705" s="1" t="str">
        <x:v>longpolo3K-90/белый</x:v>
      </x:c>
      <x:c r="C705" s="1" t="str">
        <x:v>Лонгсливы</x:v>
      </x:c>
      <x:c r="D705" s="9" t="n">
        <x:v>8.7</x:v>
      </x:c>
      <x:c r="E705" s="8" t="n">
        <x:v>49057</x:v>
      </x:c>
      <x:c r="F705" s="8" t="n">
        <x:v>592</x:v>
      </x:c>
      <x:c r="G705" s="8" t="n">
        <x:v>254742</x:v>
      </x:c>
      <x:c r="H705" s="8" t="n">
        <x:v>275</x:v>
      </x:c>
      <x:c r="I705" s="8" t="n">
        <x:v>0</x:v>
      </x:c>
      <x:c r="J705" s="8" t="n">
        <x:v>49</x:v>
      </x:c>
      <x:c r="K705" s="8" t="n">
        <x:v>1182</x:v>
      </x:c>
      <x:c r="L705" s="1" t="str">
        <x:v>Нет</x:v>
      </x:c>
      <x:c r="M705" s="1" t="n">
        <x:v>29900</x:v>
      </x:c>
    </x:row>
    <x:row r="706">
      <x:c r="A706" s="1" t="str">
        <x:v>145845810</x:v>
      </x:c>
      <x:c r="B706" s="1" t="str">
        <x:v>svitshotman/морская-волна</x:v>
      </x:c>
      <x:c r="C706" s="1" t="str">
        <x:v>Свитшоты</x:v>
      </x:c>
      <x:c r="D706" s="9" t="n">
        <x:v>9.7</x:v>
      </x:c>
      <x:c r="E706" s="8" t="n">
        <x:v>15390</x:v>
      </x:c>
      <x:c r="F706" s="8" t="n">
        <x:v>333</x:v>
      </x:c>
      <x:c r="G706" s="8" t="n">
        <x:v>254354</x:v>
      </x:c>
      <x:c r="H706" s="8" t="n">
        <x:v>246</x:v>
      </x:c>
      <x:c r="I706" s="8" t="n">
        <x:v>0</x:v>
      </x:c>
      <x:c r="J706" s="8" t="n">
        <x:v>512</x:v>
      </x:c>
      <x:c r="K706" s="8" t="n">
        <x:v>2053</x:v>
      </x:c>
      <x:c r="L706" s="1" t="str">
        <x:v>Нет</x:v>
      </x:c>
      <x:c r="M706" s="1" t="n">
        <x:v>467153</x:v>
      </x:c>
    </x:row>
    <x:row r="707">
      <x:c r="A707" s="1" t="str">
        <x:v>321850393</x:v>
      </x:c>
      <x:c r="B707" s="1" t="str">
        <x:v>tankman4K-S12/хаки</x:v>
      </x:c>
      <x:c r="C707" s="1" t="str">
        <x:v>Футболки</x:v>
      </x:c>
      <x:c r="D707" s="9" t="n">
        <x:v>8.7</x:v>
      </x:c>
      <x:c r="E707" s="8" t="n">
        <x:v>43847</x:v>
      </x:c>
      <x:c r="F707" s="8" t="n">
        <x:v>426</x:v>
      </x:c>
      <x:c r="G707" s="8" t="n">
        <x:v>254024</x:v>
      </x:c>
      <x:c r="H707" s="8" t="n">
        <x:v>2</x:v>
      </x:c>
      <x:c r="I707" s="8" t="n">
        <x:v>0</x:v>
      </x:c>
      <x:c r="J707" s="8" t="n">
        <x:v>302</x:v>
      </x:c>
      <x:c r="K707" s="8" t="n">
        <x:v>1019</x:v>
      </x:c>
      <x:c r="L707" s="1" t="str">
        <x:v>Нет</x:v>
      </x:c>
      <x:c r="M707" s="1" t="n">
        <x:v>165188</x:v>
      </x:c>
    </x:row>
    <x:row r="708">
      <x:c r="A708" s="1" t="str">
        <x:v>53905607</x:v>
      </x:c>
      <x:c r="B708" s="1" t="str">
        <x:v>bruki/бордовый</x:v>
      </x:c>
      <x:c r="C708" s="1" t="str">
        <x:v>Брюки</x:v>
      </x:c>
      <x:c r="D708" s="9" t="n">
        <x:v>9.7</x:v>
      </x:c>
      <x:c r="E708" s="8" t="n">
        <x:v>20686</x:v>
      </x:c>
      <x:c r="F708" s="8" t="n">
        <x:v>381</x:v>
      </x:c>
      <x:c r="G708" s="8" t="n">
        <x:v>253655</x:v>
      </x:c>
      <x:c r="H708" s="8" t="n">
        <x:v>590</x:v>
      </x:c>
      <x:c r="I708" s="8" t="n">
        <x:v>0</x:v>
      </x:c>
      <x:c r="J708" s="8" t="n">
        <x:v>533</x:v>
      </x:c>
      <x:c r="K708" s="8" t="n">
        <x:v>2170</x:v>
      </x:c>
      <x:c r="L708" s="1" t="str">
        <x:v>Нет</x:v>
      </x:c>
      <x:c r="M708" s="1" t="n">
        <x:v>432927</x:v>
      </x:c>
    </x:row>
    <x:row r="709">
      <x:c r="A709" s="1" t="str">
        <x:v>333121379</x:v>
      </x:c>
      <x:c r="B709" s="1" t="str">
        <x:v>topmayka/розовый</x:v>
      </x:c>
      <x:c r="C709" s="1" t="str">
        <x:v>Топы</x:v>
      </x:c>
      <x:c r="D709" s="9" t="n">
        <x:v>9</x:v>
      </x:c>
      <x:c r="E709" s="8" t="n">
        <x:v>43530</x:v>
      </x:c>
      <x:c r="F709" s="8" t="n">
        <x:v>849</x:v>
      </x:c>
      <x:c r="G709" s="8" t="n">
        <x:v>252245</x:v>
      </x:c>
      <x:c r="H709" s="8" t="n">
        <x:v>340</x:v>
      </x:c>
      <x:c r="I709" s="8" t="n">
        <x:v>0</x:v>
      </x:c>
      <x:c r="J709" s="8" t="n">
        <x:v>0</x:v>
      </x:c>
      <x:c r="K709" s="8" t="n">
        <x:v>592</x:v>
      </x:c>
      <x:c r="L709" s="1" t="str">
        <x:v>Нет</x:v>
      </x:c>
      <x:c r="M709" s="1" t="n">
        <x:v>0</x:v>
      </x:c>
    </x:row>
    <x:row r="710">
      <x:c r="A710" s="1" t="str">
        <x:v>234287048</x:v>
      </x:c>
      <x:c r="B710" s="1" t="str">
        <x:v>svitshotmanpetl/темно-серый</x:v>
      </x:c>
      <x:c r="C710" s="1" t="str">
        <x:v>Свитшоты</x:v>
      </x:c>
      <x:c r="D710" s="9" t="n">
        <x:v>6.7</x:v>
      </x:c>
      <x:c r="E710" s="8" t="n">
        <x:v>16281</x:v>
      </x:c>
      <x:c r="F710" s="8" t="n">
        <x:v>264</x:v>
      </x:c>
      <x:c r="G710" s="8" t="n">
        <x:v>251557</x:v>
      </x:c>
      <x:c r="H710" s="8" t="n">
        <x:v>32</x:v>
      </x:c>
      <x:c r="I710" s="8" t="n">
        <x:v>0</x:v>
      </x:c>
      <x:c r="J710" s="8" t="n">
        <x:v>549</x:v>
      </x:c>
      <x:c r="K710" s="8" t="n">
        <x:v>2260</x:v>
      </x:c>
      <x:c r="L710" s="1" t="str">
        <x:v>Нет</x:v>
      </x:c>
      <x:c r="M710" s="1" t="n">
        <x:v>534823</x:v>
      </x:c>
    </x:row>
    <x:row r="711">
      <x:c r="A711" s="1" t="str">
        <x:v>289102048</x:v>
      </x:c>
      <x:c r="B711" s="1" t="str">
        <x:v>tolstovkazip3P-70/серыймеланж2</x:v>
      </x:c>
      <x:c r="C711" s="1" t="str">
        <x:v>Худи</x:v>
      </x:c>
      <x:c r="D711" s="9" t="n">
        <x:v>9.7</x:v>
      </x:c>
      <x:c r="E711" s="8" t="n">
        <x:v>38039</x:v>
      </x:c>
      <x:c r="F711" s="8" t="n">
        <x:v>290</x:v>
      </x:c>
      <x:c r="G711" s="8" t="n">
        <x:v>251440</x:v>
      </x:c>
      <x:c r="H711" s="8" t="n">
        <x:v>8</x:v>
      </x:c>
      <x:c r="I711" s="8" t="n">
        <x:v>0</x:v>
      </x:c>
      <x:c r="J711" s="8" t="n">
        <x:v>448</x:v>
      </x:c>
      <x:c r="K711" s="8" t="n">
        <x:v>2671</x:v>
      </x:c>
      <x:c r="L711" s="1" t="str">
        <x:v>Нет</x:v>
      </x:c>
      <x:c r="M711" s="1" t="n">
        <x:v>364150</x:v>
      </x:c>
    </x:row>
    <x:row r="712">
      <x:c r="A712" s="1" t="str">
        <x:v>202779212</x:v>
      </x:c>
      <x:c r="B712" s="1" t="str">
        <x:v>hudiprint/LoveNever-45/темно-серый</x:v>
      </x:c>
      <x:c r="C712" s="1" t="str">
        <x:v>Худи</x:v>
      </x:c>
      <x:c r="D712" s="9" t="n">
        <x:v>7.7</x:v>
      </x:c>
      <x:c r="E712" s="8" t="n">
        <x:v>26306</x:v>
      </x:c>
      <x:c r="F712" s="8" t="n">
        <x:v>241</x:v>
      </x:c>
      <x:c r="G712" s="8" t="n">
        <x:v>250669</x:v>
      </x:c>
      <x:c r="H712" s="8" t="n">
        <x:v>281</x:v>
      </x:c>
      <x:c r="I712" s="8" t="n">
        <x:v>0</x:v>
      </x:c>
      <x:c r="J712" s="8" t="n">
        <x:v>340</x:v>
      </x:c>
      <x:c r="K712" s="8" t="n">
        <x:v>2325</x:v>
      </x:c>
      <x:c r="L712" s="1" t="str">
        <x:v>Нет</x:v>
      </x:c>
      <x:c r="M712" s="1" t="n">
        <x:v>345700</x:v>
      </x:c>
    </x:row>
    <x:row r="713">
      <x:c r="A713" s="1" t="str">
        <x:v>235994338</x:v>
      </x:c>
      <x:c r="B713" s="1" t="str">
        <x:v>bazaboy/белый</x:v>
      </x:c>
      <x:c r="C713" s="1" t="str">
        <x:v>Футболки</x:v>
      </x:c>
      <x:c r="D713" s="9" t="n">
        <x:v>9.5</x:v>
      </x:c>
      <x:c r="E713" s="8" t="n">
        <x:v>14606</x:v>
      </x:c>
      <x:c r="F713" s="8" t="n">
        <x:v>942</x:v>
      </x:c>
      <x:c r="G713" s="8" t="n">
        <x:v>250508</x:v>
      </x:c>
      <x:c r="H713" s="8" t="n">
        <x:v>953</x:v>
      </x:c>
      <x:c r="I713" s="8" t="n">
        <x:v>0</x:v>
      </x:c>
      <x:c r="J713" s="8" t="n">
        <x:v>35</x:v>
      </x:c>
      <x:c r="K713" s="8" t="n">
        <x:v>477</x:v>
      </x:c>
      <x:c r="L713" s="1" t="str">
        <x:v>Нет</x:v>
      </x:c>
      <x:c r="M713" s="1" t="n">
        <x:v>12250</x:v>
      </x:c>
    </x:row>
    <x:row r="714">
      <x:c r="A714" s="1" t="str">
        <x:v>331723393</x:v>
      </x:c>
      <x:c r="B714" s="1" t="str">
        <x:v>futkryl3K-101/бордовый</x:v>
      </x:c>
      <x:c r="C714" s="1" t="str">
        <x:v>Футболки</x:v>
      </x:c>
      <x:c r="D714" s="9" t="n">
        <x:v>8.4</x:v>
      </x:c>
      <x:c r="E714" s="8" t="n">
        <x:v>58880</x:v>
      </x:c>
      <x:c r="F714" s="8" t="n">
        <x:v>720</x:v>
      </x:c>
      <x:c r="G714" s="8" t="n">
        <x:v>250161</x:v>
      </x:c>
      <x:c r="H714" s="8" t="n">
        <x:v>37</x:v>
      </x:c>
      <x:c r="I714" s="8" t="n">
        <x:v>0</x:v>
      </x:c>
      <x:c r="J714" s="8" t="n">
        <x:v>0</x:v>
      </x:c>
      <x:c r="K714" s="8" t="n">
        <x:v>755</x:v>
      </x:c>
      <x:c r="L714" s="1" t="str">
        <x:v>Нет</x:v>
      </x:c>
      <x:c r="M714" s="1" t="n">
        <x:v>0</x:v>
      </x:c>
    </x:row>
    <x:row r="715">
      <x:c r="A715" s="1" t="str">
        <x:v>175116982</x:v>
      </x:c>
      <x:c r="B715" s="1" t="str">
        <x:v>reglanman/серовато-розовый</x:v>
      </x:c>
      <x:c r="C715" s="1" t="str">
        <x:v>Лонгсливы</x:v>
      </x:c>
      <x:c r="D715" s="9" t="n">
        <x:v>7.2</x:v>
      </x:c>
      <x:c r="E715" s="8" t="n">
        <x:v>25322</x:v>
      </x:c>
      <x:c r="F715" s="8" t="n">
        <x:v>610</x:v>
      </x:c>
      <x:c r="G715" s="8" t="n">
        <x:v>248299</x:v>
      </x:c>
      <x:c r="H715" s="8" t="n">
        <x:v>306</x:v>
      </x:c>
      <x:c r="I715" s="8" t="n">
        <x:v>0</x:v>
      </x:c>
      <x:c r="J715" s="8" t="n">
        <x:v>336</x:v>
      </x:c>
      <x:c r="K715" s="8" t="n">
        <x:v>1086</x:v>
      </x:c>
      <x:c r="L715" s="1" t="str">
        <x:v>Нет</x:v>
      </x:c>
      <x:c r="M715" s="1" t="n">
        <x:v>168009</x:v>
      </x:c>
    </x:row>
    <x:row r="716">
      <x:c r="A716" s="1" t="str">
        <x:v>293297748</x:v>
      </x:c>
      <x:c r="B716" s="1" t="str">
        <x:v>2Nlongman4D-69/серый</x:v>
      </x:c>
      <x:c r="C716" s="1" t="str">
        <x:v>Лонгсливы</x:v>
      </x:c>
      <x:c r="D716" s="9" t="n">
        <x:v>9</x:v>
      </x:c>
      <x:c r="E716" s="8" t="n">
        <x:v>20401</x:v>
      </x:c>
      <x:c r="F716" s="8" t="n">
        <x:v>405</x:v>
      </x:c>
      <x:c r="G716" s="8" t="n">
        <x:v>247935</x:v>
      </x:c>
      <x:c r="H716" s="8" t="n">
        <x:v>1</x:v>
      </x:c>
      <x:c r="I716" s="8" t="n">
        <x:v>0</x:v>
      </x:c>
      <x:c r="J716" s="8" t="n">
        <x:v>540</x:v>
      </x:c>
      <x:c r="K716" s="8" t="n">
        <x:v>1490</x:v>
      </x:c>
      <x:c r="L716" s="1" t="str">
        <x:v>Нет</x:v>
      </x:c>
      <x:c r="M716" s="1" t="n">
        <x:v>362241</x:v>
      </x:c>
    </x:row>
    <x:row r="717">
      <x:c r="A717" s="1" t="str">
        <x:v>346811979</x:v>
      </x:c>
      <x:c r="B717" s="1" t="str">
        <x:v>longcrop3К-84/бордовый</x:v>
      </x:c>
      <x:c r="C717" s="1" t="str">
        <x:v>Лонгсливы</x:v>
      </x:c>
      <x:c r="D717" s="9" t="n">
        <x:v>8.7</x:v>
      </x:c>
      <x:c r="E717" s="8" t="n">
        <x:v>20268</x:v>
      </x:c>
      <x:c r="F717" s="8" t="n">
        <x:v>625</x:v>
      </x:c>
      <x:c r="G717" s="8" t="n">
        <x:v>247093</x:v>
      </x:c>
      <x:c r="H717" s="8" t="n">
        <x:v>60</x:v>
      </x:c>
      <x:c r="I717" s="8" t="n">
        <x:v>0</x:v>
      </x:c>
      <x:c r="J717" s="8" t="n">
        <x:v>0</x:v>
      </x:c>
      <x:c r="K717" s="8" t="n">
        <x:v>753</x:v>
      </x:c>
      <x:c r="L717" s="1" t="str">
        <x:v>Нет</x:v>
      </x:c>
      <x:c r="M717" s="1" t="n">
        <x:v>0</x:v>
      </x:c>
    </x:row>
    <x:row r="718">
      <x:c r="A718" s="1" t="str">
        <x:v>348218031</x:v>
      </x:c>
      <x:c r="B718" s="1" t="str">
        <x:v>bodyskims/розовый</x:v>
      </x:c>
      <x:c r="C718" s="1" t="str">
        <x:v>Блузки-боди</x:v>
      </x:c>
      <x:c r="D718" s="9" t="n">
        <x:v>8.7</x:v>
      </x:c>
      <x:c r="E718" s="8" t="n">
        <x:v>40349</x:v>
      </x:c>
      <x:c r="F718" s="8" t="n">
        <x:v>645</x:v>
      </x:c>
      <x:c r="G718" s="8" t="n">
        <x:v>247046</x:v>
      </x:c>
      <x:c r="H718" s="8" t="n">
        <x:v>7</x:v>
      </x:c>
      <x:c r="I718" s="8" t="n">
        <x:v>0</x:v>
      </x:c>
      <x:c r="J718" s="8" t="n">
        <x:v>0</x:v>
      </x:c>
      <x:c r="K718" s="8" t="n">
        <x:v>1006</x:v>
      </x:c>
      <x:c r="L718" s="1" t="str">
        <x:v>Нет</x:v>
      </x:c>
      <x:c r="M718" s="1" t="n">
        <x:v>0</x:v>
      </x:c>
    </x:row>
    <x:row r="719">
      <x:c r="A719" s="1" t="str">
        <x:v>246363141</x:v>
      </x:c>
      <x:c r="B719" s="1" t="str">
        <x:v>tolstovkazipman/хаки</x:v>
      </x:c>
      <x:c r="C719" s="1" t="str">
        <x:v>Худи</x:v>
      </x:c>
      <x:c r="D719" s="9" t="n">
        <x:v>9</x:v>
      </x:c>
      <x:c r="E719" s="8" t="n">
        <x:v>19740</x:v>
      </x:c>
      <x:c r="F719" s="8" t="n">
        <x:v>188</x:v>
      </x:c>
      <x:c r="G719" s="8" t="n">
        <x:v>246932</x:v>
      </x:c>
      <x:c r="H719" s="8" t="n">
        <x:v>0</x:v>
      </x:c>
      <x:c r="I719" s="8" t="n">
        <x:v>0</x:v>
      </x:c>
      <x:c r="J719" s="8" t="n">
        <x:v>240</x:v>
      </x:c>
      <x:c r="K719" s="8" t="n">
        <x:v>3098</x:v>
      </x:c>
      <x:c r="L719" s="1" t="str">
        <x:v>Нет</x:v>
      </x:c>
      <x:c r="M719" s="1" t="n">
        <x:v>260102</x:v>
      </x:c>
    </x:row>
    <x:row r="720">
      <x:c r="A720" s="1" t="str">
        <x:v>229200083</x:v>
      </x:c>
      <x:c r="B720" s="1" t="str">
        <x:v>futbolkaover100/вареныйсерый</x:v>
      </x:c>
      <x:c r="C720" s="1" t="str">
        <x:v>Футболки</x:v>
      </x:c>
      <x:c r="D720" s="9" t="n">
        <x:v>9.7</x:v>
      </x:c>
      <x:c r="E720" s="8" t="n">
        <x:v>26551</x:v>
      </x:c>
      <x:c r="F720" s="8" t="n">
        <x:v>379</x:v>
      </x:c>
      <x:c r="G720" s="8" t="n">
        <x:v>246663</x:v>
      </x:c>
      <x:c r="H720" s="8" t="n">
        <x:v>43</x:v>
      </x:c>
      <x:c r="I720" s="8" t="n">
        <x:v>0</x:v>
      </x:c>
      <x:c r="J720" s="8" t="n">
        <x:v>525</x:v>
      </x:c>
      <x:c r="K720" s="8" t="n">
        <x:v>1135</x:v>
      </x:c>
      <x:c r="L720" s="1" t="str">
        <x:v>Нет</x:v>
      </x:c>
      <x:c r="M720" s="1" t="n">
        <x:v>376291</x:v>
      </x:c>
    </x:row>
    <x:row r="721">
      <x:c r="A721" s="1" t="str">
        <x:v>332646313</x:v>
      </x:c>
      <x:c r="B721" s="1" t="str">
        <x:v>futbolkaprint/Cringe-255/розовый</x:v>
      </x:c>
      <x:c r="C721" s="1" t="str">
        <x:v>Футболки</x:v>
      </x:c>
      <x:c r="D721" s="9" t="n">
        <x:v>9.7</x:v>
      </x:c>
      <x:c r="E721" s="8" t="n">
        <x:v>58184</x:v>
      </x:c>
      <x:c r="F721" s="8" t="n">
        <x:v>417</x:v>
      </x:c>
      <x:c r="G721" s="8" t="n">
        <x:v>246289</x:v>
      </x:c>
      <x:c r="H721" s="8" t="n">
        <x:v>346</x:v>
      </x:c>
      <x:c r="I721" s="8" t="n">
        <x:v>0</x:v>
      </x:c>
      <x:c r="J721" s="8" t="n">
        <x:v>0</x:v>
      </x:c>
      <x:c r="K721" s="8" t="n">
        <x:v>1220</x:v>
      </x:c>
      <x:c r="L721" s="1" t="str">
        <x:v>Нет</x:v>
      </x:c>
      <x:c r="M721" s="1" t="n">
        <x:v>0</x:v>
      </x:c>
    </x:row>
    <x:row r="722">
      <x:c r="A722" s="1" t="str">
        <x:v>293278204</x:v>
      </x:c>
      <x:c r="B722" s="1" t="str">
        <x:v>tolstovkazip3P-70/темно-серый</x:v>
      </x:c>
      <x:c r="C722" s="1" t="str">
        <x:v>Худи</x:v>
      </x:c>
      <x:c r="D722" s="9" t="n">
        <x:v>9.7</x:v>
      </x:c>
      <x:c r="E722" s="8" t="n">
        <x:v>44508</x:v>
      </x:c>
      <x:c r="F722" s="8" t="n">
        <x:v>318</x:v>
      </x:c>
      <x:c r="G722" s="8" t="n">
        <x:v>246126</x:v>
      </x:c>
      <x:c r="H722" s="8" t="n">
        <x:v>153</x:v>
      </x:c>
      <x:c r="I722" s="8" t="n">
        <x:v>0</x:v>
      </x:c>
      <x:c r="J722" s="8" t="n">
        <x:v>442</x:v>
      </x:c>
      <x:c r="K722" s="8" t="n">
        <x:v>2684</x:v>
      </x:c>
      <x:c r="L722" s="1" t="str">
        <x:v>Нет</x:v>
      </x:c>
      <x:c r="M722" s="1" t="n">
        <x:v>332489</x:v>
      </x:c>
    </x:row>
    <x:row r="723">
      <x:c r="A723" s="1" t="str">
        <x:v>175116988</x:v>
      </x:c>
      <x:c r="B723" s="1" t="str">
        <x:v>reglanman/морскаяволна</x:v>
      </x:c>
      <x:c r="C723" s="1" t="str">
        <x:v>Лонгсливы</x:v>
      </x:c>
      <x:c r="D723" s="9" t="n">
        <x:v>7.2</x:v>
      </x:c>
      <x:c r="E723" s="8" t="n">
        <x:v>19001</x:v>
      </x:c>
      <x:c r="F723" s="8" t="n">
        <x:v>505</x:v>
      </x:c>
      <x:c r="G723" s="8" t="n">
        <x:v>244831</x:v>
      </x:c>
      <x:c r="H723" s="8" t="n">
        <x:v>133</x:v>
      </x:c>
      <x:c r="I723" s="8" t="n">
        <x:v>0</x:v>
      </x:c>
      <x:c r="J723" s="8" t="n">
        <x:v>585</x:v>
      </x:c>
      <x:c r="K723" s="8" t="n">
        <x:v>1087</x:v>
      </x:c>
      <x:c r="L723" s="1" t="str">
        <x:v>Нет</x:v>
      </x:c>
      <x:c r="M723" s="1" t="n">
        <x:v>344604</x:v>
      </x:c>
    </x:row>
    <x:row r="724">
      <x:c r="A724" s="1" t="str">
        <x:v>210248296</x:v>
      </x:c>
      <x:c r="B724" s="1" t="str">
        <x:v>kulirkamanprint/MovesMatter-73/молочный</x:v>
      </x:c>
      <x:c r="C724" s="1" t="str">
        <x:v>Футболки</x:v>
      </x:c>
      <x:c r="D724" s="9" t="n">
        <x:v>8.7</x:v>
      </x:c>
      <x:c r="E724" s="8" t="n">
        <x:v>14911</x:v>
      </x:c>
      <x:c r="F724" s="8" t="n">
        <x:v>392</x:v>
      </x:c>
      <x:c r="G724" s="8" t="n">
        <x:v>244735</x:v>
      </x:c>
      <x:c r="H724" s="8" t="n">
        <x:v>8</x:v>
      </x:c>
      <x:c r="I724" s="8" t="n">
        <x:v>0</x:v>
      </x:c>
      <x:c r="J724" s="8" t="n">
        <x:v>1055</x:v>
      </x:c>
      <x:c r="K724" s="8" t="n">
        <x:v>1221</x:v>
      </x:c>
      <x:c r="L724" s="1" t="str">
        <x:v>Нет</x:v>
      </x:c>
      <x:c r="M724" s="1" t="n">
        <x:v>708373</x:v>
      </x:c>
    </x:row>
    <x:row r="725">
      <x:c r="A725" s="1" t="str">
        <x:v>297720324</x:v>
      </x:c>
      <x:c r="B725" s="1" t="str">
        <x:v>hudicropprint/Cupid-251/дымка</x:v>
      </x:c>
      <x:c r="C725" s="1" t="str">
        <x:v>Худи</x:v>
      </x:c>
      <x:c r="D725" s="9" t="n">
        <x:v>9.7</x:v>
      </x:c>
      <x:c r="E725" s="8" t="n">
        <x:v>34672</x:v>
      </x:c>
      <x:c r="F725" s="8" t="n">
        <x:v>202</x:v>
      </x:c>
      <x:c r="G725" s="8" t="n">
        <x:v>243390</x:v>
      </x:c>
      <x:c r="H725" s="8" t="n">
        <x:v>0</x:v>
      </x:c>
      <x:c r="I725" s="8" t="n">
        <x:v>0</x:v>
      </x:c>
      <x:c r="J725" s="8" t="n">
        <x:v>330</x:v>
      </x:c>
      <x:c r="K725" s="8" t="n">
        <x:v>2924</x:v>
      </x:c>
      <x:c r="L725" s="1" t="str">
        <x:v>Нет</x:v>
      </x:c>
      <x:c r="M725" s="1" t="n">
        <x:v>434377</x:v>
      </x:c>
    </x:row>
    <x:row r="726">
      <x:c r="A726" s="1" t="str">
        <x:v>255376125</x:v>
      </x:c>
      <x:c r="B726" s="1" t="str">
        <x:v>hudiprint/WITH-LOVE-212/графит</x:v>
      </x:c>
      <x:c r="C726" s="1" t="str">
        <x:v>Худи</x:v>
      </x:c>
      <x:c r="D726" s="9" t="n">
        <x:v>8.7</x:v>
      </x:c>
      <x:c r="E726" s="8" t="n">
        <x:v>22286</x:v>
      </x:c>
      <x:c r="F726" s="8" t="n">
        <x:v>251</x:v>
      </x:c>
      <x:c r="G726" s="8" t="n">
        <x:v>243089</x:v>
      </x:c>
      <x:c r="H726" s="8" t="n">
        <x:v>23</x:v>
      </x:c>
      <x:c r="I726" s="8" t="n">
        <x:v>0</x:v>
      </x:c>
      <x:c r="J726" s="8" t="n">
        <x:v>500</x:v>
      </x:c>
      <x:c r="K726" s="8" t="n">
        <x:v>2668</x:v>
      </x:c>
      <x:c r="L726" s="1" t="str">
        <x:v>Нет</x:v>
      </x:c>
      <x:c r="M726" s="1" t="n">
        <x:v>469901</x:v>
      </x:c>
    </x:row>
    <x:row r="727">
      <x:c r="A727" s="1" t="str">
        <x:v>244519339</x:v>
      </x:c>
      <x:c r="B727" s="1" t="str">
        <x:v>hudiprint/Amore-43/черный</x:v>
      </x:c>
      <x:c r="C727" s="1" t="str">
        <x:v>Худи</x:v>
      </x:c>
      <x:c r="D727" s="9" t="n">
        <x:v>8.7</x:v>
      </x:c>
      <x:c r="E727" s="8" t="n">
        <x:v>18348</x:v>
      </x:c>
      <x:c r="F727" s="8" t="n">
        <x:v>206</x:v>
      </x:c>
      <x:c r="G727" s="8" t="n">
        <x:v>242633</x:v>
      </x:c>
      <x:c r="H727" s="8" t="n">
        <x:v>1</x:v>
      </x:c>
      <x:c r="I727" s="8" t="n">
        <x:v>0</x:v>
      </x:c>
      <x:c r="J727" s="8" t="n">
        <x:v>571</x:v>
      </x:c>
      <x:c r="K727" s="8" t="n">
        <x:v>2498</x:v>
      </x:c>
      <x:c r="L727" s="1" t="str">
        <x:v>Нет</x:v>
      </x:c>
      <x:c r="M727" s="1" t="n">
        <x:v>608135</x:v>
      </x:c>
    </x:row>
    <x:row r="728">
      <x:c r="A728" s="1" t="str">
        <x:v>271724667</x:v>
      </x:c>
      <x:c r="B728" s="1" t="str">
        <x:v>svitshotover/вареныйсерый</x:v>
      </x:c>
      <x:c r="C728" s="1" t="str">
        <x:v>Свитшоты</x:v>
      </x:c>
      <x:c r="D728" s="9" t="n">
        <x:v>9.7</x:v>
      </x:c>
      <x:c r="E728" s="8" t="n">
        <x:v>32855</x:v>
      </x:c>
      <x:c r="F728" s="8" t="n">
        <x:v>351</x:v>
      </x:c>
      <x:c r="G728" s="8" t="n">
        <x:v>242295</x:v>
      </x:c>
      <x:c r="H728" s="8" t="n">
        <x:v>891</x:v>
      </x:c>
      <x:c r="I728" s="8" t="n">
        <x:v>0</x:v>
      </x:c>
      <x:c r="J728" s="8" t="n">
        <x:v>297</x:v>
      </x:c>
      <x:c r="K728" s="8" t="n">
        <x:v>2003</x:v>
      </x:c>
      <x:c r="L728" s="1" t="str">
        <x:v>Нет</x:v>
      </x:c>
      <x:c r="M728" s="1" t="n">
        <x:v>228180</x:v>
      </x:c>
    </x:row>
    <x:row r="729">
      <x:c r="A729" s="1" t="str">
        <x:v>246369361</x:v>
      </x:c>
      <x:c r="B729" s="1" t="str">
        <x:v>tolstovkazipman/вареныйсерый</x:v>
      </x:c>
      <x:c r="C729" s="1" t="str">
        <x:v>Худи</x:v>
      </x:c>
      <x:c r="D729" s="9" t="n">
        <x:v>9</x:v>
      </x:c>
      <x:c r="E729" s="8" t="n">
        <x:v>17562</x:v>
      </x:c>
      <x:c r="F729" s="8" t="n">
        <x:v>208</x:v>
      </x:c>
      <x:c r="G729" s="8" t="n">
        <x:v>241947</x:v>
      </x:c>
      <x:c r="H729" s="8" t="n">
        <x:v>3</x:v>
      </x:c>
      <x:c r="I729" s="8" t="n">
        <x:v>0</x:v>
      </x:c>
      <x:c r="J729" s="8" t="n">
        <x:v>311</x:v>
      </x:c>
      <x:c r="K729" s="8" t="n">
        <x:v>3349</x:v>
      </x:c>
      <x:c r="L729" s="1" t="str">
        <x:v>Нет</x:v>
      </x:c>
      <x:c r="M729" s="1" t="n">
        <x:v>359307</x:v>
      </x:c>
    </x:row>
    <x:row r="730">
      <x:c r="A730" s="1" t="str">
        <x:v>239852081</x:v>
      </x:c>
      <x:c r="B730" s="1" t="str">
        <x:v>svitshotrukpetl/черный</x:v>
      </x:c>
      <x:c r="C730" s="1" t="str">
        <x:v>Свитшоты</x:v>
      </x:c>
      <x:c r="D730" s="9" t="n">
        <x:v>7.7</x:v>
      </x:c>
      <x:c r="E730" s="8" t="n">
        <x:v>19551</x:v>
      </x:c>
      <x:c r="F730" s="8" t="n">
        <x:v>314</x:v>
      </x:c>
      <x:c r="G730" s="8" t="n">
        <x:v>241902</x:v>
      </x:c>
      <x:c r="H730" s="8" t="n">
        <x:v>42</x:v>
      </x:c>
      <x:c r="I730" s="8" t="n">
        <x:v>0</x:v>
      </x:c>
      <x:c r="J730" s="8" t="n">
        <x:v>304</x:v>
      </x:c>
      <x:c r="K730" s="8" t="n">
        <x:v>2231</x:v>
      </x:c>
      <x:c r="L730" s="1" t="str">
        <x:v>Нет</x:v>
      </x:c>
      <x:c r="M730" s="1" t="n">
        <x:v>245668</x:v>
      </x:c>
    </x:row>
    <x:row r="731">
      <x:c r="A731" s="1" t="str">
        <x:v>145845814</x:v>
      </x:c>
      <x:c r="B731" s="1" t="str">
        <x:v>svitshotman/графит</x:v>
      </x:c>
      <x:c r="C731" s="1" t="str">
        <x:v>Свитшоты</x:v>
      </x:c>
      <x:c r="D731" s="9" t="n">
        <x:v>9.7</x:v>
      </x:c>
      <x:c r="E731" s="8" t="n">
        <x:v>14719</x:v>
      </x:c>
      <x:c r="F731" s="8" t="n">
        <x:v>250</x:v>
      </x:c>
      <x:c r="G731" s="8" t="n">
        <x:v>241059</x:v>
      </x:c>
      <x:c r="H731" s="8" t="n">
        <x:v>433</x:v>
      </x:c>
      <x:c r="I731" s="8" t="n">
        <x:v>0</x:v>
      </x:c>
      <x:c r="J731" s="8" t="n">
        <x:v>310</x:v>
      </x:c>
      <x:c r="K731" s="8" t="n">
        <x:v>2284</x:v>
      </x:c>
      <x:c r="L731" s="1" t="str">
        <x:v>Нет</x:v>
      </x:c>
      <x:c r="M731" s="1" t="n">
        <x:v>324810</x:v>
      </x:c>
    </x:row>
    <x:row r="732">
      <x:c r="A732" s="1" t="str">
        <x:v>344184287</x:v>
      </x:c>
      <x:c r="B732" s="1" t="str">
        <x:v>longslim3К-81/бордовый</x:v>
      </x:c>
      <x:c r="C732" s="1" t="str">
        <x:v>Лонгсливы</x:v>
      </x:c>
      <x:c r="D732" s="9" t="n">
        <x:v>8.7</x:v>
      </x:c>
      <x:c r="E732" s="8" t="n">
        <x:v>27076</x:v>
      </x:c>
      <x:c r="F732" s="8" t="n">
        <x:v>509</x:v>
      </x:c>
      <x:c r="G732" s="8" t="n">
        <x:v>240935</x:v>
      </x:c>
      <x:c r="H732" s="8" t="n">
        <x:v>2</x:v>
      </x:c>
      <x:c r="I732" s="8" t="n">
        <x:v>0</x:v>
      </x:c>
      <x:c r="J732" s="8" t="n">
        <x:v>0</x:v>
      </x:c>
      <x:c r="K732" s="8" t="n">
        <x:v>1041</x:v>
      </x:c>
      <x:c r="L732" s="1" t="str">
        <x:v>Нет</x:v>
      </x:c>
      <x:c r="M732" s="1" t="n">
        <x:v>0</x:v>
      </x:c>
    </x:row>
    <x:row r="733">
      <x:c r="A733" s="1" t="str">
        <x:v>344396796</x:v>
      </x:c>
      <x:c r="B733" s="1" t="str">
        <x:v>malyshkabasic/черный</x:v>
      </x:c>
      <x:c r="C733" s="1" t="str">
        <x:v>Футболки</x:v>
      </x:c>
      <x:c r="D733" s="9" t="n">
        <x:v>7.9</x:v>
      </x:c>
      <x:c r="E733" s="8" t="n">
        <x:v>64021</x:v>
      </x:c>
      <x:c r="F733" s="8" t="n">
        <x:v>928</x:v>
      </x:c>
      <x:c r="G733" s="8" t="n">
        <x:v>240307</x:v>
      </x:c>
      <x:c r="H733" s="8" t="n">
        <x:v>407</x:v>
      </x:c>
      <x:c r="I733" s="8" t="n">
        <x:v>0</x:v>
      </x:c>
      <x:c r="J733" s="8" t="n">
        <x:v>0</x:v>
      </x:c>
      <x:c r="K733" s="8" t="n">
        <x:v>672</x:v>
      </x:c>
      <x:c r="L733" s="1" t="str">
        <x:v>Нет</x:v>
      </x:c>
      <x:c r="M733" s="1" t="n">
        <x:v>0</x:v>
      </x:c>
    </x:row>
    <x:row r="734">
      <x:c r="A734" s="1" t="str">
        <x:v>246369375</x:v>
      </x:c>
      <x:c r="B734" s="1" t="str">
        <x:v>tolstovkazip/вареныйсерый</x:v>
      </x:c>
      <x:c r="C734" s="1" t="str">
        <x:v>Худи</x:v>
      </x:c>
      <x:c r="D734" s="9" t="n">
        <x:v>9.7</x:v>
      </x:c>
      <x:c r="E734" s="8" t="n">
        <x:v>31128</x:v>
      </x:c>
      <x:c r="F734" s="8" t="n">
        <x:v>162</x:v>
      </x:c>
      <x:c r="G734" s="8" t="n">
        <x:v>239434</x:v>
      </x:c>
      <x:c r="H734" s="8" t="n">
        <x:v>2</x:v>
      </x:c>
      <x:c r="I734" s="8" t="n">
        <x:v>0</x:v>
      </x:c>
      <x:c r="J734" s="8" t="n">
        <x:v>390</x:v>
      </x:c>
      <x:c r="K734" s="8" t="n">
        <x:v>3424</x:v>
      </x:c>
      <x:c r="L734" s="1" t="str">
        <x:v>Нет</x:v>
      </x:c>
      <x:c r="M734" s="1" t="n">
        <x:v>564530</x:v>
      </x:c>
    </x:row>
    <x:row r="735">
      <x:c r="A735" s="1" t="str">
        <x:v>296186655</x:v>
      </x:c>
      <x:c r="B735" s="1" t="str">
        <x:v>shtanyman4P-79/темно-синий</x:v>
      </x:c>
      <x:c r="C735" s="1" t="str">
        <x:v>Брюки</x:v>
      </x:c>
      <x:c r="D735" s="9" t="n">
        <x:v>8.4</x:v>
      </x:c>
      <x:c r="E735" s="8" t="n">
        <x:v>20236</x:v>
      </x:c>
      <x:c r="F735" s="8" t="n">
        <x:v>453</x:v>
      </x:c>
      <x:c r="G735" s="8" t="n">
        <x:v>239281</x:v>
      </x:c>
      <x:c r="H735" s="8" t="n">
        <x:v>232</x:v>
      </x:c>
      <x:c r="I735" s="8" t="n">
        <x:v>0</x:v>
      </x:c>
      <x:c r="J735" s="8" t="n">
        <x:v>278</x:v>
      </x:c>
      <x:c r="K735" s="8" t="n">
        <x:v>2261</x:v>
      </x:c>
      <x:c r="L735" s="1" t="str">
        <x:v>Нет</x:v>
      </x:c>
      <x:c r="M735" s="1" t="n">
        <x:v>163205</x:v>
      </x:c>
    </x:row>
    <x:row r="736">
      <x:c r="A736" s="1" t="str">
        <x:v>193100151</x:v>
      </x:c>
      <x:c r="B736" s="1" t="str">
        <x:v>svitshotzip1/молочный</x:v>
      </x:c>
      <x:c r="C736" s="1" t="str">
        <x:v>Свитшоты</x:v>
      </x:c>
      <x:c r="D736" s="9" t="n">
        <x:v>9.7</x:v>
      </x:c>
      <x:c r="E736" s="8" t="n">
        <x:v>19443</x:v>
      </x:c>
      <x:c r="F736" s="8" t="n">
        <x:v>394</x:v>
      </x:c>
      <x:c r="G736" s="8" t="n">
        <x:v>238932</x:v>
      </x:c>
      <x:c r="H736" s="8" t="n">
        <x:v>67</x:v>
      </x:c>
      <x:c r="I736" s="8" t="n">
        <x:v>0</x:v>
      </x:c>
      <x:c r="J736" s="8" t="n">
        <x:v>469</x:v>
      </x:c>
      <x:c r="K736" s="8" t="n">
        <x:v>2829</x:v>
      </x:c>
      <x:c r="L736" s="1" t="str">
        <x:v>Нет</x:v>
      </x:c>
      <x:c r="M736" s="1" t="n">
        <x:v>383400</x:v>
      </x:c>
    </x:row>
    <x:row r="737">
      <x:c r="A737" s="1" t="str">
        <x:v>306156816</x:v>
      </x:c>
      <x:c r="B737" s="1" t="str">
        <x:v>svitman4F-S-7/молочный</x:v>
      </x:c>
      <x:c r="C737" s="1" t="str">
        <x:v>Свитшоты</x:v>
      </x:c>
      <x:c r="D737" s="9" t="n">
        <x:v>8.7</x:v>
      </x:c>
      <x:c r="E737" s="8" t="n">
        <x:v>21035</x:v>
      </x:c>
      <x:c r="F737" s="8" t="n">
        <x:v>355</x:v>
      </x:c>
      <x:c r="G737" s="8" t="n">
        <x:v>238536</x:v>
      </x:c>
      <x:c r="H737" s="8" t="n">
        <x:v>144</x:v>
      </x:c>
      <x:c r="I737" s="8" t="n">
        <x:v>0</x:v>
      </x:c>
      <x:c r="J737" s="8" t="n">
        <x:v>236</x:v>
      </x:c>
      <x:c r="K737" s="8" t="n">
        <x:v>2173</x:v>
      </x:c>
      <x:c r="L737" s="1" t="str">
        <x:v>Нет</x:v>
      </x:c>
      <x:c r="M737" s="1" t="n">
        <x:v>170865</x:v>
      </x:c>
    </x:row>
    <x:row r="738">
      <x:c r="A738" s="1" t="str">
        <x:v>322137307</x:v>
      </x:c>
      <x:c r="B738" s="1" t="str">
        <x:v>longpolo3K-90/черный</x:v>
      </x:c>
      <x:c r="C738" s="1" t="str">
        <x:v>Лонгсливы</x:v>
      </x:c>
      <x:c r="D738" s="9" t="n">
        <x:v>8.7</x:v>
      </x:c>
      <x:c r="E738" s="8" t="n">
        <x:v>46966</x:v>
      </x:c>
      <x:c r="F738" s="8" t="n">
        <x:v>451</x:v>
      </x:c>
      <x:c r="G738" s="8" t="n">
        <x:v>238140</x:v>
      </x:c>
      <x:c r="H738" s="8" t="n">
        <x:v>632</x:v>
      </x:c>
      <x:c r="I738" s="8" t="n">
        <x:v>0</x:v>
      </x:c>
      <x:c r="J738" s="8" t="n">
        <x:v>90</x:v>
      </x:c>
      <x:c r="K738" s="8" t="n">
        <x:v>1364</x:v>
      </x:c>
      <x:c r="L738" s="1" t="str">
        <x:v>Нет</x:v>
      </x:c>
      <x:c r="M738" s="1" t="n">
        <x:v>49449</x:v>
      </x:c>
    </x:row>
    <x:row r="739">
      <x:c r="A739" s="1" t="str">
        <x:v>175116970</x:v>
      </x:c>
      <x:c r="B739" s="1" t="str">
        <x:v>reglanman/молочный</x:v>
      </x:c>
      <x:c r="C739" s="1" t="str">
        <x:v>Лонгсливы</x:v>
      </x:c>
      <x:c r="D739" s="9" t="n">
        <x:v>8</x:v>
      </x:c>
      <x:c r="E739" s="8" t="n">
        <x:v>18977</x:v>
      </x:c>
      <x:c r="F739" s="8" t="n">
        <x:v>536</x:v>
      </x:c>
      <x:c r="G739" s="8" t="n">
        <x:v>238046</x:v>
      </x:c>
      <x:c r="H739" s="8" t="n">
        <x:v>2083</x:v>
      </x:c>
      <x:c r="I739" s="8" t="n">
        <x:v>0</x:v>
      </x:c>
      <x:c r="J739" s="8" t="n">
        <x:v>215</x:v>
      </x:c>
      <x:c r="K739" s="8" t="n">
        <x:v>1091</x:v>
      </x:c>
      <x:c r="L739" s="1" t="str">
        <x:v>Нет</x:v>
      </x:c>
      <x:c r="M739" s="1" t="n">
        <x:v>123749</x:v>
      </x:c>
    </x:row>
    <x:row r="740">
      <x:c r="A740" s="1" t="str">
        <x:v>181096362</x:v>
      </x:c>
      <x:c r="B740" s="1" t="str">
        <x:v>kostyum/темно-серый</x:v>
      </x:c>
      <x:c r="C740" s="1" t="str">
        <x:v>Костюмы спортивные</x:v>
      </x:c>
      <x:c r="D740" s="9" t="n">
        <x:v>8.7</x:v>
      </x:c>
      <x:c r="E740" s="8" t="n">
        <x:v>39925</x:v>
      </x:c>
      <x:c r="F740" s="8" t="n">
        <x:v>157</x:v>
      </x:c>
      <x:c r="G740" s="8" t="n">
        <x:v>237948</x:v>
      </x:c>
      <x:c r="H740" s="8" t="n">
        <x:v>255</x:v>
      </x:c>
      <x:c r="I740" s="8" t="n">
        <x:v>0</x:v>
      </x:c>
      <x:c r="J740" s="8" t="n">
        <x:v>195</x:v>
      </x:c>
      <x:c r="K740" s="8" t="n">
        <x:v>4325</x:v>
      </x:c>
      <x:c r="L740" s="1" t="str">
        <x:v>Нет</x:v>
      </x:c>
      <x:c r="M740" s="1" t="n">
        <x:v>298244</x:v>
      </x:c>
    </x:row>
    <x:row r="741">
      <x:c r="A741" s="1" t="str">
        <x:v>145845806</x:v>
      </x:c>
      <x:c r="B741" s="1" t="str">
        <x:v>svitshotman/бордовый</x:v>
      </x:c>
      <x:c r="C741" s="1" t="str">
        <x:v>Свитшоты</x:v>
      </x:c>
      <x:c r="D741" s="9" t="n">
        <x:v>9.7</x:v>
      </x:c>
      <x:c r="E741" s="8" t="n">
        <x:v>11192</x:v>
      </x:c>
      <x:c r="F741" s="8" t="n">
        <x:v>263</x:v>
      </x:c>
      <x:c r="G741" s="8" t="n">
        <x:v>237675</x:v>
      </x:c>
      <x:c r="H741" s="8" t="n">
        <x:v>202</x:v>
      </x:c>
      <x:c r="I741" s="8" t="n">
        <x:v>0</x:v>
      </x:c>
      <x:c r="J741" s="8" t="n">
        <x:v>420</x:v>
      </x:c>
      <x:c r="K741" s="8" t="n">
        <x:v>2446</x:v>
      </x:c>
      <x:c r="L741" s="1" t="str">
        <x:v>Нет</x:v>
      </x:c>
      <x:c r="M741" s="1" t="n">
        <x:v>450586</x:v>
      </x:c>
    </x:row>
    <x:row r="742">
      <x:c r="A742" s="1" t="str">
        <x:v>245583523</x:v>
      </x:c>
      <x:c r="B742" s="1" t="str">
        <x:v>hudiprint/SaintLouis-76/молочный</x:v>
      </x:c>
      <x:c r="C742" s="1" t="str">
        <x:v>Худи</x:v>
      </x:c>
      <x:c r="D742" s="9" t="n">
        <x:v>9.7</x:v>
      </x:c>
      <x:c r="E742" s="8" t="n">
        <x:v>21759</x:v>
      </x:c>
      <x:c r="F742" s="8" t="n">
        <x:v>218</x:v>
      </x:c>
      <x:c r="G742" s="8" t="n">
        <x:v>237272</x:v>
      </x:c>
      <x:c r="H742" s="8" t="n">
        <x:v>530</x:v>
      </x:c>
      <x:c r="I742" s="8" t="n">
        <x:v>0</x:v>
      </x:c>
      <x:c r="J742" s="8" t="n">
        <x:v>504</x:v>
      </x:c>
      <x:c r="K742" s="8" t="n">
        <x:v>2442</x:v>
      </x:c>
      <x:c r="L742" s="1" t="str">
        <x:v>Нет</x:v>
      </x:c>
      <x:c r="M742" s="1" t="n">
        <x:v>498493</x:v>
      </x:c>
    </x:row>
    <x:row r="743">
      <x:c r="A743" s="1" t="str">
        <x:v>240808495</x:v>
      </x:c>
      <x:c r="B743" s="1" t="str">
        <x:v>hudiboy/морскаяволна</x:v>
      </x:c>
      <x:c r="C743" s="1" t="str">
        <x:v>Худи</x:v>
      </x:c>
      <x:c r="D743" s="9" t="n">
        <x:v>7.7</x:v>
      </x:c>
      <x:c r="E743" s="8" t="n">
        <x:v>18164</x:v>
      </x:c>
      <x:c r="F743" s="8" t="n">
        <x:v>298</x:v>
      </x:c>
      <x:c r="G743" s="8" t="n">
        <x:v>235393</x:v>
      </x:c>
      <x:c r="H743" s="8" t="n">
        <x:v>176</x:v>
      </x:c>
      <x:c r="I743" s="8" t="n">
        <x:v>0</x:v>
      </x:c>
      <x:c r="J743" s="8" t="n">
        <x:v>617</x:v>
      </x:c>
      <x:c r="K743" s="8" t="n">
        <x:v>1315</x:v>
      </x:c>
      <x:c r="L743" s="1" t="str">
        <x:v>Нет</x:v>
      </x:c>
      <x:c r="M743" s="1" t="n">
        <x:v>547302</x:v>
      </x:c>
    </x:row>
    <x:row r="744">
      <x:c r="A744" s="1" t="str">
        <x:v>224897063</x:v>
      </x:c>
      <x:c r="B744" s="1" t="str">
        <x:v>kroptop/персиковый</x:v>
      </x:c>
      <x:c r="C744" s="1" t="str">
        <x:v>Футболки</x:v>
      </x:c>
      <x:c r="D744" s="9" t="n">
        <x:v>8.7</x:v>
      </x:c>
      <x:c r="E744" s="8" t="n">
        <x:v>39100</x:v>
      </x:c>
      <x:c r="F744" s="8" t="n">
        <x:v>616</x:v>
      </x:c>
      <x:c r="G744" s="8" t="n">
        <x:v>234394</x:v>
      </x:c>
      <x:c r="H744" s="8" t="n">
        <x:v>311</x:v>
      </x:c>
      <x:c r="I744" s="8" t="n">
        <x:v>0</x:v>
      </x:c>
      <x:c r="J744" s="8" t="n">
        <x:v>630</x:v>
      </x:c>
      <x:c r="K744" s="8" t="n">
        <x:v>789</x:v>
      </x:c>
      <x:c r="L744" s="1" t="str">
        <x:v>Нет</x:v>
      </x:c>
      <x:c r="M744" s="1" t="n">
        <x:v>234157</x:v>
      </x:c>
    </x:row>
    <x:row r="745">
      <x:c r="A745" s="1" t="str">
        <x:v>87046192</x:v>
      </x:c>
      <x:c r="B745" s="1" t="str">
        <x:v>kroptop/зеленый</x:v>
      </x:c>
      <x:c r="C745" s="1" t="str">
        <x:v>Футболки</x:v>
      </x:c>
      <x:c r="D745" s="9" t="n">
        <x:v>8.7</x:v>
      </x:c>
      <x:c r="E745" s="8" t="n">
        <x:v>28773</x:v>
      </x:c>
      <x:c r="F745" s="8" t="n">
        <x:v>595</x:v>
      </x:c>
      <x:c r="G745" s="8" t="n">
        <x:v>234156</x:v>
      </x:c>
      <x:c r="H745" s="8" t="n">
        <x:v>568</x:v>
      </x:c>
      <x:c r="I745" s="8" t="n">
        <x:v>0</x:v>
      </x:c>
      <x:c r="J745" s="8" t="n">
        <x:v>507</x:v>
      </x:c>
      <x:c r="K745" s="8" t="n">
        <x:v>805</x:v>
      </x:c>
      <x:c r="L745" s="1" t="str">
        <x:v>Нет</x:v>
      </x:c>
      <x:c r="M745" s="1" t="n">
        <x:v>179051</x:v>
      </x:c>
    </x:row>
    <x:row r="746">
      <x:c r="A746" s="1" t="str">
        <x:v>202779209</x:v>
      </x:c>
      <x:c r="B746" s="1" t="str">
        <x:v>hudiprint/Notmood-59/красный</x:v>
      </x:c>
      <x:c r="C746" s="1" t="str">
        <x:v>Худи</x:v>
      </x:c>
      <x:c r="D746" s="9" t="n">
        <x:v>9.7</x:v>
      </x:c>
      <x:c r="E746" s="8" t="n">
        <x:v>18603</x:v>
      </x:c>
      <x:c r="F746" s="8" t="n">
        <x:v>191</x:v>
      </x:c>
      <x:c r="G746" s="8" t="n">
        <x:v>233001</x:v>
      </x:c>
      <x:c r="H746" s="8" t="n">
        <x:v>45</x:v>
      </x:c>
      <x:c r="I746" s="8" t="n">
        <x:v>0</x:v>
      </x:c>
      <x:c r="J746" s="8" t="n">
        <x:v>520</x:v>
      </x:c>
      <x:c r="K746" s="8" t="n">
        <x:v>2409</x:v>
      </x:c>
      <x:c r="L746" s="1" t="str">
        <x:v>Нет</x:v>
      </x:c>
      <x:c r="M746" s="1" t="n">
        <x:v>561848</x:v>
      </x:c>
    </x:row>
    <x:row r="747">
      <x:c r="A747" s="1" t="str">
        <x:v>145845811</x:v>
      </x:c>
      <x:c r="B747" s="1" t="str">
        <x:v>svitshotman/темно-синий</x:v>
      </x:c>
      <x:c r="C747" s="1" t="str">
        <x:v>Свитшоты</x:v>
      </x:c>
      <x:c r="D747" s="9" t="n">
        <x:v>9.7</x:v>
      </x:c>
      <x:c r="E747" s="8" t="n">
        <x:v>13947</x:v>
      </x:c>
      <x:c r="F747" s="8" t="n">
        <x:v>312</x:v>
      </x:c>
      <x:c r="G747" s="8" t="n">
        <x:v>232769</x:v>
      </x:c>
      <x:c r="H747" s="8" t="n">
        <x:v>284</x:v>
      </x:c>
      <x:c r="I747" s="8" t="n">
        <x:v>0</x:v>
      </x:c>
      <x:c r="J747" s="8" t="n">
        <x:v>491</x:v>
      </x:c>
      <x:c r="K747" s="8" t="n">
        <x:v>2058</x:v>
      </x:c>
      <x:c r="L747" s="1" t="str">
        <x:v>Нет</x:v>
      </x:c>
      <x:c r="M747" s="1" t="n">
        <x:v>465779</x:v>
      </x:c>
    </x:row>
    <x:row r="748">
      <x:c r="A748" s="1" t="str">
        <x:v>183793816</x:v>
      </x:c>
      <x:c r="B748" s="1" t="str">
        <x:v>hudiprint/TDG-3/молочный</x:v>
      </x:c>
      <x:c r="C748" s="1" t="str">
        <x:v>Худи</x:v>
      </x:c>
      <x:c r="D748" s="9" t="n">
        <x:v>8.7</x:v>
      </x:c>
      <x:c r="E748" s="8" t="n">
        <x:v>30863</x:v>
      </x:c>
      <x:c r="F748" s="8" t="n">
        <x:v>256</x:v>
      </x:c>
      <x:c r="G748" s="8" t="n">
        <x:v>232462</x:v>
      </x:c>
      <x:c r="H748" s="8" t="n">
        <x:v>51</x:v>
      </x:c>
      <x:c r="I748" s="8" t="n">
        <x:v>0</x:v>
      </x:c>
      <x:c r="J748" s="8" t="n">
        <x:v>557</x:v>
      </x:c>
      <x:c r="K748" s="8" t="n">
        <x:v>2166</x:v>
      </x:c>
      <x:c r="L748" s="1" t="str">
        <x:v>Нет</x:v>
      </x:c>
      <x:c r="M748" s="1" t="n">
        <x:v>579267</x:v>
      </x:c>
    </x:row>
    <x:row r="749">
      <x:c r="A749" s="1" t="str">
        <x:v>239852088</x:v>
      </x:c>
      <x:c r="B749" s="1" t="str">
        <x:v>svitshotrukpetl/серыймеланж2</x:v>
      </x:c>
      <x:c r="C749" s="1" t="str">
        <x:v>Свитшоты</x:v>
      </x:c>
      <x:c r="D749" s="9" t="n">
        <x:v>9.7</x:v>
      </x:c>
      <x:c r="E749" s="8" t="n">
        <x:v>12780</x:v>
      </x:c>
      <x:c r="F749" s="8" t="n">
        <x:v>253</x:v>
      </x:c>
      <x:c r="G749" s="8" t="n">
        <x:v>232136</x:v>
      </x:c>
      <x:c r="H749" s="8" t="n">
        <x:v>1</x:v>
      </x:c>
      <x:c r="I749" s="8" t="n">
        <x:v>0</x:v>
      </x:c>
      <x:c r="J749" s="8" t="n">
        <x:v>388</x:v>
      </x:c>
      <x:c r="K749" s="8" t="n">
        <x:v>2154</x:v>
      </x:c>
      <x:c r="L749" s="1" t="str">
        <x:v>Нет</x:v>
      </x:c>
      <x:c r="M749" s="1" t="n">
        <x:v>296802</x:v>
      </x:c>
    </x:row>
    <x:row r="750">
      <x:c r="A750" s="1" t="str">
        <x:v>251775277</x:v>
      </x:c>
      <x:c r="B750" s="1" t="str">
        <x:v>hudiprint/FinalPoint-185/молочный</x:v>
      </x:c>
      <x:c r="C750" s="1" t="str">
        <x:v>Худи</x:v>
      </x:c>
      <x:c r="D750" s="9" t="n">
        <x:v>9.7</x:v>
      </x:c>
      <x:c r="E750" s="8" t="n">
        <x:v>30598</x:v>
      </x:c>
      <x:c r="F750" s="8" t="n">
        <x:v>265</x:v>
      </x:c>
      <x:c r="G750" s="8" t="n">
        <x:v>231149</x:v>
      </x:c>
      <x:c r="H750" s="8" t="n">
        <x:v>75</x:v>
      </x:c>
      <x:c r="I750" s="8" t="n">
        <x:v>0</x:v>
      </x:c>
      <x:c r="J750" s="8" t="n">
        <x:v>542</x:v>
      </x:c>
      <x:c r="K750" s="8" t="n">
        <x:v>2369</x:v>
      </x:c>
      <x:c r="L750" s="1" t="str">
        <x:v>Нет</x:v>
      </x:c>
      <x:c r="M750" s="1" t="n">
        <x:v>474642</x:v>
      </x:c>
    </x:row>
    <x:row r="751">
      <x:c r="A751" s="1" t="str">
        <x:v>234030770</x:v>
      </x:c>
      <x:c r="B751" s="1" t="str">
        <x:v>svitshotzipman2/темно-серый</x:v>
      </x:c>
      <x:c r="C751" s="1" t="str">
        <x:v>Свитшоты</x:v>
      </x:c>
      <x:c r="D751" s="9" t="n">
        <x:v>9.7</x:v>
      </x:c>
      <x:c r="E751" s="8" t="n">
        <x:v>23659</x:v>
      </x:c>
      <x:c r="F751" s="8" t="n">
        <x:v>279</x:v>
      </x:c>
      <x:c r="G751" s="8" t="n">
        <x:v>230248</x:v>
      </x:c>
      <x:c r="H751" s="8" t="n">
        <x:v>0</x:v>
      </x:c>
      <x:c r="I751" s="8" t="n">
        <x:v>0</x:v>
      </x:c>
      <x:c r="J751" s="8" t="n">
        <x:v>587</x:v>
      </x:c>
      <x:c r="K751" s="8" t="n">
        <x:v>2422</x:v>
      </x:c>
      <x:c r="L751" s="1" t="str">
        <x:v>Нет</x:v>
      </x:c>
      <x:c r="M751" s="1" t="n">
        <x:v>523201</x:v>
      </x:c>
    </x:row>
    <x:row r="752">
      <x:c r="A752" s="1" t="str">
        <x:v>241638618</x:v>
      </x:c>
      <x:c r="B752" s="1" t="str">
        <x:v>hudiprint/MovesWithLove-135/светло-розовый</x:v>
      </x:c>
      <x:c r="C752" s="1" t="str">
        <x:v>Худи</x:v>
      </x:c>
      <x:c r="D752" s="9" t="n">
        <x:v>8.7</x:v>
      </x:c>
      <x:c r="E752" s="8" t="n">
        <x:v>13295</x:v>
      </x:c>
      <x:c r="F752" s="8" t="n">
        <x:v>214</x:v>
      </x:c>
      <x:c r="G752" s="8" t="n">
        <x:v>229611</x:v>
      </x:c>
      <x:c r="H752" s="8" t="n">
        <x:v>1</x:v>
      </x:c>
      <x:c r="I752" s="8" t="n">
        <x:v>0</x:v>
      </x:c>
      <x:c r="J752" s="8" t="n">
        <x:v>906</x:v>
      </x:c>
      <x:c r="K752" s="8" t="n">
        <x:v>2470</x:v>
      </x:c>
      <x:c r="L752" s="1" t="str">
        <x:v>Нет</x:v>
      </x:c>
      <x:c r="M752" s="1" t="n">
        <x:v>1025522</x:v>
      </x:c>
    </x:row>
    <x:row r="753">
      <x:c r="A753" s="1" t="str">
        <x:v>288627684</x:v>
      </x:c>
      <x:c r="B753" s="1" t="str">
        <x:v>kostyum/серый</x:v>
      </x:c>
      <x:c r="C753" s="1" t="str">
        <x:v>Костюмы спортивные</x:v>
      </x:c>
      <x:c r="D753" s="9" t="n">
        <x:v>8.7</x:v>
      </x:c>
      <x:c r="E753" s="8" t="n">
        <x:v>23196</x:v>
      </x:c>
      <x:c r="F753" s="8" t="n">
        <x:v>183</x:v>
      </x:c>
      <x:c r="G753" s="8" t="n">
        <x:v>229203</x:v>
      </x:c>
      <x:c r="H753" s="8" t="n">
        <x:v>232</x:v>
      </x:c>
      <x:c r="I753" s="8" t="n">
        <x:v>0</x:v>
      </x:c>
      <x:c r="J753" s="8" t="n">
        <x:v>369</x:v>
      </x:c>
      <x:c r="K753" s="8" t="n">
        <x:v>4320</x:v>
      </x:c>
      <x:c r="L753" s="1" t="str">
        <x:v>Нет</x:v>
      </x:c>
      <x:c r="M753" s="1" t="n">
        <x:v>435142</x:v>
      </x:c>
    </x:row>
    <x:row r="754">
      <x:c r="A754" s="1" t="str">
        <x:v>316105856</x:v>
      </x:c>
      <x:c r="B754" s="1" t="str">
        <x:v>futbolkaprint/AStories-264/белый</x:v>
      </x:c>
      <x:c r="C754" s="1" t="str">
        <x:v>Футболки</x:v>
      </x:c>
      <x:c r="D754" s="9" t="n">
        <x:v>9.7</x:v>
      </x:c>
      <x:c r="E754" s="8" t="n">
        <x:v>48984</x:v>
      </x:c>
      <x:c r="F754" s="8" t="n">
        <x:v>376</x:v>
      </x:c>
      <x:c r="G754" s="8" t="n">
        <x:v>228755</x:v>
      </x:c>
      <x:c r="H754" s="8" t="n">
        <x:v>452</x:v>
      </x:c>
      <x:c r="I754" s="8" t="n">
        <x:v>0</x:v>
      </x:c>
      <x:c r="J754" s="8" t="n">
        <x:v>865</x:v>
      </x:c>
      <x:c r="K754" s="8" t="n">
        <x:v>1302</x:v>
      </x:c>
      <x:c r="L754" s="1" t="str">
        <x:v>Нет</x:v>
      </x:c>
      <x:c r="M754" s="1" t="n">
        <x:v>571601</x:v>
      </x:c>
    </x:row>
    <x:row r="755">
      <x:c r="A755" s="1" t="str">
        <x:v>306916575</x:v>
      </x:c>
      <x:c r="B755" s="1" t="str">
        <x:v>hudicropman4F-67/бордовый</x:v>
      </x:c>
      <x:c r="C755" s="1" t="str">
        <x:v>Худи</x:v>
      </x:c>
      <x:c r="D755" s="9" t="n">
        <x:v>9.7</x:v>
      </x:c>
      <x:c r="E755" s="8" t="n">
        <x:v>10783</x:v>
      </x:c>
      <x:c r="F755" s="8" t="n">
        <x:v>214</x:v>
      </x:c>
      <x:c r="G755" s="8" t="n">
        <x:v>228620</x:v>
      </x:c>
      <x:c r="H755" s="8" t="n">
        <x:v>4</x:v>
      </x:c>
      <x:c r="I755" s="8" t="n">
        <x:v>0</x:v>
      </x:c>
      <x:c r="J755" s="8" t="n">
        <x:v>381</x:v>
      </x:c>
      <x:c r="K755" s="8" t="n">
        <x:v>3087</x:v>
      </x:c>
      <x:c r="L755" s="1" t="str">
        <x:v>Нет</x:v>
      </x:c>
      <x:c r="M755" s="1" t="n">
        <x:v>380550</x:v>
      </x:c>
    </x:row>
    <x:row r="756">
      <x:c r="A756" s="1" t="str">
        <x:v>249222957</x:v>
      </x:c>
      <x:c r="B756" s="1" t="str">
        <x:v>svitshotpolopetl3P-60/песочный</x:v>
      </x:c>
      <x:c r="C756" s="1" t="str">
        <x:v>Свитшоты</x:v>
      </x:c>
      <x:c r="D756" s="9" t="n">
        <x:v>8.7</x:v>
      </x:c>
      <x:c r="E756" s="8" t="n">
        <x:v>32809</x:v>
      </x:c>
      <x:c r="F756" s="8" t="n">
        <x:v>372</x:v>
      </x:c>
      <x:c r="G756" s="8" t="n">
        <x:v>228494</x:v>
      </x:c>
      <x:c r="H756" s="8" t="n">
        <x:v>161</x:v>
      </x:c>
      <x:c r="I756" s="8" t="n">
        <x:v>0</x:v>
      </x:c>
      <x:c r="J756" s="8" t="n">
        <x:v>258</x:v>
      </x:c>
      <x:c r="K756" s="8" t="n">
        <x:v>2462</x:v>
      </x:c>
      <x:c r="L756" s="1" t="str">
        <x:v>Нет</x:v>
      </x:c>
      <x:c r="M756" s="1" t="n">
        <x:v>240688</x:v>
      </x:c>
    </x:row>
    <x:row r="757">
      <x:c r="A757" s="1" t="str">
        <x:v>246369370</x:v>
      </x:c>
      <x:c r="B757" s="1" t="str">
        <x:v>tolstovkazip/персиковый</x:v>
      </x:c>
      <x:c r="C757" s="1" t="str">
        <x:v>Худи</x:v>
      </x:c>
      <x:c r="D757" s="9" t="n">
        <x:v>9.7</x:v>
      </x:c>
      <x:c r="E757" s="8" t="n">
        <x:v>24800</x:v>
      </x:c>
      <x:c r="F757" s="8" t="n">
        <x:v>233</x:v>
      </x:c>
      <x:c r="G757" s="8" t="n">
        <x:v>227240</x:v>
      </x:c>
      <x:c r="H757" s="8" t="n">
        <x:v>1</x:v>
      </x:c>
      <x:c r="I757" s="8" t="n">
        <x:v>0</x:v>
      </x:c>
      <x:c r="J757" s="8" t="n">
        <x:v>306</x:v>
      </x:c>
      <x:c r="K757" s="8" t="n">
        <x:v>2556</x:v>
      </x:c>
      <x:c r="L757" s="1" t="str">
        <x:v>Нет</x:v>
      </x:c>
      <x:c r="M757" s="1" t="n">
        <x:v>318896</x:v>
      </x:c>
    </x:row>
    <x:row r="758">
      <x:c r="A758" s="1" t="str">
        <x:v>249222954</x:v>
      </x:c>
      <x:c r="B758" s="1" t="str">
        <x:v>svitshotpolopetl3P-60/черный</x:v>
      </x:c>
      <x:c r="C758" s="1" t="str">
        <x:v>Свитшоты</x:v>
      </x:c>
      <x:c r="D758" s="9" t="n">
        <x:v>8.7</x:v>
      </x:c>
      <x:c r="E758" s="8" t="n">
        <x:v>25805</x:v>
      </x:c>
      <x:c r="F758" s="8" t="n">
        <x:v>274</x:v>
      </x:c>
      <x:c r="G758" s="8" t="n">
        <x:v>226386</x:v>
      </x:c>
      <x:c r="H758" s="8" t="n">
        <x:v>969</x:v>
      </x:c>
      <x:c r="I758" s="8" t="n">
        <x:v>0</x:v>
      </x:c>
      <x:c r="J758" s="8" t="n">
        <x:v>194</x:v>
      </x:c>
      <x:c r="K758" s="8" t="n">
        <x:v>2441</x:v>
      </x:c>
      <x:c r="L758" s="1" t="str">
        <x:v>Нет</x:v>
      </x:c>
      <x:c r="M758" s="1" t="n">
        <x:v>199360</x:v>
      </x:c>
    </x:row>
    <x:row r="759">
      <x:c r="A759" s="1" t="str">
        <x:v>201761296</x:v>
      </x:c>
      <x:c r="B759" s="1" t="str">
        <x:v>hudiprint/Los-49/черный</x:v>
      </x:c>
      <x:c r="C759" s="1" t="str">
        <x:v>Худи</x:v>
      </x:c>
      <x:c r="D759" s="9" t="n">
        <x:v>9.7</x:v>
      </x:c>
      <x:c r="E759" s="8" t="n">
        <x:v>25783</x:v>
      </x:c>
      <x:c r="F759" s="8" t="n">
        <x:v>240</x:v>
      </x:c>
      <x:c r="G759" s="8" t="n">
        <x:v>226141</x:v>
      </x:c>
      <x:c r="H759" s="8" t="n">
        <x:v>157</x:v>
      </x:c>
      <x:c r="I759" s="8" t="n">
        <x:v>0</x:v>
      </x:c>
      <x:c r="J759" s="8" t="n">
        <x:v>330</x:v>
      </x:c>
      <x:c r="K759" s="8" t="n">
        <x:v>2501</x:v>
      </x:c>
      <x:c r="L759" s="1" t="str">
        <x:v>Нет</x:v>
      </x:c>
      <x:c r="M759" s="1" t="n">
        <x:v>363175</x:v>
      </x:c>
    </x:row>
    <x:row r="760">
      <x:c r="A760" s="1" t="str">
        <x:v>320421029</x:v>
      </x:c>
      <x:c r="B760" s="1" t="str">
        <x:v>shtanyfix/голубой</x:v>
      </x:c>
      <x:c r="C760" s="1" t="str">
        <x:v>Брюки</x:v>
      </x:c>
      <x:c r="D760" s="9" t="n">
        <x:v>8.2</x:v>
      </x:c>
      <x:c r="E760" s="8" t="n">
        <x:v>30109</x:v>
      </x:c>
      <x:c r="F760" s="8" t="n">
        <x:v>387</x:v>
      </x:c>
      <x:c r="G760" s="8" t="n">
        <x:v>226063</x:v>
      </x:c>
      <x:c r="H760" s="8" t="n">
        <x:v>70</x:v>
      </x:c>
      <x:c r="I760" s="8" t="n">
        <x:v>0</x:v>
      </x:c>
      <x:c r="J760" s="8" t="n">
        <x:v>104</x:v>
      </x:c>
      <x:c r="K760" s="8" t="n">
        <x:v>2514</x:v>
      </x:c>
      <x:c r="L760" s="1" t="str">
        <x:v>Нет</x:v>
      </x:c>
      <x:c r="M760" s="1" t="n">
        <x:v>55200</x:v>
      </x:c>
    </x:row>
    <x:row r="761">
      <x:c r="A761" s="1" t="str">
        <x:v>209915061</x:v>
      </x:c>
      <x:c r="B761" s="1" t="str">
        <x:v>longsvobod/коричневый</x:v>
      </x:c>
      <x:c r="C761" s="1" t="str">
        <x:v>Лонгсливы</x:v>
      </x:c>
      <x:c r="D761" s="9" t="n">
        <x:v>5.2</x:v>
      </x:c>
      <x:c r="E761" s="8" t="n">
        <x:v>42460</x:v>
      </x:c>
      <x:c r="F761" s="8" t="n">
        <x:v>645</x:v>
      </x:c>
      <x:c r="G761" s="8" t="n">
        <x:v>224948</x:v>
      </x:c>
      <x:c r="H761" s="8" t="n">
        <x:v>202</x:v>
      </x:c>
      <x:c r="I761" s="8" t="n">
        <x:v>0</x:v>
      </x:c>
      <x:c r="J761" s="8" t="n">
        <x:v>854</x:v>
      </x:c>
      <x:c r="K761" s="8" t="n">
        <x:v>1310</x:v>
      </x:c>
      <x:c r="L761" s="1" t="str">
        <x:v>Нет</x:v>
      </x:c>
      <x:c r="M761" s="1" t="n">
        <x:v>358654</x:v>
      </x:c>
    </x:row>
    <x:row r="762">
      <x:c r="A762" s="1" t="str">
        <x:v>234030780</x:v>
      </x:c>
      <x:c r="B762" s="1" t="str">
        <x:v>svitshotzipman2/песочный</x:v>
      </x:c>
      <x:c r="C762" s="1" t="str">
        <x:v>Свитшоты</x:v>
      </x:c>
      <x:c r="D762" s="9" t="n">
        <x:v>9.7</x:v>
      </x:c>
      <x:c r="E762" s="8" t="n">
        <x:v>18136</x:v>
      </x:c>
      <x:c r="F762" s="8" t="n">
        <x:v>286</x:v>
      </x:c>
      <x:c r="G762" s="8" t="n">
        <x:v>224630</x:v>
      </x:c>
      <x:c r="H762" s="8" t="n">
        <x:v>32</x:v>
      </x:c>
      <x:c r="I762" s="8" t="n">
        <x:v>0</x:v>
      </x:c>
      <x:c r="J762" s="8" t="n">
        <x:v>538</x:v>
      </x:c>
      <x:c r="K762" s="8" t="n">
        <x:v>2506</x:v>
      </x:c>
      <x:c r="L762" s="1" t="str">
        <x:v>Нет</x:v>
      </x:c>
      <x:c r="M762" s="1" t="n">
        <x:v>597600</x:v>
      </x:c>
    </x:row>
    <x:row r="763">
      <x:c r="A763" s="1" t="str">
        <x:v>300270086</x:v>
      </x:c>
      <x:c r="B763" s="1" t="str">
        <x:v>svitzip3P-S-5/молочный</x:v>
      </x:c>
      <x:c r="C763" s="1" t="str">
        <x:v>Свитшоты</x:v>
      </x:c>
      <x:c r="D763" s="9" t="n">
        <x:v>8.7</x:v>
      </x:c>
      <x:c r="E763" s="8" t="n">
        <x:v>32924</x:v>
      </x:c>
      <x:c r="F763" s="8" t="n">
        <x:v>353</x:v>
      </x:c>
      <x:c r="G763" s="8" t="n">
        <x:v>224458</x:v>
      </x:c>
      <x:c r="H763" s="8" t="n">
        <x:v>381</x:v>
      </x:c>
      <x:c r="I763" s="8" t="n">
        <x:v>0</x:v>
      </x:c>
      <x:c r="J763" s="8" t="n">
        <x:v>156</x:v>
      </x:c>
      <x:c r="K763" s="8" t="n">
        <x:v>2653</x:v>
      </x:c>
      <x:c r="L763" s="1" t="str">
        <x:v>Нет</x:v>
      </x:c>
      <x:c r="M763" s="1" t="n">
        <x:v>127200</x:v>
      </x:c>
    </x:row>
    <x:row r="764">
      <x:c r="A764" s="1" t="str">
        <x:v>220090354</x:v>
      </x:c>
      <x:c r="B764" s="1" t="str">
        <x:v>tolstovkazipcrop/светло-фиолетовый</x:v>
      </x:c>
      <x:c r="C764" s="1" t="str">
        <x:v>Худи</x:v>
      </x:c>
      <x:c r="D764" s="9" t="n">
        <x:v>7.7</x:v>
      </x:c>
      <x:c r="E764" s="8" t="n">
        <x:v>27309</x:v>
      </x:c>
      <x:c r="F764" s="8" t="n">
        <x:v>218</x:v>
      </x:c>
      <x:c r="G764" s="8" t="n">
        <x:v>223762</x:v>
      </x:c>
      <x:c r="H764" s="8" t="n">
        <x:v>1</x:v>
      </x:c>
      <x:c r="I764" s="8" t="n">
        <x:v>0</x:v>
      </x:c>
      <x:c r="J764" s="8" t="n">
        <x:v>256</x:v>
      </x:c>
      <x:c r="K764" s="8" t="n">
        <x:v>2512</x:v>
      </x:c>
      <x:c r="L764" s="1" t="str">
        <x:v>Нет</x:v>
      </x:c>
      <x:c r="M764" s="1" t="n">
        <x:v>275172</x:v>
      </x:c>
    </x:row>
    <x:row r="765">
      <x:c r="A765" s="1" t="str">
        <x:v>209914921</x:v>
      </x:c>
      <x:c r="B765" s="1" t="str">
        <x:v>longsvobod/бордовый</x:v>
      </x:c>
      <x:c r="C765" s="1" t="str">
        <x:v>Лонгсливы</x:v>
      </x:c>
      <x:c r="D765" s="9" t="n">
        <x:v>7.2</x:v>
      </x:c>
      <x:c r="E765" s="8" t="n">
        <x:v>51079</x:v>
      </x:c>
      <x:c r="F765" s="8" t="n">
        <x:v>676</x:v>
      </x:c>
      <x:c r="G765" s="8" t="n">
        <x:v>222845</x:v>
      </x:c>
      <x:c r="H765" s="8" t="n">
        <x:v>132</x:v>
      </x:c>
      <x:c r="I765" s="8" t="n">
        <x:v>0</x:v>
      </x:c>
      <x:c r="J765" s="8" t="n">
        <x:v>627</x:v>
      </x:c>
      <x:c r="K765" s="8" t="n">
        <x:v>1047</x:v>
      </x:c>
      <x:c r="L765" s="1" t="str">
        <x:v>Нет</x:v>
      </x:c>
      <x:c r="M765" s="1" t="n">
        <x:v>263857</x:v>
      </x:c>
    </x:row>
    <x:row r="766">
      <x:c r="A766" s="1" t="str">
        <x:v>295992958</x:v>
      </x:c>
      <x:c r="B766" s="1" t="str">
        <x:v>svitshotprint/Grace-244/бордовый</x:v>
      </x:c>
      <x:c r="C766" s="1" t="str">
        <x:v>Свитшоты</x:v>
      </x:c>
      <x:c r="D766" s="9" t="n">
        <x:v>9.7</x:v>
      </x:c>
      <x:c r="E766" s="8" t="n">
        <x:v>28824</x:v>
      </x:c>
      <x:c r="F766" s="8" t="n">
        <x:v>281</x:v>
      </x:c>
      <x:c r="G766" s="8" t="n">
        <x:v>221198</x:v>
      </x:c>
      <x:c r="H766" s="8" t="n">
        <x:v>35</x:v>
      </x:c>
      <x:c r="I766" s="8" t="n">
        <x:v>0</x:v>
      </x:c>
      <x:c r="J766" s="8" t="n">
        <x:v>411</x:v>
      </x:c>
      <x:c r="K766" s="8" t="n">
        <x:v>2385</x:v>
      </x:c>
      <x:c r="L766" s="1" t="str">
        <x:v>Нет</x:v>
      </x:c>
      <x:c r="M766" s="1" t="n">
        <x:v>320160</x:v>
      </x:c>
    </x:row>
    <x:row r="767">
      <x:c r="A767" s="1" t="str">
        <x:v>323191823</x:v>
      </x:c>
      <x:c r="B767" s="1" t="str">
        <x:v>polowoman3K-89/коричневый</x:v>
      </x:c>
      <x:c r="C767" s="1" t="str">
        <x:v>Футболки</x:v>
      </x:c>
      <x:c r="D767" s="9" t="n">
        <x:v>8.7</x:v>
      </x:c>
      <x:c r="E767" s="8" t="n">
        <x:v>43177</x:v>
      </x:c>
      <x:c r="F767" s="8" t="n">
        <x:v>428</x:v>
      </x:c>
      <x:c r="G767" s="8" t="n">
        <x:v>220018</x:v>
      </x:c>
      <x:c r="H767" s="8" t="n">
        <x:v>99</x:v>
      </x:c>
      <x:c r="I767" s="8" t="n">
        <x:v>0</x:v>
      </x:c>
      <x:c r="J767" s="8" t="n">
        <x:v>0</x:v>
      </x:c>
      <x:c r="K767" s="8" t="n">
        <x:v>1082</x:v>
      </x:c>
      <x:c r="L767" s="1" t="str">
        <x:v>Нет</x:v>
      </x:c>
      <x:c r="M767" s="1" t="n">
        <x:v>0</x:v>
      </x:c>
    </x:row>
    <x:row r="768">
      <x:c r="A768" s="1" t="str">
        <x:v>239852085</x:v>
      </x:c>
      <x:c r="B768" s="1" t="str">
        <x:v>svitshotrukpetl/светло-розовый</x:v>
      </x:c>
      <x:c r="C768" s="1" t="str">
        <x:v>Свитшоты</x:v>
      </x:c>
      <x:c r="D768" s="9" t="n">
        <x:v>9.7</x:v>
      </x:c>
      <x:c r="E768" s="8" t="n">
        <x:v>18557</x:v>
      </x:c>
      <x:c r="F768" s="8" t="n">
        <x:v>245</x:v>
      </x:c>
      <x:c r="G768" s="8" t="n">
        <x:v>219727</x:v>
      </x:c>
      <x:c r="H768" s="8" t="n">
        <x:v>0</x:v>
      </x:c>
      <x:c r="I768" s="8" t="n">
        <x:v>0</x:v>
      </x:c>
      <x:c r="J768" s="8" t="n">
        <x:v>930</x:v>
      </x:c>
      <x:c r="K768" s="8" t="n">
        <x:v>2347</x:v>
      </x:c>
      <x:c r="L768" s="1" t="str">
        <x:v>Нет</x:v>
      </x:c>
      <x:c r="M768" s="1" t="n">
        <x:v>730000</x:v>
      </x:c>
    </x:row>
    <x:row r="769">
      <x:c r="A769" s="1" t="str">
        <x:v>295991304</x:v>
      </x:c>
      <x:c r="B769" s="1" t="str">
        <x:v>hudimanprint/future-247/темно-серый</x:v>
      </x:c>
      <x:c r="C769" s="1" t="str">
        <x:v>Худи</x:v>
      </x:c>
      <x:c r="D769" s="9" t="n">
        <x:v>9.7</x:v>
      </x:c>
      <x:c r="E769" s="8" t="n">
        <x:v>14970</x:v>
      </x:c>
      <x:c r="F769" s="8" t="n">
        <x:v>203</x:v>
      </x:c>
      <x:c r="G769" s="8" t="n">
        <x:v>217830</x:v>
      </x:c>
      <x:c r="H769" s="8" t="n">
        <x:v>664</x:v>
      </x:c>
      <x:c r="I769" s="8" t="n">
        <x:v>0</x:v>
      </x:c>
      <x:c r="J769" s="8" t="n">
        <x:v>286</x:v>
      </x:c>
      <x:c r="K769" s="8" t="n">
        <x:v>2375</x:v>
      </x:c>
      <x:c r="L769" s="1" t="str">
        <x:v>Нет</x:v>
      </x:c>
      <x:c r="M769" s="1" t="n">
        <x:v>296641</x:v>
      </x:c>
    </x:row>
    <x:row r="770">
      <x:c r="A770" s="1" t="str">
        <x:v>222802045</x:v>
      </x:c>
      <x:c r="B770" s="1" t="str">
        <x:v>hudipetl/серыймеланж2</x:v>
      </x:c>
      <x:c r="C770" s="1" t="str">
        <x:v>Худи</x:v>
      </x:c>
      <x:c r="D770" s="9" t="n">
        <x:v>8.7</x:v>
      </x:c>
      <x:c r="E770" s="8" t="n">
        <x:v>24216</x:v>
      </x:c>
      <x:c r="F770" s="8" t="n">
        <x:v>228</x:v>
      </x:c>
      <x:c r="G770" s="8" t="n">
        <x:v>217645</x:v>
      </x:c>
      <x:c r="H770" s="8" t="n">
        <x:v>3</x:v>
      </x:c>
      <x:c r="I770" s="8" t="n">
        <x:v>0</x:v>
      </x:c>
      <x:c r="J770" s="8" t="n">
        <x:v>521</x:v>
      </x:c>
      <x:c r="K770" s="8" t="n">
        <x:v>2562</x:v>
      </x:c>
      <x:c r="L770" s="1" t="str">
        <x:v>Нет</x:v>
      </x:c>
      <x:c r="M770" s="1" t="n">
        <x:v>545497</x:v>
      </x:c>
    </x:row>
    <x:row r="771">
      <x:c r="A771" s="1" t="str">
        <x:v>348218025</x:v>
      </x:c>
      <x:c r="B771" s="1" t="str">
        <x:v>bodyskims/молочный</x:v>
      </x:c>
      <x:c r="C771" s="1" t="str">
        <x:v>Блузки-боди</x:v>
      </x:c>
      <x:c r="D771" s="9" t="n">
        <x:v>8.7</x:v>
      </x:c>
      <x:c r="E771" s="8" t="n">
        <x:v>46298</x:v>
      </x:c>
      <x:c r="F771" s="8" t="n">
        <x:v>682</x:v>
      </x:c>
      <x:c r="G771" s="8" t="n">
        <x:v>217446</x:v>
      </x:c>
      <x:c r="H771" s="8" t="n">
        <x:v>468</x:v>
      </x:c>
      <x:c r="I771" s="8" t="n">
        <x:v>0</x:v>
      </x:c>
      <x:c r="J771" s="8" t="n">
        <x:v>0</x:v>
      </x:c>
      <x:c r="K771" s="8" t="n">
        <x:v>1057</x:v>
      </x:c>
      <x:c r="L771" s="1" t="str">
        <x:v>Нет</x:v>
      </x:c>
      <x:c r="M771" s="1" t="n">
        <x:v>0</x:v>
      </x:c>
    </x:row>
    <x:row r="772">
      <x:c r="A772" s="1" t="str">
        <x:v>222293207</x:v>
      </x:c>
      <x:c r="B772" s="1" t="str">
        <x:v>futbolkaprint/Vintage-110/молочный</x:v>
      </x:c>
      <x:c r="C772" s="1" t="str">
        <x:v>Футболки</x:v>
      </x:c>
      <x:c r="D772" s="9" t="n">
        <x:v>7.7</x:v>
      </x:c>
      <x:c r="E772" s="8" t="n">
        <x:v>19255</x:v>
      </x:c>
      <x:c r="F772" s="8" t="n">
        <x:v>270</x:v>
      </x:c>
      <x:c r="G772" s="8" t="n">
        <x:v>216870</x:v>
      </x:c>
      <x:c r="H772" s="8" t="n">
        <x:v>264</x:v>
      </x:c>
      <x:c r="I772" s="8" t="n">
        <x:v>0</x:v>
      </x:c>
      <x:c r="J772" s="8" t="n">
        <x:v>1456</x:v>
      </x:c>
      <x:c r="K772" s="8" t="n">
        <x:v>1324</x:v>
      </x:c>
      <x:c r="L772" s="1" t="str">
        <x:v>Нет</x:v>
      </x:c>
      <x:c r="M772" s="1" t="n">
        <x:v>1114968</x:v>
      </x:c>
    </x:row>
    <x:row r="773">
      <x:c r="A773" s="1" t="str">
        <x:v>246369352</x:v>
      </x:c>
      <x:c r="B773" s="1" t="str">
        <x:v>tolstovkazipcrop/вареныйсерый</x:v>
      </x:c>
      <x:c r="C773" s="1" t="str">
        <x:v>Худи</x:v>
      </x:c>
      <x:c r="D773" s="9" t="n">
        <x:v>9.7</x:v>
      </x:c>
      <x:c r="E773" s="8" t="n">
        <x:v>20501</x:v>
      </x:c>
      <x:c r="F773" s="8" t="n">
        <x:v>213</x:v>
      </x:c>
      <x:c r="G773" s="8" t="n">
        <x:v>216824</x:v>
      </x:c>
      <x:c r="H773" s="8" t="n">
        <x:v>1</x:v>
      </x:c>
      <x:c r="I773" s="8" t="n">
        <x:v>0</x:v>
      </x:c>
      <x:c r="J773" s="8" t="n">
        <x:v>179</x:v>
      </x:c>
      <x:c r="K773" s="8" t="n">
        <x:v>2214</x:v>
      </x:c>
      <x:c r="L773" s="1" t="str">
        <x:v>Нет</x:v>
      </x:c>
      <x:c r="M773" s="1" t="n">
        <x:v>188047</x:v>
      </x:c>
    </x:row>
    <x:row r="774">
      <x:c r="A774" s="1" t="str">
        <x:v>216143244</x:v>
      </x:c>
      <x:c r="B774" s="1" t="str">
        <x:v>hudivish/MovesTag-94/черный</x:v>
      </x:c>
      <x:c r="C774" s="1" t="str">
        <x:v>Худи</x:v>
      </x:c>
      <x:c r="D774" s="9" t="n">
        <x:v>7.7</x:v>
      </x:c>
      <x:c r="E774" s="8" t="n">
        <x:v>24819</x:v>
      </x:c>
      <x:c r="F774" s="8" t="n">
        <x:v>191</x:v>
      </x:c>
      <x:c r="G774" s="8" t="n">
        <x:v>216394</x:v>
      </x:c>
      <x:c r="H774" s="8" t="n">
        <x:v>118</x:v>
      </x:c>
      <x:c r="I774" s="8" t="n">
        <x:v>0</x:v>
      </x:c>
      <x:c r="J774" s="8" t="n">
        <x:v>128</x:v>
      </x:c>
      <x:c r="K774" s="8" t="n">
        <x:v>2539</x:v>
      </x:c>
      <x:c r="L774" s="1" t="str">
        <x:v>Нет</x:v>
      </x:c>
      <x:c r="M774" s="1" t="n">
        <x:v>142269</x:v>
      </x:c>
    </x:row>
    <x:row r="775">
      <x:c r="A775" s="1" t="str">
        <x:v>165911135</x:v>
      </x:c>
      <x:c r="B775" s="1" t="str">
        <x:v>longman/белый</x:v>
      </x:c>
      <x:c r="C775" s="1" t="str">
        <x:v>Лонгсливы</x:v>
      </x:c>
      <x:c r="D775" s="9" t="n">
        <x:v>5.2</x:v>
      </x:c>
      <x:c r="E775" s="8" t="n">
        <x:v>12119</x:v>
      </x:c>
      <x:c r="F775" s="8" t="n">
        <x:v>452</x:v>
      </x:c>
      <x:c r="G775" s="8" t="n">
        <x:v>215551</x:v>
      </x:c>
      <x:c r="H775" s="8" t="n">
        <x:v>2812</x:v>
      </x:c>
      <x:c r="I775" s="8" t="n">
        <x:v>0</x:v>
      </x:c>
      <x:c r="J775" s="8" t="n">
        <x:v>408</x:v>
      </x:c>
      <x:c r="K775" s="8" t="n">
        <x:v>970</x:v>
      </x:c>
      <x:c r="L775" s="1" t="str">
        <x:v>Нет</x:v>
      </x:c>
      <x:c r="M775" s="1" t="n">
        <x:v>260244</x:v>
      </x:c>
    </x:row>
    <x:row r="776">
      <x:c r="A776" s="1" t="str">
        <x:v>19077493</x:v>
      </x:c>
      <x:c r="B776" s="1" t="str">
        <x:v>bruki/синесерый</x:v>
      </x:c>
      <x:c r="C776" s="1" t="str">
        <x:v>Брюки</x:v>
      </x:c>
      <x:c r="D776" s="9" t="n">
        <x:v>7.7</x:v>
      </x:c>
      <x:c r="E776" s="8" t="n">
        <x:v>22279</x:v>
      </x:c>
      <x:c r="F776" s="8" t="n">
        <x:v>435</x:v>
      </x:c>
      <x:c r="G776" s="8" t="n">
        <x:v>215326</x:v>
      </x:c>
      <x:c r="H776" s="8" t="n">
        <x:v>400</x:v>
      </x:c>
      <x:c r="I776" s="8" t="n">
        <x:v>0</x:v>
      </x:c>
      <x:c r="J776" s="8" t="n">
        <x:v>710</x:v>
      </x:c>
      <x:c r="K776" s="8" t="n">
        <x:v>2160</x:v>
      </x:c>
      <x:c r="L776" s="1" t="str">
        <x:v>Нет</x:v>
      </x:c>
      <x:c r="M776" s="1" t="n">
        <x:v>489127</x:v>
      </x:c>
    </x:row>
    <x:row r="777">
      <x:c r="A777" s="1" t="str">
        <x:v>336312266</x:v>
      </x:c>
      <x:c r="B777" s="1" t="str">
        <x:v>shortyman/дымка</x:v>
      </x:c>
      <x:c r="C777" s="1" t="str">
        <x:v>Шорты</x:v>
      </x:c>
      <x:c r="D777" s="9" t="n">
        <x:v>8.2</x:v>
      </x:c>
      <x:c r="E777" s="8" t="n">
        <x:v>15925</x:v>
      </x:c>
      <x:c r="F777" s="8" t="n">
        <x:v>346</x:v>
      </x:c>
      <x:c r="G777" s="8" t="n">
        <x:v>213910</x:v>
      </x:c>
      <x:c r="H777" s="8" t="n">
        <x:v>0</x:v>
      </x:c>
      <x:c r="I777" s="8" t="n">
        <x:v>0</x:v>
      </x:c>
      <x:c r="J777" s="8"/>
      <x:c r="K777" s="8" t="n">
        <x:v>1603</x:v>
      </x:c>
      <x:c r="L777" s="1" t="str">
        <x:v>Нет</x:v>
      </x:c>
      <x:c r="M777" s="1"/>
    </x:row>
    <x:row r="778">
      <x:c r="A778" s="1" t="str">
        <x:v>160478492</x:v>
      </x:c>
      <x:c r="B778" s="1" t="str">
        <x:v>shortyman/серый</x:v>
      </x:c>
      <x:c r="C778" s="1" t="str">
        <x:v>Шорты</x:v>
      </x:c>
      <x:c r="D778" s="9" t="n">
        <x:v>6.2</x:v>
      </x:c>
      <x:c r="E778" s="8" t="n">
        <x:v>26194</x:v>
      </x:c>
      <x:c r="F778" s="8" t="n">
        <x:v>400</x:v>
      </x:c>
      <x:c r="G778" s="8" t="n">
        <x:v>213261</x:v>
      </x:c>
      <x:c r="H778" s="8" t="n">
        <x:v>3</x:v>
      </x:c>
      <x:c r="I778" s="8" t="n">
        <x:v>0</x:v>
      </x:c>
      <x:c r="J778" s="8" t="n">
        <x:v>46</x:v>
      </x:c>
      <x:c r="K778" s="8" t="n">
        <x:v>1380</x:v>
      </x:c>
      <x:c r="L778" s="1" t="str">
        <x:v>Нет</x:v>
      </x:c>
      <x:c r="M778" s="1" t="n">
        <x:v>33125</x:v>
      </x:c>
    </x:row>
    <x:row r="779">
      <x:c r="A779" s="1" t="str">
        <x:v>332581971</x:v>
      </x:c>
      <x:c r="B779" s="1" t="str">
        <x:v>shortyman4P-91/серыймеланж2</x:v>
      </x:c>
      <x:c r="C779" s="1" t="str">
        <x:v>Шорты</x:v>
      </x:c>
      <x:c r="D779" s="9" t="n">
        <x:v>8.2</x:v>
      </x:c>
      <x:c r="E779" s="8" t="n">
        <x:v>15834</x:v>
      </x:c>
      <x:c r="F779" s="8" t="n">
        <x:v>434</x:v>
      </x:c>
      <x:c r="G779" s="8" t="n">
        <x:v>213211</x:v>
      </x:c>
      <x:c r="H779" s="8" t="n">
        <x:v>8</x:v>
      </x:c>
      <x:c r="I779" s="8" t="n">
        <x:v>0</x:v>
      </x:c>
      <x:c r="J779" s="8" t="n">
        <x:v>0</x:v>
      </x:c>
      <x:c r="K779" s="8" t="n">
        <x:v>1603</x:v>
      </x:c>
      <x:c r="L779" s="1" t="str">
        <x:v>Нет</x:v>
      </x:c>
      <x:c r="M779" s="1" t="n">
        <x:v>0</x:v>
      </x:c>
    </x:row>
    <x:row r="780">
      <x:c r="A780" s="1" t="str">
        <x:v>150673972</x:v>
      </x:c>
      <x:c r="B780" s="1" t="str">
        <x:v>svitshotover/фуксия</x:v>
      </x:c>
      <x:c r="C780" s="1" t="str">
        <x:v>Свитшоты</x:v>
      </x:c>
      <x:c r="D780" s="9" t="n">
        <x:v>9.7</x:v>
      </x:c>
      <x:c r="E780" s="8" t="n">
        <x:v>30359</x:v>
      </x:c>
      <x:c r="F780" s="8" t="n">
        <x:v>372</x:v>
      </x:c>
      <x:c r="G780" s="8" t="n">
        <x:v>213156</x:v>
      </x:c>
      <x:c r="H780" s="8" t="n">
        <x:v>987</x:v>
      </x:c>
      <x:c r="I780" s="8" t="n">
        <x:v>0</x:v>
      </x:c>
      <x:c r="J780" s="8" t="n">
        <x:v>333</x:v>
      </x:c>
      <x:c r="K780" s="8" t="n">
        <x:v>2001</x:v>
      </x:c>
      <x:c r="L780" s="1" t="str">
        <x:v>Нет</x:v>
      </x:c>
      <x:c r="M780" s="1" t="n">
        <x:v>262364</x:v>
      </x:c>
    </x:row>
    <x:row r="781">
      <x:c r="A781" s="1" t="str">
        <x:v>19865831</x:v>
      </x:c>
      <x:c r="B781" s="1" t="str">
        <x:v>hudi/светло-зеленый</x:v>
      </x:c>
      <x:c r="C781" s="1" t="str">
        <x:v>Худи</x:v>
      </x:c>
      <x:c r="D781" s="9" t="n">
        <x:v>9.7</x:v>
      </x:c>
      <x:c r="E781" s="8" t="n">
        <x:v>11501</x:v>
      </x:c>
      <x:c r="F781" s="8" t="n">
        <x:v>261</x:v>
      </x:c>
      <x:c r="G781" s="8" t="n">
        <x:v>213154</x:v>
      </x:c>
      <x:c r="H781" s="8" t="n">
        <x:v>4</x:v>
      </x:c>
      <x:c r="I781" s="8" t="n">
        <x:v>0</x:v>
      </x:c>
      <x:c r="J781" s="8" t="n">
        <x:v>652</x:v>
      </x:c>
      <x:c r="K781" s="8" t="n">
        <x:v>2555</x:v>
      </x:c>
      <x:c r="L781" s="1" t="str">
        <x:v>Нет</x:v>
      </x:c>
      <x:c r="M781" s="1" t="n">
        <x:v>608401</x:v>
      </x:c>
    </x:row>
    <x:row r="782">
      <x:c r="A782" s="1" t="str">
        <x:v>193100139</x:v>
      </x:c>
      <x:c r="B782" s="1" t="str">
        <x:v>svitshotzip1/темно-серый</x:v>
      </x:c>
      <x:c r="C782" s="1" t="str">
        <x:v>Свитшоты</x:v>
      </x:c>
      <x:c r="D782" s="9" t="n">
        <x:v>9.7</x:v>
      </x:c>
      <x:c r="E782" s="8" t="n">
        <x:v>17595</x:v>
      </x:c>
      <x:c r="F782" s="8" t="n">
        <x:v>275</x:v>
      </x:c>
      <x:c r="G782" s="8" t="n">
        <x:v>213070</x:v>
      </x:c>
      <x:c r="H782" s="8" t="n">
        <x:v>196</x:v>
      </x:c>
      <x:c r="I782" s="8" t="n">
        <x:v>0</x:v>
      </x:c>
      <x:c r="J782" s="8" t="n">
        <x:v>303</x:v>
      </x:c>
      <x:c r="K782" s="8" t="n">
        <x:v>2316</x:v>
      </x:c>
      <x:c r="L782" s="1" t="str">
        <x:v>Нет</x:v>
      </x:c>
      <x:c r="M782" s="1" t="n">
        <x:v>295365</x:v>
      </x:c>
    </x:row>
    <x:row r="783">
      <x:c r="A783" s="1" t="str">
        <x:v>237893881</x:v>
      </x:c>
      <x:c r="B783" s="1" t="str">
        <x:v>svitzipcroppetl/молочный</x:v>
      </x:c>
      <x:c r="C783" s="1" t="str">
        <x:v>Свитшоты</x:v>
      </x:c>
      <x:c r="D783" s="9" t="n">
        <x:v>8.7</x:v>
      </x:c>
      <x:c r="E783" s="8" t="n">
        <x:v>26443</x:v>
      </x:c>
      <x:c r="F783" s="8" t="n">
        <x:v>276</x:v>
      </x:c>
      <x:c r="G783" s="8" t="n">
        <x:v>212835</x:v>
      </x:c>
      <x:c r="H783" s="8" t="n">
        <x:v>340</x:v>
      </x:c>
      <x:c r="I783" s="8" t="n">
        <x:v>0</x:v>
      </x:c>
      <x:c r="J783" s="8" t="n">
        <x:v>56</x:v>
      </x:c>
      <x:c r="K783" s="8" t="n">
        <x:v>2326</x:v>
      </x:c>
      <x:c r="L783" s="1" t="str">
        <x:v>Нет</x:v>
      </x:c>
      <x:c r="M783" s="1" t="n">
        <x:v>32110</x:v>
      </x:c>
    </x:row>
    <x:row r="784">
      <x:c r="A784" s="1" t="str">
        <x:v>253269672</x:v>
      </x:c>
      <x:c r="B784" s="1" t="str">
        <x:v>hudiprint/Spread-202/белый</x:v>
      </x:c>
      <x:c r="C784" s="1" t="str">
        <x:v>Худи</x:v>
      </x:c>
      <x:c r="D784" s="9" t="n">
        <x:v>8.7</x:v>
      </x:c>
      <x:c r="E784" s="8" t="n">
        <x:v>41347</x:v>
      </x:c>
      <x:c r="F784" s="8" t="n">
        <x:v>206</x:v>
      </x:c>
      <x:c r="G784" s="8" t="n">
        <x:v>212424</x:v>
      </x:c>
      <x:c r="H784" s="8" t="n">
        <x:v>1033</x:v>
      </x:c>
      <x:c r="I784" s="8" t="n">
        <x:v>0</x:v>
      </x:c>
      <x:c r="J784" s="8" t="n">
        <x:v>294</x:v>
      </x:c>
      <x:c r="K784" s="8" t="n">
        <x:v>2412</x:v>
      </x:c>
      <x:c r="L784" s="1" t="str">
        <x:v>Нет</x:v>
      </x:c>
      <x:c r="M784" s="1" t="n">
        <x:v>295718</x:v>
      </x:c>
    </x:row>
    <x:row r="785">
      <x:c r="A785" s="1" t="str">
        <x:v>77786888</x:v>
      </x:c>
      <x:c r="B785" s="1" t="str">
        <x:v>futbolkaover/зеленый</x:v>
      </x:c>
      <x:c r="C785" s="1" t="str">
        <x:v>Футболки</x:v>
      </x:c>
      <x:c r="D785" s="9" t="n">
        <x:v>9.7</x:v>
      </x:c>
      <x:c r="E785" s="8" t="n">
        <x:v>44115</x:v>
      </x:c>
      <x:c r="F785" s="8" t="n">
        <x:v>469</x:v>
      </x:c>
      <x:c r="G785" s="8" t="n">
        <x:v>212015</x:v>
      </x:c>
      <x:c r="H785" s="8" t="n">
        <x:v>2673</x:v>
      </x:c>
      <x:c r="I785" s="8" t="n">
        <x:v>0</x:v>
      </x:c>
      <x:c r="J785" s="8" t="n">
        <x:v>1086</x:v>
      </x:c>
      <x:c r="K785" s="8" t="n">
        <x:v>842</x:v>
      </x:c>
      <x:c r="L785" s="1" t="str">
        <x:v>Нет</x:v>
      </x:c>
      <x:c r="M785" s="1" t="n">
        <x:v>563811</x:v>
      </x:c>
    </x:row>
    <x:row r="786">
      <x:c r="A786" s="1" t="str">
        <x:v>344406130</x:v>
      </x:c>
      <x:c r="B786" s="1" t="str">
        <x:v>malyshkabasic/розовый</x:v>
      </x:c>
      <x:c r="C786" s="1" t="str">
        <x:v>Футболки</x:v>
      </x:c>
      <x:c r="D786" s="9" t="n">
        <x:v>7.9</x:v>
      </x:c>
      <x:c r="E786" s="8" t="n">
        <x:v>70928</x:v>
      </x:c>
      <x:c r="F786" s="8" t="n">
        <x:v>781</x:v>
      </x:c>
      <x:c r="G786" s="8" t="n">
        <x:v>211671</x:v>
      </x:c>
      <x:c r="H786" s="8" t="n">
        <x:v>509</x:v>
      </x:c>
      <x:c r="I786" s="8" t="n">
        <x:v>0</x:v>
      </x:c>
      <x:c r="J786" s="8" t="n">
        <x:v>0</x:v>
      </x:c>
      <x:c r="K786" s="8" t="n">
        <x:v>742</x:v>
      </x:c>
      <x:c r="L786" s="1" t="str">
        <x:v>Нет</x:v>
      </x:c>
      <x:c r="M786" s="1" t="n">
        <x:v>0</x:v>
      </x:c>
    </x:row>
    <x:row r="787">
      <x:c r="A787" s="1" t="str">
        <x:v>280030825</x:v>
      </x:c>
      <x:c r="B787" s="1" t="str">
        <x:v>svitshotzipman2/серый</x:v>
      </x:c>
      <x:c r="C787" s="1" t="str">
        <x:v>Свитшоты</x:v>
      </x:c>
      <x:c r="D787" s="9" t="n">
        <x:v>9.7</x:v>
      </x:c>
      <x:c r="E787" s="8" t="n">
        <x:v>21665</x:v>
      </x:c>
      <x:c r="F787" s="8" t="n">
        <x:v>238</x:v>
      </x:c>
      <x:c r="G787" s="8" t="n">
        <x:v>211596</x:v>
      </x:c>
      <x:c r="H787" s="8" t="n">
        <x:v>1</x:v>
      </x:c>
      <x:c r="I787" s="8" t="n">
        <x:v>0</x:v>
      </x:c>
      <x:c r="J787" s="8" t="n">
        <x:v>395</x:v>
      </x:c>
      <x:c r="K787" s="8" t="n">
        <x:v>2460</x:v>
      </x:c>
      <x:c r="L787" s="1" t="str">
        <x:v>Нет</x:v>
      </x:c>
      <x:c r="M787" s="1" t="n">
        <x:v>369313</x:v>
      </x:c>
    </x:row>
    <x:row r="788">
      <x:c r="A788" s="1" t="str">
        <x:v>202779186</x:v>
      </x:c>
      <x:c r="B788" s="1" t="str">
        <x:v>hudiprint/Duma-61/молочный</x:v>
      </x:c>
      <x:c r="C788" s="1" t="str">
        <x:v>Худи</x:v>
      </x:c>
      <x:c r="D788" s="9" t="n">
        <x:v>9.7</x:v>
      </x:c>
      <x:c r="E788" s="8" t="n">
        <x:v>32388</x:v>
      </x:c>
      <x:c r="F788" s="8" t="n">
        <x:v>211</x:v>
      </x:c>
      <x:c r="G788" s="8" t="n">
        <x:v>210575</x:v>
      </x:c>
      <x:c r="H788" s="8" t="n">
        <x:v>116</x:v>
      </x:c>
      <x:c r="I788" s="8" t="n">
        <x:v>0</x:v>
      </x:c>
      <x:c r="J788" s="8" t="n">
        <x:v>143</x:v>
      </x:c>
      <x:c r="K788" s="8" t="n">
        <x:v>2151</x:v>
      </x:c>
      <x:c r="L788" s="1" t="str">
        <x:v>Нет</x:v>
      </x:c>
      <x:c r="M788" s="1" t="n">
        <x:v>137528</x:v>
      </x:c>
    </x:row>
    <x:row r="789">
      <x:c r="A789" s="1" t="str">
        <x:v>313770742</x:v>
      </x:c>
      <x:c r="B789" s="1" t="str">
        <x:v>futbolkagirl/какао</x:v>
      </x:c>
      <x:c r="C789" s="1" t="str">
        <x:v>Футболки</x:v>
      </x:c>
      <x:c r="D789" s="9" t="n">
        <x:v>10</x:v>
      </x:c>
      <x:c r="E789" s="8" t="n">
        <x:v>46571</x:v>
      </x:c>
      <x:c r="F789" s="8" t="n">
        <x:v>630</x:v>
      </x:c>
      <x:c r="G789" s="8" t="n">
        <x:v>209814</x:v>
      </x:c>
      <x:c r="H789" s="8" t="n">
        <x:v>818</x:v>
      </x:c>
      <x:c r="I789" s="8" t="n">
        <x:v>0</x:v>
      </x:c>
      <x:c r="J789" s="8" t="n">
        <x:v>330</x:v>
      </x:c>
      <x:c r="K789" s="8" t="n">
        <x:v>479</x:v>
      </x:c>
      <x:c r="L789" s="1" t="str">
        <x:v>Нет</x:v>
      </x:c>
      <x:c r="M789" s="1" t="n">
        <x:v>129201</x:v>
      </x:c>
    </x:row>
    <x:row r="790">
      <x:c r="A790" s="1" t="str">
        <x:v>311049932</x:v>
      </x:c>
      <x:c r="B790" s="1" t="str">
        <x:v>hudimanpetl/серый</x:v>
      </x:c>
      <x:c r="C790" s="1" t="str">
        <x:v>Худи</x:v>
      </x:c>
      <x:c r="D790" s="9" t="n">
        <x:v>8.7</x:v>
      </x:c>
      <x:c r="E790" s="8" t="n">
        <x:v>12980</x:v>
      </x:c>
      <x:c r="F790" s="8" t="n">
        <x:v>253</x:v>
      </x:c>
      <x:c r="G790" s="8" t="n">
        <x:v>209279</x:v>
      </x:c>
      <x:c r="H790" s="8" t="n">
        <x:v>40</x:v>
      </x:c>
      <x:c r="I790" s="8" t="n">
        <x:v>0</x:v>
      </x:c>
      <x:c r="J790" s="8" t="n">
        <x:v>250</x:v>
      </x:c>
      <x:c r="K790" s="8" t="n">
        <x:v>2561</x:v>
      </x:c>
      <x:c r="L790" s="1" t="str">
        <x:v>Нет</x:v>
      </x:c>
      <x:c r="M790" s="1" t="n">
        <x:v>221646</x:v>
      </x:c>
    </x:row>
    <x:row r="791">
      <x:c r="A791" s="1" t="str">
        <x:v>334783654</x:v>
      </x:c>
      <x:c r="B791" s="1" t="str">
        <x:v>futbolkaprint/Manipulation-292/красный</x:v>
      </x:c>
      <x:c r="C791" s="1" t="str">
        <x:v>Футболки</x:v>
      </x:c>
      <x:c r="D791" s="9" t="n">
        <x:v>9.7</x:v>
      </x:c>
      <x:c r="E791" s="8" t="n">
        <x:v>63527</x:v>
      </x:c>
      <x:c r="F791" s="8" t="n">
        <x:v>397</x:v>
      </x:c>
      <x:c r="G791" s="8" t="n">
        <x:v>208903</x:v>
      </x:c>
      <x:c r="H791" s="8" t="n">
        <x:v>288</x:v>
      </x:c>
      <x:c r="I791" s="8" t="n">
        <x:v>0</x:v>
      </x:c>
      <x:c r="J791" s="8" t="n">
        <x:v>0</x:v>
      </x:c>
      <x:c r="K791" s="8" t="n">
        <x:v>1220</x:v>
      </x:c>
      <x:c r="L791" s="1" t="str">
        <x:v>Нет</x:v>
      </x:c>
      <x:c r="M791" s="1" t="n">
        <x:v>0</x:v>
      </x:c>
    </x:row>
    <x:row r="792">
      <x:c r="A792" s="1" t="str">
        <x:v>288627029</x:v>
      </x:c>
      <x:c r="B792" s="1" t="str">
        <x:v>svitshotzip1/темно-синий</x:v>
      </x:c>
      <x:c r="C792" s="1" t="str">
        <x:v>Свитшоты</x:v>
      </x:c>
      <x:c r="D792" s="9" t="n">
        <x:v>9.7</x:v>
      </x:c>
      <x:c r="E792" s="8" t="n">
        <x:v>18893</x:v>
      </x:c>
      <x:c r="F792" s="8" t="n">
        <x:v>210</x:v>
      </x:c>
      <x:c r="G792" s="8" t="n">
        <x:v>208371</x:v>
      </x:c>
      <x:c r="H792" s="8" t="n">
        <x:v>378</x:v>
      </x:c>
      <x:c r="I792" s="8" t="n">
        <x:v>0</x:v>
      </x:c>
      <x:c r="J792" s="8" t="n">
        <x:v>144</x:v>
      </x:c>
      <x:c r="K792" s="8" t="n">
        <x:v>2310</x:v>
      </x:c>
      <x:c r="L792" s="1" t="str">
        <x:v>Нет</x:v>
      </x:c>
      <x:c r="M792" s="1" t="n">
        <x:v>115643</x:v>
      </x:c>
    </x:row>
    <x:row r="793">
      <x:c r="A793" s="1" t="str">
        <x:v>314822396</x:v>
      </x:c>
      <x:c r="B793" s="1" t="str">
        <x:v>2Nitkalong3D-76print/Something-240/белый</x:v>
      </x:c>
      <x:c r="C793" s="1" t="str">
        <x:v>Лонгсливы</x:v>
      </x:c>
      <x:c r="D793" s="9" t="n">
        <x:v>8.7</x:v>
      </x:c>
      <x:c r="E793" s="8" t="n">
        <x:v>58753</x:v>
      </x:c>
      <x:c r="F793" s="8" t="n">
        <x:v>513</x:v>
      </x:c>
      <x:c r="G793" s="8" t="n">
        <x:v>208337</x:v>
      </x:c>
      <x:c r="H793" s="8" t="n">
        <x:v>149</x:v>
      </x:c>
      <x:c r="I793" s="8" t="n">
        <x:v>0</x:v>
      </x:c>
      <x:c r="J793" s="8" t="n">
        <x:v>217</x:v>
      </x:c>
      <x:c r="K793" s="8" t="n">
        <x:v>1457</x:v>
      </x:c>
      <x:c r="L793" s="1" t="str">
        <x:v>Нет</x:v>
      </x:c>
      <x:c r="M793" s="1" t="n">
        <x:v>91350</x:v>
      </x:c>
    </x:row>
    <x:row r="794">
      <x:c r="A794" s="1" t="str">
        <x:v>355433906</x:v>
      </x:c>
      <x:c r="B794" s="1" t="str">
        <x:v>futbolkaprint/ocean-316/молочный</x:v>
      </x:c>
      <x:c r="C794" s="1" t="str">
        <x:v>Футболки</x:v>
      </x:c>
      <x:c r="D794" s="9" t="n">
        <x:v>9.7</x:v>
      </x:c>
      <x:c r="E794" s="8" t="n">
        <x:v>40618</x:v>
      </x:c>
      <x:c r="F794" s="8" t="n">
        <x:v>318</x:v>
      </x:c>
      <x:c r="G794" s="8" t="n">
        <x:v>207200</x:v>
      </x:c>
      <x:c r="H794" s="8" t="n">
        <x:v>102</x:v>
      </x:c>
      <x:c r="I794" s="8" t="n">
        <x:v>0</x:v>
      </x:c>
      <x:c r="J794" s="8" t="n">
        <x:v>0</x:v>
      </x:c>
      <x:c r="K794" s="8" t="n">
        <x:v>1400</x:v>
      </x:c>
      <x:c r="L794" s="1" t="str">
        <x:v>Нет</x:v>
      </x:c>
      <x:c r="M794" s="1" t="n">
        <x:v>0</x:v>
      </x:c>
    </x:row>
    <x:row r="795">
      <x:c r="A795" s="1" t="str">
        <x:v>271383076</x:v>
      </x:c>
      <x:c r="B795" s="1" t="str">
        <x:v>shtanyfix/песочный</x:v>
      </x:c>
      <x:c r="C795" s="1" t="str">
        <x:v>Брюки</x:v>
      </x:c>
      <x:c r="D795" s="9" t="n">
        <x:v>8.7</x:v>
      </x:c>
      <x:c r="E795" s="8" t="n">
        <x:v>32085</x:v>
      </x:c>
      <x:c r="F795" s="8" t="n">
        <x:v>356</x:v>
      </x:c>
      <x:c r="G795" s="8" t="n">
        <x:v>207054</x:v>
      </x:c>
      <x:c r="H795" s="8" t="n">
        <x:v>659</x:v>
      </x:c>
      <x:c r="I795" s="8" t="n">
        <x:v>0</x:v>
      </x:c>
      <x:c r="J795" s="8" t="n">
        <x:v>392</x:v>
      </x:c>
      <x:c r="K795" s="8" t="n">
        <x:v>2608</x:v>
      </x:c>
      <x:c r="L795" s="1" t="str">
        <x:v>Нет</x:v>
      </x:c>
      <x:c r="M795" s="1" t="n">
        <x:v>288151</x:v>
      </x:c>
    </x:row>
    <x:row r="796">
      <x:c r="A796" s="1" t="str">
        <x:v>332418836</x:v>
      </x:c>
      <x:c r="B796" s="1" t="str">
        <x:v>top/бордовый</x:v>
      </x:c>
      <x:c r="C796" s="1" t="str">
        <x:v>Топы</x:v>
      </x:c>
      <x:c r="D796" s="9" t="n">
        <x:v>6.7</x:v>
      </x:c>
      <x:c r="E796" s="8" t="n">
        <x:v>46637</x:v>
      </x:c>
      <x:c r="F796" s="8" t="n">
        <x:v>769</x:v>
      </x:c>
      <x:c r="G796" s="8" t="n">
        <x:v>206626</x:v>
      </x:c>
      <x:c r="H796" s="8" t="n">
        <x:v>169</x:v>
      </x:c>
      <x:c r="I796" s="8" t="n">
        <x:v>0</x:v>
      </x:c>
      <x:c r="J796" s="8" t="n">
        <x:v>33</x:v>
      </x:c>
      <x:c r="K796" s="8" t="n">
        <x:v>619</x:v>
      </x:c>
      <x:c r="L796" s="1" t="str">
        <x:v>Нет</x:v>
      </x:c>
      <x:c r="M796" s="1" t="n">
        <x:v>8000</x:v>
      </x:c>
    </x:row>
    <x:row r="797">
      <x:c r="A797" s="1" t="str">
        <x:v>300270087</x:v>
      </x:c>
      <x:c r="B797" s="1" t="str">
        <x:v>svitzip3P-S-5/серый</x:v>
      </x:c>
      <x:c r="C797" s="1" t="str">
        <x:v>Свитшоты</x:v>
      </x:c>
      <x:c r="D797" s="9" t="n">
        <x:v>8.7</x:v>
      </x:c>
      <x:c r="E797" s="8" t="n">
        <x:v>33769</x:v>
      </x:c>
      <x:c r="F797" s="8" t="n">
        <x:v>325</x:v>
      </x:c>
      <x:c r="G797" s="8" t="n">
        <x:v>206392</x:v>
      </x:c>
      <x:c r="H797" s="8" t="n">
        <x:v>131</x:v>
      </x:c>
      <x:c r="I797" s="8" t="n">
        <x:v>0</x:v>
      </x:c>
      <x:c r="J797" s="8" t="n">
        <x:v>218</x:v>
      </x:c>
      <x:c r="K797" s="8" t="n">
        <x:v>2671</x:v>
      </x:c>
      <x:c r="L797" s="1" t="str">
        <x:v>Нет</x:v>
      </x:c>
      <x:c r="M797" s="1" t="n">
        <x:v>129851</x:v>
      </x:c>
    </x:row>
    <x:row r="798">
      <x:c r="A798" s="1" t="str">
        <x:v>320423129</x:v>
      </x:c>
      <x:c r="B798" s="1" t="str">
        <x:v>shtanyfix/дымка</x:v>
      </x:c>
      <x:c r="C798" s="1" t="str">
        <x:v>Брюки</x:v>
      </x:c>
      <x:c r="D798" s="9" t="n">
        <x:v>8.2</x:v>
      </x:c>
      <x:c r="E798" s="8" t="n">
        <x:v>18141</x:v>
      </x:c>
      <x:c r="F798" s="8" t="n">
        <x:v>264</x:v>
      </x:c>
      <x:c r="G798" s="8" t="n">
        <x:v>206139</x:v>
      </x:c>
      <x:c r="H798" s="8" t="n">
        <x:v>5</x:v>
      </x:c>
      <x:c r="I798" s="8" t="n">
        <x:v>0</x:v>
      </x:c>
      <x:c r="J798" s="8" t="n">
        <x:v>0</x:v>
      </x:c>
      <x:c r="K798" s="8" t="n">
        <x:v>2627</x:v>
      </x:c>
      <x:c r="L798" s="1" t="str">
        <x:v>Нет</x:v>
      </x:c>
      <x:c r="M798" s="1" t="n">
        <x:v>0</x:v>
      </x:c>
    </x:row>
    <x:row r="799">
      <x:c r="A799" s="1" t="str">
        <x:v>19079985</x:v>
      </x:c>
      <x:c r="B799" s="1" t="str">
        <x:v>kostyum/розовый</x:v>
      </x:c>
      <x:c r="C799" s="1" t="str">
        <x:v>Костюмы спортивные</x:v>
      </x:c>
      <x:c r="D799" s="9" t="n">
        <x:v>8.7</x:v>
      </x:c>
      <x:c r="E799" s="8" t="n">
        <x:v>58122</x:v>
      </x:c>
      <x:c r="F799" s="8" t="n">
        <x:v>153</x:v>
      </x:c>
      <x:c r="G799" s="8" t="n">
        <x:v>205897</x:v>
      </x:c>
      <x:c r="H799" s="8" t="n">
        <x:v>752</x:v>
      </x:c>
      <x:c r="I799" s="8" t="n">
        <x:v>0</x:v>
      </x:c>
      <x:c r="J799" s="8" t="n">
        <x:v>220</x:v>
      </x:c>
      <x:c r="K799" s="8" t="n">
        <x:v>4333</x:v>
      </x:c>
      <x:c r="L799" s="1" t="str">
        <x:v>Нет</x:v>
      </x:c>
      <x:c r="M799" s="1" t="n">
        <x:v>345677</x:v>
      </x:c>
    </x:row>
    <x:row r="800">
      <x:c r="A800" s="1" t="str">
        <x:v>215422722</x:v>
      </x:c>
      <x:c r="B800" s="1" t="str">
        <x:v>futbolkaprint/NeedMoney-104/молочный</x:v>
      </x:c>
      <x:c r="C800" s="1" t="str">
        <x:v>Футболки</x:v>
      </x:c>
      <x:c r="D800" s="9" t="n">
        <x:v>6.7</x:v>
      </x:c>
      <x:c r="E800" s="8" t="n">
        <x:v>29620</x:v>
      </x:c>
      <x:c r="F800" s="8" t="n">
        <x:v>307</x:v>
      </x:c>
      <x:c r="G800" s="8" t="n">
        <x:v>205578</x:v>
      </x:c>
      <x:c r="H800" s="8" t="n">
        <x:v>0</x:v>
      </x:c>
      <x:c r="I800" s="8" t="n">
        <x:v>0</x:v>
      </x:c>
      <x:c r="J800" s="8" t="n">
        <x:v>658</x:v>
      </x:c>
      <x:c r="K800" s="8" t="n">
        <x:v>1208</x:v>
      </x:c>
      <x:c r="L800" s="1" t="str">
        <x:v>Нет</x:v>
      </x:c>
      <x:c r="M800" s="1" t="n">
        <x:v>459319</x:v>
      </x:c>
    </x:row>
    <x:row r="801">
      <x:c r="A801" s="1" t="str">
        <x:v>195315576</x:v>
      </x:c>
      <x:c r="B801" s="1" t="str">
        <x:v>hudiprint/LoveNever-45/молочный</x:v>
      </x:c>
      <x:c r="C801" s="1" t="str">
        <x:v>Худи</x:v>
      </x:c>
      <x:c r="D801" s="9" t="n">
        <x:v>8.7</x:v>
      </x:c>
      <x:c r="E801" s="8" t="n">
        <x:v>20387</x:v>
      </x:c>
      <x:c r="F801" s="8" t="n">
        <x:v>212</x:v>
      </x:c>
      <x:c r="G801" s="8" t="n">
        <x:v>205079</x:v>
      </x:c>
      <x:c r="H801" s="8" t="n">
        <x:v>174</x:v>
      </x:c>
      <x:c r="I801" s="8" t="n">
        <x:v>0</x:v>
      </x:c>
      <x:c r="J801" s="8" t="n">
        <x:v>670</x:v>
      </x:c>
      <x:c r="K801" s="8" t="n">
        <x:v>2459</x:v>
      </x:c>
      <x:c r="L801" s="1" t="str">
        <x:v>Нет</x:v>
      </x:c>
      <x:c r="M801" s="1" t="n">
        <x:v>848178</x:v>
      </x:c>
    </x:row>
    <x:row r="802">
      <x:c r="A802" s="1" t="str">
        <x:v>322133006</x:v>
      </x:c>
      <x:c r="B802" s="1" t="str">
        <x:v>shorts3n3P-87/серый</x:v>
      </x:c>
      <x:c r="C802" s="1" t="str">
        <x:v>Шорты</x:v>
      </x:c>
      <x:c r="D802" s="9" t="n">
        <x:v>7.9</x:v>
      </x:c>
      <x:c r="E802" s="8" t="n">
        <x:v>19314</x:v>
      </x:c>
      <x:c r="F802" s="8" t="n">
        <x:v>468</x:v>
      </x:c>
      <x:c r="G802" s="8" t="n">
        <x:v>204063</x:v>
      </x:c>
      <x:c r="H802" s="8" t="n">
        <x:v>20</x:v>
      </x:c>
      <x:c r="I802" s="8" t="n">
        <x:v>0</x:v>
      </x:c>
      <x:c r="J802" s="8" t="n">
        <x:v>18</x:v>
      </x:c>
      <x:c r="K802" s="8" t="n">
        <x:v>1313</x:v>
      </x:c>
      <x:c r="L802" s="1" t="str">
        <x:v>Нет</x:v>
      </x:c>
      <x:c r="M802" s="1" t="n">
        <x:v>11040</x:v>
      </x:c>
    </x:row>
    <x:row r="803">
      <x:c r="A803" s="1" t="str">
        <x:v>216143242</x:v>
      </x:c>
      <x:c r="B803" s="1" t="str">
        <x:v>hudivish/Tennis-89/черный</x:v>
      </x:c>
      <x:c r="C803" s="1" t="str">
        <x:v>Худи</x:v>
      </x:c>
      <x:c r="D803" s="9" t="n">
        <x:v>9.7</x:v>
      </x:c>
      <x:c r="E803" s="8" t="n">
        <x:v>29649</x:v>
      </x:c>
      <x:c r="F803" s="8" t="n">
        <x:v>222</x:v>
      </x:c>
      <x:c r="G803" s="8" t="n">
        <x:v>202149</x:v>
      </x:c>
      <x:c r="H803" s="8" t="n">
        <x:v>68</x:v>
      </x:c>
      <x:c r="I803" s="8" t="n">
        <x:v>0</x:v>
      </x:c>
      <x:c r="J803" s="8" t="n">
        <x:v>192</x:v>
      </x:c>
      <x:c r="K803" s="8" t="n">
        <x:v>2438</x:v>
      </x:c>
      <x:c r="L803" s="1" t="str">
        <x:v>Нет</x:v>
      </x:c>
      <x:c r="M803" s="1" t="n">
        <x:v>199610</x:v>
      </x:c>
    </x:row>
    <x:row r="804">
      <x:c r="A804" s="1" t="str">
        <x:v>320420253</x:v>
      </x:c>
      <x:c r="B804" s="1" t="str">
        <x:v>palazzoshnurok/темно-синий</x:v>
      </x:c>
      <x:c r="C804" s="1" t="str">
        <x:v>Брюки</x:v>
      </x:c>
      <x:c r="D804" s="9" t="n">
        <x:v>9</x:v>
      </x:c>
      <x:c r="E804" s="8" t="n">
        <x:v>27937</x:v>
      </x:c>
      <x:c r="F804" s="8" t="n">
        <x:v>463</x:v>
      </x:c>
      <x:c r="G804" s="8" t="n">
        <x:v>201680</x:v>
      </x:c>
      <x:c r="H804" s="8" t="n">
        <x:v>91</x:v>
      </x:c>
      <x:c r="I804" s="8" t="n">
        <x:v>0</x:v>
      </x:c>
      <x:c r="J804" s="8" t="n">
        <x:v>0</x:v>
      </x:c>
      <x:c r="K804" s="8" t="n">
        <x:v>2289</x:v>
      </x:c>
      <x:c r="L804" s="1" t="str">
        <x:v>Нет</x:v>
      </x:c>
      <x:c r="M804" s="1" t="n">
        <x:v>0</x:v>
      </x:c>
    </x:row>
    <x:row r="805">
      <x:c r="A805" s="1" t="str">
        <x:v>332646311</x:v>
      </x:c>
      <x:c r="B805" s="1" t="str">
        <x:v>futbolkaprint/Cocktail-233/бордовый</x:v>
      </x:c>
      <x:c r="C805" s="1" t="str">
        <x:v>Футболки</x:v>
      </x:c>
      <x:c r="D805" s="9" t="n">
        <x:v>9.7</x:v>
      </x:c>
      <x:c r="E805" s="8" t="n">
        <x:v>71675</x:v>
      </x:c>
      <x:c r="F805" s="8" t="n">
        <x:v>456</x:v>
      </x:c>
      <x:c r="G805" s="8" t="n">
        <x:v>200904</x:v>
      </x:c>
      <x:c r="H805" s="8" t="n">
        <x:v>36</x:v>
      </x:c>
      <x:c r="I805" s="8" t="n">
        <x:v>0</x:v>
      </x:c>
      <x:c r="J805" s="8" t="n">
        <x:v>0</x:v>
      </x:c>
      <x:c r="K805" s="8" t="n">
        <x:v>1234</x:v>
      </x:c>
      <x:c r="L805" s="1" t="str">
        <x:v>Нет</x:v>
      </x:c>
      <x:c r="M805" s="1" t="n">
        <x:v>0</x:v>
      </x:c>
    </x:row>
    <x:row r="806">
      <x:c r="A806" s="1" t="str">
        <x:v>333323572</x:v>
      </x:c>
      <x:c r="B806" s="1" t="str">
        <x:v>hudicroppetl/голубой</x:v>
      </x:c>
      <x:c r="C806" s="1" t="str">
        <x:v>Худи</x:v>
      </x:c>
      <x:c r="D806" s="9" t="n">
        <x:v>8.7</x:v>
      </x:c>
      <x:c r="E806" s="8" t="n">
        <x:v>21401</x:v>
      </x:c>
      <x:c r="F806" s="8" t="n">
        <x:v>218</x:v>
      </x:c>
      <x:c r="G806" s="8" t="n">
        <x:v>199346</x:v>
      </x:c>
      <x:c r="H806" s="8" t="n">
        <x:v>40</x:v>
      </x:c>
      <x:c r="I806" s="8" t="n">
        <x:v>0</x:v>
      </x:c>
      <x:c r="J806" s="8" t="n">
        <x:v>13</x:v>
      </x:c>
      <x:c r="K806" s="8" t="n">
        <x:v>2901</x:v>
      </x:c>
      <x:c r="L806" s="1" t="str">
        <x:v>Нет</x:v>
      </x:c>
      <x:c r="M806" s="1" t="n">
        <x:v>5800</x:v>
      </x:c>
    </x:row>
    <x:row r="807">
      <x:c r="A807" s="1" t="str">
        <x:v>336307754</x:v>
      </x:c>
      <x:c r="B807" s="1" t="str">
        <x:v>svitshotpolopetl3P-60/коричневый</x:v>
      </x:c>
      <x:c r="C807" s="1" t="str">
        <x:v>Свитшоты</x:v>
      </x:c>
      <x:c r="D807" s="9" t="n">
        <x:v>8.7</x:v>
      </x:c>
      <x:c r="E807" s="8" t="n">
        <x:v>30980</x:v>
      </x:c>
      <x:c r="F807" s="8" t="n">
        <x:v>227</x:v>
      </x:c>
      <x:c r="G807" s="8" t="n">
        <x:v>199213</x:v>
      </x:c>
      <x:c r="H807" s="8" t="n">
        <x:v>49</x:v>
      </x:c>
      <x:c r="I807" s="8" t="n">
        <x:v>0</x:v>
      </x:c>
      <x:c r="J807" s="8" t="n">
        <x:v>0</x:v>
      </x:c>
      <x:c r="K807" s="8" t="n">
        <x:v>2989</x:v>
      </x:c>
      <x:c r="L807" s="1" t="str">
        <x:v>Нет</x:v>
      </x:c>
      <x:c r="M807" s="1" t="n">
        <x:v>0</x:v>
      </x:c>
    </x:row>
    <x:row r="808">
      <x:c r="A808" s="1" t="str">
        <x:v>220090336</x:v>
      </x:c>
      <x:c r="B808" s="1" t="str">
        <x:v>tolstovkazipman/кофейный</x:v>
      </x:c>
      <x:c r="C808" s="1" t="str">
        <x:v>Худи</x:v>
      </x:c>
      <x:c r="D808" s="9" t="n">
        <x:v>9</x:v>
      </x:c>
      <x:c r="E808" s="8" t="n">
        <x:v>23805</x:v>
      </x:c>
      <x:c r="F808" s="8" t="n">
        <x:v>215</x:v>
      </x:c>
      <x:c r="G808" s="8" t="n">
        <x:v>199121</x:v>
      </x:c>
      <x:c r="H808" s="8" t="n">
        <x:v>1</x:v>
      </x:c>
      <x:c r="I808" s="8" t="n">
        <x:v>0</x:v>
      </x:c>
      <x:c r="J808" s="8" t="n">
        <x:v>384</x:v>
      </x:c>
      <x:c r="K808" s="8" t="n">
        <x:v>2969</x:v>
      </x:c>
      <x:c r="L808" s="1" t="str">
        <x:v>Нет</x:v>
      </x:c>
      <x:c r="M808" s="1" t="n">
        <x:v>474256</x:v>
      </x:c>
    </x:row>
    <x:row r="809">
      <x:c r="A809" s="1" t="str">
        <x:v>202409690</x:v>
      </x:c>
      <x:c r="B809" s="1" t="str">
        <x:v>hudiprint/Goodvibes-50/молочный</x:v>
      </x:c>
      <x:c r="C809" s="1" t="str">
        <x:v>Худи</x:v>
      </x:c>
      <x:c r="D809" s="9" t="n">
        <x:v>8.7</x:v>
      </x:c>
      <x:c r="E809" s="8" t="n">
        <x:v>15073</x:v>
      </x:c>
      <x:c r="F809" s="8" t="n">
        <x:v>180</x:v>
      </x:c>
      <x:c r="G809" s="8" t="n">
        <x:v>195103</x:v>
      </x:c>
      <x:c r="H809" s="8" t="n">
        <x:v>5</x:v>
      </x:c>
      <x:c r="I809" s="8" t="n">
        <x:v>0</x:v>
      </x:c>
      <x:c r="J809" s="8" t="n">
        <x:v>302</x:v>
      </x:c>
      <x:c r="K809" s="8" t="n">
        <x:v>2820</x:v>
      </x:c>
      <x:c r="L809" s="1" t="str">
        <x:v>Нет</x:v>
      </x:c>
      <x:c r="M809" s="1" t="n">
        <x:v>379391</x:v>
      </x:c>
    </x:row>
    <x:row r="810">
      <x:c r="A810" s="1" t="str">
        <x:v>145845815</x:v>
      </x:c>
      <x:c r="B810" s="1" t="str">
        <x:v>svitshotman/коричневый</x:v>
      </x:c>
      <x:c r="C810" s="1" t="str">
        <x:v>Свитшоты</x:v>
      </x:c>
      <x:c r="D810" s="9" t="n">
        <x:v>9.7</x:v>
      </x:c>
      <x:c r="E810" s="8" t="n">
        <x:v>11722</x:v>
      </x:c>
      <x:c r="F810" s="8" t="n">
        <x:v>251</x:v>
      </x:c>
      <x:c r="G810" s="8" t="n">
        <x:v>195012</x:v>
      </x:c>
      <x:c r="H810" s="8" t="n">
        <x:v>69</x:v>
      </x:c>
      <x:c r="I810" s="8" t="n">
        <x:v>0</x:v>
      </x:c>
      <x:c r="J810" s="8" t="n">
        <x:v>273</x:v>
      </x:c>
      <x:c r="K810" s="8" t="n">
        <x:v>2355</x:v>
      </x:c>
      <x:c r="L810" s="1" t="str">
        <x:v>Нет</x:v>
      </x:c>
      <x:c r="M810" s="1" t="n">
        <x:v>291106</x:v>
      </x:c>
    </x:row>
    <x:row r="811">
      <x:c r="A811" s="1" t="str">
        <x:v>233262514</x:v>
      </x:c>
      <x:c r="B811" s="1" t="str">
        <x:v>2Nshortyman/молочный</x:v>
      </x:c>
      <x:c r="C811" s="1" t="str">
        <x:v>Шорты</x:v>
      </x:c>
      <x:c r="D811" s="9" t="n">
        <x:v>8.4</x:v>
      </x:c>
      <x:c r="E811" s="8" t="n">
        <x:v>24782</x:v>
      </x:c>
      <x:c r="F811" s="8" t="n">
        <x:v>523</x:v>
      </x:c>
      <x:c r="G811" s="8" t="n">
        <x:v>194014</x:v>
      </x:c>
      <x:c r="H811" s="8" t="n">
        <x:v>3</x:v>
      </x:c>
      <x:c r="I811" s="8" t="n">
        <x:v>0</x:v>
      </x:c>
      <x:c r="J811" s="8" t="n">
        <x:v>0</x:v>
      </x:c>
      <x:c r="K811" s="8" t="n">
        <x:v>1028</x:v>
      </x:c>
      <x:c r="L811" s="1" t="str">
        <x:v>Нет</x:v>
      </x:c>
      <x:c r="M811" s="1" t="n">
        <x:v>0</x:v>
      </x:c>
    </x:row>
    <x:row r="812">
      <x:c r="A812" s="1" t="str">
        <x:v>222802044</x:v>
      </x:c>
      <x:c r="B812" s="1" t="str">
        <x:v>hudipetl/темно-серый</x:v>
      </x:c>
      <x:c r="C812" s="1" t="str">
        <x:v>Худи</x:v>
      </x:c>
      <x:c r="D812" s="9" t="n">
        <x:v>8.7</x:v>
      </x:c>
      <x:c r="E812" s="8" t="n">
        <x:v>21524</x:v>
      </x:c>
      <x:c r="F812" s="8" t="n">
        <x:v>152</x:v>
      </x:c>
      <x:c r="G812" s="8" t="n">
        <x:v>193904</x:v>
      </x:c>
      <x:c r="H812" s="8" t="n">
        <x:v>0</x:v>
      </x:c>
      <x:c r="I812" s="8" t="n">
        <x:v>0</x:v>
      </x:c>
      <x:c r="J812" s="8" t="n">
        <x:v>857</x:v>
      </x:c>
      <x:c r="K812" s="8" t="n">
        <x:v>2550</x:v>
      </x:c>
      <x:c r="L812" s="1" t="str">
        <x:v>Нет</x:v>
      </x:c>
      <x:c r="M812" s="1" t="n">
        <x:v>900153</x:v>
      </x:c>
    </x:row>
    <x:row r="813">
      <x:c r="A813" s="1" t="str">
        <x:v>246363158</x:v>
      </x:c>
      <x:c r="B813" s="1" t="str">
        <x:v>tolstovkazipcrop/бежевый</x:v>
      </x:c>
      <x:c r="C813" s="1" t="str">
        <x:v>Худи</x:v>
      </x:c>
      <x:c r="D813" s="9" t="n">
        <x:v>9.7</x:v>
      </x:c>
      <x:c r="E813" s="8" t="n">
        <x:v>21579</x:v>
      </x:c>
      <x:c r="F813" s="8" t="n">
        <x:v>196</x:v>
      </x:c>
      <x:c r="G813" s="8" t="n">
        <x:v>193647</x:v>
      </x:c>
      <x:c r="H813" s="8" t="n">
        <x:v>2</x:v>
      </x:c>
      <x:c r="I813" s="8" t="n">
        <x:v>0</x:v>
      </x:c>
      <x:c r="J813" s="8" t="n">
        <x:v>175</x:v>
      </x:c>
      <x:c r="K813" s="8" t="n">
        <x:v>2319</x:v>
      </x:c>
      <x:c r="L813" s="1" t="str">
        <x:v>Нет</x:v>
      </x:c>
      <x:c r="M813" s="1" t="n">
        <x:v>155100</x:v>
      </x:c>
    </x:row>
    <x:row r="814">
      <x:c r="A814" s="1" t="str">
        <x:v>281587847</x:v>
      </x:c>
      <x:c r="B814" s="1" t="str">
        <x:v>boxer/черный</x:v>
      </x:c>
      <x:c r="C814" s="1" t="str">
        <x:v>Трусы</x:v>
      </x:c>
      <x:c r="D814" s="9" t="n">
        <x:v>8.7</x:v>
      </x:c>
      <x:c r="E814" s="8" t="n">
        <x:v>18899</x:v>
      </x:c>
      <x:c r="F814" s="8" t="n">
        <x:v>783</x:v>
      </x:c>
      <x:c r="G814" s="8" t="n">
        <x:v>192957</x:v>
      </x:c>
      <x:c r="H814" s="8" t="n">
        <x:v>632</x:v>
      </x:c>
      <x:c r="I814" s="8" t="n">
        <x:v>0</x:v>
      </x:c>
      <x:c r="J814" s="8" t="n">
        <x:v>0</x:v>
      </x:c>
      <x:c r="K814" s="8" t="n">
        <x:v>346</x:v>
      </x:c>
      <x:c r="L814" s="1" t="str">
        <x:v>Нет</x:v>
      </x:c>
      <x:c r="M814" s="1" t="n">
        <x:v>0</x:v>
      </x:c>
    </x:row>
    <x:row r="815">
      <x:c r="A815" s="1" t="str">
        <x:v>320420251</x:v>
      </x:c>
      <x:c r="B815" s="1" t="str">
        <x:v>palazzoshnurok/дымка</x:v>
      </x:c>
      <x:c r="C815" s="1" t="str">
        <x:v>Брюки</x:v>
      </x:c>
      <x:c r="D815" s="9" t="n">
        <x:v>7.2</x:v>
      </x:c>
      <x:c r="E815" s="8" t="n">
        <x:v>24703</x:v>
      </x:c>
      <x:c r="F815" s="8" t="n">
        <x:v>392</x:v>
      </x:c>
      <x:c r="G815" s="8" t="n">
        <x:v>192314</x:v>
      </x:c>
      <x:c r="H815" s="8" t="n">
        <x:v>488</x:v>
      </x:c>
      <x:c r="I815" s="8" t="n">
        <x:v>0</x:v>
      </x:c>
      <x:c r="J815" s="8" t="n">
        <x:v>0</x:v>
      </x:c>
      <x:c r="K815" s="8" t="n">
        <x:v>2441</x:v>
      </x:c>
      <x:c r="L815" s="1" t="str">
        <x:v>Нет</x:v>
      </x:c>
      <x:c r="M815" s="1" t="n">
        <x:v>0</x:v>
      </x:c>
    </x:row>
    <x:row r="816">
      <x:c r="A816" s="1" t="str">
        <x:v>246362996</x:v>
      </x:c>
      <x:c r="B816" s="1" t="str">
        <x:v>tolstovkazipcrop/хаки</x:v>
      </x:c>
      <x:c r="C816" s="1" t="str">
        <x:v>Худи</x:v>
      </x:c>
      <x:c r="D816" s="9" t="n">
        <x:v>9.7</x:v>
      </x:c>
      <x:c r="E816" s="8" t="n">
        <x:v>25850</x:v>
      </x:c>
      <x:c r="F816" s="8" t="n">
        <x:v>187</x:v>
      </x:c>
      <x:c r="G816" s="8" t="n">
        <x:v>191245</x:v>
      </x:c>
      <x:c r="H816" s="8" t="n">
        <x:v>0</x:v>
      </x:c>
      <x:c r="I816" s="8" t="n">
        <x:v>0</x:v>
      </x:c>
      <x:c r="J816" s="8" t="n">
        <x:v>361</x:v>
      </x:c>
      <x:c r="K816" s="8" t="n">
        <x:v>2278</x:v>
      </x:c>
      <x:c r="L816" s="1" t="str">
        <x:v>Нет</x:v>
      </x:c>
      <x:c r="M816" s="1" t="n">
        <x:v>408624</x:v>
      </x:c>
    </x:row>
    <x:row r="817">
      <x:c r="A817" s="1" t="str">
        <x:v>325076333</x:v>
      </x:c>
      <x:c r="B817" s="1" t="str">
        <x:v>kulirkamanprint/Time-275/коричневый</x:v>
      </x:c>
      <x:c r="C817" s="1" t="str">
        <x:v>Футболки</x:v>
      </x:c>
      <x:c r="D817" s="9" t="n">
        <x:v>8.7</x:v>
      </x:c>
      <x:c r="E817" s="8" t="n">
        <x:v>46835</x:v>
      </x:c>
      <x:c r="F817" s="8" t="n">
        <x:v>312</x:v>
      </x:c>
      <x:c r="G817" s="8" t="n">
        <x:v>190574</x:v>
      </x:c>
      <x:c r="H817" s="8" t="n">
        <x:v>50</x:v>
      </x:c>
      <x:c r="I817" s="8" t="n">
        <x:v>0</x:v>
      </x:c>
      <x:c r="J817" s="8" t="n">
        <x:v>0</x:v>
      </x:c>
      <x:c r="K817" s="8" t="n">
        <x:v>1140</x:v>
      </x:c>
      <x:c r="L817" s="1" t="str">
        <x:v>Нет</x:v>
      </x:c>
      <x:c r="M817" s="1" t="n">
        <x:v>0</x:v>
      </x:c>
    </x:row>
    <x:row r="818">
      <x:c r="A818" s="1" t="str">
        <x:v>166248304</x:v>
      </x:c>
      <x:c r="B818" s="1" t="str">
        <x:v>svitshotover/красный</x:v>
      </x:c>
      <x:c r="C818" s="1" t="str">
        <x:v>Свитшоты</x:v>
      </x:c>
      <x:c r="D818" s="9" t="n">
        <x:v>9.7</x:v>
      </x:c>
      <x:c r="E818" s="8" t="n">
        <x:v>12579</x:v>
      </x:c>
      <x:c r="F818" s="8" t="n">
        <x:v>240</x:v>
      </x:c>
      <x:c r="G818" s="8" t="n">
        <x:v>190523</x:v>
      </x:c>
      <x:c r="H818" s="8" t="n">
        <x:v>277</x:v>
      </x:c>
      <x:c r="I818" s="8" t="n">
        <x:v>0</x:v>
      </x:c>
      <x:c r="J818" s="8" t="n">
        <x:v>383</x:v>
      </x:c>
      <x:c r="K818" s="8" t="n">
        <x:v>2026</x:v>
      </x:c>
      <x:c r="L818" s="1" t="str">
        <x:v>Нет</x:v>
      </x:c>
      <x:c r="M818" s="1" t="n">
        <x:v>255275</x:v>
      </x:c>
    </x:row>
    <x:row r="819">
      <x:c r="A819" s="1" t="str">
        <x:v>209915076</x:v>
      </x:c>
      <x:c r="B819" s="1" t="str">
        <x:v>longsvobod/кофейный</x:v>
      </x:c>
      <x:c r="C819" s="1" t="str">
        <x:v>Лонгсливы</x:v>
      </x:c>
      <x:c r="D819" s="9" t="n">
        <x:v>7.2</x:v>
      </x:c>
      <x:c r="E819" s="8" t="n">
        <x:v>58372</x:v>
      </x:c>
      <x:c r="F819" s="8" t="n">
        <x:v>471</x:v>
      </x:c>
      <x:c r="G819" s="8" t="n">
        <x:v>189946</x:v>
      </x:c>
      <x:c r="H819" s="8" t="n">
        <x:v>58</x:v>
      </x:c>
      <x:c r="I819" s="8" t="n">
        <x:v>0</x:v>
      </x:c>
      <x:c r="J819" s="8" t="n">
        <x:v>618</x:v>
      </x:c>
      <x:c r="K819" s="8" t="n">
        <x:v>1272</x:v>
      </x:c>
      <x:c r="L819" s="1" t="str">
        <x:v>Нет</x:v>
      </x:c>
      <x:c r="M819" s="1" t="n">
        <x:v>278844</x:v>
      </x:c>
    </x:row>
    <x:row r="820">
      <x:c r="A820" s="1" t="str">
        <x:v>332646310</x:v>
      </x:c>
      <x:c r="B820" s="1" t="str">
        <x:v>futbolkaprint/Rome-237/кофейный</x:v>
      </x:c>
      <x:c r="C820" s="1" t="str">
        <x:v>Футболки</x:v>
      </x:c>
      <x:c r="D820" s="9" t="n">
        <x:v>9.7</x:v>
      </x:c>
      <x:c r="E820" s="8" t="n">
        <x:v>72336</x:v>
      </x:c>
      <x:c r="F820" s="8" t="n">
        <x:v>434</x:v>
      </x:c>
      <x:c r="G820" s="8" t="n">
        <x:v>189624</x:v>
      </x:c>
      <x:c r="H820" s="8" t="n">
        <x:v>261</x:v>
      </x:c>
      <x:c r="I820" s="8" t="n">
        <x:v>0</x:v>
      </x:c>
      <x:c r="J820" s="8" t="n">
        <x:v>0</x:v>
      </x:c>
      <x:c r="K820" s="8" t="n">
        <x:v>1233</x:v>
      </x:c>
      <x:c r="L820" s="1" t="str">
        <x:v>Нет</x:v>
      </x:c>
      <x:c r="M820" s="1" t="n">
        <x:v>0</x:v>
      </x:c>
    </x:row>
    <x:row r="821">
      <x:c r="A821" s="1" t="str">
        <x:v>333104135</x:v>
      </x:c>
      <x:c r="B821" s="1" t="str">
        <x:v>topbando/дымка</x:v>
      </x:c>
      <x:c r="C821" s="1" t="str">
        <x:v>Топы</x:v>
      </x:c>
      <x:c r="D821" s="9" t="n">
        <x:v>8.9</x:v>
      </x:c>
      <x:c r="E821" s="8" t="n">
        <x:v>32445</x:v>
      </x:c>
      <x:c r="F821" s="8" t="n">
        <x:v>744</x:v>
      </x:c>
      <x:c r="G821" s="8" t="n">
        <x:v>189079</x:v>
      </x:c>
      <x:c r="H821" s="8" t="n">
        <x:v>259</x:v>
      </x:c>
      <x:c r="I821" s="8" t="n">
        <x:v>0</x:v>
      </x:c>
      <x:c r="J821" s="8" t="n">
        <x:v>0</x:v>
      </x:c>
      <x:c r="K821" s="8" t="n">
        <x:v>554</x:v>
      </x:c>
      <x:c r="L821" s="1" t="str">
        <x:v>Нет</x:v>
      </x:c>
      <x:c r="M821" s="1" t="n">
        <x:v>0</x:v>
      </x:c>
    </x:row>
    <x:row r="822">
      <x:c r="A822" s="1" t="str">
        <x:v>333139841</x:v>
      </x:c>
      <x:c r="B822" s="1" t="str">
        <x:v>topfutbolka/розовый</x:v>
      </x:c>
      <x:c r="C822" s="1" t="str">
        <x:v>Топы</x:v>
      </x:c>
      <x:c r="D822" s="9" t="n">
        <x:v>9.4</x:v>
      </x:c>
      <x:c r="E822" s="8" t="n">
        <x:v>23306</x:v>
      </x:c>
      <x:c r="F822" s="8" t="n">
        <x:v>710</x:v>
      </x:c>
      <x:c r="G822" s="8" t="n">
        <x:v>188730</x:v>
      </x:c>
      <x:c r="H822" s="8" t="n">
        <x:v>134</x:v>
      </x:c>
      <x:c r="I822" s="8" t="n">
        <x:v>0</x:v>
      </x:c>
      <x:c r="J822" s="8" t="n">
        <x:v>0</x:v>
      </x:c>
      <x:c r="K822" s="8" t="n">
        <x:v>652</x:v>
      </x:c>
      <x:c r="L822" s="1" t="str">
        <x:v>Нет</x:v>
      </x:c>
      <x:c r="M822" s="1" t="n">
        <x:v>0</x:v>
      </x:c>
    </x:row>
    <x:row r="823">
      <x:c r="A823" s="1" t="str">
        <x:v>228407604</x:v>
      </x:c>
      <x:c r="B823" s="1" t="str">
        <x:v>kulirkamanprint/Cactus-144/молочный</x:v>
      </x:c>
      <x:c r="C823" s="1" t="str">
        <x:v>Футболки</x:v>
      </x:c>
      <x:c r="D823" s="9" t="n">
        <x:v>8.7</x:v>
      </x:c>
      <x:c r="E823" s="8" t="n">
        <x:v>21546</x:v>
      </x:c>
      <x:c r="F823" s="8" t="n">
        <x:v>327</x:v>
      </x:c>
      <x:c r="G823" s="8" t="n">
        <x:v>188675</x:v>
      </x:c>
      <x:c r="H823" s="8" t="n">
        <x:v>0</x:v>
      </x:c>
      <x:c r="I823" s="8" t="n">
        <x:v>0</x:v>
      </x:c>
      <x:c r="J823" s="8" t="n">
        <x:v>1</x:v>
      </x:c>
      <x:c r="K823" s="8" t="n">
        <x:v>981</x:v>
      </x:c>
      <x:c r="L823" s="1" t="str">
        <x:v>Нет</x:v>
      </x:c>
      <x:c r="M823" s="1" t="n">
        <x:v>980</x:v>
      </x:c>
    </x:row>
    <x:row r="824">
      <x:c r="A824" s="1" t="str">
        <x:v>322137312</x:v>
      </x:c>
      <x:c r="B824" s="1" t="str">
        <x:v>longpolo3K-90/красный</x:v>
      </x:c>
      <x:c r="C824" s="1" t="str">
        <x:v>Лонгсливы</x:v>
      </x:c>
      <x:c r="D824" s="9" t="n">
        <x:v>8.7</x:v>
      </x:c>
      <x:c r="E824" s="8" t="n">
        <x:v>45795</x:v>
      </x:c>
      <x:c r="F824" s="8" t="n">
        <x:v>365</x:v>
      </x:c>
      <x:c r="G824" s="8" t="n">
        <x:v>188180</x:v>
      </x:c>
      <x:c r="H824" s="8" t="n">
        <x:v>86</x:v>
      </x:c>
      <x:c r="I824" s="8" t="n">
        <x:v>0</x:v>
      </x:c>
      <x:c r="J824" s="8" t="n">
        <x:v>98</x:v>
      </x:c>
      <x:c r="K824" s="8" t="n">
        <x:v>1235</x:v>
      </x:c>
      <x:c r="L824" s="1" t="str">
        <x:v>Нет</x:v>
      </x:c>
      <x:c r="M824" s="1" t="n">
        <x:v>50600</x:v>
      </x:c>
    </x:row>
    <x:row r="825">
      <x:c r="A825" s="1" t="str">
        <x:v>332581973</x:v>
      </x:c>
      <x:c r="B825" s="1" t="str">
        <x:v>shortyman4P-91/коричневый</x:v>
      </x:c>
      <x:c r="C825" s="1" t="str">
        <x:v>Шорты</x:v>
      </x:c>
      <x:c r="D825" s="9" t="n">
        <x:v>8.2</x:v>
      </x:c>
      <x:c r="E825" s="8" t="n">
        <x:v>16342</x:v>
      </x:c>
      <x:c r="F825" s="8" t="n">
        <x:v>299</x:v>
      </x:c>
      <x:c r="G825" s="8" t="n">
        <x:v>187950</x:v>
      </x:c>
      <x:c r="H825" s="8" t="n">
        <x:v>3</x:v>
      </x:c>
      <x:c r="I825" s="8" t="n">
        <x:v>0</x:v>
      </x:c>
      <x:c r="J825" s="8" t="n">
        <x:v>0</x:v>
      </x:c>
      <x:c r="K825" s="8" t="n">
        <x:v>1623</x:v>
      </x:c>
      <x:c r="L825" s="1" t="str">
        <x:v>Нет</x:v>
      </x:c>
      <x:c r="M825" s="1" t="n">
        <x:v>0</x:v>
      </x:c>
    </x:row>
    <x:row r="826">
      <x:c r="A826" s="1" t="str">
        <x:v>220090318</x:v>
      </x:c>
      <x:c r="B826" s="1" t="str">
        <x:v>tolstovkazipman/синий</x:v>
      </x:c>
      <x:c r="C826" s="1" t="str">
        <x:v>Худи</x:v>
      </x:c>
      <x:c r="D826" s="9" t="n">
        <x:v>9</x:v>
      </x:c>
      <x:c r="E826" s="8" t="n">
        <x:v>18814</x:v>
      </x:c>
      <x:c r="F826" s="8" t="n">
        <x:v>191</x:v>
      </x:c>
      <x:c r="G826" s="8" t="n">
        <x:v>187378</x:v>
      </x:c>
      <x:c r="H826" s="8" t="n">
        <x:v>3</x:v>
      </x:c>
      <x:c r="I826" s="8" t="n">
        <x:v>0</x:v>
      </x:c>
      <x:c r="J826" s="8" t="n">
        <x:v>226</x:v>
      </x:c>
      <x:c r="K826" s="8" t="n">
        <x:v>2437</x:v>
      </x:c>
      <x:c r="L826" s="1" t="str">
        <x:v>Нет</x:v>
      </x:c>
      <x:c r="M826" s="1" t="n">
        <x:v>232800</x:v>
      </x:c>
    </x:row>
    <x:row r="827">
      <x:c r="A827" s="1" t="str">
        <x:v>209915089</x:v>
      </x:c>
      <x:c r="B827" s="1" t="str">
        <x:v>longsvobod/молочный</x:v>
      </x:c>
      <x:c r="C827" s="1" t="str">
        <x:v>Лонгсливы</x:v>
      </x:c>
      <x:c r="D827" s="9" t="n">
        <x:v>7.2</x:v>
      </x:c>
      <x:c r="E827" s="8" t="n">
        <x:v>27395</x:v>
      </x:c>
      <x:c r="F827" s="8" t="n">
        <x:v>529</x:v>
      </x:c>
      <x:c r="G827" s="8" t="n">
        <x:v>186943</x:v>
      </x:c>
      <x:c r="H827" s="8" t="n">
        <x:v>129</x:v>
      </x:c>
      <x:c r="I827" s="8" t="n">
        <x:v>0</x:v>
      </x:c>
      <x:c r="J827" s="8" t="n">
        <x:v>445</x:v>
      </x:c>
      <x:c r="K827" s="8" t="n">
        <x:v>950</x:v>
      </x:c>
      <x:c r="L827" s="1" t="str">
        <x:v>Нет</x:v>
      </x:c>
      <x:c r="M827" s="1" t="n">
        <x:v>180321</x:v>
      </x:c>
    </x:row>
    <x:row r="828">
      <x:c r="A828" s="1" t="str">
        <x:v>55216549</x:v>
      </x:c>
      <x:c r="B828" s="1" t="str">
        <x:v>kostyumman/светло-зеленый</x:v>
      </x:c>
      <x:c r="C828" s="1" t="str">
        <x:v>Костюмы спортивные</x:v>
      </x:c>
      <x:c r="D828" s="9" t="n">
        <x:v>7.4</x:v>
      </x:c>
      <x:c r="E828" s="8" t="n">
        <x:v>7762</x:v>
      </x:c>
      <x:c r="F828" s="8" t="n">
        <x:v>126</x:v>
      </x:c>
      <x:c r="G828" s="8" t="n">
        <x:v>186062</x:v>
      </x:c>
      <x:c r="H828" s="8" t="n">
        <x:v>269</x:v>
      </x:c>
      <x:c r="I828" s="8" t="n">
        <x:v>0</x:v>
      </x:c>
      <x:c r="J828" s="8" t="n">
        <x:v>217</x:v>
      </x:c>
      <x:c r="K828" s="8" t="n">
        <x:v>4537</x:v>
      </x:c>
      <x:c r="L828" s="1" t="str">
        <x:v>Нет</x:v>
      </x:c>
      <x:c r="M828" s="1" t="n">
        <x:v>329231</x:v>
      </x:c>
    </x:row>
    <x:row r="829">
      <x:c r="A829" s="1" t="str">
        <x:v>202954956</x:v>
      </x:c>
      <x:c r="B829" s="1" t="str">
        <x:v>hudiprint/KRASLoveNever-64/молочный</x:v>
      </x:c>
      <x:c r="C829" s="1" t="str">
        <x:v>Худи</x:v>
      </x:c>
      <x:c r="D829" s="9" t="n">
        <x:v>6.7</x:v>
      </x:c>
      <x:c r="E829" s="8" t="n">
        <x:v>19762</x:v>
      </x:c>
      <x:c r="F829" s="8" t="n">
        <x:v>173</x:v>
      </x:c>
      <x:c r="G829" s="8" t="n">
        <x:v>185725</x:v>
      </x:c>
      <x:c r="H829" s="8" t="n">
        <x:v>138</x:v>
      </x:c>
      <x:c r="I829" s="8" t="n">
        <x:v>0</x:v>
      </x:c>
      <x:c r="J829" s="8" t="n">
        <x:v>162</x:v>
      </x:c>
      <x:c r="K829" s="8" t="n">
        <x:v>2479</x:v>
      </x:c>
      <x:c r="L829" s="1" t="str">
        <x:v>Нет</x:v>
      </x:c>
      <x:c r="M829" s="1" t="n">
        <x:v>210000</x:v>
      </x:c>
    </x:row>
    <x:row r="830">
      <x:c r="A830" s="1" t="str">
        <x:v>344184280</x:v>
      </x:c>
      <x:c r="B830" s="1" t="str">
        <x:v>longslim3К-81/каштановый</x:v>
      </x:c>
      <x:c r="C830" s="1" t="str">
        <x:v>Лонгсливы</x:v>
      </x:c>
      <x:c r="D830" s="9" t="n">
        <x:v>8.7</x:v>
      </x:c>
      <x:c r="E830" s="8" t="n">
        <x:v>22479</x:v>
      </x:c>
      <x:c r="F830" s="8" t="n">
        <x:v>459</x:v>
      </x:c>
      <x:c r="G830" s="8" t="n">
        <x:v>185642</x:v>
      </x:c>
      <x:c r="H830" s="8" t="n">
        <x:v>2</x:v>
      </x:c>
      <x:c r="I830" s="8" t="n">
        <x:v>0</x:v>
      </x:c>
      <x:c r="J830" s="8" t="n">
        <x:v>0</x:v>
      </x:c>
      <x:c r="K830" s="8" t="n">
        <x:v>913</x:v>
      </x:c>
      <x:c r="L830" s="1" t="str">
        <x:v>Нет</x:v>
      </x:c>
      <x:c r="M830" s="1" t="n">
        <x:v>0</x:v>
      </x:c>
    </x:row>
    <x:row r="831">
      <x:c r="A831" s="1" t="str">
        <x:v>268453054</x:v>
      </x:c>
      <x:c r="B831" s="1" t="str">
        <x:v>hudi/милка</x:v>
      </x:c>
      <x:c r="C831" s="1" t="str">
        <x:v>Худи</x:v>
      </x:c>
      <x:c r="D831" s="9" t="n">
        <x:v>9.7</x:v>
      </x:c>
      <x:c r="E831" s="8" t="n">
        <x:v>33144</x:v>
      </x:c>
      <x:c r="F831" s="8" t="n">
        <x:v>211</x:v>
      </x:c>
      <x:c r="G831" s="8" t="n">
        <x:v>184264</x:v>
      </x:c>
      <x:c r="H831" s="8" t="n">
        <x:v>269</x:v>
      </x:c>
      <x:c r="I831" s="8" t="n">
        <x:v>0</x:v>
      </x:c>
      <x:c r="J831" s="8" t="n">
        <x:v>357</x:v>
      </x:c>
      <x:c r="K831" s="8" t="n">
        <x:v>2209</x:v>
      </x:c>
      <x:c r="L831" s="1" t="str">
        <x:v>Нет</x:v>
      </x:c>
      <x:c r="M831" s="1" t="n">
        <x:v>365717</x:v>
      </x:c>
    </x:row>
    <x:row r="832">
      <x:c r="A832" s="1" t="str">
        <x:v>313465265</x:v>
      </x:c>
      <x:c r="B832" s="1" t="str">
        <x:v>longcrop3К-84/черный</x:v>
      </x:c>
      <x:c r="C832" s="1" t="str">
        <x:v>Лонгсливы</x:v>
      </x:c>
      <x:c r="D832" s="9" t="n">
        <x:v>8.7</x:v>
      </x:c>
      <x:c r="E832" s="8" t="n">
        <x:v>12946</x:v>
      </x:c>
      <x:c r="F832" s="8" t="n">
        <x:v>388</x:v>
      </x:c>
      <x:c r="G832" s="8" t="n">
        <x:v>183856</x:v>
      </x:c>
      <x:c r="H832" s="8" t="n">
        <x:v>4</x:v>
      </x:c>
      <x:c r="I832" s="8" t="n">
        <x:v>0</x:v>
      </x:c>
      <x:c r="J832" s="8" t="n">
        <x:v>433</x:v>
      </x:c>
      <x:c r="K832" s="8" t="n">
        <x:v>811</x:v>
      </x:c>
      <x:c r="L832" s="1" t="str">
        <x:v>Нет</x:v>
      </x:c>
      <x:c r="M832" s="1" t="n">
        <x:v>194543</x:v>
      </x:c>
    </x:row>
    <x:row r="833">
      <x:c r="A833" s="1" t="str">
        <x:v>332418841</x:v>
      </x:c>
      <x:c r="B833" s="1" t="str">
        <x:v>top/дымка</x:v>
      </x:c>
      <x:c r="C833" s="1" t="str">
        <x:v>Топы</x:v>
      </x:c>
      <x:c r="D833" s="9" t="n">
        <x:v>8.7</x:v>
      </x:c>
      <x:c r="E833" s="8" t="n">
        <x:v>49270</x:v>
      </x:c>
      <x:c r="F833" s="8" t="n">
        <x:v>662</x:v>
      </x:c>
      <x:c r="G833" s="8" t="n">
        <x:v>183498</x:v>
      </x:c>
      <x:c r="H833" s="8" t="n">
        <x:v>100</x:v>
      </x:c>
      <x:c r="I833" s="8" t="n">
        <x:v>0</x:v>
      </x:c>
      <x:c r="J833" s="8" t="n">
        <x:v>26</x:v>
      </x:c>
      <x:c r="K833" s="8" t="n">
        <x:v>650</x:v>
      </x:c>
      <x:c r="L833" s="1" t="str">
        <x:v>Нет</x:v>
      </x:c>
      <x:c r="M833" s="1" t="n">
        <x:v>6000</x:v>
      </x:c>
    </x:row>
    <x:row r="834">
      <x:c r="A834" s="1" t="str">
        <x:v>326824804</x:v>
      </x:c>
      <x:c r="B834" s="1" t="str">
        <x:v>2nkost3D-72-73/бордовый</x:v>
      </x:c>
      <x:c r="C834" s="1" t="str">
        <x:v>Костюмы спортивные</x:v>
      </x:c>
      <x:c r="D834" s="9" t="n">
        <x:v>8.7</x:v>
      </x:c>
      <x:c r="E834" s="8" t="n">
        <x:v>55443</x:v>
      </x:c>
      <x:c r="F834" s="8" t="n">
        <x:v>479</x:v>
      </x:c>
      <x:c r="G834" s="8" t="n">
        <x:v>183223</x:v>
      </x:c>
      <x:c r="H834" s="8" t="n">
        <x:v>6</x:v>
      </x:c>
      <x:c r="I834" s="8" t="n">
        <x:v>0</x:v>
      </x:c>
      <x:c r="J834" s="8" t="n">
        <x:v>0</x:v>
      </x:c>
      <x:c r="K834" s="8" t="n">
        <x:v>2042</x:v>
      </x:c>
      <x:c r="L834" s="1" t="str">
        <x:v>Нет</x:v>
      </x:c>
      <x:c r="M834" s="1" t="n">
        <x:v>0</x:v>
      </x:c>
    </x:row>
    <x:row r="835">
      <x:c r="A835" s="1" t="str">
        <x:v>332581972</x:v>
      </x:c>
      <x:c r="B835" s="1" t="str">
        <x:v>shortyman4P-91/серый</x:v>
      </x:c>
      <x:c r="C835" s="1" t="str">
        <x:v>Шорты</x:v>
      </x:c>
      <x:c r="D835" s="9" t="n">
        <x:v>8.2</x:v>
      </x:c>
      <x:c r="E835" s="8" t="n">
        <x:v>19108</x:v>
      </x:c>
      <x:c r="F835" s="8" t="n">
        <x:v>362</x:v>
      </x:c>
      <x:c r="G835" s="8" t="n">
        <x:v>182967</x:v>
      </x:c>
      <x:c r="H835" s="8" t="n">
        <x:v>2</x:v>
      </x:c>
      <x:c r="I835" s="8" t="n">
        <x:v>0</x:v>
      </x:c>
      <x:c r="J835" s="8" t="n">
        <x:v>2</x:v>
      </x:c>
      <x:c r="K835" s="8" t="n">
        <x:v>1654</x:v>
      </x:c>
      <x:c r="L835" s="1" t="str">
        <x:v>Нет</x:v>
      </x:c>
      <x:c r="M835" s="1" t="n">
        <x:v>0</x:v>
      </x:c>
    </x:row>
    <x:row r="836">
      <x:c r="A836" s="1" t="str">
        <x:v>332581970</x:v>
      </x:c>
      <x:c r="B836" s="1" t="str">
        <x:v>shortyman4P-91/темно-серый</x:v>
      </x:c>
      <x:c r="C836" s="1" t="str">
        <x:v>Шорты</x:v>
      </x:c>
      <x:c r="D836" s="9" t="n">
        <x:v>7.9</x:v>
      </x:c>
      <x:c r="E836" s="8" t="n">
        <x:v>18651</x:v>
      </x:c>
      <x:c r="F836" s="8" t="n">
        <x:v>379</x:v>
      </x:c>
      <x:c r="G836" s="8" t="n">
        <x:v>182667</x:v>
      </x:c>
      <x:c r="H836" s="8" t="n">
        <x:v>5</x:v>
      </x:c>
      <x:c r="I836" s="8" t="n">
        <x:v>0</x:v>
      </x:c>
      <x:c r="J836" s="8" t="n">
        <x:v>0</x:v>
      </x:c>
      <x:c r="K836" s="8" t="n">
        <x:v>1768</x:v>
      </x:c>
      <x:c r="L836" s="1" t="str">
        <x:v>Нет</x:v>
      </x:c>
      <x:c r="M836" s="1" t="n">
        <x:v>0</x:v>
      </x:c>
    </x:row>
    <x:row r="837">
      <x:c r="A837" s="1" t="str">
        <x:v>224386336</x:v>
      </x:c>
      <x:c r="B837" s="1" t="str">
        <x:v>kulirkamanprint/TakeCare-134/какао</x:v>
      </x:c>
      <x:c r="C837" s="1" t="str">
        <x:v>Футболки</x:v>
      </x:c>
      <x:c r="D837" s="9" t="n">
        <x:v>9.7</x:v>
      </x:c>
      <x:c r="E837" s="8" t="n">
        <x:v>17764</x:v>
      </x:c>
      <x:c r="F837" s="8" t="n">
        <x:v>362</x:v>
      </x:c>
      <x:c r="G837" s="8" t="n">
        <x:v>181918</x:v>
      </x:c>
      <x:c r="H837" s="8" t="n">
        <x:v>25</x:v>
      </x:c>
      <x:c r="I837" s="8" t="n">
        <x:v>0</x:v>
      </x:c>
      <x:c r="J837" s="8" t="n">
        <x:v>733</x:v>
      </x:c>
      <x:c r="K837" s="8" t="n">
        <x:v>951</x:v>
      </x:c>
      <x:c r="L837" s="1" t="str">
        <x:v>Нет</x:v>
      </x:c>
      <x:c r="M837" s="1" t="n">
        <x:v>377455</x:v>
      </x:c>
    </x:row>
    <x:row r="838">
      <x:c r="A838" s="1" t="str">
        <x:v>150674021</x:v>
      </x:c>
      <x:c r="B838" s="1" t="str">
        <x:v>svitshotover/мандариновый</x:v>
      </x:c>
      <x:c r="C838" s="1" t="str">
        <x:v>Свитшоты</x:v>
      </x:c>
      <x:c r="D838" s="9" t="n">
        <x:v>9.7</x:v>
      </x:c>
      <x:c r="E838" s="8" t="n">
        <x:v>16750</x:v>
      </x:c>
      <x:c r="F838" s="8" t="n">
        <x:v>259</x:v>
      </x:c>
      <x:c r="G838" s="8" t="n">
        <x:v>181584</x:v>
      </x:c>
      <x:c r="H838" s="8" t="n">
        <x:v>744</x:v>
      </x:c>
      <x:c r="I838" s="8" t="n">
        <x:v>0</x:v>
      </x:c>
      <x:c r="J838" s="8" t="n">
        <x:v>455</x:v>
      </x:c>
      <x:c r="K838" s="8" t="n">
        <x:v>1976</x:v>
      </x:c>
      <x:c r="L838" s="1" t="str">
        <x:v>Нет</x:v>
      </x:c>
      <x:c r="M838" s="1" t="n">
        <x:v>370300</x:v>
      </x:c>
    </x:row>
    <x:row r="839">
      <x:c r="A839" s="1" t="str">
        <x:v>183793819</x:v>
      </x:c>
      <x:c r="B839" s="1" t="str">
        <x:v>hudiprint/TDG-3/черный</x:v>
      </x:c>
      <x:c r="C839" s="1" t="str">
        <x:v>Худи</x:v>
      </x:c>
      <x:c r="D839" s="9" t="n">
        <x:v>8.2</x:v>
      </x:c>
      <x:c r="E839" s="8" t="n">
        <x:v>16869</x:v>
      </x:c>
      <x:c r="F839" s="8" t="n">
        <x:v>161</x:v>
      </x:c>
      <x:c r="G839" s="8" t="n">
        <x:v>181564</x:v>
      </x:c>
      <x:c r="H839" s="8" t="n">
        <x:v>1</x:v>
      </x:c>
      <x:c r="I839" s="8" t="n">
        <x:v>0</x:v>
      </x:c>
      <x:c r="J839" s="8" t="n">
        <x:v>508</x:v>
      </x:c>
      <x:c r="K839" s="8" t="n">
        <x:v>2152</x:v>
      </x:c>
      <x:c r="L839" s="1" t="str">
        <x:v>Нет</x:v>
      </x:c>
      <x:c r="M839" s="1" t="n">
        <x:v>543730</x:v>
      </x:c>
    </x:row>
    <x:row r="840">
      <x:c r="A840" s="1" t="str">
        <x:v>266147459</x:v>
      </x:c>
      <x:c r="B840" s="1" t="str">
        <x:v>hudiprint/MOSCOW-220/молочный</x:v>
      </x:c>
      <x:c r="C840" s="1" t="str">
        <x:v>Худи</x:v>
      </x:c>
      <x:c r="D840" s="9" t="n">
        <x:v>9.7</x:v>
      </x:c>
      <x:c r="E840" s="8" t="n">
        <x:v>21292</x:v>
      </x:c>
      <x:c r="F840" s="8" t="n">
        <x:v>130</x:v>
      </x:c>
      <x:c r="G840" s="8" t="n">
        <x:v>181259</x:v>
      </x:c>
      <x:c r="H840" s="8" t="n">
        <x:v>3</x:v>
      </x:c>
      <x:c r="I840" s="8" t="n">
        <x:v>0</x:v>
      </x:c>
      <x:c r="J840" s="8" t="n">
        <x:v>388</x:v>
      </x:c>
      <x:c r="K840" s="8" t="n">
        <x:v>3055</x:v>
      </x:c>
      <x:c r="L840" s="1" t="str">
        <x:v>Нет</x:v>
      </x:c>
      <x:c r="M840" s="1" t="n">
        <x:v>475850</x:v>
      </x:c>
    </x:row>
    <x:row r="841">
      <x:c r="A841" s="1" t="str">
        <x:v>287286750</x:v>
      </x:c>
      <x:c r="B841" s="1" t="str">
        <x:v>2Nitkalongsliv3D-76/темно-синий</x:v>
      </x:c>
      <x:c r="C841" s="1" t="str">
        <x:v>Лонгсливы</x:v>
      </x:c>
      <x:c r="D841" s="9" t="n">
        <x:v>8.7</x:v>
      </x:c>
      <x:c r="E841" s="8" t="n">
        <x:v>49856</x:v>
      </x:c>
      <x:c r="F841" s="8" t="n">
        <x:v>393</x:v>
      </x:c>
      <x:c r="G841" s="8" t="n">
        <x:v>180440</x:v>
      </x:c>
      <x:c r="H841" s="8" t="n">
        <x:v>20</x:v>
      </x:c>
      <x:c r="I841" s="8" t="n">
        <x:v>0</x:v>
      </x:c>
      <x:c r="J841" s="8" t="n">
        <x:v>560</x:v>
      </x:c>
      <x:c r="K841" s="8" t="n">
        <x:v>1403</x:v>
      </x:c>
      <x:c r="L841" s="1" t="str">
        <x:v>Нет</x:v>
      </x:c>
      <x:c r="M841" s="1" t="n">
        <x:v>257370</x:v>
      </x:c>
    </x:row>
    <x:row r="842">
      <x:c r="A842" s="1" t="str">
        <x:v>333121382</x:v>
      </x:c>
      <x:c r="B842" s="1" t="str">
        <x:v>topmayka/молочный</x:v>
      </x:c>
      <x:c r="C842" s="1" t="str">
        <x:v>Топы</x:v>
      </x:c>
      <x:c r="D842" s="9" t="n">
        <x:v>9</x:v>
      </x:c>
      <x:c r="E842" s="8" t="n">
        <x:v>30206</x:v>
      </x:c>
      <x:c r="F842" s="8" t="n">
        <x:v>653</x:v>
      </x:c>
      <x:c r="G842" s="8" t="n">
        <x:v>180275</x:v>
      </x:c>
      <x:c r="H842" s="8" t="n">
        <x:v>1414</x:v>
      </x:c>
      <x:c r="I842" s="8" t="n">
        <x:v>0</x:v>
      </x:c>
      <x:c r="J842" s="8" t="n">
        <x:v>0</x:v>
      </x:c>
      <x:c r="K842" s="8" t="n">
        <x:v>587</x:v>
      </x:c>
      <x:c r="L842" s="1" t="str">
        <x:v>Нет</x:v>
      </x:c>
      <x:c r="M842" s="1" t="n">
        <x:v>0</x:v>
      </x:c>
    </x:row>
    <x:row r="843">
      <x:c r="A843" s="1" t="str">
        <x:v>210248282</x:v>
      </x:c>
      <x:c r="B843" s="1" t="str">
        <x:v>kulirkamanprint/SaintLouis-76/молочный</x:v>
      </x:c>
      <x:c r="C843" s="1" t="str">
        <x:v>Футболки</x:v>
      </x:c>
      <x:c r="D843" s="9" t="n">
        <x:v>7.7</x:v>
      </x:c>
      <x:c r="E843" s="8" t="n">
        <x:v>11713</x:v>
      </x:c>
      <x:c r="F843" s="8" t="n">
        <x:v>350</x:v>
      </x:c>
      <x:c r="G843" s="8" t="n">
        <x:v>179759</x:v>
      </x:c>
      <x:c r="H843" s="8" t="n">
        <x:v>5</x:v>
      </x:c>
      <x:c r="I843" s="8" t="n">
        <x:v>0</x:v>
      </x:c>
      <x:c r="J843" s="8" t="n">
        <x:v>914</x:v>
      </x:c>
      <x:c r="K843" s="8" t="n">
        <x:v>1076</x:v>
      </x:c>
      <x:c r="L843" s="1" t="str">
        <x:v>Нет</x:v>
      </x:c>
      <x:c r="M843" s="1" t="n">
        <x:v>528216</x:v>
      </x:c>
    </x:row>
    <x:row r="844">
      <x:c r="A844" s="1" t="str">
        <x:v>181613189</x:v>
      </x:c>
      <x:c r="B844" s="1" t="str">
        <x:v>kostum/черный</x:v>
      </x:c>
      <x:c r="C844" s="1" t="str">
        <x:v>Костюмы спортивные</x:v>
      </x:c>
      <x:c r="D844" s="9" t="n">
        <x:v>8.7</x:v>
      </x:c>
      <x:c r="E844" s="8" t="n">
        <x:v>24192</x:v>
      </x:c>
      <x:c r="F844" s="8" t="n">
        <x:v>120</x:v>
      </x:c>
      <x:c r="G844" s="8" t="n">
        <x:v>179144</x:v>
      </x:c>
      <x:c r="H844" s="8" t="n">
        <x:v>191</x:v>
      </x:c>
      <x:c r="I844" s="8" t="n">
        <x:v>0</x:v>
      </x:c>
      <x:c r="J844" s="8" t="n">
        <x:v>121</x:v>
      </x:c>
      <x:c r="K844" s="8" t="n">
        <x:v>4370</x:v>
      </x:c>
      <x:c r="L844" s="1" t="str">
        <x:v>Нет</x:v>
      </x:c>
      <x:c r="M844" s="1" t="n">
        <x:v>179328</x:v>
      </x:c>
    </x:row>
    <x:row r="845">
      <x:c r="A845" s="1" t="str">
        <x:v>245558079</x:v>
      </x:c>
      <x:c r="B845" s="1" t="str">
        <x:v>hudimanprint/TakeCare-134/песочный</x:v>
      </x:c>
      <x:c r="C845" s="1" t="str">
        <x:v>Худи</x:v>
      </x:c>
      <x:c r="D845" s="9" t="n">
        <x:v>9.7</x:v>
      </x:c>
      <x:c r="E845" s="8" t="n">
        <x:v>23646</x:v>
      </x:c>
      <x:c r="F845" s="8" t="n">
        <x:v>189</x:v>
      </x:c>
      <x:c r="G845" s="8" t="n">
        <x:v>178767</x:v>
      </x:c>
      <x:c r="H845" s="8" t="n">
        <x:v>584</x:v>
      </x:c>
      <x:c r="I845" s="8" t="n">
        <x:v>0</x:v>
      </x:c>
      <x:c r="J845" s="8" t="n">
        <x:v>240</x:v>
      </x:c>
      <x:c r="K845" s="8" t="n">
        <x:v>2412</x:v>
      </x:c>
      <x:c r="L845" s="1" t="str">
        <x:v>Нет</x:v>
      </x:c>
      <x:c r="M845" s="1" t="n">
        <x:v>195301</x:v>
      </x:c>
    </x:row>
    <x:row r="846">
      <x:c r="A846" s="1" t="str">
        <x:v>311049924</x:v>
      </x:c>
      <x:c r="B846" s="1" t="str">
        <x:v>hudimanpetl/песочный</x:v>
      </x:c>
      <x:c r="C846" s="1" t="str">
        <x:v>Худи</x:v>
      </x:c>
      <x:c r="D846" s="9" t="n">
        <x:v>8.7</x:v>
      </x:c>
      <x:c r="E846" s="8" t="n">
        <x:v>10242</x:v>
      </x:c>
      <x:c r="F846" s="8" t="n">
        <x:v>186</x:v>
      </x:c>
      <x:c r="G846" s="8" t="n">
        <x:v>178554</x:v>
      </x:c>
      <x:c r="H846" s="8" t="n">
        <x:v>6</x:v>
      </x:c>
      <x:c r="I846" s="8" t="n">
        <x:v>0</x:v>
      </x:c>
      <x:c r="J846" s="8" t="n">
        <x:v>224</x:v>
      </x:c>
      <x:c r="K846" s="8" t="n">
        <x:v>2618</x:v>
      </x:c>
      <x:c r="L846" s="1" t="str">
        <x:v>Нет</x:v>
      </x:c>
      <x:c r="M846" s="1" t="n">
        <x:v>170442</x:v>
      </x:c>
    </x:row>
    <x:row r="847">
      <x:c r="A847" s="1" t="str">
        <x:v>203224206</x:v>
      </x:c>
      <x:c r="B847" s="1" t="str">
        <x:v>hudiprint/MoreSelf-44/розовый</x:v>
      </x:c>
      <x:c r="C847" s="1" t="str">
        <x:v>Худи</x:v>
      </x:c>
      <x:c r="D847" s="9" t="n">
        <x:v>6.7</x:v>
      </x:c>
      <x:c r="E847" s="8" t="n">
        <x:v>18707</x:v>
      </x:c>
      <x:c r="F847" s="8" t="n">
        <x:v>160</x:v>
      </x:c>
      <x:c r="G847" s="8" t="n">
        <x:v>178536</x:v>
      </x:c>
      <x:c r="H847" s="8" t="n">
        <x:v>119</x:v>
      </x:c>
      <x:c r="I847" s="8" t="n">
        <x:v>0</x:v>
      </x:c>
      <x:c r="J847" s="8" t="n">
        <x:v>401</x:v>
      </x:c>
      <x:c r="K847" s="8" t="n">
        <x:v>2662</x:v>
      </x:c>
      <x:c r="L847" s="1" t="str">
        <x:v>Нет</x:v>
      </x:c>
      <x:c r="M847" s="1" t="n">
        <x:v>500601</x:v>
      </x:c>
    </x:row>
    <x:row r="848">
      <x:c r="A848" s="1" t="str">
        <x:v>175116968</x:v>
      </x:c>
      <x:c r="B848" s="1" t="str">
        <x:v>reglanman/какао</x:v>
      </x:c>
      <x:c r="C848" s="1" t="str">
        <x:v>Лонгсливы</x:v>
      </x:c>
      <x:c r="D848" s="9" t="n">
        <x:v>7.2</x:v>
      </x:c>
      <x:c r="E848" s="8" t="n">
        <x:v>21168</x:v>
      </x:c>
      <x:c r="F848" s="8" t="n">
        <x:v>397</x:v>
      </x:c>
      <x:c r="G848" s="8" t="n">
        <x:v>178387</x:v>
      </x:c>
      <x:c r="H848" s="8" t="n">
        <x:v>1169</x:v>
      </x:c>
      <x:c r="I848" s="8" t="n">
        <x:v>0</x:v>
      </x:c>
      <x:c r="J848" s="8" t="n">
        <x:v>348</x:v>
      </x:c>
      <x:c r="K848" s="8" t="n">
        <x:v>1088</x:v>
      </x:c>
      <x:c r="L848" s="1" t="str">
        <x:v>Нет</x:v>
      </x:c>
      <x:c r="M848" s="1" t="n">
        <x:v>187224</x:v>
      </x:c>
    </x:row>
    <x:row r="849">
      <x:c r="A849" s="1" t="str">
        <x:v>208734201</x:v>
      </x:c>
      <x:c r="B849" s="1" t="str">
        <x:v>svitshotzip1/морскаяволна</x:v>
      </x:c>
      <x:c r="C849" s="1" t="str">
        <x:v>Свитшоты</x:v>
      </x:c>
      <x:c r="D849" s="9" t="n">
        <x:v>9.7</x:v>
      </x:c>
      <x:c r="E849" s="8" t="n">
        <x:v>12545</x:v>
      </x:c>
      <x:c r="F849" s="8" t="n">
        <x:v>189</x:v>
      </x:c>
      <x:c r="G849" s="8" t="n">
        <x:v>177958</x:v>
      </x:c>
      <x:c r="H849" s="8" t="n">
        <x:v>286</x:v>
      </x:c>
      <x:c r="I849" s="8" t="n">
        <x:v>0</x:v>
      </x:c>
      <x:c r="J849" s="8" t="n">
        <x:v>251</x:v>
      </x:c>
      <x:c r="K849" s="8" t="n">
        <x:v>2334</x:v>
      </x:c>
      <x:c r="L849" s="1" t="str">
        <x:v>Нет</x:v>
      </x:c>
      <x:c r="M849" s="1" t="n">
        <x:v>252573</x:v>
      </x:c>
    </x:row>
    <x:row r="850">
      <x:c r="A850" s="1" t="str">
        <x:v>212947261</x:v>
      </x:c>
      <x:c r="B850" s="1" t="str">
        <x:v>hudiprint/MoreSelf-44/голубой</x:v>
      </x:c>
      <x:c r="C850" s="1" t="str">
        <x:v>Худи</x:v>
      </x:c>
      <x:c r="D850" s="9" t="n">
        <x:v>7.7</x:v>
      </x:c>
      <x:c r="E850" s="8" t="n">
        <x:v>15000</x:v>
      </x:c>
      <x:c r="F850" s="8" t="n">
        <x:v>163</x:v>
      </x:c>
      <x:c r="G850" s="8" t="n">
        <x:v>177957</x:v>
      </x:c>
      <x:c r="H850" s="8" t="n">
        <x:v>20</x:v>
      </x:c>
      <x:c r="I850" s="8" t="n">
        <x:v>0</x:v>
      </x:c>
      <x:c r="J850" s="8" t="n">
        <x:v>299</x:v>
      </x:c>
      <x:c r="K850" s="8" t="n">
        <x:v>2849</x:v>
      </x:c>
      <x:c r="L850" s="1" t="str">
        <x:v>Нет</x:v>
      </x:c>
      <x:c r="M850" s="1" t="n">
        <x:v>436600</x:v>
      </x:c>
    </x:row>
    <x:row r="851">
      <x:c r="A851" s="1" t="str">
        <x:v>288643271</x:v>
      </x:c>
      <x:c r="B851" s="1" t="str">
        <x:v>svitshotman/дымка</x:v>
      </x:c>
      <x:c r="C851" s="1" t="str">
        <x:v>Свитшоты</x:v>
      </x:c>
      <x:c r="D851" s="9" t="n">
        <x:v>9.7</x:v>
      </x:c>
      <x:c r="E851" s="8" t="n">
        <x:v>13672</x:v>
      </x:c>
      <x:c r="F851" s="8" t="n">
        <x:v>200</x:v>
      </x:c>
      <x:c r="G851" s="8" t="n">
        <x:v>177900</x:v>
      </x:c>
      <x:c r="H851" s="8" t="n">
        <x:v>149</x:v>
      </x:c>
      <x:c r="I851" s="8" t="n">
        <x:v>0</x:v>
      </x:c>
      <x:c r="J851" s="8" t="n">
        <x:v>360</x:v>
      </x:c>
      <x:c r="K851" s="8" t="n">
        <x:v>2497</x:v>
      </x:c>
      <x:c r="L851" s="1" t="str">
        <x:v>Нет</x:v>
      </x:c>
      <x:c r="M851" s="1" t="n">
        <x:v>358678</x:v>
      </x:c>
    </x:row>
    <x:row r="852">
      <x:c r="A852" s="1" t="str">
        <x:v>19346569</x:v>
      </x:c>
      <x:c r="B852" s="1" t="str">
        <x:v>kostyum/графит</x:v>
      </x:c>
      <x:c r="C852" s="1" t="str">
        <x:v>Костюмы спортивные</x:v>
      </x:c>
      <x:c r="D852" s="9" t="n">
        <x:v>8.7</x:v>
      </x:c>
      <x:c r="E852" s="8" t="n">
        <x:v>21724</x:v>
      </x:c>
      <x:c r="F852" s="8" t="n">
        <x:v>121</x:v>
      </x:c>
      <x:c r="G852" s="8" t="n">
        <x:v>177351</x:v>
      </x:c>
      <x:c r="H852" s="8" t="n">
        <x:v>198</x:v>
      </x:c>
      <x:c r="I852" s="8" t="n">
        <x:v>0</x:v>
      </x:c>
      <x:c r="J852" s="8" t="n">
        <x:v>179</x:v>
      </x:c>
      <x:c r="K852" s="8" t="n">
        <x:v>4310</x:v>
      </x:c>
      <x:c r="L852" s="1" t="str">
        <x:v>Нет</x:v>
      </x:c>
      <x:c r="M852" s="1" t="n">
        <x:v>278275</x:v>
      </x:c>
    </x:row>
    <x:row r="853">
      <x:c r="A853" s="1" t="str">
        <x:v>87046418</x:v>
      </x:c>
      <x:c r="B853" s="1" t="str">
        <x:v>kroptop/салатовый</x:v>
      </x:c>
      <x:c r="C853" s="1" t="str">
        <x:v>Футболки</x:v>
      </x:c>
      <x:c r="D853" s="9" t="n">
        <x:v>9.7</x:v>
      </x:c>
      <x:c r="E853" s="8" t="n">
        <x:v>15267</x:v>
      </x:c>
      <x:c r="F853" s="8" t="n">
        <x:v>418</x:v>
      </x:c>
      <x:c r="G853" s="8" t="n">
        <x:v>177209</x:v>
      </x:c>
      <x:c r="H853" s="8" t="n">
        <x:v>172</x:v>
      </x:c>
      <x:c r="I853" s="8" t="n">
        <x:v>0</x:v>
      </x:c>
      <x:c r="J853" s="8" t="n">
        <x:v>475</x:v>
      </x:c>
      <x:c r="K853" s="8" t="n">
        <x:v>796</x:v>
      </x:c>
      <x:c r="L853" s="1" t="str">
        <x:v>Нет</x:v>
      </x:c>
      <x:c r="M853" s="1" t="n">
        <x:v>207970</x:v>
      </x:c>
    </x:row>
    <x:row r="854">
      <x:c r="A854" s="1" t="str">
        <x:v>183791697</x:v>
      </x:c>
      <x:c r="B854" s="1" t="str">
        <x:v>hudiprint/MEDUZA-17/черный</x:v>
      </x:c>
      <x:c r="C854" s="1" t="str">
        <x:v>Худи</x:v>
      </x:c>
      <x:c r="D854" s="9" t="n">
        <x:v>8.7</x:v>
      </x:c>
      <x:c r="E854" s="8" t="n">
        <x:v>21030</x:v>
      </x:c>
      <x:c r="F854" s="8" t="n">
        <x:v>129</x:v>
      </x:c>
      <x:c r="G854" s="8" t="n">
        <x:v>177153</x:v>
      </x:c>
      <x:c r="H854" s="8" t="n">
        <x:v>77</x:v>
      </x:c>
      <x:c r="I854" s="8" t="n">
        <x:v>0</x:v>
      </x:c>
      <x:c r="J854" s="8" t="n">
        <x:v>256</x:v>
      </x:c>
      <x:c r="K854" s="8" t="n">
        <x:v>2490</x:v>
      </x:c>
      <x:c r="L854" s="1" t="str">
        <x:v>Нет</x:v>
      </x:c>
      <x:c r="M854" s="1" t="n">
        <x:v>377962</x:v>
      </x:c>
    </x:row>
    <x:row r="855">
      <x:c r="A855" s="1" t="str">
        <x:v>287286751</x:v>
      </x:c>
      <x:c r="B855" s="1" t="str">
        <x:v>2Nitkalongsliv3D-76/серый</x:v>
      </x:c>
      <x:c r="C855" s="1" t="str">
        <x:v>Лонгсливы</x:v>
      </x:c>
      <x:c r="D855" s="9" t="n">
        <x:v>8.7</x:v>
      </x:c>
      <x:c r="E855" s="8" t="n">
        <x:v>11172</x:v>
      </x:c>
      <x:c r="F855" s="8" t="n">
        <x:v>310</x:v>
      </x:c>
      <x:c r="G855" s="8" t="n">
        <x:v>176843</x:v>
      </x:c>
      <x:c r="H855" s="8" t="n">
        <x:v>14</x:v>
      </x:c>
      <x:c r="I855" s="8" t="n">
        <x:v>0</x:v>
      </x:c>
      <x:c r="J855" s="8" t="n">
        <x:v>743</x:v>
      </x:c>
      <x:c r="K855" s="8" t="n">
        <x:v>1368</x:v>
      </x:c>
      <x:c r="L855" s="1" t="str">
        <x:v>Нет</x:v>
      </x:c>
      <x:c r="M855" s="1" t="n">
        <x:v>389621</x:v>
      </x:c>
    </x:row>
    <x:row r="856">
      <x:c r="A856" s="1" t="str">
        <x:v>209640745</x:v>
      </x:c>
      <x:c r="B856" s="1" t="str">
        <x:v>futbolkaprint/Anketa-62/молочный</x:v>
      </x:c>
      <x:c r="C856" s="1" t="str">
        <x:v>Футболки</x:v>
      </x:c>
      <x:c r="D856" s="9" t="n">
        <x:v>7.7</x:v>
      </x:c>
      <x:c r="E856" s="8" t="n">
        <x:v>116605</x:v>
      </x:c>
      <x:c r="F856" s="8" t="n">
        <x:v>305</x:v>
      </x:c>
      <x:c r="G856" s="8" t="n">
        <x:v>176107</x:v>
      </x:c>
      <x:c r="H856" s="8" t="n">
        <x:v>37</x:v>
      </x:c>
      <x:c r="I856" s="8" t="n">
        <x:v>0</x:v>
      </x:c>
      <x:c r="J856" s="8" t="n">
        <x:v>25</x:v>
      </x:c>
      <x:c r="K856" s="8" t="n">
        <x:v>1167</x:v>
      </x:c>
      <x:c r="L856" s="1" t="str">
        <x:v>Нет</x:v>
      </x:c>
      <x:c r="M856" s="1" t="n">
        <x:v>17641</x:v>
      </x:c>
    </x:row>
    <x:row r="857">
      <x:c r="A857" s="1" t="str">
        <x:v>249222956</x:v>
      </x:c>
      <x:c r="B857" s="1" t="str">
        <x:v>svitshotpolopetl3P-60/серый</x:v>
      </x:c>
      <x:c r="C857" s="1" t="str">
        <x:v>Свитшоты</x:v>
      </x:c>
      <x:c r="D857" s="9" t="n">
        <x:v>8.7</x:v>
      </x:c>
      <x:c r="E857" s="8" t="n">
        <x:v>32222</x:v>
      </x:c>
      <x:c r="F857" s="8" t="n">
        <x:v>294</x:v>
      </x:c>
      <x:c r="G857" s="8" t="n">
        <x:v>175933</x:v>
      </x:c>
      <x:c r="H857" s="8" t="n">
        <x:v>356</x:v>
      </x:c>
      <x:c r="I857" s="8" t="n">
        <x:v>0</x:v>
      </x:c>
      <x:c r="J857" s="8" t="n">
        <x:v>147</x:v>
      </x:c>
      <x:c r="K857" s="8" t="n">
        <x:v>2455</x:v>
      </x:c>
      <x:c r="L857" s="1" t="str">
        <x:v>Нет</x:v>
      </x:c>
      <x:c r="M857" s="1" t="n">
        <x:v>100886</x:v>
      </x:c>
    </x:row>
    <x:row r="858">
      <x:c r="A858" s="1" t="str">
        <x:v>43410536</x:v>
      </x:c>
      <x:c r="B858" s="1" t="str">
        <x:v>longsliv/бордовый</x:v>
      </x:c>
      <x:c r="C858" s="1" t="str">
        <x:v>Лонгсливы</x:v>
      </x:c>
      <x:c r="D858" s="9" t="n">
        <x:v>9.7</x:v>
      </x:c>
      <x:c r="E858" s="8" t="n">
        <x:v>21537</x:v>
      </x:c>
      <x:c r="F858" s="8" t="n">
        <x:v>530</x:v>
      </x:c>
      <x:c r="G858" s="8" t="n">
        <x:v>175912</x:v>
      </x:c>
      <x:c r="H858" s="8" t="n">
        <x:v>142</x:v>
      </x:c>
      <x:c r="I858" s="8" t="n">
        <x:v>0</x:v>
      </x:c>
      <x:c r="J858" s="8" t="n">
        <x:v>429</x:v>
      </x:c>
      <x:c r="K858" s="8" t="n">
        <x:v>898</x:v>
      </x:c>
      <x:c r="L858" s="1" t="str">
        <x:v>Нет</x:v>
      </x:c>
      <x:c r="M858" s="1" t="n">
        <x:v>158891</x:v>
      </x:c>
    </x:row>
    <x:row r="859">
      <x:c r="A859" s="1" t="str">
        <x:v>245583558</x:v>
      </x:c>
      <x:c r="B859" s="1" t="str">
        <x:v>hudiprint/NeedMoney-104/черный</x:v>
      </x:c>
      <x:c r="C859" s="1" t="str">
        <x:v>Худи</x:v>
      </x:c>
      <x:c r="D859" s="9" t="n">
        <x:v>8.7</x:v>
      </x:c>
      <x:c r="E859" s="8" t="n">
        <x:v>14586</x:v>
      </x:c>
      <x:c r="F859" s="8" t="n">
        <x:v>179</x:v>
      </x:c>
      <x:c r="G859" s="8" t="n">
        <x:v>175655</x:v>
      </x:c>
      <x:c r="H859" s="8" t="n">
        <x:v>6</x:v>
      </x:c>
      <x:c r="I859" s="8" t="n">
        <x:v>0</x:v>
      </x:c>
      <x:c r="J859" s="8" t="n">
        <x:v>225</x:v>
      </x:c>
      <x:c r="K859" s="8" t="n">
        <x:v>2500</x:v>
      </x:c>
      <x:c r="L859" s="1" t="str">
        <x:v>Нет</x:v>
      </x:c>
      <x:c r="M859" s="1" t="n">
        <x:v>251451</x:v>
      </x:c>
    </x:row>
    <x:row r="860">
      <x:c r="A860" s="1" t="str">
        <x:v>202409765</x:v>
      </x:c>
      <x:c r="B860" s="1" t="str">
        <x:v>hudimanprint/Brukman-42/песочный</x:v>
      </x:c>
      <x:c r="C860" s="1" t="str">
        <x:v>Худи</x:v>
      </x:c>
      <x:c r="D860" s="9" t="n">
        <x:v>9.7</x:v>
      </x:c>
      <x:c r="E860" s="8" t="n">
        <x:v>12591</x:v>
      </x:c>
      <x:c r="F860" s="8" t="n">
        <x:v>202</x:v>
      </x:c>
      <x:c r="G860" s="8" t="n">
        <x:v>174419</x:v>
      </x:c>
      <x:c r="H860" s="8" t="n">
        <x:v>0</x:v>
      </x:c>
      <x:c r="I860" s="8" t="n">
        <x:v>0</x:v>
      </x:c>
      <x:c r="J860" s="8" t="n">
        <x:v>385</x:v>
      </x:c>
      <x:c r="K860" s="8" t="n">
        <x:v>2737</x:v>
      </x:c>
      <x:c r="L860" s="1" t="str">
        <x:v>Нет</x:v>
      </x:c>
      <x:c r="M860" s="1" t="n">
        <x:v>429920</x:v>
      </x:c>
    </x:row>
    <x:row r="861">
      <x:c r="A861" s="1" t="str">
        <x:v>246363017</x:v>
      </x:c>
      <x:c r="B861" s="1" t="str">
        <x:v>tolstovkazipcrop/синий</x:v>
      </x:c>
      <x:c r="C861" s="1" t="str">
        <x:v>Худи</x:v>
      </x:c>
      <x:c r="D861" s="9" t="n">
        <x:v>9.7</x:v>
      </x:c>
      <x:c r="E861" s="8" t="n">
        <x:v>15170</x:v>
      </x:c>
      <x:c r="F861" s="8" t="n">
        <x:v>163</x:v>
      </x:c>
      <x:c r="G861" s="8" t="n">
        <x:v>173552</x:v>
      </x:c>
      <x:c r="H861" s="8" t="n">
        <x:v>2</x:v>
      </x:c>
      <x:c r="I861" s="8" t="n">
        <x:v>0</x:v>
      </x:c>
      <x:c r="J861" s="8" t="n">
        <x:v>198</x:v>
      </x:c>
      <x:c r="K861" s="8" t="n">
        <x:v>2164</x:v>
      </x:c>
      <x:c r="L861" s="1" t="str">
        <x:v>Нет</x:v>
      </x:c>
      <x:c r="M861" s="1" t="n">
        <x:v>239606</x:v>
      </x:c>
    </x:row>
    <x:row r="862">
      <x:c r="A862" s="1" t="str">
        <x:v>250810799</x:v>
      </x:c>
      <x:c r="B862" s="1" t="str">
        <x:v>hudimanprint/ModernCity-184/песочный</x:v>
      </x:c>
      <x:c r="C862" s="1" t="str">
        <x:v>Худи</x:v>
      </x:c>
      <x:c r="D862" s="9" t="n">
        <x:v>8.7</x:v>
      </x:c>
      <x:c r="E862" s="8" t="n">
        <x:v>31341</x:v>
      </x:c>
      <x:c r="F862" s="8" t="n">
        <x:v>193</x:v>
      </x:c>
      <x:c r="G862" s="8" t="n">
        <x:v>172553</x:v>
      </x:c>
      <x:c r="H862" s="8" t="n">
        <x:v>529</x:v>
      </x:c>
      <x:c r="I862" s="8" t="n">
        <x:v>0</x:v>
      </x:c>
      <x:c r="J862" s="8" t="n">
        <x:v>114</x:v>
      </x:c>
      <x:c r="K862" s="8" t="n">
        <x:v>2400</x:v>
      </x:c>
      <x:c r="L862" s="1" t="str">
        <x:v>Нет</x:v>
      </x:c>
      <x:c r="M862" s="1" t="n">
        <x:v>114750</x:v>
      </x:c>
    </x:row>
    <x:row r="863">
      <x:c r="A863" s="1" t="str">
        <x:v>234287030</x:v>
      </x:c>
      <x:c r="B863" s="1" t="str">
        <x:v>svitshotmanpetl/молочный</x:v>
      </x:c>
      <x:c r="C863" s="1" t="str">
        <x:v>Свитшоты</x:v>
      </x:c>
      <x:c r="D863" s="9" t="n">
        <x:v>6.7</x:v>
      </x:c>
      <x:c r="E863" s="8" t="n">
        <x:v>12483</x:v>
      </x:c>
      <x:c r="F863" s="8" t="n">
        <x:v>181</x:v>
      </x:c>
      <x:c r="G863" s="8" t="n">
        <x:v>172540</x:v>
      </x:c>
      <x:c r="H863" s="8" t="n">
        <x:v>3</x:v>
      </x:c>
      <x:c r="I863" s="8" t="n">
        <x:v>0</x:v>
      </x:c>
      <x:c r="J863" s="8" t="n">
        <x:v>275</x:v>
      </x:c>
      <x:c r="K863" s="8" t="n">
        <x:v>2378</x:v>
      </x:c>
      <x:c r="L863" s="1" t="str">
        <x:v>Нет</x:v>
      </x:c>
      <x:c r="M863" s="1" t="n">
        <x:v>284034</x:v>
      </x:c>
    </x:row>
    <x:row r="864">
      <x:c r="A864" s="1" t="str">
        <x:v>256332777</x:v>
      </x:c>
      <x:c r="B864" s="1" t="str">
        <x:v>futhlopman/темно-серый</x:v>
      </x:c>
      <x:c r="C864" s="1" t="str">
        <x:v>Футболки</x:v>
      </x:c>
      <x:c r="D864" s="9" t="n">
        <x:v>8.2</x:v>
      </x:c>
      <x:c r="E864" s="8" t="n">
        <x:v>18928</x:v>
      </x:c>
      <x:c r="F864" s="8" t="n">
        <x:v>412</x:v>
      </x:c>
      <x:c r="G864" s="8" t="n">
        <x:v>172442</x:v>
      </x:c>
      <x:c r="H864" s="8" t="n">
        <x:v>90</x:v>
      </x:c>
      <x:c r="I864" s="8" t="n">
        <x:v>0</x:v>
      </x:c>
      <x:c r="J864" s="8" t="n">
        <x:v>379</x:v>
      </x:c>
      <x:c r="K864" s="8" t="n">
        <x:v>745</x:v>
      </x:c>
      <x:c r="L864" s="1" t="str">
        <x:v>Нет</x:v>
      </x:c>
      <x:c r="M864" s="1" t="n">
        <x:v>182622</x:v>
      </x:c>
    </x:row>
    <x:row r="865">
      <x:c r="A865" s="1" t="str">
        <x:v>52479844</x:v>
      </x:c>
      <x:c r="B865" s="1" t="str">
        <x:v>hudiman/изумрудно-зеленый</x:v>
      </x:c>
      <x:c r="C865" s="1" t="str">
        <x:v>Худи</x:v>
      </x:c>
      <x:c r="D865" s="9" t="n">
        <x:v>9.7</x:v>
      </x:c>
      <x:c r="E865" s="8" t="n">
        <x:v>5561</x:v>
      </x:c>
      <x:c r="F865" s="8" t="n">
        <x:v>153</x:v>
      </x:c>
      <x:c r="G865" s="8" t="n">
        <x:v>172375</x:v>
      </x:c>
      <x:c r="H865" s="8" t="n">
        <x:v>54</x:v>
      </x:c>
      <x:c r="I865" s="8" t="n">
        <x:v>0</x:v>
      </x:c>
      <x:c r="J865" s="8" t="n">
        <x:v>204</x:v>
      </x:c>
      <x:c r="K865" s="8" t="n">
        <x:v>2812</x:v>
      </x:c>
      <x:c r="L865" s="1" t="str">
        <x:v>Нет</x:v>
      </x:c>
      <x:c r="M865" s="1" t="n">
        <x:v>270165</x:v>
      </x:c>
    </x:row>
    <x:row r="866">
      <x:c r="A866" s="1" t="str">
        <x:v>256323226</x:v>
      </x:c>
      <x:c r="B866" s="1" t="str">
        <x:v>futhlopmanover/шалфей</x:v>
      </x:c>
      <x:c r="C866" s="1" t="str">
        <x:v>Футболки</x:v>
      </x:c>
      <x:c r="D866" s="9" t="n">
        <x:v>8.7</x:v>
      </x:c>
      <x:c r="E866" s="8" t="n">
        <x:v>24323</x:v>
      </x:c>
      <x:c r="F866" s="8" t="n">
        <x:v>459</x:v>
      </x:c>
      <x:c r="G866" s="8" t="n">
        <x:v>170690</x:v>
      </x:c>
      <x:c r="H866" s="8" t="n">
        <x:v>90</x:v>
      </x:c>
      <x:c r="I866" s="8" t="n">
        <x:v>0</x:v>
      </x:c>
      <x:c r="J866" s="8" t="n">
        <x:v>470</x:v>
      </x:c>
      <x:c r="K866" s="8" t="n">
        <x:v>895</x:v>
      </x:c>
      <x:c r="L866" s="1" t="str">
        <x:v>Нет</x:v>
      </x:c>
      <x:c r="M866" s="1" t="n">
        <x:v>212513</x:v>
      </x:c>
    </x:row>
    <x:row r="867">
      <x:c r="A867" s="1" t="str">
        <x:v>209919694</x:v>
      </x:c>
      <x:c r="B867" s="1" t="str">
        <x:v>longsvobod/черный</x:v>
      </x:c>
      <x:c r="C867" s="1" t="str">
        <x:v>Лонгсливы</x:v>
      </x:c>
      <x:c r="D867" s="9" t="n">
        <x:v>7.2</x:v>
      </x:c>
      <x:c r="E867" s="8" t="n">
        <x:v>17538</x:v>
      </x:c>
      <x:c r="F867" s="8" t="n">
        <x:v>345</x:v>
      </x:c>
      <x:c r="G867" s="8" t="n">
        <x:v>170668</x:v>
      </x:c>
      <x:c r="H867" s="8" t="n">
        <x:v>87</x:v>
      </x:c>
      <x:c r="I867" s="8" t="n">
        <x:v>0</x:v>
      </x:c>
      <x:c r="J867" s="8" t="n">
        <x:v>622</x:v>
      </x:c>
      <x:c r="K867" s="8" t="n">
        <x:v>954</x:v>
      </x:c>
      <x:c r="L867" s="1" t="str">
        <x:v>Нет</x:v>
      </x:c>
      <x:c r="M867" s="1" t="n">
        <x:v>317490</x:v>
      </x:c>
    </x:row>
    <x:row r="868">
      <x:c r="A868" s="1" t="str">
        <x:v>26436307</x:v>
      </x:c>
      <x:c r="B868" s="1" t="str">
        <x:v>hudiman/бежевый</x:v>
      </x:c>
      <x:c r="C868" s="1" t="str">
        <x:v>Худи</x:v>
      </x:c>
      <x:c r="D868" s="9" t="n">
        <x:v>9.7</x:v>
      </x:c>
      <x:c r="E868" s="8" t="n">
        <x:v>10259</x:v>
      </x:c>
      <x:c r="F868" s="8" t="n">
        <x:v>202</x:v>
      </x:c>
      <x:c r="G868" s="8" t="n">
        <x:v>170610</x:v>
      </x:c>
      <x:c r="H868" s="8" t="n">
        <x:v>345</x:v>
      </x:c>
      <x:c r="I868" s="8" t="n">
        <x:v>0</x:v>
      </x:c>
      <x:c r="J868" s="8" t="n">
        <x:v>275</x:v>
      </x:c>
      <x:c r="K868" s="8" t="n">
        <x:v>2375</x:v>
      </x:c>
      <x:c r="L868" s="1" t="str">
        <x:v>Нет</x:v>
      </x:c>
      <x:c r="M868" s="1" t="n">
        <x:v>298600</x:v>
      </x:c>
    </x:row>
    <x:row r="869">
      <x:c r="A869" s="1" t="str">
        <x:v>51576905</x:v>
      </x:c>
      <x:c r="B869" s="1" t="str">
        <x:v>brukiman/коричневый</x:v>
      </x:c>
      <x:c r="C869" s="1" t="str">
        <x:v>Брюки</x:v>
      </x:c>
      <x:c r="D869" s="9" t="n">
        <x:v>7.7</x:v>
      </x:c>
      <x:c r="E869" s="8" t="n">
        <x:v>8383</x:v>
      </x:c>
      <x:c r="F869" s="8" t="n">
        <x:v>227</x:v>
      </x:c>
      <x:c r="G869" s="8" t="n">
        <x:v>170257</x:v>
      </x:c>
      <x:c r="H869" s="8" t="n">
        <x:v>170</x:v>
      </x:c>
      <x:c r="I869" s="8" t="n">
        <x:v>0</x:v>
      </x:c>
      <x:c r="J869" s="8" t="n">
        <x:v>502</x:v>
      </x:c>
      <x:c r="K869" s="8" t="n">
        <x:v>2326</x:v>
      </x:c>
      <x:c r="L869" s="1" t="str">
        <x:v>Нет</x:v>
      </x:c>
      <x:c r="M869" s="1" t="n">
        <x:v>482577</x:v>
      </x:c>
    </x:row>
    <x:row r="870">
      <x:c r="A870" s="1" t="str">
        <x:v>234287017</x:v>
      </x:c>
      <x:c r="B870" s="1" t="str">
        <x:v>svitshotpetl/серый</x:v>
      </x:c>
      <x:c r="C870" s="1" t="str">
        <x:v>Свитшоты</x:v>
      </x:c>
      <x:c r="D870" s="9" t="n">
        <x:v>8.7</x:v>
      </x:c>
      <x:c r="E870" s="8" t="n">
        <x:v>19774</x:v>
      </x:c>
      <x:c r="F870" s="8" t="n">
        <x:v>268</x:v>
      </x:c>
      <x:c r="G870" s="8" t="n">
        <x:v>169386</x:v>
      </x:c>
      <x:c r="H870" s="8" t="n">
        <x:v>77</x:v>
      </x:c>
      <x:c r="I870" s="8" t="n">
        <x:v>0</x:v>
      </x:c>
      <x:c r="J870" s="8" t="n">
        <x:v>317</x:v>
      </x:c>
      <x:c r="K870" s="8" t="n">
        <x:v>1784</x:v>
      </x:c>
      <x:c r="L870" s="1" t="str">
        <x:v>Нет</x:v>
      </x:c>
      <x:c r="M870" s="1" t="n">
        <x:v>192179</x:v>
      </x:c>
    </x:row>
    <x:row r="871">
      <x:c r="A871" s="1" t="str">
        <x:v>198090021</x:v>
      </x:c>
      <x:c r="B871" s="1" t="str">
        <x:v>brukiman/серыймеланж2</x:v>
      </x:c>
      <x:c r="C871" s="1" t="str">
        <x:v>Брюки</x:v>
      </x:c>
      <x:c r="D871" s="9" t="n">
        <x:v>7.7</x:v>
      </x:c>
      <x:c r="E871" s="8" t="n">
        <x:v>12534</x:v>
      </x:c>
      <x:c r="F871" s="8" t="n">
        <x:v>364</x:v>
      </x:c>
      <x:c r="G871" s="8" t="n">
        <x:v>169282</x:v>
      </x:c>
      <x:c r="H871" s="8" t="n">
        <x:v>90</x:v>
      </x:c>
      <x:c r="I871" s="8" t="n">
        <x:v>0</x:v>
      </x:c>
      <x:c r="J871" s="8" t="n">
        <x:v>670</x:v>
      </x:c>
      <x:c r="K871" s="8" t="n">
        <x:v>2176</x:v>
      </x:c>
      <x:c r="L871" s="1" t="str">
        <x:v>Нет</x:v>
      </x:c>
      <x:c r="M871" s="1" t="n">
        <x:v>364819</x:v>
      </x:c>
    </x:row>
    <x:row r="872">
      <x:c r="A872" s="1" t="str">
        <x:v>288641542</x:v>
      </x:c>
      <x:c r="B872" s="1" t="str">
        <x:v>svitshotover/дымка</x:v>
      </x:c>
      <x:c r="C872" s="1" t="str">
        <x:v>Свитшоты</x:v>
      </x:c>
      <x:c r="D872" s="9" t="n">
        <x:v>9.7</x:v>
      </x:c>
      <x:c r="E872" s="8" t="n">
        <x:v>14728</x:v>
      </x:c>
      <x:c r="F872" s="8" t="n">
        <x:v>220</x:v>
      </x:c>
      <x:c r="G872" s="8" t="n">
        <x:v>169080</x:v>
      </x:c>
      <x:c r="H872" s="8" t="n">
        <x:v>417</x:v>
      </x:c>
      <x:c r="I872" s="8" t="n">
        <x:v>0</x:v>
      </x:c>
      <x:c r="J872" s="8" t="n">
        <x:v>362</x:v>
      </x:c>
      <x:c r="K872" s="8" t="n">
        <x:v>2032</x:v>
      </x:c>
      <x:c r="L872" s="1" t="str">
        <x:v>Нет</x:v>
      </x:c>
      <x:c r="M872" s="1" t="n">
        <x:v>301625</x:v>
      </x:c>
    </x:row>
    <x:row r="873">
      <x:c r="A873" s="1" t="str">
        <x:v>210618393</x:v>
      </x:c>
      <x:c r="B873" s="1" t="str">
        <x:v>kostkulirkaover/черный</x:v>
      </x:c>
      <x:c r="C873" s="1" t="str">
        <x:v>Костюмы</x:v>
      </x:c>
      <x:c r="D873" s="9" t="n">
        <x:v>8.7</x:v>
      </x:c>
      <x:c r="E873" s="8" t="n">
        <x:v>20895</x:v>
      </x:c>
      <x:c r="F873" s="8" t="n">
        <x:v>223</x:v>
      </x:c>
      <x:c r="G873" s="8" t="n">
        <x:v>168906</x:v>
      </x:c>
      <x:c r="H873" s="8" t="n">
        <x:v>487</x:v>
      </x:c>
      <x:c r="I873" s="8" t="n">
        <x:v>0</x:v>
      </x:c>
      <x:c r="J873" s="8" t="n">
        <x:v>11</x:v>
      </x:c>
      <x:c r="K873" s="8" t="n">
        <x:v>1616</x:v>
      </x:c>
      <x:c r="L873" s="1" t="str">
        <x:v>Нет</x:v>
      </x:c>
      <x:c r="M873" s="1" t="n">
        <x:v>13600</x:v>
      </x:c>
    </x:row>
    <x:row r="874">
      <x:c r="A874" s="1" t="str">
        <x:v>234269968</x:v>
      </x:c>
      <x:c r="B874" s="1" t="str">
        <x:v>svitshotpetl/черный</x:v>
      </x:c>
      <x:c r="C874" s="1" t="str">
        <x:v>Свитшоты</x:v>
      </x:c>
      <x:c r="D874" s="9" t="n">
        <x:v>8.7</x:v>
      </x:c>
      <x:c r="E874" s="8" t="n">
        <x:v>27849</x:v>
      </x:c>
      <x:c r="F874" s="8" t="n">
        <x:v>258</x:v>
      </x:c>
      <x:c r="G874" s="8" t="n">
        <x:v>168802</x:v>
      </x:c>
      <x:c r="H874" s="8" t="n">
        <x:v>52</x:v>
      </x:c>
      <x:c r="I874" s="8" t="n">
        <x:v>0</x:v>
      </x:c>
      <x:c r="J874" s="8" t="n">
        <x:v>151</x:v>
      </x:c>
      <x:c r="K874" s="8" t="n">
        <x:v>1757</x:v>
      </x:c>
      <x:c r="L874" s="1" t="str">
        <x:v>Нет</x:v>
      </x:c>
      <x:c r="M874" s="1" t="n">
        <x:v>120251</x:v>
      </x:c>
    </x:row>
    <x:row r="875">
      <x:c r="A875" s="1" t="str">
        <x:v>300270094</x:v>
      </x:c>
      <x:c r="B875" s="1" t="str">
        <x:v>svitzip3P-S-5/серыймеланж2</x:v>
      </x:c>
      <x:c r="C875" s="1" t="str">
        <x:v>Свитшоты</x:v>
      </x:c>
      <x:c r="D875" s="9" t="n">
        <x:v>8.7</x:v>
      </x:c>
      <x:c r="E875" s="8" t="n">
        <x:v>25102</x:v>
      </x:c>
      <x:c r="F875" s="8" t="n">
        <x:v>227</x:v>
      </x:c>
      <x:c r="G875" s="8" t="n">
        <x:v>168743</x:v>
      </x:c>
      <x:c r="H875" s="8" t="n">
        <x:v>123</x:v>
      </x:c>
      <x:c r="I875" s="8" t="n">
        <x:v>0</x:v>
      </x:c>
      <x:c r="J875" s="8" t="n">
        <x:v>180</x:v>
      </x:c>
      <x:c r="K875" s="8" t="n">
        <x:v>2610</x:v>
      </x:c>
      <x:c r="L875" s="1" t="str">
        <x:v>Нет</x:v>
      </x:c>
      <x:c r="M875" s="1" t="n">
        <x:v>180200</x:v>
      </x:c>
    </x:row>
    <x:row r="876">
      <x:c r="A876" s="1" t="str">
        <x:v>175116981</x:v>
      </x:c>
      <x:c r="B876" s="1" t="str">
        <x:v>reglanman/бежевый</x:v>
      </x:c>
      <x:c r="C876" s="1" t="str">
        <x:v>Лонгсливы</x:v>
      </x:c>
      <x:c r="D876" s="9" t="n">
        <x:v>5.2</x:v>
      </x:c>
      <x:c r="E876" s="8" t="n">
        <x:v>26886</x:v>
      </x:c>
      <x:c r="F876" s="8" t="n">
        <x:v>478</x:v>
      </x:c>
      <x:c r="G876" s="8" t="n">
        <x:v>168619</x:v>
      </x:c>
      <x:c r="H876" s="8" t="n">
        <x:v>464</x:v>
      </x:c>
      <x:c r="I876" s="8" t="n">
        <x:v>0</x:v>
      </x:c>
      <x:c r="J876" s="8" t="n">
        <x:v>235</x:v>
      </x:c>
      <x:c r="K876" s="8" t="n">
        <x:v>1082</x:v>
      </x:c>
      <x:c r="L876" s="1" t="str">
        <x:v>Нет</x:v>
      </x:c>
      <x:c r="M876" s="1" t="n">
        <x:v>120196</x:v>
      </x:c>
    </x:row>
    <x:row r="877">
      <x:c r="A877" s="1" t="str">
        <x:v>209914834</x:v>
      </x:c>
      <x:c r="B877" s="1" t="str">
        <x:v>longsvobod/голубой</x:v>
      </x:c>
      <x:c r="C877" s="1" t="str">
        <x:v>Лонгсливы</x:v>
      </x:c>
      <x:c r="D877" s="9" t="n">
        <x:v>7.2</x:v>
      </x:c>
      <x:c r="E877" s="8" t="n">
        <x:v>31479</x:v>
      </x:c>
      <x:c r="F877" s="8" t="n">
        <x:v>388</x:v>
      </x:c>
      <x:c r="G877" s="8" t="n">
        <x:v>167882</x:v>
      </x:c>
      <x:c r="H877" s="8" t="n">
        <x:v>45</x:v>
      </x:c>
      <x:c r="I877" s="8" t="n">
        <x:v>0</x:v>
      </x:c>
      <x:c r="J877" s="8" t="n">
        <x:v>583</x:v>
      </x:c>
      <x:c r="K877" s="8" t="n">
        <x:v>1247</x:v>
      </x:c>
      <x:c r="L877" s="1" t="str">
        <x:v>Нет</x:v>
      </x:c>
      <x:c r="M877" s="1" t="n">
        <x:v>265040</x:v>
      </x:c>
    </x:row>
    <x:row r="878">
      <x:c r="A878" s="1" t="str">
        <x:v>209915124</x:v>
      </x:c>
      <x:c r="B878" s="1" t="str">
        <x:v>longsvobod/бежевый</x:v>
      </x:c>
      <x:c r="C878" s="1" t="str">
        <x:v>Лонгсливы</x:v>
      </x:c>
      <x:c r="D878" s="9" t="n">
        <x:v>7.2</x:v>
      </x:c>
      <x:c r="E878" s="8" t="n">
        <x:v>32532</x:v>
      </x:c>
      <x:c r="F878" s="8" t="n">
        <x:v>541</x:v>
      </x:c>
      <x:c r="G878" s="8" t="n">
        <x:v>167869</x:v>
      </x:c>
      <x:c r="H878" s="8" t="n">
        <x:v>117</x:v>
      </x:c>
      <x:c r="I878" s="8" t="n">
        <x:v>0</x:v>
      </x:c>
      <x:c r="J878" s="8" t="n">
        <x:v>595</x:v>
      </x:c>
      <x:c r="K878" s="8" t="n">
        <x:v>1060</x:v>
      </x:c>
      <x:c r="L878" s="1" t="str">
        <x:v>Нет</x:v>
      </x:c>
      <x:c r="M878" s="1" t="n">
        <x:v>204828</x:v>
      </x:c>
    </x:row>
    <x:row r="879">
      <x:c r="A879" s="1" t="str">
        <x:v>245583552</x:v>
      </x:c>
      <x:c r="B879" s="1" t="str">
        <x:v>hudiprint/BrighterDays-129/белый</x:v>
      </x:c>
      <x:c r="C879" s="1" t="str">
        <x:v>Худи</x:v>
      </x:c>
      <x:c r="D879" s="9" t="n">
        <x:v>8.7</x:v>
      </x:c>
      <x:c r="E879" s="8" t="n">
        <x:v>45521</x:v>
      </x:c>
      <x:c r="F879" s="8" t="n">
        <x:v>153</x:v>
      </x:c>
      <x:c r="G879" s="8" t="n">
        <x:v>167088</x:v>
      </x:c>
      <x:c r="H879" s="8" t="n">
        <x:v>251</x:v>
      </x:c>
      <x:c r="I879" s="8" t="n">
        <x:v>0</x:v>
      </x:c>
      <x:c r="J879" s="8" t="n">
        <x:v>59</x:v>
      </x:c>
      <x:c r="K879" s="8" t="n">
        <x:v>2445</x:v>
      </x:c>
      <x:c r="L879" s="1" t="str">
        <x:v>Нет</x:v>
      </x:c>
      <x:c r="M879" s="1" t="n">
        <x:v>53000</x:v>
      </x:c>
    </x:row>
    <x:row r="880">
      <x:c r="A880" s="1" t="str">
        <x:v>320424587</x:v>
      </x:c>
      <x:c r="B880" s="1" t="str">
        <x:v>brukizshp3P-S-1/песочный</x:v>
      </x:c>
      <x:c r="C880" s="1" t="str">
        <x:v>Брюки</x:v>
      </x:c>
      <x:c r="D880" s="9" t="n">
        <x:v>8.4</x:v>
      </x:c>
      <x:c r="E880" s="8" t="n">
        <x:v>36510</x:v>
      </x:c>
      <x:c r="F880" s="8" t="n">
        <x:v>224</x:v>
      </x:c>
      <x:c r="G880" s="8" t="n">
        <x:v>167035</x:v>
      </x:c>
      <x:c r="H880" s="8" t="n">
        <x:v>846</x:v>
      </x:c>
      <x:c r="I880" s="8" t="n">
        <x:v>0</x:v>
      </x:c>
      <x:c r="J880" s="8" t="n">
        <x:v>55</x:v>
      </x:c>
      <x:c r="K880" s="8" t="n">
        <x:v>3037</x:v>
      </x:c>
      <x:c r="L880" s="1" t="str">
        <x:v>Нет</x:v>
      </x:c>
      <x:c r="M880" s="1" t="n">
        <x:v>48000</x:v>
      </x:c>
    </x:row>
    <x:row r="881">
      <x:c r="A881" s="1" t="str">
        <x:v>198068996</x:v>
      </x:c>
      <x:c r="B881" s="1" t="str">
        <x:v>svitshotman/серыймеланж2</x:v>
      </x:c>
      <x:c r="C881" s="1" t="str">
        <x:v>Свитшоты</x:v>
      </x:c>
      <x:c r="D881" s="9" t="n">
        <x:v>9.7</x:v>
      </x:c>
      <x:c r="E881" s="8" t="n">
        <x:v>11554</x:v>
      </x:c>
      <x:c r="F881" s="8" t="n">
        <x:v>267</x:v>
      </x:c>
      <x:c r="G881" s="8" t="n">
        <x:v>167011</x:v>
      </x:c>
      <x:c r="H881" s="8" t="n">
        <x:v>276</x:v>
      </x:c>
      <x:c r="I881" s="8" t="n">
        <x:v>0</x:v>
      </x:c>
      <x:c r="J881" s="8" t="n">
        <x:v>287</x:v>
      </x:c>
      <x:c r="K881" s="8" t="n">
        <x:v>1997</x:v>
      </x:c>
      <x:c r="L881" s="1" t="str">
        <x:v>Нет</x:v>
      </x:c>
      <x:c r="M881" s="1" t="n">
        <x:v>231473</x:v>
      </x:c>
    </x:row>
    <x:row r="882">
      <x:c r="A882" s="1" t="str">
        <x:v>204189657</x:v>
      </x:c>
      <x:c r="B882" s="1" t="str">
        <x:v>hudiprint/COTTON-66/черный</x:v>
      </x:c>
      <x:c r="C882" s="1" t="str">
        <x:v>Худи</x:v>
      </x:c>
      <x:c r="D882" s="9" t="n">
        <x:v>8.7</x:v>
      </x:c>
      <x:c r="E882" s="8" t="n">
        <x:v>22384</x:v>
      </x:c>
      <x:c r="F882" s="8" t="n">
        <x:v>153</x:v>
      </x:c>
      <x:c r="G882" s="8" t="n">
        <x:v>166980</x:v>
      </x:c>
      <x:c r="H882" s="8" t="n">
        <x:v>153</x:v>
      </x:c>
      <x:c r="I882" s="8" t="n">
        <x:v>0</x:v>
      </x:c>
      <x:c r="J882" s="8" t="n">
        <x:v>369</x:v>
      </x:c>
      <x:c r="K882" s="8" t="n">
        <x:v>2165</x:v>
      </x:c>
      <x:c r="L882" s="1" t="str">
        <x:v>Нет</x:v>
      </x:c>
      <x:c r="M882" s="1" t="n">
        <x:v>392377</x:v>
      </x:c>
    </x:row>
    <x:row r="883">
      <x:c r="A883" s="1" t="str">
        <x:v>289089197</x:v>
      </x:c>
      <x:c r="B883" s="1" t="str">
        <x:v>palazzonachos/молочный</x:v>
      </x:c>
      <x:c r="C883" s="1" t="str">
        <x:v>Брюки</x:v>
      </x:c>
      <x:c r="D883" s="9" t="n">
        <x:v>8.4</x:v>
      </x:c>
      <x:c r="E883" s="8" t="n">
        <x:v>25387</x:v>
      </x:c>
      <x:c r="F883" s="8" t="n">
        <x:v>310</x:v>
      </x:c>
      <x:c r="G883" s="8" t="n">
        <x:v>166854</x:v>
      </x:c>
      <x:c r="H883" s="8" t="n">
        <x:v>140</x:v>
      </x:c>
      <x:c r="I883" s="8" t="n">
        <x:v>0</x:v>
      </x:c>
      <x:c r="J883" s="8" t="n">
        <x:v>756</x:v>
      </x:c>
      <x:c r="K883" s="8" t="n">
        <x:v>2496</x:v>
      </x:c>
      <x:c r="L883" s="1" t="str">
        <x:v>Нет</x:v>
      </x:c>
      <x:c r="M883" s="1" t="n">
        <x:v>511032</x:v>
      </x:c>
    </x:row>
    <x:row r="884">
      <x:c r="A884" s="1" t="str">
        <x:v>51571686</x:v>
      </x:c>
      <x:c r="B884" s="1" t="str">
        <x:v>brukiman/графит</x:v>
      </x:c>
      <x:c r="C884" s="1" t="str">
        <x:v>Брюки</x:v>
      </x:c>
      <x:c r="D884" s="9" t="n">
        <x:v>7.7</x:v>
      </x:c>
      <x:c r="E884" s="8" t="n">
        <x:v>11218</x:v>
      </x:c>
      <x:c r="F884" s="8" t="n">
        <x:v>260</x:v>
      </x:c>
      <x:c r="G884" s="8" t="n">
        <x:v>166204</x:v>
      </x:c>
      <x:c r="H884" s="8" t="n">
        <x:v>791</x:v>
      </x:c>
      <x:c r="I884" s="8" t="n">
        <x:v>0</x:v>
      </x:c>
      <x:c r="J884" s="8" t="n">
        <x:v>470</x:v>
      </x:c>
      <x:c r="K884" s="8" t="n">
        <x:v>2168</x:v>
      </x:c>
      <x:c r="L884" s="1" t="str">
        <x:v>Нет</x:v>
      </x:c>
      <x:c r="M884" s="1" t="n">
        <x:v>424928</x:v>
      </x:c>
    </x:row>
    <x:row r="885">
      <x:c r="A885" s="1" t="str">
        <x:v>280030826</x:v>
      </x:c>
      <x:c r="B885" s="1" t="str">
        <x:v>svitshotzipman2/изумрудно-зеленый</x:v>
      </x:c>
      <x:c r="C885" s="1" t="str">
        <x:v>Свитшоты</x:v>
      </x:c>
      <x:c r="D885" s="9" t="n">
        <x:v>9.7</x:v>
      </x:c>
      <x:c r="E885" s="8" t="n">
        <x:v>14123</x:v>
      </x:c>
      <x:c r="F885" s="8" t="n">
        <x:v>132</x:v>
      </x:c>
      <x:c r="G885" s="8" t="n">
        <x:v>166015</x:v>
      </x:c>
      <x:c r="H885" s="8" t="n">
        <x:v>0</x:v>
      </x:c>
      <x:c r="I885" s="8" t="n">
        <x:v>0</x:v>
      </x:c>
      <x:c r="J885" s="8" t="n">
        <x:v>474</x:v>
      </x:c>
      <x:c r="K885" s="8" t="n">
        <x:v>2518</x:v>
      </x:c>
      <x:c r="L885" s="1" t="str">
        <x:v>Нет</x:v>
      </x:c>
      <x:c r="M885" s="1" t="n">
        <x:v>616410</x:v>
      </x:c>
    </x:row>
    <x:row r="886">
      <x:c r="A886" s="1" t="str">
        <x:v>288615742</x:v>
      </x:c>
      <x:c r="B886" s="1" t="str">
        <x:v>svitshotzip1/дымка</x:v>
      </x:c>
      <x:c r="C886" s="1" t="str">
        <x:v>Свитшоты</x:v>
      </x:c>
      <x:c r="D886" s="9" t="n">
        <x:v>9.7</x:v>
      </x:c>
      <x:c r="E886" s="8" t="n">
        <x:v>19804</x:v>
      </x:c>
      <x:c r="F886" s="8" t="n">
        <x:v>223</x:v>
      </x:c>
      <x:c r="G886" s="8" t="n">
        <x:v>165711</x:v>
      </x:c>
      <x:c r="H886" s="8" t="n">
        <x:v>107</x:v>
      </x:c>
      <x:c r="I886" s="8" t="n">
        <x:v>0</x:v>
      </x:c>
      <x:c r="J886" s="8" t="n">
        <x:v>274</x:v>
      </x:c>
      <x:c r="K886" s="8" t="n">
        <x:v>2581</x:v>
      </x:c>
      <x:c r="L886" s="1" t="str">
        <x:v>Нет</x:v>
      </x:c>
      <x:c r="M886" s="1" t="n">
        <x:v>261900</x:v>
      </x:c>
    </x:row>
    <x:row r="887">
      <x:c r="A887" s="1" t="str">
        <x:v>333095359</x:v>
      </x:c>
      <x:c r="B887" s="1" t="str">
        <x:v>palazzoshnurok/винный</x:v>
      </x:c>
      <x:c r="C887" s="1" t="str">
        <x:v>Брюки</x:v>
      </x:c>
      <x:c r="D887" s="9" t="n">
        <x:v>8.7</x:v>
      </x:c>
      <x:c r="E887" s="8" t="n">
        <x:v>29453</x:v>
      </x:c>
      <x:c r="F887" s="8" t="n">
        <x:v>215</x:v>
      </x:c>
      <x:c r="G887" s="8" t="n">
        <x:v>165303</x:v>
      </x:c>
      <x:c r="H887" s="8" t="n">
        <x:v>148</x:v>
      </x:c>
      <x:c r="I887" s="8" t="n">
        <x:v>0</x:v>
      </x:c>
      <x:c r="J887" s="8" t="n">
        <x:v>0</x:v>
      </x:c>
      <x:c r="K887" s="8" t="n">
        <x:v>2761</x:v>
      </x:c>
      <x:c r="L887" s="1" t="str">
        <x:v>Нет</x:v>
      </x:c>
      <x:c r="M887" s="1" t="n">
        <x:v>0</x:v>
      </x:c>
    </x:row>
    <x:row r="888">
      <x:c r="A888" s="1" t="str">
        <x:v>168141907</x:v>
      </x:c>
      <x:c r="B888" s="1" t="str">
        <x:v>bruki/серый</x:v>
      </x:c>
      <x:c r="C888" s="1" t="str">
        <x:v>Брюки</x:v>
      </x:c>
      <x:c r="D888" s="9" t="n">
        <x:v>7.7</x:v>
      </x:c>
      <x:c r="E888" s="8" t="n">
        <x:v>17427</x:v>
      </x:c>
      <x:c r="F888" s="8" t="n">
        <x:v>384</x:v>
      </x:c>
      <x:c r="G888" s="8" t="n">
        <x:v>165195</x:v>
      </x:c>
      <x:c r="H888" s="8" t="n">
        <x:v>572</x:v>
      </x:c>
      <x:c r="I888" s="8" t="n">
        <x:v>0</x:v>
      </x:c>
      <x:c r="J888" s="8" t="n">
        <x:v>780</x:v>
      </x:c>
      <x:c r="K888" s="8" t="n">
        <x:v>2124</x:v>
      </x:c>
      <x:c r="L888" s="1" t="str">
        <x:v>Нет</x:v>
      </x:c>
      <x:c r="M888" s="1" t="n">
        <x:v>469547</x:v>
      </x:c>
    </x:row>
    <x:row r="889">
      <x:c r="A889" s="1" t="str">
        <x:v>246363115</x:v>
      </x:c>
      <x:c r="B889" s="1" t="str">
        <x:v>tolstovkazipcrop/коричневый</x:v>
      </x:c>
      <x:c r="C889" s="1" t="str">
        <x:v>Худи</x:v>
      </x:c>
      <x:c r="D889" s="9" t="n">
        <x:v>9.7</x:v>
      </x:c>
      <x:c r="E889" s="8" t="n">
        <x:v>16255</x:v>
      </x:c>
      <x:c r="F889" s="8" t="n">
        <x:v>161</x:v>
      </x:c>
      <x:c r="G889" s="8" t="n">
        <x:v>164920</x:v>
      </x:c>
      <x:c r="H889" s="8" t="n">
        <x:v>0</x:v>
      </x:c>
      <x:c r="I889" s="8" t="n">
        <x:v>0</x:v>
      </x:c>
      <x:c r="J889" s="8" t="n">
        <x:v>46</x:v>
      </x:c>
      <x:c r="K889" s="8" t="n">
        <x:v>2301</x:v>
      </x:c>
      <x:c r="L889" s="1" t="str">
        <x:v>Нет</x:v>
      </x:c>
      <x:c r="M889" s="1" t="n">
        <x:v>59400</x:v>
      </x:c>
    </x:row>
    <x:row r="890">
      <x:c r="A890" s="1" t="str">
        <x:v>256323209</x:v>
      </x:c>
      <x:c r="B890" s="1" t="str">
        <x:v>futhlopmanover/деним</x:v>
      </x:c>
      <x:c r="C890" s="1" t="str">
        <x:v>Футболки</x:v>
      </x:c>
      <x:c r="D890" s="9" t="n">
        <x:v>8.7</x:v>
      </x:c>
      <x:c r="E890" s="8" t="n">
        <x:v>21813</x:v>
      </x:c>
      <x:c r="F890" s="8" t="n">
        <x:v>337</x:v>
      </x:c>
      <x:c r="G890" s="8" t="n">
        <x:v>164591</x:v>
      </x:c>
      <x:c r="H890" s="8" t="n">
        <x:v>11</x:v>
      </x:c>
      <x:c r="I890" s="8" t="n">
        <x:v>0</x:v>
      </x:c>
      <x:c r="J890" s="8" t="n">
        <x:v>593</x:v>
      </x:c>
      <x:c r="K890" s="8" t="n">
        <x:v>995</x:v>
      </x:c>
      <x:c r="L890" s="1" t="str">
        <x:v>Нет</x:v>
      </x:c>
      <x:c r="M890" s="1" t="n">
        <x:v>293913</x:v>
      </x:c>
    </x:row>
    <x:row r="891">
      <x:c r="A891" s="1" t="str">
        <x:v>250828857</x:v>
      </x:c>
      <x:c r="B891" s="1" t="str">
        <x:v>hudiprint/LoveHope-191/молочный</x:v>
      </x:c>
      <x:c r="C891" s="1" t="str">
        <x:v>Худи</x:v>
      </x:c>
      <x:c r="D891" s="9" t="n">
        <x:v>8.7</x:v>
      </x:c>
      <x:c r="E891" s="8" t="n">
        <x:v>27344</x:v>
      </x:c>
      <x:c r="F891" s="8" t="n">
        <x:v>152</x:v>
      </x:c>
      <x:c r="G891" s="8" t="n">
        <x:v>164176</x:v>
      </x:c>
      <x:c r="H891" s="8" t="n">
        <x:v>16</x:v>
      </x:c>
      <x:c r="I891" s="8" t="n">
        <x:v>0</x:v>
      </x:c>
      <x:c r="J891" s="8" t="n">
        <x:v>117</x:v>
      </x:c>
      <x:c r="K891" s="8" t="n">
        <x:v>2429</x:v>
      </x:c>
      <x:c r="L891" s="1" t="str">
        <x:v>Нет</x:v>
      </x:c>
      <x:c r="M891" s="1" t="n">
        <x:v>112700</x:v>
      </x:c>
    </x:row>
    <x:row r="892">
      <x:c r="A892" s="1" t="str">
        <x:v>344161143</x:v>
      </x:c>
      <x:c r="B892" s="1" t="str">
        <x:v>longslim3К-81/дымка</x:v>
      </x:c>
      <x:c r="C892" s="1" t="str">
        <x:v>Лонгсливы</x:v>
      </x:c>
      <x:c r="D892" s="9" t="n">
        <x:v>8.7</x:v>
      </x:c>
      <x:c r="E892" s="8" t="n">
        <x:v>20284</x:v>
      </x:c>
      <x:c r="F892" s="8" t="n">
        <x:v>461</x:v>
      </x:c>
      <x:c r="G892" s="8" t="n">
        <x:v>163878</x:v>
      </x:c>
      <x:c r="H892" s="8" t="n">
        <x:v>166</x:v>
      </x:c>
      <x:c r="I892" s="8" t="n">
        <x:v>0</x:v>
      </x:c>
      <x:c r="J892" s="8" t="n">
        <x:v>0</x:v>
      </x:c>
      <x:c r="K892" s="8" t="n">
        <x:v>917</x:v>
      </x:c>
      <x:c r="L892" s="1" t="str">
        <x:v>Нет</x:v>
      </x:c>
      <x:c r="M892" s="1" t="n">
        <x:v>0</x:v>
      </x:c>
    </x:row>
    <x:row r="893">
      <x:c r="A893" s="1" t="str">
        <x:v>332581977</x:v>
      </x:c>
      <x:c r="B893" s="1" t="str">
        <x:v>shortyman4P-91/темно-синий</x:v>
      </x:c>
      <x:c r="C893" s="1" t="str">
        <x:v>Шорты</x:v>
      </x:c>
      <x:c r="D893" s="9" t="n">
        <x:v>8.2</x:v>
      </x:c>
      <x:c r="E893" s="8" t="n">
        <x:v>22112</x:v>
      </x:c>
      <x:c r="F893" s="8" t="n">
        <x:v>313</x:v>
      </x:c>
      <x:c r="G893" s="8" t="n">
        <x:v>163692</x:v>
      </x:c>
      <x:c r="H893" s="8" t="n">
        <x:v>2</x:v>
      </x:c>
      <x:c r="I893" s="8" t="n">
        <x:v>0</x:v>
      </x:c>
      <x:c r="J893" s="8" t="n">
        <x:v>0</x:v>
      </x:c>
      <x:c r="K893" s="8" t="n">
        <x:v>1614</x:v>
      </x:c>
      <x:c r="L893" s="1" t="str">
        <x:v>Нет</x:v>
      </x:c>
      <x:c r="M893" s="1" t="n">
        <x:v>0</x:v>
      </x:c>
    </x:row>
    <x:row r="894">
      <x:c r="A894" s="1" t="str">
        <x:v>160478502</x:v>
      </x:c>
      <x:c r="B894" s="1" t="str">
        <x:v>shortyman/коричневый</x:v>
      </x:c>
      <x:c r="C894" s="1" t="str">
        <x:v>Шорты</x:v>
      </x:c>
      <x:c r="D894" s="9" t="n">
        <x:v>6.2</x:v>
      </x:c>
      <x:c r="E894" s="8" t="n">
        <x:v>13152</x:v>
      </x:c>
      <x:c r="F894" s="8" t="n">
        <x:v>272</x:v>
      </x:c>
      <x:c r="G894" s="8" t="n">
        <x:v>162076</x:v>
      </x:c>
      <x:c r="H894" s="8" t="n">
        <x:v>1</x:v>
      </x:c>
      <x:c r="I894" s="8" t="n">
        <x:v>0</x:v>
      </x:c>
      <x:c r="J894" s="8" t="n">
        <x:v>4</x:v>
      </x:c>
      <x:c r="K894" s="8" t="n">
        <x:v>1348</x:v>
      </x:c>
      <x:c r="L894" s="1" t="str">
        <x:v>Нет</x:v>
      </x:c>
      <x:c r="M894" s="1" t="n">
        <x:v>3879</x:v>
      </x:c>
    </x:row>
    <x:row r="895">
      <x:c r="A895" s="1" t="str">
        <x:v>311071834</x:v>
      </x:c>
      <x:c r="B895" s="1" t="str">
        <x:v>brukipetl/графит</x:v>
      </x:c>
      <x:c r="C895" s="1" t="str">
        <x:v>Брюки</x:v>
      </x:c>
      <x:c r="D895" s="9" t="n">
        <x:v>8.7</x:v>
      </x:c>
      <x:c r="E895" s="8" t="n">
        <x:v>17852</x:v>
      </x:c>
      <x:c r="F895" s="8" t="n">
        <x:v>256</x:v>
      </x:c>
      <x:c r="G895" s="8" t="n">
        <x:v>161710</x:v>
      </x:c>
      <x:c r="H895" s="8" t="n">
        <x:v>146</x:v>
      </x:c>
      <x:c r="I895" s="8" t="n">
        <x:v>0</x:v>
      </x:c>
      <x:c r="J895" s="8" t="n">
        <x:v>333</x:v>
      </x:c>
      <x:c r="K895" s="8" t="n">
        <x:v>2211</x:v>
      </x:c>
      <x:c r="L895" s="1" t="str">
        <x:v>Нет</x:v>
      </x:c>
      <x:c r="M895" s="1" t="n">
        <x:v>274824</x:v>
      </x:c>
    </x:row>
    <x:row r="896">
      <x:c r="A896" s="1" t="str">
        <x:v>234264520</x:v>
      </x:c>
      <x:c r="B896" s="1" t="str">
        <x:v>hudimanpetl/черный</x:v>
      </x:c>
      <x:c r="C896" s="1" t="str">
        <x:v>Худи</x:v>
      </x:c>
      <x:c r="D896" s="9" t="n">
        <x:v>8.7</x:v>
      </x:c>
      <x:c r="E896" s="8" t="n">
        <x:v>9076</x:v>
      </x:c>
      <x:c r="F896" s="8" t="n">
        <x:v>125</x:v>
      </x:c>
      <x:c r="G896" s="8" t="n">
        <x:v>161503</x:v>
      </x:c>
      <x:c r="H896" s="8" t="n">
        <x:v>0</x:v>
      </x:c>
      <x:c r="I896" s="8" t="n">
        <x:v>0</x:v>
      </x:c>
      <x:c r="J896" s="8" t="n">
        <x:v>431</x:v>
      </x:c>
      <x:c r="K896" s="8" t="n">
        <x:v>2990</x:v>
      </x:c>
      <x:c r="L896" s="1" t="str">
        <x:v>Нет</x:v>
      </x:c>
      <x:c r="M896" s="1" t="n">
        <x:v>541500</x:v>
      </x:c>
    </x:row>
    <x:row r="897">
      <x:c r="A897" s="1" t="str">
        <x:v>321850392</x:v>
      </x:c>
      <x:c r="B897" s="1" t="str">
        <x:v>tankman4K-S12/белый</x:v>
      </x:c>
      <x:c r="C897" s="1" t="str">
        <x:v>Футболки</x:v>
      </x:c>
      <x:c r="D897" s="9" t="n">
        <x:v>8.7</x:v>
      </x:c>
      <x:c r="E897" s="8" t="n">
        <x:v>26188</x:v>
      </x:c>
      <x:c r="F897" s="8" t="n">
        <x:v>287</x:v>
      </x:c>
      <x:c r="G897" s="8" t="n">
        <x:v>160585</x:v>
      </x:c>
      <x:c r="H897" s="8" t="n">
        <x:v>0</x:v>
      </x:c>
      <x:c r="I897" s="8" t="n">
        <x:v>0</x:v>
      </x:c>
      <x:c r="J897" s="8" t="n">
        <x:v>628</x:v>
      </x:c>
      <x:c r="K897" s="8" t="n">
        <x:v>1106</x:v>
      </x:c>
      <x:c r="L897" s="1" t="str">
        <x:v>Нет</x:v>
      </x:c>
      <x:c r="M897" s="1" t="n">
        <x:v>326334</x:v>
      </x:c>
    </x:row>
    <x:row r="898">
      <x:c r="A898" s="1" t="str">
        <x:v>246363198</x:v>
      </x:c>
      <x:c r="B898" s="1" t="str">
        <x:v>tolstovkazipcrop/красный</x:v>
      </x:c>
      <x:c r="C898" s="1" t="str">
        <x:v>Худи</x:v>
      </x:c>
      <x:c r="D898" s="9" t="n">
        <x:v>9.7</x:v>
      </x:c>
      <x:c r="E898" s="8" t="n">
        <x:v>17814</x:v>
      </x:c>
      <x:c r="F898" s="8" t="n">
        <x:v>139</x:v>
      </x:c>
      <x:c r="G898" s="8" t="n">
        <x:v>160380</x:v>
      </x:c>
      <x:c r="H898" s="8" t="n">
        <x:v>0</x:v>
      </x:c>
      <x:c r="I898" s="8" t="n">
        <x:v>0</x:v>
      </x:c>
      <x:c r="J898" s="8" t="n">
        <x:v>310</x:v>
      </x:c>
      <x:c r="K898" s="8" t="n">
        <x:v>2184</x:v>
      </x:c>
      <x:c r="L898" s="1" t="str">
        <x:v>Нет</x:v>
      </x:c>
      <x:c r="M898" s="1" t="n">
        <x:v>339848</x:v>
      </x:c>
    </x:row>
    <x:row r="899">
      <x:c r="A899" s="1" t="str">
        <x:v>204501064</x:v>
      </x:c>
      <x:c r="B899" s="1" t="str">
        <x:v>Futbolkaprint/ZelMoreSelf-63/молочный</x:v>
      </x:c>
      <x:c r="C899" s="1" t="str">
        <x:v>Футболки</x:v>
      </x:c>
      <x:c r="D899" s="9" t="n">
        <x:v>8.7</x:v>
      </x:c>
      <x:c r="E899" s="8" t="n">
        <x:v>28458</x:v>
      </x:c>
      <x:c r="F899" s="8" t="n">
        <x:v>291</x:v>
      </x:c>
      <x:c r="G899" s="8" t="n">
        <x:v>160372</x:v>
      </x:c>
      <x:c r="H899" s="8" t="n">
        <x:v>292</x:v>
      </x:c>
      <x:c r="I899" s="8" t="n">
        <x:v>0</x:v>
      </x:c>
      <x:c r="J899" s="8" t="n">
        <x:v>645</x:v>
      </x:c>
      <x:c r="K899" s="8" t="n">
        <x:v>1081</x:v>
      </x:c>
      <x:c r="L899" s="1" t="str">
        <x:v>Нет</x:v>
      </x:c>
      <x:c r="M899" s="1" t="n">
        <x:v>427680</x:v>
      </x:c>
    </x:row>
    <x:row r="900">
      <x:c r="A900" s="1" t="str">
        <x:v>320424593</x:v>
      </x:c>
      <x:c r="B900" s="1" t="str">
        <x:v>brukizshp3P-S-1/графит</x:v>
      </x:c>
      <x:c r="C900" s="1" t="str">
        <x:v>Брюки</x:v>
      </x:c>
      <x:c r="D900" s="9" t="n">
        <x:v>8.4</x:v>
      </x:c>
      <x:c r="E900" s="8" t="n">
        <x:v>21313</x:v>
      </x:c>
      <x:c r="F900" s="8" t="n">
        <x:v>188</x:v>
      </x:c>
      <x:c r="G900" s="8" t="n">
        <x:v>159823</x:v>
      </x:c>
      <x:c r="H900" s="8" t="n">
        <x:v>319</x:v>
      </x:c>
      <x:c r="I900" s="8" t="n">
        <x:v>0</x:v>
      </x:c>
      <x:c r="J900" s="8" t="n">
        <x:v>28</x:v>
      </x:c>
      <x:c r="K900" s="8" t="n">
        <x:v>2881</x:v>
      </x:c>
      <x:c r="L900" s="1" t="str">
        <x:v>Нет</x:v>
      </x:c>
      <x:c r="M900" s="1" t="n">
        <x:v>19600</x:v>
      </x:c>
    </x:row>
    <x:row r="901">
      <x:c r="A901" s="1" t="str">
        <x:v>245583530</x:v>
      </x:c>
      <x:c r="B901" s="1" t="str">
        <x:v>hudiprint/MICHIGAN-102/дымка</x:v>
      </x:c>
      <x:c r="C901" s="1" t="str">
        <x:v>Худи</x:v>
      </x:c>
      <x:c r="D901" s="9" t="n">
        <x:v>9.7</x:v>
      </x:c>
      <x:c r="E901" s="8" t="n">
        <x:v>25134</x:v>
      </x:c>
      <x:c r="F901" s="8" t="n">
        <x:v>139</x:v>
      </x:c>
      <x:c r="G901" s="8" t="n">
        <x:v>159487</x:v>
      </x:c>
      <x:c r="H901" s="8" t="n">
        <x:v>129</x:v>
      </x:c>
      <x:c r="I901" s="8" t="n">
        <x:v>0</x:v>
      </x:c>
      <x:c r="J901" s="8" t="n">
        <x:v>194</x:v>
      </x:c>
      <x:c r="K901" s="8" t="n">
        <x:v>2353</x:v>
      </x:c>
      <x:c r="L901" s="1" t="str">
        <x:v>Нет</x:v>
      </x:c>
      <x:c r="M901" s="1" t="n">
        <x:v>205350</x:v>
      </x:c>
    </x:row>
    <x:row r="902">
      <x:c r="A902" s="1" t="str">
        <x:v>183793817</x:v>
      </x:c>
      <x:c r="B902" s="1" t="str">
        <x:v>hudiprint/NEED-15/песочный</x:v>
      </x:c>
      <x:c r="C902" s="1" t="str">
        <x:v>Худи</x:v>
      </x:c>
      <x:c r="D902" s="9" t="n">
        <x:v>9.7</x:v>
      </x:c>
      <x:c r="E902" s="8" t="n">
        <x:v>10612</x:v>
      </x:c>
      <x:c r="F902" s="8" t="n">
        <x:v>155</x:v>
      </x:c>
      <x:c r="G902" s="8" t="n">
        <x:v>159441</x:v>
      </x:c>
      <x:c r="H902" s="8" t="n">
        <x:v>1</x:v>
      </x:c>
      <x:c r="I902" s="8" t="n">
        <x:v>0</x:v>
      </x:c>
      <x:c r="J902" s="8" t="n">
        <x:v>516</x:v>
      </x:c>
      <x:c r="K902" s="8" t="n">
        <x:v>2370</x:v>
      </x:c>
      <x:c r="L902" s="1" t="str">
        <x:v>Нет</x:v>
      </x:c>
      <x:c r="M902" s="1" t="n">
        <x:v>568560</x:v>
      </x:c>
    </x:row>
    <x:row r="903">
      <x:c r="A903" s="1" t="str">
        <x:v>19077495</x:v>
      </x:c>
      <x:c r="B903" s="1" t="str">
        <x:v>bruki/розовый</x:v>
      </x:c>
      <x:c r="C903" s="1" t="str">
        <x:v>Брюки</x:v>
      </x:c>
      <x:c r="D903" s="9" t="n">
        <x:v>7.7</x:v>
      </x:c>
      <x:c r="E903" s="8" t="n">
        <x:v>13364</x:v>
      </x:c>
      <x:c r="F903" s="8" t="n">
        <x:v>320</x:v>
      </x:c>
      <x:c r="G903" s="8" t="n">
        <x:v>159143</x:v>
      </x:c>
      <x:c r="H903" s="8" t="n">
        <x:v>307</x:v>
      </x:c>
      <x:c r="I903" s="8" t="n">
        <x:v>0</x:v>
      </x:c>
      <x:c r="J903" s="8" t="n">
        <x:v>491</x:v>
      </x:c>
      <x:c r="K903" s="8" t="n">
        <x:v>2111</x:v>
      </x:c>
      <x:c r="L903" s="1" t="str">
        <x:v>Нет</x:v>
      </x:c>
      <x:c r="M903" s="1" t="n">
        <x:v>301227</x:v>
      </x:c>
    </x:row>
    <x:row r="904">
      <x:c r="A904" s="1" t="str">
        <x:v>234287033</x:v>
      </x:c>
      <x:c r="B904" s="1" t="str">
        <x:v>svitshotpetl/молочный</x:v>
      </x:c>
      <x:c r="C904" s="1" t="str">
        <x:v>Свитшоты</x:v>
      </x:c>
      <x:c r="D904" s="9" t="n">
        <x:v>8.7</x:v>
      </x:c>
      <x:c r="E904" s="8" t="n">
        <x:v>10194</x:v>
      </x:c>
      <x:c r="F904" s="8" t="n">
        <x:v>197</x:v>
      </x:c>
      <x:c r="G904" s="8" t="n">
        <x:v>158553</x:v>
      </x:c>
      <x:c r="H904" s="8" t="n">
        <x:v>42</x:v>
      </x:c>
      <x:c r="I904" s="8" t="n">
        <x:v>0</x:v>
      </x:c>
      <x:c r="J904" s="8" t="n">
        <x:v>382</x:v>
      </x:c>
      <x:c r="K904" s="8" t="n">
        <x:v>2059</x:v>
      </x:c>
      <x:c r="L904" s="1" t="str">
        <x:v>Нет</x:v>
      </x:c>
      <x:c r="M904" s="1" t="n">
        <x:v>325390</x:v>
      </x:c>
    </x:row>
    <x:row r="905">
      <x:c r="A905" s="1" t="str">
        <x:v>289404046</x:v>
      </x:c>
      <x:c r="B905" s="1" t="str">
        <x:v>brukikarman3P-S-2/дымка</x:v>
      </x:c>
      <x:c r="C905" s="1" t="str">
        <x:v>Брюки</x:v>
      </x:c>
      <x:c r="D905" s="9" t="n">
        <x:v>7.9</x:v>
      </x:c>
      <x:c r="E905" s="8" t="n">
        <x:v>33906</x:v>
      </x:c>
      <x:c r="F905" s="8" t="n">
        <x:v>345</x:v>
      </x:c>
      <x:c r="G905" s="8" t="n">
        <x:v>158501</x:v>
      </x:c>
      <x:c r="H905" s="8" t="n">
        <x:v>64</x:v>
      </x:c>
      <x:c r="I905" s="8" t="n">
        <x:v>0</x:v>
      </x:c>
      <x:c r="J905" s="8" t="n">
        <x:v>590</x:v>
      </x:c>
      <x:c r="K905" s="8" t="n">
        <x:v>2630</x:v>
      </x:c>
      <x:c r="L905" s="1" t="str">
        <x:v>Нет</x:v>
      </x:c>
      <x:c r="M905" s="1" t="n">
        <x:v>337003</x:v>
      </x:c>
    </x:row>
    <x:row r="906">
      <x:c r="A906" s="1" t="str">
        <x:v>216158866</x:v>
      </x:c>
      <x:c r="B906" s="1" t="str">
        <x:v>futbolkaboy/черный</x:v>
      </x:c>
      <x:c r="C906" s="1" t="str">
        <x:v>Футболки</x:v>
      </x:c>
      <x:c r="D906" s="9" t="n">
        <x:v>10</x:v>
      </x:c>
      <x:c r="E906" s="8" t="n">
        <x:v>11829</x:v>
      </x:c>
      <x:c r="F906" s="8" t="n">
        <x:v>462</x:v>
      </x:c>
      <x:c r="G906" s="8" t="n">
        <x:v>158288</x:v>
      </x:c>
      <x:c r="H906" s="8" t="n">
        <x:v>2363</x:v>
      </x:c>
      <x:c r="I906" s="8" t="n">
        <x:v>0</x:v>
      </x:c>
      <x:c r="J906" s="8" t="n">
        <x:v>392</x:v>
      </x:c>
      <x:c r="K906" s="8" t="n">
        <x:v>461</x:v>
      </x:c>
      <x:c r="L906" s="1" t="str">
        <x:v>Нет</x:v>
      </x:c>
      <x:c r="M906" s="1" t="n">
        <x:v>151527</x:v>
      </x:c>
    </x:row>
    <x:row r="907">
      <x:c r="A907" s="1" t="str">
        <x:v>165911123</x:v>
      </x:c>
      <x:c r="B907" s="1" t="str">
        <x:v>longman/какао</x:v>
      </x:c>
      <x:c r="C907" s="1" t="str">
        <x:v>Лонгсливы</x:v>
      </x:c>
      <x:c r="D907" s="9" t="n">
        <x:v>5.2</x:v>
      </x:c>
      <x:c r="E907" s="8" t="n">
        <x:v>22565</x:v>
      </x:c>
      <x:c r="F907" s="8" t="n">
        <x:v>406</x:v>
      </x:c>
      <x:c r="G907" s="8" t="n">
        <x:v>158258</x:v>
      </x:c>
      <x:c r="H907" s="8" t="n">
        <x:v>2140</x:v>
      </x:c>
      <x:c r="I907" s="8" t="n">
        <x:v>0</x:v>
      </x:c>
      <x:c r="J907" s="8" t="n">
        <x:v>243</x:v>
      </x:c>
      <x:c r="K907" s="8" t="n">
        <x:v>960</x:v>
      </x:c>
      <x:c r="L907" s="1" t="str">
        <x:v>Нет</x:v>
      </x:c>
      <x:c r="M907" s="1" t="n">
        <x:v>101700</x:v>
      </x:c>
    </x:row>
    <x:row r="908">
      <x:c r="A908" s="1" t="str">
        <x:v>220118012</x:v>
      </x:c>
      <x:c r="B908" s="1" t="str">
        <x:v>futbolkaprint/RunningClub-124/белый</x:v>
      </x:c>
      <x:c r="C908" s="1" t="str">
        <x:v>Футболки</x:v>
      </x:c>
      <x:c r="D908" s="9" t="n">
        <x:v>6.7</x:v>
      </x:c>
      <x:c r="E908" s="8" t="n">
        <x:v>29876</x:v>
      </x:c>
      <x:c r="F908" s="8" t="n">
        <x:v>243</x:v>
      </x:c>
      <x:c r="G908" s="8" t="n">
        <x:v>157579</x:v>
      </x:c>
      <x:c r="H908" s="8" t="n">
        <x:v>1</x:v>
      </x:c>
      <x:c r="I908" s="8" t="n">
        <x:v>0</x:v>
      </x:c>
      <x:c r="J908" s="8" t="n">
        <x:v>293</x:v>
      </x:c>
      <x:c r="K908" s="8" t="n">
        <x:v>1179</x:v>
      </x:c>
      <x:c r="L908" s="1" t="str">
        <x:v>Нет</x:v>
      </x:c>
      <x:c r="M908" s="1" t="n">
        <x:v>184608</x:v>
      </x:c>
    </x:row>
    <x:row r="909">
      <x:c r="A909" s="1" t="str">
        <x:v>216158868</x:v>
      </x:c>
      <x:c r="B909" s="1" t="str">
        <x:v>futbolkagirl/черный</x:v>
      </x:c>
      <x:c r="C909" s="1" t="str">
        <x:v>Футболки</x:v>
      </x:c>
      <x:c r="D909" s="9" t="n">
        <x:v>10</x:v>
      </x:c>
      <x:c r="E909" s="8" t="n">
        <x:v>23697</x:v>
      </x:c>
      <x:c r="F909" s="8" t="n">
        <x:v>492</x:v>
      </x:c>
      <x:c r="G909" s="8" t="n">
        <x:v>156810</x:v>
      </x:c>
      <x:c r="H909" s="8" t="n">
        <x:v>1233</x:v>
      </x:c>
      <x:c r="I909" s="8" t="n">
        <x:v>0</x:v>
      </x:c>
      <x:c r="J909" s="8" t="n">
        <x:v>279</x:v>
      </x:c>
      <x:c r="K909" s="8" t="n">
        <x:v>470</x:v>
      </x:c>
      <x:c r="L909" s="1" t="str">
        <x:v>Нет</x:v>
      </x:c>
      <x:c r="M909" s="1" t="n">
        <x:v>103867</x:v>
      </x:c>
    </x:row>
    <x:row r="910">
      <x:c r="A910" s="1" t="str">
        <x:v>296186656</x:v>
      </x:c>
      <x:c r="B910" s="1" t="str">
        <x:v>shtanyman4P-79/серыймеланж2</x:v>
      </x:c>
      <x:c r="C910" s="1" t="str">
        <x:v>Брюки</x:v>
      </x:c>
      <x:c r="D910" s="9" t="n">
        <x:v>8.4</x:v>
      </x:c>
      <x:c r="E910" s="8" t="n">
        <x:v>13661</x:v>
      </x:c>
      <x:c r="F910" s="8" t="n">
        <x:v>212</x:v>
      </x:c>
      <x:c r="G910" s="8" t="n">
        <x:v>156709</x:v>
      </x:c>
      <x:c r="H910" s="8" t="n">
        <x:v>0</x:v>
      </x:c>
      <x:c r="I910" s="8" t="n">
        <x:v>0</x:v>
      </x:c>
      <x:c r="J910" s="8" t="n">
        <x:v>557</x:v>
      </x:c>
      <x:c r="K910" s="8" t="n">
        <x:v>2747</x:v>
      </x:c>
      <x:c r="L910" s="1" t="str">
        <x:v>Нет</x:v>
      </x:c>
      <x:c r="M910" s="1" t="n">
        <x:v>395358</x:v>
      </x:c>
    </x:row>
    <x:row r="911">
      <x:c r="A911" s="1" t="str">
        <x:v>51559216</x:v>
      </x:c>
      <x:c r="B911" s="1" t="str">
        <x:v>brukiman/молочный</x:v>
      </x:c>
      <x:c r="C911" s="1" t="str">
        <x:v>Брюки</x:v>
      </x:c>
      <x:c r="D911" s="9" t="n">
        <x:v>7.7</x:v>
      </x:c>
      <x:c r="E911" s="8" t="n">
        <x:v>11337</x:v>
      </x:c>
      <x:c r="F911" s="8" t="n">
        <x:v>254</x:v>
      </x:c>
      <x:c r="G911" s="8" t="n">
        <x:v>155631</x:v>
      </x:c>
      <x:c r="H911" s="8" t="n">
        <x:v>585</x:v>
      </x:c>
      <x:c r="I911" s="8" t="n">
        <x:v>0</x:v>
      </x:c>
      <x:c r="J911" s="8" t="n">
        <x:v>351</x:v>
      </x:c>
      <x:c r="K911" s="8" t="n">
        <x:v>2142</x:v>
      </x:c>
      <x:c r="L911" s="1" t="str">
        <x:v>Нет</x:v>
      </x:c>
      <x:c r="M911" s="1" t="n">
        <x:v>306907</x:v>
      </x:c>
    </x:row>
    <x:row r="912">
      <x:c r="A912" s="1" t="str">
        <x:v>237883599</x:v>
      </x:c>
      <x:c r="B912" s="1" t="str">
        <x:v>2Nlongsliv/темно-серый</x:v>
      </x:c>
      <x:c r="C912" s="1" t="str">
        <x:v>Лонгсливы</x:v>
      </x:c>
      <x:c r="D912" s="9" t="n">
        <x:v>8.7</x:v>
      </x:c>
      <x:c r="E912" s="8" t="n">
        <x:v>60272</x:v>
      </x:c>
      <x:c r="F912" s="8" t="n">
        <x:v>274</x:v>
      </x:c>
      <x:c r="G912" s="8" t="n">
        <x:v>155566</x:v>
      </x:c>
      <x:c r="H912" s="8" t="n">
        <x:v>9</x:v>
      </x:c>
      <x:c r="I912" s="8" t="n">
        <x:v>0</x:v>
      </x:c>
      <x:c r="J912" s="8" t="n">
        <x:v>1197</x:v>
      </x:c>
      <x:c r="K912" s="8" t="n">
        <x:v>1476</x:v>
      </x:c>
      <x:c r="L912" s="1" t="str">
        <x:v>Нет</x:v>
      </x:c>
      <x:c r="M912" s="1" t="n">
        <x:v>735450</x:v>
      </x:c>
    </x:row>
    <x:row r="913">
      <x:c r="A913" s="1" t="str">
        <x:v>175116960</x:v>
      </x:c>
      <x:c r="B913" s="1" t="str">
        <x:v>reglanman/бордовый</x:v>
      </x:c>
      <x:c r="C913" s="1" t="str">
        <x:v>Лонгсливы</x:v>
      </x:c>
      <x:c r="D913" s="9" t="n">
        <x:v>7.2</x:v>
      </x:c>
      <x:c r="E913" s="8" t="n">
        <x:v>11541</x:v>
      </x:c>
      <x:c r="F913" s="8" t="n">
        <x:v>327</x:v>
      </x:c>
      <x:c r="G913" s="8" t="n">
        <x:v>155128</x:v>
      </x:c>
      <x:c r="H913" s="8" t="n">
        <x:v>939</x:v>
      </x:c>
      <x:c r="I913" s="8" t="n">
        <x:v>0</x:v>
      </x:c>
      <x:c r="J913" s="8" t="n">
        <x:v>436</x:v>
      </x:c>
      <x:c r="K913" s="8" t="n">
        <x:v>1063</x:v>
      </x:c>
      <x:c r="L913" s="1" t="str">
        <x:v>Нет</x:v>
      </x:c>
      <x:c r="M913" s="1" t="n">
        <x:v>232051</x:v>
      </x:c>
    </x:row>
    <x:row r="914">
      <x:c r="A914" s="1" t="str">
        <x:v>288627686</x:v>
      </x:c>
      <x:c r="B914" s="1" t="str">
        <x:v>kostyum/серыймеланж2</x:v>
      </x:c>
      <x:c r="C914" s="1" t="str">
        <x:v>Костюмы спортивные</x:v>
      </x:c>
      <x:c r="D914" s="9" t="n">
        <x:v>8.7</x:v>
      </x:c>
      <x:c r="E914" s="8" t="n">
        <x:v>20931</x:v>
      </x:c>
      <x:c r="F914" s="8" t="n">
        <x:v>125</x:v>
      </x:c>
      <x:c r="G914" s="8" t="n">
        <x:v>155009</x:v>
      </x:c>
      <x:c r="H914" s="8" t="n">
        <x:v>239</x:v>
      </x:c>
      <x:c r="I914" s="8" t="n">
        <x:v>0</x:v>
      </x:c>
      <x:c r="J914" s="8" t="n">
        <x:v>190</x:v>
      </x:c>
      <x:c r="K914" s="8" t="n">
        <x:v>4325</x:v>
      </x:c>
      <x:c r="L914" s="1" t="str">
        <x:v>Нет</x:v>
      </x:c>
      <x:c r="M914" s="1" t="n">
        <x:v>225316</x:v>
      </x:c>
    </x:row>
    <x:row r="915">
      <x:c r="A915" s="1" t="str">
        <x:v>323186187</x:v>
      </x:c>
      <x:c r="B915" s="1" t="str">
        <x:v>futskims3K-102/красный</x:v>
      </x:c>
      <x:c r="C915" s="1" t="str">
        <x:v>Футболки</x:v>
      </x:c>
      <x:c r="D915" s="9" t="n">
        <x:v>8.4</x:v>
      </x:c>
      <x:c r="E915" s="8" t="n">
        <x:v>35884</x:v>
      </x:c>
      <x:c r="F915" s="8" t="n">
        <x:v>405</x:v>
      </x:c>
      <x:c r="G915" s="8" t="n">
        <x:v>154812</x:v>
      </x:c>
      <x:c r="H915" s="8" t="n">
        <x:v>912</x:v>
      </x:c>
      <x:c r="I915" s="8" t="n">
        <x:v>0</x:v>
      </x:c>
      <x:c r="J915" s="8" t="n">
        <x:v>0</x:v>
      </x:c>
      <x:c r="K915" s="8" t="n">
        <x:v>998</x:v>
      </x:c>
      <x:c r="L915" s="1" t="str">
        <x:v>Нет</x:v>
      </x:c>
      <x:c r="M915" s="1" t="n">
        <x:v>0</x:v>
      </x:c>
    </x:row>
    <x:row r="916">
      <x:c r="A916" s="1" t="str">
        <x:v>117962930</x:v>
      </x:c>
      <x:c r="B916" s="1" t="str">
        <x:v>hudiman/зеленый</x:v>
      </x:c>
      <x:c r="C916" s="1" t="str">
        <x:v>Худи</x:v>
      </x:c>
      <x:c r="D916" s="9" t="n">
        <x:v>9.7</x:v>
      </x:c>
      <x:c r="E916" s="8" t="n">
        <x:v>8457</x:v>
      </x:c>
      <x:c r="F916" s="8" t="n">
        <x:v>147</x:v>
      </x:c>
      <x:c r="G916" s="8" t="n">
        <x:v>152641</x:v>
      </x:c>
      <x:c r="H916" s="8" t="n">
        <x:v>200</x:v>
      </x:c>
      <x:c r="I916" s="8" t="n">
        <x:v>0</x:v>
      </x:c>
      <x:c r="J916" s="8" t="n">
        <x:v>149</x:v>
      </x:c>
      <x:c r="K916" s="8" t="n">
        <x:v>2378</x:v>
      </x:c>
      <x:c r="L916" s="1" t="str">
        <x:v>Нет</x:v>
      </x:c>
      <x:c r="M916" s="1" t="n">
        <x:v>171550</x:v>
      </x:c>
    </x:row>
    <x:row r="917">
      <x:c r="A917" s="1" t="str">
        <x:v>117259554</x:v>
      </x:c>
      <x:c r="B917" s="1" t="str">
        <x:v>brukiman/кофейный</x:v>
      </x:c>
      <x:c r="C917" s="1" t="str">
        <x:v>Брюки</x:v>
      </x:c>
      <x:c r="D917" s="9" t="n">
        <x:v>9.7</x:v>
      </x:c>
      <x:c r="E917" s="8" t="n">
        <x:v>7844</x:v>
      </x:c>
      <x:c r="F917" s="8" t="n">
        <x:v>188</x:v>
      </x:c>
      <x:c r="G917" s="8" t="n">
        <x:v>152393</x:v>
      </x:c>
      <x:c r="H917" s="8" t="n">
        <x:v>842</x:v>
      </x:c>
      <x:c r="I917" s="8" t="n">
        <x:v>0</x:v>
      </x:c>
      <x:c r="J917" s="8" t="n">
        <x:v>249</x:v>
      </x:c>
      <x:c r="K917" s="8" t="n">
        <x:v>2180</x:v>
      </x:c>
      <x:c r="L917" s="1" t="str">
        <x:v>Нет</x:v>
      </x:c>
      <x:c r="M917" s="1" t="n">
        <x:v>236451</x:v>
      </x:c>
    </x:row>
    <x:row r="918">
      <x:c r="A918" s="1" t="str">
        <x:v>176176584</x:v>
      </x:c>
      <x:c r="B918" s="1" t="str">
        <x:v>hudi/хаки</x:v>
      </x:c>
      <x:c r="C918" s="1" t="str">
        <x:v>Худи</x:v>
      </x:c>
      <x:c r="D918" s="9" t="n">
        <x:v>9.7</x:v>
      </x:c>
      <x:c r="E918" s="8" t="n">
        <x:v>10733</x:v>
      </x:c>
      <x:c r="F918" s="8" t="n">
        <x:v>141</x:v>
      </x:c>
      <x:c r="G918" s="8" t="n">
        <x:v>152376</x:v>
      </x:c>
      <x:c r="H918" s="8" t="n">
        <x:v>5</x:v>
      </x:c>
      <x:c r="I918" s="8" t="n">
        <x:v>0</x:v>
      </x:c>
      <x:c r="J918" s="8" t="n">
        <x:v>747</x:v>
      </x:c>
      <x:c r="K918" s="8" t="n">
        <x:v>2090</x:v>
      </x:c>
      <x:c r="L918" s="1" t="str">
        <x:v>Нет</x:v>
      </x:c>
      <x:c r="M918" s="1" t="n">
        <x:v>732477</x:v>
      </x:c>
    </x:row>
    <x:row r="919">
      <x:c r="A919" s="1" t="str">
        <x:v>331519121</x:v>
      </x:c>
      <x:c r="B919" s="1" t="str">
        <x:v>reglanmanover4K-E2/чер-бел</x:v>
      </x:c>
      <x:c r="C919" s="1" t="str">
        <x:v>Футболки</x:v>
      </x:c>
      <x:c r="D919" s="9" t="n">
        <x:v>8.4</x:v>
      </x:c>
      <x:c r="E919" s="8" t="n">
        <x:v>17874</x:v>
      </x:c>
      <x:c r="F919" s="8" t="n">
        <x:v>266</x:v>
      </x:c>
      <x:c r="G919" s="8" t="n">
        <x:v>152279</x:v>
      </x:c>
      <x:c r="H919" s="8" t="n">
        <x:v>46</x:v>
      </x:c>
      <x:c r="I919" s="8" t="n">
        <x:v>0</x:v>
      </x:c>
      <x:c r="J919" s="8" t="n">
        <x:v>0</x:v>
      </x:c>
      <x:c r="K919" s="8" t="n">
        <x:v>1470</x:v>
      </x:c>
      <x:c r="L919" s="1" t="str">
        <x:v>Нет</x:v>
      </x:c>
      <x:c r="M919" s="1" t="n">
        <x:v>0</x:v>
      </x:c>
    </x:row>
    <x:row r="920">
      <x:c r="A920" s="1" t="str">
        <x:v>333103029</x:v>
      </x:c>
      <x:c r="B920" s="1" t="str">
        <x:v>topbando/пыльно-синий</x:v>
      </x:c>
      <x:c r="C920" s="1" t="str">
        <x:v>Топы</x:v>
      </x:c>
      <x:c r="D920" s="9" t="n">
        <x:v>9.5</x:v>
      </x:c>
      <x:c r="E920" s="8" t="n">
        <x:v>26269</x:v>
      </x:c>
      <x:c r="F920" s="8" t="n">
        <x:v>592</x:v>
      </x:c>
      <x:c r="G920" s="8" t="n">
        <x:v>152253</x:v>
      </x:c>
      <x:c r="H920" s="8" t="n">
        <x:v>477</x:v>
      </x:c>
      <x:c r="I920" s="8" t="n">
        <x:v>0</x:v>
      </x:c>
      <x:c r="J920" s="8" t="n">
        <x:v>0</x:v>
      </x:c>
      <x:c r="K920" s="8" t="n">
        <x:v>524</x:v>
      </x:c>
      <x:c r="L920" s="1" t="str">
        <x:v>Нет</x:v>
      </x:c>
      <x:c r="M920" s="1" t="n">
        <x:v>0</x:v>
      </x:c>
    </x:row>
    <x:row r="921">
      <x:c r="A921" s="1" t="str">
        <x:v>288627691</x:v>
      </x:c>
      <x:c r="B921" s="1" t="str">
        <x:v>kostyum/темно-синий</x:v>
      </x:c>
      <x:c r="C921" s="1" t="str">
        <x:v>Костюмы спортивные</x:v>
      </x:c>
      <x:c r="D921" s="9" t="n">
        <x:v>8.7</x:v>
      </x:c>
      <x:c r="E921" s="8" t="n">
        <x:v>39401</x:v>
      </x:c>
      <x:c r="F921" s="8" t="n">
        <x:v>137</x:v>
      </x:c>
      <x:c r="G921" s="8" t="n">
        <x:v>152192</x:v>
      </x:c>
      <x:c r="H921" s="8" t="n">
        <x:v>446</x:v>
      </x:c>
      <x:c r="I921" s="8" t="n">
        <x:v>0</x:v>
      </x:c>
      <x:c r="J921" s="8" t="n">
        <x:v>237</x:v>
      </x:c>
      <x:c r="K921" s="8" t="n">
        <x:v>4358</x:v>
      </x:c>
      <x:c r="L921" s="1" t="str">
        <x:v>Нет</x:v>
      </x:c>
      <x:c r="M921" s="1" t="n">
        <x:v>330936</x:v>
      </x:c>
    </x:row>
    <x:row r="922">
      <x:c r="A922" s="1" t="str">
        <x:v>150674016</x:v>
      </x:c>
      <x:c r="B922" s="1" t="str">
        <x:v>svitshotover/бордовый</x:v>
      </x:c>
      <x:c r="C922" s="1" t="str">
        <x:v>Свитшоты</x:v>
      </x:c>
      <x:c r="D922" s="9" t="n">
        <x:v>9.7</x:v>
      </x:c>
      <x:c r="E922" s="8" t="n">
        <x:v>14858</x:v>
      </x:c>
      <x:c r="F922" s="8" t="n">
        <x:v>199</x:v>
      </x:c>
      <x:c r="G922" s="8" t="n">
        <x:v>150255</x:v>
      </x:c>
      <x:c r="H922" s="8" t="n">
        <x:v>364</x:v>
      </x:c>
      <x:c r="I922" s="8" t="n">
        <x:v>0</x:v>
      </x:c>
      <x:c r="J922" s="8" t="n">
        <x:v>465</x:v>
      </x:c>
      <x:c r="K922" s="8" t="n">
        <x:v>2078</x:v>
      </x:c>
      <x:c r="L922" s="1" t="str">
        <x:v>Нет</x:v>
      </x:c>
      <x:c r="M922" s="1" t="n">
        <x:v>457960</x:v>
      </x:c>
    </x:row>
    <x:row r="923">
      <x:c r="A923" s="1" t="str">
        <x:v>288633828</x:v>
      </x:c>
      <x:c r="B923" s="1" t="str">
        <x:v>kostumman/дымка</x:v>
      </x:c>
      <x:c r="C923" s="1" t="str">
        <x:v>Костюмы спортивные</x:v>
      </x:c>
      <x:c r="D923" s="9" t="n">
        <x:v>9.4</x:v>
      </x:c>
      <x:c r="E923" s="8" t="n">
        <x:v>7717</x:v>
      </x:c>
      <x:c r="F923" s="8" t="n">
        <x:v>86</x:v>
      </x:c>
      <x:c r="G923" s="8" t="n">
        <x:v>149909</x:v>
      </x:c>
      <x:c r="H923" s="8" t="n">
        <x:v>8</x:v>
      </x:c>
      <x:c r="I923" s="8" t="n">
        <x:v>0</x:v>
      </x:c>
      <x:c r="J923" s="8" t="n">
        <x:v>186</x:v>
      </x:c>
      <x:c r="K923" s="8" t="n">
        <x:v>4532</x:v>
      </x:c>
      <x:c r="L923" s="1" t="str">
        <x:v>Нет</x:v>
      </x:c>
      <x:c r="M923" s="1" t="n">
        <x:v>316959</x:v>
      </x:c>
    </x:row>
    <x:row r="924">
      <x:c r="A924" s="1" t="str">
        <x:v>297340872</x:v>
      </x:c>
      <x:c r="B924" s="1" t="str">
        <x:v>kostyum/красный</x:v>
      </x:c>
      <x:c r="C924" s="1" t="str">
        <x:v>Костюмы спортивные</x:v>
      </x:c>
      <x:c r="D924" s="9" t="n">
        <x:v>6.7</x:v>
      </x:c>
      <x:c r="E924" s="8" t="n">
        <x:v>36482</x:v>
      </x:c>
      <x:c r="F924" s="8" t="n">
        <x:v>94</x:v>
      </x:c>
      <x:c r="G924" s="8" t="n">
        <x:v>149622</x:v>
      </x:c>
      <x:c r="H924" s="8" t="n">
        <x:v>486</x:v>
      </x:c>
      <x:c r="I924" s="8" t="n">
        <x:v>0</x:v>
      </x:c>
      <x:c r="J924" s="8" t="n">
        <x:v>114</x:v>
      </x:c>
      <x:c r="K924" s="8" t="n">
        <x:v>4394</x:v>
      </x:c>
      <x:c r="L924" s="1" t="str">
        <x:v>Нет</x:v>
      </x:c>
      <x:c r="M924" s="1" t="n">
        <x:v>141411</x:v>
      </x:c>
    </x:row>
    <x:row r="925">
      <x:c r="A925" s="1" t="str">
        <x:v>246369378</x:v>
      </x:c>
      <x:c r="B925" s="1" t="str">
        <x:v>tolstovkazipcrop/персиковый</x:v>
      </x:c>
      <x:c r="C925" s="1" t="str">
        <x:v>Худи</x:v>
      </x:c>
      <x:c r="D925" s="9" t="n">
        <x:v>9.7</x:v>
      </x:c>
      <x:c r="E925" s="8" t="n">
        <x:v>17465</x:v>
      </x:c>
      <x:c r="F925" s="8" t="n">
        <x:v>164</x:v>
      </x:c>
      <x:c r="G925" s="8" t="n">
        <x:v>149597</x:v>
      </x:c>
      <x:c r="H925" s="8" t="n">
        <x:v>93</x:v>
      </x:c>
      <x:c r="I925" s="8" t="n">
        <x:v>0</x:v>
      </x:c>
      <x:c r="J925" s="8" t="n">
        <x:v>143</x:v>
      </x:c>
      <x:c r="K925" s="8" t="n">
        <x:v>2225</x:v>
      </x:c>
      <x:c r="L925" s="1" t="str">
        <x:v>Нет</x:v>
      </x:c>
      <x:c r="M925" s="1" t="n">
        <x:v>126532</x:v>
      </x:c>
    </x:row>
    <x:row r="926">
      <x:c r="A926" s="1" t="str">
        <x:v>336295688</x:v>
      </x:c>
      <x:c r="B926" s="1" t="str">
        <x:v>futbolkaoverhlop/коричневый</x:v>
      </x:c>
      <x:c r="C926" s="1" t="str">
        <x:v>Футболки</x:v>
      </x:c>
      <x:c r="D926" s="9" t="n">
        <x:v>9.7</x:v>
      </x:c>
      <x:c r="E926" s="8" t="n">
        <x:v>21245</x:v>
      </x:c>
      <x:c r="F926" s="8" t="n">
        <x:v>346</x:v>
      </x:c>
      <x:c r="G926" s="8" t="n">
        <x:v>148850</x:v>
      </x:c>
      <x:c r="H926" s="8" t="n">
        <x:v>41</x:v>
      </x:c>
      <x:c r="I926" s="8" t="n">
        <x:v>0</x:v>
      </x:c>
      <x:c r="J926" s="8" t="n">
        <x:v>0</x:v>
      </x:c>
      <x:c r="K926" s="8" t="n">
        <x:v>814</x:v>
      </x:c>
      <x:c r="L926" s="1" t="str">
        <x:v>Нет</x:v>
      </x:c>
      <x:c r="M926" s="1" t="n">
        <x:v>0</x:v>
      </x:c>
    </x:row>
    <x:row r="927">
      <x:c r="A927" s="1" t="str">
        <x:v>333141440</x:v>
      </x:c>
      <x:c r="B927" s="1" t="str">
        <x:v>topfutbolka/молочный</x:v>
      </x:c>
      <x:c r="C927" s="1" t="str">
        <x:v>Топы</x:v>
      </x:c>
      <x:c r="D927" s="9" t="n">
        <x:v>9.4</x:v>
      </x:c>
      <x:c r="E927" s="8" t="n">
        <x:v>25419</x:v>
      </x:c>
      <x:c r="F927" s="8" t="n">
        <x:v>693</x:v>
      </x:c>
      <x:c r="G927" s="8" t="n">
        <x:v>148341</x:v>
      </x:c>
      <x:c r="H927" s="8" t="n">
        <x:v>1760</x:v>
      </x:c>
      <x:c r="I927" s="8" t="n">
        <x:v>0</x:v>
      </x:c>
      <x:c r="J927" s="8" t="n">
        <x:v>0</x:v>
      </x:c>
      <x:c r="K927" s="8" t="n">
        <x:v>680</x:v>
      </x:c>
      <x:c r="L927" s="1" t="str">
        <x:v>Нет</x:v>
      </x:c>
      <x:c r="M927" s="1" t="n">
        <x:v>0</x:v>
      </x:c>
    </x:row>
    <x:row r="928">
      <x:c r="A928" s="1" t="str">
        <x:v>158427969</x:v>
      </x:c>
      <x:c r="B928" s="1" t="str">
        <x:v>kostumman/морскаяволна</x:v>
      </x:c>
      <x:c r="C928" s="1" t="str">
        <x:v>Костюмы спортивные</x:v>
      </x:c>
      <x:c r="D928" s="9" t="n">
        <x:v>9.4</x:v>
      </x:c>
      <x:c r="E928" s="8" t="n">
        <x:v>6843</x:v>
      </x:c>
      <x:c r="F928" s="8" t="n">
        <x:v>78</x:v>
      </x:c>
      <x:c r="G928" s="8" t="n">
        <x:v>147396</x:v>
      </x:c>
      <x:c r="H928" s="8" t="n">
        <x:v>750</x:v>
      </x:c>
      <x:c r="I928" s="8" t="n">
        <x:v>0</x:v>
      </x:c>
      <x:c r="J928" s="8" t="n">
        <x:v>202</x:v>
      </x:c>
      <x:c r="K928" s="8" t="n">
        <x:v>4084</x:v>
      </x:c>
      <x:c r="L928" s="1" t="str">
        <x:v>Нет</x:v>
      </x:c>
      <x:c r="M928" s="1" t="n">
        <x:v>312388</x:v>
      </x:c>
    </x:row>
    <x:row r="929">
      <x:c r="A929" s="1" t="str">
        <x:v>235988740</x:v>
      </x:c>
      <x:c r="B929" s="1" t="str">
        <x:v>brukipetl/молочный</x:v>
      </x:c>
      <x:c r="C929" s="1" t="str">
        <x:v>Брюки</x:v>
      </x:c>
      <x:c r="D929" s="9" t="n">
        <x:v>8.7</x:v>
      </x:c>
      <x:c r="E929" s="8" t="n">
        <x:v>26405</x:v>
      </x:c>
      <x:c r="F929" s="8" t="n">
        <x:v>293</x:v>
      </x:c>
      <x:c r="G929" s="8" t="n">
        <x:v>147140</x:v>
      </x:c>
      <x:c r="H929" s="8" t="n">
        <x:v>93</x:v>
      </x:c>
      <x:c r="I929" s="8" t="n">
        <x:v>0</x:v>
      </x:c>
      <x:c r="J929" s="8" t="n">
        <x:v>363</x:v>
      </x:c>
      <x:c r="K929" s="8" t="n">
        <x:v>2335</x:v>
      </x:c>
      <x:c r="L929" s="1" t="str">
        <x:v>Нет</x:v>
      </x:c>
      <x:c r="M929" s="1" t="n">
        <x:v>268402</x:v>
      </x:c>
    </x:row>
    <x:row r="930">
      <x:c r="A930" s="1" t="str">
        <x:v>288633826</x:v>
      </x:c>
      <x:c r="B930" s="1" t="str">
        <x:v>kostumman/темно-серый</x:v>
      </x:c>
      <x:c r="C930" s="1" t="str">
        <x:v>Костюмы спортивные</x:v>
      </x:c>
      <x:c r="D930" s="9" t="n">
        <x:v>9.4</x:v>
      </x:c>
      <x:c r="E930" s="8" t="n">
        <x:v>6645</x:v>
      </x:c>
      <x:c r="F930" s="8" t="n">
        <x:v>96</x:v>
      </x:c>
      <x:c r="G930" s="8" t="n">
        <x:v>146936</x:v>
      </x:c>
      <x:c r="H930" s="8" t="n">
        <x:v>340</x:v>
      </x:c>
      <x:c r="I930" s="8" t="n">
        <x:v>0</x:v>
      </x:c>
      <x:c r="J930" s="8" t="n">
        <x:v>233</x:v>
      </x:c>
      <x:c r="K930" s="8" t="n">
        <x:v>4594</x:v>
      </x:c>
      <x:c r="L930" s="1" t="str">
        <x:v>Нет</x:v>
      </x:c>
      <x:c r="M930" s="1" t="n">
        <x:v>375826</x:v>
      </x:c>
    </x:row>
    <x:row r="931">
      <x:c r="A931" s="1" t="str">
        <x:v>165911120</x:v>
      </x:c>
      <x:c r="B931" s="1" t="str">
        <x:v>longman/бежевый</x:v>
      </x:c>
      <x:c r="C931" s="1" t="str">
        <x:v>Лонгсливы</x:v>
      </x:c>
      <x:c r="D931" s="9" t="n">
        <x:v>5.2</x:v>
      </x:c>
      <x:c r="E931" s="8" t="n">
        <x:v>23126</x:v>
      </x:c>
      <x:c r="F931" s="8" t="n">
        <x:v>347</x:v>
      </x:c>
      <x:c r="G931" s="8" t="n">
        <x:v>145945</x:v>
      </x:c>
      <x:c r="H931" s="8" t="n">
        <x:v>1702</x:v>
      </x:c>
      <x:c r="I931" s="8" t="n">
        <x:v>0</x:v>
      </x:c>
      <x:c r="J931" s="8" t="n">
        <x:v>116</x:v>
      </x:c>
      <x:c r="K931" s="8" t="n">
        <x:v>978</x:v>
      </x:c>
      <x:c r="L931" s="1" t="str">
        <x:v>Нет</x:v>
      </x:c>
      <x:c r="M931" s="1" t="n">
        <x:v>51900</x:v>
      </x:c>
    </x:row>
    <x:row r="932">
      <x:c r="A932" s="1" t="str">
        <x:v>210618400</x:v>
      </x:c>
      <x:c r="B932" s="1" t="str">
        <x:v>kostkulirkaover/фуксия</x:v>
      </x:c>
      <x:c r="C932" s="1" t="str">
        <x:v>Костюмы</x:v>
      </x:c>
      <x:c r="D932" s="9" t="n">
        <x:v>6.7</x:v>
      </x:c>
      <x:c r="E932" s="8" t="n">
        <x:v>25455</x:v>
      </x:c>
      <x:c r="F932" s="8" t="n">
        <x:v>203</x:v>
      </x:c>
      <x:c r="G932" s="8" t="n">
        <x:v>145739</x:v>
      </x:c>
      <x:c r="H932" s="8" t="n">
        <x:v>530</x:v>
      </x:c>
      <x:c r="I932" s="8" t="n">
        <x:v>0</x:v>
      </x:c>
      <x:c r="J932" s="8" t="n">
        <x:v>42</x:v>
      </x:c>
      <x:c r="K932" s="8" t="n">
        <x:v>1620</x:v>
      </x:c>
      <x:c r="L932" s="1" t="str">
        <x:v>Нет</x:v>
      </x:c>
      <x:c r="M932" s="1" t="n">
        <x:v>38831</x:v>
      </x:c>
    </x:row>
    <x:row r="933">
      <x:c r="A933" s="1" t="str">
        <x:v>239852086</x:v>
      </x:c>
      <x:c r="B933" s="1" t="str">
        <x:v>svitshotrukpetl/песочный</x:v>
      </x:c>
      <x:c r="C933" s="1" t="str">
        <x:v>Свитшоты</x:v>
      </x:c>
      <x:c r="D933" s="9" t="n">
        <x:v>9.7</x:v>
      </x:c>
      <x:c r="E933" s="8" t="n">
        <x:v>26151</x:v>
      </x:c>
      <x:c r="F933" s="8" t="n">
        <x:v>233</x:v>
      </x:c>
      <x:c r="G933" s="8" t="n">
        <x:v>145577</x:v>
      </x:c>
      <x:c r="H933" s="8" t="n">
        <x:v>408</x:v>
      </x:c>
      <x:c r="I933" s="8" t="n">
        <x:v>0</x:v>
      </x:c>
      <x:c r="J933" s="8" t="n">
        <x:v>211</x:v>
      </x:c>
      <x:c r="K933" s="8" t="n">
        <x:v>2146</x:v>
      </x:c>
      <x:c r="L933" s="1" t="str">
        <x:v>Нет</x:v>
      </x:c>
      <x:c r="M933" s="1" t="n">
        <x:v>117695</x:v>
      </x:c>
    </x:row>
    <x:row r="934">
      <x:c r="A934" s="1" t="str">
        <x:v>380930277</x:v>
      </x:c>
      <x:c r="B934" s="1" t="str">
        <x:v>hudicrop1/светло-фиолетовый</x:v>
      </x:c>
      <x:c r="C934" s="1" t="str">
        <x:v>Худи</x:v>
      </x:c>
      <x:c r="D934" s="9" t="n">
        <x:v>8.7</x:v>
      </x:c>
      <x:c r="E934" s="8" t="n">
        <x:v>17309</x:v>
      </x:c>
      <x:c r="F934" s="8" t="n">
        <x:v>122</x:v>
      </x:c>
      <x:c r="G934" s="8" t="n">
        <x:v>144331</x:v>
      </x:c>
      <x:c r="H934" s="8" t="n">
        <x:v>0</x:v>
      </x:c>
      <x:c r="I934" s="8" t="n">
        <x:v>0</x:v>
      </x:c>
      <x:c r="J934" s="8"/>
      <x:c r="K934" s="8" t="n">
        <x:v>2717</x:v>
      </x:c>
      <x:c r="L934" s="1" t="str">
        <x:v>Нет</x:v>
      </x:c>
      <x:c r="M934" s="1"/>
    </x:row>
    <x:row r="935">
      <x:c r="A935" s="1" t="str">
        <x:v>245583544</x:v>
      </x:c>
      <x:c r="B935" s="1" t="str">
        <x:v>hudiprint/Smile-143/серыймеланж2</x:v>
      </x:c>
      <x:c r="C935" s="1" t="str">
        <x:v>Худи</x:v>
      </x:c>
      <x:c r="D935" s="9" t="n">
        <x:v>8.7</x:v>
      </x:c>
      <x:c r="E935" s="8" t="n">
        <x:v>24539</x:v>
      </x:c>
      <x:c r="F935" s="8" t="n">
        <x:v>150</x:v>
      </x:c>
      <x:c r="G935" s="8" t="n">
        <x:v>143789</x:v>
      </x:c>
      <x:c r="H935" s="8" t="n">
        <x:v>460</x:v>
      </x:c>
      <x:c r="I935" s="8" t="n">
        <x:v>0</x:v>
      </x:c>
      <x:c r="J935" s="8" t="n">
        <x:v>233</x:v>
      </x:c>
      <x:c r="K935" s="8" t="n">
        <x:v>2187</x:v>
      </x:c>
      <x:c r="L935" s="1" t="str">
        <x:v>Нет</x:v>
      </x:c>
      <x:c r="M935" s="1" t="n">
        <x:v>226777</x:v>
      </x:c>
    </x:row>
    <x:row r="936">
      <x:c r="A936" s="1" t="str">
        <x:v>218970527</x:v>
      </x:c>
      <x:c r="B936" s="1" t="str">
        <x:v>topfutbolka/черный</x:v>
      </x:c>
      <x:c r="C936" s="1" t="str">
        <x:v>Топы</x:v>
      </x:c>
      <x:c r="D936" s="9" t="n">
        <x:v>7.9</x:v>
      </x:c>
      <x:c r="E936" s="8" t="n">
        <x:v>18141</x:v>
      </x:c>
      <x:c r="F936" s="8" t="n">
        <x:v>379</x:v>
      </x:c>
      <x:c r="G936" s="8" t="n">
        <x:v>143279</x:v>
      </x:c>
      <x:c r="H936" s="8" t="n">
        <x:v>2893</x:v>
      </x:c>
      <x:c r="I936" s="8" t="n">
        <x:v>0</x:v>
      </x:c>
      <x:c r="J936" s="8" t="n">
        <x:v>39</x:v>
      </x:c>
      <x:c r="K936" s="8" t="n">
        <x:v>782</x:v>
      </x:c>
      <x:c r="L936" s="1" t="str">
        <x:v>Нет</x:v>
      </x:c>
      <x:c r="M936" s="1" t="n">
        <x:v>9455</x:v>
      </x:c>
    </x:row>
    <x:row r="937">
      <x:c r="A937" s="1" t="str">
        <x:v>240808508</x:v>
      </x:c>
      <x:c r="B937" s="1" t="str">
        <x:v>hudiboy/темно-синий</x:v>
      </x:c>
      <x:c r="C937" s="1" t="str">
        <x:v>Худи</x:v>
      </x:c>
      <x:c r="D937" s="9" t="n">
        <x:v>7.7</x:v>
      </x:c>
      <x:c r="E937" s="8" t="n">
        <x:v>14351</x:v>
      </x:c>
      <x:c r="F937" s="8" t="n">
        <x:v>195</x:v>
      </x:c>
      <x:c r="G937" s="8" t="n">
        <x:v>143221</x:v>
      </x:c>
      <x:c r="H937" s="8" t="n">
        <x:v>288</x:v>
      </x:c>
      <x:c r="I937" s="8" t="n">
        <x:v>0</x:v>
      </x:c>
      <x:c r="J937" s="8" t="n">
        <x:v>396</x:v>
      </x:c>
      <x:c r="K937" s="8" t="n">
        <x:v>1306</x:v>
      </x:c>
      <x:c r="L937" s="1" t="str">
        <x:v>Нет</x:v>
      </x:c>
      <x:c r="M937" s="1" t="n">
        <x:v>346401</x:v>
      </x:c>
    </x:row>
    <x:row r="938">
      <x:c r="A938" s="1" t="str">
        <x:v>211596876</x:v>
      </x:c>
      <x:c r="B938" s="1" t="str">
        <x:v>kulirkamanprint/NEWYORK-81/молочный</x:v>
      </x:c>
      <x:c r="C938" s="1" t="str">
        <x:v>Футболки</x:v>
      </x:c>
      <x:c r="D938" s="9" t="n">
        <x:v>8.7</x:v>
      </x:c>
      <x:c r="E938" s="8" t="n">
        <x:v>12885</x:v>
      </x:c>
      <x:c r="F938" s="8" t="n">
        <x:v>333</x:v>
      </x:c>
      <x:c r="G938" s="8" t="n">
        <x:v>143071</x:v>
      </x:c>
      <x:c r="H938" s="8" t="n">
        <x:v>0</x:v>
      </x:c>
      <x:c r="I938" s="8" t="n">
        <x:v>0</x:v>
      </x:c>
      <x:c r="J938" s="8" t="n">
        <x:v>527</x:v>
      </x:c>
      <x:c r="K938" s="8" t="n">
        <x:v>1001</x:v>
      </x:c>
      <x:c r="L938" s="1" t="str">
        <x:v>Нет</x:v>
      </x:c>
      <x:c r="M938" s="1" t="n">
        <x:v>279700</x:v>
      </x:c>
    </x:row>
    <x:row r="939">
      <x:c r="A939" s="1" t="str">
        <x:v>215422756</x:v>
      </x:c>
      <x:c r="B939" s="1" t="str">
        <x:v>futbolkaprint/NeedMoney-104/черный</x:v>
      </x:c>
      <x:c r="C939" s="1" t="str">
        <x:v>Футболки</x:v>
      </x:c>
      <x:c r="D939" s="9" t="n">
        <x:v>6.7</x:v>
      </x:c>
      <x:c r="E939" s="8" t="n">
        <x:v>36370</x:v>
      </x:c>
      <x:c r="F939" s="8" t="n">
        <x:v>225</x:v>
      </x:c>
      <x:c r="G939" s="8" t="n">
        <x:v>143009</x:v>
      </x:c>
      <x:c r="H939" s="8" t="n">
        <x:v>0</x:v>
      </x:c>
      <x:c r="I939" s="8" t="n">
        <x:v>0</x:v>
      </x:c>
      <x:c r="J939" s="8" t="n">
        <x:v>403</x:v>
      </x:c>
      <x:c r="K939" s="8" t="n">
        <x:v>1122</x:v>
      </x:c>
      <x:c r="L939" s="1" t="str">
        <x:v>Нет</x:v>
      </x:c>
      <x:c r="M939" s="1" t="n">
        <x:v>253975</x:v>
      </x:c>
    </x:row>
    <x:row r="940">
      <x:c r="A940" s="1" t="str">
        <x:v>208997092</x:v>
      </x:c>
      <x:c r="B940" s="1" t="str">
        <x:v>futbolkaprint/Duma-61/молочный</x:v>
      </x:c>
      <x:c r="C940" s="1" t="str">
        <x:v>Футболки</x:v>
      </x:c>
      <x:c r="D940" s="9" t="n">
        <x:v>8.7</x:v>
      </x:c>
      <x:c r="E940" s="8" t="n">
        <x:v>26481</x:v>
      </x:c>
      <x:c r="F940" s="8" t="n">
        <x:v>270</x:v>
      </x:c>
      <x:c r="G940" s="8" t="n">
        <x:v>142847</x:v>
      </x:c>
      <x:c r="H940" s="8" t="n">
        <x:v>0</x:v>
      </x:c>
      <x:c r="I940" s="8" t="n">
        <x:v>0</x:v>
      </x:c>
      <x:c r="J940" s="8" t="n">
        <x:v>333</x:v>
      </x:c>
      <x:c r="K940" s="8" t="n">
        <x:v>899</x:v>
      </x:c>
      <x:c r="L940" s="1" t="str">
        <x:v>Нет</x:v>
      </x:c>
      <x:c r="M940" s="1" t="n">
        <x:v>196850</x:v>
      </x:c>
    </x:row>
    <x:row r="941">
      <x:c r="A941" s="1" t="str">
        <x:v>288627687</x:v>
      </x:c>
      <x:c r="B941" s="1" t="str">
        <x:v>kostyum/милка</x:v>
      </x:c>
      <x:c r="C941" s="1" t="str">
        <x:v>Костюмы спортивные</x:v>
      </x:c>
      <x:c r="D941" s="9" t="n">
        <x:v>8.7</x:v>
      </x:c>
      <x:c r="E941" s="8" t="n">
        <x:v>42226</x:v>
      </x:c>
      <x:c r="F941" s="8" t="n">
        <x:v>87</x:v>
      </x:c>
      <x:c r="G941" s="8" t="n">
        <x:v>142530</x:v>
      </x:c>
      <x:c r="H941" s="8" t="n">
        <x:v>420</x:v>
      </x:c>
      <x:c r="I941" s="8" t="n">
        <x:v>0</x:v>
      </x:c>
      <x:c r="J941" s="8" t="n">
        <x:v>147</x:v>
      </x:c>
      <x:c r="K941" s="8" t="n">
        <x:v>4488</x:v>
      </x:c>
      <x:c r="L941" s="1" t="str">
        <x:v>Нет</x:v>
      </x:c>
      <x:c r="M941" s="1" t="n">
        <x:v>250600</x:v>
      </x:c>
    </x:row>
    <x:row r="942">
      <x:c r="A942" s="1" t="str">
        <x:v>214938400</x:v>
      </x:c>
      <x:c r="B942" s="1" t="str">
        <x:v>hudiprint/Couture-108/синий</x:v>
      </x:c>
      <x:c r="C942" s="1" t="str">
        <x:v>Худи</x:v>
      </x:c>
      <x:c r="D942" s="9" t="n">
        <x:v>7.7</x:v>
      </x:c>
      <x:c r="E942" s="8" t="n">
        <x:v>19081</x:v>
      </x:c>
      <x:c r="F942" s="8" t="n">
        <x:v>136</x:v>
      </x:c>
      <x:c r="G942" s="8" t="n">
        <x:v>142399</x:v>
      </x:c>
      <x:c r="H942" s="8" t="n">
        <x:v>149</x:v>
      </x:c>
      <x:c r="I942" s="8" t="n">
        <x:v>0</x:v>
      </x:c>
      <x:c r="J942" s="8" t="n">
        <x:v>244</x:v>
      </x:c>
      <x:c r="K942" s="8" t="n">
        <x:v>2155</x:v>
      </x:c>
      <x:c r="L942" s="1" t="str">
        <x:v>Нет</x:v>
      </x:c>
      <x:c r="M942" s="1" t="n">
        <x:v>264802</x:v>
      </x:c>
    </x:row>
    <x:row r="943">
      <x:c r="A943" s="1" t="str">
        <x:v>256332773</x:v>
      </x:c>
      <x:c r="B943" s="1" t="str">
        <x:v>futhlopman/коричневый</x:v>
      </x:c>
      <x:c r="C943" s="1" t="str">
        <x:v>Футболки</x:v>
      </x:c>
      <x:c r="D943" s="9" t="n">
        <x:v>8.7</x:v>
      </x:c>
      <x:c r="E943" s="8" t="n">
        <x:v>27334</x:v>
      </x:c>
      <x:c r="F943" s="8" t="n">
        <x:v>385</x:v>
      </x:c>
      <x:c r="G943" s="8" t="n">
        <x:v>141582</x:v>
      </x:c>
      <x:c r="H943" s="8" t="n">
        <x:v>577</x:v>
      </x:c>
      <x:c r="I943" s="8" t="n">
        <x:v>0</x:v>
      </x:c>
      <x:c r="J943" s="8" t="n">
        <x:v>1126</x:v>
      </x:c>
      <x:c r="K943" s="8" t="n">
        <x:v>719</x:v>
      </x:c>
      <x:c r="L943" s="1" t="str">
        <x:v>Нет</x:v>
      </x:c>
      <x:c r="M943" s="1" t="n">
        <x:v>465130</x:v>
      </x:c>
    </x:row>
    <x:row r="944">
      <x:c r="A944" s="1" t="str">
        <x:v>306916577</x:v>
      </x:c>
      <x:c r="B944" s="1" t="str">
        <x:v>hudicropman4F-67/вареныйсерый</x:v>
      </x:c>
      <x:c r="C944" s="1" t="str">
        <x:v>Худи</x:v>
      </x:c>
      <x:c r="D944" s="9" t="n">
        <x:v>9.7</x:v>
      </x:c>
      <x:c r="E944" s="8" t="n">
        <x:v>9274</x:v>
      </x:c>
      <x:c r="F944" s="8" t="n">
        <x:v>98</x:v>
      </x:c>
      <x:c r="G944" s="8" t="n">
        <x:v>140779</x:v>
      </x:c>
      <x:c r="H944" s="8" t="n">
        <x:v>83</x:v>
      </x:c>
      <x:c r="I944" s="8" t="n">
        <x:v>0</x:v>
      </x:c>
      <x:c r="J944" s="8" t="n">
        <x:v>153</x:v>
      </x:c>
      <x:c r="K944" s="8" t="n">
        <x:v>2922</x:v>
      </x:c>
      <x:c r="L944" s="1" t="str">
        <x:v>Нет</x:v>
      </x:c>
      <x:c r="M944" s="1" t="n">
        <x:v>139652</x:v>
      </x:c>
    </x:row>
    <x:row r="945">
      <x:c r="A945" s="1" t="str">
        <x:v>209915691</x:v>
      </x:c>
      <x:c r="B945" s="1" t="str">
        <x:v>shorty/черный</x:v>
      </x:c>
      <x:c r="C945" s="1" t="str">
        <x:v>Шорты</x:v>
      </x:c>
      <x:c r="D945" s="9" t="n">
        <x:v>6.9</x:v>
      </x:c>
      <x:c r="E945" s="8" t="n">
        <x:v>11637</x:v>
      </x:c>
      <x:c r="F945" s="8" t="n">
        <x:v>316</x:v>
      </x:c>
      <x:c r="G945" s="8" t="n">
        <x:v>140763</x:v>
      </x:c>
      <x:c r="H945" s="8" t="n">
        <x:v>13</x:v>
      </x:c>
      <x:c r="I945" s="8" t="n">
        <x:v>0</x:v>
      </x:c>
      <x:c r="J945" s="8" t="n">
        <x:v>170</x:v>
      </x:c>
      <x:c r="K945" s="8" t="n">
        <x:v>947</x:v>
      </x:c>
      <x:c r="L945" s="1" t="str">
        <x:v>Нет</x:v>
      </x:c>
      <x:c r="M945" s="1" t="n">
        <x:v>88014</x:v>
      </x:c>
    </x:row>
    <x:row r="946">
      <x:c r="A946" s="1" t="str">
        <x:v>313770769</x:v>
      </x:c>
      <x:c r="B946" s="1" t="str">
        <x:v>futbolkagirl/розовый</x:v>
      </x:c>
      <x:c r="C946" s="1" t="str">
        <x:v>Футболки</x:v>
      </x:c>
      <x:c r="D946" s="9" t="n">
        <x:v>10</x:v>
      </x:c>
      <x:c r="E946" s="8" t="n">
        <x:v>34547</x:v>
      </x:c>
      <x:c r="F946" s="8" t="n">
        <x:v>384</x:v>
      </x:c>
      <x:c r="G946" s="8" t="n">
        <x:v>140032</x:v>
      </x:c>
      <x:c r="H946" s="8" t="n">
        <x:v>5</x:v>
      </x:c>
      <x:c r="I946" s="8" t="n">
        <x:v>0</x:v>
      </x:c>
      <x:c r="J946" s="8" t="n">
        <x:v>384</x:v>
      </x:c>
      <x:c r="K946" s="8" t="n">
        <x:v>519</x:v>
      </x:c>
      <x:c r="L946" s="1" t="str">
        <x:v>Нет</x:v>
      </x:c>
      <x:c r="M946" s="1" t="n">
        <x:v>155583</x:v>
      </x:c>
    </x:row>
    <x:row r="947">
      <x:c r="A947" s="1" t="str">
        <x:v>264723165</x:v>
      </x:c>
      <x:c r="B947" s="1" t="str">
        <x:v>svitshotrukpetl/бордовый</x:v>
      </x:c>
      <x:c r="C947" s="1" t="str">
        <x:v>Свитшоты</x:v>
      </x:c>
      <x:c r="D947" s="9" t="n">
        <x:v>9.7</x:v>
      </x:c>
      <x:c r="E947" s="8" t="n">
        <x:v>10079</x:v>
      </x:c>
      <x:c r="F947" s="8" t="n">
        <x:v>138</x:v>
      </x:c>
      <x:c r="G947" s="8" t="n">
        <x:v>139997</x:v>
      </x:c>
      <x:c r="H947" s="8" t="n">
        <x:v>5</x:v>
      </x:c>
      <x:c r="I947" s="8" t="n">
        <x:v>0</x:v>
      </x:c>
      <x:c r="J947" s="8" t="n">
        <x:v>381</x:v>
      </x:c>
      <x:c r="K947" s="8" t="n">
        <x:v>2156</x:v>
      </x:c>
      <x:c r="L947" s="1" t="str">
        <x:v>Нет</x:v>
      </x:c>
      <x:c r="M947" s="1" t="n">
        <x:v>271360</x:v>
      </x:c>
    </x:row>
    <x:row r="948">
      <x:c r="A948" s="1" t="str">
        <x:v>326824801</x:v>
      </x:c>
      <x:c r="B948" s="1" t="str">
        <x:v>2nkost3D-72-73/серыймеланж2</x:v>
      </x:c>
      <x:c r="C948" s="1" t="str">
        <x:v>Костюмы спортивные</x:v>
      </x:c>
      <x:c r="D948" s="9" t="n">
        <x:v>8.7</x:v>
      </x:c>
      <x:c r="E948" s="8" t="n">
        <x:v>45262</x:v>
      </x:c>
      <x:c r="F948" s="8" t="n">
        <x:v>340</x:v>
      </x:c>
      <x:c r="G948" s="8" t="n">
        <x:v>139979</x:v>
      </x:c>
      <x:c r="H948" s="8" t="n">
        <x:v>0</x:v>
      </x:c>
      <x:c r="I948" s="8" t="n">
        <x:v>0</x:v>
      </x:c>
      <x:c r="J948" s="8"/>
      <x:c r="K948" s="8" t="n">
        <x:v>1946</x:v>
      </x:c>
      <x:c r="L948" s="1" t="str">
        <x:v>Нет</x:v>
      </x:c>
      <x:c r="M948" s="1"/>
    </x:row>
    <x:row r="949">
      <x:c r="A949" s="1" t="str">
        <x:v>344388890</x:v>
      </x:c>
      <x:c r="B949" s="1" t="str">
        <x:v>malyshkabasic/молочный</x:v>
      </x:c>
      <x:c r="C949" s="1" t="str">
        <x:v>Футболки</x:v>
      </x:c>
      <x:c r="D949" s="9" t="n">
        <x:v>7.9</x:v>
      </x:c>
      <x:c r="E949" s="8" t="n">
        <x:v>41595</x:v>
      </x:c>
      <x:c r="F949" s="8" t="n">
        <x:v>614</x:v>
      </x:c>
      <x:c r="G949" s="8" t="n">
        <x:v>139411</x:v>
      </x:c>
      <x:c r="H949" s="8" t="n">
        <x:v>434</x:v>
      </x:c>
      <x:c r="I949" s="8" t="n">
        <x:v>0</x:v>
      </x:c>
      <x:c r="J949" s="8" t="n">
        <x:v>0</x:v>
      </x:c>
      <x:c r="K949" s="8" t="n">
        <x:v>756</x:v>
      </x:c>
      <x:c r="L949" s="1" t="str">
        <x:v>Нет</x:v>
      </x:c>
      <x:c r="M949" s="1" t="n">
        <x:v>0</x:v>
      </x:c>
    </x:row>
    <x:row r="950">
      <x:c r="A950" s="1" t="str">
        <x:v>250555332</x:v>
      </x:c>
      <x:c r="B950" s="1" t="str">
        <x:v>hudimanprint/Culture-183/черный</x:v>
      </x:c>
      <x:c r="C950" s="1" t="str">
        <x:v>Худи</x:v>
      </x:c>
      <x:c r="D950" s="9" t="n">
        <x:v>8.7</x:v>
      </x:c>
      <x:c r="E950" s="8" t="n">
        <x:v>8662</x:v>
      </x:c>
      <x:c r="F950" s="8" t="n">
        <x:v>149</x:v>
      </x:c>
      <x:c r="G950" s="8" t="n">
        <x:v>138987</x:v>
      </x:c>
      <x:c r="H950" s="8" t="n">
        <x:v>75</x:v>
      </x:c>
      <x:c r="I950" s="8" t="n">
        <x:v>0</x:v>
      </x:c>
      <x:c r="J950" s="8" t="n">
        <x:v>224</x:v>
      </x:c>
      <x:c r="K950" s="8" t="n">
        <x:v>2482</x:v>
      </x:c>
      <x:c r="L950" s="1" t="str">
        <x:v>Нет</x:v>
      </x:c>
      <x:c r="M950" s="1" t="n">
        <x:v>286026</x:v>
      </x:c>
    </x:row>
    <x:row r="951">
      <x:c r="A951" s="1" t="str">
        <x:v>30027083</x:v>
      </x:c>
      <x:c r="B951" s="1" t="str">
        <x:v>longsliv/молочный</x:v>
      </x:c>
      <x:c r="C951" s="1" t="str">
        <x:v>Лонгсливы</x:v>
      </x:c>
      <x:c r="D951" s="9" t="n">
        <x:v>7.7</x:v>
      </x:c>
      <x:c r="E951" s="8" t="n">
        <x:v>16771</x:v>
      </x:c>
      <x:c r="F951" s="8" t="n">
        <x:v>594</x:v>
      </x:c>
      <x:c r="G951" s="8" t="n">
        <x:v>138340</x:v>
      </x:c>
      <x:c r="H951" s="8" t="n">
        <x:v>646</x:v>
      </x:c>
      <x:c r="I951" s="8" t="n">
        <x:v>0</x:v>
      </x:c>
      <x:c r="J951" s="8" t="n">
        <x:v>333</x:v>
      </x:c>
      <x:c r="K951" s="8" t="n">
        <x:v>746</x:v>
      </x:c>
      <x:c r="L951" s="1" t="str">
        <x:v>Нет</x:v>
      </x:c>
      <x:c r="M951" s="1" t="n">
        <x:v>87634</x:v>
      </x:c>
    </x:row>
    <x:row r="952">
      <x:c r="A952" s="1" t="str">
        <x:v>246362970</x:v>
      </x:c>
      <x:c r="B952" s="1" t="str">
        <x:v>tolstovkazipcrop/кофейный</x:v>
      </x:c>
      <x:c r="C952" s="1" t="str">
        <x:v>Худи</x:v>
      </x:c>
      <x:c r="D952" s="9" t="n">
        <x:v>9.2</x:v>
      </x:c>
      <x:c r="E952" s="8" t="n">
        <x:v>29438</x:v>
      </x:c>
      <x:c r="F952" s="8" t="n">
        <x:v>152</x:v>
      </x:c>
      <x:c r="G952" s="8" t="n">
        <x:v>136615</x:v>
      </x:c>
      <x:c r="H952" s="8" t="n">
        <x:v>1</x:v>
      </x:c>
      <x:c r="I952" s="8" t="n">
        <x:v>0</x:v>
      </x:c>
      <x:c r="J952" s="8" t="n">
        <x:v>273</x:v>
      </x:c>
      <x:c r="K952" s="8" t="n">
        <x:v>2747</x:v>
      </x:c>
      <x:c r="L952" s="1" t="str">
        <x:v>Нет</x:v>
      </x:c>
      <x:c r="M952" s="1" t="n">
        <x:v>315577</x:v>
      </x:c>
    </x:row>
    <x:row r="953">
      <x:c r="A953" s="1" t="str">
        <x:v>176176587</x:v>
      </x:c>
      <x:c r="B953" s="1" t="str">
        <x:v>svitshotman/хаки</x:v>
      </x:c>
      <x:c r="C953" s="1" t="str">
        <x:v>Свитшоты</x:v>
      </x:c>
      <x:c r="D953" s="9" t="n">
        <x:v>9.7</x:v>
      </x:c>
      <x:c r="E953" s="8" t="n">
        <x:v>13855</x:v>
      </x:c>
      <x:c r="F953" s="8" t="n">
        <x:v>182</x:v>
      </x:c>
      <x:c r="G953" s="8" t="n">
        <x:v>136587</x:v>
      </x:c>
      <x:c r="H953" s="8" t="n">
        <x:v>90</x:v>
      </x:c>
      <x:c r="I953" s="8" t="n">
        <x:v>0</x:v>
      </x:c>
      <x:c r="J953" s="8" t="n">
        <x:v>317</x:v>
      </x:c>
      <x:c r="K953" s="8" t="n">
        <x:v>2014</x:v>
      </x:c>
      <x:c r="L953" s="1" t="str">
        <x:v>Нет</x:v>
      </x:c>
      <x:c r="M953" s="1" t="n">
        <x:v>340290</x:v>
      </x:c>
    </x:row>
    <x:row r="954">
      <x:c r="A954" s="1" t="str">
        <x:v>321843724</x:v>
      </x:c>
      <x:c r="B954" s="1" t="str">
        <x:v>tankman4K-S12/черный</x:v>
      </x:c>
      <x:c r="C954" s="1" t="str">
        <x:v>Футболки</x:v>
      </x:c>
      <x:c r="D954" s="9" t="n">
        <x:v>8.7</x:v>
      </x:c>
      <x:c r="E954" s="8" t="n">
        <x:v>23656</x:v>
      </x:c>
      <x:c r="F954" s="8" t="n">
        <x:v>213</x:v>
      </x:c>
      <x:c r="G954" s="8" t="n">
        <x:v>135970</x:v>
      </x:c>
      <x:c r="H954" s="8" t="n">
        <x:v>0</x:v>
      </x:c>
      <x:c r="I954" s="8" t="n">
        <x:v>0</x:v>
      </x:c>
      <x:c r="J954" s="8" t="n">
        <x:v>662</x:v>
      </x:c>
      <x:c r="K954" s="8" t="n">
        <x:v>1072</x:v>
      </x:c>
      <x:c r="L954" s="1" t="str">
        <x:v>Нет</x:v>
      </x:c>
      <x:c r="M954" s="1" t="n">
        <x:v>398603</x:v>
      </x:c>
    </x:row>
    <x:row r="955">
      <x:c r="A955" s="1" t="str">
        <x:v>253963998</x:v>
      </x:c>
      <x:c r="B955" s="1" t="str">
        <x:v>svitshotzip1/светло-розовый</x:v>
      </x:c>
      <x:c r="C955" s="1" t="str">
        <x:v>Свитшоты</x:v>
      </x:c>
      <x:c r="D955" s="9" t="n">
        <x:v>9.7</x:v>
      </x:c>
      <x:c r="E955" s="8" t="n">
        <x:v>5771</x:v>
      </x:c>
      <x:c r="F955" s="8" t="n">
        <x:v>111</x:v>
      </x:c>
      <x:c r="G955" s="8" t="n">
        <x:v>135867</x:v>
      </x:c>
      <x:c r="H955" s="8" t="n">
        <x:v>0</x:v>
      </x:c>
      <x:c r="I955" s="8" t="n">
        <x:v>0</x:v>
      </x:c>
      <x:c r="J955" s="8" t="n">
        <x:v>291</x:v>
      </x:c>
      <x:c r="K955" s="8" t="n">
        <x:v>2711</x:v>
      </x:c>
      <x:c r="L955" s="1" t="str">
        <x:v>Нет</x:v>
      </x:c>
      <x:c r="M955" s="1" t="n">
        <x:v>305100</x:v>
      </x:c>
    </x:row>
    <x:row r="956">
      <x:c r="A956" s="1" t="str">
        <x:v>344407621</x:v>
      </x:c>
      <x:c r="B956" s="1" t="str">
        <x:v>maykaman/черный</x:v>
      </x:c>
      <x:c r="C956" s="1" t="str">
        <x:v>Футболки</x:v>
      </x:c>
      <x:c r="D956" s="9" t="n">
        <x:v>9</x:v>
      </x:c>
      <x:c r="E956" s="8" t="n">
        <x:v>17451</x:v>
      </x:c>
      <x:c r="F956" s="8" t="n">
        <x:v>304</x:v>
      </x:c>
      <x:c r="G956" s="8" t="n">
        <x:v>134659</x:v>
      </x:c>
      <x:c r="H956" s="8" t="n">
        <x:v>1330</x:v>
      </x:c>
      <x:c r="I956" s="8" t="n">
        <x:v>0</x:v>
      </x:c>
      <x:c r="J956" s="8" t="n">
        <x:v>0</x:v>
      </x:c>
      <x:c r="K956" s="8" t="n">
        <x:v>869</x:v>
      </x:c>
      <x:c r="L956" s="1" t="str">
        <x:v>Нет</x:v>
      </x:c>
      <x:c r="M956" s="1" t="n">
        <x:v>0</x:v>
      </x:c>
    </x:row>
    <x:row r="957">
      <x:c r="A957" s="1" t="str">
        <x:v>256323219</x:v>
      </x:c>
      <x:c r="B957" s="1" t="str">
        <x:v>futhlopmanover/хаки</x:v>
      </x:c>
      <x:c r="C957" s="1" t="str">
        <x:v>Футболки</x:v>
      </x:c>
      <x:c r="D957" s="9" t="n">
        <x:v>8.7</x:v>
      </x:c>
      <x:c r="E957" s="8" t="n">
        <x:v>21910</x:v>
      </x:c>
      <x:c r="F957" s="8" t="n">
        <x:v>285</x:v>
      </x:c>
      <x:c r="G957" s="8" t="n">
        <x:v>134603</x:v>
      </x:c>
      <x:c r="H957" s="8" t="n">
        <x:v>37</x:v>
      </x:c>
      <x:c r="I957" s="8" t="n">
        <x:v>0</x:v>
      </x:c>
      <x:c r="J957" s="8" t="n">
        <x:v>566</x:v>
      </x:c>
      <x:c r="K957" s="8" t="n">
        <x:v>978</x:v>
      </x:c>
      <x:c r="L957" s="1" t="str">
        <x:v>Нет</x:v>
      </x:c>
      <x:c r="M957" s="1" t="n">
        <x:v>272808</x:v>
      </x:c>
    </x:row>
    <x:row r="958">
      <x:c r="A958" s="1" t="str">
        <x:v>326824802</x:v>
      </x:c>
      <x:c r="B958" s="1" t="str">
        <x:v>2nkost3D-72-73/коричневый</x:v>
      </x:c>
      <x:c r="C958" s="1" t="str">
        <x:v>Костюмы спортивные</x:v>
      </x:c>
      <x:c r="D958" s="9" t="n">
        <x:v>8.7</x:v>
      </x:c>
      <x:c r="E958" s="8" t="n">
        <x:v>66166</x:v>
      </x:c>
      <x:c r="F958" s="8" t="n">
        <x:v>315</x:v>
      </x:c>
      <x:c r="G958" s="8" t="n">
        <x:v>134459</x:v>
      </x:c>
      <x:c r="H958" s="8" t="n">
        <x:v>4</x:v>
      </x:c>
      <x:c r="I958" s="8" t="n">
        <x:v>0</x:v>
      </x:c>
      <x:c r="J958" s="8" t="n">
        <x:v>0</x:v>
      </x:c>
      <x:c r="K958" s="8" t="n">
        <x:v>2175</x:v>
      </x:c>
      <x:c r="L958" s="1" t="str">
        <x:v>Нет</x:v>
      </x:c>
      <x:c r="M958" s="1" t="n">
        <x:v>0</x:v>
      </x:c>
    </x:row>
    <x:row r="959">
      <x:c r="A959" s="1" t="str">
        <x:v>168141903</x:v>
      </x:c>
      <x:c r="B959" s="1" t="str">
        <x:v>bruki/красный</x:v>
      </x:c>
      <x:c r="C959" s="1" t="str">
        <x:v>Брюки</x:v>
      </x:c>
      <x:c r="D959" s="9" t="n">
        <x:v>7.7</x:v>
      </x:c>
      <x:c r="E959" s="8" t="n">
        <x:v>8518</x:v>
      </x:c>
      <x:c r="F959" s="8" t="n">
        <x:v>245</x:v>
      </x:c>
      <x:c r="G959" s="8" t="n">
        <x:v>134434</x:v>
      </x:c>
      <x:c r="H959" s="8" t="n">
        <x:v>237</x:v>
      </x:c>
      <x:c r="I959" s="8" t="n">
        <x:v>0</x:v>
      </x:c>
      <x:c r="J959" s="8" t="n">
        <x:v>483</x:v>
      </x:c>
      <x:c r="K959" s="8" t="n">
        <x:v>2105</x:v>
      </x:c>
      <x:c r="L959" s="1" t="str">
        <x:v>Нет</x:v>
      </x:c>
      <x:c r="M959" s="1" t="n">
        <x:v>274932</x:v>
      </x:c>
    </x:row>
    <x:row r="960">
      <x:c r="A960" s="1" t="str">
        <x:v>344184284</x:v>
      </x:c>
      <x:c r="B960" s="1" t="str">
        <x:v>longslim3К-81/какао</x:v>
      </x:c>
      <x:c r="C960" s="1" t="str">
        <x:v>Лонгсливы</x:v>
      </x:c>
      <x:c r="D960" s="9" t="n">
        <x:v>8.7</x:v>
      </x:c>
      <x:c r="E960" s="8" t="n">
        <x:v>15861</x:v>
      </x:c>
      <x:c r="F960" s="8" t="n">
        <x:v>369</x:v>
      </x:c>
      <x:c r="G960" s="8" t="n">
        <x:v>134090</x:v>
      </x:c>
      <x:c r="H960" s="8" t="n">
        <x:v>9</x:v>
      </x:c>
      <x:c r="I960" s="8" t="n">
        <x:v>0</x:v>
      </x:c>
      <x:c r="J960" s="8" t="n">
        <x:v>0</x:v>
      </x:c>
      <x:c r="K960" s="8" t="n">
        <x:v>903</x:v>
      </x:c>
      <x:c r="L960" s="1" t="str">
        <x:v>Нет</x:v>
      </x:c>
      <x:c r="M960" s="1" t="n">
        <x:v>0</x:v>
      </x:c>
    </x:row>
    <x:row r="961">
      <x:c r="A961" s="1" t="str">
        <x:v>19865662</x:v>
      </x:c>
      <x:c r="B961" s="1" t="str">
        <x:v>kostyum/светло-зеленый</x:v>
      </x:c>
      <x:c r="C961" s="1" t="str">
        <x:v>Костюмы спортивные</x:v>
      </x:c>
      <x:c r="D961" s="9" t="n">
        <x:v>8.7</x:v>
      </x:c>
      <x:c r="E961" s="8" t="n">
        <x:v>12625</x:v>
      </x:c>
      <x:c r="F961" s="8" t="n">
        <x:v>79</x:v>
      </x:c>
      <x:c r="G961" s="8" t="n">
        <x:v>133956</x:v>
      </x:c>
      <x:c r="H961" s="8" t="n">
        <x:v>137</x:v>
      </x:c>
      <x:c r="I961" s="8" t="n">
        <x:v>0</x:v>
      </x:c>
      <x:c r="J961" s="8" t="n">
        <x:v>199</x:v>
      </x:c>
      <x:c r="K961" s="8" t="n">
        <x:v>4328</x:v>
      </x:c>
      <x:c r="L961" s="1" t="str">
        <x:v>Нет</x:v>
      </x:c>
      <x:c r="M961" s="1" t="n">
        <x:v>371488</x:v>
      </x:c>
    </x:row>
    <x:row r="962">
      <x:c r="A962" s="1" t="str">
        <x:v>150673977</x:v>
      </x:c>
      <x:c r="B962" s="1" t="str">
        <x:v>svitshotover/графит</x:v>
      </x:c>
      <x:c r="C962" s="1" t="str">
        <x:v>Свитшоты</x:v>
      </x:c>
      <x:c r="D962" s="9" t="n">
        <x:v>9.7</x:v>
      </x:c>
      <x:c r="E962" s="8" t="n">
        <x:v>15043</x:v>
      </x:c>
      <x:c r="F962" s="8" t="n">
        <x:v>198</x:v>
      </x:c>
      <x:c r="G962" s="8" t="n">
        <x:v>133939</x:v>
      </x:c>
      <x:c r="H962" s="8" t="n">
        <x:v>273</x:v>
      </x:c>
      <x:c r="I962" s="8" t="n">
        <x:v>0</x:v>
      </x:c>
      <x:c r="J962" s="8" t="n">
        <x:v>265</x:v>
      </x:c>
      <x:c r="K962" s="8" t="n">
        <x:v>2143</x:v>
      </x:c>
      <x:c r="L962" s="1" t="str">
        <x:v>Нет</x:v>
      </x:c>
      <x:c r="M962" s="1" t="n">
        <x:v>211400</x:v>
      </x:c>
    </x:row>
    <x:row r="963">
      <x:c r="A963" s="1" t="str">
        <x:v>289404031</x:v>
      </x:c>
      <x:c r="B963" s="1" t="str">
        <x:v>brukikarman3P-S-2/песочный</x:v>
      </x:c>
      <x:c r="C963" s="1" t="str">
        <x:v>Брюки</x:v>
      </x:c>
      <x:c r="D963" s="9" t="n">
        <x:v>7.9</x:v>
      </x:c>
      <x:c r="E963" s="8" t="n">
        <x:v>38395</x:v>
      </x:c>
      <x:c r="F963" s="8" t="n">
        <x:v>343</x:v>
      </x:c>
      <x:c r="G963" s="8" t="n">
        <x:v>132651</x:v>
      </x:c>
      <x:c r="H963" s="8" t="n">
        <x:v>440</x:v>
      </x:c>
      <x:c r="I963" s="8" t="n">
        <x:v>0</x:v>
      </x:c>
      <x:c r="J963" s="8" t="n">
        <x:v>320</x:v>
      </x:c>
      <x:c r="K963" s="8" t="n">
        <x:v>2272</x:v>
      </x:c>
      <x:c r="L963" s="1" t="str">
        <x:v>Нет</x:v>
      </x:c>
      <x:c r="M963" s="1" t="n">
        <x:v>163368</x:v>
      </x:c>
    </x:row>
    <x:row r="964">
      <x:c r="A964" s="1" t="str">
        <x:v>245583535</x:v>
      </x:c>
      <x:c r="B964" s="1" t="str">
        <x:v>hudiprint/MovesClub-138/синий</x:v>
      </x:c>
      <x:c r="C964" s="1" t="str">
        <x:v>Худи</x:v>
      </x:c>
      <x:c r="D964" s="9" t="n">
        <x:v>8.7</x:v>
      </x:c>
      <x:c r="E964" s="8" t="n">
        <x:v>17634</x:v>
      </x:c>
      <x:c r="F964" s="8" t="n">
        <x:v>142</x:v>
      </x:c>
      <x:c r="G964" s="8" t="n">
        <x:v>132566</x:v>
      </x:c>
      <x:c r="H964" s="8" t="n">
        <x:v>2</x:v>
      </x:c>
      <x:c r="I964" s="8" t="n">
        <x:v>0</x:v>
      </x:c>
      <x:c r="J964" s="8" t="n">
        <x:v>320</x:v>
      </x:c>
      <x:c r="K964" s="8" t="n">
        <x:v>2451</x:v>
      </x:c>
      <x:c r="L964" s="1" t="str">
        <x:v>Нет</x:v>
      </x:c>
      <x:c r="M964" s="1" t="n">
        <x:v>344012</x:v>
      </x:c>
    </x:row>
    <x:row r="965">
      <x:c r="A965" s="1" t="str">
        <x:v>216674344</x:v>
      </x:c>
      <x:c r="B965" s="1" t="str">
        <x:v>2NshortymanX2/чер-сермел</x:v>
      </x:c>
      <x:c r="C965" s="1" t="str">
        <x:v>Шорты</x:v>
      </x:c>
      <x:c r="D965" s="9" t="n">
        <x:v>7.7</x:v>
      </x:c>
      <x:c r="E965" s="8" t="n">
        <x:v>7872</x:v>
      </x:c>
      <x:c r="F965" s="8" t="n">
        <x:v>150</x:v>
      </x:c>
      <x:c r="G965" s="8" t="n">
        <x:v>132550</x:v>
      </x:c>
      <x:c r="H965" s="8" t="n">
        <x:v>0</x:v>
      </x:c>
      <x:c r="I965" s="8" t="n">
        <x:v>0</x:v>
      </x:c>
      <x:c r="J965" s="8" t="n">
        <x:v>0</x:v>
      </x:c>
      <x:c r="K965" s="8" t="n">
        <x:v>1665</x:v>
      </x:c>
      <x:c r="L965" s="1" t="str">
        <x:v>Нет</x:v>
      </x:c>
      <x:c r="M965" s="1" t="n">
        <x:v>0</x:v>
      </x:c>
    </x:row>
    <x:row r="966">
      <x:c r="A966" s="1" t="str">
        <x:v>228355394</x:v>
      </x:c>
      <x:c r="B966" s="1" t="str">
        <x:v>kulirkamanprint/MovesReality-137/молочный</x:v>
      </x:c>
      <x:c r="C966" s="1" t="str">
        <x:v>Футболки</x:v>
      </x:c>
      <x:c r="D966" s="9" t="n">
        <x:v>8.7</x:v>
      </x:c>
      <x:c r="E966" s="8" t="n">
        <x:v>14243</x:v>
      </x:c>
      <x:c r="F966" s="8" t="n">
        <x:v>267</x:v>
      </x:c>
      <x:c r="G966" s="8" t="n">
        <x:v>132188</x:v>
      </x:c>
      <x:c r="H966" s="8" t="n">
        <x:v>122</x:v>
      </x:c>
      <x:c r="I966" s="8" t="n">
        <x:v>0</x:v>
      </x:c>
      <x:c r="J966" s="8" t="n">
        <x:v>880</x:v>
      </x:c>
      <x:c r="K966" s="8" t="n">
        <x:v>1042</x:v>
      </x:c>
      <x:c r="L966" s="1" t="str">
        <x:v>Нет</x:v>
      </x:c>
      <x:c r="M966" s="1" t="n">
        <x:v>550017</x:v>
      </x:c>
    </x:row>
    <x:row r="967">
      <x:c r="A967" s="1" t="str">
        <x:v>222802035</x:v>
      </x:c>
      <x:c r="B967" s="1" t="str">
        <x:v>hudipetl/песочный</x:v>
      </x:c>
      <x:c r="C967" s="1" t="str">
        <x:v>Худи</x:v>
      </x:c>
      <x:c r="D967" s="9" t="n">
        <x:v>8.7</x:v>
      </x:c>
      <x:c r="E967" s="8" t="n">
        <x:v>17175</x:v>
      </x:c>
      <x:c r="F967" s="8" t="n">
        <x:v>180</x:v>
      </x:c>
      <x:c r="G967" s="8" t="n">
        <x:v>132020</x:v>
      </x:c>
      <x:c r="H967" s="8" t="n">
        <x:v>107</x:v>
      </x:c>
      <x:c r="I967" s="8" t="n">
        <x:v>0</x:v>
      </x:c>
      <x:c r="J967" s="8" t="n">
        <x:v>334</x:v>
      </x:c>
      <x:c r="K967" s="8" t="n">
        <x:v>2436</x:v>
      </x:c>
      <x:c r="L967" s="1" t="str">
        <x:v>Нет</x:v>
      </x:c>
      <x:c r="M967" s="1" t="n">
        <x:v>275400</x:v>
      </x:c>
    </x:row>
    <x:row r="968">
      <x:c r="A968" s="1" t="str">
        <x:v>245558078</x:v>
      </x:c>
      <x:c r="B968" s="1" t="str">
        <x:v>hudimanprint/MovesMatter-73/молочный</x:v>
      </x:c>
      <x:c r="C968" s="1" t="str">
        <x:v>Худи</x:v>
      </x:c>
      <x:c r="D968" s="9" t="n">
        <x:v>8.7</x:v>
      </x:c>
      <x:c r="E968" s="8" t="n">
        <x:v>8373</x:v>
      </x:c>
      <x:c r="F968" s="8" t="n">
        <x:v>130</x:v>
      </x:c>
      <x:c r="G968" s="8" t="n">
        <x:v>131601</x:v>
      </x:c>
      <x:c r="H968" s="8" t="n">
        <x:v>150</x:v>
      </x:c>
      <x:c r="I968" s="8" t="n">
        <x:v>0</x:v>
      </x:c>
      <x:c r="J968" s="8" t="n">
        <x:v>183</x:v>
      </x:c>
      <x:c r="K968" s="8" t="n">
        <x:v>2441</x:v>
      </x:c>
      <x:c r="L968" s="1" t="str">
        <x:v>Нет</x:v>
      </x:c>
      <x:c r="M968" s="1" t="n">
        <x:v>175001</x:v>
      </x:c>
    </x:row>
    <x:row r="969">
      <x:c r="A969" s="1" t="str">
        <x:v>209640781</x:v>
      </x:c>
      <x:c r="B969" s="1" t="str">
        <x:v>futbolkaprint/Notmood-59/молочный</x:v>
      </x:c>
      <x:c r="C969" s="1" t="str">
        <x:v>Футболки</x:v>
      </x:c>
      <x:c r="D969" s="9" t="n">
        <x:v>8.7</x:v>
      </x:c>
      <x:c r="E969" s="8" t="n">
        <x:v>27929</x:v>
      </x:c>
      <x:c r="F969" s="8" t="n">
        <x:v>227</x:v>
      </x:c>
      <x:c r="G969" s="8" t="n">
        <x:v>129980</x:v>
      </x:c>
      <x:c r="H969" s="8" t="n">
        <x:v>0</x:v>
      </x:c>
      <x:c r="I969" s="8" t="n">
        <x:v>0</x:v>
      </x:c>
      <x:c r="J969" s="8" t="n">
        <x:v>253</x:v>
      </x:c>
      <x:c r="K969" s="8" t="n">
        <x:v>966</x:v>
      </x:c>
      <x:c r="L969" s="1" t="str">
        <x:v>Нет</x:v>
      </x:c>
      <x:c r="M969" s="1" t="n">
        <x:v>169822</x:v>
      </x:c>
    </x:row>
    <x:row r="970">
      <x:c r="A970" s="1" t="str">
        <x:v>202409715</x:v>
      </x:c>
      <x:c r="B970" s="1" t="str">
        <x:v>hudiprint/Chic-55/песочный</x:v>
      </x:c>
      <x:c r="C970" s="1" t="str">
        <x:v>Худи</x:v>
      </x:c>
      <x:c r="D970" s="9" t="n">
        <x:v>9.7</x:v>
      </x:c>
      <x:c r="E970" s="8" t="n">
        <x:v>25325</x:v>
      </x:c>
      <x:c r="F970" s="8" t="n">
        <x:v>153</x:v>
      </x:c>
      <x:c r="G970" s="8" t="n">
        <x:v>128711</x:v>
      </x:c>
      <x:c r="H970" s="8" t="n">
        <x:v>812</x:v>
      </x:c>
      <x:c r="I970" s="8" t="n">
        <x:v>0</x:v>
      </x:c>
      <x:c r="J970" s="8" t="n">
        <x:v>189</x:v>
      </x:c>
      <x:c r="K970" s="8" t="n">
        <x:v>2188</x:v>
      </x:c>
      <x:c r="L970" s="1" t="str">
        <x:v>Нет</x:v>
      </x:c>
      <x:c r="M970" s="1" t="n">
        <x:v>181650</x:v>
      </x:c>
    </x:row>
    <x:row r="971">
      <x:c r="A971" s="1" t="str">
        <x:v>332680052</x:v>
      </x:c>
      <x:c r="B971" s="1" t="str">
        <x:v>vshirt3K-99/серый</x:v>
      </x:c>
      <x:c r="C971" s="1" t="str">
        <x:v>Футболки</x:v>
      </x:c>
      <x:c r="D971" s="9" t="n">
        <x:v>8.2</x:v>
      </x:c>
      <x:c r="E971" s="8" t="n">
        <x:v>58102</x:v>
      </x:c>
      <x:c r="F971" s="8" t="n">
        <x:v>460</x:v>
      </x:c>
      <x:c r="G971" s="8" t="n">
        <x:v>128218</x:v>
      </x:c>
      <x:c r="H971" s="8" t="n">
        <x:v>172</x:v>
      </x:c>
      <x:c r="I971" s="8" t="n">
        <x:v>0</x:v>
      </x:c>
      <x:c r="J971" s="8" t="n">
        <x:v>0</x:v>
      </x:c>
      <x:c r="K971" s="8" t="n">
        <x:v>676</x:v>
      </x:c>
      <x:c r="L971" s="1" t="str">
        <x:v>Нет</x:v>
      </x:c>
      <x:c r="M971" s="1" t="n">
        <x:v>0</x:v>
      </x:c>
    </x:row>
    <x:row r="972">
      <x:c r="A972" s="1" t="str">
        <x:v>209915066</x:v>
      </x:c>
      <x:c r="B972" s="1" t="str">
        <x:v>longsvobod/какао</x:v>
      </x:c>
      <x:c r="C972" s="1" t="str">
        <x:v>Лонгсливы</x:v>
      </x:c>
      <x:c r="D972" s="9" t="n">
        <x:v>7.2</x:v>
      </x:c>
      <x:c r="E972" s="8" t="n">
        <x:v>28236</x:v>
      </x:c>
      <x:c r="F972" s="8" t="n">
        <x:v>257</x:v>
      </x:c>
      <x:c r="G972" s="8" t="n">
        <x:v>128194</x:v>
      </x:c>
      <x:c r="H972" s="8" t="n">
        <x:v>7</x:v>
      </x:c>
      <x:c r="I972" s="8" t="n">
        <x:v>0</x:v>
      </x:c>
      <x:c r="J972" s="8" t="n">
        <x:v>436</x:v>
      </x:c>
      <x:c r="K972" s="8" t="n">
        <x:v>1199</x:v>
      </x:c>
      <x:c r="L972" s="1" t="str">
        <x:v>Нет</x:v>
      </x:c>
      <x:c r="M972" s="1" t="n">
        <x:v>209427</x:v>
      </x:c>
    </x:row>
    <x:row r="973">
      <x:c r="A973" s="1" t="str">
        <x:v>221201511</x:v>
      </x:c>
      <x:c r="B973" s="1" t="str">
        <x:v>kulirkamanprint/Explorer-125/белый</x:v>
      </x:c>
      <x:c r="C973" s="1" t="str">
        <x:v>Футболки</x:v>
      </x:c>
      <x:c r="D973" s="9" t="n">
        <x:v>8.7</x:v>
      </x:c>
      <x:c r="E973" s="8" t="n">
        <x:v>16554</x:v>
      </x:c>
      <x:c r="F973" s="8" t="n">
        <x:v>217</x:v>
      </x:c>
      <x:c r="G973" s="8" t="n">
        <x:v>127873</x:v>
      </x:c>
      <x:c r="H973" s="8" t="n">
        <x:v>2</x:v>
      </x:c>
      <x:c r="I973" s="8" t="n">
        <x:v>0</x:v>
      </x:c>
      <x:c r="J973" s="8" t="n">
        <x:v>808</x:v>
      </x:c>
      <x:c r="K973" s="8" t="n">
        <x:v>1214</x:v>
      </x:c>
      <x:c r="L973" s="1" t="str">
        <x:v>Нет</x:v>
      </x:c>
      <x:c r="M973" s="1" t="n">
        <x:v>515625</x:v>
      </x:c>
    </x:row>
    <x:row r="974">
      <x:c r="A974" s="1" t="str">
        <x:v>251781135</x:v>
      </x:c>
      <x:c r="B974" s="1" t="str">
        <x:v>hudimanprint/Error-186/темно-серый</x:v>
      </x:c>
      <x:c r="C974" s="1" t="str">
        <x:v>Худи</x:v>
      </x:c>
      <x:c r="D974" s="9" t="n">
        <x:v>8.7</x:v>
      </x:c>
      <x:c r="E974" s="8" t="n">
        <x:v>9077</x:v>
      </x:c>
      <x:c r="F974" s="8" t="n">
        <x:v>127</x:v>
      </x:c>
      <x:c r="G974" s="8" t="n">
        <x:v>127856</x:v>
      </x:c>
      <x:c r="H974" s="8" t="n">
        <x:v>67</x:v>
      </x:c>
      <x:c r="I974" s="8" t="n">
        <x:v>0</x:v>
      </x:c>
      <x:c r="J974" s="8" t="n">
        <x:v>215</x:v>
      </x:c>
      <x:c r="K974" s="8" t="n">
        <x:v>2415</x:v>
      </x:c>
      <x:c r="L974" s="1" t="str">
        <x:v>Нет</x:v>
      </x:c>
      <x:c r="M974" s="1" t="n">
        <x:v>264601</x:v>
      </x:c>
    </x:row>
    <x:row r="975">
      <x:c r="A975" s="1" t="str">
        <x:v>242485152</x:v>
      </x:c>
      <x:c r="B975" s="1" t="str">
        <x:v>bomber/черный</x:v>
      </x:c>
      <x:c r="C975" s="1" t="str">
        <x:v>Худи</x:v>
      </x:c>
      <x:c r="D975" s="9" t="n">
        <x:v>8.7</x:v>
      </x:c>
      <x:c r="E975" s="8" t="n">
        <x:v>25637</x:v>
      </x:c>
      <x:c r="F975" s="8" t="n">
        <x:v>91</x:v>
      </x:c>
      <x:c r="G975" s="8" t="n">
        <x:v>127586</x:v>
      </x:c>
      <x:c r="H975" s="8" t="n">
        <x:v>165</x:v>
      </x:c>
      <x:c r="I975" s="8" t="n">
        <x:v>0</x:v>
      </x:c>
      <x:c r="J975" s="8" t="n">
        <x:v>0</x:v>
      </x:c>
      <x:c r="K975" s="8" t="n">
        <x:v>2892</x:v>
      </x:c>
      <x:c r="L975" s="1" t="str">
        <x:v>Нет</x:v>
      </x:c>
      <x:c r="M975" s="1" t="n">
        <x:v>0</x:v>
      </x:c>
    </x:row>
    <x:row r="976">
      <x:c r="A976" s="1" t="str">
        <x:v>322329520</x:v>
      </x:c>
      <x:c r="B976" s="1" t="str">
        <x:v>hudipetl/коричневый</x:v>
      </x:c>
      <x:c r="C976" s="1" t="str">
        <x:v>Худи</x:v>
      </x:c>
      <x:c r="D976" s="9" t="n">
        <x:v>8.7</x:v>
      </x:c>
      <x:c r="E976" s="8" t="n">
        <x:v>11737</x:v>
      </x:c>
      <x:c r="F976" s="8" t="n">
        <x:v>137</x:v>
      </x:c>
      <x:c r="G976" s="8" t="n">
        <x:v>127410</x:v>
      </x:c>
      <x:c r="H976" s="8" t="n">
        <x:v>0</x:v>
      </x:c>
      <x:c r="I976" s="8" t="n">
        <x:v>0</x:v>
      </x:c>
      <x:c r="J976" s="8" t="n">
        <x:v>0</x:v>
      </x:c>
      <x:c r="K976" s="8" t="n">
        <x:v>2265</x:v>
      </x:c>
      <x:c r="L976" s="1" t="str">
        <x:v>Нет</x:v>
      </x:c>
      <x:c r="M976" s="1" t="n">
        <x:v>0</x:v>
      </x:c>
    </x:row>
    <x:row r="977">
      <x:c r="A977" s="1" t="str">
        <x:v>246363090</x:v>
      </x:c>
      <x:c r="B977" s="1" t="str">
        <x:v>tolstovkazipcrop/милка</x:v>
      </x:c>
      <x:c r="C977" s="1" t="str">
        <x:v>Худи</x:v>
      </x:c>
      <x:c r="D977" s="9" t="n">
        <x:v>9.7</x:v>
      </x:c>
      <x:c r="E977" s="8" t="n">
        <x:v>19513</x:v>
      </x:c>
      <x:c r="F977" s="8" t="n">
        <x:v>140</x:v>
      </x:c>
      <x:c r="G977" s="8" t="n">
        <x:v>127239</x:v>
      </x:c>
      <x:c r="H977" s="8" t="n">
        <x:v>315</x:v>
      </x:c>
      <x:c r="I977" s="8" t="n">
        <x:v>0</x:v>
      </x:c>
      <x:c r="J977" s="8" t="n">
        <x:v>120</x:v>
      </x:c>
      <x:c r="K977" s="8" t="n">
        <x:v>2050</x:v>
      </x:c>
      <x:c r="L977" s="1" t="str">
        <x:v>Нет</x:v>
      </x:c>
      <x:c r="M977" s="1" t="n">
        <x:v>126558</x:v>
      </x:c>
    </x:row>
    <x:row r="978">
      <x:c r="A978" s="1" t="str">
        <x:v>266718697</x:v>
      </x:c>
      <x:c r="B978" s="1" t="str">
        <x:v>hudimanprint/KEEP-MOVING-222/черный</x:v>
      </x:c>
      <x:c r="C978" s="1" t="str">
        <x:v>Худи</x:v>
      </x:c>
      <x:c r="D978" s="9" t="n">
        <x:v>8.7</x:v>
      </x:c>
      <x:c r="E978" s="8" t="n">
        <x:v>9752</x:v>
      </x:c>
      <x:c r="F978" s="8" t="n">
        <x:v>129</x:v>
      </x:c>
      <x:c r="G978" s="8" t="n">
        <x:v>127230</x:v>
      </x:c>
      <x:c r="H978" s="8" t="n">
        <x:v>130</x:v>
      </x:c>
      <x:c r="I978" s="8" t="n">
        <x:v>0</x:v>
      </x:c>
      <x:c r="J978" s="8" t="n">
        <x:v>170</x:v>
      </x:c>
      <x:c r="K978" s="8" t="n">
        <x:v>2328</x:v>
      </x:c>
      <x:c r="L978" s="1" t="str">
        <x:v>Нет</x:v>
      </x:c>
      <x:c r="M978" s="1" t="n">
        <x:v>200250</x:v>
      </x:c>
    </x:row>
    <x:row r="979">
      <x:c r="A979" s="1" t="str">
        <x:v>280030829</x:v>
      </x:c>
      <x:c r="B979" s="1" t="str">
        <x:v>svitshotzipman2/дымка</x:v>
      </x:c>
      <x:c r="C979" s="1" t="str">
        <x:v>Свитшоты</x:v>
      </x:c>
      <x:c r="D979" s="9" t="n">
        <x:v>9.7</x:v>
      </x:c>
      <x:c r="E979" s="8" t="n">
        <x:v>17786</x:v>
      </x:c>
      <x:c r="F979" s="8" t="n">
        <x:v>119</x:v>
      </x:c>
      <x:c r="G979" s="8" t="n">
        <x:v>127149</x:v>
      </x:c>
      <x:c r="H979" s="8" t="n">
        <x:v>1</x:v>
      </x:c>
      <x:c r="I979" s="8" t="n">
        <x:v>0</x:v>
      </x:c>
      <x:c r="J979" s="8" t="n">
        <x:v>210</x:v>
      </x:c>
      <x:c r="K979" s="8" t="n">
        <x:v>2432</x:v>
      </x:c>
      <x:c r="L979" s="1" t="str">
        <x:v>Нет</x:v>
      </x:c>
      <x:c r="M979" s="1" t="n">
        <x:v>206400</x:v>
      </x:c>
    </x:row>
    <x:row r="980">
      <x:c r="A980" s="1" t="str">
        <x:v>168141904</x:v>
      </x:c>
      <x:c r="B980" s="1" t="str">
        <x:v>bruki/морскаяволна</x:v>
      </x:c>
      <x:c r="C980" s="1" t="str">
        <x:v>Брюки</x:v>
      </x:c>
      <x:c r="D980" s="9" t="n">
        <x:v>9.7</x:v>
      </x:c>
      <x:c r="E980" s="8" t="n">
        <x:v>8627</x:v>
      </x:c>
      <x:c r="F980" s="8" t="n">
        <x:v>173</x:v>
      </x:c>
      <x:c r="G980" s="8" t="n">
        <x:v>127067</x:v>
      </x:c>
      <x:c r="H980" s="8" t="n">
        <x:v>828</x:v>
      </x:c>
      <x:c r="I980" s="8" t="n">
        <x:v>0</x:v>
      </x:c>
      <x:c r="J980" s="8" t="n">
        <x:v>223</x:v>
      </x:c>
      <x:c r="K980" s="8" t="n">
        <x:v>2197</x:v>
      </x:c>
      <x:c r="L980" s="1" t="str">
        <x:v>Нет</x:v>
      </x:c>
      <x:c r="M980" s="1" t="n">
        <x:v>239135</x:v>
      </x:c>
    </x:row>
    <x:row r="981">
      <x:c r="A981" s="1" t="str">
        <x:v>283026228</x:v>
      </x:c>
      <x:c r="B981" s="1" t="str">
        <x:v>sweatervyaz/молочный</x:v>
      </x:c>
      <x:c r="C981" s="1" t="str">
        <x:v>Свитеры</x:v>
      </x:c>
      <x:c r="D981" s="9" t="n">
        <x:v>8.7</x:v>
      </x:c>
      <x:c r="E981" s="8" t="n">
        <x:v>21778</x:v>
      </x:c>
      <x:c r="F981" s="8" t="n">
        <x:v>160</x:v>
      </x:c>
      <x:c r="G981" s="8" t="n">
        <x:v>126956</x:v>
      </x:c>
      <x:c r="H981" s="8" t="n">
        <x:v>286</x:v>
      </x:c>
      <x:c r="I981" s="8" t="n">
        <x:v>0</x:v>
      </x:c>
      <x:c r="J981" s="8" t="n">
        <x:v>276</x:v>
      </x:c>
      <x:c r="K981" s="8" t="n">
        <x:v>2279</x:v>
      </x:c>
      <x:c r="L981" s="1" t="str">
        <x:v>Нет</x:v>
      </x:c>
      <x:c r="M981" s="1" t="n">
        <x:v>235200</x:v>
      </x:c>
    </x:row>
    <x:row r="982">
      <x:c r="A982" s="1" t="str">
        <x:v>320423131</x:v>
      </x:c>
      <x:c r="B982" s="1" t="str">
        <x:v>shtanyfix/темно-синий</x:v>
      </x:c>
      <x:c r="C982" s="1" t="str">
        <x:v>Брюки</x:v>
      </x:c>
      <x:c r="D982" s="9" t="n">
        <x:v>8.2</x:v>
      </x:c>
      <x:c r="E982" s="8" t="n">
        <x:v>18851</x:v>
      </x:c>
      <x:c r="F982" s="8" t="n">
        <x:v>249</x:v>
      </x:c>
      <x:c r="G982" s="8" t="n">
        <x:v>125995</x:v>
      </x:c>
      <x:c r="H982" s="8" t="n">
        <x:v>21</x:v>
      </x:c>
      <x:c r="I982" s="8" t="n">
        <x:v>0</x:v>
      </x:c>
      <x:c r="J982" s="8" t="n">
        <x:v>0</x:v>
      </x:c>
      <x:c r="K982" s="8" t="n">
        <x:v>2519</x:v>
      </x:c>
      <x:c r="L982" s="1" t="str">
        <x:v>Нет</x:v>
      </x:c>
      <x:c r="M982" s="1" t="n">
        <x:v>0</x:v>
      </x:c>
    </x:row>
    <x:row r="983">
      <x:c r="A983" s="1" t="str">
        <x:v>171386752</x:v>
      </x:c>
      <x:c r="B983" s="1" t="str">
        <x:v>bruki/белый</x:v>
      </x:c>
      <x:c r="C983" s="1" t="str">
        <x:v>Брюки</x:v>
      </x:c>
      <x:c r="D983" s="9" t="n">
        <x:v>9.7</x:v>
      </x:c>
      <x:c r="E983" s="8" t="n">
        <x:v>15773</x:v>
      </x:c>
      <x:c r="F983" s="8" t="n">
        <x:v>325</x:v>
      </x:c>
      <x:c r="G983" s="8" t="n">
        <x:v>125722</x:v>
      </x:c>
      <x:c r="H983" s="8" t="n">
        <x:v>148</x:v>
      </x:c>
      <x:c r="I983" s="8" t="n">
        <x:v>0</x:v>
      </x:c>
      <x:c r="J983" s="8" t="n">
        <x:v>541</x:v>
      </x:c>
      <x:c r="K983" s="8" t="n">
        <x:v>2339</x:v>
      </x:c>
      <x:c r="L983" s="1" t="str">
        <x:v>Нет</x:v>
      </x:c>
      <x:c r="M983" s="1" t="n">
        <x:v>286505</x:v>
      </x:c>
    </x:row>
    <x:row r="984">
      <x:c r="A984" s="1" t="str">
        <x:v>344398597</x:v>
      </x:c>
      <x:c r="B984" s="1" t="str">
        <x:v>malyshkabasic/бордовый</x:v>
      </x:c>
      <x:c r="C984" s="1" t="str">
        <x:v>Футболки</x:v>
      </x:c>
      <x:c r="D984" s="9" t="n">
        <x:v>7.9</x:v>
      </x:c>
      <x:c r="E984" s="8" t="n">
        <x:v>50943</x:v>
      </x:c>
      <x:c r="F984" s="8" t="n">
        <x:v>371</x:v>
      </x:c>
      <x:c r="G984" s="8" t="n">
        <x:v>125646</x:v>
      </x:c>
      <x:c r="H984" s="8" t="n">
        <x:v>448</x:v>
      </x:c>
      <x:c r="I984" s="8" t="n">
        <x:v>0</x:v>
      </x:c>
      <x:c r="J984" s="8" t="n">
        <x:v>0</x:v>
      </x:c>
      <x:c r="K984" s="8" t="n">
        <x:v>746</x:v>
      </x:c>
      <x:c r="L984" s="1" t="str">
        <x:v>Нет</x:v>
      </x:c>
      <x:c r="M984" s="1" t="n">
        <x:v>0</x:v>
      </x:c>
    </x:row>
    <x:row r="985">
      <x:c r="A985" s="1" t="str">
        <x:v>323193111</x:v>
      </x:c>
      <x:c r="B985" s="1" t="str">
        <x:v>polowoman3K-89/белый</x:v>
      </x:c>
      <x:c r="C985" s="1" t="str">
        <x:v>Футболки</x:v>
      </x:c>
      <x:c r="D985" s="9" t="n">
        <x:v>8.7</x:v>
      </x:c>
      <x:c r="E985" s="8" t="n">
        <x:v>24585</x:v>
      </x:c>
      <x:c r="F985" s="8" t="n">
        <x:v>247</x:v>
      </x:c>
      <x:c r="G985" s="8" t="n">
        <x:v>125519</x:v>
      </x:c>
      <x:c r="H985" s="8" t="n">
        <x:v>192</x:v>
      </x:c>
      <x:c r="I985" s="8" t="n">
        <x:v>0</x:v>
      </x:c>
      <x:c r="J985" s="8" t="n">
        <x:v>35</x:v>
      </x:c>
      <x:c r="K985" s="8" t="n">
        <x:v>1226</x:v>
      </x:c>
      <x:c r="L985" s="1" t="str">
        <x:v>Нет</x:v>
      </x:c>
      <x:c r="M985" s="1" t="n">
        <x:v>23040</x:v>
      </x:c>
    </x:row>
    <x:row r="986">
      <x:c r="A986" s="1" t="str">
        <x:v>344184281</x:v>
      </x:c>
      <x:c r="B986" s="1" t="str">
        <x:v>longslim3К-81/розовый</x:v>
      </x:c>
      <x:c r="C986" s="1" t="str">
        <x:v>Лонгсливы</x:v>
      </x:c>
      <x:c r="D986" s="9" t="n">
        <x:v>8.7</x:v>
      </x:c>
      <x:c r="E986" s="8" t="n">
        <x:v>22609</x:v>
      </x:c>
      <x:c r="F986" s="8" t="n">
        <x:v>465</x:v>
      </x:c>
      <x:c r="G986" s="8" t="n">
        <x:v>125200</x:v>
      </x:c>
      <x:c r="H986" s="8" t="n">
        <x:v>1</x:v>
      </x:c>
      <x:c r="I986" s="8" t="n">
        <x:v>0</x:v>
      </x:c>
      <x:c r="J986" s="8" t="n">
        <x:v>0</x:v>
      </x:c>
      <x:c r="K986" s="8" t="n">
        <x:v>919</x:v>
      </x:c>
      <x:c r="L986" s="1" t="str">
        <x:v>Нет</x:v>
      </x:c>
      <x:c r="M986" s="1" t="n">
        <x:v>0</x:v>
      </x:c>
    </x:row>
    <x:row r="987">
      <x:c r="A987" s="1" t="str">
        <x:v>220090374</x:v>
      </x:c>
      <x:c r="B987" s="1" t="str">
        <x:v>tolstovkazipcrop/голубой</x:v>
      </x:c>
      <x:c r="C987" s="1" t="str">
        <x:v>Худи</x:v>
      </x:c>
      <x:c r="D987" s="9" t="n">
        <x:v>7.7</x:v>
      </x:c>
      <x:c r="E987" s="8" t="n">
        <x:v>18499</x:v>
      </x:c>
      <x:c r="F987" s="8" t="n">
        <x:v>101</x:v>
      </x:c>
      <x:c r="G987" s="8" t="n">
        <x:v>124557</x:v>
      </x:c>
      <x:c r="H987" s="8" t="n">
        <x:v>167</x:v>
      </x:c>
      <x:c r="I987" s="8" t="n">
        <x:v>0</x:v>
      </x:c>
      <x:c r="J987" s="8" t="n">
        <x:v>506</x:v>
      </x:c>
      <x:c r="K987" s="8" t="n">
        <x:v>2892</x:v>
      </x:c>
      <x:c r="L987" s="1" t="str">
        <x:v>Нет</x:v>
      </x:c>
      <x:c r="M987" s="1" t="n">
        <x:v>511743</x:v>
      </x:c>
    </x:row>
    <x:row r="988">
      <x:c r="A988" s="1" t="str">
        <x:v>168141901</x:v>
      </x:c>
      <x:c r="B988" s="1" t="str">
        <x:v>bruki/синий</x:v>
      </x:c>
      <x:c r="C988" s="1" t="str">
        <x:v>Брюки</x:v>
      </x:c>
      <x:c r="D988" s="9" t="n">
        <x:v>9.7</x:v>
      </x:c>
      <x:c r="E988" s="8" t="n">
        <x:v>7757</x:v>
      </x:c>
      <x:c r="F988" s="8" t="n">
        <x:v>222</x:v>
      </x:c>
      <x:c r="G988" s="8" t="n">
        <x:v>123882</x:v>
      </x:c>
      <x:c r="H988" s="8" t="n">
        <x:v>365</x:v>
      </x:c>
      <x:c r="I988" s="8" t="n">
        <x:v>0</x:v>
      </x:c>
      <x:c r="J988" s="8" t="n">
        <x:v>332</x:v>
      </x:c>
      <x:c r="K988" s="8" t="n">
        <x:v>2130</x:v>
      </x:c>
      <x:c r="L988" s="1" t="str">
        <x:v>Нет</x:v>
      </x:c>
      <x:c r="M988" s="1" t="n">
        <x:v>250360</x:v>
      </x:c>
    </x:row>
    <x:row r="989">
      <x:c r="A989" s="1" t="str">
        <x:v>313770740</x:v>
      </x:c>
      <x:c r="B989" s="1" t="str">
        <x:v>futbolkagirl/молочный</x:v>
      </x:c>
      <x:c r="C989" s="1" t="str">
        <x:v>Футболки</x:v>
      </x:c>
      <x:c r="D989" s="9" t="n">
        <x:v>10</x:v>
      </x:c>
      <x:c r="E989" s="8" t="n">
        <x:v>33305</x:v>
      </x:c>
      <x:c r="F989" s="8" t="n">
        <x:v>445</x:v>
      </x:c>
      <x:c r="G989" s="8" t="n">
        <x:v>123875</x:v>
      </x:c>
      <x:c r="H989" s="8" t="n">
        <x:v>625</x:v>
      </x:c>
      <x:c r="I989" s="8" t="n">
        <x:v>0</x:v>
      </x:c>
      <x:c r="J989" s="8" t="n">
        <x:v>642</x:v>
      </x:c>
      <x:c r="K989" s="8" t="n">
        <x:v>493</x:v>
      </x:c>
      <x:c r="L989" s="1" t="str">
        <x:v>Нет</x:v>
      </x:c>
      <x:c r="M989" s="1" t="n">
        <x:v>256187</x:v>
      </x:c>
    </x:row>
    <x:row r="990">
      <x:c r="A990" s="1" t="str">
        <x:v>193097655</x:v>
      </x:c>
      <x:c r="B990" s="1" t="str">
        <x:v>svitshotzip1/белый</x:v>
      </x:c>
      <x:c r="C990" s="1" t="str">
        <x:v>Свитшоты</x:v>
      </x:c>
      <x:c r="D990" s="9" t="n">
        <x:v>9.7</x:v>
      </x:c>
      <x:c r="E990" s="8" t="n">
        <x:v>14060</x:v>
      </x:c>
      <x:c r="F990" s="8" t="n">
        <x:v>192</x:v>
      </x:c>
      <x:c r="G990" s="8" t="n">
        <x:v>123484</x:v>
      </x:c>
      <x:c r="H990" s="8" t="n">
        <x:v>404</x:v>
      </x:c>
      <x:c r="I990" s="8" t="n">
        <x:v>0</x:v>
      </x:c>
      <x:c r="J990" s="8" t="n">
        <x:v>324</x:v>
      </x:c>
      <x:c r="K990" s="8" t="n">
        <x:v>2328</x:v>
      </x:c>
      <x:c r="L990" s="1" t="str">
        <x:v>Нет</x:v>
      </x:c>
      <x:c r="M990" s="1" t="n">
        <x:v>254902</x:v>
      </x:c>
    </x:row>
    <x:row r="991">
      <x:c r="A991" s="1" t="str">
        <x:v>332418839</x:v>
      </x:c>
      <x:c r="B991" s="1" t="str">
        <x:v>top/какао</x:v>
      </x:c>
      <x:c r="C991" s="1" t="str">
        <x:v>Топы</x:v>
      </x:c>
      <x:c r="D991" s="9" t="n">
        <x:v>8.7</x:v>
      </x:c>
      <x:c r="E991" s="8" t="n">
        <x:v>32530</x:v>
      </x:c>
      <x:c r="F991" s="8" t="n">
        <x:v>422</x:v>
      </x:c>
      <x:c r="G991" s="8" t="n">
        <x:v>122951</x:v>
      </x:c>
      <x:c r="H991" s="8" t="n">
        <x:v>110</x:v>
      </x:c>
      <x:c r="I991" s="8" t="n">
        <x:v>0</x:v>
      </x:c>
      <x:c r="J991" s="8" t="n">
        <x:v>13</x:v>
      </x:c>
      <x:c r="K991" s="8" t="n">
        <x:v>659</x:v>
      </x:c>
      <x:c r="L991" s="1" t="str">
        <x:v>Нет</x:v>
      </x:c>
      <x:c r="M991" s="1" t="n">
        <x:v>3500</x:v>
      </x:c>
    </x:row>
    <x:row r="992">
      <x:c r="A992" s="1" t="str">
        <x:v>313770753</x:v>
      </x:c>
      <x:c r="B992" s="1" t="str">
        <x:v>futbolkagirl/зелено-серый</x:v>
      </x:c>
      <x:c r="C992" s="1" t="str">
        <x:v>Футболки</x:v>
      </x:c>
      <x:c r="D992" s="9" t="n">
        <x:v>10</x:v>
      </x:c>
      <x:c r="E992" s="8" t="n">
        <x:v>25962</x:v>
      </x:c>
      <x:c r="F992" s="8" t="n">
        <x:v>368</x:v>
      </x:c>
      <x:c r="G992" s="8" t="n">
        <x:v>122796</x:v>
      </x:c>
      <x:c r="H992" s="8" t="n">
        <x:v>275</x:v>
      </x:c>
      <x:c r="I992" s="8" t="n">
        <x:v>0</x:v>
      </x:c>
      <x:c r="J992" s="8" t="n">
        <x:v>121</x:v>
      </x:c>
      <x:c r="K992" s="8" t="n">
        <x:v>485</x:v>
      </x:c>
      <x:c r="L992" s="1" t="str">
        <x:v>Нет</x:v>
      </x:c>
      <x:c r="M992" s="1" t="n">
        <x:v>44640</x:v>
      </x:c>
    </x:row>
    <x:row r="993">
      <x:c r="A993" s="1" t="str">
        <x:v>320424591</x:v>
      </x:c>
      <x:c r="B993" s="1" t="str">
        <x:v>brukizshp3P-S-1/темно-синий</x:v>
      </x:c>
      <x:c r="C993" s="1" t="str">
        <x:v>Брюки</x:v>
      </x:c>
      <x:c r="D993" s="9" t="n">
        <x:v>8.4</x:v>
      </x:c>
      <x:c r="E993" s="8" t="n">
        <x:v>30150</x:v>
      </x:c>
      <x:c r="F993" s="8" t="n">
        <x:v>189</x:v>
      </x:c>
      <x:c r="G993" s="8" t="n">
        <x:v>122638</x:v>
      </x:c>
      <x:c r="H993" s="8" t="n">
        <x:v>231</x:v>
      </x:c>
      <x:c r="I993" s="8" t="n">
        <x:v>0</x:v>
      </x:c>
      <x:c r="J993" s="8" t="n">
        <x:v>31</x:v>
      </x:c>
      <x:c r="K993" s="8" t="n">
        <x:v>3058</x:v>
      </x:c>
      <x:c r="L993" s="1" t="str">
        <x:v>Нет</x:v>
      </x:c>
      <x:c r="M993" s="1" t="n">
        <x:v>9000</x:v>
      </x:c>
    </x:row>
    <x:row r="994">
      <x:c r="A994" s="1" t="str">
        <x:v>314822398</x:v>
      </x:c>
      <x:c r="B994" s="1" t="str">
        <x:v>2Nitkalong3D-76print/Elysees-242/молочный</x:v>
      </x:c>
      <x:c r="C994" s="1" t="str">
        <x:v>Лонгсливы</x:v>
      </x:c>
      <x:c r="D994" s="9" t="n">
        <x:v>8.7</x:v>
      </x:c>
      <x:c r="E994" s="8" t="n">
        <x:v>12008</x:v>
      </x:c>
      <x:c r="F994" s="8" t="n">
        <x:v>221</x:v>
      </x:c>
      <x:c r="G994" s="8" t="n">
        <x:v>122187</x:v>
      </x:c>
      <x:c r="H994" s="8" t="n">
        <x:v>0</x:v>
      </x:c>
      <x:c r="I994" s="8" t="n">
        <x:v>0</x:v>
      </x:c>
      <x:c r="J994" s="8" t="n">
        <x:v>450</x:v>
      </x:c>
      <x:c r="K994" s="8" t="n">
        <x:v>1470</x:v>
      </x:c>
      <x:c r="L994" s="1" t="str">
        <x:v>Нет</x:v>
      </x:c>
      <x:c r="M994" s="1" t="n">
        <x:v>229095</x:v>
      </x:c>
    </x:row>
    <x:row r="995">
      <x:c r="A995" s="1" t="str">
        <x:v>181613188</x:v>
      </x:c>
      <x:c r="B995" s="1" t="str">
        <x:v>kostyum/мандариновый</x:v>
      </x:c>
      <x:c r="C995" s="1" t="str">
        <x:v>Костюмы спортивные</x:v>
      </x:c>
      <x:c r="D995" s="9" t="n">
        <x:v>8.7</x:v>
      </x:c>
      <x:c r="E995" s="8" t="n">
        <x:v>15054</x:v>
      </x:c>
      <x:c r="F995" s="8" t="n">
        <x:v>60</x:v>
      </x:c>
      <x:c r="G995" s="8" t="n">
        <x:v>121446</x:v>
      </x:c>
      <x:c r="H995" s="8" t="n">
        <x:v>301</x:v>
      </x:c>
      <x:c r="I995" s="8" t="n">
        <x:v>0</x:v>
      </x:c>
      <x:c r="J995" s="8" t="n">
        <x:v>89</x:v>
      </x:c>
      <x:c r="K995" s="8" t="n">
        <x:v>4316</x:v>
      </x:c>
      <x:c r="L995" s="1" t="str">
        <x:v>Нет</x:v>
      </x:c>
      <x:c r="M995" s="1" t="n">
        <x:v>161623</x:v>
      </x:c>
    </x:row>
    <x:row r="996">
      <x:c r="A996" s="1" t="str">
        <x:v>235988736</x:v>
      </x:c>
      <x:c r="B996" s="1" t="str">
        <x:v>brukipetl/темно-серый</x:v>
      </x:c>
      <x:c r="C996" s="1" t="str">
        <x:v>Брюки</x:v>
      </x:c>
      <x:c r="D996" s="9" t="n">
        <x:v>8.7</x:v>
      </x:c>
      <x:c r="E996" s="8" t="n">
        <x:v>10147</x:v>
      </x:c>
      <x:c r="F996" s="8" t="n">
        <x:v>193</x:v>
      </x:c>
      <x:c r="G996" s="8" t="n">
        <x:v>121210</x:v>
      </x:c>
      <x:c r="H996" s="8" t="n">
        <x:v>57</x:v>
      </x:c>
      <x:c r="I996" s="8" t="n">
        <x:v>0</x:v>
      </x:c>
      <x:c r="J996" s="8" t="n">
        <x:v>377</x:v>
      </x:c>
      <x:c r="K996" s="8" t="n">
        <x:v>2201</x:v>
      </x:c>
      <x:c r="L996" s="1" t="str">
        <x:v>Нет</x:v>
      </x:c>
      <x:c r="M996" s="1" t="n">
        <x:v>311360</x:v>
      </x:c>
    </x:row>
    <x:row r="997">
      <x:c r="A997" s="1" t="str">
        <x:v>215422749</x:v>
      </x:c>
      <x:c r="B997" s="1" t="str">
        <x:v>futbolkaprint/MICHIGAN-102/дымка</x:v>
      </x:c>
      <x:c r="C997" s="1" t="str">
        <x:v>Футболки</x:v>
      </x:c>
      <x:c r="D997" s="9" t="n">
        <x:v>7.7</x:v>
      </x:c>
      <x:c r="E997" s="8" t="n">
        <x:v>7859</x:v>
      </x:c>
      <x:c r="F997" s="8" t="n">
        <x:v>211</x:v>
      </x:c>
      <x:c r="G997" s="8" t="n">
        <x:v>121023</x:v>
      </x:c>
      <x:c r="H997" s="8" t="n">
        <x:v>226</x:v>
      </x:c>
      <x:c r="I997" s="8" t="n">
        <x:v>0</x:v>
      </x:c>
      <x:c r="J997" s="8" t="n">
        <x:v>471</x:v>
      </x:c>
      <x:c r="K997" s="8" t="n">
        <x:v>972</x:v>
      </x:c>
      <x:c r="L997" s="1" t="str">
        <x:v>Нет</x:v>
      </x:c>
      <x:c r="M997" s="1" t="n">
        <x:v>313000</x:v>
      </x:c>
    </x:row>
    <x:row r="998">
      <x:c r="A998" s="1" t="str">
        <x:v>217879607</x:v>
      </x:c>
      <x:c r="B998" s="1" t="str">
        <x:v>2NshortymanX2/чер-коф</x:v>
      </x:c>
      <x:c r="C998" s="1" t="str">
        <x:v>Шорты</x:v>
      </x:c>
      <x:c r="D998" s="9" t="n">
        <x:v>8.4</x:v>
      </x:c>
      <x:c r="E998" s="8" t="n">
        <x:v>6824</x:v>
      </x:c>
      <x:c r="F998" s="8" t="n">
        <x:v>161</x:v>
      </x:c>
      <x:c r="G998" s="8" t="n">
        <x:v>121000</x:v>
      </x:c>
      <x:c r="H998" s="8" t="n">
        <x:v>0</x:v>
      </x:c>
      <x:c r="I998" s="8" t="n">
        <x:v>0</x:v>
      </x:c>
      <x:c r="J998" s="8"/>
      <x:c r="K998" s="8" t="n">
        <x:v>1653</x:v>
      </x:c>
      <x:c r="L998" s="1" t="str">
        <x:v>Нет</x:v>
      </x:c>
      <x:c r="M998" s="1"/>
    </x:row>
    <x:row r="999">
      <x:c r="A999" s="1" t="str">
        <x:v>311462401</x:v>
      </x:c>
      <x:c r="B999" s="1" t="str">
        <x:v>brukimanpetl/коричневый</x:v>
      </x:c>
      <x:c r="C999" s="1" t="str">
        <x:v>Брюки</x:v>
      </x:c>
      <x:c r="D999" s="9" t="n">
        <x:v>8.7</x:v>
      </x:c>
      <x:c r="E999" s="8" t="n">
        <x:v>17465</x:v>
      </x:c>
      <x:c r="F999" s="8" t="n">
        <x:v>191</x:v>
      </x:c>
      <x:c r="G999" s="8" t="n">
        <x:v>120997</x:v>
      </x:c>
      <x:c r="H999" s="8" t="n">
        <x:v>1</x:v>
      </x:c>
      <x:c r="I999" s="8" t="n">
        <x:v>0</x:v>
      </x:c>
      <x:c r="J999" s="8" t="n">
        <x:v>266</x:v>
      </x:c>
      <x:c r="K999" s="8" t="n">
        <x:v>2612</x:v>
      </x:c>
      <x:c r="L999" s="1" t="str">
        <x:v>Нет</x:v>
      </x:c>
      <x:c r="M999" s="1" t="n">
        <x:v>209510</x:v>
      </x:c>
    </x:row>
    <x:row r="1000">
      <x:c r="A1000" s="1" t="str">
        <x:v>334783652</x:v>
      </x:c>
      <x:c r="B1000" s="1" t="str">
        <x:v>futbolkaprint/Single-291/черный</x:v>
      </x:c>
      <x:c r="C1000" s="1" t="str">
        <x:v>Футболки</x:v>
      </x:c>
      <x:c r="D1000" s="9" t="n">
        <x:v>9.7</x:v>
      </x:c>
      <x:c r="E1000" s="8" t="n">
        <x:v>61696</x:v>
      </x:c>
      <x:c r="F1000" s="8" t="n">
        <x:v>277</x:v>
      </x:c>
      <x:c r="G1000" s="8" t="n">
        <x:v>120893</x:v>
      </x:c>
      <x:c r="H1000" s="8" t="n">
        <x:v>592</x:v>
      </x:c>
      <x:c r="I1000" s="8" t="n">
        <x:v>0</x:v>
      </x:c>
      <x:c r="J1000" s="8" t="n">
        <x:v>0</x:v>
      </x:c>
      <x:c r="K1000" s="8" t="n">
        <x:v>1188</x:v>
      </x:c>
      <x:c r="L1000" s="1" t="str">
        <x:v>Нет</x:v>
      </x:c>
      <x:c r="M1000" s="1" t="n">
        <x:v>0</x:v>
      </x:c>
    </x:row>
    <x:row r="1001">
      <x:c r="A1001" s="1" t="str">
        <x:v>347537675</x:v>
      </x:c>
      <x:c r="B1001" s="1" t="str">
        <x:v>body3K-S-6/розовый</x:v>
      </x:c>
      <x:c r="C1001" s="1" t="str">
        <x:v>Блузки-боди</x:v>
      </x:c>
      <x:c r="D1001" s="9" t="n">
        <x:v>8.7</x:v>
      </x:c>
      <x:c r="E1001" s="8" t="n">
        <x:v>39637</x:v>
      </x:c>
      <x:c r="F1001" s="8" t="n">
        <x:v>378</x:v>
      </x:c>
      <x:c r="G1001" s="8" t="n">
        <x:v>120666</x:v>
      </x:c>
      <x:c r="H1001" s="8" t="n">
        <x:v>107</x:v>
      </x:c>
      <x:c r="I1001" s="8" t="n">
        <x:v>0</x:v>
      </x:c>
      <x:c r="J1001" s="8" t="n">
        <x:v>0</x:v>
      </x:c>
      <x:c r="K1001" s="8" t="n">
        <x:v>944</x:v>
      </x:c>
      <x:c r="L1001" s="1" t="str">
        <x:v>Нет</x:v>
      </x:c>
      <x:c r="M1001" s="1" t="n">
        <x:v>0</x:v>
      </x:c>
    </x:row>
    <x:row r="1002">
      <x:c r="A1002" s="1" t="str">
        <x:v>244782644</x:v>
      </x:c>
      <x:c r="B1002" s="1" t="str">
        <x:v>hudimanprint/NeverBlack-179/черный</x:v>
      </x:c>
      <x:c r="C1002" s="1" t="str">
        <x:v>Худи</x:v>
      </x:c>
      <x:c r="D1002" s="9" t="n">
        <x:v>8.7</x:v>
      </x:c>
      <x:c r="E1002" s="8" t="n">
        <x:v>7439</x:v>
      </x:c>
      <x:c r="F1002" s="8" t="n">
        <x:v>100</x:v>
      </x:c>
      <x:c r="G1002" s="8" t="n">
        <x:v>120401</x:v>
      </x:c>
      <x:c r="H1002" s="8" t="n">
        <x:v>10</x:v>
      </x:c>
      <x:c r="I1002" s="8" t="n">
        <x:v>0</x:v>
      </x:c>
      <x:c r="J1002" s="8" t="n">
        <x:v>322</x:v>
      </x:c>
      <x:c r="K1002" s="8" t="n">
        <x:v>2754</x:v>
      </x:c>
      <x:c r="L1002" s="1" t="str">
        <x:v>Нет</x:v>
      </x:c>
      <x:c r="M1002" s="1" t="n">
        <x:v>376478</x:v>
      </x:c>
    </x:row>
    <x:row r="1003">
      <x:c r="A1003" s="1" t="str">
        <x:v>314227601</x:v>
      </x:c>
      <x:c r="B1003" s="1" t="str">
        <x:v>kostyum/изумрудно-зеленый</x:v>
      </x:c>
      <x:c r="C1003" s="1" t="str">
        <x:v>Костюмы спортивные</x:v>
      </x:c>
      <x:c r="D1003" s="9" t="n">
        <x:v>8.7</x:v>
      </x:c>
      <x:c r="E1003" s="8" t="n">
        <x:v>19504</x:v>
      </x:c>
      <x:c r="F1003" s="8" t="n">
        <x:v>54</x:v>
      </x:c>
      <x:c r="G1003" s="8" t="n">
        <x:v>119733</x:v>
      </x:c>
      <x:c r="H1003" s="8" t="n">
        <x:v>262</x:v>
      </x:c>
      <x:c r="I1003" s="8" t="n">
        <x:v>0</x:v>
      </x:c>
      <x:c r="J1003" s="8" t="n">
        <x:v>93</x:v>
      </x:c>
      <x:c r="K1003" s="8" t="n">
        <x:v>5218</x:v>
      </x:c>
      <x:c r="L1003" s="1" t="str">
        <x:v>Нет</x:v>
      </x:c>
      <x:c r="M1003" s="1" t="n">
        <x:v>206700</x:v>
      </x:c>
    </x:row>
    <x:row r="1004">
      <x:c r="A1004" s="1" t="str">
        <x:v>295586341</x:v>
      </x:c>
      <x:c r="B1004" s="1" t="str">
        <x:v>hudiman2/серыймеланж2</x:v>
      </x:c>
      <x:c r="C1004" s="1" t="str">
        <x:v>Худи</x:v>
      </x:c>
      <x:c r="D1004" s="9" t="n">
        <x:v>8.7</x:v>
      </x:c>
      <x:c r="E1004" s="8" t="n">
        <x:v>10160</x:v>
      </x:c>
      <x:c r="F1004" s="8" t="n">
        <x:v>155</x:v>
      </x:c>
      <x:c r="G1004" s="8" t="n">
        <x:v>119049</x:v>
      </x:c>
      <x:c r="H1004" s="8" t="n">
        <x:v>114</x:v>
      </x:c>
      <x:c r="I1004" s="8" t="n">
        <x:v>0</x:v>
      </x:c>
      <x:c r="J1004" s="8" t="n">
        <x:v>199</x:v>
      </x:c>
      <x:c r="K1004" s="8" t="n">
        <x:v>2388</x:v>
      </x:c>
      <x:c r="L1004" s="1" t="str">
        <x:v>Нет</x:v>
      </x:c>
      <x:c r="M1004" s="1" t="n">
        <x:v>200000</x:v>
      </x:c>
    </x:row>
    <x:row r="1005">
      <x:c r="A1005" s="1" t="str">
        <x:v>237893880</x:v>
      </x:c>
      <x:c r="B1005" s="1" t="str">
        <x:v>svitzipcroppetl/песочный</x:v>
      </x:c>
      <x:c r="C1005" s="1" t="str">
        <x:v>Свитшоты</x:v>
      </x:c>
      <x:c r="D1005" s="9" t="n">
        <x:v>8.7</x:v>
      </x:c>
      <x:c r="E1005" s="8" t="n">
        <x:v>30727</x:v>
      </x:c>
      <x:c r="F1005" s="8" t="n">
        <x:v>196</x:v>
      </x:c>
      <x:c r="G1005" s="8" t="n">
        <x:v>118836</x:v>
      </x:c>
      <x:c r="H1005" s="8" t="n">
        <x:v>90</x:v>
      </x:c>
      <x:c r="I1005" s="8" t="n">
        <x:v>0</x:v>
      </x:c>
      <x:c r="J1005" s="8" t="n">
        <x:v>0</x:v>
      </x:c>
      <x:c r="K1005" s="8" t="n">
        <x:v>2384</x:v>
      </x:c>
      <x:c r="L1005" s="1" t="str">
        <x:v>Нет</x:v>
      </x:c>
      <x:c r="M1005" s="1" t="n">
        <x:v>0</x:v>
      </x:c>
    </x:row>
    <x:row r="1006">
      <x:c r="A1006" s="1" t="str">
        <x:v>202779218</x:v>
      </x:c>
      <x:c r="B1006" s="1" t="str">
        <x:v>hudiprint/Goodthinks-57/молочный</x:v>
      </x:c>
      <x:c r="C1006" s="1" t="str">
        <x:v>Худи</x:v>
      </x:c>
      <x:c r="D1006" s="9" t="n">
        <x:v>9.7</x:v>
      </x:c>
      <x:c r="E1006" s="8" t="n">
        <x:v>7964</x:v>
      </x:c>
      <x:c r="F1006" s="8" t="n">
        <x:v>93</x:v>
      </x:c>
      <x:c r="G1006" s="8" t="n">
        <x:v>118811</x:v>
      </x:c>
      <x:c r="H1006" s="8" t="n">
        <x:v>0</x:v>
      </x:c>
      <x:c r="I1006" s="8" t="n">
        <x:v>0</x:v>
      </x:c>
      <x:c r="J1006" s="8" t="n">
        <x:v>328</x:v>
      </x:c>
      <x:c r="K1006" s="8" t="n">
        <x:v>2322</x:v>
      </x:c>
      <x:c r="L1006" s="1" t="str">
        <x:v>Нет</x:v>
      </x:c>
      <x:c r="M1006" s="1" t="n">
        <x:v>402497</x:v>
      </x:c>
    </x:row>
    <x:row r="1007">
      <x:c r="A1007" s="1" t="str">
        <x:v>221519600</x:v>
      </x:c>
      <x:c r="B1007" s="1" t="str">
        <x:v>futbolkaover/персиковый</x:v>
      </x:c>
      <x:c r="C1007" s="1" t="str">
        <x:v>Футболки</x:v>
      </x:c>
      <x:c r="D1007" s="9" t="n">
        <x:v>9.7</x:v>
      </x:c>
      <x:c r="E1007" s="8" t="n">
        <x:v>43488</x:v>
      </x:c>
      <x:c r="F1007" s="8" t="n">
        <x:v>261</x:v>
      </x:c>
      <x:c r="G1007" s="8" t="n">
        <x:v>118752</x:v>
      </x:c>
      <x:c r="H1007" s="8" t="n">
        <x:v>43</x:v>
      </x:c>
      <x:c r="I1007" s="8" t="n">
        <x:v>0</x:v>
      </x:c>
      <x:c r="J1007" s="8" t="n">
        <x:v>198</x:v>
      </x:c>
      <x:c r="K1007" s="8" t="n">
        <x:v>864</x:v>
      </x:c>
      <x:c r="L1007" s="1" t="str">
        <x:v>Нет</x:v>
      </x:c>
      <x:c r="M1007" s="1" t="n">
        <x:v>84049</x:v>
      </x:c>
    </x:row>
    <x:row r="1008">
      <x:c r="A1008" s="1" t="str">
        <x:v>325064129</x:v>
      </x:c>
      <x:c r="B1008" s="1" t="str">
        <x:v>svitfix3F-77/коричневый</x:v>
      </x:c>
      <x:c r="C1008" s="1" t="str">
        <x:v>Свитшоты</x:v>
      </x:c>
      <x:c r="D1008" s="9" t="n">
        <x:v>8.7</x:v>
      </x:c>
      <x:c r="E1008" s="8" t="n">
        <x:v>12280</x:v>
      </x:c>
      <x:c r="F1008" s="8" t="n">
        <x:v>176</x:v>
      </x:c>
      <x:c r="G1008" s="8" t="n">
        <x:v>118733</x:v>
      </x:c>
      <x:c r="H1008" s="8" t="n">
        <x:v>1</x:v>
      </x:c>
      <x:c r="I1008" s="8" t="n">
        <x:v>0</x:v>
      </x:c>
      <x:c r="J1008" s="8" t="n">
        <x:v>0</x:v>
      </x:c>
      <x:c r="K1008" s="8" t="n">
        <x:v>2244</x:v>
      </x:c>
      <x:c r="L1008" s="1" t="str">
        <x:v>Нет</x:v>
      </x:c>
      <x:c r="M1008" s="1" t="n">
        <x:v>0</x:v>
      </x:c>
    </x:row>
    <x:row r="1009">
      <x:c r="A1009" s="1" t="str">
        <x:v>235988737</x:v>
      </x:c>
      <x:c r="B1009" s="1" t="str">
        <x:v>brukipetl/светло-розовый</x:v>
      </x:c>
      <x:c r="C1009" s="1" t="str">
        <x:v>Брюки</x:v>
      </x:c>
      <x:c r="D1009" s="9" t="n">
        <x:v>8.7</x:v>
      </x:c>
      <x:c r="E1009" s="8" t="n">
        <x:v>25686</x:v>
      </x:c>
      <x:c r="F1009" s="8" t="n">
        <x:v>276</x:v>
      </x:c>
      <x:c r="G1009" s="8" t="n">
        <x:v>118526</x:v>
      </x:c>
      <x:c r="H1009" s="8" t="n">
        <x:v>67</x:v>
      </x:c>
      <x:c r="I1009" s="8" t="n">
        <x:v>0</x:v>
      </x:c>
      <x:c r="J1009" s="8" t="n">
        <x:v>651</x:v>
      </x:c>
      <x:c r="K1009" s="8" t="n">
        <x:v>2777</x:v>
      </x:c>
      <x:c r="L1009" s="1" t="str">
        <x:v>Нет</x:v>
      </x:c>
      <x:c r="M1009" s="1" t="n">
        <x:v>463521</x:v>
      </x:c>
    </x:row>
    <x:row r="1010">
      <x:c r="A1010" s="1" t="str">
        <x:v>211855720</x:v>
      </x:c>
      <x:c r="B1010" s="1" t="str">
        <x:v>kulirkamanprint/CLFSD-79/молочный</x:v>
      </x:c>
      <x:c r="C1010" s="1" t="str">
        <x:v>Футболки</x:v>
      </x:c>
      <x:c r="D1010" s="9" t="n">
        <x:v>6.7</x:v>
      </x:c>
      <x:c r="E1010" s="8" t="n">
        <x:v>10567</x:v>
      </x:c>
      <x:c r="F1010" s="8" t="n">
        <x:v>231</x:v>
      </x:c>
      <x:c r="G1010" s="8" t="n">
        <x:v>118485</x:v>
      </x:c>
      <x:c r="H1010" s="8" t="n">
        <x:v>3</x:v>
      </x:c>
      <x:c r="I1010" s="8" t="n">
        <x:v>0</x:v>
      </x:c>
      <x:c r="J1010" s="8" t="n">
        <x:v>823</x:v>
      </x:c>
      <x:c r="K1010" s="8" t="n">
        <x:v>1137</x:v>
      </x:c>
      <x:c r="L1010" s="1" t="str">
        <x:v>Нет</x:v>
      </x:c>
      <x:c r="M1010" s="1" t="n">
        <x:v>473957</x:v>
      </x:c>
    </x:row>
    <x:row r="1011">
      <x:c r="A1011" s="1" t="str">
        <x:v>343341079</x:v>
      </x:c>
      <x:c r="B1011" s="1" t="str">
        <x:v>futbolkaprint/Stress-303/сине-морской</x:v>
      </x:c>
      <x:c r="C1011" s="1" t="str">
        <x:v>Футболки</x:v>
      </x:c>
      <x:c r="D1011" s="9" t="n">
        <x:v>9.7</x:v>
      </x:c>
      <x:c r="E1011" s="8" t="n">
        <x:v>50987</x:v>
      </x:c>
      <x:c r="F1011" s="8" t="n">
        <x:v>252</x:v>
      </x:c>
      <x:c r="G1011" s="8" t="n">
        <x:v>118162</x:v>
      </x:c>
      <x:c r="H1011" s="8" t="n">
        <x:v>1415</x:v>
      </x:c>
      <x:c r="I1011" s="8" t="n">
        <x:v>0</x:v>
      </x:c>
      <x:c r="J1011" s="8" t="n">
        <x:v>0</x:v>
      </x:c>
      <x:c r="K1011" s="8" t="n">
        <x:v>1217</x:v>
      </x:c>
      <x:c r="L1011" s="1" t="str">
        <x:v>Нет</x:v>
      </x:c>
      <x:c r="M1011" s="1" t="n">
        <x:v>0</x:v>
      </x:c>
    </x:row>
    <x:row r="1012">
      <x:c r="A1012" s="1" t="str">
        <x:v>150674012</x:v>
      </x:c>
      <x:c r="B1012" s="1" t="str">
        <x:v>svitshotover/светло-фиолетовый</x:v>
      </x:c>
      <x:c r="C1012" s="1" t="str">
        <x:v>Свитшоты</x:v>
      </x:c>
      <x:c r="D1012" s="9" t="n">
        <x:v>9.7</x:v>
      </x:c>
      <x:c r="E1012" s="8" t="n">
        <x:v>10853</x:v>
      </x:c>
      <x:c r="F1012" s="8" t="n">
        <x:v>141</x:v>
      </x:c>
      <x:c r="G1012" s="8" t="n">
        <x:v>117788</x:v>
      </x:c>
      <x:c r="H1012" s="8" t="n">
        <x:v>161</x:v>
      </x:c>
      <x:c r="I1012" s="8" t="n">
        <x:v>0</x:v>
      </x:c>
      <x:c r="J1012" s="8" t="n">
        <x:v>332</x:v>
      </x:c>
      <x:c r="K1012" s="8" t="n">
        <x:v>2194</x:v>
      </x:c>
      <x:c r="L1012" s="1" t="str">
        <x:v>Нет</x:v>
      </x:c>
      <x:c r="M1012" s="1" t="n">
        <x:v>324000</x:v>
      </x:c>
    </x:row>
    <x:row r="1013">
      <x:c r="A1013" s="1" t="str">
        <x:v>300305940</x:v>
      </x:c>
      <x:c r="B1013" s="1" t="str">
        <x:v>palazzonachos/коричневый</x:v>
      </x:c>
      <x:c r="C1013" s="1" t="str">
        <x:v>Брюки</x:v>
      </x:c>
      <x:c r="D1013" s="9" t="n">
        <x:v>8.4</x:v>
      </x:c>
      <x:c r="E1013" s="8" t="n">
        <x:v>19949</x:v>
      </x:c>
      <x:c r="F1013" s="8" t="n">
        <x:v>305</x:v>
      </x:c>
      <x:c r="G1013" s="8" t="n">
        <x:v>117578</x:v>
      </x:c>
      <x:c r="H1013" s="8" t="n">
        <x:v>270</x:v>
      </x:c>
      <x:c r="I1013" s="8" t="n">
        <x:v>0</x:v>
      </x:c>
      <x:c r="J1013" s="8" t="n">
        <x:v>633</x:v>
      </x:c>
      <x:c r="K1013" s="8" t="n">
        <x:v>2436</x:v>
      </x:c>
      <x:c r="L1013" s="1" t="str">
        <x:v>Нет</x:v>
      </x:c>
      <x:c r="M1013" s="1" t="n">
        <x:v>342854</x:v>
      </x:c>
    </x:row>
    <x:row r="1014">
      <x:c r="A1014" s="1" t="str">
        <x:v>288627689</x:v>
      </x:c>
      <x:c r="B1014" s="1" t="str">
        <x:v>kostyum/дымка</x:v>
      </x:c>
      <x:c r="C1014" s="1" t="str">
        <x:v>Костюмы спортивные</x:v>
      </x:c>
      <x:c r="D1014" s="9" t="n">
        <x:v>8.7</x:v>
      </x:c>
      <x:c r="E1014" s="8" t="n">
        <x:v>23391</x:v>
      </x:c>
      <x:c r="F1014" s="8" t="n">
        <x:v>100</x:v>
      </x:c>
      <x:c r="G1014" s="8" t="n">
        <x:v>117308</x:v>
      </x:c>
      <x:c r="H1014" s="8" t="n">
        <x:v>108</x:v>
      </x:c>
      <x:c r="I1014" s="8" t="n">
        <x:v>0</x:v>
      </x:c>
      <x:c r="J1014" s="8" t="n">
        <x:v>104</x:v>
      </x:c>
      <x:c r="K1014" s="8" t="n">
        <x:v>4401</x:v>
      </x:c>
      <x:c r="L1014" s="1" t="str">
        <x:v>Нет</x:v>
      </x:c>
      <x:c r="M1014" s="1" t="n">
        <x:v>156583</x:v>
      </x:c>
    </x:row>
    <x:row r="1015">
      <x:c r="A1015" s="1" t="str">
        <x:v>321831818</x:v>
      </x:c>
      <x:c r="B1015" s="1" t="str">
        <x:v>ribmayka3R-S13/белый</x:v>
      </x:c>
      <x:c r="C1015" s="1" t="str">
        <x:v>Топы</x:v>
      </x:c>
      <x:c r="D1015" s="9" t="n">
        <x:v>9.4</x:v>
      </x:c>
      <x:c r="E1015" s="8" t="n">
        <x:v>13713</x:v>
      </x:c>
      <x:c r="F1015" s="8" t="n">
        <x:v>304</x:v>
      </x:c>
      <x:c r="G1015" s="8" t="n">
        <x:v>117243</x:v>
      </x:c>
      <x:c r="H1015" s="8" t="n">
        <x:v>492</x:v>
      </x:c>
      <x:c r="I1015" s="8" t="n">
        <x:v>0</x:v>
      </x:c>
      <x:c r="J1015" s="8" t="n">
        <x:v>0</x:v>
      </x:c>
      <x:c r="K1015" s="8" t="n">
        <x:v>779</x:v>
      </x:c>
      <x:c r="L1015" s="1" t="str">
        <x:v>Нет</x:v>
      </x:c>
      <x:c r="M1015" s="1" t="n">
        <x:v>0</x:v>
      </x:c>
    </x:row>
    <x:row r="1016">
      <x:c r="A1016" s="1" t="str">
        <x:v>222802033</x:v>
      </x:c>
      <x:c r="B1016" s="1" t="str">
        <x:v>hudipetl/розовый</x:v>
      </x:c>
      <x:c r="C1016" s="1" t="str">
        <x:v>Худи</x:v>
      </x:c>
      <x:c r="D1016" s="9" t="n">
        <x:v>8.7</x:v>
      </x:c>
      <x:c r="E1016" s="8" t="n">
        <x:v>16167</x:v>
      </x:c>
      <x:c r="F1016" s="8" t="n">
        <x:v>108</x:v>
      </x:c>
      <x:c r="G1016" s="8" t="n">
        <x:v>117224</x:v>
      </x:c>
      <x:c r="H1016" s="8" t="n">
        <x:v>0</x:v>
      </x:c>
      <x:c r="I1016" s="8" t="n">
        <x:v>0</x:v>
      </x:c>
      <x:c r="J1016" s="8" t="n">
        <x:v>486</x:v>
      </x:c>
      <x:c r="K1016" s="8" t="n">
        <x:v>2549</x:v>
      </x:c>
      <x:c r="L1016" s="1" t="str">
        <x:v>Нет</x:v>
      </x:c>
      <x:c r="M1016" s="1" t="n">
        <x:v>497230</x:v>
      </x:c>
    </x:row>
    <x:row r="1017">
      <x:c r="A1017" s="1" t="str">
        <x:v>202399694</x:v>
      </x:c>
      <x:c r="B1017" s="1" t="str">
        <x:v>hudimanprint/Brukman-42/молочный</x:v>
      </x:c>
      <x:c r="C1017" s="1" t="str">
        <x:v>Худи</x:v>
      </x:c>
      <x:c r="D1017" s="9" t="n">
        <x:v>9.7</x:v>
      </x:c>
      <x:c r="E1017" s="8" t="n">
        <x:v>8143</x:v>
      </x:c>
      <x:c r="F1017" s="8" t="n">
        <x:v>155</x:v>
      </x:c>
      <x:c r="G1017" s="8" t="n">
        <x:v>116783</x:v>
      </x:c>
      <x:c r="H1017" s="8" t="n">
        <x:v>146</x:v>
      </x:c>
      <x:c r="I1017" s="8" t="n">
        <x:v>0</x:v>
      </x:c>
      <x:c r="J1017" s="8" t="n">
        <x:v>403</x:v>
      </x:c>
      <x:c r="K1017" s="8" t="n">
        <x:v>2654</x:v>
      </x:c>
      <x:c r="L1017" s="1" t="str">
        <x:v>Нет</x:v>
      </x:c>
      <x:c r="M1017" s="1" t="n">
        <x:v>390570</x:v>
      </x:c>
    </x:row>
    <x:row r="1018">
      <x:c r="A1018" s="1" t="str">
        <x:v>320414103</x:v>
      </x:c>
      <x:c r="B1018" s="1" t="str">
        <x:v>svitfix3F-77/дымка</x:v>
      </x:c>
      <x:c r="C1018" s="1" t="str">
        <x:v>Свитшоты</x:v>
      </x:c>
      <x:c r="D1018" s="9" t="n">
        <x:v>8.7</x:v>
      </x:c>
      <x:c r="E1018" s="8" t="n">
        <x:v>16355</x:v>
      </x:c>
      <x:c r="F1018" s="8" t="n">
        <x:v>134</x:v>
      </x:c>
      <x:c r="G1018" s="8" t="n">
        <x:v>115697</x:v>
      </x:c>
      <x:c r="H1018" s="8" t="n">
        <x:v>2</x:v>
      </x:c>
      <x:c r="I1018" s="8" t="n">
        <x:v>0</x:v>
      </x:c>
      <x:c r="J1018" s="8" t="n">
        <x:v>0</x:v>
      </x:c>
      <x:c r="K1018" s="8" t="n">
        <x:v>2278</x:v>
      </x:c>
      <x:c r="L1018" s="1" t="str">
        <x:v>Нет</x:v>
      </x:c>
      <x:c r="M1018" s="1" t="n">
        <x:v>0</x:v>
      </x:c>
    </x:row>
    <x:row r="1019">
      <x:c r="A1019" s="1" t="str">
        <x:v>235988739</x:v>
      </x:c>
      <x:c r="B1019" s="1" t="str">
        <x:v>brukipetl/розовый</x:v>
      </x:c>
      <x:c r="C1019" s="1" t="str">
        <x:v>Брюки</x:v>
      </x:c>
      <x:c r="D1019" s="9" t="n">
        <x:v>8.7</x:v>
      </x:c>
      <x:c r="E1019" s="8" t="n">
        <x:v>10467</x:v>
      </x:c>
      <x:c r="F1019" s="8" t="n">
        <x:v>162</x:v>
      </x:c>
      <x:c r="G1019" s="8" t="n">
        <x:v>115483</x:v>
      </x:c>
      <x:c r="H1019" s="8" t="n">
        <x:v>7</x:v>
      </x:c>
      <x:c r="I1019" s="8" t="n">
        <x:v>0</x:v>
      </x:c>
      <x:c r="J1019" s="8" t="n">
        <x:v>205</x:v>
      </x:c>
      <x:c r="K1019" s="8" t="n">
        <x:v>2241</x:v>
      </x:c>
      <x:c r="L1019" s="1" t="str">
        <x:v>Нет</x:v>
      </x:c>
      <x:c r="M1019" s="1" t="n">
        <x:v>140624</x:v>
      </x:c>
    </x:row>
    <x:row r="1020">
      <x:c r="A1020" s="1" t="str">
        <x:v>325074329</x:v>
      </x:c>
      <x:c r="B1020" s="1" t="str">
        <x:v>futbolkaprint/Phoenix-273/белый</x:v>
      </x:c>
      <x:c r="C1020" s="1" t="str">
        <x:v>Футболки</x:v>
      </x:c>
      <x:c r="D1020" s="9" t="n">
        <x:v>9.7</x:v>
      </x:c>
      <x:c r="E1020" s="8" t="n">
        <x:v>34873</x:v>
      </x:c>
      <x:c r="F1020" s="8" t="n">
        <x:v>180</x:v>
      </x:c>
      <x:c r="G1020" s="8" t="n">
        <x:v>115040</x:v>
      </x:c>
      <x:c r="H1020" s="8" t="n">
        <x:v>298</x:v>
      </x:c>
      <x:c r="I1020" s="8" t="n">
        <x:v>0</x:v>
      </x:c>
      <x:c r="J1020" s="8" t="n">
        <x:v>0</x:v>
      </x:c>
      <x:c r="K1020" s="8" t="n">
        <x:v>1280</x:v>
      </x:c>
      <x:c r="L1020" s="1" t="str">
        <x:v>Нет</x:v>
      </x:c>
      <x:c r="M1020" s="1" t="n">
        <x:v>0</x:v>
      </x:c>
    </x:row>
    <x:row r="1021">
      <x:c r="A1021" s="1" t="str">
        <x:v>340608540</x:v>
      </x:c>
      <x:c r="B1021" s="1" t="str">
        <x:v>kulirkaman/графит</x:v>
      </x:c>
      <x:c r="C1021" s="1" t="str">
        <x:v>Футболки</x:v>
      </x:c>
      <x:c r="D1021" s="9" t="n">
        <x:v>8.7</x:v>
      </x:c>
      <x:c r="E1021" s="8" t="n">
        <x:v>14675</x:v>
      </x:c>
      <x:c r="F1021" s="8" t="n">
        <x:v>236</x:v>
      </x:c>
      <x:c r="G1021" s="8" t="n">
        <x:v>114700</x:v>
      </x:c>
      <x:c r="H1021" s="8" t="n">
        <x:v>1026</x:v>
      </x:c>
      <x:c r="I1021" s="8" t="n">
        <x:v>0</x:v>
      </x:c>
      <x:c r="J1021" s="8" t="n">
        <x:v>0</x:v>
      </x:c>
      <x:c r="K1021" s="8" t="n">
        <x:v>1110</x:v>
      </x:c>
      <x:c r="L1021" s="1" t="str">
        <x:v>Нет</x:v>
      </x:c>
      <x:c r="M1021" s="1" t="n">
        <x:v>0</x:v>
      </x:c>
    </x:row>
    <x:row r="1022">
      <x:c r="A1022" s="1" t="str">
        <x:v>183793818</x:v>
      </x:c>
      <x:c r="B1022" s="1" t="str">
        <x:v>hudiprint/MEDUSA-17/молочный</x:v>
      </x:c>
      <x:c r="C1022" s="1" t="str">
        <x:v>Худи</x:v>
      </x:c>
      <x:c r="D1022" s="9" t="n">
        <x:v>8.7</x:v>
      </x:c>
      <x:c r="E1022" s="8" t="n">
        <x:v>11091</x:v>
      </x:c>
      <x:c r="F1022" s="8" t="n">
        <x:v>96</x:v>
      </x:c>
      <x:c r="G1022" s="8" t="n">
        <x:v>114060</x:v>
      </x:c>
      <x:c r="H1022" s="8" t="n">
        <x:v>2</x:v>
      </x:c>
      <x:c r="I1022" s="8" t="n">
        <x:v>0</x:v>
      </x:c>
      <x:c r="J1022" s="8" t="n">
        <x:v>292</x:v>
      </x:c>
      <x:c r="K1022" s="8" t="n">
        <x:v>2707</x:v>
      </x:c>
      <x:c r="L1022" s="1" t="str">
        <x:v>Нет</x:v>
      </x:c>
      <x:c r="M1022" s="1" t="n">
        <x:v>447991</x:v>
      </x:c>
    </x:row>
    <x:row r="1023">
      <x:c r="A1023" s="1" t="str">
        <x:v>160478498</x:v>
      </x:c>
      <x:c r="B1023" s="1" t="str">
        <x:v>shortyman/песочный</x:v>
      </x:c>
      <x:c r="C1023" s="1" t="str">
        <x:v>Шорты</x:v>
      </x:c>
      <x:c r="D1023" s="9" t="n">
        <x:v>6.2</x:v>
      </x:c>
      <x:c r="E1023" s="8" t="n">
        <x:v>11664</x:v>
      </x:c>
      <x:c r="F1023" s="8" t="n">
        <x:v>191</x:v>
      </x:c>
      <x:c r="G1023" s="8" t="n">
        <x:v>113752</x:v>
      </x:c>
      <x:c r="H1023" s="8" t="n">
        <x:v>0</x:v>
      </x:c>
      <x:c r="I1023" s="8" t="n">
        <x:v>0</x:v>
      </x:c>
      <x:c r="J1023" s="8" t="n">
        <x:v>13</x:v>
      </x:c>
      <x:c r="K1023" s="8" t="n">
        <x:v>1320</x:v>
      </x:c>
      <x:c r="L1023" s="1" t="str">
        <x:v>Нет</x:v>
      </x:c>
      <x:c r="M1023" s="1" t="n">
        <x:v>6351</x:v>
      </x:c>
    </x:row>
    <x:row r="1024">
      <x:c r="A1024" s="1" t="str">
        <x:v>316049263</x:v>
      </x:c>
      <x:c r="B1024" s="1" t="str">
        <x:v>boxerX5/черХ2-серыймеланж2-ссерХ2</x:v>
      </x:c>
      <x:c r="C1024" s="1" t="str">
        <x:v>Трусы</x:v>
      </x:c>
      <x:c r="D1024" s="9" t="n">
        <x:v>8.4</x:v>
      </x:c>
      <x:c r="E1024" s="8" t="n">
        <x:v>13339</x:v>
      </x:c>
      <x:c r="F1024" s="8" t="n">
        <x:v>96</x:v>
      </x:c>
      <x:c r="G1024" s="8" t="n">
        <x:v>113720</x:v>
      </x:c>
      <x:c r="H1024" s="8" t="n">
        <x:v>744</x:v>
      </x:c>
      <x:c r="I1024" s="8" t="n">
        <x:v>0</x:v>
      </x:c>
      <x:c r="J1024" s="8" t="n">
        <x:v>0</x:v>
      </x:c>
      <x:c r="K1024" s="8" t="n">
        <x:v>1826</x:v>
      </x:c>
      <x:c r="L1024" s="1" t="str">
        <x:v>Нет</x:v>
      </x:c>
      <x:c r="M1024" s="1" t="n">
        <x:v>0</x:v>
      </x:c>
    </x:row>
    <x:row r="1025">
      <x:c r="A1025" s="1" t="str">
        <x:v>158427992</x:v>
      </x:c>
      <x:c r="B1025" s="1" t="str">
        <x:v>kostumman/кофейный</x:v>
      </x:c>
      <x:c r="C1025" s="1" t="str">
        <x:v>Костюмы спортивные</x:v>
      </x:c>
      <x:c r="D1025" s="9" t="n">
        <x:v>9.4</x:v>
      </x:c>
      <x:c r="E1025" s="8" t="n">
        <x:v>6187</x:v>
      </x:c>
      <x:c r="F1025" s="8" t="n">
        <x:v>86</x:v>
      </x:c>
      <x:c r="G1025" s="8" t="n">
        <x:v>113566</x:v>
      </x:c>
      <x:c r="H1025" s="8" t="n">
        <x:v>272</x:v>
      </x:c>
      <x:c r="I1025" s="8" t="n">
        <x:v>0</x:v>
      </x:c>
      <x:c r="J1025" s="8" t="n">
        <x:v>158</x:v>
      </x:c>
      <x:c r="K1025" s="8" t="n">
        <x:v>4590</x:v>
      </x:c>
      <x:c r="L1025" s="1" t="str">
        <x:v>Нет</x:v>
      </x:c>
      <x:c r="M1025" s="1" t="n">
        <x:v>244512</x:v>
      </x:c>
    </x:row>
    <x:row r="1026">
      <x:c r="A1026" s="1" t="str">
        <x:v>271720088</x:v>
      </x:c>
      <x:c r="B1026" s="1" t="str">
        <x:v>svitshotman/вареныйсерый</x:v>
      </x:c>
      <x:c r="C1026" s="1" t="str">
        <x:v>Свитшоты</x:v>
      </x:c>
      <x:c r="D1026" s="9" t="n">
        <x:v>9.7</x:v>
      </x:c>
      <x:c r="E1026" s="8" t="n">
        <x:v>11897</x:v>
      </x:c>
      <x:c r="F1026" s="8" t="n">
        <x:v>116</x:v>
      </x:c>
      <x:c r="G1026" s="8" t="n">
        <x:v>113043</x:v>
      </x:c>
      <x:c r="H1026" s="8" t="n">
        <x:v>637</x:v>
      </x:c>
      <x:c r="I1026" s="8" t="n">
        <x:v>0</x:v>
      </x:c>
      <x:c r="J1026" s="8" t="n">
        <x:v>162</x:v>
      </x:c>
      <x:c r="K1026" s="8" t="n">
        <x:v>2013</x:v>
      </x:c>
      <x:c r="L1026" s="1" t="str">
        <x:v>Нет</x:v>
      </x:c>
      <x:c r="M1026" s="1" t="n">
        <x:v>174700</x:v>
      </x:c>
    </x:row>
    <x:row r="1027">
      <x:c r="A1027" s="1" t="str">
        <x:v>289098361</x:v>
      </x:c>
      <x:c r="B1027" s="1" t="str">
        <x:v>tolstovkazip3F-71/светло-розовый</x:v>
      </x:c>
      <x:c r="C1027" s="1" t="str">
        <x:v>Худи</x:v>
      </x:c>
      <x:c r="D1027" s="9" t="n">
        <x:v>9.7</x:v>
      </x:c>
      <x:c r="E1027" s="8" t="n">
        <x:v>24880</x:v>
      </x:c>
      <x:c r="F1027" s="8" t="n">
        <x:v>126</x:v>
      </x:c>
      <x:c r="G1027" s="8" t="n">
        <x:v>112988</x:v>
      </x:c>
      <x:c r="H1027" s="8" t="n">
        <x:v>0</x:v>
      </x:c>
      <x:c r="I1027" s="8" t="n">
        <x:v>0</x:v>
      </x:c>
      <x:c r="J1027" s="8" t="n">
        <x:v>579</x:v>
      </x:c>
      <x:c r="K1027" s="8" t="n">
        <x:v>2591</x:v>
      </x:c>
      <x:c r="L1027" s="1" t="str">
        <x:v>Нет</x:v>
      </x:c>
      <x:c r="M1027" s="1" t="n">
        <x:v>595401</x:v>
      </x:c>
    </x:row>
    <x:row r="1028">
      <x:c r="A1028" s="1" t="str">
        <x:v>256332776</x:v>
      </x:c>
      <x:c r="B1028" s="1" t="str">
        <x:v>futhlopman/деним</x:v>
      </x:c>
      <x:c r="C1028" s="1" t="str">
        <x:v>Футболки</x:v>
      </x:c>
      <x:c r="D1028" s="9" t="n">
        <x:v>8.7</x:v>
      </x:c>
      <x:c r="E1028" s="8" t="n">
        <x:v>23768</x:v>
      </x:c>
      <x:c r="F1028" s="8" t="n">
        <x:v>315</x:v>
      </x:c>
      <x:c r="G1028" s="8" t="n">
        <x:v>112948</x:v>
      </x:c>
      <x:c r="H1028" s="8" t="n">
        <x:v>65</x:v>
      </x:c>
      <x:c r="I1028" s="8" t="n">
        <x:v>0</x:v>
      </x:c>
      <x:c r="J1028" s="8" t="n">
        <x:v>601</x:v>
      </x:c>
      <x:c r="K1028" s="8" t="n">
        <x:v>687</x:v>
      </x:c>
      <x:c r="L1028" s="1" t="str">
        <x:v>Нет</x:v>
      </x:c>
      <x:c r="M1028" s="1" t="n">
        <x:v>257749</x:v>
      </x:c>
    </x:row>
    <x:row r="1029">
      <x:c r="A1029" s="1" t="str">
        <x:v>209916476</x:v>
      </x:c>
      <x:c r="B1029" s="1" t="str">
        <x:v>kroptopprint/Los-49/молочный</x:v>
      </x:c>
      <x:c r="C1029" s="1" t="str">
        <x:v>Футболки</x:v>
      </x:c>
      <x:c r="D1029" s="9" t="n">
        <x:v>9.7</x:v>
      </x:c>
      <x:c r="E1029" s="8" t="n">
        <x:v>18163</x:v>
      </x:c>
      <x:c r="F1029" s="8" t="n">
        <x:v>303</x:v>
      </x:c>
      <x:c r="G1029" s="8" t="n">
        <x:v>112700</x:v>
      </x:c>
      <x:c r="H1029" s="8" t="n">
        <x:v>8</x:v>
      </x:c>
      <x:c r="I1029" s="8" t="n">
        <x:v>0</x:v>
      </x:c>
      <x:c r="J1029" s="8" t="n">
        <x:v>0</x:v>
      </x:c>
      <x:c r="K1029" s="8" t="n">
        <x:v>708</x:v>
      </x:c>
      <x:c r="L1029" s="1" t="str">
        <x:v>Нет</x:v>
      </x:c>
      <x:c r="M1029" s="1" t="n">
        <x:v>0</x:v>
      </x:c>
    </x:row>
    <x:row r="1030">
      <x:c r="A1030" s="1" t="str">
        <x:v>231458801</x:v>
      </x:c>
      <x:c r="B1030" s="1" t="str">
        <x:v>futbolkagirl/дымка</x:v>
      </x:c>
      <x:c r="C1030" s="1" t="str">
        <x:v>Футболки</x:v>
      </x:c>
      <x:c r="D1030" s="9" t="n">
        <x:v>10</x:v>
      </x:c>
      <x:c r="E1030" s="8" t="n">
        <x:v>21947</x:v>
      </x:c>
      <x:c r="F1030" s="8" t="n">
        <x:v>369</x:v>
      </x:c>
      <x:c r="G1030" s="8" t="n">
        <x:v>112577</x:v>
      </x:c>
      <x:c r="H1030" s="8" t="n">
        <x:v>515</x:v>
      </x:c>
      <x:c r="I1030" s="8" t="n">
        <x:v>0</x:v>
      </x:c>
      <x:c r="J1030" s="8" t="n">
        <x:v>475</x:v>
      </x:c>
      <x:c r="K1030" s="8" t="n">
        <x:v>469</x:v>
      </x:c>
      <x:c r="L1030" s="1" t="str">
        <x:v>Нет</x:v>
      </x:c>
      <x:c r="M1030" s="1" t="n">
        <x:v>191950</x:v>
      </x:c>
    </x:row>
    <x:row r="1031">
      <x:c r="A1031" s="1" t="str">
        <x:v>250810798</x:v>
      </x:c>
      <x:c r="B1031" s="1" t="str">
        <x:v>hudimanprint/Star-188/молочный</x:v>
      </x:c>
      <x:c r="C1031" s="1" t="str">
        <x:v>Худи</x:v>
      </x:c>
      <x:c r="D1031" s="9" t="n">
        <x:v>8.7</x:v>
      </x:c>
      <x:c r="E1031" s="8" t="n">
        <x:v>9604</x:v>
      </x:c>
      <x:c r="F1031" s="8" t="n">
        <x:v>107</x:v>
      </x:c>
      <x:c r="G1031" s="8" t="n">
        <x:v>112517</x:v>
      </x:c>
      <x:c r="H1031" s="8" t="n">
        <x:v>195</x:v>
      </x:c>
      <x:c r="I1031" s="8" t="n">
        <x:v>0</x:v>
      </x:c>
      <x:c r="J1031" s="8" t="n">
        <x:v>180</x:v>
      </x:c>
      <x:c r="K1031" s="8" t="n">
        <x:v>2453</x:v>
      </x:c>
      <x:c r="L1031" s="1" t="str">
        <x:v>Нет</x:v>
      </x:c>
      <x:c r="M1031" s="1" t="n">
        <x:v>217500</x:v>
      </x:c>
    </x:row>
    <x:row r="1032">
      <x:c r="A1032" s="1" t="str">
        <x:v>316047292</x:v>
      </x:c>
      <x:c r="B1032" s="1" t="str">
        <x:v>boxerX3/чер-cерыймеланж2-ссер</x:v>
      </x:c>
      <x:c r="C1032" s="1" t="str">
        <x:v>Трусы</x:v>
      </x:c>
      <x:c r="D1032" s="9" t="n">
        <x:v>8.4</x:v>
      </x:c>
      <x:c r="E1032" s="8" t="n">
        <x:v>11549</x:v>
      </x:c>
      <x:c r="F1032" s="8" t="n">
        <x:v>162</x:v>
      </x:c>
      <x:c r="G1032" s="8" t="n">
        <x:v>112235</x:v>
      </x:c>
      <x:c r="H1032" s="8" t="n">
        <x:v>4240</x:v>
      </x:c>
      <x:c r="I1032" s="8" t="n">
        <x:v>0</x:v>
      </x:c>
      <x:c r="J1032" s="8" t="n">
        <x:v>0</x:v>
      </x:c>
      <x:c r="K1032" s="8" t="n">
        <x:v>1120</x:v>
      </x:c>
      <x:c r="L1032" s="1" t="str">
        <x:v>Нет</x:v>
      </x:c>
      <x:c r="M1032" s="1" t="n">
        <x:v>0</x:v>
      </x:c>
    </x:row>
    <x:row r="1033">
      <x:c r="A1033" s="1" t="str">
        <x:v>160478465</x:v>
      </x:c>
      <x:c r="B1033" s="1" t="str">
        <x:v>shortyman/графит</x:v>
      </x:c>
      <x:c r="C1033" s="1" t="str">
        <x:v>Шорты</x:v>
      </x:c>
      <x:c r="D1033" s="9" t="n">
        <x:v>6.2</x:v>
      </x:c>
      <x:c r="E1033" s="8" t="n">
        <x:v>10041</x:v>
      </x:c>
      <x:c r="F1033" s="8" t="n">
        <x:v>198</x:v>
      </x:c>
      <x:c r="G1033" s="8" t="n">
        <x:v>112221</x:v>
      </x:c>
      <x:c r="H1033" s="8" t="n">
        <x:v>0</x:v>
      </x:c>
      <x:c r="I1033" s="8" t="n">
        <x:v>0</x:v>
      </x:c>
      <x:c r="J1033" s="8" t="n">
        <x:v>45</x:v>
      </x:c>
      <x:c r="K1033" s="8" t="n">
        <x:v>1441</x:v>
      </x:c>
      <x:c r="L1033" s="1" t="str">
        <x:v>Нет</x:v>
      </x:c>
      <x:c r="M1033" s="1" t="n">
        <x:v>31944</x:v>
      </x:c>
    </x:row>
    <x:row r="1034">
      <x:c r="A1034" s="1" t="str">
        <x:v>288633827</x:v>
      </x:c>
      <x:c r="B1034" s="1" t="str">
        <x:v>kostumman/серыймеланж2</x:v>
      </x:c>
      <x:c r="C1034" s="1" t="str">
        <x:v>Костюмы спортивные</x:v>
      </x:c>
      <x:c r="D1034" s="9" t="n">
        <x:v>9.4</x:v>
      </x:c>
      <x:c r="E1034" s="8" t="n">
        <x:v>16399</x:v>
      </x:c>
      <x:c r="F1034" s="8" t="n">
        <x:v>129</x:v>
      </x:c>
      <x:c r="G1034" s="8" t="n">
        <x:v>111472</x:v>
      </x:c>
      <x:c r="H1034" s="8" t="n">
        <x:v>641</x:v>
      </x:c>
      <x:c r="I1034" s="8" t="n">
        <x:v>0</x:v>
      </x:c>
      <x:c r="J1034" s="8" t="n">
        <x:v>168</x:v>
      </x:c>
      <x:c r="K1034" s="8" t="n">
        <x:v>4488</x:v>
      </x:c>
      <x:c r="L1034" s="1" t="str">
        <x:v>Нет</x:v>
      </x:c>
      <x:c r="M1034" s="1" t="n">
        <x:v>205696</x:v>
      </x:c>
    </x:row>
    <x:row r="1035">
      <x:c r="A1035" s="1" t="str">
        <x:v>160478494</x:v>
      </x:c>
      <x:c r="B1035" s="1" t="str">
        <x:v>shortyman/молочный</x:v>
      </x:c>
      <x:c r="C1035" s="1" t="str">
        <x:v>Шорты</x:v>
      </x:c>
      <x:c r="D1035" s="9" t="n">
        <x:v>6.2</x:v>
      </x:c>
      <x:c r="E1035" s="8" t="n">
        <x:v>10879</x:v>
      </x:c>
      <x:c r="F1035" s="8" t="n">
        <x:v>173</x:v>
      </x:c>
      <x:c r="G1035" s="8" t="n">
        <x:v>111434</x:v>
      </x:c>
      <x:c r="H1035" s="8" t="n">
        <x:v>8</x:v>
      </x:c>
      <x:c r="I1035" s="8" t="n">
        <x:v>0</x:v>
      </x:c>
      <x:c r="J1035" s="8" t="n">
        <x:v>19</x:v>
      </x:c>
      <x:c r="K1035" s="8" t="n">
        <x:v>1432</x:v>
      </x:c>
      <x:c r="L1035" s="1" t="str">
        <x:v>Нет</x:v>
      </x:c>
      <x:c r="M1035" s="1" t="n">
        <x:v>15400</x:v>
      </x:c>
    </x:row>
    <x:row r="1036">
      <x:c r="A1036" s="1" t="str">
        <x:v>246363206</x:v>
      </x:c>
      <x:c r="B1036" s="1" t="str">
        <x:v>tolstovkazipman/коричневый</x:v>
      </x:c>
      <x:c r="C1036" s="1" t="str">
        <x:v>Худи</x:v>
      </x:c>
      <x:c r="D1036" s="9" t="n">
        <x:v>9</x:v>
      </x:c>
      <x:c r="E1036" s="8" t="n">
        <x:v>12126</x:v>
      </x:c>
      <x:c r="F1036" s="8" t="n">
        <x:v>90</x:v>
      </x:c>
      <x:c r="G1036" s="8" t="n">
        <x:v>111360</x:v>
      </x:c>
      <x:c r="H1036" s="8" t="n">
        <x:v>0</x:v>
      </x:c>
      <x:c r="I1036" s="8" t="n">
        <x:v>0</x:v>
      </x:c>
      <x:c r="J1036" s="8" t="n">
        <x:v>315</x:v>
      </x:c>
      <x:c r="K1036" s="8" t="n">
        <x:v>3181</x:v>
      </x:c>
      <x:c r="L1036" s="1" t="str">
        <x:v>Нет</x:v>
      </x:c>
      <x:c r="M1036" s="1" t="n">
        <x:v>377284</x:v>
      </x:c>
    </x:row>
    <x:row r="1037">
      <x:c r="A1037" s="1" t="str">
        <x:v>202409634</x:v>
      </x:c>
      <x:c r="B1037" s="1" t="str">
        <x:v>hudiprint/Chic-55/черный</x:v>
      </x:c>
      <x:c r="C1037" s="1" t="str">
        <x:v>Худи</x:v>
      </x:c>
      <x:c r="D1037" s="9" t="n">
        <x:v>9</x:v>
      </x:c>
      <x:c r="E1037" s="8" t="n">
        <x:v>23609</x:v>
      </x:c>
      <x:c r="F1037" s="8" t="n">
        <x:v>130</x:v>
      </x:c>
      <x:c r="G1037" s="8" t="n">
        <x:v>111070</x:v>
      </x:c>
      <x:c r="H1037" s="8" t="n">
        <x:v>295</x:v>
      </x:c>
      <x:c r="I1037" s="8" t="n">
        <x:v>0</x:v>
      </x:c>
      <x:c r="J1037" s="8" t="n">
        <x:v>121</x:v>
      </x:c>
      <x:c r="K1037" s="8" t="n">
        <x:v>2180</x:v>
      </x:c>
      <x:c r="L1037" s="1" t="str">
        <x:v>Нет</x:v>
      </x:c>
      <x:c r="M1037" s="1" t="n">
        <x:v>113600</x:v>
      </x:c>
    </x:row>
    <x:row r="1038">
      <x:c r="A1038" s="1" t="str">
        <x:v>332387100</x:v>
      </x:c>
      <x:c r="B1038" s="1" t="str">
        <x:v>shorts3n3P-87/светло-розовый</x:v>
      </x:c>
      <x:c r="C1038" s="1" t="str">
        <x:v>Шорты</x:v>
      </x:c>
      <x:c r="D1038" s="9" t="n">
        <x:v>7.9</x:v>
      </x:c>
      <x:c r="E1038" s="8" t="n">
        <x:v>12579</x:v>
      </x:c>
      <x:c r="F1038" s="8" t="n">
        <x:v>292</x:v>
      </x:c>
      <x:c r="G1038" s="8" t="n">
        <x:v>110923</x:v>
      </x:c>
      <x:c r="H1038" s="8" t="n">
        <x:v>2</x:v>
      </x:c>
      <x:c r="I1038" s="8" t="n">
        <x:v>0</x:v>
      </x:c>
      <x:c r="J1038" s="8" t="n">
        <x:v>0</x:v>
      </x:c>
      <x:c r="K1038" s="8" t="n">
        <x:v>1269</x:v>
      </x:c>
      <x:c r="L1038" s="1" t="str">
        <x:v>Нет</x:v>
      </x:c>
      <x:c r="M1038" s="1" t="n">
        <x:v>0</x:v>
      </x:c>
    </x:row>
    <x:row r="1039">
      <x:c r="A1039" s="1" t="str">
        <x:v>208261429</x:v>
      </x:c>
      <x:c r="B1039" s="1" t="str">
        <x:v>hudimanprint/TDGBrand-70/черный</x:v>
      </x:c>
      <x:c r="C1039" s="1" t="str">
        <x:v>Худи</x:v>
      </x:c>
      <x:c r="D1039" s="9" t="n">
        <x:v>9.7</x:v>
      </x:c>
      <x:c r="E1039" s="8" t="n">
        <x:v>20304</x:v>
      </x:c>
      <x:c r="F1039" s="8" t="n">
        <x:v>118</x:v>
      </x:c>
      <x:c r="G1039" s="8" t="n">
        <x:v>110745</x:v>
      </x:c>
      <x:c r="H1039" s="8" t="n">
        <x:v>947</x:v>
      </x:c>
      <x:c r="I1039" s="8" t="n">
        <x:v>0</x:v>
      </x:c>
      <x:c r="J1039" s="8" t="n">
        <x:v>75</x:v>
      </x:c>
      <x:c r="K1039" s="8" t="n">
        <x:v>2393</x:v>
      </x:c>
      <x:c r="L1039" s="1" t="str">
        <x:v>Нет</x:v>
      </x:c>
      <x:c r="M1039" s="1" t="n">
        <x:v>89150</x:v>
      </x:c>
    </x:row>
    <x:row r="1040">
      <x:c r="A1040" s="1" t="str">
        <x:v>333139840</x:v>
      </x:c>
      <x:c r="B1040" s="1" t="str">
        <x:v>topfutbolka/каштановый</x:v>
      </x:c>
      <x:c r="C1040" s="1" t="str">
        <x:v>Топы</x:v>
      </x:c>
      <x:c r="D1040" s="9" t="n">
        <x:v>9.4</x:v>
      </x:c>
      <x:c r="E1040" s="8" t="n">
        <x:v>38232</x:v>
      </x:c>
      <x:c r="F1040" s="8" t="n">
        <x:v>431</x:v>
      </x:c>
      <x:c r="G1040" s="8" t="n">
        <x:v>110321</x:v>
      </x:c>
      <x:c r="H1040" s="8" t="n">
        <x:v>878</x:v>
      </x:c>
      <x:c r="I1040" s="8" t="n">
        <x:v>0</x:v>
      </x:c>
      <x:c r="J1040" s="8" t="n">
        <x:v>0</x:v>
      </x:c>
      <x:c r="K1040" s="8" t="n">
        <x:v>692</x:v>
      </x:c>
      <x:c r="L1040" s="1" t="str">
        <x:v>Нет</x:v>
      </x:c>
      <x:c r="M1040" s="1" t="n">
        <x:v>0</x:v>
      </x:c>
    </x:row>
    <x:row r="1041">
      <x:c r="A1041" s="1" t="str">
        <x:v>158080264</x:v>
      </x:c>
      <x:c r="B1041" s="1" t="str">
        <x:v>bruki/изумрудно-зеленый</x:v>
      </x:c>
      <x:c r="C1041" s="1" t="str">
        <x:v>Брюки</x:v>
      </x:c>
      <x:c r="D1041" s="9" t="n">
        <x:v>7.7</x:v>
      </x:c>
      <x:c r="E1041" s="8" t="n">
        <x:v>10520</x:v>
      </x:c>
      <x:c r="F1041" s="8" t="n">
        <x:v>181</x:v>
      </x:c>
      <x:c r="G1041" s="8" t="n">
        <x:v>110222</x:v>
      </x:c>
      <x:c r="H1041" s="8" t="n">
        <x:v>513</x:v>
      </x:c>
      <x:c r="I1041" s="8" t="n">
        <x:v>0</x:v>
      </x:c>
      <x:c r="J1041" s="8" t="n">
        <x:v>257</x:v>
      </x:c>
      <x:c r="K1041" s="8" t="n">
        <x:v>2170</x:v>
      </x:c>
      <x:c r="L1041" s="1" t="str">
        <x:v>Нет</x:v>
      </x:c>
      <x:c r="M1041" s="1" t="n">
        <x:v>227371</x:v>
      </x:c>
    </x:row>
    <x:row r="1042">
      <x:c r="A1042" s="1" t="str">
        <x:v>256332778</x:v>
      </x:c>
      <x:c r="B1042" s="1" t="str">
        <x:v>futhlopman/хаки</x:v>
      </x:c>
      <x:c r="C1042" s="1" t="str">
        <x:v>Футболки</x:v>
      </x:c>
      <x:c r="D1042" s="9" t="n">
        <x:v>8.7</x:v>
      </x:c>
      <x:c r="E1042" s="8" t="n">
        <x:v>24611</x:v>
      </x:c>
      <x:c r="F1042" s="8" t="n">
        <x:v>303</x:v>
      </x:c>
      <x:c r="G1042" s="8" t="n">
        <x:v>110131</x:v>
      </x:c>
      <x:c r="H1042" s="8" t="n">
        <x:v>120</x:v>
      </x:c>
      <x:c r="I1042" s="8" t="n">
        <x:v>0</x:v>
      </x:c>
      <x:c r="J1042" s="8" t="n">
        <x:v>280</x:v>
      </x:c>
      <x:c r="K1042" s="8" t="n">
        <x:v>730</x:v>
      </x:c>
      <x:c r="L1042" s="1" t="str">
        <x:v>Нет</x:v>
      </x:c>
      <x:c r="M1042" s="1" t="n">
        <x:v>114419</x:v>
      </x:c>
    </x:row>
    <x:row r="1043">
      <x:c r="A1043" s="1" t="str">
        <x:v>204476253</x:v>
      </x:c>
      <x:c r="B1043" s="1" t="str">
        <x:v>hudimanprint/FREEDOM-67/черный</x:v>
      </x:c>
      <x:c r="C1043" s="1" t="str">
        <x:v>Худи</x:v>
      </x:c>
      <x:c r="D1043" s="9" t="n">
        <x:v>9.7</x:v>
      </x:c>
      <x:c r="E1043" s="8" t="n">
        <x:v>13628</x:v>
      </x:c>
      <x:c r="F1043" s="8" t="n">
        <x:v>100</x:v>
      </x:c>
      <x:c r="G1043" s="8" t="n">
        <x:v>109678</x:v>
      </x:c>
      <x:c r="H1043" s="8" t="n">
        <x:v>173</x:v>
      </x:c>
      <x:c r="I1043" s="8" t="n">
        <x:v>0</x:v>
      </x:c>
      <x:c r="J1043" s="8" t="n">
        <x:v>90</x:v>
      </x:c>
      <x:c r="K1043" s="8" t="n">
        <x:v>2395</x:v>
      </x:c>
      <x:c r="L1043" s="1" t="str">
        <x:v>Нет</x:v>
      </x:c>
      <x:c r="M1043" s="1" t="n">
        <x:v>125100</x:v>
      </x:c>
    </x:row>
    <x:row r="1044">
      <x:c r="A1044" s="1" t="str">
        <x:v>209915110</x:v>
      </x:c>
      <x:c r="B1044" s="1" t="str">
        <x:v>longsvobod/пудровый</x:v>
      </x:c>
      <x:c r="C1044" s="1" t="str">
        <x:v>Лонгсливы</x:v>
      </x:c>
      <x:c r="D1044" s="9" t="n">
        <x:v>7.2</x:v>
      </x:c>
      <x:c r="E1044" s="8" t="n">
        <x:v>26608</x:v>
      </x:c>
      <x:c r="F1044" s="8" t="n">
        <x:v>317</x:v>
      </x:c>
      <x:c r="G1044" s="8" t="n">
        <x:v>109570</x:v>
      </x:c>
      <x:c r="H1044" s="8" t="n">
        <x:v>68</x:v>
      </x:c>
      <x:c r="I1044" s="8" t="n">
        <x:v>0</x:v>
      </x:c>
      <x:c r="J1044" s="8" t="n">
        <x:v>258</x:v>
      </x:c>
      <x:c r="K1044" s="8" t="n">
        <x:v>971</x:v>
      </x:c>
      <x:c r="L1044" s="1" t="str">
        <x:v>Нет</x:v>
      </x:c>
      <x:c r="M1044" s="1" t="n">
        <x:v>98120</x:v>
      </x:c>
    </x:row>
    <x:row r="1045">
      <x:c r="A1045" s="1" t="str">
        <x:v>221519614</x:v>
      </x:c>
      <x:c r="B1045" s="1" t="str">
        <x:v>kulirkaman/персиковый</x:v>
      </x:c>
      <x:c r="C1045" s="1" t="str">
        <x:v>Футболки</x:v>
      </x:c>
      <x:c r="D1045" s="9" t="n">
        <x:v>5.2</x:v>
      </x:c>
      <x:c r="E1045" s="8" t="n">
        <x:v>17181</x:v>
      </x:c>
      <x:c r="F1045" s="8" t="n">
        <x:v>268</x:v>
      </x:c>
      <x:c r="G1045" s="8" t="n">
        <x:v>109517</x:v>
      </x:c>
      <x:c r="H1045" s="8" t="n">
        <x:v>98</x:v>
      </x:c>
      <x:c r="I1045" s="8" t="n">
        <x:v>0</x:v>
      </x:c>
      <x:c r="J1045" s="8" t="n">
        <x:v>217</x:v>
      </x:c>
      <x:c r="K1045" s="8" t="n">
        <x:v>875</x:v>
      </x:c>
      <x:c r="L1045" s="1" t="str">
        <x:v>Нет</x:v>
      </x:c>
      <x:c r="M1045" s="1" t="n">
        <x:v>103922</x:v>
      </x:c>
    </x:row>
    <x:row r="1046">
      <x:c r="A1046" s="1" t="str">
        <x:v>233258135</x:v>
      </x:c>
      <x:c r="B1046" s="1" t="str">
        <x:v>2Nshortyman/черный</x:v>
      </x:c>
      <x:c r="C1046" s="1" t="str">
        <x:v>Шорты</x:v>
      </x:c>
      <x:c r="D1046" s="9" t="n">
        <x:v>6.4</x:v>
      </x:c>
      <x:c r="E1046" s="8" t="n">
        <x:v>6535</x:v>
      </x:c>
      <x:c r="F1046" s="8" t="n">
        <x:v>246</x:v>
      </x:c>
      <x:c r="G1046" s="8" t="n">
        <x:v>108259</x:v>
      </x:c>
      <x:c r="H1046" s="8" t="n">
        <x:v>2</x:v>
      </x:c>
      <x:c r="I1046" s="8" t="n">
        <x:v>0</x:v>
      </x:c>
      <x:c r="J1046" s="8" t="n">
        <x:v>2</x:v>
      </x:c>
      <x:c r="K1046" s="8" t="n">
        <x:v>984</x:v>
      </x:c>
      <x:c r="L1046" s="1" t="str">
        <x:v>Нет</x:v>
      </x:c>
      <x:c r="M1046" s="1" t="n">
        <x:v>980</x:v>
      </x:c>
    </x:row>
    <x:row r="1047">
      <x:c r="A1047" s="1" t="str">
        <x:v>333121381</x:v>
      </x:c>
      <x:c r="B1047" s="1" t="str">
        <x:v>topmayka/дымка</x:v>
      </x:c>
      <x:c r="C1047" s="1" t="str">
        <x:v>Топы</x:v>
      </x:c>
      <x:c r="D1047" s="9" t="n">
        <x:v>9</x:v>
      </x:c>
      <x:c r="E1047" s="8" t="n">
        <x:v>24348</x:v>
      </x:c>
      <x:c r="F1047" s="8" t="n">
        <x:v>362</x:v>
      </x:c>
      <x:c r="G1047" s="8" t="n">
        <x:v>108221</x:v>
      </x:c>
      <x:c r="H1047" s="8" t="n">
        <x:v>393</x:v>
      </x:c>
      <x:c r="I1047" s="8" t="n">
        <x:v>0</x:v>
      </x:c>
      <x:c r="J1047" s="8" t="n">
        <x:v>0</x:v>
      </x:c>
      <x:c r="K1047" s="8" t="n">
        <x:v>653</x:v>
      </x:c>
      <x:c r="L1047" s="1" t="str">
        <x:v>Нет</x:v>
      </x:c>
      <x:c r="M1047" s="1" t="n">
        <x:v>0</x:v>
      </x:c>
    </x:row>
    <x:row r="1048">
      <x:c r="A1048" s="1" t="str">
        <x:v>281587849</x:v>
      </x:c>
      <x:c r="B1048" s="1" t="str">
        <x:v>boxer/светло-серый</x:v>
      </x:c>
      <x:c r="C1048" s="1" t="str">
        <x:v>Трусы</x:v>
      </x:c>
      <x:c r="D1048" s="9" t="n">
        <x:v>8.7</x:v>
      </x:c>
      <x:c r="E1048" s="8" t="n">
        <x:v>14066</x:v>
      </x:c>
      <x:c r="F1048" s="8" t="n">
        <x:v>408</x:v>
      </x:c>
      <x:c r="G1048" s="8" t="n">
        <x:v>108208</x:v>
      </x:c>
      <x:c r="H1048" s="8" t="n">
        <x:v>1180</x:v>
      </x:c>
      <x:c r="I1048" s="8" t="n">
        <x:v>0</x:v>
      </x:c>
      <x:c r="J1048" s="8" t="n">
        <x:v>0</x:v>
      </x:c>
      <x:c r="K1048" s="8" t="n">
        <x:v>344</x:v>
      </x:c>
      <x:c r="L1048" s="1" t="str">
        <x:v>Нет</x:v>
      </x:c>
      <x:c r="M1048" s="1" t="n">
        <x:v>0</x:v>
      </x:c>
    </x:row>
    <x:row r="1049">
      <x:c r="A1049" s="1" t="str">
        <x:v>294025144</x:v>
      </x:c>
      <x:c r="B1049" s="1" t="str">
        <x:v>svitfix3F-77/бежевый</x:v>
      </x:c>
      <x:c r="C1049" s="1" t="str">
        <x:v>Свитшоты</x:v>
      </x:c>
      <x:c r="D1049" s="9" t="n">
        <x:v>8.7</x:v>
      </x:c>
      <x:c r="E1049" s="8" t="n">
        <x:v>15345</x:v>
      </x:c>
      <x:c r="F1049" s="8" t="n">
        <x:v>176</x:v>
      </x:c>
      <x:c r="G1049" s="8" t="n">
        <x:v>107374</x:v>
      </x:c>
      <x:c r="H1049" s="8" t="n">
        <x:v>295</x:v>
      </x:c>
      <x:c r="I1049" s="8" t="n">
        <x:v>0</x:v>
      </x:c>
      <x:c r="J1049" s="8" t="n">
        <x:v>247</x:v>
      </x:c>
      <x:c r="K1049" s="8" t="n">
        <x:v>2114</x:v>
      </x:c>
      <x:c r="L1049" s="1" t="str">
        <x:v>Нет</x:v>
      </x:c>
      <x:c r="M1049" s="1" t="n">
        <x:v>167688</x:v>
      </x:c>
    </x:row>
    <x:row r="1050">
      <x:c r="A1050" s="1" t="str">
        <x:v>333141439</x:v>
      </x:c>
      <x:c r="B1050" s="1" t="str">
        <x:v>topfutbolka/дымка</x:v>
      </x:c>
      <x:c r="C1050" s="1" t="str">
        <x:v>Топы</x:v>
      </x:c>
      <x:c r="D1050" s="9" t="n">
        <x:v>9.4</x:v>
      </x:c>
      <x:c r="E1050" s="8" t="n">
        <x:v>16174</x:v>
      </x:c>
      <x:c r="F1050" s="8" t="n">
        <x:v>275</x:v>
      </x:c>
      <x:c r="G1050" s="8" t="n">
        <x:v>106641</x:v>
      </x:c>
      <x:c r="H1050" s="8" t="n">
        <x:v>506</x:v>
      </x:c>
      <x:c r="I1050" s="8" t="n">
        <x:v>0</x:v>
      </x:c>
      <x:c r="J1050" s="8" t="n">
        <x:v>0</x:v>
      </x:c>
      <x:c r="K1050" s="8" t="n">
        <x:v>784</x:v>
      </x:c>
      <x:c r="L1050" s="1" t="str">
        <x:v>Нет</x:v>
      </x:c>
      <x:c r="M1050" s="1" t="n">
        <x:v>0</x:v>
      </x:c>
    </x:row>
    <x:row r="1051">
      <x:c r="A1051" s="1" t="str">
        <x:v>234287022</x:v>
      </x:c>
      <x:c r="B1051" s="1" t="str">
        <x:v>svitshotmanpetl/серый</x:v>
      </x:c>
      <x:c r="C1051" s="1" t="str">
        <x:v>Свитшоты</x:v>
      </x:c>
      <x:c r="D1051" s="9" t="n">
        <x:v>6.7</x:v>
      </x:c>
      <x:c r="E1051" s="8" t="n">
        <x:v>13178</x:v>
      </x:c>
      <x:c r="F1051" s="8" t="n">
        <x:v>133</x:v>
      </x:c>
      <x:c r="G1051" s="8" t="n">
        <x:v>106628</x:v>
      </x:c>
      <x:c r="H1051" s="8" t="n">
        <x:v>21</x:v>
      </x:c>
      <x:c r="I1051" s="8" t="n">
        <x:v>0</x:v>
      </x:c>
      <x:c r="J1051" s="8" t="n">
        <x:v>398</x:v>
      </x:c>
      <x:c r="K1051" s="8" t="n">
        <x:v>2246</x:v>
      </x:c>
      <x:c r="L1051" s="1" t="str">
        <x:v>Нет</x:v>
      </x:c>
      <x:c r="M1051" s="1" t="n">
        <x:v>392414</x:v>
      </x:c>
    </x:row>
    <x:row r="1052">
      <x:c r="A1052" s="1" t="str">
        <x:v>231458800</x:v>
      </x:c>
      <x:c r="B1052" s="1" t="str">
        <x:v>futbolkagirl/коричневый</x:v>
      </x:c>
      <x:c r="C1052" s="1" t="str">
        <x:v>Футболки</x:v>
      </x:c>
      <x:c r="D1052" s="9" t="n">
        <x:v>10</x:v>
      </x:c>
      <x:c r="E1052" s="8" t="n">
        <x:v>21521</x:v>
      </x:c>
      <x:c r="F1052" s="8" t="n">
        <x:v>333</x:v>
      </x:c>
      <x:c r="G1052" s="8" t="n">
        <x:v>106617</x:v>
      </x:c>
      <x:c r="H1052" s="8" t="n">
        <x:v>321</x:v>
      </x:c>
      <x:c r="I1052" s="8" t="n">
        <x:v>0</x:v>
      </x:c>
      <x:c r="J1052" s="8" t="n">
        <x:v>121</x:v>
      </x:c>
      <x:c r="K1052" s="8" t="n">
        <x:v>469</x:v>
      </x:c>
      <x:c r="L1052" s="1" t="str">
        <x:v>Нет</x:v>
      </x:c>
      <x:c r="M1052" s="1" t="n">
        <x:v>44400</x:v>
      </x:c>
    </x:row>
    <x:row r="1053">
      <x:c r="A1053" s="1" t="str">
        <x:v>313770773</x:v>
      </x:c>
      <x:c r="B1053" s="1" t="str">
        <x:v>futbolkagirl/пыльнаяроза</x:v>
      </x:c>
      <x:c r="C1053" s="1" t="str">
        <x:v>Футболки</x:v>
      </x:c>
      <x:c r="D1053" s="9" t="n">
        <x:v>10</x:v>
      </x:c>
      <x:c r="E1053" s="8" t="n">
        <x:v>27281</x:v>
      </x:c>
      <x:c r="F1053" s="8" t="n">
        <x:v>281</x:v>
      </x:c>
      <x:c r="G1053" s="8" t="n">
        <x:v>105358</x:v>
      </x:c>
      <x:c r="H1053" s="8" t="n">
        <x:v>6</x:v>
      </x:c>
      <x:c r="I1053" s="8" t="n">
        <x:v>0</x:v>
      </x:c>
      <x:c r="J1053" s="8" t="n">
        <x:v>282</x:v>
      </x:c>
      <x:c r="K1053" s="8" t="n">
        <x:v>477</x:v>
      </x:c>
      <x:c r="L1053" s="1" t="str">
        <x:v>Нет</x:v>
      </x:c>
      <x:c r="M1053" s="1" t="n">
        <x:v>107450</x:v>
      </x:c>
    </x:row>
    <x:row r="1054">
      <x:c r="A1054" s="1" t="str">
        <x:v>166215427</x:v>
      </x:c>
      <x:c r="B1054" s="1" t="str">
        <x:v>shortyman/серыймеланж</x:v>
      </x:c>
      <x:c r="C1054" s="1" t="str">
        <x:v>Шорты</x:v>
      </x:c>
      <x:c r="D1054" s="9" t="n">
        <x:v>6.2</x:v>
      </x:c>
      <x:c r="E1054" s="8" t="n">
        <x:v>10941</x:v>
      </x:c>
      <x:c r="F1054" s="8" t="n">
        <x:v>183</x:v>
      </x:c>
      <x:c r="G1054" s="8" t="n">
        <x:v>104455</x:v>
      </x:c>
      <x:c r="H1054" s="8" t="n">
        <x:v>0</x:v>
      </x:c>
      <x:c r="I1054" s="8" t="n">
        <x:v>0</x:v>
      </x:c>
      <x:c r="J1054" s="8" t="n">
        <x:v>0</x:v>
      </x:c>
      <x:c r="K1054" s="8" t="n">
        <x:v>1293</x:v>
      </x:c>
      <x:c r="L1054" s="1" t="str">
        <x:v>Нет</x:v>
      </x:c>
      <x:c r="M1054" s="1" t="n">
        <x:v>0</x:v>
      </x:c>
    </x:row>
    <x:row r="1055">
      <x:c r="A1055" s="1" t="str">
        <x:v>234030771</x:v>
      </x:c>
      <x:c r="B1055" s="1" t="str">
        <x:v>svitshotzipman2/серыймеланж2</x:v>
      </x:c>
      <x:c r="C1055" s="1" t="str">
        <x:v>Свитшоты</x:v>
      </x:c>
      <x:c r="D1055" s="9" t="n">
        <x:v>9.7</x:v>
      </x:c>
      <x:c r="E1055" s="8" t="n">
        <x:v>15398</x:v>
      </x:c>
      <x:c r="F1055" s="8" t="n">
        <x:v>120</x:v>
      </x:c>
      <x:c r="G1055" s="8" t="n">
        <x:v>104127</x:v>
      </x:c>
      <x:c r="H1055" s="8" t="n">
        <x:v>1</x:v>
      </x:c>
      <x:c r="I1055" s="8" t="n">
        <x:v>0</x:v>
      </x:c>
      <x:c r="J1055" s="8" t="n">
        <x:v>409</x:v>
      </x:c>
      <x:c r="K1055" s="8" t="n">
        <x:v>2525</x:v>
      </x:c>
      <x:c r="L1055" s="1" t="str">
        <x:v>Нет</x:v>
      </x:c>
      <x:c r="M1055" s="1" t="n">
        <x:v>400801</x:v>
      </x:c>
    </x:row>
    <x:row r="1056">
      <x:c r="A1056" s="1" t="str">
        <x:v>183793828</x:v>
      </x:c>
      <x:c r="B1056" s="1" t="str">
        <x:v>hudiprint/NEED-15/молочный</x:v>
      </x:c>
      <x:c r="C1056" s="1" t="str">
        <x:v>Худи</x:v>
      </x:c>
      <x:c r="D1056" s="9" t="n">
        <x:v>9.7</x:v>
      </x:c>
      <x:c r="E1056" s="8" t="n">
        <x:v>14090</x:v>
      </x:c>
      <x:c r="F1056" s="8" t="n">
        <x:v>102</x:v>
      </x:c>
      <x:c r="G1056" s="8" t="n">
        <x:v>104090</x:v>
      </x:c>
      <x:c r="H1056" s="8" t="n">
        <x:v>1</x:v>
      </x:c>
      <x:c r="I1056" s="8" t="n">
        <x:v>0</x:v>
      </x:c>
      <x:c r="J1056" s="8" t="n">
        <x:v>396</x:v>
      </x:c>
      <x:c r="K1056" s="8" t="n">
        <x:v>2319</x:v>
      </x:c>
      <x:c r="L1056" s="1" t="str">
        <x:v>Нет</x:v>
      </x:c>
      <x:c r="M1056" s="1" t="n">
        <x:v>405073</x:v>
      </x:c>
    </x:row>
    <x:row r="1057">
      <x:c r="A1057" s="1" t="str">
        <x:v>245316950</x:v>
      </x:c>
      <x:c r="B1057" s="1" t="str">
        <x:v>hudiprint/MovesWithLove-135/светло-зеленый</x:v>
      </x:c>
      <x:c r="C1057" s="1" t="str">
        <x:v>Худи</x:v>
      </x:c>
      <x:c r="D1057" s="9" t="n">
        <x:v>8.7</x:v>
      </x:c>
      <x:c r="E1057" s="8" t="n">
        <x:v>13597</x:v>
      </x:c>
      <x:c r="F1057" s="8" t="n">
        <x:v>105</x:v>
      </x:c>
      <x:c r="G1057" s="8" t="n">
        <x:v>103992</x:v>
      </x:c>
      <x:c r="H1057" s="8" t="n">
        <x:v>4</x:v>
      </x:c>
      <x:c r="I1057" s="8" t="n">
        <x:v>0</x:v>
      </x:c>
      <x:c r="J1057" s="8" t="n">
        <x:v>353</x:v>
      </x:c>
      <x:c r="K1057" s="8" t="n">
        <x:v>2360</x:v>
      </x:c>
      <x:c r="L1057" s="1" t="str">
        <x:v>Нет</x:v>
      </x:c>
      <x:c r="M1057" s="1" t="n">
        <x:v>351176</x:v>
      </x:c>
    </x:row>
    <x:row r="1058">
      <x:c r="A1058" s="1" t="str">
        <x:v>264722806</x:v>
      </x:c>
      <x:c r="B1058" s="1" t="str">
        <x:v>svitzipcroppetl/бордовый</x:v>
      </x:c>
      <x:c r="C1058" s="1" t="str">
        <x:v>Свитшоты</x:v>
      </x:c>
      <x:c r="D1058" s="9" t="n">
        <x:v>8.7</x:v>
      </x:c>
      <x:c r="E1058" s="8" t="n">
        <x:v>24170</x:v>
      </x:c>
      <x:c r="F1058" s="8" t="n">
        <x:v>128</x:v>
      </x:c>
      <x:c r="G1058" s="8" t="n">
        <x:v>103949</x:v>
      </x:c>
      <x:c r="H1058" s="8" t="n">
        <x:v>58</x:v>
      </x:c>
      <x:c r="I1058" s="8" t="n">
        <x:v>0</x:v>
      </x:c>
      <x:c r="J1058" s="8" t="n">
        <x:v>0</x:v>
      </x:c>
      <x:c r="K1058" s="8" t="n">
        <x:v>2480</x:v>
      </x:c>
      <x:c r="L1058" s="1" t="str">
        <x:v>Нет</x:v>
      </x:c>
      <x:c r="M1058" s="1" t="n">
        <x:v>0</x:v>
      </x:c>
    </x:row>
    <x:row r="1059">
      <x:c r="A1059" s="1" t="str">
        <x:v>66991232</x:v>
      </x:c>
      <x:c r="B1059" s="1" t="str">
        <x:v>brukiman/изумрудно-зеленый</x:v>
      </x:c>
      <x:c r="C1059" s="1" t="str">
        <x:v>Брюки</x:v>
      </x:c>
      <x:c r="D1059" s="9" t="n">
        <x:v>9.7</x:v>
      </x:c>
      <x:c r="E1059" s="8" t="n">
        <x:v>7024</x:v>
      </x:c>
      <x:c r="F1059" s="8" t="n">
        <x:v>125</x:v>
      </x:c>
      <x:c r="G1059" s="8" t="n">
        <x:v>103683</x:v>
      </x:c>
      <x:c r="H1059" s="8" t="n">
        <x:v>333</x:v>
      </x:c>
      <x:c r="I1059" s="8" t="n">
        <x:v>0</x:v>
      </x:c>
      <x:c r="J1059" s="8" t="n">
        <x:v>296</x:v>
      </x:c>
      <x:c r="K1059" s="8" t="n">
        <x:v>2151</x:v>
      </x:c>
      <x:c r="L1059" s="1" t="str">
        <x:v>Нет</x:v>
      </x:c>
      <x:c r="M1059" s="1" t="n">
        <x:v>289098</x:v>
      </x:c>
    </x:row>
    <x:row r="1060">
      <x:c r="A1060" s="1" t="str">
        <x:v>233502092</x:v>
      </x:c>
      <x:c r="B1060" s="1" t="str">
        <x:v>hudiboy/черный</x:v>
      </x:c>
      <x:c r="C1060" s="1" t="str">
        <x:v>Худи</x:v>
      </x:c>
      <x:c r="D1060" s="9" t="n">
        <x:v>7.7</x:v>
      </x:c>
      <x:c r="E1060" s="8" t="n">
        <x:v>9814</x:v>
      </x:c>
      <x:c r="F1060" s="8" t="n">
        <x:v>134</x:v>
      </x:c>
      <x:c r="G1060" s="8" t="n">
        <x:v>103352</x:v>
      </x:c>
      <x:c r="H1060" s="8" t="n">
        <x:v>135</x:v>
      </x:c>
      <x:c r="I1060" s="8" t="n">
        <x:v>0</x:v>
      </x:c>
      <x:c r="J1060" s="8" t="n">
        <x:v>352</x:v>
      </x:c>
      <x:c r="K1060" s="8" t="n">
        <x:v>1243</x:v>
      </x:c>
      <x:c r="L1060" s="1" t="str">
        <x:v>Нет</x:v>
      </x:c>
      <x:c r="M1060" s="1" t="n">
        <x:v>295850</x:v>
      </x:c>
    </x:row>
    <x:row r="1061">
      <x:c r="A1061" s="1" t="str">
        <x:v>221503640</x:v>
      </x:c>
      <x:c r="B1061" s="1" t="str">
        <x:v>baza/персиковый</x:v>
      </x:c>
      <x:c r="C1061" s="1" t="str">
        <x:v>Футболки</x:v>
      </x:c>
      <x:c r="D1061" s="9" t="n">
        <x:v>8.2</x:v>
      </x:c>
      <x:c r="E1061" s="8" t="n">
        <x:v>32464</x:v>
      </x:c>
      <x:c r="F1061" s="8" t="n">
        <x:v>232</x:v>
      </x:c>
      <x:c r="G1061" s="8" t="n">
        <x:v>102961</x:v>
      </x:c>
      <x:c r="H1061" s="8" t="n">
        <x:v>344</x:v>
      </x:c>
      <x:c r="I1061" s="8" t="n">
        <x:v>0</x:v>
      </x:c>
      <x:c r="J1061" s="8" t="n">
        <x:v>243</x:v>
      </x:c>
      <x:c r="K1061" s="8" t="n">
        <x:v>966</x:v>
      </x:c>
      <x:c r="L1061" s="1" t="str">
        <x:v>Нет</x:v>
      </x:c>
      <x:c r="M1061" s="1" t="n">
        <x:v>124944</x:v>
      </x:c>
    </x:row>
    <x:row r="1062">
      <x:c r="A1062" s="1" t="str">
        <x:v>222293190</x:v>
      </x:c>
      <x:c r="B1062" s="1" t="str">
        <x:v>futbolkaprint/BrighterDays-129/белый</x:v>
      </x:c>
      <x:c r="C1062" s="1" t="str">
        <x:v>Футболки</x:v>
      </x:c>
      <x:c r="D1062" s="9" t="n">
        <x:v>8.7</x:v>
      </x:c>
      <x:c r="E1062" s="8" t="n">
        <x:v>21841</x:v>
      </x:c>
      <x:c r="F1062" s="8" t="n">
        <x:v>140</x:v>
      </x:c>
      <x:c r="G1062" s="8" t="n">
        <x:v>102578</x:v>
      </x:c>
      <x:c r="H1062" s="8" t="n">
        <x:v>0</x:v>
      </x:c>
      <x:c r="I1062" s="8" t="n">
        <x:v>0</x:v>
      </x:c>
      <x:c r="J1062" s="8" t="n">
        <x:v>520</x:v>
      </x:c>
      <x:c r="K1062" s="8" t="n">
        <x:v>1153</x:v>
      </x:c>
      <x:c r="L1062" s="1" t="str">
        <x:v>Нет</x:v>
      </x:c>
      <x:c r="M1062" s="1" t="n">
        <x:v>341530</x:v>
      </x:c>
    </x:row>
    <x:row r="1063">
      <x:c r="A1063" s="1" t="str">
        <x:v>232234734</x:v>
      </x:c>
      <x:c r="B1063" s="1" t="str">
        <x:v>hudivish/Dream-11в/темно-серый</x:v>
      </x:c>
      <x:c r="C1063" s="1" t="str">
        <x:v>Худи</x:v>
      </x:c>
      <x:c r="D1063" s="9" t="n">
        <x:v>9.7</x:v>
      </x:c>
      <x:c r="E1063" s="8" t="n">
        <x:v>14662</x:v>
      </x:c>
      <x:c r="F1063" s="8" t="n">
        <x:v>140</x:v>
      </x:c>
      <x:c r="G1063" s="8" t="n">
        <x:v>102568</x:v>
      </x:c>
      <x:c r="H1063" s="8" t="n">
        <x:v>0</x:v>
      </x:c>
      <x:c r="I1063" s="8" t="n">
        <x:v>0</x:v>
      </x:c>
      <x:c r="J1063" s="8" t="n">
        <x:v>341</x:v>
      </x:c>
      <x:c r="K1063" s="8" t="n">
        <x:v>2099</x:v>
      </x:c>
      <x:c r="L1063" s="1" t="str">
        <x:v>Нет</x:v>
      </x:c>
      <x:c r="M1063" s="1" t="n">
        <x:v>226800</x:v>
      </x:c>
    </x:row>
    <x:row r="1064">
      <x:c r="A1064" s="1" t="str">
        <x:v>336295687</x:v>
      </x:c>
      <x:c r="B1064" s="1" t="str">
        <x:v>futbolkaoverhlop/бордовый</x:v>
      </x:c>
      <x:c r="C1064" s="1" t="str">
        <x:v>Футболки</x:v>
      </x:c>
      <x:c r="D1064" s="9" t="n">
        <x:v>9.7</x:v>
      </x:c>
      <x:c r="E1064" s="8" t="n">
        <x:v>21127</x:v>
      </x:c>
      <x:c r="F1064" s="8" t="n">
        <x:v>319</x:v>
      </x:c>
      <x:c r="G1064" s="8" t="n">
        <x:v>102500</x:v>
      </x:c>
      <x:c r="H1064" s="8" t="n">
        <x:v>168</x:v>
      </x:c>
      <x:c r="I1064" s="8" t="n">
        <x:v>0</x:v>
      </x:c>
      <x:c r="J1064" s="8" t="n">
        <x:v>0</x:v>
      </x:c>
      <x:c r="K1064" s="8" t="n">
        <x:v>890</x:v>
      </x:c>
      <x:c r="L1064" s="1" t="str">
        <x:v>Нет</x:v>
      </x:c>
      <x:c r="M1064" s="1" t="n">
        <x:v>0</x:v>
      </x:c>
    </x:row>
    <x:row r="1065">
      <x:c r="A1065" s="1" t="str">
        <x:v>160478470</x:v>
      </x:c>
      <x:c r="B1065" s="1" t="str">
        <x:v>shortyman/черный</x:v>
      </x:c>
      <x:c r="C1065" s="1" t="str">
        <x:v>Шорты</x:v>
      </x:c>
      <x:c r="D1065" s="9" t="n">
        <x:v>6.2</x:v>
      </x:c>
      <x:c r="E1065" s="8" t="n">
        <x:v>6806</x:v>
      </x:c>
      <x:c r="F1065" s="8" t="n">
        <x:v>221</x:v>
      </x:c>
      <x:c r="G1065" s="8" t="n">
        <x:v>102430</x:v>
      </x:c>
      <x:c r="H1065" s="8" t="n">
        <x:v>0</x:v>
      </x:c>
      <x:c r="I1065" s="8" t="n">
        <x:v>0</x:v>
      </x:c>
      <x:c r="J1065" s="8" t="n">
        <x:v>0</x:v>
      </x:c>
      <x:c r="K1065" s="8" t="n">
        <x:v>882</x:v>
      </x:c>
      <x:c r="L1065" s="1" t="str">
        <x:v>Нет</x:v>
      </x:c>
      <x:c r="M1065" s="1" t="n">
        <x:v>0</x:v>
      </x:c>
    </x:row>
    <x:row r="1066">
      <x:c r="A1066" s="1" t="str">
        <x:v>246362937</x:v>
      </x:c>
      <x:c r="B1066" s="1" t="str">
        <x:v>tolstovkazipman/голубой</x:v>
      </x:c>
      <x:c r="C1066" s="1" t="str">
        <x:v>Худи</x:v>
      </x:c>
      <x:c r="D1066" s="9" t="n">
        <x:v>9</x:v>
      </x:c>
      <x:c r="E1066" s="8" t="n">
        <x:v>9965</x:v>
      </x:c>
      <x:c r="F1066" s="8" t="n">
        <x:v>75</x:v>
      </x:c>
      <x:c r="G1066" s="8" t="n">
        <x:v>102208</x:v>
      </x:c>
      <x:c r="H1066" s="8" t="n">
        <x:v>0</x:v>
      </x:c>
      <x:c r="I1066" s="8" t="n">
        <x:v>0</x:v>
      </x:c>
      <x:c r="J1066" s="8" t="n">
        <x:v>127</x:v>
      </x:c>
      <x:c r="K1066" s="8" t="n">
        <x:v>3428</x:v>
      </x:c>
      <x:c r="L1066" s="1" t="str">
        <x:v>Нет</x:v>
      </x:c>
      <x:c r="M1066" s="1" t="n">
        <x:v>178620</x:v>
      </x:c>
    </x:row>
    <x:row r="1067">
      <x:c r="A1067" s="1" t="str">
        <x:v>322127868</x:v>
      </x:c>
      <x:c r="B1067" s="1" t="str">
        <x:v>shorts3n3P-87/черный</x:v>
      </x:c>
      <x:c r="C1067" s="1" t="str">
        <x:v>Шорты</x:v>
      </x:c>
      <x:c r="D1067" s="9" t="n">
        <x:v>7.9</x:v>
      </x:c>
      <x:c r="E1067" s="8" t="n">
        <x:v>14717</x:v>
      </x:c>
      <x:c r="F1067" s="8" t="n">
        <x:v>244</x:v>
      </x:c>
      <x:c r="G1067" s="8" t="n">
        <x:v>102193</x:v>
      </x:c>
      <x:c r="H1067" s="8" t="n">
        <x:v>529</x:v>
      </x:c>
      <x:c r="I1067" s="8" t="n">
        <x:v>0</x:v>
      </x:c>
      <x:c r="J1067" s="8" t="n">
        <x:v>6</x:v>
      </x:c>
      <x:c r="K1067" s="8" t="n">
        <x:v>1258</x:v>
      </x:c>
      <x:c r="L1067" s="1" t="str">
        <x:v>Нет</x:v>
      </x:c>
      <x:c r="M1067" s="1" t="n">
        <x:v>5520</x:v>
      </x:c>
    </x:row>
    <x:row r="1068">
      <x:c r="A1068" s="1" t="str">
        <x:v>195712675</x:v>
      </x:c>
      <x:c r="B1068" s="1" t="str">
        <x:v>sweater/светло-фиолетовый</x:v>
      </x:c>
      <x:c r="C1068" s="1" t="str">
        <x:v>Свитшоты</x:v>
      </x:c>
      <x:c r="D1068" s="9" t="n">
        <x:v>9.7</x:v>
      </x:c>
      <x:c r="E1068" s="8" t="n">
        <x:v>20395</x:v>
      </x:c>
      <x:c r="F1068" s="8" t="n">
        <x:v>189</x:v>
      </x:c>
      <x:c r="G1068" s="8" t="n">
        <x:v>102041</x:v>
      </x:c>
      <x:c r="H1068" s="8" t="n">
        <x:v>39</x:v>
      </x:c>
      <x:c r="I1068" s="8" t="n">
        <x:v>0</x:v>
      </x:c>
      <x:c r="J1068" s="8" t="n">
        <x:v>344</x:v>
      </x:c>
      <x:c r="K1068" s="8" t="n">
        <x:v>2562</x:v>
      </x:c>
      <x:c r="L1068" s="1" t="str">
        <x:v>Нет</x:v>
      </x:c>
      <x:c r="M1068" s="1" t="n">
        <x:v>262962</x:v>
      </x:c>
    </x:row>
    <x:row r="1069">
      <x:c r="A1069" s="1" t="str">
        <x:v>212947278</x:v>
      </x:c>
      <x:c r="B1069" s="1" t="str">
        <x:v>hudiprint/SinMoreSelf-91/серыймеланж2</x:v>
      </x:c>
      <x:c r="C1069" s="1" t="str">
        <x:v>Худи</x:v>
      </x:c>
      <x:c r="D1069" s="9" t="n">
        <x:v>8.7</x:v>
      </x:c>
      <x:c r="E1069" s="8" t="n">
        <x:v>6002</x:v>
      </x:c>
      <x:c r="F1069" s="8" t="n">
        <x:v>87</x:v>
      </x:c>
      <x:c r="G1069" s="8" t="n">
        <x:v>102032</x:v>
      </x:c>
      <x:c r="H1069" s="8" t="n">
        <x:v>2</x:v>
      </x:c>
      <x:c r="I1069" s="8" t="n">
        <x:v>0</x:v>
      </x:c>
      <x:c r="J1069" s="8" t="n">
        <x:v>198</x:v>
      </x:c>
      <x:c r="K1069" s="8" t="n">
        <x:v>2584</x:v>
      </x:c>
      <x:c r="L1069" s="1" t="str">
        <x:v>Нет</x:v>
      </x:c>
      <x:c r="M1069" s="1" t="n">
        <x:v>244596</x:v>
      </x:c>
    </x:row>
    <x:row r="1070">
      <x:c r="A1070" s="1" t="str">
        <x:v>289098366</x:v>
      </x:c>
      <x:c r="B1070" s="1" t="str">
        <x:v>tolstovkazip3F-71/бордовый</x:v>
      </x:c>
      <x:c r="C1070" s="1" t="str">
        <x:v>Худи</x:v>
      </x:c>
      <x:c r="D1070" s="9" t="n">
        <x:v>9.7</x:v>
      </x:c>
      <x:c r="E1070" s="8" t="n">
        <x:v>21175</x:v>
      </x:c>
      <x:c r="F1070" s="8" t="n">
        <x:v>85</x:v>
      </x:c>
      <x:c r="G1070" s="8" t="n">
        <x:v>101856</x:v>
      </x:c>
      <x:c r="H1070" s="8" t="n">
        <x:v>1</x:v>
      </x:c>
      <x:c r="I1070" s="8" t="n">
        <x:v>0</x:v>
      </x:c>
      <x:c r="J1070" s="8" t="n">
        <x:v>416</x:v>
      </x:c>
      <x:c r="K1070" s="8" t="n">
        <x:v>2821</x:v>
      </x:c>
      <x:c r="L1070" s="1" t="str">
        <x:v>Нет</x:v>
      </x:c>
      <x:c r="M1070" s="1" t="n">
        <x:v>506226</x:v>
      </x:c>
    </x:row>
    <x:row r="1071">
      <x:c r="A1071" s="1" t="str">
        <x:v>271383078</x:v>
      </x:c>
      <x:c r="B1071" s="1" t="str">
        <x:v>shtanyfix/бордовый</x:v>
      </x:c>
      <x:c r="C1071" s="1" t="str">
        <x:v>Брюки</x:v>
      </x:c>
      <x:c r="D1071" s="9" t="n">
        <x:v>8.2</x:v>
      </x:c>
      <x:c r="E1071" s="8" t="n">
        <x:v>11180</x:v>
      </x:c>
      <x:c r="F1071" s="8" t="n">
        <x:v>123</x:v>
      </x:c>
      <x:c r="G1071" s="8" t="n">
        <x:v>101088</x:v>
      </x:c>
      <x:c r="H1071" s="8" t="n">
        <x:v>3</x:v>
      </x:c>
      <x:c r="I1071" s="8" t="n">
        <x:v>0</x:v>
      </x:c>
      <x:c r="J1071" s="8" t="n">
        <x:v>4</x:v>
      </x:c>
      <x:c r="K1071" s="8" t="n">
        <x:v>2809</x:v>
      </x:c>
      <x:c r="L1071" s="1" t="str">
        <x:v>Нет</x:v>
      </x:c>
      <x:c r="M1071" s="1" t="n">
        <x:v>2808</x:v>
      </x:c>
    </x:row>
    <x:row r="1072">
      <x:c r="A1072" s="1" t="str">
        <x:v>71994016</x:v>
      </x:c>
      <x:c r="B1072" s="1" t="str">
        <x:v>brukiman/песочный</x:v>
      </x:c>
      <x:c r="C1072" s="1" t="str">
        <x:v>Брюки</x:v>
      </x:c>
      <x:c r="D1072" s="9" t="n">
        <x:v>7.7</x:v>
      </x:c>
      <x:c r="E1072" s="8" t="n">
        <x:v>5462</x:v>
      </x:c>
      <x:c r="F1072" s="8" t="n">
        <x:v>162</x:v>
      </x:c>
      <x:c r="G1072" s="8" t="n">
        <x:v>100769</x:v>
      </x:c>
      <x:c r="H1072" s="8" t="n">
        <x:v>555</x:v>
      </x:c>
      <x:c r="I1072" s="8" t="n">
        <x:v>0</x:v>
      </x:c>
      <x:c r="J1072" s="8" t="n">
        <x:v>321</x:v>
      </x:c>
      <x:c r="K1072" s="8" t="n">
        <x:v>2079</x:v>
      </x:c>
      <x:c r="L1072" s="1" t="str">
        <x:v>Нет</x:v>
      </x:c>
      <x:c r="M1072" s="1" t="n">
        <x:v>210836</x:v>
      </x:c>
    </x:row>
    <x:row r="1073">
      <x:c r="A1073" s="1" t="str">
        <x:v>333088568</x:v>
      </x:c>
      <x:c r="B1073" s="1" t="str">
        <x:v>brukizshp3P-S-1/винный</x:v>
      </x:c>
      <x:c r="C1073" s="1" t="str">
        <x:v>Брюки</x:v>
      </x:c>
      <x:c r="D1073" s="9" t="n">
        <x:v>8.4</x:v>
      </x:c>
      <x:c r="E1073" s="8" t="n">
        <x:v>24178</x:v>
      </x:c>
      <x:c r="F1073" s="8" t="n">
        <x:v>106</x:v>
      </x:c>
      <x:c r="G1073" s="8" t="n">
        <x:v>100409</x:v>
      </x:c>
      <x:c r="H1073" s="8" t="n">
        <x:v>144</x:v>
      </x:c>
      <x:c r="I1073" s="8" t="n">
        <x:v>0</x:v>
      </x:c>
      <x:c r="J1073" s="8" t="n">
        <x:v>37</x:v>
      </x:c>
      <x:c r="K1073" s="8" t="n">
        <x:v>2903</x:v>
      </x:c>
      <x:c r="L1073" s="1" t="str">
        <x:v>Нет</x:v>
      </x:c>
      <x:c r="M1073" s="1" t="n">
        <x:v>28000</x:v>
      </x:c>
    </x:row>
    <x:row r="1074">
      <x:c r="A1074" s="1" t="str">
        <x:v>165911149</x:v>
      </x:c>
      <x:c r="B1074" s="1" t="str">
        <x:v>longman/кофейный</x:v>
      </x:c>
      <x:c r="C1074" s="1" t="str">
        <x:v>Лонгсливы</x:v>
      </x:c>
      <x:c r="D1074" s="9" t="n">
        <x:v>5.2</x:v>
      </x:c>
      <x:c r="E1074" s="8" t="n">
        <x:v>10130</x:v>
      </x:c>
      <x:c r="F1074" s="8" t="n">
        <x:v>257</x:v>
      </x:c>
      <x:c r="G1074" s="8" t="n">
        <x:v>100234</x:v>
      </x:c>
      <x:c r="H1074" s="8" t="n">
        <x:v>1200</x:v>
      </x:c>
      <x:c r="I1074" s="8" t="n">
        <x:v>0</x:v>
      </x:c>
      <x:c r="J1074" s="8" t="n">
        <x:v>175</x:v>
      </x:c>
      <x:c r="K1074" s="8" t="n">
        <x:v>961</x:v>
      </x:c>
      <x:c r="L1074" s="1" t="str">
        <x:v>Нет</x:v>
      </x:c>
      <x:c r="M1074" s="1" t="n">
        <x:v>90801</x:v>
      </x:c>
    </x:row>
    <x:row r="1075">
      <x:c r="A1075" s="1" t="str">
        <x:v>19079979</x:v>
      </x:c>
      <x:c r="B1075" s="1" t="str">
        <x:v>kostyum/молочный</x:v>
      </x:c>
      <x:c r="C1075" s="1" t="str">
        <x:v>Костюмы спортивные</x:v>
      </x:c>
      <x:c r="D1075" s="9" t="n">
        <x:v>8.7</x:v>
      </x:c>
      <x:c r="E1075" s="8" t="n">
        <x:v>55623</x:v>
      </x:c>
      <x:c r="F1075" s="8" t="n">
        <x:v>80</x:v>
      </x:c>
      <x:c r="G1075" s="8" t="n">
        <x:v>99920</x:v>
      </x:c>
      <x:c r="H1075" s="8" t="n">
        <x:v>1015</x:v>
      </x:c>
      <x:c r="I1075" s="8" t="n">
        <x:v>0</x:v>
      </x:c>
      <x:c r="J1075" s="8" t="n">
        <x:v>182</x:v>
      </x:c>
      <x:c r="K1075" s="8" t="n">
        <x:v>4146</x:v>
      </x:c>
      <x:c r="L1075" s="1" t="str">
        <x:v>Нет</x:v>
      </x:c>
      <x:c r="M1075" s="1" t="n">
        <x:v>210040</x:v>
      </x:c>
    </x:row>
    <x:row r="1076">
      <x:c r="A1076" s="1" t="str">
        <x:v>293297747</x:v>
      </x:c>
      <x:c r="B1076" s="1" t="str">
        <x:v>2Nlongman4D-69/графит</x:v>
      </x:c>
      <x:c r="C1076" s="1" t="str">
        <x:v>Лонгсливы</x:v>
      </x:c>
      <x:c r="D1076" s="9" t="n">
        <x:v>9</x:v>
      </x:c>
      <x:c r="E1076" s="8" t="n">
        <x:v>20332</x:v>
      </x:c>
      <x:c r="F1076" s="8" t="n">
        <x:v>173</x:v>
      </x:c>
      <x:c r="G1076" s="8" t="n">
        <x:v>99503</x:v>
      </x:c>
      <x:c r="H1076" s="8" t="n">
        <x:v>0</x:v>
      </x:c>
      <x:c r="I1076" s="8" t="n">
        <x:v>0</x:v>
      </x:c>
      <x:c r="J1076" s="8" t="n">
        <x:v>173</x:v>
      </x:c>
      <x:c r="K1076" s="8" t="n">
        <x:v>1176</x:v>
      </x:c>
      <x:c r="L1076" s="1" t="str">
        <x:v>Нет</x:v>
      </x:c>
      <x:c r="M1076" s="1" t="n">
        <x:v>107473</x:v>
      </x:c>
    </x:row>
    <x:row r="1077">
      <x:c r="A1077" s="1" t="str">
        <x:v>296192289</x:v>
      </x:c>
      <x:c r="B1077" s="1" t="str">
        <x:v>fixman4F-78/серыймеланж2</x:v>
      </x:c>
      <x:c r="C1077" s="1" t="str">
        <x:v>Брюки</x:v>
      </x:c>
      <x:c r="D1077" s="9" t="n">
        <x:v>8.2</x:v>
      </x:c>
      <x:c r="E1077" s="8" t="n">
        <x:v>15054</x:v>
      </x:c>
      <x:c r="F1077" s="8" t="n">
        <x:v>251</x:v>
      </x:c>
      <x:c r="G1077" s="8" t="n">
        <x:v>99404</x:v>
      </x:c>
      <x:c r="H1077" s="8" t="n">
        <x:v>404</x:v>
      </x:c>
      <x:c r="I1077" s="8" t="n">
        <x:v>0</x:v>
      </x:c>
      <x:c r="J1077" s="8" t="n">
        <x:v>161</x:v>
      </x:c>
      <x:c r="K1077" s="8" t="n">
        <x:v>2208</x:v>
      </x:c>
      <x:c r="L1077" s="1" t="str">
        <x:v>Нет</x:v>
      </x:c>
      <x:c r="M1077" s="1" t="n">
        <x:v>75468</x:v>
      </x:c>
    </x:row>
    <x:row r="1078">
      <x:c r="A1078" s="1" t="str">
        <x:v>202779197</x:v>
      </x:c>
      <x:c r="B1078" s="1" t="str">
        <x:v>hudiprint/Notmood-59/молочный</x:v>
      </x:c>
      <x:c r="C1078" s="1" t="str">
        <x:v>Худи</x:v>
      </x:c>
      <x:c r="D1078" s="9" t="n">
        <x:v>7.7</x:v>
      </x:c>
      <x:c r="E1078" s="8" t="n">
        <x:v>9228</x:v>
      </x:c>
      <x:c r="F1078" s="8" t="n">
        <x:v>93</x:v>
      </x:c>
      <x:c r="G1078" s="8" t="n">
        <x:v>97908</x:v>
      </x:c>
      <x:c r="H1078" s="8" t="n">
        <x:v>0</x:v>
      </x:c>
      <x:c r="I1078" s="8" t="n">
        <x:v>0</x:v>
      </x:c>
      <x:c r="J1078" s="8" t="n">
        <x:v>311</x:v>
      </x:c>
      <x:c r="K1078" s="8" t="n">
        <x:v>2087</x:v>
      </x:c>
      <x:c r="L1078" s="1" t="str">
        <x:v>Нет</x:v>
      </x:c>
      <x:c r="M1078" s="1" t="n">
        <x:v>350533</x:v>
      </x:c>
    </x:row>
    <x:row r="1079">
      <x:c r="A1079" s="1" t="str">
        <x:v>193100144</x:v>
      </x:c>
      <x:c r="B1079" s="1" t="str">
        <x:v>svitshotzip1/голубой</x:v>
      </x:c>
      <x:c r="C1079" s="1" t="str">
        <x:v>Свитшоты</x:v>
      </x:c>
      <x:c r="D1079" s="9" t="n">
        <x:v>9.7</x:v>
      </x:c>
      <x:c r="E1079" s="8" t="n">
        <x:v>12929</x:v>
      </x:c>
      <x:c r="F1079" s="8" t="n">
        <x:v>130</x:v>
      </x:c>
      <x:c r="G1079" s="8" t="n">
        <x:v>97900</x:v>
      </x:c>
      <x:c r="H1079" s="8" t="n">
        <x:v>41</x:v>
      </x:c>
      <x:c r="I1079" s="8" t="n">
        <x:v>0</x:v>
      </x:c>
      <x:c r="J1079" s="8" t="n">
        <x:v>230</x:v>
      </x:c>
      <x:c r="K1079" s="8" t="n">
        <x:v>2637</x:v>
      </x:c>
      <x:c r="L1079" s="1" t="str">
        <x:v>Нет</x:v>
      </x:c>
      <x:c r="M1079" s="1" t="n">
        <x:v>227868</x:v>
      </x:c>
    </x:row>
    <x:row r="1080">
      <x:c r="A1080" s="1" t="str">
        <x:v>313189786</x:v>
      </x:c>
      <x:c r="B1080" s="1" t="str">
        <x:v>longoverX2/чер-бел</x:v>
      </x:c>
      <x:c r="C1080" s="1" t="str">
        <x:v>Лонгсливы</x:v>
      </x:c>
      <x:c r="D1080" s="9" t="n">
        <x:v>8.7</x:v>
      </x:c>
      <x:c r="E1080" s="8" t="n">
        <x:v>6347</x:v>
      </x:c>
      <x:c r="F1080" s="8" t="n">
        <x:v>108</x:v>
      </x:c>
      <x:c r="G1080" s="8" t="n">
        <x:v>97641</x:v>
      </x:c>
      <x:c r="H1080" s="8" t="n">
        <x:v>105</x:v>
      </x:c>
      <x:c r="I1080" s="8" t="n">
        <x:v>0</x:v>
      </x:c>
      <x:c r="J1080" s="8" t="n">
        <x:v>371</x:v>
      </x:c>
      <x:c r="K1080" s="8" t="n">
        <x:v>1991</x:v>
      </x:c>
      <x:c r="L1080" s="1" t="str">
        <x:v>Нет</x:v>
      </x:c>
      <x:c r="M1080" s="1" t="n">
        <x:v>413163</x:v>
      </x:c>
    </x:row>
    <x:row r="1081">
      <x:c r="A1081" s="1" t="str">
        <x:v>340601816</x:v>
      </x:c>
      <x:c r="B1081" s="1" t="str">
        <x:v>futbolkaover/графит</x:v>
      </x:c>
      <x:c r="C1081" s="1" t="str">
        <x:v>Футболки</x:v>
      </x:c>
      <x:c r="D1081" s="9" t="n">
        <x:v>9.7</x:v>
      </x:c>
      <x:c r="E1081" s="8" t="n">
        <x:v>21276</x:v>
      </x:c>
      <x:c r="F1081" s="8" t="n">
        <x:v>221</x:v>
      </x:c>
      <x:c r="G1081" s="8" t="n">
        <x:v>97608</x:v>
      </x:c>
      <x:c r="H1081" s="8" t="n">
        <x:v>43</x:v>
      </x:c>
      <x:c r="I1081" s="8" t="n">
        <x:v>0</x:v>
      </x:c>
      <x:c r="J1081" s="8" t="n">
        <x:v>0</x:v>
      </x:c>
      <x:c r="K1081" s="8" t="n">
        <x:v>1050</x:v>
      </x:c>
      <x:c r="L1081" s="1" t="str">
        <x:v>Нет</x:v>
      </x:c>
      <x:c r="M1081" s="1" t="n">
        <x:v>0</x:v>
      </x:c>
    </x:row>
    <x:row r="1082">
      <x:c r="A1082" s="1" t="str">
        <x:v>344410702</x:v>
      </x:c>
      <x:c r="B1082" s="1" t="str">
        <x:v>maykaman/белый</x:v>
      </x:c>
      <x:c r="C1082" s="1" t="str">
        <x:v>Футболки</x:v>
      </x:c>
      <x:c r="D1082" s="9" t="n">
        <x:v>9</x:v>
      </x:c>
      <x:c r="E1082" s="8" t="n">
        <x:v>17168</x:v>
      </x:c>
      <x:c r="F1082" s="8" t="n">
        <x:v>221</x:v>
      </x:c>
      <x:c r="G1082" s="8" t="n">
        <x:v>97514</x:v>
      </x:c>
      <x:c r="H1082" s="8" t="n">
        <x:v>1070</x:v>
      </x:c>
      <x:c r="I1082" s="8" t="n">
        <x:v>0</x:v>
      </x:c>
      <x:c r="J1082" s="8" t="n">
        <x:v>0</x:v>
      </x:c>
      <x:c r="K1082" s="8" t="n">
        <x:v>865</x:v>
      </x:c>
      <x:c r="L1082" s="1" t="str">
        <x:v>Нет</x:v>
      </x:c>
      <x:c r="M1082" s="1" t="n">
        <x:v>0</x:v>
      </x:c>
    </x:row>
    <x:row r="1083">
      <x:c r="A1083" s="1" t="str">
        <x:v>241638622</x:v>
      </x:c>
      <x:c r="B1083" s="1" t="str">
        <x:v>hudiprint/MovesWithLove-135/песочный</x:v>
      </x:c>
      <x:c r="C1083" s="1" t="str">
        <x:v>Худи</x:v>
      </x:c>
      <x:c r="D1083" s="9" t="n">
        <x:v>8.7</x:v>
      </x:c>
      <x:c r="E1083" s="8" t="n">
        <x:v>9585</x:v>
      </x:c>
      <x:c r="F1083" s="8" t="n">
        <x:v>114</x:v>
      </x:c>
      <x:c r="G1083" s="8" t="n">
        <x:v>97310</x:v>
      </x:c>
      <x:c r="H1083" s="8" t="n">
        <x:v>0</x:v>
      </x:c>
      <x:c r="I1083" s="8" t="n">
        <x:v>0</x:v>
      </x:c>
      <x:c r="J1083" s="8" t="n">
        <x:v>356</x:v>
      </x:c>
      <x:c r="K1083" s="8" t="n">
        <x:v>2125</x:v>
      </x:c>
      <x:c r="L1083" s="1" t="str">
        <x:v>Нет</x:v>
      </x:c>
      <x:c r="M1083" s="1" t="n">
        <x:v>327264</x:v>
      </x:c>
    </x:row>
    <x:row r="1084">
      <x:c r="A1084" s="1" t="str">
        <x:v>178309512</x:v>
      </x:c>
      <x:c r="B1084" s="1" t="str">
        <x:v>svitcrop/фуме</x:v>
      </x:c>
      <x:c r="C1084" s="1" t="str">
        <x:v>Лонгсливы</x:v>
      </x:c>
      <x:c r="D1084" s="9" t="n">
        <x:v>9.7</x:v>
      </x:c>
      <x:c r="E1084" s="8" t="n">
        <x:v>12922</x:v>
      </x:c>
      <x:c r="F1084" s="8" t="n">
        <x:v>235</x:v>
      </x:c>
      <x:c r="G1084" s="8" t="n">
        <x:v>96973</x:v>
      </x:c>
      <x:c r="H1084" s="8" t="n">
        <x:v>1</x:v>
      </x:c>
      <x:c r="I1084" s="8" t="n">
        <x:v>0</x:v>
      </x:c>
      <x:c r="J1084" s="8" t="n">
        <x:v>334</x:v>
      </x:c>
      <x:c r="K1084" s="8" t="n">
        <x:v>935</x:v>
      </x:c>
      <x:c r="L1084" s="1" t="str">
        <x:v>Нет</x:v>
      </x:c>
      <x:c r="M1084" s="1" t="n">
        <x:v>153719</x:v>
      </x:c>
    </x:row>
    <x:row r="1085">
      <x:c r="A1085" s="1" t="str">
        <x:v>344443983</x:v>
      </x:c>
      <x:c r="B1085" s="1" t="str">
        <x:v>maykaman/молочный</x:v>
      </x:c>
      <x:c r="C1085" s="1" t="str">
        <x:v>Футболки</x:v>
      </x:c>
      <x:c r="D1085" s="9" t="n">
        <x:v>9</x:v>
      </x:c>
      <x:c r="E1085" s="8" t="n">
        <x:v>18957</x:v>
      </x:c>
      <x:c r="F1085" s="8" t="n">
        <x:v>221</x:v>
      </x:c>
      <x:c r="G1085" s="8" t="n">
        <x:v>96712</x:v>
      </x:c>
      <x:c r="H1085" s="8" t="n">
        <x:v>1871</x:v>
      </x:c>
      <x:c r="I1085" s="8" t="n">
        <x:v>0</x:v>
      </x:c>
      <x:c r="J1085" s="8" t="n">
        <x:v>0</x:v>
      </x:c>
      <x:c r="K1085" s="8" t="n">
        <x:v>873</x:v>
      </x:c>
      <x:c r="L1085" s="1" t="str">
        <x:v>Нет</x:v>
      </x:c>
      <x:c r="M1085" s="1" t="n">
        <x:v>0</x:v>
      </x:c>
    </x:row>
    <x:row r="1086">
      <x:c r="A1086" s="1" t="str">
        <x:v>333121380</x:v>
      </x:c>
      <x:c r="B1086" s="1" t="str">
        <x:v>topmayka/какао</x:v>
      </x:c>
      <x:c r="C1086" s="1" t="str">
        <x:v>Топы</x:v>
      </x:c>
      <x:c r="D1086" s="9" t="n">
        <x:v>9</x:v>
      </x:c>
      <x:c r="E1086" s="8" t="n">
        <x:v>16568</x:v>
      </x:c>
      <x:c r="F1086" s="8" t="n">
        <x:v>371</x:v>
      </x:c>
      <x:c r="G1086" s="8" t="n">
        <x:v>96543</x:v>
      </x:c>
      <x:c r="H1086" s="8" t="n">
        <x:v>250</x:v>
      </x:c>
      <x:c r="I1086" s="8" t="n">
        <x:v>0</x:v>
      </x:c>
      <x:c r="J1086" s="8" t="n">
        <x:v>0</x:v>
      </x:c>
      <x:c r="K1086" s="8" t="n">
        <x:v>671</x:v>
      </x:c>
      <x:c r="L1086" s="1" t="str">
        <x:v>Нет</x:v>
      </x:c>
      <x:c r="M1086" s="1" t="n">
        <x:v>0</x:v>
      </x:c>
    </x:row>
    <x:row r="1087">
      <x:c r="A1087" s="1" t="str">
        <x:v>176976179</x:v>
      </x:c>
      <x:c r="B1087" s="1" t="str">
        <x:v>hudi1size/песочный</x:v>
      </x:c>
      <x:c r="C1087" s="1" t="str">
        <x:v>Худи</x:v>
      </x:c>
      <x:c r="D1087" s="9" t="n">
        <x:v>9.7</x:v>
      </x:c>
      <x:c r="E1087" s="8" t="n">
        <x:v>4504</x:v>
      </x:c>
      <x:c r="F1087" s="8" t="n">
        <x:v>78</x:v>
      </x:c>
      <x:c r="G1087" s="8" t="n">
        <x:v>96457</x:v>
      </x:c>
      <x:c r="H1087" s="8" t="n">
        <x:v>0</x:v>
      </x:c>
      <x:c r="I1087" s="8" t="n">
        <x:v>0</x:v>
      </x:c>
      <x:c r="J1087" s="8" t="n">
        <x:v>132</x:v>
      </x:c>
      <x:c r="K1087" s="8" t="n">
        <x:v>2472</x:v>
      </x:c>
      <x:c r="L1087" s="1" t="str">
        <x:v>Нет</x:v>
      </x:c>
      <x:c r="M1087" s="1" t="n">
        <x:v>120540</x:v>
      </x:c>
    </x:row>
    <x:row r="1088">
      <x:c r="A1088" s="1" t="str">
        <x:v>289095362</x:v>
      </x:c>
      <x:c r="B1088" s="1" t="str">
        <x:v>palazzoshnurok/голубой</x:v>
      </x:c>
      <x:c r="C1088" s="1" t="str">
        <x:v>Брюки</x:v>
      </x:c>
      <x:c r="D1088" s="9" t="n">
        <x:v>8.7</x:v>
      </x:c>
      <x:c r="E1088" s="8" t="n">
        <x:v>15820</x:v>
      </x:c>
      <x:c r="F1088" s="8" t="n">
        <x:v>135</x:v>
      </x:c>
      <x:c r="G1088" s="8" t="n">
        <x:v>95848</x:v>
      </x:c>
      <x:c r="H1088" s="8" t="n">
        <x:v>141</x:v>
      </x:c>
      <x:c r="I1088" s="8" t="n">
        <x:v>0</x:v>
      </x:c>
      <x:c r="J1088" s="8" t="n">
        <x:v>240</x:v>
      </x:c>
      <x:c r="K1088" s="8" t="n">
        <x:v>2457</x:v>
      </x:c>
      <x:c r="L1088" s="1" t="str">
        <x:v>Нет</x:v>
      </x:c>
      <x:c r="M1088" s="1" t="n">
        <x:v>163893</x:v>
      </x:c>
    </x:row>
    <x:row r="1089">
      <x:c r="A1089" s="1" t="str">
        <x:v>237301025</x:v>
      </x:c>
      <x:c r="B1089" s="1" t="str">
        <x:v>longoverprint/BelGoodvibes-169/розовый</x:v>
      </x:c>
      <x:c r="C1089" s="1" t="str">
        <x:v>Лонгсливы</x:v>
      </x:c>
      <x:c r="D1089" s="9" t="n">
        <x:v>8.7</x:v>
      </x:c>
      <x:c r="E1089" s="8" t="n">
        <x:v>7232</x:v>
      </x:c>
      <x:c r="F1089" s="8" t="n">
        <x:v>140</x:v>
      </x:c>
      <x:c r="G1089" s="8" t="n">
        <x:v>95439</x:v>
      </x:c>
      <x:c r="H1089" s="8" t="n">
        <x:v>1</x:v>
      </x:c>
      <x:c r="I1089" s="8" t="n">
        <x:v>0</x:v>
      </x:c>
      <x:c r="J1089" s="8" t="n">
        <x:v>1002</x:v>
      </x:c>
      <x:c r="K1089" s="8" t="n">
        <x:v>1399</x:v>
      </x:c>
      <x:c r="L1089" s="1" t="str">
        <x:v>Нет</x:v>
      </x:c>
      <x:c r="M1089" s="1" t="n">
        <x:v>689398</x:v>
      </x:c>
    </x:row>
    <x:row r="1090">
      <x:c r="A1090" s="1" t="str">
        <x:v>245558083</x:v>
      </x:c>
      <x:c r="B1090" s="1" t="str">
        <x:v>hudimanprint/ComeOn-176/песочный</x:v>
      </x:c>
      <x:c r="C1090" s="1" t="str">
        <x:v>Худи</x:v>
      </x:c>
      <x:c r="D1090" s="9" t="n">
        <x:v>9.7</x:v>
      </x:c>
      <x:c r="E1090" s="8" t="n">
        <x:v>6922</x:v>
      </x:c>
      <x:c r="F1090" s="8" t="n">
        <x:v>107</x:v>
      </x:c>
      <x:c r="G1090" s="8" t="n">
        <x:v>95298</x:v>
      </x:c>
      <x:c r="H1090" s="8" t="n">
        <x:v>150</x:v>
      </x:c>
      <x:c r="I1090" s="8" t="n">
        <x:v>0</x:v>
      </x:c>
      <x:c r="J1090" s="8" t="n">
        <x:v>251</x:v>
      </x:c>
      <x:c r="K1090" s="8" t="n">
        <x:v>2437</x:v>
      </x:c>
      <x:c r="L1090" s="1" t="str">
        <x:v>Нет</x:v>
      </x:c>
      <x:c r="M1090" s="1" t="n">
        <x:v>212501</x:v>
      </x:c>
    </x:row>
    <x:row r="1091">
      <x:c r="A1091" s="1" t="str">
        <x:v>110533945</x:v>
      </x:c>
      <x:c r="B1091" s="1" t="str">
        <x:v>futbolka_mary/мандариновый</x:v>
      </x:c>
      <x:c r="C1091" s="1" t="str">
        <x:v>Футболки</x:v>
      </x:c>
      <x:c r="D1091" s="9" t="n">
        <x:v>5.2</x:v>
      </x:c>
      <x:c r="E1091" s="8" t="n">
        <x:v>19981</x:v>
      </x:c>
      <x:c r="F1091" s="8" t="n">
        <x:v>390</x:v>
      </x:c>
      <x:c r="G1091" s="8" t="n">
        <x:v>94246</x:v>
      </x:c>
      <x:c r="H1091" s="8" t="n">
        <x:v>6</x:v>
      </x:c>
      <x:c r="I1091" s="8" t="n">
        <x:v>0</x:v>
      </x:c>
      <x:c r="J1091" s="8" t="n">
        <x:v>0</x:v>
      </x:c>
      <x:c r="K1091" s="8" t="n">
        <x:v>569</x:v>
      </x:c>
      <x:c r="L1091" s="1" t="str">
        <x:v>Нет</x:v>
      </x:c>
      <x:c r="M1091" s="1" t="n">
        <x:v>0</x:v>
      </x:c>
    </x:row>
    <x:row r="1092">
      <x:c r="A1092" s="1" t="str">
        <x:v>306156819</x:v>
      </x:c>
      <x:c r="B1092" s="1" t="str">
        <x:v>svitman4F-S-7/серыймеланж2</x:v>
      </x:c>
      <x:c r="C1092" s="1" t="str">
        <x:v>Свитшоты</x:v>
      </x:c>
      <x:c r="D1092" s="9" t="n">
        <x:v>8.7</x:v>
      </x:c>
      <x:c r="E1092" s="8" t="n">
        <x:v>13429</x:v>
      </x:c>
      <x:c r="F1092" s="8" t="n">
        <x:v>141</x:v>
      </x:c>
      <x:c r="G1092" s="8" t="n">
        <x:v>94227</x:v>
      </x:c>
      <x:c r="H1092" s="8" t="n">
        <x:v>4</x:v>
      </x:c>
      <x:c r="I1092" s="8" t="n">
        <x:v>0</x:v>
      </x:c>
      <x:c r="J1092" s="8" t="n">
        <x:v>285</x:v>
      </x:c>
      <x:c r="K1092" s="8" t="n">
        <x:v>2364</x:v>
      </x:c>
      <x:c r="L1092" s="1" t="str">
        <x:v>Нет</x:v>
      </x:c>
      <x:c r="M1092" s="1" t="n">
        <x:v>189000</x:v>
      </x:c>
    </x:row>
    <x:row r="1093">
      <x:c r="A1093" s="1" t="str">
        <x:v>195315573</x:v>
      </x:c>
      <x:c r="B1093" s="1" t="str">
        <x:v>hudiprint/LoveNever-45/черный</x:v>
      </x:c>
      <x:c r="C1093" s="1" t="str">
        <x:v>Худи</x:v>
      </x:c>
      <x:c r="D1093" s="9" t="n">
        <x:v>8.7</x:v>
      </x:c>
      <x:c r="E1093" s="8" t="n">
        <x:v>6551</x:v>
      </x:c>
      <x:c r="F1093" s="8" t="n">
        <x:v>62</x:v>
      </x:c>
      <x:c r="G1093" s="8" t="n">
        <x:v>94142</x:v>
      </x:c>
      <x:c r="H1093" s="8" t="n">
        <x:v>42</x:v>
      </x:c>
      <x:c r="I1093" s="8" t="n">
        <x:v>0</x:v>
      </x:c>
      <x:c r="J1093" s="8" t="n">
        <x:v>198</x:v>
      </x:c>
      <x:c r="K1093" s="8" t="n">
        <x:v>2543</x:v>
      </x:c>
      <x:c r="L1093" s="1" t="str">
        <x:v>Нет</x:v>
      </x:c>
      <x:c r="M1093" s="1" t="n">
        <x:v>278170</x:v>
      </x:c>
    </x:row>
    <x:row r="1094">
      <x:c r="A1094" s="1" t="str">
        <x:v>320414100</x:v>
      </x:c>
      <x:c r="B1094" s="1" t="str">
        <x:v>svitfix3F-77/голубой</x:v>
      </x:c>
      <x:c r="C1094" s="1" t="str">
        <x:v>Свитшоты</x:v>
      </x:c>
      <x:c r="D1094" s="9" t="n">
        <x:v>8.7</x:v>
      </x:c>
      <x:c r="E1094" s="8" t="n">
        <x:v>18701</x:v>
      </x:c>
      <x:c r="F1094" s="8" t="n">
        <x:v>160</x:v>
      </x:c>
      <x:c r="G1094" s="8" t="n">
        <x:v>94085</x:v>
      </x:c>
      <x:c r="H1094" s="8" t="n">
        <x:v>2</x:v>
      </x:c>
      <x:c r="I1094" s="8" t="n">
        <x:v>0</x:v>
      </x:c>
      <x:c r="J1094" s="8" t="n">
        <x:v>0</x:v>
      </x:c>
      <x:c r="K1094" s="8" t="n">
        <x:v>2319</x:v>
      </x:c>
      <x:c r="L1094" s="1" t="str">
        <x:v>Нет</x:v>
      </x:c>
      <x:c r="M1094" s="1" t="n">
        <x:v>0</x:v>
      </x:c>
    </x:row>
    <x:row r="1095">
      <x:c r="A1095" s="1" t="str">
        <x:v>255318128</x:v>
      </x:c>
      <x:c r="B1095" s="1" t="str">
        <x:v>hudiprint/JUST_HOODIE-208/черный</x:v>
      </x:c>
      <x:c r="C1095" s="1" t="str">
        <x:v>Худи</x:v>
      </x:c>
      <x:c r="D1095" s="9" t="n">
        <x:v>8.7</x:v>
      </x:c>
      <x:c r="E1095" s="8" t="n">
        <x:v>12794</x:v>
      </x:c>
      <x:c r="F1095" s="8" t="n">
        <x:v>74</x:v>
      </x:c>
      <x:c r="G1095" s="8" t="n">
        <x:v>93878</x:v>
      </x:c>
      <x:c r="H1095" s="8" t="n">
        <x:v>16</x:v>
      </x:c>
      <x:c r="I1095" s="8" t="n">
        <x:v>0</x:v>
      </x:c>
      <x:c r="J1095" s="8" t="n">
        <x:v>128</x:v>
      </x:c>
      <x:c r="K1095" s="8" t="n">
        <x:v>2338</x:v>
      </x:c>
      <x:c r="L1095" s="1" t="str">
        <x:v>Нет</x:v>
      </x:c>
      <x:c r="M1095" s="1" t="n">
        <x:v>133950</x:v>
      </x:c>
    </x:row>
    <x:row r="1096">
      <x:c r="A1096" s="1" t="str">
        <x:v>150673982</x:v>
      </x:c>
      <x:c r="B1096" s="1" t="str">
        <x:v>svitshotover/бежевый</x:v>
      </x:c>
      <x:c r="C1096" s="1" t="str">
        <x:v>Свитшоты</x:v>
      </x:c>
      <x:c r="D1096" s="9" t="n">
        <x:v>9.7</x:v>
      </x:c>
      <x:c r="E1096" s="8" t="n">
        <x:v>19449</x:v>
      </x:c>
      <x:c r="F1096" s="8" t="n">
        <x:v>203</x:v>
      </x:c>
      <x:c r="G1096" s="8" t="n">
        <x:v>93155</x:v>
      </x:c>
      <x:c r="H1096" s="8" t="n">
        <x:v>588</x:v>
      </x:c>
      <x:c r="I1096" s="8" t="n">
        <x:v>0</x:v>
      </x:c>
      <x:c r="J1096" s="8" t="n">
        <x:v>221</x:v>
      </x:c>
      <x:c r="K1096" s="8" t="n">
        <x:v>2075</x:v>
      </x:c>
      <x:c r="L1096" s="1" t="str">
        <x:v>Нет</x:v>
      </x:c>
      <x:c r="M1096" s="1" t="n">
        <x:v>185567</x:v>
      </x:c>
    </x:row>
    <x:row r="1097">
      <x:c r="A1097" s="1" t="str">
        <x:v>241472522</x:v>
      </x:c>
      <x:c r="B1097" s="1" t="str">
        <x:v>termoman/черный</x:v>
      </x:c>
      <x:c r="C1097" s="1" t="str">
        <x:v>Термокомплекты</x:v>
      </x:c>
      <x:c r="D1097" s="9" t="n">
        <x:v>7.7</x:v>
      </x:c>
      <x:c r="E1097" s="8" t="n">
        <x:v>3562</x:v>
      </x:c>
      <x:c r="F1097" s="8" t="n">
        <x:v>98</x:v>
      </x:c>
      <x:c r="G1097" s="8" t="n">
        <x:v>92492</x:v>
      </x:c>
      <x:c r="H1097" s="8" t="n">
        <x:v>2533</x:v>
      </x:c>
      <x:c r="I1097" s="8" t="n">
        <x:v>0</x:v>
      </x:c>
      <x:c r="J1097" s="8" t="n">
        <x:v>390</x:v>
      </x:c>
      <x:c r="K1097" s="8" t="n">
        <x:v>1671</x:v>
      </x:c>
      <x:c r="L1097" s="1" t="str">
        <x:v>Нет</x:v>
      </x:c>
      <x:c r="M1097" s="1" t="n">
        <x:v>420703</x:v>
      </x:c>
    </x:row>
    <x:row r="1098">
      <x:c r="A1098" s="1" t="str">
        <x:v>158427996</x:v>
      </x:c>
      <x:c r="B1098" s="1" t="str">
        <x:v>kostumman/молочный</x:v>
      </x:c>
      <x:c r="C1098" s="1" t="str">
        <x:v>Костюмы спортивные</x:v>
      </x:c>
      <x:c r="D1098" s="9" t="n">
        <x:v>9.4</x:v>
      </x:c>
      <x:c r="E1098" s="8" t="n">
        <x:v>6237</x:v>
      </x:c>
      <x:c r="F1098" s="8" t="n">
        <x:v>79</x:v>
      </x:c>
      <x:c r="G1098" s="8" t="n">
        <x:v>91426</x:v>
      </x:c>
      <x:c r="H1098" s="8" t="n">
        <x:v>1083</x:v>
      </x:c>
      <x:c r="I1098" s="8" t="n">
        <x:v>0</x:v>
      </x:c>
      <x:c r="J1098" s="8" t="n">
        <x:v>144</x:v>
      </x:c>
      <x:c r="K1098" s="8" t="n">
        <x:v>4559</x:v>
      </x:c>
      <x:c r="L1098" s="1" t="str">
        <x:v>Нет</x:v>
      </x:c>
      <x:c r="M1098" s="1" t="n">
        <x:v>179150</x:v>
      </x:c>
    </x:row>
    <x:row r="1099">
      <x:c r="A1099" s="1" t="str">
        <x:v>176176579</x:v>
      </x:c>
      <x:c r="B1099" s="1" t="str">
        <x:v>svitshotover/хаки</x:v>
      </x:c>
      <x:c r="C1099" s="1" t="str">
        <x:v>Свитшоты</x:v>
      </x:c>
      <x:c r="D1099" s="9" t="n">
        <x:v>9.7</x:v>
      </x:c>
      <x:c r="E1099" s="8" t="n">
        <x:v>12009</x:v>
      </x:c>
      <x:c r="F1099" s="8" t="n">
        <x:v>139</x:v>
      </x:c>
      <x:c r="G1099" s="8" t="n">
        <x:v>91167</x:v>
      </x:c>
      <x:c r="H1099" s="8" t="n">
        <x:v>208</x:v>
      </x:c>
      <x:c r="I1099" s="8" t="n">
        <x:v>0</x:v>
      </x:c>
      <x:c r="J1099" s="8" t="n">
        <x:v>239</x:v>
      </x:c>
      <x:c r="K1099" s="8" t="n">
        <x:v>2028</x:v>
      </x:c>
      <x:c r="L1099" s="1" t="str">
        <x:v>Нет</x:v>
      </x:c>
      <x:c r="M1099" s="1" t="n">
        <x:v>147276</x:v>
      </x:c>
    </x:row>
    <x:row r="1100">
      <x:c r="A1100" s="1" t="str">
        <x:v>216143235</x:v>
      </x:c>
      <x:c r="B1100" s="1" t="str">
        <x:v>hudivish/PARADISO-106/молочный</x:v>
      </x:c>
      <x:c r="C1100" s="1" t="str">
        <x:v>Худи</x:v>
      </x:c>
      <x:c r="D1100" s="9" t="n">
        <x:v>9.7</x:v>
      </x:c>
      <x:c r="E1100" s="8" t="n">
        <x:v>15492</x:v>
      </x:c>
      <x:c r="F1100" s="8" t="n">
        <x:v>81</x:v>
      </x:c>
      <x:c r="G1100" s="8" t="n">
        <x:v>91030</x:v>
      </x:c>
      <x:c r="H1100" s="8" t="n">
        <x:v>16</x:v>
      </x:c>
      <x:c r="I1100" s="8" t="n">
        <x:v>0</x:v>
      </x:c>
      <x:c r="J1100" s="8" t="n">
        <x:v>226</x:v>
      </x:c>
      <x:c r="K1100" s="8" t="n">
        <x:v>2383</x:v>
      </x:c>
      <x:c r="L1100" s="1" t="str">
        <x:v>Нет</x:v>
      </x:c>
      <x:c r="M1100" s="1" t="n">
        <x:v>247112</x:v>
      </x:c>
    </x:row>
    <x:row r="1101">
      <x:c r="A1101" s="1" t="str">
        <x:v>347537674</x:v>
      </x:c>
      <x:c r="B1101" s="1" t="str">
        <x:v>body3K-S-6/молочный</x:v>
      </x:c>
      <x:c r="C1101" s="1" t="str">
        <x:v>Блузки-боди</x:v>
      </x:c>
      <x:c r="D1101" s="9" t="n">
        <x:v>8.7</x:v>
      </x:c>
      <x:c r="E1101" s="8" t="n">
        <x:v>30617</x:v>
      </x:c>
      <x:c r="F1101" s="8" t="n">
        <x:v>332</x:v>
      </x:c>
      <x:c r="G1101" s="8" t="n">
        <x:v>90336</x:v>
      </x:c>
      <x:c r="H1101" s="8" t="n">
        <x:v>1243</x:v>
      </x:c>
      <x:c r="I1101" s="8" t="n">
        <x:v>0</x:v>
      </x:c>
      <x:c r="J1101" s="8" t="n">
        <x:v>0</x:v>
      </x:c>
      <x:c r="K1101" s="8" t="n">
        <x:v>909</x:v>
      </x:c>
      <x:c r="L1101" s="1" t="str">
        <x:v>Нет</x:v>
      </x:c>
      <x:c r="M1101" s="1" t="n">
        <x:v>0</x:v>
      </x:c>
    </x:row>
    <x:row r="1102">
      <x:c r="A1102" s="1" t="str">
        <x:v>178309514</x:v>
      </x:c>
      <x:c r="B1102" s="1" t="str">
        <x:v>svitcrop/серый меланж</x:v>
      </x:c>
      <x:c r="C1102" s="1" t="str">
        <x:v>Лонгсливы</x:v>
      </x:c>
      <x:c r="D1102" s="9" t="n">
        <x:v>9.7</x:v>
      </x:c>
      <x:c r="E1102" s="8" t="n">
        <x:v>15506</x:v>
      </x:c>
      <x:c r="F1102" s="8" t="n">
        <x:v>180</x:v>
      </x:c>
      <x:c r="G1102" s="8" t="n">
        <x:v>90113</x:v>
      </x:c>
      <x:c r="H1102" s="8" t="n">
        <x:v>36</x:v>
      </x:c>
      <x:c r="I1102" s="8" t="n">
        <x:v>0</x:v>
      </x:c>
      <x:c r="J1102" s="8" t="n">
        <x:v>195</x:v>
      </x:c>
      <x:c r="K1102" s="8" t="n">
        <x:v>1027</x:v>
      </x:c>
      <x:c r="L1102" s="1" t="str">
        <x:v>Нет</x:v>
      </x:c>
      <x:c r="M1102" s="1" t="n">
        <x:v>84600</x:v>
      </x:c>
    </x:row>
    <x:row r="1103">
      <x:c r="A1103" s="1" t="str">
        <x:v>33335066</x:v>
      </x:c>
      <x:c r="B1103" s="1" t="str">
        <x:v>futbolka_mary/светлофиолетовый</x:v>
      </x:c>
      <x:c r="C1103" s="1" t="str">
        <x:v>Футболки</x:v>
      </x:c>
      <x:c r="D1103" s="9" t="n">
        <x:v>7.2</x:v>
      </x:c>
      <x:c r="E1103" s="8" t="n">
        <x:v>14444</x:v>
      </x:c>
      <x:c r="F1103" s="8" t="n">
        <x:v>405</x:v>
      </x:c>
      <x:c r="G1103" s="8" t="n">
        <x:v>89766</x:v>
      </x:c>
      <x:c r="H1103" s="8" t="n">
        <x:v>2</x:v>
      </x:c>
      <x:c r="I1103" s="8" t="n">
        <x:v>0</x:v>
      </x:c>
      <x:c r="J1103" s="8" t="n">
        <x:v>2</x:v>
      </x:c>
      <x:c r="K1103" s="8" t="n">
        <x:v>550</x:v>
      </x:c>
      <x:c r="L1103" s="1" t="str">
        <x:v>Нет</x:v>
      </x:c>
      <x:c r="M1103" s="1" t="n">
        <x:v>540</x:v>
      </x:c>
    </x:row>
    <x:row r="1104">
      <x:c r="A1104" s="1" t="str">
        <x:v>240808503</x:v>
      </x:c>
      <x:c r="B1104" s="1" t="str">
        <x:v>hudiboy/темно-серый</x:v>
      </x:c>
      <x:c r="C1104" s="1" t="str">
        <x:v>Худи</x:v>
      </x:c>
      <x:c r="D1104" s="9" t="n">
        <x:v>7.7</x:v>
      </x:c>
      <x:c r="E1104" s="8" t="n">
        <x:v>12589</x:v>
      </x:c>
      <x:c r="F1104" s="8" t="n">
        <x:v>103</x:v>
      </x:c>
      <x:c r="G1104" s="8" t="n">
        <x:v>89704</x:v>
      </x:c>
      <x:c r="H1104" s="8" t="n">
        <x:v>10</x:v>
      </x:c>
      <x:c r="I1104" s="8" t="n">
        <x:v>0</x:v>
      </x:c>
      <x:c r="J1104" s="8" t="n">
        <x:v>229</x:v>
      </x:c>
      <x:c r="K1104" s="8" t="n">
        <x:v>1324</x:v>
      </x:c>
      <x:c r="L1104" s="1" t="str">
        <x:v>Нет</x:v>
      </x:c>
      <x:c r="M1104" s="1" t="n">
        <x:v>172909</x:v>
      </x:c>
    </x:row>
    <x:row r="1105">
      <x:c r="A1105" s="1" t="str">
        <x:v>344389320</x:v>
      </x:c>
      <x:c r="B1105" s="1" t="str">
        <x:v>ribmayka3R-S13/красно-коричневый</x:v>
      </x:c>
      <x:c r="C1105" s="1" t="str">
        <x:v>Топы</x:v>
      </x:c>
      <x:c r="D1105" s="9" t="n">
        <x:v>9.4</x:v>
      </x:c>
      <x:c r="E1105" s="8" t="n">
        <x:v>21763</x:v>
      </x:c>
      <x:c r="F1105" s="8" t="n">
        <x:v>254</x:v>
      </x:c>
      <x:c r="G1105" s="8" t="n">
        <x:v>89660</x:v>
      </x:c>
      <x:c r="H1105" s="8" t="n">
        <x:v>3</x:v>
      </x:c>
      <x:c r="I1105" s="8" t="n">
        <x:v>0</x:v>
      </x:c>
      <x:c r="J1105" s="8" t="n">
        <x:v>0</x:v>
      </x:c>
      <x:c r="K1105" s="8" t="n">
        <x:v>801</x:v>
      </x:c>
      <x:c r="L1105" s="1" t="str">
        <x:v>Нет</x:v>
      </x:c>
      <x:c r="M1105" s="1" t="n">
        <x:v>0</x:v>
      </x:c>
    </x:row>
    <x:row r="1106">
      <x:c r="A1106" s="1" t="str">
        <x:v>202409663</x:v>
      </x:c>
      <x:c r="B1106" s="1" t="str">
        <x:v>hudimanprint/Brukman-42/морскаяволна</x:v>
      </x:c>
      <x:c r="C1106" s="1" t="str">
        <x:v>Худи</x:v>
      </x:c>
      <x:c r="D1106" s="9" t="n">
        <x:v>9.7</x:v>
      </x:c>
      <x:c r="E1106" s="8" t="n">
        <x:v>6433</x:v>
      </x:c>
      <x:c r="F1106" s="8" t="n">
        <x:v>78</x:v>
      </x:c>
      <x:c r="G1106" s="8" t="n">
        <x:v>89611</x:v>
      </x:c>
      <x:c r="H1106" s="8" t="n">
        <x:v>5</x:v>
      </x:c>
      <x:c r="I1106" s="8" t="n">
        <x:v>0</x:v>
      </x:c>
      <x:c r="J1106" s="8" t="n">
        <x:v>239</x:v>
      </x:c>
      <x:c r="K1106" s="8" t="n">
        <x:v>2702</x:v>
      </x:c>
      <x:c r="L1106" s="1" t="str">
        <x:v>Нет</x:v>
      </x:c>
      <x:c r="M1106" s="1" t="n">
        <x:v>254887</x:v>
      </x:c>
    </x:row>
    <x:row r="1107">
      <x:c r="A1107" s="1" t="str">
        <x:v>361797593</x:v>
      </x:c>
      <x:c r="B1107" s="1" t="str">
        <x:v>shortyman/бордовый</x:v>
      </x:c>
      <x:c r="C1107" s="1" t="str">
        <x:v>Шорты</x:v>
      </x:c>
      <x:c r="D1107" s="9" t="n">
        <x:v>8.2</x:v>
      </x:c>
      <x:c r="E1107" s="8" t="n">
        <x:v>10423</x:v>
      </x:c>
      <x:c r="F1107" s="8" t="n">
        <x:v>133</x:v>
      </x:c>
      <x:c r="G1107" s="8" t="n">
        <x:v>89585</x:v>
      </x:c>
      <x:c r="H1107" s="8" t="n">
        <x:v>57</x:v>
      </x:c>
      <x:c r="I1107" s="8" t="n">
        <x:v>0</x:v>
      </x:c>
      <x:c r="J1107" s="8" t="n">
        <x:v>0</x:v>
      </x:c>
      <x:c r="K1107" s="8" t="n">
        <x:v>1632</x:v>
      </x:c>
      <x:c r="L1107" s="1" t="str">
        <x:v>Нет</x:v>
      </x:c>
      <x:c r="M1107" s="1" t="n">
        <x:v>0</x:v>
      </x:c>
    </x:row>
    <x:row r="1108">
      <x:c r="A1108" s="1" t="str">
        <x:v>256332775</x:v>
      </x:c>
      <x:c r="B1108" s="1" t="str">
        <x:v>futhlopman/черный</x:v>
      </x:c>
      <x:c r="C1108" s="1" t="str">
        <x:v>Футболки</x:v>
      </x:c>
      <x:c r="D1108" s="9" t="n">
        <x:v>6.7</x:v>
      </x:c>
      <x:c r="E1108" s="8" t="n">
        <x:v>16947</x:v>
      </x:c>
      <x:c r="F1108" s="8" t="n">
        <x:v>215</x:v>
      </x:c>
      <x:c r="G1108" s="8" t="n">
        <x:v>89544</x:v>
      </x:c>
      <x:c r="H1108" s="8" t="n">
        <x:v>326</x:v>
      </x:c>
      <x:c r="I1108" s="8" t="n">
        <x:v>0</x:v>
      </x:c>
      <x:c r="J1108" s="8" t="n">
        <x:v>214</x:v>
      </x:c>
      <x:c r="K1108" s="8" t="n">
        <x:v>827</x:v>
      </x:c>
      <x:c r="L1108" s="1" t="str">
        <x:v>Нет</x:v>
      </x:c>
      <x:c r="M1108" s="1" t="n">
        <x:v>109367</x:v>
      </x:c>
    </x:row>
    <x:row r="1109">
      <x:c r="A1109" s="1" t="str">
        <x:v>35657199</x:v>
      </x:c>
      <x:c r="B1109" s="1" t="str">
        <x:v>longsliv/белый</x:v>
      </x:c>
      <x:c r="C1109" s="1" t="str">
        <x:v>Лонгсливы</x:v>
      </x:c>
      <x:c r="D1109" s="9" t="n">
        <x:v>9.7</x:v>
      </x:c>
      <x:c r="E1109" s="8" t="n">
        <x:v>10941</x:v>
      </x:c>
      <x:c r="F1109" s="8" t="n">
        <x:v>306</x:v>
      </x:c>
      <x:c r="G1109" s="8" t="n">
        <x:v>89433</x:v>
      </x:c>
      <x:c r="H1109" s="8" t="n">
        <x:v>960</x:v>
      </x:c>
      <x:c r="I1109" s="8" t="n">
        <x:v>0</x:v>
      </x:c>
      <x:c r="J1109" s="8" t="n">
        <x:v>250</x:v>
      </x:c>
      <x:c r="K1109" s="8" t="n">
        <x:v>748</x:v>
      </x:c>
      <x:c r="L1109" s="1" t="str">
        <x:v>Нет</x:v>
      </x:c>
      <x:c r="M1109" s="1" t="n">
        <x:v>104318</x:v>
      </x:c>
    </x:row>
    <x:row r="1110">
      <x:c r="A1110" s="1" t="str">
        <x:v>331519118</x:v>
      </x:c>
      <x:c r="B1110" s="1" t="str">
        <x:v>reglanmanover4K-E2/бор-мол</x:v>
      </x:c>
      <x:c r="C1110" s="1" t="str">
        <x:v>Футболки</x:v>
      </x:c>
      <x:c r="D1110" s="9" t="n">
        <x:v>8.4</x:v>
      </x:c>
      <x:c r="E1110" s="8" t="n">
        <x:v>19245</x:v>
      </x:c>
      <x:c r="F1110" s="8" t="n">
        <x:v>133</x:v>
      </x:c>
      <x:c r="G1110" s="8" t="n">
        <x:v>89263</x:v>
      </x:c>
      <x:c r="H1110" s="8" t="n">
        <x:v>58</x:v>
      </x:c>
      <x:c r="I1110" s="8" t="n">
        <x:v>0</x:v>
      </x:c>
      <x:c r="J1110" s="8" t="n">
        <x:v>0</x:v>
      </x:c>
      <x:c r="K1110" s="8" t="n">
        <x:v>1402</x:v>
      </x:c>
      <x:c r="L1110" s="1" t="str">
        <x:v>Нет</x:v>
      </x:c>
      <x:c r="M1110" s="1" t="n">
        <x:v>0</x:v>
      </x:c>
    </x:row>
    <x:row r="1111">
      <x:c r="A1111" s="1" t="str">
        <x:v>235988742</x:v>
      </x:c>
      <x:c r="B1111" s="1" t="str">
        <x:v>brukipetl/песочный</x:v>
      </x:c>
      <x:c r="C1111" s="1" t="str">
        <x:v>Брюки</x:v>
      </x:c>
      <x:c r="D1111" s="9" t="n">
        <x:v>8.7</x:v>
      </x:c>
      <x:c r="E1111" s="8" t="n">
        <x:v>13523</x:v>
      </x:c>
      <x:c r="F1111" s="8" t="n">
        <x:v>164</x:v>
      </x:c>
      <x:c r="G1111" s="8" t="n">
        <x:v>89197</x:v>
      </x:c>
      <x:c r="H1111" s="8" t="n">
        <x:v>115</x:v>
      </x:c>
      <x:c r="I1111" s="8" t="n">
        <x:v>0</x:v>
      </x:c>
      <x:c r="J1111" s="8" t="n">
        <x:v>251</x:v>
      </x:c>
      <x:c r="K1111" s="8" t="n">
        <x:v>2134</x:v>
      </x:c>
      <x:c r="L1111" s="1" t="str">
        <x:v>Нет</x:v>
      </x:c>
      <x:c r="M1111" s="1" t="n">
        <x:v>159040</x:v>
      </x:c>
    </x:row>
    <x:row r="1112">
      <x:c r="A1112" s="1" t="str">
        <x:v>331663317</x:v>
      </x:c>
      <x:c r="B1112" s="1" t="str">
        <x:v>longcrop3К-84/молочный</x:v>
      </x:c>
      <x:c r="C1112" s="1" t="str">
        <x:v>Лонгсливы</x:v>
      </x:c>
      <x:c r="D1112" s="9" t="n">
        <x:v>8.7</x:v>
      </x:c>
      <x:c r="E1112" s="8" t="n">
        <x:v>12952</x:v>
      </x:c>
      <x:c r="F1112" s="8" t="n">
        <x:v>282</x:v>
      </x:c>
      <x:c r="G1112" s="8" t="n">
        <x:v>89177</x:v>
      </x:c>
      <x:c r="H1112" s="8" t="n">
        <x:v>1212</x:v>
      </x:c>
      <x:c r="I1112" s="8" t="n">
        <x:v>0</x:v>
      </x:c>
      <x:c r="J1112" s="8" t="n">
        <x:v>0</x:v>
      </x:c>
      <x:c r="K1112" s="8" t="n">
        <x:v>848</x:v>
      </x:c>
      <x:c r="L1112" s="1" t="str">
        <x:v>Нет</x:v>
      </x:c>
      <x:c r="M1112" s="1" t="n">
        <x:v>0</x:v>
      </x:c>
    </x:row>
    <x:row r="1113">
      <x:c r="A1113" s="1" t="str">
        <x:v>289095361</x:v>
      </x:c>
      <x:c r="B1113" s="1" t="str">
        <x:v>palazzoshnurok/графит</x:v>
      </x:c>
      <x:c r="C1113" s="1" t="str">
        <x:v>Брюки</x:v>
      </x:c>
      <x:c r="D1113" s="9" t="n">
        <x:v>8.7</x:v>
      </x:c>
      <x:c r="E1113" s="8" t="n">
        <x:v>19060</x:v>
      </x:c>
      <x:c r="F1113" s="8" t="n">
        <x:v>175</x:v>
      </x:c>
      <x:c r="G1113" s="8" t="n">
        <x:v>88931</x:v>
      </x:c>
      <x:c r="H1113" s="8" t="n">
        <x:v>246</x:v>
      </x:c>
      <x:c r="I1113" s="8" t="n">
        <x:v>0</x:v>
      </x:c>
      <x:c r="J1113" s="8" t="n">
        <x:v>0</x:v>
      </x:c>
      <x:c r="K1113" s="8" t="n">
        <x:v>2287</x:v>
      </x:c>
      <x:c r="L1113" s="1" t="str">
        <x:v>Нет</x:v>
      </x:c>
      <x:c r="M1113" s="1" t="n">
        <x:v>0</x:v>
      </x:c>
    </x:row>
    <x:row r="1114">
      <x:c r="A1114" s="1" t="str">
        <x:v>348183440</x:v>
      </x:c>
      <x:c r="B1114" s="1" t="str">
        <x:v>shtanyfix/графит</x:v>
      </x:c>
      <x:c r="C1114" s="1" t="str">
        <x:v>Брюки</x:v>
      </x:c>
      <x:c r="D1114" s="9" t="n">
        <x:v>8.7</x:v>
      </x:c>
      <x:c r="E1114" s="8" t="n">
        <x:v>21974</x:v>
      </x:c>
      <x:c r="F1114" s="8" t="n">
        <x:v>169</x:v>
      </x:c>
      <x:c r="G1114" s="8" t="n">
        <x:v>88801</x:v>
      </x:c>
      <x:c r="H1114" s="8" t="n">
        <x:v>6</x:v>
      </x:c>
      <x:c r="I1114" s="8" t="n">
        <x:v>0</x:v>
      </x:c>
      <x:c r="J1114" s="8" t="n">
        <x:v>0</x:v>
      </x:c>
      <x:c r="K1114" s="8" t="n">
        <x:v>2424</x:v>
      </x:c>
      <x:c r="L1114" s="1" t="str">
        <x:v>Нет</x:v>
      </x:c>
      <x:c r="M1114" s="1" t="n">
        <x:v>0</x:v>
      </x:c>
    </x:row>
    <x:row r="1115">
      <x:c r="A1115" s="1" t="str">
        <x:v>335327230</x:v>
      </x:c>
      <x:c r="B1115" s="1" t="str">
        <x:v>futbolkagirl/пыльнаямята</x:v>
      </x:c>
      <x:c r="C1115" s="1" t="str">
        <x:v>Футболки</x:v>
      </x:c>
      <x:c r="D1115" s="9" t="n">
        <x:v>10</x:v>
      </x:c>
      <x:c r="E1115" s="8" t="n">
        <x:v>25621</x:v>
      </x:c>
      <x:c r="F1115" s="8" t="n">
        <x:v>253</x:v>
      </x:c>
      <x:c r="G1115" s="8" t="n">
        <x:v>88752</x:v>
      </x:c>
      <x:c r="H1115" s="8" t="n">
        <x:v>416</x:v>
      </x:c>
      <x:c r="I1115" s="8" t="n">
        <x:v>0</x:v>
      </x:c>
      <x:c r="J1115" s="8" t="n">
        <x:v>54</x:v>
      </x:c>
      <x:c r="K1115" s="8" t="n">
        <x:v>483</x:v>
      </x:c>
      <x:c r="L1115" s="1" t="str">
        <x:v>Нет</x:v>
      </x:c>
      <x:c r="M1115" s="1" t="n">
        <x:v>19200</x:v>
      </x:c>
    </x:row>
    <x:row r="1116">
      <x:c r="A1116" s="1" t="str">
        <x:v>156186501</x:v>
      </x:c>
      <x:c r="B1116" s="1" t="str">
        <x:v>svitshotover/серый</x:v>
      </x:c>
      <x:c r="C1116" s="1" t="str">
        <x:v>Свитшоты</x:v>
      </x:c>
      <x:c r="D1116" s="9" t="n">
        <x:v>9.7</x:v>
      </x:c>
      <x:c r="E1116" s="8" t="n">
        <x:v>21635</x:v>
      </x:c>
      <x:c r="F1116" s="8" t="n">
        <x:v>180</x:v>
      </x:c>
      <x:c r="G1116" s="8" t="n">
        <x:v>88607</x:v>
      </x:c>
      <x:c r="H1116" s="8" t="n">
        <x:v>2581</x:v>
      </x:c>
      <x:c r="I1116" s="8" t="n">
        <x:v>0</x:v>
      </x:c>
      <x:c r="J1116" s="8" t="n">
        <x:v>263</x:v>
      </x:c>
      <x:c r="K1116" s="8" t="n">
        <x:v>1945</x:v>
      </x:c>
      <x:c r="L1116" s="1" t="str">
        <x:v>Нет</x:v>
      </x:c>
      <x:c r="M1116" s="1" t="n">
        <x:v>179900</x:v>
      </x:c>
    </x:row>
    <x:row r="1117">
      <x:c r="A1117" s="1" t="str">
        <x:v>234271412</x:v>
      </x:c>
      <x:c r="B1117" s="1" t="str">
        <x:v>svitshotmanpetl/черный</x:v>
      </x:c>
      <x:c r="C1117" s="1" t="str">
        <x:v>Свитшоты</x:v>
      </x:c>
      <x:c r="D1117" s="9" t="n">
        <x:v>8.7</x:v>
      </x:c>
      <x:c r="E1117" s="8" t="n">
        <x:v>11482</x:v>
      </x:c>
      <x:c r="F1117" s="8" t="n">
        <x:v>115</x:v>
      </x:c>
      <x:c r="G1117" s="8" t="n">
        <x:v>88206</x:v>
      </x:c>
      <x:c r="H1117" s="8" t="n">
        <x:v>1</x:v>
      </x:c>
      <x:c r="I1117" s="8" t="n">
        <x:v>0</x:v>
      </x:c>
      <x:c r="J1117" s="8" t="n">
        <x:v>384</x:v>
      </x:c>
      <x:c r="K1117" s="8" t="n">
        <x:v>2114</x:v>
      </x:c>
      <x:c r="L1117" s="1" t="str">
        <x:v>Нет</x:v>
      </x:c>
      <x:c r="M1117" s="1" t="n">
        <x:v>432305</x:v>
      </x:c>
    </x:row>
    <x:row r="1118">
      <x:c r="A1118" s="1" t="str">
        <x:v>240808488</x:v>
      </x:c>
      <x:c r="B1118" s="1" t="str">
        <x:v>hudigirl/молочный</x:v>
      </x:c>
      <x:c r="C1118" s="1" t="str">
        <x:v>Худи</x:v>
      </x:c>
      <x:c r="D1118" s="9" t="n">
        <x:v>7.7</x:v>
      </x:c>
      <x:c r="E1118" s="8" t="n">
        <x:v>14538</x:v>
      </x:c>
      <x:c r="F1118" s="8" t="n">
        <x:v>116</x:v>
      </x:c>
      <x:c r="G1118" s="8" t="n">
        <x:v>88069</x:v>
      </x:c>
      <x:c r="H1118" s="8" t="n">
        <x:v>269</x:v>
      </x:c>
      <x:c r="I1118" s="8" t="n">
        <x:v>0</x:v>
      </x:c>
      <x:c r="J1118" s="8" t="n">
        <x:v>325</x:v>
      </x:c>
      <x:c r="K1118" s="8" t="n">
        <x:v>1299</x:v>
      </x:c>
      <x:c r="L1118" s="1" t="str">
        <x:v>Нет</x:v>
      </x:c>
      <x:c r="M1118" s="1" t="n">
        <x:v>290260</x:v>
      </x:c>
    </x:row>
    <x:row r="1119">
      <x:c r="A1119" s="1" t="str">
        <x:v>176176582</x:v>
      </x:c>
      <x:c r="B1119" s="1" t="str">
        <x:v>brukiman/хаки</x:v>
      </x:c>
      <x:c r="C1119" s="1" t="str">
        <x:v>Брюки</x:v>
      </x:c>
      <x:c r="D1119" s="9" t="n">
        <x:v>7.7</x:v>
      </x:c>
      <x:c r="E1119" s="8" t="n">
        <x:v>4951</x:v>
      </x:c>
      <x:c r="F1119" s="8" t="n">
        <x:v>101</x:v>
      </x:c>
      <x:c r="G1119" s="8" t="n">
        <x:v>87718</x:v>
      </x:c>
      <x:c r="H1119" s="8" t="n">
        <x:v>550</x:v>
      </x:c>
      <x:c r="I1119" s="8" t="n">
        <x:v>0</x:v>
      </x:c>
      <x:c r="J1119" s="8" t="n">
        <x:v>261</x:v>
      </x:c>
      <x:c r="K1119" s="8" t="n">
        <x:v>2092</x:v>
      </x:c>
      <x:c r="L1119" s="1" t="str">
        <x:v>Нет</x:v>
      </x:c>
      <x:c r="M1119" s="1" t="n">
        <x:v>230372</x:v>
      </x:c>
    </x:row>
    <x:row r="1120">
      <x:c r="A1120" s="1" t="str">
        <x:v>33775540</x:v>
      </x:c>
      <x:c r="B1120" s="1" t="str">
        <x:v>longsliv/шалфей</x:v>
      </x:c>
      <x:c r="C1120" s="1" t="str">
        <x:v>Лонгсливы</x:v>
      </x:c>
      <x:c r="D1120" s="9" t="n">
        <x:v>9.7</x:v>
      </x:c>
      <x:c r="E1120" s="8" t="n">
        <x:v>13225</x:v>
      </x:c>
      <x:c r="F1120" s="8" t="n">
        <x:v>322</x:v>
      </x:c>
      <x:c r="G1120" s="8" t="n">
        <x:v>87354</x:v>
      </x:c>
      <x:c r="H1120" s="8" t="n">
        <x:v>462</x:v>
      </x:c>
      <x:c r="I1120" s="8" t="n">
        <x:v>0</x:v>
      </x:c>
      <x:c r="J1120" s="8" t="n">
        <x:v>165</x:v>
      </x:c>
      <x:c r="K1120" s="8" t="n">
        <x:v>743</x:v>
      </x:c>
      <x:c r="L1120" s="1" t="str">
        <x:v>Нет</x:v>
      </x:c>
      <x:c r="M1120" s="1" t="n">
        <x:v>43362</x:v>
      </x:c>
    </x:row>
    <x:row r="1121">
      <x:c r="A1121" s="1" t="str">
        <x:v>202954973</x:v>
      </x:c>
      <x:c r="B1121" s="1" t="str">
        <x:v>hudiprint/ZelMoreSelf-63/молочный</x:v>
      </x:c>
      <x:c r="C1121" s="1" t="str">
        <x:v>Худи</x:v>
      </x:c>
      <x:c r="D1121" s="9" t="n">
        <x:v>6.7</x:v>
      </x:c>
      <x:c r="E1121" s="8" t="n">
        <x:v>10845</x:v>
      </x:c>
      <x:c r="F1121" s="8" t="n">
        <x:v>90</x:v>
      </x:c>
      <x:c r="G1121" s="8" t="n">
        <x:v>86906</x:v>
      </x:c>
      <x:c r="H1121" s="8" t="n">
        <x:v>15</x:v>
      </x:c>
      <x:c r="I1121" s="8" t="n">
        <x:v>0</x:v>
      </x:c>
      <x:c r="J1121" s="8" t="n">
        <x:v>237</x:v>
      </x:c>
      <x:c r="K1121" s="8" t="n">
        <x:v>2569</x:v>
      </x:c>
      <x:c r="L1121" s="1" t="str">
        <x:v>Нет</x:v>
      </x:c>
      <x:c r="M1121" s="1" t="n">
        <x:v>358796</x:v>
      </x:c>
    </x:row>
    <x:row r="1122">
      <x:c r="A1122" s="1" t="str">
        <x:v>333121378</x:v>
      </x:c>
      <x:c r="B1122" s="1" t="str">
        <x:v>topmayka/каштановый</x:v>
      </x:c>
      <x:c r="C1122" s="1" t="str">
        <x:v>Топы</x:v>
      </x:c>
      <x:c r="D1122" s="9" t="n">
        <x:v>9</x:v>
      </x:c>
      <x:c r="E1122" s="8" t="n">
        <x:v>20797</x:v>
      </x:c>
      <x:c r="F1122" s="8" t="n">
        <x:v>257</x:v>
      </x:c>
      <x:c r="G1122" s="8" t="n">
        <x:v>86868</x:v>
      </x:c>
      <x:c r="H1122" s="8" t="n">
        <x:v>763</x:v>
      </x:c>
      <x:c r="I1122" s="8" t="n">
        <x:v>0</x:v>
      </x:c>
      <x:c r="J1122" s="8" t="n">
        <x:v>1</x:v>
      </x:c>
      <x:c r="K1122" s="8" t="n">
        <x:v>661</x:v>
      </x:c>
      <x:c r="L1122" s="1" t="str">
        <x:v>Нет</x:v>
      </x:c>
      <x:c r="M1122" s="1" t="n">
        <x:v>600</x:v>
      </x:c>
    </x:row>
    <x:row r="1123">
      <x:c r="A1123" s="1" t="str">
        <x:v>51575466</x:v>
      </x:c>
      <x:c r="B1123" s="1" t="str">
        <x:v>brukiman/бордовый</x:v>
      </x:c>
      <x:c r="C1123" s="1" t="str">
        <x:v>Брюки</x:v>
      </x:c>
      <x:c r="D1123" s="9" t="n">
        <x:v>7.7</x:v>
      </x:c>
      <x:c r="E1123" s="8" t="n">
        <x:v>6598</x:v>
      </x:c>
      <x:c r="F1123" s="8" t="n">
        <x:v>147</x:v>
      </x:c>
      <x:c r="G1123" s="8" t="n">
        <x:v>86259</x:v>
      </x:c>
      <x:c r="H1123" s="8" t="n">
        <x:v>793</x:v>
      </x:c>
      <x:c r="I1123" s="8" t="n">
        <x:v>0</x:v>
      </x:c>
      <x:c r="J1123" s="8" t="n">
        <x:v>382</x:v>
      </x:c>
      <x:c r="K1123" s="8" t="n">
        <x:v>2130</x:v>
      </x:c>
      <x:c r="L1123" s="1" t="str">
        <x:v>Нет</x:v>
      </x:c>
      <x:c r="M1123" s="1" t="n">
        <x:v>284630</x:v>
      </x:c>
    </x:row>
    <x:row r="1124">
      <x:c r="A1124" s="1" t="str">
        <x:v>209914976</x:v>
      </x:c>
      <x:c r="B1124" s="1" t="str">
        <x:v>longsvobod/фуксия</x:v>
      </x:c>
      <x:c r="C1124" s="1" t="str">
        <x:v>Лонгсливы</x:v>
      </x:c>
      <x:c r="D1124" s="9" t="n">
        <x:v>7.2</x:v>
      </x:c>
      <x:c r="E1124" s="8" t="n">
        <x:v>24930</x:v>
      </x:c>
      <x:c r="F1124" s="8" t="n">
        <x:v>292</x:v>
      </x:c>
      <x:c r="G1124" s="8" t="n">
        <x:v>86138</x:v>
      </x:c>
      <x:c r="H1124" s="8" t="n">
        <x:v>53</x:v>
      </x:c>
      <x:c r="I1124" s="8" t="n">
        <x:v>0</x:v>
      </x:c>
      <x:c r="J1124" s="8" t="n">
        <x:v>250</x:v>
      </x:c>
      <x:c r="K1124" s="8" t="n">
        <x:v>917</x:v>
      </x:c>
      <x:c r="L1124" s="1" t="str">
        <x:v>Нет</x:v>
      </x:c>
      <x:c r="M1124" s="1" t="n">
        <x:v>108986</x:v>
      </x:c>
    </x:row>
    <x:row r="1125">
      <x:c r="A1125" s="1" t="str">
        <x:v>216665885</x:v>
      </x:c>
      <x:c r="B1125" s="1" t="str">
        <x:v>2Nfutbolkaman/светло-зеленый</x:v>
      </x:c>
      <x:c r="C1125" s="1" t="str">
        <x:v>Футболки</x:v>
      </x:c>
      <x:c r="D1125" s="9" t="n">
        <x:v>6.9</x:v>
      </x:c>
      <x:c r="E1125" s="8" t="n">
        <x:v>21812</x:v>
      </x:c>
      <x:c r="F1125" s="8" t="n">
        <x:v>237</x:v>
      </x:c>
      <x:c r="G1125" s="8" t="n">
        <x:v>86069</x:v>
      </x:c>
      <x:c r="H1125" s="8" t="n">
        <x:v>87</x:v>
      </x:c>
      <x:c r="I1125" s="8" t="n">
        <x:v>0</x:v>
      </x:c>
      <x:c r="J1125" s="8" t="n">
        <x:v>207</x:v>
      </x:c>
      <x:c r="K1125" s="8" t="n">
        <x:v>1060</x:v>
      </x:c>
      <x:c r="L1125" s="1" t="str">
        <x:v>Нет</x:v>
      </x:c>
      <x:c r="M1125" s="1" t="n">
        <x:v>120005</x:v>
      </x:c>
    </x:row>
    <x:row r="1126">
      <x:c r="A1126" s="1" t="str">
        <x:v>333141438</x:v>
      </x:c>
      <x:c r="B1126" s="1" t="str">
        <x:v>topfutbolka/какао</x:v>
      </x:c>
      <x:c r="C1126" s="1" t="str">
        <x:v>Топы</x:v>
      </x:c>
      <x:c r="D1126" s="9" t="n">
        <x:v>9.4</x:v>
      </x:c>
      <x:c r="E1126" s="8" t="n">
        <x:v>30209</x:v>
      </x:c>
      <x:c r="F1126" s="8" t="n">
        <x:v>251</x:v>
      </x:c>
      <x:c r="G1126" s="8" t="n">
        <x:v>85807</x:v>
      </x:c>
      <x:c r="H1126" s="8" t="n">
        <x:v>228</x:v>
      </x:c>
      <x:c r="I1126" s="8" t="n">
        <x:v>0</x:v>
      </x:c>
      <x:c r="J1126" s="8" t="n">
        <x:v>0</x:v>
      </x:c>
      <x:c r="K1126" s="8" t="n">
        <x:v>787</x:v>
      </x:c>
      <x:c r="L1126" s="1" t="str">
        <x:v>Нет</x:v>
      </x:c>
      <x:c r="M1126" s="1" t="n">
        <x:v>0</x:v>
      </x:c>
    </x:row>
    <x:row r="1127">
      <x:c r="A1127" s="1" t="str">
        <x:v>313770748</x:v>
      </x:c>
      <x:c r="B1127" s="1" t="str">
        <x:v>futbolkagirl/эвкалипт</x:v>
      </x:c>
      <x:c r="C1127" s="1" t="str">
        <x:v>Футболки</x:v>
      </x:c>
      <x:c r="D1127" s="9" t="n">
        <x:v>10</x:v>
      </x:c>
      <x:c r="E1127" s="8" t="n">
        <x:v>28649</x:v>
      </x:c>
      <x:c r="F1127" s="8" t="n">
        <x:v>227</x:v>
      </x:c>
      <x:c r="G1127" s="8" t="n">
        <x:v>85418</x:v>
      </x:c>
      <x:c r="H1127" s="8" t="n">
        <x:v>136</x:v>
      </x:c>
      <x:c r="I1127" s="8" t="n">
        <x:v>0</x:v>
      </x:c>
      <x:c r="J1127" s="8" t="n">
        <x:v>216</x:v>
      </x:c>
      <x:c r="K1127" s="8" t="n">
        <x:v>477</x:v>
      </x:c>
      <x:c r="L1127" s="1" t="str">
        <x:v>Нет</x:v>
      </x:c>
      <x:c r="M1127" s="1" t="n">
        <x:v>80079</x:v>
      </x:c>
    </x:row>
    <x:row r="1128">
      <x:c r="A1128" s="1" t="str">
        <x:v>79692041</x:v>
      </x:c>
      <x:c r="B1128" s="1" t="str">
        <x:v>longsliv/дымка</x:v>
      </x:c>
      <x:c r="C1128" s="1" t="str">
        <x:v>Лонгсливы</x:v>
      </x:c>
      <x:c r="D1128" s="9" t="n">
        <x:v>9.7</x:v>
      </x:c>
      <x:c r="E1128" s="8" t="n">
        <x:v>12346</x:v>
      </x:c>
      <x:c r="F1128" s="8" t="n">
        <x:v>345</x:v>
      </x:c>
      <x:c r="G1128" s="8" t="n">
        <x:v>84672</x:v>
      </x:c>
      <x:c r="H1128" s="8" t="n">
        <x:v>347</x:v>
      </x:c>
      <x:c r="I1128" s="8" t="n">
        <x:v>0</x:v>
      </x:c>
      <x:c r="J1128" s="8" t="n">
        <x:v>257</x:v>
      </x:c>
      <x:c r="K1128" s="8" t="n">
        <x:v>745</x:v>
      </x:c>
      <x:c r="L1128" s="1" t="str">
        <x:v>Нет</x:v>
      </x:c>
      <x:c r="M1128" s="1" t="n">
        <x:v>67052</x:v>
      </x:c>
    </x:row>
    <x:row r="1129">
      <x:c r="A1129" s="1" t="str">
        <x:v>240808479</x:v>
      </x:c>
      <x:c r="B1129" s="1" t="str">
        <x:v>hudigirl/темно-серый</x:v>
      </x:c>
      <x:c r="C1129" s="1" t="str">
        <x:v>Худи</x:v>
      </x:c>
      <x:c r="D1129" s="9" t="n">
        <x:v>7.7</x:v>
      </x:c>
      <x:c r="E1129" s="8" t="n">
        <x:v>9709</x:v>
      </x:c>
      <x:c r="F1129" s="8" t="n">
        <x:v>115</x:v>
      </x:c>
      <x:c r="G1129" s="8" t="n">
        <x:v>84275</x:v>
      </x:c>
      <x:c r="H1129" s="8" t="n">
        <x:v>123</x:v>
      </x:c>
      <x:c r="I1129" s="8" t="n">
        <x:v>0</x:v>
      </x:c>
      <x:c r="J1129" s="8" t="n">
        <x:v>151</x:v>
      </x:c>
      <x:c r="K1129" s="8" t="n">
        <x:v>1384</x:v>
      </x:c>
      <x:c r="L1129" s="1" t="str">
        <x:v>Нет</x:v>
      </x:c>
      <x:c r="M1129" s="1" t="n">
        <x:v>116940</x:v>
      </x:c>
    </x:row>
    <x:row r="1130">
      <x:c r="A1130" s="1" t="str">
        <x:v>202779214</x:v>
      </x:c>
      <x:c r="B1130" s="1" t="str">
        <x:v>hudiprint/Duma-61/темно-серый</x:v>
      </x:c>
      <x:c r="C1130" s="1" t="str">
        <x:v>Худи</x:v>
      </x:c>
      <x:c r="D1130" s="9" t="n">
        <x:v>8.7</x:v>
      </x:c>
      <x:c r="E1130" s="8" t="n">
        <x:v>10927</x:v>
      </x:c>
      <x:c r="F1130" s="8" t="n">
        <x:v>65</x:v>
      </x:c>
      <x:c r="G1130" s="8" t="n">
        <x:v>83935</x:v>
      </x:c>
      <x:c r="H1130" s="8" t="n">
        <x:v>8</x:v>
      </x:c>
      <x:c r="I1130" s="8" t="n">
        <x:v>0</x:v>
      </x:c>
      <x:c r="J1130" s="8" t="n">
        <x:v>54</x:v>
      </x:c>
      <x:c r="K1130" s="8" t="n">
        <x:v>2400</x:v>
      </x:c>
      <x:c r="L1130" s="1" t="str">
        <x:v>Нет</x:v>
      </x:c>
      <x:c r="M1130" s="1" t="n">
        <x:v>63596</x:v>
      </x:c>
    </x:row>
    <x:row r="1131">
      <x:c r="A1131" s="1" t="str">
        <x:v>344396645</x:v>
      </x:c>
      <x:c r="B1131" s="1" t="str">
        <x:v>ribmayka3R-S13/бордовый</x:v>
      </x:c>
      <x:c r="C1131" s="1" t="str">
        <x:v>Топы</x:v>
      </x:c>
      <x:c r="D1131" s="9" t="n">
        <x:v>9.4</x:v>
      </x:c>
      <x:c r="E1131" s="8" t="n">
        <x:v>19674</x:v>
      </x:c>
      <x:c r="F1131" s="8" t="n">
        <x:v>257</x:v>
      </x:c>
      <x:c r="G1131" s="8" t="n">
        <x:v>83239</x:v>
      </x:c>
      <x:c r="H1131" s="8" t="n">
        <x:v>0</x:v>
      </x:c>
      <x:c r="I1131" s="8" t="n">
        <x:v>0</x:v>
      </x:c>
      <x:c r="J1131" s="8"/>
      <x:c r="K1131" s="8" t="n">
        <x:v>782</x:v>
      </x:c>
      <x:c r="L1131" s="1" t="str">
        <x:v>Нет</x:v>
      </x:c>
      <x:c r="M1131" s="1"/>
    </x:row>
    <x:row r="1132">
      <x:c r="A1132" s="1" t="str">
        <x:v>306916574</x:v>
      </x:c>
      <x:c r="B1132" s="1" t="str">
        <x:v>hudicropman4F-67/кофейный</x:v>
      </x:c>
      <x:c r="C1132" s="1" t="str">
        <x:v>Худи</x:v>
      </x:c>
      <x:c r="D1132" s="9" t="n">
        <x:v>9.7</x:v>
      </x:c>
      <x:c r="E1132" s="8" t="n">
        <x:v>6317</x:v>
      </x:c>
      <x:c r="F1132" s="8" t="n">
        <x:v>92</x:v>
      </x:c>
      <x:c r="G1132" s="8" t="n">
        <x:v>81696</x:v>
      </x:c>
      <x:c r="H1132" s="8" t="n">
        <x:v>39</x:v>
      </x:c>
      <x:c r="I1132" s="8" t="n">
        <x:v>0</x:v>
      </x:c>
      <x:c r="J1132" s="8" t="n">
        <x:v>113</x:v>
      </x:c>
      <x:c r="K1132" s="8" t="n">
        <x:v>2923</x:v>
      </x:c>
      <x:c r="L1132" s="1" t="str">
        <x:v>Нет</x:v>
      </x:c>
      <x:c r="M1132" s="1" t="n">
        <x:v>110979</x:v>
      </x:c>
    </x:row>
    <x:row r="1133">
      <x:c r="A1133" s="1" t="str">
        <x:v>232234809</x:v>
      </x:c>
      <x:c r="B1133" s="1" t="str">
        <x:v>hudivish/Flowers-14в/песочный</x:v>
      </x:c>
      <x:c r="C1133" s="1" t="str">
        <x:v>Худи</x:v>
      </x:c>
      <x:c r="D1133" s="9" t="n">
        <x:v>9.7</x:v>
      </x:c>
      <x:c r="E1133" s="8" t="n">
        <x:v>16638</x:v>
      </x:c>
      <x:c r="F1133" s="8" t="n">
        <x:v>128</x:v>
      </x:c>
      <x:c r="G1133" s="8" t="n">
        <x:v>81367</x:v>
      </x:c>
      <x:c r="H1133" s="8" t="n">
        <x:v>47</x:v>
      </x:c>
      <x:c r="I1133" s="8" t="n">
        <x:v>0</x:v>
      </x:c>
      <x:c r="J1133" s="8" t="n">
        <x:v>203</x:v>
      </x:c>
      <x:c r="K1133" s="8" t="n">
        <x:v>2338</x:v>
      </x:c>
      <x:c r="L1133" s="1" t="str">
        <x:v>Нет</x:v>
      </x:c>
      <x:c r="M1133" s="1" t="n">
        <x:v>135600</x:v>
      </x:c>
    </x:row>
    <x:row r="1134">
      <x:c r="A1134" s="1" t="str">
        <x:v>321815228</x:v>
      </x:c>
      <x:c r="B1134" s="1" t="str">
        <x:v>toprib3R-82/черный</x:v>
      </x:c>
      <x:c r="C1134" s="1" t="str">
        <x:v>Топы</x:v>
      </x:c>
      <x:c r="D1134" s="9" t="n">
        <x:v>8.7</x:v>
      </x:c>
      <x:c r="E1134" s="8" t="n">
        <x:v>14985</x:v>
      </x:c>
      <x:c r="F1134" s="8" t="n">
        <x:v>340</x:v>
      </x:c>
      <x:c r="G1134" s="8" t="n">
        <x:v>80655</x:v>
      </x:c>
      <x:c r="H1134" s="8" t="n">
        <x:v>3940</x:v>
      </x:c>
      <x:c r="I1134" s="8" t="n">
        <x:v>0</x:v>
      </x:c>
      <x:c r="J1134" s="8" t="n">
        <x:v>0</x:v>
      </x:c>
      <x:c r="K1134" s="8" t="n">
        <x:v>419</x:v>
      </x:c>
      <x:c r="L1134" s="1" t="str">
        <x:v>Нет</x:v>
      </x:c>
      <x:c r="M1134" s="1" t="n">
        <x:v>0</x:v>
      </x:c>
    </x:row>
    <x:row r="1135">
      <x:c r="A1135" s="1" t="str">
        <x:v>332600655</x:v>
      </x:c>
      <x:c r="B1135" s="1" t="str">
        <x:v>hudicroppetl/бежевый</x:v>
      </x:c>
      <x:c r="C1135" s="1" t="str">
        <x:v>Худи</x:v>
      </x:c>
      <x:c r="D1135" s="9" t="n">
        <x:v>8.7</x:v>
      </x:c>
      <x:c r="E1135" s="8" t="n">
        <x:v>21670</x:v>
      </x:c>
      <x:c r="F1135" s="8" t="n">
        <x:v>108</x:v>
      </x:c>
      <x:c r="G1135" s="8" t="n">
        <x:v>80510</x:v>
      </x:c>
      <x:c r="H1135" s="8" t="n">
        <x:v>230</x:v>
      </x:c>
      <x:c r="I1135" s="8" t="n">
        <x:v>0</x:v>
      </x:c>
      <x:c r="J1135" s="8" t="n">
        <x:v>15</x:v>
      </x:c>
      <x:c r="K1135" s="8" t="n">
        <x:v>2874</x:v>
      </x:c>
      <x:c r="L1135" s="1" t="str">
        <x:v>Нет</x:v>
      </x:c>
      <x:c r="M1135" s="1" t="n">
        <x:v>5800</x:v>
      </x:c>
    </x:row>
    <x:row r="1136">
      <x:c r="A1136" s="1" t="str">
        <x:v>323169149</x:v>
      </x:c>
      <x:c r="B1136" s="1" t="str">
        <x:v>tanktop3K-S9/молочный</x:v>
      </x:c>
      <x:c r="C1136" s="1" t="str">
        <x:v>Футболки</x:v>
      </x:c>
      <x:c r="D1136" s="9" t="n">
        <x:v>8.7</x:v>
      </x:c>
      <x:c r="E1136" s="8" t="n">
        <x:v>37631</x:v>
      </x:c>
      <x:c r="F1136" s="8" t="n">
        <x:v>277</x:v>
      </x:c>
      <x:c r="G1136" s="8" t="n">
        <x:v>80106</x:v>
      </x:c>
      <x:c r="H1136" s="8" t="n">
        <x:v>236</x:v>
      </x:c>
      <x:c r="I1136" s="8" t="n">
        <x:v>0</x:v>
      </x:c>
      <x:c r="J1136" s="8" t="n">
        <x:v>0</x:v>
      </x:c>
      <x:c r="K1136" s="8" t="n">
        <x:v>732</x:v>
      </x:c>
      <x:c r="L1136" s="1" t="str">
        <x:v>Нет</x:v>
      </x:c>
      <x:c r="M1136" s="1" t="n">
        <x:v>0</x:v>
      </x:c>
    </x:row>
    <x:row r="1137">
      <x:c r="A1137" s="1" t="str">
        <x:v>195712674</x:v>
      </x:c>
      <x:c r="B1137" s="1" t="str">
        <x:v>sweater/бордовый</x:v>
      </x:c>
      <x:c r="C1137" s="1" t="str">
        <x:v>Свитшоты</x:v>
      </x:c>
      <x:c r="D1137" s="9" t="n">
        <x:v>9.7</x:v>
      </x:c>
      <x:c r="E1137" s="8" t="n">
        <x:v>7410</x:v>
      </x:c>
      <x:c r="F1137" s="8" t="n">
        <x:v>84</x:v>
      </x:c>
      <x:c r="G1137" s="8" t="n">
        <x:v>80076</x:v>
      </x:c>
      <x:c r="H1137" s="8" t="n">
        <x:v>61</x:v>
      </x:c>
      <x:c r="I1137" s="8" t="n">
        <x:v>0</x:v>
      </x:c>
      <x:c r="J1137" s="8" t="n">
        <x:v>123</x:v>
      </x:c>
      <x:c r="K1137" s="8" t="n">
        <x:v>2298</x:v>
      </x:c>
      <x:c r="L1137" s="1" t="str">
        <x:v>Нет</x:v>
      </x:c>
      <x:c r="M1137" s="1" t="n">
        <x:v>113848</x:v>
      </x:c>
    </x:row>
    <x:row r="1138">
      <x:c r="A1138" s="1" t="str">
        <x:v>300305942</x:v>
      </x:c>
      <x:c r="B1138" s="1" t="str">
        <x:v>palazzonachos/графит</x:v>
      </x:c>
      <x:c r="C1138" s="1" t="str">
        <x:v>Брюки</x:v>
      </x:c>
      <x:c r="D1138" s="9" t="n">
        <x:v>8.4</x:v>
      </x:c>
      <x:c r="E1138" s="8" t="n">
        <x:v>10854</x:v>
      </x:c>
      <x:c r="F1138" s="8" t="n">
        <x:v>136</x:v>
      </x:c>
      <x:c r="G1138" s="8" t="n">
        <x:v>79723</x:v>
      </x:c>
      <x:c r="H1138" s="8" t="n">
        <x:v>312</x:v>
      </x:c>
      <x:c r="I1138" s="8" t="n">
        <x:v>0</x:v>
      </x:c>
      <x:c r="J1138" s="8" t="n">
        <x:v>311</x:v>
      </x:c>
      <x:c r="K1138" s="8" t="n">
        <x:v>2433</x:v>
      </x:c>
      <x:c r="L1138" s="1" t="str">
        <x:v>Нет</x:v>
      </x:c>
      <x:c r="M1138" s="1" t="n">
        <x:v>222656</x:v>
      </x:c>
    </x:row>
    <x:row r="1139">
      <x:c r="A1139" s="1" t="str">
        <x:v>204476264</x:v>
      </x:c>
      <x:c r="B1139" s="1" t="str">
        <x:v>hudimanprint/FREEDOM-67/молочный</x:v>
      </x:c>
      <x:c r="C1139" s="1" t="str">
        <x:v>Худи</x:v>
      </x:c>
      <x:c r="D1139" s="9" t="n">
        <x:v>9.7</x:v>
      </x:c>
      <x:c r="E1139" s="8" t="n">
        <x:v>10607</x:v>
      </x:c>
      <x:c r="F1139" s="8" t="n">
        <x:v>94</x:v>
      </x:c>
      <x:c r="G1139" s="8" t="n">
        <x:v>78881</x:v>
      </x:c>
      <x:c r="H1139" s="8" t="n">
        <x:v>55</x:v>
      </x:c>
      <x:c r="I1139" s="8" t="n">
        <x:v>0</x:v>
      </x:c>
      <x:c r="J1139" s="8" t="n">
        <x:v>93</x:v>
      </x:c>
      <x:c r="K1139" s="8" t="n">
        <x:v>2395</x:v>
      </x:c>
      <x:c r="L1139" s="1" t="str">
        <x:v>Нет</x:v>
      </x:c>
      <x:c r="M1139" s="1" t="n">
        <x:v>108150</x:v>
      </x:c>
    </x:row>
    <x:row r="1140">
      <x:c r="A1140" s="1" t="str">
        <x:v>235997580</x:v>
      </x:c>
      <x:c r="B1140" s="1" t="str">
        <x:v>bazaboy/коричневый</x:v>
      </x:c>
      <x:c r="C1140" s="1" t="str">
        <x:v>Футболки</x:v>
      </x:c>
      <x:c r="D1140" s="9" t="n">
        <x:v>9.5</x:v>
      </x:c>
      <x:c r="E1140" s="8" t="n">
        <x:v>8120</x:v>
      </x:c>
      <x:c r="F1140" s="8" t="n">
        <x:v>338</x:v>
      </x:c>
      <x:c r="G1140" s="8" t="n">
        <x:v>78834</x:v>
      </x:c>
      <x:c r="H1140" s="8" t="n">
        <x:v>572</x:v>
      </x:c>
      <x:c r="I1140" s="8" t="n">
        <x:v>0</x:v>
      </x:c>
      <x:c r="J1140" s="8" t="n">
        <x:v>107</x:v>
      </x:c>
      <x:c r="K1140" s="8" t="n">
        <x:v>476</x:v>
      </x:c>
      <x:c r="L1140" s="1" t="str">
        <x:v>Нет</x:v>
      </x:c>
      <x:c r="M1140" s="1" t="n">
        <x:v>31939</x:v>
      </x:c>
    </x:row>
    <x:row r="1141">
      <x:c r="A1141" s="1" t="str">
        <x:v>79693726</x:v>
      </x:c>
      <x:c r="B1141" s="1" t="str">
        <x:v>longsliv/коричневый</x:v>
      </x:c>
      <x:c r="C1141" s="1" t="str">
        <x:v>Лонгсливы</x:v>
      </x:c>
      <x:c r="D1141" s="9" t="n">
        <x:v>9.7</x:v>
      </x:c>
      <x:c r="E1141" s="8" t="n">
        <x:v>10895</x:v>
      </x:c>
      <x:c r="F1141" s="8" t="n">
        <x:v>214</x:v>
      </x:c>
      <x:c r="G1141" s="8" t="n">
        <x:v>78705</x:v>
      </x:c>
      <x:c r="H1141" s="8" t="n">
        <x:v>33</x:v>
      </x:c>
      <x:c r="I1141" s="8" t="n">
        <x:v>0</x:v>
      </x:c>
      <x:c r="J1141" s="8" t="n">
        <x:v>644</x:v>
      </x:c>
      <x:c r="K1141" s="8" t="n">
        <x:v>927</x:v>
      </x:c>
      <x:c r="L1141" s="1" t="str">
        <x:v>Нет</x:v>
      </x:c>
      <x:c r="M1141" s="1" t="n">
        <x:v>206337</x:v>
      </x:c>
    </x:row>
    <x:row r="1142">
      <x:c r="A1142" s="1" t="str">
        <x:v>245583542</x:v>
      </x:c>
      <x:c r="B1142" s="1" t="str">
        <x:v>hudiprint/NeverFails-120/голубой</x:v>
      </x:c>
      <x:c r="C1142" s="1" t="str">
        <x:v>Худи</x:v>
      </x:c>
      <x:c r="D1142" s="9" t="n">
        <x:v>9.7</x:v>
      </x:c>
      <x:c r="E1142" s="8" t="n">
        <x:v>18063</x:v>
      </x:c>
      <x:c r="F1142" s="8" t="n">
        <x:v>83</x:v>
      </x:c>
      <x:c r="G1142" s="8" t="n">
        <x:v>78511</x:v>
      </x:c>
      <x:c r="H1142" s="8" t="n">
        <x:v>164</x:v>
      </x:c>
      <x:c r="I1142" s="8" t="n">
        <x:v>0</x:v>
      </x:c>
      <x:c r="J1142" s="8" t="n">
        <x:v>124</x:v>
      </x:c>
      <x:c r="K1142" s="8" t="n">
        <x:v>2272</x:v>
      </x:c>
      <x:c r="L1142" s="1" t="str">
        <x:v>Нет</x:v>
      </x:c>
      <x:c r="M1142" s="1" t="n">
        <x:v>130550</x:v>
      </x:c>
    </x:row>
    <x:row r="1143">
      <x:c r="A1143" s="1" t="str">
        <x:v>202779190</x:v>
      </x:c>
      <x:c r="B1143" s="1" t="str">
        <x:v>hudiprint/Goodthinks-57/черный</x:v>
      </x:c>
      <x:c r="C1143" s="1" t="str">
        <x:v>Худи</x:v>
      </x:c>
      <x:c r="D1143" s="9" t="n">
        <x:v>8.7</x:v>
      </x:c>
      <x:c r="E1143" s="8" t="n">
        <x:v>8975</x:v>
      </x:c>
      <x:c r="F1143" s="8" t="n">
        <x:v>66</x:v>
      </x:c>
      <x:c r="G1143" s="8" t="n">
        <x:v>78220</x:v>
      </x:c>
      <x:c r="H1143" s="8" t="n">
        <x:v>32</x:v>
      </x:c>
      <x:c r="I1143" s="8" t="n">
        <x:v>0</x:v>
      </x:c>
      <x:c r="J1143" s="8" t="n">
        <x:v>160</x:v>
      </x:c>
      <x:c r="K1143" s="8" t="n">
        <x:v>2235</x:v>
      </x:c>
      <x:c r="L1143" s="1" t="str">
        <x:v>Нет</x:v>
      </x:c>
      <x:c r="M1143" s="1" t="n">
        <x:v>207003</x:v>
      </x:c>
    </x:row>
    <x:row r="1144">
      <x:c r="A1144" s="1" t="str">
        <x:v>235997588</x:v>
      </x:c>
      <x:c r="B1144" s="1" t="str">
        <x:v>bazaboy/какао</x:v>
      </x:c>
      <x:c r="C1144" s="1" t="str">
        <x:v>Футболки</x:v>
      </x:c>
      <x:c r="D1144" s="9" t="n">
        <x:v>9.5</x:v>
      </x:c>
      <x:c r="E1144" s="8" t="n">
        <x:v>7548</x:v>
      </x:c>
      <x:c r="F1144" s="8" t="n">
        <x:v>262</x:v>
      </x:c>
      <x:c r="G1144" s="8" t="n">
        <x:v>78050</x:v>
      </x:c>
      <x:c r="H1144" s="8" t="n">
        <x:v>782</x:v>
      </x:c>
      <x:c r="I1144" s="8" t="n">
        <x:v>0</x:v>
      </x:c>
      <x:c r="J1144" s="8" t="n">
        <x:v>56</x:v>
      </x:c>
      <x:c r="K1144" s="8" t="n">
        <x:v>466</x:v>
      </x:c>
      <x:c r="L1144" s="1" t="str">
        <x:v>Нет</x:v>
      </x:c>
      <x:c r="M1144" s="1" t="n">
        <x:v>15640</x:v>
      </x:c>
    </x:row>
    <x:row r="1145">
      <x:c r="A1145" s="1" t="str">
        <x:v>344502477</x:v>
      </x:c>
      <x:c r="B1145" s="1" t="str">
        <x:v>malyshkabasic/каштановый</x:v>
      </x:c>
      <x:c r="C1145" s="1" t="str">
        <x:v>Футболки</x:v>
      </x:c>
      <x:c r="D1145" s="9" t="n">
        <x:v>7.9</x:v>
      </x:c>
      <x:c r="E1145" s="8" t="n">
        <x:v>67566</x:v>
      </x:c>
      <x:c r="F1145" s="8" t="n">
        <x:v>244</x:v>
      </x:c>
      <x:c r="G1145" s="8" t="n">
        <x:v>77808</x:v>
      </x:c>
      <x:c r="H1145" s="8" t="n">
        <x:v>511</x:v>
      </x:c>
      <x:c r="I1145" s="8" t="n">
        <x:v>0</x:v>
      </x:c>
      <x:c r="J1145" s="8" t="n">
        <x:v>0</x:v>
      </x:c>
      <x:c r="K1145" s="8" t="n">
        <x:v>754</x:v>
      </x:c>
      <x:c r="L1145" s="1" t="str">
        <x:v>Нет</x:v>
      </x:c>
      <x:c r="M1145" s="1" t="n">
        <x:v>0</x:v>
      </x:c>
    </x:row>
    <x:row r="1146">
      <x:c r="A1146" s="1" t="str">
        <x:v>300305941</x:v>
      </x:c>
      <x:c r="B1146" s="1" t="str">
        <x:v>palazzonachos/темно-серый</x:v>
      </x:c>
      <x:c r="C1146" s="1" t="str">
        <x:v>Брюки</x:v>
      </x:c>
      <x:c r="D1146" s="9" t="n">
        <x:v>8.4</x:v>
      </x:c>
      <x:c r="E1146" s="8" t="n">
        <x:v>14747</x:v>
      </x:c>
      <x:c r="F1146" s="8" t="n">
        <x:v>163</x:v>
      </x:c>
      <x:c r="G1146" s="8" t="n">
        <x:v>77801</x:v>
      </x:c>
      <x:c r="H1146" s="8" t="n">
        <x:v>68</x:v>
      </x:c>
      <x:c r="I1146" s="8" t="n">
        <x:v>0</x:v>
      </x:c>
      <x:c r="J1146" s="8" t="n">
        <x:v>459</x:v>
      </x:c>
      <x:c r="K1146" s="8" t="n">
        <x:v>2493</x:v>
      </x:c>
      <x:c r="L1146" s="1" t="str">
        <x:v>Нет</x:v>
      </x:c>
      <x:c r="M1146" s="1" t="n">
        <x:v>286455</x:v>
      </x:c>
    </x:row>
    <x:row r="1147">
      <x:c r="A1147" s="1" t="str">
        <x:v>251257771</x:v>
      </x:c>
      <x:c r="B1147" s="1" t="str">
        <x:v>hudimanprint/Amare-182/черный</x:v>
      </x:c>
      <x:c r="C1147" s="1" t="str">
        <x:v>Худи</x:v>
      </x:c>
      <x:c r="D1147" s="9" t="n">
        <x:v>8.7</x:v>
      </x:c>
      <x:c r="E1147" s="8" t="n">
        <x:v>7703</x:v>
      </x:c>
      <x:c r="F1147" s="8" t="n">
        <x:v>85</x:v>
      </x:c>
      <x:c r="G1147" s="8" t="n">
        <x:v>77331</x:v>
      </x:c>
      <x:c r="H1147" s="8" t="n">
        <x:v>170</x:v>
      </x:c>
      <x:c r="I1147" s="8" t="n">
        <x:v>0</x:v>
      </x:c>
      <x:c r="J1147" s="8" t="n">
        <x:v>68</x:v>
      </x:c>
      <x:c r="K1147" s="8" t="n">
        <x:v>2479</x:v>
      </x:c>
      <x:c r="L1147" s="1" t="str">
        <x:v>Нет</x:v>
      </x:c>
      <x:c r="M1147" s="1" t="n">
        <x:v>55844</x:v>
      </x:c>
    </x:row>
    <x:row r="1148">
      <x:c r="A1148" s="1" t="str">
        <x:v>289095363</x:v>
      </x:c>
      <x:c r="B1148" s="1" t="str">
        <x:v>palazzoshnurok/серый</x:v>
      </x:c>
      <x:c r="C1148" s="1" t="str">
        <x:v>Брюки</x:v>
      </x:c>
      <x:c r="D1148" s="9" t="n">
        <x:v>9</x:v>
      </x:c>
      <x:c r="E1148" s="8" t="n">
        <x:v>25856</x:v>
      </x:c>
      <x:c r="F1148" s="8" t="n">
        <x:v>186</x:v>
      </x:c>
      <x:c r="G1148" s="8" t="n">
        <x:v>76500</x:v>
      </x:c>
      <x:c r="H1148" s="8" t="n">
        <x:v>72</x:v>
      </x:c>
      <x:c r="I1148" s="8" t="n">
        <x:v>0</x:v>
      </x:c>
      <x:c r="J1148" s="8" t="n">
        <x:v>0</x:v>
      </x:c>
      <x:c r="K1148" s="8" t="n">
        <x:v>2382</x:v>
      </x:c>
      <x:c r="L1148" s="1" t="str">
        <x:v>Нет</x:v>
      </x:c>
      <x:c r="M1148" s="1" t="n">
        <x:v>0</x:v>
      </x:c>
    </x:row>
    <x:row r="1149">
      <x:c r="A1149" s="1" t="str">
        <x:v>300305958</x:v>
      </x:c>
      <x:c r="B1149" s="1" t="str">
        <x:v>palazzonachos/темно-синий</x:v>
      </x:c>
      <x:c r="C1149" s="1" t="str">
        <x:v>Брюки</x:v>
      </x:c>
      <x:c r="D1149" s="9" t="n">
        <x:v>8.4</x:v>
      </x:c>
      <x:c r="E1149" s="8" t="n">
        <x:v>9682</x:v>
      </x:c>
      <x:c r="F1149" s="8" t="n">
        <x:v>157</x:v>
      </x:c>
      <x:c r="G1149" s="8" t="n">
        <x:v>76422</x:v>
      </x:c>
      <x:c r="H1149" s="8" t="n">
        <x:v>124</x:v>
      </x:c>
      <x:c r="I1149" s="8" t="n">
        <x:v>0</x:v>
      </x:c>
      <x:c r="J1149" s="8" t="n">
        <x:v>359</x:v>
      </x:c>
      <x:c r="K1149" s="8" t="n">
        <x:v>2454</x:v>
      </x:c>
      <x:c r="L1149" s="1" t="str">
        <x:v>Нет</x:v>
      </x:c>
      <x:c r="M1149" s="1" t="n">
        <x:v>193354</x:v>
      </x:c>
    </x:row>
    <x:row r="1150">
      <x:c r="A1150" s="1" t="str">
        <x:v>321831819</x:v>
      </x:c>
      <x:c r="B1150" s="1" t="str">
        <x:v>ribmayka3R-S13/черный</x:v>
      </x:c>
      <x:c r="C1150" s="1" t="str">
        <x:v>Топы</x:v>
      </x:c>
      <x:c r="D1150" s="9" t="n">
        <x:v>9.4</x:v>
      </x:c>
      <x:c r="E1150" s="8" t="n">
        <x:v>14539</x:v>
      </x:c>
      <x:c r="F1150" s="8" t="n">
        <x:v>165</x:v>
      </x:c>
      <x:c r="G1150" s="8" t="n">
        <x:v>75363</x:v>
      </x:c>
      <x:c r="H1150" s="8" t="n">
        <x:v>795</x:v>
      </x:c>
      <x:c r="I1150" s="8" t="n">
        <x:v>0</x:v>
      </x:c>
      <x:c r="J1150" s="8" t="n">
        <x:v>0</x:v>
      </x:c>
      <x:c r="K1150" s="8" t="n">
        <x:v>802</x:v>
      </x:c>
      <x:c r="L1150" s="1" t="str">
        <x:v>Нет</x:v>
      </x:c>
      <x:c r="M1150" s="1" t="n">
        <x:v>0</x:v>
      </x:c>
    </x:row>
    <x:row r="1151">
      <x:c r="A1151" s="1" t="str">
        <x:v>251790570</x:v>
      </x:c>
      <x:c r="B1151" s="1" t="str">
        <x:v>svitshotmanprint/Paradox-181/темно-серый</x:v>
      </x:c>
      <x:c r="C1151" s="1" t="str">
        <x:v>Свитшоты</x:v>
      </x:c>
      <x:c r="D1151" s="9" t="n">
        <x:v>9.7</x:v>
      </x:c>
      <x:c r="E1151" s="8" t="n">
        <x:v>14804</x:v>
      </x:c>
      <x:c r="F1151" s="8" t="n">
        <x:v>97</x:v>
      </x:c>
      <x:c r="G1151" s="8" t="n">
        <x:v>74457</x:v>
      </x:c>
      <x:c r="H1151" s="8" t="n">
        <x:v>137</x:v>
      </x:c>
      <x:c r="I1151" s="8" t="n">
        <x:v>0</x:v>
      </x:c>
      <x:c r="J1151" s="8" t="n">
        <x:v>216</x:v>
      </x:c>
      <x:c r="K1151" s="8" t="n">
        <x:v>2394</x:v>
      </x:c>
      <x:c r="L1151" s="1" t="str">
        <x:v>Нет</x:v>
      </x:c>
      <x:c r="M1151" s="1" t="n">
        <x:v>174040</x:v>
      </x:c>
    </x:row>
    <x:row r="1152">
      <x:c r="A1152" s="1" t="str">
        <x:v>348183441</x:v>
      </x:c>
      <x:c r="B1152" s="1" t="str">
        <x:v>shtanyfix/серый</x:v>
      </x:c>
      <x:c r="C1152" s="1" t="str">
        <x:v>Брюки</x:v>
      </x:c>
      <x:c r="D1152" s="9" t="n">
        <x:v>8.7</x:v>
      </x:c>
      <x:c r="E1152" s="8" t="n">
        <x:v>10462</x:v>
      </x:c>
      <x:c r="F1152" s="8" t="n">
        <x:v>124</x:v>
      </x:c>
      <x:c r="G1152" s="8" t="n">
        <x:v>73729</x:v>
      </x:c>
      <x:c r="H1152" s="8" t="n">
        <x:v>22</x:v>
      </x:c>
      <x:c r="I1152" s="8" t="n">
        <x:v>0</x:v>
      </x:c>
      <x:c r="J1152" s="8" t="n">
        <x:v>0</x:v>
      </x:c>
      <x:c r="K1152" s="8" t="n">
        <x:v>2548</x:v>
      </x:c>
      <x:c r="L1152" s="1" t="str">
        <x:v>Нет</x:v>
      </x:c>
      <x:c r="M1152" s="1" t="n">
        <x:v>0</x:v>
      </x:c>
    </x:row>
    <x:row r="1153">
      <x:c r="A1153" s="1" t="str">
        <x:v>245583541</x:v>
      </x:c>
      <x:c r="B1153" s="1" t="str">
        <x:v>hudiprint/BROOKLYN-77/молочный</x:v>
      </x:c>
      <x:c r="C1153" s="1" t="str">
        <x:v>Худи</x:v>
      </x:c>
      <x:c r="D1153" s="9" t="n">
        <x:v>9.7</x:v>
      </x:c>
      <x:c r="E1153" s="8" t="n">
        <x:v>13038</x:v>
      </x:c>
      <x:c r="F1153" s="8" t="n">
        <x:v>82</x:v>
      </x:c>
      <x:c r="G1153" s="8" t="n">
        <x:v>73668</x:v>
      </x:c>
      <x:c r="H1153" s="8" t="n">
        <x:v>8</x:v>
      </x:c>
      <x:c r="I1153" s="8" t="n">
        <x:v>0</x:v>
      </x:c>
      <x:c r="J1153" s="8" t="n">
        <x:v>196</x:v>
      </x:c>
      <x:c r="K1153" s="8" t="n">
        <x:v>2377</x:v>
      </x:c>
      <x:c r="L1153" s="1" t="str">
        <x:v>Нет</x:v>
      </x:c>
      <x:c r="M1153" s="1" t="n">
        <x:v>204901</x:v>
      </x:c>
    </x:row>
    <x:row r="1154">
      <x:c r="A1154" s="1" t="str">
        <x:v>150674019</x:v>
      </x:c>
      <x:c r="B1154" s="1" t="str">
        <x:v>svitshotover/сине-серый</x:v>
      </x:c>
      <x:c r="C1154" s="1" t="str">
        <x:v>Свитшоты</x:v>
      </x:c>
      <x:c r="D1154" s="9" t="n">
        <x:v>9.7</x:v>
      </x:c>
      <x:c r="E1154" s="8" t="n">
        <x:v>9658</x:v>
      </x:c>
      <x:c r="F1154" s="8" t="n">
        <x:v>97</x:v>
      </x:c>
      <x:c r="G1154" s="8" t="n">
        <x:v>73516</x:v>
      </x:c>
      <x:c r="H1154" s="8" t="n">
        <x:v>514</x:v>
      </x:c>
      <x:c r="I1154" s="8" t="n">
        <x:v>0</x:v>
      </x:c>
      <x:c r="J1154" s="8" t="n">
        <x:v>139</x:v>
      </x:c>
      <x:c r="K1154" s="8" t="n">
        <x:v>1984</x:v>
      </x:c>
      <x:c r="L1154" s="1" t="str">
        <x:v>Нет</x:v>
      </x:c>
      <x:c r="M1154" s="1" t="n">
        <x:v>111711</x:v>
      </x:c>
    </x:row>
    <x:row r="1155">
      <x:c r="A1155" s="1" t="str">
        <x:v>165911158</x:v>
      </x:c>
      <x:c r="B1155" s="1" t="str">
        <x:v>longman/голубой</x:v>
      </x:c>
      <x:c r="C1155" s="1" t="str">
        <x:v>Лонгсливы</x:v>
      </x:c>
      <x:c r="D1155" s="9" t="n">
        <x:v>5.2</x:v>
      </x:c>
      <x:c r="E1155" s="8" t="n">
        <x:v>1956</x:v>
      </x:c>
      <x:c r="F1155" s="8" t="n">
        <x:v>125</x:v>
      </x:c>
      <x:c r="G1155" s="8" t="n">
        <x:v>73499</x:v>
      </x:c>
      <x:c r="H1155" s="8" t="n">
        <x:v>685</x:v>
      </x:c>
      <x:c r="I1155" s="8" t="n">
        <x:v>0</x:v>
      </x:c>
      <x:c r="J1155" s="8" t="n">
        <x:v>13</x:v>
      </x:c>
      <x:c r="K1155" s="8" t="n">
        <x:v>1083</x:v>
      </x:c>
      <x:c r="L1155" s="1" t="str">
        <x:v>Нет</x:v>
      </x:c>
      <x:c r="M1155" s="1" t="n">
        <x:v>10800</x:v>
      </x:c>
    </x:row>
    <x:row r="1156">
      <x:c r="A1156" s="1" t="str">
        <x:v>251257772</x:v>
      </x:c>
      <x:c r="B1156" s="1" t="str">
        <x:v>hudimanprint/TDGstudios-187/черный</x:v>
      </x:c>
      <x:c r="C1156" s="1" t="str">
        <x:v>Худи</x:v>
      </x:c>
      <x:c r="D1156" s="9" t="n">
        <x:v>8.7</x:v>
      </x:c>
      <x:c r="E1156" s="8" t="n">
        <x:v>6967</x:v>
      </x:c>
      <x:c r="F1156" s="8" t="n">
        <x:v>64</x:v>
      </x:c>
      <x:c r="G1156" s="8" t="n">
        <x:v>72818</x:v>
      </x:c>
      <x:c r="H1156" s="8" t="n">
        <x:v>60</x:v>
      </x:c>
      <x:c r="I1156" s="8" t="n">
        <x:v>0</x:v>
      </x:c>
      <x:c r="J1156" s="8" t="n">
        <x:v>160</x:v>
      </x:c>
      <x:c r="K1156" s="8" t="n">
        <x:v>2271</x:v>
      </x:c>
      <x:c r="L1156" s="1" t="str">
        <x:v>Нет</x:v>
      </x:c>
      <x:c r="M1156" s="1" t="n">
        <x:v>161250</x:v>
      </x:c>
    </x:row>
    <x:row r="1157">
      <x:c r="A1157" s="1" t="str">
        <x:v>229154430</x:v>
      </x:c>
      <x:c r="B1157" s="1" t="str">
        <x:v>futbolkamanoverX3/чер-бел-шал</x:v>
      </x:c>
      <x:c r="C1157" s="1" t="str">
        <x:v>Футболки</x:v>
      </x:c>
      <x:c r="D1157" s="9" t="n">
        <x:v>8.4</x:v>
      </x:c>
      <x:c r="E1157" s="8" t="n">
        <x:v>23235</x:v>
      </x:c>
      <x:c r="F1157" s="8" t="n">
        <x:v>43</x:v>
      </x:c>
      <x:c r="G1157" s="8" t="n">
        <x:v>72797</x:v>
      </x:c>
      <x:c r="H1157" s="8" t="n">
        <x:v>0</x:v>
      </x:c>
      <x:c r="I1157" s="8" t="n">
        <x:v>0</x:v>
      </x:c>
      <x:c r="J1157" s="8" t="n">
        <x:v>23</x:v>
      </x:c>
      <x:c r="K1157" s="8" t="n">
        <x:v>2507</x:v>
      </x:c>
      <x:c r="L1157" s="1" t="str">
        <x:v>Нет</x:v>
      </x:c>
      <x:c r="M1157" s="1" t="n">
        <x:v>40425</x:v>
      </x:c>
    </x:row>
    <x:row r="1158">
      <x:c r="A1158" s="1" t="str">
        <x:v>235997584</x:v>
      </x:c>
      <x:c r="B1158" s="1" t="str">
        <x:v>bazagirl/белый</x:v>
      </x:c>
      <x:c r="C1158" s="1" t="str">
        <x:v>Футболки</x:v>
      </x:c>
      <x:c r="D1158" s="9" t="n">
        <x:v>7.5</x:v>
      </x:c>
      <x:c r="E1158" s="8" t="n">
        <x:v>4670</x:v>
      </x:c>
      <x:c r="F1158" s="8" t="n">
        <x:v>247</x:v>
      </x:c>
      <x:c r="G1158" s="8" t="n">
        <x:v>72571</x:v>
      </x:c>
      <x:c r="H1158" s="8" t="n">
        <x:v>683</x:v>
      </x:c>
      <x:c r="I1158" s="8" t="n">
        <x:v>0</x:v>
      </x:c>
      <x:c r="J1158" s="8" t="n">
        <x:v>141</x:v>
      </x:c>
      <x:c r="K1158" s="8" t="n">
        <x:v>481</x:v>
      </x:c>
      <x:c r="L1158" s="1" t="str">
        <x:v>Нет</x:v>
      </x:c>
      <x:c r="M1158" s="1" t="n">
        <x:v>56310</x:v>
      </x:c>
    </x:row>
    <x:row r="1159">
      <x:c r="A1159" s="1" t="str">
        <x:v>201761293</x:v>
      </x:c>
      <x:c r="B1159" s="1" t="str">
        <x:v>hudiprint/Los-49/молочный</x:v>
      </x:c>
      <x:c r="C1159" s="1" t="str">
        <x:v>Худи</x:v>
      </x:c>
      <x:c r="D1159" s="9" t="n">
        <x:v>9.7</x:v>
      </x:c>
      <x:c r="E1159" s="8" t="n">
        <x:v>5147</x:v>
      </x:c>
      <x:c r="F1159" s="8" t="n">
        <x:v>44</x:v>
      </x:c>
      <x:c r="G1159" s="8" t="n">
        <x:v>72192</x:v>
      </x:c>
      <x:c r="H1159" s="8" t="n">
        <x:v>4</x:v>
      </x:c>
      <x:c r="I1159" s="8" t="n">
        <x:v>0</x:v>
      </x:c>
      <x:c r="J1159" s="8" t="n">
        <x:v>271</x:v>
      </x:c>
      <x:c r="K1159" s="8" t="n">
        <x:v>2580</x:v>
      </x:c>
      <x:c r="L1159" s="1" t="str">
        <x:v>Нет</x:v>
      </x:c>
      <x:c r="M1159" s="1" t="n">
        <x:v>376566</x:v>
      </x:c>
    </x:row>
    <x:row r="1160">
      <x:c r="A1160" s="1" t="str">
        <x:v>311071840</x:v>
      </x:c>
      <x:c r="B1160" s="1" t="str">
        <x:v>brukipetl/бежевый</x:v>
      </x:c>
      <x:c r="C1160" s="1" t="str">
        <x:v>Брюки</x:v>
      </x:c>
      <x:c r="D1160" s="9" t="n">
        <x:v>8.7</x:v>
      </x:c>
      <x:c r="E1160" s="8" t="n">
        <x:v>11724</x:v>
      </x:c>
      <x:c r="F1160" s="8" t="n">
        <x:v>143</x:v>
      </x:c>
      <x:c r="G1160" s="8" t="n">
        <x:v>71598</x:v>
      </x:c>
      <x:c r="H1160" s="8" t="n">
        <x:v>220</x:v>
      </x:c>
      <x:c r="I1160" s="8" t="n">
        <x:v>0</x:v>
      </x:c>
      <x:c r="J1160" s="8" t="n">
        <x:v>188</x:v>
      </x:c>
      <x:c r="K1160" s="8" t="n">
        <x:v>2236</x:v>
      </x:c>
      <x:c r="L1160" s="1" t="str">
        <x:v>Нет</x:v>
      </x:c>
      <x:c r="M1160" s="1" t="n">
        <x:v>156800</x:v>
      </x:c>
    </x:row>
    <x:row r="1161">
      <x:c r="A1161" s="1" t="str">
        <x:v>334783651</x:v>
      </x:c>
      <x:c r="B1161" s="1" t="str">
        <x:v>futbolkaprint/Single-291/бордовый</x:v>
      </x:c>
      <x:c r="C1161" s="1" t="str">
        <x:v>Футболки</x:v>
      </x:c>
      <x:c r="D1161" s="9" t="n">
        <x:v>9.7</x:v>
      </x:c>
      <x:c r="E1161" s="8" t="n">
        <x:v>74783</x:v>
      </x:c>
      <x:c r="F1161" s="8" t="n">
        <x:v>195</x:v>
      </x:c>
      <x:c r="G1161" s="8" t="n">
        <x:v>71403</x:v>
      </x:c>
      <x:c r="H1161" s="8" t="n">
        <x:v>582</x:v>
      </x:c>
      <x:c r="I1161" s="8" t="n">
        <x:v>0</x:v>
      </x:c>
      <x:c r="J1161" s="8" t="n">
        <x:v>0</x:v>
      </x:c>
      <x:c r="K1161" s="8" t="n">
        <x:v>1197</x:v>
      </x:c>
      <x:c r="L1161" s="1" t="str">
        <x:v>Нет</x:v>
      </x:c>
      <x:c r="M1161" s="1" t="n">
        <x:v>0</x:v>
      </x:c>
    </x:row>
    <x:row r="1162">
      <x:c r="A1162" s="1" t="str">
        <x:v>212947285</x:v>
      </x:c>
      <x:c r="B1162" s="1" t="str">
        <x:v>hudiprint/RozMoreSelf-90/молочный</x:v>
      </x:c>
      <x:c r="C1162" s="1" t="str">
        <x:v>Худи</x:v>
      </x:c>
      <x:c r="D1162" s="9" t="n">
        <x:v>9.7</x:v>
      </x:c>
      <x:c r="E1162" s="8" t="n">
        <x:v>9511</x:v>
      </x:c>
      <x:c r="F1162" s="8" t="n">
        <x:v>68</x:v>
      </x:c>
      <x:c r="G1162" s="8" t="n">
        <x:v>71192</x:v>
      </x:c>
      <x:c r="H1162" s="8" t="n">
        <x:v>0</x:v>
      </x:c>
      <x:c r="I1162" s="8" t="n">
        <x:v>0</x:v>
      </x:c>
      <x:c r="J1162" s="8" t="n">
        <x:v>100</x:v>
      </x:c>
      <x:c r="K1162" s="8" t="n">
        <x:v>2380</x:v>
      </x:c>
      <x:c r="L1162" s="1" t="str">
        <x:v>Нет</x:v>
      </x:c>
      <x:c r="M1162" s="1" t="n">
        <x:v>108100</x:v>
      </x:c>
    </x:row>
    <x:row r="1163">
      <x:c r="A1163" s="1" t="str">
        <x:v>283026227</x:v>
      </x:c>
      <x:c r="B1163" s="1" t="str">
        <x:v>sweatervyaz/бордовый</x:v>
      </x:c>
      <x:c r="C1163" s="1" t="str">
        <x:v>Свитеры</x:v>
      </x:c>
      <x:c r="D1163" s="9" t="n">
        <x:v>8.7</x:v>
      </x:c>
      <x:c r="E1163" s="8" t="n">
        <x:v>12470</x:v>
      </x:c>
      <x:c r="F1163" s="8" t="n">
        <x:v>65</x:v>
      </x:c>
      <x:c r="G1163" s="8" t="n">
        <x:v>71065</x:v>
      </x:c>
      <x:c r="H1163" s="8" t="n">
        <x:v>424</x:v>
      </x:c>
      <x:c r="I1163" s="8" t="n">
        <x:v>0</x:v>
      </x:c>
      <x:c r="J1163" s="8" t="n">
        <x:v>68</x:v>
      </x:c>
      <x:c r="K1163" s="8" t="n">
        <x:v>2290</x:v>
      </x:c>
      <x:c r="L1163" s="1" t="str">
        <x:v>Нет</x:v>
      </x:c>
      <x:c r="M1163" s="1" t="n">
        <x:v>89301</x:v>
      </x:c>
    </x:row>
    <x:row r="1164">
      <x:c r="A1164" s="1" t="str">
        <x:v>244785627</x:v>
      </x:c>
      <x:c r="B1164" s="1" t="str">
        <x:v>hudimanprint/MovesBlack-180/черный</x:v>
      </x:c>
      <x:c r="C1164" s="1" t="str">
        <x:v>Худи</x:v>
      </x:c>
      <x:c r="D1164" s="9" t="n">
        <x:v>8.7</x:v>
      </x:c>
      <x:c r="E1164" s="8" t="n">
        <x:v>6086</x:v>
      </x:c>
      <x:c r="F1164" s="8" t="n">
        <x:v>50</x:v>
      </x:c>
      <x:c r="G1164" s="8" t="n">
        <x:v>70783</x:v>
      </x:c>
      <x:c r="H1164" s="8" t="n">
        <x:v>53</x:v>
      </x:c>
      <x:c r="I1164" s="8" t="n">
        <x:v>0</x:v>
      </x:c>
      <x:c r="J1164" s="8" t="n">
        <x:v>185</x:v>
      </x:c>
      <x:c r="K1164" s="8" t="n">
        <x:v>2612</x:v>
      </x:c>
      <x:c r="L1164" s="1" t="str">
        <x:v>Нет</x:v>
      </x:c>
      <x:c r="M1164" s="1" t="n">
        <x:v>217922</x:v>
      </x:c>
    </x:row>
    <x:row r="1165">
      <x:c r="A1165" s="1" t="str">
        <x:v>170169477</x:v>
      </x:c>
      <x:c r="B1165" s="1" t="str">
        <x:v>brukiman/синий</x:v>
      </x:c>
      <x:c r="C1165" s="1" t="str">
        <x:v>Брюки</x:v>
      </x:c>
      <x:c r="D1165" s="9" t="n">
        <x:v>9.7</x:v>
      </x:c>
      <x:c r="E1165" s="8" t="n">
        <x:v>3470</x:v>
      </x:c>
      <x:c r="F1165" s="8" t="n">
        <x:v>88</x:v>
      </x:c>
      <x:c r="G1165" s="8" t="n">
        <x:v>70769</x:v>
      </x:c>
      <x:c r="H1165" s="8" t="n">
        <x:v>541</x:v>
      </x:c>
      <x:c r="I1165" s="8" t="n">
        <x:v>0</x:v>
      </x:c>
      <x:c r="J1165" s="8" t="n">
        <x:v>77</x:v>
      </x:c>
      <x:c r="K1165" s="8" t="n">
        <x:v>2142</x:v>
      </x:c>
      <x:c r="L1165" s="1" t="str">
        <x:v>Нет</x:v>
      </x:c>
      <x:c r="M1165" s="1" t="n">
        <x:v>71512</x:v>
      </x:c>
    </x:row>
    <x:row r="1166">
      <x:c r="A1166" s="1" t="str">
        <x:v>235997592</x:v>
      </x:c>
      <x:c r="B1166" s="1" t="str">
        <x:v>bazaboy/черный</x:v>
      </x:c>
      <x:c r="C1166" s="1" t="str">
        <x:v>Футболки</x:v>
      </x:c>
      <x:c r="D1166" s="9" t="n">
        <x:v>9.5</x:v>
      </x:c>
      <x:c r="E1166" s="8" t="n">
        <x:v>5175</x:v>
      </x:c>
      <x:c r="F1166" s="8" t="n">
        <x:v>278</x:v>
      </x:c>
      <x:c r="G1166" s="8" t="n">
        <x:v>70360</x:v>
      </x:c>
      <x:c r="H1166" s="8" t="n">
        <x:v>1982</x:v>
      </x:c>
      <x:c r="I1166" s="8" t="n">
        <x:v>0</x:v>
      </x:c>
      <x:c r="J1166" s="8" t="n">
        <x:v>9</x:v>
      </x:c>
      <x:c r="K1166" s="8" t="n">
        <x:v>487</x:v>
      </x:c>
      <x:c r="L1166" s="1" t="str">
        <x:v>Нет</x:v>
      </x:c>
      <x:c r="M1166" s="1" t="n">
        <x:v>2450</x:v>
      </x:c>
    </x:row>
    <x:row r="1167">
      <x:c r="A1167" s="1" t="str">
        <x:v>300305944</x:v>
      </x:c>
      <x:c r="B1167" s="1" t="str">
        <x:v>palazzonachos/дымка</x:v>
      </x:c>
      <x:c r="C1167" s="1" t="str">
        <x:v>Брюки</x:v>
      </x:c>
      <x:c r="D1167" s="9" t="n">
        <x:v>8.4</x:v>
      </x:c>
      <x:c r="E1167" s="8" t="n">
        <x:v>13362</x:v>
      </x:c>
      <x:c r="F1167" s="8" t="n">
        <x:v>138</x:v>
      </x:c>
      <x:c r="G1167" s="8" t="n">
        <x:v>70223</x:v>
      </x:c>
      <x:c r="H1167" s="8" t="n">
        <x:v>218</x:v>
      </x:c>
      <x:c r="I1167" s="8" t="n">
        <x:v>0</x:v>
      </x:c>
      <x:c r="J1167" s="8" t="n">
        <x:v>402</x:v>
      </x:c>
      <x:c r="K1167" s="8" t="n">
        <x:v>2412</x:v>
      </x:c>
      <x:c r="L1167" s="1" t="str">
        <x:v>Нет</x:v>
      </x:c>
      <x:c r="M1167" s="1" t="n">
        <x:v>225400</x:v>
      </x:c>
    </x:row>
    <x:row r="1168">
      <x:c r="A1168" s="1" t="str">
        <x:v>347537673</x:v>
      </x:c>
      <x:c r="B1168" s="1" t="str">
        <x:v>body3K-S-6/белый</x:v>
      </x:c>
      <x:c r="C1168" s="1" t="str">
        <x:v>Блузки-боди</x:v>
      </x:c>
      <x:c r="D1168" s="9" t="n">
        <x:v>8.7</x:v>
      </x:c>
      <x:c r="E1168" s="8" t="n">
        <x:v>28188</x:v>
      </x:c>
      <x:c r="F1168" s="8" t="n">
        <x:v>178</x:v>
      </x:c>
      <x:c r="G1168" s="8" t="n">
        <x:v>69695</x:v>
      </x:c>
      <x:c r="H1168" s="8" t="n">
        <x:v>2632</x:v>
      </x:c>
      <x:c r="I1168" s="8" t="n">
        <x:v>0</x:v>
      </x:c>
      <x:c r="J1168" s="8" t="n">
        <x:v>0</x:v>
      </x:c>
      <x:c r="K1168" s="8" t="n">
        <x:v>965</x:v>
      </x:c>
      <x:c r="L1168" s="1" t="str">
        <x:v>Нет</x:v>
      </x:c>
      <x:c r="M1168" s="1" t="n">
        <x:v>0</x:v>
      </x:c>
    </x:row>
    <x:row r="1169">
      <x:c r="A1169" s="1" t="str">
        <x:v>289089195</x:v>
      </x:c>
      <x:c r="B1169" s="1" t="str">
        <x:v>palazzonachos/бордовый</x:v>
      </x:c>
      <x:c r="C1169" s="1" t="str">
        <x:v>Брюки</x:v>
      </x:c>
      <x:c r="D1169" s="9" t="n">
        <x:v>8.4</x:v>
      </x:c>
      <x:c r="E1169" s="8" t="n">
        <x:v>13197</x:v>
      </x:c>
      <x:c r="F1169" s="8" t="n">
        <x:v>124</x:v>
      </x:c>
      <x:c r="G1169" s="8" t="n">
        <x:v>69313</x:v>
      </x:c>
      <x:c r="H1169" s="8" t="n">
        <x:v>3</x:v>
      </x:c>
      <x:c r="I1169" s="8" t="n">
        <x:v>0</x:v>
      </x:c>
      <x:c r="J1169" s="8" t="n">
        <x:v>284</x:v>
      </x:c>
      <x:c r="K1169" s="8" t="n">
        <x:v>2488</x:v>
      </x:c>
      <x:c r="L1169" s="1" t="str">
        <x:v>Нет</x:v>
      </x:c>
      <x:c r="M1169" s="1" t="n">
        <x:v>220500</x:v>
      </x:c>
    </x:row>
    <x:row r="1170">
      <x:c r="A1170" s="1" t="str">
        <x:v>217879631</x:v>
      </x:c>
      <x:c r="B1170" s="1" t="str">
        <x:v>2NshortymanX2/чер-тсер</x:v>
      </x:c>
      <x:c r="C1170" s="1" t="str">
        <x:v>Шорты</x:v>
      </x:c>
      <x:c r="D1170" s="9" t="n">
        <x:v>8.4</x:v>
      </x:c>
      <x:c r="E1170" s="8" t="n">
        <x:v>5190</x:v>
      </x:c>
      <x:c r="F1170" s="8" t="n">
        <x:v>151</x:v>
      </x:c>
      <x:c r="G1170" s="8" t="n">
        <x:v>69300</x:v>
      </x:c>
      <x:c r="H1170" s="8" t="n">
        <x:v>0</x:v>
      </x:c>
      <x:c r="I1170" s="8" t="n">
        <x:v>0</x:v>
      </x:c>
      <x:c r="J1170" s="8"/>
      <x:c r="K1170" s="8" t="n">
        <x:v>1650</x:v>
      </x:c>
      <x:c r="L1170" s="1" t="str">
        <x:v>Нет</x:v>
      </x:c>
      <x:c r="M1170" s="1"/>
    </x:row>
    <x:row r="1171">
      <x:c r="A1171" s="1" t="str">
        <x:v>344404687</x:v>
      </x:c>
      <x:c r="B1171" s="1" t="str">
        <x:v>ribmayka3R-S13/серый</x:v>
      </x:c>
      <x:c r="C1171" s="1" t="str">
        <x:v>Топы</x:v>
      </x:c>
      <x:c r="D1171" s="9" t="n">
        <x:v>9.4</x:v>
      </x:c>
      <x:c r="E1171" s="8" t="n">
        <x:v>18630</x:v>
      </x:c>
      <x:c r="F1171" s="8" t="n">
        <x:v>200</x:v>
      </x:c>
      <x:c r="G1171" s="8" t="n">
        <x:v>69203</x:v>
      </x:c>
      <x:c r="H1171" s="8" t="n">
        <x:v>649</x:v>
      </x:c>
      <x:c r="I1171" s="8" t="n">
        <x:v>0</x:v>
      </x:c>
      <x:c r="J1171" s="8" t="n">
        <x:v>0</x:v>
      </x:c>
      <x:c r="K1171" s="8" t="n">
        <x:v>780</x:v>
      </x:c>
      <x:c r="L1171" s="1" t="str">
        <x:v>Нет</x:v>
      </x:c>
      <x:c r="M1171" s="1" t="n">
        <x:v>0</x:v>
      </x:c>
    </x:row>
    <x:row r="1172">
      <x:c r="A1172" s="1" t="str">
        <x:v>332418835</x:v>
      </x:c>
      <x:c r="B1172" s="1" t="str">
        <x:v>top/пыльно-синий</x:v>
      </x:c>
      <x:c r="C1172" s="1" t="str">
        <x:v>Топы</x:v>
      </x:c>
      <x:c r="D1172" s="9" t="n">
        <x:v>8.7</x:v>
      </x:c>
      <x:c r="E1172" s="8" t="n">
        <x:v>25345</x:v>
      </x:c>
      <x:c r="F1172" s="8" t="n">
        <x:v>271</x:v>
      </x:c>
      <x:c r="G1172" s="8" t="n">
        <x:v>69100</x:v>
      </x:c>
      <x:c r="H1172" s="8" t="n">
        <x:v>39</x:v>
      </x:c>
      <x:c r="I1172" s="8" t="n">
        <x:v>0</x:v>
      </x:c>
      <x:c r="J1172" s="8" t="n">
        <x:v>7</x:v>
      </x:c>
      <x:c r="K1172" s="8" t="n">
        <x:v>620</x:v>
      </x:c>
      <x:c r="L1172" s="1" t="str">
        <x:v>Нет</x:v>
      </x:c>
      <x:c r="M1172" s="1" t="n">
        <x:v>1000</x:v>
      </x:c>
    </x:row>
    <x:row r="1173">
      <x:c r="A1173" s="1" t="str">
        <x:v>204476254</x:v>
      </x:c>
      <x:c r="B1173" s="1" t="str">
        <x:v>hudimanprint/PLAY-68/черный</x:v>
      </x:c>
      <x:c r="C1173" s="1" t="str">
        <x:v>Худи</x:v>
      </x:c>
      <x:c r="D1173" s="9" t="n">
        <x:v>8.7</x:v>
      </x:c>
      <x:c r="E1173" s="8" t="n">
        <x:v>6559</x:v>
      </x:c>
      <x:c r="F1173" s="8" t="n">
        <x:v>66</x:v>
      </x:c>
      <x:c r="G1173" s="8" t="n">
        <x:v>68808</x:v>
      </x:c>
      <x:c r="H1173" s="8" t="n">
        <x:v>1</x:v>
      </x:c>
      <x:c r="I1173" s="8" t="n">
        <x:v>0</x:v>
      </x:c>
      <x:c r="J1173" s="8" t="n">
        <x:v>86</x:v>
      </x:c>
      <x:c r="K1173" s="8" t="n">
        <x:v>2393</x:v>
      </x:c>
      <x:c r="L1173" s="1" t="str">
        <x:v>Нет</x:v>
      </x:c>
      <x:c r="M1173" s="1" t="n">
        <x:v>122501</x:v>
      </x:c>
    </x:row>
    <x:row r="1174">
      <x:c r="A1174" s="1" t="str">
        <x:v>316053818</x:v>
      </x:c>
      <x:c r="B1174" s="1" t="str">
        <x:v>boxer/серыймеланж2</x:v>
      </x:c>
      <x:c r="C1174" s="1" t="str">
        <x:v>Трусы</x:v>
      </x:c>
      <x:c r="D1174" s="9" t="n">
        <x:v>8.7</x:v>
      </x:c>
      <x:c r="E1174" s="8" t="n">
        <x:v>11108</x:v>
      </x:c>
      <x:c r="F1174" s="8" t="n">
        <x:v>245</x:v>
      </x:c>
      <x:c r="G1174" s="8" t="n">
        <x:v>68521</x:v>
      </x:c>
      <x:c r="H1174" s="8" t="n">
        <x:v>345</x:v>
      </x:c>
      <x:c r="I1174" s="8" t="n">
        <x:v>0</x:v>
      </x:c>
      <x:c r="J1174" s="8" t="n">
        <x:v>4</x:v>
      </x:c>
      <x:c r="K1174" s="8" t="n">
        <x:v>360</x:v>
      </x:c>
      <x:c r="L1174" s="1" t="str">
        <x:v>Нет</x:v>
      </x:c>
      <x:c r="M1174" s="1" t="n">
        <x:v>1140</x:v>
      </x:c>
    </x:row>
    <x:row r="1175">
      <x:c r="A1175" s="1" t="str">
        <x:v>344417659</x:v>
      </x:c>
      <x:c r="B1175" s="1" t="str">
        <x:v>maykaman/красно-коричневый</x:v>
      </x:c>
      <x:c r="C1175" s="1" t="str">
        <x:v>Футболки</x:v>
      </x:c>
      <x:c r="D1175" s="9" t="n">
        <x:v>9</x:v>
      </x:c>
      <x:c r="E1175" s="8" t="n">
        <x:v>11875</x:v>
      </x:c>
      <x:c r="F1175" s="8" t="n">
        <x:v>137</x:v>
      </x:c>
      <x:c r="G1175" s="8" t="n">
        <x:v>68409</x:v>
      </x:c>
      <x:c r="H1175" s="8" t="n">
        <x:v>390</x:v>
      </x:c>
      <x:c r="I1175" s="8" t="n">
        <x:v>0</x:v>
      </x:c>
      <x:c r="J1175" s="8" t="n">
        <x:v>0</x:v>
      </x:c>
      <x:c r="K1175" s="8" t="n">
        <x:v>852</x:v>
      </x:c>
      <x:c r="L1175" s="1" t="str">
        <x:v>Нет</x:v>
      </x:c>
      <x:c r="M1175" s="1" t="n">
        <x:v>0</x:v>
      </x:c>
    </x:row>
    <x:row r="1176">
      <x:c r="A1176" s="1" t="str">
        <x:v>158427950</x:v>
      </x:c>
      <x:c r="B1176" s="1" t="str">
        <x:v>kostumman/песочный</x:v>
      </x:c>
      <x:c r="C1176" s="1" t="str">
        <x:v>Костюмы спортивные</x:v>
      </x:c>
      <x:c r="D1176" s="9" t="n">
        <x:v>9.4</x:v>
      </x:c>
      <x:c r="E1176" s="8" t="n">
        <x:v>5312</x:v>
      </x:c>
      <x:c r="F1176" s="8" t="n">
        <x:v>67</x:v>
      </x:c>
      <x:c r="G1176" s="8" t="n">
        <x:v>67811</x:v>
      </x:c>
      <x:c r="H1176" s="8" t="n">
        <x:v>427</x:v>
      </x:c>
      <x:c r="I1176" s="8" t="n">
        <x:v>0</x:v>
      </x:c>
      <x:c r="J1176" s="8" t="n">
        <x:v>103</x:v>
      </x:c>
      <x:c r="K1176" s="8" t="n">
        <x:v>4539</x:v>
      </x:c>
      <x:c r="L1176" s="1" t="str">
        <x:v>Нет</x:v>
      </x:c>
      <x:c r="M1176" s="1" t="n">
        <x:v>134592</x:v>
      </x:c>
    </x:row>
    <x:row r="1177">
      <x:c r="A1177" s="1" t="str">
        <x:v>370795843</x:v>
      </x:c>
      <x:c r="B1177" s="1" t="str">
        <x:v>2Nshortymanbk/коричневый</x:v>
      </x:c>
      <x:c r="C1177" s="1" t="str">
        <x:v>Шорты</x:v>
      </x:c>
      <x:c r="D1177" s="9" t="n">
        <x:v>8.4</x:v>
      </x:c>
      <x:c r="E1177" s="8" t="n">
        <x:v>11929</x:v>
      </x:c>
      <x:c r="F1177" s="8" t="n">
        <x:v>106</x:v>
      </x:c>
      <x:c r="G1177" s="8" t="n">
        <x:v>67219</x:v>
      </x:c>
      <x:c r="H1177" s="8" t="n">
        <x:v>5</x:v>
      </x:c>
      <x:c r="I1177" s="8" t="n">
        <x:v>0</x:v>
      </x:c>
      <x:c r="J1177" s="8" t="n">
        <x:v>0</x:v>
      </x:c>
      <x:c r="K1177" s="8" t="n">
        <x:v>1512</x:v>
      </x:c>
      <x:c r="L1177" s="1" t="str">
        <x:v>Нет</x:v>
      </x:c>
      <x:c r="M1177" s="1" t="n">
        <x:v>0</x:v>
      </x:c>
    </x:row>
    <x:row r="1178">
      <x:c r="A1178" s="1" t="str">
        <x:v>313770738</x:v>
      </x:c>
      <x:c r="B1178" s="1" t="str">
        <x:v>futbolkagirl/серовато-розовый</x:v>
      </x:c>
      <x:c r="C1178" s="1" t="str">
        <x:v>Футболки</x:v>
      </x:c>
      <x:c r="D1178" s="9" t="n">
        <x:v>10</x:v>
      </x:c>
      <x:c r="E1178" s="8" t="n">
        <x:v>28352</x:v>
      </x:c>
      <x:c r="F1178" s="8" t="n">
        <x:v>183</x:v>
      </x:c>
      <x:c r="G1178" s="8" t="n">
        <x:v>67085</x:v>
      </x:c>
      <x:c r="H1178" s="8" t="n">
        <x:v>261</x:v>
      </x:c>
      <x:c r="I1178" s="8" t="n">
        <x:v>0</x:v>
      </x:c>
      <x:c r="J1178" s="8" t="n">
        <x:v>97</x:v>
      </x:c>
      <x:c r="K1178" s="8" t="n">
        <x:v>482</x:v>
      </x:c>
      <x:c r="L1178" s="1" t="str">
        <x:v>Нет</x:v>
      </x:c>
      <x:c r="M1178" s="1" t="n">
        <x:v>32011</x:v>
      </x:c>
    </x:row>
    <x:row r="1179">
      <x:c r="A1179" s="1" t="str">
        <x:v>335463347</x:v>
      </x:c>
      <x:c r="B1179" s="1" t="str">
        <x:v>shorts3n3P-87/бордовый</x:v>
      </x:c>
      <x:c r="C1179" s="1" t="str">
        <x:v>Шорты</x:v>
      </x:c>
      <x:c r="D1179" s="9" t="n">
        <x:v>7.9</x:v>
      </x:c>
      <x:c r="E1179" s="8" t="n">
        <x:v>8852</x:v>
      </x:c>
      <x:c r="F1179" s="8" t="n">
        <x:v>143</x:v>
      </x:c>
      <x:c r="G1179" s="8" t="n">
        <x:v>66843</x:v>
      </x:c>
      <x:c r="H1179" s="8" t="n">
        <x:v>37</x:v>
      </x:c>
      <x:c r="I1179" s="8" t="n">
        <x:v>0</x:v>
      </x:c>
      <x:c r="J1179" s="8" t="n">
        <x:v>0</x:v>
      </x:c>
      <x:c r="K1179" s="8" t="n">
        <x:v>1350</x:v>
      </x:c>
      <x:c r="L1179" s="1" t="str">
        <x:v>Нет</x:v>
      </x:c>
      <x:c r="M1179" s="1" t="n">
        <x:v>0</x:v>
      </x:c>
    </x:row>
    <x:row r="1180">
      <x:c r="A1180" s="1" t="str">
        <x:v>203015609</x:v>
      </x:c>
      <x:c r="B1180" s="1" t="str">
        <x:v>Futbolkaprint/KRASLoveNever-64/молочный</x:v>
      </x:c>
      <x:c r="C1180" s="1" t="str">
        <x:v>Футболки</x:v>
      </x:c>
      <x:c r="D1180" s="9" t="n">
        <x:v>6.7</x:v>
      </x:c>
      <x:c r="E1180" s="8" t="n">
        <x:v>11677</x:v>
      </x:c>
      <x:c r="F1180" s="8" t="n">
        <x:v>103</x:v>
      </x:c>
      <x:c r="G1180" s="8" t="n">
        <x:v>66711</x:v>
      </x:c>
      <x:c r="H1180" s="8" t="n">
        <x:v>1</x:v>
      </x:c>
      <x:c r="I1180" s="8" t="n">
        <x:v>0</x:v>
      </x:c>
      <x:c r="J1180" s="8" t="n">
        <x:v>795</x:v>
      </x:c>
      <x:c r="K1180" s="8" t="n">
        <x:v>1107</x:v>
      </x:c>
      <x:c r="L1180" s="1" t="str">
        <x:v>Нет</x:v>
      </x:c>
      <x:c r="M1180" s="1" t="n">
        <x:v>510158</x:v>
      </x:c>
    </x:row>
    <x:row r="1181">
      <x:c r="A1181" s="1" t="str">
        <x:v>25604112</x:v>
      </x:c>
      <x:c r="B1181" s="1" t="str">
        <x:v>futbolka/красный</x:v>
      </x:c>
      <x:c r="C1181" s="1" t="str">
        <x:v>Футболки</x:v>
      </x:c>
      <x:c r="D1181" s="9" t="n">
        <x:v>7.2</x:v>
      </x:c>
      <x:c r="E1181" s="8" t="n">
        <x:v>16205</x:v>
      </x:c>
      <x:c r="F1181" s="8" t="n">
        <x:v>153</x:v>
      </x:c>
      <x:c r="G1181" s="8" t="n">
        <x:v>65801</x:v>
      </x:c>
      <x:c r="H1181" s="8" t="n">
        <x:v>0</x:v>
      </x:c>
      <x:c r="I1181" s="8" t="n">
        <x:v>0</x:v>
      </x:c>
      <x:c r="J1181" s="8" t="n">
        <x:v>74</x:v>
      </x:c>
      <x:c r="K1181" s="8" t="n">
        <x:v>741</x:v>
      </x:c>
      <x:c r="L1181" s="1" t="str">
        <x:v>Нет</x:v>
      </x:c>
      <x:c r="M1181" s="1" t="n">
        <x:v>30890</x:v>
      </x:c>
    </x:row>
    <x:row r="1182">
      <x:c r="A1182" s="1" t="str">
        <x:v>245558082</x:v>
      </x:c>
      <x:c r="B1182" s="1" t="str">
        <x:v>hudimanprint/Cactus-144/молочный</x:v>
      </x:c>
      <x:c r="C1182" s="1" t="str">
        <x:v>Худи</x:v>
      </x:c>
      <x:c r="D1182" s="9" t="n">
        <x:v>8.7</x:v>
      </x:c>
      <x:c r="E1182" s="8" t="n">
        <x:v>7166</x:v>
      </x:c>
      <x:c r="F1182" s="8" t="n">
        <x:v>67</x:v>
      </x:c>
      <x:c r="G1182" s="8" t="n">
        <x:v>65778</x:v>
      </x:c>
      <x:c r="H1182" s="8" t="n">
        <x:v>49</x:v>
      </x:c>
      <x:c r="I1182" s="8" t="n">
        <x:v>0</x:v>
      </x:c>
      <x:c r="J1182" s="8" t="n">
        <x:v>132</x:v>
      </x:c>
      <x:c r="K1182" s="8" t="n">
        <x:v>2342</x:v>
      </x:c>
      <x:c r="L1182" s="1" t="str">
        <x:v>Нет</x:v>
      </x:c>
      <x:c r="M1182" s="1" t="n">
        <x:v>138000</x:v>
      </x:c>
    </x:row>
    <x:row r="1183">
      <x:c r="A1183" s="1" t="str">
        <x:v>171386788</x:v>
      </x:c>
      <x:c r="B1183" s="1" t="str">
        <x:v>svitshotover/темно-серый</x:v>
      </x:c>
      <x:c r="C1183" s="1" t="str">
        <x:v>Свитшоты</x:v>
      </x:c>
      <x:c r="D1183" s="9" t="n">
        <x:v>9.7</x:v>
      </x:c>
      <x:c r="E1183" s="8" t="n">
        <x:v>7355</x:v>
      </x:c>
      <x:c r="F1183" s="8" t="n">
        <x:v>46</x:v>
      </x:c>
      <x:c r="G1183" s="8" t="n">
        <x:v>65379</x:v>
      </x:c>
      <x:c r="H1183" s="8" t="n">
        <x:v>206</x:v>
      </x:c>
      <x:c r="I1183" s="8" t="n">
        <x:v>0</x:v>
      </x:c>
      <x:c r="J1183" s="8" t="n">
        <x:v>75</x:v>
      </x:c>
      <x:c r="K1183" s="8" t="n">
        <x:v>2252</x:v>
      </x:c>
      <x:c r="L1183" s="1" t="str">
        <x:v>Нет</x:v>
      </x:c>
      <x:c r="M1183" s="1" t="n">
        <x:v>55706</x:v>
      </x:c>
    </x:row>
    <x:row r="1184">
      <x:c r="A1184" s="1" t="str">
        <x:v>35657626</x:v>
      </x:c>
      <x:c r="B1184" s="1" t="str">
        <x:v>longsliv/красный</x:v>
      </x:c>
      <x:c r="C1184" s="1" t="str">
        <x:v>Лонгсливы</x:v>
      </x:c>
      <x:c r="D1184" s="9" t="n">
        <x:v>9.7</x:v>
      </x:c>
      <x:c r="E1184" s="8" t="n">
        <x:v>6633</x:v>
      </x:c>
      <x:c r="F1184" s="8" t="n">
        <x:v>222</x:v>
      </x:c>
      <x:c r="G1184" s="8" t="n">
        <x:v>65306</x:v>
      </x:c>
      <x:c r="H1184" s="8" t="n">
        <x:v>70</x:v>
      </x:c>
      <x:c r="I1184" s="8" t="n">
        <x:v>0</x:v>
      </x:c>
      <x:c r="J1184" s="8" t="n">
        <x:v>139</x:v>
      </x:c>
      <x:c r="K1184" s="8" t="n">
        <x:v>789</x:v>
      </x:c>
      <x:c r="L1184" s="1" t="str">
        <x:v>Нет</x:v>
      </x:c>
      <x:c r="M1184" s="1" t="n">
        <x:v>40878</x:v>
      </x:c>
    </x:row>
    <x:row r="1185">
      <x:c r="A1185" s="1" t="str">
        <x:v>171386790</x:v>
      </x:c>
      <x:c r="B1185" s="1" t="str">
        <x:v>svitshotover/белый</x:v>
      </x:c>
      <x:c r="C1185" s="1" t="str">
        <x:v>Свитшоты</x:v>
      </x:c>
      <x:c r="D1185" s="9" t="n">
        <x:v>9.7</x:v>
      </x:c>
      <x:c r="E1185" s="8" t="n">
        <x:v>10332</x:v>
      </x:c>
      <x:c r="F1185" s="8" t="n">
        <x:v>84</x:v>
      </x:c>
      <x:c r="G1185" s="8" t="n">
        <x:v>65242</x:v>
      </x:c>
      <x:c r="H1185" s="8" t="n">
        <x:v>257</x:v>
      </x:c>
      <x:c r="I1185" s="8" t="n">
        <x:v>0</x:v>
      </x:c>
      <x:c r="J1185" s="8" t="n">
        <x:v>200</x:v>
      </x:c>
      <x:c r="K1185" s="8" t="n">
        <x:v>2037</x:v>
      </x:c>
      <x:c r="L1185" s="1" t="str">
        <x:v>Нет</x:v>
      </x:c>
      <x:c r="M1185" s="1" t="n">
        <x:v>227118</x:v>
      </x:c>
    </x:row>
    <x:row r="1186">
      <x:c r="A1186" s="1" t="str">
        <x:v>181613185</x:v>
      </x:c>
      <x:c r="B1186" s="1" t="str">
        <x:v>kostyum/синий</x:v>
      </x:c>
      <x:c r="C1186" s="1" t="str">
        <x:v>Костюмы спортивные</x:v>
      </x:c>
      <x:c r="D1186" s="9" t="n">
        <x:v>8.7</x:v>
      </x:c>
      <x:c r="E1186" s="8" t="n">
        <x:v>25876</x:v>
      </x:c>
      <x:c r="F1186" s="8" t="n">
        <x:v>59</x:v>
      </x:c>
      <x:c r="G1186" s="8" t="n">
        <x:v>64836</x:v>
      </x:c>
      <x:c r="H1186" s="8" t="n">
        <x:v>385</x:v>
      </x:c>
      <x:c r="I1186" s="8" t="n">
        <x:v>0</x:v>
      </x:c>
      <x:c r="J1186" s="8" t="n">
        <x:v>72</x:v>
      </x:c>
      <x:c r="K1186" s="8" t="n">
        <x:v>4330</x:v>
      </x:c>
      <x:c r="L1186" s="1" t="str">
        <x:v>Нет</x:v>
      </x:c>
      <x:c r="M1186" s="1" t="n">
        <x:v>116373</x:v>
      </x:c>
    </x:row>
    <x:row r="1187">
      <x:c r="A1187" s="1" t="str">
        <x:v>333112142</x:v>
      </x:c>
      <x:c r="B1187" s="1" t="str">
        <x:v>topmayka/пыльно-синий</x:v>
      </x:c>
      <x:c r="C1187" s="1" t="str">
        <x:v>Топы</x:v>
      </x:c>
      <x:c r="D1187" s="9" t="n">
        <x:v>9</x:v>
      </x:c>
      <x:c r="E1187" s="8" t="n">
        <x:v>16401</x:v>
      </x:c>
      <x:c r="F1187" s="8" t="n">
        <x:v>177</x:v>
      </x:c>
      <x:c r="G1187" s="8" t="n">
        <x:v>64555</x:v>
      </x:c>
      <x:c r="H1187" s="8" t="n">
        <x:v>76</x:v>
      </x:c>
      <x:c r="I1187" s="8" t="n">
        <x:v>0</x:v>
      </x:c>
      <x:c r="J1187" s="8" t="n">
        <x:v>0</x:v>
      </x:c>
      <x:c r="K1187" s="8" t="n">
        <x:v>678</x:v>
      </x:c>
      <x:c r="L1187" s="1" t="str">
        <x:v>Нет</x:v>
      </x:c>
      <x:c r="M1187" s="1" t="n">
        <x:v>0</x:v>
      </x:c>
    </x:row>
    <x:row r="1188">
      <x:c r="A1188" s="1" t="str">
        <x:v>306916576</x:v>
      </x:c>
      <x:c r="B1188" s="1" t="str">
        <x:v>hudicropman4F-67/графит</x:v>
      </x:c>
      <x:c r="C1188" s="1" t="str">
        <x:v>Худи</x:v>
      </x:c>
      <x:c r="D1188" s="9" t="n">
        <x:v>9.7</x:v>
      </x:c>
      <x:c r="E1188" s="8" t="n">
        <x:v>8424</x:v>
      </x:c>
      <x:c r="F1188" s="8" t="n">
        <x:v>86</x:v>
      </x:c>
      <x:c r="G1188" s="8" t="n">
        <x:v>64209</x:v>
      </x:c>
      <x:c r="H1188" s="8" t="n">
        <x:v>349</x:v>
      </x:c>
      <x:c r="I1188" s="8" t="n">
        <x:v>0</x:v>
      </x:c>
      <x:c r="J1188" s="8" t="n">
        <x:v>130</x:v>
      </x:c>
      <x:c r="K1188" s="8" t="n">
        <x:v>2681</x:v>
      </x:c>
      <x:c r="L1188" s="1" t="str">
        <x:v>Нет</x:v>
      </x:c>
      <x:c r="M1188" s="1" t="n">
        <x:v>115050</x:v>
      </x:c>
    </x:row>
    <x:row r="1189">
      <x:c r="A1189" s="1" t="str">
        <x:v>181355542</x:v>
      </x:c>
      <x:c r="B1189" s="1" t="str">
        <x:v>sweater/молочный</x:v>
      </x:c>
      <x:c r="C1189" s="1" t="str">
        <x:v>Свитшоты</x:v>
      </x:c>
      <x:c r="D1189" s="9" t="n">
        <x:v>7.7</x:v>
      </x:c>
      <x:c r="E1189" s="8" t="n">
        <x:v>5850</x:v>
      </x:c>
      <x:c r="F1189" s="8" t="n">
        <x:v>101</x:v>
      </x:c>
      <x:c r="G1189" s="8" t="n">
        <x:v>64148</x:v>
      </x:c>
      <x:c r="H1189" s="8" t="n">
        <x:v>240</x:v>
      </x:c>
      <x:c r="I1189" s="8" t="n">
        <x:v>0</x:v>
      </x:c>
      <x:c r="J1189" s="8" t="n">
        <x:v>176</x:v>
      </x:c>
      <x:c r="K1189" s="8" t="n">
        <x:v>2305</x:v>
      </x:c>
      <x:c r="L1189" s="1" t="str">
        <x:v>Нет</x:v>
      </x:c>
      <x:c r="M1189" s="1" t="n">
        <x:v>181937</x:v>
      </x:c>
    </x:row>
    <x:row r="1190">
      <x:c r="A1190" s="1" t="str">
        <x:v>323169152</x:v>
      </x:c>
      <x:c r="B1190" s="1" t="str">
        <x:v>tanktop3K-S9/каштановый</x:v>
      </x:c>
      <x:c r="C1190" s="1" t="str">
        <x:v>Футболки</x:v>
      </x:c>
      <x:c r="D1190" s="9" t="n">
        <x:v>8.7</x:v>
      </x:c>
      <x:c r="E1190" s="8" t="n">
        <x:v>33432</x:v>
      </x:c>
      <x:c r="F1190" s="8" t="n">
        <x:v>219</x:v>
      </x:c>
      <x:c r="G1190" s="8" t="n">
        <x:v>62626</x:v>
      </x:c>
      <x:c r="H1190" s="8" t="n">
        <x:v>126</x:v>
      </x:c>
      <x:c r="I1190" s="8" t="n">
        <x:v>0</x:v>
      </x:c>
      <x:c r="J1190" s="8" t="n">
        <x:v>0</x:v>
      </x:c>
      <x:c r="K1190" s="8" t="n">
        <x:v>731</x:v>
      </x:c>
      <x:c r="L1190" s="1" t="str">
        <x:v>Нет</x:v>
      </x:c>
      <x:c r="M1190" s="1" t="n">
        <x:v>0</x:v>
      </x:c>
    </x:row>
    <x:row r="1191">
      <x:c r="A1191" s="1" t="str">
        <x:v>181355534</x:v>
      </x:c>
      <x:c r="B1191" s="1" t="str">
        <x:v>sweater/кофейный</x:v>
      </x:c>
      <x:c r="C1191" s="1" t="str">
        <x:v>Свитшоты</x:v>
      </x:c>
      <x:c r="D1191" s="9" t="n">
        <x:v>9.7</x:v>
      </x:c>
      <x:c r="E1191" s="8" t="n">
        <x:v>7136</x:v>
      </x:c>
      <x:c r="F1191" s="8" t="n">
        <x:v>87</x:v>
      </x:c>
      <x:c r="G1191" s="8" t="n">
        <x:v>62616</x:v>
      </x:c>
      <x:c r="H1191" s="8" t="n">
        <x:v>196</x:v>
      </x:c>
      <x:c r="I1191" s="8" t="n">
        <x:v>0</x:v>
      </x:c>
      <x:c r="J1191" s="8" t="n">
        <x:v>239</x:v>
      </x:c>
      <x:c r="K1191" s="8" t="n">
        <x:v>2257</x:v>
      </x:c>
      <x:c r="L1191" s="1" t="str">
        <x:v>Нет</x:v>
      </x:c>
      <x:c r="M1191" s="1" t="n">
        <x:v>198616</x:v>
      </x:c>
    </x:row>
    <x:row r="1192">
      <x:c r="A1192" s="1" t="str">
        <x:v>216665274</x:v>
      </x:c>
      <x:c r="B1192" s="1" t="str">
        <x:v>2Nfutbolkaman/кофейный</x:v>
      </x:c>
      <x:c r="C1192" s="1" t="str">
        <x:v>Футболки</x:v>
      </x:c>
      <x:c r="D1192" s="9" t="n">
        <x:v>6.9</x:v>
      </x:c>
      <x:c r="E1192" s="8" t="n">
        <x:v>15966</x:v>
      </x:c>
      <x:c r="F1192" s="8" t="n">
        <x:v>112</x:v>
      </x:c>
      <x:c r="G1192" s="8" t="n">
        <x:v>62542</x:v>
      </x:c>
      <x:c r="H1192" s="8" t="n">
        <x:v>43</x:v>
      </x:c>
      <x:c r="I1192" s="8" t="n">
        <x:v>0</x:v>
      </x:c>
      <x:c r="J1192" s="8" t="n">
        <x:v>203</x:v>
      </x:c>
      <x:c r="K1192" s="8" t="n">
        <x:v>1179</x:v>
      </x:c>
      <x:c r="L1192" s="1" t="str">
        <x:v>Нет</x:v>
      </x:c>
      <x:c r="M1192" s="1" t="n">
        <x:v>95625</x:v>
      </x:c>
    </x:row>
    <x:row r="1193">
      <x:c r="A1193" s="1" t="str">
        <x:v>295586342</x:v>
      </x:c>
      <x:c r="B1193" s="1" t="str">
        <x:v>hudiman2/темно-серый</x:v>
      </x:c>
      <x:c r="C1193" s="1" t="str">
        <x:v>Худи</x:v>
      </x:c>
      <x:c r="D1193" s="9" t="n">
        <x:v>8.7</x:v>
      </x:c>
      <x:c r="E1193" s="8" t="n">
        <x:v>10455</x:v>
      </x:c>
      <x:c r="F1193" s="8" t="n">
        <x:v>93</x:v>
      </x:c>
      <x:c r="G1193" s="8" t="n">
        <x:v>62528</x:v>
      </x:c>
      <x:c r="H1193" s="8" t="n">
        <x:v>86</x:v>
      </x:c>
      <x:c r="I1193" s="8" t="n">
        <x:v>0</x:v>
      </x:c>
      <x:c r="J1193" s="8" t="n">
        <x:v>176</x:v>
      </x:c>
      <x:c r="K1193" s="8" t="n">
        <x:v>2402</x:v>
      </x:c>
      <x:c r="L1193" s="1" t="str">
        <x:v>Нет</x:v>
      </x:c>
      <x:c r="M1193" s="1" t="n">
        <x:v>192501</x:v>
      </x:c>
    </x:row>
    <x:row r="1194">
      <x:c r="A1194" s="1" t="str">
        <x:v>235997596</x:v>
      </x:c>
      <x:c r="B1194" s="1" t="str">
        <x:v>bazaboy/темно-серый</x:v>
      </x:c>
      <x:c r="C1194" s="1" t="str">
        <x:v>Футболки</x:v>
      </x:c>
      <x:c r="D1194" s="9" t="n">
        <x:v>9.5</x:v>
      </x:c>
      <x:c r="E1194" s="8" t="n">
        <x:v>6057</x:v>
      </x:c>
      <x:c r="F1194" s="8" t="n">
        <x:v>235</x:v>
      </x:c>
      <x:c r="G1194" s="8" t="n">
        <x:v>62055</x:v>
      </x:c>
      <x:c r="H1194" s="8" t="n">
        <x:v>689</x:v>
      </x:c>
      <x:c r="I1194" s="8" t="n">
        <x:v>0</x:v>
      </x:c>
      <x:c r="J1194" s="8" t="n">
        <x:v>23</x:v>
      </x:c>
      <x:c r="K1194" s="8" t="n">
        <x:v>483</x:v>
      </x:c>
      <x:c r="L1194" s="1" t="str">
        <x:v>Нет</x:v>
      </x:c>
      <x:c r="M1194" s="1" t="n">
        <x:v>7332</x:v>
      </x:c>
    </x:row>
    <x:row r="1195">
      <x:c r="A1195" s="1" t="str">
        <x:v>256332787</x:v>
      </x:c>
      <x:c r="B1195" s="1" t="str">
        <x:v>futhlopman/какао</x:v>
      </x:c>
      <x:c r="C1195" s="1" t="str">
        <x:v>Футболки</x:v>
      </x:c>
      <x:c r="D1195" s="9" t="n">
        <x:v>8.7</x:v>
      </x:c>
      <x:c r="E1195" s="8" t="n">
        <x:v>9659</x:v>
      </x:c>
      <x:c r="F1195" s="8" t="n">
        <x:v>180</x:v>
      </x:c>
      <x:c r="G1195" s="8" t="n">
        <x:v>61854</x:v>
      </x:c>
      <x:c r="H1195" s="8" t="n">
        <x:v>353</x:v>
      </x:c>
      <x:c r="I1195" s="8" t="n">
        <x:v>0</x:v>
      </x:c>
      <x:c r="J1195" s="8" t="n">
        <x:v>3</x:v>
      </x:c>
      <x:c r="K1195" s="8" t="n">
        <x:v>736</x:v>
      </x:c>
      <x:c r="L1195" s="1" t="str">
        <x:v>Нет</x:v>
      </x:c>
      <x:c r="M1195" s="1" t="n">
        <x:v>1470</x:v>
      </x:c>
    </x:row>
    <x:row r="1196">
      <x:c r="A1196" s="1" t="str">
        <x:v>202779211</x:v>
      </x:c>
      <x:c r="B1196" s="1" t="str">
        <x:v>hudiprint/Anketa-62/молочный</x:v>
      </x:c>
      <x:c r="C1196" s="1" t="str">
        <x:v>Худи</x:v>
      </x:c>
      <x:c r="D1196" s="9" t="n">
        <x:v>6.2</x:v>
      </x:c>
      <x:c r="E1196" s="8" t="n">
        <x:v>30483</x:v>
      </x:c>
      <x:c r="F1196" s="8" t="n">
        <x:v>86</x:v>
      </x:c>
      <x:c r="G1196" s="8" t="n">
        <x:v>61204</x:v>
      </x:c>
      <x:c r="H1196" s="8" t="n">
        <x:v>103</x:v>
      </x:c>
      <x:c r="I1196" s="8" t="n">
        <x:v>0</x:v>
      </x:c>
      <x:c r="J1196" s="8" t="n">
        <x:v>195</x:v>
      </x:c>
      <x:c r="K1196" s="8" t="n">
        <x:v>2195</x:v>
      </x:c>
      <x:c r="L1196" s="1" t="str">
        <x:v>Нет</x:v>
      </x:c>
      <x:c r="M1196" s="1" t="n">
        <x:v>207734</x:v>
      </x:c>
    </x:row>
    <x:row r="1197">
      <x:c r="A1197" s="1" t="str">
        <x:v>238369283</x:v>
      </x:c>
      <x:c r="B1197" s="1" t="str">
        <x:v>kroptop/темно-синий</x:v>
      </x:c>
      <x:c r="C1197" s="1" t="str">
        <x:v>Футболки</x:v>
      </x:c>
      <x:c r="D1197" s="9" t="n">
        <x:v>9.7</x:v>
      </x:c>
      <x:c r="E1197" s="8" t="n">
        <x:v>4274</x:v>
      </x:c>
      <x:c r="F1197" s="8" t="n">
        <x:v>123</x:v>
      </x:c>
      <x:c r="G1197" s="8" t="n">
        <x:v>59448</x:v>
      </x:c>
      <x:c r="H1197" s="8" t="n">
        <x:v>52</x:v>
      </x:c>
      <x:c r="I1197" s="8" t="n">
        <x:v>0</x:v>
      </x:c>
      <x:c r="J1197" s="8" t="n">
        <x:v>489</x:v>
      </x:c>
      <x:c r="K1197" s="8" t="n">
        <x:v>827</x:v>
      </x:c>
      <x:c r="L1197" s="1" t="str">
        <x:v>Нет</x:v>
      </x:c>
      <x:c r="M1197" s="1" t="n">
        <x:v>222315</x:v>
      </x:c>
    </x:row>
    <x:row r="1198">
      <x:c r="A1198" s="1" t="str">
        <x:v>344184289</x:v>
      </x:c>
      <x:c r="B1198" s="1" t="str">
        <x:v>longslim3К-81/графит</x:v>
      </x:c>
      <x:c r="C1198" s="1" t="str">
        <x:v>Лонгсливы</x:v>
      </x:c>
      <x:c r="D1198" s="9" t="n">
        <x:v>8.7</x:v>
      </x:c>
      <x:c r="E1198" s="8" t="n">
        <x:v>13052</x:v>
      </x:c>
      <x:c r="F1198" s="8" t="n">
        <x:v>168</x:v>
      </x:c>
      <x:c r="G1198" s="8" t="n">
        <x:v>59400</x:v>
      </x:c>
      <x:c r="H1198" s="8" t="n">
        <x:v>141</x:v>
      </x:c>
      <x:c r="I1198" s="8" t="n">
        <x:v>0</x:v>
      </x:c>
      <x:c r="J1198" s="8" t="n">
        <x:v>0</x:v>
      </x:c>
      <x:c r="K1198" s="8" t="n">
        <x:v>900</x:v>
      </x:c>
      <x:c r="L1198" s="1" t="str">
        <x:v>Нет</x:v>
      </x:c>
      <x:c r="M1198" s="1" t="n">
        <x:v>0</x:v>
      </x:c>
    </x:row>
    <x:row r="1199">
      <x:c r="A1199" s="1" t="str">
        <x:v>166248300</x:v>
      </x:c>
      <x:c r="B1199" s="1" t="str">
        <x:v>svitshotover/синий</x:v>
      </x:c>
      <x:c r="C1199" s="1" t="str">
        <x:v>Свитшоты</x:v>
      </x:c>
      <x:c r="D1199" s="9" t="n">
        <x:v>9.7</x:v>
      </x:c>
      <x:c r="E1199" s="8" t="n">
        <x:v>13732</x:v>
      </x:c>
      <x:c r="F1199" s="8" t="n">
        <x:v>86</x:v>
      </x:c>
      <x:c r="G1199" s="8" t="n">
        <x:v>59391</x:v>
      </x:c>
      <x:c r="H1199" s="8" t="n">
        <x:v>134</x:v>
      </x:c>
      <x:c r="I1199" s="8" t="n">
        <x:v>0</x:v>
      </x:c>
      <x:c r="J1199" s="8" t="n">
        <x:v>134</x:v>
      </x:c>
      <x:c r="K1199" s="8" t="n">
        <x:v>2107</x:v>
      </x:c>
      <x:c r="L1199" s="1" t="str">
        <x:v>Нет</x:v>
      </x:c>
      <x:c r="M1199" s="1" t="n">
        <x:v>147201</x:v>
      </x:c>
    </x:row>
    <x:row r="1200">
      <x:c r="A1200" s="1" t="str">
        <x:v>326814896</x:v>
      </x:c>
      <x:c r="B1200" s="1" t="str">
        <x:v>svitzip3P-S-5/светло-розовый</x:v>
      </x:c>
      <x:c r="C1200" s="1" t="str">
        <x:v>Свитшоты</x:v>
      </x:c>
      <x:c r="D1200" s="9" t="n">
        <x:v>8.7</x:v>
      </x:c>
      <x:c r="E1200" s="8" t="n">
        <x:v>32999</x:v>
      </x:c>
      <x:c r="F1200" s="8" t="n">
        <x:v>108</x:v>
      </x:c>
      <x:c r="G1200" s="8" t="n">
        <x:v>59281</x:v>
      </x:c>
      <x:c r="H1200" s="8" t="n">
        <x:v>135</x:v>
      </x:c>
      <x:c r="I1200" s="8" t="n">
        <x:v>0</x:v>
      </x:c>
      <x:c r="J1200" s="8" t="n">
        <x:v>0</x:v>
      </x:c>
      <x:c r="K1200" s="8" t="n">
        <x:v>2585</x:v>
      </x:c>
      <x:c r="L1200" s="1" t="str">
        <x:v>Нет</x:v>
      </x:c>
      <x:c r="M1200" s="1" t="n">
        <x:v>0</x:v>
      </x:c>
    </x:row>
    <x:row r="1201">
      <x:c r="A1201" s="1" t="str">
        <x:v>178241990</x:v>
      </x:c>
      <x:c r="B1201" s="1" t="str">
        <x:v>hudi1size/кофейный</x:v>
      </x:c>
      <x:c r="C1201" s="1" t="str">
        <x:v>Худи</x:v>
      </x:c>
      <x:c r="D1201" s="9" t="n">
        <x:v>9.7</x:v>
      </x:c>
      <x:c r="E1201" s="8" t="n">
        <x:v>4471</x:v>
      </x:c>
      <x:c r="F1201" s="8" t="n">
        <x:v>72</x:v>
      </x:c>
      <x:c r="G1201" s="8" t="n">
        <x:v>59153</x:v>
      </x:c>
      <x:c r="H1201" s="8" t="n">
        <x:v>1</x:v>
      </x:c>
      <x:c r="I1201" s="8" t="n">
        <x:v>0</x:v>
      </x:c>
      <x:c r="J1201" s="8" t="n">
        <x:v>61</x:v>
      </x:c>
      <x:c r="K1201" s="8" t="n">
        <x:v>2570</x:v>
      </x:c>
      <x:c r="L1201" s="1" t="str">
        <x:v>Нет</x:v>
      </x:c>
      <x:c r="M1201" s="1" t="n">
        <x:v>37584</x:v>
      </x:c>
    </x:row>
    <x:row r="1202">
      <x:c r="A1202" s="1" t="str">
        <x:v>344395200</x:v>
      </x:c>
      <x:c r="B1202" s="1" t="str">
        <x:v>tophumo/бордовый</x:v>
      </x:c>
      <x:c r="C1202" s="1" t="str">
        <x:v>Топы</x:v>
      </x:c>
      <x:c r="D1202" s="9" t="n">
        <x:v>9.4</x:v>
      </x:c>
      <x:c r="E1202" s="8" t="n">
        <x:v>21457</x:v>
      </x:c>
      <x:c r="F1202" s="8" t="n">
        <x:v>234</x:v>
      </x:c>
      <x:c r="G1202" s="8" t="n">
        <x:v>58490</x:v>
      </x:c>
      <x:c r="H1202" s="8" t="n">
        <x:v>439</x:v>
      </x:c>
      <x:c r="I1202" s="8" t="n">
        <x:v>0</x:v>
      </x:c>
      <x:c r="J1202" s="8" t="n">
        <x:v>0</x:v>
      </x:c>
      <x:c r="K1202" s="8" t="n">
        <x:v>673</x:v>
      </x:c>
      <x:c r="L1202" s="1" t="str">
        <x:v>Нет</x:v>
      </x:c>
      <x:c r="M1202" s="1" t="n">
        <x:v>0</x:v>
      </x:c>
    </x:row>
    <x:row r="1203">
      <x:c r="A1203" s="1" t="str">
        <x:v>283026229</x:v>
      </x:c>
      <x:c r="B1203" s="1" t="str">
        <x:v>sweatervyaz/темно-серый</x:v>
      </x:c>
      <x:c r="C1203" s="1" t="str">
        <x:v>Свитеры</x:v>
      </x:c>
      <x:c r="D1203" s="9" t="n">
        <x:v>8.7</x:v>
      </x:c>
      <x:c r="E1203" s="8" t="n">
        <x:v>10372</x:v>
      </x:c>
      <x:c r="F1203" s="8" t="n">
        <x:v>66</x:v>
      </x:c>
      <x:c r="G1203" s="8" t="n">
        <x:v>58236</x:v>
      </x:c>
      <x:c r="H1203" s="8" t="n">
        <x:v>446</x:v>
      </x:c>
      <x:c r="I1203" s="8" t="n">
        <x:v>0</x:v>
      </x:c>
      <x:c r="J1203" s="8" t="n">
        <x:v>92</x:v>
      </x:c>
      <x:c r="K1203" s="8" t="n">
        <x:v>2251</x:v>
      </x:c>
      <x:c r="L1203" s="1" t="str">
        <x:v>Нет</x:v>
      </x:c>
      <x:c r="M1203" s="1" t="n">
        <x:v>85850</x:v>
      </x:c>
    </x:row>
    <x:row r="1204">
      <x:c r="A1204" s="1" t="str">
        <x:v>202779202</x:v>
      </x:c>
      <x:c r="B1204" s="1" t="str">
        <x:v>hudiprint/Forever-60/молочный</x:v>
      </x:c>
      <x:c r="C1204" s="1" t="str">
        <x:v>Худи</x:v>
      </x:c>
      <x:c r="D1204" s="9" t="n">
        <x:v>7.7</x:v>
      </x:c>
      <x:c r="E1204" s="8" t="n">
        <x:v>18130</x:v>
      </x:c>
      <x:c r="F1204" s="8" t="n">
        <x:v>65</x:v>
      </x:c>
      <x:c r="G1204" s="8" t="n">
        <x:v>58142</x:v>
      </x:c>
      <x:c r="H1204" s="8" t="n">
        <x:v>152</x:v>
      </x:c>
      <x:c r="I1204" s="8" t="n">
        <x:v>0</x:v>
      </x:c>
      <x:c r="J1204" s="8" t="n">
        <x:v>59</x:v>
      </x:c>
      <x:c r="K1204" s="8" t="n">
        <x:v>2419</x:v>
      </x:c>
      <x:c r="L1204" s="1" t="str">
        <x:v>Нет</x:v>
      </x:c>
      <x:c r="M1204" s="1" t="n">
        <x:v>61250</x:v>
      </x:c>
    </x:row>
    <x:row r="1205">
      <x:c r="A1205" s="1" t="str">
        <x:v>311045260</x:v>
      </x:c>
      <x:c r="B1205" s="1" t="str">
        <x:v>hudipetl/бежевый</x:v>
      </x:c>
      <x:c r="C1205" s="1" t="str">
        <x:v>Худи</x:v>
      </x:c>
      <x:c r="D1205" s="9" t="n">
        <x:v>8.7</x:v>
      </x:c>
      <x:c r="E1205" s="8" t="n">
        <x:v>14221</x:v>
      </x:c>
      <x:c r="F1205" s="8" t="n">
        <x:v>103</x:v>
      </x:c>
      <x:c r="G1205" s="8" t="n">
        <x:v>58132</x:v>
      </x:c>
      <x:c r="H1205" s="8" t="n">
        <x:v>52</x:v>
      </x:c>
      <x:c r="I1205" s="8" t="n">
        <x:v>0</x:v>
      </x:c>
      <x:c r="J1205" s="8" t="n">
        <x:v>145</x:v>
      </x:c>
      <x:c r="K1205" s="8" t="n">
        <x:v>2492</x:v>
      </x:c>
      <x:c r="L1205" s="1" t="str">
        <x:v>Нет</x:v>
      </x:c>
      <x:c r="M1205" s="1" t="n">
        <x:v>109850</x:v>
      </x:c>
    </x:row>
    <x:row r="1206">
      <x:c r="A1206" s="1" t="str">
        <x:v>332387101</x:v>
      </x:c>
      <x:c r="B1206" s="1" t="str">
        <x:v>shorts3n3P-87/темно-серый</x:v>
      </x:c>
      <x:c r="C1206" s="1" t="str">
        <x:v>Шорты</x:v>
      </x:c>
      <x:c r="D1206" s="9" t="n">
        <x:v>7.9</x:v>
      </x:c>
      <x:c r="E1206" s="8" t="n">
        <x:v>7594</x:v>
      </x:c>
      <x:c r="F1206" s="8" t="n">
        <x:v>117</x:v>
      </x:c>
      <x:c r="G1206" s="8" t="n">
        <x:v>58125</x:v>
      </x:c>
      <x:c r="H1206" s="8" t="n">
        <x:v>1</x:v>
      </x:c>
      <x:c r="I1206" s="8" t="n">
        <x:v>0</x:v>
      </x:c>
      <x:c r="J1206" s="8" t="n">
        <x:v>0</x:v>
      </x:c>
      <x:c r="K1206" s="8" t="n">
        <x:v>1296</x:v>
      </x:c>
      <x:c r="L1206" s="1" t="str">
        <x:v>Нет</x:v>
      </x:c>
      <x:c r="M1206" s="1" t="n">
        <x:v>0</x:v>
      </x:c>
    </x:row>
    <x:row r="1207">
      <x:c r="A1207" s="1" t="str">
        <x:v>160478475</x:v>
      </x:c>
      <x:c r="B1207" s="1" t="str">
        <x:v>shortyman/бежевый</x:v>
      </x:c>
      <x:c r="C1207" s="1" t="str">
        <x:v>Шорты</x:v>
      </x:c>
      <x:c r="D1207" s="9" t="n">
        <x:v>6.2</x:v>
      </x:c>
      <x:c r="E1207" s="8" t="n">
        <x:v>9959</x:v>
      </x:c>
      <x:c r="F1207" s="8" t="n">
        <x:v>130</x:v>
      </x:c>
      <x:c r="G1207" s="8" t="n">
        <x:v>57957</x:v>
      </x:c>
      <x:c r="H1207" s="8" t="n">
        <x:v>0</x:v>
      </x:c>
      <x:c r="I1207" s="8" t="n">
        <x:v>0</x:v>
      </x:c>
      <x:c r="J1207" s="8" t="n">
        <x:v>1</x:v>
      </x:c>
      <x:c r="K1207" s="8" t="n">
        <x:v>1275</x:v>
      </x:c>
      <x:c r="L1207" s="1" t="str">
        <x:v>Нет</x:v>
      </x:c>
      <x:c r="M1207" s="1" t="n">
        <x:v>1245</x:v>
      </x:c>
    </x:row>
    <x:row r="1208">
      <x:c r="A1208" s="1" t="str">
        <x:v>322133007</x:v>
      </x:c>
      <x:c r="B1208" s="1" t="str">
        <x:v>shorts3n3P-87/молочный</x:v>
      </x:c>
      <x:c r="C1208" s="1" t="str">
        <x:v>Шорты</x:v>
      </x:c>
      <x:c r="D1208" s="9" t="n">
        <x:v>7.9</x:v>
      </x:c>
      <x:c r="E1208" s="8" t="n">
        <x:v>11729</x:v>
      </x:c>
      <x:c r="F1208" s="8" t="n">
        <x:v>148</x:v>
      </x:c>
      <x:c r="G1208" s="8" t="n">
        <x:v>57820</x:v>
      </x:c>
      <x:c r="H1208" s="8" t="n">
        <x:v>76</x:v>
      </x:c>
      <x:c r="I1208" s="8" t="n">
        <x:v>0</x:v>
      </x:c>
      <x:c r="J1208" s="8" t="n">
        <x:v>0</x:v>
      </x:c>
      <x:c r="K1208" s="8" t="n">
        <x:v>1239</x:v>
      </x:c>
      <x:c r="L1208" s="1" t="str">
        <x:v>Нет</x:v>
      </x:c>
      <x:c r="M1208" s="1" t="n">
        <x:v>0</x:v>
      </x:c>
    </x:row>
    <x:row r="1209">
      <x:c r="A1209" s="1" t="str">
        <x:v>158427958</x:v>
      </x:c>
      <x:c r="B1209" s="1" t="str">
        <x:v>kostumman/фиолетовый</x:v>
      </x:c>
      <x:c r="C1209" s="1" t="str">
        <x:v>Костюмы спортивные</x:v>
      </x:c>
      <x:c r="D1209" s="9" t="n">
        <x:v>9.4</x:v>
      </x:c>
      <x:c r="E1209" s="8" t="n">
        <x:v>5793</x:v>
      </x:c>
      <x:c r="F1209" s="8" t="n">
        <x:v>35</x:v>
      </x:c>
      <x:c r="G1209" s="8" t="n">
        <x:v>57197</x:v>
      </x:c>
      <x:c r="H1209" s="8" t="n">
        <x:v>296</x:v>
      </x:c>
      <x:c r="I1209" s="8" t="n">
        <x:v>0</x:v>
      </x:c>
      <x:c r="J1209" s="8" t="n">
        <x:v>29</x:v>
      </x:c>
      <x:c r="K1209" s="8" t="n">
        <x:v>4769</x:v>
      </x:c>
      <x:c r="L1209" s="1" t="str">
        <x:v>Нет</x:v>
      </x:c>
      <x:c r="M1209" s="1" t="n">
        <x:v>39200</x:v>
      </x:c>
    </x:row>
    <x:row r="1210">
      <x:c r="A1210" s="1" t="str">
        <x:v>198068995</x:v>
      </x:c>
      <x:c r="B1210" s="1" t="str">
        <x:v>sweater/серыймеланж2</x:v>
      </x:c>
      <x:c r="C1210" s="1" t="str">
        <x:v>Свитшоты</x:v>
      </x:c>
      <x:c r="D1210" s="9" t="n">
        <x:v>9.7</x:v>
      </x:c>
      <x:c r="E1210" s="8" t="n">
        <x:v>3972</x:v>
      </x:c>
      <x:c r="F1210" s="8" t="n">
        <x:v>65</x:v>
      </x:c>
      <x:c r="G1210" s="8" t="n">
        <x:v>56711</x:v>
      </x:c>
      <x:c r="H1210" s="8" t="n">
        <x:v>167</x:v>
      </x:c>
      <x:c r="I1210" s="8" t="n">
        <x:v>0</x:v>
      </x:c>
      <x:c r="J1210" s="8" t="n">
        <x:v>130</x:v>
      </x:c>
      <x:c r="K1210" s="8" t="n">
        <x:v>2271</x:v>
      </x:c>
      <x:c r="L1210" s="1" t="str">
        <x:v>Нет</x:v>
      </x:c>
      <x:c r="M1210" s="1" t="n">
        <x:v>90958</x:v>
      </x:c>
    </x:row>
    <x:row r="1211">
      <x:c r="A1211" s="1" t="str">
        <x:v>311049926</x:v>
      </x:c>
      <x:c r="B1211" s="1" t="str">
        <x:v>hudimanpetl/графит</x:v>
      </x:c>
      <x:c r="C1211" s="1" t="str">
        <x:v>Худи</x:v>
      </x:c>
      <x:c r="D1211" s="9" t="n">
        <x:v>8.7</x:v>
      </x:c>
      <x:c r="E1211" s="8" t="n">
        <x:v>11359</x:v>
      </x:c>
      <x:c r="F1211" s="8" t="n">
        <x:v>92</x:v>
      </x:c>
      <x:c r="G1211" s="8" t="n">
        <x:v>56651</x:v>
      </x:c>
      <x:c r="H1211" s="8" t="n">
        <x:v>5</x:v>
      </x:c>
      <x:c r="I1211" s="8" t="n">
        <x:v>0</x:v>
      </x:c>
      <x:c r="J1211" s="8" t="n">
        <x:v>18</x:v>
      </x:c>
      <x:c r="K1211" s="8" t="n">
        <x:v>2602</x:v>
      </x:c>
      <x:c r="L1211" s="1" t="str">
        <x:v>Нет</x:v>
      </x:c>
      <x:c r="M1211" s="1" t="n">
        <x:v>15301</x:v>
      </x:c>
    </x:row>
    <x:row r="1212">
      <x:c r="A1212" s="1" t="str">
        <x:v>344401317</x:v>
      </x:c>
      <x:c r="B1212" s="1" t="str">
        <x:v>malyshkabasic/какао</x:v>
      </x:c>
      <x:c r="C1212" s="1" t="str">
        <x:v>Футболки</x:v>
      </x:c>
      <x:c r="D1212" s="9" t="n">
        <x:v>7.9</x:v>
      </x:c>
      <x:c r="E1212" s="8" t="n">
        <x:v>29795</x:v>
      </x:c>
      <x:c r="F1212" s="8" t="n">
        <x:v>215</x:v>
      </x:c>
      <x:c r="G1212" s="8" t="n">
        <x:v>56222</x:v>
      </x:c>
      <x:c r="H1212" s="8" t="n">
        <x:v>628</x:v>
      </x:c>
      <x:c r="I1212" s="8" t="n">
        <x:v>0</x:v>
      </x:c>
      <x:c r="J1212" s="8" t="n">
        <x:v>0</x:v>
      </x:c>
      <x:c r="K1212" s="8" t="n">
        <x:v>741</x:v>
      </x:c>
      <x:c r="L1212" s="1" t="str">
        <x:v>Нет</x:v>
      </x:c>
      <x:c r="M1212" s="1" t="n">
        <x:v>0</x:v>
      </x:c>
    </x:row>
    <x:row r="1213">
      <x:c r="A1213" s="1" t="str">
        <x:v>231458809</x:v>
      </x:c>
      <x:c r="B1213" s="1" t="str">
        <x:v>futbolkaboy/дымка</x:v>
      </x:c>
      <x:c r="C1213" s="1" t="str">
        <x:v>Футболки</x:v>
      </x:c>
      <x:c r="D1213" s="9" t="n">
        <x:v>10</x:v>
      </x:c>
      <x:c r="E1213" s="8" t="n">
        <x:v>8498</x:v>
      </x:c>
      <x:c r="F1213" s="8" t="n">
        <x:v>168</x:v>
      </x:c>
      <x:c r="G1213" s="8" t="n">
        <x:v>55382</x:v>
      </x:c>
      <x:c r="H1213" s="8" t="n">
        <x:v>912</x:v>
      </x:c>
      <x:c r="I1213" s="8" t="n">
        <x:v>0</x:v>
      </x:c>
      <x:c r="J1213" s="8" t="n">
        <x:v>256</x:v>
      </x:c>
      <x:c r="K1213" s="8" t="n">
        <x:v>468</x:v>
      </x:c>
      <x:c r="L1213" s="1" t="str">
        <x:v>Нет</x:v>
      </x:c>
      <x:c r="M1213" s="1" t="n">
        <x:v>96173</x:v>
      </x:c>
    </x:row>
    <x:row r="1214">
      <x:c r="A1214" s="1" t="str">
        <x:v>256329208</x:v>
      </x:c>
      <x:c r="B1214" s="1" t="str">
        <x:v>futhlopman/белый</x:v>
      </x:c>
      <x:c r="C1214" s="1" t="str">
        <x:v>Футболки</x:v>
      </x:c>
      <x:c r="D1214" s="9" t="n">
        <x:v>6.7</x:v>
      </x:c>
      <x:c r="E1214" s="8" t="n">
        <x:v>4940</x:v>
      </x:c>
      <x:c r="F1214" s="8" t="n">
        <x:v>153</x:v>
      </x:c>
      <x:c r="G1214" s="8" t="n">
        <x:v>54344</x:v>
      </x:c>
      <x:c r="H1214" s="8" t="n">
        <x:v>409</x:v>
      </x:c>
      <x:c r="I1214" s="8" t="n">
        <x:v>0</x:v>
      </x:c>
      <x:c r="J1214" s="8" t="n">
        <x:v>30</x:v>
      </x:c>
      <x:c r="K1214" s="8" t="n">
        <x:v>734</x:v>
      </x:c>
      <x:c r="L1214" s="1" t="str">
        <x:v>Нет</x:v>
      </x:c>
      <x:c r="M1214" s="1" t="n">
        <x:v>16906</x:v>
      </x:c>
    </x:row>
    <x:row r="1215">
      <x:c r="A1215" s="1" t="str">
        <x:v>222005667</x:v>
      </x:c>
      <x:c r="B1215" s="1" t="str">
        <x:v>futbolkamanoverX3/чер-бел-син</x:v>
      </x:c>
      <x:c r="C1215" s="1" t="str">
        <x:v>Футболки</x:v>
      </x:c>
      <x:c r="D1215" s="9" t="n">
        <x:v>8.4</x:v>
      </x:c>
      <x:c r="E1215" s="8" t="n">
        <x:v>18588</x:v>
      </x:c>
      <x:c r="F1215" s="8" t="n">
        <x:v>44</x:v>
      </x:c>
      <x:c r="G1215" s="8" t="n">
        <x:v>54063</x:v>
      </x:c>
      <x:c r="H1215" s="8" t="n">
        <x:v>47</x:v>
      </x:c>
      <x:c r="I1215" s="8" t="n">
        <x:v>0</x:v>
      </x:c>
      <x:c r="J1215" s="8" t="n">
        <x:v>28</x:v>
      </x:c>
      <x:c r="K1215" s="8" t="n">
        <x:v>2480</x:v>
      </x:c>
      <x:c r="L1215" s="1" t="str">
        <x:v>Нет</x:v>
      </x:c>
      <x:c r="M1215" s="1" t="n">
        <x:v>43670</x:v>
      </x:c>
    </x:row>
    <x:row r="1216">
      <x:c r="A1216" s="1" t="str">
        <x:v>229777381</x:v>
      </x:c>
      <x:c r="B1216" s="1" t="str">
        <x:v>futbolkamanoverX3/белый</x:v>
      </x:c>
      <x:c r="C1216" s="1" t="str">
        <x:v>Футболки</x:v>
      </x:c>
      <x:c r="D1216" s="9" t="n">
        <x:v>8.4</x:v>
      </x:c>
      <x:c r="E1216" s="8" t="n">
        <x:v>20879</x:v>
      </x:c>
      <x:c r="F1216" s="8" t="n">
        <x:v>48</x:v>
      </x:c>
      <x:c r="G1216" s="8" t="n">
        <x:v>54011</x:v>
      </x:c>
      <x:c r="H1216" s="8" t="n">
        <x:v>96</x:v>
      </x:c>
      <x:c r="I1216" s="8" t="n">
        <x:v>0</x:v>
      </x:c>
      <x:c r="J1216" s="8" t="n">
        <x:v>40</x:v>
      </x:c>
      <x:c r="K1216" s="8" t="n">
        <x:v>2521</x:v>
      </x:c>
      <x:c r="L1216" s="1" t="str">
        <x:v>Нет</x:v>
      </x:c>
      <x:c r="M1216" s="1" t="n">
        <x:v>67760</x:v>
      </x:c>
    </x:row>
    <x:row r="1217">
      <x:c r="A1217" s="1" t="str">
        <x:v>323169151</x:v>
      </x:c>
      <x:c r="B1217" s="1" t="str">
        <x:v>tanktop3K-S9/бордовый</x:v>
      </x:c>
      <x:c r="C1217" s="1" t="str">
        <x:v>Футболки</x:v>
      </x:c>
      <x:c r="D1217" s="9" t="n">
        <x:v>8.7</x:v>
      </x:c>
      <x:c r="E1217" s="8" t="n">
        <x:v>28555</x:v>
      </x:c>
      <x:c r="F1217" s="8" t="n">
        <x:v>180</x:v>
      </x:c>
      <x:c r="G1217" s="8" t="n">
        <x:v>53925</x:v>
      </x:c>
      <x:c r="H1217" s="8" t="n">
        <x:v>222</x:v>
      </x:c>
      <x:c r="I1217" s="8" t="n">
        <x:v>0</x:v>
      </x:c>
      <x:c r="J1217" s="8" t="n">
        <x:v>0</x:v>
      </x:c>
      <x:c r="K1217" s="8" t="n">
        <x:v>733</x:v>
      </x:c>
      <x:c r="L1217" s="1" t="str">
        <x:v>Нет</x:v>
      </x:c>
      <x:c r="M1217" s="1" t="n">
        <x:v>0</x:v>
      </x:c>
    </x:row>
    <x:row r="1218">
      <x:c r="A1218" s="1" t="str">
        <x:v>245583529</x:v>
      </x:c>
      <x:c r="B1218" s="1" t="str">
        <x:v>hudiprint/Vintage-110/молочный</x:v>
      </x:c>
      <x:c r="C1218" s="1" t="str">
        <x:v>Худи</x:v>
      </x:c>
      <x:c r="D1218" s="9" t="n">
        <x:v>9.7</x:v>
      </x:c>
      <x:c r="E1218" s="8" t="n">
        <x:v>17938</x:v>
      </x:c>
      <x:c r="F1218" s="8" t="n">
        <x:v>78</x:v>
      </x:c>
      <x:c r="G1218" s="8" t="n">
        <x:v>53704</x:v>
      </x:c>
      <x:c r="H1218" s="8" t="n">
        <x:v>28</x:v>
      </x:c>
      <x:c r="I1218" s="8" t="n">
        <x:v>0</x:v>
      </x:c>
      <x:c r="J1218" s="8" t="n">
        <x:v>177</x:v>
      </x:c>
      <x:c r="K1218" s="8" t="n">
        <x:v>2329</x:v>
      </x:c>
      <x:c r="L1218" s="1" t="str">
        <x:v>Нет</x:v>
      </x:c>
      <x:c r="M1218" s="1" t="n">
        <x:v>192865</x:v>
      </x:c>
    </x:row>
    <x:row r="1219">
      <x:c r="A1219" s="1" t="str">
        <x:v>79907436</x:v>
      </x:c>
      <x:c r="B1219" s="1" t="str">
        <x:v>futbolka/морскаяволна</x:v>
      </x:c>
      <x:c r="C1219" s="1" t="str">
        <x:v>Футболки</x:v>
      </x:c>
      <x:c r="D1219" s="9" t="n">
        <x:v>7.2</x:v>
      </x:c>
      <x:c r="E1219" s="8" t="n">
        <x:v>8853</x:v>
      </x:c>
      <x:c r="F1219" s="8" t="n">
        <x:v>151</x:v>
      </x:c>
      <x:c r="G1219" s="8" t="n">
        <x:v>53602</x:v>
      </x:c>
      <x:c r="H1219" s="8" t="n">
        <x:v>3</x:v>
      </x:c>
      <x:c r="I1219" s="8" t="n">
        <x:v>0</x:v>
      </x:c>
      <x:c r="J1219" s="8" t="n">
        <x:v>297</x:v>
      </x:c>
      <x:c r="K1219" s="8" t="n">
        <x:v>845</x:v>
      </x:c>
      <x:c r="L1219" s="1" t="str">
        <x:v>Нет</x:v>
      </x:c>
      <x:c r="M1219" s="1" t="n">
        <x:v>147375</x:v>
      </x:c>
    </x:row>
    <x:row r="1220">
      <x:c r="A1220" s="1" t="str">
        <x:v>145845802</x:v>
      </x:c>
      <x:c r="B1220" s="1" t="str">
        <x:v>svitshotman/фиолетовый</x:v>
      </x:c>
      <x:c r="C1220" s="1" t="str">
        <x:v>Свитшоты</x:v>
      </x:c>
      <x:c r="D1220" s="9" t="n">
        <x:v>7.7</x:v>
      </x:c>
      <x:c r="E1220" s="8" t="n">
        <x:v>10530</x:v>
      </x:c>
      <x:c r="F1220" s="8" t="n">
        <x:v>61</x:v>
      </x:c>
      <x:c r="G1220" s="8" t="n">
        <x:v>53401</x:v>
      </x:c>
      <x:c r="H1220" s="8" t="n">
        <x:v>136</x:v>
      </x:c>
      <x:c r="I1220" s="8" t="n">
        <x:v>0</x:v>
      </x:c>
      <x:c r="J1220" s="8" t="n">
        <x:v>110</x:v>
      </x:c>
      <x:c r="K1220" s="8" t="n">
        <x:v>2313</x:v>
      </x:c>
      <x:c r="L1220" s="1" t="str">
        <x:v>Нет</x:v>
      </x:c>
      <x:c r="M1220" s="1" t="n">
        <x:v>125819</x:v>
      </x:c>
    </x:row>
    <x:row r="1221">
      <x:c r="A1221" s="1" t="str">
        <x:v>158427983</x:v>
      </x:c>
      <x:c r="B1221" s="1" t="str">
        <x:v>kostumman/коричневый</x:v>
      </x:c>
      <x:c r="C1221" s="1" t="str">
        <x:v>Костюмы спортивные</x:v>
      </x:c>
      <x:c r="D1221" s="9" t="n">
        <x:v>9.4</x:v>
      </x:c>
      <x:c r="E1221" s="8" t="n">
        <x:v>6670</x:v>
      </x:c>
      <x:c r="F1221" s="8" t="n">
        <x:v>23</x:v>
      </x:c>
      <x:c r="G1221" s="8" t="n">
        <x:v>53329</x:v>
      </x:c>
      <x:c r="H1221" s="8" t="n">
        <x:v>30</x:v>
      </x:c>
      <x:c r="I1221" s="8" t="n">
        <x:v>0</x:v>
      </x:c>
      <x:c r="J1221" s="8" t="n">
        <x:v>65</x:v>
      </x:c>
      <x:c r="K1221" s="8" t="n">
        <x:v>4513</x:v>
      </x:c>
      <x:c r="L1221" s="1" t="str">
        <x:v>Нет</x:v>
      </x:c>
      <x:c r="M1221" s="1" t="n">
        <x:v>122256</x:v>
      </x:c>
    </x:row>
    <x:row r="1222">
      <x:c r="A1222" s="1" t="str">
        <x:v>181613184</x:v>
      </x:c>
      <x:c r="B1222" s="1" t="str">
        <x:v>kostyum/морскаяволна</x:v>
      </x:c>
      <x:c r="C1222" s="1" t="str">
        <x:v>Костюмы спортивные</x:v>
      </x:c>
      <x:c r="D1222" s="9" t="n">
        <x:v>8.7</x:v>
      </x:c>
      <x:c r="E1222" s="8" t="n">
        <x:v>10579</x:v>
      </x:c>
      <x:c r="F1222" s="8" t="n">
        <x:v>34</x:v>
      </x:c>
      <x:c r="G1222" s="8" t="n">
        <x:v>53309</x:v>
      </x:c>
      <x:c r="H1222" s="8" t="n">
        <x:v>125</x:v>
      </x:c>
      <x:c r="I1222" s="8" t="n">
        <x:v>0</x:v>
      </x:c>
      <x:c r="J1222" s="8" t="n">
        <x:v>64</x:v>
      </x:c>
      <x:c r="K1222" s="8" t="n">
        <x:v>4400</x:v>
      </x:c>
      <x:c r="L1222" s="1" t="str">
        <x:v>Нет</x:v>
      </x:c>
      <x:c r="M1222" s="1" t="n">
        <x:v>86032</x:v>
      </x:c>
    </x:row>
    <x:row r="1223">
      <x:c r="A1223" s="1" t="str">
        <x:v>75328497</x:v>
      </x:c>
      <x:c r="B1223" s="1" t="str">
        <x:v>longsliv/фуксия</x:v>
      </x:c>
      <x:c r="C1223" s="1" t="str">
        <x:v>Лонгсливы</x:v>
      </x:c>
      <x:c r="D1223" s="9" t="n">
        <x:v>9.7</x:v>
      </x:c>
      <x:c r="E1223" s="8" t="n">
        <x:v>7749</x:v>
      </x:c>
      <x:c r="F1223" s="8" t="n">
        <x:v>199</x:v>
      </x:c>
      <x:c r="G1223" s="8" t="n">
        <x:v>52575</x:v>
      </x:c>
      <x:c r="H1223" s="8" t="n">
        <x:v>61</x:v>
      </x:c>
      <x:c r="I1223" s="8" t="n">
        <x:v>0</x:v>
      </x:c>
      <x:c r="J1223" s="8" t="n">
        <x:v>135</x:v>
      </x:c>
      <x:c r="K1223" s="8" t="n">
        <x:v>743</x:v>
      </x:c>
      <x:c r="L1223" s="1" t="str">
        <x:v>Нет</x:v>
      </x:c>
      <x:c r="M1223" s="1" t="n">
        <x:v>42501</x:v>
      </x:c>
    </x:row>
    <x:row r="1224">
      <x:c r="A1224" s="1" t="str">
        <x:v>31156397</x:v>
      </x:c>
      <x:c r="B1224" s="1" t="str">
        <x:v>longsliv/голубой</x:v>
      </x:c>
      <x:c r="C1224" s="1" t="str">
        <x:v>Лонгсливы</x:v>
      </x:c>
      <x:c r="D1224" s="9" t="n">
        <x:v>9.7</x:v>
      </x:c>
      <x:c r="E1224" s="8" t="n">
        <x:v>7558</x:v>
      </x:c>
      <x:c r="F1224" s="8" t="n">
        <x:v>236</x:v>
      </x:c>
      <x:c r="G1224" s="8" t="n">
        <x:v>52565</x:v>
      </x:c>
      <x:c r="H1224" s="8" t="n">
        <x:v>799</x:v>
      </x:c>
      <x:c r="I1224" s="8" t="n">
        <x:v>0</x:v>
      </x:c>
      <x:c r="J1224" s="8" t="n">
        <x:v>147</x:v>
      </x:c>
      <x:c r="K1224" s="8" t="n">
        <x:v>747</x:v>
      </x:c>
      <x:c r="L1224" s="1" t="str">
        <x:v>Нет</x:v>
      </x:c>
      <x:c r="M1224" s="1" t="n">
        <x:v>42962</x:v>
      </x:c>
    </x:row>
    <x:row r="1225">
      <x:c r="A1225" s="1" t="str">
        <x:v>229787652</x:v>
      </x:c>
      <x:c r="B1225" s="1" t="str">
        <x:v>futbolkaprint/Groovy-153/белый</x:v>
      </x:c>
      <x:c r="C1225" s="1" t="str">
        <x:v>Футболки</x:v>
      </x:c>
      <x:c r="D1225" s="9" t="n">
        <x:v>8.7</x:v>
      </x:c>
      <x:c r="E1225" s="8" t="n">
        <x:v>13232</x:v>
      </x:c>
      <x:c r="F1225" s="8" t="n">
        <x:v>75</x:v>
      </x:c>
      <x:c r="G1225" s="8" t="n">
        <x:v>52312</x:v>
      </x:c>
      <x:c r="H1225" s="8" t="n">
        <x:v>0</x:v>
      </x:c>
      <x:c r="I1225" s="8" t="n">
        <x:v>0</x:v>
      </x:c>
      <x:c r="J1225" s="8" t="n">
        <x:v>622</x:v>
      </x:c>
      <x:c r="K1225" s="8" t="n">
        <x:v>1201</x:v>
      </x:c>
      <x:c r="L1225" s="1" t="str">
        <x:v>Нет</x:v>
      </x:c>
      <x:c r="M1225" s="1" t="n">
        <x:v>403650</x:v>
      </x:c>
    </x:row>
    <x:row r="1226">
      <x:c r="A1226" s="1" t="str">
        <x:v>256332779</x:v>
      </x:c>
      <x:c r="B1226" s="1" t="str">
        <x:v>futhlopman/шалфей</x:v>
      </x:c>
      <x:c r="C1226" s="1" t="str">
        <x:v>Футболки</x:v>
      </x:c>
      <x:c r="D1226" s="9" t="n">
        <x:v>6.7</x:v>
      </x:c>
      <x:c r="E1226" s="8" t="n">
        <x:v>16595</x:v>
      </x:c>
      <x:c r="F1226" s="8" t="n">
        <x:v>139</x:v>
      </x:c>
      <x:c r="G1226" s="8" t="n">
        <x:v>51954</x:v>
      </x:c>
      <x:c r="H1226" s="8" t="n">
        <x:v>58</x:v>
      </x:c>
      <x:c r="I1226" s="8" t="n">
        <x:v>0</x:v>
      </x:c>
      <x:c r="J1226" s="8" t="n">
        <x:v>298</x:v>
      </x:c>
      <x:c r="K1226" s="8" t="n">
        <x:v>723</x:v>
      </x:c>
      <x:c r="L1226" s="1" t="str">
        <x:v>Нет</x:v>
      </x:c>
      <x:c r="M1226" s="1" t="n">
        <x:v>139152</x:v>
      </x:c>
    </x:row>
    <x:row r="1227">
      <x:c r="A1227" s="1" t="str">
        <x:v>175116983</x:v>
      </x:c>
      <x:c r="B1227" s="1" t="str">
        <x:v>reglanman/коричневый</x:v>
      </x:c>
      <x:c r="C1227" s="1" t="str">
        <x:v>Лонгсливы</x:v>
      </x:c>
      <x:c r="D1227" s="9" t="n">
        <x:v>7.2</x:v>
      </x:c>
      <x:c r="E1227" s="8" t="n">
        <x:v>2120</x:v>
      </x:c>
      <x:c r="F1227" s="8" t="n">
        <x:v>122</x:v>
      </x:c>
      <x:c r="G1227" s="8" t="n">
        <x:v>51487</x:v>
      </x:c>
      <x:c r="H1227" s="8" t="n">
        <x:v>810</x:v>
      </x:c>
      <x:c r="I1227" s="8" t="n">
        <x:v>0</x:v>
      </x:c>
      <x:c r="J1227" s="8" t="n">
        <x:v>13</x:v>
      </x:c>
      <x:c r="K1227" s="8" t="n">
        <x:v>1267</x:v>
      </x:c>
      <x:c r="L1227" s="1" t="str">
        <x:v>Нет</x:v>
      </x:c>
      <x:c r="M1227" s="1" t="n">
        <x:v>7000</x:v>
      </x:c>
    </x:row>
    <x:row r="1228">
      <x:c r="A1228" s="1" t="str">
        <x:v>256336257</x:v>
      </x:c>
      <x:c r="B1228" s="1" t="str">
        <x:v>futbolkaoverhlop/черный</x:v>
      </x:c>
      <x:c r="C1228" s="1" t="str">
        <x:v>Футболки</x:v>
      </x:c>
      <x:c r="D1228" s="9" t="n">
        <x:v>9.7</x:v>
      </x:c>
      <x:c r="E1228" s="8" t="n">
        <x:v>11908</x:v>
      </x:c>
      <x:c r="F1228" s="8" t="n">
        <x:v>171</x:v>
      </x:c>
      <x:c r="G1228" s="8" t="n">
        <x:v>51477</x:v>
      </x:c>
      <x:c r="H1228" s="8" t="n">
        <x:v>429</x:v>
      </x:c>
      <x:c r="I1228" s="8" t="n">
        <x:v>0</x:v>
      </x:c>
      <x:c r="J1228" s="8" t="n">
        <x:v>150</x:v>
      </x:c>
      <x:c r="K1228" s="8" t="n">
        <x:v>921</x:v>
      </x:c>
      <x:c r="L1228" s="1" t="str">
        <x:v>Нет</x:v>
      </x:c>
      <x:c r="M1228" s="1" t="n">
        <x:v>78813</x:v>
      </x:c>
    </x:row>
    <x:row r="1229">
      <x:c r="A1229" s="1" t="str">
        <x:v>256315191</x:v>
      </x:c>
      <x:c r="B1229" s="1" t="str">
        <x:v>bazahlop/темно-серый</x:v>
      </x:c>
      <x:c r="C1229" s="1" t="str">
        <x:v>Футболки</x:v>
      </x:c>
      <x:c r="D1229" s="9" t="n">
        <x:v>8.2</x:v>
      </x:c>
      <x:c r="E1229" s="8" t="n">
        <x:v>19729</x:v>
      </x:c>
      <x:c r="F1229" s="8" t="n">
        <x:v>150</x:v>
      </x:c>
      <x:c r="G1229" s="8" t="n">
        <x:v>51395</x:v>
      </x:c>
      <x:c r="H1229" s="8" t="n">
        <x:v>761</x:v>
      </x:c>
      <x:c r="I1229" s="8" t="n">
        <x:v>0</x:v>
      </x:c>
      <x:c r="J1229" s="8" t="n">
        <x:v>467</x:v>
      </x:c>
      <x:c r="K1229" s="8" t="n">
        <x:v>526</x:v>
      </x:c>
      <x:c r="L1229" s="1" t="str">
        <x:v>Нет</x:v>
      </x:c>
      <x:c r="M1229" s="1" t="n">
        <x:v>169896</x:v>
      </x:c>
    </x:row>
    <x:row r="1230">
      <x:c r="A1230" s="1" t="str">
        <x:v>245583522</x:v>
      </x:c>
      <x:c r="B1230" s="1" t="str">
        <x:v>hudiprint/LastToast-142/белый</x:v>
      </x:c>
      <x:c r="C1230" s="1" t="str">
        <x:v>Худи</x:v>
      </x:c>
      <x:c r="D1230" s="9" t="n">
        <x:v>8.7</x:v>
      </x:c>
      <x:c r="E1230" s="8" t="n">
        <x:v>24928</x:v>
      </x:c>
      <x:c r="F1230" s="8" t="n">
        <x:v>59</x:v>
      </x:c>
      <x:c r="G1230" s="8" t="n">
        <x:v>51051</x:v>
      </x:c>
      <x:c r="H1230" s="8" t="n">
        <x:v>335</x:v>
      </x:c>
      <x:c r="I1230" s="8" t="n">
        <x:v>0</x:v>
      </x:c>
      <x:c r="J1230" s="8" t="n">
        <x:v>80</x:v>
      </x:c>
      <x:c r="K1230" s="8" t="n">
        <x:v>2423</x:v>
      </x:c>
      <x:c r="L1230" s="1" t="str">
        <x:v>Нет</x:v>
      </x:c>
      <x:c r="M1230" s="1" t="n">
        <x:v>87401</x:v>
      </x:c>
    </x:row>
    <x:row r="1231">
      <x:c r="A1231" s="1" t="str">
        <x:v>176974782</x:v>
      </x:c>
      <x:c r="B1231" s="1" t="str">
        <x:v>hudi1size/черный</x:v>
      </x:c>
      <x:c r="C1231" s="1" t="str">
        <x:v>Худи</x:v>
      </x:c>
      <x:c r="D1231" s="9" t="n">
        <x:v>7.7</x:v>
      </x:c>
      <x:c r="E1231" s="8" t="n">
        <x:v>2999</x:v>
      </x:c>
      <x:c r="F1231" s="8" t="n">
        <x:v>50</x:v>
      </x:c>
      <x:c r="G1231" s="8" t="n">
        <x:v>50986</x:v>
      </x:c>
      <x:c r="H1231" s="8" t="n">
        <x:v>0</x:v>
      </x:c>
      <x:c r="I1231" s="8" t="n">
        <x:v>0</x:v>
      </x:c>
      <x:c r="J1231" s="8" t="n">
        <x:v>104</x:v>
      </x:c>
      <x:c r="K1231" s="8" t="n">
        <x:v>2551</x:v>
      </x:c>
      <x:c r="L1231" s="1" t="str">
        <x:v>Нет</x:v>
      </x:c>
      <x:c r="M1231" s="1" t="n">
        <x:v>140403</x:v>
      </x:c>
    </x:row>
    <x:row r="1232">
      <x:c r="A1232" s="1" t="str">
        <x:v>331334280</x:v>
      </x:c>
      <x:c r="B1232" s="1" t="str">
        <x:v>longpolo3K-90/молочный</x:v>
      </x:c>
      <x:c r="C1232" s="1" t="str">
        <x:v>Лонгсливы</x:v>
      </x:c>
      <x:c r="D1232" s="9" t="n">
        <x:v>8.7</x:v>
      </x:c>
      <x:c r="E1232" s="8" t="n">
        <x:v>15562</x:v>
      </x:c>
      <x:c r="F1232" s="8" t="n">
        <x:v>105</x:v>
      </x:c>
      <x:c r="G1232" s="8" t="n">
        <x:v>50750</x:v>
      </x:c>
      <x:c r="H1232" s="8" t="n">
        <x:v>217</x:v>
      </x:c>
      <x:c r="I1232" s="8" t="n">
        <x:v>0</x:v>
      </x:c>
      <x:c r="J1232" s="8" t="n">
        <x:v>0</x:v>
      </x:c>
      <x:c r="K1232" s="8" t="n">
        <x:v>1490</x:v>
      </x:c>
      <x:c r="L1232" s="1" t="str">
        <x:v>Нет</x:v>
      </x:c>
      <x:c r="M1232" s="1" t="n">
        <x:v>0</x:v>
      </x:c>
    </x:row>
    <x:row r="1233">
      <x:c r="A1233" s="1" t="str">
        <x:v>150673997</x:v>
      </x:c>
      <x:c r="B1233" s="1" t="str">
        <x:v>svitshotover/светло-зеленый</x:v>
      </x:c>
      <x:c r="C1233" s="1" t="str">
        <x:v>Свитшоты</x:v>
      </x:c>
      <x:c r="D1233" s="9" t="n">
        <x:v>9.7</x:v>
      </x:c>
      <x:c r="E1233" s="8" t="n">
        <x:v>10488</x:v>
      </x:c>
      <x:c r="F1233" s="8" t="n">
        <x:v>82</x:v>
      </x:c>
      <x:c r="G1233" s="8" t="n">
        <x:v>50710</x:v>
      </x:c>
      <x:c r="H1233" s="8" t="n">
        <x:v>175</x:v>
      </x:c>
      <x:c r="I1233" s="8" t="n">
        <x:v>0</x:v>
      </x:c>
      <x:c r="J1233" s="8" t="n">
        <x:v>382</x:v>
      </x:c>
      <x:c r="K1233" s="8" t="n">
        <x:v>2085</x:v>
      </x:c>
      <x:c r="L1233" s="1" t="str">
        <x:v>Нет</x:v>
      </x:c>
      <x:c r="M1233" s="1" t="n">
        <x:v>283050</x:v>
      </x:c>
    </x:row>
    <x:row r="1234">
      <x:c r="A1234" s="1" t="str">
        <x:v>311462400</x:v>
      </x:c>
      <x:c r="B1234" s="1" t="str">
        <x:v>brukimanpetl/темно-синий</x:v>
      </x:c>
      <x:c r="C1234" s="1" t="str">
        <x:v>Брюки</x:v>
      </x:c>
      <x:c r="D1234" s="9" t="n">
        <x:v>8.7</x:v>
      </x:c>
      <x:c r="E1234" s="8" t="n">
        <x:v>13513</x:v>
      </x:c>
      <x:c r="F1234" s="8" t="n">
        <x:v>76</x:v>
      </x:c>
      <x:c r="G1234" s="8" t="n">
        <x:v>50557</x:v>
      </x:c>
      <x:c r="H1234" s="8" t="n">
        <x:v>0</x:v>
      </x:c>
      <x:c r="I1234" s="8" t="n">
        <x:v>0</x:v>
      </x:c>
      <x:c r="J1234" s="8" t="n">
        <x:v>0</x:v>
      </x:c>
      <x:c r="K1234" s="8" t="n">
        <x:v>2203</x:v>
      </x:c>
      <x:c r="L1234" s="1" t="str">
        <x:v>Нет</x:v>
      </x:c>
      <x:c r="M1234" s="1" t="n">
        <x:v>0</x:v>
      </x:c>
    </x:row>
    <x:row r="1235">
      <x:c r="A1235" s="1" t="str">
        <x:v>194931728</x:v>
      </x:c>
      <x:c r="B1235" s="1" t="str">
        <x:v>sweater/коричневый</x:v>
      </x:c>
      <x:c r="C1235" s="1" t="str">
        <x:v>Свитшоты</x:v>
      </x:c>
      <x:c r="D1235" s="9" t="n">
        <x:v>9.7</x:v>
      </x:c>
      <x:c r="E1235" s="8" t="n">
        <x:v>3545</x:v>
      </x:c>
      <x:c r="F1235" s="8" t="n">
        <x:v>59</x:v>
      </x:c>
      <x:c r="G1235" s="8" t="n">
        <x:v>50456</x:v>
      </x:c>
      <x:c r="H1235" s="8" t="n">
        <x:v>120</x:v>
      </x:c>
      <x:c r="I1235" s="8" t="n">
        <x:v>0</x:v>
      </x:c>
      <x:c r="J1235" s="8" t="n">
        <x:v>168</x:v>
      </x:c>
      <x:c r="K1235" s="8" t="n">
        <x:v>2300</x:v>
      </x:c>
      <x:c r="L1235" s="1" t="str">
        <x:v>Нет</x:v>
      </x:c>
      <x:c r="M1235" s="1" t="n">
        <x:v>118775</x:v>
      </x:c>
    </x:row>
    <x:row r="1236">
      <x:c r="A1236" s="1" t="str">
        <x:v>195712690</x:v>
      </x:c>
      <x:c r="B1236" s="1" t="str">
        <x:v>sweater/мандариновый</x:v>
      </x:c>
      <x:c r="C1236" s="1" t="str">
        <x:v>Свитшоты</x:v>
      </x:c>
      <x:c r="D1236" s="9" t="n">
        <x:v>9.7</x:v>
      </x:c>
      <x:c r="E1236" s="8" t="n">
        <x:v>2846</x:v>
      </x:c>
      <x:c r="F1236" s="8" t="n">
        <x:v>50</x:v>
      </x:c>
      <x:c r="G1236" s="8" t="n">
        <x:v>50406</x:v>
      </x:c>
      <x:c r="H1236" s="8" t="n">
        <x:v>82</x:v>
      </x:c>
      <x:c r="I1236" s="8" t="n">
        <x:v>0</x:v>
      </x:c>
      <x:c r="J1236" s="8" t="n">
        <x:v>122</x:v>
      </x:c>
      <x:c r="K1236" s="8" t="n">
        <x:v>2173</x:v>
      </x:c>
      <x:c r="L1236" s="1" t="str">
        <x:v>Нет</x:v>
      </x:c>
      <x:c r="M1236" s="1" t="n">
        <x:v>78100</x:v>
      </x:c>
    </x:row>
    <x:row r="1237">
      <x:c r="A1237" s="1" t="str">
        <x:v>204476257</x:v>
      </x:c>
      <x:c r="B1237" s="1" t="str">
        <x:v>hudimanprint/PLAY-68/молочный</x:v>
      </x:c>
      <x:c r="C1237" s="1" t="str">
        <x:v>Худи</x:v>
      </x:c>
      <x:c r="D1237" s="9" t="n">
        <x:v>7.7</x:v>
      </x:c>
      <x:c r="E1237" s="8" t="n">
        <x:v>4645</x:v>
      </x:c>
      <x:c r="F1237" s="8" t="n">
        <x:v>44</x:v>
      </x:c>
      <x:c r="G1237" s="8" t="n">
        <x:v>50167</x:v>
      </x:c>
      <x:c r="H1237" s="8" t="n">
        <x:v>2</x:v>
      </x:c>
      <x:c r="I1237" s="8" t="n">
        <x:v>0</x:v>
      </x:c>
      <x:c r="J1237" s="8" t="n">
        <x:v>70</x:v>
      </x:c>
      <x:c r="K1237" s="8" t="n">
        <x:v>2541</x:v>
      </x:c>
      <x:c r="L1237" s="1" t="str">
        <x:v>Нет</x:v>
      </x:c>
      <x:c r="M1237" s="1" t="n">
        <x:v>73950</x:v>
      </x:c>
    </x:row>
    <x:row r="1238">
      <x:c r="A1238" s="1" t="str">
        <x:v>23961830</x:v>
      </x:c>
      <x:c r="B1238" s="1" t="str">
        <x:v>futbolka/черный</x:v>
      </x:c>
      <x:c r="C1238" s="1" t="str">
        <x:v>Футболки</x:v>
      </x:c>
      <x:c r="D1238" s="9" t="n">
        <x:v>8.2</x:v>
      </x:c>
      <x:c r="E1238" s="8" t="n">
        <x:v>5439</x:v>
      </x:c>
      <x:c r="F1238" s="8" t="n">
        <x:v>129</x:v>
      </x:c>
      <x:c r="G1238" s="8" t="n">
        <x:v>49990</x:v>
      </x:c>
      <x:c r="H1238" s="8" t="n">
        <x:v>0</x:v>
      </x:c>
      <x:c r="I1238" s="8" t="n">
        <x:v>0</x:v>
      </x:c>
      <x:c r="J1238" s="8" t="n">
        <x:v>392</x:v>
      </x:c>
      <x:c r="K1238" s="8" t="n">
        <x:v>782</x:v>
      </x:c>
      <x:c r="L1238" s="1" t="str">
        <x:v>Нет</x:v>
      </x:c>
      <x:c r="M1238" s="1" t="n">
        <x:v>189521</x:v>
      </x:c>
    </x:row>
    <x:row r="1239">
      <x:c r="A1239" s="1" t="str">
        <x:v>216783595</x:v>
      </x:c>
      <x:c r="B1239" s="1" t="str">
        <x:v>hudiprint/BelMoreSelf-114/серыймеланж2</x:v>
      </x:c>
      <x:c r="C1239" s="1" t="str">
        <x:v>Худи</x:v>
      </x:c>
      <x:c r="D1239" s="9" t="n">
        <x:v>8.7</x:v>
      </x:c>
      <x:c r="E1239" s="8" t="n">
        <x:v>6905</x:v>
      </x:c>
      <x:c r="F1239" s="8" t="n">
        <x:v>54</x:v>
      </x:c>
      <x:c r="G1239" s="8" t="n">
        <x:v>49650</x:v>
      </x:c>
      <x:c r="H1239" s="8" t="n">
        <x:v>2</x:v>
      </x:c>
      <x:c r="I1239" s="8" t="n">
        <x:v>0</x:v>
      </x:c>
      <x:c r="J1239" s="8" t="n">
        <x:v>81</x:v>
      </x:c>
      <x:c r="K1239" s="8" t="n">
        <x:v>2879</x:v>
      </x:c>
      <x:c r="L1239" s="1" t="str">
        <x:v>Нет</x:v>
      </x:c>
      <x:c r="M1239" s="1" t="n">
        <x:v>82600</x:v>
      </x:c>
    </x:row>
    <x:row r="1240">
      <x:c r="A1240" s="1" t="str">
        <x:v>245558081</x:v>
      </x:c>
      <x:c r="B1240" s="1" t="str">
        <x:v>hudimanprint/TakeCare-134/молочный</x:v>
      </x:c>
      <x:c r="C1240" s="1" t="str">
        <x:v>Худи</x:v>
      </x:c>
      <x:c r="D1240" s="9" t="n">
        <x:v>9.7</x:v>
      </x:c>
      <x:c r="E1240" s="8" t="n">
        <x:v>7905</x:v>
      </x:c>
      <x:c r="F1240" s="8" t="n">
        <x:v>64</x:v>
      </x:c>
      <x:c r="G1240" s="8" t="n">
        <x:v>49584</x:v>
      </x:c>
      <x:c r="H1240" s="8" t="n">
        <x:v>181</x:v>
      </x:c>
      <x:c r="I1240" s="8" t="n">
        <x:v>0</x:v>
      </x:c>
      <x:c r="J1240" s="8" t="n">
        <x:v>72</x:v>
      </x:c>
      <x:c r="K1240" s="8" t="n">
        <x:v>2390</x:v>
      </x:c>
      <x:c r="L1240" s="1" t="str">
        <x:v>Нет</x:v>
      </x:c>
      <x:c r="M1240" s="1" t="n">
        <x:v>67290</x:v>
      </x:c>
    </x:row>
    <x:row r="1241">
      <x:c r="A1241" s="1" t="str">
        <x:v>331644636</x:v>
      </x:c>
      <x:c r="B1241" s="1" t="str">
        <x:v>longslim3К-81/молочный</x:v>
      </x:c>
      <x:c r="C1241" s="1" t="str">
        <x:v>Лонгсливы</x:v>
      </x:c>
      <x:c r="D1241" s="9" t="n">
        <x:v>8.7</x:v>
      </x:c>
      <x:c r="E1241" s="8" t="n">
        <x:v>12262</x:v>
      </x:c>
      <x:c r="F1241" s="8" t="n">
        <x:v>171</x:v>
      </x:c>
      <x:c r="G1241" s="8" t="n">
        <x:v>49500</x:v>
      </x:c>
      <x:c r="H1241" s="8" t="n">
        <x:v>836</x:v>
      </x:c>
      <x:c r="I1241" s="8" t="n">
        <x:v>0</x:v>
      </x:c>
      <x:c r="J1241" s="8" t="n">
        <x:v>0</x:v>
      </x:c>
      <x:c r="K1241" s="8" t="n">
        <x:v>912</x:v>
      </x:c>
      <x:c r="L1241" s="1" t="str">
        <x:v>Нет</x:v>
      </x:c>
      <x:c r="M1241" s="1" t="n">
        <x:v>0</x:v>
      </x:c>
    </x:row>
    <x:row r="1242">
      <x:c r="A1242" s="1" t="str">
        <x:v>237301021</x:v>
      </x:c>
      <x:c r="B1242" s="1" t="str">
        <x:v>longoverprint/BelMoreSelf-114/красный</x:v>
      </x:c>
      <x:c r="C1242" s="1" t="str">
        <x:v>Лонгсливы</x:v>
      </x:c>
      <x:c r="D1242" s="9" t="n">
        <x:v>8.7</x:v>
      </x:c>
      <x:c r="E1242" s="8" t="n">
        <x:v>4937</x:v>
      </x:c>
      <x:c r="F1242" s="8" t="n">
        <x:v>88</x:v>
      </x:c>
      <x:c r="G1242" s="8" t="n">
        <x:v>49317</x:v>
      </x:c>
      <x:c r="H1242" s="8" t="n">
        <x:v>0</x:v>
      </x:c>
      <x:c r="I1242" s="8" t="n">
        <x:v>0</x:v>
      </x:c>
      <x:c r="J1242" s="8" t="n">
        <x:v>683</x:v>
      </x:c>
      <x:c r="K1242" s="8" t="n">
        <x:v>1389</x:v>
      </x:c>
      <x:c r="L1242" s="1" t="str">
        <x:v>Нет</x:v>
      </x:c>
      <x:c r="M1242" s="1" t="n">
        <x:v>494734</x:v>
      </x:c>
    </x:row>
    <x:row r="1243">
      <x:c r="A1243" s="1" t="str">
        <x:v>344437034</x:v>
      </x:c>
      <x:c r="B1243" s="1" t="str">
        <x:v>maykaman/графит</x:v>
      </x:c>
      <x:c r="C1243" s="1" t="str">
        <x:v>Футболки</x:v>
      </x:c>
      <x:c r="D1243" s="9" t="n">
        <x:v>9</x:v>
      </x:c>
      <x:c r="E1243" s="8" t="n">
        <x:v>6887</x:v>
      </x:c>
      <x:c r="F1243" s="8" t="n">
        <x:v>96</x:v>
      </x:c>
      <x:c r="G1243" s="8" t="n">
        <x:v>48963</x:v>
      </x:c>
      <x:c r="H1243" s="8" t="n">
        <x:v>533</x:v>
      </x:c>
      <x:c r="I1243" s="8" t="n">
        <x:v>0</x:v>
      </x:c>
      <x:c r="J1243" s="8" t="n">
        <x:v>0</x:v>
      </x:c>
      <x:c r="K1243" s="8" t="n">
        <x:v>859</x:v>
      </x:c>
      <x:c r="L1243" s="1" t="str">
        <x:v>Нет</x:v>
      </x:c>
      <x:c r="M1243" s="1" t="n">
        <x:v>0</x:v>
      </x:c>
    </x:row>
    <x:row r="1244">
      <x:c r="A1244" s="1" t="str">
        <x:v>204476256</x:v>
      </x:c>
      <x:c r="B1244" s="1" t="str">
        <x:v>hudimanprint/TeloX6-69/молочный</x:v>
      </x:c>
      <x:c r="C1244" s="1" t="str">
        <x:v>Худи</x:v>
      </x:c>
      <x:c r="D1244" s="9" t="n">
        <x:v>9.7</x:v>
      </x:c>
      <x:c r="E1244" s="8" t="n">
        <x:v>11180</x:v>
      </x:c>
      <x:c r="F1244" s="8" t="n">
        <x:v>36</x:v>
      </x:c>
      <x:c r="G1244" s="8" t="n">
        <x:v>48926</x:v>
      </x:c>
      <x:c r="H1244" s="8" t="n">
        <x:v>90</x:v>
      </x:c>
      <x:c r="I1244" s="8" t="n">
        <x:v>0</x:v>
      </x:c>
      <x:c r="J1244" s="8" t="n">
        <x:v>62</x:v>
      </x:c>
      <x:c r="K1244" s="8" t="n">
        <x:v>2467</x:v>
      </x:c>
      <x:c r="L1244" s="1" t="str">
        <x:v>Нет</x:v>
      </x:c>
      <x:c r="M1244" s="1" t="n">
        <x:v>59800</x:v>
      </x:c>
    </x:row>
    <x:row r="1245">
      <x:c r="A1245" s="1" t="str">
        <x:v>240435395</x:v>
      </x:c>
      <x:c r="B1245" s="1" t="str">
        <x:v>hudivish/Luck-17в/голубой</x:v>
      </x:c>
      <x:c r="C1245" s="1" t="str">
        <x:v>Худи</x:v>
      </x:c>
      <x:c r="D1245" s="9" t="n">
        <x:v>9.7</x:v>
      </x:c>
      <x:c r="E1245" s="8" t="n">
        <x:v>5246</x:v>
      </x:c>
      <x:c r="F1245" s="8" t="n">
        <x:v>34</x:v>
      </x:c>
      <x:c r="G1245" s="8" t="n">
        <x:v>48815</x:v>
      </x:c>
      <x:c r="H1245" s="8" t="n">
        <x:v>0</x:v>
      </x:c>
      <x:c r="I1245" s="8" t="n">
        <x:v>0</x:v>
      </x:c>
      <x:c r="J1245" s="8" t="n">
        <x:v>162</x:v>
      </x:c>
      <x:c r="K1245" s="8" t="n">
        <x:v>2709</x:v>
      </x:c>
      <x:c r="L1245" s="1" t="str">
        <x:v>Нет</x:v>
      </x:c>
      <x:c r="M1245" s="1" t="n">
        <x:v>205200</x:v>
      </x:c>
    </x:row>
    <x:row r="1246">
      <x:c r="A1246" s="1" t="str">
        <x:v>253281929</x:v>
      </x:c>
      <x:c r="B1246" s="1" t="str">
        <x:v>hudiprint/Lovers-196/черный</x:v>
      </x:c>
      <x:c r="C1246" s="1" t="str">
        <x:v>Худи</x:v>
      </x:c>
      <x:c r="D1246" s="9" t="n">
        <x:v>9.7</x:v>
      </x:c>
      <x:c r="E1246" s="8" t="n">
        <x:v>20426</x:v>
      </x:c>
      <x:c r="F1246" s="8" t="n">
        <x:v>45</x:v>
      </x:c>
      <x:c r="G1246" s="8" t="n">
        <x:v>48768</x:v>
      </x:c>
      <x:c r="H1246" s="8" t="n">
        <x:v>543</x:v>
      </x:c>
      <x:c r="I1246" s="8" t="n">
        <x:v>0</x:v>
      </x:c>
      <x:c r="J1246" s="8" t="n">
        <x:v>60</x:v>
      </x:c>
      <x:c r="K1246" s="8" t="n">
        <x:v>2342</x:v>
      </x:c>
      <x:c r="L1246" s="1" t="str">
        <x:v>Нет</x:v>
      </x:c>
      <x:c r="M1246" s="1" t="n">
        <x:v>41400</x:v>
      </x:c>
    </x:row>
    <x:row r="1247">
      <x:c r="A1247" s="1" t="str">
        <x:v>209915743</x:v>
      </x:c>
      <x:c r="B1247" s="1" t="str">
        <x:v>shorty/какао</x:v>
      </x:c>
      <x:c r="C1247" s="1" t="str">
        <x:v>Шорты</x:v>
      </x:c>
      <x:c r="D1247" s="9" t="n">
        <x:v>6.9</x:v>
      </x:c>
      <x:c r="E1247" s="8" t="n">
        <x:v>6706</x:v>
      </x:c>
      <x:c r="F1247" s="8" t="n">
        <x:v>100</x:v>
      </x:c>
      <x:c r="G1247" s="8" t="n">
        <x:v>48745</x:v>
      </x:c>
      <x:c r="H1247" s="8" t="n">
        <x:v>292</x:v>
      </x:c>
      <x:c r="I1247" s="8" t="n">
        <x:v>0</x:v>
      </x:c>
      <x:c r="J1247" s="8" t="n">
        <x:v>1</x:v>
      </x:c>
      <x:c r="K1247" s="8" t="n">
        <x:v>1025</x:v>
      </x:c>
      <x:c r="L1247" s="1" t="str">
        <x:v>Нет</x:v>
      </x:c>
      <x:c r="M1247" s="1" t="n">
        <x:v>1110</x:v>
      </x:c>
    </x:row>
    <x:row r="1248">
      <x:c r="A1248" s="1" t="str">
        <x:v>176976178</x:v>
      </x:c>
      <x:c r="B1248" s="1" t="str">
        <x:v>hudi1size/розовый</x:v>
      </x:c>
      <x:c r="C1248" s="1" t="str">
        <x:v>Худи</x:v>
      </x:c>
      <x:c r="D1248" s="9" t="n">
        <x:v>7.7</x:v>
      </x:c>
      <x:c r="E1248" s="8" t="n">
        <x:v>2670</x:v>
      </x:c>
      <x:c r="F1248" s="8" t="n">
        <x:v>44</x:v>
      </x:c>
      <x:c r="G1248" s="8" t="n">
        <x:v>48651</x:v>
      </x:c>
      <x:c r="H1248" s="8" t="n">
        <x:v>0</x:v>
      </x:c>
      <x:c r="I1248" s="8" t="n">
        <x:v>0</x:v>
      </x:c>
      <x:c r="J1248" s="8" t="n">
        <x:v>149</x:v>
      </x:c>
      <x:c r="K1248" s="8" t="n">
        <x:v>2691</x:v>
      </x:c>
      <x:c r="L1248" s="1" t="str">
        <x:v>Нет</x:v>
      </x:c>
      <x:c r="M1248" s="1" t="n">
        <x:v>129049</x:v>
      </x:c>
    </x:row>
    <x:row r="1249">
      <x:c r="A1249" s="1" t="str">
        <x:v>333139838</x:v>
      </x:c>
      <x:c r="B1249" s="1" t="str">
        <x:v>topfutbolka/пыльно-синий</x:v>
      </x:c>
      <x:c r="C1249" s="1" t="str">
        <x:v>Топы</x:v>
      </x:c>
      <x:c r="D1249" s="9" t="n">
        <x:v>9.4</x:v>
      </x:c>
      <x:c r="E1249" s="8" t="n">
        <x:v>11425</x:v>
      </x:c>
      <x:c r="F1249" s="8" t="n">
        <x:v>126</x:v>
      </x:c>
      <x:c r="G1249" s="8" t="n">
        <x:v>48581</x:v>
      </x:c>
      <x:c r="H1249" s="8" t="n">
        <x:v>102</x:v>
      </x:c>
      <x:c r="I1249" s="8" t="n">
        <x:v>0</x:v>
      </x:c>
      <x:c r="J1249" s="8" t="n">
        <x:v>0</x:v>
      </x:c>
      <x:c r="K1249" s="8" t="n">
        <x:v>777</x:v>
      </x:c>
      <x:c r="L1249" s="1" t="str">
        <x:v>Нет</x:v>
      </x:c>
      <x:c r="M1249" s="1" t="n">
        <x:v>0</x:v>
      </x:c>
    </x:row>
    <x:row r="1250">
      <x:c r="A1250" s="1" t="str">
        <x:v>329562244</x:v>
      </x:c>
      <x:c r="B1250" s="1" t="str">
        <x:v>brukiboy/дымка</x:v>
      </x:c>
      <x:c r="C1250" s="1" t="str">
        <x:v>Брюки</x:v>
      </x:c>
      <x:c r="D1250" s="9" t="n">
        <x:v>7.7</x:v>
      </x:c>
      <x:c r="E1250" s="8" t="n">
        <x:v>6229</x:v>
      </x:c>
      <x:c r="F1250" s="8" t="n">
        <x:v>77</x:v>
      </x:c>
      <x:c r="G1250" s="8" t="n">
        <x:v>48009</x:v>
      </x:c>
      <x:c r="H1250" s="8" t="n">
        <x:v>35</x:v>
      </x:c>
      <x:c r="I1250" s="8" t="n">
        <x:v>0</x:v>
      </x:c>
      <x:c r="J1250" s="8" t="n">
        <x:v>35</x:v>
      </x:c>
      <x:c r="K1250" s="8" t="n">
        <x:v>1091</x:v>
      </x:c>
      <x:c r="L1250" s="1" t="str">
        <x:v>Нет</x:v>
      </x:c>
      <x:c r="M1250" s="1" t="n">
        <x:v>26875</x:v>
      </x:c>
    </x:row>
    <x:row r="1251">
      <x:c r="A1251" s="1" t="str">
        <x:v>181355545</x:v>
      </x:c>
      <x:c r="B1251" s="1" t="str">
        <x:v>sweater/розовый</x:v>
      </x:c>
      <x:c r="C1251" s="1" t="str">
        <x:v>Свитшоты</x:v>
      </x:c>
      <x:c r="D1251" s="9" t="n">
        <x:v>7.7</x:v>
      </x:c>
      <x:c r="E1251" s="8" t="n">
        <x:v>6255</x:v>
      </x:c>
      <x:c r="F1251" s="8" t="n">
        <x:v>72</x:v>
      </x:c>
      <x:c r="G1251" s="8" t="n">
        <x:v>47954</x:v>
      </x:c>
      <x:c r="H1251" s="8" t="n">
        <x:v>248</x:v>
      </x:c>
      <x:c r="I1251" s="8" t="n">
        <x:v>0</x:v>
      </x:c>
      <x:c r="J1251" s="8" t="n">
        <x:v>133</x:v>
      </x:c>
      <x:c r="K1251" s="8" t="n">
        <x:v>2276</x:v>
      </x:c>
      <x:c r="L1251" s="1" t="str">
        <x:v>Нет</x:v>
      </x:c>
      <x:c r="M1251" s="1" t="n">
        <x:v>124300</x:v>
      </x:c>
    </x:row>
    <x:row r="1252">
      <x:c r="A1252" s="1" t="str">
        <x:v>287286749</x:v>
      </x:c>
      <x:c r="B1252" s="1" t="str">
        <x:v>2Nitkalongsliv3D-76/кофейный</x:v>
      </x:c>
      <x:c r="C1252" s="1" t="str">
        <x:v>Лонгсливы</x:v>
      </x:c>
      <x:c r="D1252" s="9" t="n">
        <x:v>8.7</x:v>
      </x:c>
      <x:c r="E1252" s="8" t="n">
        <x:v>6364</x:v>
      </x:c>
      <x:c r="F1252" s="8" t="n">
        <x:v>92</x:v>
      </x:c>
      <x:c r="G1252" s="8" t="n">
        <x:v>47953</x:v>
      </x:c>
      <x:c r="H1252" s="8" t="n">
        <x:v>3</x:v>
      </x:c>
      <x:c r="I1252" s="8" t="n">
        <x:v>0</x:v>
      </x:c>
      <x:c r="J1252" s="8" t="n">
        <x:v>425</x:v>
      </x:c>
      <x:c r="K1252" s="8" t="n">
        <x:v>1368</x:v>
      </x:c>
      <x:c r="L1252" s="1" t="str">
        <x:v>Нет</x:v>
      </x:c>
      <x:c r="M1252" s="1" t="n">
        <x:v>239861</x:v>
      </x:c>
    </x:row>
    <x:row r="1253">
      <x:c r="A1253" s="1" t="str">
        <x:v>33778608</x:v>
      </x:c>
      <x:c r="B1253" s="1" t="str">
        <x:v>longsliv/серовато-розовый</x:v>
      </x:c>
      <x:c r="C1253" s="1" t="str">
        <x:v>Лонгсливы</x:v>
      </x:c>
      <x:c r="D1253" s="9" t="n">
        <x:v>9.7</x:v>
      </x:c>
      <x:c r="E1253" s="8" t="n">
        <x:v>14869</x:v>
      </x:c>
      <x:c r="F1253" s="8" t="n">
        <x:v>189</x:v>
      </x:c>
      <x:c r="G1253" s="8" t="n">
        <x:v>47829</x:v>
      </x:c>
      <x:c r="H1253" s="8" t="n">
        <x:v>611</x:v>
      </x:c>
      <x:c r="I1253" s="8" t="n">
        <x:v>0</x:v>
      </x:c>
      <x:c r="J1253" s="8" t="n">
        <x:v>60</x:v>
      </x:c>
      <x:c r="K1253" s="8" t="n">
        <x:v>731</x:v>
      </x:c>
      <x:c r="L1253" s="1" t="str">
        <x:v>Нет</x:v>
      </x:c>
      <x:c r="M1253" s="1" t="n">
        <x:v>12300</x:v>
      </x:c>
    </x:row>
    <x:row r="1254">
      <x:c r="A1254" s="1" t="str">
        <x:v>317227926</x:v>
      </x:c>
      <x:c r="B1254" s="1" t="str">
        <x:v>futbolkahlopboy/вареныйсерый</x:v>
      </x:c>
      <x:c r="C1254" s="1" t="str">
        <x:v>Футболки</x:v>
      </x:c>
      <x:c r="D1254" s="9" t="n">
        <x:v>9.5</x:v>
      </x:c>
      <x:c r="E1254" s="8" t="n">
        <x:v>12484</x:v>
      </x:c>
      <x:c r="F1254" s="8" t="n">
        <x:v>151</x:v>
      </x:c>
      <x:c r="G1254" s="8" t="n">
        <x:v>47271</x:v>
      </x:c>
      <x:c r="H1254" s="8" t="n">
        <x:v>318</x:v>
      </x:c>
      <x:c r="I1254" s="8" t="n">
        <x:v>0</x:v>
      </x:c>
      <x:c r="J1254" s="8" t="n">
        <x:v>139</x:v>
      </x:c>
      <x:c r="K1254" s="8" t="n">
        <x:v>488</x:v>
      </x:c>
      <x:c r="L1254" s="1" t="str">
        <x:v>Нет</x:v>
      </x:c>
      <x:c r="M1254" s="1" t="n">
        <x:v>52185</x:v>
      </x:c>
    </x:row>
    <x:row r="1255">
      <x:c r="A1255" s="1" t="str">
        <x:v>322169428</x:v>
      </x:c>
      <x:c r="B1255" s="1" t="str">
        <x:v>futbolkaprint/Sparks-271/зелоносерый</x:v>
      </x:c>
      <x:c r="C1255" s="1" t="str">
        <x:v>Футболки</x:v>
      </x:c>
      <x:c r="D1255" s="9" t="n">
        <x:v>9.7</x:v>
      </x:c>
      <x:c r="E1255" s="8" t="n">
        <x:v>28893</x:v>
      </x:c>
      <x:c r="F1255" s="8" t="n">
        <x:v>68</x:v>
      </x:c>
      <x:c r="G1255" s="8" t="n">
        <x:v>46920</x:v>
      </x:c>
      <x:c r="H1255" s="8" t="n">
        <x:v>26</x:v>
      </x:c>
      <x:c r="I1255" s="8" t="n">
        <x:v>0</x:v>
      </x:c>
      <x:c r="J1255" s="8" t="n">
        <x:v>0</x:v>
      </x:c>
      <x:c r="K1255" s="8" t="n">
        <x:v>1299</x:v>
      </x:c>
      <x:c r="L1255" s="1" t="str">
        <x:v>Нет</x:v>
      </x:c>
      <x:c r="M1255" s="1" t="n">
        <x:v>0</x:v>
      </x:c>
    </x:row>
    <x:row r="1256">
      <x:c r="A1256" s="1" t="str">
        <x:v>318404886</x:v>
      </x:c>
      <x:c r="B1256" s="1" t="str">
        <x:v>futbolkagirl/мандариновый</x:v>
      </x:c>
      <x:c r="C1256" s="1" t="str">
        <x:v>Футболки</x:v>
      </x:c>
      <x:c r="D1256" s="9" t="n">
        <x:v>10</x:v>
      </x:c>
      <x:c r="E1256" s="8" t="n">
        <x:v>22234</x:v>
      </x:c>
      <x:c r="F1256" s="8" t="n">
        <x:v>159</x:v>
      </x:c>
      <x:c r="G1256" s="8" t="n">
        <x:v>46172</x:v>
      </x:c>
      <x:c r="H1256" s="8" t="n">
        <x:v>74</x:v>
      </x:c>
      <x:c r="I1256" s="8" t="n">
        <x:v>0</x:v>
      </x:c>
      <x:c r="J1256" s="8" t="n">
        <x:v>91</x:v>
      </x:c>
      <x:c r="K1256" s="8" t="n">
        <x:v>479</x:v>
      </x:c>
      <x:c r="L1256" s="1" t="str">
        <x:v>Нет</x:v>
      </x:c>
      <x:c r="M1256" s="1" t="n">
        <x:v>34440</x:v>
      </x:c>
    </x:row>
    <x:row r="1257">
      <x:c r="A1257" s="1" t="str">
        <x:v>300305955</x:v>
      </x:c>
      <x:c r="B1257" s="1" t="str">
        <x:v>palazzonachos/бежевый</x:v>
      </x:c>
      <x:c r="C1257" s="1" t="str">
        <x:v>Брюки</x:v>
      </x:c>
      <x:c r="D1257" s="9" t="n">
        <x:v>8.4</x:v>
      </x:c>
      <x:c r="E1257" s="8" t="n">
        <x:v>12794</x:v>
      </x:c>
      <x:c r="F1257" s="8" t="n">
        <x:v>65</x:v>
      </x:c>
      <x:c r="G1257" s="8" t="n">
        <x:v>46060</x:v>
      </x:c>
      <x:c r="H1257" s="8" t="n">
        <x:v>246</x:v>
      </x:c>
      <x:c r="I1257" s="8" t="n">
        <x:v>0</x:v>
      </x:c>
      <x:c r="J1257" s="8" t="n">
        <x:v>108</x:v>
      </x:c>
      <x:c r="K1257" s="8" t="n">
        <x:v>2442</x:v>
      </x:c>
      <x:c r="L1257" s="1" t="str">
        <x:v>Нет</x:v>
      </x:c>
      <x:c r="M1257" s="1" t="n">
        <x:v>61250</x:v>
      </x:c>
    </x:row>
    <x:row r="1258">
      <x:c r="A1258" s="1" t="str">
        <x:v>245580533</x:v>
      </x:c>
      <x:c r="B1258" s="1" t="str">
        <x:v>hudiprint/CoffeeCup-145/белый</x:v>
      </x:c>
      <x:c r="C1258" s="1" t="str">
        <x:v>Худи</x:v>
      </x:c>
      <x:c r="D1258" s="9" t="n">
        <x:v>8.7</x:v>
      </x:c>
      <x:c r="E1258" s="8" t="n">
        <x:v>26720</x:v>
      </x:c>
      <x:c r="F1258" s="8" t="n">
        <x:v>43</x:v>
      </x:c>
      <x:c r="G1258" s="8" t="n">
        <x:v>45780</x:v>
      </x:c>
      <x:c r="H1258" s="8" t="n">
        <x:v>259</x:v>
      </x:c>
      <x:c r="I1258" s="8" t="n">
        <x:v>0</x:v>
      </x:c>
      <x:c r="J1258" s="8" t="n">
        <x:v>84</x:v>
      </x:c>
      <x:c r="K1258" s="8" t="n">
        <x:v>2405</x:v>
      </x:c>
      <x:c r="L1258" s="1" t="str">
        <x:v>Нет</x:v>
      </x:c>
      <x:c r="M1258" s="1" t="n">
        <x:v>71500</x:v>
      </x:c>
    </x:row>
    <x:row r="1259">
      <x:c r="A1259" s="1" t="str">
        <x:v>240808483</x:v>
      </x:c>
      <x:c r="B1259" s="1" t="str">
        <x:v>hudiboy/молочный</x:v>
      </x:c>
      <x:c r="C1259" s="1" t="str">
        <x:v>Худи</x:v>
      </x:c>
      <x:c r="D1259" s="9" t="n">
        <x:v>7.7</x:v>
      </x:c>
      <x:c r="E1259" s="8" t="n">
        <x:v>8297</x:v>
      </x:c>
      <x:c r="F1259" s="8" t="n">
        <x:v>67</x:v>
      </x:c>
      <x:c r="G1259" s="8" t="n">
        <x:v>45362</x:v>
      </x:c>
      <x:c r="H1259" s="8" t="n">
        <x:v>211</x:v>
      </x:c>
      <x:c r="I1259" s="8" t="n">
        <x:v>0</x:v>
      </x:c>
      <x:c r="J1259" s="8" t="n">
        <x:v>191</x:v>
      </x:c>
      <x:c r="K1259" s="8" t="n">
        <x:v>1250</x:v>
      </x:c>
      <x:c r="L1259" s="1" t="str">
        <x:v>Нет</x:v>
      </x:c>
      <x:c r="M1259" s="1" t="n">
        <x:v>156852</x:v>
      </x:c>
    </x:row>
    <x:row r="1260">
      <x:c r="A1260" s="1" t="str">
        <x:v>253281928</x:v>
      </x:c>
      <x:c r="B1260" s="1" t="str">
        <x:v>hudiprint/MovesCrew-199/черный</x:v>
      </x:c>
      <x:c r="C1260" s="1" t="str">
        <x:v>Худи</x:v>
      </x:c>
      <x:c r="D1260" s="9" t="n">
        <x:v>9.7</x:v>
      </x:c>
      <x:c r="E1260" s="8" t="n">
        <x:v>18843</x:v>
      </x:c>
      <x:c r="F1260" s="8" t="n">
        <x:v>50</x:v>
      </x:c>
      <x:c r="G1260" s="8" t="n">
        <x:v>44563</x:v>
      </x:c>
      <x:c r="H1260" s="8" t="n">
        <x:v>124</x:v>
      </x:c>
      <x:c r="I1260" s="8" t="n">
        <x:v>0</x:v>
      </x:c>
      <x:c r="J1260" s="8" t="n">
        <x:v>134</x:v>
      </x:c>
      <x:c r="K1260" s="8" t="n">
        <x:v>2217</x:v>
      </x:c>
      <x:c r="L1260" s="1" t="str">
        <x:v>Нет</x:v>
      </x:c>
      <x:c r="M1260" s="1" t="n">
        <x:v>122240</x:v>
      </x:c>
    </x:row>
    <x:row r="1261">
      <x:c r="A1261" s="1" t="str">
        <x:v>316105859</x:v>
      </x:c>
      <x:c r="B1261" s="1" t="str">
        <x:v>futbolkaprint/Strangers-265/бордовый</x:v>
      </x:c>
      <x:c r="C1261" s="1" t="str">
        <x:v>Футболки</x:v>
      </x:c>
      <x:c r="D1261" s="9" t="n">
        <x:v>9.7</x:v>
      </x:c>
      <x:c r="E1261" s="8" t="n">
        <x:v>7529</x:v>
      </x:c>
      <x:c r="F1261" s="8" t="n">
        <x:v>55</x:v>
      </x:c>
      <x:c r="G1261" s="8" t="n">
        <x:v>44176</x:v>
      </x:c>
      <x:c r="H1261" s="8" t="n">
        <x:v>0</x:v>
      </x:c>
      <x:c r="I1261" s="8" t="n">
        <x:v>0</x:v>
      </x:c>
      <x:c r="J1261" s="8" t="n">
        <x:v>492</x:v>
      </x:c>
      <x:c r="K1261" s="8" t="n">
        <x:v>1226</x:v>
      </x:c>
      <x:c r="L1261" s="1" t="str">
        <x:v>Нет</x:v>
      </x:c>
      <x:c r="M1261" s="1" t="n">
        <x:v>312001</x:v>
      </x:c>
    </x:row>
    <x:row r="1262">
      <x:c r="A1262" s="1" t="str">
        <x:v>344319375</x:v>
      </x:c>
      <x:c r="B1262" s="1" t="str">
        <x:v>toprib3R-82/красно-коричневый</x:v>
      </x:c>
      <x:c r="C1262" s="1" t="str">
        <x:v>Топы</x:v>
      </x:c>
      <x:c r="D1262" s="9" t="n">
        <x:v>8.7</x:v>
      </x:c>
      <x:c r="E1262" s="8" t="n">
        <x:v>14440</x:v>
      </x:c>
      <x:c r="F1262" s="8" t="n">
        <x:v>283</x:v>
      </x:c>
      <x:c r="G1262" s="8" t="n">
        <x:v>44050</x:v>
      </x:c>
      <x:c r="H1262" s="8" t="n">
        <x:v>529</x:v>
      </x:c>
      <x:c r="I1262" s="8" t="n">
        <x:v>0</x:v>
      </x:c>
      <x:c r="J1262" s="8" t="n">
        <x:v>0</x:v>
      </x:c>
      <x:c r="K1262" s="8" t="n">
        <x:v>413</x:v>
      </x:c>
      <x:c r="L1262" s="1" t="str">
        <x:v>Нет</x:v>
      </x:c>
      <x:c r="M1262" s="1" t="n">
        <x:v>0</x:v>
      </x:c>
    </x:row>
    <x:row r="1263">
      <x:c r="A1263" s="1" t="str">
        <x:v>245583527</x:v>
      </x:c>
      <x:c r="B1263" s="1" t="str">
        <x:v>hudiprint/RunningClub-124/белый</x:v>
      </x:c>
      <x:c r="C1263" s="1" t="str">
        <x:v>Худи</x:v>
      </x:c>
      <x:c r="D1263" s="9" t="n">
        <x:v>8.7</x:v>
      </x:c>
      <x:c r="E1263" s="8" t="n">
        <x:v>20011</x:v>
      </x:c>
      <x:c r="F1263" s="8" t="n">
        <x:v>49</x:v>
      </x:c>
      <x:c r="G1263" s="8" t="n">
        <x:v>43752</x:v>
      </x:c>
      <x:c r="H1263" s="8" t="n">
        <x:v>566</x:v>
      </x:c>
      <x:c r="I1263" s="8" t="n">
        <x:v>0</x:v>
      </x:c>
      <x:c r="J1263" s="8" t="n">
        <x:v>79</x:v>
      </x:c>
      <x:c r="K1263" s="8" t="n">
        <x:v>2331</x:v>
      </x:c>
      <x:c r="L1263" s="1" t="str">
        <x:v>Нет</x:v>
      </x:c>
      <x:c r="M1263" s="1" t="n">
        <x:v>77000</x:v>
      </x:c>
    </x:row>
    <x:row r="1264">
      <x:c r="A1264" s="1" t="str">
        <x:v>335463348</x:v>
      </x:c>
      <x:c r="B1264" s="1" t="str">
        <x:v>shorts3n3P-87/коричневый</x:v>
      </x:c>
      <x:c r="C1264" s="1" t="str">
        <x:v>Шорты</x:v>
      </x:c>
      <x:c r="D1264" s="9" t="n">
        <x:v>7.9</x:v>
      </x:c>
      <x:c r="E1264" s="8" t="n">
        <x:v>7281</x:v>
      </x:c>
      <x:c r="F1264" s="8" t="n">
        <x:v>114</x:v>
      </x:c>
      <x:c r="G1264" s="8" t="n">
        <x:v>43431</x:v>
      </x:c>
      <x:c r="H1264" s="8" t="n">
        <x:v>17</x:v>
      </x:c>
      <x:c r="I1264" s="8" t="n">
        <x:v>0</x:v>
      </x:c>
      <x:c r="J1264" s="8" t="n">
        <x:v>0</x:v>
      </x:c>
      <x:c r="K1264" s="8" t="n">
        <x:v>1158</x:v>
      </x:c>
      <x:c r="L1264" s="1" t="str">
        <x:v>Нет</x:v>
      </x:c>
      <x:c r="M1264" s="1" t="n">
        <x:v>0</x:v>
      </x:c>
    </x:row>
    <x:row r="1265">
      <x:c r="A1265" s="1" t="str">
        <x:v>241638628</x:v>
      </x:c>
      <x:c r="B1265" s="1" t="str">
        <x:v>hudiprint/MovesWithLove-135/молочный</x:v>
      </x:c>
      <x:c r="C1265" s="1" t="str">
        <x:v>Худи</x:v>
      </x:c>
      <x:c r="D1265" s="9" t="n">
        <x:v>8.7</x:v>
      </x:c>
      <x:c r="E1265" s="8" t="n">
        <x:v>7647</x:v>
      </x:c>
      <x:c r="F1265" s="8" t="n">
        <x:v>47</x:v>
      </x:c>
      <x:c r="G1265" s="8" t="n">
        <x:v>43395</x:v>
      </x:c>
      <x:c r="H1265" s="8" t="n">
        <x:v>0</x:v>
      </x:c>
      <x:c r="I1265" s="8" t="n">
        <x:v>0</x:v>
      </x:c>
      <x:c r="J1265" s="8" t="n">
        <x:v>167</x:v>
      </x:c>
      <x:c r="K1265" s="8" t="n">
        <x:v>2314</x:v>
      </x:c>
      <x:c r="L1265" s="1" t="str">
        <x:v>Нет</x:v>
      </x:c>
      <x:c r="M1265" s="1" t="n">
        <x:v>216200</x:v>
      </x:c>
    </x:row>
    <x:row r="1266">
      <x:c r="A1266" s="1" t="str">
        <x:v>202779224</x:v>
      </x:c>
      <x:c r="B1266" s="1" t="str">
        <x:v>hudiprint/Anketa-62/черный</x:v>
      </x:c>
      <x:c r="C1266" s="1" t="str">
        <x:v>Худи</x:v>
      </x:c>
      <x:c r="D1266" s="9" t="n">
        <x:v>8.2</x:v>
      </x:c>
      <x:c r="E1266" s="8" t="n">
        <x:v>34404</x:v>
      </x:c>
      <x:c r="F1266" s="8" t="n">
        <x:v>44</x:v>
      </x:c>
      <x:c r="G1266" s="8" t="n">
        <x:v>43324</x:v>
      </x:c>
      <x:c r="H1266" s="8" t="n">
        <x:v>78</x:v>
      </x:c>
      <x:c r="I1266" s="8" t="n">
        <x:v>0</x:v>
      </x:c>
      <x:c r="J1266" s="8" t="n">
        <x:v>24</x:v>
      </x:c>
      <x:c r="K1266" s="8" t="n">
        <x:v>2411</x:v>
      </x:c>
      <x:c r="L1266" s="1" t="str">
        <x:v>Нет</x:v>
      </x:c>
      <x:c r="M1266" s="1" t="n">
        <x:v>12150</x:v>
      </x:c>
    </x:row>
    <x:row r="1267">
      <x:c r="A1267" s="1" t="str">
        <x:v>116725958</x:v>
      </x:c>
      <x:c r="B1267" s="1" t="str">
        <x:v>longsliv/кофейный</x:v>
      </x:c>
      <x:c r="C1267" s="1" t="str">
        <x:v>Лонгсливы</x:v>
      </x:c>
      <x:c r="D1267" s="9" t="n">
        <x:v>9.7</x:v>
      </x:c>
      <x:c r="E1267" s="8" t="n">
        <x:v>10196</x:v>
      </x:c>
      <x:c r="F1267" s="8" t="n">
        <x:v>191</x:v>
      </x:c>
      <x:c r="G1267" s="8" t="n">
        <x:v>43180</x:v>
      </x:c>
      <x:c r="H1267" s="8" t="n">
        <x:v>786</x:v>
      </x:c>
      <x:c r="I1267" s="8" t="n">
        <x:v>0</x:v>
      </x:c>
      <x:c r="J1267" s="8" t="n">
        <x:v>117</x:v>
      </x:c>
      <x:c r="K1267" s="8" t="n">
        <x:v>742</x:v>
      </x:c>
      <x:c r="L1267" s="1" t="str">
        <x:v>Нет</x:v>
      </x:c>
      <x:c r="M1267" s="1" t="n">
        <x:v>36086</x:v>
      </x:c>
    </x:row>
    <x:row r="1268">
      <x:c r="A1268" s="1" t="str">
        <x:v>28233031</x:v>
      </x:c>
      <x:c r="B1268" s="1" t="str">
        <x:v>longsliv/бежевый</x:v>
      </x:c>
      <x:c r="C1268" s="1" t="str">
        <x:v>Лонгсливы</x:v>
      </x:c>
      <x:c r="D1268" s="9" t="n">
        <x:v>9.7</x:v>
      </x:c>
      <x:c r="E1268" s="8" t="n">
        <x:v>12764</x:v>
      </x:c>
      <x:c r="F1268" s="8" t="n">
        <x:v>252</x:v>
      </x:c>
      <x:c r="G1268" s="8" t="n">
        <x:v>43178</x:v>
      </x:c>
      <x:c r="H1268" s="8" t="n">
        <x:v>953</x:v>
      </x:c>
      <x:c r="I1268" s="8" t="n">
        <x:v>0</x:v>
      </x:c>
      <x:c r="J1268" s="8" t="n">
        <x:v>152</x:v>
      </x:c>
      <x:c r="K1268" s="8" t="n">
        <x:v>748</x:v>
      </x:c>
      <x:c r="L1268" s="1" t="str">
        <x:v>Нет</x:v>
      </x:c>
      <x:c r="M1268" s="1" t="n">
        <x:v>43196</x:v>
      </x:c>
    </x:row>
    <x:row r="1269">
      <x:c r="A1269" s="1" t="str">
        <x:v>288615741</x:v>
      </x:c>
      <x:c r="B1269" s="1" t="str">
        <x:v>svitshotzip1/коричневый</x:v>
      </x:c>
      <x:c r="C1269" s="1" t="str">
        <x:v>Свитшоты</x:v>
      </x:c>
      <x:c r="D1269" s="9" t="n">
        <x:v>9.7</x:v>
      </x:c>
      <x:c r="E1269" s="8" t="n">
        <x:v>3342</x:v>
      </x:c>
      <x:c r="F1269" s="8" t="n">
        <x:v>72</x:v>
      </x:c>
      <x:c r="G1269" s="8" t="n">
        <x:v>42994</x:v>
      </x:c>
      <x:c r="H1269" s="8" t="n">
        <x:v>1</x:v>
      </x:c>
      <x:c r="I1269" s="8" t="n">
        <x:v>0</x:v>
      </x:c>
      <x:c r="J1269" s="8" t="n">
        <x:v>214</x:v>
      </x:c>
      <x:c r="K1269" s="8" t="n">
        <x:v>2690</x:v>
      </x:c>
      <x:c r="L1269" s="1" t="str">
        <x:v>Нет</x:v>
      </x:c>
      <x:c r="M1269" s="1" t="n">
        <x:v>199800</x:v>
      </x:c>
    </x:row>
    <x:row r="1270">
      <x:c r="A1270" s="1" t="str">
        <x:v>306916573</x:v>
      </x:c>
      <x:c r="B1270" s="1" t="str">
        <x:v>hudicropman4F-67/песочный</x:v>
      </x:c>
      <x:c r="C1270" s="1" t="str">
        <x:v>Худи</x:v>
      </x:c>
      <x:c r="D1270" s="9" t="n">
        <x:v>9.7</x:v>
      </x:c>
      <x:c r="E1270" s="8" t="n">
        <x:v>8077</x:v>
      </x:c>
      <x:c r="F1270" s="8" t="n">
        <x:v>57</x:v>
      </x:c>
      <x:c r="G1270" s="8" t="n">
        <x:v>42869</x:v>
      </x:c>
      <x:c r="H1270" s="8" t="n">
        <x:v>338</x:v>
      </x:c>
      <x:c r="I1270" s="8" t="n">
        <x:v>0</x:v>
      </x:c>
      <x:c r="J1270" s="8" t="n">
        <x:v>72</x:v>
      </x:c>
      <x:c r="K1270" s="8" t="n">
        <x:v>2852</x:v>
      </x:c>
      <x:c r="L1270" s="1" t="str">
        <x:v>Нет</x:v>
      </x:c>
      <x:c r="M1270" s="1" t="n">
        <x:v>88350</x:v>
      </x:c>
    </x:row>
    <x:row r="1271">
      <x:c r="A1271" s="1" t="str">
        <x:v>365942947</x:v>
      </x:c>
      <x:c r="B1271" s="1" t="str">
        <x:v>bazaboy/бордовый</x:v>
      </x:c>
      <x:c r="C1271" s="1" t="str">
        <x:v>Футболки</x:v>
      </x:c>
      <x:c r="D1271" s="9" t="n">
        <x:v>9.5</x:v>
      </x:c>
      <x:c r="E1271" s="8" t="n">
        <x:v>6555</x:v>
      </x:c>
      <x:c r="F1271" s="8" t="n">
        <x:v>143</x:v>
      </x:c>
      <x:c r="G1271" s="8" t="n">
        <x:v>42722</x:v>
      </x:c>
      <x:c r="H1271" s="8" t="n">
        <x:v>526</x:v>
      </x:c>
      <x:c r="I1271" s="8" t="n">
        <x:v>0</x:v>
      </x:c>
      <x:c r="J1271" s="8" t="n">
        <x:v>0</x:v>
      </x:c>
      <x:c r="K1271" s="8" t="n">
        <x:v>493</x:v>
      </x:c>
      <x:c r="L1271" s="1" t="str">
        <x:v>Нет</x:v>
      </x:c>
      <x:c r="M1271" s="1" t="n">
        <x:v>0</x:v>
      </x:c>
    </x:row>
    <x:row r="1272">
      <x:c r="A1272" s="1" t="str">
        <x:v>344184278</x:v>
      </x:c>
      <x:c r="B1272" s="1" t="str">
        <x:v>longslim3К-81/красный</x:v>
      </x:c>
      <x:c r="C1272" s="1" t="str">
        <x:v>Лонгсливы</x:v>
      </x:c>
      <x:c r="D1272" s="9" t="n">
        <x:v>8.7</x:v>
      </x:c>
      <x:c r="E1272" s="8" t="n">
        <x:v>11013</x:v>
      </x:c>
      <x:c r="F1272" s="8" t="n">
        <x:v>97</x:v>
      </x:c>
      <x:c r="G1272" s="8" t="n">
        <x:v>42396</x:v>
      </x:c>
      <x:c r="H1272" s="8" t="n">
        <x:v>397</x:v>
      </x:c>
      <x:c r="I1272" s="8" t="n">
        <x:v>0</x:v>
      </x:c>
      <x:c r="J1272" s="8" t="n">
        <x:v>0</x:v>
      </x:c>
      <x:c r="K1272" s="8" t="n">
        <x:v>969</x:v>
      </x:c>
      <x:c r="L1272" s="1" t="str">
        <x:v>Нет</x:v>
      </x:c>
      <x:c r="M1272" s="1" t="n">
        <x:v>0</x:v>
      </x:c>
    </x:row>
    <x:row r="1273">
      <x:c r="A1273" s="1" t="str">
        <x:v>261299064</x:v>
      </x:c>
      <x:c r="B1273" s="1" t="str">
        <x:v>termoshtany/черный</x:v>
      </x:c>
      <x:c r="C1273" s="1" t="str">
        <x:v>Кальсоны</x:v>
      </x:c>
      <x:c r="D1273" s="9" t="n">
        <x:v>9.7</x:v>
      </x:c>
      <x:c r="E1273" s="8" t="n">
        <x:v>2561</x:v>
      </x:c>
      <x:c r="F1273" s="8" t="n">
        <x:v>68</x:v>
      </x:c>
      <x:c r="G1273" s="8" t="n">
        <x:v>42141</x:v>
      </x:c>
      <x:c r="H1273" s="8" t="n">
        <x:v>976</x:v>
      </x:c>
      <x:c r="I1273" s="8" t="n">
        <x:v>0</x:v>
      </x:c>
      <x:c r="J1273" s="8" t="n">
        <x:v>273</x:v>
      </x:c>
      <x:c r="K1273" s="8" t="n">
        <x:v>896</x:v>
      </x:c>
      <x:c r="L1273" s="1" t="str">
        <x:v>Нет</x:v>
      </x:c>
      <x:c r="M1273" s="1" t="n">
        <x:v>157369</x:v>
      </x:c>
    </x:row>
    <x:row r="1274">
      <x:c r="A1274" s="1" t="str">
        <x:v>209915712</x:v>
      </x:c>
      <x:c r="B1274" s="1" t="str">
        <x:v>shorty/коричневый</x:v>
      </x:c>
      <x:c r="C1274" s="1" t="str">
        <x:v>Шорты</x:v>
      </x:c>
      <x:c r="D1274" s="9" t="n">
        <x:v>6.9</x:v>
      </x:c>
      <x:c r="E1274" s="8" t="n">
        <x:v>10046</x:v>
      </x:c>
      <x:c r="F1274" s="8" t="n">
        <x:v>110</x:v>
      </x:c>
      <x:c r="G1274" s="8" t="n">
        <x:v>41955</x:v>
      </x:c>
      <x:c r="H1274" s="8" t="n">
        <x:v>112</x:v>
      </x:c>
      <x:c r="I1274" s="8" t="n">
        <x:v>0</x:v>
      </x:c>
      <x:c r="J1274" s="8" t="n">
        <x:v>10</x:v>
      </x:c>
      <x:c r="K1274" s="8" t="n">
        <x:v>1045</x:v>
      </x:c>
      <x:c r="L1274" s="1" t="str">
        <x:v>Нет</x:v>
      </x:c>
      <x:c r="M1274" s="1" t="n">
        <x:v>4440</x:v>
      </x:c>
    </x:row>
    <x:row r="1275">
      <x:c r="A1275" s="1" t="str">
        <x:v>313770762</x:v>
      </x:c>
      <x:c r="B1275" s="1" t="str">
        <x:v>futbolkagirl/голубой</x:v>
      </x:c>
      <x:c r="C1275" s="1" t="str">
        <x:v>Футболки</x:v>
      </x:c>
      <x:c r="D1275" s="9" t="n">
        <x:v>10</x:v>
      </x:c>
      <x:c r="E1275" s="8" t="n">
        <x:v>20954</x:v>
      </x:c>
      <x:c r="F1275" s="8" t="n">
        <x:v>117</x:v>
      </x:c>
      <x:c r="G1275" s="8" t="n">
        <x:v>41806</x:v>
      </x:c>
      <x:c r="H1275" s="8" t="n">
        <x:v>0</x:v>
      </x:c>
      <x:c r="I1275" s="8" t="n">
        <x:v>0</x:v>
      </x:c>
      <x:c r="J1275" s="8" t="n">
        <x:v>96</x:v>
      </x:c>
      <x:c r="K1275" s="8" t="n">
        <x:v>475</x:v>
      </x:c>
      <x:c r="L1275" s="1" t="str">
        <x:v>Нет</x:v>
      </x:c>
      <x:c r="M1275" s="1" t="n">
        <x:v>35000</x:v>
      </x:c>
    </x:row>
    <x:row r="1276">
      <x:c r="A1276" s="1" t="str">
        <x:v>316105860</x:v>
      </x:c>
      <x:c r="B1276" s="1" t="str">
        <x:v>futbolkaprint/Bright-266/бордовый</x:v>
      </x:c>
      <x:c r="C1276" s="1" t="str">
        <x:v>Футболки</x:v>
      </x:c>
      <x:c r="D1276" s="9" t="n">
        <x:v>9.7</x:v>
      </x:c>
      <x:c r="E1276" s="8" t="n">
        <x:v>12597</x:v>
      </x:c>
      <x:c r="F1276" s="8" t="n">
        <x:v>63</x:v>
      </x:c>
      <x:c r="G1276" s="8" t="n">
        <x:v>41533</x:v>
      </x:c>
      <x:c r="H1276" s="8" t="n">
        <x:v>1338</x:v>
      </x:c>
      <x:c r="I1276" s="8" t="n">
        <x:v>0</x:v>
      </x:c>
      <x:c r="J1276" s="8" t="n">
        <x:v>442</x:v>
      </x:c>
      <x:c r="K1276" s="8" t="n">
        <x:v>1227</x:v>
      </x:c>
      <x:c r="L1276" s="1" t="str">
        <x:v>Нет</x:v>
      </x:c>
      <x:c r="M1276" s="1" t="n">
        <x:v>313211</x:v>
      </x:c>
    </x:row>
    <x:row r="1277">
      <x:c r="A1277" s="1" t="str">
        <x:v>300305943</x:v>
      </x:c>
      <x:c r="B1277" s="1" t="str">
        <x:v>palazzonachos/кофейный</x:v>
      </x:c>
      <x:c r="C1277" s="1" t="str">
        <x:v>Брюки</x:v>
      </x:c>
      <x:c r="D1277" s="9" t="n">
        <x:v>8.4</x:v>
      </x:c>
      <x:c r="E1277" s="8" t="n">
        <x:v>11043</x:v>
      </x:c>
      <x:c r="F1277" s="8" t="n">
        <x:v>65</x:v>
      </x:c>
      <x:c r="G1277" s="8" t="n">
        <x:v>41040</x:v>
      </x:c>
      <x:c r="H1277" s="8" t="n">
        <x:v>471</x:v>
      </x:c>
      <x:c r="I1277" s="8" t="n">
        <x:v>0</x:v>
      </x:c>
      <x:c r="J1277" s="8" t="n">
        <x:v>104</x:v>
      </x:c>
      <x:c r="K1277" s="8" t="n">
        <x:v>2428</x:v>
      </x:c>
      <x:c r="L1277" s="1" t="str">
        <x:v>Нет</x:v>
      </x:c>
      <x:c r="M1277" s="1" t="n">
        <x:v>49000</x:v>
      </x:c>
    </x:row>
    <x:row r="1278">
      <x:c r="A1278" s="1" t="str">
        <x:v>29348499</x:v>
      </x:c>
      <x:c r="B1278" s="1" t="str">
        <x:v>longsliv/эвкалипт</x:v>
      </x:c>
      <x:c r="C1278" s="1" t="str">
        <x:v>Лонгсливы</x:v>
      </x:c>
      <x:c r="D1278" s="9" t="n">
        <x:v>9.7</x:v>
      </x:c>
      <x:c r="E1278" s="8" t="n">
        <x:v>12998</x:v>
      </x:c>
      <x:c r="F1278" s="8" t="n">
        <x:v>146</x:v>
      </x:c>
      <x:c r="G1278" s="8" t="n">
        <x:v>40980</x:v>
      </x:c>
      <x:c r="H1278" s="8" t="n">
        <x:v>651</x:v>
      </x:c>
      <x:c r="I1278" s="8" t="n">
        <x:v>0</x:v>
      </x:c>
      <x:c r="J1278" s="8" t="n">
        <x:v>71</x:v>
      </x:c>
      <x:c r="K1278" s="8" t="n">
        <x:v>731</x:v>
      </x:c>
      <x:c r="L1278" s="1" t="str">
        <x:v>Нет</x:v>
      </x:c>
      <x:c r="M1278" s="1" t="n">
        <x:v>20900</x:v>
      </x:c>
    </x:row>
    <x:row r="1279">
      <x:c r="A1279" s="1" t="str">
        <x:v>195712683</x:v>
      </x:c>
      <x:c r="B1279" s="1" t="str">
        <x:v>sweater/фиолетовый</x:v>
      </x:c>
      <x:c r="C1279" s="1" t="str">
        <x:v>Свитшоты</x:v>
      </x:c>
      <x:c r="D1279" s="9" t="n">
        <x:v>9.7</x:v>
      </x:c>
      <x:c r="E1279" s="8" t="n">
        <x:v>5759</x:v>
      </x:c>
      <x:c r="F1279" s="8" t="n">
        <x:v>57</x:v>
      </x:c>
      <x:c r="G1279" s="8" t="n">
        <x:v>40956</x:v>
      </x:c>
      <x:c r="H1279" s="8" t="n">
        <x:v>10</x:v>
      </x:c>
      <x:c r="I1279" s="8" t="n">
        <x:v>0</x:v>
      </x:c>
      <x:c r="J1279" s="8" t="n">
        <x:v>83</x:v>
      </x:c>
      <x:c r="K1279" s="8" t="n">
        <x:v>2151</x:v>
      </x:c>
      <x:c r="L1279" s="1" t="str">
        <x:v>Нет</x:v>
      </x:c>
      <x:c r="M1279" s="1" t="n">
        <x:v>88990</x:v>
      </x:c>
    </x:row>
    <x:row r="1280">
      <x:c r="A1280" s="1" t="str">
        <x:v>235997585</x:v>
      </x:c>
      <x:c r="B1280" s="1" t="str">
        <x:v>bazaboy/серый</x:v>
      </x:c>
      <x:c r="C1280" s="1" t="str">
        <x:v>Футболки</x:v>
      </x:c>
      <x:c r="D1280" s="9" t="n">
        <x:v>9.5</x:v>
      </x:c>
      <x:c r="E1280" s="8" t="n">
        <x:v>6441</x:v>
      </x:c>
      <x:c r="F1280" s="8" t="n">
        <x:v>179</x:v>
      </x:c>
      <x:c r="G1280" s="8" t="n">
        <x:v>40638</x:v>
      </x:c>
      <x:c r="H1280" s="8" t="n">
        <x:v>376</x:v>
      </x:c>
      <x:c r="I1280" s="8" t="n">
        <x:v>0</x:v>
      </x:c>
      <x:c r="J1280" s="8" t="n">
        <x:v>195</x:v>
      </x:c>
      <x:c r="K1280" s="8" t="n">
        <x:v>476</x:v>
      </x:c>
      <x:c r="L1280" s="1" t="str">
        <x:v>Нет</x:v>
      </x:c>
      <x:c r="M1280" s="1" t="n">
        <x:v>63197</x:v>
      </x:c>
    </x:row>
    <x:row r="1281">
      <x:c r="A1281" s="1" t="str">
        <x:v>313770775</x:v>
      </x:c>
      <x:c r="B1281" s="1" t="str">
        <x:v>futbolkagirl/хаки</x:v>
      </x:c>
      <x:c r="C1281" s="1" t="str">
        <x:v>Футболки</x:v>
      </x:c>
      <x:c r="D1281" s="9" t="n">
        <x:v>10</x:v>
      </x:c>
      <x:c r="E1281" s="8" t="n">
        <x:v>20549</x:v>
      </x:c>
      <x:c r="F1281" s="8" t="n">
        <x:v>138</x:v>
      </x:c>
      <x:c r="G1281" s="8" t="n">
        <x:v>40509</x:v>
      </x:c>
      <x:c r="H1281" s="8" t="n">
        <x:v>220</x:v>
      </x:c>
      <x:c r="I1281" s="8" t="n">
        <x:v>0</x:v>
      </x:c>
      <x:c r="J1281" s="8" t="n">
        <x:v>53</x:v>
      </x:c>
      <x:c r="K1281" s="8" t="n">
        <x:v>482</x:v>
      </x:c>
      <x:c r="L1281" s="1" t="str">
        <x:v>Нет</x:v>
      </x:c>
      <x:c r="M1281" s="1" t="n">
        <x:v>17600</x:v>
      </x:c>
    </x:row>
    <x:row r="1282">
      <x:c r="A1282" s="1" t="str">
        <x:v>256339618</x:v>
      </x:c>
      <x:c r="B1282" s="1" t="str">
        <x:v>futbolkaoverhlop/какао</x:v>
      </x:c>
      <x:c r="C1282" s="1" t="str">
        <x:v>Футболки</x:v>
      </x:c>
      <x:c r="D1282" s="9" t="n">
        <x:v>9.7</x:v>
      </x:c>
      <x:c r="E1282" s="8" t="n">
        <x:v>14947</x:v>
      </x:c>
      <x:c r="F1282" s="8" t="n">
        <x:v>109</x:v>
      </x:c>
      <x:c r="G1282" s="8" t="n">
        <x:v>39940</x:v>
      </x:c>
      <x:c r="H1282" s="8" t="n">
        <x:v>348</x:v>
      </x:c>
      <x:c r="I1282" s="8" t="n">
        <x:v>0</x:v>
      </x:c>
      <x:c r="J1282" s="8" t="n">
        <x:v>173</x:v>
      </x:c>
      <x:c r="K1282" s="8" t="n">
        <x:v>1081</x:v>
      </x:c>
      <x:c r="L1282" s="1" t="str">
        <x:v>Нет</x:v>
      </x:c>
      <x:c r="M1282" s="1" t="n">
        <x:v>74461</x:v>
      </x:c>
    </x:row>
    <x:row r="1283">
      <x:c r="A1283" s="1" t="str">
        <x:v>231458799</x:v>
      </x:c>
      <x:c r="B1283" s="1" t="str">
        <x:v>futbolkagirl/салатовый</x:v>
      </x:c>
      <x:c r="C1283" s="1" t="str">
        <x:v>Футболки</x:v>
      </x:c>
      <x:c r="D1283" s="9" t="n">
        <x:v>10</x:v>
      </x:c>
      <x:c r="E1283" s="8" t="n">
        <x:v>22555</x:v>
      </x:c>
      <x:c r="F1283" s="8" t="n">
        <x:v>111</x:v>
      </x:c>
      <x:c r="G1283" s="8" t="n">
        <x:v>39897</x:v>
      </x:c>
      <x:c r="H1283" s="8" t="n">
        <x:v>0</x:v>
      </x:c>
      <x:c r="I1283" s="8" t="n">
        <x:v>0</x:v>
      </x:c>
      <x:c r="J1283" s="8" t="n">
        <x:v>94</x:v>
      </x:c>
      <x:c r="K1283" s="8" t="n">
        <x:v>472</x:v>
      </x:c>
      <x:c r="L1283" s="1" t="str">
        <x:v>Нет</x:v>
      </x:c>
      <x:c r="M1283" s="1" t="n">
        <x:v>36360</x:v>
      </x:c>
    </x:row>
    <x:row r="1284">
      <x:c r="A1284" s="1" t="str">
        <x:v>195712673</x:v>
      </x:c>
      <x:c r="B1284" s="1" t="str">
        <x:v>sweater/красный</x:v>
      </x:c>
      <x:c r="C1284" s="1" t="str">
        <x:v>Свитшоты</x:v>
      </x:c>
      <x:c r="D1284" s="9" t="n">
        <x:v>9.7</x:v>
      </x:c>
      <x:c r="E1284" s="8" t="n">
        <x:v>2700</x:v>
      </x:c>
      <x:c r="F1284" s="8" t="n">
        <x:v>57</x:v>
      </x:c>
      <x:c r="G1284" s="8" t="n">
        <x:v>39835</x:v>
      </x:c>
      <x:c r="H1284" s="8" t="n">
        <x:v>53</x:v>
      </x:c>
      <x:c r="I1284" s="8" t="n">
        <x:v>0</x:v>
      </x:c>
      <x:c r="J1284" s="8" t="n">
        <x:v>139</x:v>
      </x:c>
      <x:c r="K1284" s="8" t="n">
        <x:v>2235</x:v>
      </x:c>
      <x:c r="L1284" s="1" t="str">
        <x:v>Нет</x:v>
      </x:c>
      <x:c r="M1284" s="1" t="n">
        <x:v>129210</x:v>
      </x:c>
    </x:row>
    <x:row r="1285">
      <x:c r="A1285" s="1" t="str">
        <x:v>29349032</x:v>
      </x:c>
      <x:c r="B1285" s="1" t="str">
        <x:v>longsliv/пудровый</x:v>
      </x:c>
      <x:c r="C1285" s="1" t="str">
        <x:v>Лонгсливы</x:v>
      </x:c>
      <x:c r="D1285" s="9" t="n">
        <x:v>9.7</x:v>
      </x:c>
      <x:c r="E1285" s="8" t="n">
        <x:v>17629</x:v>
      </x:c>
      <x:c r="F1285" s="8" t="n">
        <x:v>197</x:v>
      </x:c>
      <x:c r="G1285" s="8" t="n">
        <x:v>39781</x:v>
      </x:c>
      <x:c r="H1285" s="8" t="n">
        <x:v>428</x:v>
      </x:c>
      <x:c r="I1285" s="8" t="n">
        <x:v>0</x:v>
      </x:c>
      <x:c r="J1285" s="8" t="n">
        <x:v>119</x:v>
      </x:c>
      <x:c r="K1285" s="8" t="n">
        <x:v>753</x:v>
      </x:c>
      <x:c r="L1285" s="1" t="str">
        <x:v>Нет</x:v>
      </x:c>
      <x:c r="M1285" s="1" t="n">
        <x:v>23574</x:v>
      </x:c>
    </x:row>
    <x:row r="1286">
      <x:c r="A1286" s="1" t="str">
        <x:v>344319374</x:v>
      </x:c>
      <x:c r="B1286" s="1" t="str">
        <x:v>toprib3R-82/молочный</x:v>
      </x:c>
      <x:c r="C1286" s="1" t="str">
        <x:v>Топы</x:v>
      </x:c>
      <x:c r="D1286" s="9" t="n">
        <x:v>8.7</x:v>
      </x:c>
      <x:c r="E1286" s="8" t="n">
        <x:v>16850</x:v>
      </x:c>
      <x:c r="F1286" s="8" t="n">
        <x:v>179</x:v>
      </x:c>
      <x:c r="G1286" s="8" t="n">
        <x:v>39417</x:v>
      </x:c>
      <x:c r="H1286" s="8" t="n">
        <x:v>960</x:v>
      </x:c>
      <x:c r="I1286" s="8" t="n">
        <x:v>0</x:v>
      </x:c>
      <x:c r="J1286" s="8" t="n">
        <x:v>0</x:v>
      </x:c>
      <x:c r="K1286" s="8" t="n">
        <x:v>590</x:v>
      </x:c>
      <x:c r="L1286" s="1" t="str">
        <x:v>Нет</x:v>
      </x:c>
      <x:c r="M1286" s="1" t="n">
        <x:v>0</x:v>
      </x:c>
    </x:row>
    <x:row r="1287">
      <x:c r="A1287" s="1" t="str">
        <x:v>325074330</x:v>
      </x:c>
      <x:c r="B1287" s="1" t="str">
        <x:v>futbolkaprint/AllYouNeed-274/бордовый</x:v>
      </x:c>
      <x:c r="C1287" s="1" t="str">
        <x:v>Футболки</x:v>
      </x:c>
      <x:c r="D1287" s="9" t="n">
        <x:v>9.7</x:v>
      </x:c>
      <x:c r="E1287" s="8" t="n">
        <x:v>20379</x:v>
      </x:c>
      <x:c r="F1287" s="8" t="n">
        <x:v>92</x:v>
      </x:c>
      <x:c r="G1287" s="8" t="n">
        <x:v>39325</x:v>
      </x:c>
      <x:c r="H1287" s="8" t="n">
        <x:v>202</x:v>
      </x:c>
      <x:c r="I1287" s="8" t="n">
        <x:v>0</x:v>
      </x:c>
      <x:c r="J1287" s="8" t="n">
        <x:v>0</x:v>
      </x:c>
      <x:c r="K1287" s="8" t="n">
        <x:v>1259</x:v>
      </x:c>
      <x:c r="L1287" s="1" t="str">
        <x:v>Нет</x:v>
      </x:c>
      <x:c r="M1287" s="1" t="n">
        <x:v>0</x:v>
      </x:c>
    </x:row>
    <x:row r="1288">
      <x:c r="A1288" s="1" t="str">
        <x:v>254965701</x:v>
      </x:c>
      <x:c r="B1288" s="1" t="str">
        <x:v>hudimanprint/TLDVGNY-207/черный</x:v>
      </x:c>
      <x:c r="C1288" s="1" t="str">
        <x:v>Худи</x:v>
      </x:c>
      <x:c r="D1288" s="9" t="n">
        <x:v>8.7</x:v>
      </x:c>
      <x:c r="E1288" s="8" t="n">
        <x:v>5597</x:v>
      </x:c>
      <x:c r="F1288" s="8" t="n">
        <x:v>36</x:v>
      </x:c>
      <x:c r="G1288" s="8" t="n">
        <x:v>39116</x:v>
      </x:c>
      <x:c r="H1288" s="8" t="n">
        <x:v>39</x:v>
      </x:c>
      <x:c r="I1288" s="8" t="n">
        <x:v>0</x:v>
      </x:c>
      <x:c r="J1288" s="8" t="n">
        <x:v>168</x:v>
      </x:c>
      <x:c r="K1288" s="8" t="n">
        <x:v>2169</x:v>
      </x:c>
      <x:c r="L1288" s="1" t="str">
        <x:v>Нет</x:v>
      </x:c>
      <x:c r="M1288" s="1" t="n">
        <x:v>174021</x:v>
      </x:c>
    </x:row>
    <x:row r="1289">
      <x:c r="A1289" s="1" t="str">
        <x:v>184167718</x:v>
      </x:c>
      <x:c r="B1289" s="1" t="str">
        <x:v>sweater/серый</x:v>
      </x:c>
      <x:c r="C1289" s="1" t="str">
        <x:v>Свитшоты</x:v>
      </x:c>
      <x:c r="D1289" s="9" t="n">
        <x:v>9.7</x:v>
      </x:c>
      <x:c r="E1289" s="8" t="n">
        <x:v>7358</x:v>
      </x:c>
      <x:c r="F1289" s="8" t="n">
        <x:v>75</x:v>
      </x:c>
      <x:c r="G1289" s="8" t="n">
        <x:v>39096</x:v>
      </x:c>
      <x:c r="H1289" s="8" t="n">
        <x:v>94</x:v>
      </x:c>
      <x:c r="I1289" s="8" t="n">
        <x:v>0</x:v>
      </x:c>
      <x:c r="J1289" s="8" t="n">
        <x:v>109</x:v>
      </x:c>
      <x:c r="K1289" s="8" t="n">
        <x:v>2268</x:v>
      </x:c>
      <x:c r="L1289" s="1" t="str">
        <x:v>Нет</x:v>
      </x:c>
      <x:c r="M1289" s="1" t="n">
        <x:v>81400</x:v>
      </x:c>
    </x:row>
    <x:row r="1290">
      <x:c r="A1290" s="1" t="str">
        <x:v>331334281</x:v>
      </x:c>
      <x:c r="B1290" s="1" t="str">
        <x:v>longpolo3K-90/розовый</x:v>
      </x:c>
      <x:c r="C1290" s="1" t="str">
        <x:v>Лонгсливы</x:v>
      </x:c>
      <x:c r="D1290" s="9" t="n">
        <x:v>8.7</x:v>
      </x:c>
      <x:c r="E1290" s="8" t="n">
        <x:v>34236</x:v>
      </x:c>
      <x:c r="F1290" s="8" t="n">
        <x:v>72</x:v>
      </x:c>
      <x:c r="G1290" s="8" t="n">
        <x:v>39019</x:v>
      </x:c>
      <x:c r="H1290" s="8" t="n">
        <x:v>35</x:v>
      </x:c>
      <x:c r="I1290" s="8" t="n">
        <x:v>0</x:v>
      </x:c>
      <x:c r="J1290" s="8" t="n">
        <x:v>0</x:v>
      </x:c>
      <x:c r="K1290" s="8" t="n">
        <x:v>1502</x:v>
      </x:c>
      <x:c r="L1290" s="1" t="str">
        <x:v>Нет</x:v>
      </x:c>
      <x:c r="M1290" s="1" t="n">
        <x:v>0</x:v>
      </x:c>
    </x:row>
    <x:row r="1291">
      <x:c r="A1291" s="1" t="str">
        <x:v>256339616</x:v>
      </x:c>
      <x:c r="B1291" s="1" t="str">
        <x:v>futbolkaoverhlop/белый</x:v>
      </x:c>
      <x:c r="C1291" s="1" t="str">
        <x:v>Футболки</x:v>
      </x:c>
      <x:c r="D1291" s="9" t="n">
        <x:v>9.7</x:v>
      </x:c>
      <x:c r="E1291" s="8" t="n">
        <x:v>5101</x:v>
      </x:c>
      <x:c r="F1291" s="8" t="n">
        <x:v>158</x:v>
      </x:c>
      <x:c r="G1291" s="8" t="n">
        <x:v>38950</x:v>
      </x:c>
      <x:c r="H1291" s="8" t="n">
        <x:v>2285</x:v>
      </x:c>
      <x:c r="I1291" s="8" t="n">
        <x:v>0</x:v>
      </x:c>
      <x:c r="J1291" s="8" t="n">
        <x:v>12</x:v>
      </x:c>
      <x:c r="K1291" s="8" t="n">
        <x:v>950</x:v>
      </x:c>
      <x:c r="L1291" s="1" t="str">
        <x:v>Нет</x:v>
      </x:c>
      <x:c r="M1291" s="1" t="n">
        <x:v>5700</x:v>
      </x:c>
    </x:row>
    <x:row r="1292">
      <x:c r="A1292" s="1" t="str">
        <x:v>321748107</x:v>
      </x:c>
      <x:c r="B1292" s="1" t="str">
        <x:v>ubkamaxi3P-S14/бордовый</x:v>
      </x:c>
      <x:c r="C1292" s="1" t="str">
        <x:v>Юбки</x:v>
      </x:c>
      <x:c r="D1292" s="9" t="n">
        <x:v>8.4</x:v>
      </x:c>
      <x:c r="E1292" s="8" t="n">
        <x:v>18028</x:v>
      </x:c>
      <x:c r="F1292" s="8" t="n">
        <x:v>74</x:v>
      </x:c>
      <x:c r="G1292" s="8" t="n">
        <x:v>38453</x:v>
      </x:c>
      <x:c r="H1292" s="8" t="n">
        <x:v>761</x:v>
      </x:c>
      <x:c r="I1292" s="8" t="n">
        <x:v>0</x:v>
      </x:c>
      <x:c r="J1292" s="8" t="n">
        <x:v>51</x:v>
      </x:c>
      <x:c r="K1292" s="8" t="n">
        <x:v>1745</x:v>
      </x:c>
      <x:c r="L1292" s="1" t="str">
        <x:v>Нет</x:v>
      </x:c>
      <x:c r="M1292" s="1" t="n">
        <x:v>20640</x:v>
      </x:c>
    </x:row>
    <x:row r="1293">
      <x:c r="A1293" s="1" t="str">
        <x:v>181354061</x:v>
      </x:c>
      <x:c r="B1293" s="1" t="str">
        <x:v>sweater/черный</x:v>
      </x:c>
      <x:c r="C1293" s="1" t="str">
        <x:v>Свитшоты</x:v>
      </x:c>
      <x:c r="D1293" s="9" t="n">
        <x:v>9.7</x:v>
      </x:c>
      <x:c r="E1293" s="8" t="n">
        <x:v>2833</x:v>
      </x:c>
      <x:c r="F1293" s="8" t="n">
        <x:v>41</x:v>
      </x:c>
      <x:c r="G1293" s="8" t="n">
        <x:v>38412</x:v>
      </x:c>
      <x:c r="H1293" s="8" t="n">
        <x:v>47</x:v>
      </x:c>
      <x:c r="I1293" s="8" t="n">
        <x:v>0</x:v>
      </x:c>
      <x:c r="J1293" s="8" t="n">
        <x:v>80</x:v>
      </x:c>
      <x:c r="K1293" s="8" t="n">
        <x:v>2281</x:v>
      </x:c>
      <x:c r="L1293" s="1" t="str">
        <x:v>Нет</x:v>
      </x:c>
      <x:c r="M1293" s="1" t="n">
        <x:v>91290</x:v>
      </x:c>
    </x:row>
    <x:row r="1294">
      <x:c r="A1294" s="1" t="str">
        <x:v>195712679</x:v>
      </x:c>
      <x:c r="B1294" s="1" t="str">
        <x:v>sweater/синий</x:v>
      </x:c>
      <x:c r="C1294" s="1" t="str">
        <x:v>Свитшоты</x:v>
      </x:c>
      <x:c r="D1294" s="9" t="n">
        <x:v>9.7</x:v>
      </x:c>
      <x:c r="E1294" s="8" t="n">
        <x:v>2622</x:v>
      </x:c>
      <x:c r="F1294" s="8" t="n">
        <x:v>38</x:v>
      </x:c>
      <x:c r="G1294" s="8" t="n">
        <x:v>38396</x:v>
      </x:c>
      <x:c r="H1294" s="8" t="n">
        <x:v>204</x:v>
      </x:c>
      <x:c r="I1294" s="8" t="n">
        <x:v>0</x:v>
      </x:c>
      <x:c r="J1294" s="8" t="n">
        <x:v>137</x:v>
      </x:c>
      <x:c r="K1294" s="8" t="n">
        <x:v>2255</x:v>
      </x:c>
      <x:c r="L1294" s="1" t="str">
        <x:v>Нет</x:v>
      </x:c>
      <x:c r="M1294" s="1" t="n">
        <x:v>111690</x:v>
      </x:c>
    </x:row>
    <x:row r="1295">
      <x:c r="A1295" s="1" t="str">
        <x:v>317227917</x:v>
      </x:c>
      <x:c r="B1295" s="1" t="str">
        <x:v>bazakulgirl/белый</x:v>
      </x:c>
      <x:c r="C1295" s="1" t="str">
        <x:v>Футболки</x:v>
      </x:c>
      <x:c r="D1295" s="9" t="n">
        <x:v>9.5</x:v>
      </x:c>
      <x:c r="E1295" s="8" t="n">
        <x:v>3258</x:v>
      </x:c>
      <x:c r="F1295" s="8" t="n">
        <x:v>101</x:v>
      </x:c>
      <x:c r="G1295" s="8" t="n">
        <x:v>38381</x:v>
      </x:c>
      <x:c r="H1295" s="8" t="n">
        <x:v>974</x:v>
      </x:c>
      <x:c r="I1295" s="8" t="n">
        <x:v>0</x:v>
      </x:c>
      <x:c r="J1295" s="8" t="n">
        <x:v>24</x:v>
      </x:c>
      <x:c r="K1295" s="8" t="n">
        <x:v>565</x:v>
      </x:c>
      <x:c r="L1295" s="1" t="str">
        <x:v>Нет</x:v>
      </x:c>
      <x:c r="M1295" s="1" t="n">
        <x:v>9574</x:v>
      </x:c>
    </x:row>
    <x:row r="1296">
      <x:c r="A1296" s="1" t="str">
        <x:v>237884232</x:v>
      </x:c>
      <x:c r="B1296" s="1" t="str">
        <x:v>2Nlongsliv/молочный</x:v>
      </x:c>
      <x:c r="C1296" s="1" t="str">
        <x:v>Лонгсливы</x:v>
      </x:c>
      <x:c r="D1296" s="9" t="n">
        <x:v>8.7</x:v>
      </x:c>
      <x:c r="E1296" s="8" t="n">
        <x:v>3994</x:v>
      </x:c>
      <x:c r="F1296" s="8" t="n">
        <x:v>55</x:v>
      </x:c>
      <x:c r="G1296" s="8" t="n">
        <x:v>38296</x:v>
      </x:c>
      <x:c r="H1296" s="8" t="n">
        <x:v>1</x:v>
      </x:c>
      <x:c r="I1296" s="8" t="n">
        <x:v>0</x:v>
      </x:c>
      <x:c r="J1296" s="8" t="n">
        <x:v>51</x:v>
      </x:c>
      <x:c r="K1296" s="8" t="n">
        <x:v>1540</x:v>
      </x:c>
      <x:c r="L1296" s="1" t="str">
        <x:v>Нет</x:v>
      </x:c>
      <x:c r="M1296" s="1" t="n">
        <x:v>42304</x:v>
      </x:c>
    </x:row>
    <x:row r="1297">
      <x:c r="A1297" s="1" t="str">
        <x:v>229154439</x:v>
      </x:c>
      <x:c r="B1297" s="1" t="str">
        <x:v>futbolkamanX3/чер-бел-ден</x:v>
      </x:c>
      <x:c r="C1297" s="1" t="str">
        <x:v>Футболки</x:v>
      </x:c>
      <x:c r="D1297" s="9" t="n">
        <x:v>8.7</x:v>
      </x:c>
      <x:c r="E1297" s="8" t="n">
        <x:v>19718</x:v>
      </x:c>
      <x:c r="F1297" s="8" t="n">
        <x:v>34</x:v>
      </x:c>
      <x:c r="G1297" s="8" t="n">
        <x:v>38029</x:v>
      </x:c>
      <x:c r="H1297" s="8" t="n">
        <x:v>0</x:v>
      </x:c>
      <x:c r="I1297" s="8" t="n">
        <x:v>0</x:v>
      </x:c>
      <x:c r="J1297" s="8" t="n">
        <x:v>12</x:v>
      </x:c>
      <x:c r="K1297" s="8" t="n">
        <x:v>1913</x:v>
      </x:c>
      <x:c r="L1297" s="1" t="str">
        <x:v>Нет</x:v>
      </x:c>
      <x:c r="M1297" s="1" t="n">
        <x:v>11820</x:v>
      </x:c>
    </x:row>
    <x:row r="1298">
      <x:c r="A1298" s="1" t="str">
        <x:v>320414099</x:v>
      </x:c>
      <x:c r="B1298" s="1" t="str">
        <x:v>svitfix3F-77/песочный</x:v>
      </x:c>
      <x:c r="C1298" s="1" t="str">
        <x:v>Свитшоты</x:v>
      </x:c>
      <x:c r="D1298" s="9" t="n">
        <x:v>8.7</x:v>
      </x:c>
      <x:c r="E1298" s="8" t="n">
        <x:v>15275</x:v>
      </x:c>
      <x:c r="F1298" s="8" t="n">
        <x:v>80</x:v>
      </x:c>
      <x:c r="G1298" s="8" t="n">
        <x:v>37989</x:v>
      </x:c>
      <x:c r="H1298" s="8" t="n">
        <x:v>35</x:v>
      </x:c>
      <x:c r="I1298" s="8" t="n">
        <x:v>0</x:v>
      </x:c>
      <x:c r="J1298" s="8" t="n">
        <x:v>0</x:v>
      </x:c>
      <x:c r="K1298" s="8" t="n">
        <x:v>2233</x:v>
      </x:c>
      <x:c r="L1298" s="1" t="str">
        <x:v>Нет</x:v>
      </x:c>
      <x:c r="M1298" s="1" t="n">
        <x:v>0</x:v>
      </x:c>
    </x:row>
    <x:row r="1299">
      <x:c r="A1299" s="1" t="str">
        <x:v>209915692</x:v>
      </x:c>
      <x:c r="B1299" s="1" t="str">
        <x:v>shorty/молочный</x:v>
      </x:c>
      <x:c r="C1299" s="1" t="str">
        <x:v>Шорты</x:v>
      </x:c>
      <x:c r="D1299" s="9" t="n">
        <x:v>6.9</x:v>
      </x:c>
      <x:c r="E1299" s="8" t="n">
        <x:v>5565</x:v>
      </x:c>
      <x:c r="F1299" s="8" t="n">
        <x:v>115</x:v>
      </x:c>
      <x:c r="G1299" s="8" t="n">
        <x:v>37589</x:v>
      </x:c>
      <x:c r="H1299" s="8" t="n">
        <x:v>118</x:v>
      </x:c>
      <x:c r="I1299" s="8" t="n">
        <x:v>0</x:v>
      </x:c>
      <x:c r="J1299" s="8" t="n">
        <x:v>82</x:v>
      </x:c>
      <x:c r="K1299" s="8" t="n">
        <x:v>1047</x:v>
      </x:c>
      <x:c r="L1299" s="1" t="str">
        <x:v>Нет</x:v>
      </x:c>
      <x:c r="M1299" s="1" t="n">
        <x:v>33300</x:v>
      </x:c>
    </x:row>
    <x:row r="1300">
      <x:c r="A1300" s="1" t="str">
        <x:v>235997595</x:v>
      </x:c>
      <x:c r="B1300" s="1" t="str">
        <x:v>bazaboy/синий</x:v>
      </x:c>
      <x:c r="C1300" s="1" t="str">
        <x:v>Футболки</x:v>
      </x:c>
      <x:c r="D1300" s="9" t="n">
        <x:v>9.5</x:v>
      </x:c>
      <x:c r="E1300" s="8" t="n">
        <x:v>4399</x:v>
      </x:c>
      <x:c r="F1300" s="8" t="n">
        <x:v>125</x:v>
      </x:c>
      <x:c r="G1300" s="8" t="n">
        <x:v>37233</x:v>
      </x:c>
      <x:c r="H1300" s="8" t="n">
        <x:v>225</x:v>
      </x:c>
      <x:c r="I1300" s="8" t="n">
        <x:v>0</x:v>
      </x:c>
      <x:c r="J1300" s="8" t="n">
        <x:v>14</x:v>
      </x:c>
      <x:c r="K1300" s="8" t="n">
        <x:v>483</x:v>
      </x:c>
      <x:c r="L1300" s="1" t="str">
        <x:v>Нет</x:v>
      </x:c>
      <x:c r="M1300" s="1" t="n">
        <x:v>4897</x:v>
      </x:c>
    </x:row>
    <x:row r="1301">
      <x:c r="A1301" s="1" t="str">
        <x:v>249083832</x:v>
      </x:c>
      <x:c r="B1301" s="1" t="str">
        <x:v>hudiprint/Cosmic-151/молочный</x:v>
      </x:c>
      <x:c r="C1301" s="1" t="str">
        <x:v>Худи</x:v>
      </x:c>
      <x:c r="D1301" s="9" t="n">
        <x:v>8.7</x:v>
      </x:c>
      <x:c r="E1301" s="8" t="n">
        <x:v>19840</x:v>
      </x:c>
      <x:c r="F1301" s="8" t="n">
        <x:v>53</x:v>
      </x:c>
      <x:c r="G1301" s="8" t="n">
        <x:v>36589</x:v>
      </x:c>
      <x:c r="H1301" s="8" t="n">
        <x:v>277</x:v>
      </x:c>
      <x:c r="I1301" s="8" t="n">
        <x:v>0</x:v>
      </x:c>
      <x:c r="J1301" s="8" t="n">
        <x:v>102</x:v>
      </x:c>
      <x:c r="K1301" s="8" t="n">
        <x:v>2441</x:v>
      </x:c>
      <x:c r="L1301" s="1" t="str">
        <x:v>Нет</x:v>
      </x:c>
      <x:c r="M1301" s="1" t="n">
        <x:v>90650</x:v>
      </x:c>
    </x:row>
    <x:row r="1302">
      <x:c r="A1302" s="1" t="str">
        <x:v>193733331</x:v>
      </x:c>
      <x:c r="B1302" s="1" t="str">
        <x:v>sweater/бежевый</x:v>
      </x:c>
      <x:c r="C1302" s="1" t="str">
        <x:v>Свитшоты</x:v>
      </x:c>
      <x:c r="D1302" s="9" t="n">
        <x:v>9.7</x:v>
      </x:c>
      <x:c r="E1302" s="8" t="n">
        <x:v>5210</x:v>
      </x:c>
      <x:c r="F1302" s="8" t="n">
        <x:v>62</x:v>
      </x:c>
      <x:c r="G1302" s="8" t="n">
        <x:v>36538</x:v>
      </x:c>
      <x:c r="H1302" s="8" t="n">
        <x:v>264</x:v>
      </x:c>
      <x:c r="I1302" s="8" t="n">
        <x:v>0</x:v>
      </x:c>
      <x:c r="J1302" s="8" t="n">
        <x:v>187</x:v>
      </x:c>
      <x:c r="K1302" s="8" t="n">
        <x:v>2289</x:v>
      </x:c>
      <x:c r="L1302" s="1" t="str">
        <x:v>Нет</x:v>
      </x:c>
      <x:c r="M1302" s="1" t="n">
        <x:v>115596</x:v>
      </x:c>
    </x:row>
    <x:row r="1303">
      <x:c r="A1303" s="1" t="str">
        <x:v>195712676</x:v>
      </x:c>
      <x:c r="B1303" s="1" t="str">
        <x:v>sweater/деним</x:v>
      </x:c>
      <x:c r="C1303" s="1" t="str">
        <x:v>Свитшоты</x:v>
      </x:c>
      <x:c r="D1303" s="9" t="n">
        <x:v>7.7</x:v>
      </x:c>
      <x:c r="E1303" s="8" t="n">
        <x:v>6405</x:v>
      </x:c>
      <x:c r="F1303" s="8" t="n">
        <x:v>58</x:v>
      </x:c>
      <x:c r="G1303" s="8" t="n">
        <x:v>36423</x:v>
      </x:c>
      <x:c r="H1303" s="8" t="n">
        <x:v>202</x:v>
      </x:c>
      <x:c r="I1303" s="8" t="n">
        <x:v>0</x:v>
      </x:c>
      <x:c r="J1303" s="8" t="n">
        <x:v>104</x:v>
      </x:c>
      <x:c r="K1303" s="8" t="n">
        <x:v>2307</x:v>
      </x:c>
      <x:c r="L1303" s="1" t="str">
        <x:v>Нет</x:v>
      </x:c>
      <x:c r="M1303" s="1" t="n">
        <x:v>79220</x:v>
      </x:c>
    </x:row>
    <x:row r="1304">
      <x:c r="A1304" s="1" t="str">
        <x:v>344505960</x:v>
      </x:c>
      <x:c r="B1304" s="1" t="str">
        <x:v>malyshkabasic/красный</x:v>
      </x:c>
      <x:c r="C1304" s="1" t="str">
        <x:v>Футболки</x:v>
      </x:c>
      <x:c r="D1304" s="9" t="n">
        <x:v>7.9</x:v>
      </x:c>
      <x:c r="E1304" s="8" t="n">
        <x:v>36166</x:v>
      </x:c>
      <x:c r="F1304" s="8" t="n">
        <x:v>206</x:v>
      </x:c>
      <x:c r="G1304" s="8" t="n">
        <x:v>35620</x:v>
      </x:c>
      <x:c r="H1304" s="8" t="n">
        <x:v>99</x:v>
      </x:c>
      <x:c r="I1304" s="8" t="n">
        <x:v>0</x:v>
      </x:c>
      <x:c r="J1304" s="8" t="n">
        <x:v>0</x:v>
      </x:c>
      <x:c r="K1304" s="8" t="n">
        <x:v>665</x:v>
      </x:c>
      <x:c r="L1304" s="1" t="str">
        <x:v>Нет</x:v>
      </x:c>
      <x:c r="M1304" s="1" t="n">
        <x:v>0</x:v>
      </x:c>
    </x:row>
    <x:row r="1305">
      <x:c r="A1305" s="1" t="str">
        <x:v>245583526</x:v>
      </x:c>
      <x:c r="B1305" s="1" t="str">
        <x:v>hudiprint/Prosecco2-112/молочный</x:v>
      </x:c>
      <x:c r="C1305" s="1" t="str">
        <x:v>Худи</x:v>
      </x:c>
      <x:c r="D1305" s="9" t="n">
        <x:v>9.7</x:v>
      </x:c>
      <x:c r="E1305" s="8" t="n">
        <x:v>4663</x:v>
      </x:c>
      <x:c r="F1305" s="8" t="n">
        <x:v>32</x:v>
      </x:c>
      <x:c r="G1305" s="8" t="n">
        <x:v>35451</x:v>
      </x:c>
      <x:c r="H1305" s="8" t="n">
        <x:v>0</x:v>
      </x:c>
      <x:c r="I1305" s="8" t="n">
        <x:v>0</x:v>
      </x:c>
      <x:c r="J1305" s="8" t="n">
        <x:v>74</x:v>
      </x:c>
      <x:c r="K1305" s="8" t="n">
        <x:v>2734</x:v>
      </x:c>
      <x:c r="L1305" s="1" t="str">
        <x:v>Нет</x:v>
      </x:c>
      <x:c r="M1305" s="1" t="n">
        <x:v>90101</x:v>
      </x:c>
    </x:row>
    <x:row r="1306">
      <x:c r="A1306" s="1" t="str">
        <x:v>201772612</x:v>
      </x:c>
      <x:c r="B1306" s="1" t="str">
        <x:v>svitshotprint/MoreSelf-44/молочный</x:v>
      </x:c>
      <x:c r="C1306" s="1" t="str">
        <x:v>Свитшоты</x:v>
      </x:c>
      <x:c r="D1306" s="9" t="n">
        <x:v>8.7</x:v>
      </x:c>
      <x:c r="E1306" s="8" t="n">
        <x:v>11513</x:v>
      </x:c>
      <x:c r="F1306" s="8" t="n">
        <x:v>64</x:v>
      </x:c>
      <x:c r="G1306" s="8" t="n">
        <x:v>35417</x:v>
      </x:c>
      <x:c r="H1306" s="8" t="n">
        <x:v>374</x:v>
      </x:c>
      <x:c r="I1306" s="8" t="n">
        <x:v>0</x:v>
      </x:c>
      <x:c r="J1306" s="8" t="n">
        <x:v>53</x:v>
      </x:c>
      <x:c r="K1306" s="8" t="n">
        <x:v>2357</x:v>
      </x:c>
      <x:c r="L1306" s="1" t="str">
        <x:v>Нет</x:v>
      </x:c>
      <x:c r="M1306" s="1" t="n">
        <x:v>50400</x:v>
      </x:c>
    </x:row>
    <x:row r="1307">
      <x:c r="A1307" s="1" t="str">
        <x:v>321748994</x:v>
      </x:c>
      <x:c r="B1307" s="1" t="str">
        <x:v>ubkamaxi3P-S14/темно-серый</x:v>
      </x:c>
      <x:c r="C1307" s="1" t="str">
        <x:v>Юбки</x:v>
      </x:c>
      <x:c r="D1307" s="9" t="n">
        <x:v>8.4</x:v>
      </x:c>
      <x:c r="E1307" s="8" t="n">
        <x:v>8792</x:v>
      </x:c>
      <x:c r="F1307" s="8" t="n">
        <x:v>78</x:v>
      </x:c>
      <x:c r="G1307" s="8" t="n">
        <x:v>35382</x:v>
      </x:c>
      <x:c r="H1307" s="8" t="n">
        <x:v>479</x:v>
      </x:c>
      <x:c r="I1307" s="8" t="n">
        <x:v>0</x:v>
      </x:c>
      <x:c r="J1307" s="8" t="n">
        <x:v>0</x:v>
      </x:c>
      <x:c r="K1307" s="8" t="n">
        <x:v>1854</x:v>
      </x:c>
      <x:c r="L1307" s="1" t="str">
        <x:v>Нет</x:v>
      </x:c>
      <x:c r="M1307" s="1" t="n">
        <x:v>0</x:v>
      </x:c>
    </x:row>
    <x:row r="1308">
      <x:c r="A1308" s="1" t="str">
        <x:v>257064364</x:v>
      </x:c>
      <x:c r="B1308" s="1" t="str">
        <x:v>longoverprint/Tiger-216/молочный</x:v>
      </x:c>
      <x:c r="C1308" s="1" t="str">
        <x:v>Лонгсливы</x:v>
      </x:c>
      <x:c r="D1308" s="9" t="n">
        <x:v>8.7</x:v>
      </x:c>
      <x:c r="E1308" s="8" t="n">
        <x:v>4650</x:v>
      </x:c>
      <x:c r="F1308" s="8" t="n">
        <x:v>42</x:v>
      </x:c>
      <x:c r="G1308" s="8" t="n">
        <x:v>35378</x:v>
      </x:c>
      <x:c r="H1308" s="8" t="n">
        <x:v>1336</x:v>
      </x:c>
      <x:c r="I1308" s="8" t="n">
        <x:v>0</x:v>
      </x:c>
      <x:c r="J1308" s="8" t="n">
        <x:v>556</x:v>
      </x:c>
      <x:c r="K1308" s="8" t="n">
        <x:v>1534</x:v>
      </x:c>
      <x:c r="L1308" s="1" t="str">
        <x:v>Нет</x:v>
      </x:c>
      <x:c r="M1308" s="1" t="n">
        <x:v>487719</x:v>
      </x:c>
    </x:row>
    <x:row r="1309">
      <x:c r="A1309" s="1" t="str">
        <x:v>321815229</x:v>
      </x:c>
      <x:c r="B1309" s="1" t="str">
        <x:v>toprib3R-82/белый</x:v>
      </x:c>
      <x:c r="C1309" s="1" t="str">
        <x:v>Топы</x:v>
      </x:c>
      <x:c r="D1309" s="9" t="n">
        <x:v>8.7</x:v>
      </x:c>
      <x:c r="E1309" s="8" t="n">
        <x:v>16700</x:v>
      </x:c>
      <x:c r="F1309" s="8" t="n">
        <x:v>186</x:v>
      </x:c>
      <x:c r="G1309" s="8" t="n">
        <x:v>35231</x:v>
      </x:c>
      <x:c r="H1309" s="8" t="n">
        <x:v>886</x:v>
      </x:c>
      <x:c r="I1309" s="8" t="n">
        <x:v>0</x:v>
      </x:c>
      <x:c r="J1309" s="8" t="n">
        <x:v>0</x:v>
      </x:c>
      <x:c r="K1309" s="8" t="n">
        <x:v>552</x:v>
      </x:c>
      <x:c r="L1309" s="1" t="str">
        <x:v>Нет</x:v>
      </x:c>
      <x:c r="M1309" s="1" t="n">
        <x:v>0</x:v>
      </x:c>
    </x:row>
    <x:row r="1310">
      <x:c r="A1310" s="1" t="str">
        <x:v>195712686</x:v>
      </x:c>
      <x:c r="B1310" s="1" t="str">
        <x:v>sweater/голубой</x:v>
      </x:c>
      <x:c r="C1310" s="1" t="str">
        <x:v>Свитшоты</x:v>
      </x:c>
      <x:c r="D1310" s="9" t="n">
        <x:v>9.7</x:v>
      </x:c>
      <x:c r="E1310" s="8" t="n">
        <x:v>3041</x:v>
      </x:c>
      <x:c r="F1310" s="8" t="n">
        <x:v>38</x:v>
      </x:c>
      <x:c r="G1310" s="8" t="n">
        <x:v>35047</x:v>
      </x:c>
      <x:c r="H1310" s="8" t="n">
        <x:v>5</x:v>
      </x:c>
      <x:c r="I1310" s="8" t="n">
        <x:v>0</x:v>
      </x:c>
      <x:c r="J1310" s="8" t="n">
        <x:v>124</x:v>
      </x:c>
      <x:c r="K1310" s="8" t="n">
        <x:v>2204</x:v>
      </x:c>
      <x:c r="L1310" s="1" t="str">
        <x:v>Нет</x:v>
      </x:c>
      <x:c r="M1310" s="1" t="n">
        <x:v>86486</x:v>
      </x:c>
    </x:row>
    <x:row r="1311">
      <x:c r="A1311" s="1" t="str">
        <x:v>116725960</x:v>
      </x:c>
      <x:c r="B1311" s="1" t="str">
        <x:v>longsliv/пыльнаяроза</x:v>
      </x:c>
      <x:c r="C1311" s="1" t="str">
        <x:v>Лонгсливы</x:v>
      </x:c>
      <x:c r="D1311" s="9" t="n">
        <x:v>9.7</x:v>
      </x:c>
      <x:c r="E1311" s="8" t="n">
        <x:v>13301</x:v>
      </x:c>
      <x:c r="F1311" s="8" t="n">
        <x:v>204</x:v>
      </x:c>
      <x:c r="G1311" s="8" t="n">
        <x:v>35020</x:v>
      </x:c>
      <x:c r="H1311" s="8" t="n">
        <x:v>83</x:v>
      </x:c>
      <x:c r="I1311" s="8" t="n">
        <x:v>0</x:v>
      </x:c>
      <x:c r="J1311" s="8" t="n">
        <x:v>138</x:v>
      </x:c>
      <x:c r="K1311" s="8" t="n">
        <x:v>764</x:v>
      </x:c>
      <x:c r="L1311" s="1" t="str">
        <x:v>Нет</x:v>
      </x:c>
      <x:c r="M1311" s="1" t="n">
        <x:v>44046</x:v>
      </x:c>
    </x:row>
    <x:row r="1312">
      <x:c r="A1312" s="1" t="str">
        <x:v>209914905</x:v>
      </x:c>
      <x:c r="B1312" s="1" t="str">
        <x:v>longsvobod/сероваторозовый</x:v>
      </x:c>
      <x:c r="C1312" s="1" t="str">
        <x:v>Лонгсливы</x:v>
      </x:c>
      <x:c r="D1312" s="9" t="n">
        <x:v>7.2</x:v>
      </x:c>
      <x:c r="E1312" s="8" t="n">
        <x:v>6148</x:v>
      </x:c>
      <x:c r="F1312" s="8" t="n">
        <x:v>91</x:v>
      </x:c>
      <x:c r="G1312" s="8" t="n">
        <x:v>35008</x:v>
      </x:c>
      <x:c r="H1312" s="8" t="n">
        <x:v>103</x:v>
      </x:c>
      <x:c r="I1312" s="8" t="n">
        <x:v>0</x:v>
      </x:c>
      <x:c r="J1312" s="8" t="n">
        <x:v>256</x:v>
      </x:c>
      <x:c r="K1312" s="8" t="n">
        <x:v>1021</x:v>
      </x:c>
      <x:c r="L1312" s="1" t="str">
        <x:v>Нет</x:v>
      </x:c>
      <x:c r="M1312" s="1" t="n">
        <x:v>116144</x:v>
      </x:c>
    </x:row>
    <x:row r="1313">
      <x:c r="A1313" s="1" t="str">
        <x:v>316510762</x:v>
      </x:c>
      <x:c r="B1313" s="1" t="str">
        <x:v>brukiboy/коричневый</x:v>
      </x:c>
      <x:c r="C1313" s="1" t="str">
        <x:v>Брюки</x:v>
      </x:c>
      <x:c r="D1313" s="9" t="n">
        <x:v>7.7</x:v>
      </x:c>
      <x:c r="E1313" s="8" t="n">
        <x:v>5426</x:v>
      </x:c>
      <x:c r="F1313" s="8" t="n">
        <x:v>71</x:v>
      </x:c>
      <x:c r="G1313" s="8" t="n">
        <x:v>34853</x:v>
      </x:c>
      <x:c r="H1313" s="8" t="n">
        <x:v>198</x:v>
      </x:c>
      <x:c r="I1313" s="8" t="n">
        <x:v>0</x:v>
      </x:c>
      <x:c r="J1313" s="8" t="n">
        <x:v>33</x:v>
      </x:c>
      <x:c r="K1313" s="8" t="n">
        <x:v>1065</x:v>
      </x:c>
      <x:c r="L1313" s="1" t="str">
        <x:v>Нет</x:v>
      </x:c>
      <x:c r="M1313" s="1" t="n">
        <x:v>22050</x:v>
      </x:c>
    </x:row>
    <x:row r="1314">
      <x:c r="A1314" s="1" t="str">
        <x:v>313770735</x:v>
      </x:c>
      <x:c r="B1314" s="1" t="str">
        <x:v>futbolkagirl/пудровый</x:v>
      </x:c>
      <x:c r="C1314" s="1" t="str">
        <x:v>Футболки</x:v>
      </x:c>
      <x:c r="D1314" s="9" t="n">
        <x:v>10</x:v>
      </x:c>
      <x:c r="E1314" s="8" t="n">
        <x:v>18391</x:v>
      </x:c>
      <x:c r="F1314" s="8" t="n">
        <x:v>102</x:v>
      </x:c>
      <x:c r="G1314" s="8" t="n">
        <x:v>34555</x:v>
      </x:c>
      <x:c r="H1314" s="8" t="n">
        <x:v>0</x:v>
      </x:c>
      <x:c r="I1314" s="8" t="n">
        <x:v>0</x:v>
      </x:c>
      <x:c r="J1314" s="8" t="n">
        <x:v>106</x:v>
      </x:c>
      <x:c r="K1314" s="8" t="n">
        <x:v>481</x:v>
      </x:c>
      <x:c r="L1314" s="1" t="str">
        <x:v>Нет</x:v>
      </x:c>
      <x:c r="M1314" s="1" t="n">
        <x:v>38363</x:v>
      </x:c>
    </x:row>
    <x:row r="1315">
      <x:c r="A1315" s="1" t="str">
        <x:v>229651027</x:v>
      </x:c>
      <x:c r="B1315" s="1" t="str">
        <x:v>kostumgirl/черный</x:v>
      </x:c>
      <x:c r="C1315" s="1" t="str">
        <x:v>Костюмы</x:v>
      </x:c>
      <x:c r="D1315" s="9" t="n">
        <x:v>9.7</x:v>
      </x:c>
      <x:c r="E1315" s="8" t="n">
        <x:v>4820</x:v>
      </x:c>
      <x:c r="F1315" s="8" t="n">
        <x:v>23</x:v>
      </x:c>
      <x:c r="G1315" s="8" t="n">
        <x:v>34252</x:v>
      </x:c>
      <x:c r="H1315" s="8" t="n">
        <x:v>77</x:v>
      </x:c>
      <x:c r="I1315" s="8" t="n">
        <x:v>0</x:v>
      </x:c>
      <x:c r="J1315" s="8" t="n">
        <x:v>24</x:v>
      </x:c>
      <x:c r="K1315" s="8" t="n">
        <x:v>2275</x:v>
      </x:c>
      <x:c r="L1315" s="1" t="str">
        <x:v>Нет</x:v>
      </x:c>
      <x:c r="M1315" s="1" t="n">
        <x:v>34500</x:v>
      </x:c>
    </x:row>
    <x:row r="1316">
      <x:c r="A1316" s="1" t="str">
        <x:v>205604804</x:v>
      </x:c>
      <x:c r="B1316" s="1" t="str">
        <x:v>hudiman2/черный</x:v>
      </x:c>
      <x:c r="C1316" s="1" t="str">
        <x:v>Худи</x:v>
      </x:c>
      <x:c r="D1316" s="9" t="n">
        <x:v>8.7</x:v>
      </x:c>
      <x:c r="E1316" s="8" t="n">
        <x:v>3640</x:v>
      </x:c>
      <x:c r="F1316" s="8" t="n">
        <x:v>33</x:v>
      </x:c>
      <x:c r="G1316" s="8" t="n">
        <x:v>33733</x:v>
      </x:c>
      <x:c r="H1316" s="8" t="n">
        <x:v>45</x:v>
      </x:c>
      <x:c r="I1316" s="8" t="n">
        <x:v>0</x:v>
      </x:c>
      <x:c r="J1316" s="8" t="n">
        <x:v>152</x:v>
      </x:c>
      <x:c r="K1316" s="8" t="n">
        <x:v>2422</x:v>
      </x:c>
      <x:c r="L1316" s="1" t="str">
        <x:v>Нет</x:v>
      </x:c>
      <x:c r="M1316" s="1" t="n">
        <x:v>191102</x:v>
      </x:c>
    </x:row>
    <x:row r="1317">
      <x:c r="A1317" s="1" t="str">
        <x:v>204476261</x:v>
      </x:c>
      <x:c r="B1317" s="1" t="str">
        <x:v>hudimanprint/TeloX6-69/черный</x:v>
      </x:c>
      <x:c r="C1317" s="1" t="str">
        <x:v>Худи</x:v>
      </x:c>
      <x:c r="D1317" s="9" t="n">
        <x:v>8.7</x:v>
      </x:c>
      <x:c r="E1317" s="8" t="n">
        <x:v>10857</x:v>
      </x:c>
      <x:c r="F1317" s="8" t="n">
        <x:v>28</x:v>
      </x:c>
      <x:c r="G1317" s="8" t="n">
        <x:v>33260</x:v>
      </x:c>
      <x:c r="H1317" s="8" t="n">
        <x:v>190</x:v>
      </x:c>
      <x:c r="I1317" s="8" t="n">
        <x:v>0</x:v>
      </x:c>
      <x:c r="J1317" s="8" t="n">
        <x:v>37</x:v>
      </x:c>
      <x:c r="K1317" s="8" t="n">
        <x:v>2375</x:v>
      </x:c>
      <x:c r="L1317" s="1" t="str">
        <x:v>Нет</x:v>
      </x:c>
      <x:c r="M1317" s="1" t="n">
        <x:v>47250</x:v>
      </x:c>
    </x:row>
    <x:row r="1318">
      <x:c r="A1318" s="1" t="str">
        <x:v>234109066</x:v>
      </x:c>
      <x:c r="B1318" s="1" t="str">
        <x:v>futbolkaprint/TheMovementClub-140/темно-синий</x:v>
      </x:c>
      <x:c r="C1318" s="1" t="str">
        <x:v>Футболки</x:v>
      </x:c>
      <x:c r="D1318" s="9" t="n">
        <x:v>9.7</x:v>
      </x:c>
      <x:c r="E1318" s="8" t="n">
        <x:v>3107</x:v>
      </x:c>
      <x:c r="F1318" s="8" t="n">
        <x:v>51</x:v>
      </x:c>
      <x:c r="G1318" s="8" t="n">
        <x:v>33192</x:v>
      </x:c>
      <x:c r="H1318" s="8" t="n">
        <x:v>0</x:v>
      </x:c>
      <x:c r="I1318" s="8" t="n">
        <x:v>0</x:v>
      </x:c>
      <x:c r="J1318" s="8" t="n">
        <x:v>502</x:v>
      </x:c>
      <x:c r="K1318" s="8" t="n">
        <x:v>1240</x:v>
      </x:c>
      <x:c r="L1318" s="1" t="str">
        <x:v>Нет</x:v>
      </x:c>
      <x:c r="M1318" s="1" t="n">
        <x:v>358610</x:v>
      </x:c>
    </x:row>
    <x:row r="1319">
      <x:c r="A1319" s="1" t="str">
        <x:v>209914955</x:v>
      </x:c>
      <x:c r="B1319" s="1" t="str">
        <x:v>longsvobod/мандариновый</x:v>
      </x:c>
      <x:c r="C1319" s="1" t="str">
        <x:v>Лонгсливы</x:v>
      </x:c>
      <x:c r="D1319" s="9" t="n">
        <x:v>7.2</x:v>
      </x:c>
      <x:c r="E1319" s="8" t="n">
        <x:v>4606</x:v>
      </x:c>
      <x:c r="F1319" s="8" t="n">
        <x:v>97</x:v>
      </x:c>
      <x:c r="G1319" s="8" t="n">
        <x:v>32981</x:v>
      </x:c>
      <x:c r="H1319" s="8" t="n">
        <x:v>42</x:v>
      </x:c>
      <x:c r="I1319" s="8" t="n">
        <x:v>0</x:v>
      </x:c>
      <x:c r="J1319" s="8" t="n">
        <x:v>220</x:v>
      </x:c>
      <x:c r="K1319" s="8" t="n">
        <x:v>1054</x:v>
      </x:c>
      <x:c r="L1319" s="1" t="str">
        <x:v>Нет</x:v>
      </x:c>
      <x:c r="M1319" s="1" t="n">
        <x:v>85500</x:v>
      </x:c>
    </x:row>
    <x:row r="1320">
      <x:c r="A1320" s="1" t="str">
        <x:v>313770754</x:v>
      </x:c>
      <x:c r="B1320" s="1" t="str">
        <x:v>futbolkagirl/морскаяволна</x:v>
      </x:c>
      <x:c r="C1320" s="1" t="str">
        <x:v>Футболки</x:v>
      </x:c>
      <x:c r="D1320" s="9" t="n">
        <x:v>10</x:v>
      </x:c>
      <x:c r="E1320" s="8" t="n">
        <x:v>10136</x:v>
      </x:c>
      <x:c r="F1320" s="8" t="n">
        <x:v>86</x:v>
      </x:c>
      <x:c r="G1320" s="8" t="n">
        <x:v>32980</x:v>
      </x:c>
      <x:c r="H1320" s="8" t="n">
        <x:v>0</x:v>
      </x:c>
      <x:c r="I1320" s="8" t="n">
        <x:v>0</x:v>
      </x:c>
      <x:c r="J1320" s="8" t="n">
        <x:v>90</x:v>
      </x:c>
      <x:c r="K1320" s="8" t="n">
        <x:v>492</x:v>
      </x:c>
      <x:c r="L1320" s="1" t="str">
        <x:v>Нет</x:v>
      </x:c>
      <x:c r="M1320" s="1" t="n">
        <x:v>32680</x:v>
      </x:c>
    </x:row>
    <x:row r="1321">
      <x:c r="A1321" s="1" t="str">
        <x:v>195712678</x:v>
      </x:c>
      <x:c r="B1321" s="1" t="str">
        <x:v>sweater/салатовый</x:v>
      </x:c>
      <x:c r="C1321" s="1" t="str">
        <x:v>Свитшоты</x:v>
      </x:c>
      <x:c r="D1321" s="9" t="n">
        <x:v>9.7</x:v>
      </x:c>
      <x:c r="E1321" s="8" t="n">
        <x:v>4143</x:v>
      </x:c>
      <x:c r="F1321" s="8" t="n">
        <x:v>38</x:v>
      </x:c>
      <x:c r="G1321" s="8" t="n">
        <x:v>32876</x:v>
      </x:c>
      <x:c r="H1321" s="8" t="n">
        <x:v>142</x:v>
      </x:c>
      <x:c r="I1321" s="8" t="n">
        <x:v>0</x:v>
      </x:c>
      <x:c r="J1321" s="8" t="n">
        <x:v>85</x:v>
      </x:c>
      <x:c r="K1321" s="8" t="n">
        <x:v>2340</x:v>
      </x:c>
      <x:c r="L1321" s="1" t="str">
        <x:v>Нет</x:v>
      </x:c>
      <x:c r="M1321" s="1" t="n">
        <x:v>75320</x:v>
      </x:c>
    </x:row>
    <x:row r="1322">
      <x:c r="A1322" s="1" t="str">
        <x:v>313770743</x:v>
      </x:c>
      <x:c r="B1322" s="1" t="str">
        <x:v>futbolkaboy/какао</x:v>
      </x:c>
      <x:c r="C1322" s="1" t="str">
        <x:v>Футболки</x:v>
      </x:c>
      <x:c r="D1322" s="9" t="n">
        <x:v>10</x:v>
      </x:c>
      <x:c r="E1322" s="8" t="n">
        <x:v>7328</x:v>
      </x:c>
      <x:c r="F1322" s="8" t="n">
        <x:v>97</x:v>
      </x:c>
      <x:c r="G1322" s="8" t="n">
        <x:v>32871</x:v>
      </x:c>
      <x:c r="H1322" s="8" t="n">
        <x:v>333</x:v>
      </x:c>
      <x:c r="I1322" s="8" t="n">
        <x:v>0</x:v>
      </x:c>
      <x:c r="J1322" s="8" t="n">
        <x:v>274</x:v>
      </x:c>
      <x:c r="K1322" s="8" t="n">
        <x:v>477</x:v>
      </x:c>
      <x:c r="L1322" s="1" t="str">
        <x:v>Нет</x:v>
      </x:c>
      <x:c r="M1322" s="1" t="n">
        <x:v>103720</x:v>
      </x:c>
    </x:row>
    <x:row r="1323">
      <x:c r="A1323" s="1" t="str">
        <x:v>195712680</x:v>
      </x:c>
      <x:c r="B1323" s="1" t="str">
        <x:v>sweater/зеленый</x:v>
      </x:c>
      <x:c r="C1323" s="1" t="str">
        <x:v>Свитшоты</x:v>
      </x:c>
      <x:c r="D1323" s="9" t="n">
        <x:v>9.7</x:v>
      </x:c>
      <x:c r="E1323" s="8" t="n">
        <x:v>3476</x:v>
      </x:c>
      <x:c r="F1323" s="8" t="n">
        <x:v>51</x:v>
      </x:c>
      <x:c r="G1323" s="8" t="n">
        <x:v>32673</x:v>
      </x:c>
      <x:c r="H1323" s="8" t="n">
        <x:v>179</x:v>
      </x:c>
      <x:c r="I1323" s="8" t="n">
        <x:v>0</x:v>
      </x:c>
      <x:c r="J1323" s="8" t="n">
        <x:v>104</x:v>
      </x:c>
      <x:c r="K1323" s="8" t="n">
        <x:v>2158</x:v>
      </x:c>
      <x:c r="L1323" s="1" t="str">
        <x:v>Нет</x:v>
      </x:c>
      <x:c r="M1323" s="1" t="n">
        <x:v>82506</x:v>
      </x:c>
    </x:row>
    <x:row r="1324">
      <x:c r="A1324" s="1" t="str">
        <x:v>211803054</x:v>
      </x:c>
      <x:c r="B1324" s="1" t="str">
        <x:v>futbolkamanX2/черный-белый</x:v>
      </x:c>
      <x:c r="C1324" s="1" t="str">
        <x:v>Футболки</x:v>
      </x:c>
      <x:c r="D1324" s="9" t="n">
        <x:v>6</x:v>
      </x:c>
      <x:c r="E1324" s="8" t="n">
        <x:v>26703</x:v>
      </x:c>
      <x:c r="F1324" s="8" t="n">
        <x:v>45</x:v>
      </x:c>
      <x:c r="G1324" s="8" t="n">
        <x:v>32268</x:v>
      </x:c>
      <x:c r="H1324" s="8" t="n">
        <x:v>1</x:v>
      </x:c>
      <x:c r="I1324" s="8" t="n">
        <x:v>0</x:v>
      </x:c>
      <x:c r="J1324" s="8" t="n">
        <x:v>7</x:v>
      </x:c>
      <x:c r="K1324" s="8" t="n">
        <x:v>1234</x:v>
      </x:c>
      <x:c r="L1324" s="1" t="str">
        <x:v>Нет</x:v>
      </x:c>
      <x:c r="M1324" s="1" t="n">
        <x:v>4020</x:v>
      </x:c>
    </x:row>
    <x:row r="1325">
      <x:c r="A1325" s="1" t="str">
        <x:v>211332727</x:v>
      </x:c>
      <x:c r="B1325" s="1" t="str">
        <x:v>futbolkaboy/голубой</x:v>
      </x:c>
      <x:c r="C1325" s="1" t="str">
        <x:v>Футболки</x:v>
      </x:c>
      <x:c r="D1325" s="9" t="n">
        <x:v>10</x:v>
      </x:c>
      <x:c r="E1325" s="8" t="n">
        <x:v>5353</x:v>
      </x:c>
      <x:c r="F1325" s="8" t="n">
        <x:v>86</x:v>
      </x:c>
      <x:c r="G1325" s="8" t="n">
        <x:v>31691</x:v>
      </x:c>
      <x:c r="H1325" s="8" t="n">
        <x:v>11</x:v>
      </x:c>
      <x:c r="I1325" s="8" t="n">
        <x:v>0</x:v>
      </x:c>
      <x:c r="J1325" s="8" t="n">
        <x:v>66</x:v>
      </x:c>
      <x:c r="K1325" s="8" t="n">
        <x:v>471</x:v>
      </x:c>
      <x:c r="L1325" s="1" t="str">
        <x:v>Нет</x:v>
      </x:c>
      <x:c r="M1325" s="1" t="n">
        <x:v>26760</x:v>
      </x:c>
    </x:row>
    <x:row r="1326">
      <x:c r="A1326" s="1" t="str">
        <x:v>240808491</x:v>
      </x:c>
      <x:c r="B1326" s="1" t="str">
        <x:v>brukiboy/молочный</x:v>
      </x:c>
      <x:c r="C1326" s="1" t="str">
        <x:v>Брюки</x:v>
      </x:c>
      <x:c r="D1326" s="9" t="n">
        <x:v>7.7</x:v>
      </x:c>
      <x:c r="E1326" s="8" t="n">
        <x:v>6413</x:v>
      </x:c>
      <x:c r="F1326" s="8" t="n">
        <x:v>73</x:v>
      </x:c>
      <x:c r="G1326" s="8" t="n">
        <x:v>31654</x:v>
      </x:c>
      <x:c r="H1326" s="8" t="n">
        <x:v>159</x:v>
      </x:c>
      <x:c r="I1326" s="8" t="n">
        <x:v>0</x:v>
      </x:c>
      <x:c r="J1326" s="8" t="n">
        <x:v>107</x:v>
      </x:c>
      <x:c r="K1326" s="8" t="n">
        <x:v>1048</x:v>
      </x:c>
      <x:c r="L1326" s="1" t="str">
        <x:v>Нет</x:v>
      </x:c>
      <x:c r="M1326" s="1" t="n">
        <x:v>61026</x:v>
      </x:c>
    </x:row>
    <x:row r="1327">
      <x:c r="A1327" s="1" t="str">
        <x:v>233979544</x:v>
      </x:c>
      <x:c r="B1327" s="1" t="str">
        <x:v>futbolkamanX3/черный</x:v>
      </x:c>
      <x:c r="C1327" s="1" t="str">
        <x:v>Футболки</x:v>
      </x:c>
      <x:c r="D1327" s="9" t="n">
        <x:v>8.7</x:v>
      </x:c>
      <x:c r="E1327" s="8" t="n">
        <x:v>23669</x:v>
      </x:c>
      <x:c r="F1327" s="8" t="n">
        <x:v>25</x:v>
      </x:c>
      <x:c r="G1327" s="8" t="n">
        <x:v>31632</x:v>
      </x:c>
      <x:c r="H1327" s="8" t="n">
        <x:v>1</x:v>
      </x:c>
      <x:c r="I1327" s="8" t="n">
        <x:v>0</x:v>
      </x:c>
      <x:c r="J1327" s="8" t="n">
        <x:v>11</x:v>
      </x:c>
      <x:c r="K1327" s="8" t="n">
        <x:v>1850</x:v>
      </x:c>
      <x:c r="L1327" s="1" t="str">
        <x:v>Нет</x:v>
      </x:c>
      <x:c r="M1327" s="1" t="n">
        <x:v>11820</x:v>
      </x:c>
    </x:row>
    <x:row r="1328">
      <x:c r="A1328" s="1" t="str">
        <x:v>235613732</x:v>
      </x:c>
      <x:c r="B1328" s="1" t="str">
        <x:v>hudicrop/молочный</x:v>
      </x:c>
      <x:c r="C1328" s="1" t="str">
        <x:v>Худи</x:v>
      </x:c>
      <x:c r="D1328" s="9" t="n">
        <x:v>8.7</x:v>
      </x:c>
      <x:c r="E1328" s="8" t="n">
        <x:v>16214</x:v>
      </x:c>
      <x:c r="F1328" s="8" t="n">
        <x:v>29</x:v>
      </x:c>
      <x:c r="G1328" s="8" t="n">
        <x:v>31616</x:v>
      </x:c>
      <x:c r="H1328" s="8" t="n">
        <x:v>0</x:v>
      </x:c>
      <x:c r="I1328" s="8" t="n">
        <x:v>0</x:v>
      </x:c>
      <x:c r="J1328" s="8" t="n">
        <x:v>51</x:v>
      </x:c>
      <x:c r="K1328" s="8" t="n">
        <x:v>2153</x:v>
      </x:c>
      <x:c r="L1328" s="1" t="str">
        <x:v>Нет</x:v>
      </x:c>
      <x:c r="M1328" s="1" t="n">
        <x:v>60900</x:v>
      </x:c>
    </x:row>
    <x:row r="1329">
      <x:c r="A1329" s="1" t="str">
        <x:v>344410283</x:v>
      </x:c>
      <x:c r="B1329" s="1" t="str">
        <x:v>malyshkabasic/пыльно-синий</x:v>
      </x:c>
      <x:c r="C1329" s="1" t="str">
        <x:v>Футболки</x:v>
      </x:c>
      <x:c r="D1329" s="9" t="n">
        <x:v>7.9</x:v>
      </x:c>
      <x:c r="E1329" s="8" t="n">
        <x:v>41312</x:v>
      </x:c>
      <x:c r="F1329" s="8" t="n">
        <x:v>111</x:v>
      </x:c>
      <x:c r="G1329" s="8" t="n">
        <x:v>31563</x:v>
      </x:c>
      <x:c r="H1329" s="8" t="n">
        <x:v>763</x:v>
      </x:c>
      <x:c r="I1329" s="8" t="n">
        <x:v>0</x:v>
      </x:c>
      <x:c r="J1329" s="8" t="n">
        <x:v>0</x:v>
      </x:c>
      <x:c r="K1329" s="8" t="n">
        <x:v>751</x:v>
      </x:c>
      <x:c r="L1329" s="1" t="str">
        <x:v>Нет</x:v>
      </x:c>
      <x:c r="M1329" s="1" t="n">
        <x:v>0</x:v>
      </x:c>
    </x:row>
    <x:row r="1330">
      <x:c r="A1330" s="1" t="str">
        <x:v>179951194</x:v>
      </x:c>
      <x:c r="B1330" s="1" t="str">
        <x:v>palazzo/молочный</x:v>
      </x:c>
      <x:c r="C1330" s="1" t="str">
        <x:v>Брюки</x:v>
      </x:c>
      <x:c r="D1330" s="9" t="n">
        <x:v>9.4</x:v>
      </x:c>
      <x:c r="E1330" s="8" t="n">
        <x:v>5541</x:v>
      </x:c>
      <x:c r="F1330" s="8" t="n">
        <x:v>88</x:v>
      </x:c>
      <x:c r="G1330" s="8" t="n">
        <x:v>31468</x:v>
      </x:c>
      <x:c r="H1330" s="8" t="n">
        <x:v>16</x:v>
      </x:c>
      <x:c r="I1330" s="8" t="n">
        <x:v>0</x:v>
      </x:c>
      <x:c r="J1330" s="8" t="n">
        <x:v>200</x:v>
      </x:c>
      <x:c r="K1330" s="8" t="n">
        <x:v>2003</x:v>
      </x:c>
      <x:c r="L1330" s="1" t="str">
        <x:v>Нет</x:v>
      </x:c>
      <x:c r="M1330" s="1" t="n">
        <x:v>80848</x:v>
      </x:c>
    </x:row>
    <x:row r="1331">
      <x:c r="A1331" s="1" t="str">
        <x:v>233503585</x:v>
      </x:c>
      <x:c r="B1331" s="1" t="str">
        <x:v>brukigirl/розовый</x:v>
      </x:c>
      <x:c r="C1331" s="1" t="str">
        <x:v>Брюки</x:v>
      </x:c>
      <x:c r="D1331" s="9" t="n">
        <x:v>7.7</x:v>
      </x:c>
      <x:c r="E1331" s="8" t="n">
        <x:v>6115</x:v>
      </x:c>
      <x:c r="F1331" s="8" t="n">
        <x:v>49</x:v>
      </x:c>
      <x:c r="G1331" s="8" t="n">
        <x:v>31451</x:v>
      </x:c>
      <x:c r="H1331" s="8" t="n">
        <x:v>4</x:v>
      </x:c>
      <x:c r="I1331" s="8" t="n">
        <x:v>0</x:v>
      </x:c>
      <x:c r="J1331" s="8" t="n">
        <x:v>40</x:v>
      </x:c>
      <x:c r="K1331" s="8" t="n">
        <x:v>1063</x:v>
      </x:c>
      <x:c r="L1331" s="1" t="str">
        <x:v>Нет</x:v>
      </x:c>
      <x:c r="M1331" s="1" t="n">
        <x:v>32150</x:v>
      </x:c>
    </x:row>
    <x:row r="1332">
      <x:c r="A1332" s="1" t="str">
        <x:v>229124478</x:v>
      </x:c>
      <x:c r="B1332" s="1" t="str">
        <x:v>futbolkaprint/SEOUL-119/розовый</x:v>
      </x:c>
      <x:c r="C1332" s="1" t="str">
        <x:v>Футболки</x:v>
      </x:c>
      <x:c r="D1332" s="9" t="n">
        <x:v>9.7</x:v>
      </x:c>
      <x:c r="E1332" s="8" t="n">
        <x:v>8397</x:v>
      </x:c>
      <x:c r="F1332" s="8" t="n">
        <x:v>53</x:v>
      </x:c>
      <x:c r="G1332" s="8" t="n">
        <x:v>31395</x:v>
      </x:c>
      <x:c r="H1332" s="8" t="n">
        <x:v>0</x:v>
      </x:c>
      <x:c r="I1332" s="8" t="n">
        <x:v>0</x:v>
      </x:c>
      <x:c r="J1332" s="8" t="n">
        <x:v>587</x:v>
      </x:c>
      <x:c r="K1332" s="8" t="n">
        <x:v>1142</x:v>
      </x:c>
      <x:c r="L1332" s="1" t="str">
        <x:v>Нет</x:v>
      </x:c>
      <x:c r="M1332" s="1" t="n">
        <x:v>368465</x:v>
      </x:c>
    </x:row>
    <x:row r="1333">
      <x:c r="A1333" s="1" t="str">
        <x:v>313770741</x:v>
      </x:c>
      <x:c r="B1333" s="1" t="str">
        <x:v>futbolkagirl/кофейный</x:v>
      </x:c>
      <x:c r="C1333" s="1" t="str">
        <x:v>Футболки</x:v>
      </x:c>
      <x:c r="D1333" s="9" t="n">
        <x:v>10</x:v>
      </x:c>
      <x:c r="E1333" s="8" t="n">
        <x:v>17519</x:v>
      </x:c>
      <x:c r="F1333" s="8" t="n">
        <x:v>100</x:v>
      </x:c>
      <x:c r="G1333" s="8" t="n">
        <x:v>31257</x:v>
      </x:c>
      <x:c r="H1333" s="8" t="n">
        <x:v>1</x:v>
      </x:c>
      <x:c r="I1333" s="8" t="n">
        <x:v>0</x:v>
      </x:c>
      <x:c r="J1333" s="8" t="n">
        <x:v>124</x:v>
      </x:c>
      <x:c r="K1333" s="8" t="n">
        <x:v>498</x:v>
      </x:c>
      <x:c r="L1333" s="1" t="str">
        <x:v>Нет</x:v>
      </x:c>
      <x:c r="M1333" s="1" t="n">
        <x:v>39562</x:v>
      </x:c>
    </x:row>
    <x:row r="1334">
      <x:c r="A1334" s="1" t="str">
        <x:v>370408820</x:v>
      </x:c>
      <x:c r="B1334" s="1" t="str">
        <x:v>2Nshortymanbk/бордовый</x:v>
      </x:c>
      <x:c r="C1334" s="1" t="str">
        <x:v>Шорты</x:v>
      </x:c>
      <x:c r="D1334" s="9" t="n">
        <x:v>8.4</x:v>
      </x:c>
      <x:c r="E1334" s="8" t="n">
        <x:v>10094</x:v>
      </x:c>
      <x:c r="F1334" s="8" t="n">
        <x:v>65</x:v>
      </x:c>
      <x:c r="G1334" s="8" t="n">
        <x:v>31080</x:v>
      </x:c>
      <x:c r="H1334" s="8" t="n">
        <x:v>26</x:v>
      </x:c>
      <x:c r="I1334" s="8" t="n">
        <x:v>0</x:v>
      </x:c>
      <x:c r="J1334" s="8" t="n">
        <x:v>0</x:v>
      </x:c>
      <x:c r="K1334" s="8" t="n">
        <x:v>1477</x:v>
      </x:c>
      <x:c r="L1334" s="1" t="str">
        <x:v>Нет</x:v>
      </x:c>
      <x:c r="M1334" s="1" t="n">
        <x:v>0</x:v>
      </x:c>
    </x:row>
    <x:row r="1335">
      <x:c r="A1335" s="1" t="str">
        <x:v>335327573</x:v>
      </x:c>
      <x:c r="B1335" s="1" t="str">
        <x:v>bazakulgirl/бордовый</x:v>
      </x:c>
      <x:c r="C1335" s="1" t="str">
        <x:v>Футболки</x:v>
      </x:c>
      <x:c r="D1335" s="9" t="n">
        <x:v>9.5</x:v>
      </x:c>
      <x:c r="E1335" s="8" t="n">
        <x:v>2752</x:v>
      </x:c>
      <x:c r="F1335" s="8" t="n">
        <x:v>89</x:v>
      </x:c>
      <x:c r="G1335" s="8" t="n">
        <x:v>30932</x:v>
      </x:c>
      <x:c r="H1335" s="8" t="n">
        <x:v>462</x:v>
      </x:c>
      <x:c r="I1335" s="8" t="n">
        <x:v>0</x:v>
      </x:c>
      <x:c r="J1335" s="8" t="n">
        <x:v>8</x:v>
      </x:c>
      <x:c r="K1335" s="8" t="n">
        <x:v>585</x:v>
      </x:c>
      <x:c r="L1335" s="1" t="str">
        <x:v>Нет</x:v>
      </x:c>
      <x:c r="M1335" s="1" t="n">
        <x:v>2084</x:v>
      </x:c>
    </x:row>
    <x:row r="1336">
      <x:c r="A1336" s="1" t="str">
        <x:v>210616858</x:v>
      </x:c>
      <x:c r="B1336" s="1" t="str">
        <x:v>kostkulirkaover/белый</x:v>
      </x:c>
      <x:c r="C1336" s="1" t="str">
        <x:v>Костюмы</x:v>
      </x:c>
      <x:c r="D1336" s="9" t="n">
        <x:v>6.7</x:v>
      </x:c>
      <x:c r="E1336" s="8" t="n">
        <x:v>20069</x:v>
      </x:c>
      <x:c r="F1336" s="8" t="n">
        <x:v>41</x:v>
      </x:c>
      <x:c r="G1336" s="8" t="n">
        <x:v>30477</x:v>
      </x:c>
      <x:c r="H1336" s="8" t="n">
        <x:v>592</x:v>
      </x:c>
      <x:c r="I1336" s="8" t="n">
        <x:v>0</x:v>
      </x:c>
      <x:c r="J1336" s="8" t="n">
        <x:v>21</x:v>
      </x:c>
      <x:c r="K1336" s="8" t="n">
        <x:v>1910</x:v>
      </x:c>
      <x:c r="L1336" s="1" t="str">
        <x:v>Нет</x:v>
      </x:c>
      <x:c r="M1336" s="1" t="n">
        <x:v>24849</x:v>
      </x:c>
    </x:row>
    <x:row r="1337">
      <x:c r="A1337" s="1" t="str">
        <x:v>176976180</x:v>
      </x:c>
      <x:c r="B1337" s="1" t="str">
        <x:v>hudi1size/мандариновый</x:v>
      </x:c>
      <x:c r="C1337" s="1" t="str">
        <x:v>Худи</x:v>
      </x:c>
      <x:c r="D1337" s="9" t="n">
        <x:v>7.7</x:v>
      </x:c>
      <x:c r="E1337" s="8" t="n">
        <x:v>1812</x:v>
      </x:c>
      <x:c r="F1337" s="8" t="n">
        <x:v>27</x:v>
      </x:c>
      <x:c r="G1337" s="8" t="n">
        <x:v>30248</x:v>
      </x:c>
      <x:c r="H1337" s="8" t="n">
        <x:v>0</x:v>
      </x:c>
      <x:c r="I1337" s="8" t="n">
        <x:v>0</x:v>
      </x:c>
      <x:c r="J1337" s="8" t="n">
        <x:v>135</x:v>
      </x:c>
      <x:c r="K1337" s="8" t="n">
        <x:v>2504</x:v>
      </x:c>
      <x:c r="L1337" s="1" t="str">
        <x:v>Нет</x:v>
      </x:c>
      <x:c r="M1337" s="1" t="n">
        <x:v>133974</x:v>
      </x:c>
    </x:row>
    <x:row r="1338">
      <x:c r="A1338" s="1" t="str">
        <x:v>326822926</x:v>
      </x:c>
      <x:c r="B1338" s="1" t="str">
        <x:v>2Nitkalongsliv3D-76/бордовый</x:v>
      </x:c>
      <x:c r="C1338" s="1" t="str">
        <x:v>Лонгсливы</x:v>
      </x:c>
      <x:c r="D1338" s="9" t="n">
        <x:v>8.7</x:v>
      </x:c>
      <x:c r="E1338" s="8" t="n">
        <x:v>28133</x:v>
      </x:c>
      <x:c r="F1338" s="8" t="n">
        <x:v>92</x:v>
      </x:c>
      <x:c r="G1338" s="8" t="n">
        <x:v>29888</x:v>
      </x:c>
      <x:c r="H1338" s="8" t="n">
        <x:v>171</x:v>
      </x:c>
      <x:c r="I1338" s="8" t="n">
        <x:v>0</x:v>
      </x:c>
      <x:c r="J1338" s="8" t="n">
        <x:v>0</x:v>
      </x:c>
      <x:c r="K1338" s="8" t="n">
        <x:v>1579</x:v>
      </x:c>
      <x:c r="L1338" s="1" t="str">
        <x:v>Нет</x:v>
      </x:c>
      <x:c r="M1338" s="1" t="n">
        <x:v>0</x:v>
      </x:c>
    </x:row>
    <x:row r="1339">
      <x:c r="A1339" s="1" t="str">
        <x:v>30028906</x:v>
      </x:c>
      <x:c r="B1339" s="1" t="str">
        <x:v>longsliv/какао</x:v>
      </x:c>
      <x:c r="C1339" s="1" t="str">
        <x:v>Лонгсливы</x:v>
      </x:c>
      <x:c r="D1339" s="9" t="n">
        <x:v>9.7</x:v>
      </x:c>
      <x:c r="E1339" s="8" t="n">
        <x:v>10211</x:v>
      </x:c>
      <x:c r="F1339" s="8" t="n">
        <x:v>155</x:v>
      </x:c>
      <x:c r="G1339" s="8" t="n">
        <x:v>29784</x:v>
      </x:c>
      <x:c r="H1339" s="8" t="n">
        <x:v>727</x:v>
      </x:c>
      <x:c r="I1339" s="8" t="n">
        <x:v>0</x:v>
      </x:c>
      <x:c r="J1339" s="8" t="n">
        <x:v>87</x:v>
      </x:c>
      <x:c r="K1339" s="8" t="n">
        <x:v>744</x:v>
      </x:c>
      <x:c r="L1339" s="1" t="str">
        <x:v>Нет</x:v>
      </x:c>
      <x:c r="M1339" s="1" t="n">
        <x:v>21740</x:v>
      </x:c>
    </x:row>
    <x:row r="1340">
      <x:c r="A1340" s="1" t="str">
        <x:v>344408144</x:v>
      </x:c>
      <x:c r="B1340" s="1" t="str">
        <x:v>ribmayka3R-S13/бежевый</x:v>
      </x:c>
      <x:c r="C1340" s="1" t="str">
        <x:v>Топы</x:v>
      </x:c>
      <x:c r="D1340" s="9" t="n">
        <x:v>9.4</x:v>
      </x:c>
      <x:c r="E1340" s="8" t="n">
        <x:v>16075</x:v>
      </x:c>
      <x:c r="F1340" s="8" t="n">
        <x:v>62</x:v>
      </x:c>
      <x:c r="G1340" s="8" t="n">
        <x:v>29780</x:v>
      </x:c>
      <x:c r="H1340" s="8" t="n">
        <x:v>281</x:v>
      </x:c>
      <x:c r="I1340" s="8" t="n">
        <x:v>0</x:v>
      </x:c>
      <x:c r="J1340" s="8" t="n">
        <x:v>0</x:v>
      </x:c>
      <x:c r="K1340" s="8" t="n">
        <x:v>804</x:v>
      </x:c>
      <x:c r="L1340" s="1" t="str">
        <x:v>Нет</x:v>
      </x:c>
      <x:c r="M1340" s="1" t="n">
        <x:v>0</x:v>
      </x:c>
    </x:row>
    <x:row r="1341">
      <x:c r="A1341" s="1" t="str">
        <x:v>209915739</x:v>
      </x:c>
      <x:c r="B1341" s="1" t="str">
        <x:v>shorty/голубой</x:v>
      </x:c>
      <x:c r="C1341" s="1" t="str">
        <x:v>Шорты</x:v>
      </x:c>
      <x:c r="D1341" s="9" t="n">
        <x:v>6.9</x:v>
      </x:c>
      <x:c r="E1341" s="8" t="n">
        <x:v>6760</x:v>
      </x:c>
      <x:c r="F1341" s="8" t="n">
        <x:v>78</x:v>
      </x:c>
      <x:c r="G1341" s="8" t="n">
        <x:v>29721</x:v>
      </x:c>
      <x:c r="H1341" s="8" t="n">
        <x:v>61</x:v>
      </x:c>
      <x:c r="I1341" s="8" t="n">
        <x:v>0</x:v>
      </x:c>
      <x:c r="J1341" s="8" t="n">
        <x:v>3</x:v>
      </x:c>
      <x:c r="K1341" s="8" t="n">
        <x:v>1058</x:v>
      </x:c>
      <x:c r="L1341" s="1" t="str">
        <x:v>Нет</x:v>
      </x:c>
      <x:c r="M1341" s="1" t="n">
        <x:v>2220</x:v>
      </x:c>
    </x:row>
    <x:row r="1342">
      <x:c r="A1342" s="1" t="str">
        <x:v>283024479</x:v>
      </x:c>
      <x:c r="B1342" s="1" t="str">
        <x:v>sweatervyaz/черный</x:v>
      </x:c>
      <x:c r="C1342" s="1" t="str">
        <x:v>Свитеры</x:v>
      </x:c>
      <x:c r="D1342" s="9" t="n">
        <x:v>8.7</x:v>
      </x:c>
      <x:c r="E1342" s="8" t="n">
        <x:v>5792</x:v>
      </x:c>
      <x:c r="F1342" s="8" t="n">
        <x:v>37</x:v>
      </x:c>
      <x:c r="G1342" s="8" t="n">
        <x:v>29502</x:v>
      </x:c>
      <x:c r="H1342" s="8" t="n">
        <x:v>318</x:v>
      </x:c>
      <x:c r="I1342" s="8" t="n">
        <x:v>0</x:v>
      </x:c>
      <x:c r="J1342" s="8" t="n">
        <x:v>51</x:v>
      </x:c>
      <x:c r="K1342" s="8" t="n">
        <x:v>2262</x:v>
      </x:c>
      <x:c r="L1342" s="1" t="str">
        <x:v>Нет</x:v>
      </x:c>
      <x:c r="M1342" s="1" t="n">
        <x:v>56600</x:v>
      </x:c>
    </x:row>
    <x:row r="1343">
      <x:c r="A1343" s="1" t="str">
        <x:v>172152408</x:v>
      </x:c>
      <x:c r="B1343" s="1" t="str">
        <x:v>baza/мятапыльная</x:v>
      </x:c>
      <x:c r="C1343" s="1" t="str">
        <x:v>Футболки</x:v>
      </x:c>
      <x:c r="D1343" s="9" t="n">
        <x:v>8.2</x:v>
      </x:c>
      <x:c r="E1343" s="8" t="n">
        <x:v>18732</x:v>
      </x:c>
      <x:c r="F1343" s="8" t="n">
        <x:v>67</x:v>
      </x:c>
      <x:c r="G1343" s="8" t="n">
        <x:v>29380</x:v>
      </x:c>
      <x:c r="H1343" s="8" t="n">
        <x:v>105</x:v>
      </x:c>
      <x:c r="I1343" s="8" t="n">
        <x:v>0</x:v>
      </x:c>
      <x:c r="J1343" s="8" t="n">
        <x:v>780</x:v>
      </x:c>
      <x:c r="K1343" s="8" t="n">
        <x:v>1034</x:v>
      </x:c>
      <x:c r="L1343" s="1" t="str">
        <x:v>Нет</x:v>
      </x:c>
      <x:c r="M1343" s="1" t="n">
        <x:v>442865</x:v>
      </x:c>
    </x:row>
    <x:row r="1344">
      <x:c r="A1344" s="1" t="str">
        <x:v>226527742</x:v>
      </x:c>
      <x:c r="B1344" s="1" t="str">
        <x:v>futbolkaprint/MovesClub-138/сине-морской</x:v>
      </x:c>
      <x:c r="C1344" s="1" t="str">
        <x:v>Футболки</x:v>
      </x:c>
      <x:c r="D1344" s="9" t="n">
        <x:v>9.7</x:v>
      </x:c>
      <x:c r="E1344" s="8" t="n">
        <x:v>5055</x:v>
      </x:c>
      <x:c r="F1344" s="8" t="n">
        <x:v>58</x:v>
      </x:c>
      <x:c r="G1344" s="8" t="n">
        <x:v>29215</x:v>
      </x:c>
      <x:c r="H1344" s="8" t="n">
        <x:v>0</x:v>
      </x:c>
      <x:c r="I1344" s="8" t="n">
        <x:v>0</x:v>
      </x:c>
      <x:c r="J1344" s="8" t="n">
        <x:v>543</x:v>
      </x:c>
      <x:c r="K1344" s="8" t="n">
        <x:v>1027</x:v>
      </x:c>
      <x:c r="L1344" s="1" t="str">
        <x:v>Нет</x:v>
      </x:c>
      <x:c r="M1344" s="1" t="n">
        <x:v>322948</x:v>
      </x:c>
    </x:row>
    <x:row r="1345">
      <x:c r="A1345" s="1" t="str">
        <x:v>207178445</x:v>
      </x:c>
      <x:c r="B1345" s="1" t="str">
        <x:v>futbolkaprint/Chic-55/молочный</x:v>
      </x:c>
      <x:c r="C1345" s="1" t="str">
        <x:v>Футболки</x:v>
      </x:c>
      <x:c r="D1345" s="9" t="n">
        <x:v>7.7</x:v>
      </x:c>
      <x:c r="E1345" s="8" t="n">
        <x:v>4839</x:v>
      </x:c>
      <x:c r="F1345" s="8" t="n">
        <x:v>46</x:v>
      </x:c>
      <x:c r="G1345" s="8" t="n">
        <x:v>28824</x:v>
      </x:c>
      <x:c r="H1345" s="8" t="n">
        <x:v>0</x:v>
      </x:c>
      <x:c r="I1345" s="8" t="n">
        <x:v>0</x:v>
      </x:c>
      <x:c r="J1345" s="8" t="n">
        <x:v>459</x:v>
      </x:c>
      <x:c r="K1345" s="8" t="n">
        <x:v>1145</x:v>
      </x:c>
      <x:c r="L1345" s="1" t="str">
        <x:v>Нет</x:v>
      </x:c>
      <x:c r="M1345" s="1" t="n">
        <x:v>300241</x:v>
      </x:c>
    </x:row>
    <x:row r="1346">
      <x:c r="A1346" s="1" t="str">
        <x:v>229651357</x:v>
      </x:c>
      <x:c r="B1346" s="1" t="str">
        <x:v>kostumboy/черный</x:v>
      </x:c>
      <x:c r="C1346" s="1" t="str">
        <x:v>Костюмы</x:v>
      </x:c>
      <x:c r="D1346" s="9" t="n">
        <x:v>9.7</x:v>
      </x:c>
      <x:c r="E1346" s="8" t="n">
        <x:v>6006</x:v>
      </x:c>
      <x:c r="F1346" s="8" t="n">
        <x:v>19</x:v>
      </x:c>
      <x:c r="G1346" s="8" t="n">
        <x:v>28796</x:v>
      </x:c>
      <x:c r="H1346" s="8" t="n">
        <x:v>94</x:v>
      </x:c>
      <x:c r="I1346" s="8" t="n">
        <x:v>0</x:v>
      </x:c>
      <x:c r="J1346" s="8" t="n">
        <x:v>40</x:v>
      </x:c>
      <x:c r="K1346" s="8" t="n">
        <x:v>2420</x:v>
      </x:c>
      <x:c r="L1346" s="1" t="str">
        <x:v>Нет</x:v>
      </x:c>
      <x:c r="M1346" s="1" t="n">
        <x:v>76200</x:v>
      </x:c>
    </x:row>
    <x:row r="1347">
      <x:c r="A1347" s="1" t="str">
        <x:v>240808496</x:v>
      </x:c>
      <x:c r="B1347" s="1" t="str">
        <x:v>brukigirl/молочный</x:v>
      </x:c>
      <x:c r="C1347" s="1" t="str">
        <x:v>Брюки</x:v>
      </x:c>
      <x:c r="D1347" s="9" t="n">
        <x:v>7.7</x:v>
      </x:c>
      <x:c r="E1347" s="8" t="n">
        <x:v>5800</x:v>
      </x:c>
      <x:c r="F1347" s="8" t="n">
        <x:v>71</x:v>
      </x:c>
      <x:c r="G1347" s="8" t="n">
        <x:v>28630</x:v>
      </x:c>
      <x:c r="H1347" s="8" t="n">
        <x:v>491</x:v>
      </x:c>
      <x:c r="I1347" s="8" t="n">
        <x:v>0</x:v>
      </x:c>
      <x:c r="J1347" s="8" t="n">
        <x:v>120</x:v>
      </x:c>
      <x:c r="K1347" s="8" t="n">
        <x:v>1068</x:v>
      </x:c>
      <x:c r="L1347" s="1" t="str">
        <x:v>Нет</x:v>
      </x:c>
      <x:c r="M1347" s="1" t="n">
        <x:v>53650</x:v>
      </x:c>
    </x:row>
    <x:row r="1348">
      <x:c r="A1348" s="1" t="str">
        <x:v>228407601</x:v>
      </x:c>
      <x:c r="B1348" s="1" t="str">
        <x:v>futbolkaprint/Miracles-147/светло-фиолетовый</x:v>
      </x:c>
      <x:c r="C1348" s="1" t="str">
        <x:v>Футболки</x:v>
      </x:c>
      <x:c r="D1348" s="9" t="n">
        <x:v>8.7</x:v>
      </x:c>
      <x:c r="E1348" s="8" t="n">
        <x:v>7863</x:v>
      </x:c>
      <x:c r="F1348" s="8" t="n">
        <x:v>44</x:v>
      </x:c>
      <x:c r="G1348" s="8" t="n">
        <x:v>28471</x:v>
      </x:c>
      <x:c r="H1348" s="8" t="n">
        <x:v>0</x:v>
      </x:c>
      <x:c r="I1348" s="8" t="n">
        <x:v>0</x:v>
      </x:c>
      <x:c r="J1348" s="8" t="n">
        <x:v>2</x:v>
      </x:c>
      <x:c r="K1348" s="8" t="n">
        <x:v>1099</x:v>
      </x:c>
      <x:c r="L1348" s="1" t="str">
        <x:v>Нет</x:v>
      </x:c>
      <x:c r="M1348" s="1" t="n">
        <x:v>0</x:v>
      </x:c>
    </x:row>
    <x:row r="1349">
      <x:c r="A1349" s="1" t="str">
        <x:v>256332781</x:v>
      </x:c>
      <x:c r="B1349" s="1" t="str">
        <x:v>futhlopman/синий</x:v>
      </x:c>
      <x:c r="C1349" s="1" t="str">
        <x:v>Футболки</x:v>
      </x:c>
      <x:c r="D1349" s="9" t="n">
        <x:v>8.7</x:v>
      </x:c>
      <x:c r="E1349" s="8" t="n">
        <x:v>9309</x:v>
      </x:c>
      <x:c r="F1349" s="8" t="n">
        <x:v>73</x:v>
      </x:c>
      <x:c r="G1349" s="8" t="n">
        <x:v>28162</x:v>
      </x:c>
      <x:c r="H1349" s="8" t="n">
        <x:v>5</x:v>
      </x:c>
      <x:c r="I1349" s="8" t="n">
        <x:v>0</x:v>
      </x:c>
      <x:c r="J1349" s="8" t="n">
        <x:v>102</x:v>
      </x:c>
      <x:c r="K1349" s="8" t="n">
        <x:v>655</x:v>
      </x:c>
      <x:c r="L1349" s="1" t="str">
        <x:v>Нет</x:v>
      </x:c>
      <x:c r="M1349" s="1" t="n">
        <x:v>42610</x:v>
      </x:c>
    </x:row>
    <x:row r="1350">
      <x:c r="A1350" s="1" t="str">
        <x:v>116112640</x:v>
      </x:c>
      <x:c r="B1350" s="1" t="str">
        <x:v>hudi/деним</x:v>
      </x:c>
      <x:c r="C1350" s="1" t="str">
        <x:v>Худи</x:v>
      </x:c>
      <x:c r="D1350" s="9" t="n">
        <x:v>9.7</x:v>
      </x:c>
      <x:c r="E1350" s="8" t="n">
        <x:v>4379</x:v>
      </x:c>
      <x:c r="F1350" s="8" t="n">
        <x:v>34</x:v>
      </x:c>
      <x:c r="G1350" s="8" t="n">
        <x:v>27979</x:v>
      </x:c>
      <x:c r="H1350" s="8" t="n">
        <x:v>2</x:v>
      </x:c>
      <x:c r="I1350" s="8" t="n">
        <x:v>0</x:v>
      </x:c>
      <x:c r="J1350" s="8" t="n">
        <x:v>32</x:v>
      </x:c>
      <x:c r="K1350" s="8" t="n">
        <x:v>2162</x:v>
      </x:c>
      <x:c r="L1350" s="1" t="str">
        <x:v>Нет</x:v>
      </x:c>
      <x:c r="M1350" s="1" t="n">
        <x:v>28600</x:v>
      </x:c>
    </x:row>
    <x:row r="1351">
      <x:c r="A1351" s="1" t="str">
        <x:v>176976181</x:v>
      </x:c>
      <x:c r="B1351" s="1" t="str">
        <x:v>hudi1size/серый</x:v>
      </x:c>
      <x:c r="C1351" s="1" t="str">
        <x:v>Худи</x:v>
      </x:c>
      <x:c r="D1351" s="9" t="n">
        <x:v>9.7</x:v>
      </x:c>
      <x:c r="E1351" s="8" t="n">
        <x:v>1886</x:v>
      </x:c>
      <x:c r="F1351" s="8" t="n">
        <x:v>24</x:v>
      </x:c>
      <x:c r="G1351" s="8" t="n">
        <x:v>27622</x:v>
      </x:c>
      <x:c r="H1351" s="8" t="n">
        <x:v>0</x:v>
      </x:c>
      <x:c r="I1351" s="8" t="n">
        <x:v>0</x:v>
      </x:c>
      <x:c r="J1351" s="8" t="n">
        <x:v>126</x:v>
      </x:c>
      <x:c r="K1351" s="8" t="n">
        <x:v>2304</x:v>
      </x:c>
      <x:c r="L1351" s="1" t="str">
        <x:v>Нет</x:v>
      </x:c>
      <x:c r="M1351" s="1" t="n">
        <x:v>103500</x:v>
      </x:c>
    </x:row>
    <x:row r="1352">
      <x:c r="A1352" s="1" t="str">
        <x:v>216665879</x:v>
      </x:c>
      <x:c r="B1352" s="1" t="str">
        <x:v>2Nfutbolkaman/темно-серый</x:v>
      </x:c>
      <x:c r="C1352" s="1" t="str">
        <x:v>Футболки</x:v>
      </x:c>
      <x:c r="D1352" s="9" t="n">
        <x:v>6.4</x:v>
      </x:c>
      <x:c r="E1352" s="8" t="n">
        <x:v>12114</x:v>
      </x:c>
      <x:c r="F1352" s="8" t="n">
        <x:v>54</x:v>
      </x:c>
      <x:c r="G1352" s="8" t="n">
        <x:v>27503</x:v>
      </x:c>
      <x:c r="H1352" s="8" t="n">
        <x:v>2</x:v>
      </x:c>
      <x:c r="I1352" s="8" t="n">
        <x:v>0</x:v>
      </x:c>
      <x:c r="J1352" s="8" t="n">
        <x:v>141</x:v>
      </x:c>
      <x:c r="K1352" s="8" t="n">
        <x:v>1240</x:v>
      </x:c>
      <x:c r="L1352" s="1" t="str">
        <x:v>Нет</x:v>
      </x:c>
      <x:c r="M1352" s="1" t="n">
        <x:v>83821</x:v>
      </x:c>
    </x:row>
    <x:row r="1353">
      <x:c r="A1353" s="1" t="str">
        <x:v>240808475</x:v>
      </x:c>
      <x:c r="B1353" s="1" t="str">
        <x:v>brukigirl/черный</x:v>
      </x:c>
      <x:c r="C1353" s="1" t="str">
        <x:v>Брюки</x:v>
      </x:c>
      <x:c r="D1353" s="9" t="n">
        <x:v>7.7</x:v>
      </x:c>
      <x:c r="E1353" s="8" t="n">
        <x:v>5276</x:v>
      </x:c>
      <x:c r="F1353" s="8" t="n">
        <x:v>38</x:v>
      </x:c>
      <x:c r="G1353" s="8" t="n">
        <x:v>27447</x:v>
      </x:c>
      <x:c r="H1353" s="8" t="n">
        <x:v>142</x:v>
      </x:c>
      <x:c r="I1353" s="8" t="n">
        <x:v>0</x:v>
      </x:c>
      <x:c r="J1353" s="8" t="n">
        <x:v>116</x:v>
      </x:c>
      <x:c r="K1353" s="8" t="n">
        <x:v>1058</x:v>
      </x:c>
      <x:c r="L1353" s="1" t="str">
        <x:v>Нет</x:v>
      </x:c>
      <x:c r="M1353" s="1" t="n">
        <x:v>79975</x:v>
      </x:c>
    </x:row>
    <x:row r="1354">
      <x:c r="A1354" s="1" t="str">
        <x:v>182968334</x:v>
      </x:c>
      <x:c r="B1354" s="1" t="str">
        <x:v>sweater/фуксия</x:v>
      </x:c>
      <x:c r="C1354" s="1" t="str">
        <x:v>Свитшоты</x:v>
      </x:c>
      <x:c r="D1354" s="9" t="n">
        <x:v>9.7</x:v>
      </x:c>
      <x:c r="E1354" s="8" t="n">
        <x:v>3945</x:v>
      </x:c>
      <x:c r="F1354" s="8" t="n">
        <x:v>34</x:v>
      </x:c>
      <x:c r="G1354" s="8" t="n">
        <x:v>27046</x:v>
      </x:c>
      <x:c r="H1354" s="8" t="n">
        <x:v>258</x:v>
      </x:c>
      <x:c r="I1354" s="8" t="n">
        <x:v>0</x:v>
      </x:c>
      <x:c r="J1354" s="8" t="n">
        <x:v>79</x:v>
      </x:c>
      <x:c r="K1354" s="8" t="n">
        <x:v>2271</x:v>
      </x:c>
      <x:c r="L1354" s="1" t="str">
        <x:v>Нет</x:v>
      </x:c>
      <x:c r="M1354" s="1" t="n">
        <x:v>48928</x:v>
      </x:c>
    </x:row>
    <x:row r="1355">
      <x:c r="A1355" s="1" t="str">
        <x:v>365942948</x:v>
      </x:c>
      <x:c r="B1355" s="1" t="str">
        <x:v>bazaboy/молочный</x:v>
      </x:c>
      <x:c r="C1355" s="1" t="str">
        <x:v>Футболки</x:v>
      </x:c>
      <x:c r="D1355" s="9" t="n">
        <x:v>9.5</x:v>
      </x:c>
      <x:c r="E1355" s="8" t="n">
        <x:v>4442</x:v>
      </x:c>
      <x:c r="F1355" s="8" t="n">
        <x:v>86</x:v>
      </x:c>
      <x:c r="G1355" s="8" t="n">
        <x:v>26862</x:v>
      </x:c>
      <x:c r="H1355" s="8" t="n">
        <x:v>166</x:v>
      </x:c>
      <x:c r="I1355" s="8" t="n">
        <x:v>0</x:v>
      </x:c>
      <x:c r="J1355" s="8" t="n">
        <x:v>0</x:v>
      </x:c>
      <x:c r="K1355" s="8" t="n">
        <x:v>481</x:v>
      </x:c>
      <x:c r="L1355" s="1" t="str">
        <x:v>Нет</x:v>
      </x:c>
      <x:c r="M1355" s="1" t="n">
        <x:v>0</x:v>
      </x:c>
    </x:row>
    <x:row r="1356">
      <x:c r="A1356" s="1" t="str">
        <x:v>216158871</x:v>
      </x:c>
      <x:c r="B1356" s="1" t="str">
        <x:v>futbolkaboy/белый</x:v>
      </x:c>
      <x:c r="C1356" s="1" t="str">
        <x:v>Футболки</x:v>
      </x:c>
      <x:c r="D1356" s="9" t="n">
        <x:v>10</x:v>
      </x:c>
      <x:c r="E1356" s="8" t="n">
        <x:v>5681</x:v>
      </x:c>
      <x:c r="F1356" s="8" t="n">
        <x:v>79</x:v>
      </x:c>
      <x:c r="G1356" s="8" t="n">
        <x:v>26808</x:v>
      </x:c>
      <x:c r="H1356" s="8" t="n">
        <x:v>445</x:v>
      </x:c>
      <x:c r="I1356" s="8" t="n">
        <x:v>0</x:v>
      </x:c>
      <x:c r="J1356" s="8" t="n">
        <x:v>342</x:v>
      </x:c>
      <x:c r="K1356" s="8" t="n">
        <x:v>462</x:v>
      </x:c>
      <x:c r="L1356" s="1" t="str">
        <x:v>Нет</x:v>
      </x:c>
      <x:c r="M1356" s="1" t="n">
        <x:v>141738</x:v>
      </x:c>
    </x:row>
    <x:row r="1357">
      <x:c r="A1357" s="1" t="str">
        <x:v>256332774</x:v>
      </x:c>
      <x:c r="B1357" s="1" t="str">
        <x:v>futhlopman/серый</x:v>
      </x:c>
      <x:c r="C1357" s="1" t="str">
        <x:v>Футболки</x:v>
      </x:c>
      <x:c r="D1357" s="9" t="n">
        <x:v>6.7</x:v>
      </x:c>
      <x:c r="E1357" s="8" t="n">
        <x:v>17892</x:v>
      </x:c>
      <x:c r="F1357" s="8" t="n">
        <x:v>69</x:v>
      </x:c>
      <x:c r="G1357" s="8" t="n">
        <x:v>26798</x:v>
      </x:c>
      <x:c r="H1357" s="8" t="n">
        <x:v>119</x:v>
      </x:c>
      <x:c r="I1357" s="8" t="n">
        <x:v>0</x:v>
      </x:c>
      <x:c r="J1357" s="8" t="n">
        <x:v>293</x:v>
      </x:c>
      <x:c r="K1357" s="8" t="n">
        <x:v>734</x:v>
      </x:c>
      <x:c r="L1357" s="1" t="str">
        <x:v>Нет</x:v>
      </x:c>
      <x:c r="M1357" s="1" t="n">
        <x:v>139153</x:v>
      </x:c>
    </x:row>
    <x:row r="1358">
      <x:c r="A1358" s="1" t="str">
        <x:v>344311899</x:v>
      </x:c>
      <x:c r="B1358" s="1" t="str">
        <x:v>toprib3R-82/светло-розовый</x:v>
      </x:c>
      <x:c r="C1358" s="1" t="str">
        <x:v>Топы</x:v>
      </x:c>
      <x:c r="D1358" s="9" t="n">
        <x:v>8.7</x:v>
      </x:c>
      <x:c r="E1358" s="8" t="n">
        <x:v>14022</x:v>
      </x:c>
      <x:c r="F1358" s="8" t="n">
        <x:v>123</x:v>
      </x:c>
      <x:c r="G1358" s="8" t="n">
        <x:v>26763</x:v>
      </x:c>
      <x:c r="H1358" s="8" t="n">
        <x:v>409</x:v>
      </x:c>
      <x:c r="I1358" s="8" t="n">
        <x:v>0</x:v>
      </x:c>
      <x:c r="J1358" s="8" t="n">
        <x:v>0</x:v>
      </x:c>
      <x:c r="K1358" s="8" t="n">
        <x:v>564</x:v>
      </x:c>
      <x:c r="L1358" s="1" t="str">
        <x:v>Нет</x:v>
      </x:c>
      <x:c r="M1358" s="1" t="n">
        <x:v>0</x:v>
      </x:c>
    </x:row>
    <x:row r="1359">
      <x:c r="A1359" s="1" t="str">
        <x:v>210618405</x:v>
      </x:c>
      <x:c r="B1359" s="1" t="str">
        <x:v>kostkulirkaover/молочный</x:v>
      </x:c>
      <x:c r="C1359" s="1" t="str">
        <x:v>Костюмы</x:v>
      </x:c>
      <x:c r="D1359" s="9" t="n">
        <x:v>8.7</x:v>
      </x:c>
      <x:c r="E1359" s="8" t="n">
        <x:v>12860</x:v>
      </x:c>
      <x:c r="F1359" s="8" t="n">
        <x:v>54</x:v>
      </x:c>
      <x:c r="G1359" s="8" t="n">
        <x:v>26750</x:v>
      </x:c>
      <x:c r="H1359" s="8" t="n">
        <x:v>729</x:v>
      </x:c>
      <x:c r="I1359" s="8" t="n">
        <x:v>0</x:v>
      </x:c>
      <x:c r="J1359" s="8" t="n">
        <x:v>22</x:v>
      </x:c>
      <x:c r="K1359" s="8" t="n">
        <x:v>1884</x:v>
      </x:c>
      <x:c r="L1359" s="1" t="str">
        <x:v>Нет</x:v>
      </x:c>
      <x:c r="M1359" s="1" t="n">
        <x:v>22572</x:v>
      </x:c>
    </x:row>
    <x:row r="1360">
      <x:c r="A1360" s="1" t="str">
        <x:v>229653006</x:v>
      </x:c>
      <x:c r="B1360" s="1" t="str">
        <x:v>kostumgirl/молочный</x:v>
      </x:c>
      <x:c r="C1360" s="1" t="str">
        <x:v>Костюмы</x:v>
      </x:c>
      <x:c r="D1360" s="9" t="n">
        <x:v>9.7</x:v>
      </x:c>
      <x:c r="E1360" s="8" t="n">
        <x:v>7029</x:v>
      </x:c>
      <x:c r="F1360" s="8" t="n">
        <x:v>23</x:v>
      </x:c>
      <x:c r="G1360" s="8" t="n">
        <x:v>26429</x:v>
      </x:c>
      <x:c r="H1360" s="8" t="n">
        <x:v>127</x:v>
      </x:c>
      <x:c r="I1360" s="8" t="n">
        <x:v>0</x:v>
      </x:c>
      <x:c r="J1360" s="8" t="n">
        <x:v>47</x:v>
      </x:c>
      <x:c r="K1360" s="8" t="n">
        <x:v>2049</x:v>
      </x:c>
      <x:c r="L1360" s="1" t="str">
        <x:v>Нет</x:v>
      </x:c>
      <x:c r="M1360" s="1" t="n">
        <x:v>35840</x:v>
      </x:c>
    </x:row>
    <x:row r="1361">
      <x:c r="A1361" s="1" t="str">
        <x:v>211404515</x:v>
      </x:c>
      <x:c r="B1361" s="1" t="str">
        <x:v>futbolkagirl/светло-фиолетовый</x:v>
      </x:c>
      <x:c r="C1361" s="1" t="str">
        <x:v>Футболки</x:v>
      </x:c>
      <x:c r="D1361" s="9" t="n">
        <x:v>10</x:v>
      </x:c>
      <x:c r="E1361" s="8" t="n">
        <x:v>15075</x:v>
      </x:c>
      <x:c r="F1361" s="8" t="n">
        <x:v>73</x:v>
      </x:c>
      <x:c r="G1361" s="8" t="n">
        <x:v>26324</x:v>
      </x:c>
      <x:c r="H1361" s="8" t="n">
        <x:v>0</x:v>
      </x:c>
      <x:c r="I1361" s="8" t="n">
        <x:v>0</x:v>
      </x:c>
      <x:c r="J1361" s="8" t="n">
        <x:v>292</x:v>
      </x:c>
      <x:c r="K1361" s="8" t="n">
        <x:v>500</x:v>
      </x:c>
      <x:c r="L1361" s="1" t="str">
        <x:v>Нет</x:v>
      </x:c>
      <x:c r="M1361" s="1" t="n">
        <x:v>130321</x:v>
      </x:c>
    </x:row>
    <x:row r="1362">
      <x:c r="A1362" s="1" t="str">
        <x:v>203134399</x:v>
      </x:c>
      <x:c r="B1362" s="1" t="str">
        <x:v>svitshotprint/KRASLoveNever-64/молочный</x:v>
      </x:c>
      <x:c r="C1362" s="1" t="str">
        <x:v>Свитшоты</x:v>
      </x:c>
      <x:c r="D1362" s="9" t="n">
        <x:v>8.7</x:v>
      </x:c>
      <x:c r="E1362" s="8" t="n">
        <x:v>7627</x:v>
      </x:c>
      <x:c r="F1362" s="8" t="n">
        <x:v>27</x:v>
      </x:c>
      <x:c r="G1362" s="8" t="n">
        <x:v>26153</x:v>
      </x:c>
      <x:c r="H1362" s="8" t="n">
        <x:v>252</x:v>
      </x:c>
      <x:c r="I1362" s="8" t="n">
        <x:v>0</x:v>
      </x:c>
      <x:c r="J1362" s="8" t="n">
        <x:v>100</x:v>
      </x:c>
      <x:c r="K1362" s="8" t="n">
        <x:v>2356</x:v>
      </x:c>
      <x:c r="L1362" s="1" t="str">
        <x:v>Нет</x:v>
      </x:c>
      <x:c r="M1362" s="1" t="n">
        <x:v>76320</x:v>
      </x:c>
    </x:row>
    <x:row r="1363">
      <x:c r="A1363" s="1" t="str">
        <x:v>231458802</x:v>
      </x:c>
      <x:c r="B1363" s="1" t="str">
        <x:v>futbolkaboy/коричневый</x:v>
      </x:c>
      <x:c r="C1363" s="1" t="str">
        <x:v>Футболки</x:v>
      </x:c>
      <x:c r="D1363" s="9" t="n">
        <x:v>10</x:v>
      </x:c>
      <x:c r="E1363" s="8" t="n">
        <x:v>8635</x:v>
      </x:c>
      <x:c r="F1363" s="8" t="n">
        <x:v>81</x:v>
      </x:c>
      <x:c r="G1363" s="8" t="n">
        <x:v>25813</x:v>
      </x:c>
      <x:c r="H1363" s="8" t="n">
        <x:v>454</x:v>
      </x:c>
      <x:c r="I1363" s="8" t="n">
        <x:v>0</x:v>
      </x:c>
      <x:c r="J1363" s="8" t="n">
        <x:v>138</x:v>
      </x:c>
      <x:c r="K1363" s="8" t="n">
        <x:v>475</x:v>
      </x:c>
      <x:c r="L1363" s="1" t="str">
        <x:v>Нет</x:v>
      </x:c>
      <x:c r="M1363" s="1" t="n">
        <x:v>49583</x:v>
      </x:c>
    </x:row>
    <x:row r="1364">
      <x:c r="A1364" s="1" t="str">
        <x:v>234287046</x:v>
      </x:c>
      <x:c r="B1364" s="1" t="str">
        <x:v>svitshotpetl/голубой</x:v>
      </x:c>
      <x:c r="C1364" s="1" t="str">
        <x:v>Свитшоты</x:v>
      </x:c>
      <x:c r="D1364" s="9" t="n">
        <x:v>8.7</x:v>
      </x:c>
      <x:c r="E1364" s="8" t="n">
        <x:v>4525</x:v>
      </x:c>
      <x:c r="F1364" s="8" t="n">
        <x:v>57</x:v>
      </x:c>
      <x:c r="G1364" s="8" t="n">
        <x:v>25748</x:v>
      </x:c>
      <x:c r="H1364" s="8" t="n">
        <x:v>0</x:v>
      </x:c>
      <x:c r="I1364" s="8" t="n">
        <x:v>0</x:v>
      </x:c>
      <x:c r="J1364" s="8" t="n">
        <x:v>147</x:v>
      </x:c>
      <x:c r="K1364" s="8" t="n">
        <x:v>1969</x:v>
      </x:c>
      <x:c r="L1364" s="1" t="str">
        <x:v>Нет</x:v>
      </x:c>
      <x:c r="M1364" s="1" t="n">
        <x:v>97188</x:v>
      </x:c>
    </x:row>
    <x:row r="1365">
      <x:c r="A1365" s="1" t="str">
        <x:v>165911177</x:v>
      </x:c>
      <x:c r="B1365" s="1" t="str">
        <x:v>longman/серовато-розовый</x:v>
      </x:c>
      <x:c r="C1365" s="1" t="str">
        <x:v>Лонгсливы</x:v>
      </x:c>
      <x:c r="D1365" s="9" t="n">
        <x:v>5.2</x:v>
      </x:c>
      <x:c r="E1365" s="8" t="n">
        <x:v>12980</x:v>
      </x:c>
      <x:c r="F1365" s="8" t="n">
        <x:v>59</x:v>
      </x:c>
      <x:c r="G1365" s="8" t="n">
        <x:v>25515</x:v>
      </x:c>
      <x:c r="H1365" s="8" t="n">
        <x:v>87</x:v>
      </x:c>
      <x:c r="I1365" s="8" t="n">
        <x:v>0</x:v>
      </x:c>
      <x:c r="J1365" s="8" t="n">
        <x:v>58</x:v>
      </x:c>
      <x:c r="K1365" s="8" t="n">
        <x:v>1097</x:v>
      </x:c>
      <x:c r="L1365" s="1" t="str">
        <x:v>Нет</x:v>
      </x:c>
      <x:c r="M1365" s="1" t="n">
        <x:v>39384</x:v>
      </x:c>
    </x:row>
    <x:row r="1366">
      <x:c r="A1366" s="1" t="str">
        <x:v>344319377</x:v>
      </x:c>
      <x:c r="B1366" s="1" t="str">
        <x:v>toprib3R-82/пыльно-синий</x:v>
      </x:c>
      <x:c r="C1366" s="1" t="str">
        <x:v>Топы</x:v>
      </x:c>
      <x:c r="D1366" s="9" t="n">
        <x:v>8.7</x:v>
      </x:c>
      <x:c r="E1366" s="8" t="n">
        <x:v>10982</x:v>
      </x:c>
      <x:c r="F1366" s="8" t="n">
        <x:v>129</x:v>
      </x:c>
      <x:c r="G1366" s="8" t="n">
        <x:v>25476</x:v>
      </x:c>
      <x:c r="H1366" s="8" t="n">
        <x:v>952</x:v>
      </x:c>
      <x:c r="I1366" s="8" t="n">
        <x:v>0</x:v>
      </x:c>
      <x:c r="J1366" s="8" t="n">
        <x:v>0</x:v>
      </x:c>
      <x:c r="K1366" s="8" t="n">
        <x:v>413</x:v>
      </x:c>
      <x:c r="L1366" s="1" t="str">
        <x:v>Нет</x:v>
      </x:c>
      <x:c r="M1366" s="1" t="n">
        <x:v>0</x:v>
      </x:c>
    </x:row>
    <x:row r="1367">
      <x:c r="A1367" s="1" t="str">
        <x:v>210248322</x:v>
      </x:c>
      <x:c r="B1367" s="1" t="str">
        <x:v>kulirkamanprint/Athletics-74/черный</x:v>
      </x:c>
      <x:c r="C1367" s="1" t="str">
        <x:v>Футболки</x:v>
      </x:c>
      <x:c r="D1367" s="9" t="n">
        <x:v>7.7</x:v>
      </x:c>
      <x:c r="E1367" s="8" t="n">
        <x:v>17311</x:v>
      </x:c>
      <x:c r="F1367" s="8" t="n">
        <x:v>39</x:v>
      </x:c>
      <x:c r="G1367" s="8" t="n">
        <x:v>25467</x:v>
      </x:c>
      <x:c r="H1367" s="8" t="n">
        <x:v>0</x:v>
      </x:c>
      <x:c r="I1367" s="8" t="n">
        <x:v>0</x:v>
      </x:c>
      <x:c r="J1367" s="8" t="n">
        <x:v>10</x:v>
      </x:c>
      <x:c r="K1367" s="8" t="n">
        <x:v>993</x:v>
      </x:c>
      <x:c r="L1367" s="1" t="str">
        <x:v>Нет</x:v>
      </x:c>
      <x:c r="M1367" s="1" t="n">
        <x:v>7420</x:v>
      </x:c>
    </x:row>
    <x:row r="1368">
      <x:c r="A1368" s="1" t="str">
        <x:v>233504050</x:v>
      </x:c>
      <x:c r="B1368" s="1" t="str">
        <x:v>brukiboy/черный</x:v>
      </x:c>
      <x:c r="C1368" s="1" t="str">
        <x:v>Брюки</x:v>
      </x:c>
      <x:c r="D1368" s="9" t="n">
        <x:v>7.7</x:v>
      </x:c>
      <x:c r="E1368" s="8" t="n">
        <x:v>4465</x:v>
      </x:c>
      <x:c r="F1368" s="8" t="n">
        <x:v>38</x:v>
      </x:c>
      <x:c r="G1368" s="8" t="n">
        <x:v>25286</x:v>
      </x:c>
      <x:c r="H1368" s="8" t="n">
        <x:v>533</x:v>
      </x:c>
      <x:c r="I1368" s="8" t="n">
        <x:v>0</x:v>
      </x:c>
      <x:c r="J1368" s="8" t="n">
        <x:v>96</x:v>
      </x:c>
      <x:c r="K1368" s="8" t="n">
        <x:v>1057</x:v>
      </x:c>
      <x:c r="L1368" s="1" t="str">
        <x:v>Нет</x:v>
      </x:c>
      <x:c r="M1368" s="1" t="n">
        <x:v>66550</x:v>
      </x:c>
    </x:row>
    <x:row r="1369">
      <x:c r="A1369" s="1" t="str">
        <x:v>317227918</x:v>
      </x:c>
      <x:c r="B1369" s="1" t="str">
        <x:v>bazakulgirl/голубой</x:v>
      </x:c>
      <x:c r="C1369" s="1" t="str">
        <x:v>Футболки</x:v>
      </x:c>
      <x:c r="D1369" s="9" t="n">
        <x:v>9.5</x:v>
      </x:c>
      <x:c r="E1369" s="8" t="n">
        <x:v>3279</x:v>
      </x:c>
      <x:c r="F1369" s="8" t="n">
        <x:v>72</x:v>
      </x:c>
      <x:c r="G1369" s="8" t="n">
        <x:v>24922</x:v>
      </x:c>
      <x:c r="H1369" s="8" t="n">
        <x:v>208</x:v>
      </x:c>
      <x:c r="I1369" s="8" t="n">
        <x:v>0</x:v>
      </x:c>
      <x:c r="J1369" s="8" t="n">
        <x:v>10</x:v>
      </x:c>
      <x:c r="K1369" s="8" t="n">
        <x:v>580</x:v>
      </x:c>
      <x:c r="L1369" s="1" t="str">
        <x:v>Нет</x:v>
      </x:c>
      <x:c r="M1369" s="1" t="n">
        <x:v>3126</x:v>
      </x:c>
    </x:row>
    <x:row r="1370">
      <x:c r="A1370" s="1" t="str">
        <x:v>219112168</x:v>
      </x:c>
      <x:c r="B1370" s="1" t="str">
        <x:v>futbolkaprint/MEDUSA-17/черный</x:v>
      </x:c>
      <x:c r="C1370" s="1" t="str">
        <x:v>Футболки</x:v>
      </x:c>
      <x:c r="D1370" s="9" t="n">
        <x:v>6.7</x:v>
      </x:c>
      <x:c r="E1370" s="8" t="n">
        <x:v>5518</x:v>
      </x:c>
      <x:c r="F1370" s="8" t="n">
        <x:v>47</x:v>
      </x:c>
      <x:c r="G1370" s="8" t="n">
        <x:v>24257</x:v>
      </x:c>
      <x:c r="H1370" s="8" t="n">
        <x:v>0</x:v>
      </x:c>
      <x:c r="I1370" s="8" t="n">
        <x:v>0</x:v>
      </x:c>
      <x:c r="J1370" s="8" t="n">
        <x:v>667</x:v>
      </x:c>
      <x:c r="K1370" s="8" t="n">
        <x:v>1019</x:v>
      </x:c>
      <x:c r="L1370" s="1" t="str">
        <x:v>Нет</x:v>
      </x:c>
      <x:c r="M1370" s="1" t="n">
        <x:v>419996</x:v>
      </x:c>
    </x:row>
    <x:row r="1371">
      <x:c r="A1371" s="1" t="str">
        <x:v>318405958</x:v>
      </x:c>
      <x:c r="B1371" s="1" t="str">
        <x:v>brukiboy/серыймеланж2</x:v>
      </x:c>
      <x:c r="C1371" s="1" t="str">
        <x:v>Брюки</x:v>
      </x:c>
      <x:c r="D1371" s="9" t="n">
        <x:v>7.7</x:v>
      </x:c>
      <x:c r="E1371" s="8" t="n">
        <x:v>4653</x:v>
      </x:c>
      <x:c r="F1371" s="8" t="n">
        <x:v>47</x:v>
      </x:c>
      <x:c r="G1371" s="8" t="n">
        <x:v>23992</x:v>
      </x:c>
      <x:c r="H1371" s="8" t="n">
        <x:v>84</x:v>
      </x:c>
      <x:c r="I1371" s="8" t="n">
        <x:v>0</x:v>
      </x:c>
      <x:c r="J1371" s="8" t="n">
        <x:v>52</x:v>
      </x:c>
      <x:c r="K1371" s="8" t="n">
        <x:v>1088</x:v>
      </x:c>
      <x:c r="L1371" s="1" t="str">
        <x:v>Нет</x:v>
      </x:c>
      <x:c r="M1371" s="1" t="n">
        <x:v>35350</x:v>
      </x:c>
    </x:row>
    <x:row r="1372">
      <x:c r="A1372" s="1" t="str">
        <x:v>246363173</x:v>
      </x:c>
      <x:c r="B1372" s="1" t="str">
        <x:v>tolstovkazipcrop/дымка</x:v>
      </x:c>
      <x:c r="C1372" s="1" t="str">
        <x:v>Худи</x:v>
      </x:c>
      <x:c r="D1372" s="9" t="n">
        <x:v>9.7</x:v>
      </x:c>
      <x:c r="E1372" s="8" t="n">
        <x:v>13185</x:v>
      </x:c>
      <x:c r="F1372" s="8" t="n">
        <x:v>32</x:v>
      </x:c>
      <x:c r="G1372" s="8" t="n">
        <x:v>23893</x:v>
      </x:c>
      <x:c r="H1372" s="8" t="n">
        <x:v>0</x:v>
      </x:c>
      <x:c r="I1372" s="8" t="n">
        <x:v>0</x:v>
      </x:c>
      <x:c r="J1372" s="8" t="n">
        <x:v>204</x:v>
      </x:c>
      <x:c r="K1372" s="8" t="n">
        <x:v>2366</x:v>
      </x:c>
      <x:c r="L1372" s="1" t="str">
        <x:v>Нет</x:v>
      </x:c>
      <x:c r="M1372" s="1" t="n">
        <x:v>255302</x:v>
      </x:c>
    </x:row>
    <x:row r="1373">
      <x:c r="A1373" s="1" t="str">
        <x:v>313770777</x:v>
      </x:c>
      <x:c r="B1373" s="1" t="str">
        <x:v>futbolkagirl/деним</x:v>
      </x:c>
      <x:c r="C1373" s="1" t="str">
        <x:v>Футболки</x:v>
      </x:c>
      <x:c r="D1373" s="9" t="n">
        <x:v>10</x:v>
      </x:c>
      <x:c r="E1373" s="8" t="n">
        <x:v>19060</x:v>
      </x:c>
      <x:c r="F1373" s="8" t="n">
        <x:v>62</x:v>
      </x:c>
      <x:c r="G1373" s="8" t="n">
        <x:v>23768</x:v>
      </x:c>
      <x:c r="H1373" s="8" t="n">
        <x:v>132</x:v>
      </x:c>
      <x:c r="I1373" s="8" t="n">
        <x:v>0</x:v>
      </x:c>
      <x:c r="J1373" s="8" t="n">
        <x:v>129</x:v>
      </x:c>
      <x:c r="K1373" s="8" t="n">
        <x:v>484</x:v>
      </x:c>
      <x:c r="L1373" s="1" t="str">
        <x:v>Нет</x:v>
      </x:c>
      <x:c r="M1373" s="1" t="n">
        <x:v>45880</x:v>
      </x:c>
    </x:row>
    <x:row r="1374">
      <x:c r="A1374" s="1" t="str">
        <x:v>209915685</x:v>
      </x:c>
      <x:c r="B1374" s="1" t="str">
        <x:v>shorty/бежевый</x:v>
      </x:c>
      <x:c r="C1374" s="1" t="str">
        <x:v>Шорты</x:v>
      </x:c>
      <x:c r="D1374" s="9" t="n">
        <x:v>5.9</x:v>
      </x:c>
      <x:c r="E1374" s="8" t="n">
        <x:v>6005</x:v>
      </x:c>
      <x:c r="F1374" s="8" t="n">
        <x:v>81</x:v>
      </x:c>
      <x:c r="G1374" s="8" t="n">
        <x:v>23331</x:v>
      </x:c>
      <x:c r="H1374" s="8" t="n">
        <x:v>140</x:v>
      </x:c>
      <x:c r="I1374" s="8" t="n">
        <x:v>0</x:v>
      </x:c>
      <x:c r="J1374" s="8" t="n">
        <x:v>6</x:v>
      </x:c>
      <x:c r="K1374" s="8" t="n">
        <x:v>1015</x:v>
      </x:c>
      <x:c r="L1374" s="1" t="str">
        <x:v>Нет</x:v>
      </x:c>
      <x:c r="M1374" s="1" t="n">
        <x:v>2220</x:v>
      </x:c>
    </x:row>
    <x:row r="1375">
      <x:c r="A1375" s="1" t="str">
        <x:v>357022577</x:v>
      </x:c>
      <x:c r="B1375" s="1" t="str">
        <x:v>bazakulgirl/розовый</x:v>
      </x:c>
      <x:c r="C1375" s="1" t="str">
        <x:v>Футболки</x:v>
      </x:c>
      <x:c r="D1375" s="9" t="n">
        <x:v>9.5</x:v>
      </x:c>
      <x:c r="E1375" s="8" t="n">
        <x:v>2383</x:v>
      </x:c>
      <x:c r="F1375" s="8" t="n">
        <x:v>64</x:v>
      </x:c>
      <x:c r="G1375" s="8" t="n">
        <x:v>23193</x:v>
      </x:c>
      <x:c r="H1375" s="8" t="n">
        <x:v>55</x:v>
      </x:c>
      <x:c r="I1375" s="8" t="n">
        <x:v>0</x:v>
      </x:c>
      <x:c r="J1375" s="8" t="n">
        <x:v>0</x:v>
      </x:c>
      <x:c r="K1375" s="8" t="n">
        <x:v>579</x:v>
      </x:c>
      <x:c r="L1375" s="1" t="str">
        <x:v>Нет</x:v>
      </x:c>
      <x:c r="M1375" s="1" t="n">
        <x:v>0</x:v>
      </x:c>
    </x:row>
    <x:row r="1376">
      <x:c r="A1376" s="1" t="str">
        <x:v>256318614</x:v>
      </x:c>
      <x:c r="B1376" s="1" t="str">
        <x:v>futhlopmanover/белый</x:v>
      </x:c>
      <x:c r="C1376" s="1" t="str">
        <x:v>Футболки</x:v>
      </x:c>
      <x:c r="D1376" s="9" t="n">
        <x:v>8.7</x:v>
      </x:c>
      <x:c r="E1376" s="8" t="n">
        <x:v>3955</x:v>
      </x:c>
      <x:c r="F1376" s="8" t="n">
        <x:v>70</x:v>
      </x:c>
      <x:c r="G1376" s="8" t="n">
        <x:v>22788</x:v>
      </x:c>
      <x:c r="H1376" s="8" t="n">
        <x:v>1137</x:v>
      </x:c>
      <x:c r="I1376" s="8" t="n">
        <x:v>0</x:v>
      </x:c>
      <x:c r="J1376" s="8" t="n">
        <x:v>0</x:v>
      </x:c>
      <x:c r="K1376" s="8" t="n">
        <x:v>945</x:v>
      </x:c>
      <x:c r="L1376" s="1" t="str">
        <x:v>Нет</x:v>
      </x:c>
      <x:c r="M1376" s="1" t="n">
        <x:v>0</x:v>
      </x:c>
    </x:row>
    <x:row r="1377">
      <x:c r="A1377" s="1" t="str">
        <x:v>232234792</x:v>
      </x:c>
      <x:c r="B1377" s="1" t="str">
        <x:v>futbolkaprint/FreeYourMind-152/белый</x:v>
      </x:c>
      <x:c r="C1377" s="1" t="str">
        <x:v>Футболки</x:v>
      </x:c>
      <x:c r="D1377" s="9" t="n">
        <x:v>6.7</x:v>
      </x:c>
      <x:c r="E1377" s="8" t="n">
        <x:v>8091</x:v>
      </x:c>
      <x:c r="F1377" s="8" t="n">
        <x:v>42</x:v>
      </x:c>
      <x:c r="G1377" s="8" t="n">
        <x:v>22739</x:v>
      </x:c>
      <x:c r="H1377" s="8" t="n">
        <x:v>1</x:v>
      </x:c>
      <x:c r="I1377" s="8" t="n">
        <x:v>0</x:v>
      </x:c>
      <x:c r="J1377" s="8" t="n">
        <x:v>458</x:v>
      </x:c>
      <x:c r="K1377" s="8" t="n">
        <x:v>1052</x:v>
      </x:c>
      <x:c r="L1377" s="1" t="str">
        <x:v>Нет</x:v>
      </x:c>
      <x:c r="M1377" s="1" t="n">
        <x:v>251229</x:v>
      </x:c>
    </x:row>
    <x:row r="1378">
      <x:c r="A1378" s="1" t="str">
        <x:v>232234803</x:v>
      </x:c>
      <x:c r="B1378" s="1" t="str">
        <x:v>futbolkaprint/Portofino-156/какао</x:v>
      </x:c>
      <x:c r="C1378" s="1" t="str">
        <x:v>Футболки</x:v>
      </x:c>
      <x:c r="D1378" s="9" t="n">
        <x:v>7.7</x:v>
      </x:c>
      <x:c r="E1378" s="8" t="n">
        <x:v>3863</x:v>
      </x:c>
      <x:c r="F1378" s="8" t="n">
        <x:v>31</x:v>
      </x:c>
      <x:c r="G1378" s="8" t="n">
        <x:v>22725</x:v>
      </x:c>
      <x:c r="H1378" s="8" t="n">
        <x:v>0</x:v>
      </x:c>
      <x:c r="I1378" s="8" t="n">
        <x:v>0</x:v>
      </x:c>
      <x:c r="J1378" s="8" t="n">
        <x:v>398</x:v>
      </x:c>
      <x:c r="K1378" s="8" t="n">
        <x:v>1124</x:v>
      </x:c>
      <x:c r="L1378" s="1" t="str">
        <x:v>Нет</x:v>
      </x:c>
      <x:c r="M1378" s="1" t="n">
        <x:v>282959</x:v>
      </x:c>
    </x:row>
    <x:row r="1379">
      <x:c r="A1379" s="1" t="str">
        <x:v>195712697</x:v>
      </x:c>
      <x:c r="B1379" s="1" t="str">
        <x:v>sweater/морскаяволна</x:v>
      </x:c>
      <x:c r="C1379" s="1" t="str">
        <x:v>Свитшоты</x:v>
      </x:c>
      <x:c r="D1379" s="9" t="n">
        <x:v>9.7</x:v>
      </x:c>
      <x:c r="E1379" s="8" t="n">
        <x:v>4030</x:v>
      </x:c>
      <x:c r="F1379" s="8" t="n">
        <x:v>42</x:v>
      </x:c>
      <x:c r="G1379" s="8" t="n">
        <x:v>22646</x:v>
      </x:c>
      <x:c r="H1379" s="8" t="n">
        <x:v>66</x:v>
      </x:c>
      <x:c r="I1379" s="8" t="n">
        <x:v>0</x:v>
      </x:c>
      <x:c r="J1379" s="8" t="n">
        <x:v>185</x:v>
      </x:c>
      <x:c r="K1379" s="8" t="n">
        <x:v>2012</x:v>
      </x:c>
      <x:c r="L1379" s="1" t="str">
        <x:v>Нет</x:v>
      </x:c>
      <x:c r="M1379" s="1" t="n">
        <x:v>161851</x:v>
      </x:c>
    </x:row>
    <x:row r="1380">
      <x:c r="A1380" s="1" t="str">
        <x:v>229653011</x:v>
      </x:c>
      <x:c r="B1380" s="1" t="str">
        <x:v>kostumboy/молочный</x:v>
      </x:c>
      <x:c r="C1380" s="1" t="str">
        <x:v>Костюмы</x:v>
      </x:c>
      <x:c r="D1380" s="9" t="n">
        <x:v>9.7</x:v>
      </x:c>
      <x:c r="E1380" s="8" t="n">
        <x:v>4792</x:v>
      </x:c>
      <x:c r="F1380" s="8" t="n">
        <x:v>18</x:v>
      </x:c>
      <x:c r="G1380" s="8" t="n">
        <x:v>22244</x:v>
      </x:c>
      <x:c r="H1380" s="8" t="n">
        <x:v>118</x:v>
      </x:c>
      <x:c r="I1380" s="8" t="n">
        <x:v>0</x:v>
      </x:c>
      <x:c r="J1380" s="8" t="n">
        <x:v>22</x:v>
      </x:c>
      <x:c r="K1380" s="8" t="n">
        <x:v>2204</x:v>
      </x:c>
      <x:c r="L1380" s="1" t="str">
        <x:v>Нет</x:v>
      </x:c>
      <x:c r="M1380" s="1" t="n">
        <x:v>13200</x:v>
      </x:c>
    </x:row>
    <x:row r="1381">
      <x:c r="A1381" s="1" t="str">
        <x:v>209915723</x:v>
      </x:c>
      <x:c r="B1381" s="1" t="str">
        <x:v>shorty/мандариновый</x:v>
      </x:c>
      <x:c r="C1381" s="1" t="str">
        <x:v>Шорты</x:v>
      </x:c>
      <x:c r="D1381" s="9" t="n">
        <x:v>5.9</x:v>
      </x:c>
      <x:c r="E1381" s="8" t="n">
        <x:v>6411</x:v>
      </x:c>
      <x:c r="F1381" s="8" t="n">
        <x:v>51</x:v>
      </x:c>
      <x:c r="G1381" s="8" t="n">
        <x:v>22213</x:v>
      </x:c>
      <x:c r="H1381" s="8" t="n">
        <x:v>253</x:v>
      </x:c>
      <x:c r="I1381" s="8" t="n">
        <x:v>0</x:v>
      </x:c>
      <x:c r="J1381" s="8" t="n">
        <x:v>24</x:v>
      </x:c>
      <x:c r="K1381" s="8" t="n">
        <x:v>996</x:v>
      </x:c>
      <x:c r="L1381" s="1" t="str">
        <x:v>Нет</x:v>
      </x:c>
      <x:c r="M1381" s="1" t="n">
        <x:v>6660</x:v>
      </x:c>
    </x:row>
    <x:row r="1382">
      <x:c r="A1382" s="1" t="str">
        <x:v>297440102</x:v>
      </x:c>
      <x:c r="B1382" s="1" t="str">
        <x:v>longover/серый</x:v>
      </x:c>
      <x:c r="C1382" s="1" t="str">
        <x:v>Лонгсливы</x:v>
      </x:c>
      <x:c r="D1382" s="9" t="n">
        <x:v>8.7</x:v>
      </x:c>
      <x:c r="E1382" s="8" t="n">
        <x:v>28297</x:v>
      </x:c>
      <x:c r="F1382" s="8" t="n">
        <x:v>36</x:v>
      </x:c>
      <x:c r="G1382" s="8" t="n">
        <x:v>22012</x:v>
      </x:c>
      <x:c r="H1382" s="8" t="n">
        <x:v>320</x:v>
      </x:c>
      <x:c r="I1382" s="8" t="n">
        <x:v>0</x:v>
      </x:c>
      <x:c r="J1382" s="8" t="n">
        <x:v>6</x:v>
      </x:c>
      <x:c r="K1382" s="8" t="n">
        <x:v>1225</x:v>
      </x:c>
      <x:c r="L1382" s="1" t="str">
        <x:v>Нет</x:v>
      </x:c>
      <x:c r="M1382" s="1" t="n">
        <x:v>3600</x:v>
      </x:c>
    </x:row>
    <x:row r="1383">
      <x:c r="A1383" s="1" t="str">
        <x:v>233502091</x:v>
      </x:c>
      <x:c r="B1383" s="1" t="str">
        <x:v>hudigirl/розовый</x:v>
      </x:c>
      <x:c r="C1383" s="1" t="str">
        <x:v>Худи</x:v>
      </x:c>
      <x:c r="D1383" s="9" t="n">
        <x:v>7.7</x:v>
      </x:c>
      <x:c r="E1383" s="8" t="n">
        <x:v>5122</x:v>
      </x:c>
      <x:c r="F1383" s="8" t="n">
        <x:v>22</x:v>
      </x:c>
      <x:c r="G1383" s="8" t="n">
        <x:v>21202</x:v>
      </x:c>
      <x:c r="H1383" s="8" t="n">
        <x:v>1</x:v>
      </x:c>
      <x:c r="I1383" s="8" t="n">
        <x:v>0</x:v>
      </x:c>
      <x:c r="J1383" s="8" t="n">
        <x:v>38</x:v>
      </x:c>
      <x:c r="K1383" s="8" t="n">
        <x:v>1813</x:v>
      </x:c>
      <x:c r="L1383" s="1" t="str">
        <x:v>Нет</x:v>
      </x:c>
      <x:c r="M1383" s="1" t="n">
        <x:v>37656</x:v>
      </x:c>
    </x:row>
    <x:row r="1384">
      <x:c r="A1384" s="1" t="str">
        <x:v>216783590</x:v>
      </x:c>
      <x:c r="B1384" s="1" t="str">
        <x:v>hudiprint/BelMoreSelf-114/красный</x:v>
      </x:c>
      <x:c r="C1384" s="1" t="str">
        <x:v>Худи</x:v>
      </x:c>
      <x:c r="D1384" s="9" t="n">
        <x:v>8.7</x:v>
      </x:c>
      <x:c r="E1384" s="8" t="n">
        <x:v>4809</x:v>
      </x:c>
      <x:c r="F1384" s="8" t="n">
        <x:v>39</x:v>
      </x:c>
      <x:c r="G1384" s="8" t="n">
        <x:v>21150</x:v>
      </x:c>
      <x:c r="H1384" s="8" t="n">
        <x:v>1</x:v>
      </x:c>
      <x:c r="I1384" s="8" t="n">
        <x:v>0</x:v>
      </x:c>
      <x:c r="J1384" s="8" t="n">
        <x:v>132</x:v>
      </x:c>
      <x:c r="K1384" s="8" t="n">
        <x:v>2360</x:v>
      </x:c>
      <x:c r="L1384" s="1" t="str">
        <x:v>Нет</x:v>
      </x:c>
      <x:c r="M1384" s="1" t="n">
        <x:v>155100</x:v>
      </x:c>
    </x:row>
    <x:row r="1385">
      <x:c r="A1385" s="1" t="str">
        <x:v>313770737</x:v>
      </x:c>
      <x:c r="B1385" s="1" t="str">
        <x:v>futbolkaboy/молочный</x:v>
      </x:c>
      <x:c r="C1385" s="1" t="str">
        <x:v>Футболки</x:v>
      </x:c>
      <x:c r="D1385" s="9" t="n">
        <x:v>10</x:v>
      </x:c>
      <x:c r="E1385" s="8" t="n">
        <x:v>6151</x:v>
      </x:c>
      <x:c r="F1385" s="8" t="n">
        <x:v>71</x:v>
      </x:c>
      <x:c r="G1385" s="8" t="n">
        <x:v>21136</x:v>
      </x:c>
      <x:c r="H1385" s="8" t="n">
        <x:v>657</x:v>
      </x:c>
      <x:c r="I1385" s="8" t="n">
        <x:v>0</x:v>
      </x:c>
      <x:c r="J1385" s="8" t="n">
        <x:v>114</x:v>
      </x:c>
      <x:c r="K1385" s="8" t="n">
        <x:v>481</x:v>
      </x:c>
      <x:c r="L1385" s="1" t="str">
        <x:v>Нет</x:v>
      </x:c>
      <x:c r="M1385" s="1" t="n">
        <x:v>48478</x:v>
      </x:c>
    </x:row>
    <x:row r="1386">
      <x:c r="A1386" s="1" t="str">
        <x:v>256323201</x:v>
      </x:c>
      <x:c r="B1386" s="1" t="str">
        <x:v>futhlopmanover/серый</x:v>
      </x:c>
      <x:c r="C1386" s="1" t="str">
        <x:v>Футболки</x:v>
      </x:c>
      <x:c r="D1386" s="9" t="n">
        <x:v>8.7</x:v>
      </x:c>
      <x:c r="E1386" s="8" t="n">
        <x:v>5600</x:v>
      </x:c>
      <x:c r="F1386" s="8" t="n">
        <x:v>40</x:v>
      </x:c>
      <x:c r="G1386" s="8" t="n">
        <x:v>20748</x:v>
      </x:c>
      <x:c r="H1386" s="8" t="n">
        <x:v>0</x:v>
      </x:c>
      <x:c r="I1386" s="8" t="n">
        <x:v>0</x:v>
      </x:c>
      <x:c r="J1386" s="8" t="n">
        <x:v>144</x:v>
      </x:c>
      <x:c r="K1386" s="8" t="n">
        <x:v>1041</x:v>
      </x:c>
      <x:c r="L1386" s="1" t="str">
        <x:v>Нет</x:v>
      </x:c>
      <x:c r="M1386" s="1" t="n">
        <x:v>61000</x:v>
      </x:c>
    </x:row>
    <x:row r="1387">
      <x:c r="A1387" s="1" t="str">
        <x:v>116670019</x:v>
      </x:c>
      <x:c r="B1387" s="1" t="str">
        <x:v>longsliv/сине-морской</x:v>
      </x:c>
      <x:c r="C1387" s="1" t="str">
        <x:v>Лонгсливы</x:v>
      </x:c>
      <x:c r="D1387" s="9" t="n">
        <x:v>9.7</x:v>
      </x:c>
      <x:c r="E1387" s="8" t="n">
        <x:v>13198</x:v>
      </x:c>
      <x:c r="F1387" s="8" t="n">
        <x:v>146</x:v>
      </x:c>
      <x:c r="G1387" s="8" t="n">
        <x:v>20572</x:v>
      </x:c>
      <x:c r="H1387" s="8" t="n">
        <x:v>682</x:v>
      </x:c>
      <x:c r="I1387" s="8" t="n">
        <x:v>0</x:v>
      </x:c>
      <x:c r="J1387" s="8" t="n">
        <x:v>108</x:v>
      </x:c>
      <x:c r="K1387" s="8" t="n">
        <x:v>745</x:v>
      </x:c>
      <x:c r="L1387" s="1" t="str">
        <x:v>Нет</x:v>
      </x:c>
      <x:c r="M1387" s="1" t="n">
        <x:v>29622</x:v>
      </x:c>
    </x:row>
    <x:row r="1388">
      <x:c r="A1388" s="1" t="str">
        <x:v>209143707</x:v>
      </x:c>
      <x:c r="B1388" s="1" t="str">
        <x:v>kulirkamanprint/FREEDOM-67/молочный</x:v>
      </x:c>
      <x:c r="C1388" s="1" t="str">
        <x:v>Футболки</x:v>
      </x:c>
      <x:c r="D1388" s="9" t="n">
        <x:v>9.7</x:v>
      </x:c>
      <x:c r="E1388" s="8" t="n">
        <x:v>3768</x:v>
      </x:c>
      <x:c r="F1388" s="8" t="n">
        <x:v>50</x:v>
      </x:c>
      <x:c r="G1388" s="8" t="n">
        <x:v>20480</x:v>
      </x:c>
      <x:c r="H1388" s="8" t="n">
        <x:v>107</x:v>
      </x:c>
      <x:c r="I1388" s="8" t="n">
        <x:v>0</x:v>
      </x:c>
      <x:c r="J1388" s="8" t="n">
        <x:v>0</x:v>
      </x:c>
      <x:c r="K1388" s="8" t="n">
        <x:v>1280</x:v>
      </x:c>
      <x:c r="L1388" s="1" t="str">
        <x:v>Нет</x:v>
      </x:c>
      <x:c r="M1388" s="1" t="n">
        <x:v>0</x:v>
      </x:c>
    </x:row>
    <x:row r="1389">
      <x:c r="A1389" s="1" t="str">
        <x:v>313770751</x:v>
      </x:c>
      <x:c r="B1389" s="1" t="str">
        <x:v>futbolkaboy/кофейный</x:v>
      </x:c>
      <x:c r="C1389" s="1" t="str">
        <x:v>Футболки</x:v>
      </x:c>
      <x:c r="D1389" s="9" t="n">
        <x:v>10</x:v>
      </x:c>
      <x:c r="E1389" s="8" t="n">
        <x:v>9124</x:v>
      </x:c>
      <x:c r="F1389" s="8" t="n">
        <x:v>75</x:v>
      </x:c>
      <x:c r="G1389" s="8" t="n">
        <x:v>20330</x:v>
      </x:c>
      <x:c r="H1389" s="8" t="n">
        <x:v>0</x:v>
      </x:c>
      <x:c r="I1389" s="8" t="n">
        <x:v>0</x:v>
      </x:c>
      <x:c r="J1389" s="8" t="n">
        <x:v>90</x:v>
      </x:c>
      <x:c r="K1389" s="8" t="n">
        <x:v>484</x:v>
      </x:c>
      <x:c r="L1389" s="1" t="str">
        <x:v>Нет</x:v>
      </x:c>
      <x:c r="M1389" s="1" t="n">
        <x:v>35918</x:v>
      </x:c>
    </x:row>
    <x:row r="1390">
      <x:c r="A1390" s="1" t="str">
        <x:v>313770752</x:v>
      </x:c>
      <x:c r="B1390" s="1" t="str">
        <x:v>futbolkaboy/деним</x:v>
      </x:c>
      <x:c r="C1390" s="1" t="str">
        <x:v>Футболки</x:v>
      </x:c>
      <x:c r="D1390" s="9" t="n">
        <x:v>10</x:v>
      </x:c>
      <x:c r="E1390" s="8" t="n">
        <x:v>5438</x:v>
      </x:c>
      <x:c r="F1390" s="8" t="n">
        <x:v>63</x:v>
      </x:c>
      <x:c r="G1390" s="8" t="n">
        <x:v>20238</x:v>
      </x:c>
      <x:c r="H1390" s="8" t="n">
        <x:v>238</x:v>
      </x:c>
      <x:c r="I1390" s="8" t="n">
        <x:v>0</x:v>
      </x:c>
      <x:c r="J1390" s="8" t="n">
        <x:v>123</x:v>
      </x:c>
      <x:c r="K1390" s="8" t="n">
        <x:v>478</x:v>
      </x:c>
      <x:c r="L1390" s="1" t="str">
        <x:v>Нет</x:v>
      </x:c>
      <x:c r="M1390" s="1" t="n">
        <x:v>43881</x:v>
      </x:c>
    </x:row>
    <x:row r="1391">
      <x:c r="A1391" s="1" t="str">
        <x:v>256315192</x:v>
      </x:c>
      <x:c r="B1391" s="1" t="str">
        <x:v>bazahlop/розовый</x:v>
      </x:c>
      <x:c r="C1391" s="1" t="str">
        <x:v>Футболки</x:v>
      </x:c>
      <x:c r="D1391" s="9" t="n">
        <x:v>8.2</x:v>
      </x:c>
      <x:c r="E1391" s="8" t="n">
        <x:v>6785</x:v>
      </x:c>
      <x:c r="F1391" s="8" t="n">
        <x:v>62</x:v>
      </x:c>
      <x:c r="G1391" s="8" t="n">
        <x:v>19977</x:v>
      </x:c>
      <x:c r="H1391" s="8" t="n">
        <x:v>372</x:v>
      </x:c>
      <x:c r="I1391" s="8" t="n">
        <x:v>0</x:v>
      </x:c>
      <x:c r="J1391" s="8" t="n">
        <x:v>1048</x:v>
      </x:c>
      <x:c r="K1391" s="8" t="n">
        <x:v>612</x:v>
      </x:c>
      <x:c r="L1391" s="1" t="str">
        <x:v>Нет</x:v>
      </x:c>
      <x:c r="M1391" s="1" t="n">
        <x:v>376770</x:v>
      </x:c>
    </x:row>
    <x:row r="1392">
      <x:c r="A1392" s="1" t="str">
        <x:v>344319376</x:v>
      </x:c>
      <x:c r="B1392" s="1" t="str">
        <x:v>toprib3R-82/бордовый</x:v>
      </x:c>
      <x:c r="C1392" s="1" t="str">
        <x:v>Топы</x:v>
      </x:c>
      <x:c r="D1392" s="9" t="n">
        <x:v>8.7</x:v>
      </x:c>
      <x:c r="E1392" s="8" t="n">
        <x:v>11659</x:v>
      </x:c>
      <x:c r="F1392" s="8" t="n">
        <x:v>90</x:v>
      </x:c>
      <x:c r="G1392" s="8" t="n">
        <x:v>19708</x:v>
      </x:c>
      <x:c r="H1392" s="8" t="n">
        <x:v>699</x:v>
      </x:c>
      <x:c r="I1392" s="8" t="n">
        <x:v>0</x:v>
      </x:c>
      <x:c r="J1392" s="8" t="n">
        <x:v>0</x:v>
      </x:c>
      <x:c r="K1392" s="8" t="n">
        <x:v>566</x:v>
      </x:c>
      <x:c r="L1392" s="1" t="str">
        <x:v>Нет</x:v>
      </x:c>
      <x:c r="M1392" s="1" t="n">
        <x:v>0</x:v>
      </x:c>
    </x:row>
    <x:row r="1393">
      <x:c r="A1393" s="1" t="str">
        <x:v>361823570</x:v>
      </x:c>
      <x:c r="B1393" s="1" t="str">
        <x:v>futhlopman/бордовый</x:v>
      </x:c>
      <x:c r="C1393" s="1" t="str">
        <x:v>Футболки</x:v>
      </x:c>
      <x:c r="D1393" s="9" t="n">
        <x:v>8.7</x:v>
      </x:c>
      <x:c r="E1393" s="8" t="n">
        <x:v>9244</x:v>
      </x:c>
      <x:c r="F1393" s="8" t="n">
        <x:v>68</x:v>
      </x:c>
      <x:c r="G1393" s="8" t="n">
        <x:v>19220</x:v>
      </x:c>
      <x:c r="H1393" s="8" t="n">
        <x:v>130</x:v>
      </x:c>
      <x:c r="I1393" s="8" t="n">
        <x:v>0</x:v>
      </x:c>
      <x:c r="J1393" s="8" t="n">
        <x:v>0</x:v>
      </x:c>
      <x:c r="K1393" s="8" t="n">
        <x:v>907</x:v>
      </x:c>
      <x:c r="L1393" s="1" t="str">
        <x:v>Нет</x:v>
      </x:c>
      <x:c r="M1393" s="1" t="n">
        <x:v>0</x:v>
      </x:c>
    </x:row>
    <x:row r="1394">
      <x:c r="A1394" s="1" t="str">
        <x:v>195315575</x:v>
      </x:c>
      <x:c r="B1394" s="1" t="str">
        <x:v>hudiprint/MoreSelf-44/черный</x:v>
      </x:c>
      <x:c r="C1394" s="1" t="str">
        <x:v>Худи</x:v>
      </x:c>
      <x:c r="D1394" s="9" t="n">
        <x:v>6.7</x:v>
      </x:c>
      <x:c r="E1394" s="8" t="n">
        <x:v>1842</x:v>
      </x:c>
      <x:c r="F1394" s="8" t="n">
        <x:v>15</x:v>
      </x:c>
      <x:c r="G1394" s="8" t="n">
        <x:v>19140</x:v>
      </x:c>
      <x:c r="H1394" s="8" t="n">
        <x:v>6</x:v>
      </x:c>
      <x:c r="I1394" s="8" t="n">
        <x:v>0</x:v>
      </x:c>
      <x:c r="J1394" s="8" t="n">
        <x:v>84</x:v>
      </x:c>
      <x:c r="K1394" s="8" t="n">
        <x:v>2726</x:v>
      </x:c>
      <x:c r="L1394" s="1" t="str">
        <x:v>Нет</x:v>
      </x:c>
      <x:c r="M1394" s="1" t="n">
        <x:v>162251</x:v>
      </x:c>
    </x:row>
    <x:row r="1395">
      <x:c r="A1395" s="1" t="str">
        <x:v>181355539</x:v>
      </x:c>
      <x:c r="B1395" s="1" t="str">
        <x:v>sweater/песочный</x:v>
      </x:c>
      <x:c r="C1395" s="1" t="str">
        <x:v>Свитшоты</x:v>
      </x:c>
      <x:c r="D1395" s="9" t="n">
        <x:v>9.7</x:v>
      </x:c>
      <x:c r="E1395" s="8" t="n">
        <x:v>4464</x:v>
      </x:c>
      <x:c r="F1395" s="8" t="n">
        <x:v>28</x:v>
      </x:c>
      <x:c r="G1395" s="8" t="n">
        <x:v>19021</x:v>
      </x:c>
      <x:c r="H1395" s="8" t="n">
        <x:v>26</x:v>
      </x:c>
      <x:c r="I1395" s="8" t="n">
        <x:v>0</x:v>
      </x:c>
      <x:c r="J1395" s="8" t="n">
        <x:v>89</x:v>
      </x:c>
      <x:c r="K1395" s="8" t="n">
        <x:v>2376</x:v>
      </x:c>
      <x:c r="L1395" s="1" t="str">
        <x:v>Нет</x:v>
      </x:c>
      <x:c r="M1395" s="1" t="n">
        <x:v>68376</x:v>
      </x:c>
    </x:row>
    <x:row r="1396">
      <x:c r="A1396" s="1" t="str">
        <x:v>210618387</x:v>
      </x:c>
      <x:c r="B1396" s="1" t="str">
        <x:v>kostkulirkaover/голубой</x:v>
      </x:c>
      <x:c r="C1396" s="1" t="str">
        <x:v>Костюмы</x:v>
      </x:c>
      <x:c r="D1396" s="9" t="n">
        <x:v>8.7</x:v>
      </x:c>
      <x:c r="E1396" s="8" t="n">
        <x:v>14225</x:v>
      </x:c>
      <x:c r="F1396" s="8" t="n">
        <x:v>15</x:v>
      </x:c>
      <x:c r="G1396" s="8" t="n">
        <x:v>18912</x:v>
      </x:c>
      <x:c r="H1396" s="8" t="n">
        <x:v>0</x:v>
      </x:c>
      <x:c r="I1396" s="8" t="n">
        <x:v>0</x:v>
      </x:c>
      <x:c r="J1396" s="8" t="n">
        <x:v>7</x:v>
      </x:c>
      <x:c r="K1396" s="8" t="n">
        <x:v>2065</x:v>
      </x:c>
      <x:c r="L1396" s="1" t="str">
        <x:v>Нет</x:v>
      </x:c>
      <x:c r="M1396" s="1" t="n">
        <x:v>4200</x:v>
      </x:c>
    </x:row>
    <x:row r="1397">
      <x:c r="A1397" s="1" t="str">
        <x:v>323175137</x:v>
      </x:c>
      <x:c r="B1397" s="1" t="str">
        <x:v>ubkamaxi3P-S14/коричневый</x:v>
      </x:c>
      <x:c r="C1397" s="1" t="str">
        <x:v>Юбки</x:v>
      </x:c>
      <x:c r="D1397" s="9" t="n">
        <x:v>8.4</x:v>
      </x:c>
      <x:c r="E1397" s="8" t="n">
        <x:v>28069</x:v>
      </x:c>
      <x:c r="F1397" s="8" t="n">
        <x:v>36</x:v>
      </x:c>
      <x:c r="G1397" s="8" t="n">
        <x:v>18897</x:v>
      </x:c>
      <x:c r="H1397" s="8" t="n">
        <x:v>75</x:v>
      </x:c>
      <x:c r="I1397" s="8" t="n">
        <x:v>0</x:v>
      </x:c>
      <x:c r="J1397" s="8" t="n">
        <x:v>0</x:v>
      </x:c>
      <x:c r="K1397" s="8" t="n">
        <x:v>1872</x:v>
      </x:c>
      <x:c r="L1397" s="1" t="str">
        <x:v>Нет</x:v>
      </x:c>
      <x:c r="M1397" s="1" t="n">
        <x:v>0</x:v>
      </x:c>
    </x:row>
    <x:row r="1398">
      <x:c r="A1398" s="1" t="str">
        <x:v>379285872</x:v>
      </x:c>
      <x:c r="B1398" s="1" t="str">
        <x:v>polovyaz/розовый</x:v>
      </x:c>
      <x:c r="C1398" s="1" t="str">
        <x:v>Свитеры</x:v>
      </x:c>
      <x:c r="D1398" s="9" t="n">
        <x:v>8.7</x:v>
      </x:c>
      <x:c r="E1398" s="8" t="n">
        <x:v>14960</x:v>
      </x:c>
      <x:c r="F1398" s="8" t="n">
        <x:v>25</x:v>
      </x:c>
      <x:c r="G1398" s="8" t="n">
        <x:v>18650</x:v>
      </x:c>
      <x:c r="H1398" s="8" t="n">
        <x:v>378</x:v>
      </x:c>
      <x:c r="I1398" s="8" t="n">
        <x:v>0</x:v>
      </x:c>
      <x:c r="J1398" s="8" t="n">
        <x:v>0</x:v>
      </x:c>
      <x:c r="K1398" s="8" t="n">
        <x:v>2682</x:v>
      </x:c>
      <x:c r="L1398" s="1" t="str">
        <x:v>Нет</x:v>
      </x:c>
      <x:c r="M1398" s="1" t="n">
        <x:v>0</x:v>
      </x:c>
    </x:row>
    <x:row r="1399">
      <x:c r="A1399" s="1" t="str">
        <x:v>241482186</x:v>
      </x:c>
      <x:c r="B1399" s="1" t="str">
        <x:v>termolong/черный</x:v>
      </x:c>
      <x:c r="C1399" s="1" t="str">
        <x:v>Термокомплекты</x:v>
      </x:c>
      <x:c r="D1399" s="9" t="n">
        <x:v>10</x:v>
      </x:c>
      <x:c r="E1399" s="8" t="n">
        <x:v>3096</x:v>
      </x:c>
      <x:c r="F1399" s="8" t="n">
        <x:v>56</x:v>
      </x:c>
      <x:c r="G1399" s="8" t="n">
        <x:v>18640</x:v>
      </x:c>
      <x:c r="H1399" s="8" t="n">
        <x:v>1231</x:v>
      </x:c>
      <x:c r="I1399" s="8" t="n">
        <x:v>0</x:v>
      </x:c>
      <x:c r="J1399" s="8" t="n">
        <x:v>150</x:v>
      </x:c>
      <x:c r="K1399" s="8" t="n">
        <x:v>904</x:v>
      </x:c>
      <x:c r="L1399" s="1" t="str">
        <x:v>Нет</x:v>
      </x:c>
      <x:c r="M1399" s="1" t="n">
        <x:v>71830</x:v>
      </x:c>
    </x:row>
    <x:row r="1400">
      <x:c r="A1400" s="1" t="str">
        <x:v>241516876</x:v>
      </x:c>
      <x:c r="B1400" s="1" t="str">
        <x:v>termoshtanyman/черный</x:v>
      </x:c>
      <x:c r="C1400" s="1" t="str">
        <x:v>Кальсоны</x:v>
      </x:c>
      <x:c r="D1400" s="9" t="n">
        <x:v>10</x:v>
      </x:c>
      <x:c r="E1400" s="8" t="n">
        <x:v>1425</x:v>
      </x:c>
      <x:c r="F1400" s="8" t="n">
        <x:v>28</x:v>
      </x:c>
      <x:c r="G1400" s="8" t="n">
        <x:v>18012</x:v>
      </x:c>
      <x:c r="H1400" s="8" t="n">
        <x:v>3676</x:v>
      </x:c>
      <x:c r="I1400" s="8" t="n">
        <x:v>0</x:v>
      </x:c>
      <x:c r="J1400" s="8" t="n">
        <x:v>180</x:v>
      </x:c>
      <x:c r="K1400" s="8" t="n">
        <x:v>902</x:v>
      </x:c>
      <x:c r="L1400" s="1" t="str">
        <x:v>Нет</x:v>
      </x:c>
      <x:c r="M1400" s="1" t="n">
        <x:v>116018</x:v>
      </x:c>
    </x:row>
    <x:row r="1401">
      <x:c r="A1401" s="1" t="str">
        <x:v>209915724</x:v>
      </x:c>
      <x:c r="B1401" s="1" t="str">
        <x:v>shorty/зелено-серый</x:v>
      </x:c>
      <x:c r="C1401" s="1" t="str">
        <x:v>Шорты</x:v>
      </x:c>
      <x:c r="D1401" s="9" t="n">
        <x:v>5.9</x:v>
      </x:c>
      <x:c r="E1401" s="8" t="n">
        <x:v>5677</x:v>
      </x:c>
      <x:c r="F1401" s="8" t="n">
        <x:v>33</x:v>
      </x:c>
      <x:c r="G1401" s="8" t="n">
        <x:v>17962</x:v>
      </x:c>
      <x:c r="H1401" s="8" t="n">
        <x:v>37</x:v>
      </x:c>
      <x:c r="I1401" s="8" t="n">
        <x:v>0</x:v>
      </x:c>
      <x:c r="J1401" s="8" t="n">
        <x:v>6</x:v>
      </x:c>
      <x:c r="K1401" s="8" t="n">
        <x:v>1054</x:v>
      </x:c>
      <x:c r="L1401" s="1" t="str">
        <x:v>Нет</x:v>
      </x:c>
      <x:c r="M1401" s="1" t="n">
        <x:v>4440</x:v>
      </x:c>
    </x:row>
    <x:row r="1402">
      <x:c r="A1402" s="1" t="str">
        <x:v>317224612</x:v>
      </x:c>
      <x:c r="B1402" s="1" t="str">
        <x:v>bazagirl/какао</x:v>
      </x:c>
      <x:c r="C1402" s="1" t="str">
        <x:v>Футболки</x:v>
      </x:c>
      <x:c r="D1402" s="9" t="n">
        <x:v>9.5</x:v>
      </x:c>
      <x:c r="E1402" s="8" t="n">
        <x:v>2872</x:v>
      </x:c>
      <x:c r="F1402" s="8" t="n">
        <x:v>55</x:v>
      </x:c>
      <x:c r="G1402" s="8" t="n">
        <x:v>17727</x:v>
      </x:c>
      <x:c r="H1402" s="8" t="n">
        <x:v>14</x:v>
      </x:c>
      <x:c r="I1402" s="8" t="n">
        <x:v>0</x:v>
      </x:c>
      <x:c r="J1402" s="8" t="n">
        <x:v>0</x:v>
      </x:c>
      <x:c r="K1402" s="8" t="n">
        <x:v>439</x:v>
      </x:c>
      <x:c r="L1402" s="1" t="str">
        <x:v>Нет</x:v>
      </x:c>
      <x:c r="M1402" s="1" t="n">
        <x:v>0</x:v>
      </x:c>
    </x:row>
    <x:row r="1403">
      <x:c r="A1403" s="1" t="str">
        <x:v>194931723</x:v>
      </x:c>
      <x:c r="B1403" s="1" t="str">
        <x:v>sweater/графит</x:v>
      </x:c>
      <x:c r="C1403" s="1" t="str">
        <x:v>Свитшоты</x:v>
      </x:c>
      <x:c r="D1403" s="9" t="n">
        <x:v>9.7</x:v>
      </x:c>
      <x:c r="E1403" s="8" t="n">
        <x:v>3360</x:v>
      </x:c>
      <x:c r="F1403" s="8" t="n">
        <x:v>53</x:v>
      </x:c>
      <x:c r="G1403" s="8" t="n">
        <x:v>17524</x:v>
      </x:c>
      <x:c r="H1403" s="8" t="n">
        <x:v>374</x:v>
      </x:c>
      <x:c r="I1403" s="8" t="n">
        <x:v>0</x:v>
      </x:c>
      <x:c r="J1403" s="8" t="n">
        <x:v>188</x:v>
      </x:c>
      <x:c r="K1403" s="8" t="n">
        <x:v>2160</x:v>
      </x:c>
      <x:c r="L1403" s="1" t="str">
        <x:v>Нет</x:v>
      </x:c>
      <x:c r="M1403" s="1" t="n">
        <x:v>131010</x:v>
      </x:c>
    </x:row>
    <x:row r="1404">
      <x:c r="A1404" s="1" t="str">
        <x:v>231458803</x:v>
      </x:c>
      <x:c r="B1404" s="1" t="str">
        <x:v>futbolkaboy/светло-фиолетовый</x:v>
      </x:c>
      <x:c r="C1404" s="1" t="str">
        <x:v>Футболки</x:v>
      </x:c>
      <x:c r="D1404" s="9" t="n">
        <x:v>10</x:v>
      </x:c>
      <x:c r="E1404" s="8" t="n">
        <x:v>3189</x:v>
      </x:c>
      <x:c r="F1404" s="8" t="n">
        <x:v>41</x:v>
      </x:c>
      <x:c r="G1404" s="8" t="n">
        <x:v>17507</x:v>
      </x:c>
      <x:c r="H1404" s="8" t="n">
        <x:v>0</x:v>
      </x:c>
      <x:c r="I1404" s="8" t="n">
        <x:v>0</x:v>
      </x:c>
      <x:c r="J1404" s="8" t="n">
        <x:v>30</x:v>
      </x:c>
      <x:c r="K1404" s="8" t="n">
        <x:v>484</x:v>
      </x:c>
      <x:c r="L1404" s="1" t="str">
        <x:v>Нет</x:v>
      </x:c>
      <x:c r="M1404" s="1" t="n">
        <x:v>10840</x:v>
      </x:c>
    </x:row>
    <x:row r="1405">
      <x:c r="A1405" s="1" t="str">
        <x:v>33774770</x:v>
      </x:c>
      <x:c r="B1405" s="1" t="str">
        <x:v>longsliv/мятапыльная</x:v>
      </x:c>
      <x:c r="C1405" s="1" t="str">
        <x:v>Лонгсливы</x:v>
      </x:c>
      <x:c r="D1405" s="9" t="n">
        <x:v>9.7</x:v>
      </x:c>
      <x:c r="E1405" s="8" t="n">
        <x:v>6659</x:v>
      </x:c>
      <x:c r="F1405" s="8" t="n">
        <x:v>69</x:v>
      </x:c>
      <x:c r="G1405" s="8" t="n">
        <x:v>17375</x:v>
      </x:c>
      <x:c r="H1405" s="8" t="n">
        <x:v>488</x:v>
      </x:c>
      <x:c r="I1405" s="8" t="n">
        <x:v>0</x:v>
      </x:c>
      <x:c r="J1405" s="8" t="n">
        <x:v>53</x:v>
      </x:c>
      <x:c r="K1405" s="8" t="n">
        <x:v>752</x:v>
      </x:c>
      <x:c r="L1405" s="1" t="str">
        <x:v>Нет</x:v>
      </x:c>
      <x:c r="M1405" s="1" t="n">
        <x:v>15338</x:v>
      </x:c>
    </x:row>
    <x:row r="1406">
      <x:c r="A1406" s="1" t="str">
        <x:v>158080260</x:v>
      </x:c>
      <x:c r="B1406" s="1" t="str">
        <x:v>bruki/фуксия</x:v>
      </x:c>
      <x:c r="C1406" s="1" t="str">
        <x:v>Брюки</x:v>
      </x:c>
      <x:c r="D1406" s="9" t="n">
        <x:v>7.7</x:v>
      </x:c>
      <x:c r="E1406" s="8" t="n">
        <x:v>5528</x:v>
      </x:c>
      <x:c r="F1406" s="8" t="n">
        <x:v>35</x:v>
      </x:c>
      <x:c r="G1406" s="8" t="n">
        <x:v>17043</x:v>
      </x:c>
      <x:c r="H1406" s="8" t="n">
        <x:v>21</x:v>
      </x:c>
      <x:c r="I1406" s="8" t="n">
        <x:v>0</x:v>
      </x:c>
      <x:c r="J1406" s="8" t="n">
        <x:v>36</x:v>
      </x:c>
      <x:c r="K1406" s="8" t="n">
        <x:v>2139</x:v>
      </x:c>
      <x:c r="L1406" s="1" t="str">
        <x:v>Нет</x:v>
      </x:c>
      <x:c r="M1406" s="1" t="n">
        <x:v>29250</x:v>
      </x:c>
    </x:row>
    <x:row r="1407">
      <x:c r="A1407" s="1" t="str">
        <x:v>209915710</x:v>
      </x:c>
      <x:c r="B1407" s="1" t="str">
        <x:v>shorty/пудровый</x:v>
      </x:c>
      <x:c r="C1407" s="1" t="str">
        <x:v>Шорты</x:v>
      </x:c>
      <x:c r="D1407" s="9" t="n">
        <x:v>6.9</x:v>
      </x:c>
      <x:c r="E1407" s="8" t="n">
        <x:v>6854</x:v>
      </x:c>
      <x:c r="F1407" s="8" t="n">
        <x:v>46</x:v>
      </x:c>
      <x:c r="G1407" s="8" t="n">
        <x:v>16673</x:v>
      </x:c>
      <x:c r="H1407" s="8" t="n">
        <x:v>178</x:v>
      </x:c>
      <x:c r="I1407" s="8" t="n">
        <x:v>0</x:v>
      </x:c>
      <x:c r="J1407" s="8" t="n">
        <x:v>15</x:v>
      </x:c>
      <x:c r="K1407" s="8" t="n">
        <x:v>1054</x:v>
      </x:c>
      <x:c r="L1407" s="1" t="str">
        <x:v>Нет</x:v>
      </x:c>
      <x:c r="M1407" s="1" t="n">
        <x:v>7770</x:v>
      </x:c>
    </x:row>
    <x:row r="1408">
      <x:c r="A1408" s="1" t="str">
        <x:v>228669216</x:v>
      </x:c>
      <x:c r="B1408" s="1" t="str">
        <x:v>futbolkaprint/Prosecco2-112/молочный</x:v>
      </x:c>
      <x:c r="C1408" s="1" t="str">
        <x:v>Футболки</x:v>
      </x:c>
      <x:c r="D1408" s="9" t="n">
        <x:v>9.7</x:v>
      </x:c>
      <x:c r="E1408" s="8" t="n">
        <x:v>1546</x:v>
      </x:c>
      <x:c r="F1408" s="8" t="n">
        <x:v>22</x:v>
      </x:c>
      <x:c r="G1408" s="8" t="n">
        <x:v>16651</x:v>
      </x:c>
      <x:c r="H1408" s="8" t="n">
        <x:v>0</x:v>
      </x:c>
      <x:c r="I1408" s="8" t="n">
        <x:v>0</x:v>
      </x:c>
      <x:c r="J1408" s="8" t="n">
        <x:v>247</x:v>
      </x:c>
      <x:c r="K1408" s="8" t="n">
        <x:v>1112</x:v>
      </x:c>
      <x:c r="L1408" s="1" t="str">
        <x:v>Нет</x:v>
      </x:c>
      <x:c r="M1408" s="1" t="n">
        <x:v>163080</x:v>
      </x:c>
    </x:row>
    <x:row r="1409">
      <x:c r="A1409" s="1" t="str">
        <x:v>195712682</x:v>
      </x:c>
      <x:c r="B1409" s="1" t="str">
        <x:v>sweater/сине-серый</x:v>
      </x:c>
      <x:c r="C1409" s="1" t="str">
        <x:v>Свитшоты</x:v>
      </x:c>
      <x:c r="D1409" s="9" t="n">
        <x:v>9.7</x:v>
      </x:c>
      <x:c r="E1409" s="8" t="n">
        <x:v>2404</x:v>
      </x:c>
      <x:c r="F1409" s="8" t="n">
        <x:v>26</x:v>
      </x:c>
      <x:c r="G1409" s="8" t="n">
        <x:v>16168</x:v>
      </x:c>
      <x:c r="H1409" s="8" t="n">
        <x:v>366</x:v>
      </x:c>
      <x:c r="I1409" s="8" t="n">
        <x:v>0</x:v>
      </x:c>
      <x:c r="J1409" s="8" t="n">
        <x:v>102</x:v>
      </x:c>
      <x:c r="K1409" s="8" t="n">
        <x:v>1990</x:v>
      </x:c>
      <x:c r="L1409" s="1" t="str">
        <x:v>Нет</x:v>
      </x:c>
      <x:c r="M1409" s="1" t="n">
        <x:v>58500</x:v>
      </x:c>
    </x:row>
    <x:row r="1410">
      <x:c r="A1410" s="1" t="str">
        <x:v>380905476</x:v>
      </x:c>
      <x:c r="B1410" s="1" t="str">
        <x:v>futbolkagirl/графит</x:v>
      </x:c>
      <x:c r="C1410" s="1" t="str">
        <x:v>Футболки</x:v>
      </x:c>
      <x:c r="D1410" s="9" t="n">
        <x:v>10</x:v>
      </x:c>
      <x:c r="E1410" s="8" t="n">
        <x:v>17481</x:v>
      </x:c>
      <x:c r="F1410" s="8" t="n">
        <x:v>55</x:v>
      </x:c>
      <x:c r="G1410" s="8" t="n">
        <x:v>16110</x:v>
      </x:c>
      <x:c r="H1410" s="8" t="n">
        <x:v>71</x:v>
      </x:c>
      <x:c r="I1410" s="8" t="n">
        <x:v>0</x:v>
      </x:c>
      <x:c r="J1410" s="8" t="n">
        <x:v>0</x:v>
      </x:c>
      <x:c r="K1410" s="8" t="n">
        <x:v>519</x:v>
      </x:c>
      <x:c r="L1410" s="1" t="str">
        <x:v>Нет</x:v>
      </x:c>
      <x:c r="M1410" s="1" t="n">
        <x:v>0</x:v>
      </x:c>
    </x:row>
    <x:row r="1411">
      <x:c r="A1411" s="1" t="str">
        <x:v>165788824</x:v>
      </x:c>
      <x:c r="B1411" s="1" t="str">
        <x:v>hudi/серыймеланж</x:v>
      </x:c>
      <x:c r="C1411" s="1" t="str">
        <x:v>Худи</x:v>
      </x:c>
      <x:c r="D1411" s="9" t="n">
        <x:v>9.7</x:v>
      </x:c>
      <x:c r="E1411" s="8" t="n">
        <x:v>3670</x:v>
      </x:c>
      <x:c r="F1411" s="8" t="n">
        <x:v>21</x:v>
      </x:c>
      <x:c r="G1411" s="8" t="n">
        <x:v>16054</x:v>
      </x:c>
      <x:c r="H1411" s="8" t="n">
        <x:v>109</x:v>
      </x:c>
      <x:c r="I1411" s="8" t="n">
        <x:v>0</x:v>
      </x:c>
      <x:c r="J1411" s="8" t="n">
        <x:v>12</x:v>
      </x:c>
      <x:c r="K1411" s="8" t="n">
        <x:v>2295</x:v>
      </x:c>
      <x:c r="L1411" s="1" t="str">
        <x:v>Нет</x:v>
      </x:c>
      <x:c r="M1411" s="1" t="n">
        <x:v>11920</x:v>
      </x:c>
    </x:row>
    <x:row r="1412">
      <x:c r="A1412" s="1" t="str">
        <x:v>229653007</x:v>
      </x:c>
      <x:c r="B1412" s="1" t="str">
        <x:v>kostumgirl/розовый</x:v>
      </x:c>
      <x:c r="C1412" s="1" t="str">
        <x:v>Костюмы</x:v>
      </x:c>
      <x:c r="D1412" s="9" t="n">
        <x:v>9.7</x:v>
      </x:c>
      <x:c r="E1412" s="8" t="n">
        <x:v>6513</x:v>
      </x:c>
      <x:c r="F1412" s="8" t="n">
        <x:v>22</x:v>
      </x:c>
      <x:c r="G1412" s="8" t="n">
        <x:v>15763</x:v>
      </x:c>
      <x:c r="H1412" s="8" t="n">
        <x:v>8</x:v>
      </x:c>
      <x:c r="I1412" s="8" t="n">
        <x:v>0</x:v>
      </x:c>
      <x:c r="J1412" s="8" t="n">
        <x:v>58</x:v>
      </x:c>
      <x:c r="K1412" s="8" t="n">
        <x:v>2227</x:v>
      </x:c>
      <x:c r="L1412" s="1" t="str">
        <x:v>Нет</x:v>
      </x:c>
      <x:c r="M1412" s="1" t="n">
        <x:v>78155</x:v>
      </x:c>
    </x:row>
    <x:row r="1413">
      <x:c r="A1413" s="1" t="str">
        <x:v>300270089</x:v>
      </x:c>
      <x:c r="B1413" s="1" t="str">
        <x:v>svitzip3P-S-5/темно-синий</x:v>
      </x:c>
      <x:c r="C1413" s="1" t="str">
        <x:v>Свитшоты</x:v>
      </x:c>
      <x:c r="D1413" s="9" t="n">
        <x:v>8.7</x:v>
      </x:c>
      <x:c r="E1413" s="8" t="n">
        <x:v>6757</x:v>
      </x:c>
      <x:c r="F1413" s="8" t="n">
        <x:v>30</x:v>
      </x:c>
      <x:c r="G1413" s="8" t="n">
        <x:v>15721</x:v>
      </x:c>
      <x:c r="H1413" s="8" t="n">
        <x:v>54</x:v>
      </x:c>
      <x:c r="I1413" s="8" t="n">
        <x:v>0</x:v>
      </x:c>
      <x:c r="J1413" s="8" t="n">
        <x:v>0</x:v>
      </x:c>
      <x:c r="K1413" s="8" t="n">
        <x:v>2652</x:v>
      </x:c>
      <x:c r="L1413" s="1" t="str">
        <x:v>Нет</x:v>
      </x:c>
      <x:c r="M1413" s="1" t="n">
        <x:v>0</x:v>
      </x:c>
    </x:row>
    <x:row r="1414">
      <x:c r="A1414" s="1" t="str">
        <x:v>313770765</x:v>
      </x:c>
      <x:c r="B1414" s="1" t="str">
        <x:v>futbolkagirl/шалфей</x:v>
      </x:c>
      <x:c r="C1414" s="1" t="str">
        <x:v>Футболки</x:v>
      </x:c>
      <x:c r="D1414" s="9" t="n">
        <x:v>10</x:v>
      </x:c>
      <x:c r="E1414" s="8" t="n">
        <x:v>19687</x:v>
      </x:c>
      <x:c r="F1414" s="8" t="n">
        <x:v>48</x:v>
      </x:c>
      <x:c r="G1414" s="8" t="n">
        <x:v>15676</x:v>
      </x:c>
      <x:c r="H1414" s="8" t="n">
        <x:v>35</x:v>
      </x:c>
      <x:c r="I1414" s="8" t="n">
        <x:v>0</x:v>
      </x:c>
      <x:c r="J1414" s="8" t="n">
        <x:v>19</x:v>
      </x:c>
      <x:c r="K1414" s="8" t="n">
        <x:v>478</x:v>
      </x:c>
      <x:c r="L1414" s="1" t="str">
        <x:v>Нет</x:v>
      </x:c>
      <x:c r="M1414" s="1" t="n">
        <x:v>7960</x:v>
      </x:c>
    </x:row>
    <x:row r="1415">
      <x:c r="A1415" s="1" t="str">
        <x:v>229777378</x:v>
      </x:c>
      <x:c r="B1415" s="1" t="str">
        <x:v>futbolkamanoverX3/черный</x:v>
      </x:c>
      <x:c r="C1415" s="1" t="str">
        <x:v>Футболки</x:v>
      </x:c>
      <x:c r="D1415" s="9" t="n">
        <x:v>8.4</x:v>
      </x:c>
      <x:c r="E1415" s="8" t="n">
        <x:v>23539</x:v>
      </x:c>
      <x:c r="F1415" s="8" t="n">
        <x:v>12</x:v>
      </x:c>
      <x:c r="G1415" s="8" t="n">
        <x:v>15556</x:v>
      </x:c>
      <x:c r="H1415" s="8" t="n">
        <x:v>52</x:v>
      </x:c>
      <x:c r="I1415" s="8" t="n">
        <x:v>0</x:v>
      </x:c>
      <x:c r="J1415" s="8" t="n">
        <x:v>3</x:v>
      </x:c>
      <x:c r="K1415" s="8" t="n">
        <x:v>2603</x:v>
      </x:c>
      <x:c r="L1415" s="1" t="str">
        <x:v>Нет</x:v>
      </x:c>
      <x:c r="M1415" s="1" t="n">
        <x:v>5500</x:v>
      </x:c>
    </x:row>
    <x:row r="1416">
      <x:c r="A1416" s="1" t="str">
        <x:v>176976184</x:v>
      </x:c>
      <x:c r="B1416" s="1" t="str">
        <x:v>hudi1size/синий</x:v>
      </x:c>
      <x:c r="C1416" s="1" t="str">
        <x:v>Худи</x:v>
      </x:c>
      <x:c r="D1416" s="9" t="n">
        <x:v>9.7</x:v>
      </x:c>
      <x:c r="E1416" s="8" t="n">
        <x:v>575</x:v>
      </x:c>
      <x:c r="F1416" s="8" t="n">
        <x:v>15</x:v>
      </x:c>
      <x:c r="G1416" s="8" t="n">
        <x:v>15500</x:v>
      </x:c>
      <x:c r="H1416" s="8" t="n">
        <x:v>0</x:v>
      </x:c>
      <x:c r="I1416" s="8" t="n">
        <x:v>0</x:v>
      </x:c>
      <x:c r="J1416" s="8" t="n">
        <x:v>109</x:v>
      </x:c>
      <x:c r="K1416" s="8" t="n">
        <x:v>2217</x:v>
      </x:c>
      <x:c r="L1416" s="1" t="str">
        <x:v>Нет</x:v>
      </x:c>
      <x:c r="M1416" s="1" t="n">
        <x:v>96800</x:v>
      </x:c>
    </x:row>
    <x:row r="1417">
      <x:c r="A1417" s="1" t="str">
        <x:v>202779191</x:v>
      </x:c>
      <x:c r="B1417" s="1" t="str">
        <x:v>hudiprint/MoreSelf-44/темно-серый</x:v>
      </x:c>
      <x:c r="C1417" s="1" t="str">
        <x:v>Худи</x:v>
      </x:c>
      <x:c r="D1417" s="9" t="n">
        <x:v>6.7</x:v>
      </x:c>
      <x:c r="E1417" s="8" t="n">
        <x:v>1408</x:v>
      </x:c>
      <x:c r="F1417" s="8" t="n">
        <x:v>8</x:v>
      </x:c>
      <x:c r="G1417" s="8" t="n">
        <x:v>15429</x:v>
      </x:c>
      <x:c r="H1417" s="8" t="n">
        <x:v>0</x:v>
      </x:c>
      <x:c r="I1417" s="8" t="n">
        <x:v>0</x:v>
      </x:c>
      <x:c r="J1417" s="8" t="n">
        <x:v>81</x:v>
      </x:c>
      <x:c r="K1417" s="8" t="n">
        <x:v>2587</x:v>
      </x:c>
      <x:c r="L1417" s="1" t="str">
        <x:v>Нет</x:v>
      </x:c>
      <x:c r="M1417" s="1" t="n">
        <x:v>107100</x:v>
      </x:c>
    </x:row>
    <x:row r="1418">
      <x:c r="A1418" s="1" t="str">
        <x:v>313770781</x:v>
      </x:c>
      <x:c r="B1418" s="1" t="str">
        <x:v>futbolkagirl/банановый</x:v>
      </x:c>
      <x:c r="C1418" s="1" t="str">
        <x:v>Футболки</x:v>
      </x:c>
      <x:c r="D1418" s="9" t="n">
        <x:v>10</x:v>
      </x:c>
      <x:c r="E1418" s="8" t="n">
        <x:v>5834</x:v>
      </x:c>
      <x:c r="F1418" s="8" t="n">
        <x:v>53</x:v>
      </x:c>
      <x:c r="G1418" s="8" t="n">
        <x:v>15400</x:v>
      </x:c>
      <x:c r="H1418" s="8" t="n">
        <x:v>0</x:v>
      </x:c>
      <x:c r="I1418" s="8" t="n">
        <x:v>0</x:v>
      </x:c>
      <x:c r="J1418" s="8" t="n">
        <x:v>168</x:v>
      </x:c>
      <x:c r="K1418" s="8" t="n">
        <x:v>482</x:v>
      </x:c>
      <x:c r="L1418" s="1" t="str">
        <x:v>Нет</x:v>
      </x:c>
      <x:c r="M1418" s="1" t="n">
        <x:v>62001</x:v>
      </x:c>
    </x:row>
    <x:row r="1419">
      <x:c r="A1419" s="1" t="str">
        <x:v>256323217</x:v>
      </x:c>
      <x:c r="B1419" s="1" t="str">
        <x:v>futhlopmanover/темно-серый</x:v>
      </x:c>
      <x:c r="C1419" s="1" t="str">
        <x:v>Футболки</x:v>
      </x:c>
      <x:c r="D1419" s="9" t="n">
        <x:v>8.7</x:v>
      </x:c>
      <x:c r="E1419" s="8" t="n">
        <x:v>8059</x:v>
      </x:c>
      <x:c r="F1419" s="8" t="n">
        <x:v>43</x:v>
      </x:c>
      <x:c r="G1419" s="8" t="n">
        <x:v>15295</x:v>
      </x:c>
      <x:c r="H1419" s="8" t="n">
        <x:v>1</x:v>
      </x:c>
      <x:c r="I1419" s="8" t="n">
        <x:v>0</x:v>
      </x:c>
      <x:c r="J1419" s="8" t="n">
        <x:v>143</x:v>
      </x:c>
      <x:c r="K1419" s="8" t="n">
        <x:v>1010</x:v>
      </x:c>
      <x:c r="L1419" s="1" t="str">
        <x:v>Нет</x:v>
      </x:c>
      <x:c r="M1419" s="1" t="n">
        <x:v>77000</x:v>
      </x:c>
    </x:row>
    <x:row r="1420">
      <x:c r="A1420" s="1" t="str">
        <x:v>344319379</x:v>
      </x:c>
      <x:c r="B1420" s="1" t="str">
        <x:v>toprib3R-82/бежевый</x:v>
      </x:c>
      <x:c r="C1420" s="1" t="str">
        <x:v>Топы</x:v>
      </x:c>
      <x:c r="D1420" s="9" t="n">
        <x:v>8.7</x:v>
      </x:c>
      <x:c r="E1420" s="8" t="n">
        <x:v>13248</x:v>
      </x:c>
      <x:c r="F1420" s="8" t="n">
        <x:v>91</x:v>
      </x:c>
      <x:c r="G1420" s="8" t="n">
        <x:v>15203</x:v>
      </x:c>
      <x:c r="H1420" s="8" t="n">
        <x:v>920</x:v>
      </x:c>
      <x:c r="I1420" s="8" t="n">
        <x:v>0</x:v>
      </x:c>
      <x:c r="J1420" s="8" t="n">
        <x:v>0</x:v>
      </x:c>
      <x:c r="K1420" s="8" t="n">
        <x:v>434</x:v>
      </x:c>
      <x:c r="L1420" s="1" t="str">
        <x:v>Нет</x:v>
      </x:c>
      <x:c r="M1420" s="1" t="n">
        <x:v>0</x:v>
      </x:c>
    </x:row>
    <x:row r="1421">
      <x:c r="A1421" s="1" t="str">
        <x:v>366559994</x:v>
      </x:c>
      <x:c r="B1421" s="1" t="str">
        <x:v>2Nshortyboy/коричневый</x:v>
      </x:c>
      <x:c r="C1421" s="1" t="str">
        <x:v>Шорты</x:v>
      </x:c>
      <x:c r="D1421" s="9" t="n">
        <x:v>8.4</x:v>
      </x:c>
      <x:c r="E1421" s="8" t="n">
        <x:v>3513</x:v>
      </x:c>
      <x:c r="F1421" s="8" t="n">
        <x:v>39</x:v>
      </x:c>
      <x:c r="G1421" s="8" t="n">
        <x:v>14880</x:v>
      </x:c>
      <x:c r="H1421" s="8" t="n">
        <x:v>30</x:v>
      </x:c>
      <x:c r="I1421" s="8" t="n">
        <x:v>0</x:v>
      </x:c>
      <x:c r="J1421" s="8" t="n">
        <x:v>0</x:v>
      </x:c>
      <x:c r="K1421" s="8" t="n">
        <x:v>812</x:v>
      </x:c>
      <x:c r="L1421" s="1" t="str">
        <x:v>Нет</x:v>
      </x:c>
      <x:c r="M1421" s="1" t="n">
        <x:v>0</x:v>
      </x:c>
    </x:row>
    <x:row r="1422">
      <x:c r="A1422" s="1" t="str">
        <x:v>313770739</x:v>
      </x:c>
      <x:c r="B1422" s="1" t="str">
        <x:v>futbolkagirl/красный</x:v>
      </x:c>
      <x:c r="C1422" s="1" t="str">
        <x:v>Футболки</x:v>
      </x:c>
      <x:c r="D1422" s="9" t="n">
        <x:v>10</x:v>
      </x:c>
      <x:c r="E1422" s="8" t="n">
        <x:v>7727</x:v>
      </x:c>
      <x:c r="F1422" s="8" t="n">
        <x:v>40</x:v>
      </x:c>
      <x:c r="G1422" s="8" t="n">
        <x:v>14540</x:v>
      </x:c>
      <x:c r="H1422" s="8" t="n">
        <x:v>0</x:v>
      </x:c>
      <x:c r="I1422" s="8" t="n">
        <x:v>0</x:v>
      </x:c>
      <x:c r="J1422" s="8" t="n">
        <x:v>90</x:v>
      </x:c>
      <x:c r="K1422" s="8" t="n">
        <x:v>484</x:v>
      </x:c>
      <x:c r="L1422" s="1" t="str">
        <x:v>Нет</x:v>
      </x:c>
      <x:c r="M1422" s="1" t="n">
        <x:v>32920</x:v>
      </x:c>
    </x:row>
    <x:row r="1423">
      <x:c r="A1423" s="1" t="str">
        <x:v>313770745</x:v>
      </x:c>
      <x:c r="B1423" s="1" t="str">
        <x:v>futbolkagirl/сине-морской</x:v>
      </x:c>
      <x:c r="C1423" s="1" t="str">
        <x:v>Футболки</x:v>
      </x:c>
      <x:c r="D1423" s="9" t="n">
        <x:v>10</x:v>
      </x:c>
      <x:c r="E1423" s="8" t="n">
        <x:v>19646</x:v>
      </x:c>
      <x:c r="F1423" s="8" t="n">
        <x:v>39</x:v>
      </x:c>
      <x:c r="G1423" s="8" t="n">
        <x:v>14386</x:v>
      </x:c>
      <x:c r="H1423" s="8" t="n">
        <x:v>125</x:v>
      </x:c>
      <x:c r="I1423" s="8" t="n">
        <x:v>0</x:v>
      </x:c>
      <x:c r="J1423" s="8" t="n">
        <x:v>51</x:v>
      </x:c>
      <x:c r="K1423" s="8" t="n">
        <x:v>483</x:v>
      </x:c>
      <x:c r="L1423" s="1" t="str">
        <x:v>Нет</x:v>
      </x:c>
      <x:c r="M1423" s="1" t="n">
        <x:v>17200</x:v>
      </x:c>
    </x:row>
    <x:row r="1424">
      <x:c r="A1424" s="1" t="str">
        <x:v>178309498</x:v>
      </x:c>
      <x:c r="B1424" s="1" t="str">
        <x:v>svitcrop/коричневый</x:v>
      </x:c>
      <x:c r="C1424" s="1" t="str">
        <x:v>Лонгсливы</x:v>
      </x:c>
      <x:c r="D1424" s="9" t="n">
        <x:v>9.7</x:v>
      </x:c>
      <x:c r="E1424" s="8" t="n">
        <x:v>4363</x:v>
      </x:c>
      <x:c r="F1424" s="8" t="n">
        <x:v>46</x:v>
      </x:c>
      <x:c r="G1424" s="8" t="n">
        <x:v>14380</x:v>
      </x:c>
      <x:c r="H1424" s="8" t="n">
        <x:v>0</x:v>
      </x:c>
      <x:c r="I1424" s="8" t="n">
        <x:v>0</x:v>
      </x:c>
      <x:c r="J1424" s="8" t="n">
        <x:v>93</x:v>
      </x:c>
      <x:c r="K1424" s="8" t="n">
        <x:v>1034</x:v>
      </x:c>
      <x:c r="L1424" s="1" t="str">
        <x:v>Нет</x:v>
      </x:c>
      <x:c r="M1424" s="1" t="n">
        <x:v>33400</x:v>
      </x:c>
    </x:row>
    <x:row r="1425">
      <x:c r="A1425" s="1" t="str">
        <x:v>209915733</x:v>
      </x:c>
      <x:c r="B1425" s="1" t="str">
        <x:v>shorty/белый</x:v>
      </x:c>
      <x:c r="C1425" s="1" t="str">
        <x:v>Шорты</x:v>
      </x:c>
      <x:c r="D1425" s="9" t="n">
        <x:v>5.9</x:v>
      </x:c>
      <x:c r="E1425" s="8" t="n">
        <x:v>6216</x:v>
      </x:c>
      <x:c r="F1425" s="8" t="n">
        <x:v>52</x:v>
      </x:c>
      <x:c r="G1425" s="8" t="n">
        <x:v>14197</x:v>
      </x:c>
      <x:c r="H1425" s="8" t="n">
        <x:v>202</x:v>
      </x:c>
      <x:c r="I1425" s="8" t="n">
        <x:v>0</x:v>
      </x:c>
      <x:c r="J1425" s="8" t="n">
        <x:v>14</x:v>
      </x:c>
      <x:c r="K1425" s="8" t="n">
        <x:v>937</x:v>
      </x:c>
      <x:c r="L1425" s="1" t="str">
        <x:v>Нет</x:v>
      </x:c>
      <x:c r="M1425" s="1" t="n">
        <x:v>4374</x:v>
      </x:c>
    </x:row>
    <x:row r="1426">
      <x:c r="A1426" s="1" t="str">
        <x:v>343238681</x:v>
      </x:c>
      <x:c r="B1426" s="1" t="str">
        <x:v>sweatervyaz/коричневый</x:v>
      </x:c>
      <x:c r="C1426" s="1" t="str">
        <x:v>Свитеры</x:v>
      </x:c>
      <x:c r="D1426" s="9" t="n">
        <x:v>8.7</x:v>
      </x:c>
      <x:c r="E1426" s="8" t="n">
        <x:v>6997</x:v>
      </x:c>
      <x:c r="F1426" s="8" t="n">
        <x:v>34</x:v>
      </x:c>
      <x:c r="G1426" s="8" t="n">
        <x:v>14040</x:v>
      </x:c>
      <x:c r="H1426" s="8" t="n">
        <x:v>220</x:v>
      </x:c>
      <x:c r="I1426" s="8" t="n">
        <x:v>0</x:v>
      </x:c>
      <x:c r="J1426" s="8" t="n">
        <x:v>12</x:v>
      </x:c>
      <x:c r="K1426" s="8" t="n">
        <x:v>2343</x:v>
      </x:c>
      <x:c r="L1426" s="1" t="str">
        <x:v>Нет</x:v>
      </x:c>
      <x:c r="M1426" s="1" t="n">
        <x:v>7200</x:v>
      </x:c>
    </x:row>
    <x:row r="1427">
      <x:c r="A1427" s="1" t="str">
        <x:v>195712692</x:v>
      </x:c>
      <x:c r="B1427" s="1" t="str">
        <x:v>sweater/изумрудно-зеленый</x:v>
      </x:c>
      <x:c r="C1427" s="1" t="str">
        <x:v>Свитшоты</x:v>
      </x:c>
      <x:c r="D1427" s="9" t="n">
        <x:v>7.7</x:v>
      </x:c>
      <x:c r="E1427" s="8" t="n">
        <x:v>1405</x:v>
      </x:c>
      <x:c r="F1427" s="8" t="n">
        <x:v>17</x:v>
      </x:c>
      <x:c r="G1427" s="8" t="n">
        <x:v>13412</x:v>
      </x:c>
      <x:c r="H1427" s="8" t="n">
        <x:v>1</x:v>
      </x:c>
      <x:c r="I1427" s="8" t="n">
        <x:v>0</x:v>
      </x:c>
      <x:c r="J1427" s="8" t="n">
        <x:v>53</x:v>
      </x:c>
      <x:c r="K1427" s="8" t="n">
        <x:v>2211</x:v>
      </x:c>
      <x:c r="L1427" s="1" t="str">
        <x:v>Нет</x:v>
      </x:c>
      <x:c r="M1427" s="1" t="n">
        <x:v>45990</x:v>
      </x:c>
    </x:row>
    <x:row r="1428">
      <x:c r="A1428" s="1" t="str">
        <x:v>176976188</x:v>
      </x:c>
      <x:c r="B1428" s="1" t="str">
        <x:v>hudi1size/молочный</x:v>
      </x:c>
      <x:c r="C1428" s="1" t="str">
        <x:v>Худи</x:v>
      </x:c>
      <x:c r="D1428" s="9" t="n">
        <x:v>9.7</x:v>
      </x:c>
      <x:c r="E1428" s="8" t="n">
        <x:v>1300</x:v>
      </x:c>
      <x:c r="F1428" s="8" t="n">
        <x:v>13</x:v>
      </x:c>
      <x:c r="G1428" s="8" t="n">
        <x:v>13035</x:v>
      </x:c>
      <x:c r="H1428" s="8" t="n">
        <x:v>0</x:v>
      </x:c>
      <x:c r="I1428" s="8" t="n">
        <x:v>0</x:v>
      </x:c>
      <x:c r="J1428" s="8" t="n">
        <x:v>80</x:v>
      </x:c>
      <x:c r="K1428" s="8" t="n">
        <x:v>2605</x:v>
      </x:c>
      <x:c r="L1428" s="1" t="str">
        <x:v>Нет</x:v>
      </x:c>
      <x:c r="M1428" s="1" t="n">
        <x:v>96607</x:v>
      </x:c>
    </x:row>
    <x:row r="1429">
      <x:c r="A1429" s="1" t="str">
        <x:v>235997582</x:v>
      </x:c>
      <x:c r="B1429" s="1" t="str">
        <x:v>bazaboy/хаки</x:v>
      </x:c>
      <x:c r="C1429" s="1" t="str">
        <x:v>Футболки</x:v>
      </x:c>
      <x:c r="D1429" s="9" t="n">
        <x:v>9.5</x:v>
      </x:c>
      <x:c r="E1429" s="8" t="n">
        <x:v>7751</x:v>
      </x:c>
      <x:c r="F1429" s="8" t="n">
        <x:v>40</x:v>
      </x:c>
      <x:c r="G1429" s="8" t="n">
        <x:v>12927</x:v>
      </x:c>
      <x:c r="H1429" s="8" t="n">
        <x:v>237</x:v>
      </x:c>
      <x:c r="I1429" s="8" t="n">
        <x:v>0</x:v>
      </x:c>
      <x:c r="J1429" s="8" t="n">
        <x:v>1</x:v>
      </x:c>
      <x:c r="K1429" s="8" t="n">
        <x:v>487</x:v>
      </x:c>
      <x:c r="L1429" s="1" t="str">
        <x:v>Нет</x:v>
      </x:c>
      <x:c r="M1429" s="1" t="n">
        <x:v>490</x:v>
      </x:c>
    </x:row>
    <x:row r="1430">
      <x:c r="A1430" s="1" t="str">
        <x:v>250555331</x:v>
      </x:c>
      <x:c r="B1430" s="1" t="str">
        <x:v>hudimanprint/DontFollow-190/черный</x:v>
      </x:c>
      <x:c r="C1430" s="1" t="str">
        <x:v>Худи</x:v>
      </x:c>
      <x:c r="D1430" s="9" t="n">
        <x:v>8.7</x:v>
      </x:c>
      <x:c r="E1430" s="8" t="n">
        <x:v>4375</x:v>
      </x:c>
      <x:c r="F1430" s="8" t="n">
        <x:v>10</x:v>
      </x:c>
      <x:c r="G1430" s="8" t="n">
        <x:v>12860</x:v>
      </x:c>
      <x:c r="H1430" s="8" t="n">
        <x:v>28</x:v>
      </x:c>
      <x:c r="I1430" s="8" t="n">
        <x:v>0</x:v>
      </x:c>
      <x:c r="J1430" s="8" t="n">
        <x:v>59</x:v>
      </x:c>
      <x:c r="K1430" s="8" t="n">
        <x:v>2132</x:v>
      </x:c>
      <x:c r="L1430" s="1" t="str">
        <x:v>Нет</x:v>
      </x:c>
      <x:c r="M1430" s="1" t="n">
        <x:v>77700</x:v>
      </x:c>
    </x:row>
    <x:row r="1431">
      <x:c r="A1431" s="1" t="str">
        <x:v>316510758</x:v>
      </x:c>
      <x:c r="B1431" s="1" t="str">
        <x:v>brukiboy/графит</x:v>
      </x:c>
      <x:c r="C1431" s="1" t="str">
        <x:v>Брюки</x:v>
      </x:c>
      <x:c r="D1431" s="9" t="n">
        <x:v>7.7</x:v>
      </x:c>
      <x:c r="E1431" s="8" t="n">
        <x:v>4665</x:v>
      </x:c>
      <x:c r="F1431" s="8" t="n">
        <x:v>18</x:v>
      </x:c>
      <x:c r="G1431" s="8" t="n">
        <x:v>12815</x:v>
      </x:c>
      <x:c r="H1431" s="8" t="n">
        <x:v>233</x:v>
      </x:c>
      <x:c r="I1431" s="8" t="n">
        <x:v>0</x:v>
      </x:c>
      <x:c r="J1431" s="8" t="n">
        <x:v>24</x:v>
      </x:c>
      <x:c r="K1431" s="8" t="n">
        <x:v>1076</x:v>
      </x:c>
      <x:c r="L1431" s="1" t="str">
        <x:v>Нет</x:v>
      </x:c>
      <x:c r="M1431" s="1" t="n">
        <x:v>19800</x:v>
      </x:c>
    </x:row>
    <x:row r="1432">
      <x:c r="A1432" s="1" t="str">
        <x:v>233777161</x:v>
      </x:c>
      <x:c r="B1432" s="1" t="str">
        <x:v>bazaboyX3/ден-сер-шал</x:v>
      </x:c>
      <x:c r="C1432" s="1" t="str">
        <x:v>Футболки</x:v>
      </x:c>
      <x:c r="D1432" s="9" t="n">
        <x:v>9.3</x:v>
      </x:c>
      <x:c r="E1432" s="8" t="n">
        <x:v>591</x:v>
      </x:c>
      <x:c r="F1432" s="8" t="n">
        <x:v>10</x:v>
      </x:c>
      <x:c r="G1432" s="8" t="n">
        <x:v>12543</x:v>
      </x:c>
      <x:c r="H1432" s="8" t="n">
        <x:v>0</x:v>
      </x:c>
      <x:c r="I1432" s="8" t="n">
        <x:v>0</x:v>
      </x:c>
      <x:c r="J1432" s="8" t="n">
        <x:v>114</x:v>
      </x:c>
      <x:c r="K1432" s="8" t="n">
        <x:v>1568</x:v>
      </x:c>
      <x:c r="L1432" s="1" t="str">
        <x:v>Нет</x:v>
      </x:c>
      <x:c r="M1432" s="1" t="n">
        <x:v>116920</x:v>
      </x:c>
    </x:row>
    <x:row r="1433">
      <x:c r="A1433" s="1" t="str">
        <x:v>235988746</x:v>
      </x:c>
      <x:c r="B1433" s="1" t="str">
        <x:v>brukipetl/голубой</x:v>
      </x:c>
      <x:c r="C1433" s="1" t="str">
        <x:v>Брюки</x:v>
      </x:c>
      <x:c r="D1433" s="9" t="n">
        <x:v>8.7</x:v>
      </x:c>
      <x:c r="E1433" s="8" t="n">
        <x:v>6122</x:v>
      </x:c>
      <x:c r="F1433" s="8" t="n">
        <x:v>32</x:v>
      </x:c>
      <x:c r="G1433" s="8" t="n">
        <x:v>12456</x:v>
      </x:c>
      <x:c r="H1433" s="8" t="n">
        <x:v>236</x:v>
      </x:c>
      <x:c r="I1433" s="8" t="n">
        <x:v>0</x:v>
      </x:c>
      <x:c r="J1433" s="8" t="n">
        <x:v>62</x:v>
      </x:c>
      <x:c r="K1433" s="8" t="n">
        <x:v>2060</x:v>
      </x:c>
      <x:c r="L1433" s="1" t="str">
        <x:v>Нет</x:v>
      </x:c>
      <x:c r="M1433" s="1" t="n">
        <x:v>30800</x:v>
      </x:c>
    </x:row>
    <x:row r="1434">
      <x:c r="A1434" s="1" t="str">
        <x:v>150673979</x:v>
      </x:c>
      <x:c r="B1434" s="1" t="str">
        <x:v>svitshotover/салатовый</x:v>
      </x:c>
      <x:c r="C1434" s="1" t="str">
        <x:v>Свитшоты</x:v>
      </x:c>
      <x:c r="D1434" s="9" t="n">
        <x:v>9.7</x:v>
      </x:c>
      <x:c r="E1434" s="8" t="n">
        <x:v>1129</x:v>
      </x:c>
      <x:c r="F1434" s="8" t="n">
        <x:v>12</x:v>
      </x:c>
      <x:c r="G1434" s="8" t="n">
        <x:v>12357</x:v>
      </x:c>
      <x:c r="H1434" s="8" t="n">
        <x:v>16</x:v>
      </x:c>
      <x:c r="I1434" s="8" t="n">
        <x:v>0</x:v>
      </x:c>
      <x:c r="J1434" s="8" t="n">
        <x:v>23</x:v>
      </x:c>
      <x:c r="K1434" s="8" t="n">
        <x:v>2054</x:v>
      </x:c>
      <x:c r="L1434" s="1" t="str">
        <x:v>Нет</x:v>
      </x:c>
      <x:c r="M1434" s="1" t="n">
        <x:v>26400</x:v>
      </x:c>
    </x:row>
    <x:row r="1435">
      <x:c r="A1435" s="1" t="str">
        <x:v>215422753</x:v>
      </x:c>
      <x:c r="B1435" s="1" t="str">
        <x:v>futbolkaprint/MCollection-103/белый</x:v>
      </x:c>
      <x:c r="C1435" s="1" t="str">
        <x:v>Футболки</x:v>
      </x:c>
      <x:c r="D1435" s="9" t="n">
        <x:v>9.7</x:v>
      </x:c>
      <x:c r="E1435" s="8" t="n">
        <x:v>2641</x:v>
      </x:c>
      <x:c r="F1435" s="8" t="n">
        <x:v>18</x:v>
      </x:c>
      <x:c r="G1435" s="8" t="n">
        <x:v>12227</x:v>
      </x:c>
      <x:c r="H1435" s="8" t="n">
        <x:v>0</x:v>
      </x:c>
      <x:c r="I1435" s="8" t="n">
        <x:v>0</x:v>
      </x:c>
      <x:c r="J1435" s="8" t="n">
        <x:v>267</x:v>
      </x:c>
      <x:c r="K1435" s="8" t="n">
        <x:v>1098</x:v>
      </x:c>
      <x:c r="L1435" s="1" t="str">
        <x:v>Нет</x:v>
      </x:c>
      <x:c r="M1435" s="1" t="n">
        <x:v>178199</x:v>
      </x:c>
    </x:row>
    <x:row r="1436">
      <x:c r="A1436" s="1" t="str">
        <x:v>368371038</x:v>
      </x:c>
      <x:c r="B1436" s="1" t="str">
        <x:v>bazaboy/вареныйсерый</x:v>
      </x:c>
      <x:c r="C1436" s="1" t="str">
        <x:v>Футболки</x:v>
      </x:c>
      <x:c r="D1436" s="9" t="n">
        <x:v>9.5</x:v>
      </x:c>
      <x:c r="E1436" s="8" t="n">
        <x:v>5096</x:v>
      </x:c>
      <x:c r="F1436" s="8" t="n">
        <x:v>39</x:v>
      </x:c>
      <x:c r="G1436" s="8" t="n">
        <x:v>11858</x:v>
      </x:c>
      <x:c r="H1436" s="8" t="n">
        <x:v>703</x:v>
      </x:c>
      <x:c r="I1436" s="8" t="n">
        <x:v>0</x:v>
      </x:c>
      <x:c r="J1436" s="8" t="n">
        <x:v>0</x:v>
      </x:c>
      <x:c r="K1436" s="8" t="n">
        <x:v>594</x:v>
      </x:c>
      <x:c r="L1436" s="1" t="str">
        <x:v>Нет</x:v>
      </x:c>
      <x:c r="M1436" s="1" t="n">
        <x:v>0</x:v>
      </x:c>
    </x:row>
    <x:row r="1437">
      <x:c r="A1437" s="1" t="str">
        <x:v>227853240</x:v>
      </x:c>
      <x:c r="B1437" s="1" t="str">
        <x:v>shorty/розовый</x:v>
      </x:c>
      <x:c r="C1437" s="1" t="str">
        <x:v>Шорты</x:v>
      </x:c>
      <x:c r="D1437" s="9" t="n">
        <x:v>3.9</x:v>
      </x:c>
      <x:c r="E1437" s="8" t="n">
        <x:v>1875</x:v>
      </x:c>
      <x:c r="F1437" s="8" t="n">
        <x:v>49</x:v>
      </x:c>
      <x:c r="G1437" s="8" t="n">
        <x:v>11606</x:v>
      </x:c>
      <x:c r="H1437" s="8" t="n">
        <x:v>0</x:v>
      </x:c>
      <x:c r="I1437" s="8" t="n">
        <x:v>0</x:v>
      </x:c>
      <x:c r="J1437" s="8" t="n">
        <x:v>3</x:v>
      </x:c>
      <x:c r="K1437" s="8" t="n">
        <x:v>1059</x:v>
      </x:c>
      <x:c r="L1437" s="1" t="str">
        <x:v>Нет</x:v>
      </x:c>
      <x:c r="M1437" s="1" t="n">
        <x:v>2110</x:v>
      </x:c>
    </x:row>
    <x:row r="1438">
      <x:c r="A1438" s="1" t="str">
        <x:v>335327572</x:v>
      </x:c>
      <x:c r="B1438" s="1" t="str">
        <x:v>bazakulgirl/черный</x:v>
      </x:c>
      <x:c r="C1438" s="1" t="str">
        <x:v>Футболки</x:v>
      </x:c>
      <x:c r="D1438" s="9" t="n">
        <x:v>9.5</x:v>
      </x:c>
      <x:c r="E1438" s="8" t="n">
        <x:v>1939</x:v>
      </x:c>
      <x:c r="F1438" s="8" t="n">
        <x:v>31</x:v>
      </x:c>
      <x:c r="G1438" s="8" t="n">
        <x:v>11495</x:v>
      </x:c>
      <x:c r="H1438" s="8" t="n">
        <x:v>3389</x:v>
      </x:c>
      <x:c r="I1438" s="8" t="n">
        <x:v>0</x:v>
      </x:c>
      <x:c r="J1438" s="8" t="n">
        <x:v>3</x:v>
      </x:c>
      <x:c r="K1438" s="8" t="n">
        <x:v>575</x:v>
      </x:c>
      <x:c r="L1438" s="1" t="str">
        <x:v>Нет</x:v>
      </x:c>
      <x:c r="M1438" s="1" t="n">
        <x:v>1710</x:v>
      </x:c>
    </x:row>
    <x:row r="1439">
      <x:c r="A1439" s="1" t="str">
        <x:v>317227919</x:v>
      </x:c>
      <x:c r="B1439" s="1" t="str">
        <x:v>bazakulgirl/красный</x:v>
      </x:c>
      <x:c r="C1439" s="1" t="str">
        <x:v>Футболки</x:v>
      </x:c>
      <x:c r="D1439" s="9" t="n">
        <x:v>9.5</x:v>
      </x:c>
      <x:c r="E1439" s="8" t="n">
        <x:v>2289</x:v>
      </x:c>
      <x:c r="F1439" s="8" t="n">
        <x:v>36</x:v>
      </x:c>
      <x:c r="G1439" s="8" t="n">
        <x:v>11494</x:v>
      </x:c>
      <x:c r="H1439" s="8" t="n">
        <x:v>162</x:v>
      </x:c>
      <x:c r="I1439" s="8" t="n">
        <x:v>0</x:v>
      </x:c>
      <x:c r="J1439" s="8" t="n">
        <x:v>15</x:v>
      </x:c>
      <x:c r="K1439" s="8" t="n">
        <x:v>577</x:v>
      </x:c>
      <x:c r="L1439" s="1" t="str">
        <x:v>Нет</x:v>
      </x:c>
      <x:c r="M1439" s="1" t="n">
        <x:v>5259</x:v>
      </x:c>
    </x:row>
    <x:row r="1440">
      <x:c r="A1440" s="1" t="str">
        <x:v>194931702</x:v>
      </x:c>
      <x:c r="B1440" s="1" t="str">
        <x:v>sweater/белый</x:v>
      </x:c>
      <x:c r="C1440" s="1" t="str">
        <x:v>Свитшоты</x:v>
      </x:c>
      <x:c r="D1440" s="9" t="n">
        <x:v>9.7</x:v>
      </x:c>
      <x:c r="E1440" s="8" t="n">
        <x:v>2305</x:v>
      </x:c>
      <x:c r="F1440" s="8" t="n">
        <x:v>22</x:v>
      </x:c>
      <x:c r="G1440" s="8" t="n">
        <x:v>11095</x:v>
      </x:c>
      <x:c r="H1440" s="8" t="n">
        <x:v>216</x:v>
      </x:c>
      <x:c r="I1440" s="8" t="n">
        <x:v>0</x:v>
      </x:c>
      <x:c r="J1440" s="8" t="n">
        <x:v>52</x:v>
      </x:c>
      <x:c r="K1440" s="8" t="n">
        <x:v>2266</x:v>
      </x:c>
      <x:c r="L1440" s="1" t="str">
        <x:v>Нет</x:v>
      </x:c>
      <x:c r="M1440" s="1" t="n">
        <x:v>38930</x:v>
      </x:c>
    </x:row>
    <x:row r="1441">
      <x:c r="A1441" s="1" t="str">
        <x:v>195712687</x:v>
      </x:c>
      <x:c r="B1441" s="1" t="str">
        <x:v>sweater/хаки</x:v>
      </x:c>
      <x:c r="C1441" s="1" t="str">
        <x:v>Свитшоты</x:v>
      </x:c>
      <x:c r="D1441" s="9" t="n">
        <x:v>9.7</x:v>
      </x:c>
      <x:c r="E1441" s="8" t="n">
        <x:v>2468</x:v>
      </x:c>
      <x:c r="F1441" s="8" t="n">
        <x:v>13</x:v>
      </x:c>
      <x:c r="G1441" s="8" t="n">
        <x:v>11090</x:v>
      </x:c>
      <x:c r="H1441" s="8" t="n">
        <x:v>286</x:v>
      </x:c>
      <x:c r="I1441" s="8" t="n">
        <x:v>0</x:v>
      </x:c>
      <x:c r="J1441" s="8" t="n">
        <x:v>32</x:v>
      </x:c>
      <x:c r="K1441" s="8" t="n">
        <x:v>2253</x:v>
      </x:c>
      <x:c r="L1441" s="1" t="str">
        <x:v>Нет</x:v>
      </x:c>
      <x:c r="M1441" s="1" t="n">
        <x:v>36272</x:v>
      </x:c>
    </x:row>
    <x:row r="1442">
      <x:c r="A1442" s="1" t="str">
        <x:v>313770771</x:v>
      </x:c>
      <x:c r="B1442" s="1" t="str">
        <x:v>futbolkaboy/хаки</x:v>
      </x:c>
      <x:c r="C1442" s="1" t="str">
        <x:v>Футболки</x:v>
      </x:c>
      <x:c r="D1442" s="9" t="n">
        <x:v>10</x:v>
      </x:c>
      <x:c r="E1442" s="8" t="n">
        <x:v>6408</x:v>
      </x:c>
      <x:c r="F1442" s="8" t="n">
        <x:v>33</x:v>
      </x:c>
      <x:c r="G1442" s="8" t="n">
        <x:v>11009</x:v>
      </x:c>
      <x:c r="H1442" s="8" t="n">
        <x:v>195</x:v>
      </x:c>
      <x:c r="I1442" s="8" t="n">
        <x:v>0</x:v>
      </x:c>
      <x:c r="J1442" s="8" t="n">
        <x:v>46</x:v>
      </x:c>
      <x:c r="K1442" s="8" t="n">
        <x:v>478</x:v>
      </x:c>
      <x:c r="L1442" s="1" t="str">
        <x:v>Нет</x:v>
      </x:c>
      <x:c r="M1442" s="1" t="n">
        <x:v>15520</x:v>
      </x:c>
    </x:row>
    <x:row r="1443">
      <x:c r="A1443" s="1" t="str">
        <x:v>344319373</x:v>
      </x:c>
      <x:c r="B1443" s="1" t="str">
        <x:v>toprib3R-82/темно-серый</x:v>
      </x:c>
      <x:c r="C1443" s="1" t="str">
        <x:v>Топы</x:v>
      </x:c>
      <x:c r="D1443" s="9" t="n">
        <x:v>8.7</x:v>
      </x:c>
      <x:c r="E1443" s="8" t="n">
        <x:v>8970</x:v>
      </x:c>
      <x:c r="F1443" s="8" t="n">
        <x:v>36</x:v>
      </x:c>
      <x:c r="G1443" s="8" t="n">
        <x:v>10989</x:v>
      </x:c>
      <x:c r="H1443" s="8" t="n">
        <x:v>392</x:v>
      </x:c>
      <x:c r="I1443" s="8" t="n">
        <x:v>0</x:v>
      </x:c>
      <x:c r="J1443" s="8" t="n">
        <x:v>0</x:v>
      </x:c>
      <x:c r="K1443" s="8" t="n">
        <x:v>500</x:v>
      </x:c>
      <x:c r="L1443" s="1" t="str">
        <x:v>Нет</x:v>
      </x:c>
      <x:c r="M1443" s="1" t="n">
        <x:v>0</x:v>
      </x:c>
    </x:row>
    <x:row r="1444">
      <x:c r="A1444" s="1" t="str">
        <x:v>209914904</x:v>
      </x:c>
      <x:c r="B1444" s="1" t="str">
        <x:v>svitshotonesize/бежевый</x:v>
      </x:c>
      <x:c r="C1444" s="1" t="str">
        <x:v>Свитшоты</x:v>
      </x:c>
      <x:c r="D1444" s="9" t="n">
        <x:v>7.7</x:v>
      </x:c>
      <x:c r="E1444" s="8" t="n">
        <x:v>1081</x:v>
      </x:c>
      <x:c r="F1444" s="8" t="n">
        <x:v>8</x:v>
      </x:c>
      <x:c r="G1444" s="8" t="n">
        <x:v>10980</x:v>
      </x:c>
      <x:c r="H1444" s="8" t="n">
        <x:v>31</x:v>
      </x:c>
      <x:c r="I1444" s="8" t="n">
        <x:v>0</x:v>
      </x:c>
      <x:c r="J1444" s="8" t="n">
        <x:v>17</x:v>
      </x:c>
      <x:c r="K1444" s="8" t="n">
        <x:v>2192</x:v>
      </x:c>
      <x:c r="L1444" s="1" t="str">
        <x:v>Нет</x:v>
      </x:c>
      <x:c r="M1444" s="1" t="n">
        <x:v>11500</x:v>
      </x:c>
    </x:row>
    <x:row r="1445">
      <x:c r="A1445" s="1" t="str">
        <x:v>379285870</x:v>
      </x:c>
      <x:c r="B1445" s="1" t="str">
        <x:v>polovyaz/бордовый</x:v>
      </x:c>
      <x:c r="C1445" s="1" t="str">
        <x:v>Свитеры</x:v>
      </x:c>
      <x:c r="D1445" s="9" t="n">
        <x:v>8.7</x:v>
      </x:c>
      <x:c r="E1445" s="8" t="n">
        <x:v>6869</x:v>
      </x:c>
      <x:c r="F1445" s="8" t="n">
        <x:v>15</x:v>
      </x:c>
      <x:c r="G1445" s="8" t="n">
        <x:v>10800</x:v>
      </x:c>
      <x:c r="H1445" s="8" t="n">
        <x:v>385</x:v>
      </x:c>
      <x:c r="I1445" s="8" t="n">
        <x:v>0</x:v>
      </x:c>
      <x:c r="J1445" s="8" t="n">
        <x:v>0</x:v>
      </x:c>
      <x:c r="K1445" s="8" t="n">
        <x:v>2700</x:v>
      </x:c>
      <x:c r="L1445" s="1" t="str">
        <x:v>Нет</x:v>
      </x:c>
      <x:c r="M1445" s="1" t="n">
        <x:v>0</x:v>
      </x:c>
    </x:row>
    <x:row r="1446">
      <x:c r="A1446" s="1" t="str">
        <x:v>344319378</x:v>
      </x:c>
      <x:c r="B1446" s="1" t="str">
        <x:v>toprib3R-82/серый</x:v>
      </x:c>
      <x:c r="C1446" s="1" t="str">
        <x:v>Топы</x:v>
      </x:c>
      <x:c r="D1446" s="9" t="n">
        <x:v>8.7</x:v>
      </x:c>
      <x:c r="E1446" s="8" t="n">
        <x:v>12827</x:v>
      </x:c>
      <x:c r="F1446" s="8" t="n">
        <x:v>43</x:v>
      </x:c>
      <x:c r="G1446" s="8" t="n">
        <x:v>10785</x:v>
      </x:c>
      <x:c r="H1446" s="8" t="n">
        <x:v>393</x:v>
      </x:c>
      <x:c r="I1446" s="8" t="n">
        <x:v>0</x:v>
      </x:c>
      <x:c r="J1446" s="8" t="n">
        <x:v>0</x:v>
      </x:c>
      <x:c r="K1446" s="8" t="n">
        <x:v>539</x:v>
      </x:c>
      <x:c r="L1446" s="1" t="str">
        <x:v>Нет</x:v>
      </x:c>
      <x:c r="M1446" s="1" t="n">
        <x:v>0</x:v>
      </x:c>
    </x:row>
    <x:row r="1447">
      <x:c r="A1447" s="1" t="str">
        <x:v>116858506</x:v>
      </x:c>
      <x:c r="B1447" s="1" t="str">
        <x:v>bruki/зеленый</x:v>
      </x:c>
      <x:c r="C1447" s="1" t="str">
        <x:v>Брюки</x:v>
      </x:c>
      <x:c r="D1447" s="9" t="n">
        <x:v>7.7</x:v>
      </x:c>
      <x:c r="E1447" s="8" t="n">
        <x:v>2565</x:v>
      </x:c>
      <x:c r="F1447" s="8" t="n">
        <x:v>13</x:v>
      </x:c>
      <x:c r="G1447" s="8" t="n">
        <x:v>10693</x:v>
      </x:c>
      <x:c r="H1447" s="8" t="n">
        <x:v>62</x:v>
      </x:c>
      <x:c r="I1447" s="8" t="n">
        <x:v>0</x:v>
      </x:c>
      <x:c r="J1447" s="8" t="n">
        <x:v>14</x:v>
      </x:c>
      <x:c r="K1447" s="8" t="n">
        <x:v>2134</x:v>
      </x:c>
      <x:c r="L1447" s="1" t="str">
        <x:v>Нет</x:v>
      </x:c>
      <x:c r="M1447" s="1" t="n">
        <x:v>13200</x:v>
      </x:c>
    </x:row>
    <x:row r="1448">
      <x:c r="A1448" s="1" t="str">
        <x:v>198068982</x:v>
      </x:c>
      <x:c r="B1448" s="1" t="str">
        <x:v>hudi1size/серыймеланж2</x:v>
      </x:c>
      <x:c r="C1448" s="1" t="str">
        <x:v>Худи</x:v>
      </x:c>
      <x:c r="D1448" s="9" t="n">
        <x:v>9.7</x:v>
      </x:c>
      <x:c r="E1448" s="8" t="n">
        <x:v>1126</x:v>
      </x:c>
      <x:c r="F1448" s="8" t="n">
        <x:v>9</x:v>
      </x:c>
      <x:c r="G1448" s="8" t="n">
        <x:v>10686</x:v>
      </x:c>
      <x:c r="H1448" s="8" t="n">
        <x:v>0</x:v>
      </x:c>
      <x:c r="I1448" s="8" t="n">
        <x:v>0</x:v>
      </x:c>
      <x:c r="J1448" s="8" t="n">
        <x:v>27</x:v>
      </x:c>
      <x:c r="K1448" s="8" t="n">
        <x:v>2672</x:v>
      </x:c>
      <x:c r="L1448" s="1" t="str">
        <x:v>Нет</x:v>
      </x:c>
      <x:c r="M1448" s="1" t="n">
        <x:v>16050</x:v>
      </x:c>
    </x:row>
    <x:row r="1449">
      <x:c r="A1449" s="1" t="str">
        <x:v>233262531</x:v>
      </x:c>
      <x:c r="B1449" s="1" t="str">
        <x:v>2Nshortymanbk/песочный</x:v>
      </x:c>
      <x:c r="C1449" s="1" t="str">
        <x:v>Шорты</x:v>
      </x:c>
      <x:c r="D1449" s="9" t="n">
        <x:v>8.4</x:v>
      </x:c>
      <x:c r="E1449" s="8" t="n">
        <x:v>6358</x:v>
      </x:c>
      <x:c r="F1449" s="8" t="n">
        <x:v>45</x:v>
      </x:c>
      <x:c r="G1449" s="8" t="n">
        <x:v>10500</x:v>
      </x:c>
      <x:c r="H1449" s="8" t="n">
        <x:v>0</x:v>
      </x:c>
      <x:c r="I1449" s="8" t="n">
        <x:v>0</x:v>
      </x:c>
      <x:c r="J1449" s="8" t="n">
        <x:v>0</x:v>
      </x:c>
      <x:c r="K1449" s="8" t="n">
        <x:v>1480</x:v>
      </x:c>
      <x:c r="L1449" s="1" t="str">
        <x:v>Нет</x:v>
      </x:c>
      <x:c r="M1449" s="1" t="n">
        <x:v>0</x:v>
      </x:c>
    </x:row>
    <x:row r="1450">
      <x:c r="A1450" s="1" t="str">
        <x:v>176976190</x:v>
      </x:c>
      <x:c r="B1450" s="1" t="str">
        <x:v>hudi1size/графит</x:v>
      </x:c>
      <x:c r="C1450" s="1" t="str">
        <x:v>Худи</x:v>
      </x:c>
      <x:c r="D1450" s="9" t="n">
        <x:v>9.7</x:v>
      </x:c>
      <x:c r="E1450" s="8" t="n">
        <x:v>455</x:v>
      </x:c>
      <x:c r="F1450" s="8" t="n">
        <x:v>5</x:v>
      </x:c>
      <x:c r="G1450" s="8" t="n">
        <x:v>10469</x:v>
      </x:c>
      <x:c r="H1450" s="8" t="n">
        <x:v>0</x:v>
      </x:c>
      <x:c r="I1450" s="8" t="n">
        <x:v>0</x:v>
      </x:c>
      <x:c r="J1450" s="8" t="n">
        <x:v>22</x:v>
      </x:c>
      <x:c r="K1450" s="8" t="n">
        <x:v>2638</x:v>
      </x:c>
      <x:c r="L1450" s="1" t="str">
        <x:v>Нет</x:v>
      </x:c>
      <x:c r="M1450" s="1" t="n">
        <x:v>23310</x:v>
      </x:c>
    </x:row>
    <x:row r="1451">
      <x:c r="A1451" s="1" t="str">
        <x:v>209915684</x:v>
      </x:c>
      <x:c r="B1451" s="1" t="str">
        <x:v>shorty/серовато-розовый</x:v>
      </x:c>
      <x:c r="C1451" s="1" t="str">
        <x:v>Шорты</x:v>
      </x:c>
      <x:c r="D1451" s="9" t="n">
        <x:v>6.9</x:v>
      </x:c>
      <x:c r="E1451" s="8" t="n">
        <x:v>6678</x:v>
      </x:c>
      <x:c r="F1451" s="8" t="n">
        <x:v>21</x:v>
      </x:c>
      <x:c r="G1451" s="8" t="n">
        <x:v>10385</x:v>
      </x:c>
      <x:c r="H1451" s="8" t="n">
        <x:v>3</x:v>
      </x:c>
      <x:c r="I1451" s="8" t="n">
        <x:v>0</x:v>
      </x:c>
      <x:c r="J1451" s="8" t="n">
        <x:v>5</x:v>
      </x:c>
      <x:c r="K1451" s="8" t="n">
        <x:v>1044</x:v>
      </x:c>
      <x:c r="L1451" s="1" t="str">
        <x:v>Нет</x:v>
      </x:c>
      <x:c r="M1451" s="1" t="n">
        <x:v>2220</x:v>
      </x:c>
    </x:row>
    <x:row r="1452">
      <x:c r="A1452" s="1" t="str">
        <x:v>246013570</x:v>
      </x:c>
      <x:c r="B1452" s="1" t="str">
        <x:v>bazakulgirl/мятапыльная</x:v>
      </x:c>
      <x:c r="C1452" s="1" t="str">
        <x:v>Футболки</x:v>
      </x:c>
      <x:c r="D1452" s="9" t="n">
        <x:v>7.5</x:v>
      </x:c>
      <x:c r="E1452" s="8" t="n">
        <x:v>2104</x:v>
      </x:c>
      <x:c r="F1452" s="8" t="n">
        <x:v>30</x:v>
      </x:c>
      <x:c r="G1452" s="8" t="n">
        <x:v>10356</x:v>
      </x:c>
      <x:c r="H1452" s="8" t="n">
        <x:v>255</x:v>
      </x:c>
      <x:c r="I1452" s="8" t="n">
        <x:v>0</x:v>
      </x:c>
      <x:c r="J1452" s="8" t="n">
        <x:v>0</x:v>
      </x:c>
      <x:c r="K1452" s="8" t="n">
        <x:v>547</x:v>
      </x:c>
      <x:c r="L1452" s="1" t="str">
        <x:v>Нет</x:v>
      </x:c>
      <x:c r="M1452" s="1" t="n">
        <x:v>0</x:v>
      </x:c>
    </x:row>
    <x:row r="1453">
      <x:c r="A1453" s="1" t="str">
        <x:v>365801829</x:v>
      </x:c>
      <x:c r="B1453" s="1" t="str">
        <x:v>bazakulgirl/зелено-серый</x:v>
      </x:c>
      <x:c r="C1453" s="1" t="str">
        <x:v>Футболки</x:v>
      </x:c>
      <x:c r="D1453" s="9" t="n">
        <x:v>9.5</x:v>
      </x:c>
      <x:c r="E1453" s="8" t="n">
        <x:v>1109</x:v>
      </x:c>
      <x:c r="F1453" s="8" t="n">
        <x:v>24</x:v>
      </x:c>
      <x:c r="G1453" s="8" t="n">
        <x:v>10335</x:v>
      </x:c>
      <x:c r="H1453" s="8" t="n">
        <x:v>104</x:v>
      </x:c>
      <x:c r="I1453" s="8" t="n">
        <x:v>0</x:v>
      </x:c>
      <x:c r="J1453" s="8" t="n">
        <x:v>0</x:v>
      </x:c>
      <x:c r="K1453" s="8" t="n">
        <x:v>573</x:v>
      </x:c>
      <x:c r="L1453" s="1" t="str">
        <x:v>Нет</x:v>
      </x:c>
      <x:c r="M1453" s="1" t="n">
        <x:v>0</x:v>
      </x:c>
    </x:row>
    <x:row r="1454">
      <x:c r="A1454" s="1" t="str">
        <x:v>169512652</x:v>
      </x:c>
      <x:c r="B1454" s="1" t="str">
        <x:v>2xnitkacrop/песочный</x:v>
      </x:c>
      <x:c r="C1454" s="1" t="str">
        <x:v>Костюмы спортивные</x:v>
      </x:c>
      <x:c r="D1454" s="9" t="n">
        <x:v>9.7</x:v>
      </x:c>
      <x:c r="E1454" s="8" t="n">
        <x:v>5112</x:v>
      </x:c>
      <x:c r="F1454" s="8" t="n">
        <x:v>17</x:v>
      </x:c>
      <x:c r="G1454" s="8" t="n">
        <x:v>10315</x:v>
      </x:c>
      <x:c r="H1454" s="8" t="n">
        <x:v>0</x:v>
      </x:c>
      <x:c r="I1454" s="8" t="n">
        <x:v>0</x:v>
      </x:c>
      <x:c r="J1454" s="8" t="n">
        <x:v>34</x:v>
      </x:c>
      <x:c r="K1454" s="8" t="n">
        <x:v>2532</x:v>
      </x:c>
      <x:c r="L1454" s="1" t="str">
        <x:v>Нет</x:v>
      </x:c>
      <x:c r="M1454" s="1" t="n">
        <x:v>16640</x:v>
      </x:c>
    </x:row>
    <x:row r="1455">
      <x:c r="A1455" s="1" t="str">
        <x:v>216135569</x:v>
      </x:c>
      <x:c r="B1455" s="1" t="str">
        <x:v>2xnitkamanshort/синий</x:v>
      </x:c>
      <x:c r="C1455" s="1" t="str">
        <x:v>Костюмы спортивные</x:v>
      </x:c>
      <x:c r="D1455" s="9" t="n">
        <x:v>6.7</x:v>
      </x:c>
      <x:c r="E1455" s="8" t="n">
        <x:v>3561</x:v>
      </x:c>
      <x:c r="F1455" s="8" t="n">
        <x:v>16</x:v>
      </x:c>
      <x:c r="G1455" s="8" t="n">
        <x:v>10304</x:v>
      </x:c>
      <x:c r="H1455" s="8" t="n">
        <x:v>27</x:v>
      </x:c>
      <x:c r="I1455" s="8" t="n">
        <x:v>0</x:v>
      </x:c>
      <x:c r="J1455" s="8" t="n">
        <x:v>4</x:v>
      </x:c>
      <x:c r="K1455" s="8" t="n">
        <x:v>2076</x:v>
      </x:c>
      <x:c r="L1455" s="1" t="str">
        <x:v>Нет</x:v>
      </x:c>
      <x:c r="M1455" s="1" t="n">
        <x:v>2230</x:v>
      </x:c>
    </x:row>
    <x:row r="1456">
      <x:c r="A1456" s="1" t="str">
        <x:v>15748481</x:v>
      </x:c>
      <x:c r="B1456" s="1" t="str">
        <x:v>bruki/светлофиолетовый</x:v>
      </x:c>
      <x:c r="C1456" s="1" t="str">
        <x:v>Брюки</x:v>
      </x:c>
      <x:c r="D1456" s="9" t="n">
        <x:v>6.7</x:v>
      </x:c>
      <x:c r="E1456" s="8" t="n">
        <x:v>1812</x:v>
      </x:c>
      <x:c r="F1456" s="8" t="n">
        <x:v>14</x:v>
      </x:c>
      <x:c r="G1456" s="8" t="n">
        <x:v>10248</x:v>
      </x:c>
      <x:c r="H1456" s="8" t="n">
        <x:v>1</x:v>
      </x:c>
      <x:c r="I1456" s="8" t="n">
        <x:v>0</x:v>
      </x:c>
      <x:c r="J1456" s="8" t="n">
        <x:v>30</x:v>
      </x:c>
      <x:c r="K1456" s="8" t="n">
        <x:v>2584</x:v>
      </x:c>
      <x:c r="L1456" s="1" t="str">
        <x:v>Нет</x:v>
      </x:c>
      <x:c r="M1456" s="1" t="n">
        <x:v>14906</x:v>
      </x:c>
    </x:row>
    <x:row r="1457">
      <x:c r="A1457" s="1" t="str">
        <x:v>183793831</x:v>
      </x:c>
      <x:c r="B1457" s="1" t="str">
        <x:v>hudiprint/MEDUSA-17/изумрудно-зеленый</x:v>
      </x:c>
      <x:c r="C1457" s="1" t="str">
        <x:v>Худи</x:v>
      </x:c>
      <x:c r="D1457" s="9" t="n">
        <x:v>8.7</x:v>
      </x:c>
      <x:c r="E1457" s="8" t="n">
        <x:v>2122</x:v>
      </x:c>
      <x:c r="F1457" s="8" t="n">
        <x:v>5</x:v>
      </x:c>
      <x:c r="G1457" s="8" t="n">
        <x:v>9988</x:v>
      </x:c>
      <x:c r="H1457" s="8" t="n">
        <x:v>1</x:v>
      </x:c>
      <x:c r="I1457" s="8" t="n">
        <x:v>0</x:v>
      </x:c>
      <x:c r="J1457" s="8" t="n">
        <x:v>42</x:v>
      </x:c>
      <x:c r="K1457" s="8" t="n">
        <x:v>2504</x:v>
      </x:c>
      <x:c r="L1457" s="1" t="str">
        <x:v>Нет</x:v>
      </x:c>
      <x:c r="M1457" s="1" t="n">
        <x:v>80960</x:v>
      </x:c>
    </x:row>
    <x:row r="1458">
      <x:c r="A1458" s="1" t="str">
        <x:v>231458805</x:v>
      </x:c>
      <x:c r="B1458" s="1" t="str">
        <x:v>futbolkaboy/бежевый</x:v>
      </x:c>
      <x:c r="C1458" s="1" t="str">
        <x:v>Футболки</x:v>
      </x:c>
      <x:c r="D1458" s="9" t="n">
        <x:v>10</x:v>
      </x:c>
      <x:c r="E1458" s="8" t="n">
        <x:v>1943</x:v>
      </x:c>
      <x:c r="F1458" s="8" t="n">
        <x:v>28</x:v>
      </x:c>
      <x:c r="G1458" s="8" t="n">
        <x:v>9749</x:v>
      </x:c>
      <x:c r="H1458" s="8" t="n">
        <x:v>0</x:v>
      </x:c>
      <x:c r="I1458" s="8" t="n">
        <x:v>0</x:v>
      </x:c>
      <x:c r="J1458" s="8" t="n">
        <x:v>51</x:v>
      </x:c>
      <x:c r="K1458" s="8" t="n">
        <x:v>486</x:v>
      </x:c>
      <x:c r="L1458" s="1" t="str">
        <x:v>Нет</x:v>
      </x:c>
      <x:c r="M1458" s="1" t="n">
        <x:v>18280</x:v>
      </x:c>
    </x:row>
    <x:row r="1459">
      <x:c r="A1459" s="1" t="str">
        <x:v>313770744</x:v>
      </x:c>
      <x:c r="B1459" s="1" t="str">
        <x:v>futbolkagirl/фуксия</x:v>
      </x:c>
      <x:c r="C1459" s="1" t="str">
        <x:v>Футболки</x:v>
      </x:c>
      <x:c r="D1459" s="9" t="n">
        <x:v>10</x:v>
      </x:c>
      <x:c r="E1459" s="8" t="n">
        <x:v>2706</x:v>
      </x:c>
      <x:c r="F1459" s="8" t="n">
        <x:v>25</x:v>
      </x:c>
      <x:c r="G1459" s="8" t="n">
        <x:v>9700</x:v>
      </x:c>
      <x:c r="H1459" s="8" t="n">
        <x:v>0</x:v>
      </x:c>
      <x:c r="I1459" s="8" t="n">
        <x:v>0</x:v>
      </x:c>
      <x:c r="J1459" s="8" t="n">
        <x:v>351</x:v>
      </x:c>
      <x:c r="K1459" s="8" t="n">
        <x:v>484</x:v>
      </x:c>
      <x:c r="L1459" s="1" t="str">
        <x:v>Нет</x:v>
      </x:c>
      <x:c r="M1459" s="1" t="n">
        <x:v>145105</x:v>
      </x:c>
    </x:row>
    <x:row r="1460">
      <x:c r="A1460" s="1" t="str">
        <x:v>229124476</x:v>
      </x:c>
      <x:c r="B1460" s="1" t="str">
        <x:v>bazaprint/SummerKiss-148/персиковый</x:v>
      </x:c>
      <x:c r="C1460" s="1" t="str">
        <x:v>Футболки</x:v>
      </x:c>
      <x:c r="D1460" s="9" t="n">
        <x:v>9.7</x:v>
      </x:c>
      <x:c r="E1460" s="8" t="n">
        <x:v>7332</x:v>
      </x:c>
      <x:c r="F1460" s="8" t="n">
        <x:v>24</x:v>
      </x:c>
      <x:c r="G1460" s="8" t="n">
        <x:v>9614</x:v>
      </x:c>
      <x:c r="H1460" s="8" t="n">
        <x:v>0</x:v>
      </x:c>
      <x:c r="I1460" s="8" t="n">
        <x:v>0</x:v>
      </x:c>
      <x:c r="J1460" s="8" t="n">
        <x:v>11</x:v>
      </x:c>
      <x:c r="K1460" s="8" t="n">
        <x:v>750</x:v>
      </x:c>
      <x:c r="L1460" s="1" t="str">
        <x:v>Нет</x:v>
      </x:c>
      <x:c r="M1460" s="1" t="n">
        <x:v>4300</x:v>
      </x:c>
    </x:row>
    <x:row r="1461">
      <x:c r="A1461" s="1" t="str">
        <x:v>202954954</x:v>
      </x:c>
      <x:c r="B1461" s="1" t="str">
        <x:v>svitshotprint/ZelMoreSelf-63/молочный</x:v>
      </x:c>
      <x:c r="C1461" s="1" t="str">
        <x:v>Свитшоты</x:v>
      </x:c>
      <x:c r="D1461" s="9" t="n">
        <x:v>6.7</x:v>
      </x:c>
      <x:c r="E1461" s="8" t="n">
        <x:v>935</x:v>
      </x:c>
      <x:c r="F1461" s="8" t="n">
        <x:v>6</x:v>
      </x:c>
      <x:c r="G1461" s="8" t="n">
        <x:v>9612</x:v>
      </x:c>
      <x:c r="H1461" s="8" t="n">
        <x:v>4</x:v>
      </x:c>
      <x:c r="I1461" s="8" t="n">
        <x:v>0</x:v>
      </x:c>
      <x:c r="J1461" s="8" t="n">
        <x:v>18</x:v>
      </x:c>
      <x:c r="K1461" s="8" t="n">
        <x:v>2389</x:v>
      </x:c>
      <x:c r="L1461" s="1" t="str">
        <x:v>Нет</x:v>
      </x:c>
      <x:c r="M1461" s="1" t="n">
        <x:v>12370</x:v>
      </x:c>
    </x:row>
    <x:row r="1462">
      <x:c r="A1462" s="1" t="str">
        <x:v>183793829</x:v>
      </x:c>
      <x:c r="B1462" s="1" t="str">
        <x:v>hudiprint/TDG-3/розовый</x:v>
      </x:c>
      <x:c r="C1462" s="1" t="str">
        <x:v>Худи</x:v>
      </x:c>
      <x:c r="D1462" s="9" t="n">
        <x:v>8.7</x:v>
      </x:c>
      <x:c r="E1462" s="8" t="n">
        <x:v>1211</x:v>
      </x:c>
      <x:c r="F1462" s="8" t="n">
        <x:v>9</x:v>
      </x:c>
      <x:c r="G1462" s="8" t="n">
        <x:v>9600</x:v>
      </x:c>
      <x:c r="H1462" s="8" t="n">
        <x:v>0</x:v>
      </x:c>
      <x:c r="I1462" s="8" t="n">
        <x:v>0</x:v>
      </x:c>
      <x:c r="J1462" s="8" t="n">
        <x:v>68</x:v>
      </x:c>
      <x:c r="K1462" s="8" t="n">
        <x:v>2384</x:v>
      </x:c>
      <x:c r="L1462" s="1" t="str">
        <x:v>Нет</x:v>
      </x:c>
      <x:c r="M1462" s="1" t="n">
        <x:v>86400</x:v>
      </x:c>
    </x:row>
    <x:row r="1463">
      <x:c r="A1463" s="1" t="str">
        <x:v>240808493</x:v>
      </x:c>
      <x:c r="B1463" s="1" t="str">
        <x:v>brukigirl/темно-синий</x:v>
      </x:c>
      <x:c r="C1463" s="1" t="str">
        <x:v>Брюки</x:v>
      </x:c>
      <x:c r="D1463" s="9" t="n">
        <x:v>7.7</x:v>
      </x:c>
      <x:c r="E1463" s="8" t="n">
        <x:v>4255</x:v>
      </x:c>
      <x:c r="F1463" s="8" t="n">
        <x:v>19</x:v>
      </x:c>
      <x:c r="G1463" s="8" t="n">
        <x:v>9456</x:v>
      </x:c>
      <x:c r="H1463" s="8" t="n">
        <x:v>47</x:v>
      </x:c>
      <x:c r="I1463" s="8" t="n">
        <x:v>0</x:v>
      </x:c>
      <x:c r="J1463" s="8" t="n">
        <x:v>46</x:v>
      </x:c>
      <x:c r="K1463" s="8" t="n">
        <x:v>1058</x:v>
      </x:c>
      <x:c r="L1463" s="1" t="str">
        <x:v>Нет</x:v>
      </x:c>
      <x:c r="M1463" s="1" t="n">
        <x:v>22705</x:v>
      </x:c>
    </x:row>
    <x:row r="1464">
      <x:c r="A1464" s="1" t="str">
        <x:v>357020147</x:v>
      </x:c>
      <x:c r="B1464" s="1" t="str">
        <x:v>bazakulgirl/пыльнаяроза</x:v>
      </x:c>
      <x:c r="C1464" s="1" t="str">
        <x:v>Футболки</x:v>
      </x:c>
      <x:c r="D1464" s="9" t="n">
        <x:v>9.5</x:v>
      </x:c>
      <x:c r="E1464" s="8" t="n">
        <x:v>2012</x:v>
      </x:c>
      <x:c r="F1464" s="8" t="n">
        <x:v>23</x:v>
      </x:c>
      <x:c r="G1464" s="8" t="n">
        <x:v>9215</x:v>
      </x:c>
      <x:c r="H1464" s="8" t="n">
        <x:v>177</x:v>
      </x:c>
      <x:c r="I1464" s="8" t="n">
        <x:v>0</x:v>
      </x:c>
      <x:c r="J1464" s="8" t="n">
        <x:v>0</x:v>
      </x:c>
      <x:c r="K1464" s="8" t="n">
        <x:v>578</x:v>
      </x:c>
      <x:c r="L1464" s="1" t="str">
        <x:v>Нет</x:v>
      </x:c>
      <x:c r="M1464" s="1" t="n">
        <x:v>0</x:v>
      </x:c>
    </x:row>
    <x:row r="1465">
      <x:c r="A1465" s="1" t="str">
        <x:v>335327574</x:v>
      </x:c>
      <x:c r="B1465" s="1" t="str">
        <x:v>bazakulgirl/дымка</x:v>
      </x:c>
      <x:c r="C1465" s="1" t="str">
        <x:v>Футболки</x:v>
      </x:c>
      <x:c r="D1465" s="9" t="n">
        <x:v>9.5</x:v>
      </x:c>
      <x:c r="E1465" s="8" t="n">
        <x:v>1805</x:v>
      </x:c>
      <x:c r="F1465" s="8" t="n">
        <x:v>26</x:v>
      </x:c>
      <x:c r="G1465" s="8" t="n">
        <x:v>9157</x:v>
      </x:c>
      <x:c r="H1465" s="8" t="n">
        <x:v>1349</x:v>
      </x:c>
      <x:c r="I1465" s="8" t="n">
        <x:v>0</x:v>
      </x:c>
      <x:c r="J1465" s="8" t="n">
        <x:v>0</x:v>
      </x:c>
      <x:c r="K1465" s="8" t="n">
        <x:v>568</x:v>
      </x:c>
      <x:c r="L1465" s="1" t="str">
        <x:v>Нет</x:v>
      </x:c>
      <x:c r="M1465" s="1" t="n">
        <x:v>0</x:v>
      </x:c>
    </x:row>
    <x:row r="1466">
      <x:c r="A1466" s="1" t="str">
        <x:v>195712685</x:v>
      </x:c>
      <x:c r="B1466" s="1" t="str">
        <x:v>sweater/темно-серый</x:v>
      </x:c>
      <x:c r="C1466" s="1" t="str">
        <x:v>Свитшоты</x:v>
      </x:c>
      <x:c r="D1466" s="9" t="n">
        <x:v>9.7</x:v>
      </x:c>
      <x:c r="E1466" s="8" t="n">
        <x:v>2305</x:v>
      </x:c>
      <x:c r="F1466" s="8" t="n">
        <x:v>10</x:v>
      </x:c>
      <x:c r="G1466" s="8" t="n">
        <x:v>8927</x:v>
      </x:c>
      <x:c r="H1466" s="8" t="n">
        <x:v>101</x:v>
      </x:c>
      <x:c r="I1466" s="8" t="n">
        <x:v>0</x:v>
      </x:c>
      <x:c r="J1466" s="8" t="n">
        <x:v>42</x:v>
      </x:c>
      <x:c r="K1466" s="8" t="n">
        <x:v>2206</x:v>
      </x:c>
      <x:c r="L1466" s="1" t="str">
        <x:v>Нет</x:v>
      </x:c>
      <x:c r="M1466" s="1" t="n">
        <x:v>27300</x:v>
      </x:c>
    </x:row>
    <x:row r="1467">
      <x:c r="A1467" s="1" t="str">
        <x:v>235997590</x:v>
      </x:c>
      <x:c r="B1467" s="1" t="str">
        <x:v>bazagirl/серый</x:v>
      </x:c>
      <x:c r="C1467" s="1" t="str">
        <x:v>Футболки</x:v>
      </x:c>
      <x:c r="D1467" s="9" t="n">
        <x:v>9.5</x:v>
      </x:c>
      <x:c r="E1467" s="8" t="n">
        <x:v>1739</x:v>
      </x:c>
      <x:c r="F1467" s="8" t="n">
        <x:v>27</x:v>
      </x:c>
      <x:c r="G1467" s="8" t="n">
        <x:v>8823</x:v>
      </x:c>
      <x:c r="H1467" s="8" t="n">
        <x:v>13</x:v>
      </x:c>
      <x:c r="I1467" s="8" t="n">
        <x:v>0</x:v>
      </x:c>
      <x:c r="J1467" s="8" t="n">
        <x:v>0</x:v>
      </x:c>
      <x:c r="K1467" s="8" t="n">
        <x:v>482</x:v>
      </x:c>
      <x:c r="L1467" s="1" t="str">
        <x:v>Нет</x:v>
      </x:c>
      <x:c r="M1467" s="1" t="n">
        <x:v>0</x:v>
      </x:c>
    </x:row>
    <x:row r="1468">
      <x:c r="A1468" s="1" t="str">
        <x:v>216665880</x:v>
      </x:c>
      <x:c r="B1468" s="1" t="str">
        <x:v>2Nfutbolkaman/молочный</x:v>
      </x:c>
      <x:c r="C1468" s="1" t="str">
        <x:v>Футболки</x:v>
      </x:c>
      <x:c r="D1468" s="9" t="n">
        <x:v>5.9</x:v>
      </x:c>
      <x:c r="E1468" s="8" t="n">
        <x:v>3563</x:v>
      </x:c>
      <x:c r="F1468" s="8" t="n">
        <x:v>13</x:v>
      </x:c>
      <x:c r="G1468" s="8" t="n">
        <x:v>8783</x:v>
      </x:c>
      <x:c r="H1468" s="8" t="n">
        <x:v>0</x:v>
      </x:c>
      <x:c r="I1468" s="8" t="n">
        <x:v>0</x:v>
      </x:c>
      <x:c r="J1468" s="8" t="n">
        <x:v>63</x:v>
      </x:c>
      <x:c r="K1468" s="8" t="n">
        <x:v>1255</x:v>
      </x:c>
      <x:c r="L1468" s="1" t="str">
        <x:v>Нет</x:v>
      </x:c>
      <x:c r="M1468" s="1" t="n">
        <x:v>40591</x:v>
      </x:c>
    </x:row>
    <x:row r="1469">
      <x:c r="A1469" s="1" t="str">
        <x:v>158080261</x:v>
      </x:c>
      <x:c r="B1469" s="1" t="str">
        <x:v>bruki/салатовый</x:v>
      </x:c>
      <x:c r="C1469" s="1" t="str">
        <x:v>Брюки</x:v>
      </x:c>
      <x:c r="D1469" s="9" t="n">
        <x:v>9.7</x:v>
      </x:c>
      <x:c r="E1469" s="8" t="n">
        <x:v>3065</x:v>
      </x:c>
      <x:c r="F1469" s="8" t="n">
        <x:v>8</x:v>
      </x:c>
      <x:c r="G1469" s="8" t="n">
        <x:v>8508</x:v>
      </x:c>
      <x:c r="H1469" s="8" t="n">
        <x:v>4</x:v>
      </x:c>
      <x:c r="I1469" s="8" t="n">
        <x:v>0</x:v>
      </x:c>
      <x:c r="J1469" s="8" t="n">
        <x:v>21</x:v>
      </x:c>
      <x:c r="K1469" s="8" t="n">
        <x:v>2089</x:v>
      </x:c>
      <x:c r="L1469" s="1" t="str">
        <x:v>Нет</x:v>
      </x:c>
      <x:c r="M1469" s="1" t="n">
        <x:v>15840</x:v>
      </x:c>
    </x:row>
    <x:row r="1470">
      <x:c r="A1470" s="1" t="str">
        <x:v>209127955</x:v>
      </x:c>
      <x:c r="B1470" s="1" t="str">
        <x:v>futbolkaover2/черный</x:v>
      </x:c>
      <x:c r="C1470" s="1" t="str">
        <x:v>Футболки</x:v>
      </x:c>
      <x:c r="D1470" s="9" t="n">
        <x:v>9.7</x:v>
      </x:c>
      <x:c r="E1470" s="8" t="n">
        <x:v>5396</x:v>
      </x:c>
      <x:c r="F1470" s="8" t="n">
        <x:v>14</x:v>
      </x:c>
      <x:c r="G1470" s="8" t="n">
        <x:v>8383</x:v>
      </x:c>
      <x:c r="H1470" s="8" t="n">
        <x:v>3</x:v>
      </x:c>
      <x:c r="I1470" s="8" t="n">
        <x:v>0</x:v>
      </x:c>
      <x:c r="J1470" s="8" t="n">
        <x:v>16</x:v>
      </x:c>
      <x:c r="K1470" s="8" t="n">
        <x:v>1055</x:v>
      </x:c>
      <x:c r="L1470" s="1" t="str">
        <x:v>Нет</x:v>
      </x:c>
      <x:c r="M1470" s="1" t="n">
        <x:v>9360</x:v>
      </x:c>
    </x:row>
    <x:row r="1471">
      <x:c r="A1471" s="1" t="str">
        <x:v>179951229</x:v>
      </x:c>
      <x:c r="B1471" s="1" t="str">
        <x:v>palazzo/фуксия</x:v>
      </x:c>
      <x:c r="C1471" s="1" t="str">
        <x:v>Брюки</x:v>
      </x:c>
      <x:c r="D1471" s="9" t="n">
        <x:v>9.4</x:v>
      </x:c>
      <x:c r="E1471" s="8" t="n">
        <x:v>954</x:v>
      </x:c>
      <x:c r="F1471" s="8" t="n">
        <x:v>11</x:v>
      </x:c>
      <x:c r="G1471" s="8" t="n">
        <x:v>8200</x:v>
      </x:c>
      <x:c r="H1471" s="8" t="n">
        <x:v>0</x:v>
      </x:c>
      <x:c r="I1471" s="8" t="n">
        <x:v>0</x:v>
      </x:c>
      <x:c r="J1471" s="8" t="n">
        <x:v>37</x:v>
      </x:c>
      <x:c r="K1471" s="8" t="n">
        <x:v>2050</x:v>
      </x:c>
      <x:c r="L1471" s="1" t="str">
        <x:v>Нет</x:v>
      </x:c>
      <x:c r="M1471" s="1" t="n">
        <x:v>24660</x:v>
      </x:c>
    </x:row>
    <x:row r="1472">
      <x:c r="A1472" s="1" t="str">
        <x:v>357022582</x:v>
      </x:c>
      <x:c r="B1472" s="1" t="str">
        <x:v>bazakulgirl/бежевый</x:v>
      </x:c>
      <x:c r="C1472" s="1" t="str">
        <x:v>Футболки</x:v>
      </x:c>
      <x:c r="D1472" s="9" t="n">
        <x:v>9.5</x:v>
      </x:c>
      <x:c r="E1472" s="8" t="n">
        <x:v>1604</x:v>
      </x:c>
      <x:c r="F1472" s="8" t="n">
        <x:v>22</x:v>
      </x:c>
      <x:c r="G1472" s="8" t="n">
        <x:v>8141</x:v>
      </x:c>
      <x:c r="H1472" s="8" t="n">
        <x:v>18</x:v>
      </x:c>
      <x:c r="I1472" s="8" t="n">
        <x:v>0</x:v>
      </x:c>
      <x:c r="J1472" s="8" t="n">
        <x:v>0</x:v>
      </x:c>
      <x:c r="K1472" s="8" t="n">
        <x:v>584</x:v>
      </x:c>
      <x:c r="L1472" s="1" t="str">
        <x:v>Нет</x:v>
      </x:c>
      <x:c r="M1472" s="1" t="n">
        <x:v>0</x:v>
      </x:c>
    </x:row>
    <x:row r="1473">
      <x:c r="A1473" s="1" t="str">
        <x:v>256312562</x:v>
      </x:c>
      <x:c r="B1473" s="1" t="str">
        <x:v>bazahlop/черный</x:v>
      </x:c>
      <x:c r="C1473" s="1" t="str">
        <x:v>Футболки</x:v>
      </x:c>
      <x:c r="D1473" s="9" t="n">
        <x:v>8.2</x:v>
      </x:c>
      <x:c r="E1473" s="8" t="n">
        <x:v>3800</x:v>
      </x:c>
      <x:c r="F1473" s="8" t="n">
        <x:v>23</x:v>
      </x:c>
      <x:c r="G1473" s="8" t="n">
        <x:v>8118</x:v>
      </x:c>
      <x:c r="H1473" s="8" t="n">
        <x:v>47</x:v>
      </x:c>
      <x:c r="I1473" s="8" t="n">
        <x:v>0</x:v>
      </x:c>
      <x:c r="J1473" s="8" t="n">
        <x:v>282</x:v>
      </x:c>
      <x:c r="K1473" s="8" t="n">
        <x:v>583</x:v>
      </x:c>
      <x:c r="L1473" s="1" t="str">
        <x:v>Нет</x:v>
      </x:c>
      <x:c r="M1473" s="1" t="n">
        <x:v>110581</x:v>
      </x:c>
    </x:row>
    <x:row r="1474">
      <x:c r="A1474" s="1" t="str">
        <x:v>241482671</x:v>
      </x:c>
      <x:c r="B1474" s="1" t="str">
        <x:v>termolongman/черный</x:v>
      </x:c>
      <x:c r="C1474" s="1" t="str">
        <x:v>Термокомплекты</x:v>
      </x:c>
      <x:c r="D1474" s="9" t="n">
        <x:v>10</x:v>
      </x:c>
      <x:c r="E1474" s="8" t="n">
        <x:v>1884</x:v>
      </x:c>
      <x:c r="F1474" s="8" t="n">
        <x:v>20</x:v>
      </x:c>
      <x:c r="G1474" s="8" t="n">
        <x:v>7997</x:v>
      </x:c>
      <x:c r="H1474" s="8" t="n">
        <x:v>1503</x:v>
      </x:c>
      <x:c r="I1474" s="8" t="n">
        <x:v>0</x:v>
      </x:c>
      <x:c r="J1474" s="8" t="n">
        <x:v>51</x:v>
      </x:c>
      <x:c r="K1474" s="8" t="n">
        <x:v>893</x:v>
      </x:c>
      <x:c r="L1474" s="1" t="str">
        <x:v>Нет</x:v>
      </x:c>
      <x:c r="M1474" s="1" t="n">
        <x:v>20032</x:v>
      </x:c>
    </x:row>
    <x:row r="1475">
      <x:c r="A1475" s="1" t="str">
        <x:v>167654206</x:v>
      </x:c>
      <x:c r="B1475" s="1" t="str">
        <x:v>futbolka/кофейный</x:v>
      </x:c>
      <x:c r="C1475" s="1" t="str">
        <x:v>Футболки</x:v>
      </x:c>
      <x:c r="D1475" s="9" t="n">
        <x:v>7.2</x:v>
      </x:c>
      <x:c r="E1475" s="8" t="n">
        <x:v>597</x:v>
      </x:c>
      <x:c r="F1475" s="8" t="n">
        <x:v>13</x:v>
      </x:c>
      <x:c r="G1475" s="8" t="n">
        <x:v>7895</x:v>
      </x:c>
      <x:c r="H1475" s="8" t="n">
        <x:v>0</x:v>
      </x:c>
      <x:c r="I1475" s="8" t="n">
        <x:v>0</x:v>
      </x:c>
      <x:c r="J1475" s="8" t="n">
        <x:v>87</x:v>
      </x:c>
      <x:c r="K1475" s="8" t="n">
        <x:v>717</x:v>
      </x:c>
      <x:c r="L1475" s="1" t="str">
        <x:v>Нет</x:v>
      </x:c>
      <x:c r="M1475" s="1" t="n">
        <x:v>41725</x:v>
      </x:c>
    </x:row>
    <x:row r="1476">
      <x:c r="A1476" s="1" t="str">
        <x:v>224386362</x:v>
      </x:c>
      <x:c r="B1476" s="1" t="str">
        <x:v>bazaprint/Moves-y2k-133/молочный</x:v>
      </x:c>
      <x:c r="C1476" s="1" t="str">
        <x:v>Футболки</x:v>
      </x:c>
      <x:c r="D1476" s="9" t="n">
        <x:v>9.7</x:v>
      </x:c>
      <x:c r="E1476" s="8" t="n">
        <x:v>8167</x:v>
      </x:c>
      <x:c r="F1476" s="8" t="n">
        <x:v>20</x:v>
      </x:c>
      <x:c r="G1476" s="8" t="n">
        <x:v>7894</x:v>
      </x:c>
      <x:c r="H1476" s="8" t="n">
        <x:v>77</x:v>
      </x:c>
      <x:c r="I1476" s="8" t="n">
        <x:v>0</x:v>
      </x:c>
      <x:c r="J1476" s="8" t="n">
        <x:v>5</x:v>
      </x:c>
      <x:c r="K1476" s="8" t="n">
        <x:v>739</x:v>
      </x:c>
      <x:c r="L1476" s="1" t="str">
        <x:v>Нет</x:v>
      </x:c>
      <x:c r="M1476" s="1" t="n">
        <x:v>1720</x:v>
      </x:c>
    </x:row>
    <x:row r="1477">
      <x:c r="A1477" s="1" t="str">
        <x:v>231458798</x:v>
      </x:c>
      <x:c r="B1477" s="1" t="str">
        <x:v>futbolkagirl/бежевый</x:v>
      </x:c>
      <x:c r="C1477" s="1" t="str">
        <x:v>Футболки</x:v>
      </x:c>
      <x:c r="D1477" s="9" t="n">
        <x:v>10</x:v>
      </x:c>
      <x:c r="E1477" s="8" t="n">
        <x:v>12105</x:v>
      </x:c>
      <x:c r="F1477" s="8" t="n">
        <x:v>22</x:v>
      </x:c>
      <x:c r="G1477" s="8" t="n">
        <x:v>7813</x:v>
      </x:c>
      <x:c r="H1477" s="8" t="n">
        <x:v>0</x:v>
      </x:c>
      <x:c r="I1477" s="8" t="n">
        <x:v>0</x:v>
      </x:c>
      <x:c r="J1477" s="8" t="n">
        <x:v>28</x:v>
      </x:c>
      <x:c r="K1477" s="8" t="n">
        <x:v>484</x:v>
      </x:c>
      <x:c r="L1477" s="1" t="str">
        <x:v>Нет</x:v>
      </x:c>
      <x:c r="M1477" s="1" t="n">
        <x:v>9080</x:v>
      </x:c>
    </x:row>
    <x:row r="1478">
      <x:c r="A1478" s="1" t="str">
        <x:v>158698707</x:v>
      </x:c>
      <x:c r="B1478" s="1" t="str">
        <x:v>bruki/деним</x:v>
      </x:c>
      <x:c r="C1478" s="1" t="str">
        <x:v>Брюки</x:v>
      </x:c>
      <x:c r="D1478" s="9" t="n">
        <x:v>9.7</x:v>
      </x:c>
      <x:c r="E1478" s="8" t="n">
        <x:v>1793</x:v>
      </x:c>
      <x:c r="F1478" s="8" t="n">
        <x:v>7</x:v>
      </x:c>
      <x:c r="G1478" s="8" t="n">
        <x:v>7799</x:v>
      </x:c>
      <x:c r="H1478" s="8" t="n">
        <x:v>0</x:v>
      </x:c>
      <x:c r="I1478" s="8" t="n">
        <x:v>0</x:v>
      </x:c>
      <x:c r="J1478" s="8" t="n">
        <x:v>12</x:v>
      </x:c>
      <x:c r="K1478" s="8" t="n">
        <x:v>2540</x:v>
      </x:c>
      <x:c r="L1478" s="1" t="str">
        <x:v>Нет</x:v>
      </x:c>
      <x:c r="M1478" s="1" t="n">
        <x:v>14862</x:v>
      </x:c>
    </x:row>
    <x:row r="1479">
      <x:c r="A1479" s="1" t="str">
        <x:v>170172037</x:v>
      </x:c>
      <x:c r="B1479" s="1" t="str">
        <x:v>2xnitkacrop/белый</x:v>
      </x:c>
      <x:c r="C1479" s="1" t="str">
        <x:v>Костюмы спортивные</x:v>
      </x:c>
      <x:c r="D1479" s="9" t="n">
        <x:v>9.7</x:v>
      </x:c>
      <x:c r="E1479" s="8" t="n">
        <x:v>4328</x:v>
      </x:c>
      <x:c r="F1479" s="8" t="n">
        <x:v>16</x:v>
      </x:c>
      <x:c r="G1479" s="8" t="n">
        <x:v>7748</x:v>
      </x:c>
      <x:c r="H1479" s="8" t="n">
        <x:v>3</x:v>
      </x:c>
      <x:c r="I1479" s="8" t="n">
        <x:v>0</x:v>
      </x:c>
      <x:c r="J1479" s="8" t="n">
        <x:v>52</x:v>
      </x:c>
      <x:c r="K1479" s="8" t="n">
        <x:v>2495</x:v>
      </x:c>
      <x:c r="L1479" s="1" t="str">
        <x:v>Нет</x:v>
      </x:c>
      <x:c r="M1479" s="1" t="n">
        <x:v>35360</x:v>
      </x:c>
    </x:row>
    <x:row r="1480">
      <x:c r="A1480" s="1" t="str">
        <x:v>313770780</x:v>
      </x:c>
      <x:c r="B1480" s="1" t="str">
        <x:v>futbolkaboy/бордовый</x:v>
      </x:c>
      <x:c r="C1480" s="1" t="str">
        <x:v>Футболки</x:v>
      </x:c>
      <x:c r="D1480" s="9" t="n">
        <x:v>10</x:v>
      </x:c>
      <x:c r="E1480" s="8" t="n">
        <x:v>5682</x:v>
      </x:c>
      <x:c r="F1480" s="8" t="n">
        <x:v>21</x:v>
      </x:c>
      <x:c r="G1480" s="8" t="n">
        <x:v>7568</x:v>
      </x:c>
      <x:c r="H1480" s="8" t="n">
        <x:v>235</x:v>
      </x:c>
      <x:c r="I1480" s="8" t="n">
        <x:v>0</x:v>
      </x:c>
      <x:c r="J1480" s="8" t="n">
        <x:v>15</x:v>
      </x:c>
      <x:c r="K1480" s="8" t="n">
        <x:v>472</x:v>
      </x:c>
      <x:c r="L1480" s="1" t="str">
        <x:v>Нет</x:v>
      </x:c>
      <x:c r="M1480" s="1" t="n">
        <x:v>5600</x:v>
      </x:c>
    </x:row>
    <x:row r="1481">
      <x:c r="A1481" s="1" t="str">
        <x:v>366559997</x:v>
      </x:c>
      <x:c r="B1481" s="1" t="str">
        <x:v>2Nshortyboy/серый</x:v>
      </x:c>
      <x:c r="C1481" s="1" t="str">
        <x:v>Шорты</x:v>
      </x:c>
      <x:c r="D1481" s="9" t="n">
        <x:v>8.4</x:v>
      </x:c>
      <x:c r="E1481" s="8" t="n">
        <x:v>3332</x:v>
      </x:c>
      <x:c r="F1481" s="8" t="n">
        <x:v>21</x:v>
      </x:c>
      <x:c r="G1481" s="8" t="n">
        <x:v>7500</x:v>
      </x:c>
      <x:c r="H1481" s="8" t="n">
        <x:v>45</x:v>
      </x:c>
      <x:c r="I1481" s="8" t="n">
        <x:v>0</x:v>
      </x:c>
      <x:c r="J1481" s="8" t="n">
        <x:v>0</x:v>
      </x:c>
      <x:c r="K1481" s="8" t="n">
        <x:v>840</x:v>
      </x:c>
      <x:c r="L1481" s="1" t="str">
        <x:v>Нет</x:v>
      </x:c>
      <x:c r="M1481" s="1" t="n">
        <x:v>0</x:v>
      </x:c>
    </x:row>
    <x:row r="1482">
      <x:c r="A1482" s="1" t="str">
        <x:v>366559999</x:v>
      </x:c>
      <x:c r="B1482" s="1" t="str">
        <x:v>2Nshortyboy/молочный</x:v>
      </x:c>
      <x:c r="C1482" s="1" t="str">
        <x:v>Шорты</x:v>
      </x:c>
      <x:c r="D1482" s="9" t="n">
        <x:v>8.4</x:v>
      </x:c>
      <x:c r="E1482" s="8" t="n">
        <x:v>4454</x:v>
      </x:c>
      <x:c r="F1482" s="8" t="n">
        <x:v>22</x:v>
      </x:c>
      <x:c r="G1482" s="8" t="n">
        <x:v>7440</x:v>
      </x:c>
      <x:c r="H1482" s="8" t="n">
        <x:v>225</x:v>
      </x:c>
      <x:c r="I1482" s="8" t="n">
        <x:v>0</x:v>
      </x:c>
      <x:c r="J1482" s="8" t="n">
        <x:v>0</x:v>
      </x:c>
      <x:c r="K1482" s="8" t="n">
        <x:v>856</x:v>
      </x:c>
      <x:c r="L1482" s="1" t="str">
        <x:v>Нет</x:v>
      </x:c>
      <x:c r="M1482" s="1" t="n">
        <x:v>0</x:v>
      </x:c>
    </x:row>
    <x:row r="1483">
      <x:c r="A1483" s="1" t="str">
        <x:v>335327576</x:v>
      </x:c>
      <x:c r="B1483" s="1" t="str">
        <x:v>bazakulgirl/шалфей</x:v>
      </x:c>
      <x:c r="C1483" s="1" t="str">
        <x:v>Футболки</x:v>
      </x:c>
      <x:c r="D1483" s="9" t="n">
        <x:v>9.5</x:v>
      </x:c>
      <x:c r="E1483" s="8" t="n">
        <x:v>2061</x:v>
      </x:c>
      <x:c r="F1483" s="8" t="n">
        <x:v>30</x:v>
      </x:c>
      <x:c r="G1483" s="8" t="n">
        <x:v>7410</x:v>
      </x:c>
      <x:c r="H1483" s="8" t="n">
        <x:v>143</x:v>
      </x:c>
      <x:c r="I1483" s="8" t="n">
        <x:v>0</x:v>
      </x:c>
      <x:c r="J1483" s="8" t="n">
        <x:v>5</x:v>
      </x:c>
      <x:c r="K1483" s="8" t="n">
        <x:v>571</x:v>
      </x:c>
      <x:c r="L1483" s="1" t="str">
        <x:v>Нет</x:v>
      </x:c>
      <x:c r="M1483" s="1" t="n">
        <x:v>2752</x:v>
      </x:c>
    </x:row>
    <x:row r="1484">
      <x:c r="A1484" s="1" t="str">
        <x:v>178309522</x:v>
      </x:c>
      <x:c r="B1484" s="1" t="str">
        <x:v>svitcrop/серый</x:v>
      </x:c>
      <x:c r="C1484" s="1" t="str">
        <x:v>Лонгсливы</x:v>
      </x:c>
      <x:c r="D1484" s="9" t="n">
        <x:v>9.7</x:v>
      </x:c>
      <x:c r="E1484" s="8" t="n">
        <x:v>1576</x:v>
      </x:c>
      <x:c r="F1484" s="8" t="n">
        <x:v>15</x:v>
      </x:c>
      <x:c r="G1484" s="8" t="n">
        <x:v>7338</x:v>
      </x:c>
      <x:c r="H1484" s="8" t="n">
        <x:v>0</x:v>
      </x:c>
      <x:c r="I1484" s="8" t="n">
        <x:v>0</x:v>
      </x:c>
      <x:c r="J1484" s="8" t="n">
        <x:v>88</x:v>
      </x:c>
      <x:c r="K1484" s="8" t="n">
        <x:v>916</x:v>
      </x:c>
      <x:c r="L1484" s="1" t="str">
        <x:v>Нет</x:v>
      </x:c>
      <x:c r="M1484" s="1" t="n">
        <x:v>28155</x:v>
      </x:c>
    </x:row>
    <x:row r="1485">
      <x:c r="A1485" s="1" t="str">
        <x:v>209914960</x:v>
      </x:c>
      <x:c r="B1485" s="1" t="str">
        <x:v>svitshotonesize/фуксия</x:v>
      </x:c>
      <x:c r="C1485" s="1" t="str">
        <x:v>Свитшоты</x:v>
      </x:c>
      <x:c r="D1485" s="9" t="n">
        <x:v>7.7</x:v>
      </x:c>
      <x:c r="E1485" s="8" t="n">
        <x:v>874</x:v>
      </x:c>
      <x:c r="F1485" s="8" t="n">
        <x:v>13</x:v>
      </x:c>
      <x:c r="G1485" s="8" t="n">
        <x:v>7141</x:v>
      </x:c>
      <x:c r="H1485" s="8" t="n">
        <x:v>1</x:v>
      </x:c>
      <x:c r="I1485" s="8" t="n">
        <x:v>0</x:v>
      </x:c>
      <x:c r="J1485" s="8" t="n">
        <x:v>27</x:v>
      </x:c>
      <x:c r="K1485" s="8" t="n">
        <x:v>2364</x:v>
      </x:c>
      <x:c r="L1485" s="1" t="str">
        <x:v>Нет</x:v>
      </x:c>
      <x:c r="M1485" s="1" t="n">
        <x:v>29424</x:v>
      </x:c>
    </x:row>
    <x:row r="1486">
      <x:c r="A1486" s="1" t="str">
        <x:v>209915006</x:v>
      </x:c>
      <x:c r="B1486" s="1" t="str">
        <x:v>svitshotonesize/кофейный</x:v>
      </x:c>
      <x:c r="C1486" s="1" t="str">
        <x:v>Свитшоты</x:v>
      </x:c>
      <x:c r="D1486" s="9" t="n">
        <x:v>9.7</x:v>
      </x:c>
      <x:c r="E1486" s="8" t="n">
        <x:v>1234</x:v>
      </x:c>
      <x:c r="F1486" s="8" t="n">
        <x:v>11</x:v>
      </x:c>
      <x:c r="G1486" s="8" t="n">
        <x:v>7036</x:v>
      </x:c>
      <x:c r="H1486" s="8" t="n">
        <x:v>25</x:v>
      </x:c>
      <x:c r="I1486" s="8" t="n">
        <x:v>0</x:v>
      </x:c>
      <x:c r="J1486" s="8" t="n">
        <x:v>24</x:v>
      </x:c>
      <x:c r="K1486" s="8" t="n">
        <x:v>2299</x:v>
      </x:c>
      <x:c r="L1486" s="1" t="str">
        <x:v>Нет</x:v>
      </x:c>
      <x:c r="M1486" s="1" t="n">
        <x:v>16800</x:v>
      </x:c>
    </x:row>
    <x:row r="1487">
      <x:c r="A1487" s="1" t="str">
        <x:v>370531407</x:v>
      </x:c>
      <x:c r="B1487" s="1" t="str">
        <x:v>topfutbolka/красный</x:v>
      </x:c>
      <x:c r="C1487" s="1" t="str">
        <x:v>Топы</x:v>
      </x:c>
      <x:c r="D1487" s="9" t="n">
        <x:v>9.4</x:v>
      </x:c>
      <x:c r="E1487" s="8" t="n">
        <x:v>11000</x:v>
      </x:c>
      <x:c r="F1487" s="8" t="n">
        <x:v>26</x:v>
      </x:c>
      <x:c r="G1487" s="8" t="n">
        <x:v>6960</x:v>
      </x:c>
      <x:c r="H1487" s="8" t="n">
        <x:v>18</x:v>
      </x:c>
      <x:c r="I1487" s="8" t="n">
        <x:v>0</x:v>
      </x:c>
      <x:c r="J1487" s="8" t="n">
        <x:v>0</x:v>
      </x:c>
      <x:c r="K1487" s="8" t="n">
        <x:v>776</x:v>
      </x:c>
      <x:c r="L1487" s="1" t="str">
        <x:v>Нет</x:v>
      </x:c>
      <x:c r="M1487" s="1" t="n">
        <x:v>0</x:v>
      </x:c>
    </x:row>
    <x:row r="1488">
      <x:c r="A1488" s="1" t="str">
        <x:v>209915108</x:v>
      </x:c>
      <x:c r="B1488" s="1" t="str">
        <x:v>svitshotonesize/графит</x:v>
      </x:c>
      <x:c r="C1488" s="1" t="str">
        <x:v>Свитшоты</x:v>
      </x:c>
      <x:c r="D1488" s="9" t="n">
        <x:v>7.7</x:v>
      </x:c>
      <x:c r="E1488" s="8" t="n">
        <x:v>1138</x:v>
      </x:c>
      <x:c r="F1488" s="8" t="n">
        <x:v>12</x:v>
      </x:c>
      <x:c r="G1488" s="8" t="n">
        <x:v>6901</x:v>
      </x:c>
      <x:c r="H1488" s="8" t="n">
        <x:v>10</x:v>
      </x:c>
      <x:c r="I1488" s="8" t="n">
        <x:v>0</x:v>
      </x:c>
      <x:c r="J1488" s="8" t="n">
        <x:v>19</x:v>
      </x:c>
      <x:c r="K1488" s="8" t="n">
        <x:v>2295</x:v>
      </x:c>
      <x:c r="L1488" s="1" t="str">
        <x:v>Нет</x:v>
      </x:c>
      <x:c r="M1488" s="1" t="n">
        <x:v>21600</x:v>
      </x:c>
    </x:row>
    <x:row r="1489">
      <x:c r="A1489" s="1" t="str">
        <x:v>179951220</x:v>
      </x:c>
      <x:c r="B1489" s="1" t="str">
        <x:v>palazzo/серыймеланж</x:v>
      </x:c>
      <x:c r="C1489" s="1" t="str">
        <x:v>Брюки</x:v>
      </x:c>
      <x:c r="D1489" s="9" t="n">
        <x:v>9.4</x:v>
      </x:c>
      <x:c r="E1489" s="8" t="n">
        <x:v>1384</x:v>
      </x:c>
      <x:c r="F1489" s="8" t="n">
        <x:v>9</x:v>
      </x:c>
      <x:c r="G1489" s="8" t="n">
        <x:v>6762</x:v>
      </x:c>
      <x:c r="H1489" s="8" t="n">
        <x:v>1</x:v>
      </x:c>
      <x:c r="I1489" s="8" t="n">
        <x:v>0</x:v>
      </x:c>
      <x:c r="J1489" s="8" t="n">
        <x:v>20</x:v>
      </x:c>
      <x:c r="K1489" s="8" t="n">
        <x:v>2261</x:v>
      </x:c>
      <x:c r="L1489" s="1" t="str">
        <x:v>Нет</x:v>
      </x:c>
      <x:c r="M1489" s="1" t="n">
        <x:v>7731</x:v>
      </x:c>
    </x:row>
    <x:row r="1490">
      <x:c r="A1490" s="1" t="str">
        <x:v>313770755</x:v>
      </x:c>
      <x:c r="B1490" s="1" t="str">
        <x:v>futbolkaboy/зелено-серый</x:v>
      </x:c>
      <x:c r="C1490" s="1" t="str">
        <x:v>Футболки</x:v>
      </x:c>
      <x:c r="D1490" s="9" t="n">
        <x:v>10</x:v>
      </x:c>
      <x:c r="E1490" s="8" t="n">
        <x:v>2472</x:v>
      </x:c>
      <x:c r="F1490" s="8" t="n">
        <x:v>20</x:v>
      </x:c>
      <x:c r="G1490" s="8" t="n">
        <x:v>6757</x:v>
      </x:c>
      <x:c r="H1490" s="8" t="n">
        <x:v>69</x:v>
      </x:c>
      <x:c r="I1490" s="8" t="n">
        <x:v>0</x:v>
      </x:c>
      <x:c r="J1490" s="8" t="n">
        <x:v>104</x:v>
      </x:c>
      <x:c r="K1490" s="8" t="n">
        <x:v>484</x:v>
      </x:c>
      <x:c r="L1490" s="1" t="str">
        <x:v>Нет</x:v>
      </x:c>
      <x:c r="M1490" s="1" t="n">
        <x:v>39200</x:v>
      </x:c>
    </x:row>
    <x:row r="1491">
      <x:c r="A1491" s="1" t="str">
        <x:v>119891838</x:v>
      </x:c>
      <x:c r="B1491" s="1" t="str">
        <x:v>hudiman/фуксия</x:v>
      </x:c>
      <x:c r="C1491" s="1" t="str">
        <x:v>Худи</x:v>
      </x:c>
      <x:c r="D1491" s="9" t="n">
        <x:v>9.7</x:v>
      </x:c>
      <x:c r="E1491" s="8" t="n">
        <x:v>3270</x:v>
      </x:c>
      <x:c r="F1491" s="8" t="n">
        <x:v>10</x:v>
      </x:c>
      <x:c r="G1491" s="8" t="n">
        <x:v>6738</x:v>
      </x:c>
      <x:c r="H1491" s="8" t="n">
        <x:v>0</x:v>
      </x:c>
      <x:c r="I1491" s="8" t="n">
        <x:v>0</x:v>
      </x:c>
      <x:c r="J1491" s="8" t="n">
        <x:v>63</x:v>
      </x:c>
      <x:c r="K1491" s="8" t="n">
        <x:v>2208</x:v>
      </x:c>
      <x:c r="L1491" s="1" t="str">
        <x:v>Нет</x:v>
      </x:c>
      <x:c r="M1491" s="1" t="n">
        <x:v>63434</x:v>
      </x:c>
    </x:row>
    <x:row r="1492">
      <x:c r="A1492" s="1" t="str">
        <x:v>235997586</x:v>
      </x:c>
      <x:c r="B1492" s="1" t="str">
        <x:v>bazagirl/розовый</x:v>
      </x:c>
      <x:c r="C1492" s="1" t="str">
        <x:v>Футболки</x:v>
      </x:c>
      <x:c r="D1492" s="9" t="n">
        <x:v>9.5</x:v>
      </x:c>
      <x:c r="E1492" s="8" t="n">
        <x:v>3617</x:v>
      </x:c>
      <x:c r="F1492" s="8" t="n">
        <x:v>21</x:v>
      </x:c>
      <x:c r="G1492" s="8" t="n">
        <x:v>6683</x:v>
      </x:c>
      <x:c r="H1492" s="8" t="n">
        <x:v>125</x:v>
      </x:c>
      <x:c r="I1492" s="8" t="n">
        <x:v>0</x:v>
      </x:c>
      <x:c r="J1492" s="8" t="n">
        <x:v>15</x:v>
      </x:c>
      <x:c r="K1492" s="8" t="n">
        <x:v>483</x:v>
      </x:c>
      <x:c r="L1492" s="1" t="str">
        <x:v>Нет</x:v>
      </x:c>
      <x:c r="M1492" s="1" t="n">
        <x:v>3260</x:v>
      </x:c>
    </x:row>
    <x:row r="1493">
      <x:c r="A1493" s="1" t="str">
        <x:v>231458797</x:v>
      </x:c>
      <x:c r="B1493" s="1" t="str">
        <x:v>futbolkagirl/зеленый</x:v>
      </x:c>
      <x:c r="C1493" s="1" t="str">
        <x:v>Футболки</x:v>
      </x:c>
      <x:c r="D1493" s="9" t="n">
        <x:v>10</x:v>
      </x:c>
      <x:c r="E1493" s="8" t="n">
        <x:v>16395</x:v>
      </x:c>
      <x:c r="F1493" s="8" t="n">
        <x:v>19</x:v>
      </x:c>
      <x:c r="G1493" s="8" t="n">
        <x:v>6621</x:v>
      </x:c>
      <x:c r="H1493" s="8" t="n">
        <x:v>0</x:v>
      </x:c>
      <x:c r="I1493" s="8" t="n">
        <x:v>0</x:v>
      </x:c>
      <x:c r="J1493" s="8" t="n">
        <x:v>11</x:v>
      </x:c>
      <x:c r="K1493" s="8" t="n">
        <x:v>475</x:v>
      </x:c>
      <x:c r="L1493" s="1" t="str">
        <x:v>Нет</x:v>
      </x:c>
      <x:c r="M1493" s="1" t="n">
        <x:v>4440</x:v>
      </x:c>
    </x:row>
    <x:row r="1494">
      <x:c r="A1494" s="1" t="str">
        <x:v>235997581</x:v>
      </x:c>
      <x:c r="B1494" s="1" t="str">
        <x:v>bazaboy/деним</x:v>
      </x:c>
      <x:c r="C1494" s="1" t="str">
        <x:v>Футболки</x:v>
      </x:c>
      <x:c r="D1494" s="9" t="n">
        <x:v>9.5</x:v>
      </x:c>
      <x:c r="E1494" s="8" t="n">
        <x:v>7111</x:v>
      </x:c>
      <x:c r="F1494" s="8" t="n">
        <x:v>26</x:v>
      </x:c>
      <x:c r="G1494" s="8" t="n">
        <x:v>6606</x:v>
      </x:c>
      <x:c r="H1494" s="8" t="n">
        <x:v>153</x:v>
      </x:c>
      <x:c r="I1494" s="8" t="n">
        <x:v>0</x:v>
      </x:c>
      <x:c r="J1494" s="8" t="n">
        <x:v>34</x:v>
      </x:c>
      <x:c r="K1494" s="8" t="n">
        <x:v>468</x:v>
      </x:c>
      <x:c r="L1494" s="1" t="str">
        <x:v>Нет</x:v>
      </x:c>
      <x:c r="M1494" s="1" t="n">
        <x:v>12449</x:v>
      </x:c>
    </x:row>
    <x:row r="1495">
      <x:c r="A1495" s="1" t="str">
        <x:v>224386310</x:v>
      </x:c>
      <x:c r="B1495" s="1" t="str">
        <x:v>bazaprint/Moves-y2k-133/черный</x:v>
      </x:c>
      <x:c r="C1495" s="1" t="str">
        <x:v>Футболки</x:v>
      </x:c>
      <x:c r="D1495" s="9" t="n">
        <x:v>9.7</x:v>
      </x:c>
      <x:c r="E1495" s="8" t="n">
        <x:v>7074</x:v>
      </x:c>
      <x:c r="F1495" s="8" t="n">
        <x:v>13</x:v>
      </x:c>
      <x:c r="G1495" s="8" t="n">
        <x:v>6542</x:v>
      </x:c>
      <x:c r="H1495" s="8" t="n">
        <x:v>5</x:v>
      </x:c>
      <x:c r="I1495" s="8" t="n">
        <x:v>0</x:v>
      </x:c>
      <x:c r="J1495" s="8" t="n">
        <x:v>8</x:v>
      </x:c>
      <x:c r="K1495" s="8" t="n">
        <x:v>797</x:v>
      </x:c>
      <x:c r="L1495" s="1" t="str">
        <x:v>Нет</x:v>
      </x:c>
      <x:c r="M1495" s="1" t="n">
        <x:v>3440</x:v>
      </x:c>
    </x:row>
    <x:row r="1496">
      <x:c r="A1496" s="1" t="str">
        <x:v>256315185</x:v>
      </x:c>
      <x:c r="B1496" s="1" t="str">
        <x:v>bazahlop/белый</x:v>
      </x:c>
      <x:c r="C1496" s="1" t="str">
        <x:v>Футболки</x:v>
      </x:c>
      <x:c r="D1496" s="9" t="n">
        <x:v>6.2</x:v>
      </x:c>
      <x:c r="E1496" s="8" t="n">
        <x:v>3537</x:v>
      </x:c>
      <x:c r="F1496" s="8" t="n">
        <x:v>24</x:v>
      </x:c>
      <x:c r="G1496" s="8" t="n">
        <x:v>6542</x:v>
      </x:c>
      <x:c r="H1496" s="8" t="n">
        <x:v>64</x:v>
      </x:c>
      <x:c r="I1496" s="8" t="n">
        <x:v>0</x:v>
      </x:c>
      <x:c r="J1496" s="8" t="n">
        <x:v>237</x:v>
      </x:c>
      <x:c r="K1496" s="8" t="n">
        <x:v>594</x:v>
      </x:c>
      <x:c r="L1496" s="1" t="str">
        <x:v>Нет</x:v>
      </x:c>
      <x:c r="M1496" s="1" t="n">
        <x:v>86719</x:v>
      </x:c>
    </x:row>
    <x:row r="1497">
      <x:c r="A1497" s="1" t="str">
        <x:v>170169476</x:v>
      </x:c>
      <x:c r="B1497" s="1" t="str">
        <x:v>brukiman/голубой</x:v>
      </x:c>
      <x:c r="C1497" s="1" t="str">
        <x:v>Брюки</x:v>
      </x:c>
      <x:c r="D1497" s="9" t="n">
        <x:v>9.7</x:v>
      </x:c>
      <x:c r="E1497" s="8" t="n">
        <x:v>1852</x:v>
      </x:c>
      <x:c r="F1497" s="8" t="n">
        <x:v>12</x:v>
      </x:c>
      <x:c r="G1497" s="8" t="n">
        <x:v>6539</x:v>
      </x:c>
      <x:c r="H1497" s="8" t="n">
        <x:v>15</x:v>
      </x:c>
      <x:c r="I1497" s="8" t="n">
        <x:v>0</x:v>
      </x:c>
      <x:c r="J1497" s="8" t="n">
        <x:v>28</x:v>
      </x:c>
      <x:c r="K1497" s="8" t="n">
        <x:v>2114</x:v>
      </x:c>
      <x:c r="L1497" s="1" t="str">
        <x:v>Нет</x:v>
      </x:c>
      <x:c r="M1497" s="1" t="n">
        <x:v>16280</x:v>
      </x:c>
    </x:row>
    <x:row r="1498">
      <x:c r="A1498" s="1" t="str">
        <x:v>334774970</x:v>
      </x:c>
      <x:c r="B1498" s="1" t="str">
        <x:v>brukigirl/бордовый</x:v>
      </x:c>
      <x:c r="C1498" s="1" t="str">
        <x:v>Брюки</x:v>
      </x:c>
      <x:c r="D1498" s="9" t="n">
        <x:v>7.7</x:v>
      </x:c>
      <x:c r="E1498" s="8" t="n">
        <x:v>4025</x:v>
      </x:c>
      <x:c r="F1498" s="8" t="n">
        <x:v>16</x:v>
      </x:c>
      <x:c r="G1498" s="8" t="n">
        <x:v>6534</x:v>
      </x:c>
      <x:c r="H1498" s="8" t="n">
        <x:v>142</x:v>
      </x:c>
      <x:c r="I1498" s="8" t="n">
        <x:v>0</x:v>
      </x:c>
      <x:c r="J1498" s="8" t="n">
        <x:v>7</x:v>
      </x:c>
      <x:c r="K1498" s="8" t="n">
        <x:v>1078</x:v>
      </x:c>
      <x:c r="L1498" s="1" t="str">
        <x:v>Нет</x:v>
      </x:c>
      <x:c r="M1498" s="1" t="n">
        <x:v>4850</x:v>
      </x:c>
    </x:row>
    <x:row r="1499">
      <x:c r="A1499" s="1" t="str">
        <x:v>209915682</x:v>
      </x:c>
      <x:c r="B1499" s="1" t="str">
        <x:v>shorty/дымка</x:v>
      </x:c>
      <x:c r="C1499" s="1" t="str">
        <x:v>Шорты</x:v>
      </x:c>
      <x:c r="D1499" s="9" t="n">
        <x:v>6.9</x:v>
      </x:c>
      <x:c r="E1499" s="8" t="n">
        <x:v>3213</x:v>
      </x:c>
      <x:c r="F1499" s="8" t="n">
        <x:v>13</x:v>
      </x:c>
      <x:c r="G1499" s="8" t="n">
        <x:v>6519</x:v>
      </x:c>
      <x:c r="H1499" s="8" t="n">
        <x:v>90</x:v>
      </x:c>
      <x:c r="I1499" s="8" t="n">
        <x:v>0</x:v>
      </x:c>
      <x:c r="J1499" s="8" t="n">
        <x:v>23</x:v>
      </x:c>
      <x:c r="K1499" s="8" t="n">
        <x:v>1100</x:v>
      </x:c>
      <x:c r="L1499" s="1" t="str">
        <x:v>Нет</x:v>
      </x:c>
      <x:c r="M1499" s="1" t="n">
        <x:v>13320</x:v>
      </x:c>
    </x:row>
    <x:row r="1500">
      <x:c r="A1500" s="1" t="str">
        <x:v>158696710</x:v>
      </x:c>
      <x:c r="B1500" s="1" t="str">
        <x:v>brukiman/зеленый</x:v>
      </x:c>
      <x:c r="C1500" s="1" t="str">
        <x:v>Брюки</x:v>
      </x:c>
      <x:c r="D1500" s="9" t="n">
        <x:v>7.7</x:v>
      </x:c>
      <x:c r="E1500" s="8" t="n">
        <x:v>1821</x:v>
      </x:c>
      <x:c r="F1500" s="8" t="n">
        <x:v>15</x:v>
      </x:c>
      <x:c r="G1500" s="8" t="n">
        <x:v>6517</x:v>
      </x:c>
      <x:c r="H1500" s="8" t="n">
        <x:v>90</x:v>
      </x:c>
      <x:c r="I1500" s="8" t="n">
        <x:v>0</x:v>
      </x:c>
      <x:c r="J1500" s="8" t="n">
        <x:v>24</x:v>
      </x:c>
      <x:c r="K1500" s="8" t="n">
        <x:v>2182</x:v>
      </x:c>
      <x:c r="L1500" s="1" t="str">
        <x:v>Нет</x:v>
      </x:c>
      <x:c r="M1500" s="1" t="n">
        <x:v>16100</x:v>
      </x:c>
    </x:row>
    <x:row r="1501">
      <x:c r="A1501" s="1" t="str">
        <x:v>344438913</x:v>
      </x:c>
      <x:c r="B1501" s="1" t="str">
        <x:v>tophumo/бежевый</x:v>
      </x:c>
      <x:c r="C1501" s="1" t="str">
        <x:v>Топы</x:v>
      </x:c>
      <x:c r="D1501" s="9" t="n">
        <x:v>7.4</x:v>
      </x:c>
      <x:c r="E1501" s="8" t="n">
        <x:v>9129</x:v>
      </x:c>
      <x:c r="F1501" s="8" t="n">
        <x:v>14</x:v>
      </x:c>
      <x:c r="G1501" s="8" t="n">
        <x:v>6510</x:v>
      </x:c>
      <x:c r="H1501" s="8" t="n">
        <x:v>235</x:v>
      </x:c>
      <x:c r="I1501" s="8" t="n">
        <x:v>0</x:v>
      </x:c>
      <x:c r="J1501" s="8" t="n">
        <x:v>0</x:v>
      </x:c>
      <x:c r="K1501" s="8" t="n">
        <x:v>930</x:v>
      </x:c>
      <x:c r="L1501" s="1" t="str">
        <x:v>Нет</x:v>
      </x:c>
      <x:c r="M1501" s="1" t="n">
        <x:v>0</x:v>
      </x:c>
    </x:row>
    <x:row r="1502">
      <x:c r="A1502" s="1" t="str">
        <x:v>179951201</x:v>
      </x:c>
      <x:c r="B1502" s="1" t="str">
        <x:v>palazzo/серый</x:v>
      </x:c>
      <x:c r="C1502" s="1" t="str">
        <x:v>Брюки</x:v>
      </x:c>
      <x:c r="D1502" s="9" t="n">
        <x:v>9.4</x:v>
      </x:c>
      <x:c r="E1502" s="8" t="n">
        <x:v>968</x:v>
      </x:c>
      <x:c r="F1502" s="8" t="n">
        <x:v>7</x:v>
      </x:c>
      <x:c r="G1502" s="8" t="n">
        <x:v>6496</x:v>
      </x:c>
      <x:c r="H1502" s="8" t="n">
        <x:v>1</x:v>
      </x:c>
      <x:c r="I1502" s="8" t="n">
        <x:v>0</x:v>
      </x:c>
      <x:c r="J1502" s="8" t="n">
        <x:v>30</x:v>
      </x:c>
      <x:c r="K1502" s="8" t="n">
        <x:v>2163</x:v>
      </x:c>
      <x:c r="L1502" s="1" t="str">
        <x:v>Нет</x:v>
      </x:c>
      <x:c r="M1502" s="1" t="n">
        <x:v>19552</x:v>
      </x:c>
    </x:row>
    <x:row r="1503">
      <x:c r="A1503" s="1" t="str">
        <x:v>234287021</x:v>
      </x:c>
      <x:c r="B1503" s="1" t="str">
        <x:v>svitshotmanpetl/темно-синий</x:v>
      </x:c>
      <x:c r="C1503" s="1" t="str">
        <x:v>Свитшоты</x:v>
      </x:c>
      <x:c r="D1503" s="9" t="n">
        <x:v>6.7</x:v>
      </x:c>
      <x:c r="E1503" s="8" t="n">
        <x:v>2628</x:v>
      </x:c>
      <x:c r="F1503" s="8" t="n">
        <x:v>6</x:v>
      </x:c>
      <x:c r="G1503" s="8" t="n">
        <x:v>6473</x:v>
      </x:c>
      <x:c r="H1503" s="8" t="n">
        <x:v>0</x:v>
      </x:c>
      <x:c r="I1503" s="8" t="n">
        <x:v>0</x:v>
      </x:c>
      <x:c r="J1503" s="8" t="n">
        <x:v>14</x:v>
      </x:c>
      <x:c r="K1503" s="8" t="n">
        <x:v>2158</x:v>
      </x:c>
      <x:c r="L1503" s="1" t="str">
        <x:v>Нет</x:v>
      </x:c>
      <x:c r="M1503" s="1" t="n">
        <x:v>19350</x:v>
      </x:c>
    </x:row>
    <x:row r="1504">
      <x:c r="A1504" s="1" t="str">
        <x:v>240808516</x:v>
      </x:c>
      <x:c r="B1504" s="1" t="str">
        <x:v>brukiboy/темно-серый</x:v>
      </x:c>
      <x:c r="C1504" s="1" t="str">
        <x:v>Брюки</x:v>
      </x:c>
      <x:c r="D1504" s="9" t="n">
        <x:v>7.7</x:v>
      </x:c>
      <x:c r="E1504" s="8" t="n">
        <x:v>3716</x:v>
      </x:c>
      <x:c r="F1504" s="8" t="n">
        <x:v>12</x:v>
      </x:c>
      <x:c r="G1504" s="8" t="n">
        <x:v>6412</x:v>
      </x:c>
      <x:c r="H1504" s="8" t="n">
        <x:v>79</x:v>
      </x:c>
      <x:c r="I1504" s="8" t="n">
        <x:v>0</x:v>
      </x:c>
      <x:c r="J1504" s="8" t="n">
        <x:v>11</x:v>
      </x:c>
      <x:c r="K1504" s="8" t="n">
        <x:v>1066</x:v>
      </x:c>
      <x:c r="L1504" s="1" t="str">
        <x:v>Нет</x:v>
      </x:c>
      <x:c r="M1504" s="1" t="n">
        <x:v>2475</x:v>
      </x:c>
    </x:row>
    <x:row r="1505">
      <x:c r="A1505" s="1" t="str">
        <x:v>246012965</x:v>
      </x:c>
      <x:c r="B1505" s="1" t="str">
        <x:v>bazakulgirl/молочный</x:v>
      </x:c>
      <x:c r="C1505" s="1" t="str">
        <x:v>Футболки</x:v>
      </x:c>
      <x:c r="D1505" s="9" t="n">
        <x:v>9.5</x:v>
      </x:c>
      <x:c r="E1505" s="8" t="n">
        <x:v>1866</x:v>
      </x:c>
      <x:c r="F1505" s="8" t="n">
        <x:v>16</x:v>
      </x:c>
      <x:c r="G1505" s="8" t="n">
        <x:v>6390</x:v>
      </x:c>
      <x:c r="H1505" s="8" t="n">
        <x:v>2</x:v>
      </x:c>
      <x:c r="I1505" s="8" t="n">
        <x:v>0</x:v>
      </x:c>
      <x:c r="J1505" s="8" t="n">
        <x:v>0</x:v>
      </x:c>
      <x:c r="K1505" s="8" t="n">
        <x:v>538</x:v>
      </x:c>
      <x:c r="L1505" s="1" t="str">
        <x:v>Нет</x:v>
      </x:c>
      <x:c r="M1505" s="1" t="n">
        <x:v>0</x:v>
      </x:c>
    </x:row>
    <x:row r="1506">
      <x:c r="A1506" s="1" t="str">
        <x:v>357020146</x:v>
      </x:c>
      <x:c r="B1506" s="1" t="str">
        <x:v>bazakulgirl/коричневый</x:v>
      </x:c>
      <x:c r="C1506" s="1" t="str">
        <x:v>Футболки</x:v>
      </x:c>
      <x:c r="D1506" s="9" t="n">
        <x:v>9.5</x:v>
      </x:c>
      <x:c r="E1506" s="8" t="n">
        <x:v>1095</x:v>
      </x:c>
      <x:c r="F1506" s="8" t="n">
        <x:v>13</x:v>
      </x:c>
      <x:c r="G1506" s="8" t="n">
        <x:v>6242</x:v>
      </x:c>
      <x:c r="H1506" s="8" t="n">
        <x:v>443</x:v>
      </x:c>
      <x:c r="I1506" s="8" t="n">
        <x:v>0</x:v>
      </x:c>
      <x:c r="J1506" s="8" t="n">
        <x:v>0</x:v>
      </x:c>
      <x:c r="K1506" s="8" t="n">
        <x:v>564</x:v>
      </x:c>
      <x:c r="L1506" s="1" t="str">
        <x:v>Нет</x:v>
      </x:c>
      <x:c r="M1506" s="1" t="n">
        <x:v>0</x:v>
      </x:c>
    </x:row>
    <x:row r="1507">
      <x:c r="A1507" s="1" t="str">
        <x:v>357022578</x:v>
      </x:c>
      <x:c r="B1507" s="1" t="str">
        <x:v>bazakulgirl/какао</x:v>
      </x:c>
      <x:c r="C1507" s="1" t="str">
        <x:v>Футболки</x:v>
      </x:c>
      <x:c r="D1507" s="9" t="n">
        <x:v>9.5</x:v>
      </x:c>
      <x:c r="E1507" s="8" t="n">
        <x:v>1856</x:v>
      </x:c>
      <x:c r="F1507" s="8" t="n">
        <x:v>19</x:v>
      </x:c>
      <x:c r="G1507" s="8" t="n">
        <x:v>6234</x:v>
      </x:c>
      <x:c r="H1507" s="8" t="n">
        <x:v>795</x:v>
      </x:c>
      <x:c r="I1507" s="8" t="n">
        <x:v>0</x:v>
      </x:c>
      <x:c r="J1507" s="8" t="n">
        <x:v>0</x:v>
      </x:c>
      <x:c r="K1507" s="8" t="n">
        <x:v>565</x:v>
      </x:c>
      <x:c r="L1507" s="1" t="str">
        <x:v>Нет</x:v>
      </x:c>
      <x:c r="M1507" s="1" t="n">
        <x:v>0</x:v>
      </x:c>
    </x:row>
    <x:row r="1508">
      <x:c r="A1508" s="1" t="str">
        <x:v>194931732</x:v>
      </x:c>
      <x:c r="B1508" s="1" t="str">
        <x:v>sweater/светло-зеленый</x:v>
      </x:c>
      <x:c r="C1508" s="1" t="str">
        <x:v>Свитшоты</x:v>
      </x:c>
      <x:c r="D1508" s="9" t="n">
        <x:v>9.7</x:v>
      </x:c>
      <x:c r="E1508" s="8" t="n">
        <x:v>205</x:v>
      </x:c>
      <x:c r="F1508" s="8" t="n">
        <x:v>6</x:v>
      </x:c>
      <x:c r="G1508" s="8" t="n">
        <x:v>6071</x:v>
      </x:c>
      <x:c r="H1508" s="8" t="n">
        <x:v>0</x:v>
      </x:c>
      <x:c r="I1508" s="8" t="n">
        <x:v>0</x:v>
      </x:c>
      <x:c r="J1508" s="8" t="n">
        <x:v>28</x:v>
      </x:c>
      <x:c r="K1508" s="8" t="n">
        <x:v>1538</x:v>
      </x:c>
      <x:c r="L1508" s="1" t="str">
        <x:v>Нет</x:v>
      </x:c>
      <x:c r="M1508" s="1" t="n">
        <x:v>20860</x:v>
      </x:c>
    </x:row>
    <x:row r="1509">
      <x:c r="A1509" s="1" t="str">
        <x:v>240808476</x:v>
      </x:c>
      <x:c r="B1509" s="1" t="str">
        <x:v>brukiboy/темно-синий</x:v>
      </x:c>
      <x:c r="C1509" s="1" t="str">
        <x:v>Брюки</x:v>
      </x:c>
      <x:c r="D1509" s="9" t="n">
        <x:v>7.7</x:v>
      </x:c>
      <x:c r="E1509" s="8" t="n">
        <x:v>3456</x:v>
      </x:c>
      <x:c r="F1509" s="8" t="n">
        <x:v>9</x:v>
      </x:c>
      <x:c r="G1509" s="8" t="n">
        <x:v>6067</x:v>
      </x:c>
      <x:c r="H1509" s="8" t="n">
        <x:v>37</x:v>
      </x:c>
      <x:c r="I1509" s="8" t="n">
        <x:v>0</x:v>
      </x:c>
      <x:c r="J1509" s="8" t="n">
        <x:v>11</x:v>
      </x:c>
      <x:c r="K1509" s="8" t="n">
        <x:v>1051</x:v>
      </x:c>
      <x:c r="L1509" s="1" t="str">
        <x:v>Нет</x:v>
      </x:c>
      <x:c r="M1509" s="1" t="n">
        <x:v>8500</x:v>
      </x:c>
    </x:row>
    <x:row r="1510">
      <x:c r="A1510" s="1" t="str">
        <x:v>170172373</x:v>
      </x:c>
      <x:c r="B1510" s="1" t="str">
        <x:v>brukiman/светло-фиолетовый</x:v>
      </x:c>
      <x:c r="C1510" s="1" t="str">
        <x:v>Брюки</x:v>
      </x:c>
      <x:c r="D1510" s="9" t="n">
        <x:v>9.7</x:v>
      </x:c>
      <x:c r="E1510" s="8" t="n">
        <x:v>930</x:v>
      </x:c>
      <x:c r="F1510" s="8" t="n">
        <x:v>9</x:v>
      </x:c>
      <x:c r="G1510" s="8" t="n">
        <x:v>6066</x:v>
      </x:c>
      <x:c r="H1510" s="8" t="n">
        <x:v>12</x:v>
      </x:c>
      <x:c r="I1510" s="8" t="n">
        <x:v>0</x:v>
      </x:c>
      <x:c r="J1510" s="8" t="n">
        <x:v>46</x:v>
      </x:c>
      <x:c r="K1510" s="8" t="n">
        <x:v>2051</x:v>
      </x:c>
      <x:c r="L1510" s="1" t="str">
        <x:v>Нет</x:v>
      </x:c>
      <x:c r="M1510" s="1" t="n">
        <x:v>29920</x:v>
      </x:c>
    </x:row>
    <x:row r="1511">
      <x:c r="A1511" s="1" t="str">
        <x:v>227853238</x:v>
      </x:c>
      <x:c r="B1511" s="1" t="str">
        <x:v>shorty/персиковый</x:v>
      </x:c>
      <x:c r="C1511" s="1" t="str">
        <x:v>Шорты</x:v>
      </x:c>
      <x:c r="D1511" s="9" t="n">
        <x:v>5.9</x:v>
      </x:c>
      <x:c r="E1511" s="8" t="n">
        <x:v>5830</x:v>
      </x:c>
      <x:c r="F1511" s="8" t="n">
        <x:v>12</x:v>
      </x:c>
      <x:c r="G1511" s="8" t="n">
        <x:v>5942</x:v>
      </x:c>
      <x:c r="H1511" s="8" t="n">
        <x:v>13</x:v>
      </x:c>
      <x:c r="I1511" s="8" t="n">
        <x:v>0</x:v>
      </x:c>
      <x:c r="J1511" s="8" t="n">
        <x:v>4</x:v>
      </x:c>
      <x:c r="K1511" s="8" t="n">
        <x:v>989</x:v>
      </x:c>
      <x:c r="L1511" s="1" t="str">
        <x:v>Нет</x:v>
      </x:c>
      <x:c r="M1511" s="1" t="n">
        <x:v>1111</x:v>
      </x:c>
    </x:row>
    <x:row r="1512">
      <x:c r="A1512" s="1" t="str">
        <x:v>236026599</x:v>
      </x:c>
      <x:c r="B1512" s="1" t="str">
        <x:v>futbolkaprint/Sounds-162/молочный</x:v>
      </x:c>
      <x:c r="C1512" s="1" t="str">
        <x:v>Футболки</x:v>
      </x:c>
      <x:c r="D1512" s="9" t="n">
        <x:v>8.7</x:v>
      </x:c>
      <x:c r="E1512" s="8" t="n">
        <x:v>2505</x:v>
      </x:c>
      <x:c r="F1512" s="8" t="n">
        <x:v>11</x:v>
      </x:c>
      <x:c r="G1512" s="8" t="n">
        <x:v>5683</x:v>
      </x:c>
      <x:c r="H1512" s="8" t="n">
        <x:v>0</x:v>
      </x:c>
      <x:c r="I1512" s="8" t="n">
        <x:v>0</x:v>
      </x:c>
      <x:c r="J1512" s="8" t="n">
        <x:v>116</x:v>
      </x:c>
      <x:c r="K1512" s="8" t="n">
        <x:v>1113</x:v>
      </x:c>
      <x:c r="L1512" s="1" t="str">
        <x:v>Нет</x:v>
      </x:c>
      <x:c r="M1512" s="1" t="n">
        <x:v>79918</x:v>
      </x:c>
    </x:row>
    <x:row r="1513">
      <x:c r="A1513" s="1" t="str">
        <x:v>209915734</x:v>
      </x:c>
      <x:c r="B1513" s="1" t="str">
        <x:v>shorty/фуксия</x:v>
      </x:c>
      <x:c r="C1513" s="1" t="str">
        <x:v>Шорты</x:v>
      </x:c>
      <x:c r="D1513" s="9" t="n">
        <x:v>6.9</x:v>
      </x:c>
      <x:c r="E1513" s="8" t="n">
        <x:v>853</x:v>
      </x:c>
      <x:c r="F1513" s="8" t="n">
        <x:v>12</x:v>
      </x:c>
      <x:c r="G1513" s="8" t="n">
        <x:v>5550</x:v>
      </x:c>
      <x:c r="H1513" s="8" t="n">
        <x:v>149</x:v>
      </x:c>
      <x:c r="I1513" s="8" t="n">
        <x:v>0</x:v>
      </x:c>
      <x:c r="J1513" s="8" t="n">
        <x:v>0</x:v>
      </x:c>
      <x:c r="K1513" s="8" t="n">
        <x:v>1110</x:v>
      </x:c>
      <x:c r="L1513" s="1" t="str">
        <x:v>Нет</x:v>
      </x:c>
      <x:c r="M1513" s="1" t="n">
        <x:v>0</x:v>
      </x:c>
    </x:row>
    <x:row r="1514">
      <x:c r="A1514" s="1" t="str">
        <x:v>44880056</x:v>
      </x:c>
      <x:c r="B1514" s="1" t="str">
        <x:v>longslivdecolte/пыльнаямята</x:v>
      </x:c>
      <x:c r="C1514" s="1" t="str">
        <x:v>Лонгсливы</x:v>
      </x:c>
      <x:c r="D1514" s="9" t="n">
        <x:v>7</x:v>
      </x:c>
      <x:c r="E1514" s="8" t="n">
        <x:v>3290</x:v>
      </x:c>
      <x:c r="F1514" s="8" t="n">
        <x:v>26</x:v>
      </x:c>
      <x:c r="G1514" s="8" t="n">
        <x:v>5521</x:v>
      </x:c>
      <x:c r="H1514" s="8" t="n">
        <x:v>221</x:v>
      </x:c>
      <x:c r="I1514" s="8" t="n">
        <x:v>0</x:v>
      </x:c>
      <x:c r="J1514" s="8" t="n">
        <x:v>40</x:v>
      </x:c>
      <x:c r="K1514" s="8" t="n">
        <x:v>684</x:v>
      </x:c>
      <x:c r="L1514" s="1" t="str">
        <x:v>Нет</x:v>
      </x:c>
      <x:c r="M1514" s="1" t="n">
        <x:v>7744</x:v>
      </x:c>
    </x:row>
    <x:row r="1515">
      <x:c r="A1515" s="1" t="str">
        <x:v>366559995</x:v>
      </x:c>
      <x:c r="B1515" s="1" t="str">
        <x:v>2Nshortyboy/бордовый</x:v>
      </x:c>
      <x:c r="C1515" s="1" t="str">
        <x:v>Шорты</x:v>
      </x:c>
      <x:c r="D1515" s="9" t="n">
        <x:v>8.4</x:v>
      </x:c>
      <x:c r="E1515" s="8" t="n">
        <x:v>2541</x:v>
      </x:c>
      <x:c r="F1515" s="8" t="n">
        <x:v>16</x:v>
      </x:c>
      <x:c r="G1515" s="8" t="n">
        <x:v>5520</x:v>
      </x:c>
      <x:c r="H1515" s="8" t="n">
        <x:v>15</x:v>
      </x:c>
      <x:c r="I1515" s="8" t="n">
        <x:v>0</x:v>
      </x:c>
      <x:c r="J1515" s="8" t="n">
        <x:v>0</x:v>
      </x:c>
      <x:c r="K1515" s="8" t="n">
        <x:v>833</x:v>
      </x:c>
      <x:c r="L1515" s="1" t="str">
        <x:v>Нет</x:v>
      </x:c>
      <x:c r="M1515" s="1" t="n">
        <x:v>0</x:v>
      </x:c>
    </x:row>
    <x:row r="1516">
      <x:c r="A1516" s="1" t="str">
        <x:v>366557122</x:v>
      </x:c>
      <x:c r="B1516" s="1" t="str">
        <x:v>2Nshortyboy/черный</x:v>
      </x:c>
      <x:c r="C1516" s="1" t="str">
        <x:v>Шорты</x:v>
      </x:c>
      <x:c r="D1516" s="9" t="n">
        <x:v>8.4</x:v>
      </x:c>
      <x:c r="E1516" s="8" t="n">
        <x:v>2673</x:v>
      </x:c>
      <x:c r="F1516" s="8" t="n">
        <x:v>20</x:v>
      </x:c>
      <x:c r="G1516" s="8" t="n">
        <x:v>5460</x:v>
      </x:c>
      <x:c r="H1516" s="8" t="n">
        <x:v>83</x:v>
      </x:c>
      <x:c r="I1516" s="8" t="n">
        <x:v>0</x:v>
      </x:c>
      <x:c r="J1516" s="8" t="n">
        <x:v>0</x:v>
      </x:c>
      <x:c r="K1516" s="8" t="n">
        <x:v>780</x:v>
      </x:c>
      <x:c r="L1516" s="1" t="str">
        <x:v>Нет</x:v>
      </x:c>
      <x:c r="M1516" s="1" t="n">
        <x:v>0</x:v>
      </x:c>
    </x:row>
    <x:row r="1517">
      <x:c r="A1517" s="1" t="str">
        <x:v>116725956</x:v>
      </x:c>
      <x:c r="B1517" s="1" t="str">
        <x:v>longsliv/зелено-серый</x:v>
      </x:c>
      <x:c r="C1517" s="1" t="str">
        <x:v>Лонгсливы</x:v>
      </x:c>
      <x:c r="D1517" s="9" t="n">
        <x:v>7.7</x:v>
      </x:c>
      <x:c r="E1517" s="8" t="n">
        <x:v>7344</x:v>
      </x:c>
      <x:c r="F1517" s="8" t="n">
        <x:v>16</x:v>
      </x:c>
      <x:c r="G1517" s="8" t="n">
        <x:v>5432</x:v>
      </x:c>
      <x:c r="H1517" s="8" t="n">
        <x:v>24</x:v>
      </x:c>
      <x:c r="I1517" s="8" t="n">
        <x:v>0</x:v>
      </x:c>
      <x:c r="J1517" s="8" t="n">
        <x:v>11</x:v>
      </x:c>
      <x:c r="K1517" s="8" t="n">
        <x:v>766</x:v>
      </x:c>
      <x:c r="L1517" s="1" t="str">
        <x:v>Нет</x:v>
      </x:c>
      <x:c r="M1517" s="1" t="n">
        <x:v>1700</x:v>
      </x:c>
    </x:row>
    <x:row r="1518">
      <x:c r="A1518" s="1" t="str">
        <x:v>287286755</x:v>
      </x:c>
      <x:c r="B1518" s="1" t="str">
        <x:v>2Nitkalongsliv3D-76/фуксия</x:v>
      </x:c>
      <x:c r="C1518" s="1" t="str">
        <x:v>Лонгсливы</x:v>
      </x:c>
      <x:c r="D1518" s="9" t="n">
        <x:v>8.7</x:v>
      </x:c>
      <x:c r="E1518" s="8" t="n">
        <x:v>1699</x:v>
      </x:c>
      <x:c r="F1518" s="8" t="n">
        <x:v>9</x:v>
      </x:c>
      <x:c r="G1518" s="8" t="n">
        <x:v>5322</x:v>
      </x:c>
      <x:c r="H1518" s="8" t="n">
        <x:v>0</x:v>
      </x:c>
      <x:c r="I1518" s="8" t="n">
        <x:v>0</x:v>
      </x:c>
      <x:c r="J1518" s="8" t="n">
        <x:v>38</x:v>
      </x:c>
      <x:c r="K1518" s="8" t="n">
        <x:v>1367</x:v>
      </x:c>
      <x:c r="L1518" s="1" t="str">
        <x:v>Нет</x:v>
      </x:c>
      <x:c r="M1518" s="1" t="n">
        <x:v>20100</x:v>
      </x:c>
    </x:row>
    <x:row r="1519">
      <x:c r="A1519" s="1" t="str">
        <x:v>169362204</x:v>
      </x:c>
      <x:c r="B1519" s="1" t="str">
        <x:v>longslivrukav/фуксия</x:v>
      </x:c>
      <x:c r="C1519" s="1" t="str">
        <x:v>Лонгсливы</x:v>
      </x:c>
      <x:c r="D1519" s="9" t="n">
        <x:v>8.7</x:v>
      </x:c>
      <x:c r="E1519" s="8" t="n">
        <x:v>1848</x:v>
      </x:c>
      <x:c r="F1519" s="8" t="n">
        <x:v>12</x:v>
      </x:c>
      <x:c r="G1519" s="8" t="n">
        <x:v>5300</x:v>
      </x:c>
      <x:c r="H1519" s="8" t="n">
        <x:v>5</x:v>
      </x:c>
      <x:c r="I1519" s="8" t="n">
        <x:v>0</x:v>
      </x:c>
      <x:c r="J1519" s="8" t="n">
        <x:v>22</x:v>
      </x:c>
      <x:c r="K1519" s="8" t="n">
        <x:v>650</x:v>
      </x:c>
      <x:c r="L1519" s="1" t="str">
        <x:v>Нет</x:v>
      </x:c>
      <x:c r="M1519" s="1" t="n">
        <x:v>7700</x:v>
      </x:c>
    </x:row>
    <x:row r="1520">
      <x:c r="A1520" s="1" t="str">
        <x:v>329562245</x:v>
      </x:c>
      <x:c r="B1520" s="1" t="str">
        <x:v>brukiboy/серый</x:v>
      </x:c>
      <x:c r="C1520" s="1" t="str">
        <x:v>Брюки</x:v>
      </x:c>
      <x:c r="D1520" s="9" t="n">
        <x:v>7.7</x:v>
      </x:c>
      <x:c r="E1520" s="8" t="n">
        <x:v>3368</x:v>
      </x:c>
      <x:c r="F1520" s="8" t="n">
        <x:v>7</x:v>
      </x:c>
      <x:c r="G1520" s="8" t="n">
        <x:v>5297</x:v>
      </x:c>
      <x:c r="H1520" s="8" t="n">
        <x:v>93</x:v>
      </x:c>
      <x:c r="I1520" s="8" t="n">
        <x:v>0</x:v>
      </x:c>
      <x:c r="J1520" s="8" t="n">
        <x:v>4</x:v>
      </x:c>
      <x:c r="K1520" s="8" t="n">
        <x:v>1064</x:v>
      </x:c>
      <x:c r="L1520" s="1" t="str">
        <x:v>Нет</x:v>
      </x:c>
      <x:c r="M1520" s="1" t="n">
        <x:v>2150</x:v>
      </x:c>
    </x:row>
    <x:row r="1521">
      <x:c r="A1521" s="1" t="str">
        <x:v>222011063</x:v>
      </x:c>
      <x:c r="B1521" s="1" t="str">
        <x:v>futbolkamanoverX3/чер-тсер-син</x:v>
      </x:c>
      <x:c r="C1521" s="1" t="str">
        <x:v>Футболки</x:v>
      </x:c>
      <x:c r="D1521" s="9" t="n">
        <x:v>8.4</x:v>
      </x:c>
      <x:c r="E1521" s="8" t="n">
        <x:v>16273</x:v>
      </x:c>
      <x:c r="F1521" s="8" t="n">
        <x:v>4</x:v>
      </x:c>
      <x:c r="G1521" s="8" t="n">
        <x:v>5279</x:v>
      </x:c>
      <x:c r="H1521" s="8" t="n">
        <x:v>1</x:v>
      </x:c>
      <x:c r="I1521" s="8" t="n">
        <x:v>0</x:v>
      </x:c>
      <x:c r="J1521" s="8" t="n">
        <x:v>3</x:v>
      </x:c>
      <x:c r="K1521" s="8" t="n">
        <x:v>2618</x:v>
      </x:c>
      <x:c r="L1521" s="1" t="str">
        <x:v>Нет</x:v>
      </x:c>
      <x:c r="M1521" s="1" t="n">
        <x:v>8250</x:v>
      </x:c>
    </x:row>
    <x:row r="1522">
      <x:c r="A1522" s="1" t="str">
        <x:v>235997578</x:v>
      </x:c>
      <x:c r="B1522" s="1" t="str">
        <x:v>bazagirl/темно-серый</x:v>
      </x:c>
      <x:c r="C1522" s="1" t="str">
        <x:v>Футболки</x:v>
      </x:c>
      <x:c r="D1522" s="9" t="n">
        <x:v>9.5</x:v>
      </x:c>
      <x:c r="E1522" s="8" t="n">
        <x:v>1404</x:v>
      </x:c>
      <x:c r="F1522" s="8" t="n">
        <x:v>23</x:v>
      </x:c>
      <x:c r="G1522" s="8" t="n">
        <x:v>5246</x:v>
      </x:c>
      <x:c r="H1522" s="8" t="n">
        <x:v>156</x:v>
      </x:c>
      <x:c r="I1522" s="8" t="n">
        <x:v>0</x:v>
      </x:c>
      <x:c r="J1522" s="8" t="n">
        <x:v>0</x:v>
      </x:c>
      <x:c r="K1522" s="8" t="n">
        <x:v>473</x:v>
      </x:c>
      <x:c r="L1522" s="1" t="str">
        <x:v>Нет</x:v>
      </x:c>
      <x:c r="M1522" s="1" t="n">
        <x:v>0</x:v>
      </x:c>
    </x:row>
    <x:row r="1523">
      <x:c r="A1523" s="1" t="str">
        <x:v>287286754</x:v>
      </x:c>
      <x:c r="B1523" s="1" t="str">
        <x:v>2Nitkalongsliv3D-76/коричневый</x:v>
      </x:c>
      <x:c r="C1523" s="1" t="str">
        <x:v>Лонгсливы</x:v>
      </x:c>
      <x:c r="D1523" s="9" t="n">
        <x:v>8.7</x:v>
      </x:c>
      <x:c r="E1523" s="8" t="n">
        <x:v>1585</x:v>
      </x:c>
      <x:c r="F1523" s="8" t="n">
        <x:v>8</x:v>
      </x:c>
      <x:c r="G1523" s="8" t="n">
        <x:v>5240</x:v>
      </x:c>
      <x:c r="H1523" s="8" t="n">
        <x:v>0</x:v>
      </x:c>
      <x:c r="I1523" s="8" t="n">
        <x:v>0</x:v>
      </x:c>
      <x:c r="J1523" s="8" t="n">
        <x:v>35</x:v>
      </x:c>
      <x:c r="K1523" s="8" t="n">
        <x:v>1320</x:v>
      </x:c>
      <x:c r="L1523" s="1" t="str">
        <x:v>Нет</x:v>
      </x:c>
      <x:c r="M1523" s="1" t="n">
        <x:v>21440</x:v>
      </x:c>
    </x:row>
    <x:row r="1524">
      <x:c r="A1524" s="1" t="str">
        <x:v>320258155</x:v>
      </x:c>
      <x:c r="B1524" s="1" t="str">
        <x:v>svitpal/серыймеланж2</x:v>
      </x:c>
      <x:c r="C1524" s="1" t="str">
        <x:v>Костюмы спортивные</x:v>
      </x:c>
      <x:c r="D1524" s="9" t="n">
        <x:v>8.4</x:v>
      </x:c>
      <x:c r="E1524" s="8" t="n">
        <x:v>15923</x:v>
      </x:c>
      <x:c r="F1524" s="8" t="n">
        <x:v>36</x:v>
      </x:c>
      <x:c r="G1524" s="8" t="n">
        <x:v>5200</x:v>
      </x:c>
      <x:c r="H1524" s="8" t="n">
        <x:v>219</x:v>
      </x:c>
      <x:c r="I1524" s="8" t="n">
        <x:v>0</x:v>
      </x:c>
      <x:c r="J1524" s="8" t="n">
        <x:v>0</x:v>
      </x:c>
      <x:c r="K1524" s="8" t="n">
        <x:v>5121</x:v>
      </x:c>
      <x:c r="L1524" s="1" t="str">
        <x:v>Нет</x:v>
      </x:c>
      <x:c r="M1524" s="1" t="n">
        <x:v>0</x:v>
      </x:c>
    </x:row>
    <x:row r="1525">
      <x:c r="A1525" s="1" t="str">
        <x:v>209143705</x:v>
      </x:c>
      <x:c r="B1525" s="1" t="str">
        <x:v>kulirkamanprint/TeloX6-69/молочный</x:v>
      </x:c>
      <x:c r="C1525" s="1" t="str">
        <x:v>Футболки</x:v>
      </x:c>
      <x:c r="D1525" s="9" t="n">
        <x:v>8.7</x:v>
      </x:c>
      <x:c r="E1525" s="8" t="n">
        <x:v>2871</x:v>
      </x:c>
      <x:c r="F1525" s="8" t="n">
        <x:v>26</x:v>
      </x:c>
      <x:c r="G1525" s="8" t="n">
        <x:v>5120</x:v>
      </x:c>
      <x:c r="H1525" s="8" t="n">
        <x:v>92</x:v>
      </x:c>
      <x:c r="I1525" s="8" t="n">
        <x:v>0</x:v>
      </x:c>
      <x:c r="J1525" s="8" t="n">
        <x:v>0</x:v>
      </x:c>
      <x:c r="K1525" s="8" t="n">
        <x:v>1280</x:v>
      </x:c>
      <x:c r="L1525" s="1" t="str">
        <x:v>Нет</x:v>
      </x:c>
      <x:c r="M1525" s="1" t="n">
        <x:v>0</x:v>
      </x:c>
    </x:row>
    <x:row r="1526">
      <x:c r="A1526" s="1" t="str">
        <x:v>222347130</x:v>
      </x:c>
      <x:c r="B1526" s="1" t="str">
        <x:v>2Nfutbolkaman/черный</x:v>
      </x:c>
      <x:c r="C1526" s="1" t="str">
        <x:v>Футболки</x:v>
      </x:c>
      <x:c r="D1526" s="9" t="n">
        <x:v>8.4</x:v>
      </x:c>
      <x:c r="E1526" s="8" t="n">
        <x:v>1628</x:v>
      </x:c>
      <x:c r="F1526" s="8" t="n">
        <x:v>5</x:v>
      </x:c>
      <x:c r="G1526" s="8" t="n">
        <x:v>5110</x:v>
      </x:c>
      <x:c r="H1526" s="8" t="n">
        <x:v>0</x:v>
      </x:c>
      <x:c r="I1526" s="8" t="n">
        <x:v>0</x:v>
      </x:c>
      <x:c r="J1526" s="8" t="n">
        <x:v>54</x:v>
      </x:c>
      <x:c r="K1526" s="8" t="n">
        <x:v>1271</x:v>
      </x:c>
      <x:c r="L1526" s="1" t="str">
        <x:v>Нет</x:v>
      </x:c>
      <x:c r="M1526" s="1" t="n">
        <x:v>39371</x:v>
      </x:c>
    </x:row>
    <x:row r="1527">
      <x:c r="A1527" s="1" t="str">
        <x:v>51580934</x:v>
      </x:c>
      <x:c r="B1527" s="1" t="str">
        <x:v>brukiman/морскаяволна</x:v>
      </x:c>
      <x:c r="C1527" s="1" t="str">
        <x:v>Брюки</x:v>
      </x:c>
      <x:c r="D1527" s="9" t="n">
        <x:v>7.7</x:v>
      </x:c>
      <x:c r="E1527" s="8" t="n">
        <x:v>1289</x:v>
      </x:c>
      <x:c r="F1527" s="8" t="n">
        <x:v>4</x:v>
      </x:c>
      <x:c r="G1527" s="8" t="n">
        <x:v>5050</x:v>
      </x:c>
      <x:c r="H1527" s="8" t="n">
        <x:v>3</x:v>
      </x:c>
      <x:c r="I1527" s="8" t="n">
        <x:v>0</x:v>
      </x:c>
      <x:c r="J1527" s="8" t="n">
        <x:v>10</x:v>
      </x:c>
      <x:c r="K1527" s="8" t="n">
        <x:v>2515</x:v>
      </x:c>
      <x:c r="L1527" s="1" t="str">
        <x:v>Нет</x:v>
      </x:c>
      <x:c r="M1527" s="1" t="n">
        <x:v>10160</x:v>
      </x:c>
    </x:row>
    <x:row r="1528">
      <x:c r="A1528" s="1" t="str">
        <x:v>150673971</x:v>
      </x:c>
      <x:c r="B1528" s="1" t="str">
        <x:v>svitshotover/деним</x:v>
      </x:c>
      <x:c r="C1528" s="1" t="str">
        <x:v>Свитшоты</x:v>
      </x:c>
      <x:c r="D1528" s="9" t="n">
        <x:v>9.7</x:v>
      </x:c>
      <x:c r="E1528" s="8" t="n">
        <x:v>957</x:v>
      </x:c>
      <x:c r="F1528" s="8" t="n">
        <x:v>6</x:v>
      </x:c>
      <x:c r="G1528" s="8" t="n">
        <x:v>5030</x:v>
      </x:c>
      <x:c r="H1528" s="8" t="n">
        <x:v>57</x:v>
      </x:c>
      <x:c r="I1528" s="8" t="n">
        <x:v>0</x:v>
      </x:c>
      <x:c r="J1528" s="8" t="n">
        <x:v>6</x:v>
      </x:c>
      <x:c r="K1528" s="8" t="n">
        <x:v>2560</x:v>
      </x:c>
      <x:c r="L1528" s="1" t="str">
        <x:v>Нет</x:v>
      </x:c>
      <x:c r="M1528" s="1" t="n">
        <x:v>8100</x:v>
      </x:c>
    </x:row>
    <x:row r="1529">
      <x:c r="A1529" s="1" t="str">
        <x:v>365942949</x:v>
      </x:c>
      <x:c r="B1529" s="1" t="str">
        <x:v>bazaboy/темно-синий</x:v>
      </x:c>
      <x:c r="C1529" s="1" t="str">
        <x:v>Футболки</x:v>
      </x:c>
      <x:c r="D1529" s="9" t="n">
        <x:v>9.5</x:v>
      </x:c>
      <x:c r="E1529" s="8" t="n">
        <x:v>3714</x:v>
      </x:c>
      <x:c r="F1529" s="8" t="n">
        <x:v>17</x:v>
      </x:c>
      <x:c r="G1529" s="8" t="n">
        <x:v>4871</x:v>
      </x:c>
      <x:c r="H1529" s="8" t="n">
        <x:v>14</x:v>
      </x:c>
      <x:c r="I1529" s="8" t="n">
        <x:v>0</x:v>
      </x:c>
      <x:c r="J1529" s="8" t="n">
        <x:v>0</x:v>
      </x:c>
      <x:c r="K1529" s="8" t="n">
        <x:v>488</x:v>
      </x:c>
      <x:c r="L1529" s="1" t="str">
        <x:v>Нет</x:v>
      </x:c>
      <x:c r="M1529" s="1" t="n">
        <x:v>0</x:v>
      </x:c>
    </x:row>
    <x:row r="1530">
      <x:c r="A1530" s="1" t="str">
        <x:v>209915690</x:v>
      </x:c>
      <x:c r="B1530" s="1" t="str">
        <x:v>shorty/светло-фиолетовый</x:v>
      </x:c>
      <x:c r="C1530" s="1" t="str">
        <x:v>Шорты</x:v>
      </x:c>
      <x:c r="D1530" s="9" t="n">
        <x:v>6.9</x:v>
      </x:c>
      <x:c r="E1530" s="8" t="n">
        <x:v>5337</x:v>
      </x:c>
      <x:c r="F1530" s="8" t="n">
        <x:v>8</x:v>
      </x:c>
      <x:c r="G1530" s="8" t="n">
        <x:v>4816</x:v>
      </x:c>
      <x:c r="H1530" s="8" t="n">
        <x:v>24</x:v>
      </x:c>
      <x:c r="I1530" s="8" t="n">
        <x:v>0</x:v>
      </x:c>
      <x:c r="J1530" s="8" t="n">
        <x:v>4</x:v>
      </x:c>
      <x:c r="K1530" s="8" t="n">
        <x:v>972</x:v>
      </x:c>
      <x:c r="L1530" s="1" t="str">
        <x:v>Нет</x:v>
      </x:c>
      <x:c r="M1530" s="1" t="n">
        <x:v>4440</x:v>
      </x:c>
    </x:row>
    <x:row r="1531">
      <x:c r="A1531" s="1" t="str">
        <x:v>361825200</x:v>
      </x:c>
      <x:c r="B1531" s="1" t="str">
        <x:v>bazagirl/черный</x:v>
      </x:c>
      <x:c r="C1531" s="1" t="str">
        <x:v>Футболки</x:v>
      </x:c>
      <x:c r="D1531" s="9" t="n">
        <x:v>9.5</x:v>
      </x:c>
      <x:c r="E1531" s="8" t="n">
        <x:v>1822</x:v>
      </x:c>
      <x:c r="F1531" s="8" t="n">
        <x:v>19</x:v>
      </x:c>
      <x:c r="G1531" s="8" t="n">
        <x:v>4700</x:v>
      </x:c>
      <x:c r="H1531" s="8" t="n">
        <x:v>381</x:v>
      </x:c>
      <x:c r="I1531" s="8" t="n">
        <x:v>0</x:v>
      </x:c>
      <x:c r="J1531" s="8" t="n">
        <x:v>0</x:v>
      </x:c>
      <x:c r="K1531" s="8" t="n">
        <x:v>638</x:v>
      </x:c>
      <x:c r="L1531" s="1" t="str">
        <x:v>Нет</x:v>
      </x:c>
      <x:c r="M1531" s="1" t="n">
        <x:v>0</x:v>
      </x:c>
    </x:row>
    <x:row r="1532">
      <x:c r="A1532" s="1" t="str">
        <x:v>170169480</x:v>
      </x:c>
      <x:c r="B1532" s="1" t="str">
        <x:v>brukiman/розовый</x:v>
      </x:c>
      <x:c r="C1532" s="1" t="str">
        <x:v>Брюки</x:v>
      </x:c>
      <x:c r="D1532" s="9" t="n">
        <x:v>9.7</x:v>
      </x:c>
      <x:c r="E1532" s="8" t="n">
        <x:v>1373</x:v>
      </x:c>
      <x:c r="F1532" s="8" t="n">
        <x:v>3</x:v>
      </x:c>
      <x:c r="G1532" s="8" t="n">
        <x:v>4669</x:v>
      </x:c>
      <x:c r="H1532" s="8" t="n">
        <x:v>2</x:v>
      </x:c>
      <x:c r="I1532" s="8" t="n">
        <x:v>0</x:v>
      </x:c>
      <x:c r="J1532" s="8" t="n">
        <x:v>18</x:v>
      </x:c>
      <x:c r="K1532" s="8" t="n">
        <x:v>2361</x:v>
      </x:c>
      <x:c r="L1532" s="1" t="str">
        <x:v>Нет</x:v>
      </x:c>
      <x:c r="M1532" s="1" t="n">
        <x:v>15939</x:v>
      </x:c>
    </x:row>
    <x:row r="1533">
      <x:c r="A1533" s="1" t="str">
        <x:v>203134462</x:v>
      </x:c>
      <x:c r="B1533" s="1" t="str">
        <x:v>svitshotprint/LoveNever-45/молочный</x:v>
      </x:c>
      <x:c r="C1533" s="1" t="str">
        <x:v>Свитшоты</x:v>
      </x:c>
      <x:c r="D1533" s="9" t="n">
        <x:v>8.7</x:v>
      </x:c>
      <x:c r="E1533" s="8" t="n">
        <x:v>1086</x:v>
      </x:c>
      <x:c r="F1533" s="8" t="n">
        <x:v>8</x:v>
      </x:c>
      <x:c r="G1533" s="8" t="n">
        <x:v>4616</x:v>
      </x:c>
      <x:c r="H1533" s="8" t="n">
        <x:v>11</x:v>
      </x:c>
      <x:c r="I1533" s="8" t="n">
        <x:v>0</x:v>
      </x:c>
      <x:c r="J1533" s="8" t="n">
        <x:v>10</x:v>
      </x:c>
      <x:c r="K1533" s="8" t="n">
        <x:v>2226</x:v>
      </x:c>
      <x:c r="L1533" s="1" t="str">
        <x:v>Нет</x:v>
      </x:c>
      <x:c r="M1533" s="1" t="n">
        <x:v>9344</x:v>
      </x:c>
    </x:row>
    <x:row r="1534">
      <x:c r="A1534" s="1" t="str">
        <x:v>178309501</x:v>
      </x:c>
      <x:c r="B1534" s="1" t="str">
        <x:v>svitcrop/темно-синий</x:v>
      </x:c>
      <x:c r="C1534" s="1" t="str">
        <x:v>Лонгсливы</x:v>
      </x:c>
      <x:c r="D1534" s="9" t="n">
        <x:v>9.7</x:v>
      </x:c>
      <x:c r="E1534" s="8" t="n">
        <x:v>1140</x:v>
      </x:c>
      <x:c r="F1534" s="8" t="n">
        <x:v>12</x:v>
      </x:c>
      <x:c r="G1534" s="8" t="n">
        <x:v>4590</x:v>
      </x:c>
      <x:c r="H1534" s="8" t="n">
        <x:v>0</x:v>
      </x:c>
      <x:c r="I1534" s="8" t="n">
        <x:v>0</x:v>
      </x:c>
      <x:c r="J1534" s="8" t="n">
        <x:v>86</x:v>
      </x:c>
      <x:c r="K1534" s="8" t="n">
        <x:v>920</x:v>
      </x:c>
      <x:c r="L1534" s="1" t="str">
        <x:v>Нет</x:v>
      </x:c>
      <x:c r="M1534" s="1" t="n">
        <x:v>37310</x:v>
      </x:c>
    </x:row>
    <x:row r="1535">
      <x:c r="A1535" s="1" t="str">
        <x:v>178309489</x:v>
      </x:c>
      <x:c r="B1535" s="1" t="str">
        <x:v>svitcrop/фуксия</x:v>
      </x:c>
      <x:c r="C1535" s="1" t="str">
        <x:v>Лонгсливы</x:v>
      </x:c>
      <x:c r="D1535" s="9" t="n">
        <x:v>9.7</x:v>
      </x:c>
      <x:c r="E1535" s="8" t="n">
        <x:v>1456</x:v>
      </x:c>
      <x:c r="F1535" s="8" t="n">
        <x:v>7</x:v>
      </x:c>
      <x:c r="G1535" s="8" t="n">
        <x:v>4550</x:v>
      </x:c>
      <x:c r="H1535" s="8" t="n">
        <x:v>0</x:v>
      </x:c>
      <x:c r="I1535" s="8" t="n">
        <x:v>0</x:v>
      </x:c>
      <x:c r="J1535" s="8" t="n">
        <x:v>26</x:v>
      </x:c>
      <x:c r="K1535" s="8" t="n">
        <x:v>907</x:v>
      </x:c>
      <x:c r="L1535" s="1" t="str">
        <x:v>Нет</x:v>
      </x:c>
      <x:c r="M1535" s="1" t="n">
        <x:v>10010</x:v>
      </x:c>
    </x:row>
    <x:row r="1536">
      <x:c r="A1536" s="1" t="str">
        <x:v>331334279</x:v>
      </x:c>
      <x:c r="B1536" s="1" t="str">
        <x:v>longpolo3K-90/коричневый</x:v>
      </x:c>
      <x:c r="C1536" s="1" t="str">
        <x:v>Лонгсливы</x:v>
      </x:c>
      <x:c r="D1536" s="9" t="n">
        <x:v>8.7</x:v>
      </x:c>
      <x:c r="E1536" s="8" t="n">
        <x:v>2425</x:v>
      </x:c>
      <x:c r="F1536" s="8" t="n">
        <x:v>3</x:v>
      </x:c>
      <x:c r="G1536" s="8" t="n">
        <x:v>4500</x:v>
      </x:c>
      <x:c r="H1536" s="8" t="n">
        <x:v>181</x:v>
      </x:c>
      <x:c r="I1536" s="8" t="n">
        <x:v>0</x:v>
      </x:c>
      <x:c r="J1536" s="8" t="n">
        <x:v>0</x:v>
      </x:c>
      <x:c r="K1536" s="8" t="n">
        <x:v>1500</x:v>
      </x:c>
      <x:c r="L1536" s="1" t="str">
        <x:v>Нет</x:v>
      </x:c>
      <x:c r="M1536" s="1" t="n">
        <x:v>0</x:v>
      </x:c>
    </x:row>
    <x:row r="1537">
      <x:c r="A1537" s="1" t="str">
        <x:v>165911119</x:v>
      </x:c>
      <x:c r="B1537" s="1" t="str">
        <x:v>longman/морскаяволна</x:v>
      </x:c>
      <x:c r="C1537" s="1" t="str">
        <x:v>Лонгсливы</x:v>
      </x:c>
      <x:c r="D1537" s="9" t="n">
        <x:v>7.2</x:v>
      </x:c>
      <x:c r="E1537" s="8" t="n">
        <x:v>918</x:v>
      </x:c>
      <x:c r="F1537" s="8" t="n">
        <x:v>5</x:v>
      </x:c>
      <x:c r="G1537" s="8" t="n">
        <x:v>4491</x:v>
      </x:c>
      <x:c r="H1537" s="8" t="n">
        <x:v>0</x:v>
      </x:c>
      <x:c r="I1537" s="8" t="n">
        <x:v>0</x:v>
      </x:c>
      <x:c r="J1537" s="8" t="n">
        <x:v>7</x:v>
      </x:c>
      <x:c r="K1537" s="8" t="n">
        <x:v>1109</x:v>
      </x:c>
      <x:c r="L1537" s="1" t="str">
        <x:v>Нет</x:v>
      </x:c>
      <x:c r="M1537" s="1" t="n">
        <x:v>6000</x:v>
      </x:c>
    </x:row>
    <x:row r="1538">
      <x:c r="A1538" s="1" t="str">
        <x:v>150673980</x:v>
      </x:c>
      <x:c r="B1538" s="1" t="str">
        <x:v>svitshotover/изумрудно-зеленый</x:v>
      </x:c>
      <x:c r="C1538" s="1" t="str">
        <x:v>Свитшоты</x:v>
      </x:c>
      <x:c r="D1538" s="9" t="n">
        <x:v>9.7</x:v>
      </x:c>
      <x:c r="E1538" s="8" t="n">
        <x:v>918</x:v>
      </x:c>
      <x:c r="F1538" s="8" t="n">
        <x:v>6</x:v>
      </x:c>
      <x:c r="G1538" s="8" t="n">
        <x:v>4421</x:v>
      </x:c>
      <x:c r="H1538" s="8" t="n">
        <x:v>26</x:v>
      </x:c>
      <x:c r="I1538" s="8" t="n">
        <x:v>0</x:v>
      </x:c>
      <x:c r="J1538" s="8" t="n">
        <x:v>14</x:v>
      </x:c>
      <x:c r="K1538" s="8" t="n">
        <x:v>2070</x:v>
      </x:c>
      <x:c r="L1538" s="1" t="str">
        <x:v>Нет</x:v>
      </x:c>
      <x:c r="M1538" s="1" t="n">
        <x:v>13300</x:v>
      </x:c>
    </x:row>
    <x:row r="1539">
      <x:c r="A1539" s="1" t="str">
        <x:v>229653005</x:v>
      </x:c>
      <x:c r="B1539" s="1" t="str">
        <x:v>kostumgirl/темно-серый</x:v>
      </x:c>
      <x:c r="C1539" s="1" t="str">
        <x:v>Костюмы</x:v>
      </x:c>
      <x:c r="D1539" s="9" t="n">
        <x:v>9.7</x:v>
      </x:c>
      <x:c r="E1539" s="8" t="n">
        <x:v>5196</x:v>
      </x:c>
      <x:c r="F1539" s="8" t="n">
        <x:v>5</x:v>
      </x:c>
      <x:c r="G1539" s="8" t="n">
        <x:v>4296</x:v>
      </x:c>
      <x:c r="H1539" s="8" t="n">
        <x:v>4</x:v>
      </x:c>
      <x:c r="I1539" s="8" t="n">
        <x:v>0</x:v>
      </x:c>
      <x:c r="J1539" s="8" t="n">
        <x:v>8</x:v>
      </x:c>
      <x:c r="K1539" s="8" t="n">
        <x:v>2199</x:v>
      </x:c>
      <x:c r="L1539" s="1" t="str">
        <x:v>Нет</x:v>
      </x:c>
      <x:c r="M1539" s="1" t="n">
        <x:v>13650</x:v>
      </x:c>
    </x:row>
    <x:row r="1540">
      <x:c r="A1540" s="1" t="str">
        <x:v>189114387</x:v>
      </x:c>
      <x:c r="B1540" s="1" t="str">
        <x:v>WV1037-1518-2</x:v>
      </x:c>
      <x:c r="C1540" s="1" t="str">
        <x:v>Джинсы</x:v>
      </x:c>
      <x:c r="D1540" s="9" t="n">
        <x:v>9.2</x:v>
      </x:c>
      <x:c r="E1540" s="8" t="n">
        <x:v>125</x:v>
      </x:c>
      <x:c r="F1540" s="8" t="n">
        <x:v>3</x:v>
      </x:c>
      <x:c r="G1540" s="8" t="n">
        <x:v>4260</x:v>
      </x:c>
      <x:c r="H1540" s="8" t="n">
        <x:v>0</x:v>
      </x:c>
      <x:c r="I1540" s="8" t="n">
        <x:v>0</x:v>
      </x:c>
      <x:c r="J1540" s="8" t="n">
        <x:v>0</x:v>
      </x:c>
      <x:c r="K1540" s="8" t="n">
        <x:v>2130</x:v>
      </x:c>
      <x:c r="L1540" s="1" t="str">
        <x:v>Нет</x:v>
      </x:c>
      <x:c r="M1540" s="1" t="n">
        <x:v>0</x:v>
      </x:c>
    </x:row>
    <x:row r="1541">
      <x:c r="A1541" s="1" t="str">
        <x:v>256339621</x:v>
      </x:c>
      <x:c r="B1541" s="1" t="str">
        <x:v>futbolkaoverhlop/темно-серый</x:v>
      </x:c>
      <x:c r="C1541" s="1" t="str">
        <x:v>Футболки</x:v>
      </x:c>
      <x:c r="D1541" s="9" t="n">
        <x:v>7.7</x:v>
      </x:c>
      <x:c r="E1541" s="8" t="n">
        <x:v>4195</x:v>
      </x:c>
      <x:c r="F1541" s="8" t="n">
        <x:v>15</x:v>
      </x:c>
      <x:c r="G1541" s="8" t="n">
        <x:v>4144</x:v>
      </x:c>
      <x:c r="H1541" s="8" t="n">
        <x:v>0</x:v>
      </x:c>
      <x:c r="I1541" s="8" t="n">
        <x:v>0</x:v>
      </x:c>
      <x:c r="J1541" s="8" t="n">
        <x:v>52</x:v>
      </x:c>
      <x:c r="K1541" s="8" t="n">
        <x:v>1054</x:v>
      </x:c>
      <x:c r="L1541" s="1" t="str">
        <x:v>Нет</x:v>
      </x:c>
      <x:c r="M1541" s="1" t="n">
        <x:v>26520</x:v>
      </x:c>
    </x:row>
    <x:row r="1542">
      <x:c r="A1542" s="1" t="str">
        <x:v>357022579</x:v>
      </x:c>
      <x:c r="B1542" s="1" t="str">
        <x:v>bazakulgirl/кофейный</x:v>
      </x:c>
      <x:c r="C1542" s="1" t="str">
        <x:v>Футболки</x:v>
      </x:c>
      <x:c r="D1542" s="9" t="n">
        <x:v>9.5</x:v>
      </x:c>
      <x:c r="E1542" s="8" t="n">
        <x:v>1592</x:v>
      </x:c>
      <x:c r="F1542" s="8" t="n">
        <x:v>11</x:v>
      </x:c>
      <x:c r="G1542" s="8" t="n">
        <x:v>4004</x:v>
      </x:c>
      <x:c r="H1542" s="8" t="n">
        <x:v>59</x:v>
      </x:c>
      <x:c r="I1542" s="8" t="n">
        <x:v>0</x:v>
      </x:c>
      <x:c r="J1542" s="8" t="n">
        <x:v>0</x:v>
      </x:c>
      <x:c r="K1542" s="8" t="n">
        <x:v>581</x:v>
      </x:c>
      <x:c r="L1542" s="1" t="str">
        <x:v>Нет</x:v>
      </x:c>
      <x:c r="M1542" s="1" t="n">
        <x:v>0</x:v>
      </x:c>
    </x:row>
    <x:row r="1543">
      <x:c r="A1543" s="1" t="str">
        <x:v>335328112</x:v>
      </x:c>
      <x:c r="B1543" s="1" t="str">
        <x:v>futbolkahlopboy/какао</x:v>
      </x:c>
      <x:c r="C1543" s="1" t="str">
        <x:v>Футболки</x:v>
      </x:c>
      <x:c r="D1543" s="9" t="n">
        <x:v>9.5</x:v>
      </x:c>
      <x:c r="E1543" s="8" t="n">
        <x:v>2382</x:v>
      </x:c>
      <x:c r="F1543" s="8" t="n">
        <x:v>13</x:v>
      </x:c>
      <x:c r="G1543" s="8" t="n">
        <x:v>3940</x:v>
      </x:c>
      <x:c r="H1543" s="8" t="n">
        <x:v>0</x:v>
      </x:c>
      <x:c r="I1543" s="8" t="n">
        <x:v>0</x:v>
      </x:c>
      <x:c r="J1543" s="8" t="n">
        <x:v>9</x:v>
      </x:c>
      <x:c r="K1543" s="8" t="n">
        <x:v>492</x:v>
      </x:c>
      <x:c r="L1543" s="1" t="str">
        <x:v>Нет</x:v>
      </x:c>
      <x:c r="M1543" s="1" t="n">
        <x:v>3430</x:v>
      </x:c>
    </x:row>
    <x:row r="1544">
      <x:c r="A1544" s="1" t="str">
        <x:v>234287018</x:v>
      </x:c>
      <x:c r="B1544" s="1" t="str">
        <x:v>svitshotpetl/розовый</x:v>
      </x:c>
      <x:c r="C1544" s="1" t="str">
        <x:v>Свитшоты</x:v>
      </x:c>
      <x:c r="D1544" s="9" t="n">
        <x:v>8.7</x:v>
      </x:c>
      <x:c r="E1544" s="8" t="n">
        <x:v>1503</x:v>
      </x:c>
      <x:c r="F1544" s="8" t="n">
        <x:v>6</x:v>
      </x:c>
      <x:c r="G1544" s="8" t="n">
        <x:v>3900</x:v>
      </x:c>
      <x:c r="H1544" s="8" t="n">
        <x:v>0</x:v>
      </x:c>
      <x:c r="I1544" s="8" t="n">
        <x:v>0</x:v>
      </x:c>
      <x:c r="J1544" s="8" t="n">
        <x:v>17</x:v>
      </x:c>
      <x:c r="K1544" s="8" t="n">
        <x:v>1950</x:v>
      </x:c>
      <x:c r="L1544" s="1" t="str">
        <x:v>Нет</x:v>
      </x:c>
      <x:c r="M1544" s="1" t="n">
        <x:v>7800</x:v>
      </x:c>
    </x:row>
    <x:row r="1545">
      <x:c r="A1545" s="1" t="str">
        <x:v>169362195</x:v>
      </x:c>
      <x:c r="B1545" s="1" t="str">
        <x:v>longslivrukav/молочный</x:v>
      </x:c>
      <x:c r="C1545" s="1" t="str">
        <x:v>Лонгсливы</x:v>
      </x:c>
      <x:c r="D1545" s="9" t="n">
        <x:v>8.7</x:v>
      </x:c>
      <x:c r="E1545" s="8" t="n">
        <x:v>1783</x:v>
      </x:c>
      <x:c r="F1545" s="8" t="n">
        <x:v>13</x:v>
      </x:c>
      <x:c r="G1545" s="8" t="n">
        <x:v>3876</x:v>
      </x:c>
      <x:c r="H1545" s="8" t="n">
        <x:v>4</x:v>
      </x:c>
      <x:c r="I1545" s="8" t="n">
        <x:v>0</x:v>
      </x:c>
      <x:c r="J1545" s="8" t="n">
        <x:v>19</x:v>
      </x:c>
      <x:c r="K1545" s="8" t="n">
        <x:v>651</x:v>
      </x:c>
      <x:c r="L1545" s="1" t="str">
        <x:v>Нет</x:v>
      </x:c>
      <x:c r="M1545" s="1" t="n">
        <x:v>6300</x:v>
      </x:c>
    </x:row>
    <x:row r="1546">
      <x:c r="A1546" s="1" t="str">
        <x:v>33399114</x:v>
      </x:c>
      <x:c r="B1546" s="1" t="str">
        <x:v>futbolka/шалфей</x:v>
      </x:c>
      <x:c r="C1546" s="1" t="str">
        <x:v>Футболки</x:v>
      </x:c>
      <x:c r="D1546" s="9" t="n">
        <x:v>7.2</x:v>
      </x:c>
      <x:c r="E1546" s="8" t="n">
        <x:v>1307</x:v>
      </x:c>
      <x:c r="F1546" s="8" t="n">
        <x:v>11</x:v>
      </x:c>
      <x:c r="G1546" s="8" t="n">
        <x:v>3762</x:v>
      </x:c>
      <x:c r="H1546" s="8" t="n">
        <x:v>0</x:v>
      </x:c>
      <x:c r="I1546" s="8" t="n">
        <x:v>0</x:v>
      </x:c>
      <x:c r="J1546" s="8" t="n">
        <x:v>25</x:v>
      </x:c>
      <x:c r="K1546" s="8" t="n">
        <x:v>947</x:v>
      </x:c>
      <x:c r="L1546" s="1" t="str">
        <x:v>Нет</x:v>
      </x:c>
      <x:c r="M1546" s="1" t="n">
        <x:v>17195</x:v>
      </x:c>
    </x:row>
    <x:row r="1547">
      <x:c r="A1547" s="1" t="str">
        <x:v>202954966</x:v>
      </x:c>
      <x:c r="B1547" s="1" t="str">
        <x:v>1sizeprint/LoveNever-45/темно-серый</x:v>
      </x:c>
      <x:c r="C1547" s="1" t="str">
        <x:v>Свитшоты</x:v>
      </x:c>
      <x:c r="D1547" s="9" t="n">
        <x:v>8.7</x:v>
      </x:c>
      <x:c r="E1547" s="8" t="n">
        <x:v>176</x:v>
      </x:c>
      <x:c r="F1547" s="8" t="n">
        <x:v>5</x:v>
      </x:c>
      <x:c r="G1547" s="8" t="n">
        <x:v>3740</x:v>
      </x:c>
      <x:c r="H1547" s="8" t="n">
        <x:v>0</x:v>
      </x:c>
      <x:c r="I1547" s="8" t="n">
        <x:v>0</x:v>
      </x:c>
      <x:c r="J1547" s="8" t="n">
        <x:v>6</x:v>
      </x:c>
      <x:c r="K1547" s="8" t="n">
        <x:v>1862</x:v>
      </x:c>
      <x:c r="L1547" s="1" t="str">
        <x:v>Нет</x:v>
      </x:c>
      <x:c r="M1547" s="1" t="n">
        <x:v>1850</x:v>
      </x:c>
    </x:row>
    <x:row r="1548">
      <x:c r="A1548" s="1" t="str">
        <x:v>189114417</x:v>
      </x:c>
      <x:c r="B1548" s="1" t="str">
        <x:v>WV1037-7654-7</x:v>
      </x:c>
      <x:c r="C1548" s="1" t="str">
        <x:v>Джинсы</x:v>
      </x:c>
      <x:c r="D1548" s="9" t="n">
        <x:v>9.2</x:v>
      </x:c>
      <x:c r="E1548" s="8" t="n">
        <x:v>323</x:v>
      </x:c>
      <x:c r="F1548" s="8" t="n">
        <x:v>3</x:v>
      </x:c>
      <x:c r="G1548" s="8" t="n">
        <x:v>3616</x:v>
      </x:c>
      <x:c r="H1548" s="8" t="n">
        <x:v>0</x:v>
      </x:c>
      <x:c r="I1548" s="8" t="n">
        <x:v>0</x:v>
      </x:c>
      <x:c r="J1548" s="8" t="n">
        <x:v>5</x:v>
      </x:c>
      <x:c r="K1548" s="8" t="n">
        <x:v>1802</x:v>
      </x:c>
      <x:c r="L1548" s="1" t="str">
        <x:v>Нет</x:v>
      </x:c>
      <x:c r="M1548" s="1" t="n">
        <x:v>0</x:v>
      </x:c>
    </x:row>
    <x:row r="1549">
      <x:c r="A1549" s="1" t="str">
        <x:v>313770757</x:v>
      </x:c>
      <x:c r="B1549" s="1" t="str">
        <x:v>futbolkaboy/эвкалипт</x:v>
      </x:c>
      <x:c r="C1549" s="1" t="str">
        <x:v>Футболки</x:v>
      </x:c>
      <x:c r="D1549" s="9" t="n">
        <x:v>10</x:v>
      </x:c>
      <x:c r="E1549" s="8" t="n">
        <x:v>288</x:v>
      </x:c>
      <x:c r="F1549" s="8" t="n">
        <x:v>10</x:v>
      </x:c>
      <x:c r="G1549" s="8" t="n">
        <x:v>3410</x:v>
      </x:c>
      <x:c r="H1549" s="8" t="n">
        <x:v>93</x:v>
      </x:c>
      <x:c r="I1549" s="8" t="n">
        <x:v>0</x:v>
      </x:c>
      <x:c r="J1549" s="8" t="n">
        <x:v>60</x:v>
      </x:c>
      <x:c r="K1549" s="8" t="n">
        <x:v>486</x:v>
      </x:c>
      <x:c r="L1549" s="1" t="str">
        <x:v>Нет</x:v>
      </x:c>
      <x:c r="M1549" s="1" t="n">
        <x:v>24400</x:v>
      </x:c>
    </x:row>
    <x:row r="1550">
      <x:c r="A1550" s="1" t="str">
        <x:v>209915068</x:v>
      </x:c>
      <x:c r="B1550" s="1" t="str">
        <x:v>longsvobod/банан</x:v>
      </x:c>
      <x:c r="C1550" s="1" t="str">
        <x:v>Лонгсливы</x:v>
      </x:c>
      <x:c r="D1550" s="9" t="n">
        <x:v>7.2</x:v>
      </x:c>
      <x:c r="E1550" s="8" t="n">
        <x:v>1477</x:v>
      </x:c>
      <x:c r="F1550" s="8" t="n">
        <x:v>9</x:v>
      </x:c>
      <x:c r="G1550" s="8" t="n">
        <x:v>3385</x:v>
      </x:c>
      <x:c r="H1550" s="8" t="n">
        <x:v>0</x:v>
      </x:c>
      <x:c r="I1550" s="8" t="n">
        <x:v>0</x:v>
      </x:c>
      <x:c r="J1550" s="8" t="n">
        <x:v>14</x:v>
      </x:c>
      <x:c r="K1550" s="8" t="n">
        <x:v>1131</x:v>
      </x:c>
      <x:c r="L1550" s="1" t="str">
        <x:v>Нет</x:v>
      </x:c>
      <x:c r="M1550" s="1" t="n">
        <x:v>5700</x:v>
      </x:c>
    </x:row>
    <x:row r="1551">
      <x:c r="A1551" s="1" t="str">
        <x:v>47870931</x:v>
      </x:c>
      <x:c r="B1551" s="1" t="str">
        <x:v>longslivdlinna/банановый</x:v>
      </x:c>
      <x:c r="C1551" s="1" t="str">
        <x:v>Лонгсливы</x:v>
      </x:c>
      <x:c r="D1551" s="9" t="n">
        <x:v>7.2</x:v>
      </x:c>
      <x:c r="E1551" s="8" t="n">
        <x:v>2366</x:v>
      </x:c>
      <x:c r="F1551" s="8" t="n">
        <x:v>7</x:v>
      </x:c>
      <x:c r="G1551" s="8" t="n">
        <x:v>3348</x:v>
      </x:c>
      <x:c r="H1551" s="8" t="n">
        <x:v>31</x:v>
      </x:c>
      <x:c r="I1551" s="8" t="n">
        <x:v>0</x:v>
      </x:c>
      <x:c r="J1551" s="8" t="n">
        <x:v>9</x:v>
      </x:c>
      <x:c r="K1551" s="8" t="n">
        <x:v>1130</x:v>
      </x:c>
      <x:c r="L1551" s="1" t="str">
        <x:v>Нет</x:v>
      </x:c>
      <x:c r="M1551" s="1" t="n">
        <x:v>1150</x:v>
      </x:c>
    </x:row>
    <x:row r="1552">
      <x:c r="A1552" s="1" t="str">
        <x:v>43409733</x:v>
      </x:c>
      <x:c r="B1552" s="1" t="str">
        <x:v>longsliv/морскаяволна</x:v>
      </x:c>
      <x:c r="C1552" s="1" t="str">
        <x:v>Лонгсливы</x:v>
      </x:c>
      <x:c r="D1552" s="9" t="n">
        <x:v>9.7</x:v>
      </x:c>
      <x:c r="E1552" s="8" t="n">
        <x:v>2416</x:v>
      </x:c>
      <x:c r="F1552" s="8" t="n">
        <x:v>8</x:v>
      </x:c>
      <x:c r="G1552" s="8" t="n">
        <x:v>3176</x:v>
      </x:c>
      <x:c r="H1552" s="8" t="n">
        <x:v>84</x:v>
      </x:c>
      <x:c r="I1552" s="8" t="n">
        <x:v>0</x:v>
      </x:c>
      <x:c r="J1552" s="8" t="n">
        <x:v>10</x:v>
      </x:c>
      <x:c r="K1552" s="8" t="n">
        <x:v>773</x:v>
      </x:c>
      <x:c r="L1552" s="1" t="str">
        <x:v>Нет</x:v>
      </x:c>
      <x:c r="M1552" s="1" t="n">
        <x:v>2550</x:v>
      </x:c>
    </x:row>
    <x:row r="1553">
      <x:c r="A1553" s="1" t="str">
        <x:v>209915711</x:v>
      </x:c>
      <x:c r="B1553" s="1" t="str">
        <x:v>shorty/кофейный</x:v>
      </x:c>
      <x:c r="C1553" s="1" t="str">
        <x:v>Шорты</x:v>
      </x:c>
      <x:c r="D1553" s="9" t="n">
        <x:v>6.9</x:v>
      </x:c>
      <x:c r="E1553" s="8" t="n">
        <x:v>2284</x:v>
      </x:c>
      <x:c r="F1553" s="8" t="n">
        <x:v>3</x:v>
      </x:c>
      <x:c r="G1553" s="8" t="n">
        <x:v>3166</x:v>
      </x:c>
      <x:c r="H1553" s="8" t="n">
        <x:v>239</x:v>
      </x:c>
      <x:c r="I1553" s="8" t="n">
        <x:v>0</x:v>
      </x:c>
      <x:c r="J1553" s="8" t="n">
        <x:v>5</x:v>
      </x:c>
      <x:c r="K1553" s="8" t="n">
        <x:v>1055</x:v>
      </x:c>
      <x:c r="L1553" s="1" t="str">
        <x:v>Нет</x:v>
      </x:c>
      <x:c r="M1553" s="1" t="n">
        <x:v>5550</x:v>
      </x:c>
    </x:row>
    <x:row r="1554">
      <x:c r="A1554" s="1" t="str">
        <x:v>209923255</x:v>
      </x:c>
      <x:c r="B1554" s="1" t="str">
        <x:v>shorty/банановый</x:v>
      </x:c>
      <x:c r="C1554" s="1" t="str">
        <x:v>Шорты</x:v>
      </x:c>
      <x:c r="D1554" s="9" t="n">
        <x:v>5.9</x:v>
      </x:c>
      <x:c r="E1554" s="8" t="n">
        <x:v>4342</x:v>
      </x:c>
      <x:c r="F1554" s="8" t="n">
        <x:v>14</x:v>
      </x:c>
      <x:c r="G1554" s="8" t="n">
        <x:v>3154</x:v>
      </x:c>
      <x:c r="H1554" s="8" t="n">
        <x:v>48</x:v>
      </x:c>
      <x:c r="I1554" s="8" t="n">
        <x:v>0</x:v>
      </x:c>
      <x:c r="J1554" s="8" t="n">
        <x:v>8</x:v>
      </x:c>
      <x:c r="K1554" s="8" t="n">
        <x:v>1014</x:v>
      </x:c>
      <x:c r="L1554" s="1" t="str">
        <x:v>Нет</x:v>
      </x:c>
      <x:c r="M1554" s="1" t="n">
        <x:v>4440</x:v>
      </x:c>
    </x:row>
    <x:row r="1555">
      <x:c r="A1555" s="1" t="str">
        <x:v>110513405</x:v>
      </x:c>
      <x:c r="B1555" s="1" t="str">
        <x:v>futbolka/синеморской</x:v>
      </x:c>
      <x:c r="C1555" s="1" t="str">
        <x:v>Футболки</x:v>
      </x:c>
      <x:c r="D1555" s="9" t="n">
        <x:v>9.7</x:v>
      </x:c>
      <x:c r="E1555" s="8" t="n">
        <x:v>17384</x:v>
      </x:c>
      <x:c r="F1555" s="8" t="n">
        <x:v>7</x:v>
      </x:c>
      <x:c r="G1555" s="8" t="n">
        <x:v>3077</x:v>
      </x:c>
      <x:c r="H1555" s="8" t="n">
        <x:v>20</x:v>
      </x:c>
      <x:c r="I1555" s="8" t="n">
        <x:v>0</x:v>
      </x:c>
      <x:c r="J1555" s="8" t="n">
        <x:v>0</x:v>
      </x:c>
      <x:c r="K1555" s="8" t="n">
        <x:v>999</x:v>
      </x:c>
      <x:c r="L1555" s="1" t="str">
        <x:v>Нет</x:v>
      </x:c>
      <x:c r="M1555" s="1" t="n">
        <x:v>0</x:v>
      </x:c>
    </x:row>
    <x:row r="1556">
      <x:c r="A1556" s="1" t="str">
        <x:v>79692514</x:v>
      </x:c>
      <x:c r="B1556" s="1" t="str">
        <x:v>longsliv/банановый</x:v>
      </x:c>
      <x:c r="C1556" s="1" t="str">
        <x:v>Лонгсливы</x:v>
      </x:c>
      <x:c r="D1556" s="9" t="n">
        <x:v>7.7</x:v>
      </x:c>
      <x:c r="E1556" s="8" t="n">
        <x:v>3254</x:v>
      </x:c>
      <x:c r="F1556" s="8" t="n">
        <x:v>25</x:v>
      </x:c>
      <x:c r="G1556" s="8" t="n">
        <x:v>3069</x:v>
      </x:c>
      <x:c r="H1556" s="8" t="n">
        <x:v>137</x:v>
      </x:c>
      <x:c r="I1556" s="8" t="n">
        <x:v>0</x:v>
      </x:c>
      <x:c r="J1556" s="8" t="n">
        <x:v>29</x:v>
      </x:c>
      <x:c r="K1556" s="8" t="n">
        <x:v>743</x:v>
      </x:c>
      <x:c r="L1556" s="1" t="str">
        <x:v>Нет</x:v>
      </x:c>
      <x:c r="M1556" s="1" t="n">
        <x:v>6600</x:v>
      </x:c>
    </x:row>
    <x:row r="1557">
      <x:c r="A1557" s="1" t="str">
        <x:v>51574131</x:v>
      </x:c>
      <x:c r="B1557" s="1" t="str">
        <x:v>brukiman/светло-зеленый</x:v>
      </x:c>
      <x:c r="C1557" s="1" t="str">
        <x:v>Брюки</x:v>
      </x:c>
      <x:c r="D1557" s="9" t="n">
        <x:v>9.7</x:v>
      </x:c>
      <x:c r="E1557" s="8" t="n">
        <x:v>232</x:v>
      </x:c>
      <x:c r="F1557" s="8" t="n">
        <x:v>1</x:v>
      </x:c>
      <x:c r="G1557" s="8" t="n">
        <x:v>3030</x:v>
      </x:c>
      <x:c r="H1557" s="8" t="n">
        <x:v>0</x:v>
      </x:c>
      <x:c r="I1557" s="8" t="n">
        <x:v>0</x:v>
      </x:c>
      <x:c r="J1557" s="8" t="n">
        <x:v>2</x:v>
      </x:c>
      <x:c r="K1557" s="8" t="n">
        <x:v>3030</x:v>
      </x:c>
      <x:c r="L1557" s="1" t="str">
        <x:v>Нет</x:v>
      </x:c>
      <x:c r="M1557" s="1" t="n">
        <x:v>3030</x:v>
      </x:c>
    </x:row>
    <x:row r="1558">
      <x:c r="A1558" s="1" t="str">
        <x:v>209915679</x:v>
      </x:c>
      <x:c r="B1558" s="1" t="str">
        <x:v>shorty/деним</x:v>
      </x:c>
      <x:c r="C1558" s="1" t="str">
        <x:v>Шорты</x:v>
      </x:c>
      <x:c r="D1558" s="9" t="n">
        <x:v>5.9</x:v>
      </x:c>
      <x:c r="E1558" s="8" t="n">
        <x:v>4993</x:v>
      </x:c>
      <x:c r="F1558" s="8" t="n">
        <x:v>9</x:v>
      </x:c>
      <x:c r="G1558" s="8" t="n">
        <x:v>2988</x:v>
      </x:c>
      <x:c r="H1558" s="8" t="n">
        <x:v>3</x:v>
      </x:c>
      <x:c r="I1558" s="8" t="n">
        <x:v>0</x:v>
      </x:c>
      <x:c r="J1558" s="8" t="n">
        <x:v>5</x:v>
      </x:c>
      <x:c r="K1558" s="8" t="n">
        <x:v>1017</x:v>
      </x:c>
      <x:c r="L1558" s="1" t="str">
        <x:v>Нет</x:v>
      </x:c>
      <x:c r="M1558" s="1" t="n">
        <x:v>3330</x:v>
      </x:c>
    </x:row>
    <x:row r="1559">
      <x:c r="A1559" s="1" t="str">
        <x:v>116725955</x:v>
      </x:c>
      <x:c r="B1559" s="1" t="str">
        <x:v>longsliv/деним</x:v>
      </x:c>
      <x:c r="C1559" s="1" t="str">
        <x:v>Лонгсливы</x:v>
      </x:c>
      <x:c r="D1559" s="9" t="n">
        <x:v>9.7</x:v>
      </x:c>
      <x:c r="E1559" s="8" t="n">
        <x:v>6411</x:v>
      </x:c>
      <x:c r="F1559" s="8" t="n">
        <x:v>18</x:v>
      </x:c>
      <x:c r="G1559" s="8" t="n">
        <x:v>2925</x:v>
      </x:c>
      <x:c r="H1559" s="8" t="n">
        <x:v>50</x:v>
      </x:c>
      <x:c r="I1559" s="8" t="n">
        <x:v>0</x:v>
      </x:c>
      <x:c r="J1559" s="8" t="n">
        <x:v>15</x:v>
      </x:c>
      <x:c r="K1559" s="8" t="n">
        <x:v>765</x:v>
      </x:c>
      <x:c r="L1559" s="1" t="str">
        <x:v>Нет</x:v>
      </x:c>
      <x:c r="M1559" s="1" t="n">
        <x:v>2550</x:v>
      </x:c>
    </x:row>
    <x:row r="1560">
      <x:c r="A1560" s="1" t="str">
        <x:v>168273523</x:v>
      </x:c>
      <x:c r="B1560" s="1" t="str">
        <x:v>2xnitkaman/песочный</x:v>
      </x:c>
      <x:c r="C1560" s="1" t="str">
        <x:v>Костюмы спортивные</x:v>
      </x:c>
      <x:c r="D1560" s="9" t="n">
        <x:v>9.7</x:v>
      </x:c>
      <x:c r="E1560" s="8" t="n">
        <x:v>334</x:v>
      </x:c>
      <x:c r="F1560" s="8" t="n">
        <x:v>3</x:v>
      </x:c>
      <x:c r="G1560" s="8" t="n">
        <x:v>2900</x:v>
      </x:c>
      <x:c r="H1560" s="8" t="n">
        <x:v>0</x:v>
      </x:c>
      <x:c r="I1560" s="8" t="n">
        <x:v>0</x:v>
      </x:c>
      <x:c r="J1560" s="8" t="n">
        <x:v>1</x:v>
      </x:c>
      <x:c r="K1560" s="8" t="n">
        <x:v>2700</x:v>
      </x:c>
      <x:c r="L1560" s="1" t="str">
        <x:v>Нет</x:v>
      </x:c>
      <x:c r="M1560" s="1" t="n">
        <x:v>0</x:v>
      </x:c>
    </x:row>
    <x:row r="1561">
      <x:c r="A1561" s="1" t="str">
        <x:v>230839244</x:v>
      </x:c>
      <x:c r="B1561" s="1" t="str">
        <x:v>hudivish/MoreSelf-9в/серый</x:v>
      </x:c>
      <x:c r="C1561" s="1" t="str">
        <x:v>Худи</x:v>
      </x:c>
      <x:c r="D1561" s="9" t="n">
        <x:v>9.7</x:v>
      </x:c>
      <x:c r="E1561" s="8" t="n">
        <x:v>794</x:v>
      </x:c>
      <x:c r="F1561" s="8" t="n">
        <x:v>4</x:v>
      </x:c>
      <x:c r="G1561" s="8" t="n">
        <x:v>2850</x:v>
      </x:c>
      <x:c r="H1561" s="8" t="n">
        <x:v>132</x:v>
      </x:c>
      <x:c r="I1561" s="8" t="n">
        <x:v>0</x:v>
      </x:c>
      <x:c r="J1561" s="8" t="n">
        <x:v>28</x:v>
      </x:c>
      <x:c r="K1561" s="8" t="n">
        <x:v>2850</x:v>
      </x:c>
      <x:c r="L1561" s="1" t="str">
        <x:v>Нет</x:v>
      </x:c>
      <x:c r="M1561" s="1" t="n">
        <x:v>37050</x:v>
      </x:c>
    </x:row>
    <x:row r="1562">
      <x:c r="A1562" s="1" t="str">
        <x:v>335327575</x:v>
      </x:c>
      <x:c r="B1562" s="1" t="str">
        <x:v>bazakulgirl/сероваторозовый</x:v>
      </x:c>
      <x:c r="C1562" s="1" t="str">
        <x:v>Футболки</x:v>
      </x:c>
      <x:c r="D1562" s="9" t="n">
        <x:v>9.5</x:v>
      </x:c>
      <x:c r="E1562" s="8" t="n">
        <x:v>1091</x:v>
      </x:c>
      <x:c r="F1562" s="8" t="n">
        <x:v>7</x:v>
      </x:c>
      <x:c r="G1562" s="8" t="n">
        <x:v>2850</x:v>
      </x:c>
      <x:c r="H1562" s="8" t="n">
        <x:v>146</x:v>
      </x:c>
      <x:c r="I1562" s="8" t="n">
        <x:v>0</x:v>
      </x:c>
      <x:c r="J1562" s="8" t="n">
        <x:v>6</x:v>
      </x:c>
      <x:c r="K1562" s="8" t="n">
        <x:v>568</x:v>
      </x:c>
      <x:c r="L1562" s="1" t="str">
        <x:v>Нет</x:v>
      </x:c>
      <x:c r="M1562" s="1" t="n">
        <x:v>3420</x:v>
      </x:c>
    </x:row>
    <x:row r="1563">
      <x:c r="A1563" s="1" t="str">
        <x:v>116112369</x:v>
      </x:c>
      <x:c r="B1563" s="1" t="str">
        <x:v>hudi/салатовый</x:v>
      </x:c>
      <x:c r="C1563" s="1" t="str">
        <x:v>Худи</x:v>
      </x:c>
      <x:c r="D1563" s="9" t="n">
        <x:v>9.7</x:v>
      </x:c>
      <x:c r="E1563" s="8" t="n">
        <x:v>1000</x:v>
      </x:c>
      <x:c r="F1563" s="8" t="n">
        <x:v>1</x:v>
      </x:c>
      <x:c r="G1563" s="8" t="n">
        <x:v>2767</x:v>
      </x:c>
      <x:c r="H1563" s="8" t="n">
        <x:v>0</x:v>
      </x:c>
      <x:c r="I1563" s="8" t="n">
        <x:v>0</x:v>
      </x:c>
      <x:c r="J1563" s="8" t="n">
        <x:v>2</x:v>
      </x:c>
      <x:c r="K1563" s="8" t="n">
        <x:v>2767</x:v>
      </x:c>
      <x:c r="L1563" s="1" t="str">
        <x:v>Нет</x:v>
      </x:c>
      <x:c r="M1563" s="1" t="n">
        <x:v>2767</x:v>
      </x:c>
    </x:row>
    <x:row r="1564">
      <x:c r="A1564" s="1" t="str">
        <x:v>379285874</x:v>
      </x:c>
      <x:c r="B1564" s="1" t="str">
        <x:v>polovyaz/молочный</x:v>
      </x:c>
      <x:c r="C1564" s="1" t="str">
        <x:v>Свитеры</x:v>
      </x:c>
      <x:c r="D1564" s="9" t="n">
        <x:v>8.7</x:v>
      </x:c>
      <x:c r="E1564" s="8" t="n">
        <x:v>4884</x:v>
      </x:c>
      <x:c r="F1564" s="8" t="n">
        <x:v>6</x:v>
      </x:c>
      <x:c r="G1564" s="8" t="n">
        <x:v>2700</x:v>
      </x:c>
      <x:c r="H1564" s="8" t="n">
        <x:v>471</x:v>
      </x:c>
      <x:c r="I1564" s="8" t="n">
        <x:v>0</x:v>
      </x:c>
      <x:c r="J1564" s="8" t="n">
        <x:v>0</x:v>
      </x:c>
      <x:c r="K1564" s="8" t="n">
        <x:v>2700</x:v>
      </x:c>
      <x:c r="L1564" s="1" t="str">
        <x:v>Нет</x:v>
      </x:c>
      <x:c r="M1564" s="1" t="n">
        <x:v>0</x:v>
      </x:c>
    </x:row>
    <x:row r="1565">
      <x:c r="A1565" s="1" t="str">
        <x:v>150674005</x:v>
      </x:c>
      <x:c r="B1565" s="1" t="str">
        <x:v>svitshotover/фиолетовый</x:v>
      </x:c>
      <x:c r="C1565" s="1" t="str">
        <x:v>Свитшоты</x:v>
      </x:c>
      <x:c r="D1565" s="9" t="n">
        <x:v>9.7</x:v>
      </x:c>
      <x:c r="E1565" s="8" t="n">
        <x:v>777</x:v>
      </x:c>
      <x:c r="F1565" s="8" t="n">
        <x:v>5</x:v>
      </x:c>
      <x:c r="G1565" s="8" t="n">
        <x:v>2695</x:v>
      </x:c>
      <x:c r="H1565" s="8" t="n">
        <x:v>35</x:v>
      </x:c>
      <x:c r="I1565" s="8" t="n">
        <x:v>0</x:v>
      </x:c>
      <x:c r="J1565" s="8" t="n">
        <x:v>7</x:v>
      </x:c>
      <x:c r="K1565" s="8" t="n">
        <x:v>2642</x:v>
      </x:c>
      <x:c r="L1565" s="1" t="str">
        <x:v>Нет</x:v>
      </x:c>
      <x:c r="M1565" s="1" t="n">
        <x:v>8250</x:v>
      </x:c>
    </x:row>
    <x:row r="1566">
      <x:c r="A1566" s="1" t="str">
        <x:v>209915725</x:v>
      </x:c>
      <x:c r="B1566" s="1" t="str">
        <x:v>shorty/сине-морской</x:v>
      </x:c>
      <x:c r="C1566" s="1" t="str">
        <x:v>Шорты</x:v>
      </x:c>
      <x:c r="D1566" s="9" t="n">
        <x:v>5.9</x:v>
      </x:c>
      <x:c r="E1566" s="8" t="n">
        <x:v>4544</x:v>
      </x:c>
      <x:c r="F1566" s="8" t="n">
        <x:v>6</x:v>
      </x:c>
      <x:c r="G1566" s="8" t="n">
        <x:v>2692</x:v>
      </x:c>
      <x:c r="H1566" s="8" t="n">
        <x:v>34</x:v>
      </x:c>
      <x:c r="I1566" s="8" t="n">
        <x:v>0</x:v>
      </x:c>
      <x:c r="J1566" s="8" t="n">
        <x:v>14</x:v>
      </x:c>
      <x:c r="K1566" s="8" t="n">
        <x:v>871</x:v>
      </x:c>
      <x:c r="L1566" s="1" t="str">
        <x:v>Нет</x:v>
      </x:c>
      <x:c r="M1566" s="1" t="n">
        <x:v>7704</x:v>
      </x:c>
    </x:row>
    <x:row r="1567">
      <x:c r="A1567" s="1" t="str">
        <x:v>195715510</x:v>
      </x:c>
      <x:c r="B1567" s="1" t="str">
        <x:v>hudi1size/сине-серый</x:v>
      </x:c>
      <x:c r="C1567" s="1" t="str">
        <x:v>Худи</x:v>
      </x:c>
      <x:c r="D1567" s="9" t="n">
        <x:v>9.7</x:v>
      </x:c>
      <x:c r="E1567" s="8" t="n">
        <x:v>115</x:v>
      </x:c>
      <x:c r="F1567" s="8" t="n">
        <x:v>1</x:v>
      </x:c>
      <x:c r="G1567" s="8" t="n">
        <x:v>2660</x:v>
      </x:c>
      <x:c r="H1567" s="8" t="n">
        <x:v>0</x:v>
      </x:c>
      <x:c r="I1567" s="8" t="n">
        <x:v>0</x:v>
      </x:c>
      <x:c r="J1567" s="8" t="n">
        <x:v>13</x:v>
      </x:c>
      <x:c r="K1567" s="8" t="n">
        <x:v>2660</x:v>
      </x:c>
      <x:c r="L1567" s="1" t="str">
        <x:v>Нет</x:v>
      </x:c>
      <x:c r="M1567" s="1" t="n">
        <x:v>10640</x:v>
      </x:c>
    </x:row>
    <x:row r="1568">
      <x:c r="A1568" s="1" t="str">
        <x:v>51581851</x:v>
      </x:c>
      <x:c r="B1568" s="1" t="str">
        <x:v>brukiman/светло-голубой</x:v>
      </x:c>
      <x:c r="C1568" s="1" t="str">
        <x:v>Брюки</x:v>
      </x:c>
      <x:c r="D1568" s="9" t="n">
        <x:v>9.7</x:v>
      </x:c>
      <x:c r="E1568" s="8" t="n">
        <x:v>742</x:v>
      </x:c>
      <x:c r="F1568" s="8" t="n">
        <x:v>3</x:v>
      </x:c>
      <x:c r="G1568" s="8" t="n">
        <x:v>2617</x:v>
      </x:c>
      <x:c r="H1568" s="8" t="n">
        <x:v>1</x:v>
      </x:c>
      <x:c r="I1568" s="8" t="n">
        <x:v>0</x:v>
      </x:c>
      <x:c r="J1568" s="8" t="n">
        <x:v>5</x:v>
      </x:c>
      <x:c r="K1568" s="8" t="n">
        <x:v>2661</x:v>
      </x:c>
      <x:c r="L1568" s="1" t="str">
        <x:v>Нет</x:v>
      </x:c>
      <x:c r="M1568" s="1" t="n">
        <x:v>4304</x:v>
      </x:c>
    </x:row>
    <x:row r="1569">
      <x:c r="A1569" s="1" t="str">
        <x:v>117962477</x:v>
      </x:c>
      <x:c r="B1569" s="1" t="str">
        <x:v>hudiman/салатовый</x:v>
      </x:c>
      <x:c r="C1569" s="1" t="str">
        <x:v>Худи</x:v>
      </x:c>
      <x:c r="D1569" s="9" t="n">
        <x:v>9.7</x:v>
      </x:c>
      <x:c r="E1569" s="8" t="n">
        <x:v>739</x:v>
      </x:c>
      <x:c r="F1569" s="8" t="n">
        <x:v>1</x:v>
      </x:c>
      <x:c r="G1569" s="8" t="n">
        <x:v>2600</x:v>
      </x:c>
      <x:c r="H1569" s="8" t="n">
        <x:v>0</x:v>
      </x:c>
      <x:c r="I1569" s="8" t="n">
        <x:v>0</x:v>
      </x:c>
      <x:c r="J1569" s="8" t="n">
        <x:v>6</x:v>
      </x:c>
      <x:c r="K1569" s="8" t="n">
        <x:v>2600</x:v>
      </x:c>
      <x:c r="L1569" s="1" t="str">
        <x:v>Нет</x:v>
      </x:c>
      <x:c r="M1569" s="1" t="n">
        <x:v>5200</x:v>
      </x:c>
    </x:row>
    <x:row r="1570">
      <x:c r="A1570" s="1" t="str">
        <x:v>150673975</x:v>
      </x:c>
      <x:c r="B1570" s="1" t="str">
        <x:v>svitshotover/коричневый</x:v>
      </x:c>
      <x:c r="C1570" s="1" t="str">
        <x:v>Свитшоты</x:v>
      </x:c>
      <x:c r="D1570" s="9" t="n">
        <x:v>9.7</x:v>
      </x:c>
      <x:c r="E1570" s="8" t="n">
        <x:v>484</x:v>
      </x:c>
      <x:c r="F1570" s="8" t="n">
        <x:v>1</x:v>
      </x:c>
      <x:c r="G1570" s="8" t="n">
        <x:v>2600</x:v>
      </x:c>
      <x:c r="H1570" s="8" t="n">
        <x:v>0</x:v>
      </x:c>
      <x:c r="I1570" s="8" t="n">
        <x:v>0</x:v>
      </x:c>
      <x:c r="J1570" s="8" t="n">
        <x:v>7</x:v>
      </x:c>
      <x:c r="K1570" s="8" t="n">
        <x:v>2600</x:v>
      </x:c>
      <x:c r="L1570" s="1" t="str">
        <x:v>Нет</x:v>
      </x:c>
      <x:c r="M1570" s="1" t="n">
        <x:v>13000</x:v>
      </x:c>
    </x:row>
    <x:row r="1571">
      <x:c r="A1571" s="1" t="str">
        <x:v>168273526</x:v>
      </x:c>
      <x:c r="B1571" s="1" t="str">
        <x:v>2xnitkaman/молочный</x:v>
      </x:c>
      <x:c r="C1571" s="1" t="str">
        <x:v>Костюмы спортивные</x:v>
      </x:c>
      <x:c r="D1571" s="9" t="n">
        <x:v>9.7</x:v>
      </x:c>
      <x:c r="E1571" s="8" t="n">
        <x:v>453</x:v>
      </x:c>
      <x:c r="F1571" s="8" t="n">
        <x:v>5</x:v>
      </x:c>
      <x:c r="G1571" s="8" t="n">
        <x:v>2600</x:v>
      </x:c>
      <x:c r="H1571" s="8" t="n">
        <x:v>1</x:v>
      </x:c>
      <x:c r="I1571" s="8" t="n">
        <x:v>0</x:v>
      </x:c>
      <x:c r="J1571" s="8" t="n">
        <x:v>17</x:v>
      </x:c>
      <x:c r="K1571" s="8" t="n">
        <x:v>2576</x:v>
      </x:c>
      <x:c r="L1571" s="1" t="str">
        <x:v>Нет</x:v>
      </x:c>
      <x:c r="M1571" s="1" t="n">
        <x:v>9360</x:v>
      </x:c>
    </x:row>
    <x:row r="1572">
      <x:c r="A1572" s="1" t="str">
        <x:v>169512643</x:v>
      </x:c>
      <x:c r="B1572" s="1" t="str">
        <x:v>2xnitkacrop/салатовый</x:v>
      </x:c>
      <x:c r="C1572" s="1" t="str">
        <x:v>Костюмы спортивные</x:v>
      </x:c>
      <x:c r="D1572" s="9" t="n">
        <x:v>9.7</x:v>
      </x:c>
      <x:c r="E1572" s="8" t="n">
        <x:v>773</x:v>
      </x:c>
      <x:c r="F1572" s="8" t="n">
        <x:v>3</x:v>
      </x:c>
      <x:c r="G1572" s="8" t="n">
        <x:v>2600</x:v>
      </x:c>
      <x:c r="H1572" s="8" t="n">
        <x:v>0</x:v>
      </x:c>
      <x:c r="I1572" s="8" t="n">
        <x:v>0</x:v>
      </x:c>
      <x:c r="J1572" s="8" t="n">
        <x:v>3</x:v>
      </x:c>
      <x:c r="K1572" s="8" t="n">
        <x:v>2548</x:v>
      </x:c>
      <x:c r="L1572" s="1" t="str">
        <x:v>Нет</x:v>
      </x:c>
      <x:c r="M1572" s="1" t="n">
        <x:v>0</x:v>
      </x:c>
    </x:row>
    <x:row r="1573">
      <x:c r="A1573" s="1" t="str">
        <x:v>169512645</x:v>
      </x:c>
      <x:c r="B1573" s="1" t="str">
        <x:v>2xnitkacrop/фуксия</x:v>
      </x:c>
      <x:c r="C1573" s="1" t="str">
        <x:v>Костюмы спортивные</x:v>
      </x:c>
      <x:c r="D1573" s="9" t="n">
        <x:v>9.7</x:v>
      </x:c>
      <x:c r="E1573" s="8" t="n">
        <x:v>1127</x:v>
      </x:c>
      <x:c r="F1573" s="8" t="n">
        <x:v>5</x:v>
      </x:c>
      <x:c r="G1573" s="8" t="n">
        <x:v>2600</x:v>
      </x:c>
      <x:c r="H1573" s="8" t="n">
        <x:v>0</x:v>
      </x:c>
      <x:c r="I1573" s="8" t="n">
        <x:v>0</x:v>
      </x:c>
      <x:c r="J1573" s="8" t="n">
        <x:v>5</x:v>
      </x:c>
      <x:c r="K1573" s="8" t="n">
        <x:v>2588</x:v>
      </x:c>
      <x:c r="L1573" s="1" t="str">
        <x:v>Нет</x:v>
      </x:c>
      <x:c r="M1573" s="1" t="n">
        <x:v>2080</x:v>
      </x:c>
    </x:row>
    <x:row r="1574">
      <x:c r="A1574" s="1" t="str">
        <x:v>311049940</x:v>
      </x:c>
      <x:c r="B1574" s="1" t="str">
        <x:v>hudimanpetl/коричневый</x:v>
      </x:c>
      <x:c r="C1574" s="1" t="str">
        <x:v>Худи</x:v>
      </x:c>
      <x:c r="D1574" s="9" t="n">
        <x:v>8.7</x:v>
      </x:c>
      <x:c r="E1574" s="8" t="n">
        <x:v>4173</x:v>
      </x:c>
      <x:c r="F1574" s="8" t="n">
        <x:v>11</x:v>
      </x:c>
      <x:c r="G1574" s="8" t="n">
        <x:v>2550</x:v>
      </x:c>
      <x:c r="H1574" s="8" t="n">
        <x:v>2</x:v>
      </x:c>
      <x:c r="I1574" s="8" t="n">
        <x:v>0</x:v>
      </x:c>
      <x:c r="J1574" s="8" t="n">
        <x:v>0</x:v>
      </x:c>
      <x:c r="K1574" s="8" t="n">
        <x:v>2550</x:v>
      </x:c>
      <x:c r="L1574" s="1" t="str">
        <x:v>Нет</x:v>
      </x:c>
      <x:c r="M1574" s="1" t="n">
        <x:v>0</x:v>
      </x:c>
    </x:row>
    <x:row r="1575">
      <x:c r="A1575" s="1" t="str">
        <x:v>321831820</x:v>
      </x:c>
      <x:c r="B1575" s="1" t="str">
        <x:v>tophumo/белый</x:v>
      </x:c>
      <x:c r="C1575" s="1" t="str">
        <x:v>Топы</x:v>
      </x:c>
      <x:c r="D1575" s="9" t="n">
        <x:v>9.4</x:v>
      </x:c>
      <x:c r="E1575" s="8" t="n">
        <x:v>7280</x:v>
      </x:c>
      <x:c r="F1575" s="8" t="n">
        <x:v>47</x:v>
      </x:c>
      <x:c r="G1575" s="8" t="n">
        <x:v>2480</x:v>
      </x:c>
      <x:c r="H1575" s="8" t="n">
        <x:v>307</x:v>
      </x:c>
      <x:c r="I1575" s="8" t="n">
        <x:v>0</x:v>
      </x:c>
      <x:c r="J1575" s="8" t="n">
        <x:v>0</x:v>
      </x:c>
      <x:c r="K1575" s="8" t="n">
        <x:v>923</x:v>
      </x:c>
      <x:c r="L1575" s="1" t="str">
        <x:v>Нет</x:v>
      </x:c>
      <x:c r="M1575" s="1" t="n">
        <x:v>0</x:v>
      </x:c>
    </x:row>
    <x:row r="1576">
      <x:c r="A1576" s="1" t="str">
        <x:v>76641244</x:v>
      </x:c>
      <x:c r="B1576" s="1" t="str">
        <x:v>futbolka/мандарин</x:v>
      </x:c>
      <x:c r="C1576" s="1" t="str">
        <x:v>Футболки</x:v>
      </x:c>
      <x:c r="D1576" s="9" t="n">
        <x:v>7.2</x:v>
      </x:c>
      <x:c r="E1576" s="8" t="n">
        <x:v>76</x:v>
      </x:c>
      <x:c r="F1576" s="8" t="n">
        <x:v>6</x:v>
      </x:c>
      <x:c r="G1576" s="8" t="n">
        <x:v>2475</x:v>
      </x:c>
      <x:c r="H1576" s="8" t="n">
        <x:v>0</x:v>
      </x:c>
      <x:c r="I1576" s="8" t="n">
        <x:v>0</x:v>
      </x:c>
      <x:c r="J1576" s="8" t="n">
        <x:v>0</x:v>
      </x:c>
      <x:c r="K1576" s="8" t="n">
        <x:v>825</x:v>
      </x:c>
      <x:c r="L1576" s="1" t="str">
        <x:v>Нет</x:v>
      </x:c>
      <x:c r="M1576" s="1" t="n">
        <x:v>0</x:v>
      </x:c>
    </x:row>
    <x:row r="1577">
      <x:c r="A1577" s="1" t="str">
        <x:v>51564033</x:v>
      </x:c>
      <x:c r="B1577" s="1" t="str">
        <x:v>brukiman/бежевый</x:v>
      </x:c>
      <x:c r="C1577" s="1" t="str">
        <x:v>Брюки</x:v>
      </x:c>
      <x:c r="D1577" s="9" t="n">
        <x:v>9.7</x:v>
      </x:c>
      <x:c r="E1577" s="8" t="n">
        <x:v>324</x:v>
      </x:c>
      <x:c r="F1577" s="8" t="n">
        <x:v>1</x:v>
      </x:c>
      <x:c r="G1577" s="8" t="n">
        <x:v>2472</x:v>
      </x:c>
      <x:c r="H1577" s="8" t="n">
        <x:v>0</x:v>
      </x:c>
      <x:c r="I1577" s="8" t="n">
        <x:v>0</x:v>
      </x:c>
      <x:c r="J1577" s="8" t="n">
        <x:v>4</x:v>
      </x:c>
      <x:c r="K1577" s="8" t="n">
        <x:v>2472</x:v>
      </x:c>
      <x:c r="L1577" s="1" t="str">
        <x:v>Нет</x:v>
      </x:c>
      <x:c r="M1577" s="1" t="n">
        <x:v>7416</x:v>
      </x:c>
    </x:row>
    <x:row r="1578">
      <x:c r="A1578" s="1" t="str">
        <x:v>169512641</x:v>
      </x:c>
      <x:c r="B1578" s="1" t="str">
        <x:v>2xnitkacrop/молочный</x:v>
      </x:c>
      <x:c r="C1578" s="1" t="str">
        <x:v>Костюмы спортивные</x:v>
      </x:c>
      <x:c r="D1578" s="9" t="n">
        <x:v>9.7</x:v>
      </x:c>
      <x:c r="E1578" s="8" t="n">
        <x:v>5932</x:v>
      </x:c>
      <x:c r="F1578" s="8" t="n">
        <x:v>27</x:v>
      </x:c>
      <x:c r="G1578" s="8" t="n">
        <x:v>2434</x:v>
      </x:c>
      <x:c r="H1578" s="8" t="n">
        <x:v>29</x:v>
      </x:c>
      <x:c r="I1578" s="8" t="n">
        <x:v>0</x:v>
      </x:c>
      <x:c r="J1578" s="8" t="n">
        <x:v>138</x:v>
      </x:c>
      <x:c r="K1578" s="8" t="n">
        <x:v>2562</x:v>
      </x:c>
      <x:c r="L1578" s="1" t="str">
        <x:v>Нет</x:v>
      </x:c>
      <x:c r="M1578" s="1" t="n">
        <x:v>62920</x:v>
      </x:c>
    </x:row>
    <x:row r="1579">
      <x:c r="A1579" s="1" t="str">
        <x:v>151132391</x:v>
      </x:c>
      <x:c r="B1579" s="1" t="str">
        <x:v>svitshotover/морскаяволна</x:v>
      </x:c>
      <x:c r="C1579" s="1" t="str">
        <x:v>Свитшоты</x:v>
      </x:c>
      <x:c r="D1579" s="9" t="n">
        <x:v>9.7</x:v>
      </x:c>
      <x:c r="E1579" s="8" t="n">
        <x:v>630</x:v>
      </x:c>
      <x:c r="F1579" s="8" t="n">
        <x:v>2</x:v>
      </x:c>
      <x:c r="G1579" s="8" t="n">
        <x:v>2430</x:v>
      </x:c>
      <x:c r="H1579" s="8" t="n">
        <x:v>54</x:v>
      </x:c>
      <x:c r="I1579" s="8" t="n">
        <x:v>0</x:v>
      </x:c>
      <x:c r="J1579" s="8" t="n">
        <x:v>2</x:v>
      </x:c>
      <x:c r="K1579" s="8" t="n">
        <x:v>2396</x:v>
      </x:c>
      <x:c r="L1579" s="1" t="str">
        <x:v>Нет</x:v>
      </x:c>
      <x:c r="M1579" s="1" t="n">
        <x:v>2500</x:v>
      </x:c>
    </x:row>
    <x:row r="1580">
      <x:c r="A1580" s="1" t="str">
        <x:v>357022581</x:v>
      </x:c>
      <x:c r="B1580" s="1" t="str">
        <x:v>bazakulgirl/эвкалипт</x:v>
      </x:c>
      <x:c r="C1580" s="1" t="str">
        <x:v>Футболки</x:v>
      </x:c>
      <x:c r="D1580" s="9" t="n">
        <x:v>9.5</x:v>
      </x:c>
      <x:c r="E1580" s="8" t="n">
        <x:v>936</x:v>
      </x:c>
      <x:c r="F1580" s="8" t="n">
        <x:v>11</x:v>
      </x:c>
      <x:c r="G1580" s="8" t="n">
        <x:v>2415</x:v>
      </x:c>
      <x:c r="H1580" s="8" t="n">
        <x:v>118</x:v>
      </x:c>
      <x:c r="I1580" s="8" t="n">
        <x:v>0</x:v>
      </x:c>
      <x:c r="J1580" s="8" t="n">
        <x:v>0</x:v>
      </x:c>
      <x:c r="K1580" s="8" t="n">
        <x:v>580</x:v>
      </x:c>
      <x:c r="L1580" s="1" t="str">
        <x:v>Нет</x:v>
      </x:c>
      <x:c r="M1580" s="1" t="n">
        <x:v>0</x:v>
      </x:c>
    </x:row>
    <x:row r="1581">
      <x:c r="A1581" s="1" t="str">
        <x:v>145845800</x:v>
      </x:c>
      <x:c r="B1581" s="1" t="str">
        <x:v>svitshotman/салатовый</x:v>
      </x:c>
      <x:c r="C1581" s="1" t="str">
        <x:v>Свитшоты</x:v>
      </x:c>
      <x:c r="D1581" s="9" t="n">
        <x:v>9.7</x:v>
      </x:c>
      <x:c r="E1581" s="8" t="n">
        <x:v>352</x:v>
      </x:c>
      <x:c r="F1581" s="8" t="n">
        <x:v>6</x:v>
      </x:c>
      <x:c r="G1581" s="8" t="n">
        <x:v>2414</x:v>
      </x:c>
      <x:c r="H1581" s="8" t="n">
        <x:v>1</x:v>
      </x:c>
      <x:c r="I1581" s="8" t="n">
        <x:v>0</x:v>
      </x:c>
      <x:c r="J1581" s="8" t="n">
        <x:v>9</x:v>
      </x:c>
      <x:c r="K1581" s="8" t="n">
        <x:v>2352</x:v>
      </x:c>
      <x:c r="L1581" s="1" t="str">
        <x:v>Нет</x:v>
      </x:c>
      <x:c r="M1581" s="1" t="n">
        <x:v>7080</x:v>
      </x:c>
    </x:row>
    <x:row r="1582">
      <x:c r="A1582" s="1" t="str">
        <x:v>153792907</x:v>
      </x:c>
      <x:c r="B1582" s="1" t="str">
        <x:v>hudiman/светло-фиолетовый</x:v>
      </x:c>
      <x:c r="C1582" s="1" t="str">
        <x:v>Худи</x:v>
      </x:c>
      <x:c r="D1582" s="9" t="n">
        <x:v>9.7</x:v>
      </x:c>
      <x:c r="E1582" s="8" t="n">
        <x:v>1366</x:v>
      </x:c>
      <x:c r="F1582" s="8" t="n">
        <x:v>2</x:v>
      </x:c>
      <x:c r="G1582" s="8" t="n">
        <x:v>2370</x:v>
      </x:c>
      <x:c r="H1582" s="8" t="n">
        <x:v>0</x:v>
      </x:c>
      <x:c r="I1582" s="8" t="n">
        <x:v>0</x:v>
      </x:c>
      <x:c r="J1582" s="8" t="n">
        <x:v>2</x:v>
      </x:c>
      <x:c r="K1582" s="8" t="n">
        <x:v>2380</x:v>
      </x:c>
      <x:c r="L1582" s="1" t="str">
        <x:v>Нет</x:v>
      </x:c>
      <x:c r="M1582" s="1" t="n">
        <x:v>2500</x:v>
      </x:c>
    </x:row>
    <x:row r="1583">
      <x:c r="A1583" s="1" t="str">
        <x:v>216143246</x:v>
      </x:c>
      <x:c r="B1583" s="1" t="str">
        <x:v>hudivish/MovesRock-96/черный</x:v>
      </x:c>
      <x:c r="C1583" s="1" t="str">
        <x:v>Худи</x:v>
      </x:c>
      <x:c r="D1583" s="9" t="n">
        <x:v>7.7</x:v>
      </x:c>
      <x:c r="E1583" s="8" t="n">
        <x:v>3822</x:v>
      </x:c>
      <x:c r="F1583" s="8" t="n">
        <x:v>2</x:v>
      </x:c>
      <x:c r="G1583" s="8" t="n">
        <x:v>2346</x:v>
      </x:c>
      <x:c r="H1583" s="8" t="n">
        <x:v>3</x:v>
      </x:c>
      <x:c r="I1583" s="8" t="n">
        <x:v>0</x:v>
      </x:c>
      <x:c r="J1583" s="8" t="n">
        <x:v>1</x:v>
      </x:c>
      <x:c r="K1583" s="8" t="n">
        <x:v>2421</x:v>
      </x:c>
      <x:c r="L1583" s="1" t="str">
        <x:v>Нет</x:v>
      </x:c>
      <x:c r="M1583" s="1" t="n">
        <x:v>0</x:v>
      </x:c>
    </x:row>
    <x:row r="1584">
      <x:c r="A1584" s="1" t="str">
        <x:v>43805535</x:v>
      </x:c>
      <x:c r="B1584" s="1" t="str">
        <x:v>hudiman/серый-меланж</x:v>
      </x:c>
      <x:c r="C1584" s="1" t="str">
        <x:v>Худи</x:v>
      </x:c>
      <x:c r="D1584" s="9" t="n">
        <x:v>9.7</x:v>
      </x:c>
      <x:c r="E1584" s="8" t="n">
        <x:v>1082</x:v>
      </x:c>
      <x:c r="F1584" s="8" t="n">
        <x:v>5</x:v>
      </x:c>
      <x:c r="G1584" s="8" t="n">
        <x:v>2290</x:v>
      </x:c>
      <x:c r="H1584" s="8" t="n">
        <x:v>0</x:v>
      </x:c>
      <x:c r="I1584" s="8" t="n">
        <x:v>0</x:v>
      </x:c>
      <x:c r="J1584" s="8" t="n">
        <x:v>6</x:v>
      </x:c>
      <x:c r="K1584" s="8" t="n">
        <x:v>2286</x:v>
      </x:c>
      <x:c r="L1584" s="1" t="str">
        <x:v>Нет</x:v>
      </x:c>
      <x:c r="M1584" s="1" t="n">
        <x:v>9080</x:v>
      </x:c>
    </x:row>
    <x:row r="1585">
      <x:c r="A1585" s="1" t="str">
        <x:v>116725959</x:v>
      </x:c>
      <x:c r="B1585" s="1" t="str">
        <x:v>longsliv/мандариновый</x:v>
      </x:c>
      <x:c r="C1585" s="1" t="str">
        <x:v>Лонгсливы</x:v>
      </x:c>
      <x:c r="D1585" s="9" t="n">
        <x:v>9.7</x:v>
      </x:c>
      <x:c r="E1585" s="8" t="n">
        <x:v>6997</x:v>
      </x:c>
      <x:c r="F1585" s="8" t="n">
        <x:v>18</x:v>
      </x:c>
      <x:c r="G1585" s="8" t="n">
        <x:v>2285</x:v>
      </x:c>
      <x:c r="H1585" s="8" t="n">
        <x:v>32</x:v>
      </x:c>
      <x:c r="I1585" s="8" t="n">
        <x:v>0</x:v>
      </x:c>
      <x:c r="J1585" s="8" t="n">
        <x:v>9</x:v>
      </x:c>
      <x:c r="K1585" s="8" t="n">
        <x:v>765</x:v>
      </x:c>
      <x:c r="L1585" s="1" t="str">
        <x:v>Нет</x:v>
      </x:c>
      <x:c r="M1585" s="1" t="n">
        <x:v>850</x:v>
      </x:c>
    </x:row>
    <x:row r="1586">
      <x:c r="A1586" s="1" t="str">
        <x:v>165911121</x:v>
      </x:c>
      <x:c r="B1586" s="1" t="str">
        <x:v>longman/эвкалипт</x:v>
      </x:c>
      <x:c r="C1586" s="1" t="str">
        <x:v>Лонгсливы</x:v>
      </x:c>
      <x:c r="D1586" s="9" t="n">
        <x:v>7.2</x:v>
      </x:c>
      <x:c r="E1586" s="8" t="n">
        <x:v>524</x:v>
      </x:c>
      <x:c r="F1586" s="8" t="n">
        <x:v>4</x:v>
      </x:c>
      <x:c r="G1586" s="8" t="n">
        <x:v>2272</x:v>
      </x:c>
      <x:c r="H1586" s="8" t="n">
        <x:v>0</x:v>
      </x:c>
      <x:c r="I1586" s="8" t="n">
        <x:v>0</x:v>
      </x:c>
      <x:c r="J1586" s="8" t="n">
        <x:v>3</x:v>
      </x:c>
      <x:c r="K1586" s="8" t="n">
        <x:v>1142</x:v>
      </x:c>
      <x:c r="L1586" s="1" t="str">
        <x:v>Нет</x:v>
      </x:c>
      <x:c r="M1586" s="1" t="n">
        <x:v>2400</x:v>
      </x:c>
    </x:row>
    <x:row r="1587">
      <x:c r="A1587" s="1" t="str">
        <x:v>202954958</x:v>
      </x:c>
      <x:c r="B1587" s="1" t="str">
        <x:v>svitshotprint/MoreSelf-44/черный</x:v>
      </x:c>
      <x:c r="C1587" s="1" t="str">
        <x:v>Свитшоты</x:v>
      </x:c>
      <x:c r="D1587" s="9" t="n">
        <x:v>8.7</x:v>
      </x:c>
      <x:c r="E1587" s="8" t="n">
        <x:v>107</x:v>
      </x:c>
      <x:c r="F1587" s="8" t="n">
        <x:v>1</x:v>
      </x:c>
      <x:c r="G1587" s="8" t="n">
        <x:v>2245</x:v>
      </x:c>
      <x:c r="H1587" s="8" t="n">
        <x:v>0</x:v>
      </x:c>
      <x:c r="I1587" s="8" t="n">
        <x:v>0</x:v>
      </x:c>
      <x:c r="J1587" s="8" t="n">
        <x:v>2</x:v>
      </x:c>
      <x:c r="K1587" s="8" t="n">
        <x:v>2245</x:v>
      </x:c>
      <x:c r="L1587" s="1" t="str">
        <x:v>Нет</x:v>
      </x:c>
      <x:c r="M1587" s="1" t="n">
        <x:v>0</x:v>
      </x:c>
    </x:row>
    <x:row r="1588">
      <x:c r="A1588" s="1" t="str">
        <x:v>215440302</x:v>
      </x:c>
      <x:c r="B1588" s="1" t="str">
        <x:v>2xnitkamanshort/молочный</x:v>
      </x:c>
      <x:c r="C1588" s="1" t="str">
        <x:v>Костюмы спортивные</x:v>
      </x:c>
      <x:c r="D1588" s="9" t="n">
        <x:v>6.7</x:v>
      </x:c>
      <x:c r="E1588" s="8" t="n">
        <x:v>542</x:v>
      </x:c>
      <x:c r="F1588" s="8" t="n">
        <x:v>1</x:v>
      </x:c>
      <x:c r="G1588" s="8" t="n">
        <x:v>2230</x:v>
      </x:c>
      <x:c r="H1588" s="8" t="n">
        <x:v>0</x:v>
      </x:c>
      <x:c r="I1588" s="8" t="n">
        <x:v>0</x:v>
      </x:c>
      <x:c r="J1588" s="8" t="n">
        <x:v>9</x:v>
      </x:c>
      <x:c r="K1588" s="8" t="n">
        <x:v>2230</x:v>
      </x:c>
      <x:c r="L1588" s="1" t="str">
        <x:v>Нет</x:v>
      </x:c>
      <x:c r="M1588" s="1" t="n">
        <x:v>11150</x:v>
      </x:c>
    </x:row>
    <x:row r="1589">
      <x:c r="A1589" s="1" t="str">
        <x:v>215460230</x:v>
      </x:c>
      <x:c r="B1589" s="1" t="str">
        <x:v>2xnitkamanshort/кофейный</x:v>
      </x:c>
      <x:c r="C1589" s="1" t="str">
        <x:v>Костюмы спортивные</x:v>
      </x:c>
      <x:c r="D1589" s="9" t="n">
        <x:v>8.7</x:v>
      </x:c>
      <x:c r="E1589" s="8" t="n">
        <x:v>589</x:v>
      </x:c>
      <x:c r="F1589" s="8" t="n">
        <x:v>1</x:v>
      </x:c>
      <x:c r="G1589" s="8" t="n">
        <x:v>2190</x:v>
      </x:c>
      <x:c r="H1589" s="8" t="n">
        <x:v>0</x:v>
      </x:c>
      <x:c r="I1589" s="8" t="n">
        <x:v>0</x:v>
      </x:c>
      <x:c r="J1589" s="8" t="n">
        <x:v>5</x:v>
      </x:c>
      <x:c r="K1589" s="8" t="n">
        <x:v>2190</x:v>
      </x:c>
      <x:c r="L1589" s="1" t="str">
        <x:v>Нет</x:v>
      </x:c>
      <x:c r="M1589" s="1" t="n">
        <x:v>6690</x:v>
      </x:c>
    </x:row>
    <x:row r="1590">
      <x:c r="A1590" s="1" t="str">
        <x:v>183660149</x:v>
      </x:c>
      <x:c r="B1590" s="1" t="str">
        <x:v>1sizeprint/EPIC-22/черный</x:v>
      </x:c>
      <x:c r="C1590" s="1" t="str">
        <x:v>Свитшоты</x:v>
      </x:c>
      <x:c r="D1590" s="9" t="n">
        <x:v>9.7</x:v>
      </x:c>
      <x:c r="E1590" s="8" t="n">
        <x:v>747</x:v>
      </x:c>
      <x:c r="F1590" s="8" t="n">
        <x:v>4</x:v>
      </x:c>
      <x:c r="G1590" s="8" t="n">
        <x:v>2186</x:v>
      </x:c>
      <x:c r="H1590" s="8" t="n">
        <x:v>8</x:v>
      </x:c>
      <x:c r="I1590" s="8" t="n">
        <x:v>0</x:v>
      </x:c>
      <x:c r="J1590" s="8" t="n">
        <x:v>26</x:v>
      </x:c>
      <x:c r="K1590" s="8" t="n">
        <x:v>2010</x:v>
      </x:c>
      <x:c r="L1590" s="1" t="str">
        <x:v>Нет</x:v>
      </x:c>
      <x:c r="M1590" s="1" t="n">
        <x:v>13184</x:v>
      </x:c>
    </x:row>
    <x:row r="1591">
      <x:c r="A1591" s="1" t="str">
        <x:v>256323235</x:v>
      </x:c>
      <x:c r="B1591" s="1" t="str">
        <x:v>futhlopmanover/какао</x:v>
      </x:c>
      <x:c r="C1591" s="1" t="str">
        <x:v>Футболки</x:v>
      </x:c>
      <x:c r="D1591" s="9" t="n">
        <x:v>8.7</x:v>
      </x:c>
      <x:c r="E1591" s="8" t="n">
        <x:v>1882</x:v>
      </x:c>
      <x:c r="F1591" s="8" t="n">
        <x:v>11</x:v>
      </x:c>
      <x:c r="G1591" s="8" t="n">
        <x:v>2164</x:v>
      </x:c>
      <x:c r="H1591" s="8" t="n">
        <x:v>0</x:v>
      </x:c>
      <x:c r="I1591" s="8" t="n">
        <x:v>0</x:v>
      </x:c>
      <x:c r="J1591" s="8" t="n">
        <x:v>6</x:v>
      </x:c>
      <x:c r="K1591" s="8" t="n">
        <x:v>1061</x:v>
      </x:c>
      <x:c r="L1591" s="1" t="str">
        <x:v>Нет</x:v>
      </x:c>
      <x:c r="M1591" s="1" t="n">
        <x:v>1000</x:v>
      </x:c>
    </x:row>
    <x:row r="1592">
      <x:c r="A1592" s="1" t="str">
        <x:v>166248305</x:v>
      </x:c>
      <x:c r="B1592" s="1" t="str">
        <x:v>svitshotman/синий</x:v>
      </x:c>
      <x:c r="C1592" s="1" t="str">
        <x:v>Свитшоты</x:v>
      </x:c>
      <x:c r="D1592" s="9" t="n">
        <x:v>9.7</x:v>
      </x:c>
      <x:c r="E1592" s="8" t="n">
        <x:v>125</x:v>
      </x:c>
      <x:c r="F1592" s="8" t="n">
        <x:v>2</x:v>
      </x:c>
      <x:c r="G1592" s="8" t="n">
        <x:v>2143</x:v>
      </x:c>
      <x:c r="H1592" s="8" t="n">
        <x:v>0</x:v>
      </x:c>
      <x:c r="I1592" s="8" t="n">
        <x:v>0</x:v>
      </x:c>
      <x:c r="J1592" s="8" t="n">
        <x:v>1</x:v>
      </x:c>
      <x:c r="K1592" s="8" t="n">
        <x:v>2143</x:v>
      </x:c>
      <x:c r="L1592" s="1" t="str">
        <x:v>Нет</x:v>
      </x:c>
      <x:c r="M1592" s="1" t="n">
        <x:v>0</x:v>
      </x:c>
    </x:row>
    <x:row r="1593">
      <x:c r="A1593" s="1" t="str">
        <x:v>324987827</x:v>
      </x:c>
      <x:c r="B1593" s="1" t="str">
        <x:v>brukiboy/бежевый</x:v>
      </x:c>
      <x:c r="C1593" s="1" t="str">
        <x:v>Брюки</x:v>
      </x:c>
      <x:c r="D1593" s="9" t="n">
        <x:v>7.7</x:v>
      </x:c>
      <x:c r="E1593" s="8" t="n">
        <x:v>3176</x:v>
      </x:c>
      <x:c r="F1593" s="8" t="n">
        <x:v>2</x:v>
      </x:c>
      <x:c r="G1593" s="8" t="n">
        <x:v>2130</x:v>
      </x:c>
      <x:c r="H1593" s="8" t="n">
        <x:v>80</x:v>
      </x:c>
      <x:c r="I1593" s="8" t="n">
        <x:v>0</x:v>
      </x:c>
      <x:c r="J1593" s="8" t="n">
        <x:v>3</x:v>
      </x:c>
      <x:c r="K1593" s="8" t="n">
        <x:v>1065</x:v>
      </x:c>
      <x:c r="L1593" s="1" t="str">
        <x:v>Нет</x:v>
      </x:c>
      <x:c r="M1593" s="1" t="n">
        <x:v>6675</x:v>
      </x:c>
    </x:row>
    <x:row r="1594">
      <x:c r="A1594" s="1" t="str">
        <x:v>240808482</x:v>
      </x:c>
      <x:c r="B1594" s="1" t="str">
        <x:v>brukiboy/морскаяволна</x:v>
      </x:c>
      <x:c r="C1594" s="1" t="str">
        <x:v>Брюки</x:v>
      </x:c>
      <x:c r="D1594" s="9" t="n">
        <x:v>7</x:v>
      </x:c>
      <x:c r="E1594" s="8" t="n">
        <x:v>3378</x:v>
      </x:c>
      <x:c r="F1594" s="8" t="n">
        <x:v>4</x:v>
      </x:c>
      <x:c r="G1594" s="8" t="n">
        <x:v>2051</x:v>
      </x:c>
      <x:c r="H1594" s="8" t="n">
        <x:v>49</x:v>
      </x:c>
      <x:c r="I1594" s="8" t="n">
        <x:v>0</x:v>
      </x:c>
      <x:c r="J1594" s="8" t="n">
        <x:v>7</x:v>
      </x:c>
      <x:c r="K1594" s="8" t="n">
        <x:v>1072</x:v>
      </x:c>
      <x:c r="L1594" s="1" t="str">
        <x:v>Нет</x:v>
      </x:c>
      <x:c r="M1594" s="1" t="n">
        <x:v>3877</x:v>
      </x:c>
    </x:row>
    <x:row r="1595">
      <x:c r="A1595" s="1" t="str">
        <x:v>229491822</x:v>
      </x:c>
      <x:c r="B1595" s="1" t="str">
        <x:v>futbolkaoverX2/черный-белый</x:v>
      </x:c>
      <x:c r="C1595" s="1" t="str">
        <x:v>Футболки</x:v>
      </x:c>
      <x:c r="D1595" s="9" t="n">
        <x:v>8.7</x:v>
      </x:c>
      <x:c r="E1595" s="8" t="n">
        <x:v>575</x:v>
      </x:c>
      <x:c r="F1595" s="8" t="n">
        <x:v>3</x:v>
      </x:c>
      <x:c r="G1595" s="8" t="n">
        <x:v>2050</x:v>
      </x:c>
      <x:c r="H1595" s="8" t="n">
        <x:v>0</x:v>
      </x:c>
      <x:c r="I1595" s="8" t="n">
        <x:v>0</x:v>
      </x:c>
      <x:c r="J1595" s="8" t="n">
        <x:v>5</x:v>
      </x:c>
      <x:c r="K1595" s="8" t="n">
        <x:v>1948</x:v>
      </x:c>
      <x:c r="L1595" s="1" t="str">
        <x:v>Нет</x:v>
      </x:c>
      <x:c r="M1595" s="1" t="n">
        <x:v>1870</x:v>
      </x:c>
    </x:row>
    <x:row r="1596">
      <x:c r="A1596" s="1" t="str">
        <x:v>145845801</x:v>
      </x:c>
      <x:c r="B1596" s="1" t="str">
        <x:v>svitshotman/зеленый</x:v>
      </x:c>
      <x:c r="C1596" s="1" t="str">
        <x:v>Свитшоты</x:v>
      </x:c>
      <x:c r="D1596" s="9" t="n">
        <x:v>9.7</x:v>
      </x:c>
      <x:c r="E1596" s="8" t="n">
        <x:v>343</x:v>
      </x:c>
      <x:c r="F1596" s="8" t="n">
        <x:v>2</x:v>
      </x:c>
      <x:c r="G1596" s="8" t="n">
        <x:v>2015</x:v>
      </x:c>
      <x:c r="H1596" s="8" t="n">
        <x:v>0</x:v>
      </x:c>
      <x:c r="I1596" s="8" t="n">
        <x:v>0</x:v>
      </x:c>
      <x:c r="J1596" s="8" t="n">
        <x:v>16</x:v>
      </x:c>
      <x:c r="K1596" s="8" t="n">
        <x:v>2079</x:v>
      </x:c>
      <x:c r="L1596" s="1" t="str">
        <x:v>Нет</x:v>
      </x:c>
      <x:c r="M1596" s="1" t="n">
        <x:v>13200</x:v>
      </x:c>
    </x:row>
    <x:row r="1597">
      <x:c r="A1597" s="1" t="str">
        <x:v>235997594</x:v>
      </x:c>
      <x:c r="B1597" s="1" t="str">
        <x:v>bazagirl/деним</x:v>
      </x:c>
      <x:c r="C1597" s="1" t="str">
        <x:v>Футболки</x:v>
      </x:c>
      <x:c r="D1597" s="9" t="n">
        <x:v>9.5</x:v>
      </x:c>
      <x:c r="E1597" s="8" t="n">
        <x:v>327</x:v>
      </x:c>
      <x:c r="F1597" s="8" t="n">
        <x:v>6</x:v>
      </x:c>
      <x:c r="G1597" s="8" t="n">
        <x:v>2007</x:v>
      </x:c>
      <x:c r="H1597" s="8" t="n">
        <x:v>77</x:v>
      </x:c>
      <x:c r="I1597" s="8" t="n">
        <x:v>0</x:v>
      </x:c>
      <x:c r="J1597" s="8" t="n">
        <x:v>0</x:v>
      </x:c>
      <x:c r="K1597" s="8" t="n">
        <x:v>496</x:v>
      </x:c>
      <x:c r="L1597" s="1" t="str">
        <x:v>Нет</x:v>
      </x:c>
      <x:c r="M1597" s="1" t="n">
        <x:v>0</x:v>
      </x:c>
    </x:row>
    <x:row r="1598">
      <x:c r="A1598" s="1" t="str">
        <x:v>169362185</x:v>
      </x:c>
      <x:c r="B1598" s="1" t="str">
        <x:v>longslivrukav/белый</x:v>
      </x:c>
      <x:c r="C1598" s="1" t="str">
        <x:v>Лонгсливы</x:v>
      </x:c>
      <x:c r="D1598" s="9" t="n">
        <x:v>6.7</x:v>
      </x:c>
      <x:c r="E1598" s="8" t="n">
        <x:v>1456</x:v>
      </x:c>
      <x:c r="F1598" s="8" t="n">
        <x:v>21</x:v>
      </x:c>
      <x:c r="G1598" s="8" t="n">
        <x:v>2004</x:v>
      </x:c>
      <x:c r="H1598" s="8" t="n">
        <x:v>6</x:v>
      </x:c>
      <x:c r="I1598" s="8" t="n">
        <x:v>0</x:v>
      </x:c>
      <x:c r="J1598" s="8" t="n">
        <x:v>25</x:v>
      </x:c>
      <x:c r="K1598" s="8" t="n">
        <x:v>647</x:v>
      </x:c>
      <x:c r="L1598" s="1" t="str">
        <x:v>Нет</x:v>
      </x:c>
      <x:c r="M1598" s="1" t="n">
        <x:v>9800</x:v>
      </x:c>
    </x:row>
    <x:row r="1599">
      <x:c r="A1599" s="1" t="str">
        <x:v>189114391</x:v>
      </x:c>
      <x:c r="B1599" s="1" t="str">
        <x:v>WV1037-1518-3</x:v>
      </x:c>
      <x:c r="C1599" s="1" t="str">
        <x:v>Джинсы</x:v>
      </x:c>
      <x:c r="D1599" s="9" t="n">
        <x:v>8.2</x:v>
      </x:c>
      <x:c r="E1599" s="8" t="n">
        <x:v>92</x:v>
      </x:c>
      <x:c r="F1599" s="8" t="n">
        <x:v>1</x:v>
      </x:c>
      <x:c r="G1599" s="8" t="n">
        <x:v>1950</x:v>
      </x:c>
      <x:c r="H1599" s="8" t="n">
        <x:v>0</x:v>
      </x:c>
      <x:c r="I1599" s="8" t="n">
        <x:v>0</x:v>
      </x:c>
      <x:c r="J1599" s="8" t="n">
        <x:v>4</x:v>
      </x:c>
      <x:c r="K1599" s="8" t="n">
        <x:v>1950</x:v>
      </x:c>
      <x:c r="L1599" s="1" t="str">
        <x:v>Нет</x:v>
      </x:c>
      <x:c r="M1599" s="1" t="n">
        <x:v>0</x:v>
      </x:c>
    </x:row>
    <x:row r="1600">
      <x:c r="A1600" s="1" t="str">
        <x:v>189114404</x:v>
      </x:c>
      <x:c r="B1600" s="1" t="str">
        <x:v>AB572-52E-3</x:v>
      </x:c>
      <x:c r="C1600" s="1" t="str">
        <x:v>Джинсы</x:v>
      </x:c>
      <x:c r="D1600" s="9" t="n">
        <x:v>8</x:v>
      </x:c>
      <x:c r="E1600" s="8" t="n">
        <x:v>55</x:v>
      </x:c>
      <x:c r="F1600" s="8" t="n">
        <x:v>1</x:v>
      </x:c>
      <x:c r="G1600" s="8" t="n">
        <x:v>1931</x:v>
      </x:c>
      <x:c r="H1600" s="8" t="n">
        <x:v>0</x:v>
      </x:c>
      <x:c r="I1600" s="8" t="n">
        <x:v>0</x:v>
      </x:c>
      <x:c r="J1600" s="8" t="n">
        <x:v>4</x:v>
      </x:c>
      <x:c r="K1600" s="8" t="n">
        <x:v>1931</x:v>
      </x:c>
      <x:c r="L1600" s="1" t="str">
        <x:v>Нет</x:v>
      </x:c>
      <x:c r="M1600" s="1" t="n">
        <x:v>3862</x:v>
      </x:c>
    </x:row>
    <x:row r="1601">
      <x:c r="A1601" s="1" t="str">
        <x:v>209915746</x:v>
      </x:c>
      <x:c r="B1601" s="1" t="str">
        <x:v>shorty/морскаяволна</x:v>
      </x:c>
      <x:c r="C1601" s="1" t="str">
        <x:v>Шорты</x:v>
      </x:c>
      <x:c r="D1601" s="9" t="n">
        <x:v>6.9</x:v>
      </x:c>
      <x:c r="E1601" s="8" t="n">
        <x:v>5139</x:v>
      </x:c>
      <x:c r="F1601" s="8" t="n">
        <x:v>8</x:v>
      </x:c>
      <x:c r="G1601" s="8" t="n">
        <x:v>1912</x:v>
      </x:c>
      <x:c r="H1601" s="8" t="n">
        <x:v>4</x:v>
      </x:c>
      <x:c r="I1601" s="8" t="n">
        <x:v>0</x:v>
      </x:c>
      <x:c r="J1601" s="8" t="n">
        <x:v>0</x:v>
      </x:c>
      <x:c r="K1601" s="8" t="n">
        <x:v>967</x:v>
      </x:c>
      <x:c r="L1601" s="1" t="str">
        <x:v>Нет</x:v>
      </x:c>
      <x:c r="M1601" s="1" t="n">
        <x:v>0</x:v>
      </x:c>
    </x:row>
    <x:row r="1602">
      <x:c r="A1602" s="1" t="str">
        <x:v>179951218</x:v>
      </x:c>
      <x:c r="B1602" s="1" t="str">
        <x:v>palazzo/коричневый</x:v>
      </x:c>
      <x:c r="C1602" s="1" t="str">
        <x:v>Брюки</x:v>
      </x:c>
      <x:c r="D1602" s="9" t="n">
        <x:v>9.4</x:v>
      </x:c>
      <x:c r="E1602" s="8" t="n">
        <x:v>1766</x:v>
      </x:c>
      <x:c r="F1602" s="8" t="n">
        <x:v>12</x:v>
      </x:c>
      <x:c r="G1602" s="8" t="n">
        <x:v>1896</x:v>
      </x:c>
      <x:c r="H1602" s="8" t="n">
        <x:v>0</x:v>
      </x:c>
      <x:c r="I1602" s="8" t="n">
        <x:v>0</x:v>
      </x:c>
      <x:c r="J1602" s="8" t="n">
        <x:v>10</x:v>
      </x:c>
      <x:c r="K1602" s="8" t="n">
        <x:v>1972</x:v>
      </x:c>
      <x:c r="L1602" s="1" t="str">
        <x:v>Нет</x:v>
      </x:c>
      <x:c r="M1602" s="1" t="n">
        <x:v>2020</x:v>
      </x:c>
    </x:row>
    <x:row r="1603">
      <x:c r="A1603" s="1" t="str">
        <x:v>243666001</x:v>
      </x:c>
      <x:c r="B1603" s="1" t="str">
        <x:v>boxerX5/чер-тсер-ссерХ2-тсин</x:v>
      </x:c>
      <x:c r="C1603" s="1" t="str">
        <x:v>Трусы</x:v>
      </x:c>
      <x:c r="D1603" s="9" t="n">
        <x:v>8.4</x:v>
      </x:c>
      <x:c r="E1603" s="8" t="n">
        <x:v>243</x:v>
      </x:c>
      <x:c r="F1603" s="8" t="n">
        <x:v>1</x:v>
      </x:c>
      <x:c r="G1603" s="8" t="n">
        <x:v>1870</x:v>
      </x:c>
      <x:c r="H1603" s="8" t="n">
        <x:v>0</x:v>
      </x:c>
      <x:c r="I1603" s="8" t="n">
        <x:v>0</x:v>
      </x:c>
      <x:c r="J1603" s="8" t="n">
        <x:v>3</x:v>
      </x:c>
      <x:c r="K1603" s="8" t="n">
        <x:v>1870</x:v>
      </x:c>
      <x:c r="L1603" s="1" t="str">
        <x:v>Нет</x:v>
      </x:c>
      <x:c r="M1603" s="1" t="n">
        <x:v>0</x:v>
      </x:c>
    </x:row>
    <x:row r="1604">
      <x:c r="A1604" s="1" t="str">
        <x:v>365801828</x:v>
      </x:c>
      <x:c r="B1604" s="1" t="str">
        <x:v>bazakulgirl/зеленый</x:v>
      </x:c>
      <x:c r="C1604" s="1" t="str">
        <x:v>Футболки</x:v>
      </x:c>
      <x:c r="D1604" s="9" t="n">
        <x:v>9.5</x:v>
      </x:c>
      <x:c r="E1604" s="8" t="n">
        <x:v>830</x:v>
      </x:c>
      <x:c r="F1604" s="8" t="n">
        <x:v>4</x:v>
      </x:c>
      <x:c r="G1604" s="8" t="n">
        <x:v>1812</x:v>
      </x:c>
      <x:c r="H1604" s="8" t="n">
        <x:v>119</x:v>
      </x:c>
      <x:c r="I1604" s="8" t="n">
        <x:v>0</x:v>
      </x:c>
      <x:c r="J1604" s="8" t="n">
        <x:v>0</x:v>
      </x:c>
      <x:c r="K1604" s="8" t="n">
        <x:v>596</x:v>
      </x:c>
      <x:c r="L1604" s="1" t="str">
        <x:v>Нет</x:v>
      </x:c>
      <x:c r="M1604" s="1" t="n">
        <x:v>0</x:v>
      </x:c>
    </x:row>
    <x:row r="1605">
      <x:c r="A1605" s="1" t="str">
        <x:v>167636444</x:v>
      </x:c>
      <x:c r="B1605" s="1" t="str">
        <x:v>futbolka/молочный</x:v>
      </x:c>
      <x:c r="C1605" s="1" t="str">
        <x:v>Футболки</x:v>
      </x:c>
      <x:c r="D1605" s="9" t="n">
        <x:v>7.2</x:v>
      </x:c>
      <x:c r="E1605" s="8" t="n">
        <x:v>161</x:v>
      </x:c>
      <x:c r="F1605" s="8" t="n">
        <x:v>2</x:v>
      </x:c>
      <x:c r="G1605" s="8" t="n">
        <x:v>1790</x:v>
      </x:c>
      <x:c r="H1605" s="8" t="n">
        <x:v>0</x:v>
      </x:c>
      <x:c r="I1605" s="8" t="n">
        <x:v>0</x:v>
      </x:c>
      <x:c r="J1605" s="8" t="n">
        <x:v>29</x:v>
      </x:c>
      <x:c r="K1605" s="8" t="n">
        <x:v>895</x:v>
      </x:c>
      <x:c r="L1605" s="1" t="str">
        <x:v>Нет</x:v>
      </x:c>
      <x:c r="M1605" s="1" t="n">
        <x:v>15385</x:v>
      </x:c>
    </x:row>
    <x:row r="1606">
      <x:c r="A1606" s="1" t="str">
        <x:v>357022580</x:v>
      </x:c>
      <x:c r="B1606" s="1" t="str">
        <x:v>bazakulgirl/деним</x:v>
      </x:c>
      <x:c r="C1606" s="1" t="str">
        <x:v>Футболки</x:v>
      </x:c>
      <x:c r="D1606" s="9" t="n">
        <x:v>9.5</x:v>
      </x:c>
      <x:c r="E1606" s="8" t="n">
        <x:v>996</x:v>
      </x:c>
      <x:c r="F1606" s="8" t="n">
        <x:v>8</x:v>
      </x:c>
      <x:c r="G1606" s="8" t="n">
        <x:v>1714</x:v>
      </x:c>
      <x:c r="H1606" s="8" t="n">
        <x:v>89</x:v>
      </x:c>
      <x:c r="I1606" s="8" t="n">
        <x:v>0</x:v>
      </x:c>
      <x:c r="J1606" s="8" t="n">
        <x:v>0</x:v>
      </x:c>
      <x:c r="K1606" s="8" t="n">
        <x:v>590</x:v>
      </x:c>
      <x:c r="L1606" s="1" t="str">
        <x:v>Нет</x:v>
      </x:c>
      <x:c r="M1606" s="1" t="n">
        <x:v>0</x:v>
      </x:c>
    </x:row>
    <x:row r="1607">
      <x:c r="A1607" s="1" t="str">
        <x:v>29349121</x:v>
      </x:c>
      <x:c r="B1607" s="1" t="str">
        <x:v>longsliv/хаки</x:v>
      </x:c>
      <x:c r="C1607" s="1" t="str">
        <x:v>Лонгсливы</x:v>
      </x:c>
      <x:c r="D1607" s="9" t="n">
        <x:v>7.7</x:v>
      </x:c>
      <x:c r="E1607" s="8" t="n">
        <x:v>5708</x:v>
      </x:c>
      <x:c r="F1607" s="8" t="n">
        <x:v>8</x:v>
      </x:c>
      <x:c r="G1607" s="8" t="n">
        <x:v>1587</x:v>
      </x:c>
      <x:c r="H1607" s="8" t="n">
        <x:v>16</x:v>
      </x:c>
      <x:c r="I1607" s="8" t="n">
        <x:v>0</x:v>
      </x:c>
      <x:c r="J1607" s="8" t="n">
        <x:v>12</x:v>
      </x:c>
      <x:c r="K1607" s="8" t="n">
        <x:v>784</x:v>
      </x:c>
      <x:c r="L1607" s="1" t="str">
        <x:v>Нет</x:v>
      </x:c>
      <x:c r="M1607" s="1" t="n">
        <x:v>1700</x:v>
      </x:c>
    </x:row>
    <x:row r="1608">
      <x:c r="A1608" s="1" t="str">
        <x:v>380676392</x:v>
      </x:c>
      <x:c r="B1608" s="1" t="str">
        <x:v>futbolkaboy/серый</x:v>
      </x:c>
      <x:c r="C1608" s="1" t="str">
        <x:v>Футболки</x:v>
      </x:c>
      <x:c r="D1608" s="9" t="n">
        <x:v>10</x:v>
      </x:c>
      <x:c r="E1608" s="8" t="n">
        <x:v>3838</x:v>
      </x:c>
      <x:c r="F1608" s="8" t="n">
        <x:v>5</x:v>
      </x:c>
      <x:c r="G1608" s="8" t="n">
        <x:v>1560</x:v>
      </x:c>
      <x:c r="H1608" s="8" t="n">
        <x:v>80</x:v>
      </x:c>
      <x:c r="I1608" s="8" t="n">
        <x:v>0</x:v>
      </x:c>
      <x:c r="J1608" s="8" t="n">
        <x:v>0</x:v>
      </x:c>
      <x:c r="K1608" s="8" t="n">
        <x:v>526</x:v>
      </x:c>
      <x:c r="L1608" s="1" t="str">
        <x:v>Нет</x:v>
      </x:c>
      <x:c r="M1608" s="1" t="n">
        <x:v>0</x:v>
      </x:c>
    </x:row>
    <x:row r="1609">
      <x:c r="A1609" s="1" t="str">
        <x:v>75365743</x:v>
      </x:c>
      <x:c r="B1609" s="1" t="str">
        <x:v>futbolka/фуксия</x:v>
      </x:c>
      <x:c r="C1609" s="1" t="str">
        <x:v>Футболки</x:v>
      </x:c>
      <x:c r="D1609" s="9" t="n">
        <x:v>7.2</x:v>
      </x:c>
      <x:c r="E1609" s="8" t="n">
        <x:v>427</x:v>
      </x:c>
      <x:c r="F1609" s="8" t="n">
        <x:v>3</x:v>
      </x:c>
      <x:c r="G1609" s="8" t="n">
        <x:v>1555</x:v>
      </x:c>
      <x:c r="H1609" s="8" t="n">
        <x:v>0</x:v>
      </x:c>
      <x:c r="I1609" s="8" t="n">
        <x:v>0</x:v>
      </x:c>
      <x:c r="J1609" s="8" t="n">
        <x:v>33</x:v>
      </x:c>
      <x:c r="K1609" s="8" t="n">
        <x:v>793</x:v>
      </x:c>
      <x:c r="L1609" s="1" t="str">
        <x:v>Нет</x:v>
      </x:c>
      <x:c r="M1609" s="1" t="n">
        <x:v>19800</x:v>
      </x:c>
    </x:row>
    <x:row r="1610">
      <x:c r="A1610" s="1" t="str">
        <x:v>233777187</x:v>
      </x:c>
      <x:c r="B1610" s="1" t="str">
        <x:v>futbolkaboyX3/как-сер-чер</x:v>
      </x:c>
      <x:c r="C1610" s="1" t="str">
        <x:v>Футболки</x:v>
      </x:c>
      <x:c r="D1610" s="9" t="n">
        <x:v>9.3</x:v>
      </x:c>
      <x:c r="E1610" s="8" t="n">
        <x:v>269</x:v>
      </x:c>
      <x:c r="F1610" s="8" t="n">
        <x:v>1</x:v>
      </x:c>
      <x:c r="G1610" s="8" t="n">
        <x:v>1400</x:v>
      </x:c>
      <x:c r="H1610" s="8" t="n">
        <x:v>0</x:v>
      </x:c>
      <x:c r="I1610" s="8" t="n">
        <x:v>0</x:v>
      </x:c>
      <x:c r="J1610" s="8" t="n">
        <x:v>0</x:v>
      </x:c>
      <x:c r="K1610" s="8" t="n">
        <x:v>1400</x:v>
      </x:c>
      <x:c r="L1610" s="1" t="str">
        <x:v>Нет</x:v>
      </x:c>
      <x:c r="M1610" s="1" t="n">
        <x:v>0</x:v>
      </x:c>
    </x:row>
    <x:row r="1611">
      <x:c r="A1611" s="1" t="str">
        <x:v>40806201</x:v>
      </x:c>
      <x:c r="B1611" s="1" t="str">
        <x:v>longslivdlinna/красный</x:v>
      </x:c>
      <x:c r="C1611" s="1" t="str">
        <x:v>Лонгсливы</x:v>
      </x:c>
      <x:c r="D1611" s="9" t="n">
        <x:v>7.2</x:v>
      </x:c>
      <x:c r="E1611" s="8" t="n">
        <x:v>594</x:v>
      </x:c>
      <x:c r="F1611" s="8" t="n">
        <x:v>4</x:v>
      </x:c>
      <x:c r="G1611" s="8" t="n">
        <x:v>1325</x:v>
      </x:c>
      <x:c r="H1611" s="8" t="n">
        <x:v>0</x:v>
      </x:c>
      <x:c r="I1611" s="8" t="n">
        <x:v>0</x:v>
      </x:c>
      <x:c r="J1611" s="8" t="n">
        <x:v>0</x:v>
      </x:c>
      <x:c r="K1611" s="8" t="n">
        <x:v>1344</x:v>
      </x:c>
      <x:c r="L1611" s="1" t="str">
        <x:v>Нет</x:v>
      </x:c>
      <x:c r="M1611" s="1" t="n">
        <x:v>0</x:v>
      </x:c>
    </x:row>
    <x:row r="1612">
      <x:c r="A1612" s="1" t="str">
        <x:v>175116977</x:v>
      </x:c>
      <x:c r="B1612" s="1" t="str">
        <x:v>reglanman/эвкалипт</x:v>
      </x:c>
      <x:c r="C1612" s="1" t="str">
        <x:v>Лонгсливы</x:v>
      </x:c>
      <x:c r="D1612" s="9" t="n">
        <x:v>7.2</x:v>
      </x:c>
      <x:c r="E1612" s="8" t="n">
        <x:v>104</x:v>
      </x:c>
      <x:c r="F1612" s="8" t="n">
        <x:v>1</x:v>
      </x:c>
      <x:c r="G1612" s="8" t="n">
        <x:v>1323</x:v>
      </x:c>
      <x:c r="H1612" s="8" t="n">
        <x:v>0</x:v>
      </x:c>
      <x:c r="I1612" s="8" t="n">
        <x:v>0</x:v>
      </x:c>
      <x:c r="J1612" s="8" t="n">
        <x:v>1</x:v>
      </x:c>
      <x:c r="K1612" s="8" t="n">
        <x:v>1323</x:v>
      </x:c>
      <x:c r="L1612" s="1" t="str">
        <x:v>Нет</x:v>
      </x:c>
      <x:c r="M1612" s="1" t="n">
        <x:v>1350</x:v>
      </x:c>
    </x:row>
    <x:row r="1613">
      <x:c r="A1613" s="1" t="str">
        <x:v>40806199</x:v>
      </x:c>
      <x:c r="B1613" s="1" t="str">
        <x:v>longslivdlinna/черный</x:v>
      </x:c>
      <x:c r="C1613" s="1" t="str">
        <x:v>Лонгсливы</x:v>
      </x:c>
      <x:c r="D1613" s="9" t="n">
        <x:v>7.2</x:v>
      </x:c>
      <x:c r="E1613" s="8" t="n">
        <x:v>300</x:v>
      </x:c>
      <x:c r="F1613" s="8" t="n">
        <x:v>2</x:v>
      </x:c>
      <x:c r="G1613" s="8" t="n">
        <x:v>1205</x:v>
      </x:c>
      <x:c r="H1613" s="8" t="n">
        <x:v>0</x:v>
      </x:c>
      <x:c r="I1613" s="8" t="n">
        <x:v>0</x:v>
      </x:c>
      <x:c r="J1613" s="8" t="n">
        <x:v>8</x:v>
      </x:c>
      <x:c r="K1613" s="8" t="n">
        <x:v>1205</x:v>
      </x:c>
      <x:c r="L1613" s="1" t="str">
        <x:v>Нет</x:v>
      </x:c>
      <x:c r="M1613" s="1" t="n">
        <x:v>4900</x:v>
      </x:c>
    </x:row>
    <x:row r="1614">
      <x:c r="A1614" s="1" t="str">
        <x:v>316510760</x:v>
      </x:c>
      <x:c r="B1614" s="1" t="str">
        <x:v>brukiboy/песочный</x:v>
      </x:c>
      <x:c r="C1614" s="1" t="str">
        <x:v>Брюки</x:v>
      </x:c>
      <x:c r="D1614" s="9" t="n">
        <x:v>7.7</x:v>
      </x:c>
      <x:c r="E1614" s="8" t="n">
        <x:v>2298</x:v>
      </x:c>
      <x:c r="F1614" s="8" t="n">
        <x:v>2</x:v>
      </x:c>
      <x:c r="G1614" s="8" t="n">
        <x:v>1180</x:v>
      </x:c>
      <x:c r="H1614" s="8" t="n">
        <x:v>36</x:v>
      </x:c>
      <x:c r="I1614" s="8" t="n">
        <x:v>0</x:v>
      </x:c>
      <x:c r="J1614" s="8" t="n">
        <x:v>5</x:v>
      </x:c>
      <x:c r="K1614" s="8" t="n">
        <x:v>1108</x:v>
      </x:c>
      <x:c r="L1614" s="1" t="str">
        <x:v>Нет</x:v>
      </x:c>
      <x:c r="M1614" s="1" t="n">
        <x:v>3225</x:v>
      </x:c>
    </x:row>
    <x:row r="1615">
      <x:c r="A1615" s="1" t="str">
        <x:v>209914841</x:v>
      </x:c>
      <x:c r="B1615" s="1" t="str">
        <x:v>longsvobod/мятапыльная</x:v>
      </x:c>
      <x:c r="C1615" s="1" t="str">
        <x:v>Лонгсливы</x:v>
      </x:c>
      <x:c r="D1615" s="9" t="n">
        <x:v>7.2</x:v>
      </x:c>
      <x:c r="E1615" s="8" t="n">
        <x:v>579</x:v>
      </x:c>
      <x:c r="F1615" s="8" t="n">
        <x:v>1</x:v>
      </x:c>
      <x:c r="G1615" s="8" t="n">
        <x:v>1160</x:v>
      </x:c>
      <x:c r="H1615" s="8" t="n">
        <x:v>0</x:v>
      </x:c>
      <x:c r="I1615" s="8" t="n">
        <x:v>0</x:v>
      </x:c>
      <x:c r="J1615" s="8" t="n">
        <x:v>4</x:v>
      </x:c>
      <x:c r="K1615" s="8" t="n">
        <x:v>1160</x:v>
      </x:c>
      <x:c r="L1615" s="1" t="str">
        <x:v>Нет</x:v>
      </x:c>
      <x:c r="M1615" s="1" t="n">
        <x:v>2400</x:v>
      </x:c>
    </x:row>
    <x:row r="1616">
      <x:c r="A1616" s="1" t="str">
        <x:v>209915088</x:v>
      </x:c>
      <x:c r="B1616" s="1" t="str">
        <x:v>longsvobod/зеленый</x:v>
      </x:c>
      <x:c r="C1616" s="1" t="str">
        <x:v>Лонгсливы</x:v>
      </x:c>
      <x:c r="D1616" s="9" t="n">
        <x:v>5.2</x:v>
      </x:c>
      <x:c r="E1616" s="8" t="n">
        <x:v>2171</x:v>
      </x:c>
      <x:c r="F1616" s="8" t="n">
        <x:v>4</x:v>
      </x:c>
      <x:c r="G1616" s="8" t="n">
        <x:v>1140</x:v>
      </x:c>
      <x:c r="H1616" s="8" t="n">
        <x:v>56</x:v>
      </x:c>
      <x:c r="I1616" s="8" t="n">
        <x:v>0</x:v>
      </x:c>
      <x:c r="J1616" s="8" t="n">
        <x:v>6</x:v>
      </x:c>
      <x:c r="K1616" s="8" t="n">
        <x:v>1098</x:v>
      </x:c>
      <x:c r="L1616" s="1" t="str">
        <x:v>Нет</x:v>
      </x:c>
      <x:c r="M1616" s="1" t="n">
        <x:v>2280</x:v>
      </x:c>
    </x:row>
    <x:row r="1617">
      <x:c r="A1617" s="1" t="str">
        <x:v>209915042</x:v>
      </x:c>
      <x:c r="B1617" s="1" t="str">
        <x:v>longsvobod/зеленосерый</x:v>
      </x:c>
      <x:c r="C1617" s="1" t="str">
        <x:v>Лонгсливы</x:v>
      </x:c>
      <x:c r="D1617" s="9" t="n">
        <x:v>7.2</x:v>
      </x:c>
      <x:c r="E1617" s="8" t="n">
        <x:v>2730</x:v>
      </x:c>
      <x:c r="F1617" s="8" t="n">
        <x:v>5</x:v>
      </x:c>
      <x:c r="G1617" s="8" t="n">
        <x:v>1118</x:v>
      </x:c>
      <x:c r="H1617" s="8" t="n">
        <x:v>21</x:v>
      </x:c>
      <x:c r="I1617" s="8" t="n">
        <x:v>0</x:v>
      </x:c>
      <x:c r="J1617" s="8" t="n">
        <x:v>11</x:v>
      </x:c>
      <x:c r="K1617" s="8" t="n">
        <x:v>1007</x:v>
      </x:c>
      <x:c r="L1617" s="1" t="str">
        <x:v>Нет</x:v>
      </x:c>
      <x:c r="M1617" s="1" t="n">
        <x:v>2280</x:v>
      </x:c>
    </x:row>
    <x:row r="1618">
      <x:c r="A1618" s="1" t="str">
        <x:v>114587234</x:v>
      </x:c>
      <x:c r="B1618" s="1" t="str">
        <x:v>longslivdlinna/мандариновый</x:v>
      </x:c>
      <x:c r="C1618" s="1" t="str">
        <x:v>Лонгсливы</x:v>
      </x:c>
      <x:c r="D1618" s="9" t="n">
        <x:v>7.2</x:v>
      </x:c>
      <x:c r="E1618" s="8" t="n">
        <x:v>1372</x:v>
      </x:c>
      <x:c r="F1618" s="8" t="n">
        <x:v>6</x:v>
      </x:c>
      <x:c r="G1618" s="8" t="n">
        <x:v>1115</x:v>
      </x:c>
      <x:c r="H1618" s="8" t="n">
        <x:v>51</x:v>
      </x:c>
      <x:c r="I1618" s="8" t="n">
        <x:v>0</x:v>
      </x:c>
      <x:c r="J1618" s="8" t="n">
        <x:v>10</x:v>
      </x:c>
      <x:c r="K1618" s="8" t="n">
        <x:v>1142</x:v>
      </x:c>
      <x:c r="L1618" s="1" t="str">
        <x:v>Нет</x:v>
      </x:c>
      <x:c r="M1618" s="1" t="n">
        <x:v>1100</x:v>
      </x:c>
    </x:row>
    <x:row r="1619">
      <x:c r="A1619" s="1" t="str">
        <x:v>324987825</x:v>
      </x:c>
      <x:c r="B1619" s="1" t="str">
        <x:v>brukiboy/голубой</x:v>
      </x:c>
      <x:c r="C1619" s="1" t="str">
        <x:v>Брюки</x:v>
      </x:c>
      <x:c r="D1619" s="9" t="n">
        <x:v>7.7</x:v>
      </x:c>
      <x:c r="E1619" s="8" t="n">
        <x:v>2664</x:v>
      </x:c>
      <x:c r="F1619" s="8" t="n">
        <x:v>2</x:v>
      </x:c>
      <x:c r="G1619" s="8" t="n">
        <x:v>1075</x:v>
      </x:c>
      <x:c r="H1619" s="8" t="n">
        <x:v>37</x:v>
      </x:c>
      <x:c r="I1619" s="8" t="n">
        <x:v>0</x:v>
      </x:c>
      <x:c r="J1619" s="8" t="n">
        <x:v>2</x:v>
      </x:c>
      <x:c r="K1619" s="8" t="n">
        <x:v>1110</x:v>
      </x:c>
      <x:c r="L1619" s="1" t="str">
        <x:v>Нет</x:v>
      </x:c>
      <x:c r="M1619" s="1" t="n">
        <x:v>1075</x:v>
      </x:c>
    </x:row>
    <x:row r="1620">
      <x:c r="A1620" s="1" t="str">
        <x:v>324987831</x:v>
      </x:c>
      <x:c r="B1620" s="1" t="str">
        <x:v>brukiboy/хаки</x:v>
      </x:c>
      <x:c r="C1620" s="1" t="str">
        <x:v>Брюки</x:v>
      </x:c>
      <x:c r="D1620" s="9" t="n">
        <x:v>7.7</x:v>
      </x:c>
      <x:c r="E1620" s="8" t="n">
        <x:v>3938</x:v>
      </x:c>
      <x:c r="F1620" s="8" t="n">
        <x:v>2</x:v>
      </x:c>
      <x:c r="G1620" s="8" t="n">
        <x:v>1075</x:v>
      </x:c>
      <x:c r="H1620" s="8" t="n">
        <x:v>8</x:v>
      </x:c>
      <x:c r="I1620" s="8" t="n">
        <x:v>0</x:v>
      </x:c>
      <x:c r="J1620" s="8" t="n">
        <x:v>3</x:v>
      </x:c>
      <x:c r="K1620" s="8" t="n">
        <x:v>1066</x:v>
      </x:c>
      <x:c r="L1620" s="1" t="str">
        <x:v>Нет</x:v>
      </x:c>
      <x:c r="M1620" s="1" t="n">
        <x:v>1075</x:v>
      </x:c>
    </x:row>
    <x:row r="1621">
      <x:c r="A1621" s="1" t="str">
        <x:v>333105271</x:v>
      </x:c>
      <x:c r="B1621" s="1" t="str">
        <x:v>brukigirl/светло-розовый</x:v>
      </x:c>
      <x:c r="C1621" s="1" t="str">
        <x:v>Брюки</x:v>
      </x:c>
      <x:c r="D1621" s="9" t="n">
        <x:v>7.7</x:v>
      </x:c>
      <x:c r="E1621" s="8" t="n">
        <x:v>4169</x:v>
      </x:c>
      <x:c r="F1621" s="8" t="n">
        <x:v>4</x:v>
      </x:c>
      <x:c r="G1621" s="8" t="n">
        <x:v>1075</x:v>
      </x:c>
      <x:c r="H1621" s="8" t="n">
        <x:v>314</x:v>
      </x:c>
      <x:c r="I1621" s="8" t="n">
        <x:v>0</x:v>
      </x:c>
      <x:c r="J1621" s="8" t="n">
        <x:v>1</x:v>
      </x:c>
      <x:c r="K1621" s="8" t="n">
        <x:v>1119</x:v>
      </x:c>
      <x:c r="L1621" s="1" t="str">
        <x:v>Нет</x:v>
      </x:c>
      <x:c r="M1621" s="1" t="n">
        <x:v>0</x:v>
      </x:c>
    </x:row>
    <x:row r="1622">
      <x:c r="A1622" s="1" t="str">
        <x:v>235612550</x:v>
      </x:c>
      <x:c r="B1622" s="1" t="str">
        <x:v>futbolkaover/коричневый-дымчатый</x:v>
      </x:c>
      <x:c r="C1622" s="1" t="str">
        <x:v>Футболки</x:v>
      </x:c>
      <x:c r="D1622" s="9" t="n">
        <x:v>4.7</x:v>
      </x:c>
      <x:c r="E1622" s="8" t="n">
        <x:v>55</x:v>
      </x:c>
      <x:c r="F1622" s="8" t="n">
        <x:v>1</x:v>
      </x:c>
      <x:c r="G1622" s="8" t="n">
        <x:v>1070</x:v>
      </x:c>
      <x:c r="H1622" s="8" t="n">
        <x:v>0</x:v>
      </x:c>
      <x:c r="I1622" s="8" t="n">
        <x:v>0</x:v>
      </x:c>
      <x:c r="J1622" s="8" t="n">
        <x:v>0</x:v>
      </x:c>
      <x:c r="K1622" s="8" t="n">
        <x:v>1070</x:v>
      </x:c>
      <x:c r="L1622" s="1" t="str">
        <x:v>Нет</x:v>
      </x:c>
      <x:c r="M1622" s="1" t="n">
        <x:v>0</x:v>
      </x:c>
    </x:row>
    <x:row r="1623">
      <x:c r="A1623" s="1" t="str">
        <x:v>26238833</x:v>
      </x:c>
      <x:c r="B1623" s="1" t="str">
        <x:v>futbolka_mary/хаки</x:v>
      </x:c>
      <x:c r="C1623" s="1" t="str">
        <x:v>Футболки</x:v>
      </x:c>
      <x:c r="D1623" s="9" t="n">
        <x:v>7.2</x:v>
      </x:c>
      <x:c r="E1623" s="8" t="n">
        <x:v>192</x:v>
      </x:c>
      <x:c r="F1623" s="8" t="n">
        <x:v>2</x:v>
      </x:c>
      <x:c r="G1623" s="8" t="n">
        <x:v>1060</x:v>
      </x:c>
      <x:c r="H1623" s="8" t="n">
        <x:v>0</x:v>
      </x:c>
      <x:c r="I1623" s="8" t="n">
        <x:v>0</x:v>
      </x:c>
      <x:c r="J1623" s="8" t="n">
        <x:v>0</x:v>
      </x:c>
      <x:c r="K1623" s="8" t="n">
        <x:v>530</x:v>
      </x:c>
      <x:c r="L1623" s="1" t="str">
        <x:v>Нет</x:v>
      </x:c>
      <x:c r="M1623" s="1" t="n">
        <x:v>0</x:v>
      </x:c>
    </x:row>
    <x:row r="1624">
      <x:c r="A1624" s="1" t="str">
        <x:v>209914866</x:v>
      </x:c>
      <x:c r="B1624" s="1" t="str">
        <x:v>longsvobod/синеморской</x:v>
      </x:c>
      <x:c r="C1624" s="1" t="str">
        <x:v>Лонгсливы</x:v>
      </x:c>
      <x:c r="D1624" s="9" t="n">
        <x:v>7.2</x:v>
      </x:c>
      <x:c r="E1624" s="8" t="n">
        <x:v>2331</x:v>
      </x:c>
      <x:c r="F1624" s="8" t="n">
        <x:v>2</x:v>
      </x:c>
      <x:c r="G1624" s="8" t="n">
        <x:v>1057</x:v>
      </x:c>
      <x:c r="H1624" s="8" t="n">
        <x:v>9</x:v>
      </x:c>
      <x:c r="I1624" s="8" t="n">
        <x:v>0</x:v>
      </x:c>
      <x:c r="J1624" s="8" t="n">
        <x:v>2</x:v>
      </x:c>
      <x:c r="K1624" s="8" t="n">
        <x:v>1129</x:v>
      </x:c>
      <x:c r="L1624" s="1" t="str">
        <x:v>Нет</x:v>
      </x:c>
      <x:c r="M1624" s="1" t="n">
        <x:v>2400</x:v>
      </x:c>
    </x:row>
    <x:row r="1625">
      <x:c r="A1625" s="1" t="str">
        <x:v>209915680</x:v>
      </x:c>
      <x:c r="B1625" s="1" t="str">
        <x:v>shorty/бордовый</x:v>
      </x:c>
      <x:c r="C1625" s="1" t="str">
        <x:v>Шорты</x:v>
      </x:c>
      <x:c r="D1625" s="9" t="n">
        <x:v>6.9</x:v>
      </x:c>
      <x:c r="E1625" s="8" t="n">
        <x:v>648</x:v>
      </x:c>
      <x:c r="F1625" s="8" t="n">
        <x:v>3</x:v>
      </x:c>
      <x:c r="G1625" s="8" t="n">
        <x:v>1050</x:v>
      </x:c>
      <x:c r="H1625" s="8" t="n">
        <x:v>141</x:v>
      </x:c>
      <x:c r="I1625" s="8" t="n">
        <x:v>0</x:v>
      </x:c>
      <x:c r="J1625" s="8" t="n">
        <x:v>1</x:v>
      </x:c>
      <x:c r="K1625" s="8" t="n">
        <x:v>1070</x:v>
      </x:c>
      <x:c r="L1625" s="1" t="str">
        <x:v>Нет</x:v>
      </x:c>
      <x:c r="M1625" s="1" t="n">
        <x:v>1110</x:v>
      </x:c>
    </x:row>
    <x:row r="1626">
      <x:c r="A1626" s="1" t="str">
        <x:v>233262512</x:v>
      </x:c>
      <x:c r="B1626" s="1" t="str">
        <x:v>2Nshortyman/серыймеланж</x:v>
      </x:c>
      <x:c r="C1626" s="1" t="str">
        <x:v>Шорты</x:v>
      </x:c>
      <x:c r="D1626" s="9" t="n">
        <x:v>8.4</x:v>
      </x:c>
      <x:c r="E1626" s="8" t="n">
        <x:v>158</x:v>
      </x:c>
      <x:c r="F1626" s="8" t="n">
        <x:v>1</x:v>
      </x:c>
      <x:c r="G1626" s="8" t="n">
        <x:v>1019</x:v>
      </x:c>
      <x:c r="H1626" s="8" t="n">
        <x:v>0</x:v>
      </x:c>
      <x:c r="I1626" s="8" t="n">
        <x:v>0</x:v>
      </x:c>
      <x:c r="J1626" s="8" t="n">
        <x:v>4</x:v>
      </x:c>
      <x:c r="K1626" s="8" t="n">
        <x:v>1019</x:v>
      </x:c>
      <x:c r="L1626" s="1" t="str">
        <x:v>Нет</x:v>
      </x:c>
      <x:c r="M1626" s="1" t="n">
        <x:v>3240</x:v>
      </x:c>
    </x:row>
    <x:row r="1627">
      <x:c r="A1627" s="1" t="str">
        <x:v>74616790</x:v>
      </x:c>
      <x:c r="B1627" s="1" t="str">
        <x:v>longslivdlinna/фуксия</x:v>
      </x:c>
      <x:c r="C1627" s="1" t="str">
        <x:v>Лонгсливы</x:v>
      </x:c>
      <x:c r="D1627" s="9" t="n">
        <x:v>7.2</x:v>
      </x:c>
      <x:c r="E1627" s="8" t="n">
        <x:v>1439</x:v>
      </x:c>
      <x:c r="F1627" s="8" t="n">
        <x:v>4</x:v>
      </x:c>
      <x:c r="G1627" s="8" t="n">
        <x:v>982</x:v>
      </x:c>
      <x:c r="H1627" s="8" t="n">
        <x:v>7</x:v>
      </x:c>
      <x:c r="I1627" s="8" t="n">
        <x:v>0</x:v>
      </x:c>
      <x:c r="J1627" s="8" t="n">
        <x:v>1</x:v>
      </x:c>
      <x:c r="K1627" s="8" t="n">
        <x:v>1085</x:v>
      </x:c>
      <x:c r="L1627" s="1" t="str">
        <x:v>Нет</x:v>
      </x:c>
      <x:c r="M1627" s="1" t="n">
        <x:v>0</x:v>
      </x:c>
    </x:row>
    <x:row r="1628">
      <x:c r="A1628" s="1" t="str">
        <x:v>335328113</x:v>
      </x:c>
      <x:c r="B1628" s="1" t="str">
        <x:v>futbolkahlopboy/коричневый</x:v>
      </x:c>
      <x:c r="C1628" s="1" t="str">
        <x:v>Футболки</x:v>
      </x:c>
      <x:c r="D1628" s="9" t="n">
        <x:v>9.5</x:v>
      </x:c>
      <x:c r="E1628" s="8" t="n">
        <x:v>233</x:v>
      </x:c>
      <x:c r="F1628" s="8" t="n">
        <x:v>4</x:v>
      </x:c>
      <x:c r="G1628" s="8" t="n">
        <x:v>980</x:v>
      </x:c>
      <x:c r="H1628" s="8" t="n">
        <x:v>0</x:v>
      </x:c>
      <x:c r="I1628" s="8" t="n">
        <x:v>0</x:v>
      </x:c>
      <x:c r="J1628" s="8" t="n">
        <x:v>21</x:v>
      </x:c>
      <x:c r="K1628" s="8" t="n">
        <x:v>490</x:v>
      </x:c>
      <x:c r="L1628" s="1" t="str">
        <x:v>Нет</x:v>
      </x:c>
      <x:c r="M1628" s="1" t="n">
        <x:v>6141</x:v>
      </x:c>
    </x:row>
    <x:row r="1629">
      <x:c r="A1629" s="1" t="str">
        <x:v>335328114</x:v>
      </x:c>
      <x:c r="B1629" s="1" t="str">
        <x:v>futbolkahlopboy/шалфей</x:v>
      </x:c>
      <x:c r="C1629" s="1" t="str">
        <x:v>Футболки</x:v>
      </x:c>
      <x:c r="D1629" s="9" t="n">
        <x:v>9.5</x:v>
      </x:c>
      <x:c r="E1629" s="8" t="n">
        <x:v>297</x:v>
      </x:c>
      <x:c r="F1629" s="8" t="n">
        <x:v>3</x:v>
      </x:c>
      <x:c r="G1629" s="8" t="n">
        <x:v>980</x:v>
      </x:c>
      <x:c r="H1629" s="8" t="n">
        <x:v>1</x:v>
      </x:c>
      <x:c r="I1629" s="8" t="n">
        <x:v>0</x:v>
      </x:c>
      <x:c r="J1629" s="8" t="n">
        <x:v>11</x:v>
      </x:c>
      <x:c r="K1629" s="8" t="n">
        <x:v>487</x:v>
      </x:c>
      <x:c r="L1629" s="1" t="str">
        <x:v>Нет</x:v>
      </x:c>
      <x:c r="M1629" s="1" t="n">
        <x:v>2940</x:v>
      </x:c>
    </x:row>
    <x:row r="1630">
      <x:c r="A1630" s="1" t="str">
        <x:v>209915109</x:v>
      </x:c>
      <x:c r="B1630" s="1" t="str">
        <x:v>longsvobod/хаки</x:v>
      </x:c>
      <x:c r="C1630" s="1" t="str">
        <x:v>Лонгсливы</x:v>
      </x:c>
      <x:c r="D1630" s="9" t="n">
        <x:v>5.2</x:v>
      </x:c>
      <x:c r="E1630" s="8" t="n">
        <x:v>3509</x:v>
      </x:c>
      <x:c r="F1630" s="8" t="n">
        <x:v>9</x:v>
      </x:c>
      <x:c r="G1630" s="8" t="n">
        <x:v>976</x:v>
      </x:c>
      <x:c r="H1630" s="8" t="n">
        <x:v>15</x:v>
      </x:c>
      <x:c r="I1630" s="8" t="n">
        <x:v>0</x:v>
      </x:c>
      <x:c r="J1630" s="8" t="n">
        <x:v>9</x:v>
      </x:c>
      <x:c r="K1630" s="8" t="n">
        <x:v>1060</x:v>
      </x:c>
      <x:c r="L1630" s="1" t="str">
        <x:v>Нет</x:v>
      </x:c>
      <x:c r="M1630" s="1" t="n">
        <x:v>3600</x:v>
      </x:c>
    </x:row>
    <x:row r="1631">
      <x:c r="A1631" s="1" t="str">
        <x:v>209915708</x:v>
      </x:c>
      <x:c r="B1631" s="1" t="str">
        <x:v>shorty/пыльнаяроза</x:v>
      </x:c>
      <x:c r="C1631" s="1" t="str">
        <x:v>Шорты</x:v>
      </x:c>
      <x:c r="D1631" s="9" t="n">
        <x:v>6.9</x:v>
      </x:c>
      <x:c r="E1631" s="8" t="n">
        <x:v>1639</x:v>
      </x:c>
      <x:c r="F1631" s="8" t="n">
        <x:v>2</x:v>
      </x:c>
      <x:c r="G1631" s="8" t="n">
        <x:v>969</x:v>
      </x:c>
      <x:c r="H1631" s="8" t="n">
        <x:v>0</x:v>
      </x:c>
      <x:c r="I1631" s="8" t="n">
        <x:v>0</x:v>
      </x:c>
      <x:c r="J1631" s="8" t="n">
        <x:v>6</x:v>
      </x:c>
      <x:c r="K1631" s="8" t="n">
        <x:v>979</x:v>
      </x:c>
      <x:c r="L1631" s="1" t="str">
        <x:v>Нет</x:v>
      </x:c>
      <x:c r="M1631" s="1" t="n">
        <x:v>3330</x:v>
      </x:c>
    </x:row>
    <x:row r="1632">
      <x:c r="A1632" s="1" t="str">
        <x:v>313770776</x:v>
      </x:c>
      <x:c r="B1632" s="1" t="str">
        <x:v>futbolkagirl/персиковый</x:v>
      </x:c>
      <x:c r="C1632" s="1" t="str">
        <x:v>Футболки</x:v>
      </x:c>
      <x:c r="D1632" s="9" t="n">
        <x:v>10</x:v>
      </x:c>
      <x:c r="E1632" s="8" t="n">
        <x:v>2052</x:v>
      </x:c>
      <x:c r="F1632" s="8" t="n">
        <x:v>3</x:v>
      </x:c>
      <x:c r="G1632" s="8" t="n">
        <x:v>960</x:v>
      </x:c>
      <x:c r="H1632" s="8" t="n">
        <x:v>0</x:v>
      </x:c>
      <x:c r="I1632" s="8" t="n">
        <x:v>0</x:v>
      </x:c>
      <x:c r="J1632" s="8" t="n">
        <x:v>10</x:v>
      </x:c>
      <x:c r="K1632" s="8" t="n">
        <x:v>480</x:v>
      </x:c>
      <x:c r="L1632" s="1" t="str">
        <x:v>Нет</x:v>
      </x:c>
      <x:c r="M1632" s="1" t="n">
        <x:v>3560</x:v>
      </x:c>
    </x:row>
    <x:row r="1633">
      <x:c r="A1633" s="1" t="str">
        <x:v>344442466</x:v>
      </x:c>
      <x:c r="B1633" s="1" t="str">
        <x:v>tophumo/светло-розовый</x:v>
      </x:c>
      <x:c r="C1633" s="1" t="str">
        <x:v>Топы</x:v>
      </x:c>
      <x:c r="D1633" s="9" t="n">
        <x:v>9.4</x:v>
      </x:c>
      <x:c r="E1633" s="8" t="n">
        <x:v>2265</x:v>
      </x:c>
      <x:c r="F1633" s="8" t="n">
        <x:v>3</x:v>
      </x:c>
      <x:c r="G1633" s="8" t="n">
        <x:v>930</x:v>
      </x:c>
      <x:c r="H1633" s="8" t="n">
        <x:v>854</x:v>
      </x:c>
      <x:c r="I1633" s="8" t="n">
        <x:v>0</x:v>
      </x:c>
      <x:c r="J1633" s="8" t="n">
        <x:v>0</x:v>
      </x:c>
      <x:c r="K1633" s="8" t="n">
        <x:v>930</x:v>
      </x:c>
      <x:c r="L1633" s="1" t="str">
        <x:v>Нет</x:v>
      </x:c>
      <x:c r="M1633" s="1" t="n">
        <x:v>0</x:v>
      </x:c>
    </x:row>
    <x:row r="1634">
      <x:c r="A1634" s="1" t="str">
        <x:v>24802642</x:v>
      </x:c>
      <x:c r="B1634" s="1" t="str">
        <x:v>futbolka/белый</x:v>
      </x:c>
      <x:c r="C1634" s="1" t="str">
        <x:v>Футболки</x:v>
      </x:c>
      <x:c r="D1634" s="9" t="n">
        <x:v>7.2</x:v>
      </x:c>
      <x:c r="E1634" s="8" t="n">
        <x:v>458</x:v>
      </x:c>
      <x:c r="F1634" s="8" t="n">
        <x:v>1</x:v>
      </x:c>
      <x:c r="G1634" s="8" t="n">
        <x:v>905</x:v>
      </x:c>
      <x:c r="H1634" s="8" t="n">
        <x:v>9</x:v>
      </x:c>
      <x:c r="I1634" s="8" t="n">
        <x:v>0</x:v>
      </x:c>
      <x:c r="J1634" s="8" t="n">
        <x:v>16</x:v>
      </x:c>
      <x:c r="K1634" s="8" t="n">
        <x:v>905</x:v>
      </x:c>
      <x:c r="L1634" s="1" t="str">
        <x:v>Нет</x:v>
      </x:c>
      <x:c r="M1634" s="1" t="n">
        <x:v>7240</x:v>
      </x:c>
    </x:row>
    <x:row r="1635">
      <x:c r="A1635" s="1" t="str">
        <x:v>232435421</x:v>
      </x:c>
      <x:c r="B1635" s="1" t="str">
        <x:v>futbolkaover/милка</x:v>
      </x:c>
      <x:c r="C1635" s="1" t="str">
        <x:v>Футболки</x:v>
      </x:c>
      <x:c r="D1635" s="9" t="n">
        <x:v>9.7</x:v>
      </x:c>
      <x:c r="E1635" s="8" t="n">
        <x:v>2923</x:v>
      </x:c>
      <x:c r="F1635" s="8" t="n">
        <x:v>2</x:v>
      </x:c>
      <x:c r="G1635" s="8" t="n">
        <x:v>900</x:v>
      </x:c>
      <x:c r="H1635" s="8" t="n">
        <x:v>0</x:v>
      </x:c>
      <x:c r="I1635" s="8" t="n">
        <x:v>0</x:v>
      </x:c>
      <x:c r="J1635" s="8" t="n">
        <x:v>2</x:v>
      </x:c>
      <x:c r="K1635" s="8" t="n">
        <x:v>900</x:v>
      </x:c>
      <x:c r="L1635" s="1" t="str">
        <x:v>Нет</x:v>
      </x:c>
      <x:c r="M1635" s="1" t="n">
        <x:v>0</x:v>
      </x:c>
    </x:row>
    <x:row r="1636">
      <x:c r="A1636" s="1" t="str">
        <x:v>79692906</x:v>
      </x:c>
      <x:c r="B1636" s="1" t="str">
        <x:v>longsliv/светло-фиолетовый</x:v>
      </x:c>
      <x:c r="C1636" s="1" t="str">
        <x:v>Лонгсливы</x:v>
      </x:c>
      <x:c r="D1636" s="9" t="n">
        <x:v>9.7</x:v>
      </x:c>
      <x:c r="E1636" s="8" t="n">
        <x:v>1757</x:v>
      </x:c>
      <x:c r="F1636" s="8" t="n">
        <x:v>4</x:v>
      </x:c>
      <x:c r="G1636" s="8" t="n">
        <x:v>850</x:v>
      </x:c>
      <x:c r="H1636" s="8" t="n">
        <x:v>0</x:v>
      </x:c>
      <x:c r="I1636" s="8" t="n">
        <x:v>0</x:v>
      </x:c>
      <x:c r="J1636" s="8" t="n">
        <x:v>8</x:v>
      </x:c>
      <x:c r="K1636" s="8" t="n">
        <x:v>794</x:v>
      </x:c>
      <x:c r="L1636" s="1" t="str">
        <x:v>Нет</x:v>
      </x:c>
      <x:c r="M1636" s="1" t="n">
        <x:v>3450</x:v>
      </x:c>
    </x:row>
    <x:row r="1637">
      <x:c r="A1637" s="1" t="str">
        <x:v>238775095</x:v>
      </x:c>
      <x:c r="B1637" s="1" t="str">
        <x:v>futbolkaprint/Daisies-174/белый</x:v>
      </x:c>
      <x:c r="C1637" s="1" t="str">
        <x:v>Футболки</x:v>
      </x:c>
      <x:c r="D1637" s="9" t="n">
        <x:v>8.7</x:v>
      </x:c>
      <x:c r="E1637" s="8" t="n">
        <x:v>1421</x:v>
      </x:c>
      <x:c r="F1637" s="8" t="n">
        <x:v>1</x:v>
      </x:c>
      <x:c r="G1637" s="8" t="n">
        <x:v>829</x:v>
      </x:c>
      <x:c r="H1637" s="8" t="n">
        <x:v>0</x:v>
      </x:c>
      <x:c r="I1637" s="8" t="n">
        <x:v>0</x:v>
      </x:c>
      <x:c r="J1637" s="8" t="n">
        <x:v>0</x:v>
      </x:c>
      <x:c r="K1637" s="8" t="n">
        <x:v>829</x:v>
      </x:c>
      <x:c r="L1637" s="1" t="str">
        <x:v>Нет</x:v>
      </x:c>
      <x:c r="M1637" s="1" t="n">
        <x:v>0</x:v>
      </x:c>
    </x:row>
    <x:row r="1638">
      <x:c r="A1638" s="1" t="str">
        <x:v>361823571</x:v>
      </x:c>
      <x:c r="B1638" s="1" t="str">
        <x:v>futhlopman/темно-синий</x:v>
      </x:c>
      <x:c r="C1638" s="1" t="str">
        <x:v>Футболки</x:v>
      </x:c>
      <x:c r="D1638" s="9" t="n">
        <x:v>8.7</x:v>
      </x:c>
      <x:c r="E1638" s="8" t="n">
        <x:v>471</x:v>
      </x:c>
      <x:c r="F1638" s="8" t="n">
        <x:v>1</x:v>
      </x:c>
      <x:c r="G1638" s="8" t="n">
        <x:v>780</x:v>
      </x:c>
      <x:c r="H1638" s="8" t="n">
        <x:v>0</x:v>
      </x:c>
      <x:c r="I1638" s="8" t="n">
        <x:v>0</x:v>
      </x:c>
      <x:c r="J1638" s="8"/>
      <x:c r="K1638" s="8" t="n">
        <x:v>780</x:v>
      </x:c>
      <x:c r="L1638" s="1" t="str">
        <x:v>Нет</x:v>
      </x:c>
      <x:c r="M1638" s="1"/>
    </x:row>
    <x:row r="1639">
      <x:c r="A1639" s="1" t="str">
        <x:v>209916477</x:v>
      </x:c>
      <x:c r="B1639" s="1" t="str">
        <x:v>kroptopprint/Los-49/черный</x:v>
      </x:c>
      <x:c r="C1639" s="1" t="str">
        <x:v>Футболки</x:v>
      </x:c>
      <x:c r="D1639" s="9" t="n">
        <x:v>9.7</x:v>
      </x:c>
      <x:c r="E1639" s="8" t="n">
        <x:v>630</x:v>
      </x:c>
      <x:c r="F1639" s="8" t="n">
        <x:v>1</x:v>
      </x:c>
      <x:c r="G1639" s="8" t="n">
        <x:v>765</x:v>
      </x:c>
      <x:c r="H1639" s="8" t="n">
        <x:v>0</x:v>
      </x:c>
      <x:c r="I1639" s="8" t="n">
        <x:v>0</x:v>
      </x:c>
      <x:c r="J1639" s="8" t="n">
        <x:v>2</x:v>
      </x:c>
      <x:c r="K1639" s="8" t="n">
        <x:v>765</x:v>
      </x:c>
      <x:c r="L1639" s="1" t="str">
        <x:v>Нет</x:v>
      </x:c>
      <x:c r="M1639" s="1" t="n">
        <x:v>0</x:v>
      </x:c>
    </x:row>
    <x:row r="1640">
      <x:c r="A1640" s="1" t="str">
        <x:v>222269196</x:v>
      </x:c>
      <x:c r="B1640" s="1" t="str">
        <x:v>kroptopV2print/CLFSF-87/черный</x:v>
      </x:c>
      <x:c r="C1640" s="1" t="str">
        <x:v>Футболки</x:v>
      </x:c>
      <x:c r="D1640" s="9" t="n">
        <x:v>9.7</x:v>
      </x:c>
      <x:c r="E1640" s="8" t="n">
        <x:v>861</x:v>
      </x:c>
      <x:c r="F1640" s="8" t="n">
        <x:v>2</x:v>
      </x:c>
      <x:c r="G1640" s="8" t="n">
        <x:v>747</x:v>
      </x:c>
      <x:c r="H1640" s="8" t="n">
        <x:v>1</x:v>
      </x:c>
      <x:c r="I1640" s="8" t="n">
        <x:v>0</x:v>
      </x:c>
      <x:c r="J1640" s="8" t="n">
        <x:v>4</x:v>
      </x:c>
      <x:c r="K1640" s="8" t="n">
        <x:v>728</x:v>
      </x:c>
      <x:c r="L1640" s="1" t="str">
        <x:v>Нет</x:v>
      </x:c>
      <x:c r="M1640" s="1" t="n">
        <x:v>1524</x:v>
      </x:c>
    </x:row>
    <x:row r="1641">
      <x:c r="A1641" s="1" t="str">
        <x:v>220612044</x:v>
      </x:c>
      <x:c r="B1641" s="1" t="str">
        <x:v>kroptopV2/кофейный</x:v>
      </x:c>
      <x:c r="C1641" s="1" t="str">
        <x:v>Футболки</x:v>
      </x:c>
      <x:c r="D1641" s="9" t="n">
        <x:v>7.7</x:v>
      </x:c>
      <x:c r="E1641" s="8" t="n">
        <x:v>60</x:v>
      </x:c>
      <x:c r="F1641" s="8" t="n">
        <x:v>1</x:v>
      </x:c>
      <x:c r="G1641" s="8" t="n">
        <x:v>660</x:v>
      </x:c>
      <x:c r="H1641" s="8" t="n">
        <x:v>0</x:v>
      </x:c>
      <x:c r="I1641" s="8" t="n">
        <x:v>0</x:v>
      </x:c>
      <x:c r="J1641" s="8" t="n">
        <x:v>2</x:v>
      </x:c>
      <x:c r="K1641" s="8" t="n">
        <x:v>660</x:v>
      </x:c>
      <x:c r="L1641" s="1" t="str">
        <x:v>Нет</x:v>
      </x:c>
      <x:c r="M1641" s="1" t="n">
        <x:v>0</x:v>
      </x:c>
    </x:row>
    <x:row r="1642">
      <x:c r="A1642" s="1" t="str">
        <x:v>373989148</x:v>
      </x:c>
      <x:c r="B1642" s="1" t="str">
        <x:v>bazakulgirl/каштановый</x:v>
      </x:c>
      <x:c r="C1642" s="1" t="str">
        <x:v>Футболки</x:v>
      </x:c>
      <x:c r="D1642" s="9" t="n">
        <x:v>9.5</x:v>
      </x:c>
      <x:c r="E1642" s="8" t="n">
        <x:v>948</x:v>
      </x:c>
      <x:c r="F1642" s="8" t="n">
        <x:v>1</x:v>
      </x:c>
      <x:c r="G1642" s="8" t="n">
        <x:v>650</x:v>
      </x:c>
      <x:c r="H1642" s="8" t="n">
        <x:v>47</x:v>
      </x:c>
      <x:c r="I1642" s="8" t="n">
        <x:v>0</x:v>
      </x:c>
      <x:c r="J1642" s="8" t="n">
        <x:v>0</x:v>
      </x:c>
      <x:c r="K1642" s="8" t="n">
        <x:v>650</x:v>
      </x:c>
      <x:c r="L1642" s="1" t="str">
        <x:v>Нет</x:v>
      </x:c>
      <x:c r="M1642" s="1" t="n">
        <x:v>0</x:v>
      </x:c>
    </x:row>
    <x:row r="1643">
      <x:c r="A1643" s="1" t="str">
        <x:v>79670776</x:v>
      </x:c>
      <x:c r="B1643" s="1" t="str">
        <x:v>longslivdekoltekor/банановый</x:v>
      </x:c>
      <x:c r="C1643" s="1" t="str">
        <x:v>Лонгсливы</x:v>
      </x:c>
      <x:c r="D1643" s="9" t="n">
        <x:v>8.2</x:v>
      </x:c>
      <x:c r="E1643" s="8" t="n">
        <x:v>922</x:v>
      </x:c>
      <x:c r="F1643" s="8" t="n">
        <x:v>3</x:v>
      </x:c>
      <x:c r="G1643" s="8" t="n">
        <x:v>603</x:v>
      </x:c>
      <x:c r="H1643" s="8" t="n">
        <x:v>0</x:v>
      </x:c>
      <x:c r="I1643" s="8" t="n">
        <x:v>0</x:v>
      </x:c>
      <x:c r="J1643" s="8" t="n">
        <x:v>5</x:v>
      </x:c>
      <x:c r="K1643" s="8" t="n">
        <x:v>603</x:v>
      </x:c>
      <x:c r="L1643" s="1" t="str">
        <x:v>Нет</x:v>
      </x:c>
      <x:c r="M1643" s="1" t="n">
        <x:v>1230</x:v>
      </x:c>
    </x:row>
    <x:row r="1644">
      <x:c r="A1644" s="1" t="str">
        <x:v>117753600</x:v>
      </x:c>
      <x:c r="B1644" s="1" t="str">
        <x:v>longslivdecolte/деним</x:v>
      </x:c>
      <x:c r="C1644" s="1" t="str">
        <x:v>Лонгсливы</x:v>
      </x:c>
      <x:c r="D1644" s="9" t="n">
        <x:v>7.7</x:v>
      </x:c>
      <x:c r="E1644" s="8" t="n">
        <x:v>954</x:v>
      </x:c>
      <x:c r="F1644" s="8" t="n">
        <x:v>3</x:v>
      </x:c>
      <x:c r="G1644" s="8" t="n">
        <x:v>588</x:v>
      </x:c>
      <x:c r="H1644" s="8" t="n">
        <x:v>0</x:v>
      </x:c>
      <x:c r="I1644" s="8" t="n">
        <x:v>0</x:v>
      </x:c>
      <x:c r="J1644" s="8" t="n">
        <x:v>10</x:v>
      </x:c>
      <x:c r="K1644" s="8" t="n">
        <x:v>669</x:v>
      </x:c>
      <x:c r="L1644" s="1" t="str">
        <x:v>Нет</x:v>
      </x:c>
      <x:c r="M1644" s="1" t="n">
        <x:v>1176</x:v>
      </x:c>
    </x:row>
    <x:row r="1645">
      <x:c r="A1645" s="1" t="str">
        <x:v>317227920</x:v>
      </x:c>
      <x:c r="B1645" s="1" t="str">
        <x:v>bazakulgirl/мандариновый</x:v>
      </x:c>
      <x:c r="C1645" s="1" t="str">
        <x:v>Футболки</x:v>
      </x:c>
      <x:c r="D1645" s="9" t="n">
        <x:v>9.5</x:v>
      </x:c>
      <x:c r="E1645" s="8" t="n">
        <x:v>1316</x:v>
      </x:c>
      <x:c r="F1645" s="8" t="n">
        <x:v>1</x:v>
      </x:c>
      <x:c r="G1645" s="8" t="n">
        <x:v>555</x:v>
      </x:c>
      <x:c r="H1645" s="8" t="n">
        <x:v>211</x:v>
      </x:c>
      <x:c r="I1645" s="8" t="n">
        <x:v>0</x:v>
      </x:c>
      <x:c r="J1645" s="8" t="n">
        <x:v>2</x:v>
      </x:c>
      <x:c r="K1645" s="8" t="n">
        <x:v>555</x:v>
      </x:c>
      <x:c r="L1645" s="1" t="str">
        <x:v>Нет</x:v>
      </x:c>
      <x:c r="M1645" s="1" t="n">
        <x:v>570</x:v>
      </x:c>
    </x:row>
    <x:row r="1646">
      <x:c r="A1646" s="1" t="str">
        <x:v>31324093</x:v>
      </x:c>
      <x:c r="B1646" s="1" t="str">
        <x:v>futbolka_mary/бежевый</x:v>
      </x:c>
      <x:c r="C1646" s="1" t="str">
        <x:v>Футболки</x:v>
      </x:c>
      <x:c r="D1646" s="9" t="n">
        <x:v>5.2</x:v>
      </x:c>
      <x:c r="E1646" s="8" t="n">
        <x:v>3084</x:v>
      </x:c>
      <x:c r="F1646" s="8" t="n">
        <x:v>3</x:v>
      </x:c>
      <x:c r="G1646" s="8" t="n">
        <x:v>540</x:v>
      </x:c>
      <x:c r="H1646" s="8" t="n">
        <x:v>0</x:v>
      </x:c>
      <x:c r="I1646" s="8" t="n">
        <x:v>0</x:v>
      </x:c>
      <x:c r="J1646" s="8" t="n">
        <x:v>2</x:v>
      </x:c>
      <x:c r="K1646" s="8" t="n">
        <x:v>540</x:v>
      </x:c>
      <x:c r="L1646" s="1" t="str">
        <x:v>Нет</x:v>
      </x:c>
      <x:c r="M1646" s="1" t="n">
        <x:v>540</x:v>
      </x:c>
    </x:row>
    <x:row r="1647">
      <x:c r="A1647" s="1" t="str">
        <x:v>103404669</x:v>
      </x:c>
      <x:c r="B1647" s="1" t="str">
        <x:v>futer250/темно-синий</x:v>
      </x:c>
      <x:c r="C1647" s="1" t="str">
        <x:v>Ткани для рукоделия</x:v>
      </x:c>
      <x:c r="D1647" s="9" t="n">
        <x:v>9.4</x:v>
      </x:c>
      <x:c r="E1647" s="8" t="n">
        <x:v>1</x:v>
      </x:c>
      <x:c r="F1647" s="8" t="n">
        <x:v>0</x:v>
      </x:c>
      <x:c r="G1647" s="8" t="n">
        <x:v>0</x:v>
      </x:c>
      <x:c r="H1647" s="8" t="n">
        <x:v>0</x:v>
      </x:c>
      <x:c r="I1647" s="8" t="n">
        <x:v>0</x:v>
      </x:c>
      <x:c r="J1647" s="8"/>
      <x:c r="K1647" s="8" t="n">
        <x:v>0</x:v>
      </x:c>
      <x:c r="L1647" s="1" t="str">
        <x:v>Нет</x:v>
      </x:c>
      <x:c r="M1647" s="1"/>
    </x:row>
    <x:row r="1648">
      <x:c r="A1648" s="1" t="str">
        <x:v>106783369</x:v>
      </x:c>
      <x:c r="B1648" s="1" t="str">
        <x:v>ziphudi1/черный</x:v>
      </x:c>
      <x:c r="C1648" s="1" t="str">
        <x:v>Худи</x:v>
      </x:c>
      <x:c r="D1648" s="9" t="n">
        <x:v>9.2</x:v>
      </x:c>
      <x:c r="E1648" s="8" t="n">
        <x:v>32</x:v>
      </x:c>
      <x:c r="F1648" s="8" t="n">
        <x:v>0</x:v>
      </x:c>
      <x:c r="G1648" s="8" t="n">
        <x:v>0</x:v>
      </x:c>
      <x:c r="H1648" s="8" t="n">
        <x:v>0</x:v>
      </x:c>
      <x:c r="I1648" s="8" t="n">
        <x:v>0</x:v>
      </x:c>
      <x:c r="J1648" s="8" t="n">
        <x:v>0</x:v>
      </x:c>
      <x:c r="K1648" s="8" t="n">
        <x:v>0</x:v>
      </x:c>
      <x:c r="L1648" s="1" t="str">
        <x:v>Нет</x:v>
      </x:c>
      <x:c r="M1648" s="1" t="n">
        <x:v>0</x:v>
      </x:c>
    </x:row>
    <x:row r="1649">
      <x:c r="A1649" s="1" t="str">
        <x:v>110531944</x:v>
      </x:c>
      <x:c r="B1649" s="1" t="str">
        <x:v>futbolka/зелено-серый</x:v>
      </x:c>
      <x:c r="C1649" s="1" t="str">
        <x:v>Футболки</x:v>
      </x:c>
      <x:c r="D1649" s="9" t="n">
        <x:v>7.2</x:v>
      </x:c>
      <x:c r="E1649" s="8" t="n">
        <x:v>61</x:v>
      </x:c>
      <x:c r="F1649" s="8" t="n">
        <x:v>0</x:v>
      </x:c>
      <x:c r="G1649" s="8" t="n">
        <x:v>0</x:v>
      </x:c>
      <x:c r="H1649" s="8" t="n">
        <x:v>0</x:v>
      </x:c>
      <x:c r="I1649" s="8" t="n">
        <x:v>0</x:v>
      </x:c>
      <x:c r="J1649" s="8" t="n">
        <x:v>0</x:v>
      </x:c>
      <x:c r="K1649" s="8" t="n">
        <x:v>0</x:v>
      </x:c>
      <x:c r="L1649" s="1" t="str">
        <x:v>Нет</x:v>
      </x:c>
      <x:c r="M1649" s="1" t="n">
        <x:v>0</x:v>
      </x:c>
    </x:row>
    <x:row r="1650">
      <x:c r="A1650" s="1" t="str">
        <x:v>110532385</x:v>
      </x:c>
      <x:c r="B1650" s="1" t="str">
        <x:v>futbolka/деним</x:v>
      </x:c>
      <x:c r="C1650" s="1" t="str">
        <x:v>Футболки</x:v>
      </x:c>
      <x:c r="D1650" s="9" t="n">
        <x:v>3.2</x:v>
      </x:c>
      <x:c r="E1650" s="8" t="n">
        <x:v>7</x:v>
      </x:c>
      <x:c r="F1650" s="8" t="n">
        <x:v>0</x:v>
      </x:c>
      <x:c r="G1650" s="8" t="n">
        <x:v>0</x:v>
      </x:c>
      <x:c r="H1650" s="8" t="n">
        <x:v>0</x:v>
      </x:c>
      <x:c r="I1650" s="8" t="n">
        <x:v>0</x:v>
      </x:c>
      <x:c r="J1650" s="8" t="n">
        <x:v>0</x:v>
      </x:c>
      <x:c r="K1650" s="8" t="n">
        <x:v>0</x:v>
      </x:c>
      <x:c r="L1650" s="1" t="str">
        <x:v>Нет</x:v>
      </x:c>
      <x:c r="M1650" s="1" t="n">
        <x:v>0</x:v>
      </x:c>
    </x:row>
    <x:row r="1651">
      <x:c r="A1651" s="1" t="str">
        <x:v>110533607</x:v>
      </x:c>
      <x:c r="B1651" s="1" t="str">
        <x:v>futbolka_mary/зеленый</x:v>
      </x:c>
      <x:c r="C1651" s="1" t="str">
        <x:v>Футболки</x:v>
      </x:c>
      <x:c r="D1651" s="9" t="n">
        <x:v>5.2</x:v>
      </x:c>
      <x:c r="E1651" s="8" t="n">
        <x:v>6</x:v>
      </x:c>
      <x:c r="F1651" s="8" t="n">
        <x:v>0</x:v>
      </x:c>
      <x:c r="G1651" s="8" t="n">
        <x:v>0</x:v>
      </x:c>
      <x:c r="H1651" s="8" t="n">
        <x:v>0</x:v>
      </x:c>
      <x:c r="I1651" s="8" t="n">
        <x:v>0</x:v>
      </x:c>
      <x:c r="J1651" s="8" t="n">
        <x:v>0</x:v>
      </x:c>
      <x:c r="K1651" s="8" t="n">
        <x:v>0</x:v>
      </x:c>
      <x:c r="L1651" s="1" t="str">
        <x:v>Нет</x:v>
      </x:c>
      <x:c r="M1651" s="1" t="n">
        <x:v>0</x:v>
      </x:c>
    </x:row>
    <x:row r="1652">
      <x:c r="A1652" s="1" t="str">
        <x:v>110533826</x:v>
      </x:c>
      <x:c r="B1652" s="1" t="str">
        <x:v>futbolka_mary/деним</x:v>
      </x:c>
      <x:c r="C1652" s="1" t="str">
        <x:v>Футболки</x:v>
      </x:c>
      <x:c r="D1652" s="9" t="n">
        <x:v>5.2</x:v>
      </x:c>
      <x:c r="E1652" s="8" t="n">
        <x:v>3</x:v>
      </x:c>
      <x:c r="F1652" s="8" t="n">
        <x:v>0</x:v>
      </x:c>
      <x:c r="G1652" s="8" t="n">
        <x:v>0</x:v>
      </x:c>
      <x:c r="H1652" s="8" t="n">
        <x:v>0</x:v>
      </x:c>
      <x:c r="I1652" s="8" t="n">
        <x:v>0</x:v>
      </x:c>
      <x:c r="J1652" s="8" t="n">
        <x:v>0</x:v>
      </x:c>
      <x:c r="K1652" s="8" t="n">
        <x:v>0</x:v>
      </x:c>
      <x:c r="L1652" s="1" t="str">
        <x:v>Нет</x:v>
      </x:c>
      <x:c r="M1652" s="1" t="n">
        <x:v>0</x:v>
      </x:c>
    </x:row>
    <x:row r="1653">
      <x:c r="A1653" s="1" t="str">
        <x:v>110534176</x:v>
      </x:c>
      <x:c r="B1653" s="1" t="str">
        <x:v>futbolka_mary/сине-морской</x:v>
      </x:c>
      <x:c r="C1653" s="1" t="str">
        <x:v>Футболки</x:v>
      </x:c>
      <x:c r="D1653" s="9" t="n">
        <x:v>5.2</x:v>
      </x:c>
      <x:c r="E1653" s="8" t="n">
        <x:v>7</x:v>
      </x:c>
      <x:c r="F1653" s="8" t="n">
        <x:v>0</x:v>
      </x:c>
      <x:c r="G1653" s="8" t="n">
        <x:v>0</x:v>
      </x:c>
      <x:c r="H1653" s="8" t="n">
        <x:v>0</x:v>
      </x:c>
      <x:c r="I1653" s="8" t="n">
        <x:v>0</x:v>
      </x:c>
      <x:c r="J1653" s="8" t="n">
        <x:v>0</x:v>
      </x:c>
      <x:c r="K1653" s="8" t="n">
        <x:v>0</x:v>
      </x:c>
      <x:c r="L1653" s="1" t="str">
        <x:v>Нет</x:v>
      </x:c>
      <x:c r="M1653" s="1" t="n">
        <x:v>0</x:v>
      </x:c>
    </x:row>
    <x:row r="1654">
      <x:c r="A1654" s="1" t="str">
        <x:v>114589456</x:v>
      </x:c>
      <x:c r="B1654" s="1" t="str">
        <x:v>longslivdlinna/сине-морской</x:v>
      </x:c>
      <x:c r="C1654" s="1" t="str">
        <x:v>Лонгсливы</x:v>
      </x:c>
      <x:c r="D1654" s="9" t="n">
        <x:v>5.2</x:v>
      </x:c>
      <x:c r="E1654" s="8" t="n">
        <x:v>1374</x:v>
      </x:c>
      <x:c r="F1654" s="8" t="n">
        <x:v>0</x:v>
      </x:c>
      <x:c r="G1654" s="8" t="n">
        <x:v>0</x:v>
      </x:c>
      <x:c r="H1654" s="8" t="n">
        <x:v>4</x:v>
      </x:c>
      <x:c r="I1654" s="8" t="n">
        <x:v>0</x:v>
      </x:c>
      <x:c r="J1654" s="8" t="n">
        <x:v>0</x:v>
      </x:c>
      <x:c r="K1654" s="8" t="n">
        <x:v>0</x:v>
      </x:c>
      <x:c r="L1654" s="1" t="str">
        <x:v>Нет</x:v>
      </x:c>
      <x:c r="M1654" s="1" t="n">
        <x:v>0</x:v>
      </x:c>
    </x:row>
    <x:row r="1655">
      <x:c r="A1655" s="1" t="str">
        <x:v>114590566</x:v>
      </x:c>
      <x:c r="B1655" s="1" t="str">
        <x:v>longslivdlinna/пыльнаяроза</x:v>
      </x:c>
      <x:c r="C1655" s="1" t="str">
        <x:v>Лонгсливы</x:v>
      </x:c>
      <x:c r="D1655" s="9" t="n">
        <x:v>7.2</x:v>
      </x:c>
      <x:c r="E1655" s="8" t="n">
        <x:v>45</x:v>
      </x:c>
      <x:c r="F1655" s="8" t="n">
        <x:v>0</x:v>
      </x:c>
      <x:c r="G1655" s="8" t="n">
        <x:v>0</x:v>
      </x:c>
      <x:c r="H1655" s="8" t="n">
        <x:v>0</x:v>
      </x:c>
      <x:c r="I1655" s="8" t="n">
        <x:v>0</x:v>
      </x:c>
      <x:c r="J1655" s="8" t="n">
        <x:v>0</x:v>
      </x:c>
      <x:c r="K1655" s="8" t="n">
        <x:v>0</x:v>
      </x:c>
      <x:c r="L1655" s="1" t="str">
        <x:v>Нет</x:v>
      </x:c>
      <x:c r="M1655" s="1" t="n">
        <x:v>0</x:v>
      </x:c>
    </x:row>
    <x:row r="1656">
      <x:c r="A1656" s="1" t="str">
        <x:v>114592161</x:v>
      </x:c>
      <x:c r="B1656" s="1" t="str">
        <x:v>longslivdlinna/салатовый</x:v>
      </x:c>
      <x:c r="C1656" s="1" t="str">
        <x:v>Лонгсливы</x:v>
      </x:c>
      <x:c r="D1656" s="9" t="n">
        <x:v>5.2</x:v>
      </x:c>
      <x:c r="E1656" s="8" t="n">
        <x:v>29</x:v>
      </x:c>
      <x:c r="F1656" s="8" t="n">
        <x:v>0</x:v>
      </x:c>
      <x:c r="G1656" s="8" t="n">
        <x:v>0</x:v>
      </x:c>
      <x:c r="H1656" s="8" t="n">
        <x:v>0</x:v>
      </x:c>
      <x:c r="I1656" s="8" t="n">
        <x:v>0</x:v>
      </x:c>
      <x:c r="J1656" s="8" t="n">
        <x:v>0</x:v>
      </x:c>
      <x:c r="K1656" s="8" t="n">
        <x:v>0</x:v>
      </x:c>
      <x:c r="L1656" s="1" t="str">
        <x:v>Нет</x:v>
      </x:c>
      <x:c r="M1656" s="1" t="n">
        <x:v>0</x:v>
      </x:c>
    </x:row>
    <x:row r="1657">
      <x:c r="A1657" s="1" t="str">
        <x:v>114594237</x:v>
      </x:c>
      <x:c r="B1657" s="1" t="str">
        <x:v>longslivdlinna/зеленый</x:v>
      </x:c>
      <x:c r="C1657" s="1" t="str">
        <x:v>Лонгсливы</x:v>
      </x:c>
      <x:c r="D1657" s="9" t="n">
        <x:v>7.2</x:v>
      </x:c>
      <x:c r="E1657" s="8" t="n">
        <x:v>1469</x:v>
      </x:c>
      <x:c r="F1657" s="8" t="n">
        <x:v>0</x:v>
      </x:c>
      <x:c r="G1657" s="8" t="n">
        <x:v>0</x:v>
      </x:c>
      <x:c r="H1657" s="8" t="n">
        <x:v>40</x:v>
      </x:c>
      <x:c r="I1657" s="8" t="n">
        <x:v>0</x:v>
      </x:c>
      <x:c r="J1657" s="8" t="n">
        <x:v>3</x:v>
      </x:c>
      <x:c r="K1657" s="8" t="n">
        <x:v>0</x:v>
      </x:c>
      <x:c r="L1657" s="1" t="str">
        <x:v>Нет</x:v>
      </x:c>
      <x:c r="M1657" s="1" t="n">
        <x:v>1210</x:v>
      </x:c>
    </x:row>
    <x:row r="1658">
      <x:c r="A1658" s="1" t="str">
        <x:v>116402592</x:v>
      </x:c>
      <x:c r="B1658" s="1" t="str">
        <x:v>longslivdlinna/зелено-серый</x:v>
      </x:c>
      <x:c r="C1658" s="1" t="str">
        <x:v>Лонгсливы</x:v>
      </x:c>
      <x:c r="D1658" s="9" t="n">
        <x:v>7.2</x:v>
      </x:c>
      <x:c r="E1658" s="8" t="n">
        <x:v>23</x:v>
      </x:c>
      <x:c r="F1658" s="8" t="n">
        <x:v>0</x:v>
      </x:c>
      <x:c r="G1658" s="8" t="n">
        <x:v>0</x:v>
      </x:c>
      <x:c r="H1658" s="8" t="n">
        <x:v>0</x:v>
      </x:c>
      <x:c r="I1658" s="8" t="n">
        <x:v>0</x:v>
      </x:c>
      <x:c r="J1658" s="8" t="n">
        <x:v>0</x:v>
      </x:c>
      <x:c r="K1658" s="8" t="n">
        <x:v>0</x:v>
      </x:c>
      <x:c r="L1658" s="1" t="str">
        <x:v>Нет</x:v>
      </x:c>
      <x:c r="M1658" s="1" t="n">
        <x:v>0</x:v>
      </x:c>
    </x:row>
    <x:row r="1659">
      <x:c r="A1659" s="1" t="str">
        <x:v>116404691</x:v>
      </x:c>
      <x:c r="B1659" s="1" t="str">
        <x:v>longslivdlinna/кофейный</x:v>
      </x:c>
      <x:c r="C1659" s="1" t="str">
        <x:v>Лонгсливы</x:v>
      </x:c>
      <x:c r="D1659" s="9" t="n">
        <x:v>7.2</x:v>
      </x:c>
      <x:c r="E1659" s="8" t="n">
        <x:v>90</x:v>
      </x:c>
      <x:c r="F1659" s="8" t="n">
        <x:v>0</x:v>
      </x:c>
      <x:c r="G1659" s="8" t="n">
        <x:v>0</x:v>
      </x:c>
      <x:c r="H1659" s="8" t="n">
        <x:v>0</x:v>
      </x:c>
      <x:c r="I1659" s="8" t="n">
        <x:v>0</x:v>
      </x:c>
      <x:c r="J1659" s="8" t="n">
        <x:v>0</x:v>
      </x:c>
      <x:c r="K1659" s="8" t="n">
        <x:v>0</x:v>
      </x:c>
      <x:c r="L1659" s="1" t="str">
        <x:v>Нет</x:v>
      </x:c>
      <x:c r="M1659" s="1" t="n">
        <x:v>0</x:v>
      </x:c>
    </x:row>
    <x:row r="1660">
      <x:c r="A1660" s="1" t="str">
        <x:v>116725957</x:v>
      </x:c>
      <x:c r="B1660" s="1" t="str">
        <x:v>longsliv/зеленый</x:v>
      </x:c>
      <x:c r="C1660" s="1" t="str">
        <x:v>Лонгсливы</x:v>
      </x:c>
      <x:c r="D1660" s="9" t="n">
        <x:v>7.7</x:v>
      </x:c>
      <x:c r="E1660" s="8" t="n">
        <x:v>293</x:v>
      </x:c>
      <x:c r="F1660" s="8" t="n">
        <x:v>0</x:v>
      </x:c>
      <x:c r="G1660" s="8" t="n">
        <x:v>0</x:v>
      </x:c>
      <x:c r="H1660" s="8" t="n">
        <x:v>0</x:v>
      </x:c>
      <x:c r="I1660" s="8" t="n">
        <x:v>0</x:v>
      </x:c>
      <x:c r="J1660" s="8" t="n">
        <x:v>0</x:v>
      </x:c>
      <x:c r="K1660" s="8" t="n">
        <x:v>0</x:v>
      </x:c>
      <x:c r="L1660" s="1" t="str">
        <x:v>Нет</x:v>
      </x:c>
      <x:c r="M1660" s="1" t="n">
        <x:v>0</x:v>
      </x:c>
    </x:row>
    <x:row r="1661">
      <x:c r="A1661" s="1" t="str">
        <x:v>116725961</x:v>
      </x:c>
      <x:c r="B1661" s="1" t="str">
        <x:v>longsliv/салатовый</x:v>
      </x:c>
      <x:c r="C1661" s="1" t="str">
        <x:v>Лонгсливы</x:v>
      </x:c>
      <x:c r="D1661" s="9" t="n">
        <x:v>9.7</x:v>
      </x:c>
      <x:c r="E1661" s="8" t="n">
        <x:v>379</x:v>
      </x:c>
      <x:c r="F1661" s="8" t="n">
        <x:v>0</x:v>
      </x:c>
      <x:c r="G1661" s="8" t="n">
        <x:v>0</x:v>
      </x:c>
      <x:c r="H1661" s="8" t="n">
        <x:v>0</x:v>
      </x:c>
      <x:c r="I1661" s="8" t="n">
        <x:v>0</x:v>
      </x:c>
      <x:c r="J1661" s="8" t="n">
        <x:v>0</x:v>
      </x:c>
      <x:c r="K1661" s="8" t="n">
        <x:v>0</x:v>
      </x:c>
      <x:c r="L1661" s="1" t="str">
        <x:v>Нет</x:v>
      </x:c>
      <x:c r="M1661" s="1" t="n">
        <x:v>0</x:v>
      </x:c>
    </x:row>
    <x:row r="1662">
      <x:c r="A1662" s="1" t="str">
        <x:v>117752484</x:v>
      </x:c>
      <x:c r="B1662" s="1" t="str">
        <x:v>longslivdecolte/пыльнаяроза</x:v>
      </x:c>
      <x:c r="C1662" s="1" t="str">
        <x:v>Лонгсливы</x:v>
      </x:c>
      <x:c r="D1662" s="9" t="n">
        <x:v>5.7</x:v>
      </x:c>
      <x:c r="E1662" s="8" t="n">
        <x:v>8</x:v>
      </x:c>
      <x:c r="F1662" s="8" t="n">
        <x:v>0</x:v>
      </x:c>
      <x:c r="G1662" s="8" t="n">
        <x:v>0</x:v>
      </x:c>
      <x:c r="H1662" s="8" t="n">
        <x:v>0</x:v>
      </x:c>
      <x:c r="I1662" s="8" t="n">
        <x:v>0</x:v>
      </x:c>
      <x:c r="J1662" s="8" t="n">
        <x:v>0</x:v>
      </x:c>
      <x:c r="K1662" s="8" t="n">
        <x:v>0</x:v>
      </x:c>
      <x:c r="L1662" s="1" t="str">
        <x:v>Нет</x:v>
      </x:c>
      <x:c r="M1662" s="1" t="n">
        <x:v>0</x:v>
      </x:c>
    </x:row>
    <x:row r="1663">
      <x:c r="A1663" s="1" t="str">
        <x:v>117752606</x:v>
      </x:c>
      <x:c r="B1663" s="1" t="str">
        <x:v>longslivdecolte/банановый</x:v>
      </x:c>
      <x:c r="C1663" s="1" t="str">
        <x:v>Лонгсливы</x:v>
      </x:c>
      <x:c r="D1663" s="9" t="n">
        <x:v>5.7</x:v>
      </x:c>
      <x:c r="E1663" s="8" t="n">
        <x:v>3</x:v>
      </x:c>
      <x:c r="F1663" s="8" t="n">
        <x:v>0</x:v>
      </x:c>
      <x:c r="G1663" s="8" t="n">
        <x:v>0</x:v>
      </x:c>
      <x:c r="H1663" s="8" t="n">
        <x:v>0</x:v>
      </x:c>
      <x:c r="I1663" s="8" t="n">
        <x:v>0</x:v>
      </x:c>
      <x:c r="J1663" s="8" t="n">
        <x:v>0</x:v>
      </x:c>
      <x:c r="K1663" s="8" t="n">
        <x:v>0</x:v>
      </x:c>
      <x:c r="L1663" s="1" t="str">
        <x:v>Нет</x:v>
      </x:c>
      <x:c r="M1663" s="1" t="n">
        <x:v>0</x:v>
      </x:c>
    </x:row>
    <x:row r="1664">
      <x:c r="A1664" s="1" t="str">
        <x:v>117753235</x:v>
      </x:c>
      <x:c r="B1664" s="1" t="str">
        <x:v>longslivdecolte/хаки</x:v>
      </x:c>
      <x:c r="C1664" s="1" t="str">
        <x:v>Лонгсливы</x:v>
      </x:c>
      <x:c r="D1664" s="9" t="n">
        <x:v>7.7</x:v>
      </x:c>
      <x:c r="E1664" s="8" t="n">
        <x:v>4</x:v>
      </x:c>
      <x:c r="F1664" s="8" t="n">
        <x:v>0</x:v>
      </x:c>
      <x:c r="G1664" s="8" t="n">
        <x:v>0</x:v>
      </x:c>
      <x:c r="H1664" s="8" t="n">
        <x:v>0</x:v>
      </x:c>
      <x:c r="I1664" s="8" t="n">
        <x:v>0</x:v>
      </x:c>
      <x:c r="J1664" s="8" t="n">
        <x:v>0</x:v>
      </x:c>
      <x:c r="K1664" s="8" t="n">
        <x:v>0</x:v>
      </x:c>
      <x:c r="L1664" s="1" t="str">
        <x:v>Нет</x:v>
      </x:c>
      <x:c r="M1664" s="1" t="n">
        <x:v>0</x:v>
      </x:c>
    </x:row>
    <x:row r="1665">
      <x:c r="A1665" s="1" t="str">
        <x:v>117753385</x:v>
      </x:c>
      <x:c r="B1665" s="1" t="str">
        <x:v>longslivdecolte/шалфей</x:v>
      </x:c>
      <x:c r="C1665" s="1" t="str">
        <x:v>Лонгсливы</x:v>
      </x:c>
      <x:c r="D1665" s="9" t="n">
        <x:v>7.7</x:v>
      </x:c>
      <x:c r="E1665" s="8" t="n">
        <x:v>1</x:v>
      </x:c>
      <x:c r="F1665" s="8" t="n">
        <x:v>0</x:v>
      </x:c>
      <x:c r="G1665" s="8" t="n">
        <x:v>0</x:v>
      </x:c>
      <x:c r="H1665" s="8" t="n">
        <x:v>0</x:v>
      </x:c>
      <x:c r="I1665" s="8" t="n">
        <x:v>0</x:v>
      </x:c>
      <x:c r="J1665" s="8" t="n">
        <x:v>0</x:v>
      </x:c>
      <x:c r="K1665" s="8" t="n">
        <x:v>0</x:v>
      </x:c>
      <x:c r="L1665" s="1" t="str">
        <x:v>Нет</x:v>
      </x:c>
      <x:c r="M1665" s="1" t="n">
        <x:v>0</x:v>
      </x:c>
    </x:row>
    <x:row r="1666">
      <x:c r="A1666" s="1" t="str">
        <x:v>117755374</x:v>
      </x:c>
      <x:c r="B1666" s="1" t="str">
        <x:v>longslivdecolte/зеленый</x:v>
      </x:c>
      <x:c r="C1666" s="1" t="str">
        <x:v>Лонгсливы</x:v>
      </x:c>
      <x:c r="D1666" s="9" t="n">
        <x:v>7.7</x:v>
      </x:c>
      <x:c r="E1666" s="8" t="n">
        <x:v>4</x:v>
      </x:c>
      <x:c r="F1666" s="8" t="n">
        <x:v>0</x:v>
      </x:c>
      <x:c r="G1666" s="8" t="n">
        <x:v>0</x:v>
      </x:c>
      <x:c r="H1666" s="8" t="n">
        <x:v>0</x:v>
      </x:c>
      <x:c r="I1666" s="8" t="n">
        <x:v>0</x:v>
      </x:c>
      <x:c r="J1666" s="8" t="n">
        <x:v>0</x:v>
      </x:c>
      <x:c r="K1666" s="8" t="n">
        <x:v>0</x:v>
      </x:c>
      <x:c r="L1666" s="1" t="str">
        <x:v>Нет</x:v>
      </x:c>
      <x:c r="M1666" s="1" t="n">
        <x:v>0</x:v>
      </x:c>
    </x:row>
    <x:row r="1667">
      <x:c r="A1667" s="1" t="str">
        <x:v>117756362</x:v>
      </x:c>
      <x:c r="B1667" s="1" t="str">
        <x:v>longslivdecolte/сине-морской</x:v>
      </x:c>
      <x:c r="C1667" s="1" t="str">
        <x:v>Лонгсливы</x:v>
      </x:c>
      <x:c r="D1667" s="9" t="n">
        <x:v>7.7</x:v>
      </x:c>
      <x:c r="E1667" s="8" t="n">
        <x:v>8</x:v>
      </x:c>
      <x:c r="F1667" s="8" t="n">
        <x:v>0</x:v>
      </x:c>
      <x:c r="G1667" s="8" t="n">
        <x:v>0</x:v>
      </x:c>
      <x:c r="H1667" s="8" t="n">
        <x:v>0</x:v>
      </x:c>
      <x:c r="I1667" s="8" t="n">
        <x:v>0</x:v>
      </x:c>
      <x:c r="J1667" s="8" t="n">
        <x:v>0</x:v>
      </x:c>
      <x:c r="K1667" s="8" t="n">
        <x:v>0</x:v>
      </x:c>
      <x:c r="L1667" s="1" t="str">
        <x:v>Нет</x:v>
      </x:c>
      <x:c r="M1667" s="1" t="n">
        <x:v>0</x:v>
      </x:c>
    </x:row>
    <x:row r="1668">
      <x:c r="A1668" s="1" t="str">
        <x:v>117756997</x:v>
      </x:c>
      <x:c r="B1668" s="1" t="str">
        <x:v>longslivdecolte/зелено-серый</x:v>
      </x:c>
      <x:c r="C1668" s="1" t="str">
        <x:v>Лонгсливы</x:v>
      </x:c>
      <x:c r="D1668" s="9" t="n">
        <x:v>6.7</x:v>
      </x:c>
      <x:c r="E1668" s="8" t="n">
        <x:v>5</x:v>
      </x:c>
      <x:c r="F1668" s="8" t="n">
        <x:v>0</x:v>
      </x:c>
      <x:c r="G1668" s="8" t="n">
        <x:v>0</x:v>
      </x:c>
      <x:c r="H1668" s="8" t="n">
        <x:v>0</x:v>
      </x:c>
      <x:c r="I1668" s="8" t="n">
        <x:v>0</x:v>
      </x:c>
      <x:c r="J1668" s="8" t="n">
        <x:v>0</x:v>
      </x:c>
      <x:c r="K1668" s="8" t="n">
        <x:v>0</x:v>
      </x:c>
      <x:c r="L1668" s="1" t="str">
        <x:v>Нет</x:v>
      </x:c>
      <x:c r="M1668" s="1" t="n">
        <x:v>0</x:v>
      </x:c>
    </x:row>
    <x:row r="1669">
      <x:c r="A1669" s="1" t="str">
        <x:v>117758045</x:v>
      </x:c>
      <x:c r="B1669" s="1" t="str">
        <x:v>longslivdecolte/салатовый</x:v>
      </x:c>
      <x:c r="C1669" s="1" t="str">
        <x:v>Лонгсливы</x:v>
      </x:c>
      <x:c r="D1669" s="9" t="n">
        <x:v>5.7</x:v>
      </x:c>
      <x:c r="E1669" s="8" t="n">
        <x:v>3</x:v>
      </x:c>
      <x:c r="F1669" s="8" t="n">
        <x:v>0</x:v>
      </x:c>
      <x:c r="G1669" s="8" t="n">
        <x:v>0</x:v>
      </x:c>
      <x:c r="H1669" s="8" t="n">
        <x:v>0</x:v>
      </x:c>
      <x:c r="I1669" s="8" t="n">
        <x:v>0</x:v>
      </x:c>
      <x:c r="J1669" s="8" t="n">
        <x:v>0</x:v>
      </x:c>
      <x:c r="K1669" s="8" t="n">
        <x:v>0</x:v>
      </x:c>
      <x:c r="L1669" s="1" t="str">
        <x:v>Нет</x:v>
      </x:c>
      <x:c r="M1669" s="1" t="n">
        <x:v>0</x:v>
      </x:c>
    </x:row>
    <x:row r="1670">
      <x:c r="A1670" s="1" t="str">
        <x:v>117767696</x:v>
      </x:c>
      <x:c r="B1670" s="1" t="str">
        <x:v>longslivdecolte/дымка</x:v>
      </x:c>
      <x:c r="C1670" s="1" t="str">
        <x:v>Лонгсливы</x:v>
      </x:c>
      <x:c r="D1670" s="9" t="n">
        <x:v>7.7</x:v>
      </x:c>
      <x:c r="E1670" s="8" t="n">
        <x:v>3</x:v>
      </x:c>
      <x:c r="F1670" s="8" t="n">
        <x:v>0</x:v>
      </x:c>
      <x:c r="G1670" s="8" t="n">
        <x:v>0</x:v>
      </x:c>
      <x:c r="H1670" s="8" t="n">
        <x:v>0</x:v>
      </x:c>
      <x:c r="I1670" s="8" t="n">
        <x:v>0</x:v>
      </x:c>
      <x:c r="J1670" s="8" t="n">
        <x:v>0</x:v>
      </x:c>
      <x:c r="K1670" s="8" t="n">
        <x:v>0</x:v>
      </x:c>
      <x:c r="L1670" s="1" t="str">
        <x:v>Нет</x:v>
      </x:c>
      <x:c r="M1670" s="1" t="n">
        <x:v>0</x:v>
      </x:c>
    </x:row>
    <x:row r="1671">
      <x:c r="A1671" s="1" t="str">
        <x:v>117768506</x:v>
      </x:c>
      <x:c r="B1671" s="1" t="str">
        <x:v>longslivdecolte/коричневый</x:v>
      </x:c>
      <x:c r="C1671" s="1" t="str">
        <x:v>Лонгсливы</x:v>
      </x:c>
      <x:c r="D1671" s="9" t="n">
        <x:v>5.7</x:v>
      </x:c>
      <x:c r="E1671" s="8" t="n">
        <x:v>5</x:v>
      </x:c>
      <x:c r="F1671" s="8" t="n">
        <x:v>0</x:v>
      </x:c>
      <x:c r="G1671" s="8" t="n">
        <x:v>0</x:v>
      </x:c>
      <x:c r="H1671" s="8" t="n">
        <x:v>0</x:v>
      </x:c>
      <x:c r="I1671" s="8" t="n">
        <x:v>0</x:v>
      </x:c>
      <x:c r="J1671" s="8" t="n">
        <x:v>0</x:v>
      </x:c>
      <x:c r="K1671" s="8" t="n">
        <x:v>0</x:v>
      </x:c>
      <x:c r="L1671" s="1" t="str">
        <x:v>Нет</x:v>
      </x:c>
      <x:c r="M1671" s="1" t="n">
        <x:v>0</x:v>
      </x:c>
    </x:row>
    <x:row r="1672">
      <x:c r="A1672" s="1" t="str">
        <x:v>117769231</x:v>
      </x:c>
      <x:c r="B1672" s="1" t="str">
        <x:v>longslivdecolte/кофейный</x:v>
      </x:c>
      <x:c r="C1672" s="1" t="str">
        <x:v>Лонгсливы</x:v>
      </x:c>
      <x:c r="D1672" s="9" t="n">
        <x:v>7.7</x:v>
      </x:c>
      <x:c r="E1672" s="8" t="n">
        <x:v>31</x:v>
      </x:c>
      <x:c r="F1672" s="8" t="n">
        <x:v>0</x:v>
      </x:c>
      <x:c r="G1672" s="8" t="n">
        <x:v>0</x:v>
      </x:c>
      <x:c r="H1672" s="8" t="n">
        <x:v>0</x:v>
      </x:c>
      <x:c r="I1672" s="8" t="n">
        <x:v>0</x:v>
      </x:c>
      <x:c r="J1672" s="8" t="n">
        <x:v>0</x:v>
      </x:c>
      <x:c r="K1672" s="8" t="n">
        <x:v>0</x:v>
      </x:c>
      <x:c r="L1672" s="1" t="str">
        <x:v>Нет</x:v>
      </x:c>
      <x:c r="M1672" s="1" t="n">
        <x:v>0</x:v>
      </x:c>
    </x:row>
    <x:row r="1673">
      <x:c r="A1673" s="1" t="str">
        <x:v>117772863</x:v>
      </x:c>
      <x:c r="B1673" s="1" t="str">
        <x:v>longslivdlinna/деним</x:v>
      </x:c>
      <x:c r="C1673" s="1" t="str">
        <x:v>Лонгсливы</x:v>
      </x:c>
      <x:c r="D1673" s="9" t="n">
        <x:v>5.2</x:v>
      </x:c>
      <x:c r="E1673" s="8" t="n">
        <x:v>52</x:v>
      </x:c>
      <x:c r="F1673" s="8" t="n">
        <x:v>0</x:v>
      </x:c>
      <x:c r="G1673" s="8" t="n">
        <x:v>0</x:v>
      </x:c>
      <x:c r="H1673" s="8" t="n">
        <x:v>0</x:v>
      </x:c>
      <x:c r="I1673" s="8" t="n">
        <x:v>0</x:v>
      </x:c>
      <x:c r="J1673" s="8" t="n">
        <x:v>0</x:v>
      </x:c>
      <x:c r="K1673" s="8" t="n">
        <x:v>0</x:v>
      </x:c>
      <x:c r="L1673" s="1" t="str">
        <x:v>Нет</x:v>
      </x:c>
      <x:c r="M1673" s="1" t="n">
        <x:v>0</x:v>
      </x:c>
    </x:row>
    <x:row r="1674">
      <x:c r="A1674" s="1" t="str">
        <x:v>117951309</x:v>
      </x:c>
      <x:c r="B1674" s="1" t="str">
        <x:v>hudiman/мандариновый</x:v>
      </x:c>
      <x:c r="C1674" s="1" t="str">
        <x:v>Худи</x:v>
      </x:c>
      <x:c r="D1674" s="9" t="n">
        <x:v>9.7</x:v>
      </x:c>
      <x:c r="E1674" s="8" t="n">
        <x:v>575</x:v>
      </x:c>
      <x:c r="F1674" s="8" t="n">
        <x:v>0</x:v>
      </x:c>
      <x:c r="G1674" s="8" t="n">
        <x:v>0</x:v>
      </x:c>
      <x:c r="H1674" s="8" t="n">
        <x:v>0</x:v>
      </x:c>
      <x:c r="I1674" s="8" t="n">
        <x:v>0</x:v>
      </x:c>
      <x:c r="J1674" s="8" t="n">
        <x:v>0</x:v>
      </x:c>
      <x:c r="K1674" s="8" t="n">
        <x:v>0</x:v>
      </x:c>
      <x:c r="L1674" s="1" t="str">
        <x:v>Нет</x:v>
      </x:c>
      <x:c r="M1674" s="1" t="n">
        <x:v>0</x:v>
      </x:c>
    </x:row>
    <x:row r="1675">
      <x:c r="A1675" s="1" t="str">
        <x:v>117957639</x:v>
      </x:c>
      <x:c r="B1675" s="1" t="str">
        <x:v>hudiman/фиолетовый</x:v>
      </x:c>
      <x:c r="C1675" s="1" t="str">
        <x:v>Худи</x:v>
      </x:c>
      <x:c r="D1675" s="9" t="n">
        <x:v>9.7</x:v>
      </x:c>
      <x:c r="E1675" s="8" t="n">
        <x:v>617</x:v>
      </x:c>
      <x:c r="F1675" s="8" t="n">
        <x:v>0</x:v>
      </x:c>
      <x:c r="G1675" s="8" t="n">
        <x:v>0</x:v>
      </x:c>
      <x:c r="H1675" s="8" t="n">
        <x:v>0</x:v>
      </x:c>
      <x:c r="I1675" s="8" t="n">
        <x:v>0</x:v>
      </x:c>
      <x:c r="J1675" s="8" t="n">
        <x:v>0</x:v>
      </x:c>
      <x:c r="K1675" s="8" t="n">
        <x:v>0</x:v>
      </x:c>
      <x:c r="L1675" s="1" t="str">
        <x:v>Нет</x:v>
      </x:c>
      <x:c r="M1675" s="1" t="n">
        <x:v>0</x:v>
      </x:c>
    </x:row>
    <x:row r="1676">
      <x:c r="A1676" s="1" t="str">
        <x:v>118230053</x:v>
      </x:c>
      <x:c r="B1676" s="1" t="str">
        <x:v>futbolka_mary/пыльная-роза</x:v>
      </x:c>
      <x:c r="C1676" s="1" t="str">
        <x:v>Футболки</x:v>
      </x:c>
      <x:c r="D1676" s="9" t="n">
        <x:v>5.2</x:v>
      </x:c>
      <x:c r="E1676" s="8" t="n">
        <x:v>6</x:v>
      </x:c>
      <x:c r="F1676" s="8" t="n">
        <x:v>0</x:v>
      </x:c>
      <x:c r="G1676" s="8" t="n">
        <x:v>0</x:v>
      </x:c>
      <x:c r="H1676" s="8" t="n">
        <x:v>0</x:v>
      </x:c>
      <x:c r="I1676" s="8" t="n">
        <x:v>0</x:v>
      </x:c>
      <x:c r="J1676" s="8" t="n">
        <x:v>0</x:v>
      </x:c>
      <x:c r="K1676" s="8" t="n">
        <x:v>0</x:v>
      </x:c>
      <x:c r="L1676" s="1" t="str">
        <x:v>Нет</x:v>
      </x:c>
      <x:c r="M1676" s="1" t="n">
        <x:v>0</x:v>
      </x:c>
    </x:row>
    <x:row r="1677">
      <x:c r="A1677" s="1" t="str">
        <x:v>119482633</x:v>
      </x:c>
      <x:c r="B1677" s="1" t="str">
        <x:v>longslivszavyazkami/черный</x:v>
      </x:c>
      <x:c r="C1677" s="1" t="str">
        <x:v>Лонгсливы</x:v>
      </x:c>
      <x:c r="D1677" s="9" t="n">
        <x:v>6.2</x:v>
      </x:c>
      <x:c r="E1677" s="8" t="n">
        <x:v>1</x:v>
      </x:c>
      <x:c r="F1677" s="8" t="n">
        <x:v>0</x:v>
      </x:c>
      <x:c r="G1677" s="8" t="n">
        <x:v>0</x:v>
      </x:c>
      <x:c r="H1677" s="8" t="n">
        <x:v>0</x:v>
      </x:c>
      <x:c r="I1677" s="8" t="n">
        <x:v>0</x:v>
      </x:c>
      <x:c r="J1677" s="8" t="n">
        <x:v>0</x:v>
      </x:c>
      <x:c r="K1677" s="8" t="n">
        <x:v>0</x:v>
      </x:c>
      <x:c r="L1677" s="1" t="str">
        <x:v>Нет</x:v>
      </x:c>
      <x:c r="M1677" s="1" t="n">
        <x:v>0</x:v>
      </x:c>
    </x:row>
    <x:row r="1678">
      <x:c r="A1678" s="1" t="str">
        <x:v>119483198</x:v>
      </x:c>
      <x:c r="B1678" s="1" t="str">
        <x:v>longslivszavyazkami/голубой</x:v>
      </x:c>
      <x:c r="C1678" s="1" t="str">
        <x:v>Лонгсливы</x:v>
      </x:c>
      <x:c r="D1678" s="9" t="n">
        <x:v>8.2</x:v>
      </x:c>
      <x:c r="E1678" s="8" t="n">
        <x:v>4</x:v>
      </x:c>
      <x:c r="F1678" s="8" t="n">
        <x:v>0</x:v>
      </x:c>
      <x:c r="G1678" s="8" t="n">
        <x:v>0</x:v>
      </x:c>
      <x:c r="H1678" s="8" t="n">
        <x:v>0</x:v>
      </x:c>
      <x:c r="I1678" s="8" t="n">
        <x:v>0</x:v>
      </x:c>
      <x:c r="J1678" s="8" t="n">
        <x:v>0</x:v>
      </x:c>
      <x:c r="K1678" s="8" t="n">
        <x:v>0</x:v>
      </x:c>
      <x:c r="L1678" s="1" t="str">
        <x:v>Нет</x:v>
      </x:c>
      <x:c r="M1678" s="1" t="n">
        <x:v>0</x:v>
      </x:c>
    </x:row>
    <x:row r="1679">
      <x:c r="A1679" s="1" t="str">
        <x:v>119483653</x:v>
      </x:c>
      <x:c r="B1679" s="1" t="str">
        <x:v>longslivszavyazkami/какао</x:v>
      </x:c>
      <x:c r="C1679" s="1" t="str">
        <x:v>Лонгсливы</x:v>
      </x:c>
      <x:c r="D1679" s="9" t="n">
        <x:v>8.2</x:v>
      </x:c>
      <x:c r="E1679" s="8" t="n">
        <x:v>0</x:v>
      </x:c>
      <x:c r="F1679" s="8" t="n">
        <x:v>0</x:v>
      </x:c>
      <x:c r="G1679" s="8" t="n">
        <x:v>0</x:v>
      </x:c>
      <x:c r="H1679" s="8" t="n">
        <x:v>0</x:v>
      </x:c>
      <x:c r="I1679" s="8" t="n">
        <x:v>0</x:v>
      </x:c>
      <x:c r="J1679" s="8" t="n">
        <x:v>0</x:v>
      </x:c>
      <x:c r="K1679" s="8" t="n">
        <x:v>0</x:v>
      </x:c>
      <x:c r="L1679" s="1" t="str">
        <x:v>Нет</x:v>
      </x:c>
      <x:c r="M1679" s="1" t="n">
        <x:v>0</x:v>
      </x:c>
    </x:row>
    <x:row r="1680">
      <x:c r="A1680" s="1" t="str">
        <x:v>119483872</x:v>
      </x:c>
      <x:c r="B1680" s="1" t="str">
        <x:v>longslivszavyazkami/пудровый</x:v>
      </x:c>
      <x:c r="C1680" s="1" t="str">
        <x:v>Лонгсливы</x:v>
      </x:c>
      <x:c r="D1680" s="9" t="n">
        <x:v>8.2</x:v>
      </x:c>
      <x:c r="E1680" s="8" t="n">
        <x:v>1</x:v>
      </x:c>
      <x:c r="F1680" s="8" t="n">
        <x:v>0</x:v>
      </x:c>
      <x:c r="G1680" s="8" t="n">
        <x:v>0</x:v>
      </x:c>
      <x:c r="H1680" s="8" t="n">
        <x:v>0</x:v>
      </x:c>
      <x:c r="I1680" s="8" t="n">
        <x:v>0</x:v>
      </x:c>
      <x:c r="J1680" s="8" t="n">
        <x:v>0</x:v>
      </x:c>
      <x:c r="K1680" s="8" t="n">
        <x:v>0</x:v>
      </x:c>
      <x:c r="L1680" s="1" t="str">
        <x:v>Нет</x:v>
      </x:c>
      <x:c r="M1680" s="1" t="n">
        <x:v>0</x:v>
      </x:c>
    </x:row>
    <x:row r="1681">
      <x:c r="A1681" s="1" t="str">
        <x:v>119484075</x:v>
      </x:c>
      <x:c r="B1681" s="1" t="str">
        <x:v>longslivszavyazkami/красный</x:v>
      </x:c>
      <x:c r="C1681" s="1" t="str">
        <x:v>Лонгсливы</x:v>
      </x:c>
      <x:c r="D1681" s="9" t="n">
        <x:v>8.2</x:v>
      </x:c>
      <x:c r="E1681" s="8" t="n">
        <x:v>0</x:v>
      </x:c>
      <x:c r="F1681" s="8" t="n">
        <x:v>0</x:v>
      </x:c>
      <x:c r="G1681" s="8" t="n">
        <x:v>0</x:v>
      </x:c>
      <x:c r="H1681" s="8" t="n">
        <x:v>0</x:v>
      </x:c>
      <x:c r="I1681" s="8" t="n">
        <x:v>0</x:v>
      </x:c>
      <x:c r="J1681" s="8" t="n">
        <x:v>0</x:v>
      </x:c>
      <x:c r="K1681" s="8" t="n">
        <x:v>0</x:v>
      </x:c>
      <x:c r="L1681" s="1" t="str">
        <x:v>Нет</x:v>
      </x:c>
      <x:c r="M1681" s="1" t="n">
        <x:v>0</x:v>
      </x:c>
    </x:row>
    <x:row r="1682">
      <x:c r="A1682" s="1" t="str">
        <x:v>119484226</x:v>
      </x:c>
      <x:c r="B1682" s="1" t="str">
        <x:v>longslivszavyazkami/мандариновый</x:v>
      </x:c>
      <x:c r="C1682" s="1" t="str">
        <x:v>Лонгсливы</x:v>
      </x:c>
      <x:c r="D1682" s="9" t="n">
        <x:v>8.2</x:v>
      </x:c>
      <x:c r="E1682" s="8" t="n">
        <x:v>1</x:v>
      </x:c>
      <x:c r="F1682" s="8" t="n">
        <x:v>0</x:v>
      </x:c>
      <x:c r="G1682" s="8" t="n">
        <x:v>0</x:v>
      </x:c>
      <x:c r="H1682" s="8" t="n">
        <x:v>0</x:v>
      </x:c>
      <x:c r="I1682" s="8" t="n">
        <x:v>0</x:v>
      </x:c>
      <x:c r="J1682" s="8" t="n">
        <x:v>0</x:v>
      </x:c>
      <x:c r="K1682" s="8" t="n">
        <x:v>0</x:v>
      </x:c>
      <x:c r="L1682" s="1" t="str">
        <x:v>Нет</x:v>
      </x:c>
      <x:c r="M1682" s="1" t="n">
        <x:v>0</x:v>
      </x:c>
    </x:row>
    <x:row r="1683">
      <x:c r="A1683" s="1" t="str">
        <x:v>119484648</x:v>
      </x:c>
      <x:c r="B1683" s="1" t="str">
        <x:v>longslivszavyazkami/молочный</x:v>
      </x:c>
      <x:c r="C1683" s="1" t="str">
        <x:v>Лонгсливы</x:v>
      </x:c>
      <x:c r="D1683" s="9" t="n">
        <x:v>8.2</x:v>
      </x:c>
      <x:c r="E1683" s="8" t="n">
        <x:v>2</x:v>
      </x:c>
      <x:c r="F1683" s="8" t="n">
        <x:v>0</x:v>
      </x:c>
      <x:c r="G1683" s="8" t="n">
        <x:v>0</x:v>
      </x:c>
      <x:c r="H1683" s="8" t="n">
        <x:v>0</x:v>
      </x:c>
      <x:c r="I1683" s="8" t="n">
        <x:v>0</x:v>
      </x:c>
      <x:c r="J1683" s="8" t="n">
        <x:v>0</x:v>
      </x:c>
      <x:c r="K1683" s="8" t="n">
        <x:v>0</x:v>
      </x:c>
      <x:c r="L1683" s="1" t="str">
        <x:v>Нет</x:v>
      </x:c>
      <x:c r="M1683" s="1" t="n">
        <x:v>0</x:v>
      </x:c>
    </x:row>
    <x:row r="1684">
      <x:c r="A1684" s="1" t="str">
        <x:v>119484945</x:v>
      </x:c>
      <x:c r="B1684" s="1" t="str">
        <x:v>longslivszavyazkami/мятапыльная</x:v>
      </x:c>
      <x:c r="C1684" s="1" t="str">
        <x:v>Лонгсливы</x:v>
      </x:c>
      <x:c r="D1684" s="9" t="n">
        <x:v>8.2</x:v>
      </x:c>
      <x:c r="E1684" s="8" t="n">
        <x:v>5</x:v>
      </x:c>
      <x:c r="F1684" s="8" t="n">
        <x:v>0</x:v>
      </x:c>
      <x:c r="G1684" s="8" t="n">
        <x:v>0</x:v>
      </x:c>
      <x:c r="H1684" s="8" t="n">
        <x:v>0</x:v>
      </x:c>
      <x:c r="I1684" s="8" t="n">
        <x:v>0</x:v>
      </x:c>
      <x:c r="J1684" s="8" t="n">
        <x:v>0</x:v>
      </x:c>
      <x:c r="K1684" s="8" t="n">
        <x:v>0</x:v>
      </x:c>
      <x:c r="L1684" s="1" t="str">
        <x:v>Нет</x:v>
      </x:c>
      <x:c r="M1684" s="1" t="n">
        <x:v>0</x:v>
      </x:c>
    </x:row>
    <x:row r="1685">
      <x:c r="A1685" s="1" t="str">
        <x:v>119485090</x:v>
      </x:c>
      <x:c r="B1685" s="1" t="str">
        <x:v>longslivszavyazkami/фуксия</x:v>
      </x:c>
      <x:c r="C1685" s="1" t="str">
        <x:v>Лонгсливы</x:v>
      </x:c>
      <x:c r="D1685" s="9" t="n">
        <x:v>8.2</x:v>
      </x:c>
      <x:c r="E1685" s="8" t="n">
        <x:v>1</x:v>
      </x:c>
      <x:c r="F1685" s="8" t="n">
        <x:v>0</x:v>
      </x:c>
      <x:c r="G1685" s="8" t="n">
        <x:v>0</x:v>
      </x:c>
      <x:c r="H1685" s="8" t="n">
        <x:v>0</x:v>
      </x:c>
      <x:c r="I1685" s="8" t="n">
        <x:v>0</x:v>
      </x:c>
      <x:c r="J1685" s="8" t="n">
        <x:v>0</x:v>
      </x:c>
      <x:c r="K1685" s="8" t="n">
        <x:v>0</x:v>
      </x:c>
      <x:c r="L1685" s="1" t="str">
        <x:v>Нет</x:v>
      </x:c>
      <x:c r="M1685" s="1" t="n">
        <x:v>0</x:v>
      </x:c>
    </x:row>
    <x:row r="1686">
      <x:c r="A1686" s="1" t="str">
        <x:v>119485207</x:v>
      </x:c>
      <x:c r="B1686" s="1" t="str">
        <x:v>longslivszavyazkami/хаки</x:v>
      </x:c>
      <x:c r="C1686" s="1" t="str">
        <x:v>Лонгсливы</x:v>
      </x:c>
      <x:c r="D1686" s="9" t="n">
        <x:v>8.2</x:v>
      </x:c>
      <x:c r="E1686" s="8" t="n">
        <x:v>0</x:v>
      </x:c>
      <x:c r="F1686" s="8" t="n">
        <x:v>0</x:v>
      </x:c>
      <x:c r="G1686" s="8" t="n">
        <x:v>0</x:v>
      </x:c>
      <x:c r="H1686" s="8" t="n">
        <x:v>0</x:v>
      </x:c>
      <x:c r="I1686" s="8" t="n">
        <x:v>0</x:v>
      </x:c>
      <x:c r="J1686" s="8" t="n">
        <x:v>0</x:v>
      </x:c>
      <x:c r="K1686" s="8" t="n">
        <x:v>0</x:v>
      </x:c>
      <x:c r="L1686" s="1" t="str">
        <x:v>Нет</x:v>
      </x:c>
      <x:c r="M1686" s="1" t="n">
        <x:v>0</x:v>
      </x:c>
    </x:row>
    <x:row r="1687">
      <x:c r="A1687" s="1" t="str">
        <x:v>138227979</x:v>
      </x:c>
      <x:c r="B1687" s="1" t="str">
        <x:v>brukiman/фиолетовый</x:v>
      </x:c>
      <x:c r="C1687" s="1" t="str">
        <x:v>Брюки</x:v>
      </x:c>
      <x:c r="D1687" s="9" t="n">
        <x:v>9.7</x:v>
      </x:c>
      <x:c r="E1687" s="8" t="n">
        <x:v>116</x:v>
      </x:c>
      <x:c r="F1687" s="8" t="n">
        <x:v>0</x:v>
      </x:c>
      <x:c r="G1687" s="8" t="n">
        <x:v>0</x:v>
      </x:c>
      <x:c r="H1687" s="8" t="n">
        <x:v>0</x:v>
      </x:c>
      <x:c r="I1687" s="8" t="n">
        <x:v>0</x:v>
      </x:c>
      <x:c r="J1687" s="8" t="n">
        <x:v>0</x:v>
      </x:c>
      <x:c r="K1687" s="8" t="n">
        <x:v>0</x:v>
      </x:c>
      <x:c r="L1687" s="1" t="str">
        <x:v>Нет</x:v>
      </x:c>
      <x:c r="M1687" s="1" t="n">
        <x:v>0</x:v>
      </x:c>
    </x:row>
    <x:row r="1688">
      <x:c r="A1688" s="1" t="str">
        <x:v>145845794</x:v>
      </x:c>
      <x:c r="B1688" s="1" t="str">
        <x:v>svitshotman/деним</x:v>
      </x:c>
      <x:c r="C1688" s="1" t="str">
        <x:v>Свитшоты</x:v>
      </x:c>
      <x:c r="D1688" s="9" t="n">
        <x:v>9.7</x:v>
      </x:c>
      <x:c r="E1688" s="8" t="n">
        <x:v>54</x:v>
      </x:c>
      <x:c r="F1688" s="8" t="n">
        <x:v>0</x:v>
      </x:c>
      <x:c r="G1688" s="8" t="n">
        <x:v>0</x:v>
      </x:c>
      <x:c r="H1688" s="8" t="n">
        <x:v>0</x:v>
      </x:c>
      <x:c r="I1688" s="8" t="n">
        <x:v>0</x:v>
      </x:c>
      <x:c r="J1688" s="8" t="n">
        <x:v>0</x:v>
      </x:c>
      <x:c r="K1688" s="8" t="n">
        <x:v>0</x:v>
      </x:c>
      <x:c r="L1688" s="1" t="str">
        <x:v>Нет</x:v>
      </x:c>
      <x:c r="M1688" s="1" t="n">
        <x:v>0</x:v>
      </x:c>
    </x:row>
    <x:row r="1689">
      <x:c r="A1689" s="1" t="str">
        <x:v>145845803</x:v>
      </x:c>
      <x:c r="B1689" s="1" t="str">
        <x:v>svitshotman/фуксия</x:v>
      </x:c>
      <x:c r="C1689" s="1" t="str">
        <x:v>Свитшоты</x:v>
      </x:c>
      <x:c r="D1689" s="9" t="n">
        <x:v>9.7</x:v>
      </x:c>
      <x:c r="E1689" s="8" t="n">
        <x:v>363</x:v>
      </x:c>
      <x:c r="F1689" s="8" t="n">
        <x:v>1</x:v>
      </x:c>
      <x:c r="G1689" s="8" t="n">
        <x:v>0</x:v>
      </x:c>
      <x:c r="H1689" s="8" t="n">
        <x:v>0</x:v>
      </x:c>
      <x:c r="I1689" s="8" t="n">
        <x:v>0</x:v>
      </x:c>
      <x:c r="J1689" s="8" t="n">
        <x:v>5</x:v>
      </x:c>
      <x:c r="K1689" s="8" t="n">
        <x:v>2586</x:v>
      </x:c>
      <x:c r="L1689" s="1" t="str">
        <x:v>Нет</x:v>
      </x:c>
      <x:c r="M1689" s="1" t="n">
        <x:v>6414</x:v>
      </x:c>
    </x:row>
    <x:row r="1690">
      <x:c r="A1690" s="1" t="str">
        <x:v>145845805</x:v>
      </x:c>
      <x:c r="B1690" s="1" t="str">
        <x:v>svitshotman/светло-фиолетовый</x:v>
      </x:c>
      <x:c r="C1690" s="1" t="str">
        <x:v>Свитшоты</x:v>
      </x:c>
      <x:c r="D1690" s="9" t="n">
        <x:v>9.7</x:v>
      </x:c>
      <x:c r="E1690" s="8" t="n">
        <x:v>127</x:v>
      </x:c>
      <x:c r="F1690" s="8" t="n">
        <x:v>0</x:v>
      </x:c>
      <x:c r="G1690" s="8" t="n">
        <x:v>0</x:v>
      </x:c>
      <x:c r="H1690" s="8" t="n">
        <x:v>0</x:v>
      </x:c>
      <x:c r="I1690" s="8" t="n">
        <x:v>0</x:v>
      </x:c>
      <x:c r="J1690" s="8" t="n">
        <x:v>1</x:v>
      </x:c>
      <x:c r="K1690" s="8" t="n">
        <x:v>0</x:v>
      </x:c>
      <x:c r="L1690" s="1" t="str">
        <x:v>Нет</x:v>
      </x:c>
      <x:c r="M1690" s="1" t="n">
        <x:v>2753</x:v>
      </x:c>
    </x:row>
    <x:row r="1691">
      <x:c r="A1691" s="1" t="str">
        <x:v>145845809</x:v>
      </x:c>
      <x:c r="B1691" s="1" t="str">
        <x:v>svitshotman/мандариновый</x:v>
      </x:c>
      <x:c r="C1691" s="1" t="str">
        <x:v>Свитшоты</x:v>
      </x:c>
      <x:c r="D1691" s="9" t="n">
        <x:v>9.7</x:v>
      </x:c>
      <x:c r="E1691" s="8" t="n">
        <x:v>69</x:v>
      </x:c>
      <x:c r="F1691" s="8" t="n">
        <x:v>0</x:v>
      </x:c>
      <x:c r="G1691" s="8" t="n">
        <x:v>0</x:v>
      </x:c>
      <x:c r="H1691" s="8" t="n">
        <x:v>0</x:v>
      </x:c>
      <x:c r="I1691" s="8" t="n">
        <x:v>0</x:v>
      </x:c>
      <x:c r="J1691" s="8" t="n">
        <x:v>0</x:v>
      </x:c>
      <x:c r="K1691" s="8" t="n">
        <x:v>0</x:v>
      </x:c>
      <x:c r="L1691" s="1" t="str">
        <x:v>Нет</x:v>
      </x:c>
      <x:c r="M1691" s="1" t="n">
        <x:v>0</x:v>
      </x:c>
    </x:row>
    <x:row r="1692">
      <x:c r="A1692" s="1" t="str">
        <x:v>150673987</x:v>
      </x:c>
      <x:c r="B1692" s="1" t="str">
        <x:v>svitshotover/зеленый</x:v>
      </x:c>
      <x:c r="C1692" s="1" t="str">
        <x:v>Свитшоты</x:v>
      </x:c>
      <x:c r="D1692" s="9" t="n">
        <x:v>9.7</x:v>
      </x:c>
      <x:c r="E1692" s="8" t="n">
        <x:v>167</x:v>
      </x:c>
      <x:c r="F1692" s="8" t="n">
        <x:v>0</x:v>
      </x:c>
      <x:c r="G1692" s="8" t="n">
        <x:v>0</x:v>
      </x:c>
      <x:c r="H1692" s="8" t="n">
        <x:v>0</x:v>
      </x:c>
      <x:c r="I1692" s="8" t="n">
        <x:v>0</x:v>
      </x:c>
      <x:c r="J1692" s="8" t="n">
        <x:v>0</x:v>
      </x:c>
      <x:c r="K1692" s="8" t="n">
        <x:v>0</x:v>
      </x:c>
      <x:c r="L1692" s="1" t="str">
        <x:v>Нет</x:v>
      </x:c>
      <x:c r="M1692" s="1" t="n">
        <x:v>0</x:v>
      </x:c>
    </x:row>
    <x:row r="1693">
      <x:c r="A1693" s="1" t="str">
        <x:v>15445453</x:v>
      </x:c>
      <x:c r="B1693" s="1" t="str">
        <x:v>hudi/пыльная-роза</x:v>
      </x:c>
      <x:c r="C1693" s="1" t="str">
        <x:v>Худи</x:v>
      </x:c>
      <x:c r="D1693" s="9" t="n">
        <x:v>7.2</x:v>
      </x:c>
      <x:c r="E1693" s="8" t="n">
        <x:v>412</x:v>
      </x:c>
      <x:c r="F1693" s="8" t="n">
        <x:v>0</x:v>
      </x:c>
      <x:c r="G1693" s="8" t="n">
        <x:v>0</x:v>
      </x:c>
      <x:c r="H1693" s="8" t="n">
        <x:v>3</x:v>
      </x:c>
      <x:c r="I1693" s="8" t="n">
        <x:v>0</x:v>
      </x:c>
      <x:c r="J1693" s="8" t="n">
        <x:v>6</x:v>
      </x:c>
      <x:c r="K1693" s="8" t="n">
        <x:v>0</x:v>
      </x:c>
      <x:c r="L1693" s="1" t="str">
        <x:v>Нет</x:v>
      </x:c>
      <x:c r="M1693" s="1" t="n">
        <x:v>3920</x:v>
      </x:c>
    </x:row>
    <x:row r="1694">
      <x:c r="A1694" s="1" t="str">
        <x:v>15445454</x:v>
      </x:c>
      <x:c r="B1694" s="1" t="str">
        <x:v>hudi/банановый</x:v>
      </x:c>
      <x:c r="C1694" s="1" t="str">
        <x:v>Худи</x:v>
      </x:c>
      <x:c r="D1694" s="9" t="n">
        <x:v>7.7</x:v>
      </x:c>
      <x:c r="E1694" s="8" t="n">
        <x:v>54</x:v>
      </x:c>
      <x:c r="F1694" s="8" t="n">
        <x:v>0</x:v>
      </x:c>
      <x:c r="G1694" s="8" t="n">
        <x:v>0</x:v>
      </x:c>
      <x:c r="H1694" s="8" t="n">
        <x:v>0</x:v>
      </x:c>
      <x:c r="I1694" s="8" t="n">
        <x:v>0</x:v>
      </x:c>
      <x:c r="J1694" s="8" t="n">
        <x:v>0</x:v>
      </x:c>
      <x:c r="K1694" s="8" t="n">
        <x:v>0</x:v>
      </x:c>
      <x:c r="L1694" s="1" t="str">
        <x:v>Нет</x:v>
      </x:c>
      <x:c r="M1694" s="1" t="n">
        <x:v>0</x:v>
      </x:c>
    </x:row>
    <x:row r="1695">
      <x:c r="A1695" s="1" t="str">
        <x:v>15445456</x:v>
      </x:c>
      <x:c r="B1695" s="1" t="str">
        <x:v>hudi/светло-бирюзовый</x:v>
      </x:c>
      <x:c r="C1695" s="1" t="str">
        <x:v>Худи</x:v>
      </x:c>
      <x:c r="D1695" s="9" t="n">
        <x:v>5.2</x:v>
      </x:c>
      <x:c r="E1695" s="8" t="n">
        <x:v>27</x:v>
      </x:c>
      <x:c r="F1695" s="8" t="n">
        <x:v>0</x:v>
      </x:c>
      <x:c r="G1695" s="8" t="n">
        <x:v>0</x:v>
      </x:c>
      <x:c r="H1695" s="8" t="n">
        <x:v>0</x:v>
      </x:c>
      <x:c r="I1695" s="8" t="n">
        <x:v>0</x:v>
      </x:c>
      <x:c r="J1695" s="8" t="n">
        <x:v>0</x:v>
      </x:c>
      <x:c r="K1695" s="8" t="n">
        <x:v>0</x:v>
      </x:c>
      <x:c r="L1695" s="1" t="str">
        <x:v>Нет</x:v>
      </x:c>
      <x:c r="M1695" s="1" t="n">
        <x:v>0</x:v>
      </x:c>
    </x:row>
    <x:row r="1696">
      <x:c r="A1696" s="1" t="str">
        <x:v>15665554</x:v>
      </x:c>
      <x:c r="B1696" s="1" t="str">
        <x:v>hudi/голубой-берилл</x:v>
      </x:c>
      <x:c r="C1696" s="1" t="str">
        <x:v>Худи</x:v>
      </x:c>
      <x:c r="D1696" s="9" t="n">
        <x:v>7.7</x:v>
      </x:c>
      <x:c r="E1696" s="8" t="n">
        <x:v>23</x:v>
      </x:c>
      <x:c r="F1696" s="8" t="n">
        <x:v>0</x:v>
      </x:c>
      <x:c r="G1696" s="8" t="n">
        <x:v>0</x:v>
      </x:c>
      <x:c r="H1696" s="8" t="n">
        <x:v>0</x:v>
      </x:c>
      <x:c r="I1696" s="8" t="n">
        <x:v>0</x:v>
      </x:c>
      <x:c r="J1696" s="8" t="n">
        <x:v>2</x:v>
      </x:c>
      <x:c r="K1696" s="8" t="n">
        <x:v>0</x:v>
      </x:c>
      <x:c r="L1696" s="1" t="str">
        <x:v>Нет</x:v>
      </x:c>
      <x:c r="M1696" s="1" t="n">
        <x:v>1880</x:v>
      </x:c>
    </x:row>
    <x:row r="1697">
      <x:c r="A1697" s="1" t="str">
        <x:v>15748479</x:v>
      </x:c>
      <x:c r="B1697" s="1" t="str">
        <x:v>bruki/пыльнаяроза</x:v>
      </x:c>
      <x:c r="C1697" s="1" t="str">
        <x:v>Брюки</x:v>
      </x:c>
      <x:c r="D1697" s="9" t="n">
        <x:v>0</x:v>
      </x:c>
      <x:c r="E1697" s="8" t="n">
        <x:v>2</x:v>
      </x:c>
      <x:c r="F1697" s="8" t="n">
        <x:v>0</x:v>
      </x:c>
      <x:c r="G1697" s="8" t="n">
        <x:v>0</x:v>
      </x:c>
      <x:c r="H1697" s="8" t="n">
        <x:v>0</x:v>
      </x:c>
      <x:c r="I1697" s="8" t="n">
        <x:v>0</x:v>
      </x:c>
      <x:c r="J1697" s="8" t="n">
        <x:v>0</x:v>
      </x:c>
      <x:c r="K1697" s="8" t="n">
        <x:v>0</x:v>
      </x:c>
      <x:c r="L1697" s="1" t="str">
        <x:v>Да</x:v>
      </x:c>
      <x:c r="M1697" s="1" t="n">
        <x:v>0</x:v>
      </x:c>
    </x:row>
    <x:row r="1698">
      <x:c r="A1698" s="1" t="str">
        <x:v>15748480</x:v>
      </x:c>
      <x:c r="B1698" s="1" t="str">
        <x:v>bruki/банановый</x:v>
      </x:c>
      <x:c r="C1698" s="1" t="str">
        <x:v>Брюки</x:v>
      </x:c>
      <x:c r="D1698" s="9" t="n">
        <x:v>6.7</x:v>
      </x:c>
      <x:c r="E1698" s="8" t="n">
        <x:v>2</x:v>
      </x:c>
      <x:c r="F1698" s="8" t="n">
        <x:v>0</x:v>
      </x:c>
      <x:c r="G1698" s="8" t="n">
        <x:v>0</x:v>
      </x:c>
      <x:c r="H1698" s="8" t="n">
        <x:v>0</x:v>
      </x:c>
      <x:c r="I1698" s="8" t="n">
        <x:v>0</x:v>
      </x:c>
      <x:c r="J1698" s="8" t="n">
        <x:v>0</x:v>
      </x:c>
      <x:c r="K1698" s="8" t="n">
        <x:v>0</x:v>
      </x:c>
      <x:c r="L1698" s="1" t="str">
        <x:v>Да</x:v>
      </x:c>
      <x:c r="M1698" s="1" t="n">
        <x:v>0</x:v>
      </x:c>
    </x:row>
    <x:row r="1699">
      <x:c r="A1699" s="1" t="str">
        <x:v>15748482</x:v>
      </x:c>
      <x:c r="B1699" s="1" t="str">
        <x:v>bruki/светлобирюзовый</x:v>
      </x:c>
      <x:c r="C1699" s="1" t="str">
        <x:v>Брюки</x:v>
      </x:c>
      <x:c r="D1699" s="9" t="n">
        <x:v>6.7</x:v>
      </x:c>
      <x:c r="E1699" s="8" t="n">
        <x:v>3</x:v>
      </x:c>
      <x:c r="F1699" s="8" t="n">
        <x:v>0</x:v>
      </x:c>
      <x:c r="G1699" s="8" t="n">
        <x:v>0</x:v>
      </x:c>
      <x:c r="H1699" s="8" t="n">
        <x:v>0</x:v>
      </x:c>
      <x:c r="I1699" s="8" t="n">
        <x:v>0</x:v>
      </x:c>
      <x:c r="J1699" s="8" t="n">
        <x:v>0</x:v>
      </x:c>
      <x:c r="K1699" s="8" t="n">
        <x:v>0</x:v>
      </x:c>
      <x:c r="L1699" s="1" t="str">
        <x:v>Нет</x:v>
      </x:c>
      <x:c r="M1699" s="1" t="n">
        <x:v>0</x:v>
      </x:c>
    </x:row>
    <x:row r="1700">
      <x:c r="A1700" s="1" t="str">
        <x:v>15748483</x:v>
      </x:c>
      <x:c r="B1700" s="1" t="str">
        <x:v>bruki/голубойберилл</x:v>
      </x:c>
      <x:c r="C1700" s="1" t="str">
        <x:v>Брюки</x:v>
      </x:c>
      <x:c r="D1700" s="9" t="n">
        <x:v>6.7</x:v>
      </x:c>
      <x:c r="E1700" s="8" t="n">
        <x:v>2</x:v>
      </x:c>
      <x:c r="F1700" s="8" t="n">
        <x:v>0</x:v>
      </x:c>
      <x:c r="G1700" s="8" t="n">
        <x:v>0</x:v>
      </x:c>
      <x:c r="H1700" s="8" t="n">
        <x:v>0</x:v>
      </x:c>
      <x:c r="I1700" s="8" t="n">
        <x:v>0</x:v>
      </x:c>
      <x:c r="J1700" s="8" t="n">
        <x:v>0</x:v>
      </x:c>
      <x:c r="K1700" s="8" t="n">
        <x:v>0</x:v>
      </x:c>
      <x:c r="L1700" s="1" t="str">
        <x:v>Да</x:v>
      </x:c>
      <x:c r="M1700" s="1" t="n">
        <x:v>0</x:v>
      </x:c>
    </x:row>
    <x:row r="1701">
      <x:c r="A1701" s="1" t="str">
        <x:v>158080269</x:v>
      </x:c>
      <x:c r="B1701" s="1" t="str">
        <x:v>bruki/мандариновый</x:v>
      </x:c>
      <x:c r="C1701" s="1" t="str">
        <x:v>Брюки</x:v>
      </x:c>
      <x:c r="D1701" s="9" t="n">
        <x:v>9.7</x:v>
      </x:c>
      <x:c r="E1701" s="8" t="n">
        <x:v>770</x:v>
      </x:c>
      <x:c r="F1701" s="8" t="n">
        <x:v>0</x:v>
      </x:c>
      <x:c r="G1701" s="8" t="n">
        <x:v>0</x:v>
      </x:c>
      <x:c r="H1701" s="8" t="n">
        <x:v>0</x:v>
      </x:c>
      <x:c r="I1701" s="8" t="n">
        <x:v>0</x:v>
      </x:c>
      <x:c r="J1701" s="8" t="n">
        <x:v>3</x:v>
      </x:c>
      <x:c r="K1701" s="8" t="n">
        <x:v>0</x:v>
      </x:c>
      <x:c r="L1701" s="1" t="str">
        <x:v>Нет</x:v>
      </x:c>
      <x:c r="M1701" s="1" t="n">
        <x:v>4736</x:v>
      </x:c>
    </x:row>
    <x:row r="1702">
      <x:c r="A1702" s="1" t="str">
        <x:v>160478464</x:v>
      </x:c>
      <x:c r="B1702" s="1" t="str">
        <x:v>shortyman/голубой</x:v>
      </x:c>
      <x:c r="C1702" s="1" t="str">
        <x:v>Шорты</x:v>
      </x:c>
      <x:c r="D1702" s="9" t="n">
        <x:v>6.2</x:v>
      </x:c>
      <x:c r="E1702" s="8" t="n">
        <x:v>105</x:v>
      </x:c>
      <x:c r="F1702" s="8" t="n">
        <x:v>0</x:v>
      </x:c>
      <x:c r="G1702" s="8" t="n">
        <x:v>0</x:v>
      </x:c>
      <x:c r="H1702" s="8" t="n">
        <x:v>0</x:v>
      </x:c>
      <x:c r="I1702" s="8" t="n">
        <x:v>0</x:v>
      </x:c>
      <x:c r="J1702" s="8" t="n">
        <x:v>1</x:v>
      </x:c>
      <x:c r="K1702" s="8" t="n">
        <x:v>0</x:v>
      </x:c>
      <x:c r="L1702" s="1" t="str">
        <x:v>Нет</x:v>
      </x:c>
      <x:c r="M1702" s="1" t="n">
        <x:v>1307</x:v>
      </x:c>
    </x:row>
    <x:row r="1703">
      <x:c r="A1703" s="1" t="str">
        <x:v>160478476</x:v>
      </x:c>
      <x:c r="B1703" s="1" t="str">
        <x:v>shortyman/деним</x:v>
      </x:c>
      <x:c r="C1703" s="1" t="str">
        <x:v>Шорты</x:v>
      </x:c>
      <x:c r="D1703" s="9" t="n">
        <x:v>6.2</x:v>
      </x:c>
      <x:c r="E1703" s="8" t="n">
        <x:v>43</x:v>
      </x:c>
      <x:c r="F1703" s="8" t="n">
        <x:v>0</x:v>
      </x:c>
      <x:c r="G1703" s="8" t="n">
        <x:v>0</x:v>
      </x:c>
      <x:c r="H1703" s="8" t="n">
        <x:v>0</x:v>
      </x:c>
      <x:c r="I1703" s="8" t="n">
        <x:v>0</x:v>
      </x:c>
      <x:c r="J1703" s="8" t="n">
        <x:v>0</x:v>
      </x:c>
      <x:c r="K1703" s="8" t="n">
        <x:v>0</x:v>
      </x:c>
      <x:c r="L1703" s="1" t="str">
        <x:v>Нет</x:v>
      </x:c>
      <x:c r="M1703" s="1" t="n">
        <x:v>0</x:v>
      </x:c>
    </x:row>
    <x:row r="1704">
      <x:c r="A1704" s="1" t="str">
        <x:v>160478477</x:v>
      </x:c>
      <x:c r="B1704" s="1" t="str">
        <x:v>shortyman/кофейный</x:v>
      </x:c>
      <x:c r="C1704" s="1" t="str">
        <x:v>Шорты</x:v>
      </x:c>
      <x:c r="D1704" s="9" t="n">
        <x:v>6.2</x:v>
      </x:c>
      <x:c r="E1704" s="8" t="n">
        <x:v>49</x:v>
      </x:c>
      <x:c r="F1704" s="8" t="n">
        <x:v>0</x:v>
      </x:c>
      <x:c r="G1704" s="8" t="n">
        <x:v>0</x:v>
      </x:c>
      <x:c r="H1704" s="8" t="n">
        <x:v>0</x:v>
      </x:c>
      <x:c r="I1704" s="8" t="n">
        <x:v>0</x:v>
      </x:c>
      <x:c r="J1704" s="8" t="n">
        <x:v>0</x:v>
      </x:c>
      <x:c r="K1704" s="8" t="n">
        <x:v>0</x:v>
      </x:c>
      <x:c r="L1704" s="1" t="str">
        <x:v>Нет</x:v>
      </x:c>
      <x:c r="M1704" s="1" t="n">
        <x:v>0</x:v>
      </x:c>
    </x:row>
    <x:row r="1705">
      <x:c r="A1705" s="1" t="str">
        <x:v>160478479</x:v>
      </x:c>
      <x:c r="B1705" s="1" t="str">
        <x:v>shortyman/светло-зеленый</x:v>
      </x:c>
      <x:c r="C1705" s="1" t="str">
        <x:v>Шорты</x:v>
      </x:c>
      <x:c r="D1705" s="9" t="n">
        <x:v>6.2</x:v>
      </x:c>
      <x:c r="E1705" s="8" t="n">
        <x:v>37</x:v>
      </x:c>
      <x:c r="F1705" s="8" t="n">
        <x:v>0</x:v>
      </x:c>
      <x:c r="G1705" s="8" t="n">
        <x:v>0</x:v>
      </x:c>
      <x:c r="H1705" s="8" t="n">
        <x:v>0</x:v>
      </x:c>
      <x:c r="I1705" s="8" t="n">
        <x:v>0</x:v>
      </x:c>
      <x:c r="J1705" s="8" t="n">
        <x:v>0</x:v>
      </x:c>
      <x:c r="K1705" s="8" t="n">
        <x:v>0</x:v>
      </x:c>
      <x:c r="L1705" s="1" t="str">
        <x:v>Нет</x:v>
      </x:c>
      <x:c r="M1705" s="1" t="n">
        <x:v>0</x:v>
      </x:c>
    </x:row>
    <x:row r="1706">
      <x:c r="A1706" s="1" t="str">
        <x:v>160478488</x:v>
      </x:c>
      <x:c r="B1706" s="1" t="str">
        <x:v>shortyman/розовый</x:v>
      </x:c>
      <x:c r="C1706" s="1" t="str">
        <x:v>Шорты</x:v>
      </x:c>
      <x:c r="D1706" s="9" t="n">
        <x:v>6.2</x:v>
      </x:c>
      <x:c r="E1706" s="8" t="n">
        <x:v>85</x:v>
      </x:c>
      <x:c r="F1706" s="8" t="n">
        <x:v>0</x:v>
      </x:c>
      <x:c r="G1706" s="8" t="n">
        <x:v>0</x:v>
      </x:c>
      <x:c r="H1706" s="8" t="n">
        <x:v>0</x:v>
      </x:c>
      <x:c r="I1706" s="8" t="n">
        <x:v>0</x:v>
      </x:c>
      <x:c r="J1706" s="8" t="n">
        <x:v>0</x:v>
      </x:c>
      <x:c r="K1706" s="8" t="n">
        <x:v>0</x:v>
      </x:c>
      <x:c r="L1706" s="1" t="str">
        <x:v>Нет</x:v>
      </x:c>
      <x:c r="M1706" s="1" t="n">
        <x:v>0</x:v>
      </x:c>
    </x:row>
    <x:row r="1707">
      <x:c r="A1707" s="1" t="str">
        <x:v>160478489</x:v>
      </x:c>
      <x:c r="B1707" s="1" t="str">
        <x:v>shortyman/светло-фиолетовый</x:v>
      </x:c>
      <x:c r="C1707" s="1" t="str">
        <x:v>Шорты</x:v>
      </x:c>
      <x:c r="D1707" s="9" t="n">
        <x:v>6.2</x:v>
      </x:c>
      <x:c r="E1707" s="8" t="n">
        <x:v>34</x:v>
      </x:c>
      <x:c r="F1707" s="8" t="n">
        <x:v>0</x:v>
      </x:c>
      <x:c r="G1707" s="8" t="n">
        <x:v>0</x:v>
      </x:c>
      <x:c r="H1707" s="8" t="n">
        <x:v>0</x:v>
      </x:c>
      <x:c r="I1707" s="8" t="n">
        <x:v>0</x:v>
      </x:c>
      <x:c r="J1707" s="8" t="n">
        <x:v>0</x:v>
      </x:c>
      <x:c r="K1707" s="8" t="n">
        <x:v>0</x:v>
      </x:c>
      <x:c r="L1707" s="1" t="str">
        <x:v>Нет</x:v>
      </x:c>
      <x:c r="M1707" s="1" t="n">
        <x:v>0</x:v>
      </x:c>
    </x:row>
    <x:row r="1708">
      <x:c r="A1708" s="1" t="str">
        <x:v>160478490</x:v>
      </x:c>
      <x:c r="B1708" s="1" t="str">
        <x:v>shortyman/мандариновый</x:v>
      </x:c>
      <x:c r="C1708" s="1" t="str">
        <x:v>Шорты</x:v>
      </x:c>
      <x:c r="D1708" s="9" t="n">
        <x:v>6.2</x:v>
      </x:c>
      <x:c r="E1708" s="8" t="n">
        <x:v>39</x:v>
      </x:c>
      <x:c r="F1708" s="8" t="n">
        <x:v>0</x:v>
      </x:c>
      <x:c r="G1708" s="8" t="n">
        <x:v>0</x:v>
      </x:c>
      <x:c r="H1708" s="8" t="n">
        <x:v>0</x:v>
      </x:c>
      <x:c r="I1708" s="8" t="n">
        <x:v>0</x:v>
      </x:c>
      <x:c r="J1708" s="8" t="n">
        <x:v>0</x:v>
      </x:c>
      <x:c r="K1708" s="8" t="n">
        <x:v>0</x:v>
      </x:c>
      <x:c r="L1708" s="1" t="str">
        <x:v>Нет</x:v>
      </x:c>
      <x:c r="M1708" s="1" t="n">
        <x:v>0</x:v>
      </x:c>
    </x:row>
    <x:row r="1709">
      <x:c r="A1709" s="1" t="str">
        <x:v>160478493</x:v>
      </x:c>
      <x:c r="B1709" s="1" t="str">
        <x:v>shortyman/фуксия</x:v>
      </x:c>
      <x:c r="C1709" s="1" t="str">
        <x:v>Шорты</x:v>
      </x:c>
      <x:c r="D1709" s="9" t="n">
        <x:v>6.2</x:v>
      </x:c>
      <x:c r="E1709" s="8" t="n">
        <x:v>46</x:v>
      </x:c>
      <x:c r="F1709" s="8" t="n">
        <x:v>0</x:v>
      </x:c>
      <x:c r="G1709" s="8" t="n">
        <x:v>0</x:v>
      </x:c>
      <x:c r="H1709" s="8" t="n">
        <x:v>0</x:v>
      </x:c>
      <x:c r="I1709" s="8" t="n">
        <x:v>0</x:v>
      </x:c>
      <x:c r="J1709" s="8" t="n">
        <x:v>0</x:v>
      </x:c>
      <x:c r="K1709" s="8" t="n">
        <x:v>0</x:v>
      </x:c>
      <x:c r="L1709" s="1" t="str">
        <x:v>Нет</x:v>
      </x:c>
      <x:c r="M1709" s="1" t="n">
        <x:v>0</x:v>
      </x:c>
    </x:row>
    <x:row r="1710">
      <x:c r="A1710" s="1" t="str">
        <x:v>165911088</x:v>
      </x:c>
      <x:c r="B1710" s="1" t="str">
        <x:v>longman/сине-морской</x:v>
      </x:c>
      <x:c r="C1710" s="1" t="str">
        <x:v>Лонгсливы</x:v>
      </x:c>
      <x:c r="D1710" s="9" t="n">
        <x:v>7.2</x:v>
      </x:c>
      <x:c r="E1710" s="8" t="n">
        <x:v>861</x:v>
      </x:c>
      <x:c r="F1710" s="8" t="n">
        <x:v>1</x:v>
      </x:c>
      <x:c r="G1710" s="8" t="n">
        <x:v>0</x:v>
      </x:c>
      <x:c r="H1710" s="8" t="n">
        <x:v>1</x:v>
      </x:c>
      <x:c r="I1710" s="8" t="n">
        <x:v>0</x:v>
      </x:c>
      <x:c r="J1710" s="8" t="n">
        <x:v>5</x:v>
      </x:c>
      <x:c r="K1710" s="8" t="n">
        <x:v>1159</x:v>
      </x:c>
      <x:c r="L1710" s="1" t="str">
        <x:v>Нет</x:v>
      </x:c>
      <x:c r="M1710" s="1" t="n">
        <x:v>3900</x:v>
      </x:c>
    </x:row>
    <x:row r="1711">
      <x:c r="A1711" s="1" t="str">
        <x:v>165911122</x:v>
      </x:c>
      <x:c r="B1711" s="1" t="str">
        <x:v>longman/шалфей</x:v>
      </x:c>
      <x:c r="C1711" s="1" t="str">
        <x:v>Лонгсливы</x:v>
      </x:c>
      <x:c r="D1711" s="9" t="n">
        <x:v>7.2</x:v>
      </x:c>
      <x:c r="E1711" s="8" t="n">
        <x:v>71</x:v>
      </x:c>
      <x:c r="F1711" s="8" t="n">
        <x:v>0</x:v>
      </x:c>
      <x:c r="G1711" s="8" t="n">
        <x:v>0</x:v>
      </x:c>
      <x:c r="H1711" s="8" t="n">
        <x:v>0</x:v>
      </x:c>
      <x:c r="I1711" s="8" t="n">
        <x:v>0</x:v>
      </x:c>
      <x:c r="J1711" s="8" t="n">
        <x:v>0</x:v>
      </x:c>
      <x:c r="K1711" s="8" t="n">
        <x:v>0</x:v>
      </x:c>
      <x:c r="L1711" s="1" t="str">
        <x:v>Нет</x:v>
      </x:c>
      <x:c r="M1711" s="1" t="n">
        <x:v>0</x:v>
      </x:c>
    </x:row>
    <x:row r="1712">
      <x:c r="A1712" s="1" t="str">
        <x:v>165911146</x:v>
      </x:c>
      <x:c r="B1712" s="1" t="str">
        <x:v>longman/хаки</x:v>
      </x:c>
      <x:c r="C1712" s="1" t="str">
        <x:v>Лонгсливы</x:v>
      </x:c>
      <x:c r="D1712" s="9" t="n">
        <x:v>7.2</x:v>
      </x:c>
      <x:c r="E1712" s="8" t="n">
        <x:v>80</x:v>
      </x:c>
      <x:c r="F1712" s="8" t="n">
        <x:v>0</x:v>
      </x:c>
      <x:c r="G1712" s="8" t="n">
        <x:v>0</x:v>
      </x:c>
      <x:c r="H1712" s="8" t="n">
        <x:v>0</x:v>
      </x:c>
      <x:c r="I1712" s="8" t="n">
        <x:v>0</x:v>
      </x:c>
      <x:c r="J1712" s="8" t="n">
        <x:v>0</x:v>
      </x:c>
      <x:c r="K1712" s="8" t="n">
        <x:v>0</x:v>
      </x:c>
      <x:c r="L1712" s="1" t="str">
        <x:v>Нет</x:v>
      </x:c>
      <x:c r="M1712" s="1" t="n">
        <x:v>0</x:v>
      </x:c>
    </x:row>
    <x:row r="1713">
      <x:c r="A1713" s="1" t="str">
        <x:v>165911161</x:v>
      </x:c>
      <x:c r="B1713" s="1" t="str">
        <x:v>longman/деним</x:v>
      </x:c>
      <x:c r="C1713" s="1" t="str">
        <x:v>Лонгсливы</x:v>
      </x:c>
      <x:c r="D1713" s="9" t="n">
        <x:v>5.2</x:v>
      </x:c>
      <x:c r="E1713" s="8" t="n">
        <x:v>55</x:v>
      </x:c>
      <x:c r="F1713" s="8" t="n">
        <x:v>0</x:v>
      </x:c>
      <x:c r="G1713" s="8" t="n">
        <x:v>0</x:v>
      </x:c>
      <x:c r="H1713" s="8" t="n">
        <x:v>0</x:v>
      </x:c>
      <x:c r="I1713" s="8" t="n">
        <x:v>0</x:v>
      </x:c>
      <x:c r="J1713" s="8" t="n">
        <x:v>0</x:v>
      </x:c>
      <x:c r="K1713" s="8" t="n">
        <x:v>0</x:v>
      </x:c>
      <x:c r="L1713" s="1" t="str">
        <x:v>Нет</x:v>
      </x:c>
      <x:c r="M1713" s="1" t="n">
        <x:v>0</x:v>
      </x:c>
    </x:row>
    <x:row r="1714">
      <x:c r="A1714" s="1" t="str">
        <x:v>166212255</x:v>
      </x:c>
      <x:c r="B1714" s="1" t="str">
        <x:v>longman/пыльнаямята</x:v>
      </x:c>
      <x:c r="C1714" s="1" t="str">
        <x:v>Лонгсливы</x:v>
      </x:c>
      <x:c r="D1714" s="9" t="n">
        <x:v>7.2</x:v>
      </x:c>
      <x:c r="E1714" s="8" t="n">
        <x:v>64</x:v>
      </x:c>
      <x:c r="F1714" s="8" t="n">
        <x:v>0</x:v>
      </x:c>
      <x:c r="G1714" s="8" t="n">
        <x:v>0</x:v>
      </x:c>
      <x:c r="H1714" s="8" t="n">
        <x:v>0</x:v>
      </x:c>
      <x:c r="I1714" s="8" t="n">
        <x:v>0</x:v>
      </x:c>
      <x:c r="J1714" s="8" t="n">
        <x:v>3</x:v>
      </x:c>
      <x:c r="K1714" s="8" t="n">
        <x:v>0</x:v>
      </x:c>
      <x:c r="L1714" s="1" t="str">
        <x:v>Нет</x:v>
      </x:c>
      <x:c r="M1714" s="1" t="n">
        <x:v>3600</x:v>
      </x:c>
    </x:row>
    <x:row r="1715">
      <x:c r="A1715" s="1" t="str">
        <x:v>166214980</x:v>
      </x:c>
      <x:c r="B1715" s="1" t="str">
        <x:v>hudiman/розовый</x:v>
      </x:c>
      <x:c r="C1715" s="1" t="str">
        <x:v>Худи</x:v>
      </x:c>
      <x:c r="D1715" s="9" t="n">
        <x:v>9.7</x:v>
      </x:c>
      <x:c r="E1715" s="8" t="n">
        <x:v>590</x:v>
      </x:c>
      <x:c r="F1715" s="8" t="n">
        <x:v>0</x:v>
      </x:c>
      <x:c r="G1715" s="8" t="n">
        <x:v>0</x:v>
      </x:c>
      <x:c r="H1715" s="8" t="n">
        <x:v>0</x:v>
      </x:c>
      <x:c r="I1715" s="8" t="n">
        <x:v>0</x:v>
      </x:c>
      <x:c r="J1715" s="8" t="n">
        <x:v>1</x:v>
      </x:c>
      <x:c r="K1715" s="8" t="n">
        <x:v>0</x:v>
      </x:c>
      <x:c r="L1715" s="1" t="str">
        <x:v>Нет</x:v>
      </x:c>
      <x:c r="M1715" s="1" t="n">
        <x:v>0</x:v>
      </x:c>
    </x:row>
    <x:row r="1716">
      <x:c r="A1716" s="1" t="str">
        <x:v>166248302</x:v>
      </x:c>
      <x:c r="B1716" s="1" t="str">
        <x:v>svitshotman/красный</x:v>
      </x:c>
      <x:c r="C1716" s="1" t="str">
        <x:v>Свитшоты</x:v>
      </x:c>
      <x:c r="D1716" s="9" t="n">
        <x:v>9.7</x:v>
      </x:c>
      <x:c r="E1716" s="8" t="n">
        <x:v>36</x:v>
      </x:c>
      <x:c r="F1716" s="8" t="n">
        <x:v>0</x:v>
      </x:c>
      <x:c r="G1716" s="8" t="n">
        <x:v>0</x:v>
      </x:c>
      <x:c r="H1716" s="8" t="n">
        <x:v>0</x:v>
      </x:c>
      <x:c r="I1716" s="8" t="n">
        <x:v>0</x:v>
      </x:c>
      <x:c r="J1716" s="8" t="n">
        <x:v>0</x:v>
      </x:c>
      <x:c r="K1716" s="8" t="n">
        <x:v>0</x:v>
      </x:c>
      <x:c r="L1716" s="1" t="str">
        <x:v>Нет</x:v>
      </x:c>
      <x:c r="M1716" s="1" t="n">
        <x:v>0</x:v>
      </x:c>
    </x:row>
    <x:row r="1717">
      <x:c r="A1717" s="1" t="str">
        <x:v>166248307</x:v>
      </x:c>
      <x:c r="B1717" s="1" t="str">
        <x:v>svitshotover/серыймеланж</x:v>
      </x:c>
      <x:c r="C1717" s="1" t="str">
        <x:v>Свитшоты</x:v>
      </x:c>
      <x:c r="D1717" s="9" t="n">
        <x:v>9.7</x:v>
      </x:c>
      <x:c r="E1717" s="8" t="n">
        <x:v>218</x:v>
      </x:c>
      <x:c r="F1717" s="8" t="n">
        <x:v>0</x:v>
      </x:c>
      <x:c r="G1717" s="8" t="n">
        <x:v>0</x:v>
      </x:c>
      <x:c r="H1717" s="8" t="n">
        <x:v>0</x:v>
      </x:c>
      <x:c r="I1717" s="8" t="n">
        <x:v>0</x:v>
      </x:c>
      <x:c r="J1717" s="8" t="n">
        <x:v>0</x:v>
      </x:c>
      <x:c r="K1717" s="8" t="n">
        <x:v>0</x:v>
      </x:c>
      <x:c r="L1717" s="1" t="str">
        <x:v>Нет</x:v>
      </x:c>
      <x:c r="M1717" s="1" t="n">
        <x:v>0</x:v>
      </x:c>
    </x:row>
    <x:row r="1718">
      <x:c r="A1718" s="1" t="str">
        <x:v>166248310</x:v>
      </x:c>
      <x:c r="B1718" s="1" t="str">
        <x:v>svitshotman/розовый</x:v>
      </x:c>
      <x:c r="C1718" s="1" t="str">
        <x:v>Свитшоты</x:v>
      </x:c>
      <x:c r="D1718" s="9" t="n">
        <x:v>9.7</x:v>
      </x:c>
      <x:c r="E1718" s="8" t="n">
        <x:v>87</x:v>
      </x:c>
      <x:c r="F1718" s="8" t="n">
        <x:v>0</x:v>
      </x:c>
      <x:c r="G1718" s="8" t="n">
        <x:v>0</x:v>
      </x:c>
      <x:c r="H1718" s="8" t="n">
        <x:v>0</x:v>
      </x:c>
      <x:c r="I1718" s="8" t="n">
        <x:v>0</x:v>
      </x:c>
      <x:c r="J1718" s="8" t="n">
        <x:v>3</x:v>
      </x:c>
      <x:c r="K1718" s="8" t="n">
        <x:v>0</x:v>
      </x:c>
      <x:c r="L1718" s="1" t="str">
        <x:v>Нет</x:v>
      </x:c>
      <x:c r="M1718" s="1" t="n">
        <x:v>5040</x:v>
      </x:c>
    </x:row>
    <x:row r="1719">
      <x:c r="A1719" s="1" t="str">
        <x:v>166248313</x:v>
      </x:c>
      <x:c r="B1719" s="1" t="str">
        <x:v>svitshotman/серыймеланж</x:v>
      </x:c>
      <x:c r="C1719" s="1" t="str">
        <x:v>Свитшоты</x:v>
      </x:c>
      <x:c r="D1719" s="9" t="n">
        <x:v>9.7</x:v>
      </x:c>
      <x:c r="E1719" s="8" t="n">
        <x:v>116</x:v>
      </x:c>
      <x:c r="F1719" s="8" t="n">
        <x:v>0</x:v>
      </x:c>
      <x:c r="G1719" s="8" t="n">
        <x:v>0</x:v>
      </x:c>
      <x:c r="H1719" s="8" t="n">
        <x:v>0</x:v>
      </x:c>
      <x:c r="I1719" s="8" t="n">
        <x:v>0</x:v>
      </x:c>
      <x:c r="J1719" s="8" t="n">
        <x:v>0</x:v>
      </x:c>
      <x:c r="K1719" s="8" t="n">
        <x:v>0</x:v>
      </x:c>
      <x:c r="L1719" s="1" t="str">
        <x:v>Нет</x:v>
      </x:c>
      <x:c r="M1719" s="1" t="n">
        <x:v>0</x:v>
      </x:c>
    </x:row>
    <x:row r="1720">
      <x:c r="A1720" s="1" t="str">
        <x:v>168141906</x:v>
      </x:c>
      <x:c r="B1720" s="1" t="str">
        <x:v>bruki/серыймеланж</x:v>
      </x:c>
      <x:c r="C1720" s="1" t="str">
        <x:v>Брюки</x:v>
      </x:c>
      <x:c r="D1720" s="9" t="n">
        <x:v>9.7</x:v>
      </x:c>
      <x:c r="E1720" s="8" t="n">
        <x:v>2490</x:v>
      </x:c>
      <x:c r="F1720" s="8" t="n">
        <x:v>12</x:v>
      </x:c>
      <x:c r="G1720" s="8" t="n">
        <x:v>0</x:v>
      </x:c>
      <x:c r="H1720" s="8" t="n">
        <x:v>3</x:v>
      </x:c>
      <x:c r="I1720" s="8" t="n">
        <x:v>0</x:v>
      </x:c>
      <x:c r="J1720" s="8" t="n">
        <x:v>17</x:v>
      </x:c>
      <x:c r="K1720" s="8" t="n">
        <x:v>2394</x:v>
      </x:c>
      <x:c r="L1720" s="1" t="str">
        <x:v>Нет</x:v>
      </x:c>
      <x:c r="M1720" s="1" t="n">
        <x:v>10978</x:v>
      </x:c>
    </x:row>
    <x:row r="1721">
      <x:c r="A1721" s="1" t="str">
        <x:v>168141908</x:v>
      </x:c>
      <x:c r="B1721" s="1" t="str">
        <x:v>bruki/фиолетовый</x:v>
      </x:c>
      <x:c r="C1721" s="1" t="str">
        <x:v>Брюки</x:v>
      </x:c>
      <x:c r="D1721" s="9" t="n">
        <x:v>9.7</x:v>
      </x:c>
      <x:c r="E1721" s="8" t="n">
        <x:v>2055</x:v>
      </x:c>
      <x:c r="F1721" s="8" t="n">
        <x:v>4</x:v>
      </x:c>
      <x:c r="G1721" s="8" t="n">
        <x:v>0</x:v>
      </x:c>
      <x:c r="H1721" s="8" t="n">
        <x:v>1</x:v>
      </x:c>
      <x:c r="I1721" s="8" t="n">
        <x:v>0</x:v>
      </x:c>
      <x:c r="J1721" s="8" t="n">
        <x:v>11</x:v>
      </x:c>
      <x:c r="K1721" s="8" t="n">
        <x:v>2357</x:v>
      </x:c>
      <x:c r="L1721" s="1" t="str">
        <x:v>Нет</x:v>
      </x:c>
      <x:c r="M1721" s="1" t="n">
        <x:v>6370</x:v>
      </x:c>
    </x:row>
    <x:row r="1722">
      <x:c r="A1722" s="1" t="str">
        <x:v>168270028</x:v>
      </x:c>
      <x:c r="B1722" s="1" t="str">
        <x:v>2xnitkaman/черный</x:v>
      </x:c>
      <x:c r="C1722" s="1" t="str">
        <x:v>Костюмы спортивные</x:v>
      </x:c>
      <x:c r="D1722" s="9" t="n">
        <x:v>9.7</x:v>
      </x:c>
      <x:c r="E1722" s="8" t="n">
        <x:v>51</x:v>
      </x:c>
      <x:c r="F1722" s="8" t="n">
        <x:v>0</x:v>
      </x:c>
      <x:c r="G1722" s="8" t="n">
        <x:v>0</x:v>
      </x:c>
      <x:c r="H1722" s="8" t="n">
        <x:v>0</x:v>
      </x:c>
      <x:c r="I1722" s="8" t="n">
        <x:v>0</x:v>
      </x:c>
      <x:c r="J1722" s="8" t="n">
        <x:v>0</x:v>
      </x:c>
      <x:c r="K1722" s="8" t="n">
        <x:v>0</x:v>
      </x:c>
      <x:c r="L1722" s="1" t="str">
        <x:v>Нет</x:v>
      </x:c>
      <x:c r="M1722" s="1" t="n">
        <x:v>0</x:v>
      </x:c>
    </x:row>
    <x:row r="1723">
      <x:c r="A1723" s="1" t="str">
        <x:v>168273528</x:v>
      </x:c>
      <x:c r="B1723" s="1" t="str">
        <x:v>2xnitkaman/темно-синий</x:v>
      </x:c>
      <x:c r="C1723" s="1" t="str">
        <x:v>Костюмы спортивные</x:v>
      </x:c>
      <x:c r="D1723" s="9" t="n">
        <x:v>9.7</x:v>
      </x:c>
      <x:c r="E1723" s="8" t="n">
        <x:v>54</x:v>
      </x:c>
      <x:c r="F1723" s="8" t="n">
        <x:v>0</x:v>
      </x:c>
      <x:c r="G1723" s="8" t="n">
        <x:v>0</x:v>
      </x:c>
      <x:c r="H1723" s="8" t="n">
        <x:v>0</x:v>
      </x:c>
      <x:c r="I1723" s="8" t="n">
        <x:v>0</x:v>
      </x:c>
      <x:c r="J1723" s="8" t="n">
        <x:v>0</x:v>
      </x:c>
      <x:c r="K1723" s="8" t="n">
        <x:v>0</x:v>
      </x:c>
      <x:c r="L1723" s="1" t="str">
        <x:v>Нет</x:v>
      </x:c>
      <x:c r="M1723" s="1" t="n">
        <x:v>0</x:v>
      </x:c>
    </x:row>
    <x:row r="1724">
      <x:c r="A1724" s="1" t="str">
        <x:v>168273533</x:v>
      </x:c>
      <x:c r="B1724" s="1" t="str">
        <x:v>2xnitkaman/серыймеланж</x:v>
      </x:c>
      <x:c r="C1724" s="1" t="str">
        <x:v>Костюмы спортивные</x:v>
      </x:c>
      <x:c r="D1724" s="9" t="n">
        <x:v>9.7</x:v>
      </x:c>
      <x:c r="E1724" s="8" t="n">
        <x:v>50</x:v>
      </x:c>
      <x:c r="F1724" s="8" t="n">
        <x:v>0</x:v>
      </x:c>
      <x:c r="G1724" s="8" t="n">
        <x:v>0</x:v>
      </x:c>
      <x:c r="H1724" s="8" t="n">
        <x:v>0</x:v>
      </x:c>
      <x:c r="I1724" s="8" t="n">
        <x:v>0</x:v>
      </x:c>
      <x:c r="J1724" s="8" t="n">
        <x:v>0</x:v>
      </x:c>
      <x:c r="K1724" s="8" t="n">
        <x:v>0</x:v>
      </x:c>
      <x:c r="L1724" s="1" t="str">
        <x:v>Нет</x:v>
      </x:c>
      <x:c r="M1724" s="1" t="n">
        <x:v>0</x:v>
      </x:c>
    </x:row>
    <x:row r="1725">
      <x:c r="A1725" s="1" t="str">
        <x:v>168273536</x:v>
      </x:c>
      <x:c r="B1725" s="1" t="str">
        <x:v>2xnitkaman/кофейный</x:v>
      </x:c>
      <x:c r="C1725" s="1" t="str">
        <x:v>Костюмы спортивные</x:v>
      </x:c>
      <x:c r="D1725" s="9" t="n">
        <x:v>9.7</x:v>
      </x:c>
      <x:c r="E1725" s="8" t="n">
        <x:v>22</x:v>
      </x:c>
      <x:c r="F1725" s="8" t="n">
        <x:v>0</x:v>
      </x:c>
      <x:c r="G1725" s="8" t="n">
        <x:v>0</x:v>
      </x:c>
      <x:c r="H1725" s="8" t="n">
        <x:v>0</x:v>
      </x:c>
      <x:c r="I1725" s="8" t="n">
        <x:v>0</x:v>
      </x:c>
      <x:c r="J1725" s="8" t="n">
        <x:v>0</x:v>
      </x:c>
      <x:c r="K1725" s="8" t="n">
        <x:v>0</x:v>
      </x:c>
      <x:c r="L1725" s="1" t="str">
        <x:v>Нет</x:v>
      </x:c>
      <x:c r="M1725" s="1" t="n">
        <x:v>0</x:v>
      </x:c>
    </x:row>
    <x:row r="1726">
      <x:c r="A1726" s="1" t="str">
        <x:v>168273538</x:v>
      </x:c>
      <x:c r="B1726" s="1" t="str">
        <x:v>2xnitkaman/морскаяволна</x:v>
      </x:c>
      <x:c r="C1726" s="1" t="str">
        <x:v>Костюмы спортивные</x:v>
      </x:c>
      <x:c r="D1726" s="9" t="n">
        <x:v>9.7</x:v>
      </x:c>
      <x:c r="E1726" s="8" t="n">
        <x:v>16</x:v>
      </x:c>
      <x:c r="F1726" s="8" t="n">
        <x:v>0</x:v>
      </x:c>
      <x:c r="G1726" s="8" t="n">
        <x:v>0</x:v>
      </x:c>
      <x:c r="H1726" s="8" t="n">
        <x:v>0</x:v>
      </x:c>
      <x:c r="I1726" s="8" t="n">
        <x:v>0</x:v>
      </x:c>
      <x:c r="J1726" s="8" t="n">
        <x:v>0</x:v>
      </x:c>
      <x:c r="K1726" s="8" t="n">
        <x:v>0</x:v>
      </x:c>
      <x:c r="L1726" s="1" t="str">
        <x:v>Нет</x:v>
      </x:c>
      <x:c r="M1726" s="1" t="n">
        <x:v>0</x:v>
      </x:c>
    </x:row>
    <x:row r="1727">
      <x:c r="A1727" s="1" t="str">
        <x:v>168273539</x:v>
      </x:c>
      <x:c r="B1727" s="1" t="str">
        <x:v>2xnitkaman/коричневый</x:v>
      </x:c>
      <x:c r="C1727" s="1" t="str">
        <x:v>Костюмы спортивные</x:v>
      </x:c>
      <x:c r="D1727" s="9" t="n">
        <x:v>9.7</x:v>
      </x:c>
      <x:c r="E1727" s="8" t="n">
        <x:v>83</x:v>
      </x:c>
      <x:c r="F1727" s="8" t="n">
        <x:v>0</x:v>
      </x:c>
      <x:c r="G1727" s="8" t="n">
        <x:v>0</x:v>
      </x:c>
      <x:c r="H1727" s="8" t="n">
        <x:v>0</x:v>
      </x:c>
      <x:c r="I1727" s="8" t="n">
        <x:v>0</x:v>
      </x:c>
      <x:c r="J1727" s="8" t="n">
        <x:v>0</x:v>
      </x:c>
      <x:c r="K1727" s="8" t="n">
        <x:v>0</x:v>
      </x:c>
      <x:c r="L1727" s="1" t="str">
        <x:v>Нет</x:v>
      </x:c>
      <x:c r="M1727" s="1" t="n">
        <x:v>0</x:v>
      </x:c>
    </x:row>
    <x:row r="1728">
      <x:c r="A1728" s="1" t="str">
        <x:v>168681327</x:v>
      </x:c>
      <x:c r="B1728" s="1" t="str">
        <x:v>2xnitkaman/светло-зеленый</x:v>
      </x:c>
      <x:c r="C1728" s="1" t="str">
        <x:v>Костюмы спортивные</x:v>
      </x:c>
      <x:c r="D1728" s="9" t="n">
        <x:v>9.7</x:v>
      </x:c>
      <x:c r="E1728" s="8" t="n">
        <x:v>216</x:v>
      </x:c>
      <x:c r="F1728" s="8" t="n">
        <x:v>4</x:v>
      </x:c>
      <x:c r="G1728" s="8" t="n">
        <x:v>0</x:v>
      </x:c>
      <x:c r="H1728" s="8" t="n">
        <x:v>0</x:v>
      </x:c>
      <x:c r="I1728" s="8" t="n">
        <x:v>0</x:v>
      </x:c>
      <x:c r="J1728" s="8" t="n">
        <x:v>10</x:v>
      </x:c>
      <x:c r="K1728" s="8" t="n">
        <x:v>2597</x:v>
      </x:c>
      <x:c r="L1728" s="1" t="str">
        <x:v>Нет</x:v>
      </x:c>
      <x:c r="M1728" s="1" t="n">
        <x:v>13000</x:v>
      </x:c>
    </x:row>
    <x:row r="1729">
      <x:c r="A1729" s="1" t="str">
        <x:v>168681328</x:v>
      </x:c>
      <x:c r="B1729" s="1" t="str">
        <x:v>2xnitkaman/серый</x:v>
      </x:c>
      <x:c r="C1729" s="1" t="str">
        <x:v>Костюмы спортивные</x:v>
      </x:c>
      <x:c r="D1729" s="9" t="n">
        <x:v>9.7</x:v>
      </x:c>
      <x:c r="E1729" s="8" t="n">
        <x:v>110</x:v>
      </x:c>
      <x:c r="F1729" s="8" t="n">
        <x:v>0</x:v>
      </x:c>
      <x:c r="G1729" s="8" t="n">
        <x:v>0</x:v>
      </x:c>
      <x:c r="H1729" s="8" t="n">
        <x:v>0</x:v>
      </x:c>
      <x:c r="I1729" s="8" t="n">
        <x:v>0</x:v>
      </x:c>
      <x:c r="J1729" s="8" t="n">
        <x:v>0</x:v>
      </x:c>
      <x:c r="K1729" s="8" t="n">
        <x:v>0</x:v>
      </x:c>
      <x:c r="L1729" s="1" t="str">
        <x:v>Нет</x:v>
      </x:c>
      <x:c r="M1729" s="1" t="n">
        <x:v>0</x:v>
      </x:c>
    </x:row>
    <x:row r="1730">
      <x:c r="A1730" s="1" t="str">
        <x:v>168681331</x:v>
      </x:c>
      <x:c r="B1730" s="1" t="str">
        <x:v>2xnitkaman/зеленый</x:v>
      </x:c>
      <x:c r="C1730" s="1" t="str">
        <x:v>Костюмы спортивные</x:v>
      </x:c>
      <x:c r="D1730" s="9" t="n">
        <x:v>9.7</x:v>
      </x:c>
      <x:c r="E1730" s="8" t="n">
        <x:v>29</x:v>
      </x:c>
      <x:c r="F1730" s="8" t="n">
        <x:v>0</x:v>
      </x:c>
      <x:c r="G1730" s="8" t="n">
        <x:v>0</x:v>
      </x:c>
      <x:c r="H1730" s="8" t="n">
        <x:v>0</x:v>
      </x:c>
      <x:c r="I1730" s="8" t="n">
        <x:v>0</x:v>
      </x:c>
      <x:c r="J1730" s="8" t="n">
        <x:v>0</x:v>
      </x:c>
      <x:c r="K1730" s="8" t="n">
        <x:v>0</x:v>
      </x:c>
      <x:c r="L1730" s="1" t="str">
        <x:v>Нет</x:v>
      </x:c>
      <x:c r="M1730" s="1" t="n">
        <x:v>0</x:v>
      </x:c>
    </x:row>
    <x:row r="1731">
      <x:c r="A1731" s="1" t="str">
        <x:v>168681333</x:v>
      </x:c>
      <x:c r="B1731" s="1" t="str">
        <x:v>2xnitkaman/салатовый</x:v>
      </x:c>
      <x:c r="C1731" s="1" t="str">
        <x:v>Костюмы спортивные</x:v>
      </x:c>
      <x:c r="D1731" s="9" t="n">
        <x:v>9.7</x:v>
      </x:c>
      <x:c r="E1731" s="8" t="n">
        <x:v>14</x:v>
      </x:c>
      <x:c r="F1731" s="8" t="n">
        <x:v>0</x:v>
      </x:c>
      <x:c r="G1731" s="8" t="n">
        <x:v>0</x:v>
      </x:c>
      <x:c r="H1731" s="8" t="n">
        <x:v>0</x:v>
      </x:c>
      <x:c r="I1731" s="8" t="n">
        <x:v>0</x:v>
      </x:c>
      <x:c r="J1731" s="8" t="n">
        <x:v>0</x:v>
      </x:c>
      <x:c r="K1731" s="8" t="n">
        <x:v>0</x:v>
      </x:c>
      <x:c r="L1731" s="1" t="str">
        <x:v>Нет</x:v>
      </x:c>
      <x:c r="M1731" s="1" t="n">
        <x:v>0</x:v>
      </x:c>
    </x:row>
    <x:row r="1732">
      <x:c r="A1732" s="1" t="str">
        <x:v>169362177</x:v>
      </x:c>
      <x:c r="B1732" s="1" t="str">
        <x:v>longslivrukav/какао</x:v>
      </x:c>
      <x:c r="C1732" s="1" t="str">
        <x:v>Лонгсливы</x:v>
      </x:c>
      <x:c r="D1732" s="9" t="n">
        <x:v>8.7</x:v>
      </x:c>
      <x:c r="E1732" s="8" t="n">
        <x:v>185</x:v>
      </x:c>
      <x:c r="F1732" s="8" t="n">
        <x:v>0</x:v>
      </x:c>
      <x:c r="G1732" s="8" t="n">
        <x:v>0</x:v>
      </x:c>
      <x:c r="H1732" s="8" t="n">
        <x:v>0</x:v>
      </x:c>
      <x:c r="I1732" s="8" t="n">
        <x:v>0</x:v>
      </x:c>
      <x:c r="J1732" s="8" t="n">
        <x:v>0</x:v>
      </x:c>
      <x:c r="K1732" s="8" t="n">
        <x:v>0</x:v>
      </x:c>
      <x:c r="L1732" s="1" t="str">
        <x:v>Нет</x:v>
      </x:c>
      <x:c r="M1732" s="1" t="n">
        <x:v>0</x:v>
      </x:c>
    </x:row>
    <x:row r="1733">
      <x:c r="A1733" s="1" t="str">
        <x:v>169362200</x:v>
      </x:c>
      <x:c r="B1733" s="1" t="str">
        <x:v>longslivrukav/черный</x:v>
      </x:c>
      <x:c r="C1733" s="1" t="str">
        <x:v>Лонгсливы</x:v>
      </x:c>
      <x:c r="D1733" s="9" t="n">
        <x:v>8.7</x:v>
      </x:c>
      <x:c r="E1733" s="8" t="n">
        <x:v>227</x:v>
      </x:c>
      <x:c r="F1733" s="8" t="n">
        <x:v>0</x:v>
      </x:c>
      <x:c r="G1733" s="8" t="n">
        <x:v>0</x:v>
      </x:c>
      <x:c r="H1733" s="8" t="n">
        <x:v>0</x:v>
      </x:c>
      <x:c r="I1733" s="8" t="n">
        <x:v>0</x:v>
      </x:c>
      <x:c r="J1733" s="8" t="n">
        <x:v>2</x:v>
      </x:c>
      <x:c r="K1733" s="8" t="n">
        <x:v>0</x:v>
      </x:c>
      <x:c r="L1733" s="1" t="str">
        <x:v>Нет</x:v>
      </x:c>
      <x:c r="M1733" s="1" t="n">
        <x:v>700</x:v>
      </x:c>
    </x:row>
    <x:row r="1734">
      <x:c r="A1734" s="1" t="str">
        <x:v>169499265</x:v>
      </x:c>
      <x:c r="B1734" s="1" t="str">
        <x:v>2xnitka/черный</x:v>
      </x:c>
      <x:c r="C1734" s="1" t="str">
        <x:v>Костюмы спортивные</x:v>
      </x:c>
      <x:c r="D1734" s="9" t="n">
        <x:v>9.7</x:v>
      </x:c>
      <x:c r="E1734" s="8" t="n">
        <x:v>213</x:v>
      </x:c>
      <x:c r="F1734" s="8" t="n">
        <x:v>0</x:v>
      </x:c>
      <x:c r="G1734" s="8" t="n">
        <x:v>0</x:v>
      </x:c>
      <x:c r="H1734" s="8" t="n">
        <x:v>0</x:v>
      </x:c>
      <x:c r="I1734" s="8" t="n">
        <x:v>0</x:v>
      </x:c>
      <x:c r="J1734" s="8" t="n">
        <x:v>0</x:v>
      </x:c>
      <x:c r="K1734" s="8" t="n">
        <x:v>0</x:v>
      </x:c>
      <x:c r="L1734" s="1" t="str">
        <x:v>Нет</x:v>
      </x:c>
      <x:c r="M1734" s="1" t="n">
        <x:v>0</x:v>
      </x:c>
    </x:row>
    <x:row r="1735">
      <x:c r="A1735" s="1" t="str">
        <x:v>169505479</x:v>
      </x:c>
      <x:c r="B1735" s="1" t="str">
        <x:v>2xnitka/коричневый</x:v>
      </x:c>
      <x:c r="C1735" s="1" t="str">
        <x:v>Костюмы спортивные</x:v>
      </x:c>
      <x:c r="D1735" s="9" t="n">
        <x:v>9.7</x:v>
      </x:c>
      <x:c r="E1735" s="8" t="n">
        <x:v>131</x:v>
      </x:c>
      <x:c r="F1735" s="8" t="n">
        <x:v>0</x:v>
      </x:c>
      <x:c r="G1735" s="8" t="n">
        <x:v>0</x:v>
      </x:c>
      <x:c r="H1735" s="8" t="n">
        <x:v>0</x:v>
      </x:c>
      <x:c r="I1735" s="8" t="n">
        <x:v>0</x:v>
      </x:c>
      <x:c r="J1735" s="8" t="n">
        <x:v>0</x:v>
      </x:c>
      <x:c r="K1735" s="8" t="n">
        <x:v>0</x:v>
      </x:c>
      <x:c r="L1735" s="1" t="str">
        <x:v>Нет</x:v>
      </x:c>
      <x:c r="M1735" s="1" t="n">
        <x:v>0</x:v>
      </x:c>
    </x:row>
    <x:row r="1736">
      <x:c r="A1736" s="1" t="str">
        <x:v>169505480</x:v>
      </x:c>
      <x:c r="B1736" s="1" t="str">
        <x:v>2xnitka/песочный</x:v>
      </x:c>
      <x:c r="C1736" s="1" t="str">
        <x:v>Костюмы спортивные</x:v>
      </x:c>
      <x:c r="D1736" s="9" t="n">
        <x:v>9.7</x:v>
      </x:c>
      <x:c r="E1736" s="8" t="n">
        <x:v>21</x:v>
      </x:c>
      <x:c r="F1736" s="8" t="n">
        <x:v>0</x:v>
      </x:c>
      <x:c r="G1736" s="8" t="n">
        <x:v>0</x:v>
      </x:c>
      <x:c r="H1736" s="8" t="n">
        <x:v>0</x:v>
      </x:c>
      <x:c r="I1736" s="8" t="n">
        <x:v>0</x:v>
      </x:c>
      <x:c r="J1736" s="8" t="n">
        <x:v>0</x:v>
      </x:c>
      <x:c r="K1736" s="8" t="n">
        <x:v>0</x:v>
      </x:c>
      <x:c r="L1736" s="1" t="str">
        <x:v>Нет</x:v>
      </x:c>
      <x:c r="M1736" s="1" t="n">
        <x:v>0</x:v>
      </x:c>
    </x:row>
    <x:row r="1737">
      <x:c r="A1737" s="1" t="str">
        <x:v>169505482</x:v>
      </x:c>
      <x:c r="B1737" s="1" t="str">
        <x:v>2xnitka/зеленый</x:v>
      </x:c>
      <x:c r="C1737" s="1" t="str">
        <x:v>Костюмы спортивные</x:v>
      </x:c>
      <x:c r="D1737" s="9" t="n">
        <x:v>9.7</x:v>
      </x:c>
      <x:c r="E1737" s="8" t="n">
        <x:v>34</x:v>
      </x:c>
      <x:c r="F1737" s="8" t="n">
        <x:v>0</x:v>
      </x:c>
      <x:c r="G1737" s="8" t="n">
        <x:v>0</x:v>
      </x:c>
      <x:c r="H1737" s="8" t="n">
        <x:v>0</x:v>
      </x:c>
      <x:c r="I1737" s="8" t="n">
        <x:v>0</x:v>
      </x:c>
      <x:c r="J1737" s="8" t="n">
        <x:v>2</x:v>
      </x:c>
      <x:c r="K1737" s="8" t="n">
        <x:v>0</x:v>
      </x:c>
      <x:c r="L1737" s="1" t="str">
        <x:v>Нет</x:v>
      </x:c>
      <x:c r="M1737" s="1" t="n">
        <x:v>2257</x:v>
      </x:c>
    </x:row>
    <x:row r="1738">
      <x:c r="A1738" s="1" t="str">
        <x:v>169505483</x:v>
      </x:c>
      <x:c r="B1738" s="1" t="str">
        <x:v>2xnitka/молочный</x:v>
      </x:c>
      <x:c r="C1738" s="1" t="str">
        <x:v>Костюмы спортивные</x:v>
      </x:c>
      <x:c r="D1738" s="9" t="n">
        <x:v>9.7</x:v>
      </x:c>
      <x:c r="E1738" s="8" t="n">
        <x:v>113</x:v>
      </x:c>
      <x:c r="F1738" s="8" t="n">
        <x:v>0</x:v>
      </x:c>
      <x:c r="G1738" s="8" t="n">
        <x:v>0</x:v>
      </x:c>
      <x:c r="H1738" s="8" t="n">
        <x:v>0</x:v>
      </x:c>
      <x:c r="I1738" s="8" t="n">
        <x:v>0</x:v>
      </x:c>
      <x:c r="J1738" s="8" t="n">
        <x:v>0</x:v>
      </x:c>
      <x:c r="K1738" s="8" t="n">
        <x:v>0</x:v>
      </x:c>
      <x:c r="L1738" s="1" t="str">
        <x:v>Нет</x:v>
      </x:c>
      <x:c r="M1738" s="1" t="n">
        <x:v>0</x:v>
      </x:c>
    </x:row>
    <x:row r="1739">
      <x:c r="A1739" s="1" t="str">
        <x:v>169505484</x:v>
      </x:c>
      <x:c r="B1739" s="1" t="str">
        <x:v>2xnitka/салатовый</x:v>
      </x:c>
      <x:c r="C1739" s="1" t="str">
        <x:v>Костюмы спортивные</x:v>
      </x:c>
      <x:c r="D1739" s="9" t="n">
        <x:v>9.7</x:v>
      </x:c>
      <x:c r="E1739" s="8" t="n">
        <x:v>30</x:v>
      </x:c>
      <x:c r="F1739" s="8" t="n">
        <x:v>0</x:v>
      </x:c>
      <x:c r="G1739" s="8" t="n">
        <x:v>0</x:v>
      </x:c>
      <x:c r="H1739" s="8" t="n">
        <x:v>0</x:v>
      </x:c>
      <x:c r="I1739" s="8" t="n">
        <x:v>0</x:v>
      </x:c>
      <x:c r="J1739" s="8" t="n">
        <x:v>0</x:v>
      </x:c>
      <x:c r="K1739" s="8" t="n">
        <x:v>0</x:v>
      </x:c>
      <x:c r="L1739" s="1" t="str">
        <x:v>Нет</x:v>
      </x:c>
      <x:c r="M1739" s="1" t="n">
        <x:v>0</x:v>
      </x:c>
    </x:row>
    <x:row r="1740">
      <x:c r="A1740" s="1" t="str">
        <x:v>169505492</x:v>
      </x:c>
      <x:c r="B1740" s="1" t="str">
        <x:v>2xnitka/кофейный</x:v>
      </x:c>
      <x:c r="C1740" s="1" t="str">
        <x:v>Костюмы спортивные</x:v>
      </x:c>
      <x:c r="D1740" s="9" t="n">
        <x:v>9.7</x:v>
      </x:c>
      <x:c r="E1740" s="8" t="n">
        <x:v>159</x:v>
      </x:c>
      <x:c r="F1740" s="8" t="n">
        <x:v>0</x:v>
      </x:c>
      <x:c r="G1740" s="8" t="n">
        <x:v>0</x:v>
      </x:c>
      <x:c r="H1740" s="8" t="n">
        <x:v>0</x:v>
      </x:c>
      <x:c r="I1740" s="8" t="n">
        <x:v>0</x:v>
      </x:c>
      <x:c r="J1740" s="8" t="n">
        <x:v>0</x:v>
      </x:c>
      <x:c r="K1740" s="8" t="n">
        <x:v>0</x:v>
      </x:c>
      <x:c r="L1740" s="1" t="str">
        <x:v>Нет</x:v>
      </x:c>
      <x:c r="M1740" s="1" t="n">
        <x:v>0</x:v>
      </x:c>
    </x:row>
    <x:row r="1741">
      <x:c r="A1741" s="1" t="str">
        <x:v>169505493</x:v>
      </x:c>
      <x:c r="B1741" s="1" t="str">
        <x:v>2xnitka/красный</x:v>
      </x:c>
      <x:c r="C1741" s="1" t="str">
        <x:v>Костюмы спортивные</x:v>
      </x:c>
      <x:c r="D1741" s="9" t="n">
        <x:v>9.7</x:v>
      </x:c>
      <x:c r="E1741" s="8" t="n">
        <x:v>71</x:v>
      </x:c>
      <x:c r="F1741" s="8" t="n">
        <x:v>0</x:v>
      </x:c>
      <x:c r="G1741" s="8" t="n">
        <x:v>0</x:v>
      </x:c>
      <x:c r="H1741" s="8" t="n">
        <x:v>0</x:v>
      </x:c>
      <x:c r="I1741" s="8" t="n">
        <x:v>0</x:v>
      </x:c>
      <x:c r="J1741" s="8" t="n">
        <x:v>0</x:v>
      </x:c>
      <x:c r="K1741" s="8" t="n">
        <x:v>0</x:v>
      </x:c>
      <x:c r="L1741" s="1" t="str">
        <x:v>Нет</x:v>
      </x:c>
      <x:c r="M1741" s="1" t="n">
        <x:v>0</x:v>
      </x:c>
    </x:row>
    <x:row r="1742">
      <x:c r="A1742" s="1" t="str">
        <x:v>169505494</x:v>
      </x:c>
      <x:c r="B1742" s="1" t="str">
        <x:v>2xnitka/фуксия</x:v>
      </x:c>
      <x:c r="C1742" s="1" t="str">
        <x:v>Костюмы спортивные</x:v>
      </x:c>
      <x:c r="D1742" s="9" t="n">
        <x:v>9.7</x:v>
      </x:c>
      <x:c r="E1742" s="8" t="n">
        <x:v>93</x:v>
      </x:c>
      <x:c r="F1742" s="8" t="n">
        <x:v>0</x:v>
      </x:c>
      <x:c r="G1742" s="8" t="n">
        <x:v>0</x:v>
      </x:c>
      <x:c r="H1742" s="8" t="n">
        <x:v>0</x:v>
      </x:c>
      <x:c r="I1742" s="8" t="n">
        <x:v>0</x:v>
      </x:c>
      <x:c r="J1742" s="8" t="n">
        <x:v>0</x:v>
      </x:c>
      <x:c r="K1742" s="8" t="n">
        <x:v>0</x:v>
      </x:c>
      <x:c r="L1742" s="1" t="str">
        <x:v>Нет</x:v>
      </x:c>
      <x:c r="M1742" s="1" t="n">
        <x:v>0</x:v>
      </x:c>
    </x:row>
    <x:row r="1743">
      <x:c r="A1743" s="1" t="str">
        <x:v>169505495</x:v>
      </x:c>
      <x:c r="B1743" s="1" t="str">
        <x:v>2xnitka/светло-зеленый</x:v>
      </x:c>
      <x:c r="C1743" s="1" t="str">
        <x:v>Костюмы спортивные</x:v>
      </x:c>
      <x:c r="D1743" s="9" t="n">
        <x:v>9.7</x:v>
      </x:c>
      <x:c r="E1743" s="8" t="n">
        <x:v>104</x:v>
      </x:c>
      <x:c r="F1743" s="8" t="n">
        <x:v>0</x:v>
      </x:c>
      <x:c r="G1743" s="8" t="n">
        <x:v>0</x:v>
      </x:c>
      <x:c r="H1743" s="8" t="n">
        <x:v>0</x:v>
      </x:c>
      <x:c r="I1743" s="8" t="n">
        <x:v>0</x:v>
      </x:c>
      <x:c r="J1743" s="8" t="n">
        <x:v>0</x:v>
      </x:c>
      <x:c r="K1743" s="8" t="n">
        <x:v>0</x:v>
      </x:c>
      <x:c r="L1743" s="1" t="str">
        <x:v>Нет</x:v>
      </x:c>
      <x:c r="M1743" s="1" t="n">
        <x:v>0</x:v>
      </x:c>
    </x:row>
    <x:row r="1744">
      <x:c r="A1744" s="1" t="str">
        <x:v>169505499</x:v>
      </x:c>
      <x:c r="B1744" s="1" t="str">
        <x:v>2xnitka/темно-синий</x:v>
      </x:c>
      <x:c r="C1744" s="1" t="str">
        <x:v>Костюмы спортивные</x:v>
      </x:c>
      <x:c r="D1744" s="9" t="n">
        <x:v>9.7</x:v>
      </x:c>
      <x:c r="E1744" s="8" t="n">
        <x:v>95</x:v>
      </x:c>
      <x:c r="F1744" s="8" t="n">
        <x:v>0</x:v>
      </x:c>
      <x:c r="G1744" s="8" t="n">
        <x:v>0</x:v>
      </x:c>
      <x:c r="H1744" s="8" t="n">
        <x:v>0</x:v>
      </x:c>
      <x:c r="I1744" s="8" t="n">
        <x:v>0</x:v>
      </x:c>
      <x:c r="J1744" s="8" t="n">
        <x:v>0</x:v>
      </x:c>
      <x:c r="K1744" s="8" t="n">
        <x:v>0</x:v>
      </x:c>
      <x:c r="L1744" s="1" t="str">
        <x:v>Нет</x:v>
      </x:c>
      <x:c r="M1744" s="1" t="n">
        <x:v>0</x:v>
      </x:c>
    </x:row>
    <x:row r="1745">
      <x:c r="A1745" s="1" t="str">
        <x:v>169505500</x:v>
      </x:c>
      <x:c r="B1745" s="1" t="str">
        <x:v>2xnitka/серый</x:v>
      </x:c>
      <x:c r="C1745" s="1" t="str">
        <x:v>Костюмы спортивные</x:v>
      </x:c>
      <x:c r="D1745" s="9" t="n">
        <x:v>9.7</x:v>
      </x:c>
      <x:c r="E1745" s="8" t="n">
        <x:v>99</x:v>
      </x:c>
      <x:c r="F1745" s="8" t="n">
        <x:v>0</x:v>
      </x:c>
      <x:c r="G1745" s="8" t="n">
        <x:v>0</x:v>
      </x:c>
      <x:c r="H1745" s="8" t="n">
        <x:v>0</x:v>
      </x:c>
      <x:c r="I1745" s="8" t="n">
        <x:v>0</x:v>
      </x:c>
      <x:c r="J1745" s="8" t="n">
        <x:v>0</x:v>
      </x:c>
      <x:c r="K1745" s="8" t="n">
        <x:v>0</x:v>
      </x:c>
      <x:c r="L1745" s="1" t="str">
        <x:v>Нет</x:v>
      </x:c>
      <x:c r="M1745" s="1" t="n">
        <x:v>0</x:v>
      </x:c>
    </x:row>
    <x:row r="1746">
      <x:c r="A1746" s="1" t="str">
        <x:v>169505503</x:v>
      </x:c>
      <x:c r="B1746" s="1" t="str">
        <x:v>2xnitka/серый меланж</x:v>
      </x:c>
      <x:c r="C1746" s="1" t="str">
        <x:v>Костюмы спортивные</x:v>
      </x:c>
      <x:c r="D1746" s="9" t="n">
        <x:v>9.7</x:v>
      </x:c>
      <x:c r="E1746" s="8" t="n">
        <x:v>79</x:v>
      </x:c>
      <x:c r="F1746" s="8" t="n">
        <x:v>0</x:v>
      </x:c>
      <x:c r="G1746" s="8" t="n">
        <x:v>0</x:v>
      </x:c>
      <x:c r="H1746" s="8" t="n">
        <x:v>0</x:v>
      </x:c>
      <x:c r="I1746" s="8" t="n">
        <x:v>0</x:v>
      </x:c>
      <x:c r="J1746" s="8" t="n">
        <x:v>0</x:v>
      </x:c>
      <x:c r="K1746" s="8" t="n">
        <x:v>0</x:v>
      </x:c>
      <x:c r="L1746" s="1" t="str">
        <x:v>Нет</x:v>
      </x:c>
      <x:c r="M1746" s="1" t="n">
        <x:v>0</x:v>
      </x:c>
    </x:row>
    <x:row r="1747">
      <x:c r="A1747" s="1" t="str">
        <x:v>169512563</x:v>
      </x:c>
      <x:c r="B1747" s="1" t="str">
        <x:v>2xnitkacrop/черный</x:v>
      </x:c>
      <x:c r="C1747" s="1" t="str">
        <x:v>Костюмы спортивные</x:v>
      </x:c>
      <x:c r="D1747" s="9" t="n">
        <x:v>9.7</x:v>
      </x:c>
      <x:c r="E1747" s="8" t="n">
        <x:v>1425</x:v>
      </x:c>
      <x:c r="F1747" s="8" t="n">
        <x:v>3</x:v>
      </x:c>
      <x:c r="G1747" s="8" t="n">
        <x:v>0</x:v>
      </x:c>
      <x:c r="H1747" s="8" t="n">
        <x:v>1</x:v>
      </x:c>
      <x:c r="I1747" s="8" t="n">
        <x:v>0</x:v>
      </x:c>
      <x:c r="J1747" s="8" t="n">
        <x:v>3</x:v>
      </x:c>
      <x:c r="K1747" s="8" t="n">
        <x:v>3097</x:v>
      </x:c>
      <x:c r="L1747" s="1" t="str">
        <x:v>Нет</x:v>
      </x:c>
      <x:c r="M1747" s="1" t="n">
        <x:v>0</x:v>
      </x:c>
    </x:row>
    <x:row r="1748">
      <x:c r="A1748" s="1" t="str">
        <x:v>169512642</x:v>
      </x:c>
      <x:c r="B1748" s="1" t="str">
        <x:v>2xnitkacrop/светло-зеленый</x:v>
      </x:c>
      <x:c r="C1748" s="1" t="str">
        <x:v>Костюмы спортивные</x:v>
      </x:c>
      <x:c r="D1748" s="9" t="n">
        <x:v>9.7</x:v>
      </x:c>
      <x:c r="E1748" s="8" t="n">
        <x:v>350</x:v>
      </x:c>
      <x:c r="F1748" s="8" t="n">
        <x:v>0</x:v>
      </x:c>
      <x:c r="G1748" s="8" t="n">
        <x:v>0</x:v>
      </x:c>
      <x:c r="H1748" s="8" t="n">
        <x:v>0</x:v>
      </x:c>
      <x:c r="I1748" s="8" t="n">
        <x:v>0</x:v>
      </x:c>
      <x:c r="J1748" s="8" t="n">
        <x:v>1</x:v>
      </x:c>
      <x:c r="K1748" s="8" t="n">
        <x:v>0</x:v>
      </x:c>
      <x:c r="L1748" s="1" t="str">
        <x:v>Нет</x:v>
      </x:c>
      <x:c r="M1748" s="1" t="n">
        <x:v>0</x:v>
      </x:c>
    </x:row>
    <x:row r="1749">
      <x:c r="A1749" s="1" t="str">
        <x:v>169512647</x:v>
      </x:c>
      <x:c r="B1749" s="1" t="str">
        <x:v>2xnitkacrop/серый</x:v>
      </x:c>
      <x:c r="C1749" s="1" t="str">
        <x:v>Костюмы спортивные</x:v>
      </x:c>
      <x:c r="D1749" s="9" t="n">
        <x:v>9.7</x:v>
      </x:c>
      <x:c r="E1749" s="8" t="n">
        <x:v>235</x:v>
      </x:c>
      <x:c r="F1749" s="8" t="n">
        <x:v>0</x:v>
      </x:c>
      <x:c r="G1749" s="8" t="n">
        <x:v>0</x:v>
      </x:c>
      <x:c r="H1749" s="8" t="n">
        <x:v>0</x:v>
      </x:c>
      <x:c r="I1749" s="8" t="n">
        <x:v>0</x:v>
      </x:c>
      <x:c r="J1749" s="8" t="n">
        <x:v>0</x:v>
      </x:c>
      <x:c r="K1749" s="8" t="n">
        <x:v>0</x:v>
      </x:c>
      <x:c r="L1749" s="1" t="str">
        <x:v>Нет</x:v>
      </x:c>
      <x:c r="M1749" s="1" t="n">
        <x:v>0</x:v>
      </x:c>
    </x:row>
    <x:row r="1750">
      <x:c r="A1750" s="1" t="str">
        <x:v>169512648</x:v>
      </x:c>
      <x:c r="B1750" s="1" t="str">
        <x:v>2xnitkacrop/серый меланж</x:v>
      </x:c>
      <x:c r="C1750" s="1" t="str">
        <x:v>Костюмы спортивные</x:v>
      </x:c>
      <x:c r="D1750" s="9" t="n">
        <x:v>9.7</x:v>
      </x:c>
      <x:c r="E1750" s="8" t="n">
        <x:v>219</x:v>
      </x:c>
      <x:c r="F1750" s="8" t="n">
        <x:v>0</x:v>
      </x:c>
      <x:c r="G1750" s="8" t="n">
        <x:v>0</x:v>
      </x:c>
      <x:c r="H1750" s="8" t="n">
        <x:v>0</x:v>
      </x:c>
      <x:c r="I1750" s="8" t="n">
        <x:v>0</x:v>
      </x:c>
      <x:c r="J1750" s="8" t="n">
        <x:v>0</x:v>
      </x:c>
      <x:c r="K1750" s="8" t="n">
        <x:v>0</x:v>
      </x:c>
      <x:c r="L1750" s="1" t="str">
        <x:v>Нет</x:v>
      </x:c>
      <x:c r="M1750" s="1" t="n">
        <x:v>0</x:v>
      </x:c>
    </x:row>
    <x:row r="1751">
      <x:c r="A1751" s="1" t="str">
        <x:v>169512650</x:v>
      </x:c>
      <x:c r="B1751" s="1" t="str">
        <x:v>2xnitkacrop/красный</x:v>
      </x:c>
      <x:c r="C1751" s="1" t="str">
        <x:v>Костюмы спортивные</x:v>
      </x:c>
      <x:c r="D1751" s="9" t="n">
        <x:v>9.7</x:v>
      </x:c>
      <x:c r="E1751" s="8" t="n">
        <x:v>310</x:v>
      </x:c>
      <x:c r="F1751" s="8" t="n">
        <x:v>0</x:v>
      </x:c>
      <x:c r="G1751" s="8" t="n">
        <x:v>0</x:v>
      </x:c>
      <x:c r="H1751" s="8" t="n">
        <x:v>0</x:v>
      </x:c>
      <x:c r="I1751" s="8" t="n">
        <x:v>0</x:v>
      </x:c>
      <x:c r="J1751" s="8" t="n">
        <x:v>0</x:v>
      </x:c>
      <x:c r="K1751" s="8" t="n">
        <x:v>0</x:v>
      </x:c>
      <x:c r="L1751" s="1" t="str">
        <x:v>Нет</x:v>
      </x:c>
      <x:c r="M1751" s="1" t="n">
        <x:v>0</x:v>
      </x:c>
    </x:row>
    <x:row r="1752">
      <x:c r="A1752" s="1" t="str">
        <x:v>169512654</x:v>
      </x:c>
      <x:c r="B1752" s="1" t="str">
        <x:v>2xnitkacrop/кофейный</x:v>
      </x:c>
      <x:c r="C1752" s="1" t="str">
        <x:v>Костюмы спортивные</x:v>
      </x:c>
      <x:c r="D1752" s="9" t="n">
        <x:v>9.7</x:v>
      </x:c>
      <x:c r="E1752" s="8" t="n">
        <x:v>2045</x:v>
      </x:c>
      <x:c r="F1752" s="8" t="n">
        <x:v>8</x:v>
      </x:c>
      <x:c r="G1752" s="8" t="n">
        <x:v>0</x:v>
      </x:c>
      <x:c r="H1752" s="8" t="n">
        <x:v>0</x:v>
      </x:c>
      <x:c r="I1752" s="8" t="n">
        <x:v>0</x:v>
      </x:c>
      <x:c r="J1752" s="8" t="n">
        <x:v>11</x:v>
      </x:c>
      <x:c r="K1752" s="8" t="n">
        <x:v>2593</x:v>
      </x:c>
      <x:c r="L1752" s="1" t="str">
        <x:v>Нет</x:v>
      </x:c>
      <x:c r="M1752" s="1" t="n">
        <x:v>2600</x:v>
      </x:c>
    </x:row>
    <x:row r="1753">
      <x:c r="A1753" s="1" t="str">
        <x:v>169512657</x:v>
      </x:c>
      <x:c r="B1753" s="1" t="str">
        <x:v>2xnitkacrop/зеленый</x:v>
      </x:c>
      <x:c r="C1753" s="1" t="str">
        <x:v>Костюмы спортивные</x:v>
      </x:c>
      <x:c r="D1753" s="9" t="n">
        <x:v>9.7</x:v>
      </x:c>
      <x:c r="E1753" s="8" t="n">
        <x:v>898</x:v>
      </x:c>
      <x:c r="F1753" s="8" t="n">
        <x:v>3</x:v>
      </x:c>
      <x:c r="G1753" s="8" t="n">
        <x:v>0</x:v>
      </x:c>
      <x:c r="H1753" s="8" t="n">
        <x:v>0</x:v>
      </x:c>
      <x:c r="I1753" s="8" t="n">
        <x:v>0</x:v>
      </x:c>
      <x:c r="J1753" s="8" t="n">
        <x:v>9</x:v>
      </x:c>
      <x:c r="K1753" s="8" t="n">
        <x:v>2580</x:v>
      </x:c>
      <x:c r="L1753" s="1" t="str">
        <x:v>Нет</x:v>
      </x:c>
      <x:c r="M1753" s="1" t="n">
        <x:v>4160</x:v>
      </x:c>
    </x:row>
    <x:row r="1754">
      <x:c r="A1754" s="1" t="str">
        <x:v>169512660</x:v>
      </x:c>
      <x:c r="B1754" s="1" t="str">
        <x:v>2xnitkacrop/темно-синий</x:v>
      </x:c>
      <x:c r="C1754" s="1" t="str">
        <x:v>Костюмы спортивные</x:v>
      </x:c>
      <x:c r="D1754" s="9" t="n">
        <x:v>9.7</x:v>
      </x:c>
      <x:c r="E1754" s="8" t="n">
        <x:v>352</x:v>
      </x:c>
      <x:c r="F1754" s="8" t="n">
        <x:v>0</x:v>
      </x:c>
      <x:c r="G1754" s="8" t="n">
        <x:v>0</x:v>
      </x:c>
      <x:c r="H1754" s="8" t="n">
        <x:v>0</x:v>
      </x:c>
      <x:c r="I1754" s="8" t="n">
        <x:v>0</x:v>
      </x:c>
      <x:c r="J1754" s="8" t="n">
        <x:v>1</x:v>
      </x:c>
      <x:c r="K1754" s="8" t="n">
        <x:v>0</x:v>
      </x:c>
      <x:c r="L1754" s="1" t="str">
        <x:v>Нет</x:v>
      </x:c>
      <x:c r="M1754" s="1" t="n">
        <x:v>2080</x:v>
      </x:c>
    </x:row>
    <x:row r="1755">
      <x:c r="A1755" s="1" t="str">
        <x:v>169512663</x:v>
      </x:c>
      <x:c r="B1755" s="1" t="str">
        <x:v>2xnitkacrop/коричневый</x:v>
      </x:c>
      <x:c r="C1755" s="1" t="str">
        <x:v>Костюмы спортивные</x:v>
      </x:c>
      <x:c r="D1755" s="9" t="n">
        <x:v>9.7</x:v>
      </x:c>
      <x:c r="E1755" s="8" t="n">
        <x:v>665</x:v>
      </x:c>
      <x:c r="F1755" s="8" t="n">
        <x:v>3</x:v>
      </x:c>
      <x:c r="G1755" s="8" t="n">
        <x:v>0</x:v>
      </x:c>
      <x:c r="H1755" s="8" t="n">
        <x:v>0</x:v>
      </x:c>
      <x:c r="I1755" s="8" t="n">
        <x:v>0</x:v>
      </x:c>
      <x:c r="J1755" s="8" t="n">
        <x:v>4</x:v>
      </x:c>
      <x:c r="K1755" s="8" t="n">
        <x:v>2573</x:v>
      </x:c>
      <x:c r="L1755" s="1" t="str">
        <x:v>Нет</x:v>
      </x:c>
      <x:c r="M1755" s="1" t="n">
        <x:v>2600</x:v>
      </x:c>
    </x:row>
    <x:row r="1756">
      <x:c r="A1756" s="1" t="str">
        <x:v>169518045</x:v>
      </x:c>
      <x:c r="B1756" s="1" t="str">
        <x:v>2xnitkacrop/морская-волна</x:v>
      </x:c>
      <x:c r="C1756" s="1" t="str">
        <x:v>Костюмы спортивные</x:v>
      </x:c>
      <x:c r="D1756" s="9" t="n">
        <x:v>9.7</x:v>
      </x:c>
      <x:c r="E1756" s="8" t="n">
        <x:v>132</x:v>
      </x:c>
      <x:c r="F1756" s="8" t="n">
        <x:v>0</x:v>
      </x:c>
      <x:c r="G1756" s="8" t="n">
        <x:v>0</x:v>
      </x:c>
      <x:c r="H1756" s="8" t="n">
        <x:v>0</x:v>
      </x:c>
      <x:c r="I1756" s="8" t="n">
        <x:v>0</x:v>
      </x:c>
      <x:c r="J1756" s="8" t="n">
        <x:v>0</x:v>
      </x:c>
      <x:c r="K1756" s="8" t="n">
        <x:v>0</x:v>
      </x:c>
      <x:c r="L1756" s="1" t="str">
        <x:v>Нет</x:v>
      </x:c>
      <x:c r="M1756" s="1" t="n">
        <x:v>0</x:v>
      </x:c>
    </x:row>
    <x:row r="1757">
      <x:c r="A1757" s="1" t="str">
        <x:v>169518066</x:v>
      </x:c>
      <x:c r="B1757" s="1" t="str">
        <x:v>2xnitka/морская-волна</x:v>
      </x:c>
      <x:c r="C1757" s="1" t="str">
        <x:v>Костюмы спортивные</x:v>
      </x:c>
      <x:c r="D1757" s="9" t="n">
        <x:v>9.7</x:v>
      </x:c>
      <x:c r="E1757" s="8" t="n">
        <x:v>60</x:v>
      </x:c>
      <x:c r="F1757" s="8" t="n">
        <x:v>0</x:v>
      </x:c>
      <x:c r="G1757" s="8" t="n">
        <x:v>0</x:v>
      </x:c>
      <x:c r="H1757" s="8" t="n">
        <x:v>0</x:v>
      </x:c>
      <x:c r="I1757" s="8" t="n">
        <x:v>0</x:v>
      </x:c>
      <x:c r="J1757" s="8" t="n">
        <x:v>0</x:v>
      </x:c>
      <x:c r="K1757" s="8" t="n">
        <x:v>0</x:v>
      </x:c>
      <x:c r="L1757" s="1" t="str">
        <x:v>Нет</x:v>
      </x:c>
      <x:c r="M1757" s="1" t="n">
        <x:v>0</x:v>
      </x:c>
    </x:row>
    <x:row r="1758">
      <x:c r="A1758" s="1" t="str">
        <x:v>169854761</x:v>
      </x:c>
      <x:c r="B1758" s="1" t="str">
        <x:v>2xnitkaman/белый</x:v>
      </x:c>
      <x:c r="C1758" s="1" t="str">
        <x:v>Костюмы спортивные</x:v>
      </x:c>
      <x:c r="D1758" s="9" t="n">
        <x:v>7.7</x:v>
      </x:c>
      <x:c r="E1758" s="8" t="n">
        <x:v>15</x:v>
      </x:c>
      <x:c r="F1758" s="8" t="n">
        <x:v>0</x:v>
      </x:c>
      <x:c r="G1758" s="8" t="n">
        <x:v>0</x:v>
      </x:c>
      <x:c r="H1758" s="8" t="n">
        <x:v>0</x:v>
      </x:c>
      <x:c r="I1758" s="8" t="n">
        <x:v>0</x:v>
      </x:c>
      <x:c r="J1758" s="8" t="n">
        <x:v>0</x:v>
      </x:c>
      <x:c r="K1758" s="8" t="n">
        <x:v>0</x:v>
      </x:c>
      <x:c r="L1758" s="1" t="str">
        <x:v>Нет</x:v>
      </x:c>
      <x:c r="M1758" s="1" t="n">
        <x:v>0</x:v>
      </x:c>
    </x:row>
    <x:row r="1759">
      <x:c r="A1759" s="1" t="str">
        <x:v>169904492</x:v>
      </x:c>
      <x:c r="B1759" s="1" t="str">
        <x:v>2xnitkaman/мятапыльная</x:v>
      </x:c>
      <x:c r="C1759" s="1" t="str">
        <x:v>Костюмы спортивные</x:v>
      </x:c>
      <x:c r="D1759" s="9" t="n">
        <x:v>9.7</x:v>
      </x:c>
      <x:c r="E1759" s="8" t="n">
        <x:v>17</x:v>
      </x:c>
      <x:c r="F1759" s="8" t="n">
        <x:v>0</x:v>
      </x:c>
      <x:c r="G1759" s="8" t="n">
        <x:v>0</x:v>
      </x:c>
      <x:c r="H1759" s="8" t="n">
        <x:v>0</x:v>
      </x:c>
      <x:c r="I1759" s="8" t="n">
        <x:v>0</x:v>
      </x:c>
      <x:c r="J1759" s="8" t="n">
        <x:v>0</x:v>
      </x:c>
      <x:c r="K1759" s="8" t="n">
        <x:v>0</x:v>
      </x:c>
      <x:c r="L1759" s="1" t="str">
        <x:v>Нет</x:v>
      </x:c>
      <x:c r="M1759" s="1" t="n">
        <x:v>0</x:v>
      </x:c>
    </x:row>
    <x:row r="1760">
      <x:c r="A1760" s="1" t="str">
        <x:v>170027512</x:v>
      </x:c>
      <x:c r="B1760" s="1" t="str">
        <x:v>2xnitkaman/фуме</x:v>
      </x:c>
      <x:c r="C1760" s="1" t="str">
        <x:v>Костюмы спортивные</x:v>
      </x:c>
      <x:c r="D1760" s="9" t="n">
        <x:v>9.7</x:v>
      </x:c>
      <x:c r="E1760" s="8" t="n">
        <x:v>122</x:v>
      </x:c>
      <x:c r="F1760" s="8" t="n">
        <x:v>0</x:v>
      </x:c>
      <x:c r="G1760" s="8" t="n">
        <x:v>0</x:v>
      </x:c>
      <x:c r="H1760" s="8" t="n">
        <x:v>0</x:v>
      </x:c>
      <x:c r="I1760" s="8" t="n">
        <x:v>0</x:v>
      </x:c>
      <x:c r="J1760" s="8" t="n">
        <x:v>0</x:v>
      </x:c>
      <x:c r="K1760" s="8" t="n">
        <x:v>0</x:v>
      </x:c>
      <x:c r="L1760" s="1" t="str">
        <x:v>Нет</x:v>
      </x:c>
      <x:c r="M1760" s="1" t="n">
        <x:v>0</x:v>
      </x:c>
    </x:row>
    <x:row r="1761">
      <x:c r="A1761" s="1" t="str">
        <x:v>170169465</x:v>
      </x:c>
      <x:c r="B1761" s="1" t="str">
        <x:v>brukiman/фуксия</x:v>
      </x:c>
      <x:c r="C1761" s="1" t="str">
        <x:v>Брюки</x:v>
      </x:c>
      <x:c r="D1761" s="9" t="n">
        <x:v>9.7</x:v>
      </x:c>
      <x:c r="E1761" s="8" t="n">
        <x:v>130</x:v>
      </x:c>
      <x:c r="F1761" s="8" t="n">
        <x:v>0</x:v>
      </x:c>
      <x:c r="G1761" s="8" t="n">
        <x:v>0</x:v>
      </x:c>
      <x:c r="H1761" s="8" t="n">
        <x:v>0</x:v>
      </x:c>
      <x:c r="I1761" s="8" t="n">
        <x:v>0</x:v>
      </x:c>
      <x:c r="J1761" s="8" t="n">
        <x:v>0</x:v>
      </x:c>
      <x:c r="K1761" s="8" t="n">
        <x:v>0</x:v>
      </x:c>
      <x:c r="L1761" s="1" t="str">
        <x:v>Нет</x:v>
      </x:c>
      <x:c r="M1761" s="1" t="n">
        <x:v>0</x:v>
      </x:c>
    </x:row>
    <x:row r="1762">
      <x:c r="A1762" s="1" t="str">
        <x:v>170169471</x:v>
      </x:c>
      <x:c r="B1762" s="1" t="str">
        <x:v>brukiman/серыймеланж</x:v>
      </x:c>
      <x:c r="C1762" s="1" t="str">
        <x:v>Брюки</x:v>
      </x:c>
      <x:c r="D1762" s="9" t="n">
        <x:v>9.7</x:v>
      </x:c>
      <x:c r="E1762" s="8" t="n">
        <x:v>1280</x:v>
      </x:c>
      <x:c r="F1762" s="8" t="n">
        <x:v>2</x:v>
      </x:c>
      <x:c r="G1762" s="8" t="n">
        <x:v>0</x:v>
      </x:c>
      <x:c r="H1762" s="8" t="n">
        <x:v>11</x:v>
      </x:c>
      <x:c r="I1762" s="8" t="n">
        <x:v>0</x:v>
      </x:c>
      <x:c r="J1762" s="8" t="n">
        <x:v>17</x:v>
      </x:c>
      <x:c r="K1762" s="8" t="n">
        <x:v>2058</x:v>
      </x:c>
      <x:c r="L1762" s="1" t="str">
        <x:v>Нет</x:v>
      </x:c>
      <x:c r="M1762" s="1" t="n">
        <x:v>11872</x:v>
      </x:c>
    </x:row>
    <x:row r="1763">
      <x:c r="A1763" s="1" t="str">
        <x:v>170169478</x:v>
      </x:c>
      <x:c r="B1763" s="1" t="str">
        <x:v>brukiman/салатовый</x:v>
      </x:c>
      <x:c r="C1763" s="1" t="str">
        <x:v>Брюки</x:v>
      </x:c>
      <x:c r="D1763" s="9" t="n">
        <x:v>9.7</x:v>
      </x:c>
      <x:c r="E1763" s="8" t="n">
        <x:v>126</x:v>
      </x:c>
      <x:c r="F1763" s="8" t="n">
        <x:v>0</x:v>
      </x:c>
      <x:c r="G1763" s="8" t="n">
        <x:v>0</x:v>
      </x:c>
      <x:c r="H1763" s="8" t="n">
        <x:v>0</x:v>
      </x:c>
      <x:c r="I1763" s="8" t="n">
        <x:v>0</x:v>
      </x:c>
      <x:c r="J1763" s="8" t="n">
        <x:v>0</x:v>
      </x:c>
      <x:c r="K1763" s="8" t="n">
        <x:v>0</x:v>
      </x:c>
      <x:c r="L1763" s="1" t="str">
        <x:v>Нет</x:v>
      </x:c>
      <x:c r="M1763" s="1" t="n">
        <x:v>0</x:v>
      </x:c>
    </x:row>
    <x:row r="1764">
      <x:c r="A1764" s="1" t="str">
        <x:v>170169483</x:v>
      </x:c>
      <x:c r="B1764" s="1" t="str">
        <x:v>brukiman/мандариновый</x:v>
      </x:c>
      <x:c r="C1764" s="1" t="str">
        <x:v>Брюки</x:v>
      </x:c>
      <x:c r="D1764" s="9" t="n">
        <x:v>7.7</x:v>
      </x:c>
      <x:c r="E1764" s="8" t="n">
        <x:v>80</x:v>
      </x:c>
      <x:c r="F1764" s="8" t="n">
        <x:v>0</x:v>
      </x:c>
      <x:c r="G1764" s="8" t="n">
        <x:v>0</x:v>
      </x:c>
      <x:c r="H1764" s="8" t="n">
        <x:v>0</x:v>
      </x:c>
      <x:c r="I1764" s="8" t="n">
        <x:v>0</x:v>
      </x:c>
      <x:c r="J1764" s="8" t="n">
        <x:v>0</x:v>
      </x:c>
      <x:c r="K1764" s="8" t="n">
        <x:v>0</x:v>
      </x:c>
      <x:c r="L1764" s="1" t="str">
        <x:v>Нет</x:v>
      </x:c>
      <x:c r="M1764" s="1" t="n">
        <x:v>0</x:v>
      </x:c>
    </x:row>
    <x:row r="1765">
      <x:c r="A1765" s="1" t="str">
        <x:v>170169484</x:v>
      </x:c>
      <x:c r="B1765" s="1" t="str">
        <x:v>brukiman/красный</x:v>
      </x:c>
      <x:c r="C1765" s="1" t="str">
        <x:v>Брюки</x:v>
      </x:c>
      <x:c r="D1765" s="9" t="n">
        <x:v>7.7</x:v>
      </x:c>
      <x:c r="E1765" s="8" t="n">
        <x:v>73</x:v>
      </x:c>
      <x:c r="F1765" s="8" t="n">
        <x:v>0</x:v>
      </x:c>
      <x:c r="G1765" s="8" t="n">
        <x:v>0</x:v>
      </x:c>
      <x:c r="H1765" s="8" t="n">
        <x:v>0</x:v>
      </x:c>
      <x:c r="I1765" s="8" t="n">
        <x:v>0</x:v>
      </x:c>
      <x:c r="J1765" s="8" t="n">
        <x:v>0</x:v>
      </x:c>
      <x:c r="K1765" s="8" t="n">
        <x:v>0</x:v>
      </x:c>
      <x:c r="L1765" s="1" t="str">
        <x:v>Нет</x:v>
      </x:c>
      <x:c r="M1765" s="1" t="n">
        <x:v>0</x:v>
      </x:c>
    </x:row>
    <x:row r="1766">
      <x:c r="A1766" s="1" t="str">
        <x:v>170172036</x:v>
      </x:c>
      <x:c r="B1766" s="1" t="str">
        <x:v>2xnitka/мятапыльная</x:v>
      </x:c>
      <x:c r="C1766" s="1" t="str">
        <x:v>Костюмы спортивные</x:v>
      </x:c>
      <x:c r="D1766" s="9" t="n">
        <x:v>9.7</x:v>
      </x:c>
      <x:c r="E1766" s="8" t="n">
        <x:v>60</x:v>
      </x:c>
      <x:c r="F1766" s="8" t="n">
        <x:v>0</x:v>
      </x:c>
      <x:c r="G1766" s="8" t="n">
        <x:v>0</x:v>
      </x:c>
      <x:c r="H1766" s="8" t="n">
        <x:v>0</x:v>
      </x:c>
      <x:c r="I1766" s="8" t="n">
        <x:v>0</x:v>
      </x:c>
      <x:c r="J1766" s="8" t="n">
        <x:v>0</x:v>
      </x:c>
      <x:c r="K1766" s="8" t="n">
        <x:v>0</x:v>
      </x:c>
      <x:c r="L1766" s="1" t="str">
        <x:v>Нет</x:v>
      </x:c>
      <x:c r="M1766" s="1" t="n">
        <x:v>0</x:v>
      </x:c>
    </x:row>
    <x:row r="1767">
      <x:c r="A1767" s="1" t="str">
        <x:v>170172039</x:v>
      </x:c>
      <x:c r="B1767" s="1" t="str">
        <x:v>2xnitkacrop/мятапыльная</x:v>
      </x:c>
      <x:c r="C1767" s="1" t="str">
        <x:v>Костюмы спортивные</x:v>
      </x:c>
      <x:c r="D1767" s="9" t="n">
        <x:v>9.7</x:v>
      </x:c>
      <x:c r="E1767" s="8" t="n">
        <x:v>172</x:v>
      </x:c>
      <x:c r="F1767" s="8" t="n">
        <x:v>0</x:v>
      </x:c>
      <x:c r="G1767" s="8" t="n">
        <x:v>0</x:v>
      </x:c>
      <x:c r="H1767" s="8" t="n">
        <x:v>0</x:v>
      </x:c>
      <x:c r="I1767" s="8" t="n">
        <x:v>0</x:v>
      </x:c>
      <x:c r="J1767" s="8" t="n">
        <x:v>0</x:v>
      </x:c>
      <x:c r="K1767" s="8" t="n">
        <x:v>0</x:v>
      </x:c>
      <x:c r="L1767" s="1" t="str">
        <x:v>Нет</x:v>
      </x:c>
      <x:c r="M1767" s="1" t="n">
        <x:v>0</x:v>
      </x:c>
    </x:row>
    <x:row r="1768">
      <x:c r="A1768" s="1" t="str">
        <x:v>170172042</x:v>
      </x:c>
      <x:c r="B1768" s="1" t="str">
        <x:v>2xnitka/белый</x:v>
      </x:c>
      <x:c r="C1768" s="1" t="str">
        <x:v>Костюмы спортивные</x:v>
      </x:c>
      <x:c r="D1768" s="9" t="n">
        <x:v>9.7</x:v>
      </x:c>
      <x:c r="E1768" s="8" t="n">
        <x:v>98</x:v>
      </x:c>
      <x:c r="F1768" s="8" t="n">
        <x:v>0</x:v>
      </x:c>
      <x:c r="G1768" s="8" t="n">
        <x:v>0</x:v>
      </x:c>
      <x:c r="H1768" s="8" t="n">
        <x:v>0</x:v>
      </x:c>
      <x:c r="I1768" s="8" t="n">
        <x:v>0</x:v>
      </x:c>
      <x:c r="J1768" s="8" t="n">
        <x:v>0</x:v>
      </x:c>
      <x:c r="K1768" s="8" t="n">
        <x:v>0</x:v>
      </x:c>
      <x:c r="L1768" s="1" t="str">
        <x:v>Нет</x:v>
      </x:c>
      <x:c r="M1768" s="1" t="n">
        <x:v>0</x:v>
      </x:c>
    </x:row>
    <x:row r="1769">
      <x:c r="A1769" s="1" t="str">
        <x:v>170172043</x:v>
      </x:c>
      <x:c r="B1769" s="1" t="str">
        <x:v>2xnitkacrop/фуме</x:v>
      </x:c>
      <x:c r="C1769" s="1" t="str">
        <x:v>Костюмы спортивные</x:v>
      </x:c>
      <x:c r="D1769" s="9" t="n">
        <x:v>9.7</x:v>
      </x:c>
      <x:c r="E1769" s="8" t="n">
        <x:v>242</x:v>
      </x:c>
      <x:c r="F1769" s="8" t="n">
        <x:v>0</x:v>
      </x:c>
      <x:c r="G1769" s="8" t="n">
        <x:v>0</x:v>
      </x:c>
      <x:c r="H1769" s="8" t="n">
        <x:v>0</x:v>
      </x:c>
      <x:c r="I1769" s="8" t="n">
        <x:v>0</x:v>
      </x:c>
      <x:c r="J1769" s="8" t="n">
        <x:v>0</x:v>
      </x:c>
      <x:c r="K1769" s="8" t="n">
        <x:v>0</x:v>
      </x:c>
      <x:c r="L1769" s="1" t="str">
        <x:v>Нет</x:v>
      </x:c>
      <x:c r="M1769" s="1" t="n">
        <x:v>0</x:v>
      </x:c>
    </x:row>
    <x:row r="1770">
      <x:c r="A1770" s="1" t="str">
        <x:v>170172045</x:v>
      </x:c>
      <x:c r="B1770" s="1" t="str">
        <x:v>2xnitka/фуме</x:v>
      </x:c>
      <x:c r="C1770" s="1" t="str">
        <x:v>Костюмы спортивные</x:v>
      </x:c>
      <x:c r="D1770" s="9" t="n">
        <x:v>9.7</x:v>
      </x:c>
      <x:c r="E1770" s="8" t="n">
        <x:v>148</x:v>
      </x:c>
      <x:c r="F1770" s="8" t="n">
        <x:v>0</x:v>
      </x:c>
      <x:c r="G1770" s="8" t="n">
        <x:v>0</x:v>
      </x:c>
      <x:c r="H1770" s="8" t="n">
        <x:v>0</x:v>
      </x:c>
      <x:c r="I1770" s="8" t="n">
        <x:v>0</x:v>
      </x:c>
      <x:c r="J1770" s="8" t="n">
        <x:v>0</x:v>
      </x:c>
      <x:c r="K1770" s="8" t="n">
        <x:v>0</x:v>
      </x:c>
      <x:c r="L1770" s="1" t="str">
        <x:v>Нет</x:v>
      </x:c>
      <x:c r="M1770" s="1" t="n">
        <x:v>0</x:v>
      </x:c>
    </x:row>
    <x:row r="1771">
      <x:c r="A1771" s="1" t="str">
        <x:v>171386726</x:v>
      </x:c>
      <x:c r="B1771" s="1" t="str">
        <x:v>brukiman/белый</x:v>
      </x:c>
      <x:c r="C1771" s="1" t="str">
        <x:v>Брюки</x:v>
      </x:c>
      <x:c r="D1771" s="9" t="n">
        <x:v>9.7</x:v>
      </x:c>
      <x:c r="E1771" s="8" t="n">
        <x:v>299</x:v>
      </x:c>
      <x:c r="F1771" s="8" t="n">
        <x:v>2</x:v>
      </x:c>
      <x:c r="G1771" s="8" t="n">
        <x:v>0</x:v>
      </x:c>
      <x:c r="H1771" s="8" t="n">
        <x:v>0</x:v>
      </x:c>
      <x:c r="I1771" s="8" t="n">
        <x:v>0</x:v>
      </x:c>
      <x:c r="J1771" s="8" t="n">
        <x:v>6</x:v>
      </x:c>
      <x:c r="K1771" s="8" t="n">
        <x:v>2248</x:v>
      </x:c>
      <x:c r="L1771" s="1" t="str">
        <x:v>Нет</x:v>
      </x:c>
      <x:c r="M1771" s="1" t="n">
        <x:v>6870</x:v>
      </x:c>
    </x:row>
    <x:row r="1772">
      <x:c r="A1772" s="1" t="str">
        <x:v>175116985</x:v>
      </x:c>
      <x:c r="B1772" s="1" t="str">
        <x:v>reglanman/зелено-серый</x:v>
      </x:c>
      <x:c r="C1772" s="1" t="str">
        <x:v>Лонгсливы</x:v>
      </x:c>
      <x:c r="D1772" s="9" t="n">
        <x:v>7.2</x:v>
      </x:c>
      <x:c r="E1772" s="8" t="n">
        <x:v>56</x:v>
      </x:c>
      <x:c r="F1772" s="8" t="n">
        <x:v>0</x:v>
      </x:c>
      <x:c r="G1772" s="8" t="n">
        <x:v>0</x:v>
      </x:c>
      <x:c r="H1772" s="8" t="n">
        <x:v>0</x:v>
      </x:c>
      <x:c r="I1772" s="8" t="n">
        <x:v>0</x:v>
      </x:c>
      <x:c r="J1772" s="8" t="n">
        <x:v>0</x:v>
      </x:c>
      <x:c r="K1772" s="8" t="n">
        <x:v>0</x:v>
      </x:c>
      <x:c r="L1772" s="1" t="str">
        <x:v>Нет</x:v>
      </x:c>
      <x:c r="M1772" s="1" t="n">
        <x:v>0</x:v>
      </x:c>
    </x:row>
    <x:row r="1773">
      <x:c r="A1773" s="1" t="str">
        <x:v>175116990</x:v>
      </x:c>
      <x:c r="B1773" s="1" t="str">
        <x:v>reglanman/деним</x:v>
      </x:c>
      <x:c r="C1773" s="1" t="str">
        <x:v>Лонгсливы</x:v>
      </x:c>
      <x:c r="D1773" s="9" t="n">
        <x:v>7.2</x:v>
      </x:c>
      <x:c r="E1773" s="8" t="n">
        <x:v>35</x:v>
      </x:c>
      <x:c r="F1773" s="8" t="n">
        <x:v>0</x:v>
      </x:c>
      <x:c r="G1773" s="8" t="n">
        <x:v>0</x:v>
      </x:c>
      <x:c r="H1773" s="8" t="n">
        <x:v>0</x:v>
      </x:c>
      <x:c r="I1773" s="8" t="n">
        <x:v>0</x:v>
      </x:c>
      <x:c r="J1773" s="8" t="n">
        <x:v>0</x:v>
      </x:c>
      <x:c r="K1773" s="8" t="n">
        <x:v>0</x:v>
      </x:c>
      <x:c r="L1773" s="1" t="str">
        <x:v>Нет</x:v>
      </x:c>
      <x:c r="M1773" s="1" t="n">
        <x:v>0</x:v>
      </x:c>
    </x:row>
    <x:row r="1774">
      <x:c r="A1774" s="1" t="str">
        <x:v>175117630</x:v>
      </x:c>
      <x:c r="B1774" s="1" t="str">
        <x:v>reglanman/сине-морской</x:v>
      </x:c>
      <x:c r="C1774" s="1" t="str">
        <x:v>Лонгсливы</x:v>
      </x:c>
      <x:c r="D1774" s="9" t="n">
        <x:v>7.2</x:v>
      </x:c>
      <x:c r="E1774" s="8" t="n">
        <x:v>733</x:v>
      </x:c>
      <x:c r="F1774" s="8" t="n">
        <x:v>1</x:v>
      </x:c>
      <x:c r="G1774" s="8" t="n">
        <x:v>0</x:v>
      </x:c>
      <x:c r="H1774" s="8" t="n">
        <x:v>1</x:v>
      </x:c>
      <x:c r="I1774" s="8" t="n">
        <x:v>0</x:v>
      </x:c>
      <x:c r="J1774" s="8" t="n">
        <x:v>1</x:v>
      </x:c>
      <x:c r="K1774" s="8" t="n">
        <x:v>1317</x:v>
      </x:c>
      <x:c r="L1774" s="1" t="str">
        <x:v>Нет</x:v>
      </x:c>
      <x:c r="M1774" s="1" t="n">
        <x:v>0</x:v>
      </x:c>
    </x:row>
    <x:row r="1775">
      <x:c r="A1775" s="1" t="str">
        <x:v>176176593</x:v>
      </x:c>
      <x:c r="B1775" s="1" t="str">
        <x:v>bruki/хаки</x:v>
      </x:c>
      <x:c r="C1775" s="1" t="str">
        <x:v>Брюки</x:v>
      </x:c>
      <x:c r="D1775" s="9" t="n">
        <x:v>9.7</x:v>
      </x:c>
      <x:c r="E1775" s="8" t="n">
        <x:v>728</x:v>
      </x:c>
      <x:c r="F1775" s="8" t="n">
        <x:v>0</x:v>
      </x:c>
      <x:c r="G1775" s="8" t="n">
        <x:v>0</x:v>
      </x:c>
      <x:c r="H1775" s="8" t="n">
        <x:v>0</x:v>
      </x:c>
      <x:c r="I1775" s="8" t="n">
        <x:v>0</x:v>
      </x:c>
      <x:c r="J1775" s="8" t="n">
        <x:v>1</x:v>
      </x:c>
      <x:c r="K1775" s="8" t="n">
        <x:v>0</x:v>
      </x:c>
      <x:c r="L1775" s="1" t="str">
        <x:v>Нет</x:v>
      </x:c>
      <x:c r="M1775" s="1" t="n">
        <x:v>2636</x:v>
      </x:c>
    </x:row>
    <x:row r="1776">
      <x:c r="A1776" s="1" t="str">
        <x:v>176976175</x:v>
      </x:c>
      <x:c r="B1776" s="1" t="str">
        <x:v>hudi1size/голубой</x:v>
      </x:c>
      <x:c r="C1776" s="1" t="str">
        <x:v>Худи</x:v>
      </x:c>
      <x:c r="D1776" s="9" t="n">
        <x:v>7.7</x:v>
      </x:c>
      <x:c r="E1776" s="8" t="n">
        <x:v>20</x:v>
      </x:c>
      <x:c r="F1776" s="8" t="n">
        <x:v>0</x:v>
      </x:c>
      <x:c r="G1776" s="8" t="n">
        <x:v>0</x:v>
      </x:c>
      <x:c r="H1776" s="8" t="n">
        <x:v>0</x:v>
      </x:c>
      <x:c r="I1776" s="8" t="n">
        <x:v>0</x:v>
      </x:c>
      <x:c r="J1776" s="8" t="n">
        <x:v>0</x:v>
      </x:c>
      <x:c r="K1776" s="8" t="n">
        <x:v>0</x:v>
      </x:c>
      <x:c r="L1776" s="1" t="str">
        <x:v>Нет</x:v>
      </x:c>
      <x:c r="M1776" s="1" t="n">
        <x:v>0</x:v>
      </x:c>
    </x:row>
    <x:row r="1777">
      <x:c r="A1777" s="1" t="str">
        <x:v>176995796</x:v>
      </x:c>
      <x:c r="B1777" s="1" t="str">
        <x:v>hudi1size/серыймеланж</x:v>
      </x:c>
      <x:c r="C1777" s="1" t="str">
        <x:v>Худи</x:v>
      </x:c>
      <x:c r="D1777" s="9" t="n">
        <x:v>9.7</x:v>
      </x:c>
      <x:c r="E1777" s="8" t="n">
        <x:v>82</x:v>
      </x:c>
      <x:c r="F1777" s="8" t="n">
        <x:v>0</x:v>
      </x:c>
      <x:c r="G1777" s="8" t="n">
        <x:v>0</x:v>
      </x:c>
      <x:c r="H1777" s="8" t="n">
        <x:v>0</x:v>
      </x:c>
      <x:c r="I1777" s="8" t="n">
        <x:v>0</x:v>
      </x:c>
      <x:c r="J1777" s="8" t="n">
        <x:v>0</x:v>
      </x:c>
      <x:c r="K1777" s="8" t="n">
        <x:v>0</x:v>
      </x:c>
      <x:c r="L1777" s="1" t="str">
        <x:v>Нет</x:v>
      </x:c>
      <x:c r="M1777" s="1" t="n">
        <x:v>0</x:v>
      </x:c>
    </x:row>
    <x:row r="1778">
      <x:c r="A1778" s="1" t="str">
        <x:v>178309491</x:v>
      </x:c>
      <x:c r="B1778" s="1" t="str">
        <x:v>svitcrop/песочный</x:v>
      </x:c>
      <x:c r="C1778" s="1" t="str">
        <x:v>Лонгсливы</x:v>
      </x:c>
      <x:c r="D1778" s="9" t="n">
        <x:v>9.7</x:v>
      </x:c>
      <x:c r="E1778" s="8" t="n">
        <x:v>592</x:v>
      </x:c>
      <x:c r="F1778" s="8" t="n">
        <x:v>0</x:v>
      </x:c>
      <x:c r="G1778" s="8" t="n">
        <x:v>0</x:v>
      </x:c>
      <x:c r="H1778" s="8" t="n">
        <x:v>0</x:v>
      </x:c>
      <x:c r="I1778" s="8" t="n">
        <x:v>0</x:v>
      </x:c>
      <x:c r="J1778" s="8" t="n">
        <x:v>0</x:v>
      </x:c>
      <x:c r="K1778" s="8" t="n">
        <x:v>0</x:v>
      </x:c>
      <x:c r="L1778" s="1" t="str">
        <x:v>Нет</x:v>
      </x:c>
      <x:c r="M1778" s="1" t="n">
        <x:v>0</x:v>
      </x:c>
    </x:row>
    <x:row r="1779">
      <x:c r="A1779" s="1" t="str">
        <x:v>178309492</x:v>
      </x:c>
      <x:c r="B1779" s="1" t="str">
        <x:v>svitcrop/черный</x:v>
      </x:c>
      <x:c r="C1779" s="1" t="str">
        <x:v>Лонгсливы</x:v>
      </x:c>
      <x:c r="D1779" s="9" t="n">
        <x:v>9.7</x:v>
      </x:c>
      <x:c r="E1779" s="8" t="n">
        <x:v>738</x:v>
      </x:c>
      <x:c r="F1779" s="8" t="n">
        <x:v>0</x:v>
      </x:c>
      <x:c r="G1779" s="8" t="n">
        <x:v>0</x:v>
      </x:c>
      <x:c r="H1779" s="8" t="n">
        <x:v>0</x:v>
      </x:c>
      <x:c r="I1779" s="8" t="n">
        <x:v>0</x:v>
      </x:c>
      <x:c r="J1779" s="8" t="n">
        <x:v>0</x:v>
      </x:c>
      <x:c r="K1779" s="8" t="n">
        <x:v>0</x:v>
      </x:c>
      <x:c r="L1779" s="1" t="str">
        <x:v>Нет</x:v>
      </x:c>
      <x:c r="M1779" s="1" t="n">
        <x:v>0</x:v>
      </x:c>
    </x:row>
    <x:row r="1780">
      <x:c r="A1780" s="1" t="str">
        <x:v>178962337</x:v>
      </x:c>
      <x:c r="B1780" s="1" t="str">
        <x:v>svitshotzip/черный</x:v>
      </x:c>
      <x:c r="C1780" s="1" t="str">
        <x:v>Свитшоты</x:v>
      </x:c>
      <x:c r="D1780" s="9" t="n">
        <x:v>9.7</x:v>
      </x:c>
      <x:c r="E1780" s="8" t="n">
        <x:v>107</x:v>
      </x:c>
      <x:c r="F1780" s="8" t="n">
        <x:v>0</x:v>
      </x:c>
      <x:c r="G1780" s="8" t="n">
        <x:v>0</x:v>
      </x:c>
      <x:c r="H1780" s="8" t="n">
        <x:v>0</x:v>
      </x:c>
      <x:c r="I1780" s="8" t="n">
        <x:v>0</x:v>
      </x:c>
      <x:c r="J1780" s="8" t="n">
        <x:v>0</x:v>
      </x:c>
      <x:c r="K1780" s="8" t="n">
        <x:v>0</x:v>
      </x:c>
      <x:c r="L1780" s="1" t="str">
        <x:v>Нет</x:v>
      </x:c>
      <x:c r="M1780" s="1" t="n">
        <x:v>0</x:v>
      </x:c>
    </x:row>
    <x:row r="1781">
      <x:c r="A1781" s="1" t="str">
        <x:v>178965031</x:v>
      </x:c>
      <x:c r="B1781" s="1" t="str">
        <x:v>svitshotzip/голубой</x:v>
      </x:c>
      <x:c r="C1781" s="1" t="str">
        <x:v>Свитшоты</x:v>
      </x:c>
      <x:c r="D1781" s="9" t="n">
        <x:v>9.7</x:v>
      </x:c>
      <x:c r="E1781" s="8" t="n">
        <x:v>134</x:v>
      </x:c>
      <x:c r="F1781" s="8" t="n">
        <x:v>0</x:v>
      </x:c>
      <x:c r="G1781" s="8" t="n">
        <x:v>0</x:v>
      </x:c>
      <x:c r="H1781" s="8" t="n">
        <x:v>0</x:v>
      </x:c>
      <x:c r="I1781" s="8" t="n">
        <x:v>0</x:v>
      </x:c>
      <x:c r="J1781" s="8" t="n">
        <x:v>0</x:v>
      </x:c>
      <x:c r="K1781" s="8" t="n">
        <x:v>0</x:v>
      </x:c>
      <x:c r="L1781" s="1" t="str">
        <x:v>Нет</x:v>
      </x:c>
      <x:c r="M1781" s="1" t="n">
        <x:v>0</x:v>
      </x:c>
    </x:row>
    <x:row r="1782">
      <x:c r="A1782" s="1" t="str">
        <x:v>178965033</x:v>
      </x:c>
      <x:c r="B1782" s="1" t="str">
        <x:v>svitshotzip/молочный</x:v>
      </x:c>
      <x:c r="C1782" s="1" t="str">
        <x:v>Свитшоты</x:v>
      </x:c>
      <x:c r="D1782" s="9" t="n">
        <x:v>9.7</x:v>
      </x:c>
      <x:c r="E1782" s="8" t="n">
        <x:v>103</x:v>
      </x:c>
      <x:c r="F1782" s="8" t="n">
        <x:v>0</x:v>
      </x:c>
      <x:c r="G1782" s="8" t="n">
        <x:v>0</x:v>
      </x:c>
      <x:c r="H1782" s="8" t="n">
        <x:v>0</x:v>
      </x:c>
      <x:c r="I1782" s="8" t="n">
        <x:v>0</x:v>
      </x:c>
      <x:c r="J1782" s="8" t="n">
        <x:v>0</x:v>
      </x:c>
      <x:c r="K1782" s="8" t="n">
        <x:v>0</x:v>
      </x:c>
      <x:c r="L1782" s="1" t="str">
        <x:v>Нет</x:v>
      </x:c>
      <x:c r="M1782" s="1" t="n">
        <x:v>0</x:v>
      </x:c>
    </x:row>
    <x:row r="1783">
      <x:c r="A1783" s="1" t="str">
        <x:v>178965037</x:v>
      </x:c>
      <x:c r="B1783" s="1" t="str">
        <x:v>svitshotzip/розовый</x:v>
      </x:c>
      <x:c r="C1783" s="1" t="str">
        <x:v>Свитшоты</x:v>
      </x:c>
      <x:c r="D1783" s="9" t="n">
        <x:v>9.7</x:v>
      </x:c>
      <x:c r="E1783" s="8" t="n">
        <x:v>309</x:v>
      </x:c>
      <x:c r="F1783" s="8" t="n">
        <x:v>0</x:v>
      </x:c>
      <x:c r="G1783" s="8" t="n">
        <x:v>0</x:v>
      </x:c>
      <x:c r="H1783" s="8" t="n">
        <x:v>0</x:v>
      </x:c>
      <x:c r="I1783" s="8" t="n">
        <x:v>0</x:v>
      </x:c>
      <x:c r="J1783" s="8" t="n">
        <x:v>0</x:v>
      </x:c>
      <x:c r="K1783" s="8" t="n">
        <x:v>0</x:v>
      </x:c>
      <x:c r="L1783" s="1" t="str">
        <x:v>Нет</x:v>
      </x:c>
      <x:c r="M1783" s="1" t="n">
        <x:v>0</x:v>
      </x:c>
    </x:row>
    <x:row r="1784">
      <x:c r="A1784" s="1" t="str">
        <x:v>178965039</x:v>
      </x:c>
      <x:c r="B1784" s="1" t="str">
        <x:v>svitshotzip/песочный</x:v>
      </x:c>
      <x:c r="C1784" s="1" t="str">
        <x:v>Свитшоты</x:v>
      </x:c>
      <x:c r="D1784" s="9" t="n">
        <x:v>9.7</x:v>
      </x:c>
      <x:c r="E1784" s="8" t="n">
        <x:v>106</x:v>
      </x:c>
      <x:c r="F1784" s="8" t="n">
        <x:v>0</x:v>
      </x:c>
      <x:c r="G1784" s="8" t="n">
        <x:v>0</x:v>
      </x:c>
      <x:c r="H1784" s="8" t="n">
        <x:v>0</x:v>
      </x:c>
      <x:c r="I1784" s="8" t="n">
        <x:v>0</x:v>
      </x:c>
      <x:c r="J1784" s="8" t="n">
        <x:v>0</x:v>
      </x:c>
      <x:c r="K1784" s="8" t="n">
        <x:v>0</x:v>
      </x:c>
      <x:c r="L1784" s="1" t="str">
        <x:v>Нет</x:v>
      </x:c>
      <x:c r="M1784" s="1" t="n">
        <x:v>0</x:v>
      </x:c>
    </x:row>
    <x:row r="1785">
      <x:c r="A1785" s="1" t="str">
        <x:v>178965041</x:v>
      </x:c>
      <x:c r="B1785" s="1" t="str">
        <x:v>svitshotzip/серый</x:v>
      </x:c>
      <x:c r="C1785" s="1" t="str">
        <x:v>Свитшоты</x:v>
      </x:c>
      <x:c r="D1785" s="9" t="n">
        <x:v>9.7</x:v>
      </x:c>
      <x:c r="E1785" s="8" t="n">
        <x:v>126</x:v>
      </x:c>
      <x:c r="F1785" s="8" t="n">
        <x:v>0</x:v>
      </x:c>
      <x:c r="G1785" s="8" t="n">
        <x:v>0</x:v>
      </x:c>
      <x:c r="H1785" s="8" t="n">
        <x:v>0</x:v>
      </x:c>
      <x:c r="I1785" s="8" t="n">
        <x:v>0</x:v>
      </x:c>
      <x:c r="J1785" s="8" t="n">
        <x:v>0</x:v>
      </x:c>
      <x:c r="K1785" s="8" t="n">
        <x:v>0</x:v>
      </x:c>
      <x:c r="L1785" s="1" t="str">
        <x:v>Нет</x:v>
      </x:c>
      <x:c r="M1785" s="1" t="n">
        <x:v>0</x:v>
      </x:c>
    </x:row>
    <x:row r="1786">
      <x:c r="A1786" s="1" t="str">
        <x:v>178965044</x:v>
      </x:c>
      <x:c r="B1786" s="1" t="str">
        <x:v>svitshotzip/синий</x:v>
      </x:c>
      <x:c r="C1786" s="1" t="str">
        <x:v>Свитшоты</x:v>
      </x:c>
      <x:c r="D1786" s="9" t="n">
        <x:v>9.7</x:v>
      </x:c>
      <x:c r="E1786" s="8" t="n">
        <x:v>149</x:v>
      </x:c>
      <x:c r="F1786" s="8" t="n">
        <x:v>0</x:v>
      </x:c>
      <x:c r="G1786" s="8" t="n">
        <x:v>0</x:v>
      </x:c>
      <x:c r="H1786" s="8" t="n">
        <x:v>0</x:v>
      </x:c>
      <x:c r="I1786" s="8" t="n">
        <x:v>0</x:v>
      </x:c>
      <x:c r="J1786" s="8" t="n">
        <x:v>0</x:v>
      </x:c>
      <x:c r="K1786" s="8" t="n">
        <x:v>0</x:v>
      </x:c>
      <x:c r="L1786" s="1" t="str">
        <x:v>Нет</x:v>
      </x:c>
      <x:c r="M1786" s="1" t="n">
        <x:v>0</x:v>
      </x:c>
    </x:row>
    <x:row r="1787">
      <x:c r="A1787" s="1" t="str">
        <x:v>178965045</x:v>
      </x:c>
      <x:c r="B1787" s="1" t="str">
        <x:v>svitshotzip/серыймеланж</x:v>
      </x:c>
      <x:c r="C1787" s="1" t="str">
        <x:v>Свитшоты</x:v>
      </x:c>
      <x:c r="D1787" s="9" t="n">
        <x:v>9.7</x:v>
      </x:c>
      <x:c r="E1787" s="8" t="n">
        <x:v>182</x:v>
      </x:c>
      <x:c r="F1787" s="8" t="n">
        <x:v>0</x:v>
      </x:c>
      <x:c r="G1787" s="8" t="n">
        <x:v>0</x:v>
      </x:c>
      <x:c r="H1787" s="8" t="n">
        <x:v>0</x:v>
      </x:c>
      <x:c r="I1787" s="8" t="n">
        <x:v>0</x:v>
      </x:c>
      <x:c r="J1787" s="8" t="n">
        <x:v>0</x:v>
      </x:c>
      <x:c r="K1787" s="8" t="n">
        <x:v>0</x:v>
      </x:c>
      <x:c r="L1787" s="1" t="str">
        <x:v>Нет</x:v>
      </x:c>
      <x:c r="M1787" s="1" t="n">
        <x:v>0</x:v>
      </x:c>
    </x:row>
    <x:row r="1788">
      <x:c r="A1788" s="1" t="str">
        <x:v>178965046</x:v>
      </x:c>
      <x:c r="B1788" s="1" t="str">
        <x:v>svitshotzip/темно-серый</x:v>
      </x:c>
      <x:c r="C1788" s="1" t="str">
        <x:v>Свитшоты</x:v>
      </x:c>
      <x:c r="D1788" s="9" t="n">
        <x:v>9.7</x:v>
      </x:c>
      <x:c r="E1788" s="8" t="n">
        <x:v>154</x:v>
      </x:c>
      <x:c r="F1788" s="8" t="n">
        <x:v>0</x:v>
      </x:c>
      <x:c r="G1788" s="8" t="n">
        <x:v>0</x:v>
      </x:c>
      <x:c r="H1788" s="8" t="n">
        <x:v>0</x:v>
      </x:c>
      <x:c r="I1788" s="8" t="n">
        <x:v>0</x:v>
      </x:c>
      <x:c r="J1788" s="8" t="n">
        <x:v>0</x:v>
      </x:c>
      <x:c r="K1788" s="8" t="n">
        <x:v>0</x:v>
      </x:c>
      <x:c r="L1788" s="1" t="str">
        <x:v>Нет</x:v>
      </x:c>
      <x:c r="M1788" s="1" t="n">
        <x:v>0</x:v>
      </x:c>
    </x:row>
    <x:row r="1789">
      <x:c r="A1789" s="1" t="str">
        <x:v>178965053</x:v>
      </x:c>
      <x:c r="B1789" s="1" t="str">
        <x:v>svitshotzip/белый</x:v>
      </x:c>
      <x:c r="C1789" s="1" t="str">
        <x:v>Свитшоты</x:v>
      </x:c>
      <x:c r="D1789" s="9" t="n">
        <x:v>9.7</x:v>
      </x:c>
      <x:c r="E1789" s="8" t="n">
        <x:v>129</x:v>
      </x:c>
      <x:c r="F1789" s="8" t="n">
        <x:v>0</x:v>
      </x:c>
      <x:c r="G1789" s="8" t="n">
        <x:v>0</x:v>
      </x:c>
      <x:c r="H1789" s="8" t="n">
        <x:v>0</x:v>
      </x:c>
      <x:c r="I1789" s="8" t="n">
        <x:v>0</x:v>
      </x:c>
      <x:c r="J1789" s="8" t="n">
        <x:v>0</x:v>
      </x:c>
      <x:c r="K1789" s="8" t="n">
        <x:v>0</x:v>
      </x:c>
      <x:c r="L1789" s="1" t="str">
        <x:v>Нет</x:v>
      </x:c>
      <x:c r="M1789" s="1" t="n">
        <x:v>0</x:v>
      </x:c>
    </x:row>
    <x:row r="1790">
      <x:c r="A1790" s="1" t="str">
        <x:v>179342808</x:v>
      </x:c>
      <x:c r="B1790" s="1" t="str">
        <x:v>1sizeprint/BRK/розовый</x:v>
      </x:c>
      <x:c r="C1790" s="1" t="str">
        <x:v>Свитшоты</x:v>
      </x:c>
      <x:c r="D1790" s="9" t="n">
        <x:v>9.7</x:v>
      </x:c>
      <x:c r="E1790" s="8" t="n">
        <x:v>44</x:v>
      </x:c>
      <x:c r="F1790" s="8" t="n">
        <x:v>0</x:v>
      </x:c>
      <x:c r="G1790" s="8" t="n">
        <x:v>0</x:v>
      </x:c>
      <x:c r="H1790" s="8" t="n">
        <x:v>0</x:v>
      </x:c>
      <x:c r="I1790" s="8" t="n">
        <x:v>0</x:v>
      </x:c>
      <x:c r="J1790" s="8" t="n">
        <x:v>1</x:v>
      </x:c>
      <x:c r="K1790" s="8" t="n">
        <x:v>0</x:v>
      </x:c>
      <x:c r="L1790" s="1" t="str">
        <x:v>Нет</x:v>
      </x:c>
      <x:c r="M1790" s="1" t="n">
        <x:v>1897</x:v>
      </x:c>
    </x:row>
    <x:row r="1791">
      <x:c r="A1791" s="1" t="str">
        <x:v>179342809</x:v>
      </x:c>
      <x:c r="B1791" s="1" t="str">
        <x:v>1sizeprint/LA/молочный</x:v>
      </x:c>
      <x:c r="C1791" s="1" t="str">
        <x:v>Свитшоты</x:v>
      </x:c>
      <x:c r="D1791" s="9" t="n">
        <x:v>9.7</x:v>
      </x:c>
      <x:c r="E1791" s="8" t="n">
        <x:v>46</x:v>
      </x:c>
      <x:c r="F1791" s="8" t="n">
        <x:v>0</x:v>
      </x:c>
      <x:c r="G1791" s="8" t="n">
        <x:v>0</x:v>
      </x:c>
      <x:c r="H1791" s="8" t="n">
        <x:v>0</x:v>
      </x:c>
      <x:c r="I1791" s="8" t="n">
        <x:v>0</x:v>
      </x:c>
      <x:c r="J1791" s="8" t="n">
        <x:v>0</x:v>
      </x:c>
      <x:c r="K1791" s="8" t="n">
        <x:v>0</x:v>
      </x:c>
      <x:c r="L1791" s="1" t="str">
        <x:v>Нет</x:v>
      </x:c>
      <x:c r="M1791" s="1" t="n">
        <x:v>0</x:v>
      </x:c>
    </x:row>
    <x:row r="1792">
      <x:c r="A1792" s="1" t="str">
        <x:v>179342810</x:v>
      </x:c>
      <x:c r="B1792" s="1" t="str">
        <x:v>1sizeprint/MSC/темно-серый</x:v>
      </x:c>
      <x:c r="C1792" s="1" t="str">
        <x:v>Свитшоты</x:v>
      </x:c>
      <x:c r="D1792" s="9" t="n">
        <x:v>9.7</x:v>
      </x:c>
      <x:c r="E1792" s="8" t="n">
        <x:v>36</x:v>
      </x:c>
      <x:c r="F1792" s="8" t="n">
        <x:v>0</x:v>
      </x:c>
      <x:c r="G1792" s="8" t="n">
        <x:v>0</x:v>
      </x:c>
      <x:c r="H1792" s="8" t="n">
        <x:v>0</x:v>
      </x:c>
      <x:c r="I1792" s="8" t="n">
        <x:v>0</x:v>
      </x:c>
      <x:c r="J1792" s="8" t="n">
        <x:v>0</x:v>
      </x:c>
      <x:c r="K1792" s="8" t="n">
        <x:v>0</x:v>
      </x:c>
      <x:c r="L1792" s="1" t="str">
        <x:v>Нет</x:v>
      </x:c>
      <x:c r="M1792" s="1" t="n">
        <x:v>0</x:v>
      </x:c>
    </x:row>
    <x:row r="1793">
      <x:c r="A1793" s="1" t="str">
        <x:v>179342811</x:v>
      </x:c>
      <x:c r="B1793" s="1" t="str">
        <x:v>1sizeprint/LA/хаки</x:v>
      </x:c>
      <x:c r="C1793" s="1" t="str">
        <x:v>Свитшоты</x:v>
      </x:c>
      <x:c r="D1793" s="9" t="n">
        <x:v>9.7</x:v>
      </x:c>
      <x:c r="E1793" s="8" t="n">
        <x:v>23</x:v>
      </x:c>
      <x:c r="F1793" s="8" t="n">
        <x:v>0</x:v>
      </x:c>
      <x:c r="G1793" s="8" t="n">
        <x:v>0</x:v>
      </x:c>
      <x:c r="H1793" s="8" t="n">
        <x:v>0</x:v>
      </x:c>
      <x:c r="I1793" s="8" t="n">
        <x:v>0</x:v>
      </x:c>
      <x:c r="J1793" s="8" t="n">
        <x:v>0</x:v>
      </x:c>
      <x:c r="K1793" s="8" t="n">
        <x:v>0</x:v>
      </x:c>
      <x:c r="L1793" s="1" t="str">
        <x:v>Нет</x:v>
      </x:c>
      <x:c r="M1793" s="1" t="n">
        <x:v>0</x:v>
      </x:c>
    </x:row>
    <x:row r="1794">
      <x:c r="A1794" s="1" t="str">
        <x:v>179342812</x:v>
      </x:c>
      <x:c r="B1794" s="1" t="str">
        <x:v>1sizeprint/LA/розовый</x:v>
      </x:c>
      <x:c r="C1794" s="1" t="str">
        <x:v>Свитшоты</x:v>
      </x:c>
      <x:c r="D1794" s="9" t="n">
        <x:v>9.7</x:v>
      </x:c>
      <x:c r="E1794" s="8" t="n">
        <x:v>28</x:v>
      </x:c>
      <x:c r="F1794" s="8" t="n">
        <x:v>0</x:v>
      </x:c>
      <x:c r="G1794" s="8" t="n">
        <x:v>0</x:v>
      </x:c>
      <x:c r="H1794" s="8" t="n">
        <x:v>0</x:v>
      </x:c>
      <x:c r="I1794" s="8" t="n">
        <x:v>0</x:v>
      </x:c>
      <x:c r="J1794" s="8" t="n">
        <x:v>0</x:v>
      </x:c>
      <x:c r="K1794" s="8" t="n">
        <x:v>0</x:v>
      </x:c>
      <x:c r="L1794" s="1" t="str">
        <x:v>Нет</x:v>
      </x:c>
      <x:c r="M1794" s="1" t="n">
        <x:v>0</x:v>
      </x:c>
    </x:row>
    <x:row r="1795">
      <x:c r="A1795" s="1" t="str">
        <x:v>179342813</x:v>
      </x:c>
      <x:c r="B1795" s="1" t="str">
        <x:v>1sizeprint/LA/черный</x:v>
      </x:c>
      <x:c r="C1795" s="1" t="str">
        <x:v>Свитшоты</x:v>
      </x:c>
      <x:c r="D1795" s="9" t="n">
        <x:v>9.7</x:v>
      </x:c>
      <x:c r="E1795" s="8" t="n">
        <x:v>195</x:v>
      </x:c>
      <x:c r="F1795" s="8" t="n">
        <x:v>0</x:v>
      </x:c>
      <x:c r="G1795" s="8" t="n">
        <x:v>0</x:v>
      </x:c>
      <x:c r="H1795" s="8" t="n">
        <x:v>0</x:v>
      </x:c>
      <x:c r="I1795" s="8" t="n">
        <x:v>0</x:v>
      </x:c>
      <x:c r="J1795" s="8" t="n">
        <x:v>0</x:v>
      </x:c>
      <x:c r="K1795" s="8" t="n">
        <x:v>0</x:v>
      </x:c>
      <x:c r="L1795" s="1" t="str">
        <x:v>Нет</x:v>
      </x:c>
      <x:c r="M1795" s="1" t="n">
        <x:v>0</x:v>
      </x:c>
    </x:row>
    <x:row r="1796">
      <x:c r="A1796" s="1" t="str">
        <x:v>179342814</x:v>
      </x:c>
      <x:c r="B1796" s="1" t="str">
        <x:v>1sizeprint/LA/темно-серый</x:v>
      </x:c>
      <x:c r="C1796" s="1" t="str">
        <x:v>Свитшоты</x:v>
      </x:c>
      <x:c r="D1796" s="9" t="n">
        <x:v>9.7</x:v>
      </x:c>
      <x:c r="E1796" s="8" t="n">
        <x:v>14</x:v>
      </x:c>
      <x:c r="F1796" s="8" t="n">
        <x:v>0</x:v>
      </x:c>
      <x:c r="G1796" s="8" t="n">
        <x:v>0</x:v>
      </x:c>
      <x:c r="H1796" s="8" t="n">
        <x:v>0</x:v>
      </x:c>
      <x:c r="I1796" s="8" t="n">
        <x:v>0</x:v>
      </x:c>
      <x:c r="J1796" s="8" t="n">
        <x:v>0</x:v>
      </x:c>
      <x:c r="K1796" s="8" t="n">
        <x:v>0</x:v>
      </x:c>
      <x:c r="L1796" s="1" t="str">
        <x:v>Нет</x:v>
      </x:c>
      <x:c r="M1796" s="1" t="n">
        <x:v>0</x:v>
      </x:c>
    </x:row>
    <x:row r="1797">
      <x:c r="A1797" s="1" t="str">
        <x:v>179342815</x:v>
      </x:c>
      <x:c r="B1797" s="1" t="str">
        <x:v>1sizeprint/MSC/хаки</x:v>
      </x:c>
      <x:c r="C1797" s="1" t="str">
        <x:v>Свитшоты</x:v>
      </x:c>
      <x:c r="D1797" s="9" t="n">
        <x:v>9.7</x:v>
      </x:c>
      <x:c r="E1797" s="8" t="n">
        <x:v>44</x:v>
      </x:c>
      <x:c r="F1797" s="8" t="n">
        <x:v>0</x:v>
      </x:c>
      <x:c r="G1797" s="8" t="n">
        <x:v>0</x:v>
      </x:c>
      <x:c r="H1797" s="8" t="n">
        <x:v>0</x:v>
      </x:c>
      <x:c r="I1797" s="8" t="n">
        <x:v>0</x:v>
      </x:c>
      <x:c r="J1797" s="8" t="n">
        <x:v>0</x:v>
      </x:c>
      <x:c r="K1797" s="8" t="n">
        <x:v>0</x:v>
      </x:c>
      <x:c r="L1797" s="1" t="str">
        <x:v>Нет</x:v>
      </x:c>
      <x:c r="M1797" s="1" t="n">
        <x:v>0</x:v>
      </x:c>
    </x:row>
    <x:row r="1798">
      <x:c r="A1798" s="1" t="str">
        <x:v>179342816</x:v>
      </x:c>
      <x:c r="B1798" s="1" t="str">
        <x:v>1sizeprint/MSC/молочный</x:v>
      </x:c>
      <x:c r="C1798" s="1" t="str">
        <x:v>Свитшоты</x:v>
      </x:c>
      <x:c r="D1798" s="9" t="n">
        <x:v>9.7</x:v>
      </x:c>
      <x:c r="E1798" s="8" t="n">
        <x:v>62</x:v>
      </x:c>
      <x:c r="F1798" s="8" t="n">
        <x:v>0</x:v>
      </x:c>
      <x:c r="G1798" s="8" t="n">
        <x:v>0</x:v>
      </x:c>
      <x:c r="H1798" s="8" t="n">
        <x:v>0</x:v>
      </x:c>
      <x:c r="I1798" s="8" t="n">
        <x:v>0</x:v>
      </x:c>
      <x:c r="J1798" s="8" t="n">
        <x:v>0</x:v>
      </x:c>
      <x:c r="K1798" s="8" t="n">
        <x:v>0</x:v>
      </x:c>
      <x:c r="L1798" s="1" t="str">
        <x:v>Нет</x:v>
      </x:c>
      <x:c r="M1798" s="1" t="n">
        <x:v>0</x:v>
      </x:c>
    </x:row>
    <x:row r="1799">
      <x:c r="A1799" s="1" t="str">
        <x:v>179342817</x:v>
      </x:c>
      <x:c r="B1799" s="1" t="str">
        <x:v>1sizeprint/MSC/розовый</x:v>
      </x:c>
      <x:c r="C1799" s="1" t="str">
        <x:v>Свитшоты</x:v>
      </x:c>
      <x:c r="D1799" s="9" t="n">
        <x:v>9.7</x:v>
      </x:c>
      <x:c r="E1799" s="8" t="n">
        <x:v>19</x:v>
      </x:c>
      <x:c r="F1799" s="8" t="n">
        <x:v>0</x:v>
      </x:c>
      <x:c r="G1799" s="8" t="n">
        <x:v>0</x:v>
      </x:c>
      <x:c r="H1799" s="8" t="n">
        <x:v>0</x:v>
      </x:c>
      <x:c r="I1799" s="8" t="n">
        <x:v>0</x:v>
      </x:c>
      <x:c r="J1799" s="8" t="n">
        <x:v>1</x:v>
      </x:c>
      <x:c r="K1799" s="8" t="n">
        <x:v>0</x:v>
      </x:c>
      <x:c r="L1799" s="1" t="str">
        <x:v>Нет</x:v>
      </x:c>
      <x:c r="M1799" s="1" t="n">
        <x:v>2051</x:v>
      </x:c>
    </x:row>
    <x:row r="1800">
      <x:c r="A1800" s="1" t="str">
        <x:v>179342820</x:v>
      </x:c>
      <x:c r="B1800" s="1" t="str">
        <x:v>1sizeprint/MSC/черный</x:v>
      </x:c>
      <x:c r="C1800" s="1" t="str">
        <x:v>Свитшоты</x:v>
      </x:c>
      <x:c r="D1800" s="9" t="n">
        <x:v>9.7</x:v>
      </x:c>
      <x:c r="E1800" s="8" t="n">
        <x:v>23</x:v>
      </x:c>
      <x:c r="F1800" s="8" t="n">
        <x:v>0</x:v>
      </x:c>
      <x:c r="G1800" s="8" t="n">
        <x:v>0</x:v>
      </x:c>
      <x:c r="H1800" s="8" t="n">
        <x:v>0</x:v>
      </x:c>
      <x:c r="I1800" s="8" t="n">
        <x:v>0</x:v>
      </x:c>
      <x:c r="J1800" s="8" t="n">
        <x:v>0</x:v>
      </x:c>
      <x:c r="K1800" s="8" t="n">
        <x:v>0</x:v>
      </x:c>
      <x:c r="L1800" s="1" t="str">
        <x:v>Нет</x:v>
      </x:c>
      <x:c r="M1800" s="1" t="n">
        <x:v>0</x:v>
      </x:c>
    </x:row>
    <x:row r="1801">
      <x:c r="A1801" s="1" t="str">
        <x:v>179342821</x:v>
      </x:c>
      <x:c r="B1801" s="1" t="str">
        <x:v>1sizeprint/BRK/молочный</x:v>
      </x:c>
      <x:c r="C1801" s="1" t="str">
        <x:v>Свитшоты</x:v>
      </x:c>
      <x:c r="D1801" s="9" t="n">
        <x:v>9.7</x:v>
      </x:c>
      <x:c r="E1801" s="8" t="n">
        <x:v>40</x:v>
      </x:c>
      <x:c r="F1801" s="8" t="n">
        <x:v>0</x:v>
      </x:c>
      <x:c r="G1801" s="8" t="n">
        <x:v>0</x:v>
      </x:c>
      <x:c r="H1801" s="8" t="n">
        <x:v>0</x:v>
      </x:c>
      <x:c r="I1801" s="8" t="n">
        <x:v>0</x:v>
      </x:c>
      <x:c r="J1801" s="8" t="n">
        <x:v>0</x:v>
      </x:c>
      <x:c r="K1801" s="8" t="n">
        <x:v>0</x:v>
      </x:c>
      <x:c r="L1801" s="1" t="str">
        <x:v>Нет</x:v>
      </x:c>
      <x:c r="M1801" s="1" t="n">
        <x:v>0</x:v>
      </x:c>
    </x:row>
    <x:row r="1802">
      <x:c r="A1802" s="1" t="str">
        <x:v>179342822</x:v>
      </x:c>
      <x:c r="B1802" s="1" t="str">
        <x:v>1sizeprint/BRK/темно-серый</x:v>
      </x:c>
      <x:c r="C1802" s="1" t="str">
        <x:v>Свитшоты</x:v>
      </x:c>
      <x:c r="D1802" s="9" t="n">
        <x:v>9.7</x:v>
      </x:c>
      <x:c r="E1802" s="8" t="n">
        <x:v>13</x:v>
      </x:c>
      <x:c r="F1802" s="8" t="n">
        <x:v>0</x:v>
      </x:c>
      <x:c r="G1802" s="8" t="n">
        <x:v>0</x:v>
      </x:c>
      <x:c r="H1802" s="8" t="n">
        <x:v>0</x:v>
      </x:c>
      <x:c r="I1802" s="8" t="n">
        <x:v>0</x:v>
      </x:c>
      <x:c r="J1802" s="8" t="n">
        <x:v>0</x:v>
      </x:c>
      <x:c r="K1802" s="8" t="n">
        <x:v>0</x:v>
      </x:c>
      <x:c r="L1802" s="1" t="str">
        <x:v>Нет</x:v>
      </x:c>
      <x:c r="M1802" s="1" t="n">
        <x:v>0</x:v>
      </x:c>
    </x:row>
    <x:row r="1803">
      <x:c r="A1803" s="1" t="str">
        <x:v>179342823</x:v>
      </x:c>
      <x:c r="B1803" s="1" t="str">
        <x:v>1sizeprint/BRK/хаки</x:v>
      </x:c>
      <x:c r="C1803" s="1" t="str">
        <x:v>Свитшоты</x:v>
      </x:c>
      <x:c r="D1803" s="9" t="n">
        <x:v>9.7</x:v>
      </x:c>
      <x:c r="E1803" s="8" t="n">
        <x:v>23</x:v>
      </x:c>
      <x:c r="F1803" s="8" t="n">
        <x:v>0</x:v>
      </x:c>
      <x:c r="G1803" s="8" t="n">
        <x:v>0</x:v>
      </x:c>
      <x:c r="H1803" s="8" t="n">
        <x:v>0</x:v>
      </x:c>
      <x:c r="I1803" s="8" t="n">
        <x:v>0</x:v>
      </x:c>
      <x:c r="J1803" s="8" t="n">
        <x:v>0</x:v>
      </x:c>
      <x:c r="K1803" s="8" t="n">
        <x:v>0</x:v>
      </x:c>
      <x:c r="L1803" s="1" t="str">
        <x:v>Нет</x:v>
      </x:c>
      <x:c r="M1803" s="1" t="n">
        <x:v>0</x:v>
      </x:c>
    </x:row>
    <x:row r="1804">
      <x:c r="A1804" s="1" t="str">
        <x:v>179342825</x:v>
      </x:c>
      <x:c r="B1804" s="1" t="str">
        <x:v>1sizeprint/BRK/черный</x:v>
      </x:c>
      <x:c r="C1804" s="1" t="str">
        <x:v>Свитшоты</x:v>
      </x:c>
      <x:c r="D1804" s="9" t="n">
        <x:v>9.7</x:v>
      </x:c>
      <x:c r="E1804" s="8" t="n">
        <x:v>17</x:v>
      </x:c>
      <x:c r="F1804" s="8" t="n">
        <x:v>0</x:v>
      </x:c>
      <x:c r="G1804" s="8" t="n">
        <x:v>0</x:v>
      </x:c>
      <x:c r="H1804" s="8" t="n">
        <x:v>0</x:v>
      </x:c>
      <x:c r="I1804" s="8" t="n">
        <x:v>0</x:v>
      </x:c>
      <x:c r="J1804" s="8" t="n">
        <x:v>0</x:v>
      </x:c>
      <x:c r="K1804" s="8" t="n">
        <x:v>0</x:v>
      </x:c>
      <x:c r="L1804" s="1" t="str">
        <x:v>Нет</x:v>
      </x:c>
      <x:c r="M1804" s="1" t="n">
        <x:v>0</x:v>
      </x:c>
    </x:row>
    <x:row r="1805">
      <x:c r="A1805" s="1" t="str">
        <x:v>179369214</x:v>
      </x:c>
      <x:c r="B1805" s="1" t="str">
        <x:v>ziphudi1/молочный</x:v>
      </x:c>
      <x:c r="C1805" s="1" t="str">
        <x:v>Худи</x:v>
      </x:c>
      <x:c r="D1805" s="9" t="n">
        <x:v>9.7</x:v>
      </x:c>
      <x:c r="E1805" s="8" t="n">
        <x:v>5</x:v>
      </x:c>
      <x:c r="F1805" s="8" t="n">
        <x:v>0</x:v>
      </x:c>
      <x:c r="G1805" s="8" t="n">
        <x:v>0</x:v>
      </x:c>
      <x:c r="H1805" s="8" t="n">
        <x:v>0</x:v>
      </x:c>
      <x:c r="I1805" s="8" t="n">
        <x:v>0</x:v>
      </x:c>
      <x:c r="J1805" s="8" t="n">
        <x:v>0</x:v>
      </x:c>
      <x:c r="K1805" s="8" t="n">
        <x:v>0</x:v>
      </x:c>
      <x:c r="L1805" s="1" t="str">
        <x:v>Нет</x:v>
      </x:c>
      <x:c r="M1805" s="1" t="n">
        <x:v>0</x:v>
      </x:c>
    </x:row>
    <x:row r="1806">
      <x:c r="A1806" s="1" t="str">
        <x:v>179376942</x:v>
      </x:c>
      <x:c r="B1806" s="1" t="str">
        <x:v>1sizeprint/Barbie/розовый</x:v>
      </x:c>
      <x:c r="C1806" s="1" t="str">
        <x:v>Свитшоты</x:v>
      </x:c>
      <x:c r="D1806" s="9" t="n">
        <x:v>9.7</x:v>
      </x:c>
      <x:c r="E1806" s="8" t="n">
        <x:v>23</x:v>
      </x:c>
      <x:c r="F1806" s="8" t="n">
        <x:v>0</x:v>
      </x:c>
      <x:c r="G1806" s="8" t="n">
        <x:v>0</x:v>
      </x:c>
      <x:c r="H1806" s="8" t="n">
        <x:v>0</x:v>
      </x:c>
      <x:c r="I1806" s="8" t="n">
        <x:v>0</x:v>
      </x:c>
      <x:c r="J1806" s="8" t="n">
        <x:v>0</x:v>
      </x:c>
      <x:c r="K1806" s="8" t="n">
        <x:v>0</x:v>
      </x:c>
      <x:c r="L1806" s="1" t="str">
        <x:v>Нет</x:v>
      </x:c>
      <x:c r="M1806" s="1" t="n">
        <x:v>0</x:v>
      </x:c>
    </x:row>
    <x:row r="1807">
      <x:c r="A1807" s="1" t="str">
        <x:v>179376944</x:v>
      </x:c>
      <x:c r="B1807" s="1" t="str">
        <x:v>1sizeprint/Barbie/молочный</x:v>
      </x:c>
      <x:c r="C1807" s="1" t="str">
        <x:v>Свитшоты</x:v>
      </x:c>
      <x:c r="D1807" s="9" t="n">
        <x:v>9.7</x:v>
      </x:c>
      <x:c r="E1807" s="8" t="n">
        <x:v>15</x:v>
      </x:c>
      <x:c r="F1807" s="8" t="n">
        <x:v>0</x:v>
      </x:c>
      <x:c r="G1807" s="8" t="n">
        <x:v>0</x:v>
      </x:c>
      <x:c r="H1807" s="8" t="n">
        <x:v>0</x:v>
      </x:c>
      <x:c r="I1807" s="8" t="n">
        <x:v>0</x:v>
      </x:c>
      <x:c r="J1807" s="8" t="n">
        <x:v>0</x:v>
      </x:c>
      <x:c r="K1807" s="8" t="n">
        <x:v>0</x:v>
      </x:c>
      <x:c r="L1807" s="1" t="str">
        <x:v>Нет</x:v>
      </x:c>
      <x:c r="M1807" s="1" t="n">
        <x:v>0</x:v>
      </x:c>
    </x:row>
    <x:row r="1808">
      <x:c r="A1808" s="1" t="str">
        <x:v>179948625</x:v>
      </x:c>
      <x:c r="B1808" s="1" t="str">
        <x:v>palazzo/черный</x:v>
      </x:c>
      <x:c r="C1808" s="1" t="str">
        <x:v>Брюки</x:v>
      </x:c>
      <x:c r="D1808" s="9" t="n">
        <x:v>9.4</x:v>
      </x:c>
      <x:c r="E1808" s="8" t="n">
        <x:v>559</x:v>
      </x:c>
      <x:c r="F1808" s="8" t="n">
        <x:v>2</x:v>
      </x:c>
      <x:c r="G1808" s="8" t="n">
        <x:v>0</x:v>
      </x:c>
      <x:c r="H1808" s="8" t="n">
        <x:v>0</x:v>
      </x:c>
      <x:c r="I1808" s="8" t="n">
        <x:v>0</x:v>
      </x:c>
      <x:c r="J1808" s="8" t="n">
        <x:v>2</x:v>
      </x:c>
      <x:c r="K1808" s="8" t="n">
        <x:v>1658</x:v>
      </x:c>
      <x:c r="L1808" s="1" t="str">
        <x:v>Нет</x:v>
      </x:c>
      <x:c r="M1808" s="1" t="n">
        <x:v>0</x:v>
      </x:c>
    </x:row>
    <x:row r="1809">
      <x:c r="A1809" s="1" t="str">
        <x:v>179951204</x:v>
      </x:c>
      <x:c r="B1809" s="1" t="str">
        <x:v>palazzo/темно-синий</x:v>
      </x:c>
      <x:c r="C1809" s="1" t="str">
        <x:v>Брюки</x:v>
      </x:c>
      <x:c r="D1809" s="9" t="n">
        <x:v>9.4</x:v>
      </x:c>
      <x:c r="E1809" s="8" t="n">
        <x:v>321</x:v>
      </x:c>
      <x:c r="F1809" s="8" t="n">
        <x:v>0</x:v>
      </x:c>
      <x:c r="G1809" s="8" t="n">
        <x:v>0</x:v>
      </x:c>
      <x:c r="H1809" s="8" t="n">
        <x:v>0</x:v>
      </x:c>
      <x:c r="I1809" s="8" t="n">
        <x:v>0</x:v>
      </x:c>
      <x:c r="J1809" s="8" t="n">
        <x:v>4</x:v>
      </x:c>
      <x:c r="K1809" s="8" t="n">
        <x:v>0</x:v>
      </x:c>
      <x:c r="L1809" s="1" t="str">
        <x:v>Нет</x:v>
      </x:c>
      <x:c r="M1809" s="1" t="n">
        <x:v>2547</x:v>
      </x:c>
    </x:row>
    <x:row r="1810">
      <x:c r="A1810" s="1" t="str">
        <x:v>179951211</x:v>
      </x:c>
      <x:c r="B1810" s="1" t="str">
        <x:v>palazzo/кофейный</x:v>
      </x:c>
      <x:c r="C1810" s="1" t="str">
        <x:v>Брюки</x:v>
      </x:c>
      <x:c r="D1810" s="9" t="n">
        <x:v>9.4</x:v>
      </x:c>
      <x:c r="E1810" s="8" t="n">
        <x:v>253</x:v>
      </x:c>
      <x:c r="F1810" s="8" t="n">
        <x:v>0</x:v>
      </x:c>
      <x:c r="G1810" s="8" t="n">
        <x:v>0</x:v>
      </x:c>
      <x:c r="H1810" s="8" t="n">
        <x:v>0</x:v>
      </x:c>
      <x:c r="I1810" s="8" t="n">
        <x:v>0</x:v>
      </x:c>
      <x:c r="J1810" s="8" t="n">
        <x:v>0</x:v>
      </x:c>
      <x:c r="K1810" s="8" t="n">
        <x:v>0</x:v>
      </x:c>
      <x:c r="L1810" s="1" t="str">
        <x:v>Нет</x:v>
      </x:c>
      <x:c r="M1810" s="1" t="n">
        <x:v>0</x:v>
      </x:c>
    </x:row>
    <x:row r="1811">
      <x:c r="A1811" s="1" t="str">
        <x:v>179951224</x:v>
      </x:c>
      <x:c r="B1811" s="1" t="str">
        <x:v>palazzo/песочный</x:v>
      </x:c>
      <x:c r="C1811" s="1" t="str">
        <x:v>Брюки</x:v>
      </x:c>
      <x:c r="D1811" s="9" t="n">
        <x:v>9.4</x:v>
      </x:c>
      <x:c r="E1811" s="8" t="n">
        <x:v>187</x:v>
      </x:c>
      <x:c r="F1811" s="8" t="n">
        <x:v>0</x:v>
      </x:c>
      <x:c r="G1811" s="8" t="n">
        <x:v>0</x:v>
      </x:c>
      <x:c r="H1811" s="8" t="n">
        <x:v>0</x:v>
      </x:c>
      <x:c r="I1811" s="8" t="n">
        <x:v>0</x:v>
      </x:c>
      <x:c r="J1811" s="8" t="n">
        <x:v>0</x:v>
      </x:c>
      <x:c r="K1811" s="8" t="n">
        <x:v>0</x:v>
      </x:c>
      <x:c r="L1811" s="1" t="str">
        <x:v>Нет</x:v>
      </x:c>
      <x:c r="M1811" s="1" t="n">
        <x:v>0</x:v>
      </x:c>
    </x:row>
    <x:row r="1812">
      <x:c r="A1812" s="1" t="str">
        <x:v>179977971</x:v>
      </x:c>
      <x:c r="B1812" s="1" t="str">
        <x:v>palazzo/фуме</x:v>
      </x:c>
      <x:c r="C1812" s="1" t="str">
        <x:v>Брюки</x:v>
      </x:c>
      <x:c r="D1812" s="9" t="n">
        <x:v>9.4</x:v>
      </x:c>
      <x:c r="E1812" s="8" t="n">
        <x:v>198</x:v>
      </x:c>
      <x:c r="F1812" s="8" t="n">
        <x:v>0</x:v>
      </x:c>
      <x:c r="G1812" s="8" t="n">
        <x:v>0</x:v>
      </x:c>
      <x:c r="H1812" s="8" t="n">
        <x:v>0</x:v>
      </x:c>
      <x:c r="I1812" s="8" t="n">
        <x:v>0</x:v>
      </x:c>
      <x:c r="J1812" s="8" t="n">
        <x:v>0</x:v>
      </x:c>
      <x:c r="K1812" s="8" t="n">
        <x:v>0</x:v>
      </x:c>
      <x:c r="L1812" s="1" t="str">
        <x:v>Нет</x:v>
      </x:c>
      <x:c r="M1812" s="1" t="n">
        <x:v>0</x:v>
      </x:c>
    </x:row>
    <x:row r="1813">
      <x:c r="A1813" s="1" t="str">
        <x:v>182333176</x:v>
      </x:c>
      <x:c r="B1813" s="1" t="str">
        <x:v>1sizeprint/NY-7/чёрный</x:v>
      </x:c>
      <x:c r="C1813" s="1" t="str">
        <x:v>Свитшоты</x:v>
      </x:c>
      <x:c r="D1813" s="9" t="n">
        <x:v>9.7</x:v>
      </x:c>
      <x:c r="E1813" s="8" t="n">
        <x:v>43</x:v>
      </x:c>
      <x:c r="F1813" s="8" t="n">
        <x:v>0</x:v>
      </x:c>
      <x:c r="G1813" s="8" t="n">
        <x:v>0</x:v>
      </x:c>
      <x:c r="H1813" s="8" t="n">
        <x:v>0</x:v>
      </x:c>
      <x:c r="I1813" s="8" t="n">
        <x:v>0</x:v>
      </x:c>
      <x:c r="J1813" s="8" t="n">
        <x:v>1</x:v>
      </x:c>
      <x:c r="K1813" s="8" t="n">
        <x:v>0</x:v>
      </x:c>
      <x:c r="L1813" s="1" t="str">
        <x:v>Нет</x:v>
      </x:c>
      <x:c r="M1813" s="1" t="n">
        <x:v>1850</x:v>
      </x:c>
    </x:row>
    <x:row r="1814">
      <x:c r="A1814" s="1" t="str">
        <x:v>182333178</x:v>
      </x:c>
      <x:c r="B1814" s="1" t="str">
        <x:v>1sizeprint/CLF-8/розовый</x:v>
      </x:c>
      <x:c r="C1814" s="1" t="str">
        <x:v>Свитшоты</x:v>
      </x:c>
      <x:c r="D1814" s="9" t="n">
        <x:v>9.7</x:v>
      </x:c>
      <x:c r="E1814" s="8" t="n">
        <x:v>24</x:v>
      </x:c>
      <x:c r="F1814" s="8" t="n">
        <x:v>0</x:v>
      </x:c>
      <x:c r="G1814" s="8" t="n">
        <x:v>0</x:v>
      </x:c>
      <x:c r="H1814" s="8" t="n">
        <x:v>2</x:v>
      </x:c>
      <x:c r="I1814" s="8" t="n">
        <x:v>0</x:v>
      </x:c>
      <x:c r="J1814" s="8" t="n">
        <x:v>0</x:v>
      </x:c>
      <x:c r="K1814" s="8" t="n">
        <x:v>0</x:v>
      </x:c>
      <x:c r="L1814" s="1" t="str">
        <x:v>Нет</x:v>
      </x:c>
      <x:c r="M1814" s="1" t="n">
        <x:v>0</x:v>
      </x:c>
    </x:row>
    <x:row r="1815">
      <x:c r="A1815" s="1" t="str">
        <x:v>182333179</x:v>
      </x:c>
      <x:c r="B1815" s="1" t="str">
        <x:v>1sizeprint/CLF-8/чёрный</x:v>
      </x:c>
      <x:c r="C1815" s="1" t="str">
        <x:v>Свитшоты</x:v>
      </x:c>
      <x:c r="D1815" s="9" t="n">
        <x:v>9.7</x:v>
      </x:c>
      <x:c r="E1815" s="8" t="n">
        <x:v>24</x:v>
      </x:c>
      <x:c r="F1815" s="8" t="n">
        <x:v>0</x:v>
      </x:c>
      <x:c r="G1815" s="8" t="n">
        <x:v>0</x:v>
      </x:c>
      <x:c r="H1815" s="8" t="n">
        <x:v>0</x:v>
      </x:c>
      <x:c r="I1815" s="8" t="n">
        <x:v>0</x:v>
      </x:c>
      <x:c r="J1815" s="8" t="n">
        <x:v>0</x:v>
      </x:c>
      <x:c r="K1815" s="8" t="n">
        <x:v>0</x:v>
      </x:c>
      <x:c r="L1815" s="1" t="str">
        <x:v>Нет</x:v>
      </x:c>
      <x:c r="M1815" s="1" t="n">
        <x:v>0</x:v>
      </x:c>
    </x:row>
    <x:row r="1816">
      <x:c r="A1816" s="1" t="str">
        <x:v>182333181</x:v>
      </x:c>
      <x:c r="B1816" s="1" t="str">
        <x:v>1sizeprint/CLF-8/тёмно-серый</x:v>
      </x:c>
      <x:c r="C1816" s="1" t="str">
        <x:v>Свитшоты</x:v>
      </x:c>
      <x:c r="D1816" s="9" t="n">
        <x:v>9.7</x:v>
      </x:c>
      <x:c r="E1816" s="8" t="n">
        <x:v>10</x:v>
      </x:c>
      <x:c r="F1816" s="8" t="n">
        <x:v>0</x:v>
      </x:c>
      <x:c r="G1816" s="8" t="n">
        <x:v>0</x:v>
      </x:c>
      <x:c r="H1816" s="8" t="n">
        <x:v>0</x:v>
      </x:c>
      <x:c r="I1816" s="8" t="n">
        <x:v>0</x:v>
      </x:c>
      <x:c r="J1816" s="8" t="n">
        <x:v>0</x:v>
      </x:c>
      <x:c r="K1816" s="8" t="n">
        <x:v>0</x:v>
      </x:c>
      <x:c r="L1816" s="1" t="str">
        <x:v>Нет</x:v>
      </x:c>
      <x:c r="M1816" s="1" t="n">
        <x:v>0</x:v>
      </x:c>
    </x:row>
    <x:row r="1817">
      <x:c r="A1817" s="1" t="str">
        <x:v>182333182</x:v>
      </x:c>
      <x:c r="B1817" s="1" t="str">
        <x:v>1sizeprint/CLF-8/хаки</x:v>
      </x:c>
      <x:c r="C1817" s="1" t="str">
        <x:v>Свитшоты</x:v>
      </x:c>
      <x:c r="D1817" s="9" t="n">
        <x:v>9.7</x:v>
      </x:c>
      <x:c r="E1817" s="8" t="n">
        <x:v>9</x:v>
      </x:c>
      <x:c r="F1817" s="8" t="n">
        <x:v>0</x:v>
      </x:c>
      <x:c r="G1817" s="8" t="n">
        <x:v>0</x:v>
      </x:c>
      <x:c r="H1817" s="8" t="n">
        <x:v>0</x:v>
      </x:c>
      <x:c r="I1817" s="8" t="n">
        <x:v>0</x:v>
      </x:c>
      <x:c r="J1817" s="8" t="n">
        <x:v>1</x:v>
      </x:c>
      <x:c r="K1817" s="8" t="n">
        <x:v>0</x:v>
      </x:c>
      <x:c r="L1817" s="1" t="str">
        <x:v>Нет</x:v>
      </x:c>
      <x:c r="M1817" s="1" t="n">
        <x:v>2750</x:v>
      </x:c>
    </x:row>
    <x:row r="1818">
      <x:c r="A1818" s="1" t="str">
        <x:v>182333185</x:v>
      </x:c>
      <x:c r="B1818" s="1" t="str">
        <x:v>1sizeprint/NY-7/розовый</x:v>
      </x:c>
      <x:c r="C1818" s="1" t="str">
        <x:v>Свитшоты</x:v>
      </x:c>
      <x:c r="D1818" s="9" t="n">
        <x:v>9.7</x:v>
      </x:c>
      <x:c r="E1818" s="8" t="n">
        <x:v>39</x:v>
      </x:c>
      <x:c r="F1818" s="8" t="n">
        <x:v>0</x:v>
      </x:c>
      <x:c r="G1818" s="8" t="n">
        <x:v>0</x:v>
      </x:c>
      <x:c r="H1818" s="8" t="n">
        <x:v>0</x:v>
      </x:c>
      <x:c r="I1818" s="8" t="n">
        <x:v>0</x:v>
      </x:c>
      <x:c r="J1818" s="8" t="n">
        <x:v>0</x:v>
      </x:c>
      <x:c r="K1818" s="8" t="n">
        <x:v>0</x:v>
      </x:c>
      <x:c r="L1818" s="1" t="str">
        <x:v>Нет</x:v>
      </x:c>
      <x:c r="M1818" s="1" t="n">
        <x:v>0</x:v>
      </x:c>
    </x:row>
    <x:row r="1819">
      <x:c r="A1819" s="1" t="str">
        <x:v>182333186</x:v>
      </x:c>
      <x:c r="B1819" s="1" t="str">
        <x:v>1sizeprint/NY-7/молочный</x:v>
      </x:c>
      <x:c r="C1819" s="1" t="str">
        <x:v>Свитшоты</x:v>
      </x:c>
      <x:c r="D1819" s="9" t="n">
        <x:v>9.7</x:v>
      </x:c>
      <x:c r="E1819" s="8" t="n">
        <x:v>41</x:v>
      </x:c>
      <x:c r="F1819" s="8" t="n">
        <x:v>0</x:v>
      </x:c>
      <x:c r="G1819" s="8" t="n">
        <x:v>0</x:v>
      </x:c>
      <x:c r="H1819" s="8" t="n">
        <x:v>0</x:v>
      </x:c>
      <x:c r="I1819" s="8" t="n">
        <x:v>0</x:v>
      </x:c>
      <x:c r="J1819" s="8" t="n">
        <x:v>0</x:v>
      </x:c>
      <x:c r="K1819" s="8" t="n">
        <x:v>0</x:v>
      </x:c>
      <x:c r="L1819" s="1" t="str">
        <x:v>Нет</x:v>
      </x:c>
      <x:c r="M1819" s="1" t="n">
        <x:v>0</x:v>
      </x:c>
    </x:row>
    <x:row r="1820">
      <x:c r="A1820" s="1" t="str">
        <x:v>182333187</x:v>
      </x:c>
      <x:c r="B1820" s="1" t="str">
        <x:v>1sizeprint/NY-7/хаки</x:v>
      </x:c>
      <x:c r="C1820" s="1" t="str">
        <x:v>Свитшоты</x:v>
      </x:c>
      <x:c r="D1820" s="9" t="n">
        <x:v>9.7</x:v>
      </x:c>
      <x:c r="E1820" s="8" t="n">
        <x:v>16</x:v>
      </x:c>
      <x:c r="F1820" s="8" t="n">
        <x:v>0</x:v>
      </x:c>
      <x:c r="G1820" s="8" t="n">
        <x:v>0</x:v>
      </x:c>
      <x:c r="H1820" s="8" t="n">
        <x:v>0</x:v>
      </x:c>
      <x:c r="I1820" s="8" t="n">
        <x:v>0</x:v>
      </x:c>
      <x:c r="J1820" s="8" t="n">
        <x:v>0</x:v>
      </x:c>
      <x:c r="K1820" s="8" t="n">
        <x:v>0</x:v>
      </x:c>
      <x:c r="L1820" s="1" t="str">
        <x:v>Нет</x:v>
      </x:c>
      <x:c r="M1820" s="1" t="n">
        <x:v>0</x:v>
      </x:c>
    </x:row>
    <x:row r="1821">
      <x:c r="A1821" s="1" t="str">
        <x:v>182333188</x:v>
      </x:c>
      <x:c r="B1821" s="1" t="str">
        <x:v>1sizeprint/NY-7/тёмно-серый</x:v>
      </x:c>
      <x:c r="C1821" s="1" t="str">
        <x:v>Свитшоты</x:v>
      </x:c>
      <x:c r="D1821" s="9" t="n">
        <x:v>9.7</x:v>
      </x:c>
      <x:c r="E1821" s="8" t="n">
        <x:v>10</x:v>
      </x:c>
      <x:c r="F1821" s="8" t="n">
        <x:v>0</x:v>
      </x:c>
      <x:c r="G1821" s="8" t="n">
        <x:v>0</x:v>
      </x:c>
      <x:c r="H1821" s="8" t="n">
        <x:v>0</x:v>
      </x:c>
      <x:c r="I1821" s="8" t="n">
        <x:v>0</x:v>
      </x:c>
      <x:c r="J1821" s="8" t="n">
        <x:v>0</x:v>
      </x:c>
      <x:c r="K1821" s="8" t="n">
        <x:v>0</x:v>
      </x:c>
      <x:c r="L1821" s="1" t="str">
        <x:v>Нет</x:v>
      </x:c>
      <x:c r="M1821" s="1" t="n">
        <x:v>0</x:v>
      </x:c>
    </x:row>
    <x:row r="1822">
      <x:c r="A1822" s="1" t="str">
        <x:v>182333189</x:v>
      </x:c>
      <x:c r="B1822" s="1" t="str">
        <x:v>1sizeprint/CLF-8/молочный</x:v>
      </x:c>
      <x:c r="C1822" s="1" t="str">
        <x:v>Свитшоты</x:v>
      </x:c>
      <x:c r="D1822" s="9" t="n">
        <x:v>9.7</x:v>
      </x:c>
      <x:c r="E1822" s="8" t="n">
        <x:v>50</x:v>
      </x:c>
      <x:c r="F1822" s="8" t="n">
        <x:v>0</x:v>
      </x:c>
      <x:c r="G1822" s="8" t="n">
        <x:v>0</x:v>
      </x:c>
      <x:c r="H1822" s="8" t="n">
        <x:v>0</x:v>
      </x:c>
      <x:c r="I1822" s="8" t="n">
        <x:v>0</x:v>
      </x:c>
      <x:c r="J1822" s="8" t="n">
        <x:v>0</x:v>
      </x:c>
      <x:c r="K1822" s="8" t="n">
        <x:v>0</x:v>
      </x:c>
      <x:c r="L1822" s="1" t="str">
        <x:v>Нет</x:v>
      </x:c>
      <x:c r="M1822" s="1" t="n">
        <x:v>0</x:v>
      </x:c>
    </x:row>
    <x:row r="1823">
      <x:c r="A1823" s="1" t="str">
        <x:v>182968339</x:v>
      </x:c>
      <x:c r="B1823" s="1" t="str">
        <x:v>sweater/серыймеланж</x:v>
      </x:c>
      <x:c r="C1823" s="1" t="str">
        <x:v>Свитшоты</x:v>
      </x:c>
      <x:c r="D1823" s="9" t="n">
        <x:v>9.7</x:v>
      </x:c>
      <x:c r="E1823" s="8" t="n">
        <x:v>47</x:v>
      </x:c>
      <x:c r="F1823" s="8" t="n">
        <x:v>0</x:v>
      </x:c>
      <x:c r="G1823" s="8" t="n">
        <x:v>0</x:v>
      </x:c>
      <x:c r="H1823" s="8" t="n">
        <x:v>0</x:v>
      </x:c>
      <x:c r="I1823" s="8" t="n">
        <x:v>0</x:v>
      </x:c>
      <x:c r="J1823" s="8" t="n">
        <x:v>0</x:v>
      </x:c>
      <x:c r="K1823" s="8" t="n">
        <x:v>0</x:v>
      </x:c>
      <x:c r="L1823" s="1" t="str">
        <x:v>Нет</x:v>
      </x:c>
      <x:c r="M1823" s="1" t="n">
        <x:v>0</x:v>
      </x:c>
    </x:row>
    <x:row r="1824">
      <x:c r="A1824" s="1" t="str">
        <x:v>183634477</x:v>
      </x:c>
      <x:c r="B1824" s="1" t="str">
        <x:v>longmanprint/TKY-9/чёрный</x:v>
      </x:c>
      <x:c r="C1824" s="1" t="str">
        <x:v>Лонгсливы</x:v>
      </x:c>
      <x:c r="D1824" s="9" t="n">
        <x:v>9.2</x:v>
      </x:c>
      <x:c r="E1824" s="8" t="n">
        <x:v>22</x:v>
      </x:c>
      <x:c r="F1824" s="8" t="n">
        <x:v>0</x:v>
      </x:c>
      <x:c r="G1824" s="8" t="n">
        <x:v>0</x:v>
      </x:c>
      <x:c r="H1824" s="8" t="n">
        <x:v>0</x:v>
      </x:c>
      <x:c r="I1824" s="8" t="n">
        <x:v>0</x:v>
      </x:c>
      <x:c r="J1824" s="8" t="n">
        <x:v>0</x:v>
      </x:c>
      <x:c r="K1824" s="8" t="n">
        <x:v>0</x:v>
      </x:c>
      <x:c r="L1824" s="1" t="str">
        <x:v>Нет</x:v>
      </x:c>
      <x:c r="M1824" s="1" t="n">
        <x:v>0</x:v>
      </x:c>
    </x:row>
    <x:row r="1825">
      <x:c r="A1825" s="1" t="str">
        <x:v>183635241</x:v>
      </x:c>
      <x:c r="B1825" s="1" t="str">
        <x:v>longmanprint/MISHA-19/чёрный</x:v>
      </x:c>
      <x:c r="C1825" s="1" t="str">
        <x:v>Лонгсливы</x:v>
      </x:c>
      <x:c r="D1825" s="9" t="n">
        <x:v>9.2</x:v>
      </x:c>
      <x:c r="E1825" s="8" t="n">
        <x:v>17</x:v>
      </x:c>
      <x:c r="F1825" s="8" t="n">
        <x:v>0</x:v>
      </x:c>
      <x:c r="G1825" s="8" t="n">
        <x:v>0</x:v>
      </x:c>
      <x:c r="H1825" s="8" t="n">
        <x:v>0</x:v>
      </x:c>
      <x:c r="I1825" s="8" t="n">
        <x:v>0</x:v>
      </x:c>
      <x:c r="J1825" s="8" t="n">
        <x:v>0</x:v>
      </x:c>
      <x:c r="K1825" s="8" t="n">
        <x:v>0</x:v>
      </x:c>
      <x:c r="L1825" s="1" t="str">
        <x:v>Нет</x:v>
      </x:c>
      <x:c r="M1825" s="1" t="n">
        <x:v>0</x:v>
      </x:c>
    </x:row>
    <x:row r="1826">
      <x:c r="A1826" s="1" t="str">
        <x:v>183635243</x:v>
      </x:c>
      <x:c r="B1826" s="1" t="str">
        <x:v>longmanprint/Cat-12/белый</x:v>
      </x:c>
      <x:c r="C1826" s="1" t="str">
        <x:v>Лонгсливы</x:v>
      </x:c>
      <x:c r="D1826" s="9" t="n">
        <x:v>9.2</x:v>
      </x:c>
      <x:c r="E1826" s="8" t="n">
        <x:v>52</x:v>
      </x:c>
      <x:c r="F1826" s="8" t="n">
        <x:v>0</x:v>
      </x:c>
      <x:c r="G1826" s="8" t="n">
        <x:v>0</x:v>
      </x:c>
      <x:c r="H1826" s="8" t="n">
        <x:v>0</x:v>
      </x:c>
      <x:c r="I1826" s="8" t="n">
        <x:v>0</x:v>
      </x:c>
      <x:c r="J1826" s="8" t="n">
        <x:v>0</x:v>
      </x:c>
      <x:c r="K1826" s="8" t="n">
        <x:v>0</x:v>
      </x:c>
      <x:c r="L1826" s="1" t="str">
        <x:v>Нет</x:v>
      </x:c>
      <x:c r="M1826" s="1" t="n">
        <x:v>0</x:v>
      </x:c>
    </x:row>
    <x:row r="1827">
      <x:c r="A1827" s="1" t="str">
        <x:v>183635244</x:v>
      </x:c>
      <x:c r="B1827" s="1" t="str">
        <x:v>longmanprint/MISHA-19/белый</x:v>
      </x:c>
      <x:c r="C1827" s="1" t="str">
        <x:v>Лонгсливы</x:v>
      </x:c>
      <x:c r="D1827" s="9" t="n">
        <x:v>9.7</x:v>
      </x:c>
      <x:c r="E1827" s="8" t="n">
        <x:v>27</x:v>
      </x:c>
      <x:c r="F1827" s="8" t="n">
        <x:v>0</x:v>
      </x:c>
      <x:c r="G1827" s="8" t="n">
        <x:v>0</x:v>
      </x:c>
      <x:c r="H1827" s="8" t="n">
        <x:v>0</x:v>
      </x:c>
      <x:c r="I1827" s="8" t="n">
        <x:v>0</x:v>
      </x:c>
      <x:c r="J1827" s="8" t="n">
        <x:v>0</x:v>
      </x:c>
      <x:c r="K1827" s="8" t="n">
        <x:v>0</x:v>
      </x:c>
      <x:c r="L1827" s="1" t="str">
        <x:v>Нет</x:v>
      </x:c>
      <x:c r="M1827" s="1" t="n">
        <x:v>0</x:v>
      </x:c>
    </x:row>
    <x:row r="1828">
      <x:c r="A1828" s="1" t="str">
        <x:v>183635245</x:v>
      </x:c>
      <x:c r="B1828" s="1" t="str">
        <x:v>longmanprint/PES-20/белый</x:v>
      </x:c>
      <x:c r="C1828" s="1" t="str">
        <x:v>Лонгсливы</x:v>
      </x:c>
      <x:c r="D1828" s="9" t="n">
        <x:v>9.2</x:v>
      </x:c>
      <x:c r="E1828" s="8" t="n">
        <x:v>18</x:v>
      </x:c>
      <x:c r="F1828" s="8" t="n">
        <x:v>0</x:v>
      </x:c>
      <x:c r="G1828" s="8" t="n">
        <x:v>0</x:v>
      </x:c>
      <x:c r="H1828" s="8" t="n">
        <x:v>0</x:v>
      </x:c>
      <x:c r="I1828" s="8" t="n">
        <x:v>0</x:v>
      </x:c>
      <x:c r="J1828" s="8" t="n">
        <x:v>0</x:v>
      </x:c>
      <x:c r="K1828" s="8" t="n">
        <x:v>0</x:v>
      </x:c>
      <x:c r="L1828" s="1" t="str">
        <x:v>Нет</x:v>
      </x:c>
      <x:c r="M1828" s="1" t="n">
        <x:v>0</x:v>
      </x:c>
    </x:row>
    <x:row r="1829">
      <x:c r="A1829" s="1" t="str">
        <x:v>183635247</x:v>
      </x:c>
      <x:c r="B1829" s="1" t="str">
        <x:v>longmanprint/TKY-9/белый</x:v>
      </x:c>
      <x:c r="C1829" s="1" t="str">
        <x:v>Лонгсливы</x:v>
      </x:c>
      <x:c r="D1829" s="9" t="n">
        <x:v>9.2</x:v>
      </x:c>
      <x:c r="E1829" s="8" t="n">
        <x:v>22</x:v>
      </x:c>
      <x:c r="F1829" s="8" t="n">
        <x:v>0</x:v>
      </x:c>
      <x:c r="G1829" s="8" t="n">
        <x:v>0</x:v>
      </x:c>
      <x:c r="H1829" s="8" t="n">
        <x:v>0</x:v>
      </x:c>
      <x:c r="I1829" s="8" t="n">
        <x:v>0</x:v>
      </x:c>
      <x:c r="J1829" s="8" t="n">
        <x:v>0</x:v>
      </x:c>
      <x:c r="K1829" s="8" t="n">
        <x:v>0</x:v>
      </x:c>
      <x:c r="L1829" s="1" t="str">
        <x:v>Нет</x:v>
      </x:c>
      <x:c r="M1829" s="1" t="n">
        <x:v>0</x:v>
      </x:c>
    </x:row>
    <x:row r="1830">
      <x:c r="A1830" s="1" t="str">
        <x:v>183635248</x:v>
      </x:c>
      <x:c r="B1830" s="1" t="str">
        <x:v>longmanprint/Cat-12/черный</x:v>
      </x:c>
      <x:c r="C1830" s="1" t="str">
        <x:v>Лонгсливы</x:v>
      </x:c>
      <x:c r="D1830" s="9" t="n">
        <x:v>9.2</x:v>
      </x:c>
      <x:c r="E1830" s="8" t="n">
        <x:v>19</x:v>
      </x:c>
      <x:c r="F1830" s="8" t="n">
        <x:v>0</x:v>
      </x:c>
      <x:c r="G1830" s="8" t="n">
        <x:v>0</x:v>
      </x:c>
      <x:c r="H1830" s="8" t="n">
        <x:v>0</x:v>
      </x:c>
      <x:c r="I1830" s="8" t="n">
        <x:v>0</x:v>
      </x:c>
      <x:c r="J1830" s="8" t="n">
        <x:v>0</x:v>
      </x:c>
      <x:c r="K1830" s="8" t="n">
        <x:v>0</x:v>
      </x:c>
      <x:c r="L1830" s="1" t="str">
        <x:v>Нет</x:v>
      </x:c>
      <x:c r="M1830" s="1" t="n">
        <x:v>0</x:v>
      </x:c>
    </x:row>
    <x:row r="1831">
      <x:c r="A1831" s="1" t="str">
        <x:v>183635252</x:v>
      </x:c>
      <x:c r="B1831" s="1" t="str">
        <x:v>longmanprint/DEVA-13/белый</x:v>
      </x:c>
      <x:c r="C1831" s="1" t="str">
        <x:v>Лонгсливы</x:v>
      </x:c>
      <x:c r="D1831" s="9" t="n">
        <x:v>9.2</x:v>
      </x:c>
      <x:c r="E1831" s="8" t="n">
        <x:v>29</x:v>
      </x:c>
      <x:c r="F1831" s="8" t="n">
        <x:v>0</x:v>
      </x:c>
      <x:c r="G1831" s="8" t="n">
        <x:v>0</x:v>
      </x:c>
      <x:c r="H1831" s="8" t="n">
        <x:v>0</x:v>
      </x:c>
      <x:c r="I1831" s="8" t="n">
        <x:v>0</x:v>
      </x:c>
      <x:c r="J1831" s="8" t="n">
        <x:v>0</x:v>
      </x:c>
      <x:c r="K1831" s="8" t="n">
        <x:v>0</x:v>
      </x:c>
      <x:c r="L1831" s="1" t="str">
        <x:v>Нет</x:v>
      </x:c>
      <x:c r="M1831" s="1" t="n">
        <x:v>0</x:v>
      </x:c>
    </x:row>
    <x:row r="1832">
      <x:c r="A1832" s="1" t="str">
        <x:v>183635254</x:v>
      </x:c>
      <x:c r="B1832" s="1" t="str">
        <x:v>longmanprint/PES-20/чёрный</x:v>
      </x:c>
      <x:c r="C1832" s="1" t="str">
        <x:v>Лонгсливы</x:v>
      </x:c>
      <x:c r="D1832" s="9" t="n">
        <x:v>9.2</x:v>
      </x:c>
      <x:c r="E1832" s="8" t="n">
        <x:v>20</x:v>
      </x:c>
      <x:c r="F1832" s="8" t="n">
        <x:v>0</x:v>
      </x:c>
      <x:c r="G1832" s="8" t="n">
        <x:v>0</x:v>
      </x:c>
      <x:c r="H1832" s="8" t="n">
        <x:v>0</x:v>
      </x:c>
      <x:c r="I1832" s="8" t="n">
        <x:v>0</x:v>
      </x:c>
      <x:c r="J1832" s="8" t="n">
        <x:v>0</x:v>
      </x:c>
      <x:c r="K1832" s="8" t="n">
        <x:v>0</x:v>
      </x:c>
      <x:c r="L1832" s="1" t="str">
        <x:v>Нет</x:v>
      </x:c>
      <x:c r="M1832" s="1" t="n">
        <x:v>0</x:v>
      </x:c>
    </x:row>
    <x:row r="1833">
      <x:c r="A1833" s="1" t="str">
        <x:v>183660147</x:v>
      </x:c>
      <x:c r="B1833" s="1" t="str">
        <x:v>1sizeprint/ALI-21/черный</x:v>
      </x:c>
      <x:c r="C1833" s="1" t="str">
        <x:v>Свитшоты</x:v>
      </x:c>
      <x:c r="D1833" s="9" t="n">
        <x:v>9.7</x:v>
      </x:c>
      <x:c r="E1833" s="8" t="n">
        <x:v>423</x:v>
      </x:c>
      <x:c r="F1833" s="8" t="n">
        <x:v>2</x:v>
      </x:c>
      <x:c r="G1833" s="8" t="n">
        <x:v>0</x:v>
      </x:c>
      <x:c r="H1833" s="8" t="n">
        <x:v>1</x:v>
      </x:c>
      <x:c r="I1833" s="8" t="n">
        <x:v>0</x:v>
      </x:c>
      <x:c r="J1833" s="8" t="n">
        <x:v>10</x:v>
      </x:c>
      <x:c r="K1833" s="8" t="n">
        <x:v>2090</x:v>
      </x:c>
      <x:c r="L1833" s="1" t="str">
        <x:v>Нет</x:v>
      </x:c>
      <x:c r="M1833" s="1" t="n">
        <x:v>6560</x:v>
      </x:c>
    </x:row>
    <x:row r="1834">
      <x:c r="A1834" s="1" t="str">
        <x:v>183793823</x:v>
      </x:c>
      <x:c r="B1834" s="1" t="str">
        <x:v>hudiprint/SVOBODA-14/изумрудно-зеленый</x:v>
      </x:c>
      <x:c r="C1834" s="1" t="str">
        <x:v>Худи</x:v>
      </x:c>
      <x:c r="D1834" s="9" t="n">
        <x:v>9.7</x:v>
      </x:c>
      <x:c r="E1834" s="8" t="n">
        <x:v>78</x:v>
      </x:c>
      <x:c r="F1834" s="8" t="n">
        <x:v>0</x:v>
      </x:c>
      <x:c r="G1834" s="8" t="n">
        <x:v>0</x:v>
      </x:c>
      <x:c r="H1834" s="8" t="n">
        <x:v>0</x:v>
      </x:c>
      <x:c r="I1834" s="8" t="n">
        <x:v>0</x:v>
      </x:c>
      <x:c r="J1834" s="8" t="n">
        <x:v>0</x:v>
      </x:c>
      <x:c r="K1834" s="8" t="n">
        <x:v>0</x:v>
      </x:c>
      <x:c r="L1834" s="1" t="str">
        <x:v>Нет</x:v>
      </x:c>
      <x:c r="M1834" s="1" t="n">
        <x:v>0</x:v>
      </x:c>
    </x:row>
    <x:row r="1835">
      <x:c r="A1835" s="1" t="str">
        <x:v>183793824</x:v>
      </x:c>
      <x:c r="B1835" s="1" t="str">
        <x:v>hudiprint/SVOBODA-14/молочный</x:v>
      </x:c>
      <x:c r="C1835" s="1" t="str">
        <x:v>Худи</x:v>
      </x:c>
      <x:c r="D1835" s="9" t="n">
        <x:v>8.7</x:v>
      </x:c>
      <x:c r="E1835" s="8" t="n">
        <x:v>58</x:v>
      </x:c>
      <x:c r="F1835" s="8" t="n">
        <x:v>0</x:v>
      </x:c>
      <x:c r="G1835" s="8" t="n">
        <x:v>0</x:v>
      </x:c>
      <x:c r="H1835" s="8" t="n">
        <x:v>0</x:v>
      </x:c>
      <x:c r="I1835" s="8" t="n">
        <x:v>0</x:v>
      </x:c>
      <x:c r="J1835" s="8" t="n">
        <x:v>0</x:v>
      </x:c>
      <x:c r="K1835" s="8" t="n">
        <x:v>0</x:v>
      </x:c>
      <x:c r="L1835" s="1" t="str">
        <x:v>Нет</x:v>
      </x:c>
      <x:c r="M1835" s="1" t="n">
        <x:v>0</x:v>
      </x:c>
    </x:row>
    <x:row r="1836">
      <x:c r="A1836" s="1" t="str">
        <x:v>183793835</x:v>
      </x:c>
      <x:c r="B1836" s="1" t="str">
        <x:v>hudiprint/68-11/черный</x:v>
      </x:c>
      <x:c r="C1836" s="1" t="str">
        <x:v>Худи</x:v>
      </x:c>
      <x:c r="D1836" s="9" t="n">
        <x:v>9.7</x:v>
      </x:c>
      <x:c r="E1836" s="8" t="n">
        <x:v>1430</x:v>
      </x:c>
      <x:c r="F1836" s="8" t="n">
        <x:v>1</x:v>
      </x:c>
      <x:c r="G1836" s="8" t="n">
        <x:v>0</x:v>
      </x:c>
      <x:c r="H1836" s="8" t="n">
        <x:v>0</x:v>
      </x:c>
      <x:c r="I1836" s="8" t="n">
        <x:v>0</x:v>
      </x:c>
      <x:c r="J1836" s="8" t="n">
        <x:v>3</x:v>
      </x:c>
      <x:c r="K1836" s="8" t="n">
        <x:v>3250</x:v>
      </x:c>
      <x:c r="L1836" s="1" t="str">
        <x:v>Нет</x:v>
      </x:c>
      <x:c r="M1836" s="1" t="n">
        <x:v>2400</x:v>
      </x:c>
    </x:row>
    <x:row r="1837">
      <x:c r="A1837" s="1" t="str">
        <x:v>183793837</x:v>
      </x:c>
      <x:c r="B1837" s="1" t="str">
        <x:v>hudiprint/SVOBODA-14/черный</x:v>
      </x:c>
      <x:c r="C1837" s="1" t="str">
        <x:v>Худи</x:v>
      </x:c>
      <x:c r="D1837" s="9" t="n">
        <x:v>8.7</x:v>
      </x:c>
      <x:c r="E1837" s="8" t="n">
        <x:v>103</x:v>
      </x:c>
      <x:c r="F1837" s="8" t="n">
        <x:v>0</x:v>
      </x:c>
      <x:c r="G1837" s="8" t="n">
        <x:v>0</x:v>
      </x:c>
      <x:c r="H1837" s="8" t="n">
        <x:v>0</x:v>
      </x:c>
      <x:c r="I1837" s="8" t="n">
        <x:v>0</x:v>
      </x:c>
      <x:c r="J1837" s="8" t="n">
        <x:v>0</x:v>
      </x:c>
      <x:c r="K1837" s="8" t="n">
        <x:v>0</x:v>
      </x:c>
      <x:c r="L1837" s="1" t="str">
        <x:v>Нет</x:v>
      </x:c>
      <x:c r="M1837" s="1" t="n">
        <x:v>0</x:v>
      </x:c>
    </x:row>
    <x:row r="1838">
      <x:c r="A1838" s="1" t="str">
        <x:v>184459864</x:v>
      </x:c>
      <x:c r="B1838" s="1" t="str">
        <x:v>petlyaprint/JERRY-29/черный</x:v>
      </x:c>
      <x:c r="C1838" s="1" t="str">
        <x:v>Свитшоты</x:v>
      </x:c>
      <x:c r="D1838" s="9" t="n">
        <x:v>9.7</x:v>
      </x:c>
      <x:c r="E1838" s="8" t="n">
        <x:v>13</x:v>
      </x:c>
      <x:c r="F1838" s="8" t="n">
        <x:v>0</x:v>
      </x:c>
      <x:c r="G1838" s="8" t="n">
        <x:v>0</x:v>
      </x:c>
      <x:c r="H1838" s="8" t="n">
        <x:v>0</x:v>
      </x:c>
      <x:c r="I1838" s="8" t="n">
        <x:v>0</x:v>
      </x:c>
      <x:c r="J1838" s="8" t="n">
        <x:v>0</x:v>
      </x:c>
      <x:c r="K1838" s="8" t="n">
        <x:v>0</x:v>
      </x:c>
      <x:c r="L1838" s="1" t="str">
        <x:v>Нет</x:v>
      </x:c>
      <x:c r="M1838" s="1" t="n">
        <x:v>0</x:v>
      </x:c>
    </x:row>
    <x:row r="1839">
      <x:c r="A1839" s="1" t="str">
        <x:v>184463520</x:v>
      </x:c>
      <x:c r="B1839" s="1" t="str">
        <x:v>petlyaprint/ANGEL-34/черный</x:v>
      </x:c>
      <x:c r="C1839" s="1" t="str">
        <x:v>Свитшоты</x:v>
      </x:c>
      <x:c r="D1839" s="9" t="n">
        <x:v>9.7</x:v>
      </x:c>
      <x:c r="E1839" s="8" t="n">
        <x:v>27</x:v>
      </x:c>
      <x:c r="F1839" s="8" t="n">
        <x:v>0</x:v>
      </x:c>
      <x:c r="G1839" s="8" t="n">
        <x:v>0</x:v>
      </x:c>
      <x:c r="H1839" s="8" t="n">
        <x:v>0</x:v>
      </x:c>
      <x:c r="I1839" s="8" t="n">
        <x:v>0</x:v>
      </x:c>
      <x:c r="J1839" s="8" t="n">
        <x:v>1</x:v>
      </x:c>
      <x:c r="K1839" s="8" t="n">
        <x:v>0</x:v>
      </x:c>
      <x:c r="L1839" s="1" t="str">
        <x:v>Нет</x:v>
      </x:c>
      <x:c r="M1839" s="1" t="n">
        <x:v>1410</x:v>
      </x:c>
    </x:row>
    <x:row r="1840">
      <x:c r="A1840" s="1" t="str">
        <x:v>184463522</x:v>
      </x:c>
      <x:c r="B1840" s="1" t="str">
        <x:v>petlyaprint/JERRY-29/морскаяволна</x:v>
      </x:c>
      <x:c r="C1840" s="1" t="str">
        <x:v>Свитшоты</x:v>
      </x:c>
      <x:c r="D1840" s="9" t="n">
        <x:v>9.7</x:v>
      </x:c>
      <x:c r="E1840" s="8" t="n">
        <x:v>14</x:v>
      </x:c>
      <x:c r="F1840" s="8" t="n">
        <x:v>0</x:v>
      </x:c>
      <x:c r="G1840" s="8" t="n">
        <x:v>0</x:v>
      </x:c>
      <x:c r="H1840" s="8" t="n">
        <x:v>0</x:v>
      </x:c>
      <x:c r="I1840" s="8" t="n">
        <x:v>0</x:v>
      </x:c>
      <x:c r="J1840" s="8" t="n">
        <x:v>0</x:v>
      </x:c>
      <x:c r="K1840" s="8" t="n">
        <x:v>0</x:v>
      </x:c>
      <x:c r="L1840" s="1" t="str">
        <x:v>Нет</x:v>
      </x:c>
      <x:c r="M1840" s="1" t="n">
        <x:v>0</x:v>
      </x:c>
    </x:row>
    <x:row r="1841">
      <x:c r="A1841" s="1" t="str">
        <x:v>184463524</x:v>
      </x:c>
      <x:c r="B1841" s="1" t="str">
        <x:v>petlyaprint/GAME-30/черный</x:v>
      </x:c>
      <x:c r="C1841" s="1" t="str">
        <x:v>Свитшоты</x:v>
      </x:c>
      <x:c r="D1841" s="9" t="n">
        <x:v>9.7</x:v>
      </x:c>
      <x:c r="E1841" s="8" t="n">
        <x:v>18</x:v>
      </x:c>
      <x:c r="F1841" s="8" t="n">
        <x:v>0</x:v>
      </x:c>
      <x:c r="G1841" s="8" t="n">
        <x:v>0</x:v>
      </x:c>
      <x:c r="H1841" s="8" t="n">
        <x:v>0</x:v>
      </x:c>
      <x:c r="I1841" s="8" t="n">
        <x:v>0</x:v>
      </x:c>
      <x:c r="J1841" s="8" t="n">
        <x:v>0</x:v>
      </x:c>
      <x:c r="K1841" s="8" t="n">
        <x:v>0</x:v>
      </x:c>
      <x:c r="L1841" s="1" t="str">
        <x:v>Нет</x:v>
      </x:c>
      <x:c r="M1841" s="1" t="n">
        <x:v>0</x:v>
      </x:c>
    </x:row>
    <x:row r="1842">
      <x:c r="A1842" s="1" t="str">
        <x:v>184463525</x:v>
      </x:c>
      <x:c r="B1842" s="1" t="str">
        <x:v>petlyaprint/JERRY-29/красный</x:v>
      </x:c>
      <x:c r="C1842" s="1" t="str">
        <x:v>Свитшоты</x:v>
      </x:c>
      <x:c r="D1842" s="9" t="n">
        <x:v>9.7</x:v>
      </x:c>
      <x:c r="E1842" s="8" t="n">
        <x:v>13</x:v>
      </x:c>
      <x:c r="F1842" s="8" t="n">
        <x:v>0</x:v>
      </x:c>
      <x:c r="G1842" s="8" t="n">
        <x:v>0</x:v>
      </x:c>
      <x:c r="H1842" s="8" t="n">
        <x:v>0</x:v>
      </x:c>
      <x:c r="I1842" s="8" t="n">
        <x:v>0</x:v>
      </x:c>
      <x:c r="J1842" s="8" t="n">
        <x:v>0</x:v>
      </x:c>
      <x:c r="K1842" s="8" t="n">
        <x:v>0</x:v>
      </x:c>
      <x:c r="L1842" s="1" t="str">
        <x:v>Нет</x:v>
      </x:c>
      <x:c r="M1842" s="1" t="n">
        <x:v>0</x:v>
      </x:c>
    </x:row>
    <x:row r="1843">
      <x:c r="A1843" s="1" t="str">
        <x:v>184463529</x:v>
      </x:c>
      <x:c r="B1843" s="1" t="str">
        <x:v>petlyaprint/68-11/черный</x:v>
      </x:c>
      <x:c r="C1843" s="1" t="str">
        <x:v>Свитшоты</x:v>
      </x:c>
      <x:c r="D1843" s="9" t="n">
        <x:v>9.7</x:v>
      </x:c>
      <x:c r="E1843" s="8" t="n">
        <x:v>18</x:v>
      </x:c>
      <x:c r="F1843" s="8" t="n">
        <x:v>0</x:v>
      </x:c>
      <x:c r="G1843" s="8" t="n">
        <x:v>0</x:v>
      </x:c>
      <x:c r="H1843" s="8" t="n">
        <x:v>0</x:v>
      </x:c>
      <x:c r="I1843" s="8" t="n">
        <x:v>0</x:v>
      </x:c>
      <x:c r="J1843" s="8" t="n">
        <x:v>0</x:v>
      </x:c>
      <x:c r="K1843" s="8" t="n">
        <x:v>0</x:v>
      </x:c>
      <x:c r="L1843" s="1" t="str">
        <x:v>Нет</x:v>
      </x:c>
      <x:c r="M1843" s="1" t="n">
        <x:v>0</x:v>
      </x:c>
    </x:row>
    <x:row r="1844">
      <x:c r="A1844" s="1" t="str">
        <x:v>184463532</x:v>
      </x:c>
      <x:c r="B1844" s="1" t="str">
        <x:v>petlyaprint/68-11/изумрудно-зеленый</x:v>
      </x:c>
      <x:c r="C1844" s="1" t="str">
        <x:v>Свитшоты</x:v>
      </x:c>
      <x:c r="D1844" s="9" t="n">
        <x:v>9.7</x:v>
      </x:c>
      <x:c r="E1844" s="8" t="n">
        <x:v>11</x:v>
      </x:c>
      <x:c r="F1844" s="8" t="n">
        <x:v>0</x:v>
      </x:c>
      <x:c r="G1844" s="8" t="n">
        <x:v>0</x:v>
      </x:c>
      <x:c r="H1844" s="8" t="n">
        <x:v>0</x:v>
      </x:c>
      <x:c r="I1844" s="8" t="n">
        <x:v>0</x:v>
      </x:c>
      <x:c r="J1844" s="8" t="n">
        <x:v>0</x:v>
      </x:c>
      <x:c r="K1844" s="8" t="n">
        <x:v>0</x:v>
      </x:c>
      <x:c r="L1844" s="1" t="str">
        <x:v>Нет</x:v>
      </x:c>
      <x:c r="M1844" s="1" t="n">
        <x:v>0</x:v>
      </x:c>
    </x:row>
    <x:row r="1845">
      <x:c r="A1845" s="1" t="str">
        <x:v>184476703</x:v>
      </x:c>
      <x:c r="B1845" s="1" t="str">
        <x:v>futbolkaoverprint/GLAZA-27/белый</x:v>
      </x:c>
      <x:c r="C1845" s="1" t="str">
        <x:v>Футболки</x:v>
      </x:c>
      <x:c r="D1845" s="9" t="n">
        <x:v>9.7</x:v>
      </x:c>
      <x:c r="E1845" s="8" t="n">
        <x:v>45</x:v>
      </x:c>
      <x:c r="F1845" s="8" t="n">
        <x:v>0</x:v>
      </x:c>
      <x:c r="G1845" s="8" t="n">
        <x:v>0</x:v>
      </x:c>
      <x:c r="H1845" s="8" t="n">
        <x:v>0</x:v>
      </x:c>
      <x:c r="I1845" s="8" t="n">
        <x:v>0</x:v>
      </x:c>
      <x:c r="J1845" s="8" t="n">
        <x:v>0</x:v>
      </x:c>
      <x:c r="K1845" s="8" t="n">
        <x:v>0</x:v>
      </x:c>
      <x:c r="L1845" s="1" t="str">
        <x:v>Нет</x:v>
      </x:c>
      <x:c r="M1845" s="1" t="n">
        <x:v>0</x:v>
      </x:c>
    </x:row>
    <x:row r="1846">
      <x:c r="A1846" s="1" t="str">
        <x:v>184479828</x:v>
      </x:c>
      <x:c r="B1846" s="1" t="str">
        <x:v>futbolkaoverprint/DAVID-28/белый</x:v>
      </x:c>
      <x:c r="C1846" s="1" t="str">
        <x:v>Футболки</x:v>
      </x:c>
      <x:c r="D1846" s="9" t="n">
        <x:v>8.7</x:v>
      </x:c>
      <x:c r="E1846" s="8" t="n">
        <x:v>56</x:v>
      </x:c>
      <x:c r="F1846" s="8" t="n">
        <x:v>0</x:v>
      </x:c>
      <x:c r="G1846" s="8" t="n">
        <x:v>0</x:v>
      </x:c>
      <x:c r="H1846" s="8" t="n">
        <x:v>0</x:v>
      </x:c>
      <x:c r="I1846" s="8" t="n">
        <x:v>0</x:v>
      </x:c>
      <x:c r="J1846" s="8" t="n">
        <x:v>0</x:v>
      </x:c>
      <x:c r="K1846" s="8" t="n">
        <x:v>0</x:v>
      </x:c>
      <x:c r="L1846" s="1" t="str">
        <x:v>Нет</x:v>
      </x:c>
      <x:c r="M1846" s="1" t="n">
        <x:v>0</x:v>
      </x:c>
    </x:row>
    <x:row r="1847">
      <x:c r="A1847" s="1" t="str">
        <x:v>184479830</x:v>
      </x:c>
      <x:c r="B1847" s="1" t="str">
        <x:v>futbolkaoverprint/DAVID-28/черный</x:v>
      </x:c>
      <x:c r="C1847" s="1" t="str">
        <x:v>Футболки</x:v>
      </x:c>
      <x:c r="D1847" s="9" t="n">
        <x:v>8.7</x:v>
      </x:c>
      <x:c r="E1847" s="8" t="n">
        <x:v>50</x:v>
      </x:c>
      <x:c r="F1847" s="8" t="n">
        <x:v>0</x:v>
      </x:c>
      <x:c r="G1847" s="8" t="n">
        <x:v>0</x:v>
      </x:c>
      <x:c r="H1847" s="8" t="n">
        <x:v>0</x:v>
      </x:c>
      <x:c r="I1847" s="8" t="n">
        <x:v>0</x:v>
      </x:c>
      <x:c r="J1847" s="8" t="n">
        <x:v>0</x:v>
      </x:c>
      <x:c r="K1847" s="8" t="n">
        <x:v>0</x:v>
      </x:c>
      <x:c r="L1847" s="1" t="str">
        <x:v>Нет</x:v>
      </x:c>
      <x:c r="M1847" s="1" t="n">
        <x:v>0</x:v>
      </x:c>
    </x:row>
    <x:row r="1848">
      <x:c r="A1848" s="1" t="str">
        <x:v>184479832</x:v>
      </x:c>
      <x:c r="B1848" s="1" t="str">
        <x:v>futbolkaoverprint/HEART-25/черный</x:v>
      </x:c>
      <x:c r="C1848" s="1" t="str">
        <x:v>Футболки</x:v>
      </x:c>
      <x:c r="D1848" s="9" t="n">
        <x:v>8.7</x:v>
      </x:c>
      <x:c r="E1848" s="8" t="n">
        <x:v>40</x:v>
      </x:c>
      <x:c r="F1848" s="8" t="n">
        <x:v>0</x:v>
      </x:c>
      <x:c r="G1848" s="8" t="n">
        <x:v>0</x:v>
      </x:c>
      <x:c r="H1848" s="8" t="n">
        <x:v>0</x:v>
      </x:c>
      <x:c r="I1848" s="8" t="n">
        <x:v>0</x:v>
      </x:c>
      <x:c r="J1848" s="8" t="n">
        <x:v>0</x:v>
      </x:c>
      <x:c r="K1848" s="8" t="n">
        <x:v>0</x:v>
      </x:c>
      <x:c r="L1848" s="1" t="str">
        <x:v>Нет</x:v>
      </x:c>
      <x:c r="M1848" s="1" t="n">
        <x:v>0</x:v>
      </x:c>
    </x:row>
    <x:row r="1849">
      <x:c r="A1849" s="1" t="str">
        <x:v>184479833</x:v>
      </x:c>
      <x:c r="B1849" s="1" t="str">
        <x:v>futbolkaoverprint/GLAZA-27/дымка</x:v>
      </x:c>
      <x:c r="C1849" s="1" t="str">
        <x:v>Футболки</x:v>
      </x:c>
      <x:c r="D1849" s="9" t="n">
        <x:v>9.7</x:v>
      </x:c>
      <x:c r="E1849" s="8" t="n">
        <x:v>48</x:v>
      </x:c>
      <x:c r="F1849" s="8" t="n">
        <x:v>0</x:v>
      </x:c>
      <x:c r="G1849" s="8" t="n">
        <x:v>0</x:v>
      </x:c>
      <x:c r="H1849" s="8" t="n">
        <x:v>0</x:v>
      </x:c>
      <x:c r="I1849" s="8" t="n">
        <x:v>0</x:v>
      </x:c>
      <x:c r="J1849" s="8" t="n">
        <x:v>0</x:v>
      </x:c>
      <x:c r="K1849" s="8" t="n">
        <x:v>0</x:v>
      </x:c>
      <x:c r="L1849" s="1" t="str">
        <x:v>Нет</x:v>
      </x:c>
      <x:c r="M1849" s="1" t="n">
        <x:v>0</x:v>
      </x:c>
    </x:row>
    <x:row r="1850">
      <x:c r="A1850" s="1" t="str">
        <x:v>184479834</x:v>
      </x:c>
      <x:c r="B1850" s="1" t="str">
        <x:v>futbolkaoverprint/HEART-25/эвкалипт</x:v>
      </x:c>
      <x:c r="C1850" s="1" t="str">
        <x:v>Футболки</x:v>
      </x:c>
      <x:c r="D1850" s="9" t="n">
        <x:v>8.7</x:v>
      </x:c>
      <x:c r="E1850" s="8" t="n">
        <x:v>49</x:v>
      </x:c>
      <x:c r="F1850" s="8" t="n">
        <x:v>0</x:v>
      </x:c>
      <x:c r="G1850" s="8" t="n">
        <x:v>0</x:v>
      </x:c>
      <x:c r="H1850" s="8" t="n">
        <x:v>0</x:v>
      </x:c>
      <x:c r="I1850" s="8" t="n">
        <x:v>0</x:v>
      </x:c>
      <x:c r="J1850" s="8" t="n">
        <x:v>0</x:v>
      </x:c>
      <x:c r="K1850" s="8" t="n">
        <x:v>0</x:v>
      </x:c>
      <x:c r="L1850" s="1" t="str">
        <x:v>Нет</x:v>
      </x:c>
      <x:c r="M1850" s="1" t="n">
        <x:v>0</x:v>
      </x:c>
    </x:row>
    <x:row r="1851">
      <x:c r="A1851" s="1" t="str">
        <x:v>184479835</x:v>
      </x:c>
      <x:c r="B1851" s="1" t="str">
        <x:v>futbolkaoverprint/OGON-32/черный</x:v>
      </x:c>
      <x:c r="C1851" s="1" t="str">
        <x:v>Футболки</x:v>
      </x:c>
      <x:c r="D1851" s="9" t="n">
        <x:v>9.7</x:v>
      </x:c>
      <x:c r="E1851" s="8" t="n">
        <x:v>64</x:v>
      </x:c>
      <x:c r="F1851" s="8" t="n">
        <x:v>0</x:v>
      </x:c>
      <x:c r="G1851" s="8" t="n">
        <x:v>0</x:v>
      </x:c>
      <x:c r="H1851" s="8" t="n">
        <x:v>0</x:v>
      </x:c>
      <x:c r="I1851" s="8" t="n">
        <x:v>0</x:v>
      </x:c>
      <x:c r="J1851" s="8" t="n">
        <x:v>0</x:v>
      </x:c>
      <x:c r="K1851" s="8" t="n">
        <x:v>0</x:v>
      </x:c>
      <x:c r="L1851" s="1" t="str">
        <x:v>Нет</x:v>
      </x:c>
      <x:c r="M1851" s="1" t="n">
        <x:v>0</x:v>
      </x:c>
    </x:row>
    <x:row r="1852">
      <x:c r="A1852" s="1" t="str">
        <x:v>184479836</x:v>
      </x:c>
      <x:c r="B1852" s="1" t="str">
        <x:v>futbolkaoverprint/OGON-32/белый</x:v>
      </x:c>
      <x:c r="C1852" s="1" t="str">
        <x:v>Футболки</x:v>
      </x:c>
      <x:c r="D1852" s="9" t="n">
        <x:v>8.7</x:v>
      </x:c>
      <x:c r="E1852" s="8" t="n">
        <x:v>71</x:v>
      </x:c>
      <x:c r="F1852" s="8" t="n">
        <x:v>0</x:v>
      </x:c>
      <x:c r="G1852" s="8" t="n">
        <x:v>0</x:v>
      </x:c>
      <x:c r="H1852" s="8" t="n">
        <x:v>0</x:v>
      </x:c>
      <x:c r="I1852" s="8" t="n">
        <x:v>0</x:v>
      </x:c>
      <x:c r="J1852" s="8" t="n">
        <x:v>0</x:v>
      </x:c>
      <x:c r="K1852" s="8" t="n">
        <x:v>0</x:v>
      </x:c>
      <x:c r="L1852" s="1" t="str">
        <x:v>Нет</x:v>
      </x:c>
      <x:c r="M1852" s="1" t="n">
        <x:v>0</x:v>
      </x:c>
    </x:row>
    <x:row r="1853">
      <x:c r="A1853" s="1" t="str">
        <x:v>184479845</x:v>
      </x:c>
      <x:c r="B1853" s="1" t="str">
        <x:v>futbolkaoverprint/UTKA-26/черный</x:v>
      </x:c>
      <x:c r="C1853" s="1" t="str">
        <x:v>Футболки</x:v>
      </x:c>
      <x:c r="D1853" s="9" t="n">
        <x:v>9.7</x:v>
      </x:c>
      <x:c r="E1853" s="8" t="n">
        <x:v>46</x:v>
      </x:c>
      <x:c r="F1853" s="8" t="n">
        <x:v>0</x:v>
      </x:c>
      <x:c r="G1853" s="8" t="n">
        <x:v>0</x:v>
      </x:c>
      <x:c r="H1853" s="8" t="n">
        <x:v>0</x:v>
      </x:c>
      <x:c r="I1853" s="8" t="n">
        <x:v>0</x:v>
      </x:c>
      <x:c r="J1853" s="8" t="n">
        <x:v>0</x:v>
      </x:c>
      <x:c r="K1853" s="8" t="n">
        <x:v>0</x:v>
      </x:c>
      <x:c r="L1853" s="1" t="str">
        <x:v>Нет</x:v>
      </x:c>
      <x:c r="M1853" s="1" t="n">
        <x:v>0</x:v>
      </x:c>
    </x:row>
    <x:row r="1854">
      <x:c r="A1854" s="1" t="str">
        <x:v>184479846</x:v>
      </x:c>
      <x:c r="B1854" s="1" t="str">
        <x:v>futbolkaoverprint/GLAZA-27/черный</x:v>
      </x:c>
      <x:c r="C1854" s="1" t="str">
        <x:v>Футболки</x:v>
      </x:c>
      <x:c r="D1854" s="9" t="n">
        <x:v>9.7</x:v>
      </x:c>
      <x:c r="E1854" s="8" t="n">
        <x:v>37</x:v>
      </x:c>
      <x:c r="F1854" s="8" t="n">
        <x:v>0</x:v>
      </x:c>
      <x:c r="G1854" s="8" t="n">
        <x:v>0</x:v>
      </x:c>
      <x:c r="H1854" s="8" t="n">
        <x:v>0</x:v>
      </x:c>
      <x:c r="I1854" s="8" t="n">
        <x:v>0</x:v>
      </x:c>
      <x:c r="J1854" s="8" t="n">
        <x:v>0</x:v>
      </x:c>
      <x:c r="K1854" s="8" t="n">
        <x:v>0</x:v>
      </x:c>
      <x:c r="L1854" s="1" t="str">
        <x:v>Нет</x:v>
      </x:c>
      <x:c r="M1854" s="1" t="n">
        <x:v>0</x:v>
      </x:c>
    </x:row>
    <x:row r="1855">
      <x:c r="A1855" s="1" t="str">
        <x:v>184479848</x:v>
      </x:c>
      <x:c r="B1855" s="1" t="str">
        <x:v>futbolkaoverprint/HEART-25/белый</x:v>
      </x:c>
      <x:c r="C1855" s="1" t="str">
        <x:v>Футболки</x:v>
      </x:c>
      <x:c r="D1855" s="9" t="n">
        <x:v>8.7</x:v>
      </x:c>
      <x:c r="E1855" s="8" t="n">
        <x:v>10</x:v>
      </x:c>
      <x:c r="F1855" s="8" t="n">
        <x:v>0</x:v>
      </x:c>
      <x:c r="G1855" s="8" t="n">
        <x:v>0</x:v>
      </x:c>
      <x:c r="H1855" s="8" t="n">
        <x:v>0</x:v>
      </x:c>
      <x:c r="I1855" s="8" t="n">
        <x:v>0</x:v>
      </x:c>
      <x:c r="J1855" s="8" t="n">
        <x:v>0</x:v>
      </x:c>
      <x:c r="K1855" s="8" t="n">
        <x:v>0</x:v>
      </x:c>
      <x:c r="L1855" s="1" t="str">
        <x:v>Нет</x:v>
      </x:c>
      <x:c r="M1855" s="1" t="n">
        <x:v>0</x:v>
      </x:c>
    </x:row>
    <x:row r="1856">
      <x:c r="A1856" s="1" t="str">
        <x:v>184479849</x:v>
      </x:c>
      <x:c r="B1856" s="1" t="str">
        <x:v>futbolkaoverprint/DAVID-28/дымка</x:v>
      </x:c>
      <x:c r="C1856" s="1" t="str">
        <x:v>Футболки</x:v>
      </x:c>
      <x:c r="D1856" s="9" t="n">
        <x:v>8.7</x:v>
      </x:c>
      <x:c r="E1856" s="8" t="n">
        <x:v>64</x:v>
      </x:c>
      <x:c r="F1856" s="8" t="n">
        <x:v>0</x:v>
      </x:c>
      <x:c r="G1856" s="8" t="n">
        <x:v>0</x:v>
      </x:c>
      <x:c r="H1856" s="8" t="n">
        <x:v>0</x:v>
      </x:c>
      <x:c r="I1856" s="8" t="n">
        <x:v>0</x:v>
      </x:c>
      <x:c r="J1856" s="8" t="n">
        <x:v>0</x:v>
      </x:c>
      <x:c r="K1856" s="8" t="n">
        <x:v>0</x:v>
      </x:c>
      <x:c r="L1856" s="1" t="str">
        <x:v>Нет</x:v>
      </x:c>
      <x:c r="M1856" s="1" t="n">
        <x:v>0</x:v>
      </x:c>
    </x:row>
    <x:row r="1857">
      <x:c r="A1857" s="1" t="str">
        <x:v>189114388</x:v>
      </x:c>
      <x:c r="B1857" s="1" t="str">
        <x:v>WK1038-1518-2</x:v>
      </x:c>
      <x:c r="C1857" s="1" t="str">
        <x:v>Джинсы</x:v>
      </x:c>
      <x:c r="D1857" s="9" t="n">
        <x:v>9.7</x:v>
      </x:c>
      <x:c r="E1857" s="8" t="n">
        <x:v>251</x:v>
      </x:c>
      <x:c r="F1857" s="8" t="n">
        <x:v>1</x:v>
      </x:c>
      <x:c r="G1857" s="8" t="n">
        <x:v>0</x:v>
      </x:c>
      <x:c r="H1857" s="8" t="n">
        <x:v>0</x:v>
      </x:c>
      <x:c r="I1857" s="8" t="n">
        <x:v>0</x:v>
      </x:c>
      <x:c r="J1857" s="8" t="n">
        <x:v>0</x:v>
      </x:c>
      <x:c r="K1857" s="8" t="n">
        <x:v>2216</x:v>
      </x:c>
      <x:c r="L1857" s="1" t="str">
        <x:v>Нет</x:v>
      </x:c>
      <x:c r="M1857" s="1" t="n">
        <x:v>0</x:v>
      </x:c>
    </x:row>
    <x:row r="1858">
      <x:c r="A1858" s="1" t="str">
        <x:v>189114389</x:v>
      </x:c>
      <x:c r="B1858" s="1" t="str">
        <x:v>AD573-2</x:v>
      </x:c>
      <x:c r="C1858" s="1" t="str">
        <x:v>Джинсы</x:v>
      </x:c>
      <x:c r="D1858" s="9" t="n">
        <x:v>8.7</x:v>
      </x:c>
      <x:c r="E1858" s="8" t="n">
        <x:v>17</x:v>
      </x:c>
      <x:c r="F1858" s="8" t="n">
        <x:v>0</x:v>
      </x:c>
      <x:c r="G1858" s="8" t="n">
        <x:v>0</x:v>
      </x:c>
      <x:c r="H1858" s="8" t="n">
        <x:v>0</x:v>
      </x:c>
      <x:c r="I1858" s="8" t="n">
        <x:v>0</x:v>
      </x:c>
      <x:c r="J1858" s="8" t="n">
        <x:v>0</x:v>
      </x:c>
      <x:c r="K1858" s="8" t="n">
        <x:v>0</x:v>
      </x:c>
      <x:c r="L1858" s="1" t="str">
        <x:v>Нет</x:v>
      </x:c>
      <x:c r="M1858" s="1" t="n">
        <x:v>0</x:v>
      </x:c>
    </x:row>
    <x:row r="1859">
      <x:c r="A1859" s="1" t="str">
        <x:v>189114390</x:v>
      </x:c>
      <x:c r="B1859" s="1" t="str">
        <x:v>WK1038-1518-3</x:v>
      </x:c>
      <x:c r="C1859" s="1" t="str">
        <x:v>Джинсы</x:v>
      </x:c>
      <x:c r="D1859" s="9" t="n">
        <x:v>9.7</x:v>
      </x:c>
      <x:c r="E1859" s="8" t="n">
        <x:v>94</x:v>
      </x:c>
      <x:c r="F1859" s="8" t="n">
        <x:v>0</x:v>
      </x:c>
      <x:c r="G1859" s="8" t="n">
        <x:v>0</x:v>
      </x:c>
      <x:c r="H1859" s="8" t="n">
        <x:v>0</x:v>
      </x:c>
      <x:c r="I1859" s="8" t="n">
        <x:v>0</x:v>
      </x:c>
      <x:c r="J1859" s="8" t="n">
        <x:v>0</x:v>
      </x:c>
      <x:c r="K1859" s="8" t="n">
        <x:v>0</x:v>
      </x:c>
      <x:c r="L1859" s="1" t="str">
        <x:v>Нет</x:v>
      </x:c>
      <x:c r="M1859" s="1" t="n">
        <x:v>0</x:v>
      </x:c>
    </x:row>
    <x:row r="1860">
      <x:c r="A1860" s="1" t="str">
        <x:v>189114392</x:v>
      </x:c>
      <x:c r="B1860" s="1" t="str">
        <x:v>WK1038-7654-6</x:v>
      </x:c>
      <x:c r="C1860" s="1" t="str">
        <x:v>Джинсы</x:v>
      </x:c>
      <x:c r="D1860" s="9" t="n">
        <x:v>9.7</x:v>
      </x:c>
      <x:c r="E1860" s="8" t="n">
        <x:v>33</x:v>
      </x:c>
      <x:c r="F1860" s="8" t="n">
        <x:v>0</x:v>
      </x:c>
      <x:c r="G1860" s="8" t="n">
        <x:v>0</x:v>
      </x:c>
      <x:c r="H1860" s="8" t="n">
        <x:v>0</x:v>
      </x:c>
      <x:c r="I1860" s="8" t="n">
        <x:v>0</x:v>
      </x:c>
      <x:c r="J1860" s="8" t="n">
        <x:v>0</x:v>
      </x:c>
      <x:c r="K1860" s="8" t="n">
        <x:v>0</x:v>
      </x:c>
      <x:c r="L1860" s="1" t="str">
        <x:v>Нет</x:v>
      </x:c>
      <x:c r="M1860" s="1" t="n">
        <x:v>0</x:v>
      </x:c>
    </x:row>
    <x:row r="1861">
      <x:c r="A1861" s="1" t="str">
        <x:v>189114394</x:v>
      </x:c>
      <x:c r="B1861" s="1" t="str">
        <x:v>AB1076-52E-2</x:v>
      </x:c>
      <x:c r="C1861" s="1" t="str">
        <x:v>Джинсы</x:v>
      </x:c>
      <x:c r="D1861" s="9" t="n">
        <x:v>8</x:v>
      </x:c>
      <x:c r="E1861" s="8" t="n">
        <x:v>16</x:v>
      </x:c>
      <x:c r="F1861" s="8" t="n">
        <x:v>0</x:v>
      </x:c>
      <x:c r="G1861" s="8" t="n">
        <x:v>0</x:v>
      </x:c>
      <x:c r="H1861" s="8" t="n">
        <x:v>0</x:v>
      </x:c>
      <x:c r="I1861" s="8" t="n">
        <x:v>0</x:v>
      </x:c>
      <x:c r="J1861" s="8" t="n">
        <x:v>1</x:v>
      </x:c>
      <x:c r="K1861" s="8" t="n">
        <x:v>0</x:v>
      </x:c>
      <x:c r="L1861" s="1" t="str">
        <x:v>Нет</x:v>
      </x:c>
      <x:c r="M1861" s="1" t="n">
        <x:v>2130</x:v>
      </x:c>
    </x:row>
    <x:row r="1862">
      <x:c r="A1862" s="1" t="str">
        <x:v>189114395</x:v>
      </x:c>
      <x:c r="B1862" s="1" t="str">
        <x:v>WK1038-7654-7</x:v>
      </x:c>
      <x:c r="C1862" s="1" t="str">
        <x:v>Джинсы</x:v>
      </x:c>
      <x:c r="D1862" s="9" t="n">
        <x:v>9.7</x:v>
      </x:c>
      <x:c r="E1862" s="8" t="n">
        <x:v>361</x:v>
      </x:c>
      <x:c r="F1862" s="8" t="n">
        <x:v>2</x:v>
      </x:c>
      <x:c r="G1862" s="8" t="n">
        <x:v>0</x:v>
      </x:c>
      <x:c r="H1862" s="8" t="n">
        <x:v>0</x:v>
      </x:c>
      <x:c r="I1862" s="8" t="n">
        <x:v>0</x:v>
      </x:c>
      <x:c r="J1862" s="8" t="n">
        <x:v>3</x:v>
      </x:c>
      <x:c r="K1862" s="8" t="n">
        <x:v>1940</x:v>
      </x:c>
      <x:c r="L1862" s="1" t="str">
        <x:v>Нет</x:v>
      </x:c>
      <x:c r="M1862" s="1" t="n">
        <x:v>0</x:v>
      </x:c>
    </x:row>
    <x:row r="1863">
      <x:c r="A1863" s="1" t="str">
        <x:v>189114397</x:v>
      </x:c>
      <x:c r="B1863" s="1" t="str">
        <x:v>MC/WK1054-7654-8</x:v>
      </x:c>
      <x:c r="C1863" s="1" t="str">
        <x:v>Джинсы</x:v>
      </x:c>
      <x:c r="D1863" s="9" t="n">
        <x:v>9.7</x:v>
      </x:c>
      <x:c r="E1863" s="8" t="n">
        <x:v>46</x:v>
      </x:c>
      <x:c r="F1863" s="8" t="n">
        <x:v>0</x:v>
      </x:c>
      <x:c r="G1863" s="8" t="n">
        <x:v>0</x:v>
      </x:c>
      <x:c r="H1863" s="8" t="n">
        <x:v>0</x:v>
      </x:c>
      <x:c r="I1863" s="8" t="n">
        <x:v>0</x:v>
      </x:c>
      <x:c r="J1863" s="8" t="n">
        <x:v>0</x:v>
      </x:c>
      <x:c r="K1863" s="8" t="n">
        <x:v>0</x:v>
      </x:c>
      <x:c r="L1863" s="1" t="str">
        <x:v>Нет</x:v>
      </x:c>
      <x:c r="M1863" s="1" t="n">
        <x:v>0</x:v>
      </x:c>
    </x:row>
    <x:row r="1864">
      <x:c r="A1864" s="1" t="str">
        <x:v>189114399</x:v>
      </x:c>
      <x:c r="B1864" s="1" t="str">
        <x:v>WK1054-1518-11</x:v>
      </x:c>
      <x:c r="C1864" s="1" t="str">
        <x:v>Джинсы</x:v>
      </x:c>
      <x:c r="D1864" s="9" t="n">
        <x:v>9.2</x:v>
      </x:c>
      <x:c r="E1864" s="8" t="n">
        <x:v>17</x:v>
      </x:c>
      <x:c r="F1864" s="8" t="n">
        <x:v>0</x:v>
      </x:c>
      <x:c r="G1864" s="8" t="n">
        <x:v>0</x:v>
      </x:c>
      <x:c r="H1864" s="8" t="n">
        <x:v>0</x:v>
      </x:c>
      <x:c r="I1864" s="8" t="n">
        <x:v>0</x:v>
      </x:c>
      <x:c r="J1864" s="8" t="n">
        <x:v>0</x:v>
      </x:c>
      <x:c r="K1864" s="8" t="n">
        <x:v>0</x:v>
      </x:c>
      <x:c r="L1864" s="1" t="str">
        <x:v>Нет</x:v>
      </x:c>
      <x:c r="M1864" s="1" t="n">
        <x:v>0</x:v>
      </x:c>
    </x:row>
    <x:row r="1865">
      <x:c r="A1865" s="1" t="str">
        <x:v>189114401</x:v>
      </x:c>
      <x:c r="B1865" s="1" t="str">
        <x:v>WK688-7654-7</x:v>
      </x:c>
      <x:c r="C1865" s="1" t="str">
        <x:v>Джинсы</x:v>
      </x:c>
      <x:c r="D1865" s="9" t="n">
        <x:v>9.2</x:v>
      </x:c>
      <x:c r="E1865" s="8" t="n">
        <x:v>9</x:v>
      </x:c>
      <x:c r="F1865" s="8" t="n">
        <x:v>0</x:v>
      </x:c>
      <x:c r="G1865" s="8" t="n">
        <x:v>0</x:v>
      </x:c>
      <x:c r="H1865" s="8" t="n">
        <x:v>0</x:v>
      </x:c>
      <x:c r="I1865" s="8" t="n">
        <x:v>0</x:v>
      </x:c>
      <x:c r="J1865" s="8" t="n">
        <x:v>0</x:v>
      </x:c>
      <x:c r="K1865" s="8" t="n">
        <x:v>0</x:v>
      </x:c>
      <x:c r="L1865" s="1" t="str">
        <x:v>Нет</x:v>
      </x:c>
      <x:c r="M1865" s="1" t="n">
        <x:v>0</x:v>
      </x:c>
    </x:row>
    <x:row r="1866">
      <x:c r="A1866" s="1" t="str">
        <x:v>189114403</x:v>
      </x:c>
      <x:c r="B1866" s="1" t="str">
        <x:v>AB572-52E-6</x:v>
      </x:c>
      <x:c r="C1866" s="1" t="str">
        <x:v>Джинсы</x:v>
      </x:c>
      <x:c r="D1866" s="9" t="n">
        <x:v>8</x:v>
      </x:c>
      <x:c r="E1866" s="8" t="n">
        <x:v>21</x:v>
      </x:c>
      <x:c r="F1866" s="8" t="n">
        <x:v>0</x:v>
      </x:c>
      <x:c r="G1866" s="8" t="n">
        <x:v>0</x:v>
      </x:c>
      <x:c r="H1866" s="8" t="n">
        <x:v>0</x:v>
      </x:c>
      <x:c r="I1866" s="8" t="n">
        <x:v>0</x:v>
      </x:c>
      <x:c r="J1866" s="8" t="n">
        <x:v>0</x:v>
      </x:c>
      <x:c r="K1866" s="8" t="n">
        <x:v>0</x:v>
      </x:c>
      <x:c r="L1866" s="1" t="str">
        <x:v>Нет</x:v>
      </x:c>
      <x:c r="M1866" s="1" t="n">
        <x:v>0</x:v>
      </x:c>
    </x:row>
    <x:row r="1867">
      <x:c r="A1867" s="1" t="str">
        <x:v>189114406</x:v>
      </x:c>
      <x:c r="B1867" s="1" t="str">
        <x:v>WV1037-7654-6</x:v>
      </x:c>
      <x:c r="C1867" s="1" t="str">
        <x:v>Джинсы</x:v>
      </x:c>
      <x:c r="D1867" s="9" t="n">
        <x:v>8</x:v>
      </x:c>
      <x:c r="E1867" s="8" t="n">
        <x:v>40</x:v>
      </x:c>
      <x:c r="F1867" s="8" t="n">
        <x:v>0</x:v>
      </x:c>
      <x:c r="G1867" s="8" t="n">
        <x:v>0</x:v>
      </x:c>
      <x:c r="H1867" s="8" t="n">
        <x:v>0</x:v>
      </x:c>
      <x:c r="I1867" s="8" t="n">
        <x:v>0</x:v>
      </x:c>
      <x:c r="J1867" s="8" t="n">
        <x:v>0</x:v>
      </x:c>
      <x:c r="K1867" s="8" t="n">
        <x:v>0</x:v>
      </x:c>
      <x:c r="L1867" s="1" t="str">
        <x:v>Нет</x:v>
      </x:c>
      <x:c r="M1867" s="1" t="n">
        <x:v>0</x:v>
      </x:c>
    </x:row>
    <x:row r="1868">
      <x:c r="A1868" s="1" t="str">
        <x:v>189114408</x:v>
      </x:c>
      <x:c r="B1868" s="1" t="str">
        <x:v>WK688-7654-6</x:v>
      </x:c>
      <x:c r="C1868" s="1" t="str">
        <x:v>Джинсы</x:v>
      </x:c>
      <x:c r="D1868" s="9" t="n">
        <x:v>8</x:v>
      </x:c>
      <x:c r="E1868" s="8" t="n">
        <x:v>178</x:v>
      </x:c>
      <x:c r="F1868" s="8" t="n">
        <x:v>3</x:v>
      </x:c>
      <x:c r="G1868" s="8" t="n">
        <x:v>0</x:v>
      </x:c>
      <x:c r="H1868" s="8" t="n">
        <x:v>0</x:v>
      </x:c>
      <x:c r="I1868" s="8" t="n">
        <x:v>0</x:v>
      </x:c>
      <x:c r="J1868" s="8" t="n">
        <x:v>2</x:v>
      </x:c>
      <x:c r="K1868" s="8" t="n">
        <x:v>2030</x:v>
      </x:c>
      <x:c r="L1868" s="1" t="str">
        <x:v>Нет</x:v>
      </x:c>
      <x:c r="M1868" s="1" t="n">
        <x:v>0</x:v>
      </x:c>
    </x:row>
    <x:row r="1869">
      <x:c r="A1869" s="1" t="str">
        <x:v>189114409</x:v>
      </x:c>
      <x:c r="B1869" s="1" t="str">
        <x:v>WK688-1518-3</x:v>
      </x:c>
      <x:c r="C1869" s="1" t="str">
        <x:v>Джинсы</x:v>
      </x:c>
      <x:c r="D1869" s="9" t="n">
        <x:v>8.2</x:v>
      </x:c>
      <x:c r="E1869" s="8" t="n">
        <x:v>33</x:v>
      </x:c>
      <x:c r="F1869" s="8" t="n">
        <x:v>0</x:v>
      </x:c>
      <x:c r="G1869" s="8" t="n">
        <x:v>0</x:v>
      </x:c>
      <x:c r="H1869" s="8" t="n">
        <x:v>0</x:v>
      </x:c>
      <x:c r="I1869" s="8" t="n">
        <x:v>0</x:v>
      </x:c>
      <x:c r="J1869" s="8" t="n">
        <x:v>0</x:v>
      </x:c>
      <x:c r="K1869" s="8" t="n">
        <x:v>0</x:v>
      </x:c>
      <x:c r="L1869" s="1" t="str">
        <x:v>Нет</x:v>
      </x:c>
      <x:c r="M1869" s="1" t="n">
        <x:v>0</x:v>
      </x:c>
    </x:row>
    <x:row r="1870">
      <x:c r="A1870" s="1" t="str">
        <x:v>189114414</x:v>
      </x:c>
      <x:c r="B1870" s="1" t="str">
        <x:v>WV1037-7654-8</x:v>
      </x:c>
      <x:c r="C1870" s="1" t="str">
        <x:v>Джинсы</x:v>
      </x:c>
      <x:c r="D1870" s="9" t="n">
        <x:v>9.7</x:v>
      </x:c>
      <x:c r="E1870" s="8" t="n">
        <x:v>25</x:v>
      </x:c>
      <x:c r="F1870" s="8" t="n">
        <x:v>0</x:v>
      </x:c>
      <x:c r="G1870" s="8" t="n">
        <x:v>0</x:v>
      </x:c>
      <x:c r="H1870" s="8" t="n">
        <x:v>0</x:v>
      </x:c>
      <x:c r="I1870" s="8" t="n">
        <x:v>0</x:v>
      </x:c>
      <x:c r="J1870" s="8" t="n">
        <x:v>0</x:v>
      </x:c>
      <x:c r="K1870" s="8" t="n">
        <x:v>0</x:v>
      </x:c>
      <x:c r="L1870" s="1" t="str">
        <x:v>Нет</x:v>
      </x:c>
      <x:c r="M1870" s="1" t="n">
        <x:v>0</x:v>
      </x:c>
    </x:row>
    <x:row r="1871">
      <x:c r="A1871" s="1" t="str">
        <x:v>189114416</x:v>
      </x:c>
      <x:c r="B1871" s="1" t="str">
        <x:v>M/AB1076-52E-10</x:v>
      </x:c>
      <x:c r="C1871" s="1" t="str">
        <x:v>Джинсы</x:v>
      </x:c>
      <x:c r="D1871" s="9" t="n">
        <x:v>8</x:v>
      </x:c>
      <x:c r="E1871" s="8" t="n">
        <x:v>119</x:v>
      </x:c>
      <x:c r="F1871" s="8" t="n">
        <x:v>3</x:v>
      </x:c>
      <x:c r="G1871" s="8" t="n">
        <x:v>0</x:v>
      </x:c>
      <x:c r="H1871" s="8" t="n">
        <x:v>0</x:v>
      </x:c>
      <x:c r="I1871" s="8" t="n">
        <x:v>0</x:v>
      </x:c>
      <x:c r="J1871" s="8" t="n">
        <x:v>1</x:v>
      </x:c>
      <x:c r="K1871" s="8" t="n">
        <x:v>2110</x:v>
      </x:c>
      <x:c r="L1871" s="1" t="str">
        <x:v>Нет</x:v>
      </x:c>
      <x:c r="M1871" s="1" t="n">
        <x:v>0</x:v>
      </x:c>
    </x:row>
    <x:row r="1872">
      <x:c r="A1872" s="1" t="str">
        <x:v>189114418</x:v>
      </x:c>
      <x:c r="B1872" s="1" t="str">
        <x:v>AB996-52E-2</x:v>
      </x:c>
      <x:c r="C1872" s="1" t="str">
        <x:v>Джинсы</x:v>
      </x:c>
      <x:c r="D1872" s="9" t="n">
        <x:v>8</x:v>
      </x:c>
      <x:c r="E1872" s="8" t="n">
        <x:v>19</x:v>
      </x:c>
      <x:c r="F1872" s="8" t="n">
        <x:v>0</x:v>
      </x:c>
      <x:c r="G1872" s="8" t="n">
        <x:v>0</x:v>
      </x:c>
      <x:c r="H1872" s="8" t="n">
        <x:v>0</x:v>
      </x:c>
      <x:c r="I1872" s="8" t="n">
        <x:v>0</x:v>
      </x:c>
      <x:c r="J1872" s="8" t="n">
        <x:v>0</x:v>
      </x:c>
      <x:c r="K1872" s="8" t="n">
        <x:v>0</x:v>
      </x:c>
      <x:c r="L1872" s="1" t="str">
        <x:v>Нет</x:v>
      </x:c>
      <x:c r="M1872" s="1" t="n">
        <x:v>0</x:v>
      </x:c>
    </x:row>
    <x:row r="1873">
      <x:c r="A1873" s="1" t="str">
        <x:v>19042363</x:v>
      </x:c>
      <x:c r="B1873" s="1" t="str">
        <x:v>tkan120/1</x:v>
      </x:c>
      <x:c r="C1873" s="1" t="str">
        <x:v>Ткани для рукоделия</x:v>
      </x:c>
      <x:c r="D1873" s="9" t="n">
        <x:v>6.8</x:v>
      </x:c>
      <x:c r="E1873" s="8" t="n">
        <x:v>0</x:v>
      </x:c>
      <x:c r="F1873" s="8" t="n">
        <x:v>0</x:v>
      </x:c>
      <x:c r="G1873" s="8" t="n">
        <x:v>0</x:v>
      </x:c>
      <x:c r="H1873" s="8" t="n">
        <x:v>0</x:v>
      </x:c>
      <x:c r="I1873" s="8" t="n">
        <x:v>0</x:v>
      </x:c>
      <x:c r="J1873" s="8" t="n">
        <x:v>0</x:v>
      </x:c>
      <x:c r="K1873" s="8" t="n">
        <x:v>0</x:v>
      </x:c>
      <x:c r="L1873" s="1" t="str">
        <x:v>Нет</x:v>
      </x:c>
      <x:c r="M1873" s="1" t="n">
        <x:v>0</x:v>
      </x:c>
    </x:row>
    <x:row r="1874">
      <x:c r="A1874" s="1" t="str">
        <x:v>19079977</x:v>
      </x:c>
      <x:c r="B1874" s="1" t="str">
        <x:v>kostyum/черный</x:v>
      </x:c>
      <x:c r="C1874" s="1" t="str">
        <x:v>Костюмы спортивные</x:v>
      </x:c>
      <x:c r="D1874" s="9" t="n">
        <x:v>8.7</x:v>
      </x:c>
      <x:c r="E1874" s="8" t="n">
        <x:v>991</x:v>
      </x:c>
      <x:c r="F1874" s="8" t="n">
        <x:v>0</x:v>
      </x:c>
      <x:c r="G1874" s="8" t="n">
        <x:v>0</x:v>
      </x:c>
      <x:c r="H1874" s="8" t="n">
        <x:v>0</x:v>
      </x:c>
      <x:c r="I1874" s="8" t="n">
        <x:v>0</x:v>
      </x:c>
      <x:c r="J1874" s="8" t="n">
        <x:v>0</x:v>
      </x:c>
      <x:c r="K1874" s="8" t="n">
        <x:v>0</x:v>
      </x:c>
      <x:c r="L1874" s="1" t="str">
        <x:v>Нет</x:v>
      </x:c>
      <x:c r="M1874" s="1" t="n">
        <x:v>0</x:v>
      </x:c>
    </x:row>
    <x:row r="1875">
      <x:c r="A1875" s="1" t="str">
        <x:v>19079980</x:v>
      </x:c>
      <x:c r="B1875" s="1" t="str">
        <x:v>kostyum/пыльнаяроза</x:v>
      </x:c>
      <x:c r="C1875" s="1" t="str">
        <x:v>Костюмы спортивные</x:v>
      </x:c>
      <x:c r="D1875" s="9" t="n">
        <x:v>8.7</x:v>
      </x:c>
      <x:c r="E1875" s="8" t="n">
        <x:v>5200</x:v>
      </x:c>
      <x:c r="F1875" s="8" t="n">
        <x:v>1</x:v>
      </x:c>
      <x:c r="G1875" s="8" t="n">
        <x:v>0</x:v>
      </x:c>
      <x:c r="H1875" s="8" t="n">
        <x:v>1</x:v>
      </x:c>
      <x:c r="I1875" s="8" t="n">
        <x:v>0</x:v>
      </x:c>
      <x:c r="J1875" s="8" t="n">
        <x:v>3</x:v>
      </x:c>
      <x:c r="K1875" s="8" t="n">
        <x:v>4256</x:v>
      </x:c>
      <x:c r="L1875" s="1" t="str">
        <x:v>Нет</x:v>
      </x:c>
      <x:c r="M1875" s="1" t="n">
        <x:v>0</x:v>
      </x:c>
    </x:row>
    <x:row r="1876">
      <x:c r="A1876" s="1" t="str">
        <x:v>19079981</x:v>
      </x:c>
      <x:c r="B1876" s="1" t="str">
        <x:v>kostyum/банановый</x:v>
      </x:c>
      <x:c r="C1876" s="1" t="str">
        <x:v>Костюмы спортивные</x:v>
      </x:c>
      <x:c r="D1876" s="9" t="n">
        <x:v>8.7</x:v>
      </x:c>
      <x:c r="E1876" s="8" t="n">
        <x:v>1288</x:v>
      </x:c>
      <x:c r="F1876" s="8" t="n">
        <x:v>0</x:v>
      </x:c>
      <x:c r="G1876" s="8" t="n">
        <x:v>0</x:v>
      </x:c>
      <x:c r="H1876" s="8" t="n">
        <x:v>0</x:v>
      </x:c>
      <x:c r="I1876" s="8" t="n">
        <x:v>0</x:v>
      </x:c>
      <x:c r="J1876" s="8" t="n">
        <x:v>0</x:v>
      </x:c>
      <x:c r="K1876" s="8" t="n">
        <x:v>0</x:v>
      </x:c>
      <x:c r="L1876" s="1" t="str">
        <x:v>Нет</x:v>
      </x:c>
      <x:c r="M1876" s="1" t="n">
        <x:v>0</x:v>
      </x:c>
    </x:row>
    <x:row r="1877">
      <x:c r="A1877" s="1" t="str">
        <x:v>19079982</x:v>
      </x:c>
      <x:c r="B1877" s="1" t="str">
        <x:v>kostyum/светло-фиолетовый</x:v>
      </x:c>
      <x:c r="C1877" s="1" t="str">
        <x:v>Костюмы спортивные</x:v>
      </x:c>
      <x:c r="D1877" s="9" t="n">
        <x:v>8.7</x:v>
      </x:c>
      <x:c r="E1877" s="8" t="n">
        <x:v>758</x:v>
      </x:c>
      <x:c r="F1877" s="8" t="n">
        <x:v>0</x:v>
      </x:c>
      <x:c r="G1877" s="8" t="n">
        <x:v>0</x:v>
      </x:c>
      <x:c r="H1877" s="8" t="n">
        <x:v>0</x:v>
      </x:c>
      <x:c r="I1877" s="8" t="n">
        <x:v>0</x:v>
      </x:c>
      <x:c r="J1877" s="8" t="n">
        <x:v>0</x:v>
      </x:c>
      <x:c r="K1877" s="8" t="n">
        <x:v>0</x:v>
      </x:c>
      <x:c r="L1877" s="1" t="str">
        <x:v>Нет</x:v>
      </x:c>
      <x:c r="M1877" s="1" t="n">
        <x:v>0</x:v>
      </x:c>
    </x:row>
    <x:row r="1878">
      <x:c r="A1878" s="1" t="str">
        <x:v>19079983</x:v>
      </x:c>
      <x:c r="B1878" s="1" t="str">
        <x:v>kostyum/светло-бирюзовый</x:v>
      </x:c>
      <x:c r="C1878" s="1" t="str">
        <x:v>Костюмы спортивные</x:v>
      </x:c>
      <x:c r="D1878" s="9" t="n">
        <x:v>8.7</x:v>
      </x:c>
      <x:c r="E1878" s="8" t="n">
        <x:v>631</x:v>
      </x:c>
      <x:c r="F1878" s="8" t="n">
        <x:v>0</x:v>
      </x:c>
      <x:c r="G1878" s="8" t="n">
        <x:v>0</x:v>
      </x:c>
      <x:c r="H1878" s="8" t="n">
        <x:v>0</x:v>
      </x:c>
      <x:c r="I1878" s="8" t="n">
        <x:v>0</x:v>
      </x:c>
      <x:c r="J1878" s="8" t="n">
        <x:v>0</x:v>
      </x:c>
      <x:c r="K1878" s="8" t="n">
        <x:v>0</x:v>
      </x:c>
      <x:c r="L1878" s="1" t="str">
        <x:v>Нет</x:v>
      </x:c>
      <x:c r="M1878" s="1" t="n">
        <x:v>0</x:v>
      </x:c>
    </x:row>
    <x:row r="1879">
      <x:c r="A1879" s="1" t="str">
        <x:v>19079984</x:v>
      </x:c>
      <x:c r="B1879" s="1" t="str">
        <x:v>kostyum/голубойберилл</x:v>
      </x:c>
      <x:c r="C1879" s="1" t="str">
        <x:v>Костюмы спортивные</x:v>
      </x:c>
      <x:c r="D1879" s="9" t="n">
        <x:v>8.7</x:v>
      </x:c>
      <x:c r="E1879" s="8" t="n">
        <x:v>709</x:v>
      </x:c>
      <x:c r="F1879" s="8" t="n">
        <x:v>0</x:v>
      </x:c>
      <x:c r="G1879" s="8" t="n">
        <x:v>0</x:v>
      </x:c>
      <x:c r="H1879" s="8" t="n">
        <x:v>0</x:v>
      </x:c>
      <x:c r="I1879" s="8" t="n">
        <x:v>0</x:v>
      </x:c>
      <x:c r="J1879" s="8" t="n">
        <x:v>0</x:v>
      </x:c>
      <x:c r="K1879" s="8" t="n">
        <x:v>0</x:v>
      </x:c>
      <x:c r="L1879" s="1" t="str">
        <x:v>Нет</x:v>
      </x:c>
      <x:c r="M1879" s="1" t="n">
        <x:v>0</x:v>
      </x:c>
    </x:row>
    <x:row r="1880">
      <x:c r="A1880" s="1" t="str">
        <x:v>19079986</x:v>
      </x:c>
      <x:c r="B1880" s="1" t="str">
        <x:v>kostyum/голубой</x:v>
      </x:c>
      <x:c r="C1880" s="1" t="str">
        <x:v>Костюмы спортивные</x:v>
      </x:c>
      <x:c r="D1880" s="9" t="n">
        <x:v>8.7</x:v>
      </x:c>
      <x:c r="E1880" s="8" t="n">
        <x:v>666</x:v>
      </x:c>
      <x:c r="F1880" s="8" t="n">
        <x:v>0</x:v>
      </x:c>
      <x:c r="G1880" s="8" t="n">
        <x:v>0</x:v>
      </x:c>
      <x:c r="H1880" s="8" t="n">
        <x:v>0</x:v>
      </x:c>
      <x:c r="I1880" s="8" t="n">
        <x:v>0</x:v>
      </x:c>
      <x:c r="J1880" s="8" t="n">
        <x:v>3</x:v>
      </x:c>
      <x:c r="K1880" s="8" t="n">
        <x:v>0</x:v>
      </x:c>
      <x:c r="L1880" s="1" t="str">
        <x:v>Нет</x:v>
      </x:c>
      <x:c r="M1880" s="1" t="n">
        <x:v>0</x:v>
      </x:c>
    </x:row>
    <x:row r="1881">
      <x:c r="A1881" s="1" t="str">
        <x:v>191900416</x:v>
      </x:c>
      <x:c r="B1881" s="1" t="str">
        <x:v>hudiprint/TCLLCTN-41/черный</x:v>
      </x:c>
      <x:c r="C1881" s="1" t="str">
        <x:v>Худи</x:v>
      </x:c>
      <x:c r="D1881" s="9" t="n">
        <x:v>8.7</x:v>
      </x:c>
      <x:c r="E1881" s="8" t="n">
        <x:v>50</x:v>
      </x:c>
      <x:c r="F1881" s="8" t="n">
        <x:v>0</x:v>
      </x:c>
      <x:c r="G1881" s="8" t="n">
        <x:v>0</x:v>
      </x:c>
      <x:c r="H1881" s="8" t="n">
        <x:v>0</x:v>
      </x:c>
      <x:c r="I1881" s="8" t="n">
        <x:v>0</x:v>
      </x:c>
      <x:c r="J1881" s="8" t="n">
        <x:v>0</x:v>
      </x:c>
      <x:c r="K1881" s="8" t="n">
        <x:v>0</x:v>
      </x:c>
      <x:c r="L1881" s="1" t="str">
        <x:v>Нет</x:v>
      </x:c>
      <x:c r="M1881" s="1" t="n">
        <x:v>0</x:v>
      </x:c>
    </x:row>
    <x:row r="1882">
      <x:c r="A1882" s="1" t="str">
        <x:v>191900420</x:v>
      </x:c>
      <x:c r="B1882" s="1" t="str">
        <x:v>hudiprint/TCLLCTN-41/серыймеланж</x:v>
      </x:c>
      <x:c r="C1882" s="1" t="str">
        <x:v>Худи</x:v>
      </x:c>
      <x:c r="D1882" s="9" t="n">
        <x:v>8.7</x:v>
      </x:c>
      <x:c r="E1882" s="8" t="n">
        <x:v>366</x:v>
      </x:c>
      <x:c r="F1882" s="8" t="n">
        <x:v>0</x:v>
      </x:c>
      <x:c r="G1882" s="8" t="n">
        <x:v>0</x:v>
      </x:c>
      <x:c r="H1882" s="8" t="n">
        <x:v>0</x:v>
      </x:c>
      <x:c r="I1882" s="8" t="n">
        <x:v>0</x:v>
      </x:c>
      <x:c r="J1882" s="8" t="n">
        <x:v>0</x:v>
      </x:c>
      <x:c r="K1882" s="8" t="n">
        <x:v>0</x:v>
      </x:c>
      <x:c r="L1882" s="1" t="str">
        <x:v>Нет</x:v>
      </x:c>
      <x:c r="M1882" s="1" t="n">
        <x:v>0</x:v>
      </x:c>
    </x:row>
    <x:row r="1883">
      <x:c r="A1883" s="1" t="str">
        <x:v>191900421</x:v>
      </x:c>
      <x:c r="B1883" s="1" t="str">
        <x:v>hudiprint/TCLLCTN-41/молочный</x:v>
      </x:c>
      <x:c r="C1883" s="1" t="str">
        <x:v>Худи</x:v>
      </x:c>
      <x:c r="D1883" s="9" t="n">
        <x:v>8.7</x:v>
      </x:c>
      <x:c r="E1883" s="8" t="n">
        <x:v>109</x:v>
      </x:c>
      <x:c r="F1883" s="8" t="n">
        <x:v>0</x:v>
      </x:c>
      <x:c r="G1883" s="8" t="n">
        <x:v>0</x:v>
      </x:c>
      <x:c r="H1883" s="8" t="n">
        <x:v>0</x:v>
      </x:c>
      <x:c r="I1883" s="8" t="n">
        <x:v>0</x:v>
      </x:c>
      <x:c r="J1883" s="8" t="n">
        <x:v>0</x:v>
      </x:c>
      <x:c r="K1883" s="8" t="n">
        <x:v>0</x:v>
      </x:c>
      <x:c r="L1883" s="1" t="str">
        <x:v>Нет</x:v>
      </x:c>
      <x:c r="M1883" s="1" t="n">
        <x:v>0</x:v>
      </x:c>
    </x:row>
    <x:row r="1884">
      <x:c r="A1884" s="1" t="str">
        <x:v>191900422</x:v>
      </x:c>
      <x:c r="B1884" s="1" t="str">
        <x:v>hudiprint/TCLLCTN-41/синий</x:v>
      </x:c>
      <x:c r="C1884" s="1" t="str">
        <x:v>Худи</x:v>
      </x:c>
      <x:c r="D1884" s="9" t="n">
        <x:v>9.7</x:v>
      </x:c>
      <x:c r="E1884" s="8" t="n">
        <x:v>54</x:v>
      </x:c>
      <x:c r="F1884" s="8" t="n">
        <x:v>0</x:v>
      </x:c>
      <x:c r="G1884" s="8" t="n">
        <x:v>0</x:v>
      </x:c>
      <x:c r="H1884" s="8" t="n">
        <x:v>0</x:v>
      </x:c>
      <x:c r="I1884" s="8" t="n">
        <x:v>0</x:v>
      </x:c>
      <x:c r="J1884" s="8" t="n">
        <x:v>0</x:v>
      </x:c>
      <x:c r="K1884" s="8" t="n">
        <x:v>0</x:v>
      </x:c>
      <x:c r="L1884" s="1" t="str">
        <x:v>Нет</x:v>
      </x:c>
      <x:c r="M1884" s="1" t="n">
        <x:v>0</x:v>
      </x:c>
    </x:row>
    <x:row r="1885">
      <x:c r="A1885" s="1" t="str">
        <x:v>192141473</x:v>
      </x:c>
      <x:c r="B1885" s="1" t="str">
        <x:v>polopolosa/зеленый</x:v>
      </x:c>
      <x:c r="C1885" s="1" t="str">
        <x:v>Лонгсливы</x:v>
      </x:c>
      <x:c r="D1885" s="9" t="n">
        <x:v>9.7</x:v>
      </x:c>
      <x:c r="E1885" s="8" t="n">
        <x:v>63</x:v>
      </x:c>
      <x:c r="F1885" s="8" t="n">
        <x:v>0</x:v>
      </x:c>
      <x:c r="G1885" s="8" t="n">
        <x:v>0</x:v>
      </x:c>
      <x:c r="H1885" s="8" t="n">
        <x:v>0</x:v>
      </x:c>
      <x:c r="I1885" s="8" t="n">
        <x:v>0</x:v>
      </x:c>
      <x:c r="J1885" s="8" t="n">
        <x:v>0</x:v>
      </x:c>
      <x:c r="K1885" s="8" t="n">
        <x:v>0</x:v>
      </x:c>
      <x:c r="L1885" s="1" t="str">
        <x:v>Нет</x:v>
      </x:c>
      <x:c r="M1885" s="1" t="n">
        <x:v>0</x:v>
      </x:c>
    </x:row>
    <x:row r="1886">
      <x:c r="A1886" s="1" t="str">
        <x:v>192144322</x:v>
      </x:c>
      <x:c r="B1886" s="1" t="str">
        <x:v>polopolosa/черный</x:v>
      </x:c>
      <x:c r="C1886" s="1" t="str">
        <x:v>Лонгсливы</x:v>
      </x:c>
      <x:c r="D1886" s="9" t="n">
        <x:v>9.7</x:v>
      </x:c>
      <x:c r="E1886" s="8" t="n">
        <x:v>42</x:v>
      </x:c>
      <x:c r="F1886" s="8" t="n">
        <x:v>0</x:v>
      </x:c>
      <x:c r="G1886" s="8" t="n">
        <x:v>0</x:v>
      </x:c>
      <x:c r="H1886" s="8" t="n">
        <x:v>0</x:v>
      </x:c>
      <x:c r="I1886" s="8" t="n">
        <x:v>0</x:v>
      </x:c>
      <x:c r="J1886" s="8" t="n">
        <x:v>1</x:v>
      </x:c>
      <x:c r="K1886" s="8" t="n">
        <x:v>0</x:v>
      </x:c>
      <x:c r="L1886" s="1" t="str">
        <x:v>Нет</x:v>
      </x:c>
      <x:c r="M1886" s="1" t="n">
        <x:v>1330</x:v>
      </x:c>
    </x:row>
    <x:row r="1887">
      <x:c r="A1887" s="1" t="str">
        <x:v>192144325</x:v>
      </x:c>
      <x:c r="B1887" s="1" t="str">
        <x:v>polopolosa/голубой</x:v>
      </x:c>
      <x:c r="C1887" s="1" t="str">
        <x:v>Лонгсливы</x:v>
      </x:c>
      <x:c r="D1887" s="9" t="n">
        <x:v>9.7</x:v>
      </x:c>
      <x:c r="E1887" s="8" t="n">
        <x:v>27</x:v>
      </x:c>
      <x:c r="F1887" s="8" t="n">
        <x:v>0</x:v>
      </x:c>
      <x:c r="G1887" s="8" t="n">
        <x:v>0</x:v>
      </x:c>
      <x:c r="H1887" s="8" t="n">
        <x:v>0</x:v>
      </x:c>
      <x:c r="I1887" s="8" t="n">
        <x:v>0</x:v>
      </x:c>
      <x:c r="J1887" s="8" t="n">
        <x:v>0</x:v>
      </x:c>
      <x:c r="K1887" s="8" t="n">
        <x:v>0</x:v>
      </x:c>
      <x:c r="L1887" s="1" t="str">
        <x:v>Нет</x:v>
      </x:c>
      <x:c r="M1887" s="1" t="n">
        <x:v>0</x:v>
      </x:c>
    </x:row>
    <x:row r="1888">
      <x:c r="A1888" s="1" t="str">
        <x:v>192144326</x:v>
      </x:c>
      <x:c r="B1888" s="1" t="str">
        <x:v>polopolosa/серый</x:v>
      </x:c>
      <x:c r="C1888" s="1" t="str">
        <x:v>Лонгсливы</x:v>
      </x:c>
      <x:c r="D1888" s="9" t="n">
        <x:v>9.7</x:v>
      </x:c>
      <x:c r="E1888" s="8" t="n">
        <x:v>48</x:v>
      </x:c>
      <x:c r="F1888" s="8" t="n">
        <x:v>0</x:v>
      </x:c>
      <x:c r="G1888" s="8" t="n">
        <x:v>0</x:v>
      </x:c>
      <x:c r="H1888" s="8" t="n">
        <x:v>0</x:v>
      </x:c>
      <x:c r="I1888" s="8" t="n">
        <x:v>0</x:v>
      </x:c>
      <x:c r="J1888" s="8" t="n">
        <x:v>0</x:v>
      </x:c>
      <x:c r="K1888" s="8" t="n">
        <x:v>0</x:v>
      </x:c>
      <x:c r="L1888" s="1" t="str">
        <x:v>Нет</x:v>
      </x:c>
      <x:c r="M1888" s="1" t="n">
        <x:v>0</x:v>
      </x:c>
    </x:row>
    <x:row r="1889">
      <x:c r="A1889" s="1" t="str">
        <x:v>192144329</x:v>
      </x:c>
      <x:c r="B1889" s="1" t="str">
        <x:v>polopolosa/бежевый</x:v>
      </x:c>
      <x:c r="C1889" s="1" t="str">
        <x:v>Лонгсливы</x:v>
      </x:c>
      <x:c r="D1889" s="9" t="n">
        <x:v>9.7</x:v>
      </x:c>
      <x:c r="E1889" s="8" t="n">
        <x:v>37</x:v>
      </x:c>
      <x:c r="F1889" s="8" t="n">
        <x:v>0</x:v>
      </x:c>
      <x:c r="G1889" s="8" t="n">
        <x:v>0</x:v>
      </x:c>
      <x:c r="H1889" s="8" t="n">
        <x:v>0</x:v>
      </x:c>
      <x:c r="I1889" s="8" t="n">
        <x:v>0</x:v>
      </x:c>
      <x:c r="J1889" s="8" t="n">
        <x:v>0</x:v>
      </x:c>
      <x:c r="K1889" s="8" t="n">
        <x:v>0</x:v>
      </x:c>
      <x:c r="L1889" s="1" t="str">
        <x:v>Нет</x:v>
      </x:c>
      <x:c r="M1889" s="1" t="n">
        <x:v>0</x:v>
      </x:c>
    </x:row>
    <x:row r="1890">
      <x:c r="A1890" s="1" t="str">
        <x:v>193100160</x:v>
      </x:c>
      <x:c r="B1890" s="1" t="str">
        <x:v>svitshotzip1/серыймеланж</x:v>
      </x:c>
      <x:c r="C1890" s="1" t="str">
        <x:v>Свитшоты</x:v>
      </x:c>
      <x:c r="D1890" s="9" t="n">
        <x:v>9.7</x:v>
      </x:c>
      <x:c r="E1890" s="8" t="n">
        <x:v>102</x:v>
      </x:c>
      <x:c r="F1890" s="8" t="n">
        <x:v>0</x:v>
      </x:c>
      <x:c r="G1890" s="8" t="n">
        <x:v>0</x:v>
      </x:c>
      <x:c r="H1890" s="8" t="n">
        <x:v>0</x:v>
      </x:c>
      <x:c r="I1890" s="8" t="n">
        <x:v>0</x:v>
      </x:c>
      <x:c r="J1890" s="8" t="n">
        <x:v>0</x:v>
      </x:c>
      <x:c r="K1890" s="8" t="n">
        <x:v>0</x:v>
      </x:c>
      <x:c r="L1890" s="1" t="str">
        <x:v>Нет</x:v>
      </x:c>
      <x:c r="M1890" s="1" t="n">
        <x:v>0</x:v>
      </x:c>
    </x:row>
    <x:row r="1891">
      <x:c r="A1891" s="1" t="str">
        <x:v>193111414</x:v>
      </x:c>
      <x:c r="B1891" s="1" t="str">
        <x:v>svitshotzipman1/черный</x:v>
      </x:c>
      <x:c r="C1891" s="1" t="str">
        <x:v>Свитшоты</x:v>
      </x:c>
      <x:c r="D1891" s="9" t="n">
        <x:v>9.7</x:v>
      </x:c>
      <x:c r="E1891" s="8" t="n">
        <x:v>67</x:v>
      </x:c>
      <x:c r="F1891" s="8" t="n">
        <x:v>0</x:v>
      </x:c>
      <x:c r="G1891" s="8" t="n">
        <x:v>0</x:v>
      </x:c>
      <x:c r="H1891" s="8" t="n">
        <x:v>0</x:v>
      </x:c>
      <x:c r="I1891" s="8" t="n">
        <x:v>0</x:v>
      </x:c>
      <x:c r="J1891" s="8" t="n">
        <x:v>1</x:v>
      </x:c>
      <x:c r="K1891" s="8" t="n">
        <x:v>0</x:v>
      </x:c>
      <x:c r="L1891" s="1" t="str">
        <x:v>Нет</x:v>
      </x:c>
      <x:c r="M1891" s="1" t="n">
        <x:v>2750</x:v>
      </x:c>
    </x:row>
    <x:row r="1892">
      <x:c r="A1892" s="1" t="str">
        <x:v>193111418</x:v>
      </x:c>
      <x:c r="B1892" s="1" t="str">
        <x:v>svitshotzipman1/молочный</x:v>
      </x:c>
      <x:c r="C1892" s="1" t="str">
        <x:v>Свитшоты</x:v>
      </x:c>
      <x:c r="D1892" s="9" t="n">
        <x:v>7.7</x:v>
      </x:c>
      <x:c r="E1892" s="8" t="n">
        <x:v>51</x:v>
      </x:c>
      <x:c r="F1892" s="8" t="n">
        <x:v>0</x:v>
      </x:c>
      <x:c r="G1892" s="8" t="n">
        <x:v>0</x:v>
      </x:c>
      <x:c r="H1892" s="8" t="n">
        <x:v>0</x:v>
      </x:c>
      <x:c r="I1892" s="8" t="n">
        <x:v>0</x:v>
      </x:c>
      <x:c r="J1892" s="8" t="n">
        <x:v>0</x:v>
      </x:c>
      <x:c r="K1892" s="8" t="n">
        <x:v>0</x:v>
      </x:c>
      <x:c r="L1892" s="1" t="str">
        <x:v>Нет</x:v>
      </x:c>
      <x:c r="M1892" s="1" t="n">
        <x:v>0</x:v>
      </x:c>
    </x:row>
    <x:row r="1893">
      <x:c r="A1893" s="1" t="str">
        <x:v>193339868</x:v>
      </x:c>
      <x:c r="B1893" s="1" t="str">
        <x:v>WK2315-1518-2</x:v>
      </x:c>
      <x:c r="C1893" s="1" t="str">
        <x:v>Джинсы</x:v>
      </x:c>
      <x:c r="D1893" s="9" t="n">
        <x:v>9.2</x:v>
      </x:c>
      <x:c r="E1893" s="8" t="n">
        <x:v>49</x:v>
      </x:c>
      <x:c r="F1893" s="8" t="n">
        <x:v>0</x:v>
      </x:c>
      <x:c r="G1893" s="8" t="n">
        <x:v>0</x:v>
      </x:c>
      <x:c r="H1893" s="8" t="n">
        <x:v>0</x:v>
      </x:c>
      <x:c r="I1893" s="8" t="n">
        <x:v>0</x:v>
      </x:c>
      <x:c r="J1893" s="8" t="n">
        <x:v>0</x:v>
      </x:c>
      <x:c r="K1893" s="8" t="n">
        <x:v>0</x:v>
      </x:c>
      <x:c r="L1893" s="1" t="str">
        <x:v>Нет</x:v>
      </x:c>
      <x:c r="M1893" s="1" t="n">
        <x:v>0</x:v>
      </x:c>
    </x:row>
    <x:row r="1894">
      <x:c r="A1894" s="1" t="str">
        <x:v>193733330</x:v>
      </x:c>
      <x:c r="B1894" s="1" t="str">
        <x:v>hudi1size/бежевый</x:v>
      </x:c>
      <x:c r="C1894" s="1" t="str">
        <x:v>Худи</x:v>
      </x:c>
      <x:c r="D1894" s="9" t="n">
        <x:v>9.7</x:v>
      </x:c>
      <x:c r="E1894" s="8" t="n">
        <x:v>69</x:v>
      </x:c>
      <x:c r="F1894" s="8" t="n">
        <x:v>0</x:v>
      </x:c>
      <x:c r="G1894" s="8" t="n">
        <x:v>0</x:v>
      </x:c>
      <x:c r="H1894" s="8" t="n">
        <x:v>0</x:v>
      </x:c>
      <x:c r="I1894" s="8" t="n">
        <x:v>0</x:v>
      </x:c>
      <x:c r="J1894" s="8" t="n">
        <x:v>0</x:v>
      </x:c>
      <x:c r="K1894" s="8" t="n">
        <x:v>0</x:v>
      </x:c>
      <x:c r="L1894" s="1" t="str">
        <x:v>Нет</x:v>
      </x:c>
      <x:c r="M1894" s="1" t="n">
        <x:v>0</x:v>
      </x:c>
    </x:row>
    <x:row r="1895">
      <x:c r="A1895" s="1" t="str">
        <x:v>194922744</x:v>
      </x:c>
      <x:c r="B1895" s="1" t="str">
        <x:v>svitshotzipman1/серый</x:v>
      </x:c>
      <x:c r="C1895" s="1" t="str">
        <x:v>Свитшоты</x:v>
      </x:c>
      <x:c r="D1895" s="9" t="n">
        <x:v>9.7</x:v>
      </x:c>
      <x:c r="E1895" s="8" t="n">
        <x:v>10</x:v>
      </x:c>
      <x:c r="F1895" s="8" t="n">
        <x:v>0</x:v>
      </x:c>
      <x:c r="G1895" s="8" t="n">
        <x:v>0</x:v>
      </x:c>
      <x:c r="H1895" s="8" t="n">
        <x:v>0</x:v>
      </x:c>
      <x:c r="I1895" s="8" t="n">
        <x:v>0</x:v>
      </x:c>
      <x:c r="J1895" s="8" t="n">
        <x:v>0</x:v>
      </x:c>
      <x:c r="K1895" s="8" t="n">
        <x:v>0</x:v>
      </x:c>
      <x:c r="L1895" s="1" t="str">
        <x:v>Нет</x:v>
      </x:c>
      <x:c r="M1895" s="1" t="n">
        <x:v>0</x:v>
      </x:c>
    </x:row>
    <x:row r="1896">
      <x:c r="A1896" s="1" t="str">
        <x:v>194922746</x:v>
      </x:c>
      <x:c r="B1896" s="1" t="str">
        <x:v>svitshotzipman1/темно-серый</x:v>
      </x:c>
      <x:c r="C1896" s="1" t="str">
        <x:v>Свитшоты</x:v>
      </x:c>
      <x:c r="D1896" s="9" t="n">
        <x:v>9.7</x:v>
      </x:c>
      <x:c r="E1896" s="8" t="n">
        <x:v>36</x:v>
      </x:c>
      <x:c r="F1896" s="8" t="n">
        <x:v>0</x:v>
      </x:c>
      <x:c r="G1896" s="8" t="n">
        <x:v>0</x:v>
      </x:c>
      <x:c r="H1896" s="8" t="n">
        <x:v>0</x:v>
      </x:c>
      <x:c r="I1896" s="8" t="n">
        <x:v>0</x:v>
      </x:c>
      <x:c r="J1896" s="8" t="n">
        <x:v>0</x:v>
      </x:c>
      <x:c r="K1896" s="8" t="n">
        <x:v>0</x:v>
      </x:c>
      <x:c r="L1896" s="1" t="str">
        <x:v>Нет</x:v>
      </x:c>
      <x:c r="M1896" s="1" t="n">
        <x:v>0</x:v>
      </x:c>
    </x:row>
    <x:row r="1897">
      <x:c r="A1897" s="1" t="str">
        <x:v>194931700</x:v>
      </x:c>
      <x:c r="B1897" s="1" t="str">
        <x:v>hudi1size/бордовый</x:v>
      </x:c>
      <x:c r="C1897" s="1" t="str">
        <x:v>Худи</x:v>
      </x:c>
      <x:c r="D1897" s="9" t="n">
        <x:v>9.7</x:v>
      </x:c>
      <x:c r="E1897" s="8" t="n">
        <x:v>7</x:v>
      </x:c>
      <x:c r="F1897" s="8" t="n">
        <x:v>0</x:v>
      </x:c>
      <x:c r="G1897" s="8" t="n">
        <x:v>0</x:v>
      </x:c>
      <x:c r="H1897" s="8" t="n">
        <x:v>0</x:v>
      </x:c>
      <x:c r="I1897" s="8" t="n">
        <x:v>0</x:v>
      </x:c>
      <x:c r="J1897" s="8" t="n">
        <x:v>0</x:v>
      </x:c>
      <x:c r="K1897" s="8" t="n">
        <x:v>0</x:v>
      </x:c>
      <x:c r="L1897" s="1" t="str">
        <x:v>Нет</x:v>
      </x:c>
      <x:c r="M1897" s="1" t="n">
        <x:v>0</x:v>
      </x:c>
    </x:row>
    <x:row r="1898">
      <x:c r="A1898" s="1" t="str">
        <x:v>194931714</x:v>
      </x:c>
      <x:c r="B1898" s="1" t="str">
        <x:v>hudi1size/морскаяволна</x:v>
      </x:c>
      <x:c r="C1898" s="1" t="str">
        <x:v>Худи</x:v>
      </x:c>
      <x:c r="D1898" s="9" t="n">
        <x:v>9.7</x:v>
      </x:c>
      <x:c r="E1898" s="8" t="n">
        <x:v>6</x:v>
      </x:c>
      <x:c r="F1898" s="8" t="n">
        <x:v>0</x:v>
      </x:c>
      <x:c r="G1898" s="8" t="n">
        <x:v>0</x:v>
      </x:c>
      <x:c r="H1898" s="8" t="n">
        <x:v>0</x:v>
      </x:c>
      <x:c r="I1898" s="8" t="n">
        <x:v>0</x:v>
      </x:c>
      <x:c r="J1898" s="8" t="n">
        <x:v>0</x:v>
      </x:c>
      <x:c r="K1898" s="8" t="n">
        <x:v>0</x:v>
      </x:c>
      <x:c r="L1898" s="1" t="str">
        <x:v>Нет</x:v>
      </x:c>
      <x:c r="M1898" s="1" t="n">
        <x:v>0</x:v>
      </x:c>
    </x:row>
    <x:row r="1899">
      <x:c r="A1899" s="1" t="str">
        <x:v>194931726</x:v>
      </x:c>
      <x:c r="B1899" s="1" t="str">
        <x:v>hudi1size/фуксия</x:v>
      </x:c>
      <x:c r="C1899" s="1" t="str">
        <x:v>Худи</x:v>
      </x:c>
      <x:c r="D1899" s="9" t="n">
        <x:v>9.7</x:v>
      </x:c>
      <x:c r="E1899" s="8" t="n">
        <x:v>121</x:v>
      </x:c>
      <x:c r="F1899" s="8" t="n">
        <x:v>0</x:v>
      </x:c>
      <x:c r="G1899" s="8" t="n">
        <x:v>0</x:v>
      </x:c>
      <x:c r="H1899" s="8" t="n">
        <x:v>0</x:v>
      </x:c>
      <x:c r="I1899" s="8" t="n">
        <x:v>0</x:v>
      </x:c>
      <x:c r="J1899" s="8" t="n">
        <x:v>0</x:v>
      </x:c>
      <x:c r="K1899" s="8" t="n">
        <x:v>0</x:v>
      </x:c>
      <x:c r="L1899" s="1" t="str">
        <x:v>Нет</x:v>
      </x:c>
      <x:c r="M1899" s="1" t="n">
        <x:v>0</x:v>
      </x:c>
    </x:row>
    <x:row r="1900">
      <x:c r="A1900" s="1" t="str">
        <x:v>194931729</x:v>
      </x:c>
      <x:c r="B1900" s="1" t="str">
        <x:v>hudi1size/светло-фиолетовый</x:v>
      </x:c>
      <x:c r="C1900" s="1" t="str">
        <x:v>Худи</x:v>
      </x:c>
      <x:c r="D1900" s="9" t="n">
        <x:v>9.7</x:v>
      </x:c>
      <x:c r="E1900" s="8" t="n">
        <x:v>223</x:v>
      </x:c>
      <x:c r="F1900" s="8" t="n">
        <x:v>2</x:v>
      </x:c>
      <x:c r="G1900" s="8" t="n">
        <x:v>0</x:v>
      </x:c>
      <x:c r="H1900" s="8" t="n">
        <x:v>0</x:v>
      </x:c>
      <x:c r="I1900" s="8" t="n">
        <x:v>0</x:v>
      </x:c>
      <x:c r="J1900" s="8" t="n">
        <x:v>2</x:v>
      </x:c>
      <x:c r="K1900" s="8" t="n">
        <x:v>2674</x:v>
      </x:c>
      <x:c r="L1900" s="1" t="str">
        <x:v>Нет</x:v>
      </x:c>
      <x:c r="M1900" s="1" t="n">
        <x:v>0</x:v>
      </x:c>
    </x:row>
    <x:row r="1901">
      <x:c r="A1901" s="1" t="str">
        <x:v>194931730</x:v>
      </x:c>
      <x:c r="B1901" s="1" t="str">
        <x:v>hudi1size/коричневый</x:v>
      </x:c>
      <x:c r="C1901" s="1" t="str">
        <x:v>Худи</x:v>
      </x:c>
      <x:c r="D1901" s="9" t="n">
        <x:v>9.7</x:v>
      </x:c>
      <x:c r="E1901" s="8" t="n">
        <x:v>74</x:v>
      </x:c>
      <x:c r="F1901" s="8" t="n">
        <x:v>0</x:v>
      </x:c>
      <x:c r="G1901" s="8" t="n">
        <x:v>0</x:v>
      </x:c>
      <x:c r="H1901" s="8" t="n">
        <x:v>0</x:v>
      </x:c>
      <x:c r="I1901" s="8" t="n">
        <x:v>0</x:v>
      </x:c>
      <x:c r="J1901" s="8" t="n">
        <x:v>0</x:v>
      </x:c>
      <x:c r="K1901" s="8" t="n">
        <x:v>0</x:v>
      </x:c>
      <x:c r="L1901" s="1" t="str">
        <x:v>Нет</x:v>
      </x:c>
      <x:c r="M1901" s="1" t="n">
        <x:v>0</x:v>
      </x:c>
    </x:row>
    <x:row r="1902">
      <x:c r="A1902" s="1" t="str">
        <x:v>195425922</x:v>
      </x:c>
      <x:c r="B1902" s="1" t="str">
        <x:v>kroptop/молочный-темно-каштановый</x:v>
      </x:c>
      <x:c r="C1902" s="1" t="str">
        <x:v>Футболки</x:v>
      </x:c>
      <x:c r="D1902" s="9" t="n">
        <x:v>7.7</x:v>
      </x:c>
      <x:c r="E1902" s="8" t="n">
        <x:v>406</x:v>
      </x:c>
      <x:c r="F1902" s="8" t="n">
        <x:v>1</x:v>
      </x:c>
      <x:c r="G1902" s="8" t="n">
        <x:v>0</x:v>
      </x:c>
      <x:c r="H1902" s="8" t="n">
        <x:v>0</x:v>
      </x:c>
      <x:c r="I1902" s="8" t="n">
        <x:v>0</x:v>
      </x:c>
      <x:c r="J1902" s="8"/>
      <x:c r="K1902" s="8" t="n">
        <x:v>650</x:v>
      </x:c>
      <x:c r="L1902" s="1" t="str">
        <x:v>Нет</x:v>
      </x:c>
      <x:c r="M1902" s="1"/>
    </x:row>
    <x:row r="1903">
      <x:c r="A1903" s="1" t="str">
        <x:v>195715499</x:v>
      </x:c>
      <x:c r="B1903" s="1" t="str">
        <x:v>hudi1size/хаки</x:v>
      </x:c>
      <x:c r="C1903" s="1" t="str">
        <x:v>Худи</x:v>
      </x:c>
      <x:c r="D1903" s="9" t="n">
        <x:v>7.7</x:v>
      </x:c>
      <x:c r="E1903" s="8" t="n">
        <x:v>59</x:v>
      </x:c>
      <x:c r="F1903" s="8" t="n">
        <x:v>0</x:v>
      </x:c>
      <x:c r="G1903" s="8" t="n">
        <x:v>0</x:v>
      </x:c>
      <x:c r="H1903" s="8" t="n">
        <x:v>0</x:v>
      </x:c>
      <x:c r="I1903" s="8" t="n">
        <x:v>0</x:v>
      </x:c>
      <x:c r="J1903" s="8" t="n">
        <x:v>0</x:v>
      </x:c>
      <x:c r="K1903" s="8" t="n">
        <x:v>0</x:v>
      </x:c>
      <x:c r="L1903" s="1" t="str">
        <x:v>Нет</x:v>
      </x:c>
      <x:c r="M1903" s="1" t="n">
        <x:v>0</x:v>
      </x:c>
    </x:row>
    <x:row r="1904">
      <x:c r="A1904" s="1" t="str">
        <x:v>195715500</x:v>
      </x:c>
      <x:c r="B1904" s="1" t="str">
        <x:v>hudi1size/белый</x:v>
      </x:c>
      <x:c r="C1904" s="1" t="str">
        <x:v>Худи</x:v>
      </x:c>
      <x:c r="D1904" s="9" t="n">
        <x:v>9.7</x:v>
      </x:c>
      <x:c r="E1904" s="8" t="n">
        <x:v>62</x:v>
      </x:c>
      <x:c r="F1904" s="8" t="n">
        <x:v>0</x:v>
      </x:c>
      <x:c r="G1904" s="8" t="n">
        <x:v>0</x:v>
      </x:c>
      <x:c r="H1904" s="8" t="n">
        <x:v>0</x:v>
      </x:c>
      <x:c r="I1904" s="8" t="n">
        <x:v>0</x:v>
      </x:c>
      <x:c r="J1904" s="8" t="n">
        <x:v>0</x:v>
      </x:c>
      <x:c r="K1904" s="8" t="n">
        <x:v>0</x:v>
      </x:c>
      <x:c r="L1904" s="1" t="str">
        <x:v>Нет</x:v>
      </x:c>
      <x:c r="M1904" s="1" t="n">
        <x:v>0</x:v>
      </x:c>
    </x:row>
    <x:row r="1905">
      <x:c r="A1905" s="1" t="str">
        <x:v>195715501</x:v>
      </x:c>
      <x:c r="B1905" s="1" t="str">
        <x:v>hudi1size/деним</x:v>
      </x:c>
      <x:c r="C1905" s="1" t="str">
        <x:v>Худи</x:v>
      </x:c>
      <x:c r="D1905" s="9" t="n">
        <x:v>7.7</x:v>
      </x:c>
      <x:c r="E1905" s="8" t="n">
        <x:v>3</x:v>
      </x:c>
      <x:c r="F1905" s="8" t="n">
        <x:v>0</x:v>
      </x:c>
      <x:c r="G1905" s="8" t="n">
        <x:v>0</x:v>
      </x:c>
      <x:c r="H1905" s="8" t="n">
        <x:v>0</x:v>
      </x:c>
      <x:c r="I1905" s="8" t="n">
        <x:v>0</x:v>
      </x:c>
      <x:c r="J1905" s="8" t="n">
        <x:v>0</x:v>
      </x:c>
      <x:c r="K1905" s="8" t="n">
        <x:v>0</x:v>
      </x:c>
      <x:c r="L1905" s="1" t="str">
        <x:v>Нет</x:v>
      </x:c>
      <x:c r="M1905" s="1" t="n">
        <x:v>0</x:v>
      </x:c>
    </x:row>
    <x:row r="1906">
      <x:c r="A1906" s="1" t="str">
        <x:v>195715503</x:v>
      </x:c>
      <x:c r="B1906" s="1" t="str">
        <x:v>hudi1size/красный</x:v>
      </x:c>
      <x:c r="C1906" s="1" t="str">
        <x:v>Худи</x:v>
      </x:c>
      <x:c r="D1906" s="9" t="n">
        <x:v>9.7</x:v>
      </x:c>
      <x:c r="E1906" s="8" t="n">
        <x:v>10</x:v>
      </x:c>
      <x:c r="F1906" s="8" t="n">
        <x:v>0</x:v>
      </x:c>
      <x:c r="G1906" s="8" t="n">
        <x:v>0</x:v>
      </x:c>
      <x:c r="H1906" s="8" t="n">
        <x:v>0</x:v>
      </x:c>
      <x:c r="I1906" s="8" t="n">
        <x:v>0</x:v>
      </x:c>
      <x:c r="J1906" s="8" t="n">
        <x:v>0</x:v>
      </x:c>
      <x:c r="K1906" s="8" t="n">
        <x:v>0</x:v>
      </x:c>
      <x:c r="L1906" s="1" t="str">
        <x:v>Нет</x:v>
      </x:c>
      <x:c r="M1906" s="1" t="n">
        <x:v>0</x:v>
      </x:c>
    </x:row>
    <x:row r="1907">
      <x:c r="A1907" s="1" t="str">
        <x:v>195715506</x:v>
      </x:c>
      <x:c r="B1907" s="1" t="str">
        <x:v>hudi1size/светло-зеленый</x:v>
      </x:c>
      <x:c r="C1907" s="1" t="str">
        <x:v>Худи</x:v>
      </x:c>
      <x:c r="D1907" s="9" t="n">
        <x:v>9.7</x:v>
      </x:c>
      <x:c r="E1907" s="8" t="n">
        <x:v>3</x:v>
      </x:c>
      <x:c r="F1907" s="8" t="n">
        <x:v>0</x:v>
      </x:c>
      <x:c r="G1907" s="8" t="n">
        <x:v>0</x:v>
      </x:c>
      <x:c r="H1907" s="8" t="n">
        <x:v>0</x:v>
      </x:c>
      <x:c r="I1907" s="8" t="n">
        <x:v>0</x:v>
      </x:c>
      <x:c r="J1907" s="8" t="n">
        <x:v>0</x:v>
      </x:c>
      <x:c r="K1907" s="8" t="n">
        <x:v>0</x:v>
      </x:c>
      <x:c r="L1907" s="1" t="str">
        <x:v>Нет</x:v>
      </x:c>
      <x:c r="M1907" s="1" t="n">
        <x:v>0</x:v>
      </x:c>
    </x:row>
    <x:row r="1908">
      <x:c r="A1908" s="1" t="str">
        <x:v>195715507</x:v>
      </x:c>
      <x:c r="B1908" s="1" t="str">
        <x:v>hudi1size/зеленый</x:v>
      </x:c>
      <x:c r="C1908" s="1" t="str">
        <x:v>Худи</x:v>
      </x:c>
      <x:c r="D1908" s="9" t="n">
        <x:v>9.7</x:v>
      </x:c>
      <x:c r="E1908" s="8" t="n">
        <x:v>167</x:v>
      </x:c>
      <x:c r="F1908" s="8" t="n">
        <x:v>3</x:v>
      </x:c>
      <x:c r="G1908" s="8" t="n">
        <x:v>0</x:v>
      </x:c>
      <x:c r="H1908" s="8" t="n">
        <x:v>0</x:v>
      </x:c>
      <x:c r="I1908" s="8" t="n">
        <x:v>0</x:v>
      </x:c>
      <x:c r="J1908" s="8" t="n">
        <x:v>2</x:v>
      </x:c>
      <x:c r="K1908" s="8" t="n">
        <x:v>2800</x:v>
      </x:c>
      <x:c r="L1908" s="1" t="str">
        <x:v>Нет</x:v>
      </x:c>
      <x:c r="M1908" s="1" t="n">
        <x:v>0</x:v>
      </x:c>
    </x:row>
    <x:row r="1909">
      <x:c r="A1909" s="1" t="str">
        <x:v>195715508</x:v>
      </x:c>
      <x:c r="B1909" s="1" t="str">
        <x:v>hudi1size/изумрудно-зеленый</x:v>
      </x:c>
      <x:c r="C1909" s="1" t="str">
        <x:v>Худи</x:v>
      </x:c>
      <x:c r="D1909" s="9" t="n">
        <x:v>9.7</x:v>
      </x:c>
      <x:c r="E1909" s="8" t="n">
        <x:v>63</x:v>
      </x:c>
      <x:c r="F1909" s="8" t="n">
        <x:v>0</x:v>
      </x:c>
      <x:c r="G1909" s="8" t="n">
        <x:v>0</x:v>
      </x:c>
      <x:c r="H1909" s="8" t="n">
        <x:v>0</x:v>
      </x:c>
      <x:c r="I1909" s="8" t="n">
        <x:v>0</x:v>
      </x:c>
      <x:c r="J1909" s="8" t="n">
        <x:v>0</x:v>
      </x:c>
      <x:c r="K1909" s="8" t="n">
        <x:v>0</x:v>
      </x:c>
      <x:c r="L1909" s="1" t="str">
        <x:v>Нет</x:v>
      </x:c>
      <x:c r="M1909" s="1" t="n">
        <x:v>0</x:v>
      </x:c>
    </x:row>
    <x:row r="1910">
      <x:c r="A1910" s="1" t="str">
        <x:v>195715509</x:v>
      </x:c>
      <x:c r="B1910" s="1" t="str">
        <x:v>hudi1size/салатовый</x:v>
      </x:c>
      <x:c r="C1910" s="1" t="str">
        <x:v>Худи</x:v>
      </x:c>
      <x:c r="D1910" s="9" t="n">
        <x:v>9.7</x:v>
      </x:c>
      <x:c r="E1910" s="8" t="n">
        <x:v>12</x:v>
      </x:c>
      <x:c r="F1910" s="8" t="n">
        <x:v>0</x:v>
      </x:c>
      <x:c r="G1910" s="8" t="n">
        <x:v>0</x:v>
      </x:c>
      <x:c r="H1910" s="8" t="n">
        <x:v>0</x:v>
      </x:c>
      <x:c r="I1910" s="8" t="n">
        <x:v>0</x:v>
      </x:c>
      <x:c r="J1910" s="8" t="n">
        <x:v>0</x:v>
      </x:c>
      <x:c r="K1910" s="8" t="n">
        <x:v>0</x:v>
      </x:c>
      <x:c r="L1910" s="1" t="str">
        <x:v>Нет</x:v>
      </x:c>
      <x:c r="M1910" s="1" t="n">
        <x:v>0</x:v>
      </x:c>
    </x:row>
    <x:row r="1911">
      <x:c r="A1911" s="1" t="str">
        <x:v>195715511</x:v>
      </x:c>
      <x:c r="B1911" s="1" t="str">
        <x:v>hudi1size/темно-серый</x:v>
      </x:c>
      <x:c r="C1911" s="1" t="str">
        <x:v>Худи</x:v>
      </x:c>
      <x:c r="D1911" s="9" t="n">
        <x:v>8.7</x:v>
      </x:c>
      <x:c r="E1911" s="8" t="n">
        <x:v>4</x:v>
      </x:c>
      <x:c r="F1911" s="8" t="n">
        <x:v>0</x:v>
      </x:c>
      <x:c r="G1911" s="8" t="n">
        <x:v>0</x:v>
      </x:c>
      <x:c r="H1911" s="8" t="n">
        <x:v>0</x:v>
      </x:c>
      <x:c r="I1911" s="8" t="n">
        <x:v>0</x:v>
      </x:c>
      <x:c r="J1911" s="8" t="n">
        <x:v>0</x:v>
      </x:c>
      <x:c r="K1911" s="8" t="n">
        <x:v>0</x:v>
      </x:c>
      <x:c r="L1911" s="1" t="str">
        <x:v>Нет</x:v>
      </x:c>
      <x:c r="M1911" s="1" t="n">
        <x:v>0</x:v>
      </x:c>
    </x:row>
    <x:row r="1912">
      <x:c r="A1912" s="1" t="str">
        <x:v>195715512</x:v>
      </x:c>
      <x:c r="B1912" s="1" t="str">
        <x:v>hudi1size/фиолетовый</x:v>
      </x:c>
      <x:c r="C1912" s="1" t="str">
        <x:v>Худи</x:v>
      </x:c>
      <x:c r="D1912" s="9" t="n">
        <x:v>7.7</x:v>
      </x:c>
      <x:c r="E1912" s="8" t="n">
        <x:v>9</x:v>
      </x:c>
      <x:c r="F1912" s="8" t="n">
        <x:v>0</x:v>
      </x:c>
      <x:c r="G1912" s="8" t="n">
        <x:v>0</x:v>
      </x:c>
      <x:c r="H1912" s="8" t="n">
        <x:v>0</x:v>
      </x:c>
      <x:c r="I1912" s="8" t="n">
        <x:v>0</x:v>
      </x:c>
      <x:c r="J1912" s="8" t="n">
        <x:v>0</x:v>
      </x:c>
      <x:c r="K1912" s="8" t="n">
        <x:v>0</x:v>
      </x:c>
      <x:c r="L1912" s="1" t="str">
        <x:v>Нет</x:v>
      </x:c>
      <x:c r="M1912" s="1" t="n">
        <x:v>0</x:v>
      </x:c>
    </x:row>
    <x:row r="1913">
      <x:c r="A1913" s="1" t="str">
        <x:v>19865737</x:v>
      </x:c>
      <x:c r="B1913" s="1" t="str">
        <x:v>bruki/светлозеленый</x:v>
      </x:c>
      <x:c r="C1913" s="1" t="str">
        <x:v>Брюки</x:v>
      </x:c>
      <x:c r="D1913" s="9" t="n">
        <x:v>7.7</x:v>
      </x:c>
      <x:c r="E1913" s="8" t="n">
        <x:v>656</x:v>
      </x:c>
      <x:c r="F1913" s="8" t="n">
        <x:v>0</x:v>
      </x:c>
      <x:c r="G1913" s="8" t="n">
        <x:v>0</x:v>
      </x:c>
      <x:c r="H1913" s="8" t="n">
        <x:v>1</x:v>
      </x:c>
      <x:c r="I1913" s="8" t="n">
        <x:v>0</x:v>
      </x:c>
      <x:c r="J1913" s="8" t="n">
        <x:v>3</x:v>
      </x:c>
      <x:c r="K1913" s="8" t="n">
        <x:v>0</x:v>
      </x:c>
      <x:c r="L1913" s="1" t="str">
        <x:v>Нет</x:v>
      </x:c>
      <x:c r="M1913" s="1" t="n">
        <x:v>2234</x:v>
      </x:c>
    </x:row>
    <x:row r="1914">
      <x:c r="A1914" s="1" t="str">
        <x:v>19897792</x:v>
      </x:c>
      <x:c r="B1914" s="1" t="str">
        <x:v>hudi/бронзовый</x:v>
      </x:c>
      <x:c r="C1914" s="1" t="str">
        <x:v>Худи</x:v>
      </x:c>
      <x:c r="D1914" s="9" t="n">
        <x:v>7.7</x:v>
      </x:c>
      <x:c r="E1914" s="8" t="n">
        <x:v>15</x:v>
      </x:c>
      <x:c r="F1914" s="8" t="n">
        <x:v>0</x:v>
      </x:c>
      <x:c r="G1914" s="8" t="n">
        <x:v>0</x:v>
      </x:c>
      <x:c r="H1914" s="8" t="n">
        <x:v>0</x:v>
      </x:c>
      <x:c r="I1914" s="8" t="n">
        <x:v>0</x:v>
      </x:c>
      <x:c r="J1914" s="8" t="n">
        <x:v>0</x:v>
      </x:c>
      <x:c r="K1914" s="8" t="n">
        <x:v>0</x:v>
      </x:c>
      <x:c r="L1914" s="1" t="str">
        <x:v>Нет</x:v>
      </x:c>
      <x:c r="M1914" s="1" t="n">
        <x:v>0</x:v>
      </x:c>
    </x:row>
    <x:row r="1915">
      <x:c r="A1915" s="1" t="str">
        <x:v>201435745</x:v>
      </x:c>
      <x:c r="B1915" s="1" t="str">
        <x:v>svitshotzipman1/серыймеланж2</x:v>
      </x:c>
      <x:c r="C1915" s="1" t="str">
        <x:v>Свитшоты</x:v>
      </x:c>
      <x:c r="D1915" s="9" t="n">
        <x:v>9.7</x:v>
      </x:c>
      <x:c r="E1915" s="8" t="n">
        <x:v>10</x:v>
      </x:c>
      <x:c r="F1915" s="8" t="n">
        <x:v>0</x:v>
      </x:c>
      <x:c r="G1915" s="8" t="n">
        <x:v>0</x:v>
      </x:c>
      <x:c r="H1915" s="8" t="n">
        <x:v>0</x:v>
      </x:c>
      <x:c r="I1915" s="8" t="n">
        <x:v>0</x:v>
      </x:c>
      <x:c r="J1915" s="8" t="n">
        <x:v>0</x:v>
      </x:c>
      <x:c r="K1915" s="8" t="n">
        <x:v>0</x:v>
      </x:c>
      <x:c r="L1915" s="1" t="str">
        <x:v>Нет</x:v>
      </x:c>
      <x:c r="M1915" s="1" t="n">
        <x:v>0</x:v>
      </x:c>
    </x:row>
    <x:row r="1916">
      <x:c r="A1916" s="1" t="str">
        <x:v>201766197</x:v>
      </x:c>
      <x:c r="B1916" s="1" t="str">
        <x:v>1sizeprint/MoreSelf-44/молочный</x:v>
      </x:c>
      <x:c r="C1916" s="1" t="str">
        <x:v>Свитшоты</x:v>
      </x:c>
      <x:c r="D1916" s="9" t="n">
        <x:v>9.7</x:v>
      </x:c>
      <x:c r="E1916" s="8" t="n">
        <x:v>66</x:v>
      </x:c>
      <x:c r="F1916" s="8" t="n">
        <x:v>0</x:v>
      </x:c>
      <x:c r="G1916" s="8" t="n">
        <x:v>0</x:v>
      </x:c>
      <x:c r="H1916" s="8" t="n">
        <x:v>0</x:v>
      </x:c>
      <x:c r="I1916" s="8" t="n">
        <x:v>0</x:v>
      </x:c>
      <x:c r="J1916" s="8" t="n">
        <x:v>0</x:v>
      </x:c>
      <x:c r="K1916" s="8" t="n">
        <x:v>0</x:v>
      </x:c>
      <x:c r="L1916" s="1" t="str">
        <x:v>Нет</x:v>
      </x:c>
      <x:c r="M1916" s="1" t="n">
        <x:v>0</x:v>
      </x:c>
    </x:row>
    <x:row r="1917">
      <x:c r="A1917" s="1" t="str">
        <x:v>202779179</x:v>
      </x:c>
      <x:c r="B1917" s="1" t="str">
        <x:v>hudiprint/90's-56/молочный</x:v>
      </x:c>
      <x:c r="C1917" s="1" t="str">
        <x:v>Худи</x:v>
      </x:c>
      <x:c r="D1917" s="9" t="n">
        <x:v>9.7</x:v>
      </x:c>
      <x:c r="E1917" s="8" t="n">
        <x:v>303</x:v>
      </x:c>
      <x:c r="F1917" s="8" t="n">
        <x:v>0</x:v>
      </x:c>
      <x:c r="G1917" s="8" t="n">
        <x:v>0</x:v>
      </x:c>
      <x:c r="H1917" s="8" t="n">
        <x:v>0</x:v>
      </x:c>
      <x:c r="I1917" s="8" t="n">
        <x:v>0</x:v>
      </x:c>
      <x:c r="J1917" s="8" t="n">
        <x:v>0</x:v>
      </x:c>
      <x:c r="K1917" s="8" t="n">
        <x:v>0</x:v>
      </x:c>
      <x:c r="L1917" s="1" t="str">
        <x:v>Нет</x:v>
      </x:c>
      <x:c r="M1917" s="1" t="n">
        <x:v>0</x:v>
      </x:c>
    </x:row>
    <x:row r="1918">
      <x:c r="A1918" s="1" t="str">
        <x:v>202779187</x:v>
      </x:c>
      <x:c r="B1918" s="1" t="str">
        <x:v>hudiprint/Forever-60/морскаяволна</x:v>
      </x:c>
      <x:c r="C1918" s="1" t="str">
        <x:v>Худи</x:v>
      </x:c>
      <x:c r="D1918" s="9" t="n">
        <x:v>9.7</x:v>
      </x:c>
      <x:c r="E1918" s="8" t="n">
        <x:v>299</x:v>
      </x:c>
      <x:c r="F1918" s="8" t="n">
        <x:v>0</x:v>
      </x:c>
      <x:c r="G1918" s="8" t="n">
        <x:v>0</x:v>
      </x:c>
      <x:c r="H1918" s="8" t="n">
        <x:v>0</x:v>
      </x:c>
      <x:c r="I1918" s="8" t="n">
        <x:v>0</x:v>
      </x:c>
      <x:c r="J1918" s="8" t="n">
        <x:v>0</x:v>
      </x:c>
      <x:c r="K1918" s="8" t="n">
        <x:v>0</x:v>
      </x:c>
      <x:c r="L1918" s="1" t="str">
        <x:v>Нет</x:v>
      </x:c>
      <x:c r="M1918" s="1" t="n">
        <x:v>0</x:v>
      </x:c>
    </x:row>
    <x:row r="1919">
      <x:c r="A1919" s="1" t="str">
        <x:v>202779215</x:v>
      </x:c>
      <x:c r="B1919" s="1" t="str">
        <x:v>hudiprint/GooD-58/черный</x:v>
      </x:c>
      <x:c r="C1919" s="1" t="str">
        <x:v>Худи</x:v>
      </x:c>
      <x:c r="D1919" s="9" t="n">
        <x:v>9.7</x:v>
      </x:c>
      <x:c r="E1919" s="8" t="n">
        <x:v>25</x:v>
      </x:c>
      <x:c r="F1919" s="8" t="n">
        <x:v>0</x:v>
      </x:c>
      <x:c r="G1919" s="8" t="n">
        <x:v>0</x:v>
      </x:c>
      <x:c r="H1919" s="8" t="n">
        <x:v>0</x:v>
      </x:c>
      <x:c r="I1919" s="8" t="n">
        <x:v>0</x:v>
      </x:c>
      <x:c r="J1919" s="8" t="n">
        <x:v>0</x:v>
      </x:c>
      <x:c r="K1919" s="8" t="n">
        <x:v>0</x:v>
      </x:c>
      <x:c r="L1919" s="1" t="str">
        <x:v>Нет</x:v>
      </x:c>
      <x:c r="M1919" s="1" t="n">
        <x:v>0</x:v>
      </x:c>
    </x:row>
    <x:row r="1920">
      <x:c r="A1920" s="1" t="str">
        <x:v>202779216</x:v>
      </x:c>
      <x:c r="B1920" s="1" t="str">
        <x:v>hudiprint/90's-56/черный</x:v>
      </x:c>
      <x:c r="C1920" s="1" t="str">
        <x:v>Худи</x:v>
      </x:c>
      <x:c r="D1920" s="9" t="n">
        <x:v>9.7</x:v>
      </x:c>
      <x:c r="E1920" s="8" t="n">
        <x:v>282</x:v>
      </x:c>
      <x:c r="F1920" s="8" t="n">
        <x:v>0</x:v>
      </x:c>
      <x:c r="G1920" s="8" t="n">
        <x:v>0</x:v>
      </x:c>
      <x:c r="H1920" s="8" t="n">
        <x:v>0</x:v>
      </x:c>
      <x:c r="I1920" s="8" t="n">
        <x:v>0</x:v>
      </x:c>
      <x:c r="J1920" s="8" t="n">
        <x:v>0</x:v>
      </x:c>
      <x:c r="K1920" s="8" t="n">
        <x:v>0</x:v>
      </x:c>
      <x:c r="L1920" s="1" t="str">
        <x:v>Нет</x:v>
      </x:c>
      <x:c r="M1920" s="1" t="n">
        <x:v>0</x:v>
      </x:c>
    </x:row>
    <x:row r="1921">
      <x:c r="A1921" s="1" t="str">
        <x:v>202779232</x:v>
      </x:c>
      <x:c r="B1921" s="1" t="str">
        <x:v>hudiprint/GooD-58/молочный</x:v>
      </x:c>
      <x:c r="C1921" s="1" t="str">
        <x:v>Худи</x:v>
      </x:c>
      <x:c r="D1921" s="9" t="n">
        <x:v>7.7</x:v>
      </x:c>
      <x:c r="E1921" s="8" t="n">
        <x:v>30</x:v>
      </x:c>
      <x:c r="F1921" s="8" t="n">
        <x:v>0</x:v>
      </x:c>
      <x:c r="G1921" s="8" t="n">
        <x:v>0</x:v>
      </x:c>
      <x:c r="H1921" s="8" t="n">
        <x:v>0</x:v>
      </x:c>
      <x:c r="I1921" s="8" t="n">
        <x:v>0</x:v>
      </x:c>
      <x:c r="J1921" s="8" t="n">
        <x:v>0</x:v>
      </x:c>
      <x:c r="K1921" s="8" t="n">
        <x:v>0</x:v>
      </x:c>
      <x:c r="L1921" s="1" t="str">
        <x:v>Нет</x:v>
      </x:c>
      <x:c r="M1921" s="1" t="n">
        <x:v>0</x:v>
      </x:c>
    </x:row>
    <x:row r="1922">
      <x:c r="A1922" s="1" t="str">
        <x:v>202954953</x:v>
      </x:c>
      <x:c r="B1922" s="1" t="str">
        <x:v>1sizeprint/ZelMoreSelf-63/молочный</x:v>
      </x:c>
      <x:c r="C1922" s="1" t="str">
        <x:v>Свитшоты</x:v>
      </x:c>
      <x:c r="D1922" s="9" t="n">
        <x:v>8.7</x:v>
      </x:c>
      <x:c r="E1922" s="8" t="n">
        <x:v>2</x:v>
      </x:c>
      <x:c r="F1922" s="8" t="n">
        <x:v>0</x:v>
      </x:c>
      <x:c r="G1922" s="8" t="n">
        <x:v>0</x:v>
      </x:c>
      <x:c r="H1922" s="8" t="n">
        <x:v>0</x:v>
      </x:c>
      <x:c r="I1922" s="8" t="n">
        <x:v>0</x:v>
      </x:c>
      <x:c r="J1922" s="8" t="n">
        <x:v>0</x:v>
      </x:c>
      <x:c r="K1922" s="8" t="n">
        <x:v>0</x:v>
      </x:c>
      <x:c r="L1922" s="1" t="str">
        <x:v>Нет</x:v>
      </x:c>
      <x:c r="M1922" s="1" t="n">
        <x:v>0</x:v>
      </x:c>
    </x:row>
    <x:row r="1923">
      <x:c r="A1923" s="1" t="str">
        <x:v>202954959</x:v>
      </x:c>
      <x:c r="B1923" s="1" t="str">
        <x:v>1sizeprint/KRASLoveNever-64/молочный</x:v>
      </x:c>
      <x:c r="C1923" s="1" t="str">
        <x:v>Свитшоты</x:v>
      </x:c>
      <x:c r="D1923" s="9" t="n">
        <x:v>6.7</x:v>
      </x:c>
      <x:c r="E1923" s="8" t="n">
        <x:v>0</x:v>
      </x:c>
      <x:c r="F1923" s="8" t="n">
        <x:v>0</x:v>
      </x:c>
      <x:c r="G1923" s="8" t="n">
        <x:v>0</x:v>
      </x:c>
      <x:c r="H1923" s="8" t="n">
        <x:v>0</x:v>
      </x:c>
      <x:c r="I1923" s="8" t="n">
        <x:v>0</x:v>
      </x:c>
      <x:c r="J1923" s="8" t="n">
        <x:v>0</x:v>
      </x:c>
      <x:c r="K1923" s="8" t="n">
        <x:v>0</x:v>
      </x:c>
      <x:c r="L1923" s="1" t="str">
        <x:v>Нет</x:v>
      </x:c>
      <x:c r="M1923" s="1" t="n">
        <x:v>0</x:v>
      </x:c>
    </x:row>
    <x:row r="1924">
      <x:c r="A1924" s="1" t="str">
        <x:v>202954964</x:v>
      </x:c>
      <x:c r="B1924" s="1" t="str">
        <x:v>svitshotprint/LoveNever-45/темно-серый</x:v>
      </x:c>
      <x:c r="C1924" s="1" t="str">
        <x:v>Свитшоты</x:v>
      </x:c>
      <x:c r="D1924" s="9" t="n">
        <x:v>8.7</x:v>
      </x:c>
      <x:c r="E1924" s="8" t="n">
        <x:v>7</x:v>
      </x:c>
      <x:c r="F1924" s="8" t="n">
        <x:v>0</x:v>
      </x:c>
      <x:c r="G1924" s="8" t="n">
        <x:v>0</x:v>
      </x:c>
      <x:c r="H1924" s="8" t="n">
        <x:v>0</x:v>
      </x:c>
      <x:c r="I1924" s="8" t="n">
        <x:v>0</x:v>
      </x:c>
      <x:c r="J1924" s="8" t="n">
        <x:v>0</x:v>
      </x:c>
      <x:c r="K1924" s="8" t="n">
        <x:v>0</x:v>
      </x:c>
      <x:c r="L1924" s="1" t="str">
        <x:v>Нет</x:v>
      </x:c>
      <x:c r="M1924" s="1" t="n">
        <x:v>0</x:v>
      </x:c>
    </x:row>
    <x:row r="1925">
      <x:c r="A1925" s="1" t="str">
        <x:v>202954970</x:v>
      </x:c>
      <x:c r="B1925" s="1" t="str">
        <x:v>1sizeprint/LoveNever-45/молочный</x:v>
      </x:c>
      <x:c r="C1925" s="1" t="str">
        <x:v>Свитшоты</x:v>
      </x:c>
      <x:c r="D1925" s="9" t="n">
        <x:v>8.7</x:v>
      </x:c>
      <x:c r="E1925" s="8" t="n">
        <x:v>12</x:v>
      </x:c>
      <x:c r="F1925" s="8" t="n">
        <x:v>0</x:v>
      </x:c>
      <x:c r="G1925" s="8" t="n">
        <x:v>0</x:v>
      </x:c>
      <x:c r="H1925" s="8" t="n">
        <x:v>0</x:v>
      </x:c>
      <x:c r="I1925" s="8" t="n">
        <x:v>0</x:v>
      </x:c>
      <x:c r="J1925" s="8" t="n">
        <x:v>0</x:v>
      </x:c>
      <x:c r="K1925" s="8" t="n">
        <x:v>0</x:v>
      </x:c>
      <x:c r="L1925" s="1" t="str">
        <x:v>Нет</x:v>
      </x:c>
      <x:c r="M1925" s="1" t="n">
        <x:v>0</x:v>
      </x:c>
    </x:row>
    <x:row r="1926">
      <x:c r="A1926" s="1" t="str">
        <x:v>202954972</x:v>
      </x:c>
      <x:c r="B1926" s="1" t="str">
        <x:v>svitshotprint/MoreSelf-44/темно-серый</x:v>
      </x:c>
      <x:c r="C1926" s="1" t="str">
        <x:v>Свитшоты</x:v>
      </x:c>
      <x:c r="D1926" s="9" t="n">
        <x:v>8.7</x:v>
      </x:c>
      <x:c r="E1926" s="8" t="n">
        <x:v>9</x:v>
      </x:c>
      <x:c r="F1926" s="8" t="n">
        <x:v>0</x:v>
      </x:c>
      <x:c r="G1926" s="8" t="n">
        <x:v>0</x:v>
      </x:c>
      <x:c r="H1926" s="8" t="n">
        <x:v>0</x:v>
      </x:c>
      <x:c r="I1926" s="8" t="n">
        <x:v>0</x:v>
      </x:c>
      <x:c r="J1926" s="8" t="n">
        <x:v>0</x:v>
      </x:c>
      <x:c r="K1926" s="8" t="n">
        <x:v>0</x:v>
      </x:c>
      <x:c r="L1926" s="1" t="str">
        <x:v>Нет</x:v>
      </x:c>
      <x:c r="M1926" s="1" t="n">
        <x:v>0</x:v>
      </x:c>
    </x:row>
    <x:row r="1927">
      <x:c r="A1927" s="1" t="str">
        <x:v>202954975</x:v>
      </x:c>
      <x:c r="B1927" s="1" t="str">
        <x:v>svitshotprint/LoveNever-45/черный</x:v>
      </x:c>
      <x:c r="C1927" s="1" t="str">
        <x:v>Свитшоты</x:v>
      </x:c>
      <x:c r="D1927" s="9" t="n">
        <x:v>8.7</x:v>
      </x:c>
      <x:c r="E1927" s="8" t="n">
        <x:v>30</x:v>
      </x:c>
      <x:c r="F1927" s="8" t="n">
        <x:v>0</x:v>
      </x:c>
      <x:c r="G1927" s="8" t="n">
        <x:v>0</x:v>
      </x:c>
      <x:c r="H1927" s="8" t="n">
        <x:v>0</x:v>
      </x:c>
      <x:c r="I1927" s="8" t="n">
        <x:v>0</x:v>
      </x:c>
      <x:c r="J1927" s="8" t="n">
        <x:v>1</x:v>
      </x:c>
      <x:c r="K1927" s="8" t="n">
        <x:v>0</x:v>
      </x:c>
      <x:c r="L1927" s="1" t="str">
        <x:v>Нет</x:v>
      </x:c>
      <x:c r="M1927" s="1" t="n">
        <x:v>2400</x:v>
      </x:c>
    </x:row>
    <x:row r="1928">
      <x:c r="A1928" s="1" t="str">
        <x:v>202954978</x:v>
      </x:c>
      <x:c r="B1928" s="1" t="str">
        <x:v>1sizeprint/LoveNever-45/черный</x:v>
      </x:c>
      <x:c r="C1928" s="1" t="str">
        <x:v>Свитшоты</x:v>
      </x:c>
      <x:c r="D1928" s="9" t="n">
        <x:v>8.7</x:v>
      </x:c>
      <x:c r="E1928" s="8" t="n">
        <x:v>51</x:v>
      </x:c>
      <x:c r="F1928" s="8" t="n">
        <x:v>0</x:v>
      </x:c>
      <x:c r="G1928" s="8" t="n">
        <x:v>0</x:v>
      </x:c>
      <x:c r="H1928" s="8" t="n">
        <x:v>0</x:v>
      </x:c>
      <x:c r="I1928" s="8" t="n">
        <x:v>0</x:v>
      </x:c>
      <x:c r="J1928" s="8" t="n">
        <x:v>0</x:v>
      </x:c>
      <x:c r="K1928" s="8" t="n">
        <x:v>0</x:v>
      </x:c>
      <x:c r="L1928" s="1" t="str">
        <x:v>Нет</x:v>
      </x:c>
      <x:c r="M1928" s="1" t="n">
        <x:v>0</x:v>
      </x:c>
    </x:row>
    <x:row r="1929">
      <x:c r="A1929" s="1" t="str">
        <x:v>207178440</x:v>
      </x:c>
      <x:c r="B1929" s="1" t="str">
        <x:v>svitshotprint/Chic-55/молочный</x:v>
      </x:c>
      <x:c r="C1929" s="1" t="str">
        <x:v>Свитшоты</x:v>
      </x:c>
      <x:c r="D1929" s="9" t="n">
        <x:v>7.7</x:v>
      </x:c>
      <x:c r="E1929" s="8" t="n">
        <x:v>14</x:v>
      </x:c>
      <x:c r="F1929" s="8" t="n">
        <x:v>0</x:v>
      </x:c>
      <x:c r="G1929" s="8" t="n">
        <x:v>0</x:v>
      </x:c>
      <x:c r="H1929" s="8" t="n">
        <x:v>0</x:v>
      </x:c>
      <x:c r="I1929" s="8" t="n">
        <x:v>0</x:v>
      </x:c>
      <x:c r="J1929" s="8" t="n">
        <x:v>0</x:v>
      </x:c>
      <x:c r="K1929" s="8" t="n">
        <x:v>0</x:v>
      </x:c>
      <x:c r="L1929" s="1" t="str">
        <x:v>Нет</x:v>
      </x:c>
      <x:c r="M1929" s="1" t="n">
        <x:v>0</x:v>
      </x:c>
    </x:row>
    <x:row r="1930">
      <x:c r="A1930" s="1" t="str">
        <x:v>207481105</x:v>
      </x:c>
      <x:c r="B1930" s="1" t="str">
        <x:v>svitshotmanprint/Brukman-42/черный</x:v>
      </x:c>
      <x:c r="C1930" s="1" t="str">
        <x:v>Свитшоты</x:v>
      </x:c>
      <x:c r="D1930" s="9" t="n">
        <x:v>5.7</x:v>
      </x:c>
      <x:c r="E1930" s="8" t="n">
        <x:v>0</x:v>
      </x:c>
      <x:c r="F1930" s="8" t="n">
        <x:v>0</x:v>
      </x:c>
      <x:c r="G1930" s="8" t="n">
        <x:v>0</x:v>
      </x:c>
      <x:c r="H1930" s="8" t="n">
        <x:v>0</x:v>
      </x:c>
      <x:c r="I1930" s="8" t="n">
        <x:v>0</x:v>
      </x:c>
      <x:c r="J1930" s="8" t="n">
        <x:v>0</x:v>
      </x:c>
      <x:c r="K1930" s="8" t="n">
        <x:v>0</x:v>
      </x:c>
      <x:c r="L1930" s="1" t="str">
        <x:v>Нет</x:v>
      </x:c>
      <x:c r="M1930" s="1" t="n">
        <x:v>0</x:v>
      </x:c>
    </x:row>
    <x:row r="1931">
      <x:c r="A1931" s="1" t="str">
        <x:v>207481106</x:v>
      </x:c>
      <x:c r="B1931" s="1" t="str">
        <x:v>svitshotmanprint/Brukman-42/молочный</x:v>
      </x:c>
      <x:c r="C1931" s="1" t="str">
        <x:v>Свитшоты</x:v>
      </x:c>
      <x:c r="D1931" s="9" t="n">
        <x:v>5.7</x:v>
      </x:c>
      <x:c r="E1931" s="8" t="n">
        <x:v>0</x:v>
      </x:c>
      <x:c r="F1931" s="8" t="n">
        <x:v>0</x:v>
      </x:c>
      <x:c r="G1931" s="8" t="n">
        <x:v>0</x:v>
      </x:c>
      <x:c r="H1931" s="8" t="n">
        <x:v>0</x:v>
      </x:c>
      <x:c r="I1931" s="8" t="n">
        <x:v>0</x:v>
      </x:c>
      <x:c r="J1931" s="8" t="n">
        <x:v>0</x:v>
      </x:c>
      <x:c r="K1931" s="8" t="n">
        <x:v>0</x:v>
      </x:c>
      <x:c r="L1931" s="1" t="str">
        <x:v>Нет</x:v>
      </x:c>
      <x:c r="M1931" s="1" t="n">
        <x:v>0</x:v>
      </x:c>
    </x:row>
    <x:row r="1932">
      <x:c r="A1932" s="1" t="str">
        <x:v>208734208</x:v>
      </x:c>
      <x:c r="B1932" s="1" t="str">
        <x:v>svitshotzipman1/морскаяволна</x:v>
      </x:c>
      <x:c r="C1932" s="1" t="str">
        <x:v>Свитшоты</x:v>
      </x:c>
      <x:c r="D1932" s="9" t="n">
        <x:v>9.7</x:v>
      </x:c>
      <x:c r="E1932" s="8" t="n">
        <x:v>33</x:v>
      </x:c>
      <x:c r="F1932" s="8" t="n">
        <x:v>0</x:v>
      </x:c>
      <x:c r="G1932" s="8" t="n">
        <x:v>0</x:v>
      </x:c>
      <x:c r="H1932" s="8" t="n">
        <x:v>0</x:v>
      </x:c>
      <x:c r="I1932" s="8" t="n">
        <x:v>0</x:v>
      </x:c>
      <x:c r="J1932" s="8" t="n">
        <x:v>0</x:v>
      </x:c>
      <x:c r="K1932" s="8" t="n">
        <x:v>0</x:v>
      </x:c>
      <x:c r="L1932" s="1" t="str">
        <x:v>Нет</x:v>
      </x:c>
      <x:c r="M1932" s="1" t="n">
        <x:v>0</x:v>
      </x:c>
    </x:row>
    <x:row r="1933">
      <x:c r="A1933" s="1" t="str">
        <x:v>209127480</x:v>
      </x:c>
      <x:c r="B1933" s="1" t="str">
        <x:v>futbolkaover2/белый</x:v>
      </x:c>
      <x:c r="C1933" s="1" t="str">
        <x:v>Футболки</x:v>
      </x:c>
      <x:c r="D1933" s="9" t="n">
        <x:v>9.7</x:v>
      </x:c>
      <x:c r="E1933" s="8" t="n">
        <x:v>3</x:v>
      </x:c>
      <x:c r="F1933" s="8" t="n">
        <x:v>0</x:v>
      </x:c>
      <x:c r="G1933" s="8" t="n">
        <x:v>0</x:v>
      </x:c>
      <x:c r="H1933" s="8" t="n">
        <x:v>0</x:v>
      </x:c>
      <x:c r="I1933" s="8" t="n">
        <x:v>0</x:v>
      </x:c>
      <x:c r="J1933" s="8" t="n">
        <x:v>0</x:v>
      </x:c>
      <x:c r="K1933" s="8" t="n">
        <x:v>0</x:v>
      </x:c>
      <x:c r="L1933" s="1" t="str">
        <x:v>Нет</x:v>
      </x:c>
      <x:c r="M1933" s="1" t="n">
        <x:v>0</x:v>
      </x:c>
    </x:row>
    <x:row r="1934">
      <x:c r="A1934" s="1" t="str">
        <x:v>209138777</x:v>
      </x:c>
      <x:c r="B1934" s="1" t="str">
        <x:v>kulirkaman2/белый</x:v>
      </x:c>
      <x:c r="C1934" s="1" t="str">
        <x:v>Футболки</x:v>
      </x:c>
      <x:c r="D1934" s="9" t="n">
        <x:v>8.7</x:v>
      </x:c>
      <x:c r="E1934" s="8" t="n">
        <x:v>530</x:v>
      </x:c>
      <x:c r="F1934" s="8" t="n">
        <x:v>0</x:v>
      </x:c>
      <x:c r="G1934" s="8" t="n">
        <x:v>0</x:v>
      </x:c>
      <x:c r="H1934" s="8" t="n">
        <x:v>0</x:v>
      </x:c>
      <x:c r="I1934" s="8" t="n">
        <x:v>0</x:v>
      </x:c>
      <x:c r="J1934" s="8" t="n">
        <x:v>11</x:v>
      </x:c>
      <x:c r="K1934" s="8" t="n">
        <x:v>0</x:v>
      </x:c>
      <x:c r="L1934" s="1" t="str">
        <x:v>Нет</x:v>
      </x:c>
      <x:c r="M1934" s="1" t="n">
        <x:v>8100</x:v>
      </x:c>
    </x:row>
    <x:row r="1935">
      <x:c r="A1935" s="1" t="str">
        <x:v>209140306</x:v>
      </x:c>
      <x:c r="B1935" s="1" t="str">
        <x:v>kulirkaman2/черный</x:v>
      </x:c>
      <x:c r="C1935" s="1" t="str">
        <x:v>Футболки</x:v>
      </x:c>
      <x:c r="D1935" s="9" t="n">
        <x:v>4.7</x:v>
      </x:c>
      <x:c r="E1935" s="8" t="n">
        <x:v>0</x:v>
      </x:c>
      <x:c r="F1935" s="8" t="n">
        <x:v>0</x:v>
      </x:c>
      <x:c r="G1935" s="8" t="n">
        <x:v>0</x:v>
      </x:c>
      <x:c r="H1935" s="8" t="n">
        <x:v>0</x:v>
      </x:c>
      <x:c r="I1935" s="8" t="n">
        <x:v>0</x:v>
      </x:c>
      <x:c r="J1935" s="8" t="n">
        <x:v>0</x:v>
      </x:c>
      <x:c r="K1935" s="8" t="n">
        <x:v>0</x:v>
      </x:c>
      <x:c r="L1935" s="1" t="str">
        <x:v>Нет</x:v>
      </x:c>
      <x:c r="M1935" s="1" t="n">
        <x:v>0</x:v>
      </x:c>
    </x:row>
    <x:row r="1936">
      <x:c r="A1936" s="1" t="str">
        <x:v>209143702</x:v>
      </x:c>
      <x:c r="B1936" s="1" t="str">
        <x:v>kulirkamanprint/FREEDOM-67/черный</x:v>
      </x:c>
      <x:c r="C1936" s="1" t="str">
        <x:v>Футболки</x:v>
      </x:c>
      <x:c r="D1936" s="9" t="n">
        <x:v>9.7</x:v>
      </x:c>
      <x:c r="E1936" s="8" t="n">
        <x:v>337</x:v>
      </x:c>
      <x:c r="F1936" s="8" t="n">
        <x:v>0</x:v>
      </x:c>
      <x:c r="G1936" s="8" t="n">
        <x:v>0</x:v>
      </x:c>
      <x:c r="H1936" s="8" t="n">
        <x:v>0</x:v>
      </x:c>
      <x:c r="I1936" s="8" t="n">
        <x:v>0</x:v>
      </x:c>
      <x:c r="J1936" s="8" t="n">
        <x:v>0</x:v>
      </x:c>
      <x:c r="K1936" s="8" t="n">
        <x:v>0</x:v>
      </x:c>
      <x:c r="L1936" s="1" t="str">
        <x:v>Нет</x:v>
      </x:c>
      <x:c r="M1936" s="1" t="n">
        <x:v>0</x:v>
      </x:c>
    </x:row>
    <x:row r="1937">
      <x:c r="A1937" s="1" t="str">
        <x:v>209143709</x:v>
      </x:c>
      <x:c r="B1937" s="1" t="str">
        <x:v>kulirkamanprint/PLAY-68/молочный</x:v>
      </x:c>
      <x:c r="C1937" s="1" t="str">
        <x:v>Футболки</x:v>
      </x:c>
      <x:c r="D1937" s="9" t="n">
        <x:v>7.7</x:v>
      </x:c>
      <x:c r="E1937" s="8" t="n">
        <x:v>192</x:v>
      </x:c>
      <x:c r="F1937" s="8" t="n">
        <x:v>0</x:v>
      </x:c>
      <x:c r="G1937" s="8" t="n">
        <x:v>0</x:v>
      </x:c>
      <x:c r="H1937" s="8" t="n">
        <x:v>0</x:v>
      </x:c>
      <x:c r="I1937" s="8" t="n">
        <x:v>0</x:v>
      </x:c>
      <x:c r="J1937" s="8" t="n">
        <x:v>0</x:v>
      </x:c>
      <x:c r="K1937" s="8" t="n">
        <x:v>0</x:v>
      </x:c>
      <x:c r="L1937" s="1" t="str">
        <x:v>Нет</x:v>
      </x:c>
      <x:c r="M1937" s="1" t="n">
        <x:v>0</x:v>
      </x:c>
    </x:row>
    <x:row r="1938">
      <x:c r="A1938" s="1" t="str">
        <x:v>209143715</x:v>
      </x:c>
      <x:c r="B1938" s="1" t="str">
        <x:v>kulirkamanprint/PLAY-68/черный</x:v>
      </x:c>
      <x:c r="C1938" s="1" t="str">
        <x:v>Футболки</x:v>
      </x:c>
      <x:c r="D1938" s="9" t="n">
        <x:v>8.7</x:v>
      </x:c>
      <x:c r="E1938" s="8" t="n">
        <x:v>275</x:v>
      </x:c>
      <x:c r="F1938" s="8" t="n">
        <x:v>0</x:v>
      </x:c>
      <x:c r="G1938" s="8" t="n">
        <x:v>0</x:v>
      </x:c>
      <x:c r="H1938" s="8" t="n">
        <x:v>0</x:v>
      </x:c>
      <x:c r="I1938" s="8" t="n">
        <x:v>0</x:v>
      </x:c>
      <x:c r="J1938" s="8" t="n">
        <x:v>0</x:v>
      </x:c>
      <x:c r="K1938" s="8" t="n">
        <x:v>0</x:v>
      </x:c>
      <x:c r="L1938" s="1" t="str">
        <x:v>Нет</x:v>
      </x:c>
      <x:c r="M1938" s="1" t="n">
        <x:v>0</x:v>
      </x:c>
    </x:row>
    <x:row r="1939">
      <x:c r="A1939" s="1" t="str">
        <x:v>209143719</x:v>
      </x:c>
      <x:c r="B1939" s="1" t="str">
        <x:v>kulirkamanprint/TeloX6-69/черный</x:v>
      </x:c>
      <x:c r="C1939" s="1" t="str">
        <x:v>Футболки</x:v>
      </x:c>
      <x:c r="D1939" s="9" t="n">
        <x:v>8.7</x:v>
      </x:c>
      <x:c r="E1939" s="8" t="n">
        <x:v>644</x:v>
      </x:c>
      <x:c r="F1939" s="8" t="n">
        <x:v>1</x:v>
      </x:c>
      <x:c r="G1939" s="8" t="n">
        <x:v>0</x:v>
      </x:c>
      <x:c r="H1939" s="8" t="n">
        <x:v>0</x:v>
      </x:c>
      <x:c r="I1939" s="8" t="n">
        <x:v>0</x:v>
      </x:c>
      <x:c r="J1939" s="8" t="n">
        <x:v>0</x:v>
      </x:c>
      <x:c r="K1939" s="8" t="n">
        <x:v>1040</x:v>
      </x:c>
      <x:c r="L1939" s="1" t="str">
        <x:v>Нет</x:v>
      </x:c>
      <x:c r="M1939" s="1" t="n">
        <x:v>0</x:v>
      </x:c>
    </x:row>
    <x:row r="1940">
      <x:c r="A1940" s="1" t="str">
        <x:v>209187411</x:v>
      </x:c>
      <x:c r="B1940" s="1" t="str">
        <x:v>futbolkaprint/COTTON-66/черный</x:v>
      </x:c>
      <x:c r="C1940" s="1" t="str">
        <x:v>Футболки</x:v>
      </x:c>
      <x:c r="D1940" s="9" t="n">
        <x:v>8.7</x:v>
      </x:c>
      <x:c r="E1940" s="8" t="n">
        <x:v>302</x:v>
      </x:c>
      <x:c r="F1940" s="8" t="n">
        <x:v>0</x:v>
      </x:c>
      <x:c r="G1940" s="8" t="n">
        <x:v>0</x:v>
      </x:c>
      <x:c r="H1940" s="8" t="n">
        <x:v>0</x:v>
      </x:c>
      <x:c r="I1940" s="8" t="n">
        <x:v>0</x:v>
      </x:c>
      <x:c r="J1940" s="8" t="n">
        <x:v>0</x:v>
      </x:c>
      <x:c r="K1940" s="8" t="n">
        <x:v>0</x:v>
      </x:c>
      <x:c r="L1940" s="1" t="str">
        <x:v>Нет</x:v>
      </x:c>
      <x:c r="M1940" s="1" t="n">
        <x:v>0</x:v>
      </x:c>
    </x:row>
    <x:row r="1941">
      <x:c r="A1941" s="1" t="str">
        <x:v>209914873</x:v>
      </x:c>
      <x:c r="B1941" s="1" t="str">
        <x:v>svitshotonesize/голубой</x:v>
      </x:c>
      <x:c r="C1941" s="1" t="str">
        <x:v>Свитшоты</x:v>
      </x:c>
      <x:c r="D1941" s="9" t="n">
        <x:v>7.7</x:v>
      </x:c>
      <x:c r="E1941" s="8" t="n">
        <x:v>43</x:v>
      </x:c>
      <x:c r="F1941" s="8" t="n">
        <x:v>0</x:v>
      </x:c>
      <x:c r="G1941" s="8" t="n">
        <x:v>0</x:v>
      </x:c>
      <x:c r="H1941" s="8" t="n">
        <x:v>0</x:v>
      </x:c>
      <x:c r="I1941" s="8" t="n">
        <x:v>0</x:v>
      </x:c>
      <x:c r="J1941" s="8" t="n">
        <x:v>0</x:v>
      </x:c>
      <x:c r="K1941" s="8" t="n">
        <x:v>0</x:v>
      </x:c>
      <x:c r="L1941" s="1" t="str">
        <x:v>Нет</x:v>
      </x:c>
      <x:c r="M1941" s="1" t="n">
        <x:v>0</x:v>
      </x:c>
    </x:row>
    <x:row r="1942">
      <x:c r="A1942" s="1" t="str">
        <x:v>209914879</x:v>
      </x:c>
      <x:c r="B1942" s="1" t="str">
        <x:v>svitshotonesize/синий</x:v>
      </x:c>
      <x:c r="C1942" s="1" t="str">
        <x:v>Свитшоты</x:v>
      </x:c>
      <x:c r="D1942" s="9" t="n">
        <x:v>7.7</x:v>
      </x:c>
      <x:c r="E1942" s="8" t="n">
        <x:v>51</x:v>
      </x:c>
      <x:c r="F1942" s="8" t="n">
        <x:v>0</x:v>
      </x:c>
      <x:c r="G1942" s="8" t="n">
        <x:v>0</x:v>
      </x:c>
      <x:c r="H1942" s="8" t="n">
        <x:v>0</x:v>
      </x:c>
      <x:c r="I1942" s="8" t="n">
        <x:v>0</x:v>
      </x:c>
      <x:c r="J1942" s="8" t="n">
        <x:v>0</x:v>
      </x:c>
      <x:c r="K1942" s="8" t="n">
        <x:v>0</x:v>
      </x:c>
      <x:c r="L1942" s="1" t="str">
        <x:v>Нет</x:v>
      </x:c>
      <x:c r="M1942" s="1" t="n">
        <x:v>0</x:v>
      </x:c>
    </x:row>
    <x:row r="1943">
      <x:c r="A1943" s="1" t="str">
        <x:v>209914903</x:v>
      </x:c>
      <x:c r="B1943" s="1" t="str">
        <x:v>svitshotonesize/серый</x:v>
      </x:c>
      <x:c r="C1943" s="1" t="str">
        <x:v>Свитшоты</x:v>
      </x:c>
      <x:c r="D1943" s="9" t="n">
        <x:v>7.7</x:v>
      </x:c>
      <x:c r="E1943" s="8" t="n">
        <x:v>63</x:v>
      </x:c>
      <x:c r="F1943" s="8" t="n">
        <x:v>0</x:v>
      </x:c>
      <x:c r="G1943" s="8" t="n">
        <x:v>0</x:v>
      </x:c>
      <x:c r="H1943" s="8" t="n">
        <x:v>0</x:v>
      </x:c>
      <x:c r="I1943" s="8" t="n">
        <x:v>0</x:v>
      </x:c>
      <x:c r="J1943" s="8" t="n">
        <x:v>0</x:v>
      </x:c>
      <x:c r="K1943" s="8" t="n">
        <x:v>0</x:v>
      </x:c>
      <x:c r="L1943" s="1" t="str">
        <x:v>Нет</x:v>
      </x:c>
      <x:c r="M1943" s="1" t="n">
        <x:v>0</x:v>
      </x:c>
    </x:row>
    <x:row r="1944">
      <x:c r="A1944" s="1" t="str">
        <x:v>209914940</x:v>
      </x:c>
      <x:c r="B1944" s="1" t="str">
        <x:v>svitshotonesize/мандариновый</x:v>
      </x:c>
      <x:c r="C1944" s="1" t="str">
        <x:v>Свитшоты</x:v>
      </x:c>
      <x:c r="D1944" s="9" t="n">
        <x:v>7.7</x:v>
      </x:c>
      <x:c r="E1944" s="8" t="n">
        <x:v>28</x:v>
      </x:c>
      <x:c r="F1944" s="8" t="n">
        <x:v>0</x:v>
      </x:c>
      <x:c r="G1944" s="8" t="n">
        <x:v>0</x:v>
      </x:c>
      <x:c r="H1944" s="8" t="n">
        <x:v>0</x:v>
      </x:c>
      <x:c r="I1944" s="8" t="n">
        <x:v>0</x:v>
      </x:c>
      <x:c r="J1944" s="8" t="n">
        <x:v>0</x:v>
      </x:c>
      <x:c r="K1944" s="8" t="n">
        <x:v>0</x:v>
      </x:c>
      <x:c r="L1944" s="1" t="str">
        <x:v>Нет</x:v>
      </x:c>
      <x:c r="M1944" s="1" t="n">
        <x:v>0</x:v>
      </x:c>
    </x:row>
    <x:row r="1945">
      <x:c r="A1945" s="1" t="str">
        <x:v>209914946</x:v>
      </x:c>
      <x:c r="B1945" s="1" t="str">
        <x:v>svitshotonesize/красный</x:v>
      </x:c>
      <x:c r="C1945" s="1" t="str">
        <x:v>Свитшоты</x:v>
      </x:c>
      <x:c r="D1945" s="9" t="n">
        <x:v>7.7</x:v>
      </x:c>
      <x:c r="E1945" s="8" t="n">
        <x:v>35</x:v>
      </x:c>
      <x:c r="F1945" s="8" t="n">
        <x:v>0</x:v>
      </x:c>
      <x:c r="G1945" s="8" t="n">
        <x:v>0</x:v>
      </x:c>
      <x:c r="H1945" s="8" t="n">
        <x:v>0</x:v>
      </x:c>
      <x:c r="I1945" s="8" t="n">
        <x:v>0</x:v>
      </x:c>
      <x:c r="J1945" s="8" t="n">
        <x:v>0</x:v>
      </x:c>
      <x:c r="K1945" s="8" t="n">
        <x:v>0</x:v>
      </x:c>
      <x:c r="L1945" s="1" t="str">
        <x:v>Нет</x:v>
      </x:c>
      <x:c r="M1945" s="1" t="n">
        <x:v>0</x:v>
      </x:c>
    </x:row>
    <x:row r="1946">
      <x:c r="A1946" s="1" t="str">
        <x:v>209914977</x:v>
      </x:c>
      <x:c r="B1946" s="1" t="str">
        <x:v>svitshotonesize/светло-зеленый</x:v>
      </x:c>
      <x:c r="C1946" s="1" t="str">
        <x:v>Свитшоты</x:v>
      </x:c>
      <x:c r="D1946" s="9" t="n">
        <x:v>7.7</x:v>
      </x:c>
      <x:c r="E1946" s="8" t="n">
        <x:v>27</x:v>
      </x:c>
      <x:c r="F1946" s="8" t="n">
        <x:v>0</x:v>
      </x:c>
      <x:c r="G1946" s="8" t="n">
        <x:v>0</x:v>
      </x:c>
      <x:c r="H1946" s="8" t="n">
        <x:v>0</x:v>
      </x:c>
      <x:c r="I1946" s="8" t="n">
        <x:v>0</x:v>
      </x:c>
      <x:c r="J1946" s="8" t="n">
        <x:v>0</x:v>
      </x:c>
      <x:c r="K1946" s="8" t="n">
        <x:v>0</x:v>
      </x:c>
      <x:c r="L1946" s="1" t="str">
        <x:v>Нет</x:v>
      </x:c>
      <x:c r="M1946" s="1" t="n">
        <x:v>0</x:v>
      </x:c>
    </x:row>
    <x:row r="1947">
      <x:c r="A1947" s="1" t="str">
        <x:v>209914994</x:v>
      </x:c>
      <x:c r="B1947" s="1" t="str">
        <x:v>svitshotonesize/салатовый</x:v>
      </x:c>
      <x:c r="C1947" s="1" t="str">
        <x:v>Свитшоты</x:v>
      </x:c>
      <x:c r="D1947" s="9" t="n">
        <x:v>7.7</x:v>
      </x:c>
      <x:c r="E1947" s="8" t="n">
        <x:v>24</x:v>
      </x:c>
      <x:c r="F1947" s="8" t="n">
        <x:v>0</x:v>
      </x:c>
      <x:c r="G1947" s="8" t="n">
        <x:v>0</x:v>
      </x:c>
      <x:c r="H1947" s="8" t="n">
        <x:v>0</x:v>
      </x:c>
      <x:c r="I1947" s="8" t="n">
        <x:v>0</x:v>
      </x:c>
      <x:c r="J1947" s="8" t="n">
        <x:v>0</x:v>
      </x:c>
      <x:c r="K1947" s="8" t="n">
        <x:v>0</x:v>
      </x:c>
      <x:c r="L1947" s="1" t="str">
        <x:v>Нет</x:v>
      </x:c>
      <x:c r="M1947" s="1" t="n">
        <x:v>0</x:v>
      </x:c>
    </x:row>
    <x:row r="1948">
      <x:c r="A1948" s="1" t="str">
        <x:v>209915008</x:v>
      </x:c>
      <x:c r="B1948" s="1" t="str">
        <x:v>svitshotonesize/морскаяволна</x:v>
      </x:c>
      <x:c r="C1948" s="1" t="str">
        <x:v>Свитшоты</x:v>
      </x:c>
      <x:c r="D1948" s="9" t="n">
        <x:v>7.7</x:v>
      </x:c>
      <x:c r="E1948" s="8" t="n">
        <x:v>6</x:v>
      </x:c>
      <x:c r="F1948" s="8" t="n">
        <x:v>0</x:v>
      </x:c>
      <x:c r="G1948" s="8" t="n">
        <x:v>0</x:v>
      </x:c>
      <x:c r="H1948" s="8" t="n">
        <x:v>0</x:v>
      </x:c>
      <x:c r="I1948" s="8" t="n">
        <x:v>0</x:v>
      </x:c>
      <x:c r="J1948" s="8" t="n">
        <x:v>0</x:v>
      </x:c>
      <x:c r="K1948" s="8" t="n">
        <x:v>0</x:v>
      </x:c>
      <x:c r="L1948" s="1" t="str">
        <x:v>Нет</x:v>
      </x:c>
      <x:c r="M1948" s="1" t="n">
        <x:v>0</x:v>
      </x:c>
    </x:row>
    <x:row r="1949">
      <x:c r="A1949" s="1" t="str">
        <x:v>209915017</x:v>
      </x:c>
      <x:c r="B1949" s="1" t="str">
        <x:v>longsvobod/светлофиолетовый</x:v>
      </x:c>
      <x:c r="C1949" s="1" t="str">
        <x:v>Лонгсливы</x:v>
      </x:c>
      <x:c r="D1949" s="9" t="n">
        <x:v>7.2</x:v>
      </x:c>
      <x:c r="E1949" s="8" t="n">
        <x:v>298</x:v>
      </x:c>
      <x:c r="F1949" s="8" t="n">
        <x:v>0</x:v>
      </x:c>
      <x:c r="G1949" s="8" t="n">
        <x:v>0</x:v>
      </x:c>
      <x:c r="H1949" s="8" t="n">
        <x:v>0</x:v>
      </x:c>
      <x:c r="I1949" s="8" t="n">
        <x:v>0</x:v>
      </x:c>
      <x:c r="J1949" s="8" t="n">
        <x:v>0</x:v>
      </x:c>
      <x:c r="K1949" s="8" t="n">
        <x:v>0</x:v>
      </x:c>
      <x:c r="L1949" s="1" t="str">
        <x:v>Нет</x:v>
      </x:c>
      <x:c r="M1949" s="1" t="n">
        <x:v>0</x:v>
      </x:c>
    </x:row>
    <x:row r="1950">
      <x:c r="A1950" s="1" t="str">
        <x:v>209915022</x:v>
      </x:c>
      <x:c r="B1950" s="1" t="str">
        <x:v>longsvobod/морскаяволна</x:v>
      </x:c>
      <x:c r="C1950" s="1" t="str">
        <x:v>Лонгсливы</x:v>
      </x:c>
      <x:c r="D1950" s="9" t="n">
        <x:v>7.2</x:v>
      </x:c>
      <x:c r="E1950" s="8" t="n">
        <x:v>386</x:v>
      </x:c>
      <x:c r="F1950" s="8" t="n">
        <x:v>0</x:v>
      </x:c>
      <x:c r="G1950" s="8" t="n">
        <x:v>0</x:v>
      </x:c>
      <x:c r="H1950" s="8" t="n">
        <x:v>0</x:v>
      </x:c>
      <x:c r="I1950" s="8" t="n">
        <x:v>0</x:v>
      </x:c>
      <x:c r="J1950" s="8" t="n">
        <x:v>0</x:v>
      </x:c>
      <x:c r="K1950" s="8" t="n">
        <x:v>0</x:v>
      </x:c>
      <x:c r="L1950" s="1" t="str">
        <x:v>Нет</x:v>
      </x:c>
      <x:c r="M1950" s="1" t="n">
        <x:v>0</x:v>
      </x:c>
    </x:row>
    <x:row r="1951">
      <x:c r="A1951" s="1" t="str">
        <x:v>209915040</x:v>
      </x:c>
      <x:c r="B1951" s="1" t="str">
        <x:v>svitshotonesize/песочный</x:v>
      </x:c>
      <x:c r="C1951" s="1" t="str">
        <x:v>Свитшоты</x:v>
      </x:c>
      <x:c r="D1951" s="9" t="n">
        <x:v>7.7</x:v>
      </x:c>
      <x:c r="E1951" s="8" t="n">
        <x:v>105</x:v>
      </x:c>
      <x:c r="F1951" s="8" t="n">
        <x:v>3</x:v>
      </x:c>
      <x:c r="G1951" s="8" t="n">
        <x:v>0</x:v>
      </x:c>
      <x:c r="H1951" s="8" t="n">
        <x:v>0</x:v>
      </x:c>
      <x:c r="I1951" s="8" t="n">
        <x:v>0</x:v>
      </x:c>
      <x:c r="J1951" s="8" t="n">
        <x:v>2</x:v>
      </x:c>
      <x:c r="K1951" s="8" t="n">
        <x:v>2415</x:v>
      </x:c>
      <x:c r="L1951" s="1" t="str">
        <x:v>Нет</x:v>
      </x:c>
      <x:c r="M1951" s="1" t="n">
        <x:v>0</x:v>
      </x:c>
    </x:row>
    <x:row r="1952">
      <x:c r="A1952" s="1" t="str">
        <x:v>209915049</x:v>
      </x:c>
      <x:c r="B1952" s="1" t="str">
        <x:v>longsvobod/красный</x:v>
      </x:c>
      <x:c r="C1952" s="1" t="str">
        <x:v>Лонгсливы</x:v>
      </x:c>
      <x:c r="D1952" s="9" t="n">
        <x:v>7.2</x:v>
      </x:c>
      <x:c r="E1952" s="8" t="n">
        <x:v>290</x:v>
      </x:c>
      <x:c r="F1952" s="8" t="n">
        <x:v>0</x:v>
      </x:c>
      <x:c r="G1952" s="8" t="n">
        <x:v>0</x:v>
      </x:c>
      <x:c r="H1952" s="8" t="n">
        <x:v>0</x:v>
      </x:c>
      <x:c r="I1952" s="8" t="n">
        <x:v>0</x:v>
      </x:c>
      <x:c r="J1952" s="8" t="n">
        <x:v>0</x:v>
      </x:c>
      <x:c r="K1952" s="8" t="n">
        <x:v>0</x:v>
      </x:c>
      <x:c r="L1952" s="1" t="str">
        <x:v>Нет</x:v>
      </x:c>
      <x:c r="M1952" s="1" t="n">
        <x:v>0</x:v>
      </x:c>
    </x:row>
    <x:row r="1953">
      <x:c r="A1953" s="1" t="str">
        <x:v>209915057</x:v>
      </x:c>
      <x:c r="B1953" s="1" t="str">
        <x:v>longsvobod/шалфей</x:v>
      </x:c>
      <x:c r="C1953" s="1" t="str">
        <x:v>Лонгсливы</x:v>
      </x:c>
      <x:c r="D1953" s="9" t="n">
        <x:v>7.2</x:v>
      </x:c>
      <x:c r="E1953" s="8" t="n">
        <x:v>258</x:v>
      </x:c>
      <x:c r="F1953" s="8" t="n">
        <x:v>0</x:v>
      </x:c>
      <x:c r="G1953" s="8" t="n">
        <x:v>0</x:v>
      </x:c>
      <x:c r="H1953" s="8" t="n">
        <x:v>0</x:v>
      </x:c>
      <x:c r="I1953" s="8" t="n">
        <x:v>0</x:v>
      </x:c>
      <x:c r="J1953" s="8" t="n">
        <x:v>0</x:v>
      </x:c>
      <x:c r="K1953" s="8" t="n">
        <x:v>0</x:v>
      </x:c>
      <x:c r="L1953" s="1" t="str">
        <x:v>Нет</x:v>
      </x:c>
      <x:c r="M1953" s="1" t="n">
        <x:v>0</x:v>
      </x:c>
    </x:row>
    <x:row r="1954">
      <x:c r="A1954" s="1" t="str">
        <x:v>209915063</x:v>
      </x:c>
      <x:c r="B1954" s="1" t="str">
        <x:v>svitshotonesize/розовый</x:v>
      </x:c>
      <x:c r="C1954" s="1" t="str">
        <x:v>Свитшоты</x:v>
      </x:c>
      <x:c r="D1954" s="9" t="n">
        <x:v>7.7</x:v>
      </x:c>
      <x:c r="E1954" s="8" t="n">
        <x:v>45</x:v>
      </x:c>
      <x:c r="F1954" s="8" t="n">
        <x:v>0</x:v>
      </x:c>
      <x:c r="G1954" s="8" t="n">
        <x:v>0</x:v>
      </x:c>
      <x:c r="H1954" s="8" t="n">
        <x:v>0</x:v>
      </x:c>
      <x:c r="I1954" s="8" t="n">
        <x:v>0</x:v>
      </x:c>
      <x:c r="J1954" s="8" t="n">
        <x:v>0</x:v>
      </x:c>
      <x:c r="K1954" s="8" t="n">
        <x:v>0</x:v>
      </x:c>
      <x:c r="L1954" s="1" t="str">
        <x:v>Нет</x:v>
      </x:c>
      <x:c r="M1954" s="1" t="n">
        <x:v>0</x:v>
      </x:c>
    </x:row>
    <x:row r="1955">
      <x:c r="A1955" s="1" t="str">
        <x:v>209915064</x:v>
      </x:c>
      <x:c r="B1955" s="1" t="str">
        <x:v>svitshotonesize/фиолетовый</x:v>
      </x:c>
      <x:c r="C1955" s="1" t="str">
        <x:v>Свитшоты</x:v>
      </x:c>
      <x:c r="D1955" s="9" t="n">
        <x:v>7.7</x:v>
      </x:c>
      <x:c r="E1955" s="8" t="n">
        <x:v>38</x:v>
      </x:c>
      <x:c r="F1955" s="8" t="n">
        <x:v>0</x:v>
      </x:c>
      <x:c r="G1955" s="8" t="n">
        <x:v>0</x:v>
      </x:c>
      <x:c r="H1955" s="8" t="n">
        <x:v>0</x:v>
      </x:c>
      <x:c r="I1955" s="8" t="n">
        <x:v>0</x:v>
      </x:c>
      <x:c r="J1955" s="8" t="n">
        <x:v>0</x:v>
      </x:c>
      <x:c r="K1955" s="8" t="n">
        <x:v>0</x:v>
      </x:c>
      <x:c r="L1955" s="1" t="str">
        <x:v>Нет</x:v>
      </x:c>
      <x:c r="M1955" s="1" t="n">
        <x:v>0</x:v>
      </x:c>
    </x:row>
    <x:row r="1956">
      <x:c r="A1956" s="1" t="str">
        <x:v>209915065</x:v>
      </x:c>
      <x:c r="B1956" s="1" t="str">
        <x:v>svitshotonesize/белый</x:v>
      </x:c>
      <x:c r="C1956" s="1" t="str">
        <x:v>Свитшоты</x:v>
      </x:c>
      <x:c r="D1956" s="9" t="n">
        <x:v>7.7</x:v>
      </x:c>
      <x:c r="E1956" s="8" t="n">
        <x:v>199</x:v>
      </x:c>
      <x:c r="F1956" s="8" t="n">
        <x:v>3</x:v>
      </x:c>
      <x:c r="G1956" s="8" t="n">
        <x:v>0</x:v>
      </x:c>
      <x:c r="H1956" s="8" t="n">
        <x:v>0</x:v>
      </x:c>
      <x:c r="I1956" s="8" t="n">
        <x:v>0</x:v>
      </x:c>
      <x:c r="J1956" s="8" t="n">
        <x:v>18</x:v>
      </x:c>
      <x:c r="K1956" s="8" t="n">
        <x:v>2441</x:v>
      </x:c>
      <x:c r="L1956" s="1" t="str">
        <x:v>Нет</x:v>
      </x:c>
      <x:c r="M1956" s="1" t="n">
        <x:v>17178</x:v>
      </x:c>
    </x:row>
    <x:row r="1957">
      <x:c r="A1957" s="1" t="str">
        <x:v>209915072</x:v>
      </x:c>
      <x:c r="B1957" s="1" t="str">
        <x:v>svitshotonesize/серыймеланж2</x:v>
      </x:c>
      <x:c r="C1957" s="1" t="str">
        <x:v>Свитшоты</x:v>
      </x:c>
      <x:c r="D1957" s="9" t="n">
        <x:v>9.7</x:v>
      </x:c>
      <x:c r="E1957" s="8" t="n">
        <x:v>99</x:v>
      </x:c>
      <x:c r="F1957" s="8" t="n">
        <x:v>0</x:v>
      </x:c>
      <x:c r="G1957" s="8" t="n">
        <x:v>0</x:v>
      </x:c>
      <x:c r="H1957" s="8" t="n">
        <x:v>0</x:v>
      </x:c>
      <x:c r="I1957" s="8" t="n">
        <x:v>0</x:v>
      </x:c>
      <x:c r="J1957" s="8" t="n">
        <x:v>0</x:v>
      </x:c>
      <x:c r="K1957" s="8" t="n">
        <x:v>0</x:v>
      </x:c>
      <x:c r="L1957" s="1" t="str">
        <x:v>Нет</x:v>
      </x:c>
      <x:c r="M1957" s="1" t="n">
        <x:v>0</x:v>
      </x:c>
    </x:row>
    <x:row r="1958">
      <x:c r="A1958" s="1" t="str">
        <x:v>209915073</x:v>
      </x:c>
      <x:c r="B1958" s="1" t="str">
        <x:v>svitshotonesize/бордовый</x:v>
      </x:c>
      <x:c r="C1958" s="1" t="str">
        <x:v>Свитшоты</x:v>
      </x:c>
      <x:c r="D1958" s="9" t="n">
        <x:v>7.7</x:v>
      </x:c>
      <x:c r="E1958" s="8" t="n">
        <x:v>48</x:v>
      </x:c>
      <x:c r="F1958" s="8" t="n">
        <x:v>0</x:v>
      </x:c>
      <x:c r="G1958" s="8" t="n">
        <x:v>0</x:v>
      </x:c>
      <x:c r="H1958" s="8" t="n">
        <x:v>0</x:v>
      </x:c>
      <x:c r="I1958" s="8" t="n">
        <x:v>0</x:v>
      </x:c>
      <x:c r="J1958" s="8" t="n">
        <x:v>0</x:v>
      </x:c>
      <x:c r="K1958" s="8" t="n">
        <x:v>0</x:v>
      </x:c>
      <x:c r="L1958" s="1" t="str">
        <x:v>Нет</x:v>
      </x:c>
      <x:c r="M1958" s="1" t="n">
        <x:v>0</x:v>
      </x:c>
    </x:row>
    <x:row r="1959">
      <x:c r="A1959" s="1" t="str">
        <x:v>209915075</x:v>
      </x:c>
      <x:c r="B1959" s="1" t="str">
        <x:v>svitshotonesize/деним</x:v>
      </x:c>
      <x:c r="C1959" s="1" t="str">
        <x:v>Свитшоты</x:v>
      </x:c>
      <x:c r="D1959" s="9" t="n">
        <x:v>7.7</x:v>
      </x:c>
      <x:c r="E1959" s="8" t="n">
        <x:v>40</x:v>
      </x:c>
      <x:c r="F1959" s="8" t="n">
        <x:v>0</x:v>
      </x:c>
      <x:c r="G1959" s="8" t="n">
        <x:v>0</x:v>
      </x:c>
      <x:c r="H1959" s="8" t="n">
        <x:v>0</x:v>
      </x:c>
      <x:c r="I1959" s="8" t="n">
        <x:v>0</x:v>
      </x:c>
      <x:c r="J1959" s="8" t="n">
        <x:v>0</x:v>
      </x:c>
      <x:c r="K1959" s="8" t="n">
        <x:v>0</x:v>
      </x:c>
      <x:c r="L1959" s="1" t="str">
        <x:v>Нет</x:v>
      </x:c>
      <x:c r="M1959" s="1" t="n">
        <x:v>0</x:v>
      </x:c>
    </x:row>
    <x:row r="1960">
      <x:c r="A1960" s="1" t="str">
        <x:v>209915077</x:v>
      </x:c>
      <x:c r="B1960" s="1" t="str">
        <x:v>svitshotonesize/молочный</x:v>
      </x:c>
      <x:c r="C1960" s="1" t="str">
        <x:v>Свитшоты</x:v>
      </x:c>
      <x:c r="D1960" s="9" t="n">
        <x:v>9.7</x:v>
      </x:c>
      <x:c r="E1960" s="8" t="n">
        <x:v>78</x:v>
      </x:c>
      <x:c r="F1960" s="8" t="n">
        <x:v>0</x:v>
      </x:c>
      <x:c r="G1960" s="8" t="n">
        <x:v>0</x:v>
      </x:c>
      <x:c r="H1960" s="8" t="n">
        <x:v>0</x:v>
      </x:c>
      <x:c r="I1960" s="8" t="n">
        <x:v>0</x:v>
      </x:c>
      <x:c r="J1960" s="8" t="n">
        <x:v>1</x:v>
      </x:c>
      <x:c r="K1960" s="8" t="n">
        <x:v>0</x:v>
      </x:c>
      <x:c r="L1960" s="1" t="str">
        <x:v>Нет</x:v>
      </x:c>
      <x:c r="M1960" s="1" t="n">
        <x:v>2355</x:v>
      </x:c>
    </x:row>
    <x:row r="1961">
      <x:c r="A1961" s="1" t="str">
        <x:v>209915079</x:v>
      </x:c>
      <x:c r="B1961" s="1" t="str">
        <x:v>longsvobod/деним</x:v>
      </x:c>
      <x:c r="C1961" s="1" t="str">
        <x:v>Лонгсливы</x:v>
      </x:c>
      <x:c r="D1961" s="9" t="n">
        <x:v>7.2</x:v>
      </x:c>
      <x:c r="E1961" s="8" t="n">
        <x:v>254</x:v>
      </x:c>
      <x:c r="F1961" s="8" t="n">
        <x:v>0</x:v>
      </x:c>
      <x:c r="G1961" s="8" t="n">
        <x:v>0</x:v>
      </x:c>
      <x:c r="H1961" s="8" t="n">
        <x:v>0</x:v>
      </x:c>
      <x:c r="I1961" s="8" t="n">
        <x:v>0</x:v>
      </x:c>
      <x:c r="J1961" s="8" t="n">
        <x:v>0</x:v>
      </x:c>
      <x:c r="K1961" s="8" t="n">
        <x:v>0</x:v>
      </x:c>
      <x:c r="L1961" s="1" t="str">
        <x:v>Нет</x:v>
      </x:c>
      <x:c r="M1961" s="1" t="n">
        <x:v>0</x:v>
      </x:c>
    </x:row>
    <x:row r="1962">
      <x:c r="A1962" s="1" t="str">
        <x:v>209915082</x:v>
      </x:c>
      <x:c r="B1962" s="1" t="str">
        <x:v>longsvobod/салатовый</x:v>
      </x:c>
      <x:c r="C1962" s="1" t="str">
        <x:v>Лонгсливы</x:v>
      </x:c>
      <x:c r="D1962" s="9" t="n">
        <x:v>5.2</x:v>
      </x:c>
      <x:c r="E1962" s="8" t="n">
        <x:v>292</x:v>
      </x:c>
      <x:c r="F1962" s="8" t="n">
        <x:v>0</x:v>
      </x:c>
      <x:c r="G1962" s="8" t="n">
        <x:v>0</x:v>
      </x:c>
      <x:c r="H1962" s="8" t="n">
        <x:v>0</x:v>
      </x:c>
      <x:c r="I1962" s="8" t="n">
        <x:v>0</x:v>
      </x:c>
      <x:c r="J1962" s="8" t="n">
        <x:v>2</x:v>
      </x:c>
      <x:c r="K1962" s="8" t="n">
        <x:v>0</x:v>
      </x:c>
      <x:c r="L1962" s="1" t="str">
        <x:v>Нет</x:v>
      </x:c>
      <x:c r="M1962" s="1" t="n">
        <x:v>1200</x:v>
      </x:c>
    </x:row>
    <x:row r="1963">
      <x:c r="A1963" s="1" t="str">
        <x:v>209915083</x:v>
      </x:c>
      <x:c r="B1963" s="1" t="str">
        <x:v>svitshotonesize/хаки</x:v>
      </x:c>
      <x:c r="C1963" s="1" t="str">
        <x:v>Свитшоты</x:v>
      </x:c>
      <x:c r="D1963" s="9" t="n">
        <x:v>9.7</x:v>
      </x:c>
      <x:c r="E1963" s="8" t="n">
        <x:v>22</x:v>
      </x:c>
      <x:c r="F1963" s="8" t="n">
        <x:v>0</x:v>
      </x:c>
      <x:c r="G1963" s="8" t="n">
        <x:v>0</x:v>
      </x:c>
      <x:c r="H1963" s="8" t="n">
        <x:v>0</x:v>
      </x:c>
      <x:c r="I1963" s="8" t="n">
        <x:v>0</x:v>
      </x:c>
      <x:c r="J1963" s="8" t="n">
        <x:v>0</x:v>
      </x:c>
      <x:c r="K1963" s="8" t="n">
        <x:v>0</x:v>
      </x:c>
      <x:c r="L1963" s="1" t="str">
        <x:v>Нет</x:v>
      </x:c>
      <x:c r="M1963" s="1" t="n">
        <x:v>0</x:v>
      </x:c>
    </x:row>
    <x:row r="1964">
      <x:c r="A1964" s="1" t="str">
        <x:v>209915084</x:v>
      </x:c>
      <x:c r="B1964" s="1" t="str">
        <x:v>svitshotonesize/изумрудно-зеленый</x:v>
      </x:c>
      <x:c r="C1964" s="1" t="str">
        <x:v>Свитшоты</x:v>
      </x:c>
      <x:c r="D1964" s="9" t="n">
        <x:v>7.7</x:v>
      </x:c>
      <x:c r="E1964" s="8" t="n">
        <x:v>93</x:v>
      </x:c>
      <x:c r="F1964" s="8" t="n">
        <x:v>0</x:v>
      </x:c>
      <x:c r="G1964" s="8" t="n">
        <x:v>0</x:v>
      </x:c>
      <x:c r="H1964" s="8" t="n">
        <x:v>0</x:v>
      </x:c>
      <x:c r="I1964" s="8" t="n">
        <x:v>0</x:v>
      </x:c>
      <x:c r="J1964" s="8" t="n">
        <x:v>0</x:v>
      </x:c>
      <x:c r="K1964" s="8" t="n">
        <x:v>0</x:v>
      </x:c>
      <x:c r="L1964" s="1" t="str">
        <x:v>Нет</x:v>
      </x:c>
      <x:c r="M1964" s="1" t="n">
        <x:v>0</x:v>
      </x:c>
    </x:row>
    <x:row r="1965">
      <x:c r="A1965" s="1" t="str">
        <x:v>209915085</x:v>
      </x:c>
      <x:c r="B1965" s="1" t="str">
        <x:v>svitshotonesize/светло-фиолетовый</x:v>
      </x:c>
      <x:c r="C1965" s="1" t="str">
        <x:v>Свитшоты</x:v>
      </x:c>
      <x:c r="D1965" s="9" t="n">
        <x:v>7.7</x:v>
      </x:c>
      <x:c r="E1965" s="8" t="n">
        <x:v>40</x:v>
      </x:c>
      <x:c r="F1965" s="8" t="n">
        <x:v>0</x:v>
      </x:c>
      <x:c r="G1965" s="8" t="n">
        <x:v>0</x:v>
      </x:c>
      <x:c r="H1965" s="8" t="n">
        <x:v>0</x:v>
      </x:c>
      <x:c r="I1965" s="8" t="n">
        <x:v>0</x:v>
      </x:c>
      <x:c r="J1965" s="8" t="n">
        <x:v>0</x:v>
      </x:c>
      <x:c r="K1965" s="8" t="n">
        <x:v>0</x:v>
      </x:c>
      <x:c r="L1965" s="1" t="str">
        <x:v>Нет</x:v>
      </x:c>
      <x:c r="M1965" s="1" t="n">
        <x:v>0</x:v>
      </x:c>
    </x:row>
    <x:row r="1966">
      <x:c r="A1966" s="1" t="str">
        <x:v>209915090</x:v>
      </x:c>
      <x:c r="B1966" s="1" t="str">
        <x:v>svitshotonesize/зеленый</x:v>
      </x:c>
      <x:c r="C1966" s="1" t="str">
        <x:v>Свитшоты</x:v>
      </x:c>
      <x:c r="D1966" s="9" t="n">
        <x:v>7.7</x:v>
      </x:c>
      <x:c r="E1966" s="8" t="n">
        <x:v>35</x:v>
      </x:c>
      <x:c r="F1966" s="8" t="n">
        <x:v>0</x:v>
      </x:c>
      <x:c r="G1966" s="8" t="n">
        <x:v>0</x:v>
      </x:c>
      <x:c r="H1966" s="8" t="n">
        <x:v>0</x:v>
      </x:c>
      <x:c r="I1966" s="8" t="n">
        <x:v>0</x:v>
      </x:c>
      <x:c r="J1966" s="8" t="n">
        <x:v>0</x:v>
      </x:c>
      <x:c r="K1966" s="8" t="n">
        <x:v>0</x:v>
      </x:c>
      <x:c r="L1966" s="1" t="str">
        <x:v>Нет</x:v>
      </x:c>
      <x:c r="M1966" s="1" t="n">
        <x:v>0</x:v>
      </x:c>
    </x:row>
    <x:row r="1967">
      <x:c r="A1967" s="1" t="str">
        <x:v>209915094</x:v>
      </x:c>
      <x:c r="B1967" s="1" t="str">
        <x:v>svitshotonesize/темно-серый</x:v>
      </x:c>
      <x:c r="C1967" s="1" t="str">
        <x:v>Свитшоты</x:v>
      </x:c>
      <x:c r="D1967" s="9" t="n">
        <x:v>9.7</x:v>
      </x:c>
      <x:c r="E1967" s="8" t="n">
        <x:v>33</x:v>
      </x:c>
      <x:c r="F1967" s="8" t="n">
        <x:v>0</x:v>
      </x:c>
      <x:c r="G1967" s="8" t="n">
        <x:v>0</x:v>
      </x:c>
      <x:c r="H1967" s="8" t="n">
        <x:v>0</x:v>
      </x:c>
      <x:c r="I1967" s="8" t="n">
        <x:v>0</x:v>
      </x:c>
      <x:c r="J1967" s="8" t="n">
        <x:v>0</x:v>
      </x:c>
      <x:c r="K1967" s="8" t="n">
        <x:v>0</x:v>
      </x:c>
      <x:c r="L1967" s="1" t="str">
        <x:v>Нет</x:v>
      </x:c>
      <x:c r="M1967" s="1" t="n">
        <x:v>0</x:v>
      </x:c>
    </x:row>
    <x:row r="1968">
      <x:c r="A1968" s="1" t="str">
        <x:v>209915096</x:v>
      </x:c>
      <x:c r="B1968" s="1" t="str">
        <x:v>svitshotonesize/темно-синий</x:v>
      </x:c>
      <x:c r="C1968" s="1" t="str">
        <x:v>Свитшоты</x:v>
      </x:c>
      <x:c r="D1968" s="9" t="n">
        <x:v>7</x:v>
      </x:c>
      <x:c r="E1968" s="8" t="n">
        <x:v>26</x:v>
      </x:c>
      <x:c r="F1968" s="8" t="n">
        <x:v>0</x:v>
      </x:c>
      <x:c r="G1968" s="8" t="n">
        <x:v>0</x:v>
      </x:c>
      <x:c r="H1968" s="8" t="n">
        <x:v>0</x:v>
      </x:c>
      <x:c r="I1968" s="8" t="n">
        <x:v>0</x:v>
      </x:c>
      <x:c r="J1968" s="8" t="n">
        <x:v>2</x:v>
      </x:c>
      <x:c r="K1968" s="8" t="n">
        <x:v>0</x:v>
      </x:c>
      <x:c r="L1968" s="1" t="str">
        <x:v>Нет</x:v>
      </x:c>
      <x:c r="M1968" s="1" t="n">
        <x:v>2500</x:v>
      </x:c>
    </x:row>
    <x:row r="1969">
      <x:c r="A1969" s="1" t="str">
        <x:v>209915097</x:v>
      </x:c>
      <x:c r="B1969" s="1" t="str">
        <x:v>svitshotonesize/коричневый</x:v>
      </x:c>
      <x:c r="C1969" s="1" t="str">
        <x:v>Свитшоты</x:v>
      </x:c>
      <x:c r="D1969" s="9" t="n">
        <x:v>7.7</x:v>
      </x:c>
      <x:c r="E1969" s="8" t="n">
        <x:v>47</x:v>
      </x:c>
      <x:c r="F1969" s="8" t="n">
        <x:v>0</x:v>
      </x:c>
      <x:c r="G1969" s="8" t="n">
        <x:v>0</x:v>
      </x:c>
      <x:c r="H1969" s="8" t="n">
        <x:v>0</x:v>
      </x:c>
      <x:c r="I1969" s="8" t="n">
        <x:v>0</x:v>
      </x:c>
      <x:c r="J1969" s="8" t="n">
        <x:v>3</x:v>
      </x:c>
      <x:c r="K1969" s="8" t="n">
        <x:v>0</x:v>
      </x:c>
      <x:c r="L1969" s="1" t="str">
        <x:v>Нет</x:v>
      </x:c>
      <x:c r="M1969" s="1" t="n">
        <x:v>4510</x:v>
      </x:c>
    </x:row>
    <x:row r="1970">
      <x:c r="A1970" s="1" t="str">
        <x:v>209915676</x:v>
      </x:c>
      <x:c r="B1970" s="1" t="str">
        <x:v>shorty/шалфей</x:v>
      </x:c>
      <x:c r="C1970" s="1" t="str">
        <x:v>Шорты</x:v>
      </x:c>
      <x:c r="D1970" s="9" t="n">
        <x:v>5.9</x:v>
      </x:c>
      <x:c r="E1970" s="8" t="n">
        <x:v>103</x:v>
      </x:c>
      <x:c r="F1970" s="8" t="n">
        <x:v>0</x:v>
      </x:c>
      <x:c r="G1970" s="8" t="n">
        <x:v>0</x:v>
      </x:c>
      <x:c r="H1970" s="8" t="n">
        <x:v>150</x:v>
      </x:c>
      <x:c r="I1970" s="8" t="n">
        <x:v>0</x:v>
      </x:c>
      <x:c r="J1970" s="8" t="n">
        <x:v>0</x:v>
      </x:c>
      <x:c r="K1970" s="8" t="n">
        <x:v>0</x:v>
      </x:c>
      <x:c r="L1970" s="1" t="str">
        <x:v>Нет</x:v>
      </x:c>
      <x:c r="M1970" s="1" t="n">
        <x:v>0</x:v>
      </x:c>
    </x:row>
    <x:row r="1971">
      <x:c r="A1971" s="1" t="str">
        <x:v>209915683</x:v>
      </x:c>
      <x:c r="B1971" s="1" t="str">
        <x:v>shorty/зеленый</x:v>
      </x:c>
      <x:c r="C1971" s="1" t="str">
        <x:v>Шорты</x:v>
      </x:c>
      <x:c r="D1971" s="9" t="n">
        <x:v>6.9</x:v>
      </x:c>
      <x:c r="E1971" s="8" t="n">
        <x:v>1593</x:v>
      </x:c>
      <x:c r="F1971" s="8" t="n">
        <x:v>1</x:v>
      </x:c>
      <x:c r="G1971" s="8" t="n">
        <x:v>0</x:v>
      </x:c>
      <x:c r="H1971" s="8" t="n">
        <x:v>6</x:v>
      </x:c>
      <x:c r="I1971" s="8" t="n">
        <x:v>0</x:v>
      </x:c>
      <x:c r="J1971" s="8" t="n">
        <x:v>2</x:v>
      </x:c>
      <x:c r="K1971" s="8" t="n">
        <x:v>1022</x:v>
      </x:c>
      <x:c r="L1971" s="1" t="str">
        <x:v>Нет</x:v>
      </x:c>
      <x:c r="M1971" s="1" t="n">
        <x:v>1110</x:v>
      </x:c>
    </x:row>
    <x:row r="1972">
      <x:c r="A1972" s="1" t="str">
        <x:v>209915686</x:v>
      </x:c>
      <x:c r="B1972" s="1" t="str">
        <x:v>shorty/мятапыльная</x:v>
      </x:c>
      <x:c r="C1972" s="1" t="str">
        <x:v>Шорты</x:v>
      </x:c>
      <x:c r="D1972" s="9" t="n">
        <x:v>6.9</x:v>
      </x:c>
      <x:c r="E1972" s="8" t="n">
        <x:v>151</x:v>
      </x:c>
      <x:c r="F1972" s="8" t="n">
        <x:v>0</x:v>
      </x:c>
      <x:c r="G1972" s="8" t="n">
        <x:v>0</x:v>
      </x:c>
      <x:c r="H1972" s="8" t="n">
        <x:v>0</x:v>
      </x:c>
      <x:c r="I1972" s="8" t="n">
        <x:v>0</x:v>
      </x:c>
      <x:c r="J1972" s="8" t="n">
        <x:v>0</x:v>
      </x:c>
      <x:c r="K1972" s="8" t="n">
        <x:v>0</x:v>
      </x:c>
      <x:c r="L1972" s="1" t="str">
        <x:v>Нет</x:v>
      </x:c>
      <x:c r="M1972" s="1" t="n">
        <x:v>0</x:v>
      </x:c>
    </x:row>
    <x:row r="1973">
      <x:c r="A1973" s="1" t="str">
        <x:v>209915709</x:v>
      </x:c>
      <x:c r="B1973" s="1" t="str">
        <x:v>shorty/красный</x:v>
      </x:c>
      <x:c r="C1973" s="1" t="str">
        <x:v>Шорты</x:v>
      </x:c>
      <x:c r="D1973" s="9" t="n">
        <x:v>5.9</x:v>
      </x:c>
      <x:c r="E1973" s="8" t="n">
        <x:v>44</x:v>
      </x:c>
      <x:c r="F1973" s="8" t="n">
        <x:v>0</x:v>
      </x:c>
      <x:c r="G1973" s="8" t="n">
        <x:v>0</x:v>
      </x:c>
      <x:c r="H1973" s="8" t="n">
        <x:v>0</x:v>
      </x:c>
      <x:c r="I1973" s="8" t="n">
        <x:v>0</x:v>
      </x:c>
      <x:c r="J1973" s="8" t="n">
        <x:v>2</x:v>
      </x:c>
      <x:c r="K1973" s="8" t="n">
        <x:v>0</x:v>
      </x:c>
      <x:c r="L1973" s="1" t="str">
        <x:v>Нет</x:v>
      </x:c>
      <x:c r="M1973" s="1" t="n">
        <x:v>0</x:v>
      </x:c>
    </x:row>
    <x:row r="1974">
      <x:c r="A1974" s="1" t="str">
        <x:v>209915720</x:v>
      </x:c>
      <x:c r="B1974" s="1" t="str">
        <x:v>shorty/хаки</x:v>
      </x:c>
      <x:c r="C1974" s="1" t="str">
        <x:v>Шорты</x:v>
      </x:c>
      <x:c r="D1974" s="9" t="n">
        <x:v>6.9</x:v>
      </x:c>
      <x:c r="E1974" s="8" t="n">
        <x:v>87</x:v>
      </x:c>
      <x:c r="F1974" s="8" t="n">
        <x:v>0</x:v>
      </x:c>
      <x:c r="G1974" s="8" t="n">
        <x:v>0</x:v>
      </x:c>
      <x:c r="H1974" s="8" t="n">
        <x:v>0</x:v>
      </x:c>
      <x:c r="I1974" s="8" t="n">
        <x:v>0</x:v>
      </x:c>
      <x:c r="J1974" s="8" t="n">
        <x:v>0</x:v>
      </x:c>
      <x:c r="K1974" s="8" t="n">
        <x:v>0</x:v>
      </x:c>
      <x:c r="L1974" s="1" t="str">
        <x:v>Нет</x:v>
      </x:c>
      <x:c r="M1974" s="1" t="n">
        <x:v>0</x:v>
      </x:c>
    </x:row>
    <x:row r="1975">
      <x:c r="A1975" s="1" t="str">
        <x:v>209915742</x:v>
      </x:c>
      <x:c r="B1975" s="1" t="str">
        <x:v>shorty/салатовый</x:v>
      </x:c>
      <x:c r="C1975" s="1" t="str">
        <x:v>Шорты</x:v>
      </x:c>
      <x:c r="D1975" s="9" t="n">
        <x:v>5.9</x:v>
      </x:c>
      <x:c r="E1975" s="8" t="n">
        <x:v>1697</x:v>
      </x:c>
      <x:c r="F1975" s="8" t="n">
        <x:v>2</x:v>
      </x:c>
      <x:c r="G1975" s="8" t="n">
        <x:v>0</x:v>
      </x:c>
      <x:c r="H1975" s="8" t="n">
        <x:v>3</x:v>
      </x:c>
      <x:c r="I1975" s="8" t="n">
        <x:v>0</x:v>
      </x:c>
      <x:c r="J1975" s="8" t="n">
        <x:v>1</x:v>
      </x:c>
      <x:c r="K1975" s="8" t="n">
        <x:v>1088</x:v>
      </x:c>
      <x:c r="L1975" s="1" t="str">
        <x:v>Нет</x:v>
      </x:c>
      <x:c r="M1975" s="1" t="n">
        <x:v>0</x:v>
      </x:c>
    </x:row>
    <x:row r="1976">
      <x:c r="A1976" s="1" t="str">
        <x:v>209915744</x:v>
      </x:c>
      <x:c r="B1976" s="1" t="str">
        <x:v>shorty/эвкалипт</x:v>
      </x:c>
      <x:c r="C1976" s="1" t="str">
        <x:v>Шорты</x:v>
      </x:c>
      <x:c r="D1976" s="9" t="n">
        <x:v>5.9</x:v>
      </x:c>
      <x:c r="E1976" s="8" t="n">
        <x:v>114</x:v>
      </x:c>
      <x:c r="F1976" s="8" t="n">
        <x:v>2</x:v>
      </x:c>
      <x:c r="G1976" s="8" t="n">
        <x:v>0</x:v>
      </x:c>
      <x:c r="H1976" s="8" t="n">
        <x:v>60</x:v>
      </x:c>
      <x:c r="I1976" s="8" t="n">
        <x:v>0</x:v>
      </x:c>
      <x:c r="J1976" s="8" t="n">
        <x:v>0</x:v>
      </x:c>
      <x:c r="K1976" s="8" t="n">
        <x:v>1025</x:v>
      </x:c>
      <x:c r="L1976" s="1" t="str">
        <x:v>Нет</x:v>
      </x:c>
      <x:c r="M1976" s="1" t="n">
        <x:v>0</x:v>
      </x:c>
    </x:row>
    <x:row r="1977">
      <x:c r="A1977" s="1" t="str">
        <x:v>209919693</x:v>
      </x:c>
      <x:c r="B1977" s="1" t="str">
        <x:v>svitshotonesize/черный</x:v>
      </x:c>
      <x:c r="C1977" s="1" t="str">
        <x:v>Свитшоты</x:v>
      </x:c>
      <x:c r="D1977" s="9" t="n">
        <x:v>9.7</x:v>
      </x:c>
      <x:c r="E1977" s="8" t="n">
        <x:v>44</x:v>
      </x:c>
      <x:c r="F1977" s="8" t="n">
        <x:v>0</x:v>
      </x:c>
      <x:c r="G1977" s="8" t="n">
        <x:v>0</x:v>
      </x:c>
      <x:c r="H1977" s="8" t="n">
        <x:v>0</x:v>
      </x:c>
      <x:c r="I1977" s="8" t="n">
        <x:v>0</x:v>
      </x:c>
      <x:c r="J1977" s="8" t="n">
        <x:v>0</x:v>
      </x:c>
      <x:c r="K1977" s="8" t="n">
        <x:v>0</x:v>
      </x:c>
      <x:c r="L1977" s="1" t="str">
        <x:v>Нет</x:v>
      </x:c>
      <x:c r="M1977" s="1" t="n">
        <x:v>0</x:v>
      </x:c>
    </x:row>
    <x:row r="1978">
      <x:c r="A1978" s="1" t="str">
        <x:v>210005527</x:v>
      </x:c>
      <x:c r="B1978" s="1" t="str">
        <x:v>hudiman/черный-средне-серый</x:v>
      </x:c>
      <x:c r="C1978" s="1" t="str">
        <x:v>Худи</x:v>
      </x:c>
      <x:c r="D1978" s="9" t="n">
        <x:v>4.7</x:v>
      </x:c>
      <x:c r="E1978" s="8" t="n">
        <x:v>1</x:v>
      </x:c>
      <x:c r="F1978" s="8" t="n">
        <x:v>0</x:v>
      </x:c>
      <x:c r="G1978" s="8" t="n">
        <x:v>0</x:v>
      </x:c>
      <x:c r="H1978" s="8" t="n">
        <x:v>0</x:v>
      </x:c>
      <x:c r="I1978" s="8" t="n">
        <x:v>0</x:v>
      </x:c>
      <x:c r="J1978" s="8"/>
      <x:c r="K1978" s="8" t="n">
        <x:v>0</x:v>
      </x:c>
      <x:c r="L1978" s="1" t="str">
        <x:v>Нет</x:v>
      </x:c>
      <x:c r="M1978" s="1"/>
    </x:row>
    <x:row r="1979">
      <x:c r="A1979" s="1" t="str">
        <x:v>210248308</x:v>
      </x:c>
      <x:c r="B1979" s="1" t="str">
        <x:v>kulirkamanprint/B_YN-48/черный</x:v>
      </x:c>
      <x:c r="C1979" s="1" t="str">
        <x:v>Футболки</x:v>
      </x:c>
      <x:c r="D1979" s="9" t="n">
        <x:v>9.7</x:v>
      </x:c>
      <x:c r="E1979" s="8" t="n">
        <x:v>379</x:v>
      </x:c>
      <x:c r="F1979" s="8" t="n">
        <x:v>0</x:v>
      </x:c>
      <x:c r="G1979" s="8" t="n">
        <x:v>0</x:v>
      </x:c>
      <x:c r="H1979" s="8" t="n">
        <x:v>0</x:v>
      </x:c>
      <x:c r="I1979" s="8" t="n">
        <x:v>0</x:v>
      </x:c>
      <x:c r="J1979" s="8" t="n">
        <x:v>0</x:v>
      </x:c>
      <x:c r="K1979" s="8" t="n">
        <x:v>0</x:v>
      </x:c>
      <x:c r="L1979" s="1" t="str">
        <x:v>Нет</x:v>
      </x:c>
      <x:c r="M1979" s="1" t="n">
        <x:v>0</x:v>
      </x:c>
    </x:row>
    <x:row r="1980">
      <x:c r="A1980" s="1" t="str">
        <x:v>210248328</x:v>
      </x:c>
      <x:c r="B1980" s="1" t="str">
        <x:v>kulirkamanprint/MovesY2K-71/черный</x:v>
      </x:c>
      <x:c r="C1980" s="1" t="str">
        <x:v>Футболки</x:v>
      </x:c>
      <x:c r="D1980" s="9" t="n">
        <x:v>9.7</x:v>
      </x:c>
      <x:c r="E1980" s="8" t="n">
        <x:v>297</x:v>
      </x:c>
      <x:c r="F1980" s="8" t="n">
        <x:v>0</x:v>
      </x:c>
      <x:c r="G1980" s="8" t="n">
        <x:v>0</x:v>
      </x:c>
      <x:c r="H1980" s="8" t="n">
        <x:v>0</x:v>
      </x:c>
      <x:c r="I1980" s="8" t="n">
        <x:v>0</x:v>
      </x:c>
      <x:c r="J1980" s="8" t="n">
        <x:v>0</x:v>
      </x:c>
      <x:c r="K1980" s="8" t="n">
        <x:v>0</x:v>
      </x:c>
      <x:c r="L1980" s="1" t="str">
        <x:v>Нет</x:v>
      </x:c>
      <x:c r="M1980" s="1" t="n">
        <x:v>0</x:v>
      </x:c>
    </x:row>
    <x:row r="1981">
      <x:c r="A1981" s="1" t="str">
        <x:v>210248357</x:v>
      </x:c>
      <x:c r="B1981" s="1" t="str">
        <x:v>kulirkamanprint/Colorado-72/черный</x:v>
      </x:c>
      <x:c r="C1981" s="1" t="str">
        <x:v>Футболки</x:v>
      </x:c>
      <x:c r="D1981" s="9" t="n">
        <x:v>7.7</x:v>
      </x:c>
      <x:c r="E1981" s="8" t="n">
        <x:v>267</x:v>
      </x:c>
      <x:c r="F1981" s="8" t="n">
        <x:v>0</x:v>
      </x:c>
      <x:c r="G1981" s="8" t="n">
        <x:v>0</x:v>
      </x:c>
      <x:c r="H1981" s="8" t="n">
        <x:v>0</x:v>
      </x:c>
      <x:c r="I1981" s="8" t="n">
        <x:v>0</x:v>
      </x:c>
      <x:c r="J1981" s="8" t="n">
        <x:v>0</x:v>
      </x:c>
      <x:c r="K1981" s="8" t="n">
        <x:v>0</x:v>
      </x:c>
      <x:c r="L1981" s="1" t="str">
        <x:v>Нет</x:v>
      </x:c>
      <x:c r="M1981" s="1" t="n">
        <x:v>0</x:v>
      </x:c>
    </x:row>
    <x:row r="1982">
      <x:c r="A1982" s="1" t="str">
        <x:v>210318845</x:v>
      </x:c>
      <x:c r="B1982" s="1" t="str">
        <x:v>kostumman/кофейный_</x:v>
      </x:c>
      <x:c r="C1982" s="1" t="str">
        <x:v>Костюмы спортивные</x:v>
      </x:c>
      <x:c r="D1982" s="9" t="n">
        <x:v>7</x:v>
      </x:c>
      <x:c r="E1982" s="8" t="n">
        <x:v>1</x:v>
      </x:c>
      <x:c r="F1982" s="8" t="n">
        <x:v>0</x:v>
      </x:c>
      <x:c r="G1982" s="8" t="n">
        <x:v>0</x:v>
      </x:c>
      <x:c r="H1982" s="8" t="n">
        <x:v>0</x:v>
      </x:c>
      <x:c r="I1982" s="8" t="n">
        <x:v>0</x:v>
      </x:c>
      <x:c r="J1982" s="8" t="n">
        <x:v>0</x:v>
      </x:c>
      <x:c r="K1982" s="8" t="n">
        <x:v>0</x:v>
      </x:c>
      <x:c r="L1982" s="1" t="str">
        <x:v>Нет</x:v>
      </x:c>
      <x:c r="M1982" s="1" t="n">
        <x:v>0</x:v>
      </x:c>
    </x:row>
    <x:row r="1983">
      <x:c r="A1983" s="1" t="str">
        <x:v>210618397</x:v>
      </x:c>
      <x:c r="B1983" s="1" t="str">
        <x:v>kostkulirkaover/какао</x:v>
      </x:c>
      <x:c r="C1983" s="1" t="str">
        <x:v>Костюмы</x:v>
      </x:c>
      <x:c r="D1983" s="9" t="n">
        <x:v>8.7</x:v>
      </x:c>
      <x:c r="E1983" s="8" t="n">
        <x:v>1770</x:v>
      </x:c>
      <x:c r="F1983" s="8" t="n">
        <x:v>0</x:v>
      </x:c>
      <x:c r="G1983" s="8" t="n">
        <x:v>0</x:v>
      </x:c>
      <x:c r="H1983" s="8" t="n">
        <x:v>0</x:v>
      </x:c>
      <x:c r="I1983" s="8" t="n">
        <x:v>0</x:v>
      </x:c>
      <x:c r="J1983" s="8" t="n">
        <x:v>0</x:v>
      </x:c>
      <x:c r="K1983" s="8" t="n">
        <x:v>0</x:v>
      </x:c>
      <x:c r="L1983" s="1" t="str">
        <x:v>Нет</x:v>
      </x:c>
      <x:c r="M1983" s="1" t="n">
        <x:v>0</x:v>
      </x:c>
    </x:row>
    <x:row r="1984">
      <x:c r="A1984" s="1" t="str">
        <x:v>210674289</x:v>
      </x:c>
      <x:c r="B1984" s="1" t="str">
        <x:v>svitshotzipman1/темно-синий</x:v>
      </x:c>
      <x:c r="C1984" s="1" t="str">
        <x:v>Свитшоты</x:v>
      </x:c>
      <x:c r="D1984" s="9" t="n">
        <x:v>9.7</x:v>
      </x:c>
      <x:c r="E1984" s="8" t="n">
        <x:v>7</x:v>
      </x:c>
      <x:c r="F1984" s="8" t="n">
        <x:v>0</x:v>
      </x:c>
      <x:c r="G1984" s="8" t="n">
        <x:v>0</x:v>
      </x:c>
      <x:c r="H1984" s="8" t="n">
        <x:v>0</x:v>
      </x:c>
      <x:c r="I1984" s="8" t="n">
        <x:v>0</x:v>
      </x:c>
      <x:c r="J1984" s="8" t="n">
        <x:v>0</x:v>
      </x:c>
      <x:c r="K1984" s="8" t="n">
        <x:v>0</x:v>
      </x:c>
      <x:c r="L1984" s="1" t="str">
        <x:v>Нет</x:v>
      </x:c>
      <x:c r="M1984" s="1" t="n">
        <x:v>0</x:v>
      </x:c>
    </x:row>
    <x:row r="1985">
      <x:c r="A1985" s="1" t="str">
        <x:v>210827360</x:v>
      </x:c>
      <x:c r="B1985" s="1" t="str">
        <x:v>longsvobod/эвкалипт</x:v>
      </x:c>
      <x:c r="C1985" s="1" t="str">
        <x:v>Лонгсливы</x:v>
      </x:c>
      <x:c r="D1985" s="9" t="n">
        <x:v>7.2</x:v>
      </x:c>
      <x:c r="E1985" s="8" t="n">
        <x:v>258</x:v>
      </x:c>
      <x:c r="F1985" s="8" t="n">
        <x:v>0</x:v>
      </x:c>
      <x:c r="G1985" s="8" t="n">
        <x:v>0</x:v>
      </x:c>
      <x:c r="H1985" s="8" t="n">
        <x:v>0</x:v>
      </x:c>
      <x:c r="I1985" s="8" t="n">
        <x:v>0</x:v>
      </x:c>
      <x:c r="J1985" s="8" t="n">
        <x:v>0</x:v>
      </x:c>
      <x:c r="K1985" s="8" t="n">
        <x:v>0</x:v>
      </x:c>
      <x:c r="L1985" s="1" t="str">
        <x:v>Нет</x:v>
      </x:c>
      <x:c r="M1985" s="1" t="n">
        <x:v>0</x:v>
      </x:c>
    </x:row>
    <x:row r="1986">
      <x:c r="A1986" s="1" t="str">
        <x:v>211596872</x:v>
      </x:c>
      <x:c r="B1986" s="1" t="str">
        <x:v>kulirkamanprint/CHICAGO-84/черный</x:v>
      </x:c>
      <x:c r="C1986" s="1" t="str">
        <x:v>Футболки</x:v>
      </x:c>
      <x:c r="D1986" s="9" t="n">
        <x:v>9.7</x:v>
      </x:c>
      <x:c r="E1986" s="8" t="n">
        <x:v>390</x:v>
      </x:c>
      <x:c r="F1986" s="8" t="n">
        <x:v>0</x:v>
      </x:c>
      <x:c r="G1986" s="8" t="n">
        <x:v>0</x:v>
      </x:c>
      <x:c r="H1986" s="8" t="n">
        <x:v>0</x:v>
      </x:c>
      <x:c r="I1986" s="8" t="n">
        <x:v>0</x:v>
      </x:c>
      <x:c r="J1986" s="8" t="n">
        <x:v>0</x:v>
      </x:c>
      <x:c r="K1986" s="8" t="n">
        <x:v>0</x:v>
      </x:c>
      <x:c r="L1986" s="1" t="str">
        <x:v>Нет</x:v>
      </x:c>
      <x:c r="M1986" s="1" t="n">
        <x:v>0</x:v>
      </x:c>
    </x:row>
    <x:row r="1987">
      <x:c r="A1987" s="1" t="str">
        <x:v>211596878</x:v>
      </x:c>
      <x:c r="B1987" s="1" t="str">
        <x:v>kulirkamanprint/MovesY2K-71/молочный</x:v>
      </x:c>
      <x:c r="C1987" s="1" t="str">
        <x:v>Футболки</x:v>
      </x:c>
      <x:c r="D1987" s="9" t="n">
        <x:v>9.7</x:v>
      </x:c>
      <x:c r="E1987" s="8" t="n">
        <x:v>338</x:v>
      </x:c>
      <x:c r="F1987" s="8" t="n">
        <x:v>0</x:v>
      </x:c>
      <x:c r="G1987" s="8" t="n">
        <x:v>0</x:v>
      </x:c>
      <x:c r="H1987" s="8" t="n">
        <x:v>0</x:v>
      </x:c>
      <x:c r="I1987" s="8" t="n">
        <x:v>0</x:v>
      </x:c>
      <x:c r="J1987" s="8" t="n">
        <x:v>0</x:v>
      </x:c>
      <x:c r="K1987" s="8" t="n">
        <x:v>0</x:v>
      </x:c>
      <x:c r="L1987" s="1" t="str">
        <x:v>Нет</x:v>
      </x:c>
      <x:c r="M1987" s="1" t="n">
        <x:v>0</x:v>
      </x:c>
    </x:row>
    <x:row r="1988">
      <x:c r="A1988" s="1" t="str">
        <x:v>211596882</x:v>
      </x:c>
      <x:c r="B1988" s="1" t="str">
        <x:v>kulirkamanprint/RIVERDALE-83/молочный</x:v>
      </x:c>
      <x:c r="C1988" s="1" t="str">
        <x:v>Футболки</x:v>
      </x:c>
      <x:c r="D1988" s="9" t="n">
        <x:v>9.7</x:v>
      </x:c>
      <x:c r="E1988" s="8" t="n">
        <x:v>304</x:v>
      </x:c>
      <x:c r="F1988" s="8" t="n">
        <x:v>0</x:v>
      </x:c>
      <x:c r="G1988" s="8" t="n">
        <x:v>0</x:v>
      </x:c>
      <x:c r="H1988" s="8" t="n">
        <x:v>0</x:v>
      </x:c>
      <x:c r="I1988" s="8" t="n">
        <x:v>0</x:v>
      </x:c>
      <x:c r="J1988" s="8" t="n">
        <x:v>0</x:v>
      </x:c>
      <x:c r="K1988" s="8" t="n">
        <x:v>0</x:v>
      </x:c>
      <x:c r="L1988" s="1" t="str">
        <x:v>Нет</x:v>
      </x:c>
      <x:c r="M1988" s="1" t="n">
        <x:v>0</x:v>
      </x:c>
    </x:row>
    <x:row r="1989">
      <x:c r="A1989" s="1" t="str">
        <x:v>211855712</x:v>
      </x:c>
      <x:c r="B1989" s="1" t="str">
        <x:v>futbolkaprint/CLFSF-87/черный</x:v>
      </x:c>
      <x:c r="C1989" s="1" t="str">
        <x:v>Футболки</x:v>
      </x:c>
      <x:c r="D1989" s="9" t="n">
        <x:v>9.7</x:v>
      </x:c>
      <x:c r="E1989" s="8" t="n">
        <x:v>366</x:v>
      </x:c>
      <x:c r="F1989" s="8" t="n">
        <x:v>0</x:v>
      </x:c>
      <x:c r="G1989" s="8" t="n">
        <x:v>0</x:v>
      </x:c>
      <x:c r="H1989" s="8" t="n">
        <x:v>0</x:v>
      </x:c>
      <x:c r="I1989" s="8" t="n">
        <x:v>0</x:v>
      </x:c>
      <x:c r="J1989" s="8" t="n">
        <x:v>0</x:v>
      </x:c>
      <x:c r="K1989" s="8" t="n">
        <x:v>0</x:v>
      </x:c>
      <x:c r="L1989" s="1" t="str">
        <x:v>Нет</x:v>
      </x:c>
      <x:c r="M1989" s="1" t="n">
        <x:v>0</x:v>
      </x:c>
    </x:row>
    <x:row r="1990">
      <x:c r="A1990" s="1" t="str">
        <x:v>211855713</x:v>
      </x:c>
      <x:c r="B1990" s="1" t="str">
        <x:v>futbolkaprint/SelfLove-88/черный</x:v>
      </x:c>
      <x:c r="C1990" s="1" t="str">
        <x:v>Футболки</x:v>
      </x:c>
      <x:c r="D1990" s="9" t="n">
        <x:v>8.7</x:v>
      </x:c>
      <x:c r="E1990" s="8" t="n">
        <x:v>517</x:v>
      </x:c>
      <x:c r="F1990" s="8" t="n">
        <x:v>0</x:v>
      </x:c>
      <x:c r="G1990" s="8" t="n">
        <x:v>0</x:v>
      </x:c>
      <x:c r="H1990" s="8" t="n">
        <x:v>0</x:v>
      </x:c>
      <x:c r="I1990" s="8" t="n">
        <x:v>0</x:v>
      </x:c>
      <x:c r="J1990" s="8" t="n">
        <x:v>0</x:v>
      </x:c>
      <x:c r="K1990" s="8" t="n">
        <x:v>0</x:v>
      </x:c>
      <x:c r="L1990" s="1" t="str">
        <x:v>Нет</x:v>
      </x:c>
      <x:c r="M1990" s="1" t="n">
        <x:v>0</x:v>
      </x:c>
    </x:row>
    <x:row r="1991">
      <x:c r="A1991" s="1" t="str">
        <x:v>211855717</x:v>
      </x:c>
      <x:c r="B1991" s="1" t="str">
        <x:v>kulirkamanprint/Racing-78/черный</x:v>
      </x:c>
      <x:c r="C1991" s="1" t="str">
        <x:v>Футболки</x:v>
      </x:c>
      <x:c r="D1991" s="9" t="n">
        <x:v>7.7</x:v>
      </x:c>
      <x:c r="E1991" s="8" t="n">
        <x:v>217</x:v>
      </x:c>
      <x:c r="F1991" s="8" t="n">
        <x:v>0</x:v>
      </x:c>
      <x:c r="G1991" s="8" t="n">
        <x:v>0</x:v>
      </x:c>
      <x:c r="H1991" s="8" t="n">
        <x:v>0</x:v>
      </x:c>
      <x:c r="I1991" s="8" t="n">
        <x:v>0</x:v>
      </x:c>
      <x:c r="J1991" s="8" t="n">
        <x:v>0</x:v>
      </x:c>
      <x:c r="K1991" s="8" t="n">
        <x:v>0</x:v>
      </x:c>
      <x:c r="L1991" s="1" t="str">
        <x:v>Нет</x:v>
      </x:c>
      <x:c r="M1991" s="1" t="n">
        <x:v>0</x:v>
      </x:c>
    </x:row>
    <x:row r="1992">
      <x:c r="A1992" s="1" t="str">
        <x:v>212391542</x:v>
      </x:c>
      <x:c r="B1992" s="1" t="str">
        <x:v>hudiman/серый-слоновая кость</x:v>
      </x:c>
      <x:c r="C1992" s="1" t="str">
        <x:v>Худи</x:v>
      </x:c>
      <x:c r="D1992" s="9" t="n">
        <x:v>7.7</x:v>
      </x:c>
      <x:c r="E1992" s="8" t="n">
        <x:v>1</x:v>
      </x:c>
      <x:c r="F1992" s="8" t="n">
        <x:v>0</x:v>
      </x:c>
      <x:c r="G1992" s="8" t="n">
        <x:v>0</x:v>
      </x:c>
      <x:c r="H1992" s="8" t="n">
        <x:v>0</x:v>
      </x:c>
      <x:c r="I1992" s="8" t="n">
        <x:v>0</x:v>
      </x:c>
      <x:c r="J1992" s="8"/>
      <x:c r="K1992" s="8" t="n">
        <x:v>0</x:v>
      </x:c>
      <x:c r="L1992" s="1" t="str">
        <x:v>Нет</x:v>
      </x:c>
      <x:c r="M1992" s="1"/>
    </x:row>
    <x:row r="1993">
      <x:c r="A1993" s="1" t="str">
        <x:v>212442213</x:v>
      </x:c>
      <x:c r="B1993" s="1" t="str">
        <x:v>hudi/серыймеланж-теплый белый</x:v>
      </x:c>
      <x:c r="C1993" s="1" t="str">
        <x:v>Худи</x:v>
      </x:c>
      <x:c r="D1993" s="9" t="n">
        <x:v>7.7</x:v>
      </x:c>
      <x:c r="E1993" s="8" t="n">
        <x:v>4</x:v>
      </x:c>
      <x:c r="F1993" s="8" t="n">
        <x:v>0</x:v>
      </x:c>
      <x:c r="G1993" s="8" t="n">
        <x:v>0</x:v>
      </x:c>
      <x:c r="H1993" s="8" t="n">
        <x:v>0</x:v>
      </x:c>
      <x:c r="I1993" s="8" t="n">
        <x:v>0</x:v>
      </x:c>
      <x:c r="J1993" s="8" t="n">
        <x:v>0</x:v>
      </x:c>
      <x:c r="K1993" s="8" t="n">
        <x:v>0</x:v>
      </x:c>
      <x:c r="L1993" s="1" t="str">
        <x:v>Нет</x:v>
      </x:c>
      <x:c r="M1993" s="1" t="n">
        <x:v>0</x:v>
      </x:c>
    </x:row>
    <x:row r="1994">
      <x:c r="A1994" s="1" t="str">
        <x:v>212947235</x:v>
      </x:c>
      <x:c r="B1994" s="1" t="str">
        <x:v>futbolkaprint/MoreSelf-44/серовато-розовый</x:v>
      </x:c>
      <x:c r="C1994" s="1" t="str">
        <x:v>Футболки</x:v>
      </x:c>
      <x:c r="D1994" s="9" t="n">
        <x:v>5.7</x:v>
      </x:c>
      <x:c r="E1994" s="8" t="n">
        <x:v>0</x:v>
      </x:c>
      <x:c r="F1994" s="8" t="n">
        <x:v>0</x:v>
      </x:c>
      <x:c r="G1994" s="8" t="n">
        <x:v>0</x:v>
      </x:c>
      <x:c r="H1994" s="8" t="n">
        <x:v>0</x:v>
      </x:c>
      <x:c r="I1994" s="8" t="n">
        <x:v>0</x:v>
      </x:c>
      <x:c r="J1994" s="8" t="n">
        <x:v>0</x:v>
      </x:c>
      <x:c r="K1994" s="8" t="n">
        <x:v>0</x:v>
      </x:c>
      <x:c r="L1994" s="1" t="str">
        <x:v>Нет</x:v>
      </x:c>
      <x:c r="M1994" s="1" t="n">
        <x:v>0</x:v>
      </x:c>
    </x:row>
    <x:row r="1995">
      <x:c r="A1995" s="1" t="str">
        <x:v>213001470</x:v>
      </x:c>
      <x:c r="B1995" s="1" t="str">
        <x:v>hudi/серыймеланж-оникс</x:v>
      </x:c>
      <x:c r="C1995" s="1" t="str">
        <x:v>Худи</x:v>
      </x:c>
      <x:c r="D1995" s="9" t="n">
        <x:v>7.7</x:v>
      </x:c>
      <x:c r="E1995" s="8" t="n">
        <x:v>6</x:v>
      </x:c>
      <x:c r="F1995" s="8" t="n">
        <x:v>0</x:v>
      </x:c>
      <x:c r="G1995" s="8" t="n">
        <x:v>0</x:v>
      </x:c>
      <x:c r="H1995" s="8" t="n">
        <x:v>0</x:v>
      </x:c>
      <x:c r="I1995" s="8" t="n">
        <x:v>0</x:v>
      </x:c>
      <x:c r="J1995" s="8" t="n">
        <x:v>0</x:v>
      </x:c>
      <x:c r="K1995" s="8" t="n">
        <x:v>0</x:v>
      </x:c>
      <x:c r="L1995" s="1" t="str">
        <x:v>Нет</x:v>
      </x:c>
      <x:c r="M1995" s="1" t="n">
        <x:v>0</x:v>
      </x:c>
    </x:row>
    <x:row r="1996">
      <x:c r="A1996" s="1" t="str">
        <x:v>214088384</x:v>
      </x:c>
      <x:c r="B1996" s="1" t="str">
        <x:v>futbolkaprint/Movement-98/зелено-серый</x:v>
      </x:c>
      <x:c r="C1996" s="1" t="str">
        <x:v>Футболки</x:v>
      </x:c>
      <x:c r="D1996" s="9" t="n">
        <x:v>5.7</x:v>
      </x:c>
      <x:c r="E1996" s="8" t="n">
        <x:v>0</x:v>
      </x:c>
      <x:c r="F1996" s="8" t="n">
        <x:v>0</x:v>
      </x:c>
      <x:c r="G1996" s="8" t="n">
        <x:v>0</x:v>
      </x:c>
      <x:c r="H1996" s="8" t="n">
        <x:v>0</x:v>
      </x:c>
      <x:c r="I1996" s="8" t="n">
        <x:v>0</x:v>
      </x:c>
      <x:c r="J1996" s="8" t="n">
        <x:v>0</x:v>
      </x:c>
      <x:c r="K1996" s="8" t="n">
        <x:v>0</x:v>
      </x:c>
      <x:c r="L1996" s="1" t="str">
        <x:v>Нет</x:v>
      </x:c>
      <x:c r="M1996" s="1" t="n">
        <x:v>0</x:v>
      </x:c>
    </x:row>
    <x:row r="1997">
      <x:c r="A1997" s="1" t="str">
        <x:v>215422728</x:v>
      </x:c>
      <x:c r="B1997" s="1" t="str">
        <x:v>kulirkamanprint/CALIFORNIA-100/черный</x:v>
      </x:c>
      <x:c r="C1997" s="1" t="str">
        <x:v>Футболки</x:v>
      </x:c>
      <x:c r="D1997" s="9" t="n">
        <x:v>9.7</x:v>
      </x:c>
      <x:c r="E1997" s="8" t="n">
        <x:v>233</x:v>
      </x:c>
      <x:c r="F1997" s="8" t="n">
        <x:v>0</x:v>
      </x:c>
      <x:c r="G1997" s="8" t="n">
        <x:v>0</x:v>
      </x:c>
      <x:c r="H1997" s="8" t="n">
        <x:v>0</x:v>
      </x:c>
      <x:c r="I1997" s="8" t="n">
        <x:v>0</x:v>
      </x:c>
      <x:c r="J1997" s="8" t="n">
        <x:v>0</x:v>
      </x:c>
      <x:c r="K1997" s="8" t="n">
        <x:v>0</x:v>
      </x:c>
      <x:c r="L1997" s="1" t="str">
        <x:v>Нет</x:v>
      </x:c>
      <x:c r="M1997" s="1" t="n">
        <x:v>0</x:v>
      </x:c>
    </x:row>
    <x:row r="1998">
      <x:c r="A1998" s="1" t="str">
        <x:v>215422733</x:v>
      </x:c>
      <x:c r="B1998" s="1" t="str">
        <x:v>kulirkamanprint/Champion-101/черный</x:v>
      </x:c>
      <x:c r="C1998" s="1" t="str">
        <x:v>Футболки</x:v>
      </x:c>
      <x:c r="D1998" s="9" t="n">
        <x:v>9.7</x:v>
      </x:c>
      <x:c r="E1998" s="8" t="n">
        <x:v>290</x:v>
      </x:c>
      <x:c r="F1998" s="8" t="n">
        <x:v>0</x:v>
      </x:c>
      <x:c r="G1998" s="8" t="n">
        <x:v>0</x:v>
      </x:c>
      <x:c r="H1998" s="8" t="n">
        <x:v>0</x:v>
      </x:c>
      <x:c r="I1998" s="8" t="n">
        <x:v>0</x:v>
      </x:c>
      <x:c r="J1998" s="8" t="n">
        <x:v>0</x:v>
      </x:c>
      <x:c r="K1998" s="8" t="n">
        <x:v>0</x:v>
      </x:c>
      <x:c r="L1998" s="1" t="str">
        <x:v>Нет</x:v>
      </x:c>
      <x:c r="M1998" s="1" t="n">
        <x:v>0</x:v>
      </x:c>
    </x:row>
    <x:row r="1999">
      <x:c r="A1999" s="1" t="str">
        <x:v>215422734</x:v>
      </x:c>
      <x:c r="B1999" s="1" t="str">
        <x:v>futbolkaprint/ISTANBUL-107/бежевый</x:v>
      </x:c>
      <x:c r="C1999" s="1" t="str">
        <x:v>Футболки</x:v>
      </x:c>
      <x:c r="D1999" s="9" t="n">
        <x:v>9.7</x:v>
      </x:c>
      <x:c r="E1999" s="8" t="n">
        <x:v>432</x:v>
      </x:c>
      <x:c r="F1999" s="8" t="n">
        <x:v>0</x:v>
      </x:c>
      <x:c r="G1999" s="8" t="n">
        <x:v>0</x:v>
      </x:c>
      <x:c r="H1999" s="8" t="n">
        <x:v>0</x:v>
      </x:c>
      <x:c r="I1999" s="8" t="n">
        <x:v>0</x:v>
      </x:c>
      <x:c r="J1999" s="8" t="n">
        <x:v>1</x:v>
      </x:c>
      <x:c r="K1999" s="8" t="n">
        <x:v>0</x:v>
      </x:c>
      <x:c r="L1999" s="1" t="str">
        <x:v>Нет</x:v>
      </x:c>
      <x:c r="M1999" s="1" t="n">
        <x:v>1200</x:v>
      </x:c>
    </x:row>
    <x:row r="2000">
      <x:c r="A2000" s="1" t="str">
        <x:v>215422758</x:v>
      </x:c>
      <x:c r="B2000" s="1" t="str">
        <x:v>futbolkaprint/PARIS-99/молочный</x:v>
      </x:c>
      <x:c r="C2000" s="1" t="str">
        <x:v>Футболки</x:v>
      </x:c>
      <x:c r="D2000" s="9" t="n">
        <x:v>7.7</x:v>
      </x:c>
      <x:c r="E2000" s="8" t="n">
        <x:v>526</x:v>
      </x:c>
      <x:c r="F2000" s="8" t="n">
        <x:v>0</x:v>
      </x:c>
      <x:c r="G2000" s="8" t="n">
        <x:v>0</x:v>
      </x:c>
      <x:c r="H2000" s="8" t="n">
        <x:v>0</x:v>
      </x:c>
      <x:c r="I2000" s="8" t="n">
        <x:v>0</x:v>
      </x:c>
      <x:c r="J2000" s="8" t="n">
        <x:v>0</x:v>
      </x:c>
      <x:c r="K2000" s="8" t="n">
        <x:v>0</x:v>
      </x:c>
      <x:c r="L2000" s="1" t="str">
        <x:v>Нет</x:v>
      </x:c>
      <x:c r="M2000" s="1" t="n">
        <x:v>0</x:v>
      </x:c>
    </x:row>
    <x:row r="2001">
      <x:c r="A2001" s="1" t="str">
        <x:v>215460015</x:v>
      </x:c>
      <x:c r="B2001" s="1" t="str">
        <x:v>2xnitkamanshort/светло-зеленый</x:v>
      </x:c>
      <x:c r="C2001" s="1" t="str">
        <x:v>Костюмы спортивные</x:v>
      </x:c>
      <x:c r="D2001" s="9" t="n">
        <x:v>8.7</x:v>
      </x:c>
      <x:c r="E2001" s="8" t="n">
        <x:v>624</x:v>
      </x:c>
      <x:c r="F2001" s="8" t="n">
        <x:v>0</x:v>
      </x:c>
      <x:c r="G2001" s="8" t="n">
        <x:v>0</x:v>
      </x:c>
      <x:c r="H2001" s="8" t="n">
        <x:v>0</x:v>
      </x:c>
      <x:c r="I2001" s="8" t="n">
        <x:v>0</x:v>
      </x:c>
      <x:c r="J2001" s="8" t="n">
        <x:v>0</x:v>
      </x:c>
      <x:c r="K2001" s="8" t="n">
        <x:v>0</x:v>
      </x:c>
      <x:c r="L2001" s="1" t="str">
        <x:v>Нет</x:v>
      </x:c>
      <x:c r="M2001" s="1" t="n">
        <x:v>0</x:v>
      </x:c>
    </x:row>
    <x:row r="2002">
      <x:c r="A2002" s="1" t="str">
        <x:v>215460068</x:v>
      </x:c>
      <x:c r="B2002" s="1" t="str">
        <x:v>2xnitkamanshort/серыймеланж</x:v>
      </x:c>
      <x:c r="C2002" s="1" t="str">
        <x:v>Костюмы спортивные</x:v>
      </x:c>
      <x:c r="D2002" s="9" t="n">
        <x:v>6.7</x:v>
      </x:c>
      <x:c r="E2002" s="8" t="n">
        <x:v>561</x:v>
      </x:c>
      <x:c r="F2002" s="8" t="n">
        <x:v>0</x:v>
      </x:c>
      <x:c r="G2002" s="8" t="n">
        <x:v>0</x:v>
      </x:c>
      <x:c r="H2002" s="8" t="n">
        <x:v>2</x:v>
      </x:c>
      <x:c r="I2002" s="8" t="n">
        <x:v>0</x:v>
      </x:c>
      <x:c r="J2002" s="8" t="n">
        <x:v>0</x:v>
      </x:c>
      <x:c r="K2002" s="8" t="n">
        <x:v>0</x:v>
      </x:c>
      <x:c r="L2002" s="1" t="str">
        <x:v>Нет</x:v>
      </x:c>
      <x:c r="M2002" s="1" t="n">
        <x:v>0</x:v>
      </x:c>
    </x:row>
    <x:row r="2003">
      <x:c r="A2003" s="1" t="str">
        <x:v>215639730</x:v>
      </x:c>
      <x:c r="B2003" s="1" t="str">
        <x:v>2xnitkaman/молочный-белый шоколад</x:v>
      </x:c>
      <x:c r="C2003" s="1" t="str">
        <x:v>Костюмы спортивные</x:v>
      </x:c>
      <x:c r="D2003" s="9" t="n">
        <x:v>4.7</x:v>
      </x:c>
      <x:c r="E2003" s="8" t="n">
        <x:v>1</x:v>
      </x:c>
      <x:c r="F2003" s="8" t="n">
        <x:v>0</x:v>
      </x:c>
      <x:c r="G2003" s="8" t="n">
        <x:v>0</x:v>
      </x:c>
      <x:c r="H2003" s="8" t="n">
        <x:v>0</x:v>
      </x:c>
      <x:c r="I2003" s="8" t="n">
        <x:v>0</x:v>
      </x:c>
      <x:c r="J2003" s="8" t="n">
        <x:v>0</x:v>
      </x:c>
      <x:c r="K2003" s="8" t="n">
        <x:v>0</x:v>
      </x:c>
      <x:c r="L2003" s="1" t="str">
        <x:v>Нет</x:v>
      </x:c>
      <x:c r="M2003" s="1" t="n">
        <x:v>0</x:v>
      </x:c>
    </x:row>
    <x:row r="2004">
      <x:c r="A2004" s="1" t="str">
        <x:v>216135568</x:v>
      </x:c>
      <x:c r="B2004" s="1" t="str">
        <x:v>2xnitkamanshort/темно-серый</x:v>
      </x:c>
      <x:c r="C2004" s="1" t="str">
        <x:v>Костюмы спортивные</x:v>
      </x:c>
      <x:c r="D2004" s="9" t="n">
        <x:v>6.7</x:v>
      </x:c>
      <x:c r="E2004" s="8" t="n">
        <x:v>612</x:v>
      </x:c>
      <x:c r="F2004" s="8" t="n">
        <x:v>0</x:v>
      </x:c>
      <x:c r="G2004" s="8" t="n">
        <x:v>0</x:v>
      </x:c>
      <x:c r="H2004" s="8" t="n">
        <x:v>0</x:v>
      </x:c>
      <x:c r="I2004" s="8" t="n">
        <x:v>0</x:v>
      </x:c>
      <x:c r="J2004" s="8" t="n">
        <x:v>0</x:v>
      </x:c>
      <x:c r="K2004" s="8" t="n">
        <x:v>0</x:v>
      </x:c>
      <x:c r="L2004" s="1" t="str">
        <x:v>Нет</x:v>
      </x:c>
      <x:c r="M2004" s="1" t="n">
        <x:v>0</x:v>
      </x:c>
    </x:row>
    <x:row r="2005">
      <x:c r="A2005" s="1" t="str">
        <x:v>21665638</x:v>
      </x:c>
      <x:c r="B2005" s="1" t="str">
        <x:v>hudipetlyaaa/черный</x:v>
      </x:c>
      <x:c r="C2005" s="1" t="str">
        <x:v>Худи</x:v>
      </x:c>
      <x:c r="D2005" s="9" t="n">
        <x:v>7.7</x:v>
      </x:c>
      <x:c r="E2005" s="8" t="n">
        <x:v>10</x:v>
      </x:c>
      <x:c r="F2005" s="8" t="n">
        <x:v>0</x:v>
      </x:c>
      <x:c r="G2005" s="8" t="n">
        <x:v>0</x:v>
      </x:c>
      <x:c r="H2005" s="8" t="n">
        <x:v>0</x:v>
      </x:c>
      <x:c r="I2005" s="8" t="n">
        <x:v>0</x:v>
      </x:c>
      <x:c r="J2005" s="8" t="n">
        <x:v>2</x:v>
      </x:c>
      <x:c r="K2005" s="8" t="n">
        <x:v>0</x:v>
      </x:c>
      <x:c r="L2005" s="1" t="str">
        <x:v>Нет</x:v>
      </x:c>
      <x:c r="M2005" s="1" t="n">
        <x:v>2568</x:v>
      </x:c>
    </x:row>
    <x:row r="2006">
      <x:c r="A2006" s="1" t="str">
        <x:v>216665883</x:v>
      </x:c>
      <x:c r="B2006" s="1" t="str">
        <x:v>2Nfutbolkaman/серыймеланж</x:v>
      </x:c>
      <x:c r="C2006" s="1" t="str">
        <x:v>Футболки</x:v>
      </x:c>
      <x:c r="D2006" s="9" t="n">
        <x:v>6.4</x:v>
      </x:c>
      <x:c r="E2006" s="8" t="n">
        <x:v>818</x:v>
      </x:c>
      <x:c r="F2006" s="8" t="n">
        <x:v>0</x:v>
      </x:c>
      <x:c r="G2006" s="8" t="n">
        <x:v>0</x:v>
      </x:c>
      <x:c r="H2006" s="8" t="n">
        <x:v>0</x:v>
      </x:c>
      <x:c r="I2006" s="8" t="n">
        <x:v>0</x:v>
      </x:c>
      <x:c r="J2006" s="8" t="n">
        <x:v>2</x:v>
      </x:c>
      <x:c r="K2006" s="8" t="n">
        <x:v>0</x:v>
      </x:c>
      <x:c r="L2006" s="1" t="str">
        <x:v>Нет</x:v>
      </x:c>
      <x:c r="M2006" s="1" t="n">
        <x:v>2200</x:v>
      </x:c>
    </x:row>
    <x:row r="2007">
      <x:c r="A2007" s="1" t="str">
        <x:v>216665884</x:v>
      </x:c>
      <x:c r="B2007" s="1" t="str">
        <x:v>2Nfutbolkaman/синий</x:v>
      </x:c>
      <x:c r="C2007" s="1" t="str">
        <x:v>Футболки</x:v>
      </x:c>
      <x:c r="D2007" s="9" t="n">
        <x:v>8.4</x:v>
      </x:c>
      <x:c r="E2007" s="8" t="n">
        <x:v>947</x:v>
      </x:c>
      <x:c r="F2007" s="8" t="n">
        <x:v>1</x:v>
      </x:c>
      <x:c r="G2007" s="8" t="n">
        <x:v>0</x:v>
      </x:c>
      <x:c r="H2007" s="8" t="n">
        <x:v>1</x:v>
      </x:c>
      <x:c r="I2007" s="8" t="n">
        <x:v>0</x:v>
      </x:c>
      <x:c r="J2007" s="8" t="n">
        <x:v>2</x:v>
      </x:c>
      <x:c r="K2007" s="8" t="n">
        <x:v>1270</x:v>
      </x:c>
      <x:c r="L2007" s="1" t="str">
        <x:v>Нет</x:v>
      </x:c>
      <x:c r="M2007" s="1" t="n">
        <x:v>1270</x:v>
      </x:c>
    </x:row>
    <x:row r="2008">
      <x:c r="A2008" s="1" t="str">
        <x:v>217879611</x:v>
      </x:c>
      <x:c r="B2008" s="1" t="str">
        <x:v>2NshortymanX2/чер-син</x:v>
      </x:c>
      <x:c r="C2008" s="1" t="str">
        <x:v>Шорты</x:v>
      </x:c>
      <x:c r="D2008" s="9" t="n">
        <x:v>8.4</x:v>
      </x:c>
      <x:c r="E2008" s="8" t="n">
        <x:v>349</x:v>
      </x:c>
      <x:c r="F2008" s="8" t="n">
        <x:v>0</x:v>
      </x:c>
      <x:c r="G2008" s="8" t="n">
        <x:v>0</x:v>
      </x:c>
      <x:c r="H2008" s="8" t="n">
        <x:v>0</x:v>
      </x:c>
      <x:c r="I2008" s="8" t="n">
        <x:v>0</x:v>
      </x:c>
      <x:c r="J2008" s="8" t="n">
        <x:v>0</x:v>
      </x:c>
      <x:c r="K2008" s="8" t="n">
        <x:v>0</x:v>
      </x:c>
      <x:c r="L2008" s="1" t="str">
        <x:v>Нет</x:v>
      </x:c>
      <x:c r="M2008" s="1" t="n">
        <x:v>0</x:v>
      </x:c>
    </x:row>
    <x:row r="2009">
      <x:c r="A2009" s="1" t="str">
        <x:v>217879619</x:v>
      </x:c>
      <x:c r="B2009" s="1" t="str">
        <x:v>2NshortymanX2/чер-сзел</x:v>
      </x:c>
      <x:c r="C2009" s="1" t="str">
        <x:v>Шорты</x:v>
      </x:c>
      <x:c r="D2009" s="9" t="n">
        <x:v>8.4</x:v>
      </x:c>
      <x:c r="E2009" s="8" t="n">
        <x:v>316</x:v>
      </x:c>
      <x:c r="F2009" s="8" t="n">
        <x:v>0</x:v>
      </x:c>
      <x:c r="G2009" s="8" t="n">
        <x:v>0</x:v>
      </x:c>
      <x:c r="H2009" s="8" t="n">
        <x:v>0</x:v>
      </x:c>
      <x:c r="I2009" s="8" t="n">
        <x:v>0</x:v>
      </x:c>
      <x:c r="J2009" s="8" t="n">
        <x:v>0</x:v>
      </x:c>
      <x:c r="K2009" s="8" t="n">
        <x:v>0</x:v>
      </x:c>
      <x:c r="L2009" s="1" t="str">
        <x:v>Нет</x:v>
      </x:c>
      <x:c r="M2009" s="1" t="n">
        <x:v>0</x:v>
      </x:c>
    </x:row>
    <x:row r="2010">
      <x:c r="A2010" s="1" t="str">
        <x:v>218017366</x:v>
      </x:c>
      <x:c r="B2010" s="1" t="str">
        <x:v>svitshotzip1/темно-серый-серо-черный</x:v>
      </x:c>
      <x:c r="C2010" s="1" t="str">
        <x:v>Свитшоты</x:v>
      </x:c>
      <x:c r="D2010" s="9" t="n">
        <x:v>4.7</x:v>
      </x:c>
      <x:c r="E2010" s="8" t="n">
        <x:v>84</x:v>
      </x:c>
      <x:c r="F2010" s="8" t="n">
        <x:v>0</x:v>
      </x:c>
      <x:c r="G2010" s="8" t="n">
        <x:v>0</x:v>
      </x:c>
      <x:c r="H2010" s="8" t="n">
        <x:v>0</x:v>
      </x:c>
      <x:c r="I2010" s="8" t="n">
        <x:v>0</x:v>
      </x:c>
      <x:c r="J2010" s="8" t="n">
        <x:v>0</x:v>
      </x:c>
      <x:c r="K2010" s="8" t="n">
        <x:v>0</x:v>
      </x:c>
      <x:c r="L2010" s="1" t="str">
        <x:v>Нет</x:v>
      </x:c>
      <x:c r="M2010" s="1" t="n">
        <x:v>0</x:v>
      </x:c>
    </x:row>
    <x:row r="2011">
      <x:c r="A2011" s="1" t="str">
        <x:v>218733338</x:v>
      </x:c>
      <x:c r="B2011" s="1" t="str">
        <x:v>shortycrop/белый</x:v>
      </x:c>
      <x:c r="C2011" s="1" t="str">
        <x:v>Шорты</x:v>
      </x:c>
      <x:c r="D2011" s="9" t="n">
        <x:v>5.9</x:v>
      </x:c>
      <x:c r="E2011" s="8" t="n">
        <x:v>68</x:v>
      </x:c>
      <x:c r="F2011" s="8" t="n">
        <x:v>0</x:v>
      </x:c>
      <x:c r="G2011" s="8" t="n">
        <x:v>0</x:v>
      </x:c>
      <x:c r="H2011" s="8" t="n">
        <x:v>0</x:v>
      </x:c>
      <x:c r="I2011" s="8" t="n">
        <x:v>0</x:v>
      </x:c>
      <x:c r="J2011" s="8" t="n">
        <x:v>0</x:v>
      </x:c>
      <x:c r="K2011" s="8" t="n">
        <x:v>0</x:v>
      </x:c>
      <x:c r="L2011" s="1" t="str">
        <x:v>Нет</x:v>
      </x:c>
      <x:c r="M2011" s="1" t="n">
        <x:v>0</x:v>
      </x:c>
    </x:row>
    <x:row r="2012">
      <x:c r="A2012" s="1" t="str">
        <x:v>218743053</x:v>
      </x:c>
      <x:c r="B2012" s="1" t="str">
        <x:v>shortycrop/голубой</x:v>
      </x:c>
      <x:c r="C2012" s="1" t="str">
        <x:v>Шорты</x:v>
      </x:c>
      <x:c r="D2012" s="9" t="n">
        <x:v>7.9</x:v>
      </x:c>
      <x:c r="E2012" s="8" t="n">
        <x:v>114</x:v>
      </x:c>
      <x:c r="F2012" s="8" t="n">
        <x:v>1</x:v>
      </x:c>
      <x:c r="G2012" s="8" t="n">
        <x:v>0</x:v>
      </x:c>
      <x:c r="H2012" s="8" t="n">
        <x:v>0</x:v>
      </x:c>
      <x:c r="I2012" s="8" t="n">
        <x:v>0</x:v>
      </x:c>
      <x:c r="J2012" s="8" t="n">
        <x:v>0</x:v>
      </x:c>
      <x:c r="K2012" s="8" t="n">
        <x:v>700</x:v>
      </x:c>
      <x:c r="L2012" s="1" t="str">
        <x:v>Нет</x:v>
      </x:c>
      <x:c r="M2012" s="1" t="n">
        <x:v>0</x:v>
      </x:c>
    </x:row>
    <x:row r="2013">
      <x:c r="A2013" s="1" t="str">
        <x:v>218743054</x:v>
      </x:c>
      <x:c r="B2013" s="1" t="str">
        <x:v>shortycrop/какао</x:v>
      </x:c>
      <x:c r="C2013" s="1" t="str">
        <x:v>Шорты</x:v>
      </x:c>
      <x:c r="D2013" s="9" t="n">
        <x:v>7.9</x:v>
      </x:c>
      <x:c r="E2013" s="8" t="n">
        <x:v>83</x:v>
      </x:c>
      <x:c r="F2013" s="8" t="n">
        <x:v>0</x:v>
      </x:c>
      <x:c r="G2013" s="8" t="n">
        <x:v>0</x:v>
      </x:c>
      <x:c r="H2013" s="8" t="n">
        <x:v>0</x:v>
      </x:c>
      <x:c r="I2013" s="8" t="n">
        <x:v>0</x:v>
      </x:c>
      <x:c r="J2013" s="8" t="n">
        <x:v>0</x:v>
      </x:c>
      <x:c r="K2013" s="8" t="n">
        <x:v>0</x:v>
      </x:c>
      <x:c r="L2013" s="1" t="str">
        <x:v>Нет</x:v>
      </x:c>
      <x:c r="M2013" s="1" t="n">
        <x:v>0</x:v>
      </x:c>
    </x:row>
    <x:row r="2014">
      <x:c r="A2014" s="1" t="str">
        <x:v>218743055</x:v>
      </x:c>
      <x:c r="B2014" s="1" t="str">
        <x:v>shortycrop/дымка</x:v>
      </x:c>
      <x:c r="C2014" s="1" t="str">
        <x:v>Шорты</x:v>
      </x:c>
      <x:c r="D2014" s="9" t="n">
        <x:v>5.9</x:v>
      </x:c>
      <x:c r="E2014" s="8" t="n">
        <x:v>106</x:v>
      </x:c>
      <x:c r="F2014" s="8" t="n">
        <x:v>0</x:v>
      </x:c>
      <x:c r="G2014" s="8" t="n">
        <x:v>0</x:v>
      </x:c>
      <x:c r="H2014" s="8" t="n">
        <x:v>0</x:v>
      </x:c>
      <x:c r="I2014" s="8" t="n">
        <x:v>0</x:v>
      </x:c>
      <x:c r="J2014" s="8" t="n">
        <x:v>0</x:v>
      </x:c>
      <x:c r="K2014" s="8" t="n">
        <x:v>0</x:v>
      </x:c>
      <x:c r="L2014" s="1" t="str">
        <x:v>Нет</x:v>
      </x:c>
      <x:c r="M2014" s="1" t="n">
        <x:v>0</x:v>
      </x:c>
    </x:row>
    <x:row r="2015">
      <x:c r="A2015" s="1" t="str">
        <x:v>218743056</x:v>
      </x:c>
      <x:c r="B2015" s="1" t="str">
        <x:v>shortycrop/черный</x:v>
      </x:c>
      <x:c r="C2015" s="1" t="str">
        <x:v>Шорты</x:v>
      </x:c>
      <x:c r="D2015" s="9" t="n">
        <x:v>5.9</x:v>
      </x:c>
      <x:c r="E2015" s="8" t="n">
        <x:v>138</x:v>
      </x:c>
      <x:c r="F2015" s="8" t="n">
        <x:v>0</x:v>
      </x:c>
      <x:c r="G2015" s="8" t="n">
        <x:v>0</x:v>
      </x:c>
      <x:c r="H2015" s="8" t="n">
        <x:v>0</x:v>
      </x:c>
      <x:c r="I2015" s="8" t="n">
        <x:v>0</x:v>
      </x:c>
      <x:c r="J2015" s="8" t="n">
        <x:v>0</x:v>
      </x:c>
      <x:c r="K2015" s="8" t="n">
        <x:v>0</x:v>
      </x:c>
      <x:c r="L2015" s="1" t="str">
        <x:v>Нет</x:v>
      </x:c>
      <x:c r="M2015" s="1" t="n">
        <x:v>0</x:v>
      </x:c>
    </x:row>
    <x:row r="2016">
      <x:c r="A2016" s="1" t="str">
        <x:v>218743058</x:v>
      </x:c>
      <x:c r="B2016" s="1" t="str">
        <x:v>shortycrop/фуксия</x:v>
      </x:c>
      <x:c r="C2016" s="1" t="str">
        <x:v>Шорты</x:v>
      </x:c>
      <x:c r="D2016" s="9" t="n">
        <x:v>5.9</x:v>
      </x:c>
      <x:c r="E2016" s="8" t="n">
        <x:v>86</x:v>
      </x:c>
      <x:c r="F2016" s="8" t="n">
        <x:v>0</x:v>
      </x:c>
      <x:c r="G2016" s="8" t="n">
        <x:v>0</x:v>
      </x:c>
      <x:c r="H2016" s="8" t="n">
        <x:v>0</x:v>
      </x:c>
      <x:c r="I2016" s="8" t="n">
        <x:v>0</x:v>
      </x:c>
      <x:c r="J2016" s="8" t="n">
        <x:v>0</x:v>
      </x:c>
      <x:c r="K2016" s="8" t="n">
        <x:v>0</x:v>
      </x:c>
      <x:c r="L2016" s="1" t="str">
        <x:v>Нет</x:v>
      </x:c>
      <x:c r="M2016" s="1" t="n">
        <x:v>0</x:v>
      </x:c>
    </x:row>
    <x:row r="2017">
      <x:c r="A2017" s="1" t="str">
        <x:v>218743059</x:v>
      </x:c>
      <x:c r="B2017" s="1" t="str">
        <x:v>shortycrop/молочный</x:v>
      </x:c>
      <x:c r="C2017" s="1" t="str">
        <x:v>Шорты</x:v>
      </x:c>
      <x:c r="D2017" s="9" t="n">
        <x:v>5.9</x:v>
      </x:c>
      <x:c r="E2017" s="8" t="n">
        <x:v>58</x:v>
      </x:c>
      <x:c r="F2017" s="8" t="n">
        <x:v>0</x:v>
      </x:c>
      <x:c r="G2017" s="8" t="n">
        <x:v>0</x:v>
      </x:c>
      <x:c r="H2017" s="8" t="n">
        <x:v>0</x:v>
      </x:c>
      <x:c r="I2017" s="8" t="n">
        <x:v>0</x:v>
      </x:c>
      <x:c r="J2017" s="8" t="n">
        <x:v>0</x:v>
      </x:c>
      <x:c r="K2017" s="8" t="n">
        <x:v>0</x:v>
      </x:c>
      <x:c r="L2017" s="1" t="str">
        <x:v>Нет</x:v>
      </x:c>
      <x:c r="M2017" s="1" t="n">
        <x:v>0</x:v>
      </x:c>
    </x:row>
    <x:row r="2018">
      <x:c r="A2018" s="1" t="str">
        <x:v>219490909</x:v>
      </x:c>
      <x:c r="B2018" s="1" t="str">
        <x:v>futbolkaprint/BROOKLYN-77/черный</x:v>
      </x:c>
      <x:c r="C2018" s="1" t="str">
        <x:v>Футболки</x:v>
      </x:c>
      <x:c r="D2018" s="9" t="n">
        <x:v>9.7</x:v>
      </x:c>
      <x:c r="E2018" s="8" t="n">
        <x:v>183</x:v>
      </x:c>
      <x:c r="F2018" s="8" t="n">
        <x:v>0</x:v>
      </x:c>
      <x:c r="G2018" s="8" t="n">
        <x:v>0</x:v>
      </x:c>
      <x:c r="H2018" s="8" t="n">
        <x:v>0</x:v>
      </x:c>
      <x:c r="I2018" s="8" t="n">
        <x:v>0</x:v>
      </x:c>
      <x:c r="J2018" s="8" t="n">
        <x:v>0</x:v>
      </x:c>
      <x:c r="K2018" s="8" t="n">
        <x:v>0</x:v>
      </x:c>
      <x:c r="L2018" s="1" t="str">
        <x:v>Нет</x:v>
      </x:c>
      <x:c r="M2018" s="1" t="n">
        <x:v>0</x:v>
      </x:c>
    </x:row>
    <x:row r="2019">
      <x:c r="A2019" s="1" t="str">
        <x:v>219490953</x:v>
      </x:c>
      <x:c r="B2019" s="1" t="str">
        <x:v>futbolkaprint/MovesBrand-97/черный</x:v>
      </x:c>
      <x:c r="C2019" s="1" t="str">
        <x:v>Футболки</x:v>
      </x:c>
      <x:c r="D2019" s="9" t="n">
        <x:v>5.7</x:v>
      </x:c>
      <x:c r="E2019" s="8" t="n">
        <x:v>0</x:v>
      </x:c>
      <x:c r="F2019" s="8" t="n">
        <x:v>0</x:v>
      </x:c>
      <x:c r="G2019" s="8" t="n">
        <x:v>0</x:v>
      </x:c>
      <x:c r="H2019" s="8" t="n">
        <x:v>0</x:v>
      </x:c>
      <x:c r="I2019" s="8" t="n">
        <x:v>0</x:v>
      </x:c>
      <x:c r="J2019" s="8" t="n">
        <x:v>0</x:v>
      </x:c>
      <x:c r="K2019" s="8" t="n">
        <x:v>0</x:v>
      </x:c>
      <x:c r="L2019" s="1" t="str">
        <x:v>Нет</x:v>
      </x:c>
      <x:c r="M2019" s="1" t="n">
        <x:v>0</x:v>
      </x:c>
    </x:row>
    <x:row r="2020">
      <x:c r="A2020" s="1" t="str">
        <x:v>219575644</x:v>
      </x:c>
      <x:c r="B2020" s="1" t="str">
        <x:v>bazaprint/Prosecco2-112/молочный</x:v>
      </x:c>
      <x:c r="C2020" s="1" t="str">
        <x:v>Футболки</x:v>
      </x:c>
      <x:c r="D2020" s="9" t="n">
        <x:v>9.7</x:v>
      </x:c>
      <x:c r="E2020" s="8" t="n">
        <x:v>123</x:v>
      </x:c>
      <x:c r="F2020" s="8" t="n">
        <x:v>0</x:v>
      </x:c>
      <x:c r="G2020" s="8" t="n">
        <x:v>0</x:v>
      </x:c>
      <x:c r="H2020" s="8" t="n">
        <x:v>0</x:v>
      </x:c>
      <x:c r="I2020" s="8" t="n">
        <x:v>0</x:v>
      </x:c>
      <x:c r="J2020" s="8" t="n">
        <x:v>0</x:v>
      </x:c>
      <x:c r="K2020" s="8" t="n">
        <x:v>0</x:v>
      </x:c>
      <x:c r="L2020" s="1" t="str">
        <x:v>Нет</x:v>
      </x:c>
      <x:c r="M2020" s="1" t="n">
        <x:v>0</x:v>
      </x:c>
    </x:row>
    <x:row r="2021">
      <x:c r="A2021" s="1" t="str">
        <x:v>219576891</x:v>
      </x:c>
      <x:c r="B2021" s="1" t="str">
        <x:v>futbolkaprint/Prosecco1-111/молочный</x:v>
      </x:c>
      <x:c r="C2021" s="1" t="str">
        <x:v>Футболки</x:v>
      </x:c>
      <x:c r="D2021" s="9" t="n">
        <x:v>7.7</x:v>
      </x:c>
      <x:c r="E2021" s="8" t="n">
        <x:v>511</x:v>
      </x:c>
      <x:c r="F2021" s="8" t="n">
        <x:v>0</x:v>
      </x:c>
      <x:c r="G2021" s="8" t="n">
        <x:v>0</x:v>
      </x:c>
      <x:c r="H2021" s="8" t="n">
        <x:v>0</x:v>
      </x:c>
      <x:c r="I2021" s="8" t="n">
        <x:v>0</x:v>
      </x:c>
      <x:c r="J2021" s="8" t="n">
        <x:v>0</x:v>
      </x:c>
      <x:c r="K2021" s="8" t="n">
        <x:v>0</x:v>
      </x:c>
      <x:c r="L2021" s="1" t="str">
        <x:v>Нет</x:v>
      </x:c>
      <x:c r="M2021" s="1" t="n">
        <x:v>0</x:v>
      </x:c>
    </x:row>
    <x:row r="2022">
      <x:c r="A2022" s="1" t="str">
        <x:v>219796823</x:v>
      </x:c>
      <x:c r="B2022" s="1" t="str">
        <x:v>kulirkamanprint/Colorado-72/дымка</x:v>
      </x:c>
      <x:c r="C2022" s="1" t="str">
        <x:v>Футболки</x:v>
      </x:c>
      <x:c r="D2022" s="9" t="n">
        <x:v>7.7</x:v>
      </x:c>
      <x:c r="E2022" s="8" t="n">
        <x:v>299</x:v>
      </x:c>
      <x:c r="F2022" s="8" t="n">
        <x:v>0</x:v>
      </x:c>
      <x:c r="G2022" s="8" t="n">
        <x:v>0</x:v>
      </x:c>
      <x:c r="H2022" s="8" t="n">
        <x:v>0</x:v>
      </x:c>
      <x:c r="I2022" s="8" t="n">
        <x:v>0</x:v>
      </x:c>
      <x:c r="J2022" s="8" t="n">
        <x:v>0</x:v>
      </x:c>
      <x:c r="K2022" s="8" t="n">
        <x:v>0</x:v>
      </x:c>
      <x:c r="L2022" s="1" t="str">
        <x:v>Нет</x:v>
      </x:c>
      <x:c r="M2022" s="1" t="n">
        <x:v>0</x:v>
      </x:c>
    </x:row>
    <x:row r="2023">
      <x:c r="A2023" s="1" t="str">
        <x:v>219796825</x:v>
      </x:c>
      <x:c r="B2023" s="1" t="str">
        <x:v>kulirkamanprint/Colorado-72/молочный</x:v>
      </x:c>
      <x:c r="C2023" s="1" t="str">
        <x:v>Футболки</x:v>
      </x:c>
      <x:c r="D2023" s="9" t="n">
        <x:v>7.7</x:v>
      </x:c>
      <x:c r="E2023" s="8" t="n">
        <x:v>233</x:v>
      </x:c>
      <x:c r="F2023" s="8" t="n">
        <x:v>0</x:v>
      </x:c>
      <x:c r="G2023" s="8" t="n">
        <x:v>0</x:v>
      </x:c>
      <x:c r="H2023" s="8" t="n">
        <x:v>0</x:v>
      </x:c>
      <x:c r="I2023" s="8" t="n">
        <x:v>0</x:v>
      </x:c>
      <x:c r="J2023" s="8" t="n">
        <x:v>0</x:v>
      </x:c>
      <x:c r="K2023" s="8" t="n">
        <x:v>0</x:v>
      </x:c>
      <x:c r="L2023" s="1" t="str">
        <x:v>Нет</x:v>
      </x:c>
      <x:c r="M2023" s="1" t="n">
        <x:v>0</x:v>
      </x:c>
    </x:row>
    <x:row r="2024">
      <x:c r="A2024" s="1" t="str">
        <x:v>220118007</x:v>
      </x:c>
      <x:c r="B2024" s="1" t="str">
        <x:v>futbolkaprint/MCollection-103/дымка</x:v>
      </x:c>
      <x:c r="C2024" s="1" t="str">
        <x:v>Футболки</x:v>
      </x:c>
      <x:c r="D2024" s="9" t="n">
        <x:v>9.7</x:v>
      </x:c>
      <x:c r="E2024" s="8" t="n">
        <x:v>307</x:v>
      </x:c>
      <x:c r="F2024" s="8" t="n">
        <x:v>0</x:v>
      </x:c>
      <x:c r="G2024" s="8" t="n">
        <x:v>0</x:v>
      </x:c>
      <x:c r="H2024" s="8" t="n">
        <x:v>0</x:v>
      </x:c>
      <x:c r="I2024" s="8" t="n">
        <x:v>0</x:v>
      </x:c>
      <x:c r="J2024" s="8" t="n">
        <x:v>0</x:v>
      </x:c>
      <x:c r="K2024" s="8" t="n">
        <x:v>0</x:v>
      </x:c>
      <x:c r="L2024" s="1" t="str">
        <x:v>Нет</x:v>
      </x:c>
      <x:c r="M2024" s="1" t="n">
        <x:v>0</x:v>
      </x:c>
    </x:row>
    <x:row r="2025">
      <x:c r="A2025" s="1" t="str">
        <x:v>220157442</x:v>
      </x:c>
      <x:c r="B2025" s="1" t="str">
        <x:v>futbolkaprint/BRKcursive-123/коричневый</x:v>
      </x:c>
      <x:c r="C2025" s="1" t="str">
        <x:v>Футболки</x:v>
      </x:c>
      <x:c r="D2025" s="9" t="n">
        <x:v>9.7</x:v>
      </x:c>
      <x:c r="E2025" s="8" t="n">
        <x:v>340</x:v>
      </x:c>
      <x:c r="F2025" s="8" t="n">
        <x:v>0</x:v>
      </x:c>
      <x:c r="G2025" s="8" t="n">
        <x:v>0</x:v>
      </x:c>
      <x:c r="H2025" s="8" t="n">
        <x:v>0</x:v>
      </x:c>
      <x:c r="I2025" s="8" t="n">
        <x:v>0</x:v>
      </x:c>
      <x:c r="J2025" s="8" t="n">
        <x:v>0</x:v>
      </x:c>
      <x:c r="K2025" s="8" t="n">
        <x:v>0</x:v>
      </x:c>
      <x:c r="L2025" s="1" t="str">
        <x:v>Нет</x:v>
      </x:c>
      <x:c r="M2025" s="1" t="n">
        <x:v>0</x:v>
      </x:c>
    </x:row>
    <x:row r="2026">
      <x:c r="A2026" s="1" t="str">
        <x:v>220157446</x:v>
      </x:c>
      <x:c r="B2026" s="1" t="str">
        <x:v>futbolkaprint/Miami-122/фуксия</x:v>
      </x:c>
      <x:c r="C2026" s="1" t="str">
        <x:v>Футболки</x:v>
      </x:c>
      <x:c r="D2026" s="9" t="n">
        <x:v>9.7</x:v>
      </x:c>
      <x:c r="E2026" s="8" t="n">
        <x:v>409</x:v>
      </x:c>
      <x:c r="F2026" s="8" t="n">
        <x:v>0</x:v>
      </x:c>
      <x:c r="G2026" s="8" t="n">
        <x:v>0</x:v>
      </x:c>
      <x:c r="H2026" s="8" t="n">
        <x:v>0</x:v>
      </x:c>
      <x:c r="I2026" s="8" t="n">
        <x:v>0</x:v>
      </x:c>
      <x:c r="J2026" s="8" t="n">
        <x:v>0</x:v>
      </x:c>
      <x:c r="K2026" s="8" t="n">
        <x:v>0</x:v>
      </x:c>
      <x:c r="L2026" s="1" t="str">
        <x:v>Нет</x:v>
      </x:c>
      <x:c r="M2026" s="1" t="n">
        <x:v>0</x:v>
      </x:c>
    </x:row>
    <x:row r="2027">
      <x:c r="A2027" s="1" t="str">
        <x:v>220157460</x:v>
      </x:c>
      <x:c r="B2027" s="1" t="str">
        <x:v>futbolkaprint/BRKcursive-123/молочный</x:v>
      </x:c>
      <x:c r="C2027" s="1" t="str">
        <x:v>Футболки</x:v>
      </x:c>
      <x:c r="D2027" s="9" t="n">
        <x:v>9.7</x:v>
      </x:c>
      <x:c r="E2027" s="8" t="n">
        <x:v>626</x:v>
      </x:c>
      <x:c r="F2027" s="8" t="n">
        <x:v>0</x:v>
      </x:c>
      <x:c r="G2027" s="8" t="n">
        <x:v>0</x:v>
      </x:c>
      <x:c r="H2027" s="8" t="n">
        <x:v>0</x:v>
      </x:c>
      <x:c r="I2027" s="8" t="n">
        <x:v>0</x:v>
      </x:c>
      <x:c r="J2027" s="8" t="n">
        <x:v>0</x:v>
      </x:c>
      <x:c r="K2027" s="8" t="n">
        <x:v>0</x:v>
      </x:c>
      <x:c r="L2027" s="1" t="str">
        <x:v>Нет</x:v>
      </x:c>
      <x:c r="M2027" s="1" t="n">
        <x:v>0</x:v>
      </x:c>
    </x:row>
    <x:row r="2028">
      <x:c r="A2028" s="1" t="str">
        <x:v>220157472</x:v>
      </x:c>
      <x:c r="B2028" s="1" t="str">
        <x:v>kulirkamanprint/OffRecord-121/зелено-серый</x:v>
      </x:c>
      <x:c r="C2028" s="1" t="str">
        <x:v>Футболки</x:v>
      </x:c>
      <x:c r="D2028" s="9" t="n">
        <x:v>9.7</x:v>
      </x:c>
      <x:c r="E2028" s="8" t="n">
        <x:v>307</x:v>
      </x:c>
      <x:c r="F2028" s="8" t="n">
        <x:v>0</x:v>
      </x:c>
      <x:c r="G2028" s="8" t="n">
        <x:v>0</x:v>
      </x:c>
      <x:c r="H2028" s="8" t="n">
        <x:v>0</x:v>
      </x:c>
      <x:c r="I2028" s="8" t="n">
        <x:v>0</x:v>
      </x:c>
      <x:c r="J2028" s="8" t="n">
        <x:v>0</x:v>
      </x:c>
      <x:c r="K2028" s="8" t="n">
        <x:v>0</x:v>
      </x:c>
      <x:c r="L2028" s="1" t="str">
        <x:v>Нет</x:v>
      </x:c>
      <x:c r="M2028" s="1" t="n">
        <x:v>0</x:v>
      </x:c>
    </x:row>
    <x:row r="2029">
      <x:c r="A2029" s="1" t="str">
        <x:v>220157488</x:v>
      </x:c>
      <x:c r="B2029" s="1" t="str">
        <x:v>kulirkamanprint/OffRecord-121/черный</x:v>
      </x:c>
      <x:c r="C2029" s="1" t="str">
        <x:v>Футболки</x:v>
      </x:c>
      <x:c r="D2029" s="9" t="n">
        <x:v>9.7</x:v>
      </x:c>
      <x:c r="E2029" s="8" t="n">
        <x:v>360</x:v>
      </x:c>
      <x:c r="F2029" s="8" t="n">
        <x:v>0</x:v>
      </x:c>
      <x:c r="G2029" s="8" t="n">
        <x:v>0</x:v>
      </x:c>
      <x:c r="H2029" s="8" t="n">
        <x:v>0</x:v>
      </x:c>
      <x:c r="I2029" s="8" t="n">
        <x:v>0</x:v>
      </x:c>
      <x:c r="J2029" s="8" t="n">
        <x:v>0</x:v>
      </x:c>
      <x:c r="K2029" s="8" t="n">
        <x:v>0</x:v>
      </x:c>
      <x:c r="L2029" s="1" t="str">
        <x:v>Нет</x:v>
      </x:c>
      <x:c r="M2029" s="1" t="n">
        <x:v>0</x:v>
      </x:c>
    </x:row>
    <x:row r="2030">
      <x:c r="A2030" s="1" t="str">
        <x:v>220379655</x:v>
      </x:c>
      <x:c r="B2030" s="1" t="str">
        <x:v>svitshotzipprint/SaintLouis-76/молочный</x:v>
      </x:c>
      <x:c r="C2030" s="1" t="str">
        <x:v>Свитшоты</x:v>
      </x:c>
      <x:c r="D2030" s="9" t="n">
        <x:v>9.2</x:v>
      </x:c>
      <x:c r="E2030" s="8" t="n">
        <x:v>422</x:v>
      </x:c>
      <x:c r="F2030" s="8" t="n">
        <x:v>0</x:v>
      </x:c>
      <x:c r="G2030" s="8" t="n">
        <x:v>0</x:v>
      </x:c>
      <x:c r="H2030" s="8" t="n">
        <x:v>0</x:v>
      </x:c>
      <x:c r="I2030" s="8" t="n">
        <x:v>0</x:v>
      </x:c>
      <x:c r="J2030" s="8" t="n">
        <x:v>6</x:v>
      </x:c>
      <x:c r="K2030" s="8" t="n">
        <x:v>0</x:v>
      </x:c>
      <x:c r="L2030" s="1" t="str">
        <x:v>Нет</x:v>
      </x:c>
      <x:c r="M2030" s="1" t="n">
        <x:v>10600</x:v>
      </x:c>
    </x:row>
    <x:row r="2031">
      <x:c r="A2031" s="1" t="str">
        <x:v>220610217</x:v>
      </x:c>
      <x:c r="B2031" s="1" t="str">
        <x:v>kroptopV2/белый</x:v>
      </x:c>
      <x:c r="C2031" s="1" t="str">
        <x:v>Футболки</x:v>
      </x:c>
      <x:c r="D2031" s="9" t="n">
        <x:v>7.7</x:v>
      </x:c>
      <x:c r="E2031" s="8" t="n">
        <x:v>13</x:v>
      </x:c>
      <x:c r="F2031" s="8" t="n">
        <x:v>0</x:v>
      </x:c>
      <x:c r="G2031" s="8" t="n">
        <x:v>0</x:v>
      </x:c>
      <x:c r="H2031" s="8" t="n">
        <x:v>0</x:v>
      </x:c>
      <x:c r="I2031" s="8" t="n">
        <x:v>0</x:v>
      </x:c>
      <x:c r="J2031" s="8" t="n">
        <x:v>0</x:v>
      </x:c>
      <x:c r="K2031" s="8" t="n">
        <x:v>0</x:v>
      </x:c>
      <x:c r="L2031" s="1" t="str">
        <x:v>Нет</x:v>
      </x:c>
      <x:c r="M2031" s="1" t="n">
        <x:v>0</x:v>
      </x:c>
    </x:row>
    <x:row r="2032">
      <x:c r="A2032" s="1" t="str">
        <x:v>220612006</x:v>
      </x:c>
      <x:c r="B2032" s="1" t="str">
        <x:v>kroptopV2/голубой</x:v>
      </x:c>
      <x:c r="C2032" s="1" t="str">
        <x:v>Футболки</x:v>
      </x:c>
      <x:c r="D2032" s="9" t="n">
        <x:v>7.7</x:v>
      </x:c>
      <x:c r="E2032" s="8" t="n">
        <x:v>6</x:v>
      </x:c>
      <x:c r="F2032" s="8" t="n">
        <x:v>0</x:v>
      </x:c>
      <x:c r="G2032" s="8" t="n">
        <x:v>0</x:v>
      </x:c>
      <x:c r="H2032" s="8" t="n">
        <x:v>0</x:v>
      </x:c>
      <x:c r="I2032" s="8" t="n">
        <x:v>0</x:v>
      </x:c>
      <x:c r="J2032" s="8" t="n">
        <x:v>0</x:v>
      </x:c>
      <x:c r="K2032" s="8" t="n">
        <x:v>0</x:v>
      </x:c>
      <x:c r="L2032" s="1" t="str">
        <x:v>Нет</x:v>
      </x:c>
      <x:c r="M2032" s="1" t="n">
        <x:v>0</x:v>
      </x:c>
    </x:row>
    <x:row r="2033">
      <x:c r="A2033" s="1" t="str">
        <x:v>220612008</x:v>
      </x:c>
      <x:c r="B2033" s="1" t="str">
        <x:v>kroptopV2/сине-морской</x:v>
      </x:c>
      <x:c r="C2033" s="1" t="str">
        <x:v>Футболки</x:v>
      </x:c>
      <x:c r="D2033" s="9" t="n">
        <x:v>7.7</x:v>
      </x:c>
      <x:c r="E2033" s="8" t="n">
        <x:v>4</x:v>
      </x:c>
      <x:c r="F2033" s="8" t="n">
        <x:v>0</x:v>
      </x:c>
      <x:c r="G2033" s="8" t="n">
        <x:v>0</x:v>
      </x:c>
      <x:c r="H2033" s="8" t="n">
        <x:v>0</x:v>
      </x:c>
      <x:c r="I2033" s="8" t="n">
        <x:v>0</x:v>
      </x:c>
      <x:c r="J2033" s="8" t="n">
        <x:v>0</x:v>
      </x:c>
      <x:c r="K2033" s="8" t="n">
        <x:v>0</x:v>
      </x:c>
      <x:c r="L2033" s="1" t="str">
        <x:v>Нет</x:v>
      </x:c>
      <x:c r="M2033" s="1" t="n">
        <x:v>0</x:v>
      </x:c>
    </x:row>
    <x:row r="2034">
      <x:c r="A2034" s="1" t="str">
        <x:v>220612010</x:v>
      </x:c>
      <x:c r="B2034" s="1" t="str">
        <x:v>kroptopV2/черный</x:v>
      </x:c>
      <x:c r="C2034" s="1" t="str">
        <x:v>Футболки</x:v>
      </x:c>
      <x:c r="D2034" s="9" t="n">
        <x:v>9.7</x:v>
      </x:c>
      <x:c r="E2034" s="8" t="n">
        <x:v>9</x:v>
      </x:c>
      <x:c r="F2034" s="8" t="n">
        <x:v>0</x:v>
      </x:c>
      <x:c r="G2034" s="8" t="n">
        <x:v>0</x:v>
      </x:c>
      <x:c r="H2034" s="8" t="n">
        <x:v>0</x:v>
      </x:c>
      <x:c r="I2034" s="8" t="n">
        <x:v>0</x:v>
      </x:c>
      <x:c r="J2034" s="8" t="n">
        <x:v>0</x:v>
      </x:c>
      <x:c r="K2034" s="8" t="n">
        <x:v>0</x:v>
      </x:c>
      <x:c r="L2034" s="1" t="str">
        <x:v>Нет</x:v>
      </x:c>
      <x:c r="M2034" s="1" t="n">
        <x:v>0</x:v>
      </x:c>
    </x:row>
    <x:row r="2035">
      <x:c r="A2035" s="1" t="str">
        <x:v>220612011</x:v>
      </x:c>
      <x:c r="B2035" s="1" t="str">
        <x:v>kroptopV2/эвкалипт</x:v>
      </x:c>
      <x:c r="C2035" s="1" t="str">
        <x:v>Футболки</x:v>
      </x:c>
      <x:c r="D2035" s="9" t="n">
        <x:v>9.7</x:v>
      </x:c>
      <x:c r="E2035" s="8" t="n">
        <x:v>4</x:v>
      </x:c>
      <x:c r="F2035" s="8" t="n">
        <x:v>0</x:v>
      </x:c>
      <x:c r="G2035" s="8" t="n">
        <x:v>0</x:v>
      </x:c>
      <x:c r="H2035" s="8" t="n">
        <x:v>0</x:v>
      </x:c>
      <x:c r="I2035" s="8" t="n">
        <x:v>0</x:v>
      </x:c>
      <x:c r="J2035" s="8" t="n">
        <x:v>0</x:v>
      </x:c>
      <x:c r="K2035" s="8" t="n">
        <x:v>0</x:v>
      </x:c>
      <x:c r="L2035" s="1" t="str">
        <x:v>Нет</x:v>
      </x:c>
      <x:c r="M2035" s="1" t="n">
        <x:v>0</x:v>
      </x:c>
    </x:row>
    <x:row r="2036">
      <x:c r="A2036" s="1" t="str">
        <x:v>220612014</x:v>
      </x:c>
      <x:c r="B2036" s="1" t="str">
        <x:v>kroptopV2/шалфей</x:v>
      </x:c>
      <x:c r="C2036" s="1" t="str">
        <x:v>Футболки</x:v>
      </x:c>
      <x:c r="D2036" s="9" t="n">
        <x:v>9.7</x:v>
      </x:c>
      <x:c r="E2036" s="8" t="n">
        <x:v>3</x:v>
      </x:c>
      <x:c r="F2036" s="8" t="n">
        <x:v>0</x:v>
      </x:c>
      <x:c r="G2036" s="8" t="n">
        <x:v>0</x:v>
      </x:c>
      <x:c r="H2036" s="8" t="n">
        <x:v>0</x:v>
      </x:c>
      <x:c r="I2036" s="8" t="n">
        <x:v>0</x:v>
      </x:c>
      <x:c r="J2036" s="8" t="n">
        <x:v>0</x:v>
      </x:c>
      <x:c r="K2036" s="8" t="n">
        <x:v>0</x:v>
      </x:c>
      <x:c r="L2036" s="1" t="str">
        <x:v>Нет</x:v>
      </x:c>
      <x:c r="M2036" s="1" t="n">
        <x:v>0</x:v>
      </x:c>
    </x:row>
    <x:row r="2037">
      <x:c r="A2037" s="1" t="str">
        <x:v>220612015</x:v>
      </x:c>
      <x:c r="B2037" s="1" t="str">
        <x:v>kroptopV2/зеленый</x:v>
      </x:c>
      <x:c r="C2037" s="1" t="str">
        <x:v>Футболки</x:v>
      </x:c>
      <x:c r="D2037" s="9" t="n">
        <x:v>7.7</x:v>
      </x:c>
      <x:c r="E2037" s="8" t="n">
        <x:v>2</x:v>
      </x:c>
      <x:c r="F2037" s="8" t="n">
        <x:v>0</x:v>
      </x:c>
      <x:c r="G2037" s="8" t="n">
        <x:v>0</x:v>
      </x:c>
      <x:c r="H2037" s="8" t="n">
        <x:v>0</x:v>
      </x:c>
      <x:c r="I2037" s="8" t="n">
        <x:v>0</x:v>
      </x:c>
      <x:c r="J2037" s="8" t="n">
        <x:v>0</x:v>
      </x:c>
      <x:c r="K2037" s="8" t="n">
        <x:v>0</x:v>
      </x:c>
      <x:c r="L2037" s="1" t="str">
        <x:v>Нет</x:v>
      </x:c>
      <x:c r="M2037" s="1" t="n">
        <x:v>0</x:v>
      </x:c>
    </x:row>
    <x:row r="2038">
      <x:c r="A2038" s="1" t="str">
        <x:v>220612017</x:v>
      </x:c>
      <x:c r="B2038" s="1" t="str">
        <x:v>kroptopV2/пудровый</x:v>
      </x:c>
      <x:c r="C2038" s="1" t="str">
        <x:v>Футболки</x:v>
      </x:c>
      <x:c r="D2038" s="9" t="n">
        <x:v>9.7</x:v>
      </x:c>
      <x:c r="E2038" s="8" t="n">
        <x:v>1</x:v>
      </x:c>
      <x:c r="F2038" s="8" t="n">
        <x:v>0</x:v>
      </x:c>
      <x:c r="G2038" s="8" t="n">
        <x:v>0</x:v>
      </x:c>
      <x:c r="H2038" s="8" t="n">
        <x:v>0</x:v>
      </x:c>
      <x:c r="I2038" s="8" t="n">
        <x:v>0</x:v>
      </x:c>
      <x:c r="J2038" s="8" t="n">
        <x:v>0</x:v>
      </x:c>
      <x:c r="K2038" s="8" t="n">
        <x:v>0</x:v>
      </x:c>
      <x:c r="L2038" s="1" t="str">
        <x:v>Нет</x:v>
      </x:c>
      <x:c r="M2038" s="1" t="n">
        <x:v>0</x:v>
      </x:c>
    </x:row>
    <x:row r="2039">
      <x:c r="A2039" s="1" t="str">
        <x:v>220612019</x:v>
      </x:c>
      <x:c r="B2039" s="1" t="str">
        <x:v>kroptopV2/мятапыльная</x:v>
      </x:c>
      <x:c r="C2039" s="1" t="str">
        <x:v>Футболки</x:v>
      </x:c>
      <x:c r="D2039" s="9" t="n">
        <x:v>7.7</x:v>
      </x:c>
      <x:c r="E2039" s="8" t="n">
        <x:v>1</x:v>
      </x:c>
      <x:c r="F2039" s="8" t="n">
        <x:v>0</x:v>
      </x:c>
      <x:c r="G2039" s="8" t="n">
        <x:v>0</x:v>
      </x:c>
      <x:c r="H2039" s="8" t="n">
        <x:v>0</x:v>
      </x:c>
      <x:c r="I2039" s="8" t="n">
        <x:v>0</x:v>
      </x:c>
      <x:c r="J2039" s="8" t="n">
        <x:v>0</x:v>
      </x:c>
      <x:c r="K2039" s="8" t="n">
        <x:v>0</x:v>
      </x:c>
      <x:c r="L2039" s="1" t="str">
        <x:v>Нет</x:v>
      </x:c>
      <x:c r="M2039" s="1" t="n">
        <x:v>0</x:v>
      </x:c>
    </x:row>
    <x:row r="2040">
      <x:c r="A2040" s="1" t="str">
        <x:v>220612023</x:v>
      </x:c>
      <x:c r="B2040" s="1" t="str">
        <x:v>kroptopV2/дымка</x:v>
      </x:c>
      <x:c r="C2040" s="1" t="str">
        <x:v>Футболки</x:v>
      </x:c>
      <x:c r="D2040" s="9" t="n">
        <x:v>9.7</x:v>
      </x:c>
      <x:c r="E2040" s="8" t="n">
        <x:v>33</x:v>
      </x:c>
      <x:c r="F2040" s="8" t="n">
        <x:v>0</x:v>
      </x:c>
      <x:c r="G2040" s="8" t="n">
        <x:v>0</x:v>
      </x:c>
      <x:c r="H2040" s="8" t="n">
        <x:v>0</x:v>
      </x:c>
      <x:c r="I2040" s="8" t="n">
        <x:v>0</x:v>
      </x:c>
      <x:c r="J2040" s="8" t="n">
        <x:v>0</x:v>
      </x:c>
      <x:c r="K2040" s="8" t="n">
        <x:v>0</x:v>
      </x:c>
      <x:c r="L2040" s="1" t="str">
        <x:v>Нет</x:v>
      </x:c>
      <x:c r="M2040" s="1" t="n">
        <x:v>0</x:v>
      </x:c>
    </x:row>
    <x:row r="2041">
      <x:c r="A2041" s="1" t="str">
        <x:v>220612025</x:v>
      </x:c>
      <x:c r="B2041" s="1" t="str">
        <x:v>kroptopV2/бежевый</x:v>
      </x:c>
      <x:c r="C2041" s="1" t="str">
        <x:v>Футболки</x:v>
      </x:c>
      <x:c r="D2041" s="9" t="n">
        <x:v>9.7</x:v>
      </x:c>
      <x:c r="E2041" s="8" t="n">
        <x:v>5</x:v>
      </x:c>
      <x:c r="F2041" s="8" t="n">
        <x:v>0</x:v>
      </x:c>
      <x:c r="G2041" s="8" t="n">
        <x:v>0</x:v>
      </x:c>
      <x:c r="H2041" s="8" t="n">
        <x:v>0</x:v>
      </x:c>
      <x:c r="I2041" s="8" t="n">
        <x:v>0</x:v>
      </x:c>
      <x:c r="J2041" s="8" t="n">
        <x:v>0</x:v>
      </x:c>
      <x:c r="K2041" s="8" t="n">
        <x:v>0</x:v>
      </x:c>
      <x:c r="L2041" s="1" t="str">
        <x:v>Нет</x:v>
      </x:c>
      <x:c r="M2041" s="1" t="n">
        <x:v>0</x:v>
      </x:c>
    </x:row>
    <x:row r="2042">
      <x:c r="A2042" s="1" t="str">
        <x:v>220612027</x:v>
      </x:c>
      <x:c r="B2042" s="1" t="str">
        <x:v>kroptopV2/коричневый</x:v>
      </x:c>
      <x:c r="C2042" s="1" t="str">
        <x:v>Футболки</x:v>
      </x:c>
      <x:c r="D2042" s="9" t="n">
        <x:v>7.7</x:v>
      </x:c>
      <x:c r="E2042" s="8" t="n">
        <x:v>5</x:v>
      </x:c>
      <x:c r="F2042" s="8" t="n">
        <x:v>0</x:v>
      </x:c>
      <x:c r="G2042" s="8" t="n">
        <x:v>0</x:v>
      </x:c>
      <x:c r="H2042" s="8" t="n">
        <x:v>0</x:v>
      </x:c>
      <x:c r="I2042" s="8" t="n">
        <x:v>0</x:v>
      </x:c>
      <x:c r="J2042" s="8" t="n">
        <x:v>0</x:v>
      </x:c>
      <x:c r="K2042" s="8" t="n">
        <x:v>0</x:v>
      </x:c>
      <x:c r="L2042" s="1" t="str">
        <x:v>Нет</x:v>
      </x:c>
      <x:c r="M2042" s="1" t="n">
        <x:v>0</x:v>
      </x:c>
    </x:row>
    <x:row r="2043">
      <x:c r="A2043" s="1" t="str">
        <x:v>220612030</x:v>
      </x:c>
      <x:c r="B2043" s="1" t="str">
        <x:v>kroptopV2/зелено-серый</x:v>
      </x:c>
      <x:c r="C2043" s="1" t="str">
        <x:v>Футболки</x:v>
      </x:c>
      <x:c r="D2043" s="9" t="n">
        <x:v>7.7</x:v>
      </x:c>
      <x:c r="E2043" s="8" t="n">
        <x:v>5</x:v>
      </x:c>
      <x:c r="F2043" s="8" t="n">
        <x:v>0</x:v>
      </x:c>
      <x:c r="G2043" s="8" t="n">
        <x:v>0</x:v>
      </x:c>
      <x:c r="H2043" s="8" t="n">
        <x:v>0</x:v>
      </x:c>
      <x:c r="I2043" s="8" t="n">
        <x:v>0</x:v>
      </x:c>
      <x:c r="J2043" s="8" t="n">
        <x:v>0</x:v>
      </x:c>
      <x:c r="K2043" s="8" t="n">
        <x:v>0</x:v>
      </x:c>
      <x:c r="L2043" s="1" t="str">
        <x:v>Нет</x:v>
      </x:c>
      <x:c r="M2043" s="1" t="n">
        <x:v>0</x:v>
      </x:c>
    </x:row>
    <x:row r="2044">
      <x:c r="A2044" s="1" t="str">
        <x:v>220612033</x:v>
      </x:c>
      <x:c r="B2044" s="1" t="str">
        <x:v>kroptopV2/мандариновый</x:v>
      </x:c>
      <x:c r="C2044" s="1" t="str">
        <x:v>Футболки</x:v>
      </x:c>
      <x:c r="D2044" s="9" t="n">
        <x:v>9.7</x:v>
      </x:c>
      <x:c r="E2044" s="8" t="n">
        <x:v>9</x:v>
      </x:c>
      <x:c r="F2044" s="8" t="n">
        <x:v>0</x:v>
      </x:c>
      <x:c r="G2044" s="8" t="n">
        <x:v>0</x:v>
      </x:c>
      <x:c r="H2044" s="8" t="n">
        <x:v>0</x:v>
      </x:c>
      <x:c r="I2044" s="8" t="n">
        <x:v>0</x:v>
      </x:c>
      <x:c r="J2044" s="8" t="n">
        <x:v>0</x:v>
      </x:c>
      <x:c r="K2044" s="8" t="n">
        <x:v>0</x:v>
      </x:c>
      <x:c r="L2044" s="1" t="str">
        <x:v>Нет</x:v>
      </x:c>
      <x:c r="M2044" s="1" t="n">
        <x:v>0</x:v>
      </x:c>
    </x:row>
    <x:row r="2045">
      <x:c r="A2045" s="1" t="str">
        <x:v>220612035</x:v>
      </x:c>
      <x:c r="B2045" s="1" t="str">
        <x:v>kroptopV2/хаки</x:v>
      </x:c>
      <x:c r="C2045" s="1" t="str">
        <x:v>Футболки</x:v>
      </x:c>
      <x:c r="D2045" s="9" t="n">
        <x:v>9.7</x:v>
      </x:c>
      <x:c r="E2045" s="8" t="n">
        <x:v>4</x:v>
      </x:c>
      <x:c r="F2045" s="8" t="n">
        <x:v>0</x:v>
      </x:c>
      <x:c r="G2045" s="8" t="n">
        <x:v>0</x:v>
      </x:c>
      <x:c r="H2045" s="8" t="n">
        <x:v>0</x:v>
      </x:c>
      <x:c r="I2045" s="8" t="n">
        <x:v>0</x:v>
      </x:c>
      <x:c r="J2045" s="8" t="n">
        <x:v>0</x:v>
      </x:c>
      <x:c r="K2045" s="8" t="n">
        <x:v>0</x:v>
      </x:c>
      <x:c r="L2045" s="1" t="str">
        <x:v>Нет</x:v>
      </x:c>
      <x:c r="M2045" s="1" t="n">
        <x:v>0</x:v>
      </x:c>
    </x:row>
    <x:row r="2046">
      <x:c r="A2046" s="1" t="str">
        <x:v>220612036</x:v>
      </x:c>
      <x:c r="B2046" s="1" t="str">
        <x:v>kroptopV2/морскаяволна</x:v>
      </x:c>
      <x:c r="C2046" s="1" t="str">
        <x:v>Футболки</x:v>
      </x:c>
      <x:c r="D2046" s="9" t="n">
        <x:v>9.7</x:v>
      </x:c>
      <x:c r="E2046" s="8" t="n">
        <x:v>11</x:v>
      </x:c>
      <x:c r="F2046" s="8" t="n">
        <x:v>0</x:v>
      </x:c>
      <x:c r="G2046" s="8" t="n">
        <x:v>0</x:v>
      </x:c>
      <x:c r="H2046" s="8" t="n">
        <x:v>0</x:v>
      </x:c>
      <x:c r="I2046" s="8" t="n">
        <x:v>0</x:v>
      </x:c>
      <x:c r="J2046" s="8" t="n">
        <x:v>0</x:v>
      </x:c>
      <x:c r="K2046" s="8" t="n">
        <x:v>0</x:v>
      </x:c>
      <x:c r="L2046" s="1" t="str">
        <x:v>Нет</x:v>
      </x:c>
      <x:c r="M2046" s="1" t="n">
        <x:v>0</x:v>
      </x:c>
    </x:row>
    <x:row r="2047">
      <x:c r="A2047" s="1" t="str">
        <x:v>220612038</x:v>
      </x:c>
      <x:c r="B2047" s="1" t="str">
        <x:v>kroptopV2/бордовый</x:v>
      </x:c>
      <x:c r="C2047" s="1" t="str">
        <x:v>Футболки</x:v>
      </x:c>
      <x:c r="D2047" s="9" t="n">
        <x:v>9.7</x:v>
      </x:c>
      <x:c r="E2047" s="8" t="n">
        <x:v>2</x:v>
      </x:c>
      <x:c r="F2047" s="8" t="n">
        <x:v>0</x:v>
      </x:c>
      <x:c r="G2047" s="8" t="n">
        <x:v>0</x:v>
      </x:c>
      <x:c r="H2047" s="8" t="n">
        <x:v>0</x:v>
      </x:c>
      <x:c r="I2047" s="8" t="n">
        <x:v>0</x:v>
      </x:c>
      <x:c r="J2047" s="8" t="n">
        <x:v>0</x:v>
      </x:c>
      <x:c r="K2047" s="8" t="n">
        <x:v>0</x:v>
      </x:c>
      <x:c r="L2047" s="1" t="str">
        <x:v>Нет</x:v>
      </x:c>
      <x:c r="M2047" s="1" t="n">
        <x:v>0</x:v>
      </x:c>
    </x:row>
    <x:row r="2048">
      <x:c r="A2048" s="1" t="str">
        <x:v>220612039</x:v>
      </x:c>
      <x:c r="B2048" s="1" t="str">
        <x:v>kroptopV2/фуксия</x:v>
      </x:c>
      <x:c r="C2048" s="1" t="str">
        <x:v>Футболки</x:v>
      </x:c>
      <x:c r="D2048" s="9" t="n">
        <x:v>9.7</x:v>
      </x:c>
      <x:c r="E2048" s="8" t="n">
        <x:v>4</x:v>
      </x:c>
      <x:c r="F2048" s="8" t="n">
        <x:v>0</x:v>
      </x:c>
      <x:c r="G2048" s="8" t="n">
        <x:v>0</x:v>
      </x:c>
      <x:c r="H2048" s="8" t="n">
        <x:v>0</x:v>
      </x:c>
      <x:c r="I2048" s="8" t="n">
        <x:v>0</x:v>
      </x:c>
      <x:c r="J2048" s="8" t="n">
        <x:v>0</x:v>
      </x:c>
      <x:c r="K2048" s="8" t="n">
        <x:v>0</x:v>
      </x:c>
      <x:c r="L2048" s="1" t="str">
        <x:v>Нет</x:v>
      </x:c>
      <x:c r="M2048" s="1" t="n">
        <x:v>0</x:v>
      </x:c>
    </x:row>
    <x:row r="2049">
      <x:c r="A2049" s="1" t="str">
        <x:v>220612041</x:v>
      </x:c>
      <x:c r="B2049" s="1" t="str">
        <x:v>kroptopV2/какао</x:v>
      </x:c>
      <x:c r="C2049" s="1" t="str">
        <x:v>Футболки</x:v>
      </x:c>
      <x:c r="D2049" s="9" t="n">
        <x:v>7.7</x:v>
      </x:c>
      <x:c r="E2049" s="8" t="n">
        <x:v>2</x:v>
      </x:c>
      <x:c r="F2049" s="8" t="n">
        <x:v>0</x:v>
      </x:c>
      <x:c r="G2049" s="8" t="n">
        <x:v>0</x:v>
      </x:c>
      <x:c r="H2049" s="8" t="n">
        <x:v>0</x:v>
      </x:c>
      <x:c r="I2049" s="8" t="n">
        <x:v>0</x:v>
      </x:c>
      <x:c r="J2049" s="8" t="n">
        <x:v>0</x:v>
      </x:c>
      <x:c r="K2049" s="8" t="n">
        <x:v>0</x:v>
      </x:c>
      <x:c r="L2049" s="1" t="str">
        <x:v>Нет</x:v>
      </x:c>
      <x:c r="M2049" s="1" t="n">
        <x:v>0</x:v>
      </x:c>
    </x:row>
    <x:row r="2050">
      <x:c r="A2050" s="1" t="str">
        <x:v>220612043</x:v>
      </x:c>
      <x:c r="B2050" s="1" t="str">
        <x:v>kroptopV2/банановый</x:v>
      </x:c>
      <x:c r="C2050" s="1" t="str">
        <x:v>Футболки</x:v>
      </x:c>
      <x:c r="D2050" s="9" t="n">
        <x:v>7.7</x:v>
      </x:c>
      <x:c r="E2050" s="8" t="n">
        <x:v>10</x:v>
      </x:c>
      <x:c r="F2050" s="8" t="n">
        <x:v>0</x:v>
      </x:c>
      <x:c r="G2050" s="8" t="n">
        <x:v>0</x:v>
      </x:c>
      <x:c r="H2050" s="8" t="n">
        <x:v>0</x:v>
      </x:c>
      <x:c r="I2050" s="8" t="n">
        <x:v>0</x:v>
      </x:c>
      <x:c r="J2050" s="8" t="n">
        <x:v>0</x:v>
      </x:c>
      <x:c r="K2050" s="8" t="n">
        <x:v>0</x:v>
      </x:c>
      <x:c r="L2050" s="1" t="str">
        <x:v>Нет</x:v>
      </x:c>
      <x:c r="M2050" s="1" t="n">
        <x:v>0</x:v>
      </x:c>
    </x:row>
    <x:row r="2051">
      <x:c r="A2051" s="1" t="str">
        <x:v>220612046</x:v>
      </x:c>
      <x:c r="B2051" s="1" t="str">
        <x:v>kroptopV2/красный</x:v>
      </x:c>
      <x:c r="C2051" s="1" t="str">
        <x:v>Футболки</x:v>
      </x:c>
      <x:c r="D2051" s="9" t="n">
        <x:v>9.7</x:v>
      </x:c>
      <x:c r="E2051" s="8" t="n">
        <x:v>2</x:v>
      </x:c>
      <x:c r="F2051" s="8" t="n">
        <x:v>0</x:v>
      </x:c>
      <x:c r="G2051" s="8" t="n">
        <x:v>0</x:v>
      </x:c>
      <x:c r="H2051" s="8" t="n">
        <x:v>0</x:v>
      </x:c>
      <x:c r="I2051" s="8" t="n">
        <x:v>0</x:v>
      </x:c>
      <x:c r="J2051" s="8" t="n">
        <x:v>0</x:v>
      </x:c>
      <x:c r="K2051" s="8" t="n">
        <x:v>0</x:v>
      </x:c>
      <x:c r="L2051" s="1" t="str">
        <x:v>Нет</x:v>
      </x:c>
      <x:c r="M2051" s="1" t="n">
        <x:v>0</x:v>
      </x:c>
    </x:row>
    <x:row r="2052">
      <x:c r="A2052" s="1" t="str">
        <x:v>220612048</x:v>
      </x:c>
      <x:c r="B2052" s="1" t="str">
        <x:v>kroptopV2/серовато-розовый</x:v>
      </x:c>
      <x:c r="C2052" s="1" t="str">
        <x:v>Футболки</x:v>
      </x:c>
      <x:c r="D2052" s="9" t="n">
        <x:v>7.7</x:v>
      </x:c>
      <x:c r="E2052" s="8" t="n">
        <x:v>4</x:v>
      </x:c>
      <x:c r="F2052" s="8" t="n">
        <x:v>0</x:v>
      </x:c>
      <x:c r="G2052" s="8" t="n">
        <x:v>0</x:v>
      </x:c>
      <x:c r="H2052" s="8" t="n">
        <x:v>0</x:v>
      </x:c>
      <x:c r="I2052" s="8" t="n">
        <x:v>0</x:v>
      </x:c>
      <x:c r="J2052" s="8" t="n">
        <x:v>0</x:v>
      </x:c>
      <x:c r="K2052" s="8" t="n">
        <x:v>0</x:v>
      </x:c>
      <x:c r="L2052" s="1" t="str">
        <x:v>Нет</x:v>
      </x:c>
      <x:c r="M2052" s="1" t="n">
        <x:v>0</x:v>
      </x:c>
    </x:row>
    <x:row r="2053">
      <x:c r="A2053" s="1" t="str">
        <x:v>220612050</x:v>
      </x:c>
      <x:c r="B2053" s="1" t="str">
        <x:v>kroptopV2/деним</x:v>
      </x:c>
      <x:c r="C2053" s="1" t="str">
        <x:v>Футболки</x:v>
      </x:c>
      <x:c r="D2053" s="9" t="n">
        <x:v>7.7</x:v>
      </x:c>
      <x:c r="E2053" s="8" t="n">
        <x:v>6</x:v>
      </x:c>
      <x:c r="F2053" s="8" t="n">
        <x:v>0</x:v>
      </x:c>
      <x:c r="G2053" s="8" t="n">
        <x:v>0</x:v>
      </x:c>
      <x:c r="H2053" s="8" t="n">
        <x:v>0</x:v>
      </x:c>
      <x:c r="I2053" s="8" t="n">
        <x:v>0</x:v>
      </x:c>
      <x:c r="J2053" s="8" t="n">
        <x:v>0</x:v>
      </x:c>
      <x:c r="K2053" s="8" t="n">
        <x:v>0</x:v>
      </x:c>
      <x:c r="L2053" s="1" t="str">
        <x:v>Нет</x:v>
      </x:c>
      <x:c r="M2053" s="1" t="n">
        <x:v>0</x:v>
      </x:c>
    </x:row>
    <x:row r="2054">
      <x:c r="A2054" s="1" t="str">
        <x:v>220612053</x:v>
      </x:c>
      <x:c r="B2054" s="1" t="str">
        <x:v>kroptopV2/пыльнаяроза</x:v>
      </x:c>
      <x:c r="C2054" s="1" t="str">
        <x:v>Футболки</x:v>
      </x:c>
      <x:c r="D2054" s="9" t="n">
        <x:v>9.7</x:v>
      </x:c>
      <x:c r="E2054" s="8" t="n">
        <x:v>12</x:v>
      </x:c>
      <x:c r="F2054" s="8" t="n">
        <x:v>0</x:v>
      </x:c>
      <x:c r="G2054" s="8" t="n">
        <x:v>0</x:v>
      </x:c>
      <x:c r="H2054" s="8" t="n">
        <x:v>0</x:v>
      </x:c>
      <x:c r="I2054" s="8" t="n">
        <x:v>0</x:v>
      </x:c>
      <x:c r="J2054" s="8" t="n">
        <x:v>0</x:v>
      </x:c>
      <x:c r="K2054" s="8" t="n">
        <x:v>0</x:v>
      </x:c>
      <x:c r="L2054" s="1" t="str">
        <x:v>Нет</x:v>
      </x:c>
      <x:c r="M2054" s="1" t="n">
        <x:v>0</x:v>
      </x:c>
    </x:row>
    <x:row r="2055">
      <x:c r="A2055" s="1" t="str">
        <x:v>220612055</x:v>
      </x:c>
      <x:c r="B2055" s="1" t="str">
        <x:v>kroptopV2/светло-фиолетовый</x:v>
      </x:c>
      <x:c r="C2055" s="1" t="str">
        <x:v>Футболки</x:v>
      </x:c>
      <x:c r="D2055" s="9" t="n">
        <x:v>7.7</x:v>
      </x:c>
      <x:c r="E2055" s="8" t="n">
        <x:v>4</x:v>
      </x:c>
      <x:c r="F2055" s="8" t="n">
        <x:v>0</x:v>
      </x:c>
      <x:c r="G2055" s="8" t="n">
        <x:v>0</x:v>
      </x:c>
      <x:c r="H2055" s="8" t="n">
        <x:v>0</x:v>
      </x:c>
      <x:c r="I2055" s="8" t="n">
        <x:v>0</x:v>
      </x:c>
      <x:c r="J2055" s="8" t="n">
        <x:v>0</x:v>
      </x:c>
      <x:c r="K2055" s="8" t="n">
        <x:v>0</x:v>
      </x:c>
      <x:c r="L2055" s="1" t="str">
        <x:v>Нет</x:v>
      </x:c>
      <x:c r="M2055" s="1" t="n">
        <x:v>0</x:v>
      </x:c>
    </x:row>
    <x:row r="2056">
      <x:c r="A2056" s="1" t="str">
        <x:v>220612057</x:v>
      </x:c>
      <x:c r="B2056" s="1" t="str">
        <x:v>kroptopV2/салатовый</x:v>
      </x:c>
      <x:c r="C2056" s="1" t="str">
        <x:v>Футболки</x:v>
      </x:c>
      <x:c r="D2056" s="9" t="n">
        <x:v>7.7</x:v>
      </x:c>
      <x:c r="E2056" s="8" t="n">
        <x:v>5</x:v>
      </x:c>
      <x:c r="F2056" s="8" t="n">
        <x:v>0</x:v>
      </x:c>
      <x:c r="G2056" s="8" t="n">
        <x:v>0</x:v>
      </x:c>
      <x:c r="H2056" s="8" t="n">
        <x:v>0</x:v>
      </x:c>
      <x:c r="I2056" s="8" t="n">
        <x:v>0</x:v>
      </x:c>
      <x:c r="J2056" s="8" t="n">
        <x:v>0</x:v>
      </x:c>
      <x:c r="K2056" s="8" t="n">
        <x:v>0</x:v>
      </x:c>
      <x:c r="L2056" s="1" t="str">
        <x:v>Нет</x:v>
      </x:c>
      <x:c r="M2056" s="1" t="n">
        <x:v>0</x:v>
      </x:c>
    </x:row>
    <x:row r="2057">
      <x:c r="A2057" s="1" t="str">
        <x:v>220612189</x:v>
      </x:c>
      <x:c r="B2057" s="1" t="str">
        <x:v>kroptopV2/молочный</x:v>
      </x:c>
      <x:c r="C2057" s="1" t="str">
        <x:v>Футболки</x:v>
      </x:c>
      <x:c r="D2057" s="9" t="n">
        <x:v>7.7</x:v>
      </x:c>
      <x:c r="E2057" s="8" t="n">
        <x:v>4</x:v>
      </x:c>
      <x:c r="F2057" s="8" t="n">
        <x:v>0</x:v>
      </x:c>
      <x:c r="G2057" s="8" t="n">
        <x:v>0</x:v>
      </x:c>
      <x:c r="H2057" s="8" t="n">
        <x:v>0</x:v>
      </x:c>
      <x:c r="I2057" s="8" t="n">
        <x:v>0</x:v>
      </x:c>
      <x:c r="J2057" s="8" t="n">
        <x:v>0</x:v>
      </x:c>
      <x:c r="K2057" s="8" t="n">
        <x:v>0</x:v>
      </x:c>
      <x:c r="L2057" s="1" t="str">
        <x:v>Нет</x:v>
      </x:c>
      <x:c r="M2057" s="1" t="n">
        <x:v>0</x:v>
      </x:c>
    </x:row>
    <x:row r="2058">
      <x:c r="A2058" s="1" t="str">
        <x:v>22069118</x:v>
      </x:c>
      <x:c r="B2058" s="1" t="str">
        <x:v>tolstovkaman/черный</x:v>
      </x:c>
      <x:c r="C2058" s="1" t="str">
        <x:v>Толстовки</x:v>
      </x:c>
      <x:c r="D2058" s="9" t="n">
        <x:v>7.3</x:v>
      </x:c>
      <x:c r="E2058" s="8" t="n">
        <x:v>4</x:v>
      </x:c>
      <x:c r="F2058" s="8" t="n">
        <x:v>0</x:v>
      </x:c>
      <x:c r="G2058" s="8" t="n">
        <x:v>0</x:v>
      </x:c>
      <x:c r="H2058" s="8" t="n">
        <x:v>0</x:v>
      </x:c>
      <x:c r="I2058" s="8" t="n">
        <x:v>0</x:v>
      </x:c>
      <x:c r="J2058" s="8" t="n">
        <x:v>0</x:v>
      </x:c>
      <x:c r="K2058" s="8" t="n">
        <x:v>0</x:v>
      </x:c>
      <x:c r="L2058" s="1" t="str">
        <x:v>Нет</x:v>
      </x:c>
      <x:c r="M2058" s="1" t="n">
        <x:v>0</x:v>
      </x:c>
    </x:row>
    <x:row r="2059">
      <x:c r="A2059" s="1" t="str">
        <x:v>221221345</x:v>
      </x:c>
      <x:c r="B2059" s="1" t="str">
        <x:v>svitshotzipvish/Community-95/розовый</x:v>
      </x:c>
      <x:c r="C2059" s="1" t="str">
        <x:v>Свитшоты</x:v>
      </x:c>
      <x:c r="D2059" s="9" t="n">
        <x:v>9.2</x:v>
      </x:c>
      <x:c r="E2059" s="8" t="n">
        <x:v>1</x:v>
      </x:c>
      <x:c r="F2059" s="8" t="n">
        <x:v>0</x:v>
      </x:c>
      <x:c r="G2059" s="8" t="n">
        <x:v>0</x:v>
      </x:c>
      <x:c r="H2059" s="8" t="n">
        <x:v>0</x:v>
      </x:c>
      <x:c r="I2059" s="8" t="n">
        <x:v>0</x:v>
      </x:c>
      <x:c r="J2059" s="8" t="n">
        <x:v>0</x:v>
      </x:c>
      <x:c r="K2059" s="8" t="n">
        <x:v>0</x:v>
      </x:c>
      <x:c r="L2059" s="1" t="str">
        <x:v>Нет</x:v>
      </x:c>
      <x:c r="M2059" s="1" t="n">
        <x:v>0</x:v>
      </x:c>
    </x:row>
    <x:row r="2060">
      <x:c r="A2060" s="1" t="str">
        <x:v>221280527</x:v>
      </x:c>
      <x:c r="B2060" s="1" t="str">
        <x:v>futbolkaprint/NeverFails-120/голубой</x:v>
      </x:c>
      <x:c r="C2060" s="1" t="str">
        <x:v>Футболки</x:v>
      </x:c>
      <x:c r="D2060" s="9" t="n">
        <x:v>9.7</x:v>
      </x:c>
      <x:c r="E2060" s="8" t="n">
        <x:v>1182</x:v>
      </x:c>
      <x:c r="F2060" s="8" t="n">
        <x:v>2</x:v>
      </x:c>
      <x:c r="G2060" s="8" t="n">
        <x:v>0</x:v>
      </x:c>
      <x:c r="H2060" s="8" t="n">
        <x:v>0</x:v>
      </x:c>
      <x:c r="I2060" s="8" t="n">
        <x:v>0</x:v>
      </x:c>
      <x:c r="J2060" s="8" t="n">
        <x:v>0</x:v>
      </x:c>
      <x:c r="K2060" s="8" t="n">
        <x:v>1230</x:v>
      </x:c>
      <x:c r="L2060" s="1" t="str">
        <x:v>Нет</x:v>
      </x:c>
      <x:c r="M2060" s="1" t="n">
        <x:v>0</x:v>
      </x:c>
    </x:row>
    <x:row r="2061">
      <x:c r="A2061" s="1" t="str">
        <x:v>221280531</x:v>
      </x:c>
      <x:c r="B2061" s="1" t="str">
        <x:v>futbolkaprint/SaintLouis-76/молочный</x:v>
      </x:c>
      <x:c r="C2061" s="1" t="str">
        <x:v>Футболки</x:v>
      </x:c>
      <x:c r="D2061" s="9" t="n">
        <x:v>9.7</x:v>
      </x:c>
      <x:c r="E2061" s="8" t="n">
        <x:v>387</x:v>
      </x:c>
      <x:c r="F2061" s="8" t="n">
        <x:v>1</x:v>
      </x:c>
      <x:c r="G2061" s="8" t="n">
        <x:v>0</x:v>
      </x:c>
      <x:c r="H2061" s="8" t="n">
        <x:v>0</x:v>
      </x:c>
      <x:c r="I2061" s="8" t="n">
        <x:v>0</x:v>
      </x:c>
      <x:c r="J2061" s="8" t="n">
        <x:v>0</x:v>
      </x:c>
      <x:c r="K2061" s="8" t="n">
        <x:v>1280</x:v>
      </x:c>
      <x:c r="L2061" s="1" t="str">
        <x:v>Нет</x:v>
      </x:c>
      <x:c r="M2061" s="1" t="n">
        <x:v>0</x:v>
      </x:c>
    </x:row>
    <x:row r="2062">
      <x:c r="A2062" s="1" t="str">
        <x:v>222267678</x:v>
      </x:c>
      <x:c r="B2062" s="1" t="str">
        <x:v>kroptopV2print/BROOKLYN-77/черный</x:v>
      </x:c>
      <x:c r="C2062" s="1" t="str">
        <x:v>Футболки</x:v>
      </x:c>
      <x:c r="D2062" s="9" t="n">
        <x:v>9.7</x:v>
      </x:c>
      <x:c r="E2062" s="8" t="n">
        <x:v>273</x:v>
      </x:c>
      <x:c r="F2062" s="8" t="n">
        <x:v>0</x:v>
      </x:c>
      <x:c r="G2062" s="8" t="n">
        <x:v>0</x:v>
      </x:c>
      <x:c r="H2062" s="8" t="n">
        <x:v>0</x:v>
      </x:c>
      <x:c r="I2062" s="8" t="n">
        <x:v>0</x:v>
      </x:c>
      <x:c r="J2062" s="8" t="n">
        <x:v>0</x:v>
      </x:c>
      <x:c r="K2062" s="8" t="n">
        <x:v>0</x:v>
      </x:c>
      <x:c r="L2062" s="1" t="str">
        <x:v>Нет</x:v>
      </x:c>
      <x:c r="M2062" s="1" t="n">
        <x:v>0</x:v>
      </x:c>
    </x:row>
    <x:row r="2063">
      <x:c r="A2063" s="1" t="str">
        <x:v>222269191</x:v>
      </x:c>
      <x:c r="B2063" s="1" t="str">
        <x:v>kroptopV2print/BROOKLYN-77/молочный</x:v>
      </x:c>
      <x:c r="C2063" s="1" t="str">
        <x:v>Футболки</x:v>
      </x:c>
      <x:c r="D2063" s="9" t="n">
        <x:v>9.7</x:v>
      </x:c>
      <x:c r="E2063" s="8" t="n">
        <x:v>451</x:v>
      </x:c>
      <x:c r="F2063" s="8" t="n">
        <x:v>0</x:v>
      </x:c>
      <x:c r="G2063" s="8" t="n">
        <x:v>0</x:v>
      </x:c>
      <x:c r="H2063" s="8" t="n">
        <x:v>0</x:v>
      </x:c>
      <x:c r="I2063" s="8" t="n">
        <x:v>0</x:v>
      </x:c>
      <x:c r="J2063" s="8" t="n">
        <x:v>0</x:v>
      </x:c>
      <x:c r="K2063" s="8" t="n">
        <x:v>0</x:v>
      </x:c>
      <x:c r="L2063" s="1" t="str">
        <x:v>Нет</x:v>
      </x:c>
      <x:c r="M2063" s="1" t="n">
        <x:v>0</x:v>
      </x:c>
    </x:row>
    <x:row r="2064">
      <x:c r="A2064" s="1" t="str">
        <x:v>222269193</x:v>
      </x:c>
      <x:c r="B2064" s="1" t="str">
        <x:v>kroptopV2print/Chic-55/молочный</x:v>
      </x:c>
      <x:c r="C2064" s="1" t="str">
        <x:v>Футболки</x:v>
      </x:c>
      <x:c r="D2064" s="9" t="n">
        <x:v>9.7</x:v>
      </x:c>
      <x:c r="E2064" s="8" t="n">
        <x:v>257</x:v>
      </x:c>
      <x:c r="F2064" s="8" t="n">
        <x:v>0</x:v>
      </x:c>
      <x:c r="G2064" s="8" t="n">
        <x:v>0</x:v>
      </x:c>
      <x:c r="H2064" s="8" t="n">
        <x:v>0</x:v>
      </x:c>
      <x:c r="I2064" s="8" t="n">
        <x:v>0</x:v>
      </x:c>
      <x:c r="J2064" s="8" t="n">
        <x:v>0</x:v>
      </x:c>
      <x:c r="K2064" s="8" t="n">
        <x:v>0</x:v>
      </x:c>
      <x:c r="L2064" s="1" t="str">
        <x:v>Нет</x:v>
      </x:c>
      <x:c r="M2064" s="1" t="n">
        <x:v>0</x:v>
      </x:c>
    </x:row>
    <x:row r="2065">
      <x:c r="A2065" s="1" t="str">
        <x:v>222269197</x:v>
      </x:c>
      <x:c r="B2065" s="1" t="str">
        <x:v>kroptopV2print/FLORIDA-85/молочный</x:v>
      </x:c>
      <x:c r="C2065" s="1" t="str">
        <x:v>Футболки</x:v>
      </x:c>
      <x:c r="D2065" s="9" t="n">
        <x:v>9.7</x:v>
      </x:c>
      <x:c r="E2065" s="8" t="n">
        <x:v>448</x:v>
      </x:c>
      <x:c r="F2065" s="8" t="n">
        <x:v>0</x:v>
      </x:c>
      <x:c r="G2065" s="8" t="n">
        <x:v>0</x:v>
      </x:c>
      <x:c r="H2065" s="8" t="n">
        <x:v>0</x:v>
      </x:c>
      <x:c r="I2065" s="8" t="n">
        <x:v>0</x:v>
      </x:c>
      <x:c r="J2065" s="8" t="n">
        <x:v>0</x:v>
      </x:c>
      <x:c r="K2065" s="8" t="n">
        <x:v>0</x:v>
      </x:c>
      <x:c r="L2065" s="1" t="str">
        <x:v>Нет</x:v>
      </x:c>
      <x:c r="M2065" s="1" t="n">
        <x:v>0</x:v>
      </x:c>
    </x:row>
    <x:row r="2066">
      <x:c r="A2066" s="1" t="str">
        <x:v>222293178</x:v>
      </x:c>
      <x:c r="B2066" s="1" t="str">
        <x:v>bazaprint/Heart-126/белый</x:v>
      </x:c>
      <x:c r="C2066" s="1" t="str">
        <x:v>Футболки</x:v>
      </x:c>
      <x:c r="D2066" s="9" t="n">
        <x:v>7.7</x:v>
      </x:c>
      <x:c r="E2066" s="8" t="n">
        <x:v>234</x:v>
      </x:c>
      <x:c r="F2066" s="8" t="n">
        <x:v>0</x:v>
      </x:c>
      <x:c r="G2066" s="8" t="n">
        <x:v>0</x:v>
      </x:c>
      <x:c r="H2066" s="8" t="n">
        <x:v>0</x:v>
      </x:c>
      <x:c r="I2066" s="8" t="n">
        <x:v>0</x:v>
      </x:c>
      <x:c r="J2066" s="8" t="n">
        <x:v>0</x:v>
      </x:c>
      <x:c r="K2066" s="8" t="n">
        <x:v>0</x:v>
      </x:c>
      <x:c r="L2066" s="1" t="str">
        <x:v>Нет</x:v>
      </x:c>
      <x:c r="M2066" s="1" t="n">
        <x:v>0</x:v>
      </x:c>
    </x:row>
    <x:row r="2067">
      <x:c r="A2067" s="1" t="str">
        <x:v>222293192</x:v>
      </x:c>
      <x:c r="B2067" s="1" t="str">
        <x:v>kulirkamanprint/BeDifferent-128/черный</x:v>
      </x:c>
      <x:c r="C2067" s="1" t="str">
        <x:v>Футболки</x:v>
      </x:c>
      <x:c r="D2067" s="9" t="n">
        <x:v>7.7</x:v>
      </x:c>
      <x:c r="E2067" s="8" t="n">
        <x:v>196</x:v>
      </x:c>
      <x:c r="F2067" s="8" t="n">
        <x:v>0</x:v>
      </x:c>
      <x:c r="G2067" s="8" t="n">
        <x:v>0</x:v>
      </x:c>
      <x:c r="H2067" s="8" t="n">
        <x:v>0</x:v>
      </x:c>
      <x:c r="I2067" s="8" t="n">
        <x:v>0</x:v>
      </x:c>
      <x:c r="J2067" s="8" t="n">
        <x:v>0</x:v>
      </x:c>
      <x:c r="K2067" s="8" t="n">
        <x:v>0</x:v>
      </x:c>
      <x:c r="L2067" s="1" t="str">
        <x:v>Нет</x:v>
      </x:c>
      <x:c r="M2067" s="1" t="n">
        <x:v>0</x:v>
      </x:c>
    </x:row>
    <x:row r="2068">
      <x:c r="A2068" s="1" t="str">
        <x:v>222293198</x:v>
      </x:c>
      <x:c r="B2068" s="1" t="str">
        <x:v>bazaprint/YouMe-132/белый</x:v>
      </x:c>
      <x:c r="C2068" s="1" t="str">
        <x:v>Футболки</x:v>
      </x:c>
      <x:c r="D2068" s="9" t="n">
        <x:v>7.7</x:v>
      </x:c>
      <x:c r="E2068" s="8" t="n">
        <x:v>137</x:v>
      </x:c>
      <x:c r="F2068" s="8" t="n">
        <x:v>0</x:v>
      </x:c>
      <x:c r="G2068" s="8" t="n">
        <x:v>0</x:v>
      </x:c>
      <x:c r="H2068" s="8" t="n">
        <x:v>0</x:v>
      </x:c>
      <x:c r="I2068" s="8" t="n">
        <x:v>0</x:v>
      </x:c>
      <x:c r="J2068" s="8" t="n">
        <x:v>0</x:v>
      </x:c>
      <x:c r="K2068" s="8" t="n">
        <x:v>0</x:v>
      </x:c>
      <x:c r="L2068" s="1" t="str">
        <x:v>Нет</x:v>
      </x:c>
      <x:c r="M2068" s="1" t="n">
        <x:v>0</x:v>
      </x:c>
    </x:row>
    <x:row r="2069">
      <x:c r="A2069" s="1" t="str">
        <x:v>222293202</x:v>
      </x:c>
      <x:c r="B2069" s="1" t="str">
        <x:v>bazaprint/Samolet-131/белый</x:v>
      </x:c>
      <x:c r="C2069" s="1" t="str">
        <x:v>Футболки</x:v>
      </x:c>
      <x:c r="D2069" s="9" t="n">
        <x:v>7.7</x:v>
      </x:c>
      <x:c r="E2069" s="8" t="n">
        <x:v>109</x:v>
      </x:c>
      <x:c r="F2069" s="8" t="n">
        <x:v>0</x:v>
      </x:c>
      <x:c r="G2069" s="8" t="n">
        <x:v>0</x:v>
      </x:c>
      <x:c r="H2069" s="8" t="n">
        <x:v>0</x:v>
      </x:c>
      <x:c r="I2069" s="8" t="n">
        <x:v>0</x:v>
      </x:c>
      <x:c r="J2069" s="8" t="n">
        <x:v>0</x:v>
      </x:c>
      <x:c r="K2069" s="8" t="n">
        <x:v>0</x:v>
      </x:c>
      <x:c r="L2069" s="1" t="str">
        <x:v>Нет</x:v>
      </x:c>
      <x:c r="M2069" s="1" t="n">
        <x:v>0</x:v>
      </x:c>
    </x:row>
    <x:row r="2070">
      <x:c r="A2070" s="1" t="str">
        <x:v>222293203</x:v>
      </x:c>
      <x:c r="B2070" s="1" t="str">
        <x:v>bazaprint/Samolet-131/черный</x:v>
      </x:c>
      <x:c r="C2070" s="1" t="str">
        <x:v>Футболки</x:v>
      </x:c>
      <x:c r="D2070" s="9" t="n">
        <x:v>7.7</x:v>
      </x:c>
      <x:c r="E2070" s="8" t="n">
        <x:v>122</x:v>
      </x:c>
      <x:c r="F2070" s="8" t="n">
        <x:v>0</x:v>
      </x:c>
      <x:c r="G2070" s="8" t="n">
        <x:v>0</x:v>
      </x:c>
      <x:c r="H2070" s="8" t="n">
        <x:v>0</x:v>
      </x:c>
      <x:c r="I2070" s="8" t="n">
        <x:v>0</x:v>
      </x:c>
      <x:c r="J2070" s="8" t="n">
        <x:v>0</x:v>
      </x:c>
      <x:c r="K2070" s="8" t="n">
        <x:v>0</x:v>
      </x:c>
      <x:c r="L2070" s="1" t="str">
        <x:v>Нет</x:v>
      </x:c>
      <x:c r="M2070" s="1" t="n">
        <x:v>0</x:v>
      </x:c>
    </x:row>
    <x:row r="2071">
      <x:c r="A2071" s="1" t="str">
        <x:v>222293205</x:v>
      </x:c>
      <x:c r="B2071" s="1" t="str">
        <x:v>bazaprint/Heart-126/черный</x:v>
      </x:c>
      <x:c r="C2071" s="1" t="str">
        <x:v>Футболки</x:v>
      </x:c>
      <x:c r="D2071" s="9" t="n">
        <x:v>7.7</x:v>
      </x:c>
      <x:c r="E2071" s="8" t="n">
        <x:v>124</x:v>
      </x:c>
      <x:c r="F2071" s="8" t="n">
        <x:v>0</x:v>
      </x:c>
      <x:c r="G2071" s="8" t="n">
        <x:v>0</x:v>
      </x:c>
      <x:c r="H2071" s="8" t="n">
        <x:v>0</x:v>
      </x:c>
      <x:c r="I2071" s="8" t="n">
        <x:v>0</x:v>
      </x:c>
      <x:c r="J2071" s="8" t="n">
        <x:v>0</x:v>
      </x:c>
      <x:c r="K2071" s="8" t="n">
        <x:v>0</x:v>
      </x:c>
      <x:c r="L2071" s="1" t="str">
        <x:v>Нет</x:v>
      </x:c>
      <x:c r="M2071" s="1" t="n">
        <x:v>0</x:v>
      </x:c>
    </x:row>
    <x:row r="2072">
      <x:c r="A2072" s="1" t="str">
        <x:v>222347132</x:v>
      </x:c>
      <x:c r="B2072" s="1" t="str">
        <x:v>2xnitkamanshort/черный</x:v>
      </x:c>
      <x:c r="C2072" s="1" t="str">
        <x:v>Костюмы спортивные</x:v>
      </x:c>
      <x:c r="D2072" s="9" t="n">
        <x:v>8.7</x:v>
      </x:c>
      <x:c r="E2072" s="8" t="n">
        <x:v>492</x:v>
      </x:c>
      <x:c r="F2072" s="8" t="n">
        <x:v>0</x:v>
      </x:c>
      <x:c r="G2072" s="8" t="n">
        <x:v>0</x:v>
      </x:c>
      <x:c r="H2072" s="8" t="n">
        <x:v>0</x:v>
      </x:c>
      <x:c r="I2072" s="8" t="n">
        <x:v>0</x:v>
      </x:c>
      <x:c r="J2072" s="8" t="n">
        <x:v>0</x:v>
      </x:c>
      <x:c r="K2072" s="8" t="n">
        <x:v>0</x:v>
      </x:c>
      <x:c r="L2072" s="1" t="str">
        <x:v>Нет</x:v>
      </x:c>
      <x:c r="M2072" s="1" t="n">
        <x:v>0</x:v>
      </x:c>
    </x:row>
    <x:row r="2073">
      <x:c r="A2073" s="1" t="str">
        <x:v>223042373</x:v>
      </x:c>
      <x:c r="B2073" s="1" t="str">
        <x:v>kulirkamanprint/League-127/дымка</x:v>
      </x:c>
      <x:c r="C2073" s="1" t="str">
        <x:v>Футболки</x:v>
      </x:c>
      <x:c r="D2073" s="9" t="n">
        <x:v>7.7</x:v>
      </x:c>
      <x:c r="E2073" s="8" t="n">
        <x:v>16</x:v>
      </x:c>
      <x:c r="F2073" s="8" t="n">
        <x:v>0</x:v>
      </x:c>
      <x:c r="G2073" s="8" t="n">
        <x:v>0</x:v>
      </x:c>
      <x:c r="H2073" s="8" t="n">
        <x:v>0</x:v>
      </x:c>
      <x:c r="I2073" s="8" t="n">
        <x:v>0</x:v>
      </x:c>
      <x:c r="J2073" s="8" t="n">
        <x:v>0</x:v>
      </x:c>
      <x:c r="K2073" s="8" t="n">
        <x:v>0</x:v>
      </x:c>
      <x:c r="L2073" s="1" t="str">
        <x:v>Нет</x:v>
      </x:c>
      <x:c r="M2073" s="1" t="n">
        <x:v>0</x:v>
      </x:c>
    </x:row>
    <x:row r="2074">
      <x:c r="A2074" s="1" t="str">
        <x:v>223042375</x:v>
      </x:c>
      <x:c r="B2074" s="1" t="str">
        <x:v>kulirkamanprint/League-127/темно-синий</x:v>
      </x:c>
      <x:c r="C2074" s="1" t="str">
        <x:v>Футболки</x:v>
      </x:c>
      <x:c r="D2074" s="9" t="n">
        <x:v>9.7</x:v>
      </x:c>
      <x:c r="E2074" s="8" t="n">
        <x:v>173</x:v>
      </x:c>
      <x:c r="F2074" s="8" t="n">
        <x:v>0</x:v>
      </x:c>
      <x:c r="G2074" s="8" t="n">
        <x:v>0</x:v>
      </x:c>
      <x:c r="H2074" s="8" t="n">
        <x:v>0</x:v>
      </x:c>
      <x:c r="I2074" s="8" t="n">
        <x:v>0</x:v>
      </x:c>
      <x:c r="J2074" s="8" t="n">
        <x:v>0</x:v>
      </x:c>
      <x:c r="K2074" s="8" t="n">
        <x:v>0</x:v>
      </x:c>
      <x:c r="L2074" s="1" t="str">
        <x:v>Нет</x:v>
      </x:c>
      <x:c r="M2074" s="1" t="n">
        <x:v>0</x:v>
      </x:c>
    </x:row>
    <x:row r="2075">
      <x:c r="A2075" s="1" t="str">
        <x:v>223042377</x:v>
      </x:c>
      <x:c r="B2075" s="1" t="str">
        <x:v>kulirkamanprint/League-127/черный</x:v>
      </x:c>
      <x:c r="C2075" s="1" t="str">
        <x:v>Футболки</x:v>
      </x:c>
      <x:c r="D2075" s="9" t="n">
        <x:v>9.7</x:v>
      </x:c>
      <x:c r="E2075" s="8" t="n">
        <x:v>2932</x:v>
      </x:c>
      <x:c r="F2075" s="8" t="n">
        <x:v>2</x:v>
      </x:c>
      <x:c r="G2075" s="8" t="n">
        <x:v>0</x:v>
      </x:c>
      <x:c r="H2075" s="8" t="n">
        <x:v>0</x:v>
      </x:c>
      <x:c r="I2075" s="8" t="n">
        <x:v>0</x:v>
      </x:c>
      <x:c r="J2075" s="8" t="n">
        <x:v>2</x:v>
      </x:c>
      <x:c r="K2075" s="8" t="n">
        <x:v>1150</x:v>
      </x:c>
      <x:c r="L2075" s="1" t="str">
        <x:v>Нет</x:v>
      </x:c>
      <x:c r="M2075" s="1" t="n">
        <x:v>0</x:v>
      </x:c>
    </x:row>
    <x:row r="2076">
      <x:c r="A2076" s="1" t="str">
        <x:v>223328132</x:v>
      </x:c>
      <x:c r="B2076" s="1" t="str">
        <x:v>povyazkaX2/черный-белый</x:v>
      </x:c>
      <x:c r="C2076" s="1" t="str">
        <x:v>Повязки на голову</x:v>
      </x:c>
      <x:c r="D2076" s="9" t="n">
        <x:v>8.5</x:v>
      </x:c>
      <x:c r="E2076" s="8" t="n">
        <x:v>4</x:v>
      </x:c>
      <x:c r="F2076" s="8" t="n">
        <x:v>0</x:v>
      </x:c>
      <x:c r="G2076" s="8" t="n">
        <x:v>0</x:v>
      </x:c>
      <x:c r="H2076" s="8" t="n">
        <x:v>0</x:v>
      </x:c>
      <x:c r="I2076" s="8" t="n">
        <x:v>0</x:v>
      </x:c>
      <x:c r="J2076" s="8" t="n">
        <x:v>0</x:v>
      </x:c>
      <x:c r="K2076" s="8" t="n">
        <x:v>0</x:v>
      </x:c>
      <x:c r="L2076" s="1" t="str">
        <x:v>Нет</x:v>
      </x:c>
      <x:c r="M2076" s="1" t="n">
        <x:v>0</x:v>
      </x:c>
    </x:row>
    <x:row r="2077">
      <x:c r="A2077" s="1" t="str">
        <x:v>224386316</x:v>
      </x:c>
      <x:c r="B2077" s="1" t="str">
        <x:v>futbolkaprint/Feature-136/молочный</x:v>
      </x:c>
      <x:c r="C2077" s="1" t="str">
        <x:v>Футболки</x:v>
      </x:c>
      <x:c r="D2077" s="9" t="n">
        <x:v>9.7</x:v>
      </x:c>
      <x:c r="E2077" s="8" t="n">
        <x:v>376</x:v>
      </x:c>
      <x:c r="F2077" s="8" t="n">
        <x:v>0</x:v>
      </x:c>
      <x:c r="G2077" s="8" t="n">
        <x:v>0</x:v>
      </x:c>
      <x:c r="H2077" s="8" t="n">
        <x:v>0</x:v>
      </x:c>
      <x:c r="I2077" s="8" t="n">
        <x:v>0</x:v>
      </x:c>
      <x:c r="J2077" s="8" t="n">
        <x:v>0</x:v>
      </x:c>
      <x:c r="K2077" s="8" t="n">
        <x:v>0</x:v>
      </x:c>
      <x:c r="L2077" s="1" t="str">
        <x:v>Нет</x:v>
      </x:c>
      <x:c r="M2077" s="1" t="n">
        <x:v>0</x:v>
      </x:c>
    </x:row>
    <x:row r="2078">
      <x:c r="A2078" s="1" t="str">
        <x:v>224416602</x:v>
      </x:c>
      <x:c r="B2078" s="1" t="str">
        <x:v>bazaX2/черный-белый</x:v>
      </x:c>
      <x:c r="C2078" s="1" t="str">
        <x:v>Футболки</x:v>
      </x:c>
      <x:c r="D2078" s="9" t="n">
        <x:v>8</x:v>
      </x:c>
      <x:c r="E2078" s="8" t="n">
        <x:v>353</x:v>
      </x:c>
      <x:c r="F2078" s="8" t="n">
        <x:v>0</x:v>
      </x:c>
      <x:c r="G2078" s="8" t="n">
        <x:v>0</x:v>
      </x:c>
      <x:c r="H2078" s="8" t="n">
        <x:v>0</x:v>
      </x:c>
      <x:c r="I2078" s="8" t="n">
        <x:v>0</x:v>
      </x:c>
      <x:c r="J2078" s="8" t="n">
        <x:v>9</x:v>
      </x:c>
      <x:c r="K2078" s="8" t="n">
        <x:v>0</x:v>
      </x:c>
      <x:c r="L2078" s="1" t="str">
        <x:v>Нет</x:v>
      </x:c>
      <x:c r="M2078" s="1" t="n">
        <x:v>7050</x:v>
      </x:c>
    </x:row>
    <x:row r="2079">
      <x:c r="A2079" s="1" t="str">
        <x:v>224420733</x:v>
      </x:c>
      <x:c r="B2079" s="1" t="str">
        <x:v>bazaX3/чер-как-тсер</x:v>
      </x:c>
      <x:c r="C2079" s="1" t="str">
        <x:v>Футболки</x:v>
      </x:c>
      <x:c r="D2079" s="9" t="n">
        <x:v>8</x:v>
      </x:c>
      <x:c r="E2079" s="8" t="n">
        <x:v>250</x:v>
      </x:c>
      <x:c r="F2079" s="8" t="n">
        <x:v>0</x:v>
      </x:c>
      <x:c r="G2079" s="8" t="n">
        <x:v>0</x:v>
      </x:c>
      <x:c r="H2079" s="8" t="n">
        <x:v>0</x:v>
      </x:c>
      <x:c r="I2079" s="8" t="n">
        <x:v>0</x:v>
      </x:c>
      <x:c r="J2079" s="8" t="n">
        <x:v>3</x:v>
      </x:c>
      <x:c r="K2079" s="8" t="n">
        <x:v>0</x:v>
      </x:c>
      <x:c r="L2079" s="1" t="str">
        <x:v>Нет</x:v>
      </x:c>
      <x:c r="M2079" s="1" t="n">
        <x:v>3300</x:v>
      </x:c>
    </x:row>
    <x:row r="2080">
      <x:c r="A2080" s="1" t="str">
        <x:v>224420743</x:v>
      </x:c>
      <x:c r="B2080" s="1" t="str">
        <x:v>bazaX3/чер-бел-тсер</x:v>
      </x:c>
      <x:c r="C2080" s="1" t="str">
        <x:v>Футболки</x:v>
      </x:c>
      <x:c r="D2080" s="9" t="n">
        <x:v>8</x:v>
      </x:c>
      <x:c r="E2080" s="8" t="n">
        <x:v>216</x:v>
      </x:c>
      <x:c r="F2080" s="8" t="n">
        <x:v>0</x:v>
      </x:c>
      <x:c r="G2080" s="8" t="n">
        <x:v>0</x:v>
      </x:c>
      <x:c r="H2080" s="8" t="n">
        <x:v>0</x:v>
      </x:c>
      <x:c r="I2080" s="8" t="n">
        <x:v>0</x:v>
      </x:c>
      <x:c r="J2080" s="8" t="n">
        <x:v>1</x:v>
      </x:c>
      <x:c r="K2080" s="8" t="n">
        <x:v>0</x:v>
      </x:c>
      <x:c r="L2080" s="1" t="str">
        <x:v>Нет</x:v>
      </x:c>
      <x:c r="M2080" s="1" t="n">
        <x:v>1650</x:v>
      </x:c>
    </x:row>
    <x:row r="2081">
      <x:c r="A2081" s="1" t="str">
        <x:v>224420781</x:v>
      </x:c>
      <x:c r="B2081" s="1" t="str">
        <x:v>bazaX3/чер-роз-тсер</x:v>
      </x:c>
      <x:c r="C2081" s="1" t="str">
        <x:v>Футболки</x:v>
      </x:c>
      <x:c r="D2081" s="9" t="n">
        <x:v>8</x:v>
      </x:c>
      <x:c r="E2081" s="8" t="n">
        <x:v>212</x:v>
      </x:c>
      <x:c r="F2081" s="8" t="n">
        <x:v>0</x:v>
      </x:c>
      <x:c r="G2081" s="8" t="n">
        <x:v>0</x:v>
      </x:c>
      <x:c r="H2081" s="8" t="n">
        <x:v>0</x:v>
      </x:c>
      <x:c r="I2081" s="8" t="n">
        <x:v>0</x:v>
      </x:c>
      <x:c r="J2081" s="8" t="n">
        <x:v>1</x:v>
      </x:c>
      <x:c r="K2081" s="8" t="n">
        <x:v>0</x:v>
      </x:c>
      <x:c r="L2081" s="1" t="str">
        <x:v>Нет</x:v>
      </x:c>
      <x:c r="M2081" s="1" t="n">
        <x:v>1650</x:v>
      </x:c>
    </x:row>
    <x:row r="2082">
      <x:c r="A2082" s="1" t="str">
        <x:v>224422276</x:v>
      </x:c>
      <x:c r="B2082" s="1" t="str">
        <x:v>bazaX3/чер-бел-как</x:v>
      </x:c>
      <x:c r="C2082" s="1" t="str">
        <x:v>Футболки</x:v>
      </x:c>
      <x:c r="D2082" s="9" t="n">
        <x:v>8</x:v>
      </x:c>
      <x:c r="E2082" s="8" t="n">
        <x:v>140</x:v>
      </x:c>
      <x:c r="F2082" s="8" t="n">
        <x:v>0</x:v>
      </x:c>
      <x:c r="G2082" s="8" t="n">
        <x:v>0</x:v>
      </x:c>
      <x:c r="H2082" s="8" t="n">
        <x:v>0</x:v>
      </x:c>
      <x:c r="I2082" s="8" t="n">
        <x:v>0</x:v>
      </x:c>
      <x:c r="J2082" s="8" t="n">
        <x:v>0</x:v>
      </x:c>
      <x:c r="K2082" s="8" t="n">
        <x:v>0</x:v>
      </x:c>
      <x:c r="L2082" s="1" t="str">
        <x:v>Нет</x:v>
      </x:c>
      <x:c r="M2082" s="1" t="n">
        <x:v>0</x:v>
      </x:c>
    </x:row>
    <x:row r="2083">
      <x:c r="A2083" s="1" t="str">
        <x:v>226527735</x:v>
      </x:c>
      <x:c r="B2083" s="1" t="str">
        <x:v>kulirkamanprint/California-139/дымка</x:v>
      </x:c>
      <x:c r="C2083" s="1" t="str">
        <x:v>Футболки</x:v>
      </x:c>
      <x:c r="D2083" s="9" t="n">
        <x:v>9.7</x:v>
      </x:c>
      <x:c r="E2083" s="8" t="n">
        <x:v>365</x:v>
      </x:c>
      <x:c r="F2083" s="8" t="n">
        <x:v>0</x:v>
      </x:c>
      <x:c r="G2083" s="8" t="n">
        <x:v>0</x:v>
      </x:c>
      <x:c r="H2083" s="8" t="n">
        <x:v>0</x:v>
      </x:c>
      <x:c r="I2083" s="8" t="n">
        <x:v>0</x:v>
      </x:c>
      <x:c r="J2083" s="8" t="n">
        <x:v>0</x:v>
      </x:c>
      <x:c r="K2083" s="8" t="n">
        <x:v>0</x:v>
      </x:c>
      <x:c r="L2083" s="1" t="str">
        <x:v>Нет</x:v>
      </x:c>
      <x:c r="M2083" s="1" t="n">
        <x:v>0</x:v>
      </x:c>
    </x:row>
    <x:row r="2084">
      <x:c r="A2084" s="1" t="str">
        <x:v>226527740</x:v>
      </x:c>
      <x:c r="B2084" s="1" t="str">
        <x:v>kulirkamanprint/California-139/какао</x:v>
      </x:c>
      <x:c r="C2084" s="1" t="str">
        <x:v>Футболки</x:v>
      </x:c>
      <x:c r="D2084" s="9" t="n">
        <x:v>9.7</x:v>
      </x:c>
      <x:c r="E2084" s="8" t="n">
        <x:v>341</x:v>
      </x:c>
      <x:c r="F2084" s="8" t="n">
        <x:v>0</x:v>
      </x:c>
      <x:c r="G2084" s="8" t="n">
        <x:v>0</x:v>
      </x:c>
      <x:c r="H2084" s="8" t="n">
        <x:v>0</x:v>
      </x:c>
      <x:c r="I2084" s="8" t="n">
        <x:v>0</x:v>
      </x:c>
      <x:c r="J2084" s="8" t="n">
        <x:v>1</x:v>
      </x:c>
      <x:c r="K2084" s="8" t="n">
        <x:v>0</x:v>
      </x:c>
      <x:c r="L2084" s="1" t="str">
        <x:v>Нет</x:v>
      </x:c>
      <x:c r="M2084" s="1" t="n">
        <x:v>930</x:v>
      </x:c>
    </x:row>
    <x:row r="2085">
      <x:c r="A2085" s="1" t="str">
        <x:v>226527743</x:v>
      </x:c>
      <x:c r="B2085" s="1" t="str">
        <x:v>hudivish/Venice-7в/морскаяволна</x:v>
      </x:c>
      <x:c r="C2085" s="1" t="str">
        <x:v>Худи</x:v>
      </x:c>
      <x:c r="D2085" s="9" t="n">
        <x:v>9.7</x:v>
      </x:c>
      <x:c r="E2085" s="8" t="n">
        <x:v>914</x:v>
      </x:c>
      <x:c r="F2085" s="8" t="n">
        <x:v>0</x:v>
      </x:c>
      <x:c r="G2085" s="8" t="n">
        <x:v>0</x:v>
      </x:c>
      <x:c r="H2085" s="8" t="n">
        <x:v>1</x:v>
      </x:c>
      <x:c r="I2085" s="8" t="n">
        <x:v>0</x:v>
      </x:c>
      <x:c r="J2085" s="8" t="n">
        <x:v>0</x:v>
      </x:c>
      <x:c r="K2085" s="8" t="n">
        <x:v>0</x:v>
      </x:c>
      <x:c r="L2085" s="1" t="str">
        <x:v>Нет</x:v>
      </x:c>
      <x:c r="M2085" s="1" t="n">
        <x:v>0</x:v>
      </x:c>
    </x:row>
    <x:row r="2086">
      <x:c r="A2086" s="1" t="str">
        <x:v>227747159</x:v>
      </x:c>
      <x:c r="B2086" s="1" t="str">
        <x:v>futbolkaover/бежевый-антрацитовый</x:v>
      </x:c>
      <x:c r="C2086" s="1" t="str">
        <x:v>Футболки</x:v>
      </x:c>
      <x:c r="D2086" s="9" t="n">
        <x:v>5.7</x:v>
      </x:c>
      <x:c r="E2086" s="8" t="n">
        <x:v>1</x:v>
      </x:c>
      <x:c r="F2086" s="8" t="n">
        <x:v>0</x:v>
      </x:c>
      <x:c r="G2086" s="8" t="n">
        <x:v>0</x:v>
      </x:c>
      <x:c r="H2086" s="8" t="n">
        <x:v>0</x:v>
      </x:c>
      <x:c r="I2086" s="8" t="n">
        <x:v>0</x:v>
      </x:c>
      <x:c r="J2086" s="8" t="n">
        <x:v>0</x:v>
      </x:c>
      <x:c r="K2086" s="8" t="n">
        <x:v>0</x:v>
      </x:c>
      <x:c r="L2086" s="1" t="str">
        <x:v>Нет</x:v>
      </x:c>
      <x:c r="M2086" s="1" t="n">
        <x:v>0</x:v>
      </x:c>
    </x:row>
    <x:row r="2087">
      <x:c r="A2087" s="1" t="str">
        <x:v>228287357</x:v>
      </x:c>
      <x:c r="B2087" s="1" t="str">
        <x:v>kulirkaman/белый-фуксия</x:v>
      </x:c>
      <x:c r="C2087" s="1" t="str">
        <x:v>Футболки</x:v>
      </x:c>
      <x:c r="D2087" s="9" t="n">
        <x:v>4.7</x:v>
      </x:c>
      <x:c r="E2087" s="8" t="n">
        <x:v>2</x:v>
      </x:c>
      <x:c r="F2087" s="8" t="n">
        <x:v>0</x:v>
      </x:c>
      <x:c r="G2087" s="8" t="n">
        <x:v>0</x:v>
      </x:c>
      <x:c r="H2087" s="8" t="n">
        <x:v>0</x:v>
      </x:c>
      <x:c r="I2087" s="8" t="n">
        <x:v>0</x:v>
      </x:c>
      <x:c r="J2087" s="8"/>
      <x:c r="K2087" s="8" t="n">
        <x:v>0</x:v>
      </x:c>
      <x:c r="L2087" s="1" t="str">
        <x:v>Нет</x:v>
      </x:c>
      <x:c r="M2087" s="1"/>
    </x:row>
    <x:row r="2088">
      <x:c r="A2088" s="1" t="str">
        <x:v>228407593</x:v>
      </x:c>
      <x:c r="B2088" s="1" t="str">
        <x:v>futbolkaprint/CoffeeCup-145/белый</x:v>
      </x:c>
      <x:c r="C2088" s="1" t="str">
        <x:v>Футболки</x:v>
      </x:c>
      <x:c r="D2088" s="9" t="n">
        <x:v>8.7</x:v>
      </x:c>
      <x:c r="E2088" s="8" t="n">
        <x:v>518</x:v>
      </x:c>
      <x:c r="F2088" s="8" t="n">
        <x:v>0</x:v>
      </x:c>
      <x:c r="G2088" s="8" t="n">
        <x:v>0</x:v>
      </x:c>
      <x:c r="H2088" s="8" t="n">
        <x:v>0</x:v>
      </x:c>
      <x:c r="I2088" s="8" t="n">
        <x:v>0</x:v>
      </x:c>
      <x:c r="J2088" s="8" t="n">
        <x:v>0</x:v>
      </x:c>
      <x:c r="K2088" s="8" t="n">
        <x:v>0</x:v>
      </x:c>
      <x:c r="L2088" s="1" t="str">
        <x:v>Нет</x:v>
      </x:c>
      <x:c r="M2088" s="1" t="n">
        <x:v>0</x:v>
      </x:c>
    </x:row>
    <x:row r="2089">
      <x:c r="A2089" s="1" t="str">
        <x:v>228407596</x:v>
      </x:c>
      <x:c r="B2089" s="1" t="str">
        <x:v>futbolkaprint/TryNew-146/белый</x:v>
      </x:c>
      <x:c r="C2089" s="1" t="str">
        <x:v>Футболки</x:v>
      </x:c>
      <x:c r="D2089" s="9" t="n">
        <x:v>7.7</x:v>
      </x:c>
      <x:c r="E2089" s="8" t="n">
        <x:v>631</x:v>
      </x:c>
      <x:c r="F2089" s="8" t="n">
        <x:v>0</x:v>
      </x:c>
      <x:c r="G2089" s="8" t="n">
        <x:v>0</x:v>
      </x:c>
      <x:c r="H2089" s="8" t="n">
        <x:v>0</x:v>
      </x:c>
      <x:c r="I2089" s="8" t="n">
        <x:v>0</x:v>
      </x:c>
      <x:c r="J2089" s="8" t="n">
        <x:v>0</x:v>
      </x:c>
      <x:c r="K2089" s="8" t="n">
        <x:v>0</x:v>
      </x:c>
      <x:c r="L2089" s="1" t="str">
        <x:v>Нет</x:v>
      </x:c>
      <x:c r="M2089" s="1" t="n">
        <x:v>0</x:v>
      </x:c>
    </x:row>
    <x:row r="2090">
      <x:c r="A2090" s="1" t="str">
        <x:v>228407597</x:v>
      </x:c>
      <x:c r="B2090" s="1" t="str">
        <x:v>futbolkaprint/TryNew-146/голубой</x:v>
      </x:c>
      <x:c r="C2090" s="1" t="str">
        <x:v>Футболки</x:v>
      </x:c>
      <x:c r="D2090" s="9" t="n">
        <x:v>8.7</x:v>
      </x:c>
      <x:c r="E2090" s="8" t="n">
        <x:v>243</x:v>
      </x:c>
      <x:c r="F2090" s="8" t="n">
        <x:v>0</x:v>
      </x:c>
      <x:c r="G2090" s="8" t="n">
        <x:v>0</x:v>
      </x:c>
      <x:c r="H2090" s="8" t="n">
        <x:v>0</x:v>
      </x:c>
      <x:c r="I2090" s="8" t="n">
        <x:v>0</x:v>
      </x:c>
      <x:c r="J2090" s="8" t="n">
        <x:v>0</x:v>
      </x:c>
      <x:c r="K2090" s="8" t="n">
        <x:v>0</x:v>
      </x:c>
      <x:c r="L2090" s="1" t="str">
        <x:v>Нет</x:v>
      </x:c>
      <x:c r="M2090" s="1" t="n">
        <x:v>0</x:v>
      </x:c>
    </x:row>
    <x:row r="2091">
      <x:c r="A2091" s="1" t="str">
        <x:v>228407598</x:v>
      </x:c>
      <x:c r="B2091" s="1" t="str">
        <x:v>futbolkaprint/LastToast-142/белый</x:v>
      </x:c>
      <x:c r="C2091" s="1" t="str">
        <x:v>Футболки</x:v>
      </x:c>
      <x:c r="D2091" s="9" t="n">
        <x:v>9.7</x:v>
      </x:c>
      <x:c r="E2091" s="8" t="n">
        <x:v>628</x:v>
      </x:c>
      <x:c r="F2091" s="8" t="n">
        <x:v>0</x:v>
      </x:c>
      <x:c r="G2091" s="8" t="n">
        <x:v>0</x:v>
      </x:c>
      <x:c r="H2091" s="8" t="n">
        <x:v>0</x:v>
      </x:c>
      <x:c r="I2091" s="8" t="n">
        <x:v>0</x:v>
      </x:c>
      <x:c r="J2091" s="8" t="n">
        <x:v>0</x:v>
      </x:c>
      <x:c r="K2091" s="8" t="n">
        <x:v>0</x:v>
      </x:c>
      <x:c r="L2091" s="1" t="str">
        <x:v>Нет</x:v>
      </x:c>
      <x:c r="M2091" s="1" t="n">
        <x:v>0</x:v>
      </x:c>
    </x:row>
    <x:row r="2092">
      <x:c r="A2092" s="1" t="str">
        <x:v>228460357</x:v>
      </x:c>
      <x:c r="B2092" s="1" t="str">
        <x:v>kulirkamanprint/CLFSD-79/молочный-ясень белый</x:v>
      </x:c>
      <x:c r="C2092" s="1" t="str">
        <x:v>Футболки</x:v>
      </x:c>
      <x:c r="D2092" s="9" t="n">
        <x:v>5.7</x:v>
      </x:c>
      <x:c r="E2092" s="8" t="n">
        <x:v>1</x:v>
      </x:c>
      <x:c r="F2092" s="8" t="n">
        <x:v>0</x:v>
      </x:c>
      <x:c r="G2092" s="8" t="n">
        <x:v>0</x:v>
      </x:c>
      <x:c r="H2092" s="8" t="n">
        <x:v>0</x:v>
      </x:c>
      <x:c r="I2092" s="8" t="n">
        <x:v>0</x:v>
      </x:c>
      <x:c r="J2092" s="8" t="n">
        <x:v>0</x:v>
      </x:c>
      <x:c r="K2092" s="8" t="n">
        <x:v>0</x:v>
      </x:c>
      <x:c r="L2092" s="1" t="str">
        <x:v>Нет</x:v>
      </x:c>
      <x:c r="M2092" s="1" t="n">
        <x:v>0</x:v>
      </x:c>
    </x:row>
    <x:row r="2093">
      <x:c r="A2093" s="1" t="str">
        <x:v>22897319</x:v>
      </x:c>
      <x:c r="B2093" s="1" t="str">
        <x:v>futbolkaman/белый</x:v>
      </x:c>
      <x:c r="C2093" s="1" t="str">
        <x:v>Футболки</x:v>
      </x:c>
      <x:c r="D2093" s="9" t="n">
        <x:v>8.2</x:v>
      </x:c>
      <x:c r="E2093" s="8" t="n">
        <x:v>7</x:v>
      </x:c>
      <x:c r="F2093" s="8" t="n">
        <x:v>0</x:v>
      </x:c>
      <x:c r="G2093" s="8" t="n">
        <x:v>0</x:v>
      </x:c>
      <x:c r="H2093" s="8" t="n">
        <x:v>0</x:v>
      </x:c>
      <x:c r="I2093" s="8" t="n">
        <x:v>0</x:v>
      </x:c>
      <x:c r="J2093" s="8" t="n">
        <x:v>0</x:v>
      </x:c>
      <x:c r="K2093" s="8" t="n">
        <x:v>0</x:v>
      </x:c>
      <x:c r="L2093" s="1" t="str">
        <x:v>Нет</x:v>
      </x:c>
      <x:c r="M2093" s="1" t="n">
        <x:v>0</x:v>
      </x:c>
    </x:row>
    <x:row r="2094">
      <x:c r="A2094" s="1" t="str">
        <x:v>229154433</x:v>
      </x:c>
      <x:c r="B2094" s="1" t="str">
        <x:v>futbolkamanX3/чер-бел-шал</x:v>
      </x:c>
      <x:c r="C2094" s="1" t="str">
        <x:v>Футболки</x:v>
      </x:c>
      <x:c r="D2094" s="9" t="n">
        <x:v>8</x:v>
      </x:c>
      <x:c r="E2094" s="8" t="n">
        <x:v>2614</x:v>
      </x:c>
      <x:c r="F2094" s="8" t="n">
        <x:v>0</x:v>
      </x:c>
      <x:c r="G2094" s="8" t="n">
        <x:v>0</x:v>
      </x:c>
      <x:c r="H2094" s="8" t="n">
        <x:v>0</x:v>
      </x:c>
      <x:c r="I2094" s="8" t="n">
        <x:v>0</x:v>
      </x:c>
      <x:c r="J2094" s="8" t="n">
        <x:v>0</x:v>
      </x:c>
      <x:c r="K2094" s="8" t="n">
        <x:v>0</x:v>
      </x:c>
      <x:c r="L2094" s="1" t="str">
        <x:v>Нет</x:v>
      </x:c>
      <x:c r="M2094" s="1" t="n">
        <x:v>0</x:v>
      </x:c>
    </x:row>
    <x:row r="2095">
      <x:c r="A2095" s="1" t="str">
        <x:v>229154434</x:v>
      </x:c>
      <x:c r="B2095" s="1" t="str">
        <x:v>futbolkamanoverX3/чер-бел-ден</x:v>
      </x:c>
      <x:c r="C2095" s="1" t="str">
        <x:v>Футболки</x:v>
      </x:c>
      <x:c r="D2095" s="9" t="n">
        <x:v>8.4</x:v>
      </x:c>
      <x:c r="E2095" s="8" t="n">
        <x:v>2507</x:v>
      </x:c>
      <x:c r="F2095" s="8" t="n">
        <x:v>0</x:v>
      </x:c>
      <x:c r="G2095" s="8" t="n">
        <x:v>0</x:v>
      </x:c>
      <x:c r="H2095" s="8" t="n">
        <x:v>0</x:v>
      </x:c>
      <x:c r="I2095" s="8" t="n">
        <x:v>0</x:v>
      </x:c>
      <x:c r="J2095" s="8" t="n">
        <x:v>0</x:v>
      </x:c>
      <x:c r="K2095" s="8" t="n">
        <x:v>0</x:v>
      </x:c>
      <x:c r="L2095" s="1" t="str">
        <x:v>Нет</x:v>
      </x:c>
      <x:c r="M2095" s="1" t="n">
        <x:v>0</x:v>
      </x:c>
    </x:row>
    <x:row r="2096">
      <x:c r="A2096" s="1" t="str">
        <x:v>229166780</x:v>
      </x:c>
      <x:c r="B2096" s="1" t="str">
        <x:v>futbolkaprint/MILK-118/милка</x:v>
      </x:c>
      <x:c r="C2096" s="1" t="str">
        <x:v>Футболки</x:v>
      </x:c>
      <x:c r="D2096" s="9" t="n">
        <x:v>9.7</x:v>
      </x:c>
      <x:c r="E2096" s="8" t="n">
        <x:v>599</x:v>
      </x:c>
      <x:c r="F2096" s="8" t="n">
        <x:v>0</x:v>
      </x:c>
      <x:c r="G2096" s="8" t="n">
        <x:v>0</x:v>
      </x:c>
      <x:c r="H2096" s="8" t="n">
        <x:v>0</x:v>
      </x:c>
      <x:c r="I2096" s="8" t="n">
        <x:v>0</x:v>
      </x:c>
      <x:c r="J2096" s="8" t="n">
        <x:v>0</x:v>
      </x:c>
      <x:c r="K2096" s="8" t="n">
        <x:v>0</x:v>
      </x:c>
      <x:c r="L2096" s="1" t="str">
        <x:v>Нет</x:v>
      </x:c>
      <x:c r="M2096" s="1" t="n">
        <x:v>0</x:v>
      </x:c>
    </x:row>
    <x:row r="2097">
      <x:c r="A2097" s="1" t="str">
        <x:v>229166799</x:v>
      </x:c>
      <x:c r="B2097" s="1" t="str">
        <x:v>baza/милка</x:v>
      </x:c>
      <x:c r="C2097" s="1" t="str">
        <x:v>Футболки</x:v>
      </x:c>
      <x:c r="D2097" s="9" t="n">
        <x:v>8.2</x:v>
      </x:c>
      <x:c r="E2097" s="8" t="n">
        <x:v>2444</x:v>
      </x:c>
      <x:c r="F2097" s="8" t="n">
        <x:v>0</x:v>
      </x:c>
      <x:c r="G2097" s="8" t="n">
        <x:v>0</x:v>
      </x:c>
      <x:c r="H2097" s="8" t="n">
        <x:v>0</x:v>
      </x:c>
      <x:c r="I2097" s="8" t="n">
        <x:v>0</x:v>
      </x:c>
      <x:c r="J2097" s="8" t="n">
        <x:v>0</x:v>
      </x:c>
      <x:c r="K2097" s="8" t="n">
        <x:v>0</x:v>
      </x:c>
      <x:c r="L2097" s="1" t="str">
        <x:v>Нет</x:v>
      </x:c>
      <x:c r="M2097" s="1" t="n">
        <x:v>0</x:v>
      </x:c>
    </x:row>
    <x:row r="2098">
      <x:c r="A2098" s="1" t="str">
        <x:v>229493092</x:v>
      </x:c>
      <x:c r="B2098" s="1" t="str">
        <x:v>futbolkaoverX3/чер-роз-тсер</x:v>
      </x:c>
      <x:c r="C2098" s="1" t="str">
        <x:v>Футболки</x:v>
      </x:c>
      <x:c r="D2098" s="9" t="n">
        <x:v>8</x:v>
      </x:c>
      <x:c r="E2098" s="8" t="n">
        <x:v>105</x:v>
      </x:c>
      <x:c r="F2098" s="8" t="n">
        <x:v>0</x:v>
      </x:c>
      <x:c r="G2098" s="8" t="n">
        <x:v>0</x:v>
      </x:c>
      <x:c r="H2098" s="8" t="n">
        <x:v>0</x:v>
      </x:c>
      <x:c r="I2098" s="8" t="n">
        <x:v>0</x:v>
      </x:c>
      <x:c r="J2098" s="8" t="n">
        <x:v>0</x:v>
      </x:c>
      <x:c r="K2098" s="8" t="n">
        <x:v>0</x:v>
      </x:c>
      <x:c r="L2098" s="1" t="str">
        <x:v>Нет</x:v>
      </x:c>
      <x:c r="M2098" s="1" t="n">
        <x:v>0</x:v>
      </x:c>
    </x:row>
    <x:row r="2099">
      <x:c r="A2099" s="1" t="str">
        <x:v>229493093</x:v>
      </x:c>
      <x:c r="B2099" s="1" t="str">
        <x:v>futbolkaoverX3/чер-бел-как</x:v>
      </x:c>
      <x:c r="C2099" s="1" t="str">
        <x:v>Футболки</x:v>
      </x:c>
      <x:c r="D2099" s="9" t="n">
        <x:v>8</x:v>
      </x:c>
      <x:c r="E2099" s="8" t="n">
        <x:v>251</x:v>
      </x:c>
      <x:c r="F2099" s="8" t="n">
        <x:v>0</x:v>
      </x:c>
      <x:c r="G2099" s="8" t="n">
        <x:v>0</x:v>
      </x:c>
      <x:c r="H2099" s="8" t="n">
        <x:v>0</x:v>
      </x:c>
      <x:c r="I2099" s="8" t="n">
        <x:v>0</x:v>
      </x:c>
      <x:c r="J2099" s="8" t="n">
        <x:v>1</x:v>
      </x:c>
      <x:c r="K2099" s="8" t="n">
        <x:v>0</x:v>
      </x:c>
      <x:c r="L2099" s="1" t="str">
        <x:v>Нет</x:v>
      </x:c>
      <x:c r="M2099" s="1" t="n">
        <x:v>2099</x:v>
      </x:c>
    </x:row>
    <x:row r="2100">
      <x:c r="A2100" s="1" t="str">
        <x:v>229493095</x:v>
      </x:c>
      <x:c r="B2100" s="1" t="str">
        <x:v>futbolkaoverX3/чер-бел-тсер</x:v>
      </x:c>
      <x:c r="C2100" s="1" t="str">
        <x:v>Футболки</x:v>
      </x:c>
      <x:c r="D2100" s="9" t="n">
        <x:v>8.7</x:v>
      </x:c>
      <x:c r="E2100" s="8" t="n">
        <x:v>150</x:v>
      </x:c>
      <x:c r="F2100" s="8" t="n">
        <x:v>0</x:v>
      </x:c>
      <x:c r="G2100" s="8" t="n">
        <x:v>0</x:v>
      </x:c>
      <x:c r="H2100" s="8" t="n">
        <x:v>0</x:v>
      </x:c>
      <x:c r="I2100" s="8" t="n">
        <x:v>0</x:v>
      </x:c>
      <x:c r="J2100" s="8" t="n">
        <x:v>0</x:v>
      </x:c>
      <x:c r="K2100" s="8" t="n">
        <x:v>0</x:v>
      </x:c>
      <x:c r="L2100" s="1" t="str">
        <x:v>Нет</x:v>
      </x:c>
      <x:c r="M2100" s="1" t="n">
        <x:v>0</x:v>
      </x:c>
    </x:row>
    <x:row r="2101">
      <x:c r="A2101" s="1" t="str">
        <x:v>229493096</x:v>
      </x:c>
      <x:c r="B2101" s="1" t="str">
        <x:v>futbolkaoverX3/чер-как-тсер</x:v>
      </x:c>
      <x:c r="C2101" s="1" t="str">
        <x:v>Футболки</x:v>
      </x:c>
      <x:c r="D2101" s="9" t="n">
        <x:v>8</x:v>
      </x:c>
      <x:c r="E2101" s="8" t="n">
        <x:v>137</x:v>
      </x:c>
      <x:c r="F2101" s="8" t="n">
        <x:v>0</x:v>
      </x:c>
      <x:c r="G2101" s="8" t="n">
        <x:v>0</x:v>
      </x:c>
      <x:c r="H2101" s="8" t="n">
        <x:v>0</x:v>
      </x:c>
      <x:c r="I2101" s="8" t="n">
        <x:v>0</x:v>
      </x:c>
      <x:c r="J2101" s="8" t="n">
        <x:v>0</x:v>
      </x:c>
      <x:c r="K2101" s="8" t="n">
        <x:v>0</x:v>
      </x:c>
      <x:c r="L2101" s="1" t="str">
        <x:v>Нет</x:v>
      </x:c>
      <x:c r="M2101" s="1" t="n">
        <x:v>0</x:v>
      </x:c>
    </x:row>
    <x:row r="2102">
      <x:c r="A2102" s="1" t="str">
        <x:v>229653008</x:v>
      </x:c>
      <x:c r="B2102" s="1" t="str">
        <x:v>kostumboy/морскаяволна</x:v>
      </x:c>
      <x:c r="C2102" s="1" t="str">
        <x:v>Костюмы</x:v>
      </x:c>
      <x:c r="D2102" s="9" t="n">
        <x:v>9.7</x:v>
      </x:c>
      <x:c r="E2102" s="8" t="n">
        <x:v>894</x:v>
      </x:c>
      <x:c r="F2102" s="8" t="n">
        <x:v>0</x:v>
      </x:c>
      <x:c r="G2102" s="8" t="n">
        <x:v>0</x:v>
      </x:c>
      <x:c r="H2102" s="8" t="n">
        <x:v>0</x:v>
      </x:c>
      <x:c r="I2102" s="8" t="n">
        <x:v>0</x:v>
      </x:c>
      <x:c r="J2102" s="8" t="n">
        <x:v>0</x:v>
      </x:c>
      <x:c r="K2102" s="8" t="n">
        <x:v>0</x:v>
      </x:c>
      <x:c r="L2102" s="1" t="str">
        <x:v>Нет</x:v>
      </x:c>
      <x:c r="M2102" s="1" t="n">
        <x:v>0</x:v>
      </x:c>
    </x:row>
    <x:row r="2103">
      <x:c r="A2103" s="1" t="str">
        <x:v>229653009</x:v>
      </x:c>
      <x:c r="B2103" s="1" t="str">
        <x:v>kostumboy/темно-серый</x:v>
      </x:c>
      <x:c r="C2103" s="1" t="str">
        <x:v>Костюмы</x:v>
      </x:c>
      <x:c r="D2103" s="9" t="n">
        <x:v>9.7</x:v>
      </x:c>
      <x:c r="E2103" s="8" t="n">
        <x:v>490</x:v>
      </x:c>
      <x:c r="F2103" s="8" t="n">
        <x:v>0</x:v>
      </x:c>
      <x:c r="G2103" s="8" t="n">
        <x:v>0</x:v>
      </x:c>
      <x:c r="H2103" s="8" t="n">
        <x:v>0</x:v>
      </x:c>
      <x:c r="I2103" s="8" t="n">
        <x:v>0</x:v>
      </x:c>
      <x:c r="J2103" s="8" t="n">
        <x:v>0</x:v>
      </x:c>
      <x:c r="K2103" s="8" t="n">
        <x:v>0</x:v>
      </x:c>
      <x:c r="L2103" s="1" t="str">
        <x:v>Нет</x:v>
      </x:c>
      <x:c r="M2103" s="1" t="n">
        <x:v>0</x:v>
      </x:c>
    </x:row>
    <x:row r="2104">
      <x:c r="A2104" s="1" t="str">
        <x:v>229787651</x:v>
      </x:c>
      <x:c r="B2104" s="1" t="str">
        <x:v>futbolkaprint/Sorrento-149/белый</x:v>
      </x:c>
      <x:c r="C2104" s="1" t="str">
        <x:v>Футболки</x:v>
      </x:c>
      <x:c r="D2104" s="9" t="n">
        <x:v>9.7</x:v>
      </x:c>
      <x:c r="E2104" s="8" t="n">
        <x:v>421</x:v>
      </x:c>
      <x:c r="F2104" s="8" t="n">
        <x:v>0</x:v>
      </x:c>
      <x:c r="G2104" s="8" t="n">
        <x:v>0</x:v>
      </x:c>
      <x:c r="H2104" s="8" t="n">
        <x:v>0</x:v>
      </x:c>
      <x:c r="I2104" s="8" t="n">
        <x:v>0</x:v>
      </x:c>
      <x:c r="J2104" s="8" t="n">
        <x:v>0</x:v>
      </x:c>
      <x:c r="K2104" s="8" t="n">
        <x:v>0</x:v>
      </x:c>
      <x:c r="L2104" s="1" t="str">
        <x:v>Нет</x:v>
      </x:c>
      <x:c r="M2104" s="1" t="n">
        <x:v>0</x:v>
      </x:c>
    </x:row>
    <x:row r="2105">
      <x:c r="A2105" s="1" t="str">
        <x:v>229787653</x:v>
      </x:c>
      <x:c r="B2105" s="1" t="str">
        <x:v>futbolkaprint/Mos-150/молочный</x:v>
      </x:c>
      <x:c r="C2105" s="1" t="str">
        <x:v>Футболки</x:v>
      </x:c>
      <x:c r="D2105" s="9" t="n">
        <x:v>5.7</x:v>
      </x:c>
      <x:c r="E2105" s="8" t="n">
        <x:v>0</x:v>
      </x:c>
      <x:c r="F2105" s="8" t="n">
        <x:v>0</x:v>
      </x:c>
      <x:c r="G2105" s="8" t="n">
        <x:v>0</x:v>
      </x:c>
      <x:c r="H2105" s="8" t="n">
        <x:v>0</x:v>
      </x:c>
      <x:c r="I2105" s="8" t="n">
        <x:v>0</x:v>
      </x:c>
      <x:c r="J2105" s="8" t="n">
        <x:v>0</x:v>
      </x:c>
      <x:c r="K2105" s="8" t="n">
        <x:v>0</x:v>
      </x:c>
      <x:c r="L2105" s="1" t="str">
        <x:v>Нет</x:v>
      </x:c>
      <x:c r="M2105" s="1" t="n">
        <x:v>0</x:v>
      </x:c>
    </x:row>
    <x:row r="2106">
      <x:c r="A2106" s="1" t="str">
        <x:v>230236233</x:v>
      </x:c>
      <x:c r="B2106" s="1" t="str">
        <x:v>shorty/морскаяволна-синий лист</x:v>
      </x:c>
      <x:c r="C2106" s="1" t="str">
        <x:v>Шорты</x:v>
      </x:c>
      <x:c r="D2106" s="9" t="n">
        <x:v>4.9</x:v>
      </x:c>
      <x:c r="E2106" s="8" t="n">
        <x:v>21</x:v>
      </x:c>
      <x:c r="F2106" s="8" t="n">
        <x:v>0</x:v>
      </x:c>
      <x:c r="G2106" s="8" t="n">
        <x:v>0</x:v>
      </x:c>
      <x:c r="H2106" s="8" t="n">
        <x:v>0</x:v>
      </x:c>
      <x:c r="I2106" s="8" t="n">
        <x:v>0</x:v>
      </x:c>
      <x:c r="J2106" s="8" t="n">
        <x:v>0</x:v>
      </x:c>
      <x:c r="K2106" s="8" t="n">
        <x:v>0</x:v>
      </x:c>
      <x:c r="L2106" s="1" t="str">
        <x:v>Нет</x:v>
      </x:c>
      <x:c r="M2106" s="1" t="n">
        <x:v>0</x:v>
      </x:c>
    </x:row>
    <x:row r="2107">
      <x:c r="A2107" s="1" t="str">
        <x:v>231458811</x:v>
      </x:c>
      <x:c r="B2107" s="1" t="str">
        <x:v>futbolkaboy/салатовый</x:v>
      </x:c>
      <x:c r="C2107" s="1" t="str">
        <x:v>Футболки</x:v>
      </x:c>
      <x:c r="D2107" s="9" t="n">
        <x:v>10</x:v>
      </x:c>
      <x:c r="E2107" s="8" t="n">
        <x:v>66</x:v>
      </x:c>
      <x:c r="F2107" s="8" t="n">
        <x:v>0</x:v>
      </x:c>
      <x:c r="G2107" s="8" t="n">
        <x:v>0</x:v>
      </x:c>
      <x:c r="H2107" s="8" t="n">
        <x:v>0</x:v>
      </x:c>
      <x:c r="I2107" s="8" t="n">
        <x:v>0</x:v>
      </x:c>
      <x:c r="J2107" s="8" t="n">
        <x:v>0</x:v>
      </x:c>
      <x:c r="K2107" s="8" t="n">
        <x:v>0</x:v>
      </x:c>
      <x:c r="L2107" s="1" t="str">
        <x:v>Нет</x:v>
      </x:c>
      <x:c r="M2107" s="1" t="n">
        <x:v>0</x:v>
      </x:c>
    </x:row>
    <x:row r="2108">
      <x:c r="A2108" s="1" t="str">
        <x:v>231458812</x:v>
      </x:c>
      <x:c r="B2108" s="1" t="str">
        <x:v>futbolkaboy/зеленый</x:v>
      </x:c>
      <x:c r="C2108" s="1" t="str">
        <x:v>Футболки</x:v>
      </x:c>
      <x:c r="D2108" s="9" t="n">
        <x:v>10</x:v>
      </x:c>
      <x:c r="E2108" s="8" t="n">
        <x:v>38</x:v>
      </x:c>
      <x:c r="F2108" s="8" t="n">
        <x:v>0</x:v>
      </x:c>
      <x:c r="G2108" s="8" t="n">
        <x:v>0</x:v>
      </x:c>
      <x:c r="H2108" s="8" t="n">
        <x:v>100</x:v>
      </x:c>
      <x:c r="I2108" s="8" t="n">
        <x:v>0</x:v>
      </x:c>
      <x:c r="J2108" s="8" t="n">
        <x:v>0</x:v>
      </x:c>
      <x:c r="K2108" s="8" t="n">
        <x:v>0</x:v>
      </x:c>
      <x:c r="L2108" s="1" t="str">
        <x:v>Нет</x:v>
      </x:c>
      <x:c r="M2108" s="1" t="n">
        <x:v>0</x:v>
      </x:c>
    </x:row>
    <x:row r="2109">
      <x:c r="A2109" s="1" t="str">
        <x:v>231993779</x:v>
      </x:c>
      <x:c r="B2109" s="1" t="str">
        <x:v>kroptop/банановый-светло-розовый</x:v>
      </x:c>
      <x:c r="C2109" s="1" t="str">
        <x:v>Футболки</x:v>
      </x:c>
      <x:c r="D2109" s="9" t="n">
        <x:v>5.7</x:v>
      </x:c>
      <x:c r="E2109" s="8" t="n">
        <x:v>1</x:v>
      </x:c>
      <x:c r="F2109" s="8" t="n">
        <x:v>0</x:v>
      </x:c>
      <x:c r="G2109" s="8" t="n">
        <x:v>0</x:v>
      </x:c>
      <x:c r="H2109" s="8" t="n">
        <x:v>0</x:v>
      </x:c>
      <x:c r="I2109" s="8" t="n">
        <x:v>0</x:v>
      </x:c>
      <x:c r="J2109" s="8"/>
      <x:c r="K2109" s="8" t="n">
        <x:v>0</x:v>
      </x:c>
      <x:c r="L2109" s="1" t="str">
        <x:v>Нет</x:v>
      </x:c>
      <x:c r="M2109" s="1"/>
    </x:row>
    <x:row r="2110">
      <x:c r="A2110" s="1" t="str">
        <x:v>232033090</x:v>
      </x:c>
      <x:c r="B2110" s="1" t="str">
        <x:v>futbolkaprint/FukBROOKLYN-116/молочный-жемчужно-белый</x:v>
      </x:c>
      <x:c r="C2110" s="1" t="str">
        <x:v>Футболки</x:v>
      </x:c>
      <x:c r="D2110" s="9" t="n">
        <x:v>5.7</x:v>
      </x:c>
      <x:c r="E2110" s="8" t="n">
        <x:v>56</x:v>
      </x:c>
      <x:c r="F2110" s="8" t="n">
        <x:v>0</x:v>
      </x:c>
      <x:c r="G2110" s="8" t="n">
        <x:v>0</x:v>
      </x:c>
      <x:c r="H2110" s="8" t="n">
        <x:v>0</x:v>
      </x:c>
      <x:c r="I2110" s="8" t="n">
        <x:v>0</x:v>
      </x:c>
      <x:c r="J2110" s="8"/>
      <x:c r="K2110" s="8" t="n">
        <x:v>0</x:v>
      </x:c>
      <x:c r="L2110" s="1" t="str">
        <x:v>Нет</x:v>
      </x:c>
      <x:c r="M2110" s="1"/>
    </x:row>
    <x:row r="2111">
      <x:c r="A2111" s="1" t="str">
        <x:v>232140451</x:v>
      </x:c>
      <x:c r="B2111" s="1" t="str">
        <x:v>hudiman/графит-салатовый</x:v>
      </x:c>
      <x:c r="C2111" s="1" t="str">
        <x:v>Худи</x:v>
      </x:c>
      <x:c r="D2111" s="9" t="n">
        <x:v>5.7</x:v>
      </x:c>
      <x:c r="E2111" s="8" t="n">
        <x:v>2</x:v>
      </x:c>
      <x:c r="F2111" s="8" t="n">
        <x:v>0</x:v>
      </x:c>
      <x:c r="G2111" s="8" t="n">
        <x:v>0</x:v>
      </x:c>
      <x:c r="H2111" s="8" t="n">
        <x:v>0</x:v>
      </x:c>
      <x:c r="I2111" s="8" t="n">
        <x:v>0</x:v>
      </x:c>
      <x:c r="J2111" s="8"/>
      <x:c r="K2111" s="8" t="n">
        <x:v>0</x:v>
      </x:c>
      <x:c r="L2111" s="1" t="str">
        <x:v>Нет</x:v>
      </x:c>
      <x:c r="M2111" s="1"/>
    </x:row>
    <x:row r="2112">
      <x:c r="A2112" s="1" t="str">
        <x:v>232188155</x:v>
      </x:c>
      <x:c r="B2112" s="1" t="str">
        <x:v>kroptop/банановый-дымчатая роза</x:v>
      </x:c>
      <x:c r="C2112" s="1" t="str">
        <x:v>Футболки</x:v>
      </x:c>
      <x:c r="D2112" s="9" t="n">
        <x:v>7.7</x:v>
      </x:c>
      <x:c r="E2112" s="8" t="n">
        <x:v>1</x:v>
      </x:c>
      <x:c r="F2112" s="8" t="n">
        <x:v>0</x:v>
      </x:c>
      <x:c r="G2112" s="8" t="n">
        <x:v>0</x:v>
      </x:c>
      <x:c r="H2112" s="8" t="n">
        <x:v>0</x:v>
      </x:c>
      <x:c r="I2112" s="8" t="n">
        <x:v>0</x:v>
      </x:c>
      <x:c r="J2112" s="8" t="n">
        <x:v>0</x:v>
      </x:c>
      <x:c r="K2112" s="8" t="n">
        <x:v>0</x:v>
      </x:c>
      <x:c r="L2112" s="1" t="str">
        <x:v>Нет</x:v>
      </x:c>
      <x:c r="M2112" s="1" t="n">
        <x:v>0</x:v>
      </x:c>
    </x:row>
    <x:row r="2113">
      <x:c r="A2113" s="1" t="str">
        <x:v>232234752</x:v>
      </x:c>
      <x:c r="B2113" s="1" t="str">
        <x:v>futbolkaprint/Future-154/белый</x:v>
      </x:c>
      <x:c r="C2113" s="1" t="str">
        <x:v>Футболки</x:v>
      </x:c>
      <x:c r="D2113" s="9" t="n">
        <x:v>8.7</x:v>
      </x:c>
      <x:c r="E2113" s="8" t="n">
        <x:v>531</x:v>
      </x:c>
      <x:c r="F2113" s="8" t="n">
        <x:v>0</x:v>
      </x:c>
      <x:c r="G2113" s="8" t="n">
        <x:v>0</x:v>
      </x:c>
      <x:c r="H2113" s="8" t="n">
        <x:v>0</x:v>
      </x:c>
      <x:c r="I2113" s="8" t="n">
        <x:v>0</x:v>
      </x:c>
      <x:c r="J2113" s="8" t="n">
        <x:v>0</x:v>
      </x:c>
      <x:c r="K2113" s="8" t="n">
        <x:v>0</x:v>
      </x:c>
      <x:c r="L2113" s="1" t="str">
        <x:v>Нет</x:v>
      </x:c>
      <x:c r="M2113" s="1" t="n">
        <x:v>0</x:v>
      </x:c>
    </x:row>
    <x:row r="2114">
      <x:c r="A2114" s="1" t="str">
        <x:v>232234773</x:v>
      </x:c>
      <x:c r="B2114" s="1" t="str">
        <x:v>futbolkaprint/BodyMovement-158/белый</x:v>
      </x:c>
      <x:c r="C2114" s="1" t="str">
        <x:v>Футболки</x:v>
      </x:c>
      <x:c r="D2114" s="9" t="n">
        <x:v>8.7</x:v>
      </x:c>
      <x:c r="E2114" s="8" t="n">
        <x:v>473</x:v>
      </x:c>
      <x:c r="F2114" s="8" t="n">
        <x:v>0</x:v>
      </x:c>
      <x:c r="G2114" s="8" t="n">
        <x:v>0</x:v>
      </x:c>
      <x:c r="H2114" s="8" t="n">
        <x:v>0</x:v>
      </x:c>
      <x:c r="I2114" s="8" t="n">
        <x:v>0</x:v>
      </x:c>
      <x:c r="J2114" s="8" t="n">
        <x:v>0</x:v>
      </x:c>
      <x:c r="K2114" s="8" t="n">
        <x:v>0</x:v>
      </x:c>
      <x:c r="L2114" s="1" t="str">
        <x:v>Нет</x:v>
      </x:c>
      <x:c r="M2114" s="1" t="n">
        <x:v>0</x:v>
      </x:c>
    </x:row>
    <x:row r="2115">
      <x:c r="A2115" s="1" t="str">
        <x:v>232234798</x:v>
      </x:c>
      <x:c r="B2115" s="1" t="str">
        <x:v>futbolkaprint/NewFlorida-157/серыймеланж</x:v>
      </x:c>
      <x:c r="C2115" s="1" t="str">
        <x:v>Футболки</x:v>
      </x:c>
      <x:c r="D2115" s="9" t="n">
        <x:v>7.7</x:v>
      </x:c>
      <x:c r="E2115" s="8" t="n">
        <x:v>282</x:v>
      </x:c>
      <x:c r="F2115" s="8" t="n">
        <x:v>0</x:v>
      </x:c>
      <x:c r="G2115" s="8" t="n">
        <x:v>0</x:v>
      </x:c>
      <x:c r="H2115" s="8" t="n">
        <x:v>0</x:v>
      </x:c>
      <x:c r="I2115" s="8" t="n">
        <x:v>0</x:v>
      </x:c>
      <x:c r="J2115" s="8" t="n">
        <x:v>0</x:v>
      </x:c>
      <x:c r="K2115" s="8" t="n">
        <x:v>0</x:v>
      </x:c>
      <x:c r="L2115" s="1" t="str">
        <x:v>Нет</x:v>
      </x:c>
      <x:c r="M2115" s="1" t="n">
        <x:v>0</x:v>
      </x:c>
    </x:row>
    <x:row r="2116">
      <x:c r="A2116" s="1" t="str">
        <x:v>232234808</x:v>
      </x:c>
      <x:c r="B2116" s="1" t="str">
        <x:v>futbolkaprint/Lotus-160/белый</x:v>
      </x:c>
      <x:c r="C2116" s="1" t="str">
        <x:v>Футболки</x:v>
      </x:c>
      <x:c r="D2116" s="9" t="n">
        <x:v>8.7</x:v>
      </x:c>
      <x:c r="E2116" s="8" t="n">
        <x:v>455</x:v>
      </x:c>
      <x:c r="F2116" s="8" t="n">
        <x:v>0</x:v>
      </x:c>
      <x:c r="G2116" s="8" t="n">
        <x:v>0</x:v>
      </x:c>
      <x:c r="H2116" s="8" t="n">
        <x:v>0</x:v>
      </x:c>
      <x:c r="I2116" s="8" t="n">
        <x:v>0</x:v>
      </x:c>
      <x:c r="J2116" s="8" t="n">
        <x:v>0</x:v>
      </x:c>
      <x:c r="K2116" s="8" t="n">
        <x:v>0</x:v>
      </x:c>
      <x:c r="L2116" s="1" t="str">
        <x:v>Нет</x:v>
      </x:c>
      <x:c r="M2116" s="1" t="n">
        <x:v>0</x:v>
      </x:c>
    </x:row>
    <x:row r="2117">
      <x:c r="A2117" s="1" t="str">
        <x:v>232234810</x:v>
      </x:c>
      <x:c r="B2117" s="1" t="str">
        <x:v>hudivish/VillaGarden-13в/белый</x:v>
      </x:c>
      <x:c r="C2117" s="1" t="str">
        <x:v>Худи</x:v>
      </x:c>
      <x:c r="D2117" s="9" t="n">
        <x:v>9.7</x:v>
      </x:c>
      <x:c r="E2117" s="8" t="n">
        <x:v>472</x:v>
      </x:c>
      <x:c r="F2117" s="8" t="n">
        <x:v>0</x:v>
      </x:c>
      <x:c r="G2117" s="8" t="n">
        <x:v>0</x:v>
      </x:c>
      <x:c r="H2117" s="8" t="n">
        <x:v>0</x:v>
      </x:c>
      <x:c r="I2117" s="8" t="n">
        <x:v>0</x:v>
      </x:c>
      <x:c r="J2117" s="8" t="n">
        <x:v>9</x:v>
      </x:c>
      <x:c r="K2117" s="8" t="n">
        <x:v>0</x:v>
      </x:c>
      <x:c r="L2117" s="1" t="str">
        <x:v>Нет</x:v>
      </x:c>
      <x:c r="M2117" s="1" t="n">
        <x:v>12960</x:v>
      </x:c>
    </x:row>
    <x:row r="2118">
      <x:c r="A2118" s="1" t="str">
        <x:v>233210150</x:v>
      </x:c>
      <x:c r="B2118" s="1" t="str">
        <x:v>longsliv/мандариновый-сафари</x:v>
      </x:c>
      <x:c r="C2118" s="1" t="str">
        <x:v>Лонгсливы</x:v>
      </x:c>
      <x:c r="D2118" s="9" t="n">
        <x:v>6.7</x:v>
      </x:c>
      <x:c r="E2118" s="8" t="n">
        <x:v>383</x:v>
      </x:c>
      <x:c r="F2118" s="8" t="n">
        <x:v>1</x:v>
      </x:c>
      <x:c r="G2118" s="8" t="n">
        <x:v>0</x:v>
      </x:c>
      <x:c r="H2118" s="8" t="n">
        <x:v>1</x:v>
      </x:c>
      <x:c r="I2118" s="8" t="n">
        <x:v>0</x:v>
      </x:c>
      <x:c r="J2118" s="8" t="n">
        <x:v>0</x:v>
      </x:c>
      <x:c r="K2118" s="8" t="n">
        <x:v>882</x:v>
      </x:c>
      <x:c r="L2118" s="1" t="str">
        <x:v>Нет</x:v>
      </x:c>
      <x:c r="M2118" s="1" t="n">
        <x:v>0</x:v>
      </x:c>
    </x:row>
    <x:row r="2119">
      <x:c r="A2119" s="1" t="str">
        <x:v>233262517</x:v>
      </x:c>
      <x:c r="B2119" s="1" t="str">
        <x:v>2Nshortyman/светло-зеленый</x:v>
      </x:c>
      <x:c r="C2119" s="1" t="str">
        <x:v>Шорты</x:v>
      </x:c>
      <x:c r="D2119" s="9" t="n">
        <x:v>8.4</x:v>
      </x:c>
      <x:c r="E2119" s="8" t="n">
        <x:v>133</x:v>
      </x:c>
      <x:c r="F2119" s="8" t="n">
        <x:v>0</x:v>
      </x:c>
      <x:c r="G2119" s="8" t="n">
        <x:v>0</x:v>
      </x:c>
      <x:c r="H2119" s="8" t="n">
        <x:v>0</x:v>
      </x:c>
      <x:c r="I2119" s="8" t="n">
        <x:v>0</x:v>
      </x:c>
      <x:c r="J2119" s="8" t="n">
        <x:v>2</x:v>
      </x:c>
      <x:c r="K2119" s="8" t="n">
        <x:v>0</x:v>
      </x:c>
      <x:c r="L2119" s="1" t="str">
        <x:v>Нет</x:v>
      </x:c>
      <x:c r="M2119" s="1" t="n">
        <x:v>2160</x:v>
      </x:c>
    </x:row>
    <x:row r="2120">
      <x:c r="A2120" s="1" t="str">
        <x:v>233262518</x:v>
      </x:c>
      <x:c r="B2120" s="1" t="str">
        <x:v>2Nshortyman/синий</x:v>
      </x:c>
      <x:c r="C2120" s="1" t="str">
        <x:v>Шорты</x:v>
      </x:c>
      <x:c r="D2120" s="9" t="n">
        <x:v>8.4</x:v>
      </x:c>
      <x:c r="E2120" s="8" t="n">
        <x:v>123</x:v>
      </x:c>
      <x:c r="F2120" s="8" t="n">
        <x:v>0</x:v>
      </x:c>
      <x:c r="G2120" s="8" t="n">
        <x:v>0</x:v>
      </x:c>
      <x:c r="H2120" s="8" t="n">
        <x:v>0</x:v>
      </x:c>
      <x:c r="I2120" s="8" t="n">
        <x:v>0</x:v>
      </x:c>
      <x:c r="J2120" s="8" t="n">
        <x:v>6</x:v>
      </x:c>
      <x:c r="K2120" s="8" t="n">
        <x:v>0</x:v>
      </x:c>
      <x:c r="L2120" s="1" t="str">
        <x:v>Нет</x:v>
      </x:c>
      <x:c r="M2120" s="1" t="n">
        <x:v>5400</x:v>
      </x:c>
    </x:row>
    <x:row r="2121">
      <x:c r="A2121" s="1" t="str">
        <x:v>233262519</x:v>
      </x:c>
      <x:c r="B2121" s="1" t="str">
        <x:v>2Nshortyman/темно-серый</x:v>
      </x:c>
      <x:c r="C2121" s="1" t="str">
        <x:v>Шорты</x:v>
      </x:c>
      <x:c r="D2121" s="9" t="n">
        <x:v>8.4</x:v>
      </x:c>
      <x:c r="E2121" s="8" t="n">
        <x:v>117</x:v>
      </x:c>
      <x:c r="F2121" s="8" t="n">
        <x:v>0</x:v>
      </x:c>
      <x:c r="G2121" s="8" t="n">
        <x:v>0</x:v>
      </x:c>
      <x:c r="H2121" s="8" t="n">
        <x:v>0</x:v>
      </x:c>
      <x:c r="I2121" s="8" t="n">
        <x:v>0</x:v>
      </x:c>
      <x:c r="J2121" s="8" t="n">
        <x:v>0</x:v>
      </x:c>
      <x:c r="K2121" s="8" t="n">
        <x:v>0</x:v>
      </x:c>
      <x:c r="L2121" s="1" t="str">
        <x:v>Нет</x:v>
      </x:c>
      <x:c r="M2121" s="1" t="n">
        <x:v>0</x:v>
      </x:c>
    </x:row>
    <x:row r="2122">
      <x:c r="A2122" s="1" t="str">
        <x:v>233550922</x:v>
      </x:c>
      <x:c r="B2122" s="1" t="str">
        <x:v>kulirkaman/зеленый-теплый белый</x:v>
      </x:c>
      <x:c r="C2122" s="1" t="str">
        <x:v>Футболки</x:v>
      </x:c>
      <x:c r="D2122" s="9" t="n">
        <x:v>3.2</x:v>
      </x:c>
      <x:c r="E2122" s="8" t="n">
        <x:v>1762</x:v>
      </x:c>
      <x:c r="F2122" s="8" t="n">
        <x:v>1</x:v>
      </x:c>
      <x:c r="G2122" s="8" t="n">
        <x:v>0</x:v>
      </x:c>
      <x:c r="H2122" s="8" t="n">
        <x:v>1</x:v>
      </x:c>
      <x:c r="I2122" s="8" t="n">
        <x:v>0</x:v>
      </x:c>
      <x:c r="J2122" s="8" t="n">
        <x:v>0</x:v>
      </x:c>
      <x:c r="K2122" s="8" t="n">
        <x:v>1098</x:v>
      </x:c>
      <x:c r="L2122" s="1" t="str">
        <x:v>Нет</x:v>
      </x:c>
      <x:c r="M2122" s="1" t="n">
        <x:v>0</x:v>
      </x:c>
    </x:row>
    <x:row r="2123">
      <x:c r="A2123" s="1" t="str">
        <x:v>233762312</x:v>
      </x:c>
      <x:c r="B2123" s="1" t="str">
        <x:v>bazaboyX3/бел-ден-тсер</x:v>
      </x:c>
      <x:c r="C2123" s="1" t="str">
        <x:v>Футболки</x:v>
      </x:c>
      <x:c r="D2123" s="9" t="n">
        <x:v>9.3</x:v>
      </x:c>
      <x:c r="E2123" s="8" t="n">
        <x:v>20</x:v>
      </x:c>
      <x:c r="F2123" s="8" t="n">
        <x:v>0</x:v>
      </x:c>
      <x:c r="G2123" s="8" t="n">
        <x:v>0</x:v>
      </x:c>
      <x:c r="H2123" s="8" t="n">
        <x:v>0</x:v>
      </x:c>
      <x:c r="I2123" s="8" t="n">
        <x:v>0</x:v>
      </x:c>
      <x:c r="J2123" s="8" t="n">
        <x:v>0</x:v>
      </x:c>
      <x:c r="K2123" s="8" t="n">
        <x:v>0</x:v>
      </x:c>
      <x:c r="L2123" s="1" t="str">
        <x:v>Нет</x:v>
      </x:c>
      <x:c r="M2123" s="1" t="n">
        <x:v>0</x:v>
      </x:c>
    </x:row>
    <x:row r="2124">
      <x:c r="A2124" s="1" t="str">
        <x:v>233776438</x:v>
      </x:c>
      <x:c r="B2124" s="1" t="str">
        <x:v>futbolkaboyX3/бел-ден-тсер</x:v>
      </x:c>
      <x:c r="C2124" s="1" t="str">
        <x:v>Футболки</x:v>
      </x:c>
      <x:c r="D2124" s="9" t="n">
        <x:v>9.3</x:v>
      </x:c>
      <x:c r="E2124" s="8" t="n">
        <x:v>29</x:v>
      </x:c>
      <x:c r="F2124" s="8" t="n">
        <x:v>0</x:v>
      </x:c>
      <x:c r="G2124" s="8" t="n">
        <x:v>0</x:v>
      </x:c>
      <x:c r="H2124" s="8" t="n">
        <x:v>0</x:v>
      </x:c>
      <x:c r="I2124" s="8" t="n">
        <x:v>0</x:v>
      </x:c>
      <x:c r="J2124" s="8" t="n">
        <x:v>0</x:v>
      </x:c>
      <x:c r="K2124" s="8" t="n">
        <x:v>0</x:v>
      </x:c>
      <x:c r="L2124" s="1" t="str">
        <x:v>Нет</x:v>
      </x:c>
      <x:c r="M2124" s="1" t="n">
        <x:v>0</x:v>
      </x:c>
    </x:row>
    <x:row r="2125">
      <x:c r="A2125" s="1" t="str">
        <x:v>233777160</x:v>
      </x:c>
      <x:c r="B2125" s="1" t="str">
        <x:v>bazaboyX3/ден-син-чер</x:v>
      </x:c>
      <x:c r="C2125" s="1" t="str">
        <x:v>Футболки</x:v>
      </x:c>
      <x:c r="D2125" s="9" t="n">
        <x:v>9.3</x:v>
      </x:c>
      <x:c r="E2125" s="8" t="n">
        <x:v>24</x:v>
      </x:c>
      <x:c r="F2125" s="8" t="n">
        <x:v>0</x:v>
      </x:c>
      <x:c r="G2125" s="8" t="n">
        <x:v>0</x:v>
      </x:c>
      <x:c r="H2125" s="8" t="n">
        <x:v>0</x:v>
      </x:c>
      <x:c r="I2125" s="8" t="n">
        <x:v>0</x:v>
      </x:c>
      <x:c r="J2125" s="8" t="n">
        <x:v>0</x:v>
      </x:c>
      <x:c r="K2125" s="8" t="n">
        <x:v>0</x:v>
      </x:c>
      <x:c r="L2125" s="1" t="str">
        <x:v>Нет</x:v>
      </x:c>
      <x:c r="M2125" s="1" t="n">
        <x:v>0</x:v>
      </x:c>
    </x:row>
    <x:row r="2126">
      <x:c r="A2126" s="1" t="str">
        <x:v>233777166</x:v>
      </x:c>
      <x:c r="B2126" s="1" t="str">
        <x:v>bazaboyX3/бел-кор-шал</x:v>
      </x:c>
      <x:c r="C2126" s="1" t="str">
        <x:v>Футболки</x:v>
      </x:c>
      <x:c r="D2126" s="9" t="n">
        <x:v>9.3</x:v>
      </x:c>
      <x:c r="E2126" s="8" t="n">
        <x:v>24</x:v>
      </x:c>
      <x:c r="F2126" s="8" t="n">
        <x:v>0</x:v>
      </x:c>
      <x:c r="G2126" s="8" t="n">
        <x:v>0</x:v>
      </x:c>
      <x:c r="H2126" s="8" t="n">
        <x:v>0</x:v>
      </x:c>
      <x:c r="I2126" s="8" t="n">
        <x:v>0</x:v>
      </x:c>
      <x:c r="J2126" s="8" t="n">
        <x:v>0</x:v>
      </x:c>
      <x:c r="K2126" s="8" t="n">
        <x:v>0</x:v>
      </x:c>
      <x:c r="L2126" s="1" t="str">
        <x:v>Нет</x:v>
      </x:c>
      <x:c r="M2126" s="1" t="n">
        <x:v>0</x:v>
      </x:c>
    </x:row>
    <x:row r="2127">
      <x:c r="A2127" s="1" t="str">
        <x:v>233777167</x:v>
      </x:c>
      <x:c r="B2127" s="1" t="str">
        <x:v>bazagirlX3/бел-сер-роз</x:v>
      </x:c>
      <x:c r="C2127" s="1" t="str">
        <x:v>Футболки</x:v>
      </x:c>
      <x:c r="D2127" s="9" t="n">
        <x:v>9.3</x:v>
      </x:c>
      <x:c r="E2127" s="8" t="n">
        <x:v>78</x:v>
      </x:c>
      <x:c r="F2127" s="8" t="n">
        <x:v>0</x:v>
      </x:c>
      <x:c r="G2127" s="8" t="n">
        <x:v>0</x:v>
      </x:c>
      <x:c r="H2127" s="8" t="n">
        <x:v>0</x:v>
      </x:c>
      <x:c r="I2127" s="8" t="n">
        <x:v>0</x:v>
      </x:c>
      <x:c r="J2127" s="8" t="n">
        <x:v>0</x:v>
      </x:c>
      <x:c r="K2127" s="8" t="n">
        <x:v>0</x:v>
      </x:c>
      <x:c r="L2127" s="1" t="str">
        <x:v>Нет</x:v>
      </x:c>
      <x:c r="M2127" s="1" t="n">
        <x:v>0</x:v>
      </x:c>
    </x:row>
    <x:row r="2128">
      <x:c r="A2128" s="1" t="str">
        <x:v>233777169</x:v>
      </x:c>
      <x:c r="B2128" s="1" t="str">
        <x:v>bazaboyX3/как-сер-чер</x:v>
      </x:c>
      <x:c r="C2128" s="1" t="str">
        <x:v>Футболки</x:v>
      </x:c>
      <x:c r="D2128" s="9" t="n">
        <x:v>9.3</x:v>
      </x:c>
      <x:c r="E2128" s="8" t="n">
        <x:v>25</x:v>
      </x:c>
      <x:c r="F2128" s="8" t="n">
        <x:v>0</x:v>
      </x:c>
      <x:c r="G2128" s="8" t="n">
        <x:v>0</x:v>
      </x:c>
      <x:c r="H2128" s="8" t="n">
        <x:v>0</x:v>
      </x:c>
      <x:c r="I2128" s="8" t="n">
        <x:v>0</x:v>
      </x:c>
      <x:c r="J2128" s="8" t="n">
        <x:v>0</x:v>
      </x:c>
      <x:c r="K2128" s="8" t="n">
        <x:v>0</x:v>
      </x:c>
      <x:c r="L2128" s="1" t="str">
        <x:v>Нет</x:v>
      </x:c>
      <x:c r="M2128" s="1" t="n">
        <x:v>0</x:v>
      </x:c>
    </x:row>
    <x:row r="2129">
      <x:c r="A2129" s="1" t="str">
        <x:v>233777170</x:v>
      </x:c>
      <x:c r="B2129" s="1" t="str">
        <x:v>bazaboyX3/шал-чер-бел</x:v>
      </x:c>
      <x:c r="C2129" s="1" t="str">
        <x:v>Футболки</x:v>
      </x:c>
      <x:c r="D2129" s="9" t="n">
        <x:v>9.3</x:v>
      </x:c>
      <x:c r="E2129" s="8" t="n">
        <x:v>17</x:v>
      </x:c>
      <x:c r="F2129" s="8" t="n">
        <x:v>0</x:v>
      </x:c>
      <x:c r="G2129" s="8" t="n">
        <x:v>0</x:v>
      </x:c>
      <x:c r="H2129" s="8" t="n">
        <x:v>0</x:v>
      </x:c>
      <x:c r="I2129" s="8" t="n">
        <x:v>0</x:v>
      </x:c>
      <x:c r="J2129" s="8" t="n">
        <x:v>0</x:v>
      </x:c>
      <x:c r="K2129" s="8" t="n">
        <x:v>0</x:v>
      </x:c>
      <x:c r="L2129" s="1" t="str">
        <x:v>Нет</x:v>
      </x:c>
      <x:c r="M2129" s="1" t="n">
        <x:v>0</x:v>
      </x:c>
    </x:row>
    <x:row r="2130">
      <x:c r="A2130" s="1" t="str">
        <x:v>233777171</x:v>
      </x:c>
      <x:c r="B2130" s="1" t="str">
        <x:v>bazagirlX3/бел-тсер-роз</x:v>
      </x:c>
      <x:c r="C2130" s="1" t="str">
        <x:v>Футболки</x:v>
      </x:c>
      <x:c r="D2130" s="9" t="n">
        <x:v>9.3</x:v>
      </x:c>
      <x:c r="E2130" s="8" t="n">
        <x:v>23</x:v>
      </x:c>
      <x:c r="F2130" s="8" t="n">
        <x:v>0</x:v>
      </x:c>
      <x:c r="G2130" s="8" t="n">
        <x:v>0</x:v>
      </x:c>
      <x:c r="H2130" s="8" t="n">
        <x:v>0</x:v>
      </x:c>
      <x:c r="I2130" s="8" t="n">
        <x:v>0</x:v>
      </x:c>
      <x:c r="J2130" s="8" t="n">
        <x:v>0</x:v>
      </x:c>
      <x:c r="K2130" s="8" t="n">
        <x:v>0</x:v>
      </x:c>
      <x:c r="L2130" s="1" t="str">
        <x:v>Нет</x:v>
      </x:c>
      <x:c r="M2130" s="1" t="n">
        <x:v>0</x:v>
      </x:c>
    </x:row>
    <x:row r="2131">
      <x:c r="A2131" s="1" t="str">
        <x:v>233777174</x:v>
      </x:c>
      <x:c r="B2131" s="1" t="str">
        <x:v>futbolkaboyX3/ден-син-чер</x:v>
      </x:c>
      <x:c r="C2131" s="1" t="str">
        <x:v>Футболки</x:v>
      </x:c>
      <x:c r="D2131" s="9" t="n">
        <x:v>9.3</x:v>
      </x:c>
      <x:c r="E2131" s="8" t="n">
        <x:v>69</x:v>
      </x:c>
      <x:c r="F2131" s="8" t="n">
        <x:v>0</x:v>
      </x:c>
      <x:c r="G2131" s="8" t="n">
        <x:v>0</x:v>
      </x:c>
      <x:c r="H2131" s="8" t="n">
        <x:v>0</x:v>
      </x:c>
      <x:c r="I2131" s="8" t="n">
        <x:v>0</x:v>
      </x:c>
      <x:c r="J2131" s="8" t="n">
        <x:v>0</x:v>
      </x:c>
      <x:c r="K2131" s="8" t="n">
        <x:v>0</x:v>
      </x:c>
      <x:c r="L2131" s="1" t="str">
        <x:v>Нет</x:v>
      </x:c>
      <x:c r="M2131" s="1" t="n">
        <x:v>0</x:v>
      </x:c>
    </x:row>
    <x:row r="2132">
      <x:c r="A2132" s="1" t="str">
        <x:v>233777176</x:v>
      </x:c>
      <x:c r="B2132" s="1" t="str">
        <x:v>futbolkaboyX3/бел-чер-тсер</x:v>
      </x:c>
      <x:c r="C2132" s="1" t="str">
        <x:v>Футболки</x:v>
      </x:c>
      <x:c r="D2132" s="9" t="n">
        <x:v>9.3</x:v>
      </x:c>
      <x:c r="E2132" s="8" t="n">
        <x:v>24</x:v>
      </x:c>
      <x:c r="F2132" s="8" t="n">
        <x:v>0</x:v>
      </x:c>
      <x:c r="G2132" s="8" t="n">
        <x:v>0</x:v>
      </x:c>
      <x:c r="H2132" s="8" t="n">
        <x:v>0</x:v>
      </x:c>
      <x:c r="I2132" s="8" t="n">
        <x:v>0</x:v>
      </x:c>
      <x:c r="J2132" s="8" t="n">
        <x:v>0</x:v>
      </x:c>
      <x:c r="K2132" s="8" t="n">
        <x:v>0</x:v>
      </x:c>
      <x:c r="L2132" s="1" t="str">
        <x:v>Нет</x:v>
      </x:c>
      <x:c r="M2132" s="1" t="n">
        <x:v>0</x:v>
      </x:c>
    </x:row>
    <x:row r="2133">
      <x:c r="A2133" s="1" t="str">
        <x:v>233777177</x:v>
      </x:c>
      <x:c r="B2133" s="1" t="str">
        <x:v>bazagirlX3/сер-шал-бел</x:v>
      </x:c>
      <x:c r="C2133" s="1" t="str">
        <x:v>Футболки</x:v>
      </x:c>
      <x:c r="D2133" s="9" t="n">
        <x:v>9.3</x:v>
      </x:c>
      <x:c r="E2133" s="8" t="n">
        <x:v>15</x:v>
      </x:c>
      <x:c r="F2133" s="8" t="n">
        <x:v>0</x:v>
      </x:c>
      <x:c r="G2133" s="8" t="n">
        <x:v>0</x:v>
      </x:c>
      <x:c r="H2133" s="8" t="n">
        <x:v>0</x:v>
      </x:c>
      <x:c r="I2133" s="8" t="n">
        <x:v>0</x:v>
      </x:c>
      <x:c r="J2133" s="8" t="n">
        <x:v>0</x:v>
      </x:c>
      <x:c r="K2133" s="8" t="n">
        <x:v>0</x:v>
      </x:c>
      <x:c r="L2133" s="1" t="str">
        <x:v>Нет</x:v>
      </x:c>
      <x:c r="M2133" s="1" t="n">
        <x:v>0</x:v>
      </x:c>
    </x:row>
    <x:row r="2134">
      <x:c r="A2134" s="1" t="str">
        <x:v>233777178</x:v>
      </x:c>
      <x:c r="B2134" s="1" t="str">
        <x:v>futbolkagirlX3/бел-сер-роз</x:v>
      </x:c>
      <x:c r="C2134" s="1" t="str">
        <x:v>Футболки</x:v>
      </x:c>
      <x:c r="D2134" s="9" t="n">
        <x:v>9.3</x:v>
      </x:c>
      <x:c r="E2134" s="8" t="n">
        <x:v>23</x:v>
      </x:c>
      <x:c r="F2134" s="8" t="n">
        <x:v>0</x:v>
      </x:c>
      <x:c r="G2134" s="8" t="n">
        <x:v>0</x:v>
      </x:c>
      <x:c r="H2134" s="8" t="n">
        <x:v>0</x:v>
      </x:c>
      <x:c r="I2134" s="8" t="n">
        <x:v>0</x:v>
      </x:c>
      <x:c r="J2134" s="8" t="n">
        <x:v>0</x:v>
      </x:c>
      <x:c r="K2134" s="8" t="n">
        <x:v>0</x:v>
      </x:c>
      <x:c r="L2134" s="1" t="str">
        <x:v>Нет</x:v>
      </x:c>
      <x:c r="M2134" s="1" t="n">
        <x:v>0</x:v>
      </x:c>
    </x:row>
    <x:row r="2135">
      <x:c r="A2135" s="1" t="str">
        <x:v>233777179</x:v>
      </x:c>
      <x:c r="B2135" s="1" t="str">
        <x:v>futbolkagirlX3/бел-ден-роз</x:v>
      </x:c>
      <x:c r="C2135" s="1" t="str">
        <x:v>Футболки</x:v>
      </x:c>
      <x:c r="D2135" s="9" t="n">
        <x:v>10</x:v>
      </x:c>
      <x:c r="E2135" s="8" t="n">
        <x:v>78</x:v>
      </x:c>
      <x:c r="F2135" s="8" t="n">
        <x:v>0</x:v>
      </x:c>
      <x:c r="G2135" s="8" t="n">
        <x:v>0</x:v>
      </x:c>
      <x:c r="H2135" s="8" t="n">
        <x:v>0</x:v>
      </x:c>
      <x:c r="I2135" s="8" t="n">
        <x:v>0</x:v>
      </x:c>
      <x:c r="J2135" s="8" t="n">
        <x:v>2</x:v>
      </x:c>
      <x:c r="K2135" s="8" t="n">
        <x:v>0</x:v>
      </x:c>
      <x:c r="L2135" s="1" t="str">
        <x:v>Нет</x:v>
      </x:c>
      <x:c r="M2135" s="1" t="n">
        <x:v>1270</x:v>
      </x:c>
    </x:row>
    <x:row r="2136">
      <x:c r="A2136" s="1" t="str">
        <x:v>233777182</x:v>
      </x:c>
      <x:c r="B2136" s="1" t="str">
        <x:v>futbolkaboyX3/чер-тсер-син</x:v>
      </x:c>
      <x:c r="C2136" s="1" t="str">
        <x:v>Футболки</x:v>
      </x:c>
      <x:c r="D2136" s="9" t="n">
        <x:v>9.3</x:v>
      </x:c>
      <x:c r="E2136" s="8" t="n">
        <x:v>25</x:v>
      </x:c>
      <x:c r="F2136" s="8" t="n">
        <x:v>0</x:v>
      </x:c>
      <x:c r="G2136" s="8" t="n">
        <x:v>0</x:v>
      </x:c>
      <x:c r="H2136" s="8" t="n">
        <x:v>0</x:v>
      </x:c>
      <x:c r="I2136" s="8" t="n">
        <x:v>0</x:v>
      </x:c>
      <x:c r="J2136" s="8" t="n">
        <x:v>0</x:v>
      </x:c>
      <x:c r="K2136" s="8" t="n">
        <x:v>0</x:v>
      </x:c>
      <x:c r="L2136" s="1" t="str">
        <x:v>Нет</x:v>
      </x:c>
      <x:c r="M2136" s="1" t="n">
        <x:v>0</x:v>
      </x:c>
    </x:row>
    <x:row r="2137">
      <x:c r="A2137" s="1" t="str">
        <x:v>233777184</x:v>
      </x:c>
      <x:c r="B2137" s="1" t="str">
        <x:v>futbolkagirlX3/сер-шал-бел</x:v>
      </x:c>
      <x:c r="C2137" s="1" t="str">
        <x:v>Футболки</x:v>
      </x:c>
      <x:c r="D2137" s="9" t="n">
        <x:v>9.3</x:v>
      </x:c>
      <x:c r="E2137" s="8" t="n">
        <x:v>14</x:v>
      </x:c>
      <x:c r="F2137" s="8" t="n">
        <x:v>0</x:v>
      </x:c>
      <x:c r="G2137" s="8" t="n">
        <x:v>0</x:v>
      </x:c>
      <x:c r="H2137" s="8" t="n">
        <x:v>0</x:v>
      </x:c>
      <x:c r="I2137" s="8" t="n">
        <x:v>0</x:v>
      </x:c>
      <x:c r="J2137" s="8" t="n">
        <x:v>0</x:v>
      </x:c>
      <x:c r="K2137" s="8" t="n">
        <x:v>0</x:v>
      </x:c>
      <x:c r="L2137" s="1" t="str">
        <x:v>Нет</x:v>
      </x:c>
      <x:c r="M2137" s="1" t="n">
        <x:v>0</x:v>
      </x:c>
    </x:row>
    <x:row r="2138">
      <x:c r="A2138" s="1" t="str">
        <x:v>233777185</x:v>
      </x:c>
      <x:c r="B2138" s="1" t="str">
        <x:v>futbolkaboyX3/ден-сер-шал</x:v>
      </x:c>
      <x:c r="C2138" s="1" t="str">
        <x:v>Футболки</x:v>
      </x:c>
      <x:c r="D2138" s="9" t="n">
        <x:v>9.3</x:v>
      </x:c>
      <x:c r="E2138" s="8" t="n">
        <x:v>344</x:v>
      </x:c>
      <x:c r="F2138" s="8" t="n">
        <x:v>0</x:v>
      </x:c>
      <x:c r="G2138" s="8" t="n">
        <x:v>0</x:v>
      </x:c>
      <x:c r="H2138" s="8" t="n">
        <x:v>0</x:v>
      </x:c>
      <x:c r="I2138" s="8" t="n">
        <x:v>0</x:v>
      </x:c>
      <x:c r="J2138" s="8" t="n">
        <x:v>2</x:v>
      </x:c>
      <x:c r="K2138" s="8" t="n">
        <x:v>0</x:v>
      </x:c>
      <x:c r="L2138" s="1" t="str">
        <x:v>Нет</x:v>
      </x:c>
      <x:c r="M2138" s="1" t="n">
        <x:v>2800</x:v>
      </x:c>
    </x:row>
    <x:row r="2139">
      <x:c r="A2139" s="1" t="str">
        <x:v>233777186</x:v>
      </x:c>
      <x:c r="B2139" s="1" t="str">
        <x:v>futbolkaboyX3/бел-сер-син</x:v>
      </x:c>
      <x:c r="C2139" s="1" t="str">
        <x:v>Футболки</x:v>
      </x:c>
      <x:c r="D2139" s="9" t="n">
        <x:v>9.3</x:v>
      </x:c>
      <x:c r="E2139" s="8" t="n">
        <x:v>66</x:v>
      </x:c>
      <x:c r="F2139" s="8" t="n">
        <x:v>0</x:v>
      </x:c>
      <x:c r="G2139" s="8" t="n">
        <x:v>0</x:v>
      </x:c>
      <x:c r="H2139" s="8" t="n">
        <x:v>0</x:v>
      </x:c>
      <x:c r="I2139" s="8" t="n">
        <x:v>0</x:v>
      </x:c>
      <x:c r="J2139" s="8" t="n">
        <x:v>0</x:v>
      </x:c>
      <x:c r="K2139" s="8" t="n">
        <x:v>0</x:v>
      </x:c>
      <x:c r="L2139" s="1" t="str">
        <x:v>Нет</x:v>
      </x:c>
      <x:c r="M2139" s="1" t="n">
        <x:v>0</x:v>
      </x:c>
    </x:row>
    <x:row r="2140">
      <x:c r="A2140" s="1" t="str">
        <x:v>233777188</x:v>
      </x:c>
      <x:c r="B2140" s="1" t="str">
        <x:v>futbolkagirlX3/бел-тсер-роз</x:v>
      </x:c>
      <x:c r="C2140" s="1" t="str">
        <x:v>Футболки</x:v>
      </x:c>
      <x:c r="D2140" s="9" t="n">
        <x:v>9.3</x:v>
      </x:c>
      <x:c r="E2140" s="8" t="n">
        <x:v>90</x:v>
      </x:c>
      <x:c r="F2140" s="8" t="n">
        <x:v>0</x:v>
      </x:c>
      <x:c r="G2140" s="8" t="n">
        <x:v>0</x:v>
      </x:c>
      <x:c r="H2140" s="8" t="n">
        <x:v>0</x:v>
      </x:c>
      <x:c r="I2140" s="8" t="n">
        <x:v>0</x:v>
      </x:c>
      <x:c r="J2140" s="8" t="n">
        <x:v>0</x:v>
      </x:c>
      <x:c r="K2140" s="8" t="n">
        <x:v>0</x:v>
      </x:c>
      <x:c r="L2140" s="1" t="str">
        <x:v>Нет</x:v>
      </x:c>
      <x:c r="M2140" s="1" t="n">
        <x:v>0</x:v>
      </x:c>
    </x:row>
    <x:row r="2141">
      <x:c r="A2141" s="1" t="str">
        <x:v>233777189</x:v>
      </x:c>
      <x:c r="B2141" s="1" t="str">
        <x:v>bazaboyX3/чер-тсер-син</x:v>
      </x:c>
      <x:c r="C2141" s="1" t="str">
        <x:v>Футболки</x:v>
      </x:c>
      <x:c r="D2141" s="9" t="n">
        <x:v>9.3</x:v>
      </x:c>
      <x:c r="E2141" s="8" t="n">
        <x:v>22</x:v>
      </x:c>
      <x:c r="F2141" s="8" t="n">
        <x:v>0</x:v>
      </x:c>
      <x:c r="G2141" s="8" t="n">
        <x:v>0</x:v>
      </x:c>
      <x:c r="H2141" s="8" t="n">
        <x:v>0</x:v>
      </x:c>
      <x:c r="I2141" s="8" t="n">
        <x:v>0</x:v>
      </x:c>
      <x:c r="J2141" s="8" t="n">
        <x:v>0</x:v>
      </x:c>
      <x:c r="K2141" s="8" t="n">
        <x:v>0</x:v>
      </x:c>
      <x:c r="L2141" s="1" t="str">
        <x:v>Нет</x:v>
      </x:c>
      <x:c r="M2141" s="1" t="n">
        <x:v>0</x:v>
      </x:c>
    </x:row>
    <x:row r="2142">
      <x:c r="A2142" s="1" t="str">
        <x:v>233777191</x:v>
      </x:c>
      <x:c r="B2142" s="1" t="str">
        <x:v>bazaboyX3/бел-сер-син</x:v>
      </x:c>
      <x:c r="C2142" s="1" t="str">
        <x:v>Футболки</x:v>
      </x:c>
      <x:c r="D2142" s="9" t="n">
        <x:v>10</x:v>
      </x:c>
      <x:c r="E2142" s="8" t="n">
        <x:v>28</x:v>
      </x:c>
      <x:c r="F2142" s="8" t="n">
        <x:v>0</x:v>
      </x:c>
      <x:c r="G2142" s="8" t="n">
        <x:v>0</x:v>
      </x:c>
      <x:c r="H2142" s="8" t="n">
        <x:v>0</x:v>
      </x:c>
      <x:c r="I2142" s="8" t="n">
        <x:v>0</x:v>
      </x:c>
      <x:c r="J2142" s="8" t="n">
        <x:v>0</x:v>
      </x:c>
      <x:c r="K2142" s="8" t="n">
        <x:v>0</x:v>
      </x:c>
      <x:c r="L2142" s="1" t="str">
        <x:v>Нет</x:v>
      </x:c>
      <x:c r="M2142" s="1" t="n">
        <x:v>0</x:v>
      </x:c>
    </x:row>
    <x:row r="2143">
      <x:c r="A2143" s="1" t="str">
        <x:v>233777192</x:v>
      </x:c>
      <x:c r="B2143" s="1" t="str">
        <x:v>futbolkaboyX3/бел-кор-шал</x:v>
      </x:c>
      <x:c r="C2143" s="1" t="str">
        <x:v>Футболки</x:v>
      </x:c>
      <x:c r="D2143" s="9" t="n">
        <x:v>9.3</x:v>
      </x:c>
      <x:c r="E2143" s="8" t="n">
        <x:v>45</x:v>
      </x:c>
      <x:c r="F2143" s="8" t="n">
        <x:v>0</x:v>
      </x:c>
      <x:c r="G2143" s="8" t="n">
        <x:v>0</x:v>
      </x:c>
      <x:c r="H2143" s="8" t="n">
        <x:v>0</x:v>
      </x:c>
      <x:c r="I2143" s="8" t="n">
        <x:v>0</x:v>
      </x:c>
      <x:c r="J2143" s="8" t="n">
        <x:v>0</x:v>
      </x:c>
      <x:c r="K2143" s="8" t="n">
        <x:v>0</x:v>
      </x:c>
      <x:c r="L2143" s="1" t="str">
        <x:v>Нет</x:v>
      </x:c>
      <x:c r="M2143" s="1" t="n">
        <x:v>0</x:v>
      </x:c>
    </x:row>
    <x:row r="2144">
      <x:c r="A2144" s="1" t="str">
        <x:v>233777193</x:v>
      </x:c>
      <x:c r="B2144" s="1" t="str">
        <x:v>bazagirlX3/бел-ден-роз</x:v>
      </x:c>
      <x:c r="C2144" s="1" t="str">
        <x:v>Футболки</x:v>
      </x:c>
      <x:c r="D2144" s="9" t="n">
        <x:v>9.3</x:v>
      </x:c>
      <x:c r="E2144" s="8" t="n">
        <x:v>18</x:v>
      </x:c>
      <x:c r="F2144" s="8" t="n">
        <x:v>0</x:v>
      </x:c>
      <x:c r="G2144" s="8" t="n">
        <x:v>0</x:v>
      </x:c>
      <x:c r="H2144" s="8" t="n">
        <x:v>0</x:v>
      </x:c>
      <x:c r="I2144" s="8" t="n">
        <x:v>0</x:v>
      </x:c>
      <x:c r="J2144" s="8" t="n">
        <x:v>0</x:v>
      </x:c>
      <x:c r="K2144" s="8" t="n">
        <x:v>0</x:v>
      </x:c>
      <x:c r="L2144" s="1" t="str">
        <x:v>Нет</x:v>
      </x:c>
      <x:c r="M2144" s="1" t="n">
        <x:v>0</x:v>
      </x:c>
    </x:row>
    <x:row r="2145">
      <x:c r="A2145" s="1" t="str">
        <x:v>233777194</x:v>
      </x:c>
      <x:c r="B2145" s="1" t="str">
        <x:v>bazaboyX3/бел-чер-тсер</x:v>
      </x:c>
      <x:c r="C2145" s="1" t="str">
        <x:v>Футболки</x:v>
      </x:c>
      <x:c r="D2145" s="9" t="n">
        <x:v>9.3</x:v>
      </x:c>
      <x:c r="E2145" s="8" t="n">
        <x:v>26</x:v>
      </x:c>
      <x:c r="F2145" s="8" t="n">
        <x:v>0</x:v>
      </x:c>
      <x:c r="G2145" s="8" t="n">
        <x:v>0</x:v>
      </x:c>
      <x:c r="H2145" s="8" t="n">
        <x:v>0</x:v>
      </x:c>
      <x:c r="I2145" s="8" t="n">
        <x:v>0</x:v>
      </x:c>
      <x:c r="J2145" s="8" t="n">
        <x:v>0</x:v>
      </x:c>
      <x:c r="K2145" s="8" t="n">
        <x:v>0</x:v>
      </x:c>
      <x:c r="L2145" s="1" t="str">
        <x:v>Нет</x:v>
      </x:c>
      <x:c r="M2145" s="1" t="n">
        <x:v>0</x:v>
      </x:c>
    </x:row>
    <x:row r="2146">
      <x:c r="A2146" s="1" t="str">
        <x:v>233777196</x:v>
      </x:c>
      <x:c r="B2146" s="1" t="str">
        <x:v>futbolkaboyX3/шал-чер-бел</x:v>
      </x:c>
      <x:c r="C2146" s="1" t="str">
        <x:v>Футболки</x:v>
      </x:c>
      <x:c r="D2146" s="9" t="n">
        <x:v>9.3</x:v>
      </x:c>
      <x:c r="E2146" s="8" t="n">
        <x:v>12</x:v>
      </x:c>
      <x:c r="F2146" s="8" t="n">
        <x:v>0</x:v>
      </x:c>
      <x:c r="G2146" s="8" t="n">
        <x:v>0</x:v>
      </x:c>
      <x:c r="H2146" s="8" t="n">
        <x:v>0</x:v>
      </x:c>
      <x:c r="I2146" s="8" t="n">
        <x:v>0</x:v>
      </x:c>
      <x:c r="J2146" s="8" t="n">
        <x:v>0</x:v>
      </x:c>
      <x:c r="K2146" s="8" t="n">
        <x:v>0</x:v>
      </x:c>
      <x:c r="L2146" s="1" t="str">
        <x:v>Нет</x:v>
      </x:c>
      <x:c r="M2146" s="1" t="n">
        <x:v>0</x:v>
      </x:c>
    </x:row>
    <x:row r="2147">
      <x:c r="A2147" s="1" t="str">
        <x:v>233777198</x:v>
      </x:c>
      <x:c r="B2147" s="1" t="str">
        <x:v>futbolkaboyX3/сер-хак-тсер</x:v>
      </x:c>
      <x:c r="C2147" s="1" t="str">
        <x:v>Футболки</x:v>
      </x:c>
      <x:c r="D2147" s="9" t="n">
        <x:v>9.3</x:v>
      </x:c>
      <x:c r="E2147" s="8" t="n">
        <x:v>106</x:v>
      </x:c>
      <x:c r="F2147" s="8" t="n">
        <x:v>0</x:v>
      </x:c>
      <x:c r="G2147" s="8" t="n">
        <x:v>0</x:v>
      </x:c>
      <x:c r="H2147" s="8" t="n">
        <x:v>0</x:v>
      </x:c>
      <x:c r="I2147" s="8" t="n">
        <x:v>0</x:v>
      </x:c>
      <x:c r="J2147" s="8" t="n">
        <x:v>1</x:v>
      </x:c>
      <x:c r="K2147" s="8" t="n">
        <x:v>0</x:v>
      </x:c>
      <x:c r="L2147" s="1" t="str">
        <x:v>Нет</x:v>
      </x:c>
      <x:c r="M2147" s="1" t="n">
        <x:v>1225</x:v>
      </x:c>
    </x:row>
    <x:row r="2148">
      <x:c r="A2148" s="1" t="str">
        <x:v>233777201</x:v>
      </x:c>
      <x:c r="B2148" s="1" t="str">
        <x:v>bazaboyX3/сер-хак-тсер</x:v>
      </x:c>
      <x:c r="C2148" s="1" t="str">
        <x:v>Футболки</x:v>
      </x:c>
      <x:c r="D2148" s="9" t="n">
        <x:v>9.3</x:v>
      </x:c>
      <x:c r="E2148" s="8" t="n">
        <x:v>24</x:v>
      </x:c>
      <x:c r="F2148" s="8" t="n">
        <x:v>0</x:v>
      </x:c>
      <x:c r="G2148" s="8" t="n">
        <x:v>0</x:v>
      </x:c>
      <x:c r="H2148" s="8" t="n">
        <x:v>0</x:v>
      </x:c>
      <x:c r="I2148" s="8" t="n">
        <x:v>0</x:v>
      </x:c>
      <x:c r="J2148" s="8" t="n">
        <x:v>0</x:v>
      </x:c>
      <x:c r="K2148" s="8" t="n">
        <x:v>0</x:v>
      </x:c>
      <x:c r="L2148" s="1" t="str">
        <x:v>Нет</x:v>
      </x:c>
      <x:c r="M2148" s="1" t="n">
        <x:v>0</x:v>
      </x:c>
    </x:row>
    <x:row r="2149">
      <x:c r="A2149" s="1" t="str">
        <x:v>233979545</x:v>
      </x:c>
      <x:c r="B2149" s="1" t="str">
        <x:v>futbolkamanX3/белый</x:v>
      </x:c>
      <x:c r="C2149" s="1" t="str">
        <x:v>Футболки</x:v>
      </x:c>
      <x:c r="D2149" s="9" t="n">
        <x:v>8.7</x:v>
      </x:c>
      <x:c r="E2149" s="8" t="n">
        <x:v>1587</x:v>
      </x:c>
      <x:c r="F2149" s="8" t="n">
        <x:v>0</x:v>
      </x:c>
      <x:c r="G2149" s="8" t="n">
        <x:v>0</x:v>
      </x:c>
      <x:c r="H2149" s="8" t="n">
        <x:v>0</x:v>
      </x:c>
      <x:c r="I2149" s="8" t="n">
        <x:v>0</x:v>
      </x:c>
      <x:c r="J2149" s="8" t="n">
        <x:v>0</x:v>
      </x:c>
      <x:c r="K2149" s="8" t="n">
        <x:v>0</x:v>
      </x:c>
      <x:c r="L2149" s="1" t="str">
        <x:v>Нет</x:v>
      </x:c>
      <x:c r="M2149" s="1" t="n">
        <x:v>0</x:v>
      </x:c>
    </x:row>
    <x:row r="2150">
      <x:c r="A2150" s="1" t="str">
        <x:v>234287040</x:v>
      </x:c>
      <x:c r="B2150" s="1" t="str">
        <x:v>svitshotpetl/серыймеланж2</x:v>
      </x:c>
      <x:c r="C2150" s="1" t="str">
        <x:v>Свитшоты</x:v>
      </x:c>
      <x:c r="D2150" s="9" t="n">
        <x:v>8.7</x:v>
      </x:c>
      <x:c r="E2150" s="8" t="n">
        <x:v>995</x:v>
      </x:c>
      <x:c r="F2150" s="8" t="n">
        <x:v>0</x:v>
      </x:c>
      <x:c r="G2150" s="8" t="n">
        <x:v>0</x:v>
      </x:c>
      <x:c r="H2150" s="8" t="n">
        <x:v>0</x:v>
      </x:c>
      <x:c r="I2150" s="8" t="n">
        <x:v>0</x:v>
      </x:c>
      <x:c r="J2150" s="8" t="n">
        <x:v>0</x:v>
      </x:c>
      <x:c r="K2150" s="8" t="n">
        <x:v>0</x:v>
      </x:c>
      <x:c r="L2150" s="1" t="str">
        <x:v>Нет</x:v>
      </x:c>
      <x:c r="M2150" s="1" t="n">
        <x:v>0</x:v>
      </x:c>
    </x:row>
    <x:row r="2151">
      <x:c r="A2151" s="1" t="str">
        <x:v>23453278</x:v>
      </x:c>
      <x:c r="B2151" s="1" t="str">
        <x:v>brukipetlyaa/черный</x:v>
      </x:c>
      <x:c r="C2151" s="1" t="str">
        <x:v>Брюки</x:v>
      </x:c>
      <x:c r="D2151" s="9" t="n">
        <x:v>8.7</x:v>
      </x:c>
      <x:c r="E2151" s="8" t="n">
        <x:v>483</x:v>
      </x:c>
      <x:c r="F2151" s="8" t="n">
        <x:v>0</x:v>
      </x:c>
      <x:c r="G2151" s="8" t="n">
        <x:v>0</x:v>
      </x:c>
      <x:c r="H2151" s="8" t="n">
        <x:v>0</x:v>
      </x:c>
      <x:c r="I2151" s="8" t="n">
        <x:v>0</x:v>
      </x:c>
      <x:c r="J2151" s="8" t="n">
        <x:v>0</x:v>
      </x:c>
      <x:c r="K2151" s="8" t="n">
        <x:v>0</x:v>
      </x:c>
      <x:c r="L2151" s="1" t="str">
        <x:v>Нет</x:v>
      </x:c>
      <x:c r="M2151" s="1" t="n">
        <x:v>0</x:v>
      </x:c>
    </x:row>
    <x:row r="2152">
      <x:c r="A2152" s="1" t="str">
        <x:v>235362413</x:v>
      </x:c>
      <x:c r="B2152" s="1" t="str">
        <x:v>tolstovkazip/серый-табачный</x:v>
      </x:c>
      <x:c r="C2152" s="1" t="str">
        <x:v>Худи</x:v>
      </x:c>
      <x:c r="D2152" s="9" t="n">
        <x:v>4.7</x:v>
      </x:c>
      <x:c r="E2152" s="8" t="n">
        <x:v>0</x:v>
      </x:c>
      <x:c r="F2152" s="8" t="n">
        <x:v>0</x:v>
      </x:c>
      <x:c r="G2152" s="8" t="n">
        <x:v>0</x:v>
      </x:c>
      <x:c r="H2152" s="8" t="n">
        <x:v>0</x:v>
      </x:c>
      <x:c r="I2152" s="8" t="n">
        <x:v>0</x:v>
      </x:c>
      <x:c r="J2152" s="8" t="n">
        <x:v>0</x:v>
      </x:c>
      <x:c r="K2152" s="8" t="n">
        <x:v>0</x:v>
      </x:c>
      <x:c r="L2152" s="1" t="str">
        <x:v>Нет</x:v>
      </x:c>
      <x:c r="M2152" s="1" t="n">
        <x:v>0</x:v>
      </x:c>
    </x:row>
    <x:row r="2153">
      <x:c r="A2153" s="1" t="str">
        <x:v>235613728</x:v>
      </x:c>
      <x:c r="B2153" s="1" t="str">
        <x:v>hudicrop/серыймеланж2</x:v>
      </x:c>
      <x:c r="C2153" s="1" t="str">
        <x:v>Худи</x:v>
      </x:c>
      <x:c r="D2153" s="9" t="n">
        <x:v>8.7</x:v>
      </x:c>
      <x:c r="E2153" s="8" t="n">
        <x:v>537</x:v>
      </x:c>
      <x:c r="F2153" s="8" t="n">
        <x:v>0</x:v>
      </x:c>
      <x:c r="G2153" s="8" t="n">
        <x:v>0</x:v>
      </x:c>
      <x:c r="H2153" s="8" t="n">
        <x:v>0</x:v>
      </x:c>
      <x:c r="I2153" s="8" t="n">
        <x:v>0</x:v>
      </x:c>
      <x:c r="J2153" s="8" t="n">
        <x:v>0</x:v>
      </x:c>
      <x:c r="K2153" s="8" t="n">
        <x:v>0</x:v>
      </x:c>
      <x:c r="L2153" s="1" t="str">
        <x:v>Нет</x:v>
      </x:c>
      <x:c r="M2153" s="1" t="n">
        <x:v>0</x:v>
      </x:c>
    </x:row>
    <x:row r="2154">
      <x:c r="A2154" s="1" t="str">
        <x:v>235613729</x:v>
      </x:c>
      <x:c r="B2154" s="1" t="str">
        <x:v>hudicrop/песочный</x:v>
      </x:c>
      <x:c r="C2154" s="1" t="str">
        <x:v>Худи</x:v>
      </x:c>
      <x:c r="D2154" s="9" t="n">
        <x:v>8.7</x:v>
      </x:c>
      <x:c r="E2154" s="8" t="n">
        <x:v>846</x:v>
      </x:c>
      <x:c r="F2154" s="8" t="n">
        <x:v>0</x:v>
      </x:c>
      <x:c r="G2154" s="8" t="n">
        <x:v>0</x:v>
      </x:c>
      <x:c r="H2154" s="8" t="n">
        <x:v>0</x:v>
      </x:c>
      <x:c r="I2154" s="8" t="n">
        <x:v>0</x:v>
      </x:c>
      <x:c r="J2154" s="8" t="n">
        <x:v>0</x:v>
      </x:c>
      <x:c r="K2154" s="8" t="n">
        <x:v>0</x:v>
      </x:c>
      <x:c r="L2154" s="1" t="str">
        <x:v>Нет</x:v>
      </x:c>
      <x:c r="M2154" s="1" t="n">
        <x:v>0</x:v>
      </x:c>
    </x:row>
    <x:row r="2155">
      <x:c r="A2155" s="1" t="str">
        <x:v>235613730</x:v>
      </x:c>
      <x:c r="B2155" s="1" t="str">
        <x:v>hudicrop/голубой</x:v>
      </x:c>
      <x:c r="C2155" s="1" t="str">
        <x:v>Худи</x:v>
      </x:c>
      <x:c r="D2155" s="9" t="n">
        <x:v>8.7</x:v>
      </x:c>
      <x:c r="E2155" s="8" t="n">
        <x:v>414</x:v>
      </x:c>
      <x:c r="F2155" s="8" t="n">
        <x:v>0</x:v>
      </x:c>
      <x:c r="G2155" s="8" t="n">
        <x:v>0</x:v>
      </x:c>
      <x:c r="H2155" s="8" t="n">
        <x:v>0</x:v>
      </x:c>
      <x:c r="I2155" s="8" t="n">
        <x:v>0</x:v>
      </x:c>
      <x:c r="J2155" s="8" t="n">
        <x:v>0</x:v>
      </x:c>
      <x:c r="K2155" s="8" t="n">
        <x:v>0</x:v>
      </x:c>
      <x:c r="L2155" s="1" t="str">
        <x:v>Нет</x:v>
      </x:c>
      <x:c r="M2155" s="1" t="n">
        <x:v>0</x:v>
      </x:c>
    </x:row>
    <x:row r="2156">
      <x:c r="A2156" s="1" t="str">
        <x:v>235613731</x:v>
      </x:c>
      <x:c r="B2156" s="1" t="str">
        <x:v>hudicrop/темно-серый</x:v>
      </x:c>
      <x:c r="C2156" s="1" t="str">
        <x:v>Худи</x:v>
      </x:c>
      <x:c r="D2156" s="9" t="n">
        <x:v>8.7</x:v>
      </x:c>
      <x:c r="E2156" s="8" t="n">
        <x:v>1649</x:v>
      </x:c>
      <x:c r="F2156" s="8" t="n">
        <x:v>0</x:v>
      </x:c>
      <x:c r="G2156" s="8" t="n">
        <x:v>0</x:v>
      </x:c>
      <x:c r="H2156" s="8" t="n">
        <x:v>0</x:v>
      </x:c>
      <x:c r="I2156" s="8" t="n">
        <x:v>0</x:v>
      </x:c>
      <x:c r="J2156" s="8" t="n">
        <x:v>2</x:v>
      </x:c>
      <x:c r="K2156" s="8" t="n">
        <x:v>0</x:v>
      </x:c>
      <x:c r="L2156" s="1" t="str">
        <x:v>Нет</x:v>
      </x:c>
      <x:c r="M2156" s="1" t="n">
        <x:v>4240</x:v>
      </x:c>
    </x:row>
    <x:row r="2157">
      <x:c r="A2157" s="1" t="str">
        <x:v>235613733</x:v>
      </x:c>
      <x:c r="B2157" s="1" t="str">
        <x:v>hudicrop/розовый</x:v>
      </x:c>
      <x:c r="C2157" s="1" t="str">
        <x:v>Худи</x:v>
      </x:c>
      <x:c r="D2157" s="9" t="n">
        <x:v>8.7</x:v>
      </x:c>
      <x:c r="E2157" s="8" t="n">
        <x:v>592</x:v>
      </x:c>
      <x:c r="F2157" s="8" t="n">
        <x:v>0</x:v>
      </x:c>
      <x:c r="G2157" s="8" t="n">
        <x:v>0</x:v>
      </x:c>
      <x:c r="H2157" s="8" t="n">
        <x:v>0</x:v>
      </x:c>
      <x:c r="I2157" s="8" t="n">
        <x:v>0</x:v>
      </x:c>
      <x:c r="J2157" s="8" t="n">
        <x:v>0</x:v>
      </x:c>
      <x:c r="K2157" s="8" t="n">
        <x:v>0</x:v>
      </x:c>
      <x:c r="L2157" s="1" t="str">
        <x:v>Нет</x:v>
      </x:c>
      <x:c r="M2157" s="1" t="n">
        <x:v>0</x:v>
      </x:c>
    </x:row>
    <x:row r="2158">
      <x:c r="A2158" s="1" t="str">
        <x:v>235613734</x:v>
      </x:c>
      <x:c r="B2158" s="1" t="str">
        <x:v>hudicrop/черный</x:v>
      </x:c>
      <x:c r="C2158" s="1" t="str">
        <x:v>Худи</x:v>
      </x:c>
      <x:c r="D2158" s="9" t="n">
        <x:v>8.7</x:v>
      </x:c>
      <x:c r="E2158" s="8" t="n">
        <x:v>1036</x:v>
      </x:c>
      <x:c r="F2158" s="8" t="n">
        <x:v>0</x:v>
      </x:c>
      <x:c r="G2158" s="8" t="n">
        <x:v>0</x:v>
      </x:c>
      <x:c r="H2158" s="8" t="n">
        <x:v>0</x:v>
      </x:c>
      <x:c r="I2158" s="8" t="n">
        <x:v>0</x:v>
      </x:c>
      <x:c r="J2158" s="8" t="n">
        <x:v>3</x:v>
      </x:c>
      <x:c r="K2158" s="8" t="n">
        <x:v>0</x:v>
      </x:c>
      <x:c r="L2158" s="1" t="str">
        <x:v>Нет</x:v>
      </x:c>
      <x:c r="M2158" s="1" t="n">
        <x:v>4944</x:v>
      </x:c>
    </x:row>
    <x:row r="2159">
      <x:c r="A2159" s="1" t="str">
        <x:v>235613735</x:v>
      </x:c>
      <x:c r="B2159" s="1" t="str">
        <x:v>hudicrop/графит</x:v>
      </x:c>
      <x:c r="C2159" s="1" t="str">
        <x:v>Худи</x:v>
      </x:c>
      <x:c r="D2159" s="9" t="n">
        <x:v>8.7</x:v>
      </x:c>
      <x:c r="E2159" s="8" t="n">
        <x:v>782</x:v>
      </x:c>
      <x:c r="F2159" s="8" t="n">
        <x:v>0</x:v>
      </x:c>
      <x:c r="G2159" s="8" t="n">
        <x:v>0</x:v>
      </x:c>
      <x:c r="H2159" s="8" t="n">
        <x:v>0</x:v>
      </x:c>
      <x:c r="I2159" s="8" t="n">
        <x:v>0</x:v>
      </x:c>
      <x:c r="J2159" s="8" t="n">
        <x:v>0</x:v>
      </x:c>
      <x:c r="K2159" s="8" t="n">
        <x:v>0</x:v>
      </x:c>
      <x:c r="L2159" s="1" t="str">
        <x:v>Нет</x:v>
      </x:c>
      <x:c r="M2159" s="1" t="n">
        <x:v>0</x:v>
      </x:c>
    </x:row>
    <x:row r="2160">
      <x:c r="A2160" s="1" t="str">
        <x:v>235639905</x:v>
      </x:c>
      <x:c r="B2160" s="1" t="str">
        <x:v>futbolkaboyprint/3_kids/молочный</x:v>
      </x:c>
      <x:c r="C2160" s="1" t="str">
        <x:v>Футболки</x:v>
      </x:c>
      <x:c r="D2160" s="9" t="n">
        <x:v>9</x:v>
      </x:c>
      <x:c r="E2160" s="8" t="n">
        <x:v>19</x:v>
      </x:c>
      <x:c r="F2160" s="8" t="n">
        <x:v>0</x:v>
      </x:c>
      <x:c r="G2160" s="8" t="n">
        <x:v>0</x:v>
      </x:c>
      <x:c r="H2160" s="8" t="n">
        <x:v>0</x:v>
      </x:c>
      <x:c r="I2160" s="8" t="n">
        <x:v>0</x:v>
      </x:c>
      <x:c r="J2160" s="8" t="n">
        <x:v>0</x:v>
      </x:c>
      <x:c r="K2160" s="8" t="n">
        <x:v>0</x:v>
      </x:c>
      <x:c r="L2160" s="1" t="str">
        <x:v>Нет</x:v>
      </x:c>
      <x:c r="M2160" s="1" t="n">
        <x:v>0</x:v>
      </x:c>
    </x:row>
    <x:row r="2161">
      <x:c r="A2161" s="1" t="str">
        <x:v>235657944</x:v>
      </x:c>
      <x:c r="B2161" s="1" t="str">
        <x:v>futbolkagirlprint/1_kids/молочный</x:v>
      </x:c>
      <x:c r="C2161" s="1" t="str">
        <x:v>Футболки</x:v>
      </x:c>
      <x:c r="D2161" s="9" t="n">
        <x:v>9</x:v>
      </x:c>
      <x:c r="E2161" s="8" t="n">
        <x:v>8</x:v>
      </x:c>
      <x:c r="F2161" s="8" t="n">
        <x:v>0</x:v>
      </x:c>
      <x:c r="G2161" s="8" t="n">
        <x:v>0</x:v>
      </x:c>
      <x:c r="H2161" s="8" t="n">
        <x:v>0</x:v>
      </x:c>
      <x:c r="I2161" s="8" t="n">
        <x:v>0</x:v>
      </x:c>
      <x:c r="J2161" s="8" t="n">
        <x:v>0</x:v>
      </x:c>
      <x:c r="K2161" s="8" t="n">
        <x:v>0</x:v>
      </x:c>
      <x:c r="L2161" s="1" t="str">
        <x:v>Нет</x:v>
      </x:c>
      <x:c r="M2161" s="1" t="n">
        <x:v>0</x:v>
      </x:c>
    </x:row>
    <x:row r="2162">
      <x:c r="A2162" s="1" t="str">
        <x:v>235659374</x:v>
      </x:c>
      <x:c r="B2162" s="1" t="str">
        <x:v>futbolkaboyprint/4_kids/черный</x:v>
      </x:c>
      <x:c r="C2162" s="1" t="str">
        <x:v>Футболки</x:v>
      </x:c>
      <x:c r="D2162" s="9" t="n">
        <x:v>10</x:v>
      </x:c>
      <x:c r="E2162" s="8" t="n">
        <x:v>47</x:v>
      </x:c>
      <x:c r="F2162" s="8" t="n">
        <x:v>0</x:v>
      </x:c>
      <x:c r="G2162" s="8" t="n">
        <x:v>0</x:v>
      </x:c>
      <x:c r="H2162" s="8" t="n">
        <x:v>0</x:v>
      </x:c>
      <x:c r="I2162" s="8" t="n">
        <x:v>0</x:v>
      </x:c>
      <x:c r="J2162" s="8" t="n">
        <x:v>0</x:v>
      </x:c>
      <x:c r="K2162" s="8" t="n">
        <x:v>0</x:v>
      </x:c>
      <x:c r="L2162" s="1" t="str">
        <x:v>Нет</x:v>
      </x:c>
      <x:c r="M2162" s="1" t="n">
        <x:v>0</x:v>
      </x:c>
    </x:row>
    <x:row r="2163">
      <x:c r="A2163" s="1" t="str">
        <x:v>235679575</x:v>
      </x:c>
      <x:c r="B2163" s="1" t="str">
        <x:v>futbolkagirlprint/2_kids/молочный</x:v>
      </x:c>
      <x:c r="C2163" s="1" t="str">
        <x:v>Футболки</x:v>
      </x:c>
      <x:c r="D2163" s="9" t="n">
        <x:v>9</x:v>
      </x:c>
      <x:c r="E2163" s="8" t="n">
        <x:v>13</x:v>
      </x:c>
      <x:c r="F2163" s="8" t="n">
        <x:v>0</x:v>
      </x:c>
      <x:c r="G2163" s="8" t="n">
        <x:v>0</x:v>
      </x:c>
      <x:c r="H2163" s="8" t="n">
        <x:v>0</x:v>
      </x:c>
      <x:c r="I2163" s="8" t="n">
        <x:v>0</x:v>
      </x:c>
      <x:c r="J2163" s="8" t="n">
        <x:v>0</x:v>
      </x:c>
      <x:c r="K2163" s="8" t="n">
        <x:v>0</x:v>
      </x:c>
      <x:c r="L2163" s="1" t="str">
        <x:v>Нет</x:v>
      </x:c>
      <x:c r="M2163" s="1" t="n">
        <x:v>0</x:v>
      </x:c>
    </x:row>
    <x:row r="2164">
      <x:c r="A2164" s="1" t="str">
        <x:v>235997577</x:v>
      </x:c>
      <x:c r="B2164" s="1" t="str">
        <x:v>bazagirl/шалфей</x:v>
      </x:c>
      <x:c r="C2164" s="1" t="str">
        <x:v>Футболки</x:v>
      </x:c>
      <x:c r="D2164" s="9" t="n">
        <x:v>9.5</x:v>
      </x:c>
      <x:c r="E2164" s="8" t="n">
        <x:v>477</x:v>
      </x:c>
      <x:c r="F2164" s="8" t="n">
        <x:v>3</x:v>
      </x:c>
      <x:c r="G2164" s="8" t="n">
        <x:v>0</x:v>
      </x:c>
      <x:c r="H2164" s="8" t="n">
        <x:v>0</x:v>
      </x:c>
      <x:c r="I2164" s="8" t="n">
        <x:v>0</x:v>
      </x:c>
      <x:c r="J2164" s="8" t="n">
        <x:v>6</x:v>
      </x:c>
      <x:c r="K2164" s="8" t="n">
        <x:v>489</x:v>
      </x:c>
      <x:c r="L2164" s="1" t="str">
        <x:v>Нет</x:v>
      </x:c>
      <x:c r="M2164" s="1" t="n">
        <x:v>2200</x:v>
      </x:c>
    </x:row>
    <x:row r="2165">
      <x:c r="A2165" s="1" t="str">
        <x:v>235997587</x:v>
      </x:c>
      <x:c r="B2165" s="1" t="str">
        <x:v>bazaboy/шалфей</x:v>
      </x:c>
      <x:c r="C2165" s="1" t="str">
        <x:v>Футболки</x:v>
      </x:c>
      <x:c r="D2165" s="9" t="n">
        <x:v>9.5</x:v>
      </x:c>
      <x:c r="E2165" s="8" t="n">
        <x:v>19</x:v>
      </x:c>
      <x:c r="F2165" s="8" t="n">
        <x:v>0</x:v>
      </x:c>
      <x:c r="G2165" s="8" t="n">
        <x:v>0</x:v>
      </x:c>
      <x:c r="H2165" s="8" t="n">
        <x:v>0</x:v>
      </x:c>
      <x:c r="I2165" s="8" t="n">
        <x:v>0</x:v>
      </x:c>
      <x:c r="J2165" s="8" t="n">
        <x:v>0</x:v>
      </x:c>
      <x:c r="K2165" s="8" t="n">
        <x:v>0</x:v>
      </x:c>
      <x:c r="L2165" s="1" t="str">
        <x:v>Нет</x:v>
      </x:c>
      <x:c r="M2165" s="1" t="n">
        <x:v>0</x:v>
      </x:c>
    </x:row>
    <x:row r="2166">
      <x:c r="A2166" s="1" t="str">
        <x:v>236026598</x:v>
      </x:c>
      <x:c r="B2166" s="1" t="str">
        <x:v>futbolkaprint/Oops-161/деним</x:v>
      </x:c>
      <x:c r="C2166" s="1" t="str">
        <x:v>Футболки</x:v>
      </x:c>
      <x:c r="D2166" s="9" t="n">
        <x:v>9.7</x:v>
      </x:c>
      <x:c r="E2166" s="8" t="n">
        <x:v>325</x:v>
      </x:c>
      <x:c r="F2166" s="8" t="n">
        <x:v>0</x:v>
      </x:c>
      <x:c r="G2166" s="8" t="n">
        <x:v>0</x:v>
      </x:c>
      <x:c r="H2166" s="8" t="n">
        <x:v>0</x:v>
      </x:c>
      <x:c r="I2166" s="8" t="n">
        <x:v>0</x:v>
      </x:c>
      <x:c r="J2166" s="8" t="n">
        <x:v>0</x:v>
      </x:c>
      <x:c r="K2166" s="8" t="n">
        <x:v>0</x:v>
      </x:c>
      <x:c r="L2166" s="1" t="str">
        <x:v>Нет</x:v>
      </x:c>
      <x:c r="M2166" s="1" t="n">
        <x:v>0</x:v>
      </x:c>
    </x:row>
    <x:row r="2167">
      <x:c r="A2167" s="1" t="str">
        <x:v>236026619</x:v>
      </x:c>
      <x:c r="B2167" s="1" t="str">
        <x:v>futbolkaprint/Power-163/белый</x:v>
      </x:c>
      <x:c r="C2167" s="1" t="str">
        <x:v>Футболки</x:v>
      </x:c>
      <x:c r="D2167" s="9" t="n">
        <x:v>8.7</x:v>
      </x:c>
      <x:c r="E2167" s="8" t="n">
        <x:v>1853</x:v>
      </x:c>
      <x:c r="F2167" s="8" t="n">
        <x:v>0</x:v>
      </x:c>
      <x:c r="G2167" s="8" t="n">
        <x:v>0</x:v>
      </x:c>
      <x:c r="H2167" s="8" t="n">
        <x:v>1</x:v>
      </x:c>
      <x:c r="I2167" s="8" t="n">
        <x:v>0</x:v>
      </x:c>
      <x:c r="J2167" s="8" t="n">
        <x:v>0</x:v>
      </x:c>
      <x:c r="K2167" s="8" t="n">
        <x:v>0</x:v>
      </x:c>
      <x:c r="L2167" s="1" t="str">
        <x:v>Нет</x:v>
      </x:c>
      <x:c r="M2167" s="1" t="n">
        <x:v>0</x:v>
      </x:c>
    </x:row>
    <x:row r="2168">
      <x:c r="A2168" s="1" t="str">
        <x:v>236190474</x:v>
      </x:c>
      <x:c r="B2168" s="1" t="str">
        <x:v>futbolkaprint/BlueLoveNever-165/темно-синий</x:v>
      </x:c>
      <x:c r="C2168" s="1" t="str">
        <x:v>Футболки</x:v>
      </x:c>
      <x:c r="D2168" s="9" t="n">
        <x:v>8.7</x:v>
      </x:c>
      <x:c r="E2168" s="8" t="n">
        <x:v>547</x:v>
      </x:c>
      <x:c r="F2168" s="8" t="n">
        <x:v>0</x:v>
      </x:c>
      <x:c r="G2168" s="8" t="n">
        <x:v>0</x:v>
      </x:c>
      <x:c r="H2168" s="8" t="n">
        <x:v>0</x:v>
      </x:c>
      <x:c r="I2168" s="8" t="n">
        <x:v>0</x:v>
      </x:c>
      <x:c r="J2168" s="8" t="n">
        <x:v>0</x:v>
      </x:c>
      <x:c r="K2168" s="8" t="n">
        <x:v>0</x:v>
      </x:c>
      <x:c r="L2168" s="1" t="str">
        <x:v>Нет</x:v>
      </x:c>
      <x:c r="M2168" s="1" t="n">
        <x:v>0</x:v>
      </x:c>
    </x:row>
    <x:row r="2169">
      <x:c r="A2169" s="1" t="str">
        <x:v>236190475</x:v>
      </x:c>
      <x:c r="B2169" s="1" t="str">
        <x:v>futbolkaprint/Never-155/серый</x:v>
      </x:c>
      <x:c r="C2169" s="1" t="str">
        <x:v>Футболки</x:v>
      </x:c>
      <x:c r="D2169" s="9" t="n">
        <x:v>8.7</x:v>
      </x:c>
      <x:c r="E2169" s="8" t="n">
        <x:v>485</x:v>
      </x:c>
      <x:c r="F2169" s="8" t="n">
        <x:v>0</x:v>
      </x:c>
      <x:c r="G2169" s="8" t="n">
        <x:v>0</x:v>
      </x:c>
      <x:c r="H2169" s="8" t="n">
        <x:v>0</x:v>
      </x:c>
      <x:c r="I2169" s="8" t="n">
        <x:v>0</x:v>
      </x:c>
      <x:c r="J2169" s="8" t="n">
        <x:v>0</x:v>
      </x:c>
      <x:c r="K2169" s="8" t="n">
        <x:v>0</x:v>
      </x:c>
      <x:c r="L2169" s="1" t="str">
        <x:v>Нет</x:v>
      </x:c>
      <x:c r="M2169" s="1" t="n">
        <x:v>0</x:v>
      </x:c>
    </x:row>
    <x:row r="2170">
      <x:c r="A2170" s="1" t="str">
        <x:v>236190477</x:v>
      </x:c>
      <x:c r="B2170" s="1" t="str">
        <x:v>futbolkaprint100/SaintGod-130/вареныйсерый</x:v>
      </x:c>
      <x:c r="C2170" s="1" t="str">
        <x:v>Футболки</x:v>
      </x:c>
      <x:c r="D2170" s="9" t="n">
        <x:v>9.7</x:v>
      </x:c>
      <x:c r="E2170" s="8" t="n">
        <x:v>0</x:v>
      </x:c>
      <x:c r="F2170" s="8" t="n">
        <x:v>0</x:v>
      </x:c>
      <x:c r="G2170" s="8" t="n">
        <x:v>0</x:v>
      </x:c>
      <x:c r="H2170" s="8" t="n">
        <x:v>250</x:v>
      </x:c>
      <x:c r="I2170" s="8" t="n">
        <x:v>0</x:v>
      </x:c>
      <x:c r="J2170" s="8" t="n">
        <x:v>0</x:v>
      </x:c>
      <x:c r="K2170" s="8" t="n">
        <x:v>0</x:v>
      </x:c>
      <x:c r="L2170" s="1" t="str">
        <x:v>Нет</x:v>
      </x:c>
      <x:c r="M2170" s="1" t="n">
        <x:v>0</x:v>
      </x:c>
    </x:row>
    <x:row r="2171">
      <x:c r="A2171" s="1" t="str">
        <x:v>236190478</x:v>
      </x:c>
      <x:c r="B2171" s="1" t="str">
        <x:v>futbolkaprint/MovesWithLove-135/милка</x:v>
      </x:c>
      <x:c r="C2171" s="1" t="str">
        <x:v>Футболки</x:v>
      </x:c>
      <x:c r="D2171" s="9" t="n">
        <x:v>8.7</x:v>
      </x:c>
      <x:c r="E2171" s="8" t="n">
        <x:v>193</x:v>
      </x:c>
      <x:c r="F2171" s="8" t="n">
        <x:v>0</x:v>
      </x:c>
      <x:c r="G2171" s="8" t="n">
        <x:v>0</x:v>
      </x:c>
      <x:c r="H2171" s="8" t="n">
        <x:v>0</x:v>
      </x:c>
      <x:c r="I2171" s="8" t="n">
        <x:v>0</x:v>
      </x:c>
      <x:c r="J2171" s="8" t="n">
        <x:v>0</x:v>
      </x:c>
      <x:c r="K2171" s="8" t="n">
        <x:v>0</x:v>
      </x:c>
      <x:c r="L2171" s="1" t="str">
        <x:v>Нет</x:v>
      </x:c>
      <x:c r="M2171" s="1" t="n">
        <x:v>0</x:v>
      </x:c>
    </x:row>
    <x:row r="2172">
      <x:c r="A2172" s="1" t="str">
        <x:v>236190479</x:v>
      </x:c>
      <x:c r="B2172" s="1" t="str">
        <x:v>futbolkaprint/CoffeeCup-145/дымка</x:v>
      </x:c>
      <x:c r="C2172" s="1" t="str">
        <x:v>Футболки</x:v>
      </x:c>
      <x:c r="D2172" s="9" t="n">
        <x:v>8.7</x:v>
      </x:c>
      <x:c r="E2172" s="8" t="n">
        <x:v>478</x:v>
      </x:c>
      <x:c r="F2172" s="8" t="n">
        <x:v>0</x:v>
      </x:c>
      <x:c r="G2172" s="8" t="n">
        <x:v>0</x:v>
      </x:c>
      <x:c r="H2172" s="8" t="n">
        <x:v>0</x:v>
      </x:c>
      <x:c r="I2172" s="8" t="n">
        <x:v>0</x:v>
      </x:c>
      <x:c r="J2172" s="8" t="n">
        <x:v>0</x:v>
      </x:c>
      <x:c r="K2172" s="8" t="n">
        <x:v>0</x:v>
      </x:c>
      <x:c r="L2172" s="1" t="str">
        <x:v>Нет</x:v>
      </x:c>
      <x:c r="M2172" s="1" t="n">
        <x:v>0</x:v>
      </x:c>
    </x:row>
    <x:row r="2173">
      <x:c r="A2173" s="1" t="str">
        <x:v>236190502</x:v>
      </x:c>
      <x:c r="B2173" s="1" t="str">
        <x:v>futbolkaprint/Forever-60/темно-синий</x:v>
      </x:c>
      <x:c r="C2173" s="1" t="str">
        <x:v>Футболки</x:v>
      </x:c>
      <x:c r="D2173" s="9" t="n">
        <x:v>8.7</x:v>
      </x:c>
      <x:c r="E2173" s="8" t="n">
        <x:v>117</x:v>
      </x:c>
      <x:c r="F2173" s="8" t="n">
        <x:v>0</x:v>
      </x:c>
      <x:c r="G2173" s="8" t="n">
        <x:v>0</x:v>
      </x:c>
      <x:c r="H2173" s="8" t="n">
        <x:v>0</x:v>
      </x:c>
      <x:c r="I2173" s="8" t="n">
        <x:v>0</x:v>
      </x:c>
      <x:c r="J2173" s="8" t="n">
        <x:v>0</x:v>
      </x:c>
      <x:c r="K2173" s="8" t="n">
        <x:v>0</x:v>
      </x:c>
      <x:c r="L2173" s="1" t="str">
        <x:v>Нет</x:v>
      </x:c>
      <x:c r="M2173" s="1" t="n">
        <x:v>0</x:v>
      </x:c>
    </x:row>
    <x:row r="2174">
      <x:c r="A2174" s="1" t="str">
        <x:v>236190510</x:v>
      </x:c>
      <x:c r="B2174" s="1" t="str">
        <x:v>futbolkaprint/AquaMoreSelf-164/милка</x:v>
      </x:c>
      <x:c r="C2174" s="1" t="str">
        <x:v>Футболки</x:v>
      </x:c>
      <x:c r="D2174" s="9" t="n">
        <x:v>8.7</x:v>
      </x:c>
      <x:c r="E2174" s="8" t="n">
        <x:v>374</x:v>
      </x:c>
      <x:c r="F2174" s="8" t="n">
        <x:v>0</x:v>
      </x:c>
      <x:c r="G2174" s="8" t="n">
        <x:v>0</x:v>
      </x:c>
      <x:c r="H2174" s="8" t="n">
        <x:v>0</x:v>
      </x:c>
      <x:c r="I2174" s="8" t="n">
        <x:v>0</x:v>
      </x:c>
      <x:c r="J2174" s="8" t="n">
        <x:v>0</x:v>
      </x:c>
      <x:c r="K2174" s="8" t="n">
        <x:v>0</x:v>
      </x:c>
      <x:c r="L2174" s="1" t="str">
        <x:v>Нет</x:v>
      </x:c>
      <x:c r="M2174" s="1" t="n">
        <x:v>0</x:v>
      </x:c>
    </x:row>
    <x:row r="2175">
      <x:c r="A2175" s="1" t="str">
        <x:v>236190516</x:v>
      </x:c>
      <x:c r="B2175" s="1" t="str">
        <x:v>futbolkaprint/MovesWithLove-135/персиковый</x:v>
      </x:c>
      <x:c r="C2175" s="1" t="str">
        <x:v>Футболки</x:v>
      </x:c>
      <x:c r="D2175" s="9" t="n">
        <x:v>9.7</x:v>
      </x:c>
      <x:c r="E2175" s="8" t="n">
        <x:v>174</x:v>
      </x:c>
      <x:c r="F2175" s="8" t="n">
        <x:v>0</x:v>
      </x:c>
      <x:c r="G2175" s="8" t="n">
        <x:v>0</x:v>
      </x:c>
      <x:c r="H2175" s="8" t="n">
        <x:v>0</x:v>
      </x:c>
      <x:c r="I2175" s="8" t="n">
        <x:v>0</x:v>
      </x:c>
      <x:c r="J2175" s="8" t="n">
        <x:v>0</x:v>
      </x:c>
      <x:c r="K2175" s="8" t="n">
        <x:v>0</x:v>
      </x:c>
      <x:c r="L2175" s="1" t="str">
        <x:v>Нет</x:v>
      </x:c>
      <x:c r="M2175" s="1" t="n">
        <x:v>0</x:v>
      </x:c>
    </x:row>
    <x:row r="2176">
      <x:c r="A2176" s="1" t="str">
        <x:v>236190518</x:v>
      </x:c>
      <x:c r="B2176" s="1" t="str">
        <x:v>futbolkaprint/HAPPY-105/серый</x:v>
      </x:c>
      <x:c r="C2176" s="1" t="str">
        <x:v>Футболки</x:v>
      </x:c>
      <x:c r="D2176" s="9" t="n">
        <x:v>8.7</x:v>
      </x:c>
      <x:c r="E2176" s="8" t="n">
        <x:v>370</x:v>
      </x:c>
      <x:c r="F2176" s="8" t="n">
        <x:v>0</x:v>
      </x:c>
      <x:c r="G2176" s="8" t="n">
        <x:v>0</x:v>
      </x:c>
      <x:c r="H2176" s="8" t="n">
        <x:v>0</x:v>
      </x:c>
      <x:c r="I2176" s="8" t="n">
        <x:v>0</x:v>
      </x:c>
      <x:c r="J2176" s="8" t="n">
        <x:v>0</x:v>
      </x:c>
      <x:c r="K2176" s="8" t="n">
        <x:v>0</x:v>
      </x:c>
      <x:c r="L2176" s="1" t="str">
        <x:v>Нет</x:v>
      </x:c>
      <x:c r="M2176" s="1" t="n">
        <x:v>0</x:v>
      </x:c>
    </x:row>
    <x:row r="2177">
      <x:c r="A2177" s="1" t="str">
        <x:v>236500527</x:v>
      </x:c>
      <x:c r="B2177" s="1" t="str">
        <x:v>futbolkaprint/Oops-161/дымка</x:v>
      </x:c>
      <x:c r="C2177" s="1" t="str">
        <x:v>Футболки</x:v>
      </x:c>
      <x:c r="D2177" s="9" t="n">
        <x:v>9.7</x:v>
      </x:c>
      <x:c r="E2177" s="8" t="n">
        <x:v>164</x:v>
      </x:c>
      <x:c r="F2177" s="8" t="n">
        <x:v>0</x:v>
      </x:c>
      <x:c r="G2177" s="8" t="n">
        <x:v>0</x:v>
      </x:c>
      <x:c r="H2177" s="8" t="n">
        <x:v>0</x:v>
      </x:c>
      <x:c r="I2177" s="8" t="n">
        <x:v>0</x:v>
      </x:c>
      <x:c r="J2177" s="8" t="n">
        <x:v>0</x:v>
      </x:c>
      <x:c r="K2177" s="8" t="n">
        <x:v>0</x:v>
      </x:c>
      <x:c r="L2177" s="1" t="str">
        <x:v>Нет</x:v>
      </x:c>
      <x:c r="M2177" s="1" t="n">
        <x:v>0</x:v>
      </x:c>
    </x:row>
    <x:row r="2178">
      <x:c r="A2178" s="1" t="str">
        <x:v>237007525</x:v>
      </x:c>
      <x:c r="B2178" s="1" t="str">
        <x:v>futbolkaprint/MEDUSA-17/молочный-теплыйбелый</x:v>
      </x:c>
      <x:c r="C2178" s="1" t="str">
        <x:v>Футболки</x:v>
      </x:c>
      <x:c r="D2178" s="9" t="n">
        <x:v>9.7</x:v>
      </x:c>
      <x:c r="E2178" s="8" t="n">
        <x:v>1</x:v>
      </x:c>
      <x:c r="F2178" s="8" t="n">
        <x:v>0</x:v>
      </x:c>
      <x:c r="G2178" s="8" t="n">
        <x:v>0</x:v>
      </x:c>
      <x:c r="H2178" s="8" t="n">
        <x:v>0</x:v>
      </x:c>
      <x:c r="I2178" s="8" t="n">
        <x:v>0</x:v>
      </x:c>
      <x:c r="J2178" s="8" t="n">
        <x:v>0</x:v>
      </x:c>
      <x:c r="K2178" s="8" t="n">
        <x:v>0</x:v>
      </x:c>
      <x:c r="L2178" s="1" t="str">
        <x:v>Нет</x:v>
      </x:c>
      <x:c r="M2178" s="1" t="n">
        <x:v>0</x:v>
      </x:c>
    </x:row>
    <x:row r="2179">
      <x:c r="A2179" s="1" t="str">
        <x:v>237023118</x:v>
      </x:c>
      <x:c r="B2179" s="1" t="str">
        <x:v>futbolkaboyprint/15_kids/белый</x:v>
      </x:c>
      <x:c r="C2179" s="1" t="str">
        <x:v>Футболки</x:v>
      </x:c>
      <x:c r="D2179" s="9" t="n">
        <x:v>9</x:v>
      </x:c>
      <x:c r="E2179" s="8" t="n">
        <x:v>58</x:v>
      </x:c>
      <x:c r="F2179" s="8" t="n">
        <x:v>0</x:v>
      </x:c>
      <x:c r="G2179" s="8" t="n">
        <x:v>0</x:v>
      </x:c>
      <x:c r="H2179" s="8" t="n">
        <x:v>0</x:v>
      </x:c>
      <x:c r="I2179" s="8" t="n">
        <x:v>0</x:v>
      </x:c>
      <x:c r="J2179" s="8" t="n">
        <x:v>0</x:v>
      </x:c>
      <x:c r="K2179" s="8" t="n">
        <x:v>0</x:v>
      </x:c>
      <x:c r="L2179" s="1" t="str">
        <x:v>Нет</x:v>
      </x:c>
      <x:c r="M2179" s="1" t="n">
        <x:v>0</x:v>
      </x:c>
    </x:row>
    <x:row r="2180">
      <x:c r="A2180" s="1" t="str">
        <x:v>237039028</x:v>
      </x:c>
      <x:c r="B2180" s="1" t="str">
        <x:v>futbolkagirlprint/17_kids/милка</x:v>
      </x:c>
      <x:c r="C2180" s="1" t="str">
        <x:v>Футболки</x:v>
      </x:c>
      <x:c r="D2180" s="9" t="n">
        <x:v>10</x:v>
      </x:c>
      <x:c r="E2180" s="8" t="n">
        <x:v>14</x:v>
      </x:c>
      <x:c r="F2180" s="8" t="n">
        <x:v>0</x:v>
      </x:c>
      <x:c r="G2180" s="8" t="n">
        <x:v>0</x:v>
      </x:c>
      <x:c r="H2180" s="8" t="n">
        <x:v>0</x:v>
      </x:c>
      <x:c r="I2180" s="8" t="n">
        <x:v>0</x:v>
      </x:c>
      <x:c r="J2180" s="8" t="n">
        <x:v>0</x:v>
      </x:c>
      <x:c r="K2180" s="8" t="n">
        <x:v>0</x:v>
      </x:c>
      <x:c r="L2180" s="1" t="str">
        <x:v>Нет</x:v>
      </x:c>
      <x:c r="M2180" s="1" t="n">
        <x:v>0</x:v>
      </x:c>
    </x:row>
    <x:row r="2181">
      <x:c r="A2181" s="1" t="str">
        <x:v>237042280</x:v>
      </x:c>
      <x:c r="B2181" s="1" t="str">
        <x:v>futbolkaboyprint/16_kids/сине-морской</x:v>
      </x:c>
      <x:c r="C2181" s="1" t="str">
        <x:v>Футболки</x:v>
      </x:c>
      <x:c r="D2181" s="9" t="n">
        <x:v>9</x:v>
      </x:c>
      <x:c r="E2181" s="8" t="n">
        <x:v>16</x:v>
      </x:c>
      <x:c r="F2181" s="8" t="n">
        <x:v>0</x:v>
      </x:c>
      <x:c r="G2181" s="8" t="n">
        <x:v>0</x:v>
      </x:c>
      <x:c r="H2181" s="8" t="n">
        <x:v>0</x:v>
      </x:c>
      <x:c r="I2181" s="8" t="n">
        <x:v>0</x:v>
      </x:c>
      <x:c r="J2181" s="8" t="n">
        <x:v>0</x:v>
      </x:c>
      <x:c r="K2181" s="8" t="n">
        <x:v>0</x:v>
      </x:c>
      <x:c r="L2181" s="1" t="str">
        <x:v>Нет</x:v>
      </x:c>
      <x:c r="M2181" s="1" t="n">
        <x:v>0</x:v>
      </x:c>
    </x:row>
    <x:row r="2182">
      <x:c r="A2182" s="1" t="str">
        <x:v>237093219</x:v>
      </x:c>
      <x:c r="B2182" s="1" t="str">
        <x:v>futbolkaprint/VIBES-168/белый</x:v>
      </x:c>
      <x:c r="C2182" s="1" t="str">
        <x:v>Футболки</x:v>
      </x:c>
      <x:c r="D2182" s="9" t="n">
        <x:v>7.7</x:v>
      </x:c>
      <x:c r="E2182" s="8" t="n">
        <x:v>848</x:v>
      </x:c>
      <x:c r="F2182" s="8" t="n">
        <x:v>0</x:v>
      </x:c>
      <x:c r="G2182" s="8" t="n">
        <x:v>0</x:v>
      </x:c>
      <x:c r="H2182" s="8" t="n">
        <x:v>0</x:v>
      </x:c>
      <x:c r="I2182" s="8" t="n">
        <x:v>0</x:v>
      </x:c>
      <x:c r="J2182" s="8" t="n">
        <x:v>1</x:v>
      </x:c>
      <x:c r="K2182" s="8" t="n">
        <x:v>0</x:v>
      </x:c>
      <x:c r="L2182" s="1" t="str">
        <x:v>Нет</x:v>
      </x:c>
      <x:c r="M2182" s="1" t="n">
        <x:v>1080</x:v>
      </x:c>
    </x:row>
    <x:row r="2183">
      <x:c r="A2183" s="1" t="str">
        <x:v>237300998</x:v>
      </x:c>
      <x:c r="B2183" s="1" t="str">
        <x:v>longoverprint/MILK-118/милка</x:v>
      </x:c>
      <x:c r="C2183" s="1" t="str">
        <x:v>Лонгсливы</x:v>
      </x:c>
      <x:c r="D2183" s="9" t="n">
        <x:v>9.7</x:v>
      </x:c>
      <x:c r="E2183" s="8" t="n">
        <x:v>283</x:v>
      </x:c>
      <x:c r="F2183" s="8" t="n">
        <x:v>0</x:v>
      </x:c>
      <x:c r="G2183" s="8" t="n">
        <x:v>0</x:v>
      </x:c>
      <x:c r="H2183" s="8" t="n">
        <x:v>0</x:v>
      </x:c>
      <x:c r="I2183" s="8" t="n">
        <x:v>0</x:v>
      </x:c>
      <x:c r="J2183" s="8" t="n">
        <x:v>0</x:v>
      </x:c>
      <x:c r="K2183" s="8" t="n">
        <x:v>0</x:v>
      </x:c>
      <x:c r="L2183" s="1" t="str">
        <x:v>Нет</x:v>
      </x:c>
      <x:c r="M2183" s="1" t="n">
        <x:v>0</x:v>
      </x:c>
    </x:row>
    <x:row r="2184">
      <x:c r="A2184" s="1" t="str">
        <x:v>237301009</x:v>
      </x:c>
      <x:c r="B2184" s="1" t="str">
        <x:v>futbolkaprint/FioLoveNever-167/милка</x:v>
      </x:c>
      <x:c r="C2184" s="1" t="str">
        <x:v>Футболки</x:v>
      </x:c>
      <x:c r="D2184" s="9" t="n">
        <x:v>8.7</x:v>
      </x:c>
      <x:c r="E2184" s="8" t="n">
        <x:v>293</x:v>
      </x:c>
      <x:c r="F2184" s="8" t="n">
        <x:v>0</x:v>
      </x:c>
      <x:c r="G2184" s="8" t="n">
        <x:v>0</x:v>
      </x:c>
      <x:c r="H2184" s="8" t="n">
        <x:v>0</x:v>
      </x:c>
      <x:c r="I2184" s="8" t="n">
        <x:v>0</x:v>
      </x:c>
      <x:c r="J2184" s="8" t="n">
        <x:v>0</x:v>
      </x:c>
      <x:c r="K2184" s="8" t="n">
        <x:v>0</x:v>
      </x:c>
      <x:c r="L2184" s="1" t="str">
        <x:v>Нет</x:v>
      </x:c>
      <x:c r="M2184" s="1" t="n">
        <x:v>0</x:v>
      </x:c>
    </x:row>
    <x:row r="2185">
      <x:c r="A2185" s="1" t="str">
        <x:v>237301015</x:v>
      </x:c>
      <x:c r="B2185" s="1" t="str">
        <x:v>longoverprint/FioLoveNever-167/милка</x:v>
      </x:c>
      <x:c r="C2185" s="1" t="str">
        <x:v>Лонгсливы</x:v>
      </x:c>
      <x:c r="D2185" s="9" t="n">
        <x:v>8.7</x:v>
      </x:c>
      <x:c r="E2185" s="8" t="n">
        <x:v>280</x:v>
      </x:c>
      <x:c r="F2185" s="8" t="n">
        <x:v>0</x:v>
      </x:c>
      <x:c r="G2185" s="8" t="n">
        <x:v>0</x:v>
      </x:c>
      <x:c r="H2185" s="8" t="n">
        <x:v>0</x:v>
      </x:c>
      <x:c r="I2185" s="8" t="n">
        <x:v>0</x:v>
      </x:c>
      <x:c r="J2185" s="8" t="n">
        <x:v>0</x:v>
      </x:c>
      <x:c r="K2185" s="8" t="n">
        <x:v>0</x:v>
      </x:c>
      <x:c r="L2185" s="1" t="str">
        <x:v>Нет</x:v>
      </x:c>
      <x:c r="M2185" s="1" t="n">
        <x:v>0</x:v>
      </x:c>
    </x:row>
    <x:row r="2186">
      <x:c r="A2186" s="1" t="str">
        <x:v>237935270</x:v>
      </x:c>
      <x:c r="B2186" s="1" t="str">
        <x:v>kroptop/молочный-капучино</x:v>
      </x:c>
      <x:c r="C2186" s="1" t="str">
        <x:v>Футболки</x:v>
      </x:c>
      <x:c r="D2186" s="9" t="n">
        <x:v>7.7</x:v>
      </x:c>
      <x:c r="E2186" s="8" t="n">
        <x:v>119</x:v>
      </x:c>
      <x:c r="F2186" s="8" t="n">
        <x:v>1</x:v>
      </x:c>
      <x:c r="G2186" s="8" t="n">
        <x:v>0</x:v>
      </x:c>
      <x:c r="H2186" s="8" t="n">
        <x:v>1</x:v>
      </x:c>
      <x:c r="I2186" s="8" t="n">
        <x:v>0</x:v>
      </x:c>
      <x:c r="J2186" s="8" t="n">
        <x:v>0</x:v>
      </x:c>
      <x:c r="K2186" s="8" t="n">
        <x:v>650</x:v>
      </x:c>
      <x:c r="L2186" s="1" t="str">
        <x:v>Нет</x:v>
      </x:c>
      <x:c r="M2186" s="1" t="n">
        <x:v>0</x:v>
      </x:c>
    </x:row>
    <x:row r="2187">
      <x:c r="A2187" s="1" t="str">
        <x:v>238775094</x:v>
      </x:c>
      <x:c r="B2187" s="1" t="str">
        <x:v>futbolkaprint/Fresh-173/сине-морской</x:v>
      </x:c>
      <x:c r="C2187" s="1" t="str">
        <x:v>Футболки</x:v>
      </x:c>
      <x:c r="D2187" s="9" t="n">
        <x:v>8.7</x:v>
      </x:c>
      <x:c r="E2187" s="8" t="n">
        <x:v>87</x:v>
      </x:c>
      <x:c r="F2187" s="8" t="n">
        <x:v>0</x:v>
      </x:c>
      <x:c r="G2187" s="8" t="n">
        <x:v>0</x:v>
      </x:c>
      <x:c r="H2187" s="8" t="n">
        <x:v>0</x:v>
      </x:c>
      <x:c r="I2187" s="8" t="n">
        <x:v>0</x:v>
      </x:c>
      <x:c r="J2187" s="8" t="n">
        <x:v>0</x:v>
      </x:c>
      <x:c r="K2187" s="8" t="n">
        <x:v>0</x:v>
      </x:c>
      <x:c r="L2187" s="1" t="str">
        <x:v>Нет</x:v>
      </x:c>
      <x:c r="M2187" s="1" t="n">
        <x:v>0</x:v>
      </x:c>
    </x:row>
    <x:row r="2188">
      <x:c r="A2188" s="1" t="str">
        <x:v>238777767</x:v>
      </x:c>
      <x:c r="B2188" s="1" t="str">
        <x:v>futbreglangirlprint/Upd-170/черно-белый</x:v>
      </x:c>
      <x:c r="C2188" s="1" t="str">
        <x:v>Футболки</x:v>
      </x:c>
      <x:c r="D2188" s="9" t="n">
        <x:v>9.7</x:v>
      </x:c>
      <x:c r="E2188" s="8" t="n">
        <x:v>404</x:v>
      </x:c>
      <x:c r="F2188" s="8" t="n">
        <x:v>0</x:v>
      </x:c>
      <x:c r="G2188" s="8" t="n">
        <x:v>0</x:v>
      </x:c>
      <x:c r="H2188" s="8" t="n">
        <x:v>0</x:v>
      </x:c>
      <x:c r="I2188" s="8" t="n">
        <x:v>0</x:v>
      </x:c>
      <x:c r="J2188" s="8" t="n">
        <x:v>0</x:v>
      </x:c>
      <x:c r="K2188" s="8" t="n">
        <x:v>0</x:v>
      </x:c>
      <x:c r="L2188" s="1" t="str">
        <x:v>Нет</x:v>
      </x:c>
      <x:c r="M2188" s="1" t="n">
        <x:v>0</x:v>
      </x:c>
    </x:row>
    <x:row r="2189">
      <x:c r="A2189" s="1" t="str">
        <x:v>238822435</x:v>
      </x:c>
      <x:c r="B2189" s="1" t="str">
        <x:v>futbolkaprint/BelEnds-172/темно-синий</x:v>
      </x:c>
      <x:c r="C2189" s="1" t="str">
        <x:v>Футболки</x:v>
      </x:c>
      <x:c r="D2189" s="9" t="n">
        <x:v>8.7</x:v>
      </x:c>
      <x:c r="E2189" s="8" t="n">
        <x:v>859</x:v>
      </x:c>
      <x:c r="F2189" s="8" t="n">
        <x:v>0</x:v>
      </x:c>
      <x:c r="G2189" s="8" t="n">
        <x:v>0</x:v>
      </x:c>
      <x:c r="H2189" s="8" t="n">
        <x:v>0</x:v>
      </x:c>
      <x:c r="I2189" s="8" t="n">
        <x:v>0</x:v>
      </x:c>
      <x:c r="J2189" s="8" t="n">
        <x:v>1</x:v>
      </x:c>
      <x:c r="K2189" s="8" t="n">
        <x:v>0</x:v>
      </x:c>
      <x:c r="L2189" s="1" t="str">
        <x:v>Нет</x:v>
      </x:c>
      <x:c r="M2189" s="1" t="n">
        <x:v>850</x:v>
      </x:c>
    </x:row>
    <x:row r="2190">
      <x:c r="A2190" s="1" t="str">
        <x:v>238830117</x:v>
      </x:c>
      <x:c r="B2190" s="1" t="str">
        <x:v>kulirkamanprint/ComeOn-176/какао</x:v>
      </x:c>
      <x:c r="C2190" s="1" t="str">
        <x:v>Футболки</x:v>
      </x:c>
      <x:c r="D2190" s="9" t="n">
        <x:v>8.7</x:v>
      </x:c>
      <x:c r="E2190" s="8" t="n">
        <x:v>297</x:v>
      </x:c>
      <x:c r="F2190" s="8" t="n">
        <x:v>0</x:v>
      </x:c>
      <x:c r="G2190" s="8" t="n">
        <x:v>0</x:v>
      </x:c>
      <x:c r="H2190" s="8" t="n">
        <x:v>0</x:v>
      </x:c>
      <x:c r="I2190" s="8" t="n">
        <x:v>0</x:v>
      </x:c>
      <x:c r="J2190" s="8" t="n">
        <x:v>0</x:v>
      </x:c>
      <x:c r="K2190" s="8" t="n">
        <x:v>0</x:v>
      </x:c>
      <x:c r="L2190" s="1" t="str">
        <x:v>Нет</x:v>
      </x:c>
      <x:c r="M2190" s="1" t="n">
        <x:v>0</x:v>
      </x:c>
    </x:row>
    <x:row r="2191">
      <x:c r="A2191" s="1" t="str">
        <x:v>239852089</x:v>
      </x:c>
      <x:c r="B2191" s="1" t="str">
        <x:v>svitshotrukpetl/голубой</x:v>
      </x:c>
      <x:c r="C2191" s="1" t="str">
        <x:v>Свитшоты</x:v>
      </x:c>
      <x:c r="D2191" s="9" t="n">
        <x:v>7.7</x:v>
      </x:c>
      <x:c r="E2191" s="8" t="n">
        <x:v>1027</x:v>
      </x:c>
      <x:c r="F2191" s="8" t="n">
        <x:v>0</x:v>
      </x:c>
      <x:c r="G2191" s="8" t="n">
        <x:v>0</x:v>
      </x:c>
      <x:c r="H2191" s="8" t="n">
        <x:v>0</x:v>
      </x:c>
      <x:c r="I2191" s="8" t="n">
        <x:v>0</x:v>
      </x:c>
      <x:c r="J2191" s="8" t="n">
        <x:v>0</x:v>
      </x:c>
      <x:c r="K2191" s="8" t="n">
        <x:v>0</x:v>
      </x:c>
      <x:c r="L2191" s="1" t="str">
        <x:v>Нет</x:v>
      </x:c>
      <x:c r="M2191" s="1" t="n">
        <x:v>0</x:v>
      </x:c>
    </x:row>
    <x:row r="2192">
      <x:c r="A2192" s="1" t="str">
        <x:v>239853070</x:v>
      </x:c>
      <x:c r="B2192" s="1" t="str">
        <x:v>futbolkaprint/Couture-108/сине-морской</x:v>
      </x:c>
      <x:c r="C2192" s="1" t="str">
        <x:v>Футболки</x:v>
      </x:c>
      <x:c r="D2192" s="9" t="n">
        <x:v>8.7</x:v>
      </x:c>
      <x:c r="E2192" s="8" t="n">
        <x:v>413</x:v>
      </x:c>
      <x:c r="F2192" s="8" t="n">
        <x:v>0</x:v>
      </x:c>
      <x:c r="G2192" s="8" t="n">
        <x:v>0</x:v>
      </x:c>
      <x:c r="H2192" s="8" t="n">
        <x:v>0</x:v>
      </x:c>
      <x:c r="I2192" s="8" t="n">
        <x:v>0</x:v>
      </x:c>
      <x:c r="J2192" s="8" t="n">
        <x:v>0</x:v>
      </x:c>
      <x:c r="K2192" s="8" t="n">
        <x:v>0</x:v>
      </x:c>
      <x:c r="L2192" s="1" t="str">
        <x:v>Нет</x:v>
      </x:c>
      <x:c r="M2192" s="1" t="n">
        <x:v>0</x:v>
      </x:c>
    </x:row>
    <x:row r="2193">
      <x:c r="A2193" s="1" t="str">
        <x:v>240083943</x:v>
      </x:c>
      <x:c r="B2193" s="1" t="str">
        <x:v>kroptop/милка</x:v>
      </x:c>
      <x:c r="C2193" s="1" t="str">
        <x:v>Футболки</x:v>
      </x:c>
      <x:c r="D2193" s="9" t="n">
        <x:v>9.7</x:v>
      </x:c>
      <x:c r="E2193" s="8" t="n">
        <x:v>317</x:v>
      </x:c>
      <x:c r="F2193" s="8" t="n">
        <x:v>0</x:v>
      </x:c>
      <x:c r="G2193" s="8" t="n">
        <x:v>0</x:v>
      </x:c>
      <x:c r="H2193" s="8" t="n">
        <x:v>0</x:v>
      </x:c>
      <x:c r="I2193" s="8" t="n">
        <x:v>0</x:v>
      </x:c>
      <x:c r="J2193" s="8" t="n">
        <x:v>0</x:v>
      </x:c>
      <x:c r="K2193" s="8" t="n">
        <x:v>0</x:v>
      </x:c>
      <x:c r="L2193" s="1" t="str">
        <x:v>Нет</x:v>
      </x:c>
      <x:c r="M2193" s="1" t="n">
        <x:v>0</x:v>
      </x:c>
    </x:row>
    <x:row r="2194">
      <x:c r="A2194" s="1" t="str">
        <x:v>240808489</x:v>
      </x:c>
      <x:c r="B2194" s="1" t="str">
        <x:v>brukigirl/темно-серый</x:v>
      </x:c>
      <x:c r="C2194" s="1" t="str">
        <x:v>Брюки</x:v>
      </x:c>
      <x:c r="D2194" s="9" t="n">
        <x:v>7.7</x:v>
      </x:c>
      <x:c r="E2194" s="8" t="n">
        <x:v>377</x:v>
      </x:c>
      <x:c r="F2194" s="8" t="n">
        <x:v>0</x:v>
      </x:c>
      <x:c r="G2194" s="8" t="n">
        <x:v>0</x:v>
      </x:c>
      <x:c r="H2194" s="8" t="n">
        <x:v>0</x:v>
      </x:c>
      <x:c r="I2194" s="8" t="n">
        <x:v>0</x:v>
      </x:c>
      <x:c r="J2194" s="8" t="n">
        <x:v>0</x:v>
      </x:c>
      <x:c r="K2194" s="8" t="n">
        <x:v>0</x:v>
      </x:c>
      <x:c r="L2194" s="1" t="str">
        <x:v>Нет</x:v>
      </x:c>
      <x:c r="M2194" s="1" t="n">
        <x:v>0</x:v>
      </x:c>
    </x:row>
    <x:row r="2195">
      <x:c r="A2195" s="1" t="str">
        <x:v>242720575</x:v>
      </x:c>
      <x:c r="B2195" s="1" t="str">
        <x:v>hudiman/графит-светло-коричневый</x:v>
      </x:c>
      <x:c r="C2195" s="1" t="str">
        <x:v>Худи</x:v>
      </x:c>
      <x:c r="D2195" s="9" t="n">
        <x:v>5.7</x:v>
      </x:c>
      <x:c r="E2195" s="8" t="n">
        <x:v>2</x:v>
      </x:c>
      <x:c r="F2195" s="8" t="n">
        <x:v>0</x:v>
      </x:c>
      <x:c r="G2195" s="8" t="n">
        <x:v>0</x:v>
      </x:c>
      <x:c r="H2195" s="8" t="n">
        <x:v>0</x:v>
      </x:c>
      <x:c r="I2195" s="8" t="n">
        <x:v>0</x:v>
      </x:c>
      <x:c r="J2195" s="8"/>
      <x:c r="K2195" s="8" t="n">
        <x:v>0</x:v>
      </x:c>
      <x:c r="L2195" s="1" t="str">
        <x:v>Нет</x:v>
      </x:c>
      <x:c r="M2195" s="1"/>
    </x:row>
    <x:row r="2196">
      <x:c r="A2196" s="1" t="str">
        <x:v>243665995</x:v>
      </x:c>
      <x:c r="B2196" s="1" t="str">
        <x:v>boxerX5/черХ2-тсер-ссер-тсин</x:v>
      </x:c>
      <x:c r="C2196" s="1" t="str">
        <x:v>Трусы</x:v>
      </x:c>
      <x:c r="D2196" s="9" t="n">
        <x:v>8.4</x:v>
      </x:c>
      <x:c r="E2196" s="8" t="n">
        <x:v>49</x:v>
      </x:c>
      <x:c r="F2196" s="8" t="n">
        <x:v>0</x:v>
      </x:c>
      <x:c r="G2196" s="8" t="n">
        <x:v>0</x:v>
      </x:c>
      <x:c r="H2196" s="8" t="n">
        <x:v>0</x:v>
      </x:c>
      <x:c r="I2196" s="8" t="n">
        <x:v>0</x:v>
      </x:c>
      <x:c r="J2196" s="8" t="n">
        <x:v>0</x:v>
      </x:c>
      <x:c r="K2196" s="8" t="n">
        <x:v>0</x:v>
      </x:c>
      <x:c r="L2196" s="1" t="str">
        <x:v>Нет</x:v>
      </x:c>
      <x:c r="M2196" s="1" t="n">
        <x:v>0</x:v>
      </x:c>
    </x:row>
    <x:row r="2197">
      <x:c r="A2197" s="1" t="str">
        <x:v>243665997</x:v>
      </x:c>
      <x:c r="B2197" s="1" t="str">
        <x:v>boxerX5/чер-тсер-ссер-тсинХ2</x:v>
      </x:c>
      <x:c r="C2197" s="1" t="str">
        <x:v>Трусы</x:v>
      </x:c>
      <x:c r="D2197" s="9" t="n">
        <x:v>8.4</x:v>
      </x:c>
      <x:c r="E2197" s="8" t="n">
        <x:v>44</x:v>
      </x:c>
      <x:c r="F2197" s="8" t="n">
        <x:v>0</x:v>
      </x:c>
      <x:c r="G2197" s="8" t="n">
        <x:v>0</x:v>
      </x:c>
      <x:c r="H2197" s="8" t="n">
        <x:v>0</x:v>
      </x:c>
      <x:c r="I2197" s="8" t="n">
        <x:v>0</x:v>
      </x:c>
      <x:c r="J2197" s="8" t="n">
        <x:v>0</x:v>
      </x:c>
      <x:c r="K2197" s="8" t="n">
        <x:v>0</x:v>
      </x:c>
      <x:c r="L2197" s="1" t="str">
        <x:v>Нет</x:v>
      </x:c>
      <x:c r="M2197" s="1" t="n">
        <x:v>0</x:v>
      </x:c>
    </x:row>
    <x:row r="2198">
      <x:c r="A2198" s="1" t="str">
        <x:v>243666004</x:v>
      </x:c>
      <x:c r="B2198" s="1" t="str">
        <x:v>boxerX3/чер-тсер-тсин</x:v>
      </x:c>
      <x:c r="C2198" s="1" t="str">
        <x:v>Трусы</x:v>
      </x:c>
      <x:c r="D2198" s="9" t="n">
        <x:v>8.4</x:v>
      </x:c>
      <x:c r="E2198" s="8" t="n">
        <x:v>75</x:v>
      </x:c>
      <x:c r="F2198" s="8" t="n">
        <x:v>0</x:v>
      </x:c>
      <x:c r="G2198" s="8" t="n">
        <x:v>0</x:v>
      </x:c>
      <x:c r="H2198" s="8" t="n">
        <x:v>0</x:v>
      </x:c>
      <x:c r="I2198" s="8" t="n">
        <x:v>0</x:v>
      </x:c>
      <x:c r="J2198" s="8" t="n">
        <x:v>0</x:v>
      </x:c>
      <x:c r="K2198" s="8" t="n">
        <x:v>0</x:v>
      </x:c>
      <x:c r="L2198" s="1" t="str">
        <x:v>Нет</x:v>
      </x:c>
      <x:c r="M2198" s="1" t="n">
        <x:v>0</x:v>
      </x:c>
    </x:row>
    <x:row r="2199">
      <x:c r="A2199" s="1" t="str">
        <x:v>243666006</x:v>
      </x:c>
      <x:c r="B2199" s="1" t="str">
        <x:v>boxerX5/черХ2-тсер-ссерХ2</x:v>
      </x:c>
      <x:c r="C2199" s="1" t="str">
        <x:v>Трусы</x:v>
      </x:c>
      <x:c r="D2199" s="9" t="n">
        <x:v>8.4</x:v>
      </x:c>
      <x:c r="E2199" s="8" t="n">
        <x:v>75</x:v>
      </x:c>
      <x:c r="F2199" s="8" t="n">
        <x:v>0</x:v>
      </x:c>
      <x:c r="G2199" s="8" t="n">
        <x:v>0</x:v>
      </x:c>
      <x:c r="H2199" s="8" t="n">
        <x:v>0</x:v>
      </x:c>
      <x:c r="I2199" s="8" t="n">
        <x:v>0</x:v>
      </x:c>
      <x:c r="J2199" s="8" t="n">
        <x:v>5</x:v>
      </x:c>
      <x:c r="K2199" s="8" t="n">
        <x:v>0</x:v>
      </x:c>
      <x:c r="L2199" s="1" t="str">
        <x:v>Нет</x:v>
      </x:c>
      <x:c r="M2199" s="1" t="n">
        <x:v>4377</x:v>
      </x:c>
    </x:row>
    <x:row r="2200">
      <x:c r="A2200" s="1" t="str">
        <x:v>243666012</x:v>
      </x:c>
      <x:c r="B2200" s="1" t="str">
        <x:v>boxerX10/черХ3-тсерХ3-ссерХ3-тсин</x:v>
      </x:c>
      <x:c r="C2200" s="1" t="str">
        <x:v>Трусы</x:v>
      </x:c>
      <x:c r="D2200" s="9" t="n">
        <x:v>8.4</x:v>
      </x:c>
      <x:c r="E2200" s="8" t="n">
        <x:v>1</x:v>
      </x:c>
      <x:c r="F2200" s="8" t="n">
        <x:v>0</x:v>
      </x:c>
      <x:c r="G2200" s="8" t="n">
        <x:v>0</x:v>
      </x:c>
      <x:c r="H2200" s="8" t="n">
        <x:v>0</x:v>
      </x:c>
      <x:c r="I2200" s="8" t="n">
        <x:v>0</x:v>
      </x:c>
      <x:c r="J2200" s="8" t="n">
        <x:v>0</x:v>
      </x:c>
      <x:c r="K2200" s="8" t="n">
        <x:v>0</x:v>
      </x:c>
      <x:c r="L2200" s="1" t="str">
        <x:v>Нет</x:v>
      </x:c>
      <x:c r="M2200" s="1" t="n">
        <x:v>0</x:v>
      </x:c>
    </x:row>
    <x:row r="2201">
      <x:c r="A2201" s="1" t="str">
        <x:v>243666013</x:v>
      </x:c>
      <x:c r="B2201" s="1" t="str">
        <x:v>boxerX3/чер-тсер-ссер</x:v>
      </x:c>
      <x:c r="C2201" s="1" t="str">
        <x:v>Трусы</x:v>
      </x:c>
      <x:c r="D2201" s="9" t="n">
        <x:v>8.4</x:v>
      </x:c>
      <x:c r="E2201" s="8" t="n">
        <x:v>1717</x:v>
      </x:c>
      <x:c r="F2201" s="8" t="n">
        <x:v>0</x:v>
      </x:c>
      <x:c r="G2201" s="8" t="n">
        <x:v>0</x:v>
      </x:c>
      <x:c r="H2201" s="8" t="n">
        <x:v>0</x:v>
      </x:c>
      <x:c r="I2201" s="8" t="n">
        <x:v>0</x:v>
      </x:c>
      <x:c r="J2201" s="8" t="n">
        <x:v>0</x:v>
      </x:c>
      <x:c r="K2201" s="8" t="n">
        <x:v>0</x:v>
      </x:c>
      <x:c r="L2201" s="1" t="str">
        <x:v>Нет</x:v>
      </x:c>
      <x:c r="M2201" s="1" t="n">
        <x:v>0</x:v>
      </x:c>
    </x:row>
    <x:row r="2202">
      <x:c r="A2202" s="1" t="str">
        <x:v>243666014</x:v>
      </x:c>
      <x:c r="B2202" s="1" t="str">
        <x:v>boxerX7/черХ2-тсерХ2-ссер-тсинХ2</x:v>
      </x:c>
      <x:c r="C2202" s="1" t="str">
        <x:v>Трусы</x:v>
      </x:c>
      <x:c r="D2202" s="9" t="n">
        <x:v>8.4</x:v>
      </x:c>
      <x:c r="E2202" s="8" t="n">
        <x:v>1</x:v>
      </x:c>
      <x:c r="F2202" s="8" t="n">
        <x:v>0</x:v>
      </x:c>
      <x:c r="G2202" s="8" t="n">
        <x:v>0</x:v>
      </x:c>
      <x:c r="H2202" s="8" t="n">
        <x:v>0</x:v>
      </x:c>
      <x:c r="I2202" s="8" t="n">
        <x:v>0</x:v>
      </x:c>
      <x:c r="J2202" s="8" t="n">
        <x:v>0</x:v>
      </x:c>
      <x:c r="K2202" s="8" t="n">
        <x:v>0</x:v>
      </x:c>
      <x:c r="L2202" s="1" t="str">
        <x:v>Нет</x:v>
      </x:c>
      <x:c r="M2202" s="1" t="n">
        <x:v>0</x:v>
      </x:c>
    </x:row>
    <x:row r="2203">
      <x:c r="A2203" s="1" t="str">
        <x:v>243666017</x:v>
      </x:c>
      <x:c r="B2203" s="1" t="str">
        <x:v>boxerX5/черный</x:v>
      </x:c>
      <x:c r="C2203" s="1" t="str">
        <x:v>Трусы</x:v>
      </x:c>
      <x:c r="D2203" s="9" t="n">
        <x:v>8.4</x:v>
      </x:c>
      <x:c r="E2203" s="8" t="n">
        <x:v>79</x:v>
      </x:c>
      <x:c r="F2203" s="8" t="n">
        <x:v>0</x:v>
      </x:c>
      <x:c r="G2203" s="8" t="n">
        <x:v>0</x:v>
      </x:c>
      <x:c r="H2203" s="8" t="n">
        <x:v>0</x:v>
      </x:c>
      <x:c r="I2203" s="8" t="n">
        <x:v>0</x:v>
      </x:c>
      <x:c r="J2203" s="8" t="n">
        <x:v>1</x:v>
      </x:c>
      <x:c r="K2203" s="8" t="n">
        <x:v>0</x:v>
      </x:c>
      <x:c r="L2203" s="1" t="str">
        <x:v>Нет</x:v>
      </x:c>
      <x:c r="M2203" s="1" t="n">
        <x:v>0</x:v>
      </x:c>
    </x:row>
    <x:row r="2204">
      <x:c r="A2204" s="1" t="str">
        <x:v>243666020</x:v>
      </x:c>
      <x:c r="B2204" s="1" t="str">
        <x:v>boxerX5/чер-тсерХ2-ссер-тсин</x:v>
      </x:c>
      <x:c r="C2204" s="1" t="str">
        <x:v>Трусы</x:v>
      </x:c>
      <x:c r="D2204" s="9" t="n">
        <x:v>8.4</x:v>
      </x:c>
      <x:c r="E2204" s="8" t="n">
        <x:v>13</x:v>
      </x:c>
      <x:c r="F2204" s="8" t="n">
        <x:v>0</x:v>
      </x:c>
      <x:c r="G2204" s="8" t="n">
        <x:v>0</x:v>
      </x:c>
      <x:c r="H2204" s="8" t="n">
        <x:v>0</x:v>
      </x:c>
      <x:c r="I2204" s="8" t="n">
        <x:v>0</x:v>
      </x:c>
      <x:c r="J2204" s="8" t="n">
        <x:v>0</x:v>
      </x:c>
      <x:c r="K2204" s="8" t="n">
        <x:v>0</x:v>
      </x:c>
      <x:c r="L2204" s="1" t="str">
        <x:v>Нет</x:v>
      </x:c>
      <x:c r="M2204" s="1" t="n">
        <x:v>0</x:v>
      </x:c>
    </x:row>
    <x:row r="2205">
      <x:c r="A2205" s="1" t="str">
        <x:v>243666038</x:v>
      </x:c>
      <x:c r="B2205" s="1" t="str">
        <x:v>boxerX3/тсер-тсин-ссер</x:v>
      </x:c>
      <x:c r="C2205" s="1" t="str">
        <x:v>Трусы</x:v>
      </x:c>
      <x:c r="D2205" s="9" t="n">
        <x:v>8.4</x:v>
      </x:c>
      <x:c r="E2205" s="8" t="n">
        <x:v>42</x:v>
      </x:c>
      <x:c r="F2205" s="8" t="n">
        <x:v>0</x:v>
      </x:c>
      <x:c r="G2205" s="8" t="n">
        <x:v>0</x:v>
      </x:c>
      <x:c r="H2205" s="8" t="n">
        <x:v>0</x:v>
      </x:c>
      <x:c r="I2205" s="8" t="n">
        <x:v>0</x:v>
      </x:c>
      <x:c r="J2205" s="8" t="n">
        <x:v>0</x:v>
      </x:c>
      <x:c r="K2205" s="8" t="n">
        <x:v>0</x:v>
      </x:c>
      <x:c r="L2205" s="1" t="str">
        <x:v>Нет</x:v>
      </x:c>
      <x:c r="M2205" s="1" t="n">
        <x:v>0</x:v>
      </x:c>
    </x:row>
    <x:row r="2206">
      <x:c r="A2206" s="1" t="str">
        <x:v>245745662</x:v>
      </x:c>
      <x:c r="B2206" s="1" t="str">
        <x:v>kulirkaman/пыльнаяроза-серый гранит</x:v>
      </x:c>
      <x:c r="C2206" s="1" t="str">
        <x:v>Футболки</x:v>
      </x:c>
      <x:c r="D2206" s="9" t="n">
        <x:v>4.7</x:v>
      </x:c>
      <x:c r="E2206" s="8" t="n">
        <x:v>1</x:v>
      </x:c>
      <x:c r="F2206" s="8" t="n">
        <x:v>0</x:v>
      </x:c>
      <x:c r="G2206" s="8" t="n">
        <x:v>0</x:v>
      </x:c>
      <x:c r="H2206" s="8" t="n">
        <x:v>0</x:v>
      </x:c>
      <x:c r="I2206" s="8" t="n">
        <x:v>0</x:v>
      </x:c>
      <x:c r="J2206" s="8" t="n">
        <x:v>0</x:v>
      </x:c>
      <x:c r="K2206" s="8" t="n">
        <x:v>0</x:v>
      </x:c>
      <x:c r="L2206" s="1" t="str">
        <x:v>Нет</x:v>
      </x:c>
      <x:c r="M2206" s="1" t="n">
        <x:v>0</x:v>
      </x:c>
    </x:row>
    <x:row r="2207">
      <x:c r="A2207" s="1" t="str">
        <x:v>246059752</x:v>
      </x:c>
      <x:c r="B2207" s="1" t="str">
        <x:v>bomberman/черный</x:v>
      </x:c>
      <x:c r="C2207" s="1" t="str">
        <x:v>Худи</x:v>
      </x:c>
      <x:c r="D2207" s="9" t="n">
        <x:v>9.7</x:v>
      </x:c>
      <x:c r="E2207" s="8" t="n">
        <x:v>20</x:v>
      </x:c>
      <x:c r="F2207" s="8" t="n">
        <x:v>0</x:v>
      </x:c>
      <x:c r="G2207" s="8" t="n">
        <x:v>0</x:v>
      </x:c>
      <x:c r="H2207" s="8" t="n">
        <x:v>0</x:v>
      </x:c>
      <x:c r="I2207" s="8" t="n">
        <x:v>0</x:v>
      </x:c>
      <x:c r="J2207" s="8" t="n">
        <x:v>0</x:v>
      </x:c>
      <x:c r="K2207" s="8" t="n">
        <x:v>0</x:v>
      </x:c>
      <x:c r="L2207" s="1" t="str">
        <x:v>Нет</x:v>
      </x:c>
      <x:c r="M2207" s="1" t="n">
        <x:v>0</x:v>
      </x:c>
    </x:row>
    <x:row r="2208">
      <x:c r="A2208" s="1" t="str">
        <x:v>246157036</x:v>
      </x:c>
      <x:c r="B2208" s="1" t="str">
        <x:v>svitzipcroppetlvish/MoveClub-93/серыймеланж2</x:v>
      </x:c>
      <x:c r="C2208" s="1" t="str">
        <x:v>Свитшоты</x:v>
      </x:c>
      <x:c r="D2208" s="9" t="n">
        <x:v>8.7</x:v>
      </x:c>
      <x:c r="E2208" s="8" t="n">
        <x:v>733</x:v>
      </x:c>
      <x:c r="F2208" s="8" t="n">
        <x:v>0</x:v>
      </x:c>
      <x:c r="G2208" s="8" t="n">
        <x:v>0</x:v>
      </x:c>
      <x:c r="H2208" s="8" t="n">
        <x:v>0</x:v>
      </x:c>
      <x:c r="I2208" s="8" t="n">
        <x:v>0</x:v>
      </x:c>
      <x:c r="J2208" s="8" t="n">
        <x:v>0</x:v>
      </x:c>
      <x:c r="K2208" s="8" t="n">
        <x:v>0</x:v>
      </x:c>
      <x:c r="L2208" s="1" t="str">
        <x:v>Нет</x:v>
      </x:c>
      <x:c r="M2208" s="1" t="n">
        <x:v>0</x:v>
      </x:c>
    </x:row>
    <x:row r="2209">
      <x:c r="A2209" s="1" t="str">
        <x:v>247145313</x:v>
      </x:c>
      <x:c r="B2209" s="1" t="str">
        <x:v>noskilongman/белый</x:v>
      </x:c>
      <x:c r="C2209" s="1" t="str">
        <x:v>Носки</x:v>
      </x:c>
      <x:c r="D2209" s="9" t="n">
        <x:v>9.7</x:v>
      </x:c>
      <x:c r="E2209" s="8" t="n">
        <x:v>20</x:v>
      </x:c>
      <x:c r="F2209" s="8" t="n">
        <x:v>0</x:v>
      </x:c>
      <x:c r="G2209" s="8" t="n">
        <x:v>0</x:v>
      </x:c>
      <x:c r="H2209" s="8" t="n">
        <x:v>0</x:v>
      </x:c>
      <x:c r="I2209" s="8" t="n">
        <x:v>0</x:v>
      </x:c>
      <x:c r="J2209" s="8" t="n">
        <x:v>0</x:v>
      </x:c>
      <x:c r="K2209" s="8" t="n">
        <x:v>0</x:v>
      </x:c>
      <x:c r="L2209" s="1" t="str">
        <x:v>Нет</x:v>
      </x:c>
      <x:c r="M2209" s="1" t="n">
        <x:v>0</x:v>
      </x:c>
    </x:row>
    <x:row r="2210">
      <x:c r="A2210" s="1" t="str">
        <x:v>247179367</x:v>
      </x:c>
      <x:c r="B2210" s="1" t="str">
        <x:v>noskishortman/белый</x:v>
      </x:c>
      <x:c r="C2210" s="1" t="str">
        <x:v>Носки</x:v>
      </x:c>
      <x:c r="D2210" s="9" t="n">
        <x:v>9.7</x:v>
      </x:c>
      <x:c r="E2210" s="8" t="n">
        <x:v>23</x:v>
      </x:c>
      <x:c r="F2210" s="8" t="n">
        <x:v>0</x:v>
      </x:c>
      <x:c r="G2210" s="8" t="n">
        <x:v>0</x:v>
      </x:c>
      <x:c r="H2210" s="8" t="n">
        <x:v>0</x:v>
      </x:c>
      <x:c r="I2210" s="8" t="n">
        <x:v>0</x:v>
      </x:c>
      <x:c r="J2210" s="8" t="n">
        <x:v>0</x:v>
      </x:c>
      <x:c r="K2210" s="8" t="n">
        <x:v>0</x:v>
      </x:c>
      <x:c r="L2210" s="1" t="str">
        <x:v>Нет</x:v>
      </x:c>
      <x:c r="M2210" s="1" t="n">
        <x:v>0</x:v>
      </x:c>
    </x:row>
    <x:row r="2211">
      <x:c r="A2211" s="1" t="str">
        <x:v>247188244</x:v>
      </x:c>
      <x:c r="B2211" s="1" t="str">
        <x:v>noskilong/черный</x:v>
      </x:c>
      <x:c r="C2211" s="1" t="str">
        <x:v>Носки</x:v>
      </x:c>
      <x:c r="D2211" s="9" t="n">
        <x:v>9.2</x:v>
      </x:c>
      <x:c r="E2211" s="8" t="n">
        <x:v>15</x:v>
      </x:c>
      <x:c r="F2211" s="8" t="n">
        <x:v>0</x:v>
      </x:c>
      <x:c r="G2211" s="8" t="n">
        <x:v>0</x:v>
      </x:c>
      <x:c r="H2211" s="8" t="n">
        <x:v>0</x:v>
      </x:c>
      <x:c r="I2211" s="8" t="n">
        <x:v>0</x:v>
      </x:c>
      <x:c r="J2211" s="8" t="n">
        <x:v>0</x:v>
      </x:c>
      <x:c r="K2211" s="8" t="n">
        <x:v>0</x:v>
      </x:c>
      <x:c r="L2211" s="1" t="str">
        <x:v>Нет</x:v>
      </x:c>
      <x:c r="M2211" s="1" t="n">
        <x:v>0</x:v>
      </x:c>
    </x:row>
    <x:row r="2212">
      <x:c r="A2212" s="1" t="str">
        <x:v>247189760</x:v>
      </x:c>
      <x:c r="B2212" s="1" t="str">
        <x:v>noskishort/черный</x:v>
      </x:c>
      <x:c r="C2212" s="1" t="str">
        <x:v>Носки</x:v>
      </x:c>
      <x:c r="D2212" s="9" t="n">
        <x:v>10</x:v>
      </x:c>
      <x:c r="E2212" s="8" t="n">
        <x:v>16</x:v>
      </x:c>
      <x:c r="F2212" s="8" t="n">
        <x:v>0</x:v>
      </x:c>
      <x:c r="G2212" s="8" t="n">
        <x:v>0</x:v>
      </x:c>
      <x:c r="H2212" s="8" t="n">
        <x:v>0</x:v>
      </x:c>
      <x:c r="I2212" s="8" t="n">
        <x:v>0</x:v>
      </x:c>
      <x:c r="J2212" s="8" t="n">
        <x:v>0</x:v>
      </x:c>
      <x:c r="K2212" s="8" t="n">
        <x:v>0</x:v>
      </x:c>
      <x:c r="L2212" s="1" t="str">
        <x:v>Нет</x:v>
      </x:c>
      <x:c r="M2212" s="1" t="n">
        <x:v>0</x:v>
      </x:c>
    </x:row>
    <x:row r="2213">
      <x:c r="A2213" s="1" t="str">
        <x:v>24721429</x:v>
      </x:c>
      <x:c r="B2213" s="1" t="str">
        <x:v>bodi/черный</x:v>
      </x:c>
      <x:c r="C2213" s="1" t="str">
        <x:v>Блузки-боди</x:v>
      </x:c>
      <x:c r="D2213" s="9" t="n">
        <x:v>8.2</x:v>
      </x:c>
      <x:c r="E2213" s="8" t="n">
        <x:v>5232</x:v>
      </x:c>
      <x:c r="F2213" s="8" t="n">
        <x:v>0</x:v>
      </x:c>
      <x:c r="G2213" s="8" t="n">
        <x:v>0</x:v>
      </x:c>
      <x:c r="H2213" s="8" t="n">
        <x:v>0</x:v>
      </x:c>
      <x:c r="I2213" s="8" t="n">
        <x:v>0</x:v>
      </x:c>
      <x:c r="J2213" s="8" t="n">
        <x:v>0</x:v>
      </x:c>
      <x:c r="K2213" s="8" t="n">
        <x:v>0</x:v>
      </x:c>
      <x:c r="L2213" s="1" t="str">
        <x:v>Нет</x:v>
      </x:c>
      <x:c r="M2213" s="1" t="n">
        <x:v>0</x:v>
      </x:c>
    </x:row>
    <x:row r="2214">
      <x:c r="A2214" s="1" t="str">
        <x:v>247689626</x:v>
      </x:c>
      <x:c r="B2214" s="1" t="str">
        <x:v>noskishortman/черный</x:v>
      </x:c>
      <x:c r="C2214" s="1" t="str">
        <x:v>Носки</x:v>
      </x:c>
      <x:c r="D2214" s="9" t="n">
        <x:v>9.7</x:v>
      </x:c>
      <x:c r="E2214" s="8" t="n">
        <x:v>24</x:v>
      </x:c>
      <x:c r="F2214" s="8" t="n">
        <x:v>0</x:v>
      </x:c>
      <x:c r="G2214" s="8" t="n">
        <x:v>0</x:v>
      </x:c>
      <x:c r="H2214" s="8" t="n">
        <x:v>0</x:v>
      </x:c>
      <x:c r="I2214" s="8" t="n">
        <x:v>0</x:v>
      </x:c>
      <x:c r="J2214" s="8" t="n">
        <x:v>0</x:v>
      </x:c>
      <x:c r="K2214" s="8" t="n">
        <x:v>0</x:v>
      </x:c>
      <x:c r="L2214" s="1" t="str">
        <x:v>Нет</x:v>
      </x:c>
      <x:c r="M2214" s="1" t="n">
        <x:v>0</x:v>
      </x:c>
    </x:row>
    <x:row r="2215">
      <x:c r="A2215" s="1" t="str">
        <x:v>247689701</x:v>
      </x:c>
      <x:c r="B2215" s="1" t="str">
        <x:v>noskilongman/черный</x:v>
      </x:c>
      <x:c r="C2215" s="1" t="str">
        <x:v>Носки</x:v>
      </x:c>
      <x:c r="D2215" s="9" t="n">
        <x:v>9.7</x:v>
      </x:c>
      <x:c r="E2215" s="8" t="n">
        <x:v>33</x:v>
      </x:c>
      <x:c r="F2215" s="8" t="n">
        <x:v>0</x:v>
      </x:c>
      <x:c r="G2215" s="8" t="n">
        <x:v>0</x:v>
      </x:c>
      <x:c r="H2215" s="8" t="n">
        <x:v>0</x:v>
      </x:c>
      <x:c r="I2215" s="8" t="n">
        <x:v>0</x:v>
      </x:c>
      <x:c r="J2215" s="8" t="n">
        <x:v>0</x:v>
      </x:c>
      <x:c r="K2215" s="8" t="n">
        <x:v>0</x:v>
      </x:c>
      <x:c r="L2215" s="1" t="str">
        <x:v>Нет</x:v>
      </x:c>
      <x:c r="M2215" s="1" t="n">
        <x:v>0</x:v>
      </x:c>
    </x:row>
    <x:row r="2216">
      <x:c r="A2216" s="1" t="str">
        <x:v>247689868</x:v>
      </x:c>
      <x:c r="B2216" s="1" t="str">
        <x:v>noskilong/белый</x:v>
      </x:c>
      <x:c r="C2216" s="1" t="str">
        <x:v>Носки</x:v>
      </x:c>
      <x:c r="D2216" s="9" t="n">
        <x:v>9.2</x:v>
      </x:c>
      <x:c r="E2216" s="8" t="n">
        <x:v>17</x:v>
      </x:c>
      <x:c r="F2216" s="8" t="n">
        <x:v>0</x:v>
      </x:c>
      <x:c r="G2216" s="8" t="n">
        <x:v>0</x:v>
      </x:c>
      <x:c r="H2216" s="8" t="n">
        <x:v>0</x:v>
      </x:c>
      <x:c r="I2216" s="8" t="n">
        <x:v>0</x:v>
      </x:c>
      <x:c r="J2216" s="8" t="n">
        <x:v>0</x:v>
      </x:c>
      <x:c r="K2216" s="8" t="n">
        <x:v>0</x:v>
      </x:c>
      <x:c r="L2216" s="1" t="str">
        <x:v>Нет</x:v>
      </x:c>
      <x:c r="M2216" s="1" t="n">
        <x:v>0</x:v>
      </x:c>
    </x:row>
    <x:row r="2217">
      <x:c r="A2217" s="1" t="str">
        <x:v>247689894</x:v>
      </x:c>
      <x:c r="B2217" s="1" t="str">
        <x:v>noskishort/белый</x:v>
      </x:c>
      <x:c r="C2217" s="1" t="str">
        <x:v>Носки</x:v>
      </x:c>
      <x:c r="D2217" s="9" t="n">
        <x:v>10</x:v>
      </x:c>
      <x:c r="E2217" s="8" t="n">
        <x:v>13</x:v>
      </x:c>
      <x:c r="F2217" s="8" t="n">
        <x:v>0</x:v>
      </x:c>
      <x:c r="G2217" s="8" t="n">
        <x:v>0</x:v>
      </x:c>
      <x:c r="H2217" s="8" t="n">
        <x:v>0</x:v>
      </x:c>
      <x:c r="I2217" s="8" t="n">
        <x:v>0</x:v>
      </x:c>
      <x:c r="J2217" s="8" t="n">
        <x:v>0</x:v>
      </x:c>
      <x:c r="K2217" s="8" t="n">
        <x:v>0</x:v>
      </x:c>
      <x:c r="L2217" s="1" t="str">
        <x:v>Нет</x:v>
      </x:c>
      <x:c r="M2217" s="1" t="n">
        <x:v>0</x:v>
      </x:c>
    </x:row>
    <x:row r="2218">
      <x:c r="A2218" s="1" t="str">
        <x:v>24987324</x:v>
      </x:c>
      <x:c r="B2218" s="1" t="str">
        <x:v>futbolka/коричневый</x:v>
      </x:c>
      <x:c r="C2218" s="1" t="str">
        <x:v>Футболки</x:v>
      </x:c>
      <x:c r="D2218" s="9" t="n">
        <x:v>7.2</x:v>
      </x:c>
      <x:c r="E2218" s="8" t="n">
        <x:v>115</x:v>
      </x:c>
      <x:c r="F2218" s="8" t="n">
        <x:v>0</x:v>
      </x:c>
      <x:c r="G2218" s="8" t="n">
        <x:v>0</x:v>
      </x:c>
      <x:c r="H2218" s="8" t="n">
        <x:v>0</x:v>
      </x:c>
      <x:c r="I2218" s="8" t="n">
        <x:v>0</x:v>
      </x:c>
      <x:c r="J2218" s="8" t="n">
        <x:v>0</x:v>
      </x:c>
      <x:c r="K2218" s="8" t="n">
        <x:v>0</x:v>
      </x:c>
      <x:c r="L2218" s="1" t="str">
        <x:v>Нет</x:v>
      </x:c>
      <x:c r="M2218" s="1" t="n">
        <x:v>0</x:v>
      </x:c>
    </x:row>
    <x:row r="2219">
      <x:c r="A2219" s="1" t="str">
        <x:v>25016282</x:v>
      </x:c>
      <x:c r="B2219" s="1" t="str">
        <x:v>futbolka_mary/коричневый</x:v>
      </x:c>
      <x:c r="C2219" s="1" t="str">
        <x:v>Футболки</x:v>
      </x:c>
      <x:c r="D2219" s="9" t="n">
        <x:v>7.2</x:v>
      </x:c>
      <x:c r="E2219" s="8" t="n">
        <x:v>19</x:v>
      </x:c>
      <x:c r="F2219" s="8" t="n">
        <x:v>0</x:v>
      </x:c>
      <x:c r="G2219" s="8" t="n">
        <x:v>0</x:v>
      </x:c>
      <x:c r="H2219" s="8" t="n">
        <x:v>19</x:v>
      </x:c>
      <x:c r="I2219" s="8" t="n">
        <x:v>0</x:v>
      </x:c>
      <x:c r="J2219" s="8" t="n">
        <x:v>0</x:v>
      </x:c>
      <x:c r="K2219" s="8" t="n">
        <x:v>0</x:v>
      </x:c>
      <x:c r="L2219" s="1" t="str">
        <x:v>Нет</x:v>
      </x:c>
      <x:c r="M2219" s="1" t="n">
        <x:v>0</x:v>
      </x:c>
    </x:row>
    <x:row r="2220">
      <x:c r="A2220" s="1" t="str">
        <x:v>250793281</x:v>
      </x:c>
      <x:c r="B2220" s="1" t="str">
        <x:v>svitshotgirl/темно-синий</x:v>
      </x:c>
      <x:c r="C2220" s="1" t="str">
        <x:v>Свитшоты</x:v>
      </x:c>
      <x:c r="D2220" s="9" t="n">
        <x:v>9.5</x:v>
      </x:c>
      <x:c r="E2220" s="8" t="n">
        <x:v>4</x:v>
      </x:c>
      <x:c r="F2220" s="8" t="n">
        <x:v>0</x:v>
      </x:c>
      <x:c r="G2220" s="8" t="n">
        <x:v>0</x:v>
      </x:c>
      <x:c r="H2220" s="8" t="n">
        <x:v>0</x:v>
      </x:c>
      <x:c r="I2220" s="8" t="n">
        <x:v>0</x:v>
      </x:c>
      <x:c r="J2220" s="8" t="n">
        <x:v>0</x:v>
      </x:c>
      <x:c r="K2220" s="8" t="n">
        <x:v>0</x:v>
      </x:c>
      <x:c r="L2220" s="1" t="str">
        <x:v>Нет</x:v>
      </x:c>
      <x:c r="M2220" s="1" t="n">
        <x:v>0</x:v>
      </x:c>
    </x:row>
    <x:row r="2221">
      <x:c r="A2221" s="1" t="str">
        <x:v>250793301</x:v>
      </x:c>
      <x:c r="B2221" s="1" t="str">
        <x:v>svitshotgirl/розовый</x:v>
      </x:c>
      <x:c r="C2221" s="1" t="str">
        <x:v>Свитшоты</x:v>
      </x:c>
      <x:c r="D2221" s="9" t="n">
        <x:v>9.5</x:v>
      </x:c>
      <x:c r="E2221" s="8" t="n">
        <x:v>6</x:v>
      </x:c>
      <x:c r="F2221" s="8" t="n">
        <x:v>0</x:v>
      </x:c>
      <x:c r="G2221" s="8" t="n">
        <x:v>0</x:v>
      </x:c>
      <x:c r="H2221" s="8" t="n">
        <x:v>0</x:v>
      </x:c>
      <x:c r="I2221" s="8" t="n">
        <x:v>0</x:v>
      </x:c>
      <x:c r="J2221" s="8" t="n">
        <x:v>0</x:v>
      </x:c>
      <x:c r="K2221" s="8" t="n">
        <x:v>0</x:v>
      </x:c>
      <x:c r="L2221" s="1" t="str">
        <x:v>Нет</x:v>
      </x:c>
      <x:c r="M2221" s="1" t="n">
        <x:v>0</x:v>
      </x:c>
    </x:row>
    <x:row r="2222">
      <x:c r="A2222" s="1" t="str">
        <x:v>250793337</x:v>
      </x:c>
      <x:c r="B2222" s="1" t="str">
        <x:v>svitshotgirl/черный</x:v>
      </x:c>
      <x:c r="C2222" s="1" t="str">
        <x:v>Свитшоты</x:v>
      </x:c>
      <x:c r="D2222" s="9" t="n">
        <x:v>9.5</x:v>
      </x:c>
      <x:c r="E2222" s="8" t="n">
        <x:v>5</x:v>
      </x:c>
      <x:c r="F2222" s="8" t="n">
        <x:v>0</x:v>
      </x:c>
      <x:c r="G2222" s="8" t="n">
        <x:v>0</x:v>
      </x:c>
      <x:c r="H2222" s="8" t="n">
        <x:v>0</x:v>
      </x:c>
      <x:c r="I2222" s="8" t="n">
        <x:v>0</x:v>
      </x:c>
      <x:c r="J2222" s="8" t="n">
        <x:v>0</x:v>
      </x:c>
      <x:c r="K2222" s="8" t="n">
        <x:v>0</x:v>
      </x:c>
      <x:c r="L2222" s="1" t="str">
        <x:v>Нет</x:v>
      </x:c>
      <x:c r="M2222" s="1" t="n">
        <x:v>0</x:v>
      </x:c>
    </x:row>
    <x:row r="2223">
      <x:c r="A2223" s="1" t="str">
        <x:v>250793379</x:v>
      </x:c>
      <x:c r="B2223" s="1" t="str">
        <x:v>svitshotgirl/темно-серый</x:v>
      </x:c>
      <x:c r="C2223" s="1" t="str">
        <x:v>Свитшоты</x:v>
      </x:c>
      <x:c r="D2223" s="9" t="n">
        <x:v>9.5</x:v>
      </x:c>
      <x:c r="E2223" s="8" t="n">
        <x:v>9</x:v>
      </x:c>
      <x:c r="F2223" s="8" t="n">
        <x:v>0</x:v>
      </x:c>
      <x:c r="G2223" s="8" t="n">
        <x:v>0</x:v>
      </x:c>
      <x:c r="H2223" s="8" t="n">
        <x:v>0</x:v>
      </x:c>
      <x:c r="I2223" s="8" t="n">
        <x:v>0</x:v>
      </x:c>
      <x:c r="J2223" s="8" t="n">
        <x:v>0</x:v>
      </x:c>
      <x:c r="K2223" s="8" t="n">
        <x:v>0</x:v>
      </x:c>
      <x:c r="L2223" s="1" t="str">
        <x:v>Нет</x:v>
      </x:c>
      <x:c r="M2223" s="1" t="n">
        <x:v>0</x:v>
      </x:c>
    </x:row>
    <x:row r="2224">
      <x:c r="A2224" s="1" t="str">
        <x:v>250793394</x:v>
      </x:c>
      <x:c r="B2224" s="1" t="str">
        <x:v>svitshotgirl/молочный</x:v>
      </x:c>
      <x:c r="C2224" s="1" t="str">
        <x:v>Свитшоты</x:v>
      </x:c>
      <x:c r="D2224" s="9" t="n">
        <x:v>9.5</x:v>
      </x:c>
      <x:c r="E2224" s="8" t="n">
        <x:v>7</x:v>
      </x:c>
      <x:c r="F2224" s="8" t="n">
        <x:v>0</x:v>
      </x:c>
      <x:c r="G2224" s="8" t="n">
        <x:v>0</x:v>
      </x:c>
      <x:c r="H2224" s="8" t="n">
        <x:v>0</x:v>
      </x:c>
      <x:c r="I2224" s="8" t="n">
        <x:v>0</x:v>
      </x:c>
      <x:c r="J2224" s="8" t="n">
        <x:v>0</x:v>
      </x:c>
      <x:c r="K2224" s="8" t="n">
        <x:v>0</x:v>
      </x:c>
      <x:c r="L2224" s="1" t="str">
        <x:v>Нет</x:v>
      </x:c>
      <x:c r="M2224" s="1" t="n">
        <x:v>0</x:v>
      </x:c>
    </x:row>
    <x:row r="2225">
      <x:c r="A2225" s="1" t="str">
        <x:v>250793399</x:v>
      </x:c>
      <x:c r="B2225" s="1" t="str">
        <x:v>svitshotboy/темно-синий</x:v>
      </x:c>
      <x:c r="C2225" s="1" t="str">
        <x:v>Свитшоты</x:v>
      </x:c>
      <x:c r="D2225" s="9" t="n">
        <x:v>9.5</x:v>
      </x:c>
      <x:c r="E2225" s="8" t="n">
        <x:v>1</x:v>
      </x:c>
      <x:c r="F2225" s="8" t="n">
        <x:v>0</x:v>
      </x:c>
      <x:c r="G2225" s="8" t="n">
        <x:v>0</x:v>
      </x:c>
      <x:c r="H2225" s="8" t="n">
        <x:v>0</x:v>
      </x:c>
      <x:c r="I2225" s="8" t="n">
        <x:v>0</x:v>
      </x:c>
      <x:c r="J2225" s="8"/>
      <x:c r="K2225" s="8" t="n">
        <x:v>0</x:v>
      </x:c>
      <x:c r="L2225" s="1" t="str">
        <x:v>Нет</x:v>
      </x:c>
      <x:c r="M2225" s="1"/>
    </x:row>
    <x:row r="2226">
      <x:c r="A2226" s="1" t="str">
        <x:v>251325339</x:v>
      </x:c>
      <x:c r="B2226" s="1" t="str">
        <x:v>hudicrop/темно-синий</x:v>
      </x:c>
      <x:c r="C2226" s="1" t="str">
        <x:v>Худи</x:v>
      </x:c>
      <x:c r="D2226" s="9" t="n">
        <x:v>8.7</x:v>
      </x:c>
      <x:c r="E2226" s="8" t="n">
        <x:v>513</x:v>
      </x:c>
      <x:c r="F2226" s="8" t="n">
        <x:v>0</x:v>
      </x:c>
      <x:c r="G2226" s="8" t="n">
        <x:v>0</x:v>
      </x:c>
      <x:c r="H2226" s="8" t="n">
        <x:v>0</x:v>
      </x:c>
      <x:c r="I2226" s="8" t="n">
        <x:v>0</x:v>
      </x:c>
      <x:c r="J2226" s="8" t="n">
        <x:v>0</x:v>
      </x:c>
      <x:c r="K2226" s="8" t="n">
        <x:v>0</x:v>
      </x:c>
      <x:c r="L2226" s="1" t="str">
        <x:v>Нет</x:v>
      </x:c>
      <x:c r="M2226" s="1" t="n">
        <x:v>0</x:v>
      </x:c>
    </x:row>
    <x:row r="2227">
      <x:c r="A2227" s="1" t="str">
        <x:v>251774343</x:v>
      </x:c>
      <x:c r="B2227" s="1" t="str">
        <x:v>hudicrop/серый</x:v>
      </x:c>
      <x:c r="C2227" s="1" t="str">
        <x:v>Худи</x:v>
      </x:c>
      <x:c r="D2227" s="9" t="n">
        <x:v>8.7</x:v>
      </x:c>
      <x:c r="E2227" s="8" t="n">
        <x:v>408</x:v>
      </x:c>
      <x:c r="F2227" s="8" t="n">
        <x:v>0</x:v>
      </x:c>
      <x:c r="G2227" s="8" t="n">
        <x:v>0</x:v>
      </x:c>
      <x:c r="H2227" s="8" t="n">
        <x:v>0</x:v>
      </x:c>
      <x:c r="I2227" s="8" t="n">
        <x:v>0</x:v>
      </x:c>
      <x:c r="J2227" s="8" t="n">
        <x:v>0</x:v>
      </x:c>
      <x:c r="K2227" s="8" t="n">
        <x:v>0</x:v>
      </x:c>
      <x:c r="L2227" s="1" t="str">
        <x:v>Нет</x:v>
      </x:c>
      <x:c r="M2227" s="1" t="n">
        <x:v>0</x:v>
      </x:c>
    </x:row>
    <x:row r="2228">
      <x:c r="A2228" s="1" t="str">
        <x:v>253281926</x:v>
      </x:c>
      <x:c r="B2228" s="1" t="str">
        <x:v>hudiprint/Tokyo-198/молочный</x:v>
      </x:c>
      <x:c r="C2228" s="1" t="str">
        <x:v>Худи</x:v>
      </x:c>
      <x:c r="D2228" s="9" t="n">
        <x:v>8.7</x:v>
      </x:c>
      <x:c r="E2228" s="8" t="n">
        <x:v>389</x:v>
      </x:c>
      <x:c r="F2228" s="8" t="n">
        <x:v>0</x:v>
      </x:c>
      <x:c r="G2228" s="8" t="n">
        <x:v>0</x:v>
      </x:c>
      <x:c r="H2228" s="8" t="n">
        <x:v>0</x:v>
      </x:c>
      <x:c r="I2228" s="8" t="n">
        <x:v>0</x:v>
      </x:c>
      <x:c r="J2228" s="8" t="n">
        <x:v>0</x:v>
      </x:c>
      <x:c r="K2228" s="8" t="n">
        <x:v>0</x:v>
      </x:c>
      <x:c r="L2228" s="1" t="str">
        <x:v>Нет</x:v>
      </x:c>
      <x:c r="M2228" s="1" t="n">
        <x:v>0</x:v>
      </x:c>
    </x:row>
    <x:row r="2229">
      <x:c r="A2229" s="1" t="str">
        <x:v>253890257</x:v>
      </x:c>
      <x:c r="B2229" s="1" t="str">
        <x:v>hudiprint/Клянусь-204/серыймеланж2</x:v>
      </x:c>
      <x:c r="C2229" s="1" t="str">
        <x:v>Худи</x:v>
      </x:c>
      <x:c r="D2229" s="9" t="n">
        <x:v>9.7</x:v>
      </x:c>
      <x:c r="E2229" s="8" t="n">
        <x:v>250</x:v>
      </x:c>
      <x:c r="F2229" s="8" t="n">
        <x:v>0</x:v>
      </x:c>
      <x:c r="G2229" s="8" t="n">
        <x:v>0</x:v>
      </x:c>
      <x:c r="H2229" s="8" t="n">
        <x:v>0</x:v>
      </x:c>
      <x:c r="I2229" s="8" t="n">
        <x:v>0</x:v>
      </x:c>
      <x:c r="J2229" s="8" t="n">
        <x:v>0</x:v>
      </x:c>
      <x:c r="K2229" s="8" t="n">
        <x:v>0</x:v>
      </x:c>
      <x:c r="L2229" s="1" t="str">
        <x:v>Нет</x:v>
      </x:c>
      <x:c r="M2229" s="1" t="n">
        <x:v>0</x:v>
      </x:c>
    </x:row>
    <x:row r="2230">
      <x:c r="A2230" s="1" t="str">
        <x:v>255445099</x:v>
      </x:c>
      <x:c r="B2230" s="1" t="str">
        <x:v>svitshotprint/Curve-197/голубой</x:v>
      </x:c>
      <x:c r="C2230" s="1" t="str">
        <x:v>Свитшоты</x:v>
      </x:c>
      <x:c r="D2230" s="9" t="n">
        <x:v>9.7</x:v>
      </x:c>
      <x:c r="E2230" s="8" t="n">
        <x:v>13</x:v>
      </x:c>
      <x:c r="F2230" s="8" t="n">
        <x:v>0</x:v>
      </x:c>
      <x:c r="G2230" s="8" t="n">
        <x:v>0</x:v>
      </x:c>
      <x:c r="H2230" s="8" t="n">
        <x:v>0</x:v>
      </x:c>
      <x:c r="I2230" s="8" t="n">
        <x:v>0</x:v>
      </x:c>
      <x:c r="J2230" s="8" t="n">
        <x:v>0</x:v>
      </x:c>
      <x:c r="K2230" s="8" t="n">
        <x:v>0</x:v>
      </x:c>
      <x:c r="L2230" s="1" t="str">
        <x:v>Нет</x:v>
      </x:c>
      <x:c r="M2230" s="1" t="n">
        <x:v>0</x:v>
      </x:c>
    </x:row>
    <x:row r="2231">
      <x:c r="A2231" s="1" t="str">
        <x:v>256315189</x:v>
      </x:c>
      <x:c r="B2231" s="1" t="str">
        <x:v>bazahlop/какао</x:v>
      </x:c>
      <x:c r="C2231" s="1" t="str">
        <x:v>Футболки</x:v>
      </x:c>
      <x:c r="D2231" s="9" t="n">
        <x:v>8.2</x:v>
      </x:c>
      <x:c r="E2231" s="8" t="n">
        <x:v>2019</x:v>
      </x:c>
      <x:c r="F2231" s="8" t="n">
        <x:v>0</x:v>
      </x:c>
      <x:c r="G2231" s="8" t="n">
        <x:v>0</x:v>
      </x:c>
      <x:c r="H2231" s="8" t="n">
        <x:v>219</x:v>
      </x:c>
      <x:c r="I2231" s="8" t="n">
        <x:v>0</x:v>
      </x:c>
      <x:c r="J2231" s="8" t="n">
        <x:v>33</x:v>
      </x:c>
      <x:c r="K2231" s="8" t="n">
        <x:v>0</x:v>
      </x:c>
      <x:c r="L2231" s="1" t="str">
        <x:v>Нет</x:v>
      </x:c>
      <x:c r="M2231" s="1" t="n">
        <x:v>14250</x:v>
      </x:c>
    </x:row>
    <x:row r="2232">
      <x:c r="A2232" s="1" t="str">
        <x:v>256323214</x:v>
      </x:c>
      <x:c r="B2232" s="1" t="str">
        <x:v>futhlopmanover/синий</x:v>
      </x:c>
      <x:c r="C2232" s="1" t="str">
        <x:v>Футболки</x:v>
      </x:c>
      <x:c r="D2232" s="9" t="n">
        <x:v>8.7</x:v>
      </x:c>
      <x:c r="E2232" s="8" t="n">
        <x:v>5526</x:v>
      </x:c>
      <x:c r="F2232" s="8" t="n">
        <x:v>1</x:v>
      </x:c>
      <x:c r="G2232" s="8" t="n">
        <x:v>0</x:v>
      </x:c>
      <x:c r="H2232" s="8" t="n">
        <x:v>0</x:v>
      </x:c>
      <x:c r="I2232" s="8" t="n">
        <x:v>0</x:v>
      </x:c>
      <x:c r="J2232" s="8" t="n">
        <x:v>0</x:v>
      </x:c>
      <x:c r="K2232" s="8" t="n">
        <x:v>975</x:v>
      </x:c>
      <x:c r="L2232" s="1" t="str">
        <x:v>Нет</x:v>
      </x:c>
      <x:c r="M2232" s="1" t="n">
        <x:v>0</x:v>
      </x:c>
    </x:row>
    <x:row r="2233">
      <x:c r="A2233" s="1" t="str">
        <x:v>259016532</x:v>
      </x:c>
      <x:c r="B2233" s="1" t="str">
        <x:v>hudicrop/фиолетовый</x:v>
      </x:c>
      <x:c r="C2233" s="1" t="str">
        <x:v>Худи</x:v>
      </x:c>
      <x:c r="D2233" s="9" t="n">
        <x:v>4.7</x:v>
      </x:c>
      <x:c r="E2233" s="8" t="n">
        <x:v>3</x:v>
      </x:c>
      <x:c r="F2233" s="8" t="n">
        <x:v>0</x:v>
      </x:c>
      <x:c r="G2233" s="8" t="n">
        <x:v>0</x:v>
      </x:c>
      <x:c r="H2233" s="8" t="n">
        <x:v>0</x:v>
      </x:c>
      <x:c r="I2233" s="8" t="n">
        <x:v>0</x:v>
      </x:c>
      <x:c r="J2233" s="8"/>
      <x:c r="K2233" s="8" t="n">
        <x:v>0</x:v>
      </x:c>
      <x:c r="L2233" s="1" t="str">
        <x:v>Нет</x:v>
      </x:c>
      <x:c r="M2233" s="1"/>
    </x:row>
    <x:row r="2234">
      <x:c r="A2234" s="1" t="str">
        <x:v>26129348</x:v>
      </x:c>
      <x:c r="B2234" s="1" t="str">
        <x:v>futbolka/дымка</x:v>
      </x:c>
      <x:c r="C2234" s="1" t="str">
        <x:v>Футболки</x:v>
      </x:c>
      <x:c r="D2234" s="9" t="n">
        <x:v>7.2</x:v>
      </x:c>
      <x:c r="E2234" s="8" t="n">
        <x:v>56</x:v>
      </x:c>
      <x:c r="F2234" s="8" t="n">
        <x:v>0</x:v>
      </x:c>
      <x:c r="G2234" s="8" t="n">
        <x:v>0</x:v>
      </x:c>
      <x:c r="H2234" s="8" t="n">
        <x:v>0</x:v>
      </x:c>
      <x:c r="I2234" s="8" t="n">
        <x:v>0</x:v>
      </x:c>
      <x:c r="J2234" s="8" t="n">
        <x:v>0</x:v>
      </x:c>
      <x:c r="K2234" s="8" t="n">
        <x:v>0</x:v>
      </x:c>
      <x:c r="L2234" s="1" t="str">
        <x:v>Нет</x:v>
      </x:c>
      <x:c r="M2234" s="1" t="n">
        <x:v>0</x:v>
      </x:c>
    </x:row>
    <x:row r="2235">
      <x:c r="A2235" s="1" t="str">
        <x:v>26236916</x:v>
      </x:c>
      <x:c r="B2235" s="1" t="str">
        <x:v>futbolka_mary/эвкалипт</x:v>
      </x:c>
      <x:c r="C2235" s="1" t="str">
        <x:v>Футболки</x:v>
      </x:c>
      <x:c r="D2235" s="9" t="n">
        <x:v>7.2</x:v>
      </x:c>
      <x:c r="E2235" s="8" t="n">
        <x:v>20</x:v>
      </x:c>
      <x:c r="F2235" s="8" t="n">
        <x:v>0</x:v>
      </x:c>
      <x:c r="G2235" s="8" t="n">
        <x:v>0</x:v>
      </x:c>
      <x:c r="H2235" s="8" t="n">
        <x:v>0</x:v>
      </x:c>
      <x:c r="I2235" s="8" t="n">
        <x:v>0</x:v>
      </x:c>
      <x:c r="J2235" s="8" t="n">
        <x:v>0</x:v>
      </x:c>
      <x:c r="K2235" s="8" t="n">
        <x:v>0</x:v>
      </x:c>
      <x:c r="L2235" s="1" t="str">
        <x:v>Нет</x:v>
      </x:c>
      <x:c r="M2235" s="1" t="n">
        <x:v>0</x:v>
      </x:c>
    </x:row>
    <x:row r="2236">
      <x:c r="A2236" s="1" t="str">
        <x:v>26238771</x:v>
      </x:c>
      <x:c r="B2236" s="1" t="str">
        <x:v>futbolka_mary/пудра</x:v>
      </x:c>
      <x:c r="C2236" s="1" t="str">
        <x:v>Футболки</x:v>
      </x:c>
      <x:c r="D2236" s="9" t="n">
        <x:v>7.2</x:v>
      </x:c>
      <x:c r="E2236" s="8" t="n">
        <x:v>93</x:v>
      </x:c>
      <x:c r="F2236" s="8" t="n">
        <x:v>0</x:v>
      </x:c>
      <x:c r="G2236" s="8" t="n">
        <x:v>0</x:v>
      </x:c>
      <x:c r="H2236" s="8" t="n">
        <x:v>0</x:v>
      </x:c>
      <x:c r="I2236" s="8" t="n">
        <x:v>0</x:v>
      </x:c>
      <x:c r="J2236" s="8" t="n">
        <x:v>0</x:v>
      </x:c>
      <x:c r="K2236" s="8" t="n">
        <x:v>0</x:v>
      </x:c>
      <x:c r="L2236" s="1" t="str">
        <x:v>Нет</x:v>
      </x:c>
      <x:c r="M2236" s="1" t="n">
        <x:v>0</x:v>
      </x:c>
    </x:row>
    <x:row r="2237">
      <x:c r="A2237" s="1" t="str">
        <x:v>26238987</x:v>
      </x:c>
      <x:c r="B2237" s="1" t="str">
        <x:v>futbolka/эвкалипт</x:v>
      </x:c>
      <x:c r="C2237" s="1" t="str">
        <x:v>Футболки</x:v>
      </x:c>
      <x:c r="D2237" s="9" t="n">
        <x:v>7.2</x:v>
      </x:c>
      <x:c r="E2237" s="8" t="n">
        <x:v>286</x:v>
      </x:c>
      <x:c r="F2237" s="8" t="n">
        <x:v>0</x:v>
      </x:c>
      <x:c r="G2237" s="8" t="n">
        <x:v>0</x:v>
      </x:c>
      <x:c r="H2237" s="8" t="n">
        <x:v>1</x:v>
      </x:c>
      <x:c r="I2237" s="8" t="n">
        <x:v>0</x:v>
      </x:c>
      <x:c r="J2237" s="8" t="n">
        <x:v>0</x:v>
      </x:c>
      <x:c r="K2237" s="8" t="n">
        <x:v>0</x:v>
      </x:c>
      <x:c r="L2237" s="1" t="str">
        <x:v>Нет</x:v>
      </x:c>
      <x:c r="M2237" s="1" t="n">
        <x:v>0</x:v>
      </x:c>
    </x:row>
    <x:row r="2238">
      <x:c r="A2238" s="1" t="str">
        <x:v>26239119</x:v>
      </x:c>
      <x:c r="B2238" s="1" t="str">
        <x:v>futbolka/пудровый</x:v>
      </x:c>
      <x:c r="C2238" s="1" t="str">
        <x:v>Футболки</x:v>
      </x:c>
      <x:c r="D2238" s="9" t="n">
        <x:v>7.2</x:v>
      </x:c>
      <x:c r="E2238" s="8" t="n">
        <x:v>38</x:v>
      </x:c>
      <x:c r="F2238" s="8" t="n">
        <x:v>0</x:v>
      </x:c>
      <x:c r="G2238" s="8" t="n">
        <x:v>0</x:v>
      </x:c>
      <x:c r="H2238" s="8" t="n">
        <x:v>0</x:v>
      </x:c>
      <x:c r="I2238" s="8" t="n">
        <x:v>0</x:v>
      </x:c>
      <x:c r="J2238" s="8" t="n">
        <x:v>0</x:v>
      </x:c>
      <x:c r="K2238" s="8" t="n">
        <x:v>0</x:v>
      </x:c>
      <x:c r="L2238" s="1" t="str">
        <x:v>Нет</x:v>
      </x:c>
      <x:c r="M2238" s="1" t="n">
        <x:v>0</x:v>
      </x:c>
    </x:row>
    <x:row r="2239">
      <x:c r="A2239" s="1" t="str">
        <x:v>26239168</x:v>
      </x:c>
      <x:c r="B2239" s="1" t="str">
        <x:v>futbolka/хаки</x:v>
      </x:c>
      <x:c r="C2239" s="1" t="str">
        <x:v>Футболки</x:v>
      </x:c>
      <x:c r="D2239" s="9" t="n">
        <x:v>7.2</x:v>
      </x:c>
      <x:c r="E2239" s="8" t="n">
        <x:v>2160</x:v>
      </x:c>
      <x:c r="F2239" s="8" t="n">
        <x:v>1</x:v>
      </x:c>
      <x:c r="G2239" s="8" t="n">
        <x:v>0</x:v>
      </x:c>
      <x:c r="H2239" s="8" t="n">
        <x:v>1</x:v>
      </x:c>
      <x:c r="I2239" s="8" t="n">
        <x:v>0</x:v>
      </x:c>
      <x:c r="J2239" s="8" t="n">
        <x:v>1</x:v>
      </x:c>
      <x:c r="K2239" s="8" t="n">
        <x:v>792</x:v>
      </x:c>
      <x:c r="L2239" s="1" t="str">
        <x:v>Нет</x:v>
      </x:c>
      <x:c r="M2239" s="1" t="n">
        <x:v>0</x:v>
      </x:c>
    </x:row>
    <x:row r="2240">
      <x:c r="A2240" s="1" t="str">
        <x:v>26561968</x:v>
      </x:c>
      <x:c r="B2240" s="1" t="str">
        <x:v>brukipetlyaa/светло-фиолетовый</x:v>
      </x:c>
      <x:c r="C2240" s="1" t="str">
        <x:v>Брюки</x:v>
      </x:c>
      <x:c r="D2240" s="9" t="n">
        <x:v>8.7</x:v>
      </x:c>
      <x:c r="E2240" s="8" t="n">
        <x:v>448</x:v>
      </x:c>
      <x:c r="F2240" s="8" t="n">
        <x:v>0</x:v>
      </x:c>
      <x:c r="G2240" s="8" t="n">
        <x:v>0</x:v>
      </x:c>
      <x:c r="H2240" s="8" t="n">
        <x:v>0</x:v>
      </x:c>
      <x:c r="I2240" s="8" t="n">
        <x:v>0</x:v>
      </x:c>
      <x:c r="J2240" s="8" t="n">
        <x:v>4</x:v>
      </x:c>
      <x:c r="K2240" s="8" t="n">
        <x:v>0</x:v>
      </x:c>
      <x:c r="L2240" s="1" t="str">
        <x:v>Нет</x:v>
      </x:c>
      <x:c r="M2240" s="1" t="n">
        <x:v>5052</x:v>
      </x:c>
    </x:row>
    <x:row r="2241">
      <x:c r="A2241" s="1" t="str">
        <x:v>26562196</x:v>
      </x:c>
      <x:c r="B2241" s="1" t="str">
        <x:v>brukipetlyaa/голубой</x:v>
      </x:c>
      <x:c r="C2241" s="1" t="str">
        <x:v>Брюки</x:v>
      </x:c>
      <x:c r="D2241" s="9" t="n">
        <x:v>0</x:v>
      </x:c>
      <x:c r="E2241" s="8" t="n">
        <x:v>1</x:v>
      </x:c>
      <x:c r="F2241" s="8" t="n">
        <x:v>0</x:v>
      </x:c>
      <x:c r="G2241" s="8" t="n">
        <x:v>0</x:v>
      </x:c>
      <x:c r="H2241" s="8" t="n">
        <x:v>0</x:v>
      </x:c>
      <x:c r="I2241" s="8" t="n">
        <x:v>0</x:v>
      </x:c>
      <x:c r="J2241" s="8" t="n">
        <x:v>0</x:v>
      </x:c>
      <x:c r="K2241" s="8" t="n">
        <x:v>0</x:v>
      </x:c>
      <x:c r="L2241" s="1" t="str">
        <x:v>Да</x:v>
      </x:c>
      <x:c r="M2241" s="1" t="n">
        <x:v>0</x:v>
      </x:c>
    </x:row>
    <x:row r="2242">
      <x:c r="A2242" s="1" t="str">
        <x:v>26562751</x:v>
      </x:c>
      <x:c r="B2242" s="1" t="str">
        <x:v>brukipetlyaa/светло-зеленый</x:v>
      </x:c>
      <x:c r="C2242" s="1" t="str">
        <x:v>Брюки</x:v>
      </x:c>
      <x:c r="D2242" s="9" t="n">
        <x:v>8.7</x:v>
      </x:c>
      <x:c r="E2242" s="8" t="n">
        <x:v>322</x:v>
      </x:c>
      <x:c r="F2242" s="8" t="n">
        <x:v>0</x:v>
      </x:c>
      <x:c r="G2242" s="8" t="n">
        <x:v>0</x:v>
      </x:c>
      <x:c r="H2242" s="8" t="n">
        <x:v>0</x:v>
      </x:c>
      <x:c r="I2242" s="8" t="n">
        <x:v>0</x:v>
      </x:c>
      <x:c r="J2242" s="8" t="n">
        <x:v>0</x:v>
      </x:c>
      <x:c r="K2242" s="8" t="n">
        <x:v>0</x:v>
      </x:c>
      <x:c r="L2242" s="1" t="str">
        <x:v>Нет</x:v>
      </x:c>
      <x:c r="M2242" s="1" t="n">
        <x:v>0</x:v>
      </x:c>
    </x:row>
    <x:row r="2243">
      <x:c r="A2243" s="1" t="str">
        <x:v>26578135</x:v>
      </x:c>
      <x:c r="B2243" s="1" t="str">
        <x:v>hudipetlyaaa/банановый</x:v>
      </x:c>
      <x:c r="C2243" s="1" t="str">
        <x:v>Худи</x:v>
      </x:c>
      <x:c r="D2243" s="9" t="n">
        <x:v>7.7</x:v>
      </x:c>
      <x:c r="E2243" s="8" t="n">
        <x:v>9</x:v>
      </x:c>
      <x:c r="F2243" s="8" t="n">
        <x:v>0</x:v>
      </x:c>
      <x:c r="G2243" s="8" t="n">
        <x:v>0</x:v>
      </x:c>
      <x:c r="H2243" s="8" t="n">
        <x:v>0</x:v>
      </x:c>
      <x:c r="I2243" s="8" t="n">
        <x:v>0</x:v>
      </x:c>
      <x:c r="J2243" s="8" t="n">
        <x:v>0</x:v>
      </x:c>
      <x:c r="K2243" s="8" t="n">
        <x:v>0</x:v>
      </x:c>
      <x:c r="L2243" s="1" t="str">
        <x:v>Нет</x:v>
      </x:c>
      <x:c r="M2243" s="1" t="n">
        <x:v>0</x:v>
      </x:c>
    </x:row>
    <x:row r="2244">
      <x:c r="A2244" s="1" t="str">
        <x:v>266714310</x:v>
      </x:c>
      <x:c r="B2244" s="1" t="str">
        <x:v>hudiprint/ENJOY-228/белый</x:v>
      </x:c>
      <x:c r="C2244" s="1" t="str">
        <x:v>Худи</x:v>
      </x:c>
      <x:c r="D2244" s="9" t="n">
        <x:v>8.7</x:v>
      </x:c>
      <x:c r="E2244" s="8" t="n">
        <x:v>325</x:v>
      </x:c>
      <x:c r="F2244" s="8" t="n">
        <x:v>0</x:v>
      </x:c>
      <x:c r="G2244" s="8" t="n">
        <x:v>0</x:v>
      </x:c>
      <x:c r="H2244" s="8" t="n">
        <x:v>0</x:v>
      </x:c>
      <x:c r="I2244" s="8" t="n">
        <x:v>0</x:v>
      </x:c>
      <x:c r="J2244" s="8" t="n">
        <x:v>0</x:v>
      </x:c>
      <x:c r="K2244" s="8" t="n">
        <x:v>0</x:v>
      </x:c>
      <x:c r="L2244" s="1" t="str">
        <x:v>Нет</x:v>
      </x:c>
      <x:c r="M2244" s="1" t="n">
        <x:v>0</x:v>
      </x:c>
    </x:row>
    <x:row r="2245">
      <x:c r="A2245" s="1" t="str">
        <x:v>26721341</x:v>
      </x:c>
      <x:c r="B2245" s="1" t="str">
        <x:v>hudipetlyaaa/светло-фиолетовый</x:v>
      </x:c>
      <x:c r="C2245" s="1" t="str">
        <x:v>Худи</x:v>
      </x:c>
      <x:c r="D2245" s="9" t="n">
        <x:v>7.7</x:v>
      </x:c>
      <x:c r="E2245" s="8" t="n">
        <x:v>4</x:v>
      </x:c>
      <x:c r="F2245" s="8" t="n">
        <x:v>0</x:v>
      </x:c>
      <x:c r="G2245" s="8" t="n">
        <x:v>0</x:v>
      </x:c>
      <x:c r="H2245" s="8" t="n">
        <x:v>0</x:v>
      </x:c>
      <x:c r="I2245" s="8" t="n">
        <x:v>0</x:v>
      </x:c>
      <x:c r="J2245" s="8" t="n">
        <x:v>0</x:v>
      </x:c>
      <x:c r="K2245" s="8" t="n">
        <x:v>0</x:v>
      </x:c>
      <x:c r="L2245" s="1" t="str">
        <x:v>Нет</x:v>
      </x:c>
      <x:c r="M2245" s="1" t="n">
        <x:v>0</x:v>
      </x:c>
    </x:row>
    <x:row r="2246">
      <x:c r="A2246" s="1" t="str">
        <x:v>26721354</x:v>
      </x:c>
      <x:c r="B2246" s="1" t="str">
        <x:v>hudipetlyaaa/голубой</x:v>
      </x:c>
      <x:c r="C2246" s="1" t="str">
        <x:v>Худи</x:v>
      </x:c>
      <x:c r="D2246" s="9" t="n">
        <x:v>7.7</x:v>
      </x:c>
      <x:c r="E2246" s="8" t="n">
        <x:v>4</x:v>
      </x:c>
      <x:c r="F2246" s="8" t="n">
        <x:v>0</x:v>
      </x:c>
      <x:c r="G2246" s="8" t="n">
        <x:v>0</x:v>
      </x:c>
      <x:c r="H2246" s="8" t="n">
        <x:v>0</x:v>
      </x:c>
      <x:c r="I2246" s="8" t="n">
        <x:v>0</x:v>
      </x:c>
      <x:c r="J2246" s="8" t="n">
        <x:v>0</x:v>
      </x:c>
      <x:c r="K2246" s="8" t="n">
        <x:v>0</x:v>
      </x:c>
      <x:c r="L2246" s="1" t="str">
        <x:v>Нет</x:v>
      </x:c>
      <x:c r="M2246" s="1" t="n">
        <x:v>0</x:v>
      </x:c>
    </x:row>
    <x:row r="2247">
      <x:c r="A2247" s="1" t="str">
        <x:v>26721364</x:v>
      </x:c>
      <x:c r="B2247" s="1" t="str">
        <x:v>hudipetlyaaa/светло-зеленый</x:v>
      </x:c>
      <x:c r="C2247" s="1" t="str">
        <x:v>Худи</x:v>
      </x:c>
      <x:c r="D2247" s="9" t="n">
        <x:v>7.7</x:v>
      </x:c>
      <x:c r="E2247" s="8" t="n">
        <x:v>3</x:v>
      </x:c>
      <x:c r="F2247" s="8" t="n">
        <x:v>0</x:v>
      </x:c>
      <x:c r="G2247" s="8" t="n">
        <x:v>0</x:v>
      </x:c>
      <x:c r="H2247" s="8" t="n">
        <x:v>0</x:v>
      </x:c>
      <x:c r="I2247" s="8" t="n">
        <x:v>0</x:v>
      </x:c>
      <x:c r="J2247" s="8" t="n">
        <x:v>0</x:v>
      </x:c>
      <x:c r="K2247" s="8" t="n">
        <x:v>0</x:v>
      </x:c>
      <x:c r="L2247" s="1" t="str">
        <x:v>Нет</x:v>
      </x:c>
      <x:c r="M2247" s="1" t="n">
        <x:v>0</x:v>
      </x:c>
    </x:row>
    <x:row r="2248">
      <x:c r="A2248" s="1" t="str">
        <x:v>268416523</x:v>
      </x:c>
      <x:c r="B2248" s="1" t="str">
        <x:v>longoverprint/CRAVE-230/дымка</x:v>
      </x:c>
      <x:c r="C2248" s="1" t="str">
        <x:v>Лонгсливы</x:v>
      </x:c>
      <x:c r="D2248" s="9" t="n">
        <x:v>9.7</x:v>
      </x:c>
      <x:c r="E2248" s="8" t="n">
        <x:v>336</x:v>
      </x:c>
      <x:c r="F2248" s="8" t="n">
        <x:v>1</x:v>
      </x:c>
      <x:c r="G2248" s="8" t="n">
        <x:v>0</x:v>
      </x:c>
      <x:c r="H2248" s="8" t="n">
        <x:v>0</x:v>
      </x:c>
      <x:c r="I2248" s="8" t="n">
        <x:v>0</x:v>
      </x:c>
      <x:c r="J2248" s="8" t="n">
        <x:v>482</x:v>
      </x:c>
      <x:c r="K2248" s="8" t="n">
        <x:v>1138</x:v>
      </x:c>
      <x:c r="L2248" s="1" t="str">
        <x:v>Нет</x:v>
      </x:c>
      <x:c r="M2248" s="1" t="n">
        <x:v>225230</x:v>
      </x:c>
    </x:row>
    <x:row r="2249">
      <x:c r="A2249" s="1" t="str">
        <x:v>271218592</x:v>
      </x:c>
      <x:c r="B2249" s="1" t="str">
        <x:v>boxerX3/чер-чер-чер</x:v>
      </x:c>
      <x:c r="C2249" s="1" t="str">
        <x:v>Трусы</x:v>
      </x:c>
      <x:c r="D2249" s="9" t="n">
        <x:v>8.4</x:v>
      </x:c>
      <x:c r="E2249" s="8" t="n">
        <x:v>9</x:v>
      </x:c>
      <x:c r="F2249" s="8" t="n">
        <x:v>0</x:v>
      </x:c>
      <x:c r="G2249" s="8" t="n">
        <x:v>0</x:v>
      </x:c>
      <x:c r="H2249" s="8" t="n">
        <x:v>0</x:v>
      </x:c>
      <x:c r="I2249" s="8" t="n">
        <x:v>0</x:v>
      </x:c>
      <x:c r="J2249" s="8" t="n">
        <x:v>0</x:v>
      </x:c>
      <x:c r="K2249" s="8" t="n">
        <x:v>0</x:v>
      </x:c>
      <x:c r="L2249" s="1" t="str">
        <x:v>Нет</x:v>
      </x:c>
      <x:c r="M2249" s="1" t="n">
        <x:v>0</x:v>
      </x:c>
    </x:row>
    <x:row r="2250">
      <x:c r="A2250" s="1" t="str">
        <x:v>27993498</x:v>
      </x:c>
      <x:c r="B2250" s="1" t="str">
        <x:v>obez/черный</x:v>
      </x:c>
      <x:c r="C2250" s="1" t="str">
        <x:v>Болеро</x:v>
      </x:c>
      <x:c r="D2250" s="9" t="n">
        <x:v>5.3</x:v>
      </x:c>
      <x:c r="E2250" s="8" t="n">
        <x:v>1</x:v>
      </x:c>
      <x:c r="F2250" s="8" t="n">
        <x:v>0</x:v>
      </x:c>
      <x:c r="G2250" s="8" t="n">
        <x:v>0</x:v>
      </x:c>
      <x:c r="H2250" s="8" t="n">
        <x:v>0</x:v>
      </x:c>
      <x:c r="I2250" s="8" t="n">
        <x:v>0</x:v>
      </x:c>
      <x:c r="J2250" s="8" t="n">
        <x:v>0</x:v>
      </x:c>
      <x:c r="K2250" s="8" t="n">
        <x:v>0</x:v>
      </x:c>
      <x:c r="L2250" s="1" t="str">
        <x:v>Нет</x:v>
      </x:c>
      <x:c r="M2250" s="1" t="n">
        <x:v>0</x:v>
      </x:c>
    </x:row>
    <x:row r="2251">
      <x:c r="A2251" s="1" t="str">
        <x:v>288627690</x:v>
      </x:c>
      <x:c r="B2251" s="1" t="str">
        <x:v>kostyum/вареныйсерый</x:v>
      </x:c>
      <x:c r="C2251" s="1" t="str">
        <x:v>Костюмы спортивные</x:v>
      </x:c>
      <x:c r="D2251" s="9" t="n">
        <x:v>8.7</x:v>
      </x:c>
      <x:c r="E2251" s="8" t="n">
        <x:v>1216</x:v>
      </x:c>
      <x:c r="F2251" s="8" t="n">
        <x:v>0</x:v>
      </x:c>
      <x:c r="G2251" s="8" t="n">
        <x:v>0</x:v>
      </x:c>
      <x:c r="H2251" s="8" t="n">
        <x:v>0</x:v>
      </x:c>
      <x:c r="I2251" s="8" t="n">
        <x:v>0</x:v>
      </x:c>
      <x:c r="J2251" s="8" t="n">
        <x:v>0</x:v>
      </x:c>
      <x:c r="K2251" s="8" t="n">
        <x:v>0</x:v>
      </x:c>
      <x:c r="L2251" s="1" t="str">
        <x:v>Нет</x:v>
      </x:c>
      <x:c r="M2251" s="1" t="n">
        <x:v>0</x:v>
      </x:c>
    </x:row>
    <x:row r="2252">
      <x:c r="A2252" s="1" t="str">
        <x:v>288633829</x:v>
      </x:c>
      <x:c r="B2252" s="1" t="str">
        <x:v>kostumman/темно-синий</x:v>
      </x:c>
      <x:c r="C2252" s="1" t="str">
        <x:v>Костюмы спортивные</x:v>
      </x:c>
      <x:c r="D2252" s="9" t="n">
        <x:v>9.4</x:v>
      </x:c>
      <x:c r="E2252" s="8" t="n">
        <x:v>2</x:v>
      </x:c>
      <x:c r="F2252" s="8" t="n">
        <x:v>0</x:v>
      </x:c>
      <x:c r="G2252" s="8" t="n">
        <x:v>0</x:v>
      </x:c>
      <x:c r="H2252" s="8" t="n">
        <x:v>0</x:v>
      </x:c>
      <x:c r="I2252" s="8" t="n">
        <x:v>0</x:v>
      </x:c>
      <x:c r="J2252" s="8" t="n">
        <x:v>0</x:v>
      </x:c>
      <x:c r="K2252" s="8" t="n">
        <x:v>0</x:v>
      </x:c>
      <x:c r="L2252" s="1" t="str">
        <x:v>Нет</x:v>
      </x:c>
      <x:c r="M2252" s="1" t="n">
        <x:v>0</x:v>
      </x:c>
    </x:row>
    <x:row r="2253">
      <x:c r="A2253" s="1" t="str">
        <x:v>296186654</x:v>
      </x:c>
      <x:c r="B2253" s="1" t="str">
        <x:v>shtanyman4P-79/графит</x:v>
      </x:c>
      <x:c r="C2253" s="1" t="str">
        <x:v>Брюки</x:v>
      </x:c>
      <x:c r="D2253" s="9" t="n">
        <x:v>8.4</x:v>
      </x:c>
      <x:c r="E2253" s="8" t="n">
        <x:v>23</x:v>
      </x:c>
      <x:c r="F2253" s="8" t="n">
        <x:v>0</x:v>
      </x:c>
      <x:c r="G2253" s="8" t="n">
        <x:v>0</x:v>
      </x:c>
      <x:c r="H2253" s="8" t="n">
        <x:v>0</x:v>
      </x:c>
      <x:c r="I2253" s="8" t="n">
        <x:v>0</x:v>
      </x:c>
      <x:c r="J2253" s="8" t="n">
        <x:v>0</x:v>
      </x:c>
      <x:c r="K2253" s="8" t="n">
        <x:v>0</x:v>
      </x:c>
      <x:c r="L2253" s="1" t="str">
        <x:v>Нет</x:v>
      </x:c>
      <x:c r="M2253" s="1" t="n">
        <x:v>0</x:v>
      </x:c>
    </x:row>
    <x:row r="2254">
      <x:c r="A2254" s="1" t="str">
        <x:v>296192285</x:v>
      </x:c>
      <x:c r="B2254" s="1" t="str">
        <x:v>fixman4F-78/темно-серый</x:v>
      </x:c>
      <x:c r="C2254" s="1" t="str">
        <x:v>Брюки</x:v>
      </x:c>
      <x:c r="D2254" s="9" t="n">
        <x:v>8.2</x:v>
      </x:c>
      <x:c r="E2254" s="8" t="n">
        <x:v>1174</x:v>
      </x:c>
      <x:c r="F2254" s="8" t="n">
        <x:v>0</x:v>
      </x:c>
      <x:c r="G2254" s="8" t="n">
        <x:v>0</x:v>
      </x:c>
      <x:c r="H2254" s="8" t="n">
        <x:v>0</x:v>
      </x:c>
      <x:c r="I2254" s="8" t="n">
        <x:v>0</x:v>
      </x:c>
      <x:c r="J2254" s="8" t="n">
        <x:v>0</x:v>
      </x:c>
      <x:c r="K2254" s="8" t="n">
        <x:v>0</x:v>
      </x:c>
      <x:c r="L2254" s="1" t="str">
        <x:v>Нет</x:v>
      </x:c>
      <x:c r="M2254" s="1" t="n">
        <x:v>0</x:v>
      </x:c>
    </x:row>
    <x:row r="2255">
      <x:c r="A2255" s="1" t="str">
        <x:v>296192286</x:v>
      </x:c>
      <x:c r="B2255" s="1" t="str">
        <x:v>fixman4F-78/молочный</x:v>
      </x:c>
      <x:c r="C2255" s="1" t="str">
        <x:v>Брюки</x:v>
      </x:c>
      <x:c r="D2255" s="9" t="n">
        <x:v>8.2</x:v>
      </x:c>
      <x:c r="E2255" s="8" t="n">
        <x:v>677</x:v>
      </x:c>
      <x:c r="F2255" s="8" t="n">
        <x:v>0</x:v>
      </x:c>
      <x:c r="G2255" s="8" t="n">
        <x:v>0</x:v>
      </x:c>
      <x:c r="H2255" s="8" t="n">
        <x:v>0</x:v>
      </x:c>
      <x:c r="I2255" s="8" t="n">
        <x:v>0</x:v>
      </x:c>
      <x:c r="J2255" s="8" t="n">
        <x:v>0</x:v>
      </x:c>
      <x:c r="K2255" s="8" t="n">
        <x:v>0</x:v>
      </x:c>
      <x:c r="L2255" s="1" t="str">
        <x:v>Нет</x:v>
      </x:c>
      <x:c r="M2255" s="1" t="n">
        <x:v>0</x:v>
      </x:c>
    </x:row>
    <x:row r="2256">
      <x:c r="A2256" s="1" t="str">
        <x:v>297336421</x:v>
      </x:c>
      <x:c r="B2256" s="1" t="str">
        <x:v>kostumman/хаки</x:v>
      </x:c>
      <x:c r="C2256" s="1" t="str">
        <x:v>Костюмы спортивные</x:v>
      </x:c>
      <x:c r="D2256" s="9" t="n">
        <x:v>9.4</x:v>
      </x:c>
      <x:c r="E2256" s="8" t="n">
        <x:v>0</x:v>
      </x:c>
      <x:c r="F2256" s="8" t="n">
        <x:v>0</x:v>
      </x:c>
      <x:c r="G2256" s="8" t="n">
        <x:v>0</x:v>
      </x:c>
      <x:c r="H2256" s="8" t="n">
        <x:v>0</x:v>
      </x:c>
      <x:c r="I2256" s="8" t="n">
        <x:v>0</x:v>
      </x:c>
      <x:c r="J2256" s="8" t="n">
        <x:v>0</x:v>
      </x:c>
      <x:c r="K2256" s="8" t="n">
        <x:v>0</x:v>
      </x:c>
      <x:c r="L2256" s="1" t="str">
        <x:v>Нет</x:v>
      </x:c>
      <x:c r="M2256" s="1" t="n">
        <x:v>0</x:v>
      </x:c>
    </x:row>
    <x:row r="2257">
      <x:c r="A2257" s="1" t="str">
        <x:v>297336423</x:v>
      </x:c>
      <x:c r="B2257" s="1" t="str">
        <x:v>kostumman/синий</x:v>
      </x:c>
      <x:c r="C2257" s="1" t="str">
        <x:v>Костюмы спортивные</x:v>
      </x:c>
      <x:c r="D2257" s="9" t="n">
        <x:v>9.4</x:v>
      </x:c>
      <x:c r="E2257" s="8" t="n">
        <x:v>2</x:v>
      </x:c>
      <x:c r="F2257" s="8" t="n">
        <x:v>0</x:v>
      </x:c>
      <x:c r="G2257" s="8" t="n">
        <x:v>0</x:v>
      </x:c>
      <x:c r="H2257" s="8" t="n">
        <x:v>0</x:v>
      </x:c>
      <x:c r="I2257" s="8" t="n">
        <x:v>0</x:v>
      </x:c>
      <x:c r="J2257" s="8" t="n">
        <x:v>0</x:v>
      </x:c>
      <x:c r="K2257" s="8" t="n">
        <x:v>0</x:v>
      </x:c>
      <x:c r="L2257" s="1" t="str">
        <x:v>Нет</x:v>
      </x:c>
      <x:c r="M2257" s="1" t="n">
        <x:v>0</x:v>
      </x:c>
    </x:row>
    <x:row r="2258">
      <x:c r="A2258" s="1" t="str">
        <x:v>297720325</x:v>
      </x:c>
      <x:c r="B2258" s="1" t="str">
        <x:v>hudicropprint/Cupid-251/вареныйсерый</x:v>
      </x:c>
      <x:c r="C2258" s="1" t="str">
        <x:v>Худи</x:v>
      </x:c>
      <x:c r="D2258" s="9" t="n">
        <x:v>9.7</x:v>
      </x:c>
      <x:c r="E2258" s="8" t="n">
        <x:v>440</x:v>
      </x:c>
      <x:c r="F2258" s="8" t="n">
        <x:v>0</x:v>
      </x:c>
      <x:c r="G2258" s="8" t="n">
        <x:v>0</x:v>
      </x:c>
      <x:c r="H2258" s="8" t="n">
        <x:v>0</x:v>
      </x:c>
      <x:c r="I2258" s="8" t="n">
        <x:v>0</x:v>
      </x:c>
      <x:c r="J2258" s="8" t="n">
        <x:v>0</x:v>
      </x:c>
      <x:c r="K2258" s="8" t="n">
        <x:v>0</x:v>
      </x:c>
      <x:c r="L2258" s="1" t="str">
        <x:v>Нет</x:v>
      </x:c>
      <x:c r="M2258" s="1" t="n">
        <x:v>0</x:v>
      </x:c>
    </x:row>
    <x:row r="2259">
      <x:c r="A2259" s="1" t="str">
        <x:v>306156815</x:v>
      </x:c>
      <x:c r="B2259" s="1" t="str">
        <x:v>svitman4F-S-7/черный</x:v>
      </x:c>
      <x:c r="C2259" s="1" t="str">
        <x:v>Свитшоты</x:v>
      </x:c>
      <x:c r="D2259" s="9" t="n">
        <x:v>4.7</x:v>
      </x:c>
      <x:c r="E2259" s="8" t="n">
        <x:v>0</x:v>
      </x:c>
      <x:c r="F2259" s="8" t="n">
        <x:v>0</x:v>
      </x:c>
      <x:c r="G2259" s="8" t="n">
        <x:v>0</x:v>
      </x:c>
      <x:c r="H2259" s="8" t="n">
        <x:v>0</x:v>
      </x:c>
      <x:c r="I2259" s="8" t="n">
        <x:v>0</x:v>
      </x:c>
      <x:c r="J2259" s="8" t="n">
        <x:v>0</x:v>
      </x:c>
      <x:c r="K2259" s="8" t="n">
        <x:v>0</x:v>
      </x:c>
      <x:c r="L2259" s="1" t="str">
        <x:v>Нет</x:v>
      </x:c>
      <x:c r="M2259" s="1" t="n">
        <x:v>0</x:v>
      </x:c>
    </x:row>
    <x:row r="2260">
      <x:c r="A2260" s="1" t="str">
        <x:v>306156817</x:v>
      </x:c>
      <x:c r="B2260" s="1" t="str">
        <x:v>svitman4F-S-7/бежевый</x:v>
      </x:c>
      <x:c r="C2260" s="1" t="str">
        <x:v>Свитшоты</x:v>
      </x:c>
      <x:c r="D2260" s="9" t="n">
        <x:v>4.7</x:v>
      </x:c>
      <x:c r="E2260" s="8" t="n">
        <x:v>0</x:v>
      </x:c>
      <x:c r="F2260" s="8" t="n">
        <x:v>0</x:v>
      </x:c>
      <x:c r="G2260" s="8" t="n">
        <x:v>0</x:v>
      </x:c>
      <x:c r="H2260" s="8" t="n">
        <x:v>0</x:v>
      </x:c>
      <x:c r="I2260" s="8" t="n">
        <x:v>0</x:v>
      </x:c>
      <x:c r="J2260" s="8" t="n">
        <x:v>0</x:v>
      </x:c>
      <x:c r="K2260" s="8" t="n">
        <x:v>0</x:v>
      </x:c>
      <x:c r="L2260" s="1" t="str">
        <x:v>Нет</x:v>
      </x:c>
      <x:c r="M2260" s="1" t="n">
        <x:v>0</x:v>
      </x:c>
    </x:row>
    <x:row r="2261">
      <x:c r="A2261" s="1" t="str">
        <x:v>306156818</x:v>
      </x:c>
      <x:c r="B2261" s="1" t="str">
        <x:v>svitman4F-S-7/графит</x:v>
      </x:c>
      <x:c r="C2261" s="1" t="str">
        <x:v>Свитшоты</x:v>
      </x:c>
      <x:c r="D2261" s="9" t="n">
        <x:v>4.7</x:v>
      </x:c>
      <x:c r="E2261" s="8" t="n">
        <x:v>0</x:v>
      </x:c>
      <x:c r="F2261" s="8" t="n">
        <x:v>0</x:v>
      </x:c>
      <x:c r="G2261" s="8" t="n">
        <x:v>0</x:v>
      </x:c>
      <x:c r="H2261" s="8" t="n">
        <x:v>0</x:v>
      </x:c>
      <x:c r="I2261" s="8" t="n">
        <x:v>0</x:v>
      </x:c>
      <x:c r="J2261" s="8" t="n">
        <x:v>0</x:v>
      </x:c>
      <x:c r="K2261" s="8" t="n">
        <x:v>0</x:v>
      </x:c>
      <x:c r="L2261" s="1" t="str">
        <x:v>Нет</x:v>
      </x:c>
      <x:c r="M2261" s="1" t="n">
        <x:v>0</x:v>
      </x:c>
    </x:row>
    <x:row r="2262">
      <x:c r="A2262" s="1" t="str">
        <x:v>311045252</x:v>
      </x:c>
      <x:c r="B2262" s="1" t="str">
        <x:v>hudipetl/вареныйсерый</x:v>
      </x:c>
      <x:c r="C2262" s="1" t="str">
        <x:v>Худи</x:v>
      </x:c>
      <x:c r="D2262" s="9" t="n">
        <x:v>4.7</x:v>
      </x:c>
      <x:c r="E2262" s="8" t="n">
        <x:v>10</x:v>
      </x:c>
      <x:c r="F2262" s="8" t="n">
        <x:v>0</x:v>
      </x:c>
      <x:c r="G2262" s="8" t="n">
        <x:v>0</x:v>
      </x:c>
      <x:c r="H2262" s="8" t="n">
        <x:v>0</x:v>
      </x:c>
      <x:c r="I2262" s="8" t="n">
        <x:v>0</x:v>
      </x:c>
      <x:c r="J2262" s="8" t="n">
        <x:v>0</x:v>
      </x:c>
      <x:c r="K2262" s="8" t="n">
        <x:v>0</x:v>
      </x:c>
      <x:c r="L2262" s="1" t="str">
        <x:v>Нет</x:v>
      </x:c>
      <x:c r="M2262" s="1" t="n">
        <x:v>0</x:v>
      </x:c>
    </x:row>
    <x:row r="2263">
      <x:c r="A2263" s="1" t="str">
        <x:v>311045256</x:v>
      </x:c>
      <x:c r="B2263" s="1" t="str">
        <x:v>hudipetl/красный</x:v>
      </x:c>
      <x:c r="C2263" s="1" t="str">
        <x:v>Худи</x:v>
      </x:c>
      <x:c r="D2263" s="9" t="n">
        <x:v>4.7</x:v>
      </x:c>
      <x:c r="E2263" s="8" t="n">
        <x:v>4</x:v>
      </x:c>
      <x:c r="F2263" s="8" t="n">
        <x:v>0</x:v>
      </x:c>
      <x:c r="G2263" s="8" t="n">
        <x:v>0</x:v>
      </x:c>
      <x:c r="H2263" s="8" t="n">
        <x:v>0</x:v>
      </x:c>
      <x:c r="I2263" s="8" t="n">
        <x:v>0</x:v>
      </x:c>
      <x:c r="J2263" s="8" t="n">
        <x:v>0</x:v>
      </x:c>
      <x:c r="K2263" s="8" t="n">
        <x:v>0</x:v>
      </x:c>
      <x:c r="L2263" s="1" t="str">
        <x:v>Нет</x:v>
      </x:c>
      <x:c r="M2263" s="1" t="n">
        <x:v>0</x:v>
      </x:c>
    </x:row>
    <x:row r="2264">
      <x:c r="A2264" s="1" t="str">
        <x:v>311045259</x:v>
      </x:c>
      <x:c r="B2264" s="1" t="str">
        <x:v>hudipetl/кофейный</x:v>
      </x:c>
      <x:c r="C2264" s="1" t="str">
        <x:v>Худи</x:v>
      </x:c>
      <x:c r="D2264" s="9" t="n">
        <x:v>8.7</x:v>
      </x:c>
      <x:c r="E2264" s="8" t="n">
        <x:v>261</x:v>
      </x:c>
      <x:c r="F2264" s="8" t="n">
        <x:v>0</x:v>
      </x:c>
      <x:c r="G2264" s="8" t="n">
        <x:v>0</x:v>
      </x:c>
      <x:c r="H2264" s="8" t="n">
        <x:v>0</x:v>
      </x:c>
      <x:c r="I2264" s="8" t="n">
        <x:v>0</x:v>
      </x:c>
      <x:c r="J2264" s="8" t="n">
        <x:v>0</x:v>
      </x:c>
      <x:c r="K2264" s="8" t="n">
        <x:v>0</x:v>
      </x:c>
      <x:c r="L2264" s="1" t="str">
        <x:v>Нет</x:v>
      </x:c>
      <x:c r="M2264" s="1" t="n">
        <x:v>0</x:v>
      </x:c>
    </x:row>
    <x:row r="2265">
      <x:c r="A2265" s="1" t="str">
        <x:v>311049941</x:v>
      </x:c>
      <x:c r="B2265" s="1" t="str">
        <x:v>hudimanpetl/кофейный</x:v>
      </x:c>
      <x:c r="C2265" s="1" t="str">
        <x:v>Худи</x:v>
      </x:c>
      <x:c r="D2265" s="9" t="n">
        <x:v>8.7</x:v>
      </x:c>
      <x:c r="E2265" s="8" t="n">
        <x:v>11</x:v>
      </x:c>
      <x:c r="F2265" s="8" t="n">
        <x:v>0</x:v>
      </x:c>
      <x:c r="G2265" s="8" t="n">
        <x:v>0</x:v>
      </x:c>
      <x:c r="H2265" s="8" t="n">
        <x:v>0</x:v>
      </x:c>
      <x:c r="I2265" s="8" t="n">
        <x:v>0</x:v>
      </x:c>
      <x:c r="J2265" s="8"/>
      <x:c r="K2265" s="8" t="n">
        <x:v>0</x:v>
      </x:c>
      <x:c r="L2265" s="1" t="str">
        <x:v>Нет</x:v>
      </x:c>
      <x:c r="M2265" s="1"/>
    </x:row>
    <x:row r="2266">
      <x:c r="A2266" s="1" t="str">
        <x:v>311071835</x:v>
      </x:c>
      <x:c r="B2266" s="1" t="str">
        <x:v>brukipetl/красный</x:v>
      </x:c>
      <x:c r="C2266" s="1" t="str">
        <x:v>Брюки</x:v>
      </x:c>
      <x:c r="D2266" s="9" t="n">
        <x:v>8.7</x:v>
      </x:c>
      <x:c r="E2266" s="8" t="n">
        <x:v>871</x:v>
      </x:c>
      <x:c r="F2266" s="8" t="n">
        <x:v>0</x:v>
      </x:c>
      <x:c r="G2266" s="8" t="n">
        <x:v>0</x:v>
      </x:c>
      <x:c r="H2266" s="8" t="n">
        <x:v>0</x:v>
      </x:c>
      <x:c r="I2266" s="8" t="n">
        <x:v>0</x:v>
      </x:c>
      <x:c r="J2266" s="8" t="n">
        <x:v>0</x:v>
      </x:c>
      <x:c r="K2266" s="8" t="n">
        <x:v>0</x:v>
      </x:c>
      <x:c r="L2266" s="1" t="str">
        <x:v>Нет</x:v>
      </x:c>
      <x:c r="M2266" s="1" t="n">
        <x:v>0</x:v>
      </x:c>
    </x:row>
    <x:row r="2267">
      <x:c r="A2267" s="1" t="str">
        <x:v>311071839</x:v>
      </x:c>
      <x:c r="B2267" s="1" t="str">
        <x:v>brukipetl/кофейный</x:v>
      </x:c>
      <x:c r="C2267" s="1" t="str">
        <x:v>Брюки</x:v>
      </x:c>
      <x:c r="D2267" s="9" t="n">
        <x:v>8.7</x:v>
      </x:c>
      <x:c r="E2267" s="8" t="n">
        <x:v>968</x:v>
      </x:c>
      <x:c r="F2267" s="8" t="n">
        <x:v>0</x:v>
      </x:c>
      <x:c r="G2267" s="8" t="n">
        <x:v>0</x:v>
      </x:c>
      <x:c r="H2267" s="8" t="n">
        <x:v>0</x:v>
      </x:c>
      <x:c r="I2267" s="8" t="n">
        <x:v>0</x:v>
      </x:c>
      <x:c r="J2267" s="8" t="n">
        <x:v>0</x:v>
      </x:c>
      <x:c r="K2267" s="8" t="n">
        <x:v>0</x:v>
      </x:c>
      <x:c r="L2267" s="1" t="str">
        <x:v>Нет</x:v>
      </x:c>
      <x:c r="M2267" s="1" t="n">
        <x:v>0</x:v>
      </x:c>
    </x:row>
    <x:row r="2268">
      <x:c r="A2268" s="1" t="str">
        <x:v>311071841</x:v>
      </x:c>
      <x:c r="B2268" s="1" t="str">
        <x:v>brukipetl/морскаяволна</x:v>
      </x:c>
      <x:c r="C2268" s="1" t="str">
        <x:v>Брюки</x:v>
      </x:c>
      <x:c r="D2268" s="9" t="n">
        <x:v>8.7</x:v>
      </x:c>
      <x:c r="E2268" s="8" t="n">
        <x:v>933</x:v>
      </x:c>
      <x:c r="F2268" s="8" t="n">
        <x:v>0</x:v>
      </x:c>
      <x:c r="G2268" s="8" t="n">
        <x:v>0</x:v>
      </x:c>
      <x:c r="H2268" s="8" t="n">
        <x:v>0</x:v>
      </x:c>
      <x:c r="I2268" s="8" t="n">
        <x:v>0</x:v>
      </x:c>
      <x:c r="J2268" s="8" t="n">
        <x:v>0</x:v>
      </x:c>
      <x:c r="K2268" s="8" t="n">
        <x:v>0</x:v>
      </x:c>
      <x:c r="L2268" s="1" t="str">
        <x:v>Нет</x:v>
      </x:c>
      <x:c r="M2268" s="1" t="n">
        <x:v>0</x:v>
      </x:c>
    </x:row>
    <x:row r="2269">
      <x:c r="A2269" s="1" t="str">
        <x:v>311462394</x:v>
      </x:c>
      <x:c r="B2269" s="1" t="str">
        <x:v>brukimanpetl/вареныйсерый</x:v>
      </x:c>
      <x:c r="C2269" s="1" t="str">
        <x:v>Брюки</x:v>
      </x:c>
      <x:c r="D2269" s="9" t="n">
        <x:v>4.7</x:v>
      </x:c>
      <x:c r="E2269" s="8" t="n">
        <x:v>1</x:v>
      </x:c>
      <x:c r="F2269" s="8" t="n">
        <x:v>0</x:v>
      </x:c>
      <x:c r="G2269" s="8" t="n">
        <x:v>0</x:v>
      </x:c>
      <x:c r="H2269" s="8" t="n">
        <x:v>0</x:v>
      </x:c>
      <x:c r="I2269" s="8" t="n">
        <x:v>0</x:v>
      </x:c>
      <x:c r="J2269" s="8" t="n">
        <x:v>0</x:v>
      </x:c>
      <x:c r="K2269" s="8" t="n">
        <x:v>0</x:v>
      </x:c>
      <x:c r="L2269" s="1" t="str">
        <x:v>Нет</x:v>
      </x:c>
      <x:c r="M2269" s="1" t="n">
        <x:v>0</x:v>
      </x:c>
    </x:row>
    <x:row r="2270">
      <x:c r="A2270" s="1" t="str">
        <x:v>311462402</x:v>
      </x:c>
      <x:c r="B2270" s="1" t="str">
        <x:v>brukimanpetl/кофейный</x:v>
      </x:c>
      <x:c r="C2270" s="1" t="str">
        <x:v>Брюки</x:v>
      </x:c>
      <x:c r="D2270" s="9" t="n">
        <x:v>4.7</x:v>
      </x:c>
      <x:c r="E2270" s="8" t="n">
        <x:v>0</x:v>
      </x:c>
      <x:c r="F2270" s="8" t="n">
        <x:v>0</x:v>
      </x:c>
      <x:c r="G2270" s="8" t="n">
        <x:v>0</x:v>
      </x:c>
      <x:c r="H2270" s="8" t="n">
        <x:v>0</x:v>
      </x:c>
      <x:c r="I2270" s="8" t="n">
        <x:v>0</x:v>
      </x:c>
      <x:c r="J2270" s="8" t="n">
        <x:v>0</x:v>
      </x:c>
      <x:c r="K2270" s="8" t="n">
        <x:v>0</x:v>
      </x:c>
      <x:c r="L2270" s="1" t="str">
        <x:v>Нет</x:v>
      </x:c>
      <x:c r="M2270" s="1" t="n">
        <x:v>0</x:v>
      </x:c>
    </x:row>
    <x:row r="2271">
      <x:c r="A2271" s="1" t="str">
        <x:v>31318529</x:v>
      </x:c>
      <x:c r="B2271" s="1" t="str">
        <x:v>futbolkamuzh/молочный</x:v>
      </x:c>
      <x:c r="C2271" s="1" t="str">
        <x:v>Футболки</x:v>
      </x:c>
      <x:c r="D2271" s="9" t="n">
        <x:v>6</x:v>
      </x:c>
      <x:c r="E2271" s="8" t="n">
        <x:v>1</x:v>
      </x:c>
      <x:c r="F2271" s="8" t="n">
        <x:v>0</x:v>
      </x:c>
      <x:c r="G2271" s="8" t="n">
        <x:v>0</x:v>
      </x:c>
      <x:c r="H2271" s="8" t="n">
        <x:v>0</x:v>
      </x:c>
      <x:c r="I2271" s="8" t="n">
        <x:v>0</x:v>
      </x:c>
      <x:c r="J2271" s="8" t="n">
        <x:v>0</x:v>
      </x:c>
      <x:c r="K2271" s="8" t="n">
        <x:v>0</x:v>
      </x:c>
      <x:c r="L2271" s="1" t="str">
        <x:v>Нет</x:v>
      </x:c>
      <x:c r="M2271" s="1" t="n">
        <x:v>0</x:v>
      </x:c>
    </x:row>
    <x:row r="2272">
      <x:c r="A2272" s="1" t="str">
        <x:v>31324259</x:v>
      </x:c>
      <x:c r="B2272" s="1" t="str">
        <x:v>futbolka/какао</x:v>
      </x:c>
      <x:c r="C2272" s="1" t="str">
        <x:v>Футболки</x:v>
      </x:c>
      <x:c r="D2272" s="9" t="n">
        <x:v>8.2</x:v>
      </x:c>
      <x:c r="E2272" s="8" t="n">
        <x:v>31</x:v>
      </x:c>
      <x:c r="F2272" s="8" t="n">
        <x:v>0</x:v>
      </x:c>
      <x:c r="G2272" s="8" t="n">
        <x:v>0</x:v>
      </x:c>
      <x:c r="H2272" s="8" t="n">
        <x:v>0</x:v>
      </x:c>
      <x:c r="I2272" s="8" t="n">
        <x:v>0</x:v>
      </x:c>
      <x:c r="J2272" s="8" t="n">
        <x:v>0</x:v>
      </x:c>
      <x:c r="K2272" s="8" t="n">
        <x:v>0</x:v>
      </x:c>
      <x:c r="L2272" s="1" t="str">
        <x:v>Нет</x:v>
      </x:c>
      <x:c r="M2272" s="1" t="n">
        <x:v>0</x:v>
      </x:c>
    </x:row>
    <x:row r="2273">
      <x:c r="A2273" s="1" t="str">
        <x:v>313770749</x:v>
      </x:c>
      <x:c r="B2273" s="1" t="str">
        <x:v>futbolkaboy/шалфей</x:v>
      </x:c>
      <x:c r="C2273" s="1" t="str">
        <x:v>Футболки</x:v>
      </x:c>
      <x:c r="D2273" s="9" t="n">
        <x:v>10</x:v>
      </x:c>
      <x:c r="E2273" s="8" t="n">
        <x:v>11</x:v>
      </x:c>
      <x:c r="F2273" s="8" t="n">
        <x:v>0</x:v>
      </x:c>
      <x:c r="G2273" s="8" t="n">
        <x:v>0</x:v>
      </x:c>
      <x:c r="H2273" s="8" t="n">
        <x:v>0</x:v>
      </x:c>
      <x:c r="I2273" s="8" t="n">
        <x:v>0</x:v>
      </x:c>
      <x:c r="J2273" s="8" t="n">
        <x:v>0</x:v>
      </x:c>
      <x:c r="K2273" s="8" t="n">
        <x:v>0</x:v>
      </x:c>
      <x:c r="L2273" s="1" t="str">
        <x:v>Нет</x:v>
      </x:c>
      <x:c r="M2273" s="1" t="n">
        <x:v>0</x:v>
      </x:c>
    </x:row>
    <x:row r="2274">
      <x:c r="A2274" s="1" t="str">
        <x:v>313770756</x:v>
      </x:c>
      <x:c r="B2274" s="1" t="str">
        <x:v>futbolkaboy/серовато-розовый</x:v>
      </x:c>
      <x:c r="C2274" s="1" t="str">
        <x:v>Футболки</x:v>
      </x:c>
      <x:c r="D2274" s="9" t="n">
        <x:v>10</x:v>
      </x:c>
      <x:c r="E2274" s="8" t="n">
        <x:v>14</x:v>
      </x:c>
      <x:c r="F2274" s="8" t="n">
        <x:v>0</x:v>
      </x:c>
      <x:c r="G2274" s="8" t="n">
        <x:v>0</x:v>
      </x:c>
      <x:c r="H2274" s="8" t="n">
        <x:v>0</x:v>
      </x:c>
      <x:c r="I2274" s="8" t="n">
        <x:v>0</x:v>
      </x:c>
      <x:c r="J2274" s="8" t="n">
        <x:v>0</x:v>
      </x:c>
      <x:c r="K2274" s="8" t="n">
        <x:v>0</x:v>
      </x:c>
      <x:c r="L2274" s="1" t="str">
        <x:v>Нет</x:v>
      </x:c>
      <x:c r="M2274" s="1" t="n">
        <x:v>0</x:v>
      </x:c>
    </x:row>
    <x:row r="2275">
      <x:c r="A2275" s="1" t="str">
        <x:v>313770758</x:v>
      </x:c>
      <x:c r="B2275" s="1" t="str">
        <x:v>futbolkaboy/пудровый</x:v>
      </x:c>
      <x:c r="C2275" s="1" t="str">
        <x:v>Футболки</x:v>
      </x:c>
      <x:c r="D2275" s="9" t="n">
        <x:v>10</x:v>
      </x:c>
      <x:c r="E2275" s="8" t="n">
        <x:v>10</x:v>
      </x:c>
      <x:c r="F2275" s="8" t="n">
        <x:v>0</x:v>
      </x:c>
      <x:c r="G2275" s="8" t="n">
        <x:v>0</x:v>
      </x:c>
      <x:c r="H2275" s="8" t="n">
        <x:v>0</x:v>
      </x:c>
      <x:c r="I2275" s="8" t="n">
        <x:v>0</x:v>
      </x:c>
      <x:c r="J2275" s="8" t="n">
        <x:v>0</x:v>
      </x:c>
      <x:c r="K2275" s="8" t="n">
        <x:v>0</x:v>
      </x:c>
      <x:c r="L2275" s="1" t="str">
        <x:v>Нет</x:v>
      </x:c>
      <x:c r="M2275" s="1" t="n">
        <x:v>0</x:v>
      </x:c>
    </x:row>
    <x:row r="2276">
      <x:c r="A2276" s="1" t="str">
        <x:v>313770761</x:v>
      </x:c>
      <x:c r="B2276" s="1" t="str">
        <x:v>futbolkaboy/красный</x:v>
      </x:c>
      <x:c r="C2276" s="1" t="str">
        <x:v>Футболки</x:v>
      </x:c>
      <x:c r="D2276" s="9" t="n">
        <x:v>10</x:v>
      </x:c>
      <x:c r="E2276" s="8" t="n">
        <x:v>21</x:v>
      </x:c>
      <x:c r="F2276" s="8" t="n">
        <x:v>0</x:v>
      </x:c>
      <x:c r="G2276" s="8" t="n">
        <x:v>0</x:v>
      </x:c>
      <x:c r="H2276" s="8" t="n">
        <x:v>0</x:v>
      </x:c>
      <x:c r="I2276" s="8" t="n">
        <x:v>0</x:v>
      </x:c>
      <x:c r="J2276" s="8" t="n">
        <x:v>0</x:v>
      </x:c>
      <x:c r="K2276" s="8" t="n">
        <x:v>0</x:v>
      </x:c>
      <x:c r="L2276" s="1" t="str">
        <x:v>Нет</x:v>
      </x:c>
      <x:c r="M2276" s="1" t="n">
        <x:v>0</x:v>
      </x:c>
    </x:row>
    <x:row r="2277">
      <x:c r="A2277" s="1" t="str">
        <x:v>313770767</x:v>
      </x:c>
      <x:c r="B2277" s="1" t="str">
        <x:v>futbolkaboy/милка</x:v>
      </x:c>
      <x:c r="C2277" s="1" t="str">
        <x:v>Футболки</x:v>
      </x:c>
      <x:c r="D2277" s="9" t="n">
        <x:v>10</x:v>
      </x:c>
      <x:c r="E2277" s="8" t="n">
        <x:v>12</x:v>
      </x:c>
      <x:c r="F2277" s="8" t="n">
        <x:v>0</x:v>
      </x:c>
      <x:c r="G2277" s="8" t="n">
        <x:v>0</x:v>
      </x:c>
      <x:c r="H2277" s="8" t="n">
        <x:v>0</x:v>
      </x:c>
      <x:c r="I2277" s="8" t="n">
        <x:v>0</x:v>
      </x:c>
      <x:c r="J2277" s="8" t="n">
        <x:v>0</x:v>
      </x:c>
      <x:c r="K2277" s="8" t="n">
        <x:v>0</x:v>
      </x:c>
      <x:c r="L2277" s="1" t="str">
        <x:v>Нет</x:v>
      </x:c>
      <x:c r="M2277" s="1" t="n">
        <x:v>0</x:v>
      </x:c>
    </x:row>
    <x:row r="2278">
      <x:c r="A2278" s="1" t="str">
        <x:v>313770774</x:v>
      </x:c>
      <x:c r="B2278" s="1" t="str">
        <x:v>futbolkaboy/пыльнаяроза</x:v>
      </x:c>
      <x:c r="C2278" s="1" t="str">
        <x:v>Футболки</x:v>
      </x:c>
      <x:c r="D2278" s="9" t="n">
        <x:v>10</x:v>
      </x:c>
      <x:c r="E2278" s="8" t="n">
        <x:v>9</x:v>
      </x:c>
      <x:c r="F2278" s="8" t="n">
        <x:v>0</x:v>
      </x:c>
      <x:c r="G2278" s="8" t="n">
        <x:v>0</x:v>
      </x:c>
      <x:c r="H2278" s="8" t="n">
        <x:v>0</x:v>
      </x:c>
      <x:c r="I2278" s="8" t="n">
        <x:v>0</x:v>
      </x:c>
      <x:c r="J2278" s="8" t="n">
        <x:v>0</x:v>
      </x:c>
      <x:c r="K2278" s="8" t="n">
        <x:v>0</x:v>
      </x:c>
      <x:c r="L2278" s="1" t="str">
        <x:v>Нет</x:v>
      </x:c>
      <x:c r="M2278" s="1" t="n">
        <x:v>0</x:v>
      </x:c>
    </x:row>
    <x:row r="2279">
      <x:c r="A2279" s="1" t="str">
        <x:v>313770779</x:v>
      </x:c>
      <x:c r="B2279" s="1" t="str">
        <x:v>futbolkaboy/морскаяволна</x:v>
      </x:c>
      <x:c r="C2279" s="1" t="str">
        <x:v>Футболки</x:v>
      </x:c>
      <x:c r="D2279" s="9" t="n">
        <x:v>10</x:v>
      </x:c>
      <x:c r="E2279" s="8" t="n">
        <x:v>13</x:v>
      </x:c>
      <x:c r="F2279" s="8" t="n">
        <x:v>0</x:v>
      </x:c>
      <x:c r="G2279" s="8" t="n">
        <x:v>0</x:v>
      </x:c>
      <x:c r="H2279" s="8" t="n">
        <x:v>0</x:v>
      </x:c>
      <x:c r="I2279" s="8" t="n">
        <x:v>0</x:v>
      </x:c>
      <x:c r="J2279" s="8" t="n">
        <x:v>0</x:v>
      </x:c>
      <x:c r="K2279" s="8" t="n">
        <x:v>0</x:v>
      </x:c>
      <x:c r="L2279" s="1" t="str">
        <x:v>Нет</x:v>
      </x:c>
      <x:c r="M2279" s="1" t="n">
        <x:v>0</x:v>
      </x:c>
    </x:row>
    <x:row r="2280">
      <x:c r="A2280" s="1" t="str">
        <x:v>313770785</x:v>
      </x:c>
      <x:c r="B2280" s="1" t="str">
        <x:v>futbolkaboy/сине-морской</x:v>
      </x:c>
      <x:c r="C2280" s="1" t="str">
        <x:v>Футболки</x:v>
      </x:c>
      <x:c r="D2280" s="9" t="n">
        <x:v>10</x:v>
      </x:c>
      <x:c r="E2280" s="8" t="n">
        <x:v>11</x:v>
      </x:c>
      <x:c r="F2280" s="8" t="n">
        <x:v>0</x:v>
      </x:c>
      <x:c r="G2280" s="8" t="n">
        <x:v>0</x:v>
      </x:c>
      <x:c r="H2280" s="8" t="n">
        <x:v>0</x:v>
      </x:c>
      <x:c r="I2280" s="8" t="n">
        <x:v>0</x:v>
      </x:c>
      <x:c r="J2280" s="8" t="n">
        <x:v>0</x:v>
      </x:c>
      <x:c r="K2280" s="8" t="n">
        <x:v>0</x:v>
      </x:c>
      <x:c r="L2280" s="1" t="str">
        <x:v>Нет</x:v>
      </x:c>
      <x:c r="M2280" s="1" t="n">
        <x:v>0</x:v>
      </x:c>
    </x:row>
    <x:row r="2281">
      <x:c r="A2281" s="1" t="str">
        <x:v>313770786</x:v>
      </x:c>
      <x:c r="B2281" s="1" t="str">
        <x:v>futbolkagirl/милка</x:v>
      </x:c>
      <x:c r="C2281" s="1" t="str">
        <x:v>Футболки</x:v>
      </x:c>
      <x:c r="D2281" s="9" t="n">
        <x:v>10</x:v>
      </x:c>
      <x:c r="E2281" s="8" t="n">
        <x:v>12</x:v>
      </x:c>
      <x:c r="F2281" s="8" t="n">
        <x:v>0</x:v>
      </x:c>
      <x:c r="G2281" s="8" t="n">
        <x:v>0</x:v>
      </x:c>
      <x:c r="H2281" s="8" t="n">
        <x:v>0</x:v>
      </x:c>
      <x:c r="I2281" s="8" t="n">
        <x:v>0</x:v>
      </x:c>
      <x:c r="J2281" s="8" t="n">
        <x:v>0</x:v>
      </x:c>
      <x:c r="K2281" s="8" t="n">
        <x:v>0</x:v>
      </x:c>
      <x:c r="L2281" s="1" t="str">
        <x:v>Нет</x:v>
      </x:c>
      <x:c r="M2281" s="1" t="n">
        <x:v>0</x:v>
      </x:c>
    </x:row>
    <x:row r="2282">
      <x:c r="A2282" s="1" t="str">
        <x:v>317224611</x:v>
      </x:c>
      <x:c r="B2282" s="1" t="str">
        <x:v>bazagirl/коричневый</x:v>
      </x:c>
      <x:c r="C2282" s="1" t="str">
        <x:v>Футболки</x:v>
      </x:c>
      <x:c r="D2282" s="9" t="n">
        <x:v>9.5</x:v>
      </x:c>
      <x:c r="E2282" s="8" t="n">
        <x:v>9</x:v>
      </x:c>
      <x:c r="F2282" s="8" t="n">
        <x:v>0</x:v>
      </x:c>
      <x:c r="G2282" s="8" t="n">
        <x:v>0</x:v>
      </x:c>
      <x:c r="H2282" s="8" t="n">
        <x:v>0</x:v>
      </x:c>
      <x:c r="I2282" s="8" t="n">
        <x:v>0</x:v>
      </x:c>
      <x:c r="J2282" s="8" t="n">
        <x:v>0</x:v>
      </x:c>
      <x:c r="K2282" s="8" t="n">
        <x:v>0</x:v>
      </x:c>
      <x:c r="L2282" s="1" t="str">
        <x:v>Нет</x:v>
      </x:c>
      <x:c r="M2282" s="1" t="n">
        <x:v>0</x:v>
      </x:c>
    </x:row>
    <x:row r="2283">
      <x:c r="A2283" s="1" t="str">
        <x:v>318405032</x:v>
      </x:c>
      <x:c r="B2283" s="1" t="str">
        <x:v>futbolkaboy/мандариновый</x:v>
      </x:c>
      <x:c r="C2283" s="1" t="str">
        <x:v>Футболки</x:v>
      </x:c>
      <x:c r="D2283" s="9" t="n">
        <x:v>10</x:v>
      </x:c>
      <x:c r="E2283" s="8" t="n">
        <x:v>10</x:v>
      </x:c>
      <x:c r="F2283" s="8" t="n">
        <x:v>0</x:v>
      </x:c>
      <x:c r="G2283" s="8" t="n">
        <x:v>0</x:v>
      </x:c>
      <x:c r="H2283" s="8" t="n">
        <x:v>0</x:v>
      </x:c>
      <x:c r="I2283" s="8" t="n">
        <x:v>0</x:v>
      </x:c>
      <x:c r="J2283" s="8" t="n">
        <x:v>0</x:v>
      </x:c>
      <x:c r="K2283" s="8" t="n">
        <x:v>0</x:v>
      </x:c>
      <x:c r="L2283" s="1" t="str">
        <x:v>Нет</x:v>
      </x:c>
      <x:c r="M2283" s="1" t="n">
        <x:v>0</x:v>
      </x:c>
    </x:row>
    <x:row r="2284">
      <x:c r="A2284" s="1" t="str">
        <x:v>320258151</x:v>
      </x:c>
      <x:c r="B2284" s="1" t="str">
        <x:v>svitpal/бордовый</x:v>
      </x:c>
      <x:c r="C2284" s="1" t="str">
        <x:v>Костюмы спортивные</x:v>
      </x:c>
      <x:c r="D2284" s="9" t="n">
        <x:v>8.4</x:v>
      </x:c>
      <x:c r="E2284" s="8" t="n">
        <x:v>0</x:v>
      </x:c>
      <x:c r="F2284" s="8" t="n">
        <x:v>0</x:v>
      </x:c>
      <x:c r="G2284" s="8" t="n">
        <x:v>0</x:v>
      </x:c>
      <x:c r="H2284" s="8" t="n">
        <x:v>399</x:v>
      </x:c>
      <x:c r="I2284" s="8" t="n">
        <x:v>0</x:v>
      </x:c>
      <x:c r="J2284" s="8" t="n">
        <x:v>0</x:v>
      </x:c>
      <x:c r="K2284" s="8" t="n">
        <x:v>0</x:v>
      </x:c>
      <x:c r="L2284" s="1" t="str">
        <x:v>Нет</x:v>
      </x:c>
      <x:c r="M2284" s="1" t="n">
        <x:v>0</x:v>
      </x:c>
    </x:row>
    <x:row r="2285">
      <x:c r="A2285" s="1" t="str">
        <x:v>320258152</x:v>
      </x:c>
      <x:c r="B2285" s="1" t="str">
        <x:v>svitpal/молочный</x:v>
      </x:c>
      <x:c r="C2285" s="1" t="str">
        <x:v>Костюмы спортивные</x:v>
      </x:c>
      <x:c r="D2285" s="9" t="n">
        <x:v>8.4</x:v>
      </x:c>
      <x:c r="E2285" s="8" t="n">
        <x:v>0</x:v>
      </x:c>
      <x:c r="F2285" s="8" t="n">
        <x:v>0</x:v>
      </x:c>
      <x:c r="G2285" s="8" t="n">
        <x:v>0</x:v>
      </x:c>
      <x:c r="H2285" s="8" t="n">
        <x:v>31</x:v>
      </x:c>
      <x:c r="I2285" s="8" t="n">
        <x:v>0</x:v>
      </x:c>
      <x:c r="J2285" s="8" t="n">
        <x:v>0</x:v>
      </x:c>
      <x:c r="K2285" s="8" t="n">
        <x:v>0</x:v>
      </x:c>
      <x:c r="L2285" s="1" t="str">
        <x:v>Нет</x:v>
      </x:c>
      <x:c r="M2285" s="1" t="n">
        <x:v>0</x:v>
      </x:c>
    </x:row>
    <x:row r="2286">
      <x:c r="A2286" s="1" t="str">
        <x:v>320258153</x:v>
      </x:c>
      <x:c r="B2286" s="1" t="str">
        <x:v>svitpal/светлорозовый</x:v>
      </x:c>
      <x:c r="C2286" s="1" t="str">
        <x:v>Костюмы спортивные</x:v>
      </x:c>
      <x:c r="D2286" s="9" t="n">
        <x:v>8.4</x:v>
      </x:c>
      <x:c r="E2286" s="8" t="n">
        <x:v>0</x:v>
      </x:c>
      <x:c r="F2286" s="8" t="n">
        <x:v>0</x:v>
      </x:c>
      <x:c r="G2286" s="8" t="n">
        <x:v>0</x:v>
      </x:c>
      <x:c r="H2286" s="8" t="n">
        <x:v>274</x:v>
      </x:c>
      <x:c r="I2286" s="8" t="n">
        <x:v>0</x:v>
      </x:c>
      <x:c r="J2286" s="8" t="n">
        <x:v>0</x:v>
      </x:c>
      <x:c r="K2286" s="8" t="n">
        <x:v>0</x:v>
      </x:c>
      <x:c r="L2286" s="1" t="str">
        <x:v>Нет</x:v>
      </x:c>
      <x:c r="M2286" s="1" t="n">
        <x:v>0</x:v>
      </x:c>
    </x:row>
    <x:row r="2287">
      <x:c r="A2287" s="1" t="str">
        <x:v>320422441</x:v>
      </x:c>
      <x:c r="B2287" s="1" t="str">
        <x:v>shtanyfix/красный</x:v>
      </x:c>
      <x:c r="C2287" s="1" t="str">
        <x:v>Брюки</x:v>
      </x:c>
      <x:c r="D2287" s="9" t="n">
        <x:v>8.2</x:v>
      </x:c>
      <x:c r="E2287" s="8" t="n">
        <x:v>2078</x:v>
      </x:c>
      <x:c r="F2287" s="8" t="n">
        <x:v>0</x:v>
      </x:c>
      <x:c r="G2287" s="8" t="n">
        <x:v>0</x:v>
      </x:c>
      <x:c r="H2287" s="8" t="n">
        <x:v>0</x:v>
      </x:c>
      <x:c r="I2287" s="8" t="n">
        <x:v>0</x:v>
      </x:c>
      <x:c r="J2287" s="8" t="n">
        <x:v>0</x:v>
      </x:c>
      <x:c r="K2287" s="8" t="n">
        <x:v>0</x:v>
      </x:c>
      <x:c r="L2287" s="1" t="str">
        <x:v>Нет</x:v>
      </x:c>
      <x:c r="M2287" s="1" t="n">
        <x:v>0</x:v>
      </x:c>
    </x:row>
    <x:row r="2288">
      <x:c r="A2288" s="1" t="str">
        <x:v>320423132</x:v>
      </x:c>
      <x:c r="B2288" s="1" t="str">
        <x:v>shtanyfix/кофейный</x:v>
      </x:c>
      <x:c r="C2288" s="1" t="str">
        <x:v>Брюки</x:v>
      </x:c>
      <x:c r="D2288" s="9" t="n">
        <x:v>8.2</x:v>
      </x:c>
      <x:c r="E2288" s="8" t="n">
        <x:v>2052</x:v>
      </x:c>
      <x:c r="F2288" s="8" t="n">
        <x:v>0</x:v>
      </x:c>
      <x:c r="G2288" s="8" t="n">
        <x:v>0</x:v>
      </x:c>
      <x:c r="H2288" s="8" t="n">
        <x:v>0</x:v>
      </x:c>
      <x:c r="I2288" s="8" t="n">
        <x:v>0</x:v>
      </x:c>
      <x:c r="J2288" s="8" t="n">
        <x:v>0</x:v>
      </x:c>
      <x:c r="K2288" s="8" t="n">
        <x:v>0</x:v>
      </x:c>
      <x:c r="L2288" s="1" t="str">
        <x:v>Нет</x:v>
      </x:c>
      <x:c r="M2288" s="1" t="n">
        <x:v>0</x:v>
      </x:c>
    </x:row>
    <x:row r="2289">
      <x:c r="A2289" s="1" t="str">
        <x:v>321748992</x:v>
      </x:c>
      <x:c r="B2289" s="1" t="str">
        <x:v>ubkamaxi3P-S14/черный</x:v>
      </x:c>
      <x:c r="C2289" s="1" t="str">
        <x:v>Юбки</x:v>
      </x:c>
      <x:c r="D2289" s="9" t="n">
        <x:v>8.4</x:v>
      </x:c>
      <x:c r="E2289" s="8" t="n">
        <x:v>1292</x:v>
      </x:c>
      <x:c r="F2289" s="8" t="n">
        <x:v>0</x:v>
      </x:c>
      <x:c r="G2289" s="8" t="n">
        <x:v>0</x:v>
      </x:c>
      <x:c r="H2289" s="8" t="n">
        <x:v>0</x:v>
      </x:c>
      <x:c r="I2289" s="8" t="n">
        <x:v>0</x:v>
      </x:c>
      <x:c r="J2289" s="8" t="n">
        <x:v>0</x:v>
      </x:c>
      <x:c r="K2289" s="8" t="n">
        <x:v>0</x:v>
      </x:c>
      <x:c r="L2289" s="1" t="str">
        <x:v>Нет</x:v>
      </x:c>
      <x:c r="M2289" s="1" t="n">
        <x:v>0</x:v>
      </x:c>
    </x:row>
    <x:row r="2290">
      <x:c r="A2290" s="1" t="str">
        <x:v>321831821</x:v>
      </x:c>
      <x:c r="B2290" s="1" t="str">
        <x:v>tophumo/черный</x:v>
      </x:c>
      <x:c r="C2290" s="1" t="str">
        <x:v>Топы</x:v>
      </x:c>
      <x:c r="D2290" s="9" t="n">
        <x:v>9.4</x:v>
      </x:c>
      <x:c r="E2290" s="8" t="n">
        <x:v>0</x:v>
      </x:c>
      <x:c r="F2290" s="8" t="n">
        <x:v>0</x:v>
      </x:c>
      <x:c r="G2290" s="8" t="n">
        <x:v>0</x:v>
      </x:c>
      <x:c r="H2290" s="8" t="n">
        <x:v>376</x:v>
      </x:c>
      <x:c r="I2290" s="8" t="n">
        <x:v>0</x:v>
      </x:c>
      <x:c r="J2290" s="8" t="n">
        <x:v>0</x:v>
      </x:c>
      <x:c r="K2290" s="8" t="n">
        <x:v>0</x:v>
      </x:c>
      <x:c r="L2290" s="1" t="str">
        <x:v>Нет</x:v>
      </x:c>
      <x:c r="M2290" s="1" t="n">
        <x:v>0</x:v>
      </x:c>
    </x:row>
    <x:row r="2291">
      <x:c r="A2291" s="1" t="str">
        <x:v>321850394</x:v>
      </x:c>
      <x:c r="B2291" s="1" t="str">
        <x:v>tankman4K-S12/темно-синий</x:v>
      </x:c>
      <x:c r="C2291" s="1" t="str">
        <x:v>Футболки</x:v>
      </x:c>
      <x:c r="D2291" s="9" t="n">
        <x:v>8.7</x:v>
      </x:c>
      <x:c r="E2291" s="8" t="n">
        <x:v>1</x:v>
      </x:c>
      <x:c r="F2291" s="8" t="n">
        <x:v>0</x:v>
      </x:c>
      <x:c r="G2291" s="8" t="n">
        <x:v>0</x:v>
      </x:c>
      <x:c r="H2291" s="8" t="n">
        <x:v>0</x:v>
      </x:c>
      <x:c r="I2291" s="8" t="n">
        <x:v>0</x:v>
      </x:c>
      <x:c r="J2291" s="8"/>
      <x:c r="K2291" s="8" t="n">
        <x:v>0</x:v>
      </x:c>
      <x:c r="L2291" s="1" t="str">
        <x:v>Нет</x:v>
      </x:c>
      <x:c r="M2291" s="1"/>
    </x:row>
    <x:row r="2292">
      <x:c r="A2292" s="1" t="str">
        <x:v>322134918</x:v>
      </x:c>
      <x:c r="B2292" s="1" t="str">
        <x:v>shtanygulf3P-S3/светло-розовый</x:v>
      </x:c>
      <x:c r="C2292" s="1" t="str">
        <x:v>Брюки</x:v>
      </x:c>
      <x:c r="D2292" s="9" t="n">
        <x:v>9.4</x:v>
      </x:c>
      <x:c r="E2292" s="8" t="n">
        <x:v>2213</x:v>
      </x:c>
      <x:c r="F2292" s="8" t="n">
        <x:v>0</x:v>
      </x:c>
      <x:c r="G2292" s="8" t="n">
        <x:v>0</x:v>
      </x:c>
      <x:c r="H2292" s="8" t="n">
        <x:v>0</x:v>
      </x:c>
      <x:c r="I2292" s="8" t="n">
        <x:v>0</x:v>
      </x:c>
      <x:c r="J2292" s="8"/>
      <x:c r="K2292" s="8" t="n">
        <x:v>0</x:v>
      </x:c>
      <x:c r="L2292" s="1" t="str">
        <x:v>Нет</x:v>
      </x:c>
      <x:c r="M2292" s="1"/>
    </x:row>
    <x:row r="2293">
      <x:c r="A2293" s="1" t="str">
        <x:v>322137310</x:v>
      </x:c>
      <x:c r="B2293" s="1" t="str">
        <x:v>longpolo3K-90/серый</x:v>
      </x:c>
      <x:c r="C2293" s="1" t="str">
        <x:v>Лонгсливы</x:v>
      </x:c>
      <x:c r="D2293" s="9" t="n">
        <x:v>8.7</x:v>
      </x:c>
      <x:c r="E2293" s="8" t="n">
        <x:v>14204</x:v>
      </x:c>
      <x:c r="F2293" s="8" t="n">
        <x:v>12</x:v>
      </x:c>
      <x:c r="G2293" s="8" t="n">
        <x:v>0</x:v>
      </x:c>
      <x:c r="H2293" s="8" t="n">
        <x:v>58</x:v>
      </x:c>
      <x:c r="I2293" s="8" t="n">
        <x:v>0</x:v>
      </x:c>
      <x:c r="J2293" s="8" t="n">
        <x:v>0</x:v>
      </x:c>
      <x:c r="K2293" s="8" t="n">
        <x:v>1500</x:v>
      </x:c>
      <x:c r="L2293" s="1" t="str">
        <x:v>Нет</x:v>
      </x:c>
      <x:c r="M2293" s="1" t="n">
        <x:v>0</x:v>
      </x:c>
    </x:row>
    <x:row r="2294">
      <x:c r="A2294" s="1" t="str">
        <x:v>322171752</x:v>
      </x:c>
      <x:c r="B2294" s="1" t="str">
        <x:v>kulirkamanprint/Fight-272/дымка</x:v>
      </x:c>
      <x:c r="C2294" s="1" t="str">
        <x:v>Футболки</x:v>
      </x:c>
      <x:c r="D2294" s="9" t="n">
        <x:v>9.7</x:v>
      </x:c>
      <x:c r="E2294" s="8" t="n">
        <x:v>0</x:v>
      </x:c>
      <x:c r="F2294" s="8" t="n">
        <x:v>0</x:v>
      </x:c>
      <x:c r="G2294" s="8" t="n">
        <x:v>0</x:v>
      </x:c>
      <x:c r="H2294" s="8" t="n">
        <x:v>1108</x:v>
      </x:c>
      <x:c r="I2294" s="8" t="n">
        <x:v>0</x:v>
      </x:c>
      <x:c r="J2294" s="8" t="n">
        <x:v>0</x:v>
      </x:c>
      <x:c r="K2294" s="8" t="n">
        <x:v>0</x:v>
      </x:c>
      <x:c r="L2294" s="1" t="str">
        <x:v>Нет</x:v>
      </x:c>
      <x:c r="M2294" s="1" t="n">
        <x:v>0</x:v>
      </x:c>
    </x:row>
    <x:row r="2295">
      <x:c r="A2295" s="1" t="str">
        <x:v>324987828</x:v>
      </x:c>
      <x:c r="B2295" s="1" t="str">
        <x:v>brukiboy/деним</x:v>
      </x:c>
      <x:c r="C2295" s="1" t="str">
        <x:v>Брюки</x:v>
      </x:c>
      <x:c r="D2295" s="9" t="n">
        <x:v>7.7</x:v>
      </x:c>
      <x:c r="E2295" s="8" t="n">
        <x:v>3071</x:v>
      </x:c>
      <x:c r="F2295" s="8" t="n">
        <x:v>0</x:v>
      </x:c>
      <x:c r="G2295" s="8" t="n">
        <x:v>0</x:v>
      </x:c>
      <x:c r="H2295" s="8" t="n">
        <x:v>10</x:v>
      </x:c>
      <x:c r="I2295" s="8" t="n">
        <x:v>0</x:v>
      </x:c>
      <x:c r="J2295" s="8" t="n">
        <x:v>0</x:v>
      </x:c>
      <x:c r="K2295" s="8" t="n">
        <x:v>0</x:v>
      </x:c>
      <x:c r="L2295" s="1" t="str">
        <x:v>Нет</x:v>
      </x:c>
      <x:c r="M2295" s="1" t="n">
        <x:v>0</x:v>
      </x:c>
    </x:row>
    <x:row r="2296">
      <x:c r="A2296" s="1" t="str">
        <x:v>324987829</x:v>
      </x:c>
      <x:c r="B2296" s="1" t="str">
        <x:v>brukiboy/синий</x:v>
      </x:c>
      <x:c r="C2296" s="1" t="str">
        <x:v>Брюки</x:v>
      </x:c>
      <x:c r="D2296" s="9" t="n">
        <x:v>7.7</x:v>
      </x:c>
      <x:c r="E2296" s="8" t="n">
        <x:v>2362</x:v>
      </x:c>
      <x:c r="F2296" s="8" t="n">
        <x:v>2</x:v>
      </x:c>
      <x:c r="G2296" s="8" t="n">
        <x:v>0</x:v>
      </x:c>
      <x:c r="H2296" s="8" t="n">
        <x:v>10</x:v>
      </x:c>
      <x:c r="I2296" s="8" t="n">
        <x:v>0</x:v>
      </x:c>
      <x:c r="J2296" s="8" t="n">
        <x:v>1</x:v>
      </x:c>
      <x:c r="K2296" s="8" t="n">
        <x:v>1111</x:v>
      </x:c>
      <x:c r="L2296" s="1" t="str">
        <x:v>Нет</x:v>
      </x:c>
      <x:c r="M2296" s="1" t="n">
        <x:v>0</x:v>
      </x:c>
    </x:row>
    <x:row r="2297">
      <x:c r="A2297" s="1" t="str">
        <x:v>324987830</x:v>
      </x:c>
      <x:c r="B2297" s="1" t="str">
        <x:v>brukiboy/фиолетовый</x:v>
      </x:c>
      <x:c r="C2297" s="1" t="str">
        <x:v>Брюки</x:v>
      </x:c>
      <x:c r="D2297" s="9" t="n">
        <x:v>7.7</x:v>
      </x:c>
      <x:c r="E2297" s="8" t="n">
        <x:v>2794</x:v>
      </x:c>
      <x:c r="F2297" s="8" t="n">
        <x:v>3</x:v>
      </x:c>
      <x:c r="G2297" s="8" t="n">
        <x:v>0</x:v>
      </x:c>
      <x:c r="H2297" s="8" t="n">
        <x:v>8</x:v>
      </x:c>
      <x:c r="I2297" s="8" t="n">
        <x:v>0</x:v>
      </x:c>
      <x:c r="J2297" s="8" t="n">
        <x:v>0</x:v>
      </x:c>
      <x:c r="K2297" s="8" t="n">
        <x:v>1106</x:v>
      </x:c>
      <x:c r="L2297" s="1" t="str">
        <x:v>Нет</x:v>
      </x:c>
      <x:c r="M2297" s="1" t="n">
        <x:v>0</x:v>
      </x:c>
    </x:row>
    <x:row r="2298">
      <x:c r="A2298" s="1" t="str">
        <x:v>326809407</x:v>
      </x:c>
      <x:c r="B2298" s="1" t="str">
        <x:v>hudimanpetl/бордовый</x:v>
      </x:c>
      <x:c r="C2298" s="1" t="str">
        <x:v>Худи</x:v>
      </x:c>
      <x:c r="D2298" s="9" t="n">
        <x:v>8.7</x:v>
      </x:c>
      <x:c r="E2298" s="8" t="n">
        <x:v>14</x:v>
      </x:c>
      <x:c r="F2298" s="8" t="n">
        <x:v>0</x:v>
      </x:c>
      <x:c r="G2298" s="8" t="n">
        <x:v>0</x:v>
      </x:c>
      <x:c r="H2298" s="8" t="n">
        <x:v>0</x:v>
      </x:c>
      <x:c r="I2298" s="8" t="n">
        <x:v>0</x:v>
      </x:c>
      <x:c r="J2298" s="8"/>
      <x:c r="K2298" s="8" t="n">
        <x:v>0</x:v>
      </x:c>
      <x:c r="L2298" s="1" t="str">
        <x:v>Нет</x:v>
      </x:c>
      <x:c r="M2298" s="1"/>
    </x:row>
    <x:row r="2299">
      <x:c r="A2299" s="1" t="str">
        <x:v>326812978</x:v>
      </x:c>
      <x:c r="B2299" s="1" t="str">
        <x:v>shtanyman4P-79/коричневый</x:v>
      </x:c>
      <x:c r="C2299" s="1" t="str">
        <x:v>Брюки</x:v>
      </x:c>
      <x:c r="D2299" s="9" t="n">
        <x:v>4.4</x:v>
      </x:c>
      <x:c r="E2299" s="8" t="n">
        <x:v>0</x:v>
      </x:c>
      <x:c r="F2299" s="8" t="n">
        <x:v>0</x:v>
      </x:c>
      <x:c r="G2299" s="8" t="n">
        <x:v>0</x:v>
      </x:c>
      <x:c r="H2299" s="8" t="n">
        <x:v>0</x:v>
      </x:c>
      <x:c r="I2299" s="8" t="n">
        <x:v>0</x:v>
      </x:c>
      <x:c r="J2299" s="8" t="n">
        <x:v>0</x:v>
      </x:c>
      <x:c r="K2299" s="8" t="n">
        <x:v>0</x:v>
      </x:c>
      <x:c r="L2299" s="1" t="str">
        <x:v>Нет</x:v>
      </x:c>
      <x:c r="M2299" s="1" t="n">
        <x:v>0</x:v>
      </x:c>
    </x:row>
    <x:row r="2300">
      <x:c r="A2300" s="1" t="str">
        <x:v>326812979</x:v>
      </x:c>
      <x:c r="B2300" s="1" t="str">
        <x:v>shtanyman4P-79/молочный</x:v>
      </x:c>
      <x:c r="C2300" s="1" t="str">
        <x:v>Брюки</x:v>
      </x:c>
      <x:c r="D2300" s="9" t="n">
        <x:v>4.4</x:v>
      </x:c>
      <x:c r="E2300" s="8" t="n">
        <x:v>1</x:v>
      </x:c>
      <x:c r="F2300" s="8" t="n">
        <x:v>0</x:v>
      </x:c>
      <x:c r="G2300" s="8" t="n">
        <x:v>0</x:v>
      </x:c>
      <x:c r="H2300" s="8" t="n">
        <x:v>0</x:v>
      </x:c>
      <x:c r="I2300" s="8" t="n">
        <x:v>0</x:v>
      </x:c>
      <x:c r="J2300" s="8" t="n">
        <x:v>0</x:v>
      </x:c>
      <x:c r="K2300" s="8" t="n">
        <x:v>0</x:v>
      </x:c>
      <x:c r="L2300" s="1" t="str">
        <x:v>Нет</x:v>
      </x:c>
      <x:c r="M2300" s="1" t="n">
        <x:v>0</x:v>
      </x:c>
    </x:row>
    <x:row r="2301">
      <x:c r="A2301" s="1" t="str">
        <x:v>329562243</x:v>
      </x:c>
      <x:c r="B2301" s="1" t="str">
        <x:v>brukiboy/изумрудно-зеленый</x:v>
      </x:c>
      <x:c r="C2301" s="1" t="str">
        <x:v>Брюки</x:v>
      </x:c>
      <x:c r="D2301" s="9" t="n">
        <x:v>7.7</x:v>
      </x:c>
      <x:c r="E2301" s="8" t="n">
        <x:v>3596</x:v>
      </x:c>
      <x:c r="F2301" s="8" t="n">
        <x:v>1</x:v>
      </x:c>
      <x:c r="G2301" s="8" t="n">
        <x:v>0</x:v>
      </x:c>
      <x:c r="H2301" s="8" t="n">
        <x:v>60</x:v>
      </x:c>
      <x:c r="I2301" s="8" t="n">
        <x:v>0</x:v>
      </x:c>
      <x:c r="J2301" s="8" t="n">
        <x:v>0</x:v>
      </x:c>
      <x:c r="K2301" s="8" t="n">
        <x:v>1059</x:v>
      </x:c>
      <x:c r="L2301" s="1" t="str">
        <x:v>Нет</x:v>
      </x:c>
      <x:c r="M2301" s="1" t="n">
        <x:v>0</x:v>
      </x:c>
    </x:row>
    <x:row r="2302">
      <x:c r="A2302" s="1" t="str">
        <x:v>330774120</x:v>
      </x:c>
      <x:c r="B2302" s="1" t="str">
        <x:v>shtanygulf3P-S3/темно-серый</x:v>
      </x:c>
      <x:c r="C2302" s="1" t="str">
        <x:v>Брюки</x:v>
      </x:c>
      <x:c r="D2302" s="9" t="n">
        <x:v>9.4</x:v>
      </x:c>
      <x:c r="E2302" s="8" t="n">
        <x:v>2501</x:v>
      </x:c>
      <x:c r="F2302" s="8" t="n">
        <x:v>0</x:v>
      </x:c>
      <x:c r="G2302" s="8" t="n">
        <x:v>0</x:v>
      </x:c>
      <x:c r="H2302" s="8" t="n">
        <x:v>0</x:v>
      </x:c>
      <x:c r="I2302" s="8" t="n">
        <x:v>0</x:v>
      </x:c>
      <x:c r="J2302" s="8"/>
      <x:c r="K2302" s="8" t="n">
        <x:v>0</x:v>
      </x:c>
      <x:c r="L2302" s="1" t="str">
        <x:v>Нет</x:v>
      </x:c>
      <x:c r="M2302" s="1"/>
    </x:row>
    <x:row r="2303">
      <x:c r="A2303" s="1" t="str">
        <x:v>330863041</x:v>
      </x:c>
      <x:c r="B2303" s="1" t="str">
        <x:v>futbolkaprint/Run-282/бордовый</x:v>
      </x:c>
      <x:c r="C2303" s="1" t="str">
        <x:v>Футболки</x:v>
      </x:c>
      <x:c r="D2303" s="9" t="n">
        <x:v>9.7</x:v>
      </x:c>
      <x:c r="E2303" s="8" t="n">
        <x:v>0</x:v>
      </x:c>
      <x:c r="F2303" s="8" t="n">
        <x:v>0</x:v>
      </x:c>
      <x:c r="G2303" s="8" t="n">
        <x:v>0</x:v>
      </x:c>
      <x:c r="H2303" s="8" t="n">
        <x:v>322</x:v>
      </x:c>
      <x:c r="I2303" s="8" t="n">
        <x:v>0</x:v>
      </x:c>
      <x:c r="J2303" s="8" t="n">
        <x:v>0</x:v>
      </x:c>
      <x:c r="K2303" s="8" t="n">
        <x:v>0</x:v>
      </x:c>
      <x:c r="L2303" s="1" t="str">
        <x:v>Нет</x:v>
      </x:c>
      <x:c r="M2303" s="1" t="n">
        <x:v>0</x:v>
      </x:c>
    </x:row>
    <x:row r="2304">
      <x:c r="A2304" s="1" t="str">
        <x:v>330863043</x:v>
      </x:c>
      <x:c r="B2304" s="1" t="str">
        <x:v>futbolkaprint/Charisma-284/молочный</x:v>
      </x:c>
      <x:c r="C2304" s="1" t="str">
        <x:v>Футболки</x:v>
      </x:c>
      <x:c r="D2304" s="9" t="n">
        <x:v>9.7</x:v>
      </x:c>
      <x:c r="E2304" s="8" t="n">
        <x:v>0</x:v>
      </x:c>
      <x:c r="F2304" s="8" t="n">
        <x:v>0</x:v>
      </x:c>
      <x:c r="G2304" s="8" t="n">
        <x:v>0</x:v>
      </x:c>
      <x:c r="H2304" s="8" t="n">
        <x:v>88</x:v>
      </x:c>
      <x:c r="I2304" s="8" t="n">
        <x:v>0</x:v>
      </x:c>
      <x:c r="J2304" s="8" t="n">
        <x:v>0</x:v>
      </x:c>
      <x:c r="K2304" s="8" t="n">
        <x:v>0</x:v>
      </x:c>
      <x:c r="L2304" s="1" t="str">
        <x:v>Нет</x:v>
      </x:c>
      <x:c r="M2304" s="1" t="n">
        <x:v>0</x:v>
      </x:c>
    </x:row>
    <x:row r="2305">
      <x:c r="A2305" s="1" t="str">
        <x:v>331512941</x:v>
      </x:c>
      <x:c r="B2305" s="1" t="str">
        <x:v>reglanmanover4K-E2/зел-сер-мол</x:v>
      </x:c>
      <x:c r="C2305" s="1" t="str">
        <x:v>Футболки</x:v>
      </x:c>
      <x:c r="D2305" s="9" t="n">
        <x:v>8.4</x:v>
      </x:c>
      <x:c r="E2305" s="8" t="n">
        <x:v>785</x:v>
      </x:c>
      <x:c r="F2305" s="8" t="n">
        <x:v>0</x:v>
      </x:c>
      <x:c r="G2305" s="8" t="n">
        <x:v>0</x:v>
      </x:c>
      <x:c r="H2305" s="8" t="n">
        <x:v>0</x:v>
      </x:c>
      <x:c r="I2305" s="8" t="n">
        <x:v>0</x:v>
      </x:c>
      <x:c r="J2305" s="8"/>
      <x:c r="K2305" s="8" t="n">
        <x:v>0</x:v>
      </x:c>
      <x:c r="L2305" s="1" t="str">
        <x:v>Нет</x:v>
      </x:c>
      <x:c r="M2305" s="1"/>
    </x:row>
    <x:row r="2306">
      <x:c r="A2306" s="1" t="str">
        <x:v>331519127</x:v>
      </x:c>
      <x:c r="B2306" s="1" t="str">
        <x:v>reglanmanover4K-E2/дым-бел</x:v>
      </x:c>
      <x:c r="C2306" s="1" t="str">
        <x:v>Футболки</x:v>
      </x:c>
      <x:c r="D2306" s="9" t="n">
        <x:v>8.4</x:v>
      </x:c>
      <x:c r="E2306" s="8" t="n">
        <x:v>836</x:v>
      </x:c>
      <x:c r="F2306" s="8" t="n">
        <x:v>0</x:v>
      </x:c>
      <x:c r="G2306" s="8" t="n">
        <x:v>0</x:v>
      </x:c>
      <x:c r="H2306" s="8" t="n">
        <x:v>0</x:v>
      </x:c>
      <x:c r="I2306" s="8" t="n">
        <x:v>0</x:v>
      </x:c>
      <x:c r="J2306" s="8"/>
      <x:c r="K2306" s="8" t="n">
        <x:v>0</x:v>
      </x:c>
      <x:c r="L2306" s="1" t="str">
        <x:v>Нет</x:v>
      </x:c>
      <x:c r="M2306" s="1"/>
    </x:row>
    <x:row r="2307">
      <x:c r="A2307" s="1" t="str">
        <x:v>331519132</x:v>
      </x:c>
      <x:c r="B2307" s="1" t="str">
        <x:v>reglanmanover4K-E2/мор-вол-мол</x:v>
      </x:c>
      <x:c r="C2307" s="1" t="str">
        <x:v>Футболки</x:v>
      </x:c>
      <x:c r="D2307" s="9" t="n">
        <x:v>8.4</x:v>
      </x:c>
      <x:c r="E2307" s="8" t="n">
        <x:v>874</x:v>
      </x:c>
      <x:c r="F2307" s="8" t="n">
        <x:v>0</x:v>
      </x:c>
      <x:c r="G2307" s="8" t="n">
        <x:v>0</x:v>
      </x:c>
      <x:c r="H2307" s="8" t="n">
        <x:v>0</x:v>
      </x:c>
      <x:c r="I2307" s="8" t="n">
        <x:v>0</x:v>
      </x:c>
      <x:c r="J2307" s="8"/>
      <x:c r="K2307" s="8" t="n">
        <x:v>0</x:v>
      </x:c>
      <x:c r="L2307" s="1" t="str">
        <x:v>Нет</x:v>
      </x:c>
      <x:c r="M2307" s="1"/>
    </x:row>
    <x:row r="2308">
      <x:c r="A2308" s="1" t="str">
        <x:v>331519137</x:v>
      </x:c>
      <x:c r="B2308" s="1" t="str">
        <x:v>reglanmanover4K-E2/кор-беж</x:v>
      </x:c>
      <x:c r="C2308" s="1" t="str">
        <x:v>Футболки</x:v>
      </x:c>
      <x:c r="D2308" s="9" t="n">
        <x:v>8.4</x:v>
      </x:c>
      <x:c r="E2308" s="8" t="n">
        <x:v>972</x:v>
      </x:c>
      <x:c r="F2308" s="8" t="n">
        <x:v>0</x:v>
      </x:c>
      <x:c r="G2308" s="8" t="n">
        <x:v>0</x:v>
      </x:c>
      <x:c r="H2308" s="8" t="n">
        <x:v>0</x:v>
      </x:c>
      <x:c r="I2308" s="8" t="n">
        <x:v>0</x:v>
      </x:c>
      <x:c r="J2308" s="8"/>
      <x:c r="K2308" s="8" t="n">
        <x:v>0</x:v>
      </x:c>
      <x:c r="L2308" s="1" t="str">
        <x:v>Нет</x:v>
      </x:c>
      <x:c r="M2308" s="1"/>
    </x:row>
    <x:row r="2309">
      <x:c r="A2309" s="1" t="str">
        <x:v>331723397</x:v>
      </x:c>
      <x:c r="B2309" s="1" t="str">
        <x:v>futkryl3K-101/графит</x:v>
      </x:c>
      <x:c r="C2309" s="1" t="str">
        <x:v>Футболки</x:v>
      </x:c>
      <x:c r="D2309" s="9" t="n">
        <x:v>8.4</x:v>
      </x:c>
      <x:c r="E2309" s="8" t="n">
        <x:v>0</x:v>
      </x:c>
      <x:c r="F2309" s="8" t="n">
        <x:v>0</x:v>
      </x:c>
      <x:c r="G2309" s="8" t="n">
        <x:v>0</x:v>
      </x:c>
      <x:c r="H2309" s="8" t="n">
        <x:v>338</x:v>
      </x:c>
      <x:c r="I2309" s="8" t="n">
        <x:v>0</x:v>
      </x:c>
      <x:c r="J2309" s="8" t="n">
        <x:v>0</x:v>
      </x:c>
      <x:c r="K2309" s="8" t="n">
        <x:v>0</x:v>
      </x:c>
      <x:c r="L2309" s="1" t="str">
        <x:v>Нет</x:v>
      </x:c>
      <x:c r="M2309" s="1" t="n">
        <x:v>0</x:v>
      </x:c>
    </x:row>
    <x:row r="2310">
      <x:c r="A2310" s="1" t="str">
        <x:v>332605172</x:v>
      </x:c>
      <x:c r="B2310" s="1" t="str">
        <x:v>svitzipprint3P-S-5/Trouble-285/черный</x:v>
      </x:c>
      <x:c r="C2310" s="1" t="str">
        <x:v>Свитшоты</x:v>
      </x:c>
      <x:c r="D2310" s="9" t="n">
        <x:v>4.7</x:v>
      </x:c>
      <x:c r="E2310" s="8" t="n">
        <x:v>2</x:v>
      </x:c>
      <x:c r="F2310" s="8" t="n">
        <x:v>0</x:v>
      </x:c>
      <x:c r="G2310" s="8" t="n">
        <x:v>0</x:v>
      </x:c>
      <x:c r="H2310" s="8" t="n">
        <x:v>0</x:v>
      </x:c>
      <x:c r="I2310" s="8" t="n">
        <x:v>0</x:v>
      </x:c>
      <x:c r="J2310" s="8"/>
      <x:c r="K2310" s="8" t="n">
        <x:v>0</x:v>
      </x:c>
      <x:c r="L2310" s="1" t="str">
        <x:v>Нет</x:v>
      </x:c>
      <x:c r="M2310" s="1"/>
    </x:row>
    <x:row r="2311">
      <x:c r="A2311" s="1" t="str">
        <x:v>332615921</x:v>
      </x:c>
      <x:c r="B2311" s="1" t="str">
        <x:v>svitshotzipmanprint/Napoli-290/черный</x:v>
      </x:c>
      <x:c r="C2311" s="1" t="str">
        <x:v>Свитшоты</x:v>
      </x:c>
      <x:c r="D2311" s="9" t="n">
        <x:v>5.7</x:v>
      </x:c>
      <x:c r="E2311" s="8" t="n">
        <x:v>0</x:v>
      </x:c>
      <x:c r="F2311" s="8" t="n">
        <x:v>0</x:v>
      </x:c>
      <x:c r="G2311" s="8" t="n">
        <x:v>0</x:v>
      </x:c>
      <x:c r="H2311" s="8" t="n">
        <x:v>0</x:v>
      </x:c>
      <x:c r="I2311" s="8" t="n">
        <x:v>0</x:v>
      </x:c>
      <x:c r="J2311" s="8" t="n">
        <x:v>0</x:v>
      </x:c>
      <x:c r="K2311" s="8" t="n">
        <x:v>0</x:v>
      </x:c>
      <x:c r="L2311" s="1" t="str">
        <x:v>Нет</x:v>
      </x:c>
      <x:c r="M2311" s="1" t="n">
        <x:v>0</x:v>
      </x:c>
    </x:row>
    <x:row r="2312">
      <x:c r="A2312" s="1" t="str">
        <x:v>333086491</x:v>
      </x:c>
      <x:c r="B2312" s="1" t="str">
        <x:v>shtanyfix/винный</x:v>
      </x:c>
      <x:c r="C2312" s="1" t="str">
        <x:v>Брюки</x:v>
      </x:c>
      <x:c r="D2312" s="9" t="n">
        <x:v>8.2</x:v>
      </x:c>
      <x:c r="E2312" s="8" t="n">
        <x:v>3175</x:v>
      </x:c>
      <x:c r="F2312" s="8" t="n">
        <x:v>0</x:v>
      </x:c>
      <x:c r="G2312" s="8" t="n">
        <x:v>0</x:v>
      </x:c>
      <x:c r="H2312" s="8" t="n">
        <x:v>0</x:v>
      </x:c>
      <x:c r="I2312" s="8" t="n">
        <x:v>0</x:v>
      </x:c>
      <x:c r="J2312" s="8" t="n">
        <x:v>0</x:v>
      </x:c>
      <x:c r="K2312" s="8" t="n">
        <x:v>0</x:v>
      </x:c>
      <x:c r="L2312" s="1" t="str">
        <x:v>Нет</x:v>
      </x:c>
      <x:c r="M2312" s="1" t="n">
        <x:v>0</x:v>
      </x:c>
    </x:row>
    <x:row r="2313">
      <x:c r="A2313" s="1" t="str">
        <x:v>33334977</x:v>
      </x:c>
      <x:c r="B2313" s="1" t="str">
        <x:v>futbolka/светлофиолетовый</x:v>
      </x:c>
      <x:c r="C2313" s="1" t="str">
        <x:v>Футболки</x:v>
      </x:c>
      <x:c r="D2313" s="9" t="n">
        <x:v>7.2</x:v>
      </x:c>
      <x:c r="E2313" s="8" t="n">
        <x:v>23</x:v>
      </x:c>
      <x:c r="F2313" s="8" t="n">
        <x:v>0</x:v>
      </x:c>
      <x:c r="G2313" s="8" t="n">
        <x:v>0</x:v>
      </x:c>
      <x:c r="H2313" s="8" t="n">
        <x:v>0</x:v>
      </x:c>
      <x:c r="I2313" s="8" t="n">
        <x:v>0</x:v>
      </x:c>
      <x:c r="J2313" s="8" t="n">
        <x:v>0</x:v>
      </x:c>
      <x:c r="K2313" s="8" t="n">
        <x:v>0</x:v>
      </x:c>
      <x:c r="L2313" s="1" t="str">
        <x:v>Нет</x:v>
      </x:c>
      <x:c r="M2313" s="1" t="n">
        <x:v>0</x:v>
      </x:c>
    </x:row>
    <x:row r="2314">
      <x:c r="A2314" s="1" t="str">
        <x:v>33356515</x:v>
      </x:c>
      <x:c r="B2314" s="1" t="str">
        <x:v>futbolkaman/черный</x:v>
      </x:c>
      <x:c r="C2314" s="1" t="str">
        <x:v>Футболки</x:v>
      </x:c>
      <x:c r="D2314" s="9" t="n">
        <x:v>8.2</x:v>
      </x:c>
      <x:c r="E2314" s="8" t="n">
        <x:v>3</x:v>
      </x:c>
      <x:c r="F2314" s="8" t="n">
        <x:v>0</x:v>
      </x:c>
      <x:c r="G2314" s="8" t="n">
        <x:v>0</x:v>
      </x:c>
      <x:c r="H2314" s="8" t="n">
        <x:v>0</x:v>
      </x:c>
      <x:c r="I2314" s="8" t="n">
        <x:v>0</x:v>
      </x:c>
      <x:c r="J2314" s="8" t="n">
        <x:v>0</x:v>
      </x:c>
      <x:c r="K2314" s="8" t="n">
        <x:v>0</x:v>
      </x:c>
      <x:c r="L2314" s="1" t="str">
        <x:v>Нет</x:v>
      </x:c>
      <x:c r="M2314" s="1" t="n">
        <x:v>0</x:v>
      </x:c>
    </x:row>
    <x:row r="2315">
      <x:c r="A2315" s="1" t="str">
        <x:v>33398757</x:v>
      </x:c>
      <x:c r="B2315" s="1" t="str">
        <x:v>futbolka/пыльнаямята</x:v>
      </x:c>
      <x:c r="C2315" s="1" t="str">
        <x:v>Футболки</x:v>
      </x:c>
      <x:c r="D2315" s="9" t="n">
        <x:v>7.2</x:v>
      </x:c>
      <x:c r="E2315" s="8" t="n">
        <x:v>46</x:v>
      </x:c>
      <x:c r="F2315" s="8" t="n">
        <x:v>0</x:v>
      </x:c>
      <x:c r="G2315" s="8" t="n">
        <x:v>0</x:v>
      </x:c>
      <x:c r="H2315" s="8" t="n">
        <x:v>0</x:v>
      </x:c>
      <x:c r="I2315" s="8" t="n">
        <x:v>0</x:v>
      </x:c>
      <x:c r="J2315" s="8" t="n">
        <x:v>0</x:v>
      </x:c>
      <x:c r="K2315" s="8" t="n">
        <x:v>0</x:v>
      </x:c>
      <x:c r="L2315" s="1" t="str">
        <x:v>Нет</x:v>
      </x:c>
      <x:c r="M2315" s="1" t="n">
        <x:v>0</x:v>
      </x:c>
    </x:row>
    <x:row r="2316">
      <x:c r="A2316" s="1" t="str">
        <x:v>33399442</x:v>
      </x:c>
      <x:c r="B2316" s="1" t="str">
        <x:v>futbolka/сероваторозовый</x:v>
      </x:c>
      <x:c r="C2316" s="1" t="str">
        <x:v>Футболки</x:v>
      </x:c>
      <x:c r="D2316" s="9" t="n">
        <x:v>7.2</x:v>
      </x:c>
      <x:c r="E2316" s="8" t="n">
        <x:v>25</x:v>
      </x:c>
      <x:c r="F2316" s="8" t="n">
        <x:v>0</x:v>
      </x:c>
      <x:c r="G2316" s="8" t="n">
        <x:v>0</x:v>
      </x:c>
      <x:c r="H2316" s="8" t="n">
        <x:v>0</x:v>
      </x:c>
      <x:c r="I2316" s="8" t="n">
        <x:v>0</x:v>
      </x:c>
      <x:c r="J2316" s="8" t="n">
        <x:v>0</x:v>
      </x:c>
      <x:c r="K2316" s="8" t="n">
        <x:v>0</x:v>
      </x:c>
      <x:c r="L2316" s="1" t="str">
        <x:v>Нет</x:v>
      </x:c>
      <x:c r="M2316" s="1" t="n">
        <x:v>0</x:v>
      </x:c>
    </x:row>
    <x:row r="2317">
      <x:c r="A2317" s="1" t="str">
        <x:v>33404736</x:v>
      </x:c>
      <x:c r="B2317" s="1" t="str">
        <x:v>futbolkaman/молочный</x:v>
      </x:c>
      <x:c r="C2317" s="1" t="str">
        <x:v>Футболки</x:v>
      </x:c>
      <x:c r="D2317" s="9" t="n">
        <x:v>8.2</x:v>
      </x:c>
      <x:c r="E2317" s="8" t="n">
        <x:v>0</x:v>
      </x:c>
      <x:c r="F2317" s="8" t="n">
        <x:v>0</x:v>
      </x:c>
      <x:c r="G2317" s="8" t="n">
        <x:v>0</x:v>
      </x:c>
      <x:c r="H2317" s="8" t="n">
        <x:v>0</x:v>
      </x:c>
      <x:c r="I2317" s="8" t="n">
        <x:v>0</x:v>
      </x:c>
      <x:c r="J2317" s="8" t="n">
        <x:v>0</x:v>
      </x:c>
      <x:c r="K2317" s="8" t="n">
        <x:v>0</x:v>
      </x:c>
      <x:c r="L2317" s="1" t="str">
        <x:v>Нет</x:v>
      </x:c>
      <x:c r="M2317" s="1" t="n">
        <x:v>0</x:v>
      </x:c>
    </x:row>
    <x:row r="2318">
      <x:c r="A2318" s="1" t="str">
        <x:v>336281827</x:v>
      </x:c>
      <x:c r="B2318" s="1" t="str">
        <x:v>svitzipprint3P-S-5/PLabel-293/темно-серый</x:v>
      </x:c>
      <x:c r="C2318" s="1" t="str">
        <x:v>Свитшоты</x:v>
      </x:c>
      <x:c r="D2318" s="9" t="n">
        <x:v>4.7</x:v>
      </x:c>
      <x:c r="E2318" s="8" t="n">
        <x:v>1</x:v>
      </x:c>
      <x:c r="F2318" s="8" t="n">
        <x:v>0</x:v>
      </x:c>
      <x:c r="G2318" s="8" t="n">
        <x:v>0</x:v>
      </x:c>
      <x:c r="H2318" s="8" t="n">
        <x:v>0</x:v>
      </x:c>
      <x:c r="I2318" s="8" t="n">
        <x:v>0</x:v>
      </x:c>
      <x:c r="J2318" s="8" t="n">
        <x:v>0</x:v>
      </x:c>
      <x:c r="K2318" s="8" t="n">
        <x:v>0</x:v>
      </x:c>
      <x:c r="L2318" s="1" t="str">
        <x:v>Нет</x:v>
      </x:c>
      <x:c r="M2318" s="1" t="n">
        <x:v>0</x:v>
      </x:c>
    </x:row>
    <x:row r="2319">
      <x:c r="A2319" s="1" t="str">
        <x:v>336293632</x:v>
      </x:c>
      <x:c r="B2319" s="1" t="str">
        <x:v>shorty/графит</x:v>
      </x:c>
      <x:c r="C2319" s="1" t="str">
        <x:v>Шорты</x:v>
      </x:c>
      <x:c r="D2319" s="9" t="n">
        <x:v>6.9</x:v>
      </x:c>
      <x:c r="E2319" s="8" t="n">
        <x:v>0</x:v>
      </x:c>
      <x:c r="F2319" s="8" t="n">
        <x:v>0</x:v>
      </x:c>
      <x:c r="G2319" s="8" t="n">
        <x:v>0</x:v>
      </x:c>
      <x:c r="H2319" s="8" t="n">
        <x:v>190</x:v>
      </x:c>
      <x:c r="I2319" s="8" t="n">
        <x:v>0</x:v>
      </x:c>
      <x:c r="J2319" s="8" t="n">
        <x:v>0</x:v>
      </x:c>
      <x:c r="K2319" s="8" t="n">
        <x:v>0</x:v>
      </x:c>
      <x:c r="L2319" s="1" t="str">
        <x:v>Нет</x:v>
      </x:c>
      <x:c r="M2319" s="1" t="n">
        <x:v>0</x:v>
      </x:c>
    </x:row>
    <x:row r="2320">
      <x:c r="A2320" s="1" t="str">
        <x:v>336303916</x:v>
      </x:c>
      <x:c r="B2320" s="1" t="str">
        <x:v>futbolka_mary/графит</x:v>
      </x:c>
      <x:c r="C2320" s="1" t="str">
        <x:v>Футболки</x:v>
      </x:c>
      <x:c r="D2320" s="9" t="n">
        <x:v>7.2</x:v>
      </x:c>
      <x:c r="E2320" s="8" t="n">
        <x:v>0</x:v>
      </x:c>
      <x:c r="F2320" s="8" t="n">
        <x:v>0</x:v>
      </x:c>
      <x:c r="G2320" s="8" t="n">
        <x:v>0</x:v>
      </x:c>
      <x:c r="H2320" s="8" t="n">
        <x:v>3</x:v>
      </x:c>
      <x:c r="I2320" s="8" t="n">
        <x:v>0</x:v>
      </x:c>
      <x:c r="J2320" s="8" t="n">
        <x:v>0</x:v>
      </x:c>
      <x:c r="K2320" s="8" t="n">
        <x:v>0</x:v>
      </x:c>
      <x:c r="L2320" s="1" t="str">
        <x:v>Нет</x:v>
      </x:c>
      <x:c r="M2320" s="1" t="n">
        <x:v>0</x:v>
      </x:c>
    </x:row>
    <x:row r="2321">
      <x:c r="A2321" s="1" t="str">
        <x:v>337538143</x:v>
      </x:c>
      <x:c r="B2321" s="1" t="str">
        <x:v>tolstovkazippetl/светло-розовый</x:v>
      </x:c>
      <x:c r="C2321" s="1" t="str">
        <x:v>Худи</x:v>
      </x:c>
      <x:c r="D2321" s="9" t="n">
        <x:v>9.7</x:v>
      </x:c>
      <x:c r="E2321" s="8" t="n">
        <x:v>0</x:v>
      </x:c>
      <x:c r="F2321" s="8" t="n">
        <x:v>0</x:v>
      </x:c>
      <x:c r="G2321" s="8" t="n">
        <x:v>0</x:v>
      </x:c>
      <x:c r="H2321" s="8" t="n">
        <x:v>1</x:v>
      </x:c>
      <x:c r="I2321" s="8" t="n">
        <x:v>0</x:v>
      </x:c>
      <x:c r="J2321" s="8" t="n">
        <x:v>0</x:v>
      </x:c>
      <x:c r="K2321" s="8" t="n">
        <x:v>0</x:v>
      </x:c>
      <x:c r="L2321" s="1" t="str">
        <x:v>Нет</x:v>
      </x:c>
      <x:c r="M2321" s="1" t="n">
        <x:v>0</x:v>
      </x:c>
    </x:row>
    <x:row r="2322">
      <x:c r="A2322" s="1" t="str">
        <x:v>337538147</x:v>
      </x:c>
      <x:c r="B2322" s="1" t="str">
        <x:v>tolstovkazippetl/молочный</x:v>
      </x:c>
      <x:c r="C2322" s="1" t="str">
        <x:v>Худи</x:v>
      </x:c>
      <x:c r="D2322" s="9" t="n">
        <x:v>9.7</x:v>
      </x:c>
      <x:c r="E2322" s="8" t="n">
        <x:v>0</x:v>
      </x:c>
      <x:c r="F2322" s="8" t="n">
        <x:v>0</x:v>
      </x:c>
      <x:c r="G2322" s="8" t="n">
        <x:v>0</x:v>
      </x:c>
      <x:c r="H2322" s="8" t="n">
        <x:v>63</x:v>
      </x:c>
      <x:c r="I2322" s="8" t="n">
        <x:v>0</x:v>
      </x:c>
      <x:c r="J2322" s="8" t="n">
        <x:v>0</x:v>
      </x:c>
      <x:c r="K2322" s="8" t="n">
        <x:v>0</x:v>
      </x:c>
      <x:c r="L2322" s="1" t="str">
        <x:v>Нет</x:v>
      </x:c>
      <x:c r="M2322" s="1" t="n">
        <x:v>0</x:v>
      </x:c>
    </x:row>
    <x:row r="2323">
      <x:c r="A2323" s="1" t="str">
        <x:v>337538148</x:v>
      </x:c>
      <x:c r="B2323" s="1" t="str">
        <x:v>tolstovkazippetl/бордовый</x:v>
      </x:c>
      <x:c r="C2323" s="1" t="str">
        <x:v>Худи</x:v>
      </x:c>
      <x:c r="D2323" s="9" t="n">
        <x:v>9.7</x:v>
      </x:c>
      <x:c r="E2323" s="8" t="n">
        <x:v>0</x:v>
      </x:c>
      <x:c r="F2323" s="8" t="n">
        <x:v>0</x:v>
      </x:c>
      <x:c r="G2323" s="8" t="n">
        <x:v>0</x:v>
      </x:c>
      <x:c r="H2323" s="8" t="n">
        <x:v>1</x:v>
      </x:c>
      <x:c r="I2323" s="8" t="n">
        <x:v>0</x:v>
      </x:c>
      <x:c r="J2323" s="8" t="n">
        <x:v>0</x:v>
      </x:c>
      <x:c r="K2323" s="8" t="n">
        <x:v>0</x:v>
      </x:c>
      <x:c r="L2323" s="1" t="str">
        <x:v>Нет</x:v>
      </x:c>
      <x:c r="M2323" s="1" t="n">
        <x:v>0</x:v>
      </x:c>
    </x:row>
    <x:row r="2324">
      <x:c r="A2324" s="1" t="str">
        <x:v>337538149</x:v>
      </x:c>
      <x:c r="B2324" s="1" t="str">
        <x:v>tolstovkazippetl/коричневый</x:v>
      </x:c>
      <x:c r="C2324" s="1" t="str">
        <x:v>Худи</x:v>
      </x:c>
      <x:c r="D2324" s="9" t="n">
        <x:v>9.7</x:v>
      </x:c>
      <x:c r="E2324" s="8" t="n">
        <x:v>0</x:v>
      </x:c>
      <x:c r="F2324" s="8" t="n">
        <x:v>0</x:v>
      </x:c>
      <x:c r="G2324" s="8" t="n">
        <x:v>0</x:v>
      </x:c>
      <x:c r="H2324" s="8" t="n">
        <x:v>34</x:v>
      </x:c>
      <x:c r="I2324" s="8" t="n">
        <x:v>0</x:v>
      </x:c>
      <x:c r="J2324" s="8" t="n">
        <x:v>0</x:v>
      </x:c>
      <x:c r="K2324" s="8" t="n">
        <x:v>0</x:v>
      </x:c>
      <x:c r="L2324" s="1" t="str">
        <x:v>Нет</x:v>
      </x:c>
      <x:c r="M2324" s="1" t="n">
        <x:v>0</x:v>
      </x:c>
    </x:row>
    <x:row r="2325">
      <x:c r="A2325" s="1" t="str">
        <x:v>337602416</x:v>
      </x:c>
      <x:c r="B2325" s="1" t="str">
        <x:v>tolstovkazipmanpetl/дымка</x:v>
      </x:c>
      <x:c r="C2325" s="1" t="str">
        <x:v>Худи</x:v>
      </x:c>
      <x:c r="D2325" s="9" t="n">
        <x:v>4.7</x:v>
      </x:c>
      <x:c r="E2325" s="8" t="n">
        <x:v>0</x:v>
      </x:c>
      <x:c r="F2325" s="8" t="n">
        <x:v>0</x:v>
      </x:c>
      <x:c r="G2325" s="8" t="n">
        <x:v>0</x:v>
      </x:c>
      <x:c r="H2325" s="8" t="n">
        <x:v>0</x:v>
      </x:c>
      <x:c r="I2325" s="8" t="n">
        <x:v>0</x:v>
      </x:c>
      <x:c r="J2325" s="8" t="n">
        <x:v>0</x:v>
      </x:c>
      <x:c r="K2325" s="8" t="n">
        <x:v>0</x:v>
      </x:c>
      <x:c r="L2325" s="1" t="str">
        <x:v>Да</x:v>
      </x:c>
      <x:c r="M2325" s="1" t="n">
        <x:v>0</x:v>
      </x:c>
    </x:row>
    <x:row r="2326">
      <x:c r="A2326" s="1" t="str">
        <x:v>338318198</x:v>
      </x:c>
      <x:c r="B2326" s="1" t="str">
        <x:v>kulirkaman/темно-синий</x:v>
      </x:c>
      <x:c r="C2326" s="1" t="str">
        <x:v>Футболки</x:v>
      </x:c>
      <x:c r="D2326" s="9" t="n">
        <x:v>4.7</x:v>
      </x:c>
      <x:c r="E2326" s="8" t="n">
        <x:v>0</x:v>
      </x:c>
      <x:c r="F2326" s="8" t="n">
        <x:v>0</x:v>
      </x:c>
      <x:c r="G2326" s="8" t="n">
        <x:v>0</x:v>
      </x:c>
      <x:c r="H2326" s="8" t="n">
        <x:v>0</x:v>
      </x:c>
      <x:c r="I2326" s="8" t="n">
        <x:v>0</x:v>
      </x:c>
      <x:c r="J2326" s="8" t="n">
        <x:v>0</x:v>
      </x:c>
      <x:c r="K2326" s="8" t="n">
        <x:v>0</x:v>
      </x:c>
      <x:c r="L2326" s="1" t="str">
        <x:v>Нет</x:v>
      </x:c>
      <x:c r="M2326" s="1" t="n">
        <x:v>0</x:v>
      </x:c>
    </x:row>
    <x:row r="2327">
      <x:c r="A2327" s="1" t="str">
        <x:v>341352568</x:v>
      </x:c>
      <x:c r="B2327" s="1" t="str">
        <x:v>kostyumfix3P-37-63/пыльно-синий</x:v>
      </x:c>
      <x:c r="C2327" s="1" t="str">
        <x:v>Костюмы спортивные</x:v>
      </x:c>
      <x:c r="D2327" s="9" t="n">
        <x:v>8.7</x:v>
      </x:c>
      <x:c r="E2327" s="8" t="n">
        <x:v>0</x:v>
      </x:c>
      <x:c r="F2327" s="8" t="n">
        <x:v>0</x:v>
      </x:c>
      <x:c r="G2327" s="8" t="n">
        <x:v>0</x:v>
      </x:c>
      <x:c r="H2327" s="8" t="n">
        <x:v>1</x:v>
      </x:c>
      <x:c r="I2327" s="8" t="n">
        <x:v>0</x:v>
      </x:c>
      <x:c r="J2327" s="8" t="n">
        <x:v>0</x:v>
      </x:c>
      <x:c r="K2327" s="8" t="n">
        <x:v>0</x:v>
      </x:c>
      <x:c r="L2327" s="1" t="str">
        <x:v>Нет</x:v>
      </x:c>
      <x:c r="M2327" s="1" t="n">
        <x:v>0</x:v>
      </x:c>
    </x:row>
    <x:row r="2328">
      <x:c r="A2328" s="1" t="str">
        <x:v>342471328</x:v>
      </x:c>
      <x:c r="B2328" s="1" t="str">
        <x:v>futbolkaprint/Espresso-300/коричневый</x:v>
      </x:c>
      <x:c r="C2328" s="1" t="str">
        <x:v>Футболки</x:v>
      </x:c>
      <x:c r="D2328" s="9" t="n">
        <x:v>8.7</x:v>
      </x:c>
      <x:c r="E2328" s="8" t="n">
        <x:v>0</x:v>
      </x:c>
      <x:c r="F2328" s="8" t="n">
        <x:v>0</x:v>
      </x:c>
      <x:c r="G2328" s="8" t="n">
        <x:v>0</x:v>
      </x:c>
      <x:c r="H2328" s="8" t="n">
        <x:v>51</x:v>
      </x:c>
      <x:c r="I2328" s="8" t="n">
        <x:v>0</x:v>
      </x:c>
      <x:c r="J2328" s="8" t="n">
        <x:v>0</x:v>
      </x:c>
      <x:c r="K2328" s="8" t="n">
        <x:v>0</x:v>
      </x:c>
      <x:c r="L2328" s="1" t="str">
        <x:v>Нет</x:v>
      </x:c>
      <x:c r="M2328" s="1" t="n">
        <x:v>0</x:v>
      </x:c>
    </x:row>
    <x:row r="2329">
      <x:c r="A2329" s="1" t="str">
        <x:v>34333255</x:v>
      </x:c>
      <x:c r="B2329" s="1" t="str">
        <x:v>longslivkor/молочный</x:v>
      </x:c>
      <x:c r="C2329" s="1" t="str">
        <x:v>Лонгсливы</x:v>
      </x:c>
      <x:c r="D2329" s="9" t="n">
        <x:v>4.5</x:v>
      </x:c>
      <x:c r="E2329" s="8" t="n">
        <x:v>0</x:v>
      </x:c>
      <x:c r="F2329" s="8" t="n">
        <x:v>0</x:v>
      </x:c>
      <x:c r="G2329" s="8" t="n">
        <x:v>0</x:v>
      </x:c>
      <x:c r="H2329" s="8" t="n">
        <x:v>0</x:v>
      </x:c>
      <x:c r="I2329" s="8" t="n">
        <x:v>0</x:v>
      </x:c>
      <x:c r="J2329" s="8" t="n">
        <x:v>0</x:v>
      </x:c>
      <x:c r="K2329" s="8" t="n">
        <x:v>0</x:v>
      </x:c>
      <x:c r="L2329" s="1" t="str">
        <x:v>Нет</x:v>
      </x:c>
      <x:c r="M2329" s="1" t="n">
        <x:v>0</x:v>
      </x:c>
    </x:row>
    <x:row r="2330">
      <x:c r="A2330" s="1" t="str">
        <x:v>34333843</x:v>
      </x:c>
      <x:c r="B2330" s="1" t="str">
        <x:v>longslivkor/какао</x:v>
      </x:c>
      <x:c r="C2330" s="1" t="str">
        <x:v>Лонгсливы</x:v>
      </x:c>
      <x:c r="D2330" s="9" t="n">
        <x:v>4.5</x:v>
      </x:c>
      <x:c r="E2330" s="8" t="n">
        <x:v>1</x:v>
      </x:c>
      <x:c r="F2330" s="8" t="n">
        <x:v>0</x:v>
      </x:c>
      <x:c r="G2330" s="8" t="n">
        <x:v>0</x:v>
      </x:c>
      <x:c r="H2330" s="8" t="n">
        <x:v>0</x:v>
      </x:c>
      <x:c r="I2330" s="8" t="n">
        <x:v>0</x:v>
      </x:c>
      <x:c r="J2330" s="8" t="n">
        <x:v>0</x:v>
      </x:c>
      <x:c r="K2330" s="8" t="n">
        <x:v>0</x:v>
      </x:c>
      <x:c r="L2330" s="1" t="str">
        <x:v>Нет</x:v>
      </x:c>
      <x:c r="M2330" s="1" t="n">
        <x:v>0</x:v>
      </x:c>
    </x:row>
    <x:row r="2331">
      <x:c r="A2331" s="1" t="str">
        <x:v>344418952</x:v>
      </x:c>
      <x:c r="B2331" s="1" t="str">
        <x:v>maykaman/хаки</x:v>
      </x:c>
      <x:c r="C2331" s="1" t="str">
        <x:v>Футболки</x:v>
      </x:c>
      <x:c r="D2331" s="9" t="n">
        <x:v>9</x:v>
      </x:c>
      <x:c r="E2331" s="8" t="n">
        <x:v>2</x:v>
      </x:c>
      <x:c r="F2331" s="8" t="n">
        <x:v>0</x:v>
      </x:c>
      <x:c r="G2331" s="8" t="n">
        <x:v>0</x:v>
      </x:c>
      <x:c r="H2331" s="8" t="n">
        <x:v>0</x:v>
      </x:c>
      <x:c r="I2331" s="8" t="n">
        <x:v>0</x:v>
      </x:c>
      <x:c r="J2331" s="8"/>
      <x:c r="K2331" s="8" t="n">
        <x:v>0</x:v>
      </x:c>
      <x:c r="L2331" s="1" t="str">
        <x:v>Нет</x:v>
      </x:c>
      <x:c r="M2331" s="1"/>
    </x:row>
    <x:row r="2332">
      <x:c r="A2332" s="1" t="str">
        <x:v>344423843</x:v>
      </x:c>
      <x:c r="B2332" s="1" t="str">
        <x:v>maykaman/дымка</x:v>
      </x:c>
      <x:c r="C2332" s="1" t="str">
        <x:v>Футболки</x:v>
      </x:c>
      <x:c r="D2332" s="9" t="n">
        <x:v>9</x:v>
      </x:c>
      <x:c r="E2332" s="8" t="n">
        <x:v>3</x:v>
      </x:c>
      <x:c r="F2332" s="8" t="n">
        <x:v>0</x:v>
      </x:c>
      <x:c r="G2332" s="8" t="n">
        <x:v>0</x:v>
      </x:c>
      <x:c r="H2332" s="8" t="n">
        <x:v>477</x:v>
      </x:c>
      <x:c r="I2332" s="8" t="n">
        <x:v>0</x:v>
      </x:c>
      <x:c r="J2332" s="8" t="n">
        <x:v>0</x:v>
      </x:c>
      <x:c r="K2332" s="8" t="n">
        <x:v>0</x:v>
      </x:c>
      <x:c r="L2332" s="1" t="str">
        <x:v>Нет</x:v>
      </x:c>
      <x:c r="M2332" s="1" t="n">
        <x:v>0</x:v>
      </x:c>
    </x:row>
    <x:row r="2333">
      <x:c r="A2333" s="1" t="str">
        <x:v>344427122</x:v>
      </x:c>
      <x:c r="B2333" s="1" t="str">
        <x:v>tophumo/серый</x:v>
      </x:c>
      <x:c r="C2333" s="1" t="str">
        <x:v>Топы</x:v>
      </x:c>
      <x:c r="D2333" s="9" t="n">
        <x:v>7.4</x:v>
      </x:c>
      <x:c r="E2333" s="8" t="n">
        <x:v>0</x:v>
      </x:c>
      <x:c r="F2333" s="8" t="n">
        <x:v>0</x:v>
      </x:c>
      <x:c r="G2333" s="8" t="n">
        <x:v>0</x:v>
      </x:c>
      <x:c r="H2333" s="8" t="n">
        <x:v>271</x:v>
      </x:c>
      <x:c r="I2333" s="8" t="n">
        <x:v>0</x:v>
      </x:c>
      <x:c r="J2333" s="8" t="n">
        <x:v>0</x:v>
      </x:c>
      <x:c r="K2333" s="8" t="n">
        <x:v>0</x:v>
      </x:c>
      <x:c r="L2333" s="1" t="str">
        <x:v>Нет</x:v>
      </x:c>
      <x:c r="M2333" s="1" t="n">
        <x:v>0</x:v>
      </x:c>
    </x:row>
    <x:row r="2334">
      <x:c r="A2334" s="1" t="str">
        <x:v>344440744</x:v>
      </x:c>
      <x:c r="B2334" s="1" t="str">
        <x:v>2Ntshirt/графит</x:v>
      </x:c>
      <x:c r="C2334" s="1" t="str">
        <x:v>Футболки</x:v>
      </x:c>
      <x:c r="D2334" s="9" t="n">
        <x:v>8.2</x:v>
      </x:c>
      <x:c r="E2334" s="8" t="n">
        <x:v>13013</x:v>
      </x:c>
      <x:c r="F2334" s="8" t="n">
        <x:v>0</x:v>
      </x:c>
      <x:c r="G2334" s="8" t="n">
        <x:v>0</x:v>
      </x:c>
      <x:c r="H2334" s="8" t="n">
        <x:v>0</x:v>
      </x:c>
      <x:c r="I2334" s="8" t="n">
        <x:v>0</x:v>
      </x:c>
      <x:c r="J2334" s="8"/>
      <x:c r="K2334" s="8" t="n">
        <x:v>0</x:v>
      </x:c>
      <x:c r="L2334" s="1" t="str">
        <x:v>Нет</x:v>
      </x:c>
      <x:c r="M2334" s="1"/>
    </x:row>
    <x:row r="2335">
      <x:c r="A2335" s="1" t="str">
        <x:v>344440777</x:v>
      </x:c>
      <x:c r="B2335" s="1" t="str">
        <x:v>maykaman/пыльно-синий</x:v>
      </x:c>
      <x:c r="C2335" s="1" t="str">
        <x:v>Футболки</x:v>
      </x:c>
      <x:c r="D2335" s="9" t="n">
        <x:v>9</x:v>
      </x:c>
      <x:c r="E2335" s="8" t="n">
        <x:v>1</x:v>
      </x:c>
      <x:c r="F2335" s="8" t="n">
        <x:v>0</x:v>
      </x:c>
      <x:c r="G2335" s="8" t="n">
        <x:v>0</x:v>
      </x:c>
      <x:c r="H2335" s="8" t="n">
        <x:v>0</x:v>
      </x:c>
      <x:c r="I2335" s="8" t="n">
        <x:v>0</x:v>
      </x:c>
      <x:c r="J2335" s="8"/>
      <x:c r="K2335" s="8" t="n">
        <x:v>0</x:v>
      </x:c>
      <x:c r="L2335" s="1" t="str">
        <x:v>Нет</x:v>
      </x:c>
      <x:c r="M2335" s="1"/>
    </x:row>
    <x:row r="2336">
      <x:c r="A2336" s="1" t="str">
        <x:v>344444042</x:v>
      </x:c>
      <x:c r="B2336" s="1" t="str">
        <x:v>2Ntshirt/темно-серый</x:v>
      </x:c>
      <x:c r="C2336" s="1" t="str">
        <x:v>Футболки</x:v>
      </x:c>
      <x:c r="D2336" s="9" t="n">
        <x:v>8.2</x:v>
      </x:c>
      <x:c r="E2336" s="8" t="n">
        <x:v>17443</x:v>
      </x:c>
      <x:c r="F2336" s="8" t="n">
        <x:v>1</x:v>
      </x:c>
      <x:c r="G2336" s="8" t="n">
        <x:v>0</x:v>
      </x:c>
      <x:c r="H2336" s="8" t="n">
        <x:v>0</x:v>
      </x:c>
      <x:c r="I2336" s="8" t="n">
        <x:v>0</x:v>
      </x:c>
      <x:c r="J2336" s="8"/>
      <x:c r="K2336" s="8" t="n">
        <x:v>1180</x:v>
      </x:c>
      <x:c r="L2336" s="1" t="str">
        <x:v>Нет</x:v>
      </x:c>
      <x:c r="M2336" s="1"/>
    </x:row>
    <x:row r="2337">
      <x:c r="A2337" s="1" t="str">
        <x:v>344447003</x:v>
      </x:c>
      <x:c r="B2337" s="1" t="str">
        <x:v>tophumo/темно-серый</x:v>
      </x:c>
      <x:c r="C2337" s="1" t="str">
        <x:v>Топы</x:v>
      </x:c>
      <x:c r="D2337" s="9" t="n">
        <x:v>9.4</x:v>
      </x:c>
      <x:c r="E2337" s="8" t="n">
        <x:v>0</x:v>
      </x:c>
      <x:c r="F2337" s="8" t="n">
        <x:v>0</x:v>
      </x:c>
      <x:c r="G2337" s="8" t="n">
        <x:v>0</x:v>
      </x:c>
      <x:c r="H2337" s="8" t="n">
        <x:v>268</x:v>
      </x:c>
      <x:c r="I2337" s="8" t="n">
        <x:v>0</x:v>
      </x:c>
      <x:c r="J2337" s="8" t="n">
        <x:v>0</x:v>
      </x:c>
      <x:c r="K2337" s="8" t="n">
        <x:v>0</x:v>
      </x:c>
      <x:c r="L2337" s="1" t="str">
        <x:v>Нет</x:v>
      </x:c>
      <x:c r="M2337" s="1" t="n">
        <x:v>0</x:v>
      </x:c>
    </x:row>
    <x:row r="2338">
      <x:c r="A2338" s="1" t="str">
        <x:v>346811980</x:v>
      </x:c>
      <x:c r="B2338" s="1" t="str">
        <x:v>longcrop3К-84/каштановый</x:v>
      </x:c>
      <x:c r="C2338" s="1" t="str">
        <x:v>Лонгсливы</x:v>
      </x:c>
      <x:c r="D2338" s="9" t="n">
        <x:v>8.7</x:v>
      </x:c>
      <x:c r="E2338" s="8" t="n">
        <x:v>3</x:v>
      </x:c>
      <x:c r="F2338" s="8" t="n">
        <x:v>0</x:v>
      </x:c>
      <x:c r="G2338" s="8" t="n">
        <x:v>0</x:v>
      </x:c>
      <x:c r="H2338" s="8" t="n">
        <x:v>0</x:v>
      </x:c>
      <x:c r="I2338" s="8" t="n">
        <x:v>0</x:v>
      </x:c>
      <x:c r="J2338" s="8"/>
      <x:c r="K2338" s="8" t="n">
        <x:v>0</x:v>
      </x:c>
      <x:c r="L2338" s="1" t="str">
        <x:v>Нет</x:v>
      </x:c>
      <x:c r="M2338" s="1"/>
    </x:row>
    <x:row r="2339">
      <x:c r="A2339" s="1" t="str">
        <x:v>346811983</x:v>
      </x:c>
      <x:c r="B2339" s="1" t="str">
        <x:v>longcrop3К-84/какао</x:v>
      </x:c>
      <x:c r="C2339" s="1" t="str">
        <x:v>Лонгсливы</x:v>
      </x:c>
      <x:c r="D2339" s="9" t="n">
        <x:v>8.7</x:v>
      </x:c>
      <x:c r="E2339" s="8" t="n">
        <x:v>1</x:v>
      </x:c>
      <x:c r="F2339" s="8" t="n">
        <x:v>0</x:v>
      </x:c>
      <x:c r="G2339" s="8" t="n">
        <x:v>0</x:v>
      </x:c>
      <x:c r="H2339" s="8" t="n">
        <x:v>0</x:v>
      </x:c>
      <x:c r="I2339" s="8" t="n">
        <x:v>0</x:v>
      </x:c>
      <x:c r="J2339" s="8"/>
      <x:c r="K2339" s="8" t="n">
        <x:v>0</x:v>
      </x:c>
      <x:c r="L2339" s="1" t="str">
        <x:v>Нет</x:v>
      </x:c>
      <x:c r="M2339" s="1"/>
    </x:row>
    <x:row r="2340">
      <x:c r="A2340" s="1" t="str">
        <x:v>350775165</x:v>
      </x:c>
      <x:c r="B2340" s="1" t="str">
        <x:v>malyshkabasic/белый</x:v>
      </x:c>
      <x:c r="C2340" s="1" t="str">
        <x:v>Футболки</x:v>
      </x:c>
      <x:c r="D2340" s="9" t="n">
        <x:v>7.9</x:v>
      </x:c>
      <x:c r="E2340" s="8" t="n">
        <x:v>7</x:v>
      </x:c>
      <x:c r="F2340" s="8" t="n">
        <x:v>0</x:v>
      </x:c>
      <x:c r="G2340" s="8" t="n">
        <x:v>0</x:v>
      </x:c>
      <x:c r="H2340" s="8" t="n">
        <x:v>0</x:v>
      </x:c>
      <x:c r="I2340" s="8" t="n">
        <x:v>0</x:v>
      </x:c>
      <x:c r="J2340" s="8"/>
      <x:c r="K2340" s="8" t="n">
        <x:v>0</x:v>
      </x:c>
      <x:c r="L2340" s="1" t="str">
        <x:v>Нет</x:v>
      </x:c>
      <x:c r="M2340" s="1"/>
    </x:row>
    <x:row r="2341">
      <x:c r="A2341" s="1" t="str">
        <x:v>35272618</x:v>
      </x:c>
      <x:c r="B2341" s="1" t="str">
        <x:v>futbolkaman/синийкосмос</x:v>
      </x:c>
      <x:c r="C2341" s="1" t="str">
        <x:v>Футболки</x:v>
      </x:c>
      <x:c r="D2341" s="9" t="n">
        <x:v>8.2</x:v>
      </x:c>
      <x:c r="E2341" s="8" t="n">
        <x:v>0</x:v>
      </x:c>
      <x:c r="F2341" s="8" t="n">
        <x:v>0</x:v>
      </x:c>
      <x:c r="G2341" s="8" t="n">
        <x:v>0</x:v>
      </x:c>
      <x:c r="H2341" s="8" t="n">
        <x:v>0</x:v>
      </x:c>
      <x:c r="I2341" s="8" t="n">
        <x:v>0</x:v>
      </x:c>
      <x:c r="J2341" s="8" t="n">
        <x:v>0</x:v>
      </x:c>
      <x:c r="K2341" s="8" t="n">
        <x:v>0</x:v>
      </x:c>
      <x:c r="L2341" s="1" t="str">
        <x:v>Нет</x:v>
      </x:c>
      <x:c r="M2341" s="1" t="n">
        <x:v>0</x:v>
      </x:c>
    </x:row>
    <x:row r="2342">
      <x:c r="A2342" s="1" t="str">
        <x:v>35272989</x:v>
      </x:c>
      <x:c r="B2342" s="1" t="str">
        <x:v>futbolkaman/бежевый</x:v>
      </x:c>
      <x:c r="C2342" s="1" t="str">
        <x:v>Футболки</x:v>
      </x:c>
      <x:c r="D2342" s="9" t="n">
        <x:v>8.2</x:v>
      </x:c>
      <x:c r="E2342" s="8" t="n">
        <x:v>0</x:v>
      </x:c>
      <x:c r="F2342" s="8" t="n">
        <x:v>0</x:v>
      </x:c>
      <x:c r="G2342" s="8" t="n">
        <x:v>0</x:v>
      </x:c>
      <x:c r="H2342" s="8" t="n">
        <x:v>0</x:v>
      </x:c>
      <x:c r="I2342" s="8" t="n">
        <x:v>0</x:v>
      </x:c>
      <x:c r="J2342" s="8" t="n">
        <x:v>0</x:v>
      </x:c>
      <x:c r="K2342" s="8" t="n">
        <x:v>0</x:v>
      </x:c>
      <x:c r="L2342" s="1" t="str">
        <x:v>Нет</x:v>
      </x:c>
      <x:c r="M2342" s="1" t="n">
        <x:v>0</x:v>
      </x:c>
    </x:row>
    <x:row r="2343">
      <x:c r="A2343" s="1" t="str">
        <x:v>35273524</x:v>
      </x:c>
      <x:c r="B2343" s="1" t="str">
        <x:v>futbolkaman/светло-зеленый</x:v>
      </x:c>
      <x:c r="C2343" s="1" t="str">
        <x:v>Футболки</x:v>
      </x:c>
      <x:c r="D2343" s="9" t="n">
        <x:v>8.2</x:v>
      </x:c>
      <x:c r="E2343" s="8" t="n">
        <x:v>1</x:v>
      </x:c>
      <x:c r="F2343" s="8" t="n">
        <x:v>0</x:v>
      </x:c>
      <x:c r="G2343" s="8" t="n">
        <x:v>0</x:v>
      </x:c>
      <x:c r="H2343" s="8" t="n">
        <x:v>0</x:v>
      </x:c>
      <x:c r="I2343" s="8" t="n">
        <x:v>0</x:v>
      </x:c>
      <x:c r="J2343" s="8" t="n">
        <x:v>0</x:v>
      </x:c>
      <x:c r="K2343" s="8" t="n">
        <x:v>0</x:v>
      </x:c>
      <x:c r="L2343" s="1" t="str">
        <x:v>Нет</x:v>
      </x:c>
      <x:c r="M2343" s="1" t="n">
        <x:v>0</x:v>
      </x:c>
    </x:row>
    <x:row r="2344">
      <x:c r="A2344" s="1" t="str">
        <x:v>35273875</x:v>
      </x:c>
      <x:c r="B2344" s="1" t="str">
        <x:v>futbolkaman/серый-меланж</x:v>
      </x:c>
      <x:c r="C2344" s="1" t="str">
        <x:v>Футболки</x:v>
      </x:c>
      <x:c r="D2344" s="9" t="n">
        <x:v>8.2</x:v>
      </x:c>
      <x:c r="E2344" s="8" t="n">
        <x:v>1</x:v>
      </x:c>
      <x:c r="F2344" s="8" t="n">
        <x:v>0</x:v>
      </x:c>
      <x:c r="G2344" s="8" t="n">
        <x:v>0</x:v>
      </x:c>
      <x:c r="H2344" s="8" t="n">
        <x:v>0</x:v>
      </x:c>
      <x:c r="I2344" s="8" t="n">
        <x:v>0</x:v>
      </x:c>
      <x:c r="J2344" s="8" t="n">
        <x:v>0</x:v>
      </x:c>
      <x:c r="K2344" s="8" t="n">
        <x:v>0</x:v>
      </x:c>
      <x:c r="L2344" s="1" t="str">
        <x:v>Нет</x:v>
      </x:c>
      <x:c r="M2344" s="1" t="n">
        <x:v>0</x:v>
      </x:c>
    </x:row>
    <x:row r="2345">
      <x:c r="A2345" s="1" t="str">
        <x:v>35428612</x:v>
      </x:c>
      <x:c r="B2345" s="1" t="str">
        <x:v>longslivkvadrat/черный</x:v>
      </x:c>
      <x:c r="C2345" s="1" t="str">
        <x:v>Лонгсливы</x:v>
      </x:c>
      <x:c r="D2345" s="9" t="n">
        <x:v>5.2</x:v>
      </x:c>
      <x:c r="E2345" s="8" t="n">
        <x:v>32</x:v>
      </x:c>
      <x:c r="F2345" s="8" t="n">
        <x:v>0</x:v>
      </x:c>
      <x:c r="G2345" s="8" t="n">
        <x:v>0</x:v>
      </x:c>
      <x:c r="H2345" s="8" t="n">
        <x:v>0</x:v>
      </x:c>
      <x:c r="I2345" s="8" t="n">
        <x:v>0</x:v>
      </x:c>
      <x:c r="J2345" s="8" t="n">
        <x:v>0</x:v>
      </x:c>
      <x:c r="K2345" s="8" t="n">
        <x:v>0</x:v>
      </x:c>
      <x:c r="L2345" s="1" t="str">
        <x:v>Нет</x:v>
      </x:c>
      <x:c r="M2345" s="1" t="n">
        <x:v>0</x:v>
      </x:c>
    </x:row>
    <x:row r="2346">
      <x:c r="A2346" s="1" t="str">
        <x:v>35428810</x:v>
      </x:c>
      <x:c r="B2346" s="1" t="str">
        <x:v>longslivkvadratkorot/черный</x:v>
      </x:c>
      <x:c r="C2346" s="1" t="str">
        <x:v>Лонгсливы</x:v>
      </x:c>
      <x:c r="D2346" s="9" t="n">
        <x:v>8.2</x:v>
      </x:c>
      <x:c r="E2346" s="8" t="n">
        <x:v>11</x:v>
      </x:c>
      <x:c r="F2346" s="8" t="n">
        <x:v>0</x:v>
      </x:c>
      <x:c r="G2346" s="8" t="n">
        <x:v>0</x:v>
      </x:c>
      <x:c r="H2346" s="8" t="n">
        <x:v>0</x:v>
      </x:c>
      <x:c r="I2346" s="8" t="n">
        <x:v>0</x:v>
      </x:c>
      <x:c r="J2346" s="8" t="n">
        <x:v>0</x:v>
      </x:c>
      <x:c r="K2346" s="8" t="n">
        <x:v>0</x:v>
      </x:c>
      <x:c r="L2346" s="1" t="str">
        <x:v>Нет</x:v>
      </x:c>
      <x:c r="M2346" s="1" t="n">
        <x:v>0</x:v>
      </x:c>
    </x:row>
    <x:row r="2347">
      <x:c r="A2347" s="1" t="str">
        <x:v>35429165</x:v>
      </x:c>
      <x:c r="B2347" s="1" t="str">
        <x:v>longslivdecolte/черный</x:v>
      </x:c>
      <x:c r="C2347" s="1" t="str">
        <x:v>Лонгсливы</x:v>
      </x:c>
      <x:c r="D2347" s="9" t="n">
        <x:v>7.7</x:v>
      </x:c>
      <x:c r="E2347" s="8" t="n">
        <x:v>45</x:v>
      </x:c>
      <x:c r="F2347" s="8" t="n">
        <x:v>0</x:v>
      </x:c>
      <x:c r="G2347" s="8" t="n">
        <x:v>0</x:v>
      </x:c>
      <x:c r="H2347" s="8" t="n">
        <x:v>0</x:v>
      </x:c>
      <x:c r="I2347" s="8" t="n">
        <x:v>0</x:v>
      </x:c>
      <x:c r="J2347" s="8" t="n">
        <x:v>0</x:v>
      </x:c>
      <x:c r="K2347" s="8" t="n">
        <x:v>0</x:v>
      </x:c>
      <x:c r="L2347" s="1" t="str">
        <x:v>Нет</x:v>
      </x:c>
      <x:c r="M2347" s="1" t="n">
        <x:v>0</x:v>
      </x:c>
    </x:row>
    <x:row r="2348">
      <x:c r="A2348" s="1" t="str">
        <x:v>35474071</x:v>
      </x:c>
      <x:c r="B2348" s="1" t="str">
        <x:v>bodi/бежевый</x:v>
      </x:c>
      <x:c r="C2348" s="1" t="str">
        <x:v>Блузки-боди</x:v>
      </x:c>
      <x:c r="D2348" s="9" t="n">
        <x:v>6.2</x:v>
      </x:c>
      <x:c r="E2348" s="8" t="n">
        <x:v>13</x:v>
      </x:c>
      <x:c r="F2348" s="8" t="n">
        <x:v>0</x:v>
      </x:c>
      <x:c r="G2348" s="8" t="n">
        <x:v>0</x:v>
      </x:c>
      <x:c r="H2348" s="8" t="n">
        <x:v>0</x:v>
      </x:c>
      <x:c r="I2348" s="8" t="n">
        <x:v>0</x:v>
      </x:c>
      <x:c r="J2348" s="8" t="n">
        <x:v>0</x:v>
      </x:c>
      <x:c r="K2348" s="8" t="n">
        <x:v>0</x:v>
      </x:c>
      <x:c r="L2348" s="1" t="str">
        <x:v>Нет</x:v>
      </x:c>
      <x:c r="M2348" s="1" t="n">
        <x:v>0</x:v>
      </x:c>
    </x:row>
    <x:row r="2349">
      <x:c r="A2349" s="1" t="str">
        <x:v>35475721</x:v>
      </x:c>
      <x:c r="B2349" s="1" t="str">
        <x:v>bodi/красный</x:v>
      </x:c>
      <x:c r="C2349" s="1" t="str">
        <x:v>Блузки-боди</x:v>
      </x:c>
      <x:c r="D2349" s="9" t="n">
        <x:v>6.2</x:v>
      </x:c>
      <x:c r="E2349" s="8" t="n">
        <x:v>12</x:v>
      </x:c>
      <x:c r="F2349" s="8" t="n">
        <x:v>0</x:v>
      </x:c>
      <x:c r="G2349" s="8" t="n">
        <x:v>0</x:v>
      </x:c>
      <x:c r="H2349" s="8" t="n">
        <x:v>0</x:v>
      </x:c>
      <x:c r="I2349" s="8" t="n">
        <x:v>0</x:v>
      </x:c>
      <x:c r="J2349" s="8" t="n">
        <x:v>0</x:v>
      </x:c>
      <x:c r="K2349" s="8" t="n">
        <x:v>0</x:v>
      </x:c>
      <x:c r="L2349" s="1" t="str">
        <x:v>Нет</x:v>
      </x:c>
      <x:c r="M2349" s="1" t="n">
        <x:v>0</x:v>
      </x:c>
    </x:row>
    <x:row r="2350">
      <x:c r="A2350" s="1" t="str">
        <x:v>35655427</x:v>
      </x:c>
      <x:c r="B2350" s="1" t="str">
        <x:v>futbolka_mary/шалфей</x:v>
      </x:c>
      <x:c r="C2350" s="1" t="str">
        <x:v>Футболки</x:v>
      </x:c>
      <x:c r="D2350" s="9" t="n">
        <x:v>7.2</x:v>
      </x:c>
      <x:c r="E2350" s="8" t="n">
        <x:v>14</x:v>
      </x:c>
      <x:c r="F2350" s="8" t="n">
        <x:v>0</x:v>
      </x:c>
      <x:c r="G2350" s="8" t="n">
        <x:v>0</x:v>
      </x:c>
      <x:c r="H2350" s="8" t="n">
        <x:v>0</x:v>
      </x:c>
      <x:c r="I2350" s="8" t="n">
        <x:v>0</x:v>
      </x:c>
      <x:c r="J2350" s="8" t="n">
        <x:v>0</x:v>
      </x:c>
      <x:c r="K2350" s="8" t="n">
        <x:v>0</x:v>
      </x:c>
      <x:c r="L2350" s="1" t="str">
        <x:v>Нет</x:v>
      </x:c>
      <x:c r="M2350" s="1" t="n">
        <x:v>0</x:v>
      </x:c>
    </x:row>
    <x:row r="2351">
      <x:c r="A2351" s="1" t="str">
        <x:v>35655853</x:v>
      </x:c>
      <x:c r="B2351" s="1" t="str">
        <x:v>futbolka_mary/сероваторозовый</x:v>
      </x:c>
      <x:c r="C2351" s="1" t="str">
        <x:v>Футболки</x:v>
      </x:c>
      <x:c r="D2351" s="9" t="n">
        <x:v>5.2</x:v>
      </x:c>
      <x:c r="E2351" s="8" t="n">
        <x:v>10</x:v>
      </x:c>
      <x:c r="F2351" s="8" t="n">
        <x:v>0</x:v>
      </x:c>
      <x:c r="G2351" s="8" t="n">
        <x:v>0</x:v>
      </x:c>
      <x:c r="H2351" s="8" t="n">
        <x:v>0</x:v>
      </x:c>
      <x:c r="I2351" s="8" t="n">
        <x:v>0</x:v>
      </x:c>
      <x:c r="J2351" s="8" t="n">
        <x:v>0</x:v>
      </x:c>
      <x:c r="K2351" s="8" t="n">
        <x:v>0</x:v>
      </x:c>
      <x:c r="L2351" s="1" t="str">
        <x:v>Нет</x:v>
      </x:c>
      <x:c r="M2351" s="1" t="n">
        <x:v>0</x:v>
      </x:c>
    </x:row>
    <x:row r="2352">
      <x:c r="A2352" s="1" t="str">
        <x:v>35656093</x:v>
      </x:c>
      <x:c r="B2352" s="1" t="str">
        <x:v>futbolka_mary/пыльнаямята</x:v>
      </x:c>
      <x:c r="C2352" s="1" t="str">
        <x:v>Футболки</x:v>
      </x:c>
      <x:c r="D2352" s="9" t="n">
        <x:v>7.2</x:v>
      </x:c>
      <x:c r="E2352" s="8" t="n">
        <x:v>91</x:v>
      </x:c>
      <x:c r="F2352" s="8" t="n">
        <x:v>0</x:v>
      </x:c>
      <x:c r="G2352" s="8" t="n">
        <x:v>0</x:v>
      </x:c>
      <x:c r="H2352" s="8" t="n">
        <x:v>0</x:v>
      </x:c>
      <x:c r="I2352" s="8" t="n">
        <x:v>0</x:v>
      </x:c>
      <x:c r="J2352" s="8" t="n">
        <x:v>0</x:v>
      </x:c>
      <x:c r="K2352" s="8" t="n">
        <x:v>0</x:v>
      </x:c>
      <x:c r="L2352" s="1" t="str">
        <x:v>Нет</x:v>
      </x:c>
      <x:c r="M2352" s="1" t="n">
        <x:v>0</x:v>
      </x:c>
    </x:row>
    <x:row r="2353">
      <x:c r="A2353" s="1" t="str">
        <x:v>357013183</x:v>
      </x:c>
      <x:c r="B2353" s="1" t="str">
        <x:v>futhlopmanover/бордовый</x:v>
      </x:c>
      <x:c r="C2353" s="1" t="str">
        <x:v>Футболки</x:v>
      </x:c>
      <x:c r="D2353" s="9" t="n">
        <x:v>8.7</x:v>
      </x:c>
      <x:c r="E2353" s="8" t="n">
        <x:v>19</x:v>
      </x:c>
      <x:c r="F2353" s="8" t="n">
        <x:v>1</x:v>
      </x:c>
      <x:c r="G2353" s="8" t="n">
        <x:v>0</x:v>
      </x:c>
      <x:c r="H2353" s="8" t="n">
        <x:v>0</x:v>
      </x:c>
      <x:c r="I2353" s="8" t="n">
        <x:v>0</x:v>
      </x:c>
      <x:c r="J2353" s="8"/>
      <x:c r="K2353" s="8" t="n">
        <x:v>2500</x:v>
      </x:c>
      <x:c r="L2353" s="1" t="str">
        <x:v>Нет</x:v>
      </x:c>
      <x:c r="M2353" s="1"/>
    </x:row>
    <x:row r="2354">
      <x:c r="A2354" s="1" t="str">
        <x:v>35868415</x:v>
      </x:c>
      <x:c r="B2354" s="1" t="str">
        <x:v>velosipedki/черный</x:v>
      </x:c>
      <x:c r="C2354" s="1" t="str">
        <x:v>Велосипедки</x:v>
      </x:c>
      <x:c r="D2354" s="9" t="n">
        <x:v>0</x:v>
      </x:c>
      <x:c r="E2354" s="8" t="n">
        <x:v>0</x:v>
      </x:c>
      <x:c r="F2354" s="8" t="n">
        <x:v>0</x:v>
      </x:c>
      <x:c r="G2354" s="8" t="n">
        <x:v>0</x:v>
      </x:c>
      <x:c r="H2354" s="8" t="n">
        <x:v>0</x:v>
      </x:c>
      <x:c r="I2354" s="8" t="n">
        <x:v>0</x:v>
      </x:c>
      <x:c r="J2354" s="8" t="n">
        <x:v>0</x:v>
      </x:c>
      <x:c r="K2354" s="8" t="n">
        <x:v>0</x:v>
      </x:c>
      <x:c r="L2354" s="1" t="str">
        <x:v>Да</x:v>
      </x:c>
      <x:c r="M2354" s="1" t="n">
        <x:v>0</x:v>
      </x:c>
    </x:row>
    <x:row r="2355">
      <x:c r="A2355" s="1" t="str">
        <x:v>361823569</x:v>
      </x:c>
      <x:c r="B2355" s="1" t="str">
        <x:v>futhlopman/молочный</x:v>
      </x:c>
      <x:c r="C2355" s="1" t="str">
        <x:v>Футболки</x:v>
      </x:c>
      <x:c r="D2355" s="9" t="n">
        <x:v>8.2</x:v>
      </x:c>
      <x:c r="E2355" s="8" t="n">
        <x:v>0</x:v>
      </x:c>
      <x:c r="F2355" s="8" t="n">
        <x:v>0</x:v>
      </x:c>
      <x:c r="G2355" s="8" t="n">
        <x:v>0</x:v>
      </x:c>
      <x:c r="H2355" s="8" t="n">
        <x:v>430</x:v>
      </x:c>
      <x:c r="I2355" s="8" t="n">
        <x:v>0</x:v>
      </x:c>
      <x:c r="J2355" s="8" t="n">
        <x:v>0</x:v>
      </x:c>
      <x:c r="K2355" s="8" t="n">
        <x:v>0</x:v>
      </x:c>
      <x:c r="L2355" s="1" t="str">
        <x:v>Нет</x:v>
      </x:c>
      <x:c r="M2355" s="1" t="n">
        <x:v>0</x:v>
      </x:c>
    </x:row>
    <x:row r="2356">
      <x:c r="A2356" s="1" t="str">
        <x:v>361828242</x:v>
      </x:c>
      <x:c r="B2356" s="1" t="str">
        <x:v>futbolkahlopboy/черный</x:v>
      </x:c>
      <x:c r="C2356" s="1" t="str">
        <x:v>Футболки</x:v>
      </x:c>
      <x:c r="D2356" s="9" t="n">
        <x:v>5.5</x:v>
      </x:c>
      <x:c r="E2356" s="8" t="n">
        <x:v>0</x:v>
      </x:c>
      <x:c r="F2356" s="8" t="n">
        <x:v>0</x:v>
      </x:c>
      <x:c r="G2356" s="8" t="n">
        <x:v>0</x:v>
      </x:c>
      <x:c r="H2356" s="8" t="n">
        <x:v>0</x:v>
      </x:c>
      <x:c r="I2356" s="8" t="n">
        <x:v>0</x:v>
      </x:c>
      <x:c r="J2356" s="8" t="n">
        <x:v>0</x:v>
      </x:c>
      <x:c r="K2356" s="8" t="n">
        <x:v>0</x:v>
      </x:c>
      <x:c r="L2356" s="1" t="str">
        <x:v>Нет</x:v>
      </x:c>
      <x:c r="M2356" s="1" t="n">
        <x:v>0</x:v>
      </x:c>
    </x:row>
    <x:row r="2357">
      <x:c r="A2357" s="1" t="str">
        <x:v>361844090</x:v>
      </x:c>
      <x:c r="B2357" s="1" t="str">
        <x:v>svitzipprint3P-S-5/Riding-317/коричневый</x:v>
      </x:c>
      <x:c r="C2357" s="1" t="str">
        <x:v>Свитшоты</x:v>
      </x:c>
      <x:c r="D2357" s="9" t="n">
        <x:v>4.7</x:v>
      </x:c>
      <x:c r="E2357" s="8" t="n">
        <x:v>2</x:v>
      </x:c>
      <x:c r="F2357" s="8" t="n">
        <x:v>0</x:v>
      </x:c>
      <x:c r="G2357" s="8" t="n">
        <x:v>0</x:v>
      </x:c>
      <x:c r="H2357" s="8" t="n">
        <x:v>0</x:v>
      </x:c>
      <x:c r="I2357" s="8" t="n">
        <x:v>0</x:v>
      </x:c>
      <x:c r="J2357" s="8"/>
      <x:c r="K2357" s="8" t="n">
        <x:v>0</x:v>
      </x:c>
      <x:c r="L2357" s="1" t="str">
        <x:v>Нет</x:v>
      </x:c>
      <x:c r="M2357" s="1"/>
    </x:row>
    <x:row r="2358">
      <x:c r="A2358" s="1" t="str">
        <x:v>361846364</x:v>
      </x:c>
      <x:c r="B2358" s="1" t="str">
        <x:v>kulirkamanprint/Quiet-320/коричневый</x:v>
      </x:c>
      <x:c r="C2358" s="1" t="str">
        <x:v>Футболки</x:v>
      </x:c>
      <x:c r="D2358" s="9" t="n">
        <x:v>5.7</x:v>
      </x:c>
      <x:c r="E2358" s="8" t="n">
        <x:v>0</x:v>
      </x:c>
      <x:c r="F2358" s="8" t="n">
        <x:v>0</x:v>
      </x:c>
      <x:c r="G2358" s="8" t="n">
        <x:v>0</x:v>
      </x:c>
      <x:c r="H2358" s="8" t="n">
        <x:v>0</x:v>
      </x:c>
      <x:c r="I2358" s="8" t="n">
        <x:v>0</x:v>
      </x:c>
      <x:c r="J2358" s="8" t="n">
        <x:v>0</x:v>
      </x:c>
      <x:c r="K2358" s="8" t="n">
        <x:v>0</x:v>
      </x:c>
      <x:c r="L2358" s="1" t="str">
        <x:v>Нет</x:v>
      </x:c>
      <x:c r="M2358" s="1" t="n">
        <x:v>0</x:v>
      </x:c>
    </x:row>
    <x:row r="2359">
      <x:c r="A2359" s="1" t="str">
        <x:v>368704660</x:v>
      </x:c>
      <x:c r="B2359" s="1" t="str">
        <x:v>futskimsX2/мол-бор</x:v>
      </x:c>
      <x:c r="C2359" s="1" t="str">
        <x:v>Футболки</x:v>
      </x:c>
      <x:c r="D2359" s="9" t="n">
        <x:v>8.4</x:v>
      </x:c>
      <x:c r="E2359" s="8" t="n">
        <x:v>3</x:v>
      </x:c>
      <x:c r="F2359" s="8" t="n">
        <x:v>0</x:v>
      </x:c>
      <x:c r="G2359" s="8" t="n">
        <x:v>0</x:v>
      </x:c>
      <x:c r="H2359" s="8" t="n">
        <x:v>0</x:v>
      </x:c>
      <x:c r="I2359" s="8" t="n">
        <x:v>0</x:v>
      </x:c>
      <x:c r="J2359" s="8"/>
      <x:c r="K2359" s="8" t="n">
        <x:v>0</x:v>
      </x:c>
      <x:c r="L2359" s="1" t="str">
        <x:v>Нет</x:v>
      </x:c>
      <x:c r="M2359" s="1"/>
    </x:row>
    <x:row r="2360">
      <x:c r="A2360" s="1" t="str">
        <x:v>373723680</x:v>
      </x:c>
      <x:c r="B2360" s="1" t="str">
        <x:v>bazakulgirl/графит</x:v>
      </x:c>
      <x:c r="C2360" s="1" t="str">
        <x:v>Футболки</x:v>
      </x:c>
      <x:c r="D2360" s="9" t="n">
        <x:v>9.5</x:v>
      </x:c>
      <x:c r="E2360" s="8" t="n">
        <x:v>932</x:v>
      </x:c>
      <x:c r="F2360" s="8" t="n">
        <x:v>1</x:v>
      </x:c>
      <x:c r="G2360" s="8" t="n">
        <x:v>0</x:v>
      </x:c>
      <x:c r="H2360" s="8" t="n">
        <x:v>50</x:v>
      </x:c>
      <x:c r="I2360" s="8" t="n">
        <x:v>0</x:v>
      </x:c>
      <x:c r="J2360" s="8" t="n">
        <x:v>0</x:v>
      </x:c>
      <x:c r="K2360" s="8" t="n">
        <x:v>620</x:v>
      </x:c>
      <x:c r="L2360" s="1" t="str">
        <x:v>Нет</x:v>
      </x:c>
      <x:c r="M2360" s="1" t="n">
        <x:v>0</x:v>
      </x:c>
    </x:row>
    <x:row r="2361">
      <x:c r="A2361" s="1" t="str">
        <x:v>379285869</x:v>
      </x:c>
      <x:c r="B2361" s="1" t="str">
        <x:v>polovyaz/темно-серый</x:v>
      </x:c>
      <x:c r="C2361" s="1" t="str">
        <x:v>Свитеры</x:v>
      </x:c>
      <x:c r="D2361" s="9" t="n">
        <x:v>8.7</x:v>
      </x:c>
      <x:c r="E2361" s="8" t="n">
        <x:v>4651</x:v>
      </x:c>
      <x:c r="F2361" s="8" t="n">
        <x:v>0</x:v>
      </x:c>
      <x:c r="G2361" s="8" t="n">
        <x:v>0</x:v>
      </x:c>
      <x:c r="H2361" s="8" t="n">
        <x:v>339</x:v>
      </x:c>
      <x:c r="I2361" s="8" t="n">
        <x:v>0</x:v>
      </x:c>
      <x:c r="J2361" s="8" t="n">
        <x:v>0</x:v>
      </x:c>
      <x:c r="K2361" s="8" t="n">
        <x:v>0</x:v>
      </x:c>
      <x:c r="L2361" s="1" t="str">
        <x:v>Нет</x:v>
      </x:c>
      <x:c r="M2361" s="1" t="n">
        <x:v>0</x:v>
      </x:c>
    </x:row>
    <x:row r="2362">
      <x:c r="A2362" s="1" t="str">
        <x:v>379285871</x:v>
      </x:c>
      <x:c r="B2362" s="1" t="str">
        <x:v>polovyaz/черный</x:v>
      </x:c>
      <x:c r="C2362" s="1" t="str">
        <x:v>Свитеры</x:v>
      </x:c>
      <x:c r="D2362" s="9" t="n">
        <x:v>8.7</x:v>
      </x:c>
      <x:c r="E2362" s="8" t="n">
        <x:v>2548</x:v>
      </x:c>
      <x:c r="F2362" s="8" t="n">
        <x:v>2</x:v>
      </x:c>
      <x:c r="G2362" s="8" t="n">
        <x:v>0</x:v>
      </x:c>
      <x:c r="H2362" s="8" t="n">
        <x:v>492</x:v>
      </x:c>
      <x:c r="I2362" s="8" t="n">
        <x:v>0</x:v>
      </x:c>
      <x:c r="J2362" s="8" t="n">
        <x:v>0</x:v>
      </x:c>
      <x:c r="K2362" s="8" t="n">
        <x:v>2850</x:v>
      </x:c>
      <x:c r="L2362" s="1" t="str">
        <x:v>Нет</x:v>
      </x:c>
      <x:c r="M2362" s="1" t="n">
        <x:v>0</x:v>
      </x:c>
    </x:row>
    <x:row r="2363">
      <x:c r="A2363" s="1" t="str">
        <x:v>379285873</x:v>
      </x:c>
      <x:c r="B2363" s="1" t="str">
        <x:v>polovyaz/коричневый</x:v>
      </x:c>
      <x:c r="C2363" s="1" t="str">
        <x:v>Свитеры</x:v>
      </x:c>
      <x:c r="D2363" s="9" t="n">
        <x:v>8.7</x:v>
      </x:c>
      <x:c r="E2363" s="8" t="n">
        <x:v>6203</x:v>
      </x:c>
      <x:c r="F2363" s="8" t="n">
        <x:v>0</x:v>
      </x:c>
      <x:c r="G2363" s="8" t="n">
        <x:v>0</x:v>
      </x:c>
      <x:c r="H2363" s="8" t="n">
        <x:v>337</x:v>
      </x:c>
      <x:c r="I2363" s="8" t="n">
        <x:v>0</x:v>
      </x:c>
      <x:c r="J2363" s="8" t="n">
        <x:v>0</x:v>
      </x:c>
      <x:c r="K2363" s="8" t="n">
        <x:v>0</x:v>
      </x:c>
      <x:c r="L2363" s="1" t="str">
        <x:v>Нет</x:v>
      </x:c>
      <x:c r="M2363" s="1" t="n">
        <x:v>0</x:v>
      </x:c>
    </x:row>
    <x:row r="2364">
      <x:c r="A2364" s="1" t="str">
        <x:v>387341092</x:v>
      </x:c>
      <x:c r="B2364" s="1" t="str">
        <x:v>futskims3K-102/серый</x:v>
      </x:c>
      <x:c r="C2364" s="1" t="str">
        <x:v>Футболки</x:v>
      </x:c>
      <x:c r="D2364" s="9" t="n">
        <x:v>8.4</x:v>
      </x:c>
      <x:c r="E2364" s="8" t="n">
        <x:v>2625</x:v>
      </x:c>
      <x:c r="F2364" s="8" t="n">
        <x:v>1</x:v>
      </x:c>
      <x:c r="G2364" s="8" t="n">
        <x:v>0</x:v>
      </x:c>
      <x:c r="H2364" s="8" t="n">
        <x:v>0</x:v>
      </x:c>
      <x:c r="I2364" s="8" t="n">
        <x:v>0</x:v>
      </x:c>
      <x:c r="J2364" s="8"/>
      <x:c r="K2364" s="8" t="n">
        <x:v>1000</x:v>
      </x:c>
      <x:c r="L2364" s="1" t="str">
        <x:v>Нет</x:v>
      </x:c>
      <x:c r="M2364" s="1"/>
    </x:row>
    <x:row r="2365">
      <x:c r="A2365" s="1" t="str">
        <x:v>388856444</x:v>
      </x:c>
      <x:c r="B2365" s="1" t="str">
        <x:v>svitshotdvoynoy/песочный</x:v>
      </x:c>
      <x:c r="C2365" s="1" t="str">
        <x:v>Свитшоты</x:v>
      </x:c>
      <x:c r="D2365" s="9" t="n">
        <x:v>9</x:v>
      </x:c>
      <x:c r="E2365" s="8" t="n">
        <x:v>0</x:v>
      </x:c>
      <x:c r="F2365" s="8" t="n">
        <x:v>0</x:v>
      </x:c>
      <x:c r="G2365" s="8" t="n">
        <x:v>0</x:v>
      </x:c>
      <x:c r="H2365" s="8" t="n">
        <x:v>13</x:v>
      </x:c>
      <x:c r="I2365" s="8" t="n">
        <x:v>0</x:v>
      </x:c>
      <x:c r="J2365" s="8" t="n">
        <x:v>0</x:v>
      </x:c>
      <x:c r="K2365" s="8" t="n">
        <x:v>0</x:v>
      </x:c>
      <x:c r="L2365" s="1" t="str">
        <x:v>Нет</x:v>
      </x:c>
      <x:c r="M2365" s="1" t="n">
        <x:v>0</x:v>
      </x:c>
    </x:row>
    <x:row r="2366">
      <x:c r="A2366" s="1" t="str">
        <x:v>388856445</x:v>
      </x:c>
      <x:c r="B2366" s="1" t="str">
        <x:v>svitshotdvoynoy/светло-розовый</x:v>
      </x:c>
      <x:c r="C2366" s="1" t="str">
        <x:v>Свитшоты</x:v>
      </x:c>
      <x:c r="D2366" s="9" t="n">
        <x:v>9</x:v>
      </x:c>
      <x:c r="E2366" s="8" t="n">
        <x:v>0</x:v>
      </x:c>
      <x:c r="F2366" s="8" t="n">
        <x:v>0</x:v>
      </x:c>
      <x:c r="G2366" s="8" t="n">
        <x:v>0</x:v>
      </x:c>
      <x:c r="H2366" s="8" t="n">
        <x:v>4</x:v>
      </x:c>
      <x:c r="I2366" s="8" t="n">
        <x:v>0</x:v>
      </x:c>
      <x:c r="J2366" s="8" t="n">
        <x:v>0</x:v>
      </x:c>
      <x:c r="K2366" s="8" t="n">
        <x:v>0</x:v>
      </x:c>
      <x:c r="L2366" s="1" t="str">
        <x:v>Нет</x:v>
      </x:c>
      <x:c r="M2366" s="1" t="n">
        <x:v>0</x:v>
      </x:c>
    </x:row>
    <x:row r="2367">
      <x:c r="A2367" s="1" t="str">
        <x:v>391171534</x:v>
      </x:c>
      <x:c r="B2367" s="1" t="str">
        <x:v>brukizshp3P-S-1bk/молочный</x:v>
      </x:c>
      <x:c r="C2367" s="1" t="str">
        <x:v>Брюки</x:v>
      </x:c>
      <x:c r="D2367" s="9" t="n">
        <x:v>8.4</x:v>
      </x:c>
      <x:c r="E2367" s="8" t="n">
        <x:v>0</x:v>
      </x:c>
      <x:c r="F2367" s="8" t="n">
        <x:v>0</x:v>
      </x:c>
      <x:c r="G2367" s="8" t="n">
        <x:v>0</x:v>
      </x:c>
      <x:c r="H2367" s="8" t="n">
        <x:v>66</x:v>
      </x:c>
      <x:c r="I2367" s="8" t="n">
        <x:v>0</x:v>
      </x:c>
      <x:c r="J2367" s="8" t="n">
        <x:v>0</x:v>
      </x:c>
      <x:c r="K2367" s="8" t="n">
        <x:v>0</x:v>
      </x:c>
      <x:c r="L2367" s="1" t="str">
        <x:v>Нет</x:v>
      </x:c>
      <x:c r="M2367" s="1" t="n">
        <x:v>0</x:v>
      </x:c>
    </x:row>
    <x:row r="2368">
      <x:c r="A2368" s="1" t="str">
        <x:v>391171535</x:v>
      </x:c>
      <x:c r="B2368" s="1" t="str">
        <x:v>brukizshp3P-S-1bk/коричневый</x:v>
      </x:c>
      <x:c r="C2368" s="1" t="str">
        <x:v>Брюки</x:v>
      </x:c>
      <x:c r="D2368" s="9" t="n">
        <x:v>8.4</x:v>
      </x:c>
      <x:c r="E2368" s="8" t="n">
        <x:v>0</x:v>
      </x:c>
      <x:c r="F2368" s="8" t="n">
        <x:v>0</x:v>
      </x:c>
      <x:c r="G2368" s="8" t="n">
        <x:v>0</x:v>
      </x:c>
      <x:c r="H2368" s="8" t="n">
        <x:v>34</x:v>
      </x:c>
      <x:c r="I2368" s="8" t="n">
        <x:v>0</x:v>
      </x:c>
      <x:c r="J2368" s="8" t="n">
        <x:v>0</x:v>
      </x:c>
      <x:c r="K2368" s="8" t="n">
        <x:v>0</x:v>
      </x:c>
      <x:c r="L2368" s="1" t="str">
        <x:v>Нет</x:v>
      </x:c>
      <x:c r="M2368" s="1" t="n">
        <x:v>0</x:v>
      </x:c>
    </x:row>
    <x:row r="2369">
      <x:c r="A2369" s="1" t="str">
        <x:v>391548467</x:v>
      </x:c>
      <x:c r="B2369" s="1" t="str">
        <x:v>shtanyfixbk/светло-розовый</x:v>
      </x:c>
      <x:c r="C2369" s="1" t="str">
        <x:v>Брюки</x:v>
      </x:c>
      <x:c r="D2369" s="9" t="n">
        <x:v>8.2</x:v>
      </x:c>
      <x:c r="E2369" s="8" t="n">
        <x:v>0</x:v>
      </x:c>
      <x:c r="F2369" s="8" t="n">
        <x:v>0</x:v>
      </x:c>
      <x:c r="G2369" s="8" t="n">
        <x:v>0</x:v>
      </x:c>
      <x:c r="H2369" s="8" t="n">
        <x:v>46</x:v>
      </x:c>
      <x:c r="I2369" s="8" t="n">
        <x:v>0</x:v>
      </x:c>
      <x:c r="J2369" s="8" t="n">
        <x:v>0</x:v>
      </x:c>
      <x:c r="K2369" s="8" t="n">
        <x:v>0</x:v>
      </x:c>
      <x:c r="L2369" s="1" t="str">
        <x:v>Нет</x:v>
      </x:c>
      <x:c r="M2369" s="1" t="n">
        <x:v>0</x:v>
      </x:c>
    </x:row>
    <x:row r="2370">
      <x:c r="A2370" s="1" t="str">
        <x:v>391632067</x:v>
      </x:c>
      <x:c r="B2370" s="1" t="str">
        <x:v>kostyumfix3P-37-63bk/черный</x:v>
      </x:c>
      <x:c r="C2370" s="1" t="str">
        <x:v>Костюмы спортивные</x:v>
      </x:c>
      <x:c r="D2370" s="9" t="n">
        <x:v>8.7</x:v>
      </x:c>
      <x:c r="E2370" s="8" t="n">
        <x:v>0</x:v>
      </x:c>
      <x:c r="F2370" s="8" t="n">
        <x:v>0</x:v>
      </x:c>
      <x:c r="G2370" s="8" t="n">
        <x:v>0</x:v>
      </x:c>
      <x:c r="H2370" s="8" t="n">
        <x:v>172</x:v>
      </x:c>
      <x:c r="I2370" s="8" t="n">
        <x:v>0</x:v>
      </x:c>
      <x:c r="J2370" s="8" t="n">
        <x:v>0</x:v>
      </x:c>
      <x:c r="K2370" s="8" t="n">
        <x:v>0</x:v>
      </x:c>
      <x:c r="L2370" s="1" t="str">
        <x:v>Нет</x:v>
      </x:c>
      <x:c r="M2370" s="1" t="n">
        <x:v>0</x:v>
      </x:c>
    </x:row>
    <x:row r="2371">
      <x:c r="A2371" s="1" t="str">
        <x:v>391637260</x:v>
      </x:c>
      <x:c r="B2371" s="1" t="str">
        <x:v>kostyumfix3P-37-63bk/темно-серый</x:v>
      </x:c>
      <x:c r="C2371" s="1" t="str">
        <x:v>Костюмы спортивные</x:v>
      </x:c>
      <x:c r="D2371" s="9" t="n">
        <x:v>6.7</x:v>
      </x:c>
      <x:c r="E2371" s="8" t="n">
        <x:v>0</x:v>
      </x:c>
      <x:c r="F2371" s="8" t="n">
        <x:v>0</x:v>
      </x:c>
      <x:c r="G2371" s="8" t="n">
        <x:v>0</x:v>
      </x:c>
      <x:c r="H2371" s="8" t="n">
        <x:v>8</x:v>
      </x:c>
      <x:c r="I2371" s="8" t="n">
        <x:v>0</x:v>
      </x:c>
      <x:c r="J2371" s="8" t="n">
        <x:v>0</x:v>
      </x:c>
      <x:c r="K2371" s="8" t="n">
        <x:v>0</x:v>
      </x:c>
      <x:c r="L2371" s="1" t="str">
        <x:v>Нет</x:v>
      </x:c>
      <x:c r="M2371" s="1" t="n">
        <x:v>0</x:v>
      </x:c>
    </x:row>
    <x:row r="2372">
      <x:c r="A2372" s="1" t="str">
        <x:v>391637261</x:v>
      </x:c>
      <x:c r="B2372" s="1" t="str">
        <x:v>kostyumfix3P-37-63bk/светло-розовый</x:v>
      </x:c>
      <x:c r="C2372" s="1" t="str">
        <x:v>Костюмы спортивные</x:v>
      </x:c>
      <x:c r="D2372" s="9" t="n">
        <x:v>6.7</x:v>
      </x:c>
      <x:c r="E2372" s="8" t="n">
        <x:v>927</x:v>
      </x:c>
      <x:c r="F2372" s="8" t="n">
        <x:v>1</x:v>
      </x:c>
      <x:c r="G2372" s="8" t="n">
        <x:v>0</x:v>
      </x:c>
      <x:c r="H2372" s="8" t="n">
        <x:v>260</x:v>
      </x:c>
      <x:c r="I2372" s="8" t="n">
        <x:v>0</x:v>
      </x:c>
      <x:c r="J2372" s="8" t="n">
        <x:v>0</x:v>
      </x:c>
      <x:c r="K2372" s="8" t="n">
        <x:v>2500</x:v>
      </x:c>
      <x:c r="L2372" s="1" t="str">
        <x:v>Нет</x:v>
      </x:c>
      <x:c r="M2372" s="1" t="n">
        <x:v>0</x:v>
      </x:c>
    </x:row>
    <x:row r="2373">
      <x:c r="A2373" s="1" t="str">
        <x:v>391637265</x:v>
      </x:c>
      <x:c r="B2373" s="1" t="str">
        <x:v>kostyumfix3P-37-63bk/бордовый</x:v>
      </x:c>
      <x:c r="C2373" s="1" t="str">
        <x:v>Костюмы спортивные</x:v>
      </x:c>
      <x:c r="D2373" s="9" t="n">
        <x:v>6.7</x:v>
      </x:c>
      <x:c r="E2373" s="8" t="n">
        <x:v>0</x:v>
      </x:c>
      <x:c r="F2373" s="8" t="n">
        <x:v>0</x:v>
      </x:c>
      <x:c r="G2373" s="8" t="n">
        <x:v>0</x:v>
      </x:c>
      <x:c r="H2373" s="8" t="n">
        <x:v>455</x:v>
      </x:c>
      <x:c r="I2373" s="8" t="n">
        <x:v>0</x:v>
      </x:c>
      <x:c r="J2373" s="8" t="n">
        <x:v>0</x:v>
      </x:c>
      <x:c r="K2373" s="8" t="n">
        <x:v>0</x:v>
      </x:c>
      <x:c r="L2373" s="1" t="str">
        <x:v>Нет</x:v>
      </x:c>
      <x:c r="M2373" s="1" t="n">
        <x:v>0</x:v>
      </x:c>
    </x:row>
    <x:row r="2374">
      <x:c r="A2374" s="1" t="str">
        <x:v>391662210</x:v>
      </x:c>
      <x:c r="B2374" s="1" t="str">
        <x:v>palazzoshnurokbk/светло-розовый</x:v>
      </x:c>
      <x:c r="C2374" s="1" t="str">
        <x:v>Брюки</x:v>
      </x:c>
      <x:c r="D2374" s="9" t="n">
        <x:v>8.7</x:v>
      </x:c>
      <x:c r="E2374" s="8" t="n">
        <x:v>0</x:v>
      </x:c>
      <x:c r="F2374" s="8" t="n">
        <x:v>0</x:v>
      </x:c>
      <x:c r="G2374" s="8" t="n">
        <x:v>0</x:v>
      </x:c>
      <x:c r="H2374" s="8" t="n">
        <x:v>145</x:v>
      </x:c>
      <x:c r="I2374" s="8" t="n">
        <x:v>0</x:v>
      </x:c>
      <x:c r="J2374" s="8" t="n">
        <x:v>0</x:v>
      </x:c>
      <x:c r="K2374" s="8" t="n">
        <x:v>0</x:v>
      </x:c>
      <x:c r="L2374" s="1" t="str">
        <x:v>Нет</x:v>
      </x:c>
      <x:c r="M2374" s="1" t="n">
        <x:v>0</x:v>
      </x:c>
    </x:row>
    <x:row r="2375">
      <x:c r="A2375" s="1" t="str">
        <x:v>391830384</x:v>
      </x:c>
      <x:c r="B2375" s="1" t="str">
        <x:v>shortymanbk/изумрудно-зеленый</x:v>
      </x:c>
      <x:c r="C2375" s="1" t="str">
        <x:v>Шорты</x:v>
      </x:c>
      <x:c r="D2375" s="9" t="n">
        <x:v>6.2</x:v>
      </x:c>
      <x:c r="E2375" s="8" t="n">
        <x:v>0</x:v>
      </x:c>
      <x:c r="F2375" s="8" t="n">
        <x:v>0</x:v>
      </x:c>
      <x:c r="G2375" s="8" t="n">
        <x:v>0</x:v>
      </x:c>
      <x:c r="H2375" s="8" t="n">
        <x:v>203</x:v>
      </x:c>
      <x:c r="I2375" s="8" t="n">
        <x:v>0</x:v>
      </x:c>
      <x:c r="J2375" s="8" t="n">
        <x:v>0</x:v>
      </x:c>
      <x:c r="K2375" s="8" t="n">
        <x:v>0</x:v>
      </x:c>
      <x:c r="L2375" s="1" t="str">
        <x:v>Нет</x:v>
      </x:c>
      <x:c r="M2375" s="1" t="n">
        <x:v>0</x:v>
      </x:c>
    </x:row>
    <x:row r="2376">
      <x:c r="A2376" s="1" t="str">
        <x:v>391845492</x:v>
      </x:c>
      <x:c r="B2376" s="1" t="str">
        <x:v>hudimanpetlbk/коричневый</x:v>
      </x:c>
      <x:c r="C2376" s="1" t="str">
        <x:v>Худи</x:v>
      </x:c>
      <x:c r="D2376" s="9" t="n">
        <x:v>8.7</x:v>
      </x:c>
      <x:c r="E2376" s="8" t="n">
        <x:v>0</x:v>
      </x:c>
      <x:c r="F2376" s="8" t="n">
        <x:v>0</x:v>
      </x:c>
      <x:c r="G2376" s="8" t="n">
        <x:v>0</x:v>
      </x:c>
      <x:c r="H2376" s="8" t="n">
        <x:v>314</x:v>
      </x:c>
      <x:c r="I2376" s="8" t="n">
        <x:v>0</x:v>
      </x:c>
      <x:c r="J2376" s="8" t="n">
        <x:v>0</x:v>
      </x:c>
      <x:c r="K2376" s="8" t="n">
        <x:v>0</x:v>
      </x:c>
      <x:c r="L2376" s="1" t="str">
        <x:v>Нет</x:v>
      </x:c>
      <x:c r="M2376" s="1" t="n">
        <x:v>0</x:v>
      </x:c>
    </x:row>
    <x:row r="2377">
      <x:c r="A2377" s="1" t="str">
        <x:v>391924031</x:v>
      </x:c>
      <x:c r="B2377" s="1" t="str">
        <x:v>hudipetlbk/светло-розовый</x:v>
      </x:c>
      <x:c r="C2377" s="1" t="str">
        <x:v>Худи</x:v>
      </x:c>
      <x:c r="D2377" s="9" t="n">
        <x:v>8.7</x:v>
      </x:c>
      <x:c r="E2377" s="8" t="n">
        <x:v>0</x:v>
      </x:c>
      <x:c r="F2377" s="8" t="n">
        <x:v>0</x:v>
      </x:c>
      <x:c r="G2377" s="8" t="n">
        <x:v>0</x:v>
      </x:c>
      <x:c r="H2377" s="8" t="n">
        <x:v>380</x:v>
      </x:c>
      <x:c r="I2377" s="8" t="n">
        <x:v>0</x:v>
      </x:c>
      <x:c r="J2377" s="8" t="n">
        <x:v>0</x:v>
      </x:c>
      <x:c r="K2377" s="8" t="n">
        <x:v>0</x:v>
      </x:c>
      <x:c r="L2377" s="1" t="str">
        <x:v>Нет</x:v>
      </x:c>
      <x:c r="M2377" s="1" t="n">
        <x:v>0</x:v>
      </x:c>
    </x:row>
    <x:row r="2378">
      <x:c r="A2378" s="1" t="str">
        <x:v>391924049</x:v>
      </x:c>
      <x:c r="B2378" s="1" t="str">
        <x:v>hudipetlbk/бордовый</x:v>
      </x:c>
      <x:c r="C2378" s="1" t="str">
        <x:v>Худи</x:v>
      </x:c>
      <x:c r="D2378" s="9" t="n">
        <x:v>8.7</x:v>
      </x:c>
      <x:c r="E2378" s="8" t="n">
        <x:v>0</x:v>
      </x:c>
      <x:c r="F2378" s="8" t="n">
        <x:v>0</x:v>
      </x:c>
      <x:c r="G2378" s="8" t="n">
        <x:v>0</x:v>
      </x:c>
      <x:c r="H2378" s="8" t="n">
        <x:v>47</x:v>
      </x:c>
      <x:c r="I2378" s="8" t="n">
        <x:v>0</x:v>
      </x:c>
      <x:c r="J2378" s="8" t="n">
        <x:v>0</x:v>
      </x:c>
      <x:c r="K2378" s="8" t="n">
        <x:v>0</x:v>
      </x:c>
      <x:c r="L2378" s="1" t="str">
        <x:v>Нет</x:v>
      </x:c>
      <x:c r="M2378" s="1" t="n">
        <x:v>0</x:v>
      </x:c>
    </x:row>
    <x:row r="2379">
      <x:c r="A2379" s="1" t="str">
        <x:v>397421106</x:v>
      </x:c>
      <x:c r="B2379" s="1" t="str">
        <x:v>kostyumfix3P-37-63bk/сливочный</x:v>
      </x:c>
      <x:c r="C2379" s="1" t="str">
        <x:v>Костюмы спортивные</x:v>
      </x:c>
      <x:c r="D2379" s="9" t="n">
        <x:v>4.7</x:v>
      </x:c>
      <x:c r="E2379" s="8" t="n">
        <x:v>2</x:v>
      </x:c>
      <x:c r="F2379" s="8" t="n">
        <x:v>0</x:v>
      </x:c>
      <x:c r="G2379" s="8" t="n">
        <x:v>0</x:v>
      </x:c>
      <x:c r="H2379" s="8" t="n">
        <x:v>0</x:v>
      </x:c>
      <x:c r="I2379" s="8" t="n">
        <x:v>0</x:v>
      </x:c>
      <x:c r="J2379" s="8"/>
      <x:c r="K2379" s="8" t="n">
        <x:v>0</x:v>
      </x:c>
      <x:c r="L2379" s="1" t="str">
        <x:v>Нет</x:v>
      </x:c>
      <x:c r="M2379" s="1"/>
    </x:row>
    <x:row r="2380">
      <x:c r="A2380" s="1" t="str">
        <x:v>397426515</x:v>
      </x:c>
      <x:c r="B2380" s="1" t="str">
        <x:v>tolstovkazip3P-70bk/сливочный</x:v>
      </x:c>
      <x:c r="C2380" s="1" t="str">
        <x:v>Худи</x:v>
      </x:c>
      <x:c r="D2380" s="9" t="n">
        <x:v>4.7</x:v>
      </x:c>
      <x:c r="E2380" s="8" t="n">
        <x:v>3</x:v>
      </x:c>
      <x:c r="F2380" s="8" t="n">
        <x:v>0</x:v>
      </x:c>
      <x:c r="G2380" s="8" t="n">
        <x:v>0</x:v>
      </x:c>
      <x:c r="H2380" s="8" t="n">
        <x:v>0</x:v>
      </x:c>
      <x:c r="I2380" s="8" t="n">
        <x:v>0</x:v>
      </x:c>
      <x:c r="J2380" s="8"/>
      <x:c r="K2380" s="8" t="n">
        <x:v>0</x:v>
      </x:c>
      <x:c r="L2380" s="1" t="str">
        <x:v>Нет</x:v>
      </x:c>
      <x:c r="M2380" s="1"/>
    </x:row>
    <x:row r="2381">
      <x:c r="A2381" s="1" t="str">
        <x:v>397458537</x:v>
      </x:c>
      <x:c r="B2381" s="1" t="str">
        <x:v>bazakulboy/черный</x:v>
      </x:c>
      <x:c r="C2381" s="1" t="str">
        <x:v>Футболки</x:v>
      </x:c>
      <x:c r="D2381" s="9" t="n">
        <x:v>9.5</x:v>
      </x:c>
      <x:c r="E2381" s="8" t="n">
        <x:v>0</x:v>
      </x:c>
      <x:c r="F2381" s="8" t="n">
        <x:v>0</x:v>
      </x:c>
      <x:c r="G2381" s="8" t="n">
        <x:v>0</x:v>
      </x:c>
      <x:c r="H2381" s="8" t="n">
        <x:v>51</x:v>
      </x:c>
      <x:c r="I2381" s="8" t="n">
        <x:v>0</x:v>
      </x:c>
      <x:c r="J2381" s="8" t="n">
        <x:v>0</x:v>
      </x:c>
      <x:c r="K2381" s="8" t="n">
        <x:v>0</x:v>
      </x:c>
      <x:c r="L2381" s="1" t="str">
        <x:v>Нет</x:v>
      </x:c>
      <x:c r="M2381" s="1" t="n">
        <x:v>0</x:v>
      </x:c>
    </x:row>
    <x:row r="2382">
      <x:c r="A2382" s="1" t="str">
        <x:v>400323887</x:v>
      </x:c>
      <x:c r="B2382" s="1" t="str">
        <x:v>hudimanpetlbk/бордовый</x:v>
      </x:c>
      <x:c r="C2382" s="1" t="str">
        <x:v>Худи</x:v>
      </x:c>
      <x:c r="D2382" s="9" t="n">
        <x:v>8.7</x:v>
      </x:c>
      <x:c r="E2382" s="8" t="n">
        <x:v>12</x:v>
      </x:c>
      <x:c r="F2382" s="8" t="n">
        <x:v>0</x:v>
      </x:c>
      <x:c r="G2382" s="8" t="n">
        <x:v>0</x:v>
      </x:c>
      <x:c r="H2382" s="8" t="n">
        <x:v>0</x:v>
      </x:c>
      <x:c r="I2382" s="8" t="n">
        <x:v>0</x:v>
      </x:c>
      <x:c r="J2382" s="8"/>
      <x:c r="K2382" s="8" t="n">
        <x:v>0</x:v>
      </x:c>
      <x:c r="L2382" s="1" t="str">
        <x:v>Нет</x:v>
      </x:c>
      <x:c r="M2382" s="1"/>
    </x:row>
    <x:row r="2383">
      <x:c r="A2383" s="1" t="str">
        <x:v>400375600</x:v>
      </x:c>
      <x:c r="B2383" s="1" t="str">
        <x:v>kostyumfix3P-37-63bk/серый</x:v>
      </x:c>
      <x:c r="C2383" s="1" t="str">
        <x:v>Костюмы спортивные</x:v>
      </x:c>
      <x:c r="D2383" s="9" t="n">
        <x:v>8.7</x:v>
      </x:c>
      <x:c r="E2383" s="8" t="n">
        <x:v>0</x:v>
      </x:c>
      <x:c r="F2383" s="8" t="n">
        <x:v>0</x:v>
      </x:c>
      <x:c r="G2383" s="8" t="n">
        <x:v>0</x:v>
      </x:c>
      <x:c r="H2383" s="8" t="n">
        <x:v>362</x:v>
      </x:c>
      <x:c r="I2383" s="8" t="n">
        <x:v>0</x:v>
      </x:c>
      <x:c r="J2383" s="8" t="n">
        <x:v>0</x:v>
      </x:c>
      <x:c r="K2383" s="8" t="n">
        <x:v>0</x:v>
      </x:c>
      <x:c r="L2383" s="1" t="str">
        <x:v>Нет</x:v>
      </x:c>
      <x:c r="M2383" s="1" t="n">
        <x:v>0</x:v>
      </x:c>
    </x:row>
    <x:row r="2384">
      <x:c r="A2384" s="1" t="str">
        <x:v>400375602</x:v>
      </x:c>
      <x:c r="B2384" s="1" t="str">
        <x:v>kostyumfix3P-37-63bk/молочный</x:v>
      </x:c>
      <x:c r="C2384" s="1" t="str">
        <x:v>Костюмы спортивные</x:v>
      </x:c>
      <x:c r="D2384" s="9" t="n">
        <x:v>8.7</x:v>
      </x:c>
      <x:c r="E2384" s="8" t="n">
        <x:v>0</x:v>
      </x:c>
      <x:c r="F2384" s="8" t="n">
        <x:v>0</x:v>
      </x:c>
      <x:c r="G2384" s="8" t="n">
        <x:v>0</x:v>
      </x:c>
      <x:c r="H2384" s="8" t="n">
        <x:v>1</x:v>
      </x:c>
      <x:c r="I2384" s="8" t="n">
        <x:v>0</x:v>
      </x:c>
      <x:c r="J2384" s="8" t="n">
        <x:v>0</x:v>
      </x:c>
      <x:c r="K2384" s="8" t="n">
        <x:v>0</x:v>
      </x:c>
      <x:c r="L2384" s="1" t="str">
        <x:v>Нет</x:v>
      </x:c>
      <x:c r="M2384" s="1" t="n">
        <x:v>0</x:v>
      </x:c>
    </x:row>
    <x:row r="2385">
      <x:c r="A2385" s="1" t="str">
        <x:v>400478014</x:v>
      </x:c>
      <x:c r="B2385" s="1" t="str">
        <x:v>tolstovkazip3P-70bk/сливочный</x:v>
      </x:c>
      <x:c r="C2385" s="1" t="str">
        <x:v>Худи</x:v>
      </x:c>
      <x:c r="D2385" s="9" t="n">
        <x:v>4.7</x:v>
      </x:c>
      <x:c r="E2385" s="8" t="n">
        <x:v>1</x:v>
      </x:c>
      <x:c r="F2385" s="8" t="n">
        <x:v>0</x:v>
      </x:c>
      <x:c r="G2385" s="8" t="n">
        <x:v>0</x:v>
      </x:c>
      <x:c r="H2385" s="8" t="n">
        <x:v>0</x:v>
      </x:c>
      <x:c r="I2385" s="8" t="n">
        <x:v>0</x:v>
      </x:c>
      <x:c r="J2385" s="8"/>
      <x:c r="K2385" s="8" t="n">
        <x:v>0</x:v>
      </x:c>
      <x:c r="L2385" s="1" t="str">
        <x:v>Да</x:v>
      </x:c>
      <x:c r="M2385" s="1"/>
    </x:row>
    <x:row r="2386">
      <x:c r="A2386" s="1" t="str">
        <x:v>402603181</x:v>
      </x:c>
      <x:c r="B2386" s="1" t="str">
        <x:v>futbolka_mary/кофейный</x:v>
      </x:c>
      <x:c r="C2386" s="1" t="str">
        <x:v>Футболки</x:v>
      </x:c>
      <x:c r="D2386" s="9" t="n">
        <x:v>7.2</x:v>
      </x:c>
      <x:c r="E2386" s="8" t="n">
        <x:v>0</x:v>
      </x:c>
      <x:c r="F2386" s="8" t="n">
        <x:v>0</x:v>
      </x:c>
      <x:c r="G2386" s="8" t="n">
        <x:v>0</x:v>
      </x:c>
      <x:c r="H2386" s="8" t="n">
        <x:v>2</x:v>
      </x:c>
      <x:c r="I2386" s="8" t="n">
        <x:v>0</x:v>
      </x:c>
      <x:c r="J2386" s="8" t="n">
        <x:v>0</x:v>
      </x:c>
      <x:c r="K2386" s="8" t="n">
        <x:v>0</x:v>
      </x:c>
      <x:c r="L2386" s="1" t="str">
        <x:v>Нет</x:v>
      </x:c>
      <x:c r="M2386" s="1" t="n">
        <x:v>0</x:v>
      </x:c>
    </x:row>
    <x:row r="2387">
      <x:c r="A2387" s="1" t="str">
        <x:v>40806200</x:v>
      </x:c>
      <x:c r="B2387" s="1" t="str">
        <x:v>longslivdlinna/белый</x:v>
      </x:c>
      <x:c r="C2387" s="1" t="str">
        <x:v>Лонгсливы</x:v>
      </x:c>
      <x:c r="D2387" s="9" t="n">
        <x:v>5.2</x:v>
      </x:c>
      <x:c r="E2387" s="8" t="n">
        <x:v>197</x:v>
      </x:c>
      <x:c r="F2387" s="8" t="n">
        <x:v>0</x:v>
      </x:c>
      <x:c r="G2387" s="8" t="n">
        <x:v>0</x:v>
      </x:c>
      <x:c r="H2387" s="8" t="n">
        <x:v>1</x:v>
      </x:c>
      <x:c r="I2387" s="8" t="n">
        <x:v>0</x:v>
      </x:c>
      <x:c r="J2387" s="8" t="n">
        <x:v>1</x:v>
      </x:c>
      <x:c r="K2387" s="8" t="n">
        <x:v>0</x:v>
      </x:c>
      <x:c r="L2387" s="1" t="str">
        <x:v>Нет</x:v>
      </x:c>
      <x:c r="M2387" s="1" t="n">
        <x:v>1350</x:v>
      </x:c>
    </x:row>
    <x:row r="2388">
      <x:c r="A2388" s="1" t="str">
        <x:v>40806202</x:v>
      </x:c>
      <x:c r="B2388" s="1" t="str">
        <x:v>longslivdlinna/бежевый</x:v>
      </x:c>
      <x:c r="C2388" s="1" t="str">
        <x:v>Лонгсливы</x:v>
      </x:c>
      <x:c r="D2388" s="9" t="n">
        <x:v>5.2</x:v>
      </x:c>
      <x:c r="E2388" s="8" t="n">
        <x:v>896</x:v>
      </x:c>
      <x:c r="F2388" s="8" t="n">
        <x:v>4</x:v>
      </x:c>
      <x:c r="G2388" s="8" t="n">
        <x:v>0</x:v>
      </x:c>
      <x:c r="H2388" s="8" t="n">
        <x:v>1</x:v>
      </x:c>
      <x:c r="I2388" s="8" t="n">
        <x:v>0</x:v>
      </x:c>
      <x:c r="J2388" s="8" t="n">
        <x:v>5</x:v>
      </x:c>
      <x:c r="K2388" s="8" t="n">
        <x:v>1150</x:v>
      </x:c>
      <x:c r="L2388" s="1" t="str">
        <x:v>Нет</x:v>
      </x:c>
      <x:c r="M2388" s="1" t="n">
        <x:v>0</x:v>
      </x:c>
    </x:row>
    <x:row r="2389">
      <x:c r="A2389" s="1" t="str">
        <x:v>41477883</x:v>
      </x:c>
      <x:c r="B2389" s="1" t="str">
        <x:v>longslivkvadrat/бежевый</x:v>
      </x:c>
      <x:c r="C2389" s="1" t="str">
        <x:v>Лонгсливы</x:v>
      </x:c>
      <x:c r="D2389" s="9" t="n">
        <x:v>5.2</x:v>
      </x:c>
      <x:c r="E2389" s="8" t="n">
        <x:v>20</x:v>
      </x:c>
      <x:c r="F2389" s="8" t="n">
        <x:v>0</x:v>
      </x:c>
      <x:c r="G2389" s="8" t="n">
        <x:v>0</x:v>
      </x:c>
      <x:c r="H2389" s="8" t="n">
        <x:v>0</x:v>
      </x:c>
      <x:c r="I2389" s="8" t="n">
        <x:v>0</x:v>
      </x:c>
      <x:c r="J2389" s="8" t="n">
        <x:v>0</x:v>
      </x:c>
      <x:c r="K2389" s="8" t="n">
        <x:v>0</x:v>
      </x:c>
      <x:c r="L2389" s="1" t="str">
        <x:v>Нет</x:v>
      </x:c>
      <x:c r="M2389" s="1" t="n">
        <x:v>0</x:v>
      </x:c>
    </x:row>
    <x:row r="2390">
      <x:c r="A2390" s="1" t="str">
        <x:v>41478136</x:v>
      </x:c>
      <x:c r="B2390" s="1" t="str">
        <x:v>longslivkvadrat/белый</x:v>
      </x:c>
      <x:c r="C2390" s="1" t="str">
        <x:v>Лонгсливы</x:v>
      </x:c>
      <x:c r="D2390" s="9" t="n">
        <x:v>4.2</x:v>
      </x:c>
      <x:c r="E2390" s="8" t="n">
        <x:v>5</x:v>
      </x:c>
      <x:c r="F2390" s="8" t="n">
        <x:v>0</x:v>
      </x:c>
      <x:c r="G2390" s="8" t="n">
        <x:v>0</x:v>
      </x:c>
      <x:c r="H2390" s="8" t="n">
        <x:v>0</x:v>
      </x:c>
      <x:c r="I2390" s="8" t="n">
        <x:v>0</x:v>
      </x:c>
      <x:c r="J2390" s="8" t="n">
        <x:v>0</x:v>
      </x:c>
      <x:c r="K2390" s="8" t="n">
        <x:v>0</x:v>
      </x:c>
      <x:c r="L2390" s="1" t="str">
        <x:v>Нет</x:v>
      </x:c>
      <x:c r="M2390" s="1" t="n">
        <x:v>0</x:v>
      </x:c>
    </x:row>
    <x:row r="2391">
      <x:c r="A2391" s="1" t="str">
        <x:v>41478631</x:v>
      </x:c>
      <x:c r="B2391" s="1" t="str">
        <x:v>longslivkvadrat/красный</x:v>
      </x:c>
      <x:c r="C2391" s="1" t="str">
        <x:v>Лонгсливы</x:v>
      </x:c>
      <x:c r="D2391" s="9" t="n">
        <x:v>5.2</x:v>
      </x:c>
      <x:c r="E2391" s="8" t="n">
        <x:v>13</x:v>
      </x:c>
      <x:c r="F2391" s="8" t="n">
        <x:v>0</x:v>
      </x:c>
      <x:c r="G2391" s="8" t="n">
        <x:v>0</x:v>
      </x:c>
      <x:c r="H2391" s="8" t="n">
        <x:v>0</x:v>
      </x:c>
      <x:c r="I2391" s="8" t="n">
        <x:v>0</x:v>
      </x:c>
      <x:c r="J2391" s="8" t="n">
        <x:v>4</x:v>
      </x:c>
      <x:c r="K2391" s="8" t="n">
        <x:v>0</x:v>
      </x:c>
      <x:c r="L2391" s="1" t="str">
        <x:v>Нет</x:v>
      </x:c>
      <x:c r="M2391" s="1" t="n">
        <x:v>1100</x:v>
      </x:c>
    </x:row>
    <x:row r="2392">
      <x:c r="A2392" s="1" t="str">
        <x:v>41479103</x:v>
      </x:c>
      <x:c r="B2392" s="1" t="str">
        <x:v>longslivkvadrat/пудровый</x:v>
      </x:c>
      <x:c r="C2392" s="1" t="str">
        <x:v>Лонгсливы</x:v>
      </x:c>
      <x:c r="D2392" s="9" t="n">
        <x:v>5.2</x:v>
      </x:c>
      <x:c r="E2392" s="8" t="n">
        <x:v>122</x:v>
      </x:c>
      <x:c r="F2392" s="8" t="n">
        <x:v>3</x:v>
      </x:c>
      <x:c r="G2392" s="8" t="n">
        <x:v>0</x:v>
      </x:c>
      <x:c r="H2392" s="8" t="n">
        <x:v>0</x:v>
      </x:c>
      <x:c r="I2392" s="8" t="n">
        <x:v>0</x:v>
      </x:c>
      <x:c r="J2392" s="8" t="n">
        <x:v>0</x:v>
      </x:c>
      <x:c r="K2392" s="8" t="n">
        <x:v>550</x:v>
      </x:c>
      <x:c r="L2392" s="1" t="str">
        <x:v>Нет</x:v>
      </x:c>
      <x:c r="M2392" s="1" t="n">
        <x:v>0</x:v>
      </x:c>
    </x:row>
    <x:row r="2393">
      <x:c r="A2393" s="1" t="str">
        <x:v>41482947</x:v>
      </x:c>
      <x:c r="B2393" s="1" t="str">
        <x:v>longslivkvadratkorot/бежевый</x:v>
      </x:c>
      <x:c r="C2393" s="1" t="str">
        <x:v>Лонгсливы</x:v>
      </x:c>
      <x:c r="D2393" s="9" t="n">
        <x:v>8.2</x:v>
      </x:c>
      <x:c r="E2393" s="8" t="n">
        <x:v>2</x:v>
      </x:c>
      <x:c r="F2393" s="8" t="n">
        <x:v>0</x:v>
      </x:c>
      <x:c r="G2393" s="8" t="n">
        <x:v>0</x:v>
      </x:c>
      <x:c r="H2393" s="8" t="n">
        <x:v>0</x:v>
      </x:c>
      <x:c r="I2393" s="8" t="n">
        <x:v>0</x:v>
      </x:c>
      <x:c r="J2393" s="8" t="n">
        <x:v>0</x:v>
      </x:c>
      <x:c r="K2393" s="8" t="n">
        <x:v>0</x:v>
      </x:c>
      <x:c r="L2393" s="1" t="str">
        <x:v>Нет</x:v>
      </x:c>
      <x:c r="M2393" s="1" t="n">
        <x:v>0</x:v>
      </x:c>
    </x:row>
    <x:row r="2394">
      <x:c r="A2394" s="1" t="str">
        <x:v>41483320</x:v>
      </x:c>
      <x:c r="B2394" s="1" t="str">
        <x:v>longslivkvadratkorot/белый</x:v>
      </x:c>
      <x:c r="C2394" s="1" t="str">
        <x:v>Лонгсливы</x:v>
      </x:c>
      <x:c r="D2394" s="9" t="n">
        <x:v>8.2</x:v>
      </x:c>
      <x:c r="E2394" s="8" t="n">
        <x:v>3</x:v>
      </x:c>
      <x:c r="F2394" s="8" t="n">
        <x:v>0</x:v>
      </x:c>
      <x:c r="G2394" s="8" t="n">
        <x:v>0</x:v>
      </x:c>
      <x:c r="H2394" s="8" t="n">
        <x:v>0</x:v>
      </x:c>
      <x:c r="I2394" s="8" t="n">
        <x:v>0</x:v>
      </x:c>
      <x:c r="J2394" s="8" t="n">
        <x:v>0</x:v>
      </x:c>
      <x:c r="K2394" s="8" t="n">
        <x:v>0</x:v>
      </x:c>
      <x:c r="L2394" s="1" t="str">
        <x:v>Нет</x:v>
      </x:c>
      <x:c r="M2394" s="1" t="n">
        <x:v>0</x:v>
      </x:c>
    </x:row>
    <x:row r="2395">
      <x:c r="A2395" s="1" t="str">
        <x:v>41484539</x:v>
      </x:c>
      <x:c r="B2395" s="1" t="str">
        <x:v>longslivkvadratkorot/пудровый</x:v>
      </x:c>
      <x:c r="C2395" s="1" t="str">
        <x:v>Лонгсливы</x:v>
      </x:c>
      <x:c r="D2395" s="9" t="n">
        <x:v>8.2</x:v>
      </x:c>
      <x:c r="E2395" s="8" t="n">
        <x:v>4</x:v>
      </x:c>
      <x:c r="F2395" s="8" t="n">
        <x:v>0</x:v>
      </x:c>
      <x:c r="G2395" s="8" t="n">
        <x:v>0</x:v>
      </x:c>
      <x:c r="H2395" s="8" t="n">
        <x:v>0</x:v>
      </x:c>
      <x:c r="I2395" s="8" t="n">
        <x:v>0</x:v>
      </x:c>
      <x:c r="J2395" s="8" t="n">
        <x:v>0</x:v>
      </x:c>
      <x:c r="K2395" s="8" t="n">
        <x:v>0</x:v>
      </x:c>
      <x:c r="L2395" s="1" t="str">
        <x:v>Нет</x:v>
      </x:c>
      <x:c r="M2395" s="1" t="n">
        <x:v>0</x:v>
      </x:c>
    </x:row>
    <x:row r="2396">
      <x:c r="A2396" s="1" t="str">
        <x:v>41484880</x:v>
      </x:c>
      <x:c r="B2396" s="1" t="str">
        <x:v>longslivkvadratkorot/какао</x:v>
      </x:c>
      <x:c r="C2396" s="1" t="str">
        <x:v>Лонгсливы</x:v>
      </x:c>
      <x:c r="D2396" s="9" t="n">
        <x:v>8.2</x:v>
      </x:c>
      <x:c r="E2396" s="8" t="n">
        <x:v>3</x:v>
      </x:c>
      <x:c r="F2396" s="8" t="n">
        <x:v>0</x:v>
      </x:c>
      <x:c r="G2396" s="8" t="n">
        <x:v>0</x:v>
      </x:c>
      <x:c r="H2396" s="8" t="n">
        <x:v>0</x:v>
      </x:c>
      <x:c r="I2396" s="8" t="n">
        <x:v>0</x:v>
      </x:c>
      <x:c r="J2396" s="8" t="n">
        <x:v>0</x:v>
      </x:c>
      <x:c r="K2396" s="8" t="n">
        <x:v>0</x:v>
      </x:c>
      <x:c r="L2396" s="1" t="str">
        <x:v>Нет</x:v>
      </x:c>
      <x:c r="M2396" s="1" t="n">
        <x:v>0</x:v>
      </x:c>
    </x:row>
    <x:row r="2397">
      <x:c r="A2397" s="1" t="str">
        <x:v>41485312</x:v>
      </x:c>
      <x:c r="B2397" s="1" t="str">
        <x:v>longslivkvadratkorot/серовато-розовый</x:v>
      </x:c>
      <x:c r="C2397" s="1" t="str">
        <x:v>Лонгсливы</x:v>
      </x:c>
      <x:c r="D2397" s="9" t="n">
        <x:v>8.2</x:v>
      </x:c>
      <x:c r="E2397" s="8" t="n">
        <x:v>2</x:v>
      </x:c>
      <x:c r="F2397" s="8" t="n">
        <x:v>0</x:v>
      </x:c>
      <x:c r="G2397" s="8" t="n">
        <x:v>0</x:v>
      </x:c>
      <x:c r="H2397" s="8" t="n">
        <x:v>0</x:v>
      </x:c>
      <x:c r="I2397" s="8" t="n">
        <x:v>0</x:v>
      </x:c>
      <x:c r="J2397" s="8" t="n">
        <x:v>0</x:v>
      </x:c>
      <x:c r="K2397" s="8" t="n">
        <x:v>0</x:v>
      </x:c>
      <x:c r="L2397" s="1" t="str">
        <x:v>Нет</x:v>
      </x:c>
      <x:c r="M2397" s="1" t="n">
        <x:v>0</x:v>
      </x:c>
    </x:row>
    <x:row r="2398">
      <x:c r="A2398" s="1" t="str">
        <x:v>41491728</x:v>
      </x:c>
      <x:c r="B2398" s="1" t="str">
        <x:v>longslivdecolte/светло-фиолетовый</x:v>
      </x:c>
      <x:c r="C2398" s="1" t="str">
        <x:v>Лонгсливы</x:v>
      </x:c>
      <x:c r="D2398" s="9" t="n">
        <x:v>5.7</x:v>
      </x:c>
      <x:c r="E2398" s="8" t="n">
        <x:v>7</x:v>
      </x:c>
      <x:c r="F2398" s="8" t="n">
        <x:v>0</x:v>
      </x:c>
      <x:c r="G2398" s="8" t="n">
        <x:v>0</x:v>
      </x:c>
      <x:c r="H2398" s="8" t="n">
        <x:v>0</x:v>
      </x:c>
      <x:c r="I2398" s="8" t="n">
        <x:v>0</x:v>
      </x:c>
      <x:c r="J2398" s="8" t="n">
        <x:v>0</x:v>
      </x:c>
      <x:c r="K2398" s="8" t="n">
        <x:v>0</x:v>
      </x:c>
      <x:c r="L2398" s="1" t="str">
        <x:v>Нет</x:v>
      </x:c>
      <x:c r="M2398" s="1" t="n">
        <x:v>0</x:v>
      </x:c>
    </x:row>
    <x:row r="2399">
      <x:c r="A2399" s="1" t="str">
        <x:v>41491860</x:v>
      </x:c>
      <x:c r="B2399" s="1" t="str">
        <x:v>longslivdecolte/бежевый</x:v>
      </x:c>
      <x:c r="C2399" s="1" t="str">
        <x:v>Лонгсливы</x:v>
      </x:c>
      <x:c r="D2399" s="9" t="n">
        <x:v>7.7</x:v>
      </x:c>
      <x:c r="E2399" s="8" t="n">
        <x:v>14</x:v>
      </x:c>
      <x:c r="F2399" s="8" t="n">
        <x:v>0</x:v>
      </x:c>
      <x:c r="G2399" s="8" t="n">
        <x:v>0</x:v>
      </x:c>
      <x:c r="H2399" s="8" t="n">
        <x:v>0</x:v>
      </x:c>
      <x:c r="I2399" s="8" t="n">
        <x:v>0</x:v>
      </x:c>
      <x:c r="J2399" s="8" t="n">
        <x:v>0</x:v>
      </x:c>
      <x:c r="K2399" s="8" t="n">
        <x:v>0</x:v>
      </x:c>
      <x:c r="L2399" s="1" t="str">
        <x:v>Нет</x:v>
      </x:c>
      <x:c r="M2399" s="1" t="n">
        <x:v>0</x:v>
      </x:c>
    </x:row>
    <x:row r="2400">
      <x:c r="A2400" s="1" t="str">
        <x:v>41492468</x:v>
      </x:c>
      <x:c r="B2400" s="1" t="str">
        <x:v>longslivdecolte/белый</x:v>
      </x:c>
      <x:c r="C2400" s="1" t="str">
        <x:v>Лонгсливы</x:v>
      </x:c>
      <x:c r="D2400" s="9" t="n">
        <x:v>7.7</x:v>
      </x:c>
      <x:c r="E2400" s="8" t="n">
        <x:v>17</x:v>
      </x:c>
      <x:c r="F2400" s="8" t="n">
        <x:v>0</x:v>
      </x:c>
      <x:c r="G2400" s="8" t="n">
        <x:v>0</x:v>
      </x:c>
      <x:c r="H2400" s="8" t="n">
        <x:v>0</x:v>
      </x:c>
      <x:c r="I2400" s="8" t="n">
        <x:v>0</x:v>
      </x:c>
      <x:c r="J2400" s="8" t="n">
        <x:v>2</x:v>
      </x:c>
      <x:c r="K2400" s="8" t="n">
        <x:v>0</x:v>
      </x:c>
      <x:c r="L2400" s="1" t="str">
        <x:v>Нет</x:v>
      </x:c>
      <x:c r="M2400" s="1" t="n">
        <x:v>500</x:v>
      </x:c>
    </x:row>
    <x:row r="2401">
      <x:c r="A2401" s="1" t="str">
        <x:v>41493414</x:v>
      </x:c>
      <x:c r="B2401" s="1" t="str">
        <x:v>longslivdecolte/эвкалипт</x:v>
      </x:c>
      <x:c r="C2401" s="1" t="str">
        <x:v>Лонгсливы</x:v>
      </x:c>
      <x:c r="D2401" s="9" t="n">
        <x:v>7.7</x:v>
      </x:c>
      <x:c r="E2401" s="8" t="n">
        <x:v>14</x:v>
      </x:c>
      <x:c r="F2401" s="8" t="n">
        <x:v>0</x:v>
      </x:c>
      <x:c r="G2401" s="8" t="n">
        <x:v>0</x:v>
      </x:c>
      <x:c r="H2401" s="8" t="n">
        <x:v>0</x:v>
      </x:c>
      <x:c r="I2401" s="8" t="n">
        <x:v>0</x:v>
      </x:c>
      <x:c r="J2401" s="8" t="n">
        <x:v>0</x:v>
      </x:c>
      <x:c r="K2401" s="8" t="n">
        <x:v>0</x:v>
      </x:c>
      <x:c r="L2401" s="1" t="str">
        <x:v>Нет</x:v>
      </x:c>
      <x:c r="M2401" s="1" t="n">
        <x:v>0</x:v>
      </x:c>
    </x:row>
    <x:row r="2402">
      <x:c r="A2402" s="1" t="str">
        <x:v>41493800</x:v>
      </x:c>
      <x:c r="B2402" s="1" t="str">
        <x:v>longslivdecolte/пудровый</x:v>
      </x:c>
      <x:c r="C2402" s="1" t="str">
        <x:v>Лонгсливы</x:v>
      </x:c>
      <x:c r="D2402" s="9" t="n">
        <x:v>7.7</x:v>
      </x:c>
      <x:c r="E2402" s="8" t="n">
        <x:v>23</x:v>
      </x:c>
      <x:c r="F2402" s="8" t="n">
        <x:v>0</x:v>
      </x:c>
      <x:c r="G2402" s="8" t="n">
        <x:v>0</x:v>
      </x:c>
      <x:c r="H2402" s="8" t="n">
        <x:v>0</x:v>
      </x:c>
      <x:c r="I2402" s="8" t="n">
        <x:v>0</x:v>
      </x:c>
      <x:c r="J2402" s="8" t="n">
        <x:v>0</x:v>
      </x:c>
      <x:c r="K2402" s="8" t="n">
        <x:v>0</x:v>
      </x:c>
      <x:c r="L2402" s="1" t="str">
        <x:v>Нет</x:v>
      </x:c>
      <x:c r="M2402" s="1" t="n">
        <x:v>0</x:v>
      </x:c>
    </x:row>
    <x:row r="2403">
      <x:c r="A2403" s="1" t="str">
        <x:v>41493980</x:v>
      </x:c>
      <x:c r="B2403" s="1" t="str">
        <x:v>longslivdecolte/какао</x:v>
      </x:c>
      <x:c r="C2403" s="1" t="str">
        <x:v>Лонгсливы</x:v>
      </x:c>
      <x:c r="D2403" s="9" t="n">
        <x:v>7.7</x:v>
      </x:c>
      <x:c r="E2403" s="8" t="n">
        <x:v>18</x:v>
      </x:c>
      <x:c r="F2403" s="8" t="n">
        <x:v>0</x:v>
      </x:c>
      <x:c r="G2403" s="8" t="n">
        <x:v>0</x:v>
      </x:c>
      <x:c r="H2403" s="8" t="n">
        <x:v>0</x:v>
      </x:c>
      <x:c r="I2403" s="8" t="n">
        <x:v>0</x:v>
      </x:c>
      <x:c r="J2403" s="8" t="n">
        <x:v>0</x:v>
      </x:c>
      <x:c r="K2403" s="8" t="n">
        <x:v>0</x:v>
      </x:c>
      <x:c r="L2403" s="1" t="str">
        <x:v>Нет</x:v>
      </x:c>
      <x:c r="M2403" s="1" t="n">
        <x:v>0</x:v>
      </x:c>
    </x:row>
    <x:row r="2404">
      <x:c r="A2404" s="1" t="str">
        <x:v>41497071</x:v>
      </x:c>
      <x:c r="B2404" s="1" t="str">
        <x:v>longslivdecolte/серовато-розовый</x:v>
      </x:c>
      <x:c r="C2404" s="1" t="str">
        <x:v>Лонгсливы</x:v>
      </x:c>
      <x:c r="D2404" s="9" t="n">
        <x:v>7.7</x:v>
      </x:c>
      <x:c r="E2404" s="8" t="n">
        <x:v>13</x:v>
      </x:c>
      <x:c r="F2404" s="8" t="n">
        <x:v>0</x:v>
      </x:c>
      <x:c r="G2404" s="8" t="n">
        <x:v>0</x:v>
      </x:c>
      <x:c r="H2404" s="8" t="n">
        <x:v>0</x:v>
      </x:c>
      <x:c r="I2404" s="8" t="n">
        <x:v>0</x:v>
      </x:c>
      <x:c r="J2404" s="8" t="n">
        <x:v>0</x:v>
      </x:c>
      <x:c r="K2404" s="8" t="n">
        <x:v>0</x:v>
      </x:c>
      <x:c r="L2404" s="1" t="str">
        <x:v>Нет</x:v>
      </x:c>
      <x:c r="M2404" s="1" t="n">
        <x:v>0</x:v>
      </x:c>
    </x:row>
    <x:row r="2405">
      <x:c r="A2405" s="1" t="str">
        <x:v>41631067</x:v>
      </x:c>
      <x:c r="B2405" s="1" t="str">
        <x:v>kostyumman/черный</x:v>
      </x:c>
      <x:c r="C2405" s="1" t="str">
        <x:v>Костюмы спортивные</x:v>
      </x:c>
      <x:c r="D2405" s="9" t="n">
        <x:v>9.7</x:v>
      </x:c>
      <x:c r="E2405" s="8" t="n">
        <x:v>483</x:v>
      </x:c>
      <x:c r="F2405" s="8" t="n">
        <x:v>0</x:v>
      </x:c>
      <x:c r="G2405" s="8" t="n">
        <x:v>0</x:v>
      </x:c>
      <x:c r="H2405" s="8" t="n">
        <x:v>1</x:v>
      </x:c>
      <x:c r="I2405" s="8" t="n">
        <x:v>0</x:v>
      </x:c>
      <x:c r="J2405" s="8" t="n">
        <x:v>3</x:v>
      </x:c>
      <x:c r="K2405" s="8" t="n">
        <x:v>0</x:v>
      </x:c>
      <x:c r="L2405" s="1" t="str">
        <x:v>Нет</x:v>
      </x:c>
      <x:c r="M2405" s="1" t="n">
        <x:v>0</x:v>
      </x:c>
    </x:row>
    <x:row r="2406">
      <x:c r="A2406" s="1" t="str">
        <x:v>42608646</x:v>
      </x:c>
      <x:c r="B2406" s="1" t="str">
        <x:v>longslivdekoltekor/черный</x:v>
      </x:c>
      <x:c r="C2406" s="1" t="str">
        <x:v>Лонгсливы</x:v>
      </x:c>
      <x:c r="D2406" s="9" t="n">
        <x:v>8.2</x:v>
      </x:c>
      <x:c r="E2406" s="8" t="n">
        <x:v>15</x:v>
      </x:c>
      <x:c r="F2406" s="8" t="n">
        <x:v>0</x:v>
      </x:c>
      <x:c r="G2406" s="8" t="n">
        <x:v>0</x:v>
      </x:c>
      <x:c r="H2406" s="8" t="n">
        <x:v>0</x:v>
      </x:c>
      <x:c r="I2406" s="8" t="n">
        <x:v>0</x:v>
      </x:c>
      <x:c r="J2406" s="8" t="n">
        <x:v>0</x:v>
      </x:c>
      <x:c r="K2406" s="8" t="n">
        <x:v>0</x:v>
      </x:c>
      <x:c r="L2406" s="1" t="str">
        <x:v>Нет</x:v>
      </x:c>
      <x:c r="M2406" s="1" t="n">
        <x:v>0</x:v>
      </x:c>
    </x:row>
    <x:row r="2407">
      <x:c r="A2407" s="1" t="str">
        <x:v>44722600</x:v>
      </x:c>
      <x:c r="B2407" s="1" t="str">
        <x:v>longslivdekoltekor/молочный</x:v>
      </x:c>
      <x:c r="C2407" s="1" t="str">
        <x:v>Лонгсливы</x:v>
      </x:c>
      <x:c r="D2407" s="9" t="n">
        <x:v>8.2</x:v>
      </x:c>
      <x:c r="E2407" s="8" t="n">
        <x:v>15</x:v>
      </x:c>
      <x:c r="F2407" s="8" t="n">
        <x:v>0</x:v>
      </x:c>
      <x:c r="G2407" s="8" t="n">
        <x:v>0</x:v>
      </x:c>
      <x:c r="H2407" s="8" t="n">
        <x:v>0</x:v>
      </x:c>
      <x:c r="I2407" s="8" t="n">
        <x:v>0</x:v>
      </x:c>
      <x:c r="J2407" s="8" t="n">
        <x:v>0</x:v>
      </x:c>
      <x:c r="K2407" s="8" t="n">
        <x:v>0</x:v>
      </x:c>
      <x:c r="L2407" s="1" t="str">
        <x:v>Нет</x:v>
      </x:c>
      <x:c r="M2407" s="1" t="n">
        <x:v>0</x:v>
      </x:c>
    </x:row>
    <x:row r="2408">
      <x:c r="A2408" s="1" t="str">
        <x:v>44722786</x:v>
      </x:c>
      <x:c r="B2408" s="1" t="str">
        <x:v>longslivdecolte/молочный</x:v>
      </x:c>
      <x:c r="C2408" s="1" t="str">
        <x:v>Лонгсливы</x:v>
      </x:c>
      <x:c r="D2408" s="9" t="n">
        <x:v>7.7</x:v>
      </x:c>
      <x:c r="E2408" s="8" t="n">
        <x:v>28</x:v>
      </x:c>
      <x:c r="F2408" s="8" t="n">
        <x:v>0</x:v>
      </x:c>
      <x:c r="G2408" s="8" t="n">
        <x:v>0</x:v>
      </x:c>
      <x:c r="H2408" s="8" t="n">
        <x:v>0</x:v>
      </x:c>
      <x:c r="I2408" s="8" t="n">
        <x:v>0</x:v>
      </x:c>
      <x:c r="J2408" s="8" t="n">
        <x:v>0</x:v>
      </x:c>
      <x:c r="K2408" s="8" t="n">
        <x:v>0</x:v>
      </x:c>
      <x:c r="L2408" s="1" t="str">
        <x:v>Нет</x:v>
      </x:c>
      <x:c r="M2408" s="1" t="n">
        <x:v>0</x:v>
      </x:c>
    </x:row>
    <x:row r="2409">
      <x:c r="A2409" s="1" t="str">
        <x:v>44751677</x:v>
      </x:c>
      <x:c r="B2409" s="1" t="str">
        <x:v>longslivdecolte/красный</x:v>
      </x:c>
      <x:c r="C2409" s="1" t="str">
        <x:v>Лонгсливы</x:v>
      </x:c>
      <x:c r="D2409" s="9" t="n">
        <x:v>7.7</x:v>
      </x:c>
      <x:c r="E2409" s="8" t="n">
        <x:v>39</x:v>
      </x:c>
      <x:c r="F2409" s="8" t="n">
        <x:v>0</x:v>
      </x:c>
      <x:c r="G2409" s="8" t="n">
        <x:v>0</x:v>
      </x:c>
      <x:c r="H2409" s="8" t="n">
        <x:v>0</x:v>
      </x:c>
      <x:c r="I2409" s="8" t="n">
        <x:v>0</x:v>
      </x:c>
      <x:c r="J2409" s="8" t="n">
        <x:v>0</x:v>
      </x:c>
      <x:c r="K2409" s="8" t="n">
        <x:v>0</x:v>
      </x:c>
      <x:c r="L2409" s="1" t="str">
        <x:v>Нет</x:v>
      </x:c>
      <x:c r="M2409" s="1" t="n">
        <x:v>0</x:v>
      </x:c>
    </x:row>
    <x:row r="2410">
      <x:c r="A2410" s="1" t="str">
        <x:v>44881155</x:v>
      </x:c>
      <x:c r="B2410" s="1" t="str">
        <x:v>longslivdekoltekor/красный</x:v>
      </x:c>
      <x:c r="C2410" s="1" t="str">
        <x:v>Лонгсливы</x:v>
      </x:c>
      <x:c r="D2410" s="9" t="n">
        <x:v>8.2</x:v>
      </x:c>
      <x:c r="E2410" s="8" t="n">
        <x:v>15</x:v>
      </x:c>
      <x:c r="F2410" s="8" t="n">
        <x:v>0</x:v>
      </x:c>
      <x:c r="G2410" s="8" t="n">
        <x:v>0</x:v>
      </x:c>
      <x:c r="H2410" s="8" t="n">
        <x:v>0</x:v>
      </x:c>
      <x:c r="I2410" s="8" t="n">
        <x:v>0</x:v>
      </x:c>
      <x:c r="J2410" s="8" t="n">
        <x:v>0</x:v>
      </x:c>
      <x:c r="K2410" s="8" t="n">
        <x:v>0</x:v>
      </x:c>
      <x:c r="L2410" s="1" t="str">
        <x:v>Нет</x:v>
      </x:c>
      <x:c r="M2410" s="1" t="n">
        <x:v>0</x:v>
      </x:c>
    </x:row>
    <x:row r="2411">
      <x:c r="A2411" s="1" t="str">
        <x:v>44881554</x:v>
      </x:c>
      <x:c r="B2411" s="1" t="str">
        <x:v>longslivdekoltekor/пудровый</x:v>
      </x:c>
      <x:c r="C2411" s="1" t="str">
        <x:v>Лонгсливы</x:v>
      </x:c>
      <x:c r="D2411" s="9" t="n">
        <x:v>8.2</x:v>
      </x:c>
      <x:c r="E2411" s="8" t="n">
        <x:v>11</x:v>
      </x:c>
      <x:c r="F2411" s="8" t="n">
        <x:v>0</x:v>
      </x:c>
      <x:c r="G2411" s="8" t="n">
        <x:v>0</x:v>
      </x:c>
      <x:c r="H2411" s="8" t="n">
        <x:v>0</x:v>
      </x:c>
      <x:c r="I2411" s="8" t="n">
        <x:v>0</x:v>
      </x:c>
      <x:c r="J2411" s="8" t="n">
        <x:v>0</x:v>
      </x:c>
      <x:c r="K2411" s="8" t="n">
        <x:v>0</x:v>
      </x:c>
      <x:c r="L2411" s="1" t="str">
        <x:v>Нет</x:v>
      </x:c>
      <x:c r="M2411" s="1" t="n">
        <x:v>0</x:v>
      </x:c>
    </x:row>
    <x:row r="2412">
      <x:c r="A2412" s="1" t="str">
        <x:v>44881894</x:v>
      </x:c>
      <x:c r="B2412" s="1" t="str">
        <x:v>longslivdekoltekor/какао</x:v>
      </x:c>
      <x:c r="C2412" s="1" t="str">
        <x:v>Лонгсливы</x:v>
      </x:c>
      <x:c r="D2412" s="9" t="n">
        <x:v>8.2</x:v>
      </x:c>
      <x:c r="E2412" s="8" t="n">
        <x:v>8</x:v>
      </x:c>
      <x:c r="F2412" s="8" t="n">
        <x:v>0</x:v>
      </x:c>
      <x:c r="G2412" s="8" t="n">
        <x:v>0</x:v>
      </x:c>
      <x:c r="H2412" s="8" t="n">
        <x:v>0</x:v>
      </x:c>
      <x:c r="I2412" s="8" t="n">
        <x:v>0</x:v>
      </x:c>
      <x:c r="J2412" s="8" t="n">
        <x:v>0</x:v>
      </x:c>
      <x:c r="K2412" s="8" t="n">
        <x:v>0</x:v>
      </x:c>
      <x:c r="L2412" s="1" t="str">
        <x:v>Нет</x:v>
      </x:c>
      <x:c r="M2412" s="1" t="n">
        <x:v>0</x:v>
      </x:c>
    </x:row>
    <x:row r="2413">
      <x:c r="A2413" s="1" t="str">
        <x:v>44882126</x:v>
      </x:c>
      <x:c r="B2413" s="1" t="str">
        <x:v>longslivdekoltekor/пыльнаямята</x:v>
      </x:c>
      <x:c r="C2413" s="1" t="str">
        <x:v>Лонгсливы</x:v>
      </x:c>
      <x:c r="D2413" s="9" t="n">
        <x:v>8.2</x:v>
      </x:c>
      <x:c r="E2413" s="8" t="n">
        <x:v>21</x:v>
      </x:c>
      <x:c r="F2413" s="8" t="n">
        <x:v>0</x:v>
      </x:c>
      <x:c r="G2413" s="8" t="n">
        <x:v>0</x:v>
      </x:c>
      <x:c r="H2413" s="8" t="n">
        <x:v>0</x:v>
      </x:c>
      <x:c r="I2413" s="8" t="n">
        <x:v>0</x:v>
      </x:c>
      <x:c r="J2413" s="8" t="n">
        <x:v>0</x:v>
      </x:c>
      <x:c r="K2413" s="8" t="n">
        <x:v>0</x:v>
      </x:c>
      <x:c r="L2413" s="1" t="str">
        <x:v>Нет</x:v>
      </x:c>
      <x:c r="M2413" s="1" t="n">
        <x:v>0</x:v>
      </x:c>
    </x:row>
    <x:row r="2414">
      <x:c r="A2414" s="1" t="str">
        <x:v>44883515</x:v>
      </x:c>
      <x:c r="B2414" s="1" t="str">
        <x:v>longslivkvadrat/молочный</x:v>
      </x:c>
      <x:c r="C2414" s="1" t="str">
        <x:v>Лонгсливы</x:v>
      </x:c>
      <x:c r="D2414" s="9" t="n">
        <x:v>5.2</x:v>
      </x:c>
      <x:c r="E2414" s="8" t="n">
        <x:v>15</x:v>
      </x:c>
      <x:c r="F2414" s="8" t="n">
        <x:v>0</x:v>
      </x:c>
      <x:c r="G2414" s="8" t="n">
        <x:v>0</x:v>
      </x:c>
      <x:c r="H2414" s="8" t="n">
        <x:v>0</x:v>
      </x:c>
      <x:c r="I2414" s="8" t="n">
        <x:v>0</x:v>
      </x:c>
      <x:c r="J2414" s="8" t="n">
        <x:v>0</x:v>
      </x:c>
      <x:c r="K2414" s="8" t="n">
        <x:v>0</x:v>
      </x:c>
      <x:c r="L2414" s="1" t="str">
        <x:v>Нет</x:v>
      </x:c>
      <x:c r="M2414" s="1" t="n">
        <x:v>0</x:v>
      </x:c>
    </x:row>
    <x:row r="2415">
      <x:c r="A2415" s="1" t="str">
        <x:v>44886836</x:v>
      </x:c>
      <x:c r="B2415" s="1" t="str">
        <x:v>longslivkvadrat/какао</x:v>
      </x:c>
      <x:c r="C2415" s="1" t="str">
        <x:v>Лонгсливы</x:v>
      </x:c>
      <x:c r="D2415" s="9" t="n">
        <x:v>5.2</x:v>
      </x:c>
      <x:c r="E2415" s="8" t="n">
        <x:v>41</x:v>
      </x:c>
      <x:c r="F2415" s="8" t="n">
        <x:v>0</x:v>
      </x:c>
      <x:c r="G2415" s="8" t="n">
        <x:v>0</x:v>
      </x:c>
      <x:c r="H2415" s="8" t="n">
        <x:v>0</x:v>
      </x:c>
      <x:c r="I2415" s="8" t="n">
        <x:v>0</x:v>
      </x:c>
      <x:c r="J2415" s="8" t="n">
        <x:v>0</x:v>
      </x:c>
      <x:c r="K2415" s="8" t="n">
        <x:v>0</x:v>
      </x:c>
      <x:c r="L2415" s="1" t="str">
        <x:v>Нет</x:v>
      </x:c>
      <x:c r="M2415" s="1" t="n">
        <x:v>0</x:v>
      </x:c>
    </x:row>
    <x:row r="2416">
      <x:c r="A2416" s="1" t="str">
        <x:v>44887178</x:v>
      </x:c>
      <x:c r="B2416" s="1" t="str">
        <x:v>longslivkvadrat/мятапыльная</x:v>
      </x:c>
      <x:c r="C2416" s="1" t="str">
        <x:v>Лонгсливы</x:v>
      </x:c>
      <x:c r="D2416" s="9" t="n">
        <x:v>5.2</x:v>
      </x:c>
      <x:c r="E2416" s="8" t="n">
        <x:v>19</x:v>
      </x:c>
      <x:c r="F2416" s="8" t="n">
        <x:v>0</x:v>
      </x:c>
      <x:c r="G2416" s="8" t="n">
        <x:v>0</x:v>
      </x:c>
      <x:c r="H2416" s="8" t="n">
        <x:v>0</x:v>
      </x:c>
      <x:c r="I2416" s="8" t="n">
        <x:v>0</x:v>
      </x:c>
      <x:c r="J2416" s="8" t="n">
        <x:v>0</x:v>
      </x:c>
      <x:c r="K2416" s="8" t="n">
        <x:v>0</x:v>
      </x:c>
      <x:c r="L2416" s="1" t="str">
        <x:v>Нет</x:v>
      </x:c>
      <x:c r="M2416" s="1" t="n">
        <x:v>0</x:v>
      </x:c>
    </x:row>
    <x:row r="2417">
      <x:c r="A2417" s="1" t="str">
        <x:v>44890970</x:v>
      </x:c>
      <x:c r="B2417" s="1" t="str">
        <x:v>longslivkvadratkorot/молочный</x:v>
      </x:c>
      <x:c r="C2417" s="1" t="str">
        <x:v>Лонгсливы</x:v>
      </x:c>
      <x:c r="D2417" s="9" t="n">
        <x:v>8.2</x:v>
      </x:c>
      <x:c r="E2417" s="8" t="n">
        <x:v>11</x:v>
      </x:c>
      <x:c r="F2417" s="8" t="n">
        <x:v>0</x:v>
      </x:c>
      <x:c r="G2417" s="8" t="n">
        <x:v>0</x:v>
      </x:c>
      <x:c r="H2417" s="8" t="n">
        <x:v>0</x:v>
      </x:c>
      <x:c r="I2417" s="8" t="n">
        <x:v>0</x:v>
      </x:c>
      <x:c r="J2417" s="8" t="n">
        <x:v>0</x:v>
      </x:c>
      <x:c r="K2417" s="8" t="n">
        <x:v>0</x:v>
      </x:c>
      <x:c r="L2417" s="1" t="str">
        <x:v>Нет</x:v>
      </x:c>
      <x:c r="M2417" s="1" t="n">
        <x:v>0</x:v>
      </x:c>
    </x:row>
    <x:row r="2418">
      <x:c r="A2418" s="1" t="str">
        <x:v>44891578</x:v>
      </x:c>
      <x:c r="B2418" s="1" t="str">
        <x:v>longslivkvadratkorot/красный</x:v>
      </x:c>
      <x:c r="C2418" s="1" t="str">
        <x:v>Лонгсливы</x:v>
      </x:c>
      <x:c r="D2418" s="9" t="n">
        <x:v>8.2</x:v>
      </x:c>
      <x:c r="E2418" s="8" t="n">
        <x:v>13</x:v>
      </x:c>
      <x:c r="F2418" s="8" t="n">
        <x:v>0</x:v>
      </x:c>
      <x:c r="G2418" s="8" t="n">
        <x:v>0</x:v>
      </x:c>
      <x:c r="H2418" s="8" t="n">
        <x:v>0</x:v>
      </x:c>
      <x:c r="I2418" s="8" t="n">
        <x:v>0</x:v>
      </x:c>
      <x:c r="J2418" s="8" t="n">
        <x:v>0</x:v>
      </x:c>
      <x:c r="K2418" s="8" t="n">
        <x:v>0</x:v>
      </x:c>
      <x:c r="L2418" s="1" t="str">
        <x:v>Нет</x:v>
      </x:c>
      <x:c r="M2418" s="1" t="n">
        <x:v>0</x:v>
      </x:c>
    </x:row>
    <x:row r="2419">
      <x:c r="A2419" s="1" t="str">
        <x:v>44891973</x:v>
      </x:c>
      <x:c r="B2419" s="1" t="str">
        <x:v>longslivkvadratkorot/пыльная-мята</x:v>
      </x:c>
      <x:c r="C2419" s="1" t="str">
        <x:v>Лонгсливы</x:v>
      </x:c>
      <x:c r="D2419" s="9" t="n">
        <x:v>8.2</x:v>
      </x:c>
      <x:c r="E2419" s="8" t="n">
        <x:v>12</x:v>
      </x:c>
      <x:c r="F2419" s="8" t="n">
        <x:v>0</x:v>
      </x:c>
      <x:c r="G2419" s="8" t="n">
        <x:v>0</x:v>
      </x:c>
      <x:c r="H2419" s="8" t="n">
        <x:v>0</x:v>
      </x:c>
      <x:c r="I2419" s="8" t="n">
        <x:v>0</x:v>
      </x:c>
      <x:c r="J2419" s="8" t="n">
        <x:v>0</x:v>
      </x:c>
      <x:c r="K2419" s="8" t="n">
        <x:v>0</x:v>
      </x:c>
      <x:c r="L2419" s="1" t="str">
        <x:v>Нет</x:v>
      </x:c>
      <x:c r="M2419" s="1" t="n">
        <x:v>0</x:v>
      </x:c>
    </x:row>
    <x:row r="2420">
      <x:c r="A2420" s="1" t="str">
        <x:v>45705733</x:v>
      </x:c>
      <x:c r="B2420" s="1" t="str">
        <x:v>hudi/серый-меланж</x:v>
      </x:c>
      <x:c r="C2420" s="1" t="str">
        <x:v>Худи</x:v>
      </x:c>
      <x:c r="D2420" s="9" t="n">
        <x:v>0</x:v>
      </x:c>
      <x:c r="E2420" s="8" t="n">
        <x:v>1</x:v>
      </x:c>
      <x:c r="F2420" s="8" t="n">
        <x:v>0</x:v>
      </x:c>
      <x:c r="G2420" s="8" t="n">
        <x:v>0</x:v>
      </x:c>
      <x:c r="H2420" s="8" t="n">
        <x:v>0</x:v>
      </x:c>
      <x:c r="I2420" s="8" t="n">
        <x:v>0</x:v>
      </x:c>
      <x:c r="J2420" s="8"/>
      <x:c r="K2420" s="8" t="n">
        <x:v>0</x:v>
      </x:c>
      <x:c r="L2420" s="1" t="str">
        <x:v>Да</x:v>
      </x:c>
      <x:c r="M2420" s="1"/>
    </x:row>
    <x:row r="2421">
      <x:c r="A2421" s="1" t="str">
        <x:v>47495105</x:v>
      </x:c>
      <x:c r="B2421" s="1" t="str">
        <x:v>longslivdlinna/хаки</x:v>
      </x:c>
      <x:c r="C2421" s="1" t="str">
        <x:v>Лонгсливы</x:v>
      </x:c>
      <x:c r="D2421" s="9" t="n">
        <x:v>7.2</x:v>
      </x:c>
      <x:c r="E2421" s="8" t="n">
        <x:v>84</x:v>
      </x:c>
      <x:c r="F2421" s="8" t="n">
        <x:v>0</x:v>
      </x:c>
      <x:c r="G2421" s="8" t="n">
        <x:v>0</x:v>
      </x:c>
      <x:c r="H2421" s="8" t="n">
        <x:v>0</x:v>
      </x:c>
      <x:c r="I2421" s="8" t="n">
        <x:v>0</x:v>
      </x:c>
      <x:c r="J2421" s="8" t="n">
        <x:v>1</x:v>
      </x:c>
      <x:c r="K2421" s="8" t="n">
        <x:v>0</x:v>
      </x:c>
      <x:c r="L2421" s="1" t="str">
        <x:v>Нет</x:v>
      </x:c>
      <x:c r="M2421" s="1" t="n">
        <x:v>1125</x:v>
      </x:c>
    </x:row>
    <x:row r="2422">
      <x:c r="A2422" s="1" t="str">
        <x:v>47543950</x:v>
      </x:c>
      <x:c r="B2422" s="1" t="str">
        <x:v>longslivdlinna/пудровый</x:v>
      </x:c>
      <x:c r="C2422" s="1" t="str">
        <x:v>Лонгсливы</x:v>
      </x:c>
      <x:c r="D2422" s="9" t="n">
        <x:v>5.2</x:v>
      </x:c>
      <x:c r="E2422" s="8" t="n">
        <x:v>879</x:v>
      </x:c>
      <x:c r="F2422" s="8" t="n">
        <x:v>6</x:v>
      </x:c>
      <x:c r="G2422" s="8" t="n">
        <x:v>0</x:v>
      </x:c>
      <x:c r="H2422" s="8" t="n">
        <x:v>0</x:v>
      </x:c>
      <x:c r="I2422" s="8" t="n">
        <x:v>0</x:v>
      </x:c>
      <x:c r="J2422" s="8" t="n">
        <x:v>4</x:v>
      </x:c>
      <x:c r="K2422" s="8" t="n">
        <x:v>1129</x:v>
      </x:c>
      <x:c r="L2422" s="1" t="str">
        <x:v>Нет</x:v>
      </x:c>
      <x:c r="M2422" s="1" t="n">
        <x:v>1125</x:v>
      </x:c>
    </x:row>
    <x:row r="2423">
      <x:c r="A2423" s="1" t="str">
        <x:v>47545072</x:v>
      </x:c>
      <x:c r="B2423" s="1" t="str">
        <x:v>longslivdlinna/голубой</x:v>
      </x:c>
      <x:c r="C2423" s="1" t="str">
        <x:v>Лонгсливы</x:v>
      </x:c>
      <x:c r="D2423" s="9" t="n">
        <x:v>7.2</x:v>
      </x:c>
      <x:c r="E2423" s="8" t="n">
        <x:v>66</x:v>
      </x:c>
      <x:c r="F2423" s="8" t="n">
        <x:v>0</x:v>
      </x:c>
      <x:c r="G2423" s="8" t="n">
        <x:v>0</x:v>
      </x:c>
      <x:c r="H2423" s="8" t="n">
        <x:v>0</x:v>
      </x:c>
      <x:c r="I2423" s="8" t="n">
        <x:v>0</x:v>
      </x:c>
      <x:c r="J2423" s="8" t="n">
        <x:v>3</x:v>
      </x:c>
      <x:c r="K2423" s="8" t="n">
        <x:v>0</x:v>
      </x:c>
      <x:c r="L2423" s="1" t="str">
        <x:v>Нет</x:v>
      </x:c>
      <x:c r="M2423" s="1" t="n">
        <x:v>1125</x:v>
      </x:c>
    </x:row>
    <x:row r="2424">
      <x:c r="A2424" s="1" t="str">
        <x:v>47545369</x:v>
      </x:c>
      <x:c r="B2424" s="1" t="str">
        <x:v>longslivdlinna/мятапыльная</x:v>
      </x:c>
      <x:c r="C2424" s="1" t="str">
        <x:v>Лонгсливы</x:v>
      </x:c>
      <x:c r="D2424" s="9" t="n">
        <x:v>5.2</x:v>
      </x:c>
      <x:c r="E2424" s="8" t="n">
        <x:v>273</x:v>
      </x:c>
      <x:c r="F2424" s="8" t="n">
        <x:v>1</x:v>
      </x:c>
      <x:c r="G2424" s="8" t="n">
        <x:v>0</x:v>
      </x:c>
      <x:c r="H2424" s="8" t="n">
        <x:v>0</x:v>
      </x:c>
      <x:c r="I2424" s="8" t="n">
        <x:v>0</x:v>
      </x:c>
      <x:c r="J2424" s="8" t="n">
        <x:v>0</x:v>
      </x:c>
      <x:c r="K2424" s="8" t="n">
        <x:v>1193</x:v>
      </x:c>
      <x:c r="L2424" s="1" t="str">
        <x:v>Нет</x:v>
      </x:c>
      <x:c r="M2424" s="1" t="n">
        <x:v>0</x:v>
      </x:c>
    </x:row>
    <x:row r="2425">
      <x:c r="A2425" s="1" t="str">
        <x:v>47549107</x:v>
      </x:c>
      <x:c r="B2425" s="1" t="str">
        <x:v>longslivdlinna/шалфей</x:v>
      </x:c>
      <x:c r="C2425" s="1" t="str">
        <x:v>Лонгсливы</x:v>
      </x:c>
      <x:c r="D2425" s="9" t="n">
        <x:v>7.2</x:v>
      </x:c>
      <x:c r="E2425" s="8" t="n">
        <x:v>33</x:v>
      </x:c>
      <x:c r="F2425" s="8" t="n">
        <x:v>0</x:v>
      </x:c>
      <x:c r="G2425" s="8" t="n">
        <x:v>0</x:v>
      </x:c>
      <x:c r="H2425" s="8" t="n">
        <x:v>0</x:v>
      </x:c>
      <x:c r="I2425" s="8" t="n">
        <x:v>0</x:v>
      </x:c>
      <x:c r="J2425" s="8" t="n">
        <x:v>0</x:v>
      </x:c>
      <x:c r="K2425" s="8" t="n">
        <x:v>0</x:v>
      </x:c>
      <x:c r="L2425" s="1" t="str">
        <x:v>Нет</x:v>
      </x:c>
      <x:c r="M2425" s="1" t="n">
        <x:v>0</x:v>
      </x:c>
    </x:row>
    <x:row r="2426">
      <x:c r="A2426" s="1" t="str">
        <x:v>51787209</x:v>
      </x:c>
      <x:c r="B2426" s="1" t="str">
        <x:v>longlapha/пыльнаяроза</x:v>
      </x:c>
      <x:c r="C2426" s="1" t="str">
        <x:v>Лонгсливы</x:v>
      </x:c>
      <x:c r="D2426" s="9" t="n">
        <x:v>6</x:v>
      </x:c>
      <x:c r="E2426" s="8" t="n">
        <x:v>0</x:v>
      </x:c>
      <x:c r="F2426" s="8" t="n">
        <x:v>0</x:v>
      </x:c>
      <x:c r="G2426" s="8" t="n">
        <x:v>0</x:v>
      </x:c>
      <x:c r="H2426" s="8" t="n">
        <x:v>0</x:v>
      </x:c>
      <x:c r="I2426" s="8" t="n">
        <x:v>0</x:v>
      </x:c>
      <x:c r="J2426" s="8" t="n">
        <x:v>0</x:v>
      </x:c>
      <x:c r="K2426" s="8" t="n">
        <x:v>0</x:v>
      </x:c>
      <x:c r="L2426" s="1" t="str">
        <x:v>Да</x:v>
      </x:c>
      <x:c r="M2426" s="1" t="n">
        <x:v>0</x:v>
      </x:c>
    </x:row>
    <x:row r="2427">
      <x:c r="A2427" s="1" t="str">
        <x:v>51790753</x:v>
      </x:c>
      <x:c r="B2427" s="1" t="str">
        <x:v>longlapha/голубойберилл</x:v>
      </x:c>
      <x:c r="C2427" s="1" t="str">
        <x:v>Лонгсливы</x:v>
      </x:c>
      <x:c r="D2427" s="9" t="n">
        <x:v>7.2</x:v>
      </x:c>
      <x:c r="E2427" s="8" t="n">
        <x:v>0</x:v>
      </x:c>
      <x:c r="F2427" s="8" t="n">
        <x:v>0</x:v>
      </x:c>
      <x:c r="G2427" s="8" t="n">
        <x:v>0</x:v>
      </x:c>
      <x:c r="H2427" s="8" t="n">
        <x:v>0</x:v>
      </x:c>
      <x:c r="I2427" s="8" t="n">
        <x:v>0</x:v>
      </x:c>
      <x:c r="J2427" s="8" t="n">
        <x:v>0</x:v>
      </x:c>
      <x:c r="K2427" s="8" t="n">
        <x:v>0</x:v>
      </x:c>
      <x:c r="L2427" s="1" t="str">
        <x:v>Да</x:v>
      </x:c>
      <x:c r="M2427" s="1" t="n">
        <x:v>0</x:v>
      </x:c>
    </x:row>
    <x:row r="2428">
      <x:c r="A2428" s="1" t="str">
        <x:v>51797169</x:v>
      </x:c>
      <x:c r="B2428" s="1" t="str">
        <x:v>longlapha/пепел</x:v>
      </x:c>
      <x:c r="C2428" s="1" t="str">
        <x:v>Лонгсливы</x:v>
      </x:c>
      <x:c r="D2428" s="9" t="n">
        <x:v>5.2</x:v>
      </x:c>
      <x:c r="E2428" s="8" t="n">
        <x:v>0</x:v>
      </x:c>
      <x:c r="F2428" s="8" t="n">
        <x:v>0</x:v>
      </x:c>
      <x:c r="G2428" s="8" t="n">
        <x:v>0</x:v>
      </x:c>
      <x:c r="H2428" s="8" t="n">
        <x:v>0</x:v>
      </x:c>
      <x:c r="I2428" s="8" t="n">
        <x:v>0</x:v>
      </x:c>
      <x:c r="J2428" s="8" t="n">
        <x:v>0</x:v>
      </x:c>
      <x:c r="K2428" s="8" t="n">
        <x:v>0</x:v>
      </x:c>
      <x:c r="L2428" s="1" t="str">
        <x:v>Нет</x:v>
      </x:c>
      <x:c r="M2428" s="1" t="n">
        <x:v>0</x:v>
      </x:c>
    </x:row>
    <x:row r="2429">
      <x:c r="A2429" s="1" t="str">
        <x:v>54781880</x:v>
      </x:c>
      <x:c r="B2429" s="1" t="str">
        <x:v>kostyumman/молочный</x:v>
      </x:c>
      <x:c r="C2429" s="1" t="str">
        <x:v>Костюмы спортивные</x:v>
      </x:c>
      <x:c r="D2429" s="9" t="n">
        <x:v>9.7</x:v>
      </x:c>
      <x:c r="E2429" s="8" t="n">
        <x:v>1</x:v>
      </x:c>
      <x:c r="F2429" s="8" t="n">
        <x:v>0</x:v>
      </x:c>
      <x:c r="G2429" s="8" t="n">
        <x:v>0</x:v>
      </x:c>
      <x:c r="H2429" s="8" t="n">
        <x:v>0</x:v>
      </x:c>
      <x:c r="I2429" s="8" t="n">
        <x:v>0</x:v>
      </x:c>
      <x:c r="J2429" s="8" t="n">
        <x:v>0</x:v>
      </x:c>
      <x:c r="K2429" s="8" t="n">
        <x:v>0</x:v>
      </x:c>
      <x:c r="L2429" s="1" t="str">
        <x:v>Нет</x:v>
      </x:c>
      <x:c r="M2429" s="1" t="n">
        <x:v>0</x:v>
      </x:c>
    </x:row>
    <x:row r="2430">
      <x:c r="A2430" s="1" t="str">
        <x:v>55213259</x:v>
      </x:c>
      <x:c r="B2430" s="1" t="str">
        <x:v>kostyumman/бежевый</x:v>
      </x:c>
      <x:c r="C2430" s="1" t="str">
        <x:v>Костюмы спортивные</x:v>
      </x:c>
      <x:c r="D2430" s="9" t="n">
        <x:v>9.7</x:v>
      </x:c>
      <x:c r="E2430" s="8" t="n">
        <x:v>2</x:v>
      </x:c>
      <x:c r="F2430" s="8" t="n">
        <x:v>0</x:v>
      </x:c>
      <x:c r="G2430" s="8" t="n">
        <x:v>0</x:v>
      </x:c>
      <x:c r="H2430" s="8" t="n">
        <x:v>0</x:v>
      </x:c>
      <x:c r="I2430" s="8" t="n">
        <x:v>0</x:v>
      </x:c>
      <x:c r="J2430" s="8" t="n">
        <x:v>0</x:v>
      </x:c>
      <x:c r="K2430" s="8" t="n">
        <x:v>0</x:v>
      </x:c>
      <x:c r="L2430" s="1" t="str">
        <x:v>Нет</x:v>
      </x:c>
      <x:c r="M2430" s="1" t="n">
        <x:v>0</x:v>
      </x:c>
    </x:row>
    <x:row r="2431">
      <x:c r="A2431" s="1" t="str">
        <x:v>55215161</x:v>
      </x:c>
      <x:c r="B2431" s="1" t="str">
        <x:v>kostyumman/графит</x:v>
      </x:c>
      <x:c r="C2431" s="1" t="str">
        <x:v>Костюмы спортивные</x:v>
      </x:c>
      <x:c r="D2431" s="9" t="n">
        <x:v>9.7</x:v>
      </x:c>
      <x:c r="E2431" s="8" t="n">
        <x:v>4</x:v>
      </x:c>
      <x:c r="F2431" s="8" t="n">
        <x:v>0</x:v>
      </x:c>
      <x:c r="G2431" s="8" t="n">
        <x:v>0</x:v>
      </x:c>
      <x:c r="H2431" s="8" t="n">
        <x:v>0</x:v>
      </x:c>
      <x:c r="I2431" s="8" t="n">
        <x:v>0</x:v>
      </x:c>
      <x:c r="J2431" s="8" t="n">
        <x:v>0</x:v>
      </x:c>
      <x:c r="K2431" s="8" t="n">
        <x:v>0</x:v>
      </x:c>
      <x:c r="L2431" s="1" t="str">
        <x:v>Нет</x:v>
      </x:c>
      <x:c r="M2431" s="1" t="n">
        <x:v>0</x:v>
      </x:c>
    </x:row>
    <x:row r="2432">
      <x:c r="A2432" s="1" t="str">
        <x:v>55220419</x:v>
      </x:c>
      <x:c r="B2432" s="1" t="str">
        <x:v>kostyumman/бордовый</x:v>
      </x:c>
      <x:c r="C2432" s="1" t="str">
        <x:v>Костюмы спортивные</x:v>
      </x:c>
      <x:c r="D2432" s="9" t="n">
        <x:v>9.7</x:v>
      </x:c>
      <x:c r="E2432" s="8" t="n">
        <x:v>0</x:v>
      </x:c>
      <x:c r="F2432" s="8" t="n">
        <x:v>0</x:v>
      </x:c>
      <x:c r="G2432" s="8" t="n">
        <x:v>0</x:v>
      </x:c>
      <x:c r="H2432" s="8" t="n">
        <x:v>0</x:v>
      </x:c>
      <x:c r="I2432" s="8" t="n">
        <x:v>0</x:v>
      </x:c>
      <x:c r="J2432" s="8" t="n">
        <x:v>0</x:v>
      </x:c>
      <x:c r="K2432" s="8" t="n">
        <x:v>0</x:v>
      </x:c>
      <x:c r="L2432" s="1" t="str">
        <x:v>Нет</x:v>
      </x:c>
      <x:c r="M2432" s="1" t="n">
        <x:v>0</x:v>
      </x:c>
    </x:row>
    <x:row r="2433">
      <x:c r="A2433" s="1" t="str">
        <x:v>55250659</x:v>
      </x:c>
      <x:c r="B2433" s="1" t="str">
        <x:v>kostyumman/коричневый</x:v>
      </x:c>
      <x:c r="C2433" s="1" t="str">
        <x:v>Костюмы спортивные</x:v>
      </x:c>
      <x:c r="D2433" s="9" t="n">
        <x:v>9.7</x:v>
      </x:c>
      <x:c r="E2433" s="8" t="n">
        <x:v>2</x:v>
      </x:c>
      <x:c r="F2433" s="8" t="n">
        <x:v>0</x:v>
      </x:c>
      <x:c r="G2433" s="8" t="n">
        <x:v>0</x:v>
      </x:c>
      <x:c r="H2433" s="8" t="n">
        <x:v>0</x:v>
      </x:c>
      <x:c r="I2433" s="8" t="n">
        <x:v>0</x:v>
      </x:c>
      <x:c r="J2433" s="8" t="n">
        <x:v>0</x:v>
      </x:c>
      <x:c r="K2433" s="8" t="n">
        <x:v>0</x:v>
      </x:c>
      <x:c r="L2433" s="1" t="str">
        <x:v>Нет</x:v>
      </x:c>
      <x:c r="M2433" s="1" t="n">
        <x:v>0</x:v>
      </x:c>
    </x:row>
    <x:row r="2434">
      <x:c r="A2434" s="1" t="str">
        <x:v>55252698</x:v>
      </x:c>
      <x:c r="B2434" s="1" t="str">
        <x:v>kostyumman/морскаяволна</x:v>
      </x:c>
      <x:c r="C2434" s="1" t="str">
        <x:v>Костюмы спортивные</x:v>
      </x:c>
      <x:c r="D2434" s="9" t="n">
        <x:v>9.7</x:v>
      </x:c>
      <x:c r="E2434" s="8" t="n">
        <x:v>0</x:v>
      </x:c>
      <x:c r="F2434" s="8" t="n">
        <x:v>0</x:v>
      </x:c>
      <x:c r="G2434" s="8" t="n">
        <x:v>0</x:v>
      </x:c>
      <x:c r="H2434" s="8" t="n">
        <x:v>0</x:v>
      </x:c>
      <x:c r="I2434" s="8" t="n">
        <x:v>0</x:v>
      </x:c>
      <x:c r="J2434" s="8" t="n">
        <x:v>0</x:v>
      </x:c>
      <x:c r="K2434" s="8" t="n">
        <x:v>0</x:v>
      </x:c>
      <x:c r="L2434" s="1" t="str">
        <x:v>Нет</x:v>
      </x:c>
      <x:c r="M2434" s="1" t="n">
        <x:v>0</x:v>
      </x:c>
    </x:row>
    <x:row r="2435">
      <x:c r="A2435" s="1" t="str">
        <x:v>59288736</x:v>
      </x:c>
      <x:c r="B2435" s="1" t="str">
        <x:v>kostyumman/песочный</x:v>
      </x:c>
      <x:c r="C2435" s="1" t="str">
        <x:v>Костюмы спортивные</x:v>
      </x:c>
      <x:c r="D2435" s="9" t="n">
        <x:v>9.7</x:v>
      </x:c>
      <x:c r="E2435" s="8" t="n">
        <x:v>2</x:v>
      </x:c>
      <x:c r="F2435" s="8" t="n">
        <x:v>0</x:v>
      </x:c>
      <x:c r="G2435" s="8" t="n">
        <x:v>0</x:v>
      </x:c>
      <x:c r="H2435" s="8" t="n">
        <x:v>0</x:v>
      </x:c>
      <x:c r="I2435" s="8" t="n">
        <x:v>0</x:v>
      </x:c>
      <x:c r="J2435" s="8" t="n">
        <x:v>0</x:v>
      </x:c>
      <x:c r="K2435" s="8" t="n">
        <x:v>0</x:v>
      </x:c>
      <x:c r="L2435" s="1" t="str">
        <x:v>Нет</x:v>
      </x:c>
      <x:c r="M2435" s="1" t="n">
        <x:v>0</x:v>
      </x:c>
    </x:row>
    <x:row r="2436">
      <x:c r="A2436" s="1" t="str">
        <x:v>59455105</x:v>
      </x:c>
      <x:c r="B2436" s="1" t="str">
        <x:v>kostyumman/деним</x:v>
      </x:c>
      <x:c r="C2436" s="1" t="str">
        <x:v>Костюмы спортивные</x:v>
      </x:c>
      <x:c r="D2436" s="9" t="n">
        <x:v>9.7</x:v>
      </x:c>
      <x:c r="E2436" s="8" t="n">
        <x:v>2</x:v>
      </x:c>
      <x:c r="F2436" s="8" t="n">
        <x:v>0</x:v>
      </x:c>
      <x:c r="G2436" s="8" t="n">
        <x:v>0</x:v>
      </x:c>
      <x:c r="H2436" s="8" t="n">
        <x:v>0</x:v>
      </x:c>
      <x:c r="I2436" s="8" t="n">
        <x:v>0</x:v>
      </x:c>
      <x:c r="J2436" s="8" t="n">
        <x:v>0</x:v>
      </x:c>
      <x:c r="K2436" s="8" t="n">
        <x:v>0</x:v>
      </x:c>
      <x:c r="L2436" s="1" t="str">
        <x:v>Нет</x:v>
      </x:c>
      <x:c r="M2436" s="1" t="n">
        <x:v>0</x:v>
      </x:c>
    </x:row>
    <x:row r="2437">
      <x:c r="A2437" s="1" t="str">
        <x:v>62007561</x:v>
      </x:c>
      <x:c r="B2437" s="1" t="str">
        <x:v>kostyumman/изумрудно-зеленый</x:v>
      </x:c>
      <x:c r="C2437" s="1" t="str">
        <x:v>Костюмы спортивные</x:v>
      </x:c>
      <x:c r="D2437" s="9" t="n">
        <x:v>9.7</x:v>
      </x:c>
      <x:c r="E2437" s="8" t="n">
        <x:v>1</x:v>
      </x:c>
      <x:c r="F2437" s="8" t="n">
        <x:v>0</x:v>
      </x:c>
      <x:c r="G2437" s="8" t="n">
        <x:v>0</x:v>
      </x:c>
      <x:c r="H2437" s="8" t="n">
        <x:v>0</x:v>
      </x:c>
      <x:c r="I2437" s="8" t="n">
        <x:v>0</x:v>
      </x:c>
      <x:c r="J2437" s="8" t="n">
        <x:v>0</x:v>
      </x:c>
      <x:c r="K2437" s="8" t="n">
        <x:v>0</x:v>
      </x:c>
      <x:c r="L2437" s="1" t="str">
        <x:v>Нет</x:v>
      </x:c>
      <x:c r="M2437" s="1" t="n">
        <x:v>0</x:v>
      </x:c>
    </x:row>
    <x:row r="2438">
      <x:c r="A2438" s="1" t="str">
        <x:v>63810056</x:v>
      </x:c>
      <x:c r="B2438" s="1" t="str">
        <x:v>longslivdlinna/какао</x:v>
      </x:c>
      <x:c r="C2438" s="1" t="str">
        <x:v>Лонгсливы</x:v>
      </x:c>
      <x:c r="D2438" s="9" t="n">
        <x:v>5.2</x:v>
      </x:c>
      <x:c r="E2438" s="8" t="n">
        <x:v>89</x:v>
      </x:c>
      <x:c r="F2438" s="8" t="n">
        <x:v>0</x:v>
      </x:c>
      <x:c r="G2438" s="8" t="n">
        <x:v>0</x:v>
      </x:c>
      <x:c r="H2438" s="8" t="n">
        <x:v>0</x:v>
      </x:c>
      <x:c r="I2438" s="8" t="n">
        <x:v>0</x:v>
      </x:c>
      <x:c r="J2438" s="8" t="n">
        <x:v>2</x:v>
      </x:c>
      <x:c r="K2438" s="8" t="n">
        <x:v>0</x:v>
      </x:c>
      <x:c r="L2438" s="1" t="str">
        <x:v>Нет</x:v>
      </x:c>
      <x:c r="M2438" s="1" t="n">
        <x:v>2450</x:v>
      </x:c>
    </x:row>
    <x:row r="2439">
      <x:c r="A2439" s="1" t="str">
        <x:v>65088964</x:v>
      </x:c>
      <x:c r="B2439" s="1" t="str">
        <x:v>longslivdekoltekor/бежевый</x:v>
      </x:c>
      <x:c r="C2439" s="1" t="str">
        <x:v>Лонгсливы</x:v>
      </x:c>
      <x:c r="D2439" s="9" t="n">
        <x:v>8.2</x:v>
      </x:c>
      <x:c r="E2439" s="8" t="n">
        <x:v>10</x:v>
      </x:c>
      <x:c r="F2439" s="8" t="n">
        <x:v>0</x:v>
      </x:c>
      <x:c r="G2439" s="8" t="n">
        <x:v>0</x:v>
      </x:c>
      <x:c r="H2439" s="8" t="n">
        <x:v>0</x:v>
      </x:c>
      <x:c r="I2439" s="8" t="n">
        <x:v>0</x:v>
      </x:c>
      <x:c r="J2439" s="8" t="n">
        <x:v>0</x:v>
      </x:c>
      <x:c r="K2439" s="8" t="n">
        <x:v>0</x:v>
      </x:c>
      <x:c r="L2439" s="1" t="str">
        <x:v>Нет</x:v>
      </x:c>
      <x:c r="M2439" s="1" t="n">
        <x:v>0</x:v>
      </x:c>
    </x:row>
    <x:row r="2440">
      <x:c r="A2440" s="1" t="str">
        <x:v>67013514</x:v>
      </x:c>
      <x:c r="B2440" s="1" t="str">
        <x:v>longslivdlinna/бордовый</x:v>
      </x:c>
      <x:c r="C2440" s="1" t="str">
        <x:v>Лонгсливы</x:v>
      </x:c>
      <x:c r="D2440" s="9" t="n">
        <x:v>7.2</x:v>
      </x:c>
      <x:c r="E2440" s="8" t="n">
        <x:v>38</x:v>
      </x:c>
      <x:c r="F2440" s="8" t="n">
        <x:v>0</x:v>
      </x:c>
      <x:c r="G2440" s="8" t="n">
        <x:v>0</x:v>
      </x:c>
      <x:c r="H2440" s="8" t="n">
        <x:v>0</x:v>
      </x:c>
      <x:c r="I2440" s="8" t="n">
        <x:v>0</x:v>
      </x:c>
      <x:c r="J2440" s="8" t="n">
        <x:v>0</x:v>
      </x:c>
      <x:c r="K2440" s="8" t="n">
        <x:v>0</x:v>
      </x:c>
      <x:c r="L2440" s="1" t="str">
        <x:v>Нет</x:v>
      </x:c>
      <x:c r="M2440" s="1" t="n">
        <x:v>0</x:v>
      </x:c>
    </x:row>
    <x:row r="2441">
      <x:c r="A2441" s="1" t="str">
        <x:v>67784783</x:v>
      </x:c>
      <x:c r="B2441" s="1" t="str">
        <x:v>longslivdecolte/бордовый</x:v>
      </x:c>
      <x:c r="C2441" s="1" t="str">
        <x:v>Лонгсливы</x:v>
      </x:c>
      <x:c r="D2441" s="9" t="n">
        <x:v>7.7</x:v>
      </x:c>
      <x:c r="E2441" s="8" t="n">
        <x:v>16</x:v>
      </x:c>
      <x:c r="F2441" s="8" t="n">
        <x:v>0</x:v>
      </x:c>
      <x:c r="G2441" s="8" t="n">
        <x:v>0</x:v>
      </x:c>
      <x:c r="H2441" s="8" t="n">
        <x:v>0</x:v>
      </x:c>
      <x:c r="I2441" s="8" t="n">
        <x:v>0</x:v>
      </x:c>
      <x:c r="J2441" s="8" t="n">
        <x:v>0</x:v>
      </x:c>
      <x:c r="K2441" s="8" t="n">
        <x:v>0</x:v>
      </x:c>
      <x:c r="L2441" s="1" t="str">
        <x:v>Нет</x:v>
      </x:c>
      <x:c r="M2441" s="1" t="n">
        <x:v>0</x:v>
      </x:c>
    </x:row>
    <x:row r="2442">
      <x:c r="A2442" s="1" t="str">
        <x:v>68489509</x:v>
      </x:c>
      <x:c r="B2442" s="1" t="str">
        <x:v>longslivdlinna/морскаяволна</x:v>
      </x:c>
      <x:c r="C2442" s="1" t="str">
        <x:v>Лонгсливы</x:v>
      </x:c>
      <x:c r="D2442" s="9" t="n">
        <x:v>7.2</x:v>
      </x:c>
      <x:c r="E2442" s="8" t="n">
        <x:v>1847</x:v>
      </x:c>
      <x:c r="F2442" s="8" t="n">
        <x:v>1</x:v>
      </x:c>
      <x:c r="G2442" s="8" t="n">
        <x:v>0</x:v>
      </x:c>
      <x:c r="H2442" s="8" t="n">
        <x:v>28</x:v>
      </x:c>
      <x:c r="I2442" s="8" t="n">
        <x:v>0</x:v>
      </x:c>
      <x:c r="J2442" s="8" t="n">
        <x:v>2</x:v>
      </x:c>
      <x:c r="K2442" s="8" t="n">
        <x:v>1019</x:v>
      </x:c>
      <x:c r="L2442" s="1" t="str">
        <x:v>Нет</x:v>
      </x:c>
      <x:c r="M2442" s="1" t="n">
        <x:v>0</x:v>
      </x:c>
    </x:row>
    <x:row r="2443">
      <x:c r="A2443" s="1" t="str">
        <x:v>70430688</x:v>
      </x:c>
      <x:c r="B2443" s="1" t="str">
        <x:v>longslivdlinna/эвкалипт</x:v>
      </x:c>
      <x:c r="C2443" s="1" t="str">
        <x:v>Лонгсливы</x:v>
      </x:c>
      <x:c r="D2443" s="9" t="n">
        <x:v>7.2</x:v>
      </x:c>
      <x:c r="E2443" s="8" t="n">
        <x:v>75</x:v>
      </x:c>
      <x:c r="F2443" s="8" t="n">
        <x:v>0</x:v>
      </x:c>
      <x:c r="G2443" s="8" t="n">
        <x:v>0</x:v>
      </x:c>
      <x:c r="H2443" s="8" t="n">
        <x:v>0</x:v>
      </x:c>
      <x:c r="I2443" s="8" t="n">
        <x:v>0</x:v>
      </x:c>
      <x:c r="J2443" s="8" t="n">
        <x:v>0</x:v>
      </x:c>
      <x:c r="K2443" s="8" t="n">
        <x:v>0</x:v>
      </x:c>
      <x:c r="L2443" s="1" t="str">
        <x:v>Нет</x:v>
      </x:c>
      <x:c r="M2443" s="1" t="n">
        <x:v>0</x:v>
      </x:c>
    </x:row>
    <x:row r="2444">
      <x:c r="A2444" s="1" t="str">
        <x:v>70431454</x:v>
      </x:c>
      <x:c r="B2444" s="1" t="str">
        <x:v>longslivdlinna/серовато-розовый</x:v>
      </x:c>
      <x:c r="C2444" s="1" t="str">
        <x:v>Лонгсливы</x:v>
      </x:c>
      <x:c r="D2444" s="9" t="n">
        <x:v>5.2</x:v>
      </x:c>
      <x:c r="E2444" s="8" t="n">
        <x:v>38</x:v>
      </x:c>
      <x:c r="F2444" s="8" t="n">
        <x:v>0</x:v>
      </x:c>
      <x:c r="G2444" s="8" t="n">
        <x:v>0</x:v>
      </x:c>
      <x:c r="H2444" s="8" t="n">
        <x:v>0</x:v>
      </x:c>
      <x:c r="I2444" s="8" t="n">
        <x:v>0</x:v>
      </x:c>
      <x:c r="J2444" s="8" t="n">
        <x:v>0</x:v>
      </x:c>
      <x:c r="K2444" s="8" t="n">
        <x:v>0</x:v>
      </x:c>
      <x:c r="L2444" s="1" t="str">
        <x:v>Нет</x:v>
      </x:c>
      <x:c r="M2444" s="1" t="n">
        <x:v>0</x:v>
      </x:c>
    </x:row>
    <x:row r="2445">
      <x:c r="A2445" s="1" t="str">
        <x:v>70433777</x:v>
      </x:c>
      <x:c r="B2445" s="1" t="str">
        <x:v>longslivdecolte/голубой</x:v>
      </x:c>
      <x:c r="C2445" s="1" t="str">
        <x:v>Лонгсливы</x:v>
      </x:c>
      <x:c r="D2445" s="9" t="n">
        <x:v>7.7</x:v>
      </x:c>
      <x:c r="E2445" s="8" t="n">
        <x:v>24</x:v>
      </x:c>
      <x:c r="F2445" s="8" t="n">
        <x:v>0</x:v>
      </x:c>
      <x:c r="G2445" s="8" t="n">
        <x:v>0</x:v>
      </x:c>
      <x:c r="H2445" s="8" t="n">
        <x:v>0</x:v>
      </x:c>
      <x:c r="I2445" s="8" t="n">
        <x:v>0</x:v>
      </x:c>
      <x:c r="J2445" s="8" t="n">
        <x:v>0</x:v>
      </x:c>
      <x:c r="K2445" s="8" t="n">
        <x:v>0</x:v>
      </x:c>
      <x:c r="L2445" s="1" t="str">
        <x:v>Нет</x:v>
      </x:c>
      <x:c r="M2445" s="1" t="n">
        <x:v>0</x:v>
      </x:c>
    </x:row>
    <x:row r="2446">
      <x:c r="A2446" s="1" t="str">
        <x:v>70434433</x:v>
      </x:c>
      <x:c r="B2446" s="1" t="str">
        <x:v>longslivdecolte/морскаяволна</x:v>
      </x:c>
      <x:c r="C2446" s="1" t="str">
        <x:v>Лонгсливы</x:v>
      </x:c>
      <x:c r="D2446" s="9" t="n">
        <x:v>7.7</x:v>
      </x:c>
      <x:c r="E2446" s="8" t="n">
        <x:v>8</x:v>
      </x:c>
      <x:c r="F2446" s="8" t="n">
        <x:v>0</x:v>
      </x:c>
      <x:c r="G2446" s="8" t="n">
        <x:v>0</x:v>
      </x:c>
      <x:c r="H2446" s="8" t="n">
        <x:v>0</x:v>
      </x:c>
      <x:c r="I2446" s="8" t="n">
        <x:v>0</x:v>
      </x:c>
      <x:c r="J2446" s="8" t="n">
        <x:v>0</x:v>
      </x:c>
      <x:c r="K2446" s="8" t="n">
        <x:v>0</x:v>
      </x:c>
      <x:c r="L2446" s="1" t="str">
        <x:v>Нет</x:v>
      </x:c>
      <x:c r="M2446" s="1" t="n">
        <x:v>0</x:v>
      </x:c>
    </x:row>
    <x:row r="2447">
      <x:c r="A2447" s="1" t="str">
        <x:v>71719989</x:v>
      </x:c>
      <x:c r="B2447" s="1" t="str">
        <x:v>longslivkvadrat/голубой</x:v>
      </x:c>
      <x:c r="C2447" s="1" t="str">
        <x:v>Лонгсливы</x:v>
      </x:c>
      <x:c r="D2447" s="9" t="n">
        <x:v>5.2</x:v>
      </x:c>
      <x:c r="E2447" s="8" t="n">
        <x:v>17</x:v>
      </x:c>
      <x:c r="F2447" s="8" t="n">
        <x:v>0</x:v>
      </x:c>
      <x:c r="G2447" s="8" t="n">
        <x:v>0</x:v>
      </x:c>
      <x:c r="H2447" s="8" t="n">
        <x:v>0</x:v>
      </x:c>
      <x:c r="I2447" s="8" t="n">
        <x:v>0</x:v>
      </x:c>
      <x:c r="J2447" s="8" t="n">
        <x:v>0</x:v>
      </x:c>
      <x:c r="K2447" s="8" t="n">
        <x:v>0</x:v>
      </x:c>
      <x:c r="L2447" s="1" t="str">
        <x:v>Нет</x:v>
      </x:c>
      <x:c r="M2447" s="1" t="n">
        <x:v>0</x:v>
      </x:c>
    </x:row>
    <x:row r="2448">
      <x:c r="A2448" s="1" t="str">
        <x:v>71723514</x:v>
      </x:c>
      <x:c r="B2448" s="1" t="str">
        <x:v>longslivkvadrat/фуксия</x:v>
      </x:c>
      <x:c r="C2448" s="1" t="str">
        <x:v>Лонгсливы</x:v>
      </x:c>
      <x:c r="D2448" s="9" t="n">
        <x:v>3.2</x:v>
      </x:c>
      <x:c r="E2448" s="8" t="n">
        <x:v>6</x:v>
      </x:c>
      <x:c r="F2448" s="8" t="n">
        <x:v>0</x:v>
      </x:c>
      <x:c r="G2448" s="8" t="n">
        <x:v>0</x:v>
      </x:c>
      <x:c r="H2448" s="8" t="n">
        <x:v>0</x:v>
      </x:c>
      <x:c r="I2448" s="8" t="n">
        <x:v>0</x:v>
      </x:c>
      <x:c r="J2448" s="8" t="n">
        <x:v>0</x:v>
      </x:c>
      <x:c r="K2448" s="8" t="n">
        <x:v>0</x:v>
      </x:c>
      <x:c r="L2448" s="1" t="str">
        <x:v>Нет</x:v>
      </x:c>
      <x:c r="M2448" s="1" t="n">
        <x:v>0</x:v>
      </x:c>
    </x:row>
    <x:row r="2449">
      <x:c r="A2449" s="1" t="str">
        <x:v>71891546</x:v>
      </x:c>
      <x:c r="B2449" s="1" t="str">
        <x:v>longslivkvadrat/эвкалипт</x:v>
      </x:c>
      <x:c r="C2449" s="1" t="str">
        <x:v>Лонгсливы</x:v>
      </x:c>
      <x:c r="D2449" s="9" t="n">
        <x:v>5.2</x:v>
      </x:c>
      <x:c r="E2449" s="8" t="n">
        <x:v>10</x:v>
      </x:c>
      <x:c r="F2449" s="8" t="n">
        <x:v>0</x:v>
      </x:c>
      <x:c r="G2449" s="8" t="n">
        <x:v>0</x:v>
      </x:c>
      <x:c r="H2449" s="8" t="n">
        <x:v>0</x:v>
      </x:c>
      <x:c r="I2449" s="8" t="n">
        <x:v>0</x:v>
      </x:c>
      <x:c r="J2449" s="8" t="n">
        <x:v>0</x:v>
      </x:c>
      <x:c r="K2449" s="8" t="n">
        <x:v>0</x:v>
      </x:c>
      <x:c r="L2449" s="1" t="str">
        <x:v>Нет</x:v>
      </x:c>
      <x:c r="M2449" s="1" t="n">
        <x:v>0</x:v>
      </x:c>
    </x:row>
    <x:row r="2450">
      <x:c r="A2450" s="1" t="str">
        <x:v>71892257</x:v>
      </x:c>
      <x:c r="B2450" s="1" t="str">
        <x:v>longslivkvadrat/бордовый</x:v>
      </x:c>
      <x:c r="C2450" s="1" t="str">
        <x:v>Лонгсливы</x:v>
      </x:c>
      <x:c r="D2450" s="9" t="n">
        <x:v>5.2</x:v>
      </x:c>
      <x:c r="E2450" s="8" t="n">
        <x:v>10</x:v>
      </x:c>
      <x:c r="F2450" s="8" t="n">
        <x:v>0</x:v>
      </x:c>
      <x:c r="G2450" s="8" t="n">
        <x:v>0</x:v>
      </x:c>
      <x:c r="H2450" s="8" t="n">
        <x:v>0</x:v>
      </x:c>
      <x:c r="I2450" s="8" t="n">
        <x:v>0</x:v>
      </x:c>
      <x:c r="J2450" s="8" t="n">
        <x:v>0</x:v>
      </x:c>
      <x:c r="K2450" s="8" t="n">
        <x:v>0</x:v>
      </x:c>
      <x:c r="L2450" s="1" t="str">
        <x:v>Нет</x:v>
      </x:c>
      <x:c r="M2450" s="1" t="n">
        <x:v>0</x:v>
      </x:c>
    </x:row>
    <x:row r="2451">
      <x:c r="A2451" s="1" t="str">
        <x:v>71892611</x:v>
      </x:c>
      <x:c r="B2451" s="1" t="str">
        <x:v>longslivkvadrat/морскаяволна</x:v>
      </x:c>
      <x:c r="C2451" s="1" t="str">
        <x:v>Лонгсливы</x:v>
      </x:c>
      <x:c r="D2451" s="9" t="n">
        <x:v>5.2</x:v>
      </x:c>
      <x:c r="E2451" s="8" t="n">
        <x:v>6</x:v>
      </x:c>
      <x:c r="F2451" s="8" t="n">
        <x:v>0</x:v>
      </x:c>
      <x:c r="G2451" s="8" t="n">
        <x:v>0</x:v>
      </x:c>
      <x:c r="H2451" s="8" t="n">
        <x:v>0</x:v>
      </x:c>
      <x:c r="I2451" s="8" t="n">
        <x:v>0</x:v>
      </x:c>
      <x:c r="J2451" s="8" t="n">
        <x:v>0</x:v>
      </x:c>
      <x:c r="K2451" s="8" t="n">
        <x:v>0</x:v>
      </x:c>
      <x:c r="L2451" s="1" t="str">
        <x:v>Нет</x:v>
      </x:c>
      <x:c r="M2451" s="1" t="n">
        <x:v>0</x:v>
      </x:c>
    </x:row>
    <x:row r="2452">
      <x:c r="A2452" s="1" t="str">
        <x:v>71893006</x:v>
      </x:c>
      <x:c r="B2452" s="1" t="str">
        <x:v>longslivkvadrat/сероваторозовый</x:v>
      </x:c>
      <x:c r="C2452" s="1" t="str">
        <x:v>Лонгсливы</x:v>
      </x:c>
      <x:c r="D2452" s="9" t="n">
        <x:v>5.2</x:v>
      </x:c>
      <x:c r="E2452" s="8" t="n">
        <x:v>5</x:v>
      </x:c>
      <x:c r="F2452" s="8" t="n">
        <x:v>0</x:v>
      </x:c>
      <x:c r="G2452" s="8" t="n">
        <x:v>0</x:v>
      </x:c>
      <x:c r="H2452" s="8" t="n">
        <x:v>0</x:v>
      </x:c>
      <x:c r="I2452" s="8" t="n">
        <x:v>0</x:v>
      </x:c>
      <x:c r="J2452" s="8" t="n">
        <x:v>0</x:v>
      </x:c>
      <x:c r="K2452" s="8" t="n">
        <x:v>0</x:v>
      </x:c>
      <x:c r="L2452" s="1" t="str">
        <x:v>Нет</x:v>
      </x:c>
      <x:c r="M2452" s="1" t="n">
        <x:v>0</x:v>
      </x:c>
    </x:row>
    <x:row r="2453">
      <x:c r="A2453" s="1" t="str">
        <x:v>71893287</x:v>
      </x:c>
      <x:c r="B2453" s="1" t="str">
        <x:v>longslivkvadrat/хаки</x:v>
      </x:c>
      <x:c r="C2453" s="1" t="str">
        <x:v>Лонгсливы</x:v>
      </x:c>
      <x:c r="D2453" s="9" t="n">
        <x:v>3.2</x:v>
      </x:c>
      <x:c r="E2453" s="8" t="n">
        <x:v>10</x:v>
      </x:c>
      <x:c r="F2453" s="8" t="n">
        <x:v>0</x:v>
      </x:c>
      <x:c r="G2453" s="8" t="n">
        <x:v>0</x:v>
      </x:c>
      <x:c r="H2453" s="8" t="n">
        <x:v>0</x:v>
      </x:c>
      <x:c r="I2453" s="8" t="n">
        <x:v>0</x:v>
      </x:c>
      <x:c r="J2453" s="8" t="n">
        <x:v>0</x:v>
      </x:c>
      <x:c r="K2453" s="8" t="n">
        <x:v>0</x:v>
      </x:c>
      <x:c r="L2453" s="1" t="str">
        <x:v>Нет</x:v>
      </x:c>
      <x:c r="M2453" s="1" t="n">
        <x:v>0</x:v>
      </x:c>
    </x:row>
    <x:row r="2454">
      <x:c r="A2454" s="1" t="str">
        <x:v>71900909</x:v>
      </x:c>
      <x:c r="B2454" s="1" t="str">
        <x:v>longslivkvadratkorot/голубой</x:v>
      </x:c>
      <x:c r="C2454" s="1" t="str">
        <x:v>Лонгсливы</x:v>
      </x:c>
      <x:c r="D2454" s="9" t="n">
        <x:v>8.2</x:v>
      </x:c>
      <x:c r="E2454" s="8" t="n">
        <x:v>12</x:v>
      </x:c>
      <x:c r="F2454" s="8" t="n">
        <x:v>0</x:v>
      </x:c>
      <x:c r="G2454" s="8" t="n">
        <x:v>0</x:v>
      </x:c>
      <x:c r="H2454" s="8" t="n">
        <x:v>0</x:v>
      </x:c>
      <x:c r="I2454" s="8" t="n">
        <x:v>0</x:v>
      </x:c>
      <x:c r="J2454" s="8" t="n">
        <x:v>0</x:v>
      </x:c>
      <x:c r="K2454" s="8" t="n">
        <x:v>0</x:v>
      </x:c>
      <x:c r="L2454" s="1" t="str">
        <x:v>Нет</x:v>
      </x:c>
      <x:c r="M2454" s="1" t="n">
        <x:v>0</x:v>
      </x:c>
    </x:row>
    <x:row r="2455">
      <x:c r="A2455" s="1" t="str">
        <x:v>71995357</x:v>
      </x:c>
      <x:c r="B2455" s="1" t="str">
        <x:v>longslivkvadratkorot/фуксия</x:v>
      </x:c>
      <x:c r="C2455" s="1" t="str">
        <x:v>Лонгсливы</x:v>
      </x:c>
      <x:c r="D2455" s="9" t="n">
        <x:v>6.2</x:v>
      </x:c>
      <x:c r="E2455" s="8" t="n">
        <x:v>9</x:v>
      </x:c>
      <x:c r="F2455" s="8" t="n">
        <x:v>0</x:v>
      </x:c>
      <x:c r="G2455" s="8" t="n">
        <x:v>0</x:v>
      </x:c>
      <x:c r="H2455" s="8" t="n">
        <x:v>0</x:v>
      </x:c>
      <x:c r="I2455" s="8" t="n">
        <x:v>0</x:v>
      </x:c>
      <x:c r="J2455" s="8" t="n">
        <x:v>0</x:v>
      </x:c>
      <x:c r="K2455" s="8" t="n">
        <x:v>0</x:v>
      </x:c>
      <x:c r="L2455" s="1" t="str">
        <x:v>Нет</x:v>
      </x:c>
      <x:c r="M2455" s="1" t="n">
        <x:v>0</x:v>
      </x:c>
    </x:row>
    <x:row r="2456">
      <x:c r="A2456" s="1" t="str">
        <x:v>71995480</x:v>
      </x:c>
      <x:c r="B2456" s="1" t="str">
        <x:v>longslivkvadratkorot/бордовый</x:v>
      </x:c>
      <x:c r="C2456" s="1" t="str">
        <x:v>Лонгсливы</x:v>
      </x:c>
      <x:c r="D2456" s="9" t="n">
        <x:v>8.2</x:v>
      </x:c>
      <x:c r="E2456" s="8" t="n">
        <x:v>1</x:v>
      </x:c>
      <x:c r="F2456" s="8" t="n">
        <x:v>0</x:v>
      </x:c>
      <x:c r="G2456" s="8" t="n">
        <x:v>0</x:v>
      </x:c>
      <x:c r="H2456" s="8" t="n">
        <x:v>0</x:v>
      </x:c>
      <x:c r="I2456" s="8" t="n">
        <x:v>0</x:v>
      </x:c>
      <x:c r="J2456" s="8" t="n">
        <x:v>0</x:v>
      </x:c>
      <x:c r="K2456" s="8" t="n">
        <x:v>0</x:v>
      </x:c>
      <x:c r="L2456" s="1" t="str">
        <x:v>Нет</x:v>
      </x:c>
      <x:c r="M2456" s="1" t="n">
        <x:v>0</x:v>
      </x:c>
    </x:row>
    <x:row r="2457">
      <x:c r="A2457" s="1" t="str">
        <x:v>71995566</x:v>
      </x:c>
      <x:c r="B2457" s="1" t="str">
        <x:v>longslivkvadratkorot/морскаяволна</x:v>
      </x:c>
      <x:c r="C2457" s="1" t="str">
        <x:v>Лонгсливы</x:v>
      </x:c>
      <x:c r="D2457" s="9" t="n">
        <x:v>8.2</x:v>
      </x:c>
      <x:c r="E2457" s="8" t="n">
        <x:v>2</x:v>
      </x:c>
      <x:c r="F2457" s="8" t="n">
        <x:v>0</x:v>
      </x:c>
      <x:c r="G2457" s="8" t="n">
        <x:v>0</x:v>
      </x:c>
      <x:c r="H2457" s="8" t="n">
        <x:v>0</x:v>
      </x:c>
      <x:c r="I2457" s="8" t="n">
        <x:v>0</x:v>
      </x:c>
      <x:c r="J2457" s="8" t="n">
        <x:v>0</x:v>
      </x:c>
      <x:c r="K2457" s="8" t="n">
        <x:v>0</x:v>
      </x:c>
      <x:c r="L2457" s="1" t="str">
        <x:v>Нет</x:v>
      </x:c>
      <x:c r="M2457" s="1" t="n">
        <x:v>0</x:v>
      </x:c>
    </x:row>
    <x:row r="2458">
      <x:c r="A2458" s="1" t="str">
        <x:v>71995614</x:v>
      </x:c>
      <x:c r="B2458" s="1" t="str">
        <x:v>longslivkvadratkorot/хаки</x:v>
      </x:c>
      <x:c r="C2458" s="1" t="str">
        <x:v>Лонгсливы</x:v>
      </x:c>
      <x:c r="D2458" s="9" t="n">
        <x:v>8.2</x:v>
      </x:c>
      <x:c r="E2458" s="8" t="n">
        <x:v>6</x:v>
      </x:c>
      <x:c r="F2458" s="8" t="n">
        <x:v>0</x:v>
      </x:c>
      <x:c r="G2458" s="8" t="n">
        <x:v>0</x:v>
      </x:c>
      <x:c r="H2458" s="8" t="n">
        <x:v>0</x:v>
      </x:c>
      <x:c r="I2458" s="8" t="n">
        <x:v>0</x:v>
      </x:c>
      <x:c r="J2458" s="8" t="n">
        <x:v>0</x:v>
      </x:c>
      <x:c r="K2458" s="8" t="n">
        <x:v>0</x:v>
      </x:c>
      <x:c r="L2458" s="1" t="str">
        <x:v>Нет</x:v>
      </x:c>
      <x:c r="M2458" s="1" t="n">
        <x:v>0</x:v>
      </x:c>
    </x:row>
    <x:row r="2459">
      <x:c r="A2459" s="1" t="str">
        <x:v>74618727</x:v>
      </x:c>
      <x:c r="B2459" s="1" t="str">
        <x:v>longslivdecolte/фуксия</x:v>
      </x:c>
      <x:c r="C2459" s="1" t="str">
        <x:v>Лонгсливы</x:v>
      </x:c>
      <x:c r="D2459" s="9" t="n">
        <x:v>5.7</x:v>
      </x:c>
      <x:c r="E2459" s="8" t="n">
        <x:v>335</x:v>
      </x:c>
      <x:c r="F2459" s="8" t="n">
        <x:v>2</x:v>
      </x:c>
      <x:c r="G2459" s="8" t="n">
        <x:v>0</x:v>
      </x:c>
      <x:c r="H2459" s="8" t="n">
        <x:v>0</x:v>
      </x:c>
      <x:c r="I2459" s="8" t="n">
        <x:v>0</x:v>
      </x:c>
      <x:c r="J2459" s="8" t="n">
        <x:v>2</x:v>
      </x:c>
      <x:c r="K2459" s="8" t="n">
        <x:v>500</x:v>
      </x:c>
      <x:c r="L2459" s="1" t="str">
        <x:v>Нет</x:v>
      </x:c>
      <x:c r="M2459" s="1" t="n">
        <x:v>0</x:v>
      </x:c>
    </x:row>
    <x:row r="2460">
      <x:c r="A2460" s="1" t="str">
        <x:v>75369407</x:v>
      </x:c>
      <x:c r="B2460" s="1" t="str">
        <x:v>futbolka_mary/фуксия</x:v>
      </x:c>
      <x:c r="C2460" s="1" t="str">
        <x:v>Футболки</x:v>
      </x:c>
      <x:c r="D2460" s="9" t="n">
        <x:v>7.2</x:v>
      </x:c>
      <x:c r="E2460" s="8" t="n">
        <x:v>14</x:v>
      </x:c>
      <x:c r="F2460" s="8" t="n">
        <x:v>0</x:v>
      </x:c>
      <x:c r="G2460" s="8" t="n">
        <x:v>0</x:v>
      </x:c>
      <x:c r="H2460" s="8" t="n">
        <x:v>0</x:v>
      </x:c>
      <x:c r="I2460" s="8" t="n">
        <x:v>0</x:v>
      </x:c>
      <x:c r="J2460" s="8" t="n">
        <x:v>0</x:v>
      </x:c>
      <x:c r="K2460" s="8" t="n">
        <x:v>0</x:v>
      </x:c>
      <x:c r="L2460" s="1" t="str">
        <x:v>Нет</x:v>
      </x:c>
      <x:c r="M2460" s="1" t="n">
        <x:v>0</x:v>
      </x:c>
    </x:row>
    <x:row r="2461">
      <x:c r="A2461" s="1" t="str">
        <x:v>76640088</x:v>
      </x:c>
      <x:c r="B2461" s="1" t="str">
        <x:v>futbolka/голубой</x:v>
      </x:c>
      <x:c r="C2461" s="1" t="str">
        <x:v>Футболки</x:v>
      </x:c>
      <x:c r="D2461" s="9" t="n">
        <x:v>7.2</x:v>
      </x:c>
      <x:c r="E2461" s="8" t="n">
        <x:v>428</x:v>
      </x:c>
      <x:c r="F2461" s="8" t="n">
        <x:v>2</x:v>
      </x:c>
      <x:c r="G2461" s="8" t="n">
        <x:v>0</x:v>
      </x:c>
      <x:c r="H2461" s="8" t="n">
        <x:v>0</x:v>
      </x:c>
      <x:c r="I2461" s="8" t="n">
        <x:v>0</x:v>
      </x:c>
      <x:c r="J2461" s="8" t="n">
        <x:v>14</x:v>
      </x:c>
      <x:c r="K2461" s="8" t="n">
        <x:v>895</x:v>
      </x:c>
      <x:c r="L2461" s="1" t="str">
        <x:v>Нет</x:v>
      </x:c>
      <x:c r="M2461" s="1" t="n">
        <x:v>6335</x:v>
      </x:c>
    </x:row>
    <x:row r="2462">
      <x:c r="A2462" s="1" t="str">
        <x:v>76642063</x:v>
      </x:c>
      <x:c r="B2462" s="1" t="str">
        <x:v>futbolka/зеленый</x:v>
      </x:c>
      <x:c r="C2462" s="1" t="str">
        <x:v>Футболки</x:v>
      </x:c>
      <x:c r="D2462" s="9" t="n">
        <x:v>7.2</x:v>
      </x:c>
      <x:c r="E2462" s="8" t="n">
        <x:v>44</x:v>
      </x:c>
      <x:c r="F2462" s="8" t="n">
        <x:v>0</x:v>
      </x:c>
      <x:c r="G2462" s="8" t="n">
        <x:v>0</x:v>
      </x:c>
      <x:c r="H2462" s="8" t="n">
        <x:v>0</x:v>
      </x:c>
      <x:c r="I2462" s="8" t="n">
        <x:v>0</x:v>
      </x:c>
      <x:c r="J2462" s="8" t="n">
        <x:v>0</x:v>
      </x:c>
      <x:c r="K2462" s="8" t="n">
        <x:v>0</x:v>
      </x:c>
      <x:c r="L2462" s="1" t="str">
        <x:v>Нет</x:v>
      </x:c>
      <x:c r="M2462" s="1" t="n">
        <x:v>0</x:v>
      </x:c>
    </x:row>
    <x:row r="2463">
      <x:c r="A2463" s="1" t="str">
        <x:v>79673738</x:v>
      </x:c>
      <x:c r="B2463" s="1" t="str">
        <x:v>longslivdekoltekor/светло-фиолетовый</x:v>
      </x:c>
      <x:c r="C2463" s="1" t="str">
        <x:v>Лонгсливы</x:v>
      </x:c>
      <x:c r="D2463" s="9" t="n">
        <x:v>8.2</x:v>
      </x:c>
      <x:c r="E2463" s="8" t="n">
        <x:v>7</x:v>
      </x:c>
      <x:c r="F2463" s="8" t="n">
        <x:v>0</x:v>
      </x:c>
      <x:c r="G2463" s="8" t="n">
        <x:v>0</x:v>
      </x:c>
      <x:c r="H2463" s="8" t="n">
        <x:v>0</x:v>
      </x:c>
      <x:c r="I2463" s="8" t="n">
        <x:v>0</x:v>
      </x:c>
      <x:c r="J2463" s="8" t="n">
        <x:v>0</x:v>
      </x:c>
      <x:c r="K2463" s="8" t="n">
        <x:v>0</x:v>
      </x:c>
      <x:c r="L2463" s="1" t="str">
        <x:v>Нет</x:v>
      </x:c>
      <x:c r="M2463" s="1" t="n">
        <x:v>0</x:v>
      </x:c>
    </x:row>
    <x:row r="2464">
      <x:c r="A2464" s="1" t="str">
        <x:v>79678048</x:v>
      </x:c>
      <x:c r="B2464" s="1" t="str">
        <x:v>longslivdekoltekor/белый</x:v>
      </x:c>
      <x:c r="C2464" s="1" t="str">
        <x:v>Лонгсливы</x:v>
      </x:c>
      <x:c r="D2464" s="9" t="n">
        <x:v>8.2</x:v>
      </x:c>
      <x:c r="E2464" s="8" t="n">
        <x:v>2</x:v>
      </x:c>
      <x:c r="F2464" s="8" t="n">
        <x:v>0</x:v>
      </x:c>
      <x:c r="G2464" s="8" t="n">
        <x:v>0</x:v>
      </x:c>
      <x:c r="H2464" s="8" t="n">
        <x:v>0</x:v>
      </x:c>
      <x:c r="I2464" s="8" t="n">
        <x:v>0</x:v>
      </x:c>
      <x:c r="J2464" s="8" t="n">
        <x:v>0</x:v>
      </x:c>
      <x:c r="K2464" s="8" t="n">
        <x:v>0</x:v>
      </x:c>
      <x:c r="L2464" s="1" t="str">
        <x:v>Нет</x:v>
      </x:c>
      <x:c r="M2464" s="1" t="n">
        <x:v>0</x:v>
      </x:c>
    </x:row>
    <x:row r="2465">
      <x:c r="A2465" s="1" t="str">
        <x:v>79685336</x:v>
      </x:c>
      <x:c r="B2465" s="1" t="str">
        <x:v>longslivdekoltekor/бордовый</x:v>
      </x:c>
      <x:c r="C2465" s="1" t="str">
        <x:v>Лонгсливы</x:v>
      </x:c>
      <x:c r="D2465" s="9" t="n">
        <x:v>8.2</x:v>
      </x:c>
      <x:c r="E2465" s="8" t="n">
        <x:v>7</x:v>
      </x:c>
      <x:c r="F2465" s="8" t="n">
        <x:v>0</x:v>
      </x:c>
      <x:c r="G2465" s="8" t="n">
        <x:v>0</x:v>
      </x:c>
      <x:c r="H2465" s="8" t="n">
        <x:v>0</x:v>
      </x:c>
      <x:c r="I2465" s="8" t="n">
        <x:v>0</x:v>
      </x:c>
      <x:c r="J2465" s="8" t="n">
        <x:v>0</x:v>
      </x:c>
      <x:c r="K2465" s="8" t="n">
        <x:v>0</x:v>
      </x:c>
      <x:c r="L2465" s="1" t="str">
        <x:v>Нет</x:v>
      </x:c>
      <x:c r="M2465" s="1" t="n">
        <x:v>0</x:v>
      </x:c>
    </x:row>
    <x:row r="2466">
      <x:c r="A2466" s="1" t="str">
        <x:v>79688635</x:v>
      </x:c>
      <x:c r="B2466" s="1" t="str">
        <x:v>longslivdekoltekor/морскаяволна</x:v>
      </x:c>
      <x:c r="C2466" s="1" t="str">
        <x:v>Лонгсливы</x:v>
      </x:c>
      <x:c r="D2466" s="9" t="n">
        <x:v>8.2</x:v>
      </x:c>
      <x:c r="E2466" s="8" t="n">
        <x:v>10</x:v>
      </x:c>
      <x:c r="F2466" s="8" t="n">
        <x:v>0</x:v>
      </x:c>
      <x:c r="G2466" s="8" t="n">
        <x:v>0</x:v>
      </x:c>
      <x:c r="H2466" s="8" t="n">
        <x:v>0</x:v>
      </x:c>
      <x:c r="I2466" s="8" t="n">
        <x:v>0</x:v>
      </x:c>
      <x:c r="J2466" s="8" t="n">
        <x:v>0</x:v>
      </x:c>
      <x:c r="K2466" s="8" t="n">
        <x:v>0</x:v>
      </x:c>
      <x:c r="L2466" s="1" t="str">
        <x:v>Нет</x:v>
      </x:c>
      <x:c r="M2466" s="1" t="n">
        <x:v>0</x:v>
      </x:c>
    </x:row>
    <x:row r="2467">
      <x:c r="A2467" s="1" t="str">
        <x:v>79696441</x:v>
      </x:c>
      <x:c r="B2467" s="1" t="str">
        <x:v>longslivdlinna/светло-фиолетовый</x:v>
      </x:c>
      <x:c r="C2467" s="1" t="str">
        <x:v>Лонгсливы</x:v>
      </x:c>
      <x:c r="D2467" s="9" t="n">
        <x:v>7.2</x:v>
      </x:c>
      <x:c r="E2467" s="8" t="n">
        <x:v>34</x:v>
      </x:c>
      <x:c r="F2467" s="8" t="n">
        <x:v>0</x:v>
      </x:c>
      <x:c r="G2467" s="8" t="n">
        <x:v>0</x:v>
      </x:c>
      <x:c r="H2467" s="8" t="n">
        <x:v>0</x:v>
      </x:c>
      <x:c r="I2467" s="8" t="n">
        <x:v>0</x:v>
      </x:c>
      <x:c r="J2467" s="8" t="n">
        <x:v>0</x:v>
      </x:c>
      <x:c r="K2467" s="8" t="n">
        <x:v>0</x:v>
      </x:c>
      <x:c r="L2467" s="1" t="str">
        <x:v>Нет</x:v>
      </x:c>
      <x:c r="M2467" s="1" t="n">
        <x:v>0</x:v>
      </x:c>
    </x:row>
    <x:row r="2468">
      <x:c r="A2468" s="1" t="str">
        <x:v>79696785</x:v>
      </x:c>
      <x:c r="B2468" s="1" t="str">
        <x:v>longslivdlinna/дымка</x:v>
      </x:c>
      <x:c r="C2468" s="1" t="str">
        <x:v>Лонгсливы</x:v>
      </x:c>
      <x:c r="D2468" s="9" t="n">
        <x:v>7.2</x:v>
      </x:c>
      <x:c r="E2468" s="8" t="n">
        <x:v>57</x:v>
      </x:c>
      <x:c r="F2468" s="8" t="n">
        <x:v>0</x:v>
      </x:c>
      <x:c r="G2468" s="8" t="n">
        <x:v>0</x:v>
      </x:c>
      <x:c r="H2468" s="8" t="n">
        <x:v>0</x:v>
      </x:c>
      <x:c r="I2468" s="8" t="n">
        <x:v>0</x:v>
      </x:c>
      <x:c r="J2468" s="8" t="n">
        <x:v>0</x:v>
      </x:c>
      <x:c r="K2468" s="8" t="n">
        <x:v>0</x:v>
      </x:c>
      <x:c r="L2468" s="1" t="str">
        <x:v>Нет</x:v>
      </x:c>
      <x:c r="M2468" s="1" t="n">
        <x:v>0</x:v>
      </x:c>
    </x:row>
    <x:row r="2469">
      <x:c r="A2469" s="1" t="str">
        <x:v>79698470</x:v>
      </x:c>
      <x:c r="B2469" s="1" t="str">
        <x:v>longslivdlinna/коричневый</x:v>
      </x:c>
      <x:c r="C2469" s="1" t="str">
        <x:v>Лонгсливы</x:v>
      </x:c>
      <x:c r="D2469" s="9" t="n">
        <x:v>5.2</x:v>
      </x:c>
      <x:c r="E2469" s="8" t="n">
        <x:v>42</x:v>
      </x:c>
      <x:c r="F2469" s="8" t="n">
        <x:v>0</x:v>
      </x:c>
      <x:c r="G2469" s="8" t="n">
        <x:v>0</x:v>
      </x:c>
      <x:c r="H2469" s="8" t="n">
        <x:v>0</x:v>
      </x:c>
      <x:c r="I2469" s="8" t="n">
        <x:v>0</x:v>
      </x:c>
      <x:c r="J2469" s="8" t="n">
        <x:v>3</x:v>
      </x:c>
      <x:c r="K2469" s="8" t="n">
        <x:v>0</x:v>
      </x:c>
      <x:c r="L2469" s="1" t="str">
        <x:v>Нет</x:v>
      </x:c>
      <x:c r="M2469" s="1" t="n">
        <x:v>2650</x:v>
      </x:c>
    </x:row>
    <x:row r="2470">
      <x:c r="A2470" s="1" t="str">
        <x:v>79900272</x:v>
      </x:c>
      <x:c r="B2470" s="1" t="str">
        <x:v>futbolka/банановый</x:v>
      </x:c>
      <x:c r="C2470" s="1" t="str">
        <x:v>Футболки</x:v>
      </x:c>
      <x:c r="D2470" s="9" t="n">
        <x:v>7.2</x:v>
      </x:c>
      <x:c r="E2470" s="8" t="n">
        <x:v>123</x:v>
      </x:c>
      <x:c r="F2470" s="8" t="n">
        <x:v>0</x:v>
      </x:c>
      <x:c r="G2470" s="8" t="n">
        <x:v>0</x:v>
      </x:c>
      <x:c r="H2470" s="8" t="n">
        <x:v>0</x:v>
      </x:c>
      <x:c r="I2470" s="8" t="n">
        <x:v>0</x:v>
      </x:c>
      <x:c r="J2470" s="8" t="n">
        <x:v>1</x:v>
      </x:c>
      <x:c r="K2470" s="8" t="n">
        <x:v>0</x:v>
      </x:c>
      <x:c r="L2470" s="1" t="str">
        <x:v>Нет</x:v>
      </x:c>
      <x:c r="M2470" s="1" t="n">
        <x:v>825</x:v>
      </x:c>
    </x:row>
    <x:row r="2471">
      <x:c r="A2471" s="1" t="str">
        <x:v>79906650</x:v>
      </x:c>
      <x:c r="B2471" s="1" t="str">
        <x:v>futbolka/бордовый</x:v>
      </x:c>
      <x:c r="C2471" s="1" t="str">
        <x:v>Футболки</x:v>
      </x:c>
      <x:c r="D2471" s="9" t="n">
        <x:v>7.2</x:v>
      </x:c>
      <x:c r="E2471" s="8" t="n">
        <x:v>18</x:v>
      </x:c>
      <x:c r="F2471" s="8" t="n">
        <x:v>0</x:v>
      </x:c>
      <x:c r="G2471" s="8" t="n">
        <x:v>0</x:v>
      </x:c>
      <x:c r="H2471" s="8" t="n">
        <x:v>0</x:v>
      </x:c>
      <x:c r="I2471" s="8" t="n">
        <x:v>0</x:v>
      </x:c>
      <x:c r="J2471" s="8" t="n">
        <x:v>0</x:v>
      </x:c>
      <x:c r="K2471" s="8" t="n">
        <x:v>0</x:v>
      </x:c>
      <x:c r="L2471" s="1" t="str">
        <x:v>Нет</x:v>
      </x:c>
      <x:c r="M2471" s="1" t="n">
        <x:v>0</x:v>
      </x:c>
    </x:row>
    <x:row r="2472">
      <x:c r="A2472" s="1" t="str">
        <x:v>79914884</x:v>
      </x:c>
      <x:c r="B2472" s="1" t="str">
        <x:v>futbolka_mary/банановый</x:v>
      </x:c>
      <x:c r="C2472" s="1" t="str">
        <x:v>Футболки</x:v>
      </x:c>
      <x:c r="D2472" s="9" t="n">
        <x:v>7.2</x:v>
      </x:c>
      <x:c r="E2472" s="8" t="n">
        <x:v>18</x:v>
      </x:c>
      <x:c r="F2472" s="8" t="n">
        <x:v>0</x:v>
      </x:c>
      <x:c r="G2472" s="8" t="n">
        <x:v>0</x:v>
      </x:c>
      <x:c r="H2472" s="8" t="n">
        <x:v>0</x:v>
      </x:c>
      <x:c r="I2472" s="8" t="n">
        <x:v>0</x:v>
      </x:c>
      <x:c r="J2472" s="8" t="n">
        <x:v>0</x:v>
      </x:c>
      <x:c r="K2472" s="8" t="n">
        <x:v>0</x:v>
      </x:c>
      <x:c r="L2472" s="1" t="str">
        <x:v>Нет</x:v>
      </x:c>
      <x:c r="M2472" s="1" t="n">
        <x:v>0</x:v>
      </x:c>
    </x:row>
    <x:row r="2473">
      <x:c r="A2473" s="1" t="str">
        <x:v>79926068</x:v>
      </x:c>
      <x:c r="B2473" s="1" t="str">
        <x:v>futbolka_mary/голубой</x:v>
      </x:c>
      <x:c r="C2473" s="1" t="str">
        <x:v>Футболки</x:v>
      </x:c>
      <x:c r="D2473" s="9" t="n">
        <x:v>5.2</x:v>
      </x:c>
      <x:c r="E2473" s="8" t="n">
        <x:v>8</x:v>
      </x:c>
      <x:c r="F2473" s="8" t="n">
        <x:v>0</x:v>
      </x:c>
      <x:c r="G2473" s="8" t="n">
        <x:v>0</x:v>
      </x:c>
      <x:c r="H2473" s="8" t="n">
        <x:v>0</x:v>
      </x:c>
      <x:c r="I2473" s="8" t="n">
        <x:v>0</x:v>
      </x:c>
      <x:c r="J2473" s="8" t="n">
        <x:v>0</x:v>
      </x:c>
      <x:c r="K2473" s="8" t="n">
        <x:v>0</x:v>
      </x:c>
      <x:c r="L2473" s="1" t="str">
        <x:v>Нет</x:v>
      </x:c>
      <x:c r="M2473" s="1" t="n">
        <x:v>0</x:v>
      </x:c>
    </x:row>
    <x:row r="2474">
      <x:c r="A2474" s="1" t="str">
        <x:v>79944797</x:v>
      </x:c>
      <x:c r="B2474" s="1" t="str">
        <x:v>futbolka_mary/морскаяволна</x:v>
      </x:c>
      <x:c r="C2474" s="1" t="str">
        <x:v>Футболки</x:v>
      </x:c>
      <x:c r="D2474" s="9" t="n">
        <x:v>7.2</x:v>
      </x:c>
      <x:c r="E2474" s="8" t="n">
        <x:v>82</x:v>
      </x:c>
      <x:c r="F2474" s="8" t="n">
        <x:v>0</x:v>
      </x:c>
      <x:c r="G2474" s="8" t="n">
        <x:v>0</x:v>
      </x:c>
      <x:c r="H2474" s="8" t="n">
        <x:v>0</x:v>
      </x:c>
      <x:c r="I2474" s="8" t="n">
        <x:v>0</x:v>
      </x:c>
      <x:c r="J2474" s="8" t="n">
        <x:v>0</x:v>
      </x:c>
      <x:c r="K2474" s="8" t="n">
        <x:v>0</x:v>
      </x:c>
      <x:c r="L2474" s="1" t="str">
        <x:v>Нет</x:v>
      </x:c>
      <x:c r="M2474" s="1" t="n">
        <x:v>0</x:v>
      </x:c>
    </x:row>
    <x:row r="2475">
      <x:c r="A2475" s="1" t="str">
        <x:v>80096466</x:v>
      </x:c>
      <x:c r="B2475" s="1" t="str">
        <x:v>longslivdlinna/молочный</x:v>
      </x:c>
      <x:c r="C2475" s="1" t="str">
        <x:v>Лонгсливы</x:v>
      </x:c>
      <x:c r="D2475" s="9" t="n">
        <x:v>7.2</x:v>
      </x:c>
      <x:c r="E2475" s="8" t="n">
        <x:v>177</x:v>
      </x:c>
      <x:c r="F2475" s="8" t="n">
        <x:v>0</x:v>
      </x:c>
      <x:c r="G2475" s="8" t="n">
        <x:v>0</x:v>
      </x:c>
      <x:c r="H2475" s="8" t="n">
        <x:v>0</x:v>
      </x:c>
      <x:c r="I2475" s="8" t="n">
        <x:v>0</x:v>
      </x:c>
      <x:c r="J2475" s="8" t="n">
        <x:v>0</x:v>
      </x:c>
      <x:c r="K2475" s="8" t="n">
        <x:v>0</x:v>
      </x:c>
      <x:c r="L2475" s="1" t="str">
        <x:v>Нет</x:v>
      </x:c>
      <x:c r="M2475" s="1" t="n">
        <x:v>0</x:v>
      </x:c>
    </x:row>
    <x:row r="2476">
      <x:c r="A2476" s="1" t="str">
        <x:v>88805527</x:v>
      </x:c>
      <x:c r="B2476" s="1" t="str">
        <x:v>futbolka/салатовый</x:v>
      </x:c>
      <x:c r="C2476" s="1" t="str">
        <x:v>Футболки</x:v>
      </x:c>
      <x:c r="D2476" s="9" t="n">
        <x:v>7.2</x:v>
      </x:c>
      <x:c r="E2476" s="8" t="n">
        <x:v>15</x:v>
      </x:c>
      <x:c r="F2476" s="8" t="n">
        <x:v>0</x:v>
      </x:c>
      <x:c r="G2476" s="8" t="n">
        <x:v>0</x:v>
      </x:c>
      <x:c r="H2476" s="8" t="n">
        <x:v>0</x:v>
      </x:c>
      <x:c r="I2476" s="8" t="n">
        <x:v>0</x:v>
      </x:c>
      <x:c r="J2476" s="8" t="n">
        <x:v>0</x:v>
      </x:c>
      <x:c r="K2476" s="8" t="n">
        <x:v>0</x:v>
      </x:c>
      <x:c r="L2476" s="1" t="str">
        <x:v>Нет</x:v>
      </x:c>
      <x:c r="M2476" s="1" t="n">
        <x:v>0</x:v>
      </x:c>
    </x:row>
    <x:row r="2477">
      <x:c r="A2477" s="1" t="str">
        <x:v>88805849</x:v>
      </x:c>
      <x:c r="B2477" s="1" t="str">
        <x:v>futbolka_mary/салатовый</x:v>
      </x:c>
      <x:c r="C2477" s="1" t="str">
        <x:v>Футболки</x:v>
      </x:c>
      <x:c r="D2477" s="9" t="n">
        <x:v>5.2</x:v>
      </x:c>
      <x:c r="E2477" s="8" t="n">
        <x:v>6</x:v>
      </x:c>
      <x:c r="F2477" s="8" t="n">
        <x:v>0</x:v>
      </x:c>
      <x:c r="G2477" s="8" t="n">
        <x:v>0</x:v>
      </x:c>
      <x:c r="H2477" s="8" t="n">
        <x:v>0</x:v>
      </x:c>
      <x:c r="I2477" s="8" t="n">
        <x:v>0</x:v>
      </x:c>
      <x:c r="J2477" s="8" t="n">
        <x:v>0</x:v>
      </x:c>
      <x:c r="K2477" s="8" t="n">
        <x:v>0</x:v>
      </x:c>
      <x:c r="L2477" s="1" t="str">
        <x:v>Нет</x:v>
      </x:c>
      <x:c r="M2477" s="1" t="n">
        <x:v>0</x:v>
      </x:c>
    </x:row>
    <x:row r="2478">
      <x:c r="A2478" s="1"/>
      <x:c r="B2478" s="1"/>
      <x:c r="C2478" s="1"/>
      <x:c r="D2478" s="1"/>
      <x:c r="E2478" s="1"/>
      <x:c r="F2478" s="1"/>
      <x:c r="G2478" s="1"/>
      <x:c r="H2478" s="1"/>
      <x:c r="I2478" s="1"/>
      <x:c r="J2478" s="1"/>
      <x:c r="K2478" s="1"/>
      <x:c r="L2478" s="1"/>
      <x:c r="M2478" s="1"/>
    </x:row>
  </x:sheetData>
  <x:pageMargins left="0.7" right="0.7" top="0.75" bottom="0.75" header="0.3" footer="0.3"/>
  <x:tableParts count="1">
    <x:tablePart xmlns:r="http://schemas.openxmlformats.org/officeDocument/2006/relationships" r:id="R84c5b6505f9748e8"/>
  </x:tableParts>
</x:worksheet>
</file>